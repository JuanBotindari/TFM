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Unidades compartidas\01. EMPRESAS\EUROARGENTINA S.A\02. COMPRAS Y VENTAS\COMPRAS VENTAS 2025\"/>
    </mc:Choice>
  </mc:AlternateContent>
  <xr:revisionPtr revIDLastSave="0" documentId="13_ncr:1_{7E89F287-1955-42C6-A540-DD29F65527E2}" xr6:coauthVersionLast="47" xr6:coauthVersionMax="47" xr10:uidLastSave="{00000000-0000-0000-0000-000000000000}"/>
  <bookViews>
    <workbookView xWindow="29220" yWindow="45" windowWidth="19845" windowHeight="15600" tabRatio="769" firstSheet="2" activeTab="12" xr2:uid="{00000000-000D-0000-FFFF-FFFF00000000}"/>
  </bookViews>
  <sheets>
    <sheet name="Lista_CUIT" sheetId="8" r:id="rId1"/>
    <sheet name="Ene-25" sheetId="2" r:id="rId2"/>
    <sheet name="Feb-25" sheetId="10" r:id="rId3"/>
    <sheet name="Mar-25" sheetId="11" r:id="rId4"/>
    <sheet name="Abr-25" sheetId="12" r:id="rId5"/>
    <sheet name="May-25" sheetId="16" r:id="rId6"/>
    <sheet name="Jun-25" sheetId="13" r:id="rId7"/>
    <sheet name="Jul-25" sheetId="25" r:id="rId8"/>
    <sheet name="Agost-25" sheetId="18" r:id="rId9"/>
    <sheet name="Sept-25" sheetId="19" r:id="rId10"/>
    <sheet name="Oct-25" sheetId="14" r:id="rId11"/>
    <sheet name="Nov-25 " sheetId="22" r:id="rId12"/>
    <sheet name="Dic-25" sheetId="20" r:id="rId13"/>
    <sheet name="Asto-Cpras" sheetId="3" r:id="rId14"/>
    <sheet name="Asto-Vtas" sheetId="4" r:id="rId15"/>
  </sheets>
  <definedNames>
    <definedName name="_xlnm._FilterDatabase" localSheetId="8" hidden="1">'Agost-25'!$S$9:$T$148</definedName>
    <definedName name="_xlnm._FilterDatabase" localSheetId="6" hidden="1">'Jun-25'!$H$2754:$J$4960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4" i="13" l="1"/>
  <c r="H246" i="14"/>
  <c r="H247" i="14"/>
  <c r="H267" i="14"/>
  <c r="H268" i="14"/>
  <c r="H269" i="14"/>
  <c r="J246" i="14"/>
  <c r="J247" i="14"/>
  <c r="J267" i="14"/>
  <c r="J268" i="14"/>
  <c r="J269" i="14"/>
  <c r="K246" i="14"/>
  <c r="K247" i="14"/>
  <c r="K267" i="14"/>
  <c r="K268" i="14"/>
  <c r="K269" i="14"/>
  <c r="M213" i="20" l="1"/>
  <c r="G53" i="20"/>
  <c r="I53" i="20"/>
  <c r="P53" i="20" s="1"/>
  <c r="Q53" i="20"/>
  <c r="R53" i="20"/>
  <c r="G62" i="20"/>
  <c r="I62" i="20"/>
  <c r="P62" i="20" s="1"/>
  <c r="Q62" i="20"/>
  <c r="R62" i="20"/>
  <c r="G107" i="20"/>
  <c r="I107" i="20"/>
  <c r="P107" i="20" s="1"/>
  <c r="Q107" i="20"/>
  <c r="R107" i="20"/>
  <c r="G136" i="20"/>
  <c r="I136" i="20"/>
  <c r="P136" i="20" s="1"/>
  <c r="Q136" i="20"/>
  <c r="R136" i="20"/>
  <c r="K139" i="20"/>
  <c r="K172" i="20"/>
  <c r="K154" i="20"/>
  <c r="I143" i="20"/>
  <c r="K95" i="20"/>
  <c r="K85" i="20"/>
  <c r="K49" i="20"/>
  <c r="J42" i="20"/>
  <c r="K22" i="20"/>
  <c r="G204" i="22" l="1"/>
  <c r="G205" i="22"/>
  <c r="G206" i="22"/>
  <c r="G207" i="22"/>
  <c r="G208" i="22"/>
  <c r="I204" i="22"/>
  <c r="P204" i="22" s="1"/>
  <c r="I205" i="22"/>
  <c r="P205" i="22" s="1"/>
  <c r="I206" i="22"/>
  <c r="P206" i="22" s="1"/>
  <c r="I207" i="22"/>
  <c r="P207" i="22" s="1"/>
  <c r="I208" i="22"/>
  <c r="P208" i="22" s="1"/>
  <c r="Q204" i="22"/>
  <c r="Q205" i="22"/>
  <c r="Q206" i="22"/>
  <c r="Q207" i="22"/>
  <c r="Q208" i="22"/>
  <c r="R204" i="22"/>
  <c r="R205" i="22"/>
  <c r="R206" i="22"/>
  <c r="R207" i="22"/>
  <c r="R208" i="22"/>
  <c r="G209" i="22"/>
  <c r="G210" i="22"/>
  <c r="G211" i="22"/>
  <c r="G212" i="22"/>
  <c r="G213" i="22"/>
  <c r="I209" i="22"/>
  <c r="P209" i="22" s="1"/>
  <c r="I210" i="22"/>
  <c r="P210" i="22" s="1"/>
  <c r="I211" i="22"/>
  <c r="P211" i="22" s="1"/>
  <c r="I212" i="22"/>
  <c r="P212" i="22" s="1"/>
  <c r="I213" i="22"/>
  <c r="P213" i="22" s="1"/>
  <c r="Q209" i="22"/>
  <c r="Q210" i="22"/>
  <c r="Q211" i="22"/>
  <c r="Q212" i="22"/>
  <c r="Q213" i="22"/>
  <c r="R209" i="22"/>
  <c r="R210" i="22"/>
  <c r="R211" i="22"/>
  <c r="R212" i="22"/>
  <c r="R213" i="22"/>
  <c r="H228" i="22"/>
  <c r="H230" i="22"/>
  <c r="H231" i="22"/>
  <c r="H232" i="22"/>
  <c r="H233" i="22"/>
  <c r="H234" i="22"/>
  <c r="H235" i="22"/>
  <c r="H236" i="22"/>
  <c r="H237" i="22"/>
  <c r="K159" i="22"/>
  <c r="P143" i="22"/>
  <c r="J74" i="22"/>
  <c r="I73" i="22"/>
  <c r="I66" i="22"/>
  <c r="P65" i="22"/>
  <c r="K39" i="22"/>
  <c r="J20" i="22"/>
  <c r="G234" i="14"/>
  <c r="G221" i="14" l="1"/>
  <c r="I221" i="14"/>
  <c r="P221" i="14" s="1"/>
  <c r="Q221" i="14"/>
  <c r="R221" i="14"/>
  <c r="G220" i="14"/>
  <c r="I220" i="14"/>
  <c r="P220" i="14" s="1"/>
  <c r="Q220" i="14"/>
  <c r="R220" i="14"/>
  <c r="G219" i="14"/>
  <c r="I219" i="14"/>
  <c r="P219" i="14" s="1"/>
  <c r="Q219" i="14"/>
  <c r="R219" i="14"/>
  <c r="G218" i="14"/>
  <c r="I218" i="14"/>
  <c r="P218" i="14" s="1"/>
  <c r="Q218" i="14"/>
  <c r="R218" i="14"/>
  <c r="G217" i="14"/>
  <c r="I217" i="14"/>
  <c r="P217" i="14" s="1"/>
  <c r="Q217" i="14"/>
  <c r="R217" i="14"/>
  <c r="G216" i="14"/>
  <c r="I216" i="14"/>
  <c r="P216" i="14" s="1"/>
  <c r="Q216" i="14"/>
  <c r="R216" i="14"/>
  <c r="G215" i="14"/>
  <c r="I215" i="14"/>
  <c r="P215" i="14" s="1"/>
  <c r="Q215" i="14"/>
  <c r="R215" i="14"/>
  <c r="G214" i="14"/>
  <c r="I214" i="14"/>
  <c r="P214" i="14" s="1"/>
  <c r="Q214" i="14"/>
  <c r="R214" i="14"/>
  <c r="G213" i="14"/>
  <c r="I213" i="14"/>
  <c r="P213" i="14" s="1"/>
  <c r="Q213" i="14"/>
  <c r="R213" i="14"/>
  <c r="G212" i="14"/>
  <c r="I212" i="14"/>
  <c r="P212" i="14" s="1"/>
  <c r="Q212" i="14"/>
  <c r="R212" i="14"/>
  <c r="G211" i="14"/>
  <c r="I211" i="14"/>
  <c r="P211" i="14" s="1"/>
  <c r="Q211" i="14"/>
  <c r="R211" i="14"/>
  <c r="G210" i="14"/>
  <c r="I210" i="14"/>
  <c r="P210" i="14" s="1"/>
  <c r="Q210" i="14"/>
  <c r="R210" i="14"/>
  <c r="K150" i="14"/>
  <c r="K138" i="14"/>
  <c r="K129" i="14"/>
  <c r="K82" i="14"/>
  <c r="K75" i="14"/>
  <c r="J66" i="14"/>
  <c r="K36" i="14"/>
  <c r="J32" i="14"/>
  <c r="K30" i="14"/>
  <c r="K12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I186" i="14"/>
  <c r="P186" i="14" s="1"/>
  <c r="I187" i="14"/>
  <c r="P187" i="14" s="1"/>
  <c r="I188" i="14"/>
  <c r="P188" i="14" s="1"/>
  <c r="I189" i="14"/>
  <c r="P189" i="14" s="1"/>
  <c r="I190" i="14"/>
  <c r="P190" i="14" s="1"/>
  <c r="I191" i="14"/>
  <c r="P191" i="14" s="1"/>
  <c r="I192" i="14"/>
  <c r="P192" i="14" s="1"/>
  <c r="I193" i="14"/>
  <c r="P193" i="14" s="1"/>
  <c r="I194" i="14"/>
  <c r="P194" i="14" s="1"/>
  <c r="I196" i="14"/>
  <c r="I197" i="14"/>
  <c r="P197" i="14" s="1"/>
  <c r="I198" i="14"/>
  <c r="P198" i="14" s="1"/>
  <c r="I199" i="14"/>
  <c r="P199" i="14" s="1"/>
  <c r="I200" i="14"/>
  <c r="P200" i="14" s="1"/>
  <c r="I201" i="14"/>
  <c r="P201" i="14" s="1"/>
  <c r="I202" i="14"/>
  <c r="P202" i="14" s="1"/>
  <c r="I203" i="14"/>
  <c r="I204" i="14"/>
  <c r="P204" i="14" s="1"/>
  <c r="I205" i="14"/>
  <c r="P205" i="14" s="1"/>
  <c r="I206" i="14"/>
  <c r="I207" i="14"/>
  <c r="P207" i="14" s="1"/>
  <c r="I208" i="14"/>
  <c r="I209" i="14"/>
  <c r="P209" i="14" s="1"/>
  <c r="P19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G234" i="19"/>
  <c r="H234" i="19"/>
  <c r="H243" i="19"/>
  <c r="K172" i="19"/>
  <c r="K210" i="19"/>
  <c r="P210" i="19" s="1"/>
  <c r="K195" i="19"/>
  <c r="K197" i="19"/>
  <c r="K173" i="19"/>
  <c r="K146" i="19"/>
  <c r="J71" i="19"/>
  <c r="K38" i="19"/>
  <c r="K36" i="19"/>
  <c r="J31" i="19"/>
  <c r="G230" i="19"/>
  <c r="I230" i="19"/>
  <c r="P230" i="19" s="1"/>
  <c r="Q230" i="19"/>
  <c r="R230" i="19"/>
  <c r="G229" i="19"/>
  <c r="I229" i="19"/>
  <c r="Q229" i="19"/>
  <c r="R229" i="19"/>
  <c r="G228" i="19"/>
  <c r="I228" i="19"/>
  <c r="P228" i="19" s="1"/>
  <c r="Q228" i="19"/>
  <c r="R228" i="19"/>
  <c r="G227" i="19"/>
  <c r="I227" i="19"/>
  <c r="P227" i="19" s="1"/>
  <c r="Q227" i="19"/>
  <c r="R227" i="19"/>
  <c r="G226" i="19"/>
  <c r="I226" i="19"/>
  <c r="Q226" i="19"/>
  <c r="R226" i="19"/>
  <c r="G190" i="19"/>
  <c r="I190" i="19"/>
  <c r="Q190" i="19"/>
  <c r="R190" i="19"/>
  <c r="G199" i="19"/>
  <c r="I199" i="19"/>
  <c r="Q199" i="19"/>
  <c r="R199" i="19"/>
  <c r="G159" i="19"/>
  <c r="I159" i="19"/>
  <c r="P159" i="19" s="1"/>
  <c r="Q159" i="19"/>
  <c r="R159" i="19"/>
  <c r="G90" i="19"/>
  <c r="I90" i="19"/>
  <c r="P90" i="19" s="1"/>
  <c r="Q90" i="19"/>
  <c r="R90" i="19"/>
  <c r="G114" i="19"/>
  <c r="I114" i="19"/>
  <c r="P114" i="19" s="1"/>
  <c r="Q114" i="19"/>
  <c r="R114" i="19"/>
  <c r="G130" i="19"/>
  <c r="I130" i="19"/>
  <c r="P130" i="19" s="1"/>
  <c r="Q130" i="19"/>
  <c r="R130" i="19"/>
  <c r="G50" i="19"/>
  <c r="I50" i="19"/>
  <c r="P50" i="19" s="1"/>
  <c r="Q50" i="19"/>
  <c r="R50" i="19"/>
  <c r="G46" i="19"/>
  <c r="I46" i="19"/>
  <c r="P46" i="19" s="1"/>
  <c r="Q46" i="19"/>
  <c r="R46" i="19"/>
  <c r="G211" i="19"/>
  <c r="I211" i="19"/>
  <c r="Q211" i="19"/>
  <c r="R211" i="19"/>
  <c r="G162" i="19"/>
  <c r="I162" i="19"/>
  <c r="P162" i="19" s="1"/>
  <c r="Q162" i="19"/>
  <c r="R162" i="19"/>
  <c r="G143" i="19"/>
  <c r="I143" i="19"/>
  <c r="P143" i="19" s="1"/>
  <c r="Q143" i="19"/>
  <c r="R143" i="19"/>
  <c r="G140" i="19"/>
  <c r="I140" i="19"/>
  <c r="Q140" i="19"/>
  <c r="R140" i="19"/>
  <c r="G116" i="19"/>
  <c r="I116" i="19"/>
  <c r="R116" i="19"/>
  <c r="G104" i="19"/>
  <c r="I104" i="19"/>
  <c r="Q104" i="19"/>
  <c r="R104" i="19"/>
  <c r="G103" i="19"/>
  <c r="I103" i="19"/>
  <c r="P103" i="19" s="1"/>
  <c r="Q103" i="19"/>
  <c r="R103" i="19"/>
  <c r="G99" i="19"/>
  <c r="I99" i="19"/>
  <c r="P99" i="19" s="1"/>
  <c r="R99" i="19"/>
  <c r="G102" i="19"/>
  <c r="I102" i="19"/>
  <c r="P102" i="19" s="1"/>
  <c r="Q102" i="19"/>
  <c r="R102" i="19"/>
  <c r="G101" i="19"/>
  <c r="I101" i="19"/>
  <c r="P101" i="19" s="1"/>
  <c r="Q101" i="19"/>
  <c r="R101" i="19"/>
  <c r="G20" i="19"/>
  <c r="I20" i="19"/>
  <c r="P20" i="19" s="1"/>
  <c r="R20" i="19"/>
  <c r="G176" i="19"/>
  <c r="I176" i="19"/>
  <c r="P176" i="19" s="1"/>
  <c r="Q176" i="19"/>
  <c r="R176" i="19"/>
  <c r="G214" i="19"/>
  <c r="I214" i="19"/>
  <c r="P214" i="19" s="1"/>
  <c r="Q214" i="19"/>
  <c r="R214" i="19"/>
  <c r="G216" i="19"/>
  <c r="I216" i="19"/>
  <c r="P216" i="19" s="1"/>
  <c r="Q216" i="19"/>
  <c r="R216" i="19"/>
  <c r="G225" i="19"/>
  <c r="I225" i="19"/>
  <c r="P225" i="19" s="1"/>
  <c r="Q225" i="19"/>
  <c r="R225" i="19"/>
  <c r="G224" i="19"/>
  <c r="I224" i="19"/>
  <c r="Q224" i="19"/>
  <c r="R224" i="19"/>
  <c r="G222" i="19"/>
  <c r="I222" i="19"/>
  <c r="P222" i="19" s="1"/>
  <c r="Q222" i="19"/>
  <c r="R222" i="19"/>
  <c r="G218" i="19"/>
  <c r="I218" i="19"/>
  <c r="P218" i="19" s="1"/>
  <c r="R218" i="19"/>
  <c r="G223" i="19"/>
  <c r="I223" i="19"/>
  <c r="P223" i="19" s="1"/>
  <c r="Q223" i="19"/>
  <c r="R223" i="19"/>
  <c r="G220" i="19"/>
  <c r="I220" i="19"/>
  <c r="P220" i="19" s="1"/>
  <c r="R220" i="19"/>
  <c r="G213" i="19"/>
  <c r="I213" i="19"/>
  <c r="P213" i="19" s="1"/>
  <c r="R213" i="19"/>
  <c r="G219" i="19"/>
  <c r="I219" i="19"/>
  <c r="P219" i="19" s="1"/>
  <c r="Q219" i="19"/>
  <c r="R219" i="19"/>
  <c r="G217" i="19"/>
  <c r="I217" i="19"/>
  <c r="P217" i="19" s="1"/>
  <c r="Q217" i="19"/>
  <c r="R217" i="19"/>
  <c r="G221" i="19"/>
  <c r="P221" i="19"/>
  <c r="Q221" i="19"/>
  <c r="R221" i="19"/>
  <c r="G215" i="19"/>
  <c r="I215" i="19"/>
  <c r="R215" i="19"/>
  <c r="G212" i="19"/>
  <c r="I212" i="19"/>
  <c r="P212" i="19" s="1"/>
  <c r="Q212" i="19"/>
  <c r="R212" i="19"/>
  <c r="G210" i="19"/>
  <c r="Q210" i="19"/>
  <c r="R210" i="19"/>
  <c r="G209" i="19"/>
  <c r="I209" i="19"/>
  <c r="P209" i="19" s="1"/>
  <c r="Q209" i="19"/>
  <c r="R209" i="19"/>
  <c r="G208" i="19"/>
  <c r="I208" i="19"/>
  <c r="Q208" i="19"/>
  <c r="R208" i="19"/>
  <c r="G207" i="19"/>
  <c r="I207" i="19"/>
  <c r="Q207" i="19"/>
  <c r="R207" i="19"/>
  <c r="G203" i="19"/>
  <c r="I203" i="19"/>
  <c r="P203" i="19" s="1"/>
  <c r="R203" i="19"/>
  <c r="G200" i="19"/>
  <c r="I200" i="19"/>
  <c r="P200" i="19" s="1"/>
  <c r="R200" i="19"/>
  <c r="G202" i="19"/>
  <c r="I202" i="19"/>
  <c r="P202" i="19" s="1"/>
  <c r="R202" i="19"/>
  <c r="I207" i="18"/>
  <c r="H207" i="18"/>
  <c r="H215" i="18"/>
  <c r="I157" i="18"/>
  <c r="G64" i="18"/>
  <c r="I64" i="18"/>
  <c r="P64" i="18" s="1"/>
  <c r="R64" i="18"/>
  <c r="G79" i="18"/>
  <c r="I79" i="18"/>
  <c r="P79" i="18" s="1"/>
  <c r="Q79" i="18"/>
  <c r="R79" i="18"/>
  <c r="G134" i="18"/>
  <c r="I134" i="18"/>
  <c r="P134" i="18" s="1"/>
  <c r="Q134" i="18"/>
  <c r="R134" i="18"/>
  <c r="G78" i="18"/>
  <c r="I78" i="18"/>
  <c r="P78" i="18" s="1"/>
  <c r="Q78" i="18"/>
  <c r="R78" i="18"/>
  <c r="G77" i="18"/>
  <c r="I77" i="18"/>
  <c r="P77" i="18" s="1"/>
  <c r="Q77" i="18"/>
  <c r="R77" i="18"/>
  <c r="G76" i="18"/>
  <c r="I76" i="18"/>
  <c r="P76" i="18" s="1"/>
  <c r="Q76" i="18"/>
  <c r="R76" i="18"/>
  <c r="G133" i="18"/>
  <c r="I133" i="18"/>
  <c r="P133" i="18" s="1"/>
  <c r="Q133" i="18"/>
  <c r="R133" i="18"/>
  <c r="G75" i="18"/>
  <c r="I75" i="18"/>
  <c r="P75" i="18" s="1"/>
  <c r="Q75" i="18"/>
  <c r="R75" i="18"/>
  <c r="G74" i="18"/>
  <c r="I74" i="18"/>
  <c r="P74" i="18" s="1"/>
  <c r="Q74" i="18"/>
  <c r="R74" i="18"/>
  <c r="G73" i="18"/>
  <c r="I73" i="18"/>
  <c r="P73" i="18" s="1"/>
  <c r="Q73" i="18"/>
  <c r="R73" i="18"/>
  <c r="G72" i="18"/>
  <c r="I72" i="18"/>
  <c r="P72" i="18" s="1"/>
  <c r="Q72" i="18"/>
  <c r="R72" i="18"/>
  <c r="K178" i="18"/>
  <c r="I142" i="18"/>
  <c r="K98" i="18"/>
  <c r="K31" i="18"/>
  <c r="K131" i="18"/>
  <c r="J196" i="18"/>
  <c r="P90" i="18"/>
  <c r="G82" i="18"/>
  <c r="G53" i="18"/>
  <c r="G191" i="18"/>
  <c r="G130" i="18"/>
  <c r="G120" i="18"/>
  <c r="G71" i="18"/>
  <c r="G96" i="18"/>
  <c r="G54" i="18"/>
  <c r="G55" i="18"/>
  <c r="G56" i="18"/>
  <c r="G192" i="18"/>
  <c r="G193" i="18"/>
  <c r="G57" i="18"/>
  <c r="G58" i="18"/>
  <c r="G132" i="18"/>
  <c r="G121" i="18"/>
  <c r="G194" i="18"/>
  <c r="G122" i="18"/>
  <c r="G90" i="18"/>
  <c r="G59" i="18"/>
  <c r="G123" i="18"/>
  <c r="G60" i="18"/>
  <c r="G85" i="18"/>
  <c r="G174" i="18"/>
  <c r="G175" i="18"/>
  <c r="G97" i="18"/>
  <c r="G157" i="18"/>
  <c r="G61" i="18"/>
  <c r="G62" i="18"/>
  <c r="G158" i="18"/>
  <c r="G63" i="18"/>
  <c r="I82" i="18"/>
  <c r="I53" i="18"/>
  <c r="P53" i="18" s="1"/>
  <c r="I191" i="18"/>
  <c r="I130" i="18"/>
  <c r="P130" i="18" s="1"/>
  <c r="I71" i="18"/>
  <c r="P71" i="18" s="1"/>
  <c r="I96" i="18"/>
  <c r="P96" i="18" s="1"/>
  <c r="I54" i="18"/>
  <c r="P54" i="18" s="1"/>
  <c r="I55" i="18"/>
  <c r="I56" i="18"/>
  <c r="P56" i="18" s="1"/>
  <c r="I192" i="18"/>
  <c r="P192" i="18" s="1"/>
  <c r="I193" i="18"/>
  <c r="P193" i="18" s="1"/>
  <c r="I57" i="18"/>
  <c r="P57" i="18" s="1"/>
  <c r="I58" i="18"/>
  <c r="P58" i="18" s="1"/>
  <c r="I132" i="18"/>
  <c r="I121" i="18"/>
  <c r="P121" i="18" s="1"/>
  <c r="I194" i="18"/>
  <c r="P194" i="18" s="1"/>
  <c r="I122" i="18"/>
  <c r="P122" i="18" s="1"/>
  <c r="I59" i="18"/>
  <c r="P59" i="18" s="1"/>
  <c r="I60" i="18"/>
  <c r="P60" i="18" s="1"/>
  <c r="I85" i="18"/>
  <c r="P85" i="18" s="1"/>
  <c r="I174" i="18"/>
  <c r="P174" i="18" s="1"/>
  <c r="I175" i="18"/>
  <c r="P175" i="18" s="1"/>
  <c r="I97" i="18"/>
  <c r="P97" i="18" s="1"/>
  <c r="I61" i="18"/>
  <c r="P61" i="18" s="1"/>
  <c r="I62" i="18"/>
  <c r="P62" i="18" s="1"/>
  <c r="I158" i="18"/>
  <c r="I63" i="18"/>
  <c r="P120" i="18"/>
  <c r="Q82" i="18"/>
  <c r="Q191" i="18"/>
  <c r="Q130" i="18"/>
  <c r="Q120" i="18"/>
  <c r="Q71" i="18"/>
  <c r="Q96" i="18"/>
  <c r="Q192" i="18"/>
  <c r="Q193" i="18"/>
  <c r="Q132" i="18"/>
  <c r="Q121" i="18"/>
  <c r="Q194" i="18"/>
  <c r="Q122" i="18"/>
  <c r="Q90" i="18"/>
  <c r="Q123" i="18"/>
  <c r="Q85" i="18"/>
  <c r="Q174" i="18"/>
  <c r="Q175" i="18"/>
  <c r="Q97" i="18"/>
  <c r="Q157" i="18"/>
  <c r="Q158" i="18"/>
  <c r="R82" i="18"/>
  <c r="R53" i="18"/>
  <c r="R191" i="18"/>
  <c r="R130" i="18"/>
  <c r="R120" i="18"/>
  <c r="R71" i="18"/>
  <c r="R96" i="18"/>
  <c r="R54" i="18"/>
  <c r="R55" i="18"/>
  <c r="R56" i="18"/>
  <c r="R192" i="18"/>
  <c r="R193" i="18"/>
  <c r="R57" i="18"/>
  <c r="R58" i="18"/>
  <c r="R132" i="18"/>
  <c r="R121" i="18"/>
  <c r="R194" i="18"/>
  <c r="R122" i="18"/>
  <c r="R90" i="18"/>
  <c r="R59" i="18"/>
  <c r="R123" i="18"/>
  <c r="R60" i="18"/>
  <c r="R85" i="18"/>
  <c r="R174" i="18"/>
  <c r="R175" i="18"/>
  <c r="R97" i="18"/>
  <c r="R157" i="18"/>
  <c r="R61" i="18"/>
  <c r="R62" i="18"/>
  <c r="R158" i="18"/>
  <c r="R63" i="18"/>
  <c r="H270" i="18"/>
  <c r="H240" i="18"/>
  <c r="H254" i="18"/>
  <c r="H255" i="18"/>
  <c r="H241" i="18"/>
  <c r="H242" i="18"/>
  <c r="H250" i="18"/>
  <c r="H271" i="18"/>
  <c r="J270" i="18"/>
  <c r="J240" i="18"/>
  <c r="J254" i="18"/>
  <c r="J255" i="18"/>
  <c r="J241" i="18"/>
  <c r="J242" i="18"/>
  <c r="J250" i="18"/>
  <c r="J271" i="18"/>
  <c r="K270" i="18"/>
  <c r="K240" i="18"/>
  <c r="K254" i="18"/>
  <c r="K255" i="18"/>
  <c r="K241" i="18"/>
  <c r="K242" i="18"/>
  <c r="K250" i="18"/>
  <c r="K271" i="18"/>
  <c r="H243" i="18"/>
  <c r="H251" i="18"/>
  <c r="H244" i="18"/>
  <c r="H245" i="18"/>
  <c r="H256" i="18"/>
  <c r="H237" i="18"/>
  <c r="H238" i="18"/>
  <c r="H239" i="18"/>
  <c r="J243" i="18"/>
  <c r="J251" i="18"/>
  <c r="J244" i="18"/>
  <c r="J245" i="18"/>
  <c r="J256" i="18"/>
  <c r="K243" i="18"/>
  <c r="K251" i="18"/>
  <c r="K244" i="18"/>
  <c r="K245" i="18"/>
  <c r="K256" i="18"/>
  <c r="K237" i="18"/>
  <c r="K238" i="18"/>
  <c r="K239" i="18"/>
  <c r="G53" i="2"/>
  <c r="Q10" i="12"/>
  <c r="P147" i="13"/>
  <c r="O190" i="11"/>
  <c r="Q115" i="10"/>
  <c r="P206" i="14" l="1"/>
  <c r="P208" i="14"/>
  <c r="P196" i="14"/>
  <c r="P203" i="14"/>
  <c r="P208" i="19"/>
  <c r="P199" i="19"/>
  <c r="P116" i="19"/>
  <c r="P190" i="19"/>
  <c r="P215" i="19"/>
  <c r="P140" i="19"/>
  <c r="P224" i="19"/>
  <c r="P211" i="19"/>
  <c r="P207" i="19"/>
  <c r="P226" i="19"/>
  <c r="P229" i="19"/>
  <c r="P104" i="19"/>
  <c r="P63" i="18"/>
  <c r="P157" i="18"/>
  <c r="P132" i="18"/>
  <c r="P191" i="18"/>
  <c r="P158" i="18"/>
  <c r="P82" i="18"/>
  <c r="P123" i="18"/>
  <c r="P55" i="18"/>
  <c r="I169" i="25"/>
  <c r="H169" i="25"/>
  <c r="H173" i="25"/>
  <c r="K99" i="25"/>
  <c r="K97" i="25"/>
  <c r="K85" i="25"/>
  <c r="K80" i="25"/>
  <c r="K64" i="25"/>
  <c r="K61" i="25"/>
  <c r="J40" i="25"/>
  <c r="K31" i="25"/>
  <c r="J23" i="25"/>
  <c r="P115" i="25"/>
  <c r="K9" i="25"/>
  <c r="H212" i="25"/>
  <c r="H203" i="25"/>
  <c r="H191" i="25"/>
  <c r="J212" i="25"/>
  <c r="J203" i="25"/>
  <c r="J191" i="25"/>
  <c r="K212" i="25"/>
  <c r="K203" i="25"/>
  <c r="K191" i="25"/>
  <c r="I21" i="22"/>
  <c r="I22" i="22"/>
  <c r="I23" i="22"/>
  <c r="I24" i="22"/>
  <c r="I25" i="22"/>
  <c r="I26" i="22"/>
  <c r="I27" i="22"/>
  <c r="I28" i="22"/>
  <c r="I29" i="22"/>
  <c r="I30" i="22"/>
  <c r="I31" i="22"/>
  <c r="I32" i="22"/>
  <c r="I33" i="22"/>
  <c r="I34" i="22"/>
  <c r="I35" i="22"/>
  <c r="I36" i="22"/>
  <c r="I38" i="22"/>
  <c r="I40" i="22"/>
  <c r="I41" i="22"/>
  <c r="I42" i="22"/>
  <c r="I45" i="22"/>
  <c r="I46" i="22"/>
  <c r="I47" i="22"/>
  <c r="I48" i="22"/>
  <c r="I49" i="22"/>
  <c r="I50" i="22"/>
  <c r="I51" i="22"/>
  <c r="I52" i="22"/>
  <c r="I53" i="22"/>
  <c r="I54" i="22"/>
  <c r="I55" i="22"/>
  <c r="I56" i="22"/>
  <c r="I57" i="22"/>
  <c r="I58" i="22"/>
  <c r="I59" i="22"/>
  <c r="I60" i="22"/>
  <c r="I61" i="22"/>
  <c r="I62" i="22"/>
  <c r="I63" i="22"/>
  <c r="I64" i="22"/>
  <c r="I67" i="22"/>
  <c r="I68" i="22"/>
  <c r="I69" i="22"/>
  <c r="I70" i="22"/>
  <c r="I71" i="22"/>
  <c r="I72" i="22"/>
  <c r="I75" i="22"/>
  <c r="I77" i="22"/>
  <c r="I78" i="22"/>
  <c r="I79" i="22"/>
  <c r="I80" i="22"/>
  <c r="I81" i="22"/>
  <c r="I82" i="22"/>
  <c r="I83" i="22"/>
  <c r="I84" i="22"/>
  <c r="I85" i="22"/>
  <c r="I86" i="22"/>
  <c r="I87" i="22"/>
  <c r="I88" i="22"/>
  <c r="I90" i="22"/>
  <c r="I91" i="22"/>
  <c r="I92" i="22"/>
  <c r="I93" i="22"/>
  <c r="I94" i="22"/>
  <c r="I95" i="22"/>
  <c r="I96" i="22"/>
  <c r="I97" i="22"/>
  <c r="I98" i="22"/>
  <c r="I99" i="22"/>
  <c r="I100" i="22"/>
  <c r="I101" i="22"/>
  <c r="I103" i="22"/>
  <c r="I104" i="22"/>
  <c r="I105" i="22"/>
  <c r="I106" i="22"/>
  <c r="I108" i="22"/>
  <c r="I110" i="22"/>
  <c r="I111" i="22"/>
  <c r="I112" i="22"/>
  <c r="I113" i="22"/>
  <c r="I114" i="22"/>
  <c r="I115" i="22"/>
  <c r="I116" i="22"/>
  <c r="P116" i="22" s="1"/>
  <c r="I117" i="22"/>
  <c r="I118" i="22"/>
  <c r="I119" i="22"/>
  <c r="I120" i="22"/>
  <c r="I121" i="22"/>
  <c r="I122" i="22"/>
  <c r="I123" i="22"/>
  <c r="I124" i="22"/>
  <c r="P124" i="22" s="1"/>
  <c r="I125" i="22"/>
  <c r="I126" i="22"/>
  <c r="I127" i="22"/>
  <c r="I128" i="22"/>
  <c r="I129" i="22"/>
  <c r="I130" i="22"/>
  <c r="I131" i="22"/>
  <c r="I132" i="22"/>
  <c r="I133" i="22"/>
  <c r="I134" i="22"/>
  <c r="I135" i="22"/>
  <c r="I136" i="22"/>
  <c r="I137" i="22"/>
  <c r="I138" i="22"/>
  <c r="I139" i="22"/>
  <c r="I140" i="22"/>
  <c r="I141" i="22"/>
  <c r="I144" i="22"/>
  <c r="I145" i="22"/>
  <c r="I146" i="22"/>
  <c r="I147" i="22"/>
  <c r="I148" i="22"/>
  <c r="I149" i="22"/>
  <c r="I150" i="22"/>
  <c r="I151" i="22"/>
  <c r="I152" i="22"/>
  <c r="I153" i="22"/>
  <c r="I154" i="22"/>
  <c r="I155" i="22"/>
  <c r="I157" i="22"/>
  <c r="I158" i="22"/>
  <c r="I161" i="22"/>
  <c r="I162" i="22"/>
  <c r="I163" i="22"/>
  <c r="I164" i="22"/>
  <c r="I165" i="22"/>
  <c r="I166" i="22"/>
  <c r="I167" i="22"/>
  <c r="I168" i="22"/>
  <c r="I169" i="22"/>
  <c r="I170" i="22"/>
  <c r="I171" i="22"/>
  <c r="I172" i="22"/>
  <c r="I173" i="22"/>
  <c r="I174" i="22"/>
  <c r="I175" i="22"/>
  <c r="I177" i="22"/>
  <c r="I178" i="22"/>
  <c r="I179" i="22"/>
  <c r="I180" i="22"/>
  <c r="I181" i="22"/>
  <c r="I182" i="22"/>
  <c r="I183" i="22"/>
  <c r="I186" i="22"/>
  <c r="I187" i="22"/>
  <c r="I188" i="22"/>
  <c r="I189" i="22"/>
  <c r="I191" i="22"/>
  <c r="I192" i="22"/>
  <c r="I193" i="22"/>
  <c r="I194" i="22"/>
  <c r="I195" i="22"/>
  <c r="I196" i="22"/>
  <c r="I197" i="22"/>
  <c r="I198" i="22"/>
  <c r="I199" i="22"/>
  <c r="I200" i="22"/>
  <c r="I201" i="22"/>
  <c r="I202" i="22"/>
  <c r="I203" i="22"/>
  <c r="I214" i="22"/>
  <c r="I215" i="22"/>
  <c r="I216" i="22"/>
  <c r="I217" i="22"/>
  <c r="I218" i="22"/>
  <c r="I219" i="22"/>
  <c r="I9" i="22"/>
  <c r="I10" i="22"/>
  <c r="I11" i="22"/>
  <c r="I12" i="22"/>
  <c r="I13" i="22"/>
  <c r="I14" i="22"/>
  <c r="I15" i="22"/>
  <c r="I16" i="22"/>
  <c r="I18" i="22"/>
  <c r="I13" i="14"/>
  <c r="I14" i="14"/>
  <c r="I15" i="14"/>
  <c r="I16" i="14"/>
  <c r="I17" i="14"/>
  <c r="I18" i="14"/>
  <c r="I19" i="14"/>
  <c r="I21" i="14"/>
  <c r="I22" i="14"/>
  <c r="I23" i="14"/>
  <c r="I24" i="14"/>
  <c r="I25" i="14"/>
  <c r="I26" i="14"/>
  <c r="I27" i="14"/>
  <c r="I28" i="14"/>
  <c r="I31" i="14"/>
  <c r="I33" i="14"/>
  <c r="I34" i="14"/>
  <c r="I35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2" i="14"/>
  <c r="I53" i="14"/>
  <c r="I54" i="14"/>
  <c r="I55" i="14"/>
  <c r="I56" i="14"/>
  <c r="I57" i="14"/>
  <c r="I58" i="14"/>
  <c r="I60" i="14"/>
  <c r="I61" i="14"/>
  <c r="I62" i="14"/>
  <c r="I63" i="14"/>
  <c r="I64" i="14"/>
  <c r="I65" i="14"/>
  <c r="I67" i="14"/>
  <c r="I68" i="14"/>
  <c r="I69" i="14"/>
  <c r="I70" i="14"/>
  <c r="I71" i="14"/>
  <c r="I72" i="14"/>
  <c r="I73" i="14"/>
  <c r="I74" i="14"/>
  <c r="I76" i="14"/>
  <c r="I77" i="14"/>
  <c r="I78" i="14"/>
  <c r="I79" i="14"/>
  <c r="I80" i="14"/>
  <c r="I81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5" i="14"/>
  <c r="I106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30" i="14"/>
  <c r="I131" i="14"/>
  <c r="I132" i="14"/>
  <c r="I133" i="14"/>
  <c r="I134" i="14"/>
  <c r="I135" i="14"/>
  <c r="I136" i="14"/>
  <c r="I137" i="14"/>
  <c r="I139" i="14"/>
  <c r="I140" i="14"/>
  <c r="I141" i="14"/>
  <c r="I142" i="14"/>
  <c r="I143" i="14"/>
  <c r="I145" i="14"/>
  <c r="I146" i="14"/>
  <c r="I147" i="14"/>
  <c r="I148" i="14"/>
  <c r="I149" i="14"/>
  <c r="I151" i="14"/>
  <c r="I152" i="14"/>
  <c r="I153" i="14"/>
  <c r="I154" i="14"/>
  <c r="I155" i="14"/>
  <c r="I156" i="14"/>
  <c r="I157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9" i="14"/>
  <c r="I181" i="14"/>
  <c r="I182" i="14"/>
  <c r="I183" i="14"/>
  <c r="I184" i="14"/>
  <c r="I185" i="14"/>
  <c r="I9" i="14"/>
  <c r="I10" i="14"/>
  <c r="I40" i="19"/>
  <c r="I41" i="19"/>
  <c r="I39" i="19"/>
  <c r="I43" i="19"/>
  <c r="I42" i="19"/>
  <c r="I51" i="19"/>
  <c r="I52" i="19"/>
  <c r="I53" i="19"/>
  <c r="I54" i="19"/>
  <c r="I60" i="19"/>
  <c r="I61" i="19"/>
  <c r="I59" i="19"/>
  <c r="I62" i="19"/>
  <c r="I56" i="19"/>
  <c r="I57" i="19"/>
  <c r="I58" i="19"/>
  <c r="I66" i="19"/>
  <c r="I64" i="19"/>
  <c r="I63" i="19"/>
  <c r="I67" i="19"/>
  <c r="I68" i="19"/>
  <c r="I69" i="19"/>
  <c r="I70" i="19"/>
  <c r="I65" i="19"/>
  <c r="I72" i="19"/>
  <c r="I75" i="19"/>
  <c r="I76" i="19"/>
  <c r="I77" i="19"/>
  <c r="I80" i="19"/>
  <c r="I81" i="19"/>
  <c r="I78" i="19"/>
  <c r="I73" i="19"/>
  <c r="I74" i="19"/>
  <c r="I83" i="19"/>
  <c r="I84" i="19"/>
  <c r="I82" i="19"/>
  <c r="I92" i="19"/>
  <c r="I93" i="19"/>
  <c r="I94" i="19"/>
  <c r="I95" i="19"/>
  <c r="I96" i="19"/>
  <c r="I85" i="19"/>
  <c r="I86" i="19"/>
  <c r="I87" i="19"/>
  <c r="I88" i="19"/>
  <c r="I89" i="19"/>
  <c r="I97" i="19"/>
  <c r="I100" i="19"/>
  <c r="I107" i="19"/>
  <c r="I105" i="19"/>
  <c r="I108" i="19"/>
  <c r="I109" i="19"/>
  <c r="I110" i="19"/>
  <c r="I111" i="19"/>
  <c r="I112" i="19"/>
  <c r="I113" i="19"/>
  <c r="I117" i="19"/>
  <c r="I118" i="19"/>
  <c r="I115" i="19"/>
  <c r="I124" i="19"/>
  <c r="I119" i="19"/>
  <c r="I120" i="19"/>
  <c r="I121" i="19"/>
  <c r="I125" i="19"/>
  <c r="I123" i="19"/>
  <c r="I122" i="19"/>
  <c r="I128" i="19"/>
  <c r="I126" i="19"/>
  <c r="I131" i="19"/>
  <c r="I127" i="19"/>
  <c r="I132" i="19"/>
  <c r="I133" i="19"/>
  <c r="I129" i="19"/>
  <c r="I142" i="19"/>
  <c r="I141" i="19"/>
  <c r="I135" i="19"/>
  <c r="I136" i="19"/>
  <c r="I137" i="19"/>
  <c r="I139" i="19"/>
  <c r="I134" i="19"/>
  <c r="I138" i="19"/>
  <c r="I148" i="19"/>
  <c r="I149" i="19"/>
  <c r="I150" i="19"/>
  <c r="I144" i="19"/>
  <c r="I145" i="19"/>
  <c r="I153" i="19"/>
  <c r="I152" i="19"/>
  <c r="I151" i="19"/>
  <c r="I158" i="19"/>
  <c r="I156" i="19"/>
  <c r="I160" i="19"/>
  <c r="I161" i="19"/>
  <c r="I163" i="19"/>
  <c r="I165" i="19"/>
  <c r="I167" i="19"/>
  <c r="I164" i="19"/>
  <c r="I169" i="19"/>
  <c r="I171" i="19"/>
  <c r="I170" i="19"/>
  <c r="I168" i="19"/>
  <c r="I166" i="19"/>
  <c r="I179" i="19"/>
  <c r="I180" i="19"/>
  <c r="I174" i="19"/>
  <c r="I178" i="19"/>
  <c r="I181" i="19"/>
  <c r="I177" i="19"/>
  <c r="I185" i="19"/>
  <c r="I182" i="19"/>
  <c r="I187" i="19"/>
  <c r="I184" i="19"/>
  <c r="I183" i="19"/>
  <c r="I191" i="19"/>
  <c r="I189" i="19"/>
  <c r="I188" i="19"/>
  <c r="I193" i="19"/>
  <c r="I196" i="19"/>
  <c r="I192" i="19"/>
  <c r="I194" i="19"/>
  <c r="I204" i="19"/>
  <c r="I205" i="19"/>
  <c r="I201" i="19"/>
  <c r="I206" i="19"/>
  <c r="I16" i="19"/>
  <c r="I15" i="19"/>
  <c r="I12" i="19"/>
  <c r="I17" i="19"/>
  <c r="I13" i="19"/>
  <c r="I18" i="19"/>
  <c r="I10" i="19"/>
  <c r="I9" i="19"/>
  <c r="I23" i="19"/>
  <c r="I22" i="19"/>
  <c r="I19" i="19"/>
  <c r="I21" i="19"/>
  <c r="I27" i="19"/>
  <c r="I29" i="19"/>
  <c r="I28" i="19"/>
  <c r="I30" i="19"/>
  <c r="I26" i="19"/>
  <c r="I25" i="19"/>
  <c r="I34" i="19"/>
  <c r="I35" i="19"/>
  <c r="I37" i="19"/>
  <c r="I33" i="19"/>
  <c r="I32" i="19"/>
  <c r="I48" i="19"/>
  <c r="I45" i="19"/>
  <c r="I11" i="19"/>
  <c r="I80" i="18"/>
  <c r="I129" i="18"/>
  <c r="I164" i="18"/>
  <c r="I165" i="18"/>
  <c r="I65" i="18"/>
  <c r="I86" i="18"/>
  <c r="I179" i="18"/>
  <c r="I180" i="18"/>
  <c r="I195" i="18"/>
  <c r="I144" i="18"/>
  <c r="I181" i="18"/>
  <c r="I135" i="18"/>
  <c r="I177" i="18"/>
  <c r="I9" i="18"/>
  <c r="I10" i="18"/>
  <c r="I11" i="18"/>
  <c r="I66" i="18"/>
  <c r="I145" i="18"/>
  <c r="I146" i="18"/>
  <c r="I124" i="18"/>
  <c r="I125" i="18"/>
  <c r="I126" i="18"/>
  <c r="I127" i="18"/>
  <c r="I182" i="18"/>
  <c r="I136" i="18"/>
  <c r="I166" i="18"/>
  <c r="I12" i="18"/>
  <c r="I13" i="18"/>
  <c r="I14" i="18"/>
  <c r="I128" i="18"/>
  <c r="I203" i="18"/>
  <c r="I147" i="18"/>
  <c r="I15" i="18"/>
  <c r="I148" i="18"/>
  <c r="I149" i="18"/>
  <c r="I197" i="18"/>
  <c r="I198" i="18"/>
  <c r="I183" i="18"/>
  <c r="I16" i="18"/>
  <c r="I17" i="18"/>
  <c r="I18" i="18"/>
  <c r="I19" i="18"/>
  <c r="I167" i="18"/>
  <c r="I20" i="18"/>
  <c r="I21" i="18"/>
  <c r="I184" i="18"/>
  <c r="I22" i="18"/>
  <c r="I23" i="18"/>
  <c r="I163" i="18"/>
  <c r="I24" i="18"/>
  <c r="I102" i="18"/>
  <c r="I25" i="18"/>
  <c r="I67" i="18"/>
  <c r="I26" i="18"/>
  <c r="I27" i="18"/>
  <c r="I103" i="18"/>
  <c r="I91" i="18"/>
  <c r="I28" i="18"/>
  <c r="I150" i="18"/>
  <c r="I29" i="18"/>
  <c r="I30" i="18"/>
  <c r="I137" i="18"/>
  <c r="I151" i="18"/>
  <c r="I152" i="18"/>
  <c r="I138" i="18"/>
  <c r="I68" i="18"/>
  <c r="I32" i="18"/>
  <c r="I104" i="18"/>
  <c r="I33" i="18"/>
  <c r="I34" i="18"/>
  <c r="I35" i="18"/>
  <c r="I185" i="18"/>
  <c r="I36" i="18"/>
  <c r="I37" i="18"/>
  <c r="I69" i="18"/>
  <c r="I81" i="18"/>
  <c r="I38" i="18"/>
  <c r="I39" i="18"/>
  <c r="I153" i="18"/>
  <c r="I154" i="18"/>
  <c r="I186" i="18"/>
  <c r="I168" i="18"/>
  <c r="I92" i="18"/>
  <c r="I159" i="18"/>
  <c r="I187" i="18"/>
  <c r="I105" i="18"/>
  <c r="I169" i="18"/>
  <c r="I107" i="18"/>
  <c r="I170" i="18"/>
  <c r="I171" i="18"/>
  <c r="I108" i="18"/>
  <c r="I70" i="18"/>
  <c r="I139" i="18"/>
  <c r="I155" i="18"/>
  <c r="I84" i="18"/>
  <c r="I140" i="18"/>
  <c r="I141" i="18"/>
  <c r="I40" i="18"/>
  <c r="I41" i="18"/>
  <c r="I201" i="18"/>
  <c r="I112" i="18"/>
  <c r="I160" i="18"/>
  <c r="I42" i="18"/>
  <c r="I43" i="18"/>
  <c r="I93" i="18"/>
  <c r="I44" i="18"/>
  <c r="I45" i="18"/>
  <c r="I46" i="18"/>
  <c r="I83" i="18"/>
  <c r="I94" i="18"/>
  <c r="I95" i="18"/>
  <c r="I113" i="18"/>
  <c r="I114" i="18"/>
  <c r="I188" i="18"/>
  <c r="I189" i="18"/>
  <c r="I202" i="18"/>
  <c r="I47" i="18"/>
  <c r="I115" i="18"/>
  <c r="I143" i="18"/>
  <c r="I161" i="18"/>
  <c r="I48" i="18"/>
  <c r="I156" i="18"/>
  <c r="I49" i="18"/>
  <c r="I172" i="18"/>
  <c r="I117" i="18"/>
  <c r="I190" i="18"/>
  <c r="I118" i="18"/>
  <c r="I50" i="18"/>
  <c r="I119" i="18"/>
  <c r="I173" i="18"/>
  <c r="I51" i="18"/>
  <c r="I52" i="18"/>
  <c r="I162" i="18"/>
  <c r="I10" i="25"/>
  <c r="I11" i="25"/>
  <c r="I12" i="25"/>
  <c r="I13" i="25"/>
  <c r="I14" i="25"/>
  <c r="I15" i="25"/>
  <c r="I16" i="25"/>
  <c r="I17" i="25"/>
  <c r="I18" i="25"/>
  <c r="I19" i="25"/>
  <c r="I20" i="25"/>
  <c r="I22" i="25"/>
  <c r="I24" i="25"/>
  <c r="I25" i="25"/>
  <c r="I26" i="25"/>
  <c r="I29" i="25"/>
  <c r="I30" i="25"/>
  <c r="I32" i="25"/>
  <c r="I33" i="25"/>
  <c r="I34" i="25"/>
  <c r="I35" i="25"/>
  <c r="I36" i="25"/>
  <c r="I37" i="25"/>
  <c r="I38" i="25"/>
  <c r="I39" i="25"/>
  <c r="I42" i="25"/>
  <c r="I43" i="25"/>
  <c r="I44" i="25"/>
  <c r="I45" i="25"/>
  <c r="I46" i="25"/>
  <c r="I48" i="25"/>
  <c r="I49" i="25"/>
  <c r="I50" i="25"/>
  <c r="I51" i="25"/>
  <c r="I52" i="25"/>
  <c r="I53" i="25"/>
  <c r="I54" i="25"/>
  <c r="I56" i="25"/>
  <c r="I57" i="25"/>
  <c r="I58" i="25"/>
  <c r="I59" i="25"/>
  <c r="I60" i="25"/>
  <c r="I62" i="25"/>
  <c r="I63" i="25"/>
  <c r="I65" i="25"/>
  <c r="I66" i="25"/>
  <c r="I67" i="25"/>
  <c r="I68" i="25"/>
  <c r="I69" i="25"/>
  <c r="I70" i="25"/>
  <c r="I71" i="25"/>
  <c r="I72" i="25"/>
  <c r="I73" i="25"/>
  <c r="I74" i="25"/>
  <c r="I76" i="25"/>
  <c r="I78" i="25"/>
  <c r="I79" i="25"/>
  <c r="I81" i="25"/>
  <c r="I82" i="25"/>
  <c r="I83" i="25"/>
  <c r="I84" i="25"/>
  <c r="I86" i="25"/>
  <c r="I87" i="25"/>
  <c r="I88" i="25"/>
  <c r="I90" i="25"/>
  <c r="I91" i="25"/>
  <c r="I92" i="25"/>
  <c r="I93" i="25"/>
  <c r="I94" i="25"/>
  <c r="I95" i="25"/>
  <c r="I96" i="25"/>
  <c r="I98" i="25"/>
  <c r="I100" i="25"/>
  <c r="I102" i="25"/>
  <c r="I103" i="25"/>
  <c r="I104" i="25"/>
  <c r="I105" i="25"/>
  <c r="I106" i="25"/>
  <c r="I107" i="25"/>
  <c r="I108" i="25"/>
  <c r="I109" i="25"/>
  <c r="I110" i="25"/>
  <c r="I111" i="25"/>
  <c r="I112" i="25"/>
  <c r="I113" i="25"/>
  <c r="I114" i="25"/>
  <c r="I116" i="25"/>
  <c r="I117" i="25"/>
  <c r="I118" i="25"/>
  <c r="I119" i="25"/>
  <c r="I120" i="25"/>
  <c r="I121" i="25"/>
  <c r="I122" i="25"/>
  <c r="I123" i="25"/>
  <c r="I124" i="25"/>
  <c r="I125" i="25"/>
  <c r="I126" i="25"/>
  <c r="I127" i="25"/>
  <c r="I128" i="25"/>
  <c r="I129" i="25"/>
  <c r="I130" i="25"/>
  <c r="I131" i="25"/>
  <c r="I132" i="25"/>
  <c r="I133" i="25"/>
  <c r="I134" i="25"/>
  <c r="I135" i="25"/>
  <c r="I136" i="25"/>
  <c r="I137" i="25"/>
  <c r="I138" i="25"/>
  <c r="I139" i="25"/>
  <c r="I140" i="25"/>
  <c r="I141" i="25"/>
  <c r="I142" i="25"/>
  <c r="I143" i="25"/>
  <c r="I144" i="25"/>
  <c r="I145" i="25"/>
  <c r="I146" i="25"/>
  <c r="I147" i="25"/>
  <c r="I148" i="25"/>
  <c r="I149" i="25"/>
  <c r="I150" i="25"/>
  <c r="I151" i="25"/>
  <c r="I152" i="25"/>
  <c r="I153" i="25"/>
  <c r="I154" i="25"/>
  <c r="I155" i="25"/>
  <c r="I156" i="25"/>
  <c r="I157" i="25"/>
  <c r="I158" i="25"/>
  <c r="I159" i="25"/>
  <c r="I160" i="25"/>
  <c r="I161" i="25"/>
  <c r="I162" i="25"/>
  <c r="I163" i="25"/>
  <c r="I164" i="25"/>
  <c r="I165" i="25"/>
  <c r="I144" i="13"/>
  <c r="H144" i="13"/>
  <c r="G148" i="13"/>
  <c r="G147" i="13"/>
  <c r="H150" i="13"/>
  <c r="I47" i="13" l="1"/>
  <c r="I46" i="13"/>
  <c r="I17" i="13"/>
  <c r="I95" i="13" l="1"/>
  <c r="I28" i="13"/>
  <c r="I29" i="13"/>
  <c r="I44" i="13"/>
  <c r="I87" i="13"/>
  <c r="I140" i="13"/>
  <c r="I27" i="13"/>
  <c r="I92" i="13"/>
  <c r="I128" i="13"/>
  <c r="I91" i="13"/>
  <c r="I43" i="13"/>
  <c r="I82" i="13"/>
  <c r="I90" i="13"/>
  <c r="I113" i="13"/>
  <c r="I24" i="13"/>
  <c r="I34" i="13"/>
  <c r="I35" i="13"/>
  <c r="I137" i="13"/>
  <c r="I36" i="13"/>
  <c r="I79" i="13"/>
  <c r="I37" i="13"/>
  <c r="I98" i="13"/>
  <c r="I52" i="13"/>
  <c r="I126" i="13"/>
  <c r="I32" i="13"/>
  <c r="I99" i="13"/>
  <c r="I75" i="13"/>
  <c r="I88" i="13"/>
  <c r="I89" i="13"/>
  <c r="I100" i="13"/>
  <c r="I33" i="13"/>
  <c r="I139" i="13"/>
  <c r="I111" i="13"/>
  <c r="I112" i="13"/>
  <c r="I72" i="13"/>
  <c r="I123" i="13"/>
  <c r="I22" i="13"/>
  <c r="I12" i="13"/>
  <c r="I67" i="13"/>
  <c r="I23" i="13"/>
  <c r="I68" i="13"/>
  <c r="I13" i="13"/>
  <c r="I31" i="13"/>
  <c r="I14" i="13"/>
  <c r="I124" i="13"/>
  <c r="I15" i="13"/>
  <c r="I109" i="13"/>
  <c r="I105" i="13"/>
  <c r="I106" i="13"/>
  <c r="I18" i="13"/>
  <c r="I138" i="13"/>
  <c r="I30" i="13"/>
  <c r="I59" i="13"/>
  <c r="G176" i="16"/>
  <c r="H176" i="16" s="1"/>
  <c r="J14" i="16"/>
  <c r="K120" i="16"/>
  <c r="K102" i="16"/>
  <c r="K84" i="16"/>
  <c r="K53" i="16"/>
  <c r="K22" i="16"/>
  <c r="H173" i="16"/>
  <c r="H174" i="16"/>
  <c r="H175" i="16"/>
  <c r="H177" i="16"/>
  <c r="G163" i="16"/>
  <c r="I9" i="16"/>
  <c r="I10" i="16"/>
  <c r="I12" i="16"/>
  <c r="I13" i="16"/>
  <c r="I15" i="16"/>
  <c r="I16" i="16"/>
  <c r="I17" i="16"/>
  <c r="I18" i="16"/>
  <c r="I19" i="16"/>
  <c r="I20" i="16"/>
  <c r="I21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40" i="16"/>
  <c r="I41" i="16"/>
  <c r="I42" i="16"/>
  <c r="I43" i="16"/>
  <c r="I44" i="16"/>
  <c r="I45" i="16"/>
  <c r="I46" i="16"/>
  <c r="I47" i="16"/>
  <c r="I48" i="16"/>
  <c r="I49" i="16"/>
  <c r="I54" i="16"/>
  <c r="I55" i="16"/>
  <c r="I56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8" i="16"/>
  <c r="I79" i="16"/>
  <c r="I80" i="16"/>
  <c r="I81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8" i="16"/>
  <c r="I99" i="16"/>
  <c r="I100" i="16"/>
  <c r="I101" i="16"/>
  <c r="I103" i="16"/>
  <c r="I104" i="16"/>
  <c r="I105" i="16"/>
  <c r="I106" i="16"/>
  <c r="I107" i="16"/>
  <c r="I108" i="16"/>
  <c r="I109" i="16"/>
  <c r="I110" i="16"/>
  <c r="I111" i="16"/>
  <c r="I112" i="16"/>
  <c r="I113" i="16"/>
  <c r="I115" i="16"/>
  <c r="I116" i="16"/>
  <c r="I118" i="16"/>
  <c r="I119" i="16"/>
  <c r="I121" i="16"/>
  <c r="I122" i="16"/>
  <c r="I123" i="16"/>
  <c r="I124" i="16"/>
  <c r="I126" i="16"/>
  <c r="I127" i="16"/>
  <c r="I128" i="16"/>
  <c r="I129" i="16"/>
  <c r="I130" i="16"/>
  <c r="I131" i="16"/>
  <c r="I132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J60" i="12"/>
  <c r="P60" i="12" s="1"/>
  <c r="J65" i="12"/>
  <c r="P65" i="12" s="1"/>
  <c r="J64" i="12"/>
  <c r="P64" i="12" s="1"/>
  <c r="J59" i="12"/>
  <c r="P59" i="12" s="1"/>
  <c r="I114" i="12"/>
  <c r="P114" i="12" s="1"/>
  <c r="I73" i="12"/>
  <c r="P73" i="12" s="1"/>
  <c r="I130" i="12"/>
  <c r="P130" i="12" s="1"/>
  <c r="I129" i="12"/>
  <c r="P129" i="12" s="1"/>
  <c r="J22" i="12"/>
  <c r="J58" i="12"/>
  <c r="K11" i="12"/>
  <c r="K113" i="12"/>
  <c r="K175" i="12"/>
  <c r="K75" i="12"/>
  <c r="J169" i="12"/>
  <c r="I28" i="12"/>
  <c r="I177" i="12"/>
  <c r="I82" i="12"/>
  <c r="I15" i="12"/>
  <c r="I71" i="12"/>
  <c r="I32" i="12"/>
  <c r="I86" i="12"/>
  <c r="I149" i="12"/>
  <c r="I97" i="12"/>
  <c r="I24" i="12"/>
  <c r="I172" i="12"/>
  <c r="I141" i="12"/>
  <c r="I142" i="12"/>
  <c r="I139" i="12"/>
  <c r="I57" i="12"/>
  <c r="I25" i="12"/>
  <c r="I61" i="12"/>
  <c r="I118" i="12"/>
  <c r="I43" i="12"/>
  <c r="I162" i="12"/>
  <c r="I163" i="12"/>
  <c r="I88" i="12"/>
  <c r="I119" i="12"/>
  <c r="I124" i="12"/>
  <c r="I98" i="12"/>
  <c r="I37" i="12"/>
  <c r="I150" i="12"/>
  <c r="I109" i="12"/>
  <c r="I17" i="12"/>
  <c r="I10" i="12"/>
  <c r="I151" i="12"/>
  <c r="I56" i="12"/>
  <c r="I164" i="12"/>
  <c r="I125" i="12"/>
  <c r="I146" i="12"/>
  <c r="I152" i="12"/>
  <c r="I78" i="12"/>
  <c r="I89" i="12"/>
  <c r="I153" i="12"/>
  <c r="I55" i="12"/>
  <c r="I54" i="12"/>
  <c r="I84" i="12"/>
  <c r="I154" i="12"/>
  <c r="I136" i="12"/>
  <c r="I30" i="12"/>
  <c r="I90" i="12"/>
  <c r="I173" i="12"/>
  <c r="I18" i="12"/>
  <c r="I91" i="12"/>
  <c r="I155" i="12"/>
  <c r="I38" i="12"/>
  <c r="I147" i="12"/>
  <c r="I148" i="12"/>
  <c r="I131" i="12"/>
  <c r="I104" i="12"/>
  <c r="I13" i="12"/>
  <c r="I35" i="12"/>
  <c r="I70" i="12"/>
  <c r="I66" i="12"/>
  <c r="I16" i="12"/>
  <c r="I83" i="12"/>
  <c r="I99" i="12"/>
  <c r="I12" i="12"/>
  <c r="I132" i="12"/>
  <c r="I166" i="12"/>
  <c r="I167" i="12"/>
  <c r="I92" i="12"/>
  <c r="I144" i="12"/>
  <c r="I145" i="12"/>
  <c r="I106" i="12"/>
  <c r="I107" i="12"/>
  <c r="I108" i="12"/>
  <c r="I74" i="12"/>
  <c r="I135" i="12"/>
  <c r="I138" i="12"/>
  <c r="I26" i="12"/>
  <c r="I100" i="12"/>
  <c r="I120" i="12"/>
  <c r="I67" i="12"/>
  <c r="I156" i="12"/>
  <c r="I137" i="12"/>
  <c r="I27" i="12"/>
  <c r="I80" i="12"/>
  <c r="I33" i="12"/>
  <c r="I39" i="12"/>
  <c r="I134" i="12"/>
  <c r="I87" i="12"/>
  <c r="I9" i="12"/>
  <c r="I19" i="12"/>
  <c r="I123" i="12"/>
  <c r="I68" i="12"/>
  <c r="I157" i="12"/>
  <c r="I168" i="12"/>
  <c r="I34" i="12"/>
  <c r="I101" i="12"/>
  <c r="I79" i="12"/>
  <c r="I117" i="12"/>
  <c r="I93" i="12"/>
  <c r="I158" i="12"/>
  <c r="I8" i="12"/>
  <c r="I103" i="12"/>
  <c r="I176" i="12"/>
  <c r="I159" i="12"/>
  <c r="I85" i="12"/>
  <c r="I174" i="12"/>
  <c r="I116" i="12"/>
  <c r="I121" i="12"/>
  <c r="I122" i="12"/>
  <c r="I95" i="12"/>
  <c r="I41" i="12"/>
  <c r="I23" i="12"/>
  <c r="I115" i="12"/>
  <c r="I105" i="12"/>
  <c r="I40" i="12"/>
  <c r="I110" i="12"/>
  <c r="I112" i="12"/>
  <c r="I160" i="12"/>
  <c r="I111" i="12"/>
  <c r="I81" i="12"/>
  <c r="I14" i="12"/>
  <c r="I20" i="12"/>
  <c r="I36" i="12"/>
  <c r="I140" i="12"/>
  <c r="I94" i="12"/>
  <c r="I126" i="12"/>
  <c r="I69" i="12"/>
  <c r="I161" i="12"/>
  <c r="I96" i="12"/>
  <c r="I143" i="12"/>
  <c r="I102" i="12"/>
  <c r="I133" i="12"/>
  <c r="I63" i="12"/>
  <c r="I127" i="12"/>
  <c r="I21" i="12"/>
  <c r="I171" i="12"/>
  <c r="I128" i="12"/>
  <c r="I72" i="12"/>
  <c r="I268" i="11"/>
  <c r="I146" i="11"/>
  <c r="P146" i="11" s="1"/>
  <c r="I91" i="11"/>
  <c r="P91" i="11" s="1"/>
  <c r="I142" i="11"/>
  <c r="P142" i="11" s="1"/>
  <c r="I144" i="11"/>
  <c r="P144" i="11" s="1"/>
  <c r="J20" i="11"/>
  <c r="J87" i="11"/>
  <c r="J90" i="11"/>
  <c r="J89" i="11"/>
  <c r="I95" i="11"/>
  <c r="K56" i="11" l="1"/>
  <c r="K72" i="11"/>
  <c r="K115" i="11"/>
  <c r="K67" i="11"/>
  <c r="K81" i="11"/>
  <c r="K150" i="11"/>
  <c r="K30" i="11"/>
  <c r="J180" i="11"/>
  <c r="K99" i="11"/>
  <c r="J179" i="11"/>
  <c r="J18" i="10"/>
  <c r="P18" i="10" s="1"/>
  <c r="J17" i="10"/>
  <c r="P17" i="10" s="1"/>
  <c r="G147" i="10"/>
  <c r="I147" i="10"/>
  <c r="P147" i="10" s="1"/>
  <c r="Q147" i="10"/>
  <c r="R147" i="10"/>
  <c r="J134" i="10"/>
  <c r="P134" i="10" s="1"/>
  <c r="I133" i="10"/>
  <c r="P133" i="10" s="1"/>
  <c r="J99" i="10"/>
  <c r="P99" i="10" s="1"/>
  <c r="J98" i="10"/>
  <c r="P98" i="10" s="1"/>
  <c r="J63" i="10"/>
  <c r="P63" i="10" s="1"/>
  <c r="J44" i="10"/>
  <c r="P44" i="10" s="1"/>
  <c r="J23" i="10"/>
  <c r="P23" i="10" s="1"/>
  <c r="I114" i="10"/>
  <c r="P114" i="10" s="1"/>
  <c r="I45" i="10"/>
  <c r="P45" i="10" s="1"/>
  <c r="I16" i="10"/>
  <c r="P16" i="10" s="1"/>
  <c r="I62" i="10"/>
  <c r="P62" i="10" s="1"/>
  <c r="G149" i="10"/>
  <c r="I132" i="10" l="1"/>
  <c r="P132" i="10" s="1"/>
  <c r="K81" i="10"/>
  <c r="I77" i="10"/>
  <c r="K75" i="10"/>
  <c r="J40" i="10"/>
  <c r="K28" i="10"/>
  <c r="J15" i="10"/>
  <c r="I48" i="10"/>
  <c r="I136" i="2"/>
  <c r="H136" i="2"/>
  <c r="P48" i="10" l="1"/>
  <c r="K73" i="2"/>
  <c r="P73" i="2" s="1"/>
  <c r="J127" i="2"/>
  <c r="J126" i="2"/>
  <c r="H193" i="11"/>
  <c r="H194" i="11"/>
  <c r="H196" i="11"/>
  <c r="H197" i="11"/>
  <c r="I145" i="11"/>
  <c r="I39" i="11"/>
  <c r="I41" i="11"/>
  <c r="I19" i="11"/>
  <c r="I162" i="11"/>
  <c r="I102" i="11"/>
  <c r="I122" i="11"/>
  <c r="I71" i="11"/>
  <c r="I96" i="11"/>
  <c r="I73" i="11"/>
  <c r="I76" i="11"/>
  <c r="I161" i="11"/>
  <c r="I108" i="11"/>
  <c r="I59" i="11"/>
  <c r="I77" i="11"/>
  <c r="I166" i="11"/>
  <c r="I23" i="11"/>
  <c r="I37" i="11"/>
  <c r="I160" i="11"/>
  <c r="I131" i="11"/>
  <c r="I141" i="11"/>
  <c r="I64" i="11"/>
  <c r="I137" i="11"/>
  <c r="I109" i="11"/>
  <c r="I34" i="11"/>
  <c r="I15" i="11"/>
  <c r="I11" i="11"/>
  <c r="I117" i="11"/>
  <c r="I69" i="11"/>
  <c r="I63" i="11"/>
  <c r="I98" i="11"/>
  <c r="I97" i="11"/>
  <c r="I113" i="11"/>
  <c r="I173" i="11"/>
  <c r="I26" i="11"/>
  <c r="I121" i="11"/>
  <c r="I65" i="11"/>
  <c r="I178" i="11"/>
  <c r="I177" i="11"/>
  <c r="I68" i="11"/>
  <c r="I171" i="11"/>
  <c r="I119" i="11"/>
  <c r="I156" i="11"/>
  <c r="I183" i="11"/>
  <c r="I85" i="11"/>
  <c r="I52" i="11"/>
  <c r="I53" i="11"/>
  <c r="I155" i="11"/>
  <c r="I88" i="11"/>
  <c r="I60" i="11"/>
  <c r="I86" i="11"/>
  <c r="I66" i="11"/>
  <c r="I79" i="11"/>
  <c r="I38" i="11"/>
  <c r="I140" i="11"/>
  <c r="I106" i="11"/>
  <c r="I17" i="11"/>
  <c r="I134" i="11"/>
  <c r="I57" i="11"/>
  <c r="I101" i="11"/>
  <c r="I159" i="11"/>
  <c r="I153" i="11"/>
  <c r="I58" i="11"/>
  <c r="I118" i="11"/>
  <c r="I167" i="11"/>
  <c r="I125" i="11"/>
  <c r="I100" i="11"/>
  <c r="I127" i="11"/>
  <c r="I124" i="11"/>
  <c r="I40" i="11"/>
  <c r="I10" i="11"/>
  <c r="I92" i="11"/>
  <c r="I164" i="11"/>
  <c r="I36" i="11"/>
  <c r="I182" i="11"/>
  <c r="I147" i="11"/>
  <c r="I70" i="11"/>
  <c r="I16" i="11"/>
  <c r="I139" i="11"/>
  <c r="I27" i="11"/>
  <c r="I29" i="11"/>
  <c r="I116" i="11"/>
  <c r="I61" i="11"/>
  <c r="I128" i="11"/>
  <c r="I78" i="11"/>
  <c r="I9" i="11"/>
  <c r="I32" i="11"/>
  <c r="I120" i="11"/>
  <c r="I163" i="11"/>
  <c r="I93" i="11"/>
  <c r="I94" i="11"/>
  <c r="I170" i="11"/>
  <c r="I181" i="11"/>
  <c r="I62" i="11"/>
  <c r="I130" i="11"/>
  <c r="I185" i="11"/>
  <c r="I35" i="11"/>
  <c r="I22" i="11"/>
  <c r="I169" i="11"/>
  <c r="I152" i="11"/>
  <c r="I174" i="11"/>
  <c r="I175" i="11"/>
  <c r="I54" i="11"/>
  <c r="I172" i="11"/>
  <c r="I18" i="11"/>
  <c r="I136" i="11"/>
  <c r="I24" i="11"/>
  <c r="I138" i="11"/>
  <c r="I12" i="10"/>
  <c r="I33" i="10"/>
  <c r="I38" i="10"/>
  <c r="I61" i="10"/>
  <c r="I127" i="10"/>
  <c r="I140" i="10"/>
  <c r="I103" i="10"/>
  <c r="I106" i="10"/>
  <c r="I107" i="10"/>
  <c r="I108" i="10"/>
  <c r="I116" i="10"/>
  <c r="I110" i="10"/>
  <c r="I111" i="10"/>
  <c r="I112" i="10"/>
  <c r="I11" i="10"/>
  <c r="I115" i="10"/>
  <c r="I128" i="10"/>
  <c r="I117" i="10"/>
  <c r="I118" i="10"/>
  <c r="I93" i="10"/>
  <c r="I120" i="10"/>
  <c r="I87" i="10"/>
  <c r="I121" i="10"/>
  <c r="I124" i="10"/>
  <c r="I125" i="10"/>
  <c r="I126" i="10"/>
  <c r="I122" i="10"/>
  <c r="I129" i="10"/>
  <c r="I130" i="10"/>
  <c r="I131" i="10"/>
  <c r="I135" i="10"/>
  <c r="I92" i="10"/>
  <c r="I137" i="10"/>
  <c r="I138" i="10"/>
  <c r="I91" i="10"/>
  <c r="I141" i="10"/>
  <c r="I142" i="10"/>
  <c r="I143" i="10"/>
  <c r="I144" i="10"/>
  <c r="I145" i="10"/>
  <c r="I95" i="10"/>
  <c r="I43" i="10"/>
  <c r="I84" i="10"/>
  <c r="I85" i="10"/>
  <c r="I146" i="10"/>
  <c r="I55" i="10"/>
  <c r="I24" i="10"/>
  <c r="I57" i="10"/>
  <c r="I58" i="10"/>
  <c r="I59" i="10"/>
  <c r="I60" i="10"/>
  <c r="I65" i="10"/>
  <c r="I67" i="10"/>
  <c r="I68" i="10"/>
  <c r="I69" i="10"/>
  <c r="I70" i="10"/>
  <c r="I71" i="10"/>
  <c r="I119" i="10"/>
  <c r="I73" i="10"/>
  <c r="I78" i="10"/>
  <c r="I79" i="10"/>
  <c r="I80" i="10"/>
  <c r="I82" i="10"/>
  <c r="I29" i="10"/>
  <c r="I50" i="10"/>
  <c r="I52" i="10"/>
  <c r="I86" i="10"/>
  <c r="I113" i="10"/>
  <c r="I72" i="10"/>
  <c r="I56" i="10"/>
  <c r="I74" i="10"/>
  <c r="I89" i="10"/>
  <c r="I83" i="10"/>
  <c r="I96" i="10"/>
  <c r="I97" i="10"/>
  <c r="I94" i="10"/>
  <c r="I13" i="10"/>
  <c r="I14" i="10"/>
  <c r="I19" i="10"/>
  <c r="I20" i="10"/>
  <c r="I21" i="10"/>
  <c r="I22" i="10"/>
  <c r="I10" i="10"/>
  <c r="I25" i="10"/>
  <c r="I26" i="10"/>
  <c r="I27" i="10"/>
  <c r="I136" i="10"/>
  <c r="I30" i="10"/>
  <c r="I31" i="10"/>
  <c r="I32" i="10"/>
  <c r="I36" i="10"/>
  <c r="I37" i="10"/>
  <c r="I41" i="10"/>
  <c r="I49" i="10"/>
  <c r="I109" i="10"/>
  <c r="I51" i="10"/>
  <c r="H145" i="2"/>
  <c r="H146" i="2"/>
  <c r="H147" i="2"/>
  <c r="I13" i="2"/>
  <c r="I41" i="2"/>
  <c r="I23" i="2"/>
  <c r="I80" i="2"/>
  <c r="I70" i="2"/>
  <c r="I72" i="2"/>
  <c r="I131" i="2"/>
  <c r="I109" i="2"/>
  <c r="I89" i="2"/>
  <c r="I71" i="2"/>
  <c r="I132" i="2"/>
  <c r="I24" i="2"/>
  <c r="I42" i="2"/>
  <c r="I43" i="2"/>
  <c r="I84" i="2"/>
  <c r="I85" i="2"/>
  <c r="I86" i="2"/>
  <c r="I44" i="2"/>
  <c r="I118" i="2"/>
  <c r="I119" i="2"/>
  <c r="I22" i="2"/>
  <c r="I91" i="2"/>
  <c r="I100" i="2"/>
  <c r="I45" i="2"/>
  <c r="I128" i="2"/>
  <c r="I27" i="2"/>
  <c r="I110" i="2"/>
  <c r="I15" i="2"/>
  <c r="I21" i="2"/>
  <c r="I19" i="2"/>
  <c r="I30" i="2"/>
  <c r="I90" i="2"/>
  <c r="I31" i="2"/>
  <c r="I46" i="2"/>
  <c r="I107" i="2"/>
  <c r="I111" i="2"/>
  <c r="I112" i="2"/>
  <c r="I47" i="2"/>
  <c r="I81" i="2"/>
  <c r="I34" i="2"/>
  <c r="I48" i="2"/>
  <c r="I129" i="2"/>
  <c r="I49" i="2"/>
  <c r="I101" i="2"/>
  <c r="I108" i="2"/>
  <c r="I96" i="2"/>
  <c r="I28" i="2"/>
  <c r="I50" i="2"/>
  <c r="I51" i="2"/>
  <c r="I16" i="2"/>
  <c r="I25" i="2"/>
  <c r="I82" i="2"/>
  <c r="I11" i="2"/>
  <c r="I79" i="2"/>
  <c r="I14" i="2"/>
  <c r="I121" i="2"/>
  <c r="I122" i="2"/>
  <c r="I36" i="2"/>
  <c r="I75" i="2"/>
  <c r="I88" i="2"/>
  <c r="I52" i="2"/>
  <c r="I83" i="2"/>
  <c r="I29" i="2"/>
  <c r="I113" i="2"/>
  <c r="I99" i="2"/>
  <c r="I9" i="2"/>
  <c r="I114" i="2"/>
  <c r="I17" i="2"/>
  <c r="I10" i="2"/>
  <c r="I69" i="2"/>
  <c r="I97" i="2"/>
  <c r="I123" i="2"/>
  <c r="I124" i="2"/>
  <c r="I38" i="2"/>
  <c r="I125" i="2"/>
  <c r="I53" i="2"/>
  <c r="I115" i="2"/>
  <c r="I54" i="2"/>
  <c r="I55" i="2"/>
  <c r="I56" i="2"/>
  <c r="I57" i="2"/>
  <c r="I58" i="2"/>
  <c r="I59" i="2"/>
  <c r="I60" i="2"/>
  <c r="I116" i="2"/>
  <c r="I20" i="2"/>
  <c r="I63" i="2"/>
  <c r="I64" i="2"/>
  <c r="I65" i="2"/>
  <c r="I66" i="2"/>
  <c r="I93" i="2"/>
  <c r="I117" i="2"/>
  <c r="I92" i="2"/>
  <c r="I95" i="2"/>
  <c r="I68" i="2"/>
  <c r="I102" i="2"/>
  <c r="I76" i="2"/>
  <c r="I18" i="2"/>
  <c r="I12" i="2"/>
  <c r="I26" i="2"/>
  <c r="I130" i="2"/>
  <c r="I98" i="2"/>
  <c r="I39" i="2"/>
  <c r="I61" i="2"/>
  <c r="I62" i="2"/>
  <c r="I67" i="2"/>
  <c r="I77" i="2"/>
  <c r="I87" i="2"/>
  <c r="I103" i="2"/>
  <c r="I104" i="2"/>
  <c r="I40" i="2"/>
  <c r="I105" i="2"/>
  <c r="I106" i="2"/>
  <c r="I94" i="2"/>
  <c r="I12" i="20"/>
  <c r="I9" i="20"/>
  <c r="I13" i="20"/>
  <c r="I23" i="20"/>
  <c r="I19" i="20"/>
  <c r="I21" i="20"/>
  <c r="I20" i="20"/>
  <c r="I40" i="20"/>
  <c r="I38" i="20"/>
  <c r="I37" i="20"/>
  <c r="I33" i="20"/>
  <c r="I34" i="20"/>
  <c r="P34" i="20" s="1"/>
  <c r="I26" i="20"/>
  <c r="I39" i="20"/>
  <c r="I29" i="20"/>
  <c r="I30" i="20"/>
  <c r="I31" i="20"/>
  <c r="I24" i="20"/>
  <c r="I32" i="20"/>
  <c r="I35" i="20"/>
  <c r="I36" i="20"/>
  <c r="I27" i="20"/>
  <c r="I28" i="20"/>
  <c r="I25" i="20"/>
  <c r="I45" i="20"/>
  <c r="I44" i="20"/>
  <c r="I47" i="20"/>
  <c r="I48" i="20"/>
  <c r="I46" i="20"/>
  <c r="I55" i="20"/>
  <c r="I56" i="20"/>
  <c r="I50" i="20"/>
  <c r="I51" i="20"/>
  <c r="I54" i="20"/>
  <c r="I59" i="20"/>
  <c r="I63" i="20"/>
  <c r="I60" i="20"/>
  <c r="I64" i="20"/>
  <c r="I66" i="20"/>
  <c r="I65" i="20"/>
  <c r="I67" i="20"/>
  <c r="I58" i="20"/>
  <c r="I68" i="20"/>
  <c r="I71" i="20"/>
  <c r="I72" i="20"/>
  <c r="I70" i="20"/>
  <c r="I73" i="20"/>
  <c r="I79" i="20"/>
  <c r="I80" i="20"/>
  <c r="I81" i="20"/>
  <c r="I82" i="20"/>
  <c r="I74" i="20"/>
  <c r="I76" i="20"/>
  <c r="I83" i="20"/>
  <c r="I78" i="20"/>
  <c r="I86" i="20"/>
  <c r="I75" i="20"/>
  <c r="I77" i="20"/>
  <c r="I89" i="20"/>
  <c r="I88" i="20"/>
  <c r="I92" i="20"/>
  <c r="I97" i="20"/>
  <c r="I87" i="20"/>
  <c r="I93" i="20"/>
  <c r="I94" i="20"/>
  <c r="I96" i="20"/>
  <c r="I91" i="20"/>
  <c r="I99" i="20"/>
  <c r="I100" i="20"/>
  <c r="I102" i="20"/>
  <c r="I101" i="20"/>
  <c r="I103" i="20"/>
  <c r="I106" i="20"/>
  <c r="I119" i="20"/>
  <c r="I111" i="20"/>
  <c r="I115" i="20"/>
  <c r="I113" i="20"/>
  <c r="I109" i="20"/>
  <c r="I117" i="20"/>
  <c r="I120" i="20"/>
  <c r="I118" i="20"/>
  <c r="I110" i="20"/>
  <c r="I114" i="20"/>
  <c r="I112" i="20"/>
  <c r="I122" i="20"/>
  <c r="I126" i="20"/>
  <c r="I127" i="20"/>
  <c r="I121" i="20"/>
  <c r="I128" i="20"/>
  <c r="I129" i="20"/>
  <c r="I123" i="20"/>
  <c r="I125" i="20"/>
  <c r="I134" i="20"/>
  <c r="I137" i="20"/>
  <c r="I138" i="20"/>
  <c r="I131" i="20"/>
  <c r="I132" i="20"/>
  <c r="I135" i="20"/>
  <c r="I130" i="20"/>
  <c r="I133" i="20"/>
  <c r="I146" i="20"/>
  <c r="I145" i="20"/>
  <c r="I144" i="20"/>
  <c r="I141" i="20"/>
  <c r="I152" i="20"/>
  <c r="I150" i="20"/>
  <c r="I155" i="20"/>
  <c r="I156" i="20"/>
  <c r="I149" i="20"/>
  <c r="I151" i="20"/>
  <c r="I148" i="20"/>
  <c r="I159" i="20"/>
  <c r="I161" i="20"/>
  <c r="I165" i="20"/>
  <c r="I166" i="20"/>
  <c r="I160" i="20"/>
  <c r="I163" i="20"/>
  <c r="I164" i="20"/>
  <c r="I162" i="20"/>
  <c r="I167" i="20"/>
  <c r="I168" i="20"/>
  <c r="I169" i="20"/>
  <c r="I173" i="20"/>
  <c r="I175" i="20"/>
  <c r="I178" i="20"/>
  <c r="I179" i="20"/>
  <c r="I180" i="20"/>
  <c r="I184" i="20"/>
  <c r="I185" i="20"/>
  <c r="I182" i="20"/>
  <c r="I190" i="20"/>
  <c r="I186" i="20"/>
  <c r="I191" i="20"/>
  <c r="I187" i="20"/>
  <c r="I189" i="20"/>
  <c r="I192" i="20"/>
  <c r="I193" i="20"/>
  <c r="I194" i="20"/>
  <c r="I196" i="20"/>
  <c r="I197" i="20"/>
  <c r="I195" i="20"/>
  <c r="I198" i="20"/>
  <c r="I43" i="20"/>
  <c r="P29" i="22" l="1"/>
  <c r="P20" i="22"/>
  <c r="P49" i="22"/>
  <c r="P107" i="22"/>
  <c r="P148" i="22"/>
  <c r="P174" i="22"/>
  <c r="P41" i="22"/>
  <c r="P50" i="22"/>
  <c r="P92" i="22"/>
  <c r="P59" i="22"/>
  <c r="P156" i="22"/>
  <c r="P42" i="22"/>
  <c r="P75" i="22"/>
  <c r="P134" i="22"/>
  <c r="P51" i="22"/>
  <c r="P57" i="22"/>
  <c r="P21" i="22"/>
  <c r="P91" i="22"/>
  <c r="P141" i="22"/>
  <c r="P74" i="22"/>
  <c r="P111" i="22"/>
  <c r="P145" i="22"/>
  <c r="P175" i="22"/>
  <c r="P70" i="22"/>
  <c r="P43" i="22"/>
  <c r="P101" i="22"/>
  <c r="P102" i="22"/>
  <c r="P176" i="22"/>
  <c r="P194" i="22"/>
  <c r="P146" i="22"/>
  <c r="P52" i="22"/>
  <c r="P105" i="22"/>
  <c r="P147" i="22"/>
  <c r="P198" i="22"/>
  <c r="P199" i="22"/>
  <c r="P76" i="22"/>
  <c r="P190" i="22"/>
  <c r="P135" i="22"/>
  <c r="P195" i="22"/>
  <c r="P106" i="22"/>
  <c r="P16" i="22"/>
  <c r="P58" i="22"/>
  <c r="P103" i="22"/>
  <c r="P142" i="22"/>
  <c r="P149" i="22"/>
  <c r="P177" i="22"/>
  <c r="P44" i="22"/>
  <c r="G216" i="22"/>
  <c r="G217" i="22"/>
  <c r="G218" i="22"/>
  <c r="G219" i="22"/>
  <c r="P104" i="22"/>
  <c r="P200" i="22"/>
  <c r="P201" i="22"/>
  <c r="P119" i="22"/>
  <c r="P120" i="22"/>
  <c r="P121" i="22"/>
  <c r="P17" i="22"/>
  <c r="P108" i="22"/>
  <c r="P18" i="22"/>
  <c r="P109" i="22"/>
  <c r="P93" i="22"/>
  <c r="P30" i="22"/>
  <c r="P157" i="22"/>
  <c r="P202" i="22"/>
  <c r="P203" i="22"/>
  <c r="P214" i="22"/>
  <c r="P215" i="22"/>
  <c r="P216" i="22"/>
  <c r="P217" i="22"/>
  <c r="P218" i="22"/>
  <c r="P219" i="22"/>
  <c r="Q216" i="22"/>
  <c r="Q217" i="22"/>
  <c r="Q218" i="22"/>
  <c r="Q219" i="22"/>
  <c r="R216" i="22"/>
  <c r="R217" i="22"/>
  <c r="R218" i="22"/>
  <c r="R219" i="22"/>
  <c r="I19" i="22"/>
  <c r="G206" i="19"/>
  <c r="Q206" i="19"/>
  <c r="R206" i="19"/>
  <c r="G201" i="19"/>
  <c r="P201" i="19"/>
  <c r="R201" i="19"/>
  <c r="G205" i="19"/>
  <c r="P205" i="19"/>
  <c r="R205" i="19"/>
  <c r="G204" i="19"/>
  <c r="P204" i="19"/>
  <c r="Q204" i="19"/>
  <c r="R204" i="19"/>
  <c r="G198" i="19"/>
  <c r="P198" i="19"/>
  <c r="Q198" i="19"/>
  <c r="R198" i="19"/>
  <c r="G194" i="19"/>
  <c r="P194" i="19"/>
  <c r="Q194" i="19"/>
  <c r="R194" i="19"/>
  <c r="G192" i="19"/>
  <c r="P192" i="19"/>
  <c r="Q192" i="19"/>
  <c r="R192" i="19"/>
  <c r="G196" i="19"/>
  <c r="P196" i="19"/>
  <c r="Q196" i="19"/>
  <c r="R196" i="19"/>
  <c r="G195" i="19"/>
  <c r="P195" i="19"/>
  <c r="R195" i="19"/>
  <c r="G197" i="19"/>
  <c r="P197" i="19"/>
  <c r="Q197" i="19"/>
  <c r="R197" i="19"/>
  <c r="G193" i="19"/>
  <c r="P193" i="19"/>
  <c r="R193" i="19"/>
  <c r="G188" i="19"/>
  <c r="P188" i="19"/>
  <c r="Q188" i="19"/>
  <c r="R188" i="19"/>
  <c r="G189" i="19"/>
  <c r="P189" i="19"/>
  <c r="Q189" i="19"/>
  <c r="R189" i="19"/>
  <c r="G191" i="19"/>
  <c r="P191" i="19"/>
  <c r="Q191" i="19"/>
  <c r="R191" i="19"/>
  <c r="P161" i="19"/>
  <c r="P81" i="19"/>
  <c r="P108" i="19"/>
  <c r="P26" i="19"/>
  <c r="P105" i="19"/>
  <c r="P30" i="19"/>
  <c r="P107" i="19"/>
  <c r="P100" i="19"/>
  <c r="P206" i="19" l="1"/>
  <c r="P74" i="19"/>
  <c r="I176" i="18"/>
  <c r="G291" i="18"/>
  <c r="I291" i="18"/>
  <c r="L291" i="18" s="1"/>
  <c r="G292" i="18"/>
  <c r="I292" i="18"/>
  <c r="L292" i="18" s="1"/>
  <c r="G293" i="18"/>
  <c r="I293" i="18"/>
  <c r="L293" i="18" s="1"/>
  <c r="G290" i="18"/>
  <c r="I290" i="18"/>
  <c r="L290" i="18" s="1"/>
  <c r="P37" i="25"/>
  <c r="T37" i="25" s="1"/>
  <c r="P45" i="25"/>
  <c r="T45" i="25" s="1"/>
  <c r="P68" i="25"/>
  <c r="T68" i="25" s="1"/>
  <c r="P73" i="25"/>
  <c r="T73" i="25" s="1"/>
  <c r="P77" i="25"/>
  <c r="T77" i="25" s="1"/>
  <c r="P85" i="25"/>
  <c r="T85" i="25" s="1"/>
  <c r="P93" i="25"/>
  <c r="T93" i="25" s="1"/>
  <c r="P94" i="25"/>
  <c r="T94" i="25" s="1"/>
  <c r="P109" i="25"/>
  <c r="T109" i="25" s="1"/>
  <c r="P135" i="25"/>
  <c r="T135" i="25" s="1"/>
  <c r="P146" i="25"/>
  <c r="T146" i="25" s="1"/>
  <c r="P154" i="25"/>
  <c r="T154" i="25" s="1"/>
  <c r="P89" i="25"/>
  <c r="T89" i="25" s="1"/>
  <c r="P51" i="25" l="1"/>
  <c r="T51" i="25" s="1"/>
  <c r="P47" i="25"/>
  <c r="T47" i="25" s="1"/>
  <c r="P36" i="25"/>
  <c r="T36" i="25" s="1"/>
  <c r="P38" i="25"/>
  <c r="T38" i="25" s="1"/>
  <c r="P31" i="25"/>
  <c r="T31" i="25" s="1"/>
  <c r="P12" i="25"/>
  <c r="T12" i="25" s="1"/>
  <c r="P11" i="25"/>
  <c r="T11" i="25" s="1"/>
  <c r="P10" i="25"/>
  <c r="T10" i="25" s="1"/>
  <c r="P13" i="25"/>
  <c r="T13" i="25" s="1"/>
  <c r="P21" i="25"/>
  <c r="T21" i="25" s="1"/>
  <c r="P20" i="25"/>
  <c r="T20" i="25" s="1"/>
  <c r="P22" i="25"/>
  <c r="T22" i="25" s="1"/>
  <c r="P24" i="25"/>
  <c r="T24" i="25" s="1"/>
  <c r="P25" i="25"/>
  <c r="T25" i="25" s="1"/>
  <c r="P26" i="25"/>
  <c r="T26" i="25" s="1"/>
  <c r="P19" i="25"/>
  <c r="T19" i="25" s="1"/>
  <c r="P18" i="25"/>
  <c r="T18" i="25" s="1"/>
  <c r="P29" i="25"/>
  <c r="T29" i="25" s="1"/>
  <c r="P33" i="25"/>
  <c r="T33" i="25" s="1"/>
  <c r="P30" i="25"/>
  <c r="T30" i="25" s="1"/>
  <c r="P27" i="25"/>
  <c r="T27" i="25" s="1"/>
  <c r="P35" i="25"/>
  <c r="T35" i="25" s="1"/>
  <c r="P34" i="25"/>
  <c r="T34" i="25" s="1"/>
  <c r="P41" i="25"/>
  <c r="T41" i="25" s="1"/>
  <c r="P43" i="25"/>
  <c r="T43" i="25" s="1"/>
  <c r="P44" i="25"/>
  <c r="T44" i="25" s="1"/>
  <c r="P49" i="25"/>
  <c r="T49" i="25" s="1"/>
  <c r="P48" i="25"/>
  <c r="T48" i="25" s="1"/>
  <c r="P61" i="25"/>
  <c r="T61" i="25" s="1"/>
  <c r="P63" i="25"/>
  <c r="T63" i="25" s="1"/>
  <c r="P56" i="25"/>
  <c r="T56" i="25" s="1"/>
  <c r="P57" i="25"/>
  <c r="T57" i="25" s="1"/>
  <c r="P58" i="25"/>
  <c r="T58" i="25" s="1"/>
  <c r="P54" i="25"/>
  <c r="T54" i="25" s="1"/>
  <c r="P55" i="25"/>
  <c r="T55" i="25" s="1"/>
  <c r="P66" i="25"/>
  <c r="T66" i="25" s="1"/>
  <c r="P69" i="25"/>
  <c r="T69" i="25" s="1"/>
  <c r="P65" i="25"/>
  <c r="T65" i="25" s="1"/>
  <c r="P67" i="25"/>
  <c r="T67" i="25" s="1"/>
  <c r="P70" i="25"/>
  <c r="T70" i="25" s="1"/>
  <c r="P74" i="25"/>
  <c r="T74" i="25" s="1"/>
  <c r="P72" i="25"/>
  <c r="T72" i="25" s="1"/>
  <c r="P75" i="25"/>
  <c r="T75" i="25" s="1"/>
  <c r="P79" i="25"/>
  <c r="T79" i="25" s="1"/>
  <c r="P78" i="25"/>
  <c r="T78" i="25" s="1"/>
  <c r="P81" i="25"/>
  <c r="T81" i="25" s="1"/>
  <c r="P87" i="25"/>
  <c r="T87" i="25" s="1"/>
  <c r="P82" i="25"/>
  <c r="T82" i="25" s="1"/>
  <c r="P88" i="25"/>
  <c r="T88" i="25" s="1"/>
  <c r="P84" i="25"/>
  <c r="T84" i="25" s="1"/>
  <c r="P95" i="25"/>
  <c r="T95" i="25" s="1"/>
  <c r="P98" i="25"/>
  <c r="T98" i="25" s="1"/>
  <c r="P96" i="25"/>
  <c r="T96" i="25" s="1"/>
  <c r="P90" i="25"/>
  <c r="T90" i="25" s="1"/>
  <c r="P91" i="25"/>
  <c r="T91" i="25" s="1"/>
  <c r="P99" i="25"/>
  <c r="T99" i="25" s="1"/>
  <c r="P101" i="25"/>
  <c r="T101" i="25" s="1"/>
  <c r="P103" i="25"/>
  <c r="T103" i="25" s="1"/>
  <c r="P107" i="25"/>
  <c r="T107" i="25" s="1"/>
  <c r="P106" i="25"/>
  <c r="T106" i="25" s="1"/>
  <c r="P104" i="25"/>
  <c r="T104" i="25" s="1"/>
  <c r="P110" i="25"/>
  <c r="T110" i="25" s="1"/>
  <c r="P111" i="25"/>
  <c r="T111" i="25" s="1"/>
  <c r="T115" i="25"/>
  <c r="P117" i="25"/>
  <c r="T117" i="25" s="1"/>
  <c r="P116" i="25"/>
  <c r="T116" i="25" s="1"/>
  <c r="P112" i="25"/>
  <c r="T112" i="25" s="1"/>
  <c r="P122" i="25"/>
  <c r="T122" i="25" s="1"/>
  <c r="P121" i="25"/>
  <c r="T121" i="25" s="1"/>
  <c r="P119" i="25"/>
  <c r="T119" i="25" s="1"/>
  <c r="P123" i="25"/>
  <c r="T123" i="25" s="1"/>
  <c r="P124" i="25"/>
  <c r="T124" i="25" s="1"/>
  <c r="P125" i="25"/>
  <c r="T125" i="25" s="1"/>
  <c r="P131" i="25"/>
  <c r="T131" i="25" s="1"/>
  <c r="P130" i="25"/>
  <c r="T130" i="25" s="1"/>
  <c r="P127" i="25"/>
  <c r="T127" i="25" s="1"/>
  <c r="P133" i="25"/>
  <c r="T133" i="25" s="1"/>
  <c r="P128" i="25"/>
  <c r="T128" i="25" s="1"/>
  <c r="P138" i="25"/>
  <c r="T138" i="25" s="1"/>
  <c r="P137" i="25"/>
  <c r="T137" i="25" s="1"/>
  <c r="P136" i="25"/>
  <c r="T136" i="25" s="1"/>
  <c r="P139" i="25"/>
  <c r="T139" i="25" s="1"/>
  <c r="P145" i="25"/>
  <c r="T145" i="25" s="1"/>
  <c r="P155" i="25"/>
  <c r="T155" i="25" s="1"/>
  <c r="P153" i="25"/>
  <c r="T153" i="25" s="1"/>
  <c r="P151" i="25"/>
  <c r="T151" i="25" s="1"/>
  <c r="P149" i="25"/>
  <c r="T149" i="25" s="1"/>
  <c r="P152" i="25"/>
  <c r="T152" i="25" s="1"/>
  <c r="P147" i="25"/>
  <c r="T147" i="25" s="1"/>
  <c r="P159" i="25"/>
  <c r="T159" i="25" s="1"/>
  <c r="P158" i="25"/>
  <c r="T158" i="25" s="1"/>
  <c r="P162" i="25"/>
  <c r="T162" i="25" s="1"/>
  <c r="P163" i="25"/>
  <c r="T163" i="25" s="1"/>
  <c r="P160" i="25"/>
  <c r="T160" i="25" s="1"/>
  <c r="P157" i="25"/>
  <c r="T157" i="25" s="1"/>
  <c r="P161" i="25"/>
  <c r="T161" i="25" s="1"/>
  <c r="P16" i="25"/>
  <c r="T16" i="25" s="1"/>
  <c r="G241" i="25"/>
  <c r="G240" i="25"/>
  <c r="G239" i="25"/>
  <c r="G238" i="25"/>
  <c r="G237" i="25"/>
  <c r="M228" i="25"/>
  <c r="K228" i="25"/>
  <c r="J228" i="25"/>
  <c r="I228" i="25"/>
  <c r="H228" i="25"/>
  <c r="L227" i="25"/>
  <c r="G227" i="25"/>
  <c r="L226" i="25"/>
  <c r="G226" i="25"/>
  <c r="L225" i="25"/>
  <c r="G225" i="25"/>
  <c r="L224" i="25"/>
  <c r="G224" i="25"/>
  <c r="L223" i="25"/>
  <c r="G223" i="25"/>
  <c r="L222" i="25"/>
  <c r="G222" i="25"/>
  <c r="L221" i="25"/>
  <c r="G221" i="25"/>
  <c r="I213" i="25"/>
  <c r="K211" i="25"/>
  <c r="J211" i="25"/>
  <c r="H211" i="25"/>
  <c r="K190" i="25"/>
  <c r="J190" i="25"/>
  <c r="H190" i="25"/>
  <c r="K189" i="25"/>
  <c r="J189" i="25"/>
  <c r="H189" i="25"/>
  <c r="K210" i="25"/>
  <c r="J210" i="25"/>
  <c r="H210" i="25"/>
  <c r="K188" i="25"/>
  <c r="J188" i="25"/>
  <c r="H188" i="25"/>
  <c r="K187" i="25"/>
  <c r="J187" i="25"/>
  <c r="H187" i="25"/>
  <c r="L180" i="25"/>
  <c r="K180" i="25"/>
  <c r="J180" i="25"/>
  <c r="I180" i="25"/>
  <c r="G180" i="25"/>
  <c r="H179" i="25"/>
  <c r="H178" i="25"/>
  <c r="H177" i="25"/>
  <c r="H174" i="25"/>
  <c r="O166" i="25"/>
  <c r="N166" i="25"/>
  <c r="M166" i="25"/>
  <c r="L166" i="25"/>
  <c r="H166" i="25"/>
  <c r="R165" i="25"/>
  <c r="Q165" i="25"/>
  <c r="P165" i="25"/>
  <c r="T165" i="25" s="1"/>
  <c r="G165" i="25"/>
  <c r="P86" i="25"/>
  <c r="T86" i="25" s="1"/>
  <c r="N1" i="25"/>
  <c r="K216" i="25" s="1"/>
  <c r="G1" i="25"/>
  <c r="I283" i="18"/>
  <c r="M215" i="18"/>
  <c r="I485" i="13"/>
  <c r="L485" i="13" s="1"/>
  <c r="I486" i="13"/>
  <c r="L486" i="13" s="1"/>
  <c r="I487" i="13"/>
  <c r="L487" i="13" s="1"/>
  <c r="I488" i="13"/>
  <c r="L488" i="13" s="1"/>
  <c r="I489" i="13"/>
  <c r="L489" i="13" s="1"/>
  <c r="I490" i="13"/>
  <c r="L490" i="13" s="1"/>
  <c r="I491" i="13"/>
  <c r="L491" i="13" s="1"/>
  <c r="I492" i="13"/>
  <c r="L492" i="13" s="1"/>
  <c r="I493" i="13"/>
  <c r="L493" i="13" s="1"/>
  <c r="I494" i="13"/>
  <c r="L494" i="13" s="1"/>
  <c r="I495" i="13"/>
  <c r="L495" i="13" s="1"/>
  <c r="I496" i="13"/>
  <c r="L496" i="13" s="1"/>
  <c r="I497" i="13"/>
  <c r="L497" i="13" s="1"/>
  <c r="I498" i="13"/>
  <c r="L498" i="13" s="1"/>
  <c r="I499" i="13"/>
  <c r="L499" i="13" s="1"/>
  <c r="I500" i="13"/>
  <c r="L500" i="13" s="1"/>
  <c r="I501" i="13"/>
  <c r="L501" i="13" s="1"/>
  <c r="I502" i="13"/>
  <c r="L502" i="13" s="1"/>
  <c r="I503" i="13"/>
  <c r="L503" i="13" s="1"/>
  <c r="I504" i="13"/>
  <c r="L504" i="13" s="1"/>
  <c r="I505" i="13"/>
  <c r="L505" i="13" s="1"/>
  <c r="I506" i="13"/>
  <c r="L506" i="13" s="1"/>
  <c r="I507" i="13"/>
  <c r="L507" i="13" s="1"/>
  <c r="I508" i="13"/>
  <c r="L508" i="13" s="1"/>
  <c r="I509" i="13"/>
  <c r="L509" i="13" s="1"/>
  <c r="I510" i="13"/>
  <c r="L510" i="13" s="1"/>
  <c r="I511" i="13"/>
  <c r="L511" i="13" s="1"/>
  <c r="I512" i="13"/>
  <c r="L512" i="13" s="1"/>
  <c r="I513" i="13"/>
  <c r="L513" i="13" s="1"/>
  <c r="I514" i="13"/>
  <c r="L514" i="13" s="1"/>
  <c r="I515" i="13"/>
  <c r="L515" i="13" s="1"/>
  <c r="I516" i="13"/>
  <c r="L516" i="13" s="1"/>
  <c r="I517" i="13"/>
  <c r="L517" i="13" s="1"/>
  <c r="I518" i="13"/>
  <c r="L518" i="13" s="1"/>
  <c r="I519" i="13"/>
  <c r="L519" i="13" s="1"/>
  <c r="I520" i="13"/>
  <c r="L520" i="13" s="1"/>
  <c r="I521" i="13"/>
  <c r="L521" i="13" s="1"/>
  <c r="I522" i="13"/>
  <c r="L522" i="13" s="1"/>
  <c r="I523" i="13"/>
  <c r="L523" i="13" s="1"/>
  <c r="I524" i="13"/>
  <c r="L524" i="13" s="1"/>
  <c r="I525" i="13"/>
  <c r="L525" i="13" s="1"/>
  <c r="I526" i="13"/>
  <c r="L526" i="13" s="1"/>
  <c r="I527" i="13"/>
  <c r="L527" i="13" s="1"/>
  <c r="I528" i="13"/>
  <c r="L528" i="13" s="1"/>
  <c r="I529" i="13"/>
  <c r="L529" i="13" s="1"/>
  <c r="I530" i="13"/>
  <c r="L530" i="13" s="1"/>
  <c r="I531" i="13"/>
  <c r="L531" i="13" s="1"/>
  <c r="I532" i="13"/>
  <c r="L532" i="13" s="1"/>
  <c r="I533" i="13"/>
  <c r="L533" i="13" s="1"/>
  <c r="I534" i="13"/>
  <c r="L534" i="13" s="1"/>
  <c r="I535" i="13"/>
  <c r="L535" i="13" s="1"/>
  <c r="I536" i="13"/>
  <c r="L536" i="13" s="1"/>
  <c r="I537" i="13"/>
  <c r="L537" i="13" s="1"/>
  <c r="I538" i="13"/>
  <c r="L538" i="13" s="1"/>
  <c r="I539" i="13"/>
  <c r="L539" i="13" s="1"/>
  <c r="I540" i="13"/>
  <c r="L540" i="13" s="1"/>
  <c r="I541" i="13"/>
  <c r="L541" i="13" s="1"/>
  <c r="I542" i="13"/>
  <c r="L542" i="13" s="1"/>
  <c r="I543" i="13"/>
  <c r="L543" i="13" s="1"/>
  <c r="I544" i="13"/>
  <c r="L544" i="13" s="1"/>
  <c r="I545" i="13"/>
  <c r="L545" i="13" s="1"/>
  <c r="I546" i="13"/>
  <c r="L546" i="13" s="1"/>
  <c r="I547" i="13"/>
  <c r="L547" i="13" s="1"/>
  <c r="I548" i="13"/>
  <c r="L548" i="13" s="1"/>
  <c r="I549" i="13"/>
  <c r="L549" i="13" s="1"/>
  <c r="I550" i="13"/>
  <c r="L550" i="13" s="1"/>
  <c r="I551" i="13"/>
  <c r="L551" i="13" s="1"/>
  <c r="I552" i="13"/>
  <c r="L552" i="13" s="1"/>
  <c r="I553" i="13"/>
  <c r="L553" i="13" s="1"/>
  <c r="I554" i="13"/>
  <c r="L554" i="13" s="1"/>
  <c r="I555" i="13"/>
  <c r="L555" i="13" s="1"/>
  <c r="I556" i="13"/>
  <c r="L556" i="13" s="1"/>
  <c r="I557" i="13"/>
  <c r="L557" i="13" s="1"/>
  <c r="I558" i="13"/>
  <c r="L558" i="13" s="1"/>
  <c r="I559" i="13"/>
  <c r="L559" i="13" s="1"/>
  <c r="I560" i="13"/>
  <c r="L560" i="13" s="1"/>
  <c r="I561" i="13"/>
  <c r="L561" i="13" s="1"/>
  <c r="I562" i="13"/>
  <c r="L562" i="13" s="1"/>
  <c r="I563" i="13"/>
  <c r="L563" i="13" s="1"/>
  <c r="I564" i="13"/>
  <c r="L564" i="13" s="1"/>
  <c r="I565" i="13"/>
  <c r="L565" i="13" s="1"/>
  <c r="I566" i="13"/>
  <c r="L566" i="13" s="1"/>
  <c r="I567" i="13"/>
  <c r="L567" i="13" s="1"/>
  <c r="I568" i="13"/>
  <c r="L568" i="13" s="1"/>
  <c r="I569" i="13"/>
  <c r="L569" i="13" s="1"/>
  <c r="I570" i="13"/>
  <c r="L570" i="13" s="1"/>
  <c r="I571" i="13"/>
  <c r="L571" i="13" s="1"/>
  <c r="I572" i="13"/>
  <c r="L572" i="13" s="1"/>
  <c r="I573" i="13"/>
  <c r="L573" i="13" s="1"/>
  <c r="I574" i="13"/>
  <c r="L574" i="13" s="1"/>
  <c r="I575" i="13"/>
  <c r="L575" i="13" s="1"/>
  <c r="I576" i="13"/>
  <c r="L576" i="13" s="1"/>
  <c r="I577" i="13"/>
  <c r="L577" i="13" s="1"/>
  <c r="I578" i="13"/>
  <c r="L578" i="13" s="1"/>
  <c r="I579" i="13"/>
  <c r="L579" i="13" s="1"/>
  <c r="I580" i="13"/>
  <c r="L580" i="13" s="1"/>
  <c r="I581" i="13"/>
  <c r="L581" i="13" s="1"/>
  <c r="I582" i="13"/>
  <c r="L582" i="13" s="1"/>
  <c r="I583" i="13"/>
  <c r="L583" i="13" s="1"/>
  <c r="I584" i="13"/>
  <c r="L584" i="13" s="1"/>
  <c r="I585" i="13"/>
  <c r="L585" i="13" s="1"/>
  <c r="I586" i="13"/>
  <c r="L586" i="13" s="1"/>
  <c r="I587" i="13"/>
  <c r="L587" i="13" s="1"/>
  <c r="I588" i="13"/>
  <c r="L588" i="13" s="1"/>
  <c r="I589" i="13"/>
  <c r="L589" i="13" s="1"/>
  <c r="I590" i="13"/>
  <c r="L590" i="13" s="1"/>
  <c r="I591" i="13"/>
  <c r="L591" i="13" s="1"/>
  <c r="I592" i="13"/>
  <c r="L592" i="13" s="1"/>
  <c r="I593" i="13"/>
  <c r="L593" i="13" s="1"/>
  <c r="I594" i="13"/>
  <c r="L594" i="13" s="1"/>
  <c r="I595" i="13"/>
  <c r="L595" i="13" s="1"/>
  <c r="I596" i="13"/>
  <c r="L596" i="13" s="1"/>
  <c r="I597" i="13"/>
  <c r="L597" i="13" s="1"/>
  <c r="I598" i="13"/>
  <c r="L598" i="13" s="1"/>
  <c r="I599" i="13"/>
  <c r="L599" i="13" s="1"/>
  <c r="I600" i="13"/>
  <c r="L600" i="13" s="1"/>
  <c r="I601" i="13"/>
  <c r="L601" i="13" s="1"/>
  <c r="I602" i="13"/>
  <c r="L602" i="13" s="1"/>
  <c r="I603" i="13"/>
  <c r="L603" i="13" s="1"/>
  <c r="I604" i="13"/>
  <c r="L604" i="13" s="1"/>
  <c r="I605" i="13"/>
  <c r="L605" i="13" s="1"/>
  <c r="I606" i="13"/>
  <c r="L606" i="13" s="1"/>
  <c r="I607" i="13"/>
  <c r="L607" i="13" s="1"/>
  <c r="I608" i="13"/>
  <c r="L608" i="13" s="1"/>
  <c r="I609" i="13"/>
  <c r="L609" i="13" s="1"/>
  <c r="I610" i="13"/>
  <c r="L610" i="13" s="1"/>
  <c r="I611" i="13"/>
  <c r="L611" i="13" s="1"/>
  <c r="I612" i="13"/>
  <c r="L612" i="13" s="1"/>
  <c r="I613" i="13"/>
  <c r="L613" i="13" s="1"/>
  <c r="I614" i="13"/>
  <c r="L614" i="13" s="1"/>
  <c r="I615" i="13"/>
  <c r="L615" i="13" s="1"/>
  <c r="I616" i="13"/>
  <c r="L616" i="13" s="1"/>
  <c r="I617" i="13"/>
  <c r="L617" i="13" s="1"/>
  <c r="I618" i="13"/>
  <c r="L618" i="13" s="1"/>
  <c r="I619" i="13"/>
  <c r="L619" i="13" s="1"/>
  <c r="I620" i="13"/>
  <c r="L620" i="13" s="1"/>
  <c r="I621" i="13"/>
  <c r="L621" i="13" s="1"/>
  <c r="I622" i="13"/>
  <c r="L622" i="13" s="1"/>
  <c r="I623" i="13"/>
  <c r="L623" i="13" s="1"/>
  <c r="I624" i="13"/>
  <c r="L624" i="13" s="1"/>
  <c r="I625" i="13"/>
  <c r="L625" i="13" s="1"/>
  <c r="I626" i="13"/>
  <c r="L626" i="13" s="1"/>
  <c r="I627" i="13"/>
  <c r="L627" i="13" s="1"/>
  <c r="I628" i="13"/>
  <c r="L628" i="13" s="1"/>
  <c r="I629" i="13"/>
  <c r="L629" i="13" s="1"/>
  <c r="I630" i="13"/>
  <c r="L630" i="13" s="1"/>
  <c r="I631" i="13"/>
  <c r="L631" i="13" s="1"/>
  <c r="I632" i="13"/>
  <c r="L632" i="13" s="1"/>
  <c r="I633" i="13"/>
  <c r="L633" i="13" s="1"/>
  <c r="I634" i="13"/>
  <c r="L634" i="13" s="1"/>
  <c r="I635" i="13"/>
  <c r="L635" i="13" s="1"/>
  <c r="I636" i="13"/>
  <c r="L636" i="13" s="1"/>
  <c r="I637" i="13"/>
  <c r="L637" i="13" s="1"/>
  <c r="I638" i="13"/>
  <c r="L638" i="13" s="1"/>
  <c r="I639" i="13"/>
  <c r="L639" i="13" s="1"/>
  <c r="I640" i="13"/>
  <c r="L640" i="13" s="1"/>
  <c r="I641" i="13"/>
  <c r="L641" i="13" s="1"/>
  <c r="I642" i="13"/>
  <c r="L642" i="13" s="1"/>
  <c r="I643" i="13"/>
  <c r="L643" i="13" s="1"/>
  <c r="I644" i="13"/>
  <c r="L644" i="13" s="1"/>
  <c r="I645" i="13"/>
  <c r="L645" i="13" s="1"/>
  <c r="I646" i="13"/>
  <c r="L646" i="13" s="1"/>
  <c r="I647" i="13"/>
  <c r="L647" i="13" s="1"/>
  <c r="I648" i="13"/>
  <c r="L648" i="13" s="1"/>
  <c r="I649" i="13"/>
  <c r="L649" i="13" s="1"/>
  <c r="I650" i="13"/>
  <c r="L650" i="13" s="1"/>
  <c r="I651" i="13"/>
  <c r="L651" i="13" s="1"/>
  <c r="I652" i="13"/>
  <c r="L652" i="13" s="1"/>
  <c r="I653" i="13"/>
  <c r="L653" i="13" s="1"/>
  <c r="I654" i="13"/>
  <c r="L654" i="13" s="1"/>
  <c r="I356" i="13"/>
  <c r="L356" i="13" s="1"/>
  <c r="I357" i="13"/>
  <c r="L357" i="13" s="1"/>
  <c r="I358" i="13"/>
  <c r="L358" i="13" s="1"/>
  <c r="I359" i="13"/>
  <c r="L359" i="13" s="1"/>
  <c r="I360" i="13"/>
  <c r="L360" i="13" s="1"/>
  <c r="I361" i="13"/>
  <c r="L361" i="13" s="1"/>
  <c r="I362" i="13"/>
  <c r="L362" i="13" s="1"/>
  <c r="I363" i="13"/>
  <c r="L363" i="13" s="1"/>
  <c r="I364" i="13"/>
  <c r="L364" i="13" s="1"/>
  <c r="I365" i="13"/>
  <c r="L365" i="13" s="1"/>
  <c r="I366" i="13"/>
  <c r="L366" i="13" s="1"/>
  <c r="I367" i="13"/>
  <c r="L367" i="13" s="1"/>
  <c r="I368" i="13"/>
  <c r="L368" i="13" s="1"/>
  <c r="I369" i="13"/>
  <c r="L369" i="13" s="1"/>
  <c r="I370" i="13"/>
  <c r="L370" i="13" s="1"/>
  <c r="I371" i="13"/>
  <c r="L371" i="13" s="1"/>
  <c r="I372" i="13"/>
  <c r="L372" i="13" s="1"/>
  <c r="I373" i="13"/>
  <c r="L373" i="13" s="1"/>
  <c r="I374" i="13"/>
  <c r="L374" i="13" s="1"/>
  <c r="I375" i="13"/>
  <c r="L375" i="13" s="1"/>
  <c r="I376" i="13"/>
  <c r="L376" i="13" s="1"/>
  <c r="I377" i="13"/>
  <c r="L377" i="13" s="1"/>
  <c r="I378" i="13"/>
  <c r="L378" i="13" s="1"/>
  <c r="I379" i="13"/>
  <c r="L379" i="13" s="1"/>
  <c r="I380" i="13"/>
  <c r="L380" i="13" s="1"/>
  <c r="I381" i="13"/>
  <c r="L381" i="13" s="1"/>
  <c r="I382" i="13"/>
  <c r="L382" i="13" s="1"/>
  <c r="I383" i="13"/>
  <c r="L383" i="13" s="1"/>
  <c r="I384" i="13"/>
  <c r="L384" i="13" s="1"/>
  <c r="I385" i="13"/>
  <c r="L385" i="13" s="1"/>
  <c r="I386" i="13"/>
  <c r="L386" i="13" s="1"/>
  <c r="I387" i="13"/>
  <c r="L387" i="13" s="1"/>
  <c r="I388" i="13"/>
  <c r="L388" i="13" s="1"/>
  <c r="I389" i="13"/>
  <c r="L389" i="13" s="1"/>
  <c r="I390" i="13"/>
  <c r="L390" i="13" s="1"/>
  <c r="I391" i="13"/>
  <c r="L391" i="13" s="1"/>
  <c r="I392" i="13"/>
  <c r="L392" i="13" s="1"/>
  <c r="I393" i="13"/>
  <c r="L393" i="13" s="1"/>
  <c r="I394" i="13"/>
  <c r="L394" i="13" s="1"/>
  <c r="I395" i="13"/>
  <c r="L395" i="13" s="1"/>
  <c r="I396" i="13"/>
  <c r="L396" i="13" s="1"/>
  <c r="I397" i="13"/>
  <c r="L397" i="13" s="1"/>
  <c r="I398" i="13"/>
  <c r="L398" i="13" s="1"/>
  <c r="I399" i="13"/>
  <c r="L399" i="13" s="1"/>
  <c r="I400" i="13"/>
  <c r="L400" i="13" s="1"/>
  <c r="I401" i="13"/>
  <c r="L401" i="13" s="1"/>
  <c r="I402" i="13"/>
  <c r="L402" i="13" s="1"/>
  <c r="I403" i="13"/>
  <c r="L403" i="13" s="1"/>
  <c r="I404" i="13"/>
  <c r="L404" i="13" s="1"/>
  <c r="I405" i="13"/>
  <c r="L405" i="13" s="1"/>
  <c r="I406" i="13"/>
  <c r="L406" i="13" s="1"/>
  <c r="I407" i="13"/>
  <c r="L407" i="13" s="1"/>
  <c r="I408" i="13"/>
  <c r="L408" i="13" s="1"/>
  <c r="I409" i="13"/>
  <c r="L409" i="13" s="1"/>
  <c r="I410" i="13"/>
  <c r="L410" i="13" s="1"/>
  <c r="I411" i="13"/>
  <c r="L411" i="13" s="1"/>
  <c r="I412" i="13"/>
  <c r="L412" i="13" s="1"/>
  <c r="I413" i="13"/>
  <c r="L413" i="13" s="1"/>
  <c r="I414" i="13"/>
  <c r="L414" i="13" s="1"/>
  <c r="I415" i="13"/>
  <c r="L415" i="13" s="1"/>
  <c r="I416" i="13"/>
  <c r="L416" i="13" s="1"/>
  <c r="I417" i="13"/>
  <c r="L417" i="13" s="1"/>
  <c r="I418" i="13"/>
  <c r="L418" i="13" s="1"/>
  <c r="I419" i="13"/>
  <c r="L419" i="13" s="1"/>
  <c r="I420" i="13"/>
  <c r="L420" i="13" s="1"/>
  <c r="I421" i="13"/>
  <c r="L421" i="13" s="1"/>
  <c r="I422" i="13"/>
  <c r="L422" i="13" s="1"/>
  <c r="I423" i="13"/>
  <c r="L423" i="13" s="1"/>
  <c r="I424" i="13"/>
  <c r="L424" i="13" s="1"/>
  <c r="I425" i="13"/>
  <c r="L425" i="13" s="1"/>
  <c r="I426" i="13"/>
  <c r="L426" i="13" s="1"/>
  <c r="I427" i="13"/>
  <c r="L427" i="13" s="1"/>
  <c r="I428" i="13"/>
  <c r="L428" i="13" s="1"/>
  <c r="I429" i="13"/>
  <c r="L429" i="13" s="1"/>
  <c r="I430" i="13"/>
  <c r="L430" i="13" s="1"/>
  <c r="I431" i="13"/>
  <c r="L431" i="13" s="1"/>
  <c r="I432" i="13"/>
  <c r="L432" i="13" s="1"/>
  <c r="I433" i="13"/>
  <c r="L433" i="13" s="1"/>
  <c r="I434" i="13"/>
  <c r="L434" i="13" s="1"/>
  <c r="I435" i="13"/>
  <c r="L435" i="13" s="1"/>
  <c r="I436" i="13"/>
  <c r="L436" i="13" s="1"/>
  <c r="I437" i="13"/>
  <c r="L437" i="13" s="1"/>
  <c r="I438" i="13"/>
  <c r="L438" i="13" s="1"/>
  <c r="I439" i="13"/>
  <c r="L439" i="13" s="1"/>
  <c r="I440" i="13"/>
  <c r="L440" i="13" s="1"/>
  <c r="I441" i="13"/>
  <c r="L441" i="13" s="1"/>
  <c r="I442" i="13"/>
  <c r="L442" i="13" s="1"/>
  <c r="I443" i="13"/>
  <c r="L443" i="13" s="1"/>
  <c r="I444" i="13"/>
  <c r="L444" i="13" s="1"/>
  <c r="I445" i="13"/>
  <c r="L445" i="13" s="1"/>
  <c r="I446" i="13"/>
  <c r="L446" i="13" s="1"/>
  <c r="I447" i="13"/>
  <c r="L447" i="13" s="1"/>
  <c r="I448" i="13"/>
  <c r="L448" i="13" s="1"/>
  <c r="I449" i="13"/>
  <c r="L449" i="13" s="1"/>
  <c r="I450" i="13"/>
  <c r="L450" i="13" s="1"/>
  <c r="I451" i="13"/>
  <c r="L451" i="13" s="1"/>
  <c r="I452" i="13"/>
  <c r="L452" i="13" s="1"/>
  <c r="I453" i="13"/>
  <c r="L453" i="13" s="1"/>
  <c r="I454" i="13"/>
  <c r="L454" i="13" s="1"/>
  <c r="I455" i="13"/>
  <c r="L455" i="13" s="1"/>
  <c r="I456" i="13"/>
  <c r="L456" i="13" s="1"/>
  <c r="I457" i="13"/>
  <c r="L457" i="13" s="1"/>
  <c r="I458" i="13"/>
  <c r="L458" i="13" s="1"/>
  <c r="I459" i="13"/>
  <c r="L459" i="13" s="1"/>
  <c r="I460" i="13"/>
  <c r="L460" i="13" s="1"/>
  <c r="I461" i="13"/>
  <c r="L461" i="13" s="1"/>
  <c r="I462" i="13"/>
  <c r="L462" i="13" s="1"/>
  <c r="I463" i="13"/>
  <c r="L463" i="13" s="1"/>
  <c r="I464" i="13"/>
  <c r="L464" i="13" s="1"/>
  <c r="I465" i="13"/>
  <c r="L465" i="13" s="1"/>
  <c r="I466" i="13"/>
  <c r="L466" i="13" s="1"/>
  <c r="I467" i="13"/>
  <c r="L467" i="13" s="1"/>
  <c r="I468" i="13"/>
  <c r="L468" i="13" s="1"/>
  <c r="I469" i="13"/>
  <c r="L469" i="13" s="1"/>
  <c r="I470" i="13"/>
  <c r="L470" i="13" s="1"/>
  <c r="I471" i="13"/>
  <c r="L471" i="13" s="1"/>
  <c r="I472" i="13"/>
  <c r="L472" i="13" s="1"/>
  <c r="I473" i="13"/>
  <c r="L473" i="13" s="1"/>
  <c r="I474" i="13"/>
  <c r="L474" i="13" s="1"/>
  <c r="I475" i="13"/>
  <c r="L475" i="13" s="1"/>
  <c r="I476" i="13"/>
  <c r="L476" i="13" s="1"/>
  <c r="I477" i="13"/>
  <c r="L477" i="13" s="1"/>
  <c r="I478" i="13"/>
  <c r="L478" i="13" s="1"/>
  <c r="I479" i="13"/>
  <c r="L479" i="13" s="1"/>
  <c r="I480" i="13"/>
  <c r="L480" i="13" s="1"/>
  <c r="I481" i="13"/>
  <c r="L481" i="13" s="1"/>
  <c r="I482" i="13"/>
  <c r="L482" i="13" s="1"/>
  <c r="I483" i="13"/>
  <c r="L483" i="13" s="1"/>
  <c r="I484" i="13"/>
  <c r="L484" i="13" s="1"/>
  <c r="I655" i="13"/>
  <c r="L655" i="13" s="1"/>
  <c r="I656" i="13"/>
  <c r="L656" i="13" s="1"/>
  <c r="I657" i="13"/>
  <c r="L657" i="13" s="1"/>
  <c r="I658" i="13"/>
  <c r="L658" i="13" s="1"/>
  <c r="I659" i="13"/>
  <c r="L659" i="13" s="1"/>
  <c r="I660" i="13"/>
  <c r="L660" i="13" s="1"/>
  <c r="I661" i="13"/>
  <c r="L661" i="13" s="1"/>
  <c r="I662" i="13"/>
  <c r="L662" i="13" s="1"/>
  <c r="I663" i="13"/>
  <c r="L663" i="13" s="1"/>
  <c r="I664" i="13"/>
  <c r="L664" i="13" s="1"/>
  <c r="I665" i="13"/>
  <c r="L665" i="13" s="1"/>
  <c r="I666" i="13"/>
  <c r="L666" i="13" s="1"/>
  <c r="I667" i="13"/>
  <c r="L667" i="13" s="1"/>
  <c r="I668" i="13"/>
  <c r="L668" i="13" s="1"/>
  <c r="I669" i="13"/>
  <c r="L669" i="13" s="1"/>
  <c r="I670" i="13"/>
  <c r="L670" i="13" s="1"/>
  <c r="I671" i="13"/>
  <c r="L671" i="13" s="1"/>
  <c r="I672" i="13"/>
  <c r="L672" i="13" s="1"/>
  <c r="I673" i="13"/>
  <c r="L673" i="13" s="1"/>
  <c r="I674" i="13"/>
  <c r="L674" i="13" s="1"/>
  <c r="I675" i="13"/>
  <c r="L675" i="13" s="1"/>
  <c r="I676" i="13"/>
  <c r="L676" i="13" s="1"/>
  <c r="I677" i="13"/>
  <c r="L677" i="13" s="1"/>
  <c r="I678" i="13"/>
  <c r="L678" i="13" s="1"/>
  <c r="I679" i="13"/>
  <c r="L679" i="13" s="1"/>
  <c r="I680" i="13"/>
  <c r="L680" i="13" s="1"/>
  <c r="I681" i="13"/>
  <c r="L681" i="13" s="1"/>
  <c r="I682" i="13"/>
  <c r="L682" i="13" s="1"/>
  <c r="I683" i="13"/>
  <c r="L683" i="13" s="1"/>
  <c r="I684" i="13"/>
  <c r="L684" i="13" s="1"/>
  <c r="I685" i="13"/>
  <c r="L685" i="13" s="1"/>
  <c r="I686" i="13"/>
  <c r="L686" i="13" s="1"/>
  <c r="I687" i="13"/>
  <c r="L687" i="13" s="1"/>
  <c r="I688" i="13"/>
  <c r="L688" i="13" s="1"/>
  <c r="I689" i="13"/>
  <c r="L689" i="13" s="1"/>
  <c r="I690" i="13"/>
  <c r="L690" i="13" s="1"/>
  <c r="I691" i="13"/>
  <c r="L691" i="13" s="1"/>
  <c r="I692" i="13"/>
  <c r="L692" i="13" s="1"/>
  <c r="I693" i="13"/>
  <c r="L693" i="13" s="1"/>
  <c r="I694" i="13"/>
  <c r="L694" i="13" s="1"/>
  <c r="I695" i="13"/>
  <c r="L695" i="13" s="1"/>
  <c r="I696" i="13"/>
  <c r="L696" i="13" s="1"/>
  <c r="I697" i="13"/>
  <c r="L697" i="13" s="1"/>
  <c r="I698" i="13"/>
  <c r="L698" i="13" s="1"/>
  <c r="I699" i="13"/>
  <c r="L699" i="13" s="1"/>
  <c r="I700" i="13"/>
  <c r="L700" i="13" s="1"/>
  <c r="I701" i="13"/>
  <c r="L701" i="13" s="1"/>
  <c r="I702" i="13"/>
  <c r="L702" i="13" s="1"/>
  <c r="I703" i="13"/>
  <c r="L703" i="13" s="1"/>
  <c r="I704" i="13"/>
  <c r="L704" i="13" s="1"/>
  <c r="I705" i="13"/>
  <c r="L705" i="13" s="1"/>
  <c r="I706" i="13"/>
  <c r="L706" i="13" s="1"/>
  <c r="I707" i="13"/>
  <c r="L707" i="13" s="1"/>
  <c r="I708" i="13"/>
  <c r="L708" i="13" s="1"/>
  <c r="I709" i="13"/>
  <c r="L709" i="13" s="1"/>
  <c r="I710" i="13"/>
  <c r="L710" i="13" s="1"/>
  <c r="I711" i="13"/>
  <c r="L711" i="13" s="1"/>
  <c r="I712" i="13"/>
  <c r="L712" i="13" s="1"/>
  <c r="I713" i="13"/>
  <c r="L713" i="13" s="1"/>
  <c r="I714" i="13"/>
  <c r="L714" i="13" s="1"/>
  <c r="I715" i="13"/>
  <c r="L715" i="13" s="1"/>
  <c r="I716" i="13"/>
  <c r="L716" i="13" s="1"/>
  <c r="I717" i="13"/>
  <c r="L717" i="13" s="1"/>
  <c r="I718" i="13"/>
  <c r="L718" i="13" s="1"/>
  <c r="I719" i="13"/>
  <c r="L719" i="13" s="1"/>
  <c r="I720" i="13"/>
  <c r="L720" i="13" s="1"/>
  <c r="I721" i="13"/>
  <c r="L721" i="13" s="1"/>
  <c r="I722" i="13"/>
  <c r="L722" i="13" s="1"/>
  <c r="I723" i="13"/>
  <c r="L723" i="13" s="1"/>
  <c r="I724" i="13"/>
  <c r="L724" i="13" s="1"/>
  <c r="I725" i="13"/>
  <c r="L725" i="13" s="1"/>
  <c r="I726" i="13"/>
  <c r="L726" i="13" s="1"/>
  <c r="I727" i="13"/>
  <c r="L727" i="13" s="1"/>
  <c r="I728" i="13"/>
  <c r="L728" i="13" s="1"/>
  <c r="I729" i="13"/>
  <c r="L729" i="13" s="1"/>
  <c r="I730" i="13"/>
  <c r="L730" i="13" s="1"/>
  <c r="I731" i="13"/>
  <c r="L731" i="13" s="1"/>
  <c r="I732" i="13"/>
  <c r="L732" i="13" s="1"/>
  <c r="I733" i="13"/>
  <c r="L733" i="13" s="1"/>
  <c r="I734" i="13"/>
  <c r="L734" i="13" s="1"/>
  <c r="I735" i="13"/>
  <c r="L735" i="13" s="1"/>
  <c r="I736" i="13"/>
  <c r="L736" i="13" s="1"/>
  <c r="I737" i="13"/>
  <c r="L737" i="13" s="1"/>
  <c r="I738" i="13"/>
  <c r="L738" i="13" s="1"/>
  <c r="I739" i="13"/>
  <c r="L739" i="13" s="1"/>
  <c r="I740" i="13"/>
  <c r="L740" i="13" s="1"/>
  <c r="I741" i="13"/>
  <c r="L741" i="13" s="1"/>
  <c r="I742" i="13"/>
  <c r="L742" i="13" s="1"/>
  <c r="I743" i="13"/>
  <c r="L743" i="13" s="1"/>
  <c r="I744" i="13"/>
  <c r="L744" i="13" s="1"/>
  <c r="I745" i="13"/>
  <c r="L745" i="13" s="1"/>
  <c r="I746" i="13"/>
  <c r="L746" i="13" s="1"/>
  <c r="I747" i="13"/>
  <c r="L747" i="13" s="1"/>
  <c r="I748" i="13"/>
  <c r="L748" i="13" s="1"/>
  <c r="I749" i="13"/>
  <c r="L749" i="13" s="1"/>
  <c r="I750" i="13"/>
  <c r="L750" i="13" s="1"/>
  <c r="I751" i="13"/>
  <c r="L751" i="13" s="1"/>
  <c r="I752" i="13"/>
  <c r="L752" i="13" s="1"/>
  <c r="I753" i="13"/>
  <c r="L753" i="13" s="1"/>
  <c r="I754" i="13"/>
  <c r="L754" i="13" s="1"/>
  <c r="I755" i="13"/>
  <c r="L755" i="13" s="1"/>
  <c r="I756" i="13"/>
  <c r="L756" i="13" s="1"/>
  <c r="I757" i="13"/>
  <c r="L757" i="13" s="1"/>
  <c r="I758" i="13"/>
  <c r="L758" i="13" s="1"/>
  <c r="I759" i="13"/>
  <c r="L759" i="13" s="1"/>
  <c r="I760" i="13"/>
  <c r="L760" i="13" s="1"/>
  <c r="I761" i="13"/>
  <c r="L761" i="13" s="1"/>
  <c r="I762" i="13"/>
  <c r="L762" i="13" s="1"/>
  <c r="I763" i="13"/>
  <c r="L763" i="13" s="1"/>
  <c r="I764" i="13"/>
  <c r="L764" i="13" s="1"/>
  <c r="I765" i="13"/>
  <c r="L765" i="13" s="1"/>
  <c r="I766" i="13"/>
  <c r="L766" i="13" s="1"/>
  <c r="I767" i="13"/>
  <c r="L767" i="13" s="1"/>
  <c r="I768" i="13"/>
  <c r="L768" i="13" s="1"/>
  <c r="I769" i="13"/>
  <c r="L769" i="13" s="1"/>
  <c r="I770" i="13"/>
  <c r="L770" i="13" s="1"/>
  <c r="I771" i="13"/>
  <c r="L771" i="13" s="1"/>
  <c r="I772" i="13"/>
  <c r="L772" i="13" s="1"/>
  <c r="I773" i="13"/>
  <c r="L773" i="13" s="1"/>
  <c r="I774" i="13"/>
  <c r="L774" i="13" s="1"/>
  <c r="I775" i="13"/>
  <c r="L775" i="13" s="1"/>
  <c r="I776" i="13"/>
  <c r="L776" i="13" s="1"/>
  <c r="I777" i="13"/>
  <c r="L777" i="13" s="1"/>
  <c r="I778" i="13"/>
  <c r="L778" i="13" s="1"/>
  <c r="I779" i="13"/>
  <c r="L779" i="13" s="1"/>
  <c r="I780" i="13"/>
  <c r="L780" i="13" s="1"/>
  <c r="I781" i="13"/>
  <c r="L781" i="13" s="1"/>
  <c r="I782" i="13"/>
  <c r="L782" i="13" s="1"/>
  <c r="I783" i="13"/>
  <c r="L783" i="13" s="1"/>
  <c r="I784" i="13"/>
  <c r="L784" i="13" s="1"/>
  <c r="I785" i="13"/>
  <c r="L785" i="13" s="1"/>
  <c r="I786" i="13"/>
  <c r="L786" i="13" s="1"/>
  <c r="I787" i="13"/>
  <c r="L787" i="13" s="1"/>
  <c r="I788" i="13"/>
  <c r="L788" i="13" s="1"/>
  <c r="I789" i="13"/>
  <c r="L789" i="13" s="1"/>
  <c r="I790" i="13"/>
  <c r="L790" i="13" s="1"/>
  <c r="I791" i="13"/>
  <c r="L791" i="13" s="1"/>
  <c r="I792" i="13"/>
  <c r="L792" i="13" s="1"/>
  <c r="I793" i="13"/>
  <c r="L793" i="13" s="1"/>
  <c r="I794" i="13"/>
  <c r="L794" i="13" s="1"/>
  <c r="I795" i="13"/>
  <c r="L795" i="13" s="1"/>
  <c r="I796" i="13"/>
  <c r="L796" i="13" s="1"/>
  <c r="I797" i="13"/>
  <c r="L797" i="13" s="1"/>
  <c r="I798" i="13"/>
  <c r="L798" i="13" s="1"/>
  <c r="I799" i="13"/>
  <c r="L799" i="13" s="1"/>
  <c r="I800" i="13"/>
  <c r="L800" i="13" s="1"/>
  <c r="I801" i="13"/>
  <c r="L801" i="13" s="1"/>
  <c r="I802" i="13"/>
  <c r="L802" i="13" s="1"/>
  <c r="I803" i="13"/>
  <c r="L803" i="13" s="1"/>
  <c r="I804" i="13"/>
  <c r="L804" i="13" s="1"/>
  <c r="I805" i="13"/>
  <c r="L805" i="13" s="1"/>
  <c r="I806" i="13"/>
  <c r="L806" i="13" s="1"/>
  <c r="I807" i="13"/>
  <c r="L807" i="13" s="1"/>
  <c r="I808" i="13"/>
  <c r="L808" i="13" s="1"/>
  <c r="I809" i="13"/>
  <c r="L809" i="13" s="1"/>
  <c r="I810" i="13"/>
  <c r="L810" i="13" s="1"/>
  <c r="I811" i="13"/>
  <c r="L811" i="13" s="1"/>
  <c r="I812" i="13"/>
  <c r="L812" i="13" s="1"/>
  <c r="I813" i="13"/>
  <c r="L813" i="13" s="1"/>
  <c r="I814" i="13"/>
  <c r="L814" i="13" s="1"/>
  <c r="I815" i="13"/>
  <c r="L815" i="13" s="1"/>
  <c r="I816" i="13"/>
  <c r="L816" i="13" s="1"/>
  <c r="I817" i="13"/>
  <c r="L817" i="13" s="1"/>
  <c r="I818" i="13"/>
  <c r="L818" i="13" s="1"/>
  <c r="I819" i="13"/>
  <c r="L819" i="13" s="1"/>
  <c r="I820" i="13"/>
  <c r="L820" i="13" s="1"/>
  <c r="I821" i="13"/>
  <c r="L821" i="13" s="1"/>
  <c r="I822" i="13"/>
  <c r="L822" i="13" s="1"/>
  <c r="I823" i="13"/>
  <c r="L823" i="13" s="1"/>
  <c r="I824" i="13"/>
  <c r="L824" i="13" s="1"/>
  <c r="I825" i="13"/>
  <c r="L825" i="13" s="1"/>
  <c r="I826" i="13"/>
  <c r="L826" i="13" s="1"/>
  <c r="I827" i="13"/>
  <c r="L827" i="13" s="1"/>
  <c r="I828" i="13"/>
  <c r="L828" i="13" s="1"/>
  <c r="I829" i="13"/>
  <c r="L829" i="13" s="1"/>
  <c r="I830" i="13"/>
  <c r="L830" i="13" s="1"/>
  <c r="I831" i="13"/>
  <c r="L831" i="13" s="1"/>
  <c r="I832" i="13"/>
  <c r="L832" i="13" s="1"/>
  <c r="I833" i="13"/>
  <c r="L833" i="13" s="1"/>
  <c r="I834" i="13"/>
  <c r="L834" i="13" s="1"/>
  <c r="I835" i="13"/>
  <c r="L835" i="13" s="1"/>
  <c r="I836" i="13"/>
  <c r="L836" i="13" s="1"/>
  <c r="I837" i="13"/>
  <c r="L837" i="13" s="1"/>
  <c r="I838" i="13"/>
  <c r="L838" i="13" s="1"/>
  <c r="I839" i="13"/>
  <c r="L839" i="13" s="1"/>
  <c r="I840" i="13"/>
  <c r="L840" i="13" s="1"/>
  <c r="I841" i="13"/>
  <c r="L841" i="13" s="1"/>
  <c r="I842" i="13"/>
  <c r="L842" i="13" s="1"/>
  <c r="I843" i="13"/>
  <c r="L843" i="13" s="1"/>
  <c r="I844" i="13"/>
  <c r="L844" i="13" s="1"/>
  <c r="I845" i="13"/>
  <c r="L845" i="13" s="1"/>
  <c r="I846" i="13"/>
  <c r="L846" i="13" s="1"/>
  <c r="I847" i="13"/>
  <c r="L847" i="13" s="1"/>
  <c r="I848" i="13"/>
  <c r="L848" i="13" s="1"/>
  <c r="I849" i="13"/>
  <c r="L849" i="13" s="1"/>
  <c r="I850" i="13"/>
  <c r="L850" i="13" s="1"/>
  <c r="I851" i="13"/>
  <c r="L851" i="13" s="1"/>
  <c r="I852" i="13"/>
  <c r="L852" i="13" s="1"/>
  <c r="I853" i="13"/>
  <c r="L853" i="13" s="1"/>
  <c r="I854" i="13"/>
  <c r="L854" i="13" s="1"/>
  <c r="I855" i="13"/>
  <c r="L855" i="13" s="1"/>
  <c r="I856" i="13"/>
  <c r="L856" i="13" s="1"/>
  <c r="I857" i="13"/>
  <c r="L857" i="13" s="1"/>
  <c r="I858" i="13"/>
  <c r="L858" i="13" s="1"/>
  <c r="I859" i="13"/>
  <c r="L859" i="13" s="1"/>
  <c r="I860" i="13"/>
  <c r="L860" i="13" s="1"/>
  <c r="I861" i="13"/>
  <c r="L861" i="13" s="1"/>
  <c r="I862" i="13"/>
  <c r="L862" i="13" s="1"/>
  <c r="I863" i="13"/>
  <c r="L863" i="13" s="1"/>
  <c r="I864" i="13"/>
  <c r="L864" i="13" s="1"/>
  <c r="I865" i="13"/>
  <c r="L865" i="13" s="1"/>
  <c r="I866" i="13"/>
  <c r="L866" i="13" s="1"/>
  <c r="I867" i="13"/>
  <c r="L867" i="13" s="1"/>
  <c r="I868" i="13"/>
  <c r="L868" i="13" s="1"/>
  <c r="I869" i="13"/>
  <c r="L869" i="13" s="1"/>
  <c r="I870" i="13"/>
  <c r="L870" i="13" s="1"/>
  <c r="I871" i="13"/>
  <c r="L871" i="13" s="1"/>
  <c r="I872" i="13"/>
  <c r="L872" i="13" s="1"/>
  <c r="I873" i="13"/>
  <c r="L873" i="13" s="1"/>
  <c r="I874" i="13"/>
  <c r="L874" i="13" s="1"/>
  <c r="I875" i="13"/>
  <c r="L875" i="13" s="1"/>
  <c r="I876" i="13"/>
  <c r="L876" i="13" s="1"/>
  <c r="I877" i="13"/>
  <c r="L877" i="13" s="1"/>
  <c r="I878" i="13"/>
  <c r="L878" i="13" s="1"/>
  <c r="I879" i="13"/>
  <c r="L879" i="13" s="1"/>
  <c r="I880" i="13"/>
  <c r="L880" i="13" s="1"/>
  <c r="I881" i="13"/>
  <c r="L881" i="13" s="1"/>
  <c r="I882" i="13"/>
  <c r="L882" i="13" s="1"/>
  <c r="I883" i="13"/>
  <c r="L883" i="13" s="1"/>
  <c r="I884" i="13"/>
  <c r="L884" i="13" s="1"/>
  <c r="I885" i="13"/>
  <c r="L885" i="13" s="1"/>
  <c r="I886" i="13"/>
  <c r="L886" i="13" s="1"/>
  <c r="I887" i="13"/>
  <c r="L887" i="13" s="1"/>
  <c r="I888" i="13"/>
  <c r="L888" i="13" s="1"/>
  <c r="I889" i="13"/>
  <c r="L889" i="13" s="1"/>
  <c r="I890" i="13"/>
  <c r="L890" i="13" s="1"/>
  <c r="I891" i="13"/>
  <c r="L891" i="13" s="1"/>
  <c r="I892" i="13"/>
  <c r="L892" i="13" s="1"/>
  <c r="I893" i="13"/>
  <c r="L893" i="13" s="1"/>
  <c r="I894" i="13"/>
  <c r="L894" i="13" s="1"/>
  <c r="I895" i="13"/>
  <c r="L895" i="13" s="1"/>
  <c r="I896" i="13"/>
  <c r="L896" i="13" s="1"/>
  <c r="I897" i="13"/>
  <c r="L897" i="13" s="1"/>
  <c r="I898" i="13"/>
  <c r="L898" i="13" s="1"/>
  <c r="I899" i="13"/>
  <c r="L899" i="13" s="1"/>
  <c r="I900" i="13"/>
  <c r="L900" i="13" s="1"/>
  <c r="I901" i="13"/>
  <c r="L901" i="13" s="1"/>
  <c r="I902" i="13"/>
  <c r="L902" i="13" s="1"/>
  <c r="I903" i="13"/>
  <c r="L903" i="13" s="1"/>
  <c r="I904" i="13"/>
  <c r="L904" i="13" s="1"/>
  <c r="I905" i="13"/>
  <c r="L905" i="13" s="1"/>
  <c r="I906" i="13"/>
  <c r="L906" i="13" s="1"/>
  <c r="I907" i="13"/>
  <c r="L907" i="13" s="1"/>
  <c r="I908" i="13"/>
  <c r="L908" i="13" s="1"/>
  <c r="I909" i="13"/>
  <c r="L909" i="13" s="1"/>
  <c r="I910" i="13"/>
  <c r="L910" i="13" s="1"/>
  <c r="I911" i="13"/>
  <c r="L911" i="13" s="1"/>
  <c r="I912" i="13"/>
  <c r="L912" i="13" s="1"/>
  <c r="I913" i="13"/>
  <c r="L913" i="13" s="1"/>
  <c r="I914" i="13"/>
  <c r="L914" i="13" s="1"/>
  <c r="I915" i="13"/>
  <c r="L915" i="13" s="1"/>
  <c r="I916" i="13"/>
  <c r="L916" i="13" s="1"/>
  <c r="I917" i="13"/>
  <c r="L917" i="13" s="1"/>
  <c r="I918" i="13"/>
  <c r="L918" i="13" s="1"/>
  <c r="I919" i="13"/>
  <c r="L919" i="13" s="1"/>
  <c r="I920" i="13"/>
  <c r="L920" i="13" s="1"/>
  <c r="I921" i="13"/>
  <c r="L921" i="13" s="1"/>
  <c r="I922" i="13"/>
  <c r="L922" i="13" s="1"/>
  <c r="I923" i="13"/>
  <c r="L923" i="13" s="1"/>
  <c r="I924" i="13"/>
  <c r="L924" i="13" s="1"/>
  <c r="I925" i="13"/>
  <c r="L925" i="13" s="1"/>
  <c r="I926" i="13"/>
  <c r="L926" i="13" s="1"/>
  <c r="I927" i="13"/>
  <c r="L927" i="13" s="1"/>
  <c r="I928" i="13"/>
  <c r="L928" i="13" s="1"/>
  <c r="I929" i="13"/>
  <c r="L929" i="13" s="1"/>
  <c r="I930" i="13"/>
  <c r="L930" i="13" s="1"/>
  <c r="I931" i="13"/>
  <c r="L931" i="13" s="1"/>
  <c r="I932" i="13"/>
  <c r="L932" i="13" s="1"/>
  <c r="I933" i="13"/>
  <c r="L933" i="13" s="1"/>
  <c r="I934" i="13"/>
  <c r="L934" i="13" s="1"/>
  <c r="I935" i="13"/>
  <c r="L935" i="13" s="1"/>
  <c r="I936" i="13"/>
  <c r="L936" i="13" s="1"/>
  <c r="I937" i="13"/>
  <c r="L937" i="13" s="1"/>
  <c r="I938" i="13"/>
  <c r="L938" i="13" s="1"/>
  <c r="I939" i="13"/>
  <c r="L939" i="13" s="1"/>
  <c r="I940" i="13"/>
  <c r="L940" i="13" s="1"/>
  <c r="I941" i="13"/>
  <c r="L941" i="13" s="1"/>
  <c r="I942" i="13"/>
  <c r="L942" i="13" s="1"/>
  <c r="I943" i="13"/>
  <c r="L943" i="13" s="1"/>
  <c r="I944" i="13"/>
  <c r="L944" i="13" s="1"/>
  <c r="I945" i="13"/>
  <c r="L945" i="13" s="1"/>
  <c r="I946" i="13"/>
  <c r="L946" i="13" s="1"/>
  <c r="I947" i="13"/>
  <c r="L947" i="13" s="1"/>
  <c r="I948" i="13"/>
  <c r="L948" i="13" s="1"/>
  <c r="I949" i="13"/>
  <c r="L949" i="13" s="1"/>
  <c r="I950" i="13"/>
  <c r="L950" i="13" s="1"/>
  <c r="I951" i="13"/>
  <c r="L951" i="13" s="1"/>
  <c r="I952" i="13"/>
  <c r="L952" i="13" s="1"/>
  <c r="I953" i="13"/>
  <c r="L953" i="13" s="1"/>
  <c r="I954" i="13"/>
  <c r="L954" i="13" s="1"/>
  <c r="I955" i="13"/>
  <c r="L955" i="13" s="1"/>
  <c r="I956" i="13"/>
  <c r="L956" i="13" s="1"/>
  <c r="I957" i="13"/>
  <c r="L957" i="13" s="1"/>
  <c r="I958" i="13"/>
  <c r="L958" i="13" s="1"/>
  <c r="I959" i="13"/>
  <c r="L959" i="13" s="1"/>
  <c r="I960" i="13"/>
  <c r="L960" i="13" s="1"/>
  <c r="I961" i="13"/>
  <c r="L961" i="13" s="1"/>
  <c r="I962" i="13"/>
  <c r="L962" i="13" s="1"/>
  <c r="I963" i="13"/>
  <c r="L963" i="13" s="1"/>
  <c r="I964" i="13"/>
  <c r="L964" i="13" s="1"/>
  <c r="I965" i="13"/>
  <c r="L965" i="13" s="1"/>
  <c r="I966" i="13"/>
  <c r="L966" i="13" s="1"/>
  <c r="I967" i="13"/>
  <c r="L967" i="13" s="1"/>
  <c r="I968" i="13"/>
  <c r="L968" i="13" s="1"/>
  <c r="I969" i="13"/>
  <c r="L969" i="13" s="1"/>
  <c r="I970" i="13"/>
  <c r="L970" i="13" s="1"/>
  <c r="I971" i="13"/>
  <c r="L971" i="13" s="1"/>
  <c r="I972" i="13"/>
  <c r="L972" i="13" s="1"/>
  <c r="I973" i="13"/>
  <c r="L973" i="13" s="1"/>
  <c r="I974" i="13"/>
  <c r="L974" i="13" s="1"/>
  <c r="I975" i="13"/>
  <c r="L975" i="13" s="1"/>
  <c r="I976" i="13"/>
  <c r="L976" i="13" s="1"/>
  <c r="I977" i="13"/>
  <c r="L977" i="13" s="1"/>
  <c r="I978" i="13"/>
  <c r="L978" i="13" s="1"/>
  <c r="I979" i="13"/>
  <c r="L979" i="13" s="1"/>
  <c r="I980" i="13"/>
  <c r="L980" i="13" s="1"/>
  <c r="I981" i="13"/>
  <c r="L981" i="13" s="1"/>
  <c r="I982" i="13"/>
  <c r="L982" i="13" s="1"/>
  <c r="I983" i="13"/>
  <c r="L983" i="13" s="1"/>
  <c r="I984" i="13"/>
  <c r="L984" i="13" s="1"/>
  <c r="I985" i="13"/>
  <c r="L985" i="13" s="1"/>
  <c r="I986" i="13"/>
  <c r="L986" i="13" s="1"/>
  <c r="I987" i="13"/>
  <c r="L987" i="13" s="1"/>
  <c r="I988" i="13"/>
  <c r="L988" i="13" s="1"/>
  <c r="I989" i="13"/>
  <c r="L989" i="13" s="1"/>
  <c r="I990" i="13"/>
  <c r="L990" i="13" s="1"/>
  <c r="I991" i="13"/>
  <c r="L991" i="13" s="1"/>
  <c r="I992" i="13"/>
  <c r="L992" i="13" s="1"/>
  <c r="I993" i="13"/>
  <c r="L993" i="13" s="1"/>
  <c r="I994" i="13"/>
  <c r="L994" i="13" s="1"/>
  <c r="I995" i="13"/>
  <c r="L995" i="13" s="1"/>
  <c r="I996" i="13"/>
  <c r="L996" i="13" s="1"/>
  <c r="I997" i="13"/>
  <c r="L997" i="13" s="1"/>
  <c r="I998" i="13"/>
  <c r="L998" i="13" s="1"/>
  <c r="I999" i="13"/>
  <c r="L999" i="13" s="1"/>
  <c r="I1000" i="13"/>
  <c r="L1000" i="13" s="1"/>
  <c r="I1001" i="13"/>
  <c r="L1001" i="13" s="1"/>
  <c r="I1002" i="13"/>
  <c r="L1002" i="13" s="1"/>
  <c r="I1003" i="13"/>
  <c r="L1003" i="13" s="1"/>
  <c r="I1004" i="13"/>
  <c r="L1004" i="13" s="1"/>
  <c r="I1005" i="13"/>
  <c r="L1005" i="13" s="1"/>
  <c r="I1006" i="13"/>
  <c r="L1006" i="13" s="1"/>
  <c r="I1007" i="13"/>
  <c r="L1007" i="13" s="1"/>
  <c r="I1008" i="13"/>
  <c r="L1008" i="13" s="1"/>
  <c r="I1009" i="13"/>
  <c r="L1009" i="13" s="1"/>
  <c r="I1010" i="13"/>
  <c r="L1010" i="13" s="1"/>
  <c r="I1011" i="13"/>
  <c r="L1011" i="13" s="1"/>
  <c r="I1012" i="13"/>
  <c r="L1012" i="13" s="1"/>
  <c r="I1013" i="13"/>
  <c r="L1013" i="13" s="1"/>
  <c r="I1014" i="13"/>
  <c r="L1014" i="13" s="1"/>
  <c r="I1015" i="13"/>
  <c r="L1015" i="13" s="1"/>
  <c r="I1016" i="13"/>
  <c r="L1016" i="13" s="1"/>
  <c r="I1017" i="13"/>
  <c r="L1017" i="13" s="1"/>
  <c r="I1018" i="13"/>
  <c r="L1018" i="13" s="1"/>
  <c r="I1019" i="13"/>
  <c r="L1019" i="13" s="1"/>
  <c r="I1020" i="13"/>
  <c r="L1020" i="13" s="1"/>
  <c r="I1021" i="13"/>
  <c r="L1021" i="13" s="1"/>
  <c r="I1022" i="13"/>
  <c r="I1023" i="13"/>
  <c r="L1023" i="13" s="1"/>
  <c r="I1024" i="13"/>
  <c r="L1024" i="13" s="1"/>
  <c r="I1025" i="13"/>
  <c r="L1025" i="13" s="1"/>
  <c r="I1026" i="13"/>
  <c r="L1026" i="13" s="1"/>
  <c r="I1027" i="13"/>
  <c r="L1027" i="13" s="1"/>
  <c r="I1028" i="13"/>
  <c r="L1028" i="13" s="1"/>
  <c r="I1029" i="13"/>
  <c r="L1029" i="13" s="1"/>
  <c r="I1030" i="13"/>
  <c r="L1030" i="13" s="1"/>
  <c r="I1031" i="13"/>
  <c r="L1031" i="13" s="1"/>
  <c r="I1032" i="13"/>
  <c r="L1032" i="13" s="1"/>
  <c r="I1033" i="13"/>
  <c r="L1033" i="13" s="1"/>
  <c r="I1034" i="13"/>
  <c r="L1034" i="13" s="1"/>
  <c r="I1035" i="13"/>
  <c r="L1035" i="13" s="1"/>
  <c r="I1036" i="13"/>
  <c r="L1036" i="13" s="1"/>
  <c r="I1037" i="13"/>
  <c r="L1037" i="13" s="1"/>
  <c r="I1038" i="13"/>
  <c r="L1038" i="13" s="1"/>
  <c r="I1039" i="13"/>
  <c r="L1039" i="13" s="1"/>
  <c r="I1040" i="13"/>
  <c r="L1040" i="13" s="1"/>
  <c r="I1041" i="13"/>
  <c r="L1041" i="13" s="1"/>
  <c r="I1042" i="13"/>
  <c r="L1042" i="13" s="1"/>
  <c r="I1043" i="13"/>
  <c r="L1043" i="13" s="1"/>
  <c r="I1044" i="13"/>
  <c r="L1044" i="13" s="1"/>
  <c r="I1045" i="13"/>
  <c r="L1045" i="13" s="1"/>
  <c r="I1046" i="13"/>
  <c r="L1046" i="13" s="1"/>
  <c r="I1047" i="13"/>
  <c r="L1047" i="13" s="1"/>
  <c r="I1048" i="13"/>
  <c r="L1048" i="13" s="1"/>
  <c r="I1049" i="13"/>
  <c r="L1049" i="13" s="1"/>
  <c r="I1050" i="13"/>
  <c r="L1050" i="13" s="1"/>
  <c r="I1051" i="13"/>
  <c r="L1051" i="13" s="1"/>
  <c r="I1052" i="13"/>
  <c r="L1052" i="13" s="1"/>
  <c r="I1053" i="13"/>
  <c r="L1053" i="13" s="1"/>
  <c r="I1054" i="13"/>
  <c r="L1054" i="13" s="1"/>
  <c r="I1055" i="13"/>
  <c r="L1055" i="13" s="1"/>
  <c r="I1056" i="13"/>
  <c r="L1056" i="13" s="1"/>
  <c r="I1057" i="13"/>
  <c r="L1057" i="13" s="1"/>
  <c r="I1058" i="13"/>
  <c r="L1058" i="13" s="1"/>
  <c r="I1059" i="13"/>
  <c r="L1059" i="13" s="1"/>
  <c r="I1060" i="13"/>
  <c r="L1060" i="13" s="1"/>
  <c r="I1061" i="13"/>
  <c r="L1061" i="13" s="1"/>
  <c r="I1062" i="13"/>
  <c r="L1062" i="13" s="1"/>
  <c r="I1063" i="13"/>
  <c r="L1063" i="13" s="1"/>
  <c r="I1064" i="13"/>
  <c r="L1064" i="13" s="1"/>
  <c r="I1065" i="13"/>
  <c r="L1065" i="13" s="1"/>
  <c r="I1066" i="13"/>
  <c r="L1066" i="13" s="1"/>
  <c r="I1067" i="13"/>
  <c r="L1067" i="13" s="1"/>
  <c r="I1068" i="13"/>
  <c r="L1068" i="13" s="1"/>
  <c r="I1069" i="13"/>
  <c r="L1069" i="13" s="1"/>
  <c r="I1070" i="13"/>
  <c r="L1070" i="13" s="1"/>
  <c r="I1071" i="13"/>
  <c r="L1071" i="13" s="1"/>
  <c r="I1072" i="13"/>
  <c r="L1072" i="13" s="1"/>
  <c r="I1073" i="13"/>
  <c r="L1073" i="13" s="1"/>
  <c r="I1074" i="13"/>
  <c r="L1074" i="13" s="1"/>
  <c r="I1075" i="13"/>
  <c r="L1075" i="13" s="1"/>
  <c r="I1076" i="13"/>
  <c r="L1076" i="13" s="1"/>
  <c r="I1077" i="13"/>
  <c r="L1077" i="13" s="1"/>
  <c r="I1078" i="13"/>
  <c r="L1078" i="13" s="1"/>
  <c r="I1079" i="13"/>
  <c r="L1079" i="13" s="1"/>
  <c r="I1080" i="13"/>
  <c r="L1080" i="13" s="1"/>
  <c r="I1081" i="13"/>
  <c r="L1081" i="13" s="1"/>
  <c r="I1082" i="13"/>
  <c r="L1082" i="13" s="1"/>
  <c r="I1083" i="13"/>
  <c r="L1083" i="13" s="1"/>
  <c r="I1084" i="13"/>
  <c r="L1084" i="13" s="1"/>
  <c r="I1085" i="13"/>
  <c r="L1085" i="13" s="1"/>
  <c r="I1086" i="13"/>
  <c r="L1086" i="13" s="1"/>
  <c r="I1087" i="13"/>
  <c r="L1087" i="13" s="1"/>
  <c r="I1088" i="13"/>
  <c r="L1088" i="13" s="1"/>
  <c r="I1089" i="13"/>
  <c r="L1089" i="13" s="1"/>
  <c r="I1090" i="13"/>
  <c r="L1090" i="13" s="1"/>
  <c r="I1091" i="13"/>
  <c r="L1091" i="13" s="1"/>
  <c r="I1092" i="13"/>
  <c r="L1092" i="13" s="1"/>
  <c r="I1093" i="13"/>
  <c r="L1093" i="13" s="1"/>
  <c r="I1094" i="13"/>
  <c r="L1094" i="13" s="1"/>
  <c r="I1095" i="13"/>
  <c r="L1095" i="13" s="1"/>
  <c r="I1096" i="13"/>
  <c r="L1096" i="13" s="1"/>
  <c r="I1097" i="13"/>
  <c r="L1097" i="13" s="1"/>
  <c r="I1098" i="13"/>
  <c r="L1098" i="13" s="1"/>
  <c r="I1099" i="13"/>
  <c r="L1099" i="13" s="1"/>
  <c r="I1100" i="13"/>
  <c r="L1100" i="13" s="1"/>
  <c r="I1101" i="13"/>
  <c r="L1101" i="13" s="1"/>
  <c r="I1102" i="13"/>
  <c r="L1102" i="13" s="1"/>
  <c r="I1103" i="13"/>
  <c r="L1103" i="13" s="1"/>
  <c r="I1104" i="13"/>
  <c r="L1104" i="13" s="1"/>
  <c r="I1105" i="13"/>
  <c r="L1105" i="13" s="1"/>
  <c r="I1106" i="13"/>
  <c r="L1106" i="13" s="1"/>
  <c r="I1107" i="13"/>
  <c r="L1107" i="13" s="1"/>
  <c r="I1108" i="13"/>
  <c r="L1108" i="13" s="1"/>
  <c r="I1109" i="13"/>
  <c r="L1109" i="13" s="1"/>
  <c r="I1110" i="13"/>
  <c r="L1110" i="13" s="1"/>
  <c r="I1111" i="13"/>
  <c r="L1111" i="13" s="1"/>
  <c r="I1112" i="13"/>
  <c r="L1112" i="13" s="1"/>
  <c r="I1113" i="13"/>
  <c r="L1113" i="13" s="1"/>
  <c r="I1114" i="13"/>
  <c r="L1114" i="13" s="1"/>
  <c r="I1115" i="13"/>
  <c r="L1115" i="13" s="1"/>
  <c r="I1116" i="13"/>
  <c r="L1116" i="13" s="1"/>
  <c r="I1117" i="13"/>
  <c r="L1117" i="13" s="1"/>
  <c r="I1118" i="13"/>
  <c r="L1118" i="13" s="1"/>
  <c r="I1119" i="13"/>
  <c r="L1119" i="13" s="1"/>
  <c r="I1120" i="13"/>
  <c r="L1120" i="13" s="1"/>
  <c r="I1121" i="13"/>
  <c r="L1121" i="13" s="1"/>
  <c r="I1122" i="13"/>
  <c r="L1122" i="13" s="1"/>
  <c r="I1123" i="13"/>
  <c r="L1123" i="13" s="1"/>
  <c r="I1124" i="13"/>
  <c r="L1124" i="13" s="1"/>
  <c r="I1125" i="13"/>
  <c r="L1125" i="13" s="1"/>
  <c r="I1126" i="13"/>
  <c r="L1126" i="13" s="1"/>
  <c r="I1127" i="13"/>
  <c r="L1127" i="13" s="1"/>
  <c r="I1128" i="13"/>
  <c r="L1128" i="13" s="1"/>
  <c r="I1129" i="13"/>
  <c r="L1129" i="13" s="1"/>
  <c r="I1130" i="13"/>
  <c r="L1130" i="13" s="1"/>
  <c r="I1131" i="13"/>
  <c r="L1131" i="13" s="1"/>
  <c r="I1132" i="13"/>
  <c r="L1132" i="13" s="1"/>
  <c r="I1133" i="13"/>
  <c r="L1133" i="13" s="1"/>
  <c r="I1134" i="13"/>
  <c r="L1134" i="13" s="1"/>
  <c r="I1135" i="13"/>
  <c r="L1135" i="13" s="1"/>
  <c r="I1136" i="13"/>
  <c r="L1136" i="13" s="1"/>
  <c r="I1137" i="13"/>
  <c r="L1137" i="13" s="1"/>
  <c r="I1138" i="13"/>
  <c r="L1138" i="13" s="1"/>
  <c r="I1139" i="13"/>
  <c r="L1139" i="13" s="1"/>
  <c r="I1140" i="13"/>
  <c r="L1140" i="13" s="1"/>
  <c r="I1141" i="13"/>
  <c r="L1141" i="13" s="1"/>
  <c r="I1142" i="13"/>
  <c r="L1142" i="13" s="1"/>
  <c r="I1143" i="13"/>
  <c r="L1143" i="13" s="1"/>
  <c r="I1144" i="13"/>
  <c r="L1144" i="13" s="1"/>
  <c r="I1145" i="13"/>
  <c r="L1145" i="13" s="1"/>
  <c r="I1146" i="13"/>
  <c r="L1146" i="13" s="1"/>
  <c r="I1147" i="13"/>
  <c r="L1147" i="13" s="1"/>
  <c r="I1148" i="13"/>
  <c r="L1148" i="13" s="1"/>
  <c r="I1149" i="13"/>
  <c r="L1149" i="13" s="1"/>
  <c r="I1150" i="13"/>
  <c r="L1150" i="13" s="1"/>
  <c r="I1151" i="13"/>
  <c r="L1151" i="13" s="1"/>
  <c r="I1152" i="13"/>
  <c r="L1152" i="13" s="1"/>
  <c r="I1153" i="13"/>
  <c r="L1153" i="13" s="1"/>
  <c r="I1154" i="13"/>
  <c r="L1154" i="13" s="1"/>
  <c r="I1155" i="13"/>
  <c r="L1155" i="13" s="1"/>
  <c r="I1156" i="13"/>
  <c r="L1156" i="13" s="1"/>
  <c r="I1157" i="13"/>
  <c r="L1157" i="13" s="1"/>
  <c r="I1158" i="13"/>
  <c r="L1158" i="13" s="1"/>
  <c r="I1159" i="13"/>
  <c r="L1159" i="13" s="1"/>
  <c r="I1160" i="13"/>
  <c r="L1160" i="13" s="1"/>
  <c r="I1161" i="13"/>
  <c r="L1161" i="13" s="1"/>
  <c r="I1162" i="13"/>
  <c r="L1162" i="13" s="1"/>
  <c r="I1163" i="13"/>
  <c r="L1163" i="13" s="1"/>
  <c r="I1164" i="13"/>
  <c r="L1164" i="13" s="1"/>
  <c r="I1165" i="13"/>
  <c r="L1165" i="13" s="1"/>
  <c r="I1166" i="13"/>
  <c r="L1166" i="13" s="1"/>
  <c r="I1167" i="13"/>
  <c r="L1167" i="13" s="1"/>
  <c r="I1168" i="13"/>
  <c r="L1168" i="13" s="1"/>
  <c r="I1169" i="13"/>
  <c r="L1169" i="13" s="1"/>
  <c r="I1170" i="13"/>
  <c r="L1170" i="13" s="1"/>
  <c r="I1171" i="13"/>
  <c r="L1171" i="13" s="1"/>
  <c r="I1172" i="13"/>
  <c r="L1172" i="13" s="1"/>
  <c r="I1173" i="13"/>
  <c r="L1173" i="13" s="1"/>
  <c r="I1174" i="13"/>
  <c r="L1174" i="13" s="1"/>
  <c r="I1175" i="13"/>
  <c r="L1175" i="13" s="1"/>
  <c r="I1176" i="13"/>
  <c r="L1176" i="13" s="1"/>
  <c r="I1177" i="13"/>
  <c r="L1177" i="13" s="1"/>
  <c r="I1178" i="13"/>
  <c r="L1178" i="13" s="1"/>
  <c r="I1179" i="13"/>
  <c r="L1179" i="13" s="1"/>
  <c r="I1180" i="13"/>
  <c r="L1180" i="13" s="1"/>
  <c r="I1181" i="13"/>
  <c r="L1181" i="13" s="1"/>
  <c r="I1182" i="13"/>
  <c r="L1182" i="13" s="1"/>
  <c r="I1183" i="13"/>
  <c r="L1183" i="13" s="1"/>
  <c r="I1184" i="13"/>
  <c r="L1184" i="13" s="1"/>
  <c r="I1185" i="13"/>
  <c r="L1185" i="13" s="1"/>
  <c r="I1186" i="13"/>
  <c r="L1186" i="13" s="1"/>
  <c r="I1187" i="13"/>
  <c r="L1187" i="13" s="1"/>
  <c r="I1188" i="13"/>
  <c r="L1188" i="13" s="1"/>
  <c r="I1189" i="13"/>
  <c r="L1189" i="13" s="1"/>
  <c r="I1190" i="13"/>
  <c r="L1190" i="13" s="1"/>
  <c r="I1191" i="13"/>
  <c r="L1191" i="13" s="1"/>
  <c r="I1192" i="13"/>
  <c r="L1192" i="13" s="1"/>
  <c r="I1193" i="13"/>
  <c r="L1193" i="13" s="1"/>
  <c r="I1194" i="13"/>
  <c r="L1194" i="13" s="1"/>
  <c r="I1195" i="13"/>
  <c r="L1195" i="13" s="1"/>
  <c r="I1196" i="13"/>
  <c r="L1196" i="13" s="1"/>
  <c r="I1197" i="13"/>
  <c r="L1197" i="13" s="1"/>
  <c r="I1198" i="13"/>
  <c r="L1198" i="13" s="1"/>
  <c r="I1199" i="13"/>
  <c r="L1199" i="13" s="1"/>
  <c r="I1200" i="13"/>
  <c r="L1200" i="13" s="1"/>
  <c r="I1201" i="13"/>
  <c r="L1201" i="13" s="1"/>
  <c r="I1202" i="13"/>
  <c r="L1202" i="13" s="1"/>
  <c r="I1203" i="13"/>
  <c r="L1203" i="13" s="1"/>
  <c r="I1204" i="13"/>
  <c r="L1204" i="13" s="1"/>
  <c r="I1205" i="13"/>
  <c r="L1205" i="13" s="1"/>
  <c r="I1206" i="13"/>
  <c r="L1206" i="13" s="1"/>
  <c r="I1207" i="13"/>
  <c r="L1207" i="13" s="1"/>
  <c r="I1208" i="13"/>
  <c r="L1208" i="13" s="1"/>
  <c r="I1209" i="13"/>
  <c r="L1209" i="13" s="1"/>
  <c r="I1210" i="13"/>
  <c r="L1210" i="13" s="1"/>
  <c r="I1211" i="13"/>
  <c r="L1211" i="13" s="1"/>
  <c r="I1212" i="13"/>
  <c r="L1212" i="13" s="1"/>
  <c r="I1213" i="13"/>
  <c r="L1213" i="13" s="1"/>
  <c r="I1214" i="13"/>
  <c r="L1214" i="13" s="1"/>
  <c r="I1215" i="13"/>
  <c r="L1215" i="13" s="1"/>
  <c r="I1216" i="13"/>
  <c r="L1216" i="13" s="1"/>
  <c r="I1217" i="13"/>
  <c r="L1217" i="13" s="1"/>
  <c r="I1218" i="13"/>
  <c r="L1218" i="13" s="1"/>
  <c r="I1219" i="13"/>
  <c r="L1219" i="13" s="1"/>
  <c r="I1220" i="13"/>
  <c r="L1220" i="13" s="1"/>
  <c r="I1221" i="13"/>
  <c r="L1221" i="13" s="1"/>
  <c r="I1222" i="13"/>
  <c r="L1222" i="13" s="1"/>
  <c r="I1223" i="13"/>
  <c r="L1223" i="13" s="1"/>
  <c r="I1224" i="13"/>
  <c r="L1224" i="13" s="1"/>
  <c r="I1225" i="13"/>
  <c r="L1225" i="13" s="1"/>
  <c r="I1226" i="13"/>
  <c r="L1226" i="13" s="1"/>
  <c r="I1227" i="13"/>
  <c r="L1227" i="13" s="1"/>
  <c r="I1228" i="13"/>
  <c r="L1228" i="13" s="1"/>
  <c r="I1229" i="13"/>
  <c r="L1229" i="13" s="1"/>
  <c r="I1230" i="13"/>
  <c r="L1230" i="13" s="1"/>
  <c r="I1231" i="13"/>
  <c r="L1231" i="13" s="1"/>
  <c r="I1232" i="13"/>
  <c r="L1232" i="13" s="1"/>
  <c r="I1233" i="13"/>
  <c r="L1233" i="13" s="1"/>
  <c r="I1234" i="13"/>
  <c r="L1234" i="13" s="1"/>
  <c r="I1235" i="13"/>
  <c r="L1235" i="13" s="1"/>
  <c r="I1236" i="13"/>
  <c r="L1236" i="13" s="1"/>
  <c r="I1237" i="13"/>
  <c r="L1237" i="13" s="1"/>
  <c r="I1238" i="13"/>
  <c r="L1238" i="13" s="1"/>
  <c r="I1239" i="13"/>
  <c r="L1239" i="13" s="1"/>
  <c r="I1240" i="13"/>
  <c r="L1240" i="13" s="1"/>
  <c r="I1241" i="13"/>
  <c r="L1241" i="13" s="1"/>
  <c r="I1242" i="13"/>
  <c r="L1242" i="13" s="1"/>
  <c r="I1243" i="13"/>
  <c r="L1243" i="13" s="1"/>
  <c r="I1244" i="13"/>
  <c r="L1244" i="13" s="1"/>
  <c r="I1245" i="13"/>
  <c r="L1245" i="13" s="1"/>
  <c r="I1246" i="13"/>
  <c r="L1246" i="13" s="1"/>
  <c r="I1247" i="13"/>
  <c r="L1247" i="13" s="1"/>
  <c r="I1248" i="13"/>
  <c r="L1248" i="13" s="1"/>
  <c r="I1249" i="13"/>
  <c r="L1249" i="13" s="1"/>
  <c r="I1250" i="13"/>
  <c r="L1250" i="13" s="1"/>
  <c r="I1251" i="13"/>
  <c r="L1251" i="13" s="1"/>
  <c r="I1252" i="13"/>
  <c r="L1252" i="13" s="1"/>
  <c r="I1253" i="13"/>
  <c r="L1253" i="13" s="1"/>
  <c r="I1254" i="13"/>
  <c r="L1254" i="13" s="1"/>
  <c r="I1255" i="13"/>
  <c r="L1255" i="13" s="1"/>
  <c r="I1256" i="13"/>
  <c r="L1256" i="13" s="1"/>
  <c r="I1257" i="13"/>
  <c r="L1257" i="13" s="1"/>
  <c r="I1258" i="13"/>
  <c r="L1258" i="13" s="1"/>
  <c r="I1259" i="13"/>
  <c r="L1259" i="13" s="1"/>
  <c r="I1260" i="13"/>
  <c r="L1260" i="13" s="1"/>
  <c r="I1261" i="13"/>
  <c r="L1261" i="13" s="1"/>
  <c r="I1262" i="13"/>
  <c r="L1262" i="13" s="1"/>
  <c r="I1263" i="13"/>
  <c r="L1263" i="13" s="1"/>
  <c r="I1264" i="13"/>
  <c r="L1264" i="13" s="1"/>
  <c r="I1265" i="13"/>
  <c r="L1265" i="13" s="1"/>
  <c r="I1266" i="13"/>
  <c r="L1266" i="13" s="1"/>
  <c r="I1267" i="13"/>
  <c r="L1267" i="13" s="1"/>
  <c r="I1268" i="13"/>
  <c r="L1268" i="13" s="1"/>
  <c r="I1269" i="13"/>
  <c r="L1269" i="13" s="1"/>
  <c r="I1270" i="13"/>
  <c r="L1270" i="13" s="1"/>
  <c r="I1271" i="13"/>
  <c r="L1271" i="13" s="1"/>
  <c r="I1272" i="13"/>
  <c r="L1272" i="13" s="1"/>
  <c r="I1273" i="13"/>
  <c r="L1273" i="13" s="1"/>
  <c r="I1274" i="13"/>
  <c r="L1274" i="13" s="1"/>
  <c r="I1275" i="13"/>
  <c r="L1275" i="13" s="1"/>
  <c r="I1276" i="13"/>
  <c r="L1276" i="13" s="1"/>
  <c r="I1277" i="13"/>
  <c r="L1277" i="13" s="1"/>
  <c r="I1278" i="13"/>
  <c r="L1278" i="13" s="1"/>
  <c r="I1279" i="13"/>
  <c r="L1279" i="13" s="1"/>
  <c r="I1280" i="13"/>
  <c r="L1280" i="13" s="1"/>
  <c r="I1281" i="13"/>
  <c r="L1281" i="13" s="1"/>
  <c r="I1282" i="13"/>
  <c r="L1282" i="13" s="1"/>
  <c r="I1283" i="13"/>
  <c r="L1283" i="13" s="1"/>
  <c r="I1284" i="13"/>
  <c r="L1284" i="13" s="1"/>
  <c r="I1285" i="13"/>
  <c r="L1285" i="13" s="1"/>
  <c r="I1286" i="13"/>
  <c r="L1286" i="13" s="1"/>
  <c r="I1287" i="13"/>
  <c r="L1287" i="13" s="1"/>
  <c r="I1288" i="13"/>
  <c r="L1288" i="13" s="1"/>
  <c r="I1289" i="13"/>
  <c r="L1289" i="13" s="1"/>
  <c r="I1290" i="13"/>
  <c r="L1290" i="13" s="1"/>
  <c r="I1291" i="13"/>
  <c r="L1291" i="13" s="1"/>
  <c r="I1292" i="13"/>
  <c r="L1292" i="13" s="1"/>
  <c r="I1293" i="13"/>
  <c r="L1293" i="13" s="1"/>
  <c r="I1294" i="13"/>
  <c r="L1294" i="13" s="1"/>
  <c r="I1295" i="13"/>
  <c r="L1295" i="13" s="1"/>
  <c r="I1296" i="13"/>
  <c r="L1296" i="13" s="1"/>
  <c r="I1297" i="13"/>
  <c r="L1297" i="13" s="1"/>
  <c r="I1298" i="13"/>
  <c r="L1298" i="13" s="1"/>
  <c r="I1299" i="13"/>
  <c r="L1299" i="13" s="1"/>
  <c r="I1300" i="13"/>
  <c r="L1300" i="13" s="1"/>
  <c r="I1301" i="13"/>
  <c r="L1301" i="13" s="1"/>
  <c r="I1302" i="13"/>
  <c r="L1302" i="13" s="1"/>
  <c r="I1303" i="13"/>
  <c r="L1303" i="13" s="1"/>
  <c r="I1304" i="13"/>
  <c r="L1304" i="13" s="1"/>
  <c r="I1305" i="13"/>
  <c r="L1305" i="13" s="1"/>
  <c r="I1306" i="13"/>
  <c r="L1306" i="13" s="1"/>
  <c r="I1307" i="13"/>
  <c r="L1307" i="13" s="1"/>
  <c r="I1308" i="13"/>
  <c r="L1308" i="13" s="1"/>
  <c r="I1309" i="13"/>
  <c r="L1309" i="13" s="1"/>
  <c r="I1310" i="13"/>
  <c r="L1310" i="13" s="1"/>
  <c r="I1311" i="13"/>
  <c r="L1311" i="13" s="1"/>
  <c r="I1312" i="13"/>
  <c r="L1312" i="13" s="1"/>
  <c r="I1313" i="13"/>
  <c r="L1313" i="13" s="1"/>
  <c r="I1314" i="13"/>
  <c r="L1314" i="13" s="1"/>
  <c r="I1315" i="13"/>
  <c r="L1315" i="13" s="1"/>
  <c r="I1316" i="13"/>
  <c r="L1316" i="13" s="1"/>
  <c r="I1317" i="13"/>
  <c r="L1317" i="13" s="1"/>
  <c r="I1318" i="13"/>
  <c r="L1318" i="13" s="1"/>
  <c r="I1319" i="13"/>
  <c r="L1319" i="13" s="1"/>
  <c r="I1320" i="13"/>
  <c r="L1320" i="13" s="1"/>
  <c r="I1321" i="13"/>
  <c r="L1321" i="13" s="1"/>
  <c r="I1322" i="13"/>
  <c r="L1322" i="13" s="1"/>
  <c r="I1323" i="13"/>
  <c r="L1323" i="13" s="1"/>
  <c r="I1324" i="13"/>
  <c r="L1324" i="13" s="1"/>
  <c r="I1325" i="13"/>
  <c r="L1325" i="13" s="1"/>
  <c r="I1326" i="13"/>
  <c r="L1326" i="13" s="1"/>
  <c r="I1327" i="13"/>
  <c r="L1327" i="13" s="1"/>
  <c r="I1328" i="13"/>
  <c r="L1328" i="13" s="1"/>
  <c r="I1329" i="13"/>
  <c r="L1329" i="13" s="1"/>
  <c r="I1330" i="13"/>
  <c r="L1330" i="13" s="1"/>
  <c r="I1331" i="13"/>
  <c r="L1331" i="13" s="1"/>
  <c r="I1332" i="13"/>
  <c r="L1332" i="13" s="1"/>
  <c r="I1333" i="13"/>
  <c r="L1333" i="13" s="1"/>
  <c r="I1334" i="13"/>
  <c r="L1334" i="13" s="1"/>
  <c r="I1335" i="13"/>
  <c r="L1335" i="13" s="1"/>
  <c r="I1336" i="13"/>
  <c r="L1336" i="13" s="1"/>
  <c r="I1337" i="13"/>
  <c r="L1337" i="13" s="1"/>
  <c r="I1338" i="13"/>
  <c r="L1338" i="13" s="1"/>
  <c r="I1339" i="13"/>
  <c r="L1339" i="13" s="1"/>
  <c r="I1340" i="13"/>
  <c r="L1340" i="13" s="1"/>
  <c r="I1341" i="13"/>
  <c r="L1341" i="13" s="1"/>
  <c r="I1342" i="13"/>
  <c r="L1342" i="13" s="1"/>
  <c r="I1343" i="13"/>
  <c r="L1343" i="13" s="1"/>
  <c r="I1344" i="13"/>
  <c r="L1344" i="13" s="1"/>
  <c r="I1345" i="13"/>
  <c r="L1345" i="13" s="1"/>
  <c r="I1346" i="13"/>
  <c r="L1346" i="13" s="1"/>
  <c r="I1347" i="13"/>
  <c r="L1347" i="13" s="1"/>
  <c r="I1348" i="13"/>
  <c r="L1348" i="13" s="1"/>
  <c r="I1349" i="13"/>
  <c r="L1349" i="13" s="1"/>
  <c r="I1350" i="13"/>
  <c r="L1350" i="13" s="1"/>
  <c r="I1351" i="13"/>
  <c r="L1351" i="13" s="1"/>
  <c r="I1352" i="13"/>
  <c r="L1352" i="13" s="1"/>
  <c r="I1353" i="13"/>
  <c r="L1353" i="13" s="1"/>
  <c r="I1354" i="13"/>
  <c r="L1354" i="13" s="1"/>
  <c r="I1355" i="13"/>
  <c r="L1355" i="13" s="1"/>
  <c r="I1356" i="13"/>
  <c r="L1356" i="13" s="1"/>
  <c r="I1357" i="13"/>
  <c r="L1357" i="13" s="1"/>
  <c r="I1358" i="13"/>
  <c r="L1358" i="13" s="1"/>
  <c r="I1359" i="13"/>
  <c r="L1359" i="13" s="1"/>
  <c r="I1360" i="13"/>
  <c r="L1360" i="13" s="1"/>
  <c r="I1361" i="13"/>
  <c r="L1361" i="13" s="1"/>
  <c r="I1362" i="13"/>
  <c r="L1362" i="13" s="1"/>
  <c r="I1363" i="13"/>
  <c r="L1363" i="13" s="1"/>
  <c r="I1364" i="13"/>
  <c r="L1364" i="13" s="1"/>
  <c r="I1365" i="13"/>
  <c r="L1365" i="13" s="1"/>
  <c r="I1366" i="13"/>
  <c r="L1366" i="13" s="1"/>
  <c r="I1367" i="13"/>
  <c r="L1367" i="13" s="1"/>
  <c r="I1368" i="13"/>
  <c r="L1368" i="13" s="1"/>
  <c r="I1369" i="13"/>
  <c r="L1369" i="13" s="1"/>
  <c r="I1370" i="13"/>
  <c r="L1370" i="13" s="1"/>
  <c r="I1371" i="13"/>
  <c r="L1371" i="13" s="1"/>
  <c r="I1372" i="13"/>
  <c r="L1372" i="13" s="1"/>
  <c r="I1373" i="13"/>
  <c r="L1373" i="13" s="1"/>
  <c r="I1374" i="13"/>
  <c r="L1374" i="13" s="1"/>
  <c r="I1375" i="13"/>
  <c r="L1375" i="13" s="1"/>
  <c r="I1376" i="13"/>
  <c r="L1376" i="13" s="1"/>
  <c r="I1377" i="13"/>
  <c r="L1377" i="13" s="1"/>
  <c r="I1378" i="13"/>
  <c r="L1378" i="13" s="1"/>
  <c r="I1379" i="13"/>
  <c r="L1379" i="13" s="1"/>
  <c r="I1380" i="13"/>
  <c r="L1380" i="13" s="1"/>
  <c r="I1381" i="13"/>
  <c r="L1381" i="13" s="1"/>
  <c r="I1382" i="13"/>
  <c r="L1382" i="13" s="1"/>
  <c r="I1383" i="13"/>
  <c r="L1383" i="13" s="1"/>
  <c r="I1384" i="13"/>
  <c r="L1384" i="13" s="1"/>
  <c r="I1385" i="13"/>
  <c r="L1385" i="13" s="1"/>
  <c r="I1386" i="13"/>
  <c r="L1386" i="13" s="1"/>
  <c r="I1387" i="13"/>
  <c r="L1387" i="13" s="1"/>
  <c r="I1388" i="13"/>
  <c r="L1388" i="13" s="1"/>
  <c r="I1389" i="13"/>
  <c r="L1389" i="13" s="1"/>
  <c r="I1390" i="13"/>
  <c r="L1390" i="13" s="1"/>
  <c r="I1391" i="13"/>
  <c r="L1391" i="13" s="1"/>
  <c r="I1392" i="13"/>
  <c r="L1392" i="13" s="1"/>
  <c r="I1393" i="13"/>
  <c r="L1393" i="13" s="1"/>
  <c r="I1394" i="13"/>
  <c r="L1394" i="13" s="1"/>
  <c r="I1395" i="13"/>
  <c r="L1395" i="13" s="1"/>
  <c r="I1396" i="13"/>
  <c r="L1396" i="13" s="1"/>
  <c r="I1397" i="13"/>
  <c r="L1397" i="13" s="1"/>
  <c r="I1398" i="13"/>
  <c r="L1398" i="13" s="1"/>
  <c r="I1399" i="13"/>
  <c r="L1399" i="13" s="1"/>
  <c r="I1400" i="13"/>
  <c r="L1400" i="13" s="1"/>
  <c r="I1401" i="13"/>
  <c r="L1401" i="13" s="1"/>
  <c r="I1402" i="13"/>
  <c r="I1403" i="13"/>
  <c r="L1403" i="13" s="1"/>
  <c r="I1404" i="13"/>
  <c r="L1404" i="13" s="1"/>
  <c r="I1405" i="13"/>
  <c r="L1405" i="13" s="1"/>
  <c r="I1406" i="13"/>
  <c r="L1406" i="13" s="1"/>
  <c r="I1407" i="13"/>
  <c r="L1407" i="13" s="1"/>
  <c r="I1408" i="13"/>
  <c r="L1408" i="13" s="1"/>
  <c r="I1409" i="13"/>
  <c r="L1409" i="13" s="1"/>
  <c r="I1410" i="13"/>
  <c r="L1410" i="13" s="1"/>
  <c r="I1411" i="13"/>
  <c r="L1411" i="13" s="1"/>
  <c r="I1412" i="13"/>
  <c r="L1412" i="13" s="1"/>
  <c r="I1413" i="13"/>
  <c r="L1413" i="13" s="1"/>
  <c r="I1414" i="13"/>
  <c r="L1414" i="13" s="1"/>
  <c r="I1415" i="13"/>
  <c r="L1415" i="13" s="1"/>
  <c r="I1416" i="13"/>
  <c r="L1416" i="13" s="1"/>
  <c r="I1417" i="13"/>
  <c r="L1417" i="13" s="1"/>
  <c r="I1418" i="13"/>
  <c r="L1418" i="13" s="1"/>
  <c r="I1419" i="13"/>
  <c r="L1419" i="13" s="1"/>
  <c r="I1420" i="13"/>
  <c r="L1420" i="13" s="1"/>
  <c r="I1421" i="13"/>
  <c r="L1421" i="13" s="1"/>
  <c r="I1422" i="13"/>
  <c r="L1422" i="13" s="1"/>
  <c r="I1423" i="13"/>
  <c r="L1423" i="13" s="1"/>
  <c r="I1424" i="13"/>
  <c r="L1424" i="13" s="1"/>
  <c r="I1425" i="13"/>
  <c r="L1425" i="13" s="1"/>
  <c r="I1426" i="13"/>
  <c r="L1426" i="13" s="1"/>
  <c r="I1427" i="13"/>
  <c r="L1427" i="13" s="1"/>
  <c r="I1428" i="13"/>
  <c r="L1428" i="13" s="1"/>
  <c r="I1429" i="13"/>
  <c r="L1429" i="13" s="1"/>
  <c r="I1430" i="13"/>
  <c r="L1430" i="13" s="1"/>
  <c r="I1431" i="13"/>
  <c r="L1431" i="13" s="1"/>
  <c r="I1432" i="13"/>
  <c r="L1432" i="13" s="1"/>
  <c r="I1433" i="13"/>
  <c r="L1433" i="13" s="1"/>
  <c r="I1434" i="13"/>
  <c r="L1434" i="13" s="1"/>
  <c r="I1435" i="13"/>
  <c r="L1435" i="13" s="1"/>
  <c r="I1436" i="13"/>
  <c r="L1436" i="13" s="1"/>
  <c r="I1437" i="13"/>
  <c r="L1437" i="13" s="1"/>
  <c r="I1438" i="13"/>
  <c r="L1438" i="13" s="1"/>
  <c r="I1439" i="13"/>
  <c r="L1439" i="13" s="1"/>
  <c r="I1440" i="13"/>
  <c r="L1440" i="13" s="1"/>
  <c r="I1441" i="13"/>
  <c r="L1441" i="13" s="1"/>
  <c r="I1442" i="13"/>
  <c r="L1442" i="13" s="1"/>
  <c r="I1443" i="13"/>
  <c r="L1443" i="13" s="1"/>
  <c r="I1444" i="13"/>
  <c r="L1444" i="13" s="1"/>
  <c r="I1445" i="13"/>
  <c r="L1445" i="13" s="1"/>
  <c r="I1446" i="13"/>
  <c r="L1446" i="13" s="1"/>
  <c r="I1447" i="13"/>
  <c r="L1447" i="13" s="1"/>
  <c r="I1448" i="13"/>
  <c r="L1448" i="13" s="1"/>
  <c r="I1449" i="13"/>
  <c r="L1449" i="13" s="1"/>
  <c r="I1450" i="13"/>
  <c r="L1450" i="13" s="1"/>
  <c r="I1451" i="13"/>
  <c r="L1451" i="13" s="1"/>
  <c r="I1452" i="13"/>
  <c r="L1452" i="13" s="1"/>
  <c r="I1453" i="13"/>
  <c r="L1453" i="13" s="1"/>
  <c r="I1454" i="13"/>
  <c r="L1454" i="13" s="1"/>
  <c r="I1455" i="13"/>
  <c r="L1455" i="13" s="1"/>
  <c r="I1456" i="13"/>
  <c r="L1456" i="13" s="1"/>
  <c r="I1457" i="13"/>
  <c r="L1457" i="13" s="1"/>
  <c r="I1458" i="13"/>
  <c r="L1458" i="13" s="1"/>
  <c r="I1459" i="13"/>
  <c r="L1459" i="13" s="1"/>
  <c r="I1460" i="13"/>
  <c r="L1460" i="13" s="1"/>
  <c r="I1461" i="13"/>
  <c r="L1461" i="13" s="1"/>
  <c r="I1462" i="13"/>
  <c r="L1462" i="13" s="1"/>
  <c r="I1463" i="13"/>
  <c r="L1463" i="13" s="1"/>
  <c r="I1464" i="13"/>
  <c r="L1464" i="13" s="1"/>
  <c r="I1465" i="13"/>
  <c r="L1465" i="13" s="1"/>
  <c r="I1466" i="13"/>
  <c r="L1466" i="13" s="1"/>
  <c r="I1467" i="13"/>
  <c r="L1467" i="13" s="1"/>
  <c r="I1468" i="13"/>
  <c r="L1468" i="13" s="1"/>
  <c r="I1469" i="13"/>
  <c r="L1469" i="13" s="1"/>
  <c r="I1470" i="13"/>
  <c r="L1470" i="13" s="1"/>
  <c r="I1471" i="13"/>
  <c r="L1471" i="13" s="1"/>
  <c r="I1472" i="13"/>
  <c r="L1472" i="13" s="1"/>
  <c r="I1473" i="13"/>
  <c r="L1473" i="13" s="1"/>
  <c r="I1474" i="13"/>
  <c r="L1474" i="13" s="1"/>
  <c r="I1475" i="13"/>
  <c r="L1475" i="13" s="1"/>
  <c r="I1476" i="13"/>
  <c r="L1476" i="13" s="1"/>
  <c r="I1477" i="13"/>
  <c r="L1477" i="13" s="1"/>
  <c r="I1478" i="13"/>
  <c r="L1478" i="13" s="1"/>
  <c r="I1479" i="13"/>
  <c r="L1479" i="13" s="1"/>
  <c r="I1480" i="13"/>
  <c r="L1480" i="13" s="1"/>
  <c r="I1481" i="13"/>
  <c r="L1481" i="13" s="1"/>
  <c r="I1482" i="13"/>
  <c r="L1482" i="13" s="1"/>
  <c r="I1483" i="13"/>
  <c r="L1483" i="13" s="1"/>
  <c r="I1484" i="13"/>
  <c r="L1484" i="13" s="1"/>
  <c r="I1485" i="13"/>
  <c r="L1485" i="13" s="1"/>
  <c r="I1486" i="13"/>
  <c r="L1486" i="13" s="1"/>
  <c r="I1487" i="13"/>
  <c r="L1487" i="13" s="1"/>
  <c r="I1488" i="13"/>
  <c r="L1488" i="13" s="1"/>
  <c r="I1489" i="13"/>
  <c r="L1489" i="13" s="1"/>
  <c r="I1490" i="13"/>
  <c r="L1490" i="13" s="1"/>
  <c r="I1491" i="13"/>
  <c r="L1491" i="13" s="1"/>
  <c r="I1492" i="13"/>
  <c r="L1492" i="13" s="1"/>
  <c r="I1493" i="13"/>
  <c r="L1493" i="13" s="1"/>
  <c r="I1494" i="13"/>
  <c r="L1494" i="13" s="1"/>
  <c r="I1495" i="13"/>
  <c r="L1495" i="13" s="1"/>
  <c r="I1496" i="13"/>
  <c r="L1496" i="13" s="1"/>
  <c r="I1497" i="13"/>
  <c r="L1497" i="13" s="1"/>
  <c r="I1498" i="13"/>
  <c r="L1498" i="13" s="1"/>
  <c r="I1499" i="13"/>
  <c r="L1499" i="13" s="1"/>
  <c r="I1500" i="13"/>
  <c r="L1500" i="13" s="1"/>
  <c r="I1501" i="13"/>
  <c r="L1501" i="13" s="1"/>
  <c r="I1502" i="13"/>
  <c r="L1502" i="13" s="1"/>
  <c r="I1503" i="13"/>
  <c r="L1503" i="13" s="1"/>
  <c r="I1504" i="13"/>
  <c r="L1504" i="13" s="1"/>
  <c r="I1505" i="13"/>
  <c r="L1505" i="13" s="1"/>
  <c r="I1506" i="13"/>
  <c r="L1506" i="13" s="1"/>
  <c r="I1507" i="13"/>
  <c r="L1507" i="13" s="1"/>
  <c r="I1508" i="13"/>
  <c r="L1508" i="13" s="1"/>
  <c r="I1509" i="13"/>
  <c r="L1509" i="13" s="1"/>
  <c r="I1510" i="13"/>
  <c r="L1510" i="13" s="1"/>
  <c r="I1511" i="13"/>
  <c r="L1511" i="13" s="1"/>
  <c r="I1512" i="13"/>
  <c r="L1512" i="13" s="1"/>
  <c r="I1513" i="13"/>
  <c r="L1513" i="13" s="1"/>
  <c r="I1514" i="13"/>
  <c r="L1514" i="13" s="1"/>
  <c r="I1515" i="13"/>
  <c r="L1515" i="13" s="1"/>
  <c r="I1516" i="13"/>
  <c r="L1516" i="13" s="1"/>
  <c r="I1517" i="13"/>
  <c r="L1517" i="13" s="1"/>
  <c r="I1518" i="13"/>
  <c r="L1518" i="13" s="1"/>
  <c r="I1519" i="13"/>
  <c r="L1519" i="13" s="1"/>
  <c r="I1520" i="13"/>
  <c r="L1520" i="13" s="1"/>
  <c r="I1521" i="13"/>
  <c r="L1521" i="13" s="1"/>
  <c r="I1522" i="13"/>
  <c r="L1522" i="13" s="1"/>
  <c r="I1523" i="13"/>
  <c r="L1523" i="13" s="1"/>
  <c r="I1524" i="13"/>
  <c r="L1524" i="13" s="1"/>
  <c r="I1525" i="13"/>
  <c r="L1525" i="13" s="1"/>
  <c r="I1526" i="13"/>
  <c r="L1526" i="13" s="1"/>
  <c r="I1527" i="13"/>
  <c r="L1527" i="13" s="1"/>
  <c r="I1528" i="13"/>
  <c r="L1528" i="13" s="1"/>
  <c r="I1529" i="13"/>
  <c r="L1529" i="13" s="1"/>
  <c r="I1530" i="13"/>
  <c r="L1530" i="13" s="1"/>
  <c r="I1531" i="13"/>
  <c r="L1531" i="13" s="1"/>
  <c r="I1532" i="13"/>
  <c r="L1532" i="13" s="1"/>
  <c r="I1533" i="13"/>
  <c r="L1533" i="13" s="1"/>
  <c r="I1534" i="13"/>
  <c r="L1534" i="13" s="1"/>
  <c r="I1535" i="13"/>
  <c r="L1535" i="13" s="1"/>
  <c r="I1536" i="13"/>
  <c r="L1536" i="13" s="1"/>
  <c r="I1537" i="13"/>
  <c r="L1537" i="13" s="1"/>
  <c r="I1538" i="13"/>
  <c r="L1538" i="13" s="1"/>
  <c r="I1539" i="13"/>
  <c r="L1539" i="13" s="1"/>
  <c r="I1540" i="13"/>
  <c r="L1540" i="13" s="1"/>
  <c r="I1541" i="13"/>
  <c r="L1541" i="13" s="1"/>
  <c r="I1542" i="13"/>
  <c r="L1542" i="13" s="1"/>
  <c r="I1543" i="13"/>
  <c r="L1543" i="13" s="1"/>
  <c r="I1544" i="13"/>
  <c r="L1544" i="13" s="1"/>
  <c r="I1545" i="13"/>
  <c r="L1545" i="13" s="1"/>
  <c r="I1546" i="13"/>
  <c r="L1546" i="13" s="1"/>
  <c r="I1547" i="13"/>
  <c r="L1547" i="13" s="1"/>
  <c r="I1548" i="13"/>
  <c r="L1548" i="13" s="1"/>
  <c r="I1549" i="13"/>
  <c r="L1549" i="13" s="1"/>
  <c r="I1550" i="13"/>
  <c r="L1550" i="13" s="1"/>
  <c r="I1551" i="13"/>
  <c r="L1551" i="13" s="1"/>
  <c r="I1552" i="13"/>
  <c r="L1552" i="13" s="1"/>
  <c r="I1553" i="13"/>
  <c r="L1553" i="13" s="1"/>
  <c r="I1554" i="13"/>
  <c r="L1554" i="13" s="1"/>
  <c r="I1555" i="13"/>
  <c r="L1555" i="13" s="1"/>
  <c r="I1556" i="13"/>
  <c r="L1556" i="13" s="1"/>
  <c r="I1557" i="13"/>
  <c r="L1557" i="13" s="1"/>
  <c r="I1558" i="13"/>
  <c r="L1558" i="13" s="1"/>
  <c r="I1559" i="13"/>
  <c r="L1559" i="13" s="1"/>
  <c r="I1560" i="13"/>
  <c r="L1560" i="13" s="1"/>
  <c r="I1561" i="13"/>
  <c r="L1561" i="13" s="1"/>
  <c r="I1562" i="13"/>
  <c r="L1562" i="13" s="1"/>
  <c r="I1563" i="13"/>
  <c r="L1563" i="13" s="1"/>
  <c r="I1564" i="13"/>
  <c r="L1564" i="13" s="1"/>
  <c r="I1565" i="13"/>
  <c r="L1565" i="13" s="1"/>
  <c r="I1566" i="13"/>
  <c r="L1566" i="13" s="1"/>
  <c r="I1567" i="13"/>
  <c r="L1567" i="13" s="1"/>
  <c r="I1568" i="13"/>
  <c r="L1568" i="13" s="1"/>
  <c r="I1569" i="13"/>
  <c r="L1569" i="13" s="1"/>
  <c r="I1570" i="13"/>
  <c r="L1570" i="13" s="1"/>
  <c r="I1571" i="13"/>
  <c r="L1571" i="13" s="1"/>
  <c r="I1572" i="13"/>
  <c r="L1572" i="13" s="1"/>
  <c r="I1573" i="13"/>
  <c r="L1573" i="13" s="1"/>
  <c r="I1574" i="13"/>
  <c r="L1574" i="13" s="1"/>
  <c r="I1575" i="13"/>
  <c r="L1575" i="13" s="1"/>
  <c r="I1576" i="13"/>
  <c r="L1576" i="13" s="1"/>
  <c r="I1577" i="13"/>
  <c r="L1577" i="13" s="1"/>
  <c r="I1578" i="13"/>
  <c r="L1578" i="13" s="1"/>
  <c r="I1579" i="13"/>
  <c r="L1579" i="13" s="1"/>
  <c r="I1580" i="13"/>
  <c r="L1580" i="13" s="1"/>
  <c r="I1581" i="13"/>
  <c r="L1581" i="13" s="1"/>
  <c r="I1582" i="13"/>
  <c r="L1582" i="13" s="1"/>
  <c r="I1583" i="13"/>
  <c r="L1583" i="13" s="1"/>
  <c r="I1584" i="13"/>
  <c r="L1584" i="13" s="1"/>
  <c r="I1585" i="13"/>
  <c r="L1585" i="13" s="1"/>
  <c r="I1586" i="13"/>
  <c r="L1586" i="13" s="1"/>
  <c r="I1587" i="13"/>
  <c r="L1587" i="13" s="1"/>
  <c r="I1588" i="13"/>
  <c r="L1588" i="13" s="1"/>
  <c r="I1589" i="13"/>
  <c r="L1589" i="13" s="1"/>
  <c r="I1590" i="13"/>
  <c r="L1590" i="13" s="1"/>
  <c r="I1591" i="13"/>
  <c r="L1591" i="13" s="1"/>
  <c r="I1592" i="13"/>
  <c r="L1592" i="13" s="1"/>
  <c r="I1593" i="13"/>
  <c r="L1593" i="13" s="1"/>
  <c r="I1594" i="13"/>
  <c r="L1594" i="13" s="1"/>
  <c r="I1595" i="13"/>
  <c r="L1595" i="13" s="1"/>
  <c r="I1596" i="13"/>
  <c r="L1596" i="13" s="1"/>
  <c r="I1597" i="13"/>
  <c r="L1597" i="13" s="1"/>
  <c r="I1598" i="13"/>
  <c r="L1598" i="13" s="1"/>
  <c r="I1599" i="13"/>
  <c r="L1599" i="13" s="1"/>
  <c r="I1600" i="13"/>
  <c r="L1600" i="13" s="1"/>
  <c r="I1601" i="13"/>
  <c r="L1601" i="13" s="1"/>
  <c r="I1602" i="13"/>
  <c r="L1602" i="13" s="1"/>
  <c r="I1603" i="13"/>
  <c r="L1603" i="13" s="1"/>
  <c r="I1604" i="13"/>
  <c r="L1604" i="13" s="1"/>
  <c r="I1605" i="13"/>
  <c r="L1605" i="13" s="1"/>
  <c r="I1606" i="13"/>
  <c r="L1606" i="13" s="1"/>
  <c r="I1607" i="13"/>
  <c r="L1607" i="13" s="1"/>
  <c r="I1608" i="13"/>
  <c r="L1608" i="13" s="1"/>
  <c r="I1609" i="13"/>
  <c r="L1609" i="13" s="1"/>
  <c r="I1610" i="13"/>
  <c r="L1610" i="13" s="1"/>
  <c r="I1611" i="13"/>
  <c r="L1611" i="13" s="1"/>
  <c r="I1612" i="13"/>
  <c r="L1612" i="13" s="1"/>
  <c r="I1613" i="13"/>
  <c r="L1613" i="13" s="1"/>
  <c r="I1614" i="13"/>
  <c r="L1614" i="13" s="1"/>
  <c r="I1615" i="13"/>
  <c r="L1615" i="13" s="1"/>
  <c r="I1616" i="13"/>
  <c r="L1616" i="13" s="1"/>
  <c r="I1617" i="13"/>
  <c r="L1617" i="13" s="1"/>
  <c r="I1618" i="13"/>
  <c r="L1618" i="13" s="1"/>
  <c r="I1619" i="13"/>
  <c r="L1619" i="13" s="1"/>
  <c r="I1620" i="13"/>
  <c r="L1620" i="13" s="1"/>
  <c r="I1621" i="13"/>
  <c r="L1621" i="13" s="1"/>
  <c r="I1622" i="13"/>
  <c r="L1622" i="13" s="1"/>
  <c r="I1623" i="13"/>
  <c r="L1623" i="13" s="1"/>
  <c r="I1624" i="13"/>
  <c r="L1624" i="13" s="1"/>
  <c r="I1625" i="13"/>
  <c r="L1625" i="13" s="1"/>
  <c r="I1626" i="13"/>
  <c r="L1626" i="13" s="1"/>
  <c r="I1627" i="13"/>
  <c r="L1627" i="13" s="1"/>
  <c r="I1628" i="13"/>
  <c r="L1628" i="13" s="1"/>
  <c r="I1629" i="13"/>
  <c r="L1629" i="13" s="1"/>
  <c r="I1630" i="13"/>
  <c r="L1630" i="13" s="1"/>
  <c r="I1631" i="13"/>
  <c r="L1631" i="13" s="1"/>
  <c r="I1632" i="13"/>
  <c r="L1632" i="13" s="1"/>
  <c r="I1633" i="13"/>
  <c r="L1633" i="13" s="1"/>
  <c r="I1634" i="13"/>
  <c r="L1634" i="13" s="1"/>
  <c r="I1635" i="13"/>
  <c r="L1635" i="13" s="1"/>
  <c r="I1636" i="13"/>
  <c r="L1636" i="13" s="1"/>
  <c r="I1637" i="13"/>
  <c r="L1637" i="13" s="1"/>
  <c r="I1638" i="13"/>
  <c r="L1638" i="13" s="1"/>
  <c r="I1639" i="13"/>
  <c r="L1639" i="13" s="1"/>
  <c r="I1640" i="13"/>
  <c r="L1640" i="13" s="1"/>
  <c r="I1641" i="13"/>
  <c r="L1641" i="13" s="1"/>
  <c r="I1642" i="13"/>
  <c r="L1642" i="13" s="1"/>
  <c r="I1643" i="13"/>
  <c r="L1643" i="13" s="1"/>
  <c r="I1644" i="13"/>
  <c r="L1644" i="13" s="1"/>
  <c r="I1645" i="13"/>
  <c r="L1645" i="13" s="1"/>
  <c r="I1646" i="13"/>
  <c r="L1646" i="13" s="1"/>
  <c r="I1647" i="13"/>
  <c r="L1647" i="13" s="1"/>
  <c r="I1648" i="13"/>
  <c r="L1648" i="13" s="1"/>
  <c r="I1649" i="13"/>
  <c r="L1649" i="13" s="1"/>
  <c r="I1650" i="13"/>
  <c r="L1650" i="13" s="1"/>
  <c r="I1651" i="13"/>
  <c r="L1651" i="13" s="1"/>
  <c r="I1652" i="13"/>
  <c r="L1652" i="13" s="1"/>
  <c r="I1653" i="13"/>
  <c r="L1653" i="13" s="1"/>
  <c r="I1654" i="13"/>
  <c r="L1654" i="13" s="1"/>
  <c r="I1655" i="13"/>
  <c r="L1655" i="13" s="1"/>
  <c r="I1656" i="13"/>
  <c r="L1656" i="13" s="1"/>
  <c r="I1657" i="13"/>
  <c r="L1657" i="13" s="1"/>
  <c r="I1658" i="13"/>
  <c r="L1658" i="13" s="1"/>
  <c r="I1659" i="13"/>
  <c r="L1659" i="13" s="1"/>
  <c r="I1660" i="13"/>
  <c r="L1660" i="13" s="1"/>
  <c r="I1661" i="13"/>
  <c r="L1661" i="13" s="1"/>
  <c r="I1662" i="13"/>
  <c r="L1662" i="13" s="1"/>
  <c r="I1663" i="13"/>
  <c r="L1663" i="13" s="1"/>
  <c r="I1664" i="13"/>
  <c r="L1664" i="13" s="1"/>
  <c r="I1665" i="13"/>
  <c r="L1665" i="13" s="1"/>
  <c r="I1666" i="13"/>
  <c r="L1666" i="13" s="1"/>
  <c r="I1667" i="13"/>
  <c r="L1667" i="13" s="1"/>
  <c r="I1668" i="13"/>
  <c r="L1668" i="13" s="1"/>
  <c r="I1669" i="13"/>
  <c r="L1669" i="13" s="1"/>
  <c r="I1670" i="13"/>
  <c r="L1670" i="13" s="1"/>
  <c r="I1671" i="13"/>
  <c r="L1671" i="13" s="1"/>
  <c r="I1672" i="13"/>
  <c r="L1672" i="13" s="1"/>
  <c r="I1673" i="13"/>
  <c r="L1673" i="13" s="1"/>
  <c r="I1674" i="13"/>
  <c r="L1674" i="13" s="1"/>
  <c r="I1675" i="13"/>
  <c r="L1675" i="13" s="1"/>
  <c r="I1676" i="13"/>
  <c r="L1676" i="13" s="1"/>
  <c r="I1677" i="13"/>
  <c r="L1677" i="13" s="1"/>
  <c r="I1678" i="13"/>
  <c r="L1678" i="13" s="1"/>
  <c r="I1679" i="13"/>
  <c r="L1679" i="13" s="1"/>
  <c r="I1680" i="13"/>
  <c r="L1680" i="13" s="1"/>
  <c r="I1681" i="13"/>
  <c r="L1681" i="13" s="1"/>
  <c r="I1682" i="13"/>
  <c r="L1682" i="13" s="1"/>
  <c r="I1683" i="13"/>
  <c r="L1683" i="13" s="1"/>
  <c r="I1684" i="13"/>
  <c r="L1684" i="13" s="1"/>
  <c r="I1685" i="13"/>
  <c r="L1685" i="13" s="1"/>
  <c r="I1686" i="13"/>
  <c r="L1686" i="13" s="1"/>
  <c r="I1687" i="13"/>
  <c r="L1687" i="13" s="1"/>
  <c r="I1688" i="13"/>
  <c r="L1688" i="13" s="1"/>
  <c r="I1689" i="13"/>
  <c r="L1689" i="13" s="1"/>
  <c r="I1690" i="13"/>
  <c r="L1690" i="13" s="1"/>
  <c r="I1691" i="13"/>
  <c r="L1691" i="13" s="1"/>
  <c r="I1692" i="13"/>
  <c r="L1692" i="13" s="1"/>
  <c r="I1693" i="13"/>
  <c r="L1693" i="13" s="1"/>
  <c r="I1694" i="13"/>
  <c r="L1694" i="13" s="1"/>
  <c r="I1695" i="13"/>
  <c r="L1695" i="13" s="1"/>
  <c r="I1696" i="13"/>
  <c r="L1696" i="13" s="1"/>
  <c r="I1697" i="13"/>
  <c r="L1697" i="13" s="1"/>
  <c r="I1698" i="13"/>
  <c r="L1698" i="13" s="1"/>
  <c r="I1699" i="13"/>
  <c r="L1699" i="13" s="1"/>
  <c r="I1700" i="13"/>
  <c r="L1700" i="13" s="1"/>
  <c r="I1701" i="13"/>
  <c r="L1701" i="13" s="1"/>
  <c r="I1702" i="13"/>
  <c r="L1702" i="13" s="1"/>
  <c r="I1703" i="13"/>
  <c r="L1703" i="13" s="1"/>
  <c r="I1704" i="13"/>
  <c r="L1704" i="13" s="1"/>
  <c r="I1705" i="13"/>
  <c r="L1705" i="13" s="1"/>
  <c r="I1706" i="13"/>
  <c r="L1706" i="13" s="1"/>
  <c r="I1707" i="13"/>
  <c r="L1707" i="13" s="1"/>
  <c r="I1708" i="13"/>
  <c r="L1708" i="13" s="1"/>
  <c r="I1709" i="13"/>
  <c r="L1709" i="13" s="1"/>
  <c r="I1710" i="13"/>
  <c r="L1710" i="13" s="1"/>
  <c r="I1711" i="13"/>
  <c r="L1711" i="13" s="1"/>
  <c r="I1712" i="13"/>
  <c r="L1712" i="13" s="1"/>
  <c r="I1713" i="13"/>
  <c r="L1713" i="13" s="1"/>
  <c r="I1714" i="13"/>
  <c r="L1714" i="13" s="1"/>
  <c r="I1715" i="13"/>
  <c r="L1715" i="13" s="1"/>
  <c r="I1716" i="13"/>
  <c r="L1716" i="13" s="1"/>
  <c r="I1717" i="13"/>
  <c r="L1717" i="13" s="1"/>
  <c r="I1718" i="13"/>
  <c r="L1718" i="13" s="1"/>
  <c r="I1719" i="13"/>
  <c r="L1719" i="13" s="1"/>
  <c r="I1720" i="13"/>
  <c r="L1720" i="13" s="1"/>
  <c r="I1721" i="13"/>
  <c r="L1721" i="13" s="1"/>
  <c r="I1722" i="13"/>
  <c r="L1722" i="13" s="1"/>
  <c r="I1723" i="13"/>
  <c r="L1723" i="13" s="1"/>
  <c r="I1724" i="13"/>
  <c r="L1724" i="13" s="1"/>
  <c r="I1725" i="13"/>
  <c r="L1725" i="13" s="1"/>
  <c r="I1726" i="13"/>
  <c r="L1726" i="13" s="1"/>
  <c r="I1727" i="13"/>
  <c r="L1727" i="13" s="1"/>
  <c r="I1728" i="13"/>
  <c r="L1728" i="13" s="1"/>
  <c r="I1729" i="13"/>
  <c r="L1729" i="13" s="1"/>
  <c r="I1730" i="13"/>
  <c r="L1730" i="13" s="1"/>
  <c r="I1731" i="13"/>
  <c r="L1731" i="13" s="1"/>
  <c r="I1732" i="13"/>
  <c r="L1732" i="13" s="1"/>
  <c r="I1733" i="13"/>
  <c r="L1733" i="13" s="1"/>
  <c r="I1734" i="13"/>
  <c r="L1734" i="13" s="1"/>
  <c r="I1735" i="13"/>
  <c r="L1735" i="13" s="1"/>
  <c r="I1736" i="13"/>
  <c r="L1736" i="13" s="1"/>
  <c r="I1737" i="13"/>
  <c r="L1737" i="13" s="1"/>
  <c r="I1738" i="13"/>
  <c r="L1738" i="13" s="1"/>
  <c r="I1739" i="13"/>
  <c r="L1739" i="13" s="1"/>
  <c r="I1740" i="13"/>
  <c r="L1740" i="13" s="1"/>
  <c r="I1741" i="13"/>
  <c r="L1741" i="13" s="1"/>
  <c r="I1742" i="13"/>
  <c r="L1742" i="13" s="1"/>
  <c r="I1743" i="13"/>
  <c r="L1743" i="13" s="1"/>
  <c r="I1744" i="13"/>
  <c r="L1744" i="13" s="1"/>
  <c r="I1745" i="13"/>
  <c r="L1745" i="13" s="1"/>
  <c r="I1746" i="13"/>
  <c r="L1746" i="13" s="1"/>
  <c r="I1747" i="13"/>
  <c r="L1747" i="13" s="1"/>
  <c r="I1748" i="13"/>
  <c r="L1748" i="13" s="1"/>
  <c r="I1749" i="13"/>
  <c r="L1749" i="13" s="1"/>
  <c r="I1750" i="13"/>
  <c r="L1750" i="13" s="1"/>
  <c r="I1751" i="13"/>
  <c r="L1751" i="13" s="1"/>
  <c r="I1752" i="13"/>
  <c r="L1752" i="13" s="1"/>
  <c r="I1753" i="13"/>
  <c r="L1753" i="13" s="1"/>
  <c r="I1754" i="13"/>
  <c r="L1754" i="13" s="1"/>
  <c r="I1755" i="13"/>
  <c r="L1755" i="13" s="1"/>
  <c r="I1756" i="13"/>
  <c r="L1756" i="13" s="1"/>
  <c r="I1757" i="13"/>
  <c r="L1757" i="13" s="1"/>
  <c r="I1758" i="13"/>
  <c r="L1758" i="13" s="1"/>
  <c r="I1759" i="13"/>
  <c r="L1759" i="13" s="1"/>
  <c r="I1760" i="13"/>
  <c r="L1760" i="13" s="1"/>
  <c r="I1761" i="13"/>
  <c r="L1761" i="13" s="1"/>
  <c r="I1762" i="13"/>
  <c r="L1762" i="13" s="1"/>
  <c r="I1763" i="13"/>
  <c r="L1763" i="13" s="1"/>
  <c r="I1764" i="13"/>
  <c r="L1764" i="13" s="1"/>
  <c r="I1765" i="13"/>
  <c r="L1765" i="13" s="1"/>
  <c r="I1766" i="13"/>
  <c r="L1766" i="13" s="1"/>
  <c r="I1767" i="13"/>
  <c r="L1767" i="13" s="1"/>
  <c r="I1768" i="13"/>
  <c r="L1768" i="13" s="1"/>
  <c r="I1769" i="13"/>
  <c r="L1769" i="13" s="1"/>
  <c r="I1770" i="13"/>
  <c r="L1770" i="13" s="1"/>
  <c r="I1771" i="13"/>
  <c r="L1771" i="13" s="1"/>
  <c r="I1772" i="13"/>
  <c r="L1772" i="13" s="1"/>
  <c r="I1773" i="13"/>
  <c r="L1773" i="13" s="1"/>
  <c r="I1774" i="13"/>
  <c r="L1774" i="13" s="1"/>
  <c r="I1775" i="13"/>
  <c r="L1775" i="13" s="1"/>
  <c r="I1776" i="13"/>
  <c r="L1776" i="13" s="1"/>
  <c r="I1777" i="13"/>
  <c r="L1777" i="13" s="1"/>
  <c r="I1778" i="13"/>
  <c r="L1778" i="13" s="1"/>
  <c r="I1779" i="13"/>
  <c r="L1779" i="13" s="1"/>
  <c r="I1780" i="13"/>
  <c r="L1780" i="13" s="1"/>
  <c r="I1781" i="13"/>
  <c r="L1781" i="13" s="1"/>
  <c r="I1782" i="13"/>
  <c r="L1782" i="13" s="1"/>
  <c r="I1783" i="13"/>
  <c r="L1783" i="13" s="1"/>
  <c r="I1784" i="13"/>
  <c r="L1784" i="13" s="1"/>
  <c r="I1785" i="13"/>
  <c r="L1785" i="13" s="1"/>
  <c r="I1786" i="13"/>
  <c r="L1786" i="13" s="1"/>
  <c r="I1787" i="13"/>
  <c r="L1787" i="13" s="1"/>
  <c r="I1788" i="13"/>
  <c r="L1788" i="13" s="1"/>
  <c r="I1789" i="13"/>
  <c r="L1789" i="13" s="1"/>
  <c r="I1790" i="13"/>
  <c r="L1790" i="13" s="1"/>
  <c r="I1791" i="13"/>
  <c r="L1791" i="13" s="1"/>
  <c r="I1792" i="13"/>
  <c r="L1792" i="13" s="1"/>
  <c r="I1793" i="13"/>
  <c r="L1793" i="13" s="1"/>
  <c r="I1794" i="13"/>
  <c r="L1794" i="13" s="1"/>
  <c r="I1795" i="13"/>
  <c r="L1795" i="13" s="1"/>
  <c r="I1796" i="13"/>
  <c r="L1796" i="13" s="1"/>
  <c r="I1797" i="13"/>
  <c r="L1797" i="13" s="1"/>
  <c r="I1798" i="13"/>
  <c r="L1798" i="13" s="1"/>
  <c r="I1799" i="13"/>
  <c r="L1799" i="13" s="1"/>
  <c r="I1800" i="13"/>
  <c r="L1800" i="13" s="1"/>
  <c r="I1801" i="13"/>
  <c r="L1801" i="13" s="1"/>
  <c r="I1802" i="13"/>
  <c r="L1802" i="13" s="1"/>
  <c r="I1803" i="13"/>
  <c r="L1803" i="13" s="1"/>
  <c r="I1804" i="13"/>
  <c r="L1804" i="13" s="1"/>
  <c r="I1805" i="13"/>
  <c r="L1805" i="13" s="1"/>
  <c r="I1806" i="13"/>
  <c r="L1806" i="13" s="1"/>
  <c r="I1807" i="13"/>
  <c r="L1807" i="13" s="1"/>
  <c r="I1808" i="13"/>
  <c r="L1808" i="13" s="1"/>
  <c r="I1809" i="13"/>
  <c r="L1809" i="13" s="1"/>
  <c r="I1810" i="13"/>
  <c r="L1810" i="13" s="1"/>
  <c r="I1811" i="13"/>
  <c r="L1811" i="13" s="1"/>
  <c r="I1812" i="13"/>
  <c r="L1812" i="13" s="1"/>
  <c r="I1813" i="13"/>
  <c r="L1813" i="13" s="1"/>
  <c r="I1814" i="13"/>
  <c r="L1814" i="13" s="1"/>
  <c r="I1815" i="13"/>
  <c r="L1815" i="13" s="1"/>
  <c r="I1816" i="13"/>
  <c r="L1816" i="13" s="1"/>
  <c r="I1817" i="13"/>
  <c r="L1817" i="13" s="1"/>
  <c r="I1818" i="13"/>
  <c r="L1818" i="13" s="1"/>
  <c r="I1819" i="13"/>
  <c r="L1819" i="13" s="1"/>
  <c r="I1820" i="13"/>
  <c r="L1820" i="13" s="1"/>
  <c r="I1821" i="13"/>
  <c r="L1821" i="13" s="1"/>
  <c r="I1822" i="13"/>
  <c r="L1822" i="13" s="1"/>
  <c r="I1823" i="13"/>
  <c r="L1823" i="13" s="1"/>
  <c r="I1824" i="13"/>
  <c r="L1824" i="13" s="1"/>
  <c r="I1825" i="13"/>
  <c r="L1825" i="13" s="1"/>
  <c r="I1826" i="13"/>
  <c r="L1826" i="13" s="1"/>
  <c r="I1827" i="13"/>
  <c r="L1827" i="13" s="1"/>
  <c r="I1828" i="13"/>
  <c r="L1828" i="13" s="1"/>
  <c r="I1829" i="13"/>
  <c r="L1829" i="13" s="1"/>
  <c r="I1830" i="13"/>
  <c r="L1830" i="13" s="1"/>
  <c r="I1831" i="13"/>
  <c r="L1831" i="13" s="1"/>
  <c r="I1832" i="13"/>
  <c r="L1832" i="13" s="1"/>
  <c r="I1833" i="13"/>
  <c r="L1833" i="13" s="1"/>
  <c r="I1834" i="13"/>
  <c r="L1834" i="13" s="1"/>
  <c r="I1835" i="13"/>
  <c r="L1835" i="13" s="1"/>
  <c r="I1836" i="13"/>
  <c r="I1837" i="13"/>
  <c r="L1837" i="13" s="1"/>
  <c r="I1838" i="13"/>
  <c r="L1838" i="13" s="1"/>
  <c r="I1839" i="13"/>
  <c r="L1839" i="13" s="1"/>
  <c r="I1840" i="13"/>
  <c r="L1840" i="13" s="1"/>
  <c r="I1841" i="13"/>
  <c r="L1841" i="13" s="1"/>
  <c r="I1842" i="13"/>
  <c r="L1842" i="13" s="1"/>
  <c r="I1843" i="13"/>
  <c r="L1843" i="13" s="1"/>
  <c r="I1844" i="13"/>
  <c r="L1844" i="13" s="1"/>
  <c r="I1845" i="13"/>
  <c r="L1845" i="13" s="1"/>
  <c r="I1846" i="13"/>
  <c r="L1846" i="13" s="1"/>
  <c r="I1847" i="13"/>
  <c r="L1847" i="13" s="1"/>
  <c r="I1848" i="13"/>
  <c r="L1848" i="13" s="1"/>
  <c r="I1849" i="13"/>
  <c r="L1849" i="13" s="1"/>
  <c r="I1850" i="13"/>
  <c r="L1850" i="13" s="1"/>
  <c r="I1851" i="13"/>
  <c r="L1851" i="13" s="1"/>
  <c r="I1852" i="13"/>
  <c r="L1852" i="13" s="1"/>
  <c r="I1853" i="13"/>
  <c r="L1853" i="13" s="1"/>
  <c r="I1854" i="13"/>
  <c r="L1854" i="13" s="1"/>
  <c r="I1855" i="13"/>
  <c r="L1855" i="13" s="1"/>
  <c r="I1856" i="13"/>
  <c r="L1856" i="13" s="1"/>
  <c r="I1857" i="13"/>
  <c r="L1857" i="13" s="1"/>
  <c r="I1858" i="13"/>
  <c r="L1858" i="13" s="1"/>
  <c r="I1859" i="13"/>
  <c r="L1859" i="13" s="1"/>
  <c r="I1860" i="13"/>
  <c r="L1860" i="13" s="1"/>
  <c r="I1861" i="13"/>
  <c r="L1861" i="13" s="1"/>
  <c r="I1862" i="13"/>
  <c r="L1862" i="13" s="1"/>
  <c r="I1863" i="13"/>
  <c r="L1863" i="13" s="1"/>
  <c r="I1864" i="13"/>
  <c r="L1864" i="13" s="1"/>
  <c r="I1865" i="13"/>
  <c r="L1865" i="13" s="1"/>
  <c r="I1866" i="13"/>
  <c r="L1866" i="13" s="1"/>
  <c r="I1867" i="13"/>
  <c r="L1867" i="13" s="1"/>
  <c r="I1868" i="13"/>
  <c r="L1868" i="13" s="1"/>
  <c r="I1869" i="13"/>
  <c r="L1869" i="13" s="1"/>
  <c r="I1870" i="13"/>
  <c r="L1870" i="13" s="1"/>
  <c r="I1871" i="13"/>
  <c r="L1871" i="13" s="1"/>
  <c r="I1872" i="13"/>
  <c r="L1872" i="13" s="1"/>
  <c r="I1873" i="13"/>
  <c r="L1873" i="13" s="1"/>
  <c r="I1874" i="13"/>
  <c r="L1874" i="13" s="1"/>
  <c r="I1875" i="13"/>
  <c r="L1875" i="13" s="1"/>
  <c r="I1876" i="13"/>
  <c r="L1876" i="13" s="1"/>
  <c r="I1877" i="13"/>
  <c r="L1877" i="13" s="1"/>
  <c r="I1878" i="13"/>
  <c r="L1878" i="13" s="1"/>
  <c r="I1879" i="13"/>
  <c r="L1879" i="13" s="1"/>
  <c r="I1880" i="13"/>
  <c r="L1880" i="13" s="1"/>
  <c r="I1881" i="13"/>
  <c r="L1881" i="13" s="1"/>
  <c r="I1882" i="13"/>
  <c r="L1882" i="13" s="1"/>
  <c r="I1883" i="13"/>
  <c r="L1883" i="13" s="1"/>
  <c r="I1884" i="13"/>
  <c r="L1884" i="13" s="1"/>
  <c r="I1885" i="13"/>
  <c r="L1885" i="13" s="1"/>
  <c r="I1886" i="13"/>
  <c r="L1886" i="13" s="1"/>
  <c r="I1887" i="13"/>
  <c r="L1887" i="13" s="1"/>
  <c r="I1888" i="13"/>
  <c r="L1888" i="13" s="1"/>
  <c r="I1889" i="13"/>
  <c r="L1889" i="13" s="1"/>
  <c r="I1890" i="13"/>
  <c r="L1890" i="13" s="1"/>
  <c r="I1891" i="13"/>
  <c r="L1891" i="13" s="1"/>
  <c r="I1892" i="13"/>
  <c r="L1892" i="13" s="1"/>
  <c r="I1893" i="13"/>
  <c r="L1893" i="13" s="1"/>
  <c r="I1894" i="13"/>
  <c r="L1894" i="13" s="1"/>
  <c r="I1895" i="13"/>
  <c r="L1895" i="13" s="1"/>
  <c r="I1896" i="13"/>
  <c r="L1896" i="13" s="1"/>
  <c r="I1897" i="13"/>
  <c r="L1897" i="13" s="1"/>
  <c r="I1898" i="13"/>
  <c r="L1898" i="13" s="1"/>
  <c r="I1899" i="13"/>
  <c r="L1899" i="13" s="1"/>
  <c r="I1900" i="13"/>
  <c r="L1900" i="13" s="1"/>
  <c r="I1901" i="13"/>
  <c r="L1901" i="13" s="1"/>
  <c r="I1902" i="13"/>
  <c r="L1902" i="13" s="1"/>
  <c r="I1903" i="13"/>
  <c r="L1903" i="13" s="1"/>
  <c r="I1904" i="13"/>
  <c r="L1904" i="13" s="1"/>
  <c r="I1905" i="13"/>
  <c r="L1905" i="13" s="1"/>
  <c r="I1906" i="13"/>
  <c r="L1906" i="13" s="1"/>
  <c r="I1907" i="13"/>
  <c r="L1907" i="13" s="1"/>
  <c r="I1908" i="13"/>
  <c r="L1908" i="13" s="1"/>
  <c r="I1909" i="13"/>
  <c r="L1909" i="13" s="1"/>
  <c r="I1910" i="13"/>
  <c r="L1910" i="13" s="1"/>
  <c r="I1911" i="13"/>
  <c r="L1911" i="13" s="1"/>
  <c r="I1912" i="13"/>
  <c r="L1912" i="13" s="1"/>
  <c r="I1913" i="13"/>
  <c r="L1913" i="13" s="1"/>
  <c r="I1914" i="13"/>
  <c r="L1914" i="13" s="1"/>
  <c r="I1915" i="13"/>
  <c r="L1915" i="13" s="1"/>
  <c r="I1916" i="13"/>
  <c r="L1916" i="13" s="1"/>
  <c r="I1917" i="13"/>
  <c r="L1917" i="13" s="1"/>
  <c r="I1918" i="13"/>
  <c r="L1918" i="13" s="1"/>
  <c r="I1919" i="13"/>
  <c r="L1919" i="13" s="1"/>
  <c r="I1920" i="13"/>
  <c r="L1920" i="13" s="1"/>
  <c r="I1921" i="13"/>
  <c r="L1921" i="13" s="1"/>
  <c r="I1922" i="13"/>
  <c r="L1922" i="13" s="1"/>
  <c r="I1923" i="13"/>
  <c r="L1923" i="13" s="1"/>
  <c r="I1924" i="13"/>
  <c r="L1924" i="13" s="1"/>
  <c r="I1925" i="13"/>
  <c r="L1925" i="13" s="1"/>
  <c r="I1926" i="13"/>
  <c r="L1926" i="13" s="1"/>
  <c r="I1927" i="13"/>
  <c r="L1927" i="13" s="1"/>
  <c r="I1928" i="13"/>
  <c r="L1928" i="13" s="1"/>
  <c r="I1929" i="13"/>
  <c r="L1929" i="13" s="1"/>
  <c r="I1930" i="13"/>
  <c r="L1930" i="13" s="1"/>
  <c r="I1931" i="13"/>
  <c r="L1931" i="13" s="1"/>
  <c r="I1932" i="13"/>
  <c r="L1932" i="13" s="1"/>
  <c r="I1933" i="13"/>
  <c r="L1933" i="13" s="1"/>
  <c r="I1934" i="13"/>
  <c r="L1934" i="13" s="1"/>
  <c r="I1935" i="13"/>
  <c r="L1935" i="13" s="1"/>
  <c r="I1936" i="13"/>
  <c r="L1936" i="13" s="1"/>
  <c r="I1937" i="13"/>
  <c r="L1937" i="13" s="1"/>
  <c r="I1938" i="13"/>
  <c r="L1938" i="13" s="1"/>
  <c r="I1939" i="13"/>
  <c r="L1939" i="13" s="1"/>
  <c r="I1940" i="13"/>
  <c r="L1940" i="13" s="1"/>
  <c r="I1941" i="13"/>
  <c r="L1941" i="13" s="1"/>
  <c r="I1942" i="13"/>
  <c r="I1943" i="13"/>
  <c r="L1943" i="13" s="1"/>
  <c r="I1944" i="13"/>
  <c r="L1944" i="13" s="1"/>
  <c r="I1945" i="13"/>
  <c r="L1945" i="13" s="1"/>
  <c r="I1946" i="13"/>
  <c r="L1946" i="13" s="1"/>
  <c r="I1947" i="13"/>
  <c r="L1947" i="13" s="1"/>
  <c r="I1948" i="13"/>
  <c r="L1948" i="13" s="1"/>
  <c r="I1949" i="13"/>
  <c r="L1949" i="13" s="1"/>
  <c r="I1950" i="13"/>
  <c r="L1950" i="13" s="1"/>
  <c r="I1951" i="13"/>
  <c r="L1951" i="13" s="1"/>
  <c r="I1952" i="13"/>
  <c r="L1952" i="13" s="1"/>
  <c r="I1953" i="13"/>
  <c r="L1953" i="13" s="1"/>
  <c r="I1954" i="13"/>
  <c r="L1954" i="13" s="1"/>
  <c r="I1955" i="13"/>
  <c r="L1955" i="13" s="1"/>
  <c r="I1956" i="13"/>
  <c r="L1956" i="13" s="1"/>
  <c r="I1957" i="13"/>
  <c r="L1957" i="13" s="1"/>
  <c r="I1958" i="13"/>
  <c r="L1958" i="13" s="1"/>
  <c r="I1959" i="13"/>
  <c r="L1959" i="13" s="1"/>
  <c r="I1960" i="13"/>
  <c r="L1960" i="13" s="1"/>
  <c r="I1961" i="13"/>
  <c r="L1961" i="13" s="1"/>
  <c r="I1962" i="13"/>
  <c r="L1962" i="13" s="1"/>
  <c r="I1963" i="13"/>
  <c r="L1963" i="13" s="1"/>
  <c r="I1964" i="13"/>
  <c r="L1964" i="13" s="1"/>
  <c r="I1965" i="13"/>
  <c r="L1965" i="13" s="1"/>
  <c r="I1966" i="13"/>
  <c r="L1966" i="13" s="1"/>
  <c r="I1967" i="13"/>
  <c r="L1967" i="13" s="1"/>
  <c r="I1968" i="13"/>
  <c r="L1968" i="13" s="1"/>
  <c r="I1969" i="13"/>
  <c r="L1969" i="13" s="1"/>
  <c r="I1970" i="13"/>
  <c r="L1970" i="13" s="1"/>
  <c r="I1971" i="13"/>
  <c r="L1971" i="13" s="1"/>
  <c r="I1972" i="13"/>
  <c r="L1972" i="13" s="1"/>
  <c r="I1973" i="13"/>
  <c r="L1973" i="13" s="1"/>
  <c r="I1974" i="13"/>
  <c r="L1974" i="13" s="1"/>
  <c r="I1975" i="13"/>
  <c r="L1975" i="13" s="1"/>
  <c r="I1976" i="13"/>
  <c r="L1976" i="13" s="1"/>
  <c r="I1977" i="13"/>
  <c r="L1977" i="13" s="1"/>
  <c r="I1978" i="13"/>
  <c r="L1978" i="13" s="1"/>
  <c r="I1979" i="13"/>
  <c r="L1979" i="13" s="1"/>
  <c r="I1980" i="13"/>
  <c r="L1980" i="13" s="1"/>
  <c r="I1981" i="13"/>
  <c r="L1981" i="13" s="1"/>
  <c r="I1982" i="13"/>
  <c r="L1982" i="13" s="1"/>
  <c r="I1983" i="13"/>
  <c r="L1983" i="13" s="1"/>
  <c r="I1984" i="13"/>
  <c r="L1984" i="13" s="1"/>
  <c r="I1985" i="13"/>
  <c r="L1985" i="13" s="1"/>
  <c r="I1986" i="13"/>
  <c r="L1986" i="13" s="1"/>
  <c r="I1987" i="13"/>
  <c r="L1987" i="13" s="1"/>
  <c r="I1988" i="13"/>
  <c r="L1988" i="13" s="1"/>
  <c r="I1989" i="13"/>
  <c r="L1989" i="13" s="1"/>
  <c r="I1990" i="13"/>
  <c r="L1990" i="13" s="1"/>
  <c r="I1991" i="13"/>
  <c r="L1991" i="13" s="1"/>
  <c r="I1992" i="13"/>
  <c r="L1992" i="13" s="1"/>
  <c r="I1993" i="13"/>
  <c r="L1993" i="13" s="1"/>
  <c r="I1994" i="13"/>
  <c r="L1994" i="13" s="1"/>
  <c r="I1995" i="13"/>
  <c r="L1995" i="13" s="1"/>
  <c r="I1996" i="13"/>
  <c r="L1996" i="13" s="1"/>
  <c r="I1997" i="13"/>
  <c r="L1997" i="13" s="1"/>
  <c r="I1998" i="13"/>
  <c r="L1998" i="13" s="1"/>
  <c r="I1999" i="13"/>
  <c r="L1999" i="13" s="1"/>
  <c r="I2000" i="13"/>
  <c r="L2000" i="13" s="1"/>
  <c r="I2001" i="13"/>
  <c r="L2001" i="13" s="1"/>
  <c r="I2002" i="13"/>
  <c r="L2002" i="13" s="1"/>
  <c r="I2003" i="13"/>
  <c r="L2003" i="13" s="1"/>
  <c r="I2004" i="13"/>
  <c r="L2004" i="13" s="1"/>
  <c r="I2005" i="13"/>
  <c r="L2005" i="13" s="1"/>
  <c r="I2006" i="13"/>
  <c r="L2006" i="13" s="1"/>
  <c r="I2007" i="13"/>
  <c r="L2007" i="13" s="1"/>
  <c r="I2008" i="13"/>
  <c r="L2008" i="13" s="1"/>
  <c r="I2009" i="13"/>
  <c r="L2009" i="13" s="1"/>
  <c r="I2010" i="13"/>
  <c r="L2010" i="13" s="1"/>
  <c r="I2011" i="13"/>
  <c r="L2011" i="13" s="1"/>
  <c r="I2012" i="13"/>
  <c r="L2012" i="13" s="1"/>
  <c r="I2013" i="13"/>
  <c r="L2013" i="13" s="1"/>
  <c r="I2014" i="13"/>
  <c r="L2014" i="13" s="1"/>
  <c r="I2015" i="13"/>
  <c r="L2015" i="13" s="1"/>
  <c r="I2016" i="13"/>
  <c r="L2016" i="13" s="1"/>
  <c r="I2017" i="13"/>
  <c r="L2017" i="13" s="1"/>
  <c r="I2018" i="13"/>
  <c r="L2018" i="13" s="1"/>
  <c r="I2019" i="13"/>
  <c r="L2019" i="13" s="1"/>
  <c r="I2020" i="13"/>
  <c r="L2020" i="13" s="1"/>
  <c r="I2021" i="13"/>
  <c r="L2021" i="13" s="1"/>
  <c r="I2022" i="13"/>
  <c r="L2022" i="13" s="1"/>
  <c r="I2023" i="13"/>
  <c r="L2023" i="13" s="1"/>
  <c r="I2024" i="13"/>
  <c r="L2024" i="13" s="1"/>
  <c r="I2025" i="13"/>
  <c r="L2025" i="13" s="1"/>
  <c r="I2026" i="13"/>
  <c r="L2026" i="13" s="1"/>
  <c r="I2027" i="13"/>
  <c r="L2027" i="13" s="1"/>
  <c r="I2028" i="13"/>
  <c r="L2028" i="13" s="1"/>
  <c r="I2029" i="13"/>
  <c r="L2029" i="13" s="1"/>
  <c r="I2030" i="13"/>
  <c r="L2030" i="13" s="1"/>
  <c r="I2031" i="13"/>
  <c r="L2031" i="13" s="1"/>
  <c r="I2032" i="13"/>
  <c r="L2032" i="13" s="1"/>
  <c r="I2033" i="13"/>
  <c r="L2033" i="13" s="1"/>
  <c r="I2034" i="13"/>
  <c r="L2034" i="13" s="1"/>
  <c r="I2035" i="13"/>
  <c r="L2035" i="13" s="1"/>
  <c r="I2036" i="13"/>
  <c r="L2036" i="13" s="1"/>
  <c r="I2037" i="13"/>
  <c r="L2037" i="13" s="1"/>
  <c r="I2038" i="13"/>
  <c r="L2038" i="13" s="1"/>
  <c r="I2039" i="13"/>
  <c r="L2039" i="13" s="1"/>
  <c r="I2040" i="13"/>
  <c r="L2040" i="13" s="1"/>
  <c r="I2041" i="13"/>
  <c r="L2041" i="13" s="1"/>
  <c r="I2042" i="13"/>
  <c r="L2042" i="13" s="1"/>
  <c r="I2043" i="13"/>
  <c r="L2043" i="13" s="1"/>
  <c r="I2044" i="13"/>
  <c r="L2044" i="13" s="1"/>
  <c r="I2045" i="13"/>
  <c r="L2045" i="13" s="1"/>
  <c r="I2046" i="13"/>
  <c r="L2046" i="13" s="1"/>
  <c r="I2047" i="13"/>
  <c r="L2047" i="13" s="1"/>
  <c r="I2048" i="13"/>
  <c r="L2048" i="13" s="1"/>
  <c r="I2049" i="13"/>
  <c r="L2049" i="13" s="1"/>
  <c r="I2050" i="13"/>
  <c r="L2050" i="13" s="1"/>
  <c r="I2051" i="13"/>
  <c r="L2051" i="13" s="1"/>
  <c r="I2052" i="13"/>
  <c r="L2052" i="13" s="1"/>
  <c r="I2053" i="13"/>
  <c r="L2053" i="13" s="1"/>
  <c r="I2054" i="13"/>
  <c r="L2054" i="13" s="1"/>
  <c r="I2055" i="13"/>
  <c r="L2055" i="13" s="1"/>
  <c r="I2056" i="13"/>
  <c r="L2056" i="13" s="1"/>
  <c r="I2057" i="13"/>
  <c r="L2057" i="13" s="1"/>
  <c r="I2058" i="13"/>
  <c r="L2058" i="13" s="1"/>
  <c r="I2059" i="13"/>
  <c r="L2059" i="13" s="1"/>
  <c r="I2060" i="13"/>
  <c r="L2060" i="13" s="1"/>
  <c r="I2061" i="13"/>
  <c r="L2061" i="13" s="1"/>
  <c r="I2062" i="13"/>
  <c r="L2062" i="13" s="1"/>
  <c r="I2063" i="13"/>
  <c r="L2063" i="13" s="1"/>
  <c r="I2064" i="13"/>
  <c r="L2064" i="13" s="1"/>
  <c r="I2065" i="13"/>
  <c r="L2065" i="13" s="1"/>
  <c r="I2066" i="13"/>
  <c r="L2066" i="13" s="1"/>
  <c r="I2067" i="13"/>
  <c r="L2067" i="13" s="1"/>
  <c r="I2068" i="13"/>
  <c r="L2068" i="13" s="1"/>
  <c r="I2069" i="13"/>
  <c r="L2069" i="13" s="1"/>
  <c r="I2070" i="13"/>
  <c r="L2070" i="13" s="1"/>
  <c r="I2071" i="13"/>
  <c r="L2071" i="13" s="1"/>
  <c r="I2072" i="13"/>
  <c r="L2072" i="13" s="1"/>
  <c r="I2073" i="13"/>
  <c r="L2073" i="13" s="1"/>
  <c r="I2074" i="13"/>
  <c r="L2074" i="13" s="1"/>
  <c r="I2075" i="13"/>
  <c r="L2075" i="13" s="1"/>
  <c r="I2076" i="13"/>
  <c r="L2076" i="13" s="1"/>
  <c r="I2077" i="13"/>
  <c r="L2077" i="13" s="1"/>
  <c r="I2078" i="13"/>
  <c r="L2078" i="13" s="1"/>
  <c r="I2079" i="13"/>
  <c r="L2079" i="13" s="1"/>
  <c r="I2080" i="13"/>
  <c r="L2080" i="13" s="1"/>
  <c r="I2081" i="13"/>
  <c r="L2081" i="13" s="1"/>
  <c r="I2082" i="13"/>
  <c r="L2082" i="13" s="1"/>
  <c r="I2083" i="13"/>
  <c r="L2083" i="13" s="1"/>
  <c r="I2084" i="13"/>
  <c r="L2084" i="13" s="1"/>
  <c r="I2085" i="13"/>
  <c r="L2085" i="13" s="1"/>
  <c r="I2086" i="13"/>
  <c r="L2086" i="13" s="1"/>
  <c r="I2087" i="13"/>
  <c r="L2087" i="13" s="1"/>
  <c r="I2088" i="13"/>
  <c r="L2088" i="13" s="1"/>
  <c r="I2089" i="13"/>
  <c r="L2089" i="13" s="1"/>
  <c r="I2090" i="13"/>
  <c r="I2091" i="13"/>
  <c r="L2091" i="13" s="1"/>
  <c r="I2092" i="13"/>
  <c r="L2092" i="13" s="1"/>
  <c r="I2093" i="13"/>
  <c r="L2093" i="13" s="1"/>
  <c r="I2094" i="13"/>
  <c r="L2094" i="13" s="1"/>
  <c r="I2095" i="13"/>
  <c r="L2095" i="13" s="1"/>
  <c r="I2096" i="13"/>
  <c r="L2096" i="13" s="1"/>
  <c r="I2097" i="13"/>
  <c r="L2097" i="13" s="1"/>
  <c r="I2098" i="13"/>
  <c r="L2098" i="13" s="1"/>
  <c r="I2099" i="13"/>
  <c r="L2099" i="13" s="1"/>
  <c r="I2100" i="13"/>
  <c r="L2100" i="13" s="1"/>
  <c r="I2101" i="13"/>
  <c r="L2101" i="13" s="1"/>
  <c r="I2102" i="13"/>
  <c r="L2102" i="13" s="1"/>
  <c r="I2103" i="13"/>
  <c r="L2103" i="13" s="1"/>
  <c r="I2104" i="13"/>
  <c r="L2104" i="13" s="1"/>
  <c r="I2105" i="13"/>
  <c r="L2105" i="13" s="1"/>
  <c r="I2106" i="13"/>
  <c r="L2106" i="13" s="1"/>
  <c r="I2107" i="13"/>
  <c r="L2107" i="13" s="1"/>
  <c r="I2108" i="13"/>
  <c r="L2108" i="13" s="1"/>
  <c r="I2109" i="13"/>
  <c r="L2109" i="13" s="1"/>
  <c r="I2110" i="13"/>
  <c r="L2110" i="13" s="1"/>
  <c r="I2111" i="13"/>
  <c r="L2111" i="13" s="1"/>
  <c r="I2112" i="13"/>
  <c r="L2112" i="13" s="1"/>
  <c r="I2113" i="13"/>
  <c r="L2113" i="13" s="1"/>
  <c r="I2114" i="13"/>
  <c r="L2114" i="13" s="1"/>
  <c r="I2115" i="13"/>
  <c r="L2115" i="13" s="1"/>
  <c r="I2116" i="13"/>
  <c r="L2116" i="13" s="1"/>
  <c r="I2117" i="13"/>
  <c r="L2117" i="13" s="1"/>
  <c r="I2118" i="13"/>
  <c r="L2118" i="13" s="1"/>
  <c r="I2119" i="13"/>
  <c r="L2119" i="13" s="1"/>
  <c r="I2120" i="13"/>
  <c r="L2120" i="13" s="1"/>
  <c r="I2121" i="13"/>
  <c r="L2121" i="13" s="1"/>
  <c r="I2122" i="13"/>
  <c r="L2122" i="13" s="1"/>
  <c r="I2123" i="13"/>
  <c r="L2123" i="13" s="1"/>
  <c r="I2124" i="13"/>
  <c r="L2124" i="13" s="1"/>
  <c r="I2125" i="13"/>
  <c r="L2125" i="13" s="1"/>
  <c r="I2126" i="13"/>
  <c r="L2126" i="13" s="1"/>
  <c r="I2127" i="13"/>
  <c r="L2127" i="13" s="1"/>
  <c r="I2128" i="13"/>
  <c r="L2128" i="13" s="1"/>
  <c r="I2129" i="13"/>
  <c r="L2129" i="13" s="1"/>
  <c r="I2130" i="13"/>
  <c r="L2130" i="13" s="1"/>
  <c r="I2131" i="13"/>
  <c r="L2131" i="13" s="1"/>
  <c r="I2132" i="13"/>
  <c r="L2132" i="13" s="1"/>
  <c r="I2133" i="13"/>
  <c r="L2133" i="13" s="1"/>
  <c r="I2134" i="13"/>
  <c r="L2134" i="13" s="1"/>
  <c r="I2135" i="13"/>
  <c r="L2135" i="13" s="1"/>
  <c r="I2136" i="13"/>
  <c r="L2136" i="13" s="1"/>
  <c r="I2137" i="13"/>
  <c r="L2137" i="13" s="1"/>
  <c r="I2138" i="13"/>
  <c r="L2138" i="13" s="1"/>
  <c r="I2139" i="13"/>
  <c r="L2139" i="13" s="1"/>
  <c r="I2140" i="13"/>
  <c r="L2140" i="13" s="1"/>
  <c r="I2141" i="13"/>
  <c r="L2141" i="13" s="1"/>
  <c r="I2142" i="13"/>
  <c r="L2142" i="13" s="1"/>
  <c r="I2143" i="13"/>
  <c r="L2143" i="13" s="1"/>
  <c r="I2144" i="13"/>
  <c r="L2144" i="13" s="1"/>
  <c r="I2145" i="13"/>
  <c r="L2145" i="13" s="1"/>
  <c r="I2146" i="13"/>
  <c r="L2146" i="13" s="1"/>
  <c r="I2147" i="13"/>
  <c r="L2147" i="13" s="1"/>
  <c r="I2148" i="13"/>
  <c r="L2148" i="13" s="1"/>
  <c r="I2149" i="13"/>
  <c r="L2149" i="13" s="1"/>
  <c r="I2150" i="13"/>
  <c r="L2150" i="13" s="1"/>
  <c r="I2151" i="13"/>
  <c r="L2151" i="13" s="1"/>
  <c r="I2152" i="13"/>
  <c r="L2152" i="13" s="1"/>
  <c r="I2153" i="13"/>
  <c r="L2153" i="13" s="1"/>
  <c r="I2154" i="13"/>
  <c r="L2154" i="13" s="1"/>
  <c r="I2155" i="13"/>
  <c r="L2155" i="13" s="1"/>
  <c r="I2156" i="13"/>
  <c r="L2156" i="13" s="1"/>
  <c r="I2157" i="13"/>
  <c r="L2157" i="13" s="1"/>
  <c r="I2158" i="13"/>
  <c r="L2158" i="13" s="1"/>
  <c r="I2159" i="13"/>
  <c r="L2159" i="13" s="1"/>
  <c r="I2160" i="13"/>
  <c r="L2160" i="13" s="1"/>
  <c r="I2161" i="13"/>
  <c r="L2161" i="13" s="1"/>
  <c r="I2162" i="13"/>
  <c r="L2162" i="13" s="1"/>
  <c r="I2163" i="13"/>
  <c r="L2163" i="13" s="1"/>
  <c r="I2164" i="13"/>
  <c r="L2164" i="13" s="1"/>
  <c r="I2165" i="13"/>
  <c r="L2165" i="13" s="1"/>
  <c r="I2166" i="13"/>
  <c r="L2166" i="13" s="1"/>
  <c r="I2167" i="13"/>
  <c r="L2167" i="13" s="1"/>
  <c r="I2168" i="13"/>
  <c r="L2168" i="13" s="1"/>
  <c r="I2169" i="13"/>
  <c r="L2169" i="13" s="1"/>
  <c r="I2170" i="13"/>
  <c r="L2170" i="13" s="1"/>
  <c r="I2171" i="13"/>
  <c r="L2171" i="13" s="1"/>
  <c r="I2172" i="13"/>
  <c r="L2172" i="13" s="1"/>
  <c r="I2173" i="13"/>
  <c r="L2173" i="13" s="1"/>
  <c r="I2174" i="13"/>
  <c r="L2174" i="13" s="1"/>
  <c r="I2175" i="13"/>
  <c r="L2175" i="13" s="1"/>
  <c r="I2176" i="13"/>
  <c r="L2176" i="13" s="1"/>
  <c r="I2177" i="13"/>
  <c r="L2177" i="13" s="1"/>
  <c r="I2178" i="13"/>
  <c r="L2178" i="13" s="1"/>
  <c r="I2179" i="13"/>
  <c r="L2179" i="13" s="1"/>
  <c r="I2180" i="13"/>
  <c r="L2180" i="13" s="1"/>
  <c r="I2181" i="13"/>
  <c r="L2181" i="13" s="1"/>
  <c r="I2182" i="13"/>
  <c r="L2182" i="13" s="1"/>
  <c r="I2183" i="13"/>
  <c r="L2183" i="13" s="1"/>
  <c r="I2184" i="13"/>
  <c r="L2184" i="13" s="1"/>
  <c r="I2185" i="13"/>
  <c r="L2185" i="13" s="1"/>
  <c r="I2186" i="13"/>
  <c r="L2186" i="13" s="1"/>
  <c r="I2187" i="13"/>
  <c r="L2187" i="13" s="1"/>
  <c r="I2188" i="13"/>
  <c r="L2188" i="13" s="1"/>
  <c r="I2189" i="13"/>
  <c r="L2189" i="13" s="1"/>
  <c r="I2190" i="13"/>
  <c r="L2190" i="13" s="1"/>
  <c r="I2191" i="13"/>
  <c r="L2191" i="13" s="1"/>
  <c r="I2192" i="13"/>
  <c r="L2192" i="13" s="1"/>
  <c r="I2193" i="13"/>
  <c r="L2193" i="13" s="1"/>
  <c r="I2194" i="13"/>
  <c r="L2194" i="13" s="1"/>
  <c r="I2195" i="13"/>
  <c r="L2195" i="13" s="1"/>
  <c r="I2196" i="13"/>
  <c r="L2196" i="13" s="1"/>
  <c r="I2197" i="13"/>
  <c r="L2197" i="13" s="1"/>
  <c r="I2198" i="13"/>
  <c r="L2198" i="13" s="1"/>
  <c r="I2199" i="13"/>
  <c r="L2199" i="13" s="1"/>
  <c r="I2200" i="13"/>
  <c r="L2200" i="13" s="1"/>
  <c r="I2201" i="13"/>
  <c r="L2201" i="13" s="1"/>
  <c r="I2202" i="13"/>
  <c r="L2202" i="13" s="1"/>
  <c r="I2203" i="13"/>
  <c r="L2203" i="13" s="1"/>
  <c r="I2204" i="13"/>
  <c r="L2204" i="13" s="1"/>
  <c r="I2205" i="13"/>
  <c r="L2205" i="13" s="1"/>
  <c r="I2206" i="13"/>
  <c r="L2206" i="13" s="1"/>
  <c r="I2207" i="13"/>
  <c r="L2207" i="13" s="1"/>
  <c r="I2208" i="13"/>
  <c r="L2208" i="13" s="1"/>
  <c r="I2209" i="13"/>
  <c r="L2209" i="13" s="1"/>
  <c r="I2210" i="13"/>
  <c r="L2210" i="13" s="1"/>
  <c r="I2211" i="13"/>
  <c r="L2211" i="13" s="1"/>
  <c r="I2212" i="13"/>
  <c r="L2212" i="13" s="1"/>
  <c r="I2213" i="13"/>
  <c r="L2213" i="13" s="1"/>
  <c r="I2214" i="13"/>
  <c r="L2214" i="13" s="1"/>
  <c r="I2215" i="13"/>
  <c r="L2215" i="13" s="1"/>
  <c r="I2216" i="13"/>
  <c r="L2216" i="13" s="1"/>
  <c r="I2217" i="13"/>
  <c r="L2217" i="13" s="1"/>
  <c r="I2218" i="13"/>
  <c r="L2218" i="13" s="1"/>
  <c r="I2219" i="13"/>
  <c r="L2219" i="13" s="1"/>
  <c r="I2220" i="13"/>
  <c r="L2220" i="13" s="1"/>
  <c r="I2221" i="13"/>
  <c r="L2221" i="13" s="1"/>
  <c r="I2222" i="13"/>
  <c r="L2222" i="13" s="1"/>
  <c r="I2223" i="13"/>
  <c r="L2223" i="13" s="1"/>
  <c r="I2224" i="13"/>
  <c r="L2224" i="13" s="1"/>
  <c r="I2225" i="13"/>
  <c r="L2225" i="13" s="1"/>
  <c r="I2226" i="13"/>
  <c r="L2226" i="13" s="1"/>
  <c r="I2227" i="13"/>
  <c r="L2227" i="13" s="1"/>
  <c r="I2228" i="13"/>
  <c r="L2228" i="13" s="1"/>
  <c r="I2229" i="13"/>
  <c r="L2229" i="13" s="1"/>
  <c r="I2230" i="13"/>
  <c r="L2230" i="13" s="1"/>
  <c r="I2231" i="13"/>
  <c r="L2231" i="13" s="1"/>
  <c r="I2232" i="13"/>
  <c r="L2232" i="13" s="1"/>
  <c r="I2233" i="13"/>
  <c r="L2233" i="13" s="1"/>
  <c r="I2234" i="13"/>
  <c r="L2234" i="13" s="1"/>
  <c r="I2235" i="13"/>
  <c r="L2235" i="13" s="1"/>
  <c r="I2236" i="13"/>
  <c r="L2236" i="13" s="1"/>
  <c r="I2237" i="13"/>
  <c r="L2237" i="13" s="1"/>
  <c r="I2238" i="13"/>
  <c r="L2238" i="13" s="1"/>
  <c r="I2239" i="13"/>
  <c r="L2239" i="13" s="1"/>
  <c r="I2240" i="13"/>
  <c r="L2240" i="13" s="1"/>
  <c r="I2241" i="13"/>
  <c r="L2241" i="13" s="1"/>
  <c r="I2242" i="13"/>
  <c r="L2242" i="13" s="1"/>
  <c r="I2243" i="13"/>
  <c r="L2243" i="13" s="1"/>
  <c r="I2244" i="13"/>
  <c r="L2244" i="13" s="1"/>
  <c r="I2245" i="13"/>
  <c r="L2245" i="13" s="1"/>
  <c r="I2246" i="13"/>
  <c r="L2246" i="13" s="1"/>
  <c r="I2247" i="13"/>
  <c r="L2247" i="13" s="1"/>
  <c r="I2248" i="13"/>
  <c r="L2248" i="13" s="1"/>
  <c r="I2249" i="13"/>
  <c r="L2249" i="13" s="1"/>
  <c r="I2250" i="13"/>
  <c r="L2250" i="13" s="1"/>
  <c r="I2251" i="13"/>
  <c r="L2251" i="13" s="1"/>
  <c r="I2252" i="13"/>
  <c r="L2252" i="13" s="1"/>
  <c r="I2253" i="13"/>
  <c r="L2253" i="13" s="1"/>
  <c r="I2254" i="13"/>
  <c r="L2254" i="13" s="1"/>
  <c r="I2255" i="13"/>
  <c r="L2255" i="13" s="1"/>
  <c r="I2256" i="13"/>
  <c r="L2256" i="13" s="1"/>
  <c r="I2257" i="13"/>
  <c r="L2257" i="13" s="1"/>
  <c r="I2258" i="13"/>
  <c r="L2258" i="13" s="1"/>
  <c r="I2259" i="13"/>
  <c r="L2259" i="13" s="1"/>
  <c r="I2260" i="13"/>
  <c r="L2260" i="13" s="1"/>
  <c r="I2261" i="13"/>
  <c r="L2261" i="13" s="1"/>
  <c r="I2262" i="13"/>
  <c r="L2262" i="13" s="1"/>
  <c r="I2263" i="13"/>
  <c r="L2263" i="13" s="1"/>
  <c r="I2264" i="13"/>
  <c r="L2264" i="13" s="1"/>
  <c r="I2265" i="13"/>
  <c r="L2265" i="13" s="1"/>
  <c r="I2266" i="13"/>
  <c r="L2266" i="13" s="1"/>
  <c r="I2267" i="13"/>
  <c r="L2267" i="13" s="1"/>
  <c r="I2268" i="13"/>
  <c r="L2268" i="13" s="1"/>
  <c r="I2269" i="13"/>
  <c r="L2269" i="13" s="1"/>
  <c r="I2270" i="13"/>
  <c r="L2270" i="13" s="1"/>
  <c r="I2271" i="13"/>
  <c r="L2271" i="13" s="1"/>
  <c r="I2272" i="13"/>
  <c r="L2272" i="13" s="1"/>
  <c r="I2273" i="13"/>
  <c r="L2273" i="13" s="1"/>
  <c r="I2274" i="13"/>
  <c r="L2274" i="13" s="1"/>
  <c r="I2275" i="13"/>
  <c r="L2275" i="13" s="1"/>
  <c r="I2276" i="13"/>
  <c r="L2276" i="13" s="1"/>
  <c r="I2277" i="13"/>
  <c r="L2277" i="13" s="1"/>
  <c r="I2278" i="13"/>
  <c r="L2278" i="13" s="1"/>
  <c r="I2279" i="13"/>
  <c r="L2279" i="13" s="1"/>
  <c r="I2280" i="13"/>
  <c r="L2280" i="13" s="1"/>
  <c r="I2281" i="13"/>
  <c r="L2281" i="13" s="1"/>
  <c r="I2282" i="13"/>
  <c r="L2282" i="13" s="1"/>
  <c r="I2283" i="13"/>
  <c r="L2283" i="13" s="1"/>
  <c r="I2284" i="13"/>
  <c r="L2284" i="13" s="1"/>
  <c r="I2285" i="13"/>
  <c r="L2285" i="13" s="1"/>
  <c r="I2286" i="13"/>
  <c r="L2286" i="13" s="1"/>
  <c r="I2287" i="13"/>
  <c r="L2287" i="13" s="1"/>
  <c r="I2288" i="13"/>
  <c r="L2288" i="13" s="1"/>
  <c r="I2289" i="13"/>
  <c r="L2289" i="13" s="1"/>
  <c r="I2290" i="13"/>
  <c r="L2290" i="13" s="1"/>
  <c r="I2291" i="13"/>
  <c r="L2291" i="13" s="1"/>
  <c r="I2292" i="13"/>
  <c r="L2292" i="13" s="1"/>
  <c r="I2293" i="13"/>
  <c r="L2293" i="13" s="1"/>
  <c r="I2294" i="13"/>
  <c r="L2294" i="13" s="1"/>
  <c r="I2295" i="13"/>
  <c r="L2295" i="13" s="1"/>
  <c r="I2296" i="13"/>
  <c r="L2296" i="13" s="1"/>
  <c r="I2297" i="13"/>
  <c r="L2297" i="13" s="1"/>
  <c r="I2298" i="13"/>
  <c r="L2298" i="13" s="1"/>
  <c r="I2299" i="13"/>
  <c r="L2299" i="13" s="1"/>
  <c r="I2300" i="13"/>
  <c r="L2300" i="13" s="1"/>
  <c r="I2301" i="13"/>
  <c r="L2301" i="13" s="1"/>
  <c r="I2302" i="13"/>
  <c r="L2302" i="13" s="1"/>
  <c r="I2303" i="13"/>
  <c r="L2303" i="13" s="1"/>
  <c r="I2304" i="13"/>
  <c r="L2304" i="13" s="1"/>
  <c r="I2305" i="13"/>
  <c r="L2305" i="13" s="1"/>
  <c r="I2306" i="13"/>
  <c r="L2306" i="13" s="1"/>
  <c r="I2307" i="13"/>
  <c r="L2307" i="13" s="1"/>
  <c r="I2308" i="13"/>
  <c r="L2308" i="13" s="1"/>
  <c r="I2309" i="13"/>
  <c r="L2309" i="13" s="1"/>
  <c r="I2310" i="13"/>
  <c r="L2310" i="13" s="1"/>
  <c r="I2311" i="13"/>
  <c r="L2311" i="13" s="1"/>
  <c r="I2312" i="13"/>
  <c r="L2312" i="13" s="1"/>
  <c r="I2313" i="13"/>
  <c r="L2313" i="13" s="1"/>
  <c r="I2314" i="13"/>
  <c r="L2314" i="13" s="1"/>
  <c r="I2315" i="13"/>
  <c r="L2315" i="13" s="1"/>
  <c r="I2316" i="13"/>
  <c r="L2316" i="13" s="1"/>
  <c r="I2317" i="13"/>
  <c r="L2317" i="13" s="1"/>
  <c r="I2318" i="13"/>
  <c r="L2318" i="13" s="1"/>
  <c r="I2319" i="13"/>
  <c r="L2319" i="13" s="1"/>
  <c r="I2320" i="13"/>
  <c r="L2320" i="13" s="1"/>
  <c r="I2321" i="13"/>
  <c r="L2321" i="13" s="1"/>
  <c r="I2322" i="13"/>
  <c r="L2322" i="13" s="1"/>
  <c r="I2323" i="13"/>
  <c r="L2323" i="13" s="1"/>
  <c r="I2324" i="13"/>
  <c r="L2324" i="13" s="1"/>
  <c r="I2325" i="13"/>
  <c r="L2325" i="13" s="1"/>
  <c r="I2326" i="13"/>
  <c r="L2326" i="13" s="1"/>
  <c r="I2327" i="13"/>
  <c r="L2327" i="13" s="1"/>
  <c r="I2328" i="13"/>
  <c r="L2328" i="13" s="1"/>
  <c r="I2329" i="13"/>
  <c r="L2329" i="13" s="1"/>
  <c r="I2330" i="13"/>
  <c r="L2330" i="13" s="1"/>
  <c r="I2331" i="13"/>
  <c r="L2331" i="13" s="1"/>
  <c r="I2332" i="13"/>
  <c r="L2332" i="13" s="1"/>
  <c r="I2333" i="13"/>
  <c r="L2333" i="13" s="1"/>
  <c r="I2334" i="13"/>
  <c r="L2334" i="13" s="1"/>
  <c r="I2335" i="13"/>
  <c r="L2335" i="13" s="1"/>
  <c r="I2336" i="13"/>
  <c r="L2336" i="13" s="1"/>
  <c r="I2337" i="13"/>
  <c r="L2337" i="13" s="1"/>
  <c r="I2338" i="13"/>
  <c r="L2338" i="13" s="1"/>
  <c r="I2339" i="13"/>
  <c r="L2339" i="13" s="1"/>
  <c r="I2340" i="13"/>
  <c r="L2340" i="13" s="1"/>
  <c r="I2341" i="13"/>
  <c r="L2341" i="13" s="1"/>
  <c r="I2342" i="13"/>
  <c r="L2342" i="13" s="1"/>
  <c r="I2343" i="13"/>
  <c r="L2343" i="13" s="1"/>
  <c r="I2344" i="13"/>
  <c r="L2344" i="13" s="1"/>
  <c r="I2345" i="13"/>
  <c r="L2345" i="13" s="1"/>
  <c r="I2346" i="13"/>
  <c r="L2346" i="13" s="1"/>
  <c r="I2347" i="13"/>
  <c r="L2347" i="13" s="1"/>
  <c r="I2348" i="13"/>
  <c r="L2348" i="13" s="1"/>
  <c r="I2349" i="13"/>
  <c r="L2349" i="13" s="1"/>
  <c r="I2350" i="13"/>
  <c r="L2350" i="13" s="1"/>
  <c r="I2351" i="13"/>
  <c r="L2351" i="13" s="1"/>
  <c r="I2352" i="13"/>
  <c r="L2352" i="13" s="1"/>
  <c r="I2353" i="13"/>
  <c r="L2353" i="13" s="1"/>
  <c r="I2354" i="13"/>
  <c r="L2354" i="13" s="1"/>
  <c r="I2355" i="13"/>
  <c r="L2355" i="13" s="1"/>
  <c r="I2356" i="13"/>
  <c r="L2356" i="13" s="1"/>
  <c r="I2357" i="13"/>
  <c r="L2357" i="13" s="1"/>
  <c r="I2358" i="13"/>
  <c r="L2358" i="13" s="1"/>
  <c r="I2359" i="13"/>
  <c r="L2359" i="13" s="1"/>
  <c r="I2360" i="13"/>
  <c r="L2360" i="13" s="1"/>
  <c r="I2361" i="13"/>
  <c r="L2361" i="13" s="1"/>
  <c r="I2362" i="13"/>
  <c r="L2362" i="13" s="1"/>
  <c r="I2363" i="13"/>
  <c r="L2363" i="13" s="1"/>
  <c r="I2364" i="13"/>
  <c r="L2364" i="13" s="1"/>
  <c r="I2365" i="13"/>
  <c r="L2365" i="13" s="1"/>
  <c r="I2366" i="13"/>
  <c r="L2366" i="13" s="1"/>
  <c r="I2367" i="13"/>
  <c r="L2367" i="13" s="1"/>
  <c r="I2368" i="13"/>
  <c r="L2368" i="13" s="1"/>
  <c r="I2369" i="13"/>
  <c r="L2369" i="13" s="1"/>
  <c r="I2370" i="13"/>
  <c r="L2370" i="13" s="1"/>
  <c r="I2371" i="13"/>
  <c r="L2371" i="13" s="1"/>
  <c r="I2372" i="13"/>
  <c r="L2372" i="13" s="1"/>
  <c r="I2373" i="13"/>
  <c r="L2373" i="13" s="1"/>
  <c r="I2374" i="13"/>
  <c r="L2374" i="13" s="1"/>
  <c r="I2375" i="13"/>
  <c r="L2375" i="13" s="1"/>
  <c r="I2376" i="13"/>
  <c r="L2376" i="13" s="1"/>
  <c r="I2377" i="13"/>
  <c r="L2377" i="13" s="1"/>
  <c r="I2378" i="13"/>
  <c r="L2378" i="13" s="1"/>
  <c r="I2379" i="13"/>
  <c r="L2379" i="13" s="1"/>
  <c r="I2380" i="13"/>
  <c r="L2380" i="13" s="1"/>
  <c r="I2381" i="13"/>
  <c r="L2381" i="13" s="1"/>
  <c r="I2382" i="13"/>
  <c r="L2382" i="13" s="1"/>
  <c r="I2383" i="13"/>
  <c r="L2383" i="13" s="1"/>
  <c r="I2384" i="13"/>
  <c r="L2384" i="13" s="1"/>
  <c r="I2385" i="13"/>
  <c r="L2385" i="13" s="1"/>
  <c r="I2386" i="13"/>
  <c r="L2386" i="13" s="1"/>
  <c r="I2387" i="13"/>
  <c r="L2387" i="13" s="1"/>
  <c r="I2388" i="13"/>
  <c r="L2388" i="13" s="1"/>
  <c r="I2389" i="13"/>
  <c r="L2389" i="13" s="1"/>
  <c r="I2390" i="13"/>
  <c r="L2390" i="13" s="1"/>
  <c r="I2391" i="13"/>
  <c r="L2391" i="13" s="1"/>
  <c r="I2392" i="13"/>
  <c r="L2392" i="13" s="1"/>
  <c r="I2393" i="13"/>
  <c r="L2393" i="13" s="1"/>
  <c r="I2394" i="13"/>
  <c r="L2394" i="13" s="1"/>
  <c r="I2395" i="13"/>
  <c r="L2395" i="13" s="1"/>
  <c r="I2396" i="13"/>
  <c r="L2396" i="13" s="1"/>
  <c r="I2397" i="13"/>
  <c r="L2397" i="13" s="1"/>
  <c r="I2398" i="13"/>
  <c r="L2398" i="13" s="1"/>
  <c r="I2399" i="13"/>
  <c r="L2399" i="13" s="1"/>
  <c r="I2400" i="13"/>
  <c r="L2400" i="13" s="1"/>
  <c r="I2401" i="13"/>
  <c r="L2401" i="13" s="1"/>
  <c r="I2402" i="13"/>
  <c r="L2402" i="13" s="1"/>
  <c r="I2403" i="13"/>
  <c r="L2403" i="13" s="1"/>
  <c r="I2404" i="13"/>
  <c r="L2404" i="13" s="1"/>
  <c r="I2405" i="13"/>
  <c r="L2405" i="13" s="1"/>
  <c r="I2406" i="13"/>
  <c r="L2406" i="13" s="1"/>
  <c r="I2407" i="13"/>
  <c r="L2407" i="13" s="1"/>
  <c r="I2408" i="13"/>
  <c r="L2408" i="13" s="1"/>
  <c r="I2409" i="13"/>
  <c r="L2409" i="13" s="1"/>
  <c r="I2410" i="13"/>
  <c r="L2410" i="13" s="1"/>
  <c r="I2411" i="13"/>
  <c r="L2411" i="13" s="1"/>
  <c r="I2412" i="13"/>
  <c r="L2412" i="13" s="1"/>
  <c r="I2413" i="13"/>
  <c r="L2413" i="13" s="1"/>
  <c r="I2414" i="13"/>
  <c r="L2414" i="13" s="1"/>
  <c r="I2415" i="13"/>
  <c r="L2415" i="13" s="1"/>
  <c r="I2416" i="13"/>
  <c r="L2416" i="13" s="1"/>
  <c r="I2417" i="13"/>
  <c r="L2417" i="13" s="1"/>
  <c r="I2418" i="13"/>
  <c r="L2418" i="13" s="1"/>
  <c r="I2419" i="13"/>
  <c r="L2419" i="13" s="1"/>
  <c r="I2420" i="13"/>
  <c r="L2420" i="13" s="1"/>
  <c r="I2421" i="13"/>
  <c r="L2421" i="13" s="1"/>
  <c r="I2422" i="13"/>
  <c r="L2422" i="13" s="1"/>
  <c r="I2423" i="13"/>
  <c r="L2423" i="13" s="1"/>
  <c r="I2424" i="13"/>
  <c r="L2424" i="13" s="1"/>
  <c r="I2425" i="13"/>
  <c r="L2425" i="13" s="1"/>
  <c r="I2426" i="13"/>
  <c r="L2426" i="13" s="1"/>
  <c r="I2427" i="13"/>
  <c r="L2427" i="13" s="1"/>
  <c r="I2428" i="13"/>
  <c r="L2428" i="13" s="1"/>
  <c r="I2429" i="13"/>
  <c r="L2429" i="13" s="1"/>
  <c r="I2430" i="13"/>
  <c r="L2430" i="13" s="1"/>
  <c r="I2431" i="13"/>
  <c r="L2431" i="13" s="1"/>
  <c r="I2432" i="13"/>
  <c r="L2432" i="13" s="1"/>
  <c r="I2433" i="13"/>
  <c r="L2433" i="13" s="1"/>
  <c r="I2434" i="13"/>
  <c r="L2434" i="13" s="1"/>
  <c r="I2435" i="13"/>
  <c r="L2435" i="13" s="1"/>
  <c r="I2436" i="13"/>
  <c r="L2436" i="13" s="1"/>
  <c r="I2437" i="13"/>
  <c r="L2437" i="13" s="1"/>
  <c r="I2438" i="13"/>
  <c r="L2438" i="13" s="1"/>
  <c r="I2439" i="13"/>
  <c r="L2439" i="13" s="1"/>
  <c r="I2440" i="13"/>
  <c r="L2440" i="13" s="1"/>
  <c r="I2441" i="13"/>
  <c r="L2441" i="13" s="1"/>
  <c r="I2442" i="13"/>
  <c r="L2442" i="13" s="1"/>
  <c r="I2443" i="13"/>
  <c r="L2443" i="13" s="1"/>
  <c r="I2444" i="13"/>
  <c r="L2444" i="13" s="1"/>
  <c r="I2445" i="13"/>
  <c r="L2445" i="13" s="1"/>
  <c r="I2446" i="13"/>
  <c r="L2446" i="13" s="1"/>
  <c r="I2447" i="13"/>
  <c r="L2447" i="13" s="1"/>
  <c r="I2448" i="13"/>
  <c r="L2448" i="13" s="1"/>
  <c r="I2449" i="13"/>
  <c r="L2449" i="13" s="1"/>
  <c r="I2450" i="13"/>
  <c r="L2450" i="13" s="1"/>
  <c r="I2451" i="13"/>
  <c r="L2451" i="13" s="1"/>
  <c r="I2452" i="13"/>
  <c r="L2452" i="13" s="1"/>
  <c r="I2453" i="13"/>
  <c r="L2453" i="13" s="1"/>
  <c r="I2454" i="13"/>
  <c r="L2454" i="13" s="1"/>
  <c r="I2455" i="13"/>
  <c r="L2455" i="13" s="1"/>
  <c r="I2456" i="13"/>
  <c r="L2456" i="13" s="1"/>
  <c r="I2457" i="13"/>
  <c r="L2457" i="13" s="1"/>
  <c r="I2458" i="13"/>
  <c r="L2458" i="13" s="1"/>
  <c r="I2459" i="13"/>
  <c r="L2459" i="13" s="1"/>
  <c r="I2460" i="13"/>
  <c r="L2460" i="13" s="1"/>
  <c r="I2461" i="13"/>
  <c r="L2461" i="13" s="1"/>
  <c r="I2462" i="13"/>
  <c r="L2462" i="13" s="1"/>
  <c r="I2463" i="13"/>
  <c r="L2463" i="13" s="1"/>
  <c r="I2464" i="13"/>
  <c r="L2464" i="13" s="1"/>
  <c r="I2465" i="13"/>
  <c r="L2465" i="13" s="1"/>
  <c r="I2466" i="13"/>
  <c r="L2466" i="13" s="1"/>
  <c r="I2467" i="13"/>
  <c r="L2467" i="13" s="1"/>
  <c r="I2468" i="13"/>
  <c r="L2468" i="13" s="1"/>
  <c r="I2469" i="13"/>
  <c r="L2469" i="13" s="1"/>
  <c r="I2470" i="13"/>
  <c r="L2470" i="13" s="1"/>
  <c r="I2471" i="13"/>
  <c r="L2471" i="13" s="1"/>
  <c r="I2472" i="13"/>
  <c r="L2472" i="13" s="1"/>
  <c r="I2473" i="13"/>
  <c r="L2473" i="13" s="1"/>
  <c r="I2474" i="13"/>
  <c r="L2474" i="13" s="1"/>
  <c r="I2475" i="13"/>
  <c r="L2475" i="13" s="1"/>
  <c r="I2476" i="13"/>
  <c r="L2476" i="13" s="1"/>
  <c r="I2477" i="13"/>
  <c r="L2477" i="13" s="1"/>
  <c r="I2478" i="13"/>
  <c r="L2478" i="13" s="1"/>
  <c r="I2479" i="13"/>
  <c r="L2479" i="13" s="1"/>
  <c r="I2480" i="13"/>
  <c r="L2480" i="13" s="1"/>
  <c r="I2481" i="13"/>
  <c r="L2481" i="13" s="1"/>
  <c r="I2482" i="13"/>
  <c r="L2482" i="13" s="1"/>
  <c r="I2483" i="13"/>
  <c r="L2483" i="13" s="1"/>
  <c r="I2484" i="13"/>
  <c r="L2484" i="13" s="1"/>
  <c r="I2485" i="13"/>
  <c r="L2485" i="13" s="1"/>
  <c r="I2486" i="13"/>
  <c r="L2486" i="13" s="1"/>
  <c r="I2487" i="13"/>
  <c r="L2487" i="13" s="1"/>
  <c r="I2488" i="13"/>
  <c r="L2488" i="13" s="1"/>
  <c r="I2489" i="13"/>
  <c r="L2489" i="13" s="1"/>
  <c r="I2490" i="13"/>
  <c r="L2490" i="13" s="1"/>
  <c r="I2491" i="13"/>
  <c r="L2491" i="13" s="1"/>
  <c r="I2492" i="13"/>
  <c r="L2492" i="13" s="1"/>
  <c r="I2493" i="13"/>
  <c r="L2493" i="13" s="1"/>
  <c r="I2494" i="13"/>
  <c r="L2494" i="13" s="1"/>
  <c r="I2495" i="13"/>
  <c r="L2495" i="13" s="1"/>
  <c r="I2496" i="13"/>
  <c r="L2496" i="13" s="1"/>
  <c r="I2497" i="13"/>
  <c r="L2497" i="13" s="1"/>
  <c r="I2498" i="13"/>
  <c r="L2498" i="13" s="1"/>
  <c r="I2499" i="13"/>
  <c r="L2499" i="13" s="1"/>
  <c r="I2500" i="13"/>
  <c r="L2500" i="13" s="1"/>
  <c r="I2501" i="13"/>
  <c r="L2501" i="13" s="1"/>
  <c r="I2502" i="13"/>
  <c r="L2502" i="13" s="1"/>
  <c r="I2503" i="13"/>
  <c r="L2503" i="13" s="1"/>
  <c r="I2504" i="13"/>
  <c r="L2504" i="13" s="1"/>
  <c r="I2505" i="13"/>
  <c r="L2505" i="13" s="1"/>
  <c r="I2506" i="13"/>
  <c r="L2506" i="13" s="1"/>
  <c r="I2507" i="13"/>
  <c r="L2507" i="13" s="1"/>
  <c r="I2508" i="13"/>
  <c r="L2508" i="13" s="1"/>
  <c r="I2509" i="13"/>
  <c r="L2509" i="13" s="1"/>
  <c r="I2510" i="13"/>
  <c r="L2510" i="13" s="1"/>
  <c r="I2511" i="13"/>
  <c r="L2511" i="13" s="1"/>
  <c r="I2512" i="13"/>
  <c r="L2512" i="13" s="1"/>
  <c r="I2513" i="13"/>
  <c r="L2513" i="13" s="1"/>
  <c r="I2514" i="13"/>
  <c r="L2514" i="13" s="1"/>
  <c r="I2515" i="13"/>
  <c r="L2515" i="13" s="1"/>
  <c r="I2516" i="13"/>
  <c r="L2516" i="13" s="1"/>
  <c r="I2517" i="13"/>
  <c r="L2517" i="13" s="1"/>
  <c r="I2518" i="13"/>
  <c r="I2519" i="13"/>
  <c r="L2519" i="13" s="1"/>
  <c r="I2520" i="13"/>
  <c r="L2520" i="13" s="1"/>
  <c r="I2521" i="13"/>
  <c r="L2521" i="13" s="1"/>
  <c r="I2522" i="13"/>
  <c r="L2522" i="13" s="1"/>
  <c r="I2523" i="13"/>
  <c r="L2523" i="13" s="1"/>
  <c r="I2524" i="13"/>
  <c r="L2524" i="13" s="1"/>
  <c r="I2525" i="13"/>
  <c r="L2525" i="13" s="1"/>
  <c r="I2526" i="13"/>
  <c r="L2526" i="13" s="1"/>
  <c r="I2527" i="13"/>
  <c r="L2527" i="13" s="1"/>
  <c r="I2528" i="13"/>
  <c r="L2528" i="13" s="1"/>
  <c r="I2529" i="13"/>
  <c r="L2529" i="13" s="1"/>
  <c r="I2530" i="13"/>
  <c r="L2530" i="13" s="1"/>
  <c r="I2531" i="13"/>
  <c r="L2531" i="13" s="1"/>
  <c r="I2532" i="13"/>
  <c r="L2532" i="13" s="1"/>
  <c r="I2533" i="13"/>
  <c r="L2533" i="13" s="1"/>
  <c r="I2534" i="13"/>
  <c r="I2535" i="13"/>
  <c r="L2535" i="13" s="1"/>
  <c r="I2536" i="13"/>
  <c r="L2536" i="13" s="1"/>
  <c r="I2537" i="13"/>
  <c r="L2537" i="13" s="1"/>
  <c r="I2538" i="13"/>
  <c r="L2538" i="13" s="1"/>
  <c r="I2539" i="13"/>
  <c r="L2539" i="13" s="1"/>
  <c r="I2540" i="13"/>
  <c r="L2540" i="13" s="1"/>
  <c r="I2541" i="13"/>
  <c r="L2541" i="13" s="1"/>
  <c r="I2542" i="13"/>
  <c r="L2542" i="13" s="1"/>
  <c r="I2543" i="13"/>
  <c r="L2543" i="13" s="1"/>
  <c r="I2544" i="13"/>
  <c r="L2544" i="13" s="1"/>
  <c r="I2545" i="13"/>
  <c r="L2545" i="13" s="1"/>
  <c r="I2546" i="13"/>
  <c r="L2546" i="13" s="1"/>
  <c r="I2547" i="13"/>
  <c r="L2547" i="13" s="1"/>
  <c r="I2548" i="13"/>
  <c r="L2548" i="13" s="1"/>
  <c r="I2549" i="13"/>
  <c r="L2549" i="13" s="1"/>
  <c r="I2550" i="13"/>
  <c r="L2550" i="13" s="1"/>
  <c r="I2551" i="13"/>
  <c r="L2551" i="13" s="1"/>
  <c r="I2552" i="13"/>
  <c r="L2552" i="13" s="1"/>
  <c r="I2553" i="13"/>
  <c r="L2553" i="13" s="1"/>
  <c r="I2554" i="13"/>
  <c r="L2554" i="13" s="1"/>
  <c r="I2555" i="13"/>
  <c r="L2555" i="13" s="1"/>
  <c r="I2556" i="13"/>
  <c r="L2556" i="13" s="1"/>
  <c r="I2557" i="13"/>
  <c r="L2557" i="13" s="1"/>
  <c r="I2558" i="13"/>
  <c r="L2558" i="13" s="1"/>
  <c r="I2559" i="13"/>
  <c r="L2559" i="13" s="1"/>
  <c r="I2560" i="13"/>
  <c r="L2560" i="13" s="1"/>
  <c r="I2561" i="13"/>
  <c r="L2561" i="13" s="1"/>
  <c r="I2562" i="13"/>
  <c r="L2562" i="13" s="1"/>
  <c r="I2563" i="13"/>
  <c r="L2563" i="13" s="1"/>
  <c r="I2564" i="13"/>
  <c r="L2564" i="13" s="1"/>
  <c r="I2565" i="13"/>
  <c r="L2565" i="13" s="1"/>
  <c r="I2566" i="13"/>
  <c r="I2567" i="13"/>
  <c r="L2567" i="13" s="1"/>
  <c r="I2568" i="13"/>
  <c r="L2568" i="13" s="1"/>
  <c r="I2569" i="13"/>
  <c r="L2569" i="13" s="1"/>
  <c r="I2570" i="13"/>
  <c r="L2570" i="13" s="1"/>
  <c r="I2571" i="13"/>
  <c r="L2571" i="13" s="1"/>
  <c r="I2572" i="13"/>
  <c r="L2572" i="13" s="1"/>
  <c r="I2573" i="13"/>
  <c r="L2573" i="13" s="1"/>
  <c r="I2574" i="13"/>
  <c r="L2574" i="13" s="1"/>
  <c r="I2575" i="13"/>
  <c r="L2575" i="13" s="1"/>
  <c r="I2576" i="13"/>
  <c r="L2576" i="13" s="1"/>
  <c r="I2577" i="13"/>
  <c r="L2577" i="13" s="1"/>
  <c r="I2578" i="13"/>
  <c r="L2578" i="13" s="1"/>
  <c r="I2579" i="13"/>
  <c r="L2579" i="13" s="1"/>
  <c r="I2580" i="13"/>
  <c r="L2580" i="13" s="1"/>
  <c r="I2581" i="13"/>
  <c r="L2581" i="13" s="1"/>
  <c r="I2582" i="13"/>
  <c r="I2583" i="13"/>
  <c r="L2583" i="13" s="1"/>
  <c r="I2584" i="13"/>
  <c r="L2584" i="13" s="1"/>
  <c r="I2585" i="13"/>
  <c r="L2585" i="13" s="1"/>
  <c r="I2586" i="13"/>
  <c r="L2586" i="13" s="1"/>
  <c r="I2587" i="13"/>
  <c r="L2587" i="13" s="1"/>
  <c r="I2588" i="13"/>
  <c r="L2588" i="13" s="1"/>
  <c r="I2589" i="13"/>
  <c r="L2589" i="13" s="1"/>
  <c r="I2590" i="13"/>
  <c r="I2591" i="13"/>
  <c r="L2591" i="13" s="1"/>
  <c r="I2592" i="13"/>
  <c r="L2592" i="13" s="1"/>
  <c r="I2593" i="13"/>
  <c r="L2593" i="13" s="1"/>
  <c r="I2594" i="13"/>
  <c r="I2595" i="13"/>
  <c r="L2595" i="13" s="1"/>
  <c r="I2596" i="13"/>
  <c r="L2596" i="13" s="1"/>
  <c r="I2597" i="13"/>
  <c r="L2597" i="13" s="1"/>
  <c r="I2598" i="13"/>
  <c r="L2598" i="13" s="1"/>
  <c r="I2599" i="13"/>
  <c r="L2599" i="13" s="1"/>
  <c r="I2600" i="13"/>
  <c r="L2600" i="13" s="1"/>
  <c r="I2601" i="13"/>
  <c r="L2601" i="13" s="1"/>
  <c r="I2602" i="13"/>
  <c r="I2603" i="13"/>
  <c r="L2603" i="13" s="1"/>
  <c r="I2604" i="13"/>
  <c r="L2604" i="13" s="1"/>
  <c r="I2605" i="13"/>
  <c r="L2605" i="13" s="1"/>
  <c r="I2606" i="13"/>
  <c r="I2607" i="13"/>
  <c r="L2607" i="13" s="1"/>
  <c r="I2608" i="13"/>
  <c r="L2608" i="13" s="1"/>
  <c r="I2609" i="13"/>
  <c r="L2609" i="13" s="1"/>
  <c r="I2610" i="13"/>
  <c r="L2610" i="13" s="1"/>
  <c r="I2611" i="13"/>
  <c r="L2611" i="13" s="1"/>
  <c r="I2612" i="13"/>
  <c r="L2612" i="13" s="1"/>
  <c r="I2613" i="13"/>
  <c r="L2613" i="13" s="1"/>
  <c r="I2614" i="13"/>
  <c r="I2615" i="13"/>
  <c r="L2615" i="13" s="1"/>
  <c r="I2616" i="13"/>
  <c r="L2616" i="13" s="1"/>
  <c r="I2617" i="13"/>
  <c r="L2617" i="13" s="1"/>
  <c r="I2618" i="13"/>
  <c r="I2619" i="13"/>
  <c r="L2619" i="13" s="1"/>
  <c r="I2620" i="13"/>
  <c r="L2620" i="13" s="1"/>
  <c r="I2621" i="13"/>
  <c r="L2621" i="13" s="1"/>
  <c r="I2622" i="13"/>
  <c r="L2622" i="13" s="1"/>
  <c r="I2623" i="13"/>
  <c r="L2623" i="13" s="1"/>
  <c r="I2624" i="13"/>
  <c r="L2624" i="13" s="1"/>
  <c r="I2625" i="13"/>
  <c r="L2625" i="13" s="1"/>
  <c r="I2626" i="13"/>
  <c r="I2627" i="13"/>
  <c r="L2627" i="13" s="1"/>
  <c r="I2628" i="13"/>
  <c r="L2628" i="13" s="1"/>
  <c r="I2629" i="13"/>
  <c r="L2629" i="13" s="1"/>
  <c r="I2630" i="13"/>
  <c r="I2631" i="13"/>
  <c r="L2631" i="13" s="1"/>
  <c r="I2632" i="13"/>
  <c r="L2632" i="13" s="1"/>
  <c r="I2633" i="13"/>
  <c r="L2633" i="13" s="1"/>
  <c r="I2634" i="13"/>
  <c r="L2634" i="13" s="1"/>
  <c r="I2635" i="13"/>
  <c r="L2635" i="13" s="1"/>
  <c r="I2636" i="13"/>
  <c r="L2636" i="13" s="1"/>
  <c r="I2637" i="13"/>
  <c r="L2637" i="13" s="1"/>
  <c r="I2638" i="13"/>
  <c r="L2638" i="13" s="1"/>
  <c r="I2639" i="13"/>
  <c r="L2639" i="13" s="1"/>
  <c r="I2640" i="13"/>
  <c r="L2640" i="13" s="1"/>
  <c r="I2641" i="13"/>
  <c r="L2641" i="13" s="1"/>
  <c r="I2642" i="13"/>
  <c r="L2642" i="13" s="1"/>
  <c r="I2643" i="13"/>
  <c r="L2643" i="13" s="1"/>
  <c r="I2644" i="13"/>
  <c r="L2644" i="13" s="1"/>
  <c r="I2645" i="13"/>
  <c r="L2645" i="13" s="1"/>
  <c r="I2646" i="13"/>
  <c r="L2646" i="13" s="1"/>
  <c r="I2647" i="13"/>
  <c r="L2647" i="13" s="1"/>
  <c r="I2648" i="13"/>
  <c r="L2648" i="13" s="1"/>
  <c r="I2649" i="13"/>
  <c r="L2649" i="13" s="1"/>
  <c r="I2650" i="13"/>
  <c r="L2650" i="13" s="1"/>
  <c r="I2651" i="13"/>
  <c r="L2651" i="13" s="1"/>
  <c r="I2652" i="13"/>
  <c r="L2652" i="13" s="1"/>
  <c r="I2653" i="13"/>
  <c r="L2653" i="13" s="1"/>
  <c r="I2654" i="13"/>
  <c r="L2654" i="13" s="1"/>
  <c r="I2655" i="13"/>
  <c r="L2655" i="13" s="1"/>
  <c r="I2656" i="13"/>
  <c r="L2656" i="13" s="1"/>
  <c r="I2657" i="13"/>
  <c r="L2657" i="13" s="1"/>
  <c r="I2658" i="13"/>
  <c r="L2658" i="13" s="1"/>
  <c r="I2659" i="13"/>
  <c r="L2659" i="13" s="1"/>
  <c r="I2660" i="13"/>
  <c r="L2660" i="13" s="1"/>
  <c r="I2661" i="13"/>
  <c r="L2661" i="13" s="1"/>
  <c r="I2662" i="13"/>
  <c r="L2662" i="13" s="1"/>
  <c r="I2663" i="13"/>
  <c r="L2663" i="13" s="1"/>
  <c r="I2664" i="13"/>
  <c r="L2664" i="13" s="1"/>
  <c r="I2665" i="13"/>
  <c r="L2665" i="13" s="1"/>
  <c r="I2666" i="13"/>
  <c r="I2667" i="13"/>
  <c r="L2667" i="13" s="1"/>
  <c r="I2668" i="13"/>
  <c r="L2668" i="13" s="1"/>
  <c r="I2669" i="13"/>
  <c r="L2669" i="13" s="1"/>
  <c r="I2670" i="13"/>
  <c r="L2670" i="13" s="1"/>
  <c r="I2671" i="13"/>
  <c r="L2671" i="13" s="1"/>
  <c r="I2672" i="13"/>
  <c r="L2672" i="13" s="1"/>
  <c r="I2673" i="13"/>
  <c r="L2673" i="13" s="1"/>
  <c r="I2674" i="13"/>
  <c r="L2674" i="13" s="1"/>
  <c r="I2675" i="13"/>
  <c r="L2675" i="13" s="1"/>
  <c r="I2676" i="13"/>
  <c r="L2676" i="13" s="1"/>
  <c r="I2677" i="13"/>
  <c r="L2677" i="13" s="1"/>
  <c r="I2678" i="13"/>
  <c r="L2678" i="13" s="1"/>
  <c r="I2679" i="13"/>
  <c r="L2679" i="13" s="1"/>
  <c r="I2680" i="13"/>
  <c r="L2680" i="13" s="1"/>
  <c r="I2681" i="13"/>
  <c r="L2681" i="13" s="1"/>
  <c r="I2682" i="13"/>
  <c r="L2682" i="13" s="1"/>
  <c r="I2683" i="13"/>
  <c r="L2683" i="13" s="1"/>
  <c r="I2684" i="13"/>
  <c r="L2684" i="13" s="1"/>
  <c r="I2685" i="13"/>
  <c r="L2685" i="13" s="1"/>
  <c r="I2686" i="13"/>
  <c r="L2686" i="13" s="1"/>
  <c r="I2687" i="13"/>
  <c r="L2687" i="13" s="1"/>
  <c r="I2688" i="13"/>
  <c r="L2688" i="13" s="1"/>
  <c r="I2689" i="13"/>
  <c r="L2689" i="13" s="1"/>
  <c r="I2690" i="13"/>
  <c r="L2690" i="13" s="1"/>
  <c r="I2691" i="13"/>
  <c r="L2691" i="13" s="1"/>
  <c r="I2692" i="13"/>
  <c r="L2692" i="13" s="1"/>
  <c r="I2693" i="13"/>
  <c r="L2693" i="13" s="1"/>
  <c r="I2694" i="13"/>
  <c r="L2694" i="13" s="1"/>
  <c r="I2695" i="13"/>
  <c r="L2695" i="13" s="1"/>
  <c r="I2696" i="13"/>
  <c r="L2696" i="13" s="1"/>
  <c r="I2697" i="13"/>
  <c r="L2697" i="13" s="1"/>
  <c r="I2698" i="13"/>
  <c r="L2698" i="13" s="1"/>
  <c r="I2699" i="13"/>
  <c r="L2699" i="13" s="1"/>
  <c r="I2700" i="13"/>
  <c r="L2700" i="13" s="1"/>
  <c r="I2701" i="13"/>
  <c r="L2701" i="13" s="1"/>
  <c r="I2702" i="13"/>
  <c r="L2702" i="13" s="1"/>
  <c r="I2703" i="13"/>
  <c r="L2703" i="13" s="1"/>
  <c r="I2704" i="13"/>
  <c r="L2704" i="13" s="1"/>
  <c r="I2705" i="13"/>
  <c r="L2705" i="13" s="1"/>
  <c r="I2706" i="13"/>
  <c r="L2706" i="13" s="1"/>
  <c r="I2707" i="13"/>
  <c r="L2707" i="13" s="1"/>
  <c r="I2708" i="13"/>
  <c r="L2708" i="13" s="1"/>
  <c r="I2709" i="13"/>
  <c r="L2709" i="13" s="1"/>
  <c r="I2710" i="13"/>
  <c r="L2710" i="13" s="1"/>
  <c r="I2711" i="13"/>
  <c r="L2711" i="13" s="1"/>
  <c r="I2712" i="13"/>
  <c r="L2712" i="13" s="1"/>
  <c r="I2713" i="13"/>
  <c r="L2713" i="13" s="1"/>
  <c r="I2714" i="13"/>
  <c r="L2714" i="13" s="1"/>
  <c r="I2715" i="13"/>
  <c r="L2715" i="13" s="1"/>
  <c r="I2716" i="13"/>
  <c r="L2716" i="13" s="1"/>
  <c r="I2717" i="13"/>
  <c r="L2717" i="13" s="1"/>
  <c r="I2718" i="13"/>
  <c r="L2718" i="13" s="1"/>
  <c r="I2719" i="13"/>
  <c r="L2719" i="13" s="1"/>
  <c r="I2720" i="13"/>
  <c r="L2720" i="13" s="1"/>
  <c r="I2721" i="13"/>
  <c r="L2721" i="13" s="1"/>
  <c r="I2722" i="13"/>
  <c r="L2722" i="13" s="1"/>
  <c r="I2723" i="13"/>
  <c r="L2723" i="13" s="1"/>
  <c r="I2724" i="13"/>
  <c r="L2724" i="13" s="1"/>
  <c r="I2725" i="13"/>
  <c r="L2725" i="13" s="1"/>
  <c r="I2726" i="13"/>
  <c r="L2726" i="13" s="1"/>
  <c r="I2727" i="13"/>
  <c r="L2727" i="13" s="1"/>
  <c r="I2728" i="13"/>
  <c r="L2728" i="13" s="1"/>
  <c r="I2729" i="13"/>
  <c r="L2729" i="13" s="1"/>
  <c r="I2730" i="13"/>
  <c r="L2730" i="13" s="1"/>
  <c r="I2731" i="13"/>
  <c r="L2731" i="13" s="1"/>
  <c r="G2634" i="13"/>
  <c r="G2635" i="13"/>
  <c r="G2636" i="13"/>
  <c r="G2637" i="13"/>
  <c r="G2638" i="13"/>
  <c r="G2639" i="13"/>
  <c r="G2640" i="13"/>
  <c r="G2641" i="13"/>
  <c r="G2642" i="13"/>
  <c r="G2643" i="13"/>
  <c r="G2644" i="13"/>
  <c r="G2645" i="13"/>
  <c r="G2646" i="13"/>
  <c r="G2647" i="13"/>
  <c r="G2648" i="13"/>
  <c r="G2649" i="13"/>
  <c r="G2650" i="13"/>
  <c r="G2651" i="13"/>
  <c r="G2652" i="13"/>
  <c r="G2653" i="13"/>
  <c r="G2654" i="13"/>
  <c r="G2655" i="13"/>
  <c r="G2656" i="13"/>
  <c r="G2657" i="13"/>
  <c r="G2658" i="13"/>
  <c r="G2659" i="13"/>
  <c r="G2660" i="13"/>
  <c r="G2661" i="13"/>
  <c r="G2662" i="13"/>
  <c r="G2663" i="13"/>
  <c r="G2664" i="13"/>
  <c r="G2665" i="13"/>
  <c r="G2666" i="13"/>
  <c r="G2667" i="13"/>
  <c r="G2668" i="13"/>
  <c r="G2669" i="13"/>
  <c r="G2670" i="13"/>
  <c r="G2671" i="13"/>
  <c r="G2672" i="13"/>
  <c r="G2673" i="13"/>
  <c r="G2674" i="13"/>
  <c r="G2675" i="13"/>
  <c r="G2676" i="13"/>
  <c r="G2677" i="13"/>
  <c r="G2678" i="13"/>
  <c r="G2679" i="13"/>
  <c r="G2680" i="13"/>
  <c r="G2681" i="13"/>
  <c r="G2682" i="13"/>
  <c r="G2683" i="13"/>
  <c r="G2684" i="13"/>
  <c r="G2685" i="13"/>
  <c r="G2686" i="13"/>
  <c r="G2687" i="13"/>
  <c r="G2688" i="13"/>
  <c r="G2689" i="13"/>
  <c r="G2690" i="13"/>
  <c r="G2691" i="13"/>
  <c r="G2692" i="13"/>
  <c r="G2693" i="13"/>
  <c r="G2694" i="13"/>
  <c r="G2695" i="13"/>
  <c r="G2696" i="13"/>
  <c r="G2697" i="13"/>
  <c r="G2698" i="13"/>
  <c r="G2699" i="13"/>
  <c r="G2700" i="13"/>
  <c r="G2701" i="13"/>
  <c r="G2702" i="13"/>
  <c r="G2703" i="13"/>
  <c r="G2704" i="13"/>
  <c r="G2705" i="13"/>
  <c r="G2706" i="13"/>
  <c r="G2707" i="13"/>
  <c r="G2708" i="13"/>
  <c r="G2709" i="13"/>
  <c r="G2710" i="13"/>
  <c r="G2711" i="13"/>
  <c r="G2712" i="13"/>
  <c r="G2713" i="13"/>
  <c r="G2714" i="13"/>
  <c r="G2715" i="13"/>
  <c r="G2716" i="13"/>
  <c r="G2717" i="13"/>
  <c r="G2718" i="13"/>
  <c r="G2719" i="13"/>
  <c r="G2720" i="13"/>
  <c r="G2721" i="13"/>
  <c r="G2722" i="13"/>
  <c r="G2723" i="13"/>
  <c r="G2724" i="13"/>
  <c r="G2725" i="13"/>
  <c r="G2726" i="13"/>
  <c r="G2727" i="13"/>
  <c r="G2728" i="13"/>
  <c r="G2729" i="13"/>
  <c r="G2730" i="13"/>
  <c r="G2731" i="13"/>
  <c r="L2666" i="13"/>
  <c r="G2562" i="13"/>
  <c r="G2563" i="13"/>
  <c r="G2564" i="13"/>
  <c r="G2565" i="13"/>
  <c r="G2566" i="13"/>
  <c r="G2567" i="13"/>
  <c r="G2568" i="13"/>
  <c r="G2569" i="13"/>
  <c r="G2570" i="13"/>
  <c r="G2571" i="13"/>
  <c r="G2572" i="13"/>
  <c r="G2573" i="13"/>
  <c r="G2574" i="13"/>
  <c r="G2575" i="13"/>
  <c r="G2576" i="13"/>
  <c r="G2577" i="13"/>
  <c r="G2578" i="13"/>
  <c r="G2579" i="13"/>
  <c r="G2580" i="13"/>
  <c r="G2581" i="13"/>
  <c r="G2582" i="13"/>
  <c r="G2583" i="13"/>
  <c r="G2584" i="13"/>
  <c r="G2585" i="13"/>
  <c r="G2586" i="13"/>
  <c r="G2587" i="13"/>
  <c r="G2588" i="13"/>
  <c r="G2589" i="13"/>
  <c r="G2590" i="13"/>
  <c r="G2591" i="13"/>
  <c r="G2592" i="13"/>
  <c r="G2593" i="13"/>
  <c r="G2594" i="13"/>
  <c r="G2595" i="13"/>
  <c r="G2596" i="13"/>
  <c r="G2597" i="13"/>
  <c r="G2598" i="13"/>
  <c r="G2599" i="13"/>
  <c r="G2600" i="13"/>
  <c r="G2601" i="13"/>
  <c r="G2602" i="13"/>
  <c r="G2603" i="13"/>
  <c r="G2604" i="13"/>
  <c r="G2605" i="13"/>
  <c r="G2606" i="13"/>
  <c r="G2607" i="13"/>
  <c r="G2608" i="13"/>
  <c r="G2609" i="13"/>
  <c r="G2610" i="13"/>
  <c r="G2611" i="13"/>
  <c r="G2612" i="13"/>
  <c r="G2613" i="13"/>
  <c r="G2614" i="13"/>
  <c r="G2615" i="13"/>
  <c r="G2616" i="13"/>
  <c r="G2617" i="13"/>
  <c r="G2618" i="13"/>
  <c r="G2619" i="13"/>
  <c r="G2620" i="13"/>
  <c r="G2621" i="13"/>
  <c r="G2622" i="13"/>
  <c r="G2623" i="13"/>
  <c r="G2624" i="13"/>
  <c r="G2625" i="13"/>
  <c r="G2626" i="13"/>
  <c r="G2627" i="13"/>
  <c r="G2628" i="13"/>
  <c r="G2629" i="13"/>
  <c r="G2630" i="13"/>
  <c r="G2631" i="13"/>
  <c r="G2632" i="13"/>
  <c r="G2633" i="13"/>
  <c r="L2518" i="13"/>
  <c r="L2534" i="13"/>
  <c r="L2566" i="13"/>
  <c r="L2582" i="13"/>
  <c r="L2590" i="13"/>
  <c r="L2594" i="13"/>
  <c r="L2602" i="13"/>
  <c r="L2606" i="13"/>
  <c r="L2614" i="13"/>
  <c r="L2618" i="13"/>
  <c r="L2626" i="13"/>
  <c r="L2630" i="13"/>
  <c r="L1022" i="13"/>
  <c r="L1402" i="13"/>
  <c r="L1836" i="13"/>
  <c r="L1942" i="13"/>
  <c r="L2090" i="13"/>
  <c r="M2732" i="13"/>
  <c r="K2732" i="13"/>
  <c r="J2732" i="13"/>
  <c r="H2732" i="13"/>
  <c r="G2735" i="13"/>
  <c r="G347" i="13"/>
  <c r="G348" i="13"/>
  <c r="G349" i="13"/>
  <c r="G350" i="13"/>
  <c r="I197" i="13"/>
  <c r="L197" i="13" s="1"/>
  <c r="I198" i="13"/>
  <c r="L198" i="13" s="1"/>
  <c r="I199" i="13"/>
  <c r="L199" i="13" s="1"/>
  <c r="I200" i="13"/>
  <c r="L200" i="13" s="1"/>
  <c r="I201" i="13"/>
  <c r="L201" i="13" s="1"/>
  <c r="I202" i="13"/>
  <c r="L202" i="13" s="1"/>
  <c r="I203" i="13"/>
  <c r="L203" i="13" s="1"/>
  <c r="I204" i="13"/>
  <c r="L204" i="13" s="1"/>
  <c r="I205" i="13"/>
  <c r="L205" i="13" s="1"/>
  <c r="I206" i="13"/>
  <c r="L206" i="13" s="1"/>
  <c r="I207" i="13"/>
  <c r="L207" i="13" s="1"/>
  <c r="I208" i="13"/>
  <c r="L208" i="13" s="1"/>
  <c r="I209" i="13"/>
  <c r="L209" i="13" s="1"/>
  <c r="I210" i="13"/>
  <c r="L210" i="13" s="1"/>
  <c r="I211" i="13"/>
  <c r="L211" i="13" s="1"/>
  <c r="I212" i="13"/>
  <c r="L212" i="13" s="1"/>
  <c r="I213" i="13"/>
  <c r="L213" i="13" s="1"/>
  <c r="I214" i="13"/>
  <c r="L214" i="13" s="1"/>
  <c r="I215" i="13"/>
  <c r="L215" i="13" s="1"/>
  <c r="I216" i="13"/>
  <c r="L216" i="13" s="1"/>
  <c r="I217" i="13"/>
  <c r="L217" i="13" s="1"/>
  <c r="I218" i="13"/>
  <c r="L218" i="13" s="1"/>
  <c r="I219" i="13"/>
  <c r="L219" i="13" s="1"/>
  <c r="I220" i="13"/>
  <c r="L220" i="13" s="1"/>
  <c r="I221" i="13"/>
  <c r="L221" i="13" s="1"/>
  <c r="I222" i="13"/>
  <c r="L222" i="13" s="1"/>
  <c r="I223" i="13"/>
  <c r="L223" i="13" s="1"/>
  <c r="I224" i="13"/>
  <c r="L224" i="13" s="1"/>
  <c r="I225" i="13"/>
  <c r="L225" i="13" s="1"/>
  <c r="I226" i="13"/>
  <c r="L226" i="13" s="1"/>
  <c r="I227" i="13"/>
  <c r="L227" i="13" s="1"/>
  <c r="I228" i="13"/>
  <c r="L228" i="13" s="1"/>
  <c r="I229" i="13"/>
  <c r="L229" i="13" s="1"/>
  <c r="I230" i="13"/>
  <c r="L230" i="13" s="1"/>
  <c r="I231" i="13"/>
  <c r="L231" i="13" s="1"/>
  <c r="I232" i="13"/>
  <c r="L232" i="13" s="1"/>
  <c r="I233" i="13"/>
  <c r="L233" i="13" s="1"/>
  <c r="I234" i="13"/>
  <c r="L234" i="13" s="1"/>
  <c r="I235" i="13"/>
  <c r="L235" i="13" s="1"/>
  <c r="I236" i="13"/>
  <c r="L236" i="13" s="1"/>
  <c r="I237" i="13"/>
  <c r="L237" i="13" s="1"/>
  <c r="I238" i="13"/>
  <c r="L238" i="13" s="1"/>
  <c r="I239" i="13"/>
  <c r="L239" i="13" s="1"/>
  <c r="I240" i="13"/>
  <c r="L240" i="13" s="1"/>
  <c r="I241" i="13"/>
  <c r="L241" i="13" s="1"/>
  <c r="I242" i="13"/>
  <c r="L242" i="13" s="1"/>
  <c r="I243" i="13"/>
  <c r="L243" i="13" s="1"/>
  <c r="I244" i="13"/>
  <c r="L244" i="13" s="1"/>
  <c r="I245" i="13"/>
  <c r="L245" i="13" s="1"/>
  <c r="I246" i="13"/>
  <c r="L246" i="13" s="1"/>
  <c r="I247" i="13"/>
  <c r="L247" i="13" s="1"/>
  <c r="I248" i="13"/>
  <c r="L248" i="13" s="1"/>
  <c r="I249" i="13"/>
  <c r="L249" i="13" s="1"/>
  <c r="I250" i="13"/>
  <c r="L250" i="13" s="1"/>
  <c r="I251" i="13"/>
  <c r="L251" i="13" s="1"/>
  <c r="I252" i="13"/>
  <c r="L252" i="13" s="1"/>
  <c r="I253" i="13"/>
  <c r="L253" i="13" s="1"/>
  <c r="I254" i="13"/>
  <c r="L254" i="13" s="1"/>
  <c r="I255" i="13"/>
  <c r="L255" i="13" s="1"/>
  <c r="I256" i="13"/>
  <c r="L256" i="13" s="1"/>
  <c r="I257" i="13"/>
  <c r="L257" i="13" s="1"/>
  <c r="I258" i="13"/>
  <c r="L258" i="13" s="1"/>
  <c r="I259" i="13"/>
  <c r="L259" i="13" s="1"/>
  <c r="I260" i="13"/>
  <c r="L260" i="13" s="1"/>
  <c r="I261" i="13"/>
  <c r="L261" i="13" s="1"/>
  <c r="I262" i="13"/>
  <c r="L262" i="13" s="1"/>
  <c r="I263" i="13"/>
  <c r="L263" i="13" s="1"/>
  <c r="I264" i="13"/>
  <c r="L264" i="13" s="1"/>
  <c r="I265" i="13"/>
  <c r="L265" i="13" s="1"/>
  <c r="I266" i="13"/>
  <c r="L266" i="13" s="1"/>
  <c r="I267" i="13"/>
  <c r="L267" i="13" s="1"/>
  <c r="I268" i="13"/>
  <c r="L268" i="13" s="1"/>
  <c r="I269" i="13"/>
  <c r="L269" i="13" s="1"/>
  <c r="I270" i="13"/>
  <c r="L270" i="13" s="1"/>
  <c r="I271" i="13"/>
  <c r="L271" i="13" s="1"/>
  <c r="I272" i="13"/>
  <c r="L272" i="13" s="1"/>
  <c r="I273" i="13"/>
  <c r="L273" i="13" s="1"/>
  <c r="I274" i="13"/>
  <c r="L274" i="13" s="1"/>
  <c r="I275" i="13"/>
  <c r="L275" i="13" s="1"/>
  <c r="I276" i="13"/>
  <c r="L276" i="13" s="1"/>
  <c r="I277" i="13"/>
  <c r="L277" i="13" s="1"/>
  <c r="I278" i="13"/>
  <c r="L278" i="13" s="1"/>
  <c r="I279" i="13"/>
  <c r="L279" i="13" s="1"/>
  <c r="I280" i="13"/>
  <c r="L280" i="13" s="1"/>
  <c r="I281" i="13"/>
  <c r="L281" i="13" s="1"/>
  <c r="I282" i="13"/>
  <c r="L282" i="13" s="1"/>
  <c r="I283" i="13"/>
  <c r="L283" i="13" s="1"/>
  <c r="I284" i="13"/>
  <c r="L284" i="13" s="1"/>
  <c r="I285" i="13"/>
  <c r="L285" i="13" s="1"/>
  <c r="I286" i="13"/>
  <c r="L286" i="13" s="1"/>
  <c r="I287" i="13"/>
  <c r="L287" i="13" s="1"/>
  <c r="I288" i="13"/>
  <c r="L288" i="13" s="1"/>
  <c r="I289" i="13"/>
  <c r="L289" i="13" s="1"/>
  <c r="I290" i="13"/>
  <c r="L290" i="13" s="1"/>
  <c r="I291" i="13"/>
  <c r="L291" i="13" s="1"/>
  <c r="I292" i="13"/>
  <c r="L292" i="13" s="1"/>
  <c r="I293" i="13"/>
  <c r="L293" i="13" s="1"/>
  <c r="I294" i="13"/>
  <c r="L294" i="13" s="1"/>
  <c r="I295" i="13"/>
  <c r="L295" i="13" s="1"/>
  <c r="I296" i="13"/>
  <c r="L296" i="13" s="1"/>
  <c r="I297" i="13"/>
  <c r="L297" i="13" s="1"/>
  <c r="I298" i="13"/>
  <c r="L298" i="13" s="1"/>
  <c r="I299" i="13"/>
  <c r="L299" i="13" s="1"/>
  <c r="I300" i="13"/>
  <c r="L300" i="13" s="1"/>
  <c r="I301" i="13"/>
  <c r="L301" i="13" s="1"/>
  <c r="I302" i="13"/>
  <c r="L302" i="13" s="1"/>
  <c r="I303" i="13"/>
  <c r="L303" i="13" s="1"/>
  <c r="I304" i="13"/>
  <c r="L304" i="13" s="1"/>
  <c r="I305" i="13"/>
  <c r="L305" i="13" s="1"/>
  <c r="I306" i="13"/>
  <c r="L306" i="13" s="1"/>
  <c r="I307" i="13"/>
  <c r="L307" i="13" s="1"/>
  <c r="I308" i="13"/>
  <c r="L308" i="13" s="1"/>
  <c r="I309" i="13"/>
  <c r="L309" i="13" s="1"/>
  <c r="I310" i="13"/>
  <c r="L310" i="13" s="1"/>
  <c r="I311" i="13"/>
  <c r="L311" i="13" s="1"/>
  <c r="I312" i="13"/>
  <c r="L312" i="13" s="1"/>
  <c r="I313" i="13"/>
  <c r="L313" i="13" s="1"/>
  <c r="I314" i="13"/>
  <c r="L314" i="13" s="1"/>
  <c r="I315" i="13"/>
  <c r="L315" i="13" s="1"/>
  <c r="I316" i="13"/>
  <c r="L316" i="13" s="1"/>
  <c r="I317" i="13"/>
  <c r="L317" i="13" s="1"/>
  <c r="I318" i="13"/>
  <c r="L318" i="13" s="1"/>
  <c r="I319" i="13"/>
  <c r="L319" i="13" s="1"/>
  <c r="I320" i="13"/>
  <c r="L320" i="13" s="1"/>
  <c r="I321" i="13"/>
  <c r="L321" i="13" s="1"/>
  <c r="I322" i="13"/>
  <c r="L322" i="13" s="1"/>
  <c r="I323" i="13"/>
  <c r="L323" i="13" s="1"/>
  <c r="I324" i="13"/>
  <c r="L324" i="13" s="1"/>
  <c r="I325" i="13"/>
  <c r="L325" i="13" s="1"/>
  <c r="I326" i="13"/>
  <c r="L326" i="13" s="1"/>
  <c r="I327" i="13"/>
  <c r="L327" i="13" s="1"/>
  <c r="I328" i="13"/>
  <c r="L328" i="13" s="1"/>
  <c r="I329" i="13"/>
  <c r="L329" i="13" s="1"/>
  <c r="I330" i="13"/>
  <c r="L330" i="13" s="1"/>
  <c r="I331" i="13"/>
  <c r="L331" i="13" s="1"/>
  <c r="I332" i="13"/>
  <c r="L332" i="13" s="1"/>
  <c r="I333" i="13"/>
  <c r="L333" i="13" s="1"/>
  <c r="I334" i="13"/>
  <c r="L334" i="13" s="1"/>
  <c r="I335" i="13"/>
  <c r="L335" i="13" s="1"/>
  <c r="I336" i="13"/>
  <c r="L336" i="13" s="1"/>
  <c r="B4" i="25" l="1"/>
  <c r="P40" i="25"/>
  <c r="T40" i="25" s="1"/>
  <c r="P59" i="25"/>
  <c r="T59" i="25" s="1"/>
  <c r="L228" i="25"/>
  <c r="P50" i="25"/>
  <c r="T50" i="25" s="1"/>
  <c r="P129" i="25"/>
  <c r="T129" i="25" s="1"/>
  <c r="P164" i="25"/>
  <c r="T164" i="25" s="1"/>
  <c r="P156" i="25"/>
  <c r="T156" i="25" s="1"/>
  <c r="P148" i="25"/>
  <c r="T148" i="25" s="1"/>
  <c r="P150" i="25"/>
  <c r="T150" i="25" s="1"/>
  <c r="P144" i="25"/>
  <c r="T144" i="25" s="1"/>
  <c r="P142" i="25"/>
  <c r="T142" i="25" s="1"/>
  <c r="P134" i="25"/>
  <c r="T134" i="25" s="1"/>
  <c r="P132" i="25"/>
  <c r="T132" i="25" s="1"/>
  <c r="P126" i="25"/>
  <c r="T126" i="25" s="1"/>
  <c r="P120" i="25"/>
  <c r="T120" i="25" s="1"/>
  <c r="P118" i="25"/>
  <c r="T118" i="25" s="1"/>
  <c r="P113" i="25"/>
  <c r="T113" i="25" s="1"/>
  <c r="P108" i="25"/>
  <c r="T108" i="25" s="1"/>
  <c r="P105" i="25"/>
  <c r="T105" i="25" s="1"/>
  <c r="P102" i="25"/>
  <c r="T102" i="25" s="1"/>
  <c r="P92" i="25"/>
  <c r="T92" i="25" s="1"/>
  <c r="P97" i="25"/>
  <c r="T97" i="25" s="1"/>
  <c r="P83" i="25"/>
  <c r="T83" i="25" s="1"/>
  <c r="P76" i="25"/>
  <c r="T76" i="25" s="1"/>
  <c r="P80" i="25"/>
  <c r="T80" i="25" s="1"/>
  <c r="P71" i="25"/>
  <c r="T71" i="25" s="1"/>
  <c r="P64" i="25"/>
  <c r="T64" i="25" s="1"/>
  <c r="P53" i="25"/>
  <c r="T53" i="25" s="1"/>
  <c r="P60" i="25"/>
  <c r="T60" i="25" s="1"/>
  <c r="P62" i="25"/>
  <c r="T62" i="25" s="1"/>
  <c r="P52" i="25"/>
  <c r="T52" i="25" s="1"/>
  <c r="P46" i="25"/>
  <c r="T46" i="25" s="1"/>
  <c r="P42" i="25"/>
  <c r="T42" i="25" s="1"/>
  <c r="P39" i="25"/>
  <c r="T39" i="25" s="1"/>
  <c r="P28" i="25"/>
  <c r="T28" i="25" s="1"/>
  <c r="P32" i="25"/>
  <c r="T32" i="25" s="1"/>
  <c r="P17" i="25"/>
  <c r="T17" i="25" s="1"/>
  <c r="P23" i="25"/>
  <c r="T23" i="25" s="1"/>
  <c r="P9" i="25"/>
  <c r="T9" i="25" s="1"/>
  <c r="P14" i="25"/>
  <c r="T14" i="25" s="1"/>
  <c r="J166" i="25"/>
  <c r="H180" i="25"/>
  <c r="P100" i="25"/>
  <c r="T100" i="25" s="1"/>
  <c r="P114" i="25"/>
  <c r="T114" i="25" s="1"/>
  <c r="P140" i="25"/>
  <c r="T140" i="25" s="1"/>
  <c r="P141" i="25"/>
  <c r="T141" i="25" s="1"/>
  <c r="I166" i="25"/>
  <c r="K166" i="25"/>
  <c r="P15" i="25"/>
  <c r="T15" i="25" s="1"/>
  <c r="P143" i="25"/>
  <c r="T143" i="25" s="1"/>
  <c r="I2732" i="13"/>
  <c r="L2732" i="13"/>
  <c r="G4" i="25" l="1"/>
  <c r="P4" i="25" s="1"/>
  <c r="P166" i="25"/>
  <c r="P85" i="13"/>
  <c r="I81" i="13"/>
  <c r="P81" i="13" s="1"/>
  <c r="I40" i="13"/>
  <c r="P40" i="13" s="1"/>
  <c r="I76" i="13"/>
  <c r="P76" i="13" s="1"/>
  <c r="P74" i="13"/>
  <c r="I125" i="13"/>
  <c r="P125" i="13" s="1"/>
  <c r="I110" i="13"/>
  <c r="P110" i="13" s="1"/>
  <c r="I103" i="13"/>
  <c r="P103" i="13" s="1"/>
  <c r="P57" i="13"/>
  <c r="I93" i="13"/>
  <c r="P93" i="13" s="1"/>
  <c r="P158" i="16" l="1"/>
  <c r="P133" i="16"/>
  <c r="M177" i="16" l="1"/>
  <c r="G164" i="16" l="1"/>
  <c r="P164" i="16"/>
  <c r="Q164" i="16"/>
  <c r="R164" i="16"/>
  <c r="M173" i="16"/>
  <c r="M175" i="16"/>
  <c r="M176" i="16"/>
  <c r="I118" i="13"/>
  <c r="I129" i="13"/>
  <c r="I119" i="13"/>
  <c r="I19" i="13"/>
  <c r="I49" i="13"/>
  <c r="I96" i="13"/>
  <c r="I131" i="13"/>
  <c r="I120" i="13"/>
  <c r="I11" i="13"/>
  <c r="I107" i="13"/>
  <c r="I61" i="13"/>
  <c r="I97" i="13"/>
  <c r="I20" i="13"/>
  <c r="I132" i="13"/>
  <c r="I10" i="13"/>
  <c r="I121" i="13"/>
  <c r="I122" i="13"/>
  <c r="I108" i="13"/>
  <c r="I64" i="13"/>
  <c r="I21" i="13"/>
  <c r="I65" i="13"/>
  <c r="I54" i="13"/>
  <c r="I56" i="13"/>
  <c r="I141" i="13"/>
  <c r="I104" i="13"/>
  <c r="I73" i="13"/>
  <c r="I135" i="13"/>
  <c r="I136" i="13"/>
  <c r="I16" i="13"/>
  <c r="I127" i="13"/>
  <c r="I41" i="13"/>
  <c r="I39" i="13"/>
  <c r="I114" i="13"/>
  <c r="I38" i="13"/>
  <c r="I80" i="13"/>
  <c r="I102" i="13"/>
  <c r="I101" i="13"/>
  <c r="I84" i="13"/>
  <c r="I25" i="13"/>
  <c r="I115" i="13"/>
  <c r="I26" i="13"/>
  <c r="I48" i="13"/>
  <c r="I116" i="13"/>
  <c r="I117" i="13"/>
  <c r="I55" i="13"/>
  <c r="I71" i="13"/>
  <c r="I8" i="16"/>
  <c r="H170" i="16"/>
  <c r="M170" i="16" s="1"/>
  <c r="H171" i="16"/>
  <c r="M171" i="16" s="1"/>
  <c r="M172" i="16"/>
  <c r="M174" i="16"/>
  <c r="P170" i="12"/>
  <c r="H230" i="12"/>
  <c r="H231" i="12"/>
  <c r="J230" i="12"/>
  <c r="J231" i="12"/>
  <c r="K230" i="12"/>
  <c r="K231" i="12"/>
  <c r="I62" i="12"/>
  <c r="P81" i="11"/>
  <c r="P43" i="11"/>
  <c r="P67" i="11"/>
  <c r="P42" i="11"/>
  <c r="P109" i="11"/>
  <c r="P156" i="11"/>
  <c r="P19" i="11"/>
  <c r="P136" i="11"/>
  <c r="P88" i="11"/>
  <c r="P92" i="11"/>
  <c r="I165" i="11"/>
  <c r="P165" i="11" s="1"/>
  <c r="I45" i="11"/>
  <c r="I13" i="11"/>
  <c r="I112" i="11"/>
  <c r="I25" i="11"/>
  <c r="I31" i="11"/>
  <c r="I126" i="11"/>
  <c r="I184" i="11"/>
  <c r="I168" i="11"/>
  <c r="I82" i="11"/>
  <c r="I12" i="11"/>
  <c r="I33" i="11"/>
  <c r="I84" i="11"/>
  <c r="I111" i="11"/>
  <c r="I14" i="11"/>
  <c r="I149" i="11"/>
  <c r="I107" i="11"/>
  <c r="I55" i="11"/>
  <c r="I28" i="11"/>
  <c r="I151" i="11"/>
  <c r="I135" i="11"/>
  <c r="P76" i="11"/>
  <c r="P161" i="11"/>
  <c r="P108" i="11"/>
  <c r="P77" i="11"/>
  <c r="P166" i="11"/>
  <c r="P23" i="11"/>
  <c r="P37" i="11"/>
  <c r="P160" i="11"/>
  <c r="P64" i="11"/>
  <c r="P137" i="11"/>
  <c r="P34" i="11"/>
  <c r="P15" i="11"/>
  <c r="P11" i="11"/>
  <c r="P117" i="11"/>
  <c r="I157" i="11"/>
  <c r="P157" i="11" s="1"/>
  <c r="I83" i="11"/>
  <c r="P83" i="11" s="1"/>
  <c r="I110" i="11"/>
  <c r="P110" i="11" s="1"/>
  <c r="I75" i="11"/>
  <c r="P75" i="11" s="1"/>
  <c r="I21" i="11"/>
  <c r="P21" i="11" s="1"/>
  <c r="I143" i="11"/>
  <c r="P143" i="11" s="1"/>
  <c r="P89" i="11"/>
  <c r="P90" i="11"/>
  <c r="P145" i="11"/>
  <c r="P87" i="11"/>
  <c r="P10" i="11"/>
  <c r="P102" i="11"/>
  <c r="P131" i="11"/>
  <c r="I148" i="11"/>
  <c r="P148" i="11" s="1"/>
  <c r="P95" i="11"/>
  <c r="P120" i="11"/>
  <c r="P35" i="11"/>
  <c r="P22" i="11"/>
  <c r="P169" i="11"/>
  <c r="I123" i="11"/>
  <c r="P123" i="11" s="1"/>
  <c r="I114" i="11"/>
  <c r="P114" i="11" s="1"/>
  <c r="P98" i="11"/>
  <c r="P74" i="11"/>
  <c r="P56" i="11"/>
  <c r="P122" i="11"/>
  <c r="P141" i="11"/>
  <c r="I154" i="11"/>
  <c r="P154" i="11" s="1"/>
  <c r="I132" i="11"/>
  <c r="P132" i="11" s="1"/>
  <c r="P59" i="11"/>
  <c r="P20" i="11"/>
  <c r="K165" i="16" l="1"/>
  <c r="J165" i="16"/>
  <c r="I165" i="16"/>
  <c r="I186" i="11"/>
  <c r="H142" i="2"/>
  <c r="H141" i="2"/>
  <c r="P12" i="2"/>
  <c r="P89" i="2"/>
  <c r="P66" i="2"/>
  <c r="P45" i="2"/>
  <c r="P18" i="2"/>
  <c r="P105" i="2"/>
  <c r="P77" i="2"/>
  <c r="K133" i="2"/>
  <c r="J133" i="2"/>
  <c r="P40" i="2"/>
  <c r="P52" i="2"/>
  <c r="P91" i="2"/>
  <c r="P116" i="2"/>
  <c r="P54" i="2"/>
  <c r="P112" i="2"/>
  <c r="P104" i="2"/>
  <c r="P103" i="2"/>
  <c r="P60" i="2"/>
  <c r="P115" i="2"/>
  <c r="P124" i="2"/>
  <c r="P50" i="2"/>
  <c r="P10" i="2"/>
  <c r="I78" i="2"/>
  <c r="P78" i="2" s="1"/>
  <c r="P13" i="2"/>
  <c r="P41" i="2"/>
  <c r="P23" i="2"/>
  <c r="P70" i="2"/>
  <c r="P72" i="2"/>
  <c r="P131" i="2"/>
  <c r="P126" i="2"/>
  <c r="P71" i="2"/>
  <c r="P132" i="2"/>
  <c r="P24" i="2"/>
  <c r="P42" i="2"/>
  <c r="P43" i="2"/>
  <c r="P84" i="2"/>
  <c r="P85" i="2"/>
  <c r="P86" i="2"/>
  <c r="P44" i="2"/>
  <c r="P118" i="2"/>
  <c r="P119" i="2"/>
  <c r="P22" i="2"/>
  <c r="P100" i="2"/>
  <c r="P128" i="2"/>
  <c r="P27" i="2"/>
  <c r="P110" i="2"/>
  <c r="P15" i="2"/>
  <c r="P19" i="2"/>
  <c r="P74" i="2"/>
  <c r="P30" i="2"/>
  <c r="P90" i="2"/>
  <c r="P31" i="2"/>
  <c r="P46" i="2"/>
  <c r="P127" i="2"/>
  <c r="P107" i="2"/>
  <c r="P111" i="2"/>
  <c r="P32" i="2"/>
  <c r="P47" i="2"/>
  <c r="P120" i="2"/>
  <c r="P33" i="2"/>
  <c r="P81" i="2"/>
  <c r="P34" i="2"/>
  <c r="P48" i="2"/>
  <c r="P129" i="2"/>
  <c r="P49" i="2"/>
  <c r="P101" i="2"/>
  <c r="P108" i="2"/>
  <c r="P96" i="2"/>
  <c r="P51" i="2"/>
  <c r="P16" i="2"/>
  <c r="P25" i="2"/>
  <c r="P82" i="2"/>
  <c r="P11" i="2"/>
  <c r="P79" i="2"/>
  <c r="P14" i="2"/>
  <c r="P35" i="2"/>
  <c r="P122" i="2"/>
  <c r="P36" i="2"/>
  <c r="P83" i="2"/>
  <c r="P29" i="2"/>
  <c r="P113" i="2"/>
  <c r="P99" i="2"/>
  <c r="P9" i="2"/>
  <c r="P69" i="2"/>
  <c r="P97" i="2"/>
  <c r="P123" i="2"/>
  <c r="P37" i="2"/>
  <c r="P38" i="2"/>
  <c r="P125" i="2"/>
  <c r="P53" i="2"/>
  <c r="P55" i="2"/>
  <c r="P56" i="2"/>
  <c r="P57" i="2"/>
  <c r="P58" i="2"/>
  <c r="P59" i="2"/>
  <c r="P20" i="2"/>
  <c r="P63" i="2"/>
  <c r="P64" i="2"/>
  <c r="P93" i="2"/>
  <c r="P117" i="2"/>
  <c r="P92" i="2"/>
  <c r="P95" i="2"/>
  <c r="P68" i="2"/>
  <c r="P102" i="2"/>
  <c r="P76" i="2"/>
  <c r="P26" i="2"/>
  <c r="P130" i="2"/>
  <c r="P98" i="2"/>
  <c r="P39" i="2"/>
  <c r="P61" i="2"/>
  <c r="P62" i="2"/>
  <c r="P67" i="2"/>
  <c r="P87" i="2"/>
  <c r="P106" i="2"/>
  <c r="P94" i="2"/>
  <c r="P114" i="2"/>
  <c r="P21" i="2"/>
  <c r="P109" i="2"/>
  <c r="P75" i="2"/>
  <c r="P17" i="2"/>
  <c r="P80" i="2"/>
  <c r="P88" i="2"/>
  <c r="P65" i="2"/>
  <c r="P121" i="2"/>
  <c r="P28" i="2"/>
  <c r="I133" i="2" l="1"/>
  <c r="I9" i="10"/>
  <c r="I46" i="10"/>
  <c r="I47" i="10"/>
  <c r="I53" i="10"/>
  <c r="I102" i="10"/>
  <c r="I100" i="10"/>
  <c r="I101" i="10"/>
  <c r="I54" i="10"/>
  <c r="I11" i="20"/>
  <c r="I15" i="20"/>
  <c r="I10" i="20"/>
  <c r="I16" i="20"/>
  <c r="I18" i="20"/>
  <c r="I14" i="20"/>
  <c r="I90" i="20"/>
  <c r="I98" i="20"/>
  <c r="I124" i="20"/>
  <c r="I140" i="20"/>
  <c r="I177" i="20"/>
  <c r="I188" i="20"/>
  <c r="I239" i="22" l="1"/>
  <c r="G177" i="20" l="1"/>
  <c r="P127" i="20"/>
  <c r="P132" i="20"/>
  <c r="P156" i="20"/>
  <c r="P30" i="20"/>
  <c r="P139" i="20"/>
  <c r="P43" i="20"/>
  <c r="P177" i="20"/>
  <c r="Q177" i="20"/>
  <c r="R177" i="20"/>
  <c r="G188" i="20"/>
  <c r="G157" i="20"/>
  <c r="P188" i="20"/>
  <c r="I157" i="20"/>
  <c r="P157" i="20" s="1"/>
  <c r="Q188" i="20"/>
  <c r="Q157" i="20"/>
  <c r="R188" i="20"/>
  <c r="R157" i="20"/>
  <c r="P122" i="20"/>
  <c r="P80" i="20"/>
  <c r="P175" i="20"/>
  <c r="P87" i="20"/>
  <c r="P13" i="20"/>
  <c r="P40" i="20"/>
  <c r="P38" i="20"/>
  <c r="P22" i="20"/>
  <c r="P19" i="20"/>
  <c r="P54" i="20"/>
  <c r="P70" i="20"/>
  <c r="P14" i="20"/>
  <c r="P74" i="20"/>
  <c r="P106" i="20"/>
  <c r="P103" i="20"/>
  <c r="P104" i="20"/>
  <c r="P142" i="20"/>
  <c r="P169" i="20"/>
  <c r="P168" i="20"/>
  <c r="P148" i="20"/>
  <c r="P170" i="20"/>
  <c r="P173" i="20"/>
  <c r="P190" i="20"/>
  <c r="P186" i="20"/>
  <c r="P191" i="20"/>
  <c r="P187" i="20"/>
  <c r="P73" i="22" l="1"/>
  <c r="P61" i="22"/>
  <c r="P54" i="22"/>
  <c r="P35" i="22" l="1"/>
  <c r="P168" i="22"/>
  <c r="P128" i="22"/>
  <c r="P151" i="22"/>
  <c r="P129" i="22"/>
  <c r="P98" i="22"/>
  <c r="H1676" i="22" l="1"/>
  <c r="H1677" i="22"/>
  <c r="I1677" i="22" s="1"/>
  <c r="G2611" i="22"/>
  <c r="G2610" i="22"/>
  <c r="G2609" i="22"/>
  <c r="G2608" i="22"/>
  <c r="G2607" i="22"/>
  <c r="M2603" i="22"/>
  <c r="L2603" i="22"/>
  <c r="K2603" i="22"/>
  <c r="J2603" i="22"/>
  <c r="H2602" i="22"/>
  <c r="I2602" i="22" s="1"/>
  <c r="G2602" i="22"/>
  <c r="H2601" i="22"/>
  <c r="I2601" i="22" s="1"/>
  <c r="G2601" i="22"/>
  <c r="H2600" i="22"/>
  <c r="I2600" i="22" s="1"/>
  <c r="G2600" i="22"/>
  <c r="H2599" i="22"/>
  <c r="I2599" i="22" s="1"/>
  <c r="G2599" i="22"/>
  <c r="H2598" i="22"/>
  <c r="I2598" i="22" s="1"/>
  <c r="G2598" i="22"/>
  <c r="H2597" i="22"/>
  <c r="I2597" i="22" s="1"/>
  <c r="G2597" i="22"/>
  <c r="H2596" i="22"/>
  <c r="I2596" i="22" s="1"/>
  <c r="G2596" i="22"/>
  <c r="H2595" i="22"/>
  <c r="I2595" i="22" s="1"/>
  <c r="G2595" i="22"/>
  <c r="H2594" i="22"/>
  <c r="I2594" i="22" s="1"/>
  <c r="G2594" i="22"/>
  <c r="H2593" i="22"/>
  <c r="I2593" i="22" s="1"/>
  <c r="G2593" i="22"/>
  <c r="H2592" i="22"/>
  <c r="I2592" i="22" s="1"/>
  <c r="G2592" i="22"/>
  <c r="H2591" i="22"/>
  <c r="I2591" i="22" s="1"/>
  <c r="G2591" i="22"/>
  <c r="H2590" i="22"/>
  <c r="I2590" i="22" s="1"/>
  <c r="G2590" i="22"/>
  <c r="H2589" i="22"/>
  <c r="I2589" i="22" s="1"/>
  <c r="G2589" i="22"/>
  <c r="H2588" i="22"/>
  <c r="I2588" i="22" s="1"/>
  <c r="G2588" i="22"/>
  <c r="H2587" i="22"/>
  <c r="I2587" i="22" s="1"/>
  <c r="G2587" i="22"/>
  <c r="H2586" i="22"/>
  <c r="I2586" i="22" s="1"/>
  <c r="G2586" i="22"/>
  <c r="H2585" i="22"/>
  <c r="I2585" i="22" s="1"/>
  <c r="G2585" i="22"/>
  <c r="H2584" i="22"/>
  <c r="I2584" i="22" s="1"/>
  <c r="G2584" i="22"/>
  <c r="H2583" i="22"/>
  <c r="I2583" i="22" s="1"/>
  <c r="G2583" i="22"/>
  <c r="H2582" i="22"/>
  <c r="I2582" i="22" s="1"/>
  <c r="G2582" i="22"/>
  <c r="H2581" i="22"/>
  <c r="I2581" i="22" s="1"/>
  <c r="G2581" i="22"/>
  <c r="H2580" i="22"/>
  <c r="I2580" i="22" s="1"/>
  <c r="G2580" i="22"/>
  <c r="H2579" i="22"/>
  <c r="I2579" i="22" s="1"/>
  <c r="G2579" i="22"/>
  <c r="H2578" i="22"/>
  <c r="I2578" i="22" s="1"/>
  <c r="G2578" i="22"/>
  <c r="H2577" i="22"/>
  <c r="I2577" i="22" s="1"/>
  <c r="G2577" i="22"/>
  <c r="H2576" i="22"/>
  <c r="I2576" i="22" s="1"/>
  <c r="G2576" i="22"/>
  <c r="H2575" i="22"/>
  <c r="I2575" i="22" s="1"/>
  <c r="G2575" i="22"/>
  <c r="H2574" i="22"/>
  <c r="I2574" i="22" s="1"/>
  <c r="G2574" i="22"/>
  <c r="H2573" i="22"/>
  <c r="I2573" i="22" s="1"/>
  <c r="G2573" i="22"/>
  <c r="H2572" i="22"/>
  <c r="I2572" i="22" s="1"/>
  <c r="G2572" i="22"/>
  <c r="H2571" i="22"/>
  <c r="I2571" i="22" s="1"/>
  <c r="G2571" i="22"/>
  <c r="H2570" i="22"/>
  <c r="I2570" i="22" s="1"/>
  <c r="G2570" i="22"/>
  <c r="H2569" i="22"/>
  <c r="I2569" i="22" s="1"/>
  <c r="G2569" i="22"/>
  <c r="H2568" i="22"/>
  <c r="I2568" i="22" s="1"/>
  <c r="G2568" i="22"/>
  <c r="H2567" i="22"/>
  <c r="I2567" i="22" s="1"/>
  <c r="G2567" i="22"/>
  <c r="H2566" i="22"/>
  <c r="I2566" i="22" s="1"/>
  <c r="G2566" i="22"/>
  <c r="H2565" i="22"/>
  <c r="I2565" i="22" s="1"/>
  <c r="G2565" i="22"/>
  <c r="H2564" i="22"/>
  <c r="I2564" i="22" s="1"/>
  <c r="G2564" i="22"/>
  <c r="H2563" i="22"/>
  <c r="I2563" i="22" s="1"/>
  <c r="G2563" i="22"/>
  <c r="H2562" i="22"/>
  <c r="I2562" i="22" s="1"/>
  <c r="G2562" i="22"/>
  <c r="H2561" i="22"/>
  <c r="I2561" i="22" s="1"/>
  <c r="G2561" i="22"/>
  <c r="H2560" i="22"/>
  <c r="I2560" i="22" s="1"/>
  <c r="G2560" i="22"/>
  <c r="H2559" i="22"/>
  <c r="I2559" i="22" s="1"/>
  <c r="G2559" i="22"/>
  <c r="H2558" i="22"/>
  <c r="I2558" i="22" s="1"/>
  <c r="G2558" i="22"/>
  <c r="H2557" i="22"/>
  <c r="I2557" i="22" s="1"/>
  <c r="G2557" i="22"/>
  <c r="H2556" i="22"/>
  <c r="I2556" i="22" s="1"/>
  <c r="G2556" i="22"/>
  <c r="H2555" i="22"/>
  <c r="I2555" i="22" s="1"/>
  <c r="G2555" i="22"/>
  <c r="H2554" i="22"/>
  <c r="I2554" i="22" s="1"/>
  <c r="G2554" i="22"/>
  <c r="H2553" i="22"/>
  <c r="I2553" i="22" s="1"/>
  <c r="G2553" i="22"/>
  <c r="H2552" i="22"/>
  <c r="I2552" i="22" s="1"/>
  <c r="G2552" i="22"/>
  <c r="H2551" i="22"/>
  <c r="I2551" i="22" s="1"/>
  <c r="G2551" i="22"/>
  <c r="H2550" i="22"/>
  <c r="I2550" i="22" s="1"/>
  <c r="G2550" i="22"/>
  <c r="H2549" i="22"/>
  <c r="I2549" i="22" s="1"/>
  <c r="G2549" i="22"/>
  <c r="H2548" i="22"/>
  <c r="I2548" i="22" s="1"/>
  <c r="G2548" i="22"/>
  <c r="H2547" i="22"/>
  <c r="I2547" i="22" s="1"/>
  <c r="G2547" i="22"/>
  <c r="H2546" i="22"/>
  <c r="I2546" i="22" s="1"/>
  <c r="G2546" i="22"/>
  <c r="H2545" i="22"/>
  <c r="I2545" i="22" s="1"/>
  <c r="G2545" i="22"/>
  <c r="H2544" i="22"/>
  <c r="I2544" i="22" s="1"/>
  <c r="G2544" i="22"/>
  <c r="H2543" i="22"/>
  <c r="I2543" i="22" s="1"/>
  <c r="G2543" i="22"/>
  <c r="H2542" i="22"/>
  <c r="I2542" i="22" s="1"/>
  <c r="G2542" i="22"/>
  <c r="H2541" i="22"/>
  <c r="I2541" i="22" s="1"/>
  <c r="G2541" i="22"/>
  <c r="H2540" i="22"/>
  <c r="I2540" i="22" s="1"/>
  <c r="G2540" i="22"/>
  <c r="H2539" i="22"/>
  <c r="I2539" i="22" s="1"/>
  <c r="G2539" i="22"/>
  <c r="H2538" i="22"/>
  <c r="I2538" i="22" s="1"/>
  <c r="G2538" i="22"/>
  <c r="H2537" i="22"/>
  <c r="I2537" i="22" s="1"/>
  <c r="G2537" i="22"/>
  <c r="H2536" i="22"/>
  <c r="I2536" i="22" s="1"/>
  <c r="G2536" i="22"/>
  <c r="H2535" i="22"/>
  <c r="I2535" i="22" s="1"/>
  <c r="G2535" i="22"/>
  <c r="H2534" i="22"/>
  <c r="I2534" i="22" s="1"/>
  <c r="G2534" i="22"/>
  <c r="H2533" i="22"/>
  <c r="I2533" i="22" s="1"/>
  <c r="G2533" i="22"/>
  <c r="H2532" i="22"/>
  <c r="I2532" i="22" s="1"/>
  <c r="G2532" i="22"/>
  <c r="H2531" i="22"/>
  <c r="I2531" i="22" s="1"/>
  <c r="G2531" i="22"/>
  <c r="H2530" i="22"/>
  <c r="I2530" i="22" s="1"/>
  <c r="G2530" i="22"/>
  <c r="H2529" i="22"/>
  <c r="I2529" i="22" s="1"/>
  <c r="G2529" i="22"/>
  <c r="H2528" i="22"/>
  <c r="I2528" i="22" s="1"/>
  <c r="G2528" i="22"/>
  <c r="H2527" i="22"/>
  <c r="I2527" i="22" s="1"/>
  <c r="G2527" i="22"/>
  <c r="H2526" i="22"/>
  <c r="I2526" i="22" s="1"/>
  <c r="G2526" i="22"/>
  <c r="H2525" i="22"/>
  <c r="I2525" i="22" s="1"/>
  <c r="G2525" i="22"/>
  <c r="H2524" i="22"/>
  <c r="I2524" i="22" s="1"/>
  <c r="G2524" i="22"/>
  <c r="H2523" i="22"/>
  <c r="I2523" i="22" s="1"/>
  <c r="G2523" i="22"/>
  <c r="H2522" i="22"/>
  <c r="I2522" i="22" s="1"/>
  <c r="G2522" i="22"/>
  <c r="H2521" i="22"/>
  <c r="I2521" i="22" s="1"/>
  <c r="G2521" i="22"/>
  <c r="H2520" i="22"/>
  <c r="I2520" i="22" s="1"/>
  <c r="G2520" i="22"/>
  <c r="H2519" i="22"/>
  <c r="I2519" i="22" s="1"/>
  <c r="G2519" i="22"/>
  <c r="H2518" i="22"/>
  <c r="I2518" i="22" s="1"/>
  <c r="G2518" i="22"/>
  <c r="H2517" i="22"/>
  <c r="I2517" i="22" s="1"/>
  <c r="G2517" i="22"/>
  <c r="H2516" i="22"/>
  <c r="I2516" i="22" s="1"/>
  <c r="G2516" i="22"/>
  <c r="H2515" i="22"/>
  <c r="I2515" i="22" s="1"/>
  <c r="G2515" i="22"/>
  <c r="H2514" i="22"/>
  <c r="I2514" i="22" s="1"/>
  <c r="G2514" i="22"/>
  <c r="H2513" i="22"/>
  <c r="I2513" i="22" s="1"/>
  <c r="G2513" i="22"/>
  <c r="H2512" i="22"/>
  <c r="I2512" i="22" s="1"/>
  <c r="G2512" i="22"/>
  <c r="H2511" i="22"/>
  <c r="I2511" i="22" s="1"/>
  <c r="G2511" i="22"/>
  <c r="H2510" i="22"/>
  <c r="I2510" i="22" s="1"/>
  <c r="G2510" i="22"/>
  <c r="H2509" i="22"/>
  <c r="I2509" i="22" s="1"/>
  <c r="G2509" i="22"/>
  <c r="H2508" i="22"/>
  <c r="I2508" i="22" s="1"/>
  <c r="G2508" i="22"/>
  <c r="H2507" i="22"/>
  <c r="I2507" i="22" s="1"/>
  <c r="G2507" i="22"/>
  <c r="H2506" i="22"/>
  <c r="I2506" i="22" s="1"/>
  <c r="G2506" i="22"/>
  <c r="H2505" i="22"/>
  <c r="I2505" i="22" s="1"/>
  <c r="G2505" i="22"/>
  <c r="H2504" i="22"/>
  <c r="I2504" i="22" s="1"/>
  <c r="G2504" i="22"/>
  <c r="H2503" i="22"/>
  <c r="I2503" i="22" s="1"/>
  <c r="G2503" i="22"/>
  <c r="H2502" i="22"/>
  <c r="I2502" i="22" s="1"/>
  <c r="G2502" i="22"/>
  <c r="H2501" i="22"/>
  <c r="I2501" i="22" s="1"/>
  <c r="G2501" i="22"/>
  <c r="H2500" i="22"/>
  <c r="I2500" i="22" s="1"/>
  <c r="G2500" i="22"/>
  <c r="H2499" i="22"/>
  <c r="I2499" i="22" s="1"/>
  <c r="G2499" i="22"/>
  <c r="H2498" i="22"/>
  <c r="I2498" i="22" s="1"/>
  <c r="G2498" i="22"/>
  <c r="H2497" i="22"/>
  <c r="I2497" i="22" s="1"/>
  <c r="G2497" i="22"/>
  <c r="H2496" i="22"/>
  <c r="I2496" i="22" s="1"/>
  <c r="G2496" i="22"/>
  <c r="H2495" i="22"/>
  <c r="I2495" i="22" s="1"/>
  <c r="G2495" i="22"/>
  <c r="H2494" i="22"/>
  <c r="I2494" i="22" s="1"/>
  <c r="G2494" i="22"/>
  <c r="H2493" i="22"/>
  <c r="I2493" i="22" s="1"/>
  <c r="G2493" i="22"/>
  <c r="H2492" i="22"/>
  <c r="I2492" i="22" s="1"/>
  <c r="G2492" i="22"/>
  <c r="H2491" i="22"/>
  <c r="I2491" i="22" s="1"/>
  <c r="G2491" i="22"/>
  <c r="H2490" i="22"/>
  <c r="I2490" i="22" s="1"/>
  <c r="G2490" i="22"/>
  <c r="H2489" i="22"/>
  <c r="I2489" i="22" s="1"/>
  <c r="G2489" i="22"/>
  <c r="H2488" i="22"/>
  <c r="I2488" i="22" s="1"/>
  <c r="G2488" i="22"/>
  <c r="H2487" i="22"/>
  <c r="I2487" i="22" s="1"/>
  <c r="G2487" i="22"/>
  <c r="H2486" i="22"/>
  <c r="I2486" i="22" s="1"/>
  <c r="G2486" i="22"/>
  <c r="H2485" i="22"/>
  <c r="I2485" i="22" s="1"/>
  <c r="G2485" i="22"/>
  <c r="H2484" i="22"/>
  <c r="I2484" i="22" s="1"/>
  <c r="G2484" i="22"/>
  <c r="H2483" i="22"/>
  <c r="I2483" i="22" s="1"/>
  <c r="G2483" i="22"/>
  <c r="H2482" i="22"/>
  <c r="I2482" i="22" s="1"/>
  <c r="G2482" i="22"/>
  <c r="H2481" i="22"/>
  <c r="I2481" i="22" s="1"/>
  <c r="G2481" i="22"/>
  <c r="H2480" i="22"/>
  <c r="I2480" i="22" s="1"/>
  <c r="G2480" i="22"/>
  <c r="H2479" i="22"/>
  <c r="I2479" i="22" s="1"/>
  <c r="G2479" i="22"/>
  <c r="H2478" i="22"/>
  <c r="I2478" i="22" s="1"/>
  <c r="G2478" i="22"/>
  <c r="H2477" i="22"/>
  <c r="I2477" i="22" s="1"/>
  <c r="G2477" i="22"/>
  <c r="H2476" i="22"/>
  <c r="I2476" i="22" s="1"/>
  <c r="G2476" i="22"/>
  <c r="H2475" i="22"/>
  <c r="I2475" i="22" s="1"/>
  <c r="G2475" i="22"/>
  <c r="H2474" i="22"/>
  <c r="I2474" i="22" s="1"/>
  <c r="G2474" i="22"/>
  <c r="H2473" i="22"/>
  <c r="I2473" i="22" s="1"/>
  <c r="G2473" i="22"/>
  <c r="H2472" i="22"/>
  <c r="I2472" i="22" s="1"/>
  <c r="G2472" i="22"/>
  <c r="H2471" i="22"/>
  <c r="I2471" i="22" s="1"/>
  <c r="G2471" i="22"/>
  <c r="H2470" i="22"/>
  <c r="I2470" i="22" s="1"/>
  <c r="G2470" i="22"/>
  <c r="H2469" i="22"/>
  <c r="I2469" i="22" s="1"/>
  <c r="G2469" i="22"/>
  <c r="H2468" i="22"/>
  <c r="I2468" i="22" s="1"/>
  <c r="G2468" i="22"/>
  <c r="H2467" i="22"/>
  <c r="I2467" i="22" s="1"/>
  <c r="G2467" i="22"/>
  <c r="H2466" i="22"/>
  <c r="I2466" i="22" s="1"/>
  <c r="G2466" i="22"/>
  <c r="H2465" i="22"/>
  <c r="I2465" i="22" s="1"/>
  <c r="G2465" i="22"/>
  <c r="H2464" i="22"/>
  <c r="I2464" i="22" s="1"/>
  <c r="G2464" i="22"/>
  <c r="H2463" i="22"/>
  <c r="I2463" i="22" s="1"/>
  <c r="G2463" i="22"/>
  <c r="H2462" i="22"/>
  <c r="I2462" i="22" s="1"/>
  <c r="G2462" i="22"/>
  <c r="H2461" i="22"/>
  <c r="I2461" i="22" s="1"/>
  <c r="G2461" i="22"/>
  <c r="H2460" i="22"/>
  <c r="I2460" i="22" s="1"/>
  <c r="G2460" i="22"/>
  <c r="H2459" i="22"/>
  <c r="I2459" i="22" s="1"/>
  <c r="G2459" i="22"/>
  <c r="H2458" i="22"/>
  <c r="I2458" i="22" s="1"/>
  <c r="G2458" i="22"/>
  <c r="H2457" i="22"/>
  <c r="I2457" i="22" s="1"/>
  <c r="G2457" i="22"/>
  <c r="H2456" i="22"/>
  <c r="I2456" i="22" s="1"/>
  <c r="G2456" i="22"/>
  <c r="H2455" i="22"/>
  <c r="I2455" i="22" s="1"/>
  <c r="G2455" i="22"/>
  <c r="H2454" i="22"/>
  <c r="I2454" i="22" s="1"/>
  <c r="G2454" i="22"/>
  <c r="H2453" i="22"/>
  <c r="I2453" i="22" s="1"/>
  <c r="G2453" i="22"/>
  <c r="H2452" i="22"/>
  <c r="I2452" i="22" s="1"/>
  <c r="G2452" i="22"/>
  <c r="H2451" i="22"/>
  <c r="I2451" i="22" s="1"/>
  <c r="G2451" i="22"/>
  <c r="H2450" i="22"/>
  <c r="I2450" i="22" s="1"/>
  <c r="G2450" i="22"/>
  <c r="H2449" i="22"/>
  <c r="I2449" i="22" s="1"/>
  <c r="G2449" i="22"/>
  <c r="H2448" i="22"/>
  <c r="I2448" i="22" s="1"/>
  <c r="G2448" i="22"/>
  <c r="H2447" i="22"/>
  <c r="I2447" i="22" s="1"/>
  <c r="G2447" i="22"/>
  <c r="H2446" i="22"/>
  <c r="I2446" i="22" s="1"/>
  <c r="G2446" i="22"/>
  <c r="H2445" i="22"/>
  <c r="I2445" i="22" s="1"/>
  <c r="G2445" i="22"/>
  <c r="H2444" i="22"/>
  <c r="I2444" i="22" s="1"/>
  <c r="G2444" i="22"/>
  <c r="H2443" i="22"/>
  <c r="I2443" i="22" s="1"/>
  <c r="G2443" i="22"/>
  <c r="H2442" i="22"/>
  <c r="I2442" i="22" s="1"/>
  <c r="G2442" i="22"/>
  <c r="H2441" i="22"/>
  <c r="I2441" i="22" s="1"/>
  <c r="G2441" i="22"/>
  <c r="H2440" i="22"/>
  <c r="I2440" i="22" s="1"/>
  <c r="G2440" i="22"/>
  <c r="H2439" i="22"/>
  <c r="I2439" i="22" s="1"/>
  <c r="G2439" i="22"/>
  <c r="H2438" i="22"/>
  <c r="I2438" i="22" s="1"/>
  <c r="G2438" i="22"/>
  <c r="H2437" i="22"/>
  <c r="I2437" i="22" s="1"/>
  <c r="G2437" i="22"/>
  <c r="H2436" i="22"/>
  <c r="I2436" i="22" s="1"/>
  <c r="G2436" i="22"/>
  <c r="H2435" i="22"/>
  <c r="I2435" i="22" s="1"/>
  <c r="G2435" i="22"/>
  <c r="H2434" i="22"/>
  <c r="I2434" i="22" s="1"/>
  <c r="G2434" i="22"/>
  <c r="H2433" i="22"/>
  <c r="I2433" i="22" s="1"/>
  <c r="G2433" i="22"/>
  <c r="H2432" i="22"/>
  <c r="I2432" i="22" s="1"/>
  <c r="G2432" i="22"/>
  <c r="H2431" i="22"/>
  <c r="I2431" i="22" s="1"/>
  <c r="G2431" i="22"/>
  <c r="H2430" i="22"/>
  <c r="I2430" i="22" s="1"/>
  <c r="G2430" i="22"/>
  <c r="H2429" i="22"/>
  <c r="I2429" i="22" s="1"/>
  <c r="G2429" i="22"/>
  <c r="H2428" i="22"/>
  <c r="I2428" i="22" s="1"/>
  <c r="G2428" i="22"/>
  <c r="H2427" i="22"/>
  <c r="I2427" i="22" s="1"/>
  <c r="G2427" i="22"/>
  <c r="H2426" i="22"/>
  <c r="I2426" i="22" s="1"/>
  <c r="G2426" i="22"/>
  <c r="H2425" i="22"/>
  <c r="I2425" i="22" s="1"/>
  <c r="G2425" i="22"/>
  <c r="H2424" i="22"/>
  <c r="I2424" i="22" s="1"/>
  <c r="G2424" i="22"/>
  <c r="H2423" i="22"/>
  <c r="I2423" i="22" s="1"/>
  <c r="G2423" i="22"/>
  <c r="H2422" i="22"/>
  <c r="I2422" i="22" s="1"/>
  <c r="G2422" i="22"/>
  <c r="H2421" i="22"/>
  <c r="I2421" i="22" s="1"/>
  <c r="G2421" i="22"/>
  <c r="H2420" i="22"/>
  <c r="I2420" i="22" s="1"/>
  <c r="G2420" i="22"/>
  <c r="H2419" i="22"/>
  <c r="I2419" i="22" s="1"/>
  <c r="G2419" i="22"/>
  <c r="H2418" i="22"/>
  <c r="I2418" i="22" s="1"/>
  <c r="G2418" i="22"/>
  <c r="H2417" i="22"/>
  <c r="I2417" i="22" s="1"/>
  <c r="G2417" i="22"/>
  <c r="H2416" i="22"/>
  <c r="I2416" i="22" s="1"/>
  <c r="G2416" i="22"/>
  <c r="H2415" i="22"/>
  <c r="I2415" i="22" s="1"/>
  <c r="G2415" i="22"/>
  <c r="H2414" i="22"/>
  <c r="I2414" i="22" s="1"/>
  <c r="G2414" i="22"/>
  <c r="H2413" i="22"/>
  <c r="I2413" i="22" s="1"/>
  <c r="G2413" i="22"/>
  <c r="H2412" i="22"/>
  <c r="I2412" i="22" s="1"/>
  <c r="G2412" i="22"/>
  <c r="H2411" i="22"/>
  <c r="I2411" i="22" s="1"/>
  <c r="G2411" i="22"/>
  <c r="H2410" i="22"/>
  <c r="I2410" i="22" s="1"/>
  <c r="G2410" i="22"/>
  <c r="H2409" i="22"/>
  <c r="I2409" i="22" s="1"/>
  <c r="G2409" i="22"/>
  <c r="H2408" i="22"/>
  <c r="I2408" i="22" s="1"/>
  <c r="G2408" i="22"/>
  <c r="H2407" i="22"/>
  <c r="I2407" i="22" s="1"/>
  <c r="G2407" i="22"/>
  <c r="H2406" i="22"/>
  <c r="I2406" i="22" s="1"/>
  <c r="G2406" i="22"/>
  <c r="H2405" i="22"/>
  <c r="I2405" i="22" s="1"/>
  <c r="G2405" i="22"/>
  <c r="H2404" i="22"/>
  <c r="I2404" i="22" s="1"/>
  <c r="G2404" i="22"/>
  <c r="H2403" i="22"/>
  <c r="I2403" i="22" s="1"/>
  <c r="G2403" i="22"/>
  <c r="H2402" i="22"/>
  <c r="I2402" i="22" s="1"/>
  <c r="G2402" i="22"/>
  <c r="H2401" i="22"/>
  <c r="I2401" i="22" s="1"/>
  <c r="G2401" i="22"/>
  <c r="H2400" i="22"/>
  <c r="I2400" i="22" s="1"/>
  <c r="G2400" i="22"/>
  <c r="H2399" i="22"/>
  <c r="I2399" i="22" s="1"/>
  <c r="G2399" i="22"/>
  <c r="H2398" i="22"/>
  <c r="I2398" i="22" s="1"/>
  <c r="G2398" i="22"/>
  <c r="H2397" i="22"/>
  <c r="I2397" i="22" s="1"/>
  <c r="G2397" i="22"/>
  <c r="H2396" i="22"/>
  <c r="I2396" i="22" s="1"/>
  <c r="G2396" i="22"/>
  <c r="H2395" i="22"/>
  <c r="I2395" i="22" s="1"/>
  <c r="G2395" i="22"/>
  <c r="H2394" i="22"/>
  <c r="I2394" i="22" s="1"/>
  <c r="G2394" i="22"/>
  <c r="H2393" i="22"/>
  <c r="I2393" i="22" s="1"/>
  <c r="G2393" i="22"/>
  <c r="H2392" i="22"/>
  <c r="I2392" i="22" s="1"/>
  <c r="G2392" i="22"/>
  <c r="H2391" i="22"/>
  <c r="I2391" i="22" s="1"/>
  <c r="G2391" i="22"/>
  <c r="H2390" i="22"/>
  <c r="I2390" i="22" s="1"/>
  <c r="G2390" i="22"/>
  <c r="H2389" i="22"/>
  <c r="I2389" i="22" s="1"/>
  <c r="G2389" i="22"/>
  <c r="H2388" i="22"/>
  <c r="I2388" i="22" s="1"/>
  <c r="G2388" i="22"/>
  <c r="H2387" i="22"/>
  <c r="I2387" i="22" s="1"/>
  <c r="G2387" i="22"/>
  <c r="H2386" i="22"/>
  <c r="I2386" i="22" s="1"/>
  <c r="G2386" i="22"/>
  <c r="H2385" i="22"/>
  <c r="I2385" i="22" s="1"/>
  <c r="G2385" i="22"/>
  <c r="H2384" i="22"/>
  <c r="I2384" i="22" s="1"/>
  <c r="G2384" i="22"/>
  <c r="H2383" i="22"/>
  <c r="I2383" i="22" s="1"/>
  <c r="G2383" i="22"/>
  <c r="H2382" i="22"/>
  <c r="I2382" i="22" s="1"/>
  <c r="G2382" i="22"/>
  <c r="H2381" i="22"/>
  <c r="I2381" i="22" s="1"/>
  <c r="G2381" i="22"/>
  <c r="H2380" i="22"/>
  <c r="I2380" i="22" s="1"/>
  <c r="G2380" i="22"/>
  <c r="H2379" i="22"/>
  <c r="I2379" i="22" s="1"/>
  <c r="G2379" i="22"/>
  <c r="H2378" i="22"/>
  <c r="I2378" i="22" s="1"/>
  <c r="G2378" i="22"/>
  <c r="H2377" i="22"/>
  <c r="I2377" i="22" s="1"/>
  <c r="G2377" i="22"/>
  <c r="H2376" i="22"/>
  <c r="I2376" i="22" s="1"/>
  <c r="G2376" i="22"/>
  <c r="H2375" i="22"/>
  <c r="I2375" i="22" s="1"/>
  <c r="G2375" i="22"/>
  <c r="H2374" i="22"/>
  <c r="I2374" i="22" s="1"/>
  <c r="G2374" i="22"/>
  <c r="H2373" i="22"/>
  <c r="I2373" i="22" s="1"/>
  <c r="G2373" i="22"/>
  <c r="H2372" i="22"/>
  <c r="I2372" i="22" s="1"/>
  <c r="G2372" i="22"/>
  <c r="H2371" i="22"/>
  <c r="I2371" i="22" s="1"/>
  <c r="G2371" i="22"/>
  <c r="H2370" i="22"/>
  <c r="I2370" i="22" s="1"/>
  <c r="G2370" i="22"/>
  <c r="H2369" i="22"/>
  <c r="I2369" i="22" s="1"/>
  <c r="G2369" i="22"/>
  <c r="H2368" i="22"/>
  <c r="I2368" i="22" s="1"/>
  <c r="G2368" i="22"/>
  <c r="H2367" i="22"/>
  <c r="I2367" i="22" s="1"/>
  <c r="G2367" i="22"/>
  <c r="H2366" i="22"/>
  <c r="I2366" i="22" s="1"/>
  <c r="G2366" i="22"/>
  <c r="H2365" i="22"/>
  <c r="I2365" i="22" s="1"/>
  <c r="G2365" i="22"/>
  <c r="H2364" i="22"/>
  <c r="I2364" i="22" s="1"/>
  <c r="G2364" i="22"/>
  <c r="H2363" i="22"/>
  <c r="I2363" i="22" s="1"/>
  <c r="G2363" i="22"/>
  <c r="H2362" i="22"/>
  <c r="I2362" i="22" s="1"/>
  <c r="G2362" i="22"/>
  <c r="H2361" i="22"/>
  <c r="I2361" i="22" s="1"/>
  <c r="G2361" i="22"/>
  <c r="H2360" i="22"/>
  <c r="I2360" i="22" s="1"/>
  <c r="G2360" i="22"/>
  <c r="H2359" i="22"/>
  <c r="I2359" i="22" s="1"/>
  <c r="G2359" i="22"/>
  <c r="H2358" i="22"/>
  <c r="I2358" i="22" s="1"/>
  <c r="G2358" i="22"/>
  <c r="H2357" i="22"/>
  <c r="I2357" i="22" s="1"/>
  <c r="G2357" i="22"/>
  <c r="H2356" i="22"/>
  <c r="I2356" i="22" s="1"/>
  <c r="G2356" i="22"/>
  <c r="H2355" i="22"/>
  <c r="I2355" i="22" s="1"/>
  <c r="G2355" i="22"/>
  <c r="H2354" i="22"/>
  <c r="I2354" i="22" s="1"/>
  <c r="G2354" i="22"/>
  <c r="H2353" i="22"/>
  <c r="I2353" i="22" s="1"/>
  <c r="G2353" i="22"/>
  <c r="H2352" i="22"/>
  <c r="I2352" i="22" s="1"/>
  <c r="G2352" i="22"/>
  <c r="H2351" i="22"/>
  <c r="I2351" i="22" s="1"/>
  <c r="G2351" i="22"/>
  <c r="H2350" i="22"/>
  <c r="I2350" i="22" s="1"/>
  <c r="G2350" i="22"/>
  <c r="H2349" i="22"/>
  <c r="I2349" i="22" s="1"/>
  <c r="G2349" i="22"/>
  <c r="H2348" i="22"/>
  <c r="I2348" i="22" s="1"/>
  <c r="G2348" i="22"/>
  <c r="H2347" i="22"/>
  <c r="I2347" i="22" s="1"/>
  <c r="G2347" i="22"/>
  <c r="H2346" i="22"/>
  <c r="I2346" i="22" s="1"/>
  <c r="G2346" i="22"/>
  <c r="H2345" i="22"/>
  <c r="I2345" i="22" s="1"/>
  <c r="G2345" i="22"/>
  <c r="H2344" i="22"/>
  <c r="I2344" i="22" s="1"/>
  <c r="G2344" i="22"/>
  <c r="H2343" i="22"/>
  <c r="I2343" i="22" s="1"/>
  <c r="G2343" i="22"/>
  <c r="H2342" i="22"/>
  <c r="I2342" i="22" s="1"/>
  <c r="G2342" i="22"/>
  <c r="H2341" i="22"/>
  <c r="I2341" i="22" s="1"/>
  <c r="G2341" i="22"/>
  <c r="H2340" i="22"/>
  <c r="I2340" i="22" s="1"/>
  <c r="G2340" i="22"/>
  <c r="H2339" i="22"/>
  <c r="I2339" i="22" s="1"/>
  <c r="G2339" i="22"/>
  <c r="H2338" i="22"/>
  <c r="I2338" i="22" s="1"/>
  <c r="G2338" i="22"/>
  <c r="H2337" i="22"/>
  <c r="I2337" i="22" s="1"/>
  <c r="G2337" i="22"/>
  <c r="H2336" i="22"/>
  <c r="I2336" i="22" s="1"/>
  <c r="G2336" i="22"/>
  <c r="H2335" i="22"/>
  <c r="I2335" i="22" s="1"/>
  <c r="G2335" i="22"/>
  <c r="H2334" i="22"/>
  <c r="I2334" i="22" s="1"/>
  <c r="G2334" i="22"/>
  <c r="H2333" i="22"/>
  <c r="I2333" i="22" s="1"/>
  <c r="G2333" i="22"/>
  <c r="H2332" i="22"/>
  <c r="I2332" i="22" s="1"/>
  <c r="G2332" i="22"/>
  <c r="H2331" i="22"/>
  <c r="I2331" i="22" s="1"/>
  <c r="G2331" i="22"/>
  <c r="H2330" i="22"/>
  <c r="I2330" i="22" s="1"/>
  <c r="G2330" i="22"/>
  <c r="H2329" i="22"/>
  <c r="I2329" i="22" s="1"/>
  <c r="G2329" i="22"/>
  <c r="H2328" i="22"/>
  <c r="I2328" i="22" s="1"/>
  <c r="G2328" i="22"/>
  <c r="H2327" i="22"/>
  <c r="I2327" i="22" s="1"/>
  <c r="G2327" i="22"/>
  <c r="H2326" i="22"/>
  <c r="I2326" i="22" s="1"/>
  <c r="G2326" i="22"/>
  <c r="H2325" i="22"/>
  <c r="I2325" i="22" s="1"/>
  <c r="G2325" i="22"/>
  <c r="H2324" i="22"/>
  <c r="I2324" i="22" s="1"/>
  <c r="G2324" i="22"/>
  <c r="H2323" i="22"/>
  <c r="I2323" i="22" s="1"/>
  <c r="G2323" i="22"/>
  <c r="H2322" i="22"/>
  <c r="I2322" i="22" s="1"/>
  <c r="G2322" i="22"/>
  <c r="H2321" i="22"/>
  <c r="I2321" i="22" s="1"/>
  <c r="G2321" i="22"/>
  <c r="H2320" i="22"/>
  <c r="I2320" i="22" s="1"/>
  <c r="G2320" i="22"/>
  <c r="H2319" i="22"/>
  <c r="I2319" i="22" s="1"/>
  <c r="G2319" i="22"/>
  <c r="H2318" i="22"/>
  <c r="I2318" i="22" s="1"/>
  <c r="G2318" i="22"/>
  <c r="H2317" i="22"/>
  <c r="I2317" i="22" s="1"/>
  <c r="G2317" i="22"/>
  <c r="H2316" i="22"/>
  <c r="I2316" i="22" s="1"/>
  <c r="G2316" i="22"/>
  <c r="H2315" i="22"/>
  <c r="I2315" i="22" s="1"/>
  <c r="G2315" i="22"/>
  <c r="H2314" i="22"/>
  <c r="I2314" i="22" s="1"/>
  <c r="G2314" i="22"/>
  <c r="H2313" i="22"/>
  <c r="I2313" i="22" s="1"/>
  <c r="G2313" i="22"/>
  <c r="H2312" i="22"/>
  <c r="I2312" i="22" s="1"/>
  <c r="G2312" i="22"/>
  <c r="H2311" i="22"/>
  <c r="I2311" i="22" s="1"/>
  <c r="G2311" i="22"/>
  <c r="H2310" i="22"/>
  <c r="I2310" i="22" s="1"/>
  <c r="G2310" i="22"/>
  <c r="H2309" i="22"/>
  <c r="I2309" i="22" s="1"/>
  <c r="G2309" i="22"/>
  <c r="H2308" i="22"/>
  <c r="I2308" i="22" s="1"/>
  <c r="G2308" i="22"/>
  <c r="H2307" i="22"/>
  <c r="I2307" i="22" s="1"/>
  <c r="G2307" i="22"/>
  <c r="H2306" i="22"/>
  <c r="I2306" i="22" s="1"/>
  <c r="G2306" i="22"/>
  <c r="H2305" i="22"/>
  <c r="I2305" i="22" s="1"/>
  <c r="G2305" i="22"/>
  <c r="H2304" i="22"/>
  <c r="I2304" i="22" s="1"/>
  <c r="G2304" i="22"/>
  <c r="H2303" i="22"/>
  <c r="I2303" i="22" s="1"/>
  <c r="G2303" i="22"/>
  <c r="H2302" i="22"/>
  <c r="I2302" i="22" s="1"/>
  <c r="G2302" i="22"/>
  <c r="H2301" i="22"/>
  <c r="I2301" i="22" s="1"/>
  <c r="G2301" i="22"/>
  <c r="H2300" i="22"/>
  <c r="I2300" i="22" s="1"/>
  <c r="G2300" i="22"/>
  <c r="H2299" i="22"/>
  <c r="I2299" i="22" s="1"/>
  <c r="G2299" i="22"/>
  <c r="H2298" i="22"/>
  <c r="I2298" i="22" s="1"/>
  <c r="G2298" i="22"/>
  <c r="H2297" i="22"/>
  <c r="I2297" i="22" s="1"/>
  <c r="G2297" i="22"/>
  <c r="H2296" i="22"/>
  <c r="I2296" i="22" s="1"/>
  <c r="G2296" i="22"/>
  <c r="H2295" i="22"/>
  <c r="I2295" i="22" s="1"/>
  <c r="G2295" i="22"/>
  <c r="H2294" i="22"/>
  <c r="I2294" i="22" s="1"/>
  <c r="G2294" i="22"/>
  <c r="H2293" i="22"/>
  <c r="I2293" i="22" s="1"/>
  <c r="G2293" i="22"/>
  <c r="H2292" i="22"/>
  <c r="I2292" i="22" s="1"/>
  <c r="G2292" i="22"/>
  <c r="H2291" i="22"/>
  <c r="I2291" i="22" s="1"/>
  <c r="G2291" i="22"/>
  <c r="H2290" i="22"/>
  <c r="I2290" i="22" s="1"/>
  <c r="G2290" i="22"/>
  <c r="H2289" i="22"/>
  <c r="I2289" i="22" s="1"/>
  <c r="G2289" i="22"/>
  <c r="H2288" i="22"/>
  <c r="I2288" i="22" s="1"/>
  <c r="G2288" i="22"/>
  <c r="H2287" i="22"/>
  <c r="I2287" i="22" s="1"/>
  <c r="G2287" i="22"/>
  <c r="H2286" i="22"/>
  <c r="I2286" i="22" s="1"/>
  <c r="G2286" i="22"/>
  <c r="H2285" i="22"/>
  <c r="I2285" i="22" s="1"/>
  <c r="G2285" i="22"/>
  <c r="H2284" i="22"/>
  <c r="I2284" i="22" s="1"/>
  <c r="G2284" i="22"/>
  <c r="H2283" i="22"/>
  <c r="I2283" i="22" s="1"/>
  <c r="G2283" i="22"/>
  <c r="H2282" i="22"/>
  <c r="I2282" i="22" s="1"/>
  <c r="G2282" i="22"/>
  <c r="H2281" i="22"/>
  <c r="I2281" i="22" s="1"/>
  <c r="G2281" i="22"/>
  <c r="H2280" i="22"/>
  <c r="I2280" i="22" s="1"/>
  <c r="G2280" i="22"/>
  <c r="H2279" i="22"/>
  <c r="I2279" i="22" s="1"/>
  <c r="G2279" i="22"/>
  <c r="H2278" i="22"/>
  <c r="I2278" i="22" s="1"/>
  <c r="G2278" i="22"/>
  <c r="H2277" i="22"/>
  <c r="I2277" i="22" s="1"/>
  <c r="G2277" i="22"/>
  <c r="H2276" i="22"/>
  <c r="I2276" i="22" s="1"/>
  <c r="G2276" i="22"/>
  <c r="H2275" i="22"/>
  <c r="I2275" i="22" s="1"/>
  <c r="G2275" i="22"/>
  <c r="H2274" i="22"/>
  <c r="I2274" i="22" s="1"/>
  <c r="G2274" i="22"/>
  <c r="H2273" i="22"/>
  <c r="I2273" i="22" s="1"/>
  <c r="G2273" i="22"/>
  <c r="H2272" i="22"/>
  <c r="I2272" i="22" s="1"/>
  <c r="G2272" i="22"/>
  <c r="H2271" i="22"/>
  <c r="I2271" i="22" s="1"/>
  <c r="G2271" i="22"/>
  <c r="H2270" i="22"/>
  <c r="I2270" i="22" s="1"/>
  <c r="G2270" i="22"/>
  <c r="H2269" i="22"/>
  <c r="I2269" i="22" s="1"/>
  <c r="G2269" i="22"/>
  <c r="H2268" i="22"/>
  <c r="I2268" i="22" s="1"/>
  <c r="G2268" i="22"/>
  <c r="H2267" i="22"/>
  <c r="I2267" i="22" s="1"/>
  <c r="G2267" i="22"/>
  <c r="H2266" i="22"/>
  <c r="I2266" i="22" s="1"/>
  <c r="G2266" i="22"/>
  <c r="H2265" i="22"/>
  <c r="I2265" i="22" s="1"/>
  <c r="G2265" i="22"/>
  <c r="H2264" i="22"/>
  <c r="I2264" i="22" s="1"/>
  <c r="G2264" i="22"/>
  <c r="H2263" i="22"/>
  <c r="I2263" i="22" s="1"/>
  <c r="G2263" i="22"/>
  <c r="H2262" i="22"/>
  <c r="I2262" i="22" s="1"/>
  <c r="G2262" i="22"/>
  <c r="H2261" i="22"/>
  <c r="I2261" i="22" s="1"/>
  <c r="G2261" i="22"/>
  <c r="H2260" i="22"/>
  <c r="I2260" i="22" s="1"/>
  <c r="G2260" i="22"/>
  <c r="H2259" i="22"/>
  <c r="I2259" i="22" s="1"/>
  <c r="G2259" i="22"/>
  <c r="H2258" i="22"/>
  <c r="I2258" i="22" s="1"/>
  <c r="G2258" i="22"/>
  <c r="H2257" i="22"/>
  <c r="I2257" i="22" s="1"/>
  <c r="G2257" i="22"/>
  <c r="H2256" i="22"/>
  <c r="I2256" i="22" s="1"/>
  <c r="G2256" i="22"/>
  <c r="H2255" i="22"/>
  <c r="I2255" i="22" s="1"/>
  <c r="G2255" i="22"/>
  <c r="H2254" i="22"/>
  <c r="I2254" i="22" s="1"/>
  <c r="G2254" i="22"/>
  <c r="H2253" i="22"/>
  <c r="I2253" i="22" s="1"/>
  <c r="G2253" i="22"/>
  <c r="H2252" i="22"/>
  <c r="I2252" i="22" s="1"/>
  <c r="G2252" i="22"/>
  <c r="H2251" i="22"/>
  <c r="I2251" i="22" s="1"/>
  <c r="G2251" i="22"/>
  <c r="H2250" i="22"/>
  <c r="I2250" i="22" s="1"/>
  <c r="G2250" i="22"/>
  <c r="H2249" i="22"/>
  <c r="I2249" i="22" s="1"/>
  <c r="G2249" i="22"/>
  <c r="H2248" i="22"/>
  <c r="I2248" i="22" s="1"/>
  <c r="G2248" i="22"/>
  <c r="H2247" i="22"/>
  <c r="I2247" i="22" s="1"/>
  <c r="G2247" i="22"/>
  <c r="H2246" i="22"/>
  <c r="I2246" i="22" s="1"/>
  <c r="G2246" i="22"/>
  <c r="H2245" i="22"/>
  <c r="I2245" i="22" s="1"/>
  <c r="G2245" i="22"/>
  <c r="H2244" i="22"/>
  <c r="I2244" i="22" s="1"/>
  <c r="G2244" i="22"/>
  <c r="H2243" i="22"/>
  <c r="I2243" i="22" s="1"/>
  <c r="G2243" i="22"/>
  <c r="H2242" i="22"/>
  <c r="I2242" i="22" s="1"/>
  <c r="G2242" i="22"/>
  <c r="H2241" i="22"/>
  <c r="I2241" i="22" s="1"/>
  <c r="G2241" i="22"/>
  <c r="H2240" i="22"/>
  <c r="I2240" i="22" s="1"/>
  <c r="G2240" i="22"/>
  <c r="H2239" i="22"/>
  <c r="I2239" i="22" s="1"/>
  <c r="G2239" i="22"/>
  <c r="H2238" i="22"/>
  <c r="I2238" i="22" s="1"/>
  <c r="G2238" i="22"/>
  <c r="H2237" i="22"/>
  <c r="I2237" i="22" s="1"/>
  <c r="G2237" i="22"/>
  <c r="H2236" i="22"/>
  <c r="I2236" i="22" s="1"/>
  <c r="G2236" i="22"/>
  <c r="H2235" i="22"/>
  <c r="I2235" i="22" s="1"/>
  <c r="G2235" i="22"/>
  <c r="H2234" i="22"/>
  <c r="I2234" i="22" s="1"/>
  <c r="G2234" i="22"/>
  <c r="H2233" i="22"/>
  <c r="I2233" i="22" s="1"/>
  <c r="G2233" i="22"/>
  <c r="H2232" i="22"/>
  <c r="I2232" i="22" s="1"/>
  <c r="G2232" i="22"/>
  <c r="H2231" i="22"/>
  <c r="I2231" i="22" s="1"/>
  <c r="G2231" i="22"/>
  <c r="H2230" i="22"/>
  <c r="I2230" i="22" s="1"/>
  <c r="G2230" i="22"/>
  <c r="H2229" i="22"/>
  <c r="I2229" i="22" s="1"/>
  <c r="G2229" i="22"/>
  <c r="H2228" i="22"/>
  <c r="I2228" i="22" s="1"/>
  <c r="G2228" i="22"/>
  <c r="H2227" i="22"/>
  <c r="I2227" i="22" s="1"/>
  <c r="G2227" i="22"/>
  <c r="H2226" i="22"/>
  <c r="I2226" i="22" s="1"/>
  <c r="G2226" i="22"/>
  <c r="H2225" i="22"/>
  <c r="I2225" i="22" s="1"/>
  <c r="G2225" i="22"/>
  <c r="H2224" i="22"/>
  <c r="I2224" i="22" s="1"/>
  <c r="G2224" i="22"/>
  <c r="H2223" i="22"/>
  <c r="I2223" i="22" s="1"/>
  <c r="G2223" i="22"/>
  <c r="H2222" i="22"/>
  <c r="I2222" i="22" s="1"/>
  <c r="G2222" i="22"/>
  <c r="H2221" i="22"/>
  <c r="I2221" i="22" s="1"/>
  <c r="G2221" i="22"/>
  <c r="H2220" i="22"/>
  <c r="I2220" i="22" s="1"/>
  <c r="G2220" i="22"/>
  <c r="H2219" i="22"/>
  <c r="I2219" i="22" s="1"/>
  <c r="G2219" i="22"/>
  <c r="H2218" i="22"/>
  <c r="I2218" i="22" s="1"/>
  <c r="G2218" i="22"/>
  <c r="H2217" i="22"/>
  <c r="I2217" i="22" s="1"/>
  <c r="G2217" i="22"/>
  <c r="H2216" i="22"/>
  <c r="I2216" i="22" s="1"/>
  <c r="G2216" i="22"/>
  <c r="H2215" i="22"/>
  <c r="I2215" i="22" s="1"/>
  <c r="G2215" i="22"/>
  <c r="H2214" i="22"/>
  <c r="I2214" i="22" s="1"/>
  <c r="G2214" i="22"/>
  <c r="H2213" i="22"/>
  <c r="I2213" i="22" s="1"/>
  <c r="G2213" i="22"/>
  <c r="H2212" i="22"/>
  <c r="I2212" i="22" s="1"/>
  <c r="G2212" i="22"/>
  <c r="H2211" i="22"/>
  <c r="I2211" i="22" s="1"/>
  <c r="G2211" i="22"/>
  <c r="H2210" i="22"/>
  <c r="I2210" i="22" s="1"/>
  <c r="G2210" i="22"/>
  <c r="H2209" i="22"/>
  <c r="I2209" i="22" s="1"/>
  <c r="G2209" i="22"/>
  <c r="H2208" i="22"/>
  <c r="I2208" i="22" s="1"/>
  <c r="G2208" i="22"/>
  <c r="H2207" i="22"/>
  <c r="I2207" i="22" s="1"/>
  <c r="G2207" i="22"/>
  <c r="H2206" i="22"/>
  <c r="I2206" i="22" s="1"/>
  <c r="G2206" i="22"/>
  <c r="H2205" i="22"/>
  <c r="I2205" i="22" s="1"/>
  <c r="G2205" i="22"/>
  <c r="H2204" i="22"/>
  <c r="I2204" i="22" s="1"/>
  <c r="G2204" i="22"/>
  <c r="H2203" i="22"/>
  <c r="I2203" i="22" s="1"/>
  <c r="G2203" i="22"/>
  <c r="H2202" i="22"/>
  <c r="I2202" i="22" s="1"/>
  <c r="G2202" i="22"/>
  <c r="H2201" i="22"/>
  <c r="I2201" i="22" s="1"/>
  <c r="G2201" i="22"/>
  <c r="H2200" i="22"/>
  <c r="I2200" i="22" s="1"/>
  <c r="G2200" i="22"/>
  <c r="H2199" i="22"/>
  <c r="I2199" i="22" s="1"/>
  <c r="G2199" i="22"/>
  <c r="H2198" i="22"/>
  <c r="I2198" i="22" s="1"/>
  <c r="G2198" i="22"/>
  <c r="H2197" i="22"/>
  <c r="I2197" i="22" s="1"/>
  <c r="G2197" i="22"/>
  <c r="H2196" i="22"/>
  <c r="I2196" i="22" s="1"/>
  <c r="G2196" i="22"/>
  <c r="H2195" i="22"/>
  <c r="I2195" i="22" s="1"/>
  <c r="G2195" i="22"/>
  <c r="H2194" i="22"/>
  <c r="I2194" i="22" s="1"/>
  <c r="G2194" i="22"/>
  <c r="H2193" i="22"/>
  <c r="I2193" i="22" s="1"/>
  <c r="G2193" i="22"/>
  <c r="H2192" i="22"/>
  <c r="I2192" i="22" s="1"/>
  <c r="G2192" i="22"/>
  <c r="H2191" i="22"/>
  <c r="I2191" i="22" s="1"/>
  <c r="G2191" i="22"/>
  <c r="H2190" i="22"/>
  <c r="I2190" i="22" s="1"/>
  <c r="G2190" i="22"/>
  <c r="H2189" i="22"/>
  <c r="I2189" i="22" s="1"/>
  <c r="G2189" i="22"/>
  <c r="H2188" i="22"/>
  <c r="I2188" i="22" s="1"/>
  <c r="G2188" i="22"/>
  <c r="H2187" i="22"/>
  <c r="I2187" i="22" s="1"/>
  <c r="G2187" i="22"/>
  <c r="H2186" i="22"/>
  <c r="I2186" i="22" s="1"/>
  <c r="G2186" i="22"/>
  <c r="H2185" i="22"/>
  <c r="I2185" i="22" s="1"/>
  <c r="G2185" i="22"/>
  <c r="H2184" i="22"/>
  <c r="I2184" i="22" s="1"/>
  <c r="G2184" i="22"/>
  <c r="H2183" i="22"/>
  <c r="I2183" i="22" s="1"/>
  <c r="G2183" i="22"/>
  <c r="H2182" i="22"/>
  <c r="I2182" i="22" s="1"/>
  <c r="G2182" i="22"/>
  <c r="H2181" i="22"/>
  <c r="I2181" i="22" s="1"/>
  <c r="G2181" i="22"/>
  <c r="H2180" i="22"/>
  <c r="I2180" i="22" s="1"/>
  <c r="G2180" i="22"/>
  <c r="H2179" i="22"/>
  <c r="I2179" i="22" s="1"/>
  <c r="G2179" i="22"/>
  <c r="H2178" i="22"/>
  <c r="I2178" i="22" s="1"/>
  <c r="G2178" i="22"/>
  <c r="H2177" i="22"/>
  <c r="I2177" i="22" s="1"/>
  <c r="G2177" i="22"/>
  <c r="H2176" i="22"/>
  <c r="I2176" i="22" s="1"/>
  <c r="G2176" i="22"/>
  <c r="H2175" i="22"/>
  <c r="I2175" i="22" s="1"/>
  <c r="G2175" i="22"/>
  <c r="H2174" i="22"/>
  <c r="I2174" i="22" s="1"/>
  <c r="G2174" i="22"/>
  <c r="H2173" i="22"/>
  <c r="I2173" i="22" s="1"/>
  <c r="G2173" i="22"/>
  <c r="H2172" i="22"/>
  <c r="I2172" i="22" s="1"/>
  <c r="G2172" i="22"/>
  <c r="H2171" i="22"/>
  <c r="I2171" i="22" s="1"/>
  <c r="G2171" i="22"/>
  <c r="H2170" i="22"/>
  <c r="I2170" i="22" s="1"/>
  <c r="G2170" i="22"/>
  <c r="H2169" i="22"/>
  <c r="I2169" i="22" s="1"/>
  <c r="G2169" i="22"/>
  <c r="H2168" i="22"/>
  <c r="I2168" i="22" s="1"/>
  <c r="G2168" i="22"/>
  <c r="H2167" i="22"/>
  <c r="I2167" i="22" s="1"/>
  <c r="G2167" i="22"/>
  <c r="H2166" i="22"/>
  <c r="I2166" i="22" s="1"/>
  <c r="G2166" i="22"/>
  <c r="H2165" i="22"/>
  <c r="I2165" i="22" s="1"/>
  <c r="G2165" i="22"/>
  <c r="H2164" i="22"/>
  <c r="I2164" i="22" s="1"/>
  <c r="G2164" i="22"/>
  <c r="H2163" i="22"/>
  <c r="I2163" i="22" s="1"/>
  <c r="G2163" i="22"/>
  <c r="H2162" i="22"/>
  <c r="I2162" i="22" s="1"/>
  <c r="G2162" i="22"/>
  <c r="H2161" i="22"/>
  <c r="I2161" i="22" s="1"/>
  <c r="G2161" i="22"/>
  <c r="H2160" i="22"/>
  <c r="I2160" i="22" s="1"/>
  <c r="G2160" i="22"/>
  <c r="H2159" i="22"/>
  <c r="I2159" i="22" s="1"/>
  <c r="G2159" i="22"/>
  <c r="H2158" i="22"/>
  <c r="I2158" i="22" s="1"/>
  <c r="G2158" i="22"/>
  <c r="H2157" i="22"/>
  <c r="I2157" i="22" s="1"/>
  <c r="G2157" i="22"/>
  <c r="H2156" i="22"/>
  <c r="I2156" i="22" s="1"/>
  <c r="G2156" i="22"/>
  <c r="H2155" i="22"/>
  <c r="I2155" i="22" s="1"/>
  <c r="G2155" i="22"/>
  <c r="H2154" i="22"/>
  <c r="I2154" i="22" s="1"/>
  <c r="G2154" i="22"/>
  <c r="H2153" i="22"/>
  <c r="I2153" i="22" s="1"/>
  <c r="G2153" i="22"/>
  <c r="H2152" i="22"/>
  <c r="I2152" i="22" s="1"/>
  <c r="G2152" i="22"/>
  <c r="H2151" i="22"/>
  <c r="I2151" i="22" s="1"/>
  <c r="G2151" i="22"/>
  <c r="H2150" i="22"/>
  <c r="I2150" i="22" s="1"/>
  <c r="G2150" i="22"/>
  <c r="H2149" i="22"/>
  <c r="I2149" i="22" s="1"/>
  <c r="G2149" i="22"/>
  <c r="H2148" i="22"/>
  <c r="I2148" i="22" s="1"/>
  <c r="G2148" i="22"/>
  <c r="H2147" i="22"/>
  <c r="I2147" i="22" s="1"/>
  <c r="G2147" i="22"/>
  <c r="H2146" i="22"/>
  <c r="I2146" i="22" s="1"/>
  <c r="G2146" i="22"/>
  <c r="H2145" i="22"/>
  <c r="I2145" i="22" s="1"/>
  <c r="G2145" i="22"/>
  <c r="H2144" i="22"/>
  <c r="I2144" i="22" s="1"/>
  <c r="G2144" i="22"/>
  <c r="H2143" i="22"/>
  <c r="I2143" i="22" s="1"/>
  <c r="G2143" i="22"/>
  <c r="H2142" i="22"/>
  <c r="I2142" i="22" s="1"/>
  <c r="G2142" i="22"/>
  <c r="H2141" i="22"/>
  <c r="I2141" i="22" s="1"/>
  <c r="G2141" i="22"/>
  <c r="H2140" i="22"/>
  <c r="I2140" i="22" s="1"/>
  <c r="G2140" i="22"/>
  <c r="H2139" i="22"/>
  <c r="I2139" i="22" s="1"/>
  <c r="G2139" i="22"/>
  <c r="H2138" i="22"/>
  <c r="I2138" i="22" s="1"/>
  <c r="G2138" i="22"/>
  <c r="H2137" i="22"/>
  <c r="I2137" i="22" s="1"/>
  <c r="G2137" i="22"/>
  <c r="H2136" i="22"/>
  <c r="I2136" i="22" s="1"/>
  <c r="G2136" i="22"/>
  <c r="H2135" i="22"/>
  <c r="I2135" i="22" s="1"/>
  <c r="G2135" i="22"/>
  <c r="H2134" i="22"/>
  <c r="I2134" i="22" s="1"/>
  <c r="G2134" i="22"/>
  <c r="H2133" i="22"/>
  <c r="I2133" i="22" s="1"/>
  <c r="G2133" i="22"/>
  <c r="H2132" i="22"/>
  <c r="I2132" i="22" s="1"/>
  <c r="G2132" i="22"/>
  <c r="H2131" i="22"/>
  <c r="I2131" i="22" s="1"/>
  <c r="G2131" i="22"/>
  <c r="H2130" i="22"/>
  <c r="I2130" i="22" s="1"/>
  <c r="G2130" i="22"/>
  <c r="H2129" i="22"/>
  <c r="I2129" i="22" s="1"/>
  <c r="G2129" i="22"/>
  <c r="H2128" i="22"/>
  <c r="I2128" i="22" s="1"/>
  <c r="G2128" i="22"/>
  <c r="H2127" i="22"/>
  <c r="I2127" i="22" s="1"/>
  <c r="G2127" i="22"/>
  <c r="H2126" i="22"/>
  <c r="I2126" i="22" s="1"/>
  <c r="G2126" i="22"/>
  <c r="H2125" i="22"/>
  <c r="I2125" i="22" s="1"/>
  <c r="G2125" i="22"/>
  <c r="H2124" i="22"/>
  <c r="I2124" i="22" s="1"/>
  <c r="G2124" i="22"/>
  <c r="H2123" i="22"/>
  <c r="I2123" i="22" s="1"/>
  <c r="G2123" i="22"/>
  <c r="H2122" i="22"/>
  <c r="I2122" i="22" s="1"/>
  <c r="G2122" i="22"/>
  <c r="H2121" i="22"/>
  <c r="I2121" i="22" s="1"/>
  <c r="G2121" i="22"/>
  <c r="H2120" i="22"/>
  <c r="I2120" i="22" s="1"/>
  <c r="G2120" i="22"/>
  <c r="H2119" i="22"/>
  <c r="I2119" i="22" s="1"/>
  <c r="G2119" i="22"/>
  <c r="H2118" i="22"/>
  <c r="I2118" i="22" s="1"/>
  <c r="G2118" i="22"/>
  <c r="H2117" i="22"/>
  <c r="I2117" i="22" s="1"/>
  <c r="G2117" i="22"/>
  <c r="H2116" i="22"/>
  <c r="I2116" i="22" s="1"/>
  <c r="G2116" i="22"/>
  <c r="H2115" i="22"/>
  <c r="I2115" i="22" s="1"/>
  <c r="G2115" i="22"/>
  <c r="H2114" i="22"/>
  <c r="I2114" i="22" s="1"/>
  <c r="G2114" i="22"/>
  <c r="H2113" i="22"/>
  <c r="I2113" i="22" s="1"/>
  <c r="G2113" i="22"/>
  <c r="H2112" i="22"/>
  <c r="I2112" i="22" s="1"/>
  <c r="G2112" i="22"/>
  <c r="H2111" i="22"/>
  <c r="I2111" i="22" s="1"/>
  <c r="G2111" i="22"/>
  <c r="H2110" i="22"/>
  <c r="I2110" i="22" s="1"/>
  <c r="G2110" i="22"/>
  <c r="H2109" i="22"/>
  <c r="I2109" i="22" s="1"/>
  <c r="G2109" i="22"/>
  <c r="H2108" i="22"/>
  <c r="I2108" i="22" s="1"/>
  <c r="G2108" i="22"/>
  <c r="H2107" i="22"/>
  <c r="I2107" i="22" s="1"/>
  <c r="G2107" i="22"/>
  <c r="H2106" i="22"/>
  <c r="I2106" i="22" s="1"/>
  <c r="G2106" i="22"/>
  <c r="H2105" i="22"/>
  <c r="I2105" i="22" s="1"/>
  <c r="G2105" i="22"/>
  <c r="H2104" i="22"/>
  <c r="I2104" i="22" s="1"/>
  <c r="G2104" i="22"/>
  <c r="H2103" i="22"/>
  <c r="I2103" i="22" s="1"/>
  <c r="G2103" i="22"/>
  <c r="H2102" i="22"/>
  <c r="I2102" i="22" s="1"/>
  <c r="G2102" i="22"/>
  <c r="H2101" i="22"/>
  <c r="I2101" i="22" s="1"/>
  <c r="G2101" i="22"/>
  <c r="H2100" i="22"/>
  <c r="I2100" i="22" s="1"/>
  <c r="G2100" i="22"/>
  <c r="H2099" i="22"/>
  <c r="I2099" i="22" s="1"/>
  <c r="G2099" i="22"/>
  <c r="H2098" i="22"/>
  <c r="I2098" i="22" s="1"/>
  <c r="G2098" i="22"/>
  <c r="H2097" i="22"/>
  <c r="I2097" i="22" s="1"/>
  <c r="G2097" i="22"/>
  <c r="H2096" i="22"/>
  <c r="I2096" i="22" s="1"/>
  <c r="G2096" i="22"/>
  <c r="H2095" i="22"/>
  <c r="I2095" i="22" s="1"/>
  <c r="G2095" i="22"/>
  <c r="H2094" i="22"/>
  <c r="I2094" i="22" s="1"/>
  <c r="G2094" i="22"/>
  <c r="H2093" i="22"/>
  <c r="I2093" i="22" s="1"/>
  <c r="G2093" i="22"/>
  <c r="H2092" i="22"/>
  <c r="I2092" i="22" s="1"/>
  <c r="G2092" i="22"/>
  <c r="H2091" i="22"/>
  <c r="I2091" i="22" s="1"/>
  <c r="G2091" i="22"/>
  <c r="H2090" i="22"/>
  <c r="I2090" i="22" s="1"/>
  <c r="G2090" i="22"/>
  <c r="H2089" i="22"/>
  <c r="I2089" i="22" s="1"/>
  <c r="G2089" i="22"/>
  <c r="H2088" i="22"/>
  <c r="I2088" i="22" s="1"/>
  <c r="G2088" i="22"/>
  <c r="H2087" i="22"/>
  <c r="I2087" i="22" s="1"/>
  <c r="G2087" i="22"/>
  <c r="H2086" i="22"/>
  <c r="I2086" i="22" s="1"/>
  <c r="G2086" i="22"/>
  <c r="H2085" i="22"/>
  <c r="I2085" i="22" s="1"/>
  <c r="G2085" i="22"/>
  <c r="H2084" i="22"/>
  <c r="I2084" i="22" s="1"/>
  <c r="G2084" i="22"/>
  <c r="H2083" i="22"/>
  <c r="I2083" i="22" s="1"/>
  <c r="G2083" i="22"/>
  <c r="H2082" i="22"/>
  <c r="I2082" i="22" s="1"/>
  <c r="G2082" i="22"/>
  <c r="H2081" i="22"/>
  <c r="I2081" i="22" s="1"/>
  <c r="G2081" i="22"/>
  <c r="H2080" i="22"/>
  <c r="I2080" i="22" s="1"/>
  <c r="G2080" i="22"/>
  <c r="H2079" i="22"/>
  <c r="I2079" i="22" s="1"/>
  <c r="G2079" i="22"/>
  <c r="H2078" i="22"/>
  <c r="I2078" i="22" s="1"/>
  <c r="G2078" i="22"/>
  <c r="H2077" i="22"/>
  <c r="I2077" i="22" s="1"/>
  <c r="G2077" i="22"/>
  <c r="H2076" i="22"/>
  <c r="I2076" i="22" s="1"/>
  <c r="G2076" i="22"/>
  <c r="H2075" i="22"/>
  <c r="I2075" i="22" s="1"/>
  <c r="G2075" i="22"/>
  <c r="H2074" i="22"/>
  <c r="I2074" i="22" s="1"/>
  <c r="G2074" i="22"/>
  <c r="H2073" i="22"/>
  <c r="I2073" i="22" s="1"/>
  <c r="G2073" i="22"/>
  <c r="H2072" i="22"/>
  <c r="I2072" i="22" s="1"/>
  <c r="G2072" i="22"/>
  <c r="H2071" i="22"/>
  <c r="I2071" i="22" s="1"/>
  <c r="G2071" i="22"/>
  <c r="H2070" i="22"/>
  <c r="I2070" i="22" s="1"/>
  <c r="G2070" i="22"/>
  <c r="H2069" i="22"/>
  <c r="I2069" i="22" s="1"/>
  <c r="G2069" i="22"/>
  <c r="H2068" i="22"/>
  <c r="I2068" i="22" s="1"/>
  <c r="G2068" i="22"/>
  <c r="H2067" i="22"/>
  <c r="I2067" i="22" s="1"/>
  <c r="G2067" i="22"/>
  <c r="H2066" i="22"/>
  <c r="I2066" i="22" s="1"/>
  <c r="G2066" i="22"/>
  <c r="H2065" i="22"/>
  <c r="I2065" i="22" s="1"/>
  <c r="G2065" i="22"/>
  <c r="H2064" i="22"/>
  <c r="I2064" i="22" s="1"/>
  <c r="G2064" i="22"/>
  <c r="H2063" i="22"/>
  <c r="I2063" i="22" s="1"/>
  <c r="G2063" i="22"/>
  <c r="H2062" i="22"/>
  <c r="I2062" i="22" s="1"/>
  <c r="G2062" i="22"/>
  <c r="H2061" i="22"/>
  <c r="I2061" i="22" s="1"/>
  <c r="G2061" i="22"/>
  <c r="H2060" i="22"/>
  <c r="I2060" i="22" s="1"/>
  <c r="G2060" i="22"/>
  <c r="H2059" i="22"/>
  <c r="I2059" i="22" s="1"/>
  <c r="G2059" i="22"/>
  <c r="H2058" i="22"/>
  <c r="I2058" i="22" s="1"/>
  <c r="G2058" i="22"/>
  <c r="H2057" i="22"/>
  <c r="I2057" i="22" s="1"/>
  <c r="G2057" i="22"/>
  <c r="H2056" i="22"/>
  <c r="I2056" i="22" s="1"/>
  <c r="G2056" i="22"/>
  <c r="H2055" i="22"/>
  <c r="I2055" i="22" s="1"/>
  <c r="G2055" i="22"/>
  <c r="H2054" i="22"/>
  <c r="I2054" i="22" s="1"/>
  <c r="G2054" i="22"/>
  <c r="H2053" i="22"/>
  <c r="I2053" i="22" s="1"/>
  <c r="G2053" i="22"/>
  <c r="H2052" i="22"/>
  <c r="I2052" i="22" s="1"/>
  <c r="G2052" i="22"/>
  <c r="H2051" i="22"/>
  <c r="I2051" i="22" s="1"/>
  <c r="G2051" i="22"/>
  <c r="H2050" i="22"/>
  <c r="I2050" i="22" s="1"/>
  <c r="G2050" i="22"/>
  <c r="H2049" i="22"/>
  <c r="I2049" i="22" s="1"/>
  <c r="G2049" i="22"/>
  <c r="H2048" i="22"/>
  <c r="I2048" i="22" s="1"/>
  <c r="G2048" i="22"/>
  <c r="H2047" i="22"/>
  <c r="I2047" i="22" s="1"/>
  <c r="G2047" i="22"/>
  <c r="H2046" i="22"/>
  <c r="I2046" i="22" s="1"/>
  <c r="G2046" i="22"/>
  <c r="H2045" i="22"/>
  <c r="I2045" i="22" s="1"/>
  <c r="G2045" i="22"/>
  <c r="H2044" i="22"/>
  <c r="I2044" i="22" s="1"/>
  <c r="G2044" i="22"/>
  <c r="H2043" i="22"/>
  <c r="I2043" i="22" s="1"/>
  <c r="G2043" i="22"/>
  <c r="H2042" i="22"/>
  <c r="I2042" i="22" s="1"/>
  <c r="G2042" i="22"/>
  <c r="H2041" i="22"/>
  <c r="I2041" i="22" s="1"/>
  <c r="G2041" i="22"/>
  <c r="H2040" i="22"/>
  <c r="I2040" i="22" s="1"/>
  <c r="G2040" i="22"/>
  <c r="H2039" i="22"/>
  <c r="I2039" i="22" s="1"/>
  <c r="G2039" i="22"/>
  <c r="H2038" i="22"/>
  <c r="I2038" i="22" s="1"/>
  <c r="G2038" i="22"/>
  <c r="H2037" i="22"/>
  <c r="I2037" i="22" s="1"/>
  <c r="G2037" i="22"/>
  <c r="H2036" i="22"/>
  <c r="I2036" i="22" s="1"/>
  <c r="G2036" i="22"/>
  <c r="H2035" i="22"/>
  <c r="I2035" i="22" s="1"/>
  <c r="G2035" i="22"/>
  <c r="H2034" i="22"/>
  <c r="I2034" i="22" s="1"/>
  <c r="G2034" i="22"/>
  <c r="H2033" i="22"/>
  <c r="I2033" i="22" s="1"/>
  <c r="G2033" i="22"/>
  <c r="H2032" i="22"/>
  <c r="I2032" i="22" s="1"/>
  <c r="G2032" i="22"/>
  <c r="H2031" i="22"/>
  <c r="I2031" i="22" s="1"/>
  <c r="G2031" i="22"/>
  <c r="H2030" i="22"/>
  <c r="I2030" i="22" s="1"/>
  <c r="G2030" i="22"/>
  <c r="H2029" i="22"/>
  <c r="I2029" i="22" s="1"/>
  <c r="G2029" i="22"/>
  <c r="H2028" i="22"/>
  <c r="I2028" i="22" s="1"/>
  <c r="G2028" i="22"/>
  <c r="H2027" i="22"/>
  <c r="I2027" i="22" s="1"/>
  <c r="G2027" i="22"/>
  <c r="H2026" i="22"/>
  <c r="I2026" i="22" s="1"/>
  <c r="G2026" i="22"/>
  <c r="H2025" i="22"/>
  <c r="I2025" i="22" s="1"/>
  <c r="G2025" i="22"/>
  <c r="H2024" i="22"/>
  <c r="I2024" i="22" s="1"/>
  <c r="G2024" i="22"/>
  <c r="H2023" i="22"/>
  <c r="I2023" i="22" s="1"/>
  <c r="G2023" i="22"/>
  <c r="H2022" i="22"/>
  <c r="I2022" i="22" s="1"/>
  <c r="G2022" i="22"/>
  <c r="H2021" i="22"/>
  <c r="I2021" i="22" s="1"/>
  <c r="G2021" i="22"/>
  <c r="H2020" i="22"/>
  <c r="I2020" i="22" s="1"/>
  <c r="G2020" i="22"/>
  <c r="H2019" i="22"/>
  <c r="I2019" i="22" s="1"/>
  <c r="G2019" i="22"/>
  <c r="H2018" i="22"/>
  <c r="I2018" i="22" s="1"/>
  <c r="G2018" i="22"/>
  <c r="H2017" i="22"/>
  <c r="I2017" i="22" s="1"/>
  <c r="G2017" i="22"/>
  <c r="H2016" i="22"/>
  <c r="I2016" i="22" s="1"/>
  <c r="G2016" i="22"/>
  <c r="H2015" i="22"/>
  <c r="I2015" i="22" s="1"/>
  <c r="G2015" i="22"/>
  <c r="H2014" i="22"/>
  <c r="I2014" i="22" s="1"/>
  <c r="G2014" i="22"/>
  <c r="H2013" i="22"/>
  <c r="I2013" i="22" s="1"/>
  <c r="G2013" i="22"/>
  <c r="H2012" i="22"/>
  <c r="I2012" i="22" s="1"/>
  <c r="G2012" i="22"/>
  <c r="H2011" i="22"/>
  <c r="I2011" i="22" s="1"/>
  <c r="G2011" i="22"/>
  <c r="H2010" i="22"/>
  <c r="I2010" i="22" s="1"/>
  <c r="G2010" i="22"/>
  <c r="H2009" i="22"/>
  <c r="I2009" i="22" s="1"/>
  <c r="G2009" i="22"/>
  <c r="H2008" i="22"/>
  <c r="I2008" i="22" s="1"/>
  <c r="G2008" i="22"/>
  <c r="H2007" i="22"/>
  <c r="I2007" i="22" s="1"/>
  <c r="G2007" i="22"/>
  <c r="H2006" i="22"/>
  <c r="I2006" i="22" s="1"/>
  <c r="G2006" i="22"/>
  <c r="H2005" i="22"/>
  <c r="I2005" i="22" s="1"/>
  <c r="G2005" i="22"/>
  <c r="H2004" i="22"/>
  <c r="I2004" i="22" s="1"/>
  <c r="G2004" i="22"/>
  <c r="H2003" i="22"/>
  <c r="I2003" i="22" s="1"/>
  <c r="G2003" i="22"/>
  <c r="H2002" i="22"/>
  <c r="I2002" i="22" s="1"/>
  <c r="G2002" i="22"/>
  <c r="H2001" i="22"/>
  <c r="I2001" i="22" s="1"/>
  <c r="G2001" i="22"/>
  <c r="H2000" i="22"/>
  <c r="I2000" i="22" s="1"/>
  <c r="G2000" i="22"/>
  <c r="H1999" i="22"/>
  <c r="I1999" i="22" s="1"/>
  <c r="G1999" i="22"/>
  <c r="H1998" i="22"/>
  <c r="I1998" i="22" s="1"/>
  <c r="G1998" i="22"/>
  <c r="H1997" i="22"/>
  <c r="I1997" i="22" s="1"/>
  <c r="G1997" i="22"/>
  <c r="H1996" i="22"/>
  <c r="I1996" i="22" s="1"/>
  <c r="G1996" i="22"/>
  <c r="H1995" i="22"/>
  <c r="I1995" i="22" s="1"/>
  <c r="G1995" i="22"/>
  <c r="H1994" i="22"/>
  <c r="I1994" i="22" s="1"/>
  <c r="G1994" i="22"/>
  <c r="H1993" i="22"/>
  <c r="I1993" i="22" s="1"/>
  <c r="G1993" i="22"/>
  <c r="H1992" i="22"/>
  <c r="I1992" i="22" s="1"/>
  <c r="G1992" i="22"/>
  <c r="H1991" i="22"/>
  <c r="I1991" i="22" s="1"/>
  <c r="G1991" i="22"/>
  <c r="H1990" i="22"/>
  <c r="I1990" i="22" s="1"/>
  <c r="G1990" i="22"/>
  <c r="H1989" i="22"/>
  <c r="I1989" i="22" s="1"/>
  <c r="G1989" i="22"/>
  <c r="H1988" i="22"/>
  <c r="I1988" i="22" s="1"/>
  <c r="G1988" i="22"/>
  <c r="H1987" i="22"/>
  <c r="I1987" i="22" s="1"/>
  <c r="G1987" i="22"/>
  <c r="H1986" i="22"/>
  <c r="I1986" i="22" s="1"/>
  <c r="G1986" i="22"/>
  <c r="H1985" i="22"/>
  <c r="I1985" i="22" s="1"/>
  <c r="G1985" i="22"/>
  <c r="H1984" i="22"/>
  <c r="I1984" i="22" s="1"/>
  <c r="G1984" i="22"/>
  <c r="H1983" i="22"/>
  <c r="I1983" i="22" s="1"/>
  <c r="G1983" i="22"/>
  <c r="H1982" i="22"/>
  <c r="I1982" i="22" s="1"/>
  <c r="G1982" i="22"/>
  <c r="H1981" i="22"/>
  <c r="I1981" i="22" s="1"/>
  <c r="G1981" i="22"/>
  <c r="H1980" i="22"/>
  <c r="I1980" i="22" s="1"/>
  <c r="G1980" i="22"/>
  <c r="H1979" i="22"/>
  <c r="I1979" i="22" s="1"/>
  <c r="G1979" i="22"/>
  <c r="H1978" i="22"/>
  <c r="I1978" i="22" s="1"/>
  <c r="G1978" i="22"/>
  <c r="H1977" i="22"/>
  <c r="I1977" i="22" s="1"/>
  <c r="G1977" i="22"/>
  <c r="H1976" i="22"/>
  <c r="I1976" i="22" s="1"/>
  <c r="G1976" i="22"/>
  <c r="H1975" i="22"/>
  <c r="I1975" i="22" s="1"/>
  <c r="G1975" i="22"/>
  <c r="H1974" i="22"/>
  <c r="I1974" i="22" s="1"/>
  <c r="G1974" i="22"/>
  <c r="H1973" i="22"/>
  <c r="I1973" i="22" s="1"/>
  <c r="G1973" i="22"/>
  <c r="H1972" i="22"/>
  <c r="I1972" i="22" s="1"/>
  <c r="G1972" i="22"/>
  <c r="H1971" i="22"/>
  <c r="I1971" i="22" s="1"/>
  <c r="G1971" i="22"/>
  <c r="H1970" i="22"/>
  <c r="I1970" i="22" s="1"/>
  <c r="G1970" i="22"/>
  <c r="H1969" i="22"/>
  <c r="I1969" i="22" s="1"/>
  <c r="G1969" i="22"/>
  <c r="H1968" i="22"/>
  <c r="I1968" i="22" s="1"/>
  <c r="G1968" i="22"/>
  <c r="H1967" i="22"/>
  <c r="I1967" i="22" s="1"/>
  <c r="G1967" i="22"/>
  <c r="H1966" i="22"/>
  <c r="I1966" i="22" s="1"/>
  <c r="G1966" i="22"/>
  <c r="H1965" i="22"/>
  <c r="I1965" i="22" s="1"/>
  <c r="G1965" i="22"/>
  <c r="H1964" i="22"/>
  <c r="I1964" i="22" s="1"/>
  <c r="G1964" i="22"/>
  <c r="H1963" i="22"/>
  <c r="I1963" i="22" s="1"/>
  <c r="G1963" i="22"/>
  <c r="H1962" i="22"/>
  <c r="I1962" i="22" s="1"/>
  <c r="G1962" i="22"/>
  <c r="H1961" i="22"/>
  <c r="I1961" i="22" s="1"/>
  <c r="G1961" i="22"/>
  <c r="H1960" i="22"/>
  <c r="I1960" i="22" s="1"/>
  <c r="G1960" i="22"/>
  <c r="H1959" i="22"/>
  <c r="I1959" i="22" s="1"/>
  <c r="G1959" i="22"/>
  <c r="H1958" i="22"/>
  <c r="I1958" i="22" s="1"/>
  <c r="G1958" i="22"/>
  <c r="H1957" i="22"/>
  <c r="I1957" i="22" s="1"/>
  <c r="G1957" i="22"/>
  <c r="H1956" i="22"/>
  <c r="I1956" i="22" s="1"/>
  <c r="G1956" i="22"/>
  <c r="H1955" i="22"/>
  <c r="I1955" i="22" s="1"/>
  <c r="G1955" i="22"/>
  <c r="H1954" i="22"/>
  <c r="I1954" i="22" s="1"/>
  <c r="G1954" i="22"/>
  <c r="H1953" i="22"/>
  <c r="I1953" i="22" s="1"/>
  <c r="G1953" i="22"/>
  <c r="H1952" i="22"/>
  <c r="I1952" i="22" s="1"/>
  <c r="G1952" i="22"/>
  <c r="H1951" i="22"/>
  <c r="I1951" i="22" s="1"/>
  <c r="G1951" i="22"/>
  <c r="H1950" i="22"/>
  <c r="I1950" i="22" s="1"/>
  <c r="G1950" i="22"/>
  <c r="H1949" i="22"/>
  <c r="I1949" i="22" s="1"/>
  <c r="G1949" i="22"/>
  <c r="H1948" i="22"/>
  <c r="I1948" i="22" s="1"/>
  <c r="G1948" i="22"/>
  <c r="H1947" i="22"/>
  <c r="I1947" i="22" s="1"/>
  <c r="G1947" i="22"/>
  <c r="H1946" i="22"/>
  <c r="I1946" i="22" s="1"/>
  <c r="G1946" i="22"/>
  <c r="H1945" i="22"/>
  <c r="I1945" i="22" s="1"/>
  <c r="G1945" i="22"/>
  <c r="H1944" i="22"/>
  <c r="I1944" i="22" s="1"/>
  <c r="G1944" i="22"/>
  <c r="H1943" i="22"/>
  <c r="I1943" i="22" s="1"/>
  <c r="G1943" i="22"/>
  <c r="H1942" i="22"/>
  <c r="I1942" i="22" s="1"/>
  <c r="G1942" i="22"/>
  <c r="H1941" i="22"/>
  <c r="I1941" i="22" s="1"/>
  <c r="G1941" i="22"/>
  <c r="H1940" i="22"/>
  <c r="I1940" i="22" s="1"/>
  <c r="G1940" i="22"/>
  <c r="H1939" i="22"/>
  <c r="I1939" i="22" s="1"/>
  <c r="G1939" i="22"/>
  <c r="H1938" i="22"/>
  <c r="I1938" i="22" s="1"/>
  <c r="G1938" i="22"/>
  <c r="H1937" i="22"/>
  <c r="I1937" i="22" s="1"/>
  <c r="G1937" i="22"/>
  <c r="H1936" i="22"/>
  <c r="I1936" i="22" s="1"/>
  <c r="G1936" i="22"/>
  <c r="H1935" i="22"/>
  <c r="I1935" i="22" s="1"/>
  <c r="G1935" i="22"/>
  <c r="H1934" i="22"/>
  <c r="I1934" i="22" s="1"/>
  <c r="G1934" i="22"/>
  <c r="H1933" i="22"/>
  <c r="I1933" i="22" s="1"/>
  <c r="G1933" i="22"/>
  <c r="H1932" i="22"/>
  <c r="I1932" i="22" s="1"/>
  <c r="G1932" i="22"/>
  <c r="H1931" i="22"/>
  <c r="I1931" i="22" s="1"/>
  <c r="G1931" i="22"/>
  <c r="H1930" i="22"/>
  <c r="I1930" i="22" s="1"/>
  <c r="G1930" i="22"/>
  <c r="H1929" i="22"/>
  <c r="I1929" i="22" s="1"/>
  <c r="G1929" i="22"/>
  <c r="H1928" i="22"/>
  <c r="I1928" i="22" s="1"/>
  <c r="G1928" i="22"/>
  <c r="H1927" i="22"/>
  <c r="I1927" i="22" s="1"/>
  <c r="G1927" i="22"/>
  <c r="H1926" i="22"/>
  <c r="I1926" i="22" s="1"/>
  <c r="G1926" i="22"/>
  <c r="H1925" i="22"/>
  <c r="I1925" i="22" s="1"/>
  <c r="G1925" i="22"/>
  <c r="H1924" i="22"/>
  <c r="I1924" i="22" s="1"/>
  <c r="G1924" i="22"/>
  <c r="H1923" i="22"/>
  <c r="I1923" i="22" s="1"/>
  <c r="G1923" i="22"/>
  <c r="H1922" i="22"/>
  <c r="I1922" i="22" s="1"/>
  <c r="G1922" i="22"/>
  <c r="H1921" i="22"/>
  <c r="I1921" i="22" s="1"/>
  <c r="G1921" i="22"/>
  <c r="H1920" i="22"/>
  <c r="I1920" i="22" s="1"/>
  <c r="G1920" i="22"/>
  <c r="H1919" i="22"/>
  <c r="I1919" i="22" s="1"/>
  <c r="G1919" i="22"/>
  <c r="H1918" i="22"/>
  <c r="I1918" i="22" s="1"/>
  <c r="G1918" i="22"/>
  <c r="H1917" i="22"/>
  <c r="I1917" i="22" s="1"/>
  <c r="G1917" i="22"/>
  <c r="H1916" i="22"/>
  <c r="I1916" i="22" s="1"/>
  <c r="G1916" i="22"/>
  <c r="H1915" i="22"/>
  <c r="I1915" i="22" s="1"/>
  <c r="G1915" i="22"/>
  <c r="H1914" i="22"/>
  <c r="I1914" i="22" s="1"/>
  <c r="G1914" i="22"/>
  <c r="H1913" i="22"/>
  <c r="I1913" i="22" s="1"/>
  <c r="G1913" i="22"/>
  <c r="H1912" i="22"/>
  <c r="I1912" i="22" s="1"/>
  <c r="G1912" i="22"/>
  <c r="H1911" i="22"/>
  <c r="I1911" i="22" s="1"/>
  <c r="G1911" i="22"/>
  <c r="H1910" i="22"/>
  <c r="I1910" i="22" s="1"/>
  <c r="G1910" i="22"/>
  <c r="H1909" i="22"/>
  <c r="I1909" i="22" s="1"/>
  <c r="G1909" i="22"/>
  <c r="H1908" i="22"/>
  <c r="I1908" i="22" s="1"/>
  <c r="G1908" i="22"/>
  <c r="H1907" i="22"/>
  <c r="I1907" i="22" s="1"/>
  <c r="G1907" i="22"/>
  <c r="H1906" i="22"/>
  <c r="I1906" i="22" s="1"/>
  <c r="G1906" i="22"/>
  <c r="H1905" i="22"/>
  <c r="I1905" i="22" s="1"/>
  <c r="G1905" i="22"/>
  <c r="H1904" i="22"/>
  <c r="I1904" i="22" s="1"/>
  <c r="G1904" i="22"/>
  <c r="H1903" i="22"/>
  <c r="I1903" i="22" s="1"/>
  <c r="G1903" i="22"/>
  <c r="H1902" i="22"/>
  <c r="I1902" i="22" s="1"/>
  <c r="G1902" i="22"/>
  <c r="H1901" i="22"/>
  <c r="I1901" i="22" s="1"/>
  <c r="G1901" i="22"/>
  <c r="H1900" i="22"/>
  <c r="I1900" i="22" s="1"/>
  <c r="G1900" i="22"/>
  <c r="H1899" i="22"/>
  <c r="I1899" i="22" s="1"/>
  <c r="G1899" i="22"/>
  <c r="H1898" i="22"/>
  <c r="I1898" i="22" s="1"/>
  <c r="G1898" i="22"/>
  <c r="H1897" i="22"/>
  <c r="I1897" i="22" s="1"/>
  <c r="G1897" i="22"/>
  <c r="H1896" i="22"/>
  <c r="I1896" i="22" s="1"/>
  <c r="G1896" i="22"/>
  <c r="H1895" i="22"/>
  <c r="I1895" i="22" s="1"/>
  <c r="G1895" i="22"/>
  <c r="H1894" i="22"/>
  <c r="I1894" i="22" s="1"/>
  <c r="G1894" i="22"/>
  <c r="H1893" i="22"/>
  <c r="I1893" i="22" s="1"/>
  <c r="G1893" i="22"/>
  <c r="H1892" i="22"/>
  <c r="I1892" i="22" s="1"/>
  <c r="G1892" i="22"/>
  <c r="H1891" i="22"/>
  <c r="I1891" i="22" s="1"/>
  <c r="G1891" i="22"/>
  <c r="H1890" i="22"/>
  <c r="I1890" i="22" s="1"/>
  <c r="G1890" i="22"/>
  <c r="H1889" i="22"/>
  <c r="I1889" i="22" s="1"/>
  <c r="G1889" i="22"/>
  <c r="H1888" i="22"/>
  <c r="I1888" i="22" s="1"/>
  <c r="G1888" i="22"/>
  <c r="H1887" i="22"/>
  <c r="I1887" i="22" s="1"/>
  <c r="G1887" i="22"/>
  <c r="H1886" i="22"/>
  <c r="I1886" i="22" s="1"/>
  <c r="G1886" i="22"/>
  <c r="H1885" i="22"/>
  <c r="I1885" i="22" s="1"/>
  <c r="G1885" i="22"/>
  <c r="H1884" i="22"/>
  <c r="I1884" i="22" s="1"/>
  <c r="G1884" i="22"/>
  <c r="H1883" i="22"/>
  <c r="I1883" i="22" s="1"/>
  <c r="G1883" i="22"/>
  <c r="H1882" i="22"/>
  <c r="I1882" i="22" s="1"/>
  <c r="G1882" i="22"/>
  <c r="H1881" i="22"/>
  <c r="I1881" i="22" s="1"/>
  <c r="G1881" i="22"/>
  <c r="H1880" i="22"/>
  <c r="I1880" i="22" s="1"/>
  <c r="G1880" i="22"/>
  <c r="H1879" i="22"/>
  <c r="I1879" i="22" s="1"/>
  <c r="G1879" i="22"/>
  <c r="H1878" i="22"/>
  <c r="I1878" i="22" s="1"/>
  <c r="G1878" i="22"/>
  <c r="H1877" i="22"/>
  <c r="I1877" i="22" s="1"/>
  <c r="G1877" i="22"/>
  <c r="H1876" i="22"/>
  <c r="I1876" i="22" s="1"/>
  <c r="G1876" i="22"/>
  <c r="H1875" i="22"/>
  <c r="I1875" i="22" s="1"/>
  <c r="G1875" i="22"/>
  <c r="H1874" i="22"/>
  <c r="I1874" i="22" s="1"/>
  <c r="G1874" i="22"/>
  <c r="H1873" i="22"/>
  <c r="I1873" i="22" s="1"/>
  <c r="G1873" i="22"/>
  <c r="H1872" i="22"/>
  <c r="I1872" i="22" s="1"/>
  <c r="G1872" i="22"/>
  <c r="H1871" i="22"/>
  <c r="I1871" i="22" s="1"/>
  <c r="G1871" i="22"/>
  <c r="H1870" i="22"/>
  <c r="I1870" i="22" s="1"/>
  <c r="G1870" i="22"/>
  <c r="H1869" i="22"/>
  <c r="I1869" i="22" s="1"/>
  <c r="G1869" i="22"/>
  <c r="H1868" i="22"/>
  <c r="I1868" i="22" s="1"/>
  <c r="G1868" i="22"/>
  <c r="H1867" i="22"/>
  <c r="I1867" i="22" s="1"/>
  <c r="G1867" i="22"/>
  <c r="H1866" i="22"/>
  <c r="I1866" i="22" s="1"/>
  <c r="G1866" i="22"/>
  <c r="H1865" i="22"/>
  <c r="I1865" i="22" s="1"/>
  <c r="G1865" i="22"/>
  <c r="H1864" i="22"/>
  <c r="I1864" i="22" s="1"/>
  <c r="G1864" i="22"/>
  <c r="H1863" i="22"/>
  <c r="I1863" i="22" s="1"/>
  <c r="G1863" i="22"/>
  <c r="H1862" i="22"/>
  <c r="I1862" i="22" s="1"/>
  <c r="G1862" i="22"/>
  <c r="H1861" i="22"/>
  <c r="I1861" i="22" s="1"/>
  <c r="G1861" i="22"/>
  <c r="H1860" i="22"/>
  <c r="I1860" i="22" s="1"/>
  <c r="G1860" i="22"/>
  <c r="H1859" i="22"/>
  <c r="I1859" i="22" s="1"/>
  <c r="G1859" i="22"/>
  <c r="H1858" i="22"/>
  <c r="I1858" i="22" s="1"/>
  <c r="G1858" i="22"/>
  <c r="H1857" i="22"/>
  <c r="I1857" i="22" s="1"/>
  <c r="G1857" i="22"/>
  <c r="H1856" i="22"/>
  <c r="I1856" i="22" s="1"/>
  <c r="G1856" i="22"/>
  <c r="H1855" i="22"/>
  <c r="I1855" i="22" s="1"/>
  <c r="G1855" i="22"/>
  <c r="H1854" i="22"/>
  <c r="I1854" i="22" s="1"/>
  <c r="G1854" i="22"/>
  <c r="H1853" i="22"/>
  <c r="I1853" i="22" s="1"/>
  <c r="G1853" i="22"/>
  <c r="H1852" i="22"/>
  <c r="I1852" i="22" s="1"/>
  <c r="G1852" i="22"/>
  <c r="H1851" i="22"/>
  <c r="I1851" i="22" s="1"/>
  <c r="G1851" i="22"/>
  <c r="H1850" i="22"/>
  <c r="I1850" i="22" s="1"/>
  <c r="G1850" i="22"/>
  <c r="H1849" i="22"/>
  <c r="I1849" i="22" s="1"/>
  <c r="G1849" i="22"/>
  <c r="H1848" i="22"/>
  <c r="I1848" i="22" s="1"/>
  <c r="G1848" i="22"/>
  <c r="H1847" i="22"/>
  <c r="I1847" i="22" s="1"/>
  <c r="G1847" i="22"/>
  <c r="H1846" i="22"/>
  <c r="I1846" i="22" s="1"/>
  <c r="G1846" i="22"/>
  <c r="H1845" i="22"/>
  <c r="I1845" i="22" s="1"/>
  <c r="G1845" i="22"/>
  <c r="H1844" i="22"/>
  <c r="I1844" i="22" s="1"/>
  <c r="G1844" i="22"/>
  <c r="H1843" i="22"/>
  <c r="I1843" i="22" s="1"/>
  <c r="G1843" i="22"/>
  <c r="H1842" i="22"/>
  <c r="I1842" i="22" s="1"/>
  <c r="G1842" i="22"/>
  <c r="H1841" i="22"/>
  <c r="I1841" i="22" s="1"/>
  <c r="G1841" i="22"/>
  <c r="H1840" i="22"/>
  <c r="I1840" i="22" s="1"/>
  <c r="G1840" i="22"/>
  <c r="H1839" i="22"/>
  <c r="I1839" i="22" s="1"/>
  <c r="G1839" i="22"/>
  <c r="H1838" i="22"/>
  <c r="I1838" i="22" s="1"/>
  <c r="G1838" i="22"/>
  <c r="H1837" i="22"/>
  <c r="I1837" i="22" s="1"/>
  <c r="G1837" i="22"/>
  <c r="H1836" i="22"/>
  <c r="I1836" i="22" s="1"/>
  <c r="G1836" i="22"/>
  <c r="H1835" i="22"/>
  <c r="I1835" i="22" s="1"/>
  <c r="G1835" i="22"/>
  <c r="H1834" i="22"/>
  <c r="I1834" i="22" s="1"/>
  <c r="G1834" i="22"/>
  <c r="H1833" i="22"/>
  <c r="I1833" i="22" s="1"/>
  <c r="G1833" i="22"/>
  <c r="H1832" i="22"/>
  <c r="I1832" i="22" s="1"/>
  <c r="G1832" i="22"/>
  <c r="H1831" i="22"/>
  <c r="I1831" i="22" s="1"/>
  <c r="G1831" i="22"/>
  <c r="H1830" i="22"/>
  <c r="I1830" i="22" s="1"/>
  <c r="G1830" i="22"/>
  <c r="H1829" i="22"/>
  <c r="I1829" i="22" s="1"/>
  <c r="G1829" i="22"/>
  <c r="H1828" i="22"/>
  <c r="I1828" i="22" s="1"/>
  <c r="G1828" i="22"/>
  <c r="H1827" i="22"/>
  <c r="I1827" i="22" s="1"/>
  <c r="G1827" i="22"/>
  <c r="H1826" i="22"/>
  <c r="I1826" i="22" s="1"/>
  <c r="G1826" i="22"/>
  <c r="H1825" i="22"/>
  <c r="I1825" i="22" s="1"/>
  <c r="G1825" i="22"/>
  <c r="H1824" i="22"/>
  <c r="I1824" i="22" s="1"/>
  <c r="G1824" i="22"/>
  <c r="H1823" i="22"/>
  <c r="I1823" i="22" s="1"/>
  <c r="G1823" i="22"/>
  <c r="H1822" i="22"/>
  <c r="I1822" i="22" s="1"/>
  <c r="G1822" i="22"/>
  <c r="H1821" i="22"/>
  <c r="I1821" i="22" s="1"/>
  <c r="G1821" i="22"/>
  <c r="H1820" i="22"/>
  <c r="I1820" i="22" s="1"/>
  <c r="G1820" i="22"/>
  <c r="H1819" i="22"/>
  <c r="I1819" i="22" s="1"/>
  <c r="G1819" i="22"/>
  <c r="H1818" i="22"/>
  <c r="I1818" i="22" s="1"/>
  <c r="G1818" i="22"/>
  <c r="H1817" i="22"/>
  <c r="I1817" i="22" s="1"/>
  <c r="G1817" i="22"/>
  <c r="H1816" i="22"/>
  <c r="I1816" i="22" s="1"/>
  <c r="G1816" i="22"/>
  <c r="H1815" i="22"/>
  <c r="I1815" i="22" s="1"/>
  <c r="G1815" i="22"/>
  <c r="H1814" i="22"/>
  <c r="I1814" i="22" s="1"/>
  <c r="G1814" i="22"/>
  <c r="H1813" i="22"/>
  <c r="I1813" i="22" s="1"/>
  <c r="G1813" i="22"/>
  <c r="H1812" i="22"/>
  <c r="I1812" i="22" s="1"/>
  <c r="G1812" i="22"/>
  <c r="H1811" i="22"/>
  <c r="I1811" i="22" s="1"/>
  <c r="G1811" i="22"/>
  <c r="H1810" i="22"/>
  <c r="I1810" i="22" s="1"/>
  <c r="G1810" i="22"/>
  <c r="H1809" i="22"/>
  <c r="I1809" i="22" s="1"/>
  <c r="G1809" i="22"/>
  <c r="H1808" i="22"/>
  <c r="I1808" i="22" s="1"/>
  <c r="G1808" i="22"/>
  <c r="H1807" i="22"/>
  <c r="I1807" i="22" s="1"/>
  <c r="G1807" i="22"/>
  <c r="H1806" i="22"/>
  <c r="I1806" i="22" s="1"/>
  <c r="G1806" i="22"/>
  <c r="H1805" i="22"/>
  <c r="I1805" i="22" s="1"/>
  <c r="G1805" i="22"/>
  <c r="H1804" i="22"/>
  <c r="I1804" i="22" s="1"/>
  <c r="G1804" i="22"/>
  <c r="H1803" i="22"/>
  <c r="I1803" i="22" s="1"/>
  <c r="G1803" i="22"/>
  <c r="H1802" i="22"/>
  <c r="I1802" i="22" s="1"/>
  <c r="G1802" i="22"/>
  <c r="H1801" i="22"/>
  <c r="I1801" i="22" s="1"/>
  <c r="G1801" i="22"/>
  <c r="H1800" i="22"/>
  <c r="I1800" i="22" s="1"/>
  <c r="G1800" i="22"/>
  <c r="H1799" i="22"/>
  <c r="I1799" i="22" s="1"/>
  <c r="G1799" i="22"/>
  <c r="H1798" i="22"/>
  <c r="I1798" i="22" s="1"/>
  <c r="G1798" i="22"/>
  <c r="H1797" i="22"/>
  <c r="I1797" i="22" s="1"/>
  <c r="G1797" i="22"/>
  <c r="H1796" i="22"/>
  <c r="I1796" i="22" s="1"/>
  <c r="G1796" i="22"/>
  <c r="H1795" i="22"/>
  <c r="I1795" i="22" s="1"/>
  <c r="G1795" i="22"/>
  <c r="H1794" i="22"/>
  <c r="I1794" i="22" s="1"/>
  <c r="G1794" i="22"/>
  <c r="H1793" i="22"/>
  <c r="I1793" i="22" s="1"/>
  <c r="G1793" i="22"/>
  <c r="H1792" i="22"/>
  <c r="I1792" i="22" s="1"/>
  <c r="G1792" i="22"/>
  <c r="H1791" i="22"/>
  <c r="I1791" i="22" s="1"/>
  <c r="G1791" i="22"/>
  <c r="H1790" i="22"/>
  <c r="I1790" i="22" s="1"/>
  <c r="G1790" i="22"/>
  <c r="H1789" i="22"/>
  <c r="I1789" i="22" s="1"/>
  <c r="G1789" i="22"/>
  <c r="H1788" i="22"/>
  <c r="I1788" i="22" s="1"/>
  <c r="G1788" i="22"/>
  <c r="H1787" i="22"/>
  <c r="I1787" i="22" s="1"/>
  <c r="G1787" i="22"/>
  <c r="H1786" i="22"/>
  <c r="I1786" i="22" s="1"/>
  <c r="G1786" i="22"/>
  <c r="H1785" i="22"/>
  <c r="I1785" i="22" s="1"/>
  <c r="G1785" i="22"/>
  <c r="H1784" i="22"/>
  <c r="I1784" i="22" s="1"/>
  <c r="G1784" i="22"/>
  <c r="H1783" i="22"/>
  <c r="I1783" i="22" s="1"/>
  <c r="G1783" i="22"/>
  <c r="H1782" i="22"/>
  <c r="I1782" i="22" s="1"/>
  <c r="G1782" i="22"/>
  <c r="H1781" i="22"/>
  <c r="I1781" i="22" s="1"/>
  <c r="G1781" i="22"/>
  <c r="H1780" i="22"/>
  <c r="I1780" i="22" s="1"/>
  <c r="G1780" i="22"/>
  <c r="H1779" i="22"/>
  <c r="I1779" i="22" s="1"/>
  <c r="G1779" i="22"/>
  <c r="H1778" i="22"/>
  <c r="I1778" i="22" s="1"/>
  <c r="G1778" i="22"/>
  <c r="H1777" i="22"/>
  <c r="I1777" i="22" s="1"/>
  <c r="G1777" i="22"/>
  <c r="H1776" i="22"/>
  <c r="I1776" i="22" s="1"/>
  <c r="G1776" i="22"/>
  <c r="H1775" i="22"/>
  <c r="I1775" i="22" s="1"/>
  <c r="G1775" i="22"/>
  <c r="H1774" i="22"/>
  <c r="I1774" i="22" s="1"/>
  <c r="G1774" i="22"/>
  <c r="H1773" i="22"/>
  <c r="I1773" i="22" s="1"/>
  <c r="G1773" i="22"/>
  <c r="H1772" i="22"/>
  <c r="I1772" i="22" s="1"/>
  <c r="G1772" i="22"/>
  <c r="H1771" i="22"/>
  <c r="I1771" i="22" s="1"/>
  <c r="G1771" i="22"/>
  <c r="H1770" i="22"/>
  <c r="I1770" i="22" s="1"/>
  <c r="G1770" i="22"/>
  <c r="H1769" i="22"/>
  <c r="I1769" i="22" s="1"/>
  <c r="G1769" i="22"/>
  <c r="H1768" i="22"/>
  <c r="I1768" i="22" s="1"/>
  <c r="G1768" i="22"/>
  <c r="H1767" i="22"/>
  <c r="I1767" i="22" s="1"/>
  <c r="G1767" i="22"/>
  <c r="H1766" i="22"/>
  <c r="I1766" i="22" s="1"/>
  <c r="G1766" i="22"/>
  <c r="H1765" i="22"/>
  <c r="I1765" i="22" s="1"/>
  <c r="G1765" i="22"/>
  <c r="H1764" i="22"/>
  <c r="I1764" i="22" s="1"/>
  <c r="G1764" i="22"/>
  <c r="H1763" i="22"/>
  <c r="I1763" i="22" s="1"/>
  <c r="G1763" i="22"/>
  <c r="H1762" i="22"/>
  <c r="I1762" i="22" s="1"/>
  <c r="G1762" i="22"/>
  <c r="H1761" i="22"/>
  <c r="I1761" i="22" s="1"/>
  <c r="G1761" i="22"/>
  <c r="H1760" i="22"/>
  <c r="I1760" i="22" s="1"/>
  <c r="G1760" i="22"/>
  <c r="H1759" i="22"/>
  <c r="I1759" i="22" s="1"/>
  <c r="G1759" i="22"/>
  <c r="H1758" i="22"/>
  <c r="I1758" i="22" s="1"/>
  <c r="G1758" i="22"/>
  <c r="H1757" i="22"/>
  <c r="I1757" i="22" s="1"/>
  <c r="G1757" i="22"/>
  <c r="H1756" i="22"/>
  <c r="I1756" i="22" s="1"/>
  <c r="G1756" i="22"/>
  <c r="H1755" i="22"/>
  <c r="I1755" i="22" s="1"/>
  <c r="G1755" i="22"/>
  <c r="H1754" i="22"/>
  <c r="I1754" i="22" s="1"/>
  <c r="G1754" i="22"/>
  <c r="H1753" i="22"/>
  <c r="I1753" i="22" s="1"/>
  <c r="G1753" i="22"/>
  <c r="H1752" i="22"/>
  <c r="I1752" i="22" s="1"/>
  <c r="G1752" i="22"/>
  <c r="H1751" i="22"/>
  <c r="I1751" i="22" s="1"/>
  <c r="G1751" i="22"/>
  <c r="H1750" i="22"/>
  <c r="I1750" i="22" s="1"/>
  <c r="G1750" i="22"/>
  <c r="H1749" i="22"/>
  <c r="I1749" i="22" s="1"/>
  <c r="G1749" i="22"/>
  <c r="H1748" i="22"/>
  <c r="I1748" i="22" s="1"/>
  <c r="G1748" i="22"/>
  <c r="H1747" i="22"/>
  <c r="I1747" i="22" s="1"/>
  <c r="G1747" i="22"/>
  <c r="H1746" i="22"/>
  <c r="I1746" i="22" s="1"/>
  <c r="G1746" i="22"/>
  <c r="H1745" i="22"/>
  <c r="I1745" i="22" s="1"/>
  <c r="G1745" i="22"/>
  <c r="H1744" i="22"/>
  <c r="I1744" i="22" s="1"/>
  <c r="G1744" i="22"/>
  <c r="H1743" i="22"/>
  <c r="I1743" i="22" s="1"/>
  <c r="G1743" i="22"/>
  <c r="H1742" i="22"/>
  <c r="I1742" i="22" s="1"/>
  <c r="G1742" i="22"/>
  <c r="H1741" i="22"/>
  <c r="I1741" i="22" s="1"/>
  <c r="G1741" i="22"/>
  <c r="H1740" i="22"/>
  <c r="I1740" i="22" s="1"/>
  <c r="G1740" i="22"/>
  <c r="H1739" i="22"/>
  <c r="I1739" i="22" s="1"/>
  <c r="G1739" i="22"/>
  <c r="H1738" i="22"/>
  <c r="I1738" i="22" s="1"/>
  <c r="G1738" i="22"/>
  <c r="H1737" i="22"/>
  <c r="I1737" i="22" s="1"/>
  <c r="G1737" i="22"/>
  <c r="H1736" i="22"/>
  <c r="I1736" i="22" s="1"/>
  <c r="G1736" i="22"/>
  <c r="H1735" i="22"/>
  <c r="I1735" i="22" s="1"/>
  <c r="G1735" i="22"/>
  <c r="H1734" i="22"/>
  <c r="I1734" i="22" s="1"/>
  <c r="G1734" i="22"/>
  <c r="H1733" i="22"/>
  <c r="I1733" i="22" s="1"/>
  <c r="G1733" i="22"/>
  <c r="H1732" i="22"/>
  <c r="I1732" i="22" s="1"/>
  <c r="G1732" i="22"/>
  <c r="H1731" i="22"/>
  <c r="I1731" i="22" s="1"/>
  <c r="G1731" i="22"/>
  <c r="H1730" i="22"/>
  <c r="I1730" i="22" s="1"/>
  <c r="G1730" i="22"/>
  <c r="H1729" i="22"/>
  <c r="I1729" i="22" s="1"/>
  <c r="G1729" i="22"/>
  <c r="H1728" i="22"/>
  <c r="I1728" i="22" s="1"/>
  <c r="G1728" i="22"/>
  <c r="H1727" i="22"/>
  <c r="I1727" i="22" s="1"/>
  <c r="G1727" i="22"/>
  <c r="H1726" i="22"/>
  <c r="I1726" i="22" s="1"/>
  <c r="G1726" i="22"/>
  <c r="H1725" i="22"/>
  <c r="I1725" i="22" s="1"/>
  <c r="G1725" i="22"/>
  <c r="H1724" i="22"/>
  <c r="I1724" i="22" s="1"/>
  <c r="G1724" i="22"/>
  <c r="H1723" i="22"/>
  <c r="I1723" i="22" s="1"/>
  <c r="G1723" i="22"/>
  <c r="H1722" i="22"/>
  <c r="I1722" i="22" s="1"/>
  <c r="G1722" i="22"/>
  <c r="H1721" i="22"/>
  <c r="I1721" i="22" s="1"/>
  <c r="G1721" i="22"/>
  <c r="H1720" i="22"/>
  <c r="I1720" i="22" s="1"/>
  <c r="G1720" i="22"/>
  <c r="H1719" i="22"/>
  <c r="I1719" i="22" s="1"/>
  <c r="G1719" i="22"/>
  <c r="H1718" i="22"/>
  <c r="I1718" i="22" s="1"/>
  <c r="G1718" i="22"/>
  <c r="H1717" i="22"/>
  <c r="I1717" i="22" s="1"/>
  <c r="G1717" i="22"/>
  <c r="H1716" i="22"/>
  <c r="I1716" i="22" s="1"/>
  <c r="G1716" i="22"/>
  <c r="H1715" i="22"/>
  <c r="I1715" i="22" s="1"/>
  <c r="G1715" i="22"/>
  <c r="H1714" i="22"/>
  <c r="I1714" i="22" s="1"/>
  <c r="G1714" i="22"/>
  <c r="H1713" i="22"/>
  <c r="I1713" i="22" s="1"/>
  <c r="G1713" i="22"/>
  <c r="H1712" i="22"/>
  <c r="I1712" i="22" s="1"/>
  <c r="G1712" i="22"/>
  <c r="H1711" i="22"/>
  <c r="I1711" i="22" s="1"/>
  <c r="G1711" i="22"/>
  <c r="H1710" i="22"/>
  <c r="I1710" i="22" s="1"/>
  <c r="G1710" i="22"/>
  <c r="H1709" i="22"/>
  <c r="I1709" i="22" s="1"/>
  <c r="G1709" i="22"/>
  <c r="H1708" i="22"/>
  <c r="I1708" i="22" s="1"/>
  <c r="G1708" i="22"/>
  <c r="H1707" i="22"/>
  <c r="I1707" i="22" s="1"/>
  <c r="G1707" i="22"/>
  <c r="H1706" i="22"/>
  <c r="I1706" i="22" s="1"/>
  <c r="G1706" i="22"/>
  <c r="H1705" i="22"/>
  <c r="I1705" i="22" s="1"/>
  <c r="G1705" i="22"/>
  <c r="H1704" i="22"/>
  <c r="I1704" i="22" s="1"/>
  <c r="G1704" i="22"/>
  <c r="H1703" i="22"/>
  <c r="I1703" i="22" s="1"/>
  <c r="G1703" i="22"/>
  <c r="H1702" i="22"/>
  <c r="I1702" i="22" s="1"/>
  <c r="G1702" i="22"/>
  <c r="H1701" i="22"/>
  <c r="I1701" i="22" s="1"/>
  <c r="G1701" i="22"/>
  <c r="H1700" i="22"/>
  <c r="I1700" i="22" s="1"/>
  <c r="G1700" i="22"/>
  <c r="H1699" i="22"/>
  <c r="I1699" i="22" s="1"/>
  <c r="G1699" i="22"/>
  <c r="H1698" i="22"/>
  <c r="I1698" i="22" s="1"/>
  <c r="G1698" i="22"/>
  <c r="H1697" i="22"/>
  <c r="I1697" i="22" s="1"/>
  <c r="G1697" i="22"/>
  <c r="H1696" i="22"/>
  <c r="I1696" i="22" s="1"/>
  <c r="G1696" i="22"/>
  <c r="H1695" i="22"/>
  <c r="I1695" i="22" s="1"/>
  <c r="G1695" i="22"/>
  <c r="H1694" i="22"/>
  <c r="I1694" i="22" s="1"/>
  <c r="G1694" i="22"/>
  <c r="H1693" i="22"/>
  <c r="I1693" i="22" s="1"/>
  <c r="G1693" i="22"/>
  <c r="H1692" i="22"/>
  <c r="I1692" i="22" s="1"/>
  <c r="G1692" i="22"/>
  <c r="H1691" i="22"/>
  <c r="I1691" i="22" s="1"/>
  <c r="G1691" i="22"/>
  <c r="H1690" i="22"/>
  <c r="I1690" i="22" s="1"/>
  <c r="G1690" i="22"/>
  <c r="H1689" i="22"/>
  <c r="I1689" i="22" s="1"/>
  <c r="G1689" i="22"/>
  <c r="H1688" i="22"/>
  <c r="I1688" i="22" s="1"/>
  <c r="G1688" i="22"/>
  <c r="H1687" i="22"/>
  <c r="I1687" i="22" s="1"/>
  <c r="G1687" i="22"/>
  <c r="H1686" i="22"/>
  <c r="I1686" i="22" s="1"/>
  <c r="G1686" i="22"/>
  <c r="H1685" i="22"/>
  <c r="I1685" i="22" s="1"/>
  <c r="G1685" i="22"/>
  <c r="H1684" i="22"/>
  <c r="I1684" i="22" s="1"/>
  <c r="G1684" i="22"/>
  <c r="H1683" i="22"/>
  <c r="I1683" i="22" s="1"/>
  <c r="G1683" i="22"/>
  <c r="H1682" i="22"/>
  <c r="I1682" i="22" s="1"/>
  <c r="G1682" i="22"/>
  <c r="H1681" i="22"/>
  <c r="I1681" i="22" s="1"/>
  <c r="G1681" i="22"/>
  <c r="H1680" i="22"/>
  <c r="I1680" i="22" s="1"/>
  <c r="G1680" i="22"/>
  <c r="H1679" i="22"/>
  <c r="I1679" i="22" s="1"/>
  <c r="G1679" i="22"/>
  <c r="H1678" i="22"/>
  <c r="I1678" i="22" s="1"/>
  <c r="G1678" i="22"/>
  <c r="G1677" i="22"/>
  <c r="G1676" i="22"/>
  <c r="H1675" i="22"/>
  <c r="I1675" i="22" s="1"/>
  <c r="G1675" i="22"/>
  <c r="H1674" i="22"/>
  <c r="I1674" i="22" s="1"/>
  <c r="G1674" i="22"/>
  <c r="H1673" i="22"/>
  <c r="I1673" i="22" s="1"/>
  <c r="G1673" i="22"/>
  <c r="H1672" i="22"/>
  <c r="I1672" i="22" s="1"/>
  <c r="G1672" i="22"/>
  <c r="H1671" i="22"/>
  <c r="I1671" i="22" s="1"/>
  <c r="G1671" i="22"/>
  <c r="H1670" i="22"/>
  <c r="I1670" i="22" s="1"/>
  <c r="G1670" i="22"/>
  <c r="H1669" i="22"/>
  <c r="I1669" i="22" s="1"/>
  <c r="G1669" i="22"/>
  <c r="H1668" i="22"/>
  <c r="I1668" i="22" s="1"/>
  <c r="G1668" i="22"/>
  <c r="H1667" i="22"/>
  <c r="I1667" i="22" s="1"/>
  <c r="G1667" i="22"/>
  <c r="H1666" i="22"/>
  <c r="I1666" i="22" s="1"/>
  <c r="G1666" i="22"/>
  <c r="H1665" i="22"/>
  <c r="I1665" i="22" s="1"/>
  <c r="G1665" i="22"/>
  <c r="H1664" i="22"/>
  <c r="I1664" i="22" s="1"/>
  <c r="G1664" i="22"/>
  <c r="H1663" i="22"/>
  <c r="I1663" i="22" s="1"/>
  <c r="G1663" i="22"/>
  <c r="H1662" i="22"/>
  <c r="I1662" i="22" s="1"/>
  <c r="G1662" i="22"/>
  <c r="H1661" i="22"/>
  <c r="I1661" i="22" s="1"/>
  <c r="G1661" i="22"/>
  <c r="H1660" i="22"/>
  <c r="I1660" i="22" s="1"/>
  <c r="G1660" i="22"/>
  <c r="H1659" i="22"/>
  <c r="I1659" i="22" s="1"/>
  <c r="G1659" i="22"/>
  <c r="H1658" i="22"/>
  <c r="I1658" i="22" s="1"/>
  <c r="G1658" i="22"/>
  <c r="H1657" i="22"/>
  <c r="I1657" i="22" s="1"/>
  <c r="G1657" i="22"/>
  <c r="H1656" i="22"/>
  <c r="I1656" i="22" s="1"/>
  <c r="G1656" i="22"/>
  <c r="H1655" i="22"/>
  <c r="I1655" i="22" s="1"/>
  <c r="G1655" i="22"/>
  <c r="H1654" i="22"/>
  <c r="I1654" i="22" s="1"/>
  <c r="G1654" i="22"/>
  <c r="H1653" i="22"/>
  <c r="I1653" i="22" s="1"/>
  <c r="G1653" i="22"/>
  <c r="H1652" i="22"/>
  <c r="I1652" i="22" s="1"/>
  <c r="G1652" i="22"/>
  <c r="H1651" i="22"/>
  <c r="I1651" i="22" s="1"/>
  <c r="G1651" i="22"/>
  <c r="H1650" i="22"/>
  <c r="I1650" i="22" s="1"/>
  <c r="G1650" i="22"/>
  <c r="H1649" i="22"/>
  <c r="I1649" i="22" s="1"/>
  <c r="G1649" i="22"/>
  <c r="H1648" i="22"/>
  <c r="I1648" i="22" s="1"/>
  <c r="G1648" i="22"/>
  <c r="H1647" i="22"/>
  <c r="I1647" i="22" s="1"/>
  <c r="G1647" i="22"/>
  <c r="H1646" i="22"/>
  <c r="I1646" i="22" s="1"/>
  <c r="G1646" i="22"/>
  <c r="H1645" i="22"/>
  <c r="I1645" i="22" s="1"/>
  <c r="G1645" i="22"/>
  <c r="H1644" i="22"/>
  <c r="I1644" i="22" s="1"/>
  <c r="G1644" i="22"/>
  <c r="H1643" i="22"/>
  <c r="I1643" i="22" s="1"/>
  <c r="G1643" i="22"/>
  <c r="H1642" i="22"/>
  <c r="I1642" i="22" s="1"/>
  <c r="G1642" i="22"/>
  <c r="H1641" i="22"/>
  <c r="I1641" i="22" s="1"/>
  <c r="G1641" i="22"/>
  <c r="H1640" i="22"/>
  <c r="I1640" i="22" s="1"/>
  <c r="G1640" i="22"/>
  <c r="H1639" i="22"/>
  <c r="I1639" i="22" s="1"/>
  <c r="G1639" i="22"/>
  <c r="H1638" i="22"/>
  <c r="I1638" i="22" s="1"/>
  <c r="G1638" i="22"/>
  <c r="H1637" i="22"/>
  <c r="I1637" i="22" s="1"/>
  <c r="G1637" i="22"/>
  <c r="H1636" i="22"/>
  <c r="I1636" i="22" s="1"/>
  <c r="G1636" i="22"/>
  <c r="H1635" i="22"/>
  <c r="I1635" i="22" s="1"/>
  <c r="G1635" i="22"/>
  <c r="H1634" i="22"/>
  <c r="I1634" i="22" s="1"/>
  <c r="G1634" i="22"/>
  <c r="H1633" i="22"/>
  <c r="I1633" i="22" s="1"/>
  <c r="G1633" i="22"/>
  <c r="H1632" i="22"/>
  <c r="I1632" i="22" s="1"/>
  <c r="G1632" i="22"/>
  <c r="H1631" i="22"/>
  <c r="I1631" i="22" s="1"/>
  <c r="G1631" i="22"/>
  <c r="H1630" i="22"/>
  <c r="I1630" i="22" s="1"/>
  <c r="G1630" i="22"/>
  <c r="H1629" i="22"/>
  <c r="I1629" i="22" s="1"/>
  <c r="G1629" i="22"/>
  <c r="H1628" i="22"/>
  <c r="I1628" i="22" s="1"/>
  <c r="G1628" i="22"/>
  <c r="H1627" i="22"/>
  <c r="I1627" i="22" s="1"/>
  <c r="G1627" i="22"/>
  <c r="H1626" i="22"/>
  <c r="I1626" i="22" s="1"/>
  <c r="G1626" i="22"/>
  <c r="H1625" i="22"/>
  <c r="I1625" i="22" s="1"/>
  <c r="G1625" i="22"/>
  <c r="H1624" i="22"/>
  <c r="I1624" i="22" s="1"/>
  <c r="G1624" i="22"/>
  <c r="H1623" i="22"/>
  <c r="I1623" i="22" s="1"/>
  <c r="G1623" i="22"/>
  <c r="H1622" i="22"/>
  <c r="I1622" i="22" s="1"/>
  <c r="G1622" i="22"/>
  <c r="H1621" i="22"/>
  <c r="I1621" i="22" s="1"/>
  <c r="G1621" i="22"/>
  <c r="H1620" i="22"/>
  <c r="I1620" i="22" s="1"/>
  <c r="G1620" i="22"/>
  <c r="H1619" i="22"/>
  <c r="I1619" i="22" s="1"/>
  <c r="G1619" i="22"/>
  <c r="H1618" i="22"/>
  <c r="I1618" i="22" s="1"/>
  <c r="G1618" i="22"/>
  <c r="H1617" i="22"/>
  <c r="I1617" i="22" s="1"/>
  <c r="G1617" i="22"/>
  <c r="H1616" i="22"/>
  <c r="I1616" i="22" s="1"/>
  <c r="G1616" i="22"/>
  <c r="H1615" i="22"/>
  <c r="I1615" i="22" s="1"/>
  <c r="G1615" i="22"/>
  <c r="H1614" i="22"/>
  <c r="I1614" i="22" s="1"/>
  <c r="G1614" i="22"/>
  <c r="H1613" i="22"/>
  <c r="I1613" i="22" s="1"/>
  <c r="G1613" i="22"/>
  <c r="H1612" i="22"/>
  <c r="I1612" i="22" s="1"/>
  <c r="G1612" i="22"/>
  <c r="H1611" i="22"/>
  <c r="I1611" i="22" s="1"/>
  <c r="G1611" i="22"/>
  <c r="H1610" i="22"/>
  <c r="I1610" i="22" s="1"/>
  <c r="G1610" i="22"/>
  <c r="H1609" i="22"/>
  <c r="I1609" i="22" s="1"/>
  <c r="G1609" i="22"/>
  <c r="H1608" i="22"/>
  <c r="I1608" i="22" s="1"/>
  <c r="G1608" i="22"/>
  <c r="H1607" i="22"/>
  <c r="I1607" i="22" s="1"/>
  <c r="G1607" i="22"/>
  <c r="H1606" i="22"/>
  <c r="I1606" i="22" s="1"/>
  <c r="G1606" i="22"/>
  <c r="H1605" i="22"/>
  <c r="I1605" i="22" s="1"/>
  <c r="G1605" i="22"/>
  <c r="H1604" i="22"/>
  <c r="I1604" i="22" s="1"/>
  <c r="G1604" i="22"/>
  <c r="H1603" i="22"/>
  <c r="I1603" i="22" s="1"/>
  <c r="G1603" i="22"/>
  <c r="H1602" i="22"/>
  <c r="I1602" i="22" s="1"/>
  <c r="G1602" i="22"/>
  <c r="H1601" i="22"/>
  <c r="I1601" i="22" s="1"/>
  <c r="G1601" i="22"/>
  <c r="H1600" i="22"/>
  <c r="I1600" i="22" s="1"/>
  <c r="G1600" i="22"/>
  <c r="H1599" i="22"/>
  <c r="I1599" i="22" s="1"/>
  <c r="G1599" i="22"/>
  <c r="H1598" i="22"/>
  <c r="I1598" i="22" s="1"/>
  <c r="G1598" i="22"/>
  <c r="H1597" i="22"/>
  <c r="I1597" i="22" s="1"/>
  <c r="G1597" i="22"/>
  <c r="H1596" i="22"/>
  <c r="I1596" i="22" s="1"/>
  <c r="G1596" i="22"/>
  <c r="H1595" i="22"/>
  <c r="I1595" i="22" s="1"/>
  <c r="G1595" i="22"/>
  <c r="H1594" i="22"/>
  <c r="I1594" i="22" s="1"/>
  <c r="G1594" i="22"/>
  <c r="H1593" i="22"/>
  <c r="I1593" i="22" s="1"/>
  <c r="G1593" i="22"/>
  <c r="H1592" i="22"/>
  <c r="I1592" i="22" s="1"/>
  <c r="G1592" i="22"/>
  <c r="H1591" i="22"/>
  <c r="I1591" i="22" s="1"/>
  <c r="G1591" i="22"/>
  <c r="H1590" i="22"/>
  <c r="I1590" i="22" s="1"/>
  <c r="G1590" i="22"/>
  <c r="H1589" i="22"/>
  <c r="I1589" i="22" s="1"/>
  <c r="G1589" i="22"/>
  <c r="H1588" i="22"/>
  <c r="I1588" i="22" s="1"/>
  <c r="G1588" i="22"/>
  <c r="H1587" i="22"/>
  <c r="I1587" i="22" s="1"/>
  <c r="G1587" i="22"/>
  <c r="H1586" i="22"/>
  <c r="I1586" i="22" s="1"/>
  <c r="G1586" i="22"/>
  <c r="H1585" i="22"/>
  <c r="I1585" i="22" s="1"/>
  <c r="G1585" i="22"/>
  <c r="H1584" i="22"/>
  <c r="I1584" i="22" s="1"/>
  <c r="G1584" i="22"/>
  <c r="H1583" i="22"/>
  <c r="I1583" i="22" s="1"/>
  <c r="G1583" i="22"/>
  <c r="H1582" i="22"/>
  <c r="I1582" i="22" s="1"/>
  <c r="G1582" i="22"/>
  <c r="H1581" i="22"/>
  <c r="I1581" i="22" s="1"/>
  <c r="G1581" i="22"/>
  <c r="H1580" i="22"/>
  <c r="I1580" i="22" s="1"/>
  <c r="G1580" i="22"/>
  <c r="H1579" i="22"/>
  <c r="I1579" i="22" s="1"/>
  <c r="G1579" i="22"/>
  <c r="H1578" i="22"/>
  <c r="I1578" i="22" s="1"/>
  <c r="G1578" i="22"/>
  <c r="H1577" i="22"/>
  <c r="I1577" i="22" s="1"/>
  <c r="G1577" i="22"/>
  <c r="H1576" i="22"/>
  <c r="I1576" i="22" s="1"/>
  <c r="G1576" i="22"/>
  <c r="H1575" i="22"/>
  <c r="I1575" i="22" s="1"/>
  <c r="G1575" i="22"/>
  <c r="H1574" i="22"/>
  <c r="I1574" i="22" s="1"/>
  <c r="G1574" i="22"/>
  <c r="H1573" i="22"/>
  <c r="I1573" i="22" s="1"/>
  <c r="G1573" i="22"/>
  <c r="H1572" i="22"/>
  <c r="I1572" i="22" s="1"/>
  <c r="G1572" i="22"/>
  <c r="H1571" i="22"/>
  <c r="I1571" i="22" s="1"/>
  <c r="G1571" i="22"/>
  <c r="H1570" i="22"/>
  <c r="I1570" i="22" s="1"/>
  <c r="G1570" i="22"/>
  <c r="H1569" i="22"/>
  <c r="I1569" i="22" s="1"/>
  <c r="G1569" i="22"/>
  <c r="H1568" i="22"/>
  <c r="I1568" i="22" s="1"/>
  <c r="G1568" i="22"/>
  <c r="H1567" i="22"/>
  <c r="I1567" i="22" s="1"/>
  <c r="G1567" i="22"/>
  <c r="H1566" i="22"/>
  <c r="I1566" i="22" s="1"/>
  <c r="G1566" i="22"/>
  <c r="H1565" i="22"/>
  <c r="I1565" i="22" s="1"/>
  <c r="G1565" i="22"/>
  <c r="H1564" i="22"/>
  <c r="I1564" i="22" s="1"/>
  <c r="G1564" i="22"/>
  <c r="H1563" i="22"/>
  <c r="I1563" i="22" s="1"/>
  <c r="G1563" i="22"/>
  <c r="H1562" i="22"/>
  <c r="I1562" i="22" s="1"/>
  <c r="G1562" i="22"/>
  <c r="H1561" i="22"/>
  <c r="I1561" i="22" s="1"/>
  <c r="G1561" i="22"/>
  <c r="H1560" i="22"/>
  <c r="I1560" i="22" s="1"/>
  <c r="G1560" i="22"/>
  <c r="H1559" i="22"/>
  <c r="I1559" i="22" s="1"/>
  <c r="G1559" i="22"/>
  <c r="H1558" i="22"/>
  <c r="I1558" i="22" s="1"/>
  <c r="G1558" i="22"/>
  <c r="H1557" i="22"/>
  <c r="I1557" i="22" s="1"/>
  <c r="G1557" i="22"/>
  <c r="H1556" i="22"/>
  <c r="I1556" i="22" s="1"/>
  <c r="G1556" i="22"/>
  <c r="H1555" i="22"/>
  <c r="I1555" i="22" s="1"/>
  <c r="G1555" i="22"/>
  <c r="H1554" i="22"/>
  <c r="I1554" i="22" s="1"/>
  <c r="G1554" i="22"/>
  <c r="H1553" i="22"/>
  <c r="I1553" i="22" s="1"/>
  <c r="G1553" i="22"/>
  <c r="H1552" i="22"/>
  <c r="I1552" i="22" s="1"/>
  <c r="G1552" i="22"/>
  <c r="H1551" i="22"/>
  <c r="I1551" i="22" s="1"/>
  <c r="G1551" i="22"/>
  <c r="H1550" i="22"/>
  <c r="I1550" i="22" s="1"/>
  <c r="G1550" i="22"/>
  <c r="H1549" i="22"/>
  <c r="I1549" i="22" s="1"/>
  <c r="G1549" i="22"/>
  <c r="H1548" i="22"/>
  <c r="I1548" i="22" s="1"/>
  <c r="G1548" i="22"/>
  <c r="H1547" i="22"/>
  <c r="I1547" i="22" s="1"/>
  <c r="G1547" i="22"/>
  <c r="H1546" i="22"/>
  <c r="I1546" i="22" s="1"/>
  <c r="G1546" i="22"/>
  <c r="H1545" i="22"/>
  <c r="I1545" i="22" s="1"/>
  <c r="G1545" i="22"/>
  <c r="H1544" i="22"/>
  <c r="I1544" i="22" s="1"/>
  <c r="G1544" i="22"/>
  <c r="H1543" i="22"/>
  <c r="I1543" i="22" s="1"/>
  <c r="G1543" i="22"/>
  <c r="H1542" i="22"/>
  <c r="I1542" i="22" s="1"/>
  <c r="G1542" i="22"/>
  <c r="H1541" i="22"/>
  <c r="I1541" i="22" s="1"/>
  <c r="G1541" i="22"/>
  <c r="H1540" i="22"/>
  <c r="I1540" i="22" s="1"/>
  <c r="G1540" i="22"/>
  <c r="H1539" i="22"/>
  <c r="I1539" i="22" s="1"/>
  <c r="G1539" i="22"/>
  <c r="H1538" i="22"/>
  <c r="I1538" i="22" s="1"/>
  <c r="G1538" i="22"/>
  <c r="H1537" i="22"/>
  <c r="I1537" i="22" s="1"/>
  <c r="G1537" i="22"/>
  <c r="H1536" i="22"/>
  <c r="I1536" i="22" s="1"/>
  <c r="G1536" i="22"/>
  <c r="H1535" i="22"/>
  <c r="I1535" i="22" s="1"/>
  <c r="G1535" i="22"/>
  <c r="H1534" i="22"/>
  <c r="I1534" i="22" s="1"/>
  <c r="G1534" i="22"/>
  <c r="H1533" i="22"/>
  <c r="I1533" i="22" s="1"/>
  <c r="G1533" i="22"/>
  <c r="H1532" i="22"/>
  <c r="I1532" i="22" s="1"/>
  <c r="G1532" i="22"/>
  <c r="H1531" i="22"/>
  <c r="I1531" i="22" s="1"/>
  <c r="G1531" i="22"/>
  <c r="H1530" i="22"/>
  <c r="I1530" i="22" s="1"/>
  <c r="G1530" i="22"/>
  <c r="H1529" i="22"/>
  <c r="I1529" i="22" s="1"/>
  <c r="G1529" i="22"/>
  <c r="H1528" i="22"/>
  <c r="I1528" i="22" s="1"/>
  <c r="G1528" i="22"/>
  <c r="H1527" i="22"/>
  <c r="I1527" i="22" s="1"/>
  <c r="G1527" i="22"/>
  <c r="H1526" i="22"/>
  <c r="I1526" i="22" s="1"/>
  <c r="G1526" i="22"/>
  <c r="H1525" i="22"/>
  <c r="I1525" i="22" s="1"/>
  <c r="G1525" i="22"/>
  <c r="H1524" i="22"/>
  <c r="I1524" i="22" s="1"/>
  <c r="G1524" i="22"/>
  <c r="H1523" i="22"/>
  <c r="I1523" i="22" s="1"/>
  <c r="G1523" i="22"/>
  <c r="H1522" i="22"/>
  <c r="I1522" i="22" s="1"/>
  <c r="G1522" i="22"/>
  <c r="H1521" i="22"/>
  <c r="I1521" i="22" s="1"/>
  <c r="G1521" i="22"/>
  <c r="H1520" i="22"/>
  <c r="I1520" i="22" s="1"/>
  <c r="G1520" i="22"/>
  <c r="H1519" i="22"/>
  <c r="I1519" i="22" s="1"/>
  <c r="G1519" i="22"/>
  <c r="H1518" i="22"/>
  <c r="I1518" i="22" s="1"/>
  <c r="G1518" i="22"/>
  <c r="H1517" i="22"/>
  <c r="I1517" i="22" s="1"/>
  <c r="G1517" i="22"/>
  <c r="H1516" i="22"/>
  <c r="I1516" i="22" s="1"/>
  <c r="G1516" i="22"/>
  <c r="H1515" i="22"/>
  <c r="I1515" i="22" s="1"/>
  <c r="G1515" i="22"/>
  <c r="H1514" i="22"/>
  <c r="I1514" i="22" s="1"/>
  <c r="G1514" i="22"/>
  <c r="H1513" i="22"/>
  <c r="I1513" i="22" s="1"/>
  <c r="G1513" i="22"/>
  <c r="H1512" i="22"/>
  <c r="I1512" i="22" s="1"/>
  <c r="G1512" i="22"/>
  <c r="H1511" i="22"/>
  <c r="I1511" i="22" s="1"/>
  <c r="G1511" i="22"/>
  <c r="H1510" i="22"/>
  <c r="I1510" i="22" s="1"/>
  <c r="G1510" i="22"/>
  <c r="H1509" i="22"/>
  <c r="I1509" i="22" s="1"/>
  <c r="G1509" i="22"/>
  <c r="H1508" i="22"/>
  <c r="I1508" i="22" s="1"/>
  <c r="G1508" i="22"/>
  <c r="H1507" i="22"/>
  <c r="I1507" i="22" s="1"/>
  <c r="G1507" i="22"/>
  <c r="H1506" i="22"/>
  <c r="I1506" i="22" s="1"/>
  <c r="G1506" i="22"/>
  <c r="H1505" i="22"/>
  <c r="I1505" i="22" s="1"/>
  <c r="G1505" i="22"/>
  <c r="H1504" i="22"/>
  <c r="I1504" i="22" s="1"/>
  <c r="G1504" i="22"/>
  <c r="H1503" i="22"/>
  <c r="I1503" i="22" s="1"/>
  <c r="G1503" i="22"/>
  <c r="H1502" i="22"/>
  <c r="I1502" i="22" s="1"/>
  <c r="G1502" i="22"/>
  <c r="H1501" i="22"/>
  <c r="I1501" i="22" s="1"/>
  <c r="G1501" i="22"/>
  <c r="H1500" i="22"/>
  <c r="I1500" i="22" s="1"/>
  <c r="G1500" i="22"/>
  <c r="H1499" i="22"/>
  <c r="I1499" i="22" s="1"/>
  <c r="G1499" i="22"/>
  <c r="H1498" i="22"/>
  <c r="I1498" i="22" s="1"/>
  <c r="G1498" i="22"/>
  <c r="H1497" i="22"/>
  <c r="I1497" i="22" s="1"/>
  <c r="G1497" i="22"/>
  <c r="H1496" i="22"/>
  <c r="I1496" i="22" s="1"/>
  <c r="G1496" i="22"/>
  <c r="H1495" i="22"/>
  <c r="I1495" i="22" s="1"/>
  <c r="G1495" i="22"/>
  <c r="H1494" i="22"/>
  <c r="I1494" i="22" s="1"/>
  <c r="G1494" i="22"/>
  <c r="H1493" i="22"/>
  <c r="I1493" i="22" s="1"/>
  <c r="G1493" i="22"/>
  <c r="H1492" i="22"/>
  <c r="I1492" i="22" s="1"/>
  <c r="G1492" i="22"/>
  <c r="H1491" i="22"/>
  <c r="I1491" i="22" s="1"/>
  <c r="G1491" i="22"/>
  <c r="H1490" i="22"/>
  <c r="I1490" i="22" s="1"/>
  <c r="G1490" i="22"/>
  <c r="H1489" i="22"/>
  <c r="I1489" i="22" s="1"/>
  <c r="G1489" i="22"/>
  <c r="H1488" i="22"/>
  <c r="I1488" i="22" s="1"/>
  <c r="G1488" i="22"/>
  <c r="H1487" i="22"/>
  <c r="I1487" i="22" s="1"/>
  <c r="G1487" i="22"/>
  <c r="H1486" i="22"/>
  <c r="I1486" i="22" s="1"/>
  <c r="G1486" i="22"/>
  <c r="H1485" i="22"/>
  <c r="I1485" i="22" s="1"/>
  <c r="G1485" i="22"/>
  <c r="H1484" i="22"/>
  <c r="I1484" i="22" s="1"/>
  <c r="G1484" i="22"/>
  <c r="H1483" i="22"/>
  <c r="I1483" i="22" s="1"/>
  <c r="G1483" i="22"/>
  <c r="H1482" i="22"/>
  <c r="I1482" i="22" s="1"/>
  <c r="G1482" i="22"/>
  <c r="H1481" i="22"/>
  <c r="I1481" i="22" s="1"/>
  <c r="G1481" i="22"/>
  <c r="H1480" i="22"/>
  <c r="I1480" i="22" s="1"/>
  <c r="G1480" i="22"/>
  <c r="H1479" i="22"/>
  <c r="I1479" i="22" s="1"/>
  <c r="G1479" i="22"/>
  <c r="H1478" i="22"/>
  <c r="I1478" i="22" s="1"/>
  <c r="G1478" i="22"/>
  <c r="H1477" i="22"/>
  <c r="I1477" i="22" s="1"/>
  <c r="G1477" i="22"/>
  <c r="H1476" i="22"/>
  <c r="I1476" i="22" s="1"/>
  <c r="G1476" i="22"/>
  <c r="H1475" i="22"/>
  <c r="I1475" i="22" s="1"/>
  <c r="G1475" i="22"/>
  <c r="H1474" i="22"/>
  <c r="I1474" i="22" s="1"/>
  <c r="G1474" i="22"/>
  <c r="H1473" i="22"/>
  <c r="I1473" i="22" s="1"/>
  <c r="G1473" i="22"/>
  <c r="H1472" i="22"/>
  <c r="I1472" i="22" s="1"/>
  <c r="G1472" i="22"/>
  <c r="H1471" i="22"/>
  <c r="I1471" i="22" s="1"/>
  <c r="G1471" i="22"/>
  <c r="H1470" i="22"/>
  <c r="I1470" i="22" s="1"/>
  <c r="G1470" i="22"/>
  <c r="H1469" i="22"/>
  <c r="I1469" i="22" s="1"/>
  <c r="G1469" i="22"/>
  <c r="H1468" i="22"/>
  <c r="I1468" i="22" s="1"/>
  <c r="G1468" i="22"/>
  <c r="H1467" i="22"/>
  <c r="I1467" i="22" s="1"/>
  <c r="G1467" i="22"/>
  <c r="H1466" i="22"/>
  <c r="I1466" i="22" s="1"/>
  <c r="G1466" i="22"/>
  <c r="H1465" i="22"/>
  <c r="I1465" i="22" s="1"/>
  <c r="G1465" i="22"/>
  <c r="H1464" i="22"/>
  <c r="I1464" i="22" s="1"/>
  <c r="G1464" i="22"/>
  <c r="H1463" i="22"/>
  <c r="I1463" i="22" s="1"/>
  <c r="G1463" i="22"/>
  <c r="H1462" i="22"/>
  <c r="I1462" i="22" s="1"/>
  <c r="G1462" i="22"/>
  <c r="H1461" i="22"/>
  <c r="I1461" i="22" s="1"/>
  <c r="G1461" i="22"/>
  <c r="H1460" i="22"/>
  <c r="I1460" i="22" s="1"/>
  <c r="G1460" i="22"/>
  <c r="H1459" i="22"/>
  <c r="I1459" i="22" s="1"/>
  <c r="G1459" i="22"/>
  <c r="H1458" i="22"/>
  <c r="I1458" i="22" s="1"/>
  <c r="G1458" i="22"/>
  <c r="H1457" i="22"/>
  <c r="I1457" i="22" s="1"/>
  <c r="G1457" i="22"/>
  <c r="H1456" i="22"/>
  <c r="I1456" i="22" s="1"/>
  <c r="G1456" i="22"/>
  <c r="H1455" i="22"/>
  <c r="I1455" i="22" s="1"/>
  <c r="G1455" i="22"/>
  <c r="H1454" i="22"/>
  <c r="I1454" i="22" s="1"/>
  <c r="G1454" i="22"/>
  <c r="H1453" i="22"/>
  <c r="I1453" i="22" s="1"/>
  <c r="G1453" i="22"/>
  <c r="H1452" i="22"/>
  <c r="I1452" i="22" s="1"/>
  <c r="G1452" i="22"/>
  <c r="H1451" i="22"/>
  <c r="I1451" i="22" s="1"/>
  <c r="G1451" i="22"/>
  <c r="H1450" i="22"/>
  <c r="I1450" i="22" s="1"/>
  <c r="G1450" i="22"/>
  <c r="H1449" i="22"/>
  <c r="I1449" i="22" s="1"/>
  <c r="G1449" i="22"/>
  <c r="H1448" i="22"/>
  <c r="I1448" i="22" s="1"/>
  <c r="G1448" i="22"/>
  <c r="H1447" i="22"/>
  <c r="I1447" i="22" s="1"/>
  <c r="G1447" i="22"/>
  <c r="H1446" i="22"/>
  <c r="I1446" i="22" s="1"/>
  <c r="G1446" i="22"/>
  <c r="H1445" i="22"/>
  <c r="I1445" i="22" s="1"/>
  <c r="G1445" i="22"/>
  <c r="H1444" i="22"/>
  <c r="I1444" i="22" s="1"/>
  <c r="G1444" i="22"/>
  <c r="H1443" i="22"/>
  <c r="I1443" i="22" s="1"/>
  <c r="G1443" i="22"/>
  <c r="H1442" i="22"/>
  <c r="I1442" i="22" s="1"/>
  <c r="G1442" i="22"/>
  <c r="H1441" i="22"/>
  <c r="I1441" i="22" s="1"/>
  <c r="G1441" i="22"/>
  <c r="H1440" i="22"/>
  <c r="I1440" i="22" s="1"/>
  <c r="G1440" i="22"/>
  <c r="H1439" i="22"/>
  <c r="I1439" i="22" s="1"/>
  <c r="G1439" i="22"/>
  <c r="H1438" i="22"/>
  <c r="I1438" i="22" s="1"/>
  <c r="G1438" i="22"/>
  <c r="H1437" i="22"/>
  <c r="I1437" i="22" s="1"/>
  <c r="G1437" i="22"/>
  <c r="H1436" i="22"/>
  <c r="I1436" i="22" s="1"/>
  <c r="G1436" i="22"/>
  <c r="H1435" i="22"/>
  <c r="I1435" i="22" s="1"/>
  <c r="G1435" i="22"/>
  <c r="H1434" i="22"/>
  <c r="I1434" i="22" s="1"/>
  <c r="G1434" i="22"/>
  <c r="H1433" i="22"/>
  <c r="I1433" i="22" s="1"/>
  <c r="G1433" i="22"/>
  <c r="H1432" i="22"/>
  <c r="I1432" i="22" s="1"/>
  <c r="G1432" i="22"/>
  <c r="H1431" i="22"/>
  <c r="I1431" i="22" s="1"/>
  <c r="G1431" i="22"/>
  <c r="H1430" i="22"/>
  <c r="I1430" i="22" s="1"/>
  <c r="G1430" i="22"/>
  <c r="H1429" i="22"/>
  <c r="I1429" i="22" s="1"/>
  <c r="G1429" i="22"/>
  <c r="H1428" i="22"/>
  <c r="I1428" i="22" s="1"/>
  <c r="G1428" i="22"/>
  <c r="H1427" i="22"/>
  <c r="I1427" i="22" s="1"/>
  <c r="G1427" i="22"/>
  <c r="H1426" i="22"/>
  <c r="I1426" i="22" s="1"/>
  <c r="G1426" i="22"/>
  <c r="H1425" i="22"/>
  <c r="I1425" i="22" s="1"/>
  <c r="G1425" i="22"/>
  <c r="H1424" i="22"/>
  <c r="I1424" i="22" s="1"/>
  <c r="G1424" i="22"/>
  <c r="H1423" i="22"/>
  <c r="I1423" i="22" s="1"/>
  <c r="G1423" i="22"/>
  <c r="H1422" i="22"/>
  <c r="I1422" i="22" s="1"/>
  <c r="G1422" i="22"/>
  <c r="H1421" i="22"/>
  <c r="I1421" i="22" s="1"/>
  <c r="G1421" i="22"/>
  <c r="H1420" i="22"/>
  <c r="I1420" i="22" s="1"/>
  <c r="G1420" i="22"/>
  <c r="H1419" i="22"/>
  <c r="I1419" i="22" s="1"/>
  <c r="G1419" i="22"/>
  <c r="H1418" i="22"/>
  <c r="I1418" i="22" s="1"/>
  <c r="G1418" i="22"/>
  <c r="H1417" i="22"/>
  <c r="I1417" i="22" s="1"/>
  <c r="G1417" i="22"/>
  <c r="H1416" i="22"/>
  <c r="I1416" i="22" s="1"/>
  <c r="G1416" i="22"/>
  <c r="H1415" i="22"/>
  <c r="I1415" i="22" s="1"/>
  <c r="G1415" i="22"/>
  <c r="H1414" i="22"/>
  <c r="I1414" i="22" s="1"/>
  <c r="G1414" i="22"/>
  <c r="H1413" i="22"/>
  <c r="I1413" i="22" s="1"/>
  <c r="G1413" i="22"/>
  <c r="H1412" i="22"/>
  <c r="I1412" i="22" s="1"/>
  <c r="G1412" i="22"/>
  <c r="H1411" i="22"/>
  <c r="I1411" i="22" s="1"/>
  <c r="G1411" i="22"/>
  <c r="H1410" i="22"/>
  <c r="I1410" i="22" s="1"/>
  <c r="G1410" i="22"/>
  <c r="H1409" i="22"/>
  <c r="I1409" i="22" s="1"/>
  <c r="G1409" i="22"/>
  <c r="H1408" i="22"/>
  <c r="I1408" i="22" s="1"/>
  <c r="G1408" i="22"/>
  <c r="H1407" i="22"/>
  <c r="I1407" i="22" s="1"/>
  <c r="G1407" i="22"/>
  <c r="H1406" i="22"/>
  <c r="I1406" i="22" s="1"/>
  <c r="G1406" i="22"/>
  <c r="H1405" i="22"/>
  <c r="I1405" i="22" s="1"/>
  <c r="G1405" i="22"/>
  <c r="H1404" i="22"/>
  <c r="I1404" i="22" s="1"/>
  <c r="G1404" i="22"/>
  <c r="H1403" i="22"/>
  <c r="I1403" i="22" s="1"/>
  <c r="G1403" i="22"/>
  <c r="H1402" i="22"/>
  <c r="I1402" i="22" s="1"/>
  <c r="G1402" i="22"/>
  <c r="H1401" i="22"/>
  <c r="I1401" i="22" s="1"/>
  <c r="G1401" i="22"/>
  <c r="H1400" i="22"/>
  <c r="I1400" i="22" s="1"/>
  <c r="G1400" i="22"/>
  <c r="H1399" i="22"/>
  <c r="I1399" i="22" s="1"/>
  <c r="G1399" i="22"/>
  <c r="H1398" i="22"/>
  <c r="I1398" i="22" s="1"/>
  <c r="G1398" i="22"/>
  <c r="H1397" i="22"/>
  <c r="I1397" i="22" s="1"/>
  <c r="G1397" i="22"/>
  <c r="H1396" i="22"/>
  <c r="I1396" i="22" s="1"/>
  <c r="G1396" i="22"/>
  <c r="H1395" i="22"/>
  <c r="I1395" i="22" s="1"/>
  <c r="G1395" i="22"/>
  <c r="H1394" i="22"/>
  <c r="I1394" i="22" s="1"/>
  <c r="G1394" i="22"/>
  <c r="H1393" i="22"/>
  <c r="I1393" i="22" s="1"/>
  <c r="G1393" i="22"/>
  <c r="H1392" i="22"/>
  <c r="I1392" i="22" s="1"/>
  <c r="G1392" i="22"/>
  <c r="H1391" i="22"/>
  <c r="I1391" i="22" s="1"/>
  <c r="G1391" i="22"/>
  <c r="H1390" i="22"/>
  <c r="I1390" i="22" s="1"/>
  <c r="G1390" i="22"/>
  <c r="H1389" i="22"/>
  <c r="I1389" i="22" s="1"/>
  <c r="G1389" i="22"/>
  <c r="H1388" i="22"/>
  <c r="I1388" i="22" s="1"/>
  <c r="G1388" i="22"/>
  <c r="H1387" i="22"/>
  <c r="I1387" i="22" s="1"/>
  <c r="G1387" i="22"/>
  <c r="H1386" i="22"/>
  <c r="I1386" i="22" s="1"/>
  <c r="G1386" i="22"/>
  <c r="H1385" i="22"/>
  <c r="I1385" i="22" s="1"/>
  <c r="G1385" i="22"/>
  <c r="H1384" i="22"/>
  <c r="I1384" i="22" s="1"/>
  <c r="G1384" i="22"/>
  <c r="H1383" i="22"/>
  <c r="I1383" i="22" s="1"/>
  <c r="G1383" i="22"/>
  <c r="H1382" i="22"/>
  <c r="I1382" i="22" s="1"/>
  <c r="G1382" i="22"/>
  <c r="H1381" i="22"/>
  <c r="I1381" i="22" s="1"/>
  <c r="G1381" i="22"/>
  <c r="H1380" i="22"/>
  <c r="I1380" i="22" s="1"/>
  <c r="G1380" i="22"/>
  <c r="H1379" i="22"/>
  <c r="I1379" i="22" s="1"/>
  <c r="G1379" i="22"/>
  <c r="H1378" i="22"/>
  <c r="I1378" i="22" s="1"/>
  <c r="G1378" i="22"/>
  <c r="H1377" i="22"/>
  <c r="I1377" i="22" s="1"/>
  <c r="G1377" i="22"/>
  <c r="H1376" i="22"/>
  <c r="I1376" i="22" s="1"/>
  <c r="G1376" i="22"/>
  <c r="H1375" i="22"/>
  <c r="I1375" i="22" s="1"/>
  <c r="G1375" i="22"/>
  <c r="H1374" i="22"/>
  <c r="I1374" i="22" s="1"/>
  <c r="G1374" i="22"/>
  <c r="H1373" i="22"/>
  <c r="I1373" i="22" s="1"/>
  <c r="G1373" i="22"/>
  <c r="H1372" i="22"/>
  <c r="I1372" i="22" s="1"/>
  <c r="G1372" i="22"/>
  <c r="H1371" i="22"/>
  <c r="I1371" i="22" s="1"/>
  <c r="G1371" i="22"/>
  <c r="H1370" i="22"/>
  <c r="I1370" i="22" s="1"/>
  <c r="G1370" i="22"/>
  <c r="H1369" i="22"/>
  <c r="I1369" i="22" s="1"/>
  <c r="G1369" i="22"/>
  <c r="H1368" i="22"/>
  <c r="I1368" i="22" s="1"/>
  <c r="G1368" i="22"/>
  <c r="H1367" i="22"/>
  <c r="I1367" i="22" s="1"/>
  <c r="G1367" i="22"/>
  <c r="H1366" i="22"/>
  <c r="I1366" i="22" s="1"/>
  <c r="G1366" i="22"/>
  <c r="H1365" i="22"/>
  <c r="I1365" i="22" s="1"/>
  <c r="G1365" i="22"/>
  <c r="H1364" i="22"/>
  <c r="I1364" i="22" s="1"/>
  <c r="G1364" i="22"/>
  <c r="H1363" i="22"/>
  <c r="I1363" i="22" s="1"/>
  <c r="G1363" i="22"/>
  <c r="H1362" i="22"/>
  <c r="I1362" i="22" s="1"/>
  <c r="G1362" i="22"/>
  <c r="H1361" i="22"/>
  <c r="I1361" i="22" s="1"/>
  <c r="G1361" i="22"/>
  <c r="H1360" i="22"/>
  <c r="I1360" i="22" s="1"/>
  <c r="G1360" i="22"/>
  <c r="H1359" i="22"/>
  <c r="I1359" i="22" s="1"/>
  <c r="G1359" i="22"/>
  <c r="H1358" i="22"/>
  <c r="I1358" i="22" s="1"/>
  <c r="G1358" i="22"/>
  <c r="H1357" i="22"/>
  <c r="I1357" i="22" s="1"/>
  <c r="G1357" i="22"/>
  <c r="H1356" i="22"/>
  <c r="I1356" i="22" s="1"/>
  <c r="G1356" i="22"/>
  <c r="H1355" i="22"/>
  <c r="I1355" i="22" s="1"/>
  <c r="G1355" i="22"/>
  <c r="H1354" i="22"/>
  <c r="I1354" i="22" s="1"/>
  <c r="G1354" i="22"/>
  <c r="H1353" i="22"/>
  <c r="I1353" i="22" s="1"/>
  <c r="G1353" i="22"/>
  <c r="H1352" i="22"/>
  <c r="I1352" i="22" s="1"/>
  <c r="G1352" i="22"/>
  <c r="H1351" i="22"/>
  <c r="I1351" i="22" s="1"/>
  <c r="G1351" i="22"/>
  <c r="H1350" i="22"/>
  <c r="I1350" i="22" s="1"/>
  <c r="G1350" i="22"/>
  <c r="H1349" i="22"/>
  <c r="I1349" i="22" s="1"/>
  <c r="G1349" i="22"/>
  <c r="H1348" i="22"/>
  <c r="I1348" i="22" s="1"/>
  <c r="G1348" i="22"/>
  <c r="H1347" i="22"/>
  <c r="I1347" i="22" s="1"/>
  <c r="G1347" i="22"/>
  <c r="H1346" i="22"/>
  <c r="I1346" i="22" s="1"/>
  <c r="G1346" i="22"/>
  <c r="H1345" i="22"/>
  <c r="I1345" i="22" s="1"/>
  <c r="G1345" i="22"/>
  <c r="H1344" i="22"/>
  <c r="I1344" i="22" s="1"/>
  <c r="G1344" i="22"/>
  <c r="H1343" i="22"/>
  <c r="I1343" i="22" s="1"/>
  <c r="G1343" i="22"/>
  <c r="H1342" i="22"/>
  <c r="I1342" i="22" s="1"/>
  <c r="G1342" i="22"/>
  <c r="H1341" i="22"/>
  <c r="I1341" i="22" s="1"/>
  <c r="G1341" i="22"/>
  <c r="H1340" i="22"/>
  <c r="I1340" i="22" s="1"/>
  <c r="G1340" i="22"/>
  <c r="H1339" i="22"/>
  <c r="I1339" i="22" s="1"/>
  <c r="G1339" i="22"/>
  <c r="H1338" i="22"/>
  <c r="I1338" i="22" s="1"/>
  <c r="G1338" i="22"/>
  <c r="H1337" i="22"/>
  <c r="I1337" i="22" s="1"/>
  <c r="G1337" i="22"/>
  <c r="H1336" i="22"/>
  <c r="I1336" i="22" s="1"/>
  <c r="G1336" i="22"/>
  <c r="H1335" i="22"/>
  <c r="I1335" i="22" s="1"/>
  <c r="G1335" i="22"/>
  <c r="H1334" i="22"/>
  <c r="I1334" i="22" s="1"/>
  <c r="G1334" i="22"/>
  <c r="H1333" i="22"/>
  <c r="I1333" i="22" s="1"/>
  <c r="G1333" i="22"/>
  <c r="H1332" i="22"/>
  <c r="I1332" i="22" s="1"/>
  <c r="G1332" i="22"/>
  <c r="H1331" i="22"/>
  <c r="I1331" i="22" s="1"/>
  <c r="G1331" i="22"/>
  <c r="H1330" i="22"/>
  <c r="I1330" i="22" s="1"/>
  <c r="G1330" i="22"/>
  <c r="H1329" i="22"/>
  <c r="I1329" i="22" s="1"/>
  <c r="G1329" i="22"/>
  <c r="H1328" i="22"/>
  <c r="I1328" i="22" s="1"/>
  <c r="G1328" i="22"/>
  <c r="H1327" i="22"/>
  <c r="I1327" i="22" s="1"/>
  <c r="G1327" i="22"/>
  <c r="H1326" i="22"/>
  <c r="I1326" i="22" s="1"/>
  <c r="G1326" i="22"/>
  <c r="H1325" i="22"/>
  <c r="I1325" i="22" s="1"/>
  <c r="G1325" i="22"/>
  <c r="H1324" i="22"/>
  <c r="I1324" i="22" s="1"/>
  <c r="G1324" i="22"/>
  <c r="H1323" i="22"/>
  <c r="I1323" i="22" s="1"/>
  <c r="G1323" i="22"/>
  <c r="H1322" i="22"/>
  <c r="I1322" i="22" s="1"/>
  <c r="G1322" i="22"/>
  <c r="H1321" i="22"/>
  <c r="I1321" i="22" s="1"/>
  <c r="G1321" i="22"/>
  <c r="H1320" i="22"/>
  <c r="I1320" i="22" s="1"/>
  <c r="G1320" i="22"/>
  <c r="H1319" i="22"/>
  <c r="I1319" i="22" s="1"/>
  <c r="G1319" i="22"/>
  <c r="H1318" i="22"/>
  <c r="I1318" i="22" s="1"/>
  <c r="G1318" i="22"/>
  <c r="H1317" i="22"/>
  <c r="I1317" i="22" s="1"/>
  <c r="G1317" i="22"/>
  <c r="H1316" i="22"/>
  <c r="I1316" i="22" s="1"/>
  <c r="G1316" i="22"/>
  <c r="H1315" i="22"/>
  <c r="I1315" i="22" s="1"/>
  <c r="G1315" i="22"/>
  <c r="H1314" i="22"/>
  <c r="I1314" i="22" s="1"/>
  <c r="G1314" i="22"/>
  <c r="H1313" i="22"/>
  <c r="I1313" i="22" s="1"/>
  <c r="G1313" i="22"/>
  <c r="H1312" i="22"/>
  <c r="I1312" i="22" s="1"/>
  <c r="G1312" i="22"/>
  <c r="H1311" i="22"/>
  <c r="I1311" i="22" s="1"/>
  <c r="G1311" i="22"/>
  <c r="H1310" i="22"/>
  <c r="I1310" i="22" s="1"/>
  <c r="G1310" i="22"/>
  <c r="H1309" i="22"/>
  <c r="I1309" i="22" s="1"/>
  <c r="G1309" i="22"/>
  <c r="H1308" i="22"/>
  <c r="I1308" i="22" s="1"/>
  <c r="G1308" i="22"/>
  <c r="H1307" i="22"/>
  <c r="I1307" i="22" s="1"/>
  <c r="G1307" i="22"/>
  <c r="H1306" i="22"/>
  <c r="I1306" i="22" s="1"/>
  <c r="G1306" i="22"/>
  <c r="H1305" i="22"/>
  <c r="I1305" i="22" s="1"/>
  <c r="G1305" i="22"/>
  <c r="H1304" i="22"/>
  <c r="I1304" i="22" s="1"/>
  <c r="G1304" i="22"/>
  <c r="H1303" i="22"/>
  <c r="I1303" i="22" s="1"/>
  <c r="G1303" i="22"/>
  <c r="H1302" i="22"/>
  <c r="I1302" i="22" s="1"/>
  <c r="G1302" i="22"/>
  <c r="H1301" i="22"/>
  <c r="I1301" i="22" s="1"/>
  <c r="G1301" i="22"/>
  <c r="H1300" i="22"/>
  <c r="I1300" i="22" s="1"/>
  <c r="G1300" i="22"/>
  <c r="H1299" i="22"/>
  <c r="I1299" i="22" s="1"/>
  <c r="G1299" i="22"/>
  <c r="H1298" i="22"/>
  <c r="I1298" i="22" s="1"/>
  <c r="G1298" i="22"/>
  <c r="H1297" i="22"/>
  <c r="I1297" i="22" s="1"/>
  <c r="G1297" i="22"/>
  <c r="H1296" i="22"/>
  <c r="I1296" i="22" s="1"/>
  <c r="G1296" i="22"/>
  <c r="H1295" i="22"/>
  <c r="I1295" i="22" s="1"/>
  <c r="G1295" i="22"/>
  <c r="H1294" i="22"/>
  <c r="I1294" i="22" s="1"/>
  <c r="G1294" i="22"/>
  <c r="H1293" i="22"/>
  <c r="I1293" i="22" s="1"/>
  <c r="G1293" i="22"/>
  <c r="H1292" i="22"/>
  <c r="I1292" i="22" s="1"/>
  <c r="G1292" i="22"/>
  <c r="H1291" i="22"/>
  <c r="I1291" i="22" s="1"/>
  <c r="G1291" i="22"/>
  <c r="H1290" i="22"/>
  <c r="I1290" i="22" s="1"/>
  <c r="G1290" i="22"/>
  <c r="H1289" i="22"/>
  <c r="I1289" i="22" s="1"/>
  <c r="G1289" i="22"/>
  <c r="H1288" i="22"/>
  <c r="I1288" i="22" s="1"/>
  <c r="G1288" i="22"/>
  <c r="H1287" i="22"/>
  <c r="I1287" i="22" s="1"/>
  <c r="G1287" i="22"/>
  <c r="H1286" i="22"/>
  <c r="I1286" i="22" s="1"/>
  <c r="G1286" i="22"/>
  <c r="H1285" i="22"/>
  <c r="I1285" i="22" s="1"/>
  <c r="G1285" i="22"/>
  <c r="H1284" i="22"/>
  <c r="I1284" i="22" s="1"/>
  <c r="G1284" i="22"/>
  <c r="H1283" i="22"/>
  <c r="I1283" i="22" s="1"/>
  <c r="G1283" i="22"/>
  <c r="H1282" i="22"/>
  <c r="I1282" i="22" s="1"/>
  <c r="G1282" i="22"/>
  <c r="H1281" i="22"/>
  <c r="I1281" i="22" s="1"/>
  <c r="G1281" i="22"/>
  <c r="H1280" i="22"/>
  <c r="I1280" i="22" s="1"/>
  <c r="G1280" i="22"/>
  <c r="H1279" i="22"/>
  <c r="I1279" i="22" s="1"/>
  <c r="G1279" i="22"/>
  <c r="H1278" i="22"/>
  <c r="I1278" i="22" s="1"/>
  <c r="G1278" i="22"/>
  <c r="H1277" i="22"/>
  <c r="I1277" i="22" s="1"/>
  <c r="G1277" i="22"/>
  <c r="H1276" i="22"/>
  <c r="I1276" i="22" s="1"/>
  <c r="G1276" i="22"/>
  <c r="H1275" i="22"/>
  <c r="I1275" i="22" s="1"/>
  <c r="G1275" i="22"/>
  <c r="H1274" i="22"/>
  <c r="I1274" i="22" s="1"/>
  <c r="G1274" i="22"/>
  <c r="H1273" i="22"/>
  <c r="I1273" i="22" s="1"/>
  <c r="G1273" i="22"/>
  <c r="H1272" i="22"/>
  <c r="I1272" i="22" s="1"/>
  <c r="G1272" i="22"/>
  <c r="H1271" i="22"/>
  <c r="I1271" i="22" s="1"/>
  <c r="G1271" i="22"/>
  <c r="H1270" i="22"/>
  <c r="I1270" i="22" s="1"/>
  <c r="G1270" i="22"/>
  <c r="H1269" i="22"/>
  <c r="I1269" i="22" s="1"/>
  <c r="G1269" i="22"/>
  <c r="H1268" i="22"/>
  <c r="I1268" i="22" s="1"/>
  <c r="G1268" i="22"/>
  <c r="H1267" i="22"/>
  <c r="I1267" i="22" s="1"/>
  <c r="G1267" i="22"/>
  <c r="H1266" i="22"/>
  <c r="I1266" i="22" s="1"/>
  <c r="G1266" i="22"/>
  <c r="H1265" i="22"/>
  <c r="I1265" i="22" s="1"/>
  <c r="G1265" i="22"/>
  <c r="H1264" i="22"/>
  <c r="I1264" i="22" s="1"/>
  <c r="G1264" i="22"/>
  <c r="H1263" i="22"/>
  <c r="I1263" i="22" s="1"/>
  <c r="G1263" i="22"/>
  <c r="H1262" i="22"/>
  <c r="I1262" i="22" s="1"/>
  <c r="G1262" i="22"/>
  <c r="H1261" i="22"/>
  <c r="I1261" i="22" s="1"/>
  <c r="G1261" i="22"/>
  <c r="H1260" i="22"/>
  <c r="I1260" i="22" s="1"/>
  <c r="G1260" i="22"/>
  <c r="H1259" i="22"/>
  <c r="I1259" i="22" s="1"/>
  <c r="G1259" i="22"/>
  <c r="H1258" i="22"/>
  <c r="I1258" i="22" s="1"/>
  <c r="G1258" i="22"/>
  <c r="H1257" i="22"/>
  <c r="I1257" i="22" s="1"/>
  <c r="G1257" i="22"/>
  <c r="H1256" i="22"/>
  <c r="I1256" i="22" s="1"/>
  <c r="G1256" i="22"/>
  <c r="H1255" i="22"/>
  <c r="I1255" i="22" s="1"/>
  <c r="G1255" i="22"/>
  <c r="H1254" i="22"/>
  <c r="I1254" i="22" s="1"/>
  <c r="G1254" i="22"/>
  <c r="H1253" i="22"/>
  <c r="I1253" i="22" s="1"/>
  <c r="G1253" i="22"/>
  <c r="H1252" i="22"/>
  <c r="I1252" i="22" s="1"/>
  <c r="G1252" i="22"/>
  <c r="H1251" i="22"/>
  <c r="I1251" i="22" s="1"/>
  <c r="G1251" i="22"/>
  <c r="H1250" i="22"/>
  <c r="I1250" i="22" s="1"/>
  <c r="G1250" i="22"/>
  <c r="H1249" i="22"/>
  <c r="I1249" i="22" s="1"/>
  <c r="G1249" i="22"/>
  <c r="H1248" i="22"/>
  <c r="I1248" i="22" s="1"/>
  <c r="G1248" i="22"/>
  <c r="H1247" i="22"/>
  <c r="I1247" i="22" s="1"/>
  <c r="G1247" i="22"/>
  <c r="H1246" i="22"/>
  <c r="I1246" i="22" s="1"/>
  <c r="G1246" i="22"/>
  <c r="H1245" i="22"/>
  <c r="I1245" i="22" s="1"/>
  <c r="G1245" i="22"/>
  <c r="H1244" i="22"/>
  <c r="I1244" i="22" s="1"/>
  <c r="G1244" i="22"/>
  <c r="H1243" i="22"/>
  <c r="I1243" i="22" s="1"/>
  <c r="G1243" i="22"/>
  <c r="H1242" i="22"/>
  <c r="I1242" i="22" s="1"/>
  <c r="G1242" i="22"/>
  <c r="H1241" i="22"/>
  <c r="I1241" i="22" s="1"/>
  <c r="G1241" i="22"/>
  <c r="H1240" i="22"/>
  <c r="I1240" i="22" s="1"/>
  <c r="G1240" i="22"/>
  <c r="H1239" i="22"/>
  <c r="I1239" i="22" s="1"/>
  <c r="G1239" i="22"/>
  <c r="H1238" i="22"/>
  <c r="I1238" i="22" s="1"/>
  <c r="G1238" i="22"/>
  <c r="H1237" i="22"/>
  <c r="I1237" i="22" s="1"/>
  <c r="G1237" i="22"/>
  <c r="H1236" i="22"/>
  <c r="I1236" i="22" s="1"/>
  <c r="G1236" i="22"/>
  <c r="H1235" i="22"/>
  <c r="I1235" i="22" s="1"/>
  <c r="G1235" i="22"/>
  <c r="H1234" i="22"/>
  <c r="I1234" i="22" s="1"/>
  <c r="G1234" i="22"/>
  <c r="H1233" i="22"/>
  <c r="I1233" i="22" s="1"/>
  <c r="G1233" i="22"/>
  <c r="H1232" i="22"/>
  <c r="I1232" i="22" s="1"/>
  <c r="G1232" i="22"/>
  <c r="H1231" i="22"/>
  <c r="I1231" i="22" s="1"/>
  <c r="G1231" i="22"/>
  <c r="H1230" i="22"/>
  <c r="I1230" i="22" s="1"/>
  <c r="G1230" i="22"/>
  <c r="H1229" i="22"/>
  <c r="I1229" i="22" s="1"/>
  <c r="G1229" i="22"/>
  <c r="H1228" i="22"/>
  <c r="I1228" i="22" s="1"/>
  <c r="G1228" i="22"/>
  <c r="H1227" i="22"/>
  <c r="I1227" i="22" s="1"/>
  <c r="G1227" i="22"/>
  <c r="H1226" i="22"/>
  <c r="I1226" i="22" s="1"/>
  <c r="G1226" i="22"/>
  <c r="H1225" i="22"/>
  <c r="I1225" i="22" s="1"/>
  <c r="G1225" i="22"/>
  <c r="H1224" i="22"/>
  <c r="I1224" i="22" s="1"/>
  <c r="G1224" i="22"/>
  <c r="H1223" i="22"/>
  <c r="I1223" i="22" s="1"/>
  <c r="G1223" i="22"/>
  <c r="H1222" i="22"/>
  <c r="I1222" i="22" s="1"/>
  <c r="G1222" i="22"/>
  <c r="H1221" i="22"/>
  <c r="I1221" i="22" s="1"/>
  <c r="G1221" i="22"/>
  <c r="H1220" i="22"/>
  <c r="I1220" i="22" s="1"/>
  <c r="G1220" i="22"/>
  <c r="H1219" i="22"/>
  <c r="I1219" i="22" s="1"/>
  <c r="G1219" i="22"/>
  <c r="H1218" i="22"/>
  <c r="I1218" i="22" s="1"/>
  <c r="G1218" i="22"/>
  <c r="H1217" i="22"/>
  <c r="I1217" i="22" s="1"/>
  <c r="G1217" i="22"/>
  <c r="H1216" i="22"/>
  <c r="I1216" i="22" s="1"/>
  <c r="G1216" i="22"/>
  <c r="H1215" i="22"/>
  <c r="I1215" i="22" s="1"/>
  <c r="G1215" i="22"/>
  <c r="H1214" i="22"/>
  <c r="I1214" i="22" s="1"/>
  <c r="G1214" i="22"/>
  <c r="H1213" i="22"/>
  <c r="I1213" i="22" s="1"/>
  <c r="G1213" i="22"/>
  <c r="H1212" i="22"/>
  <c r="I1212" i="22" s="1"/>
  <c r="G1212" i="22"/>
  <c r="H1211" i="22"/>
  <c r="I1211" i="22" s="1"/>
  <c r="G1211" i="22"/>
  <c r="H1210" i="22"/>
  <c r="I1210" i="22" s="1"/>
  <c r="G1210" i="22"/>
  <c r="H1209" i="22"/>
  <c r="I1209" i="22" s="1"/>
  <c r="G1209" i="22"/>
  <c r="H1208" i="22"/>
  <c r="I1208" i="22" s="1"/>
  <c r="G1208" i="22"/>
  <c r="H1207" i="22"/>
  <c r="I1207" i="22" s="1"/>
  <c r="G1207" i="22"/>
  <c r="H1206" i="22"/>
  <c r="I1206" i="22" s="1"/>
  <c r="G1206" i="22"/>
  <c r="H1205" i="22"/>
  <c r="I1205" i="22" s="1"/>
  <c r="G1205" i="22"/>
  <c r="H1204" i="22"/>
  <c r="I1204" i="22" s="1"/>
  <c r="G1204" i="22"/>
  <c r="H1203" i="22"/>
  <c r="I1203" i="22" s="1"/>
  <c r="G1203" i="22"/>
  <c r="H1202" i="22"/>
  <c r="I1202" i="22" s="1"/>
  <c r="G1202" i="22"/>
  <c r="H1201" i="22"/>
  <c r="I1201" i="22" s="1"/>
  <c r="G1201" i="22"/>
  <c r="H1200" i="22"/>
  <c r="I1200" i="22" s="1"/>
  <c r="G1200" i="22"/>
  <c r="H1199" i="22"/>
  <c r="I1199" i="22" s="1"/>
  <c r="G1199" i="22"/>
  <c r="H1198" i="22"/>
  <c r="I1198" i="22" s="1"/>
  <c r="G1198" i="22"/>
  <c r="H1197" i="22"/>
  <c r="I1197" i="22" s="1"/>
  <c r="G1197" i="22"/>
  <c r="H1196" i="22"/>
  <c r="I1196" i="22" s="1"/>
  <c r="G1196" i="22"/>
  <c r="H1195" i="22"/>
  <c r="I1195" i="22" s="1"/>
  <c r="G1195" i="22"/>
  <c r="H1194" i="22"/>
  <c r="I1194" i="22" s="1"/>
  <c r="G1194" i="22"/>
  <c r="H1193" i="22"/>
  <c r="I1193" i="22" s="1"/>
  <c r="G1193" i="22"/>
  <c r="H1192" i="22"/>
  <c r="I1192" i="22" s="1"/>
  <c r="G1192" i="22"/>
  <c r="H1191" i="22"/>
  <c r="I1191" i="22" s="1"/>
  <c r="G1191" i="22"/>
  <c r="H1190" i="22"/>
  <c r="I1190" i="22" s="1"/>
  <c r="G1190" i="22"/>
  <c r="H1189" i="22"/>
  <c r="I1189" i="22" s="1"/>
  <c r="G1189" i="22"/>
  <c r="H1188" i="22"/>
  <c r="I1188" i="22" s="1"/>
  <c r="G1188" i="22"/>
  <c r="H1187" i="22"/>
  <c r="I1187" i="22" s="1"/>
  <c r="G1187" i="22"/>
  <c r="H1186" i="22"/>
  <c r="I1186" i="22" s="1"/>
  <c r="G1186" i="22"/>
  <c r="H1185" i="22"/>
  <c r="I1185" i="22" s="1"/>
  <c r="G1185" i="22"/>
  <c r="H1184" i="22"/>
  <c r="I1184" i="22" s="1"/>
  <c r="G1184" i="22"/>
  <c r="H1183" i="22"/>
  <c r="I1183" i="22" s="1"/>
  <c r="G1183" i="22"/>
  <c r="H1182" i="22"/>
  <c r="I1182" i="22" s="1"/>
  <c r="G1182" i="22"/>
  <c r="H1181" i="22"/>
  <c r="I1181" i="22" s="1"/>
  <c r="G1181" i="22"/>
  <c r="H1180" i="22"/>
  <c r="I1180" i="22" s="1"/>
  <c r="G1180" i="22"/>
  <c r="H1179" i="22"/>
  <c r="I1179" i="22" s="1"/>
  <c r="G1179" i="22"/>
  <c r="H1178" i="22"/>
  <c r="I1178" i="22" s="1"/>
  <c r="G1178" i="22"/>
  <c r="H1177" i="22"/>
  <c r="I1177" i="22" s="1"/>
  <c r="G1177" i="22"/>
  <c r="H1176" i="22"/>
  <c r="I1176" i="22" s="1"/>
  <c r="G1176" i="22"/>
  <c r="H1175" i="22"/>
  <c r="I1175" i="22" s="1"/>
  <c r="G1175" i="22"/>
  <c r="H1174" i="22"/>
  <c r="I1174" i="22" s="1"/>
  <c r="G1174" i="22"/>
  <c r="H1173" i="22"/>
  <c r="I1173" i="22" s="1"/>
  <c r="G1173" i="22"/>
  <c r="H1172" i="22"/>
  <c r="I1172" i="22" s="1"/>
  <c r="G1172" i="22"/>
  <c r="H1171" i="22"/>
  <c r="I1171" i="22" s="1"/>
  <c r="G1171" i="22"/>
  <c r="H1170" i="22"/>
  <c r="I1170" i="22" s="1"/>
  <c r="G1170" i="22"/>
  <c r="H1169" i="22"/>
  <c r="I1169" i="22" s="1"/>
  <c r="G1169" i="22"/>
  <c r="H1168" i="22"/>
  <c r="I1168" i="22" s="1"/>
  <c r="G1168" i="22"/>
  <c r="H1167" i="22"/>
  <c r="I1167" i="22" s="1"/>
  <c r="G1167" i="22"/>
  <c r="H1166" i="22"/>
  <c r="I1166" i="22" s="1"/>
  <c r="G1166" i="22"/>
  <c r="H1165" i="22"/>
  <c r="I1165" i="22" s="1"/>
  <c r="G1165" i="22"/>
  <c r="H1164" i="22"/>
  <c r="I1164" i="22" s="1"/>
  <c r="G1164" i="22"/>
  <c r="H1163" i="22"/>
  <c r="I1163" i="22" s="1"/>
  <c r="G1163" i="22"/>
  <c r="H1162" i="22"/>
  <c r="I1162" i="22" s="1"/>
  <c r="G1162" i="22"/>
  <c r="H1161" i="22"/>
  <c r="I1161" i="22" s="1"/>
  <c r="G1161" i="22"/>
  <c r="H1160" i="22"/>
  <c r="I1160" i="22" s="1"/>
  <c r="G1160" i="22"/>
  <c r="H1159" i="22"/>
  <c r="I1159" i="22" s="1"/>
  <c r="G1159" i="22"/>
  <c r="H1158" i="22"/>
  <c r="I1158" i="22" s="1"/>
  <c r="G1158" i="22"/>
  <c r="H1157" i="22"/>
  <c r="I1157" i="22" s="1"/>
  <c r="G1157" i="22"/>
  <c r="H1156" i="22"/>
  <c r="I1156" i="22" s="1"/>
  <c r="G1156" i="22"/>
  <c r="H1155" i="22"/>
  <c r="I1155" i="22" s="1"/>
  <c r="G1155" i="22"/>
  <c r="H1154" i="22"/>
  <c r="I1154" i="22" s="1"/>
  <c r="G1154" i="22"/>
  <c r="H1153" i="22"/>
  <c r="I1153" i="22" s="1"/>
  <c r="G1153" i="22"/>
  <c r="H1152" i="22"/>
  <c r="I1152" i="22" s="1"/>
  <c r="G1152" i="22"/>
  <c r="H1151" i="22"/>
  <c r="I1151" i="22" s="1"/>
  <c r="G1151" i="22"/>
  <c r="H1150" i="22"/>
  <c r="I1150" i="22" s="1"/>
  <c r="G1150" i="22"/>
  <c r="H1149" i="22"/>
  <c r="I1149" i="22" s="1"/>
  <c r="G1149" i="22"/>
  <c r="H1148" i="22"/>
  <c r="I1148" i="22" s="1"/>
  <c r="G1148" i="22"/>
  <c r="H1147" i="22"/>
  <c r="I1147" i="22" s="1"/>
  <c r="G1147" i="22"/>
  <c r="H1146" i="22"/>
  <c r="I1146" i="22" s="1"/>
  <c r="G1146" i="22"/>
  <c r="H1145" i="22"/>
  <c r="I1145" i="22" s="1"/>
  <c r="G1145" i="22"/>
  <c r="H1144" i="22"/>
  <c r="I1144" i="22" s="1"/>
  <c r="G1144" i="22"/>
  <c r="H1143" i="22"/>
  <c r="I1143" i="22" s="1"/>
  <c r="G1143" i="22"/>
  <c r="H1142" i="22"/>
  <c r="I1142" i="22" s="1"/>
  <c r="G1142" i="22"/>
  <c r="H1141" i="22"/>
  <c r="I1141" i="22" s="1"/>
  <c r="G1141" i="22"/>
  <c r="H1140" i="22"/>
  <c r="I1140" i="22" s="1"/>
  <c r="G1140" i="22"/>
  <c r="H1139" i="22"/>
  <c r="I1139" i="22" s="1"/>
  <c r="G1139" i="22"/>
  <c r="H1138" i="22"/>
  <c r="I1138" i="22" s="1"/>
  <c r="G1138" i="22"/>
  <c r="H1137" i="22"/>
  <c r="I1137" i="22" s="1"/>
  <c r="G1137" i="22"/>
  <c r="H1136" i="22"/>
  <c r="I1136" i="22" s="1"/>
  <c r="G1136" i="22"/>
  <c r="H1135" i="22"/>
  <c r="I1135" i="22" s="1"/>
  <c r="G1135" i="22"/>
  <c r="H1134" i="22"/>
  <c r="I1134" i="22" s="1"/>
  <c r="G1134" i="22"/>
  <c r="H1133" i="22"/>
  <c r="I1133" i="22" s="1"/>
  <c r="G1133" i="22"/>
  <c r="H1132" i="22"/>
  <c r="I1132" i="22" s="1"/>
  <c r="G1132" i="22"/>
  <c r="H1131" i="22"/>
  <c r="I1131" i="22" s="1"/>
  <c r="G1131" i="22"/>
  <c r="H1130" i="22"/>
  <c r="I1130" i="22" s="1"/>
  <c r="G1130" i="22"/>
  <c r="H1129" i="22"/>
  <c r="I1129" i="22" s="1"/>
  <c r="G1129" i="22"/>
  <c r="H1128" i="22"/>
  <c r="I1128" i="22" s="1"/>
  <c r="G1128" i="22"/>
  <c r="H1127" i="22"/>
  <c r="I1127" i="22" s="1"/>
  <c r="G1127" i="22"/>
  <c r="H1126" i="22"/>
  <c r="I1126" i="22" s="1"/>
  <c r="G1126" i="22"/>
  <c r="H1125" i="22"/>
  <c r="I1125" i="22" s="1"/>
  <c r="G1125" i="22"/>
  <c r="H1124" i="22"/>
  <c r="I1124" i="22" s="1"/>
  <c r="G1124" i="22"/>
  <c r="H1123" i="22"/>
  <c r="I1123" i="22" s="1"/>
  <c r="G1123" i="22"/>
  <c r="H1122" i="22"/>
  <c r="I1122" i="22" s="1"/>
  <c r="G1122" i="22"/>
  <c r="H1121" i="22"/>
  <c r="I1121" i="22" s="1"/>
  <c r="G1121" i="22"/>
  <c r="H1120" i="22"/>
  <c r="I1120" i="22" s="1"/>
  <c r="G1120" i="22"/>
  <c r="H1119" i="22"/>
  <c r="I1119" i="22" s="1"/>
  <c r="G1119" i="22"/>
  <c r="H1118" i="22"/>
  <c r="I1118" i="22" s="1"/>
  <c r="G1118" i="22"/>
  <c r="H1117" i="22"/>
  <c r="I1117" i="22" s="1"/>
  <c r="G1117" i="22"/>
  <c r="H1116" i="22"/>
  <c r="I1116" i="22" s="1"/>
  <c r="G1116" i="22"/>
  <c r="H1115" i="22"/>
  <c r="I1115" i="22" s="1"/>
  <c r="G1115" i="22"/>
  <c r="H1114" i="22"/>
  <c r="I1114" i="22" s="1"/>
  <c r="G1114" i="22"/>
  <c r="H1113" i="22"/>
  <c r="I1113" i="22" s="1"/>
  <c r="G1113" i="22"/>
  <c r="H1112" i="22"/>
  <c r="I1112" i="22" s="1"/>
  <c r="G1112" i="22"/>
  <c r="H1111" i="22"/>
  <c r="I1111" i="22" s="1"/>
  <c r="G1111" i="22"/>
  <c r="H1110" i="22"/>
  <c r="I1110" i="22" s="1"/>
  <c r="G1110" i="22"/>
  <c r="H1109" i="22"/>
  <c r="I1109" i="22" s="1"/>
  <c r="G1109" i="22"/>
  <c r="H1108" i="22"/>
  <c r="I1108" i="22" s="1"/>
  <c r="G1108" i="22"/>
  <c r="H1107" i="22"/>
  <c r="I1107" i="22" s="1"/>
  <c r="G1107" i="22"/>
  <c r="H1106" i="22"/>
  <c r="I1106" i="22" s="1"/>
  <c r="G1106" i="22"/>
  <c r="H1105" i="22"/>
  <c r="I1105" i="22" s="1"/>
  <c r="G1105" i="22"/>
  <c r="H1104" i="22"/>
  <c r="I1104" i="22" s="1"/>
  <c r="G1104" i="22"/>
  <c r="H1103" i="22"/>
  <c r="I1103" i="22" s="1"/>
  <c r="G1103" i="22"/>
  <c r="H1102" i="22"/>
  <c r="I1102" i="22" s="1"/>
  <c r="G1102" i="22"/>
  <c r="H1101" i="22"/>
  <c r="I1101" i="22" s="1"/>
  <c r="G1101" i="22"/>
  <c r="H1100" i="22"/>
  <c r="I1100" i="22" s="1"/>
  <c r="G1100" i="22"/>
  <c r="H1099" i="22"/>
  <c r="I1099" i="22" s="1"/>
  <c r="G1099" i="22"/>
  <c r="H1098" i="22"/>
  <c r="I1098" i="22" s="1"/>
  <c r="G1098" i="22"/>
  <c r="H1097" i="22"/>
  <c r="I1097" i="22" s="1"/>
  <c r="G1097" i="22"/>
  <c r="H1096" i="22"/>
  <c r="I1096" i="22" s="1"/>
  <c r="G1096" i="22"/>
  <c r="H1095" i="22"/>
  <c r="I1095" i="22" s="1"/>
  <c r="G1095" i="22"/>
  <c r="H1094" i="22"/>
  <c r="I1094" i="22" s="1"/>
  <c r="G1094" i="22"/>
  <c r="H1093" i="22"/>
  <c r="I1093" i="22" s="1"/>
  <c r="G1093" i="22"/>
  <c r="H1092" i="22"/>
  <c r="I1092" i="22" s="1"/>
  <c r="G1092" i="22"/>
  <c r="H1091" i="22"/>
  <c r="I1091" i="22" s="1"/>
  <c r="G1091" i="22"/>
  <c r="H1090" i="22"/>
  <c r="I1090" i="22" s="1"/>
  <c r="G1090" i="22"/>
  <c r="H1089" i="22"/>
  <c r="I1089" i="22" s="1"/>
  <c r="G1089" i="22"/>
  <c r="H1088" i="22"/>
  <c r="I1088" i="22" s="1"/>
  <c r="G1088" i="22"/>
  <c r="H1087" i="22"/>
  <c r="I1087" i="22" s="1"/>
  <c r="G1087" i="22"/>
  <c r="H1086" i="22"/>
  <c r="I1086" i="22" s="1"/>
  <c r="G1086" i="22"/>
  <c r="H1085" i="22"/>
  <c r="I1085" i="22" s="1"/>
  <c r="G1085" i="22"/>
  <c r="H1084" i="22"/>
  <c r="I1084" i="22" s="1"/>
  <c r="G1084" i="22"/>
  <c r="H1083" i="22"/>
  <c r="I1083" i="22" s="1"/>
  <c r="G1083" i="22"/>
  <c r="H1082" i="22"/>
  <c r="I1082" i="22" s="1"/>
  <c r="G1082" i="22"/>
  <c r="H1081" i="22"/>
  <c r="I1081" i="22" s="1"/>
  <c r="G1081" i="22"/>
  <c r="H1080" i="22"/>
  <c r="I1080" i="22" s="1"/>
  <c r="G1080" i="22"/>
  <c r="H1079" i="22"/>
  <c r="I1079" i="22" s="1"/>
  <c r="G1079" i="22"/>
  <c r="H1078" i="22"/>
  <c r="I1078" i="22" s="1"/>
  <c r="G1078" i="22"/>
  <c r="H1077" i="22"/>
  <c r="I1077" i="22" s="1"/>
  <c r="G1077" i="22"/>
  <c r="H1076" i="22"/>
  <c r="I1076" i="22" s="1"/>
  <c r="G1076" i="22"/>
  <c r="H1075" i="22"/>
  <c r="I1075" i="22" s="1"/>
  <c r="G1075" i="22"/>
  <c r="H1074" i="22"/>
  <c r="I1074" i="22" s="1"/>
  <c r="G1074" i="22"/>
  <c r="H1073" i="22"/>
  <c r="I1073" i="22" s="1"/>
  <c r="G1073" i="22"/>
  <c r="H1072" i="22"/>
  <c r="I1072" i="22" s="1"/>
  <c r="G1072" i="22"/>
  <c r="H1071" i="22"/>
  <c r="I1071" i="22" s="1"/>
  <c r="G1071" i="22"/>
  <c r="H1070" i="22"/>
  <c r="I1070" i="22" s="1"/>
  <c r="G1070" i="22"/>
  <c r="H1069" i="22"/>
  <c r="I1069" i="22" s="1"/>
  <c r="G1069" i="22"/>
  <c r="H1068" i="22"/>
  <c r="I1068" i="22" s="1"/>
  <c r="G1068" i="22"/>
  <c r="H1067" i="22"/>
  <c r="I1067" i="22" s="1"/>
  <c r="G1067" i="22"/>
  <c r="H1066" i="22"/>
  <c r="I1066" i="22" s="1"/>
  <c r="G1066" i="22"/>
  <c r="H1065" i="22"/>
  <c r="I1065" i="22" s="1"/>
  <c r="G1065" i="22"/>
  <c r="H1064" i="22"/>
  <c r="I1064" i="22" s="1"/>
  <c r="G1064" i="22"/>
  <c r="H1063" i="22"/>
  <c r="I1063" i="22" s="1"/>
  <c r="G1063" i="22"/>
  <c r="H1062" i="22"/>
  <c r="I1062" i="22" s="1"/>
  <c r="G1062" i="22"/>
  <c r="H1061" i="22"/>
  <c r="I1061" i="22" s="1"/>
  <c r="G1061" i="22"/>
  <c r="H1060" i="22"/>
  <c r="I1060" i="22" s="1"/>
  <c r="G1060" i="22"/>
  <c r="H1059" i="22"/>
  <c r="I1059" i="22" s="1"/>
  <c r="G1059" i="22"/>
  <c r="H1058" i="22"/>
  <c r="I1058" i="22" s="1"/>
  <c r="G1058" i="22"/>
  <c r="H1057" i="22"/>
  <c r="I1057" i="22" s="1"/>
  <c r="G1057" i="22"/>
  <c r="H1056" i="22"/>
  <c r="I1056" i="22" s="1"/>
  <c r="G1056" i="22"/>
  <c r="H1055" i="22"/>
  <c r="I1055" i="22" s="1"/>
  <c r="G1055" i="22"/>
  <c r="H1054" i="22"/>
  <c r="I1054" i="22" s="1"/>
  <c r="G1054" i="22"/>
  <c r="H1053" i="22"/>
  <c r="I1053" i="22" s="1"/>
  <c r="G1053" i="22"/>
  <c r="H1052" i="22"/>
  <c r="I1052" i="22" s="1"/>
  <c r="G1052" i="22"/>
  <c r="H1051" i="22"/>
  <c r="I1051" i="22" s="1"/>
  <c r="G1051" i="22"/>
  <c r="H1050" i="22"/>
  <c r="I1050" i="22" s="1"/>
  <c r="G1050" i="22"/>
  <c r="H1049" i="22"/>
  <c r="I1049" i="22" s="1"/>
  <c r="G1049" i="22"/>
  <c r="H1048" i="22"/>
  <c r="I1048" i="22" s="1"/>
  <c r="G1048" i="22"/>
  <c r="H1047" i="22"/>
  <c r="I1047" i="22" s="1"/>
  <c r="G1047" i="22"/>
  <c r="H1046" i="22"/>
  <c r="I1046" i="22" s="1"/>
  <c r="G1046" i="22"/>
  <c r="H1045" i="22"/>
  <c r="I1045" i="22" s="1"/>
  <c r="G1045" i="22"/>
  <c r="H1044" i="22"/>
  <c r="I1044" i="22" s="1"/>
  <c r="G1044" i="22"/>
  <c r="H1043" i="22"/>
  <c r="I1043" i="22" s="1"/>
  <c r="G1043" i="22"/>
  <c r="H1042" i="22"/>
  <c r="I1042" i="22" s="1"/>
  <c r="G1042" i="22"/>
  <c r="H1041" i="22"/>
  <c r="I1041" i="22" s="1"/>
  <c r="G1041" i="22"/>
  <c r="H1040" i="22"/>
  <c r="I1040" i="22" s="1"/>
  <c r="G1040" i="22"/>
  <c r="H1039" i="22"/>
  <c r="I1039" i="22" s="1"/>
  <c r="G1039" i="22"/>
  <c r="H1038" i="22"/>
  <c r="I1038" i="22" s="1"/>
  <c r="G1038" i="22"/>
  <c r="H1037" i="22"/>
  <c r="I1037" i="22" s="1"/>
  <c r="G1037" i="22"/>
  <c r="H1036" i="22"/>
  <c r="I1036" i="22" s="1"/>
  <c r="G1036" i="22"/>
  <c r="H1035" i="22"/>
  <c r="I1035" i="22" s="1"/>
  <c r="G1035" i="22"/>
  <c r="H1034" i="22"/>
  <c r="I1034" i="22" s="1"/>
  <c r="G1034" i="22"/>
  <c r="H1033" i="22"/>
  <c r="I1033" i="22" s="1"/>
  <c r="G1033" i="22"/>
  <c r="H1032" i="22"/>
  <c r="I1032" i="22" s="1"/>
  <c r="G1032" i="22"/>
  <c r="H1031" i="22"/>
  <c r="I1031" i="22" s="1"/>
  <c r="G1031" i="22"/>
  <c r="H1030" i="22"/>
  <c r="I1030" i="22" s="1"/>
  <c r="G1030" i="22"/>
  <c r="H1029" i="22"/>
  <c r="I1029" i="22" s="1"/>
  <c r="G1029" i="22"/>
  <c r="H1028" i="22"/>
  <c r="I1028" i="22" s="1"/>
  <c r="G1028" i="22"/>
  <c r="H1027" i="22"/>
  <c r="I1027" i="22" s="1"/>
  <c r="G1027" i="22"/>
  <c r="H1026" i="22"/>
  <c r="I1026" i="22" s="1"/>
  <c r="G1026" i="22"/>
  <c r="H1025" i="22"/>
  <c r="I1025" i="22" s="1"/>
  <c r="G1025" i="22"/>
  <c r="H1024" i="22"/>
  <c r="I1024" i="22" s="1"/>
  <c r="G1024" i="22"/>
  <c r="H1023" i="22"/>
  <c r="I1023" i="22" s="1"/>
  <c r="G1023" i="22"/>
  <c r="H1022" i="22"/>
  <c r="I1022" i="22" s="1"/>
  <c r="G1022" i="22"/>
  <c r="H1021" i="22"/>
  <c r="I1021" i="22" s="1"/>
  <c r="G1021" i="22"/>
  <c r="H1020" i="22"/>
  <c r="I1020" i="22" s="1"/>
  <c r="G1020" i="22"/>
  <c r="H1019" i="22"/>
  <c r="I1019" i="22" s="1"/>
  <c r="G1019" i="22"/>
  <c r="H1018" i="22"/>
  <c r="I1018" i="22" s="1"/>
  <c r="G1018" i="22"/>
  <c r="H1017" i="22"/>
  <c r="I1017" i="22" s="1"/>
  <c r="G1017" i="22"/>
  <c r="H1016" i="22"/>
  <c r="I1016" i="22" s="1"/>
  <c r="G1016" i="22"/>
  <c r="H1015" i="22"/>
  <c r="I1015" i="22" s="1"/>
  <c r="G1015" i="22"/>
  <c r="H1014" i="22"/>
  <c r="I1014" i="22" s="1"/>
  <c r="G1014" i="22"/>
  <c r="H1013" i="22"/>
  <c r="I1013" i="22" s="1"/>
  <c r="G1013" i="22"/>
  <c r="H1012" i="22"/>
  <c r="I1012" i="22" s="1"/>
  <c r="G1012" i="22"/>
  <c r="H1011" i="22"/>
  <c r="I1011" i="22" s="1"/>
  <c r="G1011" i="22"/>
  <c r="H1010" i="22"/>
  <c r="I1010" i="22" s="1"/>
  <c r="G1010" i="22"/>
  <c r="H1009" i="22"/>
  <c r="I1009" i="22" s="1"/>
  <c r="G1009" i="22"/>
  <c r="H1008" i="22"/>
  <c r="I1008" i="22" s="1"/>
  <c r="G1008" i="22"/>
  <c r="H1007" i="22"/>
  <c r="I1007" i="22" s="1"/>
  <c r="G1007" i="22"/>
  <c r="H1006" i="22"/>
  <c r="I1006" i="22" s="1"/>
  <c r="G1006" i="22"/>
  <c r="H1005" i="22"/>
  <c r="I1005" i="22" s="1"/>
  <c r="G1005" i="22"/>
  <c r="H1004" i="22"/>
  <c r="I1004" i="22" s="1"/>
  <c r="G1004" i="22"/>
  <c r="H1003" i="22"/>
  <c r="I1003" i="22" s="1"/>
  <c r="G1003" i="22"/>
  <c r="H1002" i="22"/>
  <c r="I1002" i="22" s="1"/>
  <c r="G1002" i="22"/>
  <c r="H1001" i="22"/>
  <c r="I1001" i="22" s="1"/>
  <c r="G1001" i="22"/>
  <c r="H1000" i="22"/>
  <c r="I1000" i="22" s="1"/>
  <c r="G1000" i="22"/>
  <c r="H999" i="22"/>
  <c r="I999" i="22" s="1"/>
  <c r="G999" i="22"/>
  <c r="H998" i="22"/>
  <c r="I998" i="22" s="1"/>
  <c r="G998" i="22"/>
  <c r="H997" i="22"/>
  <c r="I997" i="22" s="1"/>
  <c r="G997" i="22"/>
  <c r="H996" i="22"/>
  <c r="I996" i="22" s="1"/>
  <c r="G996" i="22"/>
  <c r="H995" i="22"/>
  <c r="I995" i="22" s="1"/>
  <c r="G995" i="22"/>
  <c r="H994" i="22"/>
  <c r="I994" i="22" s="1"/>
  <c r="G994" i="22"/>
  <c r="H993" i="22"/>
  <c r="I993" i="22" s="1"/>
  <c r="G993" i="22"/>
  <c r="H992" i="22"/>
  <c r="I992" i="22" s="1"/>
  <c r="G992" i="22"/>
  <c r="H991" i="22"/>
  <c r="I991" i="22" s="1"/>
  <c r="G991" i="22"/>
  <c r="H990" i="22"/>
  <c r="I990" i="22" s="1"/>
  <c r="G990" i="22"/>
  <c r="H989" i="22"/>
  <c r="I989" i="22" s="1"/>
  <c r="G989" i="22"/>
  <c r="H988" i="22"/>
  <c r="I988" i="22" s="1"/>
  <c r="G988" i="22"/>
  <c r="H987" i="22"/>
  <c r="I987" i="22" s="1"/>
  <c r="G987" i="22"/>
  <c r="H986" i="22"/>
  <c r="I986" i="22" s="1"/>
  <c r="G986" i="22"/>
  <c r="H985" i="22"/>
  <c r="I985" i="22" s="1"/>
  <c r="G985" i="22"/>
  <c r="H984" i="22"/>
  <c r="I984" i="22" s="1"/>
  <c r="G984" i="22"/>
  <c r="H983" i="22"/>
  <c r="I983" i="22" s="1"/>
  <c r="G983" i="22"/>
  <c r="H982" i="22"/>
  <c r="I982" i="22" s="1"/>
  <c r="G982" i="22"/>
  <c r="H981" i="22"/>
  <c r="I981" i="22" s="1"/>
  <c r="G981" i="22"/>
  <c r="H980" i="22"/>
  <c r="I980" i="22" s="1"/>
  <c r="G980" i="22"/>
  <c r="H979" i="22"/>
  <c r="I979" i="22" s="1"/>
  <c r="G979" i="22"/>
  <c r="H978" i="22"/>
  <c r="I978" i="22" s="1"/>
  <c r="G978" i="22"/>
  <c r="H977" i="22"/>
  <c r="I977" i="22" s="1"/>
  <c r="G977" i="22"/>
  <c r="H976" i="22"/>
  <c r="I976" i="22" s="1"/>
  <c r="G976" i="22"/>
  <c r="H975" i="22"/>
  <c r="I975" i="22" s="1"/>
  <c r="G975" i="22"/>
  <c r="H974" i="22"/>
  <c r="I974" i="22" s="1"/>
  <c r="G974" i="22"/>
  <c r="H973" i="22"/>
  <c r="I973" i="22" s="1"/>
  <c r="G973" i="22"/>
  <c r="H972" i="22"/>
  <c r="I972" i="22" s="1"/>
  <c r="G972" i="22"/>
  <c r="H971" i="22"/>
  <c r="I971" i="22" s="1"/>
  <c r="G971" i="22"/>
  <c r="H970" i="22"/>
  <c r="I970" i="22" s="1"/>
  <c r="G970" i="22"/>
  <c r="H969" i="22"/>
  <c r="I969" i="22" s="1"/>
  <c r="G969" i="22"/>
  <c r="H968" i="22"/>
  <c r="I968" i="22" s="1"/>
  <c r="G968" i="22"/>
  <c r="H967" i="22"/>
  <c r="I967" i="22" s="1"/>
  <c r="G967" i="22"/>
  <c r="H966" i="22"/>
  <c r="I966" i="22" s="1"/>
  <c r="G966" i="22"/>
  <c r="H965" i="22"/>
  <c r="I965" i="22" s="1"/>
  <c r="G965" i="22"/>
  <c r="H964" i="22"/>
  <c r="I964" i="22" s="1"/>
  <c r="G964" i="22"/>
  <c r="H963" i="22"/>
  <c r="I963" i="22" s="1"/>
  <c r="G963" i="22"/>
  <c r="H962" i="22"/>
  <c r="I962" i="22" s="1"/>
  <c r="G962" i="22"/>
  <c r="H961" i="22"/>
  <c r="I961" i="22" s="1"/>
  <c r="G961" i="22"/>
  <c r="H960" i="22"/>
  <c r="I960" i="22" s="1"/>
  <c r="G960" i="22"/>
  <c r="H959" i="22"/>
  <c r="I959" i="22" s="1"/>
  <c r="G959" i="22"/>
  <c r="H958" i="22"/>
  <c r="I958" i="22" s="1"/>
  <c r="G958" i="22"/>
  <c r="H957" i="22"/>
  <c r="I957" i="22" s="1"/>
  <c r="G957" i="22"/>
  <c r="H956" i="22"/>
  <c r="I956" i="22" s="1"/>
  <c r="G956" i="22"/>
  <c r="H955" i="22"/>
  <c r="I955" i="22" s="1"/>
  <c r="G955" i="22"/>
  <c r="H954" i="22"/>
  <c r="I954" i="22" s="1"/>
  <c r="G954" i="22"/>
  <c r="H953" i="22"/>
  <c r="I953" i="22" s="1"/>
  <c r="G953" i="22"/>
  <c r="H952" i="22"/>
  <c r="I952" i="22" s="1"/>
  <c r="G952" i="22"/>
  <c r="H951" i="22"/>
  <c r="I951" i="22" s="1"/>
  <c r="G951" i="22"/>
  <c r="H950" i="22"/>
  <c r="I950" i="22" s="1"/>
  <c r="G950" i="22"/>
  <c r="H949" i="22"/>
  <c r="I949" i="22" s="1"/>
  <c r="G949" i="22"/>
  <c r="H948" i="22"/>
  <c r="I948" i="22" s="1"/>
  <c r="G948" i="22"/>
  <c r="H947" i="22"/>
  <c r="I947" i="22" s="1"/>
  <c r="G947" i="22"/>
  <c r="H946" i="22"/>
  <c r="I946" i="22" s="1"/>
  <c r="G946" i="22"/>
  <c r="H945" i="22"/>
  <c r="I945" i="22" s="1"/>
  <c r="G945" i="22"/>
  <c r="H944" i="22"/>
  <c r="I944" i="22" s="1"/>
  <c r="G944" i="22"/>
  <c r="H943" i="22"/>
  <c r="I943" i="22" s="1"/>
  <c r="G943" i="22"/>
  <c r="H942" i="22"/>
  <c r="I942" i="22" s="1"/>
  <c r="G942" i="22"/>
  <c r="H941" i="22"/>
  <c r="I941" i="22" s="1"/>
  <c r="G941" i="22"/>
  <c r="H940" i="22"/>
  <c r="I940" i="22" s="1"/>
  <c r="G940" i="22"/>
  <c r="H939" i="22"/>
  <c r="I939" i="22" s="1"/>
  <c r="G939" i="22"/>
  <c r="H938" i="22"/>
  <c r="I938" i="22" s="1"/>
  <c r="G938" i="22"/>
  <c r="H937" i="22"/>
  <c r="I937" i="22" s="1"/>
  <c r="G937" i="22"/>
  <c r="H936" i="22"/>
  <c r="I936" i="22" s="1"/>
  <c r="G936" i="22"/>
  <c r="H935" i="22"/>
  <c r="I935" i="22" s="1"/>
  <c r="G935" i="22"/>
  <c r="H934" i="22"/>
  <c r="I934" i="22" s="1"/>
  <c r="G934" i="22"/>
  <c r="H933" i="22"/>
  <c r="I933" i="22" s="1"/>
  <c r="G933" i="22"/>
  <c r="H932" i="22"/>
  <c r="I932" i="22" s="1"/>
  <c r="G932" i="22"/>
  <c r="H931" i="22"/>
  <c r="I931" i="22" s="1"/>
  <c r="G931" i="22"/>
  <c r="H930" i="22"/>
  <c r="I930" i="22" s="1"/>
  <c r="G930" i="22"/>
  <c r="H929" i="22"/>
  <c r="I929" i="22" s="1"/>
  <c r="G929" i="22"/>
  <c r="H928" i="22"/>
  <c r="I928" i="22" s="1"/>
  <c r="G928" i="22"/>
  <c r="H927" i="22"/>
  <c r="I927" i="22" s="1"/>
  <c r="G927" i="22"/>
  <c r="H926" i="22"/>
  <c r="I926" i="22" s="1"/>
  <c r="G926" i="22"/>
  <c r="H925" i="22"/>
  <c r="I925" i="22" s="1"/>
  <c r="G925" i="22"/>
  <c r="H924" i="22"/>
  <c r="I924" i="22" s="1"/>
  <c r="G924" i="22"/>
  <c r="H923" i="22"/>
  <c r="I923" i="22" s="1"/>
  <c r="G923" i="22"/>
  <c r="H922" i="22"/>
  <c r="I922" i="22" s="1"/>
  <c r="G922" i="22"/>
  <c r="H921" i="22"/>
  <c r="I921" i="22" s="1"/>
  <c r="G921" i="22"/>
  <c r="H920" i="22"/>
  <c r="I920" i="22" s="1"/>
  <c r="G920" i="22"/>
  <c r="H919" i="22"/>
  <c r="I919" i="22" s="1"/>
  <c r="G919" i="22"/>
  <c r="H918" i="22"/>
  <c r="I918" i="22" s="1"/>
  <c r="G918" i="22"/>
  <c r="H917" i="22"/>
  <c r="I917" i="22" s="1"/>
  <c r="G917" i="22"/>
  <c r="H916" i="22"/>
  <c r="I916" i="22" s="1"/>
  <c r="G916" i="22"/>
  <c r="H915" i="22"/>
  <c r="I915" i="22" s="1"/>
  <c r="G915" i="22"/>
  <c r="H914" i="22"/>
  <c r="I914" i="22" s="1"/>
  <c r="G914" i="22"/>
  <c r="H913" i="22"/>
  <c r="I913" i="22" s="1"/>
  <c r="G913" i="22"/>
  <c r="H912" i="22"/>
  <c r="I912" i="22" s="1"/>
  <c r="G912" i="22"/>
  <c r="H911" i="22"/>
  <c r="I911" i="22" s="1"/>
  <c r="G911" i="22"/>
  <c r="H910" i="22"/>
  <c r="I910" i="22" s="1"/>
  <c r="G910" i="22"/>
  <c r="H909" i="22"/>
  <c r="I909" i="22" s="1"/>
  <c r="G909" i="22"/>
  <c r="H908" i="22"/>
  <c r="I908" i="22" s="1"/>
  <c r="G908" i="22"/>
  <c r="H907" i="22"/>
  <c r="I907" i="22" s="1"/>
  <c r="G907" i="22"/>
  <c r="H906" i="22"/>
  <c r="I906" i="22" s="1"/>
  <c r="G906" i="22"/>
  <c r="H905" i="22"/>
  <c r="I905" i="22" s="1"/>
  <c r="G905" i="22"/>
  <c r="H904" i="22"/>
  <c r="I904" i="22" s="1"/>
  <c r="G904" i="22"/>
  <c r="H903" i="22"/>
  <c r="I903" i="22" s="1"/>
  <c r="G903" i="22"/>
  <c r="H902" i="22"/>
  <c r="I902" i="22" s="1"/>
  <c r="G902" i="22"/>
  <c r="H901" i="22"/>
  <c r="I901" i="22" s="1"/>
  <c r="G901" i="22"/>
  <c r="H900" i="22"/>
  <c r="I900" i="22" s="1"/>
  <c r="G900" i="22"/>
  <c r="H899" i="22"/>
  <c r="I899" i="22" s="1"/>
  <c r="G899" i="22"/>
  <c r="H898" i="22"/>
  <c r="I898" i="22" s="1"/>
  <c r="G898" i="22"/>
  <c r="H897" i="22"/>
  <c r="I897" i="22" s="1"/>
  <c r="G897" i="22"/>
  <c r="H896" i="22"/>
  <c r="I896" i="22" s="1"/>
  <c r="G896" i="22"/>
  <c r="H895" i="22"/>
  <c r="I895" i="22" s="1"/>
  <c r="G895" i="22"/>
  <c r="H894" i="22"/>
  <c r="I894" i="22" s="1"/>
  <c r="G894" i="22"/>
  <c r="H893" i="22"/>
  <c r="I893" i="22" s="1"/>
  <c r="G893" i="22"/>
  <c r="H892" i="22"/>
  <c r="I892" i="22" s="1"/>
  <c r="G892" i="22"/>
  <c r="H891" i="22"/>
  <c r="I891" i="22" s="1"/>
  <c r="G891" i="22"/>
  <c r="H890" i="22"/>
  <c r="I890" i="22" s="1"/>
  <c r="G890" i="22"/>
  <c r="H889" i="22"/>
  <c r="I889" i="22" s="1"/>
  <c r="G889" i="22"/>
  <c r="H888" i="22"/>
  <c r="I888" i="22" s="1"/>
  <c r="G888" i="22"/>
  <c r="H887" i="22"/>
  <c r="I887" i="22" s="1"/>
  <c r="G887" i="22"/>
  <c r="H886" i="22"/>
  <c r="I886" i="22" s="1"/>
  <c r="G886" i="22"/>
  <c r="H885" i="22"/>
  <c r="I885" i="22" s="1"/>
  <c r="G885" i="22"/>
  <c r="H884" i="22"/>
  <c r="I884" i="22" s="1"/>
  <c r="G884" i="22"/>
  <c r="H883" i="22"/>
  <c r="I883" i="22" s="1"/>
  <c r="G883" i="22"/>
  <c r="H882" i="22"/>
  <c r="I882" i="22" s="1"/>
  <c r="G882" i="22"/>
  <c r="H881" i="22"/>
  <c r="I881" i="22" s="1"/>
  <c r="G881" i="22"/>
  <c r="H880" i="22"/>
  <c r="I880" i="22" s="1"/>
  <c r="G880" i="22"/>
  <c r="H879" i="22"/>
  <c r="I879" i="22" s="1"/>
  <c r="G879" i="22"/>
  <c r="H878" i="22"/>
  <c r="I878" i="22" s="1"/>
  <c r="G878" i="22"/>
  <c r="H877" i="22"/>
  <c r="I877" i="22" s="1"/>
  <c r="G877" i="22"/>
  <c r="H876" i="22"/>
  <c r="I876" i="22" s="1"/>
  <c r="G876" i="22"/>
  <c r="H875" i="22"/>
  <c r="I875" i="22" s="1"/>
  <c r="G875" i="22"/>
  <c r="H874" i="22"/>
  <c r="I874" i="22" s="1"/>
  <c r="G874" i="22"/>
  <c r="H873" i="22"/>
  <c r="I873" i="22" s="1"/>
  <c r="G873" i="22"/>
  <c r="H872" i="22"/>
  <c r="I872" i="22" s="1"/>
  <c r="G872" i="22"/>
  <c r="H871" i="22"/>
  <c r="I871" i="22" s="1"/>
  <c r="G871" i="22"/>
  <c r="H870" i="22"/>
  <c r="I870" i="22" s="1"/>
  <c r="G870" i="22"/>
  <c r="H869" i="22"/>
  <c r="I869" i="22" s="1"/>
  <c r="G869" i="22"/>
  <c r="H868" i="22"/>
  <c r="I868" i="22" s="1"/>
  <c r="G868" i="22"/>
  <c r="H867" i="22"/>
  <c r="I867" i="22" s="1"/>
  <c r="G867" i="22"/>
  <c r="H866" i="22"/>
  <c r="I866" i="22" s="1"/>
  <c r="G866" i="22"/>
  <c r="H865" i="22"/>
  <c r="I865" i="22" s="1"/>
  <c r="G865" i="22"/>
  <c r="H864" i="22"/>
  <c r="I864" i="22" s="1"/>
  <c r="G864" i="22"/>
  <c r="H863" i="22"/>
  <c r="I863" i="22" s="1"/>
  <c r="G863" i="22"/>
  <c r="H862" i="22"/>
  <c r="I862" i="22" s="1"/>
  <c r="G862" i="22"/>
  <c r="H861" i="22"/>
  <c r="I861" i="22" s="1"/>
  <c r="G861" i="22"/>
  <c r="H860" i="22"/>
  <c r="I860" i="22" s="1"/>
  <c r="G860" i="22"/>
  <c r="H859" i="22"/>
  <c r="I859" i="22" s="1"/>
  <c r="G859" i="22"/>
  <c r="H858" i="22"/>
  <c r="I858" i="22" s="1"/>
  <c r="G858" i="22"/>
  <c r="H857" i="22"/>
  <c r="I857" i="22" s="1"/>
  <c r="G857" i="22"/>
  <c r="H856" i="22"/>
  <c r="I856" i="22" s="1"/>
  <c r="G856" i="22"/>
  <c r="H855" i="22"/>
  <c r="I855" i="22" s="1"/>
  <c r="G855" i="22"/>
  <c r="H854" i="22"/>
  <c r="I854" i="22" s="1"/>
  <c r="G854" i="22"/>
  <c r="H853" i="22"/>
  <c r="I853" i="22" s="1"/>
  <c r="G853" i="22"/>
  <c r="H852" i="22"/>
  <c r="I852" i="22" s="1"/>
  <c r="G852" i="22"/>
  <c r="H851" i="22"/>
  <c r="I851" i="22" s="1"/>
  <c r="G851" i="22"/>
  <c r="H850" i="22"/>
  <c r="I850" i="22" s="1"/>
  <c r="G850" i="22"/>
  <c r="H849" i="22"/>
  <c r="I849" i="22" s="1"/>
  <c r="G849" i="22"/>
  <c r="H848" i="22"/>
  <c r="I848" i="22" s="1"/>
  <c r="G848" i="22"/>
  <c r="H847" i="22"/>
  <c r="I847" i="22" s="1"/>
  <c r="G847" i="22"/>
  <c r="H846" i="22"/>
  <c r="I846" i="22" s="1"/>
  <c r="G846" i="22"/>
  <c r="H845" i="22"/>
  <c r="I845" i="22" s="1"/>
  <c r="G845" i="22"/>
  <c r="H844" i="22"/>
  <c r="I844" i="22" s="1"/>
  <c r="G844" i="22"/>
  <c r="H843" i="22"/>
  <c r="I843" i="22" s="1"/>
  <c r="G843" i="22"/>
  <c r="H842" i="22"/>
  <c r="I842" i="22" s="1"/>
  <c r="G842" i="22"/>
  <c r="H841" i="22"/>
  <c r="I841" i="22" s="1"/>
  <c r="G841" i="22"/>
  <c r="H840" i="22"/>
  <c r="I840" i="22" s="1"/>
  <c r="G840" i="22"/>
  <c r="H839" i="22"/>
  <c r="I839" i="22" s="1"/>
  <c r="G839" i="22"/>
  <c r="H838" i="22"/>
  <c r="I838" i="22" s="1"/>
  <c r="G838" i="22"/>
  <c r="H837" i="22"/>
  <c r="I837" i="22" s="1"/>
  <c r="G837" i="22"/>
  <c r="H836" i="22"/>
  <c r="I836" i="22" s="1"/>
  <c r="G836" i="22"/>
  <c r="H835" i="22"/>
  <c r="I835" i="22" s="1"/>
  <c r="G835" i="22"/>
  <c r="H834" i="22"/>
  <c r="I834" i="22" s="1"/>
  <c r="G834" i="22"/>
  <c r="H833" i="22"/>
  <c r="I833" i="22" s="1"/>
  <c r="G833" i="22"/>
  <c r="H832" i="22"/>
  <c r="I832" i="22" s="1"/>
  <c r="G832" i="22"/>
  <c r="H831" i="22"/>
  <c r="I831" i="22" s="1"/>
  <c r="G831" i="22"/>
  <c r="H830" i="22"/>
  <c r="I830" i="22" s="1"/>
  <c r="G830" i="22"/>
  <c r="H829" i="22"/>
  <c r="I829" i="22" s="1"/>
  <c r="G829" i="22"/>
  <c r="H828" i="22"/>
  <c r="I828" i="22" s="1"/>
  <c r="G828" i="22"/>
  <c r="H827" i="22"/>
  <c r="I827" i="22" s="1"/>
  <c r="G827" i="22"/>
  <c r="H826" i="22"/>
  <c r="I826" i="22" s="1"/>
  <c r="G826" i="22"/>
  <c r="H825" i="22"/>
  <c r="I825" i="22" s="1"/>
  <c r="G825" i="22"/>
  <c r="H824" i="22"/>
  <c r="I824" i="22" s="1"/>
  <c r="G824" i="22"/>
  <c r="H823" i="22"/>
  <c r="I823" i="22" s="1"/>
  <c r="G823" i="22"/>
  <c r="H822" i="22"/>
  <c r="I822" i="22" s="1"/>
  <c r="G822" i="22"/>
  <c r="H821" i="22"/>
  <c r="I821" i="22" s="1"/>
  <c r="G821" i="22"/>
  <c r="H820" i="22"/>
  <c r="I820" i="22" s="1"/>
  <c r="G820" i="22"/>
  <c r="H819" i="22"/>
  <c r="I819" i="22" s="1"/>
  <c r="G819" i="22"/>
  <c r="H818" i="22"/>
  <c r="I818" i="22" s="1"/>
  <c r="G818" i="22"/>
  <c r="H817" i="22"/>
  <c r="I817" i="22" s="1"/>
  <c r="G817" i="22"/>
  <c r="H816" i="22"/>
  <c r="I816" i="22" s="1"/>
  <c r="G816" i="22"/>
  <c r="H815" i="22"/>
  <c r="I815" i="22" s="1"/>
  <c r="G815" i="22"/>
  <c r="H814" i="22"/>
  <c r="I814" i="22" s="1"/>
  <c r="G814" i="22"/>
  <c r="H813" i="22"/>
  <c r="I813" i="22" s="1"/>
  <c r="G813" i="22"/>
  <c r="H812" i="22"/>
  <c r="I812" i="22" s="1"/>
  <c r="G812" i="22"/>
  <c r="H811" i="22"/>
  <c r="I811" i="22" s="1"/>
  <c r="G811" i="22"/>
  <c r="H810" i="22"/>
  <c r="I810" i="22" s="1"/>
  <c r="G810" i="22"/>
  <c r="H809" i="22"/>
  <c r="I809" i="22" s="1"/>
  <c r="G809" i="22"/>
  <c r="H808" i="22"/>
  <c r="I808" i="22" s="1"/>
  <c r="G808" i="22"/>
  <c r="H807" i="22"/>
  <c r="I807" i="22" s="1"/>
  <c r="G807" i="22"/>
  <c r="H806" i="22"/>
  <c r="I806" i="22" s="1"/>
  <c r="G806" i="22"/>
  <c r="H805" i="22"/>
  <c r="I805" i="22" s="1"/>
  <c r="G805" i="22"/>
  <c r="H804" i="22"/>
  <c r="I804" i="22" s="1"/>
  <c r="G804" i="22"/>
  <c r="H803" i="22"/>
  <c r="I803" i="22" s="1"/>
  <c r="G803" i="22"/>
  <c r="H802" i="22"/>
  <c r="I802" i="22" s="1"/>
  <c r="G802" i="22"/>
  <c r="H801" i="22"/>
  <c r="I801" i="22" s="1"/>
  <c r="G801" i="22"/>
  <c r="H800" i="22"/>
  <c r="I800" i="22" s="1"/>
  <c r="G800" i="22"/>
  <c r="H799" i="22"/>
  <c r="I799" i="22" s="1"/>
  <c r="G799" i="22"/>
  <c r="H798" i="22"/>
  <c r="I798" i="22" s="1"/>
  <c r="G798" i="22"/>
  <c r="H797" i="22"/>
  <c r="I797" i="22" s="1"/>
  <c r="G797" i="22"/>
  <c r="H796" i="22"/>
  <c r="I796" i="22" s="1"/>
  <c r="G796" i="22"/>
  <c r="H795" i="22"/>
  <c r="I795" i="22" s="1"/>
  <c r="G795" i="22"/>
  <c r="H794" i="22"/>
  <c r="I794" i="22" s="1"/>
  <c r="G794" i="22"/>
  <c r="H793" i="22"/>
  <c r="I793" i="22" s="1"/>
  <c r="G793" i="22"/>
  <c r="H792" i="22"/>
  <c r="I792" i="22" s="1"/>
  <c r="G792" i="22"/>
  <c r="H791" i="22"/>
  <c r="I791" i="22" s="1"/>
  <c r="G791" i="22"/>
  <c r="H790" i="22"/>
  <c r="I790" i="22" s="1"/>
  <c r="G790" i="22"/>
  <c r="H789" i="22"/>
  <c r="I789" i="22" s="1"/>
  <c r="G789" i="22"/>
  <c r="H788" i="22"/>
  <c r="I788" i="22" s="1"/>
  <c r="G788" i="22"/>
  <c r="H787" i="22"/>
  <c r="I787" i="22" s="1"/>
  <c r="G787" i="22"/>
  <c r="H786" i="22"/>
  <c r="I786" i="22" s="1"/>
  <c r="G786" i="22"/>
  <c r="H785" i="22"/>
  <c r="I785" i="22" s="1"/>
  <c r="G785" i="22"/>
  <c r="H784" i="22"/>
  <c r="I784" i="22" s="1"/>
  <c r="G784" i="22"/>
  <c r="H783" i="22"/>
  <c r="I783" i="22" s="1"/>
  <c r="G783" i="22"/>
  <c r="H782" i="22"/>
  <c r="I782" i="22" s="1"/>
  <c r="G782" i="22"/>
  <c r="H781" i="22"/>
  <c r="I781" i="22" s="1"/>
  <c r="G781" i="22"/>
  <c r="H780" i="22"/>
  <c r="I780" i="22" s="1"/>
  <c r="G780" i="22"/>
  <c r="H779" i="22"/>
  <c r="I779" i="22" s="1"/>
  <c r="G779" i="22"/>
  <c r="H778" i="22"/>
  <c r="I778" i="22" s="1"/>
  <c r="G778" i="22"/>
  <c r="H777" i="22"/>
  <c r="I777" i="22" s="1"/>
  <c r="G777" i="22"/>
  <c r="H776" i="22"/>
  <c r="I776" i="22" s="1"/>
  <c r="G776" i="22"/>
  <c r="H775" i="22"/>
  <c r="I775" i="22" s="1"/>
  <c r="G775" i="22"/>
  <c r="H774" i="22"/>
  <c r="I774" i="22" s="1"/>
  <c r="G774" i="22"/>
  <c r="H773" i="22"/>
  <c r="I773" i="22" s="1"/>
  <c r="G773" i="22"/>
  <c r="H772" i="22"/>
  <c r="I772" i="22" s="1"/>
  <c r="G772" i="22"/>
  <c r="H771" i="22"/>
  <c r="I771" i="22" s="1"/>
  <c r="G771" i="22"/>
  <c r="H770" i="22"/>
  <c r="I770" i="22" s="1"/>
  <c r="G770" i="22"/>
  <c r="H769" i="22"/>
  <c r="I769" i="22" s="1"/>
  <c r="G769" i="22"/>
  <c r="H768" i="22"/>
  <c r="I768" i="22" s="1"/>
  <c r="G768" i="22"/>
  <c r="H767" i="22"/>
  <c r="I767" i="22" s="1"/>
  <c r="G767" i="22"/>
  <c r="H766" i="22"/>
  <c r="I766" i="22" s="1"/>
  <c r="G766" i="22"/>
  <c r="H765" i="22"/>
  <c r="I765" i="22" s="1"/>
  <c r="G765" i="22"/>
  <c r="H764" i="22"/>
  <c r="I764" i="22" s="1"/>
  <c r="G764" i="22"/>
  <c r="H763" i="22"/>
  <c r="I763" i="22" s="1"/>
  <c r="G763" i="22"/>
  <c r="H762" i="22"/>
  <c r="I762" i="22" s="1"/>
  <c r="G762" i="22"/>
  <c r="H761" i="22"/>
  <c r="I761" i="22" s="1"/>
  <c r="G761" i="22"/>
  <c r="H760" i="22"/>
  <c r="I760" i="22" s="1"/>
  <c r="G760" i="22"/>
  <c r="H759" i="22"/>
  <c r="I759" i="22" s="1"/>
  <c r="G759" i="22"/>
  <c r="H758" i="22"/>
  <c r="I758" i="22" s="1"/>
  <c r="G758" i="22"/>
  <c r="H757" i="22"/>
  <c r="I757" i="22" s="1"/>
  <c r="G757" i="22"/>
  <c r="H756" i="22"/>
  <c r="I756" i="22" s="1"/>
  <c r="G756" i="22"/>
  <c r="H755" i="22"/>
  <c r="I755" i="22" s="1"/>
  <c r="G755" i="22"/>
  <c r="H754" i="22"/>
  <c r="I754" i="22" s="1"/>
  <c r="G754" i="22"/>
  <c r="H753" i="22"/>
  <c r="I753" i="22" s="1"/>
  <c r="G753" i="22"/>
  <c r="H752" i="22"/>
  <c r="I752" i="22" s="1"/>
  <c r="G752" i="22"/>
  <c r="H751" i="22"/>
  <c r="I751" i="22" s="1"/>
  <c r="G751" i="22"/>
  <c r="H750" i="22"/>
  <c r="I750" i="22" s="1"/>
  <c r="G750" i="22"/>
  <c r="H749" i="22"/>
  <c r="I749" i="22" s="1"/>
  <c r="G749" i="22"/>
  <c r="H748" i="22"/>
  <c r="I748" i="22" s="1"/>
  <c r="G748" i="22"/>
  <c r="H747" i="22"/>
  <c r="I747" i="22" s="1"/>
  <c r="G747" i="22"/>
  <c r="H746" i="22"/>
  <c r="I746" i="22" s="1"/>
  <c r="G746" i="22"/>
  <c r="H745" i="22"/>
  <c r="I745" i="22" s="1"/>
  <c r="G745" i="22"/>
  <c r="H744" i="22"/>
  <c r="I744" i="22" s="1"/>
  <c r="G744" i="22"/>
  <c r="H743" i="22"/>
  <c r="I743" i="22" s="1"/>
  <c r="G743" i="22"/>
  <c r="H742" i="22"/>
  <c r="I742" i="22" s="1"/>
  <c r="G742" i="22"/>
  <c r="H741" i="22"/>
  <c r="I741" i="22" s="1"/>
  <c r="G741" i="22"/>
  <c r="H740" i="22"/>
  <c r="I740" i="22" s="1"/>
  <c r="G740" i="22"/>
  <c r="H739" i="22"/>
  <c r="I739" i="22" s="1"/>
  <c r="G739" i="22"/>
  <c r="H738" i="22"/>
  <c r="I738" i="22" s="1"/>
  <c r="G738" i="22"/>
  <c r="H737" i="22"/>
  <c r="I737" i="22" s="1"/>
  <c r="G737" i="22"/>
  <c r="H736" i="22"/>
  <c r="I736" i="22" s="1"/>
  <c r="G736" i="22"/>
  <c r="H735" i="22"/>
  <c r="I735" i="22" s="1"/>
  <c r="G735" i="22"/>
  <c r="H734" i="22"/>
  <c r="I734" i="22" s="1"/>
  <c r="G734" i="22"/>
  <c r="H733" i="22"/>
  <c r="I733" i="22" s="1"/>
  <c r="G733" i="22"/>
  <c r="H732" i="22"/>
  <c r="I732" i="22" s="1"/>
  <c r="G732" i="22"/>
  <c r="H731" i="22"/>
  <c r="I731" i="22" s="1"/>
  <c r="G731" i="22"/>
  <c r="H730" i="22"/>
  <c r="I730" i="22" s="1"/>
  <c r="G730" i="22"/>
  <c r="H729" i="22"/>
  <c r="I729" i="22" s="1"/>
  <c r="G729" i="22"/>
  <c r="H728" i="22"/>
  <c r="I728" i="22" s="1"/>
  <c r="G728" i="22"/>
  <c r="H727" i="22"/>
  <c r="I727" i="22" s="1"/>
  <c r="G727" i="22"/>
  <c r="H726" i="22"/>
  <c r="I726" i="22" s="1"/>
  <c r="G726" i="22"/>
  <c r="H725" i="22"/>
  <c r="I725" i="22" s="1"/>
  <c r="G725" i="22"/>
  <c r="H724" i="22"/>
  <c r="I724" i="22" s="1"/>
  <c r="G724" i="22"/>
  <c r="H723" i="22"/>
  <c r="I723" i="22" s="1"/>
  <c r="G723" i="22"/>
  <c r="H722" i="22"/>
  <c r="I722" i="22" s="1"/>
  <c r="G722" i="22"/>
  <c r="H721" i="22"/>
  <c r="I721" i="22" s="1"/>
  <c r="G721" i="22"/>
  <c r="H720" i="22"/>
  <c r="I720" i="22" s="1"/>
  <c r="G720" i="22"/>
  <c r="H719" i="22"/>
  <c r="I719" i="22" s="1"/>
  <c r="G719" i="22"/>
  <c r="H718" i="22"/>
  <c r="I718" i="22" s="1"/>
  <c r="G718" i="22"/>
  <c r="H717" i="22"/>
  <c r="I717" i="22" s="1"/>
  <c r="G717" i="22"/>
  <c r="H716" i="22"/>
  <c r="I716" i="22" s="1"/>
  <c r="G716" i="22"/>
  <c r="H715" i="22"/>
  <c r="I715" i="22" s="1"/>
  <c r="G715" i="22"/>
  <c r="H714" i="22"/>
  <c r="I714" i="22" s="1"/>
  <c r="G714" i="22"/>
  <c r="H713" i="22"/>
  <c r="I713" i="22" s="1"/>
  <c r="G713" i="22"/>
  <c r="H712" i="22"/>
  <c r="I712" i="22" s="1"/>
  <c r="G712" i="22"/>
  <c r="H711" i="22"/>
  <c r="I711" i="22" s="1"/>
  <c r="G711" i="22"/>
  <c r="H710" i="22"/>
  <c r="I710" i="22" s="1"/>
  <c r="G710" i="22"/>
  <c r="H709" i="22"/>
  <c r="I709" i="22" s="1"/>
  <c r="G709" i="22"/>
  <c r="H708" i="22"/>
  <c r="I708" i="22" s="1"/>
  <c r="G708" i="22"/>
  <c r="H707" i="22"/>
  <c r="I707" i="22" s="1"/>
  <c r="G707" i="22"/>
  <c r="H706" i="22"/>
  <c r="I706" i="22" s="1"/>
  <c r="G706" i="22"/>
  <c r="H705" i="22"/>
  <c r="I705" i="22" s="1"/>
  <c r="G705" i="22"/>
  <c r="H704" i="22"/>
  <c r="I704" i="22" s="1"/>
  <c r="G704" i="22"/>
  <c r="H703" i="22"/>
  <c r="I703" i="22" s="1"/>
  <c r="G703" i="22"/>
  <c r="H702" i="22"/>
  <c r="I702" i="22" s="1"/>
  <c r="G702" i="22"/>
  <c r="H701" i="22"/>
  <c r="I701" i="22" s="1"/>
  <c r="G701" i="22"/>
  <c r="H700" i="22"/>
  <c r="I700" i="22" s="1"/>
  <c r="G700" i="22"/>
  <c r="H699" i="22"/>
  <c r="I699" i="22" s="1"/>
  <c r="G699" i="22"/>
  <c r="H698" i="22"/>
  <c r="I698" i="22" s="1"/>
  <c r="G698" i="22"/>
  <c r="H697" i="22"/>
  <c r="I697" i="22" s="1"/>
  <c r="G697" i="22"/>
  <c r="H696" i="22"/>
  <c r="I696" i="22" s="1"/>
  <c r="G696" i="22"/>
  <c r="H695" i="22"/>
  <c r="I695" i="22" s="1"/>
  <c r="G695" i="22"/>
  <c r="H694" i="22"/>
  <c r="I694" i="22" s="1"/>
  <c r="G694" i="22"/>
  <c r="H693" i="22"/>
  <c r="I693" i="22" s="1"/>
  <c r="G693" i="22"/>
  <c r="H692" i="22"/>
  <c r="I692" i="22" s="1"/>
  <c r="G692" i="22"/>
  <c r="H691" i="22"/>
  <c r="I691" i="22" s="1"/>
  <c r="G691" i="22"/>
  <c r="H690" i="22"/>
  <c r="I690" i="22" s="1"/>
  <c r="G690" i="22"/>
  <c r="H689" i="22"/>
  <c r="I689" i="22" s="1"/>
  <c r="G689" i="22"/>
  <c r="H688" i="22"/>
  <c r="I688" i="22" s="1"/>
  <c r="G688" i="22"/>
  <c r="H687" i="22"/>
  <c r="I687" i="22" s="1"/>
  <c r="G687" i="22"/>
  <c r="H686" i="22"/>
  <c r="I686" i="22" s="1"/>
  <c r="G686" i="22"/>
  <c r="H685" i="22"/>
  <c r="I685" i="22" s="1"/>
  <c r="G685" i="22"/>
  <c r="H684" i="22"/>
  <c r="I684" i="22" s="1"/>
  <c r="G684" i="22"/>
  <c r="H683" i="22"/>
  <c r="I683" i="22" s="1"/>
  <c r="G683" i="22"/>
  <c r="H682" i="22"/>
  <c r="I682" i="22" s="1"/>
  <c r="G682" i="22"/>
  <c r="H681" i="22"/>
  <c r="I681" i="22" s="1"/>
  <c r="G681" i="22"/>
  <c r="H680" i="22"/>
  <c r="I680" i="22" s="1"/>
  <c r="G680" i="22"/>
  <c r="H679" i="22"/>
  <c r="I679" i="22" s="1"/>
  <c r="G679" i="22"/>
  <c r="H678" i="22"/>
  <c r="I678" i="22" s="1"/>
  <c r="G678" i="22"/>
  <c r="H677" i="22"/>
  <c r="I677" i="22" s="1"/>
  <c r="G677" i="22"/>
  <c r="H676" i="22"/>
  <c r="I676" i="22" s="1"/>
  <c r="G676" i="22"/>
  <c r="H675" i="22"/>
  <c r="I675" i="22" s="1"/>
  <c r="G675" i="22"/>
  <c r="H674" i="22"/>
  <c r="I674" i="22" s="1"/>
  <c r="G674" i="22"/>
  <c r="H673" i="22"/>
  <c r="I673" i="22" s="1"/>
  <c r="G673" i="22"/>
  <c r="H672" i="22"/>
  <c r="I672" i="22" s="1"/>
  <c r="G672" i="22"/>
  <c r="H671" i="22"/>
  <c r="I671" i="22" s="1"/>
  <c r="G671" i="22"/>
  <c r="H670" i="22"/>
  <c r="I670" i="22" s="1"/>
  <c r="G670" i="22"/>
  <c r="H669" i="22"/>
  <c r="I669" i="22" s="1"/>
  <c r="G669" i="22"/>
  <c r="H668" i="22"/>
  <c r="I668" i="22" s="1"/>
  <c r="G668" i="22"/>
  <c r="H667" i="22"/>
  <c r="I667" i="22" s="1"/>
  <c r="G667" i="22"/>
  <c r="H666" i="22"/>
  <c r="I666" i="22" s="1"/>
  <c r="G666" i="22"/>
  <c r="H665" i="22"/>
  <c r="I665" i="22" s="1"/>
  <c r="G665" i="22"/>
  <c r="H664" i="22"/>
  <c r="I664" i="22" s="1"/>
  <c r="G664" i="22"/>
  <c r="H663" i="22"/>
  <c r="I663" i="22" s="1"/>
  <c r="G663" i="22"/>
  <c r="H662" i="22"/>
  <c r="I662" i="22" s="1"/>
  <c r="G662" i="22"/>
  <c r="H661" i="22"/>
  <c r="I661" i="22" s="1"/>
  <c r="G661" i="22"/>
  <c r="H660" i="22"/>
  <c r="I660" i="22" s="1"/>
  <c r="G660" i="22"/>
  <c r="H659" i="22"/>
  <c r="I659" i="22" s="1"/>
  <c r="G659" i="22"/>
  <c r="H658" i="22"/>
  <c r="I658" i="22" s="1"/>
  <c r="G658" i="22"/>
  <c r="H657" i="22"/>
  <c r="I657" i="22" s="1"/>
  <c r="G657" i="22"/>
  <c r="H656" i="22"/>
  <c r="I656" i="22" s="1"/>
  <c r="G656" i="22"/>
  <c r="H655" i="22"/>
  <c r="I655" i="22" s="1"/>
  <c r="G655" i="22"/>
  <c r="H654" i="22"/>
  <c r="I654" i="22" s="1"/>
  <c r="G654" i="22"/>
  <c r="H653" i="22"/>
  <c r="I653" i="22" s="1"/>
  <c r="G653" i="22"/>
  <c r="H652" i="22"/>
  <c r="I652" i="22" s="1"/>
  <c r="G652" i="22"/>
  <c r="H651" i="22"/>
  <c r="I651" i="22" s="1"/>
  <c r="G651" i="22"/>
  <c r="H650" i="22"/>
  <c r="I650" i="22" s="1"/>
  <c r="G650" i="22"/>
  <c r="H649" i="22"/>
  <c r="I649" i="22" s="1"/>
  <c r="G649" i="22"/>
  <c r="H648" i="22"/>
  <c r="I648" i="22" s="1"/>
  <c r="G648" i="22"/>
  <c r="H647" i="22"/>
  <c r="I647" i="22" s="1"/>
  <c r="G647" i="22"/>
  <c r="H646" i="22"/>
  <c r="I646" i="22" s="1"/>
  <c r="G646" i="22"/>
  <c r="H645" i="22"/>
  <c r="I645" i="22" s="1"/>
  <c r="G645" i="22"/>
  <c r="H644" i="22"/>
  <c r="I644" i="22" s="1"/>
  <c r="G644" i="22"/>
  <c r="H643" i="22"/>
  <c r="I643" i="22" s="1"/>
  <c r="G643" i="22"/>
  <c r="H642" i="22"/>
  <c r="I642" i="22" s="1"/>
  <c r="G642" i="22"/>
  <c r="H641" i="22"/>
  <c r="I641" i="22" s="1"/>
  <c r="G641" i="22"/>
  <c r="H640" i="22"/>
  <c r="I640" i="22" s="1"/>
  <c r="G640" i="22"/>
  <c r="H639" i="22"/>
  <c r="I639" i="22" s="1"/>
  <c r="G639" i="22"/>
  <c r="H638" i="22"/>
  <c r="I638" i="22" s="1"/>
  <c r="G638" i="22"/>
  <c r="H637" i="22"/>
  <c r="I637" i="22" s="1"/>
  <c r="G637" i="22"/>
  <c r="H636" i="22"/>
  <c r="I636" i="22" s="1"/>
  <c r="G636" i="22"/>
  <c r="H635" i="22"/>
  <c r="I635" i="22" s="1"/>
  <c r="G635" i="22"/>
  <c r="H634" i="22"/>
  <c r="I634" i="22" s="1"/>
  <c r="G634" i="22"/>
  <c r="H633" i="22"/>
  <c r="I633" i="22" s="1"/>
  <c r="G633" i="22"/>
  <c r="H632" i="22"/>
  <c r="I632" i="22" s="1"/>
  <c r="G632" i="22"/>
  <c r="H631" i="22"/>
  <c r="I631" i="22" s="1"/>
  <c r="G631" i="22"/>
  <c r="H630" i="22"/>
  <c r="I630" i="22" s="1"/>
  <c r="G630" i="22"/>
  <c r="H629" i="22"/>
  <c r="I629" i="22" s="1"/>
  <c r="G629" i="22"/>
  <c r="H628" i="22"/>
  <c r="I628" i="22" s="1"/>
  <c r="G628" i="22"/>
  <c r="H627" i="22"/>
  <c r="I627" i="22" s="1"/>
  <c r="G627" i="22"/>
  <c r="H626" i="22"/>
  <c r="I626" i="22" s="1"/>
  <c r="G626" i="22"/>
  <c r="H625" i="22"/>
  <c r="I625" i="22" s="1"/>
  <c r="G625" i="22"/>
  <c r="H624" i="22"/>
  <c r="I624" i="22" s="1"/>
  <c r="G624" i="22"/>
  <c r="H623" i="22"/>
  <c r="I623" i="22" s="1"/>
  <c r="G623" i="22"/>
  <c r="H622" i="22"/>
  <c r="I622" i="22" s="1"/>
  <c r="G622" i="22"/>
  <c r="H621" i="22"/>
  <c r="I621" i="22" s="1"/>
  <c r="G621" i="22"/>
  <c r="H620" i="22"/>
  <c r="I620" i="22" s="1"/>
  <c r="G620" i="22"/>
  <c r="H619" i="22"/>
  <c r="I619" i="22" s="1"/>
  <c r="G619" i="22"/>
  <c r="H618" i="22"/>
  <c r="I618" i="22" s="1"/>
  <c r="G618" i="22"/>
  <c r="H617" i="22"/>
  <c r="I617" i="22" s="1"/>
  <c r="G617" i="22"/>
  <c r="H616" i="22"/>
  <c r="I616" i="22" s="1"/>
  <c r="G616" i="22"/>
  <c r="H615" i="22"/>
  <c r="I615" i="22" s="1"/>
  <c r="G615" i="22"/>
  <c r="H614" i="22"/>
  <c r="I614" i="22" s="1"/>
  <c r="G614" i="22"/>
  <c r="H613" i="22"/>
  <c r="I613" i="22" s="1"/>
  <c r="G613" i="22"/>
  <c r="H612" i="22"/>
  <c r="I612" i="22" s="1"/>
  <c r="G612" i="22"/>
  <c r="H611" i="22"/>
  <c r="I611" i="22" s="1"/>
  <c r="G611" i="22"/>
  <c r="H610" i="22"/>
  <c r="I610" i="22" s="1"/>
  <c r="G610" i="22"/>
  <c r="H609" i="22"/>
  <c r="I609" i="22" s="1"/>
  <c r="G609" i="22"/>
  <c r="H608" i="22"/>
  <c r="I608" i="22" s="1"/>
  <c r="G608" i="22"/>
  <c r="H607" i="22"/>
  <c r="I607" i="22" s="1"/>
  <c r="G607" i="22"/>
  <c r="H606" i="22"/>
  <c r="I606" i="22" s="1"/>
  <c r="G606" i="22"/>
  <c r="H605" i="22"/>
  <c r="I605" i="22" s="1"/>
  <c r="G605" i="22"/>
  <c r="H604" i="22"/>
  <c r="I604" i="22" s="1"/>
  <c r="G604" i="22"/>
  <c r="H603" i="22"/>
  <c r="I603" i="22" s="1"/>
  <c r="G603" i="22"/>
  <c r="H602" i="22"/>
  <c r="I602" i="22" s="1"/>
  <c r="G602" i="22"/>
  <c r="H601" i="22"/>
  <c r="I601" i="22" s="1"/>
  <c r="G601" i="22"/>
  <c r="H600" i="22"/>
  <c r="I600" i="22" s="1"/>
  <c r="G600" i="22"/>
  <c r="H599" i="22"/>
  <c r="I599" i="22" s="1"/>
  <c r="G599" i="22"/>
  <c r="H598" i="22"/>
  <c r="I598" i="22" s="1"/>
  <c r="G598" i="22"/>
  <c r="H597" i="22"/>
  <c r="I597" i="22" s="1"/>
  <c r="G597" i="22"/>
  <c r="H596" i="22"/>
  <c r="I596" i="22" s="1"/>
  <c r="G596" i="22"/>
  <c r="H595" i="22"/>
  <c r="I595" i="22" s="1"/>
  <c r="G595" i="22"/>
  <c r="H594" i="22"/>
  <c r="I594" i="22" s="1"/>
  <c r="G594" i="22"/>
  <c r="H593" i="22"/>
  <c r="I593" i="22" s="1"/>
  <c r="G593" i="22"/>
  <c r="H592" i="22"/>
  <c r="I592" i="22" s="1"/>
  <c r="G592" i="22"/>
  <c r="H591" i="22"/>
  <c r="I591" i="22" s="1"/>
  <c r="G591" i="22"/>
  <c r="H590" i="22"/>
  <c r="I590" i="22" s="1"/>
  <c r="G590" i="22"/>
  <c r="H589" i="22"/>
  <c r="I589" i="22" s="1"/>
  <c r="G589" i="22"/>
  <c r="H588" i="22"/>
  <c r="I588" i="22" s="1"/>
  <c r="G588" i="22"/>
  <c r="H587" i="22"/>
  <c r="I587" i="22" s="1"/>
  <c r="G587" i="22"/>
  <c r="H586" i="22"/>
  <c r="I586" i="22" s="1"/>
  <c r="G586" i="22"/>
  <c r="H585" i="22"/>
  <c r="I585" i="22" s="1"/>
  <c r="G585" i="22"/>
  <c r="H584" i="22"/>
  <c r="I584" i="22" s="1"/>
  <c r="G584" i="22"/>
  <c r="H583" i="22"/>
  <c r="I583" i="22" s="1"/>
  <c r="G583" i="22"/>
  <c r="H582" i="22"/>
  <c r="I582" i="22" s="1"/>
  <c r="G582" i="22"/>
  <c r="H581" i="22"/>
  <c r="I581" i="22" s="1"/>
  <c r="G581" i="22"/>
  <c r="H580" i="22"/>
  <c r="I580" i="22" s="1"/>
  <c r="G580" i="22"/>
  <c r="H579" i="22"/>
  <c r="I579" i="22" s="1"/>
  <c r="G579" i="22"/>
  <c r="H578" i="22"/>
  <c r="I578" i="22" s="1"/>
  <c r="G578" i="22"/>
  <c r="H577" i="22"/>
  <c r="I577" i="22" s="1"/>
  <c r="G577" i="22"/>
  <c r="H576" i="22"/>
  <c r="I576" i="22" s="1"/>
  <c r="G576" i="22"/>
  <c r="H575" i="22"/>
  <c r="I575" i="22" s="1"/>
  <c r="G575" i="22"/>
  <c r="H574" i="22"/>
  <c r="I574" i="22" s="1"/>
  <c r="G574" i="22"/>
  <c r="H573" i="22"/>
  <c r="I573" i="22" s="1"/>
  <c r="G573" i="22"/>
  <c r="H572" i="22"/>
  <c r="I572" i="22" s="1"/>
  <c r="G572" i="22"/>
  <c r="H571" i="22"/>
  <c r="I571" i="22" s="1"/>
  <c r="G571" i="22"/>
  <c r="H570" i="22"/>
  <c r="I570" i="22" s="1"/>
  <c r="G570" i="22"/>
  <c r="H569" i="22"/>
  <c r="I569" i="22" s="1"/>
  <c r="G569" i="22"/>
  <c r="H568" i="22"/>
  <c r="I568" i="22" s="1"/>
  <c r="G568" i="22"/>
  <c r="H567" i="22"/>
  <c r="I567" i="22" s="1"/>
  <c r="G567" i="22"/>
  <c r="H566" i="22"/>
  <c r="I566" i="22" s="1"/>
  <c r="G566" i="22"/>
  <c r="H565" i="22"/>
  <c r="I565" i="22" s="1"/>
  <c r="G565" i="22"/>
  <c r="H564" i="22"/>
  <c r="I564" i="22" s="1"/>
  <c r="G564" i="22"/>
  <c r="H563" i="22"/>
  <c r="I563" i="22" s="1"/>
  <c r="G563" i="22"/>
  <c r="H562" i="22"/>
  <c r="I562" i="22" s="1"/>
  <c r="G562" i="22"/>
  <c r="H561" i="22"/>
  <c r="I561" i="22" s="1"/>
  <c r="G561" i="22"/>
  <c r="H560" i="22"/>
  <c r="I560" i="22" s="1"/>
  <c r="G560" i="22"/>
  <c r="H559" i="22"/>
  <c r="I559" i="22" s="1"/>
  <c r="G559" i="22"/>
  <c r="H558" i="22"/>
  <c r="I558" i="22" s="1"/>
  <c r="G558" i="22"/>
  <c r="H557" i="22"/>
  <c r="I557" i="22" s="1"/>
  <c r="G557" i="22"/>
  <c r="H556" i="22"/>
  <c r="I556" i="22" s="1"/>
  <c r="G556" i="22"/>
  <c r="H555" i="22"/>
  <c r="I555" i="22" s="1"/>
  <c r="G555" i="22"/>
  <c r="H554" i="22"/>
  <c r="I554" i="22" s="1"/>
  <c r="G554" i="22"/>
  <c r="H553" i="22"/>
  <c r="I553" i="22" s="1"/>
  <c r="G553" i="22"/>
  <c r="H552" i="22"/>
  <c r="I552" i="22" s="1"/>
  <c r="G552" i="22"/>
  <c r="H551" i="22"/>
  <c r="I551" i="22" s="1"/>
  <c r="G551" i="22"/>
  <c r="H550" i="22"/>
  <c r="I550" i="22" s="1"/>
  <c r="G550" i="22"/>
  <c r="H549" i="22"/>
  <c r="I549" i="22" s="1"/>
  <c r="G549" i="22"/>
  <c r="H548" i="22"/>
  <c r="I548" i="22" s="1"/>
  <c r="G548" i="22"/>
  <c r="H547" i="22"/>
  <c r="I547" i="22" s="1"/>
  <c r="G547" i="22"/>
  <c r="H546" i="22"/>
  <c r="I546" i="22" s="1"/>
  <c r="G546" i="22"/>
  <c r="H545" i="22"/>
  <c r="I545" i="22" s="1"/>
  <c r="G545" i="22"/>
  <c r="H544" i="22"/>
  <c r="I544" i="22" s="1"/>
  <c r="G544" i="22"/>
  <c r="H543" i="22"/>
  <c r="I543" i="22" s="1"/>
  <c r="G543" i="22"/>
  <c r="H542" i="22"/>
  <c r="I542" i="22" s="1"/>
  <c r="G542" i="22"/>
  <c r="H541" i="22"/>
  <c r="I541" i="22" s="1"/>
  <c r="G541" i="22"/>
  <c r="H540" i="22"/>
  <c r="I540" i="22" s="1"/>
  <c r="G540" i="22"/>
  <c r="H539" i="22"/>
  <c r="I539" i="22" s="1"/>
  <c r="G539" i="22"/>
  <c r="H538" i="22"/>
  <c r="I538" i="22" s="1"/>
  <c r="G538" i="22"/>
  <c r="H537" i="22"/>
  <c r="I537" i="22" s="1"/>
  <c r="G537" i="22"/>
  <c r="H536" i="22"/>
  <c r="I536" i="22" s="1"/>
  <c r="G536" i="22"/>
  <c r="H535" i="22"/>
  <c r="I535" i="22" s="1"/>
  <c r="G535" i="22"/>
  <c r="H534" i="22"/>
  <c r="I534" i="22" s="1"/>
  <c r="G534" i="22"/>
  <c r="H533" i="22"/>
  <c r="I533" i="22" s="1"/>
  <c r="G533" i="22"/>
  <c r="H532" i="22"/>
  <c r="I532" i="22" s="1"/>
  <c r="G532" i="22"/>
  <c r="H531" i="22"/>
  <c r="I531" i="22" s="1"/>
  <c r="G531" i="22"/>
  <c r="H530" i="22"/>
  <c r="I530" i="22" s="1"/>
  <c r="G530" i="22"/>
  <c r="H529" i="22"/>
  <c r="I529" i="22" s="1"/>
  <c r="G529" i="22"/>
  <c r="H528" i="22"/>
  <c r="I528" i="22" s="1"/>
  <c r="G528" i="22"/>
  <c r="H527" i="22"/>
  <c r="I527" i="22" s="1"/>
  <c r="G527" i="22"/>
  <c r="H526" i="22"/>
  <c r="I526" i="22" s="1"/>
  <c r="G526" i="22"/>
  <c r="H525" i="22"/>
  <c r="I525" i="22" s="1"/>
  <c r="G525" i="22"/>
  <c r="H524" i="22"/>
  <c r="I524" i="22" s="1"/>
  <c r="G524" i="22"/>
  <c r="H523" i="22"/>
  <c r="I523" i="22" s="1"/>
  <c r="G523" i="22"/>
  <c r="H522" i="22"/>
  <c r="I522" i="22" s="1"/>
  <c r="G522" i="22"/>
  <c r="H521" i="22"/>
  <c r="I521" i="22" s="1"/>
  <c r="G521" i="22"/>
  <c r="H520" i="22"/>
  <c r="I520" i="22" s="1"/>
  <c r="G520" i="22"/>
  <c r="H519" i="22"/>
  <c r="I519" i="22" s="1"/>
  <c r="G519" i="22"/>
  <c r="H518" i="22"/>
  <c r="I518" i="22" s="1"/>
  <c r="G518" i="22"/>
  <c r="H517" i="22"/>
  <c r="I517" i="22" s="1"/>
  <c r="G517" i="22"/>
  <c r="H516" i="22"/>
  <c r="I516" i="22" s="1"/>
  <c r="G516" i="22"/>
  <c r="H515" i="22"/>
  <c r="I515" i="22" s="1"/>
  <c r="G515" i="22"/>
  <c r="H514" i="22"/>
  <c r="I514" i="22" s="1"/>
  <c r="G514" i="22"/>
  <c r="H513" i="22"/>
  <c r="I513" i="22" s="1"/>
  <c r="G513" i="22"/>
  <c r="H512" i="22"/>
  <c r="I512" i="22" s="1"/>
  <c r="G512" i="22"/>
  <c r="H511" i="22"/>
  <c r="I511" i="22" s="1"/>
  <c r="G511" i="22"/>
  <c r="H510" i="22"/>
  <c r="I510" i="22" s="1"/>
  <c r="G510" i="22"/>
  <c r="H509" i="22"/>
  <c r="I509" i="22" s="1"/>
  <c r="G509" i="22"/>
  <c r="H508" i="22"/>
  <c r="I508" i="22" s="1"/>
  <c r="G508" i="22"/>
  <c r="H507" i="22"/>
  <c r="I507" i="22" s="1"/>
  <c r="G507" i="22"/>
  <c r="H506" i="22"/>
  <c r="I506" i="22" s="1"/>
  <c r="G506" i="22"/>
  <c r="H505" i="22"/>
  <c r="I505" i="22" s="1"/>
  <c r="G505" i="22"/>
  <c r="H504" i="22"/>
  <c r="I504" i="22" s="1"/>
  <c r="G504" i="22"/>
  <c r="H503" i="22"/>
  <c r="I503" i="22" s="1"/>
  <c r="G503" i="22"/>
  <c r="H502" i="22"/>
  <c r="I502" i="22" s="1"/>
  <c r="G502" i="22"/>
  <c r="H501" i="22"/>
  <c r="I501" i="22" s="1"/>
  <c r="G501" i="22"/>
  <c r="H500" i="22"/>
  <c r="I500" i="22" s="1"/>
  <c r="G500" i="22"/>
  <c r="H499" i="22"/>
  <c r="I499" i="22" s="1"/>
  <c r="G499" i="22"/>
  <c r="H498" i="22"/>
  <c r="I498" i="22" s="1"/>
  <c r="G498" i="22"/>
  <c r="H497" i="22"/>
  <c r="I497" i="22" s="1"/>
  <c r="G497" i="22"/>
  <c r="H496" i="22"/>
  <c r="I496" i="22" s="1"/>
  <c r="G496" i="22"/>
  <c r="H495" i="22"/>
  <c r="I495" i="22" s="1"/>
  <c r="G495" i="22"/>
  <c r="H494" i="22"/>
  <c r="I494" i="22" s="1"/>
  <c r="G494" i="22"/>
  <c r="H493" i="22"/>
  <c r="I493" i="22" s="1"/>
  <c r="G493" i="22"/>
  <c r="H492" i="22"/>
  <c r="I492" i="22" s="1"/>
  <c r="G492" i="22"/>
  <c r="H491" i="22"/>
  <c r="I491" i="22" s="1"/>
  <c r="G491" i="22"/>
  <c r="H490" i="22"/>
  <c r="I490" i="22" s="1"/>
  <c r="G490" i="22"/>
  <c r="H489" i="22"/>
  <c r="I489" i="22" s="1"/>
  <c r="G489" i="22"/>
  <c r="H488" i="22"/>
  <c r="I488" i="22" s="1"/>
  <c r="G488" i="22"/>
  <c r="H487" i="22"/>
  <c r="I487" i="22" s="1"/>
  <c r="G487" i="22"/>
  <c r="H486" i="22"/>
  <c r="I486" i="22" s="1"/>
  <c r="G486" i="22"/>
  <c r="H485" i="22"/>
  <c r="I485" i="22" s="1"/>
  <c r="G485" i="22"/>
  <c r="H484" i="22"/>
  <c r="I484" i="22" s="1"/>
  <c r="G484" i="22"/>
  <c r="H483" i="22"/>
  <c r="I483" i="22" s="1"/>
  <c r="G483" i="22"/>
  <c r="H482" i="22"/>
  <c r="I482" i="22" s="1"/>
  <c r="G482" i="22"/>
  <c r="M478" i="22"/>
  <c r="K478" i="22"/>
  <c r="J478" i="22"/>
  <c r="H478" i="22"/>
  <c r="I477" i="22"/>
  <c r="L477" i="22" s="1"/>
  <c r="G477" i="22"/>
  <c r="I476" i="22"/>
  <c r="L476" i="22" s="1"/>
  <c r="G476" i="22"/>
  <c r="I475" i="22"/>
  <c r="L475" i="22" s="1"/>
  <c r="G475" i="22"/>
  <c r="I474" i="22"/>
  <c r="L474" i="22" s="1"/>
  <c r="G474" i="22"/>
  <c r="I473" i="22"/>
  <c r="L473" i="22" s="1"/>
  <c r="G473" i="22"/>
  <c r="I472" i="22"/>
  <c r="L472" i="22" s="1"/>
  <c r="G472" i="22"/>
  <c r="I471" i="22"/>
  <c r="L471" i="22" s="1"/>
  <c r="G471" i="22"/>
  <c r="I470" i="22"/>
  <c r="L470" i="22" s="1"/>
  <c r="G470" i="22"/>
  <c r="I469" i="22"/>
  <c r="L469" i="22" s="1"/>
  <c r="G469" i="22"/>
  <c r="I468" i="22"/>
  <c r="L468" i="22" s="1"/>
  <c r="G468" i="22"/>
  <c r="I467" i="22"/>
  <c r="L467" i="22" s="1"/>
  <c r="G467" i="22"/>
  <c r="I466" i="22"/>
  <c r="L466" i="22" s="1"/>
  <c r="G466" i="22"/>
  <c r="I465" i="22"/>
  <c r="L465" i="22" s="1"/>
  <c r="G465" i="22"/>
  <c r="I464" i="22"/>
  <c r="L464" i="22" s="1"/>
  <c r="G464" i="22"/>
  <c r="I463" i="22"/>
  <c r="L463" i="22" s="1"/>
  <c r="G463" i="22"/>
  <c r="I462" i="22"/>
  <c r="L462" i="22" s="1"/>
  <c r="G462" i="22"/>
  <c r="I461" i="22"/>
  <c r="L461" i="22" s="1"/>
  <c r="G461" i="22"/>
  <c r="I460" i="22"/>
  <c r="L460" i="22" s="1"/>
  <c r="G460" i="22"/>
  <c r="I459" i="22"/>
  <c r="L459" i="22" s="1"/>
  <c r="G459" i="22"/>
  <c r="I458" i="22"/>
  <c r="L458" i="22" s="1"/>
  <c r="G458" i="22"/>
  <c r="I457" i="22"/>
  <c r="L457" i="22" s="1"/>
  <c r="G457" i="22"/>
  <c r="I456" i="22"/>
  <c r="L456" i="22" s="1"/>
  <c r="G456" i="22"/>
  <c r="I455" i="22"/>
  <c r="L455" i="22" s="1"/>
  <c r="G455" i="22"/>
  <c r="I454" i="22"/>
  <c r="L454" i="22" s="1"/>
  <c r="G454" i="22"/>
  <c r="I453" i="22"/>
  <c r="L453" i="22" s="1"/>
  <c r="G453" i="22"/>
  <c r="I452" i="22"/>
  <c r="L452" i="22" s="1"/>
  <c r="G452" i="22"/>
  <c r="I451" i="22"/>
  <c r="L451" i="22" s="1"/>
  <c r="G451" i="22"/>
  <c r="I450" i="22"/>
  <c r="L450" i="22" s="1"/>
  <c r="G450" i="22"/>
  <c r="I449" i="22"/>
  <c r="L449" i="22" s="1"/>
  <c r="G449" i="22"/>
  <c r="I448" i="22"/>
  <c r="L448" i="22" s="1"/>
  <c r="G448" i="22"/>
  <c r="I447" i="22"/>
  <c r="L447" i="22" s="1"/>
  <c r="G447" i="22"/>
  <c r="I446" i="22"/>
  <c r="L446" i="22" s="1"/>
  <c r="G446" i="22"/>
  <c r="I445" i="22"/>
  <c r="L445" i="22" s="1"/>
  <c r="G445" i="22"/>
  <c r="I444" i="22"/>
  <c r="L444" i="22" s="1"/>
  <c r="G444" i="22"/>
  <c r="I443" i="22"/>
  <c r="L443" i="22" s="1"/>
  <c r="G443" i="22"/>
  <c r="I442" i="22"/>
  <c r="L442" i="22" s="1"/>
  <c r="G442" i="22"/>
  <c r="I441" i="22"/>
  <c r="L441" i="22" s="1"/>
  <c r="G441" i="22"/>
  <c r="I440" i="22"/>
  <c r="L440" i="22" s="1"/>
  <c r="G440" i="22"/>
  <c r="I439" i="22"/>
  <c r="L439" i="22" s="1"/>
  <c r="G439" i="22"/>
  <c r="I438" i="22"/>
  <c r="L438" i="22" s="1"/>
  <c r="G438" i="22"/>
  <c r="I437" i="22"/>
  <c r="L437" i="22" s="1"/>
  <c r="G437" i="22"/>
  <c r="I436" i="22"/>
  <c r="L436" i="22" s="1"/>
  <c r="G436" i="22"/>
  <c r="I435" i="22"/>
  <c r="L435" i="22" s="1"/>
  <c r="G435" i="22"/>
  <c r="I434" i="22"/>
  <c r="L434" i="22" s="1"/>
  <c r="G434" i="22"/>
  <c r="I433" i="22"/>
  <c r="L433" i="22" s="1"/>
  <c r="G433" i="22"/>
  <c r="I432" i="22"/>
  <c r="L432" i="22" s="1"/>
  <c r="G432" i="22"/>
  <c r="I431" i="22"/>
  <c r="L431" i="22" s="1"/>
  <c r="G431" i="22"/>
  <c r="I430" i="22"/>
  <c r="L430" i="22" s="1"/>
  <c r="G430" i="22"/>
  <c r="I429" i="22"/>
  <c r="L429" i="22" s="1"/>
  <c r="G429" i="22"/>
  <c r="I428" i="22"/>
  <c r="L428" i="22" s="1"/>
  <c r="G428" i="22"/>
  <c r="I427" i="22"/>
  <c r="L427" i="22" s="1"/>
  <c r="G427" i="22"/>
  <c r="I426" i="22"/>
  <c r="L426" i="22" s="1"/>
  <c r="G426" i="22"/>
  <c r="I425" i="22"/>
  <c r="L425" i="22" s="1"/>
  <c r="G425" i="22"/>
  <c r="I424" i="22"/>
  <c r="L424" i="22" s="1"/>
  <c r="G424" i="22"/>
  <c r="I423" i="22"/>
  <c r="L423" i="22" s="1"/>
  <c r="G423" i="22"/>
  <c r="I422" i="22"/>
  <c r="L422" i="22" s="1"/>
  <c r="G422" i="22"/>
  <c r="I421" i="22"/>
  <c r="L421" i="22" s="1"/>
  <c r="G421" i="22"/>
  <c r="I420" i="22"/>
  <c r="L420" i="22" s="1"/>
  <c r="G420" i="22"/>
  <c r="I419" i="22"/>
  <c r="L419" i="22" s="1"/>
  <c r="G419" i="22"/>
  <c r="I418" i="22"/>
  <c r="L418" i="22" s="1"/>
  <c r="G418" i="22"/>
  <c r="I417" i="22"/>
  <c r="L417" i="22" s="1"/>
  <c r="G417" i="22"/>
  <c r="I416" i="22"/>
  <c r="L416" i="22" s="1"/>
  <c r="G416" i="22"/>
  <c r="I415" i="22"/>
  <c r="L415" i="22" s="1"/>
  <c r="G415" i="22"/>
  <c r="I414" i="22"/>
  <c r="L414" i="22" s="1"/>
  <c r="G414" i="22"/>
  <c r="I413" i="22"/>
  <c r="L413" i="22" s="1"/>
  <c r="G413" i="22"/>
  <c r="I412" i="22"/>
  <c r="L412" i="22" s="1"/>
  <c r="G412" i="22"/>
  <c r="I411" i="22"/>
  <c r="L411" i="22" s="1"/>
  <c r="G411" i="22"/>
  <c r="I410" i="22"/>
  <c r="L410" i="22" s="1"/>
  <c r="G410" i="22"/>
  <c r="I409" i="22"/>
  <c r="L409" i="22" s="1"/>
  <c r="G409" i="22"/>
  <c r="I408" i="22"/>
  <c r="L408" i="22" s="1"/>
  <c r="G408" i="22"/>
  <c r="I407" i="22"/>
  <c r="L407" i="22" s="1"/>
  <c r="G407" i="22"/>
  <c r="I406" i="22"/>
  <c r="L406" i="22" s="1"/>
  <c r="G406" i="22"/>
  <c r="I405" i="22"/>
  <c r="L405" i="22" s="1"/>
  <c r="G405" i="22"/>
  <c r="I404" i="22"/>
  <c r="L404" i="22" s="1"/>
  <c r="G404" i="22"/>
  <c r="I403" i="22"/>
  <c r="L403" i="22" s="1"/>
  <c r="G403" i="22"/>
  <c r="I402" i="22"/>
  <c r="L402" i="22" s="1"/>
  <c r="G402" i="22"/>
  <c r="I401" i="22"/>
  <c r="L401" i="22" s="1"/>
  <c r="G401" i="22"/>
  <c r="I400" i="22"/>
  <c r="L400" i="22" s="1"/>
  <c r="G400" i="22"/>
  <c r="I399" i="22"/>
  <c r="L399" i="22" s="1"/>
  <c r="G399" i="22"/>
  <c r="I398" i="22"/>
  <c r="L398" i="22" s="1"/>
  <c r="G398" i="22"/>
  <c r="I397" i="22"/>
  <c r="L397" i="22" s="1"/>
  <c r="G397" i="22"/>
  <c r="I396" i="22"/>
  <c r="L396" i="22" s="1"/>
  <c r="G396" i="22"/>
  <c r="I395" i="22"/>
  <c r="L395" i="22" s="1"/>
  <c r="G395" i="22"/>
  <c r="I394" i="22"/>
  <c r="L394" i="22" s="1"/>
  <c r="G394" i="22"/>
  <c r="I393" i="22"/>
  <c r="L393" i="22" s="1"/>
  <c r="G393" i="22"/>
  <c r="I392" i="22"/>
  <c r="L392" i="22" s="1"/>
  <c r="G392" i="22"/>
  <c r="I391" i="22"/>
  <c r="L391" i="22" s="1"/>
  <c r="G391" i="22"/>
  <c r="I390" i="22"/>
  <c r="L390" i="22" s="1"/>
  <c r="G390" i="22"/>
  <c r="I389" i="22"/>
  <c r="L389" i="22" s="1"/>
  <c r="G389" i="22"/>
  <c r="I388" i="22"/>
  <c r="L388" i="22" s="1"/>
  <c r="G388" i="22"/>
  <c r="I387" i="22"/>
  <c r="L387" i="22" s="1"/>
  <c r="G387" i="22"/>
  <c r="I386" i="22"/>
  <c r="L386" i="22" s="1"/>
  <c r="G386" i="22"/>
  <c r="I385" i="22"/>
  <c r="L385" i="22" s="1"/>
  <c r="G385" i="22"/>
  <c r="I384" i="22"/>
  <c r="L384" i="22" s="1"/>
  <c r="G384" i="22"/>
  <c r="I383" i="22"/>
  <c r="L383" i="22" s="1"/>
  <c r="G383" i="22"/>
  <c r="I382" i="22"/>
  <c r="L382" i="22" s="1"/>
  <c r="G382" i="22"/>
  <c r="I381" i="22"/>
  <c r="L381" i="22" s="1"/>
  <c r="G381" i="22"/>
  <c r="I380" i="22"/>
  <c r="L380" i="22" s="1"/>
  <c r="G380" i="22"/>
  <c r="I379" i="22"/>
  <c r="L379" i="22" s="1"/>
  <c r="G379" i="22"/>
  <c r="I378" i="22"/>
  <c r="L378" i="22" s="1"/>
  <c r="G378" i="22"/>
  <c r="I377" i="22"/>
  <c r="L377" i="22" s="1"/>
  <c r="G377" i="22"/>
  <c r="I376" i="22"/>
  <c r="L376" i="22" s="1"/>
  <c r="G376" i="22"/>
  <c r="I375" i="22"/>
  <c r="L375" i="22" s="1"/>
  <c r="G375" i="22"/>
  <c r="I374" i="22"/>
  <c r="L374" i="22" s="1"/>
  <c r="G374" i="22"/>
  <c r="I373" i="22"/>
  <c r="L373" i="22" s="1"/>
  <c r="G373" i="22"/>
  <c r="I372" i="22"/>
  <c r="L372" i="22" s="1"/>
  <c r="G372" i="22"/>
  <c r="I371" i="22"/>
  <c r="L371" i="22" s="1"/>
  <c r="G371" i="22"/>
  <c r="I370" i="22"/>
  <c r="L370" i="22" s="1"/>
  <c r="G370" i="22"/>
  <c r="I369" i="22"/>
  <c r="L369" i="22" s="1"/>
  <c r="G369" i="22"/>
  <c r="I368" i="22"/>
  <c r="L368" i="22" s="1"/>
  <c r="G368" i="22"/>
  <c r="I367" i="22"/>
  <c r="L367" i="22" s="1"/>
  <c r="G367" i="22"/>
  <c r="I366" i="22"/>
  <c r="L366" i="22" s="1"/>
  <c r="G366" i="22"/>
  <c r="I365" i="22"/>
  <c r="L365" i="22" s="1"/>
  <c r="G365" i="22"/>
  <c r="I364" i="22"/>
  <c r="L364" i="22" s="1"/>
  <c r="G364" i="22"/>
  <c r="I363" i="22"/>
  <c r="L363" i="22" s="1"/>
  <c r="G363" i="22"/>
  <c r="I362" i="22"/>
  <c r="L362" i="22" s="1"/>
  <c r="G362" i="22"/>
  <c r="I361" i="22"/>
  <c r="L361" i="22" s="1"/>
  <c r="G361" i="22"/>
  <c r="I360" i="22"/>
  <c r="L360" i="22" s="1"/>
  <c r="G360" i="22"/>
  <c r="I359" i="22"/>
  <c r="L359" i="22" s="1"/>
  <c r="G359" i="22"/>
  <c r="I358" i="22"/>
  <c r="L358" i="22" s="1"/>
  <c r="G358" i="22"/>
  <c r="I357" i="22"/>
  <c r="L357" i="22" s="1"/>
  <c r="G357" i="22"/>
  <c r="I356" i="22"/>
  <c r="L356" i="22" s="1"/>
  <c r="G356" i="22"/>
  <c r="I355" i="22"/>
  <c r="L355" i="22" s="1"/>
  <c r="G355" i="22"/>
  <c r="I354" i="22"/>
  <c r="L354" i="22" s="1"/>
  <c r="G354" i="22"/>
  <c r="I353" i="22"/>
  <c r="L353" i="22" s="1"/>
  <c r="G353" i="22"/>
  <c r="I352" i="22"/>
  <c r="L352" i="22" s="1"/>
  <c r="G352" i="22"/>
  <c r="I351" i="22"/>
  <c r="L351" i="22" s="1"/>
  <c r="G351" i="22"/>
  <c r="I350" i="22"/>
  <c r="L350" i="22" s="1"/>
  <c r="G350" i="22"/>
  <c r="I349" i="22"/>
  <c r="L349" i="22" s="1"/>
  <c r="G349" i="22"/>
  <c r="I348" i="22"/>
  <c r="L348" i="22" s="1"/>
  <c r="G348" i="22"/>
  <c r="I347" i="22"/>
  <c r="L347" i="22" s="1"/>
  <c r="G347" i="22"/>
  <c r="I346" i="22"/>
  <c r="L346" i="22" s="1"/>
  <c r="G346" i="22"/>
  <c r="I345" i="22"/>
  <c r="L345" i="22" s="1"/>
  <c r="G345" i="22"/>
  <c r="I344" i="22"/>
  <c r="L344" i="22" s="1"/>
  <c r="G344" i="22"/>
  <c r="I343" i="22"/>
  <c r="L343" i="22" s="1"/>
  <c r="G343" i="22"/>
  <c r="I342" i="22"/>
  <c r="L342" i="22" s="1"/>
  <c r="G342" i="22"/>
  <c r="I341" i="22"/>
  <c r="L341" i="22" s="1"/>
  <c r="G341" i="22"/>
  <c r="I340" i="22"/>
  <c r="L340" i="22" s="1"/>
  <c r="G340" i="22"/>
  <c r="I339" i="22"/>
  <c r="L339" i="22" s="1"/>
  <c r="G339" i="22"/>
  <c r="I338" i="22"/>
  <c r="L338" i="22" s="1"/>
  <c r="G338" i="22"/>
  <c r="I337" i="22"/>
  <c r="L337" i="22" s="1"/>
  <c r="G337" i="22"/>
  <c r="I336" i="22"/>
  <c r="L336" i="22" s="1"/>
  <c r="G336" i="22"/>
  <c r="I335" i="22"/>
  <c r="L335" i="22" s="1"/>
  <c r="G335" i="22"/>
  <c r="I334" i="22"/>
  <c r="L334" i="22" s="1"/>
  <c r="G334" i="22"/>
  <c r="I333" i="22"/>
  <c r="L333" i="22" s="1"/>
  <c r="G333" i="22"/>
  <c r="I332" i="22"/>
  <c r="L332" i="22" s="1"/>
  <c r="G332" i="22"/>
  <c r="I331" i="22"/>
  <c r="L331" i="22" s="1"/>
  <c r="G331" i="22"/>
  <c r="I330" i="22"/>
  <c r="L330" i="22" s="1"/>
  <c r="G330" i="22"/>
  <c r="I329" i="22"/>
  <c r="L329" i="22" s="1"/>
  <c r="G329" i="22"/>
  <c r="I328" i="22"/>
  <c r="L328" i="22" s="1"/>
  <c r="G328" i="22"/>
  <c r="I327" i="22"/>
  <c r="L327" i="22" s="1"/>
  <c r="G327" i="22"/>
  <c r="I326" i="22"/>
  <c r="L326" i="22" s="1"/>
  <c r="G326" i="22"/>
  <c r="I325" i="22"/>
  <c r="L325" i="22" s="1"/>
  <c r="G325" i="22"/>
  <c r="I324" i="22"/>
  <c r="L324" i="22" s="1"/>
  <c r="G324" i="22"/>
  <c r="I323" i="22"/>
  <c r="L323" i="22" s="1"/>
  <c r="G323" i="22"/>
  <c r="I322" i="22"/>
  <c r="L322" i="22" s="1"/>
  <c r="G322" i="22"/>
  <c r="I321" i="22"/>
  <c r="L321" i="22" s="1"/>
  <c r="G321" i="22"/>
  <c r="I320" i="22"/>
  <c r="L320" i="22" s="1"/>
  <c r="G320" i="22"/>
  <c r="I319" i="22"/>
  <c r="L319" i="22" s="1"/>
  <c r="G319" i="22"/>
  <c r="I318" i="22"/>
  <c r="L318" i="22" s="1"/>
  <c r="G318" i="22"/>
  <c r="I317" i="22"/>
  <c r="L317" i="22" s="1"/>
  <c r="G317" i="22"/>
  <c r="I316" i="22"/>
  <c r="L316" i="22" s="1"/>
  <c r="G316" i="22"/>
  <c r="I315" i="22"/>
  <c r="L315" i="22" s="1"/>
  <c r="G315" i="22"/>
  <c r="I314" i="22"/>
  <c r="L314" i="22" s="1"/>
  <c r="G314" i="22"/>
  <c r="I313" i="22"/>
  <c r="L313" i="22" s="1"/>
  <c r="G313" i="22"/>
  <c r="I312" i="22"/>
  <c r="L312" i="22" s="1"/>
  <c r="G312" i="22"/>
  <c r="I311" i="22"/>
  <c r="L311" i="22" s="1"/>
  <c r="G311" i="22"/>
  <c r="I310" i="22"/>
  <c r="L310" i="22" s="1"/>
  <c r="G310" i="22"/>
  <c r="I309" i="22"/>
  <c r="L309" i="22" s="1"/>
  <c r="G309" i="22"/>
  <c r="I308" i="22"/>
  <c r="L308" i="22" s="1"/>
  <c r="G308" i="22"/>
  <c r="I307" i="22"/>
  <c r="L307" i="22" s="1"/>
  <c r="G307" i="22"/>
  <c r="I306" i="22"/>
  <c r="L306" i="22" s="1"/>
  <c r="G306" i="22"/>
  <c r="I305" i="22"/>
  <c r="L305" i="22" s="1"/>
  <c r="G305" i="22"/>
  <c r="I304" i="22"/>
  <c r="L304" i="22" s="1"/>
  <c r="G304" i="22"/>
  <c r="I303" i="22"/>
  <c r="L303" i="22" s="1"/>
  <c r="G303" i="22"/>
  <c r="I302" i="22"/>
  <c r="L302" i="22" s="1"/>
  <c r="G302" i="22"/>
  <c r="I301" i="22"/>
  <c r="L301" i="22" s="1"/>
  <c r="G301" i="22"/>
  <c r="I300" i="22"/>
  <c r="L300" i="22" s="1"/>
  <c r="G300" i="22"/>
  <c r="I299" i="22"/>
  <c r="L299" i="22" s="1"/>
  <c r="G299" i="22"/>
  <c r="I298" i="22"/>
  <c r="L298" i="22" s="1"/>
  <c r="G298" i="22"/>
  <c r="I297" i="22"/>
  <c r="L297" i="22" s="1"/>
  <c r="G297" i="22"/>
  <c r="I296" i="22"/>
  <c r="L296" i="22" s="1"/>
  <c r="G296" i="22"/>
  <c r="I295" i="22"/>
  <c r="L295" i="22" s="1"/>
  <c r="G295" i="22"/>
  <c r="I294" i="22"/>
  <c r="L294" i="22" s="1"/>
  <c r="G294" i="22"/>
  <c r="I293" i="22"/>
  <c r="L293" i="22" s="1"/>
  <c r="G293" i="22"/>
  <c r="I292" i="22"/>
  <c r="L292" i="22" s="1"/>
  <c r="G292" i="22"/>
  <c r="I291" i="22"/>
  <c r="G291" i="22"/>
  <c r="I282" i="22"/>
  <c r="K254" i="22"/>
  <c r="J254" i="22"/>
  <c r="H254" i="22"/>
  <c r="K253" i="22"/>
  <c r="J253" i="22"/>
  <c r="H253" i="22"/>
  <c r="L238" i="22"/>
  <c r="K238" i="22"/>
  <c r="J238" i="22"/>
  <c r="I238" i="22"/>
  <c r="G238" i="22"/>
  <c r="O221" i="22"/>
  <c r="N221" i="22"/>
  <c r="M221" i="22"/>
  <c r="L221" i="22"/>
  <c r="K221" i="22"/>
  <c r="J221" i="22"/>
  <c r="H221" i="22"/>
  <c r="R220" i="22"/>
  <c r="Q220" i="22"/>
  <c r="I220" i="22"/>
  <c r="P220" i="22" s="1"/>
  <c r="G220" i="22"/>
  <c r="P89" i="22"/>
  <c r="P69" i="22"/>
  <c r="P164" i="22"/>
  <c r="P154" i="22"/>
  <c r="P71" i="22"/>
  <c r="P186" i="22"/>
  <c r="P155" i="22"/>
  <c r="P40" i="22"/>
  <c r="P90" i="22"/>
  <c r="P165" i="22"/>
  <c r="P118" i="22"/>
  <c r="P15" i="22"/>
  <c r="P133" i="22"/>
  <c r="P189" i="22"/>
  <c r="P188" i="22"/>
  <c r="P14" i="22"/>
  <c r="P187" i="22"/>
  <c r="P100" i="22"/>
  <c r="P140" i="22"/>
  <c r="P125" i="22"/>
  <c r="P56" i="22"/>
  <c r="P110" i="22"/>
  <c r="P173" i="22"/>
  <c r="P144" i="22"/>
  <c r="P139" i="22"/>
  <c r="P197" i="22"/>
  <c r="P196" i="22"/>
  <c r="P172" i="22"/>
  <c r="P48" i="22"/>
  <c r="P28" i="22"/>
  <c r="P193" i="22"/>
  <c r="P36" i="22"/>
  <c r="P171" i="22"/>
  <c r="P47" i="22"/>
  <c r="P88" i="22"/>
  <c r="P66" i="22"/>
  <c r="P185" i="22"/>
  <c r="P163" i="22"/>
  <c r="P192" i="22"/>
  <c r="P162" i="22"/>
  <c r="P170" i="22"/>
  <c r="P184" i="22"/>
  <c r="P183" i="22"/>
  <c r="P182" i="22"/>
  <c r="P191" i="22"/>
  <c r="P181" i="22"/>
  <c r="P180" i="22"/>
  <c r="P179" i="22"/>
  <c r="P161" i="22"/>
  <c r="P178" i="22"/>
  <c r="P169" i="22"/>
  <c r="P160" i="22"/>
  <c r="P153" i="22"/>
  <c r="P152" i="22"/>
  <c r="P159" i="22"/>
  <c r="P158" i="22"/>
  <c r="P117" i="22"/>
  <c r="P167" i="22"/>
  <c r="P166" i="22"/>
  <c r="P99" i="22"/>
  <c r="P138" i="22"/>
  <c r="P150" i="22"/>
  <c r="P132" i="22"/>
  <c r="P131" i="22"/>
  <c r="P130" i="22"/>
  <c r="P127" i="22"/>
  <c r="P123" i="22"/>
  <c r="P122" i="22"/>
  <c r="P115" i="22"/>
  <c r="P97" i="22"/>
  <c r="P96" i="22"/>
  <c r="P95" i="22"/>
  <c r="P87" i="22"/>
  <c r="P114" i="22"/>
  <c r="P137" i="22"/>
  <c r="P113" i="22"/>
  <c r="P86" i="22"/>
  <c r="P27" i="22"/>
  <c r="P85" i="22"/>
  <c r="P84" i="22"/>
  <c r="P83" i="22"/>
  <c r="P68" i="22"/>
  <c r="P82" i="22"/>
  <c r="P81" i="22"/>
  <c r="P126" i="22"/>
  <c r="P80" i="22"/>
  <c r="P79" i="22"/>
  <c r="P78" i="22"/>
  <c r="P112" i="22"/>
  <c r="P77" i="22"/>
  <c r="P94" i="22"/>
  <c r="P72" i="22"/>
  <c r="P67" i="22"/>
  <c r="P13" i="22"/>
  <c r="P136" i="22"/>
  <c r="P64" i="22"/>
  <c r="P63" i="22"/>
  <c r="P62" i="22"/>
  <c r="P60" i="22"/>
  <c r="P46" i="22"/>
  <c r="P55" i="22"/>
  <c r="P34" i="22"/>
  <c r="P53" i="22"/>
  <c r="P39" i="22"/>
  <c r="P33" i="22"/>
  <c r="P45" i="22"/>
  <c r="P38" i="22"/>
  <c r="P37" i="22"/>
  <c r="P26" i="22"/>
  <c r="P32" i="22"/>
  <c r="P25" i="22"/>
  <c r="P31" i="22"/>
  <c r="P24" i="22"/>
  <c r="P19" i="22"/>
  <c r="P12" i="22"/>
  <c r="P11" i="22"/>
  <c r="P10" i="22"/>
  <c r="P9" i="22"/>
  <c r="P23" i="22"/>
  <c r="P22" i="22"/>
  <c r="K287" i="22"/>
  <c r="G345" i="14"/>
  <c r="I345" i="14"/>
  <c r="G344" i="14"/>
  <c r="I344" i="14"/>
  <c r="G343" i="14"/>
  <c r="I343" i="14"/>
  <c r="G342" i="14"/>
  <c r="I342" i="14"/>
  <c r="G341" i="14"/>
  <c r="I341" i="14"/>
  <c r="K222" i="14"/>
  <c r="L222" i="14"/>
  <c r="M222" i="14"/>
  <c r="N222" i="14"/>
  <c r="O222" i="14"/>
  <c r="M230" i="14"/>
  <c r="M237" i="14"/>
  <c r="M235" i="14"/>
  <c r="M232" i="14"/>
  <c r="J222" i="14" l="1"/>
  <c r="I478" i="22"/>
  <c r="B4" i="22"/>
  <c r="P221" i="22"/>
  <c r="H238" i="22"/>
  <c r="I221" i="22"/>
  <c r="I2603" i="22"/>
  <c r="L291" i="22"/>
  <c r="L478" i="22" s="1"/>
  <c r="H2603" i="22"/>
  <c r="J4" i="22" s="1"/>
  <c r="P181" i="19"/>
  <c r="P183" i="19"/>
  <c r="P146" i="19"/>
  <c r="P45" i="19"/>
  <c r="P120" i="19"/>
  <c r="P148" i="19"/>
  <c r="P125" i="19"/>
  <c r="P166" i="19"/>
  <c r="P63" i="19"/>
  <c r="P179" i="19"/>
  <c r="P71" i="19"/>
  <c r="P56" i="19"/>
  <c r="P33" i="19"/>
  <c r="P115" i="19"/>
  <c r="P126" i="19"/>
  <c r="P134" i="19"/>
  <c r="P85" i="19"/>
  <c r="P41" i="19"/>
  <c r="P75" i="19"/>
  <c r="P153" i="19"/>
  <c r="P154" i="19"/>
  <c r="P23" i="19"/>
  <c r="P51" i="19"/>
  <c r="P58" i="19"/>
  <c r="P73" i="19"/>
  <c r="P109" i="19"/>
  <c r="P112" i="19"/>
  <c r="P87" i="19"/>
  <c r="P65" i="19"/>
  <c r="P110" i="19"/>
  <c r="P142" i="19"/>
  <c r="P144" i="19"/>
  <c r="P157" i="19"/>
  <c r="P158" i="19"/>
  <c r="P156" i="19"/>
  <c r="P177" i="19"/>
  <c r="P172" i="19"/>
  <c r="P168" i="19"/>
  <c r="P18" i="19"/>
  <c r="P34" i="19"/>
  <c r="P25" i="19"/>
  <c r="P48" i="19"/>
  <c r="P49" i="19"/>
  <c r="P17" i="19"/>
  <c r="P13" i="19"/>
  <c r="P152" i="19"/>
  <c r="P141" i="19"/>
  <c r="P106" i="19"/>
  <c r="P28" i="19"/>
  <c r="P32" i="19"/>
  <c r="P178" i="19"/>
  <c r="P89" i="19"/>
  <c r="P174" i="19"/>
  <c r="P121" i="19"/>
  <c r="P88" i="19"/>
  <c r="P138" i="19"/>
  <c r="P78" i="19"/>
  <c r="P36" i="19"/>
  <c r="P35" i="19"/>
  <c r="P11" i="19"/>
  <c r="P128" i="19"/>
  <c r="P57" i="19"/>
  <c r="P139" i="19"/>
  <c r="P72" i="19"/>
  <c r="P170" i="19"/>
  <c r="P145" i="19"/>
  <c r="P80" i="19"/>
  <c r="P132" i="19"/>
  <c r="P137" i="19"/>
  <c r="P136" i="19"/>
  <c r="P149" i="19"/>
  <c r="P118" i="19"/>
  <c r="P117" i="19"/>
  <c r="P92" i="19"/>
  <c r="P119" i="19"/>
  <c r="P131" i="19"/>
  <c r="P37" i="19"/>
  <c r="P84" i="19"/>
  <c r="P127" i="19"/>
  <c r="P67" i="19"/>
  <c r="P21" i="19"/>
  <c r="P66" i="19"/>
  <c r="P62" i="19"/>
  <c r="P47" i="19"/>
  <c r="P19" i="19"/>
  <c r="P60" i="19"/>
  <c r="P16" i="19"/>
  <c r="P76" i="19"/>
  <c r="P40" i="19"/>
  <c r="P77" i="19"/>
  <c r="P187" i="19"/>
  <c r="M4" i="22" l="1"/>
  <c r="G4" i="22"/>
  <c r="P55" i="19"/>
  <c r="P54" i="19"/>
  <c r="P59" i="19"/>
  <c r="P173" i="19"/>
  <c r="P160" i="19"/>
  <c r="P4" i="22" l="1"/>
  <c r="P24" i="19"/>
  <c r="P43" i="19"/>
  <c r="P180" i="19"/>
  <c r="P171" i="19"/>
  <c r="P39" i="19"/>
  <c r="P10" i="19"/>
  <c r="P68" i="19"/>
  <c r="P12" i="19"/>
  <c r="P123" i="19"/>
  <c r="P69" i="19"/>
  <c r="P184" i="19"/>
  <c r="P44" i="19"/>
  <c r="P147" i="19"/>
  <c r="P27" i="19"/>
  <c r="P165" i="19"/>
  <c r="P150" i="19"/>
  <c r="P185" i="19"/>
  <c r="P122" i="19"/>
  <c r="P64" i="19"/>
  <c r="P98" i="19"/>
  <c r="P86" i="19"/>
  <c r="P79" i="19"/>
  <c r="P124" i="19"/>
  <c r="P129" i="19"/>
  <c r="P164" i="19"/>
  <c r="P167" i="19"/>
  <c r="P94" i="19"/>
  <c r="P155" i="19"/>
  <c r="P186" i="19"/>
  <c r="P169" i="19"/>
  <c r="P91" i="19"/>
  <c r="P163" i="19"/>
  <c r="P111" i="19"/>
  <c r="P42" i="19"/>
  <c r="P135" i="19"/>
  <c r="P53" i="19"/>
  <c r="P151" i="19"/>
  <c r="P133" i="19"/>
  <c r="P95" i="19"/>
  <c r="P83" i="19"/>
  <c r="P61" i="19"/>
  <c r="P31" i="19"/>
  <c r="P22" i="19"/>
  <c r="I14" i="19"/>
  <c r="P182" i="19"/>
  <c r="P29" i="19"/>
  <c r="P82" i="19" l="1"/>
  <c r="P93" i="19"/>
  <c r="P52" i="19"/>
  <c r="P96" i="19"/>
  <c r="P14" i="19"/>
  <c r="G178" i="18"/>
  <c r="P178" i="18"/>
  <c r="Q178" i="18"/>
  <c r="R178" i="18"/>
  <c r="P81" i="18"/>
  <c r="P68" i="18"/>
  <c r="P92" i="18"/>
  <c r="P26" i="18"/>
  <c r="P138" i="18"/>
  <c r="P15" i="18"/>
  <c r="I297" i="18"/>
  <c r="I298" i="18"/>
  <c r="I299" i="18"/>
  <c r="I300" i="18"/>
  <c r="I301" i="18"/>
  <c r="P87" i="18"/>
  <c r="P168" i="18"/>
  <c r="H218" i="18" l="1"/>
  <c r="M218" i="18" s="1"/>
  <c r="M211" i="18"/>
  <c r="M212" i="18"/>
  <c r="M213" i="18"/>
  <c r="M214" i="18"/>
  <c r="H216" i="18"/>
  <c r="M216" i="18" s="1"/>
  <c r="H217" i="18"/>
  <c r="M217" i="18" s="1"/>
  <c r="H219" i="18"/>
  <c r="M219" i="18" s="1"/>
  <c r="P141" i="18"/>
  <c r="P197" i="18"/>
  <c r="P186" i="18"/>
  <c r="P173" i="18"/>
  <c r="P180" i="18"/>
  <c r="P179" i="18"/>
  <c r="P91" i="18"/>
  <c r="P69" i="18"/>
  <c r="P125" i="18"/>
  <c r="P164" i="18"/>
  <c r="P65" i="18"/>
  <c r="P86" i="18"/>
  <c r="P99" i="18"/>
  <c r="P195" i="18"/>
  <c r="P196" i="18"/>
  <c r="P144" i="18"/>
  <c r="P181" i="18"/>
  <c r="P135" i="18"/>
  <c r="P66" i="18"/>
  <c r="P146" i="18"/>
  <c r="P124" i="18"/>
  <c r="P126" i="18"/>
  <c r="P127" i="18"/>
  <c r="P182" i="18"/>
  <c r="P136" i="18"/>
  <c r="P166" i="18"/>
  <c r="P12" i="18"/>
  <c r="P13" i="18"/>
  <c r="P14" i="18"/>
  <c r="P128" i="18"/>
  <c r="P203" i="18"/>
  <c r="P147" i="18"/>
  <c r="P131" i="18"/>
  <c r="P100" i="18"/>
  <c r="P149" i="18"/>
  <c r="P198" i="18"/>
  <c r="P16" i="18"/>
  <c r="P17" i="18"/>
  <c r="P167" i="18"/>
  <c r="P184" i="18"/>
  <c r="P22" i="18"/>
  <c r="P23" i="18"/>
  <c r="P163" i="18"/>
  <c r="P24" i="18"/>
  <c r="P25" i="18"/>
  <c r="P67" i="18"/>
  <c r="P88" i="18"/>
  <c r="P27" i="18"/>
  <c r="P103" i="18"/>
  <c r="P28" i="18"/>
  <c r="P150" i="18"/>
  <c r="P29" i="18"/>
  <c r="P30" i="18"/>
  <c r="P137" i="18"/>
  <c r="P31" i="18"/>
  <c r="P151" i="18"/>
  <c r="P152" i="18"/>
  <c r="P32" i="18"/>
  <c r="P33" i="18"/>
  <c r="P34" i="18"/>
  <c r="P35" i="18"/>
  <c r="P36" i="18"/>
  <c r="P37" i="18"/>
  <c r="P38" i="18"/>
  <c r="P39" i="18"/>
  <c r="P154" i="18"/>
  <c r="P159" i="18"/>
  <c r="P187" i="18"/>
  <c r="P105" i="18"/>
  <c r="P107" i="18"/>
  <c r="P170" i="18"/>
  <c r="P171" i="18"/>
  <c r="P108" i="18"/>
  <c r="P70" i="18"/>
  <c r="P139" i="18"/>
  <c r="P155" i="18"/>
  <c r="P109" i="18"/>
  <c r="P84" i="18"/>
  <c r="P110" i="18"/>
  <c r="P140" i="18"/>
  <c r="P111" i="18"/>
  <c r="P165" i="18"/>
  <c r="P11" i="18"/>
  <c r="P183" i="18"/>
  <c r="P20" i="18"/>
  <c r="P200" i="18"/>
  <c r="P98" i="18"/>
  <c r="P106" i="18"/>
  <c r="P40" i="18"/>
  <c r="P41" i="18"/>
  <c r="P201" i="18"/>
  <c r="P112" i="18"/>
  <c r="P160" i="18"/>
  <c r="P42" i="18"/>
  <c r="P43" i="18"/>
  <c r="P93" i="18"/>
  <c r="P45" i="18"/>
  <c r="P46" i="18"/>
  <c r="P83" i="18"/>
  <c r="P89" i="18"/>
  <c r="P142" i="18"/>
  <c r="P94" i="18"/>
  <c r="P95" i="18"/>
  <c r="P113" i="18"/>
  <c r="P114" i="18"/>
  <c r="P188" i="18"/>
  <c r="P189" i="18"/>
  <c r="P202" i="18"/>
  <c r="P47" i="18"/>
  <c r="P161" i="18"/>
  <c r="P48" i="18"/>
  <c r="P156" i="18"/>
  <c r="P49" i="18"/>
  <c r="P116" i="18"/>
  <c r="P172" i="18"/>
  <c r="P117" i="18"/>
  <c r="P118" i="18"/>
  <c r="P119" i="18"/>
  <c r="P52" i="18"/>
  <c r="P162" i="18"/>
  <c r="P10" i="18"/>
  <c r="P145" i="18"/>
  <c r="P21" i="18"/>
  <c r="P101" i="18"/>
  <c r="P199" i="18"/>
  <c r="P102" i="18"/>
  <c r="P185" i="18"/>
  <c r="P44" i="18"/>
  <c r="P190" i="18"/>
  <c r="P18" i="18"/>
  <c r="P115" i="18"/>
  <c r="P50" i="18"/>
  <c r="P51" i="18"/>
  <c r="P80" i="18"/>
  <c r="P129" i="18"/>
  <c r="P153" i="18"/>
  <c r="P169" i="18"/>
  <c r="P19" i="18"/>
  <c r="P143" i="18" l="1"/>
  <c r="P177" i="18"/>
  <c r="P104" i="18"/>
  <c r="P148" i="18"/>
  <c r="P9" i="18"/>
  <c r="G351" i="13" l="1"/>
  <c r="M153" i="13" l="1"/>
  <c r="M147" i="13"/>
  <c r="M148" i="13"/>
  <c r="M149" i="13"/>
  <c r="M150" i="13"/>
  <c r="M151" i="13"/>
  <c r="M152" i="13"/>
  <c r="H154" i="13"/>
  <c r="M154" i="13" s="1"/>
  <c r="P140" i="13" l="1"/>
  <c r="P117" i="13"/>
  <c r="P45" i="13"/>
  <c r="P116" i="13"/>
  <c r="P31" i="13"/>
  <c r="P62" i="13"/>
  <c r="P10" i="13"/>
  <c r="P138" i="13" l="1"/>
  <c r="P18" i="13"/>
  <c r="P106" i="13"/>
  <c r="P130" i="13"/>
  <c r="P131" i="13"/>
  <c r="P96" i="13"/>
  <c r="P129" i="13"/>
  <c r="P49" i="13"/>
  <c r="P59" i="13"/>
  <c r="P19" i="13"/>
  <c r="P120" i="13"/>
  <c r="P61" i="13"/>
  <c r="P11" i="13"/>
  <c r="P97" i="13"/>
  <c r="P122" i="13"/>
  <c r="P108" i="13"/>
  <c r="P132" i="13"/>
  <c r="P94" i="13"/>
  <c r="P60" i="13"/>
  <c r="P20" i="13"/>
  <c r="P65" i="13"/>
  <c r="P133" i="13"/>
  <c r="P64" i="13"/>
  <c r="P63" i="13"/>
  <c r="P12" i="13"/>
  <c r="P66" i="13"/>
  <c r="P134" i="13"/>
  <c r="P23" i="13"/>
  <c r="P67" i="13"/>
  <c r="P22" i="13"/>
  <c r="P123" i="13"/>
  <c r="P15" i="13"/>
  <c r="P58" i="13"/>
  <c r="P70" i="13"/>
  <c r="P54" i="13"/>
  <c r="P14" i="13"/>
  <c r="P69" i="13"/>
  <c r="P109" i="13"/>
  <c r="P124" i="13"/>
  <c r="P73" i="13"/>
  <c r="P111" i="13"/>
  <c r="P141" i="13"/>
  <c r="P135" i="13"/>
  <c r="P104" i="13"/>
  <c r="P136" i="13"/>
  <c r="P126" i="13"/>
  <c r="P32" i="13"/>
  <c r="P139" i="13"/>
  <c r="P75" i="13"/>
  <c r="P52" i="13"/>
  <c r="P53" i="13"/>
  <c r="P89" i="13"/>
  <c r="P88" i="13"/>
  <c r="P99" i="13"/>
  <c r="P100" i="13"/>
  <c r="P79" i="13"/>
  <c r="P41" i="13"/>
  <c r="P36" i="13"/>
  <c r="P137" i="13"/>
  <c r="P127" i="13"/>
  <c r="P34" i="13"/>
  <c r="P90" i="13"/>
  <c r="P78" i="13"/>
  <c r="P113" i="13"/>
  <c r="P35" i="13"/>
  <c r="P98" i="13"/>
  <c r="P77" i="13"/>
  <c r="P24" i="13"/>
  <c r="P39" i="13"/>
  <c r="P114" i="13"/>
  <c r="P102" i="13"/>
  <c r="P80" i="13"/>
  <c r="P38" i="13"/>
  <c r="P43" i="13"/>
  <c r="P86" i="13"/>
  <c r="P115" i="13"/>
  <c r="P84" i="13"/>
  <c r="P91" i="13"/>
  <c r="P42" i="13"/>
  <c r="P82" i="13"/>
  <c r="P25" i="13"/>
  <c r="P44" i="13"/>
  <c r="P48" i="13"/>
  <c r="P87" i="13"/>
  <c r="P55" i="13"/>
  <c r="P17" i="13"/>
  <c r="P95" i="13"/>
  <c r="P29" i="13"/>
  <c r="P28" i="13"/>
  <c r="P13" i="13"/>
  <c r="P9" i="13"/>
  <c r="P46" i="13"/>
  <c r="P71" i="13"/>
  <c r="P30" i="13"/>
  <c r="P119" i="13"/>
  <c r="P107" i="13"/>
  <c r="P121" i="13"/>
  <c r="P21" i="13"/>
  <c r="P68" i="13"/>
  <c r="P51" i="13"/>
  <c r="P112" i="13"/>
  <c r="P72" i="13"/>
  <c r="P56" i="13"/>
  <c r="P16" i="13"/>
  <c r="P33" i="13"/>
  <c r="P37" i="13"/>
  <c r="P101" i="13"/>
  <c r="P128" i="13"/>
  <c r="P83" i="13"/>
  <c r="P92" i="13"/>
  <c r="P27" i="13"/>
  <c r="P47" i="13"/>
  <c r="P26" i="13"/>
  <c r="P50" i="13"/>
  <c r="P114" i="16" l="1"/>
  <c r="P144" i="16"/>
  <c r="P126" i="16"/>
  <c r="P55" i="16"/>
  <c r="P69" i="16"/>
  <c r="P109" i="16"/>
  <c r="M169" i="16" l="1"/>
  <c r="P153" i="16" l="1"/>
  <c r="P100" i="16"/>
  <c r="P136" i="16"/>
  <c r="P9" i="16"/>
  <c r="P11" i="16"/>
  <c r="P15" i="16"/>
  <c r="P13" i="16"/>
  <c r="P18" i="16"/>
  <c r="P23" i="16"/>
  <c r="P24" i="16"/>
  <c r="P25" i="16"/>
  <c r="P26" i="16"/>
  <c r="P10" i="16"/>
  <c r="P27" i="16"/>
  <c r="P30" i="16"/>
  <c r="P37" i="16"/>
  <c r="P36" i="16"/>
  <c r="P28" i="16"/>
  <c r="P32" i="16"/>
  <c r="P29" i="16"/>
  <c r="P38" i="16"/>
  <c r="P46" i="16"/>
  <c r="P43" i="16"/>
  <c r="P34" i="16"/>
  <c r="P41" i="16"/>
  <c r="P39" i="16"/>
  <c r="P40" i="16"/>
  <c r="P45" i="16"/>
  <c r="P50" i="16"/>
  <c r="P48" i="16"/>
  <c r="P51" i="16"/>
  <c r="P54" i="16"/>
  <c r="P53" i="16"/>
  <c r="P57" i="16"/>
  <c r="P62" i="16"/>
  <c r="P58" i="16"/>
  <c r="P63" i="16"/>
  <c r="P60" i="16"/>
  <c r="P61" i="16"/>
  <c r="P49" i="16"/>
  <c r="P68" i="16"/>
  <c r="P72" i="16"/>
  <c r="P71" i="16"/>
  <c r="P73" i="16"/>
  <c r="P76" i="16"/>
  <c r="P84" i="16"/>
  <c r="P74" i="16"/>
  <c r="P75" i="16"/>
  <c r="P70" i="16"/>
  <c r="P80" i="16"/>
  <c r="P66" i="16"/>
  <c r="P64" i="16"/>
  <c r="P77" i="16"/>
  <c r="P89" i="16"/>
  <c r="P83" i="16"/>
  <c r="P85" i="16"/>
  <c r="P78" i="16"/>
  <c r="P79" i="16"/>
  <c r="P92" i="16"/>
  <c r="P88" i="16"/>
  <c r="P93" i="16"/>
  <c r="P95" i="16"/>
  <c r="P99" i="16"/>
  <c r="P98" i="16"/>
  <c r="P106" i="16"/>
  <c r="P91" i="16"/>
  <c r="P108" i="16"/>
  <c r="P104" i="16"/>
  <c r="P105" i="16"/>
  <c r="P97" i="16"/>
  <c r="P103" i="16"/>
  <c r="P101" i="16"/>
  <c r="P116" i="16"/>
  <c r="P113" i="16"/>
  <c r="P112" i="16"/>
  <c r="P110" i="16"/>
  <c r="P115" i="16"/>
  <c r="P119" i="16"/>
  <c r="P124" i="16"/>
  <c r="P122" i="16"/>
  <c r="P120" i="16"/>
  <c r="P121" i="16"/>
  <c r="P123" i="16"/>
  <c r="P141" i="16"/>
  <c r="P135" i="16"/>
  <c r="P132" i="16"/>
  <c r="P131" i="16"/>
  <c r="P129" i="16"/>
  <c r="P142" i="16"/>
  <c r="P140" i="16"/>
  <c r="P137" i="16"/>
  <c r="P134" i="16"/>
  <c r="P146" i="16"/>
  <c r="P143" i="16"/>
  <c r="P148" i="16"/>
  <c r="P147" i="16"/>
  <c r="P150" i="16"/>
  <c r="P151" i="16"/>
  <c r="P157" i="16"/>
  <c r="P155" i="16"/>
  <c r="P154" i="16"/>
  <c r="P152" i="16"/>
  <c r="P159" i="16"/>
  <c r="P162" i="16"/>
  <c r="P163" i="16"/>
  <c r="P14" i="16"/>
  <c r="P17" i="16"/>
  <c r="P21" i="16"/>
  <c r="P20" i="16"/>
  <c r="P81" i="16"/>
  <c r="P130" i="16"/>
  <c r="P160" i="16"/>
  <c r="P161" i="16"/>
  <c r="P145" i="16"/>
  <c r="P22" i="16"/>
  <c r="P35" i="16"/>
  <c r="P33" i="16"/>
  <c r="P31" i="16"/>
  <c r="P42" i="16"/>
  <c r="P44" i="16"/>
  <c r="P47" i="16"/>
  <c r="P52" i="16"/>
  <c r="P59" i="16"/>
  <c r="P56" i="16"/>
  <c r="P65" i="16"/>
  <c r="P67" i="16"/>
  <c r="P86" i="16"/>
  <c r="P82" i="16"/>
  <c r="P90" i="16"/>
  <c r="P87" i="16"/>
  <c r="P96" i="16"/>
  <c r="P107" i="16"/>
  <c r="P102" i="16"/>
  <c r="P111" i="16"/>
  <c r="P117" i="16"/>
  <c r="P118" i="16"/>
  <c r="P125" i="16"/>
  <c r="P127" i="16"/>
  <c r="P128" i="16"/>
  <c r="P138" i="16"/>
  <c r="P139" i="16"/>
  <c r="P149" i="16"/>
  <c r="P156" i="16"/>
  <c r="P12" i="16"/>
  <c r="P19" i="16"/>
  <c r="P94" i="16"/>
  <c r="H189" i="12" l="1"/>
  <c r="K178" i="12"/>
  <c r="J178" i="12"/>
  <c r="I189" i="12"/>
  <c r="G189" i="12"/>
  <c r="I254" i="12"/>
  <c r="I255" i="12"/>
  <c r="I256" i="12"/>
  <c r="I257" i="12"/>
  <c r="I258" i="12"/>
  <c r="P145" i="12"/>
  <c r="P120" i="12"/>
  <c r="P111" i="12"/>
  <c r="P152" i="12"/>
  <c r="P45" i="12"/>
  <c r="P87" i="12"/>
  <c r="P105" i="12"/>
  <c r="P133" i="12"/>
  <c r="P153" i="12"/>
  <c r="P58" i="12"/>
  <c r="P69" i="12"/>
  <c r="P82" i="12"/>
  <c r="P85" i="12"/>
  <c r="P11" i="12"/>
  <c r="P149" i="12"/>
  <c r="P38" i="12"/>
  <c r="P19" i="12"/>
  <c r="P161" i="12"/>
  <c r="P27" i="12"/>
  <c r="P96" i="12"/>
  <c r="P124" i="12"/>
  <c r="P95" i="12"/>
  <c r="P128" i="12"/>
  <c r="P171" i="12"/>
  <c r="P127" i="12"/>
  <c r="P63" i="12"/>
  <c r="P72" i="12"/>
  <c r="P22" i="12"/>
  <c r="P91" i="12"/>
  <c r="P21" i="12"/>
  <c r="P28" i="12"/>
  <c r="P169" i="12"/>
  <c r="P25" i="12"/>
  <c r="P86" i="12"/>
  <c r="P163" i="12"/>
  <c r="P118" i="12"/>
  <c r="P43" i="12"/>
  <c r="P61" i="12"/>
  <c r="P37" i="12"/>
  <c r="P17" i="12"/>
  <c r="P29" i="12"/>
  <c r="P98" i="12"/>
  <c r="P75" i="12"/>
  <c r="P165" i="12"/>
  <c r="P151" i="12"/>
  <c r="P56" i="12"/>
  <c r="P125" i="12"/>
  <c r="P10" i="12"/>
  <c r="P109" i="12"/>
  <c r="P119" i="12"/>
  <c r="P54" i="12"/>
  <c r="P89" i="12"/>
  <c r="P173" i="12"/>
  <c r="P44" i="12"/>
  <c r="P154" i="12"/>
  <c r="P46" i="12"/>
  <c r="P30" i="12"/>
  <c r="P90" i="12"/>
  <c r="P66" i="12"/>
  <c r="P12" i="12"/>
  <c r="P77" i="12"/>
  <c r="P155" i="12"/>
  <c r="P131" i="12"/>
  <c r="P13" i="12"/>
  <c r="P148" i="12"/>
  <c r="P78" i="12"/>
  <c r="P146" i="12"/>
  <c r="P55" i="12"/>
  <c r="P84" i="12"/>
  <c r="P147" i="12"/>
  <c r="P92" i="12"/>
  <c r="P144" i="12"/>
  <c r="P26" i="12"/>
  <c r="P50" i="12"/>
  <c r="P67" i="12"/>
  <c r="P135" i="12"/>
  <c r="P137" i="12"/>
  <c r="P134" i="12"/>
  <c r="P156" i="12"/>
  <c r="P9" i="12"/>
  <c r="P107" i="12"/>
  <c r="P138" i="12"/>
  <c r="P108" i="12"/>
  <c r="P175" i="12"/>
  <c r="P74" i="12"/>
  <c r="P39" i="12"/>
  <c r="P31" i="12"/>
  <c r="P33" i="12"/>
  <c r="P80" i="12"/>
  <c r="P168" i="12"/>
  <c r="P117" i="12"/>
  <c r="P79" i="12"/>
  <c r="P157" i="12"/>
  <c r="P101" i="12"/>
  <c r="P123" i="12"/>
  <c r="P68" i="12"/>
  <c r="P34" i="12"/>
  <c r="P93" i="12"/>
  <c r="P159" i="12"/>
  <c r="P51" i="12"/>
  <c r="P103" i="12"/>
  <c r="P8" i="12"/>
  <c r="P158" i="12"/>
  <c r="P121" i="12"/>
  <c r="P176" i="12"/>
  <c r="P174" i="12"/>
  <c r="P52" i="12"/>
  <c r="P113" i="12"/>
  <c r="P116" i="12"/>
  <c r="P41" i="12"/>
  <c r="P122" i="12"/>
  <c r="P23" i="12"/>
  <c r="P110" i="12"/>
  <c r="P20" i="12"/>
  <c r="P160" i="12"/>
  <c r="P140" i="12"/>
  <c r="P81" i="12"/>
  <c r="P40" i="12"/>
  <c r="P115" i="12"/>
  <c r="P36" i="12"/>
  <c r="P88" i="12"/>
  <c r="P150" i="12"/>
  <c r="P76" i="12"/>
  <c r="P100" i="12"/>
  <c r="P167" i="12"/>
  <c r="P16" i="12"/>
  <c r="P136" i="12"/>
  <c r="P164" i="12"/>
  <c r="P139" i="12"/>
  <c r="P62" i="12"/>
  <c r="P126" i="12"/>
  <c r="P14" i="12"/>
  <c r="P143" i="12"/>
  <c r="P94" i="12"/>
  <c r="P102" i="12"/>
  <c r="P53" i="12"/>
  <c r="P112" i="12"/>
  <c r="P132" i="12"/>
  <c r="P49" i="12"/>
  <c r="P99" i="12"/>
  <c r="P83" i="12"/>
  <c r="P166" i="12"/>
  <c r="P106" i="12"/>
  <c r="P48" i="12"/>
  <c r="P70" i="12"/>
  <c r="P35" i="12"/>
  <c r="P104" i="12"/>
  <c r="P18" i="12"/>
  <c r="P47" i="12"/>
  <c r="P42" i="12"/>
  <c r="P142" i="12"/>
  <c r="P162" i="12"/>
  <c r="P141" i="12"/>
  <c r="P46" i="11" l="1"/>
  <c r="P13" i="11"/>
  <c r="P29" i="11"/>
  <c r="P45" i="11"/>
  <c r="P174" i="11"/>
  <c r="M264" i="11"/>
  <c r="M265" i="11"/>
  <c r="M266" i="11"/>
  <c r="M267" i="11"/>
  <c r="N268" i="11"/>
  <c r="L268" i="11"/>
  <c r="K268" i="11"/>
  <c r="P112" i="11"/>
  <c r="P38" i="11"/>
  <c r="P151" i="11"/>
  <c r="P71" i="11"/>
  <c r="P57" i="11"/>
  <c r="P52" i="11"/>
  <c r="J268" i="11" l="1"/>
  <c r="M268" i="11"/>
  <c r="P9" i="11"/>
  <c r="P25" i="11"/>
  <c r="P126" i="11"/>
  <c r="P153" i="11"/>
  <c r="P86" i="11"/>
  <c r="P66" i="11"/>
  <c r="P134" i="11"/>
  <c r="P49" i="11"/>
  <c r="P28" i="11"/>
  <c r="P39" i="11"/>
  <c r="P162" i="11"/>
  <c r="P135" i="11"/>
  <c r="P41" i="11"/>
  <c r="P104" i="11"/>
  <c r="P72" i="11"/>
  <c r="P115" i="11"/>
  <c r="P96" i="11"/>
  <c r="P101" i="11"/>
  <c r="P118" i="11"/>
  <c r="P44" i="11"/>
  <c r="P12" i="11"/>
  <c r="P14" i="11"/>
  <c r="P16" i="11"/>
  <c r="P149" i="11"/>
  <c r="P107" i="11"/>
  <c r="P111" i="11"/>
  <c r="P84" i="11"/>
  <c r="P33" i="11"/>
  <c r="P70" i="11"/>
  <c r="P147" i="11"/>
  <c r="P158" i="11"/>
  <c r="P133" i="11"/>
  <c r="P103" i="11"/>
  <c r="P121" i="11"/>
  <c r="P63" i="11"/>
  <c r="P113" i="11"/>
  <c r="P26" i="11"/>
  <c r="P173" i="11"/>
  <c r="P97" i="11"/>
  <c r="P129" i="11"/>
  <c r="P150" i="11"/>
  <c r="P177" i="11"/>
  <c r="P68" i="11"/>
  <c r="P178" i="11"/>
  <c r="P65" i="11"/>
  <c r="P80" i="11"/>
  <c r="P171" i="11"/>
  <c r="P119" i="11"/>
  <c r="P85" i="11"/>
  <c r="P183" i="11"/>
  <c r="P17" i="11"/>
  <c r="P79" i="11"/>
  <c r="P60" i="11"/>
  <c r="P155" i="11"/>
  <c r="P140" i="11"/>
  <c r="P106" i="11"/>
  <c r="P62" i="11"/>
  <c r="P130" i="11"/>
  <c r="P175" i="11"/>
  <c r="P181" i="11"/>
  <c r="P185" i="11"/>
  <c r="P54" i="11"/>
  <c r="P51" i="11"/>
  <c r="P18" i="11"/>
  <c r="P24" i="11"/>
  <c r="P138" i="11"/>
  <c r="P99" i="11"/>
  <c r="P172" i="11"/>
  <c r="P180" i="11"/>
  <c r="P30" i="11"/>
  <c r="P105" i="11"/>
  <c r="P31" i="11"/>
  <c r="P184" i="11"/>
  <c r="P176" i="11"/>
  <c r="P159" i="11"/>
  <c r="P168" i="11"/>
  <c r="P58" i="11"/>
  <c r="P50" i="11"/>
  <c r="P167" i="11"/>
  <c r="P125" i="11"/>
  <c r="P48" i="11"/>
  <c r="P127" i="11"/>
  <c r="P179" i="11"/>
  <c r="P128" i="11"/>
  <c r="P61" i="11"/>
  <c r="P94" i="11"/>
  <c r="P116" i="11"/>
  <c r="P32" i="11"/>
  <c r="P78" i="11"/>
  <c r="P47" i="11"/>
  <c r="P152" i="11"/>
  <c r="P36" i="11"/>
  <c r="P40" i="11"/>
  <c r="P182" i="11"/>
  <c r="P164" i="11"/>
  <c r="P82" i="11"/>
  <c r="P124" i="11"/>
  <c r="P100" i="11"/>
  <c r="P27" i="11"/>
  <c r="P55" i="11"/>
  <c r="P69" i="11"/>
  <c r="P53" i="11"/>
  <c r="P73" i="11"/>
  <c r="G161" i="10" l="1"/>
  <c r="P76" i="10" l="1"/>
  <c r="P66" i="10"/>
  <c r="P8" i="10"/>
  <c r="P9" i="10"/>
  <c r="P131" i="10"/>
  <c r="P123" i="10"/>
  <c r="P142" i="10"/>
  <c r="P14" i="10"/>
  <c r="P89" i="10"/>
  <c r="P79" i="10"/>
  <c r="P74" i="10"/>
  <c r="P127" i="10"/>
  <c r="P120" i="10"/>
  <c r="P143" i="10"/>
  <c r="M233" i="10" l="1"/>
  <c r="K233" i="10"/>
  <c r="J233" i="10"/>
  <c r="H233" i="10"/>
  <c r="L232" i="10"/>
  <c r="L231" i="10"/>
  <c r="L230" i="10"/>
  <c r="I233" i="10" l="1"/>
  <c r="L229" i="10"/>
  <c r="L233" i="10" s="1"/>
  <c r="H213" i="10" l="1"/>
  <c r="I213" i="10" s="1"/>
  <c r="H214" i="10"/>
  <c r="I214" i="10" s="1"/>
  <c r="H199" i="2"/>
  <c r="I199" i="2" s="1"/>
  <c r="H200" i="2"/>
  <c r="I200" i="2" s="1"/>
  <c r="H201" i="2"/>
  <c r="I201" i="2" s="1"/>
  <c r="H202" i="2"/>
  <c r="I202" i="2" s="1"/>
  <c r="I189" i="2"/>
  <c r="L189" i="2" s="1"/>
  <c r="I190" i="2"/>
  <c r="L190" i="2" s="1"/>
  <c r="I191" i="2"/>
  <c r="L191" i="2" s="1"/>
  <c r="I192" i="2"/>
  <c r="L192" i="2" s="1"/>
  <c r="I193" i="2"/>
  <c r="L193" i="2" s="1"/>
  <c r="H215" i="10" l="1"/>
  <c r="K215" i="10"/>
  <c r="P70" i="10" l="1"/>
  <c r="P12" i="10"/>
  <c r="P59" i="10"/>
  <c r="P61" i="10"/>
  <c r="P81" i="10"/>
  <c r="P49" i="10"/>
  <c r="P97" i="10"/>
  <c r="P122" i="10"/>
  <c r="P129" i="10"/>
  <c r="P126" i="10"/>
  <c r="P51" i="10"/>
  <c r="P109" i="10"/>
  <c r="P87" i="10" l="1"/>
  <c r="P124" i="10"/>
  <c r="P35" i="10"/>
  <c r="P19" i="10"/>
  <c r="P82" i="10"/>
  <c r="P144" i="10"/>
  <c r="P145" i="10"/>
  <c r="P40" i="10"/>
  <c r="P37" i="10"/>
  <c r="P84" i="10"/>
  <c r="P43" i="10"/>
  <c r="P95" i="10"/>
  <c r="P91" i="10"/>
  <c r="P135" i="10"/>
  <c r="P92" i="10"/>
  <c r="P125" i="10"/>
  <c r="P115" i="10"/>
  <c r="P118" i="10"/>
  <c r="P93" i="10"/>
  <c r="P11" i="10"/>
  <c r="P128" i="10"/>
  <c r="P106" i="10"/>
  <c r="P112" i="10"/>
  <c r="P108" i="10"/>
  <c r="P111" i="10"/>
  <c r="P104" i="10"/>
  <c r="P110" i="10"/>
  <c r="P105" i="10"/>
  <c r="P107" i="10"/>
  <c r="P116" i="10"/>
  <c r="P103" i="10"/>
  <c r="P101" i="10"/>
  <c r="P100" i="10"/>
  <c r="P140" i="10"/>
  <c r="P83" i="10"/>
  <c r="P96" i="10"/>
  <c r="P56" i="10"/>
  <c r="P86" i="10"/>
  <c r="P29" i="10"/>
  <c r="P50" i="10"/>
  <c r="P88" i="10"/>
  <c r="P113" i="10"/>
  <c r="P52" i="10"/>
  <c r="P72" i="10"/>
  <c r="P77" i="10"/>
  <c r="P80" i="10"/>
  <c r="P78" i="10"/>
  <c r="P73" i="10"/>
  <c r="P90" i="10"/>
  <c r="P71" i="10"/>
  <c r="P67" i="10"/>
  <c r="P64" i="10"/>
  <c r="P65" i="10"/>
  <c r="P68" i="10"/>
  <c r="P69" i="10"/>
  <c r="P60" i="10"/>
  <c r="P55" i="10"/>
  <c r="P57" i="10"/>
  <c r="P58" i="10"/>
  <c r="P102" i="10"/>
  <c r="P53" i="10"/>
  <c r="P41" i="10"/>
  <c r="P42" i="10"/>
  <c r="P39" i="10"/>
  <c r="P36" i="10"/>
  <c r="P34" i="10"/>
  <c r="P32" i="10"/>
  <c r="P31" i="10"/>
  <c r="P30" i="10"/>
  <c r="P26" i="10"/>
  <c r="P27" i="10"/>
  <c r="P25" i="10"/>
  <c r="P28" i="10"/>
  <c r="P136" i="10"/>
  <c r="P75" i="10" l="1"/>
  <c r="P117" i="10"/>
  <c r="P121" i="10"/>
  <c r="P130" i="10"/>
  <c r="P137" i="10"/>
  <c r="P141" i="10"/>
  <c r="P139" i="10"/>
  <c r="P38" i="10"/>
  <c r="P85" i="10"/>
  <c r="P33" i="10"/>
  <c r="P138" i="10"/>
  <c r="P146" i="10"/>
  <c r="P21" i="10"/>
  <c r="P24" i="10"/>
  <c r="P119" i="10"/>
  <c r="P54" i="10"/>
  <c r="I17" i="20"/>
  <c r="H199" i="20" l="1"/>
  <c r="P198" i="20" l="1"/>
  <c r="P182" i="20"/>
  <c r="P15" i="20"/>
  <c r="J275" i="20"/>
  <c r="H273" i="20"/>
  <c r="I273" i="20" s="1"/>
  <c r="H274" i="20"/>
  <c r="I274" i="20" s="1"/>
  <c r="G273" i="20"/>
  <c r="G274" i="20"/>
  <c r="M199" i="20"/>
  <c r="N199" i="20"/>
  <c r="L199" i="20"/>
  <c r="J199" i="20" l="1"/>
  <c r="H182" i="16" l="1"/>
  <c r="H206" i="16"/>
  <c r="J183" i="16"/>
  <c r="K201" i="16"/>
  <c r="K220" i="16"/>
  <c r="G161" i="16"/>
  <c r="H200" i="16"/>
  <c r="H207" i="16"/>
  <c r="J204" i="16"/>
  <c r="K213" i="16"/>
  <c r="G162" i="16"/>
  <c r="R130" i="12"/>
  <c r="G129" i="12"/>
  <c r="R91" i="11"/>
  <c r="G114" i="12"/>
  <c r="J193" i="16"/>
  <c r="K202" i="16"/>
  <c r="Q129" i="12"/>
  <c r="Q64" i="12"/>
  <c r="H201" i="16"/>
  <c r="H220" i="16"/>
  <c r="J205" i="16"/>
  <c r="K214" i="16"/>
  <c r="G65" i="12"/>
  <c r="G142" i="11"/>
  <c r="J195" i="16"/>
  <c r="Q146" i="11"/>
  <c r="H213" i="16"/>
  <c r="H214" i="16"/>
  <c r="J212" i="16"/>
  <c r="J196" i="16"/>
  <c r="K203" i="16"/>
  <c r="Q114" i="12"/>
  <c r="Q65" i="12"/>
  <c r="R129" i="12"/>
  <c r="Q142" i="11"/>
  <c r="R65" i="12"/>
  <c r="J200" i="16"/>
  <c r="K204" i="16"/>
  <c r="G155" i="16"/>
  <c r="G73" i="12"/>
  <c r="G144" i="11"/>
  <c r="J220" i="16"/>
  <c r="G156" i="16"/>
  <c r="G60" i="12"/>
  <c r="H202" i="16"/>
  <c r="J182" i="16"/>
  <c r="J206" i="16"/>
  <c r="K183" i="16"/>
  <c r="R114" i="12"/>
  <c r="R142" i="11"/>
  <c r="J207" i="16"/>
  <c r="G57" i="12"/>
  <c r="G64" i="12"/>
  <c r="G146" i="11"/>
  <c r="J201" i="16"/>
  <c r="K205" i="16"/>
  <c r="R64" i="12"/>
  <c r="H203" i="16"/>
  <c r="H183" i="16"/>
  <c r="H204" i="16"/>
  <c r="J213" i="16"/>
  <c r="K193" i="16"/>
  <c r="K195" i="16"/>
  <c r="G157" i="16"/>
  <c r="Q73" i="12"/>
  <c r="H205" i="16"/>
  <c r="J214" i="16"/>
  <c r="K212" i="16"/>
  <c r="K196" i="16"/>
  <c r="G158" i="16"/>
  <c r="Q60" i="12"/>
  <c r="R73" i="12"/>
  <c r="G59" i="12"/>
  <c r="R146" i="11"/>
  <c r="Q144" i="11"/>
  <c r="H195" i="16"/>
  <c r="J202" i="16"/>
  <c r="K182" i="16"/>
  <c r="K206" i="16"/>
  <c r="G159" i="16"/>
  <c r="R60" i="12"/>
  <c r="G91" i="11"/>
  <c r="R144" i="11"/>
  <c r="Q130" i="12"/>
  <c r="H193" i="16"/>
  <c r="G130" i="12"/>
  <c r="R59" i="12"/>
  <c r="H212" i="16"/>
  <c r="H196" i="16"/>
  <c r="J203" i="16"/>
  <c r="K200" i="16"/>
  <c r="K207" i="16"/>
  <c r="G160" i="16"/>
  <c r="Q59" i="12"/>
  <c r="Q91" i="11"/>
  <c r="H204" i="11"/>
  <c r="K205" i="11"/>
  <c r="K207" i="11"/>
  <c r="H224" i="11"/>
  <c r="H206" i="11"/>
  <c r="K209" i="11"/>
  <c r="J211" i="11"/>
  <c r="H205" i="11"/>
  <c r="H207" i="11"/>
  <c r="K210" i="11"/>
  <c r="K204" i="11"/>
  <c r="J221" i="11"/>
  <c r="H209" i="11"/>
  <c r="K211" i="11"/>
  <c r="J222" i="11"/>
  <c r="H210" i="11"/>
  <c r="J209" i="11"/>
  <c r="J204" i="11"/>
  <c r="H211" i="11"/>
  <c r="H221" i="11"/>
  <c r="J224" i="11"/>
  <c r="J206" i="11"/>
  <c r="J205" i="11"/>
  <c r="J207" i="11"/>
  <c r="K221" i="11"/>
  <c r="K222" i="11"/>
  <c r="J210" i="11"/>
  <c r="H222" i="11"/>
  <c r="K224" i="11"/>
  <c r="K206" i="11"/>
  <c r="G134" i="10"/>
  <c r="G45" i="10"/>
  <c r="Q134" i="10"/>
  <c r="R134" i="10"/>
  <c r="R99" i="10"/>
  <c r="R23" i="10"/>
  <c r="G133" i="10"/>
  <c r="G98" i="10"/>
  <c r="Q45" i="10"/>
  <c r="G62" i="10"/>
  <c r="Q98" i="10"/>
  <c r="R45" i="10"/>
  <c r="G18" i="10"/>
  <c r="Q133" i="10"/>
  <c r="R98" i="10"/>
  <c r="G44" i="10"/>
  <c r="Q62" i="10"/>
  <c r="R133" i="10"/>
  <c r="G114" i="10"/>
  <c r="Q44" i="10"/>
  <c r="R62" i="10"/>
  <c r="R44" i="10"/>
  <c r="Q114" i="10"/>
  <c r="G16" i="10"/>
  <c r="R114" i="10"/>
  <c r="G63" i="10"/>
  <c r="Q16" i="10"/>
  <c r="Q63" i="10"/>
  <c r="R16" i="10"/>
  <c r="G99" i="10"/>
  <c r="R63" i="10"/>
  <c r="G23" i="10"/>
  <c r="Q99" i="10"/>
  <c r="Q23" i="10"/>
  <c r="Q18" i="10"/>
  <c r="R18" i="10"/>
  <c r="G17" i="10"/>
  <c r="Q17" i="10"/>
  <c r="R17" i="10"/>
  <c r="G132" i="10"/>
  <c r="R48" i="10"/>
  <c r="Q132" i="10"/>
  <c r="R132" i="10"/>
  <c r="Q48" i="10"/>
  <c r="G48" i="10"/>
  <c r="G70" i="20"/>
  <c r="G87" i="2"/>
  <c r="G103" i="2"/>
  <c r="G104" i="2"/>
  <c r="G9" i="22"/>
  <c r="G182" i="22"/>
  <c r="G174" i="22"/>
  <c r="G75" i="22"/>
  <c r="Q141" i="22"/>
  <c r="Q70" i="22"/>
  <c r="R141" i="22"/>
  <c r="R70" i="22"/>
  <c r="G142" i="22"/>
  <c r="G44" i="22"/>
  <c r="Q16" i="22"/>
  <c r="Q199" i="22"/>
  <c r="R16" i="22"/>
  <c r="R199" i="22"/>
  <c r="G120" i="22"/>
  <c r="G215" i="22"/>
  <c r="Q93" i="22"/>
  <c r="R200" i="22"/>
  <c r="R202" i="22"/>
  <c r="Q198" i="22"/>
  <c r="R104" i="22"/>
  <c r="G41" i="22"/>
  <c r="G134" i="22"/>
  <c r="Q148" i="22"/>
  <c r="Q42" i="22"/>
  <c r="R148" i="22"/>
  <c r="R42" i="22"/>
  <c r="G149" i="22"/>
  <c r="G143" i="22"/>
  <c r="Q58" i="22"/>
  <c r="Q76" i="22"/>
  <c r="R58" i="22"/>
  <c r="R76" i="22"/>
  <c r="G121" i="22"/>
  <c r="Q30" i="22"/>
  <c r="R201" i="22"/>
  <c r="R203" i="22"/>
  <c r="G22" i="22"/>
  <c r="Q107" i="22"/>
  <c r="G50" i="22"/>
  <c r="G51" i="22"/>
  <c r="Q174" i="22"/>
  <c r="Q75" i="22"/>
  <c r="R174" i="22"/>
  <c r="R75" i="22"/>
  <c r="G177" i="22"/>
  <c r="G135" i="22"/>
  <c r="Q103" i="22"/>
  <c r="Q190" i="22"/>
  <c r="R103" i="22"/>
  <c r="R190" i="22"/>
  <c r="G17" i="22"/>
  <c r="Q104" i="22"/>
  <c r="Q157" i="22"/>
  <c r="R119" i="22"/>
  <c r="R214" i="22"/>
  <c r="G23" i="22"/>
  <c r="Q156" i="22"/>
  <c r="G29" i="22"/>
  <c r="G74" i="22"/>
  <c r="Q41" i="22"/>
  <c r="Q134" i="22"/>
  <c r="R41" i="22"/>
  <c r="R134" i="22"/>
  <c r="G194" i="22"/>
  <c r="G195" i="22"/>
  <c r="Q142" i="22"/>
  <c r="Q44" i="22"/>
  <c r="R142" i="22"/>
  <c r="R44" i="22"/>
  <c r="G108" i="22"/>
  <c r="Q200" i="22"/>
  <c r="Q202" i="22"/>
  <c r="R120" i="22"/>
  <c r="R215" i="22"/>
  <c r="G190" i="22"/>
  <c r="R176" i="22"/>
  <c r="R157" i="22"/>
  <c r="G57" i="22"/>
  <c r="G92" i="22"/>
  <c r="Q50" i="22"/>
  <c r="Q51" i="22"/>
  <c r="R50" i="22"/>
  <c r="R51" i="22"/>
  <c r="G146" i="22"/>
  <c r="G106" i="22"/>
  <c r="Q149" i="22"/>
  <c r="Q143" i="22"/>
  <c r="R149" i="22"/>
  <c r="R143" i="22"/>
  <c r="G18" i="22"/>
  <c r="Q201" i="22"/>
  <c r="Q203" i="22"/>
  <c r="R121" i="22"/>
  <c r="G42" i="22"/>
  <c r="G20" i="22"/>
  <c r="G59" i="22"/>
  <c r="Q29" i="22"/>
  <c r="Q74" i="22"/>
  <c r="R29" i="22"/>
  <c r="R74" i="22"/>
  <c r="G43" i="22"/>
  <c r="G52" i="22"/>
  <c r="Q177" i="22"/>
  <c r="Q135" i="22"/>
  <c r="R177" i="22"/>
  <c r="R135" i="22"/>
  <c r="G109" i="22"/>
  <c r="Q119" i="22"/>
  <c r="Q214" i="22"/>
  <c r="R17" i="22"/>
  <c r="R156" i="22"/>
  <c r="R198" i="22"/>
  <c r="G21" i="22"/>
  <c r="G111" i="22"/>
  <c r="Q57" i="22"/>
  <c r="Q92" i="22"/>
  <c r="R57" i="22"/>
  <c r="R92" i="22"/>
  <c r="G101" i="22"/>
  <c r="G105" i="22"/>
  <c r="Q194" i="22"/>
  <c r="Q195" i="22"/>
  <c r="R194" i="22"/>
  <c r="R195" i="22"/>
  <c r="G93" i="22"/>
  <c r="Q120" i="22"/>
  <c r="Q215" i="22"/>
  <c r="R108" i="22"/>
  <c r="G103" i="22"/>
  <c r="G119" i="22"/>
  <c r="G49" i="22"/>
  <c r="G145" i="22"/>
  <c r="Q20" i="22"/>
  <c r="Q59" i="22"/>
  <c r="R20" i="22"/>
  <c r="R59" i="22"/>
  <c r="G102" i="22"/>
  <c r="G147" i="22"/>
  <c r="Q146" i="22"/>
  <c r="Q106" i="22"/>
  <c r="R146" i="22"/>
  <c r="R106" i="22"/>
  <c r="G30" i="22"/>
  <c r="Q121" i="22"/>
  <c r="R18" i="22"/>
  <c r="G214" i="22"/>
  <c r="G91" i="22"/>
  <c r="G175" i="22"/>
  <c r="Q21" i="22"/>
  <c r="Q111" i="22"/>
  <c r="R21" i="22"/>
  <c r="R111" i="22"/>
  <c r="G176" i="22"/>
  <c r="G198" i="22"/>
  <c r="Q43" i="22"/>
  <c r="Q52" i="22"/>
  <c r="R43" i="22"/>
  <c r="R52" i="22"/>
  <c r="G104" i="22"/>
  <c r="G157" i="22"/>
  <c r="Q17" i="22"/>
  <c r="R109" i="22"/>
  <c r="R107" i="22"/>
  <c r="G107" i="22"/>
  <c r="G156" i="22"/>
  <c r="Q49" i="22"/>
  <c r="Q145" i="22"/>
  <c r="R49" i="22"/>
  <c r="R145" i="22"/>
  <c r="G16" i="22"/>
  <c r="G199" i="22"/>
  <c r="Q101" i="22"/>
  <c r="Q105" i="22"/>
  <c r="R101" i="22"/>
  <c r="R105" i="22"/>
  <c r="G200" i="22"/>
  <c r="G202" i="22"/>
  <c r="Q108" i="22"/>
  <c r="R93" i="22"/>
  <c r="Q176" i="22"/>
  <c r="Q109" i="22"/>
  <c r="G141" i="22"/>
  <c r="G70" i="22"/>
  <c r="Q91" i="22"/>
  <c r="Q175" i="22"/>
  <c r="R91" i="22"/>
  <c r="R175" i="22"/>
  <c r="G58" i="22"/>
  <c r="G76" i="22"/>
  <c r="Q102" i="22"/>
  <c r="Q147" i="22"/>
  <c r="R102" i="22"/>
  <c r="R147" i="22"/>
  <c r="G201" i="22"/>
  <c r="G203" i="22"/>
  <c r="Q18" i="22"/>
  <c r="R30" i="22"/>
  <c r="G27" i="22"/>
  <c r="G148" i="22"/>
  <c r="H248" i="14"/>
  <c r="J273" i="14"/>
  <c r="J288" i="14"/>
  <c r="K286" i="14"/>
  <c r="Q161" i="19"/>
  <c r="Q26" i="19"/>
  <c r="Q107" i="19"/>
  <c r="H265" i="14"/>
  <c r="J274" i="14"/>
  <c r="J250" i="14"/>
  <c r="K287" i="14"/>
  <c r="R161" i="19"/>
  <c r="R26" i="19"/>
  <c r="R107" i="19"/>
  <c r="J257" i="19"/>
  <c r="K272" i="19"/>
  <c r="H286" i="14"/>
  <c r="J270" i="14"/>
  <c r="J251" i="14"/>
  <c r="K245" i="14"/>
  <c r="G81" i="19"/>
  <c r="G105" i="19"/>
  <c r="G100" i="19"/>
  <c r="K281" i="19"/>
  <c r="H287" i="14"/>
  <c r="J264" i="14"/>
  <c r="K272" i="14"/>
  <c r="K266" i="14"/>
  <c r="H245" i="14"/>
  <c r="J276" i="14"/>
  <c r="K263" i="14"/>
  <c r="K249" i="14"/>
  <c r="Q81" i="19"/>
  <c r="Q100" i="19"/>
  <c r="K259" i="19"/>
  <c r="J265" i="14"/>
  <c r="G108" i="19"/>
  <c r="H281" i="19"/>
  <c r="H272" i="14"/>
  <c r="H266" i="14"/>
  <c r="J248" i="14"/>
  <c r="K273" i="14"/>
  <c r="K288" i="14"/>
  <c r="R81" i="19"/>
  <c r="R105" i="19"/>
  <c r="R100" i="19"/>
  <c r="K257" i="19"/>
  <c r="H249" i="14"/>
  <c r="G30" i="19"/>
  <c r="H263" i="14"/>
  <c r="K274" i="14"/>
  <c r="K250" i="14"/>
  <c r="H273" i="14"/>
  <c r="H288" i="14"/>
  <c r="J286" i="14"/>
  <c r="K270" i="14"/>
  <c r="K251" i="14"/>
  <c r="H272" i="19"/>
  <c r="H274" i="14"/>
  <c r="H250" i="14"/>
  <c r="J287" i="14"/>
  <c r="K264" i="14"/>
  <c r="Q108" i="19"/>
  <c r="Q30" i="19"/>
  <c r="H259" i="19"/>
  <c r="H251" i="14"/>
  <c r="J245" i="14"/>
  <c r="K276" i="14"/>
  <c r="R108" i="19"/>
  <c r="R30" i="19"/>
  <c r="H257" i="19"/>
  <c r="G26" i="19"/>
  <c r="J281" i="19"/>
  <c r="J263" i="14"/>
  <c r="K265" i="14"/>
  <c r="J272" i="19"/>
  <c r="H270" i="14"/>
  <c r="H264" i="14"/>
  <c r="J272" i="14"/>
  <c r="J266" i="14"/>
  <c r="K248" i="14"/>
  <c r="G161" i="19"/>
  <c r="G107" i="19"/>
  <c r="J249" i="14"/>
  <c r="H276" i="14"/>
  <c r="Q89" i="25"/>
  <c r="R89" i="25"/>
  <c r="G89" i="25"/>
  <c r="G31" i="19"/>
  <c r="H268" i="19"/>
  <c r="K268" i="19"/>
  <c r="H270" i="19"/>
  <c r="J270" i="19"/>
  <c r="K270" i="19"/>
  <c r="J268" i="19"/>
  <c r="G37" i="25"/>
  <c r="G45" i="25"/>
  <c r="G68" i="25"/>
  <c r="G73" i="25"/>
  <c r="G77" i="25"/>
  <c r="G85" i="25"/>
  <c r="G93" i="25"/>
  <c r="G94" i="25"/>
  <c r="G109" i="25"/>
  <c r="G135" i="25"/>
  <c r="G146" i="25"/>
  <c r="G154" i="25"/>
  <c r="Q45" i="25"/>
  <c r="Q68" i="25"/>
  <c r="Q73" i="25"/>
  <c r="Q77" i="25"/>
  <c r="Q85" i="25"/>
  <c r="Q94" i="25"/>
  <c r="Q109" i="25"/>
  <c r="Q146" i="25"/>
  <c r="R37" i="25"/>
  <c r="R68" i="25"/>
  <c r="R77" i="25"/>
  <c r="R93" i="25"/>
  <c r="R94" i="25"/>
  <c r="R135" i="25"/>
  <c r="R154" i="25"/>
  <c r="Q37" i="25"/>
  <c r="Q93" i="25"/>
  <c r="Q135" i="25"/>
  <c r="Q154" i="25"/>
  <c r="R45" i="25"/>
  <c r="R73" i="25"/>
  <c r="R85" i="25"/>
  <c r="R109" i="25"/>
  <c r="R146" i="25"/>
  <c r="K202" i="25"/>
  <c r="J201" i="25"/>
  <c r="H208" i="25"/>
  <c r="K206" i="25"/>
  <c r="J200" i="25"/>
  <c r="H205" i="25"/>
  <c r="K198" i="25"/>
  <c r="J197" i="25"/>
  <c r="H196" i="25"/>
  <c r="K194" i="25"/>
  <c r="J192" i="25"/>
  <c r="H186" i="25"/>
  <c r="K193" i="25"/>
  <c r="R157" i="25"/>
  <c r="R160" i="25"/>
  <c r="Q164" i="25"/>
  <c r="G163" i="25"/>
  <c r="G162" i="25"/>
  <c r="R156" i="25"/>
  <c r="Q159" i="25"/>
  <c r="G152" i="25"/>
  <c r="R149" i="25"/>
  <c r="Q151" i="25"/>
  <c r="Q153" i="25"/>
  <c r="G150" i="25"/>
  <c r="R145" i="25"/>
  <c r="R141" i="25"/>
  <c r="Q144" i="25"/>
  <c r="G143" i="25"/>
  <c r="G139" i="25"/>
  <c r="R142" i="25"/>
  <c r="Q136" i="25"/>
  <c r="G138" i="25"/>
  <c r="R128" i="25"/>
  <c r="Q129" i="25"/>
  <c r="G133" i="25"/>
  <c r="R127" i="25"/>
  <c r="Q130" i="25"/>
  <c r="Q131" i="25"/>
  <c r="G126" i="25"/>
  <c r="R124" i="25"/>
  <c r="R123" i="25"/>
  <c r="Q120" i="25"/>
  <c r="G119" i="25"/>
  <c r="G121" i="25"/>
  <c r="R118" i="25"/>
  <c r="Q112" i="25"/>
  <c r="G114" i="25"/>
  <c r="R117" i="25"/>
  <c r="Q115" i="25"/>
  <c r="G16" i="25"/>
  <c r="J209" i="25"/>
  <c r="H202" i="25"/>
  <c r="K208" i="25"/>
  <c r="J207" i="25"/>
  <c r="H206" i="25"/>
  <c r="K205" i="25"/>
  <c r="J199" i="25"/>
  <c r="H198" i="25"/>
  <c r="K196" i="25"/>
  <c r="J195" i="25"/>
  <c r="H194" i="25"/>
  <c r="K186" i="25"/>
  <c r="J204" i="25"/>
  <c r="H193" i="25"/>
  <c r="Q161" i="25"/>
  <c r="G160" i="25"/>
  <c r="R163" i="25"/>
  <c r="Q162" i="25"/>
  <c r="Q158" i="25"/>
  <c r="G156" i="25"/>
  <c r="R147" i="25"/>
  <c r="R152" i="25"/>
  <c r="Q148" i="25"/>
  <c r="G149" i="25"/>
  <c r="G151" i="25"/>
  <c r="R150" i="25"/>
  <c r="Q155" i="25"/>
  <c r="G141" i="25"/>
  <c r="R143" i="25"/>
  <c r="Q139" i="25"/>
  <c r="Q140" i="25"/>
  <c r="G142" i="25"/>
  <c r="R137" i="25"/>
  <c r="R138" i="25"/>
  <c r="Q134" i="25"/>
  <c r="G128" i="25"/>
  <c r="R133" i="25"/>
  <c r="Q132" i="25"/>
  <c r="G127" i="25"/>
  <c r="G130" i="25"/>
  <c r="R126" i="25"/>
  <c r="Q125" i="25"/>
  <c r="G123" i="25"/>
  <c r="R119" i="25"/>
  <c r="Q121" i="25"/>
  <c r="Q122" i="25"/>
  <c r="G118" i="25"/>
  <c r="R116" i="25"/>
  <c r="R114" i="25"/>
  <c r="Q113" i="25"/>
  <c r="G117" i="25"/>
  <c r="G115" i="25"/>
  <c r="R108" i="25"/>
  <c r="Q110" i="25"/>
  <c r="G106" i="25"/>
  <c r="R107" i="25"/>
  <c r="Q103" i="25"/>
  <c r="Q100" i="25"/>
  <c r="G102" i="25"/>
  <c r="R99" i="25"/>
  <c r="R91" i="25"/>
  <c r="Q92" i="25"/>
  <c r="H209" i="25"/>
  <c r="K201" i="25"/>
  <c r="J208" i="25"/>
  <c r="H207" i="25"/>
  <c r="K200" i="25"/>
  <c r="J205" i="25"/>
  <c r="H199" i="25"/>
  <c r="K197" i="25"/>
  <c r="J196" i="25"/>
  <c r="H195" i="25"/>
  <c r="K192" i="25"/>
  <c r="J186" i="25"/>
  <c r="H204" i="25"/>
  <c r="G161" i="25"/>
  <c r="G157" i="25"/>
  <c r="R164" i="25"/>
  <c r="Q163" i="25"/>
  <c r="G158" i="25"/>
  <c r="R159" i="25"/>
  <c r="Q147" i="25"/>
  <c r="Q152" i="25"/>
  <c r="G148" i="25"/>
  <c r="R151" i="25"/>
  <c r="R153" i="25"/>
  <c r="Q150" i="25"/>
  <c r="G155" i="25"/>
  <c r="G145" i="25"/>
  <c r="R144" i="25"/>
  <c r="Q143" i="25"/>
  <c r="G140" i="25"/>
  <c r="R136" i="25"/>
  <c r="Q137" i="25"/>
  <c r="Q138" i="25"/>
  <c r="G134" i="25"/>
  <c r="R129" i="25"/>
  <c r="Q133" i="25"/>
  <c r="G132" i="25"/>
  <c r="R130" i="25"/>
  <c r="R131" i="25"/>
  <c r="Q126" i="25"/>
  <c r="G125" i="25"/>
  <c r="G124" i="25"/>
  <c r="R120" i="25"/>
  <c r="Q119" i="25"/>
  <c r="G122" i="25"/>
  <c r="R112" i="25"/>
  <c r="Q116" i="25"/>
  <c r="Q114" i="25"/>
  <c r="G113" i="25"/>
  <c r="R115" i="25"/>
  <c r="R111" i="25"/>
  <c r="Q108" i="25"/>
  <c r="G110" i="25"/>
  <c r="G104" i="25"/>
  <c r="R105" i="25"/>
  <c r="Q107" i="25"/>
  <c r="G100" i="25"/>
  <c r="R101" i="25"/>
  <c r="Q99" i="25"/>
  <c r="Q91" i="25"/>
  <c r="G92" i="25"/>
  <c r="J202" i="25"/>
  <c r="H200" i="25"/>
  <c r="K195" i="25"/>
  <c r="J193" i="25"/>
  <c r="Q157" i="25"/>
  <c r="R162" i="25"/>
  <c r="G159" i="25"/>
  <c r="Q149" i="25"/>
  <c r="Q145" i="25"/>
  <c r="R139" i="25"/>
  <c r="G136" i="25"/>
  <c r="Q128" i="25"/>
  <c r="R110" i="25"/>
  <c r="R106" i="25"/>
  <c r="G107" i="25"/>
  <c r="R100" i="25"/>
  <c r="G101" i="25"/>
  <c r="R92" i="25"/>
  <c r="R96" i="25"/>
  <c r="R98" i="25"/>
  <c r="Q97" i="25"/>
  <c r="G95" i="25"/>
  <c r="G84" i="25"/>
  <c r="R83" i="25"/>
  <c r="Q82" i="25"/>
  <c r="G87" i="25"/>
  <c r="R81" i="25"/>
  <c r="Q78" i="25"/>
  <c r="Q79" i="25"/>
  <c r="G80" i="25"/>
  <c r="R72" i="25"/>
  <c r="R74" i="25"/>
  <c r="Q71" i="25"/>
  <c r="G70" i="25"/>
  <c r="G67" i="25"/>
  <c r="R64" i="25"/>
  <c r="Q69" i="25"/>
  <c r="G55" i="25"/>
  <c r="R54" i="25"/>
  <c r="Q59" i="25"/>
  <c r="Q58" i="25"/>
  <c r="G60" i="25"/>
  <c r="R56" i="25"/>
  <c r="R63" i="25"/>
  <c r="Q62" i="25"/>
  <c r="G61" i="25"/>
  <c r="G51" i="25"/>
  <c r="R52" i="25"/>
  <c r="Q47" i="25"/>
  <c r="G49" i="25"/>
  <c r="R44" i="25"/>
  <c r="Q36" i="25"/>
  <c r="G43" i="25"/>
  <c r="R41" i="25"/>
  <c r="R40" i="25"/>
  <c r="R38" i="25"/>
  <c r="Q39" i="25"/>
  <c r="G34" i="25"/>
  <c r="G35" i="25"/>
  <c r="R28" i="25"/>
  <c r="Q31" i="25"/>
  <c r="G33" i="25"/>
  <c r="R29" i="25"/>
  <c r="Q18" i="25"/>
  <c r="Q19" i="25"/>
  <c r="G17" i="25"/>
  <c r="R25" i="25"/>
  <c r="R24" i="25"/>
  <c r="Q23" i="25"/>
  <c r="G22" i="25"/>
  <c r="G20" i="25"/>
  <c r="R9" i="25"/>
  <c r="Q13" i="25"/>
  <c r="G11" i="25"/>
  <c r="R12" i="25"/>
  <c r="Q15" i="25"/>
  <c r="H201" i="25"/>
  <c r="K199" i="25"/>
  <c r="J194" i="25"/>
  <c r="G129" i="25"/>
  <c r="G131" i="25"/>
  <c r="Q123" i="25"/>
  <c r="R122" i="25"/>
  <c r="G116" i="25"/>
  <c r="Q111" i="25"/>
  <c r="R104" i="25"/>
  <c r="Q106" i="25"/>
  <c r="R103" i="25"/>
  <c r="R102" i="25"/>
  <c r="R90" i="25"/>
  <c r="Q96" i="25"/>
  <c r="Q98" i="25"/>
  <c r="G97" i="25"/>
  <c r="R84" i="25"/>
  <c r="R88" i="25"/>
  <c r="Q83" i="25"/>
  <c r="G82" i="25"/>
  <c r="G86" i="25"/>
  <c r="R76" i="25"/>
  <c r="Q81" i="25"/>
  <c r="G79" i="25"/>
  <c r="R75" i="25"/>
  <c r="Q72" i="25"/>
  <c r="Q74" i="25"/>
  <c r="G71" i="25"/>
  <c r="R67" i="25"/>
  <c r="R65" i="25"/>
  <c r="Q64" i="25"/>
  <c r="G69" i="25"/>
  <c r="G66" i="25"/>
  <c r="R53" i="25"/>
  <c r="Q54" i="25"/>
  <c r="G58" i="25"/>
  <c r="R57" i="25"/>
  <c r="Q56" i="25"/>
  <c r="Q63" i="25"/>
  <c r="G62" i="25"/>
  <c r="R51" i="25"/>
  <c r="R50" i="25"/>
  <c r="Q52" i="25"/>
  <c r="G47" i="25"/>
  <c r="G48" i="25"/>
  <c r="R46" i="25"/>
  <c r="Q44" i="25"/>
  <c r="G36" i="25"/>
  <c r="R42" i="25"/>
  <c r="Q41" i="25"/>
  <c r="Q40" i="25"/>
  <c r="Q38" i="25"/>
  <c r="G39" i="25"/>
  <c r="R35" i="25"/>
  <c r="R27" i="25"/>
  <c r="Q28" i="25"/>
  <c r="G31" i="25"/>
  <c r="G30" i="25"/>
  <c r="R32" i="25"/>
  <c r="Q29" i="25"/>
  <c r="G19" i="25"/>
  <c r="R26" i="25"/>
  <c r="Q25" i="25"/>
  <c r="Q24" i="25"/>
  <c r="G23" i="25"/>
  <c r="R20" i="25"/>
  <c r="R21" i="25"/>
  <c r="Q9" i="25"/>
  <c r="G13" i="25"/>
  <c r="G10" i="25"/>
  <c r="R14" i="25"/>
  <c r="Q12" i="25"/>
  <c r="G15" i="25"/>
  <c r="K207" i="25"/>
  <c r="J198" i="25"/>
  <c r="H192" i="25"/>
  <c r="Q160" i="25"/>
  <c r="R158" i="25"/>
  <c r="G147" i="25"/>
  <c r="G153" i="25"/>
  <c r="Q141" i="25"/>
  <c r="R140" i="25"/>
  <c r="G137" i="25"/>
  <c r="R132" i="25"/>
  <c r="R125" i="25"/>
  <c r="G120" i="25"/>
  <c r="Q118" i="25"/>
  <c r="R113" i="25"/>
  <c r="G111" i="25"/>
  <c r="Q104" i="25"/>
  <c r="Q105" i="25"/>
  <c r="Q102" i="25"/>
  <c r="G99" i="25"/>
  <c r="Q90" i="25"/>
  <c r="G98" i="25"/>
  <c r="R95" i="25"/>
  <c r="Q84" i="25"/>
  <c r="Q88" i="25"/>
  <c r="G83" i="25"/>
  <c r="R86" i="25"/>
  <c r="R87" i="25"/>
  <c r="Q76" i="25"/>
  <c r="G81" i="25"/>
  <c r="G78" i="25"/>
  <c r="R80" i="25"/>
  <c r="Q75" i="25"/>
  <c r="G74" i="25"/>
  <c r="R70" i="25"/>
  <c r="Q67" i="25"/>
  <c r="Q65" i="25"/>
  <c r="G64" i="25"/>
  <c r="R66" i="25"/>
  <c r="R55" i="25"/>
  <c r="Q53" i="25"/>
  <c r="G54" i="25"/>
  <c r="G59" i="25"/>
  <c r="R60" i="25"/>
  <c r="Q57" i="25"/>
  <c r="G63" i="25"/>
  <c r="R61" i="25"/>
  <c r="Q51" i="25"/>
  <c r="Q50" i="25"/>
  <c r="G52" i="25"/>
  <c r="R48" i="25"/>
  <c r="R49" i="25"/>
  <c r="Q46" i="25"/>
  <c r="G44" i="25"/>
  <c r="R43" i="25"/>
  <c r="Q42" i="25"/>
  <c r="G38" i="25"/>
  <c r="R34" i="25"/>
  <c r="Q35" i="25"/>
  <c r="Q27" i="25"/>
  <c r="G28" i="25"/>
  <c r="R30" i="25"/>
  <c r="R33" i="25"/>
  <c r="Q32" i="25"/>
  <c r="G29" i="25"/>
  <c r="G18" i="25"/>
  <c r="R17" i="25"/>
  <c r="Q26" i="25"/>
  <c r="G24" i="25"/>
  <c r="R22" i="25"/>
  <c r="Q20" i="25"/>
  <c r="Q21" i="25"/>
  <c r="G9" i="25"/>
  <c r="R10" i="25"/>
  <c r="R11" i="25"/>
  <c r="Q14" i="25"/>
  <c r="G12" i="25"/>
  <c r="R16" i="25"/>
  <c r="K209" i="25"/>
  <c r="J206" i="25"/>
  <c r="H197" i="25"/>
  <c r="K204" i="25"/>
  <c r="R161" i="25"/>
  <c r="G164" i="25"/>
  <c r="Q156" i="25"/>
  <c r="R148" i="25"/>
  <c r="R155" i="25"/>
  <c r="G144" i="25"/>
  <c r="Q142" i="25"/>
  <c r="R134" i="25"/>
  <c r="Q127" i="25"/>
  <c r="Q124" i="25"/>
  <c r="R121" i="25"/>
  <c r="G112" i="25"/>
  <c r="Q117" i="25"/>
  <c r="G108" i="25"/>
  <c r="G105" i="25"/>
  <c r="G103" i="25"/>
  <c r="Q101" i="25"/>
  <c r="G91" i="25"/>
  <c r="G90" i="25"/>
  <c r="G96" i="25"/>
  <c r="R97" i="25"/>
  <c r="Q95" i="25"/>
  <c r="G88" i="25"/>
  <c r="R82" i="25"/>
  <c r="Q86" i="25"/>
  <c r="Q87" i="25"/>
  <c r="G76" i="25"/>
  <c r="R78" i="25"/>
  <c r="R79" i="25"/>
  <c r="Q80" i="25"/>
  <c r="G75" i="25"/>
  <c r="G72" i="25"/>
  <c r="R71" i="25"/>
  <c r="Q70" i="25"/>
  <c r="G65" i="25"/>
  <c r="R69" i="25"/>
  <c r="Q66" i="25"/>
  <c r="Q55" i="25"/>
  <c r="G53" i="25"/>
  <c r="R59" i="25"/>
  <c r="R58" i="25"/>
  <c r="Q60" i="25"/>
  <c r="G57" i="25"/>
  <c r="G56" i="25"/>
  <c r="R62" i="25"/>
  <c r="Q61" i="25"/>
  <c r="G50" i="25"/>
  <c r="Q49" i="25"/>
  <c r="G42" i="25"/>
  <c r="G40" i="25"/>
  <c r="G27" i="25"/>
  <c r="Q33" i="25"/>
  <c r="R19" i="25"/>
  <c r="G25" i="25"/>
  <c r="G21" i="25"/>
  <c r="Q11" i="25"/>
  <c r="R47" i="25"/>
  <c r="G46" i="25"/>
  <c r="R39" i="25"/>
  <c r="R31" i="25"/>
  <c r="G32" i="25"/>
  <c r="Q17" i="25"/>
  <c r="R23" i="25"/>
  <c r="R13" i="25"/>
  <c r="G14" i="25"/>
  <c r="Q48" i="25"/>
  <c r="R36" i="25"/>
  <c r="G41" i="25"/>
  <c r="Q34" i="25"/>
  <c r="Q30" i="25"/>
  <c r="R18" i="25"/>
  <c r="G26" i="25"/>
  <c r="Q22" i="25"/>
  <c r="Q10" i="25"/>
  <c r="R15" i="25"/>
  <c r="Q43" i="25"/>
  <c r="Q16" i="25"/>
  <c r="G485" i="13"/>
  <c r="G489" i="13"/>
  <c r="G493" i="13"/>
  <c r="G497" i="13"/>
  <c r="G501" i="13"/>
  <c r="G503" i="13"/>
  <c r="G507" i="13"/>
  <c r="G511" i="13"/>
  <c r="G515" i="13"/>
  <c r="G521" i="13"/>
  <c r="G525" i="13"/>
  <c r="G529" i="13"/>
  <c r="G533" i="13"/>
  <c r="G539" i="13"/>
  <c r="G543" i="13"/>
  <c r="G547" i="13"/>
  <c r="G551" i="13"/>
  <c r="G553" i="13"/>
  <c r="G557" i="13"/>
  <c r="G561" i="13"/>
  <c r="G565" i="13"/>
  <c r="G569" i="13"/>
  <c r="G572" i="13"/>
  <c r="G576" i="13"/>
  <c r="G580" i="13"/>
  <c r="G584" i="13"/>
  <c r="G590" i="13"/>
  <c r="G594" i="13"/>
  <c r="G598" i="13"/>
  <c r="G602" i="13"/>
  <c r="G605" i="13"/>
  <c r="G609" i="13"/>
  <c r="G613" i="13"/>
  <c r="G617" i="13"/>
  <c r="G622" i="13"/>
  <c r="G626" i="13"/>
  <c r="G630" i="13"/>
  <c r="G634" i="13"/>
  <c r="G641" i="13"/>
  <c r="G645" i="13"/>
  <c r="G649" i="13"/>
  <c r="G653" i="13"/>
  <c r="G2490" i="13"/>
  <c r="G2494" i="13"/>
  <c r="G2498" i="13"/>
  <c r="G2502" i="13"/>
  <c r="G2506" i="13"/>
  <c r="G2510" i="13"/>
  <c r="G2514" i="13"/>
  <c r="G2518" i="13"/>
  <c r="G2522" i="13"/>
  <c r="G2526" i="13"/>
  <c r="G2530" i="13"/>
  <c r="G2534" i="13"/>
  <c r="G2538" i="13"/>
  <c r="G2542" i="13"/>
  <c r="G2546" i="13"/>
  <c r="G2550" i="13"/>
  <c r="G2554" i="13"/>
  <c r="G2558" i="13"/>
  <c r="G486" i="13"/>
  <c r="G490" i="13"/>
  <c r="G494" i="13"/>
  <c r="G498" i="13"/>
  <c r="G487" i="13"/>
  <c r="G491" i="13"/>
  <c r="G495" i="13"/>
  <c r="G499" i="13"/>
  <c r="G505" i="13"/>
  <c r="G509" i="13"/>
  <c r="G513" i="13"/>
  <c r="G517" i="13"/>
  <c r="G519" i="13"/>
  <c r="G523" i="13"/>
  <c r="G527" i="13"/>
  <c r="G531" i="13"/>
  <c r="G535" i="13"/>
  <c r="G537" i="13"/>
  <c r="G541" i="13"/>
  <c r="G545" i="13"/>
  <c r="G549" i="13"/>
  <c r="G555" i="13"/>
  <c r="G559" i="13"/>
  <c r="G563" i="13"/>
  <c r="G567" i="13"/>
  <c r="G570" i="13"/>
  <c r="G574" i="13"/>
  <c r="G578" i="13"/>
  <c r="G582" i="13"/>
  <c r="G586" i="13"/>
  <c r="G588" i="13"/>
  <c r="G592" i="13"/>
  <c r="G596" i="13"/>
  <c r="G600" i="13"/>
  <c r="G607" i="13"/>
  <c r="G611" i="13"/>
  <c r="G615" i="13"/>
  <c r="G619" i="13"/>
  <c r="G624" i="13"/>
  <c r="G628" i="13"/>
  <c r="G632" i="13"/>
  <c r="G636" i="13"/>
  <c r="G639" i="13"/>
  <c r="G643" i="13"/>
  <c r="G647" i="13"/>
  <c r="G651" i="13"/>
  <c r="G2488" i="13"/>
  <c r="G2492" i="13"/>
  <c r="G2496" i="13"/>
  <c r="G2500" i="13"/>
  <c r="G2504" i="13"/>
  <c r="G2508" i="13"/>
  <c r="G2512" i="13"/>
  <c r="G2516" i="13"/>
  <c r="G2520" i="13"/>
  <c r="G2524" i="13"/>
  <c r="G2528" i="13"/>
  <c r="G2532" i="13"/>
  <c r="G2536" i="13"/>
  <c r="G2540" i="13"/>
  <c r="G2544" i="13"/>
  <c r="G2548" i="13"/>
  <c r="G2552" i="13"/>
  <c r="G2556" i="13"/>
  <c r="G2560" i="13"/>
  <c r="G488" i="13"/>
  <c r="G492" i="13"/>
  <c r="G496" i="13"/>
  <c r="G500" i="13"/>
  <c r="G502" i="13"/>
  <c r="G506" i="13"/>
  <c r="G510" i="13"/>
  <c r="G514" i="13"/>
  <c r="G518" i="13"/>
  <c r="G520" i="13"/>
  <c r="G524" i="13"/>
  <c r="G528" i="13"/>
  <c r="G532" i="13"/>
  <c r="G538" i="13"/>
  <c r="G542" i="13"/>
  <c r="G546" i="13"/>
  <c r="G550" i="13"/>
  <c r="G556" i="13"/>
  <c r="G560" i="13"/>
  <c r="G564" i="13"/>
  <c r="G568" i="13"/>
  <c r="G571" i="13"/>
  <c r="G575" i="13"/>
  <c r="G579" i="13"/>
  <c r="G583" i="13"/>
  <c r="G589" i="13"/>
  <c r="G593" i="13"/>
  <c r="G597" i="13"/>
  <c r="G601" i="13"/>
  <c r="G604" i="13"/>
  <c r="G608" i="13"/>
  <c r="G612" i="13"/>
  <c r="G616" i="13"/>
  <c r="G620" i="13"/>
  <c r="G621" i="13"/>
  <c r="G625" i="13"/>
  <c r="G629" i="13"/>
  <c r="G633" i="13"/>
  <c r="G637" i="13"/>
  <c r="G640" i="13"/>
  <c r="G644" i="13"/>
  <c r="G648" i="13"/>
  <c r="G652" i="13"/>
  <c r="G2489" i="13"/>
  <c r="G2493" i="13"/>
  <c r="G2497" i="13"/>
  <c r="G2501" i="13"/>
  <c r="G2505" i="13"/>
  <c r="G2509" i="13"/>
  <c r="G2513" i="13"/>
  <c r="G2517" i="13"/>
  <c r="G2521" i="13"/>
  <c r="G2525" i="13"/>
  <c r="G2529" i="13"/>
  <c r="G2533" i="13"/>
  <c r="G2537" i="13"/>
  <c r="G2541" i="13"/>
  <c r="G2545" i="13"/>
  <c r="G2549" i="13"/>
  <c r="G2553" i="13"/>
  <c r="G2557" i="13"/>
  <c r="G2561" i="13"/>
  <c r="G516" i="13"/>
  <c r="G526" i="13"/>
  <c r="G536" i="13"/>
  <c r="G552" i="13"/>
  <c r="G558" i="13"/>
  <c r="G573" i="13"/>
  <c r="G595" i="13"/>
  <c r="G606" i="13"/>
  <c r="G627" i="13"/>
  <c r="G638" i="13"/>
  <c r="G654" i="13"/>
  <c r="G504" i="13"/>
  <c r="G530" i="13"/>
  <c r="G540" i="13"/>
  <c r="G562" i="13"/>
  <c r="G577" i="13"/>
  <c r="G599" i="13"/>
  <c r="G610" i="13"/>
  <c r="G631" i="13"/>
  <c r="G642" i="13"/>
  <c r="G2491" i="13"/>
  <c r="G2507" i="13"/>
  <c r="G2523" i="13"/>
  <c r="G2539" i="13"/>
  <c r="G2555" i="13"/>
  <c r="G2364" i="13"/>
  <c r="G2368" i="13"/>
  <c r="G2372" i="13"/>
  <c r="G2376" i="13"/>
  <c r="G2380" i="13"/>
  <c r="G2384" i="13"/>
  <c r="G2388" i="13"/>
  <c r="G2392" i="13"/>
  <c r="G2396" i="13"/>
  <c r="G2400" i="13"/>
  <c r="G2404" i="13"/>
  <c r="G2408" i="13"/>
  <c r="G2412" i="13"/>
  <c r="G2416" i="13"/>
  <c r="G2420" i="13"/>
  <c r="G2424" i="13"/>
  <c r="G2428" i="13"/>
  <c r="G2432" i="13"/>
  <c r="G2436" i="13"/>
  <c r="G2440" i="13"/>
  <c r="G2444" i="13"/>
  <c r="G2448" i="13"/>
  <c r="G2452" i="13"/>
  <c r="G2456" i="13"/>
  <c r="G2460" i="13"/>
  <c r="G2464" i="13"/>
  <c r="G2468" i="13"/>
  <c r="G2472" i="13"/>
  <c r="G2476" i="13"/>
  <c r="G2480" i="13"/>
  <c r="G2484" i="13"/>
  <c r="G2248" i="13"/>
  <c r="G2252" i="13"/>
  <c r="G2256" i="13"/>
  <c r="G2260" i="13"/>
  <c r="G2264" i="13"/>
  <c r="G2268" i="13"/>
  <c r="G2272" i="13"/>
  <c r="G2276" i="13"/>
  <c r="G2280" i="13"/>
  <c r="G2284" i="13"/>
  <c r="G2288" i="13"/>
  <c r="G2292" i="13"/>
  <c r="G2296" i="13"/>
  <c r="G2300" i="13"/>
  <c r="G2304" i="13"/>
  <c r="G2308" i="13"/>
  <c r="G2312" i="13"/>
  <c r="G2316" i="13"/>
  <c r="G2320" i="13"/>
  <c r="G2324" i="13"/>
  <c r="G2328" i="13"/>
  <c r="G2332" i="13"/>
  <c r="G2336" i="13"/>
  <c r="G2340" i="13"/>
  <c r="G2344" i="13"/>
  <c r="G2348" i="13"/>
  <c r="G2352" i="13"/>
  <c r="G2356" i="13"/>
  <c r="G2360" i="13"/>
  <c r="G2170" i="13"/>
  <c r="G2174" i="13"/>
  <c r="G2178" i="13"/>
  <c r="G2182" i="13"/>
  <c r="G2186" i="13"/>
  <c r="G2190" i="13"/>
  <c r="G2194" i="13"/>
  <c r="G2198" i="13"/>
  <c r="G2202" i="13"/>
  <c r="G2206" i="13"/>
  <c r="G2210" i="13"/>
  <c r="G544" i="13"/>
  <c r="G554" i="13"/>
  <c r="G585" i="13"/>
  <c r="G591" i="13"/>
  <c r="G618" i="13"/>
  <c r="G623" i="13"/>
  <c r="G650" i="13"/>
  <c r="G2487" i="13"/>
  <c r="G2511" i="13"/>
  <c r="G2531" i="13"/>
  <c r="G2551" i="13"/>
  <c r="G2365" i="13"/>
  <c r="G2370" i="13"/>
  <c r="G2375" i="13"/>
  <c r="G2381" i="13"/>
  <c r="G2386" i="13"/>
  <c r="G2391" i="13"/>
  <c r="G2397" i="13"/>
  <c r="G2402" i="13"/>
  <c r="G2407" i="13"/>
  <c r="G2413" i="13"/>
  <c r="G2418" i="13"/>
  <c r="G2423" i="13"/>
  <c r="G2429" i="13"/>
  <c r="G2434" i="13"/>
  <c r="G2439" i="13"/>
  <c r="G2445" i="13"/>
  <c r="G2450" i="13"/>
  <c r="G2455" i="13"/>
  <c r="G2461" i="13"/>
  <c r="G2466" i="13"/>
  <c r="G2471" i="13"/>
  <c r="G2477" i="13"/>
  <c r="G2482" i="13"/>
  <c r="G2253" i="13"/>
  <c r="G2258" i="13"/>
  <c r="G2263" i="13"/>
  <c r="G2269" i="13"/>
  <c r="G2274" i="13"/>
  <c r="G2279" i="13"/>
  <c r="G2285" i="13"/>
  <c r="G2290" i="13"/>
  <c r="G2295" i="13"/>
  <c r="G2301" i="13"/>
  <c r="G2306" i="13"/>
  <c r="G2311" i="13"/>
  <c r="G2317" i="13"/>
  <c r="G2322" i="13"/>
  <c r="G2327" i="13"/>
  <c r="G2333" i="13"/>
  <c r="G2338" i="13"/>
  <c r="G2343" i="13"/>
  <c r="G2349" i="13"/>
  <c r="G2354" i="13"/>
  <c r="G2359" i="13"/>
  <c r="G2171" i="13"/>
  <c r="G2176" i="13"/>
  <c r="G2181" i="13"/>
  <c r="G2187" i="13"/>
  <c r="G2192" i="13"/>
  <c r="G2197" i="13"/>
  <c r="G2203" i="13"/>
  <c r="G2208" i="13"/>
  <c r="G2213" i="13"/>
  <c r="G2217" i="13"/>
  <c r="G2221" i="13"/>
  <c r="G2225" i="13"/>
  <c r="G2229" i="13"/>
  <c r="G2233" i="13"/>
  <c r="G2237" i="13"/>
  <c r="G2241" i="13"/>
  <c r="G2245" i="13"/>
  <c r="G2165" i="13"/>
  <c r="G359" i="13"/>
  <c r="G508" i="13"/>
  <c r="G522" i="13"/>
  <c r="G548" i="13"/>
  <c r="G566" i="13"/>
  <c r="G603" i="13"/>
  <c r="G635" i="13"/>
  <c r="G2495" i="13"/>
  <c r="G2515" i="13"/>
  <c r="G2535" i="13"/>
  <c r="G2559" i="13"/>
  <c r="G2361" i="13"/>
  <c r="G2366" i="13"/>
  <c r="G2371" i="13"/>
  <c r="G2377" i="13"/>
  <c r="G2382" i="13"/>
  <c r="G2387" i="13"/>
  <c r="G2393" i="13"/>
  <c r="G2398" i="13"/>
  <c r="G2403" i="13"/>
  <c r="G2409" i="13"/>
  <c r="G2414" i="13"/>
  <c r="G2419" i="13"/>
  <c r="G2425" i="13"/>
  <c r="G2430" i="13"/>
  <c r="G2435" i="13"/>
  <c r="G2441" i="13"/>
  <c r="G2446" i="13"/>
  <c r="G2451" i="13"/>
  <c r="G2457" i="13"/>
  <c r="G2462" i="13"/>
  <c r="G2467" i="13"/>
  <c r="G2473" i="13"/>
  <c r="G2478" i="13"/>
  <c r="G2483" i="13"/>
  <c r="G2249" i="13"/>
  <c r="G2254" i="13"/>
  <c r="G2259" i="13"/>
  <c r="G2265" i="13"/>
  <c r="G2270" i="13"/>
  <c r="G2275" i="13"/>
  <c r="G2281" i="13"/>
  <c r="G2286" i="13"/>
  <c r="G2291" i="13"/>
  <c r="G2297" i="13"/>
  <c r="G2302" i="13"/>
  <c r="G2307" i="13"/>
  <c r="G2313" i="13"/>
  <c r="G2318" i="13"/>
  <c r="G2323" i="13"/>
  <c r="G2329" i="13"/>
  <c r="G2334" i="13"/>
  <c r="G2339" i="13"/>
  <c r="G2345" i="13"/>
  <c r="G2350" i="13"/>
  <c r="G2355" i="13"/>
  <c r="G2172" i="13"/>
  <c r="G2177" i="13"/>
  <c r="G2183" i="13"/>
  <c r="G2188" i="13"/>
  <c r="G2193" i="13"/>
  <c r="G2199" i="13"/>
  <c r="G2204" i="13"/>
  <c r="G2209" i="13"/>
  <c r="G2214" i="13"/>
  <c r="G2218" i="13"/>
  <c r="G2222" i="13"/>
  <c r="G2226" i="13"/>
  <c r="G2230" i="13"/>
  <c r="G2234" i="13"/>
  <c r="G2238" i="13"/>
  <c r="G2242" i="13"/>
  <c r="G2246" i="13"/>
  <c r="G2166" i="13"/>
  <c r="G360" i="13"/>
  <c r="G364" i="13"/>
  <c r="G368" i="13"/>
  <c r="G372" i="13"/>
  <c r="G376" i="13"/>
  <c r="G380" i="13"/>
  <c r="G384" i="13"/>
  <c r="G388" i="13"/>
  <c r="G392" i="13"/>
  <c r="G396" i="13"/>
  <c r="G400" i="13"/>
  <c r="G404" i="13"/>
  <c r="G408" i="13"/>
  <c r="G412" i="13"/>
  <c r="G416" i="13"/>
  <c r="G420" i="13"/>
  <c r="G512" i="13"/>
  <c r="G534" i="13"/>
  <c r="G2499" i="13"/>
  <c r="G2519" i="13"/>
  <c r="G2543" i="13"/>
  <c r="G2362" i="13"/>
  <c r="G2367" i="13"/>
  <c r="G2373" i="13"/>
  <c r="G2378" i="13"/>
  <c r="G2383" i="13"/>
  <c r="G2389" i="13"/>
  <c r="G2394" i="13"/>
  <c r="G2399" i="13"/>
  <c r="G2405" i="13"/>
  <c r="G2410" i="13"/>
  <c r="G2415" i="13"/>
  <c r="G2421" i="13"/>
  <c r="G2426" i="13"/>
  <c r="G2431" i="13"/>
  <c r="G2437" i="13"/>
  <c r="G2442" i="13"/>
  <c r="G2447" i="13"/>
  <c r="G2453" i="13"/>
  <c r="G2458" i="13"/>
  <c r="G2463" i="13"/>
  <c r="G2469" i="13"/>
  <c r="G2474" i="13"/>
  <c r="G2479" i="13"/>
  <c r="G2485" i="13"/>
  <c r="G2250" i="13"/>
  <c r="G2255" i="13"/>
  <c r="G2261" i="13"/>
  <c r="G2266" i="13"/>
  <c r="G2271" i="13"/>
  <c r="G2277" i="13"/>
  <c r="G2282" i="13"/>
  <c r="G2287" i="13"/>
  <c r="G2293" i="13"/>
  <c r="G2298" i="13"/>
  <c r="G2303" i="13"/>
  <c r="G2309" i="13"/>
  <c r="G2314" i="13"/>
  <c r="G2319" i="13"/>
  <c r="G2325" i="13"/>
  <c r="G2330" i="13"/>
  <c r="G2335" i="13"/>
  <c r="G2341" i="13"/>
  <c r="G2346" i="13"/>
  <c r="G2351" i="13"/>
  <c r="G2357" i="13"/>
  <c r="G2168" i="13"/>
  <c r="G2173" i="13"/>
  <c r="G2179" i="13"/>
  <c r="G2184" i="13"/>
  <c r="G2189" i="13"/>
  <c r="G2195" i="13"/>
  <c r="G2200" i="13"/>
  <c r="G2205" i="13"/>
  <c r="G2211" i="13"/>
  <c r="G2215" i="13"/>
  <c r="G2219" i="13"/>
  <c r="G2223" i="13"/>
  <c r="G2227" i="13"/>
  <c r="G2231" i="13"/>
  <c r="G2235" i="13"/>
  <c r="G2239" i="13"/>
  <c r="G2243" i="13"/>
  <c r="G2247" i="13"/>
  <c r="G2167" i="13"/>
  <c r="G361" i="13"/>
  <c r="G365" i="13"/>
  <c r="G369" i="13"/>
  <c r="G373" i="13"/>
  <c r="G377" i="13"/>
  <c r="G381" i="13"/>
  <c r="G385" i="13"/>
  <c r="G389" i="13"/>
  <c r="G393" i="13"/>
  <c r="G397" i="13"/>
  <c r="G401" i="13"/>
  <c r="G405" i="13"/>
  <c r="G409" i="13"/>
  <c r="G413" i="13"/>
  <c r="G417" i="13"/>
  <c r="G421" i="13"/>
  <c r="G614" i="13"/>
  <c r="G2369" i="13"/>
  <c r="G2390" i="13"/>
  <c r="G2411" i="13"/>
  <c r="G2433" i="13"/>
  <c r="G2454" i="13"/>
  <c r="G2475" i="13"/>
  <c r="G2251" i="13"/>
  <c r="G2273" i="13"/>
  <c r="G2294" i="13"/>
  <c r="G2315" i="13"/>
  <c r="G2337" i="13"/>
  <c r="G2358" i="13"/>
  <c r="G2180" i="13"/>
  <c r="G2201" i="13"/>
  <c r="G2220" i="13"/>
  <c r="G2236" i="13"/>
  <c r="G358" i="13"/>
  <c r="G367" i="13"/>
  <c r="G375" i="13"/>
  <c r="G383" i="13"/>
  <c r="G391" i="13"/>
  <c r="G399" i="13"/>
  <c r="G407" i="13"/>
  <c r="G415" i="13"/>
  <c r="G423" i="13"/>
  <c r="G427" i="13"/>
  <c r="G431" i="13"/>
  <c r="G435" i="13"/>
  <c r="G439" i="13"/>
  <c r="G443" i="13"/>
  <c r="G447" i="13"/>
  <c r="G451" i="13"/>
  <c r="G455" i="13"/>
  <c r="G459" i="13"/>
  <c r="G463" i="13"/>
  <c r="G467" i="13"/>
  <c r="G471" i="13"/>
  <c r="G475" i="13"/>
  <c r="G479" i="13"/>
  <c r="G483" i="13"/>
  <c r="G657" i="13"/>
  <c r="G661" i="13"/>
  <c r="G665" i="13"/>
  <c r="G669" i="13"/>
  <c r="G673" i="13"/>
  <c r="G677" i="13"/>
  <c r="G681" i="13"/>
  <c r="G685" i="13"/>
  <c r="G689" i="13"/>
  <c r="G693" i="13"/>
  <c r="G697" i="13"/>
  <c r="G701" i="13"/>
  <c r="G705" i="13"/>
  <c r="G709" i="13"/>
  <c r="G713" i="13"/>
  <c r="G717" i="13"/>
  <c r="G721" i="13"/>
  <c r="G725" i="13"/>
  <c r="G729" i="13"/>
  <c r="G733" i="13"/>
  <c r="G736" i="13"/>
  <c r="G740" i="13"/>
  <c r="G744" i="13"/>
  <c r="G748" i="13"/>
  <c r="G752" i="13"/>
  <c r="G756" i="13"/>
  <c r="G760" i="13"/>
  <c r="G764" i="13"/>
  <c r="G768" i="13"/>
  <c r="G772" i="13"/>
  <c r="G776" i="13"/>
  <c r="G780" i="13"/>
  <c r="G784" i="13"/>
  <c r="G788" i="13"/>
  <c r="G792" i="13"/>
  <c r="G796" i="13"/>
  <c r="G800" i="13"/>
  <c r="G804" i="13"/>
  <c r="G808" i="13"/>
  <c r="G812" i="13"/>
  <c r="G816" i="13"/>
  <c r="G820" i="13"/>
  <c r="G824" i="13"/>
  <c r="G828" i="13"/>
  <c r="G832" i="13"/>
  <c r="G836" i="13"/>
  <c r="G840" i="13"/>
  <c r="G844" i="13"/>
  <c r="G848" i="13"/>
  <c r="G852" i="13"/>
  <c r="G856" i="13"/>
  <c r="G860" i="13"/>
  <c r="G864" i="13"/>
  <c r="G868" i="13"/>
  <c r="G872" i="13"/>
  <c r="G875" i="13"/>
  <c r="G879" i="13"/>
  <c r="G883" i="13"/>
  <c r="G887" i="13"/>
  <c r="G891" i="13"/>
  <c r="G895" i="13"/>
  <c r="G899" i="13"/>
  <c r="G903" i="13"/>
  <c r="G907" i="13"/>
  <c r="G911" i="13"/>
  <c r="G915" i="13"/>
  <c r="G919" i="13"/>
  <c r="G923" i="13"/>
  <c r="G927" i="13"/>
  <c r="G931" i="13"/>
  <c r="G935" i="13"/>
  <c r="G939" i="13"/>
  <c r="G943" i="13"/>
  <c r="G947" i="13"/>
  <c r="G951" i="13"/>
  <c r="G955" i="13"/>
  <c r="G959" i="13"/>
  <c r="G963" i="13"/>
  <c r="G967" i="13"/>
  <c r="G971" i="13"/>
  <c r="G975" i="13"/>
  <c r="G979" i="13"/>
  <c r="G646" i="13"/>
  <c r="G2503" i="13"/>
  <c r="G2374" i="13"/>
  <c r="G2395" i="13"/>
  <c r="G2417" i="13"/>
  <c r="G2438" i="13"/>
  <c r="G2459" i="13"/>
  <c r="G2481" i="13"/>
  <c r="G2257" i="13"/>
  <c r="G2278" i="13"/>
  <c r="G2299" i="13"/>
  <c r="G2321" i="13"/>
  <c r="G2342" i="13"/>
  <c r="G2185" i="13"/>
  <c r="G2207" i="13"/>
  <c r="G2224" i="13"/>
  <c r="G2240" i="13"/>
  <c r="G362" i="13"/>
  <c r="G370" i="13"/>
  <c r="G378" i="13"/>
  <c r="G386" i="13"/>
  <c r="G394" i="13"/>
  <c r="G402" i="13"/>
  <c r="G410" i="13"/>
  <c r="G418" i="13"/>
  <c r="G424" i="13"/>
  <c r="G428" i="13"/>
  <c r="G432" i="13"/>
  <c r="G436" i="13"/>
  <c r="G440" i="13"/>
  <c r="G444" i="13"/>
  <c r="G448" i="13"/>
  <c r="G452" i="13"/>
  <c r="G456" i="13"/>
  <c r="G460" i="13"/>
  <c r="G464" i="13"/>
  <c r="G468" i="13"/>
  <c r="G472" i="13"/>
  <c r="G476" i="13"/>
  <c r="G480" i="13"/>
  <c r="G484" i="13"/>
  <c r="G658" i="13"/>
  <c r="G662" i="13"/>
  <c r="G666" i="13"/>
  <c r="G670" i="13"/>
  <c r="G674" i="13"/>
  <c r="G678" i="13"/>
  <c r="G682" i="13"/>
  <c r="G686" i="13"/>
  <c r="G690" i="13"/>
  <c r="G694" i="13"/>
  <c r="G698" i="13"/>
  <c r="G702" i="13"/>
  <c r="G706" i="13"/>
  <c r="G710" i="13"/>
  <c r="G714" i="13"/>
  <c r="G718" i="13"/>
  <c r="G722" i="13"/>
  <c r="G726" i="13"/>
  <c r="G730" i="13"/>
  <c r="G734" i="13"/>
  <c r="G737" i="13"/>
  <c r="G741" i="13"/>
  <c r="G745" i="13"/>
  <c r="G749" i="13"/>
  <c r="G753" i="13"/>
  <c r="G757" i="13"/>
  <c r="G761" i="13"/>
  <c r="G765" i="13"/>
  <c r="G769" i="13"/>
  <c r="G773" i="13"/>
  <c r="G777" i="13"/>
  <c r="G781" i="13"/>
  <c r="G785" i="13"/>
  <c r="G789" i="13"/>
  <c r="G793" i="13"/>
  <c r="G797" i="13"/>
  <c r="G801" i="13"/>
  <c r="G805" i="13"/>
  <c r="G809" i="13"/>
  <c r="G813" i="13"/>
  <c r="G817" i="13"/>
  <c r="G821" i="13"/>
  <c r="G825" i="13"/>
  <c r="G829" i="13"/>
  <c r="G833" i="13"/>
  <c r="G837" i="13"/>
  <c r="G841" i="13"/>
  <c r="G845" i="13"/>
  <c r="G849" i="13"/>
  <c r="G853" i="13"/>
  <c r="G857" i="13"/>
  <c r="G861" i="13"/>
  <c r="G865" i="13"/>
  <c r="G869" i="13"/>
  <c r="G876" i="13"/>
  <c r="G880" i="13"/>
  <c r="G884" i="13"/>
  <c r="G888" i="13"/>
  <c r="G892" i="13"/>
  <c r="G896" i="13"/>
  <c r="G900" i="13"/>
  <c r="G904" i="13"/>
  <c r="G908" i="13"/>
  <c r="G912" i="13"/>
  <c r="G916" i="13"/>
  <c r="G920" i="13"/>
  <c r="G924" i="13"/>
  <c r="G928" i="13"/>
  <c r="G932" i="13"/>
  <c r="G936" i="13"/>
  <c r="G940" i="13"/>
  <c r="G944" i="13"/>
  <c r="G948" i="13"/>
  <c r="G587" i="13"/>
  <c r="G2527" i="13"/>
  <c r="G2379" i="13"/>
  <c r="G2401" i="13"/>
  <c r="G2422" i="13"/>
  <c r="G2443" i="13"/>
  <c r="G2465" i="13"/>
  <c r="G2486" i="13"/>
  <c r="G2262" i="13"/>
  <c r="G2283" i="13"/>
  <c r="G2305" i="13"/>
  <c r="G2326" i="13"/>
  <c r="G2347" i="13"/>
  <c r="G2169" i="13"/>
  <c r="G2191" i="13"/>
  <c r="G2212" i="13"/>
  <c r="G2228" i="13"/>
  <c r="G2244" i="13"/>
  <c r="G363" i="13"/>
  <c r="G371" i="13"/>
  <c r="G379" i="13"/>
  <c r="G387" i="13"/>
  <c r="G395" i="13"/>
  <c r="G403" i="13"/>
  <c r="G411" i="13"/>
  <c r="G419" i="13"/>
  <c r="G425" i="13"/>
  <c r="G429" i="13"/>
  <c r="G433" i="13"/>
  <c r="G437" i="13"/>
  <c r="G441" i="13"/>
  <c r="G445" i="13"/>
  <c r="G449" i="13"/>
  <c r="G453" i="13"/>
  <c r="G457" i="13"/>
  <c r="G461" i="13"/>
  <c r="G465" i="13"/>
  <c r="G469" i="13"/>
  <c r="G473" i="13"/>
  <c r="G477" i="13"/>
  <c r="G481" i="13"/>
  <c r="G655" i="13"/>
  <c r="G659" i="13"/>
  <c r="G663" i="13"/>
  <c r="G667" i="13"/>
  <c r="G671" i="13"/>
  <c r="G675" i="13"/>
  <c r="G679" i="13"/>
  <c r="G683" i="13"/>
  <c r="G687" i="13"/>
  <c r="G691" i="13"/>
  <c r="G695" i="13"/>
  <c r="G699" i="13"/>
  <c r="G703" i="13"/>
  <c r="G707" i="13"/>
  <c r="G711" i="13"/>
  <c r="G715" i="13"/>
  <c r="G719" i="13"/>
  <c r="G723" i="13"/>
  <c r="G727" i="13"/>
  <c r="G731" i="13"/>
  <c r="G738" i="13"/>
  <c r="G742" i="13"/>
  <c r="G746" i="13"/>
  <c r="G750" i="13"/>
  <c r="G754" i="13"/>
  <c r="G758" i="13"/>
  <c r="G762" i="13"/>
  <c r="G766" i="13"/>
  <c r="G770" i="13"/>
  <c r="G774" i="13"/>
  <c r="G778" i="13"/>
  <c r="G782" i="13"/>
  <c r="G786" i="13"/>
  <c r="G790" i="13"/>
  <c r="G794" i="13"/>
  <c r="G798" i="13"/>
  <c r="G802" i="13"/>
  <c r="G806" i="13"/>
  <c r="G810" i="13"/>
  <c r="G814" i="13"/>
  <c r="G818" i="13"/>
  <c r="G822" i="13"/>
  <c r="G826" i="13"/>
  <c r="G830" i="13"/>
  <c r="G834" i="13"/>
  <c r="G838" i="13"/>
  <c r="G842" i="13"/>
  <c r="G846" i="13"/>
  <c r="G850" i="13"/>
  <c r="G854" i="13"/>
  <c r="G858" i="13"/>
  <c r="G862" i="13"/>
  <c r="G866" i="13"/>
  <c r="G870" i="13"/>
  <c r="G873" i="13"/>
  <c r="G877" i="13"/>
  <c r="G881" i="13"/>
  <c r="G885" i="13"/>
  <c r="G889" i="13"/>
  <c r="G893" i="13"/>
  <c r="G897" i="13"/>
  <c r="G901" i="13"/>
  <c r="G905" i="13"/>
  <c r="G909" i="13"/>
  <c r="G913" i="13"/>
  <c r="G917" i="13"/>
  <c r="G921" i="13"/>
  <c r="G925" i="13"/>
  <c r="G929" i="13"/>
  <c r="G933" i="13"/>
  <c r="G937" i="13"/>
  <c r="G941" i="13"/>
  <c r="G945" i="13"/>
  <c r="G949" i="13"/>
  <c r="G953" i="13"/>
  <c r="G957" i="13"/>
  <c r="G961" i="13"/>
  <c r="G965" i="13"/>
  <c r="G969" i="13"/>
  <c r="G973" i="13"/>
  <c r="G977" i="13"/>
  <c r="G581" i="13"/>
  <c r="G2547" i="13"/>
  <c r="G2363" i="13"/>
  <c r="G2385" i="13"/>
  <c r="G2406" i="13"/>
  <c r="G2427" i="13"/>
  <c r="G2449" i="13"/>
  <c r="G2470" i="13"/>
  <c r="G2267" i="13"/>
  <c r="G2289" i="13"/>
  <c r="G2310" i="13"/>
  <c r="G2331" i="13"/>
  <c r="G2353" i="13"/>
  <c r="G2175" i="13"/>
  <c r="G2196" i="13"/>
  <c r="G2216" i="13"/>
  <c r="G2232" i="13"/>
  <c r="G2164" i="13"/>
  <c r="G366" i="13"/>
  <c r="G374" i="13"/>
  <c r="G382" i="13"/>
  <c r="G390" i="13"/>
  <c r="G398" i="13"/>
  <c r="G406" i="13"/>
  <c r="G414" i="13"/>
  <c r="G422" i="13"/>
  <c r="G426" i="13"/>
  <c r="G430" i="13"/>
  <c r="G434" i="13"/>
  <c r="G438" i="13"/>
  <c r="G442" i="13"/>
  <c r="G446" i="13"/>
  <c r="G450" i="13"/>
  <c r="G454" i="13"/>
  <c r="G458" i="13"/>
  <c r="G462" i="13"/>
  <c r="G466" i="13"/>
  <c r="G470" i="13"/>
  <c r="G474" i="13"/>
  <c r="G478" i="13"/>
  <c r="G482" i="13"/>
  <c r="G656" i="13"/>
  <c r="G660" i="13"/>
  <c r="G664" i="13"/>
  <c r="G668" i="13"/>
  <c r="G672" i="13"/>
  <c r="G676" i="13"/>
  <c r="G680" i="13"/>
  <c r="G684" i="13"/>
  <c r="G688" i="13"/>
  <c r="G692" i="13"/>
  <c r="G696" i="13"/>
  <c r="G700" i="13"/>
  <c r="G704" i="13"/>
  <c r="G708" i="13"/>
  <c r="G712" i="13"/>
  <c r="G716" i="13"/>
  <c r="G720" i="13"/>
  <c r="G724" i="13"/>
  <c r="G728" i="13"/>
  <c r="G732" i="13"/>
  <c r="G735" i="13"/>
  <c r="G739" i="13"/>
  <c r="G743" i="13"/>
  <c r="G747" i="13"/>
  <c r="G751" i="13"/>
  <c r="G755" i="13"/>
  <c r="G759" i="13"/>
  <c r="G763" i="13"/>
  <c r="G767" i="13"/>
  <c r="G771" i="13"/>
  <c r="G775" i="13"/>
  <c r="G779" i="13"/>
  <c r="G783" i="13"/>
  <c r="G787" i="13"/>
  <c r="G791" i="13"/>
  <c r="G795" i="13"/>
  <c r="G799" i="13"/>
  <c r="G803" i="13"/>
  <c r="G807" i="13"/>
  <c r="G811" i="13"/>
  <c r="G815" i="13"/>
  <c r="G819" i="13"/>
  <c r="G823" i="13"/>
  <c r="G827" i="13"/>
  <c r="G835" i="13"/>
  <c r="G851" i="13"/>
  <c r="G867" i="13"/>
  <c r="G878" i="13"/>
  <c r="G894" i="13"/>
  <c r="G910" i="13"/>
  <c r="G926" i="13"/>
  <c r="G942" i="13"/>
  <c r="G954" i="13"/>
  <c r="G962" i="13"/>
  <c r="G970" i="13"/>
  <c r="G978" i="13"/>
  <c r="G983" i="13"/>
  <c r="G987" i="13"/>
  <c r="G991" i="13"/>
  <c r="G995" i="13"/>
  <c r="G999" i="13"/>
  <c r="G1003" i="13"/>
  <c r="G1007" i="13"/>
  <c r="G1011" i="13"/>
  <c r="G1015" i="13"/>
  <c r="G1019" i="13"/>
  <c r="G1023" i="13"/>
  <c r="G1027" i="13"/>
  <c r="G1031" i="13"/>
  <c r="G1035" i="13"/>
  <c r="G1039" i="13"/>
  <c r="G1043" i="13"/>
  <c r="G1047" i="13"/>
  <c r="G1051" i="13"/>
  <c r="G1055" i="13"/>
  <c r="G1059" i="13"/>
  <c r="G1063" i="13"/>
  <c r="G1067" i="13"/>
  <c r="G1071" i="13"/>
  <c r="G1075" i="13"/>
  <c r="G1079" i="13"/>
  <c r="G1082" i="13"/>
  <c r="G1086" i="13"/>
  <c r="G1090" i="13"/>
  <c r="G1094" i="13"/>
  <c r="G1098" i="13"/>
  <c r="G1102" i="13"/>
  <c r="G1106" i="13"/>
  <c r="G1110" i="13"/>
  <c r="G1114" i="13"/>
  <c r="G1118" i="13"/>
  <c r="G1122" i="13"/>
  <c r="G1126" i="13"/>
  <c r="G1130" i="13"/>
  <c r="G1134" i="13"/>
  <c r="G1138" i="13"/>
  <c r="G1142" i="13"/>
  <c r="G1146" i="13"/>
  <c r="G1149" i="13"/>
  <c r="G1153" i="13"/>
  <c r="G1157" i="13"/>
  <c r="G1161" i="13"/>
  <c r="G1165" i="13"/>
  <c r="G1169" i="13"/>
  <c r="G1173" i="13"/>
  <c r="G1177" i="13"/>
  <c r="G1181" i="13"/>
  <c r="G1185" i="13"/>
  <c r="G1189" i="13"/>
  <c r="G1193" i="13"/>
  <c r="G1197" i="13"/>
  <c r="G1201" i="13"/>
  <c r="G1205" i="13"/>
  <c r="G1209" i="13"/>
  <c r="G1213" i="13"/>
  <c r="G1217" i="13"/>
  <c r="G1220" i="13"/>
  <c r="G1224" i="13"/>
  <c r="G1228" i="13"/>
  <c r="G1232" i="13"/>
  <c r="G1236" i="13"/>
  <c r="G1240" i="13"/>
  <c r="G1244" i="13"/>
  <c r="G1248" i="13"/>
  <c r="G1252" i="13"/>
  <c r="G1256" i="13"/>
  <c r="G1260" i="13"/>
  <c r="G1264" i="13"/>
  <c r="G1268" i="13"/>
  <c r="G1272" i="13"/>
  <c r="G1276" i="13"/>
  <c r="G1280" i="13"/>
  <c r="G1284" i="13"/>
  <c r="G1287" i="13"/>
  <c r="G1291" i="13"/>
  <c r="G1295" i="13"/>
  <c r="G1299" i="13"/>
  <c r="G1303" i="13"/>
  <c r="G1307" i="13"/>
  <c r="G1311" i="13"/>
  <c r="G1315" i="13"/>
  <c r="G1319" i="13"/>
  <c r="G1323" i="13"/>
  <c r="G1327" i="13"/>
  <c r="G1331" i="13"/>
  <c r="G1335" i="13"/>
  <c r="G1339" i="13"/>
  <c r="G1343" i="13"/>
  <c r="G1347" i="13"/>
  <c r="G1351" i="13"/>
  <c r="G1355" i="13"/>
  <c r="G1357" i="13"/>
  <c r="G1361" i="13"/>
  <c r="G1365" i="13"/>
  <c r="G1369" i="13"/>
  <c r="G1373" i="13"/>
  <c r="G1377" i="13"/>
  <c r="G1381" i="13"/>
  <c r="G1385" i="13"/>
  <c r="G1389" i="13"/>
  <c r="G1393" i="13"/>
  <c r="G1397" i="13"/>
  <c r="G1401" i="13"/>
  <c r="G1405" i="13"/>
  <c r="G1409" i="13"/>
  <c r="G1413" i="13"/>
  <c r="G1417" i="13"/>
  <c r="G1421" i="13"/>
  <c r="G1428" i="13"/>
  <c r="G1432" i="13"/>
  <c r="G1436" i="13"/>
  <c r="G1440" i="13"/>
  <c r="G1444" i="13"/>
  <c r="G1448" i="13"/>
  <c r="G1452" i="13"/>
  <c r="G1456" i="13"/>
  <c r="G1460" i="13"/>
  <c r="G1464" i="13"/>
  <c r="G1468" i="13"/>
  <c r="G1472" i="13"/>
  <c r="G1476" i="13"/>
  <c r="G1480" i="13"/>
  <c r="G1484" i="13"/>
  <c r="G1488" i="13"/>
  <c r="G1492" i="13"/>
  <c r="G1494" i="13"/>
  <c r="G1498" i="13"/>
  <c r="G1502" i="13"/>
  <c r="G1506" i="13"/>
  <c r="G1510" i="13"/>
  <c r="G1514" i="13"/>
  <c r="G1518" i="13"/>
  <c r="G1522" i="13"/>
  <c r="G1526" i="13"/>
  <c r="G1530" i="13"/>
  <c r="G1534" i="13"/>
  <c r="G1538" i="13"/>
  <c r="G1542" i="13"/>
  <c r="G1546" i="13"/>
  <c r="G1550" i="13"/>
  <c r="G1554" i="13"/>
  <c r="G1558" i="13"/>
  <c r="G1562" i="13"/>
  <c r="G1563" i="13"/>
  <c r="G1567" i="13"/>
  <c r="G1571" i="13"/>
  <c r="G1575" i="13"/>
  <c r="G1579" i="13"/>
  <c r="G1583" i="13"/>
  <c r="G1587" i="13"/>
  <c r="G1591" i="13"/>
  <c r="G1595" i="13"/>
  <c r="G1599" i="13"/>
  <c r="G1603" i="13"/>
  <c r="G839" i="13"/>
  <c r="G855" i="13"/>
  <c r="G871" i="13"/>
  <c r="G882" i="13"/>
  <c r="G898" i="13"/>
  <c r="G914" i="13"/>
  <c r="G930" i="13"/>
  <c r="G946" i="13"/>
  <c r="G956" i="13"/>
  <c r="G964" i="13"/>
  <c r="G972" i="13"/>
  <c r="G980" i="13"/>
  <c r="G984" i="13"/>
  <c r="G988" i="13"/>
  <c r="G992" i="13"/>
  <c r="G996" i="13"/>
  <c r="G1000" i="13"/>
  <c r="G1004" i="13"/>
  <c r="G1008" i="13"/>
  <c r="G1012" i="13"/>
  <c r="G1016" i="13"/>
  <c r="G1020" i="13"/>
  <c r="G1024" i="13"/>
  <c r="G1028" i="13"/>
  <c r="G1032" i="13"/>
  <c r="G1036" i="13"/>
  <c r="G1040" i="13"/>
  <c r="G1044" i="13"/>
  <c r="G1048" i="13"/>
  <c r="G1052" i="13"/>
  <c r="G1056" i="13"/>
  <c r="G1060" i="13"/>
  <c r="G1064" i="13"/>
  <c r="G1068" i="13"/>
  <c r="G1072" i="13"/>
  <c r="G1076" i="13"/>
  <c r="G1083" i="13"/>
  <c r="G1087" i="13"/>
  <c r="G1091" i="13"/>
  <c r="G1095" i="13"/>
  <c r="G1099" i="13"/>
  <c r="G1103" i="13"/>
  <c r="G1107" i="13"/>
  <c r="G1111" i="13"/>
  <c r="G1115" i="13"/>
  <c r="G1119" i="13"/>
  <c r="G1123" i="13"/>
  <c r="G1127" i="13"/>
  <c r="G1131" i="13"/>
  <c r="G1135" i="13"/>
  <c r="G1139" i="13"/>
  <c r="G1143" i="13"/>
  <c r="G1147" i="13"/>
  <c r="G1150" i="13"/>
  <c r="G1154" i="13"/>
  <c r="G1158" i="13"/>
  <c r="G1162" i="13"/>
  <c r="G1166" i="13"/>
  <c r="G1170" i="13"/>
  <c r="G1174" i="13"/>
  <c r="G1178" i="13"/>
  <c r="G1182" i="13"/>
  <c r="G1186" i="13"/>
  <c r="G1190" i="13"/>
  <c r="G1194" i="13"/>
  <c r="G1198" i="13"/>
  <c r="G1202" i="13"/>
  <c r="G1206" i="13"/>
  <c r="G1210" i="13"/>
  <c r="G1214" i="13"/>
  <c r="G1221" i="13"/>
  <c r="G1225" i="13"/>
  <c r="G1229" i="13"/>
  <c r="G1233" i="13"/>
  <c r="G1237" i="13"/>
  <c r="G1241" i="13"/>
  <c r="G1245" i="13"/>
  <c r="G1249" i="13"/>
  <c r="G1253" i="13"/>
  <c r="G1257" i="13"/>
  <c r="G1261" i="13"/>
  <c r="G1265" i="13"/>
  <c r="G1269" i="13"/>
  <c r="G1273" i="13"/>
  <c r="G1277" i="13"/>
  <c r="G1281" i="13"/>
  <c r="G1285" i="13"/>
  <c r="G1288" i="13"/>
  <c r="G1292" i="13"/>
  <c r="G1296" i="13"/>
  <c r="G1300" i="13"/>
  <c r="G1304" i="13"/>
  <c r="G1308" i="13"/>
  <c r="G1312" i="13"/>
  <c r="G1316" i="13"/>
  <c r="G1320" i="13"/>
  <c r="G1324" i="13"/>
  <c r="G1328" i="13"/>
  <c r="G1332" i="13"/>
  <c r="G1336" i="13"/>
  <c r="G1340" i="13"/>
  <c r="G1344" i="13"/>
  <c r="G1348" i="13"/>
  <c r="G1352" i="13"/>
  <c r="G1358" i="13"/>
  <c r="G1362" i="13"/>
  <c r="G1366" i="13"/>
  <c r="G1370" i="13"/>
  <c r="G1374" i="13"/>
  <c r="G843" i="13"/>
  <c r="G859" i="13"/>
  <c r="G886" i="13"/>
  <c r="G902" i="13"/>
  <c r="G918" i="13"/>
  <c r="G934" i="13"/>
  <c r="G950" i="13"/>
  <c r="G958" i="13"/>
  <c r="G966" i="13"/>
  <c r="G974" i="13"/>
  <c r="G981" i="13"/>
  <c r="G985" i="13"/>
  <c r="G989" i="13"/>
  <c r="G993" i="13"/>
  <c r="G997" i="13"/>
  <c r="G1001" i="13"/>
  <c r="G1005" i="13"/>
  <c r="G1009" i="13"/>
  <c r="G1013" i="13"/>
  <c r="G1017" i="13"/>
  <c r="G1021" i="13"/>
  <c r="G1025" i="13"/>
  <c r="G1029" i="13"/>
  <c r="G1033" i="13"/>
  <c r="G1037" i="13"/>
  <c r="G1041" i="13"/>
  <c r="G1045" i="13"/>
  <c r="G1049" i="13"/>
  <c r="G1053" i="13"/>
  <c r="G1057" i="13"/>
  <c r="G1061" i="13"/>
  <c r="G1065" i="13"/>
  <c r="G1069" i="13"/>
  <c r="G1073" i="13"/>
  <c r="G1077" i="13"/>
  <c r="G1080" i="13"/>
  <c r="G1084" i="13"/>
  <c r="G1088" i="13"/>
  <c r="G1092" i="13"/>
  <c r="G1096" i="13"/>
  <c r="G1100" i="13"/>
  <c r="G1104" i="13"/>
  <c r="G1108" i="13"/>
  <c r="G1112" i="13"/>
  <c r="G1116" i="13"/>
  <c r="G1120" i="13"/>
  <c r="G1124" i="13"/>
  <c r="G1128" i="13"/>
  <c r="G1132" i="13"/>
  <c r="G1136" i="13"/>
  <c r="G1140" i="13"/>
  <c r="G1144" i="13"/>
  <c r="G1148" i="13"/>
  <c r="G1151" i="13"/>
  <c r="G1155" i="13"/>
  <c r="G1159" i="13"/>
  <c r="G1163" i="13"/>
  <c r="G1167" i="13"/>
  <c r="G1171" i="13"/>
  <c r="G1175" i="13"/>
  <c r="G1179" i="13"/>
  <c r="G1183" i="13"/>
  <c r="G1187" i="13"/>
  <c r="G1191" i="13"/>
  <c r="G1195" i="13"/>
  <c r="G1199" i="13"/>
  <c r="G1203" i="13"/>
  <c r="G1207" i="13"/>
  <c r="G1211" i="13"/>
  <c r="G1215" i="13"/>
  <c r="G1218" i="13"/>
  <c r="G1222" i="13"/>
  <c r="G1226" i="13"/>
  <c r="G1230" i="13"/>
  <c r="G1234" i="13"/>
  <c r="G1238" i="13"/>
  <c r="G1242" i="13"/>
  <c r="G1246" i="13"/>
  <c r="G1250" i="13"/>
  <c r="G1254" i="13"/>
  <c r="G1258" i="13"/>
  <c r="G1262" i="13"/>
  <c r="G1266" i="13"/>
  <c r="G1270" i="13"/>
  <c r="G1274" i="13"/>
  <c r="G1278" i="13"/>
  <c r="G1282" i="13"/>
  <c r="G1286" i="13"/>
  <c r="G1289" i="13"/>
  <c r="G1293" i="13"/>
  <c r="G1297" i="13"/>
  <c r="G1301" i="13"/>
  <c r="G1305" i="13"/>
  <c r="G1309" i="13"/>
  <c r="G1313" i="13"/>
  <c r="G1317" i="13"/>
  <c r="G1321" i="13"/>
  <c r="G1325" i="13"/>
  <c r="G1329" i="13"/>
  <c r="G1333" i="13"/>
  <c r="G1337" i="13"/>
  <c r="G1341" i="13"/>
  <c r="G1345" i="13"/>
  <c r="G1349" i="13"/>
  <c r="G1353" i="13"/>
  <c r="G1359" i="13"/>
  <c r="G1363" i="13"/>
  <c r="G1367" i="13"/>
  <c r="G1371" i="13"/>
  <c r="G1375" i="13"/>
  <c r="G1379" i="13"/>
  <c r="G1383" i="13"/>
  <c r="G1387" i="13"/>
  <c r="G1391" i="13"/>
  <c r="G1395" i="13"/>
  <c r="G1399" i="13"/>
  <c r="G1403" i="13"/>
  <c r="G1407" i="13"/>
  <c r="G1411" i="13"/>
  <c r="G1415" i="13"/>
  <c r="G1419" i="13"/>
  <c r="G1423" i="13"/>
  <c r="G1426" i="13"/>
  <c r="G1430" i="13"/>
  <c r="G1434" i="13"/>
  <c r="G1438" i="13"/>
  <c r="G1442" i="13"/>
  <c r="G1446" i="13"/>
  <c r="G1450" i="13"/>
  <c r="G1454" i="13"/>
  <c r="G1458" i="13"/>
  <c r="G1462" i="13"/>
  <c r="G1466" i="13"/>
  <c r="G1470" i="13"/>
  <c r="G1474" i="13"/>
  <c r="G1478" i="13"/>
  <c r="G1482" i="13"/>
  <c r="G1486" i="13"/>
  <c r="G1490" i="13"/>
  <c r="G1496" i="13"/>
  <c r="G1500" i="13"/>
  <c r="G1504" i="13"/>
  <c r="G1508" i="13"/>
  <c r="G1512" i="13"/>
  <c r="G1516" i="13"/>
  <c r="G1520" i="13"/>
  <c r="G1524" i="13"/>
  <c r="G1528" i="13"/>
  <c r="G1532" i="13"/>
  <c r="G1536" i="13"/>
  <c r="G1540" i="13"/>
  <c r="G1544" i="13"/>
  <c r="G1548" i="13"/>
  <c r="G1552" i="13"/>
  <c r="G1556" i="13"/>
  <c r="G1560" i="13"/>
  <c r="G1565" i="13"/>
  <c r="G1569" i="13"/>
  <c r="G1573" i="13"/>
  <c r="G1577" i="13"/>
  <c r="G1581" i="13"/>
  <c r="G1585" i="13"/>
  <c r="G1589" i="13"/>
  <c r="G1593" i="13"/>
  <c r="G1597" i="13"/>
  <c r="G1601" i="13"/>
  <c r="G1605" i="13"/>
  <c r="G1609" i="13"/>
  <c r="G1613" i="13"/>
  <c r="G1617" i="13"/>
  <c r="G831" i="13"/>
  <c r="G847" i="13"/>
  <c r="G863" i="13"/>
  <c r="G874" i="13"/>
  <c r="G890" i="13"/>
  <c r="G906" i="13"/>
  <c r="G922" i="13"/>
  <c r="G938" i="13"/>
  <c r="G952" i="13"/>
  <c r="G960" i="13"/>
  <c r="G968" i="13"/>
  <c r="G976" i="13"/>
  <c r="G982" i="13"/>
  <c r="G986" i="13"/>
  <c r="G990" i="13"/>
  <c r="G994" i="13"/>
  <c r="G998" i="13"/>
  <c r="G1002" i="13"/>
  <c r="G1006" i="13"/>
  <c r="G1010" i="13"/>
  <c r="G1014" i="13"/>
  <c r="G1018" i="13"/>
  <c r="G1022" i="13"/>
  <c r="G1026" i="13"/>
  <c r="G1030" i="13"/>
  <c r="G1034" i="13"/>
  <c r="G1038" i="13"/>
  <c r="G1042" i="13"/>
  <c r="G1046" i="13"/>
  <c r="G1050" i="13"/>
  <c r="G1054" i="13"/>
  <c r="G1058" i="13"/>
  <c r="G1062" i="13"/>
  <c r="G1066" i="13"/>
  <c r="G1070" i="13"/>
  <c r="G1074" i="13"/>
  <c r="G1078" i="13"/>
  <c r="G1081" i="13"/>
  <c r="G1085" i="13"/>
  <c r="G1089" i="13"/>
  <c r="G1093" i="13"/>
  <c r="G1097" i="13"/>
  <c r="G1101" i="13"/>
  <c r="G1105" i="13"/>
  <c r="G1109" i="13"/>
  <c r="G1113" i="13"/>
  <c r="G1117" i="13"/>
  <c r="G1121" i="13"/>
  <c r="G1125" i="13"/>
  <c r="G1129" i="13"/>
  <c r="G1133" i="13"/>
  <c r="G1137" i="13"/>
  <c r="G1141" i="13"/>
  <c r="G1145" i="13"/>
  <c r="G1152" i="13"/>
  <c r="G1156" i="13"/>
  <c r="G1160" i="13"/>
  <c r="G1164" i="13"/>
  <c r="G1168" i="13"/>
  <c r="G1172" i="13"/>
  <c r="G1176" i="13"/>
  <c r="G1188" i="13"/>
  <c r="G1204" i="13"/>
  <c r="G1231" i="13"/>
  <c r="G1247" i="13"/>
  <c r="G1263" i="13"/>
  <c r="G1279" i="13"/>
  <c r="G1294" i="13"/>
  <c r="G1310" i="13"/>
  <c r="G1326" i="13"/>
  <c r="G1342" i="13"/>
  <c r="G1364" i="13"/>
  <c r="G1378" i="13"/>
  <c r="G1386" i="13"/>
  <c r="G1394" i="13"/>
  <c r="G1402" i="13"/>
  <c r="G1410" i="13"/>
  <c r="G1418" i="13"/>
  <c r="G1431" i="13"/>
  <c r="G1439" i="13"/>
  <c r="G1447" i="13"/>
  <c r="G1455" i="13"/>
  <c r="G1463" i="13"/>
  <c r="G1471" i="13"/>
  <c r="G1479" i="13"/>
  <c r="G1487" i="13"/>
  <c r="G1499" i="13"/>
  <c r="G1507" i="13"/>
  <c r="G1515" i="13"/>
  <c r="G1523" i="13"/>
  <c r="G1531" i="13"/>
  <c r="G1539" i="13"/>
  <c r="G1547" i="13"/>
  <c r="G1555" i="13"/>
  <c r="G1566" i="13"/>
  <c r="G1574" i="13"/>
  <c r="G1582" i="13"/>
  <c r="G1590" i="13"/>
  <c r="G1598" i="13"/>
  <c r="G1606" i="13"/>
  <c r="G1611" i="13"/>
  <c r="G1616" i="13"/>
  <c r="G1621" i="13"/>
  <c r="G1625" i="13"/>
  <c r="G1629" i="13"/>
  <c r="G1635" i="13"/>
  <c r="G1639" i="13"/>
  <c r="G1643" i="13"/>
  <c r="G1647" i="13"/>
  <c r="G1651" i="13"/>
  <c r="G1655" i="13"/>
  <c r="G1659" i="13"/>
  <c r="G1663" i="13"/>
  <c r="G1667" i="13"/>
  <c r="G1671" i="13"/>
  <c r="G1675" i="13"/>
  <c r="G1679" i="13"/>
  <c r="G1683" i="13"/>
  <c r="G1687" i="13"/>
  <c r="G1691" i="13"/>
  <c r="G1695" i="13"/>
  <c r="G1699" i="13"/>
  <c r="G1704" i="13"/>
  <c r="G1708" i="13"/>
  <c r="G1712" i="13"/>
  <c r="G1716" i="13"/>
  <c r="G1720" i="13"/>
  <c r="G1724" i="13"/>
  <c r="G1728" i="13"/>
  <c r="G1732" i="13"/>
  <c r="G1736" i="13"/>
  <c r="G1740" i="13"/>
  <c r="G1744" i="13"/>
  <c r="G1748" i="13"/>
  <c r="G1752" i="13"/>
  <c r="G1756" i="13"/>
  <c r="G1760" i="13"/>
  <c r="G1764" i="13"/>
  <c r="G1768" i="13"/>
  <c r="G1772" i="13"/>
  <c r="G1776" i="13"/>
  <c r="G1780" i="13"/>
  <c r="G1784" i="13"/>
  <c r="G1788" i="13"/>
  <c r="G1792" i="13"/>
  <c r="G1796" i="13"/>
  <c r="G1800" i="13"/>
  <c r="G1804" i="13"/>
  <c r="G1808" i="13"/>
  <c r="G1812" i="13"/>
  <c r="G1816" i="13"/>
  <c r="G1820" i="13"/>
  <c r="G1824" i="13"/>
  <c r="G1828" i="13"/>
  <c r="G1832" i="13"/>
  <c r="G1836" i="13"/>
  <c r="G1841" i="13"/>
  <c r="G1845" i="13"/>
  <c r="G1849" i="13"/>
  <c r="G1853" i="13"/>
  <c r="G1857" i="13"/>
  <c r="G1861" i="13"/>
  <c r="G1865" i="13"/>
  <c r="G1869" i="13"/>
  <c r="G1873" i="13"/>
  <c r="G1877" i="13"/>
  <c r="G1881" i="13"/>
  <c r="G1885" i="13"/>
  <c r="G1889" i="13"/>
  <c r="G1893" i="13"/>
  <c r="G1897" i="13"/>
  <c r="G1901" i="13"/>
  <c r="G1905" i="13"/>
  <c r="G1911" i="13"/>
  <c r="G1915" i="13"/>
  <c r="G1919" i="13"/>
  <c r="G1922" i="13"/>
  <c r="G1926" i="13"/>
  <c r="G1930" i="13"/>
  <c r="G1934" i="13"/>
  <c r="G1937" i="13"/>
  <c r="G1941" i="13"/>
  <c r="G1945" i="13"/>
  <c r="G1949" i="13"/>
  <c r="G1952" i="13"/>
  <c r="G1956" i="13"/>
  <c r="G1960" i="13"/>
  <c r="G1967" i="13"/>
  <c r="G1971" i="13"/>
  <c r="G1975" i="13"/>
  <c r="G1978" i="13"/>
  <c r="G1982" i="13"/>
  <c r="G1986" i="13"/>
  <c r="G1990" i="13"/>
  <c r="G1993" i="13"/>
  <c r="G1997" i="13"/>
  <c r="G2001" i="13"/>
  <c r="G2005" i="13"/>
  <c r="G2009" i="13"/>
  <c r="G2013" i="13"/>
  <c r="G2017" i="13"/>
  <c r="G2020" i="13"/>
  <c r="G2024" i="13"/>
  <c r="G2028" i="13"/>
  <c r="G2032" i="13"/>
  <c r="G2035" i="13"/>
  <c r="G2039" i="13"/>
  <c r="G2043" i="13"/>
  <c r="G2047" i="13"/>
  <c r="G2050" i="13"/>
  <c r="G2054" i="13"/>
  <c r="G2058" i="13"/>
  <c r="G2065" i="13"/>
  <c r="G2069" i="13"/>
  <c r="G2073" i="13"/>
  <c r="G2079" i="13"/>
  <c r="G2083" i="13"/>
  <c r="G2087" i="13"/>
  <c r="G2093" i="13"/>
  <c r="G2097" i="13"/>
  <c r="G2101" i="13"/>
  <c r="G2107" i="13"/>
  <c r="G2111" i="13"/>
  <c r="G2115" i="13"/>
  <c r="G2119" i="13"/>
  <c r="G2123" i="13"/>
  <c r="G1192" i="13"/>
  <c r="G1208" i="13"/>
  <c r="G1219" i="13"/>
  <c r="G1235" i="13"/>
  <c r="G1251" i="13"/>
  <c r="G1267" i="13"/>
  <c r="G1283" i="13"/>
  <c r="G1298" i="13"/>
  <c r="G1314" i="13"/>
  <c r="G1330" i="13"/>
  <c r="G1346" i="13"/>
  <c r="G1368" i="13"/>
  <c r="G1380" i="13"/>
  <c r="G1388" i="13"/>
  <c r="G1396" i="13"/>
  <c r="G1404" i="13"/>
  <c r="G1412" i="13"/>
  <c r="G1420" i="13"/>
  <c r="G1425" i="13"/>
  <c r="G1433" i="13"/>
  <c r="G1441" i="13"/>
  <c r="G1449" i="13"/>
  <c r="G1457" i="13"/>
  <c r="G1465" i="13"/>
  <c r="G1473" i="13"/>
  <c r="G1481" i="13"/>
  <c r="G1489" i="13"/>
  <c r="G1501" i="13"/>
  <c r="G1509" i="13"/>
  <c r="G1517" i="13"/>
  <c r="G1525" i="13"/>
  <c r="G1533" i="13"/>
  <c r="G1541" i="13"/>
  <c r="G1549" i="13"/>
  <c r="G1557" i="13"/>
  <c r="G1568" i="13"/>
  <c r="G1576" i="13"/>
  <c r="G1584" i="13"/>
  <c r="G1592" i="13"/>
  <c r="G1600" i="13"/>
  <c r="G1607" i="13"/>
  <c r="G1612" i="13"/>
  <c r="G1618" i="13"/>
  <c r="G1622" i="13"/>
  <c r="G1626" i="13"/>
  <c r="G1630" i="13"/>
  <c r="G1632" i="13"/>
  <c r="G1636" i="13"/>
  <c r="G1640" i="13"/>
  <c r="G1644" i="13"/>
  <c r="G1648" i="13"/>
  <c r="G1652" i="13"/>
  <c r="G1656" i="13"/>
  <c r="G1660" i="13"/>
  <c r="G1664" i="13"/>
  <c r="G1668" i="13"/>
  <c r="G1672" i="13"/>
  <c r="G1676" i="13"/>
  <c r="G1680" i="13"/>
  <c r="G1684" i="13"/>
  <c r="G1688" i="13"/>
  <c r="G1692" i="13"/>
  <c r="G1696" i="13"/>
  <c r="G1700" i="13"/>
  <c r="G1701" i="13"/>
  <c r="G1705" i="13"/>
  <c r="G1709" i="13"/>
  <c r="G1713" i="13"/>
  <c r="G1717" i="13"/>
  <c r="G1721" i="13"/>
  <c r="G1725" i="13"/>
  <c r="G1729" i="13"/>
  <c r="G1733" i="13"/>
  <c r="G1737" i="13"/>
  <c r="G1741" i="13"/>
  <c r="G1745" i="13"/>
  <c r="G1749" i="13"/>
  <c r="G1753" i="13"/>
  <c r="G1757" i="13"/>
  <c r="G1761" i="13"/>
  <c r="G1765" i="13"/>
  <c r="G1769" i="13"/>
  <c r="G1773" i="13"/>
  <c r="G1777" i="13"/>
  <c r="G1781" i="13"/>
  <c r="G1785" i="13"/>
  <c r="G1789" i="13"/>
  <c r="G1793" i="13"/>
  <c r="G1797" i="13"/>
  <c r="G1801" i="13"/>
  <c r="G1805" i="13"/>
  <c r="G1809" i="13"/>
  <c r="G1813" i="13"/>
  <c r="G1817" i="13"/>
  <c r="G1821" i="13"/>
  <c r="G1825" i="13"/>
  <c r="G1829" i="13"/>
  <c r="G1833" i="13"/>
  <c r="G1837" i="13"/>
  <c r="G1842" i="13"/>
  <c r="G1846" i="13"/>
  <c r="G1850" i="13"/>
  <c r="G1854" i="13"/>
  <c r="G1858" i="13"/>
  <c r="G1862" i="13"/>
  <c r="G1866" i="13"/>
  <c r="G1870" i="13"/>
  <c r="G1874" i="13"/>
  <c r="G1878" i="13"/>
  <c r="G1882" i="13"/>
  <c r="G1886" i="13"/>
  <c r="G1890" i="13"/>
  <c r="G1894" i="13"/>
  <c r="G1898" i="13"/>
  <c r="G1902" i="13"/>
  <c r="G1906" i="13"/>
  <c r="G1908" i="13"/>
  <c r="G1912" i="13"/>
  <c r="G1916" i="13"/>
  <c r="G1920" i="13"/>
  <c r="G1923" i="13"/>
  <c r="G1927" i="13"/>
  <c r="G1931" i="13"/>
  <c r="G1935" i="13"/>
  <c r="G1938" i="13"/>
  <c r="G1942" i="13"/>
  <c r="G1946" i="13"/>
  <c r="G1953" i="13"/>
  <c r="G1957" i="13"/>
  <c r="G1961" i="13"/>
  <c r="G1964" i="13"/>
  <c r="G1968" i="13"/>
  <c r="G1972" i="13"/>
  <c r="G1976" i="13"/>
  <c r="G1979" i="13"/>
  <c r="G1983" i="13"/>
  <c r="G1987" i="13"/>
  <c r="G1991" i="13"/>
  <c r="G1994" i="13"/>
  <c r="G1998" i="13"/>
  <c r="G2002" i="13"/>
  <c r="G2006" i="13"/>
  <c r="G2010" i="13"/>
  <c r="G2014" i="13"/>
  <c r="G2018" i="13"/>
  <c r="G2021" i="13"/>
  <c r="G2025" i="13"/>
  <c r="G2029" i="13"/>
  <c r="G2033" i="13"/>
  <c r="G2036" i="13"/>
  <c r="G2040" i="13"/>
  <c r="G2044" i="13"/>
  <c r="G2051" i="13"/>
  <c r="G2055" i="13"/>
  <c r="G2059" i="13"/>
  <c r="G2062" i="13"/>
  <c r="G2066" i="13"/>
  <c r="G2070" i="13"/>
  <c r="G2074" i="13"/>
  <c r="G2076" i="13"/>
  <c r="G2080" i="13"/>
  <c r="G2084" i="13"/>
  <c r="G2088" i="13"/>
  <c r="G2090" i="13"/>
  <c r="G2094" i="13"/>
  <c r="G2098" i="13"/>
  <c r="G2102" i="13"/>
  <c r="G2104" i="13"/>
  <c r="G2108" i="13"/>
  <c r="G2112" i="13"/>
  <c r="G1180" i="13"/>
  <c r="G1196" i="13"/>
  <c r="G1212" i="13"/>
  <c r="G1223" i="13"/>
  <c r="G1239" i="13"/>
  <c r="G1255" i="13"/>
  <c r="G1271" i="13"/>
  <c r="G1302" i="13"/>
  <c r="G1318" i="13"/>
  <c r="G1334" i="13"/>
  <c r="G1350" i="13"/>
  <c r="G1356" i="13"/>
  <c r="G1372" i="13"/>
  <c r="G1382" i="13"/>
  <c r="G1390" i="13"/>
  <c r="G1398" i="13"/>
  <c r="G1406" i="13"/>
  <c r="G1414" i="13"/>
  <c r="G1422" i="13"/>
  <c r="G1427" i="13"/>
  <c r="G1435" i="13"/>
  <c r="G1443" i="13"/>
  <c r="G1451" i="13"/>
  <c r="G1459" i="13"/>
  <c r="G1467" i="13"/>
  <c r="G1475" i="13"/>
  <c r="G1483" i="13"/>
  <c r="G1491" i="13"/>
  <c r="G1495" i="13"/>
  <c r="G1503" i="13"/>
  <c r="G1511" i="13"/>
  <c r="G1519" i="13"/>
  <c r="G1527" i="13"/>
  <c r="G1535" i="13"/>
  <c r="G1543" i="13"/>
  <c r="G1551" i="13"/>
  <c r="G1559" i="13"/>
  <c r="G1570" i="13"/>
  <c r="G1578" i="13"/>
  <c r="G1586" i="13"/>
  <c r="G1594" i="13"/>
  <c r="G1602" i="13"/>
  <c r="G1608" i="13"/>
  <c r="G1614" i="13"/>
  <c r="G1619" i="13"/>
  <c r="G1623" i="13"/>
  <c r="G1627" i="13"/>
  <c r="G1631" i="13"/>
  <c r="G1633" i="13"/>
  <c r="G1637" i="13"/>
  <c r="G1641" i="13"/>
  <c r="G1645" i="13"/>
  <c r="G1649" i="13"/>
  <c r="G1653" i="13"/>
  <c r="G1657" i="13"/>
  <c r="G1661" i="13"/>
  <c r="G1665" i="13"/>
  <c r="G1669" i="13"/>
  <c r="G1673" i="13"/>
  <c r="G1677" i="13"/>
  <c r="G1681" i="13"/>
  <c r="G1685" i="13"/>
  <c r="G1689" i="13"/>
  <c r="G1693" i="13"/>
  <c r="G1697" i="13"/>
  <c r="G1702" i="13"/>
  <c r="G1706" i="13"/>
  <c r="G1710" i="13"/>
  <c r="G1714" i="13"/>
  <c r="G1718" i="13"/>
  <c r="G1722" i="13"/>
  <c r="G1726" i="13"/>
  <c r="G1730" i="13"/>
  <c r="G1734" i="13"/>
  <c r="G1738" i="13"/>
  <c r="G1742" i="13"/>
  <c r="G1746" i="13"/>
  <c r="G1750" i="13"/>
  <c r="G1754" i="13"/>
  <c r="G1758" i="13"/>
  <c r="G1762" i="13"/>
  <c r="G1766" i="13"/>
  <c r="G1770" i="13"/>
  <c r="G1774" i="13"/>
  <c r="G1778" i="13"/>
  <c r="G1782" i="13"/>
  <c r="G1786" i="13"/>
  <c r="G1790" i="13"/>
  <c r="G1794" i="13"/>
  <c r="G1798" i="13"/>
  <c r="G1802" i="13"/>
  <c r="G1806" i="13"/>
  <c r="G1810" i="13"/>
  <c r="G1814" i="13"/>
  <c r="G1818" i="13"/>
  <c r="G1822" i="13"/>
  <c r="G1826" i="13"/>
  <c r="G1830" i="13"/>
  <c r="G1834" i="13"/>
  <c r="G1838" i="13"/>
  <c r="G1839" i="13"/>
  <c r="G1843" i="13"/>
  <c r="G1847" i="13"/>
  <c r="G1851" i="13"/>
  <c r="G1855" i="13"/>
  <c r="G1859" i="13"/>
  <c r="G1863" i="13"/>
  <c r="G1867" i="13"/>
  <c r="G1871" i="13"/>
  <c r="G1875" i="13"/>
  <c r="G1879" i="13"/>
  <c r="G1883" i="13"/>
  <c r="G1887" i="13"/>
  <c r="G1891" i="13"/>
  <c r="G1895" i="13"/>
  <c r="G1899" i="13"/>
  <c r="G1903" i="13"/>
  <c r="G1907" i="13"/>
  <c r="G1909" i="13"/>
  <c r="G1913" i="13"/>
  <c r="G1917" i="13"/>
  <c r="G1921" i="13"/>
  <c r="G1924" i="13"/>
  <c r="G1928" i="13"/>
  <c r="G1932" i="13"/>
  <c r="G1939" i="13"/>
  <c r="G1943" i="13"/>
  <c r="G1947" i="13"/>
  <c r="G1950" i="13"/>
  <c r="G1954" i="13"/>
  <c r="G1958" i="13"/>
  <c r="G1962" i="13"/>
  <c r="G1965" i="13"/>
  <c r="G1969" i="13"/>
  <c r="G1973" i="13"/>
  <c r="G1977" i="13"/>
  <c r="G1980" i="13"/>
  <c r="G1984" i="13"/>
  <c r="G1988" i="13"/>
  <c r="G1995" i="13"/>
  <c r="G1999" i="13"/>
  <c r="G2003" i="13"/>
  <c r="G2007" i="13"/>
  <c r="G2011" i="13"/>
  <c r="G2015" i="13"/>
  <c r="G2019" i="13"/>
  <c r="G2022" i="13"/>
  <c r="G2026" i="13"/>
  <c r="G2030" i="13"/>
  <c r="G2037" i="13"/>
  <c r="G2041" i="13"/>
  <c r="G2045" i="13"/>
  <c r="G2048" i="13"/>
  <c r="G2052" i="13"/>
  <c r="G2056" i="13"/>
  <c r="G2060" i="13"/>
  <c r="G2063" i="13"/>
  <c r="G2067" i="13"/>
  <c r="G2071" i="13"/>
  <c r="G2075" i="13"/>
  <c r="G2077" i="13"/>
  <c r="G2081" i="13"/>
  <c r="G2085" i="13"/>
  <c r="G2089" i="13"/>
  <c r="G2091" i="13"/>
  <c r="G2095" i="13"/>
  <c r="G2099" i="13"/>
  <c r="G2103" i="13"/>
  <c r="G2105" i="13"/>
  <c r="G2109" i="13"/>
  <c r="G2113" i="13"/>
  <c r="G1184" i="13"/>
  <c r="G1200" i="13"/>
  <c r="G1216" i="13"/>
  <c r="G1227" i="13"/>
  <c r="G1243" i="13"/>
  <c r="G1259" i="13"/>
  <c r="G1275" i="13"/>
  <c r="G1290" i="13"/>
  <c r="G1306" i="13"/>
  <c r="G1322" i="13"/>
  <c r="G1338" i="13"/>
  <c r="G1354" i="13"/>
  <c r="G1360" i="13"/>
  <c r="G1376" i="13"/>
  <c r="G1384" i="13"/>
  <c r="G1392" i="13"/>
  <c r="G1400" i="13"/>
  <c r="G1408" i="13"/>
  <c r="G1416" i="13"/>
  <c r="G1424" i="13"/>
  <c r="G1429" i="13"/>
  <c r="G1437" i="13"/>
  <c r="G1445" i="13"/>
  <c r="G1453" i="13"/>
  <c r="G1461" i="13"/>
  <c r="G1469" i="13"/>
  <c r="G1477" i="13"/>
  <c r="G1485" i="13"/>
  <c r="G1493" i="13"/>
  <c r="G1497" i="13"/>
  <c r="G1505" i="13"/>
  <c r="G1513" i="13"/>
  <c r="G1521" i="13"/>
  <c r="G1529" i="13"/>
  <c r="G1537" i="13"/>
  <c r="G1545" i="13"/>
  <c r="G1553" i="13"/>
  <c r="G1561" i="13"/>
  <c r="G1564" i="13"/>
  <c r="G1572" i="13"/>
  <c r="G1580" i="13"/>
  <c r="G1588" i="13"/>
  <c r="G1596" i="13"/>
  <c r="G1604" i="13"/>
  <c r="G1610" i="13"/>
  <c r="G1615" i="13"/>
  <c r="G1620" i="13"/>
  <c r="G1624" i="13"/>
  <c r="G1628" i="13"/>
  <c r="G1634" i="13"/>
  <c r="G1638" i="13"/>
  <c r="G1642" i="13"/>
  <c r="G1646" i="13"/>
  <c r="G1650" i="13"/>
  <c r="G1654" i="13"/>
  <c r="G1658" i="13"/>
  <c r="G1662" i="13"/>
  <c r="G1666" i="13"/>
  <c r="G1670" i="13"/>
  <c r="G1674" i="13"/>
  <c r="G1678" i="13"/>
  <c r="G1682" i="13"/>
  <c r="G1686" i="13"/>
  <c r="G1690" i="13"/>
  <c r="G1694" i="13"/>
  <c r="G1698" i="13"/>
  <c r="G1703" i="13"/>
  <c r="G1707" i="13"/>
  <c r="G1711" i="13"/>
  <c r="G1715" i="13"/>
  <c r="G1719" i="13"/>
  <c r="G1723" i="13"/>
  <c r="G1727" i="13"/>
  <c r="G1731" i="13"/>
  <c r="G1735" i="13"/>
  <c r="G1739" i="13"/>
  <c r="G1743" i="13"/>
  <c r="G1747" i="13"/>
  <c r="G1751" i="13"/>
  <c r="G1755" i="13"/>
  <c r="G1759" i="13"/>
  <c r="G1763" i="13"/>
  <c r="G1767" i="13"/>
  <c r="G1771" i="13"/>
  <c r="G1775" i="13"/>
  <c r="G1779" i="13"/>
  <c r="G1783" i="13"/>
  <c r="G1787" i="13"/>
  <c r="G1791" i="13"/>
  <c r="G1795" i="13"/>
  <c r="G1799" i="13"/>
  <c r="G1803" i="13"/>
  <c r="G1807" i="13"/>
  <c r="G1811" i="13"/>
  <c r="G1815" i="13"/>
  <c r="G1819" i="13"/>
  <c r="G1823" i="13"/>
  <c r="G1827" i="13"/>
  <c r="G1831" i="13"/>
  <c r="G1835" i="13"/>
  <c r="G1840" i="13"/>
  <c r="G1844" i="13"/>
  <c r="G1848" i="13"/>
  <c r="G1852" i="13"/>
  <c r="G1856" i="13"/>
  <c r="G1860" i="13"/>
  <c r="G1864" i="13"/>
  <c r="G1868" i="13"/>
  <c r="G1872" i="13"/>
  <c r="G1876" i="13"/>
  <c r="G1880" i="13"/>
  <c r="G1884" i="13"/>
  <c r="G1888" i="13"/>
  <c r="G1892" i="13"/>
  <c r="G1896" i="13"/>
  <c r="G1900" i="13"/>
  <c r="G1904" i="13"/>
  <c r="G1910" i="13"/>
  <c r="G1914" i="13"/>
  <c r="G1918" i="13"/>
  <c r="G1925" i="13"/>
  <c r="G1929" i="13"/>
  <c r="G1933" i="13"/>
  <c r="G1936" i="13"/>
  <c r="G1940" i="13"/>
  <c r="G1944" i="13"/>
  <c r="G1948" i="13"/>
  <c r="G1951" i="13"/>
  <c r="G1955" i="13"/>
  <c r="G1959" i="13"/>
  <c r="G1963" i="13"/>
  <c r="G1966" i="13"/>
  <c r="G1970" i="13"/>
  <c r="G1974" i="13"/>
  <c r="G1981" i="13"/>
  <c r="G1985" i="13"/>
  <c r="G1989" i="13"/>
  <c r="G1992" i="13"/>
  <c r="G1996" i="13"/>
  <c r="G2000" i="13"/>
  <c r="G2004" i="13"/>
  <c r="G2008" i="13"/>
  <c r="G2012" i="13"/>
  <c r="G2016" i="13"/>
  <c r="G2023" i="13"/>
  <c r="G2027" i="13"/>
  <c r="G2031" i="13"/>
  <c r="G2034" i="13"/>
  <c r="G2038" i="13"/>
  <c r="G2042" i="13"/>
  <c r="G2046" i="13"/>
  <c r="G2049" i="13"/>
  <c r="G2053" i="13"/>
  <c r="G2057" i="13"/>
  <c r="G2061" i="13"/>
  <c r="G2064" i="13"/>
  <c r="G2068" i="13"/>
  <c r="G2072" i="13"/>
  <c r="G2078" i="13"/>
  <c r="G2082" i="13"/>
  <c r="G2086" i="13"/>
  <c r="G2092" i="13"/>
  <c r="G2096" i="13"/>
  <c r="G2100" i="13"/>
  <c r="G2106" i="13"/>
  <c r="G2110" i="13"/>
  <c r="G2114" i="13"/>
  <c r="G2118" i="13"/>
  <c r="G2122" i="13"/>
  <c r="G2120" i="13"/>
  <c r="G2126" i="13"/>
  <c r="G2130" i="13"/>
  <c r="G2133" i="13"/>
  <c r="G2137" i="13"/>
  <c r="G2141" i="13"/>
  <c r="G2145" i="13"/>
  <c r="G2148" i="13"/>
  <c r="G2152" i="13"/>
  <c r="G2155" i="13"/>
  <c r="G2159" i="13"/>
  <c r="G2160" i="13"/>
  <c r="G346" i="13"/>
  <c r="G200" i="13"/>
  <c r="G204" i="13"/>
  <c r="G208" i="13"/>
  <c r="G212" i="13"/>
  <c r="G217" i="13"/>
  <c r="G221" i="13"/>
  <c r="G225" i="13"/>
  <c r="G229" i="13"/>
  <c r="G233" i="13"/>
  <c r="G238" i="13"/>
  <c r="G242" i="13"/>
  <c r="G246" i="13"/>
  <c r="G250" i="13"/>
  <c r="G255" i="13"/>
  <c r="G259" i="13"/>
  <c r="G263" i="13"/>
  <c r="G267" i="13"/>
  <c r="G271" i="13"/>
  <c r="G276" i="13"/>
  <c r="G280" i="13"/>
  <c r="G284" i="13"/>
  <c r="G288" i="13"/>
  <c r="G292" i="13"/>
  <c r="G296" i="13"/>
  <c r="G300" i="13"/>
  <c r="G304" i="13"/>
  <c r="G308" i="13"/>
  <c r="G317" i="13"/>
  <c r="G329" i="13"/>
  <c r="G2121" i="13"/>
  <c r="G2127" i="13"/>
  <c r="G2131" i="13"/>
  <c r="G2134" i="13"/>
  <c r="G2138" i="13"/>
  <c r="G2142" i="13"/>
  <c r="G2149" i="13"/>
  <c r="G2153" i="13"/>
  <c r="G2156" i="13"/>
  <c r="G2163" i="13"/>
  <c r="G357" i="13"/>
  <c r="G197" i="13"/>
  <c r="G201" i="13"/>
  <c r="G205" i="13"/>
  <c r="G209" i="13"/>
  <c r="G213" i="13"/>
  <c r="G218" i="13"/>
  <c r="G222" i="13"/>
  <c r="G226" i="13"/>
  <c r="G230" i="13"/>
  <c r="G234" i="13"/>
  <c r="G235" i="13"/>
  <c r="G239" i="13"/>
  <c r="G243" i="13"/>
  <c r="G247" i="13"/>
  <c r="G251" i="13"/>
  <c r="G256" i="13"/>
  <c r="G260" i="13"/>
  <c r="G264" i="13"/>
  <c r="G268" i="13"/>
  <c r="G272" i="13"/>
  <c r="G273" i="13"/>
  <c r="G277" i="13"/>
  <c r="G281" i="13"/>
  <c r="G285" i="13"/>
  <c r="G289" i="13"/>
  <c r="G293" i="13"/>
  <c r="G297" i="13"/>
  <c r="G301" i="13"/>
  <c r="G305" i="13"/>
  <c r="G309" i="13"/>
  <c r="G314" i="13"/>
  <c r="G318" i="13"/>
  <c r="G322" i="13"/>
  <c r="G326" i="13"/>
  <c r="G331" i="13"/>
  <c r="G335" i="13"/>
  <c r="G333" i="13"/>
  <c r="G313" i="13"/>
  <c r="G325" i="13"/>
  <c r="G334" i="13"/>
  <c r="G2116" i="13"/>
  <c r="G2124" i="13"/>
  <c r="G2128" i="13"/>
  <c r="G2135" i="13"/>
  <c r="G2139" i="13"/>
  <c r="G2143" i="13"/>
  <c r="G2146" i="13"/>
  <c r="G2150" i="13"/>
  <c r="G2154" i="13"/>
  <c r="G2157" i="13"/>
  <c r="G2162" i="13"/>
  <c r="G356" i="13"/>
  <c r="G198" i="13"/>
  <c r="G202" i="13"/>
  <c r="G206" i="13"/>
  <c r="G210" i="13"/>
  <c r="G214" i="13"/>
  <c r="G219" i="13"/>
  <c r="G223" i="13"/>
  <c r="G227" i="13"/>
  <c r="G231" i="13"/>
  <c r="G236" i="13"/>
  <c r="G240" i="13"/>
  <c r="G244" i="13"/>
  <c r="G248" i="13"/>
  <c r="G252" i="13"/>
  <c r="G257" i="13"/>
  <c r="G261" i="13"/>
  <c r="G265" i="13"/>
  <c r="G269" i="13"/>
  <c r="G274" i="13"/>
  <c r="G278" i="13"/>
  <c r="G282" i="13"/>
  <c r="G286" i="13"/>
  <c r="G290" i="13"/>
  <c r="G294" i="13"/>
  <c r="G298" i="13"/>
  <c r="G302" i="13"/>
  <c r="G306" i="13"/>
  <c r="G310" i="13"/>
  <c r="G311" i="13"/>
  <c r="G315" i="13"/>
  <c r="G319" i="13"/>
  <c r="G323" i="13"/>
  <c r="G327" i="13"/>
  <c r="G332" i="13"/>
  <c r="G336" i="13"/>
  <c r="G330" i="13"/>
  <c r="G2117" i="13"/>
  <c r="G2125" i="13"/>
  <c r="G2129" i="13"/>
  <c r="G2132" i="13"/>
  <c r="G2136" i="13"/>
  <c r="G2140" i="13"/>
  <c r="G2144" i="13"/>
  <c r="G2147" i="13"/>
  <c r="G2151" i="13"/>
  <c r="G2158" i="13"/>
  <c r="G2161" i="13"/>
  <c r="G199" i="13"/>
  <c r="G203" i="13"/>
  <c r="G207" i="13"/>
  <c r="G211" i="13"/>
  <c r="G215" i="13"/>
  <c r="G216" i="13"/>
  <c r="G220" i="13"/>
  <c r="G224" i="13"/>
  <c r="G228" i="13"/>
  <c r="G232" i="13"/>
  <c r="G237" i="13"/>
  <c r="G241" i="13"/>
  <c r="G245" i="13"/>
  <c r="G249" i="13"/>
  <c r="G253" i="13"/>
  <c r="G254" i="13"/>
  <c r="G258" i="13"/>
  <c r="G262" i="13"/>
  <c r="G266" i="13"/>
  <c r="G270" i="13"/>
  <c r="G275" i="13"/>
  <c r="G279" i="13"/>
  <c r="G283" i="13"/>
  <c r="G287" i="13"/>
  <c r="G291" i="13"/>
  <c r="G295" i="13"/>
  <c r="G299" i="13"/>
  <c r="G303" i="13"/>
  <c r="G307" i="13"/>
  <c r="G312" i="13"/>
  <c r="G316" i="13"/>
  <c r="G320" i="13"/>
  <c r="G324" i="13"/>
  <c r="G328" i="13"/>
  <c r="G321" i="13"/>
  <c r="G85" i="13"/>
  <c r="G81" i="13"/>
  <c r="G40" i="13"/>
  <c r="G76" i="13"/>
  <c r="G74" i="13"/>
  <c r="G125" i="13"/>
  <c r="G110" i="13"/>
  <c r="G103" i="13"/>
  <c r="G57" i="13"/>
  <c r="G93" i="13"/>
  <c r="R93" i="13"/>
  <c r="R81" i="13"/>
  <c r="R76" i="13"/>
  <c r="R125" i="13"/>
  <c r="R103" i="13"/>
  <c r="Q85" i="13"/>
  <c r="Q81" i="13"/>
  <c r="Q40" i="13"/>
  <c r="Q76" i="13"/>
  <c r="Q74" i="13"/>
  <c r="Q125" i="13"/>
  <c r="Q110" i="13"/>
  <c r="Q103" i="13"/>
  <c r="Q57" i="13"/>
  <c r="Q93" i="13"/>
  <c r="R85" i="13"/>
  <c r="R40" i="13"/>
  <c r="R74" i="13"/>
  <c r="R110" i="13"/>
  <c r="R57" i="13"/>
  <c r="R133" i="16"/>
  <c r="G133" i="16"/>
  <c r="Q158" i="16"/>
  <c r="Q133" i="16"/>
  <c r="R158" i="16"/>
  <c r="H174" i="13"/>
  <c r="J178" i="13"/>
  <c r="H162" i="13"/>
  <c r="K182" i="13"/>
  <c r="H159" i="13"/>
  <c r="K170" i="13"/>
  <c r="H163" i="13"/>
  <c r="K161" i="13"/>
  <c r="H175" i="13"/>
  <c r="K174" i="13"/>
  <c r="K162" i="13"/>
  <c r="H176" i="13"/>
  <c r="K159" i="13"/>
  <c r="J160" i="13"/>
  <c r="K163" i="13"/>
  <c r="H177" i="13"/>
  <c r="K175" i="13"/>
  <c r="J181" i="13"/>
  <c r="H178" i="13"/>
  <c r="K176" i="13"/>
  <c r="J176" i="13"/>
  <c r="J170" i="13"/>
  <c r="K177" i="13"/>
  <c r="J161" i="13"/>
  <c r="K160" i="13"/>
  <c r="J174" i="13"/>
  <c r="K178" i="13"/>
  <c r="J162" i="13"/>
  <c r="J159" i="13"/>
  <c r="H160" i="13"/>
  <c r="J163" i="13"/>
  <c r="J175" i="13"/>
  <c r="H181" i="13"/>
  <c r="H182" i="13"/>
  <c r="H170" i="13"/>
  <c r="J177" i="13"/>
  <c r="H161" i="13"/>
  <c r="K181" i="13"/>
  <c r="H218" i="12"/>
  <c r="H197" i="12"/>
  <c r="H203" i="12"/>
  <c r="H225" i="12"/>
  <c r="J212" i="12"/>
  <c r="J200" i="12"/>
  <c r="J202" i="12"/>
  <c r="K223" i="12"/>
  <c r="K199" i="12"/>
  <c r="K201" i="12"/>
  <c r="K214" i="12"/>
  <c r="H195" i="12"/>
  <c r="H222" i="12"/>
  <c r="H228" i="12"/>
  <c r="J195" i="12"/>
  <c r="J222" i="12"/>
  <c r="J228" i="12"/>
  <c r="K195" i="12"/>
  <c r="K222" i="12"/>
  <c r="K228" i="12"/>
  <c r="G109" i="11"/>
  <c r="G156" i="11"/>
  <c r="G19" i="11"/>
  <c r="G136" i="11"/>
  <c r="G88" i="11"/>
  <c r="G92" i="11"/>
  <c r="H199" i="12"/>
  <c r="H201" i="12"/>
  <c r="H214" i="12"/>
  <c r="J219" i="12"/>
  <c r="K218" i="12"/>
  <c r="K203" i="12"/>
  <c r="H216" i="12"/>
  <c r="K196" i="12"/>
  <c r="R43" i="11"/>
  <c r="R67" i="11"/>
  <c r="Q109" i="11"/>
  <c r="Q136" i="11"/>
  <c r="Q92" i="11"/>
  <c r="H200" i="12"/>
  <c r="H202" i="12"/>
  <c r="J199" i="12"/>
  <c r="J201" i="12"/>
  <c r="K217" i="12"/>
  <c r="K213" i="12"/>
  <c r="H221" i="12"/>
  <c r="J221" i="12"/>
  <c r="K221" i="12"/>
  <c r="G81" i="11"/>
  <c r="G67" i="11"/>
  <c r="R109" i="11"/>
  <c r="R19" i="11"/>
  <c r="R88" i="11"/>
  <c r="R92" i="11"/>
  <c r="H217" i="12"/>
  <c r="H219" i="12"/>
  <c r="H220" i="12"/>
  <c r="H213" i="12"/>
  <c r="H226" i="12"/>
  <c r="J218" i="12"/>
  <c r="J197" i="12"/>
  <c r="J225" i="12"/>
  <c r="K212" i="12"/>
  <c r="K200" i="12"/>
  <c r="K202" i="12"/>
  <c r="K224" i="12"/>
  <c r="H211" i="12"/>
  <c r="H215" i="12"/>
  <c r="H229" i="12"/>
  <c r="J211" i="12"/>
  <c r="J215" i="12"/>
  <c r="J229" i="12"/>
  <c r="K211" i="12"/>
  <c r="K215" i="12"/>
  <c r="K229" i="12"/>
  <c r="Q81" i="11"/>
  <c r="Q43" i="11"/>
  <c r="Q67" i="11"/>
  <c r="H223" i="12"/>
  <c r="J217" i="12"/>
  <c r="J220" i="12"/>
  <c r="J226" i="12"/>
  <c r="K197" i="12"/>
  <c r="K225" i="12"/>
  <c r="H196" i="12"/>
  <c r="J196" i="12"/>
  <c r="J216" i="12"/>
  <c r="K216" i="12"/>
  <c r="R81" i="11"/>
  <c r="Q42" i="11"/>
  <c r="Q156" i="11"/>
  <c r="Q19" i="11"/>
  <c r="Q88" i="11"/>
  <c r="H212" i="12"/>
  <c r="H224" i="12"/>
  <c r="J223" i="12"/>
  <c r="K219" i="12"/>
  <c r="K220" i="12"/>
  <c r="K226" i="12"/>
  <c r="H227" i="12"/>
  <c r="J227" i="12"/>
  <c r="K227" i="12"/>
  <c r="G43" i="11"/>
  <c r="G42" i="11"/>
  <c r="R42" i="11"/>
  <c r="R156" i="11"/>
  <c r="R136" i="11"/>
  <c r="G59" i="11"/>
  <c r="G34" i="11"/>
  <c r="G21" i="11"/>
  <c r="G10" i="11"/>
  <c r="G169" i="11"/>
  <c r="G77" i="11"/>
  <c r="G15" i="11"/>
  <c r="G143" i="11"/>
  <c r="G102" i="11"/>
  <c r="G123" i="11"/>
  <c r="Q59" i="11"/>
  <c r="Q34" i="11"/>
  <c r="Q21" i="11"/>
  <c r="Q10" i="11"/>
  <c r="Q169" i="11"/>
  <c r="R166" i="11"/>
  <c r="R11" i="11"/>
  <c r="R89" i="11"/>
  <c r="R131" i="11"/>
  <c r="R114" i="11"/>
  <c r="Q74" i="11"/>
  <c r="R56" i="11"/>
  <c r="Q76" i="11"/>
  <c r="R75" i="11"/>
  <c r="G165" i="11"/>
  <c r="Q161" i="11"/>
  <c r="R59" i="11"/>
  <c r="Q165" i="11"/>
  <c r="R123" i="11"/>
  <c r="G166" i="11"/>
  <c r="G11" i="11"/>
  <c r="G89" i="11"/>
  <c r="G131" i="11"/>
  <c r="G114" i="11"/>
  <c r="Q77" i="11"/>
  <c r="Q15" i="11"/>
  <c r="Q143" i="11"/>
  <c r="Q102" i="11"/>
  <c r="Q123" i="11"/>
  <c r="R23" i="11"/>
  <c r="R117" i="11"/>
  <c r="R90" i="11"/>
  <c r="R148" i="11"/>
  <c r="G98" i="11"/>
  <c r="Q56" i="11"/>
  <c r="R122" i="11"/>
  <c r="Q154" i="11"/>
  <c r="G35" i="11"/>
  <c r="Q83" i="11"/>
  <c r="R108" i="11"/>
  <c r="R165" i="11"/>
  <c r="R10" i="11"/>
  <c r="Q108" i="11"/>
  <c r="R15" i="11"/>
  <c r="Q98" i="11"/>
  <c r="G23" i="11"/>
  <c r="G117" i="11"/>
  <c r="G90" i="11"/>
  <c r="G148" i="11"/>
  <c r="Q166" i="11"/>
  <c r="Q11" i="11"/>
  <c r="Q89" i="11"/>
  <c r="Q131" i="11"/>
  <c r="Q114" i="11"/>
  <c r="R37" i="11"/>
  <c r="R157" i="11"/>
  <c r="R145" i="11"/>
  <c r="R95" i="11"/>
  <c r="G74" i="11"/>
  <c r="Q122" i="11"/>
  <c r="R141" i="11"/>
  <c r="R154" i="11"/>
  <c r="R20" i="11"/>
  <c r="G122" i="11"/>
  <c r="R132" i="11"/>
  <c r="Q160" i="11"/>
  <c r="Q120" i="11"/>
  <c r="R137" i="11"/>
  <c r="G141" i="11"/>
  <c r="Q132" i="11"/>
  <c r="G22" i="11"/>
  <c r="Q110" i="11"/>
  <c r="Q35" i="11"/>
  <c r="R21" i="11"/>
  <c r="R169" i="11"/>
  <c r="R98" i="11"/>
  <c r="Q137" i="11"/>
  <c r="Q22" i="11"/>
  <c r="R143" i="11"/>
  <c r="G132" i="11"/>
  <c r="G37" i="11"/>
  <c r="G157" i="11"/>
  <c r="G145" i="11"/>
  <c r="G95" i="11"/>
  <c r="Q23" i="11"/>
  <c r="Q117" i="11"/>
  <c r="Q90" i="11"/>
  <c r="Q148" i="11"/>
  <c r="R76" i="11"/>
  <c r="R160" i="11"/>
  <c r="R83" i="11"/>
  <c r="R87" i="11"/>
  <c r="R120" i="11"/>
  <c r="G56" i="11"/>
  <c r="Q141" i="11"/>
  <c r="R35" i="11"/>
  <c r="G20" i="11"/>
  <c r="Q87" i="11"/>
  <c r="R22" i="11"/>
  <c r="Q64" i="11"/>
  <c r="Q20" i="11"/>
  <c r="R34" i="11"/>
  <c r="G154" i="11"/>
  <c r="Q75" i="11"/>
  <c r="R77" i="11"/>
  <c r="R102" i="11"/>
  <c r="G76" i="11"/>
  <c r="G160" i="11"/>
  <c r="G83" i="11"/>
  <c r="G87" i="11"/>
  <c r="G120" i="11"/>
  <c r="Q37" i="11"/>
  <c r="Q157" i="11"/>
  <c r="Q145" i="11"/>
  <c r="Q95" i="11"/>
  <c r="R161" i="11"/>
  <c r="R64" i="11"/>
  <c r="R110" i="11"/>
  <c r="R74" i="11"/>
  <c r="G161" i="11"/>
  <c r="G64" i="11"/>
  <c r="G110" i="11"/>
  <c r="G108" i="11"/>
  <c r="G137" i="11"/>
  <c r="G75" i="11"/>
  <c r="K196" i="10"/>
  <c r="K191" i="10"/>
  <c r="J190" i="10"/>
  <c r="H189" i="10"/>
  <c r="H181" i="10"/>
  <c r="H173" i="10"/>
  <c r="J168" i="10"/>
  <c r="K181" i="10"/>
  <c r="K173" i="10"/>
  <c r="J181" i="10"/>
  <c r="H192" i="10"/>
  <c r="J189" i="10"/>
  <c r="H188" i="10"/>
  <c r="J174" i="10"/>
  <c r="K192" i="10"/>
  <c r="J191" i="10"/>
  <c r="H190" i="10"/>
  <c r="K177" i="10"/>
  <c r="H167" i="10"/>
  <c r="H174" i="10"/>
  <c r="J188" i="10"/>
  <c r="K167" i="10"/>
  <c r="K174" i="10"/>
  <c r="H196" i="10"/>
  <c r="J192" i="10"/>
  <c r="H191" i="10"/>
  <c r="K189" i="10"/>
  <c r="J177" i="10"/>
  <c r="H168" i="10"/>
  <c r="J173" i="10"/>
  <c r="K168" i="10"/>
  <c r="J196" i="10"/>
  <c r="K190" i="10"/>
  <c r="H177" i="10"/>
  <c r="J167" i="10"/>
  <c r="K188" i="10"/>
  <c r="R12" i="2"/>
  <c r="R89" i="2"/>
  <c r="G66" i="2"/>
  <c r="G45" i="2"/>
  <c r="G18" i="2"/>
  <c r="G105" i="2"/>
  <c r="G77" i="2"/>
  <c r="Q40" i="2"/>
  <c r="Q52" i="2"/>
  <c r="Q91" i="2"/>
  <c r="Q116" i="2"/>
  <c r="Q54" i="2"/>
  <c r="Q112" i="2"/>
  <c r="Q104" i="2"/>
  <c r="Q103" i="2"/>
  <c r="Q60" i="2"/>
  <c r="Q115" i="2"/>
  <c r="Q124" i="2"/>
  <c r="Q50" i="2"/>
  <c r="Q10" i="2"/>
  <c r="Q78" i="2"/>
  <c r="Q13" i="2"/>
  <c r="Q41" i="2"/>
  <c r="Q23" i="2"/>
  <c r="Q70" i="2"/>
  <c r="Q72" i="2"/>
  <c r="Q131" i="2"/>
  <c r="Q126" i="2"/>
  <c r="Q71" i="2"/>
  <c r="Q132" i="2"/>
  <c r="Q24" i="2"/>
  <c r="Q42" i="2"/>
  <c r="Q43" i="2"/>
  <c r="Q84" i="2"/>
  <c r="Q85" i="2"/>
  <c r="Q86" i="2"/>
  <c r="Q44" i="2"/>
  <c r="Q66" i="2"/>
  <c r="Q45" i="2"/>
  <c r="Q18" i="2"/>
  <c r="Q105" i="2"/>
  <c r="Q77" i="2"/>
  <c r="G40" i="2"/>
  <c r="G52" i="2"/>
  <c r="G91" i="2"/>
  <c r="G116" i="2"/>
  <c r="G54" i="2"/>
  <c r="G112" i="2"/>
  <c r="G60" i="2"/>
  <c r="G115" i="2"/>
  <c r="G124" i="2"/>
  <c r="G50" i="2"/>
  <c r="G10" i="2"/>
  <c r="G78" i="2"/>
  <c r="G13" i="2"/>
  <c r="G41" i="2"/>
  <c r="G23" i="2"/>
  <c r="G70" i="2"/>
  <c r="G72" i="2"/>
  <c r="G131" i="2"/>
  <c r="G126" i="2"/>
  <c r="G71" i="2"/>
  <c r="G132" i="2"/>
  <c r="G24" i="2"/>
  <c r="G42" i="2"/>
  <c r="G43" i="2"/>
  <c r="G84" i="2"/>
  <c r="G85" i="2"/>
  <c r="G86" i="2"/>
  <c r="G44" i="2"/>
  <c r="G118" i="2"/>
  <c r="R118" i="2"/>
  <c r="R119" i="2"/>
  <c r="R22" i="2"/>
  <c r="R100" i="2"/>
  <c r="R128" i="2"/>
  <c r="R27" i="2"/>
  <c r="R110" i="2"/>
  <c r="R15" i="2"/>
  <c r="R19" i="2"/>
  <c r="R74" i="2"/>
  <c r="R30" i="2"/>
  <c r="R90" i="2"/>
  <c r="R31" i="2"/>
  <c r="R46" i="2"/>
  <c r="R127" i="2"/>
  <c r="R107" i="2"/>
  <c r="R111" i="2"/>
  <c r="R32" i="2"/>
  <c r="R47" i="2"/>
  <c r="R120" i="2"/>
  <c r="R73" i="2"/>
  <c r="R33" i="2"/>
  <c r="R81" i="2"/>
  <c r="R34" i="2"/>
  <c r="R48" i="2"/>
  <c r="R129" i="2"/>
  <c r="R49" i="2"/>
  <c r="R101" i="2"/>
  <c r="R108" i="2"/>
  <c r="R96" i="2"/>
  <c r="R51" i="2"/>
  <c r="R16" i="2"/>
  <c r="R25" i="2"/>
  <c r="R82" i="2"/>
  <c r="R11" i="2"/>
  <c r="R79" i="2"/>
  <c r="R14" i="2"/>
  <c r="R35" i="2"/>
  <c r="R122" i="2"/>
  <c r="R36" i="2"/>
  <c r="R83" i="2"/>
  <c r="R29" i="2"/>
  <c r="R113" i="2"/>
  <c r="R99" i="2"/>
  <c r="R9" i="2"/>
  <c r="R69" i="2"/>
  <c r="R97" i="2"/>
  <c r="Q12" i="2"/>
  <c r="Q89" i="2"/>
  <c r="R66" i="2"/>
  <c r="R45" i="2"/>
  <c r="R18" i="2"/>
  <c r="R105" i="2"/>
  <c r="R77" i="2"/>
  <c r="G119" i="2"/>
  <c r="G22" i="2"/>
  <c r="G100" i="2"/>
  <c r="G128" i="2"/>
  <c r="G27" i="2"/>
  <c r="G110" i="2"/>
  <c r="G15" i="2"/>
  <c r="G19" i="2"/>
  <c r="G74" i="2"/>
  <c r="G30" i="2"/>
  <c r="G90" i="2"/>
  <c r="G31" i="2"/>
  <c r="G46" i="2"/>
  <c r="G127" i="2"/>
  <c r="G107" i="2"/>
  <c r="G111" i="2"/>
  <c r="G32" i="2"/>
  <c r="G47" i="2"/>
  <c r="G120" i="2"/>
  <c r="G73" i="2"/>
  <c r="G33" i="2"/>
  <c r="G81" i="2"/>
  <c r="G34" i="2"/>
  <c r="G48" i="2"/>
  <c r="G129" i="2"/>
  <c r="G49" i="2"/>
  <c r="G101" i="2"/>
  <c r="G108" i="2"/>
  <c r="G96" i="2"/>
  <c r="G51" i="2"/>
  <c r="G16" i="2"/>
  <c r="G25" i="2"/>
  <c r="G82" i="2"/>
  <c r="G11" i="2"/>
  <c r="G79" i="2"/>
  <c r="G14" i="2"/>
  <c r="G35" i="2"/>
  <c r="G122" i="2"/>
  <c r="G36" i="2"/>
  <c r="G83" i="2"/>
  <c r="G29" i="2"/>
  <c r="G113" i="2"/>
  <c r="G99" i="2"/>
  <c r="G9" i="2"/>
  <c r="G69" i="2"/>
  <c r="G97" i="2"/>
  <c r="G123" i="2"/>
  <c r="G37" i="2"/>
  <c r="G38" i="2"/>
  <c r="G125" i="2"/>
  <c r="Q118" i="2"/>
  <c r="Q22" i="2"/>
  <c r="Q128" i="2"/>
  <c r="Q110" i="2"/>
  <c r="Q19" i="2"/>
  <c r="Q30" i="2"/>
  <c r="Q31" i="2"/>
  <c r="Q127" i="2"/>
  <c r="Q111" i="2"/>
  <c r="Q47" i="2"/>
  <c r="Q73" i="2"/>
  <c r="Q81" i="2"/>
  <c r="Q48" i="2"/>
  <c r="Q49" i="2"/>
  <c r="Q108" i="2"/>
  <c r="Q51" i="2"/>
  <c r="Q25" i="2"/>
  <c r="Q11" i="2"/>
  <c r="Q14" i="2"/>
  <c r="Q122" i="2"/>
  <c r="Q83" i="2"/>
  <c r="Q113" i="2"/>
  <c r="Q9" i="2"/>
  <c r="Q97" i="2"/>
  <c r="Q38" i="2"/>
  <c r="R125" i="2"/>
  <c r="G55" i="2"/>
  <c r="G56" i="2"/>
  <c r="G57" i="2"/>
  <c r="G58" i="2"/>
  <c r="G59" i="2"/>
  <c r="G20" i="2"/>
  <c r="G63" i="2"/>
  <c r="G64" i="2"/>
  <c r="G93" i="2"/>
  <c r="G117" i="2"/>
  <c r="G92" i="2"/>
  <c r="G95" i="2"/>
  <c r="G68" i="2"/>
  <c r="G102" i="2"/>
  <c r="G76" i="2"/>
  <c r="G26" i="2"/>
  <c r="G130" i="2"/>
  <c r="G98" i="2"/>
  <c r="G39" i="2"/>
  <c r="G61" i="2"/>
  <c r="G62" i="2"/>
  <c r="G67" i="2"/>
  <c r="G106" i="2"/>
  <c r="G94" i="2"/>
  <c r="G114" i="2"/>
  <c r="G21" i="2"/>
  <c r="G109" i="2"/>
  <c r="G75" i="2"/>
  <c r="G17" i="2"/>
  <c r="G80" i="2"/>
  <c r="G88" i="2"/>
  <c r="G65" i="2"/>
  <c r="G121" i="2"/>
  <c r="G28" i="2"/>
  <c r="Q59" i="2"/>
  <c r="Q64" i="2"/>
  <c r="Q92" i="2"/>
  <c r="Q102" i="2"/>
  <c r="Q130" i="2"/>
  <c r="Q39" i="2"/>
  <c r="Q62" i="2"/>
  <c r="Q87" i="2"/>
  <c r="Q106" i="2"/>
  <c r="G12" i="2"/>
  <c r="R52" i="2"/>
  <c r="R116" i="2"/>
  <c r="R112" i="2"/>
  <c r="R103" i="2"/>
  <c r="R115" i="2"/>
  <c r="R50" i="2"/>
  <c r="R78" i="2"/>
  <c r="R41" i="2"/>
  <c r="R70" i="2"/>
  <c r="R131" i="2"/>
  <c r="R71" i="2"/>
  <c r="R24" i="2"/>
  <c r="R43" i="2"/>
  <c r="R85" i="2"/>
  <c r="R44" i="2"/>
  <c r="Q37" i="2"/>
  <c r="R38" i="2"/>
  <c r="Q58" i="2"/>
  <c r="Q93" i="2"/>
  <c r="Q68" i="2"/>
  <c r="Q26" i="2"/>
  <c r="Q119" i="2"/>
  <c r="Q100" i="2"/>
  <c r="Q27" i="2"/>
  <c r="Q15" i="2"/>
  <c r="Q74" i="2"/>
  <c r="Q90" i="2"/>
  <c r="Q46" i="2"/>
  <c r="Q107" i="2"/>
  <c r="Q32" i="2"/>
  <c r="Q120" i="2"/>
  <c r="Q33" i="2"/>
  <c r="Q34" i="2"/>
  <c r="Q129" i="2"/>
  <c r="Q101" i="2"/>
  <c r="Q96" i="2"/>
  <c r="Q16" i="2"/>
  <c r="Q82" i="2"/>
  <c r="Q79" i="2"/>
  <c r="Q35" i="2"/>
  <c r="Q36" i="2"/>
  <c r="Q29" i="2"/>
  <c r="Q99" i="2"/>
  <c r="Q69" i="2"/>
  <c r="Q123" i="2"/>
  <c r="R37" i="2"/>
  <c r="Q53" i="2"/>
  <c r="Q55" i="2"/>
  <c r="Q56" i="2"/>
  <c r="Q57" i="2"/>
  <c r="Q20" i="2"/>
  <c r="Q63" i="2"/>
  <c r="Q117" i="2"/>
  <c r="Q95" i="2"/>
  <c r="Q76" i="2"/>
  <c r="Q98" i="2"/>
  <c r="Q61" i="2"/>
  <c r="Q67" i="2"/>
  <c r="Q94" i="2"/>
  <c r="R91" i="2"/>
  <c r="R124" i="2"/>
  <c r="R72" i="2"/>
  <c r="R84" i="2"/>
  <c r="R53" i="2"/>
  <c r="R56" i="2"/>
  <c r="R58" i="2"/>
  <c r="R20" i="2"/>
  <c r="R64" i="2"/>
  <c r="R117" i="2"/>
  <c r="R95" i="2"/>
  <c r="R102" i="2"/>
  <c r="R26" i="2"/>
  <c r="R98" i="2"/>
  <c r="R61" i="2"/>
  <c r="R67" i="2"/>
  <c r="R106" i="2"/>
  <c r="Q21" i="2"/>
  <c r="R109" i="2"/>
  <c r="Q17" i="2"/>
  <c r="R80" i="2"/>
  <c r="Q65" i="2"/>
  <c r="R121" i="2"/>
  <c r="Q121" i="2"/>
  <c r="R40" i="2"/>
  <c r="R60" i="2"/>
  <c r="R23" i="2"/>
  <c r="R42" i="2"/>
  <c r="R21" i="2"/>
  <c r="Q75" i="2"/>
  <c r="R17" i="2"/>
  <c r="R65" i="2"/>
  <c r="R76" i="2"/>
  <c r="R39" i="2"/>
  <c r="R87" i="2"/>
  <c r="Q114" i="2"/>
  <c r="Q88" i="2"/>
  <c r="Q28" i="2"/>
  <c r="R10" i="2"/>
  <c r="R86" i="2"/>
  <c r="R114" i="2"/>
  <c r="R88" i="2"/>
  <c r="G89" i="2"/>
  <c r="R104" i="2"/>
  <c r="R13" i="2"/>
  <c r="R132" i="2"/>
  <c r="R123" i="2"/>
  <c r="Q125" i="2"/>
  <c r="R55" i="2"/>
  <c r="R57" i="2"/>
  <c r="R59" i="2"/>
  <c r="R63" i="2"/>
  <c r="R93" i="2"/>
  <c r="R92" i="2"/>
  <c r="R68" i="2"/>
  <c r="R130" i="2"/>
  <c r="R62" i="2"/>
  <c r="R94" i="2"/>
  <c r="R75" i="2"/>
  <c r="R54" i="2"/>
  <c r="R126" i="2"/>
  <c r="Q109" i="2"/>
  <c r="Q80" i="2"/>
  <c r="R28" i="2"/>
  <c r="H167" i="2"/>
  <c r="J168" i="2"/>
  <c r="K156" i="2"/>
  <c r="H177" i="2"/>
  <c r="H168" i="2"/>
  <c r="J156" i="2"/>
  <c r="J177" i="2"/>
  <c r="H156" i="2"/>
  <c r="K170" i="2"/>
  <c r="K177" i="2"/>
  <c r="J170" i="2"/>
  <c r="K157" i="2"/>
  <c r="H170" i="2"/>
  <c r="J157" i="2"/>
  <c r="K165" i="2"/>
  <c r="H157" i="2"/>
  <c r="J165" i="2"/>
  <c r="K166" i="2"/>
  <c r="H165" i="2"/>
  <c r="J166" i="2"/>
  <c r="K167" i="2"/>
  <c r="H166" i="2"/>
  <c r="J167" i="2"/>
  <c r="K168" i="2"/>
  <c r="G127" i="20"/>
  <c r="Q156" i="20"/>
  <c r="R30" i="20"/>
  <c r="H229" i="20"/>
  <c r="J248" i="20"/>
  <c r="K227" i="20"/>
  <c r="H247" i="20"/>
  <c r="J256" i="20"/>
  <c r="J226" i="20"/>
  <c r="K225" i="20"/>
  <c r="G22" i="20"/>
  <c r="G103" i="20"/>
  <c r="G190" i="20"/>
  <c r="Q80" i="20"/>
  <c r="Q54" i="20"/>
  <c r="Q142" i="20"/>
  <c r="Q191" i="20"/>
  <c r="R22" i="20"/>
  <c r="R103" i="20"/>
  <c r="R190" i="20"/>
  <c r="R191" i="20"/>
  <c r="G43" i="20"/>
  <c r="H228" i="20"/>
  <c r="J221" i="20"/>
  <c r="G148" i="20"/>
  <c r="Q106" i="20"/>
  <c r="H256" i="20"/>
  <c r="G106" i="20"/>
  <c r="R106" i="20"/>
  <c r="G132" i="20"/>
  <c r="Q30" i="20"/>
  <c r="R139" i="20"/>
  <c r="H235" i="20"/>
  <c r="H252" i="20"/>
  <c r="J251" i="20"/>
  <c r="K228" i="20"/>
  <c r="H241" i="20"/>
  <c r="J247" i="20"/>
  <c r="K256" i="20"/>
  <c r="K226" i="20"/>
  <c r="G19" i="20"/>
  <c r="G104" i="20"/>
  <c r="G186" i="20"/>
  <c r="Q175" i="20"/>
  <c r="Q169" i="20"/>
  <c r="Q187" i="20"/>
  <c r="R19" i="20"/>
  <c r="R104" i="20"/>
  <c r="R186" i="20"/>
  <c r="R168" i="20"/>
  <c r="K252" i="20"/>
  <c r="K242" i="20"/>
  <c r="Q38" i="20"/>
  <c r="R148" i="20"/>
  <c r="J225" i="20"/>
  <c r="Q186" i="20"/>
  <c r="G156" i="20"/>
  <c r="Q139" i="20"/>
  <c r="R43" i="20"/>
  <c r="H236" i="20"/>
  <c r="H253" i="20"/>
  <c r="J229" i="20"/>
  <c r="K248" i="20"/>
  <c r="H234" i="20"/>
  <c r="J241" i="20"/>
  <c r="K247" i="20"/>
  <c r="G80" i="20"/>
  <c r="G54" i="20"/>
  <c r="G142" i="20"/>
  <c r="G191" i="20"/>
  <c r="Q87" i="20"/>
  <c r="Q70" i="20"/>
  <c r="Q168" i="20"/>
  <c r="R80" i="20"/>
  <c r="R54" i="20"/>
  <c r="R142" i="20"/>
  <c r="R70" i="20"/>
  <c r="H224" i="20"/>
  <c r="R13" i="20"/>
  <c r="K224" i="20"/>
  <c r="R173" i="20"/>
  <c r="G30" i="20"/>
  <c r="Q43" i="20"/>
  <c r="H243" i="20"/>
  <c r="J235" i="20"/>
  <c r="J252" i="20"/>
  <c r="K251" i="20"/>
  <c r="H242" i="20"/>
  <c r="J234" i="20"/>
  <c r="K241" i="20"/>
  <c r="G175" i="20"/>
  <c r="G169" i="20"/>
  <c r="G187" i="20"/>
  <c r="Q13" i="20"/>
  <c r="Q14" i="20"/>
  <c r="Q148" i="20"/>
  <c r="R175" i="20"/>
  <c r="R169" i="20"/>
  <c r="R187" i="20"/>
  <c r="K235" i="20"/>
  <c r="G13" i="20"/>
  <c r="Q173" i="20"/>
  <c r="K243" i="20"/>
  <c r="G173" i="20"/>
  <c r="Q19" i="20"/>
  <c r="G139" i="20"/>
  <c r="G122" i="20"/>
  <c r="H227" i="20"/>
  <c r="J236" i="20"/>
  <c r="J253" i="20"/>
  <c r="K229" i="20"/>
  <c r="H221" i="20"/>
  <c r="J242" i="20"/>
  <c r="K234" i="20"/>
  <c r="G87" i="20"/>
  <c r="G168" i="20"/>
  <c r="Q40" i="20"/>
  <c r="Q74" i="20"/>
  <c r="Q170" i="20"/>
  <c r="R87" i="20"/>
  <c r="R127" i="20"/>
  <c r="J243" i="20"/>
  <c r="G14" i="20"/>
  <c r="R14" i="20"/>
  <c r="G38" i="20"/>
  <c r="Q104" i="20"/>
  <c r="Q127" i="20"/>
  <c r="R132" i="20"/>
  <c r="Q122" i="20"/>
  <c r="H248" i="20"/>
  <c r="J227" i="20"/>
  <c r="K236" i="20"/>
  <c r="K253" i="20"/>
  <c r="H225" i="20"/>
  <c r="J224" i="20"/>
  <c r="K221" i="20"/>
  <c r="G40" i="20"/>
  <c r="G74" i="20"/>
  <c r="G170" i="20"/>
  <c r="Q22" i="20"/>
  <c r="Q103" i="20"/>
  <c r="Q190" i="20"/>
  <c r="R40" i="20"/>
  <c r="R74" i="20"/>
  <c r="R170" i="20"/>
  <c r="Q132" i="20"/>
  <c r="R156" i="20"/>
  <c r="R122" i="20"/>
  <c r="H251" i="20"/>
  <c r="J228" i="20"/>
  <c r="H226" i="20"/>
  <c r="R38" i="20"/>
  <c r="G198" i="20"/>
  <c r="G15" i="20"/>
  <c r="Q198" i="20"/>
  <c r="Q15" i="20"/>
  <c r="R198" i="20"/>
  <c r="R15" i="20"/>
  <c r="G182" i="20"/>
  <c r="Q182" i="20"/>
  <c r="R182" i="20"/>
  <c r="G73" i="22"/>
  <c r="Q73" i="22"/>
  <c r="G54" i="22"/>
  <c r="Q54" i="22"/>
  <c r="G61" i="22"/>
  <c r="Q61" i="22"/>
  <c r="G65" i="22"/>
  <c r="Q65" i="22"/>
  <c r="R73" i="22"/>
  <c r="R54" i="22"/>
  <c r="R61" i="22"/>
  <c r="R65" i="22"/>
  <c r="G35" i="22"/>
  <c r="Q35" i="22"/>
  <c r="G128" i="22"/>
  <c r="Q128" i="22"/>
  <c r="G129" i="22"/>
  <c r="Q129" i="22"/>
  <c r="Q151" i="22"/>
  <c r="Q98" i="22"/>
  <c r="G168" i="22"/>
  <c r="Q168" i="22"/>
  <c r="G151" i="22"/>
  <c r="G98" i="22"/>
  <c r="R98" i="22"/>
  <c r="R35" i="22"/>
  <c r="R128" i="22"/>
  <c r="R129" i="22"/>
  <c r="R168" i="22"/>
  <c r="R151" i="22"/>
  <c r="H259" i="22"/>
  <c r="H256" i="22"/>
  <c r="H262" i="22"/>
  <c r="H269" i="22"/>
  <c r="J270" i="22"/>
  <c r="J272" i="22"/>
  <c r="J264" i="22"/>
  <c r="K259" i="22"/>
  <c r="K256" i="22"/>
  <c r="K262" i="22"/>
  <c r="K269" i="22"/>
  <c r="H255" i="22"/>
  <c r="H266" i="22"/>
  <c r="H279" i="22"/>
  <c r="J265" i="22"/>
  <c r="J277" i="22"/>
  <c r="J271" i="22"/>
  <c r="J245" i="22"/>
  <c r="K255" i="22"/>
  <c r="K266" i="22"/>
  <c r="K279" i="22"/>
  <c r="K249" i="22"/>
  <c r="J261" i="22"/>
  <c r="H248" i="22"/>
  <c r="K268" i="22"/>
  <c r="J251" i="22"/>
  <c r="H250" i="22"/>
  <c r="R89" i="22"/>
  <c r="R69" i="22"/>
  <c r="R164" i="22"/>
  <c r="R154" i="22"/>
  <c r="R71" i="22"/>
  <c r="R186" i="22"/>
  <c r="R155" i="22"/>
  <c r="R40" i="22"/>
  <c r="R90" i="22"/>
  <c r="R165" i="22"/>
  <c r="R118" i="22"/>
  <c r="R15" i="22"/>
  <c r="R133" i="22"/>
  <c r="R189" i="22"/>
  <c r="R188" i="22"/>
  <c r="R14" i="22"/>
  <c r="R187" i="22"/>
  <c r="R100" i="22"/>
  <c r="R140" i="22"/>
  <c r="R125" i="22"/>
  <c r="R56" i="22"/>
  <c r="R110" i="22"/>
  <c r="R173" i="22"/>
  <c r="R144" i="22"/>
  <c r="R139" i="22"/>
  <c r="R197" i="22"/>
  <c r="R196" i="22"/>
  <c r="R172" i="22"/>
  <c r="R48" i="22"/>
  <c r="R28" i="22"/>
  <c r="R193" i="22"/>
  <c r="R36" i="22"/>
  <c r="R171" i="22"/>
  <c r="R47" i="22"/>
  <c r="R88" i="22"/>
  <c r="R66" i="22"/>
  <c r="H274" i="22"/>
  <c r="H258" i="22"/>
  <c r="H267" i="22"/>
  <c r="H276" i="22"/>
  <c r="J275" i="22"/>
  <c r="J260" i="22"/>
  <c r="J263" i="22"/>
  <c r="K274" i="22"/>
  <c r="K258" i="22"/>
  <c r="K267" i="22"/>
  <c r="K276" i="22"/>
  <c r="H281" i="22"/>
  <c r="H278" i="22"/>
  <c r="H244" i="22"/>
  <c r="J257" i="22"/>
  <c r="J273" i="22"/>
  <c r="J280" i="22"/>
  <c r="J246" i="22"/>
  <c r="K281" i="22"/>
  <c r="K278" i="22"/>
  <c r="K244" i="22"/>
  <c r="J249" i="22"/>
  <c r="H261" i="22"/>
  <c r="K247" i="22"/>
  <c r="J268" i="22"/>
  <c r="H251" i="22"/>
  <c r="K252" i="22"/>
  <c r="Q89" i="22"/>
  <c r="Q69" i="22"/>
  <c r="Q164" i="22"/>
  <c r="Q154" i="22"/>
  <c r="Q71" i="22"/>
  <c r="Q186" i="22"/>
  <c r="Q155" i="22"/>
  <c r="Q40" i="22"/>
  <c r="Q90" i="22"/>
  <c r="Q165" i="22"/>
  <c r="Q118" i="22"/>
  <c r="Q15" i="22"/>
  <c r="Q133" i="22"/>
  <c r="Q189" i="22"/>
  <c r="Q188" i="22"/>
  <c r="Q14" i="22"/>
  <c r="Q187" i="22"/>
  <c r="Q100" i="22"/>
  <c r="Q140" i="22"/>
  <c r="Q125" i="22"/>
  <c r="Q56" i="22"/>
  <c r="Q110" i="22"/>
  <c r="Q173" i="22"/>
  <c r="Q144" i="22"/>
  <c r="Q139" i="22"/>
  <c r="Q197" i="22"/>
  <c r="Q196" i="22"/>
  <c r="Q172" i="22"/>
  <c r="Q48" i="22"/>
  <c r="Q28" i="22"/>
  <c r="Q193" i="22"/>
  <c r="Q36" i="22"/>
  <c r="Q171" i="22"/>
  <c r="Q47" i="22"/>
  <c r="Q88" i="22"/>
  <c r="H270" i="22"/>
  <c r="H272" i="22"/>
  <c r="H264" i="22"/>
  <c r="J259" i="22"/>
  <c r="J256" i="22"/>
  <c r="J262" i="22"/>
  <c r="J269" i="22"/>
  <c r="K270" i="22"/>
  <c r="K272" i="22"/>
  <c r="K264" i="22"/>
  <c r="H265" i="22"/>
  <c r="H277" i="22"/>
  <c r="H271" i="22"/>
  <c r="H245" i="22"/>
  <c r="J255" i="22"/>
  <c r="J266" i="22"/>
  <c r="J279" i="22"/>
  <c r="K265" i="22"/>
  <c r="K277" i="22"/>
  <c r="K271" i="22"/>
  <c r="K245" i="22"/>
  <c r="H249" i="22"/>
  <c r="K248" i="22"/>
  <c r="J247" i="22"/>
  <c r="H268" i="22"/>
  <c r="K250" i="22"/>
  <c r="J252" i="22"/>
  <c r="H275" i="22"/>
  <c r="H260" i="22"/>
  <c r="H263" i="22"/>
  <c r="J274" i="22"/>
  <c r="J258" i="22"/>
  <c r="J267" i="22"/>
  <c r="J276" i="22"/>
  <c r="K275" i="22"/>
  <c r="K260" i="22"/>
  <c r="K263" i="22"/>
  <c r="H257" i="22"/>
  <c r="H273" i="22"/>
  <c r="H280" i="22"/>
  <c r="H246" i="22"/>
  <c r="J281" i="22"/>
  <c r="J278" i="22"/>
  <c r="J244" i="22"/>
  <c r="K257" i="22"/>
  <c r="K273" i="22"/>
  <c r="K280" i="22"/>
  <c r="K246" i="22"/>
  <c r="K261" i="22"/>
  <c r="J248" i="22"/>
  <c r="H247" i="22"/>
  <c r="K251" i="22"/>
  <c r="J250" i="22"/>
  <c r="H252" i="22"/>
  <c r="G89" i="22"/>
  <c r="G69" i="22"/>
  <c r="G164" i="22"/>
  <c r="G154" i="22"/>
  <c r="G71" i="22"/>
  <c r="G186" i="22"/>
  <c r="G155" i="22"/>
  <c r="G40" i="22"/>
  <c r="G90" i="22"/>
  <c r="G165" i="22"/>
  <c r="G118" i="22"/>
  <c r="G15" i="22"/>
  <c r="G133" i="22"/>
  <c r="G189" i="22"/>
  <c r="G188" i="22"/>
  <c r="G14" i="22"/>
  <c r="G187" i="22"/>
  <c r="G100" i="22"/>
  <c r="G140" i="22"/>
  <c r="G125" i="22"/>
  <c r="G56" i="22"/>
  <c r="G110" i="22"/>
  <c r="G173" i="22"/>
  <c r="G144" i="22"/>
  <c r="G139" i="22"/>
  <c r="G197" i="22"/>
  <c r="G196" i="22"/>
  <c r="G172" i="22"/>
  <c r="G48" i="22"/>
  <c r="G28" i="22"/>
  <c r="G193" i="22"/>
  <c r="G36" i="22"/>
  <c r="G171" i="22"/>
  <c r="G47" i="22"/>
  <c r="G88" i="22"/>
  <c r="G66" i="22"/>
  <c r="G185" i="22"/>
  <c r="G163" i="22"/>
  <c r="G192" i="22"/>
  <c r="G162" i="22"/>
  <c r="G170" i="22"/>
  <c r="G184" i="22"/>
  <c r="G183" i="22"/>
  <c r="G191" i="22"/>
  <c r="G181" i="22"/>
  <c r="G180" i="22"/>
  <c r="G179" i="22"/>
  <c r="G161" i="22"/>
  <c r="G178" i="22"/>
  <c r="G169" i="22"/>
  <c r="G160" i="22"/>
  <c r="G153" i="22"/>
  <c r="G152" i="22"/>
  <c r="G159" i="22"/>
  <c r="G158" i="22"/>
  <c r="G117" i="22"/>
  <c r="G167" i="22"/>
  <c r="G166" i="22"/>
  <c r="G99" i="22"/>
  <c r="G138" i="22"/>
  <c r="G150" i="22"/>
  <c r="G132" i="22"/>
  <c r="G131" i="22"/>
  <c r="G130" i="22"/>
  <c r="G116" i="22"/>
  <c r="G127" i="22"/>
  <c r="G124" i="22"/>
  <c r="G123" i="22"/>
  <c r="G122" i="22"/>
  <c r="G115" i="22"/>
  <c r="G97" i="22"/>
  <c r="G96" i="22"/>
  <c r="G95" i="22"/>
  <c r="G87" i="22"/>
  <c r="G114" i="22"/>
  <c r="G137" i="22"/>
  <c r="G113" i="22"/>
  <c r="G86" i="22"/>
  <c r="G85" i="22"/>
  <c r="G84" i="22"/>
  <c r="G83" i="22"/>
  <c r="G68" i="22"/>
  <c r="G82" i="22"/>
  <c r="G81" i="22"/>
  <c r="G126" i="22"/>
  <c r="G80" i="22"/>
  <c r="G79" i="22"/>
  <c r="G78" i="22"/>
  <c r="G112" i="22"/>
  <c r="G77" i="22"/>
  <c r="G94" i="22"/>
  <c r="G72" i="22"/>
  <c r="G67" i="22"/>
  <c r="G13" i="22"/>
  <c r="G136" i="22"/>
  <c r="G64" i="22"/>
  <c r="G63" i="22"/>
  <c r="G62" i="22"/>
  <c r="G60" i="22"/>
  <c r="G46" i="22"/>
  <c r="G55" i="22"/>
  <c r="G34" i="22"/>
  <c r="G53" i="22"/>
  <c r="G39" i="22"/>
  <c r="G33" i="22"/>
  <c r="G45" i="22"/>
  <c r="G38" i="22"/>
  <c r="G37" i="22"/>
  <c r="G26" i="22"/>
  <c r="G32" i="22"/>
  <c r="G25" i="22"/>
  <c r="G31" i="22"/>
  <c r="G24" i="22"/>
  <c r="G19" i="22"/>
  <c r="G12" i="22"/>
  <c r="R185" i="22"/>
  <c r="R163" i="22"/>
  <c r="R192" i="22"/>
  <c r="R162" i="22"/>
  <c r="R170" i="22"/>
  <c r="R184" i="22"/>
  <c r="R183" i="22"/>
  <c r="R182" i="22"/>
  <c r="R191" i="22"/>
  <c r="R181" i="22"/>
  <c r="R180" i="22"/>
  <c r="R179" i="22"/>
  <c r="R161" i="22"/>
  <c r="R178" i="22"/>
  <c r="R169" i="22"/>
  <c r="R160" i="22"/>
  <c r="R153" i="22"/>
  <c r="R152" i="22"/>
  <c r="R159" i="22"/>
  <c r="R158" i="22"/>
  <c r="R117" i="22"/>
  <c r="R167" i="22"/>
  <c r="R166" i="22"/>
  <c r="R99" i="22"/>
  <c r="R138" i="22"/>
  <c r="R150" i="22"/>
  <c r="R132" i="22"/>
  <c r="R131" i="22"/>
  <c r="R130" i="22"/>
  <c r="R116" i="22"/>
  <c r="R127" i="22"/>
  <c r="R124" i="22"/>
  <c r="R123" i="22"/>
  <c r="R122" i="22"/>
  <c r="R115" i="22"/>
  <c r="R97" i="22"/>
  <c r="R96" i="22"/>
  <c r="R95" i="22"/>
  <c r="R87" i="22"/>
  <c r="R114" i="22"/>
  <c r="R137" i="22"/>
  <c r="R113" i="22"/>
  <c r="R86" i="22"/>
  <c r="R27" i="22"/>
  <c r="R85" i="22"/>
  <c r="R84" i="22"/>
  <c r="R83" i="22"/>
  <c r="R68" i="22"/>
  <c r="R82" i="22"/>
  <c r="R81" i="22"/>
  <c r="R126" i="22"/>
  <c r="Q185" i="22"/>
  <c r="Q163" i="22"/>
  <c r="Q192" i="22"/>
  <c r="Q162" i="22"/>
  <c r="Q170" i="22"/>
  <c r="Q184" i="22"/>
  <c r="Q183" i="22"/>
  <c r="Q182" i="22"/>
  <c r="Q191" i="22"/>
  <c r="Q181" i="22"/>
  <c r="Q180" i="22"/>
  <c r="Q179" i="22"/>
  <c r="Q161" i="22"/>
  <c r="Q178" i="22"/>
  <c r="Q169" i="22"/>
  <c r="Q160" i="22"/>
  <c r="Q153" i="22"/>
  <c r="Q152" i="22"/>
  <c r="Q159" i="22"/>
  <c r="Q158" i="22"/>
  <c r="Q117" i="22"/>
  <c r="Q167" i="22"/>
  <c r="Q166" i="22"/>
  <c r="Q99" i="22"/>
  <c r="Q138" i="22"/>
  <c r="Q150" i="22"/>
  <c r="Q132" i="22"/>
  <c r="Q131" i="22"/>
  <c r="Q130" i="22"/>
  <c r="Q116" i="22"/>
  <c r="Q127" i="22"/>
  <c r="Q124" i="22"/>
  <c r="Q123" i="22"/>
  <c r="Q122" i="22"/>
  <c r="Q115" i="22"/>
  <c r="Q97" i="22"/>
  <c r="Q96" i="22"/>
  <c r="Q95" i="22"/>
  <c r="Q87" i="22"/>
  <c r="Q114" i="22"/>
  <c r="Q137" i="22"/>
  <c r="Q113" i="22"/>
  <c r="Q86" i="22"/>
  <c r="Q27" i="22"/>
  <c r="Q85" i="22"/>
  <c r="Q84" i="22"/>
  <c r="Q83" i="22"/>
  <c r="Q68" i="22"/>
  <c r="Q82" i="22"/>
  <c r="Q81" i="22"/>
  <c r="Q126" i="22"/>
  <c r="Q80" i="22"/>
  <c r="Q79" i="22"/>
  <c r="Q78" i="22"/>
  <c r="Q112" i="22"/>
  <c r="Q77" i="22"/>
  <c r="Q94" i="22"/>
  <c r="Q72" i="22"/>
  <c r="Q67" i="22"/>
  <c r="Q13" i="22"/>
  <c r="Q136" i="22"/>
  <c r="Q64" i="22"/>
  <c r="Q63" i="22"/>
  <c r="Q62" i="22"/>
  <c r="Q60" i="22"/>
  <c r="Q46" i="22"/>
  <c r="Q55" i="22"/>
  <c r="Q34" i="22"/>
  <c r="Q53" i="22"/>
  <c r="Q39" i="22"/>
  <c r="Q33" i="22"/>
  <c r="Q45" i="22"/>
  <c r="Q38" i="22"/>
  <c r="Q37" i="22"/>
  <c r="Q26" i="22"/>
  <c r="Q32" i="22"/>
  <c r="Q25" i="22"/>
  <c r="Q31" i="22"/>
  <c r="Q24" i="22"/>
  <c r="Q19" i="22"/>
  <c r="Q12" i="22"/>
  <c r="Q66" i="22"/>
  <c r="Q11" i="22"/>
  <c r="Q10" i="22"/>
  <c r="Q9" i="22"/>
  <c r="Q23" i="22"/>
  <c r="Q22" i="22"/>
  <c r="R112" i="22"/>
  <c r="R77" i="22"/>
  <c r="R13" i="22"/>
  <c r="R64" i="22"/>
  <c r="R62" i="22"/>
  <c r="R39" i="22"/>
  <c r="R25" i="22"/>
  <c r="R79" i="22"/>
  <c r="R34" i="22"/>
  <c r="R26" i="22"/>
  <c r="R12" i="22"/>
  <c r="G11" i="22"/>
  <c r="G10" i="22"/>
  <c r="R9" i="22"/>
  <c r="R22" i="22"/>
  <c r="R72" i="22"/>
  <c r="R46" i="22"/>
  <c r="R45" i="22"/>
  <c r="R38" i="22"/>
  <c r="R24" i="22"/>
  <c r="R80" i="22"/>
  <c r="R78" i="22"/>
  <c r="R94" i="22"/>
  <c r="R67" i="22"/>
  <c r="R136" i="22"/>
  <c r="R63" i="22"/>
  <c r="R60" i="22"/>
  <c r="R55" i="22"/>
  <c r="R53" i="22"/>
  <c r="R33" i="22"/>
  <c r="R37" i="22"/>
  <c r="R32" i="22"/>
  <c r="R31" i="22"/>
  <c r="R19" i="22"/>
  <c r="R11" i="22"/>
  <c r="R10" i="22"/>
  <c r="R23" i="22"/>
  <c r="G315" i="14"/>
  <c r="G316" i="14"/>
  <c r="G317" i="14"/>
  <c r="G333" i="14"/>
  <c r="G334" i="14"/>
  <c r="G340" i="14"/>
  <c r="G339" i="14"/>
  <c r="G314" i="14"/>
  <c r="G335" i="14"/>
  <c r="G336" i="14"/>
  <c r="G337" i="14"/>
  <c r="G338" i="14"/>
  <c r="R120" i="19"/>
  <c r="Q45" i="19"/>
  <c r="R45" i="19"/>
  <c r="G120" i="19"/>
  <c r="G148" i="19"/>
  <c r="Q148" i="19"/>
  <c r="G45" i="19"/>
  <c r="R148" i="19"/>
  <c r="H261" i="19"/>
  <c r="H253" i="19"/>
  <c r="K253" i="19"/>
  <c r="J254" i="19"/>
  <c r="G181" i="19"/>
  <c r="Q181" i="19"/>
  <c r="G54" i="19"/>
  <c r="Q54" i="19"/>
  <c r="G146" i="19"/>
  <c r="G63" i="19"/>
  <c r="G71" i="19"/>
  <c r="R179" i="19"/>
  <c r="R56" i="19"/>
  <c r="G134" i="19"/>
  <c r="Q115" i="19"/>
  <c r="Q41" i="19"/>
  <c r="R134" i="19"/>
  <c r="G125" i="19"/>
  <c r="G23" i="19"/>
  <c r="Q153" i="19"/>
  <c r="R75" i="19"/>
  <c r="G58" i="19"/>
  <c r="Q58" i="19"/>
  <c r="R51" i="19"/>
  <c r="R109" i="19"/>
  <c r="G110" i="19"/>
  <c r="Q110" i="19"/>
  <c r="R87" i="19"/>
  <c r="R144" i="19"/>
  <c r="G177" i="19"/>
  <c r="R158" i="19"/>
  <c r="R168" i="19"/>
  <c r="G48" i="19"/>
  <c r="Q48" i="19"/>
  <c r="R48" i="19"/>
  <c r="G13" i="19"/>
  <c r="R13" i="19"/>
  <c r="H262" i="19"/>
  <c r="K280" i="19"/>
  <c r="H265" i="19"/>
  <c r="J278" i="19"/>
  <c r="H269" i="19"/>
  <c r="K271" i="19"/>
  <c r="J260" i="19"/>
  <c r="K273" i="19"/>
  <c r="G106" i="19"/>
  <c r="G89" i="19"/>
  <c r="G138" i="19"/>
  <c r="G11" i="19"/>
  <c r="G72" i="19"/>
  <c r="G132" i="19"/>
  <c r="Q106" i="19"/>
  <c r="Q138" i="19"/>
  <c r="Q72" i="19"/>
  <c r="Q132" i="19"/>
  <c r="R28" i="19"/>
  <c r="R174" i="19"/>
  <c r="R78" i="19"/>
  <c r="R128" i="19"/>
  <c r="R170" i="19"/>
  <c r="R141" i="19"/>
  <c r="G149" i="19"/>
  <c r="G119" i="19"/>
  <c r="G127" i="19"/>
  <c r="G62" i="19"/>
  <c r="G77" i="19"/>
  <c r="Q137" i="19"/>
  <c r="Q117" i="19"/>
  <c r="Q21" i="19"/>
  <c r="Q19" i="19"/>
  <c r="Q76" i="19"/>
  <c r="R136" i="19"/>
  <c r="R92" i="19"/>
  <c r="R84" i="19"/>
  <c r="R66" i="19"/>
  <c r="J261" i="19"/>
  <c r="H266" i="19"/>
  <c r="K266" i="19"/>
  <c r="J276" i="19"/>
  <c r="H277" i="19"/>
  <c r="K277" i="19"/>
  <c r="G183" i="19"/>
  <c r="Q183" i="19"/>
  <c r="G55" i="19"/>
  <c r="Q55" i="19"/>
  <c r="Q146" i="19"/>
  <c r="G179" i="19"/>
  <c r="G56" i="19"/>
  <c r="Q63" i="19"/>
  <c r="Q71" i="19"/>
  <c r="R166" i="19"/>
  <c r="G33" i="19"/>
  <c r="G85" i="19"/>
  <c r="Q126" i="19"/>
  <c r="R33" i="19"/>
  <c r="R85" i="19"/>
  <c r="G153" i="19"/>
  <c r="Q154" i="19"/>
  <c r="R125" i="19"/>
  <c r="R23" i="19"/>
  <c r="G73" i="19"/>
  <c r="Q73" i="19"/>
  <c r="R59" i="19"/>
  <c r="R112" i="19"/>
  <c r="G142" i="19"/>
  <c r="Q142" i="19"/>
  <c r="R65" i="19"/>
  <c r="R157" i="19"/>
  <c r="G172" i="19"/>
  <c r="Q172" i="19"/>
  <c r="R156" i="19"/>
  <c r="R18" i="19"/>
  <c r="G49" i="19"/>
  <c r="Q49" i="19"/>
  <c r="R49" i="19"/>
  <c r="J280" i="19"/>
  <c r="K279" i="19"/>
  <c r="H278" i="19"/>
  <c r="K264" i="19"/>
  <c r="H258" i="19"/>
  <c r="J271" i="19"/>
  <c r="H260" i="19"/>
  <c r="J273" i="19"/>
  <c r="K256" i="19"/>
  <c r="G28" i="19"/>
  <c r="G174" i="19"/>
  <c r="G78" i="19"/>
  <c r="G128" i="19"/>
  <c r="G170" i="19"/>
  <c r="G141" i="19"/>
  <c r="Q174" i="19"/>
  <c r="Q78" i="19"/>
  <c r="Q170" i="19"/>
  <c r="Q141" i="19"/>
  <c r="R32" i="19"/>
  <c r="R121" i="19"/>
  <c r="R36" i="19"/>
  <c r="R57" i="19"/>
  <c r="R145" i="19"/>
  <c r="R152" i="19"/>
  <c r="G118" i="19"/>
  <c r="G131" i="19"/>
  <c r="G67" i="19"/>
  <c r="G47" i="19"/>
  <c r="G16" i="19"/>
  <c r="Q136" i="19"/>
  <c r="Q92" i="19"/>
  <c r="Q84" i="19"/>
  <c r="Q60" i="19"/>
  <c r="Q40" i="19"/>
  <c r="R149" i="19"/>
  <c r="R119" i="19"/>
  <c r="R127" i="19"/>
  <c r="R62" i="19"/>
  <c r="K261" i="19"/>
  <c r="H275" i="19"/>
  <c r="K275" i="19"/>
  <c r="J253" i="19"/>
  <c r="H254" i="19"/>
  <c r="K254" i="19"/>
  <c r="R181" i="19"/>
  <c r="R54" i="19"/>
  <c r="G166" i="19"/>
  <c r="Q179" i="19"/>
  <c r="Q56" i="19"/>
  <c r="G115" i="19"/>
  <c r="G41" i="19"/>
  <c r="R115" i="19"/>
  <c r="R41" i="19"/>
  <c r="G154" i="19"/>
  <c r="Q75" i="19"/>
  <c r="R153" i="19"/>
  <c r="G51" i="19"/>
  <c r="G109" i="19"/>
  <c r="Q51" i="19"/>
  <c r="Q109" i="19"/>
  <c r="R58" i="19"/>
  <c r="G87" i="19"/>
  <c r="G144" i="19"/>
  <c r="Q144" i="19"/>
  <c r="R110" i="19"/>
  <c r="G158" i="19"/>
  <c r="G168" i="19"/>
  <c r="Q158" i="19"/>
  <c r="Q168" i="19"/>
  <c r="R177" i="19"/>
  <c r="G34" i="19"/>
  <c r="R34" i="19"/>
  <c r="G17" i="19"/>
  <c r="Q17" i="19"/>
  <c r="R17" i="19"/>
  <c r="H280" i="19"/>
  <c r="J279" i="19"/>
  <c r="K262" i="19"/>
  <c r="J264" i="19"/>
  <c r="K265" i="19"/>
  <c r="H271" i="19"/>
  <c r="K269" i="19"/>
  <c r="H273" i="19"/>
  <c r="J256" i="19"/>
  <c r="G32" i="19"/>
  <c r="G121" i="19"/>
  <c r="G36" i="19"/>
  <c r="G57" i="19"/>
  <c r="G145" i="19"/>
  <c r="G152" i="19"/>
  <c r="Q36" i="19"/>
  <c r="Q57" i="19"/>
  <c r="Q145" i="19"/>
  <c r="R178" i="19"/>
  <c r="R88" i="19"/>
  <c r="R35" i="19"/>
  <c r="R139" i="19"/>
  <c r="R80" i="19"/>
  <c r="G137" i="19"/>
  <c r="G117" i="19"/>
  <c r="G37" i="19"/>
  <c r="G21" i="19"/>
  <c r="G19" i="19"/>
  <c r="G76" i="19"/>
  <c r="Q149" i="19"/>
  <c r="Q127" i="19"/>
  <c r="Q62" i="19"/>
  <c r="H276" i="19"/>
  <c r="K276" i="19"/>
  <c r="J277" i="19"/>
  <c r="R183" i="19"/>
  <c r="R55" i="19"/>
  <c r="R146" i="19"/>
  <c r="Q166" i="19"/>
  <c r="R63" i="19"/>
  <c r="R71" i="19"/>
  <c r="G126" i="19"/>
  <c r="Q33" i="19"/>
  <c r="R126" i="19"/>
  <c r="G75" i="19"/>
  <c r="Q125" i="19"/>
  <c r="Q23" i="19"/>
  <c r="R154" i="19"/>
  <c r="G59" i="19"/>
  <c r="G112" i="19"/>
  <c r="Q112" i="19"/>
  <c r="R73" i="19"/>
  <c r="G65" i="19"/>
  <c r="G157" i="19"/>
  <c r="Q157" i="19"/>
  <c r="R142" i="19"/>
  <c r="G156" i="19"/>
  <c r="G18" i="19"/>
  <c r="Q156" i="19"/>
  <c r="Q18" i="19"/>
  <c r="R172" i="19"/>
  <c r="G25" i="19"/>
  <c r="R25" i="19"/>
  <c r="H279" i="19"/>
  <c r="H264" i="19"/>
  <c r="K278" i="19"/>
  <c r="J269" i="19"/>
  <c r="K258" i="19"/>
  <c r="H256" i="19"/>
  <c r="K260" i="19"/>
  <c r="G178" i="19"/>
  <c r="G88" i="19"/>
  <c r="G35" i="19"/>
  <c r="G139" i="19"/>
  <c r="G80" i="19"/>
  <c r="Q35" i="19"/>
  <c r="Q139" i="19"/>
  <c r="Q80" i="19"/>
  <c r="R106" i="19"/>
  <c r="R89" i="19"/>
  <c r="R138" i="19"/>
  <c r="R11" i="19"/>
  <c r="R72" i="19"/>
  <c r="R132" i="19"/>
  <c r="G136" i="19"/>
  <c r="G92" i="19"/>
  <c r="G84" i="19"/>
  <c r="G66" i="19"/>
  <c r="G60" i="19"/>
  <c r="G40" i="19"/>
  <c r="Q131" i="19"/>
  <c r="Q67" i="19"/>
  <c r="Q47" i="19"/>
  <c r="Q16" i="19"/>
  <c r="R137" i="19"/>
  <c r="R117" i="19"/>
  <c r="R37" i="19"/>
  <c r="R19" i="19"/>
  <c r="R40" i="19"/>
  <c r="Q173" i="19"/>
  <c r="R160" i="19"/>
  <c r="R187" i="19"/>
  <c r="Q77" i="19"/>
  <c r="R67" i="19"/>
  <c r="R60" i="19"/>
  <c r="R77" i="19"/>
  <c r="R173" i="19"/>
  <c r="G187" i="19"/>
  <c r="R118" i="19"/>
  <c r="R21" i="19"/>
  <c r="R16" i="19"/>
  <c r="G173" i="19"/>
  <c r="G160" i="19"/>
  <c r="R131" i="19"/>
  <c r="R47" i="19"/>
  <c r="R76" i="19"/>
  <c r="Q160" i="19"/>
  <c r="Q187" i="19"/>
  <c r="G94" i="19"/>
  <c r="G39" i="19"/>
  <c r="G184" i="19"/>
  <c r="G165" i="19"/>
  <c r="G64" i="19"/>
  <c r="Q24" i="19"/>
  <c r="Q69" i="19"/>
  <c r="Q27" i="19"/>
  <c r="Q122" i="19"/>
  <c r="R43" i="19"/>
  <c r="R10" i="19"/>
  <c r="R12" i="19"/>
  <c r="R44" i="19"/>
  <c r="R150" i="19"/>
  <c r="R98" i="19"/>
  <c r="G124" i="19"/>
  <c r="G155" i="19"/>
  <c r="Q79" i="19"/>
  <c r="Q167" i="19"/>
  <c r="R86" i="19"/>
  <c r="R164" i="19"/>
  <c r="R186" i="19"/>
  <c r="G111" i="19"/>
  <c r="G151" i="19"/>
  <c r="Q91" i="19"/>
  <c r="Q135" i="19"/>
  <c r="R169" i="19"/>
  <c r="R42" i="19"/>
  <c r="R133" i="19"/>
  <c r="G83" i="19"/>
  <c r="G61" i="19"/>
  <c r="Q95" i="19"/>
  <c r="Q74" i="19"/>
  <c r="R96" i="19"/>
  <c r="R52" i="19"/>
  <c r="R22" i="19"/>
  <c r="R29" i="19"/>
  <c r="Q29" i="19"/>
  <c r="G43" i="19"/>
  <c r="G10" i="19"/>
  <c r="G12" i="19"/>
  <c r="G44" i="19"/>
  <c r="G150" i="19"/>
  <c r="G98" i="19"/>
  <c r="Q39" i="19"/>
  <c r="Q184" i="19"/>
  <c r="Q165" i="19"/>
  <c r="R180" i="19"/>
  <c r="R68" i="19"/>
  <c r="R123" i="19"/>
  <c r="R147" i="19"/>
  <c r="R185" i="19"/>
  <c r="G129" i="19"/>
  <c r="G186" i="19"/>
  <c r="Q124" i="19"/>
  <c r="Q94" i="19"/>
  <c r="R79" i="19"/>
  <c r="R167" i="19"/>
  <c r="G169" i="19"/>
  <c r="G42" i="19"/>
  <c r="G133" i="19"/>
  <c r="Q163" i="19"/>
  <c r="Q53" i="19"/>
  <c r="R91" i="19"/>
  <c r="R135" i="19"/>
  <c r="G96" i="19"/>
  <c r="G52" i="19"/>
  <c r="Q93" i="19"/>
  <c r="Q82" i="19"/>
  <c r="R95" i="19"/>
  <c r="R74" i="19"/>
  <c r="G180" i="19"/>
  <c r="G68" i="19"/>
  <c r="G123" i="19"/>
  <c r="G147" i="19"/>
  <c r="G185" i="19"/>
  <c r="Q43" i="19"/>
  <c r="Q10" i="19"/>
  <c r="Q44" i="19"/>
  <c r="Q150" i="19"/>
  <c r="Q98" i="19"/>
  <c r="R171" i="19"/>
  <c r="R24" i="19"/>
  <c r="R69" i="19"/>
  <c r="R27" i="19"/>
  <c r="R122" i="19"/>
  <c r="G86" i="19"/>
  <c r="G164" i="19"/>
  <c r="Q129" i="19"/>
  <c r="Q155" i="19"/>
  <c r="R124" i="19"/>
  <c r="R94" i="19"/>
  <c r="G91" i="19"/>
  <c r="G135" i="19"/>
  <c r="Q111" i="19"/>
  <c r="Q151" i="19"/>
  <c r="R163" i="19"/>
  <c r="R53" i="19"/>
  <c r="G95" i="19"/>
  <c r="G74" i="19"/>
  <c r="Q83" i="19"/>
  <c r="Q61" i="19"/>
  <c r="R93" i="19"/>
  <c r="R82" i="19"/>
  <c r="R31" i="19"/>
  <c r="G182" i="19"/>
  <c r="R14" i="19"/>
  <c r="Q14" i="19"/>
  <c r="G171" i="19"/>
  <c r="G24" i="19"/>
  <c r="G69" i="19"/>
  <c r="G27" i="19"/>
  <c r="G122" i="19"/>
  <c r="Q180" i="19"/>
  <c r="Q68" i="19"/>
  <c r="Q123" i="19"/>
  <c r="Q147" i="19"/>
  <c r="Q185" i="19"/>
  <c r="R39" i="19"/>
  <c r="R184" i="19"/>
  <c r="R165" i="19"/>
  <c r="R64" i="19"/>
  <c r="G79" i="19"/>
  <c r="G167" i="19"/>
  <c r="Q164" i="19"/>
  <c r="Q186" i="19"/>
  <c r="R129" i="19"/>
  <c r="R155" i="19"/>
  <c r="G163" i="19"/>
  <c r="G53" i="19"/>
  <c r="Q169" i="19"/>
  <c r="Q133" i="19"/>
  <c r="R111" i="19"/>
  <c r="R151" i="19"/>
  <c r="G93" i="19"/>
  <c r="G82" i="19"/>
  <c r="Q96" i="19"/>
  <c r="Q52" i="19"/>
  <c r="R83" i="19"/>
  <c r="R61" i="19"/>
  <c r="G22" i="19"/>
  <c r="Q31" i="19"/>
  <c r="G29" i="19"/>
  <c r="R182" i="19"/>
  <c r="G14" i="19"/>
  <c r="G81" i="18"/>
  <c r="G68" i="18"/>
  <c r="G92" i="18"/>
  <c r="G26" i="18"/>
  <c r="G138" i="18"/>
  <c r="G15" i="18"/>
  <c r="R87" i="18"/>
  <c r="R168" i="18"/>
  <c r="R138" i="18"/>
  <c r="Q168" i="18"/>
  <c r="K235" i="18"/>
  <c r="H234" i="18"/>
  <c r="G87" i="18"/>
  <c r="G168" i="18"/>
  <c r="H235" i="18"/>
  <c r="R15" i="18"/>
  <c r="Q81" i="18"/>
  <c r="Q68" i="18"/>
  <c r="Q92" i="18"/>
  <c r="Q138" i="18"/>
  <c r="J234" i="18"/>
  <c r="J235" i="18"/>
  <c r="R26" i="18"/>
  <c r="K234" i="18"/>
  <c r="Q87" i="18"/>
  <c r="R81" i="18"/>
  <c r="R68" i="18"/>
  <c r="R92" i="18"/>
  <c r="G141" i="18"/>
  <c r="Q197" i="18"/>
  <c r="R141" i="18"/>
  <c r="R180" i="18"/>
  <c r="R179" i="18"/>
  <c r="G69" i="18"/>
  <c r="G125" i="18"/>
  <c r="H260" i="18"/>
  <c r="H253" i="18"/>
  <c r="H261" i="18"/>
  <c r="J258" i="18"/>
  <c r="J269" i="18"/>
  <c r="J249" i="18"/>
  <c r="J262" i="18"/>
  <c r="K268" i="18"/>
  <c r="K248" i="18"/>
  <c r="K272" i="18"/>
  <c r="H265" i="18"/>
  <c r="K263" i="18"/>
  <c r="H267" i="18"/>
  <c r="J246" i="18"/>
  <c r="H226" i="18"/>
  <c r="J227" i="18"/>
  <c r="K228" i="18"/>
  <c r="J229" i="18"/>
  <c r="K230" i="18"/>
  <c r="K232" i="18"/>
  <c r="G164" i="18"/>
  <c r="G99" i="18"/>
  <c r="G181" i="18"/>
  <c r="G11" i="18"/>
  <c r="G126" i="18"/>
  <c r="G166" i="18"/>
  <c r="G128" i="18"/>
  <c r="G148" i="18"/>
  <c r="G183" i="18"/>
  <c r="G20" i="18"/>
  <c r="G163" i="18"/>
  <c r="G200" i="18"/>
  <c r="G91" i="18"/>
  <c r="G30" i="18"/>
  <c r="G152" i="18"/>
  <c r="G34" i="18"/>
  <c r="G38" i="18"/>
  <c r="G159" i="18"/>
  <c r="G107" i="18"/>
  <c r="G70" i="18"/>
  <c r="G84" i="18"/>
  <c r="G40" i="18"/>
  <c r="Q165" i="18"/>
  <c r="Q195" i="18"/>
  <c r="Q135" i="18"/>
  <c r="Q66" i="18"/>
  <c r="Q127" i="18"/>
  <c r="Q203" i="18"/>
  <c r="Q100" i="18"/>
  <c r="Q184" i="18"/>
  <c r="Q88" i="18"/>
  <c r="Q137" i="18"/>
  <c r="Q187" i="18"/>
  <c r="Q170" i="18"/>
  <c r="Q139" i="18"/>
  <c r="Q110" i="18"/>
  <c r="R164" i="18"/>
  <c r="R99" i="18"/>
  <c r="R181" i="18"/>
  <c r="R11" i="18"/>
  <c r="R126" i="18"/>
  <c r="R166" i="18"/>
  <c r="R128" i="18"/>
  <c r="G197" i="18"/>
  <c r="Q186" i="18"/>
  <c r="R197" i="18"/>
  <c r="G180" i="18"/>
  <c r="G179" i="18"/>
  <c r="H259" i="18"/>
  <c r="H247" i="18"/>
  <c r="H252" i="18"/>
  <c r="J260" i="18"/>
  <c r="J253" i="18"/>
  <c r="J261" i="18"/>
  <c r="K258" i="18"/>
  <c r="K269" i="18"/>
  <c r="K249" i="18"/>
  <c r="K262" i="18"/>
  <c r="J263" i="18"/>
  <c r="K264" i="18"/>
  <c r="G186" i="18"/>
  <c r="Q173" i="18"/>
  <c r="R186" i="18"/>
  <c r="Q69" i="18"/>
  <c r="Q125" i="18"/>
  <c r="H268" i="18"/>
  <c r="H248" i="18"/>
  <c r="H272" i="18"/>
  <c r="J259" i="18"/>
  <c r="J247" i="18"/>
  <c r="J252" i="18"/>
  <c r="K260" i="18"/>
  <c r="K253" i="18"/>
  <c r="K261" i="18"/>
  <c r="H263" i="18"/>
  <c r="J264" i="18"/>
  <c r="K265" i="18"/>
  <c r="J266" i="18"/>
  <c r="K267" i="18"/>
  <c r="H228" i="18"/>
  <c r="K226" i="18"/>
  <c r="H230" i="18"/>
  <c r="J231" i="18"/>
  <c r="H232" i="18"/>
  <c r="J233" i="18"/>
  <c r="G65" i="18"/>
  <c r="G196" i="18"/>
  <c r="G177" i="18"/>
  <c r="G146" i="18"/>
  <c r="G182" i="18"/>
  <c r="G13" i="18"/>
  <c r="G147" i="18"/>
  <c r="G149" i="18"/>
  <c r="G17" i="18"/>
  <c r="G22" i="18"/>
  <c r="G25" i="18"/>
  <c r="G27" i="18"/>
  <c r="G150" i="18"/>
  <c r="G31" i="18"/>
  <c r="G104" i="18"/>
  <c r="G36" i="18"/>
  <c r="G154" i="18"/>
  <c r="G105" i="18"/>
  <c r="G171" i="18"/>
  <c r="G155" i="18"/>
  <c r="G140" i="18"/>
  <c r="Q86" i="18"/>
  <c r="Q144" i="18"/>
  <c r="Q124" i="18"/>
  <c r="Q136" i="18"/>
  <c r="Q131" i="18"/>
  <c r="Q198" i="18"/>
  <c r="Q167" i="18"/>
  <c r="Q67" i="18"/>
  <c r="Q103" i="18"/>
  <c r="Q151" i="18"/>
  <c r="Q98" i="18"/>
  <c r="Q106" i="18"/>
  <c r="Q108" i="18"/>
  <c r="Q109" i="18"/>
  <c r="Q111" i="18"/>
  <c r="R65" i="18"/>
  <c r="R196" i="18"/>
  <c r="R125" i="18"/>
  <c r="H262" i="18"/>
  <c r="K259" i="18"/>
  <c r="J265" i="18"/>
  <c r="K266" i="18"/>
  <c r="J228" i="18"/>
  <c r="J230" i="18"/>
  <c r="J232" i="18"/>
  <c r="G165" i="18"/>
  <c r="G135" i="18"/>
  <c r="G127" i="18"/>
  <c r="G203" i="18"/>
  <c r="G16" i="18"/>
  <c r="G24" i="18"/>
  <c r="G28" i="18"/>
  <c r="G32" i="18"/>
  <c r="G39" i="18"/>
  <c r="G170" i="18"/>
  <c r="G110" i="18"/>
  <c r="Q164" i="18"/>
  <c r="Q181" i="18"/>
  <c r="Q126" i="18"/>
  <c r="Q128" i="18"/>
  <c r="Q183" i="18"/>
  <c r="Q163" i="18"/>
  <c r="Q91" i="18"/>
  <c r="Q152" i="18"/>
  <c r="Q107" i="18"/>
  <c r="Q84" i="18"/>
  <c r="R86" i="18"/>
  <c r="R177" i="18"/>
  <c r="R124" i="18"/>
  <c r="R12" i="18"/>
  <c r="R147" i="18"/>
  <c r="R149" i="18"/>
  <c r="R17" i="18"/>
  <c r="R22" i="18"/>
  <c r="R25" i="18"/>
  <c r="R27" i="18"/>
  <c r="R150" i="18"/>
  <c r="R31" i="18"/>
  <c r="R104" i="18"/>
  <c r="R36" i="18"/>
  <c r="R154" i="18"/>
  <c r="R105" i="18"/>
  <c r="R171" i="18"/>
  <c r="R155" i="18"/>
  <c r="R140" i="18"/>
  <c r="G201" i="18"/>
  <c r="G43" i="18"/>
  <c r="G83" i="18"/>
  <c r="G95" i="18"/>
  <c r="G189" i="18"/>
  <c r="G143" i="18"/>
  <c r="G49" i="18"/>
  <c r="G118" i="18"/>
  <c r="G52" i="18"/>
  <c r="G21" i="18"/>
  <c r="G185" i="18"/>
  <c r="G18" i="18"/>
  <c r="Q112" i="18"/>
  <c r="Q93" i="18"/>
  <c r="Q89" i="18"/>
  <c r="Q113" i="18"/>
  <c r="Q202" i="18"/>
  <c r="Q161" i="18"/>
  <c r="Q116" i="18"/>
  <c r="Q162" i="18"/>
  <c r="Q101" i="18"/>
  <c r="Q141" i="18"/>
  <c r="Q180" i="18"/>
  <c r="Q179" i="18"/>
  <c r="H258" i="18"/>
  <c r="J268" i="18"/>
  <c r="K247" i="18"/>
  <c r="H266" i="18"/>
  <c r="K246" i="18"/>
  <c r="K227" i="18"/>
  <c r="K229" i="18"/>
  <c r="G86" i="18"/>
  <c r="G9" i="18"/>
  <c r="G136" i="18"/>
  <c r="G131" i="18"/>
  <c r="G167" i="18"/>
  <c r="G67" i="18"/>
  <c r="G29" i="18"/>
  <c r="G33" i="18"/>
  <c r="G98" i="18"/>
  <c r="G108" i="18"/>
  <c r="G111" i="18"/>
  <c r="Q65" i="18"/>
  <c r="Q177" i="18"/>
  <c r="Q182" i="18"/>
  <c r="Q147" i="18"/>
  <c r="Q150" i="18"/>
  <c r="Q104" i="18"/>
  <c r="Q154" i="18"/>
  <c r="Q171" i="18"/>
  <c r="Q140" i="18"/>
  <c r="R195" i="18"/>
  <c r="R9" i="18"/>
  <c r="R127" i="18"/>
  <c r="R13" i="18"/>
  <c r="R131" i="18"/>
  <c r="R198" i="18"/>
  <c r="R167" i="18"/>
  <c r="R23" i="18"/>
  <c r="R67" i="18"/>
  <c r="R103" i="18"/>
  <c r="R29" i="18"/>
  <c r="R151" i="18"/>
  <c r="R33" i="18"/>
  <c r="R37" i="18"/>
  <c r="R98" i="18"/>
  <c r="R106" i="18"/>
  <c r="R108" i="18"/>
  <c r="R109" i="18"/>
  <c r="R111" i="18"/>
  <c r="G112" i="18"/>
  <c r="G93" i="18"/>
  <c r="G89" i="18"/>
  <c r="G113" i="18"/>
  <c r="G202" i="18"/>
  <c r="G161" i="18"/>
  <c r="G116" i="18"/>
  <c r="G50" i="18"/>
  <c r="G162" i="18"/>
  <c r="G101" i="18"/>
  <c r="G173" i="18"/>
  <c r="R69" i="18"/>
  <c r="H269" i="18"/>
  <c r="J248" i="18"/>
  <c r="K252" i="18"/>
  <c r="H246" i="18"/>
  <c r="H227" i="18"/>
  <c r="H229" i="18"/>
  <c r="K231" i="18"/>
  <c r="K233" i="18"/>
  <c r="G195" i="18"/>
  <c r="G66" i="18"/>
  <c r="G12" i="18"/>
  <c r="G100" i="18"/>
  <c r="G184" i="18"/>
  <c r="G88" i="18"/>
  <c r="G137" i="18"/>
  <c r="G35" i="18"/>
  <c r="G187" i="18"/>
  <c r="G139" i="18"/>
  <c r="Q99" i="18"/>
  <c r="Q166" i="18"/>
  <c r="Q148" i="18"/>
  <c r="Q200" i="18"/>
  <c r="Q159" i="18"/>
  <c r="Q70" i="18"/>
  <c r="R144" i="18"/>
  <c r="R66" i="18"/>
  <c r="R182" i="18"/>
  <c r="R14" i="18"/>
  <c r="R148" i="18"/>
  <c r="R183" i="18"/>
  <c r="R20" i="18"/>
  <c r="R163" i="18"/>
  <c r="R200" i="18"/>
  <c r="R91" i="18"/>
  <c r="R30" i="18"/>
  <c r="R152" i="18"/>
  <c r="R34" i="18"/>
  <c r="R38" i="18"/>
  <c r="R159" i="18"/>
  <c r="R107" i="18"/>
  <c r="R70" i="18"/>
  <c r="R84" i="18"/>
  <c r="R40" i="18"/>
  <c r="G160" i="18"/>
  <c r="G45" i="18"/>
  <c r="G142" i="18"/>
  <c r="G114" i="18"/>
  <c r="G47" i="18"/>
  <c r="G48" i="18"/>
  <c r="G172" i="18"/>
  <c r="G119" i="18"/>
  <c r="G10" i="18"/>
  <c r="G199" i="18"/>
  <c r="G44" i="18"/>
  <c r="Q94" i="18"/>
  <c r="Q188" i="18"/>
  <c r="Q115" i="18"/>
  <c r="Q156" i="18"/>
  <c r="Q117" i="18"/>
  <c r="Q145" i="18"/>
  <c r="Q102" i="18"/>
  <c r="J267" i="18"/>
  <c r="G14" i="18"/>
  <c r="G151" i="18"/>
  <c r="R165" i="18"/>
  <c r="R203" i="18"/>
  <c r="R24" i="18"/>
  <c r="R32" i="18"/>
  <c r="R170" i="18"/>
  <c r="G42" i="18"/>
  <c r="G115" i="18"/>
  <c r="G145" i="18"/>
  <c r="G190" i="18"/>
  <c r="Q95" i="18"/>
  <c r="Q143" i="18"/>
  <c r="Q118" i="18"/>
  <c r="R41" i="18"/>
  <c r="R42" i="18"/>
  <c r="R46" i="18"/>
  <c r="R94" i="18"/>
  <c r="R188" i="18"/>
  <c r="R115" i="18"/>
  <c r="R156" i="18"/>
  <c r="R117" i="18"/>
  <c r="R51" i="18"/>
  <c r="R145" i="18"/>
  <c r="R102" i="18"/>
  <c r="R190" i="18"/>
  <c r="G153" i="18"/>
  <c r="Q80" i="18"/>
  <c r="R80" i="18"/>
  <c r="R39" i="18"/>
  <c r="Q83" i="18"/>
  <c r="R112" i="18"/>
  <c r="R113" i="18"/>
  <c r="R116" i="18"/>
  <c r="R101" i="18"/>
  <c r="Q153" i="18"/>
  <c r="Q146" i="18"/>
  <c r="R137" i="18"/>
  <c r="H249" i="18"/>
  <c r="J226" i="18"/>
  <c r="G198" i="18"/>
  <c r="G37" i="18"/>
  <c r="Q149" i="18"/>
  <c r="R135" i="18"/>
  <c r="R100" i="18"/>
  <c r="R88" i="18"/>
  <c r="R35" i="18"/>
  <c r="R139" i="18"/>
  <c r="G46" i="18"/>
  <c r="G156" i="18"/>
  <c r="G102" i="18"/>
  <c r="Q114" i="18"/>
  <c r="Q119" i="18"/>
  <c r="Q199" i="18"/>
  <c r="R201" i="18"/>
  <c r="R43" i="18"/>
  <c r="R83" i="18"/>
  <c r="R95" i="18"/>
  <c r="R189" i="18"/>
  <c r="R143" i="18"/>
  <c r="R49" i="18"/>
  <c r="R118" i="18"/>
  <c r="R52" i="18"/>
  <c r="R21" i="18"/>
  <c r="R185" i="18"/>
  <c r="R18" i="18"/>
  <c r="G169" i="18"/>
  <c r="G19" i="18"/>
  <c r="Q129" i="18"/>
  <c r="R129" i="18"/>
  <c r="G106" i="18"/>
  <c r="Q105" i="18"/>
  <c r="R16" i="18"/>
  <c r="G94" i="18"/>
  <c r="G117" i="18"/>
  <c r="Q189" i="18"/>
  <c r="Q185" i="18"/>
  <c r="R93" i="18"/>
  <c r="R202" i="18"/>
  <c r="R50" i="18"/>
  <c r="G80" i="18"/>
  <c r="H264" i="18"/>
  <c r="H233" i="18"/>
  <c r="G103" i="18"/>
  <c r="Q155" i="18"/>
  <c r="R136" i="18"/>
  <c r="J272" i="18"/>
  <c r="H231" i="18"/>
  <c r="G144" i="18"/>
  <c r="G23" i="18"/>
  <c r="Q196" i="18"/>
  <c r="R146" i="18"/>
  <c r="R28" i="18"/>
  <c r="R110" i="18"/>
  <c r="Q201" i="18"/>
  <c r="Q190" i="18"/>
  <c r="R89" i="18"/>
  <c r="R161" i="18"/>
  <c r="R162" i="18"/>
  <c r="R153" i="18"/>
  <c r="R173" i="18"/>
  <c r="G124" i="18"/>
  <c r="G109" i="18"/>
  <c r="R184" i="18"/>
  <c r="G51" i="18"/>
  <c r="Q172" i="18"/>
  <c r="R114" i="18"/>
  <c r="R119" i="18"/>
  <c r="R169" i="18"/>
  <c r="R160" i="18"/>
  <c r="R47" i="18"/>
  <c r="R10" i="18"/>
  <c r="R44" i="18"/>
  <c r="R19" i="18"/>
  <c r="R199" i="18"/>
  <c r="Q169" i="18"/>
  <c r="G188" i="18"/>
  <c r="R172" i="18"/>
  <c r="R187" i="18"/>
  <c r="Q160" i="18"/>
  <c r="G41" i="18"/>
  <c r="Q142" i="18"/>
  <c r="R45" i="18"/>
  <c r="R48" i="18"/>
  <c r="G129" i="18"/>
  <c r="R142" i="18"/>
  <c r="G140" i="13"/>
  <c r="Q140" i="13"/>
  <c r="G117" i="13"/>
  <c r="Q117" i="13"/>
  <c r="G45" i="13"/>
  <c r="Q45" i="13"/>
  <c r="R140" i="13"/>
  <c r="R117" i="13"/>
  <c r="R45" i="13"/>
  <c r="G116" i="13"/>
  <c r="Q116" i="13"/>
  <c r="R116" i="13"/>
  <c r="R31" i="13"/>
  <c r="R62" i="13"/>
  <c r="G31" i="13"/>
  <c r="Q31" i="13"/>
  <c r="G62" i="13"/>
  <c r="Q62" i="13"/>
  <c r="G10" i="13"/>
  <c r="Q10" i="13"/>
  <c r="R10" i="13"/>
  <c r="H183" i="13"/>
  <c r="H179" i="13"/>
  <c r="J183" i="13"/>
  <c r="J179" i="13"/>
  <c r="K183" i="13"/>
  <c r="K179" i="13"/>
  <c r="H167" i="13"/>
  <c r="H168" i="13"/>
  <c r="J167" i="13"/>
  <c r="J168" i="13"/>
  <c r="K167" i="13"/>
  <c r="K168" i="13"/>
  <c r="H166" i="13"/>
  <c r="H173" i="13"/>
  <c r="J166" i="13"/>
  <c r="J173" i="13"/>
  <c r="K166" i="13"/>
  <c r="K173" i="13"/>
  <c r="G138" i="13"/>
  <c r="G18" i="13"/>
  <c r="G130" i="13"/>
  <c r="G96" i="13"/>
  <c r="G49" i="13"/>
  <c r="G19" i="13"/>
  <c r="G61" i="13"/>
  <c r="G97" i="13"/>
  <c r="G108" i="13"/>
  <c r="G94" i="13"/>
  <c r="G20" i="13"/>
  <c r="G133" i="13"/>
  <c r="G63" i="13"/>
  <c r="G66" i="13"/>
  <c r="G23" i="13"/>
  <c r="G22" i="13"/>
  <c r="G15" i="13"/>
  <c r="Q58" i="13"/>
  <c r="Q106" i="13"/>
  <c r="Q131" i="13"/>
  <c r="Q129" i="13"/>
  <c r="Q59" i="13"/>
  <c r="Q120" i="13"/>
  <c r="Q11" i="13"/>
  <c r="Q122" i="13"/>
  <c r="Q132" i="13"/>
  <c r="Q60" i="13"/>
  <c r="Q65" i="13"/>
  <c r="Q64" i="13"/>
  <c r="Q12" i="13"/>
  <c r="Q134" i="13"/>
  <c r="Q67" i="13"/>
  <c r="Q123" i="13"/>
  <c r="R138" i="13"/>
  <c r="R18" i="13"/>
  <c r="R130" i="13"/>
  <c r="R96" i="13"/>
  <c r="R49" i="13"/>
  <c r="R19" i="13"/>
  <c r="R61" i="13"/>
  <c r="R97" i="13"/>
  <c r="R108" i="13"/>
  <c r="R94" i="13"/>
  <c r="R20" i="13"/>
  <c r="R133" i="13"/>
  <c r="R63" i="13"/>
  <c r="R66" i="13"/>
  <c r="R23" i="13"/>
  <c r="R22" i="13"/>
  <c r="R15" i="13"/>
  <c r="G54" i="13"/>
  <c r="G69" i="13"/>
  <c r="G124" i="13"/>
  <c r="G111" i="13"/>
  <c r="G135" i="13"/>
  <c r="G136" i="13"/>
  <c r="G32" i="13"/>
  <c r="G75" i="13"/>
  <c r="G53" i="13"/>
  <c r="G88" i="13"/>
  <c r="G100" i="13"/>
  <c r="H164" i="13"/>
  <c r="H165" i="13"/>
  <c r="J164" i="13"/>
  <c r="J165" i="13"/>
  <c r="K164" i="13"/>
  <c r="K165" i="13"/>
  <c r="H171" i="13"/>
  <c r="H180" i="13"/>
  <c r="J171" i="13"/>
  <c r="J180" i="13"/>
  <c r="K171" i="13"/>
  <c r="K180" i="13"/>
  <c r="H172" i="13"/>
  <c r="H169" i="13"/>
  <c r="J172" i="13"/>
  <c r="J169" i="13"/>
  <c r="K172" i="13"/>
  <c r="K169" i="13"/>
  <c r="G58" i="13"/>
  <c r="G106" i="13"/>
  <c r="G131" i="13"/>
  <c r="G129" i="13"/>
  <c r="G59" i="13"/>
  <c r="G120" i="13"/>
  <c r="G11" i="13"/>
  <c r="G122" i="13"/>
  <c r="G132" i="13"/>
  <c r="G60" i="13"/>
  <c r="G65" i="13"/>
  <c r="G64" i="13"/>
  <c r="G12" i="13"/>
  <c r="G134" i="13"/>
  <c r="G67" i="13"/>
  <c r="G123" i="13"/>
  <c r="Q138" i="13"/>
  <c r="Q18" i="13"/>
  <c r="Q130" i="13"/>
  <c r="Q96" i="13"/>
  <c r="Q49" i="13"/>
  <c r="Q19" i="13"/>
  <c r="Q61" i="13"/>
  <c r="Q97" i="13"/>
  <c r="Q108" i="13"/>
  <c r="Q94" i="13"/>
  <c r="Q20" i="13"/>
  <c r="Q133" i="13"/>
  <c r="Q63" i="13"/>
  <c r="Q66" i="13"/>
  <c r="Q23" i="13"/>
  <c r="Q22" i="13"/>
  <c r="Q15" i="13"/>
  <c r="R58" i="13"/>
  <c r="R106" i="13"/>
  <c r="R131" i="13"/>
  <c r="R129" i="13"/>
  <c r="R59" i="13"/>
  <c r="R120" i="13"/>
  <c r="R11" i="13"/>
  <c r="R122" i="13"/>
  <c r="R132" i="13"/>
  <c r="R60" i="13"/>
  <c r="R65" i="13"/>
  <c r="R64" i="13"/>
  <c r="R12" i="13"/>
  <c r="R134" i="13"/>
  <c r="R67" i="13"/>
  <c r="R123" i="13"/>
  <c r="G70" i="13"/>
  <c r="G14" i="13"/>
  <c r="G109" i="13"/>
  <c r="G73" i="13"/>
  <c r="G141" i="13"/>
  <c r="G104" i="13"/>
  <c r="G126" i="13"/>
  <c r="G139" i="13"/>
  <c r="G52" i="13"/>
  <c r="G89" i="13"/>
  <c r="G99" i="13"/>
  <c r="G79" i="13"/>
  <c r="G36" i="13"/>
  <c r="G127" i="13"/>
  <c r="G90" i="13"/>
  <c r="G41" i="13"/>
  <c r="G34" i="13"/>
  <c r="G113" i="13"/>
  <c r="G98" i="13"/>
  <c r="Q54" i="13"/>
  <c r="Q69" i="13"/>
  <c r="Q124" i="13"/>
  <c r="Q111" i="13"/>
  <c r="Q135" i="13"/>
  <c r="Q136" i="13"/>
  <c r="Q32" i="13"/>
  <c r="Q75" i="13"/>
  <c r="Q53" i="13"/>
  <c r="Q88" i="13"/>
  <c r="Q100" i="13"/>
  <c r="Q41" i="13"/>
  <c r="Q137" i="13"/>
  <c r="Q34" i="13"/>
  <c r="Q78" i="13"/>
  <c r="Q35" i="13"/>
  <c r="R70" i="13"/>
  <c r="R14" i="13"/>
  <c r="R109" i="13"/>
  <c r="R73" i="13"/>
  <c r="R141" i="13"/>
  <c r="R104" i="13"/>
  <c r="R126" i="13"/>
  <c r="R139" i="13"/>
  <c r="R52" i="13"/>
  <c r="R89" i="13"/>
  <c r="R99" i="13"/>
  <c r="R79" i="13"/>
  <c r="R36" i="13"/>
  <c r="R127" i="13"/>
  <c r="R90" i="13"/>
  <c r="R113" i="13"/>
  <c r="R98" i="13"/>
  <c r="G24" i="13"/>
  <c r="G114" i="13"/>
  <c r="G80" i="13"/>
  <c r="G43" i="13"/>
  <c r="G115" i="13"/>
  <c r="G91" i="13"/>
  <c r="G82" i="13"/>
  <c r="G44" i="13"/>
  <c r="G87" i="13"/>
  <c r="G17" i="13"/>
  <c r="G28" i="13"/>
  <c r="Q24" i="13"/>
  <c r="Q114" i="13"/>
  <c r="Q80" i="13"/>
  <c r="Q43" i="13"/>
  <c r="Q115" i="13"/>
  <c r="Q91" i="13"/>
  <c r="Q82" i="13"/>
  <c r="Q44" i="13"/>
  <c r="Q87" i="13"/>
  <c r="Q17" i="13"/>
  <c r="Q28" i="13"/>
  <c r="R77" i="13"/>
  <c r="R39" i="13"/>
  <c r="R102" i="13"/>
  <c r="R38" i="13"/>
  <c r="R86" i="13"/>
  <c r="R84" i="13"/>
  <c r="R42" i="13"/>
  <c r="R25" i="13"/>
  <c r="R48" i="13"/>
  <c r="R55" i="13"/>
  <c r="R95" i="13"/>
  <c r="R29" i="13"/>
  <c r="G137" i="13"/>
  <c r="G78" i="13"/>
  <c r="G35" i="13"/>
  <c r="Q70" i="13"/>
  <c r="Q14" i="13"/>
  <c r="Q109" i="13"/>
  <c r="Q73" i="13"/>
  <c r="Q141" i="13"/>
  <c r="Q104" i="13"/>
  <c r="Q126" i="13"/>
  <c r="Q139" i="13"/>
  <c r="Q52" i="13"/>
  <c r="Q89" i="13"/>
  <c r="Q99" i="13"/>
  <c r="Q79" i="13"/>
  <c r="Q36" i="13"/>
  <c r="Q127" i="13"/>
  <c r="Q90" i="13"/>
  <c r="Q113" i="13"/>
  <c r="Q98" i="13"/>
  <c r="R54" i="13"/>
  <c r="R69" i="13"/>
  <c r="R124" i="13"/>
  <c r="R111" i="13"/>
  <c r="R135" i="13"/>
  <c r="R136" i="13"/>
  <c r="R32" i="13"/>
  <c r="R75" i="13"/>
  <c r="R53" i="13"/>
  <c r="R88" i="13"/>
  <c r="R100" i="13"/>
  <c r="R41" i="13"/>
  <c r="R137" i="13"/>
  <c r="R34" i="13"/>
  <c r="R78" i="13"/>
  <c r="R35" i="13"/>
  <c r="G77" i="13"/>
  <c r="G39" i="13"/>
  <c r="G102" i="13"/>
  <c r="G38" i="13"/>
  <c r="G86" i="13"/>
  <c r="G84" i="13"/>
  <c r="G42" i="13"/>
  <c r="G25" i="13"/>
  <c r="G48" i="13"/>
  <c r="G55" i="13"/>
  <c r="G95" i="13"/>
  <c r="G29" i="13"/>
  <c r="Q77" i="13"/>
  <c r="Q39" i="13"/>
  <c r="Q102" i="13"/>
  <c r="Q38" i="13"/>
  <c r="Q86" i="13"/>
  <c r="Q84" i="13"/>
  <c r="Q42" i="13"/>
  <c r="Q25" i="13"/>
  <c r="Q48" i="13"/>
  <c r="Q55" i="13"/>
  <c r="Q95" i="13"/>
  <c r="Q29" i="13"/>
  <c r="R24" i="13"/>
  <c r="R114" i="13"/>
  <c r="R80" i="13"/>
  <c r="R43" i="13"/>
  <c r="R115" i="13"/>
  <c r="R91" i="13"/>
  <c r="R82" i="13"/>
  <c r="R44" i="13"/>
  <c r="R87" i="13"/>
  <c r="R17" i="13"/>
  <c r="R28" i="13"/>
  <c r="G46" i="13"/>
  <c r="Q9" i="13"/>
  <c r="Q13" i="13"/>
  <c r="R9" i="13"/>
  <c r="R13" i="13"/>
  <c r="Q71" i="13"/>
  <c r="R71" i="13"/>
  <c r="G30" i="13"/>
  <c r="G107" i="13"/>
  <c r="G21" i="13"/>
  <c r="G51" i="13"/>
  <c r="G72" i="13"/>
  <c r="Q30" i="13"/>
  <c r="Q107" i="13"/>
  <c r="Q21" i="13"/>
  <c r="Q51" i="13"/>
  <c r="Q72" i="13"/>
  <c r="R30" i="13"/>
  <c r="R107" i="13"/>
  <c r="R21" i="13"/>
  <c r="R51" i="13"/>
  <c r="R72" i="13"/>
  <c r="G16" i="13"/>
  <c r="G37" i="13"/>
  <c r="G128" i="13"/>
  <c r="G92" i="13"/>
  <c r="G47" i="13"/>
  <c r="Q16" i="13"/>
  <c r="Q37" i="13"/>
  <c r="Q128" i="13"/>
  <c r="Q92" i="13"/>
  <c r="Q47" i="13"/>
  <c r="R16" i="13"/>
  <c r="R37" i="13"/>
  <c r="R128" i="13"/>
  <c r="R92" i="13"/>
  <c r="R47" i="13"/>
  <c r="R26" i="13"/>
  <c r="R50" i="13"/>
  <c r="Q50" i="13"/>
  <c r="G9" i="13"/>
  <c r="G13" i="13"/>
  <c r="Q46" i="13"/>
  <c r="R46" i="13"/>
  <c r="G71" i="13"/>
  <c r="G119" i="13"/>
  <c r="G121" i="13"/>
  <c r="G68" i="13"/>
  <c r="G112" i="13"/>
  <c r="Q119" i="13"/>
  <c r="Q121" i="13"/>
  <c r="Q68" i="13"/>
  <c r="Q112" i="13"/>
  <c r="R119" i="13"/>
  <c r="R121" i="13"/>
  <c r="R68" i="13"/>
  <c r="R112" i="13"/>
  <c r="G56" i="13"/>
  <c r="G33" i="13"/>
  <c r="G101" i="13"/>
  <c r="G83" i="13"/>
  <c r="G27" i="13"/>
  <c r="Q56" i="13"/>
  <c r="Q33" i="13"/>
  <c r="Q101" i="13"/>
  <c r="Q83" i="13"/>
  <c r="Q27" i="13"/>
  <c r="R56" i="13"/>
  <c r="R33" i="13"/>
  <c r="R101" i="13"/>
  <c r="R83" i="13"/>
  <c r="R27" i="13"/>
  <c r="G26" i="13"/>
  <c r="Q26" i="13"/>
  <c r="G50" i="13"/>
  <c r="R114" i="16"/>
  <c r="R144" i="16"/>
  <c r="G126" i="16"/>
  <c r="G55" i="16"/>
  <c r="R69" i="16"/>
  <c r="R109" i="16"/>
  <c r="G114" i="16"/>
  <c r="G144" i="16"/>
  <c r="G69" i="16"/>
  <c r="Q55" i="16"/>
  <c r="Q126" i="16"/>
  <c r="Q114" i="16"/>
  <c r="Q144" i="16"/>
  <c r="R126" i="16"/>
  <c r="R55" i="16"/>
  <c r="Q109" i="16"/>
  <c r="G109" i="16"/>
  <c r="Q69" i="16"/>
  <c r="Q136" i="16"/>
  <c r="R136" i="16"/>
  <c r="Q94" i="16"/>
  <c r="G136" i="16"/>
  <c r="R94" i="16"/>
  <c r="G94" i="16"/>
  <c r="H216" i="16"/>
  <c r="K216" i="16"/>
  <c r="H188" i="16"/>
  <c r="K188" i="16"/>
  <c r="J187" i="16"/>
  <c r="J186" i="16"/>
  <c r="K186" i="16"/>
  <c r="J216" i="16"/>
  <c r="J188" i="16"/>
  <c r="H187" i="16"/>
  <c r="K187" i="16"/>
  <c r="H186" i="16"/>
  <c r="H210" i="16"/>
  <c r="H211" i="16"/>
  <c r="J184" i="16"/>
  <c r="J190" i="16"/>
  <c r="K210" i="16"/>
  <c r="K211" i="16"/>
  <c r="H219" i="16"/>
  <c r="J218" i="16"/>
  <c r="J199" i="16"/>
  <c r="K219" i="16"/>
  <c r="H191" i="16"/>
  <c r="K191" i="16"/>
  <c r="H217" i="16"/>
  <c r="J217" i="16"/>
  <c r="K217" i="16"/>
  <c r="H208" i="16"/>
  <c r="J208" i="16"/>
  <c r="K208" i="16"/>
  <c r="H197" i="16"/>
  <c r="K197" i="16"/>
  <c r="H184" i="16"/>
  <c r="H190" i="16"/>
  <c r="J210" i="16"/>
  <c r="J211" i="16"/>
  <c r="K184" i="16"/>
  <c r="K190" i="16"/>
  <c r="H218" i="16"/>
  <c r="H199" i="16"/>
  <c r="J219" i="16"/>
  <c r="K218" i="16"/>
  <c r="K199" i="16"/>
  <c r="J191" i="16"/>
  <c r="H189" i="16"/>
  <c r="J189" i="16"/>
  <c r="K189" i="16"/>
  <c r="H194" i="16"/>
  <c r="J194" i="16"/>
  <c r="K194" i="16"/>
  <c r="H185" i="16"/>
  <c r="J185" i="16"/>
  <c r="K185" i="16"/>
  <c r="J197" i="16"/>
  <c r="G153" i="16"/>
  <c r="G100" i="16"/>
  <c r="R153" i="16"/>
  <c r="R100" i="16"/>
  <c r="G11" i="16"/>
  <c r="G13" i="16"/>
  <c r="G23" i="16"/>
  <c r="G25" i="16"/>
  <c r="G10" i="16"/>
  <c r="Q9" i="16"/>
  <c r="Q15" i="16"/>
  <c r="Q18" i="16"/>
  <c r="Q24" i="16"/>
  <c r="Q26" i="16"/>
  <c r="Q27" i="16"/>
  <c r="R11" i="16"/>
  <c r="R13" i="16"/>
  <c r="R23" i="16"/>
  <c r="R25" i="16"/>
  <c r="R10" i="16"/>
  <c r="G30" i="16"/>
  <c r="G36" i="16"/>
  <c r="G32" i="16"/>
  <c r="G38" i="16"/>
  <c r="G43" i="16"/>
  <c r="G41" i="16"/>
  <c r="G40" i="16"/>
  <c r="Q37" i="16"/>
  <c r="Q28" i="16"/>
  <c r="Q29" i="16"/>
  <c r="Q46" i="16"/>
  <c r="Q34" i="16"/>
  <c r="Q39" i="16"/>
  <c r="R30" i="16"/>
  <c r="R36" i="16"/>
  <c r="R32" i="16"/>
  <c r="R38" i="16"/>
  <c r="R43" i="16"/>
  <c r="R41" i="16"/>
  <c r="R40" i="16"/>
  <c r="G49" i="16"/>
  <c r="G48" i="16"/>
  <c r="G54" i="16"/>
  <c r="G57" i="16"/>
  <c r="G58" i="16"/>
  <c r="G60" i="16"/>
  <c r="Q45" i="16"/>
  <c r="Q50" i="16"/>
  <c r="Q51" i="16"/>
  <c r="Q53" i="16"/>
  <c r="Q62" i="16"/>
  <c r="Q63" i="16"/>
  <c r="Q61" i="16"/>
  <c r="R49" i="16"/>
  <c r="R48" i="16"/>
  <c r="R54" i="16"/>
  <c r="R57" i="16"/>
  <c r="R58" i="16"/>
  <c r="R60" i="16"/>
  <c r="G68" i="16"/>
  <c r="G71" i="16"/>
  <c r="G76" i="16"/>
  <c r="G74" i="16"/>
  <c r="G70" i="16"/>
  <c r="G66" i="16"/>
  <c r="G77" i="16"/>
  <c r="Q68" i="16"/>
  <c r="Q71" i="16"/>
  <c r="Q76" i="16"/>
  <c r="Q74" i="16"/>
  <c r="Q70" i="16"/>
  <c r="Q66" i="16"/>
  <c r="Q77" i="16"/>
  <c r="R72" i="16"/>
  <c r="R73" i="16"/>
  <c r="R84" i="16"/>
  <c r="R75" i="16"/>
  <c r="R80" i="16"/>
  <c r="R64" i="16"/>
  <c r="G89" i="16"/>
  <c r="Q153" i="16"/>
  <c r="Q100" i="16"/>
  <c r="G9" i="16"/>
  <c r="G15" i="16"/>
  <c r="G18" i="16"/>
  <c r="G24" i="16"/>
  <c r="G26" i="16"/>
  <c r="G27" i="16"/>
  <c r="Q11" i="16"/>
  <c r="Q13" i="16"/>
  <c r="Q23" i="16"/>
  <c r="Q25" i="16"/>
  <c r="Q10" i="16"/>
  <c r="R9" i="16"/>
  <c r="R15" i="16"/>
  <c r="R18" i="16"/>
  <c r="R24" i="16"/>
  <c r="R26" i="16"/>
  <c r="R27" i="16"/>
  <c r="G37" i="16"/>
  <c r="G28" i="16"/>
  <c r="G29" i="16"/>
  <c r="G46" i="16"/>
  <c r="G34" i="16"/>
  <c r="G39" i="16"/>
  <c r="Q30" i="16"/>
  <c r="Q36" i="16"/>
  <c r="Q32" i="16"/>
  <c r="Q38" i="16"/>
  <c r="Q43" i="16"/>
  <c r="Q41" i="16"/>
  <c r="Q40" i="16"/>
  <c r="R37" i="16"/>
  <c r="R28" i="16"/>
  <c r="R29" i="16"/>
  <c r="R46" i="16"/>
  <c r="R34" i="16"/>
  <c r="R39" i="16"/>
  <c r="G45" i="16"/>
  <c r="G50" i="16"/>
  <c r="G51" i="16"/>
  <c r="G53" i="16"/>
  <c r="G62" i="16"/>
  <c r="G63" i="16"/>
  <c r="G61" i="16"/>
  <c r="Q49" i="16"/>
  <c r="Q48" i="16"/>
  <c r="Q54" i="16"/>
  <c r="Q57" i="16"/>
  <c r="Q58" i="16"/>
  <c r="Q60" i="16"/>
  <c r="R45" i="16"/>
  <c r="R50" i="16"/>
  <c r="R51" i="16"/>
  <c r="R53" i="16"/>
  <c r="R62" i="16"/>
  <c r="R63" i="16"/>
  <c r="R61" i="16"/>
  <c r="G72" i="16"/>
  <c r="G73" i="16"/>
  <c r="G84" i="16"/>
  <c r="G75" i="16"/>
  <c r="G80" i="16"/>
  <c r="G64" i="16"/>
  <c r="Q72" i="16"/>
  <c r="Q73" i="16"/>
  <c r="Q84" i="16"/>
  <c r="Q75" i="16"/>
  <c r="Q80" i="16"/>
  <c r="Q64" i="16"/>
  <c r="R68" i="16"/>
  <c r="R71" i="16"/>
  <c r="R76" i="16"/>
  <c r="R74" i="16"/>
  <c r="R70" i="16"/>
  <c r="R66" i="16"/>
  <c r="R77" i="16"/>
  <c r="G91" i="16"/>
  <c r="G83" i="16"/>
  <c r="G78" i="16"/>
  <c r="G92" i="16"/>
  <c r="G93" i="16"/>
  <c r="G99" i="16"/>
  <c r="G106" i="16"/>
  <c r="Q91" i="16"/>
  <c r="Q85" i="16"/>
  <c r="Q79" i="16"/>
  <c r="Q88" i="16"/>
  <c r="Q95" i="16"/>
  <c r="Q98" i="16"/>
  <c r="R89" i="16"/>
  <c r="R83" i="16"/>
  <c r="R78" i="16"/>
  <c r="R92" i="16"/>
  <c r="R93" i="16"/>
  <c r="R99" i="16"/>
  <c r="R106" i="16"/>
  <c r="G104" i="16"/>
  <c r="G97" i="16"/>
  <c r="G101" i="16"/>
  <c r="G113" i="16"/>
  <c r="G110" i="16"/>
  <c r="G119" i="16"/>
  <c r="Q104" i="16"/>
  <c r="Q97" i="16"/>
  <c r="Q101" i="16"/>
  <c r="Q113" i="16"/>
  <c r="Q110" i="16"/>
  <c r="Q119" i="16"/>
  <c r="R108" i="16"/>
  <c r="R105" i="16"/>
  <c r="R103" i="16"/>
  <c r="R116" i="16"/>
  <c r="R112" i="16"/>
  <c r="R115" i="16"/>
  <c r="R124" i="16"/>
  <c r="G120" i="16"/>
  <c r="G123" i="16"/>
  <c r="G135" i="16"/>
  <c r="G131" i="16"/>
  <c r="G142" i="16"/>
  <c r="G137" i="16"/>
  <c r="Q122" i="16"/>
  <c r="Q121" i="16"/>
  <c r="Q141" i="16"/>
  <c r="Q132" i="16"/>
  <c r="Q129" i="16"/>
  <c r="Q140" i="16"/>
  <c r="Q134" i="16"/>
  <c r="R120" i="16"/>
  <c r="R123" i="16"/>
  <c r="R135" i="16"/>
  <c r="R131" i="16"/>
  <c r="R142" i="16"/>
  <c r="R137" i="16"/>
  <c r="G146" i="16"/>
  <c r="G148" i="16"/>
  <c r="G150" i="16"/>
  <c r="G154" i="16"/>
  <c r="Q146" i="16"/>
  <c r="Q148" i="16"/>
  <c r="Q150" i="16"/>
  <c r="Q157" i="16"/>
  <c r="Q154" i="16"/>
  <c r="Q159" i="16"/>
  <c r="R143" i="16"/>
  <c r="R147" i="16"/>
  <c r="R151" i="16"/>
  <c r="R155" i="16"/>
  <c r="R152" i="16"/>
  <c r="G85" i="16"/>
  <c r="G79" i="16"/>
  <c r="G88" i="16"/>
  <c r="G95" i="16"/>
  <c r="G98" i="16"/>
  <c r="Q89" i="16"/>
  <c r="Q83" i="16"/>
  <c r="Q78" i="16"/>
  <c r="Q92" i="16"/>
  <c r="Q93" i="16"/>
  <c r="Q99" i="16"/>
  <c r="Q106" i="16"/>
  <c r="R91" i="16"/>
  <c r="R85" i="16"/>
  <c r="R79" i="16"/>
  <c r="R88" i="16"/>
  <c r="R95" i="16"/>
  <c r="R98" i="16"/>
  <c r="G108" i="16"/>
  <c r="G105" i="16"/>
  <c r="G103" i="16"/>
  <c r="G116" i="16"/>
  <c r="G112" i="16"/>
  <c r="G115" i="16"/>
  <c r="G124" i="16"/>
  <c r="Q108" i="16"/>
  <c r="Q105" i="16"/>
  <c r="Q103" i="16"/>
  <c r="Q116" i="16"/>
  <c r="Q112" i="16"/>
  <c r="Q115" i="16"/>
  <c r="Q124" i="16"/>
  <c r="R104" i="16"/>
  <c r="R97" i="16"/>
  <c r="R101" i="16"/>
  <c r="R113" i="16"/>
  <c r="R110" i="16"/>
  <c r="R119" i="16"/>
  <c r="G122" i="16"/>
  <c r="G121" i="16"/>
  <c r="G141" i="16"/>
  <c r="G132" i="16"/>
  <c r="G129" i="16"/>
  <c r="G140" i="16"/>
  <c r="G134" i="16"/>
  <c r="Q120" i="16"/>
  <c r="Q123" i="16"/>
  <c r="Q135" i="16"/>
  <c r="Q131" i="16"/>
  <c r="Q142" i="16"/>
  <c r="Q137" i="16"/>
  <c r="R122" i="16"/>
  <c r="R121" i="16"/>
  <c r="R141" i="16"/>
  <c r="R132" i="16"/>
  <c r="R129" i="16"/>
  <c r="R140" i="16"/>
  <c r="R134" i="16"/>
  <c r="G143" i="16"/>
  <c r="G147" i="16"/>
  <c r="G151" i="16"/>
  <c r="G152" i="16"/>
  <c r="Q143" i="16"/>
  <c r="Q147" i="16"/>
  <c r="Q151" i="16"/>
  <c r="Q155" i="16"/>
  <c r="Q152" i="16"/>
  <c r="R146" i="16"/>
  <c r="R148" i="16"/>
  <c r="R150" i="16"/>
  <c r="R157" i="16"/>
  <c r="R154" i="16"/>
  <c r="R159" i="16"/>
  <c r="R163" i="16"/>
  <c r="G14" i="16"/>
  <c r="Q14" i="16"/>
  <c r="G17" i="16"/>
  <c r="Q17" i="16"/>
  <c r="G21" i="16"/>
  <c r="Q21" i="16"/>
  <c r="G20" i="16"/>
  <c r="Q20" i="16"/>
  <c r="G81" i="16"/>
  <c r="Q81" i="16"/>
  <c r="G130" i="16"/>
  <c r="Q130" i="16"/>
  <c r="Q160" i="16"/>
  <c r="Q161" i="16"/>
  <c r="G145" i="16"/>
  <c r="Q145" i="16"/>
  <c r="G22" i="16"/>
  <c r="G33" i="16"/>
  <c r="G42" i="16"/>
  <c r="G47" i="16"/>
  <c r="G59" i="16"/>
  <c r="G65" i="16"/>
  <c r="Q22" i="16"/>
  <c r="Q33" i="16"/>
  <c r="Q42" i="16"/>
  <c r="Q47" i="16"/>
  <c r="Q59" i="16"/>
  <c r="Q65" i="16"/>
  <c r="R22" i="16"/>
  <c r="R33" i="16"/>
  <c r="R42" i="16"/>
  <c r="R47" i="16"/>
  <c r="R59" i="16"/>
  <c r="R65" i="16"/>
  <c r="G86" i="16"/>
  <c r="G90" i="16"/>
  <c r="G96" i="16"/>
  <c r="G102" i="16"/>
  <c r="G117" i="16"/>
  <c r="G125" i="16"/>
  <c r="Q86" i="16"/>
  <c r="Q90" i="16"/>
  <c r="Q96" i="16"/>
  <c r="Q102" i="16"/>
  <c r="Q117" i="16"/>
  <c r="Q125" i="16"/>
  <c r="R86" i="16"/>
  <c r="R90" i="16"/>
  <c r="R96" i="16"/>
  <c r="R102" i="16"/>
  <c r="R117" i="16"/>
  <c r="R125" i="16"/>
  <c r="G128" i="16"/>
  <c r="G139" i="16"/>
  <c r="Q138" i="16"/>
  <c r="Q149" i="16"/>
  <c r="R128" i="16"/>
  <c r="R139" i="16"/>
  <c r="R156" i="16"/>
  <c r="Q19" i="16"/>
  <c r="Q162" i="16"/>
  <c r="Q163" i="16"/>
  <c r="R162" i="16"/>
  <c r="R14" i="16"/>
  <c r="R17" i="16"/>
  <c r="R21" i="16"/>
  <c r="R20" i="16"/>
  <c r="R81" i="16"/>
  <c r="R130" i="16"/>
  <c r="R160" i="16"/>
  <c r="R161" i="16"/>
  <c r="R145" i="16"/>
  <c r="G35" i="16"/>
  <c r="G31" i="16"/>
  <c r="G44" i="16"/>
  <c r="G52" i="16"/>
  <c r="G56" i="16"/>
  <c r="G67" i="16"/>
  <c r="Q35" i="16"/>
  <c r="Q31" i="16"/>
  <c r="Q44" i="16"/>
  <c r="Q52" i="16"/>
  <c r="Q56" i="16"/>
  <c r="Q67" i="16"/>
  <c r="R35" i="16"/>
  <c r="R31" i="16"/>
  <c r="R44" i="16"/>
  <c r="R52" i="16"/>
  <c r="R56" i="16"/>
  <c r="R67" i="16"/>
  <c r="G82" i="16"/>
  <c r="G87" i="16"/>
  <c r="G107" i="16"/>
  <c r="G111" i="16"/>
  <c r="G118" i="16"/>
  <c r="G127" i="16"/>
  <c r="Q82" i="16"/>
  <c r="Q87" i="16"/>
  <c r="Q107" i="16"/>
  <c r="Q111" i="16"/>
  <c r="Q118" i="16"/>
  <c r="Q127" i="16"/>
  <c r="R82" i="16"/>
  <c r="R87" i="16"/>
  <c r="R107" i="16"/>
  <c r="R111" i="16"/>
  <c r="R118" i="16"/>
  <c r="R127" i="16"/>
  <c r="G138" i="16"/>
  <c r="G149" i="16"/>
  <c r="Q128" i="16"/>
  <c r="Q139" i="16"/>
  <c r="Q156" i="16"/>
  <c r="R138" i="16"/>
  <c r="R149" i="16"/>
  <c r="G12" i="16"/>
  <c r="Q12" i="16"/>
  <c r="R12" i="16"/>
  <c r="G19" i="16"/>
  <c r="R19" i="16"/>
  <c r="G145" i="12"/>
  <c r="R145" i="12"/>
  <c r="H238" i="12"/>
  <c r="J241" i="12"/>
  <c r="K240" i="12"/>
  <c r="G120" i="12"/>
  <c r="R120" i="12"/>
  <c r="R111" i="12"/>
  <c r="Q152" i="12"/>
  <c r="G38" i="12"/>
  <c r="G153" i="12"/>
  <c r="G82" i="12"/>
  <c r="Q105" i="12"/>
  <c r="Q11" i="12"/>
  <c r="R87" i="12"/>
  <c r="R58" i="12"/>
  <c r="R85" i="12"/>
  <c r="G19" i="12"/>
  <c r="G124" i="12"/>
  <c r="Q161" i="12"/>
  <c r="Q171" i="12"/>
  <c r="R161" i="12"/>
  <c r="R171" i="12"/>
  <c r="G127" i="12"/>
  <c r="Q63" i="12"/>
  <c r="G72" i="12"/>
  <c r="R72" i="12"/>
  <c r="Q21" i="12"/>
  <c r="G28" i="12"/>
  <c r="R28" i="12"/>
  <c r="G88" i="12"/>
  <c r="H241" i="12"/>
  <c r="J240" i="12"/>
  <c r="Q111" i="12"/>
  <c r="G133" i="12"/>
  <c r="Q58" i="12"/>
  <c r="R153" i="12"/>
  <c r="G96" i="12"/>
  <c r="Q124" i="12"/>
  <c r="G63" i="12"/>
  <c r="G21" i="12"/>
  <c r="Q28" i="12"/>
  <c r="H239" i="12"/>
  <c r="J238" i="12"/>
  <c r="K241" i="12"/>
  <c r="H242" i="12"/>
  <c r="G111" i="12"/>
  <c r="G152" i="12"/>
  <c r="R152" i="12"/>
  <c r="G87" i="12"/>
  <c r="G58" i="12"/>
  <c r="G85" i="12"/>
  <c r="Q133" i="12"/>
  <c r="Q69" i="12"/>
  <c r="Q149" i="12"/>
  <c r="R105" i="12"/>
  <c r="R11" i="12"/>
  <c r="G161" i="12"/>
  <c r="G171" i="12"/>
  <c r="Q27" i="12"/>
  <c r="Q95" i="12"/>
  <c r="R27" i="12"/>
  <c r="R95" i="12"/>
  <c r="Q127" i="12"/>
  <c r="G22" i="12"/>
  <c r="R22" i="12"/>
  <c r="K239" i="12"/>
  <c r="Q120" i="12"/>
  <c r="R45" i="12"/>
  <c r="G149" i="12"/>
  <c r="Q87" i="12"/>
  <c r="R38" i="12"/>
  <c r="Q19" i="12"/>
  <c r="R124" i="12"/>
  <c r="Q72" i="12"/>
  <c r="Q91" i="12"/>
  <c r="J239" i="12"/>
  <c r="K238" i="12"/>
  <c r="H240" i="12"/>
  <c r="J242" i="12"/>
  <c r="Q45" i="12"/>
  <c r="G105" i="12"/>
  <c r="G11" i="12"/>
  <c r="Q38" i="12"/>
  <c r="Q153" i="12"/>
  <c r="Q82" i="12"/>
  <c r="R133" i="12"/>
  <c r="R69" i="12"/>
  <c r="R149" i="12"/>
  <c r="G27" i="12"/>
  <c r="G95" i="12"/>
  <c r="Q96" i="12"/>
  <c r="Q128" i="12"/>
  <c r="R96" i="12"/>
  <c r="R128" i="12"/>
  <c r="R63" i="12"/>
  <c r="G91" i="12"/>
  <c r="Q22" i="12"/>
  <c r="R91" i="12"/>
  <c r="Q88" i="12"/>
  <c r="Q145" i="12"/>
  <c r="K242" i="12"/>
  <c r="G45" i="12"/>
  <c r="G69" i="12"/>
  <c r="Q85" i="12"/>
  <c r="R82" i="12"/>
  <c r="G128" i="12"/>
  <c r="R19" i="12"/>
  <c r="R127" i="12"/>
  <c r="R21" i="12"/>
  <c r="R88" i="12"/>
  <c r="H205" i="12"/>
  <c r="H194" i="12"/>
  <c r="H208" i="12"/>
  <c r="H204" i="12"/>
  <c r="J205" i="12"/>
  <c r="J194" i="12"/>
  <c r="J208" i="12"/>
  <c r="J204" i="12"/>
  <c r="K205" i="12"/>
  <c r="K194" i="12"/>
  <c r="K208" i="12"/>
  <c r="K204" i="12"/>
  <c r="H209" i="12"/>
  <c r="H206" i="12"/>
  <c r="H198" i="12"/>
  <c r="H210" i="12"/>
  <c r="J209" i="12"/>
  <c r="J206" i="12"/>
  <c r="J198" i="12"/>
  <c r="J210" i="12"/>
  <c r="K209" i="12"/>
  <c r="K206" i="12"/>
  <c r="K198" i="12"/>
  <c r="K210" i="12"/>
  <c r="H207" i="12"/>
  <c r="H232" i="12"/>
  <c r="H233" i="12"/>
  <c r="H234" i="12"/>
  <c r="J207" i="12"/>
  <c r="J232" i="12"/>
  <c r="J233" i="12"/>
  <c r="J234" i="12"/>
  <c r="K207" i="12"/>
  <c r="K232" i="12"/>
  <c r="K233" i="12"/>
  <c r="K234" i="12"/>
  <c r="G169" i="12"/>
  <c r="G25" i="12"/>
  <c r="G86" i="12"/>
  <c r="G163" i="12"/>
  <c r="G118" i="12"/>
  <c r="G43" i="12"/>
  <c r="G61" i="12"/>
  <c r="G119" i="12"/>
  <c r="G37" i="12"/>
  <c r="G17" i="12"/>
  <c r="G29" i="12"/>
  <c r="G98" i="12"/>
  <c r="G75" i="12"/>
  <c r="G165" i="12"/>
  <c r="G151" i="12"/>
  <c r="G56" i="12"/>
  <c r="G125" i="12"/>
  <c r="G10" i="12"/>
  <c r="G109" i="12"/>
  <c r="G170" i="12"/>
  <c r="Q169" i="12"/>
  <c r="Q25" i="12"/>
  <c r="Q86" i="12"/>
  <c r="Q163" i="12"/>
  <c r="Q118" i="12"/>
  <c r="Q43" i="12"/>
  <c r="Q61" i="12"/>
  <c r="Q119" i="12"/>
  <c r="Q37" i="12"/>
  <c r="Q17" i="12"/>
  <c r="Q29" i="12"/>
  <c r="Q98" i="12"/>
  <c r="Q75" i="12"/>
  <c r="Q165" i="12"/>
  <c r="Q151" i="12"/>
  <c r="Q56" i="12"/>
  <c r="Q125" i="12"/>
  <c r="Q109" i="12"/>
  <c r="Q170" i="12"/>
  <c r="R169" i="12"/>
  <c r="R25" i="12"/>
  <c r="R86" i="12"/>
  <c r="R163" i="12"/>
  <c r="R118" i="12"/>
  <c r="R43" i="12"/>
  <c r="R61" i="12"/>
  <c r="R119" i="12"/>
  <c r="R37" i="12"/>
  <c r="R17" i="12"/>
  <c r="R29" i="12"/>
  <c r="R98" i="12"/>
  <c r="R75" i="12"/>
  <c r="R165" i="12"/>
  <c r="R151" i="12"/>
  <c r="R56" i="12"/>
  <c r="R125" i="12"/>
  <c r="R10" i="12"/>
  <c r="R109" i="12"/>
  <c r="R170" i="12"/>
  <c r="G78" i="12"/>
  <c r="G54" i="12"/>
  <c r="G146" i="12"/>
  <c r="G89" i="12"/>
  <c r="G55" i="12"/>
  <c r="G84" i="12"/>
  <c r="G173" i="12"/>
  <c r="G44" i="12"/>
  <c r="G154" i="12"/>
  <c r="G46" i="12"/>
  <c r="G30" i="12"/>
  <c r="G90" i="12"/>
  <c r="G66" i="12"/>
  <c r="G12" i="12"/>
  <c r="G77" i="12"/>
  <c r="G155" i="12"/>
  <c r="G147" i="12"/>
  <c r="G131" i="12"/>
  <c r="G13" i="12"/>
  <c r="G148" i="12"/>
  <c r="Q78" i="12"/>
  <c r="Q54" i="12"/>
  <c r="Q146" i="12"/>
  <c r="Q89" i="12"/>
  <c r="Q55" i="12"/>
  <c r="Q84" i="12"/>
  <c r="Q173" i="12"/>
  <c r="Q44" i="12"/>
  <c r="Q154" i="12"/>
  <c r="Q46" i="12"/>
  <c r="Q30" i="12"/>
  <c r="Q90" i="12"/>
  <c r="Q66" i="12"/>
  <c r="Q12" i="12"/>
  <c r="Q77" i="12"/>
  <c r="Q155" i="12"/>
  <c r="Q147" i="12"/>
  <c r="Q131" i="12"/>
  <c r="Q13" i="12"/>
  <c r="Q148" i="12"/>
  <c r="R78" i="12"/>
  <c r="R54" i="12"/>
  <c r="R146" i="12"/>
  <c r="R89" i="12"/>
  <c r="R55" i="12"/>
  <c r="R84" i="12"/>
  <c r="R173" i="12"/>
  <c r="R44" i="12"/>
  <c r="R154" i="12"/>
  <c r="R46" i="12"/>
  <c r="R30" i="12"/>
  <c r="R90" i="12"/>
  <c r="R66" i="12"/>
  <c r="R12" i="12"/>
  <c r="R77" i="12"/>
  <c r="R155" i="12"/>
  <c r="R147" i="12"/>
  <c r="R131" i="12"/>
  <c r="R13" i="12"/>
  <c r="R148" i="12"/>
  <c r="G107" i="12"/>
  <c r="G92" i="12"/>
  <c r="G144" i="12"/>
  <c r="G138" i="12"/>
  <c r="G26" i="12"/>
  <c r="G108" i="12"/>
  <c r="G175" i="12"/>
  <c r="G50" i="12"/>
  <c r="G67" i="12"/>
  <c r="G135" i="12"/>
  <c r="G74" i="12"/>
  <c r="G137" i="12"/>
  <c r="G134" i="12"/>
  <c r="G156" i="12"/>
  <c r="G9" i="12"/>
  <c r="G39" i="12"/>
  <c r="Q107" i="12"/>
  <c r="Q92" i="12"/>
  <c r="Q144" i="12"/>
  <c r="Q138" i="12"/>
  <c r="Q26" i="12"/>
  <c r="Q108" i="12"/>
  <c r="Q175" i="12"/>
  <c r="Q50" i="12"/>
  <c r="Q67" i="12"/>
  <c r="Q135" i="12"/>
  <c r="Q74" i="12"/>
  <c r="Q137" i="12"/>
  <c r="Q134" i="12"/>
  <c r="Q156" i="12"/>
  <c r="Q9" i="12"/>
  <c r="Q39" i="12"/>
  <c r="R107" i="12"/>
  <c r="R92" i="12"/>
  <c r="R144" i="12"/>
  <c r="R138" i="12"/>
  <c r="R26" i="12"/>
  <c r="R108" i="12"/>
  <c r="R175" i="12"/>
  <c r="R50" i="12"/>
  <c r="R67" i="12"/>
  <c r="R135" i="12"/>
  <c r="R74" i="12"/>
  <c r="R137" i="12"/>
  <c r="R134" i="12"/>
  <c r="R156" i="12"/>
  <c r="R9" i="12"/>
  <c r="R39" i="12"/>
  <c r="G31" i="12"/>
  <c r="G33" i="12"/>
  <c r="G80" i="12"/>
  <c r="G168" i="12"/>
  <c r="G117" i="12"/>
  <c r="G79" i="12"/>
  <c r="G158" i="12"/>
  <c r="G157" i="12"/>
  <c r="G101" i="12"/>
  <c r="G123" i="12"/>
  <c r="G68" i="12"/>
  <c r="G34" i="12"/>
  <c r="G93" i="12"/>
  <c r="G159" i="12"/>
  <c r="G51" i="12"/>
  <c r="G103" i="12"/>
  <c r="G8" i="12"/>
  <c r="Q31" i="12"/>
  <c r="Q33" i="12"/>
  <c r="Q80" i="12"/>
  <c r="Q168" i="12"/>
  <c r="Q117" i="12"/>
  <c r="Q79" i="12"/>
  <c r="Q158" i="12"/>
  <c r="Q157" i="12"/>
  <c r="Q101" i="12"/>
  <c r="Q123" i="12"/>
  <c r="Q68" i="12"/>
  <c r="Q34" i="12"/>
  <c r="Q93" i="12"/>
  <c r="Q159" i="12"/>
  <c r="Q51" i="12"/>
  <c r="Q103" i="12"/>
  <c r="Q8" i="12"/>
  <c r="R31" i="12"/>
  <c r="R33" i="12"/>
  <c r="R80" i="12"/>
  <c r="R168" i="12"/>
  <c r="R117" i="12"/>
  <c r="R79" i="12"/>
  <c r="R158" i="12"/>
  <c r="R157" i="12"/>
  <c r="R101" i="12"/>
  <c r="R123" i="12"/>
  <c r="R68" i="12"/>
  <c r="R34" i="12"/>
  <c r="R93" i="12"/>
  <c r="R159" i="12"/>
  <c r="R51" i="12"/>
  <c r="R103" i="12"/>
  <c r="R8" i="12"/>
  <c r="G121" i="12"/>
  <c r="G176" i="12"/>
  <c r="G174" i="12"/>
  <c r="G52" i="12"/>
  <c r="G113" i="12"/>
  <c r="G116" i="12"/>
  <c r="G41" i="12"/>
  <c r="G122" i="12"/>
  <c r="G23" i="12"/>
  <c r="G115" i="12"/>
  <c r="G110" i="12"/>
  <c r="G20" i="12"/>
  <c r="G160" i="12"/>
  <c r="G140" i="12"/>
  <c r="G81" i="12"/>
  <c r="G36" i="12"/>
  <c r="G40" i="12"/>
  <c r="Q121" i="12"/>
  <c r="Q176" i="12"/>
  <c r="Q174" i="12"/>
  <c r="Q52" i="12"/>
  <c r="Q113" i="12"/>
  <c r="Q116" i="12"/>
  <c r="Q41" i="12"/>
  <c r="Q122" i="12"/>
  <c r="Q23" i="12"/>
  <c r="Q115" i="12"/>
  <c r="Q110" i="12"/>
  <c r="Q20" i="12"/>
  <c r="Q160" i="12"/>
  <c r="Q140" i="12"/>
  <c r="Q81" i="12"/>
  <c r="Q36" i="12"/>
  <c r="Q40" i="12"/>
  <c r="R121" i="12"/>
  <c r="R176" i="12"/>
  <c r="R174" i="12"/>
  <c r="R52" i="12"/>
  <c r="R113" i="12"/>
  <c r="R116" i="12"/>
  <c r="R41" i="12"/>
  <c r="R122" i="12"/>
  <c r="R23" i="12"/>
  <c r="R115" i="12"/>
  <c r="R110" i="12"/>
  <c r="R20" i="12"/>
  <c r="R160" i="12"/>
  <c r="R140" i="12"/>
  <c r="R81" i="12"/>
  <c r="R36" i="12"/>
  <c r="R40" i="12"/>
  <c r="G150" i="12"/>
  <c r="Q150" i="12"/>
  <c r="R150" i="12"/>
  <c r="G76" i="12"/>
  <c r="Q76" i="12"/>
  <c r="R76" i="12"/>
  <c r="G100" i="12"/>
  <c r="Q100" i="12"/>
  <c r="R100" i="12"/>
  <c r="G167" i="12"/>
  <c r="Q167" i="12"/>
  <c r="R167" i="12"/>
  <c r="G16" i="12"/>
  <c r="Q16" i="12"/>
  <c r="R16" i="12"/>
  <c r="G136" i="12"/>
  <c r="Q136" i="12"/>
  <c r="R136" i="12"/>
  <c r="G164" i="12"/>
  <c r="Q164" i="12"/>
  <c r="R164" i="12"/>
  <c r="G139" i="12"/>
  <c r="Q139" i="12"/>
  <c r="R139" i="12"/>
  <c r="G62" i="12"/>
  <c r="Q62" i="12"/>
  <c r="R62" i="12"/>
  <c r="G126" i="12"/>
  <c r="Q126" i="12"/>
  <c r="R126" i="12"/>
  <c r="G14" i="12"/>
  <c r="Q14" i="12"/>
  <c r="R14" i="12"/>
  <c r="G143" i="12"/>
  <c r="Q143" i="12"/>
  <c r="R143" i="12"/>
  <c r="G94" i="12"/>
  <c r="Q94" i="12"/>
  <c r="R94" i="12"/>
  <c r="G102" i="12"/>
  <c r="Q102" i="12"/>
  <c r="R102" i="12"/>
  <c r="G53" i="12"/>
  <c r="Q53" i="12"/>
  <c r="R53" i="12"/>
  <c r="G112" i="12"/>
  <c r="Q112" i="12"/>
  <c r="R112" i="12"/>
  <c r="G132" i="12"/>
  <c r="Q132" i="12"/>
  <c r="R132" i="12"/>
  <c r="G49" i="12"/>
  <c r="Q49" i="12"/>
  <c r="R49" i="12"/>
  <c r="G99" i="12"/>
  <c r="Q99" i="12"/>
  <c r="R99" i="12"/>
  <c r="G83" i="12"/>
  <c r="Q83" i="12"/>
  <c r="R83" i="12"/>
  <c r="G166" i="12"/>
  <c r="Q166" i="12"/>
  <c r="R166" i="12"/>
  <c r="G106" i="12"/>
  <c r="Q106" i="12"/>
  <c r="R106" i="12"/>
  <c r="G48" i="12"/>
  <c r="Q48" i="12"/>
  <c r="R48" i="12"/>
  <c r="G70" i="12"/>
  <c r="Q70" i="12"/>
  <c r="R70" i="12"/>
  <c r="G35" i="12"/>
  <c r="Q35" i="12"/>
  <c r="R35" i="12"/>
  <c r="G104" i="12"/>
  <c r="Q104" i="12"/>
  <c r="R104" i="12"/>
  <c r="G18" i="12"/>
  <c r="Q18" i="12"/>
  <c r="R18" i="12"/>
  <c r="G47" i="12"/>
  <c r="Q47" i="12"/>
  <c r="R47" i="12"/>
  <c r="G42" i="12"/>
  <c r="Q42" i="12"/>
  <c r="R42" i="12"/>
  <c r="G142" i="12"/>
  <c r="Q142" i="12"/>
  <c r="R142" i="12"/>
  <c r="G162" i="12"/>
  <c r="Q162" i="12"/>
  <c r="R162" i="12"/>
  <c r="G141" i="12"/>
  <c r="Q141" i="12"/>
  <c r="R141" i="12"/>
  <c r="R46" i="11"/>
  <c r="R13" i="11"/>
  <c r="R29" i="11"/>
  <c r="R45" i="11"/>
  <c r="R174" i="11"/>
  <c r="R112" i="11"/>
  <c r="R38" i="11"/>
  <c r="R151" i="11"/>
  <c r="R71" i="11"/>
  <c r="G46" i="11"/>
  <c r="Q46" i="11"/>
  <c r="G13" i="11"/>
  <c r="Q13" i="11"/>
  <c r="G29" i="11"/>
  <c r="Q29" i="11"/>
  <c r="G45" i="11"/>
  <c r="Q45" i="11"/>
  <c r="G174" i="11"/>
  <c r="Q174" i="11"/>
  <c r="G112" i="11"/>
  <c r="Q112" i="11"/>
  <c r="G38" i="11"/>
  <c r="Q38" i="11"/>
  <c r="G151" i="11"/>
  <c r="Q151" i="11"/>
  <c r="G71" i="11"/>
  <c r="Q71" i="11"/>
  <c r="H267" i="11"/>
  <c r="H265" i="11"/>
  <c r="H228" i="11"/>
  <c r="K228" i="11"/>
  <c r="H214" i="11"/>
  <c r="H215" i="11"/>
  <c r="J214" i="11"/>
  <c r="J215" i="11"/>
  <c r="K214" i="11"/>
  <c r="K215" i="11"/>
  <c r="H217" i="11"/>
  <c r="H223" i="11"/>
  <c r="J217" i="11"/>
  <c r="J223" i="11"/>
  <c r="K217" i="11"/>
  <c r="K223" i="11"/>
  <c r="H220" i="11"/>
  <c r="H203" i="11"/>
  <c r="J220" i="11"/>
  <c r="J203" i="11"/>
  <c r="K220" i="11"/>
  <c r="K203" i="11"/>
  <c r="R57" i="11"/>
  <c r="H266" i="11"/>
  <c r="H264" i="11"/>
  <c r="J228" i="11"/>
  <c r="H213" i="11"/>
  <c r="H212" i="11"/>
  <c r="J213" i="11"/>
  <c r="J212" i="11"/>
  <c r="K213" i="11"/>
  <c r="K212" i="11"/>
  <c r="H216" i="11"/>
  <c r="H218" i="11"/>
  <c r="J216" i="11"/>
  <c r="J218" i="11"/>
  <c r="K216" i="11"/>
  <c r="K218" i="11"/>
  <c r="H219" i="11"/>
  <c r="H202" i="11"/>
  <c r="J219" i="11"/>
  <c r="J202" i="11"/>
  <c r="K219" i="11"/>
  <c r="K202" i="11"/>
  <c r="G57" i="11"/>
  <c r="Q57" i="11"/>
  <c r="G52" i="11"/>
  <c r="Q52" i="11"/>
  <c r="R52" i="11"/>
  <c r="G9" i="11"/>
  <c r="G126" i="11"/>
  <c r="Q25" i="11"/>
  <c r="Q153" i="11"/>
  <c r="R25" i="11"/>
  <c r="R153" i="11"/>
  <c r="G66" i="11"/>
  <c r="G101" i="11"/>
  <c r="G28" i="11"/>
  <c r="G162" i="11"/>
  <c r="G41" i="11"/>
  <c r="G104" i="11"/>
  <c r="G115" i="11"/>
  <c r="Q66" i="11"/>
  <c r="Q101" i="11"/>
  <c r="Q28" i="11"/>
  <c r="Q162" i="11"/>
  <c r="Q41" i="11"/>
  <c r="Q104" i="11"/>
  <c r="Q115" i="11"/>
  <c r="R66" i="11"/>
  <c r="R101" i="11"/>
  <c r="R28" i="11"/>
  <c r="R162" i="11"/>
  <c r="R41" i="11"/>
  <c r="R104" i="11"/>
  <c r="R115" i="11"/>
  <c r="G25" i="11"/>
  <c r="G153" i="11"/>
  <c r="Q9" i="11"/>
  <c r="Q126" i="11"/>
  <c r="R9" i="11"/>
  <c r="R126" i="11"/>
  <c r="G86" i="11"/>
  <c r="G134" i="11"/>
  <c r="G49" i="11"/>
  <c r="G39" i="11"/>
  <c r="G135" i="11"/>
  <c r="G118" i="11"/>
  <c r="G72" i="11"/>
  <c r="G96" i="11"/>
  <c r="Q86" i="11"/>
  <c r="Q134" i="11"/>
  <c r="Q49" i="11"/>
  <c r="Q39" i="11"/>
  <c r="Q135" i="11"/>
  <c r="Q118" i="11"/>
  <c r="Q72" i="11"/>
  <c r="Q96" i="11"/>
  <c r="R86" i="11"/>
  <c r="R134" i="11"/>
  <c r="R49" i="11"/>
  <c r="R39" i="11"/>
  <c r="R135" i="11"/>
  <c r="R118" i="11"/>
  <c r="R72" i="11"/>
  <c r="R96" i="11"/>
  <c r="G12" i="11"/>
  <c r="G16" i="11"/>
  <c r="G107" i="11"/>
  <c r="G84" i="11"/>
  <c r="G70" i="11"/>
  <c r="G158" i="11"/>
  <c r="G103" i="11"/>
  <c r="Q12" i="11"/>
  <c r="Q16" i="11"/>
  <c r="Q107" i="11"/>
  <c r="Q84" i="11"/>
  <c r="Q70" i="11"/>
  <c r="Q158" i="11"/>
  <c r="Q103" i="11"/>
  <c r="R12" i="11"/>
  <c r="R16" i="11"/>
  <c r="R107" i="11"/>
  <c r="R84" i="11"/>
  <c r="R70" i="11"/>
  <c r="R158" i="11"/>
  <c r="R103" i="11"/>
  <c r="G63" i="11"/>
  <c r="G26" i="11"/>
  <c r="G97" i="11"/>
  <c r="G150" i="11"/>
  <c r="G68" i="11"/>
  <c r="G65" i="11"/>
  <c r="G171" i="11"/>
  <c r="Q63" i="11"/>
  <c r="Q26" i="11"/>
  <c r="Q97" i="11"/>
  <c r="Q150" i="11"/>
  <c r="Q68" i="11"/>
  <c r="Q65" i="11"/>
  <c r="Q171" i="11"/>
  <c r="R63" i="11"/>
  <c r="R26" i="11"/>
  <c r="R97" i="11"/>
  <c r="R150" i="11"/>
  <c r="R68" i="11"/>
  <c r="R65" i="11"/>
  <c r="R171" i="11"/>
  <c r="G85" i="11"/>
  <c r="G17" i="11"/>
  <c r="G60" i="11"/>
  <c r="G140" i="11"/>
  <c r="Q119" i="11"/>
  <c r="Q183" i="11"/>
  <c r="Q79" i="11"/>
  <c r="Q155" i="11"/>
  <c r="Q106" i="11"/>
  <c r="R119" i="11"/>
  <c r="R183" i="11"/>
  <c r="R79" i="11"/>
  <c r="R155" i="11"/>
  <c r="R106" i="11"/>
  <c r="G62" i="11"/>
  <c r="G175" i="11"/>
  <c r="G185" i="11"/>
  <c r="G51" i="11"/>
  <c r="G24" i="11"/>
  <c r="G99" i="11"/>
  <c r="G180" i="11"/>
  <c r="Q130" i="11"/>
  <c r="Q181" i="11"/>
  <c r="Q54" i="11"/>
  <c r="Q18" i="11"/>
  <c r="Q138" i="11"/>
  <c r="Q172" i="11"/>
  <c r="R62" i="11"/>
  <c r="R175" i="11"/>
  <c r="R185" i="11"/>
  <c r="R51" i="11"/>
  <c r="G44" i="11"/>
  <c r="G14" i="11"/>
  <c r="G149" i="11"/>
  <c r="G111" i="11"/>
  <c r="G33" i="11"/>
  <c r="G147" i="11"/>
  <c r="G133" i="11"/>
  <c r="Q44" i="11"/>
  <c r="Q14" i="11"/>
  <c r="Q149" i="11"/>
  <c r="Q111" i="11"/>
  <c r="Q33" i="11"/>
  <c r="Q147" i="11"/>
  <c r="Q133" i="11"/>
  <c r="R44" i="11"/>
  <c r="R14" i="11"/>
  <c r="R149" i="11"/>
  <c r="R111" i="11"/>
  <c r="R33" i="11"/>
  <c r="R147" i="11"/>
  <c r="R133" i="11"/>
  <c r="G121" i="11"/>
  <c r="G113" i="11"/>
  <c r="G173" i="11"/>
  <c r="G129" i="11"/>
  <c r="G177" i="11"/>
  <c r="G178" i="11"/>
  <c r="G80" i="11"/>
  <c r="Q121" i="11"/>
  <c r="Q113" i="11"/>
  <c r="Q173" i="11"/>
  <c r="Q129" i="11"/>
  <c r="Q177" i="11"/>
  <c r="Q178" i="11"/>
  <c r="Q80" i="11"/>
  <c r="R121" i="11"/>
  <c r="R113" i="11"/>
  <c r="R173" i="11"/>
  <c r="R129" i="11"/>
  <c r="R177" i="11"/>
  <c r="R178" i="11"/>
  <c r="R80" i="11"/>
  <c r="G119" i="11"/>
  <c r="G183" i="11"/>
  <c r="G79" i="11"/>
  <c r="G155" i="11"/>
  <c r="G106" i="11"/>
  <c r="Q85" i="11"/>
  <c r="Q17" i="11"/>
  <c r="Q60" i="11"/>
  <c r="Q140" i="11"/>
  <c r="R85" i="11"/>
  <c r="R17" i="11"/>
  <c r="R60" i="11"/>
  <c r="R140" i="11"/>
  <c r="G130" i="11"/>
  <c r="G181" i="11"/>
  <c r="G54" i="11"/>
  <c r="G18" i="11"/>
  <c r="G138" i="11"/>
  <c r="G172" i="11"/>
  <c r="Q62" i="11"/>
  <c r="Q175" i="11"/>
  <c r="Q185" i="11"/>
  <c r="Q51" i="11"/>
  <c r="Q24" i="11"/>
  <c r="Q99" i="11"/>
  <c r="Q180" i="11"/>
  <c r="R130" i="11"/>
  <c r="R181" i="11"/>
  <c r="R54" i="11"/>
  <c r="R18" i="11"/>
  <c r="R138" i="11"/>
  <c r="R172" i="11"/>
  <c r="G30" i="11"/>
  <c r="G31" i="11"/>
  <c r="G176" i="11"/>
  <c r="G168" i="11"/>
  <c r="G50" i="11"/>
  <c r="G125" i="11"/>
  <c r="G127" i="11"/>
  <c r="Q30" i="11"/>
  <c r="Q31" i="11"/>
  <c r="Q176" i="11"/>
  <c r="Q168" i="11"/>
  <c r="Q50" i="11"/>
  <c r="Q125" i="11"/>
  <c r="Q127" i="11"/>
  <c r="R105" i="11"/>
  <c r="R184" i="11"/>
  <c r="R159" i="11"/>
  <c r="R58" i="11"/>
  <c r="R167" i="11"/>
  <c r="R48" i="11"/>
  <c r="G179" i="11"/>
  <c r="G61" i="11"/>
  <c r="G116" i="11"/>
  <c r="Q179" i="11"/>
  <c r="Q61" i="11"/>
  <c r="Q116" i="11"/>
  <c r="R179" i="11"/>
  <c r="R61" i="11"/>
  <c r="R116" i="11"/>
  <c r="G78" i="11"/>
  <c r="G152" i="11"/>
  <c r="G40" i="11"/>
  <c r="Q78" i="11"/>
  <c r="Q152" i="11"/>
  <c r="Q40" i="11"/>
  <c r="R78" i="11"/>
  <c r="R152" i="11"/>
  <c r="R40" i="11"/>
  <c r="G164" i="11"/>
  <c r="G82" i="11"/>
  <c r="G100" i="11"/>
  <c r="Q164" i="11"/>
  <c r="Q82" i="11"/>
  <c r="Q100" i="11"/>
  <c r="R164" i="11"/>
  <c r="R82" i="11"/>
  <c r="R100" i="11"/>
  <c r="G55" i="11"/>
  <c r="G53" i="11"/>
  <c r="Q55" i="11"/>
  <c r="Q53" i="11"/>
  <c r="R55" i="11"/>
  <c r="R53" i="11"/>
  <c r="R47" i="11"/>
  <c r="R182" i="11"/>
  <c r="G124" i="11"/>
  <c r="G27" i="11"/>
  <c r="Q124" i="11"/>
  <c r="R27" i="11"/>
  <c r="G73" i="11"/>
  <c r="Q73" i="11"/>
  <c r="R69" i="11"/>
  <c r="R24" i="11"/>
  <c r="R99" i="11"/>
  <c r="R180" i="11"/>
  <c r="G105" i="11"/>
  <c r="G184" i="11"/>
  <c r="G159" i="11"/>
  <c r="G58" i="11"/>
  <c r="G167" i="11"/>
  <c r="G48" i="11"/>
  <c r="Q105" i="11"/>
  <c r="Q184" i="11"/>
  <c r="Q159" i="11"/>
  <c r="Q58" i="11"/>
  <c r="Q167" i="11"/>
  <c r="Q48" i="11"/>
  <c r="R30" i="11"/>
  <c r="R31" i="11"/>
  <c r="R176" i="11"/>
  <c r="R168" i="11"/>
  <c r="R50" i="11"/>
  <c r="R125" i="11"/>
  <c r="R127" i="11"/>
  <c r="G128" i="11"/>
  <c r="G94" i="11"/>
  <c r="G32" i="11"/>
  <c r="Q128" i="11"/>
  <c r="Q94" i="11"/>
  <c r="Q32" i="11"/>
  <c r="R128" i="11"/>
  <c r="R94" i="11"/>
  <c r="R32" i="11"/>
  <c r="G47" i="11"/>
  <c r="G36" i="11"/>
  <c r="G182" i="11"/>
  <c r="Q47" i="11"/>
  <c r="Q36" i="11"/>
  <c r="Q182" i="11"/>
  <c r="R36" i="11"/>
  <c r="Q27" i="11"/>
  <c r="R124" i="11"/>
  <c r="G69" i="11"/>
  <c r="Q69" i="11"/>
  <c r="R73" i="11"/>
  <c r="G76" i="10"/>
  <c r="G66" i="10"/>
  <c r="Q8" i="10"/>
  <c r="R131" i="10"/>
  <c r="R142" i="10"/>
  <c r="R14" i="10"/>
  <c r="Q79" i="10"/>
  <c r="Q127" i="10"/>
  <c r="Q120" i="10"/>
  <c r="R143" i="10"/>
  <c r="Q66" i="10"/>
  <c r="Q123" i="10"/>
  <c r="G89" i="10"/>
  <c r="G8" i="10"/>
  <c r="R76" i="10"/>
  <c r="G131" i="10"/>
  <c r="R123" i="10"/>
  <c r="R9" i="10"/>
  <c r="R89" i="10"/>
  <c r="G74" i="10"/>
  <c r="G120" i="10"/>
  <c r="Q143" i="10"/>
  <c r="Q9" i="10"/>
  <c r="Q74" i="10"/>
  <c r="Q76" i="10"/>
  <c r="R66" i="10"/>
  <c r="G123" i="10"/>
  <c r="Q131" i="10"/>
  <c r="G142" i="10"/>
  <c r="Q142" i="10"/>
  <c r="G14" i="10"/>
  <c r="Q14" i="10"/>
  <c r="G79" i="10"/>
  <c r="G127" i="10"/>
  <c r="R74" i="10"/>
  <c r="G143" i="10"/>
  <c r="R8" i="10"/>
  <c r="G9" i="10"/>
  <c r="Q89" i="10"/>
  <c r="R79" i="10"/>
  <c r="R127" i="10"/>
  <c r="R120" i="10"/>
  <c r="G232" i="10"/>
  <c r="G230" i="10"/>
  <c r="G229" i="10"/>
  <c r="G231" i="10"/>
  <c r="H194" i="10"/>
  <c r="K194" i="10"/>
  <c r="J194" i="10"/>
  <c r="H195" i="10"/>
  <c r="K195" i="10"/>
  <c r="J195" i="10"/>
  <c r="G46" i="10"/>
  <c r="G200" i="2"/>
  <c r="G202" i="2"/>
  <c r="G199" i="2"/>
  <c r="G201" i="2"/>
  <c r="G190" i="2"/>
  <c r="G192" i="2"/>
  <c r="G189" i="2"/>
  <c r="G191" i="2"/>
  <c r="G193" i="2"/>
  <c r="H176" i="10"/>
  <c r="J176" i="10"/>
  <c r="K176" i="10"/>
  <c r="H193" i="10"/>
  <c r="J193" i="10"/>
  <c r="K193" i="10"/>
  <c r="H172" i="10"/>
  <c r="J172" i="10"/>
  <c r="K172" i="10"/>
  <c r="H175" i="10"/>
  <c r="H186" i="10"/>
  <c r="H170" i="10"/>
  <c r="H187" i="10"/>
  <c r="J185" i="10"/>
  <c r="K175" i="10"/>
  <c r="K186" i="10"/>
  <c r="J170" i="10"/>
  <c r="K169" i="10"/>
  <c r="K171" i="10"/>
  <c r="K187" i="10"/>
  <c r="G12" i="10"/>
  <c r="G61" i="10"/>
  <c r="Q12" i="10"/>
  <c r="Q61" i="10"/>
  <c r="R12" i="10"/>
  <c r="R61" i="10"/>
  <c r="G81" i="10"/>
  <c r="Q49" i="10"/>
  <c r="R49" i="10"/>
  <c r="G97" i="10"/>
  <c r="Q97" i="10"/>
  <c r="R97" i="10"/>
  <c r="G129" i="10"/>
  <c r="Q129" i="10"/>
  <c r="R129" i="10"/>
  <c r="H182" i="10"/>
  <c r="J182" i="10"/>
  <c r="K182" i="10"/>
  <c r="H178" i="10"/>
  <c r="K178" i="10"/>
  <c r="G51" i="10"/>
  <c r="Q51" i="10"/>
  <c r="R51" i="10"/>
  <c r="H185" i="10"/>
  <c r="H169" i="10"/>
  <c r="H171" i="10"/>
  <c r="J175" i="10"/>
  <c r="J186" i="10"/>
  <c r="K185" i="10"/>
  <c r="J169" i="10"/>
  <c r="J171" i="10"/>
  <c r="K170" i="10"/>
  <c r="J187" i="10"/>
  <c r="G70" i="10"/>
  <c r="G59" i="10"/>
  <c r="Q70" i="10"/>
  <c r="Q59" i="10"/>
  <c r="R70" i="10"/>
  <c r="R59" i="10"/>
  <c r="G49" i="10"/>
  <c r="Q81" i="10"/>
  <c r="R81" i="10"/>
  <c r="G122" i="10"/>
  <c r="Q122" i="10"/>
  <c r="R122" i="10"/>
  <c r="G126" i="10"/>
  <c r="Q126" i="10"/>
  <c r="R126" i="10"/>
  <c r="H183" i="10"/>
  <c r="J183" i="10"/>
  <c r="K183" i="10"/>
  <c r="J178" i="10"/>
  <c r="G109" i="10"/>
  <c r="Q109" i="10"/>
  <c r="R109" i="10"/>
  <c r="R19" i="10"/>
  <c r="R54" i="10"/>
  <c r="R119" i="10"/>
  <c r="Q87" i="10"/>
  <c r="G82" i="10"/>
  <c r="Q82" i="10"/>
  <c r="G24" i="10"/>
  <c r="Q24" i="10"/>
  <c r="G144" i="10"/>
  <c r="Q144" i="10"/>
  <c r="G145" i="10"/>
  <c r="Q145" i="10"/>
  <c r="G21" i="10"/>
  <c r="Q21" i="10"/>
  <c r="G146" i="10"/>
  <c r="Q146" i="10"/>
  <c r="G40" i="10"/>
  <c r="Q40" i="10"/>
  <c r="G37" i="10"/>
  <c r="Q37" i="10"/>
  <c r="G138" i="10"/>
  <c r="Q138" i="10"/>
  <c r="G33" i="10"/>
  <c r="Q33" i="10"/>
  <c r="G84" i="10"/>
  <c r="Q84" i="10"/>
  <c r="G43" i="10"/>
  <c r="Q43" i="10"/>
  <c r="G85" i="10"/>
  <c r="Q85" i="10"/>
  <c r="G38" i="10"/>
  <c r="R38" i="10"/>
  <c r="R95" i="10"/>
  <c r="R91" i="10"/>
  <c r="R139" i="10"/>
  <c r="R141" i="10"/>
  <c r="R135" i="10"/>
  <c r="R92" i="10"/>
  <c r="R137" i="10"/>
  <c r="R130" i="10"/>
  <c r="Q124" i="10"/>
  <c r="G125" i="10"/>
  <c r="Q125" i="10"/>
  <c r="G121" i="10"/>
  <c r="Q121" i="10"/>
  <c r="G117" i="10"/>
  <c r="Q117" i="10"/>
  <c r="G115" i="10"/>
  <c r="G118" i="10"/>
  <c r="Q118" i="10"/>
  <c r="G93" i="10"/>
  <c r="Q93" i="10"/>
  <c r="G11" i="10"/>
  <c r="Q11" i="10"/>
  <c r="G128" i="10"/>
  <c r="Q128" i="10"/>
  <c r="G106" i="10"/>
  <c r="Q106" i="10"/>
  <c r="G112" i="10"/>
  <c r="Q112" i="10"/>
  <c r="G108" i="10"/>
  <c r="Q108" i="10"/>
  <c r="G111" i="10"/>
  <c r="Q111" i="10"/>
  <c r="G104" i="10"/>
  <c r="Q104" i="10"/>
  <c r="G110" i="10"/>
  <c r="Q110" i="10"/>
  <c r="G105" i="10"/>
  <c r="Q105" i="10"/>
  <c r="G107" i="10"/>
  <c r="Q107" i="10"/>
  <c r="G116" i="10"/>
  <c r="Q116" i="10"/>
  <c r="G103" i="10"/>
  <c r="Q103" i="10"/>
  <c r="G101" i="10"/>
  <c r="G19" i="10"/>
  <c r="Q19" i="10"/>
  <c r="G54" i="10"/>
  <c r="Q54" i="10"/>
  <c r="G119" i="10"/>
  <c r="Q119" i="10"/>
  <c r="G87" i="10"/>
  <c r="R87" i="10"/>
  <c r="R82" i="10"/>
  <c r="R24" i="10"/>
  <c r="R144" i="10"/>
  <c r="R145" i="10"/>
  <c r="R21" i="10"/>
  <c r="R146" i="10"/>
  <c r="R40" i="10"/>
  <c r="R37" i="10"/>
  <c r="R138" i="10"/>
  <c r="R33" i="10"/>
  <c r="R84" i="10"/>
  <c r="R43" i="10"/>
  <c r="R85" i="10"/>
  <c r="Q38" i="10"/>
  <c r="G95" i="10"/>
  <c r="Q95" i="10"/>
  <c r="G91" i="10"/>
  <c r="Q91" i="10"/>
  <c r="G139" i="10"/>
  <c r="Q139" i="10"/>
  <c r="G141" i="10"/>
  <c r="Q141" i="10"/>
  <c r="G135" i="10"/>
  <c r="Q135" i="10"/>
  <c r="G92" i="10"/>
  <c r="Q92" i="10"/>
  <c r="G137" i="10"/>
  <c r="Q137" i="10"/>
  <c r="G130" i="10"/>
  <c r="Q130" i="10"/>
  <c r="G124" i="10"/>
  <c r="R124" i="10"/>
  <c r="R125" i="10"/>
  <c r="R121" i="10"/>
  <c r="R117" i="10"/>
  <c r="R115" i="10"/>
  <c r="R118" i="10"/>
  <c r="R93" i="10"/>
  <c r="R11" i="10"/>
  <c r="R128" i="10"/>
  <c r="R106" i="10"/>
  <c r="R112" i="10"/>
  <c r="R108" i="10"/>
  <c r="R111" i="10"/>
  <c r="R104" i="10"/>
  <c r="R110" i="10"/>
  <c r="R105" i="10"/>
  <c r="R107" i="10"/>
  <c r="R116" i="10"/>
  <c r="R103" i="10"/>
  <c r="R101" i="10"/>
  <c r="R100" i="10"/>
  <c r="R140" i="10"/>
  <c r="Q101" i="10"/>
  <c r="G140" i="10"/>
  <c r="Q140" i="10"/>
  <c r="R83" i="10"/>
  <c r="R96" i="10"/>
  <c r="R56" i="10"/>
  <c r="R86" i="10"/>
  <c r="R29" i="10"/>
  <c r="R50" i="10"/>
  <c r="R88" i="10"/>
  <c r="R113" i="10"/>
  <c r="R52" i="10"/>
  <c r="R72" i="10"/>
  <c r="R77" i="10"/>
  <c r="R80" i="10"/>
  <c r="R78" i="10"/>
  <c r="R75" i="10"/>
  <c r="R73" i="10"/>
  <c r="R90" i="10"/>
  <c r="R71" i="10"/>
  <c r="R67" i="10"/>
  <c r="R64" i="10"/>
  <c r="R65" i="10"/>
  <c r="R68" i="10"/>
  <c r="R69" i="10"/>
  <c r="R60" i="10"/>
  <c r="R55" i="10"/>
  <c r="R57" i="10"/>
  <c r="R58" i="10"/>
  <c r="R102" i="10"/>
  <c r="R53" i="10"/>
  <c r="R41" i="10"/>
  <c r="R42" i="10"/>
  <c r="R39" i="10"/>
  <c r="R35" i="10"/>
  <c r="R36" i="10"/>
  <c r="R34" i="10"/>
  <c r="R32" i="10"/>
  <c r="R31" i="10"/>
  <c r="R30" i="10"/>
  <c r="R26" i="10"/>
  <c r="R27" i="10"/>
  <c r="R25" i="10"/>
  <c r="R28" i="10"/>
  <c r="R136" i="10"/>
  <c r="G100" i="10"/>
  <c r="Q100" i="10"/>
  <c r="G83" i="10"/>
  <c r="Q83" i="10"/>
  <c r="G96" i="10"/>
  <c r="Q96" i="10"/>
  <c r="G56" i="10"/>
  <c r="Q56" i="10"/>
  <c r="G86" i="10"/>
  <c r="Q86" i="10"/>
  <c r="G29" i="10"/>
  <c r="Q29" i="10"/>
  <c r="G50" i="10"/>
  <c r="Q50" i="10"/>
  <c r="G88" i="10"/>
  <c r="Q88" i="10"/>
  <c r="G113" i="10"/>
  <c r="Q113" i="10"/>
  <c r="G52" i="10"/>
  <c r="Q52" i="10"/>
  <c r="G72" i="10"/>
  <c r="Q72" i="10"/>
  <c r="G77" i="10"/>
  <c r="Q77" i="10"/>
  <c r="G80" i="10"/>
  <c r="Q80" i="10"/>
  <c r="G78" i="10"/>
  <c r="Q78" i="10"/>
  <c r="G75" i="10"/>
  <c r="Q75" i="10"/>
  <c r="G73" i="10"/>
  <c r="Q73" i="10"/>
  <c r="G90" i="10"/>
  <c r="Q90" i="10"/>
  <c r="G71" i="10"/>
  <c r="Q71" i="10"/>
  <c r="G67" i="10"/>
  <c r="Q67" i="10"/>
  <c r="G64" i="10"/>
  <c r="Q64" i="10"/>
  <c r="G65" i="10"/>
  <c r="Q65" i="10"/>
  <c r="G68" i="10"/>
  <c r="Q68" i="10"/>
  <c r="G69" i="10"/>
  <c r="Q69" i="10"/>
  <c r="G60" i="10"/>
  <c r="Q60" i="10"/>
  <c r="G55" i="10"/>
  <c r="Q55" i="10"/>
  <c r="G57" i="10"/>
  <c r="Q57" i="10"/>
  <c r="G58" i="10"/>
  <c r="Q58" i="10"/>
  <c r="G102" i="10"/>
  <c r="Q102" i="10"/>
  <c r="G53" i="10"/>
  <c r="Q53" i="10"/>
  <c r="G41" i="10"/>
  <c r="Q41" i="10"/>
  <c r="G42" i="10"/>
  <c r="Q42" i="10"/>
  <c r="G39" i="10"/>
  <c r="Q39" i="10"/>
  <c r="G35" i="10"/>
  <c r="Q35" i="10"/>
  <c r="G36" i="10"/>
  <c r="Q36" i="10"/>
  <c r="G34" i="10"/>
  <c r="Q34" i="10"/>
  <c r="G32" i="10"/>
  <c r="Q32" i="10"/>
  <c r="G31" i="10"/>
  <c r="Q31" i="10"/>
  <c r="G30" i="10"/>
  <c r="Q30" i="10"/>
  <c r="G26" i="10"/>
  <c r="Q26" i="10"/>
  <c r="G27" i="10"/>
  <c r="Q27" i="10"/>
  <c r="G25" i="10"/>
  <c r="Q25" i="10"/>
  <c r="G28" i="10"/>
  <c r="Q28" i="10"/>
  <c r="G136" i="10"/>
  <c r="Q136" i="10"/>
  <c r="H174" i="2"/>
  <c r="J175" i="2"/>
  <c r="K176" i="2"/>
  <c r="J163" i="2"/>
  <c r="K169" i="2"/>
  <c r="H154" i="2"/>
  <c r="K161" i="2"/>
  <c r="H158" i="2"/>
  <c r="J159" i="2"/>
  <c r="H160" i="2"/>
  <c r="J171" i="2"/>
  <c r="K172" i="2"/>
  <c r="J173" i="2"/>
  <c r="H175" i="2"/>
  <c r="J176" i="2"/>
  <c r="H163" i="2"/>
  <c r="J169" i="2"/>
  <c r="K164" i="2"/>
  <c r="J161" i="2"/>
  <c r="K153" i="2"/>
  <c r="H159" i="2"/>
  <c r="K155" i="2"/>
  <c r="H171" i="2"/>
  <c r="J172" i="2"/>
  <c r="H173" i="2"/>
  <c r="H176" i="2"/>
  <c r="H169" i="2"/>
  <c r="H161" i="2"/>
  <c r="K154" i="2"/>
  <c r="K158" i="2"/>
  <c r="K160" i="2"/>
  <c r="J174" i="2"/>
  <c r="H164" i="2"/>
  <c r="H153" i="2"/>
  <c r="H155" i="2"/>
  <c r="K159" i="2"/>
  <c r="K171" i="2"/>
  <c r="K173" i="2"/>
  <c r="K174" i="2"/>
  <c r="J153" i="2"/>
  <c r="H172" i="2"/>
  <c r="K175" i="2"/>
  <c r="J154" i="2"/>
  <c r="J160" i="2"/>
  <c r="J164" i="2"/>
  <c r="K163" i="2"/>
  <c r="J155" i="2"/>
  <c r="J158" i="2"/>
  <c r="K199" i="20"/>
  <c r="G27" i="20" l="1"/>
  <c r="P27" i="20"/>
  <c r="Q27" i="20"/>
  <c r="R27" i="20"/>
  <c r="G24" i="20"/>
  <c r="P24" i="20"/>
  <c r="Q24" i="20"/>
  <c r="R24" i="20"/>
  <c r="H238" i="20"/>
  <c r="J238" i="20"/>
  <c r="K238" i="20"/>
  <c r="H240" i="20"/>
  <c r="J240" i="20"/>
  <c r="K240" i="20"/>
  <c r="H233" i="20"/>
  <c r="J233" i="20"/>
  <c r="K233" i="20"/>
  <c r="G28" i="20"/>
  <c r="P28" i="20"/>
  <c r="Q28" i="20"/>
  <c r="R28" i="20"/>
  <c r="G112" i="20"/>
  <c r="P112" i="20"/>
  <c r="Q112" i="20"/>
  <c r="R112" i="20"/>
  <c r="G66" i="20"/>
  <c r="P66" i="20"/>
  <c r="Q66" i="20"/>
  <c r="R66" i="20"/>
  <c r="G100" i="20"/>
  <c r="P100" i="20"/>
  <c r="Q100" i="20"/>
  <c r="R100" i="20"/>
  <c r="G111" i="20"/>
  <c r="P111" i="20"/>
  <c r="Q111" i="20"/>
  <c r="R111" i="20"/>
  <c r="G34" i="20"/>
  <c r="Q34" i="20"/>
  <c r="R34" i="20"/>
  <c r="G94" i="20"/>
  <c r="P94" i="20"/>
  <c r="Q94" i="20"/>
  <c r="R94" i="20"/>
  <c r="G114" i="20"/>
  <c r="P114" i="20"/>
  <c r="Q114" i="20"/>
  <c r="R114" i="20"/>
  <c r="H257" i="20"/>
  <c r="J257" i="20"/>
  <c r="K257" i="20"/>
  <c r="H239" i="20"/>
  <c r="J239" i="20"/>
  <c r="K239" i="20"/>
  <c r="O199" i="20"/>
  <c r="H254" i="20" l="1"/>
  <c r="J254" i="20"/>
  <c r="K254" i="20"/>
  <c r="H231" i="20"/>
  <c r="H250" i="20"/>
  <c r="H222" i="20"/>
  <c r="H223" i="20"/>
  <c r="H230" i="20"/>
  <c r="J231" i="20"/>
  <c r="J250" i="20"/>
  <c r="J222" i="20"/>
  <c r="J223" i="20"/>
  <c r="J230" i="20"/>
  <c r="K231" i="20"/>
  <c r="K250" i="20"/>
  <c r="K222" i="20"/>
  <c r="K223" i="20"/>
  <c r="K230" i="20"/>
  <c r="H258" i="20"/>
  <c r="H249" i="20"/>
  <c r="J258" i="20"/>
  <c r="J249" i="20"/>
  <c r="K258" i="20"/>
  <c r="K249" i="20"/>
  <c r="H237" i="20"/>
  <c r="J237" i="20"/>
  <c r="K237" i="20"/>
  <c r="G102" i="20"/>
  <c r="P102" i="20"/>
  <c r="Q102" i="20"/>
  <c r="R102" i="20"/>
  <c r="G96" i="20"/>
  <c r="P96" i="20"/>
  <c r="Q96" i="20"/>
  <c r="R96" i="20"/>
  <c r="G193" i="20"/>
  <c r="P193" i="20"/>
  <c r="Q193" i="20"/>
  <c r="R193" i="20"/>
  <c r="G160" i="20"/>
  <c r="P160" i="20"/>
  <c r="Q160" i="20"/>
  <c r="R160" i="20"/>
  <c r="G143" i="20"/>
  <c r="P143" i="20"/>
  <c r="Q143" i="20"/>
  <c r="R143" i="20"/>
  <c r="G50" i="20"/>
  <c r="G79" i="20"/>
  <c r="G197" i="20"/>
  <c r="P197" i="20"/>
  <c r="Q197" i="20"/>
  <c r="R197" i="20"/>
  <c r="G153" i="20"/>
  <c r="P153" i="20"/>
  <c r="Q153" i="20"/>
  <c r="R153" i="20"/>
  <c r="G135" i="20"/>
  <c r="P135" i="20"/>
  <c r="Q135" i="20"/>
  <c r="R135" i="20"/>
  <c r="G125" i="20"/>
  <c r="P125" i="20"/>
  <c r="Q125" i="20"/>
  <c r="R125" i="20"/>
  <c r="G26" i="20"/>
  <c r="P26" i="20"/>
  <c r="Q26" i="20"/>
  <c r="R26" i="20"/>
  <c r="G42" i="20"/>
  <c r="P42" i="20"/>
  <c r="Q42" i="20"/>
  <c r="R42" i="20"/>
  <c r="G18" i="20"/>
  <c r="P18" i="20"/>
  <c r="Q18" i="20"/>
  <c r="R18" i="20"/>
  <c r="G166" i="20"/>
  <c r="P166" i="20"/>
  <c r="Q166" i="20"/>
  <c r="R166" i="20"/>
  <c r="G109" i="20"/>
  <c r="P109" i="20"/>
  <c r="Q109" i="20"/>
  <c r="R109" i="20"/>
  <c r="G46" i="20"/>
  <c r="P46" i="20"/>
  <c r="Q46" i="20"/>
  <c r="R46" i="20"/>
  <c r="G82" i="20"/>
  <c r="P82" i="20"/>
  <c r="Q82" i="20"/>
  <c r="R82" i="20"/>
  <c r="G81" i="20"/>
  <c r="P81" i="20"/>
  <c r="Q81" i="20"/>
  <c r="R81" i="20"/>
  <c r="G140" i="20"/>
  <c r="P140" i="20"/>
  <c r="Q140" i="20"/>
  <c r="R140" i="20"/>
  <c r="G124" i="20"/>
  <c r="P124" i="20"/>
  <c r="Q124" i="20"/>
  <c r="R124" i="20"/>
  <c r="G23" i="20"/>
  <c r="P23" i="20"/>
  <c r="Q23" i="20"/>
  <c r="R23" i="20"/>
  <c r="G184" i="20"/>
  <c r="P184" i="20"/>
  <c r="Q184" i="20"/>
  <c r="R184" i="20"/>
  <c r="G90" i="20"/>
  <c r="P90" i="20"/>
  <c r="Q90" i="20"/>
  <c r="R90" i="20"/>
  <c r="G196" i="20"/>
  <c r="P196" i="20"/>
  <c r="Q196" i="20"/>
  <c r="R196" i="20"/>
  <c r="G192" i="20"/>
  <c r="P192" i="20"/>
  <c r="Q192" i="20"/>
  <c r="R192" i="20"/>
  <c r="G189" i="20"/>
  <c r="P189" i="20"/>
  <c r="Q189" i="20"/>
  <c r="R189" i="20"/>
  <c r="G180" i="20"/>
  <c r="P180" i="20"/>
  <c r="Q180" i="20"/>
  <c r="R180" i="20"/>
  <c r="G183" i="20"/>
  <c r="P183" i="20"/>
  <c r="Q183" i="20"/>
  <c r="R183" i="20"/>
  <c r="G194" i="20"/>
  <c r="P194" i="20"/>
  <c r="Q194" i="20"/>
  <c r="R194" i="20"/>
  <c r="G176" i="20"/>
  <c r="P176" i="20"/>
  <c r="Q176" i="20"/>
  <c r="R176" i="20"/>
  <c r="G179" i="20"/>
  <c r="P179" i="20"/>
  <c r="Q179" i="20"/>
  <c r="R179" i="20"/>
  <c r="G185" i="20"/>
  <c r="P185" i="20"/>
  <c r="Q185" i="20"/>
  <c r="R185" i="20"/>
  <c r="G167" i="20"/>
  <c r="P167" i="20"/>
  <c r="Q167" i="20"/>
  <c r="R167" i="20"/>
  <c r="G172" i="20"/>
  <c r="P172" i="20"/>
  <c r="Q172" i="20"/>
  <c r="R172" i="20"/>
  <c r="G164" i="20"/>
  <c r="P164" i="20"/>
  <c r="Q164" i="20"/>
  <c r="R164" i="20"/>
  <c r="G162" i="20"/>
  <c r="P162" i="20"/>
  <c r="Q162" i="20"/>
  <c r="R162" i="20"/>
  <c r="G181" i="20"/>
  <c r="P181" i="20"/>
  <c r="Q181" i="20"/>
  <c r="R181" i="20"/>
  <c r="G171" i="20"/>
  <c r="P171" i="20"/>
  <c r="Q171" i="20"/>
  <c r="R171" i="20"/>
  <c r="G174" i="20"/>
  <c r="P174" i="20"/>
  <c r="Q174" i="20"/>
  <c r="R174" i="20"/>
  <c r="G116" i="20"/>
  <c r="G110" i="20"/>
  <c r="G117" i="20"/>
  <c r="G134" i="20"/>
  <c r="G130" i="20"/>
  <c r="G138" i="20"/>
  <c r="G129" i="20"/>
  <c r="G123" i="20"/>
  <c r="G137" i="20"/>
  <c r="G146" i="20"/>
  <c r="G126" i="20"/>
  <c r="G128" i="20"/>
  <c r="G150" i="20"/>
  <c r="G133" i="20"/>
  <c r="G131" i="20"/>
  <c r="G144" i="20"/>
  <c r="G145" i="20"/>
  <c r="G147" i="20"/>
  <c r="G158" i="20"/>
  <c r="G155" i="20"/>
  <c r="G141" i="20"/>
  <c r="G165" i="20"/>
  <c r="G151" i="20"/>
  <c r="G149" i="20"/>
  <c r="G163" i="20"/>
  <c r="P110" i="20"/>
  <c r="P117" i="20"/>
  <c r="P134" i="20"/>
  <c r="P130" i="20"/>
  <c r="P138" i="20"/>
  <c r="P129" i="20"/>
  <c r="P123" i="20"/>
  <c r="P137" i="20"/>
  <c r="P146" i="20"/>
  <c r="P126" i="20"/>
  <c r="P128" i="20"/>
  <c r="P150" i="20"/>
  <c r="P133" i="20"/>
  <c r="P131" i="20"/>
  <c r="P144" i="20"/>
  <c r="P145" i="20"/>
  <c r="P147" i="20"/>
  <c r="P158" i="20"/>
  <c r="P155" i="20"/>
  <c r="P141" i="20"/>
  <c r="P165" i="20"/>
  <c r="P149" i="20"/>
  <c r="P163" i="20"/>
  <c r="P116" i="20"/>
  <c r="P151" i="20"/>
  <c r="Q116" i="20"/>
  <c r="Q110" i="20"/>
  <c r="Q117" i="20"/>
  <c r="Q134" i="20"/>
  <c r="Q130" i="20"/>
  <c r="Q138" i="20"/>
  <c r="Q129" i="20"/>
  <c r="Q123" i="20"/>
  <c r="Q137" i="20"/>
  <c r="Q146" i="20"/>
  <c r="Q126" i="20"/>
  <c r="Q128" i="20"/>
  <c r="Q150" i="20"/>
  <c r="Q133" i="20"/>
  <c r="Q131" i="20"/>
  <c r="Q144" i="20"/>
  <c r="Q145" i="20"/>
  <c r="Q147" i="20"/>
  <c r="Q158" i="20"/>
  <c r="Q155" i="20"/>
  <c r="Q141" i="20"/>
  <c r="Q165" i="20"/>
  <c r="Q151" i="20"/>
  <c r="Q149" i="20"/>
  <c r="Q163" i="20"/>
  <c r="R116" i="20"/>
  <c r="R110" i="20"/>
  <c r="R117" i="20"/>
  <c r="R134" i="20"/>
  <c r="R130" i="20"/>
  <c r="R138" i="20"/>
  <c r="R129" i="20"/>
  <c r="R123" i="20"/>
  <c r="R137" i="20"/>
  <c r="R146" i="20"/>
  <c r="R126" i="20"/>
  <c r="R128" i="20"/>
  <c r="R150" i="20"/>
  <c r="R133" i="20"/>
  <c r="R131" i="20"/>
  <c r="R144" i="20"/>
  <c r="R145" i="20"/>
  <c r="R147" i="20"/>
  <c r="R158" i="20"/>
  <c r="R155" i="20"/>
  <c r="R141" i="20"/>
  <c r="R165" i="20"/>
  <c r="R151" i="20"/>
  <c r="R149" i="20"/>
  <c r="R163" i="20"/>
  <c r="G118" i="20"/>
  <c r="P118" i="20"/>
  <c r="Q118" i="20"/>
  <c r="R118" i="20"/>
  <c r="G120" i="20"/>
  <c r="P120" i="20"/>
  <c r="Q120" i="20"/>
  <c r="R120" i="20"/>
  <c r="G119" i="20"/>
  <c r="P119" i="20"/>
  <c r="Q119" i="20"/>
  <c r="R119" i="20"/>
  <c r="G115" i="20"/>
  <c r="P115" i="20"/>
  <c r="Q115" i="20"/>
  <c r="R115" i="20"/>
  <c r="G108" i="20"/>
  <c r="P108" i="20"/>
  <c r="Q108" i="20"/>
  <c r="R108" i="20"/>
  <c r="G113" i="20"/>
  <c r="P113" i="20"/>
  <c r="Q113" i="20"/>
  <c r="R113" i="20"/>
  <c r="G93" i="20"/>
  <c r="P93" i="20"/>
  <c r="Q93" i="20"/>
  <c r="R93" i="20"/>
  <c r="G105" i="20"/>
  <c r="P105" i="20"/>
  <c r="Q105" i="20"/>
  <c r="R105" i="20"/>
  <c r="G99" i="20"/>
  <c r="P99" i="20"/>
  <c r="Q99" i="20"/>
  <c r="R99" i="20"/>
  <c r="G91" i="20"/>
  <c r="P91" i="20"/>
  <c r="Q91" i="20"/>
  <c r="R91" i="20"/>
  <c r="G95" i="20"/>
  <c r="P95" i="20"/>
  <c r="Q95" i="20"/>
  <c r="R95" i="20"/>
  <c r="G101" i="20"/>
  <c r="P101" i="20"/>
  <c r="Q101" i="20"/>
  <c r="R101" i="20"/>
  <c r="G88" i="20"/>
  <c r="P88" i="20"/>
  <c r="Q88" i="20"/>
  <c r="R88" i="20"/>
  <c r="G86" i="20"/>
  <c r="P86" i="20"/>
  <c r="Q86" i="20"/>
  <c r="R86" i="20"/>
  <c r="G89" i="20"/>
  <c r="P89" i="20"/>
  <c r="Q89" i="20"/>
  <c r="R89" i="20"/>
  <c r="G92" i="20"/>
  <c r="P92" i="20"/>
  <c r="Q92" i="20"/>
  <c r="R92" i="20"/>
  <c r="G97" i="20"/>
  <c r="P97" i="20"/>
  <c r="Q97" i="20"/>
  <c r="R97" i="20"/>
  <c r="G85" i="20"/>
  <c r="P85" i="20"/>
  <c r="Q85" i="20"/>
  <c r="R85" i="20"/>
  <c r="G84" i="20"/>
  <c r="P84" i="20"/>
  <c r="Q84" i="20"/>
  <c r="R84" i="20"/>
  <c r="G83" i="20"/>
  <c r="P83" i="20"/>
  <c r="Q83" i="20"/>
  <c r="R83" i="20"/>
  <c r="G77" i="20"/>
  <c r="P77" i="20"/>
  <c r="Q77" i="20"/>
  <c r="R77" i="20"/>
  <c r="G76" i="20"/>
  <c r="P76" i="20"/>
  <c r="Q76" i="20"/>
  <c r="R76" i="20"/>
  <c r="G75" i="20"/>
  <c r="P75" i="20"/>
  <c r="Q75" i="20"/>
  <c r="R75" i="20"/>
  <c r="G73" i="20"/>
  <c r="P73" i="20"/>
  <c r="Q73" i="20"/>
  <c r="R73" i="20"/>
  <c r="G39" i="20"/>
  <c r="G37" i="20"/>
  <c r="G29" i="20"/>
  <c r="G45" i="20"/>
  <c r="G35" i="20"/>
  <c r="G47" i="20"/>
  <c r="G55" i="20"/>
  <c r="G48" i="20"/>
  <c r="G32" i="20"/>
  <c r="G44" i="20"/>
  <c r="G49" i="20"/>
  <c r="G59" i="20"/>
  <c r="G52" i="20"/>
  <c r="G51" i="20"/>
  <c r="G56" i="20"/>
  <c r="G61" i="20"/>
  <c r="G63" i="20"/>
  <c r="G60" i="20"/>
  <c r="G57" i="20"/>
  <c r="G64" i="20"/>
  <c r="G72" i="20"/>
  <c r="G71" i="20"/>
  <c r="G68" i="20"/>
  <c r="G67" i="20"/>
  <c r="G58" i="20"/>
  <c r="G69" i="20"/>
  <c r="G65" i="20"/>
  <c r="G78" i="20"/>
  <c r="P39" i="20"/>
  <c r="P37" i="20"/>
  <c r="P29" i="20"/>
  <c r="P45" i="20"/>
  <c r="P35" i="20"/>
  <c r="P47" i="20"/>
  <c r="P55" i="20"/>
  <c r="P48" i="20"/>
  <c r="P44" i="20"/>
  <c r="P49" i="20"/>
  <c r="P59" i="20"/>
  <c r="P52" i="20"/>
  <c r="P51" i="20"/>
  <c r="P56" i="20"/>
  <c r="P63" i="20"/>
  <c r="P60" i="20"/>
  <c r="P57" i="20"/>
  <c r="P64" i="20"/>
  <c r="P72" i="20"/>
  <c r="P71" i="20"/>
  <c r="P68" i="20"/>
  <c r="P67" i="20"/>
  <c r="P50" i="20"/>
  <c r="P79" i="20"/>
  <c r="P58" i="20"/>
  <c r="P69" i="20"/>
  <c r="P65" i="20"/>
  <c r="P78" i="20"/>
  <c r="P32" i="20"/>
  <c r="P61" i="20"/>
  <c r="Q39" i="20"/>
  <c r="Q37" i="20"/>
  <c r="Q29" i="20"/>
  <c r="Q45" i="20"/>
  <c r="Q35" i="20"/>
  <c r="Q47" i="20"/>
  <c r="Q55" i="20"/>
  <c r="Q48" i="20"/>
  <c r="Q32" i="20"/>
  <c r="Q44" i="20"/>
  <c r="Q49" i="20"/>
  <c r="Q59" i="20"/>
  <c r="Q52" i="20"/>
  <c r="Q51" i="20"/>
  <c r="Q56" i="20"/>
  <c r="Q61" i="20"/>
  <c r="Q63" i="20"/>
  <c r="Q60" i="20"/>
  <c r="Q57" i="20"/>
  <c r="Q64" i="20"/>
  <c r="Q72" i="20"/>
  <c r="Q71" i="20"/>
  <c r="Q68" i="20"/>
  <c r="Q67" i="20"/>
  <c r="Q50" i="20"/>
  <c r="Q79" i="20"/>
  <c r="Q58" i="20"/>
  <c r="Q69" i="20"/>
  <c r="Q65" i="20"/>
  <c r="Q78" i="20"/>
  <c r="R39" i="20"/>
  <c r="R37" i="20"/>
  <c r="R29" i="20"/>
  <c r="R45" i="20"/>
  <c r="R35" i="20"/>
  <c r="R47" i="20"/>
  <c r="R55" i="20"/>
  <c r="R48" i="20"/>
  <c r="R32" i="20"/>
  <c r="R44" i="20"/>
  <c r="R49" i="20"/>
  <c r="R59" i="20"/>
  <c r="R52" i="20"/>
  <c r="R51" i="20"/>
  <c r="R56" i="20"/>
  <c r="R61" i="20"/>
  <c r="R63" i="20"/>
  <c r="R60" i="20"/>
  <c r="R57" i="20"/>
  <c r="R64" i="20"/>
  <c r="R72" i="20"/>
  <c r="R71" i="20"/>
  <c r="R68" i="20"/>
  <c r="R67" i="20"/>
  <c r="R50" i="20"/>
  <c r="R79" i="20"/>
  <c r="R58" i="20"/>
  <c r="R69" i="20"/>
  <c r="R65" i="20"/>
  <c r="R78" i="20"/>
  <c r="G31" i="20"/>
  <c r="P31" i="20"/>
  <c r="Q31" i="20"/>
  <c r="R31" i="20"/>
  <c r="G36" i="20"/>
  <c r="P36" i="20"/>
  <c r="Q36" i="20"/>
  <c r="R36" i="20"/>
  <c r="G41" i="20"/>
  <c r="P41" i="20"/>
  <c r="Q41" i="20"/>
  <c r="R41" i="20"/>
  <c r="G25" i="20"/>
  <c r="P25" i="20"/>
  <c r="Q25" i="20"/>
  <c r="R25" i="20"/>
  <c r="G33" i="20" l="1"/>
  <c r="P33" i="20"/>
  <c r="Q33" i="20"/>
  <c r="R33" i="20"/>
  <c r="G10" i="20"/>
  <c r="P10" i="20"/>
  <c r="Q10" i="20"/>
  <c r="R10" i="20"/>
  <c r="G11" i="20"/>
  <c r="P11" i="20"/>
  <c r="Q11" i="20"/>
  <c r="R11" i="20"/>
  <c r="G21" i="20"/>
  <c r="P21" i="20"/>
  <c r="Q21" i="20"/>
  <c r="R21" i="20"/>
  <c r="G17" i="20"/>
  <c r="P17" i="20"/>
  <c r="Q17" i="20"/>
  <c r="R17" i="20"/>
  <c r="G16" i="20"/>
  <c r="P16" i="20"/>
  <c r="Q16" i="20"/>
  <c r="R16" i="20"/>
  <c r="G20" i="20"/>
  <c r="P20" i="20"/>
  <c r="Q20" i="20"/>
  <c r="R20" i="20"/>
  <c r="G12" i="20"/>
  <c r="P12" i="20"/>
  <c r="Q12" i="20"/>
  <c r="R12" i="20"/>
  <c r="G98" i="20"/>
  <c r="P98" i="20"/>
  <c r="Q98" i="20"/>
  <c r="R98" i="20"/>
  <c r="H255" i="20"/>
  <c r="J255" i="20"/>
  <c r="K255" i="20"/>
  <c r="H244" i="20"/>
  <c r="J244" i="20"/>
  <c r="K244" i="20"/>
  <c r="G161" i="20"/>
  <c r="P161" i="20"/>
  <c r="Q161" i="20"/>
  <c r="R161" i="20"/>
  <c r="G159" i="20"/>
  <c r="P159" i="20"/>
  <c r="Q159" i="20"/>
  <c r="R159" i="20"/>
  <c r="G178" i="20"/>
  <c r="P178" i="20"/>
  <c r="Q178" i="20"/>
  <c r="R178" i="20"/>
  <c r="G9" i="20"/>
  <c r="Q9" i="20"/>
  <c r="R9" i="20"/>
  <c r="G195" i="20"/>
  <c r="P195" i="20"/>
  <c r="Q195" i="20"/>
  <c r="R195" i="20"/>
  <c r="P9" i="20" l="1"/>
  <c r="G1" i="10"/>
  <c r="H257" i="18" l="1"/>
  <c r="J257" i="18"/>
  <c r="K257" i="18"/>
  <c r="H236" i="18"/>
  <c r="J236" i="18"/>
  <c r="K236" i="18"/>
  <c r="M229" i="14" l="1"/>
  <c r="M231" i="14"/>
  <c r="M233" i="14"/>
  <c r="M234" i="14"/>
  <c r="M236" i="14"/>
  <c r="H238" i="14"/>
  <c r="G11" i="14" l="1"/>
  <c r="I11" i="14"/>
  <c r="Q11" i="14"/>
  <c r="R11" i="14"/>
  <c r="G159" i="14"/>
  <c r="P159" i="14"/>
  <c r="Q159" i="14"/>
  <c r="R159" i="14"/>
  <c r="G158" i="14"/>
  <c r="P158" i="14"/>
  <c r="Q158" i="14"/>
  <c r="R158" i="14"/>
  <c r="G99" i="14"/>
  <c r="P99" i="14"/>
  <c r="Q99" i="14"/>
  <c r="R99" i="14"/>
  <c r="G162" i="14"/>
  <c r="P162" i="14"/>
  <c r="Q162" i="14"/>
  <c r="R162" i="14"/>
  <c r="G20" i="14"/>
  <c r="P20" i="14"/>
  <c r="Q20" i="14"/>
  <c r="R20" i="14"/>
  <c r="G9" i="19"/>
  <c r="P9" i="19"/>
  <c r="Q9" i="19"/>
  <c r="R9" i="19"/>
  <c r="H271" i="14"/>
  <c r="H280" i="14"/>
  <c r="H279" i="14"/>
  <c r="H261" i="14"/>
  <c r="H275" i="14"/>
  <c r="H262" i="14"/>
  <c r="H252" i="14"/>
  <c r="H253" i="14"/>
  <c r="H277" i="14"/>
  <c r="H260" i="14"/>
  <c r="H259" i="14"/>
  <c r="J280" i="14"/>
  <c r="J279" i="14"/>
  <c r="J261" i="14"/>
  <c r="J275" i="14"/>
  <c r="K280" i="14"/>
  <c r="K279" i="14"/>
  <c r="K261" i="14"/>
  <c r="K275" i="14"/>
  <c r="J262" i="14"/>
  <c r="J252" i="14"/>
  <c r="J253" i="14"/>
  <c r="J277" i="14"/>
  <c r="K262" i="14"/>
  <c r="K252" i="14"/>
  <c r="K253" i="14"/>
  <c r="K277" i="14"/>
  <c r="H283" i="14"/>
  <c r="H284" i="14"/>
  <c r="J260" i="14"/>
  <c r="J259" i="14"/>
  <c r="J283" i="14"/>
  <c r="J284" i="14"/>
  <c r="K260" i="14"/>
  <c r="K259" i="14"/>
  <c r="K283" i="14"/>
  <c r="K284" i="14"/>
  <c r="H285" i="14"/>
  <c r="J285" i="14"/>
  <c r="K285" i="14"/>
  <c r="H244" i="14"/>
  <c r="J244" i="14"/>
  <c r="K244" i="14"/>
  <c r="H255" i="14"/>
  <c r="J255" i="14"/>
  <c r="K255" i="14"/>
  <c r="H254" i="14"/>
  <c r="J254" i="14"/>
  <c r="K254" i="14"/>
  <c r="J271" i="14"/>
  <c r="K271" i="14"/>
  <c r="H256" i="14"/>
  <c r="J256" i="14"/>
  <c r="K256" i="14"/>
  <c r="H278" i="14"/>
  <c r="J278" i="14"/>
  <c r="K278" i="14"/>
  <c r="G166" i="14"/>
  <c r="P166" i="14"/>
  <c r="Q166" i="14"/>
  <c r="R166" i="14"/>
  <c r="G116" i="14"/>
  <c r="P116" i="14"/>
  <c r="Q116" i="14"/>
  <c r="R116" i="14"/>
  <c r="G143" i="14"/>
  <c r="P143" i="14"/>
  <c r="Q143" i="14"/>
  <c r="R143" i="14"/>
  <c r="G117" i="14"/>
  <c r="P117" i="14"/>
  <c r="Q117" i="14"/>
  <c r="R117" i="14"/>
  <c r="G75" i="14"/>
  <c r="P75" i="14"/>
  <c r="Q75" i="14"/>
  <c r="R75" i="14"/>
  <c r="G103" i="14"/>
  <c r="P103" i="14"/>
  <c r="Q103" i="14"/>
  <c r="R103" i="14"/>
  <c r="G87" i="14"/>
  <c r="P87" i="14"/>
  <c r="Q87" i="14"/>
  <c r="R87" i="14"/>
  <c r="G82" i="14"/>
  <c r="P82" i="14"/>
  <c r="Q82" i="14"/>
  <c r="R82" i="14"/>
  <c r="G119" i="14"/>
  <c r="P119" i="14"/>
  <c r="Q119" i="14"/>
  <c r="R119" i="14"/>
  <c r="P11" i="14" l="1"/>
  <c r="I222" i="14"/>
  <c r="G12" i="14"/>
  <c r="P12" i="14"/>
  <c r="Q12" i="14"/>
  <c r="R12" i="14"/>
  <c r="G147" i="14"/>
  <c r="P147" i="14"/>
  <c r="Q147" i="14"/>
  <c r="R147" i="14"/>
  <c r="G118" i="14"/>
  <c r="P118" i="14"/>
  <c r="Q118" i="14"/>
  <c r="R118" i="14"/>
  <c r="G148" i="14"/>
  <c r="P148" i="14"/>
  <c r="Q148" i="14"/>
  <c r="R148" i="14"/>
  <c r="G152" i="14"/>
  <c r="P152" i="14"/>
  <c r="Q152" i="14"/>
  <c r="R152" i="14"/>
  <c r="G29" i="14"/>
  <c r="P29" i="14"/>
  <c r="Q29" i="14"/>
  <c r="R29" i="14"/>
  <c r="G128" i="14"/>
  <c r="P128" i="14"/>
  <c r="Q128" i="14"/>
  <c r="R128" i="14"/>
  <c r="G125" i="14"/>
  <c r="P125" i="14"/>
  <c r="Q125" i="14"/>
  <c r="R125" i="14"/>
  <c r="G185" i="14"/>
  <c r="P185" i="14"/>
  <c r="Q185" i="14"/>
  <c r="R185" i="14"/>
  <c r="G184" i="14"/>
  <c r="P184" i="14"/>
  <c r="Q184" i="14"/>
  <c r="R184" i="14"/>
  <c r="G70" i="14"/>
  <c r="P70" i="14"/>
  <c r="Q70" i="14"/>
  <c r="R70" i="14"/>
  <c r="G127" i="14"/>
  <c r="P127" i="14"/>
  <c r="Q127" i="14"/>
  <c r="R127" i="14"/>
  <c r="G123" i="14"/>
  <c r="P123" i="14"/>
  <c r="Q123" i="14"/>
  <c r="R123" i="14"/>
  <c r="G124" i="14"/>
  <c r="P124" i="14"/>
  <c r="Q124" i="14"/>
  <c r="R124" i="14"/>
  <c r="G44" i="14"/>
  <c r="P44" i="14"/>
  <c r="Q44" i="14"/>
  <c r="R44" i="14"/>
  <c r="G122" i="14"/>
  <c r="P122" i="14"/>
  <c r="Q122" i="14"/>
  <c r="R122" i="14"/>
  <c r="G170" i="14"/>
  <c r="P170" i="14"/>
  <c r="Q170" i="14"/>
  <c r="R170" i="14"/>
  <c r="G41" i="14"/>
  <c r="P41" i="14"/>
  <c r="Q41" i="14"/>
  <c r="R41" i="14"/>
  <c r="G120" i="14"/>
  <c r="P120" i="14"/>
  <c r="Q120" i="14"/>
  <c r="R120" i="14"/>
  <c r="G171" i="14"/>
  <c r="P171" i="14"/>
  <c r="Q171" i="14"/>
  <c r="R171" i="14"/>
  <c r="G57" i="14"/>
  <c r="P57" i="14"/>
  <c r="Q57" i="14"/>
  <c r="R57" i="14"/>
  <c r="G140" i="14"/>
  <c r="P140" i="14"/>
  <c r="Q140" i="14"/>
  <c r="R140" i="14"/>
  <c r="G19" i="14"/>
  <c r="P19" i="14"/>
  <c r="Q19" i="14"/>
  <c r="R19" i="14"/>
  <c r="G106" i="14"/>
  <c r="P106" i="14"/>
  <c r="Q106" i="14"/>
  <c r="R106" i="14"/>
  <c r="G174" i="14"/>
  <c r="P174" i="14"/>
  <c r="Q174" i="14"/>
  <c r="R174" i="14"/>
  <c r="G132" i="14"/>
  <c r="P132" i="14"/>
  <c r="Q132" i="14"/>
  <c r="R132" i="14"/>
  <c r="G69" i="14"/>
  <c r="P69" i="14"/>
  <c r="Q69" i="14"/>
  <c r="R69" i="14"/>
  <c r="G80" i="14"/>
  <c r="P80" i="14"/>
  <c r="Q80" i="14"/>
  <c r="R80" i="14"/>
  <c r="G55" i="14"/>
  <c r="P55" i="14"/>
  <c r="Q55" i="14"/>
  <c r="R55" i="14"/>
  <c r="G153" i="14"/>
  <c r="P153" i="14"/>
  <c r="Q153" i="14"/>
  <c r="R153" i="14"/>
  <c r="G142" i="14"/>
  <c r="P142" i="14"/>
  <c r="Q142" i="14"/>
  <c r="R142" i="14"/>
  <c r="G136" i="14"/>
  <c r="P136" i="14"/>
  <c r="Q136" i="14"/>
  <c r="R136" i="14"/>
  <c r="G137" i="14"/>
  <c r="P137" i="14"/>
  <c r="Q137" i="14"/>
  <c r="R137" i="14"/>
  <c r="G64" i="14"/>
  <c r="P64" i="14"/>
  <c r="Q64" i="14"/>
  <c r="R64" i="14"/>
  <c r="G167" i="14"/>
  <c r="P167" i="14"/>
  <c r="Q167" i="14"/>
  <c r="R167" i="14"/>
  <c r="G144" i="14"/>
  <c r="P144" i="14"/>
  <c r="Q144" i="14"/>
  <c r="R144" i="14"/>
  <c r="G146" i="14"/>
  <c r="P146" i="14"/>
  <c r="Q146" i="14"/>
  <c r="R146" i="14"/>
  <c r="G145" i="14"/>
  <c r="P145" i="14"/>
  <c r="Q145" i="14"/>
  <c r="R145" i="14"/>
  <c r="G131" i="14"/>
  <c r="P131" i="14"/>
  <c r="Q131" i="14"/>
  <c r="R131" i="14"/>
  <c r="G81" i="14"/>
  <c r="P81" i="14"/>
  <c r="Q81" i="14"/>
  <c r="R81" i="14"/>
  <c r="G108" i="14"/>
  <c r="P108" i="14"/>
  <c r="Q108" i="14"/>
  <c r="R108" i="14"/>
  <c r="G92" i="14"/>
  <c r="P92" i="14"/>
  <c r="Q92" i="14"/>
  <c r="R92" i="14"/>
  <c r="G183" i="14"/>
  <c r="P183" i="14"/>
  <c r="Q183" i="14"/>
  <c r="R183" i="14"/>
  <c r="G115" i="14"/>
  <c r="P115" i="14"/>
  <c r="Q115" i="14"/>
  <c r="R115" i="14"/>
  <c r="G61" i="14"/>
  <c r="P61" i="14"/>
  <c r="Q61" i="14"/>
  <c r="R61" i="14"/>
  <c r="G50" i="14"/>
  <c r="P50" i="14"/>
  <c r="Q50" i="14"/>
  <c r="R50" i="14"/>
  <c r="G149" i="14"/>
  <c r="P149" i="14"/>
  <c r="Q149" i="14"/>
  <c r="R149" i="14"/>
  <c r="G95" i="14"/>
  <c r="P95" i="14"/>
  <c r="Q95" i="14"/>
  <c r="R95" i="14"/>
  <c r="G165" i="14"/>
  <c r="P165" i="14"/>
  <c r="Q165" i="14"/>
  <c r="R165" i="14"/>
  <c r="G38" i="14"/>
  <c r="P38" i="14"/>
  <c r="Q38" i="14"/>
  <c r="R38" i="14"/>
  <c r="G84" i="14"/>
  <c r="P84" i="14"/>
  <c r="Q84" i="14"/>
  <c r="R84" i="14"/>
  <c r="G101" i="14"/>
  <c r="P101" i="14"/>
  <c r="Q101" i="14"/>
  <c r="R101" i="14"/>
  <c r="G109" i="14"/>
  <c r="P109" i="14"/>
  <c r="Q109" i="14"/>
  <c r="R109" i="14"/>
  <c r="G47" i="14"/>
  <c r="P47" i="14"/>
  <c r="Q47" i="14"/>
  <c r="R47" i="14"/>
  <c r="G113" i="14"/>
  <c r="P113" i="14"/>
  <c r="Q113" i="14"/>
  <c r="R113" i="14"/>
  <c r="G25" i="14"/>
  <c r="P25" i="14"/>
  <c r="Q25" i="14"/>
  <c r="R25" i="14"/>
  <c r="G85" i="14"/>
  <c r="P85" i="14"/>
  <c r="Q85" i="14"/>
  <c r="R85" i="14"/>
  <c r="G105" i="14"/>
  <c r="P105" i="14"/>
  <c r="Q105" i="14"/>
  <c r="R105" i="14"/>
  <c r="G63" i="14"/>
  <c r="P63" i="14"/>
  <c r="Q63" i="14"/>
  <c r="R63" i="14"/>
  <c r="G126" i="14"/>
  <c r="P126" i="14"/>
  <c r="Q126" i="14"/>
  <c r="R126" i="14"/>
  <c r="G60" i="14"/>
  <c r="P60" i="14"/>
  <c r="Q60" i="14"/>
  <c r="R60" i="14"/>
  <c r="G74" i="14"/>
  <c r="P74" i="14"/>
  <c r="Q74" i="14"/>
  <c r="R74" i="14"/>
  <c r="G22" i="14"/>
  <c r="P22" i="14"/>
  <c r="Q22" i="14"/>
  <c r="R22" i="14"/>
  <c r="G37" i="14"/>
  <c r="P37" i="14"/>
  <c r="Q37" i="14"/>
  <c r="R37" i="14"/>
  <c r="G93" i="14"/>
  <c r="P93" i="14"/>
  <c r="Q93" i="14"/>
  <c r="R93" i="14"/>
  <c r="G42" i="14"/>
  <c r="P42" i="14"/>
  <c r="Q42" i="14"/>
  <c r="R42" i="14"/>
  <c r="G161" i="14"/>
  <c r="P161" i="14"/>
  <c r="Q161" i="14"/>
  <c r="R161" i="14"/>
  <c r="G35" i="14"/>
  <c r="P35" i="14"/>
  <c r="Q35" i="14"/>
  <c r="R35" i="14"/>
  <c r="G156" i="14"/>
  <c r="P156" i="14"/>
  <c r="Q156" i="14"/>
  <c r="R156" i="14"/>
  <c r="G66" i="14"/>
  <c r="P66" i="14"/>
  <c r="Q66" i="14"/>
  <c r="R66" i="14"/>
  <c r="G76" i="14"/>
  <c r="P76" i="14"/>
  <c r="Q76" i="14"/>
  <c r="R76" i="14"/>
  <c r="G78" i="14"/>
  <c r="P78" i="14"/>
  <c r="Q78" i="14"/>
  <c r="R78" i="14"/>
  <c r="G33" i="14"/>
  <c r="P33" i="14"/>
  <c r="Q33" i="14"/>
  <c r="R33" i="14"/>
  <c r="G48" i="14"/>
  <c r="P48" i="14"/>
  <c r="Q48" i="14"/>
  <c r="R48" i="14"/>
  <c r="G43" i="14"/>
  <c r="P43" i="14"/>
  <c r="Q43" i="14"/>
  <c r="R43" i="14"/>
  <c r="G130" i="14"/>
  <c r="P130" i="14"/>
  <c r="Q130" i="14"/>
  <c r="R130" i="14"/>
  <c r="G40" i="14"/>
  <c r="P40" i="14"/>
  <c r="Q40" i="14"/>
  <c r="R40" i="14"/>
  <c r="G77" i="14"/>
  <c r="P77" i="14"/>
  <c r="Q77" i="14"/>
  <c r="R77" i="14"/>
  <c r="G86" i="14"/>
  <c r="P86" i="14"/>
  <c r="Q86" i="14"/>
  <c r="R86" i="14"/>
  <c r="G71" i="14"/>
  <c r="P71" i="14"/>
  <c r="Q71" i="14"/>
  <c r="R71" i="14"/>
  <c r="G173" i="14"/>
  <c r="P173" i="14"/>
  <c r="Q173" i="14"/>
  <c r="R173" i="14"/>
  <c r="G14" i="14"/>
  <c r="P14" i="14"/>
  <c r="Q14" i="14"/>
  <c r="R14" i="14"/>
  <c r="G9" i="14"/>
  <c r="P9" i="14"/>
  <c r="Q9" i="14"/>
  <c r="R9" i="14"/>
  <c r="G155" i="14"/>
  <c r="P155" i="14"/>
  <c r="Q155" i="14"/>
  <c r="R155" i="14"/>
  <c r="G27" i="14"/>
  <c r="P27" i="14"/>
  <c r="Q27" i="14"/>
  <c r="R27" i="14"/>
  <c r="G31" i="14"/>
  <c r="P31" i="14"/>
  <c r="Q31" i="14"/>
  <c r="R31" i="14"/>
  <c r="G91" i="14"/>
  <c r="P91" i="14"/>
  <c r="Q91" i="14"/>
  <c r="R91" i="14"/>
  <c r="G179" i="14"/>
  <c r="P179" i="14"/>
  <c r="Q179" i="14"/>
  <c r="R179" i="14"/>
  <c r="G30" i="14"/>
  <c r="P30" i="14"/>
  <c r="Q30" i="14"/>
  <c r="R30" i="14"/>
  <c r="G24" i="14"/>
  <c r="P24" i="14"/>
  <c r="Q24" i="14"/>
  <c r="R24" i="14"/>
  <c r="G107" i="14"/>
  <c r="P107" i="14"/>
  <c r="Q107" i="14"/>
  <c r="R107" i="14"/>
  <c r="G111" i="14"/>
  <c r="P111" i="14"/>
  <c r="Q111" i="14"/>
  <c r="R111" i="14"/>
  <c r="G10" i="14"/>
  <c r="P10" i="14"/>
  <c r="Q10" i="14"/>
  <c r="R10" i="14"/>
  <c r="G18" i="14"/>
  <c r="P18" i="14"/>
  <c r="Q18" i="14"/>
  <c r="R18" i="14"/>
  <c r="G59" i="14"/>
  <c r="P59" i="14"/>
  <c r="Q59" i="14"/>
  <c r="R59" i="14"/>
  <c r="G58" i="14"/>
  <c r="P58" i="14"/>
  <c r="Q58" i="14"/>
  <c r="R58" i="14"/>
  <c r="G56" i="14"/>
  <c r="P56" i="14"/>
  <c r="Q56" i="14"/>
  <c r="R56" i="14"/>
  <c r="G150" i="14"/>
  <c r="P150" i="14"/>
  <c r="Q150" i="14"/>
  <c r="R150" i="14"/>
  <c r="G151" i="14"/>
  <c r="P151" i="14"/>
  <c r="Q151" i="14"/>
  <c r="R151" i="14"/>
  <c r="G139" i="14"/>
  <c r="P139" i="14"/>
  <c r="Q139" i="14"/>
  <c r="R139" i="14"/>
  <c r="G54" i="14"/>
  <c r="P54" i="14"/>
  <c r="Q54" i="14"/>
  <c r="R54" i="14"/>
  <c r="G46" i="14"/>
  <c r="P46" i="14"/>
  <c r="Q46" i="14"/>
  <c r="R46" i="14"/>
  <c r="G62" i="14"/>
  <c r="P62" i="14"/>
  <c r="Q62" i="14"/>
  <c r="R62" i="14"/>
  <c r="G154" i="14"/>
  <c r="P154" i="14"/>
  <c r="Q154" i="14"/>
  <c r="R154" i="14"/>
  <c r="G175" i="14"/>
  <c r="P175" i="14"/>
  <c r="Q175" i="14"/>
  <c r="R175" i="14"/>
  <c r="G32" i="14"/>
  <c r="P32" i="14"/>
  <c r="Q32" i="14"/>
  <c r="R32" i="14"/>
  <c r="G21" i="14"/>
  <c r="P21" i="14"/>
  <c r="Q21" i="14"/>
  <c r="R21" i="14"/>
  <c r="G100" i="14"/>
  <c r="P100" i="14"/>
  <c r="Q100" i="14"/>
  <c r="R100" i="14"/>
  <c r="G104" i="14"/>
  <c r="P104" i="14"/>
  <c r="Q104" i="14"/>
  <c r="R104" i="14"/>
  <c r="G135" i="14"/>
  <c r="P135" i="14"/>
  <c r="Q135" i="14"/>
  <c r="R135" i="14"/>
  <c r="G73" i="14"/>
  <c r="P73" i="14"/>
  <c r="Q73" i="14"/>
  <c r="R73" i="14"/>
  <c r="G34" i="14"/>
  <c r="P34" i="14"/>
  <c r="Q34" i="14"/>
  <c r="R34" i="14"/>
  <c r="G49" i="14"/>
  <c r="P49" i="14"/>
  <c r="Q49" i="14"/>
  <c r="R49" i="14"/>
  <c r="G129" i="14"/>
  <c r="P129" i="14"/>
  <c r="Q129" i="14"/>
  <c r="R129" i="14"/>
  <c r="G79" i="14"/>
  <c r="P79" i="14"/>
  <c r="Q79" i="14"/>
  <c r="R79" i="14"/>
  <c r="G134" i="14"/>
  <c r="P134" i="14"/>
  <c r="Q134" i="14"/>
  <c r="R134" i="14"/>
  <c r="G67" i="14"/>
  <c r="P67" i="14"/>
  <c r="Q67" i="14"/>
  <c r="R67" i="14"/>
  <c r="G65" i="14"/>
  <c r="P65" i="14"/>
  <c r="Q65" i="14"/>
  <c r="R65" i="14"/>
  <c r="G17" i="14"/>
  <c r="P17" i="14"/>
  <c r="Q17" i="14"/>
  <c r="R17" i="14"/>
  <c r="G98" i="14"/>
  <c r="P98" i="14"/>
  <c r="Q98" i="14"/>
  <c r="R98" i="14"/>
  <c r="G164" i="14"/>
  <c r="P164" i="14"/>
  <c r="Q164" i="14"/>
  <c r="R164" i="14"/>
  <c r="G163" i="14"/>
  <c r="P163" i="14"/>
  <c r="Q163" i="14"/>
  <c r="R163" i="14"/>
  <c r="G88" i="14"/>
  <c r="P88" i="14"/>
  <c r="Q88" i="14"/>
  <c r="R88" i="14"/>
  <c r="G89" i="14"/>
  <c r="P89" i="14"/>
  <c r="Q89" i="14"/>
  <c r="R89" i="14"/>
  <c r="G177" i="14"/>
  <c r="P177" i="14"/>
  <c r="Q177" i="14"/>
  <c r="R177" i="14"/>
  <c r="G176" i="14"/>
  <c r="P176" i="14"/>
  <c r="Q176" i="14"/>
  <c r="R176" i="14"/>
  <c r="G141" i="14"/>
  <c r="P141" i="14"/>
  <c r="Q141" i="14"/>
  <c r="R141" i="14"/>
  <c r="G102" i="14"/>
  <c r="P102" i="14"/>
  <c r="Q102" i="14"/>
  <c r="R102" i="14"/>
  <c r="G13" i="14"/>
  <c r="P13" i="14"/>
  <c r="Q13" i="14"/>
  <c r="R13" i="14"/>
  <c r="G112" i="14"/>
  <c r="P112" i="14"/>
  <c r="Q112" i="14"/>
  <c r="R112" i="14"/>
  <c r="G68" i="14"/>
  <c r="P68" i="14"/>
  <c r="Q68" i="14"/>
  <c r="R68" i="14"/>
  <c r="G178" i="14"/>
  <c r="P178" i="14"/>
  <c r="Q178" i="14"/>
  <c r="R178" i="14"/>
  <c r="G133" i="14"/>
  <c r="P133" i="14"/>
  <c r="Q133" i="14"/>
  <c r="R133" i="14"/>
  <c r="G90" i="14"/>
  <c r="P90" i="14"/>
  <c r="Q90" i="14"/>
  <c r="R90" i="14"/>
  <c r="G180" i="14"/>
  <c r="P180" i="14"/>
  <c r="Q180" i="14"/>
  <c r="R180" i="14"/>
  <c r="G168" i="14"/>
  <c r="P168" i="14"/>
  <c r="Q168" i="14"/>
  <c r="R168" i="14"/>
  <c r="G172" i="14"/>
  <c r="P172" i="14"/>
  <c r="Q172" i="14"/>
  <c r="R172" i="14"/>
  <c r="G52" i="14"/>
  <c r="P52" i="14"/>
  <c r="Q52" i="14"/>
  <c r="R52" i="14"/>
  <c r="G53" i="14"/>
  <c r="P53" i="14"/>
  <c r="Q53" i="14"/>
  <c r="R53" i="14"/>
  <c r="G83" i="14"/>
  <c r="P83" i="14"/>
  <c r="Q83" i="14"/>
  <c r="R83" i="14"/>
  <c r="G97" i="14"/>
  <c r="P97" i="14"/>
  <c r="Q97" i="14"/>
  <c r="R97" i="14"/>
  <c r="G182" i="14"/>
  <c r="P182" i="14"/>
  <c r="Q182" i="14"/>
  <c r="R182" i="14"/>
  <c r="G26" i="14"/>
  <c r="P26" i="14"/>
  <c r="Q26" i="14"/>
  <c r="R26" i="14"/>
  <c r="G96" i="14"/>
  <c r="P96" i="14"/>
  <c r="Q96" i="14"/>
  <c r="R96" i="14"/>
  <c r="G94" i="14"/>
  <c r="P94" i="14"/>
  <c r="Q94" i="14"/>
  <c r="R94" i="14"/>
  <c r="G160" i="14"/>
  <c r="P160" i="14"/>
  <c r="Q160" i="14"/>
  <c r="R160" i="14"/>
  <c r="G138" i="14"/>
  <c r="P138" i="14"/>
  <c r="Q138" i="14"/>
  <c r="R138" i="14"/>
  <c r="G23" i="14"/>
  <c r="P23" i="14"/>
  <c r="Q23" i="14"/>
  <c r="R23" i="14"/>
  <c r="G72" i="14"/>
  <c r="P72" i="14"/>
  <c r="Q72" i="14"/>
  <c r="R72" i="14"/>
  <c r="G169" i="14"/>
  <c r="P169" i="14"/>
  <c r="Q169" i="14"/>
  <c r="R169" i="14"/>
  <c r="G15" i="14"/>
  <c r="P15" i="14"/>
  <c r="Q15" i="14"/>
  <c r="R15" i="14"/>
  <c r="G51" i="14"/>
  <c r="P51" i="14"/>
  <c r="Q51" i="14"/>
  <c r="R51" i="14"/>
  <c r="G36" i="14"/>
  <c r="P36" i="14"/>
  <c r="Q36" i="14"/>
  <c r="R36" i="14"/>
  <c r="G110" i="14"/>
  <c r="P110" i="14"/>
  <c r="Q110" i="14"/>
  <c r="R110" i="14"/>
  <c r="G220" i="10"/>
  <c r="G221" i="10"/>
  <c r="G222" i="10"/>
  <c r="G223" i="10"/>
  <c r="G224" i="10"/>
  <c r="G279" i="20" l="1"/>
  <c r="G280" i="20"/>
  <c r="G281" i="20"/>
  <c r="G282" i="20"/>
  <c r="G283" i="20"/>
  <c r="G349" i="14"/>
  <c r="G350" i="14"/>
  <c r="G351" i="14"/>
  <c r="G352" i="14"/>
  <c r="G353" i="14"/>
  <c r="G322" i="19"/>
  <c r="G323" i="19"/>
  <c r="G324" i="19"/>
  <c r="G325" i="19"/>
  <c r="G326" i="19"/>
  <c r="G298" i="18"/>
  <c r="G299" i="18"/>
  <c r="G300" i="18"/>
  <c r="G301" i="18"/>
  <c r="G2736" i="13"/>
  <c r="G2737" i="13"/>
  <c r="G2738" i="13"/>
  <c r="G2739" i="13"/>
  <c r="G253" i="16"/>
  <c r="G254" i="16"/>
  <c r="G255" i="16"/>
  <c r="G256" i="16"/>
  <c r="G257" i="16"/>
  <c r="G280" i="12"/>
  <c r="G281" i="12"/>
  <c r="G282" i="12"/>
  <c r="G283" i="12"/>
  <c r="G284" i="12"/>
  <c r="G256" i="11"/>
  <c r="G257" i="11"/>
  <c r="G258" i="11"/>
  <c r="G259" i="11"/>
  <c r="G255" i="11"/>
  <c r="G214" i="2"/>
  <c r="G215" i="2"/>
  <c r="G216" i="2"/>
  <c r="G217" i="2"/>
  <c r="G213" i="2"/>
  <c r="G214" i="10"/>
  <c r="M105" i="3"/>
  <c r="L105" i="3"/>
  <c r="M104" i="3"/>
  <c r="L104" i="3"/>
  <c r="M103" i="3"/>
  <c r="L103" i="3"/>
  <c r="M102" i="3"/>
  <c r="L102" i="3"/>
  <c r="M101" i="3"/>
  <c r="L101" i="3"/>
  <c r="M100" i="3"/>
  <c r="L100" i="3"/>
  <c r="M99" i="3"/>
  <c r="L99" i="3"/>
  <c r="M98" i="3"/>
  <c r="L98" i="3"/>
  <c r="M97" i="3"/>
  <c r="L97" i="3"/>
  <c r="M96" i="3"/>
  <c r="L96" i="3"/>
  <c r="M95" i="3"/>
  <c r="L95" i="3"/>
  <c r="M94" i="3"/>
  <c r="L94" i="3"/>
  <c r="M93" i="3"/>
  <c r="L93" i="3"/>
  <c r="M92" i="3"/>
  <c r="L92" i="3"/>
  <c r="M91" i="3"/>
  <c r="L91" i="3"/>
  <c r="M90" i="3"/>
  <c r="L90" i="3"/>
  <c r="M89" i="3"/>
  <c r="L89" i="3"/>
  <c r="M88" i="3"/>
  <c r="L88" i="3"/>
  <c r="M87" i="3"/>
  <c r="L87" i="3"/>
  <c r="M86" i="3"/>
  <c r="L86" i="3"/>
  <c r="M85" i="3"/>
  <c r="L85" i="3"/>
  <c r="M84" i="3"/>
  <c r="L84" i="3"/>
  <c r="M83" i="3"/>
  <c r="L83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C105" i="3"/>
  <c r="B105" i="3"/>
  <c r="C104" i="3"/>
  <c r="B104" i="3"/>
  <c r="C103" i="3"/>
  <c r="B103" i="3"/>
  <c r="C102" i="3"/>
  <c r="B102" i="3"/>
  <c r="C101" i="3"/>
  <c r="B101" i="3"/>
  <c r="C100" i="3"/>
  <c r="B100" i="3"/>
  <c r="C99" i="3"/>
  <c r="B99" i="3"/>
  <c r="C98" i="3"/>
  <c r="B98" i="3"/>
  <c r="C97" i="3"/>
  <c r="B97" i="3"/>
  <c r="C96" i="3"/>
  <c r="B96" i="3"/>
  <c r="C95" i="3"/>
  <c r="B95" i="3"/>
  <c r="C94" i="3"/>
  <c r="B94" i="3"/>
  <c r="C93" i="3"/>
  <c r="B93" i="3"/>
  <c r="C92" i="3"/>
  <c r="B92" i="3"/>
  <c r="C91" i="3"/>
  <c r="B91" i="3"/>
  <c r="C90" i="3"/>
  <c r="B90" i="3"/>
  <c r="C89" i="3"/>
  <c r="B89" i="3"/>
  <c r="C88" i="3"/>
  <c r="B88" i="3"/>
  <c r="C87" i="3"/>
  <c r="B87" i="3"/>
  <c r="C86" i="3"/>
  <c r="B86" i="3"/>
  <c r="C85" i="3"/>
  <c r="B85" i="3"/>
  <c r="C84" i="3"/>
  <c r="B84" i="3"/>
  <c r="C83" i="3"/>
  <c r="B83" i="3"/>
  <c r="M79" i="3"/>
  <c r="L79" i="3"/>
  <c r="M78" i="3"/>
  <c r="L78" i="3"/>
  <c r="M77" i="3"/>
  <c r="L77" i="3"/>
  <c r="M76" i="3"/>
  <c r="L76" i="3"/>
  <c r="M75" i="3"/>
  <c r="L75" i="3"/>
  <c r="M74" i="3"/>
  <c r="L74" i="3"/>
  <c r="M73" i="3"/>
  <c r="L73" i="3"/>
  <c r="M72" i="3"/>
  <c r="L72" i="3"/>
  <c r="M71" i="3"/>
  <c r="L71" i="3"/>
  <c r="M70" i="3"/>
  <c r="L70" i="3"/>
  <c r="M69" i="3"/>
  <c r="L69" i="3"/>
  <c r="M68" i="3"/>
  <c r="L68" i="3"/>
  <c r="M67" i="3"/>
  <c r="L67" i="3"/>
  <c r="M66" i="3"/>
  <c r="L66" i="3"/>
  <c r="M65" i="3"/>
  <c r="L65" i="3"/>
  <c r="M64" i="3"/>
  <c r="L64" i="3"/>
  <c r="M63" i="3"/>
  <c r="L63" i="3"/>
  <c r="M62" i="3"/>
  <c r="L62" i="3"/>
  <c r="M61" i="3"/>
  <c r="L61" i="3"/>
  <c r="M60" i="3"/>
  <c r="L60" i="3"/>
  <c r="M59" i="3"/>
  <c r="L59" i="3"/>
  <c r="M58" i="3"/>
  <c r="L58" i="3"/>
  <c r="M57" i="3"/>
  <c r="L57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C79" i="3"/>
  <c r="B79" i="3"/>
  <c r="C78" i="3"/>
  <c r="B78" i="3"/>
  <c r="C77" i="3"/>
  <c r="B77" i="3"/>
  <c r="C76" i="3"/>
  <c r="B76" i="3"/>
  <c r="C75" i="3"/>
  <c r="B75" i="3"/>
  <c r="C74" i="3"/>
  <c r="B74" i="3"/>
  <c r="C73" i="3"/>
  <c r="B73" i="3"/>
  <c r="C72" i="3"/>
  <c r="B72" i="3"/>
  <c r="C71" i="3"/>
  <c r="B71" i="3"/>
  <c r="C70" i="3"/>
  <c r="B70" i="3"/>
  <c r="C69" i="3"/>
  <c r="B69" i="3"/>
  <c r="C68" i="3"/>
  <c r="B68" i="3"/>
  <c r="C67" i="3"/>
  <c r="B67" i="3"/>
  <c r="C66" i="3"/>
  <c r="B66" i="3"/>
  <c r="C65" i="3"/>
  <c r="B65" i="3"/>
  <c r="C64" i="3"/>
  <c r="B64" i="3"/>
  <c r="C63" i="3"/>
  <c r="B63" i="3"/>
  <c r="C62" i="3"/>
  <c r="B62" i="3"/>
  <c r="C61" i="3"/>
  <c r="B61" i="3"/>
  <c r="C60" i="3"/>
  <c r="B60" i="3"/>
  <c r="C59" i="3"/>
  <c r="B59" i="3"/>
  <c r="C58" i="3"/>
  <c r="B58" i="3"/>
  <c r="C57" i="3"/>
  <c r="B57" i="3"/>
  <c r="M53" i="3"/>
  <c r="L53" i="3"/>
  <c r="M52" i="3"/>
  <c r="L52" i="3"/>
  <c r="M51" i="3"/>
  <c r="L51" i="3"/>
  <c r="M50" i="3"/>
  <c r="L50" i="3"/>
  <c r="M49" i="3"/>
  <c r="L49" i="3"/>
  <c r="M48" i="3"/>
  <c r="L48" i="3"/>
  <c r="M47" i="3"/>
  <c r="L47" i="3"/>
  <c r="M46" i="3"/>
  <c r="L46" i="3"/>
  <c r="M45" i="3"/>
  <c r="L45" i="3"/>
  <c r="M44" i="3"/>
  <c r="L44" i="3"/>
  <c r="M43" i="3"/>
  <c r="L43" i="3"/>
  <c r="M42" i="3"/>
  <c r="L42" i="3"/>
  <c r="M41" i="3"/>
  <c r="L41" i="3"/>
  <c r="M40" i="3"/>
  <c r="L40" i="3"/>
  <c r="M39" i="3"/>
  <c r="L39" i="3"/>
  <c r="M38" i="3"/>
  <c r="L38" i="3"/>
  <c r="M37" i="3"/>
  <c r="L37" i="3"/>
  <c r="M36" i="3"/>
  <c r="L36" i="3"/>
  <c r="M35" i="3"/>
  <c r="L35" i="3"/>
  <c r="M34" i="3"/>
  <c r="L34" i="3"/>
  <c r="M33" i="3"/>
  <c r="L33" i="3"/>
  <c r="M32" i="3"/>
  <c r="L32" i="3"/>
  <c r="M31" i="3"/>
  <c r="L31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38" i="3"/>
  <c r="G38" i="3"/>
  <c r="H37" i="3"/>
  <c r="G37" i="3"/>
  <c r="H36" i="3"/>
  <c r="G36" i="3"/>
  <c r="H35" i="3"/>
  <c r="G35" i="3"/>
  <c r="H34" i="3"/>
  <c r="G34" i="3"/>
  <c r="H33" i="3"/>
  <c r="G33" i="3"/>
  <c r="H32" i="3"/>
  <c r="G32" i="3"/>
  <c r="H31" i="3"/>
  <c r="G31" i="3"/>
  <c r="C53" i="3"/>
  <c r="B53" i="3"/>
  <c r="C52" i="3"/>
  <c r="B52" i="3"/>
  <c r="C51" i="3"/>
  <c r="B51" i="3"/>
  <c r="C50" i="3"/>
  <c r="B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8" i="3"/>
  <c r="B38" i="3"/>
  <c r="C37" i="3"/>
  <c r="B37" i="3"/>
  <c r="C36" i="3"/>
  <c r="B36" i="3"/>
  <c r="C35" i="3"/>
  <c r="B35" i="3"/>
  <c r="C34" i="3"/>
  <c r="B34" i="3"/>
  <c r="C33" i="3"/>
  <c r="B33" i="3"/>
  <c r="C32" i="3"/>
  <c r="B32" i="3"/>
  <c r="C31" i="3"/>
  <c r="B31" i="3"/>
  <c r="M27" i="3"/>
  <c r="L27" i="3"/>
  <c r="M26" i="3"/>
  <c r="L26" i="3"/>
  <c r="M25" i="3"/>
  <c r="L25" i="3"/>
  <c r="M24" i="3"/>
  <c r="L24" i="3"/>
  <c r="M23" i="3"/>
  <c r="L23" i="3"/>
  <c r="M22" i="3"/>
  <c r="L22" i="3"/>
  <c r="M21" i="3"/>
  <c r="L21" i="3"/>
  <c r="M20" i="3"/>
  <c r="L20" i="3"/>
  <c r="M19" i="3"/>
  <c r="L19" i="3"/>
  <c r="M18" i="3"/>
  <c r="L18" i="3"/>
  <c r="M17" i="3"/>
  <c r="L17" i="3"/>
  <c r="M16" i="3"/>
  <c r="L16" i="3"/>
  <c r="M15" i="3"/>
  <c r="L15" i="3"/>
  <c r="M14" i="3"/>
  <c r="L14" i="3"/>
  <c r="M13" i="3"/>
  <c r="L13" i="3"/>
  <c r="M12" i="3"/>
  <c r="L12" i="3"/>
  <c r="M11" i="3"/>
  <c r="L11" i="3"/>
  <c r="M10" i="3"/>
  <c r="L10" i="3"/>
  <c r="M9" i="3"/>
  <c r="L9" i="3"/>
  <c r="M8" i="3"/>
  <c r="L8" i="3"/>
  <c r="M7" i="3"/>
  <c r="L7" i="3"/>
  <c r="M6" i="3"/>
  <c r="L6" i="3"/>
  <c r="M5" i="3"/>
  <c r="L5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B4" i="4"/>
  <c r="G25" i="4" s="1"/>
  <c r="B4" i="3"/>
  <c r="G4" i="3" s="1"/>
  <c r="L4" i="3" s="1"/>
  <c r="B30" i="3" s="1"/>
  <c r="G30" i="3" s="1"/>
  <c r="L30" i="3" s="1"/>
  <c r="B56" i="3" s="1"/>
  <c r="G56" i="3" s="1"/>
  <c r="L56" i="3" s="1"/>
  <c r="B82" i="3" s="1"/>
  <c r="G82" i="3" s="1"/>
  <c r="L82" i="3" s="1"/>
  <c r="N1" i="20"/>
  <c r="K264" i="20" s="1"/>
  <c r="N1" i="14"/>
  <c r="K295" i="14" s="1"/>
  <c r="N1" i="19"/>
  <c r="K288" i="19" s="1"/>
  <c r="N1" i="18"/>
  <c r="K279" i="18" s="1"/>
  <c r="N1" i="13"/>
  <c r="K190" i="13" s="1"/>
  <c r="N1" i="16"/>
  <c r="K223" i="16" s="1"/>
  <c r="N1" i="12"/>
  <c r="K250" i="12" s="1"/>
  <c r="N1" i="11"/>
  <c r="K232" i="11" s="1"/>
  <c r="G1" i="14"/>
  <c r="G1" i="19"/>
  <c r="G1" i="18"/>
  <c r="G1" i="13"/>
  <c r="G1" i="16"/>
  <c r="G1" i="12"/>
  <c r="G1" i="11"/>
  <c r="M275" i="20"/>
  <c r="K275" i="20"/>
  <c r="I275" i="20"/>
  <c r="H275" i="20"/>
  <c r="M269" i="20"/>
  <c r="K269" i="20"/>
  <c r="J269" i="20"/>
  <c r="H269" i="20"/>
  <c r="I268" i="20"/>
  <c r="G268" i="20"/>
  <c r="I259" i="20"/>
  <c r="K246" i="20"/>
  <c r="J246" i="20"/>
  <c r="H246" i="20"/>
  <c r="K232" i="20"/>
  <c r="J232" i="20"/>
  <c r="H232" i="20"/>
  <c r="K245" i="20"/>
  <c r="J245" i="20"/>
  <c r="H245" i="20"/>
  <c r="L215" i="20"/>
  <c r="K215" i="20"/>
  <c r="J215" i="20"/>
  <c r="I215" i="20"/>
  <c r="H215" i="20"/>
  <c r="G215" i="20"/>
  <c r="R121" i="20"/>
  <c r="Q121" i="20"/>
  <c r="P121" i="20"/>
  <c r="G121" i="20"/>
  <c r="R152" i="20"/>
  <c r="Q152" i="20"/>
  <c r="P152" i="20"/>
  <c r="G152" i="20"/>
  <c r="R154" i="20"/>
  <c r="Q154" i="20"/>
  <c r="G154" i="20"/>
  <c r="M312" i="19"/>
  <c r="K312" i="19"/>
  <c r="J312" i="19"/>
  <c r="I312" i="19"/>
  <c r="H312" i="19"/>
  <c r="L311" i="19"/>
  <c r="L310" i="19"/>
  <c r="L309" i="19"/>
  <c r="L308" i="19"/>
  <c r="L307" i="19"/>
  <c r="L306" i="19"/>
  <c r="G306" i="19"/>
  <c r="M301" i="19"/>
  <c r="K301" i="19"/>
  <c r="J301" i="19"/>
  <c r="H301" i="19"/>
  <c r="I300" i="19"/>
  <c r="L300" i="19" s="1"/>
  <c r="G300" i="19"/>
  <c r="I299" i="19"/>
  <c r="L299" i="19" s="1"/>
  <c r="G299" i="19"/>
  <c r="I298" i="19"/>
  <c r="L298" i="19" s="1"/>
  <c r="G298" i="19"/>
  <c r="I297" i="19"/>
  <c r="L297" i="19" s="1"/>
  <c r="G297" i="19"/>
  <c r="I296" i="19"/>
  <c r="L296" i="19" s="1"/>
  <c r="G296" i="19"/>
  <c r="I295" i="19"/>
  <c r="L295" i="19" s="1"/>
  <c r="G295" i="19"/>
  <c r="I294" i="19"/>
  <c r="L294" i="19" s="1"/>
  <c r="G294" i="19"/>
  <c r="I293" i="19"/>
  <c r="L293" i="19" s="1"/>
  <c r="G293" i="19"/>
  <c r="I292" i="19"/>
  <c r="G292" i="19"/>
  <c r="I282" i="19"/>
  <c r="K267" i="19"/>
  <c r="J267" i="19"/>
  <c r="H267" i="19"/>
  <c r="K263" i="19"/>
  <c r="H263" i="19"/>
  <c r="K255" i="19"/>
  <c r="H255" i="19"/>
  <c r="K274" i="19"/>
  <c r="J274" i="19"/>
  <c r="H274" i="19"/>
  <c r="L247" i="19"/>
  <c r="K247" i="19"/>
  <c r="J247" i="19"/>
  <c r="I247" i="19"/>
  <c r="H247" i="19"/>
  <c r="G247" i="19"/>
  <c r="O231" i="19"/>
  <c r="N231" i="19"/>
  <c r="M231" i="19"/>
  <c r="L231" i="19"/>
  <c r="K231" i="19"/>
  <c r="J231" i="19"/>
  <c r="H231" i="19"/>
  <c r="R97" i="19"/>
  <c r="Q97" i="19"/>
  <c r="P97" i="19"/>
  <c r="G97" i="19"/>
  <c r="R113" i="19"/>
  <c r="Q113" i="19"/>
  <c r="P113" i="19"/>
  <c r="G113" i="19"/>
  <c r="R70" i="19"/>
  <c r="Q70" i="19"/>
  <c r="P70" i="19"/>
  <c r="G70" i="19"/>
  <c r="R175" i="19"/>
  <c r="Q175" i="19"/>
  <c r="P175" i="19"/>
  <c r="G175" i="19"/>
  <c r="R38" i="19"/>
  <c r="Q38" i="19"/>
  <c r="P38" i="19"/>
  <c r="G38" i="19"/>
  <c r="R15" i="19"/>
  <c r="Q15" i="19"/>
  <c r="P15" i="19"/>
  <c r="G15" i="19"/>
  <c r="M294" i="18"/>
  <c r="K294" i="18"/>
  <c r="J294" i="18"/>
  <c r="I294" i="18"/>
  <c r="H294" i="18"/>
  <c r="M285" i="18"/>
  <c r="K285" i="18"/>
  <c r="J285" i="18"/>
  <c r="H285" i="18"/>
  <c r="I284" i="18"/>
  <c r="L284" i="18" s="1"/>
  <c r="G284" i="18"/>
  <c r="G283" i="18"/>
  <c r="I273" i="18"/>
  <c r="L220" i="18"/>
  <c r="K220" i="18"/>
  <c r="J220" i="18"/>
  <c r="I220" i="18"/>
  <c r="H220" i="18"/>
  <c r="G220" i="18"/>
  <c r="O204" i="18"/>
  <c r="N204" i="18"/>
  <c r="M204" i="18"/>
  <c r="L204" i="18"/>
  <c r="K204" i="18"/>
  <c r="J204" i="18"/>
  <c r="H204" i="18"/>
  <c r="R176" i="18"/>
  <c r="Q176" i="18"/>
  <c r="P176" i="18"/>
  <c r="G176" i="18"/>
  <c r="M243" i="16"/>
  <c r="K243" i="16"/>
  <c r="J243" i="16"/>
  <c r="I243" i="16"/>
  <c r="H243" i="16"/>
  <c r="L242" i="16"/>
  <c r="L241" i="16"/>
  <c r="L240" i="16"/>
  <c r="L239" i="16"/>
  <c r="L238" i="16"/>
  <c r="L237" i="16"/>
  <c r="G237" i="16"/>
  <c r="M232" i="16"/>
  <c r="K232" i="16"/>
  <c r="J232" i="16"/>
  <c r="H232" i="16"/>
  <c r="L231" i="16"/>
  <c r="G231" i="16"/>
  <c r="L230" i="16"/>
  <c r="G230" i="16"/>
  <c r="L229" i="16"/>
  <c r="G229" i="16"/>
  <c r="L228" i="16"/>
  <c r="G228" i="16"/>
  <c r="G227" i="16"/>
  <c r="I221" i="16"/>
  <c r="K209" i="16"/>
  <c r="J209" i="16"/>
  <c r="H209" i="16"/>
  <c r="K215" i="16"/>
  <c r="J215" i="16"/>
  <c r="H215" i="16"/>
  <c r="K198" i="16"/>
  <c r="J198" i="16"/>
  <c r="H198" i="16"/>
  <c r="K192" i="16"/>
  <c r="J192" i="16"/>
  <c r="H192" i="16"/>
  <c r="L178" i="16"/>
  <c r="K178" i="16"/>
  <c r="J178" i="16"/>
  <c r="I178" i="16"/>
  <c r="H178" i="16"/>
  <c r="G178" i="16"/>
  <c r="O165" i="16"/>
  <c r="N165" i="16"/>
  <c r="M165" i="16"/>
  <c r="L165" i="16"/>
  <c r="H165" i="16"/>
  <c r="R8" i="16"/>
  <c r="Q8" i="16"/>
  <c r="P8" i="16"/>
  <c r="G8" i="16"/>
  <c r="R16" i="16"/>
  <c r="Q16" i="16"/>
  <c r="G16" i="16"/>
  <c r="M346" i="14"/>
  <c r="K346" i="14"/>
  <c r="J346" i="14"/>
  <c r="I346" i="14"/>
  <c r="H346" i="14"/>
  <c r="G313" i="14"/>
  <c r="M308" i="14"/>
  <c r="K308" i="14"/>
  <c r="J308" i="14"/>
  <c r="H308" i="14"/>
  <c r="I307" i="14"/>
  <c r="L307" i="14" s="1"/>
  <c r="G307" i="14"/>
  <c r="I306" i="14"/>
  <c r="L306" i="14" s="1"/>
  <c r="G306" i="14"/>
  <c r="I305" i="14"/>
  <c r="L305" i="14" s="1"/>
  <c r="G305" i="14"/>
  <c r="I304" i="14"/>
  <c r="L304" i="14" s="1"/>
  <c r="G304" i="14"/>
  <c r="I303" i="14"/>
  <c r="L303" i="14" s="1"/>
  <c r="G303" i="14"/>
  <c r="I302" i="14"/>
  <c r="L302" i="14" s="1"/>
  <c r="G302" i="14"/>
  <c r="I301" i="14"/>
  <c r="L301" i="14" s="1"/>
  <c r="G301" i="14"/>
  <c r="I300" i="14"/>
  <c r="L300" i="14" s="1"/>
  <c r="G300" i="14"/>
  <c r="I299" i="14"/>
  <c r="G299" i="14"/>
  <c r="I289" i="14"/>
  <c r="K282" i="14"/>
  <c r="J282" i="14"/>
  <c r="H282" i="14"/>
  <c r="K281" i="14"/>
  <c r="J281" i="14"/>
  <c r="H281" i="14"/>
  <c r="K257" i="14"/>
  <c r="J257" i="14"/>
  <c r="H257" i="14"/>
  <c r="K258" i="14"/>
  <c r="J258" i="14"/>
  <c r="H258" i="14"/>
  <c r="L238" i="14"/>
  <c r="K238" i="14"/>
  <c r="J238" i="14"/>
  <c r="I238" i="14"/>
  <c r="G4" i="14" s="1"/>
  <c r="G238" i="14"/>
  <c r="H222" i="14"/>
  <c r="R16" i="14"/>
  <c r="Q16" i="14"/>
  <c r="P16" i="14"/>
  <c r="G16" i="14"/>
  <c r="R181" i="14"/>
  <c r="Q181" i="14"/>
  <c r="P181" i="14"/>
  <c r="G181" i="14"/>
  <c r="R28" i="14"/>
  <c r="Q28" i="14"/>
  <c r="P28" i="14"/>
  <c r="G28" i="14"/>
  <c r="R121" i="14"/>
  <c r="Q121" i="14"/>
  <c r="P121" i="14"/>
  <c r="G121" i="14"/>
  <c r="R114" i="14"/>
  <c r="Q114" i="14"/>
  <c r="P114" i="14"/>
  <c r="G114" i="14"/>
  <c r="R39" i="14"/>
  <c r="Q39" i="14"/>
  <c r="P39" i="14"/>
  <c r="G39" i="14"/>
  <c r="R157" i="14"/>
  <c r="Q157" i="14"/>
  <c r="P157" i="14"/>
  <c r="G157" i="14"/>
  <c r="R45" i="14"/>
  <c r="Q45" i="14"/>
  <c r="P45" i="14"/>
  <c r="G45" i="14"/>
  <c r="M352" i="13"/>
  <c r="K352" i="13"/>
  <c r="J352" i="13"/>
  <c r="I352" i="13"/>
  <c r="H352" i="13"/>
  <c r="L351" i="13"/>
  <c r="L350" i="13"/>
  <c r="L349" i="13"/>
  <c r="L348" i="13"/>
  <c r="L347" i="13"/>
  <c r="L346" i="13"/>
  <c r="M341" i="13"/>
  <c r="K341" i="13"/>
  <c r="J341" i="13"/>
  <c r="H341" i="13"/>
  <c r="I340" i="13"/>
  <c r="L340" i="13" s="1"/>
  <c r="G340" i="13"/>
  <c r="I339" i="13"/>
  <c r="L339" i="13" s="1"/>
  <c r="G339" i="13"/>
  <c r="I338" i="13"/>
  <c r="L338" i="13" s="1"/>
  <c r="G338" i="13"/>
  <c r="I337" i="13"/>
  <c r="L337" i="13" s="1"/>
  <c r="G337" i="13"/>
  <c r="I196" i="13"/>
  <c r="L196" i="13" s="1"/>
  <c r="G196" i="13"/>
  <c r="I195" i="13"/>
  <c r="L195" i="13" s="1"/>
  <c r="G195" i="13"/>
  <c r="I194" i="13"/>
  <c r="L194" i="13" s="1"/>
  <c r="G194" i="13"/>
  <c r="L155" i="13"/>
  <c r="K155" i="13"/>
  <c r="J155" i="13"/>
  <c r="I155" i="13"/>
  <c r="H155" i="13"/>
  <c r="G155" i="13"/>
  <c r="O142" i="13"/>
  <c r="N142" i="13"/>
  <c r="M142" i="13"/>
  <c r="L142" i="13"/>
  <c r="K142" i="13"/>
  <c r="J142" i="13"/>
  <c r="O154" i="13" s="1"/>
  <c r="O155" i="13" s="1"/>
  <c r="H142" i="13"/>
  <c r="R118" i="13"/>
  <c r="Q118" i="13"/>
  <c r="P118" i="13"/>
  <c r="G118" i="13"/>
  <c r="R105" i="13"/>
  <c r="Q105" i="13"/>
  <c r="P105" i="13"/>
  <c r="G105" i="13"/>
  <c r="M270" i="12"/>
  <c r="K270" i="12"/>
  <c r="J270" i="12"/>
  <c r="I270" i="12"/>
  <c r="H270" i="12"/>
  <c r="L269" i="12"/>
  <c r="L268" i="12"/>
  <c r="L267" i="12"/>
  <c r="L266" i="12"/>
  <c r="L265" i="12"/>
  <c r="L264" i="12"/>
  <c r="G264" i="12"/>
  <c r="M259" i="12"/>
  <c r="K259" i="12"/>
  <c r="J259" i="12"/>
  <c r="H259" i="12"/>
  <c r="L258" i="12"/>
  <c r="G258" i="12"/>
  <c r="L257" i="12"/>
  <c r="G257" i="12"/>
  <c r="L256" i="12"/>
  <c r="G256" i="12"/>
  <c r="L255" i="12"/>
  <c r="G255" i="12"/>
  <c r="G254" i="12"/>
  <c r="I244" i="12"/>
  <c r="K243" i="12"/>
  <c r="J243" i="12"/>
  <c r="H243" i="12"/>
  <c r="K237" i="12"/>
  <c r="J237" i="12"/>
  <c r="H237" i="12"/>
  <c r="K236" i="12"/>
  <c r="J236" i="12"/>
  <c r="H236" i="12"/>
  <c r="K235" i="12"/>
  <c r="J235" i="12"/>
  <c r="H235" i="12"/>
  <c r="L189" i="12"/>
  <c r="K189" i="12"/>
  <c r="J189" i="12"/>
  <c r="O178" i="12"/>
  <c r="N178" i="12"/>
  <c r="M178" i="12"/>
  <c r="L178" i="12"/>
  <c r="H178" i="12"/>
  <c r="R172" i="12"/>
  <c r="Q172" i="12"/>
  <c r="P172" i="12"/>
  <c r="G172" i="12"/>
  <c r="R24" i="12"/>
  <c r="Q24" i="12"/>
  <c r="P24" i="12"/>
  <c r="G24" i="12"/>
  <c r="R71" i="12"/>
  <c r="Q71" i="12"/>
  <c r="P71" i="12"/>
  <c r="G71" i="12"/>
  <c r="R32" i="12"/>
  <c r="Q32" i="12"/>
  <c r="P32" i="12"/>
  <c r="G32" i="12"/>
  <c r="R97" i="12"/>
  <c r="Q97" i="12"/>
  <c r="G97" i="12"/>
  <c r="R15" i="12"/>
  <c r="Q15" i="12"/>
  <c r="P15" i="12"/>
  <c r="G15" i="12"/>
  <c r="R177" i="12"/>
  <c r="Q177" i="12"/>
  <c r="P177" i="12"/>
  <c r="G177" i="12"/>
  <c r="R57" i="12"/>
  <c r="Q57" i="12"/>
  <c r="P57" i="12"/>
  <c r="M245" i="11"/>
  <c r="K245" i="11"/>
  <c r="J245" i="11"/>
  <c r="I245" i="11"/>
  <c r="H245" i="11"/>
  <c r="L244" i="11"/>
  <c r="L243" i="11"/>
  <c r="G243" i="11"/>
  <c r="M238" i="11"/>
  <c r="K238" i="11"/>
  <c r="J238" i="11"/>
  <c r="H238" i="11"/>
  <c r="I237" i="11"/>
  <c r="L237" i="11" s="1"/>
  <c r="G237" i="11"/>
  <c r="I236" i="11"/>
  <c r="G236" i="11"/>
  <c r="I229" i="11"/>
  <c r="K227" i="11"/>
  <c r="J227" i="11"/>
  <c r="H227" i="11"/>
  <c r="K226" i="11"/>
  <c r="J226" i="11"/>
  <c r="H226" i="11"/>
  <c r="K225" i="11"/>
  <c r="J225" i="11"/>
  <c r="H225" i="11"/>
  <c r="K208" i="11"/>
  <c r="J208" i="11"/>
  <c r="H208" i="11"/>
  <c r="L198" i="11"/>
  <c r="K198" i="11"/>
  <c r="J198" i="11"/>
  <c r="I198" i="11"/>
  <c r="H198" i="11"/>
  <c r="G198" i="11"/>
  <c r="O186" i="11"/>
  <c r="N186" i="11"/>
  <c r="M186" i="11"/>
  <c r="L186" i="11"/>
  <c r="K186" i="11"/>
  <c r="J186" i="11"/>
  <c r="H186" i="11"/>
  <c r="O189" i="11" s="1"/>
  <c r="R170" i="11"/>
  <c r="Q170" i="11"/>
  <c r="P170" i="11"/>
  <c r="G170" i="11"/>
  <c r="R139" i="11"/>
  <c r="Q139" i="11"/>
  <c r="P139" i="11"/>
  <c r="G139" i="11"/>
  <c r="R93" i="11"/>
  <c r="Q93" i="11"/>
  <c r="P93" i="11"/>
  <c r="G93" i="11"/>
  <c r="R163" i="11"/>
  <c r="Q163" i="11"/>
  <c r="P163" i="11"/>
  <c r="G163" i="11"/>
  <c r="N1" i="10"/>
  <c r="K203" i="10" s="1"/>
  <c r="M215" i="10"/>
  <c r="J215" i="10"/>
  <c r="I215" i="10"/>
  <c r="G213" i="10"/>
  <c r="M208" i="10"/>
  <c r="K208" i="10"/>
  <c r="J208" i="10"/>
  <c r="H208" i="10"/>
  <c r="I207" i="10"/>
  <c r="G207" i="10"/>
  <c r="I197" i="10"/>
  <c r="K184" i="10"/>
  <c r="J184" i="10"/>
  <c r="H184" i="10"/>
  <c r="K180" i="10"/>
  <c r="J180" i="10"/>
  <c r="H180" i="10"/>
  <c r="K179" i="10"/>
  <c r="J179" i="10"/>
  <c r="H179" i="10"/>
  <c r="L161" i="10"/>
  <c r="K161" i="10"/>
  <c r="J161" i="10"/>
  <c r="I161" i="10"/>
  <c r="H161" i="10"/>
  <c r="O148" i="10"/>
  <c r="N148" i="10"/>
  <c r="M148" i="10"/>
  <c r="L148" i="10"/>
  <c r="K148" i="10"/>
  <c r="J148" i="10"/>
  <c r="H148" i="10"/>
  <c r="R20" i="10"/>
  <c r="Q20" i="10"/>
  <c r="P20" i="10"/>
  <c r="G20" i="10"/>
  <c r="R22" i="10"/>
  <c r="Q22" i="10"/>
  <c r="P22" i="10"/>
  <c r="G22" i="10"/>
  <c r="R10" i="10"/>
  <c r="Q10" i="10"/>
  <c r="P10" i="10"/>
  <c r="G10" i="10"/>
  <c r="R15" i="10"/>
  <c r="Q15" i="10"/>
  <c r="P15" i="10"/>
  <c r="G15" i="10"/>
  <c r="R47" i="10"/>
  <c r="Q47" i="10"/>
  <c r="P47" i="10"/>
  <c r="G47" i="10"/>
  <c r="R94" i="10"/>
  <c r="Q94" i="10"/>
  <c r="P94" i="10"/>
  <c r="G94" i="10"/>
  <c r="R13" i="10"/>
  <c r="Q13" i="10"/>
  <c r="P13" i="10"/>
  <c r="G13" i="10"/>
  <c r="R46" i="10"/>
  <c r="Q46" i="10"/>
  <c r="I187" i="2"/>
  <c r="L187" i="2" s="1"/>
  <c r="I188" i="2"/>
  <c r="L188" i="2" s="1"/>
  <c r="G188" i="2"/>
  <c r="I178" i="2"/>
  <c r="K148" i="2"/>
  <c r="J148" i="2"/>
  <c r="I148" i="2"/>
  <c r="H148" i="2"/>
  <c r="G148" i="2"/>
  <c r="L148" i="2"/>
  <c r="K203" i="2"/>
  <c r="J203" i="2"/>
  <c r="I203" i="2"/>
  <c r="H203" i="2"/>
  <c r="M203" i="2"/>
  <c r="K183" i="2"/>
  <c r="K194" i="2"/>
  <c r="J194" i="2"/>
  <c r="H194" i="2"/>
  <c r="M194" i="2"/>
  <c r="G187" i="2"/>
  <c r="K162" i="2"/>
  <c r="J162" i="2"/>
  <c r="H162" i="2"/>
  <c r="O133" i="2"/>
  <c r="N133" i="2"/>
  <c r="M133" i="2"/>
  <c r="L133" i="2"/>
  <c r="H133" i="2"/>
  <c r="P150" i="10" l="1"/>
  <c r="P152" i="10" s="1"/>
  <c r="O148" i="13"/>
  <c r="O149" i="13" s="1"/>
  <c r="P231" i="19"/>
  <c r="P145" i="13"/>
  <c r="G4" i="16"/>
  <c r="B4" i="11"/>
  <c r="P222" i="14"/>
  <c r="P97" i="12"/>
  <c r="P178" i="12" s="1"/>
  <c r="I178" i="12"/>
  <c r="G4" i="12" s="1"/>
  <c r="J4" i="12"/>
  <c r="J4" i="16"/>
  <c r="B4" i="18"/>
  <c r="B4" i="13"/>
  <c r="J4" i="13"/>
  <c r="I285" i="18"/>
  <c r="M4" i="18" s="1"/>
  <c r="I301" i="19"/>
  <c r="M4" i="19" s="1"/>
  <c r="P46" i="10"/>
  <c r="P148" i="10" s="1"/>
  <c r="I148" i="10"/>
  <c r="G4" i="10" s="1"/>
  <c r="B4" i="10"/>
  <c r="I341" i="13"/>
  <c r="M4" i="13" s="1"/>
  <c r="J4" i="20"/>
  <c r="P154" i="20"/>
  <c r="P199" i="20" s="1"/>
  <c r="I199" i="20"/>
  <c r="G4" i="20" s="1"/>
  <c r="I259" i="12"/>
  <c r="M4" i="12" s="1"/>
  <c r="L245" i="11"/>
  <c r="I269" i="20"/>
  <c r="M4" i="20" s="1"/>
  <c r="J4" i="11"/>
  <c r="B4" i="12"/>
  <c r="B4" i="20"/>
  <c r="B4" i="16"/>
  <c r="I232" i="16"/>
  <c r="M4" i="16" s="1"/>
  <c r="L243" i="16"/>
  <c r="J4" i="18"/>
  <c r="J4" i="19"/>
  <c r="I208" i="10"/>
  <c r="M4" i="10" s="1"/>
  <c r="J4" i="10"/>
  <c r="I308" i="14"/>
  <c r="M4" i="14" s="1"/>
  <c r="B4" i="19"/>
  <c r="B4" i="14"/>
  <c r="J4" i="14"/>
  <c r="I238" i="11"/>
  <c r="M4" i="11" s="1"/>
  <c r="L270" i="12"/>
  <c r="L346" i="14"/>
  <c r="P16" i="16"/>
  <c r="P165" i="16" s="1"/>
  <c r="L294" i="18"/>
  <c r="I231" i="19"/>
  <c r="G4" i="19" s="1"/>
  <c r="L292" i="19"/>
  <c r="L301" i="19" s="1"/>
  <c r="L312" i="19"/>
  <c r="G4" i="4"/>
  <c r="B11" i="4"/>
  <c r="L11" i="4"/>
  <c r="G18" i="4"/>
  <c r="B25" i="4"/>
  <c r="L25" i="4"/>
  <c r="L4" i="4"/>
  <c r="G11" i="4"/>
  <c r="B18" i="4"/>
  <c r="L18" i="4"/>
  <c r="L352" i="13"/>
  <c r="L275" i="20"/>
  <c r="L215" i="10"/>
  <c r="L268" i="20"/>
  <c r="L269" i="20" s="1"/>
  <c r="P204" i="18"/>
  <c r="L283" i="18"/>
  <c r="I204" i="18"/>
  <c r="G4" i="18" s="1"/>
  <c r="L227" i="16"/>
  <c r="L232" i="16" s="1"/>
  <c r="L299" i="14"/>
  <c r="L308" i="14" s="1"/>
  <c r="P142" i="13"/>
  <c r="L341" i="13"/>
  <c r="I142" i="13"/>
  <c r="L254" i="12"/>
  <c r="L259" i="12" s="1"/>
  <c r="P186" i="11"/>
  <c r="L236" i="11"/>
  <c r="L238" i="11" s="1"/>
  <c r="L207" i="10"/>
  <c r="L208" i="10" s="1"/>
  <c r="I194" i="2"/>
  <c r="M4" i="2" s="1"/>
  <c r="G4" i="2"/>
  <c r="B4" i="2"/>
  <c r="J4" i="2"/>
  <c r="L203" i="2"/>
  <c r="L194" i="2"/>
  <c r="P133" i="2"/>
  <c r="G4" i="13" l="1"/>
  <c r="P4" i="13" s="1"/>
  <c r="O151" i="13"/>
  <c r="O152" i="13" s="1"/>
  <c r="L285" i="18"/>
  <c r="T8" i="16"/>
  <c r="P4" i="19"/>
  <c r="P4" i="18"/>
  <c r="G4" i="11"/>
  <c r="P4" i="11" s="1"/>
  <c r="P4" i="16"/>
  <c r="P4" i="12"/>
  <c r="P4" i="20"/>
  <c r="P4" i="10"/>
  <c r="P4" i="14"/>
  <c r="P4" i="2"/>
</calcChain>
</file>

<file path=xl/sharedStrings.xml><?xml version="1.0" encoding="utf-8"?>
<sst xmlns="http://schemas.openxmlformats.org/spreadsheetml/2006/main" count="8590" uniqueCount="3102">
  <si>
    <t>FECHA</t>
  </si>
  <si>
    <t>TIPO</t>
  </si>
  <si>
    <t>PTO VTA</t>
  </si>
  <si>
    <t>CUIT</t>
  </si>
  <si>
    <t>RAZON SOCIAL</t>
  </si>
  <si>
    <t>NETO</t>
  </si>
  <si>
    <t>IVA 27%</t>
  </si>
  <si>
    <t>IVA 10,5%</t>
  </si>
  <si>
    <t>PERC. IVA</t>
  </si>
  <si>
    <t>PERC. IIBB CABA</t>
  </si>
  <si>
    <t>TOTAL</t>
  </si>
  <si>
    <t>Tipo de Gasto</t>
  </si>
  <si>
    <t>TOTAL DEBITO FISCAL</t>
  </si>
  <si>
    <t>TIPO DE GASTO</t>
  </si>
  <si>
    <t>TOTAL VENTAS NETAS</t>
  </si>
  <si>
    <t>LIQUIDACION EXTRACTOS BANCARIOS-TARJETAS</t>
  </si>
  <si>
    <t>BANCO</t>
  </si>
  <si>
    <t>IVA 21%</t>
  </si>
  <si>
    <t>RET IIBB CABA</t>
  </si>
  <si>
    <t>PERC IVA</t>
  </si>
  <si>
    <t>PERC IIBB</t>
  </si>
  <si>
    <t>PTO VENTA</t>
  </si>
  <si>
    <t>Nº FACTURA</t>
  </si>
  <si>
    <t>IMPORTE NETO</t>
  </si>
  <si>
    <t>EXENTO</t>
  </si>
  <si>
    <t>FACTURAS C</t>
  </si>
  <si>
    <t>NRO CPTE</t>
  </si>
  <si>
    <t>NRO. CPTE</t>
  </si>
  <si>
    <t>LIBRO IVA COMPRAS</t>
  </si>
  <si>
    <t xml:space="preserve">LIBRO IVA VENTAS  </t>
  </si>
  <si>
    <t>VENTAS "A"</t>
  </si>
  <si>
    <t>VENTAS "B"</t>
  </si>
  <si>
    <t>PROVINCIA</t>
  </si>
  <si>
    <t>PERC IIBB 
BS AS</t>
  </si>
  <si>
    <t>NETO GRAVADO</t>
  </si>
  <si>
    <t>IVA 21 %</t>
  </si>
  <si>
    <t>Otros / No Grav.</t>
  </si>
  <si>
    <t xml:space="preserve">TOTAL CREDITO FISCAL </t>
  </si>
  <si>
    <t>Provincia</t>
  </si>
  <si>
    <t>MERCADERIA</t>
  </si>
  <si>
    <t>GTOS ADMINISTRATIVOS</t>
  </si>
  <si>
    <t xml:space="preserve">GTOS COMERCIALIZACION </t>
  </si>
  <si>
    <t>SERVICIOS GAS, LUZ, ETC</t>
  </si>
  <si>
    <t>GASTOS VARIOS</t>
  </si>
  <si>
    <t>COMBUSTIBLE</t>
  </si>
  <si>
    <t xml:space="preserve">GTOS MANTENIMIENTO </t>
  </si>
  <si>
    <t>LIBRERÍA</t>
  </si>
  <si>
    <t>GTOS CATERING</t>
  </si>
  <si>
    <t>HONORARIOS CONTABLES</t>
  </si>
  <si>
    <t>ALQUILER</t>
  </si>
  <si>
    <t>GTOS SEGURIDAD</t>
  </si>
  <si>
    <t>PERC IIBB BS AS</t>
  </si>
  <si>
    <t>PERC IIBB CABA</t>
  </si>
  <si>
    <t>PROVEEDORES</t>
  </si>
  <si>
    <t>IVA BCO = $13313,59 IVA TOTAL = $641145,03</t>
  </si>
  <si>
    <t>IVA BCO = $8120,34 IVA TOTAL = $617171,30</t>
  </si>
  <si>
    <t>IVA BCO = $9615,48 IVA TOTAL = $569385,88</t>
  </si>
  <si>
    <t>HONORARIOS JURIDICOS</t>
  </si>
  <si>
    <t>EQ DE COMPUTACION</t>
  </si>
  <si>
    <t>BALANCE GRUPO RIDIGAS 2022 - CPRAS S/LIBRO IVA</t>
  </si>
  <si>
    <t>BALANCE GRUPO RIDIGAS 2021 - VENTAS S/LIBRO IVA</t>
  </si>
  <si>
    <t>Caja</t>
  </si>
  <si>
    <t>Iva DF</t>
  </si>
  <si>
    <t>Ventas "A"</t>
  </si>
  <si>
    <t>Ventas "B"</t>
  </si>
  <si>
    <t xml:space="preserve">TOTAL COMPRAS </t>
  </si>
  <si>
    <t>RETENCIONES</t>
  </si>
  <si>
    <t xml:space="preserve">FECHA </t>
  </si>
  <si>
    <t>COMP Nº</t>
  </si>
  <si>
    <t>Ganancias</t>
  </si>
  <si>
    <t>IVA</t>
  </si>
  <si>
    <t>SUSS</t>
  </si>
  <si>
    <t>IIBB BSAS</t>
  </si>
  <si>
    <t>IIBB CABA</t>
  </si>
  <si>
    <t>FC Nº</t>
  </si>
  <si>
    <t>Regalos Empresariales</t>
  </si>
  <si>
    <t>Fletes</t>
  </si>
  <si>
    <t>500,260</t>
  </si>
  <si>
    <t xml:space="preserve">Gastos mantenimiento </t>
  </si>
  <si>
    <t>Gastos Varios</t>
  </si>
  <si>
    <t>Servicios Gas, Luz, etc.</t>
  </si>
  <si>
    <t>Insumo</t>
  </si>
  <si>
    <t>Flete</t>
  </si>
  <si>
    <t>Mercaderia</t>
  </si>
  <si>
    <t>Combustibe</t>
  </si>
  <si>
    <t>Extracto</t>
  </si>
  <si>
    <t>Otros</t>
  </si>
  <si>
    <t>Alquiler</t>
  </si>
  <si>
    <t>Telefonia</t>
  </si>
  <si>
    <t>IFM ELECTRONIC  SRL</t>
  </si>
  <si>
    <t>Librería</t>
  </si>
  <si>
    <t>MAKRO SA</t>
  </si>
  <si>
    <t>MEGAH SRL</t>
  </si>
  <si>
    <t>MOLINOS RIO DE LA PLATA SA</t>
  </si>
  <si>
    <t>MR CAVALIERI SA</t>
  </si>
  <si>
    <t>OPER. DE EST. DE SERV. SA</t>
  </si>
  <si>
    <t>PAN AMERICAN ENERGY LLC</t>
  </si>
  <si>
    <t>PEUGEOT CITROEN ARG SA</t>
  </si>
  <si>
    <t>PINTURERIAS PRESTIGIO SA</t>
  </si>
  <si>
    <t>ROLLS Y EMPANADAS SA</t>
  </si>
  <si>
    <t>SUTIL SILVIA EDITH</t>
  </si>
  <si>
    <t>TELECENTRO SA</t>
  </si>
  <si>
    <t>RESULTADO</t>
  </si>
  <si>
    <t>Total</t>
  </si>
  <si>
    <t>Honorarios contables</t>
  </si>
  <si>
    <t>Columna1</t>
  </si>
  <si>
    <t>Gastos catering</t>
  </si>
  <si>
    <t>Gastos seguridad</t>
  </si>
  <si>
    <t xml:space="preserve">Gastos comercializacion </t>
  </si>
  <si>
    <t>Gastos administrativos</t>
  </si>
  <si>
    <t>Seguro</t>
  </si>
  <si>
    <t>Honorarios Legales</t>
  </si>
  <si>
    <t>Muebles y Utiles</t>
  </si>
  <si>
    <t>Alojamiento-Varios</t>
  </si>
  <si>
    <t>NSS SA</t>
  </si>
  <si>
    <t>BBVA - EXTRACTO</t>
  </si>
  <si>
    <t>GALICIA - EXTRACTO</t>
  </si>
  <si>
    <t>SERVICIOS</t>
  </si>
  <si>
    <t>SERAFINO ROSA LILIANA</t>
  </si>
  <si>
    <t>EUROARGENTINA</t>
  </si>
  <si>
    <t xml:space="preserve"> BERAN Claudia Beatriz</t>
  </si>
  <si>
    <t xml:space="preserve"> CORBALAN, MAFALDA ISABEL</t>
  </si>
  <si>
    <t xml:space="preserve"> GARCIA Ricardo Enrique</t>
  </si>
  <si>
    <t xml:space="preserve"> Graells Luis Miguel</t>
  </si>
  <si>
    <t>GPLAYERS SRL</t>
  </si>
  <si>
    <t>Grafika Producciones SRL</t>
  </si>
  <si>
    <t>GRAMTOR S.A</t>
  </si>
  <si>
    <t>GRAN BUENOS AIRES RAYOS X SOCIEDAD ANONIMA</t>
  </si>
  <si>
    <t>GRANDE CLIMATIZACIONES SRL</t>
  </si>
  <si>
    <t>GRANDON MARIA LAURA</t>
  </si>
  <si>
    <t>GRASSO BENEGAS DIEGO SEBASTIAN</t>
  </si>
  <si>
    <t>GRASSO ERNESTO CARLOS</t>
  </si>
  <si>
    <t>GRAVENT SA</t>
  </si>
  <si>
    <t>GREEN BURGER S.R.L</t>
  </si>
  <si>
    <t>GREEN GARDEN MARKET S.A.</t>
  </si>
  <si>
    <t>GREEN GARDEN MARKET SA</t>
  </si>
  <si>
    <t>GRIBICHE S.A.</t>
  </si>
  <si>
    <t>GRIFERÍA ULTRAGRIF SA</t>
  </si>
  <si>
    <t>GRIFERIAS COBRA SRL</t>
  </si>
  <si>
    <t>GRUPO ADRIATICO S.R.L.</t>
  </si>
  <si>
    <t>GRUPO BARU S.R.L</t>
  </si>
  <si>
    <t>GRUPO CONCES. DEL OESTE SA</t>
  </si>
  <si>
    <t>GRUPO FDM SRL</t>
  </si>
  <si>
    <t>GRUPO INTEGRA SRL</t>
  </si>
  <si>
    <t>GRUPO MAXIMUS S.R.L.</t>
  </si>
  <si>
    <t>GRUPO NUEVE SA</t>
  </si>
  <si>
    <t>GS GASTROSHOP SA</t>
  </si>
  <si>
    <t>GS TERMOMECANICA SRL</t>
  </si>
  <si>
    <t>GUALTIERI LEONARDO</t>
  </si>
  <si>
    <t>GUATEMALA 5653 S.A.</t>
  </si>
  <si>
    <t>GUGLIETTI ANTONIO RICARDO</t>
  </si>
  <si>
    <t>GUGLIOTTA DIEGO HERNAN</t>
  </si>
  <si>
    <t>GUIA PONCIANO YORDY</t>
  </si>
  <si>
    <t>GUILLERMO DIETRICH SA.</t>
  </si>
  <si>
    <t>GUILLERMO DOMIN S.R.L.</t>
  </si>
  <si>
    <t xml:space="preserve">GUITELO SRL </t>
  </si>
  <si>
    <t>GULLO JUAN PABLO</t>
  </si>
  <si>
    <t>GUREVICH DELIA ANA</t>
  </si>
  <si>
    <t>GUTIERREZ JORGE LUIS</t>
  </si>
  <si>
    <t>GUZMAN CARLOS ALBERTO</t>
  </si>
  <si>
    <t>HAIR SYSTEM S.A.</t>
  </si>
  <si>
    <t>HALLE ANDRES GUILLERMO</t>
  </si>
  <si>
    <t>HANDORF JOSE IGNACIO</t>
  </si>
  <si>
    <t>HAPPENING</t>
  </si>
  <si>
    <t>HEALTHCROUD S.A.</t>
  </si>
  <si>
    <t>HERME. MIGUEL SAGREDO SRL</t>
  </si>
  <si>
    <t>HERNAN BERNEY</t>
  </si>
  <si>
    <t>HERNAN GONZALEZ</t>
  </si>
  <si>
    <t>HERNANDEZ MARCELO</t>
  </si>
  <si>
    <t>HERRAFE SA</t>
  </si>
  <si>
    <t>HERRAJES VEIGA</t>
  </si>
  <si>
    <t>HERRAMIL DE BARROS ENRIQUE</t>
  </si>
  <si>
    <t>HERRERA MARIA DE LOS ANGELES</t>
  </si>
  <si>
    <t>HERVAS IBAÑEZ FRANCISCO JOSE</t>
  </si>
  <si>
    <t>HIDROMET</t>
  </si>
  <si>
    <t>HIERROS "JR" SRL</t>
  </si>
  <si>
    <t>HIERROS NACHO SRL</t>
  </si>
  <si>
    <t>HIERROTODO SA</t>
  </si>
  <si>
    <t xml:space="preserve">HIJOS DE SEGUNDO RATTI SRL </t>
  </si>
  <si>
    <t>HIPERPLASTICOS COLOMBRARO</t>
  </si>
  <si>
    <t>HIPODROMO ARGENTINO</t>
  </si>
  <si>
    <t>HOGAR CONSTANZA SA</t>
  </si>
  <si>
    <t>HONS PROP</t>
  </si>
  <si>
    <t>HORMIGON VISTO SRL</t>
  </si>
  <si>
    <t>HOSPIMED SA</t>
  </si>
  <si>
    <t>HOTEL CLASICO S.R.L.</t>
  </si>
  <si>
    <t>HOTELES DEL SOL S.A.</t>
  </si>
  <si>
    <t>HOTELES HOLLYWOOD S.A.</t>
  </si>
  <si>
    <t>HRACEK OLGA LILIANA</t>
  </si>
  <si>
    <t>HTS AR SA</t>
  </si>
  <si>
    <t>HUAMAN REYES WILLIAMS ALEX</t>
  </si>
  <si>
    <t>HUAÑAPE CONSTRUCCIONES</t>
  </si>
  <si>
    <t>HUGO ZIGNANO</t>
  </si>
  <si>
    <t>HUMBOLDT 2142 SRL</t>
  </si>
  <si>
    <t>HUMBOLDT 2324 S.A.</t>
  </si>
  <si>
    <t>HUMMENE TEXTIL S.A.</t>
  </si>
  <si>
    <t>HURLINGAS S.RL.</t>
  </si>
  <si>
    <t>IACOPETTI FLORENCIA</t>
  </si>
  <si>
    <t>IASSA SA</t>
  </si>
  <si>
    <t>IASSA SEGURIDAD</t>
  </si>
  <si>
    <t>IBARRA OSVALDO DANIEL</t>
  </si>
  <si>
    <t>IDAN SRL</t>
  </si>
  <si>
    <t>IDS BOILER S.R.L.</t>
  </si>
  <si>
    <t>IGLESIAS PAIZ MARIA MARTA</t>
  </si>
  <si>
    <t>IHAN NANCY LORENA</t>
  </si>
  <si>
    <t>IL MIRTILO S.R.L.</t>
  </si>
  <si>
    <t>IMA SERVICIOS INDUSTRIALES ARGENTINA S.A.</t>
  </si>
  <si>
    <t>IMAT INSTITUTO MEDICO DE ALTA TECNOLOGIA SA</t>
  </si>
  <si>
    <t>IMPONET S.A.</t>
  </si>
  <si>
    <t>IMPRESIONES J M RAMOS MEJIA S.A.</t>
  </si>
  <si>
    <t>IMPRESORA GUADALUPE SRL</t>
  </si>
  <si>
    <t>IN ACTION S.R.L.</t>
  </si>
  <si>
    <t>IN ARCH SRL</t>
  </si>
  <si>
    <t>INCHAUSPE MARIO ROBERTO</t>
  </si>
  <si>
    <t>INCLUSUD</t>
  </si>
  <si>
    <t>INDAVER MIGUEL ANGEL</t>
  </si>
  <si>
    <t>INDEFLEX SA</t>
  </si>
  <si>
    <t>INDICOM S.A.</t>
  </si>
  <si>
    <t>INDIGO PMP SRL</t>
  </si>
  <si>
    <t>INDUSTRIAL CONTROLES SRL</t>
  </si>
  <si>
    <t>INDUSTRIAL Y COMERCIAL S.A.</t>
  </si>
  <si>
    <t>INDUSTRIAS AUDIOVISUALES ARGENTINAS SA</t>
  </si>
  <si>
    <t>INDUSTRIAS JQ S.A</t>
  </si>
  <si>
    <t>INDUSTRIAS MARTIN S.A.</t>
  </si>
  <si>
    <t>INEA SRL</t>
  </si>
  <si>
    <t>INFINITO HOTEL S.R.L.</t>
  </si>
  <si>
    <t>INFOTECNIA S R L</t>
  </si>
  <si>
    <t>ING EDUARDO SZPIEZAK SRL</t>
  </si>
  <si>
    <t>INGA MIGUEL ANGEL</t>
  </si>
  <si>
    <t>INGETRES SRL</t>
  </si>
  <si>
    <t>INMO S.A.</t>
  </si>
  <si>
    <t>INMOBILIARIA SANTIAGO S A</t>
  </si>
  <si>
    <t>INOXIDABLES DEL SUR SA</t>
  </si>
  <si>
    <t>INQUINAT SA</t>
  </si>
  <si>
    <t>INSGHT GROUP SA.</t>
  </si>
  <si>
    <t>INSTALACIONES GABA SRL</t>
  </si>
  <si>
    <t>INSTITUCION ADMINISTRATIVA DE LA IGLESIA ARMENIA</t>
  </si>
  <si>
    <t>INSTITUCION SALESIANA</t>
  </si>
  <si>
    <t>INSTITUTO GENESIS SRL</t>
  </si>
  <si>
    <t>INSUMOS PLASTICOS SA</t>
  </si>
  <si>
    <t>INSUR S.A.</t>
  </si>
  <si>
    <t>INTEGRA CAPITAL S.A.</t>
  </si>
  <si>
    <t xml:space="preserve">INTEGRI SRL </t>
  </si>
  <si>
    <t>INTENSE LIFE SA</t>
  </si>
  <si>
    <t>INV. MINORISTA SA</t>
  </si>
  <si>
    <t>INVELAN S A</t>
  </si>
  <si>
    <t>INVERCLUB S.A.</t>
  </si>
  <si>
    <t>INVERSORA HERALDICA SOCIEDAD ANONIMA</t>
  </si>
  <si>
    <t>INYA S A</t>
  </si>
  <si>
    <t xml:space="preserve">IRAOLA Y CIA SA </t>
  </si>
  <si>
    <t>IRIGOYEN LUIS MARIA</t>
  </si>
  <si>
    <t>IRIME SRL</t>
  </si>
  <si>
    <t>IT SHOP S.R.L.</t>
  </si>
  <si>
    <t>ITALOMED PRODUCTOS</t>
  </si>
  <si>
    <t>ITALSUR S.A.</t>
  </si>
  <si>
    <t xml:space="preserve">ITAR AMOBLAMIENTOS SRL </t>
  </si>
  <si>
    <t>ITECO S R L</t>
  </si>
  <si>
    <t>IV CONSTRUCCIONES SRL</t>
  </si>
  <si>
    <t>JANET W SA</t>
  </si>
  <si>
    <t>JAXTIL SOCIEDAD ANONIMA</t>
  </si>
  <si>
    <t>JBRUSCO</t>
  </si>
  <si>
    <t xml:space="preserve">JEFFERSON SUDAMERICANA SA </t>
  </si>
  <si>
    <t>JET PRODUCCIONES S.R.L.</t>
  </si>
  <si>
    <t>JOEL GOMEZ BENITEZ</t>
  </si>
  <si>
    <t>JOMAN S.R.L.</t>
  </si>
  <si>
    <t>JORGE HUGO SCOCCIMARRA</t>
  </si>
  <si>
    <t>JOSE LUIS AVILES</t>
  </si>
  <si>
    <t>JUAN B JUSTO 1333</t>
  </si>
  <si>
    <t>JUAN B JUSTO 1333 S A</t>
  </si>
  <si>
    <t>JUAN B JUSTO 1333 SA</t>
  </si>
  <si>
    <t>JUAN CARLOS AVALOS GRNACE</t>
  </si>
  <si>
    <t>JUAN D NAVARRO</t>
  </si>
  <si>
    <t>JUAN MARTIN ALVAREZ</t>
  </si>
  <si>
    <t>JUAN PABLO ALONSO ABOGADO</t>
  </si>
  <si>
    <t>JUFE COMPANY SA</t>
  </si>
  <si>
    <t>JUNINEROS S.R.</t>
  </si>
  <si>
    <t>JYM SERVICIOS SAS</t>
  </si>
  <si>
    <t>K Y B CONSTRUCCIONES S.R.L.</t>
  </si>
  <si>
    <t>K Y B SISTEMAS E INSTALACIONES SRL</t>
  </si>
  <si>
    <t>KALFAIAN HNOS. SRL</t>
  </si>
  <si>
    <t>KAMAY SRL</t>
  </si>
  <si>
    <t>KAMNIK SRL</t>
  </si>
  <si>
    <t>KANSAI S.A</t>
  </si>
  <si>
    <t>KAVCIC SRL</t>
  </si>
  <si>
    <t>KCG GROUP S.R.L.</t>
  </si>
  <si>
    <t>KESTERNICH CESAR DARIO</t>
  </si>
  <si>
    <t>KEVORK TOUFENEDJIAN SA</t>
  </si>
  <si>
    <t>KHAYATTE ESTEBAN MIGUEL ANGEL</t>
  </si>
  <si>
    <t>KIN - HA  BIENES RAICES S.A</t>
  </si>
  <si>
    <t>KIR S R L</t>
  </si>
  <si>
    <t>KLEM JOSE ALFREDO</t>
  </si>
  <si>
    <t>KNBA SRL</t>
  </si>
  <si>
    <t>KOI  BAR SRL</t>
  </si>
  <si>
    <t>KOMALIA SA</t>
  </si>
  <si>
    <t>KOMBU S.A</t>
  </si>
  <si>
    <t>KORO S.R.L.</t>
  </si>
  <si>
    <t>KOVACS CARLOS ESTEBAN</t>
  </si>
  <si>
    <t>KROBOTH FRANCISCO PABLO</t>
  </si>
  <si>
    <t>KROSELJ MARIA ZELMIRA</t>
  </si>
  <si>
    <t>KUARZO ARGENTINA</t>
  </si>
  <si>
    <t>KUBI S.A.</t>
  </si>
  <si>
    <t>KUCHARSKI ENZO DAVID</t>
  </si>
  <si>
    <t>L D B C SRL</t>
  </si>
  <si>
    <t>L.C.M. SA</t>
  </si>
  <si>
    <t>LA CAMIONERA MENDOCINA SRL</t>
  </si>
  <si>
    <t>LA ESQUINA DE DORREGO SRL</t>
  </si>
  <si>
    <t>LA FEMME HOTEL SA</t>
  </si>
  <si>
    <t>LA INDUSTRIAL ELECT. SA</t>
  </si>
  <si>
    <t>LA JUNIOR SRL</t>
  </si>
  <si>
    <t>LA LECHUZA 1 SA</t>
  </si>
  <si>
    <t>LA MATILDE ARROYO SOCIEDA ANONIMA</t>
  </si>
  <si>
    <t>LA MERIDIONAL SEG. SA</t>
  </si>
  <si>
    <t>LA NINA DE ORO S.R.L.</t>
  </si>
  <si>
    <t>LA PILARCITA S.R.L.</t>
  </si>
  <si>
    <t>LA PILARCITA SRL</t>
  </si>
  <si>
    <t>LA ROY SRL</t>
  </si>
  <si>
    <t>LA RURAL S.A.</t>
  </si>
  <si>
    <t>LABORATORIOS NORTE S.R.L.</t>
  </si>
  <si>
    <t>LADO V DELI S.A.</t>
  </si>
  <si>
    <t>LADY MERLO</t>
  </si>
  <si>
    <t xml:space="preserve">LAFONT SRL </t>
  </si>
  <si>
    <t>LAGO MILLAN GRACIELA</t>
  </si>
  <si>
    <t>LAIUN &amp; ASOCIADOS S.A.</t>
  </si>
  <si>
    <t>LAKOTA AGOPECUARIA S.R.L.</t>
  </si>
  <si>
    <t>LAMELA ANTONIO ALBERTO DANI</t>
  </si>
  <si>
    <t>LANDRO RICARDO</t>
  </si>
  <si>
    <t>LAPOLLA JAVIER ROBERTO</t>
  </si>
  <si>
    <t>LARAIGNEE CARLOS HORACIO</t>
  </si>
  <si>
    <t>LARANGEIRA S.A.</t>
  </si>
  <si>
    <t>LASALVIA CARO MARIA BELEN</t>
  </si>
  <si>
    <t>LATECBA S.A.</t>
  </si>
  <si>
    <t>LATIN FOLK S.A.</t>
  </si>
  <si>
    <t xml:space="preserve">LATIN GRAFICA SRL </t>
  </si>
  <si>
    <t>LAUREANA DI BONELLO</t>
  </si>
  <si>
    <t>LAVEZZARI CARLOS ALBERTO</t>
  </si>
  <si>
    <t>LAXAGUE BELTRAN MARIA MIGUEL</t>
  </si>
  <si>
    <t>LD DISTRIBUIDORA LARREA</t>
  </si>
  <si>
    <t>LE POSET SRL</t>
  </si>
  <si>
    <t>LEAR SPORTS S.R.L.</t>
  </si>
  <si>
    <t>LEDSCENE S.A</t>
  </si>
  <si>
    <t>LEGGIAN SERVICIOS TURISTICOS S.A.</t>
  </si>
  <si>
    <t>LEMME OBRAS CIVILES S.R.L</t>
  </si>
  <si>
    <t>LENIS CORPORATION S A</t>
  </si>
  <si>
    <t>LEON RAMIREZ CLAUDIA</t>
  </si>
  <si>
    <t>LEONARDO ALBERTO COLONESE</t>
  </si>
  <si>
    <t>LEONARDO FUMAROLA</t>
  </si>
  <si>
    <t>LEONARDO TILL</t>
  </si>
  <si>
    <t>LEONETTI LUCAS GONZALO</t>
  </si>
  <si>
    <t>LEONIAN JIMENA</t>
  </si>
  <si>
    <t>LESEDIFE SA</t>
  </si>
  <si>
    <t>LEVIT CARLOS JAVIER</t>
  </si>
  <si>
    <t>LIANG MEI LING</t>
  </si>
  <si>
    <t>LIBERTADOR ESQUINA CONGRESO S.R.L.</t>
  </si>
  <si>
    <t xml:space="preserve">LIBERTECH SRL </t>
  </si>
  <si>
    <t>LIBRERÍA DEL ONCE</t>
  </si>
  <si>
    <t>LIBRERÍA LOS PIBES</t>
  </si>
  <si>
    <t>LIBRERÍA PELUFFO SRL</t>
  </si>
  <si>
    <t>LIOTTA TIDONI FRANCO</t>
  </si>
  <si>
    <t>LIS GABRIEL HERNAN</t>
  </si>
  <si>
    <t>LISNIZER ISABEL JULIANA RUTH</t>
  </si>
  <si>
    <t>LISTA ABIERTA</t>
  </si>
  <si>
    <t>LITTLE THINGS CLOTHES S.R.L.</t>
  </si>
  <si>
    <t xml:space="preserve">LIZA GOLD SA </t>
  </si>
  <si>
    <t>LLAMEDO ALBERTO SERGIO</t>
  </si>
  <si>
    <t>LNG OLIVIERI SA</t>
  </si>
  <si>
    <t>LOCALES COMERCIALES SRL</t>
  </si>
  <si>
    <t>LOFI ON LINE</t>
  </si>
  <si>
    <t>LOGINTER S.A.</t>
  </si>
  <si>
    <t>LOGINTER SA</t>
  </si>
  <si>
    <t>LOGISTICA VW S.A.</t>
  </si>
  <si>
    <t>LOMA LARGA SOCIEDAD ANONIMA AGROPECUARIA Y COMERCIAL</t>
  </si>
  <si>
    <t xml:space="preserve">LOMBARDO HAIDEE AMALIA </t>
  </si>
  <si>
    <t>LONCO HUE S.A</t>
  </si>
  <si>
    <t>LONCO HUE S.A.</t>
  </si>
  <si>
    <t>LONGIVE SA</t>
  </si>
  <si>
    <t>LOPES CRISTIAN DAVID</t>
  </si>
  <si>
    <t>LOPEZ AIDA ASUNCION</t>
  </si>
  <si>
    <t>LOPEZ ANGELA ROMINA</t>
  </si>
  <si>
    <t>LOPEZ CIRILO ALEJANDRO</t>
  </si>
  <si>
    <t>LOPEZ JUAN MANUEL</t>
  </si>
  <si>
    <t>LOPEZ LUCIANO FEDERICO</t>
  </si>
  <si>
    <t>LORD AND THOMAS S.A.</t>
  </si>
  <si>
    <t>LOS DAMOS S.A.</t>
  </si>
  <si>
    <t>LOTITO MARCELO DANIEL</t>
  </si>
  <si>
    <t>LOVINE S.A.</t>
  </si>
  <si>
    <t>LT WIRELESS &amp; CINE SOLUTIONS S.R.L.</t>
  </si>
  <si>
    <t>LUARCA FL ADMINISTRACION S.R.L.</t>
  </si>
  <si>
    <t>LUCAS MURPHY LEYTON</t>
  </si>
  <si>
    <t>LUIS FAZIO E HIJOS S.R.L.</t>
  </si>
  <si>
    <t>LUIS LUCANA YANCCE</t>
  </si>
  <si>
    <t>LUIS WOLFSDORF</t>
  </si>
  <si>
    <t>LUMINA AMERICAS S.A.</t>
  </si>
  <si>
    <t>LUNA MIRIAM ELIZABETH</t>
  </si>
  <si>
    <t>LUPO GUSTAVO ARTURO</t>
  </si>
  <si>
    <t>LUROVY S A</t>
  </si>
  <si>
    <t>LUVATEX  S.R.L.</t>
  </si>
  <si>
    <t xml:space="preserve">LUWAI SA </t>
  </si>
  <si>
    <t>LUZDESING</t>
  </si>
  <si>
    <t>M &amp; G TECHNOLOGY S.R.L.</t>
  </si>
  <si>
    <t>M J A SOCIEDAD ANONIMA</t>
  </si>
  <si>
    <t>MACADANA S.R.L.</t>
  </si>
  <si>
    <t>MACCESORIOS</t>
  </si>
  <si>
    <t>MACHTEY Y ASOCIADOS AUDITORES-CONSULTORES SOCIEDAD CIVIL</t>
  </si>
  <si>
    <t>MACROPLAST SA</t>
  </si>
  <si>
    <t>MAGARU S.A.</t>
  </si>
  <si>
    <t>MAIDANA VICTOR ALEJANDRO</t>
  </si>
  <si>
    <t>MALECKI OSCAR ANDRES</t>
  </si>
  <si>
    <t>MALLARDO AUGUSTO ANTONIO</t>
  </si>
  <si>
    <t>MALTA BONPLAND SRL</t>
  </si>
  <si>
    <t>MAMOCH S.R.L</t>
  </si>
  <si>
    <t>MANIFESTO ARGENTINA SRL</t>
  </si>
  <si>
    <t>MANUEL GONZALEZ ARIAS E HIJOS SOCIEDAD DE HECHO</t>
  </si>
  <si>
    <t>MANUMANU SAS</t>
  </si>
  <si>
    <t>MARALIA SA</t>
  </si>
  <si>
    <t>MARCELO A. MUSMANNO</t>
  </si>
  <si>
    <t>MARCELO FABIAN GUERINGHELLI</t>
  </si>
  <si>
    <t>MARCELO MMENAHEM</t>
  </si>
  <si>
    <t>MARIA ESPERANZA CORVALAN</t>
  </si>
  <si>
    <t>MARIA LUISA BIAUS</t>
  </si>
  <si>
    <t>MARIA NATALIA OLIVERI</t>
  </si>
  <si>
    <t>MARIANO MONTANGERO</t>
  </si>
  <si>
    <t>MARIÑO GERMAN</t>
  </si>
  <si>
    <t>MARIO JUAN SZWARC</t>
  </si>
  <si>
    <t>MARIO RICARDO FUNES</t>
  </si>
  <si>
    <t>MARIPEL S.A.</t>
  </si>
  <si>
    <t>MARKETCAR</t>
  </si>
  <si>
    <t>MARTIN ARIEL INFANTE</t>
  </si>
  <si>
    <t xml:space="preserve">MARTIN CAVA </t>
  </si>
  <si>
    <t>MARTINEZ MEDRANO GABRIEL ALEJANDRO</t>
  </si>
  <si>
    <t>MARTINO CARLOS ALBERTO</t>
  </si>
  <si>
    <t>MARTORANO ANDRES</t>
  </si>
  <si>
    <t>MASARAP SRL</t>
  </si>
  <si>
    <t>MASSUAR</t>
  </si>
  <si>
    <t>MATIAS GONZALEZ</t>
  </si>
  <si>
    <t>MAXTREND S.R.L.</t>
  </si>
  <si>
    <t>MAYCAR S.A</t>
  </si>
  <si>
    <t>MAZALOT S A</t>
  </si>
  <si>
    <t>MAZZINI MARIANO</t>
  </si>
  <si>
    <t>MB Papeles SRL</t>
  </si>
  <si>
    <t>MBP PROVEEDORES INDUSTRIALES</t>
  </si>
  <si>
    <t>MD CARGAS</t>
  </si>
  <si>
    <t>MECCA HECTOR DOMINGO</t>
  </si>
  <si>
    <t>MEDIA 500 S.A.</t>
  </si>
  <si>
    <t>MEDICAL CARE SOLUTIONS SRL</t>
  </si>
  <si>
    <t>MEDICAL FOAM SRL</t>
  </si>
  <si>
    <t>MEDICINA VASCULAR BUENOS AIRES SOCIEDAD DE RESPONSABILIDAD LIMITADA</t>
  </si>
  <si>
    <t>MEDICUS S.A DE ASIST. MEDICA</t>
  </si>
  <si>
    <t>MEDIN NORBERTO LUIS</t>
  </si>
  <si>
    <t xml:space="preserve">MEDINA JULIO RAMON </t>
  </si>
  <si>
    <t>MEFALE S.A.</t>
  </si>
  <si>
    <t>MEGA BABY S.A</t>
  </si>
  <si>
    <t>MEGAPOL SUCESION DE PUPPIO J H</t>
  </si>
  <si>
    <t>MEHCCO S.A.</t>
  </si>
  <si>
    <t>MELERWI SA</t>
  </si>
  <si>
    <t>MELHEM CARLOS SALIM</t>
  </si>
  <si>
    <t>MELI LOG S.R.L.</t>
  </si>
  <si>
    <t>MELICASLAT SRL</t>
  </si>
  <si>
    <t>MELIK ALEJANDRO ERASMO GUI</t>
  </si>
  <si>
    <t>MELLA ALEJANDRA NOEMI</t>
  </si>
  <si>
    <t xml:space="preserve">MENAZZI GRACIELA YOLANDA </t>
  </si>
  <si>
    <t>MEOLI ROBERTO</t>
  </si>
  <si>
    <t>MERCADO DE LA OFICINA</t>
  </si>
  <si>
    <t>MERCADO LIBRE SRL</t>
  </si>
  <si>
    <t>MERCI-BA S.A</t>
  </si>
  <si>
    <t>MERELES AGUIRRE WALTER</t>
  </si>
  <si>
    <t>MERMACO SA</t>
  </si>
  <si>
    <t>MERONI IGNACIO ESTEBAN TIMOTEO</t>
  </si>
  <si>
    <t>METALFORJA SRL</t>
  </si>
  <si>
    <t>METALURGICA ANTONINI SA</t>
  </si>
  <si>
    <t>MEZZADRI NORBERTO ARISTIDES</t>
  </si>
  <si>
    <t>MGD CONSULTING S.R.L.</t>
  </si>
  <si>
    <t>MGR IMPLANTES S.A</t>
  </si>
  <si>
    <t>MIATECH</t>
  </si>
  <si>
    <t>MIGUEL ANGEL BALDEON</t>
  </si>
  <si>
    <t>MIGUEL CARLOS ACOSTA</t>
  </si>
  <si>
    <t>MIGUEL TOMA SACI</t>
  </si>
  <si>
    <t>MIHURA FRANCISCO OSCAR Y MIHURA MARIA ANTONIA SOCIEDAD DE HECHO</t>
  </si>
  <si>
    <t>MILANO-KERN SRL</t>
  </si>
  <si>
    <t>MILLANSKY MAURICIO</t>
  </si>
  <si>
    <t>MILLARES MARTIN EMILIO</t>
  </si>
  <si>
    <t>MININNI HORACIO CONRADO</t>
  </si>
  <si>
    <t>MIÑO WALTER EDUARDO</t>
  </si>
  <si>
    <t>MIRANDA CECILIA</t>
  </si>
  <si>
    <t>MIRANDA EDGARDO FABIAN</t>
  </si>
  <si>
    <t>MIRANDA MARIA CECILIA</t>
  </si>
  <si>
    <t>MIRTA SUSANA AMERELLI</t>
  </si>
  <si>
    <t>MIRVAR SA</t>
  </si>
  <si>
    <t xml:space="preserve">MMSAL SRL. </t>
  </si>
  <si>
    <t xml:space="preserve">MOAVRO MIGUEL FELIX ANTONIO </t>
  </si>
  <si>
    <t>MOCHAEL HORD</t>
  </si>
  <si>
    <t>MOGLIE GUSTAVO DANIEL</t>
  </si>
  <si>
    <t xml:space="preserve">MOLINA PABLO LEANDRO </t>
  </si>
  <si>
    <t>MOLINO ARGENTINO SA</t>
  </si>
  <si>
    <t>MOLINO MARIONA GASTON</t>
  </si>
  <si>
    <t>MONTAGNE OUTDOORS S A</t>
  </si>
  <si>
    <t>MONTANGERO MARIANO SEBASTIAN</t>
  </si>
  <si>
    <t>MONTELEONE GUILLERMO ALEJANDRO</t>
  </si>
  <si>
    <t>MONTENEGRO LUCIO FANDOR</t>
  </si>
  <si>
    <t>MORACO HORACIO CARLOS</t>
  </si>
  <si>
    <t>MORALES ALVES GLADIS MABEL</t>
  </si>
  <si>
    <t>MORELLI FRANCISCO EDUARDO</t>
  </si>
  <si>
    <t>MORELLI MIGUEL OSVALDO</t>
  </si>
  <si>
    <t>MORINIGO AGUIAR BERNARDINO</t>
  </si>
  <si>
    <t>MORINIGO ARSENIO VICTOR</t>
  </si>
  <si>
    <t xml:space="preserve">MORON GOMA A </t>
  </si>
  <si>
    <t>MOTO MECANICA ARGENTINA S.A.</t>
  </si>
  <si>
    <t>MOTORVILLE SA</t>
  </si>
  <si>
    <t>MP GROUP REPARACIONES &amp; SERVICIOS SRL</t>
  </si>
  <si>
    <t>MR ALTER CORPORATION SRL</t>
  </si>
  <si>
    <t>MRM WORLD WIDE ARGENTINA S.R.L.</t>
  </si>
  <si>
    <t>MS MANUFACTURING SOLUTIONS S.R.L.</t>
  </si>
  <si>
    <t>MS RACING S.R.L.</t>
  </si>
  <si>
    <t>MUCH GOLD S.A.</t>
  </si>
  <si>
    <t>MUFFIN S.A.</t>
  </si>
  <si>
    <t>MULLER MARIA ELSA</t>
  </si>
  <si>
    <t>MULTI RADIO S.A</t>
  </si>
  <si>
    <t>MUNDO POTTERY S.R.L.</t>
  </si>
  <si>
    <t>MURO MARIA ANDREA</t>
  </si>
  <si>
    <t>MUSOLINO GUSTAVO EDGARDO</t>
  </si>
  <si>
    <t>N2M ELECTRONICA S.R.L</t>
  </si>
  <si>
    <t>NAFPUR SA</t>
  </si>
  <si>
    <t>NAFPUR XXI SA</t>
  </si>
  <si>
    <t>NAHMAD DARIO ANDRES</t>
  </si>
  <si>
    <t>NAKA FLORENCIA</t>
  </si>
  <si>
    <t>NANOTECK S.A.</t>
  </si>
  <si>
    <t>NARBAL SA</t>
  </si>
  <si>
    <t>NARCISI MARCELO SEBASTIAN</t>
  </si>
  <si>
    <t xml:space="preserve">NASCA GUSTAVO JORGE </t>
  </si>
  <si>
    <t>NATIONAL SERVICE ARGENTINA SA</t>
  </si>
  <si>
    <t>NAVEIRA GUSTAVO OSCAR</t>
  </si>
  <si>
    <t>NAVIGLIO S.A.</t>
  </si>
  <si>
    <t>NAYA COMUNICACIONES SA</t>
  </si>
  <si>
    <t>NEGOCIOS E INVERSIONES INMOBILIARIAS S A</t>
  </si>
  <si>
    <t>NELIDA B. TAUMEHIMER</t>
  </si>
  <si>
    <t>NEO GROUP S.A.</t>
  </si>
  <si>
    <t>NEPLASTIC SRL</t>
  </si>
  <si>
    <t>NERY JAVIER AIMLE</t>
  </si>
  <si>
    <t>NESTLE ARG S.A</t>
  </si>
  <si>
    <t>NESTOR LUIS VINAGRE</t>
  </si>
  <si>
    <t>NESTOR PABLO MATARASSO</t>
  </si>
  <si>
    <t>NETCONS S.A.</t>
  </si>
  <si>
    <t>NEUMATICOS PILAR SRL</t>
  </si>
  <si>
    <t>NEYCI</t>
  </si>
  <si>
    <t>NICARAGUA 5001 S.R.L.</t>
  </si>
  <si>
    <t>NICATEL S.R.L.</t>
  </si>
  <si>
    <t xml:space="preserve">NICOLAS ARMANDO CENTURION </t>
  </si>
  <si>
    <t>NICOLAS LUCERO - CLINICA DISEÑO</t>
  </si>
  <si>
    <t>NICOLAS REPETTO 1289 S.R.L.</t>
  </si>
  <si>
    <t>NIETO FACUNDO JOSE</t>
  </si>
  <si>
    <t>NIPPOM EXTREME TEHNOLOGY S.A.</t>
  </si>
  <si>
    <t>NOBS S.A.</t>
  </si>
  <si>
    <t>NOE DRUCKER SOCIEDAD ANONIMA</t>
  </si>
  <si>
    <t>NOLAZCO EDUARDO ARTURO</t>
  </si>
  <si>
    <t>NOMAD FOOD SRL</t>
  </si>
  <si>
    <t>NORBERTO HARDOCK</t>
  </si>
  <si>
    <t>NORFRIG SRL</t>
  </si>
  <si>
    <t>NORTE - MARTIN S.R.L.</t>
  </si>
  <si>
    <t>NORWALK  S A</t>
  </si>
  <si>
    <t>NORWALK S.A.</t>
  </si>
  <si>
    <t>NOVO AUTO S.A.</t>
  </si>
  <si>
    <t>NOVO MESTO SA</t>
  </si>
  <si>
    <t>NOVOESPUMA SRL</t>
  </si>
  <si>
    <t>NOVOGAR</t>
  </si>
  <si>
    <t>NOVOTEC ARGENTINA SRL</t>
  </si>
  <si>
    <t>NOYRO SRL</t>
  </si>
  <si>
    <t>NPO S.A</t>
  </si>
  <si>
    <t>NUEVA ABASTECEDORA GRAF. S.A</t>
  </si>
  <si>
    <t>NUEVA CHEVALLIER SA</t>
  </si>
  <si>
    <t>NUEVA COSTANERA SRL</t>
  </si>
  <si>
    <t>NUEVA SERRANIA S R L</t>
  </si>
  <si>
    <t>NUÑEZ AUTOS S.A.</t>
  </si>
  <si>
    <t xml:space="preserve">NYLTEF SAICFI </t>
  </si>
  <si>
    <t>O.SOC ACT.CARLOS PELEGRINI 575</t>
  </si>
  <si>
    <t>O.SOC DE TRABAJ INDUS. DEL GAS</t>
  </si>
  <si>
    <t>O.SOC P PERS DE INDUS MADERERA</t>
  </si>
  <si>
    <t>O.SOC PERS DE IMPRENTAS DIARIO</t>
  </si>
  <si>
    <t>O.SOC SINDIC MECANICOS TRANSP</t>
  </si>
  <si>
    <t>OBISPO SA</t>
  </si>
  <si>
    <t>OBLIGADO 7070 S.R.L.</t>
  </si>
  <si>
    <t>OBRA SOCIAL DE DOCENTES PARTICULARES</t>
  </si>
  <si>
    <t>OBRA SOCIAL SUPERCO</t>
  </si>
  <si>
    <t>OBRAS PRIVADAS S.R.L.</t>
  </si>
  <si>
    <t>OCCHIUZZI CLAUDIO Y BUENO DANIEL SH</t>
  </si>
  <si>
    <t>ODETTI CARLOS ALBERTO</t>
  </si>
  <si>
    <t>OFFICEXPERTS SRL</t>
  </si>
  <si>
    <t>OFIGAFICA SRL - LIBRERÍA</t>
  </si>
  <si>
    <t>OGUS SH</t>
  </si>
  <si>
    <t>OHM S.R.L.</t>
  </si>
  <si>
    <t>OJEDA ISMAEL NESTOR</t>
  </si>
  <si>
    <t>OLD ROPE S.R.L.</t>
  </si>
  <si>
    <t>OLD ROPE SRL</t>
  </si>
  <si>
    <t>OLGA REBRYK</t>
  </si>
  <si>
    <t xml:space="preserve">OLGUIN CAMILA LIDIA </t>
  </si>
  <si>
    <t>OLIVARES HNOS SA</t>
  </si>
  <si>
    <t>OLIVERA VICTOR MANUEL</t>
  </si>
  <si>
    <t>OMEGA III S R L</t>
  </si>
  <si>
    <t>OMINT ART SA</t>
  </si>
  <si>
    <t>OMINT SA</t>
  </si>
  <si>
    <t>ONS SRL</t>
  </si>
  <si>
    <t>OPEN CLUB SRL</t>
  </si>
  <si>
    <t>OPERADORA FERROVIARIA SOCIEDAD DEL ESTADO</t>
  </si>
  <si>
    <t>ORBIS MERTIG SAIC</t>
  </si>
  <si>
    <t>ORBIS MERTIG SAN LUIS SAIC</t>
  </si>
  <si>
    <t>ORG COORDINADORA ARG SRL</t>
  </si>
  <si>
    <t>ORIGEN BEBE S.A.</t>
  </si>
  <si>
    <t>ORTIZ RICARDO ALFREDO</t>
  </si>
  <si>
    <t>ORTOPEDIA GULLONE SRL</t>
  </si>
  <si>
    <t>ORTOPEDICOS ALFOLATEX S.A</t>
  </si>
  <si>
    <t>ORTOPEDICOS SAN ANDRES SRL</t>
  </si>
  <si>
    <t>ORUGA FILMS SA</t>
  </si>
  <si>
    <t>OSCAR BERNAL</t>
  </si>
  <si>
    <t>OSOPPO SA</t>
  </si>
  <si>
    <t>OSPADEP</t>
  </si>
  <si>
    <t>OSTERA LILIANA IRMA</t>
  </si>
  <si>
    <t>OSVALDO GAROFALO</t>
  </si>
  <si>
    <t>OTERO CARLOS ALBERTO</t>
  </si>
  <si>
    <t xml:space="preserve">OTERO NORTE SRL </t>
  </si>
  <si>
    <t>OTTO BOCK ARG. S.A</t>
  </si>
  <si>
    <t>OUTLANDISH SRL</t>
  </si>
  <si>
    <t>OYOLI SA</t>
  </si>
  <si>
    <t>P&amp;C ASOCIADOS SRL</t>
  </si>
  <si>
    <t>P.R.V. S.A.</t>
  </si>
  <si>
    <t>PABLO DANIEL SPADAVACCHIA</t>
  </si>
  <si>
    <t xml:space="preserve">PABLO FERREYRA </t>
  </si>
  <si>
    <t>PACANROL</t>
  </si>
  <si>
    <t>PACO LAURA HUMBERTO JAIME</t>
  </si>
  <si>
    <t>PAESANO CARLOS CHAVEZ RUBEN SH</t>
  </si>
  <si>
    <t>PAEZ ESTEBAN</t>
  </si>
  <si>
    <t>PALERMO MATERIALES</t>
  </si>
  <si>
    <t>PALMISANO LUCIANO PABLO</t>
  </si>
  <si>
    <t>PAMPA LUNA S.A.</t>
  </si>
  <si>
    <t>PANTYMED S.A</t>
  </si>
  <si>
    <t>PANZER S A</t>
  </si>
  <si>
    <t>PANZITTA HECTOR MIGUEL</t>
  </si>
  <si>
    <t>PAPELERA BERTOLIN</t>
  </si>
  <si>
    <t>PAPELERA RAUL JUAN CORA SA</t>
  </si>
  <si>
    <t>PAPELES EUROPEOS SA</t>
  </si>
  <si>
    <t>PAR  KE GOM SA</t>
  </si>
  <si>
    <t>PARABRISAS BARRANCAS DE BELGRANO S.A.</t>
  </si>
  <si>
    <t>PARAMPARA S.A.</t>
  </si>
  <si>
    <t>PARASCO MARTA ADRIANA</t>
  </si>
  <si>
    <t xml:space="preserve">PARLAPIANO BIBIANA SANDRA </t>
  </si>
  <si>
    <t>PARQUIZAR MANTELECTRIC I.C.I.S.A. - SES  S.A.  U.T.E.</t>
  </si>
  <si>
    <t>PARSON DE ARGENTINA</t>
  </si>
  <si>
    <t xml:space="preserve">PASION DISTRIBUCIONES SRL </t>
  </si>
  <si>
    <t>PASSINI CLAUDIA RUTH</t>
  </si>
  <si>
    <t>PATAGONIA BEVERAGE SRL</t>
  </si>
  <si>
    <t>PATAGONIA STONE S.A</t>
  </si>
  <si>
    <t>PATIÑO LAURA EUGENIA</t>
  </si>
  <si>
    <t>PAZZAGLIA MARIA SUSANA</t>
  </si>
  <si>
    <t>PEACE CITY FACTORY S.R.L.</t>
  </si>
  <si>
    <t>PECHO DORADO</t>
  </si>
  <si>
    <t>PEGRACE S.A.</t>
  </si>
  <si>
    <t>PELUSO DANIELA ANGELICA</t>
  </si>
  <si>
    <t>PENNISI OSVALDO DARIO</t>
  </si>
  <si>
    <t>PENSO CLAUDIO</t>
  </si>
  <si>
    <t>PEÑA HUARITA RICARDO WALBERTO</t>
  </si>
  <si>
    <t>PEPE HUGO DANIEL</t>
  </si>
  <si>
    <t>PEREZ DIAZ MARIO ANGEL ADRIAN</t>
  </si>
  <si>
    <t>PEREZ HUGO JAVIER</t>
  </si>
  <si>
    <t>PEREZ JOSE ANTONIO</t>
  </si>
  <si>
    <t>PEREZ QUESADA LORENZO</t>
  </si>
  <si>
    <t>PEREZ SAEZ JOSE ANTONIO</t>
  </si>
  <si>
    <t xml:space="preserve">PERIK ANTONIO </t>
  </si>
  <si>
    <t>PERIK MARTIN HORACIO</t>
  </si>
  <si>
    <t>PERILLI ALEJANDRO ADRIAN</t>
  </si>
  <si>
    <t>PERRO SALCHICHA S.A.</t>
  </si>
  <si>
    <t>PERSICO FEDERICO CARLOS</t>
  </si>
  <si>
    <t>PERZONALIZACIONES GROUP SA</t>
  </si>
  <si>
    <t xml:space="preserve">PESCHIERA HNOS </t>
  </si>
  <si>
    <t xml:space="preserve">PETIT CABILDO </t>
  </si>
  <si>
    <t>PETLIFE S.A.</t>
  </si>
  <si>
    <t>PETRINI MONICA MERCEDES</t>
  </si>
  <si>
    <t>PIETRUSZKA ALBERTO</t>
  </si>
  <si>
    <t>PILKINGTON AUTOMOTIVE SA</t>
  </si>
  <si>
    <t xml:space="preserve">PINDELEC SA </t>
  </si>
  <si>
    <t>PINILLOS RODOLFO LEONARDO</t>
  </si>
  <si>
    <t>PINTO LEONEL EMILIANO</t>
  </si>
  <si>
    <t>PINTO MARTIN LISANDRO</t>
  </si>
  <si>
    <t>PINTURA Y OBRA S.R.L.</t>
  </si>
  <si>
    <t xml:space="preserve">PINTURERIA REX </t>
  </si>
  <si>
    <t>PINTURERIAS SAGITARIO SA</t>
  </si>
  <si>
    <t>PIPER EDUARDO MIGUEL</t>
  </si>
  <si>
    <t>PIXEL CONSTRUCCIONES S.R.L.</t>
  </si>
  <si>
    <t>PIZZANI PABLO GABRIEL</t>
  </si>
  <si>
    <t>PLASTIFERRO INFRAESTRUCTURA SA</t>
  </si>
  <si>
    <t>POBERAJ SA</t>
  </si>
  <si>
    <t>POLISKY DANIEL HERNAN</t>
  </si>
  <si>
    <t>POLYFILM SRL</t>
  </si>
  <si>
    <t xml:space="preserve">PONCE CLAUDIA GRACIELA </t>
  </si>
  <si>
    <t>PONCE DE LEON</t>
  </si>
  <si>
    <t>POOSH SRL</t>
  </si>
  <si>
    <t>PORFIDO S.R.L.</t>
  </si>
  <si>
    <t>PORTA GUSTAVO Y PORTA M. SH</t>
  </si>
  <si>
    <t>PORTAL SACI</t>
  </si>
  <si>
    <t>POSNET SRL</t>
  </si>
  <si>
    <t>POST MEDIA S.R.L.</t>
  </si>
  <si>
    <t>POTENZA ALEJANDRA CRISTINA</t>
  </si>
  <si>
    <t>PRAMART SRL</t>
  </si>
  <si>
    <t>PRANERS S A</t>
  </si>
  <si>
    <t>PRENTEX</t>
  </si>
  <si>
    <t>PRETE ROSSO SA</t>
  </si>
  <si>
    <t>PRIETO ALFREDO ANTONINO</t>
  </si>
  <si>
    <t>PRIETO PEDRO ALEJANDRO</t>
  </si>
  <si>
    <t>PRINCIPE SRL.</t>
  </si>
  <si>
    <t>PRIND-CO SRL</t>
  </si>
  <si>
    <t>PRIOTTI NANCY MARIA</t>
  </si>
  <si>
    <t>PRO. CA. TA. SRL.</t>
  </si>
  <si>
    <t>PROANALISIS S.A.</t>
  </si>
  <si>
    <t>PROANALISIS SA</t>
  </si>
  <si>
    <t>PRODERA S.A.</t>
  </si>
  <si>
    <t>PRODUCCIONES LA MAQUINA SRL</t>
  </si>
  <si>
    <t>PRODUCIENTO ROPA</t>
  </si>
  <si>
    <t>PRONEW S.A.</t>
  </si>
  <si>
    <t>PROSMARTS S.R.L.</t>
  </si>
  <si>
    <t>PROVEEDORA DE CARNE S.A.</t>
  </si>
  <si>
    <t>PROVEFRIO SRL</t>
  </si>
  <si>
    <t>PROYECCION PUBLICIDAD SRL</t>
  </si>
  <si>
    <t>PROYECTOS DE COMUNICACIONES SA</t>
  </si>
  <si>
    <t>PUCHETA PABLO ANGEL</t>
  </si>
  <si>
    <t>PUEYRREDON 2042</t>
  </si>
  <si>
    <t>PUGLIESE FRANCICSCO PABLO A</t>
  </si>
  <si>
    <t>PUJANTE ALFREDO</t>
  </si>
  <si>
    <t>PUNTO DE FUGA S.R.L.</t>
  </si>
  <si>
    <t>PUNTO HOME S.R.L.</t>
  </si>
  <si>
    <t xml:space="preserve">PYFER SA </t>
  </si>
  <si>
    <t>QACTIONS SYSTEM S.R.L.</t>
  </si>
  <si>
    <t>QUAGLIA EDIT LUJAN</t>
  </si>
  <si>
    <t>QUEIJA S.A.</t>
  </si>
  <si>
    <t>QUIMICA OESTE S.A.</t>
  </si>
  <si>
    <t>QUIROZ NICOLAS ALBERTO</t>
  </si>
  <si>
    <t>QUITO 4242 SRL</t>
  </si>
  <si>
    <t>R LESCANO S R L</t>
  </si>
  <si>
    <t>RABE CRISTIAN ALEJANDRO C</t>
  </si>
  <si>
    <t>RADIC MILENA ELIZABETH</t>
  </si>
  <si>
    <t>RADRIZZANI GABRIELA ALEJANDRA</t>
  </si>
  <si>
    <t>RAFAEL KURZROK</t>
  </si>
  <si>
    <t>RAIMONDI ADRIANA LUISA</t>
  </si>
  <si>
    <t>RAIMONDI HORACIO ANGEL</t>
  </si>
  <si>
    <t>RAKE SA</t>
  </si>
  <si>
    <t>RALDUA SILVIA CECILIA</t>
  </si>
  <si>
    <t>RAMIREZEI SRL</t>
  </si>
  <si>
    <t>MUEBLES Y UTILES</t>
  </si>
  <si>
    <t>RANDO NICOLAS ALBERTO</t>
  </si>
  <si>
    <t>RANDOM SISTEM SRL.</t>
  </si>
  <si>
    <t xml:space="preserve">RAPOSO GERARDO ANSELMO </t>
  </si>
  <si>
    <t>RC RADIOLOGIA CASTELAR SRL</t>
  </si>
  <si>
    <t>RCAVELL S.A.S.</t>
  </si>
  <si>
    <t>RED DE COBRANZAS SA</t>
  </si>
  <si>
    <t>RED DE RECEPTORIAS S.A.</t>
  </si>
  <si>
    <t>REDD S A C I A</t>
  </si>
  <si>
    <t xml:space="preserve">REFATTI ANIBAL ALBERTO </t>
  </si>
  <si>
    <t>REFLEX COMPUTACION SA</t>
  </si>
  <si>
    <t>REGUERA MIGUEL ANGEL</t>
  </si>
  <si>
    <t>REGULADORES MI-RE SA</t>
  </si>
  <si>
    <t>REHAB SRL</t>
  </si>
  <si>
    <t>REHAVITA S.A</t>
  </si>
  <si>
    <t>REINADO GONZALO HERNAN</t>
  </si>
  <si>
    <t>REMIBRE SRL</t>
  </si>
  <si>
    <t xml:space="preserve">RENZ ARGENTINA </t>
  </si>
  <si>
    <t>REPETTO MIGUEL</t>
  </si>
  <si>
    <t>REPROFERT SRL</t>
  </si>
  <si>
    <t>REPUESTOS ABC</t>
  </si>
  <si>
    <t>REPUESTOS LA UNIVERSAL S A C I F E I</t>
  </si>
  <si>
    <t>RESTOJESUS S.A.</t>
  </si>
  <si>
    <t>REYCEL S.R.L.</t>
  </si>
  <si>
    <t>RH SH BAZZANO RICARDO Y RAMOS</t>
  </si>
  <si>
    <t>RHEEM SA</t>
  </si>
  <si>
    <t>RIBEIRO S.A.C.I.F.A.</t>
  </si>
  <si>
    <t>RICARDO A.G. DOLDAN ARISTIZABAL</t>
  </si>
  <si>
    <t>RICARDO LEOPOLDO Y ZULMA ARACELI MASCARETTI SOC DE HECHO</t>
  </si>
  <si>
    <t>RICHARDSOON DE HAENEN REMY</t>
  </si>
  <si>
    <t xml:space="preserve">RICHITTO SA </t>
  </si>
  <si>
    <t>RIDIGAS SRL</t>
  </si>
  <si>
    <t>RIMOLI EMILIANO JAVIER</t>
  </si>
  <si>
    <t>RINALDI GERARDO</t>
  </si>
  <si>
    <t>RINGO BS AS S.A.</t>
  </si>
  <si>
    <t>RINGO PUBLICIDAD S.R.L.</t>
  </si>
  <si>
    <t>RIO CHAIN S.R.L.</t>
  </si>
  <si>
    <t xml:space="preserve">RIOS RUBEN ALBERTO </t>
  </si>
  <si>
    <t>RIOTORNO SRL</t>
  </si>
  <si>
    <t>RISSOLAR PILAR S.A.</t>
  </si>
  <si>
    <t>RITTAL SA</t>
  </si>
  <si>
    <t xml:space="preserve">RIVAS MIRANDA MARIO ERNESTO </t>
  </si>
  <si>
    <t>RIVERO ERNESTO RAMON</t>
  </si>
  <si>
    <t>RIVERO PLEZ ARGENTO Y ASOC SRL</t>
  </si>
  <si>
    <t>RIVERO Y DI MARCO SRL</t>
  </si>
  <si>
    <t>ROBERTO DANIEL DEL PRETE</t>
  </si>
  <si>
    <t>ROBERTO OMAR RIVERO</t>
  </si>
  <si>
    <t>RODADOS UNIVERSO SRL</t>
  </si>
  <si>
    <t>RODHESAL 96 S A</t>
  </si>
  <si>
    <t>RODOLFO O MEYER</t>
  </si>
  <si>
    <t>RODRIGUEZ JOSE LUIS Y RAFAEL</t>
  </si>
  <si>
    <t>RODRIGUEZ WALTER HERNAN</t>
  </si>
  <si>
    <t>ROGER  WILCO S.R.L.</t>
  </si>
  <si>
    <t>ROLANDI LUCAS MARTIN</t>
  </si>
  <si>
    <t>ROLANDO IVAN LEONEL</t>
  </si>
  <si>
    <t>ROLON JUAN PABLO</t>
  </si>
  <si>
    <t>ROLON LUIS ALBERTO</t>
  </si>
  <si>
    <t>ROMAN CARLOS ANTONIO</t>
  </si>
  <si>
    <t>ROMAN Y TERPIN SH</t>
  </si>
  <si>
    <t>ROMANO LEONARDO ALBERTO</t>
  </si>
  <si>
    <t>ROMARIO S R L</t>
  </si>
  <si>
    <t>ROMARIO S.R.L.</t>
  </si>
  <si>
    <t>ROMERO GRACIELA YOLANDA</t>
  </si>
  <si>
    <t>ROMERO WALTER ALEJANDRO</t>
  </si>
  <si>
    <t>ROSEDAL AUTOMOTORES SRL</t>
  </si>
  <si>
    <t>ROSSO SUSANA BEATRIZ</t>
  </si>
  <si>
    <t>ROWA SA</t>
  </si>
  <si>
    <t>RUD SOLANGE MONICA</t>
  </si>
  <si>
    <t>RUIZ GUSTAVO ANDRES</t>
  </si>
  <si>
    <t>RUIZ LUIS ANGEL</t>
  </si>
  <si>
    <t>RULOLOGOS</t>
  </si>
  <si>
    <t>RUN BAR S.R.L.</t>
  </si>
  <si>
    <t>RUSSO ANALIA Y RUSSO PABLO SH</t>
  </si>
  <si>
    <t>RYDEX SA</t>
  </si>
  <si>
    <t>S A IMPORTADORA Y EXPORTADORA DE LA PATAGONIA</t>
  </si>
  <si>
    <t>S I S CONSTRUCCIONES S A</t>
  </si>
  <si>
    <t>S.A. IMP. Y EXPO.  PATAGONIA</t>
  </si>
  <si>
    <t>SAAD FEDERICO</t>
  </si>
  <si>
    <t>SACHECO SA</t>
  </si>
  <si>
    <t>SADEC</t>
  </si>
  <si>
    <t>SAFE ESTABLECIMIENTO GRAF</t>
  </si>
  <si>
    <t xml:space="preserve">SAINT-GOBAIN </t>
  </si>
  <si>
    <t>SAJNIN CHRISTIAN DARIO</t>
  </si>
  <si>
    <t>SALADILLO S.A.</t>
  </si>
  <si>
    <t>SALMON TROUT SA</t>
  </si>
  <si>
    <t>SALOMON MARIA ELENA</t>
  </si>
  <si>
    <t>SALPARK SRL</t>
  </si>
  <si>
    <t>SALTO DE EJE PRODUCCIONES S.R.L.</t>
  </si>
  <si>
    <t>SALUD TEX S.A</t>
  </si>
  <si>
    <t>SALVADOR 5801 S.A.</t>
  </si>
  <si>
    <t>SALVATIERRA JOSE MARIANO</t>
  </si>
  <si>
    <t>SAN MARCOS E.  S.A.</t>
  </si>
  <si>
    <t>SANABRIA S.A.</t>
  </si>
  <si>
    <t>SANCHEZ DIEGO HERNAN</t>
  </si>
  <si>
    <t xml:space="preserve">SANCHEZ GAMARRA CANDIDA </t>
  </si>
  <si>
    <t>SANCHEZ POMA JOSE</t>
  </si>
  <si>
    <t>SANIOBRAS S.A.</t>
  </si>
  <si>
    <t>SANITARIOS GLOBAL S.A</t>
  </si>
  <si>
    <t>SANITY CARE INTERNACION DOMICILIARIA S.R.L.</t>
  </si>
  <si>
    <t>SANTILLAN LORENZO ANTONIO</t>
  </si>
  <si>
    <t>SANTORO CLAUDIO ALEJANDRO</t>
  </si>
  <si>
    <t>SAPIENZA S.R.L.</t>
  </si>
  <si>
    <t>SARJUR SA</t>
  </si>
  <si>
    <t>SASSAROLI PAULA LILIAN</t>
  </si>
  <si>
    <t>SATRINCHA S.A.</t>
  </si>
  <si>
    <t>SAUBIETTE ANDREA KARINA</t>
  </si>
  <si>
    <t>SAUL JACOBO ARIEL</t>
  </si>
  <si>
    <t>SAUL VICTOR BOROWSKI</t>
  </si>
  <si>
    <t>SC ACONCAGUA S.R.L.</t>
  </si>
  <si>
    <t>SCALA MARIA ANA</t>
  </si>
  <si>
    <t>SCANIA ARGENTINA S A U</t>
  </si>
  <si>
    <t>SCATTOLINI VIVIANA MARCELA</t>
  </si>
  <si>
    <t>SCHIAVONI PABLO MARCELO</t>
  </si>
  <si>
    <t>SCHULZ ALFREDO ANASTACIO</t>
  </si>
  <si>
    <t>SCHURMANN DANIEL RICARDO</t>
  </si>
  <si>
    <t>SCIS SA.</t>
  </si>
  <si>
    <t>SEGGIARO MARCELA ANA</t>
  </si>
  <si>
    <t>SEHOS S.A.</t>
  </si>
  <si>
    <t>SEHOS SA</t>
  </si>
  <si>
    <t>SEINAR S.R.L.</t>
  </si>
  <si>
    <t>SELINA OPERATIONS ARGENTINA S.R.L.</t>
  </si>
  <si>
    <t>SEMICONDUC. Y COMPON. SRL</t>
  </si>
  <si>
    <t>SEMM ACOMPAÑANTES DE SALUD SA</t>
  </si>
  <si>
    <t>SENDECO</t>
  </si>
  <si>
    <t>SENDOYA HECTOR AUGUSTO</t>
  </si>
  <si>
    <t>SERGIO TREPAT AUTOMOVILES S.A.</t>
  </si>
  <si>
    <t>SERV. SALUD MENTAL SRL</t>
  </si>
  <si>
    <t>SERVICIO MEDICO PREVISIONAL</t>
  </si>
  <si>
    <t>SES S.A.</t>
  </si>
  <si>
    <t>SES SA</t>
  </si>
  <si>
    <t>SEVASGO</t>
  </si>
  <si>
    <t>SHELL SA</t>
  </si>
  <si>
    <t>SHIMURA S.A.</t>
  </si>
  <si>
    <t>SHOWPEL SRL</t>
  </si>
  <si>
    <t>SIALLE HECTOR ALEJANDRO</t>
  </si>
  <si>
    <t>SID ANDREA MARCELA</t>
  </si>
  <si>
    <t>SIEBEN LUCRECIA SUSANA</t>
  </si>
  <si>
    <t>SIERRA DEL SUR S A</t>
  </si>
  <si>
    <t>SIGHMA GLOBAL SOLUTIONS S.R.L</t>
  </si>
  <si>
    <t>SILMAR BAZAR</t>
  </si>
  <si>
    <t>SILVA VILLANUEVA MARIO ALEJAN</t>
  </si>
  <si>
    <t>SILVER CROSS AMERICA INC SA</t>
  </si>
  <si>
    <t>SILVESTRI JUAN PABLO</t>
  </si>
  <si>
    <t>SILVESTRIN FABRIS SRL</t>
  </si>
  <si>
    <t>SIMBOLOS PATRIOS S.R.L.</t>
  </si>
  <si>
    <t>SIMMONS DE ARGENTINA SAIC</t>
  </si>
  <si>
    <t>SIMONIAN ALBERTO MARCELO</t>
  </si>
  <si>
    <t>SINCLAIR 2929 SOCIEDAD ANONIMA</t>
  </si>
  <si>
    <t>SIRO SA</t>
  </si>
  <si>
    <t>SISTEMA MEDICO DEL SUR SRL</t>
  </si>
  <si>
    <t>SITZ GERMAN</t>
  </si>
  <si>
    <t>SOBRAL ADRIAN OSCAR</t>
  </si>
  <si>
    <t>SOCIEDAD ARGENTINA DE CARDIOLOGIA</t>
  </si>
  <si>
    <t>SOCIREP SOL SRL</t>
  </si>
  <si>
    <t xml:space="preserve">SODIMAC ARGENTINA </t>
  </si>
  <si>
    <t>SOFISURAUSTRAL S.A.</t>
  </si>
  <si>
    <t>SOJO LUIS RICARDO</t>
  </si>
  <si>
    <t>SOLA CARLOS NORBERTO</t>
  </si>
  <si>
    <t>SOLER 5881 SRL</t>
  </si>
  <si>
    <t>SOLSAN SOCIEDAD ANONIMA</t>
  </si>
  <si>
    <t>SOLUCIONES MULTIMEDIA SA</t>
  </si>
  <si>
    <t>SOMMIERCENTER</t>
  </si>
  <si>
    <t>SOMOZA JUAN JOSE Y PALMA CAR</t>
  </si>
  <si>
    <t>SON DE OESTE S.R.L</t>
  </si>
  <si>
    <t>SOSA MIRIAM DEL CARMEN</t>
  </si>
  <si>
    <t>SOULTEC INDUSTRIAL SRL</t>
  </si>
  <si>
    <t>SP PRODUCTOS SRL</t>
  </si>
  <si>
    <t xml:space="preserve">SPAINI BERTA GRACIELA </t>
  </si>
  <si>
    <t>SPARTA 360 SA</t>
  </si>
  <si>
    <t>SPIROPULOS ROXANA KARINA</t>
  </si>
  <si>
    <t>STAFF MEDICO SA</t>
  </si>
  <si>
    <t>STAFFOLANI LUIS MARTIN</t>
  </si>
  <si>
    <t>STALTARI ARIEL DOMINGO</t>
  </si>
  <si>
    <t xml:space="preserve">STEIN Y TEICHBERG SA </t>
  </si>
  <si>
    <t>STIGLIANO MATIAS NICOLAS</t>
  </si>
  <si>
    <t>STORANI NELSON LUIS</t>
  </si>
  <si>
    <t>STRAJILEVICH IVAN MAURO</t>
  </si>
  <si>
    <t>STRINGARO</t>
  </si>
  <si>
    <t>SUAREZ FERNANDO EZEQUIEL</t>
  </si>
  <si>
    <t>SUAYA SERGIO EDUARDO</t>
  </si>
  <si>
    <t>SUCAP S.R.L.</t>
  </si>
  <si>
    <t>SUCCEX SRL</t>
  </si>
  <si>
    <t>SUCESION DE FLOMENBAUM RICARDO GREGORIO</t>
  </si>
  <si>
    <t>SUCESION DE GRAZZELLA OSCAR AMBROSIO</t>
  </si>
  <si>
    <t>SUCESION DE RUBIN VICTOR</t>
  </si>
  <si>
    <t>SUCRE 664 S.A.</t>
  </si>
  <si>
    <t>SULAR COMEX SA</t>
  </si>
  <si>
    <t>SULDAL SA</t>
  </si>
  <si>
    <t>SULLIVAN MARIA FABIANA</t>
  </si>
  <si>
    <t xml:space="preserve">SULTANI VICTOR JOSE </t>
  </si>
  <si>
    <t>SUPER NUEVA COLON SRL</t>
  </si>
  <si>
    <t>SUPER RADIO</t>
  </si>
  <si>
    <t>SUPERURBAN PRODUCCIONES S.R.L.</t>
  </si>
  <si>
    <t>SUR LOGISTICA Y DISTRIBUCION</t>
  </si>
  <si>
    <t>SURIANO S.A.</t>
  </si>
  <si>
    <t>SUSHI RECOLETA SOCIEDAD ANONIMA</t>
  </si>
  <si>
    <t>SWISS MEDICAL S.A.</t>
  </si>
  <si>
    <t>SYMONDS SA.</t>
  </si>
  <si>
    <t>SZWARC DIEGO ALEJANDRO</t>
  </si>
  <si>
    <t>TACHELLA ALEJANDRA SILVANA</t>
  </si>
  <si>
    <t>TAMECO S RL</t>
  </si>
  <si>
    <t>TANGO TECHNOLOGIES SA</t>
  </si>
  <si>
    <t>TANQUES ARGENTINOS</t>
  </si>
  <si>
    <t>TARGET MEDICAL SA</t>
  </si>
  <si>
    <t>TARJETA NARANJA SA</t>
  </si>
  <si>
    <t>TARRAT SA</t>
  </si>
  <si>
    <t>TAUYAN</t>
  </si>
  <si>
    <t>TAVERNA GUERRA LEONARDO ANIBAL</t>
  </si>
  <si>
    <t>TCH GROUP S.R.L.</t>
  </si>
  <si>
    <t>TCM TELEF CEL MOVIL</t>
  </si>
  <si>
    <t>TDI AUTOPARTES SRL</t>
  </si>
  <si>
    <t>TEC-ELEV SRL</t>
  </si>
  <si>
    <t>TECNIPRAX S.R.L.</t>
  </si>
  <si>
    <t>TECNOCONS SA</t>
  </si>
  <si>
    <t>TECNOHABITAT SRL</t>
  </si>
  <si>
    <t>TECNOLOGIA ARMK S.A.</t>
  </si>
  <si>
    <t>TECNOPALERMO OBRAS SRL</t>
  </si>
  <si>
    <t>TEKNOVENTILACION SRL</t>
  </si>
  <si>
    <t>TELECOM ARG SA</t>
  </si>
  <si>
    <t>TELEFONICA DE ARG S.A.</t>
  </si>
  <si>
    <t>TELEFONICA MOVILES ARG</t>
  </si>
  <si>
    <t>TELMEX ARGENTINA S.A.</t>
  </si>
  <si>
    <t>TEMPORA S.R.L.</t>
  </si>
  <si>
    <t>TERA SERVICE S.R.L.</t>
  </si>
  <si>
    <t>TERMINACIONES GRAFICAS SA</t>
  </si>
  <si>
    <t>TERRENO FERNANDO ANIVAÑ</t>
  </si>
  <si>
    <t>TERTIUS S.A.</t>
  </si>
  <si>
    <t>TEXEIRA JORGE</t>
  </si>
  <si>
    <t>TEXTIL ESPARTILLO SA.</t>
  </si>
  <si>
    <t>TEXTIL PANDA S.A.</t>
  </si>
  <si>
    <t xml:space="preserve">TEXTIL ROCK SRL </t>
  </si>
  <si>
    <t>TEXTIL TRIUNVIRATO SH DE MAUAS Y SOUSSE</t>
  </si>
  <si>
    <t>TG PLAST S.R.L.</t>
  </si>
  <si>
    <t>THAMES  1564 S.A.</t>
  </si>
  <si>
    <t>THAMES 1564 S.A.</t>
  </si>
  <si>
    <t>THAMES 2160 SRL</t>
  </si>
  <si>
    <t>THAMES 2450 S.R.L.</t>
  </si>
  <si>
    <t>THAMES CLP SRL</t>
  </si>
  <si>
    <t>THE BAPLAN S.R.L.</t>
  </si>
  <si>
    <t>THE SAVER S.R.L.</t>
  </si>
  <si>
    <t>THE STEAKHAUSE S.A.</t>
  </si>
  <si>
    <t>THE WHY FACTORY SA</t>
  </si>
  <si>
    <t>THEAGAS S.A.</t>
  </si>
  <si>
    <t>TIO MUSA S.A.</t>
  </si>
  <si>
    <t>TIRRENIA S.R.L.</t>
  </si>
  <si>
    <t>TIVIROLI CARLOS MARIANO</t>
  </si>
  <si>
    <t>TLON INVERSIONES SA</t>
  </si>
  <si>
    <t>TOAGRA SRL</t>
  </si>
  <si>
    <t>TODO COPIA S.A.</t>
  </si>
  <si>
    <t xml:space="preserve">TODO COPIA SA </t>
  </si>
  <si>
    <t>TODO EMBALAJE SRL</t>
  </si>
  <si>
    <t>TOKIO NIKKEI S.R.L.</t>
  </si>
  <si>
    <t>TONKA S.A.</t>
  </si>
  <si>
    <t>TORNARE SOCIEDAD ANONINA</t>
  </si>
  <si>
    <t>TORREZ GONZALEZ JUAN BLAS</t>
  </si>
  <si>
    <t>TOUAREG. S.A.</t>
  </si>
  <si>
    <t>TOURS AUTOMOTORES S.A</t>
  </si>
  <si>
    <t xml:space="preserve">TOY STORE SA </t>
  </si>
  <si>
    <t>TRABAJ DE ENTIDADES DEPORTIVAS</t>
  </si>
  <si>
    <t xml:space="preserve">TRAFE SUDAMERICANA SA </t>
  </si>
  <si>
    <t>TRANSAMERICA TRANSPORTES SA</t>
  </si>
  <si>
    <t>TRANSLICEO S.R.L.</t>
  </si>
  <si>
    <t>TRANSPALET S.A.</t>
  </si>
  <si>
    <t>TRANSPETROL S.A.</t>
  </si>
  <si>
    <t>TRANSPORTE CO-BA SOCIEDAD ANONIMA</t>
  </si>
  <si>
    <t>TRANSPORTES A4 SA</t>
  </si>
  <si>
    <t>TRANSPÓRTES DEL SUR</t>
  </si>
  <si>
    <t>TREPTOW S.A.</t>
  </si>
  <si>
    <t>TRES MULAS S.R.L.</t>
  </si>
  <si>
    <t>TRESBIEN S.R.L.</t>
  </si>
  <si>
    <t>TRIANGLE SCA</t>
  </si>
  <si>
    <t>TRIBER SA</t>
  </si>
  <si>
    <t>TRIKEN SRL</t>
  </si>
  <si>
    <t>TRIPAILA CLAUDIA ELIZABETH</t>
  </si>
  <si>
    <t>TRIPOLI FERNANDO JULIAN</t>
  </si>
  <si>
    <t>TRONCOSO VALERIA</t>
  </si>
  <si>
    <t>TRUFFA JORGE GUSTAVO</t>
  </si>
  <si>
    <t>TRUST S.R.L.</t>
  </si>
  <si>
    <t>TRUSTY SRL</t>
  </si>
  <si>
    <t>TST S.A</t>
  </si>
  <si>
    <t>TWENTY ILUMINACION SRL</t>
  </si>
  <si>
    <t>TWINLOK ABROJO</t>
  </si>
  <si>
    <t>UDG SRL</t>
  </si>
  <si>
    <t>UNIFORMES SA</t>
  </si>
  <si>
    <t>UNIMACO SA</t>
  </si>
  <si>
    <t>UNION AGRICOLA DE AVELALNEDA COOP LTDA</t>
  </si>
  <si>
    <t>UNIVERSALIS S.A</t>
  </si>
  <si>
    <t>UNIVERSALIS S.A.</t>
  </si>
  <si>
    <t>URBANA CENTROS COMERCIALES S A</t>
  </si>
  <si>
    <t>URBANO - COCINA AMERICANA</t>
  </si>
  <si>
    <t>URBECO ECOLOGIA URBANA S.R.L.</t>
  </si>
  <si>
    <t>URIARTE 1648 S.A.</t>
  </si>
  <si>
    <t>URIARTE TALDEA</t>
  </si>
  <si>
    <t>USINA DE PALERMO S.R.L. - EN FORMACION</t>
  </si>
  <si>
    <t>VACA MAURO CARLOS</t>
  </si>
  <si>
    <t>VAL ROD SRL</t>
  </si>
  <si>
    <t>VALEROS PABLO ROBERTO</t>
  </si>
  <si>
    <t>VALIÑO JAVIER MARIO</t>
  </si>
  <si>
    <t>VALLERO RICARDO PABLO</t>
  </si>
  <si>
    <t>VANNELLI CESAR</t>
  </si>
  <si>
    <t>VARONE CLAUDIO</t>
  </si>
  <si>
    <t>VARONE JAVIER RICARDO</t>
  </si>
  <si>
    <t>VASSALLO CARLOS ALBERTO</t>
  </si>
  <si>
    <t>VASSER SA</t>
  </si>
  <si>
    <t xml:space="preserve">VAZQUEZ FERNANDEZ CARMEN </t>
  </si>
  <si>
    <t>VAZQUEZ GRACIELA ALICIA</t>
  </si>
  <si>
    <t>VEGA NELIDA LUCIA</t>
  </si>
  <si>
    <t>VEGLIENZONE SANTIAGO OMAR</t>
  </si>
  <si>
    <t xml:space="preserve">VELAS DE LA BALLENA S.R.L. </t>
  </si>
  <si>
    <t>VELEZ CLAUDIA ALEJANDRA</t>
  </si>
  <si>
    <t>VELEZ FERNANDO ARIEL</t>
  </si>
  <si>
    <t>VELIZ MARCELO</t>
  </si>
  <si>
    <t>VELIZY</t>
  </si>
  <si>
    <t>VELLEGAL ANA MARIA</t>
  </si>
  <si>
    <t>VENDITTO NORMA BEATRIZ</t>
  </si>
  <si>
    <t>VENIDIA SA</t>
  </si>
  <si>
    <t>VENTO HUGO GABRIEL</t>
  </si>
  <si>
    <t>VENTURA EDMUNDO ALBERTO</t>
  </si>
  <si>
    <t>VERA RICARDO</t>
  </si>
  <si>
    <t>VERBA GERMAN WALTER</t>
  </si>
  <si>
    <t>VERGARA BARRIOS OSVALDO</t>
  </si>
  <si>
    <t>VERGARA CombustibeS SRL</t>
  </si>
  <si>
    <t>VERTOLINI NORBERTO LUIS</t>
  </si>
  <si>
    <t>VETERINARIA JUAREZ</t>
  </si>
  <si>
    <t>VETKIOSK S.A.S.</t>
  </si>
  <si>
    <t>VIA BARILOCHE SA</t>
  </si>
  <si>
    <t>VIA CARGO SA</t>
  </si>
  <si>
    <t>VICENTE BONGIOVANNI</t>
  </si>
  <si>
    <t>VICTOR HERNAN PAZZI</t>
  </si>
  <si>
    <t>VICTORIANO 1925 S.R.L.</t>
  </si>
  <si>
    <t>VIDA ZEN S.R.L.</t>
  </si>
  <si>
    <t>VIEGAS GABRIELA LAURA</t>
  </si>
  <si>
    <t>VIGILAR SRL</t>
  </si>
  <si>
    <t>VILLALBA ALBER</t>
  </si>
  <si>
    <t>VILLALBA GONZALEZ HUGO ANTONIO</t>
  </si>
  <si>
    <t>VILLANI DIEGO HORACIO JOSE</t>
  </si>
  <si>
    <t>VILLANUEVA ISIDRO ROGELIO</t>
  </si>
  <si>
    <t>VILLAR BALBINO</t>
  </si>
  <si>
    <t>VILLAREAL MARTIN MIGUEL</t>
  </si>
  <si>
    <t>VINOUTIQUE SRL</t>
  </si>
  <si>
    <t>VIOLA RAUL JULIO</t>
  </si>
  <si>
    <t>VISA JOSE RENE</t>
  </si>
  <si>
    <t>VISION 101 SA</t>
  </si>
  <si>
    <t>VISION PILAR</t>
  </si>
  <si>
    <t>VISION TECNOLOGIA SA</t>
  </si>
  <si>
    <t>VITASSE EDITH GRACIELA</t>
  </si>
  <si>
    <t>VIVACQUA DIEGO HORACIO</t>
  </si>
  <si>
    <t xml:space="preserve">VIVIANA ARACELI PERALTA </t>
  </si>
  <si>
    <t>VIYILANT SRL</t>
  </si>
  <si>
    <t>VOCOBELLI SEBASTIAN FEDERICO</t>
  </si>
  <si>
    <t>VOLONTERI MARTIN</t>
  </si>
  <si>
    <t>VOSTOKE CONSTRUC SA</t>
  </si>
  <si>
    <t>VOTIONIS S.A</t>
  </si>
  <si>
    <t>VPR CONSTRUCCIONES S.R.L.</t>
  </si>
  <si>
    <t>VTV METROPOLITANA SA</t>
  </si>
  <si>
    <t>WAINMANN PABLO MARIANO</t>
  </si>
  <si>
    <t>WAINSZTOK DARIO JAVIER</t>
  </si>
  <si>
    <t>WALLCOMS S A</t>
  </si>
  <si>
    <t>WANOMO S.A.</t>
  </si>
  <si>
    <t>WANSCHELBAUM MARIANO</t>
  </si>
  <si>
    <t>WARRIOR S.R.L.</t>
  </si>
  <si>
    <t>WASI CONSTRUCCIONES S.R.L.</t>
  </si>
  <si>
    <t>WAY COMPUTER S.R.L.</t>
  </si>
  <si>
    <t>WESTAFLEX SA ARGENTINA</t>
  </si>
  <si>
    <t>WILLA ENRIQUE</t>
  </si>
  <si>
    <t>WOCH S.A.</t>
  </si>
  <si>
    <t>WRIGHT FERNANDEZ URSINI SA</t>
  </si>
  <si>
    <t>YAGMOUR SRL</t>
  </si>
  <si>
    <t>YAPAY SRL</t>
  </si>
  <si>
    <t>YELLOW ZONE S A</t>
  </si>
  <si>
    <t>YELMO SILVIA MARINA</t>
  </si>
  <si>
    <t>YOCARANT S.A.</t>
  </si>
  <si>
    <t>YPF SA</t>
  </si>
  <si>
    <t>YURREBASO NATALIA GISELE</t>
  </si>
  <si>
    <t>ZABALETA GUILLERMO ORLANDO</t>
  </si>
  <si>
    <t>ZACSEK LUCAS EZEQUIEL</t>
  </si>
  <si>
    <t xml:space="preserve">ZALAZAR DISTRIBUIDORA </t>
  </si>
  <si>
    <t>ZANCHETTI</t>
  </si>
  <si>
    <t>ZEITPLAN</t>
  </si>
  <si>
    <t>ZERO29 S.A.S.</t>
  </si>
  <si>
    <t>ZOGBI NEMTALA JOSE JESUS</t>
  </si>
  <si>
    <t>Anibal Angel</t>
  </si>
  <si>
    <t>RITACCO RODRIGO</t>
  </si>
  <si>
    <t>CHAMORRO MANUEL</t>
  </si>
  <si>
    <t>AUTOPISTAS DE BS AS</t>
  </si>
  <si>
    <t>NIMUR RSL</t>
  </si>
  <si>
    <t>QUINTEROS EMANUEL</t>
  </si>
  <si>
    <t>MARAUDA HECTOR</t>
  </si>
  <si>
    <t>GNC AU VILLA MARIA SRL</t>
  </si>
  <si>
    <t>INCAT SRL</t>
  </si>
  <si>
    <t>GLASCAR S.A.C.I.F E I </t>
  </si>
  <si>
    <t>FACTURAS C/B</t>
  </si>
  <si>
    <t>NEUMACENTER</t>
  </si>
  <si>
    <t>COMERCIALIZADORA DE BEBIDAS SRL</t>
  </si>
  <si>
    <t>EXPOESTETICA</t>
  </si>
  <si>
    <t>JANEIRO VERONICA BELEN</t>
  </si>
  <si>
    <t>MEGAENVASES</t>
  </si>
  <si>
    <t>PIROPLAST SRL</t>
  </si>
  <si>
    <t>LIBRERÍA CARABELAS</t>
  </si>
  <si>
    <t>HOKAMA SERGIO ENRIQUE</t>
  </si>
  <si>
    <t>H UNO 1469 S.A.</t>
  </si>
  <si>
    <t>BAUDONE ANTONELLA AGOSTINA</t>
  </si>
  <si>
    <t>INGRASSIA PABLO CHRISTIAN</t>
  </si>
  <si>
    <t>TRIPODI MAURO EMMANUEL</t>
  </si>
  <si>
    <t>FARRAPEIRA OSCAR MAXIMO</t>
  </si>
  <si>
    <t>PETRO ARG SRL</t>
  </si>
  <si>
    <t>Aromatica SA</t>
  </si>
  <si>
    <t>MEDILEA S.A.</t>
  </si>
  <si>
    <t xml:space="preserve">MICHAEL MARTIN FLORES HUAYRA </t>
  </si>
  <si>
    <t>Plasticos Salta</t>
  </si>
  <si>
    <t xml:space="preserve">BOMBAS VAPORIZADORAS </t>
  </si>
  <si>
    <t xml:space="preserve">DOMINGO MONTORRO </t>
  </si>
  <si>
    <t xml:space="preserve">PARADISO ESTEBAN DAMIAN </t>
  </si>
  <si>
    <t>INFOSOL.COM</t>
  </si>
  <si>
    <t xml:space="preserve">FIBERTEL </t>
  </si>
  <si>
    <t>Petrolfe S.A.</t>
  </si>
  <si>
    <t xml:space="preserve">Repetto Maria Fernanda </t>
  </si>
  <si>
    <t>NUAGE SYSTEMS S.A</t>
  </si>
  <si>
    <t>ENSAMBLE GRAFICO S.H.</t>
  </si>
  <si>
    <t>Empresa Distribuidora Sur S.A.</t>
  </si>
  <si>
    <t>Abraldes Diego Roberto</t>
  </si>
  <si>
    <t>Segui Rodando</t>
  </si>
  <si>
    <t>Mizrahi Julian Federico</t>
  </si>
  <si>
    <t>Grafica y Fotograbados La Plaza SRL</t>
  </si>
  <si>
    <t>NOVACHEM SRL</t>
  </si>
  <si>
    <t>TELECOM ARGENTINA S.A.</t>
  </si>
  <si>
    <t>Ingrassia Pablo Christian</t>
  </si>
  <si>
    <t>Mega Envases S.A.</t>
  </si>
  <si>
    <t xml:space="preserve">EDENOR </t>
  </si>
  <si>
    <t>DEHEZA S.A.I.C.F. e I.</t>
  </si>
  <si>
    <t>ROMERO EMILIO</t>
  </si>
  <si>
    <t>Telefonica de Argentina S.A.</t>
  </si>
  <si>
    <t xml:space="preserve">GLASCAR </t>
  </si>
  <si>
    <t>TELECENTRO S.A.</t>
  </si>
  <si>
    <t>AYSA S.A</t>
  </si>
  <si>
    <t>Expoestetica</t>
  </si>
  <si>
    <t xml:space="preserve">OCAÑO ENRIQUE </t>
  </si>
  <si>
    <t>PACCOR ANGEL LUIS</t>
  </si>
  <si>
    <t>CENTURION, Maria</t>
  </si>
  <si>
    <t>KIKA COSMETICA</t>
  </si>
  <si>
    <t>Lorena Fernandez Chipre</t>
  </si>
  <si>
    <t>Parodi Claudio Omar</t>
  </si>
  <si>
    <t>KORE S.A.</t>
  </si>
  <si>
    <t>VANINA ANABELLA ECHENIQUE</t>
  </si>
  <si>
    <t>EUROCOSMETICA S.A.</t>
  </si>
  <si>
    <t>MILANO SA</t>
  </si>
  <si>
    <t>Espacio Fem</t>
  </si>
  <si>
    <t>BIEN MUJER</t>
  </si>
  <si>
    <t>Vazquez Lorena Veronica</t>
  </si>
  <si>
    <t>Sociedad calvi y Fernandez sociedad ley 19750</t>
  </si>
  <si>
    <t>CASTIGLIA, PAULINA (ESTUDIANTE)</t>
  </si>
  <si>
    <t>PARDO, ELIZABETH (ALUMNA)</t>
  </si>
  <si>
    <t>ALDAY,TAMARA (ALUMNA)</t>
  </si>
  <si>
    <t>DI GIUSEPPE , ALEJANDRA</t>
  </si>
  <si>
    <t>CABRAL, ELIZABETH NOEMI</t>
  </si>
  <si>
    <t>LOPEZ ORTIZ,Erika</t>
  </si>
  <si>
    <t>PINO,ROMINA</t>
  </si>
  <si>
    <t>Prester,YANEL (ALUMNA)</t>
  </si>
  <si>
    <t>NARVAEZ, ANA MARIA (ALUMNA)</t>
  </si>
  <si>
    <t>RIVARA,Ayelen</t>
  </si>
  <si>
    <t>PEREZ CRUZ,MILAGROS (alumna)</t>
  </si>
  <si>
    <t>MORENO PICARDO, SOFIA (alumna)</t>
  </si>
  <si>
    <t>CHIARITO, JESSICA DANIELA (ALUMNA)</t>
  </si>
  <si>
    <t>OLIVA,SANDRA</t>
  </si>
  <si>
    <t>SISTI,Micaela</t>
  </si>
  <si>
    <t>SANTAMARIA, MARIA EUGENIA</t>
  </si>
  <si>
    <t>FRANCK,maria elena</t>
  </si>
  <si>
    <t>PEREYRA , MARIA LAURA (ALUMNA)</t>
  </si>
  <si>
    <t>Concettoni,Norma</t>
  </si>
  <si>
    <t>SANTANA,Norma</t>
  </si>
  <si>
    <t>GOROSITO,SILVIA ALEJANDRA</t>
  </si>
  <si>
    <t>ARRIAGADA , ALEJANDRA (ESTUDIANTE)</t>
  </si>
  <si>
    <t>ARCEIZ,NOELIA</t>
  </si>
  <si>
    <t>JULIAN,Gimena</t>
  </si>
  <si>
    <t>SUAREZ, LAURA VERONICA</t>
  </si>
  <si>
    <t>GAIDO, SILVIA EDITH</t>
  </si>
  <si>
    <t>PAEZ, ANDREA VERONICA</t>
  </si>
  <si>
    <t>DEZA, GABRIELA</t>
  </si>
  <si>
    <t>CABRERA, TERESA</t>
  </si>
  <si>
    <t>GONZALEZ, MABEL</t>
  </si>
  <si>
    <t>VARGAS,Myriam</t>
  </si>
  <si>
    <t>FERRANTE, MARIELA BARBARA</t>
  </si>
  <si>
    <t>AZALOT, BELEN (alumna)</t>
  </si>
  <si>
    <t>ESQUIVEL,Ines Solange (alumna)</t>
  </si>
  <si>
    <t>RODRIGUEZ, SOLEDAD</t>
  </si>
  <si>
    <t>RIVERO, LORENA (ALUMNA)</t>
  </si>
  <si>
    <t>CARLETTI, MARIELA ANDREA (ESTUDIANTE)</t>
  </si>
  <si>
    <t>AGUILAR,MICAELA (ALUMNA)</t>
  </si>
  <si>
    <t>VARGAS, VERONICA FABIOLA (ALUMNA)</t>
  </si>
  <si>
    <t>BALDINI, VICTORIA (ALUMNA)</t>
  </si>
  <si>
    <t>ARENAS, VERONICA (alumna)</t>
  </si>
  <si>
    <t>CACERES, CARLA GIMENA</t>
  </si>
  <si>
    <t>VILLEGAS GLADYS</t>
  </si>
  <si>
    <t>CABRERA, MAYRA( ALUMNA)</t>
  </si>
  <si>
    <t>DALMAZZO,Adriana</t>
  </si>
  <si>
    <t>Dominguez, Jimena (alumna)</t>
  </si>
  <si>
    <t>RODRIGUEZ,Beatriz ana</t>
  </si>
  <si>
    <t>FERNANDEZ,Maria Viviana</t>
  </si>
  <si>
    <t>CACERES , EDITH</t>
  </si>
  <si>
    <t>DE LA LAMA,MARIA SOLEDAD</t>
  </si>
  <si>
    <t>CAROLINI, CLAUDIA ANDREA</t>
  </si>
  <si>
    <t>MARTINEZ, ALICIA NOEMI</t>
  </si>
  <si>
    <t>SOTO,Claudia noemi</t>
  </si>
  <si>
    <t>AGUERO, PATRICIA CLAUDIA</t>
  </si>
  <si>
    <t>ARELLIANO,MAGALI</t>
  </si>
  <si>
    <t>BRITEZ,Brenda Johanna</t>
  </si>
  <si>
    <t>BOLSI,Vanina</t>
  </si>
  <si>
    <t>VILLALBA, DEBORA PAULA (ALUMNA)</t>
  </si>
  <si>
    <t>BURSIK,Norma</t>
  </si>
  <si>
    <t>Cabrera,Romina Elizabeth</t>
  </si>
  <si>
    <t>BENTANCOURT,SARA SOLEDAD</t>
  </si>
  <si>
    <t>MENSI,ANA</t>
  </si>
  <si>
    <t>BRITOS DEL VALLE, DALMI</t>
  </si>
  <si>
    <t>ADAD, NADIA (ALUMNA)</t>
  </si>
  <si>
    <t>AGNOLETTO, ANABELLA NATALIA</t>
  </si>
  <si>
    <t>ESCALANTE,LELIA</t>
  </si>
  <si>
    <t>MENDOZA,Griselda Dora</t>
  </si>
  <si>
    <t>CORONEL,VERONICA SILVANA</t>
  </si>
  <si>
    <t>SORIA, AYLEN CAMILA (ALUMNA)</t>
  </si>
  <si>
    <t>MARQUEZ, MAYRA (alumna)</t>
  </si>
  <si>
    <t>STRAGIA,Cintia Romina</t>
  </si>
  <si>
    <t>Ramirez Orue , Fabiana Beatriz</t>
  </si>
  <si>
    <t>SALATINO, ROMINA</t>
  </si>
  <si>
    <t>PRADA,MARCIA EDITH</t>
  </si>
  <si>
    <t>VARGA,Maria Veronica</t>
  </si>
  <si>
    <t>AIMI,Gabriela</t>
  </si>
  <si>
    <t>LEGISAMON,Mariela</t>
  </si>
  <si>
    <t>GOMEZ,Griselda graciela</t>
  </si>
  <si>
    <t>LOPEZ, EVELYN AYELEN (ESTUDIANTE)</t>
  </si>
  <si>
    <t>AGOSTINI, SILVIA (ALUMNA)</t>
  </si>
  <si>
    <t>ALEGRE, MICAELA (ALUMNA)</t>
  </si>
  <si>
    <t>GRIMALT,Isabel Raquel</t>
  </si>
  <si>
    <t>SANTACRUZ, LARISA GIMENA</t>
  </si>
  <si>
    <t>MONTIEL,Ana Laura</t>
  </si>
  <si>
    <t>VIEGAS, LORENA (ALUMNA)</t>
  </si>
  <si>
    <t>GONGORA,Alicia</t>
  </si>
  <si>
    <t>VIVEROS, Nelida Maciel</t>
  </si>
  <si>
    <t>VICENTE, ANDREA</t>
  </si>
  <si>
    <t>ANDREALLO, ANA ALICIA (ALUMNA)</t>
  </si>
  <si>
    <t>SOSA,FLORENCIA</t>
  </si>
  <si>
    <t>DAMICO, MARIA EUGENIA</t>
  </si>
  <si>
    <t>PINO, ROMINA (ALUMNA)</t>
  </si>
  <si>
    <t>FARIAS,SANDRA</t>
  </si>
  <si>
    <t>AGUIRRE, ARGENTINA BEATRIZ</t>
  </si>
  <si>
    <t>MICHEL, SILVIA</t>
  </si>
  <si>
    <t>LOPEZ,Sandra</t>
  </si>
  <si>
    <t>BRITES, DOLORES (alumna)</t>
  </si>
  <si>
    <t>AGUIAR, MARISA</t>
  </si>
  <si>
    <t>VOLPI, VALERIA</t>
  </si>
  <si>
    <t>FABRIS,MARIA CANDELA</t>
  </si>
  <si>
    <t>MARTINEZ,ROMINA MARIANA</t>
  </si>
  <si>
    <t>DI LUCA, MARIA YOLANDA</t>
  </si>
  <si>
    <t>PEREZ, ADRIANA MYRIAM</t>
  </si>
  <si>
    <t>FALCONE, CECILIA (estudiante)</t>
  </si>
  <si>
    <t>TABORDA,CAROLINA (ALUMNA)</t>
  </si>
  <si>
    <t>BASUALDO, PRISCILA MELANIE  (ESTUDIANTE)</t>
  </si>
  <si>
    <t>EURO BOLUMBURU, MARIA FERNANDA</t>
  </si>
  <si>
    <t>GOMEZ,Amalia Beatriz</t>
  </si>
  <si>
    <t>GENOUD,Cristina</t>
  </si>
  <si>
    <t>PELOSI, MARIA GABRIELA</t>
  </si>
  <si>
    <t>BALMACEDA,NATALIA LORENA</t>
  </si>
  <si>
    <t>VONDER HEIDE, MARIBEL ROSANA (ALUMNA)</t>
  </si>
  <si>
    <t>PONTE, IRMA</t>
  </si>
  <si>
    <t>ALONSO , LIDIA ELENA</t>
  </si>
  <si>
    <t>ROSSI, YANINA(alumna)</t>
  </si>
  <si>
    <t>LOPEZ, CHIARA SOFIA (ALUMNA)</t>
  </si>
  <si>
    <t>PERUGINI, MARIA FLORENCIA (ALUMNA)</t>
  </si>
  <si>
    <t>BALDEZ,Lucia Enriqueta (ALUMNA)</t>
  </si>
  <si>
    <t>ACOSTA , MARIA LAURA</t>
  </si>
  <si>
    <t>MARTINEZ , SILVIA BEATRIZ</t>
  </si>
  <si>
    <t>MONTENEGRO,LEONOR</t>
  </si>
  <si>
    <t>DA PIEVE, DANIELA (ALUMNA)</t>
  </si>
  <si>
    <t>LOUREIRO GUERRERO, NADIA BELEN (ALUMNA)</t>
  </si>
  <si>
    <t>DE ANGELIS, AYELEN GIULIANA (alumna)</t>
  </si>
  <si>
    <t>GRABORICKI,Patricia</t>
  </si>
  <si>
    <t>PILE, LUCERO MARIELA</t>
  </si>
  <si>
    <t>ESCOBAR, JESSICA GISELE (ALUMNA)</t>
  </si>
  <si>
    <t>MARTINEZ, RITA</t>
  </si>
  <si>
    <t>RAFFANELLI,Mirta</t>
  </si>
  <si>
    <t>DI GIOVINE,MARISA</t>
  </si>
  <si>
    <t>DEAMBROGIO,Norma Helga</t>
  </si>
  <si>
    <t>PERALTA, LILIAN CELESTE (ALUMNA)</t>
  </si>
  <si>
    <t>CAMPANA,Monica</t>
  </si>
  <si>
    <t>TOBIAS,KARINA VIVIANA</t>
  </si>
  <si>
    <t>GRADE, CARLA</t>
  </si>
  <si>
    <t>PEREZ,  MIRIAM</t>
  </si>
  <si>
    <t>TUNDIS , AIDA</t>
  </si>
  <si>
    <t>PERALTA,Maria Sandra</t>
  </si>
  <si>
    <t>FLORES, LISANDRA</t>
  </si>
  <si>
    <t>KESSLER, MARIA LORENA</t>
  </si>
  <si>
    <t>JIMENEZ, MARIANNY</t>
  </si>
  <si>
    <t>SANCHEZ,Marcela</t>
  </si>
  <si>
    <t>CAMPO, CECILIA (ALUMNA)</t>
  </si>
  <si>
    <t>RUIZ DIAZ, SILVANA</t>
  </si>
  <si>
    <t>DIAZ,Natalia Elena</t>
  </si>
  <si>
    <t>MENDEZ BELLA, MARIA DOLORES</t>
  </si>
  <si>
    <t>ALVAREZ,NATALIA</t>
  </si>
  <si>
    <t>HABERKORN, ROMINA VERONICA</t>
  </si>
  <si>
    <t>OLIVA, ROMINA (ESTUDIANTE)</t>
  </si>
  <si>
    <t>VILLALBA, LOANA CINTIA</t>
  </si>
  <si>
    <t>CABANA,MARISOL</t>
  </si>
  <si>
    <t>MAMAN , MAIA</t>
  </si>
  <si>
    <t>MORALES,Nancy</t>
  </si>
  <si>
    <t>MUÑOZ, ROCIO</t>
  </si>
  <si>
    <t>MUÑOZ,Carolina</t>
  </si>
  <si>
    <t>CAÑOS,Olga Beatriz</t>
  </si>
  <si>
    <t>NUÑOZ,Maria Julieta</t>
  </si>
  <si>
    <t>NUÑOZ, ANDREA</t>
  </si>
  <si>
    <t>LANDMARK</t>
  </si>
  <si>
    <t>SEBASTIAN GERCOVICH Y PABLO PONCE</t>
  </si>
  <si>
    <t>INDUSTRIAS PLASTICOS SALTA S.R.L.</t>
  </si>
  <si>
    <t>OCAÑO ENRIQUE</t>
  </si>
  <si>
    <t>CODAC SRL</t>
  </si>
  <si>
    <t>VABAR LIN SRL</t>
  </si>
  <si>
    <t>DIA ARGENTINA S A</t>
  </si>
  <si>
    <t>TECNIMAR S R L</t>
  </si>
  <si>
    <t>TRESEX S R L</t>
  </si>
  <si>
    <t>AUTOPISTAS DE BUENOS AIRES (AUBASA) SA</t>
  </si>
  <si>
    <t>MIJORMI SOCIEDAD DE RESPONSABILIDAD LIMITADA</t>
  </si>
  <si>
    <t>DHACAM S R L</t>
  </si>
  <si>
    <t>MONTORRO DOMINGO</t>
  </si>
  <si>
    <t>FRAVEGA S A C I E I</t>
  </si>
  <si>
    <t>GRUPO CONCESIONARIO DEL OESTE SA</t>
  </si>
  <si>
    <t>AROMATICA S.A.</t>
  </si>
  <si>
    <t>AUTOPISTAS URBANAS S A</t>
  </si>
  <si>
    <t>TELEFONICA DE ARGENTINA SA</t>
  </si>
  <si>
    <t>CORREO OFICIAL DE LA REPUBLICA ARGENTINA SOCIEDAD ANONIMA</t>
  </si>
  <si>
    <t>COTO CENTRO INTEGRAL DE COMERCIALIZACION SOCIEDAD ANONIMA</t>
  </si>
  <si>
    <t>AUTOPISTAS DEL SOL S A</t>
  </si>
  <si>
    <t>INFOSOL BUENOS AIRES S.R.L.</t>
  </si>
  <si>
    <t>NICOLOSI AUGUSTO ALEJANDRO</t>
  </si>
  <si>
    <t>D M H S A</t>
  </si>
  <si>
    <t>NUAGE SYSTEMS S.A.</t>
  </si>
  <si>
    <t>REPETTO MARIA FERNANDA</t>
  </si>
  <si>
    <t>BATTELLINI MARIA SOLEDAD</t>
  </si>
  <si>
    <t>IAMBAR S.R.L</t>
  </si>
  <si>
    <t>ABRALDES DIEGO ROBERTO</t>
  </si>
  <si>
    <t>VIGABRIEL JONATAN ARTURO</t>
  </si>
  <si>
    <t>MIZRAHI JULIAN FEDERICO</t>
  </si>
  <si>
    <t>NACACH SION ANDRES</t>
  </si>
  <si>
    <t>NOVACHEM S R L</t>
  </si>
  <si>
    <t>GRAFICA Y FOTOGRABADOS LA PLAZA S.R.L.</t>
  </si>
  <si>
    <t>LUPONE ALBANO SEBASTIAN</t>
  </si>
  <si>
    <t>AUTOGEN S.A.</t>
  </si>
  <si>
    <t>PROYECTO ELECTRICO S.R.L</t>
  </si>
  <si>
    <t>EL INSUMO S.R.L.</t>
  </si>
  <si>
    <t>CARNICA DEL NORTE S.R.L.</t>
  </si>
  <si>
    <t>MEGAENVASES SA</t>
  </si>
  <si>
    <t>SASSON ALBERTO,SASSON MAURICIO ENRIQUE, SASSON EMILIA NADIA</t>
  </si>
  <si>
    <t>OPERADORA DE ESTACIONES DE SERVICIOS SA</t>
  </si>
  <si>
    <t>TELECOM ARGENTINA SOCIEDAD ANONIMA</t>
  </si>
  <si>
    <t>SPEED BUSINESS S. A.</t>
  </si>
  <si>
    <t>VACCARI DARIO</t>
  </si>
  <si>
    <t>PARADISO ESTEBAN DAMIAN</t>
  </si>
  <si>
    <t>COORDINACION ECOLOGICA AREA METROPOLITANA SOCIEDAD DEL ESTADO</t>
  </si>
  <si>
    <t>ARBIT MARIA FLOR</t>
  </si>
  <si>
    <t>CORREDORES VIALES SOCIEDAD ANONIMA</t>
  </si>
  <si>
    <t>CARRERA VICTORIA</t>
  </si>
  <si>
    <t>STENFAR S.A. INDUSTRIAL COMERCIAL IMP. Y EXP.</t>
  </si>
  <si>
    <t>CAFFARATTI ROMINA PAOLA</t>
  </si>
  <si>
    <t>REUS JORGE DIEGO</t>
  </si>
  <si>
    <t>FONTENLA ERNESTO MARIO</t>
  </si>
  <si>
    <t xml:space="preserve">GATUVIA </t>
  </si>
  <si>
    <t>IMPIERI PIÑEIRO RIZZO Y ASOC SA</t>
  </si>
  <si>
    <t xml:space="preserve">SHELL ALBERDI </t>
  </si>
  <si>
    <t>EL CURVON SRL</t>
  </si>
  <si>
    <t>SORAIRE MIGUEL ALBERTO</t>
  </si>
  <si>
    <t>TOPPER UNICENTER</t>
  </si>
  <si>
    <t>PARQUE DISTRI SRL</t>
  </si>
  <si>
    <t>SHOP FERRETERO</t>
  </si>
  <si>
    <t xml:space="preserve">ENCENDIDO INDEPENDENCIA </t>
  </si>
  <si>
    <t>BARCELONAMOTOS</t>
  </si>
  <si>
    <t xml:space="preserve">LABORATORIOS BIOMIC SRL </t>
  </si>
  <si>
    <t>VENTAS ONLINE QUILMES S.R.L.</t>
  </si>
  <si>
    <t>MARPOLO SA</t>
  </si>
  <si>
    <t>SANTILLAN LILIANA ITATI</t>
  </si>
  <si>
    <t>NEW  HIGH PACK  SA</t>
  </si>
  <si>
    <t>LECHUGA JULIO CESAR</t>
  </si>
  <si>
    <t>GANADERA EL 13 S.R.L</t>
  </si>
  <si>
    <t>GC COMERCIAL S.R.L.</t>
  </si>
  <si>
    <t>ENGYMAN SRL</t>
  </si>
  <si>
    <t>MALACASA LUIS DAMIAN</t>
  </si>
  <si>
    <t>JUST SOLUTION S.A.</t>
  </si>
  <si>
    <t>CLEAN LAB SRL</t>
  </si>
  <si>
    <t>BKL S.A.</t>
  </si>
  <si>
    <t>DESPEGAR COM AR SA</t>
  </si>
  <si>
    <t>QUETZAL QUIMICA S R L</t>
  </si>
  <si>
    <t>PICALI IMPORT S.R.L.</t>
  </si>
  <si>
    <t>GMRA S. A.</t>
  </si>
  <si>
    <t>FLORES HUAYRA MICHAEL MARTIN</t>
  </si>
  <si>
    <t>LIBERTAD S A</t>
  </si>
  <si>
    <t>LOPEZ JUSTO EZEQUIEL</t>
  </si>
  <si>
    <t>BOTINDARI JUAN CARLOS</t>
  </si>
  <si>
    <t>RAMOS PATRICIO SEBASTIAN</t>
  </si>
  <si>
    <t>TOLEDO ELIANA ALEJANDRA</t>
  </si>
  <si>
    <t>KOHEN ILUMINACION S.A.</t>
  </si>
  <si>
    <t>INC  SOCIEDAD ANONIMA</t>
  </si>
  <si>
    <t>ROSSO JOSE OMAR</t>
  </si>
  <si>
    <t>Margot Brand SRL</t>
  </si>
  <si>
    <t>ROTECH S.R.L</t>
  </si>
  <si>
    <t>MC LEAN ROBERTO </t>
  </si>
  <si>
    <t>RUA DIEGO ADRIAN</t>
  </si>
  <si>
    <t>EXPRESO SANTA ROSA S A </t>
  </si>
  <si>
    <t>VTV SUD S.A.</t>
  </si>
  <si>
    <t>JABONES Y FRAGANCIAS S.A</t>
  </si>
  <si>
    <t>CANADEZ S.R.L.</t>
  </si>
  <si>
    <t>CARRERO DANIELA SOLANGE </t>
  </si>
  <si>
    <t>RIENZI CLAUDIA LILIANA </t>
  </si>
  <si>
    <t>Amelia Claudia Djelil</t>
  </si>
  <si>
    <t>FLEYTAS MONICA LILIANA</t>
  </si>
  <si>
    <t>QUANTUM KOSMETICA S.R.L.</t>
  </si>
  <si>
    <t>RUEDAS LIBERAL S R L </t>
  </si>
  <si>
    <t>ILONA AYOUB S.A.S. </t>
  </si>
  <si>
    <t>Tortorello, Gustavo Sergio Y Pasini Santiago </t>
  </si>
  <si>
    <t>IPMAG S.A. </t>
  </si>
  <si>
    <t>Damia Omar Pablo Alejandro </t>
  </si>
  <si>
    <t>Alvarez Luisa Silvana</t>
  </si>
  <si>
    <t>ALEVATTO STELLA MARIS </t>
  </si>
  <si>
    <t>Silvio Jorge Giostra</t>
  </si>
  <si>
    <t>VELASCO ALBERTO </t>
  </si>
  <si>
    <t>Maria Celeste Fernandez</t>
  </si>
  <si>
    <t>GABRIEL GONZALEZ SAGASETA</t>
  </si>
  <si>
    <t>VENDRAMINI PABLO HUGO</t>
  </si>
  <si>
    <t>ROLDAN MARIA CLAUDIA</t>
  </si>
  <si>
    <t>SINGER KARINA</t>
  </si>
  <si>
    <t>CALICCHIO MARIA ANDREA</t>
  </si>
  <si>
    <t>SOSA MARIA TERESA</t>
  </si>
  <si>
    <t>SEGURA HARO OMAR Y JARA FERNANDEZ MIRYAM S.H.</t>
  </si>
  <si>
    <t>GRIGUOLI RICARDO  ENRIQUE</t>
  </si>
  <si>
    <t>KNOWLEDGE OF SERVICES S.R.L.</t>
  </si>
  <si>
    <t>ROMAN GABINO</t>
  </si>
  <si>
    <t>RAMOS CLAUDIA JAQUELINA</t>
  </si>
  <si>
    <t>MARIN MARIA SOL</t>
  </si>
  <si>
    <t>SANTORELLI CARLA</t>
  </si>
  <si>
    <t>BIANCHINI LUCIANO</t>
  </si>
  <si>
    <t>KINE ESTETIC SRL</t>
  </si>
  <si>
    <t>GALAN ANABEL ISABEL</t>
  </si>
  <si>
    <t>RAJOY AGUSTINA</t>
  </si>
  <si>
    <t>NUEVO PLAZA HOTEL MENDOZA S.A.</t>
  </si>
  <si>
    <t>DELGADO ORTIZ SILVIA ALEJANDRA</t>
  </si>
  <si>
    <t>PONTIGGIA CANDELARIA</t>
  </si>
  <si>
    <t>KOTISHEVSKY SERGEI</t>
  </si>
  <si>
    <t>LORENZO PIÑEIRO MARIA BELEN</t>
  </si>
  <si>
    <t>ZALEWSKI MONICA ROXANA</t>
  </si>
  <si>
    <t>GOLDENBERG FERNANDO DANIEL</t>
  </si>
  <si>
    <t>GARRIDO JULIO CESAR</t>
  </si>
  <si>
    <t>THE BEAUTY PLACE S.A.S.</t>
  </si>
  <si>
    <t>MRF LOGISTICA Y SERVICIOS S.R.L.</t>
  </si>
  <si>
    <t>CENTRO DE EMPLEADOS DE COMERCIO ZONA NORTE</t>
  </si>
  <si>
    <t>SERAFINI OMAR JAVIER</t>
  </si>
  <si>
    <t>FUENTES ELENA ELISABET</t>
  </si>
  <si>
    <t>ALVEAR PALACE HOTEL SA I</t>
  </si>
  <si>
    <t>BESSONE ADRIANA</t>
  </si>
  <si>
    <t>DERMOESTETIC SAS</t>
  </si>
  <si>
    <t>MORALLI ISABEL,MORALLI RENEE, CHIESA LUIS HERNAN Y INGE SOMMER</t>
  </si>
  <si>
    <t>GENERATICA S.A.</t>
  </si>
  <si>
    <t>ASOCIACION DE EMPLEADOS FISCALES E INGRESOS PUBLICOS (A.E.F.I.P.)</t>
  </si>
  <si>
    <t>ERREA FRANCISCO GABRIEL</t>
  </si>
  <si>
    <t>MEDICINA Y ARTE S.R.L.</t>
  </si>
  <si>
    <t>LAURIA JUAN MANUEL</t>
  </si>
  <si>
    <t>LO DUCA STELLA MARIS RAMONA</t>
  </si>
  <si>
    <t>PHARMAPROJECTS SA</t>
  </si>
  <si>
    <t>GONZALEZ VILAS DANIEL</t>
  </si>
  <si>
    <t>BAIRES COMPANY</t>
  </si>
  <si>
    <t>CENCOSUD S.A</t>
  </si>
  <si>
    <t>IZZO MARCELA EMMA</t>
  </si>
  <si>
    <t>SCALISE LEANDRO ALBERTO Y SCALISE PABLO HERNAN SH</t>
  </si>
  <si>
    <t>VALDEZ PEDRO ALBERTO</t>
  </si>
  <si>
    <t>MARBLAS S R L</t>
  </si>
  <si>
    <t>BEST PHONE S R L</t>
  </si>
  <si>
    <t>DANA JOSE LUIS</t>
  </si>
  <si>
    <t>CHAVERIM SA</t>
  </si>
  <si>
    <t>ARIAS ANGEL ALBERTO</t>
  </si>
  <si>
    <t>EMPRENDIMIENTOS SATELITALES SA</t>
  </si>
  <si>
    <t>SEVENTEEN SOCIEDAD DE RESPONSABILIDAD LIMITADA</t>
  </si>
  <si>
    <t>MAYOLAS S.R.L.</t>
  </si>
  <si>
    <t>TELGOPOR ARGENTINA SA</t>
  </si>
  <si>
    <t>BAUKLA PORCELLANATOS SA</t>
  </si>
  <si>
    <t>ZUCCALA ANGEL ROBERTO</t>
  </si>
  <si>
    <t>IACONIS SERGIO OMAR</t>
  </si>
  <si>
    <t>DUFF SRL</t>
  </si>
  <si>
    <t>MULTICAJAS S A</t>
  </si>
  <si>
    <t>EGEO SOCIEDAD DE RESPONSABILIDAD LIMITADA</t>
  </si>
  <si>
    <t>COPIADO FULL S.R.L</t>
  </si>
  <si>
    <t>NICEFORO RODRIGUEZ NICOLAS EUGENIO</t>
  </si>
  <si>
    <t>REPUESTOS ARMANDO DE DUARTE Y CASTEL SAS</t>
  </si>
  <si>
    <t>MERCADO TOTAL SAS</t>
  </si>
  <si>
    <t>DISTRIBUIDORA N.G. S.A.</t>
  </si>
  <si>
    <t>ASOCIACION ARGENTINA DE COSMETOLOGIA Y ESTETICA</t>
  </si>
  <si>
    <t>CASTILLO JUAN RAMON</t>
  </si>
  <si>
    <t>DEL GESSO FRANCO JESUS</t>
  </si>
  <si>
    <t>GROOVAS SRL</t>
  </si>
  <si>
    <t>LA QUINTA ESTACION SRL</t>
  </si>
  <si>
    <t>PINTURERIAS LIBERATO SRL</t>
  </si>
  <si>
    <t>LAFECOM SA</t>
  </si>
  <si>
    <t>LOMALI SA</t>
  </si>
  <si>
    <t>DEL TRABAJO SA</t>
  </si>
  <si>
    <t>UDANOR SRL</t>
  </si>
  <si>
    <t>BUENOS AIRES COMERCIAL Y DIGITAL SRL</t>
  </si>
  <si>
    <t>ELECYTICIDAD ESCOBAR SRL</t>
  </si>
  <si>
    <t>ROMANO PASCUAL ANTONIO</t>
  </si>
  <si>
    <t>GLOBAL AESTHETICS PRODUCTS AND SERVICES SRL</t>
  </si>
  <si>
    <t>EXPRESS ATLANTICA S.R.L</t>
  </si>
  <si>
    <t>BIDCOM SRL</t>
  </si>
  <si>
    <t>OPERADORA SAN JUAN S.A.</t>
  </si>
  <si>
    <t>DTECH S.A.</t>
  </si>
  <si>
    <t>FARMATRADE S R L</t>
  </si>
  <si>
    <t>IGLESIAS ANDRADA CLAUDIA VERONICA</t>
  </si>
  <si>
    <t>LOS TRILLIZOS PERAZOLI S.R.L.</t>
  </si>
  <si>
    <t>DE LA TORRE ZARAGOZA JUAN EDMUNDO</t>
  </si>
  <si>
    <t>MAT. ESCO SA</t>
  </si>
  <si>
    <t>DAGHER S A</t>
  </si>
  <si>
    <t>UNTECO S.A.I.C. E I.</t>
  </si>
  <si>
    <t>QUANTUM QUIMICA S.R.L.</t>
  </si>
  <si>
    <t>EVER SAFE S.R.L.</t>
  </si>
  <si>
    <t>IDZONE SRL</t>
  </si>
  <si>
    <t>VTEC SRL</t>
  </si>
  <si>
    <t>VTV CABA SOCIEDAD ANONIMA</t>
  </si>
  <si>
    <t>RIFENHOLZ MARCELA ROXANA</t>
  </si>
  <si>
    <t>ESPIÑA MATIAS FEDERICO</t>
  </si>
  <si>
    <t>SUTURA S.R.L.</t>
  </si>
  <si>
    <t>POLYTECH S A</t>
  </si>
  <si>
    <t>TANG GUIYUN</t>
  </si>
  <si>
    <t>XIE HONGWU</t>
  </si>
  <si>
    <t>SOSA ALVAREZ SONIA JOSEFINA</t>
  </si>
  <si>
    <t>CHARATA SRL</t>
  </si>
  <si>
    <t>Combustible</t>
  </si>
  <si>
    <t>ORGANIZACION DELASOIE HERMANOS S A</t>
  </si>
  <si>
    <t>CAMARA DE GRABADORES DE AUTOPARTES DE VEHICULOS AUTOMOTORES Y MOTOVEHICULOS</t>
  </si>
  <si>
    <t>ALGETEC SRL</t>
  </si>
  <si>
    <t>DURCASTI SA</t>
  </si>
  <si>
    <t>GOMEZ ROBERTO MARCELO</t>
  </si>
  <si>
    <t>VIMAR SOC EN COM SIMPLE</t>
  </si>
  <si>
    <t>APPLUS SANTA MARIA DEL BUEN AYRE SA</t>
  </si>
  <si>
    <t xml:space="preserve">                   </t>
  </si>
  <si>
    <t>DA COSTA E HIJOS S A</t>
  </si>
  <si>
    <t>OCA LOG S.A.</t>
  </si>
  <si>
    <t>GRACIA SANDRO EDUARDO</t>
  </si>
  <si>
    <t>CASA ELICEIRY S A</t>
  </si>
  <si>
    <t>BORGES NELSON MAURICIO</t>
  </si>
  <si>
    <t>BBVA - VISA TJ CREDITO</t>
  </si>
  <si>
    <t>PINTURERIAS LIBERATO S R L</t>
  </si>
  <si>
    <t>XHARD S.R.L.</t>
  </si>
  <si>
    <t>POYNT P.O.P.</t>
  </si>
  <si>
    <t>CARRERO DANIELA SOLANGE</t>
  </si>
  <si>
    <t>BUSSOLA LARA</t>
  </si>
  <si>
    <t>DOM CENTRO DE REUMATOLOGIA S.A.S.</t>
  </si>
  <si>
    <t>IRSA - GALERIAS PACIFICO S.A. UT</t>
  </si>
  <si>
    <t>TRABAJO SANO S.R.L.</t>
  </si>
  <si>
    <t>BELLA PIAZZA SRL</t>
  </si>
  <si>
    <t>PERASSOLO MONICA BEATRIZ</t>
  </si>
  <si>
    <t>FERNANDEZ LORENA DEL VALLE</t>
  </si>
  <si>
    <t>FALCON MEIS RAMON</t>
  </si>
  <si>
    <t>PATIÑO OSVALDO JOSE</t>
  </si>
  <si>
    <t>RUEDAS LIBERAL S R L</t>
  </si>
  <si>
    <t>CASADIO AGOSTINA</t>
  </si>
  <si>
    <t>ARIEZ S.A.S.</t>
  </si>
  <si>
    <t>MILEO VICENTE SAMUEL</t>
  </si>
  <si>
    <t>MADERO HAIR S.R.L.</t>
  </si>
  <si>
    <t>ECHENIQUE VANINA ANABELLA</t>
  </si>
  <si>
    <t>RACING BROWN S. R. L</t>
  </si>
  <si>
    <t>BLESSA S. R. L.</t>
  </si>
  <si>
    <t>CYN BELLEZA CON ESTILO S.A.</t>
  </si>
  <si>
    <t>CENTURION MARIA ISABEL</t>
  </si>
  <si>
    <t>ILONA AYOUB S.A.S.</t>
  </si>
  <si>
    <t>KAIZEM S.R.L.</t>
  </si>
  <si>
    <t>CANADEZ SRL</t>
  </si>
  <si>
    <t>PERDOMO CASTAGNINO ANA LARISA</t>
  </si>
  <si>
    <t>GARAVELLO</t>
  </si>
  <si>
    <t>MAJDEK VERONICA CAROLINA</t>
  </si>
  <si>
    <t>TORTORELLO, GUSTAVO SERGIO  Y PASINI SANTIAGO SEBASTIAN S.H</t>
  </si>
  <si>
    <t>ENTRE AIRES S.A.</t>
  </si>
  <si>
    <t>VELASCO ALBERTO</t>
  </si>
  <si>
    <t>CORNERO SILVIA DEL VALLE</t>
  </si>
  <si>
    <t>GONZALEZ BIANCHI MARIA GABRIELA</t>
  </si>
  <si>
    <t>RODRIGUEZ YESSICA BELEN</t>
  </si>
  <si>
    <t>GALLARDO ANA LORENA</t>
  </si>
  <si>
    <t>OJEDA ELSA MARINA</t>
  </si>
  <si>
    <t>BACCI PERLA CRISTINA</t>
  </si>
  <si>
    <t>RONCORONI DANIELA VERONICA</t>
  </si>
  <si>
    <t>DIAZ NATALIA</t>
  </si>
  <si>
    <t>COPELLO VIVIANA MARIA GABRIELA</t>
  </si>
  <si>
    <t>LOAIZA LOAYZA GRACIELA ELIZABETH</t>
  </si>
  <si>
    <t>BOTTERO GRACIELA BEATRIZ</t>
  </si>
  <si>
    <t>ROBLES DOLORES DEL CARMEN</t>
  </si>
  <si>
    <t>GOBIERNO DE LA CIUDAD DE BUENOS AIRES</t>
  </si>
  <si>
    <t>QUEZADA PINEDA KAREN STEPHANY</t>
  </si>
  <si>
    <t>AVILA ADELAIDA CRISTINA</t>
  </si>
  <si>
    <t>TORRES EVANGELINA SOFIA</t>
  </si>
  <si>
    <t>CORNEJO MARGARITA ELIZABETH</t>
  </si>
  <si>
    <t>FARBER HERMAN</t>
  </si>
  <si>
    <t>GARBARSKY JAIME GERARDO</t>
  </si>
  <si>
    <t>+Q NATURAL S.A.</t>
  </si>
  <si>
    <t>BOLSAFILM S.A.</t>
  </si>
  <si>
    <t>LEADER ELECTRONIC S A</t>
  </si>
  <si>
    <t>ECOEXIST S.R.L.</t>
  </si>
  <si>
    <t>DUARTE JEAN FRANCO</t>
  </si>
  <si>
    <t>MALI Y CIA SA</t>
  </si>
  <si>
    <t>A M PESCIO SOC EN COM POR ACC</t>
  </si>
  <si>
    <t>RANKO S R L</t>
  </si>
  <si>
    <t>R A DURAN Y ASOC SRL</t>
  </si>
  <si>
    <t>DALTOSUR S.R.L.</t>
  </si>
  <si>
    <t>CENTRAL ALCORTA S.A</t>
  </si>
  <si>
    <t>MAGEL S A</t>
  </si>
  <si>
    <t>DABRA SOCIEDAD ANONIMA</t>
  </si>
  <si>
    <t>SCALZO OSVALDO NESTOR</t>
  </si>
  <si>
    <t>BRUAYAFA S.A.</t>
  </si>
  <si>
    <t>GONZALEZ ALBERTO DANIEL</t>
  </si>
  <si>
    <t>BI-ORIENT S.A.</t>
  </si>
  <si>
    <t>NAGEL DANIEL ALEJANDRO</t>
  </si>
  <si>
    <t>LOMBARDI LAURA CECILIA</t>
  </si>
  <si>
    <t>VILLARUEL OSCAR EDUARDO</t>
  </si>
  <si>
    <t>ARBIT MARIA SOL</t>
  </si>
  <si>
    <t>ASOCIACION CIVIL DE ESTETICA, PELUQUERIA Y MAQUILLAJE ACEPYM</t>
  </si>
  <si>
    <t>ORTIZ MENDEZ LUZ MARINA</t>
  </si>
  <si>
    <t>JADDE SOCIEDAD DE RESPONSABILIDAD LIMITADA</t>
  </si>
  <si>
    <t>SILVA VANINA PAOLA</t>
  </si>
  <si>
    <t>ESTETICA NORTE S.A.</t>
  </si>
  <si>
    <t>ALVAREZ LUISA SILVANA</t>
  </si>
  <si>
    <t>JABONES Y FRAGANCIAS S.A.</t>
  </si>
  <si>
    <t>EYHERAMONHO DIEGO CESAR</t>
  </si>
  <si>
    <t>TRAFUL SRL</t>
  </si>
  <si>
    <t>BOLAÑEZ MARILINA</t>
  </si>
  <si>
    <t>VAZQUEZ LORENA VERONICA</t>
  </si>
  <si>
    <t>CUSSATTI MARCIA</t>
  </si>
  <si>
    <t>FERNANDEZ MARIA CELESTE</t>
  </si>
  <si>
    <t>MELELLA ERNESTO LUIS EDUARDO</t>
  </si>
  <si>
    <t>SEMEBA-SERVICIOS DE EMERGENCIAS MEDICAS BUENOS AIRES S.R.L.</t>
  </si>
  <si>
    <t>CABRAL MICAELA GIULIANA</t>
  </si>
  <si>
    <t>LARRA|AGA SILVINA ADRIANA</t>
  </si>
  <si>
    <t>AVILA NORMA ALICIA</t>
  </si>
  <si>
    <t>PONCE LETICIA EDITH</t>
  </si>
  <si>
    <t>BRENELLI ANDREA ELIZABETH</t>
  </si>
  <si>
    <t>SOSA KARINA ERICA</t>
  </si>
  <si>
    <t>PEREYRO CLAUDIA ALEJANDRA</t>
  </si>
  <si>
    <t>ROJAS JORGE DANIEL</t>
  </si>
  <si>
    <t>PERINI MARCELA LILIANA</t>
  </si>
  <si>
    <t>SAPIA PATRICIA GLADYS</t>
  </si>
  <si>
    <t>LANUQUE MARIELA</t>
  </si>
  <si>
    <t>MARTINS PABLO ANDRES</t>
  </si>
  <si>
    <t>ROMAN BLANCA NOEMI</t>
  </si>
  <si>
    <t>FERNANDEZ GODOY SUSANA BEATRIZ</t>
  </si>
  <si>
    <t>BORDON MARILINA ELIZABETH</t>
  </si>
  <si>
    <t>ABIUSO NOELIA SUSANA</t>
  </si>
  <si>
    <t>FUKUDA SEKI ROMINA ERINA</t>
  </si>
  <si>
    <t>ROSSO MARCELA MYRIAM</t>
  </si>
  <si>
    <t>UMERES CANDELA</t>
  </si>
  <si>
    <t>TARICCO MONICA GUADALUPE</t>
  </si>
  <si>
    <t>LOPEZ MIRTHA MABEL</t>
  </si>
  <si>
    <t>GIORDANO GLADYS BEATRIZ</t>
  </si>
  <si>
    <t>MALAGUEÑO NORMA PATRICIA</t>
  </si>
  <si>
    <t>RIOS ANA LAURA</t>
  </si>
  <si>
    <t>FERNANDEZ DANIELA NATALIA</t>
  </si>
  <si>
    <t>RIVERO CRISTIAN RAFAEL</t>
  </si>
  <si>
    <t>GASTALDINI LAURA PIERINA</t>
  </si>
  <si>
    <t>GILLY LIDIA MONICA CONCEPCION</t>
  </si>
  <si>
    <t>DOBROSOLSKY PATRICIA ALEJANDRA</t>
  </si>
  <si>
    <t>GARCIA GONZALEZ MARTA BEATRIZ</t>
  </si>
  <si>
    <t>BASUALDO PRISCILIA MELANIE</t>
  </si>
  <si>
    <t>PEREZ PECHE MARIBEL LILI</t>
  </si>
  <si>
    <t>DE ESTRADA MARIA DE FATIMA</t>
  </si>
  <si>
    <t>VONDER HEIDE MARIBEL ROSANA</t>
  </si>
  <si>
    <t>TUETTO VERONICA MARCELA</t>
  </si>
  <si>
    <t>SAJAMA EVANGELINA PATRICIA</t>
  </si>
  <si>
    <t>PACTTAT ROCIO CAROLINA</t>
  </si>
  <si>
    <t>DE DURANA COMPA MARIA GUADALUPE</t>
  </si>
  <si>
    <t>SILVINA ZANON</t>
  </si>
  <si>
    <t>VENTAS "E"</t>
  </si>
  <si>
    <t>MANDOLA HERMANOS SA</t>
  </si>
  <si>
    <t>CARDARELLO BASAVILBASO FEDERICO JORGE</t>
  </si>
  <si>
    <t>CORREO ANDREANI SA</t>
  </si>
  <si>
    <t>ESTACION RUTA 1422 SRL</t>
  </si>
  <si>
    <t>JORGE ALBERTO CASO SA</t>
  </si>
  <si>
    <t>RUSCONI GERMAN ADOLFO</t>
  </si>
  <si>
    <t>COMBEC SA</t>
  </si>
  <si>
    <t>30-69610606-8</t>
  </si>
  <si>
    <t>BBVA - LIQ MASTERCARD</t>
  </si>
  <si>
    <t>TRANSPORTES LA SEVILLANITA SRL</t>
  </si>
  <si>
    <t>CELEX GROUP  SRL</t>
  </si>
  <si>
    <t>COOP DE TRABAJO PAN DE VIDA LTDA</t>
  </si>
  <si>
    <t>ALVAREZ MIGUEL ANGEL</t>
  </si>
  <si>
    <t>BROKEN MOBILE S.A.S.</t>
  </si>
  <si>
    <t>MOREIRA CORONEL NESTOR NAHUEL</t>
  </si>
  <si>
    <t>CENTRAL MAYORISTA S R L</t>
  </si>
  <si>
    <t>DIAMOND SYSTEM S.A.</t>
  </si>
  <si>
    <t>JFC HACELA  FACIL SRL</t>
  </si>
  <si>
    <t>TEXEL SRL</t>
  </si>
  <si>
    <t>CORNEALENT PANAMERICANA SA</t>
  </si>
  <si>
    <t>TODOVISION S.A</t>
  </si>
  <si>
    <t>SAN ANDRES ABERTURAS SRL</t>
  </si>
  <si>
    <t>B M WEB S.A.</t>
  </si>
  <si>
    <t>DUAITEK SRL</t>
  </si>
  <si>
    <t>CHAPAFERRO S.A.</t>
  </si>
  <si>
    <t>TABLEROS  SUDAMERICANA S.R.L.</t>
  </si>
  <si>
    <t>D WEINSTOCK S R L</t>
  </si>
  <si>
    <t>TARTARONE RUBEN OSCAR</t>
  </si>
  <si>
    <t>PARQUE AYERZA SCA</t>
  </si>
  <si>
    <t>ANGLET SRL</t>
  </si>
  <si>
    <t>D ERAMO GUSTAVO Y D ERAMO PABLO SOC DE HECHO</t>
  </si>
  <si>
    <t>GOLDIN DAIANA</t>
  </si>
  <si>
    <t>ELECTRICIDAD CABRERA SRL</t>
  </si>
  <si>
    <t>SHOPPING NET S.A.S.</t>
  </si>
  <si>
    <t>LAZZARIN LIMA MARTIN IGNACIO</t>
  </si>
  <si>
    <t>DEVENTAS S.A.</t>
  </si>
  <si>
    <t>MARZANO OSVALDO MATIAS</t>
  </si>
  <si>
    <t>SOLIS PABLO GABRIEL</t>
  </si>
  <si>
    <t>FEDERACION ARGENTINA DE COSMETOLOGOS Y ESTETICISTAS F A C E</t>
  </si>
  <si>
    <t>TIDONI SILVANA GRACIELA</t>
  </si>
  <si>
    <t>FERRARO RAFAEL AUGUSTO</t>
  </si>
  <si>
    <t>CONSTRUCCIONES JUMALO S A</t>
  </si>
  <si>
    <t>CABA</t>
  </si>
  <si>
    <t>MANTENIMIENTO</t>
  </si>
  <si>
    <t>BUENOS AIRES</t>
  </si>
  <si>
    <t>SILFA SA</t>
  </si>
  <si>
    <t xml:space="preserve">ARMONIE S A </t>
  </si>
  <si>
    <t>ASENSIO E HIJO Y PULLEY SOCIEDAD DE RESP</t>
  </si>
  <si>
    <t>Nordestnova S A</t>
  </si>
  <si>
    <t xml:space="preserve">COPY JET DE BIAFORE PABLO Y ANDRADE JAVIER  </t>
  </si>
  <si>
    <t>DEALER S. CAP I SECC IV</t>
  </si>
  <si>
    <t>ARG COLOR S.R.L.</t>
  </si>
  <si>
    <t>HERBAS ESPINOZA GABRIEL MATIAS</t>
  </si>
  <si>
    <t>HERNANDEZ Y COSTA SOC. LEY 19550 CAP I SECC IV</t>
  </si>
  <si>
    <t>FABRIQUIMICA S.A.U.</t>
  </si>
  <si>
    <t>IMPRESORA RAWSON S A C I F E I</t>
  </si>
  <si>
    <t>LEJTMAN FERNANDO ALBERTO</t>
  </si>
  <si>
    <t>LETTIERI CARLOS ADRIANO</t>
  </si>
  <si>
    <t>HENSCHEL ALEJANDRO Y VICCO LUCAS SOCIDADDE HECHO</t>
  </si>
  <si>
    <t>LUCIOLI JUAN PABLO</t>
  </si>
  <si>
    <t>MYL TRANSFORMADORES S.A</t>
  </si>
  <si>
    <t>MAGANAS SERGIO ESTEBAN</t>
  </si>
  <si>
    <t>LU YA HUI</t>
  </si>
  <si>
    <t>MIRANDA GUIDO LUCAS VALERIO</t>
  </si>
  <si>
    <t>ALONSO RODRIGO JAVIER</t>
  </si>
  <si>
    <t>REPETTO RAMIRO ANDRES</t>
  </si>
  <si>
    <t>CARLETTA MARTIN DANIEL</t>
  </si>
  <si>
    <t>TECNOTEAM S.A.S.</t>
  </si>
  <si>
    <t>OMAR ENRIQUE PICARDI Y PABLO BERNARDO   PICARDI S H</t>
  </si>
  <si>
    <t>CURTO HECTOR ANIBAL</t>
  </si>
  <si>
    <t>FIDEICOMISO MAMBA</t>
  </si>
  <si>
    <t>LATEULADE DORADO ADRIAN HUGO</t>
  </si>
  <si>
    <t>NAF GAS SA</t>
  </si>
  <si>
    <t>GNC ESCOBAR SA</t>
  </si>
  <si>
    <t>KINIEN SA</t>
  </si>
  <si>
    <t>CASTILLO PEDRO ISMAEL</t>
  </si>
  <si>
    <t>CANJALLI SILVIA ALEGRE</t>
  </si>
  <si>
    <t>SERVICIOS PROFESIONALES</t>
  </si>
  <si>
    <t>DISTRI AIRES S.R.L</t>
  </si>
  <si>
    <t>NINFA ESTELA CORREA</t>
  </si>
  <si>
    <t>INGACOT COMERCIAL S.A.</t>
  </si>
  <si>
    <t>CHIEN SA</t>
  </si>
  <si>
    <t>MARTIN CRISTINA BEATRIZ</t>
  </si>
  <si>
    <t>BH ONLINE SRL</t>
  </si>
  <si>
    <t>TODO GAS S A</t>
  </si>
  <si>
    <t>ROJA ALEJANDRO RAUL</t>
  </si>
  <si>
    <t>BARRERA RICARDO DARIO Y HUBY GANOZA JIMMY  SOCIEDAD DE HECHO</t>
  </si>
  <si>
    <t>KADURSPORT S.R.L.</t>
  </si>
  <si>
    <t>FONTELA VAZQUEZ PABLO HERNAN</t>
  </si>
  <si>
    <t>SERRA ANDREOLI RODRIGO EMILIO</t>
  </si>
  <si>
    <t>RODAR S R L</t>
  </si>
  <si>
    <t>SENSES PLUS S.R.L.</t>
  </si>
  <si>
    <t>EXPRESO BICENTENARIO S.R.L</t>
  </si>
  <si>
    <t>CASTELLUCCI PABLO G., CASTELLUCCI CHRISTIAN M. Y CASTELLUCCI DIEGO S. S.H.</t>
  </si>
  <si>
    <t>EMELINT S.R.L.</t>
  </si>
  <si>
    <t>PINTURERIAS DEL MAESTRO S.A.</t>
  </si>
  <si>
    <t>BH IMPORT S.R.L.</t>
  </si>
  <si>
    <t>SOLARI MARIA DE LOS ANGELES</t>
  </si>
  <si>
    <t>PUMP GEL S.R.L</t>
  </si>
  <si>
    <t>ANIMAL BROTHERS VENTA MAYORISTA Y MINORISTA DE ALIMENTOS BALANCEADOS DE SPADOTTO GABRIELA F. Y SPADO</t>
  </si>
  <si>
    <t>BAMBU SALUDABLE S.R.L.</t>
  </si>
  <si>
    <t>SCOZZAFAVA FERNANDO ANTONIO</t>
  </si>
  <si>
    <t>REAL COLOR SRL</t>
  </si>
  <si>
    <t>DVT COMERCIO</t>
  </si>
  <si>
    <t>INSUMOS INDUSTRIALES BULFERIND S.A.</t>
  </si>
  <si>
    <t>FERNANDEZ GABRIEL OMAR</t>
  </si>
  <si>
    <t>FENEX S.A.S.</t>
  </si>
  <si>
    <t>AUNE SOFIA ESMERALDA</t>
  </si>
  <si>
    <t>FONDO DE COOPERACION TECNICA Y FINANCIERA - CECBA - SL Y T - LEY 23.412</t>
  </si>
  <si>
    <t>LOPEZ MARTIN ALEJANDRO</t>
  </si>
  <si>
    <t>PILISAR SOCIEDAD ANONIMA</t>
  </si>
  <si>
    <t>HIDROAL  SA</t>
  </si>
  <si>
    <t xml:space="preserve">TOTAL </t>
  </si>
  <si>
    <t>COD 81</t>
  </si>
  <si>
    <t>BLUECAR SA</t>
  </si>
  <si>
    <t>IMARKET SRL</t>
  </si>
  <si>
    <t>MELINKA SRL</t>
  </si>
  <si>
    <t xml:space="preserve">FROS SA </t>
  </si>
  <si>
    <t>ESTACION DE SERVICIO ALCOVER SRL</t>
  </si>
  <si>
    <t>EXPOENVASE SRL</t>
  </si>
  <si>
    <t>ITAL PAVON S.A.</t>
  </si>
  <si>
    <t>PINTURERIAS EXPRESS SRL</t>
  </si>
  <si>
    <t>AUTO EQUIPE S.A.</t>
  </si>
  <si>
    <t>DUFFY ESTEFANIA</t>
  </si>
  <si>
    <t>PERALBA SOCIEDAD ANONIMA</t>
  </si>
  <si>
    <t>RODADOS ALVARO S.R.L.</t>
  </si>
  <si>
    <t>SCD DISTRIBUIDORA S.R.L.</t>
  </si>
  <si>
    <t>BELLASOMBRA DE DIEGO PARTICO Y BRUNO MUSANTE SOCIEDAD DE HECHO</t>
  </si>
  <si>
    <t>NATALI HUGO ARIEL</t>
  </si>
  <si>
    <t>REPRESENTACIONES TECNOLOGICAS SA</t>
  </si>
  <si>
    <t>AGEN S.A.</t>
  </si>
  <si>
    <t>LNB SOCIEDAD POR ACCIONES SIMPLIFICADA</t>
  </si>
  <si>
    <t>G.B.S. GLOBAL BUSINESS SUPPLY S.R.L.</t>
  </si>
  <si>
    <t>FAIL ABRAHAM</t>
  </si>
  <si>
    <t>CURTI OSVALDO JOSE</t>
  </si>
  <si>
    <t>ROCCA COMBUSTIBLES  S A</t>
  </si>
  <si>
    <t>BELCOMSUR SA</t>
  </si>
  <si>
    <t>VALLEJO ARCELUZ FERNANDO VALLEJO ARCELUZ MARTA J Y VALLEJO ARCELUZ MARIA CELINA</t>
  </si>
  <si>
    <t>FIORI SILVIA LORENA</t>
  </si>
  <si>
    <t>ALBINO ALEJANDRO</t>
  </si>
  <si>
    <t>GASTOS COMERCIALES</t>
  </si>
  <si>
    <t>ESTACION DE SERVICIO NORTEÑA SRL</t>
  </si>
  <si>
    <t>COMBUSTIBLES MORABITO HNOS SRL</t>
  </si>
  <si>
    <t>MESAJERIA</t>
  </si>
  <si>
    <t>PUENTE VANGUARDIA SOC ANONIMA</t>
  </si>
  <si>
    <t>ESTACION DE SERVICIO CUATRO BOCAS SRL</t>
  </si>
  <si>
    <t>CORRIENTES</t>
  </si>
  <si>
    <t>SUPER SEVICIOS OLIVOS SRL</t>
  </si>
  <si>
    <t>SILVESTRI SERGIO ALBERTO</t>
  </si>
  <si>
    <t>OPERADORA DE ESTAC DE SERVICIOS SA</t>
  </si>
  <si>
    <t>VENTAS "EXPORTACION"</t>
  </si>
  <si>
    <t>PAPELERA CUMBRE S.A.</t>
  </si>
  <si>
    <t>MAMANI PAULA ANALIA</t>
  </si>
  <si>
    <t>VANALEX PISCINAS S.R.L.</t>
  </si>
  <si>
    <t>MUNDO PLASTIC SRL</t>
  </si>
  <si>
    <t>PELAEZ ESTEBAN CRUZ</t>
  </si>
  <si>
    <t>ROSENBERG PEDRO ROBERTO</t>
  </si>
  <si>
    <t>WITPEL S.R.L.</t>
  </si>
  <si>
    <t>K.R. S. R. L.</t>
  </si>
  <si>
    <t>IDENTIMAX SA</t>
  </si>
  <si>
    <t>CORUSCANT  S. A.</t>
  </si>
  <si>
    <t>GONZALEZ GALENO ALBERTO JOSE</t>
  </si>
  <si>
    <t>BIANCHI CRISTIAN MAXIMILIANO</t>
  </si>
  <si>
    <t>DROVER SA</t>
  </si>
  <si>
    <t>LUGARES URBANOS S.A.</t>
  </si>
  <si>
    <t>ARIAUDO SERGIO ESTEBAN</t>
  </si>
  <si>
    <t>CARNEVALE MABEL HAYDEE</t>
  </si>
  <si>
    <t>BOTINDARI FEDERICO DANIEL</t>
  </si>
  <si>
    <t>GUMA DANIEL</t>
  </si>
  <si>
    <t>ABAD TEJIDOS SOCIEDAD ANONIMA COMERCIAL INDUSTRIAL FINANCIERA INMOBILIARIA</t>
  </si>
  <si>
    <t>GLOBAL OIL S.R.L</t>
  </si>
  <si>
    <t>OURGRAPH SRL</t>
  </si>
  <si>
    <t>PLASTICOS BAN PLAST SRL</t>
  </si>
  <si>
    <t>TEXTIL MANZONE S. R. L.</t>
  </si>
  <si>
    <t>BAMBU ARGENTINA S.A.</t>
  </si>
  <si>
    <t>INDIGO TRADE S.A.</t>
  </si>
  <si>
    <t>ARAYA SERGIO ALEJANDRO</t>
  </si>
  <si>
    <t>LATINLED SRL</t>
  </si>
  <si>
    <t>MOLINA AGUIRRE ERIC LEANDRO</t>
  </si>
  <si>
    <t>SEDEX ARGENTINA SA</t>
  </si>
  <si>
    <t>CERRO LINDO S. A. S.</t>
  </si>
  <si>
    <t>PROYECTAMAR S.R.L.</t>
  </si>
  <si>
    <t>CLUB HOUSE GROUP S.A.S.</t>
  </si>
  <si>
    <t>PLAMETEC S.A.</t>
  </si>
  <si>
    <t>SOLO POR MAYOR SRL</t>
  </si>
  <si>
    <t>AWARE SOLUTIONS S.R.L.</t>
  </si>
  <si>
    <t>IMAS SOCIEDAD DE RESPONSABILIDAD LIMITADA</t>
  </si>
  <si>
    <t>YAPURA ZAHIRA DE LOS ANGELES</t>
  </si>
  <si>
    <t>KAPRIELIAN SILVINA</t>
  </si>
  <si>
    <t>CATEDRAL ALTA PATAGONIA SA</t>
  </si>
  <si>
    <t>VIPA INTERNATIONAL S.R.L.</t>
  </si>
  <si>
    <t>IMKR INSUMOS</t>
  </si>
  <si>
    <t>VILLALBA MARCELA</t>
  </si>
  <si>
    <t>BARTILOTTA ARIEL FERNANDO</t>
  </si>
  <si>
    <t>KASSAB SEBASTIAN EDUARDO</t>
  </si>
  <si>
    <t>CHEMECO SOCIEDAD ANONIMA</t>
  </si>
  <si>
    <t>BAZAR Y CIA. S.A.</t>
  </si>
  <si>
    <t>FLORDEPAPELERA S.R.L.</t>
  </si>
  <si>
    <t>CESPEDES PEÑALOZA CARMEN CAROLINA</t>
  </si>
  <si>
    <t>TINECRO S.A.</t>
  </si>
  <si>
    <t>FILET DE MERLUZA S.R.L.</t>
  </si>
  <si>
    <t>GRUPO DE REPUESTOS EL MELLIZO</t>
  </si>
  <si>
    <t>MILOSCAN SRL</t>
  </si>
  <si>
    <t>DISTRIBUIDORA DE BEBIDAS SRL</t>
  </si>
  <si>
    <t>GIANFRANCISCO XIMENA MARIEL</t>
  </si>
  <si>
    <t>MILEX S A</t>
  </si>
  <si>
    <t>SERCAP INSUMOS SRL</t>
  </si>
  <si>
    <t>BARUCCO NORBERTO MATIAS</t>
  </si>
  <si>
    <t>CASASNOVAS JUAN PABLO</t>
  </si>
  <si>
    <t>ROMITELLI JUAN IGNACIO</t>
  </si>
  <si>
    <t>TONDINI FERNANDO</t>
  </si>
  <si>
    <t>ESTACION SA</t>
  </si>
  <si>
    <t>BVL</t>
  </si>
  <si>
    <t>AIRES MODERNOS</t>
  </si>
  <si>
    <t xml:space="preserve">LIN QIN </t>
  </si>
  <si>
    <t>ANDESMAR CARGAS</t>
  </si>
  <si>
    <t>MARCELO FABIAN MANAU</t>
  </si>
  <si>
    <t xml:space="preserve">GOMERIA LUIGI de EUSEBIO MAMANI </t>
  </si>
  <si>
    <t>NIEVA EZEQUIEL ERNESTO</t>
  </si>
  <si>
    <t>JORGE PIRRI Y CUA SRL</t>
  </si>
  <si>
    <t xml:space="preserve">MANAFRATHI SRL </t>
  </si>
  <si>
    <t>ESTACIONAMIENTO</t>
  </si>
  <si>
    <t>GRUPO NORTE SRL</t>
  </si>
  <si>
    <t>CHICHIAN SA</t>
  </si>
  <si>
    <t>TRONADOR SA COMERCIAL</t>
  </si>
  <si>
    <t>HIK SECURITY</t>
  </si>
  <si>
    <t>ANILE PABLO ADOLFO</t>
  </si>
  <si>
    <t>BUDAS KINGDOM SRL</t>
  </si>
  <si>
    <t>CAPPI HECTOR FELIX</t>
  </si>
  <si>
    <t>MIL RUEDAS SRL</t>
  </si>
  <si>
    <t>FERRETERIA TANDIL SRL</t>
  </si>
  <si>
    <t>DEVOTO STATION SA</t>
  </si>
  <si>
    <t>FRIGORIFICO COSTANZO SA</t>
  </si>
  <si>
    <t>TELESMART</t>
  </si>
  <si>
    <t>AINSTEIN MARCELO</t>
  </si>
  <si>
    <t>BIANCHI HECTOR HERNAN</t>
  </si>
  <si>
    <t>SECURITY NOW SA</t>
  </si>
  <si>
    <t>LA IMPRENTA YA SA</t>
  </si>
  <si>
    <t>INSUMOS SERVICOMP SA</t>
  </si>
  <si>
    <t>ZINOVEEV SDRAVCOV MAURO MAXIMI</t>
  </si>
  <si>
    <t>BL8 SOLUCIONES</t>
  </si>
  <si>
    <t>NALE SA</t>
  </si>
  <si>
    <t>VICDA ARGENTINA SRL</t>
  </si>
  <si>
    <t>ITPROUSER S.A.</t>
  </si>
  <si>
    <t>SUPERFOTO S R L</t>
  </si>
  <si>
    <t>GRUA DIEGO PABLO</t>
  </si>
  <si>
    <t>PAREJO LUCAS ARIEL ESTEBAN</t>
  </si>
  <si>
    <t>PANIZO DIEGO SEBASTIAN</t>
  </si>
  <si>
    <t>CAVA BERNARDO</t>
  </si>
  <si>
    <t>ELECTRO SERVICE M&amp;E SRL.</t>
  </si>
  <si>
    <t>GONGZHU TECH DEVELOPMENT</t>
  </si>
  <si>
    <t>BORZACCHINI NOELIA VERONICA</t>
  </si>
  <si>
    <t>POLGRAF SOCIEDAD DE HECHO DE HOMOLA CHRISTIAN HERNAN Y HOMOLA MARCELO JULIO</t>
  </si>
  <si>
    <t>HADDAD MARIA EUGENIA</t>
  </si>
  <si>
    <t>ORTIZ SEBASTIAN GERARDO</t>
  </si>
  <si>
    <t>PASTORINO CANE FRANCISCO JAVIER</t>
  </si>
  <si>
    <t>ONETO TOMAS AUGUSTO</t>
  </si>
  <si>
    <t>GRUPO TAM  SRL</t>
  </si>
  <si>
    <t>STENDEL JULIAN RODOLFO</t>
  </si>
  <si>
    <t>MURCHISON S A ESTIBAJES Y CARGAS INDUSTRIAL Y COMERCIAL</t>
  </si>
  <si>
    <t>MAKE YOU SRL</t>
  </si>
  <si>
    <t>PARTES DE NOTEBOOKS S.A.</t>
  </si>
  <si>
    <t>GECEDATA SRL</t>
  </si>
  <si>
    <t>SPENA FERNANDO ARIEL</t>
  </si>
  <si>
    <t>IDEAS Y DISEÑOS SRL</t>
  </si>
  <si>
    <t>URRUTIA DANIEL ALBERTO</t>
  </si>
  <si>
    <t>SPORTS &amp;  ADVENTURE   SA</t>
  </si>
  <si>
    <t>LA COBACHA INSUMOS S.R.L.</t>
  </si>
  <si>
    <t>AGUILAR DIANA ANGELA</t>
  </si>
  <si>
    <t>ELECTRO VOLTAJE 2021</t>
  </si>
  <si>
    <t>LA OPTICA S.A.</t>
  </si>
  <si>
    <t>CLUSTER ARGENTINA S.R.L.</t>
  </si>
  <si>
    <t>ENTELANDO IDEAS S.R.L.</t>
  </si>
  <si>
    <t>HECTOR HALABE Y OTROS</t>
  </si>
  <si>
    <t>DE LUCA HECTOR RAFAEL FRANCI</t>
  </si>
  <si>
    <t>GOMEZ JOSE MARIA</t>
  </si>
  <si>
    <t>SARMIENTO 820 FASE 3 S.A.</t>
  </si>
  <si>
    <t>AGUGAS SA</t>
  </si>
  <si>
    <t>CENTRALFER SA</t>
  </si>
  <si>
    <t>GONZALEZ PATRICIA NOEMI</t>
  </si>
  <si>
    <t>DIEZ CAROLINA BEATRIZ</t>
  </si>
  <si>
    <t>VENTAS "Z"</t>
  </si>
  <si>
    <t>RUT 77.005.326-9 TECNOESTETICA LTDA.</t>
  </si>
  <si>
    <t>NO TENIAN CUIT PARA CARGARLAS AL PI</t>
  </si>
  <si>
    <t>HERRAJES MAGLIOLA  S A</t>
  </si>
  <si>
    <t>BASUALDO JORGE RAMON</t>
  </si>
  <si>
    <t>CASTILLO SANTIAGO JESUS</t>
  </si>
  <si>
    <t>LOZA MIGUEL MATEO</t>
  </si>
  <si>
    <t>BARRI EMILIANO Y BARRI FEDERICO SH</t>
  </si>
  <si>
    <t>EL UNIVERSO DEL CONTROL REMOTO SRL</t>
  </si>
  <si>
    <t>PANELLA MARIA CAROLINA</t>
  </si>
  <si>
    <t>SOTO DELAPORTE KARINA IRENE</t>
  </si>
  <si>
    <t>GRUPO LEDUFT SA</t>
  </si>
  <si>
    <t>ELIAS AGUSTIN FARIAS DUARTE</t>
  </si>
  <si>
    <t>ASERRADERO JARDIN SRL</t>
  </si>
  <si>
    <t>BUMERAN.COM ARGENTINA SA</t>
  </si>
  <si>
    <t>PINTURERIAS MAFER SA</t>
  </si>
  <si>
    <t>FRIGORIFICO ALIMENTIC</t>
  </si>
  <si>
    <t>LIVERPOOL EXPRESS SRL</t>
  </si>
  <si>
    <t>FERREMUNDO SRL</t>
  </si>
  <si>
    <t>CRASSI SRL</t>
  </si>
  <si>
    <t>WALJUL</t>
  </si>
  <si>
    <t>EDUARDO S CAZALA SACIFel</t>
  </si>
  <si>
    <t>CRAFTERS ARG SAS</t>
  </si>
  <si>
    <t>TENDEX SA</t>
  </si>
  <si>
    <t>CARRIZO GUSTAVO ADRIAN</t>
  </si>
  <si>
    <t>UNION QUIMICA ARGENTINA SRL</t>
  </si>
  <si>
    <t>CPT INTEGRAL SA</t>
  </si>
  <si>
    <t>UMP SOLUTIONS &amp; SUPPLIES SRL</t>
  </si>
  <si>
    <t>ANTEDORO JEREMIAS FABIAN</t>
  </si>
  <si>
    <t>NOVU SRL</t>
  </si>
  <si>
    <t>ROPERIA S.A.S.</t>
  </si>
  <si>
    <t>SILVA SRL</t>
  </si>
  <si>
    <t>BOLLO OSVALDO</t>
  </si>
  <si>
    <t>SUPERMERCADOS MAYORISTAS YAGUAR SOCIEDAD ANONIMA</t>
  </si>
  <si>
    <t>CASIU S.A.</t>
  </si>
  <si>
    <t>CORREA SEBASTIAN NORBERTO</t>
  </si>
  <si>
    <t>COMO ARENA DEL MAR S.R.L.</t>
  </si>
  <si>
    <t>PIRON MARIA NATALIA ROMINA</t>
  </si>
  <si>
    <t>GROUP MOBILE S.A.</t>
  </si>
  <si>
    <t>DMAKER S.A.</t>
  </si>
  <si>
    <t>GRUPO COLORADO SA</t>
  </si>
  <si>
    <t>BURNET MICHAUT GASTON KURT</t>
  </si>
  <si>
    <t>MULTI C</t>
  </si>
  <si>
    <t>BERNSTEIN FERNANDO GABRIEL</t>
  </si>
  <si>
    <t>TRACOLOR S.A.</t>
  </si>
  <si>
    <t>VEGA GUSTAVO RAUL</t>
  </si>
  <si>
    <t>LABORATORIOS COTTON FIELDS S.A.</t>
  </si>
  <si>
    <t>ROMERA WALTER LEONARDO</t>
  </si>
  <si>
    <t>CASAS MARIA DEL CARMEN</t>
  </si>
  <si>
    <t>OSSANDON ROBERTO SAUL</t>
  </si>
  <si>
    <t>GARCIA JUAN MANUEL</t>
  </si>
  <si>
    <t>ALBARRACIN ARIEL EDUARDO</t>
  </si>
  <si>
    <t>CYGNUS ELECTRONICS S.A.</t>
  </si>
  <si>
    <t>PIFVA SA</t>
  </si>
  <si>
    <t>RUIZ LADY ARACELI</t>
  </si>
  <si>
    <t>ANGEL BLUE S.R.L.</t>
  </si>
  <si>
    <t>GUIDO TOMAS GIORDANO Y KEVIN BALCKER</t>
  </si>
  <si>
    <t>DOBARRO PAULA MARCELA</t>
  </si>
  <si>
    <t>HERMAN ALEJANDRO GUSTAVO</t>
  </si>
  <si>
    <t>JULIO FERNANDO FABIAN</t>
  </si>
  <si>
    <t>PRADO EMILIANO HERNAN</t>
  </si>
  <si>
    <t>LEZAMA ENERGIA SA</t>
  </si>
  <si>
    <t>REFINERIA BAHIA BLANCA SA</t>
  </si>
  <si>
    <t>IGT33 SA</t>
  </si>
  <si>
    <t>ACONQUIJA CLUB DE VUELO Y AVENTURA ASOCIACION CIVIL</t>
  </si>
  <si>
    <t>MULTIPOINT SA</t>
  </si>
  <si>
    <t>CORANA HERNAN SILVIO</t>
  </si>
  <si>
    <t>TODOSECO S.A.</t>
  </si>
  <si>
    <t>MARANSI S.A.</t>
  </si>
  <si>
    <t>PERFIMET COMERCIAL E INDUSTRIAL S R L</t>
  </si>
  <si>
    <t>FARFAN MARIA ELSA</t>
  </si>
  <si>
    <t>JOTAPLAY SOCIEDAD ANONIMA</t>
  </si>
  <si>
    <t>CAOBA GROUP SRL</t>
  </si>
  <si>
    <t>GRUPO TRI&amp;CO S.A.</t>
  </si>
  <si>
    <t>ESTACION DE SERVICIO SAN LUIS SRL</t>
  </si>
  <si>
    <t>TAN SONGLIN</t>
  </si>
  <si>
    <t>ONE STEP ARGENTINA SA</t>
  </si>
  <si>
    <t>MOVIL GAS S.A.</t>
  </si>
  <si>
    <t>ESTACION DE SERVICIO AXION KUKE SRL</t>
  </si>
  <si>
    <t>PASTA MIX S.A.</t>
  </si>
  <si>
    <t>TUSTANOSKI BEATRIZ NOEMI</t>
  </si>
  <si>
    <t>PEM PRODUCTOS ELECTRICOS S.A.</t>
  </si>
  <si>
    <t>BARABAS HNOS S.R.L.</t>
  </si>
  <si>
    <t>GANUZA KARINA ANDREA</t>
  </si>
  <si>
    <t>BARABAS HNOS DE BARABAS EDUARDO,  BARABAS CARLOS Y HORACIO BARABAS SOC  DE HECHO</t>
  </si>
  <si>
    <t>CAMINOS DEL RIO URUGUAY S A DE CONSTRUCCIONES Y CONCESIONES VIALES</t>
  </si>
  <si>
    <t>LIBRERIA EL COLEGIO AVELLANEDA S.R.L.</t>
  </si>
  <si>
    <t>TUTTO CERAMICAS SRL</t>
  </si>
  <si>
    <t>CASTILLO S A C I F I A</t>
  </si>
  <si>
    <t>SELEM DAVID FERNANDO</t>
  </si>
  <si>
    <t>CEVEN SA</t>
  </si>
  <si>
    <t>GOLONOR S.A.</t>
  </si>
  <si>
    <t>FISDEL LIONEL Y FISDEL MARIO S H</t>
  </si>
  <si>
    <t>GAMA26 SRL</t>
  </si>
  <si>
    <t>OPORTO PABLO ALFREDO</t>
  </si>
  <si>
    <t>SUCESION DE FORNO OSCAR FELIX</t>
  </si>
  <si>
    <t>GOOGLE ARGENTINA S.R.L.</t>
  </si>
  <si>
    <t>PREITI MICAELA ORIANA</t>
  </si>
  <si>
    <t>FERRETERIA LA ESQUINA S.R.L.</t>
  </si>
  <si>
    <t>GNC EL TALAR SA</t>
  </si>
  <si>
    <t>UBR SOCIEDAD ANONIMA</t>
  </si>
  <si>
    <t>NUEVOS EMPRENDIMIENTOS SRL</t>
  </si>
  <si>
    <t>NOCEDA SA</t>
  </si>
  <si>
    <t>SUPERMERCADOS EL ABASTECEDOR SA</t>
  </si>
  <si>
    <t>FOLGEN SA</t>
  </si>
  <si>
    <t>BOUVET COMBUSTIBLES SAS</t>
  </si>
  <si>
    <t>PICALI Y ASOCIADOS S.R.L.</t>
  </si>
  <si>
    <t>FIRST LABEL S.R.L.</t>
  </si>
  <si>
    <t>CHIARA STELLA MARIO ROBERTO</t>
  </si>
  <si>
    <t>CARLONI GERMAN JAVIER</t>
  </si>
  <si>
    <t>UNIPASE S.A.</t>
  </si>
  <si>
    <t>INTEGRAL PACK EXPRESS S.A.</t>
  </si>
  <si>
    <t>MASIVOS S A</t>
  </si>
  <si>
    <t>EXAHOME SRL</t>
  </si>
  <si>
    <t>DESSINS CARTELERIA S.R.L.</t>
  </si>
  <si>
    <t>BOCCOLI JOSE Y BOCCOLI LILIANA SOCIEDAD DE HECHO</t>
  </si>
  <si>
    <t>ARISPE CAMACHO ENMANUEL ALEJANDRO</t>
  </si>
  <si>
    <t>DE PAOLA JOSE</t>
  </si>
  <si>
    <t>DESCARTABLES Y EMBALAJES SAN ISIDRO S.R.L.</t>
  </si>
  <si>
    <t>PINTURERIAS MINUTO SRL</t>
  </si>
  <si>
    <t>OBRAS ACUSTICAS SRL</t>
  </si>
  <si>
    <t>IMPORTADORA FOTOGRAFICA SOCIEDAD ANONIMA</t>
  </si>
  <si>
    <t>BBVA -LIQ VISA</t>
  </si>
  <si>
    <t>DENIM BLUE SRL</t>
  </si>
  <si>
    <t>FLORES CLAUDIA GRACIELA</t>
  </si>
  <si>
    <t>D'AGOSTINO PAULA</t>
  </si>
  <si>
    <t>DAMARFU SA</t>
  </si>
  <si>
    <t>A.L.G. INDUMENTARIAS S.R.L.</t>
  </si>
  <si>
    <t>RODRIGUEZ ALBERTO DANIEL</t>
  </si>
  <si>
    <t>GENTILE DARIO HORACIO</t>
  </si>
  <si>
    <t>MORENO MIGUEL ANGEL</t>
  </si>
  <si>
    <t>EXPO MADERA DE ALMENDRO JORGE MAGLIO PEDRO MAGLIO GREGORIO</t>
  </si>
  <si>
    <t>GOMERIAS NEUMEN S A</t>
  </si>
  <si>
    <t>SATURNINO CABEZON S A</t>
  </si>
  <si>
    <t>ODINROXS PROFESIONAL S.R.L.</t>
  </si>
  <si>
    <t>OMNICHANNEL S.A.</t>
  </si>
  <si>
    <t>TROTTA SALVADOR</t>
  </si>
  <si>
    <t>PINTURERIA NORTE S R L</t>
  </si>
  <si>
    <t>DURAN RAMOS LUIS ALBERTO</t>
  </si>
  <si>
    <t>DAYER ALEJANDRO GERMAN</t>
  </si>
  <si>
    <t>EBOX S.A.</t>
  </si>
  <si>
    <t>PASCUCCIO RUBEN HORACIO</t>
  </si>
  <si>
    <t>NOZIGLIA LEANDRO EZEQUIEL</t>
  </si>
  <si>
    <t>RODRIGUEZ ADRIAN ALBERTO</t>
  </si>
  <si>
    <t>COMERCIAL MGM S.R.L</t>
  </si>
  <si>
    <t>SAFDIE DAVID GABRIEL</t>
  </si>
  <si>
    <t>SERVIFER SOCIEDAD ANONIMA</t>
  </si>
  <si>
    <t>INSUMA SUR SA</t>
  </si>
  <si>
    <t>CORDOBA MOTOS S.R.L.</t>
  </si>
  <si>
    <t>FERNANDEZ RICARDO ADRIAN</t>
  </si>
  <si>
    <t>GHERTNER SEBASTIAN</t>
  </si>
  <si>
    <t>SALAZAR CORNEJO AROLDO, MOLINA ROBERTO CRISTIAN Y RUSCITTO JUAN MANUEL  S. CAP I SECC IV</t>
  </si>
  <si>
    <t>PLACAS AUDAX 3000 S.A.</t>
  </si>
  <si>
    <t>STENDY</t>
  </si>
  <si>
    <t>BUSTAMANTE PABLO RODRIGO</t>
  </si>
  <si>
    <t>AVENIDA MAIPU 4199 S C S</t>
  </si>
  <si>
    <t>CENTRO DE DISTRIBUCION SUR S R L</t>
  </si>
  <si>
    <t>MEDINA JULIO RICARDO</t>
  </si>
  <si>
    <t>DEPOSITO FISCAL BUENOS AIRES SA</t>
  </si>
  <si>
    <t>CAROSIO ROSANA BEATRIZ</t>
  </si>
  <si>
    <t>XTR SRL</t>
  </si>
  <si>
    <t>PERRONE LUCAS</t>
  </si>
  <si>
    <t>THE PREMIUM GOODS S.R.L.</t>
  </si>
  <si>
    <t>DECOR ALUM SRL</t>
  </si>
  <si>
    <t>CAMARA ARGENTINA DE COMERCIO Y SERVICIOS</t>
  </si>
  <si>
    <t>KARAM ASMAR MAIKEL GORGE</t>
  </si>
  <si>
    <t>LAHITTE MARIO ALBERTO</t>
  </si>
  <si>
    <t>CORLETTO ROMINA ALEJANDRA</t>
  </si>
  <si>
    <t>CASTILLO MARIANO JAVIER</t>
  </si>
  <si>
    <t>KALAYDJIAN JUAN JOSE</t>
  </si>
  <si>
    <t>VAZQUEZ EDUARDO HUGO</t>
  </si>
  <si>
    <t>VIGORELLI GUILLERMO DANIEL</t>
  </si>
  <si>
    <t>PINAR S R L</t>
  </si>
  <si>
    <t>NYT ARDILA S.R.L.</t>
  </si>
  <si>
    <t>CIUDAD DE JUEGOS S. R. L.</t>
  </si>
  <si>
    <t>DANLAY SRL</t>
  </si>
  <si>
    <t>BOSAN SA</t>
  </si>
  <si>
    <t>ELECTRICIDAD TRIBUNALES SA</t>
  </si>
  <si>
    <t>ANDREANI LOGISTICA SA</t>
  </si>
  <si>
    <t>COMERCIAL REPUBLICA S.R.L.</t>
  </si>
  <si>
    <t>SEGOBIA MARTIN DAMIAN</t>
  </si>
  <si>
    <t>HERRAMIENTAS DEL SUR S.A.</t>
  </si>
  <si>
    <t>HERRAJES CAME S.A.</t>
  </si>
  <si>
    <t>REIRIS HECTOR JUAN</t>
  </si>
  <si>
    <t>ADACHI NICOLAS EZEQUIEL</t>
  </si>
  <si>
    <t>MICELI DARIO FRANCISCO</t>
  </si>
  <si>
    <t>GUTIERREZ SEBASTIAN VALENTIN</t>
  </si>
  <si>
    <t>ROMANO SEBASTIAN ANTONIO</t>
  </si>
  <si>
    <t>GEMEZ SA</t>
  </si>
  <si>
    <t>ALVEZ ARIANA SOL</t>
  </si>
  <si>
    <t>SOLANS SEBASTIAN DARIO</t>
  </si>
  <si>
    <t>MORETTI PATRICIO EZEQUIEL</t>
  </si>
  <si>
    <t>ELECTRICIDAD JUJUY S A C E I</t>
  </si>
  <si>
    <t>VISA GALICIA</t>
  </si>
  <si>
    <t>MURRUNI NICODEMO</t>
  </si>
  <si>
    <t>GADARO S.A.</t>
  </si>
  <si>
    <t>BISTRO S. A.</t>
  </si>
  <si>
    <t>CONBRA S A</t>
  </si>
  <si>
    <t>NUCLEOGAMER S.R.L</t>
  </si>
  <si>
    <t>A.HARTRODT ARGENTINA S.A</t>
  </si>
  <si>
    <t>METROGAS S A</t>
  </si>
  <si>
    <t>TESORIERO EZEQUIEL MATIAS</t>
  </si>
  <si>
    <t>GARCIA HOURQUET MARIA JOSE</t>
  </si>
  <si>
    <t>HOMEBRAND S.A.S.</t>
  </si>
  <si>
    <t>CAMPOS ANTONIO ARIEL ALEJANDRO</t>
  </si>
  <si>
    <t>BOTINDARI JUAN IGNACIO</t>
  </si>
  <si>
    <t>MICROELECTRONICA COMPONENTES S.R.L.</t>
  </si>
  <si>
    <t>MAZALOSA S A</t>
  </si>
  <si>
    <t>TRIVIGNO ADRIAN</t>
  </si>
  <si>
    <t>JAZIN BEATRIZ</t>
  </si>
  <si>
    <t>LEICO S.R.L.</t>
  </si>
  <si>
    <t>KADIMA STUFF S.R.L.</t>
  </si>
  <si>
    <t>SMART IT SOLUTIONS S.R.L</t>
  </si>
  <si>
    <t>BS AS PRO AUDIO S.R.L</t>
  </si>
  <si>
    <t>CARLONE PABLO ADRIAN</t>
  </si>
  <si>
    <t>REDNET SRL</t>
  </si>
  <si>
    <t>KIRICOCHO S.R.L.</t>
  </si>
  <si>
    <t>NATURAL BOTANICS SRL</t>
  </si>
  <si>
    <t>TORONTO NATURAL S.R.L</t>
  </si>
  <si>
    <t>TELEFONIA QUILMES SA</t>
  </si>
  <si>
    <t>HIJOS DE ADOLFO KIRCHUK SRL</t>
  </si>
  <si>
    <t>MAÑA LEONARDO ISAAC</t>
  </si>
  <si>
    <t>Lauma Group LLC</t>
  </si>
  <si>
    <t>Columna2</t>
  </si>
  <si>
    <t>A G M MOTOS S R L</t>
  </si>
  <si>
    <t>CORREA CARLOS OSVALDO</t>
  </si>
  <si>
    <t> 30500001735</t>
  </si>
  <si>
    <t>PARAVANO HUGO RODOLFO</t>
  </si>
  <si>
    <t>VEGA LUCAS EMMANUEL</t>
  </si>
  <si>
    <t>ONSAY BEL SA</t>
  </si>
  <si>
    <t xml:space="preserve">MUIΥOS JUAN V. </t>
  </si>
  <si>
    <t>FRAIRE MARIO ANDRES</t>
  </si>
  <si>
    <t>Dadone Marco Polo</t>
  </si>
  <si>
    <t>D.J.P.</t>
  </si>
  <si>
    <t>Telecom Personal S.A.</t>
  </si>
  <si>
    <t xml:space="preserve">JARCHUM NICOLAS </t>
  </si>
  <si>
    <t>Go Ideas SRL</t>
  </si>
  <si>
    <t>DAFER S.A</t>
  </si>
  <si>
    <t>UTITES SRL</t>
  </si>
  <si>
    <t xml:space="preserve">PAPELERA PACKPEL </t>
  </si>
  <si>
    <t xml:space="preserve">BP IMPORT SRL </t>
  </si>
  <si>
    <t xml:space="preserve">LISANDRO VELASCO </t>
  </si>
  <si>
    <t>VEGA SANDRA ELIZABETH</t>
  </si>
  <si>
    <t>JM FACTIRY S.R.L.</t>
  </si>
  <si>
    <t>RAMIREZ LAURA VERONICA</t>
  </si>
  <si>
    <t>BELATTI FABIO JOEL</t>
  </si>
  <si>
    <t>VICTOR MASSON TRANSPORTES CRUZ DEL SUR S A</t>
  </si>
  <si>
    <t>MEDICINA RICARDO FLORENCIO</t>
  </si>
  <si>
    <t>CUSATI MARIA TERESA</t>
  </si>
  <si>
    <t>DELETRAZ JULIAN NAHUEL</t>
  </si>
  <si>
    <t>CIEN POR CIENTO FOLLETOS SRL</t>
  </si>
  <si>
    <t>WORLD ONE TRADE</t>
  </si>
  <si>
    <t>ATAWALLPA PAPELES SA</t>
  </si>
  <si>
    <t>PEZZELATTO RICARDO OMAR</t>
  </si>
  <si>
    <t>MESAS VIEJAS S. A.</t>
  </si>
  <si>
    <t>HOTELERA NEPTUNO MDP SOCIEDAD ANONIMA</t>
  </si>
  <si>
    <t>FERNANDEZ CAMPON LUIS MARIA</t>
  </si>
  <si>
    <t>KITA S.R.L.</t>
  </si>
  <si>
    <t>HOKAMA ROMINA PAOLA</t>
  </si>
  <si>
    <t>FERRETERIA Y PINTURERIA PATRICIOS S A</t>
  </si>
  <si>
    <t>ANSELMI GABRIEL SERGIO</t>
  </si>
  <si>
    <t>BIGUA CAMPESTRE S.A.</t>
  </si>
  <si>
    <t>PUNTO TRES SRL</t>
  </si>
  <si>
    <t>SASUAR SRL</t>
  </si>
  <si>
    <t>FERRETTI HERNAN MARIO</t>
  </si>
  <si>
    <t>NORSUPPLY SRL</t>
  </si>
  <si>
    <t>ALQUILO TODO S R L</t>
  </si>
  <si>
    <t>CASA MAYO GROUP S.R.L.</t>
  </si>
  <si>
    <t>DINATECH SA</t>
  </si>
  <si>
    <t>BIONOVA SOCIEDAD POR ACCIONES SIMPLIFICADA</t>
  </si>
  <si>
    <t>ZALTSMAN AMELIA LILIANA</t>
  </si>
  <si>
    <t>SOL ESTUDIO CREATIVO S. CAP I SECC IV</t>
  </si>
  <si>
    <t>LEAL FUENTES FRANCISCO JAVIER</t>
  </si>
  <si>
    <t>CARGAS DEL SUR SRL</t>
  </si>
  <si>
    <t>D.ME.D. S.R.L</t>
  </si>
  <si>
    <t>ED GAR SOCIEDAD ANONIMA</t>
  </si>
  <si>
    <t>GRIDEL WALTER DIEGO</t>
  </si>
  <si>
    <t>GRUPO MEXX S.R.L</t>
  </si>
  <si>
    <t>THEISEN DINORA GISELLE</t>
  </si>
  <si>
    <t>HEYCO LATAM S.A.</t>
  </si>
  <si>
    <t>MONREAL GRACIELA LILIANA</t>
  </si>
  <si>
    <t>BAZAR AVENIDA SA</t>
  </si>
  <si>
    <t>DISTRIBUIDORA ACCOR DE CESAR PABLO ROCCA Y NAHUEL PABLO ROCCA SOC HECHO</t>
  </si>
  <si>
    <t>POSVENT SOLUCIONES S.R.L</t>
  </si>
  <si>
    <t>HONRE S.A</t>
  </si>
  <si>
    <t>ROMERO NELSON MARIA</t>
  </si>
  <si>
    <t>ENCENDIDO LAS CASAS S.R.L.</t>
  </si>
  <si>
    <t>MARANGONE ALBERTO</t>
  </si>
  <si>
    <t>CAEIRO ANA JULIA</t>
  </si>
  <si>
    <t>SEDAFE</t>
  </si>
  <si>
    <t>ONDA BLANCA SA</t>
  </si>
  <si>
    <t>LOPEZ MARIA PIA</t>
  </si>
  <si>
    <t>MALDONADO CARMINATTI PAULA MARCELA</t>
  </si>
  <si>
    <t>SPINELLI DANTE NICOLAS PABLO</t>
  </si>
  <si>
    <t>ONE VISION S.R.L.</t>
  </si>
  <si>
    <t>SOUL DESIGN S. R. L.</t>
  </si>
  <si>
    <t>ALMARZA MAXIMILIANO ROBERTO EDGARDO</t>
  </si>
  <si>
    <t>BOCCACCI CARLOS FRANCISCO</t>
  </si>
  <si>
    <t>PRODUCTOS ELECTRONICOS SRL</t>
  </si>
  <si>
    <t>G - COMMERCE S.A.</t>
  </si>
  <si>
    <t>FERRIMAQ SRL</t>
  </si>
  <si>
    <t>CASTILLO JOSE MANUEL</t>
  </si>
  <si>
    <t>CASTILLO BERTA YOLANDA</t>
  </si>
  <si>
    <t>SALDAÑO JEREMIAS</t>
  </si>
  <si>
    <t>QUIRINO CARLOS ALBERTO</t>
  </si>
  <si>
    <t>PAREDES VIDES MARIO ISIDORO</t>
  </si>
  <si>
    <t>PORTALEZ ENRIQUE HUGO</t>
  </si>
  <si>
    <t>BIGBOX S.A.</t>
  </si>
  <si>
    <t>MATURANO MARCELO RAUL</t>
  </si>
  <si>
    <t>PASTORIZA ALEJANDRO JAVIER</t>
  </si>
  <si>
    <t>CHINCHILLAS ELDORADO SRL</t>
  </si>
  <si>
    <t>SUMINISTROS WHITE S.A.</t>
  </si>
  <si>
    <t>MCBA S.R.L.</t>
  </si>
  <si>
    <t>DEL NEGRO Y LA GORDA SRL</t>
  </si>
  <si>
    <t>AGUACA MANA S. A.</t>
  </si>
  <si>
    <t>DESALVO SARA NOEMI</t>
  </si>
  <si>
    <t>NO BAJAR LOS BRAZOS S.R.L.</t>
  </si>
  <si>
    <t>AVERZA GUSTAVO ADRIAN</t>
  </si>
  <si>
    <t>Quimica Oeste S.A.</t>
  </si>
  <si>
    <t>EXTRACTO SANTANDER</t>
  </si>
  <si>
    <t>BBVA VISA</t>
  </si>
  <si>
    <t>EXTRACTO GALICIA</t>
  </si>
  <si>
    <t>SANTANDER GETNET</t>
  </si>
  <si>
    <t>EXTRACTO BBVA</t>
  </si>
  <si>
    <t>02/01/2025</t>
  </si>
  <si>
    <t>03/01/2025</t>
  </si>
  <si>
    <t>06/01/2025</t>
  </si>
  <si>
    <t>11/01/2025</t>
  </si>
  <si>
    <t>14/01/2025</t>
  </si>
  <si>
    <t>15/01/2025</t>
  </si>
  <si>
    <t>16/01/2025</t>
  </si>
  <si>
    <t>21/01/2025</t>
  </si>
  <si>
    <t>23/01/2025</t>
  </si>
  <si>
    <t>28/01/2025</t>
  </si>
  <si>
    <t>29/01/2025</t>
  </si>
  <si>
    <t>01/01/2025</t>
  </si>
  <si>
    <t>05/01/2025</t>
  </si>
  <si>
    <t>07/01/2025</t>
  </si>
  <si>
    <t>08/01/2025</t>
  </si>
  <si>
    <t>09/01/2025</t>
  </si>
  <si>
    <t>10/01/2025</t>
  </si>
  <si>
    <t>13/01/2025</t>
  </si>
  <si>
    <t>17/01/2025</t>
  </si>
  <si>
    <t>18/01/2025</t>
  </si>
  <si>
    <t>20/01/2025</t>
  </si>
  <si>
    <t>22/01/2025</t>
  </si>
  <si>
    <t>24/01/2025</t>
  </si>
  <si>
    <t>27/01/2025</t>
  </si>
  <si>
    <t>30/01/2025</t>
  </si>
  <si>
    <t>31/01/2025</t>
  </si>
  <si>
    <t xml:space="preserve">BBVA VISA </t>
  </si>
  <si>
    <t>GALICIA NAVE</t>
  </si>
  <si>
    <t>LAS TIENEN ELLOS Y AFIP</t>
  </si>
  <si>
    <t>EL RESTO SON TODAS DE AFIP</t>
  </si>
  <si>
    <t>agregadas a afip</t>
  </si>
  <si>
    <t>03/02/2025</t>
  </si>
  <si>
    <t>04/02/2025</t>
  </si>
  <si>
    <t>07/02/2025</t>
  </si>
  <si>
    <t>10/02/2025</t>
  </si>
  <si>
    <t>13/02/2025</t>
  </si>
  <si>
    <t>14/02/2025</t>
  </si>
  <si>
    <t>16/02/2025</t>
  </si>
  <si>
    <t>19/02/2025</t>
  </si>
  <si>
    <t>24/02/2025</t>
  </si>
  <si>
    <t>25/02/2025</t>
  </si>
  <si>
    <t>26/02/2025</t>
  </si>
  <si>
    <t>27/02/2025</t>
  </si>
  <si>
    <t>28/02/2025</t>
  </si>
  <si>
    <t>NIEVE MARCELA SUSANA</t>
  </si>
  <si>
    <t>01/02/2025</t>
  </si>
  <si>
    <t>02/02/2025</t>
  </si>
  <si>
    <t>05/02/2025</t>
  </si>
  <si>
    <t>06/02/2025</t>
  </si>
  <si>
    <t>08/02/2025</t>
  </si>
  <si>
    <t>09/02/2025</t>
  </si>
  <si>
    <t>12/02/2025</t>
  </si>
  <si>
    <t>15/02/2025</t>
  </si>
  <si>
    <t>17/02/2025</t>
  </si>
  <si>
    <t>18/02/2025</t>
  </si>
  <si>
    <t>20/02/2025</t>
  </si>
  <si>
    <t>21/02/2025</t>
  </si>
  <si>
    <t>22/02/2025</t>
  </si>
  <si>
    <t>23/02/2025</t>
  </si>
  <si>
    <t xml:space="preserve">Extracto Santander </t>
  </si>
  <si>
    <t>Extracto Galicia</t>
  </si>
  <si>
    <t>Getnet - Santander</t>
  </si>
  <si>
    <t>Extracto BBVA</t>
  </si>
  <si>
    <t>Nave - Galicia</t>
  </si>
  <si>
    <t>Visa BBVA</t>
  </si>
  <si>
    <t>Agregadas a afip</t>
  </si>
  <si>
    <t>05/03/2025</t>
  </si>
  <si>
    <t>11/03/2025</t>
  </si>
  <si>
    <t>12/03/2025</t>
  </si>
  <si>
    <t>13/03/2025</t>
  </si>
  <si>
    <t>14/03/2025</t>
  </si>
  <si>
    <t>16/03/2025</t>
  </si>
  <si>
    <t>19/03/2025</t>
  </si>
  <si>
    <t>21/03/2025</t>
  </si>
  <si>
    <t>22/03/2025</t>
  </si>
  <si>
    <t>24/03/2025</t>
  </si>
  <si>
    <t>26/03/2025</t>
  </si>
  <si>
    <t>27/03/2025</t>
  </si>
  <si>
    <t>28/03/2025</t>
  </si>
  <si>
    <t>29/03/2025</t>
  </si>
  <si>
    <t>31/03/2025</t>
  </si>
  <si>
    <t>01/03/2025</t>
  </si>
  <si>
    <t>03/03/2025</t>
  </si>
  <si>
    <t>04/03/2025</t>
  </si>
  <si>
    <t>06/03/2025</t>
  </si>
  <si>
    <t>07/03/2025</t>
  </si>
  <si>
    <t>08/03/2025</t>
  </si>
  <si>
    <t>09/03/2025</t>
  </si>
  <si>
    <t>10/03/2025</t>
  </si>
  <si>
    <t>15/03/2025</t>
  </si>
  <si>
    <t>17/03/2025</t>
  </si>
  <si>
    <t>18/03/2025</t>
  </si>
  <si>
    <t>20/03/2025</t>
  </si>
  <si>
    <t>23/03/2025</t>
  </si>
  <si>
    <t>25/03/2025</t>
  </si>
  <si>
    <t>30/03/2025</t>
  </si>
  <si>
    <t xml:space="preserve"> </t>
  </si>
  <si>
    <t>SANTANDER - GETNET</t>
  </si>
  <si>
    <t>GALICIA - NAVE</t>
  </si>
  <si>
    <t>GALICIA - VISA</t>
  </si>
  <si>
    <t>03/04/2025</t>
  </si>
  <si>
    <t>04/04/2025</t>
  </si>
  <si>
    <t>06/04/2025</t>
  </si>
  <si>
    <t>07/04/2025</t>
  </si>
  <si>
    <t>09/04/2025</t>
  </si>
  <si>
    <t>11/04/2025</t>
  </si>
  <si>
    <t>13/04/2025</t>
  </si>
  <si>
    <t>15/04/2025</t>
  </si>
  <si>
    <t>17/04/2025</t>
  </si>
  <si>
    <t>20/04/2025</t>
  </si>
  <si>
    <t>22/04/2025</t>
  </si>
  <si>
    <t>23/04/2025</t>
  </si>
  <si>
    <t>25/04/2025</t>
  </si>
  <si>
    <t>26/04/2025</t>
  </si>
  <si>
    <t>28/04/2025</t>
  </si>
  <si>
    <t>30/04/2025</t>
  </si>
  <si>
    <t>01/04/2025</t>
  </si>
  <si>
    <t>05/04/2025</t>
  </si>
  <si>
    <t>08/04/2025</t>
  </si>
  <si>
    <t>10/04/2025</t>
  </si>
  <si>
    <t>12/04/2025</t>
  </si>
  <si>
    <t>14/04/2025</t>
  </si>
  <si>
    <t>16/04/2025</t>
  </si>
  <si>
    <t>18/04/2025</t>
  </si>
  <si>
    <t>19/04/2025</t>
  </si>
  <si>
    <t>21/04/2025</t>
  </si>
  <si>
    <t>24/04/2025</t>
  </si>
  <si>
    <t>27/04/2025</t>
  </si>
  <si>
    <t>29/04/2025</t>
  </si>
  <si>
    <t>NOCENTE MARIA DEL SOL</t>
  </si>
  <si>
    <t>Extracto Santander</t>
  </si>
  <si>
    <t>Santander GetNet</t>
  </si>
  <si>
    <t>Galicia - Nave</t>
  </si>
  <si>
    <t>Visa Galicia</t>
  </si>
  <si>
    <t>agregadas a afip, estaban en el excel de euro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</si>
  <si>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</si>
  <si>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</si>
  <si>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</si>
  <si>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</si>
  <si>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</si>
  <si>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</si>
  <si>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</si>
  <si>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</si>
  <si>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</si>
  <si>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</si>
  <si>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</si>
  <si>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</si>
  <si>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</si>
  <si>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</si>
  <si>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</si>
  <si>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</si>
  <si>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</si>
  <si>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</si>
  <si>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</si>
  <si>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</si>
  <si>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</si>
  <si>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</si>
  <si>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</si>
  <si>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</si>
  <si>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</si>
  <si>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</si>
  <si>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</si>
  <si>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</si>
  <si>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11/05/2025</t>
  </si>
  <si>
    <t>25/05/2025</t>
  </si>
  <si>
    <t>BBVA Visa</t>
  </si>
  <si>
    <t>Galicia Extracto</t>
  </si>
  <si>
    <t>Santander - Getnet</t>
  </si>
  <si>
    <t>Galicia Visa</t>
  </si>
  <si>
    <t>25001IC04025201E</t>
  </si>
  <si>
    <t>IMPORTACION - ENERO/25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</si>
  <si>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</si>
  <si>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</si>
  <si>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</si>
  <si>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</si>
  <si>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</si>
  <si>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</si>
  <si>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</si>
  <si>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</si>
  <si>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</si>
  <si>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</si>
  <si>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</si>
  <si>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</si>
  <si>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</si>
  <si>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</si>
  <si>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</si>
  <si>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</si>
  <si>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</si>
  <si>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</si>
  <si>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</si>
  <si>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</si>
  <si>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</si>
  <si>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</si>
  <si>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</si>
  <si>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</si>
  <si>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</si>
  <si>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</si>
  <si>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</si>
  <si>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</si>
  <si>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Getnet</t>
  </si>
  <si>
    <t>Nave</t>
  </si>
  <si>
    <t>COINCIDEN CON EL EXCEL DE EURO</t>
  </si>
  <si>
    <t>Extracto santander</t>
  </si>
  <si>
    <t>02/07/2025</t>
  </si>
  <si>
    <t>03/07/2025</t>
  </si>
  <si>
    <t>07/07/2025</t>
  </si>
  <si>
    <t>11/07/2025</t>
  </si>
  <si>
    <t>14/07/2025</t>
  </si>
  <si>
    <t>15/07/2025</t>
  </si>
  <si>
    <t>17/07/2025</t>
  </si>
  <si>
    <t>18/07/2025</t>
  </si>
  <si>
    <t>25/07/2025</t>
  </si>
  <si>
    <t>26/07/2025</t>
  </si>
  <si>
    <t>28/07/2025</t>
  </si>
  <si>
    <t>29/07/2025</t>
  </si>
  <si>
    <t>30/07/2025</t>
  </si>
  <si>
    <t>31/07/2025</t>
  </si>
  <si>
    <t>01/07/2025</t>
  </si>
  <si>
    <t>04/07/2025</t>
  </si>
  <si>
    <t>05/07/2025</t>
  </si>
  <si>
    <t>08/07/2025</t>
  </si>
  <si>
    <t>09/07/2025</t>
  </si>
  <si>
    <t>10/07/2025</t>
  </si>
  <si>
    <t>13/07/2025</t>
  </si>
  <si>
    <t>16/07/2025</t>
  </si>
  <si>
    <t>19/07/2025</t>
  </si>
  <si>
    <t>21/07/2025</t>
  </si>
  <si>
    <t>22/07/2025</t>
  </si>
  <si>
    <t>23/07/2025</t>
  </si>
  <si>
    <t>24/07/2025</t>
  </si>
  <si>
    <t>27/07/2025</t>
  </si>
  <si>
    <t>12/07/2025</t>
  </si>
  <si>
    <t xml:space="preserve">AGIP </t>
  </si>
  <si>
    <t>Alojamiento</t>
  </si>
  <si>
    <t>Gastos Oficina</t>
  </si>
  <si>
    <t>Productos Venta</t>
  </si>
  <si>
    <t>Gastos Comercializacion</t>
  </si>
  <si>
    <t>Gastos Comerciales</t>
  </si>
  <si>
    <t>Gastos Comercializacion - Feria</t>
  </si>
  <si>
    <t>Gastos Cosmetica</t>
  </si>
  <si>
    <t>Gastos Limpieza</t>
  </si>
  <si>
    <t>EL CACIQUE Gastos Limpieza SRL</t>
  </si>
  <si>
    <t>Gastos Maquinarias</t>
  </si>
  <si>
    <t>Gastos Movilidad</t>
  </si>
  <si>
    <t>AEROPUERTOS ARGENTINA 2000 SA</t>
  </si>
  <si>
    <t>FUNDACION AULA ABIERTA</t>
  </si>
  <si>
    <t>Gastos Publicidad</t>
  </si>
  <si>
    <t>Mantenimiento Rodado</t>
  </si>
  <si>
    <t>Honorarios Administrativos</t>
  </si>
  <si>
    <t>Honorarios Contables</t>
  </si>
  <si>
    <t>Honorarios Profesionales</t>
  </si>
  <si>
    <t>Mantenimiento</t>
  </si>
  <si>
    <t>Mantenimiento Locales</t>
  </si>
  <si>
    <t>Materia Prima</t>
  </si>
  <si>
    <t>GAX SA</t>
  </si>
  <si>
    <t>PLIN METAL S A</t>
  </si>
  <si>
    <t>Material de Empaque</t>
  </si>
  <si>
    <t>Mensajeria</t>
  </si>
  <si>
    <t>Peajes</t>
  </si>
  <si>
    <t>Pintureria</t>
  </si>
  <si>
    <t>Seg e Higiene</t>
  </si>
  <si>
    <t>Servicios Informatica</t>
  </si>
  <si>
    <t>Servicios Varios</t>
  </si>
  <si>
    <t>Software Mantenimiento</t>
  </si>
  <si>
    <t>GARCIA GABRIELA ANDREA </t>
  </si>
  <si>
    <t>FAVAR IMPORT S.A.</t>
  </si>
  <si>
    <t xml:space="preserve">GRAVEDAD X S. R. L. </t>
  </si>
  <si>
    <t>SUN Y MOUNTAIN SAS</t>
  </si>
  <si>
    <t xml:space="preserve">TAZ A TAZ SRL </t>
  </si>
  <si>
    <t>GLOBAL BUSINESS SUPPLIERS SRL</t>
  </si>
  <si>
    <t>ENERGIA SOCIEDAD DE RESPONSABILIDAD LIMITADA</t>
  </si>
  <si>
    <t>MAXPRIN S.R.L..</t>
  </si>
  <si>
    <t>PACKING EXPRESS S.R.L</t>
  </si>
  <si>
    <t>Lamparas Y Foquitos S.r.l.</t>
  </si>
  <si>
    <t xml:space="preserve"> Gasto Limpieza</t>
  </si>
  <si>
    <t>Inv Amoblamiento / Equipos</t>
  </si>
  <si>
    <t>TANGOID SRL</t>
  </si>
  <si>
    <t>Com Graduaci� / Otros Escuela</t>
  </si>
  <si>
    <t xml:space="preserve">REBORN SRL </t>
  </si>
  <si>
    <t xml:space="preserve"> Retiro Juan</t>
  </si>
  <si>
    <t>ABTEC SA</t>
  </si>
  <si>
    <t>ONE MEDICAL SRL</t>
  </si>
  <si>
    <t>NEASTORE</t>
  </si>
  <si>
    <t>MASHARY S.R.L</t>
  </si>
  <si>
    <t>INTERBAT SRL</t>
  </si>
  <si>
    <t xml:space="preserve"> Retiro Jose</t>
  </si>
  <si>
    <t>DIGITAL SALES S.A</t>
  </si>
  <si>
    <t>BLUE STAR CARGO SRL</t>
  </si>
  <si>
    <t>Pro Despacho Importacion</t>
  </si>
  <si>
    <t>CENZANO HERNAN</t>
  </si>
  <si>
    <t>Gastos Varios / General</t>
  </si>
  <si>
    <t>ALISSING</t>
  </si>
  <si>
    <t xml:space="preserve">ROSEMBERG NAHUEL </t>
  </si>
  <si>
    <t>QUO MARKETING SRL</t>
  </si>
  <si>
    <t xml:space="preserve"> Gastos Limpieza</t>
  </si>
  <si>
    <t>MAQUINARIAS BOEDO SRL</t>
  </si>
  <si>
    <t>GERARDO A.S. LARA</t>
  </si>
  <si>
    <t xml:space="preserve">ALEJANDRO TRAIBER </t>
  </si>
  <si>
    <t>Pro Productos Descartel</t>
  </si>
  <si>
    <t>TECHSUPPLIES</t>
  </si>
  <si>
    <t>Papeleria Administracion</t>
  </si>
  <si>
    <t>ALEXANDER DOUGLAS DROT DE GOURVILLE</t>
  </si>
  <si>
    <t xml:space="preserve">RAUL GUILLERMO RODRIGUEZ </t>
  </si>
  <si>
    <t>CANAVIDE JIMENA PAOLA</t>
  </si>
  <si>
    <t>CINE 24 SRL</t>
  </si>
  <si>
    <t>IT BROKERS SA</t>
  </si>
  <si>
    <t>SWEATERS ARGENTINOS S.R.L</t>
  </si>
  <si>
    <t xml:space="preserve">BORDER ARGENTINA S.A </t>
  </si>
  <si>
    <t>Pensagro SRL</t>
  </si>
  <si>
    <t>Gasto Mantenimiento Local</t>
  </si>
  <si>
    <t>ZIEL TECHNOLOGY S.A</t>
  </si>
  <si>
    <t>(Cleber ) Asistente Abastecim</t>
  </si>
  <si>
    <t>LIDER ESTANT SRL</t>
  </si>
  <si>
    <t xml:space="preserve">THE GLOBAL SHINE </t>
  </si>
  <si>
    <t>Tango Hogar SRL</t>
  </si>
  <si>
    <t xml:space="preserve">PUNTOTECH </t>
  </si>
  <si>
    <t>DDV S.R.L</t>
  </si>
  <si>
    <t>Gasto Libreria</t>
  </si>
  <si>
    <t>FULL STORE SRL</t>
  </si>
  <si>
    <t>TUACASA S.A.S</t>
  </si>
  <si>
    <t>REPRESENTACIONES TECNOLOGICAS S.A</t>
  </si>
  <si>
    <t>CHV</t>
  </si>
  <si>
    <t>PLASTICOS SARRATEA SRL</t>
  </si>
  <si>
    <t>Pro Envase / Serigrafia</t>
  </si>
  <si>
    <t>Gasto Eventos Internos</t>
  </si>
  <si>
    <t xml:space="preserve">ELIO IGNACIO GIMENEZ </t>
  </si>
  <si>
    <t xml:space="preserve">RODRIGUEZ MARIA LAURA </t>
  </si>
  <si>
    <t>Gasto Papeleria Administracion</t>
  </si>
  <si>
    <t>MERCADO ONLINE S.A.S.</t>
  </si>
  <si>
    <t>Grupo Efia</t>
  </si>
  <si>
    <t>WALTER DARIO LENKIEVICZ</t>
  </si>
  <si>
    <t>PLOCAN S.R.L</t>
  </si>
  <si>
    <t>DEL PLASTIC SRL</t>
  </si>
  <si>
    <t>Envases</t>
  </si>
  <si>
    <t>Ionics S.A.</t>
  </si>
  <si>
    <t>Pro Productos Locales</t>
  </si>
  <si>
    <t>Insumos</t>
  </si>
  <si>
    <t>Di Blasio Carlos</t>
  </si>
  <si>
    <t>Com Graduación / Otros Escuela</t>
  </si>
  <si>
    <t>AINHOME ARG</t>
  </si>
  <si>
    <t>MULTIPLIS SRL</t>
  </si>
  <si>
    <t>Com Material Embalaje</t>
  </si>
  <si>
    <t xml:space="preserve">CAMPOY MABEL ALICIA </t>
  </si>
  <si>
    <t>CREANDO IMAGEN S.A</t>
  </si>
  <si>
    <t>Com Gastos En Ferias</t>
  </si>
  <si>
    <t>Borrachetti Monica Adriana</t>
  </si>
  <si>
    <t>Gasto Honorarios Varios</t>
  </si>
  <si>
    <t>Metalurgica Ademar SA</t>
  </si>
  <si>
    <t>LUMEN GLASS SRL</t>
  </si>
  <si>
    <t>GRUPO VITTA S.R.L.</t>
  </si>
  <si>
    <t>COSMETICA FACECOLOR SA</t>
  </si>
  <si>
    <t>Marin Jorge Daniel</t>
  </si>
  <si>
    <t>Com Merchandising / Elementos Marketing</t>
  </si>
  <si>
    <t>LOVE IN SA</t>
  </si>
  <si>
    <t>VIVERO GALANTE BRUNO S.A.</t>
  </si>
  <si>
    <t>ELECTRICIDAD AREV S R L</t>
  </si>
  <si>
    <t>SISTEMAS GAFF S.A.</t>
  </si>
  <si>
    <t>AGUERA MOLINA JUAN</t>
  </si>
  <si>
    <t>GODOY MATIAS NICOLAS</t>
  </si>
  <si>
    <t>BUSATTO ELSA MARIA</t>
  </si>
  <si>
    <t>VALLS SOCIEDAD ANONIMA</t>
  </si>
  <si>
    <t>TRANSPORTE RAOSA SRL</t>
  </si>
  <si>
    <t>CILUX S.R.L.</t>
  </si>
  <si>
    <t>DINAMANU SRL</t>
  </si>
  <si>
    <t>Alquiler?</t>
  </si>
  <si>
    <t>LA PLATA TRADE S.A.S.</t>
  </si>
  <si>
    <t>MR SHOPS S.R.L.</t>
  </si>
  <si>
    <t>AIDICIAN BOULDOUKIAN, P. A. Y HERNANDEZ BASILIO, E.J. S.H.</t>
  </si>
  <si>
    <t>OSDE </t>
  </si>
  <si>
    <t>Prepaga corporativa</t>
  </si>
  <si>
    <t>CUNIOLI FEDERICO</t>
  </si>
  <si>
    <t>CENTRO-SEC SRL</t>
  </si>
  <si>
    <t>MFK</t>
  </si>
  <si>
    <t>AGROCENTRAL S R L</t>
  </si>
  <si>
    <t>MAGARIÑOS VANESA LORENA</t>
  </si>
  <si>
    <t>TOSOLINI ANDRES ALCIDES GUSTAVO</t>
  </si>
  <si>
    <t>BUS PACK S.A.</t>
  </si>
  <si>
    <t>XIUN SA</t>
  </si>
  <si>
    <t>COMBE ARGENTINA S R L</t>
  </si>
  <si>
    <t>RAIN SHOW S.A.</t>
  </si>
  <si>
    <t>GIFEL S.R.L</t>
  </si>
  <si>
    <t>BYLAPPIEL LABORATORIOS S.A.S.</t>
  </si>
  <si>
    <t>LITVACK ENRIQUE</t>
  </si>
  <si>
    <t>ELECTRONICA EL UNIVERSO DE SCHARNOPOLSKYMARCELO MAULY</t>
  </si>
  <si>
    <t>Gastos mantenimiento</t>
  </si>
  <si>
    <t>F L TRAVEL SRL</t>
  </si>
  <si>
    <t>Gastos comercializacion - Viaje</t>
  </si>
  <si>
    <t>HELENA INTERNACIONAL TOURS S A</t>
  </si>
  <si>
    <t>GETNET ARGENTINA S. A. U.</t>
  </si>
  <si>
    <t>QUINTO CENTENARIO S A</t>
  </si>
  <si>
    <t>AERO SRL</t>
  </si>
  <si>
    <t>BAIRES SHOP S.R.L.</t>
  </si>
  <si>
    <t>GOMEZ FERNANDO ALBERTO</t>
  </si>
  <si>
    <t>DIGITAL STORE TEC S.R.L.</t>
  </si>
  <si>
    <t>QUIROGA JOEL HERNAN</t>
  </si>
  <si>
    <t>MENTA GRANIZADA</t>
  </si>
  <si>
    <t>LIBERTADOR MOTORS SOCIEDAD ANONIMA</t>
  </si>
  <si>
    <t>Pendiente clasificacion</t>
  </si>
  <si>
    <t>VITALIS NATIVA SRL</t>
  </si>
  <si>
    <t>GARCIA BESTREGUI JULIO RODRIGO</t>
  </si>
  <si>
    <t>J C ZUPPIROLI S A C I M</t>
  </si>
  <si>
    <t>ENCENDIDO GRAN SUR DE RICARDO HERNAN RIVA, MARTIN EZEQUIEL RIVA, JULIO CESAR ORTIZ</t>
  </si>
  <si>
    <t>ZOLOTUCHO ANDRES NICOLAS</t>
  </si>
  <si>
    <t>WEB SUPPLEMENTS S.R.L.</t>
  </si>
  <si>
    <t>MULTILIMP SRL</t>
  </si>
  <si>
    <t>MIAH MAZNU</t>
  </si>
  <si>
    <t>SACCOMANNO GERMAN ARIEL</t>
  </si>
  <si>
    <t>VIDGLASS 2022 S.R.L.</t>
  </si>
  <si>
    <t>PILAS DEL OESTE SRL</t>
  </si>
  <si>
    <t>FERCOL LUBRICANTES S.R.L.</t>
  </si>
  <si>
    <t>BALESTRIERI ANDRES FERNANDO</t>
  </si>
  <si>
    <t>MANZANA S.A.S.</t>
  </si>
  <si>
    <t>TECNORTH S.A.</t>
  </si>
  <si>
    <t>LIBERTINI LILIANA PATRICIA</t>
  </si>
  <si>
    <t>BOLSA DE COMERCIO DE BAHIA BLANCA SOCIEDAD ANONIMA</t>
  </si>
  <si>
    <t>GLOB SRL</t>
  </si>
  <si>
    <t>FRANCO CHURRUARIN NICOLE</t>
  </si>
  <si>
    <t>LIBRERIA TECNICA ARGENTINA S.A.</t>
  </si>
  <si>
    <t>ZG MULTITEC SRL</t>
  </si>
  <si>
    <t>ALVARIÑAS DIEGO EDUARDO</t>
  </si>
  <si>
    <t>BRUNO PABLO CESAR</t>
  </si>
  <si>
    <t>ANDREONE ANDREA FABIANA</t>
  </si>
  <si>
    <t>GUENZANI GONZALO MARTIN</t>
  </si>
  <si>
    <t>PARMO OSCAR DANIEL</t>
  </si>
  <si>
    <t>SOSA CRISTIAN HERNAN</t>
  </si>
  <si>
    <t>SUAREZ CLAUDIA ELIZABETH</t>
  </si>
  <si>
    <t>SEITLER GUSTAVO RUBEN</t>
  </si>
  <si>
    <t>PERFECT PRINT S. CAP I SECC IV</t>
  </si>
  <si>
    <t>01/08/2025</t>
  </si>
  <si>
    <t>05/08/2025</t>
  </si>
  <si>
    <t>08/08/2025</t>
  </si>
  <si>
    <t>10/08/2025</t>
  </si>
  <si>
    <t>12/08/2025</t>
  </si>
  <si>
    <t>14/08/2025</t>
  </si>
  <si>
    <t>15/08/2025</t>
  </si>
  <si>
    <t>17/08/2025</t>
  </si>
  <si>
    <t>18/08/2025</t>
  </si>
  <si>
    <t>19/08/2025</t>
  </si>
  <si>
    <t>20/08/2025</t>
  </si>
  <si>
    <t>21/08/2025</t>
  </si>
  <si>
    <t>22/08/2025</t>
  </si>
  <si>
    <t>27/08/2025</t>
  </si>
  <si>
    <t>29/08/2025</t>
  </si>
  <si>
    <t>30/08/2025</t>
  </si>
  <si>
    <t>31/08/2025</t>
  </si>
  <si>
    <t>13/08/2025</t>
  </si>
  <si>
    <t>BARUCCO BAUTISTA</t>
  </si>
  <si>
    <t>TUNDIS AIDA ESPERANZA</t>
  </si>
  <si>
    <t>NEUMANN CAFFERATTA LEZCANO GASTON DAMIAN</t>
  </si>
  <si>
    <t>CASTILLO DELIA CRISTINA</t>
  </si>
  <si>
    <t>02/08/2025</t>
  </si>
  <si>
    <t>03/08/2025</t>
  </si>
  <si>
    <t>04/08/2025</t>
  </si>
  <si>
    <t>06/08/2025</t>
  </si>
  <si>
    <t>07/08/2025</t>
  </si>
  <si>
    <t>09/08/2025</t>
  </si>
  <si>
    <t>11/08/2025</t>
  </si>
  <si>
    <t>16/08/2025</t>
  </si>
  <si>
    <t>23/08/2025</t>
  </si>
  <si>
    <t>24/08/2025</t>
  </si>
  <si>
    <t>25/08/2025</t>
  </si>
  <si>
    <t>26/08/2025</t>
  </si>
  <si>
    <t>28/08/2025</t>
  </si>
  <si>
    <t>JLTECH SAS</t>
  </si>
  <si>
    <t>C&amp;G LATAM</t>
  </si>
  <si>
    <t>PESOA VERONICA GABRIELA</t>
  </si>
  <si>
    <t>PURUKLE S.R.L.</t>
  </si>
  <si>
    <t>JOAQUIN ANGEL GABRIEL</t>
  </si>
  <si>
    <t>TRAVELITE SRL</t>
  </si>
  <si>
    <t>GILERA MOTORS ARGENTINA S A</t>
  </si>
  <si>
    <t>LIBECOM S.R.L</t>
  </si>
  <si>
    <t>SINERGIA COLOR S.A.</t>
  </si>
  <si>
    <t>PEREYRA LEONARDO ADRIAN</t>
  </si>
  <si>
    <t>BAIRESIMPO</t>
  </si>
  <si>
    <t>METALSER AMOBLAMIENTOS S.R.L.</t>
  </si>
  <si>
    <t>PIETRAFESA EZEQUIEL DAMIAN</t>
  </si>
  <si>
    <t>OPORTUTEK SOCIEDAD ANONIMA</t>
  </si>
  <si>
    <t>EGEBA S.R.L</t>
  </si>
  <si>
    <t>DERPOL S.R.L.</t>
  </si>
  <si>
    <t>PYMEDIA S.A.</t>
  </si>
  <si>
    <t>ORGANZA TEXTIL S.R.L.</t>
  </si>
  <si>
    <t>VERISURE ARGENTINA MONITOREO DE ALARMAS SA</t>
  </si>
  <si>
    <t>CASELLA TRADING SRL</t>
  </si>
  <si>
    <t>VIGLOM SA</t>
  </si>
  <si>
    <t>CASA JUJUY S.A</t>
  </si>
  <si>
    <t>MATHIESEN ARGENTINA S.A.</t>
  </si>
  <si>
    <t>GRUPO NISUL S.A.</t>
  </si>
  <si>
    <t>BIANCHI MARIO ALEJANDRO</t>
  </si>
  <si>
    <t>RODRIGUEZ JONATAN</t>
  </si>
  <si>
    <t>KUBA NICOLAS ARIEL</t>
  </si>
  <si>
    <t>POELSTRA LUCIANO ALBERTO</t>
  </si>
  <si>
    <t>ROBLES JUAN MANUEL</t>
  </si>
  <si>
    <t>DISTRIBUIDORA TRONADOR SRL</t>
  </si>
  <si>
    <t>GRIPO DE DESARROLLO DE PRODUCTO SA</t>
  </si>
  <si>
    <t>VISA BBVA</t>
  </si>
  <si>
    <t>ECTRACTO GALICIA</t>
  </si>
  <si>
    <t>NAVE</t>
  </si>
  <si>
    <t>Alquileres</t>
  </si>
  <si>
    <t>01/09/2025</t>
  </si>
  <si>
    <t>02/09/2025</t>
  </si>
  <si>
    <t>05/09/2025</t>
  </si>
  <si>
    <t>06/09/2025</t>
  </si>
  <si>
    <t>09/09/2025</t>
  </si>
  <si>
    <t>11/09/2025</t>
  </si>
  <si>
    <t>15/09/2025</t>
  </si>
  <si>
    <t>16/09/2025</t>
  </si>
  <si>
    <t>18/09/2025</t>
  </si>
  <si>
    <t>22/09/2025</t>
  </si>
  <si>
    <t>23/09/2025</t>
  </si>
  <si>
    <t>25/09/2025</t>
  </si>
  <si>
    <t>26/09/2025</t>
  </si>
  <si>
    <t>27/09/2025</t>
  </si>
  <si>
    <t>29/09/2025</t>
  </si>
  <si>
    <t>30/09/2025</t>
  </si>
  <si>
    <t>PASQUALIS DANIELA</t>
  </si>
  <si>
    <t>GIMENEZ MARIANA BEATRIZ</t>
  </si>
  <si>
    <t>PARDO GASTON EMANUEL</t>
  </si>
  <si>
    <t>SANCHEZ ANALIA VERINICA</t>
  </si>
  <si>
    <t>SOUTO GUILLERMO OSCAR</t>
  </si>
  <si>
    <t>03/09/2025</t>
  </si>
  <si>
    <t>04/09/2025</t>
  </si>
  <si>
    <t>07/09/2025</t>
  </si>
  <si>
    <t>08/09/2025</t>
  </si>
  <si>
    <t>10/09/2025</t>
  </si>
  <si>
    <t>12/09/2025</t>
  </si>
  <si>
    <t>13/09/2025</t>
  </si>
  <si>
    <t>17/09/2025</t>
  </si>
  <si>
    <t>19/09/2025</t>
  </si>
  <si>
    <t>20/09/2025</t>
  </si>
  <si>
    <t>21/09/2025</t>
  </si>
  <si>
    <t>24/09/2025</t>
  </si>
  <si>
    <t>BELTRAN MAURO FABIAN</t>
  </si>
  <si>
    <t>KASAMI S.A.</t>
  </si>
  <si>
    <t>IMPORTADORA HANA S.R.L.</t>
  </si>
  <si>
    <t>NEWSAN SOCIEDAD ANONIMA</t>
  </si>
  <si>
    <t>LOGISTICA Y DISTRIBUCION PLATAMAR S.A.</t>
  </si>
  <si>
    <t>BRUSCO ALEJANDRO RAUL</t>
  </si>
  <si>
    <t>ONE LAB SOLUTIONS S.A.</t>
  </si>
  <si>
    <t>NORAUTO ARGENTINA SA</t>
  </si>
  <si>
    <t>SILVA CLAUDIA LORENA</t>
  </si>
  <si>
    <t>CAMPAGNA SEBASTIAN PABLO</t>
  </si>
  <si>
    <t>SICIALL SA</t>
  </si>
  <si>
    <t>ERISEA S.A.</t>
  </si>
  <si>
    <t>PENTAGAS SA</t>
  </si>
  <si>
    <t>ESTACION LIMA  SA</t>
  </si>
  <si>
    <t>MORANO MAQUINAS HERRAMIENTAS S.A.</t>
  </si>
  <si>
    <t>ESCOBAR AUTOMOTORES S.A.</t>
  </si>
  <si>
    <t>SU-ESTANT SRL</t>
  </si>
  <si>
    <t>RUFFO &amp; KEN</t>
  </si>
  <si>
    <t>CHAMEN ABRAHAM JONATAN</t>
  </si>
  <si>
    <t>AGROPLASTIC S. R. L.</t>
  </si>
  <si>
    <t>GRUPO MITRE</t>
  </si>
  <si>
    <t>CIOCCA SANTINO</t>
  </si>
  <si>
    <t>NAPPAS S.R.L.</t>
  </si>
  <si>
    <t>SK DISTRIBUTORS S.R.L.</t>
  </si>
  <si>
    <t>EXTRACTO VISA</t>
  </si>
  <si>
    <t>01/10/2025</t>
  </si>
  <si>
    <t>02/10/2025</t>
  </si>
  <si>
    <t>03/10/2025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</si>
  <si>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</si>
  <si>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</si>
  <si>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</si>
  <si>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</si>
  <si>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</si>
  <si>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</si>
  <si>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</si>
  <si>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</si>
  <si>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</si>
  <si>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</si>
  <si>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</si>
  <si>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</si>
  <si>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</si>
  <si>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</si>
  <si>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</si>
  <si>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</si>
  <si>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</si>
  <si>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</si>
  <si>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</si>
  <si>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</si>
  <si>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</si>
  <si>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</si>
  <si>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</si>
  <si>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</si>
  <si>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</si>
  <si>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PINTOS SCHMIDT ALDANA MARCELA Y SACK ADRIANA CRISTINA SH</t>
  </si>
  <si>
    <t>GARDEN LIFE S A</t>
  </si>
  <si>
    <t>VEITMAN DAVID FERNANDO</t>
  </si>
  <si>
    <t>SEITON TECHNOLOGY S. R. L.</t>
  </si>
  <si>
    <t>BALANCINES S.R.L. S. R. L.</t>
  </si>
  <si>
    <t>R&amp;F EXTINCION S. A.</t>
  </si>
  <si>
    <t>MARTINEZ ANDRES</t>
  </si>
  <si>
    <t>SESMA PABLO NICOLAS</t>
  </si>
  <si>
    <t>ALAIMO LEONARDO DANIEL</t>
  </si>
  <si>
    <t>INSTALACIONES COMERCIALES TISERA SA</t>
  </si>
  <si>
    <t>LIBRERIA HELIOS S R L</t>
  </si>
  <si>
    <t>TODOCOM SA</t>
  </si>
  <si>
    <t>LA MORADA  S. R. L.</t>
  </si>
  <si>
    <t>ORANGE BLUE IMPORT &amp; EXPORT TOOLS S.R.L.</t>
  </si>
  <si>
    <t>GRUPO GAUSS S.R.L.</t>
  </si>
  <si>
    <t>KING CROSS LIBRARY</t>
  </si>
  <si>
    <t>HEREDIA HECTOR RICARDO</t>
  </si>
  <si>
    <t>DAS INFORMATICA S.R.L.</t>
  </si>
  <si>
    <t>NALDO LOMBARDI S A</t>
  </si>
  <si>
    <t>GRUPOS INTEGRADOS S.A.</t>
  </si>
  <si>
    <t>EMPRESAS DE ANGELI S.R.L.</t>
  </si>
  <si>
    <t>FULLGRAF LANUS S.R.L.</t>
  </si>
  <si>
    <t>VITABGLASS S.R.L.</t>
  </si>
  <si>
    <t>JUSTINIANO LOZANO PABLO ARIEL</t>
  </si>
  <si>
    <t>EPA ENVASES S.R.L.</t>
  </si>
  <si>
    <t>SCIARILLO NICOLAS DANIEL</t>
  </si>
  <si>
    <t>CORALES CARABALLO ANIBAL</t>
  </si>
  <si>
    <t>GARCIA VIELMA ANNY YULISTHNEYDA</t>
  </si>
  <si>
    <t>RODRIGUEZ PEÑA 1101 S A E F</t>
  </si>
  <si>
    <t>BORZACCHINI NICOLAS FEDERICO</t>
  </si>
  <si>
    <t>INCAS DEL SUR S.A.</t>
  </si>
  <si>
    <t>PROVERPINT S.R.L.</t>
  </si>
  <si>
    <t>BUSATTO ADELA</t>
  </si>
  <si>
    <t>04/10/2025</t>
  </si>
  <si>
    <t>BOEDOGOMA S.R.L.</t>
  </si>
  <si>
    <t>CAYRE SOCIEDAD ANONIMA</t>
  </si>
  <si>
    <t>03/11/2025</t>
  </si>
  <si>
    <t>04/11/2025</t>
  </si>
  <si>
    <t>05/11/2025</t>
  </si>
  <si>
    <t>06/11/2025</t>
  </si>
  <si>
    <t>07/11/2025</t>
  </si>
  <si>
    <t>12/11/2025</t>
  </si>
  <si>
    <t>14/11/2025</t>
  </si>
  <si>
    <t>16/11/2025</t>
  </si>
  <si>
    <t>17/11/2025</t>
  </si>
  <si>
    <t>18/11/2025</t>
  </si>
  <si>
    <t>19/11/2025</t>
  </si>
  <si>
    <t>21/11/2025</t>
  </si>
  <si>
    <t>24/11/2025</t>
  </si>
  <si>
    <t>28/11/2025</t>
  </si>
  <si>
    <t>29/11/2025</t>
  </si>
  <si>
    <t>DOMINGUEZ SILVINA INES</t>
  </si>
  <si>
    <t>SARALEGUY AGOSTINA</t>
  </si>
  <si>
    <t>RIZZELLO VANINA SOLEDAD</t>
  </si>
  <si>
    <t>CHARPENTIER SILVANA</t>
  </si>
  <si>
    <t>GAGO DE BRITO CLAUDIO ALEJANDRO</t>
  </si>
  <si>
    <t>01/11/2025</t>
  </si>
  <si>
    <t>02/11/2025</t>
  </si>
  <si>
    <t>08/11/2025</t>
  </si>
  <si>
    <t>09/11/2025</t>
  </si>
  <si>
    <t>10/11/2025</t>
  </si>
  <si>
    <t>11/11/2025</t>
  </si>
  <si>
    <t>13/11/2025</t>
  </si>
  <si>
    <t>15/11/2025</t>
  </si>
  <si>
    <t>20/11/2025</t>
  </si>
  <si>
    <t>22/11/2025</t>
  </si>
  <si>
    <t>23/11/2025</t>
  </si>
  <si>
    <t>25/11/2025</t>
  </si>
  <si>
    <t>26/11/2025</t>
  </si>
  <si>
    <t>27/11/2025</t>
  </si>
  <si>
    <t>30/11/2025</t>
  </si>
  <si>
    <t>PRATS EDUARDO FRANCISCO HU</t>
  </si>
  <si>
    <t>LOUPACK SA</t>
  </si>
  <si>
    <t>PILLAROU ANIBAL EDGARDO</t>
  </si>
  <si>
    <t>ULIVARRI MARTIN MIGUEL</t>
  </si>
  <si>
    <t>MIX MASTER MAQ</t>
  </si>
  <si>
    <t>PL PACKAGING S.R.L.</t>
  </si>
  <si>
    <t>SINDICATO PETROLERO DE CORDOBA</t>
  </si>
  <si>
    <t>MARTIN FIORELLA    MERLINA</t>
  </si>
  <si>
    <t>FEDELE SANTIAGO PABLO</t>
  </si>
  <si>
    <t>LITMANOVICH A Y J</t>
  </si>
  <si>
    <t>PLA GROUP S.A.</t>
  </si>
  <si>
    <t>MITRE ELECTRICIDAD SRL</t>
  </si>
  <si>
    <t>DISTRIMAZ SRL</t>
  </si>
  <si>
    <t>BEJARANO TOMAS ESTANISLAO</t>
  </si>
  <si>
    <t>LUQUE ADRIAN ULISES</t>
  </si>
  <si>
    <t>TEXEIRA JESICA SOLANGE</t>
  </si>
  <si>
    <t>DELGADO BURGUILLOS ROSMAR JOSE</t>
  </si>
  <si>
    <t>EMUBI S.R.L</t>
  </si>
  <si>
    <t>GARCIA FERNANDO DAVID</t>
  </si>
  <si>
    <t>EL AUDITOR S A</t>
  </si>
  <si>
    <t>CAMINOS DE LAS SIERRAS S. A.</t>
  </si>
  <si>
    <t>FERRETERIA BALLESTER S.R.L</t>
  </si>
  <si>
    <t>TORTORELLA S.A</t>
  </si>
  <si>
    <t>01/12/2025</t>
  </si>
  <si>
    <t>02/12/2025</t>
  </si>
  <si>
    <t>04/12/2025</t>
  </si>
  <si>
    <t>05/12/2025</t>
  </si>
  <si>
    <t>08/12/2025</t>
  </si>
  <si>
    <t>09/12/2025</t>
  </si>
  <si>
    <t>10/12/2025</t>
  </si>
  <si>
    <t>12/12/2025</t>
  </si>
  <si>
    <t>15/12/2025</t>
  </si>
  <si>
    <t>16/12/2025</t>
  </si>
  <si>
    <t>17/12/2025</t>
  </si>
  <si>
    <t>18/12/2025</t>
  </si>
  <si>
    <t>19/12/2025</t>
  </si>
  <si>
    <t>23/12/2025</t>
  </si>
  <si>
    <t>27/12/2025</t>
  </si>
  <si>
    <t>TREBAIOCHI CLAUDIO FABIAN</t>
  </si>
  <si>
    <t>BELVEDERE MATIAS ARIEL</t>
  </si>
  <si>
    <t>MEI EVELINA SUSANA</t>
  </si>
  <si>
    <t>BARUCCO FABRICIO</t>
  </si>
  <si>
    <t>IBAÑEZ ROCIO MONSERRAT</t>
  </si>
  <si>
    <t>MORASCHIA MAURICIO AGUSTIN</t>
  </si>
  <si>
    <t>03/12/2025</t>
  </si>
  <si>
    <t>06/12/2025</t>
  </si>
  <si>
    <t>07/12/2025</t>
  </si>
  <si>
    <t>11/12/2025</t>
  </si>
  <si>
    <t>13/12/2025</t>
  </si>
  <si>
    <t>14/12/2025</t>
  </si>
  <si>
    <t>21/12/2025</t>
  </si>
  <si>
    <t>22/12/2025</t>
  </si>
  <si>
    <t>24/12/2025</t>
  </si>
  <si>
    <t>26/12/2025</t>
  </si>
  <si>
    <t>28/12/2025</t>
  </si>
  <si>
    <t>29/12/2025</t>
  </si>
  <si>
    <t>30/12/2025</t>
  </si>
  <si>
    <t>31/12/2025</t>
  </si>
  <si>
    <t>BIG DIPPER S.R.L.</t>
  </si>
  <si>
    <t>NEWSALE SRL</t>
  </si>
  <si>
    <t>PASCAL MIRTA GRACIELA</t>
  </si>
  <si>
    <t>TRUE STRENGTH SOCIEDAD POR ACCIONES SIMPLIFICADA S. A. S.</t>
  </si>
  <si>
    <t>PRALONG RUIZ NICOLAS</t>
  </si>
  <si>
    <t>BIOCCA MARIA CRISTINA</t>
  </si>
  <si>
    <t>FEITO TOMAS AGUSTIN</t>
  </si>
  <si>
    <t>WATOTO S.A.</t>
  </si>
  <si>
    <t>BERON RICARDO HECTOR</t>
  </si>
  <si>
    <t>RICCA FERNANDO DAMIAN</t>
  </si>
  <si>
    <t>MEDRI S.A.</t>
  </si>
  <si>
    <t>DE LOS SANTOS ANIBAL JULIAN</t>
  </si>
  <si>
    <t>GOMEZ LORENA NATALIA</t>
  </si>
  <si>
    <t>OSSEN BA S.R.L.</t>
  </si>
  <si>
    <t>CELULARES &amp; ETCETERA S.R.L.</t>
  </si>
  <si>
    <t>NEW COT ARGENTINA S.A</t>
  </si>
  <si>
    <t>REGUEIRA ALEJANDRO JORGE</t>
  </si>
  <si>
    <t>T R O P E A SOCIEDAD ANONIMA</t>
  </si>
  <si>
    <t>CARA JONATAN RUBEN</t>
  </si>
  <si>
    <t>ZETABURGOS SRL</t>
  </si>
  <si>
    <t>PINTURERIAS SANCHO PANZA S A</t>
  </si>
  <si>
    <t>VOSSLER ALEJANDRO GUSTAVO</t>
  </si>
  <si>
    <t>BALUT HNOS SRL</t>
  </si>
  <si>
    <t>SOLUTION BOX S.R.L.</t>
  </si>
  <si>
    <t>PETENATTI HNOS SA</t>
  </si>
  <si>
    <t>20/12/2025</t>
  </si>
  <si>
    <t>GET NET</t>
  </si>
  <si>
    <t>DESPACHO IMPORTACION</t>
  </si>
  <si>
    <t>OTROS</t>
  </si>
  <si>
    <t>25001IC04269208V</t>
  </si>
  <si>
    <t>25001IC04270556T</t>
  </si>
  <si>
    <t>Bienes de Uso</t>
  </si>
  <si>
    <t>Gastos Marketing</t>
  </si>
  <si>
    <t>Computacion</t>
  </si>
  <si>
    <t>Gastos Eventos</t>
  </si>
  <si>
    <t>Papeleria e Impresos</t>
  </si>
  <si>
    <t>Papeleria</t>
  </si>
  <si>
    <t>Productos Terminados</t>
  </si>
  <si>
    <t>Folletos</t>
  </si>
  <si>
    <t>Varios</t>
  </si>
  <si>
    <t>Seguridad</t>
  </si>
  <si>
    <t>Ferreteria</t>
  </si>
  <si>
    <t>Limpieza</t>
  </si>
  <si>
    <t>Gastos Importacion</t>
  </si>
  <si>
    <t>Envases y Embalajes</t>
  </si>
  <si>
    <t>Comida</t>
  </si>
  <si>
    <t>Bs de uso</t>
  </si>
  <si>
    <t>Libreria</t>
  </si>
  <si>
    <t>Serv. Seguridad</t>
  </si>
  <si>
    <t>Serv. Gaz, Luz, etc</t>
  </si>
  <si>
    <t>Serv. Tecnicos</t>
  </si>
  <si>
    <t>Gtos. Administrativos</t>
  </si>
  <si>
    <t>Catering</t>
  </si>
  <si>
    <t>CABRERA ROMINA ELISABETH</t>
  </si>
  <si>
    <t>LOPEZ ALAN EZEQUIEL</t>
  </si>
  <si>
    <t>FLAMMIA MARCOS ANTONIO</t>
  </si>
  <si>
    <t>SCARSI OSCAR ALFREDO</t>
  </si>
  <si>
    <t>Serv. Informaticos</t>
  </si>
  <si>
    <t>Embalajes</t>
  </si>
  <si>
    <t>Gastos Cosmeticos</t>
  </si>
  <si>
    <t>Representacion</t>
  </si>
  <si>
    <t>Feria</t>
  </si>
  <si>
    <t>Gtos. Cosmeticos</t>
  </si>
  <si>
    <t>MARASTONI FRANCO AGUSTIN</t>
  </si>
  <si>
    <t>FONTANA MARIA HILARIA</t>
  </si>
  <si>
    <t>VALORIANI ROMINA GISELA</t>
  </si>
  <si>
    <t>LIBRENTA LIBROS S.A.U.</t>
  </si>
  <si>
    <t>GOMEZ MATIAS GERMAN</t>
  </si>
  <si>
    <t>FLYLABS S.A.S</t>
  </si>
  <si>
    <t>AUTOPISTA PROVINCIAL AP 01</t>
  </si>
  <si>
    <t>BONIFACE VICENTE</t>
  </si>
  <si>
    <t>ROMUALDO CHUMACERO VLADIMIR</t>
  </si>
  <si>
    <t>MARTINEZ GABRIEL ESTEBAN</t>
  </si>
  <si>
    <t>DAKESIAN ROXANA VANESA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</si>
</sst>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_-&quot;$&quot;\ * #,##0.00_-;\-&quot;$&quot;\ * #,##0.00_-;_-&quot;$&quot;\ * &quot;-&quot;??_-;_-@_-"/>
    <numFmt numFmtId="165" formatCode="_-* #,##0.00\ &quot;€&quot;_-;\-* #,##0.00\ &quot;€&quot;_-;_-* &quot;-&quot;??\ &quot;€&quot;_-;_-@_-"/>
    <numFmt numFmtId="166" formatCode="_-* #,##0.00\ _€_-;\-* #,##0.00\ _€_-;_-* &quot;-&quot;??\ _€_-;_-@_-"/>
    <numFmt numFmtId="167" formatCode="&quot;$&quot;\ #,##0.00;&quot;$&quot;\ \-#,##0.00"/>
    <numFmt numFmtId="168" formatCode="_ &quot;$&quot;\ * #,##0.00_ ;_ &quot;$&quot;\ * \-#,##0.00_ ;_ &quot;$&quot;\ * &quot;-&quot;??_ ;_ @_ "/>
    <numFmt numFmtId="169" formatCode="_ * #,##0.00_ ;_ * \-#,##0.00_ ;_ * &quot;-&quot;??_ ;_ @_ "/>
    <numFmt numFmtId="170" formatCode="dd\-mm\-yy;@"/>
    <numFmt numFmtId="171" formatCode="000"/>
    <numFmt numFmtId="172" formatCode="0000"/>
    <numFmt numFmtId="173" formatCode="00000000"/>
    <numFmt numFmtId="174" formatCode="##\-########\-#"/>
    <numFmt numFmtId="175" formatCode="[$-C0A]mmmm\-yy;@"/>
    <numFmt numFmtId="176" formatCode="[$$-2C0A]\ #,##0.00;\-[$$-2C0A]\ #,##0.00"/>
    <numFmt numFmtId="177" formatCode="_-[$$-2C0A]\ * #,##0.00_-;\-[$$-2C0A]\ * #,##0.00_-;_-[$$-2C0A]\ * &quot;-&quot;??_-;_-@_-"/>
    <numFmt numFmtId="178" formatCode="#,##0.000"/>
    <numFmt numFmtId="179" formatCode="0.000"/>
    <numFmt numFmtId="180" formatCode="#,##0.00_ ;[Red]\-#,##0.00\ "/>
    <numFmt numFmtId="181" formatCode="###########"/>
    <numFmt numFmtId="182" formatCode="d/mm/yyyy"/>
    <numFmt numFmtId="183" formatCode="#,##0.00\ _€;[Red]\-#,##0.00\ _€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13"/>
      <name val="Arial"/>
      <family val="2"/>
    </font>
    <font>
      <sz val="9"/>
      <name val="Calibri"/>
      <family val="2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</font>
    <font>
      <sz val="9"/>
      <name val="Calibri"/>
      <family val="2"/>
      <scheme val="minor"/>
    </font>
    <font>
      <b/>
      <sz val="10"/>
      <name val="Times New Roman"/>
      <family val="1"/>
    </font>
    <font>
      <b/>
      <sz val="16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b/>
      <sz val="22"/>
      <name val="Arial"/>
      <family val="2"/>
    </font>
    <font>
      <sz val="10"/>
      <name val="Mangal"/>
      <family val="1"/>
    </font>
    <font>
      <sz val="10"/>
      <color indexed="9"/>
      <name val="Mangal"/>
      <family val="1"/>
    </font>
    <font>
      <sz val="9"/>
      <name val="Arial"/>
      <family val="2"/>
    </font>
    <font>
      <b/>
      <sz val="9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0"/>
      <color rgb="FFFF0000"/>
      <name val="Arial"/>
      <family val="2"/>
    </font>
    <font>
      <sz val="11"/>
      <color indexed="8"/>
      <name val="Calibri"/>
      <family val="2"/>
    </font>
    <font>
      <sz val="10"/>
      <color indexed="9"/>
      <name val="Mangal"/>
      <family val="2"/>
    </font>
    <font>
      <sz val="10"/>
      <name val="Mangal"/>
      <family val="2"/>
    </font>
    <font>
      <b/>
      <sz val="11"/>
      <name val="Calibri"/>
      <family val="2"/>
      <scheme val="minor"/>
    </font>
    <font>
      <b/>
      <sz val="13"/>
      <color theme="1"/>
      <name val="Arial"/>
      <family val="2"/>
    </font>
    <font>
      <sz val="16"/>
      <name val="Arial"/>
      <family val="2"/>
    </font>
    <font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b/>
      <sz val="22"/>
      <color theme="0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  <scheme val="minor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</font>
    <font>
      <sz val="10"/>
      <name val="Times New Roman"/>
      <family val="1"/>
    </font>
    <font>
      <sz val="9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darkGray"/>
    </fill>
    <fill>
      <patternFill patternType="solid">
        <fgColor theme="5" tint="0.79995117038483843"/>
        <bgColor theme="0"/>
      </patternFill>
    </fill>
    <fill>
      <patternFill patternType="solid">
        <fgColor rgb="FF92D050"/>
        <bgColor indexed="64"/>
      </patternFill>
    </fill>
    <fill>
      <patternFill patternType="solid">
        <fgColor rgb="FFA5A5A5"/>
      </patternFill>
    </fill>
    <fill>
      <patternFill patternType="solid">
        <fgColor indexed="10"/>
        <bgColor indexed="60"/>
      </patternFill>
    </fill>
    <fill>
      <patternFill patternType="solid">
        <fgColor indexed="55"/>
        <bgColor indexed="22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/>
      <right/>
      <top style="double">
        <color rgb="FF3F3F3F"/>
      </top>
      <bottom/>
      <diagonal/>
    </border>
    <border>
      <left/>
      <right style="double">
        <color rgb="FF3F3F3F"/>
      </right>
      <top style="double">
        <color rgb="FF3F3F3F"/>
      </top>
      <bottom/>
      <diagonal/>
    </border>
  </borders>
  <cellStyleXfs count="29">
    <xf numFmtId="0" fontId="0" fillId="0" borderId="0"/>
    <xf numFmtId="165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5" fillId="0" borderId="0"/>
    <xf numFmtId="0" fontId="4" fillId="11" borderId="0" applyNumberFormat="0" applyBorder="0" applyAlignment="0" applyProtection="0"/>
    <xf numFmtId="0" fontId="20" fillId="0" borderId="0"/>
    <xf numFmtId="0" fontId="1" fillId="15" borderId="14" applyAlignment="0">
      <alignment horizontal="center" vertical="center"/>
    </xf>
    <xf numFmtId="0" fontId="24" fillId="12" borderId="0" applyNumberFormat="0" applyBorder="0" applyAlignment="0" applyProtection="0"/>
    <xf numFmtId="169" fontId="20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23" fillId="13" borderId="0" applyNumberFormat="0" applyBorder="0" applyAlignment="0" applyProtection="0"/>
    <xf numFmtId="0" fontId="5" fillId="0" borderId="0"/>
    <xf numFmtId="0" fontId="5" fillId="0" borderId="0"/>
    <xf numFmtId="0" fontId="1" fillId="0" borderId="0"/>
    <xf numFmtId="0" fontId="2" fillId="17" borderId="24" applyNumberFormat="0" applyAlignment="0" applyProtection="0"/>
    <xf numFmtId="0" fontId="30" fillId="18" borderId="0" applyNumberFormat="0" applyBorder="0" applyAlignment="0" applyProtection="0"/>
    <xf numFmtId="166" fontId="29" fillId="0" borderId="0" applyFont="0" applyFill="0" applyBorder="0" applyAlignment="0" applyProtection="0"/>
    <xf numFmtId="0" fontId="31" fillId="19" borderId="0" applyNumberFormat="0" applyBorder="0" applyAlignment="0" applyProtection="0"/>
    <xf numFmtId="0" fontId="5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164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6">
    <xf numFmtId="0" fontId="0" fillId="0" borderId="0" xfId="0"/>
    <xf numFmtId="174" fontId="10" fillId="0" borderId="1" xfId="3" applyNumberFormat="1" applyFont="1" applyBorder="1" applyAlignment="1">
      <alignment horizontal="center"/>
    </xf>
    <xf numFmtId="0" fontId="0" fillId="0" borderId="0" xfId="0" applyAlignment="1">
      <alignment wrapText="1"/>
    </xf>
    <xf numFmtId="0" fontId="20" fillId="0" borderId="0" xfId="6"/>
    <xf numFmtId="4" fontId="20" fillId="0" borderId="10" xfId="6" applyNumberFormat="1" applyBorder="1" applyAlignment="1">
      <alignment horizontal="center"/>
    </xf>
    <xf numFmtId="178" fontId="21" fillId="8" borderId="18" xfId="6" applyNumberFormat="1" applyFont="1" applyFill="1" applyBorder="1" applyAlignment="1">
      <alignment horizontal="center"/>
    </xf>
    <xf numFmtId="178" fontId="21" fillId="8" borderId="2" xfId="6" applyNumberFormat="1" applyFont="1" applyFill="1" applyBorder="1" applyAlignment="1">
      <alignment horizontal="center"/>
    </xf>
    <xf numFmtId="178" fontId="21" fillId="0" borderId="0" xfId="6" applyNumberFormat="1" applyFont="1" applyAlignment="1">
      <alignment horizontal="center"/>
    </xf>
    <xf numFmtId="4" fontId="20" fillId="16" borderId="0" xfId="6" applyNumberFormat="1" applyFill="1" applyAlignment="1">
      <alignment horizontal="center"/>
    </xf>
    <xf numFmtId="0" fontId="22" fillId="0" borderId="0" xfId="6" applyFont="1"/>
    <xf numFmtId="4" fontId="20" fillId="0" borderId="0" xfId="6" applyNumberFormat="1" applyAlignment="1">
      <alignment horizontal="center"/>
    </xf>
    <xf numFmtId="178" fontId="21" fillId="8" borderId="21" xfId="6" applyNumberFormat="1" applyFont="1" applyFill="1" applyBorder="1" applyAlignment="1">
      <alignment horizontal="center"/>
    </xf>
    <xf numFmtId="0" fontId="22" fillId="0" borderId="0" xfId="6" applyFont="1" applyAlignment="1">
      <alignment horizontal="center"/>
    </xf>
    <xf numFmtId="0" fontId="21" fillId="8" borderId="19" xfId="6" applyFont="1" applyFill="1" applyBorder="1" applyAlignment="1">
      <alignment horizontal="left"/>
    </xf>
    <xf numFmtId="0" fontId="21" fillId="8" borderId="22" xfId="6" applyFont="1" applyFill="1" applyBorder="1" applyAlignment="1">
      <alignment horizontal="left"/>
    </xf>
    <xf numFmtId="0" fontId="21" fillId="8" borderId="3" xfId="6" applyFont="1" applyFill="1" applyBorder="1" applyAlignment="1">
      <alignment horizontal="left"/>
    </xf>
    <xf numFmtId="4" fontId="20" fillId="14" borderId="8" xfId="6" applyNumberFormat="1" applyFill="1" applyBorder="1" applyAlignment="1">
      <alignment horizontal="center"/>
    </xf>
    <xf numFmtId="4" fontId="20" fillId="14" borderId="16" xfId="6" applyNumberFormat="1" applyFill="1" applyBorder="1" applyAlignment="1">
      <alignment horizontal="center"/>
    </xf>
    <xf numFmtId="4" fontId="20" fillId="14" borderId="10" xfId="6" applyNumberFormat="1" applyFill="1" applyBorder="1" applyAlignment="1">
      <alignment horizontal="center"/>
    </xf>
    <xf numFmtId="169" fontId="20" fillId="0" borderId="7" xfId="9" applyFont="1" applyBorder="1" applyAlignment="1">
      <alignment horizontal="center"/>
    </xf>
    <xf numFmtId="169" fontId="20" fillId="0" borderId="11" xfId="9" applyFont="1" applyBorder="1" applyAlignment="1">
      <alignment horizontal="center"/>
    </xf>
    <xf numFmtId="169" fontId="20" fillId="0" borderId="1" xfId="9" applyFont="1" applyBorder="1" applyAlignment="1">
      <alignment horizontal="center"/>
    </xf>
    <xf numFmtId="179" fontId="25" fillId="0" borderId="0" xfId="6" applyNumberFormat="1" applyFont="1"/>
    <xf numFmtId="0" fontId="25" fillId="16" borderId="0" xfId="6" applyFont="1" applyFill="1" applyAlignment="1">
      <alignment horizontal="center"/>
    </xf>
    <xf numFmtId="179" fontId="26" fillId="8" borderId="1" xfId="6" applyNumberFormat="1" applyFont="1" applyFill="1" applyBorder="1" applyAlignment="1">
      <alignment horizontal="left"/>
    </xf>
    <xf numFmtId="179" fontId="26" fillId="8" borderId="17" xfId="6" applyNumberFormat="1" applyFont="1" applyFill="1" applyBorder="1" applyAlignment="1">
      <alignment horizontal="left"/>
    </xf>
    <xf numFmtId="179" fontId="26" fillId="8" borderId="3" xfId="6" applyNumberFormat="1" applyFont="1" applyFill="1" applyBorder="1" applyAlignment="1">
      <alignment horizontal="center"/>
    </xf>
    <xf numFmtId="4" fontId="14" fillId="0" borderId="1" xfId="6" applyNumberFormat="1" applyFont="1" applyBorder="1"/>
    <xf numFmtId="4" fontId="14" fillId="0" borderId="10" xfId="6" applyNumberFormat="1" applyFont="1" applyBorder="1"/>
    <xf numFmtId="179" fontId="26" fillId="8" borderId="20" xfId="6" applyNumberFormat="1" applyFont="1" applyFill="1" applyBorder="1" applyAlignment="1">
      <alignment horizontal="center"/>
    </xf>
    <xf numFmtId="4" fontId="14" fillId="0" borderId="15" xfId="6" applyNumberFormat="1" applyFont="1" applyBorder="1"/>
    <xf numFmtId="0" fontId="25" fillId="0" borderId="0" xfId="6" applyFont="1" applyAlignment="1">
      <alignment horizontal="center"/>
    </xf>
    <xf numFmtId="0" fontId="5" fillId="0" borderId="0" xfId="3"/>
    <xf numFmtId="40" fontId="0" fillId="0" borderId="0" xfId="0" applyNumberFormat="1"/>
    <xf numFmtId="0" fontId="0" fillId="0" borderId="0" xfId="0" quotePrefix="1"/>
    <xf numFmtId="0" fontId="0" fillId="0" borderId="0" xfId="0" applyAlignment="1">
      <alignment horizontal="center"/>
    </xf>
    <xf numFmtId="174" fontId="0" fillId="0" borderId="0" xfId="0" applyNumberFormat="1" applyAlignment="1">
      <alignment horizontal="center"/>
    </xf>
    <xf numFmtId="0" fontId="0" fillId="10" borderId="0" xfId="0" applyFill="1"/>
    <xf numFmtId="0" fontId="33" fillId="0" borderId="0" xfId="0" applyFont="1"/>
    <xf numFmtId="0" fontId="35" fillId="0" borderId="0" xfId="0" applyFont="1"/>
    <xf numFmtId="170" fontId="6" fillId="0" borderId="0" xfId="3" applyNumberFormat="1" applyFont="1" applyAlignment="1">
      <alignment horizontal="center" vertical="center"/>
    </xf>
    <xf numFmtId="171" fontId="6" fillId="0" borderId="0" xfId="3" applyNumberFormat="1" applyFont="1" applyAlignment="1">
      <alignment horizontal="center" vertical="center"/>
    </xf>
    <xf numFmtId="172" fontId="6" fillId="0" borderId="0" xfId="3" applyNumberFormat="1" applyFont="1" applyAlignment="1">
      <alignment horizontal="center" vertical="center"/>
    </xf>
    <xf numFmtId="173" fontId="6" fillId="0" borderId="0" xfId="3" applyNumberFormat="1" applyFont="1" applyAlignment="1">
      <alignment horizontal="center" vertical="center"/>
    </xf>
    <xf numFmtId="17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left" vertical="center"/>
    </xf>
    <xf numFmtId="40" fontId="7" fillId="0" borderId="0" xfId="3" applyNumberFormat="1" applyFont="1" applyAlignment="1">
      <alignment horizontal="right" vertical="center"/>
    </xf>
    <xf numFmtId="40" fontId="6" fillId="0" borderId="0" xfId="3" applyNumberFormat="1" applyFont="1" applyAlignment="1">
      <alignment horizontal="right" vertical="center"/>
    </xf>
    <xf numFmtId="40" fontId="7" fillId="0" borderId="0" xfId="3" applyNumberFormat="1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170" fontId="36" fillId="0" borderId="0" xfId="3" applyNumberFormat="1" applyFont="1" applyAlignment="1">
      <alignment horizontal="center" vertical="center"/>
    </xf>
    <xf numFmtId="0" fontId="15" fillId="0" borderId="0" xfId="3" applyFont="1" applyAlignment="1">
      <alignment horizontal="center" vertical="center"/>
    </xf>
    <xf numFmtId="4" fontId="15" fillId="0" borderId="0" xfId="3" applyNumberFormat="1" applyFont="1" applyAlignment="1">
      <alignment horizontal="center" vertical="center"/>
    </xf>
    <xf numFmtId="0" fontId="10" fillId="0" borderId="0" xfId="3" applyFont="1" applyAlignment="1">
      <alignment horizontal="left"/>
    </xf>
    <xf numFmtId="0" fontId="10" fillId="0" borderId="0" xfId="3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0" fontId="6" fillId="0" borderId="13" xfId="3" applyNumberFormat="1" applyFont="1" applyBorder="1" applyAlignment="1">
      <alignment horizontal="right" vertical="center"/>
    </xf>
    <xf numFmtId="0" fontId="12" fillId="6" borderId="25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 wrapText="1"/>
    </xf>
    <xf numFmtId="0" fontId="12" fillId="6" borderId="26" xfId="0" applyFont="1" applyFill="1" applyBorder="1" applyAlignment="1">
      <alignment horizontal="center" vertical="center" wrapText="1"/>
    </xf>
    <xf numFmtId="40" fontId="6" fillId="0" borderId="29" xfId="3" applyNumberFormat="1" applyFont="1" applyBorder="1" applyAlignment="1">
      <alignment horizontal="right" vertical="center"/>
    </xf>
    <xf numFmtId="180" fontId="10" fillId="0" borderId="1" xfId="3" applyNumberFormat="1" applyFont="1" applyBorder="1"/>
    <xf numFmtId="180" fontId="6" fillId="0" borderId="1" xfId="3" applyNumberFormat="1" applyFont="1" applyBorder="1" applyAlignment="1">
      <alignment horizontal="right" vertical="center"/>
    </xf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right" vertical="center"/>
    </xf>
    <xf numFmtId="180" fontId="10" fillId="0" borderId="28" xfId="0" applyNumberFormat="1" applyFont="1" applyBorder="1"/>
    <xf numFmtId="180" fontId="13" fillId="0" borderId="28" xfId="0" applyNumberFormat="1" applyFont="1" applyBorder="1" applyAlignment="1">
      <alignment horizontal="right"/>
    </xf>
    <xf numFmtId="180" fontId="6" fillId="0" borderId="28" xfId="0" applyNumberFormat="1" applyFont="1" applyBorder="1" applyAlignment="1">
      <alignment horizontal="right" vertical="center"/>
    </xf>
    <xf numFmtId="180" fontId="6" fillId="0" borderId="28" xfId="3" applyNumberFormat="1" applyFont="1" applyBorder="1" applyAlignment="1">
      <alignment horizontal="right" vertical="center"/>
    </xf>
    <xf numFmtId="14" fontId="8" fillId="22" borderId="31" xfId="3" applyNumberFormat="1" applyFont="1" applyFill="1" applyBorder="1" applyAlignment="1">
      <alignment horizontal="center" vertical="center"/>
    </xf>
    <xf numFmtId="14" fontId="8" fillId="22" borderId="30" xfId="3" applyNumberFormat="1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/>
    </xf>
    <xf numFmtId="0" fontId="3" fillId="22" borderId="32" xfId="0" applyFont="1" applyFill="1" applyBorder="1" applyAlignment="1">
      <alignment horizontal="center" vertical="center"/>
    </xf>
    <xf numFmtId="40" fontId="13" fillId="0" borderId="28" xfId="0" applyNumberFormat="1" applyFont="1" applyBorder="1" applyAlignment="1">
      <alignment horizontal="right"/>
    </xf>
    <xf numFmtId="40" fontId="6" fillId="0" borderId="28" xfId="0" applyNumberFormat="1" applyFont="1" applyBorder="1" applyAlignment="1">
      <alignment horizontal="right" vertical="center"/>
    </xf>
    <xf numFmtId="14" fontId="37" fillId="0" borderId="0" xfId="0" applyNumberFormat="1" applyFont="1" applyAlignment="1">
      <alignment horizontal="center"/>
    </xf>
    <xf numFmtId="0" fontId="37" fillId="0" borderId="0" xfId="0" applyFont="1" applyAlignment="1">
      <alignment horizontal="center"/>
    </xf>
    <xf numFmtId="4" fontId="36" fillId="0" borderId="0" xfId="3" applyNumberFormat="1" applyFont="1" applyAlignment="1">
      <alignment horizontal="right" vertical="center"/>
    </xf>
    <xf numFmtId="0" fontId="36" fillId="0" borderId="0" xfId="0" applyFont="1" applyAlignment="1">
      <alignment horizontal="center" vertical="center"/>
    </xf>
    <xf numFmtId="4" fontId="36" fillId="0" borderId="0" xfId="0" applyNumberFormat="1" applyFont="1" applyAlignment="1">
      <alignment horizontal="right" vertical="center"/>
    </xf>
    <xf numFmtId="0" fontId="15" fillId="3" borderId="0" xfId="3" applyFont="1" applyFill="1" applyAlignment="1">
      <alignment horizontal="center" vertical="center" wrapText="1"/>
    </xf>
    <xf numFmtId="40" fontId="7" fillId="0" borderId="0" xfId="3" applyNumberFormat="1" applyFont="1" applyAlignment="1">
      <alignment vertical="center"/>
    </xf>
    <xf numFmtId="40" fontId="40" fillId="0" borderId="0" xfId="3" applyNumberFormat="1" applyFont="1" applyAlignment="1">
      <alignment vertical="center"/>
    </xf>
    <xf numFmtId="40" fontId="40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center" vertical="center"/>
    </xf>
    <xf numFmtId="170" fontId="39" fillId="0" borderId="0" xfId="3" applyNumberFormat="1" applyFont="1" applyAlignment="1">
      <alignment horizontal="center" vertical="center"/>
    </xf>
    <xf numFmtId="172" fontId="39" fillId="0" borderId="0" xfId="3" applyNumberFormat="1" applyFont="1" applyAlignment="1">
      <alignment horizontal="center" vertical="center"/>
    </xf>
    <xf numFmtId="173" fontId="39" fillId="0" borderId="0" xfId="3" applyNumberFormat="1" applyFont="1" applyAlignment="1">
      <alignment horizontal="center" vertical="center"/>
    </xf>
    <xf numFmtId="174" fontId="39" fillId="0" borderId="0" xfId="3" applyNumberFormat="1" applyFont="1" applyAlignment="1">
      <alignment horizontal="center" vertical="center"/>
    </xf>
    <xf numFmtId="0" fontId="39" fillId="0" borderId="0" xfId="3" applyFont="1" applyAlignment="1">
      <alignment horizontal="left" vertical="center"/>
    </xf>
    <xf numFmtId="40" fontId="40" fillId="0" borderId="0" xfId="3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40" fontId="7" fillId="0" borderId="0" xfId="0" applyNumberFormat="1" applyFont="1" applyAlignment="1">
      <alignment horizontal="right" vertical="center"/>
    </xf>
    <xf numFmtId="174" fontId="6" fillId="0" borderId="1" xfId="3" applyNumberFormat="1" applyFont="1" applyBorder="1" applyAlignment="1">
      <alignment horizontal="center"/>
    </xf>
    <xf numFmtId="180" fontId="6" fillId="0" borderId="1" xfId="3" applyNumberFormat="1" applyFont="1" applyBorder="1"/>
    <xf numFmtId="180" fontId="6" fillId="0" borderId="1" xfId="3" applyNumberFormat="1" applyFont="1" applyBorder="1" applyAlignment="1">
      <alignment horizontal="right"/>
    </xf>
    <xf numFmtId="170" fontId="6" fillId="0" borderId="27" xfId="3" applyNumberFormat="1" applyFont="1" applyBorder="1" applyAlignment="1">
      <alignment horizontal="center"/>
    </xf>
    <xf numFmtId="171" fontId="6" fillId="0" borderId="28" xfId="3" applyNumberFormat="1" applyFont="1" applyBorder="1" applyAlignment="1">
      <alignment horizontal="center"/>
    </xf>
    <xf numFmtId="172" fontId="6" fillId="0" borderId="28" xfId="3" applyNumberFormat="1" applyFont="1" applyBorder="1" applyAlignment="1">
      <alignment horizontal="center"/>
    </xf>
    <xf numFmtId="173" fontId="6" fillId="0" borderId="28" xfId="3" applyNumberFormat="1" applyFont="1" applyBorder="1" applyAlignment="1">
      <alignment horizontal="center"/>
    </xf>
    <xf numFmtId="0" fontId="6" fillId="0" borderId="28" xfId="3" applyFont="1" applyBorder="1" applyAlignment="1">
      <alignment horizontal="center"/>
    </xf>
    <xf numFmtId="180" fontId="6" fillId="0" borderId="28" xfId="3" applyNumberFormat="1" applyFont="1" applyBorder="1"/>
    <xf numFmtId="180" fontId="6" fillId="0" borderId="28" xfId="3" applyNumberFormat="1" applyFont="1" applyBorder="1" applyAlignment="1">
      <alignment horizontal="right"/>
    </xf>
    <xf numFmtId="170" fontId="6" fillId="0" borderId="9" xfId="3" applyNumberFormat="1" applyFont="1" applyBorder="1" applyAlignment="1">
      <alignment horizontal="center"/>
    </xf>
    <xf numFmtId="171" fontId="6" fillId="0" borderId="1" xfId="3" applyNumberFormat="1" applyFont="1" applyBorder="1" applyAlignment="1">
      <alignment horizontal="center"/>
    </xf>
    <xf numFmtId="172" fontId="6" fillId="0" borderId="1" xfId="3" applyNumberFormat="1" applyFont="1" applyBorder="1" applyAlignment="1">
      <alignment horizontal="center"/>
    </xf>
    <xf numFmtId="173" fontId="6" fillId="0" borderId="1" xfId="3" applyNumberFormat="1" applyFont="1" applyBorder="1" applyAlignment="1">
      <alignment horizontal="center"/>
    </xf>
    <xf numFmtId="0" fontId="6" fillId="0" borderId="1" xfId="3" applyFont="1" applyBorder="1" applyAlignment="1">
      <alignment horizontal="center"/>
    </xf>
    <xf numFmtId="14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4" fontId="8" fillId="0" borderId="0" xfId="3" applyNumberFormat="1" applyFont="1" applyAlignment="1">
      <alignment horizontal="center" vertical="center"/>
    </xf>
    <xf numFmtId="170" fontId="10" fillId="0" borderId="0" xfId="3" applyNumberFormat="1" applyFont="1" applyAlignment="1">
      <alignment horizontal="center"/>
    </xf>
    <xf numFmtId="1" fontId="10" fillId="0" borderId="0" xfId="3" applyNumberFormat="1" applyFont="1" applyAlignment="1">
      <alignment horizontal="center"/>
    </xf>
    <xf numFmtId="174" fontId="10" fillId="0" borderId="0" xfId="3" applyNumberFormat="1" applyFont="1" applyAlignment="1">
      <alignment horizontal="center"/>
    </xf>
    <xf numFmtId="40" fontId="10" fillId="0" borderId="0" xfId="3" applyNumberFormat="1" applyFont="1" applyAlignment="1">
      <alignment horizontal="right"/>
    </xf>
    <xf numFmtId="169" fontId="20" fillId="0" borderId="13" xfId="9" applyFont="1" applyBorder="1" applyAlignment="1">
      <alignment horizontal="center"/>
    </xf>
    <xf numFmtId="0" fontId="0" fillId="23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44" fillId="0" borderId="0" xfId="3" applyFont="1" applyAlignment="1">
      <alignment horizontal="left"/>
    </xf>
    <xf numFmtId="4" fontId="44" fillId="0" borderId="0" xfId="3" applyNumberFormat="1" applyFont="1" applyAlignment="1">
      <alignment horizontal="right" vertical="center"/>
    </xf>
    <xf numFmtId="0" fontId="44" fillId="0" borderId="0" xfId="3" applyFont="1" applyAlignment="1">
      <alignment horizontal="center" vertical="center"/>
    </xf>
    <xf numFmtId="0" fontId="0" fillId="24" borderId="0" xfId="0" applyFill="1"/>
    <xf numFmtId="0" fontId="0" fillId="25" borderId="0" xfId="0" applyFill="1"/>
    <xf numFmtId="0" fontId="6" fillId="25" borderId="0" xfId="3" applyFont="1" applyFill="1" applyAlignment="1">
      <alignment horizontal="left" vertical="center"/>
    </xf>
    <xf numFmtId="14" fontId="46" fillId="0" borderId="0" xfId="0" applyNumberFormat="1" applyFont="1" applyAlignment="1">
      <alignment horizontal="center"/>
    </xf>
    <xf numFmtId="4" fontId="45" fillId="0" borderId="0" xfId="3" applyNumberFormat="1" applyFont="1" applyAlignment="1">
      <alignment horizontal="right" vertical="center"/>
    </xf>
    <xf numFmtId="173" fontId="10" fillId="0" borderId="0" xfId="3" applyNumberFormat="1" applyFont="1" applyAlignment="1">
      <alignment horizontal="center"/>
    </xf>
    <xf numFmtId="173" fontId="6" fillId="25" borderId="0" xfId="3" applyNumberFormat="1" applyFont="1" applyFill="1" applyAlignment="1">
      <alignment horizontal="center" vertical="center"/>
    </xf>
    <xf numFmtId="174" fontId="6" fillId="0" borderId="28" xfId="3" applyNumberFormat="1" applyFont="1" applyBorder="1" applyAlignment="1">
      <alignment horizontal="center"/>
    </xf>
    <xf numFmtId="170" fontId="10" fillId="0" borderId="34" xfId="3" applyNumberFormat="1" applyFont="1" applyBorder="1" applyAlignment="1">
      <alignment horizontal="center"/>
    </xf>
    <xf numFmtId="171" fontId="10" fillId="0" borderId="1" xfId="3" applyNumberFormat="1" applyFont="1" applyBorder="1" applyAlignment="1">
      <alignment horizontal="center"/>
    </xf>
    <xf numFmtId="172" fontId="10" fillId="0" borderId="9" xfId="3" applyNumberFormat="1" applyFont="1" applyBorder="1" applyAlignment="1">
      <alignment horizontal="center"/>
    </xf>
    <xf numFmtId="173" fontId="10" fillId="0" borderId="1" xfId="3" applyNumberFormat="1" applyFont="1" applyBorder="1" applyAlignment="1">
      <alignment horizontal="center"/>
    </xf>
    <xf numFmtId="0" fontId="10" fillId="0" borderId="1" xfId="3" applyFont="1" applyBorder="1" applyAlignment="1">
      <alignment horizontal="center"/>
    </xf>
    <xf numFmtId="180" fontId="10" fillId="0" borderId="1" xfId="3" applyNumberFormat="1" applyFont="1" applyBorder="1" applyAlignment="1">
      <alignment horizontal="right"/>
    </xf>
    <xf numFmtId="180" fontId="10" fillId="0" borderId="1" xfId="3" applyNumberFormat="1" applyFont="1" applyBorder="1" applyAlignment="1">
      <alignment horizontal="right" vertical="center"/>
    </xf>
    <xf numFmtId="170" fontId="10" fillId="0" borderId="23" xfId="3" applyNumberFormat="1" applyFont="1" applyBorder="1" applyAlignment="1">
      <alignment horizontal="center"/>
    </xf>
    <xf numFmtId="172" fontId="10" fillId="0" borderId="27" xfId="3" applyNumberFormat="1" applyFont="1" applyBorder="1" applyAlignment="1">
      <alignment horizontal="center"/>
    </xf>
    <xf numFmtId="173" fontId="10" fillId="0" borderId="28" xfId="3" applyNumberFormat="1" applyFont="1" applyBorder="1" applyAlignment="1">
      <alignment horizontal="center"/>
    </xf>
    <xf numFmtId="174" fontId="10" fillId="0" borderId="28" xfId="3" applyNumberFormat="1" applyFont="1" applyBorder="1" applyAlignment="1">
      <alignment horizontal="center"/>
    </xf>
    <xf numFmtId="180" fontId="10" fillId="0" borderId="28" xfId="3" applyNumberFormat="1" applyFont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6" fillId="0" borderId="0" xfId="0" applyFont="1" applyAlignment="1">
      <alignment horizontal="right" vertical="center"/>
    </xf>
    <xf numFmtId="180" fontId="10" fillId="0" borderId="0" xfId="0" applyNumberFormat="1" applyFont="1"/>
    <xf numFmtId="180" fontId="13" fillId="0" borderId="0" xfId="0" applyNumberFormat="1" applyFont="1" applyAlignment="1">
      <alignment horizontal="right"/>
    </xf>
    <xf numFmtId="180" fontId="6" fillId="0" borderId="0" xfId="0" applyNumberFormat="1" applyFont="1" applyAlignment="1">
      <alignment horizontal="right" vertical="center"/>
    </xf>
    <xf numFmtId="40" fontId="6" fillId="25" borderId="0" xfId="3" applyNumberFormat="1" applyFont="1" applyFill="1" applyAlignment="1">
      <alignment horizontal="right" vertical="center"/>
    </xf>
    <xf numFmtId="40" fontId="13" fillId="0" borderId="0" xfId="0" applyNumberFormat="1" applyFont="1" applyAlignment="1">
      <alignment horizontal="right"/>
    </xf>
    <xf numFmtId="40" fontId="6" fillId="0" borderId="0" xfId="0" applyNumberFormat="1" applyFont="1" applyAlignment="1">
      <alignment horizontal="right" vertical="center"/>
    </xf>
    <xf numFmtId="14" fontId="37" fillId="0" borderId="0" xfId="3" applyNumberFormat="1" applyFont="1" applyAlignment="1">
      <alignment horizontal="center"/>
    </xf>
    <xf numFmtId="181" fontId="37" fillId="0" borderId="0" xfId="3" applyNumberFormat="1" applyFont="1" applyAlignment="1">
      <alignment horizontal="center"/>
    </xf>
    <xf numFmtId="174" fontId="6" fillId="26" borderId="0" xfId="3" applyNumberFormat="1" applyFont="1" applyFill="1" applyAlignment="1">
      <alignment horizontal="center"/>
    </xf>
    <xf numFmtId="174" fontId="0" fillId="0" borderId="1" xfId="0" applyNumberFormat="1" applyBorder="1" applyAlignment="1">
      <alignment horizontal="center"/>
    </xf>
    <xf numFmtId="4" fontId="10" fillId="0" borderId="0" xfId="3" applyNumberFormat="1" applyFont="1" applyAlignment="1">
      <alignment horizontal="right" vertical="center"/>
    </xf>
    <xf numFmtId="0" fontId="37" fillId="0" borderId="0" xfId="3" applyFont="1" applyAlignment="1">
      <alignment horizontal="center"/>
    </xf>
    <xf numFmtId="0" fontId="53" fillId="0" borderId="0" xfId="0" applyFont="1" applyAlignment="1">
      <alignment horizontal="center"/>
    </xf>
    <xf numFmtId="40" fontId="54" fillId="0" borderId="0" xfId="0" applyNumberFormat="1" applyFont="1" applyAlignment="1">
      <alignment horizontal="right"/>
    </xf>
    <xf numFmtId="40" fontId="52" fillId="0" borderId="0" xfId="0" applyNumberFormat="1" applyFont="1" applyAlignment="1">
      <alignment horizontal="right" vertical="center"/>
    </xf>
    <xf numFmtId="0" fontId="52" fillId="0" borderId="0" xfId="0" applyFont="1" applyAlignment="1">
      <alignment horizontal="right" vertical="center"/>
    </xf>
    <xf numFmtId="174" fontId="6" fillId="0" borderId="1" xfId="3" applyNumberFormat="1" applyFont="1" applyBorder="1" applyAlignment="1">
      <alignment horizontal="left"/>
    </xf>
    <xf numFmtId="14" fontId="37" fillId="0" borderId="0" xfId="3" applyNumberFormat="1" applyFont="1" applyAlignment="1">
      <alignment horizontal="left"/>
    </xf>
    <xf numFmtId="0" fontId="37" fillId="0" borderId="0" xfId="0" applyFont="1" applyAlignment="1">
      <alignment horizontal="left"/>
    </xf>
    <xf numFmtId="0" fontId="56" fillId="0" borderId="27" xfId="0" applyFont="1" applyBorder="1" applyAlignment="1">
      <alignment horizontal="center"/>
    </xf>
    <xf numFmtId="0" fontId="56" fillId="0" borderId="28" xfId="0" applyFont="1" applyBorder="1" applyAlignment="1">
      <alignment horizontal="center"/>
    </xf>
    <xf numFmtId="180" fontId="56" fillId="0" borderId="28" xfId="0" applyNumberFormat="1" applyFont="1" applyBorder="1"/>
    <xf numFmtId="180" fontId="57" fillId="0" borderId="28" xfId="0" applyNumberFormat="1" applyFont="1" applyBorder="1" applyAlignment="1">
      <alignment horizontal="right"/>
    </xf>
    <xf numFmtId="180" fontId="55" fillId="0" borderId="28" xfId="0" applyNumberFormat="1" applyFont="1" applyBorder="1" applyAlignment="1">
      <alignment horizontal="right" vertical="center"/>
    </xf>
    <xf numFmtId="0" fontId="55" fillId="0" borderId="29" xfId="0" applyFont="1" applyBorder="1" applyAlignment="1">
      <alignment horizontal="right" vertical="center"/>
    </xf>
    <xf numFmtId="173" fontId="0" fillId="0" borderId="0" xfId="0" applyNumberFormat="1" applyAlignment="1">
      <alignment horizontal="center"/>
    </xf>
    <xf numFmtId="0" fontId="0" fillId="27" borderId="0" xfId="0" applyFill="1"/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/>
    </xf>
    <xf numFmtId="4" fontId="58" fillId="0" borderId="0" xfId="0" applyNumberFormat="1" applyFont="1" applyAlignment="1">
      <alignment horizontal="right" vertical="center"/>
    </xf>
    <xf numFmtId="0" fontId="62" fillId="0" borderId="27" xfId="0" applyFont="1" applyBorder="1" applyAlignment="1">
      <alignment horizontal="center"/>
    </xf>
    <xf numFmtId="0" fontId="62" fillId="0" borderId="28" xfId="0" applyFont="1" applyBorder="1" applyAlignment="1">
      <alignment horizontal="center"/>
    </xf>
    <xf numFmtId="180" fontId="62" fillId="0" borderId="28" xfId="0" applyNumberFormat="1" applyFont="1" applyBorder="1"/>
    <xf numFmtId="180" fontId="63" fillId="0" borderId="28" xfId="0" applyNumberFormat="1" applyFont="1" applyBorder="1" applyAlignment="1">
      <alignment horizontal="right"/>
    </xf>
    <xf numFmtId="180" fontId="60" fillId="0" borderId="28" xfId="0" applyNumberFormat="1" applyFont="1" applyBorder="1" applyAlignment="1">
      <alignment horizontal="right" vertical="center"/>
    </xf>
    <xf numFmtId="0" fontId="60" fillId="0" borderId="29" xfId="0" applyFont="1" applyBorder="1" applyAlignment="1">
      <alignment horizontal="right" vertical="center"/>
    </xf>
    <xf numFmtId="180" fontId="60" fillId="0" borderId="28" xfId="3" applyNumberFormat="1" applyFont="1" applyBorder="1" applyAlignment="1">
      <alignment horizontal="right"/>
    </xf>
    <xf numFmtId="180" fontId="60" fillId="0" borderId="28" xfId="3" applyNumberFormat="1" applyFont="1" applyBorder="1" applyAlignment="1">
      <alignment horizontal="right" vertical="center"/>
    </xf>
    <xf numFmtId="43" fontId="0" fillId="0" borderId="0" xfId="27" applyFont="1"/>
    <xf numFmtId="173" fontId="68" fillId="0" borderId="0" xfId="3" applyNumberFormat="1" applyFont="1" applyAlignment="1">
      <alignment horizontal="center"/>
    </xf>
    <xf numFmtId="4" fontId="68" fillId="0" borderId="0" xfId="3" applyNumberFormat="1" applyFont="1" applyAlignment="1">
      <alignment horizontal="right" vertical="center"/>
    </xf>
    <xf numFmtId="0" fontId="68" fillId="0" borderId="0" xfId="3" applyFont="1" applyAlignment="1">
      <alignment horizontal="center" vertical="center"/>
    </xf>
    <xf numFmtId="0" fontId="68" fillId="0" borderId="0" xfId="0" applyFont="1" applyAlignment="1">
      <alignment horizontal="center" vertical="center"/>
    </xf>
    <xf numFmtId="0" fontId="68" fillId="0" borderId="0" xfId="0" applyFont="1" applyAlignment="1">
      <alignment horizontal="left" vertical="center"/>
    </xf>
    <xf numFmtId="4" fontId="68" fillId="0" borderId="0" xfId="0" applyNumberFormat="1" applyFont="1" applyAlignment="1">
      <alignment horizontal="right" vertical="center"/>
    </xf>
    <xf numFmtId="2" fontId="0" fillId="0" borderId="0" xfId="0" applyNumberFormat="1"/>
    <xf numFmtId="0" fontId="68" fillId="0" borderId="27" xfId="0" applyFont="1" applyBorder="1" applyAlignment="1">
      <alignment horizontal="center"/>
    </xf>
    <xf numFmtId="0" fontId="68" fillId="0" borderId="28" xfId="0" applyFont="1" applyBorder="1" applyAlignment="1">
      <alignment horizontal="center"/>
    </xf>
    <xf numFmtId="180" fontId="68" fillId="0" borderId="28" xfId="0" applyNumberFormat="1" applyFont="1" applyBorder="1"/>
    <xf numFmtId="180" fontId="69" fillId="0" borderId="28" xfId="0" applyNumberFormat="1" applyFont="1" applyBorder="1" applyAlignment="1">
      <alignment horizontal="right"/>
    </xf>
    <xf numFmtId="180" fontId="66" fillId="0" borderId="28" xfId="0" applyNumberFormat="1" applyFont="1" applyBorder="1" applyAlignment="1">
      <alignment horizontal="right" vertical="center"/>
    </xf>
    <xf numFmtId="0" fontId="66" fillId="0" borderId="29" xfId="0" applyFont="1" applyBorder="1" applyAlignment="1">
      <alignment horizontal="right" vertical="center"/>
    </xf>
    <xf numFmtId="4" fontId="70" fillId="0" borderId="0" xfId="3" applyNumberFormat="1" applyFont="1" applyAlignment="1">
      <alignment horizontal="right" vertical="center"/>
    </xf>
    <xf numFmtId="0" fontId="70" fillId="0" borderId="0" xfId="0" applyFont="1" applyAlignment="1">
      <alignment horizontal="center" vertical="center"/>
    </xf>
    <xf numFmtId="0" fontId="71" fillId="0" borderId="0" xfId="0" applyFont="1" applyAlignment="1">
      <alignment horizontal="center"/>
    </xf>
    <xf numFmtId="4" fontId="70" fillId="0" borderId="0" xfId="0" applyNumberFormat="1" applyFont="1" applyAlignment="1">
      <alignment horizontal="right" vertical="center"/>
    </xf>
    <xf numFmtId="0" fontId="70" fillId="0" borderId="0" xfId="0" applyFont="1" applyAlignment="1">
      <alignment horizontal="right" vertical="center"/>
    </xf>
    <xf numFmtId="4" fontId="66" fillId="0" borderId="0" xfId="3" applyNumberFormat="1" applyFont="1" applyAlignment="1">
      <alignment horizontal="right" vertical="center"/>
    </xf>
    <xf numFmtId="0" fontId="72" fillId="22" borderId="35" xfId="0" applyFont="1" applyFill="1" applyBorder="1" applyAlignment="1">
      <alignment horizontal="center" vertical="center"/>
    </xf>
    <xf numFmtId="170" fontId="73" fillId="0" borderId="0" xfId="3" applyNumberFormat="1" applyFont="1" applyAlignment="1">
      <alignment horizontal="center" vertical="center"/>
    </xf>
    <xf numFmtId="171" fontId="73" fillId="0" borderId="0" xfId="3" applyNumberFormat="1" applyFont="1" applyAlignment="1">
      <alignment horizontal="center" vertical="center"/>
    </xf>
    <xf numFmtId="172" fontId="73" fillId="0" borderId="0" xfId="3" applyNumberFormat="1" applyFont="1" applyAlignment="1">
      <alignment horizontal="center" vertical="center"/>
    </xf>
    <xf numFmtId="174" fontId="73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left" vertical="center"/>
    </xf>
    <xf numFmtId="40" fontId="74" fillId="0" borderId="0" xfId="3" applyNumberFormat="1" applyFont="1" applyAlignment="1">
      <alignment horizontal="right" vertical="center"/>
    </xf>
    <xf numFmtId="40" fontId="74" fillId="0" borderId="0" xfId="3" applyNumberFormat="1" applyFont="1" applyAlignment="1">
      <alignment vertical="center"/>
    </xf>
    <xf numFmtId="40" fontId="74" fillId="0" borderId="0" xfId="3" applyNumberFormat="1" applyFont="1" applyAlignment="1">
      <alignment horizontal="center" vertical="center"/>
    </xf>
    <xf numFmtId="0" fontId="73" fillId="0" borderId="0" xfId="3" applyFont="1" applyAlignment="1">
      <alignment horizontal="center" vertical="center"/>
    </xf>
    <xf numFmtId="173" fontId="75" fillId="0" borderId="0" xfId="3" applyNumberFormat="1" applyFont="1" applyAlignment="1">
      <alignment horizontal="center"/>
    </xf>
    <xf numFmtId="174" fontId="75" fillId="0" borderId="0" xfId="3" applyNumberFormat="1" applyFont="1" applyAlignment="1">
      <alignment horizontal="center"/>
    </xf>
    <xf numFmtId="0" fontId="75" fillId="0" borderId="0" xfId="3" applyFont="1" applyAlignment="1">
      <alignment horizontal="left"/>
    </xf>
    <xf numFmtId="4" fontId="75" fillId="0" borderId="0" xfId="3" applyNumberFormat="1" applyFont="1" applyAlignment="1">
      <alignment horizontal="right" vertical="center"/>
    </xf>
    <xf numFmtId="0" fontId="75" fillId="0" borderId="0" xfId="3" applyFont="1" applyAlignment="1">
      <alignment horizontal="center" vertical="center"/>
    </xf>
    <xf numFmtId="170" fontId="76" fillId="0" borderId="0" xfId="3" applyNumberFormat="1" applyFont="1" applyAlignment="1">
      <alignment horizontal="center" vertical="center"/>
    </xf>
    <xf numFmtId="4" fontId="76" fillId="0" borderId="0" xfId="3" applyNumberFormat="1" applyFont="1" applyAlignment="1">
      <alignment horizontal="right" vertical="center"/>
    </xf>
    <xf numFmtId="0" fontId="77" fillId="0" borderId="0" xfId="0" applyFont="1" applyAlignment="1">
      <alignment horizontal="center"/>
    </xf>
    <xf numFmtId="0" fontId="77" fillId="0" borderId="0" xfId="3" applyFont="1" applyAlignment="1">
      <alignment horizontal="center"/>
    </xf>
    <xf numFmtId="173" fontId="73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right" vertical="center"/>
    </xf>
    <xf numFmtId="43" fontId="75" fillId="0" borderId="0" xfId="27" applyFont="1" applyFill="1" applyAlignment="1">
      <alignment horizontal="right" vertical="center"/>
    </xf>
    <xf numFmtId="0" fontId="36" fillId="0" borderId="0" xfId="0" applyFont="1" applyAlignment="1">
      <alignment horizontal="right" vertical="center"/>
    </xf>
    <xf numFmtId="4" fontId="73" fillId="0" borderId="0" xfId="3" applyNumberFormat="1" applyFont="1" applyAlignment="1">
      <alignment horizontal="right" vertical="center"/>
    </xf>
    <xf numFmtId="0" fontId="78" fillId="22" borderId="35" xfId="0" applyFont="1" applyFill="1" applyBorder="1" applyAlignment="1">
      <alignment horizontal="center" vertical="center"/>
    </xf>
    <xf numFmtId="43" fontId="3" fillId="0" borderId="0" xfId="27" applyFont="1"/>
    <xf numFmtId="39" fontId="0" fillId="0" borderId="1" xfId="0" applyNumberFormat="1" applyBorder="1"/>
    <xf numFmtId="0" fontId="3" fillId="0" borderId="1" xfId="0" applyFont="1" applyBorder="1" applyAlignment="1">
      <alignment horizontal="left"/>
    </xf>
    <xf numFmtId="0" fontId="3" fillId="0" borderId="13" xfId="0" applyFont="1" applyBorder="1"/>
    <xf numFmtId="0" fontId="80" fillId="0" borderId="0" xfId="0" applyFont="1" applyAlignment="1">
      <alignment horizontal="center"/>
    </xf>
    <xf numFmtId="182" fontId="80" fillId="0" borderId="0" xfId="0" applyNumberFormat="1" applyFont="1" applyAlignment="1">
      <alignment horizontal="center"/>
    </xf>
    <xf numFmtId="4" fontId="79" fillId="0" borderId="0" xfId="3" applyNumberFormat="1" applyFont="1" applyAlignment="1">
      <alignment horizontal="right" vertical="center"/>
    </xf>
    <xf numFmtId="4" fontId="81" fillId="0" borderId="0" xfId="3" applyNumberFormat="1" applyFont="1" applyAlignment="1">
      <alignment horizontal="right" vertical="center"/>
    </xf>
    <xf numFmtId="0" fontId="3" fillId="22" borderId="35" xfId="0" applyFont="1" applyFill="1" applyBorder="1" applyAlignment="1">
      <alignment horizontal="center" vertical="center"/>
    </xf>
    <xf numFmtId="170" fontId="83" fillId="0" borderId="34" xfId="3" applyNumberFormat="1" applyFont="1" applyBorder="1" applyAlignment="1">
      <alignment horizontal="center"/>
    </xf>
    <xf numFmtId="171" fontId="83" fillId="0" borderId="1" xfId="3" applyNumberFormat="1" applyFont="1" applyBorder="1" applyAlignment="1">
      <alignment horizontal="center"/>
    </xf>
    <xf numFmtId="172" fontId="83" fillId="0" borderId="9" xfId="3" applyNumberFormat="1" applyFont="1" applyBorder="1" applyAlignment="1">
      <alignment horizontal="center"/>
    </xf>
    <xf numFmtId="173" fontId="83" fillId="0" borderId="1" xfId="3" applyNumberFormat="1" applyFont="1" applyBorder="1" applyAlignment="1">
      <alignment horizontal="center"/>
    </xf>
    <xf numFmtId="0" fontId="83" fillId="0" borderId="1" xfId="3" applyFont="1" applyBorder="1" applyAlignment="1">
      <alignment horizontal="center"/>
    </xf>
    <xf numFmtId="174" fontId="83" fillId="0" borderId="1" xfId="3" applyNumberFormat="1" applyFont="1" applyBorder="1" applyAlignment="1">
      <alignment horizontal="center"/>
    </xf>
    <xf numFmtId="180" fontId="83" fillId="0" borderId="1" xfId="3" applyNumberFormat="1" applyFont="1" applyBorder="1"/>
    <xf numFmtId="180" fontId="83" fillId="0" borderId="1" xfId="3" applyNumberFormat="1" applyFont="1" applyBorder="1" applyAlignment="1">
      <alignment horizontal="right"/>
    </xf>
    <xf numFmtId="180" fontId="83" fillId="0" borderId="1" xfId="3" applyNumberFormat="1" applyFont="1" applyBorder="1" applyAlignment="1">
      <alignment horizontal="right" vertical="center"/>
    </xf>
    <xf numFmtId="40" fontId="81" fillId="0" borderId="13" xfId="3" applyNumberFormat="1" applyFont="1" applyBorder="1" applyAlignment="1">
      <alignment horizontal="right" vertical="center"/>
    </xf>
    <xf numFmtId="170" fontId="83" fillId="0" borderId="23" xfId="3" applyNumberFormat="1" applyFont="1" applyBorder="1" applyAlignment="1">
      <alignment horizontal="center"/>
    </xf>
    <xf numFmtId="171" fontId="83" fillId="0" borderId="28" xfId="3" applyNumberFormat="1" applyFont="1" applyBorder="1" applyAlignment="1">
      <alignment horizontal="center"/>
    </xf>
    <xf numFmtId="172" fontId="83" fillId="0" borderId="27" xfId="3" applyNumberFormat="1" applyFont="1" applyBorder="1" applyAlignment="1">
      <alignment horizontal="center"/>
    </xf>
    <xf numFmtId="173" fontId="83" fillId="0" borderId="28" xfId="3" applyNumberFormat="1" applyFont="1" applyBorder="1" applyAlignment="1">
      <alignment horizontal="center"/>
    </xf>
    <xf numFmtId="0" fontId="83" fillId="0" borderId="28" xfId="3" applyFont="1" applyBorder="1" applyAlignment="1">
      <alignment horizontal="center"/>
    </xf>
    <xf numFmtId="174" fontId="83" fillId="0" borderId="28" xfId="3" applyNumberFormat="1" applyFont="1" applyBorder="1" applyAlignment="1">
      <alignment horizontal="center"/>
    </xf>
    <xf numFmtId="180" fontId="83" fillId="0" borderId="28" xfId="3" applyNumberFormat="1" applyFont="1" applyBorder="1"/>
    <xf numFmtId="180" fontId="83" fillId="0" borderId="28" xfId="3" applyNumberFormat="1" applyFont="1" applyBorder="1" applyAlignment="1">
      <alignment horizontal="right"/>
    </xf>
    <xf numFmtId="180" fontId="83" fillId="0" borderId="28" xfId="3" applyNumberFormat="1" applyFont="1" applyBorder="1" applyAlignment="1">
      <alignment horizontal="right" vertical="center"/>
    </xf>
    <xf numFmtId="40" fontId="81" fillId="0" borderId="29" xfId="3" applyNumberFormat="1" applyFont="1" applyBorder="1" applyAlignment="1">
      <alignment horizontal="right" vertical="center"/>
    </xf>
    <xf numFmtId="170" fontId="83" fillId="29" borderId="34" xfId="3" applyNumberFormat="1" applyFont="1" applyFill="1" applyBorder="1" applyAlignment="1">
      <alignment horizontal="center"/>
    </xf>
    <xf numFmtId="171" fontId="83" fillId="29" borderId="1" xfId="3" applyNumberFormat="1" applyFont="1" applyFill="1" applyBorder="1" applyAlignment="1">
      <alignment horizontal="center"/>
    </xf>
    <xf numFmtId="172" fontId="83" fillId="29" borderId="9" xfId="3" applyNumberFormat="1" applyFont="1" applyFill="1" applyBorder="1" applyAlignment="1">
      <alignment horizontal="center"/>
    </xf>
    <xf numFmtId="173" fontId="83" fillId="29" borderId="1" xfId="3" applyNumberFormat="1" applyFont="1" applyFill="1" applyBorder="1" applyAlignment="1">
      <alignment horizontal="center"/>
    </xf>
    <xf numFmtId="0" fontId="83" fillId="29" borderId="1" xfId="3" applyFont="1" applyFill="1" applyBorder="1" applyAlignment="1">
      <alignment horizontal="center"/>
    </xf>
    <xf numFmtId="174" fontId="83" fillId="29" borderId="1" xfId="3" applyNumberFormat="1" applyFont="1" applyFill="1" applyBorder="1" applyAlignment="1">
      <alignment horizontal="center"/>
    </xf>
    <xf numFmtId="180" fontId="83" fillId="29" borderId="1" xfId="3" applyNumberFormat="1" applyFont="1" applyFill="1" applyBorder="1"/>
    <xf numFmtId="172" fontId="81" fillId="0" borderId="0" xfId="3" applyNumberFormat="1" applyFont="1" applyAlignment="1">
      <alignment horizontal="center" vertical="center"/>
    </xf>
    <xf numFmtId="173" fontId="81" fillId="0" borderId="0" xfId="3" applyNumberFormat="1" applyFont="1" applyAlignment="1">
      <alignment horizontal="center" vertical="center"/>
    </xf>
    <xf numFmtId="174" fontId="81" fillId="0" borderId="0" xfId="3" applyNumberFormat="1" applyFont="1" applyAlignment="1">
      <alignment horizontal="center" vertical="center"/>
    </xf>
    <xf numFmtId="0" fontId="81" fillId="0" borderId="0" xfId="3" applyFont="1" applyAlignment="1">
      <alignment horizontal="center" vertical="center"/>
    </xf>
    <xf numFmtId="170" fontId="79" fillId="0" borderId="0" xfId="3" applyNumberFormat="1" applyFont="1" applyAlignment="1">
      <alignment horizontal="center" vertical="center"/>
    </xf>
    <xf numFmtId="43" fontId="36" fillId="0" borderId="0" xfId="27" applyFont="1" applyAlignment="1">
      <alignment horizontal="center" vertical="center"/>
    </xf>
    <xf numFmtId="43" fontId="79" fillId="0" borderId="0" xfId="27" applyFont="1" applyFill="1" applyAlignment="1">
      <alignment horizontal="center" vertical="center"/>
    </xf>
    <xf numFmtId="4" fontId="0" fillId="0" borderId="0" xfId="0" applyNumberFormat="1"/>
    <xf numFmtId="0" fontId="86" fillId="0" borderId="27" xfId="0" applyFont="1" applyBorder="1" applyAlignment="1">
      <alignment horizontal="center"/>
    </xf>
    <xf numFmtId="0" fontId="86" fillId="0" borderId="28" xfId="0" applyFont="1" applyBorder="1" applyAlignment="1">
      <alignment horizontal="center"/>
    </xf>
    <xf numFmtId="40" fontId="89" fillId="0" borderId="28" xfId="0" applyNumberFormat="1" applyFont="1" applyBorder="1" applyAlignment="1">
      <alignment horizontal="right"/>
    </xf>
    <xf numFmtId="40" fontId="84" fillId="0" borderId="28" xfId="0" applyNumberFormat="1" applyFont="1" applyBorder="1" applyAlignment="1">
      <alignment horizontal="right" vertical="center"/>
    </xf>
    <xf numFmtId="0" fontId="84" fillId="0" borderId="29" xfId="0" applyFont="1" applyBorder="1" applyAlignment="1">
      <alignment horizontal="right" vertical="center"/>
    </xf>
    <xf numFmtId="173" fontId="86" fillId="0" borderId="0" xfId="3" applyNumberFormat="1" applyFont="1" applyAlignment="1">
      <alignment horizontal="center"/>
    </xf>
    <xf numFmtId="174" fontId="86" fillId="0" borderId="0" xfId="3" applyNumberFormat="1" applyFont="1" applyAlignment="1">
      <alignment horizontal="center"/>
    </xf>
    <xf numFmtId="0" fontId="86" fillId="0" borderId="0" xfId="3" applyFont="1" applyAlignment="1">
      <alignment horizontal="left"/>
    </xf>
    <xf numFmtId="0" fontId="86" fillId="0" borderId="0" xfId="3" applyFont="1" applyAlignment="1">
      <alignment horizontal="center" vertical="center"/>
    </xf>
    <xf numFmtId="43" fontId="86" fillId="0" borderId="0" xfId="27" applyFont="1" applyFill="1" applyAlignment="1">
      <alignment horizontal="right" vertical="center"/>
    </xf>
    <xf numFmtId="172" fontId="84" fillId="0" borderId="0" xfId="3" applyNumberFormat="1" applyFont="1" applyAlignment="1">
      <alignment horizontal="center" vertical="center"/>
    </xf>
    <xf numFmtId="173" fontId="84" fillId="0" borderId="0" xfId="3" applyNumberFormat="1" applyFont="1" applyAlignment="1">
      <alignment horizontal="center" vertical="center"/>
    </xf>
    <xf numFmtId="174" fontId="84" fillId="0" borderId="0" xfId="3" applyNumberFormat="1" applyFont="1" applyAlignment="1">
      <alignment horizontal="center" vertical="center"/>
    </xf>
    <xf numFmtId="170" fontId="87" fillId="0" borderId="0" xfId="3" applyNumberFormat="1" applyFont="1" applyAlignment="1">
      <alignment horizontal="center" vertical="center"/>
    </xf>
    <xf numFmtId="0" fontId="88" fillId="0" borderId="0" xfId="3" applyFont="1" applyAlignment="1">
      <alignment horizontal="center"/>
    </xf>
    <xf numFmtId="4" fontId="87" fillId="0" borderId="0" xfId="3" applyNumberFormat="1" applyFont="1" applyAlignment="1">
      <alignment horizontal="right" vertical="center"/>
    </xf>
    <xf numFmtId="170" fontId="36" fillId="28" borderId="0" xfId="3" applyNumberFormat="1" applyFont="1" applyFill="1" applyAlignment="1">
      <alignment horizontal="center" vertical="center"/>
    </xf>
    <xf numFmtId="40" fontId="6" fillId="0" borderId="0" xfId="3" applyNumberFormat="1" applyFont="1" applyAlignment="1">
      <alignment horizontal="center" vertical="center"/>
    </xf>
    <xf numFmtId="0" fontId="0" fillId="30" borderId="1" xfId="0" applyFill="1" applyBorder="1"/>
    <xf numFmtId="170" fontId="60" fillId="0" borderId="0" xfId="3" applyNumberFormat="1" applyFont="1" applyAlignment="1">
      <alignment horizontal="center" vertical="center"/>
    </xf>
    <xf numFmtId="171" fontId="60" fillId="0" borderId="0" xfId="3" applyNumberFormat="1" applyFont="1" applyAlignment="1">
      <alignment horizontal="center" vertical="center"/>
    </xf>
    <xf numFmtId="172" fontId="60" fillId="0" borderId="0" xfId="3" applyNumberFormat="1" applyFont="1" applyAlignment="1">
      <alignment horizontal="center" vertical="center"/>
    </xf>
    <xf numFmtId="174" fontId="60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left" vertical="center"/>
    </xf>
    <xf numFmtId="40" fontId="61" fillId="0" borderId="0" xfId="3" applyNumberFormat="1" applyFont="1" applyAlignment="1">
      <alignment horizontal="right" vertical="center"/>
    </xf>
    <xf numFmtId="40" fontId="61" fillId="0" borderId="0" xfId="3" applyNumberFormat="1" applyFont="1" applyAlignment="1">
      <alignment vertical="center"/>
    </xf>
    <xf numFmtId="40" fontId="61" fillId="0" borderId="0" xfId="3" applyNumberFormat="1" applyFont="1" applyAlignment="1">
      <alignment horizontal="center" vertical="center"/>
    </xf>
    <xf numFmtId="0" fontId="60" fillId="0" borderId="0" xfId="3" applyFont="1" applyAlignment="1">
      <alignment horizontal="center" vertical="center"/>
    </xf>
    <xf numFmtId="170" fontId="90" fillId="0" borderId="0" xfId="3" applyNumberFormat="1" applyFont="1" applyAlignment="1">
      <alignment horizontal="center" vertical="center"/>
    </xf>
    <xf numFmtId="172" fontId="90" fillId="0" borderId="0" xfId="3" applyNumberFormat="1" applyFont="1" applyAlignment="1">
      <alignment horizontal="center" vertical="center"/>
    </xf>
    <xf numFmtId="173" fontId="90" fillId="0" borderId="0" xfId="3" applyNumberFormat="1" applyFont="1" applyAlignment="1">
      <alignment horizontal="center" vertical="center"/>
    </xf>
    <xf numFmtId="174" fontId="90" fillId="0" borderId="0" xfId="3" applyNumberFormat="1" applyFont="1" applyAlignment="1">
      <alignment horizontal="center" vertical="center"/>
    </xf>
    <xf numFmtId="0" fontId="90" fillId="0" borderId="0" xfId="3" applyFont="1" applyAlignment="1">
      <alignment horizontal="left" vertical="center"/>
    </xf>
    <xf numFmtId="40" fontId="91" fillId="0" borderId="0" xfId="3" applyNumberFormat="1" applyFont="1" applyAlignment="1">
      <alignment horizontal="right" vertical="center"/>
    </xf>
    <xf numFmtId="40" fontId="91" fillId="0" borderId="0" xfId="3" applyNumberFormat="1" applyFont="1" applyAlignment="1">
      <alignment vertical="center"/>
    </xf>
    <xf numFmtId="0" fontId="90" fillId="0" borderId="0" xfId="3" applyFont="1" applyAlignment="1">
      <alignment horizontal="center" vertical="center"/>
    </xf>
    <xf numFmtId="171" fontId="90" fillId="0" borderId="0" xfId="3" applyNumberFormat="1" applyFont="1" applyAlignment="1">
      <alignment horizontal="center" vertical="center"/>
    </xf>
    <xf numFmtId="40" fontId="91" fillId="0" borderId="0" xfId="3" applyNumberFormat="1" applyFont="1" applyAlignment="1">
      <alignment horizontal="center" vertical="center"/>
    </xf>
    <xf numFmtId="170" fontId="64" fillId="0" borderId="0" xfId="3" applyNumberFormat="1" applyFont="1" applyAlignment="1">
      <alignment horizontal="center" vertical="center"/>
    </xf>
    <xf numFmtId="172" fontId="64" fillId="0" borderId="0" xfId="3" applyNumberFormat="1" applyFont="1" applyAlignment="1">
      <alignment horizontal="center" vertical="center"/>
    </xf>
    <xf numFmtId="174" fontId="64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left" vertical="center"/>
    </xf>
    <xf numFmtId="40" fontId="65" fillId="0" borderId="0" xfId="3" applyNumberFormat="1" applyFont="1" applyAlignment="1">
      <alignment horizontal="right" vertical="center"/>
    </xf>
    <xf numFmtId="40" fontId="65" fillId="0" borderId="0" xfId="3" applyNumberFormat="1" applyFont="1" applyAlignment="1">
      <alignment vertical="center"/>
    </xf>
    <xf numFmtId="40" fontId="65" fillId="0" borderId="0" xfId="3" applyNumberFormat="1" applyFont="1" applyAlignment="1">
      <alignment horizontal="center" vertical="center"/>
    </xf>
    <xf numFmtId="0" fontId="64" fillId="0" borderId="0" xfId="3" applyFont="1" applyAlignment="1">
      <alignment horizontal="center" vertical="center"/>
    </xf>
    <xf numFmtId="173" fontId="92" fillId="0" borderId="0" xfId="3" applyNumberFormat="1" applyFont="1" applyAlignment="1">
      <alignment horizontal="center"/>
    </xf>
    <xf numFmtId="174" fontId="92" fillId="0" borderId="0" xfId="3" applyNumberFormat="1" applyFont="1" applyAlignment="1">
      <alignment horizontal="center"/>
    </xf>
    <xf numFmtId="0" fontId="92" fillId="0" borderId="0" xfId="3" applyFont="1" applyAlignment="1">
      <alignment horizontal="left"/>
    </xf>
    <xf numFmtId="4" fontId="92" fillId="0" borderId="0" xfId="3" applyNumberFormat="1" applyFont="1" applyAlignment="1">
      <alignment horizontal="right" vertical="center"/>
    </xf>
    <xf numFmtId="0" fontId="92" fillId="0" borderId="0" xfId="3" applyFont="1" applyAlignment="1">
      <alignment horizontal="center" vertical="center"/>
    </xf>
    <xf numFmtId="0" fontId="68" fillId="0" borderId="0" xfId="3" applyFont="1" applyAlignment="1">
      <alignment horizontal="center"/>
    </xf>
    <xf numFmtId="40" fontId="67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vertical="center"/>
    </xf>
    <xf numFmtId="0" fontId="66" fillId="0" borderId="0" xfId="3" applyFont="1" applyAlignment="1">
      <alignment horizontal="center" vertical="center"/>
    </xf>
    <xf numFmtId="0" fontId="0" fillId="0" borderId="0" xfId="0" applyAlignment="1">
      <alignment horizontal="left"/>
    </xf>
    <xf numFmtId="0" fontId="15" fillId="3" borderId="0" xfId="3" applyFont="1" applyFill="1" applyAlignment="1">
      <alignment horizontal="left" vertical="center" wrapText="1"/>
    </xf>
    <xf numFmtId="0" fontId="39" fillId="0" borderId="0" xfId="3" applyFont="1" applyAlignment="1">
      <alignment horizontal="left"/>
    </xf>
    <xf numFmtId="0" fontId="66" fillId="0" borderId="0" xfId="3" applyFont="1" applyAlignment="1">
      <alignment horizontal="left"/>
    </xf>
    <xf numFmtId="0" fontId="6" fillId="0" borderId="0" xfId="3" applyFont="1" applyAlignment="1">
      <alignment horizontal="left"/>
    </xf>
    <xf numFmtId="14" fontId="8" fillId="22" borderId="30" xfId="3" applyNumberFormat="1" applyFont="1" applyFill="1" applyBorder="1" applyAlignment="1">
      <alignment horizontal="left" vertical="center"/>
    </xf>
    <xf numFmtId="4" fontId="36" fillId="0" borderId="0" xfId="0" applyNumberFormat="1" applyFont="1" applyAlignment="1">
      <alignment horizontal="left" vertical="center"/>
    </xf>
    <xf numFmtId="4" fontId="70" fillId="0" borderId="0" xfId="0" applyNumberFormat="1" applyFont="1" applyAlignment="1">
      <alignment horizontal="left" vertical="center"/>
    </xf>
    <xf numFmtId="0" fontId="15" fillId="0" borderId="0" xfId="3" applyFont="1" applyAlignment="1">
      <alignment horizontal="left" vertical="center"/>
    </xf>
    <xf numFmtId="174" fontId="68" fillId="0" borderId="0" xfId="3" applyNumberFormat="1" applyFont="1" applyAlignment="1">
      <alignment horizontal="left"/>
    </xf>
    <xf numFmtId="0" fontId="12" fillId="6" borderId="11" xfId="0" applyFont="1" applyFill="1" applyBorder="1" applyAlignment="1">
      <alignment horizontal="left" vertical="center" wrapText="1"/>
    </xf>
    <xf numFmtId="0" fontId="68" fillId="0" borderId="28" xfId="0" applyFont="1" applyBorder="1" applyAlignment="1">
      <alignment horizontal="left"/>
    </xf>
    <xf numFmtId="174" fontId="10" fillId="0" borderId="1" xfId="3" applyNumberFormat="1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8" fillId="0" borderId="0" xfId="3" applyFont="1" applyAlignment="1">
      <alignment horizontal="left" vertical="center"/>
    </xf>
    <xf numFmtId="170" fontId="94" fillId="0" borderId="0" xfId="3" applyNumberFormat="1" applyFont="1" applyAlignment="1">
      <alignment horizontal="center" vertical="center"/>
    </xf>
    <xf numFmtId="182" fontId="95" fillId="0" borderId="0" xfId="0" applyNumberFormat="1" applyFont="1" applyAlignment="1">
      <alignment horizontal="center"/>
    </xf>
    <xf numFmtId="4" fontId="94" fillId="0" borderId="0" xfId="3" applyNumberFormat="1" applyFont="1" applyAlignment="1">
      <alignment horizontal="left" vertical="center"/>
    </xf>
    <xf numFmtId="4" fontId="94" fillId="0" borderId="0" xfId="3" applyNumberFormat="1" applyFont="1" applyAlignment="1">
      <alignment horizontal="right" vertical="center"/>
    </xf>
    <xf numFmtId="4" fontId="90" fillId="0" borderId="0" xfId="3" applyNumberFormat="1" applyFont="1" applyAlignment="1">
      <alignment horizontal="right" vertical="center"/>
    </xf>
    <xf numFmtId="180" fontId="92" fillId="0" borderId="1" xfId="3" applyNumberFormat="1" applyFont="1" applyBorder="1" applyAlignment="1">
      <alignment horizontal="right"/>
    </xf>
    <xf numFmtId="180" fontId="92" fillId="0" borderId="1" xfId="3" applyNumberFormat="1" applyFont="1" applyBorder="1" applyAlignment="1">
      <alignment horizontal="right" vertical="center"/>
    </xf>
    <xf numFmtId="40" fontId="90" fillId="0" borderId="13" xfId="3" applyNumberFormat="1" applyFont="1" applyBorder="1" applyAlignment="1">
      <alignment horizontal="right" vertical="center"/>
    </xf>
    <xf numFmtId="40" fontId="74" fillId="25" borderId="0" xfId="3" applyNumberFormat="1" applyFont="1" applyFill="1" applyAlignment="1">
      <alignment horizontal="center" vertical="center"/>
    </xf>
    <xf numFmtId="4" fontId="6" fillId="0" borderId="0" xfId="3" applyNumberFormat="1" applyFont="1" applyAlignment="1">
      <alignment horizontal="right" vertical="center"/>
    </xf>
    <xf numFmtId="174" fontId="73" fillId="0" borderId="0" xfId="3" applyNumberFormat="1" applyFont="1" applyAlignment="1">
      <alignment horizontal="center"/>
    </xf>
    <xf numFmtId="177" fontId="0" fillId="0" borderId="0" xfId="0" applyNumberFormat="1"/>
    <xf numFmtId="172" fontId="92" fillId="0" borderId="9" xfId="3" applyNumberFormat="1" applyFont="1" applyBorder="1" applyAlignment="1">
      <alignment horizontal="center"/>
    </xf>
    <xf numFmtId="173" fontId="92" fillId="0" borderId="1" xfId="3" applyNumberFormat="1" applyFont="1" applyBorder="1" applyAlignment="1">
      <alignment horizontal="center"/>
    </xf>
    <xf numFmtId="0" fontId="92" fillId="0" borderId="1" xfId="3" applyFont="1" applyBorder="1" applyAlignment="1">
      <alignment horizontal="center"/>
    </xf>
    <xf numFmtId="174" fontId="92" fillId="0" borderId="1" xfId="3" applyNumberFormat="1" applyFont="1" applyBorder="1" applyAlignment="1">
      <alignment horizontal="center"/>
    </xf>
    <xf numFmtId="180" fontId="10" fillId="25" borderId="1" xfId="3" applyNumberFormat="1" applyFont="1" applyFill="1" applyBorder="1"/>
    <xf numFmtId="170" fontId="6" fillId="0" borderId="1" xfId="3" applyNumberFormat="1" applyFont="1" applyBorder="1" applyAlignment="1">
      <alignment horizontal="center" vertical="center"/>
    </xf>
    <xf numFmtId="173" fontId="73" fillId="25" borderId="0" xfId="3" applyNumberFormat="1" applyFont="1" applyFill="1" applyAlignment="1">
      <alignment horizontal="center" vertical="center"/>
    </xf>
    <xf numFmtId="40" fontId="7" fillId="25" borderId="0" xfId="3" applyNumberFormat="1" applyFont="1" applyFill="1" applyAlignment="1">
      <alignment horizontal="right" vertical="center"/>
    </xf>
    <xf numFmtId="0" fontId="7" fillId="0" borderId="0" xfId="0" applyFont="1" applyAlignment="1">
      <alignment horizontal="right" vertical="center"/>
    </xf>
    <xf numFmtId="0" fontId="97" fillId="0" borderId="0" xfId="0" applyFont="1"/>
    <xf numFmtId="170" fontId="98" fillId="0" borderId="34" xfId="3" applyNumberFormat="1" applyFont="1" applyBorder="1" applyAlignment="1">
      <alignment horizontal="center"/>
    </xf>
    <xf numFmtId="171" fontId="98" fillId="0" borderId="1" xfId="3" applyNumberFormat="1" applyFont="1" applyBorder="1" applyAlignment="1">
      <alignment horizontal="center"/>
    </xf>
    <xf numFmtId="172" fontId="98" fillId="0" borderId="9" xfId="3" applyNumberFormat="1" applyFont="1" applyBorder="1" applyAlignment="1">
      <alignment horizontal="center"/>
    </xf>
    <xf numFmtId="173" fontId="98" fillId="0" borderId="1" xfId="3" applyNumberFormat="1" applyFont="1" applyBorder="1" applyAlignment="1">
      <alignment horizontal="center"/>
    </xf>
    <xf numFmtId="0" fontId="98" fillId="0" borderId="1" xfId="3" applyFont="1" applyBorder="1" applyAlignment="1">
      <alignment horizontal="center"/>
    </xf>
    <xf numFmtId="180" fontId="98" fillId="0" borderId="1" xfId="3" applyNumberFormat="1" applyFont="1" applyBorder="1"/>
    <xf numFmtId="180" fontId="98" fillId="0" borderId="1" xfId="3" applyNumberFormat="1" applyFont="1" applyBorder="1" applyAlignment="1">
      <alignment horizontal="right"/>
    </xf>
    <xf numFmtId="180" fontId="98" fillId="0" borderId="1" xfId="3" applyNumberFormat="1" applyFont="1" applyBorder="1" applyAlignment="1">
      <alignment horizontal="right" vertical="center"/>
    </xf>
    <xf numFmtId="40" fontId="99" fillId="0" borderId="13" xfId="3" applyNumberFormat="1" applyFont="1" applyBorder="1" applyAlignment="1">
      <alignment horizontal="right" vertical="center"/>
    </xf>
    <xf numFmtId="0" fontId="0" fillId="0" borderId="0" xfId="0" applyAlignment="1">
      <alignment horizontal="right"/>
    </xf>
    <xf numFmtId="4" fontId="0" fillId="25" borderId="0" xfId="0" applyNumberFormat="1" applyFill="1"/>
    <xf numFmtId="170" fontId="99" fillId="0" borderId="0" xfId="3" applyNumberFormat="1" applyFont="1" applyAlignment="1">
      <alignment horizontal="center" vertical="center"/>
    </xf>
    <xf numFmtId="172" fontId="99" fillId="0" borderId="0" xfId="3" applyNumberFormat="1" applyFont="1" applyAlignment="1">
      <alignment horizontal="center" vertical="center"/>
    </xf>
    <xf numFmtId="173" fontId="99" fillId="0" borderId="0" xfId="3" applyNumberFormat="1" applyFont="1" applyAlignment="1">
      <alignment horizontal="center" vertical="center"/>
    </xf>
    <xf numFmtId="174" fontId="99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left" vertical="center"/>
    </xf>
    <xf numFmtId="40" fontId="96" fillId="0" borderId="0" xfId="3" applyNumberFormat="1" applyFont="1" applyAlignment="1">
      <alignment horizontal="right" vertical="center"/>
    </xf>
    <xf numFmtId="40" fontId="96" fillId="0" borderId="0" xfId="3" applyNumberFormat="1" applyFont="1" applyAlignment="1">
      <alignment vertical="center"/>
    </xf>
    <xf numFmtId="40" fontId="96" fillId="0" borderId="0" xfId="3" applyNumberFormat="1" applyFont="1" applyAlignment="1">
      <alignment horizontal="center" vertical="center"/>
    </xf>
    <xf numFmtId="0" fontId="99" fillId="0" borderId="0" xfId="3" applyFont="1" applyAlignment="1">
      <alignment horizontal="center" vertical="center"/>
    </xf>
    <xf numFmtId="170" fontId="42" fillId="0" borderId="0" xfId="3" applyNumberFormat="1" applyFont="1" applyAlignment="1">
      <alignment horizontal="center" vertical="center"/>
    </xf>
    <xf numFmtId="172" fontId="42" fillId="0" borderId="0" xfId="3" applyNumberFormat="1" applyFont="1" applyAlignment="1">
      <alignment horizontal="center" vertical="center"/>
    </xf>
    <xf numFmtId="173" fontId="42" fillId="0" borderId="0" xfId="3" applyNumberFormat="1" applyFont="1" applyAlignment="1">
      <alignment horizontal="center" vertical="center"/>
    </xf>
    <xf numFmtId="174" fontId="42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40" fontId="43" fillId="0" borderId="0" xfId="3" applyNumberFormat="1" applyFont="1" applyAlignment="1">
      <alignment vertical="center"/>
    </xf>
    <xf numFmtId="40" fontId="43" fillId="0" borderId="0" xfId="3" applyNumberFormat="1" applyFont="1" applyAlignment="1">
      <alignment horizontal="center" vertical="center"/>
    </xf>
    <xf numFmtId="0" fontId="42" fillId="0" borderId="0" xfId="3" applyFont="1" applyAlignment="1">
      <alignment horizontal="center" vertical="center"/>
    </xf>
    <xf numFmtId="173" fontId="98" fillId="0" borderId="0" xfId="3" applyNumberFormat="1" applyFont="1" applyAlignment="1">
      <alignment horizontal="center"/>
    </xf>
    <xf numFmtId="174" fontId="98" fillId="0" borderId="0" xfId="3" applyNumberFormat="1" applyFont="1" applyAlignment="1">
      <alignment horizontal="center"/>
    </xf>
    <xf numFmtId="0" fontId="98" fillId="0" borderId="0" xfId="3" applyFont="1" applyAlignment="1">
      <alignment horizontal="left"/>
    </xf>
    <xf numFmtId="4" fontId="98" fillId="0" borderId="0" xfId="3" applyNumberFormat="1" applyFont="1" applyAlignment="1">
      <alignment horizontal="right" vertical="center"/>
    </xf>
    <xf numFmtId="0" fontId="98" fillId="0" borderId="0" xfId="3" applyFont="1" applyAlignment="1">
      <alignment horizontal="center" vertical="center"/>
    </xf>
    <xf numFmtId="43" fontId="36" fillId="0" borderId="0" xfId="0" applyNumberFormat="1" applyFont="1" applyAlignment="1">
      <alignment horizontal="right" vertical="center"/>
    </xf>
    <xf numFmtId="0" fontId="51" fillId="0" borderId="0" xfId="0" applyFont="1"/>
    <xf numFmtId="170" fontId="84" fillId="0" borderId="0" xfId="3" applyNumberFormat="1" applyFont="1" applyAlignment="1">
      <alignment horizontal="center" vertical="center"/>
    </xf>
    <xf numFmtId="171" fontId="84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left" vertical="center"/>
    </xf>
    <xf numFmtId="40" fontId="85" fillId="0" borderId="0" xfId="3" applyNumberFormat="1" applyFont="1" applyAlignment="1">
      <alignment horizontal="right" vertical="center"/>
    </xf>
    <xf numFmtId="40" fontId="85" fillId="0" borderId="0" xfId="3" applyNumberFormat="1" applyFont="1" applyAlignment="1">
      <alignment vertical="center"/>
    </xf>
    <xf numFmtId="40" fontId="85" fillId="0" borderId="0" xfId="3" applyNumberFormat="1" applyFont="1" applyAlignment="1">
      <alignment horizontal="center" vertical="center"/>
    </xf>
    <xf numFmtId="0" fontId="84" fillId="0" borderId="0" xfId="3" applyFont="1" applyAlignment="1">
      <alignment horizontal="center" vertical="center"/>
    </xf>
    <xf numFmtId="174" fontId="62" fillId="0" borderId="0" xfId="3" applyNumberFormat="1" applyFont="1" applyAlignment="1">
      <alignment horizontal="center"/>
    </xf>
    <xf numFmtId="0" fontId="62" fillId="0" borderId="0" xfId="3" applyFont="1" applyAlignment="1">
      <alignment horizontal="left"/>
    </xf>
    <xf numFmtId="4" fontId="62" fillId="0" borderId="0" xfId="3" applyNumberFormat="1" applyFont="1" applyAlignment="1">
      <alignment horizontal="right" vertical="center"/>
    </xf>
    <xf numFmtId="0" fontId="62" fillId="0" borderId="0" xfId="3" applyFont="1" applyAlignment="1">
      <alignment horizontal="center" vertical="center"/>
    </xf>
    <xf numFmtId="173" fontId="62" fillId="0" borderId="0" xfId="3" applyNumberFormat="1" applyFont="1" applyAlignment="1">
      <alignment horizontal="center"/>
    </xf>
    <xf numFmtId="170" fontId="58" fillId="0" borderId="0" xfId="3" applyNumberFormat="1" applyFont="1" applyAlignment="1">
      <alignment horizontal="center" vertical="center"/>
    </xf>
    <xf numFmtId="0" fontId="59" fillId="0" borderId="0" xfId="3" applyFont="1" applyAlignment="1">
      <alignment horizontal="center"/>
    </xf>
    <xf numFmtId="43" fontId="0" fillId="0" borderId="0" xfId="27" applyFont="1" applyFill="1"/>
    <xf numFmtId="43" fontId="58" fillId="0" borderId="0" xfId="27" applyFont="1" applyFill="1" applyAlignment="1">
      <alignment horizontal="right" vertical="center"/>
    </xf>
    <xf numFmtId="4" fontId="58" fillId="0" borderId="0" xfId="3" applyNumberFormat="1" applyFont="1" applyAlignment="1">
      <alignment horizontal="right" vertical="center"/>
    </xf>
    <xf numFmtId="170" fontId="84" fillId="32" borderId="0" xfId="3" applyNumberFormat="1" applyFont="1" applyFill="1" applyAlignment="1">
      <alignment horizontal="center" vertical="center"/>
    </xf>
    <xf numFmtId="171" fontId="84" fillId="32" borderId="0" xfId="3" applyNumberFormat="1" applyFont="1" applyFill="1" applyAlignment="1">
      <alignment horizontal="center" vertical="center"/>
    </xf>
    <xf numFmtId="172" fontId="84" fillId="32" borderId="0" xfId="3" applyNumberFormat="1" applyFont="1" applyFill="1" applyAlignment="1">
      <alignment horizontal="center" vertical="center"/>
    </xf>
    <xf numFmtId="173" fontId="84" fillId="32" borderId="0" xfId="3" applyNumberFormat="1" applyFont="1" applyFill="1" applyAlignment="1">
      <alignment horizontal="center" vertical="center"/>
    </xf>
    <xf numFmtId="174" fontId="84" fillId="32" borderId="0" xfId="3" applyNumberFormat="1" applyFont="1" applyFill="1" applyAlignment="1">
      <alignment horizontal="center" vertical="center"/>
    </xf>
    <xf numFmtId="0" fontId="84" fillId="32" borderId="0" xfId="3" applyFont="1" applyFill="1" applyAlignment="1">
      <alignment horizontal="left" vertical="center"/>
    </xf>
    <xf numFmtId="40" fontId="85" fillId="32" borderId="0" xfId="3" applyNumberFormat="1" applyFont="1" applyFill="1" applyAlignment="1">
      <alignment horizontal="right" vertical="center"/>
    </xf>
    <xf numFmtId="40" fontId="85" fillId="32" borderId="0" xfId="3" applyNumberFormat="1" applyFont="1" applyFill="1" applyAlignment="1">
      <alignment vertical="center"/>
    </xf>
    <xf numFmtId="40" fontId="85" fillId="32" borderId="0" xfId="3" applyNumberFormat="1" applyFont="1" applyFill="1" applyAlignment="1">
      <alignment horizontal="center" vertical="center"/>
    </xf>
    <xf numFmtId="0" fontId="84" fillId="32" borderId="0" xfId="3" applyFont="1" applyFill="1" applyAlignment="1">
      <alignment horizontal="center" vertical="center"/>
    </xf>
    <xf numFmtId="170" fontId="6" fillId="32" borderId="0" xfId="3" applyNumberFormat="1" applyFont="1" applyFill="1" applyAlignment="1">
      <alignment horizontal="center" vertical="center"/>
    </xf>
    <xf numFmtId="172" fontId="6" fillId="32" borderId="0" xfId="3" applyNumberFormat="1" applyFont="1" applyFill="1" applyAlignment="1">
      <alignment horizontal="center" vertical="center"/>
    </xf>
    <xf numFmtId="173" fontId="6" fillId="32" borderId="0" xfId="3" applyNumberFormat="1" applyFont="1" applyFill="1" applyAlignment="1">
      <alignment horizontal="center" vertical="center"/>
    </xf>
    <xf numFmtId="174" fontId="6" fillId="32" borderId="0" xfId="3" applyNumberFormat="1" applyFont="1" applyFill="1" applyAlignment="1">
      <alignment horizontal="center" vertical="center"/>
    </xf>
    <xf numFmtId="0" fontId="6" fillId="32" borderId="0" xfId="3" applyFont="1" applyFill="1" applyAlignment="1">
      <alignment horizontal="left" vertical="center"/>
    </xf>
    <xf numFmtId="40" fontId="7" fillId="32" borderId="0" xfId="3" applyNumberFormat="1" applyFont="1" applyFill="1" applyAlignment="1">
      <alignment horizontal="right" vertical="center"/>
    </xf>
    <xf numFmtId="40" fontId="7" fillId="32" borderId="0" xfId="3" applyNumberFormat="1" applyFont="1" applyFill="1" applyAlignment="1">
      <alignment vertical="center"/>
    </xf>
    <xf numFmtId="40" fontId="7" fillId="32" borderId="0" xfId="3" applyNumberFormat="1" applyFont="1" applyFill="1" applyAlignment="1">
      <alignment horizontal="center" vertical="center"/>
    </xf>
    <xf numFmtId="0" fontId="6" fillId="32" borderId="0" xfId="3" applyFont="1" applyFill="1" applyAlignment="1">
      <alignment horizontal="center" vertical="center"/>
    </xf>
    <xf numFmtId="0" fontId="0" fillId="32" borderId="0" xfId="0" applyFill="1"/>
    <xf numFmtId="170" fontId="84" fillId="31" borderId="0" xfId="3" applyNumberFormat="1" applyFont="1" applyFill="1" applyAlignment="1">
      <alignment horizontal="center" vertical="center"/>
    </xf>
    <xf numFmtId="171" fontId="84" fillId="31" borderId="0" xfId="3" applyNumberFormat="1" applyFont="1" applyFill="1" applyAlignment="1">
      <alignment horizontal="center" vertical="center"/>
    </xf>
    <xf numFmtId="172" fontId="84" fillId="31" borderId="0" xfId="3" applyNumberFormat="1" applyFont="1" applyFill="1" applyAlignment="1">
      <alignment horizontal="center" vertical="center"/>
    </xf>
    <xf numFmtId="173" fontId="84" fillId="31" borderId="0" xfId="3" applyNumberFormat="1" applyFont="1" applyFill="1" applyAlignment="1">
      <alignment horizontal="center" vertical="center"/>
    </xf>
    <xf numFmtId="174" fontId="84" fillId="31" borderId="0" xfId="3" applyNumberFormat="1" applyFont="1" applyFill="1" applyAlignment="1">
      <alignment horizontal="center" vertical="center"/>
    </xf>
    <xf numFmtId="0" fontId="84" fillId="31" borderId="0" xfId="3" applyFont="1" applyFill="1" applyAlignment="1">
      <alignment horizontal="left" vertical="center"/>
    </xf>
    <xf numFmtId="40" fontId="85" fillId="31" borderId="0" xfId="3" applyNumberFormat="1" applyFont="1" applyFill="1" applyAlignment="1">
      <alignment horizontal="right" vertical="center"/>
    </xf>
    <xf numFmtId="40" fontId="85" fillId="31" borderId="0" xfId="3" applyNumberFormat="1" applyFont="1" applyFill="1" applyAlignment="1">
      <alignment vertical="center"/>
    </xf>
    <xf numFmtId="40" fontId="85" fillId="31" borderId="0" xfId="3" applyNumberFormat="1" applyFont="1" applyFill="1" applyAlignment="1">
      <alignment horizontal="center" vertical="center"/>
    </xf>
    <xf numFmtId="0" fontId="84" fillId="31" borderId="0" xfId="3" applyFont="1" applyFill="1" applyAlignment="1">
      <alignment horizontal="center" vertical="center"/>
    </xf>
    <xf numFmtId="0" fontId="0" fillId="31" borderId="0" xfId="0" applyFill="1"/>
    <xf numFmtId="171" fontId="99" fillId="0" borderId="0" xfId="3" applyNumberFormat="1" applyFont="1" applyAlignment="1">
      <alignment horizontal="center" vertical="center"/>
    </xf>
    <xf numFmtId="170" fontId="99" fillId="32" borderId="0" xfId="3" applyNumberFormat="1" applyFont="1" applyFill="1" applyAlignment="1">
      <alignment horizontal="center" vertical="center"/>
    </xf>
    <xf numFmtId="171" fontId="99" fillId="32" borderId="0" xfId="3" applyNumberFormat="1" applyFont="1" applyFill="1" applyAlignment="1">
      <alignment horizontal="center" vertical="center"/>
    </xf>
    <xf numFmtId="172" fontId="99" fillId="32" borderId="0" xfId="3" applyNumberFormat="1" applyFont="1" applyFill="1" applyAlignment="1">
      <alignment horizontal="center" vertical="center"/>
    </xf>
    <xf numFmtId="173" fontId="99" fillId="32" borderId="0" xfId="3" applyNumberFormat="1" applyFont="1" applyFill="1" applyAlignment="1">
      <alignment horizontal="center" vertical="center"/>
    </xf>
    <xf numFmtId="174" fontId="99" fillId="32" borderId="0" xfId="3" applyNumberFormat="1" applyFont="1" applyFill="1" applyAlignment="1">
      <alignment horizontal="center" vertical="center"/>
    </xf>
    <xf numFmtId="0" fontId="99" fillId="32" borderId="0" xfId="3" applyFont="1" applyFill="1" applyAlignment="1">
      <alignment horizontal="left" vertical="center"/>
    </xf>
    <xf numFmtId="40" fontId="96" fillId="32" borderId="0" xfId="3" applyNumberFormat="1" applyFont="1" applyFill="1" applyAlignment="1">
      <alignment horizontal="right" vertical="center"/>
    </xf>
    <xf numFmtId="40" fontId="96" fillId="32" borderId="0" xfId="3" applyNumberFormat="1" applyFont="1" applyFill="1" applyAlignment="1">
      <alignment vertical="center"/>
    </xf>
    <xf numFmtId="40" fontId="96" fillId="32" borderId="0" xfId="3" applyNumberFormat="1" applyFont="1" applyFill="1" applyAlignment="1">
      <alignment horizontal="center" vertical="center"/>
    </xf>
    <xf numFmtId="0" fontId="99" fillId="32" borderId="0" xfId="3" applyFont="1" applyFill="1" applyAlignment="1">
      <alignment horizontal="center" vertical="center"/>
    </xf>
    <xf numFmtId="170" fontId="100" fillId="0" borderId="0" xfId="3" applyNumberFormat="1" applyFont="1" applyAlignment="1">
      <alignment horizontal="center" vertical="center"/>
    </xf>
    <xf numFmtId="173" fontId="60" fillId="0" borderId="0" xfId="3" applyNumberFormat="1" applyFont="1" applyAlignment="1">
      <alignment horizontal="center" vertical="center"/>
    </xf>
    <xf numFmtId="170" fontId="36" fillId="0" borderId="0" xfId="0" applyNumberFormat="1" applyFont="1" applyAlignment="1">
      <alignment horizontal="center" vertical="center"/>
    </xf>
    <xf numFmtId="170" fontId="101" fillId="0" borderId="0" xfId="3" applyNumberFormat="1" applyFont="1" applyAlignment="1">
      <alignment horizontal="center" vertical="center"/>
    </xf>
    <xf numFmtId="182" fontId="102" fillId="0" borderId="0" xfId="3" applyNumberFormat="1" applyFont="1" applyAlignment="1">
      <alignment horizontal="center"/>
    </xf>
    <xf numFmtId="4" fontId="101" fillId="0" borderId="0" xfId="3" applyNumberFormat="1" applyFont="1" applyAlignment="1">
      <alignment horizontal="right" vertical="center"/>
    </xf>
    <xf numFmtId="170" fontId="64" fillId="32" borderId="0" xfId="3" applyNumberFormat="1" applyFont="1" applyFill="1" applyAlignment="1">
      <alignment horizontal="center" vertical="center"/>
    </xf>
    <xf numFmtId="171" fontId="6" fillId="32" borderId="0" xfId="3" applyNumberFormat="1" applyFont="1" applyFill="1" applyAlignment="1">
      <alignment horizontal="center" vertical="center"/>
    </xf>
    <xf numFmtId="172" fontId="64" fillId="32" borderId="0" xfId="3" applyNumberFormat="1" applyFont="1" applyFill="1" applyAlignment="1">
      <alignment horizontal="center" vertical="center"/>
    </xf>
    <xf numFmtId="173" fontId="64" fillId="32" borderId="0" xfId="3" applyNumberFormat="1" applyFont="1" applyFill="1" applyAlignment="1">
      <alignment horizontal="center" vertical="center"/>
    </xf>
    <xf numFmtId="174" fontId="64" fillId="32" borderId="0" xfId="3" applyNumberFormat="1" applyFont="1" applyFill="1" applyAlignment="1">
      <alignment horizontal="center" vertical="center"/>
    </xf>
    <xf numFmtId="0" fontId="64" fillId="32" borderId="0" xfId="3" applyFont="1" applyFill="1" applyAlignment="1">
      <alignment horizontal="left" vertical="center"/>
    </xf>
    <xf numFmtId="40" fontId="65" fillId="32" borderId="0" xfId="3" applyNumberFormat="1" applyFont="1" applyFill="1" applyAlignment="1">
      <alignment horizontal="right" vertical="center"/>
    </xf>
    <xf numFmtId="40" fontId="65" fillId="32" borderId="0" xfId="3" applyNumberFormat="1" applyFont="1" applyFill="1" applyAlignment="1">
      <alignment vertical="center"/>
    </xf>
    <xf numFmtId="40" fontId="65" fillId="32" borderId="0" xfId="3" applyNumberFormat="1" applyFont="1" applyFill="1" applyAlignment="1">
      <alignment horizontal="center" vertical="center"/>
    </xf>
    <xf numFmtId="0" fontId="64" fillId="32" borderId="0" xfId="3" applyFont="1" applyFill="1" applyAlignment="1">
      <alignment horizontal="center" vertical="center"/>
    </xf>
    <xf numFmtId="173" fontId="64" fillId="0" borderId="0" xfId="3" applyNumberFormat="1" applyFont="1" applyAlignment="1">
      <alignment horizontal="center" vertical="center"/>
    </xf>
    <xf numFmtId="170" fontId="93" fillId="0" borderId="0" xfId="3" applyNumberFormat="1" applyFont="1" applyAlignment="1">
      <alignment horizontal="center" vertical="center"/>
    </xf>
    <xf numFmtId="171" fontId="39" fillId="0" borderId="0" xfId="3" applyNumberFormat="1" applyFont="1" applyAlignment="1">
      <alignment horizontal="center" vertical="center"/>
    </xf>
    <xf numFmtId="171" fontId="66" fillId="0" borderId="0" xfId="3" applyNumberFormat="1" applyFont="1" applyAlignment="1">
      <alignment horizontal="center" vertical="center"/>
    </xf>
    <xf numFmtId="172" fontId="66" fillId="0" borderId="0" xfId="3" applyNumberFormat="1" applyFont="1" applyAlignment="1">
      <alignment horizontal="center" vertical="center"/>
    </xf>
    <xf numFmtId="173" fontId="66" fillId="0" borderId="0" xfId="3" applyNumberFormat="1" applyFont="1" applyAlignment="1">
      <alignment horizontal="center" vertical="center"/>
    </xf>
    <xf numFmtId="174" fontId="66" fillId="0" borderId="0" xfId="3" applyNumberFormat="1" applyFont="1" applyAlignment="1">
      <alignment horizontal="center" vertical="center"/>
    </xf>
    <xf numFmtId="40" fontId="67" fillId="0" borderId="0" xfId="3" applyNumberFormat="1" applyFont="1" applyAlignment="1">
      <alignment horizontal="right" vertical="center"/>
    </xf>
    <xf numFmtId="0" fontId="10" fillId="0" borderId="0" xfId="3" applyFont="1" applyAlignment="1">
      <alignment horizontal="center"/>
    </xf>
    <xf numFmtId="173" fontId="103" fillId="0" borderId="0" xfId="3" applyNumberFormat="1" applyFont="1" applyAlignment="1">
      <alignment horizontal="center"/>
    </xf>
    <xf numFmtId="172" fontId="104" fillId="0" borderId="0" xfId="3" applyNumberFormat="1" applyFont="1" applyAlignment="1">
      <alignment horizontal="center" vertical="center"/>
    </xf>
    <xf numFmtId="174" fontId="103" fillId="0" borderId="0" xfId="3" applyNumberFormat="1" applyFont="1" applyAlignment="1">
      <alignment horizontal="left"/>
    </xf>
    <xf numFmtId="0" fontId="103" fillId="0" borderId="0" xfId="3" applyFont="1" applyAlignment="1">
      <alignment horizontal="center"/>
    </xf>
    <xf numFmtId="4" fontId="103" fillId="0" borderId="0" xfId="3" applyNumberFormat="1" applyFont="1" applyAlignment="1">
      <alignment horizontal="right" vertical="center"/>
    </xf>
    <xf numFmtId="0" fontId="103" fillId="0" borderId="0" xfId="3" applyFont="1" applyAlignment="1">
      <alignment horizontal="center" vertical="center"/>
    </xf>
    <xf numFmtId="182" fontId="37" fillId="0" borderId="0" xfId="0" applyNumberFormat="1" applyFont="1" applyAlignment="1">
      <alignment horizontal="center"/>
    </xf>
    <xf numFmtId="173" fontId="73" fillId="4" borderId="0" xfId="3" applyNumberFormat="1" applyFont="1" applyFill="1" applyAlignment="1">
      <alignment horizontal="center" vertical="center"/>
    </xf>
    <xf numFmtId="170" fontId="73" fillId="4" borderId="0" xfId="3" applyNumberFormat="1" applyFont="1" applyFill="1" applyAlignment="1">
      <alignment horizontal="center" vertical="center"/>
    </xf>
    <xf numFmtId="171" fontId="6" fillId="4" borderId="0" xfId="3" applyNumberFormat="1" applyFont="1" applyFill="1" applyAlignment="1">
      <alignment horizontal="center" vertical="center"/>
    </xf>
    <xf numFmtId="172" fontId="73" fillId="4" borderId="0" xfId="3" applyNumberFormat="1" applyFont="1" applyFill="1" applyAlignment="1">
      <alignment horizontal="center" vertical="center"/>
    </xf>
    <xf numFmtId="174" fontId="73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left" vertical="center"/>
    </xf>
    <xf numFmtId="40" fontId="74" fillId="4" borderId="0" xfId="3" applyNumberFormat="1" applyFont="1" applyFill="1" applyAlignment="1">
      <alignment horizontal="right" vertical="center"/>
    </xf>
    <xf numFmtId="40" fontId="74" fillId="4" borderId="0" xfId="3" applyNumberFormat="1" applyFont="1" applyFill="1" applyAlignment="1">
      <alignment vertical="center"/>
    </xf>
    <xf numFmtId="40" fontId="74" fillId="4" borderId="0" xfId="3" applyNumberFormat="1" applyFont="1" applyFill="1" applyAlignment="1">
      <alignment horizontal="center" vertical="center"/>
    </xf>
    <xf numFmtId="0" fontId="73" fillId="4" borderId="0" xfId="3" applyFont="1" applyFill="1" applyAlignment="1">
      <alignment horizontal="center" vertical="center"/>
    </xf>
    <xf numFmtId="43" fontId="0" fillId="4" borderId="0" xfId="27" applyFont="1" applyFill="1" applyBorder="1"/>
    <xf numFmtId="40" fontId="7" fillId="4" borderId="0" xfId="3" applyNumberFormat="1" applyFont="1" applyFill="1" applyAlignment="1">
      <alignment vertical="center"/>
    </xf>
    <xf numFmtId="0" fontId="0" fillId="4" borderId="0" xfId="0" applyFill="1"/>
    <xf numFmtId="40" fontId="51" fillId="0" borderId="0" xfId="0" applyNumberFormat="1" applyFont="1"/>
    <xf numFmtId="40" fontId="43" fillId="0" borderId="0" xfId="3" applyNumberFormat="1" applyFont="1" applyAlignment="1">
      <alignment horizontal="right" vertical="center"/>
    </xf>
    <xf numFmtId="170" fontId="47" fillId="0" borderId="0" xfId="3" applyNumberFormat="1" applyFont="1" applyAlignment="1">
      <alignment horizontal="center" vertical="center"/>
    </xf>
    <xf numFmtId="172" fontId="47" fillId="0" borderId="0" xfId="3" applyNumberFormat="1" applyFont="1" applyAlignment="1">
      <alignment horizontal="center" vertical="center"/>
    </xf>
    <xf numFmtId="173" fontId="47" fillId="0" borderId="0" xfId="3" applyNumberFormat="1" applyFont="1" applyAlignment="1">
      <alignment horizontal="center" vertical="center"/>
    </xf>
    <xf numFmtId="174" fontId="47" fillId="0" borderId="0" xfId="3" applyNumberFormat="1" applyFont="1" applyAlignment="1">
      <alignment horizontal="center" vertical="center"/>
    </xf>
    <xf numFmtId="170" fontId="81" fillId="0" borderId="0" xfId="3" applyNumberFormat="1" applyFont="1" applyAlignment="1">
      <alignment horizontal="center" vertical="center"/>
    </xf>
    <xf numFmtId="170" fontId="49" fillId="0" borderId="0" xfId="3" applyNumberFormat="1" applyFont="1" applyAlignment="1">
      <alignment horizontal="center" vertical="center"/>
    </xf>
    <xf numFmtId="172" fontId="49" fillId="0" borderId="0" xfId="3" applyNumberFormat="1" applyFont="1" applyAlignment="1">
      <alignment horizontal="center" vertical="center"/>
    </xf>
    <xf numFmtId="173" fontId="49" fillId="0" borderId="0" xfId="3" applyNumberFormat="1" applyFont="1" applyAlignment="1">
      <alignment horizontal="center" vertical="center"/>
    </xf>
    <xf numFmtId="40" fontId="48" fillId="0" borderId="0" xfId="3" applyNumberFormat="1" applyFont="1" applyAlignment="1">
      <alignment horizontal="right" vertical="center"/>
    </xf>
    <xf numFmtId="40" fontId="82" fillId="0" borderId="0" xfId="3" applyNumberFormat="1" applyFont="1" applyAlignment="1">
      <alignment horizontal="right" vertical="center"/>
    </xf>
    <xf numFmtId="40" fontId="50" fillId="0" borderId="0" xfId="3" applyNumberFormat="1" applyFont="1" applyAlignment="1">
      <alignment horizontal="right" vertical="center"/>
    </xf>
    <xf numFmtId="40" fontId="48" fillId="0" borderId="0" xfId="3" applyNumberFormat="1" applyFont="1" applyAlignment="1">
      <alignment vertical="center"/>
    </xf>
    <xf numFmtId="40" fontId="82" fillId="0" borderId="0" xfId="3" applyNumberFormat="1" applyFont="1" applyAlignment="1">
      <alignment vertical="center"/>
    </xf>
    <xf numFmtId="40" fontId="50" fillId="0" borderId="0" xfId="3" applyNumberFormat="1" applyFont="1" applyAlignment="1">
      <alignment vertical="center"/>
    </xf>
    <xf numFmtId="0" fontId="47" fillId="0" borderId="0" xfId="3" applyFont="1" applyAlignment="1">
      <alignment horizontal="left" vertical="center"/>
    </xf>
    <xf numFmtId="40" fontId="48" fillId="0" borderId="0" xfId="3" applyNumberFormat="1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1" fillId="0" borderId="0" xfId="3" applyFont="1" applyAlignment="1">
      <alignment horizontal="left" vertical="center"/>
    </xf>
    <xf numFmtId="40" fontId="82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left" vertical="center"/>
    </xf>
    <xf numFmtId="40" fontId="50" fillId="0" borderId="0" xfId="3" applyNumberFormat="1" applyFont="1" applyAlignment="1">
      <alignment horizontal="center" vertical="center"/>
    </xf>
    <xf numFmtId="0" fontId="49" fillId="0" borderId="0" xfId="3" applyFont="1" applyAlignment="1">
      <alignment horizontal="center" vertical="center"/>
    </xf>
    <xf numFmtId="174" fontId="103" fillId="0" borderId="0" xfId="3" applyNumberFormat="1" applyFont="1" applyAlignment="1">
      <alignment horizontal="center"/>
    </xf>
    <xf numFmtId="0" fontId="103" fillId="0" borderId="0" xfId="3" applyFont="1" applyAlignment="1">
      <alignment horizontal="left"/>
    </xf>
    <xf numFmtId="40" fontId="74" fillId="0" borderId="12" xfId="3" applyNumberFormat="1" applyFont="1" applyBorder="1" applyAlignment="1">
      <alignment horizontal="center" vertical="center"/>
    </xf>
    <xf numFmtId="174" fontId="0" fillId="20" borderId="0" xfId="0" applyNumberFormat="1" applyFill="1" applyAlignment="1">
      <alignment horizontal="center"/>
    </xf>
    <xf numFmtId="0" fontId="0" fillId="20" borderId="0" xfId="0" applyFill="1"/>
    <xf numFmtId="0" fontId="0" fillId="20" borderId="0" xfId="0" applyFill="1" applyAlignment="1">
      <alignment horizontal="center"/>
    </xf>
    <xf numFmtId="180" fontId="0" fillId="0" borderId="0" xfId="0" applyNumberFormat="1"/>
    <xf numFmtId="40" fontId="0" fillId="25" borderId="0" xfId="0" applyNumberFormat="1" applyFill="1"/>
    <xf numFmtId="43" fontId="36" fillId="0" borderId="0" xfId="27" applyFont="1" applyAlignment="1">
      <alignment horizontal="left" vertical="center"/>
    </xf>
    <xf numFmtId="43" fontId="94" fillId="0" borderId="0" xfId="27" applyFont="1" applyAlignment="1">
      <alignment horizontal="left" vertical="center"/>
    </xf>
    <xf numFmtId="174" fontId="6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left" vertical="center"/>
    </xf>
    <xf numFmtId="40" fontId="7" fillId="26" borderId="0" xfId="3" applyNumberFormat="1" applyFont="1" applyFill="1" applyAlignment="1">
      <alignment horizontal="right" vertical="center"/>
    </xf>
    <xf numFmtId="40" fontId="7" fillId="26" borderId="0" xfId="3" applyNumberFormat="1" applyFont="1" applyFill="1" applyAlignment="1">
      <alignment vertical="center"/>
    </xf>
    <xf numFmtId="40" fontId="7" fillId="26" borderId="0" xfId="3" applyNumberFormat="1" applyFont="1" applyFill="1" applyAlignment="1">
      <alignment horizontal="center" vertical="center"/>
    </xf>
    <xf numFmtId="0" fontId="6" fillId="26" borderId="0" xfId="3" applyFont="1" applyFill="1" applyAlignment="1">
      <alignment horizontal="center" vertical="center"/>
    </xf>
    <xf numFmtId="170" fontId="104" fillId="0" borderId="0" xfId="3" applyNumberFormat="1" applyFont="1" applyAlignment="1">
      <alignment horizontal="center" vertical="center"/>
    </xf>
    <xf numFmtId="171" fontId="104" fillId="0" borderId="0" xfId="3" applyNumberFormat="1" applyFont="1" applyAlignment="1">
      <alignment horizontal="center" vertical="center"/>
    </xf>
    <xf numFmtId="173" fontId="104" fillId="0" borderId="0" xfId="3" applyNumberFormat="1" applyFont="1" applyAlignment="1">
      <alignment horizontal="center" vertical="center"/>
    </xf>
    <xf numFmtId="174" fontId="104" fillId="0" borderId="0" xfId="3" applyNumberFormat="1" applyFont="1" applyAlignment="1">
      <alignment horizontal="center" vertical="center"/>
    </xf>
    <xf numFmtId="0" fontId="104" fillId="0" borderId="0" xfId="3" applyFont="1" applyAlignment="1">
      <alignment horizontal="left" vertical="center"/>
    </xf>
    <xf numFmtId="40" fontId="105" fillId="0" borderId="0" xfId="3" applyNumberFormat="1" applyFont="1" applyAlignment="1">
      <alignment horizontal="right" vertical="center"/>
    </xf>
    <xf numFmtId="40" fontId="105" fillId="0" borderId="0" xfId="3" applyNumberFormat="1" applyFont="1" applyAlignment="1">
      <alignment vertical="center"/>
    </xf>
    <xf numFmtId="40" fontId="105" fillId="0" borderId="0" xfId="3" applyNumberFormat="1" applyFont="1" applyAlignment="1">
      <alignment horizontal="center" vertical="center"/>
    </xf>
    <xf numFmtId="0" fontId="104" fillId="0" borderId="0" xfId="3" applyFont="1" applyAlignment="1">
      <alignment horizontal="center" vertical="center"/>
    </xf>
    <xf numFmtId="40" fontId="74" fillId="27" borderId="0" xfId="3" applyNumberFormat="1" applyFont="1" applyFill="1" applyAlignment="1">
      <alignment vertical="center"/>
    </xf>
    <xf numFmtId="170" fontId="73" fillId="27" borderId="0" xfId="3" applyNumberFormat="1" applyFont="1" applyFill="1" applyAlignment="1">
      <alignment horizontal="center" vertical="center"/>
    </xf>
    <xf numFmtId="171" fontId="73" fillId="27" borderId="0" xfId="3" applyNumberFormat="1" applyFont="1" applyFill="1" applyAlignment="1">
      <alignment horizontal="center" vertical="center"/>
    </xf>
    <xf numFmtId="172" fontId="73" fillId="27" borderId="0" xfId="3" applyNumberFormat="1" applyFont="1" applyFill="1" applyAlignment="1">
      <alignment horizontal="center" vertical="center"/>
    </xf>
    <xf numFmtId="173" fontId="73" fillId="27" borderId="0" xfId="3" applyNumberFormat="1" applyFont="1" applyFill="1" applyAlignment="1">
      <alignment horizontal="center" vertical="center"/>
    </xf>
    <xf numFmtId="174" fontId="73" fillId="27" borderId="0" xfId="3" applyNumberFormat="1" applyFont="1" applyFill="1" applyAlignment="1">
      <alignment horizontal="center" vertical="center"/>
    </xf>
    <xf numFmtId="0" fontId="73" fillId="27" borderId="0" xfId="3" applyFont="1" applyFill="1" applyAlignment="1">
      <alignment horizontal="left" vertical="center"/>
    </xf>
    <xf numFmtId="40" fontId="74" fillId="27" borderId="0" xfId="3" applyNumberFormat="1" applyFont="1" applyFill="1" applyAlignment="1">
      <alignment horizontal="right" vertical="center"/>
    </xf>
    <xf numFmtId="40" fontId="74" fillId="27" borderId="0" xfId="3" applyNumberFormat="1" applyFont="1" applyFill="1" applyAlignment="1">
      <alignment horizontal="center" vertical="center"/>
    </xf>
    <xf numFmtId="0" fontId="73" fillId="27" borderId="0" xfId="3" applyFont="1" applyFill="1" applyAlignment="1">
      <alignment horizontal="center" vertical="center"/>
    </xf>
    <xf numFmtId="40" fontId="105" fillId="27" borderId="0" xfId="3" applyNumberFormat="1" applyFont="1" applyFill="1" applyAlignment="1">
      <alignment vertical="center"/>
    </xf>
    <xf numFmtId="170" fontId="104" fillId="27" borderId="0" xfId="3" applyNumberFormat="1" applyFont="1" applyFill="1" applyAlignment="1">
      <alignment horizontal="center" vertical="center"/>
    </xf>
    <xf numFmtId="172" fontId="104" fillId="27" borderId="0" xfId="3" applyNumberFormat="1" applyFont="1" applyFill="1" applyAlignment="1">
      <alignment horizontal="center" vertical="center"/>
    </xf>
    <xf numFmtId="173" fontId="104" fillId="27" borderId="0" xfId="3" applyNumberFormat="1" applyFont="1" applyFill="1" applyAlignment="1">
      <alignment horizontal="center" vertical="center"/>
    </xf>
    <xf numFmtId="174" fontId="104" fillId="27" borderId="0" xfId="3" applyNumberFormat="1" applyFont="1" applyFill="1" applyAlignment="1">
      <alignment horizontal="center" vertical="center"/>
    </xf>
    <xf numFmtId="0" fontId="104" fillId="27" borderId="0" xfId="3" applyFont="1" applyFill="1" applyAlignment="1">
      <alignment horizontal="left" vertical="center"/>
    </xf>
    <xf numFmtId="40" fontId="105" fillId="27" borderId="0" xfId="3" applyNumberFormat="1" applyFont="1" applyFill="1" applyAlignment="1">
      <alignment horizontal="right" vertical="center"/>
    </xf>
    <xf numFmtId="40" fontId="105" fillId="27" borderId="0" xfId="3" applyNumberFormat="1" applyFont="1" applyFill="1" applyAlignment="1">
      <alignment horizontal="center" vertical="center"/>
    </xf>
    <xf numFmtId="0" fontId="104" fillId="27" borderId="0" xfId="3" applyFont="1" applyFill="1" applyAlignment="1">
      <alignment horizontal="center" vertical="center"/>
    </xf>
    <xf numFmtId="183" fontId="105" fillId="0" borderId="0" xfId="3" applyNumberFormat="1" applyFont="1" applyAlignment="1">
      <alignment vertical="center"/>
    </xf>
    <xf numFmtId="4" fontId="104" fillId="0" borderId="0" xfId="3" applyNumberFormat="1" applyFont="1" applyAlignment="1">
      <alignment horizontal="right" vertical="center"/>
    </xf>
    <xf numFmtId="0" fontId="106" fillId="22" borderId="35" xfId="0" applyFont="1" applyFill="1" applyBorder="1" applyAlignment="1">
      <alignment horizontal="center" vertical="center"/>
    </xf>
    <xf numFmtId="173" fontId="103" fillId="0" borderId="1" xfId="3" applyNumberFormat="1" applyFont="1" applyBorder="1" applyAlignment="1">
      <alignment horizontal="center"/>
    </xf>
    <xf numFmtId="170" fontId="36" fillId="0" borderId="1" xfId="3" applyNumberFormat="1" applyFont="1" applyBorder="1" applyAlignment="1">
      <alignment horizontal="center" vertical="center"/>
    </xf>
    <xf numFmtId="177" fontId="35" fillId="21" borderId="0" xfId="0" applyNumberFormat="1" applyFont="1" applyFill="1" applyAlignment="1">
      <alignment horizontal="center"/>
    </xf>
    <xf numFmtId="0" fontId="35" fillId="21" borderId="0" xfId="0" applyFont="1" applyFill="1" applyAlignment="1">
      <alignment horizontal="center"/>
    </xf>
    <xf numFmtId="0" fontId="11" fillId="2" borderId="0" xfId="2" applyFont="1" applyBorder="1" applyAlignment="1">
      <alignment horizontal="center" vertical="center"/>
    </xf>
    <xf numFmtId="0" fontId="16" fillId="10" borderId="0" xfId="3" applyFont="1" applyFill="1" applyAlignment="1">
      <alignment horizontal="center" vertical="center" wrapText="1"/>
    </xf>
    <xf numFmtId="0" fontId="11" fillId="10" borderId="0" xfId="0" applyFont="1" applyFill="1" applyAlignment="1">
      <alignment horizontal="left" vertical="center"/>
    </xf>
    <xf numFmtId="175" fontId="41" fillId="10" borderId="0" xfId="0" applyNumberFormat="1" applyFont="1" applyFill="1" applyAlignment="1">
      <alignment horizontal="center" vertical="center"/>
    </xf>
    <xf numFmtId="0" fontId="9" fillId="7" borderId="0" xfId="3" applyFont="1" applyFill="1" applyAlignment="1">
      <alignment horizontal="center" vertical="center"/>
    </xf>
    <xf numFmtId="0" fontId="9" fillId="5" borderId="0" xfId="3" applyFont="1" applyFill="1" applyAlignment="1">
      <alignment horizontal="center" vertical="center"/>
    </xf>
    <xf numFmtId="0" fontId="33" fillId="20" borderId="0" xfId="0" applyFont="1" applyFill="1" applyAlignment="1">
      <alignment horizontal="center" vertical="center"/>
    </xf>
    <xf numFmtId="0" fontId="32" fillId="17" borderId="33" xfId="15" applyFont="1" applyBorder="1" applyAlignment="1">
      <alignment horizontal="center" vertical="center"/>
    </xf>
    <xf numFmtId="176" fontId="34" fillId="4" borderId="0" xfId="1" applyNumberFormat="1" applyFont="1" applyFill="1" applyAlignment="1">
      <alignment horizontal="center" vertical="center"/>
    </xf>
    <xf numFmtId="177" fontId="34" fillId="4" borderId="0" xfId="1" applyNumberFormat="1" applyFont="1" applyFill="1" applyAlignment="1">
      <alignment horizontal="center" vertical="center"/>
    </xf>
    <xf numFmtId="167" fontId="34" fillId="6" borderId="0" xfId="1" applyNumberFormat="1" applyFont="1" applyFill="1" applyAlignment="1">
      <alignment horizontal="center" vertical="center"/>
    </xf>
    <xf numFmtId="0" fontId="19" fillId="9" borderId="0" xfId="0" applyFont="1" applyFill="1" applyAlignment="1">
      <alignment horizontal="center" vertical="center"/>
    </xf>
    <xf numFmtId="175" fontId="18" fillId="9" borderId="0" xfId="0" applyNumberFormat="1" applyFont="1" applyFill="1" applyAlignment="1">
      <alignment horizontal="center" vertical="center"/>
    </xf>
    <xf numFmtId="0" fontId="11" fillId="9" borderId="12" xfId="0" applyFont="1" applyFill="1" applyBorder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32" fillId="17" borderId="36" xfId="15" applyFont="1" applyBorder="1" applyAlignment="1">
      <alignment horizontal="center" vertical="center"/>
    </xf>
    <xf numFmtId="0" fontId="32" fillId="17" borderId="37" xfId="15" applyFont="1" applyBorder="1" applyAlignment="1">
      <alignment horizontal="center" vertical="center"/>
    </xf>
    <xf numFmtId="0" fontId="32" fillId="17" borderId="38" xfId="1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8" fillId="0" borderId="0" xfId="6" applyFont="1" applyAlignment="1">
      <alignment horizontal="center"/>
    </xf>
    <xf numFmtId="17" fontId="17" fillId="11" borderId="4" xfId="5" applyNumberFormat="1" applyFont="1" applyBorder="1" applyAlignment="1">
      <alignment horizontal="center" vertical="center"/>
    </xf>
    <xf numFmtId="17" fontId="17" fillId="11" borderId="6" xfId="5" applyNumberFormat="1" applyFont="1" applyBorder="1" applyAlignment="1">
      <alignment horizontal="center" vertical="center"/>
    </xf>
    <xf numFmtId="17" fontId="17" fillId="11" borderId="5" xfId="5" applyNumberFormat="1" applyFont="1" applyBorder="1" applyAlignment="1">
      <alignment horizontal="center" vertical="center"/>
    </xf>
    <xf numFmtId="178" fontId="21" fillId="0" borderId="23" xfId="6" applyNumberFormat="1" applyFont="1" applyBorder="1" applyAlignment="1">
      <alignment horizontal="center"/>
    </xf>
    <xf numFmtId="0" fontId="27" fillId="2" borderId="0" xfId="2" applyFont="1" applyAlignment="1">
      <alignment horizontal="center" vertical="center"/>
    </xf>
  </cellXfs>
  <cellStyles count="29">
    <cellStyle name="Car" xfId="7" xr:uid="{00000000-0005-0000-0000-000000000000}"/>
    <cellStyle name="Celda de comprobación" xfId="15" builtinId="23"/>
    <cellStyle name="Énfasis1" xfId="5" builtinId="29"/>
    <cellStyle name="Énfasis2" xfId="2" builtinId="33"/>
    <cellStyle name="Error" xfId="8" xr:uid="{00000000-0005-0000-0000-000004000000}"/>
    <cellStyle name="Error 2" xfId="16" xr:uid="{00000000-0005-0000-0000-000005000000}"/>
    <cellStyle name="Millares" xfId="27" builtinId="3"/>
    <cellStyle name="Millares 2" xfId="9" xr:uid="{00000000-0005-0000-0000-000007000000}"/>
    <cellStyle name="Millares 2 2" xfId="17" xr:uid="{00000000-0005-0000-0000-000008000000}"/>
    <cellStyle name="Millares 3" xfId="28" xr:uid="{00000000-0005-0000-0000-000009000000}"/>
    <cellStyle name="Moneda" xfId="1" builtinId="4"/>
    <cellStyle name="Moneda 2" xfId="10" xr:uid="{00000000-0005-0000-0000-00000B000000}"/>
    <cellStyle name="Moneda 2 2" xfId="20" xr:uid="{00000000-0005-0000-0000-00000C000000}"/>
    <cellStyle name="Moneda 3" xfId="23" xr:uid="{00000000-0005-0000-0000-00000D000000}"/>
    <cellStyle name="No completar" xfId="11" xr:uid="{00000000-0005-0000-0000-00000E000000}"/>
    <cellStyle name="No completar 2" xfId="18" xr:uid="{00000000-0005-0000-0000-00000F000000}"/>
    <cellStyle name="Normal" xfId="0" builtinId="0"/>
    <cellStyle name="Normal 10" xfId="26" xr:uid="{00000000-0005-0000-0000-000011000000}"/>
    <cellStyle name="Normal 2" xfId="4" xr:uid="{00000000-0005-0000-0000-000012000000}"/>
    <cellStyle name="Normal 2 2" xfId="19" xr:uid="{00000000-0005-0000-0000-000013000000}"/>
    <cellStyle name="Normal 3" xfId="3" xr:uid="{00000000-0005-0000-0000-000014000000}"/>
    <cellStyle name="Normal 4" xfId="12" xr:uid="{00000000-0005-0000-0000-000015000000}"/>
    <cellStyle name="Normal 5" xfId="13" xr:uid="{00000000-0005-0000-0000-000016000000}"/>
    <cellStyle name="Normal 6" xfId="14" xr:uid="{00000000-0005-0000-0000-000017000000}"/>
    <cellStyle name="Normal 6 2" xfId="21" xr:uid="{00000000-0005-0000-0000-000018000000}"/>
    <cellStyle name="Normal 7" xfId="6" xr:uid="{00000000-0005-0000-0000-000019000000}"/>
    <cellStyle name="Normal 7 2" xfId="22" xr:uid="{00000000-0005-0000-0000-00001A000000}"/>
    <cellStyle name="Normal 8" xfId="24" xr:uid="{00000000-0005-0000-0000-00001B000000}"/>
    <cellStyle name="Normal 9" xfId="25" xr:uid="{00000000-0005-0000-0000-00001C000000}"/>
  </cellStyles>
  <dxfs count="18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rgb="FFFFFFFF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rgb="FF000000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8" formatCode="#,##0.00;[Red]\-#,##0.00"/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35" formatCode="_-* #,##0.00_-;\-* #,##0.00_-;_-* &quot;-&quot;??_-;_-@_-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3" formatCode="#,##0.00\ _€;[Red]\-#,##0.00\ _€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3" formatCode="#,##0.00\ _€;[Red]\-#,##0.00\ _€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rgb="FFB7DEE8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rgb="FFB7DEE8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rgb="FFB7DEE8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rgb="FFB7DEE8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fill>
        <patternFill patternType="solid">
          <fgColor indexed="64"/>
          <bgColor rgb="FFFFFF00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8" formatCode="#,##0.00;[Red]\-#,##0.00"/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174" formatCode="##\-########\-#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8" formatCode="#,##0.00;[Red]\-#,##0.0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numFmt numFmtId="4" formatCode="#,##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4" formatCode="#,##0.00"/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4" formatCode="#,##0.00"/>
      <fill>
        <patternFill patternType="none">
          <fgColor indexed="64"/>
          <bgColor auto="1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82" formatCode="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minor"/>
      </font>
      <numFmt numFmtId="170" formatCode="dd\-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border outline="0">
        <top style="thick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none">
          <fgColor rgb="FF000000"/>
          <bgColor auto="1"/>
        </patternFill>
      </fill>
      <alignment horizontal="righ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0" tint="-0.2499465926084170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numFmt numFmtId="8" formatCode="#,##0.00;[Red]\-#,##0.00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80" formatCode="#,##0.00_ ;[Red]\-#,##0.00\ 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1" formatCode="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8" formatCode="#,##0.00;[Red]\-#,##0.00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alignment horizontal="righ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80" formatCode="#,##0.00_ ;[Red]\-#,##0.00\ 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4" formatCode="##\-########\-#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3" formatCode="0000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2" formatCode="0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00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0" formatCode="dd\-mm\-yy;@"/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alignment horizontal="right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numFmt numFmtId="4" formatCode="#,##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4" formatCode="#,##0.00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4" formatCode="##\-########\-#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scheme val="none"/>
      </font>
      <numFmt numFmtId="173" formatCode="00000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color auto="1"/>
        <name val="Times New Roman"/>
        <scheme val="none"/>
      </font>
    </dxf>
    <dxf>
      <fill>
        <patternFill>
          <bgColor theme="0"/>
        </patternFill>
      </fill>
    </dxf>
    <dxf>
      <fill>
        <patternFill>
          <bgColor theme="6" tint="0.7999816888943144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6" tint="0.39994506668294322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>
          <bgColor theme="0" tint="-4.9989318521683403E-2"/>
        </patternFill>
      </fill>
    </dxf>
    <dxf>
      <font>
        <b/>
        <i val="0"/>
        <color auto="1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ont>
        <b/>
        <i val="0"/>
      </font>
      <fill>
        <patternFill>
          <bgColor theme="0" tint="-0.2499465926084170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Estilo de tabla 1" pivot="0" count="4" xr9:uid="{00000000-0011-0000-FFFF-FFFF00000000}">
      <tableStyleElement type="wholeTable" dxfId="1839"/>
      <tableStyleElement type="headerRow" dxfId="1838"/>
      <tableStyleElement type="totalRow" dxfId="1837"/>
      <tableStyleElement type="firstRowStripe" dxfId="1836"/>
    </tableStyle>
    <tableStyle name="Tabla Ventas" pivot="0" count="5" xr9:uid="{00000000-0011-0000-FFFF-FFFF01000000}">
      <tableStyleElement type="wholeTable" dxfId="1835"/>
      <tableStyleElement type="headerRow" dxfId="1834"/>
      <tableStyleElement type="totalRow" dxfId="1833"/>
      <tableStyleElement type="firstRowStripe" dxfId="1832"/>
      <tableStyleElement type="secondRowStripe" dxfId="1831"/>
    </tableStyle>
  </tableStyles>
  <colors>
    <mruColors>
      <color rgb="FFB7DE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228600</xdr:colOff>
      <xdr:row>2</xdr:row>
      <xdr:rowOff>43543</xdr:rowOff>
    </xdr:from>
    <xdr:to>
      <xdr:col>18</xdr:col>
      <xdr:colOff>519453</xdr:colOff>
      <xdr:row>11</xdr:row>
      <xdr:rowOff>104654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21886" y="620486"/>
          <a:ext cx="2347164" cy="1737511"/>
        </a:xfrm>
        <a:prstGeom prst="rect">
          <a:avLst/>
        </a:prstGeom>
      </xdr:spPr>
    </xdr:pic>
    <xdr:clientData/>
  </xdr:twoCellAnchor>
  <xdr:twoCellAnchor editAs="oneCell">
    <xdr:from>
      <xdr:col>15</xdr:col>
      <xdr:colOff>206829</xdr:colOff>
      <xdr:row>11</xdr:row>
      <xdr:rowOff>141514</xdr:rowOff>
    </xdr:from>
    <xdr:to>
      <xdr:col>18</xdr:col>
      <xdr:colOff>474820</xdr:colOff>
      <xdr:row>13</xdr:row>
      <xdr:rowOff>106709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800115" y="2394857"/>
          <a:ext cx="2324302" cy="33530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Lista_CUIT" displayName="Lista_CUIT" ref="A1:D3531" totalsRowShown="0" headerRowDxfId="1716">
  <autoFilter ref="A1:D3531" xr:uid="{00000000-0009-0000-0100-000006000000}"/>
  <sortState xmlns:xlrd2="http://schemas.microsoft.com/office/spreadsheetml/2017/richdata2" ref="A2:D2462">
    <sortCondition ref="B1:B2462"/>
  </sortState>
  <tableColumns count="4">
    <tableColumn id="1" xr3:uid="{00000000-0010-0000-0000-000001000000}" name="CUIT" dataDxfId="1715"/>
    <tableColumn id="2" xr3:uid="{00000000-0010-0000-0000-000002000000}" name="RAZON SOCIAL" dataDxfId="1714"/>
    <tableColumn id="3" xr3:uid="{00000000-0010-0000-0000-000003000000}" name="Tipo de Gasto" dataDxfId="1713"/>
    <tableColumn id="4" xr3:uid="{00000000-0010-0000-0000-000004000000}" name="PROVINCIA"/>
  </tableColumns>
  <tableStyleInfo name="TableStyleMedium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compras_mes1" displayName="compras_mes1" ref="B8:R133" totalsRowCount="1" headerRowDxfId="1712" dataDxfId="1711" totalsRowDxfId="1710">
  <autoFilter ref="B8:R132" xr:uid="{00000000-0009-0000-0100-000008000000}"/>
  <sortState xmlns:xlrd2="http://schemas.microsoft.com/office/spreadsheetml/2017/richdata2" ref="B24:R130">
    <sortCondition ref="Q8:Q132"/>
  </sortState>
  <tableColumns count="17">
    <tableColumn id="1" xr3:uid="{00000000-0010-0000-0100-000001000000}" name="FECHA" totalsRowLabel="Total" dataDxfId="1709" totalsRowDxfId="1708" dataCellStyle="Normal 3"/>
    <tableColumn id="2" xr3:uid="{00000000-0010-0000-0100-000002000000}" name="TIPO" dataDxfId="1707" totalsRowDxfId="1706" dataCellStyle="Normal 3"/>
    <tableColumn id="3" xr3:uid="{00000000-0010-0000-0100-000003000000}" name="PTO VTA" dataDxfId="1705" totalsRowDxfId="1704" dataCellStyle="Normal 3"/>
    <tableColumn id="4" xr3:uid="{00000000-0010-0000-0100-000004000000}" name="NRO. CPTE" dataDxfId="1703" totalsRowDxfId="1702" dataCellStyle="Normal 3"/>
    <tableColumn id="5" xr3:uid="{00000000-0010-0000-0100-000005000000}" name="CUIT" dataDxfId="1701" totalsRowDxfId="1700" dataCellStyle="Normal 3"/>
    <tableColumn id="6" xr3:uid="{00000000-0010-0000-0100-000006000000}" name="RAZON SOCIAL" dataDxfId="1699" totalsRowDxfId="1698" dataCellStyle="Normal 3">
      <calculatedColumnFormula>IFERROR(IF(compras_mes1[[#This Row],[CUIT]]="","-",VLOOKUP(compras_mes1[[#This Row],[CUIT]],Lista_CUIT[#All],2,0)),"CUIT NO CARGADO")</calculatedColumnFormula>
    </tableColumn>
    <tableColumn id="7" xr3:uid="{00000000-0010-0000-0100-000007000000}" name="NETO GRAVADO" totalsRowFunction="sum" dataDxfId="1697" totalsRowDxfId="1696" dataCellStyle="Normal 3"/>
    <tableColumn id="8" xr3:uid="{00000000-0010-0000-0100-000008000000}" name="IVA 21 %" totalsRowFunction="sum" dataDxfId="1695" totalsRowDxfId="1694" dataCellStyle="Normal 3">
      <calculatedColumnFormula>IF(compras_mes1[[#This Row],[NETO GRAVADO]]="","",compras_mes1[[#This Row],[NETO GRAVADO]]*0.21)</calculatedColumnFormula>
    </tableColumn>
    <tableColumn id="9" xr3:uid="{00000000-0010-0000-0100-000009000000}" name="IVA 27%" totalsRowFunction="sum" dataDxfId="1693" totalsRowDxfId="1692" dataCellStyle="Normal 3"/>
    <tableColumn id="10" xr3:uid="{00000000-0010-0000-0100-00000A000000}" name="IVA 10,5%" totalsRowFunction="sum" dataDxfId="1691" totalsRowDxfId="1690" dataCellStyle="Normal 3"/>
    <tableColumn id="11" xr3:uid="{00000000-0010-0000-0100-00000B000000}" name="PERC. IVA" totalsRowFunction="sum" dataDxfId="1689" totalsRowDxfId="1688" dataCellStyle="Normal 3"/>
    <tableColumn id="12" xr3:uid="{00000000-0010-0000-0100-00000C000000}" name="PERC IIBB _x000a_BS AS" totalsRowFunction="sum" dataDxfId="1687" totalsRowDxfId="1686" dataCellStyle="Normal 3"/>
    <tableColumn id="13" xr3:uid="{00000000-0010-0000-0100-00000D000000}" name="PERC. IIBB CABA" totalsRowFunction="sum" dataDxfId="1685" totalsRowDxfId="1684" dataCellStyle="Normal 3"/>
    <tableColumn id="14" xr3:uid="{00000000-0010-0000-0100-00000E000000}" name="Otros / No Grav." totalsRowFunction="sum" dataDxfId="1683" totalsRowDxfId="1682" dataCellStyle="Normal 3"/>
    <tableColumn id="15" xr3:uid="{00000000-0010-0000-0100-00000F000000}" name="TOTAL" totalsRowFunction="sum" dataDxfId="1681" totalsRowDxfId="1680" dataCellStyle="Normal 3">
      <calculatedColumnFormula>SUM(compras_mes1[[#This Row],[NETO GRAVADO]:[Otros / No Grav.]])</calculatedColumnFormula>
    </tableColumn>
    <tableColumn id="16" xr3:uid="{00000000-0010-0000-0100-000010000000}" name="Tipo de Gasto" dataDxfId="1679" totalsRowDxfId="1678" dataCellStyle="Normal 3">
      <calculatedColumnFormula>IFERROR(IF(compras_mes1[[#This Row],[CUIT]]="","-",VLOOKUP(compras_mes1[[#This Row],[CUIT]],Lista_CUIT[#All],3,0)),"CUIT NO CARGADO")</calculatedColumnFormula>
    </tableColumn>
    <tableColumn id="17" xr3:uid="{00000000-0010-0000-0100-000011000000}" name="Provincia" dataDxfId="1677" totalsRowDxfId="1676" dataCellStyle="Normal 3">
      <calculatedColumnFormula>IFERROR(IF(compras_mes1[[#This Row],[CUIT]]="","-",VLOOKUP(compras_mes1[[#This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factura_c_mes1" displayName="factura_c_mes1" ref="D152:K178" totalsRowCount="1" headerRowDxfId="1675" totalsRowDxfId="1674" headerRowCellStyle="Normal 3">
  <autoFilter ref="D152:K177" xr:uid="{00000000-0009-0000-0100-00000A000000}"/>
  <sortState xmlns:xlrd2="http://schemas.microsoft.com/office/spreadsheetml/2017/richdata2" ref="D153:K177">
    <sortCondition descending="1" ref="J152:J177"/>
  </sortState>
  <tableColumns count="8">
    <tableColumn id="1" xr3:uid="{00000000-0010-0000-0200-000001000000}" name="FECHA" totalsRowLabel="Total" dataDxfId="1673" totalsRowDxfId="1672" dataCellStyle="Normal 3"/>
    <tableColumn id="2" xr3:uid="{00000000-0010-0000-0200-000002000000}" name="PTO VTA" dataDxfId="1671" totalsRowDxfId="1670" dataCellStyle="Normal 3"/>
    <tableColumn id="3" xr3:uid="{00000000-0010-0000-0200-000003000000}" name="FC Nº" dataDxfId="1669" totalsRowDxfId="1668" dataCellStyle="Normal 3"/>
    <tableColumn id="4" xr3:uid="{00000000-0010-0000-0200-000004000000}" name="CUIT" dataDxfId="1667" totalsRowDxfId="1666" dataCellStyle="Normal 3"/>
    <tableColumn id="5" xr3:uid="{00000000-0010-0000-0200-000005000000}" name="RAZON SOCIAL" dataDxfId="1665" totalsRowDxfId="1664" dataCellStyle="Normal 3">
      <calculatedColumnFormula>IFERROR(IF(factura_c_mes1[[#This Row],[CUIT]]="","-",VLOOKUP(factura_c_mes1[[#This Row],[CUIT]],Lista_CUIT[#All],2,0)),"CUIT NO CARGADO")</calculatedColumnFormula>
    </tableColumn>
    <tableColumn id="6" xr3:uid="{00000000-0010-0000-0200-000006000000}" name="TOTAL" totalsRowFunction="sum" dataDxfId="1663" totalsRowDxfId="1662" dataCellStyle="Millares"/>
    <tableColumn id="7" xr3:uid="{00000000-0010-0000-0200-000007000000}" name="TIPO DE GASTO" dataDxfId="1661" totalsRowDxfId="1660" dataCellStyle="Normal 3">
      <calculatedColumnFormula>IFERROR(IF(factura_c_mes1[[#This Row],[CUIT]]="","-",VLOOKUP(factura_c_mes1[[#This Row],[CUIT]],Lista_CUIT[#All],3,0)),"CUIT NO CARGADO")</calculatedColumnFormula>
    </tableColumn>
    <tableColumn id="8" xr3:uid="{00000000-0010-0000-0200-000008000000}" name="Provincia" dataDxfId="1659" totalsRowDxfId="1658" dataCellStyle="Normal 3">
      <calculatedColumnFormula>IFERROR(IF(factura_c_mes1[[#This Row],[CUIT]]="","-",VLOOKUP(factura_c_mes1[[#This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venta_a_mes1" displayName="venta_a_mes1" ref="B186:M194" totalsRowCount="1" headerRowDxfId="1657" dataDxfId="1655" headerRowBorderDxfId="1656" tableBorderDxfId="1654" totalsRowBorderDxfId="1653" dataCellStyle="Normal 3">
  <autoFilter ref="B186:M193" xr:uid="{00000000-0009-0000-0100-000001000000}"/>
  <tableColumns count="12">
    <tableColumn id="1" xr3:uid="{00000000-0010-0000-0300-000001000000}" name="FECHA" totalsRowLabel="Total" dataDxfId="1652" totalsRowDxfId="1651" dataCellStyle="Normal 3"/>
    <tableColumn id="2" xr3:uid="{00000000-0010-0000-0300-000002000000}" name="TIPO" dataDxfId="1650" totalsRowDxfId="1649" dataCellStyle="Normal 3"/>
    <tableColumn id="3" xr3:uid="{00000000-0010-0000-0300-000003000000}" name="PTO VENTA" dataDxfId="1648" totalsRowDxfId="1647" dataCellStyle="Normal 3"/>
    <tableColumn id="4" xr3:uid="{00000000-0010-0000-0300-000004000000}" name="Nº FACTURA" dataDxfId="1646" totalsRowDxfId="1645" dataCellStyle="Normal 3"/>
    <tableColumn id="5" xr3:uid="{00000000-0010-0000-0300-000005000000}" name="CUIT" dataDxfId="1644" totalsRowDxfId="1643" dataCellStyle="Normal 3"/>
    <tableColumn id="6" xr3:uid="{00000000-0010-0000-0300-000006000000}" name="RAZON SOCIAL" dataDxfId="1642" totalsRowDxfId="1641" dataCellStyle="Normal 3">
      <calculatedColumnFormula>IFERROR(IF(venta_a_mes1[[#This Row],[CUIT]]="","-",VLOOKUP(venta_a_mes1[[#This Row],[CUIT]],Lista_CUIT[#All],2,0)),"CUIT NO CARGADO")</calculatedColumnFormula>
    </tableColumn>
    <tableColumn id="7" xr3:uid="{00000000-0010-0000-0300-000007000000}" name="IMPORTE NETO" totalsRowFunction="sum" dataDxfId="1640" totalsRowDxfId="1639" dataCellStyle="Normal 3"/>
    <tableColumn id="8" xr3:uid="{00000000-0010-0000-0300-000008000000}" name="IVA 21%" totalsRowFunction="sum" dataDxfId="1638" totalsRowDxfId="1637" dataCellStyle="Normal 3">
      <calculatedColumnFormula>venta_a_mes1[[#This Row],[IMPORTE NETO]]*0.21</calculatedColumnFormula>
    </tableColumn>
    <tableColumn id="9" xr3:uid="{00000000-0010-0000-0300-000009000000}" name="IVA 10,5%" totalsRowFunction="sum" dataDxfId="1636" totalsRowDxfId="1635" dataCellStyle="Normal 3"/>
    <tableColumn id="10" xr3:uid="{00000000-0010-0000-0300-00000A000000}" name="EXENTO" totalsRowFunction="sum" dataDxfId="1634" totalsRowDxfId="1633" dataCellStyle="Normal 3"/>
    <tableColumn id="11" xr3:uid="{00000000-0010-0000-0300-00000B000000}" name="TOTAL" totalsRowFunction="sum" dataDxfId="1632" totalsRowDxfId="1631" dataCellStyle="Normal 3">
      <calculatedColumnFormula>SUM(venta_a_mes1[[#This Row],[IMPORTE NETO]:[EXENTO]])</calculatedColumnFormula>
    </tableColumn>
    <tableColumn id="12" xr3:uid="{00000000-0010-0000-0300-00000C000000}" name="Provincia" totalsRowFunction="count" dataDxfId="1630" totalsRowDxfId="1629" dataCellStyle="Normal 3"/>
  </tableColumns>
  <tableStyleInfo name="Tabla Vent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ventas_b_mes1" displayName="ventas_b_mes1" ref="B198:M203" totalsRowCount="1" headerRowDxfId="1628" dataDxfId="1626" headerRowBorderDxfId="1627" tableBorderDxfId="1625" totalsRowBorderDxfId="1624" dataCellStyle="Normal 3">
  <autoFilter ref="B198:M202" xr:uid="{00000000-0009-0000-0100-000003000000}"/>
  <tableColumns count="12">
    <tableColumn id="1" xr3:uid="{00000000-0010-0000-0400-000001000000}" name="FECHA" totalsRowLabel="Total" dataDxfId="1623" totalsRowDxfId="1622" dataCellStyle="Normal 3"/>
    <tableColumn id="2" xr3:uid="{00000000-0010-0000-0400-000002000000}" name="TIPO" dataDxfId="1621" totalsRowDxfId="1620" dataCellStyle="Normal 3"/>
    <tableColumn id="3" xr3:uid="{00000000-0010-0000-0400-000003000000}" name="PTO VENTA" dataDxfId="1619" totalsRowDxfId="1618" dataCellStyle="Normal 3"/>
    <tableColumn id="4" xr3:uid="{00000000-0010-0000-0400-000004000000}" name="Nº FACTURA" dataDxfId="1617" totalsRowDxfId="1616" dataCellStyle="Normal 3"/>
    <tableColumn id="5" xr3:uid="{00000000-0010-0000-0400-000005000000}" name="CUIT" dataDxfId="1615" totalsRowDxfId="1614" dataCellStyle="Normal 3"/>
    <tableColumn id="6" xr3:uid="{00000000-0010-0000-0400-000006000000}" name="RAZON SOCIAL" dataDxfId="1613" totalsRowDxfId="1612" dataCellStyle="Normal 3">
      <calculatedColumnFormula>IFERROR(IF(ventas_b_mes1[[#This Row],[CUIT]]="","-",VLOOKUP(ventas_b_mes1[[#This Row],[CUIT]],Lista_CUIT[#All],2,0)),"CUIT NO CARGADO")</calculatedColumnFormula>
    </tableColumn>
    <tableColumn id="7" xr3:uid="{00000000-0010-0000-0400-000007000000}" name="IMPORTE NETO" totalsRowFunction="sum" dataDxfId="1611" totalsRowDxfId="1610" dataCellStyle="Normal 3">
      <calculatedColumnFormula>ventas_b_mes1[[#This Row],[TOTAL]]/1.21</calculatedColumnFormula>
    </tableColumn>
    <tableColumn id="8" xr3:uid="{00000000-0010-0000-0400-000008000000}" name="IVA 21%" totalsRowFunction="sum" dataDxfId="1609" totalsRowDxfId="1608" dataCellStyle="Normal 3">
      <calculatedColumnFormula>ventas_b_mes1[[#This Row],[IMPORTE NETO]]*0.21</calculatedColumnFormula>
    </tableColumn>
    <tableColumn id="9" xr3:uid="{00000000-0010-0000-0400-000009000000}" name="IVA 10,5%" totalsRowFunction="sum" dataDxfId="1607" totalsRowDxfId="1606" dataCellStyle="Normal 3"/>
    <tableColumn id="10" xr3:uid="{00000000-0010-0000-0400-00000A000000}" name="EXENTO" totalsRowFunction="sum" dataDxfId="1605" totalsRowDxfId="1604" dataCellStyle="Normal 3"/>
    <tableColumn id="11" xr3:uid="{00000000-0010-0000-0400-00000B000000}" name="TOTAL" totalsRowFunction="sum" dataDxfId="1603" totalsRowDxfId="1602" dataCellStyle="Normal 3"/>
    <tableColumn id="12" xr3:uid="{00000000-0010-0000-0400-00000C000000}" name="Provincia" totalsRowFunction="count" dataDxfId="1601" totalsRowDxfId="1600" dataCellStyle="Normal 3"/>
  </tableColumns>
  <tableStyleInfo name="Tabla Vent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extracto_banco_mes1" displayName="extracto_banco_mes1" ref="D139:L148" totalsRowCount="1" headerRowDxfId="1599" dataDxfId="1598" tableBorderDxfId="1597" dataCellStyle="Normal 3">
  <autoFilter ref="D139:L147" xr:uid="{00000000-0009-0000-0100-000004000000}"/>
  <tableColumns count="9">
    <tableColumn id="1" xr3:uid="{00000000-0010-0000-0500-000001000000}" name="FECHA" totalsRowLabel="Total" dataDxfId="1596" totalsRowDxfId="1595" dataCellStyle="Normal 3"/>
    <tableColumn id="2" xr3:uid="{00000000-0010-0000-0500-000002000000}" name="NRO CPTE" dataDxfId="1594" totalsRowDxfId="1593"/>
    <tableColumn id="3" xr3:uid="{00000000-0010-0000-0500-000003000000}" name="BANCO" dataDxfId="1592" totalsRowDxfId="1591"/>
    <tableColumn id="4" xr3:uid="{00000000-0010-0000-0500-000004000000}" name="NETO" totalsRowFunction="sum" dataDxfId="1590" totalsRowDxfId="1589" dataCellStyle="Normal 3"/>
    <tableColumn id="5" xr3:uid="{00000000-0010-0000-0500-000005000000}" name="IVA 21%" totalsRowFunction="sum" dataDxfId="1588" totalsRowDxfId="1587" dataCellStyle="Normal 3">
      <calculatedColumnFormula>extracto_banco_mes1[[#This Row],[NETO]]*0.21</calculatedColumnFormula>
    </tableColumn>
    <tableColumn id="6" xr3:uid="{00000000-0010-0000-0500-000006000000}" name="IVA 10,5%" totalsRowFunction="sum" dataDxfId="1586" totalsRowDxfId="1585" dataCellStyle="Normal 3"/>
    <tableColumn id="7" xr3:uid="{00000000-0010-0000-0500-000007000000}" name="RET IIBB CABA" totalsRowFunction="sum" dataDxfId="1584" totalsRowDxfId="1583" dataCellStyle="Normal 3"/>
    <tableColumn id="8" xr3:uid="{00000000-0010-0000-0500-000008000000}" name="PERC IVA" totalsRowFunction="sum" dataDxfId="1582" totalsRowDxfId="1581" dataCellStyle="Normal 3"/>
    <tableColumn id="9" xr3:uid="{00000000-0010-0000-0500-000009000000}" name="PERC IIBB" totalsRowFunction="sum" dataDxfId="1580" totalsRowDxfId="1579" dataCellStyle="Normal 3"/>
  </tableColumns>
  <tableStyleInfo name="Estilo de tabla 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retenciones_mes1" displayName="retenciones_mes1" ref="C212:L217" totalsRowShown="0" headerRowDxfId="1578" dataDxfId="1577" headerRowCellStyle="Normal 3" dataCellStyle="Normal 3">
  <autoFilter ref="C212:L217" xr:uid="{00000000-0009-0000-0100-000005000000}"/>
  <tableColumns count="10">
    <tableColumn id="1" xr3:uid="{00000000-0010-0000-0600-000001000000}" name="FECHA " dataDxfId="1576" dataCellStyle="Normal 3"/>
    <tableColumn id="2" xr3:uid="{00000000-0010-0000-0600-000002000000}" name="COMP Nº" dataDxfId="1575" dataCellStyle="Normal 3"/>
    <tableColumn id="3" xr3:uid="{00000000-0010-0000-0600-000003000000}" name="Columna1" dataDxfId="1574" dataCellStyle="Normal 3"/>
    <tableColumn id="4" xr3:uid="{00000000-0010-0000-0600-000004000000}" name="CUIT" dataDxfId="1573" dataCellStyle="Normal 3"/>
    <tableColumn id="5" xr3:uid="{00000000-0010-0000-0600-000005000000}" name="RAZON SOCIAL" dataDxfId="1572" dataCellStyle="Normal 3">
      <calculatedColumnFormula>IFERROR(IF(retenciones_mes1[[#This Row],[CUIT]]="","-",VLOOKUP(retenciones_mes1[[#This Row],[CUIT]],Lista_CUIT[#All],2,0)),"CUIT NO CARGADO")</calculatedColumnFormula>
    </tableColumn>
    <tableColumn id="6" xr3:uid="{00000000-0010-0000-0600-000006000000}" name="Ganancias" dataDxfId="1571" dataCellStyle="Normal 3"/>
    <tableColumn id="7" xr3:uid="{00000000-0010-0000-0600-000007000000}" name="IVA" dataDxfId="1570" dataCellStyle="Normal 3"/>
    <tableColumn id="8" xr3:uid="{00000000-0010-0000-0600-000008000000}" name="SUSS" dataDxfId="1569" dataCellStyle="Normal 3"/>
    <tableColumn id="9" xr3:uid="{00000000-0010-0000-0600-000009000000}" name="IIBB BSAS" dataDxfId="1568" dataCellStyle="Normal 3"/>
    <tableColumn id="10" xr3:uid="{00000000-0010-0000-0600-00000A000000}" name="IIBB CABA" dataDxfId="1567" dataCellStyle="Normal 3"/>
  </tableColumns>
  <tableStyleInfo name="Estilo de tabla 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compras_mes2" displayName="compras_mes2" ref="B7:R148" totalsRowCount="1" headerRowDxfId="1566" dataDxfId="1565" totalsRowDxfId="1564">
  <autoFilter ref="B7:R147" xr:uid="{00000000-0009-0000-0100-000007000000}"/>
  <sortState xmlns:xlrd2="http://schemas.microsoft.com/office/spreadsheetml/2017/richdata2" ref="B10:R140">
    <sortCondition ref="F7:F147"/>
  </sortState>
  <tableColumns count="17">
    <tableColumn id="1" xr3:uid="{00000000-0010-0000-0700-000001000000}" name="FECHA" totalsRowLabel="Total" dataDxfId="1563" totalsRowDxfId="1562" dataCellStyle="Normal 3"/>
    <tableColumn id="2" xr3:uid="{00000000-0010-0000-0700-000002000000}" name="TIPO" dataDxfId="1561" totalsRowDxfId="1560" dataCellStyle="Normal 3"/>
    <tableColumn id="3" xr3:uid="{00000000-0010-0000-0700-000003000000}" name="PTO VTA" dataDxfId="1559" totalsRowDxfId="1558" dataCellStyle="Normal 3"/>
    <tableColumn id="4" xr3:uid="{00000000-0010-0000-0700-000004000000}" name="NRO. CPTE" dataDxfId="1557" totalsRowDxfId="1556" dataCellStyle="Normal 3"/>
    <tableColumn id="5" xr3:uid="{00000000-0010-0000-0700-000005000000}" name="CUIT" dataDxfId="1555" totalsRowDxfId="1554" dataCellStyle="Normal 3"/>
    <tableColumn id="6" xr3:uid="{00000000-0010-0000-0700-000006000000}" name="RAZON SOCIAL" dataDxfId="1553" totalsRowDxfId="1552" dataCellStyle="Normal 3">
      <calculatedColumnFormula>IFERROR(IF(compras_mes2[[#This Row],[CUIT]]="","-",VLOOKUP(compras_mes2[[#This Row],[CUIT]],Lista_CUIT[#All],2,0)),"CUIT NO CARGADO")</calculatedColumnFormula>
    </tableColumn>
    <tableColumn id="7" xr3:uid="{00000000-0010-0000-0700-000007000000}" name="NETO GRAVADO" totalsRowFunction="sum" dataDxfId="1551" totalsRowDxfId="1550" dataCellStyle="Normal 3"/>
    <tableColumn id="8" xr3:uid="{00000000-0010-0000-0700-000008000000}" name="IVA 21 %" totalsRowFunction="sum" dataDxfId="1549" totalsRowDxfId="1548" dataCellStyle="Normal 3">
      <calculatedColumnFormula>IF(compras_mes2[[#This Row],[NETO GRAVADO]]="","",compras_mes2[[#This Row],[NETO GRAVADO]]*0.21)</calculatedColumnFormula>
    </tableColumn>
    <tableColumn id="9" xr3:uid="{00000000-0010-0000-0700-000009000000}" name="IVA 27%" totalsRowFunction="sum" dataDxfId="1547" totalsRowDxfId="1546" dataCellStyle="Normal 3"/>
    <tableColumn id="10" xr3:uid="{00000000-0010-0000-0700-00000A000000}" name="IVA 10,5%" totalsRowFunction="sum" dataDxfId="1545" totalsRowDxfId="1544" dataCellStyle="Normal 3"/>
    <tableColumn id="11" xr3:uid="{00000000-0010-0000-0700-00000B000000}" name="PERC. IVA" totalsRowFunction="sum" dataDxfId="1543" totalsRowDxfId="1542" dataCellStyle="Normal 3"/>
    <tableColumn id="12" xr3:uid="{00000000-0010-0000-0700-00000C000000}" name="PERC IIBB _x000a_BS AS" totalsRowFunction="sum" dataDxfId="1541" totalsRowDxfId="1540" dataCellStyle="Normal 3"/>
    <tableColumn id="13" xr3:uid="{00000000-0010-0000-0700-00000D000000}" name="PERC. IIBB CABA" totalsRowFunction="sum" dataDxfId="1539" totalsRowDxfId="1538" dataCellStyle="Normal 3"/>
    <tableColumn id="14" xr3:uid="{00000000-0010-0000-0700-00000E000000}" name="Otros / No Grav." totalsRowFunction="sum" dataDxfId="1537" totalsRowDxfId="1536" dataCellStyle="Normal 3"/>
    <tableColumn id="15" xr3:uid="{00000000-0010-0000-0700-00000F000000}" name="TOTAL" totalsRowFunction="sum" dataDxfId="1535" totalsRowDxfId="1534" dataCellStyle="Normal 3">
      <calculatedColumnFormula>SUM(compras_mes2[[#This Row],[NETO GRAVADO]:[Otros / No Grav.]])</calculatedColumnFormula>
    </tableColumn>
    <tableColumn id="16" xr3:uid="{00000000-0010-0000-0700-000010000000}" name="Tipo de Gasto" dataDxfId="1533" totalsRowDxfId="1532" dataCellStyle="Normal 3">
      <calculatedColumnFormula>IFERROR(IF(compras_mes2[[#This Row],[CUIT]]="","-",VLOOKUP(compras_mes2[[#This Row],[CUIT]],Lista_CUIT[#All],3,0)),"CUIT NO CARGADO")</calculatedColumnFormula>
    </tableColumn>
    <tableColumn id="17" xr3:uid="{00000000-0010-0000-0700-000011000000}" name="Provincia" dataDxfId="1531" totalsRowDxfId="1530" dataCellStyle="Normal 3">
      <calculatedColumnFormula>IFERROR(IF(compras_mes2[[#This Row],[CUIT]]="","-",VLOOKUP(compras_mes2[[#This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actura_c_mes2" displayName="factura_c_mes2" ref="D166:K197" totalsRowCount="1" headerRowDxfId="1529" totalsRowDxfId="1528" headerRowCellStyle="Normal 3">
  <autoFilter ref="D166:K196" xr:uid="{00000000-0009-0000-0100-000009000000}"/>
  <sortState xmlns:xlrd2="http://schemas.microsoft.com/office/spreadsheetml/2017/richdata2" ref="D167:K196">
    <sortCondition descending="1" ref="J166:J196"/>
  </sortState>
  <tableColumns count="8">
    <tableColumn id="1" xr3:uid="{00000000-0010-0000-0800-000001000000}" name="FECHA" totalsRowLabel="Total" dataDxfId="1527" totalsRowDxfId="1526" dataCellStyle="Normal 3"/>
    <tableColumn id="2" xr3:uid="{00000000-0010-0000-0800-000002000000}" name="PTO VTA" dataDxfId="1525" totalsRowDxfId="1524" dataCellStyle="Normal 3"/>
    <tableColumn id="3" xr3:uid="{00000000-0010-0000-0800-000003000000}" name="FC Nº" dataDxfId="1523" totalsRowDxfId="1522" dataCellStyle="Normal 3"/>
    <tableColumn id="4" xr3:uid="{00000000-0010-0000-0800-000004000000}" name="CUIT" dataDxfId="1521" totalsRowDxfId="1520" dataCellStyle="Normal 3"/>
    <tableColumn id="5" xr3:uid="{00000000-0010-0000-0800-000005000000}" name="RAZON SOCIAL" dataDxfId="1519" totalsRowDxfId="1518" dataCellStyle="Normal 3">
      <calculatedColumnFormula>IFERROR(IF(factura_c_mes2[[#This Row],[CUIT]]="","-",VLOOKUP(factura_c_mes2[[#This Row],[CUIT]],Lista_CUIT[#All],2,0)),"CUIT NO CARGADO")</calculatedColumnFormula>
    </tableColumn>
    <tableColumn id="6" xr3:uid="{00000000-0010-0000-0800-000006000000}" name="TOTAL" totalsRowFunction="sum" dataDxfId="1517" totalsRowDxfId="1516" dataCellStyle="Normal 3"/>
    <tableColumn id="7" xr3:uid="{00000000-0010-0000-0800-000007000000}" name="TIPO DE GASTO" dataDxfId="1515" totalsRowDxfId="1514" dataCellStyle="Normal 3">
      <calculatedColumnFormula>IFERROR(IF(factura_c_mes2[[#This Row],[CUIT]]="","-",VLOOKUP(factura_c_mes2[[#This Row],[CUIT]],Lista_CUIT[#All],3,0)),"CUIT NO CARGADO")</calculatedColumnFormula>
    </tableColumn>
    <tableColumn id="8" xr3:uid="{00000000-0010-0000-0800-000008000000}" name="Provincia" dataDxfId="1513" totalsRowDxfId="1512" dataCellStyle="Normal 3">
      <calculatedColumnFormula>IFERROR(IF(factura_c_mes2[[#This Row],[CUIT]]="","-",VLOOKUP(factura_c_mes2[[#This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9000000}" name="venta_a_mes2" displayName="venta_a_mes2" ref="B206:M208" totalsRowCount="1" headerRowDxfId="1511" dataDxfId="1509" headerRowBorderDxfId="1510" tableBorderDxfId="1508" totalsRowBorderDxfId="1507" dataCellStyle="Normal 3">
  <autoFilter ref="B206:M207" xr:uid="{00000000-0009-0000-0100-00000B000000}"/>
  <tableColumns count="12">
    <tableColumn id="1" xr3:uid="{00000000-0010-0000-0900-000001000000}" name="FECHA" totalsRowLabel="Total" dataDxfId="1506" totalsRowDxfId="1505" dataCellStyle="Normal 3"/>
    <tableColumn id="2" xr3:uid="{00000000-0010-0000-0900-000002000000}" name="TIPO" dataDxfId="1504" totalsRowDxfId="1503" dataCellStyle="Normal 3"/>
    <tableColumn id="3" xr3:uid="{00000000-0010-0000-0900-000003000000}" name="PTO VENTA" dataDxfId="1502" totalsRowDxfId="1501" dataCellStyle="Normal 3"/>
    <tableColumn id="4" xr3:uid="{00000000-0010-0000-0900-000004000000}" name="Nº FACTURA" dataDxfId="1500" totalsRowDxfId="1499" dataCellStyle="Normal 3"/>
    <tableColumn id="5" xr3:uid="{00000000-0010-0000-0900-000005000000}" name="CUIT" dataDxfId="1498" totalsRowDxfId="1497" dataCellStyle="Normal 3"/>
    <tableColumn id="6" xr3:uid="{00000000-0010-0000-0900-000006000000}" name="RAZON SOCIAL" dataDxfId="1496" totalsRowDxfId="1495" dataCellStyle="Normal 3">
      <calculatedColumnFormula>IFERROR(IF(venta_a_mes2[[#This Row],[CUIT]]="","-",VLOOKUP(venta_a_mes2[[#This Row],[CUIT]],Lista_CUIT[#All],2,0)),"CUIT NO CARGADO")</calculatedColumnFormula>
    </tableColumn>
    <tableColumn id="7" xr3:uid="{00000000-0010-0000-0900-000007000000}" name="IMPORTE NETO" totalsRowFunction="sum" dataDxfId="1494" totalsRowDxfId="1493" dataCellStyle="Normal 3"/>
    <tableColumn id="8" xr3:uid="{00000000-0010-0000-0900-000008000000}" name="IVA 21%" totalsRowFunction="sum" dataDxfId="1492" totalsRowDxfId="1491" dataCellStyle="Normal 3">
      <calculatedColumnFormula>venta_a_mes2[[#This Row],[IMPORTE NETO]]*0.21</calculatedColumnFormula>
    </tableColumn>
    <tableColumn id="9" xr3:uid="{00000000-0010-0000-0900-000009000000}" name="IVA 10,5%" totalsRowFunction="sum" dataDxfId="1490" totalsRowDxfId="1489" dataCellStyle="Normal 3"/>
    <tableColumn id="10" xr3:uid="{00000000-0010-0000-0900-00000A000000}" name="EXENTO" totalsRowFunction="sum" dataDxfId="1488" totalsRowDxfId="1487" dataCellStyle="Normal 3"/>
    <tableColumn id="11" xr3:uid="{00000000-0010-0000-0900-00000B000000}" name="TOTAL" totalsRowFunction="sum" dataDxfId="1486" totalsRowDxfId="1485" dataCellStyle="Normal 3">
      <calculatedColumnFormula>SUM(venta_a_mes2[[#This Row],[IMPORTE NETO]:[EXENTO]])</calculatedColumnFormula>
    </tableColumn>
    <tableColumn id="12" xr3:uid="{00000000-0010-0000-0900-00000C000000}" name="Provincia" totalsRowFunction="count" dataDxfId="1484" totalsRowDxfId="1483" dataCellStyle="Normal 3"/>
  </tableColumns>
  <tableStyleInfo name="Tabla Ventas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A000000}" name="ventas_b_mes2" displayName="ventas_b_mes2" ref="B212:M215" totalsRowCount="1" headerRowDxfId="1482" dataDxfId="1480" headerRowBorderDxfId="1481" tableBorderDxfId="1479" totalsRowBorderDxfId="1478" dataCellStyle="Normal 3">
  <autoFilter ref="B212:M214" xr:uid="{00000000-0009-0000-0100-00000C000000}"/>
  <tableColumns count="12">
    <tableColumn id="1" xr3:uid="{00000000-0010-0000-0A00-000001000000}" name="FECHA" totalsRowLabel="Total" dataDxfId="1477" totalsRowDxfId="1476" dataCellStyle="Normal 3"/>
    <tableColumn id="2" xr3:uid="{00000000-0010-0000-0A00-000002000000}" name="TIPO" dataDxfId="1475" totalsRowDxfId="1474" dataCellStyle="Normal 3"/>
    <tableColumn id="3" xr3:uid="{00000000-0010-0000-0A00-000003000000}" name="PTO VENTA" dataDxfId="1473" totalsRowDxfId="1472" dataCellStyle="Normal 3"/>
    <tableColumn id="4" xr3:uid="{00000000-0010-0000-0A00-000004000000}" name="Nº FACTURA" dataDxfId="1471" totalsRowDxfId="1470" dataCellStyle="Normal 3"/>
    <tableColumn id="5" xr3:uid="{00000000-0010-0000-0A00-000005000000}" name="CUIT" dataDxfId="1469" totalsRowDxfId="1468" dataCellStyle="Normal 3"/>
    <tableColumn id="6" xr3:uid="{00000000-0010-0000-0A00-000006000000}" name="RAZON SOCIAL" dataDxfId="1467" totalsRowDxfId="1466" dataCellStyle="Normal 3">
      <calculatedColumnFormula>IFERROR(IF(ventas_b_mes2[[#This Row],[CUIT]]="","-",VLOOKUP(ventas_b_mes2[[#This Row],[CUIT]],Lista_CUIT[#All],2,0)),"CUIT NO CARGADO")</calculatedColumnFormula>
    </tableColumn>
    <tableColumn id="7" xr3:uid="{00000000-0010-0000-0A00-000007000000}" name="IMPORTE NETO" totalsRowFunction="sum" dataDxfId="1465" totalsRowDxfId="1464" dataCellStyle="Normal 3">
      <calculatedColumnFormula>ventas_b_mes2[[#This Row],[TOTAL]]/1.21</calculatedColumnFormula>
    </tableColumn>
    <tableColumn id="8" xr3:uid="{00000000-0010-0000-0A00-000008000000}" name="IVA 21%" totalsRowFunction="sum" dataDxfId="1463" totalsRowDxfId="1462" dataCellStyle="Normal 3">
      <calculatedColumnFormula>ventas_b_mes2[[#This Row],[IMPORTE NETO]]*0.21</calculatedColumnFormula>
    </tableColumn>
    <tableColumn id="9" xr3:uid="{00000000-0010-0000-0A00-000009000000}" name="IVA 10,5%" totalsRowFunction="sum" dataDxfId="1461" totalsRowDxfId="1460" dataCellStyle="Normal 3"/>
    <tableColumn id="10" xr3:uid="{00000000-0010-0000-0A00-00000A000000}" name="EXENTO" totalsRowFunction="sum" dataDxfId="1459" totalsRowDxfId="1458" dataCellStyle="Normal 3"/>
    <tableColumn id="11" xr3:uid="{00000000-0010-0000-0A00-00000B000000}" name="TOTAL" totalsRowFunction="sum" dataDxfId="1457" totalsRowDxfId="1456" dataCellStyle="Normal 3"/>
    <tableColumn id="12" xr3:uid="{00000000-0010-0000-0A00-00000C000000}" name="Provincia" totalsRowFunction="count" dataDxfId="1455" totalsRowDxfId="1454" dataCellStyle="Normal 3"/>
  </tableColumns>
  <tableStyleInfo name="Tabla Ventas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extracto_banco_mes2" displayName="extracto_banco_mes2" ref="D151:L161" totalsRowCount="1" headerRowDxfId="1453" dataDxfId="1452" tableBorderDxfId="1451" dataCellStyle="Normal 3">
  <autoFilter ref="D151:L160" xr:uid="{00000000-0009-0000-0100-00000D000000}"/>
  <tableColumns count="9">
    <tableColumn id="1" xr3:uid="{00000000-0010-0000-0B00-000001000000}" name="FECHA" totalsRowLabel="Total" dataDxfId="1450" totalsRowDxfId="1449" dataCellStyle="Normal 3"/>
    <tableColumn id="2" xr3:uid="{00000000-0010-0000-0B00-000002000000}" name="NRO CPTE" dataDxfId="1448" totalsRowDxfId="1447" dataCellStyle="Normal 3"/>
    <tableColumn id="3" xr3:uid="{00000000-0010-0000-0B00-000003000000}" name="BANCO" dataDxfId="1446" totalsRowDxfId="1445" dataCellStyle="Normal 3"/>
    <tableColumn id="4" xr3:uid="{00000000-0010-0000-0B00-000004000000}" name="NETO" totalsRowFunction="sum" dataDxfId="1444" totalsRowDxfId="1443" dataCellStyle="Normal 3"/>
    <tableColumn id="5" xr3:uid="{00000000-0010-0000-0B00-000005000000}" name="IVA 21%" totalsRowFunction="sum" dataDxfId="1442" totalsRowDxfId="1441" dataCellStyle="Normal 3"/>
    <tableColumn id="6" xr3:uid="{00000000-0010-0000-0B00-000006000000}" name="IVA 10,5%" totalsRowFunction="sum" dataDxfId="1440" totalsRowDxfId="1439" dataCellStyle="Normal 3"/>
    <tableColumn id="7" xr3:uid="{00000000-0010-0000-0B00-000007000000}" name="RET IIBB CABA" totalsRowFunction="sum" dataDxfId="1438" totalsRowDxfId="1437" dataCellStyle="Normal 3"/>
    <tableColumn id="8" xr3:uid="{00000000-0010-0000-0B00-000008000000}" name="PERC IVA" totalsRowFunction="sum" dataDxfId="1436" totalsRowDxfId="1435" dataCellStyle="Normal 3"/>
    <tableColumn id="9" xr3:uid="{00000000-0010-0000-0B00-000009000000}" name="PERC IIBB" totalsRowFunction="sum" dataDxfId="1434" totalsRowDxfId="1433" dataCellStyle="Normal 3"/>
  </tableColumns>
  <tableStyleInfo name="Estilo de tabla 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C000000}" name="Retenciones_mes2" displayName="Retenciones_mes2" ref="C219:L224" totalsRowShown="0" headerRowDxfId="1432" dataDxfId="1431" headerRowCellStyle="Normal 3" dataCellStyle="Normal 3">
  <autoFilter ref="C219:L224" xr:uid="{00000000-0009-0000-0100-00000E000000}"/>
  <tableColumns count="10">
    <tableColumn id="1" xr3:uid="{00000000-0010-0000-0C00-000001000000}" name="FECHA " dataDxfId="1430" dataCellStyle="Normal 3"/>
    <tableColumn id="2" xr3:uid="{00000000-0010-0000-0C00-000002000000}" name="COMP Nº" dataDxfId="1429" dataCellStyle="Normal 3"/>
    <tableColumn id="3" xr3:uid="{00000000-0010-0000-0C00-000003000000}" name="Columna1" dataDxfId="1428" dataCellStyle="Normal 3"/>
    <tableColumn id="4" xr3:uid="{00000000-0010-0000-0C00-000004000000}" name="CUIT" dataDxfId="1427" dataCellStyle="Normal 3"/>
    <tableColumn id="5" xr3:uid="{00000000-0010-0000-0C00-000005000000}" name="RAZON SOCIAL" dataDxfId="1426" dataCellStyle="Normal 3">
      <calculatedColumnFormula>IFERROR(IF(Retenciones_mes2[[#This Row],[CUIT]]="","-",VLOOKUP(Retenciones_mes2[[#This Row],[CUIT]],Lista_CUIT[#All],2,0)),"CUIT NO CARGADO")</calculatedColumnFormula>
    </tableColumn>
    <tableColumn id="6" xr3:uid="{00000000-0010-0000-0C00-000006000000}" name="Ganancias" dataDxfId="1425" dataCellStyle="Normal 3"/>
    <tableColumn id="7" xr3:uid="{00000000-0010-0000-0C00-000007000000}" name="IVA" dataDxfId="1424" dataCellStyle="Normal 3"/>
    <tableColumn id="8" xr3:uid="{00000000-0010-0000-0C00-000008000000}" name="SUSS" dataDxfId="1423" dataCellStyle="Normal 3"/>
    <tableColumn id="9" xr3:uid="{00000000-0010-0000-0C00-000009000000}" name="IIBB BSAS" dataDxfId="1422" dataCellStyle="Normal 3"/>
    <tableColumn id="10" xr3:uid="{00000000-0010-0000-0C00-00000A000000}" name="IIBB CABA" dataDxfId="1421" dataCellStyle="Normal 3"/>
  </tableColumns>
  <tableStyleInfo name="Estilo de tabla 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00000000-000C-0000-FFFF-FFFF0D000000}" name="venta_a_mes552" displayName="venta_a_mes552" ref="B228:M233" totalsRowCount="1" headerRowDxfId="1420" dataDxfId="1418" headerRowBorderDxfId="1419" tableBorderDxfId="1417" totalsRowBorderDxfId="1416" dataCellStyle="Normal 3">
  <autoFilter ref="B228:M232" xr:uid="{00000000-0009-0000-0100-000033000000}"/>
  <tableColumns count="12">
    <tableColumn id="1" xr3:uid="{00000000-0010-0000-0D00-000001000000}" name="FECHA" totalsRowLabel="Total" dataDxfId="1415" totalsRowDxfId="1414" dataCellStyle="Normal 3"/>
    <tableColumn id="2" xr3:uid="{00000000-0010-0000-0D00-000002000000}" name="TIPO" dataDxfId="1413" totalsRowDxfId="1412" dataCellStyle="Normal 3"/>
    <tableColumn id="3" xr3:uid="{00000000-0010-0000-0D00-000003000000}" name="PTO VENTA" dataDxfId="1411" totalsRowDxfId="1410" dataCellStyle="Normal 3"/>
    <tableColumn id="4" xr3:uid="{00000000-0010-0000-0D00-000004000000}" name="Nº FACTURA" dataDxfId="1409" totalsRowDxfId="1408" dataCellStyle="Normal 3"/>
    <tableColumn id="5" xr3:uid="{00000000-0010-0000-0D00-000005000000}" name="CUIT" dataDxfId="1407" totalsRowDxfId="1406" dataCellStyle="Normal 3"/>
    <tableColumn id="6" xr3:uid="{00000000-0010-0000-0D00-000006000000}" name="RAZON SOCIAL" dataDxfId="1405" totalsRowDxfId="1404" dataCellStyle="Normal 3">
      <calculatedColumnFormula>IFERROR(IF(venta_a_mes552[[#This Row],[CUIT]]="","-",VLOOKUP(venta_a_mes552[[#This Row],[CUIT]],Lista_CUIT[#All],2,0)),"CUIT NO CARGADO")</calculatedColumnFormula>
    </tableColumn>
    <tableColumn id="7" xr3:uid="{00000000-0010-0000-0D00-000007000000}" name="IMPORTE NETO" totalsRowFunction="sum" dataDxfId="1403" totalsRowDxfId="1402" dataCellStyle="Normal 3"/>
    <tableColumn id="8" xr3:uid="{00000000-0010-0000-0D00-000008000000}" name="IVA 21%" totalsRowFunction="sum" dataDxfId="1401" totalsRowDxfId="1400" dataCellStyle="Normal 3">
      <calculatedColumnFormula>venta_a_mes552[[#This Row],[IMPORTE NETO]]*0.21</calculatedColumnFormula>
    </tableColumn>
    <tableColumn id="9" xr3:uid="{00000000-0010-0000-0D00-000009000000}" name="IVA 10,5%" totalsRowFunction="sum" dataDxfId="1399" totalsRowDxfId="1398" dataCellStyle="Normal 3"/>
    <tableColumn id="10" xr3:uid="{00000000-0010-0000-0D00-00000A000000}" name="EXENTO" totalsRowFunction="sum" dataDxfId="1397" totalsRowDxfId="1396" dataCellStyle="Normal 3"/>
    <tableColumn id="11" xr3:uid="{00000000-0010-0000-0D00-00000B000000}" name="TOTAL" totalsRowFunction="sum" dataDxfId="1395" totalsRowDxfId="1394" dataCellStyle="Normal 3">
      <calculatedColumnFormula>SUM(venta_a_mes552[[#This Row],[IMPORTE NETO]:[EXENTO]])</calculatedColumnFormula>
    </tableColumn>
    <tableColumn id="12" xr3:uid="{00000000-0010-0000-0D00-00000C000000}" name="Provincia" totalsRowFunction="count" dataDxfId="1393" totalsRowDxfId="1392" dataCellStyle="Normal 3"/>
  </tableColumns>
  <tableStyleInfo name="Tabla Ventas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compras_mes3" displayName="compras_mes3" ref="B8:R186" totalsRowCount="1" headerRowDxfId="1391" dataDxfId="1390" totalsRowDxfId="1389">
  <autoFilter ref="B8:R185" xr:uid="{00000000-0009-0000-0100-00000F000000}"/>
  <sortState xmlns:xlrd2="http://schemas.microsoft.com/office/spreadsheetml/2017/richdata2" ref="B9:R185">
    <sortCondition ref="G8:G185"/>
  </sortState>
  <tableColumns count="17">
    <tableColumn id="1" xr3:uid="{00000000-0010-0000-0E00-000001000000}" name="FECHA" totalsRowLabel="Total" dataDxfId="1388" totalsRowDxfId="1387" dataCellStyle="Normal 3"/>
    <tableColumn id="2" xr3:uid="{00000000-0010-0000-0E00-000002000000}" name="TIPO" dataDxfId="1386" totalsRowDxfId="1385" dataCellStyle="Normal 3"/>
    <tableColumn id="3" xr3:uid="{00000000-0010-0000-0E00-000003000000}" name="PTO VTA" dataDxfId="1384" totalsRowDxfId="1383" dataCellStyle="Normal 3"/>
    <tableColumn id="4" xr3:uid="{00000000-0010-0000-0E00-000004000000}" name="NRO. CPTE" dataDxfId="1382" totalsRowDxfId="1381" dataCellStyle="Normal 3"/>
    <tableColumn id="5" xr3:uid="{00000000-0010-0000-0E00-000005000000}" name="CUIT" dataDxfId="1380" totalsRowDxfId="1379" dataCellStyle="Normal 3"/>
    <tableColumn id="6" xr3:uid="{00000000-0010-0000-0E00-000006000000}" name="RAZON SOCIAL" dataDxfId="1378" totalsRowDxfId="1377" dataCellStyle="Normal 3">
      <calculatedColumnFormula>IFERROR(IF(compras_mes3[[#This Row],[CUIT]]="","-",VLOOKUP(compras_mes3[[#This Row],[CUIT]],Lista_CUIT[#All],2,0)),"CUIT NO CARGADO")</calculatedColumnFormula>
    </tableColumn>
    <tableColumn id="7" xr3:uid="{00000000-0010-0000-0E00-000007000000}" name="NETO GRAVADO" totalsRowFunction="sum" dataDxfId="1376" totalsRowDxfId="1375" dataCellStyle="Normal 3"/>
    <tableColumn id="8" xr3:uid="{00000000-0010-0000-0E00-000008000000}" name="IVA 21 %" totalsRowFunction="sum" dataDxfId="1374" totalsRowDxfId="1373" dataCellStyle="Normal 3">
      <calculatedColumnFormula>compras_mes3[[#This Row],[NETO GRAVADO]]*0.21</calculatedColumnFormula>
    </tableColumn>
    <tableColumn id="9" xr3:uid="{00000000-0010-0000-0E00-000009000000}" name="IVA 27%" totalsRowFunction="sum" dataDxfId="1372" totalsRowDxfId="1371" dataCellStyle="Normal 3"/>
    <tableColumn id="10" xr3:uid="{00000000-0010-0000-0E00-00000A000000}" name="IVA 10,5%" totalsRowFunction="sum" dataDxfId="1370" totalsRowDxfId="1369" dataCellStyle="Normal 3"/>
    <tableColumn id="11" xr3:uid="{00000000-0010-0000-0E00-00000B000000}" name="PERC. IVA" totalsRowFunction="sum" dataDxfId="1368" totalsRowDxfId="1367" dataCellStyle="Normal 3"/>
    <tableColumn id="12" xr3:uid="{00000000-0010-0000-0E00-00000C000000}" name="PERC IIBB _x000a_BS AS" totalsRowFunction="sum" dataDxfId="1366" totalsRowDxfId="1365" dataCellStyle="Normal 3"/>
    <tableColumn id="13" xr3:uid="{00000000-0010-0000-0E00-00000D000000}" name="PERC. IIBB CABA" totalsRowFunction="sum" dataDxfId="1364" totalsRowDxfId="1363" dataCellStyle="Normal 3"/>
    <tableColumn id="14" xr3:uid="{00000000-0010-0000-0E00-00000E000000}" name="Otros / No Grav." totalsRowFunction="sum" dataDxfId="1362" totalsRowDxfId="1361" dataCellStyle="Normal 3"/>
    <tableColumn id="15" xr3:uid="{00000000-0010-0000-0E00-00000F000000}" name="TOTAL" totalsRowFunction="sum" dataDxfId="1360" totalsRowDxfId="1359" dataCellStyle="Normal 3">
      <calculatedColumnFormula>SUM(compras_mes3[[#This Row],[NETO GRAVADO]:[Otros / No Grav.]])</calculatedColumnFormula>
    </tableColumn>
    <tableColumn id="16" xr3:uid="{00000000-0010-0000-0E00-000010000000}" name="Tipo de Gasto" dataDxfId="1358" totalsRowDxfId="1357" dataCellStyle="Normal 3">
      <calculatedColumnFormula>IFERROR(IF(compras_mes3[[#This Row],[CUIT]]="","-",VLOOKUP(compras_mes3[[#This Row],[CUIT]],Lista_CUIT[#All],3,0)),"CUIT NO CARGADO")</calculatedColumnFormula>
    </tableColumn>
    <tableColumn id="17" xr3:uid="{00000000-0010-0000-0E00-000011000000}" name="Provincia" dataDxfId="1356" totalsRowDxfId="1355" dataCellStyle="Normal 3">
      <calculatedColumnFormula>IFERROR(IF(compras_mes3[[#This Row],[CUIT]]="","-",VLOOKUP(compras_mes3[[#This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actura_c_mes3" displayName="factura_c_mes3" ref="D201:K229" totalsRowCount="1" headerRowDxfId="1354" dataDxfId="1353" totalsRowDxfId="1352" headerRowCellStyle="Normal 3">
  <autoFilter ref="D201:K228" xr:uid="{00000000-0009-0000-0100-000010000000}"/>
  <sortState xmlns:xlrd2="http://schemas.microsoft.com/office/spreadsheetml/2017/richdata2" ref="D202:K228">
    <sortCondition descending="1" ref="J201:J228"/>
  </sortState>
  <tableColumns count="8">
    <tableColumn id="1" xr3:uid="{00000000-0010-0000-0F00-000001000000}" name="FECHA" totalsRowLabel="Total" dataDxfId="1351" totalsRowDxfId="1350" dataCellStyle="Normal 3"/>
    <tableColumn id="2" xr3:uid="{00000000-0010-0000-0F00-000002000000}" name="PTO VTA" dataDxfId="1349" totalsRowDxfId="1348" dataCellStyle="Normal 3"/>
    <tableColumn id="3" xr3:uid="{00000000-0010-0000-0F00-000003000000}" name="FC Nº" dataDxfId="1347" totalsRowDxfId="1346" dataCellStyle="Normal 3"/>
    <tableColumn id="4" xr3:uid="{00000000-0010-0000-0F00-000004000000}" name="CUIT" dataDxfId="1345" totalsRowDxfId="1344" dataCellStyle="Normal 3"/>
    <tableColumn id="5" xr3:uid="{00000000-0010-0000-0F00-000005000000}" name="RAZON SOCIAL" dataDxfId="1343" totalsRowDxfId="1342" dataCellStyle="Normal 3">
      <calculatedColumnFormula>IFERROR(IF(factura_c_mes3[[#This Row],[CUIT]]="","-",VLOOKUP(factura_c_mes3[[#This Row],[CUIT]],Lista_CUIT[#All],2,0)),"CUIT NO CARGADO")</calculatedColumnFormula>
    </tableColumn>
    <tableColumn id="6" xr3:uid="{00000000-0010-0000-0F00-000006000000}" name="TOTAL" totalsRowFunction="sum" dataDxfId="1341" totalsRowDxfId="1340" dataCellStyle="Normal 3"/>
    <tableColumn id="7" xr3:uid="{00000000-0010-0000-0F00-000007000000}" name="TIPO DE GASTO" dataDxfId="1339" totalsRowDxfId="1338" dataCellStyle="Normal 3">
      <calculatedColumnFormula>IFERROR(IF(factura_c_mes3[[#This Row],[CUIT]]="","-",VLOOKUP(factura_c_mes3[[#This Row],[CUIT]],Lista_CUIT[#All],3,0)),"CUIT NO CARGADO")</calculatedColumnFormula>
    </tableColumn>
    <tableColumn id="8" xr3:uid="{00000000-0010-0000-0F00-000008000000}" name="Provincia" dataDxfId="1337" totalsRowDxfId="1336" dataCellStyle="Normal 3">
      <calculatedColumnFormula>IFERROR(IF(factura_c_mes3[[#This Row],[CUIT]]="","-",VLOOKUP(factura_c_mes3[[#This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venta_a_mes3" displayName="venta_a_mes3" ref="B235:M238" totalsRowCount="1" headerRowDxfId="1335" dataDxfId="1333" headerRowBorderDxfId="1334" tableBorderDxfId="1332" totalsRowBorderDxfId="1331" dataCellStyle="Normal 3">
  <autoFilter ref="B235:M237" xr:uid="{00000000-0009-0000-0100-000011000000}"/>
  <tableColumns count="12">
    <tableColumn id="1" xr3:uid="{00000000-0010-0000-1000-000001000000}" name="FECHA" totalsRowLabel="Total" dataDxfId="1330" totalsRowDxfId="1329" dataCellStyle="Normal 3"/>
    <tableColumn id="2" xr3:uid="{00000000-0010-0000-1000-000002000000}" name="TIPO" dataDxfId="1328" totalsRowDxfId="1327" dataCellStyle="Normal 3"/>
    <tableColumn id="3" xr3:uid="{00000000-0010-0000-1000-000003000000}" name="PTO VENTA" dataDxfId="1326" totalsRowDxfId="1325" dataCellStyle="Normal 3"/>
    <tableColumn id="4" xr3:uid="{00000000-0010-0000-1000-000004000000}" name="Nº FACTURA" dataDxfId="1324" totalsRowDxfId="1323" dataCellStyle="Normal 3"/>
    <tableColumn id="5" xr3:uid="{00000000-0010-0000-1000-000005000000}" name="CUIT" dataDxfId="1322" totalsRowDxfId="1321" dataCellStyle="Normal 3"/>
    <tableColumn id="6" xr3:uid="{00000000-0010-0000-1000-000006000000}" name="RAZON SOCIAL" dataDxfId="1320" totalsRowDxfId="1319" dataCellStyle="Normal 3">
      <calculatedColumnFormula>IFERROR(IF(venta_a_mes3[[#This Row],[CUIT]]="","-",VLOOKUP(venta_a_mes3[[#This Row],[CUIT]],Lista_CUIT[#All],2,0)),"CUIT NO CARGADO")</calculatedColumnFormula>
    </tableColumn>
    <tableColumn id="7" xr3:uid="{00000000-0010-0000-1000-000007000000}" name="IMPORTE NETO" totalsRowFunction="sum" dataDxfId="1318" totalsRowDxfId="1317" dataCellStyle="Normal 3"/>
    <tableColumn id="8" xr3:uid="{00000000-0010-0000-1000-000008000000}" name="IVA 21%" totalsRowFunction="sum" dataDxfId="1316" totalsRowDxfId="1315" dataCellStyle="Normal 3">
      <calculatedColumnFormula>venta_a_mes3[[#This Row],[IMPORTE NETO]]*0.21</calculatedColumnFormula>
    </tableColumn>
    <tableColumn id="9" xr3:uid="{00000000-0010-0000-1000-000009000000}" name="IVA 10,5%" totalsRowFunction="sum" dataDxfId="1314" totalsRowDxfId="1313" dataCellStyle="Normal 3"/>
    <tableColumn id="10" xr3:uid="{00000000-0010-0000-1000-00000A000000}" name="EXENTO" totalsRowFunction="sum" dataDxfId="1312" totalsRowDxfId="1311" dataCellStyle="Normal 3"/>
    <tableColumn id="11" xr3:uid="{00000000-0010-0000-1000-00000B000000}" name="TOTAL" totalsRowFunction="sum" dataDxfId="1310" totalsRowDxfId="1309" dataCellStyle="Normal 3">
      <calculatedColumnFormula>SUM(venta_a_mes3[[#This Row],[IMPORTE NETO]:[EXENTO]])</calculatedColumnFormula>
    </tableColumn>
    <tableColumn id="12" xr3:uid="{00000000-0010-0000-1000-00000C000000}" name="Provincia" totalsRowFunction="count" dataDxfId="1308" totalsRowDxfId="1307" dataCellStyle="Normal 3"/>
  </tableColumns>
  <tableStyleInfo name="Tabla Ventas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ventas_b_mes3" displayName="ventas_b_mes3" ref="B242:M245" totalsRowCount="1" headerRowDxfId="1306" dataDxfId="1304" headerRowBorderDxfId="1305" tableBorderDxfId="1303" totalsRowBorderDxfId="1302" dataCellStyle="Normal 3">
  <autoFilter ref="B242:M244" xr:uid="{00000000-0009-0000-0100-000012000000}"/>
  <tableColumns count="12">
    <tableColumn id="1" xr3:uid="{00000000-0010-0000-1100-000001000000}" name="FECHA" totalsRowLabel="Total" dataDxfId="1301" totalsRowDxfId="1300" dataCellStyle="Normal 3"/>
    <tableColumn id="2" xr3:uid="{00000000-0010-0000-1100-000002000000}" name="TIPO" dataDxfId="1299" totalsRowDxfId="1298" dataCellStyle="Normal 3"/>
    <tableColumn id="3" xr3:uid="{00000000-0010-0000-1100-000003000000}" name="PTO VENTA" dataDxfId="1297" totalsRowDxfId="1296" dataCellStyle="Normal 3"/>
    <tableColumn id="4" xr3:uid="{00000000-0010-0000-1100-000004000000}" name="Nº FACTURA" dataDxfId="1295" totalsRowDxfId="1294" dataCellStyle="Normal 3"/>
    <tableColumn id="5" xr3:uid="{00000000-0010-0000-1100-000005000000}" name="CUIT" dataDxfId="1293" totalsRowDxfId="1292" dataCellStyle="Normal 3"/>
    <tableColumn id="6" xr3:uid="{00000000-0010-0000-1100-000006000000}" name="RAZON SOCIAL" dataDxfId="1291" totalsRowDxfId="1290" dataCellStyle="Normal 3">
      <calculatedColumnFormula>IFERROR(IF(ventas_b_mes3[[#This Row],[CUIT]]="","-",VLOOKUP(ventas_b_mes3[[#This Row],[CUIT]],Lista_CUIT[#All],2,0)),"CUIT NO CARGADO")</calculatedColumnFormula>
    </tableColumn>
    <tableColumn id="7" xr3:uid="{00000000-0010-0000-1100-000007000000}" name="IMPORTE NETO" totalsRowFunction="sum" dataDxfId="1289" totalsRowDxfId="1288" dataCellStyle="Normal 3"/>
    <tableColumn id="8" xr3:uid="{00000000-0010-0000-1100-000008000000}" name="IVA 21%" totalsRowFunction="sum" dataDxfId="1287" totalsRowDxfId="1286" dataCellStyle="Normal 3"/>
    <tableColumn id="9" xr3:uid="{00000000-0010-0000-1100-000009000000}" name="IVA 10,5%" totalsRowFunction="sum" dataDxfId="1285" totalsRowDxfId="1284" dataCellStyle="Normal 3"/>
    <tableColumn id="10" xr3:uid="{00000000-0010-0000-1100-00000A000000}" name="EXENTO" totalsRowFunction="sum" dataDxfId="1283" totalsRowDxfId="1282" dataCellStyle="Normal 3"/>
    <tableColumn id="11" xr3:uid="{00000000-0010-0000-1100-00000B000000}" name="TOTAL" totalsRowFunction="sum" dataDxfId="1281" totalsRowDxfId="1280" dataCellStyle="Normal 3">
      <calculatedColumnFormula>SUM(ventas_b_mes3[[#This Row],[IMPORTE NETO]:[EXENTO]])</calculatedColumnFormula>
    </tableColumn>
    <tableColumn id="12" xr3:uid="{00000000-0010-0000-1100-00000C000000}" name="Provincia" totalsRowFunction="count" dataDxfId="1279" totalsRowDxfId="1278" dataCellStyle="Normal 3"/>
  </tableColumns>
  <tableStyleInfo name="Tabla Ventas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extracto_banco_mes3" displayName="extracto_banco_mes3" ref="D189:L198" totalsRowCount="1" headerRowDxfId="1277" dataDxfId="1276" tableBorderDxfId="1275" dataCellStyle="Normal 3">
  <autoFilter ref="D189:L197" xr:uid="{00000000-0009-0000-0100-000013000000}"/>
  <tableColumns count="9">
    <tableColumn id="1" xr3:uid="{00000000-0010-0000-1200-000001000000}" name="FECHA" totalsRowLabel="Total" dataDxfId="1274" totalsRowDxfId="1273" dataCellStyle="Normal 3"/>
    <tableColumn id="2" xr3:uid="{00000000-0010-0000-1200-000002000000}" name="NRO CPTE" dataDxfId="1272" totalsRowDxfId="1271"/>
    <tableColumn id="3" xr3:uid="{00000000-0010-0000-1200-000003000000}" name="BANCO" dataDxfId="1270" totalsRowDxfId="1269"/>
    <tableColumn id="4" xr3:uid="{00000000-0010-0000-1200-000004000000}" name="NETO" totalsRowFunction="sum" dataDxfId="1268" totalsRowDxfId="1267" dataCellStyle="Millares"/>
    <tableColumn id="5" xr3:uid="{00000000-0010-0000-1200-000005000000}" name="IVA 21%" totalsRowFunction="sum" dataDxfId="1266" totalsRowDxfId="1265" dataCellStyle="Millares">
      <calculatedColumnFormula>extracto_banco_mes3[[#This Row],[NETO]]*0.21</calculatedColumnFormula>
    </tableColumn>
    <tableColumn id="6" xr3:uid="{00000000-0010-0000-1200-000006000000}" name="IVA 10,5%" totalsRowFunction="sum" dataDxfId="1264" totalsRowDxfId="1263" dataCellStyle="Millares"/>
    <tableColumn id="7" xr3:uid="{00000000-0010-0000-1200-000007000000}" name="RET IIBB CABA" totalsRowFunction="sum" dataDxfId="1262" totalsRowDxfId="1261" dataCellStyle="Millares"/>
    <tableColumn id="8" xr3:uid="{00000000-0010-0000-1200-000008000000}" name="PERC IVA" totalsRowFunction="sum" dataDxfId="1260" totalsRowDxfId="1259" dataCellStyle="Millares"/>
    <tableColumn id="9" xr3:uid="{00000000-0010-0000-1200-000009000000}" name="PERC IIBB" totalsRowFunction="sum" dataDxfId="1258" totalsRowDxfId="1257" dataCellStyle="Normal 3"/>
  </tableColumns>
  <tableStyleInfo name="Estilo de tabla 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Retenciones_mes3" displayName="Retenciones_mes3" ref="C254:L259" totalsRowShown="0" headerRowDxfId="1256" dataDxfId="1255" headerRowCellStyle="Normal 3" dataCellStyle="Normal 3">
  <autoFilter ref="C254:L259" xr:uid="{00000000-0009-0000-0100-000014000000}"/>
  <tableColumns count="10">
    <tableColumn id="1" xr3:uid="{00000000-0010-0000-1300-000001000000}" name="FECHA " dataDxfId="1254" dataCellStyle="Normal 3"/>
    <tableColumn id="2" xr3:uid="{00000000-0010-0000-1300-000002000000}" name="COMP Nº" dataDxfId="1253" dataCellStyle="Normal 3"/>
    <tableColumn id="3" xr3:uid="{00000000-0010-0000-1300-000003000000}" name="Columna1" dataDxfId="1252" dataCellStyle="Normal 3"/>
    <tableColumn id="4" xr3:uid="{00000000-0010-0000-1300-000004000000}" name="CUIT" dataDxfId="1251" dataCellStyle="Normal 3"/>
    <tableColumn id="5" xr3:uid="{00000000-0010-0000-1300-000005000000}" name="RAZON SOCIAL" dataDxfId="1250" dataCellStyle="Normal 3">
      <calculatedColumnFormula>IFERROR(IF(Retenciones_mes3[[#This Row],[CUIT]]="","-",VLOOKUP(Retenciones_mes3[[#This Row],[CUIT]],Lista_CUIT[#All],2,0)),"CUIT NO CARGADO")</calculatedColumnFormula>
    </tableColumn>
    <tableColumn id="6" xr3:uid="{00000000-0010-0000-1300-000006000000}" name="Ganancias" dataDxfId="1249" dataCellStyle="Normal 3"/>
    <tableColumn id="7" xr3:uid="{00000000-0010-0000-1300-000007000000}" name="IVA" dataDxfId="1248" dataCellStyle="Normal 3"/>
    <tableColumn id="8" xr3:uid="{00000000-0010-0000-1300-000008000000}" name="SUSS" dataDxfId="1247" dataCellStyle="Normal 3"/>
    <tableColumn id="9" xr3:uid="{00000000-0010-0000-1300-000009000000}" name="IIBB BSAS" dataDxfId="1246" dataCellStyle="Normal 3"/>
    <tableColumn id="10" xr3:uid="{00000000-0010-0000-1300-00000A000000}" name="IIBB CABA" dataDxfId="1245" dataCellStyle="Normal 3"/>
  </tableColumns>
  <tableStyleInfo name="Estilo de tabla 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0000000-000C-0000-FFFF-FFFF14000000}" name="venta_a_mes55253" displayName="venta_a_mes55253" ref="C263:N268" totalsRowCount="1" headerRowDxfId="1244" dataDxfId="1242" headerRowBorderDxfId="1243" tableBorderDxfId="1241" totalsRowBorderDxfId="1240" dataCellStyle="Normal 3">
  <autoFilter ref="C263:N267" xr:uid="{00000000-0009-0000-0100-000034000000}"/>
  <tableColumns count="12">
    <tableColumn id="1" xr3:uid="{00000000-0010-0000-1400-000001000000}" name="FECHA" totalsRowLabel="Total" dataDxfId="1239" totalsRowDxfId="1238" dataCellStyle="Normal 3"/>
    <tableColumn id="2" xr3:uid="{00000000-0010-0000-1400-000002000000}" name="TIPO" dataDxfId="1237" totalsRowDxfId="1236" dataCellStyle="Normal 3"/>
    <tableColumn id="3" xr3:uid="{00000000-0010-0000-1400-000003000000}" name="PTO VENTA" dataDxfId="1235" totalsRowDxfId="1234" dataCellStyle="Normal 3"/>
    <tableColumn id="4" xr3:uid="{00000000-0010-0000-1400-000004000000}" name="Nº FACTURA" dataDxfId="1233" totalsRowDxfId="1232" dataCellStyle="Normal 3"/>
    <tableColumn id="5" xr3:uid="{00000000-0010-0000-1400-000005000000}" name="CUIT" dataDxfId="1231" totalsRowDxfId="1230" dataCellStyle="Normal 3"/>
    <tableColumn id="6" xr3:uid="{00000000-0010-0000-1400-000006000000}" name="RAZON SOCIAL" dataDxfId="1229" totalsRowDxfId="1228" dataCellStyle="Normal 3">
      <calculatedColumnFormula>IFERROR(IF(venta_a_mes55253[[#This Row],[CUIT]]="","-",VLOOKUP(venta_a_mes55253[[#This Row],[CUIT]],Lista_CUIT[#All],2,0)),"CUIT NO CARGADO")</calculatedColumnFormula>
    </tableColumn>
    <tableColumn id="7" xr3:uid="{00000000-0010-0000-1400-000007000000}" name="IMPORTE NETO" totalsRowFunction="sum" dataDxfId="1227" totalsRowDxfId="1226" dataCellStyle="Normal 3"/>
    <tableColumn id="8" xr3:uid="{00000000-0010-0000-1400-000008000000}" name="IVA 21%" totalsRowFunction="sum" dataDxfId="1225" totalsRowDxfId="1224" dataCellStyle="Normal 3">
      <calculatedColumnFormula>venta_a_mes55253[[#This Row],[IMPORTE NETO]]*0.21</calculatedColumnFormula>
    </tableColumn>
    <tableColumn id="9" xr3:uid="{00000000-0010-0000-1400-000009000000}" name="IVA 10,5%" totalsRowFunction="sum" dataDxfId="1223" totalsRowDxfId="1222" dataCellStyle="Normal 3"/>
    <tableColumn id="10" xr3:uid="{00000000-0010-0000-1400-00000A000000}" name="EXENTO" totalsRowFunction="sum" dataDxfId="1221" totalsRowDxfId="1220" dataCellStyle="Normal 3"/>
    <tableColumn id="11" xr3:uid="{00000000-0010-0000-1400-00000B000000}" name="TOTAL" totalsRowFunction="sum" dataDxfId="1219" totalsRowDxfId="1218" dataCellStyle="Normal 3">
      <calculatedColumnFormula>SUM(venta_a_mes55253[[#This Row],[IMPORTE NETO]:[EXENTO]])</calculatedColumnFormula>
    </tableColumn>
    <tableColumn id="12" xr3:uid="{00000000-0010-0000-1400-00000C000000}" name="Provincia" totalsRowFunction="count" dataDxfId="1217" totalsRowDxfId="1216" dataCellStyle="Normal 3"/>
  </tableColumns>
  <tableStyleInfo name="Tabla Ventas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5000000}" name="compras_mes4" displayName="compras_mes4" ref="B7:R178" totalsRowCount="1" headerRowDxfId="1215" totalsRowDxfId="1214">
  <autoFilter ref="B7:R177" xr:uid="{00000000-0009-0000-0100-000015000000}"/>
  <sortState xmlns:xlrd2="http://schemas.microsoft.com/office/spreadsheetml/2017/richdata2" ref="B8:R143">
    <sortCondition descending="1" ref="P7:P177"/>
  </sortState>
  <tableColumns count="17">
    <tableColumn id="1" xr3:uid="{00000000-0010-0000-1500-000001000000}" name="FECHA" totalsRowLabel="Total" dataDxfId="1213" totalsRowDxfId="1212" dataCellStyle="Normal 3"/>
    <tableColumn id="2" xr3:uid="{00000000-0010-0000-1500-000002000000}" name="TIPO" dataDxfId="1211" totalsRowDxfId="1210" dataCellStyle="Normal 3"/>
    <tableColumn id="3" xr3:uid="{00000000-0010-0000-1500-000003000000}" name="PTO VTA" dataDxfId="1209" totalsRowDxfId="1208" dataCellStyle="Normal 3"/>
    <tableColumn id="4" xr3:uid="{00000000-0010-0000-1500-000004000000}" name="NRO. CPTE" dataDxfId="1207" totalsRowDxfId="1206" dataCellStyle="Normal 3"/>
    <tableColumn id="5" xr3:uid="{00000000-0010-0000-1500-000005000000}" name="CUIT" dataDxfId="1205" totalsRowDxfId="1204" dataCellStyle="Normal 3"/>
    <tableColumn id="6" xr3:uid="{00000000-0010-0000-1500-000006000000}" name="RAZON SOCIAL" dataDxfId="1203" totalsRowDxfId="1202" dataCellStyle="Normal 3">
      <calculatedColumnFormula>IFERROR(IF(compras_mes4[[#This Row],[CUIT]]="","-",VLOOKUP(compras_mes4[[#This Row],[CUIT]],Lista_CUIT[#All],2,0)),"CUIT NO CARGADO")</calculatedColumnFormula>
    </tableColumn>
    <tableColumn id="7" xr3:uid="{00000000-0010-0000-1500-000007000000}" name="NETO GRAVADO" totalsRowFunction="sum" dataDxfId="1201" totalsRowDxfId="1200" dataCellStyle="Normal 3"/>
    <tableColumn id="8" xr3:uid="{00000000-0010-0000-1500-000008000000}" name="IVA 21 %" totalsRowFunction="sum" dataDxfId="1199" totalsRowDxfId="1198" dataCellStyle="Normal 3">
      <calculatedColumnFormula>IF(compras_mes4[[#This Row],[NETO GRAVADO]]="","",compras_mes4[[#This Row],[NETO GRAVADO]]*0.21)</calculatedColumnFormula>
    </tableColumn>
    <tableColumn id="9" xr3:uid="{00000000-0010-0000-1500-000009000000}" name="IVA 27%" totalsRowFunction="sum" dataDxfId="1197" totalsRowDxfId="1196" dataCellStyle="Normal 3"/>
    <tableColumn id="10" xr3:uid="{00000000-0010-0000-1500-00000A000000}" name="IVA 10,5%" totalsRowFunction="sum" dataDxfId="1195" totalsRowDxfId="1194" dataCellStyle="Normal 3"/>
    <tableColumn id="11" xr3:uid="{00000000-0010-0000-1500-00000B000000}" name="PERC. IVA" totalsRowFunction="sum" dataDxfId="1193" totalsRowDxfId="1192" dataCellStyle="Normal 3"/>
    <tableColumn id="12" xr3:uid="{00000000-0010-0000-1500-00000C000000}" name="PERC IIBB _x000a_BS AS" totalsRowFunction="sum" dataDxfId="1191" totalsRowDxfId="1190" dataCellStyle="Normal 3"/>
    <tableColumn id="13" xr3:uid="{00000000-0010-0000-1500-00000D000000}" name="PERC. IIBB CABA" totalsRowFunction="sum" dataDxfId="1189" totalsRowDxfId="1188" dataCellStyle="Normal 3"/>
    <tableColumn id="14" xr3:uid="{00000000-0010-0000-1500-00000E000000}" name="Otros / No Grav." totalsRowFunction="sum" dataDxfId="1187" totalsRowDxfId="1186" dataCellStyle="Normal 3"/>
    <tableColumn id="15" xr3:uid="{00000000-0010-0000-1500-00000F000000}" name="TOTAL" totalsRowFunction="sum" dataDxfId="1185" totalsRowDxfId="1184" dataCellStyle="Normal 3">
      <calculatedColumnFormula>SUM(compras_mes4[[#This Row],[NETO GRAVADO]:[Otros / No Grav.]])</calculatedColumnFormula>
    </tableColumn>
    <tableColumn id="16" xr3:uid="{00000000-0010-0000-1500-000010000000}" name="Tipo de Gasto" dataDxfId="1183" totalsRowDxfId="1182" dataCellStyle="Normal 3">
      <calculatedColumnFormula>IFERROR(IF(compras_mes4[[#This Row],[CUIT]]="","-",VLOOKUP(compras_mes4[[#This Row],[CUIT]],Lista_CUIT[#All],3,0)),"CUIT NO CARGADO")</calculatedColumnFormula>
    </tableColumn>
    <tableColumn id="17" xr3:uid="{00000000-0010-0000-1500-000011000000}" name="Provincia" dataDxfId="1181" totalsRowDxfId="1180" dataCellStyle="Normal 3">
      <calculatedColumnFormula>IFERROR(IF(compras_mes4[[#This Row],[CUIT]]="","-",VLOOKUP(compras_mes4[[#This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6000000}" name="factura_c_mes4" displayName="factura_c_mes4" ref="D193:K244" totalsRowCount="1" headerRowDxfId="1179" totalsRowDxfId="1178" headerRowCellStyle="Normal 3">
  <autoFilter ref="D193:K243" xr:uid="{00000000-0009-0000-0100-000016000000}"/>
  <sortState xmlns:xlrd2="http://schemas.microsoft.com/office/spreadsheetml/2017/richdata2" ref="D194:K243">
    <sortCondition descending="1" ref="J193:J243"/>
  </sortState>
  <tableColumns count="8">
    <tableColumn id="1" xr3:uid="{00000000-0010-0000-1600-000001000000}" name="FECHA" totalsRowLabel="Total" dataDxfId="1177" totalsRowDxfId="1176" dataCellStyle="Normal 3"/>
    <tableColumn id="2" xr3:uid="{00000000-0010-0000-1600-000002000000}" name="PTO VTA" dataDxfId="1175" totalsRowDxfId="1174" dataCellStyle="Normal 3"/>
    <tableColumn id="3" xr3:uid="{00000000-0010-0000-1600-000003000000}" name="FC Nº" dataDxfId="1173" totalsRowDxfId="1172" dataCellStyle="Normal 3"/>
    <tableColumn id="4" xr3:uid="{00000000-0010-0000-1600-000004000000}" name="CUIT" dataDxfId="1171" totalsRowDxfId="1170" dataCellStyle="Normal 3"/>
    <tableColumn id="5" xr3:uid="{00000000-0010-0000-1600-000005000000}" name="RAZON SOCIAL" dataDxfId="1169" totalsRowDxfId="1168" dataCellStyle="Normal 3">
      <calculatedColumnFormula>IFERROR(IF(factura_c_mes4[[#This Row],[CUIT]]="","-",VLOOKUP(factura_c_mes4[[#This Row],[CUIT]],Lista_CUIT[#All],2,0)),"CUIT NO CARGADO")</calculatedColumnFormula>
    </tableColumn>
    <tableColumn id="6" xr3:uid="{00000000-0010-0000-1600-000006000000}" name="TOTAL" totalsRowFunction="sum" dataDxfId="1167" totalsRowDxfId="1166" dataCellStyle="Normal 3"/>
    <tableColumn id="7" xr3:uid="{00000000-0010-0000-1600-000007000000}" name="TIPO DE GASTO" dataDxfId="1165" totalsRowDxfId="1164" dataCellStyle="Normal 3">
      <calculatedColumnFormula>IFERROR(IF(factura_c_mes4[[#This Row],[CUIT]]="","-",VLOOKUP(factura_c_mes4[[#This Row],[CUIT]],Lista_CUIT[#All],3,0)),"CUIT NO CARGADO")</calculatedColumnFormula>
    </tableColumn>
    <tableColumn id="8" xr3:uid="{00000000-0010-0000-1600-000008000000}" name="Provincia" dataDxfId="1163" totalsRowDxfId="1162" dataCellStyle="Normal 3">
      <calculatedColumnFormula>IFERROR(IF(factura_c_mes4[[#This Row],[CUIT]]="","-",VLOOKUP(factura_c_mes4[[#This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7000000}" name="venta_a_mes4" displayName="venta_a_mes4" ref="B253:M259" totalsRowCount="1" headerRowDxfId="1161" dataDxfId="1159" headerRowBorderDxfId="1160" tableBorderDxfId="1158" totalsRowBorderDxfId="1157" dataCellStyle="Normal 3">
  <autoFilter ref="B253:M258" xr:uid="{00000000-0009-0000-0100-000017000000}"/>
  <tableColumns count="12">
    <tableColumn id="1" xr3:uid="{00000000-0010-0000-1700-000001000000}" name="FECHA" totalsRowLabel="Total" dataDxfId="1156" totalsRowDxfId="1155" dataCellStyle="Normal 3"/>
    <tableColumn id="2" xr3:uid="{00000000-0010-0000-1700-000002000000}" name="TIPO" dataDxfId="1154" totalsRowDxfId="1153" dataCellStyle="Normal 3"/>
    <tableColumn id="3" xr3:uid="{00000000-0010-0000-1700-000003000000}" name="PTO VENTA" dataDxfId="1152" totalsRowDxfId="1151" dataCellStyle="Normal 3"/>
    <tableColumn id="4" xr3:uid="{00000000-0010-0000-1700-000004000000}" name="Nº FACTURA" dataDxfId="1150" totalsRowDxfId="1149" dataCellStyle="Normal 3"/>
    <tableColumn id="5" xr3:uid="{00000000-0010-0000-1700-000005000000}" name="CUIT" dataDxfId="1148" totalsRowDxfId="1147" dataCellStyle="Normal 3"/>
    <tableColumn id="6" xr3:uid="{00000000-0010-0000-1700-000006000000}" name="RAZON SOCIAL" dataDxfId="1146" totalsRowDxfId="1145" dataCellStyle="Normal 3">
      <calculatedColumnFormula>IFERROR(IF(venta_a_mes4[[#This Row],[CUIT]]="","-",VLOOKUP(venta_a_mes4[[#This Row],[CUIT]],Lista_CUIT[#All],2,0)),"CUIT NO CARGADO")</calculatedColumnFormula>
    </tableColumn>
    <tableColumn id="7" xr3:uid="{00000000-0010-0000-1700-000007000000}" name="IMPORTE NETO" totalsRowFunction="sum" dataDxfId="1144" totalsRowDxfId="1143" dataCellStyle="Normal 3"/>
    <tableColumn id="8" xr3:uid="{00000000-0010-0000-1700-000008000000}" name="IVA 21%" totalsRowFunction="sum" dataDxfId="1142" totalsRowDxfId="1141" dataCellStyle="Normal 3">
      <calculatedColumnFormula>venta_a_mes4[[#This Row],[IMPORTE NETO]]*0.21</calculatedColumnFormula>
    </tableColumn>
    <tableColumn id="9" xr3:uid="{00000000-0010-0000-1700-000009000000}" name="IVA 10,5%" totalsRowFunction="sum" dataDxfId="1140" totalsRowDxfId="1139" dataCellStyle="Normal 3"/>
    <tableColumn id="10" xr3:uid="{00000000-0010-0000-1700-00000A000000}" name="EXENTO" totalsRowFunction="sum" dataDxfId="1138" totalsRowDxfId="1137" dataCellStyle="Normal 3"/>
    <tableColumn id="11" xr3:uid="{00000000-0010-0000-1700-00000B000000}" name="TOTAL" totalsRowFunction="sum" dataDxfId="1136" totalsRowDxfId="1135" dataCellStyle="Normal 3">
      <calculatedColumnFormula>SUM(venta_a_mes4[[#This Row],[IMPORTE NETO]:[EXENTO]])</calculatedColumnFormula>
    </tableColumn>
    <tableColumn id="12" xr3:uid="{00000000-0010-0000-1700-00000C000000}" name="Provincia" totalsRowFunction="count" dataDxfId="1134" totalsRowDxfId="1133" dataCellStyle="Normal 3"/>
  </tableColumns>
  <tableStyleInfo name="Tabla Ventas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8000000}" name="ventas_b_mes4" displayName="ventas_b_mes4" ref="B263:M270" totalsRowCount="1" headerRowDxfId="1132" dataDxfId="1130" headerRowBorderDxfId="1131" tableBorderDxfId="1129" totalsRowBorderDxfId="1128" dataCellStyle="Normal 3">
  <autoFilter ref="B263:M269" xr:uid="{00000000-0009-0000-0100-000018000000}"/>
  <tableColumns count="12">
    <tableColumn id="1" xr3:uid="{00000000-0010-0000-1800-000001000000}" name="FECHA" totalsRowLabel="Total" dataDxfId="1127" totalsRowDxfId="1126" dataCellStyle="Normal 3"/>
    <tableColumn id="2" xr3:uid="{00000000-0010-0000-1800-000002000000}" name="TIPO" dataDxfId="1125" totalsRowDxfId="1124" dataCellStyle="Normal 3"/>
    <tableColumn id="3" xr3:uid="{00000000-0010-0000-1800-000003000000}" name="PTO VENTA" dataDxfId="1123" totalsRowDxfId="1122" dataCellStyle="Normal 3"/>
    <tableColumn id="4" xr3:uid="{00000000-0010-0000-1800-000004000000}" name="Nº FACTURA" dataDxfId="1121" totalsRowDxfId="1120" dataCellStyle="Normal 3"/>
    <tableColumn id="5" xr3:uid="{00000000-0010-0000-1800-000005000000}" name="CUIT" dataDxfId="1119" totalsRowDxfId="1118" dataCellStyle="Normal 3"/>
    <tableColumn id="6" xr3:uid="{00000000-0010-0000-1800-000006000000}" name="RAZON SOCIAL" dataDxfId="1117" totalsRowDxfId="1116" dataCellStyle="Normal 3">
      <calculatedColumnFormula>IFERROR(IF(ventas_b_mes4[[#This Row],[CUIT]]="","-",VLOOKUP(ventas_b_mes4[[#This Row],[CUIT]],Lista_CUIT[#All],2,0)),"CUIT NO CARGADO")</calculatedColumnFormula>
    </tableColumn>
    <tableColumn id="7" xr3:uid="{00000000-0010-0000-1800-000007000000}" name="IMPORTE NETO" totalsRowFunction="sum" dataDxfId="1115" totalsRowDxfId="1114" dataCellStyle="Normal 3"/>
    <tableColumn id="8" xr3:uid="{00000000-0010-0000-1800-000008000000}" name="IVA 21%" totalsRowFunction="sum" dataDxfId="1113" totalsRowDxfId="1112" dataCellStyle="Normal 3"/>
    <tableColumn id="9" xr3:uid="{00000000-0010-0000-1800-000009000000}" name="IVA 10,5%" totalsRowFunction="sum" dataDxfId="1111" totalsRowDxfId="1110" dataCellStyle="Normal 3"/>
    <tableColumn id="10" xr3:uid="{00000000-0010-0000-1800-00000A000000}" name="EXENTO" totalsRowFunction="sum" dataDxfId="1109" totalsRowDxfId="1108" dataCellStyle="Normal 3"/>
    <tableColumn id="11" xr3:uid="{00000000-0010-0000-1800-00000B000000}" name="TOTAL" totalsRowFunction="sum" dataDxfId="1107" totalsRowDxfId="1106" dataCellStyle="Normal 3">
      <calculatedColumnFormula>SUM(ventas_b_mes4[[#This Row],[IMPORTE NETO]:[EXENTO]])</calculatedColumnFormula>
    </tableColumn>
    <tableColumn id="12" xr3:uid="{00000000-0010-0000-1800-00000C000000}" name="Provincia" totalsRowFunction="count" dataDxfId="1105" totalsRowDxfId="1104" dataCellStyle="Normal 3"/>
  </tableColumns>
  <tableStyleInfo name="Tabla Ventas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9000000}" name="extracto_banco_mes4" displayName="extracto_banco_mes4" ref="D181:L189" totalsRowCount="1" headerRowDxfId="1103" dataDxfId="1102" tableBorderDxfId="1101" dataCellStyle="Normal 3">
  <autoFilter ref="D181:L188" xr:uid="{00000000-0009-0000-0100-000019000000}"/>
  <tableColumns count="9">
    <tableColumn id="1" xr3:uid="{00000000-0010-0000-1900-000001000000}" name="FECHA" totalsRowLabel="Total" dataDxfId="1100" totalsRowDxfId="1099" dataCellStyle="Normal 3"/>
    <tableColumn id="2" xr3:uid="{00000000-0010-0000-1900-000002000000}" name="NRO CPTE" dataDxfId="1098" totalsRowDxfId="1097"/>
    <tableColumn id="3" xr3:uid="{00000000-0010-0000-1900-000003000000}" name="BANCO" dataDxfId="1096" totalsRowDxfId="1095"/>
    <tableColumn id="4" xr3:uid="{00000000-0010-0000-1900-000004000000}" name="NETO" totalsRowFunction="sum" dataDxfId="1094" totalsRowDxfId="1093" dataCellStyle="Normal 3"/>
    <tableColumn id="5" xr3:uid="{00000000-0010-0000-1900-000005000000}" name="IVA 21%" totalsRowFunction="sum" dataDxfId="1092" totalsRowDxfId="1091" dataCellStyle="Normal 3"/>
    <tableColumn id="6" xr3:uid="{00000000-0010-0000-1900-000006000000}" name="IVA 10,5%" totalsRowFunction="sum" dataDxfId="1090" totalsRowDxfId="1089" dataCellStyle="Normal 3"/>
    <tableColumn id="7" xr3:uid="{00000000-0010-0000-1900-000007000000}" name="RET IIBB CABA" totalsRowFunction="sum" dataDxfId="1088" totalsRowDxfId="1087" dataCellStyle="Normal 3"/>
    <tableColumn id="8" xr3:uid="{00000000-0010-0000-1900-000008000000}" name="PERC IVA" totalsRowFunction="sum" dataDxfId="1086" totalsRowDxfId="1085" dataCellStyle="Normal 3"/>
    <tableColumn id="9" xr3:uid="{00000000-0010-0000-1900-000009000000}" name="PERC IIBB" totalsRowFunction="sum" dataDxfId="1084" totalsRowDxfId="1083" dataCellStyle="Normal 3"/>
  </tableColumns>
  <tableStyleInfo name="Estilo de tabla 1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A000000}" name="Retenciones_mes4" displayName="Retenciones_mes4" ref="C279:L284" totalsRowShown="0" headerRowDxfId="1082" dataDxfId="1081" headerRowCellStyle="Normal 3" dataCellStyle="Normal 3">
  <autoFilter ref="C279:L284" xr:uid="{00000000-0009-0000-0100-00001A000000}"/>
  <tableColumns count="10">
    <tableColumn id="1" xr3:uid="{00000000-0010-0000-1A00-000001000000}" name="FECHA " dataDxfId="1080" dataCellStyle="Normal 3"/>
    <tableColumn id="2" xr3:uid="{00000000-0010-0000-1A00-000002000000}" name="COMP Nº" dataDxfId="1079" dataCellStyle="Normal 3"/>
    <tableColumn id="3" xr3:uid="{00000000-0010-0000-1A00-000003000000}" name="Columna1" dataDxfId="1078" dataCellStyle="Normal 3"/>
    <tableColumn id="4" xr3:uid="{00000000-0010-0000-1A00-000004000000}" name="CUIT" dataDxfId="1077" dataCellStyle="Normal 3"/>
    <tableColumn id="5" xr3:uid="{00000000-0010-0000-1A00-000005000000}" name="RAZON SOCIAL" dataDxfId="1076" dataCellStyle="Normal 3">
      <calculatedColumnFormula>IFERROR(IF(Retenciones_mes4[[#This Row],[CUIT]]="","-",VLOOKUP(Retenciones_mes4[[#This Row],[CUIT]],Lista_CUIT[#All],2,0)),"CUIT NO CARGADO")</calculatedColumnFormula>
    </tableColumn>
    <tableColumn id="6" xr3:uid="{00000000-0010-0000-1A00-000006000000}" name="Ganancias" dataDxfId="1075" dataCellStyle="Normal 3"/>
    <tableColumn id="7" xr3:uid="{00000000-0010-0000-1A00-000007000000}" name="IVA" dataDxfId="1074" dataCellStyle="Normal 3"/>
    <tableColumn id="8" xr3:uid="{00000000-0010-0000-1A00-000008000000}" name="SUSS" dataDxfId="1073" dataCellStyle="Normal 3"/>
    <tableColumn id="9" xr3:uid="{00000000-0010-0000-1A00-000009000000}" name="IIBB BSAS" dataDxfId="1072" dataCellStyle="Normal 3"/>
    <tableColumn id="10" xr3:uid="{00000000-0010-0000-1A00-00000A000000}" name="IIBB CABA" dataDxfId="1071" dataCellStyle="Normal 3"/>
  </tableColumns>
  <tableStyleInfo name="Estilo de tabla 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00000000-000C-0000-FFFF-FFFF1B000000}" name="compras_mes5" displayName="compras_mes5" ref="B7:R165" totalsRowCount="1" headerRowDxfId="1070" dataDxfId="1069" totalsRowDxfId="1068">
  <autoFilter ref="B7:R164" xr:uid="{00000000-0009-0000-0100-00002D000000}"/>
  <sortState xmlns:xlrd2="http://schemas.microsoft.com/office/spreadsheetml/2017/richdata2" ref="B8:R163">
    <sortCondition ref="B7:B163"/>
  </sortState>
  <tableColumns count="17">
    <tableColumn id="1" xr3:uid="{00000000-0010-0000-1B00-000001000000}" name="FECHA" totalsRowLabel="Total" dataDxfId="1067" totalsRowDxfId="1066" dataCellStyle="Normal 3"/>
    <tableColumn id="2" xr3:uid="{00000000-0010-0000-1B00-000002000000}" name="TIPO" dataDxfId="1065" totalsRowDxfId="1064" dataCellStyle="Normal 3"/>
    <tableColumn id="3" xr3:uid="{00000000-0010-0000-1B00-000003000000}" name="PTO VTA" dataDxfId="1063" totalsRowDxfId="1062" dataCellStyle="Normal 3"/>
    <tableColumn id="4" xr3:uid="{00000000-0010-0000-1B00-000004000000}" name="NRO. CPTE" dataDxfId="1061" totalsRowDxfId="1060" dataCellStyle="Normal 3"/>
    <tableColumn id="5" xr3:uid="{00000000-0010-0000-1B00-000005000000}" name="CUIT" dataDxfId="1059" totalsRowDxfId="1058" dataCellStyle="Normal 3"/>
    <tableColumn id="6" xr3:uid="{00000000-0010-0000-1B00-000006000000}" name="RAZON SOCIAL" dataDxfId="1057" totalsRowDxfId="1056" dataCellStyle="Normal 3">
      <calculatedColumnFormula>IFERROR(IF(compras_mes5[[#This Row],[CUIT]]="","-",VLOOKUP(compras_mes5[[#This Row],[CUIT]],Lista_CUIT[#All],2,0)),"CUIT NO CARGADO")</calculatedColumnFormula>
    </tableColumn>
    <tableColumn id="7" xr3:uid="{00000000-0010-0000-1B00-000007000000}" name="NETO GRAVADO" totalsRowFunction="sum" dataDxfId="1055" totalsRowDxfId="1054" dataCellStyle="Normal 3"/>
    <tableColumn id="8" xr3:uid="{00000000-0010-0000-1B00-000008000000}" name="IVA 21 %" totalsRowFunction="sum" dataDxfId="1053" totalsRowDxfId="1052" dataCellStyle="Normal 3">
      <calculatedColumnFormula>IF(compras_mes5[[#This Row],[NETO GRAVADO]]="","",compras_mes5[[#This Row],[NETO GRAVADO]]*0.21)</calculatedColumnFormula>
    </tableColumn>
    <tableColumn id="9" xr3:uid="{00000000-0010-0000-1B00-000009000000}" name="IVA 27%" totalsRowFunction="sum" dataDxfId="1051" totalsRowDxfId="1050" dataCellStyle="Normal 3"/>
    <tableColumn id="10" xr3:uid="{00000000-0010-0000-1B00-00000A000000}" name="IVA 10,5%" totalsRowFunction="sum" dataDxfId="1049" totalsRowDxfId="1048" dataCellStyle="Normal 3"/>
    <tableColumn id="11" xr3:uid="{00000000-0010-0000-1B00-00000B000000}" name="PERC. IVA" totalsRowFunction="sum" dataDxfId="1047" totalsRowDxfId="1046" dataCellStyle="Normal 3"/>
    <tableColumn id="12" xr3:uid="{00000000-0010-0000-1B00-00000C000000}" name="PERC IIBB _x000a_BS AS" totalsRowFunction="sum" dataDxfId="1045" totalsRowDxfId="1044" dataCellStyle="Normal 3"/>
    <tableColumn id="13" xr3:uid="{00000000-0010-0000-1B00-00000D000000}" name="PERC. IIBB CABA" totalsRowFunction="sum" dataDxfId="1043" totalsRowDxfId="1042" dataCellStyle="Normal 3"/>
    <tableColumn id="14" xr3:uid="{00000000-0010-0000-1B00-00000E000000}" name="Otros / No Grav." totalsRowFunction="sum" dataDxfId="1041" totalsRowDxfId="1040" dataCellStyle="Normal 3"/>
    <tableColumn id="15" xr3:uid="{00000000-0010-0000-1B00-00000F000000}" name="TOTAL" totalsRowFunction="sum" dataDxfId="1039" totalsRowDxfId="1038" dataCellStyle="Normal 3">
      <calculatedColumnFormula>SUM(compras_mes5[[#This Row],[NETO GRAVADO]:[Otros / No Grav.]])</calculatedColumnFormula>
    </tableColumn>
    <tableColumn id="16" xr3:uid="{00000000-0010-0000-1B00-000010000000}" name="Tipo de Gasto" dataDxfId="1037" totalsRowDxfId="1036" dataCellStyle="Normal 3">
      <calculatedColumnFormula>IFERROR(IF(compras_mes5[[#This Row],[CUIT]]="","-",VLOOKUP(compras_mes5[[#This Row],[CUIT]],Lista_CUIT[#All],3,0)),"CUIT NO CARGADO")</calculatedColumnFormula>
    </tableColumn>
    <tableColumn id="17" xr3:uid="{00000000-0010-0000-1B00-000011000000}" name="Provincia" dataDxfId="1035" totalsRowDxfId="1034" dataCellStyle="Normal 3">
      <calculatedColumnFormula>IFERROR(IF(compras_mes5[[#This Row],[CUIT]]="","-",VLOOKUP(compras_mes5[[#This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0000000-000C-0000-FFFF-FFFF1C000000}" name="factura_c_mes5" displayName="factura_c_mes5" ref="D181:K221" totalsRowCount="1" headerRowDxfId="1033" totalsRowDxfId="1032" headerRowCellStyle="Normal 3">
  <autoFilter ref="D181:K220" xr:uid="{00000000-0009-0000-0100-00002E000000}"/>
  <sortState xmlns:xlrd2="http://schemas.microsoft.com/office/spreadsheetml/2017/richdata2" ref="D182:K220">
    <sortCondition descending="1" ref="J181:J220"/>
  </sortState>
  <tableColumns count="8">
    <tableColumn id="1" xr3:uid="{00000000-0010-0000-1C00-000001000000}" name="FECHA" totalsRowLabel="Total" dataDxfId="1031" totalsRowDxfId="1030" dataCellStyle="Normal 3"/>
    <tableColumn id="2" xr3:uid="{00000000-0010-0000-1C00-000002000000}" name="PTO VTA" dataDxfId="1029" totalsRowDxfId="1028" dataCellStyle="Normal 3"/>
    <tableColumn id="3" xr3:uid="{00000000-0010-0000-1C00-000003000000}" name="FC Nº" dataDxfId="1027" totalsRowDxfId="1026" dataCellStyle="Normal 3"/>
    <tableColumn id="4" xr3:uid="{00000000-0010-0000-1C00-000004000000}" name="CUIT" dataDxfId="1025" totalsRowDxfId="1024" dataCellStyle="Normal 3"/>
    <tableColumn id="5" xr3:uid="{00000000-0010-0000-1C00-000005000000}" name="RAZON SOCIAL" dataDxfId="1023" totalsRowDxfId="1022" dataCellStyle="Normal 3">
      <calculatedColumnFormula>IFERROR(IF(factura_c_mes5[[#This Row],[CUIT]]="","-",VLOOKUP(factura_c_mes5[[#This Row],[CUIT]],Lista_CUIT[#All],2,0)),"CUIT NO CARGADO")</calculatedColumnFormula>
    </tableColumn>
    <tableColumn id="6" xr3:uid="{00000000-0010-0000-1C00-000006000000}" name="TOTAL" totalsRowFunction="sum" dataDxfId="1021" totalsRowDxfId="1020" dataCellStyle="Normal 3"/>
    <tableColumn id="7" xr3:uid="{00000000-0010-0000-1C00-000007000000}" name="TIPO DE GASTO" dataDxfId="1019" totalsRowDxfId="1018" dataCellStyle="Normal 3">
      <calculatedColumnFormula>IFERROR(IF(factura_c_mes5[[#This Row],[CUIT]]="","-",VLOOKUP(factura_c_mes5[[#This Row],[CUIT]],Lista_CUIT[#All],3,0)),"CUIT NO CARGADO")</calculatedColumnFormula>
    </tableColumn>
    <tableColumn id="8" xr3:uid="{00000000-0010-0000-1C00-000008000000}" name="Provincia" dataDxfId="1017" totalsRowDxfId="1016" dataCellStyle="Normal 3">
      <calculatedColumnFormula>IFERROR(IF(factura_c_mes5[[#This Row],[CUIT]]="","-",VLOOKUP(factura_c_mes5[[#This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0000000-000C-0000-FFFF-FFFF1D000000}" name="venta_a_mes5" displayName="venta_a_mes5" ref="B226:M232" totalsRowCount="1" headerRowDxfId="1015" dataDxfId="1013" headerRowBorderDxfId="1014" tableBorderDxfId="1012" totalsRowBorderDxfId="1011" dataCellStyle="Normal 3">
  <autoFilter ref="B226:M231" xr:uid="{00000000-0009-0000-0100-00002F000000}"/>
  <tableColumns count="12">
    <tableColumn id="1" xr3:uid="{00000000-0010-0000-1D00-000001000000}" name="FECHA" totalsRowLabel="Total" dataDxfId="1010" totalsRowDxfId="1009" dataCellStyle="Normal 3"/>
    <tableColumn id="2" xr3:uid="{00000000-0010-0000-1D00-000002000000}" name="TIPO" dataDxfId="1008" totalsRowDxfId="1007" dataCellStyle="Normal 3"/>
    <tableColumn id="3" xr3:uid="{00000000-0010-0000-1D00-000003000000}" name="PTO VENTA" dataDxfId="1006" totalsRowDxfId="1005" dataCellStyle="Normal 3"/>
    <tableColumn id="4" xr3:uid="{00000000-0010-0000-1D00-000004000000}" name="Nº FACTURA" dataDxfId="1004" totalsRowDxfId="1003" dataCellStyle="Normal 3"/>
    <tableColumn id="5" xr3:uid="{00000000-0010-0000-1D00-000005000000}" name="CUIT" dataDxfId="1002" totalsRowDxfId="1001" dataCellStyle="Normal 3"/>
    <tableColumn id="6" xr3:uid="{00000000-0010-0000-1D00-000006000000}" name="RAZON SOCIAL" dataDxfId="1000" totalsRowDxfId="999" dataCellStyle="Normal 3">
      <calculatedColumnFormula>IFERROR(IF(venta_a_mes5[[#This Row],[CUIT]]="","-",VLOOKUP(venta_a_mes5[[#This Row],[CUIT]],Lista_CUIT[#All],2,0)),"CUIT NO CARGADO")</calculatedColumnFormula>
    </tableColumn>
    <tableColumn id="7" xr3:uid="{00000000-0010-0000-1D00-000007000000}" name="IMPORTE NETO" totalsRowFunction="sum" dataDxfId="998" totalsRowDxfId="997" dataCellStyle="Normal 3"/>
    <tableColumn id="8" xr3:uid="{00000000-0010-0000-1D00-000008000000}" name="IVA 21%" totalsRowFunction="sum" dataDxfId="996" totalsRowDxfId="995" dataCellStyle="Normal 3">
      <calculatedColumnFormula>venta_a_mes5[[#This Row],[IMPORTE NETO]]*0.21</calculatedColumnFormula>
    </tableColumn>
    <tableColumn id="9" xr3:uid="{00000000-0010-0000-1D00-000009000000}" name="IVA 10,5%" totalsRowFunction="sum" dataDxfId="994" totalsRowDxfId="993" dataCellStyle="Normal 3"/>
    <tableColumn id="10" xr3:uid="{00000000-0010-0000-1D00-00000A000000}" name="EXENTO" totalsRowFunction="sum" dataDxfId="992" totalsRowDxfId="991" dataCellStyle="Normal 3"/>
    <tableColumn id="11" xr3:uid="{00000000-0010-0000-1D00-00000B000000}" name="TOTAL" totalsRowFunction="sum" dataDxfId="990" totalsRowDxfId="989" dataCellStyle="Normal 3">
      <calculatedColumnFormula>SUM(venta_a_mes5[[#This Row],[IMPORTE NETO]:[EXENTO]])</calculatedColumnFormula>
    </tableColumn>
    <tableColumn id="12" xr3:uid="{00000000-0010-0000-1D00-00000C000000}" name="Provincia" totalsRowFunction="count" dataDxfId="988" totalsRowDxfId="987" dataCellStyle="Normal 3"/>
  </tableColumns>
  <tableStyleInfo name="Tabla Ventas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0000000-000C-0000-FFFF-FFFF1E000000}" name="ventas_b_mes5" displayName="ventas_b_mes5" ref="B236:M243" totalsRowCount="1" headerRowDxfId="986" dataDxfId="984" headerRowBorderDxfId="985" tableBorderDxfId="983" totalsRowBorderDxfId="982" dataCellStyle="Normal 3">
  <autoFilter ref="B236:M242" xr:uid="{00000000-0009-0000-0100-000030000000}"/>
  <tableColumns count="12">
    <tableColumn id="1" xr3:uid="{00000000-0010-0000-1E00-000001000000}" name="FECHA" totalsRowLabel="Total" dataDxfId="981" totalsRowDxfId="980" dataCellStyle="Normal 3"/>
    <tableColumn id="2" xr3:uid="{00000000-0010-0000-1E00-000002000000}" name="TIPO" dataDxfId="979" totalsRowDxfId="978" dataCellStyle="Normal 3"/>
    <tableColumn id="3" xr3:uid="{00000000-0010-0000-1E00-000003000000}" name="PTO VENTA" dataDxfId="977" totalsRowDxfId="976" dataCellStyle="Normal 3"/>
    <tableColumn id="4" xr3:uid="{00000000-0010-0000-1E00-000004000000}" name="Nº FACTURA" dataDxfId="975" totalsRowDxfId="974" dataCellStyle="Normal 3"/>
    <tableColumn id="5" xr3:uid="{00000000-0010-0000-1E00-000005000000}" name="CUIT" dataDxfId="973" totalsRowDxfId="972" dataCellStyle="Normal 3"/>
    <tableColumn id="6" xr3:uid="{00000000-0010-0000-1E00-000006000000}" name="RAZON SOCIAL" dataDxfId="971" totalsRowDxfId="970" dataCellStyle="Normal 3">
      <calculatedColumnFormula>IFERROR(IF(ventas_b_mes5[[#This Row],[CUIT]]="","-",VLOOKUP(ventas_b_mes5[[#This Row],[CUIT]],Lista_CUIT[#All],2,0)),"CUIT NO CARGADO")</calculatedColumnFormula>
    </tableColumn>
    <tableColumn id="7" xr3:uid="{00000000-0010-0000-1E00-000007000000}" name="IMPORTE NETO" totalsRowFunction="sum" dataDxfId="969" totalsRowDxfId="968" dataCellStyle="Normal 3"/>
    <tableColumn id="8" xr3:uid="{00000000-0010-0000-1E00-000008000000}" name="IVA 21%" totalsRowFunction="sum" dataDxfId="967" totalsRowDxfId="966" dataCellStyle="Normal 3"/>
    <tableColumn id="9" xr3:uid="{00000000-0010-0000-1E00-000009000000}" name="IVA 10,5%" totalsRowFunction="sum" dataDxfId="965" totalsRowDxfId="964" dataCellStyle="Normal 3"/>
    <tableColumn id="10" xr3:uid="{00000000-0010-0000-1E00-00000A000000}" name="EXENTO" totalsRowFunction="sum" dataDxfId="963" totalsRowDxfId="962" dataCellStyle="Normal 3"/>
    <tableColumn id="11" xr3:uid="{00000000-0010-0000-1E00-00000B000000}" name="TOTAL" totalsRowFunction="sum" dataDxfId="961" totalsRowDxfId="960" dataCellStyle="Normal 3">
      <calculatedColumnFormula>SUM(ventas_b_mes5[[#This Row],[IMPORTE NETO]:[EXENTO]])</calculatedColumnFormula>
    </tableColumn>
    <tableColumn id="12" xr3:uid="{00000000-0010-0000-1E00-00000C000000}" name="Provincia" totalsRowFunction="count" dataDxfId="959" totalsRowDxfId="958" dataCellStyle="Normal 3"/>
  </tableColumns>
  <tableStyleInfo name="Tabla Ventas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00000000-000C-0000-FFFF-FFFF1F000000}" name="extracto_banco_mes5" displayName="extracto_banco_mes5" ref="D168:M178" totalsRowCount="1" headerRowDxfId="957" dataDxfId="956" tableBorderDxfId="955" dataCellStyle="Normal 3">
  <autoFilter ref="D168:M177" xr:uid="{00000000-0009-0000-0100-000031000000}"/>
  <tableColumns count="10">
    <tableColumn id="1" xr3:uid="{00000000-0010-0000-1F00-000001000000}" name="FECHA" totalsRowLabel="Total" dataDxfId="954" totalsRowDxfId="953" dataCellStyle="Normal 3"/>
    <tableColumn id="2" xr3:uid="{00000000-0010-0000-1F00-000002000000}" name="NRO CPTE" dataDxfId="952" totalsRowDxfId="951"/>
    <tableColumn id="3" xr3:uid="{00000000-0010-0000-1F00-000003000000}" name="BANCO" dataDxfId="950" totalsRowDxfId="949"/>
    <tableColumn id="4" xr3:uid="{00000000-0010-0000-1F00-000004000000}" name="NETO" totalsRowFunction="sum" dataDxfId="948" totalsRowDxfId="947" dataCellStyle="Normal 3"/>
    <tableColumn id="5" xr3:uid="{00000000-0010-0000-1F00-000005000000}" name="IVA 21%" totalsRowFunction="sum" dataDxfId="946" totalsRowDxfId="945" dataCellStyle="Normal 3">
      <calculatedColumnFormula>extracto_banco_mes5[[#This Row],[NETO]]*0.21</calculatedColumnFormula>
    </tableColumn>
    <tableColumn id="6" xr3:uid="{00000000-0010-0000-1F00-000006000000}" name="IVA 10,5%" totalsRowFunction="sum" dataDxfId="944" totalsRowDxfId="943" dataCellStyle="Normal 3"/>
    <tableColumn id="7" xr3:uid="{00000000-0010-0000-1F00-000007000000}" name="RET IIBB CABA" totalsRowFunction="sum" dataDxfId="942" totalsRowDxfId="941" dataCellStyle="Normal 3"/>
    <tableColumn id="8" xr3:uid="{00000000-0010-0000-1F00-000008000000}" name="PERC IVA" totalsRowFunction="sum" dataDxfId="940" totalsRowDxfId="939" dataCellStyle="Normal 3"/>
    <tableColumn id="9" xr3:uid="{00000000-0010-0000-1F00-000009000000}" name="PERC IIBB" totalsRowFunction="sum" dataDxfId="938" totalsRowDxfId="937" dataCellStyle="Normal 3"/>
    <tableColumn id="10" xr3:uid="{00000000-0010-0000-1F00-00000A000000}" name="TOTAL " dataDxfId="936" totalsRowDxfId="935" dataCellStyle="Normal 3">
      <calculatedColumnFormula>SUM(extracto_banco_mes5[[#This Row],[NETO]:[PERC IIBB]])</calculatedColumnFormula>
    </tableColumn>
  </tableColumns>
  <tableStyleInfo name="Estilo de tabla 1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0000000-000C-0000-FFFF-FFFF20000000}" name="Retenciones_mes5" displayName="Retenciones_mes5" ref="C252:L257" totalsRowShown="0" headerRowDxfId="934" dataDxfId="933" headerRowCellStyle="Normal 3" dataCellStyle="Normal 3">
  <autoFilter ref="C252:L257" xr:uid="{00000000-0009-0000-0100-000032000000}"/>
  <tableColumns count="10">
    <tableColumn id="1" xr3:uid="{00000000-0010-0000-2000-000001000000}" name="FECHA " dataDxfId="932" dataCellStyle="Normal 3"/>
    <tableColumn id="2" xr3:uid="{00000000-0010-0000-2000-000002000000}" name="COMP Nº" dataDxfId="931" dataCellStyle="Normal 3"/>
    <tableColumn id="3" xr3:uid="{00000000-0010-0000-2000-000003000000}" name="Columna1" dataDxfId="930" dataCellStyle="Normal 3"/>
    <tableColumn id="4" xr3:uid="{00000000-0010-0000-2000-000004000000}" name="CUIT" dataDxfId="929" dataCellStyle="Normal 3"/>
    <tableColumn id="5" xr3:uid="{00000000-0010-0000-2000-000005000000}" name="RAZON SOCIAL" dataDxfId="928" dataCellStyle="Normal 3">
      <calculatedColumnFormula>IFERROR(IF(Retenciones_mes5[[#This Row],[CUIT]]="","-",VLOOKUP(Retenciones_mes5[[#This Row],[CUIT]],Lista_CUIT[#All],2,0)),"CUIT NO CARGADO")</calculatedColumnFormula>
    </tableColumn>
    <tableColumn id="6" xr3:uid="{00000000-0010-0000-2000-000006000000}" name="Ganancias" dataDxfId="927" dataCellStyle="Normal 3"/>
    <tableColumn id="7" xr3:uid="{00000000-0010-0000-2000-000007000000}" name="IVA" dataDxfId="926" dataCellStyle="Normal 3"/>
    <tableColumn id="8" xr3:uid="{00000000-0010-0000-2000-000008000000}" name="SUSS" dataDxfId="925" dataCellStyle="Normal 3"/>
    <tableColumn id="9" xr3:uid="{00000000-0010-0000-2000-000009000000}" name="IIBB BSAS" dataDxfId="924" dataCellStyle="Normal 3"/>
    <tableColumn id="10" xr3:uid="{00000000-0010-0000-2000-00000A000000}" name="IIBB CABA" dataDxfId="923" dataCellStyle="Normal 3"/>
  </tableColumns>
  <tableStyleInfo name="Estilo de tabla 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21000000}" name="compras_mes6" displayName="compras_mes6" ref="B8:R142" totalsRowCount="1" headerRowDxfId="922" dataDxfId="921" totalsRowDxfId="920">
  <autoFilter ref="B8:R141" xr:uid="{00000000-0009-0000-0100-00001B000000}"/>
  <sortState xmlns:xlrd2="http://schemas.microsoft.com/office/spreadsheetml/2017/richdata2" ref="B9:R141">
    <sortCondition ref="Q8:Q141"/>
  </sortState>
  <tableColumns count="17">
    <tableColumn id="1" xr3:uid="{00000000-0010-0000-2100-000001000000}" name="FECHA" totalsRowLabel="Total" dataDxfId="919" totalsRowDxfId="918" dataCellStyle="Normal 3"/>
    <tableColumn id="2" xr3:uid="{00000000-0010-0000-2100-000002000000}" name="TIPO" dataDxfId="917" totalsRowDxfId="916" dataCellStyle="Normal 3"/>
    <tableColumn id="3" xr3:uid="{00000000-0010-0000-2100-000003000000}" name="PTO VTA" dataDxfId="915" totalsRowDxfId="914" dataCellStyle="Normal 3"/>
    <tableColumn id="4" xr3:uid="{00000000-0010-0000-2100-000004000000}" name="NRO. CPTE" dataDxfId="913" totalsRowDxfId="912" dataCellStyle="Normal 3"/>
    <tableColumn id="5" xr3:uid="{00000000-0010-0000-2100-000005000000}" name="CUIT" dataDxfId="911" totalsRowDxfId="910" dataCellStyle="Normal 3"/>
    <tableColumn id="6" xr3:uid="{00000000-0010-0000-2100-000006000000}" name="RAZON SOCIAL" dataDxfId="909" totalsRowDxfId="908" dataCellStyle="Normal 3">
      <calculatedColumnFormula>IFERROR(IF(compras_mes6[[#This Row],[CUIT]]="","-",VLOOKUP(compras_mes6[[#This Row],[CUIT]],Lista_CUIT[#All],2,0)),"CUIT NO CARGADO")</calculatedColumnFormula>
    </tableColumn>
    <tableColumn id="7" xr3:uid="{00000000-0010-0000-2100-000007000000}" name="NETO GRAVADO" totalsRowFunction="sum" dataDxfId="907" totalsRowDxfId="906" dataCellStyle="Normal 3"/>
    <tableColumn id="8" xr3:uid="{00000000-0010-0000-2100-000008000000}" name="IVA 21 %" totalsRowFunction="sum" dataDxfId="905" totalsRowDxfId="904" dataCellStyle="Normal 3">
      <calculatedColumnFormula>IF(compras_mes6[[#This Row],[NETO GRAVADO]]="","",compras_mes6[[#This Row],[NETO GRAVADO]]*0.21)</calculatedColumnFormula>
    </tableColumn>
    <tableColumn id="9" xr3:uid="{00000000-0010-0000-2100-000009000000}" name="IVA 27%" totalsRowFunction="sum" dataDxfId="903" totalsRowDxfId="902" dataCellStyle="Normal 3"/>
    <tableColumn id="10" xr3:uid="{00000000-0010-0000-2100-00000A000000}" name="IVA 10,5%" totalsRowFunction="sum" dataDxfId="901" totalsRowDxfId="900" dataCellStyle="Normal 3"/>
    <tableColumn id="11" xr3:uid="{00000000-0010-0000-2100-00000B000000}" name="PERC. IVA" totalsRowFunction="sum" dataDxfId="899" totalsRowDxfId="898" dataCellStyle="Normal 3"/>
    <tableColumn id="12" xr3:uid="{00000000-0010-0000-2100-00000C000000}" name="PERC IIBB _x000a_BS AS" totalsRowFunction="sum" dataDxfId="897" totalsRowDxfId="896" dataCellStyle="Normal 3"/>
    <tableColumn id="13" xr3:uid="{00000000-0010-0000-2100-00000D000000}" name="PERC. IIBB CABA" totalsRowFunction="sum" dataDxfId="895" totalsRowDxfId="894" dataCellStyle="Normal 3"/>
    <tableColumn id="14" xr3:uid="{00000000-0010-0000-2100-00000E000000}" name="Otros / No Grav." totalsRowFunction="sum" dataDxfId="893" totalsRowDxfId="892" dataCellStyle="Normal 3"/>
    <tableColumn id="15" xr3:uid="{00000000-0010-0000-2100-00000F000000}" name="TOTAL" totalsRowFunction="sum" dataDxfId="891" totalsRowDxfId="890" dataCellStyle="Normal 3">
      <calculatedColumnFormula>SUM(compras_mes6[[#This Row],[NETO GRAVADO]:[Otros / No Grav.]])</calculatedColumnFormula>
    </tableColumn>
    <tableColumn id="16" xr3:uid="{00000000-0010-0000-2100-000010000000}" name="Tipo de Gasto" dataDxfId="889" totalsRowDxfId="888" dataCellStyle="Normal 3">
      <calculatedColumnFormula>IFERROR(IF(compras_mes6[[#This Row],[CUIT]]="","-",VLOOKUP(compras_mes6[[#This Row],[CUIT]],Lista_CUIT[#All],3,0)),"CUIT NO CARGADO")</calculatedColumnFormula>
    </tableColumn>
    <tableColumn id="17" xr3:uid="{00000000-0010-0000-2100-000011000000}" name="Provincia" dataDxfId="887" totalsRowDxfId="886" dataCellStyle="Normal 3">
      <calculatedColumnFormula>IFERROR(IF(compras_mes6[[#This Row],[CUIT]]="","-",VLOOKUP(compras_mes6[[#This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22000000}" name="factura_c_mes6" displayName="factura_c_mes6" ref="D158:K184" totalsRowCount="1" headerRowDxfId="885" totalsRowDxfId="884" headerRowCellStyle="Normal 3">
  <autoFilter ref="D158:K183" xr:uid="{00000000-0009-0000-0100-00001C000000}"/>
  <sortState xmlns:xlrd2="http://schemas.microsoft.com/office/spreadsheetml/2017/richdata2" ref="D159:K183">
    <sortCondition descending="1" ref="J158:J183"/>
  </sortState>
  <tableColumns count="8">
    <tableColumn id="1" xr3:uid="{00000000-0010-0000-2200-000001000000}" name="FECHA" totalsRowLabel="Total" dataDxfId="83" totalsRowDxfId="82" dataCellStyle="Normal 3"/>
    <tableColumn id="2" xr3:uid="{00000000-0010-0000-2200-000002000000}" name="PTO VTA" dataDxfId="81" totalsRowDxfId="80" dataCellStyle="Normal 3"/>
    <tableColumn id="3" xr3:uid="{00000000-0010-0000-2200-000003000000}" name="FC Nº" dataDxfId="79" totalsRowDxfId="78" dataCellStyle="Normal 3"/>
    <tableColumn id="4" xr3:uid="{00000000-0010-0000-2200-000004000000}" name="CUIT" dataDxfId="77" totalsRowDxfId="76" dataCellStyle="Normal 3"/>
    <tableColumn id="5" xr3:uid="{00000000-0010-0000-2200-000005000000}" name="RAZON SOCIAL" dataDxfId="75" totalsRowDxfId="74" dataCellStyle="Normal 3">
      <calculatedColumnFormula>IFERROR(IF(factura_c_mes6[[#This Row],[CUIT]]="","-",VLOOKUP(factura_c_mes6[[#This Row],[CUIT]],Lista_CUIT[#All],2,0)),"CUIT NO CARGADO")</calculatedColumnFormula>
    </tableColumn>
    <tableColumn id="6" xr3:uid="{00000000-0010-0000-2200-000006000000}" name="TOTAL" totalsRowFunction="sum" dataDxfId="73" totalsRowDxfId="72" dataCellStyle="Normal 3"/>
    <tableColumn id="7" xr3:uid="{00000000-0010-0000-2200-000007000000}" name="TIPO DE GASTO" dataDxfId="71" totalsRowDxfId="70" dataCellStyle="Normal 3">
      <calculatedColumnFormula>IFERROR(IF(factura_c_mes6[[#This Row],[CUIT]]="","-",VLOOKUP(factura_c_mes6[[#This Row],[CUIT]],Lista_CUIT[#All],3,0)),"CUIT NO CARGADO")</calculatedColumnFormula>
    </tableColumn>
    <tableColumn id="8" xr3:uid="{00000000-0010-0000-2200-000008000000}" name="Provincia" dataDxfId="69" totalsRowDxfId="68" dataCellStyle="Normal 3">
      <calculatedColumnFormula>IFERROR(IF(factura_c_mes6[[#This Row],[CUIT]]="","-",VLOOKUP(factura_c_mes6[[#This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23000000}" name="venta_a_mes6" displayName="venta_a_mes6" ref="B193:M341" totalsRowCount="1" headerRowDxfId="883" dataDxfId="881" headerRowBorderDxfId="882" tableBorderDxfId="880" totalsRowBorderDxfId="879" dataCellStyle="Normal 3">
  <autoFilter ref="B193:M340" xr:uid="{00000000-0009-0000-0100-00001D000000}"/>
  <tableColumns count="12">
    <tableColumn id="1" xr3:uid="{00000000-0010-0000-2300-000001000000}" name="FECHA" totalsRowLabel="Total" dataDxfId="878" totalsRowDxfId="877" dataCellStyle="Normal 3"/>
    <tableColumn id="2" xr3:uid="{00000000-0010-0000-2300-000002000000}" name="TIPO" dataDxfId="876" totalsRowDxfId="875" dataCellStyle="Normal 3"/>
    <tableColumn id="3" xr3:uid="{00000000-0010-0000-2300-000003000000}" name="PTO VENTA" dataDxfId="874" totalsRowDxfId="873" dataCellStyle="Normal 3"/>
    <tableColumn id="4" xr3:uid="{00000000-0010-0000-2300-000004000000}" name="Nº FACTURA" dataDxfId="872" totalsRowDxfId="871" dataCellStyle="Normal 3"/>
    <tableColumn id="5" xr3:uid="{00000000-0010-0000-2300-000005000000}" name="CUIT" dataDxfId="870" totalsRowDxfId="869" dataCellStyle="Normal 3"/>
    <tableColumn id="6" xr3:uid="{00000000-0010-0000-2300-000006000000}" name="RAZON SOCIAL" dataDxfId="868" totalsRowDxfId="867" dataCellStyle="Normal 3">
      <calculatedColumnFormula>IFERROR(IF(venta_a_mes6[[#This Row],[CUIT]]="","-",VLOOKUP(venta_a_mes6[[#This Row],[CUIT]],Lista_CUIT[#All],2,0)),"CUIT NO CARGADO")</calculatedColumnFormula>
    </tableColumn>
    <tableColumn id="7" xr3:uid="{00000000-0010-0000-2300-000007000000}" name="IMPORTE NETO" totalsRowFunction="sum" dataDxfId="866" totalsRowDxfId="865" dataCellStyle="Normal 3"/>
    <tableColumn id="8" xr3:uid="{00000000-0010-0000-2300-000008000000}" name="IVA 21%" totalsRowFunction="sum" dataDxfId="864" totalsRowDxfId="863" dataCellStyle="Normal 3">
      <calculatedColumnFormula>venta_a_mes6[[#This Row],[IMPORTE NETO]]*0.21</calculatedColumnFormula>
    </tableColumn>
    <tableColumn id="9" xr3:uid="{00000000-0010-0000-2300-000009000000}" name="IVA 10,5%" totalsRowFunction="sum" dataDxfId="862" totalsRowDxfId="861" dataCellStyle="Normal 3"/>
    <tableColumn id="10" xr3:uid="{00000000-0010-0000-2300-00000A000000}" name="EXENTO" totalsRowFunction="sum" dataDxfId="860" totalsRowDxfId="859" dataCellStyle="Normal 3"/>
    <tableColumn id="11" xr3:uid="{00000000-0010-0000-2300-00000B000000}" name="TOTAL" totalsRowFunction="sum" dataDxfId="858" totalsRowDxfId="857" dataCellStyle="Normal 3">
      <calculatedColumnFormula>SUM(venta_a_mes6[[#This Row],[IMPORTE NETO]:[EXENTO]])</calculatedColumnFormula>
    </tableColumn>
    <tableColumn id="12" xr3:uid="{00000000-0010-0000-2300-00000C000000}" name="Provincia" totalsRowFunction="count" dataDxfId="856" totalsRowDxfId="855" dataCellStyle="Normal 3"/>
  </tableColumns>
  <tableStyleInfo name="Tabla Ventas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24000000}" name="ventas_b_mes6" displayName="ventas_b_mes6" ref="B345:M352" totalsRowCount="1" headerRowDxfId="854" dataDxfId="852" headerRowBorderDxfId="853" tableBorderDxfId="851" totalsRowBorderDxfId="850" dataCellStyle="Normal 3">
  <autoFilter ref="B345:M351" xr:uid="{00000000-0009-0000-0100-00001E000000}"/>
  <tableColumns count="12">
    <tableColumn id="1" xr3:uid="{00000000-0010-0000-2400-000001000000}" name="FECHA" totalsRowLabel="Total" dataDxfId="849" totalsRowDxfId="848" dataCellStyle="Normal 3"/>
    <tableColumn id="2" xr3:uid="{00000000-0010-0000-2400-000002000000}" name="TIPO" dataDxfId="847" totalsRowDxfId="846" dataCellStyle="Normal 3"/>
    <tableColumn id="3" xr3:uid="{00000000-0010-0000-2400-000003000000}" name="PTO VENTA" dataDxfId="845" totalsRowDxfId="844" dataCellStyle="Normal 3"/>
    <tableColumn id="4" xr3:uid="{00000000-0010-0000-2400-000004000000}" name="Nº FACTURA" dataDxfId="843" totalsRowDxfId="842" dataCellStyle="Normal 3"/>
    <tableColumn id="5" xr3:uid="{00000000-0010-0000-2400-000005000000}" name="CUIT" dataDxfId="841" totalsRowDxfId="840" dataCellStyle="Normal 3"/>
    <tableColumn id="6" xr3:uid="{00000000-0010-0000-2400-000006000000}" name="RAZON SOCIAL" dataDxfId="839" totalsRowDxfId="838" dataCellStyle="Normal 3">
      <calculatedColumnFormula>IFERROR(IF(ventas_b_mes6[[#This Row],[CUIT]]="","-",VLOOKUP(ventas_b_mes6[[#This Row],[CUIT]],Lista_CUIT[#All],2,0)),"CUIT NO CARGADO")</calculatedColumnFormula>
    </tableColumn>
    <tableColumn id="7" xr3:uid="{00000000-0010-0000-2400-000007000000}" name="IMPORTE NETO" totalsRowFunction="sum" dataDxfId="837" totalsRowDxfId="836" dataCellStyle="Normal 3"/>
    <tableColumn id="8" xr3:uid="{00000000-0010-0000-2400-000008000000}" name="IVA 21%" totalsRowFunction="sum" dataDxfId="835" totalsRowDxfId="834" dataCellStyle="Normal 3"/>
    <tableColumn id="9" xr3:uid="{00000000-0010-0000-2400-000009000000}" name="IVA 10,5%" totalsRowFunction="sum" dataDxfId="833" totalsRowDxfId="832" dataCellStyle="Normal 3"/>
    <tableColumn id="10" xr3:uid="{00000000-0010-0000-2400-00000A000000}" name="EXENTO" totalsRowFunction="sum" dataDxfId="831" totalsRowDxfId="830" dataCellStyle="Normal 3"/>
    <tableColumn id="11" xr3:uid="{00000000-0010-0000-2400-00000B000000}" name="TOTAL" totalsRowFunction="sum" dataDxfId="829" totalsRowDxfId="828" dataCellStyle="Normal 3">
      <calculatedColumnFormula>SUM(ventas_b_mes6[[#This Row],[IMPORTE NETO]:[EXENTO]])</calculatedColumnFormula>
    </tableColumn>
    <tableColumn id="12" xr3:uid="{00000000-0010-0000-2400-00000C000000}" name="Provincia" totalsRowFunction="count" dataDxfId="827" totalsRowDxfId="826" dataCellStyle="Normal 3"/>
  </tableColumns>
  <tableStyleInfo name="Tabla Ventas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25000000}" name="extracto_banco_mes6" displayName="extracto_banco_mes6" ref="D146:M155" totalsRowCount="1" headerRowDxfId="825" dataDxfId="824" tableBorderDxfId="823" dataCellStyle="Normal 3">
  <autoFilter ref="D146:M154" xr:uid="{00000000-0009-0000-0100-00001F000000}"/>
  <tableColumns count="10">
    <tableColumn id="1" xr3:uid="{00000000-0010-0000-2500-000001000000}" name="FECHA" totalsRowLabel="Total" dataDxfId="822" totalsRowDxfId="821" dataCellStyle="Normal 3"/>
    <tableColumn id="2" xr3:uid="{00000000-0010-0000-2500-000002000000}" name="NRO CPTE" dataDxfId="820" totalsRowDxfId="819"/>
    <tableColumn id="3" xr3:uid="{00000000-0010-0000-2500-000003000000}" name="BANCO" dataDxfId="818" totalsRowDxfId="817"/>
    <tableColumn id="4" xr3:uid="{00000000-0010-0000-2500-000004000000}" name="NETO" totalsRowFunction="sum" dataDxfId="816" totalsRowDxfId="815" dataCellStyle="Normal 3"/>
    <tableColumn id="5" xr3:uid="{00000000-0010-0000-2500-000005000000}" name="IVA 21%" totalsRowFunction="sum" dataDxfId="814" totalsRowDxfId="813" dataCellStyle="Normal 3">
      <calculatedColumnFormula>extracto_banco_mes6[[#This Row],[NETO]]*0.21</calculatedColumnFormula>
    </tableColumn>
    <tableColumn id="6" xr3:uid="{00000000-0010-0000-2500-000006000000}" name="IVA 10,5%" totalsRowFunction="sum" dataDxfId="812" totalsRowDxfId="811" dataCellStyle="Normal 3"/>
    <tableColumn id="7" xr3:uid="{00000000-0010-0000-2500-000007000000}" name="RET IIBB CABA" totalsRowFunction="sum" dataDxfId="810" totalsRowDxfId="809" dataCellStyle="Normal 3"/>
    <tableColumn id="8" xr3:uid="{00000000-0010-0000-2500-000008000000}" name="PERC IVA" totalsRowFunction="sum" dataDxfId="808" totalsRowDxfId="807" dataCellStyle="Normal 3"/>
    <tableColumn id="9" xr3:uid="{00000000-0010-0000-2500-000009000000}" name="PERC IIBB" totalsRowFunction="sum" dataDxfId="806" totalsRowDxfId="805" dataCellStyle="Normal 3"/>
    <tableColumn id="10" xr3:uid="{00000000-0010-0000-2500-00000A000000}" name="TOTAL" dataDxfId="804" totalsRowDxfId="803" dataCellStyle="Normal 3">
      <calculatedColumnFormula>SUM(extracto_banco_mes6[[#This Row],[NETO]:[PERC IIBB]])</calculatedColumnFormula>
    </tableColumn>
  </tableColumns>
  <tableStyleInfo name="Estilo de tabla 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26000000}" name="Retenciones_mes6" displayName="Retenciones_mes6" ref="C2734:L2739" totalsRowShown="0" headerRowDxfId="802" dataDxfId="801" headerRowCellStyle="Normal 3" dataCellStyle="Normal 3">
  <autoFilter ref="C2734:L2739" xr:uid="{00000000-0009-0000-0100-000020000000}"/>
  <tableColumns count="10">
    <tableColumn id="1" xr3:uid="{00000000-0010-0000-2600-000001000000}" name="FECHA " dataDxfId="800" dataCellStyle="Normal 3"/>
    <tableColumn id="2" xr3:uid="{00000000-0010-0000-2600-000002000000}" name="COMP Nº" dataDxfId="799" dataCellStyle="Normal 3"/>
    <tableColumn id="3" xr3:uid="{00000000-0010-0000-2600-000003000000}" name="Columna1" dataDxfId="798" dataCellStyle="Normal 3"/>
    <tableColumn id="4" xr3:uid="{00000000-0010-0000-2600-000004000000}" name="CUIT" dataDxfId="797" dataCellStyle="Normal 3"/>
    <tableColumn id="5" xr3:uid="{00000000-0010-0000-2600-000005000000}" name="RAZON SOCIAL" dataDxfId="796" dataCellStyle="Normal 3">
      <calculatedColumnFormula>IFERROR(IF(Retenciones_mes6[[#This Row],[CUIT]]="","-",VLOOKUP(Retenciones_mes6[[#This Row],[CUIT]],Lista_CUIT[#All],2,0)),"CUIT NO CARGADO")</calculatedColumnFormula>
    </tableColumn>
    <tableColumn id="6" xr3:uid="{00000000-0010-0000-2600-000006000000}" name="Ganancias" dataDxfId="795" dataCellStyle="Normal 3"/>
    <tableColumn id="7" xr3:uid="{00000000-0010-0000-2600-000007000000}" name="IVA" dataDxfId="794" dataCellStyle="Normal 3"/>
    <tableColumn id="8" xr3:uid="{00000000-0010-0000-2600-000008000000}" name="SUSS" dataDxfId="793" dataCellStyle="Normal 3"/>
    <tableColumn id="9" xr3:uid="{00000000-0010-0000-2600-000009000000}" name="IIBB BSAS" dataDxfId="792" dataCellStyle="Normal 3"/>
    <tableColumn id="10" xr3:uid="{00000000-0010-0000-2600-00000A000000}" name="IIBB CABA" dataDxfId="791" dataCellStyle="Normal 3"/>
  </tableColumns>
  <tableStyleInfo name="Estilo de tabla 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00000000-000C-0000-FFFF-FFFF27000000}" name="ventas_b_mes684" displayName="ventas_b_mes684" ref="B355:M2732" totalsRowCount="1" headerRowDxfId="790" dataDxfId="788" headerRowBorderDxfId="789" tableBorderDxfId="787" totalsRowBorderDxfId="786" dataCellStyle="Normal 3">
  <autoFilter ref="B355:M2731" xr:uid="{00000000-0009-0000-0100-000053000000}"/>
  <tableColumns count="12">
    <tableColumn id="1" xr3:uid="{00000000-0010-0000-2700-000001000000}" name="FECHA" totalsRowLabel="Total" dataDxfId="785" totalsRowDxfId="784" dataCellStyle="Normal 3"/>
    <tableColumn id="2" xr3:uid="{00000000-0010-0000-2700-000002000000}" name="TIPO" dataDxfId="783" totalsRowDxfId="782" dataCellStyle="Normal 3"/>
    <tableColumn id="3" xr3:uid="{00000000-0010-0000-2700-000003000000}" name="PTO VENTA" dataDxfId="781" totalsRowDxfId="780" dataCellStyle="Normal 3"/>
    <tableColumn id="4" xr3:uid="{00000000-0010-0000-2700-000004000000}" name="Nº FACTURA" dataDxfId="779" totalsRowDxfId="778" dataCellStyle="Normal 3"/>
    <tableColumn id="5" xr3:uid="{00000000-0010-0000-2700-000005000000}" name="CUIT" dataDxfId="777" totalsRowDxfId="776" dataCellStyle="Normal 3"/>
    <tableColumn id="6" xr3:uid="{00000000-0010-0000-2700-000006000000}" name="RAZON SOCIAL" dataDxfId="775" totalsRowDxfId="774" dataCellStyle="Normal 3">
      <calculatedColumnFormula>IFERROR(IF(ventas_b_mes684[[#This Row],[CUIT]]="","-",VLOOKUP(ventas_b_mes684[[#This Row],[CUIT]],Lista_CUIT[#All],2,0)),"CUIT NO CARGADO")</calculatedColumnFormula>
    </tableColumn>
    <tableColumn id="7" xr3:uid="{00000000-0010-0000-2700-000007000000}" name="IMPORTE NETO" totalsRowFunction="sum" dataDxfId="773" totalsRowDxfId="772" dataCellStyle="Normal 3"/>
    <tableColumn id="8" xr3:uid="{00000000-0010-0000-2700-000008000000}" name="IVA 21%" totalsRowFunction="sum" dataDxfId="771" totalsRowDxfId="770" dataCellStyle="Normal 3">
      <calculatedColumnFormula>ventas_b_mes684[[#This Row],[IMPORTE NETO]]*0.21</calculatedColumnFormula>
    </tableColumn>
    <tableColumn id="9" xr3:uid="{00000000-0010-0000-2700-000009000000}" name="IVA 10,5%" totalsRowFunction="sum" dataDxfId="769" totalsRowDxfId="768" dataCellStyle="Normal 3"/>
    <tableColumn id="10" xr3:uid="{00000000-0010-0000-2700-00000A000000}" name="EXENTO" totalsRowFunction="sum" dataDxfId="767" totalsRowDxfId="766" dataCellStyle="Normal 3"/>
    <tableColumn id="11" xr3:uid="{00000000-0010-0000-2700-00000B000000}" name="TOTAL" totalsRowFunction="sum" dataDxfId="765" totalsRowDxfId="764" dataCellStyle="Normal 3">
      <calculatedColumnFormula>SUM(ventas_b_mes684[[#This Row],[IMPORTE NETO]:[EXENTO]])</calculatedColumnFormula>
    </tableColumn>
    <tableColumn id="12" xr3:uid="{00000000-0010-0000-2700-00000C000000}" name="Provincia" totalsRowFunction="count" dataDxfId="763" totalsRowDxfId="762" dataCellStyle="Normal 3"/>
  </tableColumns>
  <tableStyleInfo name="Tabla Ventas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00000000-000C-0000-FFFF-FFFF28000000}" name="compras_mes78288" displayName="compras_mes78288" ref="B8:T166" totalsRowCount="1" headerRowDxfId="761" totalsRowDxfId="760">
  <autoFilter ref="B8:T165" xr:uid="{00000000-0009-0000-0100-000057000000}"/>
  <sortState xmlns:xlrd2="http://schemas.microsoft.com/office/spreadsheetml/2017/richdata2" ref="B9:T165">
    <sortCondition ref="B8:B165"/>
  </sortState>
  <tableColumns count="19">
    <tableColumn id="1" xr3:uid="{00000000-0010-0000-2800-000001000000}" name="FECHA" totalsRowLabel="Total" dataDxfId="759" totalsRowDxfId="758" dataCellStyle="Normal 3"/>
    <tableColumn id="2" xr3:uid="{00000000-0010-0000-2800-000002000000}" name="TIPO" dataDxfId="757" totalsRowDxfId="756" dataCellStyle="Normal 3"/>
    <tableColumn id="3" xr3:uid="{00000000-0010-0000-2800-000003000000}" name="PTO VTA" dataDxfId="755" totalsRowDxfId="754" dataCellStyle="Normal 3"/>
    <tableColumn id="4" xr3:uid="{00000000-0010-0000-2800-000004000000}" name="NRO. CPTE" dataDxfId="753" totalsRowDxfId="752" dataCellStyle="Normal 3"/>
    <tableColumn id="5" xr3:uid="{00000000-0010-0000-2800-000005000000}" name="CUIT" dataDxfId="751" totalsRowDxfId="750" dataCellStyle="Normal 3"/>
    <tableColumn id="6" xr3:uid="{00000000-0010-0000-2800-000006000000}" name="RAZON SOCIAL" dataDxfId="749" totalsRowDxfId="748" dataCellStyle="Normal 3">
      <calculatedColumnFormula>IFERROR(IF(compras_mes78288[[#This Row],[CUIT]]="","-",VLOOKUP(compras_mes78288[[#This Row],[CUIT]],Lista_CUIT[#All],2,0)),"CUIT NO CARGADO")</calculatedColumnFormula>
    </tableColumn>
    <tableColumn id="7" xr3:uid="{00000000-0010-0000-2800-000007000000}" name="NETO GRAVADO" totalsRowFunction="sum" dataDxfId="747" totalsRowDxfId="746" dataCellStyle="Normal 3"/>
    <tableColumn id="8" xr3:uid="{00000000-0010-0000-2800-000008000000}" name="IVA 21 %" totalsRowFunction="sum" dataDxfId="745" totalsRowDxfId="744" dataCellStyle="Normal 3">
      <calculatedColumnFormula>IF(compras_mes78288[[#This Row],[NETO GRAVADO]]="","",compras_mes78288[[#This Row],[NETO GRAVADO]]*0.21)</calculatedColumnFormula>
    </tableColumn>
    <tableColumn id="9" xr3:uid="{00000000-0010-0000-2800-000009000000}" name="IVA 27%" totalsRowFunction="sum" dataDxfId="743" totalsRowDxfId="742" dataCellStyle="Normal 3"/>
    <tableColumn id="10" xr3:uid="{00000000-0010-0000-2800-00000A000000}" name="IVA 10,5%" totalsRowFunction="sum" dataDxfId="741" totalsRowDxfId="740" dataCellStyle="Normal 3"/>
    <tableColumn id="11" xr3:uid="{00000000-0010-0000-2800-00000B000000}" name="PERC. IVA" totalsRowFunction="sum" dataDxfId="739" totalsRowDxfId="738" dataCellStyle="Normal 3"/>
    <tableColumn id="12" xr3:uid="{00000000-0010-0000-2800-00000C000000}" name="PERC IIBB _x000a_BS AS" totalsRowFunction="sum" dataDxfId="737" totalsRowDxfId="736" dataCellStyle="Normal 3"/>
    <tableColumn id="13" xr3:uid="{00000000-0010-0000-2800-00000D000000}" name="PERC. IIBB CABA" totalsRowFunction="sum" dataDxfId="735" totalsRowDxfId="734" dataCellStyle="Normal 3"/>
    <tableColumn id="14" xr3:uid="{00000000-0010-0000-2800-00000E000000}" name="Otros / No Grav." totalsRowFunction="sum" dataDxfId="733" totalsRowDxfId="732" dataCellStyle="Normal 3"/>
    <tableColumn id="15" xr3:uid="{00000000-0010-0000-2800-00000F000000}" name="TOTAL" totalsRowFunction="sum" dataDxfId="731" totalsRowDxfId="730" dataCellStyle="Normal 3">
      <calculatedColumnFormula>SUM(compras_mes78288[[#This Row],[NETO GRAVADO]:[Otros / No Grav.]])</calculatedColumnFormula>
    </tableColumn>
    <tableColumn id="16" xr3:uid="{00000000-0010-0000-2800-000010000000}" name="Tipo de Gasto" dataDxfId="729" totalsRowDxfId="728" dataCellStyle="Normal 3">
      <calculatedColumnFormula>IFERROR(IF(compras_mes78288[[#This Row],[CUIT]]="","-",VLOOKUP(compras_mes78288[[#This Row],[CUIT]],Lista_CUIT[#All],3,0)),"CUIT NO CARGADO")</calculatedColumnFormula>
    </tableColumn>
    <tableColumn id="17" xr3:uid="{00000000-0010-0000-2800-000011000000}" name="Provincia" dataDxfId="727" totalsRowDxfId="726" dataCellStyle="Normal 3">
      <calculatedColumnFormula>IFERROR(IF(compras_mes78288[[#This Row],[CUIT]]="","-",VLOOKUP(compras_mes78288[[#This Row],[CUIT]],Lista_CUIT[#All],4,0)),"CUIT NO CARGADO")</calculatedColumnFormula>
    </tableColumn>
    <tableColumn id="18" xr3:uid="{00000000-0010-0000-2800-000012000000}" name="Columna1" dataDxfId="725" totalsRowDxfId="724"/>
    <tableColumn id="19" xr3:uid="{00000000-0010-0000-2800-000013000000}" name="Columna2" dataDxfId="723" totalsRowDxfId="722">
      <calculatedColumnFormula>compras_mes78288[[#This Row],[TOTAL]]-compras_mes78288[[#This Row],[Columna1]]</calculatedColumnFormula>
    </tableColumn>
  </tableColumns>
  <tableStyleInfo name="Estilo de tabla 1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00000000-000C-0000-FFFF-FFFF29000000}" name="factura_c_mes78389" displayName="factura_c_mes78389" ref="D185:K213" totalsRowCount="1" headerRowDxfId="721" totalsRowDxfId="720" headerRowCellStyle="Normal 3">
  <autoFilter ref="D185:K212" xr:uid="{00000000-0009-0000-0100-000058000000}"/>
  <sortState xmlns:xlrd2="http://schemas.microsoft.com/office/spreadsheetml/2017/richdata2" ref="D186:K212">
    <sortCondition descending="1" ref="J185:J212"/>
  </sortState>
  <tableColumns count="8">
    <tableColumn id="1" xr3:uid="{00000000-0010-0000-2900-000001000000}" name="FECHA" totalsRowLabel="Total" dataDxfId="719" totalsRowDxfId="718" dataCellStyle="Normal 3"/>
    <tableColumn id="2" xr3:uid="{00000000-0010-0000-2900-000002000000}" name="PTO VTA" dataDxfId="717" totalsRowDxfId="716" dataCellStyle="Normal 3"/>
    <tableColumn id="3" xr3:uid="{00000000-0010-0000-2900-000003000000}" name="FC Nº" dataDxfId="715" totalsRowDxfId="714" dataCellStyle="Normal 3"/>
    <tableColumn id="4" xr3:uid="{00000000-0010-0000-2900-000004000000}" name="CUIT" dataDxfId="713" totalsRowDxfId="712" dataCellStyle="Normal 3"/>
    <tableColumn id="5" xr3:uid="{00000000-0010-0000-2900-000005000000}" name="RAZON SOCIAL" dataDxfId="711" totalsRowDxfId="710" dataCellStyle="Normal 3">
      <calculatedColumnFormula>IFERROR(IF(factura_c_mes78389[[#This Row],[CUIT]]="","-",VLOOKUP(factura_c_mes78389[[#This Row],[CUIT]],Lista_CUIT[#All],2,0)),"CUIT NO CARGADO")</calculatedColumnFormula>
    </tableColumn>
    <tableColumn id="6" xr3:uid="{00000000-0010-0000-2900-000006000000}" name="TOTAL" totalsRowFunction="sum" dataDxfId="709" totalsRowDxfId="708" dataCellStyle="Normal 3"/>
    <tableColumn id="7" xr3:uid="{00000000-0010-0000-2900-000007000000}" name="TIPO DE GASTO" dataDxfId="707" totalsRowDxfId="706" dataCellStyle="Normal 3">
      <calculatedColumnFormula>IFERROR(IF(factura_c_mes78389[[#This Row],[CUIT]]="","-",VLOOKUP(factura_c_mes78389[[#This Row],[CUIT]],Lista_CUIT[#All],3,0)),"CUIT NO CARGADO")</calculatedColumnFormula>
    </tableColumn>
    <tableColumn id="8" xr3:uid="{00000000-0010-0000-2900-000008000000}" name="Provincia" dataDxfId="705" totalsRowDxfId="704" dataCellStyle="Normal 3">
      <calculatedColumnFormula>IFERROR(IF(factura_c_mes78389[[#This Row],[CUIT]]="","-",VLOOKUP(factura_c_mes78389[[#This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00000000-000C-0000-FFFF-FFFF2A000000}" name="ventas_b_mes78590" displayName="ventas_b_mes78590" ref="B220:M228" totalsRowCount="1" headerRowDxfId="703" dataDxfId="701" headerRowBorderDxfId="702" tableBorderDxfId="700" totalsRowBorderDxfId="699" dataCellStyle="Normal 3">
  <autoFilter ref="B220:M227" xr:uid="{00000000-0009-0000-0100-000059000000}"/>
  <tableColumns count="12">
    <tableColumn id="1" xr3:uid="{00000000-0010-0000-2A00-000001000000}" name="FECHA" totalsRowLabel="Total" dataDxfId="698" totalsRowDxfId="697" dataCellStyle="Normal 3"/>
    <tableColumn id="2" xr3:uid="{00000000-0010-0000-2A00-000002000000}" name="TIPO" dataDxfId="696" totalsRowDxfId="695" dataCellStyle="Normal 3"/>
    <tableColumn id="3" xr3:uid="{00000000-0010-0000-2A00-000003000000}" name="PTO VENTA" dataDxfId="694" totalsRowDxfId="693" dataCellStyle="Normal 3"/>
    <tableColumn id="4" xr3:uid="{00000000-0010-0000-2A00-000004000000}" name="Nº FACTURA" dataDxfId="692" totalsRowDxfId="691" dataCellStyle="Normal 3"/>
    <tableColumn id="5" xr3:uid="{00000000-0010-0000-2A00-000005000000}" name="CUIT" dataDxfId="690" totalsRowDxfId="689" dataCellStyle="Normal 3"/>
    <tableColumn id="6" xr3:uid="{00000000-0010-0000-2A00-000006000000}" name="RAZON SOCIAL" dataDxfId="688" totalsRowDxfId="687" dataCellStyle="Normal 3">
      <calculatedColumnFormula>IFERROR(IF(ventas_b_mes78590[[#This Row],[CUIT]]="","-",VLOOKUP(ventas_b_mes78590[[#This Row],[CUIT]],Lista_CUIT[#All],2,0)),"CUIT NO CARGADO")</calculatedColumnFormula>
    </tableColumn>
    <tableColumn id="7" xr3:uid="{00000000-0010-0000-2A00-000007000000}" name="IMPORTE NETO" totalsRowFunction="sum" dataDxfId="686" totalsRowDxfId="685" dataCellStyle="Normal 3"/>
    <tableColumn id="8" xr3:uid="{00000000-0010-0000-2A00-000008000000}" name="IVA 21%" totalsRowFunction="sum" dataDxfId="684" totalsRowDxfId="683" dataCellStyle="Normal 3"/>
    <tableColumn id="9" xr3:uid="{00000000-0010-0000-2A00-000009000000}" name="IVA 10,5%" totalsRowFunction="sum" dataDxfId="682" totalsRowDxfId="681" dataCellStyle="Normal 3"/>
    <tableColumn id="10" xr3:uid="{00000000-0010-0000-2A00-00000A000000}" name="EXENTO" totalsRowFunction="sum" dataDxfId="680" totalsRowDxfId="679" dataCellStyle="Normal 3"/>
    <tableColumn id="11" xr3:uid="{00000000-0010-0000-2A00-00000B000000}" name="TOTAL" totalsRowFunction="sum" dataDxfId="678" totalsRowDxfId="677" dataCellStyle="Normal 3">
      <calculatedColumnFormula>SUM(ventas_b_mes78590[[#This Row],[IMPORTE NETO]:[EXENTO]])</calculatedColumnFormula>
    </tableColumn>
    <tableColumn id="12" xr3:uid="{00000000-0010-0000-2A00-00000C000000}" name="Provincia" totalsRowFunction="count" dataDxfId="676" totalsRowDxfId="675" dataCellStyle="Normal 3"/>
  </tableColumns>
  <tableStyleInfo name="Tabla Ventas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00000000-000C-0000-FFFF-FFFF2B000000}" name="extracto_banco_mes78691" displayName="extracto_banco_mes78691" ref="D172:L180" totalsRowCount="1" headerRowDxfId="674" dataDxfId="673" tableBorderDxfId="672" dataCellStyle="Normal 3">
  <autoFilter ref="D172:L179" xr:uid="{00000000-0009-0000-0100-00005A000000}"/>
  <tableColumns count="9">
    <tableColumn id="1" xr3:uid="{00000000-0010-0000-2B00-000001000000}" name="FECHA" totalsRowLabel="Total" dataDxfId="671" totalsRowDxfId="670" dataCellStyle="Normal 3"/>
    <tableColumn id="2" xr3:uid="{00000000-0010-0000-2B00-000002000000}" name="NRO CPTE" dataDxfId="669" totalsRowDxfId="668"/>
    <tableColumn id="3" xr3:uid="{00000000-0010-0000-2B00-000003000000}" name="BANCO" dataDxfId="667" totalsRowDxfId="666"/>
    <tableColumn id="4" xr3:uid="{00000000-0010-0000-2B00-000004000000}" name="NETO" totalsRowFunction="sum" dataDxfId="665" totalsRowDxfId="664" dataCellStyle="Normal 3"/>
    <tableColumn id="5" xr3:uid="{00000000-0010-0000-2B00-000005000000}" name="IVA 21%" totalsRowFunction="sum" dataDxfId="663" totalsRowDxfId="662" dataCellStyle="Normal 3">
      <calculatedColumnFormula>extracto_banco_mes78691[[#This Row],[NETO]]*0.21</calculatedColumnFormula>
    </tableColumn>
    <tableColumn id="6" xr3:uid="{00000000-0010-0000-2B00-000006000000}" name="IVA 10,5%" totalsRowFunction="sum" dataDxfId="661" totalsRowDxfId="660" dataCellStyle="Normal 3"/>
    <tableColumn id="7" xr3:uid="{00000000-0010-0000-2B00-000007000000}" name="RET IIBB CABA" totalsRowFunction="sum" dataDxfId="659" totalsRowDxfId="658" dataCellStyle="Normal 3"/>
    <tableColumn id="8" xr3:uid="{00000000-0010-0000-2B00-000008000000}" name="PERC IVA" totalsRowFunction="sum" dataDxfId="657" totalsRowDxfId="656" dataCellStyle="Normal 3"/>
    <tableColumn id="9" xr3:uid="{00000000-0010-0000-2B00-000009000000}" name="PERC IIBB" totalsRowFunction="sum" dataDxfId="655" totalsRowDxfId="654" dataCellStyle="Normal 3"/>
  </tableColumns>
  <tableStyleInfo name="Estilo de tabla 1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00000000-000C-0000-FFFF-FFFF2C000000}" name="Retenciones_mes78792" displayName="Retenciones_mes78792" ref="C236:L241" totalsRowShown="0" headerRowDxfId="653" dataDxfId="652" headerRowCellStyle="Normal 3" dataCellStyle="Normal 3">
  <autoFilter ref="C236:L241" xr:uid="{00000000-0009-0000-0100-00005B000000}"/>
  <tableColumns count="10">
    <tableColumn id="1" xr3:uid="{00000000-0010-0000-2C00-000001000000}" name="FECHA " dataDxfId="651" dataCellStyle="Normal 3"/>
    <tableColumn id="2" xr3:uid="{00000000-0010-0000-2C00-000002000000}" name="COMP Nº" dataDxfId="650" dataCellStyle="Normal 3"/>
    <tableColumn id="3" xr3:uid="{00000000-0010-0000-2C00-000003000000}" name="Columna1" dataDxfId="649" dataCellStyle="Normal 3"/>
    <tableColumn id="4" xr3:uid="{00000000-0010-0000-2C00-000004000000}" name="CUIT" dataDxfId="648" dataCellStyle="Normal 3"/>
    <tableColumn id="5" xr3:uid="{00000000-0010-0000-2C00-000005000000}" name="RAZON SOCIAL" dataDxfId="647" dataCellStyle="Normal 3">
      <calculatedColumnFormula>IFERROR(IF(Retenciones_mes78792[[#This Row],[CUIT]]="","-",VLOOKUP(Retenciones_mes78792[[#This Row],[CUIT]],Lista_CUIT[#All],2,0)),"CUIT NO CARGADO")</calculatedColumnFormula>
    </tableColumn>
    <tableColumn id="6" xr3:uid="{00000000-0010-0000-2C00-000006000000}" name="Ganancias" dataDxfId="646" dataCellStyle="Normal 3"/>
    <tableColumn id="7" xr3:uid="{00000000-0010-0000-2C00-000007000000}" name="IVA" dataDxfId="645" dataCellStyle="Normal 3"/>
    <tableColumn id="8" xr3:uid="{00000000-0010-0000-2C00-000008000000}" name="SUSS" dataDxfId="644" dataCellStyle="Normal 3"/>
    <tableColumn id="9" xr3:uid="{00000000-0010-0000-2C00-000009000000}" name="IIBB BSAS" dataDxfId="643" dataCellStyle="Normal 3"/>
    <tableColumn id="10" xr3:uid="{00000000-0010-0000-2C00-00000A000000}" name="IIBB CABA" dataDxfId="642" dataCellStyle="Normal 3"/>
  </tableColumns>
  <tableStyleInfo name="Estilo de tabla 1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00000000-000C-0000-FFFF-FFFF2D000000}" name="compras_mes8" displayName="compras_mes8" ref="B8:R204" totalsRowCount="1" headerRowDxfId="641" dataDxfId="640" totalsRowDxfId="639">
  <autoFilter ref="B8:R203" xr:uid="{00000000-0009-0000-0100-000039000000}"/>
  <sortState xmlns:xlrd2="http://schemas.microsoft.com/office/spreadsheetml/2017/richdata2" ref="B9:R203">
    <sortCondition ref="Q9:Q203"/>
  </sortState>
  <tableColumns count="17">
    <tableColumn id="1" xr3:uid="{00000000-0010-0000-2D00-000001000000}" name="FECHA" totalsRowLabel="Total" dataDxfId="638" totalsRowDxfId="637" dataCellStyle="Normal 3"/>
    <tableColumn id="2" xr3:uid="{00000000-0010-0000-2D00-000002000000}" name="TIPO" dataDxfId="636" totalsRowDxfId="635" dataCellStyle="Normal 3"/>
    <tableColumn id="3" xr3:uid="{00000000-0010-0000-2D00-000003000000}" name="PTO VTA" dataDxfId="634" totalsRowDxfId="633" dataCellStyle="Normal 3"/>
    <tableColumn id="4" xr3:uid="{00000000-0010-0000-2D00-000004000000}" name="NRO. CPTE" dataDxfId="632" totalsRowDxfId="631" dataCellStyle="Normal 3"/>
    <tableColumn id="5" xr3:uid="{00000000-0010-0000-2D00-000005000000}" name="CUIT" dataDxfId="630" totalsRowDxfId="629" dataCellStyle="Normal 3"/>
    <tableColumn id="6" xr3:uid="{00000000-0010-0000-2D00-000006000000}" name="RAZON SOCIAL" dataDxfId="628" totalsRowDxfId="627" dataCellStyle="Normal 3">
      <calculatedColumnFormula>IFERROR(IF(compras_mes8[[#This Row],[CUIT]]="","-",VLOOKUP(compras_mes8[[#This Row],[CUIT]],Lista_CUIT[#All],2,0)),"CUIT NO CARGADO")</calculatedColumnFormula>
    </tableColumn>
    <tableColumn id="7" xr3:uid="{00000000-0010-0000-2D00-000007000000}" name="NETO GRAVADO" totalsRowFunction="sum" dataDxfId="626" totalsRowDxfId="625" dataCellStyle="Normal 3"/>
    <tableColumn id="8" xr3:uid="{00000000-0010-0000-2D00-000008000000}" name="IVA 21 %" totalsRowFunction="sum" dataDxfId="624" totalsRowDxfId="623" dataCellStyle="Normal 3">
      <calculatedColumnFormula>IF(compras_mes8[[#This Row],[NETO GRAVADO]]="","",compras_mes8[[#This Row],[NETO GRAVADO]]*0.21)</calculatedColumnFormula>
    </tableColumn>
    <tableColumn id="9" xr3:uid="{00000000-0010-0000-2D00-000009000000}" name="IVA 27%" totalsRowFunction="sum" dataDxfId="622" totalsRowDxfId="621" dataCellStyle="Normal 3"/>
    <tableColumn id="10" xr3:uid="{00000000-0010-0000-2D00-00000A000000}" name="IVA 10,5%" totalsRowFunction="sum" dataDxfId="620" totalsRowDxfId="619" dataCellStyle="Normal 3"/>
    <tableColumn id="11" xr3:uid="{00000000-0010-0000-2D00-00000B000000}" name="PERC. IVA" totalsRowFunction="sum" dataDxfId="618" totalsRowDxfId="617" dataCellStyle="Normal 3"/>
    <tableColumn id="12" xr3:uid="{00000000-0010-0000-2D00-00000C000000}" name="PERC IIBB _x000a_BS AS" totalsRowFunction="sum" dataDxfId="616" totalsRowDxfId="615" dataCellStyle="Normal 3"/>
    <tableColumn id="13" xr3:uid="{00000000-0010-0000-2D00-00000D000000}" name="PERC. IIBB CABA" totalsRowFunction="sum" dataDxfId="614" totalsRowDxfId="613" dataCellStyle="Normal 3"/>
    <tableColumn id="14" xr3:uid="{00000000-0010-0000-2D00-00000E000000}" name="Otros / No Grav." totalsRowFunction="sum" dataDxfId="612" totalsRowDxfId="611" dataCellStyle="Normal 3"/>
    <tableColumn id="15" xr3:uid="{00000000-0010-0000-2D00-00000F000000}" name="TOTAL" totalsRowFunction="sum" dataDxfId="610" totalsRowDxfId="609" dataCellStyle="Normal 3">
      <calculatedColumnFormula>SUM(compras_mes8[[#This Row],[NETO GRAVADO]:[Otros / No Grav.]])</calculatedColumnFormula>
    </tableColumn>
    <tableColumn id="16" xr3:uid="{00000000-0010-0000-2D00-000010000000}" name="Tipo de Gasto" dataDxfId="608" totalsRowDxfId="607" dataCellStyle="Normal 3">
      <calculatedColumnFormula>IFERROR(IF(compras_mes8[[#This Row],[CUIT]]="","-",VLOOKUP(compras_mes8[[#This Row],[CUIT]],Lista_CUIT[#All],3,0)),"CUIT NO CARGADO")</calculatedColumnFormula>
    </tableColumn>
    <tableColumn id="17" xr3:uid="{00000000-0010-0000-2D00-000011000000}" name="Provincia" dataDxfId="606" totalsRowDxfId="605" dataCellStyle="Normal 3">
      <calculatedColumnFormula>IFERROR(IF(compras_mes8[[#This Row],[CUIT]]="","-",VLOOKUP(compras_mes8[[#This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00000000-000C-0000-FFFF-FFFF2E000000}" name="factura_c_mes8" displayName="factura_c_mes8" ref="D225:K273" totalsRowCount="1" headerRowDxfId="604" totalsRowDxfId="603" headerRowCellStyle="Normal 3">
  <autoFilter ref="D225:K272" xr:uid="{00000000-0009-0000-0100-00003A000000}"/>
  <sortState xmlns:xlrd2="http://schemas.microsoft.com/office/spreadsheetml/2017/richdata2" ref="D226:K272">
    <sortCondition ref="J225:J272"/>
  </sortState>
  <tableColumns count="8">
    <tableColumn id="1" xr3:uid="{00000000-0010-0000-2E00-000001000000}" name="FECHA" totalsRowLabel="Total" dataDxfId="602" totalsRowDxfId="601" dataCellStyle="Normal 3"/>
    <tableColumn id="2" xr3:uid="{00000000-0010-0000-2E00-000002000000}" name="PTO VTA" dataDxfId="600" totalsRowDxfId="599" dataCellStyle="Normal 3"/>
    <tableColumn id="3" xr3:uid="{00000000-0010-0000-2E00-000003000000}" name="FC Nº" dataDxfId="598" totalsRowDxfId="597" dataCellStyle="Normal 3"/>
    <tableColumn id="4" xr3:uid="{00000000-0010-0000-2E00-000004000000}" name="CUIT" dataDxfId="596" totalsRowDxfId="595" dataCellStyle="Normal 3"/>
    <tableColumn id="5" xr3:uid="{00000000-0010-0000-2E00-000005000000}" name="RAZON SOCIAL" dataDxfId="594" totalsRowDxfId="593" dataCellStyle="Normal 3">
      <calculatedColumnFormula>IFERROR(IF(factura_c_mes8[[#This Row],[CUIT]]="","-",VLOOKUP(factura_c_mes8[[#This Row],[CUIT]],Lista_CUIT[#All],2,0)),"CUIT NO CARGADO")</calculatedColumnFormula>
    </tableColumn>
    <tableColumn id="6" xr3:uid="{00000000-0010-0000-2E00-000006000000}" name="TOTAL" totalsRowFunction="sum" dataDxfId="592" totalsRowDxfId="591" dataCellStyle="Normal 3"/>
    <tableColumn id="7" xr3:uid="{00000000-0010-0000-2E00-000007000000}" name="TIPO DE GASTO" dataDxfId="590" totalsRowDxfId="589" dataCellStyle="Normal 3">
      <calculatedColumnFormula>IFERROR(IF(factura_c_mes8[[#This Row],[CUIT]]="","-",VLOOKUP(factura_c_mes8[[#This Row],[CUIT]],Lista_CUIT[#All],3,0)),"CUIT NO CARGADO")</calculatedColumnFormula>
    </tableColumn>
    <tableColumn id="8" xr3:uid="{00000000-0010-0000-2E00-000008000000}" name="Provincia" dataDxfId="588" totalsRowDxfId="587" dataCellStyle="Normal 3">
      <calculatedColumnFormula>IFERROR(IF(factura_c_mes8[[#This Row],[CUIT]]="","-",VLOOKUP(factura_c_mes8[[#This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00000000-000C-0000-FFFF-FFFF2F000000}" name="venta_a_mes8" displayName="venta_a_mes8" ref="B282:M285" totalsRowCount="1" headerRowDxfId="586" dataDxfId="584" headerRowBorderDxfId="585" tableBorderDxfId="583" totalsRowBorderDxfId="582" dataCellStyle="Normal 3">
  <autoFilter ref="B282:M284" xr:uid="{00000000-0009-0000-0100-00003B000000}"/>
  <tableColumns count="12">
    <tableColumn id="1" xr3:uid="{00000000-0010-0000-2F00-000001000000}" name="FECHA" totalsRowLabel="Total" dataDxfId="581" totalsRowDxfId="580" dataCellStyle="Normal 3"/>
    <tableColumn id="2" xr3:uid="{00000000-0010-0000-2F00-000002000000}" name="TIPO" dataDxfId="579" totalsRowDxfId="578" dataCellStyle="Normal 3"/>
    <tableColumn id="3" xr3:uid="{00000000-0010-0000-2F00-000003000000}" name="PTO VENTA" dataDxfId="577" totalsRowDxfId="576" dataCellStyle="Normal 3"/>
    <tableColumn id="4" xr3:uid="{00000000-0010-0000-2F00-000004000000}" name="Nº FACTURA" dataDxfId="575" totalsRowDxfId="574" dataCellStyle="Normal 3"/>
    <tableColumn id="5" xr3:uid="{00000000-0010-0000-2F00-000005000000}" name="CUIT" dataDxfId="573" totalsRowDxfId="572" dataCellStyle="Normal 3"/>
    <tableColumn id="6" xr3:uid="{00000000-0010-0000-2F00-000006000000}" name="RAZON SOCIAL" dataDxfId="571" totalsRowDxfId="570" dataCellStyle="Normal 3">
      <calculatedColumnFormula>IFERROR(IF(venta_a_mes8[[#This Row],[CUIT]]="","-",VLOOKUP(venta_a_mes8[[#This Row],[CUIT]],Lista_CUIT[#All],2,0)),"CUIT NO CARGADO")</calculatedColumnFormula>
    </tableColumn>
    <tableColumn id="7" xr3:uid="{00000000-0010-0000-2F00-000007000000}" name="IMPORTE NETO" totalsRowFunction="sum" dataDxfId="569" totalsRowDxfId="568" dataCellStyle="Normal 3"/>
    <tableColumn id="8" xr3:uid="{00000000-0010-0000-2F00-000008000000}" name="IVA 21%" totalsRowFunction="sum" dataDxfId="567" totalsRowDxfId="566" dataCellStyle="Normal 3">
      <calculatedColumnFormula>venta_a_mes8[[#This Row],[IMPORTE NETO]]*0.21</calculatedColumnFormula>
    </tableColumn>
    <tableColumn id="9" xr3:uid="{00000000-0010-0000-2F00-000009000000}" name="IVA 10,5%" totalsRowFunction="sum" dataDxfId="565" totalsRowDxfId="564" dataCellStyle="Normal 3"/>
    <tableColumn id="10" xr3:uid="{00000000-0010-0000-2F00-00000A000000}" name="EXENTO" totalsRowFunction="sum" dataDxfId="563" totalsRowDxfId="562" dataCellStyle="Normal 3"/>
    <tableColumn id="11" xr3:uid="{00000000-0010-0000-2F00-00000B000000}" name="TOTAL" totalsRowFunction="sum" dataDxfId="561" totalsRowDxfId="560" dataCellStyle="Normal 3">
      <calculatedColumnFormula>SUM(venta_a_mes8[[#This Row],[IMPORTE NETO]:[EXENTO]])</calculatedColumnFormula>
    </tableColumn>
    <tableColumn id="12" xr3:uid="{00000000-0010-0000-2F00-00000C000000}" name="Provincia" totalsRowFunction="count" dataDxfId="559" totalsRowDxfId="558" dataCellStyle="Normal 3"/>
  </tableColumns>
  <tableStyleInfo name="Tabla Ventas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00000000-000C-0000-FFFF-FFFF30000000}" name="ventas_b_mes8" displayName="ventas_b_mes8" ref="B289:M294" totalsRowCount="1" headerRowDxfId="557" dataDxfId="555" headerRowBorderDxfId="556" tableBorderDxfId="554" totalsRowBorderDxfId="553" dataCellStyle="Normal 3">
  <autoFilter ref="B289:M293" xr:uid="{00000000-0009-0000-0100-00003C000000}"/>
  <tableColumns count="12">
    <tableColumn id="1" xr3:uid="{00000000-0010-0000-3000-000001000000}" name="FECHA" totalsRowLabel="Total" dataDxfId="552" totalsRowDxfId="551" dataCellStyle="Normal 3"/>
    <tableColumn id="2" xr3:uid="{00000000-0010-0000-3000-000002000000}" name="TIPO" dataDxfId="550" totalsRowDxfId="549" dataCellStyle="Normal 3"/>
    <tableColumn id="3" xr3:uid="{00000000-0010-0000-3000-000003000000}" name="PTO VENTA" dataDxfId="548" totalsRowDxfId="547" dataCellStyle="Normal 3"/>
    <tableColumn id="4" xr3:uid="{00000000-0010-0000-3000-000004000000}" name="Nº FACTURA" dataDxfId="546" totalsRowDxfId="545" dataCellStyle="Normal 3"/>
    <tableColumn id="5" xr3:uid="{00000000-0010-0000-3000-000005000000}" name="CUIT" dataDxfId="544" totalsRowDxfId="543" dataCellStyle="Normal 3"/>
    <tableColumn id="6" xr3:uid="{00000000-0010-0000-3000-000006000000}" name="RAZON SOCIAL" dataDxfId="542" totalsRowDxfId="541" dataCellStyle="Normal 3">
      <calculatedColumnFormula>IFERROR(IF(ventas_b_mes8[[#This Row],[CUIT]]="","-",VLOOKUP(ventas_b_mes8[[#This Row],[CUIT]],Lista_CUIT[#All],2,0)),"CUIT NO CARGADO")</calculatedColumnFormula>
    </tableColumn>
    <tableColumn id="7" xr3:uid="{00000000-0010-0000-3000-000007000000}" name="IMPORTE NETO" totalsRowFunction="sum" dataDxfId="540" totalsRowDxfId="539" dataCellStyle="Normal 3"/>
    <tableColumn id="8" xr3:uid="{00000000-0010-0000-3000-000008000000}" name="IVA 21%" totalsRowFunction="sum" dataDxfId="538" totalsRowDxfId="537" dataCellStyle="Normal 3">
      <calculatedColumnFormula>ventas_b_mes8[[#This Row],[IMPORTE NETO]]*0.21</calculatedColumnFormula>
    </tableColumn>
    <tableColumn id="9" xr3:uid="{00000000-0010-0000-3000-000009000000}" name="IVA 10,5%" totalsRowFunction="sum" dataDxfId="536" totalsRowDxfId="535" dataCellStyle="Normal 3"/>
    <tableColumn id="10" xr3:uid="{00000000-0010-0000-3000-00000A000000}" name="EXENTO" totalsRowFunction="sum" dataDxfId="534" totalsRowDxfId="533" dataCellStyle="Normal 3"/>
    <tableColumn id="11" xr3:uid="{00000000-0010-0000-3000-00000B000000}" name="TOTAL" totalsRowFunction="sum" dataDxfId="532" totalsRowDxfId="531" dataCellStyle="Normal 3">
      <calculatedColumnFormula>SUM(ventas_b_mes8[[#This Row],[IMPORTE NETO]:[EXENTO]])</calculatedColumnFormula>
    </tableColumn>
    <tableColumn id="12" xr3:uid="{00000000-0010-0000-3000-00000C000000}" name="Provincia" totalsRowFunction="count" dataDxfId="530" totalsRowDxfId="529" dataCellStyle="Normal 3"/>
  </tableColumns>
  <tableStyleInfo name="Tabla Ventas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00000000-000C-0000-FFFF-FFFF31000000}" name="extracto_banco_mes8" displayName="extracto_banco_mes8" ref="D210:M220" totalsRowCount="1" headerRowDxfId="528" dataDxfId="527" tableBorderDxfId="526" dataCellStyle="Normal 3">
  <autoFilter ref="D210:M219" xr:uid="{00000000-0009-0000-0100-00003D000000}"/>
  <tableColumns count="10">
    <tableColumn id="1" xr3:uid="{00000000-0010-0000-3100-000001000000}" name="FECHA" totalsRowLabel="Total" dataDxfId="525" totalsRowDxfId="524" dataCellStyle="Normal 3"/>
    <tableColumn id="2" xr3:uid="{00000000-0010-0000-3100-000002000000}" name="NRO CPTE" dataDxfId="523" totalsRowDxfId="522"/>
    <tableColumn id="3" xr3:uid="{00000000-0010-0000-3100-000003000000}" name="BANCO" dataDxfId="521" totalsRowDxfId="520"/>
    <tableColumn id="4" xr3:uid="{00000000-0010-0000-3100-000004000000}" name="NETO" totalsRowFunction="sum" dataDxfId="519" totalsRowDxfId="518" dataCellStyle="Normal 3"/>
    <tableColumn id="5" xr3:uid="{00000000-0010-0000-3100-000005000000}" name="IVA 21%" totalsRowFunction="sum" dataDxfId="517" totalsRowDxfId="516" dataCellStyle="Normal 3">
      <calculatedColumnFormula>extracto_banco_mes8[[#This Row],[NETO]]*0.21</calculatedColumnFormula>
    </tableColumn>
    <tableColumn id="6" xr3:uid="{00000000-0010-0000-3100-000006000000}" name="IVA 10,5%" totalsRowFunction="sum" dataDxfId="515" totalsRowDxfId="514" dataCellStyle="Normal 3"/>
    <tableColumn id="7" xr3:uid="{00000000-0010-0000-3100-000007000000}" name="RET IIBB CABA" totalsRowFunction="sum" dataDxfId="513" totalsRowDxfId="512" dataCellStyle="Normal 3"/>
    <tableColumn id="8" xr3:uid="{00000000-0010-0000-3100-000008000000}" name="PERC IVA" totalsRowFunction="sum" dataDxfId="511" totalsRowDxfId="510" dataCellStyle="Normal 3"/>
    <tableColumn id="9" xr3:uid="{00000000-0010-0000-3100-000009000000}" name="PERC IIBB" totalsRowFunction="sum" dataDxfId="509" totalsRowDxfId="508" dataCellStyle="Normal 3"/>
    <tableColumn id="10" xr3:uid="{00000000-0010-0000-3100-00000A000000}" name="TOTAL" dataDxfId="507" totalsRowDxfId="506" dataCellStyle="Normal 3">
      <calculatedColumnFormula>SUM(extracto_banco_mes8[[#This Row],[NETO]:[PERC IIBB]])</calculatedColumnFormula>
    </tableColumn>
  </tableColumns>
  <tableStyleInfo name="Estilo de tabla 1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0000000-000C-0000-FFFF-FFFF32000000}" name="Retenciones_mes8" displayName="Retenciones_mes8" ref="C296:L301" totalsRowShown="0" headerRowDxfId="505" dataDxfId="504" headerRowCellStyle="Normal 3" dataCellStyle="Normal 3">
  <autoFilter ref="C296:L301" xr:uid="{00000000-0009-0000-0100-00003E000000}"/>
  <tableColumns count="10">
    <tableColumn id="1" xr3:uid="{00000000-0010-0000-3200-000001000000}" name="FECHA " dataDxfId="503" dataCellStyle="Normal 3"/>
    <tableColumn id="2" xr3:uid="{00000000-0010-0000-3200-000002000000}" name="COMP Nº" dataDxfId="502" dataCellStyle="Normal 3"/>
    <tableColumn id="3" xr3:uid="{00000000-0010-0000-3200-000003000000}" name="Columna1" dataDxfId="501" dataCellStyle="Normal 3"/>
    <tableColumn id="4" xr3:uid="{00000000-0010-0000-3200-000004000000}" name="CUIT" dataDxfId="500" dataCellStyle="Normal 3"/>
    <tableColumn id="5" xr3:uid="{00000000-0010-0000-3200-000005000000}" name="RAZON SOCIAL" dataDxfId="499" dataCellStyle="Normal 3">
      <calculatedColumnFormula>IFERROR(IF(Retenciones_mes8[[#This Row],[CUIT]]="","-",VLOOKUP(Retenciones_mes8[[#This Row],[CUIT]],Lista_CUIT[#All],2,0)),"CUIT NO CARGADO")</calculatedColumnFormula>
    </tableColumn>
    <tableColumn id="6" xr3:uid="{00000000-0010-0000-3200-000006000000}" name="Ganancias" dataDxfId="498" dataCellStyle="Normal 3"/>
    <tableColumn id="7" xr3:uid="{00000000-0010-0000-3200-000007000000}" name="IVA" dataDxfId="497" dataCellStyle="Normal 3">
      <calculatedColumnFormula>Retenciones_mes8[[#This Row],[Ganancias]]*0.21</calculatedColumnFormula>
    </tableColumn>
    <tableColumn id="8" xr3:uid="{00000000-0010-0000-3200-000008000000}" name="SUSS" dataDxfId="496" dataCellStyle="Normal 3"/>
    <tableColumn id="9" xr3:uid="{00000000-0010-0000-3200-000009000000}" name="IIBB BSAS" dataDxfId="495" dataCellStyle="Normal 3"/>
    <tableColumn id="10" xr3:uid="{00000000-0010-0000-3200-00000A000000}" name="IIBB CABA" dataDxfId="494" dataCellStyle="Normal 3"/>
  </tableColumns>
  <tableStyleInfo name="Estilo de tabla 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00000000-000C-0000-FFFF-FFFF33000000}" name="compras_mes9" displayName="compras_mes9" ref="B8:R231" totalsRowCount="1" headerRowDxfId="493" dataDxfId="492" totalsRowDxfId="491">
  <autoFilter ref="B8:R230" xr:uid="{00000000-0009-0000-0100-00003F000000}"/>
  <sortState xmlns:xlrd2="http://schemas.microsoft.com/office/spreadsheetml/2017/richdata2" ref="B9:R230">
    <sortCondition ref="B8:B230"/>
  </sortState>
  <tableColumns count="17">
    <tableColumn id="1" xr3:uid="{00000000-0010-0000-3300-000001000000}" name="FECHA" totalsRowLabel="Total" dataDxfId="490" totalsRowDxfId="489" dataCellStyle="Normal 3"/>
    <tableColumn id="2" xr3:uid="{00000000-0010-0000-3300-000002000000}" name="TIPO" dataDxfId="488" totalsRowDxfId="487" dataCellStyle="Normal 3"/>
    <tableColumn id="3" xr3:uid="{00000000-0010-0000-3300-000003000000}" name="PTO VTA" dataDxfId="486" totalsRowDxfId="485" dataCellStyle="Normal 3"/>
    <tableColumn id="4" xr3:uid="{00000000-0010-0000-3300-000004000000}" name="NRO. CPTE" dataDxfId="484" totalsRowDxfId="483" dataCellStyle="Normal 3"/>
    <tableColumn id="5" xr3:uid="{00000000-0010-0000-3300-000005000000}" name="CUIT" dataDxfId="482" totalsRowDxfId="481" dataCellStyle="Normal 3"/>
    <tableColumn id="6" xr3:uid="{00000000-0010-0000-3300-000006000000}" name="RAZON SOCIAL" dataDxfId="480" totalsRowDxfId="479" dataCellStyle="Normal 3">
      <calculatedColumnFormula>IFERROR(IF(compras_mes9[[#This Row],[CUIT]]="","-",VLOOKUP(compras_mes9[[#This Row],[CUIT]],Lista_CUIT[#All],2,0)),"CUIT NO CARGADO")</calculatedColumnFormula>
    </tableColumn>
    <tableColumn id="7" xr3:uid="{00000000-0010-0000-3300-000007000000}" name="NETO GRAVADO" totalsRowFunction="sum" dataDxfId="478" totalsRowDxfId="477" dataCellStyle="Normal 3"/>
    <tableColumn id="8" xr3:uid="{00000000-0010-0000-3300-000008000000}" name="IVA 21 %" totalsRowFunction="sum" dataDxfId="476" totalsRowDxfId="475" dataCellStyle="Normal 3">
      <calculatedColumnFormula>IF(compras_mes9[[#This Row],[NETO GRAVADO]]="","",compras_mes9[[#This Row],[NETO GRAVADO]]*0.21)</calculatedColumnFormula>
    </tableColumn>
    <tableColumn id="9" xr3:uid="{00000000-0010-0000-3300-000009000000}" name="IVA 27%" totalsRowFunction="sum" dataDxfId="474" totalsRowDxfId="473" dataCellStyle="Normal 3"/>
    <tableColumn id="10" xr3:uid="{00000000-0010-0000-3300-00000A000000}" name="IVA 10,5%" totalsRowFunction="sum" dataDxfId="472" totalsRowDxfId="471" dataCellStyle="Normal 3"/>
    <tableColumn id="11" xr3:uid="{00000000-0010-0000-3300-00000B000000}" name="PERC. IVA" totalsRowFunction="sum" dataDxfId="470" totalsRowDxfId="469" dataCellStyle="Normal 3"/>
    <tableColumn id="12" xr3:uid="{00000000-0010-0000-3300-00000C000000}" name="PERC IIBB _x000a_BS AS" totalsRowFunction="sum" dataDxfId="468" totalsRowDxfId="467" dataCellStyle="Normal 3"/>
    <tableColumn id="13" xr3:uid="{00000000-0010-0000-3300-00000D000000}" name="PERC. IIBB CABA" totalsRowFunction="sum" dataDxfId="466" totalsRowDxfId="465" dataCellStyle="Normal 3"/>
    <tableColumn id="14" xr3:uid="{00000000-0010-0000-3300-00000E000000}" name="Otros / No Grav." totalsRowFunction="sum" dataDxfId="464" totalsRowDxfId="463" dataCellStyle="Normal 3"/>
    <tableColumn id="15" xr3:uid="{00000000-0010-0000-3300-00000F000000}" name="TOTAL" totalsRowFunction="sum" dataDxfId="462" totalsRowDxfId="461" dataCellStyle="Normal 3">
      <calculatedColumnFormula>SUM(compras_mes9[[#This Row],[NETO GRAVADO]:[Otros / No Grav.]])</calculatedColumnFormula>
    </tableColumn>
    <tableColumn id="16" xr3:uid="{00000000-0010-0000-3300-000010000000}" name="Tipo de Gasto" dataDxfId="460" totalsRowDxfId="459" dataCellStyle="Normal 3">
      <calculatedColumnFormula>IFERROR(IF(compras_mes9[[#This Row],[CUIT]]="","-",VLOOKUP(compras_mes9[[#This Row],[CUIT]],Lista_CUIT[#All],3,0)),"CUIT NO CARGADO")</calculatedColumnFormula>
    </tableColumn>
    <tableColumn id="17" xr3:uid="{00000000-0010-0000-3300-000011000000}" name="Provincia" dataDxfId="458" totalsRowDxfId="457" dataCellStyle="Normal 3">
      <calculatedColumnFormula>IFERROR(IF(compras_mes9[[#This Row],[CUIT]]="","-",VLOOKUP(compras_mes9[[#This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00000000-000C-0000-FFFF-FFFF34000000}" name="factura_c_mes9" displayName="factura_c_mes9" ref="D252:K282" totalsRowCount="1" headerRowDxfId="456" totalsRowDxfId="455" headerRowCellStyle="Normal 3">
  <autoFilter ref="D252:K281" xr:uid="{00000000-0009-0000-0100-000040000000}"/>
  <sortState xmlns:xlrd2="http://schemas.microsoft.com/office/spreadsheetml/2017/richdata2" ref="D253:K281">
    <sortCondition ref="J252:J281"/>
  </sortState>
  <tableColumns count="8">
    <tableColumn id="1" xr3:uid="{00000000-0010-0000-3400-000001000000}" name="FECHA" totalsRowLabel="Total" dataDxfId="454" totalsRowDxfId="453" dataCellStyle="Normal 3"/>
    <tableColumn id="2" xr3:uid="{00000000-0010-0000-3400-000002000000}" name="PTO VTA" dataDxfId="452" totalsRowDxfId="451" dataCellStyle="Normal 3"/>
    <tableColumn id="3" xr3:uid="{00000000-0010-0000-3400-000003000000}" name="FC Nº" dataDxfId="450" totalsRowDxfId="449" dataCellStyle="Normal 3"/>
    <tableColumn id="4" xr3:uid="{00000000-0010-0000-3400-000004000000}" name="CUIT" dataDxfId="448" totalsRowDxfId="447" dataCellStyle="Normal 3"/>
    <tableColumn id="5" xr3:uid="{00000000-0010-0000-3400-000005000000}" name="RAZON SOCIAL" dataDxfId="446" totalsRowDxfId="445" dataCellStyle="Normal 3">
      <calculatedColumnFormula>IFERROR(IF(factura_c_mes9[[#This Row],[CUIT]]="","-",VLOOKUP(factura_c_mes9[[#This Row],[CUIT]],Lista_CUIT[#All],2,0)),"CUIT NO CARGADO")</calculatedColumnFormula>
    </tableColumn>
    <tableColumn id="6" xr3:uid="{00000000-0010-0000-3400-000006000000}" name="TOTAL" totalsRowFunction="sum" dataDxfId="444" totalsRowDxfId="443" dataCellStyle="Normal 3"/>
    <tableColumn id="7" xr3:uid="{00000000-0010-0000-3400-000007000000}" name="TIPO DE GASTO" dataDxfId="442" totalsRowDxfId="441" dataCellStyle="Normal 3">
      <calculatedColumnFormula>IFERROR(IF(factura_c_mes9[[#This Row],[CUIT]]="","-",VLOOKUP(factura_c_mes9[[#This Row],[CUIT]],Lista_CUIT[#All],3,0)),"CUIT NO CARGADO")</calculatedColumnFormula>
    </tableColumn>
    <tableColumn id="8" xr3:uid="{00000000-0010-0000-3400-000008000000}" name="Provincia" dataDxfId="440" totalsRowDxfId="439" dataCellStyle="Normal 3">
      <calculatedColumnFormula>IFERROR(IF(factura_c_mes9[[#This Row],[CUIT]]="","-",VLOOKUP(factura_c_mes9[[#This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00000000-000C-0000-FFFF-FFFF35000000}" name="venta_a_mes9" displayName="venta_a_mes9" ref="B291:M301" totalsRowCount="1" headerRowDxfId="438" dataDxfId="436" headerRowBorderDxfId="437" tableBorderDxfId="435" totalsRowBorderDxfId="434" dataCellStyle="Normal 3">
  <autoFilter ref="B291:M300" xr:uid="{00000000-0009-0000-0100-000041000000}"/>
  <tableColumns count="12">
    <tableColumn id="1" xr3:uid="{00000000-0010-0000-3500-000001000000}" name="FECHA" totalsRowLabel="Total" dataDxfId="433" totalsRowDxfId="432" dataCellStyle="Normal 3"/>
    <tableColumn id="2" xr3:uid="{00000000-0010-0000-3500-000002000000}" name="TIPO" dataDxfId="431" totalsRowDxfId="430" dataCellStyle="Normal 3"/>
    <tableColumn id="3" xr3:uid="{00000000-0010-0000-3500-000003000000}" name="PTO VENTA" dataDxfId="429" totalsRowDxfId="428" dataCellStyle="Normal 3"/>
    <tableColumn id="4" xr3:uid="{00000000-0010-0000-3500-000004000000}" name="Nº FACTURA" dataDxfId="427" totalsRowDxfId="426" dataCellStyle="Normal 3"/>
    <tableColumn id="5" xr3:uid="{00000000-0010-0000-3500-000005000000}" name="CUIT" dataDxfId="425" totalsRowDxfId="424" dataCellStyle="Normal 3"/>
    <tableColumn id="6" xr3:uid="{00000000-0010-0000-3500-000006000000}" name="RAZON SOCIAL" dataDxfId="423" totalsRowDxfId="422" dataCellStyle="Normal 3">
      <calculatedColumnFormula>IFERROR(IF(venta_a_mes9[[#This Row],[CUIT]]="","-",VLOOKUP(venta_a_mes9[[#This Row],[CUIT]],Lista_CUIT[#All],2,0)),"CUIT NO CARGADO")</calculatedColumnFormula>
    </tableColumn>
    <tableColumn id="7" xr3:uid="{00000000-0010-0000-3500-000007000000}" name="IMPORTE NETO" totalsRowFunction="sum" dataDxfId="421" totalsRowDxfId="420" dataCellStyle="Normal 3"/>
    <tableColumn id="8" xr3:uid="{00000000-0010-0000-3500-000008000000}" name="IVA 21%" totalsRowFunction="sum" dataDxfId="419" totalsRowDxfId="418" dataCellStyle="Normal 3">
      <calculatedColumnFormula>venta_a_mes9[[#This Row],[IMPORTE NETO]]*0.21</calculatedColumnFormula>
    </tableColumn>
    <tableColumn id="9" xr3:uid="{00000000-0010-0000-3500-000009000000}" name="IVA 10,5%" totalsRowFunction="sum" dataDxfId="417" totalsRowDxfId="416" dataCellStyle="Normal 3"/>
    <tableColumn id="10" xr3:uid="{00000000-0010-0000-3500-00000A000000}" name="EXENTO" totalsRowFunction="sum" dataDxfId="415" totalsRowDxfId="414" dataCellStyle="Normal 3"/>
    <tableColumn id="11" xr3:uid="{00000000-0010-0000-3500-00000B000000}" name="TOTAL" totalsRowFunction="sum" dataDxfId="413" totalsRowDxfId="412" dataCellStyle="Normal 3">
      <calculatedColumnFormula>SUM(venta_a_mes9[[#This Row],[IMPORTE NETO]:[EXENTO]])</calculatedColumnFormula>
    </tableColumn>
    <tableColumn id="12" xr3:uid="{00000000-0010-0000-3500-00000C000000}" name="Provincia" totalsRowFunction="count" dataDxfId="411" totalsRowDxfId="410" dataCellStyle="Normal 3"/>
  </tableColumns>
  <tableStyleInfo name="Tabla Ventas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00000000-000C-0000-FFFF-FFFF36000000}" name="ventas_b_mes9" displayName="ventas_b_mes9" ref="B305:M312" totalsRowCount="1" headerRowDxfId="409" dataDxfId="407" headerRowBorderDxfId="408" tableBorderDxfId="406" totalsRowBorderDxfId="405" dataCellStyle="Normal 3">
  <autoFilter ref="B305:M311" xr:uid="{00000000-0009-0000-0100-000042000000}"/>
  <tableColumns count="12">
    <tableColumn id="1" xr3:uid="{00000000-0010-0000-3600-000001000000}" name="FECHA" totalsRowLabel="Total" dataDxfId="404" totalsRowDxfId="403" dataCellStyle="Normal 3"/>
    <tableColumn id="2" xr3:uid="{00000000-0010-0000-3600-000002000000}" name="TIPO" dataDxfId="402" totalsRowDxfId="401" dataCellStyle="Normal 3"/>
    <tableColumn id="3" xr3:uid="{00000000-0010-0000-3600-000003000000}" name="PTO VENTA" dataDxfId="400" totalsRowDxfId="399" dataCellStyle="Normal 3"/>
    <tableColumn id="4" xr3:uid="{00000000-0010-0000-3600-000004000000}" name="Nº FACTURA" dataDxfId="398" totalsRowDxfId="397" dataCellStyle="Normal 3"/>
    <tableColumn id="5" xr3:uid="{00000000-0010-0000-3600-000005000000}" name="CUIT" dataDxfId="396" totalsRowDxfId="395" dataCellStyle="Normal 3"/>
    <tableColumn id="6" xr3:uid="{00000000-0010-0000-3600-000006000000}" name="RAZON SOCIAL" dataDxfId="394" totalsRowDxfId="393" dataCellStyle="Normal 3">
      <calculatedColumnFormula>IFERROR(IF(ventas_b_mes9[[#This Row],[CUIT]]="","-",VLOOKUP(ventas_b_mes9[[#This Row],[CUIT]],Lista_CUIT[#All],2,0)),"CUIT NO CARGADO")</calculatedColumnFormula>
    </tableColumn>
    <tableColumn id="7" xr3:uid="{00000000-0010-0000-3600-000007000000}" name="IMPORTE NETO" totalsRowFunction="sum" dataDxfId="392" totalsRowDxfId="391" dataCellStyle="Normal 3"/>
    <tableColumn id="8" xr3:uid="{00000000-0010-0000-3600-000008000000}" name="IVA 21%" totalsRowFunction="sum" dataDxfId="390" totalsRowDxfId="389" dataCellStyle="Normal 3"/>
    <tableColumn id="9" xr3:uid="{00000000-0010-0000-3600-000009000000}" name="IVA 10,5%" totalsRowFunction="sum" dataDxfId="388" totalsRowDxfId="387" dataCellStyle="Normal 3"/>
    <tableColumn id="10" xr3:uid="{00000000-0010-0000-3600-00000A000000}" name="EXENTO" totalsRowFunction="sum" dataDxfId="386" totalsRowDxfId="385" dataCellStyle="Normal 3"/>
    <tableColumn id="11" xr3:uid="{00000000-0010-0000-3600-00000B000000}" name="TOTAL" totalsRowFunction="sum" dataDxfId="384" totalsRowDxfId="383" dataCellStyle="Normal 3">
      <calculatedColumnFormula>SUM(ventas_b_mes9[[#This Row],[IMPORTE NETO]:[EXENTO]])</calculatedColumnFormula>
    </tableColumn>
    <tableColumn id="12" xr3:uid="{00000000-0010-0000-3600-00000C000000}" name="Provincia" totalsRowFunction="count" dataDxfId="382" totalsRowDxfId="381" dataCellStyle="Normal 3"/>
  </tableColumns>
  <tableStyleInfo name="Tabla Ventas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00000000-000C-0000-FFFF-FFFF37000000}" name="extracto_banco_mes9" displayName="extracto_banco_mes9" ref="D237:L247" totalsRowCount="1" headerRowDxfId="380" dataDxfId="379" tableBorderDxfId="378" dataCellStyle="Normal 3">
  <autoFilter ref="D237:L246" xr:uid="{00000000-0009-0000-0100-000043000000}"/>
  <tableColumns count="9">
    <tableColumn id="1" xr3:uid="{00000000-0010-0000-3700-000001000000}" name="FECHA" totalsRowLabel="Total" dataDxfId="377" totalsRowDxfId="376" dataCellStyle="Normal 3"/>
    <tableColumn id="2" xr3:uid="{00000000-0010-0000-3700-000002000000}" name="NRO CPTE" dataDxfId="375" totalsRowDxfId="374"/>
    <tableColumn id="3" xr3:uid="{00000000-0010-0000-3700-000003000000}" name="BANCO" dataDxfId="373" totalsRowDxfId="372"/>
    <tableColumn id="4" xr3:uid="{00000000-0010-0000-3700-000004000000}" name="NETO" totalsRowFunction="sum" dataDxfId="371" totalsRowDxfId="370" dataCellStyle="Normal 3"/>
    <tableColumn id="5" xr3:uid="{00000000-0010-0000-3700-000005000000}" name="IVA 21%" totalsRowFunction="sum" dataDxfId="369" totalsRowDxfId="368" dataCellStyle="Normal 3"/>
    <tableColumn id="6" xr3:uid="{00000000-0010-0000-3700-000006000000}" name="IVA 10,5%" totalsRowFunction="sum" dataDxfId="367" totalsRowDxfId="366" dataCellStyle="Normal 3"/>
    <tableColumn id="7" xr3:uid="{00000000-0010-0000-3700-000007000000}" name="RET IIBB CABA" totalsRowFunction="sum" dataDxfId="365" totalsRowDxfId="364" dataCellStyle="Normal 3"/>
    <tableColumn id="8" xr3:uid="{00000000-0010-0000-3700-000008000000}" name="PERC IVA" totalsRowFunction="sum" dataDxfId="363" totalsRowDxfId="362" dataCellStyle="Normal 3"/>
    <tableColumn id="9" xr3:uid="{00000000-0010-0000-3700-000009000000}" name="PERC IIBB" totalsRowFunction="sum" dataDxfId="361" totalsRowDxfId="360" dataCellStyle="Normal 3"/>
  </tableColumns>
  <tableStyleInfo name="Estilo de tabla 1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0000000-000C-0000-FFFF-FFFF38000000}" name="Retenciones_mes9" displayName="Retenciones_mes9" ref="C321:L326" totalsRowShown="0" headerRowDxfId="359" dataDxfId="358" headerRowCellStyle="Normal 3" dataCellStyle="Normal 3">
  <autoFilter ref="C321:L326" xr:uid="{00000000-0009-0000-0100-000044000000}"/>
  <tableColumns count="10">
    <tableColumn id="1" xr3:uid="{00000000-0010-0000-3800-000001000000}" name="FECHA " dataDxfId="357" dataCellStyle="Normal 3"/>
    <tableColumn id="2" xr3:uid="{00000000-0010-0000-3800-000002000000}" name="COMP Nº" dataDxfId="356" dataCellStyle="Normal 3"/>
    <tableColumn id="3" xr3:uid="{00000000-0010-0000-3800-000003000000}" name="Columna1" dataDxfId="355" dataCellStyle="Normal 3"/>
    <tableColumn id="4" xr3:uid="{00000000-0010-0000-3800-000004000000}" name="CUIT" dataDxfId="354" dataCellStyle="Normal 3"/>
    <tableColumn id="5" xr3:uid="{00000000-0010-0000-3800-000005000000}" name="RAZON SOCIAL" dataDxfId="353" dataCellStyle="Normal 3">
      <calculatedColumnFormula>IFERROR(IF(Retenciones_mes9[[#This Row],[CUIT]]="","-",VLOOKUP(Retenciones_mes9[[#This Row],[CUIT]],Lista_CUIT[#All],2,0)),"CUIT NO CARGADO")</calculatedColumnFormula>
    </tableColumn>
    <tableColumn id="6" xr3:uid="{00000000-0010-0000-3800-000006000000}" name="Ganancias" dataDxfId="352" dataCellStyle="Normal 3"/>
    <tableColumn id="7" xr3:uid="{00000000-0010-0000-3800-000007000000}" name="IVA" dataDxfId="351" dataCellStyle="Normal 3"/>
    <tableColumn id="8" xr3:uid="{00000000-0010-0000-3800-000008000000}" name="SUSS" dataDxfId="350" dataCellStyle="Normal 3"/>
    <tableColumn id="9" xr3:uid="{00000000-0010-0000-3800-000009000000}" name="IIBB BSAS" dataDxfId="349" dataCellStyle="Normal 3"/>
    <tableColumn id="10" xr3:uid="{00000000-0010-0000-3800-00000A000000}" name="IIBB CABA" dataDxfId="348" dataCellStyle="Normal 3"/>
  </tableColumns>
  <tableStyleInfo name="Estilo de tabla 1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39000000}" name="compras_mes10" displayName="compras_mes10" ref="B8:R222" totalsRowCount="1" headerRowDxfId="1830" dataDxfId="1829" totalsRowDxfId="1828">
  <autoFilter ref="B8:R221" xr:uid="{00000000-0009-0000-0100-000021000000}"/>
  <sortState xmlns:xlrd2="http://schemas.microsoft.com/office/spreadsheetml/2017/richdata2" ref="B9:R185">
    <sortCondition ref="B8:B185"/>
  </sortState>
  <tableColumns count="17">
    <tableColumn id="1" xr3:uid="{00000000-0010-0000-3900-000001000000}" name="FECHA" totalsRowLabel="Total" dataDxfId="67" totalsRowDxfId="66" dataCellStyle="Normal 3"/>
    <tableColumn id="2" xr3:uid="{00000000-0010-0000-3900-000002000000}" name="TIPO" dataDxfId="65" totalsRowDxfId="64" dataCellStyle="Normal 3"/>
    <tableColumn id="3" xr3:uid="{00000000-0010-0000-3900-000003000000}" name="PTO VTA" dataDxfId="63" totalsRowDxfId="62" dataCellStyle="Normal 3"/>
    <tableColumn id="4" xr3:uid="{00000000-0010-0000-3900-000004000000}" name="NRO. CPTE" dataDxfId="61" totalsRowDxfId="60" dataCellStyle="Normal 3"/>
    <tableColumn id="5" xr3:uid="{00000000-0010-0000-3900-000005000000}" name="CUIT" dataDxfId="59" totalsRowDxfId="58" dataCellStyle="Normal 3"/>
    <tableColumn id="6" xr3:uid="{00000000-0010-0000-3900-000006000000}" name="RAZON SOCIAL" dataDxfId="57" totalsRowDxfId="56" dataCellStyle="Normal 3">
      <calculatedColumnFormula>IFERROR(IF(compras_mes10[[#This Row],[CUIT]]="","-",VLOOKUP(compras_mes10[[#This Row],[CUIT]],Lista_CUIT[#All],2,0)),"CUIT NO CARGADO")</calculatedColumnFormula>
    </tableColumn>
    <tableColumn id="7" xr3:uid="{00000000-0010-0000-3900-000007000000}" name="NETO GRAVADO" totalsRowFunction="sum" dataDxfId="55" totalsRowDxfId="54" dataCellStyle="Normal 3"/>
    <tableColumn id="8" xr3:uid="{00000000-0010-0000-3900-000008000000}" name="IVA 21 %" totalsRowFunction="sum" dataDxfId="53" totalsRowDxfId="52" dataCellStyle="Normal 3">
      <calculatedColumnFormula>IF(compras_mes10[[#This Row],[NETO GRAVADO]]="","",compras_mes10[[#This Row],[NETO GRAVADO]]*0.21)</calculatedColumnFormula>
    </tableColumn>
    <tableColumn id="9" xr3:uid="{00000000-0010-0000-3900-000009000000}" name="IVA 27%" totalsRowFunction="sum" dataDxfId="51" totalsRowDxfId="50" dataCellStyle="Normal 3"/>
    <tableColumn id="10" xr3:uid="{00000000-0010-0000-3900-00000A000000}" name="IVA 10,5%" totalsRowFunction="sum" dataDxfId="49" totalsRowDxfId="48" dataCellStyle="Normal 3"/>
    <tableColumn id="11" xr3:uid="{00000000-0010-0000-3900-00000B000000}" name="PERC. IVA" totalsRowFunction="sum" dataDxfId="47" totalsRowDxfId="46" dataCellStyle="Normal 3"/>
    <tableColumn id="12" xr3:uid="{00000000-0010-0000-3900-00000C000000}" name="PERC IIBB _x000a_BS AS" totalsRowFunction="sum" dataDxfId="45" totalsRowDxfId="44" dataCellStyle="Normal 3"/>
    <tableColumn id="13" xr3:uid="{00000000-0010-0000-3900-00000D000000}" name="PERC. IIBB CABA" totalsRowFunction="sum" dataDxfId="43" totalsRowDxfId="42" dataCellStyle="Normal 3"/>
    <tableColumn id="14" xr3:uid="{00000000-0010-0000-3900-00000E000000}" name="Otros / No Grav." totalsRowFunction="sum" dataDxfId="41" totalsRowDxfId="40" dataCellStyle="Normal 3"/>
    <tableColumn id="15" xr3:uid="{00000000-0010-0000-3900-00000F000000}" name="TOTAL" totalsRowFunction="sum" dataDxfId="39" totalsRowDxfId="38" dataCellStyle="Normal 3">
      <calculatedColumnFormula>SUM(compras_mes10[[#This Row],[NETO GRAVADO]:[Otros / No Grav.]])</calculatedColumnFormula>
    </tableColumn>
    <tableColumn id="16" xr3:uid="{00000000-0010-0000-3900-000010000000}" name="Tipo de Gasto" dataDxfId="37" totalsRowDxfId="36" dataCellStyle="Normal 3">
      <calculatedColumnFormula>IFERROR(IF(compras_mes10[[#This Row],[CUIT]]="","-",VLOOKUP(compras_mes10[[#This Row],[CUIT]],Lista_CUIT[#All],3,0)),"CUIT NO CARGADO")</calculatedColumnFormula>
    </tableColumn>
    <tableColumn id="17" xr3:uid="{00000000-0010-0000-3900-000011000000}" name="Provincia" dataDxfId="35" totalsRowDxfId="34" dataCellStyle="Normal 3">
      <calculatedColumnFormula>IFERROR(IF(compras_mes10[[#This Row],[CUIT]]="","-",VLOOKUP(compras_mes10[[#This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3A000000}" name="factura_c_mes10" displayName="factura_c_mes10" ref="D243:K289" totalsRowCount="1" headerRowDxfId="1827" totalsRowDxfId="1826" headerRowCellStyle="Normal 3">
  <autoFilter ref="D243:K288" xr:uid="{00000000-0009-0000-0100-000022000000}"/>
  <sortState xmlns:xlrd2="http://schemas.microsoft.com/office/spreadsheetml/2017/richdata2" ref="D244:K288">
    <sortCondition ref="J243:J288"/>
  </sortState>
  <tableColumns count="8">
    <tableColumn id="1" xr3:uid="{00000000-0010-0000-3A00-000001000000}" name="FECHA" totalsRowLabel="Total" dataDxfId="1825" totalsRowDxfId="1824" dataCellStyle="Normal 3"/>
    <tableColumn id="2" xr3:uid="{00000000-0010-0000-3A00-000002000000}" name="PTO VTA" dataDxfId="1823" totalsRowDxfId="1822" dataCellStyle="Normal 3"/>
    <tableColumn id="3" xr3:uid="{00000000-0010-0000-3A00-000003000000}" name="FC Nº" dataDxfId="1821" totalsRowDxfId="1820" dataCellStyle="Normal 3"/>
    <tableColumn id="4" xr3:uid="{00000000-0010-0000-3A00-000004000000}" name="CUIT" dataDxfId="1819" totalsRowDxfId="1818" dataCellStyle="Normal 3"/>
    <tableColumn id="5" xr3:uid="{00000000-0010-0000-3A00-000005000000}" name="RAZON SOCIAL" dataDxfId="1817" totalsRowDxfId="1816" dataCellStyle="Normal 3">
      <calculatedColumnFormula>IFERROR(IF(factura_c_mes10[[#This Row],[CUIT]]="","-",VLOOKUP(factura_c_mes10[[#This Row],[CUIT]],Lista_CUIT[#All],2,0)),"CUIT NO CARGADO")</calculatedColumnFormula>
    </tableColumn>
    <tableColumn id="6" xr3:uid="{00000000-0010-0000-3A00-000006000000}" name="TOTAL" totalsRowFunction="sum" dataDxfId="1815" totalsRowDxfId="1814" dataCellStyle="Normal 3"/>
    <tableColumn id="7" xr3:uid="{00000000-0010-0000-3A00-000007000000}" name="TIPO DE GASTO" dataDxfId="1813" totalsRowDxfId="1812" dataCellStyle="Normal 3">
      <calculatedColumnFormula>IFERROR(IF(factura_c_mes10[[#This Row],[CUIT]]="","-",VLOOKUP(factura_c_mes10[[#This Row],[CUIT]],Lista_CUIT[#All],3,0)),"CUIT NO CARGADO")</calculatedColumnFormula>
    </tableColumn>
    <tableColumn id="8" xr3:uid="{00000000-0010-0000-3A00-000008000000}" name="Provincia" dataDxfId="1811" totalsRowDxfId="1810" dataCellStyle="Normal 3">
      <calculatedColumnFormula>IFERROR(IF(factura_c_mes10[[#This Row],[CUIT]]="","-",VLOOKUP(factura_c_mes10[[#This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3B000000}" name="venta_a_mes10" displayName="venta_a_mes10" ref="B298:M308" totalsRowCount="1" headerRowDxfId="1809" dataDxfId="1807" headerRowBorderDxfId="1808" tableBorderDxfId="1806" totalsRowBorderDxfId="1805" dataCellStyle="Normal 3">
  <autoFilter ref="B298:M307" xr:uid="{00000000-0009-0000-0100-000023000000}"/>
  <tableColumns count="12">
    <tableColumn id="1" xr3:uid="{00000000-0010-0000-3B00-000001000000}" name="FECHA" totalsRowLabel="Total" dataDxfId="1804" totalsRowDxfId="1803" dataCellStyle="Normal 3"/>
    <tableColumn id="2" xr3:uid="{00000000-0010-0000-3B00-000002000000}" name="TIPO" dataDxfId="1802" totalsRowDxfId="1801" dataCellStyle="Normal 3"/>
    <tableColumn id="3" xr3:uid="{00000000-0010-0000-3B00-000003000000}" name="PTO VENTA" dataDxfId="1800" totalsRowDxfId="1799" dataCellStyle="Normal 3"/>
    <tableColumn id="4" xr3:uid="{00000000-0010-0000-3B00-000004000000}" name="Nº FACTURA" dataDxfId="1798" totalsRowDxfId="1797" dataCellStyle="Normal 3"/>
    <tableColumn id="5" xr3:uid="{00000000-0010-0000-3B00-000005000000}" name="CUIT" dataDxfId="1796" totalsRowDxfId="1795" dataCellStyle="Normal 3"/>
    <tableColumn id="6" xr3:uid="{00000000-0010-0000-3B00-000006000000}" name="RAZON SOCIAL" dataDxfId="1794" totalsRowDxfId="1793" dataCellStyle="Normal 3">
      <calculatedColumnFormula>IFERROR(IF(venta_a_mes10[[#This Row],[CUIT]]="","-",VLOOKUP(venta_a_mes10[[#This Row],[CUIT]],Lista_CUIT[#All],2,0)),"CUIT NO CARGADO")</calculatedColumnFormula>
    </tableColumn>
    <tableColumn id="7" xr3:uid="{00000000-0010-0000-3B00-000007000000}" name="IMPORTE NETO" totalsRowFunction="sum" dataDxfId="1792" totalsRowDxfId="1791" dataCellStyle="Normal 3"/>
    <tableColumn id="8" xr3:uid="{00000000-0010-0000-3B00-000008000000}" name="IVA 21%" totalsRowFunction="sum" dataDxfId="1790" totalsRowDxfId="1789" dataCellStyle="Normal 3">
      <calculatedColumnFormula>venta_a_mes10[[#This Row],[IMPORTE NETO]]*0.21</calculatedColumnFormula>
    </tableColumn>
    <tableColumn id="9" xr3:uid="{00000000-0010-0000-3B00-000009000000}" name="IVA 10,5%" totalsRowFunction="sum" dataDxfId="1788" totalsRowDxfId="1787" dataCellStyle="Normal 3"/>
    <tableColumn id="10" xr3:uid="{00000000-0010-0000-3B00-00000A000000}" name="EXENTO" totalsRowFunction="sum" dataDxfId="1786" totalsRowDxfId="1785" dataCellStyle="Normal 3"/>
    <tableColumn id="11" xr3:uid="{00000000-0010-0000-3B00-00000B000000}" name="TOTAL" totalsRowFunction="sum" dataDxfId="1784" totalsRowDxfId="1783" dataCellStyle="Normal 3">
      <calculatedColumnFormula>SUM(venta_a_mes10[[#This Row],[IMPORTE NETO]:[EXENTO]])</calculatedColumnFormula>
    </tableColumn>
    <tableColumn id="12" xr3:uid="{00000000-0010-0000-3B00-00000C000000}" name="Provincia" totalsRowFunction="count" dataDxfId="1782" totalsRowDxfId="1781" dataCellStyle="Normal 3"/>
  </tableColumns>
  <tableStyleInfo name="Tabla Ventas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3C000000}" name="ventas_b_mes10" displayName="ventas_b_mes10" ref="B312:M346" totalsRowCount="1" headerRowDxfId="1780" dataDxfId="1778" headerRowBorderDxfId="1779" tableBorderDxfId="1777" totalsRowBorderDxfId="1776" dataCellStyle="Normal 3">
  <autoFilter ref="B312:M345" xr:uid="{00000000-0009-0000-0100-000024000000}"/>
  <tableColumns count="12">
    <tableColumn id="1" xr3:uid="{00000000-0010-0000-3C00-000001000000}" name="FECHA" totalsRowLabel="Total" dataDxfId="1775" totalsRowDxfId="1774" dataCellStyle="Normal 3"/>
    <tableColumn id="2" xr3:uid="{00000000-0010-0000-3C00-000002000000}" name="TIPO" dataDxfId="1773" totalsRowDxfId="1772" dataCellStyle="Normal 3"/>
    <tableColumn id="3" xr3:uid="{00000000-0010-0000-3C00-000003000000}" name="PTO VENTA" dataDxfId="1771" totalsRowDxfId="1770" dataCellStyle="Normal 3"/>
    <tableColumn id="4" xr3:uid="{00000000-0010-0000-3C00-000004000000}" name="Nº FACTURA" dataDxfId="1769" totalsRowDxfId="1768" dataCellStyle="Normal 3"/>
    <tableColumn id="5" xr3:uid="{00000000-0010-0000-3C00-000005000000}" name="CUIT" dataDxfId="1767" totalsRowDxfId="1766" dataCellStyle="Normal 3"/>
    <tableColumn id="6" xr3:uid="{00000000-0010-0000-3C00-000006000000}" name="RAZON SOCIAL" dataDxfId="1765" totalsRowDxfId="1764" dataCellStyle="Normal 3">
      <calculatedColumnFormula>IFERROR(IF(ventas_b_mes10[[#This Row],[CUIT]]="","-",VLOOKUP(ventas_b_mes10[[#This Row],[CUIT]],Lista_CUIT[#All],2,0)),"CUIT NO CARGADO")</calculatedColumnFormula>
    </tableColumn>
    <tableColumn id="7" xr3:uid="{00000000-0010-0000-3C00-000007000000}" name="IMPORTE NETO" totalsRowFunction="sum" dataDxfId="1763" totalsRowDxfId="1762" dataCellStyle="Normal 3"/>
    <tableColumn id="8" xr3:uid="{00000000-0010-0000-3C00-000008000000}" name="IVA 21%" totalsRowFunction="sum" dataDxfId="1761" totalsRowDxfId="1760" dataCellStyle="Normal 3">
      <calculatedColumnFormula>ventas_b_mes10[[#This Row],[IMPORTE NETO]]*0.21</calculatedColumnFormula>
    </tableColumn>
    <tableColumn id="9" xr3:uid="{00000000-0010-0000-3C00-000009000000}" name="IVA 10,5%" totalsRowFunction="sum" dataDxfId="1759" totalsRowDxfId="1758" dataCellStyle="Normal 3"/>
    <tableColumn id="10" xr3:uid="{00000000-0010-0000-3C00-00000A000000}" name="EXENTO" totalsRowFunction="sum" dataDxfId="1757" totalsRowDxfId="1756" dataCellStyle="Normal 3"/>
    <tableColumn id="11" xr3:uid="{00000000-0010-0000-3C00-00000B000000}" name="TOTAL" totalsRowFunction="sum" dataDxfId="1755" totalsRowDxfId="1754" dataCellStyle="Normal 3"/>
    <tableColumn id="12" xr3:uid="{00000000-0010-0000-3C00-00000C000000}" name="Provincia" totalsRowFunction="count" dataDxfId="1753" totalsRowDxfId="1752" dataCellStyle="Normal 3"/>
  </tableColumns>
  <tableStyleInfo name="Tabla Ventas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3D000000}" name="extracto_banco_mes10" displayName="extracto_banco_mes10" ref="D228:M238" totalsRowCount="1" headerRowDxfId="1751" dataDxfId="1750" tableBorderDxfId="1749" dataCellStyle="Normal 3">
  <autoFilter ref="D228:M237" xr:uid="{00000000-0009-0000-0100-000025000000}"/>
  <tableColumns count="10">
    <tableColumn id="1" xr3:uid="{00000000-0010-0000-3D00-000001000000}" name="FECHA" totalsRowLabel="Total" dataDxfId="1748" totalsRowDxfId="1747" dataCellStyle="Normal 3"/>
    <tableColumn id="2" xr3:uid="{00000000-0010-0000-3D00-000002000000}" name="NRO CPTE" dataDxfId="1746" totalsRowDxfId="1745"/>
    <tableColumn id="3" xr3:uid="{00000000-0010-0000-3D00-000003000000}" name="BANCO" dataDxfId="1744" totalsRowDxfId="1743"/>
    <tableColumn id="4" xr3:uid="{00000000-0010-0000-3D00-000004000000}" name="NETO" totalsRowFunction="sum" dataDxfId="1742" totalsRowDxfId="1741" dataCellStyle="Normal 3"/>
    <tableColumn id="5" xr3:uid="{00000000-0010-0000-3D00-000005000000}" name="IVA 21%" totalsRowFunction="sum" dataDxfId="1740" totalsRowDxfId="1739" dataCellStyle="Normal 3"/>
    <tableColumn id="6" xr3:uid="{00000000-0010-0000-3D00-000006000000}" name="IVA 10,5%" totalsRowFunction="sum" dataDxfId="1738" totalsRowDxfId="1737" dataCellStyle="Normal 3"/>
    <tableColumn id="7" xr3:uid="{00000000-0010-0000-3D00-000007000000}" name="RET IIBB CABA" totalsRowFunction="sum" dataDxfId="1736" totalsRowDxfId="1735" dataCellStyle="Normal 3"/>
    <tableColumn id="8" xr3:uid="{00000000-0010-0000-3D00-000008000000}" name="PERC IVA" totalsRowFunction="sum" dataDxfId="1734" totalsRowDxfId="1733" dataCellStyle="Normal 3"/>
    <tableColumn id="9" xr3:uid="{00000000-0010-0000-3D00-000009000000}" name="PERC IIBB" totalsRowFunction="sum" dataDxfId="1732" totalsRowDxfId="1731" dataCellStyle="Normal 3"/>
    <tableColumn id="10" xr3:uid="{00000000-0010-0000-3D00-00000A000000}" name="TOTAL" dataDxfId="1730" totalsRowDxfId="1729" dataCellStyle="Normal 3">
      <calculatedColumnFormula>SUM(extracto_banco_mes10[[#This Row],[NETO]:[PERC IIBB]])</calculatedColumnFormula>
    </tableColumn>
  </tableColumns>
  <tableStyleInfo name="Estilo de tabla 1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3E000000}" name="Retenciones_mes10" displayName="Retenciones_mes10" ref="C348:L353" totalsRowShown="0" headerRowDxfId="1728" dataDxfId="1727" headerRowCellStyle="Normal 3" dataCellStyle="Normal 3">
  <autoFilter ref="C348:L353" xr:uid="{00000000-0009-0000-0100-000026000000}"/>
  <tableColumns count="10">
    <tableColumn id="1" xr3:uid="{00000000-0010-0000-3E00-000001000000}" name="FECHA " dataDxfId="1726" dataCellStyle="Normal 3"/>
    <tableColumn id="2" xr3:uid="{00000000-0010-0000-3E00-000002000000}" name="COMP Nº" dataDxfId="1725" dataCellStyle="Normal 3"/>
    <tableColumn id="3" xr3:uid="{00000000-0010-0000-3E00-000003000000}" name="Columna1" dataDxfId="1724" dataCellStyle="Normal 3"/>
    <tableColumn id="4" xr3:uid="{00000000-0010-0000-3E00-000004000000}" name="CUIT" dataDxfId="1723" dataCellStyle="Normal 3"/>
    <tableColumn id="5" xr3:uid="{00000000-0010-0000-3E00-000005000000}" name="RAZON SOCIAL" dataDxfId="1722" dataCellStyle="Normal 3">
      <calculatedColumnFormula>IFERROR(IF(Retenciones_mes10[[#This Row],[CUIT]]="","-",VLOOKUP(Retenciones_mes10[[#This Row],[CUIT]],Lista_CUIT[#All],2,0)),"CUIT NO CARGADO")</calculatedColumnFormula>
    </tableColumn>
    <tableColumn id="6" xr3:uid="{00000000-0010-0000-3E00-000006000000}" name="Ganancias" dataDxfId="1721" dataCellStyle="Normal 3"/>
    <tableColumn id="7" xr3:uid="{00000000-0010-0000-3E00-000007000000}" name="IVA" dataDxfId="1720" dataCellStyle="Normal 3"/>
    <tableColumn id="8" xr3:uid="{00000000-0010-0000-3E00-000008000000}" name="SUSS" dataDxfId="1719" dataCellStyle="Normal 3"/>
    <tableColumn id="9" xr3:uid="{00000000-0010-0000-3E00-000009000000}" name="IIBB BSAS" dataDxfId="1718" dataCellStyle="Normal 3"/>
    <tableColumn id="10" xr3:uid="{00000000-0010-0000-3E00-00000A000000}" name="IIBB CABA" dataDxfId="1717" dataCellStyle="Normal 3"/>
  </tableColumns>
  <tableStyleInfo name="Estilo de tabla 1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3F000000}" name="compras_mes123" displayName="compras_mes123" ref="B8:R221" totalsRowCount="1" headerRowDxfId="347" dataDxfId="346" totalsRowDxfId="345">
  <autoFilter ref="B8:R220" xr:uid="{00000000-0009-0000-0100-000002000000}"/>
  <sortState xmlns:xlrd2="http://schemas.microsoft.com/office/spreadsheetml/2017/richdata2" ref="B9:R220">
    <sortCondition ref="B8:B220"/>
  </sortState>
  <tableColumns count="17">
    <tableColumn id="1" xr3:uid="{00000000-0010-0000-3F00-000001000000}" name="FECHA" totalsRowLabel="Total" dataDxfId="344" totalsRowDxfId="343" dataCellStyle="Normal 3"/>
    <tableColumn id="2" xr3:uid="{00000000-0010-0000-3F00-000002000000}" name="TIPO" dataDxfId="342" totalsRowDxfId="341" dataCellStyle="Normal 3"/>
    <tableColumn id="3" xr3:uid="{00000000-0010-0000-3F00-000003000000}" name="PTO VTA" dataDxfId="340" totalsRowDxfId="339" dataCellStyle="Normal 3"/>
    <tableColumn id="4" xr3:uid="{00000000-0010-0000-3F00-000004000000}" name="NRO. CPTE" dataDxfId="338" totalsRowDxfId="337" dataCellStyle="Normal 3"/>
    <tableColumn id="5" xr3:uid="{00000000-0010-0000-3F00-000005000000}" name="CUIT" dataDxfId="336" totalsRowDxfId="335" dataCellStyle="Normal 3"/>
    <tableColumn id="6" xr3:uid="{00000000-0010-0000-3F00-000006000000}" name="RAZON SOCIAL" dataDxfId="334" totalsRowDxfId="333" dataCellStyle="Normal 3">
      <calculatedColumnFormula>IFERROR(IF(compras_mes123[[#This Row],[CUIT]]="","-",VLOOKUP(compras_mes123[[#This Row],[CUIT]],Lista_CUIT[#All],2,0)),"CUIT NO CARGADO")</calculatedColumnFormula>
    </tableColumn>
    <tableColumn id="7" xr3:uid="{00000000-0010-0000-3F00-000007000000}" name="NETO GRAVADO" totalsRowFunction="sum" dataDxfId="332" totalsRowDxfId="331" dataCellStyle="Normal 3"/>
    <tableColumn id="8" xr3:uid="{00000000-0010-0000-3F00-000008000000}" name="IVA 21 %" totalsRowFunction="sum" dataDxfId="330" totalsRowDxfId="329" dataCellStyle="Normal 3">
      <calculatedColumnFormula>IF(compras_mes123[[#This Row],[NETO GRAVADO]]="","",compras_mes123[[#This Row],[NETO GRAVADO]]*0.21)</calculatedColumnFormula>
    </tableColumn>
    <tableColumn id="9" xr3:uid="{00000000-0010-0000-3F00-000009000000}" name="IVA 27%" totalsRowFunction="sum" dataDxfId="328" totalsRowDxfId="327" dataCellStyle="Normal 3"/>
    <tableColumn id="10" xr3:uid="{00000000-0010-0000-3F00-00000A000000}" name="IVA 10,5%" totalsRowFunction="sum" dataDxfId="326" totalsRowDxfId="325" dataCellStyle="Normal 3"/>
    <tableColumn id="11" xr3:uid="{00000000-0010-0000-3F00-00000B000000}" name="PERC. IVA" totalsRowFunction="sum" dataDxfId="324" totalsRowDxfId="323" dataCellStyle="Normal 3"/>
    <tableColumn id="12" xr3:uid="{00000000-0010-0000-3F00-00000C000000}" name="PERC IIBB _x000a_BS AS" totalsRowFunction="sum" dataDxfId="322" totalsRowDxfId="321" dataCellStyle="Normal 3"/>
    <tableColumn id="13" xr3:uid="{00000000-0010-0000-3F00-00000D000000}" name="PERC. IIBB CABA" totalsRowFunction="sum" dataDxfId="320" totalsRowDxfId="319" dataCellStyle="Normal 3"/>
    <tableColumn id="14" xr3:uid="{00000000-0010-0000-3F00-00000E000000}" name="Otros / No Grav." totalsRowFunction="sum" dataDxfId="318" totalsRowDxfId="317" dataCellStyle="Normal 3"/>
    <tableColumn id="15" xr3:uid="{00000000-0010-0000-3F00-00000F000000}" name="TOTAL" totalsRowFunction="sum" dataDxfId="316" totalsRowDxfId="315" dataCellStyle="Normal 3">
      <calculatedColumnFormula>SUM(compras_mes123[[#This Row],[NETO GRAVADO]:[Otros / No Grav.]])</calculatedColumnFormula>
    </tableColumn>
    <tableColumn id="16" xr3:uid="{00000000-0010-0000-3F00-000010000000}" name="Tipo de Gasto" dataDxfId="314" totalsRowDxfId="313" dataCellStyle="Normal 3">
      <calculatedColumnFormula>IFERROR(IF(compras_mes123[[#This Row],[CUIT]]="","-",VLOOKUP(compras_mes123[[#This Row],[CUIT]],Lista_CUIT[#All],3,0)),"CUIT NO CARGADO")</calculatedColumnFormula>
    </tableColumn>
    <tableColumn id="17" xr3:uid="{00000000-0010-0000-3F00-000011000000}" name="Provincia" dataDxfId="312" totalsRowDxfId="311" dataCellStyle="Normal 3">
      <calculatedColumnFormula>IFERROR(IF(compras_mes123[[#This Row],[CUIT]]="","-",VLOOKUP(compras_mes123[[#This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00000000-000C-0000-FFFF-FFFF40000000}" name="factura_c_mes1242" displayName="factura_c_mes1242" ref="D243:K282" totalsRowCount="1" headerRowDxfId="310" dataDxfId="309" totalsRowDxfId="308" headerRowCellStyle="Normal 3" dataCellStyle="Normal 3">
  <autoFilter ref="D243:K281" xr:uid="{00000000-0009-0000-0100-000029000000}"/>
  <sortState xmlns:xlrd2="http://schemas.microsoft.com/office/spreadsheetml/2017/richdata2" ref="D244:K281">
    <sortCondition ref="J243:J281"/>
  </sortState>
  <tableColumns count="8">
    <tableColumn id="1" xr3:uid="{00000000-0010-0000-4000-000001000000}" name="FECHA" totalsRowLabel="Total" dataDxfId="307" totalsRowDxfId="306" dataCellStyle="Normal 3"/>
    <tableColumn id="2" xr3:uid="{00000000-0010-0000-4000-000002000000}" name="PTO VTA" dataDxfId="305" totalsRowDxfId="304" dataCellStyle="Normal 3"/>
    <tableColumn id="3" xr3:uid="{00000000-0010-0000-4000-000003000000}" name="FC Nº" dataDxfId="303" totalsRowDxfId="302" dataCellStyle="Normal 3"/>
    <tableColumn id="4" xr3:uid="{00000000-0010-0000-4000-000004000000}" name="CUIT" dataDxfId="301" totalsRowDxfId="300" dataCellStyle="Normal 3"/>
    <tableColumn id="5" xr3:uid="{00000000-0010-0000-4000-000005000000}" name="RAZON SOCIAL" dataDxfId="299" totalsRowDxfId="298" dataCellStyle="Normal 3">
      <calculatedColumnFormula>IFERROR(IF(factura_c_mes1242[[#This Row],[CUIT]]="","-",VLOOKUP(factura_c_mes1242[[#This Row],[CUIT]],Lista_CUIT[#All],2,0)),"CUIT NO CARGADO")</calculatedColumnFormula>
    </tableColumn>
    <tableColumn id="6" xr3:uid="{00000000-0010-0000-4000-000006000000}" name="TOTAL" totalsRowFunction="sum" dataDxfId="297" totalsRowDxfId="296" dataCellStyle="Millares"/>
    <tableColumn id="7" xr3:uid="{00000000-0010-0000-4000-000007000000}" name="TIPO DE GASTO" dataDxfId="295" totalsRowDxfId="294" dataCellStyle="Normal 3">
      <calculatedColumnFormula>IFERROR(IF(factura_c_mes1242[[#This Row],[CUIT]]="","-",VLOOKUP(factura_c_mes1242[[#This Row],[CUIT]],Lista_CUIT[#All],3,0)),"CUIT NO CARGADO")</calculatedColumnFormula>
    </tableColumn>
    <tableColumn id="8" xr3:uid="{00000000-0010-0000-4000-000008000000}" name="Provincia" dataDxfId="293" totalsRowDxfId="292" dataCellStyle="Normal 3">
      <calculatedColumnFormula>IFERROR(IF(factura_c_mes1242[[#This Row],[CUIT]]="","-",VLOOKUP(factura_c_mes1242[[#This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00000000-000C-0000-FFFF-FFFF41000000}" name="venta_a_mes1254" displayName="venta_a_mes1254" ref="B290:M478" totalsRowCount="1" headerRowDxfId="291" dataDxfId="289" headerRowBorderDxfId="290" tableBorderDxfId="288" totalsRowBorderDxfId="287" dataCellStyle="Normal 3">
  <autoFilter ref="B290:M477" xr:uid="{00000000-0009-0000-0100-000035000000}"/>
  <tableColumns count="12">
    <tableColumn id="1" xr3:uid="{00000000-0010-0000-4100-000001000000}" name="FECHA" totalsRowLabel="Total" dataDxfId="286" totalsRowDxfId="285" dataCellStyle="Normal 3"/>
    <tableColumn id="2" xr3:uid="{00000000-0010-0000-4100-000002000000}" name="TIPO" dataDxfId="284" totalsRowDxfId="283" dataCellStyle="Normal 3"/>
    <tableColumn id="3" xr3:uid="{00000000-0010-0000-4100-000003000000}" name="PTO VENTA" dataDxfId="282" totalsRowDxfId="281" dataCellStyle="Normal 3"/>
    <tableColumn id="4" xr3:uid="{00000000-0010-0000-4100-000004000000}" name="Nº FACTURA" dataDxfId="280" totalsRowDxfId="279" dataCellStyle="Normal 3"/>
    <tableColumn id="5" xr3:uid="{00000000-0010-0000-4100-000005000000}" name="CUIT" dataDxfId="278" totalsRowDxfId="277" dataCellStyle="Normal 3"/>
    <tableColumn id="6" xr3:uid="{00000000-0010-0000-4100-000006000000}" name="RAZON SOCIAL" dataDxfId="276" totalsRowDxfId="275" dataCellStyle="Normal 3">
      <calculatedColumnFormula>IFERROR(IF(venta_a_mes1254[[#This Row],[CUIT]]="","-",VLOOKUP(venta_a_mes1254[[#This Row],[CUIT]],Lista_CUIT[#All],2,0)),"CUIT NO CARGADO")</calculatedColumnFormula>
    </tableColumn>
    <tableColumn id="7" xr3:uid="{00000000-0010-0000-4100-000007000000}" name="IMPORTE NETO" totalsRowFunction="sum" dataDxfId="274" totalsRowDxfId="273" dataCellStyle="Normal 3"/>
    <tableColumn id="8" xr3:uid="{00000000-0010-0000-4100-000008000000}" name="IVA 21%" totalsRowFunction="sum" dataDxfId="272" totalsRowDxfId="271" dataCellStyle="Normal 3">
      <calculatedColumnFormula>venta_a_mes1254[[#This Row],[IMPORTE NETO]]*0.21</calculatedColumnFormula>
    </tableColumn>
    <tableColumn id="9" xr3:uid="{00000000-0010-0000-4100-000009000000}" name="IVA 10,5%" totalsRowFunction="sum" dataDxfId="270" totalsRowDxfId="269" dataCellStyle="Normal 3"/>
    <tableColumn id="10" xr3:uid="{00000000-0010-0000-4100-00000A000000}" name="EXENTO" totalsRowFunction="sum" dataDxfId="268" totalsRowDxfId="267" dataCellStyle="Normal 3"/>
    <tableColumn id="11" xr3:uid="{00000000-0010-0000-4100-00000B000000}" name="TOTAL" totalsRowFunction="sum" dataDxfId="266" totalsRowDxfId="265" dataCellStyle="Normal 3">
      <calculatedColumnFormula>SUM(venta_a_mes1254[[#This Row],[IMPORTE NETO]:[EXENTO]])</calculatedColumnFormula>
    </tableColumn>
    <tableColumn id="12" xr3:uid="{00000000-0010-0000-4100-00000C000000}" name="Provincia" totalsRowFunction="count" dataDxfId="264" totalsRowDxfId="263" dataCellStyle="Normal 3"/>
  </tableColumns>
  <tableStyleInfo name="Tabla Ventas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00000000-000C-0000-FFFF-FFFF42000000}" name="ventas_b_mes1255" displayName="ventas_b_mes1255" ref="B481:M2603" totalsRowCount="1" headerRowDxfId="262" dataDxfId="260" headerRowBorderDxfId="261" tableBorderDxfId="259" totalsRowBorderDxfId="258" dataCellStyle="Normal 3">
  <autoFilter ref="B481:M2602" xr:uid="{00000000-0009-0000-0100-000036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200-000001000000}" name="FECHA" totalsRowLabel="Total" dataDxfId="257" totalsRowDxfId="256" dataCellStyle="Normal 3"/>
    <tableColumn id="2" xr3:uid="{00000000-0010-0000-4200-000002000000}" name="TIPO" dataDxfId="255" totalsRowDxfId="254" dataCellStyle="Normal 3"/>
    <tableColumn id="3" xr3:uid="{00000000-0010-0000-4200-000003000000}" name="PTO VENTA" dataDxfId="253" totalsRowDxfId="252" dataCellStyle="Normal 3"/>
    <tableColumn id="4" xr3:uid="{00000000-0010-0000-4200-000004000000}" name="Nº FACTURA" dataDxfId="251" totalsRowDxfId="250" dataCellStyle="Normal 3"/>
    <tableColumn id="5" xr3:uid="{00000000-0010-0000-4200-000005000000}" name="CUIT" dataDxfId="249" totalsRowDxfId="248" dataCellStyle="Normal 3"/>
    <tableColumn id="6" xr3:uid="{00000000-0010-0000-4200-000006000000}" name="RAZON SOCIAL" dataDxfId="247" totalsRowDxfId="246" dataCellStyle="Normal 3">
      <calculatedColumnFormula>IFERROR(IF(ventas_b_mes1255[[#This Row],[CUIT]]="","-",VLOOKUP(ventas_b_mes1255[[#This Row],[CUIT]],Lista_CUIT[#All],2,0)),"CUIT NO CARGADO")</calculatedColumnFormula>
    </tableColumn>
    <tableColumn id="7" xr3:uid="{00000000-0010-0000-4200-000007000000}" name="IMPORTE NETO" totalsRowFunction="sum" dataDxfId="245" totalsRowDxfId="244" dataCellStyle="Normal 3"/>
    <tableColumn id="8" xr3:uid="{00000000-0010-0000-4200-000008000000}" name="IVA 21%" totalsRowFunction="sum" dataDxfId="243" totalsRowDxfId="242" dataCellStyle="Normal 3"/>
    <tableColumn id="9" xr3:uid="{00000000-0010-0000-4200-000009000000}" name="IVA 10,5%" totalsRowFunction="sum" dataDxfId="241" totalsRowDxfId="240" dataCellStyle="Normal 3"/>
    <tableColumn id="10" xr3:uid="{00000000-0010-0000-4200-00000A000000}" name="EXENTO" totalsRowFunction="sum" dataDxfId="239" totalsRowDxfId="238" dataCellStyle="Normal 3"/>
    <tableColumn id="11" xr3:uid="{00000000-0010-0000-4200-00000B000000}" name="TOTAL" totalsRowFunction="sum" dataDxfId="237" totalsRowDxfId="236" dataCellStyle="Normal 3"/>
    <tableColumn id="12" xr3:uid="{00000000-0010-0000-4200-00000C000000}" name="Provincia" totalsRowFunction="count" dataDxfId="235" totalsRowDxfId="234" dataCellStyle="Normal 3"/>
  </tableColumns>
  <tableStyleInfo name="Tabla Ventas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00000000-000C-0000-FFFF-FFFF43000000}" name="extracto_banco_mes1256" displayName="extracto_banco_mes1256" ref="D227:L238" totalsRowCount="1" headerRowDxfId="233" dataDxfId="232" tableBorderDxfId="231" dataCellStyle="Normal 3">
  <autoFilter ref="D227:L237" xr:uid="{00000000-0009-0000-0100-000037000000}"/>
  <tableColumns count="9">
    <tableColumn id="1" xr3:uid="{00000000-0010-0000-4300-000001000000}" name="FECHA" totalsRowLabel="Total" dataDxfId="230" totalsRowDxfId="229" dataCellStyle="Normal 3"/>
    <tableColumn id="2" xr3:uid="{00000000-0010-0000-4300-000002000000}" name="NRO CPTE" dataDxfId="228" totalsRowDxfId="227"/>
    <tableColumn id="3" xr3:uid="{00000000-0010-0000-4300-000003000000}" name="BANCO" dataDxfId="226" totalsRowDxfId="225"/>
    <tableColumn id="4" xr3:uid="{00000000-0010-0000-4300-000004000000}" name="NETO" totalsRowFunction="sum" dataDxfId="224" totalsRowDxfId="223" dataCellStyle="Normal 3"/>
    <tableColumn id="5" xr3:uid="{00000000-0010-0000-4300-000005000000}" name="IVA 21%" totalsRowFunction="sum" dataDxfId="222" totalsRowDxfId="221" dataCellStyle="Normal 3">
      <calculatedColumnFormula>extracto_banco_mes1256[[#This Row],[NETO]]*0.21</calculatedColumnFormula>
    </tableColumn>
    <tableColumn id="6" xr3:uid="{00000000-0010-0000-4300-000006000000}" name="IVA 10,5%" totalsRowFunction="sum" dataDxfId="220" totalsRowDxfId="219" dataCellStyle="Normal 3"/>
    <tableColumn id="7" xr3:uid="{00000000-0010-0000-4300-000007000000}" name="RET IIBB CABA" totalsRowFunction="sum" dataDxfId="218" totalsRowDxfId="217" dataCellStyle="Normal 3"/>
    <tableColumn id="8" xr3:uid="{00000000-0010-0000-4300-000008000000}" name="PERC IVA" totalsRowFunction="sum" dataDxfId="216" totalsRowDxfId="215" dataCellStyle="Normal 3"/>
    <tableColumn id="9" xr3:uid="{00000000-0010-0000-4300-000009000000}" name="PERC IIBB" totalsRowFunction="sum" dataDxfId="214" totalsRowDxfId="213" dataCellStyle="Normal 3"/>
  </tableColumns>
  <tableStyleInfo name="Estilo de tabla 1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0000000-000C-0000-FFFF-FFFF44000000}" name="Retenciones_mes1257" displayName="Retenciones_mes1257" ref="C2606:L2611" totalsRowShown="0" headerRowDxfId="212" dataDxfId="211" headerRowCellStyle="Normal 3" dataCellStyle="Normal 3">
  <autoFilter ref="C2606:L2611" xr:uid="{00000000-0009-0000-0100-000038000000}"/>
  <tableColumns count="10">
    <tableColumn id="1" xr3:uid="{00000000-0010-0000-4400-000001000000}" name="FECHA " dataDxfId="210" dataCellStyle="Normal 3"/>
    <tableColumn id="2" xr3:uid="{00000000-0010-0000-4400-000002000000}" name="COMP Nº" dataDxfId="209" dataCellStyle="Normal 3"/>
    <tableColumn id="3" xr3:uid="{00000000-0010-0000-4400-000003000000}" name="Columna1" dataDxfId="208" dataCellStyle="Normal 3"/>
    <tableColumn id="4" xr3:uid="{00000000-0010-0000-4400-000004000000}" name="CUIT" dataDxfId="207" dataCellStyle="Normal 3"/>
    <tableColumn id="5" xr3:uid="{00000000-0010-0000-4400-000005000000}" name="RAZON SOCIAL" dataDxfId="206" dataCellStyle="Normal 3">
      <calculatedColumnFormula>IFERROR(IF(Retenciones_mes1257[[#This Row],[CUIT]]="","-",VLOOKUP(Retenciones_mes1257[[#This Row],[CUIT]],Lista_CUIT[#All],2,0)),"CUIT NO CARGADO")</calculatedColumnFormula>
    </tableColumn>
    <tableColumn id="6" xr3:uid="{00000000-0010-0000-4400-000006000000}" name="Ganancias" dataDxfId="205" dataCellStyle="Normal 3"/>
    <tableColumn id="7" xr3:uid="{00000000-0010-0000-4400-000007000000}" name="IVA" dataDxfId="204" dataCellStyle="Normal 3"/>
    <tableColumn id="8" xr3:uid="{00000000-0010-0000-4400-000008000000}" name="SUSS" dataDxfId="203" dataCellStyle="Normal 3"/>
    <tableColumn id="9" xr3:uid="{00000000-0010-0000-4400-000009000000}" name="IIBB BSAS" dataDxfId="202" dataCellStyle="Normal 3"/>
    <tableColumn id="10" xr3:uid="{00000000-0010-0000-4400-00000A000000}" name="IIBB CABA" dataDxfId="201" dataCellStyle="Normal 3"/>
  </tableColumns>
  <tableStyleInfo name="Estilo de tabla 1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00000000-000C-0000-FFFF-FFFF45000000}" name="compras_mes12" displayName="compras_mes12" ref="B8:R199" totalsRowCount="1" headerRowDxfId="200" dataDxfId="199" totalsRowDxfId="198">
  <autoFilter ref="B8:R198" xr:uid="{00000000-0009-0000-0100-000045000000}"/>
  <sortState xmlns:xlrd2="http://schemas.microsoft.com/office/spreadsheetml/2017/richdata2" ref="B9:R198">
    <sortCondition ref="B8:B198"/>
  </sortState>
  <tableColumns count="17">
    <tableColumn id="1" xr3:uid="{00000000-0010-0000-4500-000001000000}" name="FECHA" totalsRowLabel="Total" dataDxfId="33" totalsRowDxfId="32" dataCellStyle="Normal 3"/>
    <tableColumn id="2" xr3:uid="{00000000-0010-0000-4500-000002000000}" name="TIPO" dataDxfId="31" totalsRowDxfId="30" dataCellStyle="Normal 3"/>
    <tableColumn id="3" xr3:uid="{00000000-0010-0000-4500-000003000000}" name="PTO VTA" dataDxfId="29" totalsRowDxfId="28" dataCellStyle="Normal 3"/>
    <tableColumn id="4" xr3:uid="{00000000-0010-0000-4500-000004000000}" name="NRO. CPTE" dataDxfId="27" totalsRowDxfId="26" dataCellStyle="Normal 3"/>
    <tableColumn id="5" xr3:uid="{00000000-0010-0000-4500-000005000000}" name="CUIT" dataDxfId="25" totalsRowDxfId="24" dataCellStyle="Normal 3"/>
    <tableColumn id="6" xr3:uid="{00000000-0010-0000-4500-000006000000}" name="RAZON SOCIAL" dataDxfId="23" totalsRowDxfId="22" dataCellStyle="Normal 3">
      <calculatedColumnFormula>IFERROR(IF(compras_mes12[[#This Row],[CUIT]]="","-",VLOOKUP(compras_mes12[[#This Row],[CUIT]],Lista_CUIT[#All],2,0)),"CUIT NO CARGADO")</calculatedColumnFormula>
    </tableColumn>
    <tableColumn id="7" xr3:uid="{00000000-0010-0000-4500-000007000000}" name="NETO GRAVADO" totalsRowFunction="sum" dataDxfId="21" totalsRowDxfId="20" dataCellStyle="Normal 3"/>
    <tableColumn id="8" xr3:uid="{00000000-0010-0000-4500-000008000000}" name="IVA 21 %" totalsRowFunction="sum" dataDxfId="19" totalsRowDxfId="18" dataCellStyle="Normal 3">
      <calculatedColumnFormula>IF(compras_mes12[[#This Row],[NETO GRAVADO]]="","",compras_mes12[[#This Row],[NETO GRAVADO]]*0.21)</calculatedColumnFormula>
    </tableColumn>
    <tableColumn id="9" xr3:uid="{00000000-0010-0000-4500-000009000000}" name="IVA 27%" totalsRowFunction="sum" dataDxfId="17" totalsRowDxfId="16" dataCellStyle="Normal 3"/>
    <tableColumn id="10" xr3:uid="{00000000-0010-0000-4500-00000A000000}" name="IVA 10,5%" totalsRowFunction="sum" dataDxfId="15" totalsRowDxfId="14" dataCellStyle="Normal 3"/>
    <tableColumn id="11" xr3:uid="{00000000-0010-0000-4500-00000B000000}" name="PERC. IVA" totalsRowFunction="sum" dataDxfId="13" totalsRowDxfId="12" dataCellStyle="Normal 3"/>
    <tableColumn id="12" xr3:uid="{00000000-0010-0000-4500-00000C000000}" name="PERC IIBB _x000a_BS AS" totalsRowFunction="sum" dataDxfId="11" totalsRowDxfId="10" dataCellStyle="Normal 3"/>
    <tableColumn id="13" xr3:uid="{00000000-0010-0000-4500-00000D000000}" name="PERC. IIBB CABA" totalsRowFunction="sum" dataDxfId="9" totalsRowDxfId="8" dataCellStyle="Normal 3"/>
    <tableColumn id="14" xr3:uid="{00000000-0010-0000-4500-00000E000000}" name="Otros / No Grav." totalsRowFunction="sum" dataDxfId="7" totalsRowDxfId="6" dataCellStyle="Normal 3"/>
    <tableColumn id="15" xr3:uid="{00000000-0010-0000-4500-00000F000000}" name="TOTAL" totalsRowFunction="sum" dataDxfId="5" totalsRowDxfId="4" dataCellStyle="Normal 3">
      <calculatedColumnFormula>SUM(compras_mes12[[#This Row],[NETO GRAVADO]:[Otros / No Grav.]])</calculatedColumnFormula>
    </tableColumn>
    <tableColumn id="16" xr3:uid="{00000000-0010-0000-4500-000010000000}" name="Tipo de Gasto" dataDxfId="3" totalsRowDxfId="2" dataCellStyle="Normal 3">
      <calculatedColumnFormula>IFERROR(IF(compras_mes12[[#This Row],[CUIT]]="","-",VLOOKUP(compras_mes12[[#This Row],[CUIT]],Lista_CUIT[#All],3,0)),"CUIT NO CARGADO")</calculatedColumnFormula>
    </tableColumn>
    <tableColumn id="17" xr3:uid="{00000000-0010-0000-4500-000011000000}" name="Provincia" dataDxfId="1" totalsRowDxfId="0" dataCellStyle="Normal 3">
      <calculatedColumnFormula>IFERROR(IF(compras_mes12[[#This Row],[CUIT]]="","-",VLOOKUP(compras_mes12[[#This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00000000-000C-0000-FFFF-FFFF46000000}" name="factura_c_mes12" displayName="factura_c_mes12" ref="D220:K259" totalsRowCount="1" headerRowDxfId="197" dataDxfId="196" totalsRowDxfId="195" headerRowCellStyle="Normal 3" dataCellStyle="Normal 3">
  <autoFilter ref="D220:K258" xr:uid="{00000000-0009-0000-0100-000046000000}"/>
  <sortState xmlns:xlrd2="http://schemas.microsoft.com/office/spreadsheetml/2017/richdata2" ref="D221:K258">
    <sortCondition ref="J220:J258"/>
  </sortState>
  <tableColumns count="8">
    <tableColumn id="1" xr3:uid="{00000000-0010-0000-4600-000001000000}" name="FECHA" totalsRowLabel="Total" dataDxfId="194" totalsRowDxfId="193" dataCellStyle="Normal 3"/>
    <tableColumn id="2" xr3:uid="{00000000-0010-0000-4600-000002000000}" name="PTO VTA" dataDxfId="192" totalsRowDxfId="191" dataCellStyle="Normal 3"/>
    <tableColumn id="3" xr3:uid="{00000000-0010-0000-4600-000003000000}" name="FC Nº" dataDxfId="190" totalsRowDxfId="189" dataCellStyle="Normal 3"/>
    <tableColumn id="4" xr3:uid="{00000000-0010-0000-4600-000004000000}" name="CUIT" dataDxfId="188" totalsRowDxfId="187" dataCellStyle="Normal 3"/>
    <tableColumn id="5" xr3:uid="{00000000-0010-0000-4600-000005000000}" name="RAZON SOCIAL" dataDxfId="186" totalsRowDxfId="185" dataCellStyle="Normal 3">
      <calculatedColumnFormula>IFERROR(IF(factura_c_mes12[[#This Row],[CUIT]]="","-",VLOOKUP(factura_c_mes12[[#This Row],[CUIT]],Lista_CUIT[#All],2,0)),"CUIT NO CARGADO")</calculatedColumnFormula>
    </tableColumn>
    <tableColumn id="6" xr3:uid="{00000000-0010-0000-4600-000006000000}" name="TOTAL" totalsRowFunction="sum" dataDxfId="184" totalsRowDxfId="183" dataCellStyle="Normal 3"/>
    <tableColumn id="7" xr3:uid="{00000000-0010-0000-4600-000007000000}" name="TIPO DE GASTO" dataDxfId="182" totalsRowDxfId="181" dataCellStyle="Normal 3">
      <calculatedColumnFormula>IFERROR(IF(factura_c_mes12[[#This Row],[CUIT]]="","-",VLOOKUP(factura_c_mes12[[#This Row],[CUIT]],Lista_CUIT[#All],3,0)),"CUIT NO CARGADO")</calculatedColumnFormula>
    </tableColumn>
    <tableColumn id="8" xr3:uid="{00000000-0010-0000-4600-000008000000}" name="Provincia" dataDxfId="180" totalsRowDxfId="179" dataCellStyle="Normal 3">
      <calculatedColumnFormula>IFERROR(IF(factura_c_mes12[[#This Row],[CUIT]]="","-",VLOOKUP(factura_c_mes12[[#This Row],[CUIT]],Lista_CUIT[#All],4,0)),"CUIT NO CARGADO")</calculatedColumnFormula>
    </tableColumn>
  </tableColumns>
  <tableStyleInfo name="Estilo de tabla 1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00000000-000C-0000-FFFF-FFFF47000000}" name="venta_a_mes12" displayName="venta_a_mes12" ref="B267:M269" totalsRowCount="1" headerRowDxfId="178" dataDxfId="176" headerRowBorderDxfId="177" tableBorderDxfId="175" totalsRowBorderDxfId="174" dataCellStyle="Normal 3">
  <autoFilter ref="B267:M268" xr:uid="{00000000-0009-0000-0100-000047000000}"/>
  <tableColumns count="12">
    <tableColumn id="1" xr3:uid="{00000000-0010-0000-4700-000001000000}" name="FECHA" totalsRowLabel="Total" dataDxfId="173" totalsRowDxfId="172" dataCellStyle="Normal 3"/>
    <tableColumn id="2" xr3:uid="{00000000-0010-0000-4700-000002000000}" name="TIPO" dataDxfId="171" totalsRowDxfId="170" dataCellStyle="Normal 3"/>
    <tableColumn id="3" xr3:uid="{00000000-0010-0000-4700-000003000000}" name="PTO VENTA" dataDxfId="169" totalsRowDxfId="168" dataCellStyle="Normal 3"/>
    <tableColumn id="4" xr3:uid="{00000000-0010-0000-4700-000004000000}" name="Nº FACTURA" dataDxfId="167" totalsRowDxfId="166" dataCellStyle="Normal 3"/>
    <tableColumn id="5" xr3:uid="{00000000-0010-0000-4700-000005000000}" name="CUIT" dataDxfId="165" totalsRowDxfId="164" dataCellStyle="Normal 3"/>
    <tableColumn id="6" xr3:uid="{00000000-0010-0000-4700-000006000000}" name="RAZON SOCIAL" dataDxfId="163" totalsRowDxfId="162" dataCellStyle="Normal 3">
      <calculatedColumnFormula>IFERROR(IF(venta_a_mes12[[#This Row],[CUIT]]="","-",VLOOKUP(venta_a_mes12[[#This Row],[CUIT]],Lista_CUIT[#All],2,0)),"CUIT NO CARGADO")</calculatedColumnFormula>
    </tableColumn>
    <tableColumn id="7" xr3:uid="{00000000-0010-0000-4700-000007000000}" name="IMPORTE NETO" totalsRowFunction="sum" dataDxfId="161" totalsRowDxfId="160" dataCellStyle="Normal 3"/>
    <tableColumn id="8" xr3:uid="{00000000-0010-0000-4700-000008000000}" name="IVA 21%" totalsRowFunction="sum" dataDxfId="159" totalsRowDxfId="158" dataCellStyle="Normal 3">
      <calculatedColumnFormula>venta_a_mes12[[#This Row],[IMPORTE NETO]]*0.21</calculatedColumnFormula>
    </tableColumn>
    <tableColumn id="9" xr3:uid="{00000000-0010-0000-4700-000009000000}" name="IVA 10,5%" totalsRowFunction="sum" dataDxfId="157" totalsRowDxfId="156" dataCellStyle="Normal 3"/>
    <tableColumn id="10" xr3:uid="{00000000-0010-0000-4700-00000A000000}" name="EXENTO" totalsRowFunction="sum" dataDxfId="155" totalsRowDxfId="154" dataCellStyle="Normal 3"/>
    <tableColumn id="11" xr3:uid="{00000000-0010-0000-4700-00000B000000}" name="TOTAL" totalsRowFunction="sum" dataDxfId="153" totalsRowDxfId="152" dataCellStyle="Normal 3">
      <calculatedColumnFormula>SUM(venta_a_mes12[[#This Row],[IMPORTE NETO]:[EXENTO]])</calculatedColumnFormula>
    </tableColumn>
    <tableColumn id="12" xr3:uid="{00000000-0010-0000-4700-00000C000000}" name="Provincia" totalsRowFunction="count" dataDxfId="151" totalsRowDxfId="150" dataCellStyle="Normal 3"/>
  </tableColumns>
  <tableStyleInfo name="Tabla Ventas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00000000-000C-0000-FFFF-FFFF48000000}" name="ventas_b_mes12" displayName="ventas_b_mes12" ref="B272:M275" totalsRowCount="1" headerRowDxfId="149" dataDxfId="147" headerRowBorderDxfId="148" tableBorderDxfId="146" totalsRowBorderDxfId="145" dataCellStyle="Normal 3">
  <autoFilter ref="B272:M274" xr:uid="{00000000-0009-0000-0100-000048000000}">
    <filterColumn colId="3">
      <filters>
        <filter val="00007124"/>
        <filter val="00007125"/>
        <filter val="00007126"/>
        <filter val="00007127"/>
        <filter val="00007128"/>
        <filter val="00007129"/>
        <filter val="00007130"/>
        <filter val="00007131"/>
        <filter val="00007132"/>
        <filter val="00007133"/>
        <filter val="00007134"/>
        <filter val="00007135"/>
        <filter val="00007136"/>
        <filter val="00007137"/>
        <filter val="00007138"/>
        <filter val="00007139"/>
        <filter val="00007140"/>
        <filter val="00007141"/>
        <filter val="00007142"/>
        <filter val="00007143"/>
        <filter val="00007144"/>
        <filter val="00007145"/>
        <filter val="00007146"/>
        <filter val="00007147"/>
        <filter val="00007148"/>
        <filter val="00007149"/>
        <filter val="00007150"/>
        <filter val="00007151"/>
        <filter val="00007152"/>
        <filter val="00007153"/>
        <filter val="00007154"/>
        <filter val="00007155"/>
        <filter val="00007156"/>
        <filter val="00007157"/>
        <filter val="00007158"/>
        <filter val="00007159"/>
        <filter val="00007160"/>
        <filter val="00007161"/>
        <filter val="00007162"/>
        <filter val="00007163"/>
        <filter val="00007164"/>
        <filter val="00007165"/>
        <filter val="00007166"/>
        <filter val="00007167"/>
        <filter val="00007168"/>
        <filter val="00007169"/>
        <filter val="00007170"/>
        <filter val="00007171"/>
        <filter val="00007172"/>
        <filter val="00007173"/>
        <filter val="00007174"/>
        <filter val="00007175"/>
        <filter val="00007176"/>
        <filter val="00007177"/>
        <filter val="00007178"/>
        <filter val="00007179"/>
        <filter val="00007180"/>
        <filter val="00007181"/>
        <filter val="00007182"/>
        <filter val="00007183"/>
        <filter val="00007184"/>
        <filter val="00007185"/>
        <filter val="00007186"/>
        <filter val="00007187"/>
        <filter val="00007188"/>
        <filter val="00007189"/>
        <filter val="00007190"/>
        <filter val="00007191"/>
        <filter val="00007192"/>
        <filter val="00007193"/>
        <filter val="00007194"/>
        <filter val="00007195"/>
        <filter val="00007196"/>
        <filter val="00007197"/>
        <filter val="00007198"/>
        <filter val="00007199"/>
        <filter val="00007200"/>
        <filter val="00007201"/>
        <filter val="00007202"/>
        <filter val="00007203"/>
        <filter val="00007204"/>
        <filter val="00007205"/>
        <filter val="00007206"/>
        <filter val="00007207"/>
        <filter val="00007208"/>
        <filter val="00007209"/>
        <filter val="00007210"/>
        <filter val="00007211"/>
        <filter val="00007212"/>
        <filter val="00007213"/>
        <filter val="00007214"/>
        <filter val="00007215"/>
        <filter val="00007216"/>
        <filter val="00007217"/>
        <filter val="00007218"/>
        <filter val="00007219"/>
        <filter val="00007220"/>
        <filter val="00007221"/>
        <filter val="00007222"/>
        <filter val="00007223"/>
        <filter val="00007224"/>
        <filter val="00007225"/>
        <filter val="00007226"/>
        <filter val="00007227"/>
        <filter val="00007228"/>
        <filter val="00007229"/>
        <filter val="00007230"/>
        <filter val="00007231"/>
        <filter val="00007232"/>
        <filter val="00007233"/>
        <filter val="00007234"/>
        <filter val="00007235"/>
        <filter val="00007236"/>
        <filter val="00007237"/>
        <filter val="00007238"/>
        <filter val="00007239"/>
        <filter val="00007240"/>
        <filter val="00007241"/>
        <filter val="00007242"/>
        <filter val="00007243"/>
        <filter val="00007244"/>
        <filter val="00007245"/>
        <filter val="00007246"/>
        <filter val="00007247"/>
        <filter val="00007248"/>
        <filter val="00007249"/>
        <filter val="00007250"/>
        <filter val="00007251"/>
        <filter val="00007252"/>
        <filter val="00007253"/>
        <filter val="00007254"/>
        <filter val="00007255"/>
        <filter val="00007256"/>
        <filter val="00007257"/>
        <filter val="00007258"/>
        <filter val="00007259"/>
        <filter val="00007260"/>
        <filter val="00007261"/>
        <filter val="00007262"/>
        <filter val="00007263"/>
        <filter val="00007264"/>
        <filter val="00007265"/>
        <filter val="00007266"/>
        <filter val="00007267"/>
        <filter val="00007268"/>
        <filter val="00007269"/>
        <filter val="00007270"/>
        <filter val="00007271"/>
        <filter val="00007272"/>
        <filter val="00007273"/>
        <filter val="00007274"/>
        <filter val="00007275"/>
        <filter val="00007276"/>
        <filter val="00007277"/>
        <filter val="00007278"/>
        <filter val="00007279"/>
        <filter val="00007280"/>
        <filter val="00007281"/>
        <filter val="00007282"/>
        <filter val="00007283"/>
        <filter val="00007284"/>
        <filter val="00007285"/>
        <filter val="00007286"/>
        <filter val="00007287"/>
        <filter val="00007288"/>
        <filter val="00007289"/>
        <filter val="00007290"/>
        <filter val="00007291"/>
        <filter val="00007292"/>
        <filter val="00007293"/>
        <filter val="00007294"/>
        <filter val="00007295"/>
        <filter val="00007296"/>
        <filter val="00007297"/>
        <filter val="00007298"/>
        <filter val="00007299"/>
        <filter val="00007300"/>
        <filter val="00007310"/>
        <filter val="00007311"/>
        <filter val="00007312"/>
        <filter val="00007313"/>
        <filter val="00007314"/>
        <filter val="00007315"/>
        <filter val="00007316"/>
        <filter val="00007317"/>
        <filter val="00007318"/>
        <filter val="00007319"/>
        <filter val="00007320"/>
        <filter val="00007321"/>
        <filter val="00007322"/>
        <filter val="00007323"/>
        <filter val="00007324"/>
        <filter val="00007325"/>
        <filter val="00007326"/>
        <filter val="00007327"/>
        <filter val="00007328"/>
        <filter val="00007329"/>
        <filter val="00007330"/>
        <filter val="00007331"/>
        <filter val="00007332"/>
        <filter val="00007333"/>
        <filter val="00007334"/>
        <filter val="00007335"/>
        <filter val="00007336"/>
        <filter val="00007337"/>
        <filter val="00007338"/>
        <filter val="00007339"/>
        <filter val="00007340"/>
        <filter val="00007341"/>
        <filter val="00007342"/>
        <filter val="00007343"/>
        <filter val="00007344"/>
        <filter val="00007345"/>
        <filter val="00007346"/>
        <filter val="00007347"/>
        <filter val="00007348"/>
        <filter val="00007349"/>
        <filter val="00007350"/>
        <filter val="00007351"/>
        <filter val="00007352"/>
        <filter val="00007353"/>
        <filter val="00007354"/>
        <filter val="00007355"/>
        <filter val="00007356"/>
        <filter val="00007357"/>
        <filter val="00007358"/>
        <filter val="00007359"/>
        <filter val="00007360"/>
        <filter val="00007361"/>
        <filter val="00007362"/>
        <filter val="00007363"/>
        <filter val="00007364"/>
        <filter val="00007365"/>
        <filter val="00007366"/>
        <filter val="00007367"/>
        <filter val="00007368"/>
        <filter val="00007369"/>
        <filter val="00007370"/>
        <filter val="00007371"/>
        <filter val="00007372"/>
        <filter val="00007373"/>
        <filter val="00007374"/>
        <filter val="00007375"/>
        <filter val="00007376"/>
        <filter val="00007377"/>
        <filter val="00007378"/>
        <filter val="00007379"/>
        <filter val="00007380"/>
        <filter val="00007381"/>
      </filters>
    </filterColumn>
  </autoFilter>
  <tableColumns count="12">
    <tableColumn id="1" xr3:uid="{00000000-0010-0000-4800-000001000000}" name="FECHA" totalsRowLabel="Total" dataDxfId="144" totalsRowDxfId="143" dataCellStyle="Normal 3"/>
    <tableColumn id="2" xr3:uid="{00000000-0010-0000-4800-000002000000}" name="TIPO" dataDxfId="142" totalsRowDxfId="141" dataCellStyle="Normal 3"/>
    <tableColumn id="3" xr3:uid="{00000000-0010-0000-4800-000003000000}" name="PTO VENTA" dataDxfId="140" totalsRowDxfId="139" dataCellStyle="Normal 3"/>
    <tableColumn id="4" xr3:uid="{00000000-0010-0000-4800-000004000000}" name="Nº FACTURA" dataDxfId="138" totalsRowDxfId="137" dataCellStyle="Normal 3"/>
    <tableColumn id="5" xr3:uid="{00000000-0010-0000-4800-000005000000}" name="CUIT" dataDxfId="136" totalsRowDxfId="135" dataCellStyle="Normal 3"/>
    <tableColumn id="6" xr3:uid="{00000000-0010-0000-4800-000006000000}" name="RAZON SOCIAL" dataDxfId="134" totalsRowDxfId="133" dataCellStyle="Normal 3">
      <calculatedColumnFormula>IFERROR(IF(ventas_b_mes12[[#This Row],[CUIT]]="","-",VLOOKUP(ventas_b_mes12[[#This Row],[CUIT]],Lista_CUIT[#All],2,0)),"CUIT NO CARGADO")</calculatedColumnFormula>
    </tableColumn>
    <tableColumn id="7" xr3:uid="{00000000-0010-0000-4800-000007000000}" name="IMPORTE NETO" totalsRowFunction="sum" dataDxfId="132" totalsRowDxfId="131" dataCellStyle="Normal 3"/>
    <tableColumn id="8" xr3:uid="{00000000-0010-0000-4800-000008000000}" name="IVA 21%" totalsRowFunction="sum" dataDxfId="130" totalsRowDxfId="129" dataCellStyle="Normal 3"/>
    <tableColumn id="9" xr3:uid="{00000000-0010-0000-4800-000009000000}" name="IVA 10,5%" totalsRowFunction="sum" dataDxfId="128" totalsRowDxfId="127" dataCellStyle="Normal 3"/>
    <tableColumn id="10" xr3:uid="{00000000-0010-0000-4800-00000A000000}" name="EXENTO" totalsRowFunction="sum" dataDxfId="126" totalsRowDxfId="125" dataCellStyle="Normal 3"/>
    <tableColumn id="11" xr3:uid="{00000000-0010-0000-4800-00000B000000}" name="TOTAL" totalsRowFunction="sum" dataDxfId="124" totalsRowDxfId="123" dataCellStyle="Normal 3"/>
    <tableColumn id="12" xr3:uid="{00000000-0010-0000-4800-00000C000000}" name="Provincia" totalsRowFunction="count" dataDxfId="122" totalsRowDxfId="121" dataCellStyle="Normal 3"/>
  </tableColumns>
  <tableStyleInfo name="Tabla Ventas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00000000-000C-0000-FFFF-FFFF49000000}" name="extracto_banco_mes12" displayName="extracto_banco_mes12" ref="D205:M215" totalsRowCount="1" headerRowDxfId="120" dataDxfId="119" tableBorderDxfId="118" dataCellStyle="Normal 3">
  <autoFilter ref="D205:M214" xr:uid="{00000000-0009-0000-0100-000049000000}"/>
  <tableColumns count="10">
    <tableColumn id="1" xr3:uid="{00000000-0010-0000-4900-000001000000}" name="FECHA" totalsRowLabel="Total" dataDxfId="117" totalsRowDxfId="116" dataCellStyle="Normal 3"/>
    <tableColumn id="2" xr3:uid="{00000000-0010-0000-4900-000002000000}" name="NRO CPTE" dataDxfId="115" totalsRowDxfId="114"/>
    <tableColumn id="3" xr3:uid="{00000000-0010-0000-4900-000003000000}" name="BANCO" dataDxfId="113" totalsRowDxfId="112"/>
    <tableColumn id="4" xr3:uid="{00000000-0010-0000-4900-000004000000}" name="NETO" totalsRowFunction="sum" dataDxfId="111" totalsRowDxfId="110" dataCellStyle="Normal 3"/>
    <tableColumn id="5" xr3:uid="{00000000-0010-0000-4900-000005000000}" name="IVA 21%" totalsRowFunction="sum" dataDxfId="109" totalsRowDxfId="108" dataCellStyle="Normal 3"/>
    <tableColumn id="6" xr3:uid="{00000000-0010-0000-4900-000006000000}" name="IVA 10,5%" totalsRowFunction="sum" dataDxfId="107" totalsRowDxfId="106" dataCellStyle="Normal 3"/>
    <tableColumn id="7" xr3:uid="{00000000-0010-0000-4900-000007000000}" name="RET IIBB CABA" totalsRowFunction="sum" dataDxfId="105" totalsRowDxfId="104" dataCellStyle="Normal 3"/>
    <tableColumn id="8" xr3:uid="{00000000-0010-0000-4900-000008000000}" name="PERC IVA" totalsRowFunction="sum" dataDxfId="103" totalsRowDxfId="102" dataCellStyle="Normal 3"/>
    <tableColumn id="9" xr3:uid="{00000000-0010-0000-4900-000009000000}" name="PERC IIBB" totalsRowFunction="sum" dataDxfId="101" totalsRowDxfId="100" dataCellStyle="Normal 3"/>
    <tableColumn id="10" xr3:uid="{A503D529-3158-4618-B197-AD3DD3DAEAE9}" name="OTROS" dataDxfId="99" totalsRowDxfId="98" dataCellStyle="Normal 3"/>
  </tableColumns>
  <tableStyleInfo name="Estilo de tabla 1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00000000-000C-0000-FFFF-FFFF4A000000}" name="Retenciones_mes12" displayName="Retenciones_mes12" ref="C278:L283" totalsRowShown="0" headerRowDxfId="97" dataDxfId="96" headerRowCellStyle="Normal 3" dataCellStyle="Normal 3">
  <autoFilter ref="C278:L283" xr:uid="{00000000-0009-0000-0100-00004A000000}"/>
  <tableColumns count="10">
    <tableColumn id="1" xr3:uid="{00000000-0010-0000-4A00-000001000000}" name="FECHA " dataDxfId="95" dataCellStyle="Normal 3"/>
    <tableColumn id="2" xr3:uid="{00000000-0010-0000-4A00-000002000000}" name="COMP Nº" dataDxfId="94" dataCellStyle="Normal 3"/>
    <tableColumn id="3" xr3:uid="{00000000-0010-0000-4A00-000003000000}" name="Columna1" dataDxfId="93" dataCellStyle="Normal 3"/>
    <tableColumn id="4" xr3:uid="{00000000-0010-0000-4A00-000004000000}" name="CUIT" dataDxfId="92" dataCellStyle="Normal 3"/>
    <tableColumn id="5" xr3:uid="{00000000-0010-0000-4A00-000005000000}" name="RAZON SOCIAL" dataDxfId="91" dataCellStyle="Normal 3">
      <calculatedColumnFormula>IFERROR(IF(Retenciones_mes12[[#This Row],[CUIT]]="","-",VLOOKUP(Retenciones_mes12[[#This Row],[CUIT]],Lista_CUIT[#All],2,0)),"CUIT NO CARGADO")</calculatedColumnFormula>
    </tableColumn>
    <tableColumn id="6" xr3:uid="{00000000-0010-0000-4A00-000006000000}" name="Ganancias" dataDxfId="90" dataCellStyle="Normal 3"/>
    <tableColumn id="7" xr3:uid="{00000000-0010-0000-4A00-000007000000}" name="IVA" dataDxfId="89" dataCellStyle="Normal 3"/>
    <tableColumn id="8" xr3:uid="{00000000-0010-0000-4A00-000008000000}" name="SUSS" dataDxfId="88" dataCellStyle="Normal 3"/>
    <tableColumn id="9" xr3:uid="{00000000-0010-0000-4A00-000009000000}" name="IIBB BSAS" dataDxfId="87" dataCellStyle="Normal 3"/>
    <tableColumn id="10" xr3:uid="{00000000-0010-0000-4A00-00000A000000}" name="IIBB CABA" dataDxfId="86" dataCellStyle="Normal 3"/>
  </tableColumns>
  <tableStyleInfo name="Estilo de tabla 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1.xml"/><Relationship Id="rId3" Type="http://schemas.openxmlformats.org/officeDocument/2006/relationships/table" Target="../tables/table16.xml"/><Relationship Id="rId7" Type="http://schemas.openxmlformats.org/officeDocument/2006/relationships/table" Target="../tables/table20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9.xml"/><Relationship Id="rId5" Type="http://schemas.openxmlformats.org/officeDocument/2006/relationships/table" Target="../tables/table18.xml"/><Relationship Id="rId4" Type="http://schemas.openxmlformats.org/officeDocument/2006/relationships/table" Target="../tables/table1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3.xml"/><Relationship Id="rId7" Type="http://schemas.openxmlformats.org/officeDocument/2006/relationships/table" Target="../tables/table27.xml"/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6.xml"/><Relationship Id="rId5" Type="http://schemas.openxmlformats.org/officeDocument/2006/relationships/table" Target="../tables/table25.xml"/><Relationship Id="rId4" Type="http://schemas.openxmlformats.org/officeDocument/2006/relationships/table" Target="../tables/table2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7" Type="http://schemas.openxmlformats.org/officeDocument/2006/relationships/table" Target="../tables/table33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2.xml"/><Relationship Id="rId5" Type="http://schemas.openxmlformats.org/officeDocument/2006/relationships/table" Target="../tables/table31.xml"/><Relationship Id="rId4" Type="http://schemas.openxmlformats.org/officeDocument/2006/relationships/table" Target="../tables/table30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0.xml"/><Relationship Id="rId3" Type="http://schemas.openxmlformats.org/officeDocument/2006/relationships/table" Target="../tables/table35.xml"/><Relationship Id="rId7" Type="http://schemas.openxmlformats.org/officeDocument/2006/relationships/table" Target="../tables/table39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38.xml"/><Relationship Id="rId5" Type="http://schemas.openxmlformats.org/officeDocument/2006/relationships/table" Target="../tables/table37.xml"/><Relationship Id="rId4" Type="http://schemas.openxmlformats.org/officeDocument/2006/relationships/table" Target="../tables/table3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5.xml"/><Relationship Id="rId5" Type="http://schemas.openxmlformats.org/officeDocument/2006/relationships/table" Target="../tables/table44.xml"/><Relationship Id="rId4" Type="http://schemas.openxmlformats.org/officeDocument/2006/relationships/table" Target="../tables/table43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7.xml"/><Relationship Id="rId7" Type="http://schemas.openxmlformats.org/officeDocument/2006/relationships/table" Target="../tables/table51.xml"/><Relationship Id="rId2" Type="http://schemas.openxmlformats.org/officeDocument/2006/relationships/table" Target="../tables/table46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0.xml"/><Relationship Id="rId5" Type="http://schemas.openxmlformats.org/officeDocument/2006/relationships/table" Target="../tables/table49.xml"/><Relationship Id="rId4" Type="http://schemas.openxmlformats.org/officeDocument/2006/relationships/table" Target="../tables/table4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3.xml"/><Relationship Id="rId7" Type="http://schemas.openxmlformats.org/officeDocument/2006/relationships/table" Target="../tables/table57.xml"/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6.xml"/><Relationship Id="rId5" Type="http://schemas.openxmlformats.org/officeDocument/2006/relationships/table" Target="../tables/table55.xml"/><Relationship Id="rId4" Type="http://schemas.openxmlformats.org/officeDocument/2006/relationships/table" Target="../tables/table5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7" Type="http://schemas.openxmlformats.org/officeDocument/2006/relationships/table" Target="../tables/table63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2.xml"/><Relationship Id="rId5" Type="http://schemas.openxmlformats.org/officeDocument/2006/relationships/table" Target="../tables/table61.xml"/><Relationship Id="rId4" Type="http://schemas.openxmlformats.org/officeDocument/2006/relationships/table" Target="../tables/table6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5.xml"/><Relationship Id="rId7" Type="http://schemas.openxmlformats.org/officeDocument/2006/relationships/table" Target="../tables/table69.xml"/><Relationship Id="rId2" Type="http://schemas.openxmlformats.org/officeDocument/2006/relationships/table" Target="../tables/table64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68.xml"/><Relationship Id="rId5" Type="http://schemas.openxmlformats.org/officeDocument/2006/relationships/table" Target="../tables/table67.xml"/><Relationship Id="rId4" Type="http://schemas.openxmlformats.org/officeDocument/2006/relationships/table" Target="../tables/table6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1.xml"/><Relationship Id="rId7" Type="http://schemas.openxmlformats.org/officeDocument/2006/relationships/table" Target="../tables/table75.xml"/><Relationship Id="rId2" Type="http://schemas.openxmlformats.org/officeDocument/2006/relationships/table" Target="../tables/table70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4.xml"/><Relationship Id="rId5" Type="http://schemas.openxmlformats.org/officeDocument/2006/relationships/table" Target="../tables/table73.xml"/><Relationship Id="rId4" Type="http://schemas.openxmlformats.org/officeDocument/2006/relationships/table" Target="../tables/table7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G3531"/>
  <sheetViews>
    <sheetView zoomScaleNormal="100" workbookViewId="0">
      <selection activeCell="C3532" sqref="C3532"/>
    </sheetView>
  </sheetViews>
  <sheetFormatPr baseColWidth="10" defaultRowHeight="15" x14ac:dyDescent="0.25"/>
  <cols>
    <col min="1" max="1" width="14.28515625" style="35" bestFit="1" customWidth="1"/>
    <col min="2" max="2" width="80.85546875" bestFit="1" customWidth="1"/>
    <col min="3" max="3" width="21.85546875" style="35" customWidth="1"/>
    <col min="4" max="4" width="15" bestFit="1" customWidth="1"/>
    <col min="6" max="6" width="31.28515625" customWidth="1"/>
    <col min="7" max="7" width="23.140625" customWidth="1"/>
  </cols>
  <sheetData>
    <row r="1" spans="1:7" x14ac:dyDescent="0.25">
      <c r="A1" s="35" t="s">
        <v>3</v>
      </c>
      <c r="B1" s="35" t="s">
        <v>4</v>
      </c>
      <c r="C1" s="35" t="s">
        <v>11</v>
      </c>
      <c r="D1" s="35" t="s">
        <v>32</v>
      </c>
    </row>
    <row r="2" spans="1:7" x14ac:dyDescent="0.25">
      <c r="A2" s="36">
        <v>34999032089</v>
      </c>
      <c r="B2" t="s">
        <v>1627</v>
      </c>
      <c r="C2" s="35" t="s">
        <v>2547</v>
      </c>
      <c r="G2" s="121" t="s">
        <v>83</v>
      </c>
    </row>
    <row r="3" spans="1:7" x14ac:dyDescent="0.25">
      <c r="A3" s="36">
        <v>30711509859</v>
      </c>
      <c r="B3" t="s">
        <v>2246</v>
      </c>
      <c r="C3" s="35" t="s">
        <v>2548</v>
      </c>
      <c r="G3" s="122" t="s">
        <v>80</v>
      </c>
    </row>
    <row r="4" spans="1:7" x14ac:dyDescent="0.25">
      <c r="A4" s="36">
        <v>27309896063</v>
      </c>
      <c r="B4" t="s">
        <v>1376</v>
      </c>
      <c r="C4" s="35" t="s">
        <v>87</v>
      </c>
      <c r="G4" s="121" t="s">
        <v>106</v>
      </c>
    </row>
    <row r="5" spans="1:7" x14ac:dyDescent="0.25">
      <c r="A5" s="36">
        <v>27309896063</v>
      </c>
      <c r="B5" t="s">
        <v>1376</v>
      </c>
      <c r="C5" s="35" t="s">
        <v>87</v>
      </c>
      <c r="G5" s="122" t="s">
        <v>84</v>
      </c>
    </row>
    <row r="6" spans="1:7" x14ac:dyDescent="0.25">
      <c r="A6" s="36">
        <v>20131206144</v>
      </c>
      <c r="B6" t="s">
        <v>1125</v>
      </c>
      <c r="C6" s="35" t="s">
        <v>87</v>
      </c>
      <c r="G6" s="121" t="s">
        <v>79</v>
      </c>
    </row>
    <row r="7" spans="1:7" x14ac:dyDescent="0.25">
      <c r="A7" s="36">
        <v>20131206144</v>
      </c>
      <c r="B7" t="s">
        <v>1125</v>
      </c>
      <c r="C7" s="35" t="s">
        <v>87</v>
      </c>
      <c r="G7" s="122" t="s">
        <v>107</v>
      </c>
    </row>
    <row r="8" spans="1:7" x14ac:dyDescent="0.25">
      <c r="A8" s="36">
        <v>20131206144</v>
      </c>
      <c r="B8" t="s">
        <v>1125</v>
      </c>
      <c r="C8" s="35" t="s">
        <v>87</v>
      </c>
      <c r="G8" s="121" t="s">
        <v>90</v>
      </c>
    </row>
    <row r="9" spans="1:7" x14ac:dyDescent="0.25">
      <c r="A9" s="36">
        <v>20131206144</v>
      </c>
      <c r="B9" t="s">
        <v>1125</v>
      </c>
      <c r="C9" s="35" t="s">
        <v>87</v>
      </c>
      <c r="G9" s="122" t="s">
        <v>78</v>
      </c>
    </row>
    <row r="10" spans="1:7" x14ac:dyDescent="0.25">
      <c r="A10" s="36">
        <v>30716010313</v>
      </c>
      <c r="B10" t="s">
        <v>1142</v>
      </c>
      <c r="C10" s="35" t="s">
        <v>87</v>
      </c>
      <c r="G10" s="121" t="s">
        <v>108</v>
      </c>
    </row>
    <row r="11" spans="1:7" x14ac:dyDescent="0.25">
      <c r="A11" s="36">
        <v>30647082293</v>
      </c>
      <c r="B11" t="s">
        <v>1567</v>
      </c>
      <c r="C11" s="35" t="s">
        <v>1568</v>
      </c>
      <c r="G11" s="122" t="s">
        <v>87</v>
      </c>
    </row>
    <row r="12" spans="1:7" x14ac:dyDescent="0.25">
      <c r="A12" s="36">
        <v>30516186670</v>
      </c>
      <c r="B12" t="s">
        <v>1171</v>
      </c>
      <c r="C12" s="35" t="s">
        <v>1568</v>
      </c>
      <c r="D12" t="s">
        <v>1752</v>
      </c>
      <c r="G12" s="121" t="s">
        <v>104</v>
      </c>
    </row>
    <row r="13" spans="1:7" x14ac:dyDescent="0.25">
      <c r="A13" s="36">
        <v>30643827197</v>
      </c>
      <c r="B13" t="s">
        <v>196</v>
      </c>
      <c r="C13" s="35" t="s">
        <v>1568</v>
      </c>
      <c r="G13" s="122" t="s">
        <v>109</v>
      </c>
    </row>
    <row r="14" spans="1:7" x14ac:dyDescent="0.25">
      <c r="A14" s="36">
        <v>30687310434</v>
      </c>
      <c r="B14" t="s">
        <v>1438</v>
      </c>
      <c r="C14" s="35" t="s">
        <v>1568</v>
      </c>
      <c r="G14" s="121" t="s">
        <v>110</v>
      </c>
    </row>
    <row r="15" spans="1:7" x14ac:dyDescent="0.25">
      <c r="A15" s="36">
        <v>30687310434</v>
      </c>
      <c r="B15" t="s">
        <v>1438</v>
      </c>
      <c r="C15" s="35" t="s">
        <v>1568</v>
      </c>
      <c r="G15" s="122" t="s">
        <v>85</v>
      </c>
    </row>
    <row r="16" spans="1:7" x14ac:dyDescent="0.25">
      <c r="A16" s="36">
        <v>30515800219</v>
      </c>
      <c r="B16" t="s">
        <v>1131</v>
      </c>
      <c r="C16" s="35" t="s">
        <v>1568</v>
      </c>
      <c r="D16" t="s">
        <v>1752</v>
      </c>
      <c r="G16" s="121" t="s">
        <v>82</v>
      </c>
    </row>
    <row r="17" spans="1:7" x14ac:dyDescent="0.25">
      <c r="A17" s="36">
        <v>33649669029</v>
      </c>
      <c r="B17" t="s">
        <v>267</v>
      </c>
      <c r="C17" s="35" t="s">
        <v>1568</v>
      </c>
      <c r="G17" s="122" t="s">
        <v>111</v>
      </c>
    </row>
    <row r="18" spans="1:7" x14ac:dyDescent="0.25">
      <c r="A18" s="36">
        <v>33649669029</v>
      </c>
      <c r="B18" t="s">
        <v>269</v>
      </c>
      <c r="C18" s="35" t="s">
        <v>1568</v>
      </c>
      <c r="G18" s="121" t="s">
        <v>81</v>
      </c>
    </row>
    <row r="19" spans="1:7" x14ac:dyDescent="0.25">
      <c r="A19" s="36">
        <v>20217165114</v>
      </c>
      <c r="B19" t="s">
        <v>429</v>
      </c>
      <c r="C19" s="35" t="s">
        <v>1568</v>
      </c>
      <c r="G19" s="122" t="s">
        <v>112</v>
      </c>
    </row>
    <row r="20" spans="1:7" x14ac:dyDescent="0.25">
      <c r="A20" s="36">
        <v>30685116657</v>
      </c>
      <c r="B20" t="s">
        <v>486</v>
      </c>
      <c r="C20" s="35" t="s">
        <v>1568</v>
      </c>
      <c r="G20" s="121" t="s">
        <v>86</v>
      </c>
    </row>
    <row r="21" spans="1:7" x14ac:dyDescent="0.25">
      <c r="A21" s="36">
        <v>33608724279</v>
      </c>
      <c r="B21" t="s">
        <v>520</v>
      </c>
      <c r="C21" s="35" t="s">
        <v>1568</v>
      </c>
      <c r="G21" s="122" t="s">
        <v>88</v>
      </c>
    </row>
    <row r="22" spans="1:7" x14ac:dyDescent="0.25">
      <c r="A22" s="36">
        <v>30707983732</v>
      </c>
      <c r="B22" t="s">
        <v>521</v>
      </c>
      <c r="C22" s="35" t="s">
        <v>1568</v>
      </c>
      <c r="G22" s="121" t="s">
        <v>113</v>
      </c>
    </row>
    <row r="23" spans="1:7" x14ac:dyDescent="0.25">
      <c r="A23" s="36">
        <v>30678774495</v>
      </c>
      <c r="B23" t="s">
        <v>95</v>
      </c>
      <c r="C23" s="35" t="s">
        <v>1568</v>
      </c>
    </row>
    <row r="24" spans="1:7" x14ac:dyDescent="0.25">
      <c r="A24" s="36">
        <v>30546995735</v>
      </c>
      <c r="B24" t="s">
        <v>1569</v>
      </c>
      <c r="C24" s="35" t="s">
        <v>1568</v>
      </c>
    </row>
    <row r="25" spans="1:7" x14ac:dyDescent="0.25">
      <c r="A25" s="36">
        <v>30695542476</v>
      </c>
      <c r="B25" t="s">
        <v>96</v>
      </c>
      <c r="C25" s="35" t="s">
        <v>1568</v>
      </c>
    </row>
    <row r="26" spans="1:7" x14ac:dyDescent="0.25">
      <c r="A26" s="36">
        <v>30707841105</v>
      </c>
      <c r="B26" t="s">
        <v>1147</v>
      </c>
      <c r="C26" s="35" t="s">
        <v>1568</v>
      </c>
    </row>
    <row r="27" spans="1:7" x14ac:dyDescent="0.25">
      <c r="A27" s="36">
        <v>30696131003</v>
      </c>
      <c r="B27" t="s">
        <v>1157</v>
      </c>
      <c r="C27" s="35" t="s">
        <v>1568</v>
      </c>
    </row>
    <row r="28" spans="1:7" x14ac:dyDescent="0.25">
      <c r="A28" s="36">
        <v>30574300858</v>
      </c>
      <c r="B28" t="s">
        <v>873</v>
      </c>
      <c r="C28" s="35" t="s">
        <v>1568</v>
      </c>
    </row>
    <row r="29" spans="1:7" x14ac:dyDescent="0.25">
      <c r="A29" s="36">
        <v>30574300858</v>
      </c>
      <c r="B29" t="s">
        <v>873</v>
      </c>
      <c r="C29" s="35" t="s">
        <v>1568</v>
      </c>
    </row>
    <row r="30" spans="1:7" x14ac:dyDescent="0.25">
      <c r="A30" s="36">
        <v>30517264160</v>
      </c>
      <c r="B30" t="s">
        <v>1012</v>
      </c>
      <c r="C30" s="35" t="s">
        <v>1568</v>
      </c>
    </row>
    <row r="31" spans="1:7" x14ac:dyDescent="0.25">
      <c r="A31" s="36">
        <v>30517264160</v>
      </c>
      <c r="B31" t="s">
        <v>1012</v>
      </c>
      <c r="C31" s="35" t="s">
        <v>1568</v>
      </c>
    </row>
    <row r="32" spans="1:7" x14ac:dyDescent="0.25">
      <c r="A32" s="36">
        <v>30546689979</v>
      </c>
      <c r="B32" t="s">
        <v>1114</v>
      </c>
      <c r="C32" s="35" t="s">
        <v>1568</v>
      </c>
    </row>
    <row r="33" spans="1:4" x14ac:dyDescent="0.25">
      <c r="A33" s="36">
        <v>30546689979</v>
      </c>
      <c r="B33" t="s">
        <v>1114</v>
      </c>
      <c r="C33" s="35" t="s">
        <v>1568</v>
      </c>
    </row>
    <row r="34" spans="1:4" x14ac:dyDescent="0.25">
      <c r="A34" s="36">
        <v>30708613335</v>
      </c>
      <c r="B34" t="s">
        <v>1580</v>
      </c>
      <c r="C34" s="35" t="s">
        <v>1568</v>
      </c>
    </row>
    <row r="35" spans="1:4" x14ac:dyDescent="0.25">
      <c r="A35" s="36">
        <v>30712450327</v>
      </c>
      <c r="B35" t="s">
        <v>1710</v>
      </c>
      <c r="C35" s="35" t="s">
        <v>1568</v>
      </c>
    </row>
    <row r="36" spans="1:4" x14ac:dyDescent="0.25">
      <c r="A36" s="36">
        <v>30708033932</v>
      </c>
      <c r="B36" t="s">
        <v>1713</v>
      </c>
      <c r="C36" s="35" t="s">
        <v>1568</v>
      </c>
    </row>
    <row r="37" spans="1:4" x14ac:dyDescent="0.25">
      <c r="A37" s="36">
        <v>30633647697</v>
      </c>
      <c r="B37" t="s">
        <v>1714</v>
      </c>
      <c r="C37" s="35" t="s">
        <v>1568</v>
      </c>
    </row>
    <row r="38" spans="1:4" x14ac:dyDescent="0.25">
      <c r="A38" s="36">
        <v>30699642777</v>
      </c>
      <c r="B38" t="s">
        <v>1716</v>
      </c>
      <c r="C38" s="35" t="s">
        <v>1568</v>
      </c>
    </row>
    <row r="39" spans="1:4" x14ac:dyDescent="0.25">
      <c r="A39" s="36">
        <v>30683553391</v>
      </c>
      <c r="B39" t="s">
        <v>1740</v>
      </c>
      <c r="C39" s="35" t="s">
        <v>1568</v>
      </c>
    </row>
    <row r="40" spans="1:4" x14ac:dyDescent="0.25">
      <c r="A40" s="36">
        <v>30703843618</v>
      </c>
      <c r="B40" t="s">
        <v>1755</v>
      </c>
      <c r="C40" s="35" t="s">
        <v>1568</v>
      </c>
      <c r="D40" t="s">
        <v>1754</v>
      </c>
    </row>
    <row r="41" spans="1:4" x14ac:dyDescent="0.25">
      <c r="A41" s="36">
        <v>30695443907</v>
      </c>
      <c r="B41" t="s">
        <v>1782</v>
      </c>
      <c r="C41" s="35" t="s">
        <v>1568</v>
      </c>
    </row>
    <row r="42" spans="1:4" x14ac:dyDescent="0.25">
      <c r="A42" s="36">
        <v>30653466931</v>
      </c>
      <c r="B42" t="s">
        <v>1783</v>
      </c>
      <c r="C42" s="35" t="s">
        <v>1568</v>
      </c>
    </row>
    <row r="43" spans="1:4" x14ac:dyDescent="0.25">
      <c r="A43" s="36">
        <v>30709394912</v>
      </c>
      <c r="B43" t="s">
        <v>1784</v>
      </c>
      <c r="C43" s="35" t="s">
        <v>1568</v>
      </c>
    </row>
    <row r="44" spans="1:4" x14ac:dyDescent="0.25">
      <c r="A44" s="36">
        <v>30715537512</v>
      </c>
      <c r="B44" t="s">
        <v>1828</v>
      </c>
      <c r="C44" s="35" t="s">
        <v>1568</v>
      </c>
    </row>
    <row r="45" spans="1:4" x14ac:dyDescent="0.25">
      <c r="A45" s="36">
        <v>30537781323</v>
      </c>
      <c r="B45" t="s">
        <v>1851</v>
      </c>
      <c r="C45" s="35" t="s">
        <v>1568</v>
      </c>
      <c r="D45" t="s">
        <v>1752</v>
      </c>
    </row>
    <row r="46" spans="1:4" x14ac:dyDescent="0.25">
      <c r="A46" s="36">
        <v>30662624736</v>
      </c>
      <c r="B46" t="s">
        <v>1852</v>
      </c>
      <c r="C46" s="35" t="s">
        <v>1568</v>
      </c>
      <c r="D46" t="s">
        <v>1754</v>
      </c>
    </row>
    <row r="47" spans="1:4" x14ac:dyDescent="0.25">
      <c r="A47" s="36">
        <v>30698813659</v>
      </c>
      <c r="B47" t="s">
        <v>1854</v>
      </c>
      <c r="C47" s="35" t="s">
        <v>1568</v>
      </c>
      <c r="D47" t="s">
        <v>1754</v>
      </c>
    </row>
    <row r="48" spans="1:4" x14ac:dyDescent="0.25">
      <c r="A48" s="36">
        <v>30701367193</v>
      </c>
      <c r="B48" t="s">
        <v>1855</v>
      </c>
      <c r="C48" s="35" t="s">
        <v>1568</v>
      </c>
      <c r="D48" t="s">
        <v>1856</v>
      </c>
    </row>
    <row r="49" spans="1:4" x14ac:dyDescent="0.25">
      <c r="A49" s="36">
        <v>30583747482</v>
      </c>
      <c r="B49" t="s">
        <v>1857</v>
      </c>
      <c r="C49" s="35" t="s">
        <v>1568</v>
      </c>
      <c r="D49" t="s">
        <v>1754</v>
      </c>
    </row>
    <row r="50" spans="1:4" x14ac:dyDescent="0.25">
      <c r="A50" s="36">
        <v>20130138005</v>
      </c>
      <c r="B50" t="s">
        <v>1858</v>
      </c>
      <c r="C50" s="35" t="s">
        <v>1568</v>
      </c>
      <c r="D50" t="s">
        <v>1752</v>
      </c>
    </row>
    <row r="51" spans="1:4" x14ac:dyDescent="0.25">
      <c r="A51" s="36">
        <v>30688774495</v>
      </c>
      <c r="B51" t="s">
        <v>1859</v>
      </c>
      <c r="C51" s="35" t="s">
        <v>1568</v>
      </c>
      <c r="D51" t="s">
        <v>1754</v>
      </c>
    </row>
    <row r="52" spans="1:4" x14ac:dyDescent="0.25">
      <c r="A52" s="36">
        <v>30711463514</v>
      </c>
      <c r="B52" t="s">
        <v>1880</v>
      </c>
      <c r="C52" s="35" t="s">
        <v>1568</v>
      </c>
    </row>
    <row r="53" spans="1:4" x14ac:dyDescent="0.25">
      <c r="A53" s="36">
        <v>30710128584</v>
      </c>
      <c r="B53" t="s">
        <v>1929</v>
      </c>
      <c r="C53" s="35" t="s">
        <v>1568</v>
      </c>
      <c r="D53" t="s">
        <v>1754</v>
      </c>
    </row>
    <row r="54" spans="1:4" x14ac:dyDescent="0.25">
      <c r="A54" s="36">
        <v>30671637689</v>
      </c>
      <c r="B54" t="s">
        <v>1932</v>
      </c>
      <c r="C54" s="35" t="s">
        <v>1568</v>
      </c>
    </row>
    <row r="55" spans="1:4" x14ac:dyDescent="0.25">
      <c r="A55" s="36">
        <v>30594832783</v>
      </c>
      <c r="B55" t="s">
        <v>1933</v>
      </c>
      <c r="C55" s="35" t="s">
        <v>1568</v>
      </c>
    </row>
    <row r="56" spans="1:4" x14ac:dyDescent="0.25">
      <c r="A56" s="36">
        <v>30714527300</v>
      </c>
      <c r="B56" t="s">
        <v>1937</v>
      </c>
      <c r="C56" s="35" t="s">
        <v>1568</v>
      </c>
    </row>
    <row r="57" spans="1:4" x14ac:dyDescent="0.25">
      <c r="A57" s="36">
        <v>30540960085</v>
      </c>
      <c r="B57" t="s">
        <v>2065</v>
      </c>
      <c r="C57" s="35" t="s">
        <v>1568</v>
      </c>
    </row>
    <row r="58" spans="1:4" x14ac:dyDescent="0.25">
      <c r="A58" s="36">
        <v>30568459500</v>
      </c>
      <c r="B58" t="s">
        <v>2069</v>
      </c>
      <c r="C58" s="35" t="s">
        <v>1568</v>
      </c>
      <c r="D58" t="s">
        <v>1752</v>
      </c>
    </row>
    <row r="59" spans="1:4" x14ac:dyDescent="0.25">
      <c r="A59" s="36">
        <v>30709474789</v>
      </c>
      <c r="B59" t="s">
        <v>2090</v>
      </c>
      <c r="C59" s="35" t="s">
        <v>1568</v>
      </c>
    </row>
    <row r="60" spans="1:4" x14ac:dyDescent="0.25">
      <c r="A60" s="36">
        <v>30707918302</v>
      </c>
      <c r="B60" t="s">
        <v>2091</v>
      </c>
      <c r="C60" s="35" t="s">
        <v>1568</v>
      </c>
    </row>
    <row r="61" spans="1:4" x14ac:dyDescent="0.25">
      <c r="A61" s="36">
        <v>30684988030</v>
      </c>
      <c r="B61" t="s">
        <v>2092</v>
      </c>
      <c r="C61" s="35" t="s">
        <v>1568</v>
      </c>
    </row>
    <row r="62" spans="1:4" x14ac:dyDescent="0.25">
      <c r="A62" s="36">
        <v>30597304281</v>
      </c>
      <c r="B62" t="s">
        <v>2093</v>
      </c>
      <c r="C62" s="35" t="s">
        <v>1568</v>
      </c>
    </row>
    <row r="63" spans="1:4" x14ac:dyDescent="0.25">
      <c r="A63" s="36">
        <v>30714391344</v>
      </c>
      <c r="B63" t="s">
        <v>2095</v>
      </c>
      <c r="C63" s="35" t="s">
        <v>1568</v>
      </c>
    </row>
    <row r="64" spans="1:4" x14ac:dyDescent="0.25">
      <c r="A64" s="36">
        <v>30716874601</v>
      </c>
      <c r="B64" t="s">
        <v>2096</v>
      </c>
      <c r="C64" s="35" t="s">
        <v>1568</v>
      </c>
    </row>
    <row r="65" spans="1:3" x14ac:dyDescent="0.25">
      <c r="A65" s="36">
        <v>30708046724</v>
      </c>
      <c r="B65" t="s">
        <v>2102</v>
      </c>
      <c r="C65" s="35" t="s">
        <v>1568</v>
      </c>
    </row>
    <row r="66" spans="1:3" x14ac:dyDescent="0.25">
      <c r="A66" s="36">
        <v>30708224142</v>
      </c>
      <c r="B66" t="s">
        <v>2220</v>
      </c>
      <c r="C66" s="35" t="s">
        <v>1568</v>
      </c>
    </row>
    <row r="67" spans="1:3" x14ac:dyDescent="0.25">
      <c r="A67" s="36">
        <v>30526874249</v>
      </c>
      <c r="B67" t="s">
        <v>1363</v>
      </c>
      <c r="C67" s="35" t="s">
        <v>2549</v>
      </c>
    </row>
    <row r="68" spans="1:3" x14ac:dyDescent="0.25">
      <c r="A68" s="36">
        <v>30526874249</v>
      </c>
      <c r="B68" t="s">
        <v>1363</v>
      </c>
      <c r="C68" s="35" t="s">
        <v>2549</v>
      </c>
    </row>
    <row r="69" spans="1:3" x14ac:dyDescent="0.25">
      <c r="A69" s="36">
        <v>30526874249</v>
      </c>
      <c r="B69" t="s">
        <v>1363</v>
      </c>
      <c r="C69" s="35" t="s">
        <v>2549</v>
      </c>
    </row>
    <row r="70" spans="1:3" x14ac:dyDescent="0.25">
      <c r="A70" s="36">
        <v>30526874249</v>
      </c>
      <c r="B70" t="s">
        <v>1363</v>
      </c>
      <c r="C70" s="35" t="s">
        <v>2549</v>
      </c>
    </row>
    <row r="71" spans="1:3" x14ac:dyDescent="0.25">
      <c r="A71" s="36">
        <v>30715946250</v>
      </c>
      <c r="B71" t="s">
        <v>1543</v>
      </c>
      <c r="C71" s="35" t="s">
        <v>2550</v>
      </c>
    </row>
    <row r="72" spans="1:3" x14ac:dyDescent="0.25">
      <c r="A72" s="36">
        <v>30661685731</v>
      </c>
      <c r="B72" t="s">
        <v>985</v>
      </c>
      <c r="C72" s="35" t="s">
        <v>2549</v>
      </c>
    </row>
    <row r="73" spans="1:3" x14ac:dyDescent="0.25">
      <c r="A73" s="36">
        <v>30661685731</v>
      </c>
      <c r="B73" t="s">
        <v>985</v>
      </c>
      <c r="C73" s="35" t="s">
        <v>2549</v>
      </c>
    </row>
    <row r="74" spans="1:3" x14ac:dyDescent="0.25">
      <c r="A74" s="36">
        <v>30707040900</v>
      </c>
      <c r="B74" t="s">
        <v>1730</v>
      </c>
      <c r="C74" s="35" t="s">
        <v>2549</v>
      </c>
    </row>
    <row r="75" spans="1:3" x14ac:dyDescent="0.25">
      <c r="A75" s="36">
        <v>27280785208</v>
      </c>
      <c r="B75" t="s">
        <v>2074</v>
      </c>
      <c r="C75" s="35" t="s">
        <v>2549</v>
      </c>
    </row>
    <row r="76" spans="1:3" x14ac:dyDescent="0.25">
      <c r="A76" s="36">
        <v>30696692951</v>
      </c>
      <c r="B76" t="s">
        <v>2081</v>
      </c>
      <c r="C76" s="35" t="s">
        <v>2549</v>
      </c>
    </row>
    <row r="77" spans="1:3" x14ac:dyDescent="0.25">
      <c r="A77" s="36">
        <v>30604942051</v>
      </c>
      <c r="B77" t="s">
        <v>2112</v>
      </c>
      <c r="C77" s="35" t="s">
        <v>2549</v>
      </c>
    </row>
    <row r="78" spans="1:3" x14ac:dyDescent="0.25">
      <c r="A78" s="36">
        <v>33708543409</v>
      </c>
      <c r="B78" t="s">
        <v>2117</v>
      </c>
      <c r="C78" s="35" t="s">
        <v>2549</v>
      </c>
    </row>
    <row r="79" spans="1:3" x14ac:dyDescent="0.25">
      <c r="A79" s="36">
        <v>30715393251</v>
      </c>
      <c r="B79" t="s">
        <v>2126</v>
      </c>
      <c r="C79" s="35" t="s">
        <v>2549</v>
      </c>
    </row>
    <row r="80" spans="1:3" x14ac:dyDescent="0.25">
      <c r="A80" s="36">
        <v>30717970787</v>
      </c>
      <c r="B80" t="s">
        <v>2165</v>
      </c>
      <c r="C80" s="35" t="s">
        <v>2549</v>
      </c>
    </row>
    <row r="81" spans="1:3" x14ac:dyDescent="0.25">
      <c r="A81" s="36">
        <v>30716371170</v>
      </c>
      <c r="B81" t="s">
        <v>2194</v>
      </c>
      <c r="C81" s="35" t="s">
        <v>2549</v>
      </c>
    </row>
    <row r="82" spans="1:3" x14ac:dyDescent="0.25">
      <c r="A82" s="36">
        <v>20303259164</v>
      </c>
      <c r="B82" t="s">
        <v>2195</v>
      </c>
      <c r="C82" s="35" t="s">
        <v>2549</v>
      </c>
    </row>
    <row r="83" spans="1:3" x14ac:dyDescent="0.25">
      <c r="A83" s="36">
        <v>30717273520</v>
      </c>
      <c r="B83" t="s">
        <v>2203</v>
      </c>
      <c r="C83" s="35" t="s">
        <v>2549</v>
      </c>
    </row>
    <row r="84" spans="1:3" x14ac:dyDescent="0.25">
      <c r="A84" s="36">
        <v>30716984164</v>
      </c>
      <c r="B84" t="s">
        <v>2204</v>
      </c>
      <c r="C84" s="35" t="s">
        <v>2549</v>
      </c>
    </row>
    <row r="85" spans="1:3" x14ac:dyDescent="0.25">
      <c r="A85" s="36">
        <v>30687059812</v>
      </c>
      <c r="B85" t="s">
        <v>2206</v>
      </c>
      <c r="C85" s="35" t="s">
        <v>2549</v>
      </c>
    </row>
    <row r="86" spans="1:3" x14ac:dyDescent="0.25">
      <c r="A86" s="36">
        <v>30714874981</v>
      </c>
      <c r="B86" t="s">
        <v>2289</v>
      </c>
      <c r="C86" s="35" t="s">
        <v>2549</v>
      </c>
    </row>
    <row r="87" spans="1:3" x14ac:dyDescent="0.25">
      <c r="A87" s="36">
        <v>20316749942</v>
      </c>
      <c r="B87" t="s">
        <v>2300</v>
      </c>
      <c r="C87" s="35" t="s">
        <v>2549</v>
      </c>
    </row>
    <row r="88" spans="1:3" x14ac:dyDescent="0.25">
      <c r="A88" s="36">
        <v>27333417400</v>
      </c>
      <c r="B88" t="s">
        <v>2306</v>
      </c>
      <c r="C88" s="35" t="s">
        <v>2549</v>
      </c>
    </row>
    <row r="89" spans="1:3" x14ac:dyDescent="0.25">
      <c r="A89" s="36">
        <v>30715693123</v>
      </c>
      <c r="B89" t="s">
        <v>1930</v>
      </c>
      <c r="C89" s="35" t="s">
        <v>1931</v>
      </c>
    </row>
    <row r="90" spans="1:3" x14ac:dyDescent="0.25">
      <c r="A90" s="36">
        <v>30544110035</v>
      </c>
      <c r="B90" t="s">
        <v>1444</v>
      </c>
      <c r="C90" s="35" t="s">
        <v>2551</v>
      </c>
    </row>
    <row r="91" spans="1:3" x14ac:dyDescent="0.25">
      <c r="A91" s="36">
        <v>30544110035</v>
      </c>
      <c r="B91" t="s">
        <v>1444</v>
      </c>
      <c r="C91" s="35" t="s">
        <v>2551</v>
      </c>
    </row>
    <row r="92" spans="1:3" x14ac:dyDescent="0.25">
      <c r="A92" s="36">
        <v>30711731217</v>
      </c>
      <c r="B92" t="s">
        <v>440</v>
      </c>
      <c r="C92" s="35" t="s">
        <v>2551</v>
      </c>
    </row>
    <row r="93" spans="1:3" x14ac:dyDescent="0.25">
      <c r="A93" s="36">
        <v>30707215689</v>
      </c>
      <c r="B93" t="s">
        <v>567</v>
      </c>
      <c r="C93" s="35" t="s">
        <v>2551</v>
      </c>
    </row>
    <row r="94" spans="1:3" x14ac:dyDescent="0.25">
      <c r="A94" s="36">
        <v>30686978350</v>
      </c>
      <c r="B94" t="s">
        <v>1393</v>
      </c>
      <c r="C94" s="35" t="s">
        <v>2551</v>
      </c>
    </row>
    <row r="95" spans="1:3" x14ac:dyDescent="0.25">
      <c r="A95" s="36">
        <v>30686978350</v>
      </c>
      <c r="B95" t="s">
        <v>1393</v>
      </c>
      <c r="C95" s="35" t="s">
        <v>2551</v>
      </c>
    </row>
    <row r="96" spans="1:3" x14ac:dyDescent="0.25">
      <c r="A96" s="36">
        <v>30683612916</v>
      </c>
      <c r="B96" t="s">
        <v>1002</v>
      </c>
      <c r="C96" s="35" t="s">
        <v>2551</v>
      </c>
    </row>
    <row r="97" spans="1:3" x14ac:dyDescent="0.25">
      <c r="A97" s="36">
        <v>30683612916</v>
      </c>
      <c r="B97" t="s">
        <v>1002</v>
      </c>
      <c r="C97" s="35" t="s">
        <v>2551</v>
      </c>
    </row>
    <row r="98" spans="1:3" x14ac:dyDescent="0.25">
      <c r="A98" s="36">
        <v>20141513177</v>
      </c>
      <c r="B98" t="s">
        <v>1008</v>
      </c>
      <c r="C98" s="35" t="s">
        <v>2551</v>
      </c>
    </row>
    <row r="99" spans="1:3" x14ac:dyDescent="0.25">
      <c r="A99" s="36">
        <v>20141513177</v>
      </c>
      <c r="B99" t="s">
        <v>1008</v>
      </c>
      <c r="C99" s="35" t="s">
        <v>2551</v>
      </c>
    </row>
    <row r="100" spans="1:3" x14ac:dyDescent="0.25">
      <c r="A100" s="36">
        <v>30643922157</v>
      </c>
      <c r="B100" t="s">
        <v>1067</v>
      </c>
      <c r="C100" s="35" t="s">
        <v>2551</v>
      </c>
    </row>
    <row r="101" spans="1:3" x14ac:dyDescent="0.25">
      <c r="A101" s="36">
        <v>30643922157</v>
      </c>
      <c r="B101" t="s">
        <v>1067</v>
      </c>
      <c r="C101" s="35" t="s">
        <v>2551</v>
      </c>
    </row>
    <row r="102" spans="1:3" x14ac:dyDescent="0.25">
      <c r="A102" s="36">
        <v>33711043069</v>
      </c>
      <c r="B102" t="s">
        <v>1068</v>
      </c>
      <c r="C102" s="35" t="s">
        <v>2551</v>
      </c>
    </row>
    <row r="103" spans="1:3" x14ac:dyDescent="0.25">
      <c r="A103" s="36">
        <v>33711043069</v>
      </c>
      <c r="B103" t="s">
        <v>1068</v>
      </c>
      <c r="C103" s="35" t="s">
        <v>2551</v>
      </c>
    </row>
    <row r="104" spans="1:3" x14ac:dyDescent="0.25">
      <c r="A104" s="36">
        <v>33699685459</v>
      </c>
      <c r="B104" t="s">
        <v>1712</v>
      </c>
      <c r="C104" s="35" t="s">
        <v>2551</v>
      </c>
    </row>
    <row r="105" spans="1:3" x14ac:dyDescent="0.25">
      <c r="A105" s="36">
        <v>30506726669</v>
      </c>
      <c r="B105" t="s">
        <v>1969</v>
      </c>
      <c r="C105" s="35" t="s">
        <v>2551</v>
      </c>
    </row>
    <row r="106" spans="1:3" x14ac:dyDescent="0.25">
      <c r="A106" s="36">
        <v>30716715716</v>
      </c>
      <c r="B106" t="s">
        <v>2008</v>
      </c>
      <c r="C106" s="35" t="s">
        <v>2551</v>
      </c>
    </row>
    <row r="107" spans="1:3" x14ac:dyDescent="0.25">
      <c r="A107" s="36">
        <v>27326105177</v>
      </c>
      <c r="B107" t="s">
        <v>2158</v>
      </c>
      <c r="C107" s="35" t="s">
        <v>2551</v>
      </c>
    </row>
    <row r="108" spans="1:3" x14ac:dyDescent="0.25">
      <c r="A108" s="36">
        <v>30698011145</v>
      </c>
      <c r="B108" t="s">
        <v>2169</v>
      </c>
      <c r="C108" s="35" t="s">
        <v>2551</v>
      </c>
    </row>
    <row r="109" spans="1:3" x14ac:dyDescent="0.25">
      <c r="A109" s="36">
        <v>20269497417</v>
      </c>
      <c r="B109" t="s">
        <v>2177</v>
      </c>
      <c r="C109" s="35" t="s">
        <v>2551</v>
      </c>
    </row>
    <row r="110" spans="1:3" x14ac:dyDescent="0.25">
      <c r="A110" s="36">
        <v>30710102046</v>
      </c>
      <c r="B110" t="s">
        <v>2190</v>
      </c>
      <c r="C110" s="35" t="s">
        <v>2551</v>
      </c>
    </row>
    <row r="111" spans="1:3" x14ac:dyDescent="0.25">
      <c r="A111" s="36">
        <v>30556565798</v>
      </c>
      <c r="B111" t="s">
        <v>2237</v>
      </c>
      <c r="C111" s="35" t="s">
        <v>2551</v>
      </c>
    </row>
    <row r="112" spans="1:3" x14ac:dyDescent="0.25">
      <c r="A112" s="36">
        <v>30710144962</v>
      </c>
      <c r="B112" t="s">
        <v>2264</v>
      </c>
      <c r="C112" s="35" t="s">
        <v>2551</v>
      </c>
    </row>
    <row r="113" spans="1:4" x14ac:dyDescent="0.25">
      <c r="A113" s="36">
        <v>30711439311</v>
      </c>
      <c r="B113" t="s">
        <v>1534</v>
      </c>
      <c r="C113" s="35" t="s">
        <v>1850</v>
      </c>
    </row>
    <row r="114" spans="1:4" x14ac:dyDescent="0.25">
      <c r="A114" s="36">
        <v>20338956496</v>
      </c>
      <c r="B114" t="s">
        <v>1724</v>
      </c>
      <c r="C114" s="35" t="s">
        <v>2552</v>
      </c>
    </row>
    <row r="115" spans="1:4" x14ac:dyDescent="0.25">
      <c r="A115" s="36">
        <v>30711050767</v>
      </c>
      <c r="B115" t="s">
        <v>1726</v>
      </c>
      <c r="C115" s="35" t="s">
        <v>2552</v>
      </c>
    </row>
    <row r="116" spans="1:4" x14ac:dyDescent="0.25">
      <c r="A116" s="36">
        <v>30620177497</v>
      </c>
      <c r="B116" t="s">
        <v>695</v>
      </c>
      <c r="C116" s="35" t="s">
        <v>2551</v>
      </c>
    </row>
    <row r="117" spans="1:4" x14ac:dyDescent="0.25">
      <c r="A117" s="36">
        <v>20383353263</v>
      </c>
      <c r="B117" t="s">
        <v>1997</v>
      </c>
      <c r="C117" s="35" t="s">
        <v>2551</v>
      </c>
    </row>
    <row r="118" spans="1:4" x14ac:dyDescent="0.25">
      <c r="A118" s="36">
        <v>33709585229</v>
      </c>
      <c r="B118" t="s">
        <v>2087</v>
      </c>
      <c r="C118" s="35" t="s">
        <v>2551</v>
      </c>
    </row>
    <row r="119" spans="1:4" x14ac:dyDescent="0.25">
      <c r="A119" s="36">
        <v>30716620634</v>
      </c>
      <c r="B119" t="s">
        <v>2098</v>
      </c>
      <c r="C119" s="35" t="s">
        <v>2551</v>
      </c>
    </row>
    <row r="120" spans="1:4" x14ac:dyDescent="0.25">
      <c r="A120" s="36">
        <v>27292471993</v>
      </c>
      <c r="B120" t="s">
        <v>2279</v>
      </c>
      <c r="C120" s="35" t="s">
        <v>2551</v>
      </c>
    </row>
    <row r="121" spans="1:4" x14ac:dyDescent="0.25">
      <c r="A121" s="36">
        <v>30715889486</v>
      </c>
      <c r="B121" t="s">
        <v>1136</v>
      </c>
      <c r="C121" s="35" t="s">
        <v>2553</v>
      </c>
      <c r="D121" t="s">
        <v>1754</v>
      </c>
    </row>
    <row r="122" spans="1:4" x14ac:dyDescent="0.25">
      <c r="A122" s="36">
        <v>30715186256</v>
      </c>
      <c r="B122" t="s">
        <v>2007</v>
      </c>
      <c r="C122" s="35" t="s">
        <v>2553</v>
      </c>
    </row>
    <row r="123" spans="1:4" x14ac:dyDescent="0.25">
      <c r="A123" s="36">
        <v>30614617388</v>
      </c>
      <c r="B123" t="s">
        <v>2122</v>
      </c>
      <c r="C123" s="35" t="s">
        <v>2553</v>
      </c>
    </row>
    <row r="124" spans="1:4" x14ac:dyDescent="0.25">
      <c r="A124" s="36">
        <v>30695056342</v>
      </c>
      <c r="B124" t="s">
        <v>2146</v>
      </c>
      <c r="C124" s="35" t="s">
        <v>2554</v>
      </c>
    </row>
    <row r="125" spans="1:4" x14ac:dyDescent="0.25">
      <c r="A125" s="36">
        <v>30707391983</v>
      </c>
      <c r="B125" t="s">
        <v>1159</v>
      </c>
      <c r="C125" s="35" t="s">
        <v>2549</v>
      </c>
    </row>
    <row r="126" spans="1:4" x14ac:dyDescent="0.25">
      <c r="A126" s="36">
        <v>30707391983</v>
      </c>
      <c r="B126" t="s">
        <v>1159</v>
      </c>
      <c r="C126" s="35" t="s">
        <v>2549</v>
      </c>
    </row>
    <row r="127" spans="1:4" x14ac:dyDescent="0.25">
      <c r="A127" s="36">
        <v>33714232199</v>
      </c>
      <c r="B127" t="s">
        <v>1374</v>
      </c>
      <c r="C127" s="35" t="s">
        <v>2549</v>
      </c>
    </row>
    <row r="128" spans="1:4" x14ac:dyDescent="0.25">
      <c r="A128" s="36">
        <v>33714232199</v>
      </c>
      <c r="B128" t="s">
        <v>1374</v>
      </c>
      <c r="C128" s="35" t="s">
        <v>2549</v>
      </c>
    </row>
    <row r="129" spans="1:3" x14ac:dyDescent="0.25">
      <c r="A129" s="36">
        <v>33677414419</v>
      </c>
      <c r="B129" t="s">
        <v>2056</v>
      </c>
      <c r="C129" s="35" t="s">
        <v>2549</v>
      </c>
    </row>
    <row r="130" spans="1:3" x14ac:dyDescent="0.25">
      <c r="A130" s="36">
        <v>20204428566</v>
      </c>
      <c r="B130" t="s">
        <v>2057</v>
      </c>
      <c r="C130" s="35" t="s">
        <v>2549</v>
      </c>
    </row>
    <row r="131" spans="1:3" x14ac:dyDescent="0.25">
      <c r="A131" s="36">
        <v>33708711999</v>
      </c>
      <c r="B131" t="s">
        <v>2059</v>
      </c>
      <c r="C131" s="35" t="s">
        <v>2549</v>
      </c>
    </row>
    <row r="132" spans="1:3" x14ac:dyDescent="0.25">
      <c r="A132" s="36">
        <v>27178797935</v>
      </c>
      <c r="B132" t="s">
        <v>2061</v>
      </c>
      <c r="C132" s="35" t="s">
        <v>2549</v>
      </c>
    </row>
    <row r="133" spans="1:3" x14ac:dyDescent="0.25">
      <c r="A133" s="36">
        <v>30708349646</v>
      </c>
      <c r="B133" t="s">
        <v>2072</v>
      </c>
      <c r="C133" s="35" t="s">
        <v>2549</v>
      </c>
    </row>
    <row r="134" spans="1:3" x14ac:dyDescent="0.25">
      <c r="A134" s="36">
        <v>30715124919</v>
      </c>
      <c r="B134" t="s">
        <v>1425</v>
      </c>
      <c r="C134" s="35" t="s">
        <v>2555</v>
      </c>
    </row>
    <row r="135" spans="1:3" x14ac:dyDescent="0.25">
      <c r="A135" s="36">
        <v>30715124919</v>
      </c>
      <c r="B135" t="s">
        <v>1425</v>
      </c>
      <c r="C135" s="35" t="s">
        <v>2555</v>
      </c>
    </row>
    <row r="136" spans="1:3" x14ac:dyDescent="0.25">
      <c r="A136" s="36">
        <v>30577207190</v>
      </c>
      <c r="B136" t="s">
        <v>1396</v>
      </c>
      <c r="C136" s="35" t="s">
        <v>2555</v>
      </c>
    </row>
    <row r="137" spans="1:3" x14ac:dyDescent="0.25">
      <c r="A137" s="36">
        <v>30710819552</v>
      </c>
      <c r="B137" t="s">
        <v>2556</v>
      </c>
      <c r="C137" s="35" t="s">
        <v>2555</v>
      </c>
    </row>
    <row r="138" spans="1:3" x14ac:dyDescent="0.25">
      <c r="A138" s="36">
        <v>30710819552</v>
      </c>
      <c r="B138" t="s">
        <v>2556</v>
      </c>
      <c r="C138" s="35" t="s">
        <v>2555</v>
      </c>
    </row>
    <row r="139" spans="1:3" x14ac:dyDescent="0.25">
      <c r="A139" s="36">
        <v>20357275882</v>
      </c>
      <c r="B139" t="s">
        <v>2019</v>
      </c>
      <c r="C139" s="35" t="s">
        <v>2555</v>
      </c>
    </row>
    <row r="140" spans="1:3" x14ac:dyDescent="0.25">
      <c r="A140" s="36">
        <v>20270614311</v>
      </c>
      <c r="B140" t="s">
        <v>2038</v>
      </c>
      <c r="C140" s="35" t="s">
        <v>2555</v>
      </c>
    </row>
    <row r="141" spans="1:3" x14ac:dyDescent="0.25">
      <c r="A141" s="36">
        <v>20308960782</v>
      </c>
      <c r="B141" t="s">
        <v>2040</v>
      </c>
      <c r="C141" s="35" t="s">
        <v>2555</v>
      </c>
    </row>
    <row r="142" spans="1:3" x14ac:dyDescent="0.25">
      <c r="A142" s="36">
        <v>30714910694</v>
      </c>
      <c r="B142" t="s">
        <v>2064</v>
      </c>
      <c r="C142" s="35" t="s">
        <v>2555</v>
      </c>
    </row>
    <row r="143" spans="1:3" x14ac:dyDescent="0.25">
      <c r="A143" s="36">
        <v>30709531960</v>
      </c>
      <c r="B143" t="s">
        <v>2147</v>
      </c>
      <c r="C143" s="35" t="s">
        <v>2555</v>
      </c>
    </row>
    <row r="144" spans="1:3" x14ac:dyDescent="0.25">
      <c r="A144" s="36">
        <v>20341501009</v>
      </c>
      <c r="B144" t="s">
        <v>2171</v>
      </c>
      <c r="C144" s="35" t="s">
        <v>2555</v>
      </c>
    </row>
    <row r="145" spans="1:3" x14ac:dyDescent="0.25">
      <c r="A145" s="36">
        <v>23045562379</v>
      </c>
      <c r="B145" t="s">
        <v>2174</v>
      </c>
      <c r="C145" s="35" t="s">
        <v>2555</v>
      </c>
    </row>
    <row r="146" spans="1:3" x14ac:dyDescent="0.25">
      <c r="A146" s="36">
        <v>27324789044</v>
      </c>
      <c r="B146" t="s">
        <v>2193</v>
      </c>
      <c r="C146" s="35" t="s">
        <v>2555</v>
      </c>
    </row>
    <row r="147" spans="1:3" x14ac:dyDescent="0.25">
      <c r="A147" s="36">
        <v>33714351309</v>
      </c>
      <c r="B147" t="s">
        <v>2228</v>
      </c>
      <c r="C147" s="35" t="s">
        <v>2555</v>
      </c>
    </row>
    <row r="148" spans="1:3" x14ac:dyDescent="0.25">
      <c r="A148" s="36">
        <v>20139147724</v>
      </c>
      <c r="B148" t="s">
        <v>2251</v>
      </c>
      <c r="C148" s="35" t="s">
        <v>2555</v>
      </c>
    </row>
    <row r="149" spans="1:3" x14ac:dyDescent="0.25">
      <c r="A149" s="36">
        <v>30709773522</v>
      </c>
      <c r="B149" t="s">
        <v>2253</v>
      </c>
      <c r="C149" s="35" t="s">
        <v>2555</v>
      </c>
    </row>
    <row r="150" spans="1:3" x14ac:dyDescent="0.25">
      <c r="A150" s="36">
        <v>27164541202</v>
      </c>
      <c r="B150" t="s">
        <v>2271</v>
      </c>
      <c r="C150" s="35" t="s">
        <v>2555</v>
      </c>
    </row>
    <row r="151" spans="1:3" x14ac:dyDescent="0.25">
      <c r="A151" s="36">
        <v>30711756406</v>
      </c>
      <c r="B151" t="s">
        <v>2273</v>
      </c>
      <c r="C151" s="35" t="s">
        <v>2555</v>
      </c>
    </row>
    <row r="152" spans="1:3" x14ac:dyDescent="0.25">
      <c r="A152" s="36">
        <v>30709953482</v>
      </c>
      <c r="B152" t="s">
        <v>2275</v>
      </c>
      <c r="C152" s="35" t="s">
        <v>2555</v>
      </c>
    </row>
    <row r="153" spans="1:3" x14ac:dyDescent="0.25">
      <c r="A153" s="36">
        <v>27333350403</v>
      </c>
      <c r="B153" t="s">
        <v>2282</v>
      </c>
      <c r="C153" s="35" t="s">
        <v>2555</v>
      </c>
    </row>
    <row r="154" spans="1:3" x14ac:dyDescent="0.25">
      <c r="A154" s="36">
        <v>23147726619</v>
      </c>
      <c r="B154" t="s">
        <v>2297</v>
      </c>
      <c r="C154" s="35" t="s">
        <v>2555</v>
      </c>
    </row>
    <row r="155" spans="1:3" x14ac:dyDescent="0.25">
      <c r="A155" s="36">
        <v>30717403866</v>
      </c>
      <c r="B155" t="s">
        <v>2303</v>
      </c>
      <c r="C155" s="35" t="s">
        <v>2555</v>
      </c>
    </row>
    <row r="156" spans="1:3" x14ac:dyDescent="0.25">
      <c r="A156" s="36">
        <v>30710796838</v>
      </c>
      <c r="B156" t="s">
        <v>2307</v>
      </c>
      <c r="C156" s="35" t="s">
        <v>2555</v>
      </c>
    </row>
    <row r="157" spans="1:3" x14ac:dyDescent="0.25">
      <c r="A157" s="36">
        <v>27203200523</v>
      </c>
      <c r="B157" t="s">
        <v>2359</v>
      </c>
      <c r="C157" s="35" t="s">
        <v>2555</v>
      </c>
    </row>
    <row r="158" spans="1:3" x14ac:dyDescent="0.25">
      <c r="A158" s="36">
        <v>21779325</v>
      </c>
      <c r="B158" t="s">
        <v>120</v>
      </c>
      <c r="C158" s="35" t="s">
        <v>78</v>
      </c>
    </row>
    <row r="159" spans="1:3" x14ac:dyDescent="0.25">
      <c r="A159" s="36">
        <v>23940960509</v>
      </c>
      <c r="B159" t="s">
        <v>190</v>
      </c>
      <c r="C159" s="35" t="s">
        <v>78</v>
      </c>
    </row>
    <row r="160" spans="1:3" x14ac:dyDescent="0.25">
      <c r="A160" s="36">
        <v>33714935009</v>
      </c>
      <c r="B160" t="s">
        <v>208</v>
      </c>
      <c r="C160" s="35" t="s">
        <v>78</v>
      </c>
    </row>
    <row r="161" spans="1:3" x14ac:dyDescent="0.25">
      <c r="A161" s="36">
        <v>30517306866</v>
      </c>
      <c r="B161" t="s">
        <v>475</v>
      </c>
      <c r="C161" s="35" t="s">
        <v>78</v>
      </c>
    </row>
    <row r="162" spans="1:3" x14ac:dyDescent="0.25">
      <c r="A162" s="36">
        <v>20113715538</v>
      </c>
      <c r="B162" t="s">
        <v>1134</v>
      </c>
      <c r="C162" s="35" t="s">
        <v>78</v>
      </c>
    </row>
    <row r="163" spans="1:3" x14ac:dyDescent="0.25">
      <c r="A163" s="36">
        <v>20113715538</v>
      </c>
      <c r="B163" t="s">
        <v>1134</v>
      </c>
      <c r="C163" s="35" t="s">
        <v>78</v>
      </c>
    </row>
    <row r="164" spans="1:3" x14ac:dyDescent="0.25">
      <c r="A164" s="36">
        <v>30714654701</v>
      </c>
      <c r="B164" t="s">
        <v>794</v>
      </c>
      <c r="C164" s="35" t="s">
        <v>78</v>
      </c>
    </row>
    <row r="165" spans="1:3" x14ac:dyDescent="0.25">
      <c r="A165" s="36">
        <v>30645922715</v>
      </c>
      <c r="B165" t="s">
        <v>825</v>
      </c>
      <c r="C165" s="35" t="s">
        <v>78</v>
      </c>
    </row>
    <row r="166" spans="1:3" x14ac:dyDescent="0.25">
      <c r="A166" s="36">
        <v>30710114176</v>
      </c>
      <c r="B166" t="s">
        <v>939</v>
      </c>
      <c r="C166" s="35" t="s">
        <v>78</v>
      </c>
    </row>
    <row r="167" spans="1:3" x14ac:dyDescent="0.25">
      <c r="A167" s="36">
        <v>30710114176</v>
      </c>
      <c r="B167" t="s">
        <v>939</v>
      </c>
      <c r="C167" s="35" t="s">
        <v>78</v>
      </c>
    </row>
    <row r="168" spans="1:3" x14ac:dyDescent="0.25">
      <c r="A168" s="36">
        <v>30708447036</v>
      </c>
      <c r="B168" t="s">
        <v>959</v>
      </c>
      <c r="C168" s="35" t="s">
        <v>78</v>
      </c>
    </row>
    <row r="169" spans="1:3" x14ac:dyDescent="0.25">
      <c r="A169" s="36">
        <v>30708447036</v>
      </c>
      <c r="B169" t="s">
        <v>959</v>
      </c>
      <c r="C169" s="35" t="s">
        <v>78</v>
      </c>
    </row>
    <row r="170" spans="1:3" x14ac:dyDescent="0.25">
      <c r="A170" s="36">
        <v>30715689045</v>
      </c>
      <c r="B170" t="s">
        <v>1022</v>
      </c>
      <c r="C170" s="35" t="s">
        <v>78</v>
      </c>
    </row>
    <row r="171" spans="1:3" x14ac:dyDescent="0.25">
      <c r="A171" s="36">
        <v>30715689045</v>
      </c>
      <c r="B171" t="s">
        <v>1022</v>
      </c>
      <c r="C171" s="35" t="s">
        <v>78</v>
      </c>
    </row>
    <row r="172" spans="1:3" x14ac:dyDescent="0.25">
      <c r="A172" s="36">
        <v>20105500336</v>
      </c>
      <c r="B172" t="s">
        <v>1069</v>
      </c>
      <c r="C172" s="35" t="s">
        <v>78</v>
      </c>
    </row>
    <row r="173" spans="1:3" x14ac:dyDescent="0.25">
      <c r="A173" s="36">
        <v>20105500336</v>
      </c>
      <c r="B173" t="s">
        <v>1069</v>
      </c>
      <c r="C173" s="35" t="s">
        <v>78</v>
      </c>
    </row>
    <row r="174" spans="1:3" x14ac:dyDescent="0.25">
      <c r="A174" s="36">
        <v>33709180849</v>
      </c>
      <c r="B174" t="s">
        <v>1820</v>
      </c>
      <c r="C174" s="35" t="s">
        <v>2557</v>
      </c>
    </row>
    <row r="175" spans="1:3" x14ac:dyDescent="0.25">
      <c r="A175" s="36">
        <v>30678539712</v>
      </c>
      <c r="B175" t="s">
        <v>1899</v>
      </c>
      <c r="C175" s="35" t="s">
        <v>2558</v>
      </c>
    </row>
    <row r="176" spans="1:3" x14ac:dyDescent="0.25">
      <c r="A176" s="36">
        <v>30695993761</v>
      </c>
      <c r="B176" t="s">
        <v>2106</v>
      </c>
      <c r="C176" s="35" t="s">
        <v>2558</v>
      </c>
    </row>
    <row r="177" spans="1:3" x14ac:dyDescent="0.25">
      <c r="A177" s="36">
        <v>27224524043</v>
      </c>
      <c r="B177" t="s">
        <v>2115</v>
      </c>
      <c r="C177" s="35" t="s">
        <v>2558</v>
      </c>
    </row>
    <row r="178" spans="1:3" x14ac:dyDescent="0.25">
      <c r="A178" s="36">
        <v>20283847765</v>
      </c>
      <c r="B178" t="s">
        <v>2148</v>
      </c>
      <c r="C178" s="35" t="s">
        <v>2558</v>
      </c>
    </row>
    <row r="179" spans="1:3" x14ac:dyDescent="0.25">
      <c r="A179" s="36">
        <v>30717480666</v>
      </c>
      <c r="B179" t="s">
        <v>2305</v>
      </c>
      <c r="C179" s="35" t="s">
        <v>2558</v>
      </c>
    </row>
    <row r="180" spans="1:3" x14ac:dyDescent="0.25">
      <c r="A180" s="36">
        <v>30696170580</v>
      </c>
      <c r="B180" t="s">
        <v>2559</v>
      </c>
      <c r="C180" s="35" t="s">
        <v>2558</v>
      </c>
    </row>
    <row r="181" spans="1:3" x14ac:dyDescent="0.25">
      <c r="A181" s="36">
        <v>30716397544</v>
      </c>
      <c r="B181" t="s">
        <v>2560</v>
      </c>
      <c r="C181" s="35" t="s">
        <v>2558</v>
      </c>
    </row>
    <row r="182" spans="1:3" x14ac:dyDescent="0.25">
      <c r="A182" s="36">
        <v>20181426846</v>
      </c>
      <c r="B182" t="s">
        <v>2267</v>
      </c>
      <c r="C182" s="35" t="s">
        <v>2549</v>
      </c>
    </row>
    <row r="183" spans="1:3" x14ac:dyDescent="0.25">
      <c r="A183" s="36">
        <v>30716932245</v>
      </c>
      <c r="B183" t="s">
        <v>2268</v>
      </c>
      <c r="C183" s="35" t="s">
        <v>2549</v>
      </c>
    </row>
    <row r="184" spans="1:3" x14ac:dyDescent="0.25">
      <c r="A184" s="36">
        <v>27380258884</v>
      </c>
      <c r="B184" t="s">
        <v>2269</v>
      </c>
      <c r="C184" s="35" t="s">
        <v>2549</v>
      </c>
    </row>
    <row r="185" spans="1:3" x14ac:dyDescent="0.25">
      <c r="A185" s="36">
        <v>30639057999</v>
      </c>
      <c r="B185" t="s">
        <v>1980</v>
      </c>
      <c r="C185" s="35" t="s">
        <v>2561</v>
      </c>
    </row>
    <row r="186" spans="1:3" x14ac:dyDescent="0.25">
      <c r="A186" s="36">
        <v>30646718151</v>
      </c>
      <c r="B186" t="s">
        <v>1530</v>
      </c>
      <c r="C186" s="35" t="s">
        <v>79</v>
      </c>
    </row>
    <row r="187" spans="1:3" x14ac:dyDescent="0.25">
      <c r="A187" s="36">
        <v>23277121859</v>
      </c>
      <c r="B187" t="s">
        <v>1413</v>
      </c>
      <c r="C187" s="35" t="s">
        <v>79</v>
      </c>
    </row>
    <row r="188" spans="1:3" x14ac:dyDescent="0.25">
      <c r="A188" s="36">
        <v>23277121859</v>
      </c>
      <c r="B188" t="s">
        <v>1413</v>
      </c>
      <c r="C188" s="35" t="s">
        <v>79</v>
      </c>
    </row>
    <row r="189" spans="1:3" x14ac:dyDescent="0.25">
      <c r="A189" s="36">
        <v>27422248426</v>
      </c>
      <c r="B189" t="s">
        <v>1399</v>
      </c>
      <c r="C189" s="35" t="s">
        <v>79</v>
      </c>
    </row>
    <row r="190" spans="1:3" x14ac:dyDescent="0.25">
      <c r="A190" s="36">
        <v>27422248426</v>
      </c>
      <c r="B190" t="s">
        <v>1399</v>
      </c>
      <c r="C190" s="35" t="s">
        <v>79</v>
      </c>
    </row>
    <row r="191" spans="1:3" x14ac:dyDescent="0.25">
      <c r="A191" s="36">
        <v>30590360763</v>
      </c>
      <c r="B191" t="s">
        <v>1506</v>
      </c>
      <c r="C191" s="35" t="s">
        <v>79</v>
      </c>
    </row>
    <row r="192" spans="1:3" x14ac:dyDescent="0.25">
      <c r="A192" s="36">
        <v>30548083156</v>
      </c>
      <c r="B192" t="s">
        <v>1369</v>
      </c>
      <c r="C192" s="35" t="s">
        <v>79</v>
      </c>
    </row>
    <row r="193" spans="1:4" x14ac:dyDescent="0.25">
      <c r="A193" s="36">
        <v>33662613199</v>
      </c>
      <c r="B193" t="s">
        <v>1373</v>
      </c>
      <c r="C193" s="35" t="s">
        <v>79</v>
      </c>
    </row>
    <row r="194" spans="1:4" x14ac:dyDescent="0.25">
      <c r="A194" s="36">
        <v>33662613199</v>
      </c>
      <c r="B194" t="s">
        <v>1373</v>
      </c>
      <c r="C194" s="35" t="s">
        <v>79</v>
      </c>
    </row>
    <row r="195" spans="1:4" x14ac:dyDescent="0.25">
      <c r="A195" s="157">
        <v>20136536320</v>
      </c>
      <c r="B195" t="s">
        <v>1403</v>
      </c>
      <c r="C195" s="35" t="s">
        <v>79</v>
      </c>
      <c r="D195" t="s">
        <v>1752</v>
      </c>
    </row>
    <row r="196" spans="1:4" x14ac:dyDescent="0.25">
      <c r="A196" s="36">
        <v>30685849751</v>
      </c>
      <c r="B196" t="s">
        <v>1356</v>
      </c>
      <c r="C196" s="35" t="s">
        <v>79</v>
      </c>
    </row>
    <row r="197" spans="1:4" x14ac:dyDescent="0.25">
      <c r="A197" s="36">
        <v>30685849751</v>
      </c>
      <c r="B197" t="s">
        <v>1356</v>
      </c>
      <c r="C197" s="35" t="s">
        <v>79</v>
      </c>
    </row>
    <row r="198" spans="1:4" x14ac:dyDescent="0.25">
      <c r="A198" s="36">
        <v>30578494185</v>
      </c>
      <c r="B198" t="s">
        <v>154</v>
      </c>
      <c r="C198" s="35" t="s">
        <v>79</v>
      </c>
    </row>
    <row r="199" spans="1:4" x14ac:dyDescent="0.25">
      <c r="A199" s="36">
        <v>20275447057</v>
      </c>
      <c r="B199" t="s">
        <v>166</v>
      </c>
      <c r="C199" s="35" t="s">
        <v>79</v>
      </c>
    </row>
    <row r="200" spans="1:4" x14ac:dyDescent="0.25">
      <c r="A200" s="36">
        <v>20134664518</v>
      </c>
      <c r="B200" t="s">
        <v>1141</v>
      </c>
      <c r="C200" s="35" t="s">
        <v>79</v>
      </c>
      <c r="D200" t="s">
        <v>1754</v>
      </c>
    </row>
    <row r="201" spans="1:4" x14ac:dyDescent="0.25">
      <c r="A201" s="36">
        <v>30714730548</v>
      </c>
      <c r="B201" t="s">
        <v>198</v>
      </c>
      <c r="C201" s="35" t="s">
        <v>79</v>
      </c>
    </row>
    <row r="202" spans="1:4" x14ac:dyDescent="0.25">
      <c r="A202" s="36">
        <v>30712289046</v>
      </c>
      <c r="B202" t="s">
        <v>1405</v>
      </c>
      <c r="C202" s="35" t="s">
        <v>79</v>
      </c>
    </row>
    <row r="203" spans="1:4" x14ac:dyDescent="0.25">
      <c r="A203" s="36">
        <v>30712289046</v>
      </c>
      <c r="B203" t="s">
        <v>1405</v>
      </c>
      <c r="C203" s="35" t="s">
        <v>79</v>
      </c>
    </row>
    <row r="204" spans="1:4" x14ac:dyDescent="0.25">
      <c r="A204" s="44">
        <v>30688241614</v>
      </c>
      <c r="B204" t="s">
        <v>223</v>
      </c>
      <c r="C204" s="35" t="s">
        <v>79</v>
      </c>
    </row>
    <row r="205" spans="1:4" x14ac:dyDescent="0.25">
      <c r="A205" s="36">
        <v>20226549758</v>
      </c>
      <c r="B205" t="s">
        <v>1137</v>
      </c>
      <c r="C205" s="35" t="s">
        <v>79</v>
      </c>
    </row>
    <row r="206" spans="1:4" x14ac:dyDescent="0.25">
      <c r="A206" s="36">
        <v>20226549758</v>
      </c>
      <c r="B206" t="s">
        <v>1137</v>
      </c>
      <c r="C206" s="35" t="s">
        <v>79</v>
      </c>
    </row>
    <row r="207" spans="1:4" x14ac:dyDescent="0.25">
      <c r="A207" s="36">
        <v>20183380231</v>
      </c>
      <c r="B207" t="s">
        <v>271</v>
      </c>
      <c r="C207" s="35" t="s">
        <v>79</v>
      </c>
    </row>
    <row r="208" spans="1:4" x14ac:dyDescent="0.25">
      <c r="A208" s="36">
        <v>33531122599</v>
      </c>
      <c r="B208" t="s">
        <v>304</v>
      </c>
      <c r="C208" s="35" t="s">
        <v>79</v>
      </c>
    </row>
    <row r="209" spans="1:4" x14ac:dyDescent="0.25">
      <c r="A209" s="36">
        <v>30710374801</v>
      </c>
      <c r="B209" t="s">
        <v>336</v>
      </c>
      <c r="C209" s="35" t="s">
        <v>79</v>
      </c>
    </row>
    <row r="210" spans="1:4" x14ac:dyDescent="0.25">
      <c r="A210" s="36">
        <v>20041802082</v>
      </c>
      <c r="B210" t="s">
        <v>346</v>
      </c>
      <c r="C210" s="35" t="s">
        <v>79</v>
      </c>
    </row>
    <row r="211" spans="1:4" x14ac:dyDescent="0.25">
      <c r="A211" s="36">
        <v>30715723871</v>
      </c>
      <c r="B211" t="s">
        <v>353</v>
      </c>
      <c r="C211" s="35" t="s">
        <v>79</v>
      </c>
    </row>
    <row r="212" spans="1:4" x14ac:dyDescent="0.25">
      <c r="A212" s="36">
        <v>20262808557</v>
      </c>
      <c r="B212" t="s">
        <v>358</v>
      </c>
      <c r="C212" s="35" t="s">
        <v>79</v>
      </c>
    </row>
    <row r="213" spans="1:4" x14ac:dyDescent="0.25">
      <c r="A213" s="36">
        <v>20345836404</v>
      </c>
      <c r="B213" t="s">
        <v>379</v>
      </c>
      <c r="C213" s="35" t="s">
        <v>79</v>
      </c>
    </row>
    <row r="214" spans="1:4" x14ac:dyDescent="0.25">
      <c r="A214" s="36">
        <v>20932821851</v>
      </c>
      <c r="B214" t="s">
        <v>389</v>
      </c>
      <c r="C214" s="35" t="s">
        <v>79</v>
      </c>
    </row>
    <row r="215" spans="1:4" x14ac:dyDescent="0.25">
      <c r="A215" s="36">
        <v>30711561494</v>
      </c>
      <c r="B215" t="s">
        <v>396</v>
      </c>
      <c r="C215" s="35" t="s">
        <v>79</v>
      </c>
    </row>
    <row r="216" spans="1:4" x14ac:dyDescent="0.25">
      <c r="A216" s="36">
        <v>20309264666</v>
      </c>
      <c r="B216" t="s">
        <v>401</v>
      </c>
      <c r="C216" s="35" t="s">
        <v>79</v>
      </c>
    </row>
    <row r="217" spans="1:4" x14ac:dyDescent="0.25">
      <c r="A217" s="36">
        <v>30589621499</v>
      </c>
      <c r="B217" t="s">
        <v>91</v>
      </c>
      <c r="C217" s="35" t="s">
        <v>79</v>
      </c>
    </row>
    <row r="218" spans="1:4" x14ac:dyDescent="0.25">
      <c r="A218" s="36">
        <v>33710167309</v>
      </c>
      <c r="B218" t="s">
        <v>1552</v>
      </c>
      <c r="C218" s="35" t="s">
        <v>79</v>
      </c>
    </row>
    <row r="219" spans="1:4" x14ac:dyDescent="0.25">
      <c r="A219" s="36">
        <v>30612865333</v>
      </c>
      <c r="B219" t="s">
        <v>435</v>
      </c>
      <c r="C219" s="35" t="s">
        <v>79</v>
      </c>
    </row>
    <row r="220" spans="1:4" x14ac:dyDescent="0.25">
      <c r="A220" s="36">
        <v>20173025557</v>
      </c>
      <c r="B220" t="s">
        <v>1129</v>
      </c>
      <c r="C220" s="35" t="s">
        <v>79</v>
      </c>
    </row>
    <row r="221" spans="1:4" x14ac:dyDescent="0.25">
      <c r="A221" s="36">
        <v>20131581298</v>
      </c>
      <c r="B221" t="s">
        <v>441</v>
      </c>
      <c r="C221" s="35" t="s">
        <v>79</v>
      </c>
    </row>
    <row r="222" spans="1:4" x14ac:dyDescent="0.25">
      <c r="A222" s="36">
        <v>20173025557</v>
      </c>
      <c r="B222" t="s">
        <v>1129</v>
      </c>
      <c r="C222" s="35" t="s">
        <v>79</v>
      </c>
    </row>
    <row r="223" spans="1:4" x14ac:dyDescent="0.25">
      <c r="A223" s="36">
        <v>30602422174</v>
      </c>
      <c r="B223" t="s">
        <v>450</v>
      </c>
      <c r="C223" s="35" t="s">
        <v>79</v>
      </c>
    </row>
    <row r="224" spans="1:4" x14ac:dyDescent="0.25">
      <c r="A224" s="36">
        <v>30703088534</v>
      </c>
      <c r="B224" t="s">
        <v>462</v>
      </c>
      <c r="C224" s="35" t="s">
        <v>79</v>
      </c>
      <c r="D224" t="s">
        <v>1752</v>
      </c>
    </row>
    <row r="225" spans="1:3" x14ac:dyDescent="0.25">
      <c r="A225" s="36">
        <v>27101205733</v>
      </c>
      <c r="B225" t="s">
        <v>485</v>
      </c>
      <c r="C225" s="35" t="s">
        <v>79</v>
      </c>
    </row>
    <row r="226" spans="1:3" x14ac:dyDescent="0.25">
      <c r="A226" s="36">
        <v>30652010489</v>
      </c>
      <c r="B226" t="s">
        <v>528</v>
      </c>
      <c r="C226" s="35" t="s">
        <v>79</v>
      </c>
    </row>
    <row r="227" spans="1:3" x14ac:dyDescent="0.25">
      <c r="A227" s="36">
        <v>30546764040</v>
      </c>
      <c r="B227" t="s">
        <v>537</v>
      </c>
      <c r="C227" s="35" t="s">
        <v>79</v>
      </c>
    </row>
    <row r="228" spans="1:3" x14ac:dyDescent="0.25">
      <c r="A228" s="36">
        <v>20171082464</v>
      </c>
      <c r="B228" t="s">
        <v>552</v>
      </c>
      <c r="C228" s="35" t="s">
        <v>79</v>
      </c>
    </row>
    <row r="229" spans="1:3" x14ac:dyDescent="0.25">
      <c r="A229" s="36">
        <v>30707092781</v>
      </c>
      <c r="B229" t="s">
        <v>587</v>
      </c>
      <c r="C229" s="35" t="s">
        <v>79</v>
      </c>
    </row>
    <row r="230" spans="1:3" x14ac:dyDescent="0.25">
      <c r="A230" s="36">
        <v>27937907473</v>
      </c>
      <c r="B230" t="s">
        <v>591</v>
      </c>
      <c r="C230" s="35" t="s">
        <v>79</v>
      </c>
    </row>
    <row r="231" spans="1:3" x14ac:dyDescent="0.25">
      <c r="A231" s="36">
        <v>30603810550</v>
      </c>
      <c r="B231" t="s">
        <v>593</v>
      </c>
      <c r="C231" s="35" t="s">
        <v>79</v>
      </c>
    </row>
    <row r="232" spans="1:3" x14ac:dyDescent="0.25">
      <c r="A232" s="36">
        <v>30536259194</v>
      </c>
      <c r="B232" t="s">
        <v>603</v>
      </c>
      <c r="C232" s="35" t="s">
        <v>79</v>
      </c>
    </row>
    <row r="233" spans="1:3" x14ac:dyDescent="0.25">
      <c r="A233" s="36">
        <v>30605041287</v>
      </c>
      <c r="B233" t="s">
        <v>637</v>
      </c>
      <c r="C233" s="35" t="s">
        <v>79</v>
      </c>
    </row>
    <row r="234" spans="1:3" x14ac:dyDescent="0.25">
      <c r="A234" s="36">
        <v>20113613646</v>
      </c>
      <c r="B234" t="s">
        <v>673</v>
      </c>
      <c r="C234" s="35" t="s">
        <v>79</v>
      </c>
    </row>
    <row r="235" spans="1:3" x14ac:dyDescent="0.25">
      <c r="A235" s="36">
        <v>30601399446</v>
      </c>
      <c r="B235" t="s">
        <v>688</v>
      </c>
      <c r="C235" s="35" t="s">
        <v>79</v>
      </c>
    </row>
    <row r="236" spans="1:3" x14ac:dyDescent="0.25">
      <c r="A236" s="36">
        <v>23177941034</v>
      </c>
      <c r="B236" t="s">
        <v>689</v>
      </c>
      <c r="C236" s="35" t="s">
        <v>79</v>
      </c>
    </row>
    <row r="237" spans="1:3" x14ac:dyDescent="0.25">
      <c r="A237" s="36">
        <v>20174240125</v>
      </c>
      <c r="B237" t="s">
        <v>720</v>
      </c>
      <c r="C237" s="35" t="s">
        <v>79</v>
      </c>
    </row>
    <row r="238" spans="1:3" x14ac:dyDescent="0.25">
      <c r="A238" s="36">
        <v>33708793219</v>
      </c>
      <c r="B238" t="s">
        <v>746</v>
      </c>
      <c r="C238" s="35" t="s">
        <v>79</v>
      </c>
    </row>
    <row r="239" spans="1:3" x14ac:dyDescent="0.25">
      <c r="A239" s="36">
        <v>20162253310</v>
      </c>
      <c r="B239" t="s">
        <v>783</v>
      </c>
      <c r="C239" s="35" t="s">
        <v>79</v>
      </c>
    </row>
    <row r="240" spans="1:3" x14ac:dyDescent="0.25">
      <c r="A240" s="36">
        <v>30715048066</v>
      </c>
      <c r="B240" t="s">
        <v>99</v>
      </c>
      <c r="C240" s="35" t="s">
        <v>79</v>
      </c>
    </row>
    <row r="241" spans="1:3" x14ac:dyDescent="0.25">
      <c r="A241" s="36">
        <v>23180288899</v>
      </c>
      <c r="B241" t="s">
        <v>1172</v>
      </c>
      <c r="C241" s="35" t="s">
        <v>79</v>
      </c>
    </row>
    <row r="242" spans="1:3" x14ac:dyDescent="0.25">
      <c r="A242" s="36">
        <v>23180288899</v>
      </c>
      <c r="B242" t="s">
        <v>1172</v>
      </c>
      <c r="C242" s="35" t="s">
        <v>79</v>
      </c>
    </row>
    <row r="243" spans="1:3" x14ac:dyDescent="0.25">
      <c r="A243" s="36">
        <v>23180288899</v>
      </c>
      <c r="B243" t="s">
        <v>1172</v>
      </c>
      <c r="C243" s="35" t="s">
        <v>79</v>
      </c>
    </row>
    <row r="244" spans="1:3" x14ac:dyDescent="0.25">
      <c r="A244" s="36">
        <v>23180288899</v>
      </c>
      <c r="B244" t="s">
        <v>1172</v>
      </c>
      <c r="C244" s="35" t="s">
        <v>79</v>
      </c>
    </row>
    <row r="245" spans="1:3" x14ac:dyDescent="0.25">
      <c r="A245" s="36">
        <v>30710444877</v>
      </c>
      <c r="B245" t="s">
        <v>814</v>
      </c>
      <c r="C245" s="35" t="s">
        <v>79</v>
      </c>
    </row>
    <row r="246" spans="1:3" x14ac:dyDescent="0.25">
      <c r="A246" s="36">
        <v>33709108129</v>
      </c>
      <c r="B246" t="s">
        <v>815</v>
      </c>
      <c r="C246" s="35" t="s">
        <v>79</v>
      </c>
    </row>
    <row r="247" spans="1:3" x14ac:dyDescent="0.25">
      <c r="A247" s="36">
        <v>20123154445</v>
      </c>
      <c r="B247" t="s">
        <v>849</v>
      </c>
      <c r="C247" s="35" t="s">
        <v>79</v>
      </c>
    </row>
    <row r="248" spans="1:3" x14ac:dyDescent="0.25">
      <c r="A248" s="36">
        <v>20123154445</v>
      </c>
      <c r="B248" t="s">
        <v>849</v>
      </c>
      <c r="C248" s="35" t="s">
        <v>79</v>
      </c>
    </row>
    <row r="249" spans="1:3" x14ac:dyDescent="0.25">
      <c r="A249" s="36">
        <v>30699419245</v>
      </c>
      <c r="B249" t="s">
        <v>875</v>
      </c>
      <c r="C249" s="35" t="s">
        <v>79</v>
      </c>
    </row>
    <row r="250" spans="1:3" x14ac:dyDescent="0.25">
      <c r="A250" s="36">
        <v>30699419245</v>
      </c>
      <c r="B250" t="s">
        <v>875</v>
      </c>
      <c r="C250" s="35" t="s">
        <v>79</v>
      </c>
    </row>
    <row r="251" spans="1:3" x14ac:dyDescent="0.25">
      <c r="A251" s="36">
        <v>20926929128</v>
      </c>
      <c r="B251" t="s">
        <v>882</v>
      </c>
      <c r="C251" s="35" t="s">
        <v>79</v>
      </c>
    </row>
    <row r="252" spans="1:3" x14ac:dyDescent="0.25">
      <c r="A252" s="36">
        <v>20926929128</v>
      </c>
      <c r="B252" t="s">
        <v>882</v>
      </c>
      <c r="C252" s="35" t="s">
        <v>79</v>
      </c>
    </row>
    <row r="253" spans="1:3" x14ac:dyDescent="0.25">
      <c r="A253" s="36">
        <v>27940038931</v>
      </c>
      <c r="B253" t="s">
        <v>1566</v>
      </c>
      <c r="C253" s="35" t="s">
        <v>79</v>
      </c>
    </row>
    <row r="254" spans="1:3" x14ac:dyDescent="0.25">
      <c r="A254" s="36">
        <v>30695303978</v>
      </c>
      <c r="B254" t="s">
        <v>932</v>
      </c>
      <c r="C254" s="35" t="s">
        <v>79</v>
      </c>
    </row>
    <row r="255" spans="1:3" x14ac:dyDescent="0.25">
      <c r="A255" s="36">
        <v>30695303978</v>
      </c>
      <c r="B255" t="s">
        <v>932</v>
      </c>
      <c r="C255" s="35" t="s">
        <v>79</v>
      </c>
    </row>
    <row r="256" spans="1:3" x14ac:dyDescent="0.25">
      <c r="A256" s="36">
        <v>30654855168</v>
      </c>
      <c r="B256" t="s">
        <v>938</v>
      </c>
      <c r="C256" s="35" t="s">
        <v>79</v>
      </c>
    </row>
    <row r="257" spans="1:3" x14ac:dyDescent="0.25">
      <c r="A257" s="36">
        <v>30654855168</v>
      </c>
      <c r="B257" t="s">
        <v>938</v>
      </c>
      <c r="C257" s="35" t="s">
        <v>79</v>
      </c>
    </row>
    <row r="258" spans="1:3" x14ac:dyDescent="0.25">
      <c r="A258" s="36">
        <v>27950873936</v>
      </c>
      <c r="B258" t="s">
        <v>1564</v>
      </c>
      <c r="C258" s="35" t="s">
        <v>79</v>
      </c>
    </row>
    <row r="259" spans="1:3" x14ac:dyDescent="0.25">
      <c r="A259" s="36">
        <v>30676683867</v>
      </c>
      <c r="B259" t="s">
        <v>951</v>
      </c>
      <c r="C259" s="35" t="s">
        <v>79</v>
      </c>
    </row>
    <row r="260" spans="1:3" x14ac:dyDescent="0.25">
      <c r="A260" s="36">
        <v>30676683867</v>
      </c>
      <c r="B260" t="s">
        <v>951</v>
      </c>
      <c r="C260" s="35" t="s">
        <v>79</v>
      </c>
    </row>
    <row r="261" spans="1:3" x14ac:dyDescent="0.25">
      <c r="A261" s="36">
        <v>30694592526</v>
      </c>
      <c r="B261" t="s">
        <v>979</v>
      </c>
      <c r="C261" s="35" t="s">
        <v>79</v>
      </c>
    </row>
    <row r="262" spans="1:3" x14ac:dyDescent="0.25">
      <c r="A262" s="36">
        <v>30694592526</v>
      </c>
      <c r="B262" t="s">
        <v>979</v>
      </c>
      <c r="C262" s="35" t="s">
        <v>79</v>
      </c>
    </row>
    <row r="263" spans="1:3" x14ac:dyDescent="0.25">
      <c r="A263" s="36">
        <v>30708765356</v>
      </c>
      <c r="B263" t="s">
        <v>999</v>
      </c>
      <c r="C263" s="35" t="s">
        <v>79</v>
      </c>
    </row>
    <row r="264" spans="1:3" x14ac:dyDescent="0.25">
      <c r="A264" s="36">
        <v>30708765356</v>
      </c>
      <c r="B264" t="s">
        <v>999</v>
      </c>
      <c r="C264" s="35" t="s">
        <v>79</v>
      </c>
    </row>
    <row r="265" spans="1:3" x14ac:dyDescent="0.25">
      <c r="A265" s="36">
        <v>30611156045</v>
      </c>
      <c r="B265" t="s">
        <v>1020</v>
      </c>
      <c r="C265" s="35" t="s">
        <v>79</v>
      </c>
    </row>
    <row r="266" spans="1:3" x14ac:dyDescent="0.25">
      <c r="A266" s="36">
        <v>30611156045</v>
      </c>
      <c r="B266" t="s">
        <v>1020</v>
      </c>
      <c r="C266" s="35" t="s">
        <v>79</v>
      </c>
    </row>
    <row r="267" spans="1:3" x14ac:dyDescent="0.25">
      <c r="A267" s="36">
        <v>20262235212</v>
      </c>
      <c r="B267" t="s">
        <v>2276</v>
      </c>
      <c r="C267" s="35" t="s">
        <v>79</v>
      </c>
    </row>
    <row r="268" spans="1:3" x14ac:dyDescent="0.25">
      <c r="A268" s="36">
        <v>30689759684</v>
      </c>
      <c r="B268" t="s">
        <v>1025</v>
      </c>
      <c r="C268" s="35" t="s">
        <v>79</v>
      </c>
    </row>
    <row r="269" spans="1:3" x14ac:dyDescent="0.25">
      <c r="A269" s="36">
        <v>30689759684</v>
      </c>
      <c r="B269" t="s">
        <v>1025</v>
      </c>
      <c r="C269" s="35" t="s">
        <v>79</v>
      </c>
    </row>
    <row r="270" spans="1:3" x14ac:dyDescent="0.25">
      <c r="A270" s="36">
        <v>27208252386</v>
      </c>
      <c r="B270" t="s">
        <v>1051</v>
      </c>
      <c r="C270" s="35" t="s">
        <v>79</v>
      </c>
    </row>
    <row r="271" spans="1:3" x14ac:dyDescent="0.25">
      <c r="A271" s="36">
        <v>27208252386</v>
      </c>
      <c r="B271" t="s">
        <v>1051</v>
      </c>
      <c r="C271" s="35" t="s">
        <v>79</v>
      </c>
    </row>
    <row r="272" spans="1:3" x14ac:dyDescent="0.25">
      <c r="A272" s="36">
        <v>20940173575</v>
      </c>
      <c r="B272" t="s">
        <v>1565</v>
      </c>
      <c r="C272" s="35" t="s">
        <v>79</v>
      </c>
    </row>
    <row r="273" spans="1:4" x14ac:dyDescent="0.25">
      <c r="A273" s="36">
        <v>30712049886</v>
      </c>
      <c r="B273" t="s">
        <v>1571</v>
      </c>
      <c r="C273" s="35" t="s">
        <v>79</v>
      </c>
    </row>
    <row r="274" spans="1:4" x14ac:dyDescent="0.25">
      <c r="A274" s="36">
        <v>30628212437</v>
      </c>
      <c r="B274" t="s">
        <v>1574</v>
      </c>
      <c r="C274" s="35" t="s">
        <v>79</v>
      </c>
    </row>
    <row r="275" spans="1:4" x14ac:dyDescent="0.25">
      <c r="A275" s="36">
        <v>30658022349</v>
      </c>
      <c r="B275" t="s">
        <v>1577</v>
      </c>
      <c r="C275" s="35" t="s">
        <v>79</v>
      </c>
    </row>
    <row r="276" spans="1:4" x14ac:dyDescent="0.25">
      <c r="A276" s="36">
        <v>30717024393</v>
      </c>
      <c r="B276" t="s">
        <v>1578</v>
      </c>
      <c r="C276" s="35" t="s">
        <v>79</v>
      </c>
    </row>
    <row r="277" spans="1:4" x14ac:dyDescent="0.25">
      <c r="A277" s="36">
        <v>20206480409</v>
      </c>
      <c r="B277" t="s">
        <v>1579</v>
      </c>
      <c r="C277" s="35" t="s">
        <v>79</v>
      </c>
      <c r="D277" t="s">
        <v>1752</v>
      </c>
    </row>
    <row r="278" spans="1:4" x14ac:dyDescent="0.25">
      <c r="A278" s="36">
        <v>30638485733</v>
      </c>
      <c r="B278" t="s">
        <v>1646</v>
      </c>
      <c r="C278" s="35" t="s">
        <v>79</v>
      </c>
    </row>
    <row r="279" spans="1:4" x14ac:dyDescent="0.25">
      <c r="A279" s="36">
        <v>20141890159</v>
      </c>
      <c r="B279" t="s">
        <v>1633</v>
      </c>
      <c r="C279" s="35" t="s">
        <v>79</v>
      </c>
    </row>
    <row r="280" spans="1:4" x14ac:dyDescent="0.25">
      <c r="A280" s="36">
        <v>33715993509</v>
      </c>
      <c r="B280" t="s">
        <v>1634</v>
      </c>
      <c r="C280" s="35" t="s">
        <v>79</v>
      </c>
    </row>
    <row r="281" spans="1:4" x14ac:dyDescent="0.25">
      <c r="A281" s="36">
        <v>30660981736</v>
      </c>
      <c r="B281" t="s">
        <v>1642</v>
      </c>
      <c r="C281" s="35" t="s">
        <v>79</v>
      </c>
    </row>
    <row r="282" spans="1:4" x14ac:dyDescent="0.25">
      <c r="A282" s="36">
        <v>20262815367</v>
      </c>
      <c r="B282" t="s">
        <v>1711</v>
      </c>
      <c r="C282" s="35" t="s">
        <v>79</v>
      </c>
    </row>
    <row r="283" spans="1:4" x14ac:dyDescent="0.25">
      <c r="A283" s="36">
        <v>30717223299</v>
      </c>
      <c r="B283" t="s">
        <v>1655</v>
      </c>
      <c r="C283" s="35" t="s">
        <v>79</v>
      </c>
    </row>
    <row r="284" spans="1:4" x14ac:dyDescent="0.25">
      <c r="A284" s="36">
        <v>23234730959</v>
      </c>
      <c r="B284" t="s">
        <v>1715</v>
      </c>
      <c r="C284" s="35" t="s">
        <v>79</v>
      </c>
    </row>
    <row r="285" spans="1:4" x14ac:dyDescent="0.25">
      <c r="A285" s="36">
        <v>30643993089</v>
      </c>
      <c r="B285" t="s">
        <v>1729</v>
      </c>
      <c r="C285" s="35" t="s">
        <v>79</v>
      </c>
    </row>
    <row r="286" spans="1:4" x14ac:dyDescent="0.25">
      <c r="A286" s="36">
        <v>30714275824</v>
      </c>
      <c r="B286" t="s">
        <v>1761</v>
      </c>
      <c r="C286" s="35" t="s">
        <v>79</v>
      </c>
    </row>
    <row r="287" spans="1:4" x14ac:dyDescent="0.25">
      <c r="A287" s="36">
        <v>33715571639</v>
      </c>
      <c r="B287" t="s">
        <v>1733</v>
      </c>
      <c r="C287" s="35" t="s">
        <v>79</v>
      </c>
    </row>
    <row r="288" spans="1:4" x14ac:dyDescent="0.25">
      <c r="A288" s="36">
        <v>20331496643</v>
      </c>
      <c r="B288" t="s">
        <v>1746</v>
      </c>
      <c r="C288" s="35" t="s">
        <v>79</v>
      </c>
    </row>
    <row r="289" spans="1:3" x14ac:dyDescent="0.25">
      <c r="A289" s="36">
        <v>20338116978</v>
      </c>
      <c r="B289" t="s">
        <v>1762</v>
      </c>
      <c r="C289" s="35" t="s">
        <v>79</v>
      </c>
    </row>
    <row r="290" spans="1:3" x14ac:dyDescent="0.25">
      <c r="A290" s="36">
        <v>30708558792</v>
      </c>
      <c r="B290" t="s">
        <v>1770</v>
      </c>
      <c r="C290" s="35" t="s">
        <v>79</v>
      </c>
    </row>
    <row r="291" spans="1:3" x14ac:dyDescent="0.25">
      <c r="A291" s="36">
        <v>30717065359</v>
      </c>
      <c r="B291" t="s">
        <v>1763</v>
      </c>
      <c r="C291" s="35" t="s">
        <v>79</v>
      </c>
    </row>
    <row r="292" spans="1:3" x14ac:dyDescent="0.25">
      <c r="A292" s="36">
        <v>20277381908</v>
      </c>
      <c r="B292" t="s">
        <v>1774</v>
      </c>
      <c r="C292" s="35" t="s">
        <v>79</v>
      </c>
    </row>
    <row r="293" spans="1:3" x14ac:dyDescent="0.25">
      <c r="A293" s="36">
        <v>20277381908</v>
      </c>
      <c r="B293" t="s">
        <v>1774</v>
      </c>
      <c r="C293" s="35" t="s">
        <v>79</v>
      </c>
    </row>
    <row r="294" spans="1:3" x14ac:dyDescent="0.25">
      <c r="A294" s="36">
        <v>23329455319</v>
      </c>
      <c r="B294" t="s">
        <v>1775</v>
      </c>
      <c r="C294" s="35" t="s">
        <v>79</v>
      </c>
    </row>
    <row r="295" spans="1:3" x14ac:dyDescent="0.25">
      <c r="A295" s="36">
        <v>27135996373</v>
      </c>
      <c r="B295" t="s">
        <v>1792</v>
      </c>
      <c r="C295" s="35" t="s">
        <v>79</v>
      </c>
    </row>
    <row r="296" spans="1:3" x14ac:dyDescent="0.25">
      <c r="A296" s="36">
        <v>20928324568</v>
      </c>
      <c r="B296" t="s">
        <v>1781</v>
      </c>
      <c r="C296" s="35" t="s">
        <v>79</v>
      </c>
    </row>
    <row r="297" spans="1:3" x14ac:dyDescent="0.25">
      <c r="A297" s="36">
        <v>30718018311</v>
      </c>
      <c r="B297" t="s">
        <v>1809</v>
      </c>
      <c r="C297" s="35" t="s">
        <v>79</v>
      </c>
    </row>
    <row r="298" spans="1:3" x14ac:dyDescent="0.25">
      <c r="A298" s="36">
        <v>20359718765</v>
      </c>
      <c r="B298" t="s">
        <v>1843</v>
      </c>
      <c r="C298" s="35" t="s">
        <v>79</v>
      </c>
    </row>
    <row r="299" spans="1:3" x14ac:dyDescent="0.25">
      <c r="A299" s="36">
        <v>23177130079</v>
      </c>
      <c r="B299" t="s">
        <v>1838</v>
      </c>
      <c r="C299" s="35" t="s">
        <v>79</v>
      </c>
    </row>
    <row r="300" spans="1:3" x14ac:dyDescent="0.25">
      <c r="A300" s="36">
        <v>27276370575</v>
      </c>
      <c r="B300" t="s">
        <v>1862</v>
      </c>
      <c r="C300" s="35" t="s">
        <v>79</v>
      </c>
    </row>
    <row r="301" spans="1:3" x14ac:dyDescent="0.25">
      <c r="A301" s="36">
        <v>30715501348</v>
      </c>
      <c r="B301" t="s">
        <v>1863</v>
      </c>
      <c r="C301" s="35" t="s">
        <v>79</v>
      </c>
    </row>
    <row r="302" spans="1:3" x14ac:dyDescent="0.25">
      <c r="A302" s="36">
        <v>20337162879</v>
      </c>
      <c r="B302" t="s">
        <v>1865</v>
      </c>
      <c r="C302" s="35" t="s">
        <v>79</v>
      </c>
    </row>
    <row r="303" spans="1:3" x14ac:dyDescent="0.25">
      <c r="A303" s="36">
        <v>30717640175</v>
      </c>
      <c r="B303" t="s">
        <v>1911</v>
      </c>
      <c r="C303" s="35" t="s">
        <v>79</v>
      </c>
    </row>
    <row r="304" spans="1:3" x14ac:dyDescent="0.25">
      <c r="A304" s="36">
        <v>20109830810</v>
      </c>
      <c r="B304" t="s">
        <v>1935</v>
      </c>
      <c r="C304" s="35" t="s">
        <v>79</v>
      </c>
    </row>
    <row r="305" spans="1:4" x14ac:dyDescent="0.25">
      <c r="A305" s="36">
        <v>30708482680</v>
      </c>
      <c r="B305" t="s">
        <v>1939</v>
      </c>
      <c r="C305" s="35" t="s">
        <v>79</v>
      </c>
    </row>
    <row r="306" spans="1:4" x14ac:dyDescent="0.25">
      <c r="A306" s="36">
        <v>30715168673</v>
      </c>
      <c r="B306" t="s">
        <v>1950</v>
      </c>
      <c r="C306" s="35" t="s">
        <v>79</v>
      </c>
    </row>
    <row r="307" spans="1:4" x14ac:dyDescent="0.25">
      <c r="A307" s="36">
        <v>30686272032</v>
      </c>
      <c r="B307" t="s">
        <v>1940</v>
      </c>
      <c r="C307" s="35" t="s">
        <v>79</v>
      </c>
    </row>
    <row r="308" spans="1:4" x14ac:dyDescent="0.25">
      <c r="A308" s="36">
        <v>30715060546</v>
      </c>
      <c r="B308" t="s">
        <v>1988</v>
      </c>
      <c r="C308" s="35" t="s">
        <v>79</v>
      </c>
    </row>
    <row r="309" spans="1:4" x14ac:dyDescent="0.25">
      <c r="A309" s="36">
        <v>23242717589</v>
      </c>
      <c r="B309" t="s">
        <v>1957</v>
      </c>
      <c r="C309" s="35" t="s">
        <v>79</v>
      </c>
    </row>
    <row r="310" spans="1:4" x14ac:dyDescent="0.25">
      <c r="A310" s="36">
        <v>20316849823</v>
      </c>
      <c r="B310" t="s">
        <v>1973</v>
      </c>
      <c r="C310" s="35" t="s">
        <v>79</v>
      </c>
    </row>
    <row r="311" spans="1:4" x14ac:dyDescent="0.25">
      <c r="A311" s="36">
        <v>27247017491</v>
      </c>
      <c r="B311" t="s">
        <v>1989</v>
      </c>
      <c r="C311" s="35" t="s">
        <v>79</v>
      </c>
    </row>
    <row r="312" spans="1:4" x14ac:dyDescent="0.25">
      <c r="A312" s="36">
        <v>30663891142</v>
      </c>
      <c r="B312" t="s">
        <v>1994</v>
      </c>
      <c r="C312" s="35" t="s">
        <v>79</v>
      </c>
    </row>
    <row r="313" spans="1:4" x14ac:dyDescent="0.25">
      <c r="A313" s="36">
        <v>30717924548</v>
      </c>
      <c r="B313" t="s">
        <v>2002</v>
      </c>
      <c r="C313" s="35" t="s">
        <v>79</v>
      </c>
    </row>
    <row r="314" spans="1:4" x14ac:dyDescent="0.25">
      <c r="A314" s="36">
        <v>30717906833</v>
      </c>
      <c r="B314" t="s">
        <v>2011</v>
      </c>
      <c r="C314" s="35" t="s">
        <v>79</v>
      </c>
    </row>
    <row r="315" spans="1:4" x14ac:dyDescent="0.25">
      <c r="A315" s="36">
        <v>20226444956</v>
      </c>
      <c r="B315" t="s">
        <v>2050</v>
      </c>
      <c r="C315" s="35" t="s">
        <v>79</v>
      </c>
    </row>
    <row r="316" spans="1:4" x14ac:dyDescent="0.25">
      <c r="A316" s="36">
        <v>30714454265</v>
      </c>
      <c r="B316" t="s">
        <v>2062</v>
      </c>
      <c r="C316" s="35" t="s">
        <v>79</v>
      </c>
    </row>
    <row r="317" spans="1:4" x14ac:dyDescent="0.25">
      <c r="A317" s="36">
        <v>30707984208</v>
      </c>
      <c r="B317" t="s">
        <v>2067</v>
      </c>
      <c r="C317" s="35" t="s">
        <v>79</v>
      </c>
      <c r="D317" t="s">
        <v>1754</v>
      </c>
    </row>
    <row r="318" spans="1:4" x14ac:dyDescent="0.25">
      <c r="A318" s="36">
        <v>30713842504</v>
      </c>
      <c r="B318" t="s">
        <v>2063</v>
      </c>
      <c r="C318" s="35" t="s">
        <v>79</v>
      </c>
    </row>
    <row r="319" spans="1:4" x14ac:dyDescent="0.25">
      <c r="A319" s="36">
        <v>20954203817</v>
      </c>
      <c r="B319" t="s">
        <v>2066</v>
      </c>
      <c r="C319" s="35" t="s">
        <v>79</v>
      </c>
    </row>
    <row r="320" spans="1:4" x14ac:dyDescent="0.25">
      <c r="A320" s="36">
        <v>30715294598</v>
      </c>
      <c r="B320" t="s">
        <v>2070</v>
      </c>
      <c r="C320" s="35" t="s">
        <v>79</v>
      </c>
    </row>
    <row r="321" spans="1:3" x14ac:dyDescent="0.25">
      <c r="A321" s="36">
        <v>30714769290</v>
      </c>
      <c r="B321" t="s">
        <v>2082</v>
      </c>
      <c r="C321" s="35" t="s">
        <v>79</v>
      </c>
    </row>
    <row r="322" spans="1:3" x14ac:dyDescent="0.25">
      <c r="A322" s="36">
        <v>27180890101</v>
      </c>
      <c r="B322" t="s">
        <v>2071</v>
      </c>
      <c r="C322" s="35" t="s">
        <v>79</v>
      </c>
    </row>
    <row r="323" spans="1:3" x14ac:dyDescent="0.25">
      <c r="A323" s="36">
        <v>33716089059</v>
      </c>
      <c r="B323" t="s">
        <v>2084</v>
      </c>
      <c r="C323" s="35" t="s">
        <v>79</v>
      </c>
    </row>
    <row r="324" spans="1:3" x14ac:dyDescent="0.25">
      <c r="A324" s="36">
        <v>30698029648</v>
      </c>
      <c r="B324" t="s">
        <v>2083</v>
      </c>
      <c r="C324" s="35" t="s">
        <v>79</v>
      </c>
    </row>
    <row r="325" spans="1:3" x14ac:dyDescent="0.25">
      <c r="A325" s="36">
        <v>30714956147</v>
      </c>
      <c r="B325" t="s">
        <v>2094</v>
      </c>
      <c r="C325" s="35" t="s">
        <v>79</v>
      </c>
    </row>
    <row r="326" spans="1:3" x14ac:dyDescent="0.25">
      <c r="A326" s="36">
        <v>20078298376</v>
      </c>
      <c r="B326" t="s">
        <v>2086</v>
      </c>
      <c r="C326" s="35" t="s">
        <v>79</v>
      </c>
    </row>
    <row r="327" spans="1:3" x14ac:dyDescent="0.25">
      <c r="A327" s="36">
        <v>30717133613</v>
      </c>
      <c r="B327" t="s">
        <v>2089</v>
      </c>
      <c r="C327" s="35" t="s">
        <v>79</v>
      </c>
    </row>
    <row r="328" spans="1:3" x14ac:dyDescent="0.25">
      <c r="A328" s="36">
        <v>30610333822</v>
      </c>
      <c r="B328" t="s">
        <v>2103</v>
      </c>
      <c r="C328" s="35" t="s">
        <v>79</v>
      </c>
    </row>
    <row r="329" spans="1:3" x14ac:dyDescent="0.25">
      <c r="A329" s="36">
        <v>20249035433</v>
      </c>
      <c r="B329" t="s">
        <v>2100</v>
      </c>
      <c r="C329" s="35" t="s">
        <v>79</v>
      </c>
    </row>
    <row r="330" spans="1:3" x14ac:dyDescent="0.25">
      <c r="A330" s="36">
        <v>30716944383</v>
      </c>
      <c r="B330" t="s">
        <v>2104</v>
      </c>
      <c r="C330" s="35" t="s">
        <v>79</v>
      </c>
    </row>
    <row r="331" spans="1:3" x14ac:dyDescent="0.25">
      <c r="A331" s="36">
        <v>33718184989</v>
      </c>
      <c r="B331" t="s">
        <v>2105</v>
      </c>
      <c r="C331" s="35" t="s">
        <v>79</v>
      </c>
    </row>
    <row r="332" spans="1:3" x14ac:dyDescent="0.25">
      <c r="A332" s="36">
        <v>20959588016</v>
      </c>
      <c r="B332" t="s">
        <v>2107</v>
      </c>
      <c r="C332" s="35" t="s">
        <v>79</v>
      </c>
    </row>
    <row r="333" spans="1:3" x14ac:dyDescent="0.25">
      <c r="A333" s="36">
        <v>23323951594</v>
      </c>
      <c r="B333" t="s">
        <v>2116</v>
      </c>
      <c r="C333" s="35" t="s">
        <v>79</v>
      </c>
    </row>
    <row r="334" spans="1:3" x14ac:dyDescent="0.25">
      <c r="A334" s="36">
        <v>23224326459</v>
      </c>
      <c r="B334" t="s">
        <v>2119</v>
      </c>
      <c r="C334" s="35" t="s">
        <v>79</v>
      </c>
    </row>
    <row r="335" spans="1:3" x14ac:dyDescent="0.25">
      <c r="A335" s="36">
        <v>30716872463</v>
      </c>
      <c r="B335" t="s">
        <v>2135</v>
      </c>
      <c r="C335" s="35" t="s">
        <v>79</v>
      </c>
    </row>
    <row r="336" spans="1:3" x14ac:dyDescent="0.25">
      <c r="A336" s="36">
        <v>20922189146</v>
      </c>
      <c r="B336" t="s">
        <v>2129</v>
      </c>
      <c r="C336" s="35" t="s">
        <v>79</v>
      </c>
    </row>
    <row r="337" spans="1:3" x14ac:dyDescent="0.25">
      <c r="A337" s="36">
        <v>30717944883</v>
      </c>
      <c r="B337" t="s">
        <v>2142</v>
      </c>
      <c r="C337" s="35" t="s">
        <v>79</v>
      </c>
    </row>
    <row r="338" spans="1:3" x14ac:dyDescent="0.25">
      <c r="A338" s="36">
        <v>20302234389</v>
      </c>
      <c r="B338" t="s">
        <v>2162</v>
      </c>
      <c r="C338" s="35" t="s">
        <v>79</v>
      </c>
    </row>
    <row r="339" spans="1:3" x14ac:dyDescent="0.25">
      <c r="A339" s="36">
        <v>30715848232</v>
      </c>
      <c r="B339" t="s">
        <v>2164</v>
      </c>
      <c r="C339" s="35" t="s">
        <v>79</v>
      </c>
    </row>
    <row r="340" spans="1:3" x14ac:dyDescent="0.25">
      <c r="A340" s="36">
        <v>30718503481</v>
      </c>
      <c r="B340" t="s">
        <v>2153</v>
      </c>
      <c r="C340" s="35" t="s">
        <v>79</v>
      </c>
    </row>
    <row r="341" spans="1:3" x14ac:dyDescent="0.25">
      <c r="A341" s="36">
        <v>23161391999</v>
      </c>
      <c r="B341" t="s">
        <v>2157</v>
      </c>
      <c r="C341" s="35" t="s">
        <v>79</v>
      </c>
    </row>
    <row r="342" spans="1:3" x14ac:dyDescent="0.25">
      <c r="A342" s="36">
        <v>30655186693</v>
      </c>
      <c r="B342" t="s">
        <v>2167</v>
      </c>
      <c r="C342" s="35" t="s">
        <v>79</v>
      </c>
    </row>
    <row r="343" spans="1:3" x14ac:dyDescent="0.25">
      <c r="A343" s="36">
        <v>30601502085</v>
      </c>
      <c r="B343" t="s">
        <v>2163</v>
      </c>
      <c r="C343" s="35" t="s">
        <v>79</v>
      </c>
    </row>
    <row r="344" spans="1:3" x14ac:dyDescent="0.25">
      <c r="A344" s="36">
        <v>30715658107</v>
      </c>
      <c r="B344" t="s">
        <v>2168</v>
      </c>
      <c r="C344" s="35" t="s">
        <v>79</v>
      </c>
    </row>
    <row r="345" spans="1:3" x14ac:dyDescent="0.25">
      <c r="A345" s="36">
        <v>23428192419</v>
      </c>
      <c r="B345" t="s">
        <v>2175</v>
      </c>
      <c r="C345" s="35" t="s">
        <v>79</v>
      </c>
    </row>
    <row r="346" spans="1:3" x14ac:dyDescent="0.25">
      <c r="A346" s="36">
        <v>20233146022</v>
      </c>
      <c r="B346" t="s">
        <v>2182</v>
      </c>
      <c r="C346" s="35" t="s">
        <v>79</v>
      </c>
    </row>
    <row r="347" spans="1:3" x14ac:dyDescent="0.25">
      <c r="A347" s="36">
        <v>30712273174</v>
      </c>
      <c r="B347" t="s">
        <v>2172</v>
      </c>
      <c r="C347" s="35" t="s">
        <v>79</v>
      </c>
    </row>
    <row r="348" spans="1:3" x14ac:dyDescent="0.25">
      <c r="A348" s="36">
        <v>30711237697</v>
      </c>
      <c r="B348" t="s">
        <v>2173</v>
      </c>
      <c r="C348" s="35" t="s">
        <v>79</v>
      </c>
    </row>
    <row r="349" spans="1:3" x14ac:dyDescent="0.25">
      <c r="A349" s="36">
        <v>20120940628</v>
      </c>
      <c r="B349" t="s">
        <v>2185</v>
      </c>
      <c r="C349" s="35" t="s">
        <v>79</v>
      </c>
    </row>
    <row r="350" spans="1:3" x14ac:dyDescent="0.25">
      <c r="A350" s="36">
        <v>20310102076</v>
      </c>
      <c r="B350" t="s">
        <v>2192</v>
      </c>
      <c r="C350" s="35" t="s">
        <v>79</v>
      </c>
    </row>
    <row r="351" spans="1:3" x14ac:dyDescent="0.25">
      <c r="A351" s="36">
        <v>30540396295</v>
      </c>
      <c r="B351" t="s">
        <v>2183</v>
      </c>
      <c r="C351" s="35" t="s">
        <v>79</v>
      </c>
    </row>
    <row r="352" spans="1:3" x14ac:dyDescent="0.25">
      <c r="A352" s="36">
        <v>30714017736</v>
      </c>
      <c r="B352" t="s">
        <v>2201</v>
      </c>
      <c r="C352" s="35" t="s">
        <v>79</v>
      </c>
    </row>
    <row r="353" spans="1:3" x14ac:dyDescent="0.25">
      <c r="A353" s="36">
        <v>30697652694</v>
      </c>
      <c r="B353" t="s">
        <v>2187</v>
      </c>
      <c r="C353" s="35" t="s">
        <v>79</v>
      </c>
    </row>
    <row r="354" spans="1:3" x14ac:dyDescent="0.25">
      <c r="A354" s="36">
        <v>30717777359</v>
      </c>
      <c r="B354" t="s">
        <v>2202</v>
      </c>
      <c r="C354" s="35" t="s">
        <v>79</v>
      </c>
    </row>
    <row r="355" spans="1:3" x14ac:dyDescent="0.25">
      <c r="A355" s="36">
        <v>20214807808</v>
      </c>
      <c r="B355" t="s">
        <v>2205</v>
      </c>
      <c r="C355" s="35" t="s">
        <v>79</v>
      </c>
    </row>
    <row r="356" spans="1:3" x14ac:dyDescent="0.25">
      <c r="A356" s="36">
        <v>30714064572</v>
      </c>
      <c r="B356" t="s">
        <v>2208</v>
      </c>
      <c r="C356" s="35" t="s">
        <v>79</v>
      </c>
    </row>
    <row r="357" spans="1:3" x14ac:dyDescent="0.25">
      <c r="A357" s="36">
        <v>20373500241</v>
      </c>
      <c r="B357" t="s">
        <v>2212</v>
      </c>
      <c r="C357" s="35" t="s">
        <v>79</v>
      </c>
    </row>
    <row r="358" spans="1:3" x14ac:dyDescent="0.25">
      <c r="A358" s="36">
        <v>20323945897</v>
      </c>
      <c r="B358" t="s">
        <v>2216</v>
      </c>
      <c r="C358" s="35" t="s">
        <v>79</v>
      </c>
    </row>
    <row r="359" spans="1:3" x14ac:dyDescent="0.25">
      <c r="A359" s="36">
        <v>30716992663</v>
      </c>
      <c r="B359" t="s">
        <v>2209</v>
      </c>
      <c r="C359" s="35" t="s">
        <v>79</v>
      </c>
    </row>
    <row r="360" spans="1:3" x14ac:dyDescent="0.25">
      <c r="A360" s="36">
        <v>20362888558</v>
      </c>
      <c r="B360" t="s">
        <v>2219</v>
      </c>
      <c r="C360" s="35" t="s">
        <v>79</v>
      </c>
    </row>
    <row r="361" spans="1:3" x14ac:dyDescent="0.25">
      <c r="A361" s="36">
        <v>20936208690</v>
      </c>
      <c r="B361" t="s">
        <v>2224</v>
      </c>
      <c r="C361" s="35" t="s">
        <v>79</v>
      </c>
    </row>
    <row r="362" spans="1:3" x14ac:dyDescent="0.25">
      <c r="A362" s="36">
        <v>20316477110</v>
      </c>
      <c r="B362" t="s">
        <v>2226</v>
      </c>
      <c r="C362" s="35" t="s">
        <v>79</v>
      </c>
    </row>
    <row r="363" spans="1:3" x14ac:dyDescent="0.25">
      <c r="A363" s="36">
        <v>30718386515</v>
      </c>
      <c r="B363" t="s">
        <v>2229</v>
      </c>
      <c r="C363" s="35" t="s">
        <v>79</v>
      </c>
    </row>
    <row r="364" spans="1:3" x14ac:dyDescent="0.25">
      <c r="A364" s="36">
        <v>30717193926</v>
      </c>
      <c r="B364" t="s">
        <v>2242</v>
      </c>
      <c r="C364" s="35" t="s">
        <v>79</v>
      </c>
    </row>
    <row r="365" spans="1:3" x14ac:dyDescent="0.25">
      <c r="A365" s="36">
        <v>30718145534</v>
      </c>
      <c r="B365" t="s">
        <v>2227</v>
      </c>
      <c r="C365" s="35" t="s">
        <v>79</v>
      </c>
    </row>
    <row r="366" spans="1:3" x14ac:dyDescent="0.25">
      <c r="A366" s="36">
        <v>30717790800</v>
      </c>
      <c r="B366" t="s">
        <v>2245</v>
      </c>
      <c r="C366" s="35" t="s">
        <v>79</v>
      </c>
    </row>
    <row r="367" spans="1:3" x14ac:dyDescent="0.25">
      <c r="A367" s="36">
        <v>30715327712</v>
      </c>
      <c r="B367" t="s">
        <v>2231</v>
      </c>
      <c r="C367" s="35" t="s">
        <v>79</v>
      </c>
    </row>
    <row r="368" spans="1:3" x14ac:dyDescent="0.25">
      <c r="A368" s="36">
        <v>20167931732</v>
      </c>
      <c r="B368" t="s">
        <v>2238</v>
      </c>
      <c r="C368" s="35" t="s">
        <v>79</v>
      </c>
    </row>
    <row r="369" spans="1:3" x14ac:dyDescent="0.25">
      <c r="A369" s="36">
        <v>20367304007</v>
      </c>
      <c r="B369" t="s">
        <v>2240</v>
      </c>
      <c r="C369" s="35" t="s">
        <v>79</v>
      </c>
    </row>
    <row r="370" spans="1:3" x14ac:dyDescent="0.25">
      <c r="A370" s="36">
        <v>27317740196</v>
      </c>
      <c r="B370" t="s">
        <v>2249</v>
      </c>
      <c r="C370" s="35" t="s">
        <v>79</v>
      </c>
    </row>
    <row r="371" spans="1:3" x14ac:dyDescent="0.25">
      <c r="A371" s="36">
        <v>20269531062</v>
      </c>
      <c r="B371" t="s">
        <v>2244</v>
      </c>
      <c r="C371" s="35" t="s">
        <v>79</v>
      </c>
    </row>
    <row r="372" spans="1:3" x14ac:dyDescent="0.25">
      <c r="A372" s="36">
        <v>30639111012</v>
      </c>
      <c r="B372" t="s">
        <v>2257</v>
      </c>
      <c r="C372" s="35" t="s">
        <v>79</v>
      </c>
    </row>
    <row r="373" spans="1:3" x14ac:dyDescent="0.25">
      <c r="A373" s="36">
        <v>27136254990</v>
      </c>
      <c r="B373" t="s">
        <v>2261</v>
      </c>
      <c r="C373" s="35" t="s">
        <v>79</v>
      </c>
    </row>
    <row r="374" spans="1:3" x14ac:dyDescent="0.25">
      <c r="A374" s="36">
        <v>30716627205</v>
      </c>
      <c r="B374" t="s">
        <v>2252</v>
      </c>
      <c r="C374" s="35" t="s">
        <v>79</v>
      </c>
    </row>
    <row r="375" spans="1:3" x14ac:dyDescent="0.25">
      <c r="A375" s="36">
        <v>30707272038</v>
      </c>
      <c r="B375" t="s">
        <v>2281</v>
      </c>
      <c r="C375" s="35" t="s">
        <v>79</v>
      </c>
    </row>
    <row r="376" spans="1:3" x14ac:dyDescent="0.25">
      <c r="A376" s="36">
        <v>20628358223</v>
      </c>
      <c r="B376" t="s">
        <v>2263</v>
      </c>
      <c r="C376" s="35" t="s">
        <v>79</v>
      </c>
    </row>
    <row r="377" spans="1:3" x14ac:dyDescent="0.25">
      <c r="A377" s="36">
        <v>30532847547</v>
      </c>
      <c r="B377" t="s">
        <v>2272</v>
      </c>
      <c r="C377" s="35" t="s">
        <v>79</v>
      </c>
    </row>
    <row r="378" spans="1:3" x14ac:dyDescent="0.25">
      <c r="A378" s="36">
        <v>30714745294</v>
      </c>
      <c r="B378" t="s">
        <v>2274</v>
      </c>
      <c r="C378" s="35" t="s">
        <v>79</v>
      </c>
    </row>
    <row r="379" spans="1:3" x14ac:dyDescent="0.25">
      <c r="A379" s="36">
        <v>30718509552</v>
      </c>
      <c r="B379" t="s">
        <v>2280</v>
      </c>
      <c r="C379" s="35" t="s">
        <v>79</v>
      </c>
    </row>
    <row r="380" spans="1:3" x14ac:dyDescent="0.25">
      <c r="A380" s="36">
        <v>27284231878</v>
      </c>
      <c r="B380" t="s">
        <v>2283</v>
      </c>
      <c r="C380" s="35" t="s">
        <v>79</v>
      </c>
    </row>
    <row r="381" spans="1:3" x14ac:dyDescent="0.25">
      <c r="A381" s="36">
        <v>20347324559</v>
      </c>
      <c r="B381" t="s">
        <v>2287</v>
      </c>
      <c r="C381" s="35" t="s">
        <v>79</v>
      </c>
    </row>
    <row r="382" spans="1:3" x14ac:dyDescent="0.25">
      <c r="A382" s="36">
        <v>23104796729</v>
      </c>
      <c r="B382" t="s">
        <v>2288</v>
      </c>
      <c r="C382" s="35" t="s">
        <v>79</v>
      </c>
    </row>
    <row r="383" spans="1:3" x14ac:dyDescent="0.25">
      <c r="A383" s="36">
        <v>30695068286</v>
      </c>
      <c r="B383" t="s">
        <v>2291</v>
      </c>
      <c r="C383" s="35" t="s">
        <v>79</v>
      </c>
    </row>
    <row r="384" spans="1:3" x14ac:dyDescent="0.25">
      <c r="A384" s="36">
        <v>20166808201</v>
      </c>
      <c r="B384" t="s">
        <v>2295</v>
      </c>
      <c r="C384" s="35" t="s">
        <v>79</v>
      </c>
    </row>
    <row r="385" spans="1:3" x14ac:dyDescent="0.25">
      <c r="A385" s="36">
        <v>23173634749</v>
      </c>
      <c r="B385" t="s">
        <v>2299</v>
      </c>
      <c r="C385" s="35" t="s">
        <v>79</v>
      </c>
    </row>
    <row r="386" spans="1:3" x14ac:dyDescent="0.25">
      <c r="A386" s="36">
        <v>30708985682</v>
      </c>
      <c r="B386" t="s">
        <v>2304</v>
      </c>
      <c r="C386" s="35" t="s">
        <v>79</v>
      </c>
    </row>
    <row r="387" spans="1:3" x14ac:dyDescent="0.25">
      <c r="A387" s="36">
        <v>23957768849</v>
      </c>
      <c r="B387" t="s">
        <v>2263</v>
      </c>
      <c r="C387" s="35" t="s">
        <v>79</v>
      </c>
    </row>
    <row r="388" spans="1:3" x14ac:dyDescent="0.25">
      <c r="A388" s="36">
        <v>30710573308</v>
      </c>
      <c r="B388" t="s">
        <v>1570</v>
      </c>
      <c r="C388" s="35" t="s">
        <v>2562</v>
      </c>
    </row>
    <row r="389" spans="1:3" x14ac:dyDescent="0.25">
      <c r="A389" s="36">
        <v>30713387009</v>
      </c>
      <c r="B389" t="s">
        <v>1572</v>
      </c>
      <c r="C389" s="35" t="s">
        <v>2562</v>
      </c>
    </row>
    <row r="390" spans="1:3" x14ac:dyDescent="0.25">
      <c r="A390" s="36">
        <v>23238508789</v>
      </c>
      <c r="B390" t="s">
        <v>1573</v>
      </c>
      <c r="C390" s="35" t="s">
        <v>2562</v>
      </c>
    </row>
    <row r="391" spans="1:3" x14ac:dyDescent="0.25">
      <c r="A391" s="36">
        <v>30714930490</v>
      </c>
      <c r="B391" t="s">
        <v>1575</v>
      </c>
      <c r="C391" s="35" t="s">
        <v>2562</v>
      </c>
    </row>
    <row r="392" spans="1:3" x14ac:dyDescent="0.25">
      <c r="A392" s="36">
        <v>20298547822</v>
      </c>
      <c r="B392" t="s">
        <v>1581</v>
      </c>
      <c r="C392" s="35" t="s">
        <v>2562</v>
      </c>
    </row>
    <row r="393" spans="1:3" x14ac:dyDescent="0.25">
      <c r="A393" s="36">
        <v>30911634</v>
      </c>
      <c r="B393" t="s">
        <v>1694</v>
      </c>
      <c r="C393" s="35" t="s">
        <v>2563</v>
      </c>
    </row>
    <row r="394" spans="1:3" x14ac:dyDescent="0.25">
      <c r="A394" s="36">
        <v>27309116343</v>
      </c>
      <c r="B394" t="s">
        <v>1694</v>
      </c>
      <c r="C394" s="35" t="s">
        <v>2563</v>
      </c>
    </row>
    <row r="395" spans="1:3" x14ac:dyDescent="0.25">
      <c r="A395" s="36">
        <v>20388476711</v>
      </c>
      <c r="B395" t="s">
        <v>2294</v>
      </c>
      <c r="C395" s="35" t="s">
        <v>2563</v>
      </c>
    </row>
    <row r="396" spans="1:3" x14ac:dyDescent="0.25">
      <c r="A396" s="36">
        <v>27226409799</v>
      </c>
      <c r="B396" t="s">
        <v>2293</v>
      </c>
      <c r="C396" s="35" t="s">
        <v>2563</v>
      </c>
    </row>
    <row r="397" spans="1:3" x14ac:dyDescent="0.25">
      <c r="A397" s="36">
        <v>24180692653</v>
      </c>
      <c r="B397" t="s">
        <v>2292</v>
      </c>
      <c r="C397" s="35" t="s">
        <v>2563</v>
      </c>
    </row>
    <row r="398" spans="1:3" x14ac:dyDescent="0.25">
      <c r="A398" s="36">
        <v>20420115882</v>
      </c>
      <c r="B398" t="s">
        <v>2159</v>
      </c>
      <c r="C398" s="35" t="s">
        <v>2563</v>
      </c>
    </row>
    <row r="399" spans="1:3" x14ac:dyDescent="0.25">
      <c r="A399" s="36">
        <v>20186965818</v>
      </c>
      <c r="B399" t="s">
        <v>1785</v>
      </c>
      <c r="C399" s="35" t="s">
        <v>2563</v>
      </c>
    </row>
    <row r="400" spans="1:3" x14ac:dyDescent="0.25">
      <c r="A400" s="36">
        <v>20394167216</v>
      </c>
      <c r="B400" t="s">
        <v>1996</v>
      </c>
      <c r="C400" s="35" t="s">
        <v>2563</v>
      </c>
    </row>
    <row r="401" spans="1:3" x14ac:dyDescent="0.25">
      <c r="A401" s="36">
        <v>20086277523</v>
      </c>
      <c r="B401" t="s">
        <v>1434</v>
      </c>
      <c r="C401" s="35" t="s">
        <v>2564</v>
      </c>
    </row>
    <row r="402" spans="1:3" x14ac:dyDescent="0.25">
      <c r="A402" s="36">
        <v>20086277523</v>
      </c>
      <c r="B402" t="s">
        <v>1434</v>
      </c>
      <c r="C402" s="35" t="s">
        <v>2564</v>
      </c>
    </row>
    <row r="403" spans="1:3" x14ac:dyDescent="0.25">
      <c r="A403" s="36">
        <v>23319210954</v>
      </c>
      <c r="B403" t="s">
        <v>1401</v>
      </c>
      <c r="C403" s="35" t="s">
        <v>2564</v>
      </c>
    </row>
    <row r="404" spans="1:3" x14ac:dyDescent="0.25">
      <c r="A404" s="36">
        <v>20400104094</v>
      </c>
      <c r="B404" t="s">
        <v>1877</v>
      </c>
      <c r="C404" s="35" t="s">
        <v>2564</v>
      </c>
    </row>
    <row r="405" spans="1:3" x14ac:dyDescent="0.25">
      <c r="A405" s="36">
        <v>27206941419</v>
      </c>
      <c r="B405" t="s">
        <v>2048</v>
      </c>
      <c r="C405" s="35" t="s">
        <v>2564</v>
      </c>
    </row>
    <row r="406" spans="1:3" x14ac:dyDescent="0.25">
      <c r="A406" s="36">
        <v>20389908569</v>
      </c>
      <c r="B406" t="s">
        <v>2196</v>
      </c>
      <c r="C406" s="35" t="s">
        <v>2564</v>
      </c>
    </row>
    <row r="407" spans="1:3" x14ac:dyDescent="0.25">
      <c r="A407" s="36">
        <v>23291131204</v>
      </c>
      <c r="B407" t="s">
        <v>1652</v>
      </c>
      <c r="C407" s="35" t="s">
        <v>111</v>
      </c>
    </row>
    <row r="408" spans="1:3" x14ac:dyDescent="0.25">
      <c r="A408" s="36">
        <v>23080372469</v>
      </c>
      <c r="B408" t="s">
        <v>2132</v>
      </c>
      <c r="C408" s="35" t="s">
        <v>111</v>
      </c>
    </row>
    <row r="409" spans="1:3" x14ac:dyDescent="0.25">
      <c r="A409" s="36">
        <v>23168773684</v>
      </c>
      <c r="B409" t="s">
        <v>2150</v>
      </c>
      <c r="C409" s="35" t="s">
        <v>111</v>
      </c>
    </row>
    <row r="410" spans="1:3" x14ac:dyDescent="0.25">
      <c r="A410" s="36">
        <v>23259889359</v>
      </c>
      <c r="B410" t="s">
        <v>2160</v>
      </c>
      <c r="C410" s="35" t="s">
        <v>111</v>
      </c>
    </row>
    <row r="411" spans="1:3" x14ac:dyDescent="0.25">
      <c r="A411" s="36">
        <v>20148722081</v>
      </c>
      <c r="B411" t="s">
        <v>2161</v>
      </c>
      <c r="C411" s="35" t="s">
        <v>111</v>
      </c>
    </row>
    <row r="412" spans="1:3" x14ac:dyDescent="0.25">
      <c r="A412" s="36">
        <v>27057614051</v>
      </c>
      <c r="B412" t="s">
        <v>2200</v>
      </c>
      <c r="C412" s="35" t="s">
        <v>111</v>
      </c>
    </row>
    <row r="413" spans="1:3" x14ac:dyDescent="0.25">
      <c r="A413" s="36">
        <v>20210551574</v>
      </c>
      <c r="B413" t="s">
        <v>1402</v>
      </c>
      <c r="C413" s="35" t="s">
        <v>111</v>
      </c>
    </row>
    <row r="414" spans="1:3" x14ac:dyDescent="0.25">
      <c r="A414" s="36">
        <v>27065444777</v>
      </c>
      <c r="B414" t="s">
        <v>1876</v>
      </c>
      <c r="C414" s="35" t="s">
        <v>2565</v>
      </c>
    </row>
    <row r="415" spans="1:3" x14ac:dyDescent="0.25">
      <c r="A415" s="36">
        <v>20278226922</v>
      </c>
      <c r="B415" t="s">
        <v>2236</v>
      </c>
      <c r="C415" s="35" t="s">
        <v>2565</v>
      </c>
    </row>
    <row r="416" spans="1:3" x14ac:dyDescent="0.25">
      <c r="A416" s="36">
        <v>23222942934</v>
      </c>
      <c r="B416" t="s">
        <v>1848</v>
      </c>
      <c r="C416" s="35" t="s">
        <v>2565</v>
      </c>
    </row>
    <row r="417" spans="1:4" x14ac:dyDescent="0.25">
      <c r="A417" s="36">
        <v>27414720450</v>
      </c>
      <c r="B417" t="s">
        <v>2088</v>
      </c>
      <c r="C417" s="35" t="s">
        <v>2565</v>
      </c>
    </row>
    <row r="418" spans="1:4" x14ac:dyDescent="0.25">
      <c r="A418" s="36">
        <v>20134305283</v>
      </c>
      <c r="B418" t="s">
        <v>2099</v>
      </c>
      <c r="C418" s="35" t="s">
        <v>2565</v>
      </c>
    </row>
    <row r="419" spans="1:4" x14ac:dyDescent="0.25">
      <c r="A419" s="36">
        <v>30574603788</v>
      </c>
      <c r="B419" t="s">
        <v>1354</v>
      </c>
      <c r="C419" s="35" t="s">
        <v>2550</v>
      </c>
      <c r="D419" t="s">
        <v>1754</v>
      </c>
    </row>
    <row r="420" spans="1:4" x14ac:dyDescent="0.25">
      <c r="A420" s="36">
        <v>30717163296</v>
      </c>
      <c r="B420" t="s">
        <v>2037</v>
      </c>
      <c r="C420" s="35" t="s">
        <v>2550</v>
      </c>
    </row>
    <row r="421" spans="1:4" x14ac:dyDescent="0.25">
      <c r="A421" s="36">
        <v>20240305128</v>
      </c>
      <c r="B421" t="s">
        <v>1162</v>
      </c>
      <c r="C421" s="35" t="s">
        <v>46</v>
      </c>
    </row>
    <row r="422" spans="1:4" x14ac:dyDescent="0.25">
      <c r="A422" s="36">
        <v>20240305128</v>
      </c>
      <c r="B422" t="s">
        <v>1162</v>
      </c>
      <c r="C422" s="35" t="s">
        <v>46</v>
      </c>
    </row>
    <row r="423" spans="1:4" x14ac:dyDescent="0.25">
      <c r="A423" s="36">
        <v>20240305128</v>
      </c>
      <c r="B423" t="s">
        <v>1378</v>
      </c>
      <c r="C423" s="35" t="s">
        <v>46</v>
      </c>
    </row>
    <row r="424" spans="1:4" x14ac:dyDescent="0.25">
      <c r="A424" s="36">
        <v>20240305128</v>
      </c>
      <c r="B424" t="s">
        <v>1378</v>
      </c>
      <c r="C424" s="35" t="s">
        <v>46</v>
      </c>
    </row>
    <row r="425" spans="1:4" x14ac:dyDescent="0.25">
      <c r="A425" s="36">
        <v>20240305128</v>
      </c>
      <c r="B425" t="s">
        <v>1162</v>
      </c>
      <c r="C425" s="35" t="s">
        <v>46</v>
      </c>
    </row>
    <row r="426" spans="1:4" x14ac:dyDescent="0.25">
      <c r="A426" s="36">
        <v>20240305128</v>
      </c>
      <c r="B426" t="s">
        <v>1162</v>
      </c>
      <c r="C426" s="35" t="s">
        <v>46</v>
      </c>
    </row>
    <row r="427" spans="1:4" x14ac:dyDescent="0.25">
      <c r="A427" s="36">
        <v>20240305128</v>
      </c>
      <c r="B427" t="s">
        <v>1378</v>
      </c>
      <c r="C427" s="35" t="s">
        <v>46</v>
      </c>
    </row>
    <row r="428" spans="1:4" x14ac:dyDescent="0.25">
      <c r="A428" s="36">
        <v>20240305128</v>
      </c>
      <c r="B428" t="s">
        <v>1378</v>
      </c>
      <c r="C428" s="35" t="s">
        <v>46</v>
      </c>
    </row>
    <row r="429" spans="1:4" x14ac:dyDescent="0.25">
      <c r="A429" s="36">
        <v>30707838260</v>
      </c>
      <c r="B429" t="s">
        <v>1387</v>
      </c>
      <c r="C429" s="35" t="s">
        <v>46</v>
      </c>
    </row>
    <row r="430" spans="1:4" x14ac:dyDescent="0.25">
      <c r="A430" s="36">
        <v>30707838260</v>
      </c>
      <c r="B430" t="s">
        <v>1387</v>
      </c>
      <c r="C430" s="35" t="s">
        <v>46</v>
      </c>
    </row>
    <row r="431" spans="1:4" x14ac:dyDescent="0.25">
      <c r="A431" s="36">
        <v>30712778403</v>
      </c>
      <c r="B431" t="s">
        <v>135</v>
      </c>
      <c r="C431" s="35" t="s">
        <v>46</v>
      </c>
    </row>
    <row r="432" spans="1:4" x14ac:dyDescent="0.25">
      <c r="A432" s="36">
        <v>30710184816</v>
      </c>
      <c r="B432" t="s">
        <v>1948</v>
      </c>
      <c r="C432" s="35" t="s">
        <v>46</v>
      </c>
    </row>
    <row r="433" spans="1:3" x14ac:dyDescent="0.25">
      <c r="A433" s="36">
        <v>20115545397</v>
      </c>
      <c r="B433" t="s">
        <v>354</v>
      </c>
      <c r="C433" s="35" t="s">
        <v>46</v>
      </c>
    </row>
    <row r="434" spans="1:3" x14ac:dyDescent="0.25">
      <c r="A434" s="36">
        <v>30715148958</v>
      </c>
      <c r="B434" t="s">
        <v>355</v>
      </c>
      <c r="C434" s="35" t="s">
        <v>46</v>
      </c>
    </row>
    <row r="435" spans="1:3" x14ac:dyDescent="0.25">
      <c r="A435" s="36">
        <v>30679067431</v>
      </c>
      <c r="B435" t="s">
        <v>356</v>
      </c>
      <c r="C435" s="35" t="s">
        <v>46</v>
      </c>
    </row>
    <row r="436" spans="1:3" x14ac:dyDescent="0.25">
      <c r="A436" s="36">
        <v>20328816807</v>
      </c>
      <c r="B436" t="s">
        <v>1384</v>
      </c>
      <c r="C436" s="35" t="s">
        <v>46</v>
      </c>
    </row>
    <row r="437" spans="1:3" x14ac:dyDescent="0.25">
      <c r="A437" s="36">
        <v>20328816807</v>
      </c>
      <c r="B437" t="s">
        <v>1384</v>
      </c>
      <c r="C437" s="35" t="s">
        <v>46</v>
      </c>
    </row>
    <row r="438" spans="1:3" x14ac:dyDescent="0.25">
      <c r="A438" s="36">
        <v>30694547903</v>
      </c>
      <c r="B438" t="s">
        <v>1523</v>
      </c>
      <c r="C438" s="35" t="s">
        <v>46</v>
      </c>
    </row>
    <row r="439" spans="1:3" x14ac:dyDescent="0.25">
      <c r="A439" s="36">
        <v>20172002448</v>
      </c>
      <c r="B439" t="s">
        <v>1722</v>
      </c>
      <c r="C439" s="35" t="s">
        <v>46</v>
      </c>
    </row>
    <row r="440" spans="1:3" x14ac:dyDescent="0.25">
      <c r="A440" s="36">
        <v>30715683446</v>
      </c>
      <c r="B440" t="s">
        <v>1725</v>
      </c>
      <c r="C440" s="35" t="s">
        <v>46</v>
      </c>
    </row>
    <row r="441" spans="1:3" x14ac:dyDescent="0.25">
      <c r="A441" s="36">
        <v>30717768511</v>
      </c>
      <c r="B441" t="s">
        <v>1760</v>
      </c>
      <c r="C441" s="35" t="s">
        <v>46</v>
      </c>
    </row>
    <row r="442" spans="1:3" x14ac:dyDescent="0.25">
      <c r="A442" s="36">
        <v>30714120405</v>
      </c>
      <c r="B442" t="s">
        <v>1867</v>
      </c>
      <c r="C442" s="35" t="s">
        <v>46</v>
      </c>
    </row>
    <row r="443" spans="1:3" x14ac:dyDescent="0.25">
      <c r="A443" s="36">
        <v>20104345221</v>
      </c>
      <c r="B443" t="s">
        <v>1886</v>
      </c>
      <c r="C443" s="35" t="s">
        <v>46</v>
      </c>
    </row>
    <row r="444" spans="1:3" x14ac:dyDescent="0.25">
      <c r="A444" s="36">
        <v>30709487147</v>
      </c>
      <c r="B444" t="s">
        <v>1967</v>
      </c>
      <c r="C444" s="35" t="s">
        <v>46</v>
      </c>
    </row>
    <row r="445" spans="1:3" x14ac:dyDescent="0.25">
      <c r="A445" s="36">
        <v>30710043562</v>
      </c>
      <c r="B445" t="s">
        <v>1986</v>
      </c>
      <c r="C445" s="35" t="s">
        <v>46</v>
      </c>
    </row>
    <row r="446" spans="1:3" x14ac:dyDescent="0.25">
      <c r="A446" s="36">
        <v>30693293754</v>
      </c>
      <c r="B446" t="s">
        <v>2017</v>
      </c>
      <c r="C446" s="35" t="s">
        <v>46</v>
      </c>
    </row>
    <row r="447" spans="1:3" x14ac:dyDescent="0.25">
      <c r="A447" s="36">
        <v>30718208692</v>
      </c>
      <c r="B447" t="s">
        <v>2018</v>
      </c>
      <c r="C447" s="35" t="s">
        <v>46</v>
      </c>
    </row>
    <row r="448" spans="1:3" x14ac:dyDescent="0.25">
      <c r="A448" s="36">
        <v>30717202305</v>
      </c>
      <c r="B448" t="s">
        <v>2077</v>
      </c>
      <c r="C448" s="35" t="s">
        <v>46</v>
      </c>
    </row>
    <row r="449" spans="1:3" x14ac:dyDescent="0.25">
      <c r="A449" s="36">
        <v>20138520391</v>
      </c>
      <c r="B449" t="s">
        <v>2120</v>
      </c>
      <c r="C449" s="35" t="s">
        <v>46</v>
      </c>
    </row>
    <row r="450" spans="1:3" x14ac:dyDescent="0.25">
      <c r="A450" s="36">
        <v>20309749104</v>
      </c>
      <c r="B450" t="s">
        <v>2133</v>
      </c>
      <c r="C450" s="35" t="s">
        <v>46</v>
      </c>
    </row>
    <row r="451" spans="1:3" x14ac:dyDescent="0.25">
      <c r="A451" s="36">
        <v>20274978350</v>
      </c>
      <c r="B451" t="s">
        <v>2134</v>
      </c>
      <c r="C451" s="35" t="s">
        <v>46</v>
      </c>
    </row>
    <row r="452" spans="1:3" x14ac:dyDescent="0.25">
      <c r="A452" s="36">
        <v>30717210847</v>
      </c>
      <c r="B452" t="s">
        <v>2144</v>
      </c>
      <c r="C452" s="35" t="s">
        <v>46</v>
      </c>
    </row>
    <row r="453" spans="1:3" x14ac:dyDescent="0.25">
      <c r="A453" s="36">
        <v>20351173913</v>
      </c>
      <c r="B453" t="s">
        <v>2181</v>
      </c>
      <c r="C453" s="35" t="s">
        <v>46</v>
      </c>
    </row>
    <row r="454" spans="1:3" x14ac:dyDescent="0.25">
      <c r="A454" s="36">
        <v>20183053478</v>
      </c>
      <c r="B454" t="s">
        <v>2199</v>
      </c>
      <c r="C454" s="35" t="s">
        <v>46</v>
      </c>
    </row>
    <row r="455" spans="1:3" x14ac:dyDescent="0.25">
      <c r="A455" s="36">
        <v>20236922880</v>
      </c>
      <c r="B455" t="s">
        <v>2221</v>
      </c>
      <c r="C455" s="35" t="s">
        <v>46</v>
      </c>
    </row>
    <row r="456" spans="1:3" x14ac:dyDescent="0.25">
      <c r="A456" s="36">
        <v>20303568590</v>
      </c>
      <c r="B456" t="s">
        <v>2232</v>
      </c>
      <c r="C456" s="35" t="s">
        <v>46</v>
      </c>
    </row>
    <row r="457" spans="1:3" x14ac:dyDescent="0.25">
      <c r="A457" s="36">
        <v>30718201760</v>
      </c>
      <c r="B457" t="s">
        <v>2234</v>
      </c>
      <c r="C457" s="35" t="s">
        <v>46</v>
      </c>
    </row>
    <row r="458" spans="1:3" x14ac:dyDescent="0.25">
      <c r="A458" s="36">
        <v>30718329805</v>
      </c>
      <c r="B458" t="s">
        <v>2241</v>
      </c>
      <c r="C458" s="35" t="s">
        <v>46</v>
      </c>
    </row>
    <row r="459" spans="1:3" x14ac:dyDescent="0.25">
      <c r="A459" s="36">
        <v>30715360256</v>
      </c>
      <c r="B459" t="s">
        <v>2243</v>
      </c>
      <c r="C459" s="35" t="s">
        <v>46</v>
      </c>
    </row>
    <row r="460" spans="1:3" x14ac:dyDescent="0.25">
      <c r="A460" s="36">
        <v>30592097482</v>
      </c>
      <c r="B460" t="s">
        <v>2266</v>
      </c>
      <c r="C460" s="35" t="s">
        <v>46</v>
      </c>
    </row>
    <row r="461" spans="1:3" x14ac:dyDescent="0.25">
      <c r="A461" s="36">
        <v>33716304669</v>
      </c>
      <c r="B461" t="s">
        <v>2270</v>
      </c>
      <c r="C461" s="35" t="s">
        <v>46</v>
      </c>
    </row>
    <row r="462" spans="1:3" x14ac:dyDescent="0.25">
      <c r="A462" s="36">
        <v>30715279335</v>
      </c>
      <c r="B462" t="s">
        <v>1559</v>
      </c>
      <c r="C462" s="35" t="s">
        <v>2562</v>
      </c>
    </row>
    <row r="463" spans="1:3" x14ac:dyDescent="0.25">
      <c r="A463" s="36">
        <v>30714995002</v>
      </c>
      <c r="B463" t="s">
        <v>1096</v>
      </c>
      <c r="C463" s="35" t="s">
        <v>2562</v>
      </c>
    </row>
    <row r="464" spans="1:3" x14ac:dyDescent="0.25">
      <c r="A464" s="36">
        <v>30714995002</v>
      </c>
      <c r="B464" t="s">
        <v>1096</v>
      </c>
      <c r="C464" s="35" t="s">
        <v>2562</v>
      </c>
    </row>
    <row r="465" spans="1:3" x14ac:dyDescent="0.25">
      <c r="A465" s="36">
        <v>30714867349</v>
      </c>
      <c r="B465" t="s">
        <v>1445</v>
      </c>
      <c r="C465" s="35" t="s">
        <v>2562</v>
      </c>
    </row>
    <row r="466" spans="1:3" x14ac:dyDescent="0.25">
      <c r="A466" s="36">
        <v>30714867349</v>
      </c>
      <c r="B466" t="s">
        <v>1445</v>
      </c>
      <c r="C466" s="35" t="s">
        <v>2562</v>
      </c>
    </row>
    <row r="467" spans="1:3" x14ac:dyDescent="0.25">
      <c r="A467" s="36">
        <v>30715173030</v>
      </c>
      <c r="B467" t="s">
        <v>1385</v>
      </c>
      <c r="C467" s="35" t="s">
        <v>2562</v>
      </c>
    </row>
    <row r="468" spans="1:3" x14ac:dyDescent="0.25">
      <c r="A468" s="36">
        <v>30715173030</v>
      </c>
      <c r="B468" t="s">
        <v>1385</v>
      </c>
      <c r="C468" s="35" t="s">
        <v>2562</v>
      </c>
    </row>
    <row r="469" spans="1:3" x14ac:dyDescent="0.25">
      <c r="A469" s="36">
        <v>30709131865</v>
      </c>
      <c r="B469" t="s">
        <v>1515</v>
      </c>
      <c r="C469" s="35" t="s">
        <v>2562</v>
      </c>
    </row>
    <row r="470" spans="1:3" x14ac:dyDescent="0.25">
      <c r="A470" s="36">
        <v>30708263849</v>
      </c>
      <c r="B470" t="s">
        <v>789</v>
      </c>
      <c r="C470" s="35" t="s">
        <v>2562</v>
      </c>
    </row>
    <row r="471" spans="1:3" x14ac:dyDescent="0.25">
      <c r="A471" s="36">
        <v>30710449178</v>
      </c>
      <c r="B471" t="s">
        <v>1835</v>
      </c>
      <c r="C471" s="35" t="s">
        <v>2562</v>
      </c>
    </row>
    <row r="472" spans="1:3" x14ac:dyDescent="0.25">
      <c r="A472" s="36">
        <v>30519492136</v>
      </c>
      <c r="B472" t="s">
        <v>2060</v>
      </c>
      <c r="C472" s="35" t="s">
        <v>2562</v>
      </c>
    </row>
    <row r="473" spans="1:3" x14ac:dyDescent="0.25">
      <c r="A473" s="36">
        <v>30708456329</v>
      </c>
      <c r="B473" t="s">
        <v>2068</v>
      </c>
      <c r="C473" s="35" t="s">
        <v>2562</v>
      </c>
    </row>
    <row r="474" spans="1:3" x14ac:dyDescent="0.25">
      <c r="A474" s="36">
        <v>30640079378</v>
      </c>
      <c r="B474" t="s">
        <v>2123</v>
      </c>
      <c r="C474" s="35" t="s">
        <v>2562</v>
      </c>
    </row>
    <row r="475" spans="1:3" x14ac:dyDescent="0.25">
      <c r="A475" s="36">
        <v>30640451331</v>
      </c>
      <c r="B475" t="s">
        <v>2139</v>
      </c>
      <c r="C475" s="35" t="s">
        <v>2562</v>
      </c>
    </row>
    <row r="476" spans="1:3" x14ac:dyDescent="0.25">
      <c r="A476" s="36">
        <v>20372347296</v>
      </c>
      <c r="B476" t="s">
        <v>2141</v>
      </c>
      <c r="C476" s="35" t="s">
        <v>2562</v>
      </c>
    </row>
    <row r="477" spans="1:3" x14ac:dyDescent="0.25">
      <c r="A477" s="36">
        <v>30709705268</v>
      </c>
      <c r="B477" t="s">
        <v>2166</v>
      </c>
      <c r="C477" s="35" t="s">
        <v>2562</v>
      </c>
    </row>
    <row r="478" spans="1:3" x14ac:dyDescent="0.25">
      <c r="A478" s="36">
        <v>30708422300</v>
      </c>
      <c r="B478" t="s">
        <v>2215</v>
      </c>
      <c r="C478" s="35" t="s">
        <v>2562</v>
      </c>
    </row>
    <row r="479" spans="1:3" x14ac:dyDescent="0.25">
      <c r="A479" s="36">
        <v>20939955322</v>
      </c>
      <c r="B479" t="s">
        <v>2296</v>
      </c>
      <c r="C479" s="35" t="s">
        <v>2562</v>
      </c>
    </row>
    <row r="480" spans="1:3" x14ac:dyDescent="0.25">
      <c r="A480" s="36">
        <v>30716154102</v>
      </c>
      <c r="B480" t="s">
        <v>1557</v>
      </c>
      <c r="C480" s="35" t="s">
        <v>2566</v>
      </c>
    </row>
    <row r="481" spans="1:4" x14ac:dyDescent="0.25">
      <c r="A481" s="36">
        <v>30679163317</v>
      </c>
      <c r="B481" t="s">
        <v>1641</v>
      </c>
      <c r="C481" s="35" t="s">
        <v>2566</v>
      </c>
    </row>
    <row r="482" spans="1:4" x14ac:dyDescent="0.25">
      <c r="A482" s="36">
        <v>20183216725</v>
      </c>
      <c r="B482" t="s">
        <v>1750</v>
      </c>
      <c r="C482" s="35" t="s">
        <v>1753</v>
      </c>
      <c r="D482" t="s">
        <v>1754</v>
      </c>
    </row>
    <row r="483" spans="1:4" x14ac:dyDescent="0.25">
      <c r="A483" s="36">
        <v>30717504824</v>
      </c>
      <c r="B483" t="s">
        <v>1780</v>
      </c>
      <c r="C483" s="35" t="s">
        <v>1753</v>
      </c>
    </row>
    <row r="484" spans="1:4" x14ac:dyDescent="0.25">
      <c r="A484" s="36">
        <v>30715123483</v>
      </c>
      <c r="B484" t="s">
        <v>1953</v>
      </c>
      <c r="C484" s="35" t="s">
        <v>1753</v>
      </c>
    </row>
    <row r="485" spans="1:4" x14ac:dyDescent="0.25">
      <c r="A485" s="36">
        <v>20101797180</v>
      </c>
      <c r="B485" t="s">
        <v>2121</v>
      </c>
      <c r="C485" s="35" t="s">
        <v>1753</v>
      </c>
    </row>
    <row r="486" spans="1:4" x14ac:dyDescent="0.25">
      <c r="A486" s="36">
        <v>20121637864</v>
      </c>
      <c r="B486" t="s">
        <v>2140</v>
      </c>
      <c r="C486" s="35" t="s">
        <v>1753</v>
      </c>
    </row>
    <row r="487" spans="1:4" x14ac:dyDescent="0.25">
      <c r="A487" s="36">
        <v>30694497701</v>
      </c>
      <c r="B487" t="s">
        <v>2154</v>
      </c>
      <c r="C487" s="35" t="s">
        <v>1753</v>
      </c>
    </row>
    <row r="488" spans="1:4" x14ac:dyDescent="0.25">
      <c r="A488" s="36">
        <v>30645186083</v>
      </c>
      <c r="B488" t="s">
        <v>2170</v>
      </c>
      <c r="C488" s="35" t="s">
        <v>1753</v>
      </c>
    </row>
    <row r="489" spans="1:4" x14ac:dyDescent="0.25">
      <c r="A489" s="36">
        <v>30711097518</v>
      </c>
      <c r="B489" t="s">
        <v>2277</v>
      </c>
      <c r="C489" s="35" t="s">
        <v>1753</v>
      </c>
    </row>
    <row r="490" spans="1:4" x14ac:dyDescent="0.25">
      <c r="A490" s="36">
        <v>20247154753</v>
      </c>
      <c r="B490" t="s">
        <v>2278</v>
      </c>
      <c r="C490" s="35" t="s">
        <v>1753</v>
      </c>
    </row>
    <row r="491" spans="1:4" x14ac:dyDescent="0.25">
      <c r="A491" s="36">
        <v>20932321816</v>
      </c>
      <c r="B491" t="s">
        <v>2284</v>
      </c>
      <c r="C491" s="35" t="s">
        <v>1753</v>
      </c>
    </row>
    <row r="492" spans="1:4" x14ac:dyDescent="0.25">
      <c r="A492" s="36">
        <v>30717479641</v>
      </c>
      <c r="B492" t="s">
        <v>2286</v>
      </c>
      <c r="C492" s="35" t="s">
        <v>1753</v>
      </c>
    </row>
    <row r="493" spans="1:4" x14ac:dyDescent="0.25">
      <c r="A493" s="36">
        <v>30708166673</v>
      </c>
      <c r="B493" t="s">
        <v>2302</v>
      </c>
      <c r="C493" s="35" t="s">
        <v>1753</v>
      </c>
    </row>
    <row r="494" spans="1:4" x14ac:dyDescent="0.25">
      <c r="A494" s="36">
        <v>30646512952</v>
      </c>
      <c r="B494" t="s">
        <v>680</v>
      </c>
      <c r="C494" s="35" t="s">
        <v>2567</v>
      </c>
    </row>
    <row r="495" spans="1:4" x14ac:dyDescent="0.25">
      <c r="A495" s="36">
        <v>30696106068</v>
      </c>
      <c r="B495" t="s">
        <v>1535</v>
      </c>
      <c r="C495" s="35" t="s">
        <v>2567</v>
      </c>
    </row>
    <row r="496" spans="1:4" x14ac:dyDescent="0.25">
      <c r="A496" s="36">
        <v>30697754063</v>
      </c>
      <c r="B496" t="s">
        <v>681</v>
      </c>
      <c r="C496" s="35" t="s">
        <v>2567</v>
      </c>
    </row>
    <row r="497" spans="1:4" x14ac:dyDescent="0.25">
      <c r="A497" s="36">
        <v>33716463899</v>
      </c>
      <c r="B497" t="s">
        <v>1805</v>
      </c>
      <c r="C497" s="35" t="s">
        <v>2567</v>
      </c>
    </row>
    <row r="498" spans="1:4" x14ac:dyDescent="0.25">
      <c r="A498" s="36">
        <v>30716339757</v>
      </c>
      <c r="B498" t="s">
        <v>1831</v>
      </c>
      <c r="C498" s="35" t="s">
        <v>2567</v>
      </c>
    </row>
    <row r="499" spans="1:4" x14ac:dyDescent="0.25">
      <c r="A499" s="36">
        <v>30577428618</v>
      </c>
      <c r="B499" t="s">
        <v>98</v>
      </c>
      <c r="C499" s="35" t="s">
        <v>2567</v>
      </c>
    </row>
    <row r="500" spans="1:4" x14ac:dyDescent="0.25">
      <c r="A500" s="36" t="s">
        <v>1717</v>
      </c>
      <c r="B500" t="s">
        <v>1583</v>
      </c>
      <c r="C500" s="35" t="s">
        <v>2567</v>
      </c>
    </row>
    <row r="501" spans="1:4" x14ac:dyDescent="0.25">
      <c r="A501" s="36">
        <v>30553547942</v>
      </c>
      <c r="B501" t="s">
        <v>2006</v>
      </c>
      <c r="C501" s="35" t="s">
        <v>2567</v>
      </c>
    </row>
    <row r="502" spans="1:4" x14ac:dyDescent="0.25">
      <c r="A502" s="36">
        <v>30708560568</v>
      </c>
      <c r="B502" t="s">
        <v>2110</v>
      </c>
      <c r="C502" s="35" t="s">
        <v>2567</v>
      </c>
    </row>
    <row r="503" spans="1:4" x14ac:dyDescent="0.25">
      <c r="A503" s="36">
        <v>30707528008</v>
      </c>
      <c r="B503" t="s">
        <v>2128</v>
      </c>
      <c r="C503" s="35" t="s">
        <v>2567</v>
      </c>
    </row>
    <row r="504" spans="1:4" x14ac:dyDescent="0.25">
      <c r="A504" s="36">
        <v>30655261695</v>
      </c>
      <c r="B504" t="s">
        <v>2250</v>
      </c>
      <c r="C504" s="35" t="s">
        <v>2567</v>
      </c>
    </row>
    <row r="505" spans="1:4" x14ac:dyDescent="0.25">
      <c r="A505" s="36">
        <v>30707463143</v>
      </c>
      <c r="B505" t="s">
        <v>1365</v>
      </c>
      <c r="C505" s="35" t="s">
        <v>2568</v>
      </c>
    </row>
    <row r="506" spans="1:4" x14ac:dyDescent="0.25">
      <c r="A506" s="36">
        <v>30707463143</v>
      </c>
      <c r="B506" t="s">
        <v>1365</v>
      </c>
      <c r="C506" s="35" t="s">
        <v>2568</v>
      </c>
    </row>
    <row r="507" spans="1:4" x14ac:dyDescent="0.25">
      <c r="A507" s="36">
        <v>30707463143</v>
      </c>
      <c r="B507" t="s">
        <v>1148</v>
      </c>
      <c r="C507" s="35" t="s">
        <v>2568</v>
      </c>
    </row>
    <row r="508" spans="1:4" x14ac:dyDescent="0.25">
      <c r="A508" s="36">
        <v>30707463143</v>
      </c>
      <c r="B508" t="s">
        <v>1148</v>
      </c>
      <c r="C508" s="35" t="s">
        <v>2568</v>
      </c>
    </row>
    <row r="509" spans="1:4" x14ac:dyDescent="0.25">
      <c r="A509" s="36">
        <v>30707924906</v>
      </c>
      <c r="B509" t="s">
        <v>1824</v>
      </c>
      <c r="C509" s="35" t="s">
        <v>2568</v>
      </c>
    </row>
    <row r="510" spans="1:4" x14ac:dyDescent="0.25">
      <c r="A510" s="36">
        <v>30679907995</v>
      </c>
      <c r="B510" t="s">
        <v>1759</v>
      </c>
      <c r="C510" s="35" t="s">
        <v>2568</v>
      </c>
      <c r="D510" t="s">
        <v>1754</v>
      </c>
    </row>
    <row r="511" spans="1:4" x14ac:dyDescent="0.25">
      <c r="A511" s="36">
        <v>30528214483</v>
      </c>
      <c r="B511" t="s">
        <v>1736</v>
      </c>
      <c r="C511" s="35" t="s">
        <v>2568</v>
      </c>
    </row>
    <row r="512" spans="1:4" x14ac:dyDescent="0.25">
      <c r="A512" s="36">
        <v>30708779977</v>
      </c>
      <c r="B512" t="s">
        <v>2265</v>
      </c>
      <c r="C512" s="35" t="s">
        <v>2568</v>
      </c>
    </row>
    <row r="513" spans="1:3" x14ac:dyDescent="0.25">
      <c r="A513" s="36">
        <v>30708402911</v>
      </c>
      <c r="B513" t="s">
        <v>2569</v>
      </c>
      <c r="C513" s="35" t="s">
        <v>2568</v>
      </c>
    </row>
    <row r="514" spans="1:3" x14ac:dyDescent="0.25">
      <c r="A514" s="36">
        <v>3368716054</v>
      </c>
      <c r="B514" t="s">
        <v>125</v>
      </c>
      <c r="C514" s="35" t="s">
        <v>2568</v>
      </c>
    </row>
    <row r="515" spans="1:3" x14ac:dyDescent="0.25">
      <c r="A515" s="36">
        <v>33687160539</v>
      </c>
      <c r="B515" t="s">
        <v>125</v>
      </c>
      <c r="C515" s="35" t="s">
        <v>2568</v>
      </c>
    </row>
    <row r="516" spans="1:3" x14ac:dyDescent="0.25">
      <c r="A516" s="36">
        <v>30707867325</v>
      </c>
      <c r="B516" t="s">
        <v>126</v>
      </c>
      <c r="C516" s="35" t="s">
        <v>2568</v>
      </c>
    </row>
    <row r="517" spans="1:3" x14ac:dyDescent="0.25">
      <c r="A517" s="36">
        <v>30711694281</v>
      </c>
      <c r="B517" t="s">
        <v>137</v>
      </c>
      <c r="C517" s="35" t="s">
        <v>2568</v>
      </c>
    </row>
    <row r="518" spans="1:3" x14ac:dyDescent="0.25">
      <c r="A518" s="36">
        <v>30715225618</v>
      </c>
      <c r="B518" t="s">
        <v>143</v>
      </c>
      <c r="C518" s="35" t="s">
        <v>2568</v>
      </c>
    </row>
    <row r="519" spans="1:3" x14ac:dyDescent="0.25">
      <c r="A519" s="36">
        <v>30541849307</v>
      </c>
      <c r="B519" t="s">
        <v>153</v>
      </c>
      <c r="C519" s="35" t="s">
        <v>2568</v>
      </c>
    </row>
    <row r="520" spans="1:3" x14ac:dyDescent="0.25">
      <c r="A520" s="36">
        <v>20270084304</v>
      </c>
      <c r="B520" t="s">
        <v>156</v>
      </c>
      <c r="C520" s="35" t="s">
        <v>2568</v>
      </c>
    </row>
    <row r="521" spans="1:3" x14ac:dyDescent="0.25">
      <c r="A521" s="36">
        <v>20108381508</v>
      </c>
      <c r="B521" t="s">
        <v>159</v>
      </c>
      <c r="C521" s="35" t="s">
        <v>2568</v>
      </c>
    </row>
    <row r="522" spans="1:3" x14ac:dyDescent="0.25">
      <c r="A522" s="36">
        <v>20253264390</v>
      </c>
      <c r="B522" t="s">
        <v>162</v>
      </c>
      <c r="C522" s="35" t="s">
        <v>2568</v>
      </c>
    </row>
    <row r="523" spans="1:3" x14ac:dyDescent="0.25">
      <c r="A523" s="36">
        <v>23219640269</v>
      </c>
      <c r="B523" t="s">
        <v>168</v>
      </c>
      <c r="C523" s="35" t="s">
        <v>2568</v>
      </c>
    </row>
    <row r="524" spans="1:3" x14ac:dyDescent="0.25">
      <c r="A524" s="36">
        <v>30699407476</v>
      </c>
      <c r="B524" t="s">
        <v>169</v>
      </c>
      <c r="C524" s="35" t="s">
        <v>2568</v>
      </c>
    </row>
    <row r="525" spans="1:3" x14ac:dyDescent="0.25">
      <c r="A525" s="36">
        <v>30551450445</v>
      </c>
      <c r="B525" t="s">
        <v>171</v>
      </c>
      <c r="C525" s="35" t="s">
        <v>2568</v>
      </c>
    </row>
    <row r="526" spans="1:3" x14ac:dyDescent="0.25">
      <c r="A526" s="36">
        <v>30631285038</v>
      </c>
      <c r="B526" t="s">
        <v>174</v>
      </c>
      <c r="C526" s="35" t="s">
        <v>2568</v>
      </c>
    </row>
    <row r="527" spans="1:3" x14ac:dyDescent="0.25">
      <c r="A527" s="36">
        <v>30714254533</v>
      </c>
      <c r="B527" t="s">
        <v>175</v>
      </c>
      <c r="C527" s="35" t="s">
        <v>2568</v>
      </c>
    </row>
    <row r="528" spans="1:3" x14ac:dyDescent="0.25">
      <c r="A528" s="36">
        <v>30712354409</v>
      </c>
      <c r="B528" t="s">
        <v>176</v>
      </c>
      <c r="C528" s="35" t="s">
        <v>2568</v>
      </c>
    </row>
    <row r="529" spans="1:3" x14ac:dyDescent="0.25">
      <c r="A529" s="36">
        <v>30576631665</v>
      </c>
      <c r="B529" t="s">
        <v>177</v>
      </c>
      <c r="C529" s="35" t="s">
        <v>2568</v>
      </c>
    </row>
    <row r="530" spans="1:3" x14ac:dyDescent="0.25">
      <c r="A530" s="36">
        <v>30714696153</v>
      </c>
      <c r="B530" t="s">
        <v>184</v>
      </c>
      <c r="C530" s="35" t="s">
        <v>2568</v>
      </c>
    </row>
    <row r="531" spans="1:3" x14ac:dyDescent="0.25">
      <c r="A531" s="36">
        <v>30709443220</v>
      </c>
      <c r="B531" t="s">
        <v>201</v>
      </c>
      <c r="C531" s="35" t="s">
        <v>2568</v>
      </c>
    </row>
    <row r="532" spans="1:3" x14ac:dyDescent="0.25">
      <c r="A532" s="36">
        <v>30651822021</v>
      </c>
      <c r="B532" t="s">
        <v>216</v>
      </c>
      <c r="C532" s="35" t="s">
        <v>2568</v>
      </c>
    </row>
    <row r="533" spans="1:3" x14ac:dyDescent="0.25">
      <c r="A533" s="36">
        <v>30709273465</v>
      </c>
      <c r="B533" t="s">
        <v>220</v>
      </c>
      <c r="C533" s="35" t="s">
        <v>2568</v>
      </c>
    </row>
    <row r="534" spans="1:3" x14ac:dyDescent="0.25">
      <c r="A534" s="36">
        <v>30710149468</v>
      </c>
      <c r="B534" t="s">
        <v>222</v>
      </c>
      <c r="C534" s="35" t="s">
        <v>2568</v>
      </c>
    </row>
    <row r="535" spans="1:3" x14ac:dyDescent="0.25">
      <c r="A535" s="36">
        <v>30709863076</v>
      </c>
      <c r="B535" t="s">
        <v>1352</v>
      </c>
      <c r="C535" s="35" t="s">
        <v>2568</v>
      </c>
    </row>
    <row r="536" spans="1:3" x14ac:dyDescent="0.25">
      <c r="A536" s="36">
        <v>30709863076</v>
      </c>
      <c r="B536" t="s">
        <v>1352</v>
      </c>
      <c r="C536" s="35" t="s">
        <v>2568</v>
      </c>
    </row>
    <row r="537" spans="1:3" x14ac:dyDescent="0.25">
      <c r="A537" s="36">
        <v>33689726009</v>
      </c>
      <c r="B537" t="s">
        <v>2138</v>
      </c>
      <c r="C537" s="35" t="s">
        <v>2568</v>
      </c>
    </row>
    <row r="538" spans="1:3" x14ac:dyDescent="0.25">
      <c r="A538" s="36">
        <v>30697770069</v>
      </c>
      <c r="B538" t="s">
        <v>239</v>
      </c>
      <c r="C538" s="35" t="s">
        <v>2568</v>
      </c>
    </row>
    <row r="539" spans="1:3" x14ac:dyDescent="0.25">
      <c r="A539" s="36">
        <v>33715678689</v>
      </c>
      <c r="B539" t="s">
        <v>242</v>
      </c>
      <c r="C539" s="35" t="s">
        <v>2568</v>
      </c>
    </row>
    <row r="540" spans="1:3" x14ac:dyDescent="0.25">
      <c r="A540" s="36">
        <v>30559807970</v>
      </c>
      <c r="B540" t="s">
        <v>249</v>
      </c>
      <c r="C540" s="35" t="s">
        <v>2568</v>
      </c>
    </row>
    <row r="541" spans="1:3" x14ac:dyDescent="0.25">
      <c r="A541" s="36">
        <v>30708214813</v>
      </c>
      <c r="B541" t="s">
        <v>251</v>
      </c>
      <c r="C541" s="35" t="s">
        <v>2568</v>
      </c>
    </row>
    <row r="542" spans="1:3" x14ac:dyDescent="0.25">
      <c r="A542" s="36">
        <v>30709267821</v>
      </c>
      <c r="B542" t="s">
        <v>255</v>
      </c>
      <c r="C542" s="35" t="s">
        <v>2568</v>
      </c>
    </row>
    <row r="543" spans="1:3" x14ac:dyDescent="0.25">
      <c r="A543" s="36">
        <v>30707249001</v>
      </c>
      <c r="B543" t="s">
        <v>258</v>
      </c>
      <c r="C543" s="35" t="s">
        <v>2568</v>
      </c>
    </row>
    <row r="544" spans="1:3" x14ac:dyDescent="0.25">
      <c r="A544" s="36">
        <v>20929018347</v>
      </c>
      <c r="B544" t="s">
        <v>270</v>
      </c>
      <c r="C544" s="35" t="s">
        <v>2568</v>
      </c>
    </row>
    <row r="545" spans="1:3" x14ac:dyDescent="0.25">
      <c r="A545" s="36">
        <v>20236755526</v>
      </c>
      <c r="B545" t="s">
        <v>272</v>
      </c>
      <c r="C545" s="35" t="s">
        <v>2568</v>
      </c>
    </row>
    <row r="546" spans="1:3" x14ac:dyDescent="0.25">
      <c r="A546" s="36">
        <v>30678264969</v>
      </c>
      <c r="B546" t="s">
        <v>279</v>
      </c>
      <c r="C546" s="35" t="s">
        <v>2568</v>
      </c>
    </row>
    <row r="547" spans="1:3" x14ac:dyDescent="0.25">
      <c r="A547" s="36">
        <v>30707682279</v>
      </c>
      <c r="B547" t="s">
        <v>280</v>
      </c>
      <c r="C547" s="35" t="s">
        <v>2568</v>
      </c>
    </row>
    <row r="548" spans="1:3" x14ac:dyDescent="0.25">
      <c r="A548" s="36">
        <v>20958560177</v>
      </c>
      <c r="B548" t="s">
        <v>2156</v>
      </c>
      <c r="C548" s="35" t="s">
        <v>2568</v>
      </c>
    </row>
    <row r="549" spans="1:3" x14ac:dyDescent="0.25">
      <c r="A549" s="36">
        <v>30500805222</v>
      </c>
      <c r="B549" t="s">
        <v>283</v>
      </c>
      <c r="C549" s="35" t="s">
        <v>2568</v>
      </c>
    </row>
    <row r="550" spans="1:3" x14ac:dyDescent="0.25">
      <c r="A550" s="36">
        <v>33709050589</v>
      </c>
      <c r="B550" t="s">
        <v>286</v>
      </c>
      <c r="C550" s="35" t="s">
        <v>2568</v>
      </c>
    </row>
    <row r="551" spans="1:3" x14ac:dyDescent="0.25">
      <c r="A551" s="36">
        <v>30709153095</v>
      </c>
      <c r="B551" t="s">
        <v>334</v>
      </c>
      <c r="C551" s="35" t="s">
        <v>2568</v>
      </c>
    </row>
    <row r="552" spans="1:3" x14ac:dyDescent="0.25">
      <c r="A552" s="36">
        <v>30710386559</v>
      </c>
      <c r="B552" t="s">
        <v>337</v>
      </c>
      <c r="C552" s="35" t="s">
        <v>2568</v>
      </c>
    </row>
    <row r="553" spans="1:3" x14ac:dyDescent="0.25">
      <c r="A553" s="36">
        <v>20162031326</v>
      </c>
      <c r="B553" t="s">
        <v>344</v>
      </c>
      <c r="C553" s="35" t="s">
        <v>2568</v>
      </c>
    </row>
    <row r="554" spans="1:3" x14ac:dyDescent="0.25">
      <c r="A554" s="36">
        <v>30500833781</v>
      </c>
      <c r="B554" t="s">
        <v>374</v>
      </c>
      <c r="C554" s="35" t="s">
        <v>2568</v>
      </c>
    </row>
    <row r="555" spans="1:3" x14ac:dyDescent="0.25">
      <c r="A555" s="36">
        <v>27345827841</v>
      </c>
      <c r="B555" t="s">
        <v>377</v>
      </c>
      <c r="C555" s="35" t="s">
        <v>2568</v>
      </c>
    </row>
    <row r="556" spans="1:3" x14ac:dyDescent="0.25">
      <c r="A556" s="36">
        <v>30712512241</v>
      </c>
      <c r="B556" t="s">
        <v>397</v>
      </c>
      <c r="C556" s="35" t="s">
        <v>2568</v>
      </c>
    </row>
    <row r="557" spans="1:3" x14ac:dyDescent="0.25">
      <c r="A557" s="36">
        <v>30651861299</v>
      </c>
      <c r="B557" t="s">
        <v>403</v>
      </c>
      <c r="C557" s="35" t="s">
        <v>2568</v>
      </c>
    </row>
    <row r="558" spans="1:3" x14ac:dyDescent="0.25">
      <c r="A558" s="36">
        <v>30702997352</v>
      </c>
      <c r="B558" t="s">
        <v>413</v>
      </c>
      <c r="C558" s="35" t="s">
        <v>2568</v>
      </c>
    </row>
    <row r="559" spans="1:3" x14ac:dyDescent="0.25">
      <c r="A559" s="36">
        <v>20182873277</v>
      </c>
      <c r="B559" t="s">
        <v>414</v>
      </c>
      <c r="C559" s="35" t="s">
        <v>2568</v>
      </c>
    </row>
    <row r="560" spans="1:3" x14ac:dyDescent="0.25">
      <c r="A560" s="36">
        <v>27101420391</v>
      </c>
      <c r="B560" t="s">
        <v>417</v>
      </c>
      <c r="C560" s="35" t="s">
        <v>2568</v>
      </c>
    </row>
    <row r="561" spans="1:3" x14ac:dyDescent="0.25">
      <c r="A561" s="36">
        <v>20044447437</v>
      </c>
      <c r="B561" t="s">
        <v>422</v>
      </c>
      <c r="C561" s="35" t="s">
        <v>2568</v>
      </c>
    </row>
    <row r="562" spans="1:3" x14ac:dyDescent="0.25">
      <c r="A562" s="36">
        <v>20239529772</v>
      </c>
      <c r="B562" t="s">
        <v>426</v>
      </c>
      <c r="C562" s="35" t="s">
        <v>2568</v>
      </c>
    </row>
    <row r="563" spans="1:3" x14ac:dyDescent="0.25">
      <c r="A563" s="36">
        <v>23233422029</v>
      </c>
      <c r="B563" t="s">
        <v>432</v>
      </c>
      <c r="C563" s="35" t="s">
        <v>2568</v>
      </c>
    </row>
    <row r="564" spans="1:3" x14ac:dyDescent="0.25">
      <c r="A564" s="36">
        <v>30707518541</v>
      </c>
      <c r="B564" t="s">
        <v>439</v>
      </c>
      <c r="C564" s="35" t="s">
        <v>2568</v>
      </c>
    </row>
    <row r="565" spans="1:3" x14ac:dyDescent="0.25">
      <c r="A565" s="36">
        <v>30715672290</v>
      </c>
      <c r="B565" t="s">
        <v>443</v>
      </c>
      <c r="C565" s="35" t="s">
        <v>2568</v>
      </c>
    </row>
    <row r="566" spans="1:3" x14ac:dyDescent="0.25">
      <c r="A566" s="36">
        <v>30707042679</v>
      </c>
      <c r="B566" t="s">
        <v>444</v>
      </c>
      <c r="C566" s="35" t="s">
        <v>2568</v>
      </c>
    </row>
    <row r="567" spans="1:3" x14ac:dyDescent="0.25">
      <c r="A567" s="36">
        <v>20077901370</v>
      </c>
      <c r="B567" t="s">
        <v>451</v>
      </c>
      <c r="C567" s="35" t="s">
        <v>2568</v>
      </c>
    </row>
    <row r="568" spans="1:3" x14ac:dyDescent="0.25">
      <c r="A568" s="36">
        <v>30710816049</v>
      </c>
      <c r="B568" t="s">
        <v>456</v>
      </c>
      <c r="C568" s="35" t="s">
        <v>2568</v>
      </c>
    </row>
    <row r="569" spans="1:3" x14ac:dyDescent="0.25">
      <c r="A569" s="36">
        <v>30679139122</v>
      </c>
      <c r="B569" t="s">
        <v>465</v>
      </c>
      <c r="C569" s="35" t="s">
        <v>2568</v>
      </c>
    </row>
    <row r="570" spans="1:3" x14ac:dyDescent="0.25">
      <c r="A570" s="36">
        <v>30549180783</v>
      </c>
      <c r="B570" t="s">
        <v>467</v>
      </c>
      <c r="C570" s="35" t="s">
        <v>2568</v>
      </c>
    </row>
    <row r="571" spans="1:3" x14ac:dyDescent="0.25">
      <c r="A571" s="36">
        <v>30708469986</v>
      </c>
      <c r="B571" t="s">
        <v>472</v>
      </c>
      <c r="C571" s="35" t="s">
        <v>2568</v>
      </c>
    </row>
    <row r="572" spans="1:3" x14ac:dyDescent="0.25">
      <c r="A572" s="36">
        <v>30702073657</v>
      </c>
      <c r="B572" t="s">
        <v>2197</v>
      </c>
      <c r="C572" s="35" t="s">
        <v>2568</v>
      </c>
    </row>
    <row r="573" spans="1:3" x14ac:dyDescent="0.25">
      <c r="A573" s="36">
        <v>30715772783</v>
      </c>
      <c r="B573" t="s">
        <v>487</v>
      </c>
      <c r="C573" s="35" t="s">
        <v>2568</v>
      </c>
    </row>
    <row r="574" spans="1:3" x14ac:dyDescent="0.25">
      <c r="A574" s="36">
        <v>20269013746</v>
      </c>
      <c r="B574" t="s">
        <v>491</v>
      </c>
      <c r="C574" s="35" t="s">
        <v>2568</v>
      </c>
    </row>
    <row r="575" spans="1:3" x14ac:dyDescent="0.25">
      <c r="A575" s="36">
        <v>20291935401</v>
      </c>
      <c r="B575" t="s">
        <v>493</v>
      </c>
      <c r="C575" s="35" t="s">
        <v>2568</v>
      </c>
    </row>
    <row r="576" spans="1:3" x14ac:dyDescent="0.25">
      <c r="A576" s="36">
        <v>20081262897</v>
      </c>
      <c r="B576" t="s">
        <v>497</v>
      </c>
      <c r="C576" s="35" t="s">
        <v>2568</v>
      </c>
    </row>
    <row r="577" spans="1:4" x14ac:dyDescent="0.25">
      <c r="A577" s="36">
        <v>30640804463</v>
      </c>
      <c r="B577" t="s">
        <v>1951</v>
      </c>
      <c r="C577" s="35" t="s">
        <v>2568</v>
      </c>
    </row>
    <row r="578" spans="1:4" x14ac:dyDescent="0.25">
      <c r="A578" s="36">
        <v>30713979704</v>
      </c>
      <c r="B578" t="s">
        <v>525</v>
      </c>
      <c r="C578" s="35" t="s">
        <v>2568</v>
      </c>
    </row>
    <row r="579" spans="1:4" x14ac:dyDescent="0.25">
      <c r="A579" s="36">
        <v>20181837617</v>
      </c>
      <c r="B579" t="s">
        <v>527</v>
      </c>
      <c r="C579" s="35" t="s">
        <v>2568</v>
      </c>
    </row>
    <row r="580" spans="1:4" x14ac:dyDescent="0.25">
      <c r="A580" s="36">
        <v>20232991527</v>
      </c>
      <c r="B580" t="s">
        <v>538</v>
      </c>
      <c r="C580" s="35" t="s">
        <v>2568</v>
      </c>
    </row>
    <row r="581" spans="1:4" x14ac:dyDescent="0.25">
      <c r="A581" s="36">
        <v>20372789507</v>
      </c>
      <c r="B581" t="s">
        <v>1928</v>
      </c>
      <c r="C581" s="35" t="s">
        <v>2568</v>
      </c>
      <c r="D581" t="s">
        <v>1754</v>
      </c>
    </row>
    <row r="582" spans="1:4" x14ac:dyDescent="0.25">
      <c r="A582" s="36">
        <v>27243890484</v>
      </c>
      <c r="B582" t="s">
        <v>1789</v>
      </c>
      <c r="C582" s="35" t="s">
        <v>2568</v>
      </c>
    </row>
    <row r="583" spans="1:4" x14ac:dyDescent="0.25">
      <c r="A583" s="36">
        <v>30707838384</v>
      </c>
      <c r="B583" t="s">
        <v>549</v>
      </c>
      <c r="C583" s="35" t="s">
        <v>2568</v>
      </c>
    </row>
    <row r="584" spans="1:4" x14ac:dyDescent="0.25">
      <c r="A584" s="36">
        <v>30715564749</v>
      </c>
      <c r="B584" t="s">
        <v>560</v>
      </c>
      <c r="C584" s="35" t="s">
        <v>2568</v>
      </c>
    </row>
    <row r="585" spans="1:4" x14ac:dyDescent="0.25">
      <c r="A585" s="36">
        <v>30625911334</v>
      </c>
      <c r="B585" t="s">
        <v>561</v>
      </c>
      <c r="C585" s="35" t="s">
        <v>2568</v>
      </c>
    </row>
    <row r="586" spans="1:4" x14ac:dyDescent="0.25">
      <c r="A586" s="36">
        <v>30714187658</v>
      </c>
      <c r="B586" t="s">
        <v>566</v>
      </c>
      <c r="C586" s="35" t="s">
        <v>2568</v>
      </c>
    </row>
    <row r="587" spans="1:4" x14ac:dyDescent="0.25">
      <c r="A587" s="36">
        <v>30504854023</v>
      </c>
      <c r="B587" t="s">
        <v>571</v>
      </c>
      <c r="C587" s="35" t="s">
        <v>2568</v>
      </c>
    </row>
    <row r="588" spans="1:4" x14ac:dyDescent="0.25">
      <c r="A588" s="36">
        <v>30712162682</v>
      </c>
      <c r="B588" t="s">
        <v>2111</v>
      </c>
      <c r="C588" s="35" t="s">
        <v>2568</v>
      </c>
    </row>
    <row r="589" spans="1:4" x14ac:dyDescent="0.25">
      <c r="A589" s="36">
        <v>30714911976</v>
      </c>
      <c r="B589" t="s">
        <v>582</v>
      </c>
      <c r="C589" s="35" t="s">
        <v>2568</v>
      </c>
    </row>
    <row r="590" spans="1:4" x14ac:dyDescent="0.25">
      <c r="A590" s="36">
        <v>30712543120</v>
      </c>
      <c r="B590" t="s">
        <v>2125</v>
      </c>
      <c r="C590" s="35" t="s">
        <v>2568</v>
      </c>
    </row>
    <row r="591" spans="1:4" x14ac:dyDescent="0.25">
      <c r="A591" s="36">
        <v>30708387114</v>
      </c>
      <c r="B591" t="s">
        <v>584</v>
      </c>
      <c r="C591" s="35" t="s">
        <v>2568</v>
      </c>
    </row>
    <row r="592" spans="1:4" x14ac:dyDescent="0.25">
      <c r="A592" s="36">
        <v>30709059471</v>
      </c>
      <c r="B592" t="s">
        <v>585</v>
      </c>
      <c r="C592" s="35" t="s">
        <v>2568</v>
      </c>
    </row>
    <row r="593" spans="1:3" x14ac:dyDescent="0.25">
      <c r="A593" s="36">
        <v>30702843576</v>
      </c>
      <c r="B593" t="s">
        <v>586</v>
      </c>
      <c r="C593" s="35" t="s">
        <v>2568</v>
      </c>
    </row>
    <row r="594" spans="1:3" x14ac:dyDescent="0.25">
      <c r="A594" s="36">
        <v>30710444273</v>
      </c>
      <c r="B594" t="s">
        <v>2285</v>
      </c>
      <c r="C594" s="35" t="s">
        <v>2568</v>
      </c>
    </row>
    <row r="595" spans="1:3" x14ac:dyDescent="0.25">
      <c r="A595" s="36">
        <v>30598946694</v>
      </c>
      <c r="B595" t="s">
        <v>535</v>
      </c>
      <c r="C595" s="35" t="s">
        <v>2568</v>
      </c>
    </row>
    <row r="596" spans="1:3" x14ac:dyDescent="0.25">
      <c r="A596" s="36">
        <v>30500597557</v>
      </c>
      <c r="B596" t="s">
        <v>601</v>
      </c>
      <c r="C596" s="35" t="s">
        <v>2568</v>
      </c>
    </row>
    <row r="597" spans="1:3" x14ac:dyDescent="0.25">
      <c r="A597" s="36">
        <v>30611371213</v>
      </c>
      <c r="B597" t="s">
        <v>602</v>
      </c>
      <c r="C597" s="35" t="s">
        <v>2568</v>
      </c>
    </row>
    <row r="598" spans="1:3" x14ac:dyDescent="0.25">
      <c r="A598" s="36">
        <v>30661498575</v>
      </c>
      <c r="B598" t="s">
        <v>606</v>
      </c>
      <c r="C598" s="35" t="s">
        <v>2568</v>
      </c>
    </row>
    <row r="599" spans="1:3" x14ac:dyDescent="0.25">
      <c r="A599" s="36">
        <v>33709738459</v>
      </c>
      <c r="B599" t="s">
        <v>607</v>
      </c>
      <c r="C599" s="35" t="s">
        <v>2568</v>
      </c>
    </row>
    <row r="600" spans="1:3" x14ac:dyDescent="0.25">
      <c r="A600" s="36">
        <v>30696246234</v>
      </c>
      <c r="B600" t="s">
        <v>608</v>
      </c>
      <c r="C600" s="35" t="s">
        <v>2568</v>
      </c>
    </row>
    <row r="601" spans="1:3" x14ac:dyDescent="0.25">
      <c r="A601" s="36">
        <v>30707080198</v>
      </c>
      <c r="B601" t="s">
        <v>617</v>
      </c>
      <c r="C601" s="35" t="s">
        <v>2568</v>
      </c>
    </row>
    <row r="602" spans="1:3" x14ac:dyDescent="0.25">
      <c r="A602" s="36">
        <v>30643862928</v>
      </c>
      <c r="B602" t="s">
        <v>618</v>
      </c>
      <c r="C602" s="35" t="s">
        <v>2568</v>
      </c>
    </row>
    <row r="603" spans="1:3" x14ac:dyDescent="0.25">
      <c r="A603" s="36">
        <v>20225106151</v>
      </c>
      <c r="B603" t="s">
        <v>629</v>
      </c>
      <c r="C603" s="35" t="s">
        <v>2568</v>
      </c>
    </row>
    <row r="604" spans="1:3" x14ac:dyDescent="0.25">
      <c r="A604" s="36">
        <v>30591633984</v>
      </c>
      <c r="B604" t="s">
        <v>631</v>
      </c>
      <c r="C604" s="35" t="s">
        <v>2568</v>
      </c>
    </row>
    <row r="605" spans="1:3" x14ac:dyDescent="0.25">
      <c r="A605" s="36">
        <v>30588917157</v>
      </c>
      <c r="B605" t="s">
        <v>635</v>
      </c>
      <c r="C605" s="35" t="s">
        <v>2568</v>
      </c>
    </row>
    <row r="606" spans="1:3" x14ac:dyDescent="0.25">
      <c r="A606" s="36">
        <v>30715401114</v>
      </c>
      <c r="B606" t="s">
        <v>638</v>
      </c>
      <c r="C606" s="35" t="s">
        <v>2568</v>
      </c>
    </row>
    <row r="607" spans="1:3" x14ac:dyDescent="0.25">
      <c r="A607" s="36">
        <v>20101144152</v>
      </c>
      <c r="B607" t="s">
        <v>2218</v>
      </c>
      <c r="C607" s="35" t="s">
        <v>2568</v>
      </c>
    </row>
    <row r="608" spans="1:3" x14ac:dyDescent="0.25">
      <c r="A608" s="36">
        <v>20277890306</v>
      </c>
      <c r="B608" t="s">
        <v>665</v>
      </c>
      <c r="C608" s="35" t="s">
        <v>2568</v>
      </c>
    </row>
    <row r="609" spans="1:4" x14ac:dyDescent="0.25">
      <c r="A609" s="36">
        <v>30502174904</v>
      </c>
      <c r="B609" t="s">
        <v>674</v>
      </c>
      <c r="C609" s="35" t="s">
        <v>2568</v>
      </c>
    </row>
    <row r="610" spans="1:4" x14ac:dyDescent="0.25">
      <c r="A610" s="36">
        <v>20304493039</v>
      </c>
      <c r="B610" t="s">
        <v>687</v>
      </c>
      <c r="C610" s="35" t="s">
        <v>2568</v>
      </c>
    </row>
    <row r="611" spans="1:4" x14ac:dyDescent="0.25">
      <c r="A611" s="36">
        <v>33517024819</v>
      </c>
      <c r="B611" t="s">
        <v>694</v>
      </c>
      <c r="C611" s="35" t="s">
        <v>2568</v>
      </c>
    </row>
    <row r="612" spans="1:4" x14ac:dyDescent="0.25">
      <c r="A612" s="36">
        <v>30709568260</v>
      </c>
      <c r="B612" t="s">
        <v>705</v>
      </c>
      <c r="C612" s="35" t="s">
        <v>2568</v>
      </c>
    </row>
    <row r="613" spans="1:4" x14ac:dyDescent="0.25">
      <c r="A613" s="36">
        <v>30503940147</v>
      </c>
      <c r="B613" t="s">
        <v>725</v>
      </c>
      <c r="C613" s="35" t="s">
        <v>2568</v>
      </c>
    </row>
    <row r="614" spans="1:4" x14ac:dyDescent="0.25">
      <c r="A614" s="36">
        <v>27163348190</v>
      </c>
      <c r="B614" t="s">
        <v>727</v>
      </c>
      <c r="C614" s="35" t="s">
        <v>2568</v>
      </c>
    </row>
    <row r="615" spans="1:4" x14ac:dyDescent="0.25">
      <c r="A615" s="36">
        <v>30714863815</v>
      </c>
      <c r="B615" t="s">
        <v>1555</v>
      </c>
      <c r="C615" s="35" t="s">
        <v>2568</v>
      </c>
    </row>
    <row r="616" spans="1:4" x14ac:dyDescent="0.25">
      <c r="A616" s="36">
        <v>30517345039</v>
      </c>
      <c r="B616" t="s">
        <v>729</v>
      </c>
      <c r="C616" s="35" t="s">
        <v>2568</v>
      </c>
    </row>
    <row r="617" spans="1:4" x14ac:dyDescent="0.25">
      <c r="A617" s="36">
        <v>20082988786</v>
      </c>
      <c r="B617" t="s">
        <v>736</v>
      </c>
      <c r="C617" s="35" t="s">
        <v>2568</v>
      </c>
    </row>
    <row r="618" spans="1:4" x14ac:dyDescent="0.25">
      <c r="A618" s="36">
        <v>30707370552</v>
      </c>
      <c r="B618" t="s">
        <v>739</v>
      </c>
      <c r="C618" s="35" t="s">
        <v>2568</v>
      </c>
    </row>
    <row r="619" spans="1:4" x14ac:dyDescent="0.25">
      <c r="A619" s="36">
        <v>20231009524</v>
      </c>
      <c r="B619" t="s">
        <v>1435</v>
      </c>
      <c r="C619" s="35" t="s">
        <v>2568</v>
      </c>
      <c r="D619" t="s">
        <v>1754</v>
      </c>
    </row>
    <row r="620" spans="1:4" x14ac:dyDescent="0.25">
      <c r="A620" s="36">
        <v>30715645579</v>
      </c>
      <c r="B620" t="s">
        <v>744</v>
      </c>
      <c r="C620" s="35" t="s">
        <v>2568</v>
      </c>
    </row>
    <row r="621" spans="1:4" x14ac:dyDescent="0.25">
      <c r="A621" s="36">
        <v>30709836230</v>
      </c>
      <c r="B621" t="s">
        <v>748</v>
      </c>
      <c r="C621" s="35" t="s">
        <v>2568</v>
      </c>
    </row>
    <row r="622" spans="1:4" x14ac:dyDescent="0.25">
      <c r="A622" s="36">
        <v>23181104589</v>
      </c>
      <c r="B622" t="s">
        <v>751</v>
      </c>
      <c r="C622" s="35" t="s">
        <v>2568</v>
      </c>
    </row>
    <row r="623" spans="1:4" x14ac:dyDescent="0.25">
      <c r="A623" s="36">
        <v>30711713138</v>
      </c>
      <c r="B623" t="s">
        <v>752</v>
      </c>
      <c r="C623" s="35" t="s">
        <v>2568</v>
      </c>
    </row>
    <row r="624" spans="1:4" x14ac:dyDescent="0.25">
      <c r="A624" s="36">
        <v>30663944939</v>
      </c>
      <c r="B624" t="s">
        <v>754</v>
      </c>
      <c r="C624" s="35" t="s">
        <v>2568</v>
      </c>
    </row>
    <row r="625" spans="1:3" x14ac:dyDescent="0.25">
      <c r="A625" s="36">
        <v>30715141201</v>
      </c>
      <c r="B625" t="s">
        <v>755</v>
      </c>
      <c r="C625" s="35" t="s">
        <v>2568</v>
      </c>
    </row>
    <row r="626" spans="1:3" x14ac:dyDescent="0.25">
      <c r="A626" s="36">
        <v>30709214078</v>
      </c>
      <c r="B626" t="s">
        <v>756</v>
      </c>
      <c r="C626" s="35" t="s">
        <v>2568</v>
      </c>
    </row>
    <row r="627" spans="1:3" x14ac:dyDescent="0.25">
      <c r="A627" s="36">
        <v>30708376554</v>
      </c>
      <c r="B627" t="s">
        <v>766</v>
      </c>
      <c r="C627" s="35" t="s">
        <v>2568</v>
      </c>
    </row>
    <row r="628" spans="1:3" x14ac:dyDescent="0.25">
      <c r="A628" s="36">
        <v>30612958528</v>
      </c>
      <c r="B628" t="s">
        <v>767</v>
      </c>
      <c r="C628" s="35" t="s">
        <v>2568</v>
      </c>
    </row>
    <row r="629" spans="1:3" x14ac:dyDescent="0.25">
      <c r="A629" s="36">
        <v>23106878269</v>
      </c>
      <c r="B629" t="s">
        <v>779</v>
      </c>
      <c r="C629" s="35" t="s">
        <v>2568</v>
      </c>
    </row>
    <row r="630" spans="1:3" x14ac:dyDescent="0.25">
      <c r="A630" s="36">
        <v>20367393042</v>
      </c>
      <c r="B630" t="s">
        <v>1124</v>
      </c>
      <c r="C630" s="35" t="s">
        <v>2568</v>
      </c>
    </row>
    <row r="631" spans="1:3" x14ac:dyDescent="0.25">
      <c r="A631" s="36">
        <v>20367393042</v>
      </c>
      <c r="B631" t="s">
        <v>1124</v>
      </c>
      <c r="C631" s="35" t="s">
        <v>2568</v>
      </c>
    </row>
    <row r="632" spans="1:3" x14ac:dyDescent="0.25">
      <c r="A632" s="36">
        <v>20078690284</v>
      </c>
      <c r="B632" t="s">
        <v>784</v>
      </c>
      <c r="C632" s="35" t="s">
        <v>2568</v>
      </c>
    </row>
    <row r="633" spans="1:3" x14ac:dyDescent="0.25">
      <c r="A633" s="36">
        <v>33715567089</v>
      </c>
      <c r="B633" t="s">
        <v>786</v>
      </c>
      <c r="C633" s="35" t="s">
        <v>2568</v>
      </c>
    </row>
    <row r="634" spans="1:3" x14ac:dyDescent="0.25">
      <c r="A634" s="36">
        <v>20120875141</v>
      </c>
      <c r="B634" t="s">
        <v>787</v>
      </c>
      <c r="C634" s="35" t="s">
        <v>2568</v>
      </c>
    </row>
    <row r="635" spans="1:3" x14ac:dyDescent="0.25">
      <c r="A635" s="36">
        <v>20110668733</v>
      </c>
      <c r="B635" t="s">
        <v>791</v>
      </c>
      <c r="C635" s="35" t="s">
        <v>2568</v>
      </c>
    </row>
    <row r="636" spans="1:3" x14ac:dyDescent="0.25">
      <c r="A636" s="36">
        <v>20282332303</v>
      </c>
      <c r="B636" t="s">
        <v>795</v>
      </c>
      <c r="C636" s="35" t="s">
        <v>2568</v>
      </c>
    </row>
    <row r="637" spans="1:3" x14ac:dyDescent="0.25">
      <c r="A637" s="36">
        <v>20233320294</v>
      </c>
      <c r="B637" t="s">
        <v>796</v>
      </c>
      <c r="C637" s="35" t="s">
        <v>2568</v>
      </c>
    </row>
    <row r="638" spans="1:3" x14ac:dyDescent="0.25">
      <c r="A638" s="36">
        <v>20043702611</v>
      </c>
      <c r="B638" t="s">
        <v>798</v>
      </c>
      <c r="C638" s="35" t="s">
        <v>2568</v>
      </c>
    </row>
    <row r="639" spans="1:3" x14ac:dyDescent="0.25">
      <c r="A639" s="36">
        <v>20229507525</v>
      </c>
      <c r="B639" t="s">
        <v>799</v>
      </c>
      <c r="C639" s="35" t="s">
        <v>2568</v>
      </c>
    </row>
    <row r="640" spans="1:3" x14ac:dyDescent="0.25">
      <c r="A640" s="36">
        <v>30521596135</v>
      </c>
      <c r="B640" t="s">
        <v>800</v>
      </c>
      <c r="C640" s="35" t="s">
        <v>2568</v>
      </c>
    </row>
    <row r="641" spans="1:3" x14ac:dyDescent="0.25">
      <c r="A641" s="36">
        <v>30540721722</v>
      </c>
      <c r="B641" t="s">
        <v>808</v>
      </c>
      <c r="C641" s="35" t="s">
        <v>2568</v>
      </c>
    </row>
    <row r="642" spans="1:3" x14ac:dyDescent="0.25">
      <c r="A642" s="36">
        <v>30558706836</v>
      </c>
      <c r="B642" t="s">
        <v>820</v>
      </c>
      <c r="C642" s="35" t="s">
        <v>2568</v>
      </c>
    </row>
    <row r="643" spans="1:3" x14ac:dyDescent="0.25">
      <c r="A643" s="36">
        <v>30500529071</v>
      </c>
      <c r="B643" t="s">
        <v>823</v>
      </c>
      <c r="C643" s="35" t="s">
        <v>2568</v>
      </c>
    </row>
    <row r="644" spans="1:3" x14ac:dyDescent="0.25">
      <c r="A644" s="36">
        <v>30711553564</v>
      </c>
      <c r="B644" t="s">
        <v>830</v>
      </c>
      <c r="C644" s="35" t="s">
        <v>2568</v>
      </c>
    </row>
    <row r="645" spans="1:3" x14ac:dyDescent="0.25">
      <c r="A645" s="36">
        <v>30716499126</v>
      </c>
      <c r="B645" t="s">
        <v>839</v>
      </c>
      <c r="C645" s="35" t="s">
        <v>2568</v>
      </c>
    </row>
    <row r="646" spans="1:3" x14ac:dyDescent="0.25">
      <c r="A646" s="36">
        <v>30716499126</v>
      </c>
      <c r="B646" t="s">
        <v>839</v>
      </c>
      <c r="C646" s="35" t="s">
        <v>2568</v>
      </c>
    </row>
    <row r="647" spans="1:3" x14ac:dyDescent="0.25">
      <c r="A647" s="36">
        <v>30714079405</v>
      </c>
      <c r="B647" t="s">
        <v>844</v>
      </c>
      <c r="C647" s="35" t="s">
        <v>2568</v>
      </c>
    </row>
    <row r="648" spans="1:3" x14ac:dyDescent="0.25">
      <c r="A648" s="36">
        <v>30714079405</v>
      </c>
      <c r="B648" t="s">
        <v>844</v>
      </c>
      <c r="C648" s="35" t="s">
        <v>2568</v>
      </c>
    </row>
    <row r="649" spans="1:3" x14ac:dyDescent="0.25">
      <c r="A649" s="36">
        <v>30631047145</v>
      </c>
      <c r="B649" t="s">
        <v>863</v>
      </c>
      <c r="C649" s="35" t="s">
        <v>2568</v>
      </c>
    </row>
    <row r="650" spans="1:3" x14ac:dyDescent="0.25">
      <c r="A650" s="36">
        <v>30631047145</v>
      </c>
      <c r="B650" t="s">
        <v>863</v>
      </c>
      <c r="C650" s="35" t="s">
        <v>2568</v>
      </c>
    </row>
    <row r="651" spans="1:3" x14ac:dyDescent="0.25">
      <c r="A651" s="36">
        <v>30578456909</v>
      </c>
      <c r="B651" t="s">
        <v>2137</v>
      </c>
      <c r="C651" s="35" t="s">
        <v>2568</v>
      </c>
    </row>
    <row r="652" spans="1:3" x14ac:dyDescent="0.25">
      <c r="A652" s="36">
        <v>30598960093</v>
      </c>
      <c r="B652" t="s">
        <v>885</v>
      </c>
      <c r="C652" s="35" t="s">
        <v>2568</v>
      </c>
    </row>
    <row r="653" spans="1:3" x14ac:dyDescent="0.25">
      <c r="A653" s="36">
        <v>30598960093</v>
      </c>
      <c r="B653" t="s">
        <v>885</v>
      </c>
      <c r="C653" s="35" t="s">
        <v>2568</v>
      </c>
    </row>
    <row r="654" spans="1:3" x14ac:dyDescent="0.25">
      <c r="A654" s="36">
        <v>30715504037</v>
      </c>
      <c r="B654" t="s">
        <v>891</v>
      </c>
      <c r="C654" s="35" t="s">
        <v>2568</v>
      </c>
    </row>
    <row r="655" spans="1:3" x14ac:dyDescent="0.25">
      <c r="A655" s="36">
        <v>30715504037</v>
      </c>
      <c r="B655" t="s">
        <v>891</v>
      </c>
      <c r="C655" s="35" t="s">
        <v>2568</v>
      </c>
    </row>
    <row r="656" spans="1:3" x14ac:dyDescent="0.25">
      <c r="A656" s="36">
        <v>30688387201</v>
      </c>
      <c r="B656" t="s">
        <v>904</v>
      </c>
      <c r="C656" s="35" t="s">
        <v>2568</v>
      </c>
    </row>
    <row r="657" spans="1:3" x14ac:dyDescent="0.25">
      <c r="A657" s="36">
        <v>30688387201</v>
      </c>
      <c r="B657" t="s">
        <v>904</v>
      </c>
      <c r="C657" s="35" t="s">
        <v>2568</v>
      </c>
    </row>
    <row r="658" spans="1:3" x14ac:dyDescent="0.25">
      <c r="A658" s="36">
        <v>27066622997</v>
      </c>
      <c r="B658" t="s">
        <v>906</v>
      </c>
      <c r="C658" s="35" t="s">
        <v>2568</v>
      </c>
    </row>
    <row r="659" spans="1:3" x14ac:dyDescent="0.25">
      <c r="A659" s="36">
        <v>27066622997</v>
      </c>
      <c r="B659" t="s">
        <v>906</v>
      </c>
      <c r="C659" s="35" t="s">
        <v>2568</v>
      </c>
    </row>
    <row r="660" spans="1:3" x14ac:dyDescent="0.25">
      <c r="A660" s="36">
        <v>33711882729</v>
      </c>
      <c r="B660" t="s">
        <v>907</v>
      </c>
      <c r="C660" s="35" t="s">
        <v>2568</v>
      </c>
    </row>
    <row r="661" spans="1:3" x14ac:dyDescent="0.25">
      <c r="A661" s="36">
        <v>33711882729</v>
      </c>
      <c r="B661" t="s">
        <v>907</v>
      </c>
      <c r="C661" s="35" t="s">
        <v>2568</v>
      </c>
    </row>
    <row r="662" spans="1:3" x14ac:dyDescent="0.25">
      <c r="A662" s="36">
        <v>30643416375</v>
      </c>
      <c r="B662" t="s">
        <v>908</v>
      </c>
      <c r="C662" s="35" t="s">
        <v>2568</v>
      </c>
    </row>
    <row r="663" spans="1:3" x14ac:dyDescent="0.25">
      <c r="A663" s="36">
        <v>30643416375</v>
      </c>
      <c r="B663" t="s">
        <v>908</v>
      </c>
      <c r="C663" s="35" t="s">
        <v>2568</v>
      </c>
    </row>
    <row r="664" spans="1:3" x14ac:dyDescent="0.25">
      <c r="A664" s="36">
        <v>30714710652</v>
      </c>
      <c r="B664" t="s">
        <v>910</v>
      </c>
      <c r="C664" s="35" t="s">
        <v>2568</v>
      </c>
    </row>
    <row r="665" spans="1:3" x14ac:dyDescent="0.25">
      <c r="A665" s="36">
        <v>30714710652</v>
      </c>
      <c r="B665" t="s">
        <v>910</v>
      </c>
      <c r="C665" s="35" t="s">
        <v>2568</v>
      </c>
    </row>
    <row r="666" spans="1:3" x14ac:dyDescent="0.25">
      <c r="A666" s="36">
        <v>23185808963</v>
      </c>
      <c r="B666" t="s">
        <v>911</v>
      </c>
      <c r="C666" s="35" t="s">
        <v>2568</v>
      </c>
    </row>
    <row r="667" spans="1:3" x14ac:dyDescent="0.25">
      <c r="A667" s="36">
        <v>23185808963</v>
      </c>
      <c r="B667" t="s">
        <v>911</v>
      </c>
      <c r="C667" s="35" t="s">
        <v>2568</v>
      </c>
    </row>
    <row r="668" spans="1:3" x14ac:dyDescent="0.25">
      <c r="A668" s="36">
        <v>20325751453</v>
      </c>
      <c r="B668" t="s">
        <v>920</v>
      </c>
      <c r="C668" s="35" t="s">
        <v>2568</v>
      </c>
    </row>
    <row r="669" spans="1:3" x14ac:dyDescent="0.25">
      <c r="A669" s="36">
        <v>20325751453</v>
      </c>
      <c r="B669" t="s">
        <v>920</v>
      </c>
      <c r="C669" s="35" t="s">
        <v>2568</v>
      </c>
    </row>
    <row r="670" spans="1:3" x14ac:dyDescent="0.25">
      <c r="A670" s="36">
        <v>30699425520</v>
      </c>
      <c r="B670" t="s">
        <v>923</v>
      </c>
      <c r="C670" s="35" t="s">
        <v>2568</v>
      </c>
    </row>
    <row r="671" spans="1:3" x14ac:dyDescent="0.25">
      <c r="A671" s="36">
        <v>30699425520</v>
      </c>
      <c r="B671" t="s">
        <v>923</v>
      </c>
      <c r="C671" s="35" t="s">
        <v>2568</v>
      </c>
    </row>
    <row r="672" spans="1:3" x14ac:dyDescent="0.25">
      <c r="A672" s="36">
        <v>30715701932</v>
      </c>
      <c r="B672" t="s">
        <v>929</v>
      </c>
      <c r="C672" s="35" t="s">
        <v>2568</v>
      </c>
    </row>
    <row r="673" spans="1:3" x14ac:dyDescent="0.25">
      <c r="A673" s="36">
        <v>30715701932</v>
      </c>
      <c r="B673" t="s">
        <v>929</v>
      </c>
      <c r="C673" s="35" t="s">
        <v>2568</v>
      </c>
    </row>
    <row r="674" spans="1:3" x14ac:dyDescent="0.25">
      <c r="A674" s="36">
        <v>30505459179</v>
      </c>
      <c r="B674" t="s">
        <v>936</v>
      </c>
      <c r="C674" s="35" t="s">
        <v>2568</v>
      </c>
    </row>
    <row r="675" spans="1:3" x14ac:dyDescent="0.25">
      <c r="A675" s="36">
        <v>30505459179</v>
      </c>
      <c r="B675" t="s">
        <v>936</v>
      </c>
      <c r="C675" s="35" t="s">
        <v>2568</v>
      </c>
    </row>
    <row r="676" spans="1:3" x14ac:dyDescent="0.25">
      <c r="A676" s="36">
        <v>30707057587</v>
      </c>
      <c r="B676" t="s">
        <v>944</v>
      </c>
      <c r="C676" s="35" t="s">
        <v>2568</v>
      </c>
    </row>
    <row r="677" spans="1:3" x14ac:dyDescent="0.25">
      <c r="A677" s="36">
        <v>30707057587</v>
      </c>
      <c r="B677" t="s">
        <v>944</v>
      </c>
      <c r="C677" s="35" t="s">
        <v>2568</v>
      </c>
    </row>
    <row r="678" spans="1:3" x14ac:dyDescent="0.25">
      <c r="A678" s="36">
        <v>30710177658</v>
      </c>
      <c r="B678" t="s">
        <v>945</v>
      </c>
      <c r="C678" s="35" t="s">
        <v>2568</v>
      </c>
    </row>
    <row r="679" spans="1:3" x14ac:dyDescent="0.25">
      <c r="A679" s="36">
        <v>30710177658</v>
      </c>
      <c r="B679" t="s">
        <v>945</v>
      </c>
      <c r="C679" s="35" t="s">
        <v>2568</v>
      </c>
    </row>
    <row r="680" spans="1:3" x14ac:dyDescent="0.25">
      <c r="A680" s="36">
        <v>30711451567</v>
      </c>
      <c r="B680" t="s">
        <v>947</v>
      </c>
      <c r="C680" s="35" t="s">
        <v>2568</v>
      </c>
    </row>
    <row r="681" spans="1:3" x14ac:dyDescent="0.25">
      <c r="A681" s="36">
        <v>30711451567</v>
      </c>
      <c r="B681" t="s">
        <v>947</v>
      </c>
      <c r="C681" s="35" t="s">
        <v>2568</v>
      </c>
    </row>
    <row r="682" spans="1:3" x14ac:dyDescent="0.25">
      <c r="A682" s="36">
        <v>30710725116</v>
      </c>
      <c r="B682" t="s">
        <v>952</v>
      </c>
      <c r="C682" s="35" t="s">
        <v>2568</v>
      </c>
    </row>
    <row r="683" spans="1:3" x14ac:dyDescent="0.25">
      <c r="A683" s="36">
        <v>30710725116</v>
      </c>
      <c r="B683" t="s">
        <v>952</v>
      </c>
      <c r="C683" s="35" t="s">
        <v>2568</v>
      </c>
    </row>
    <row r="684" spans="1:3" x14ac:dyDescent="0.25">
      <c r="A684" s="36">
        <v>30716710684</v>
      </c>
      <c r="B684" t="s">
        <v>958</v>
      </c>
      <c r="C684" s="35" t="s">
        <v>2568</v>
      </c>
    </row>
    <row r="685" spans="1:3" x14ac:dyDescent="0.25">
      <c r="A685" s="36">
        <v>30715259784</v>
      </c>
      <c r="B685" t="s">
        <v>972</v>
      </c>
      <c r="C685" s="35" t="s">
        <v>2568</v>
      </c>
    </row>
    <row r="686" spans="1:3" x14ac:dyDescent="0.25">
      <c r="A686" s="36">
        <v>30715259784</v>
      </c>
      <c r="B686" t="s">
        <v>972</v>
      </c>
      <c r="C686" s="35" t="s">
        <v>2568</v>
      </c>
    </row>
    <row r="687" spans="1:3" x14ac:dyDescent="0.25">
      <c r="A687" s="36">
        <v>30709305618</v>
      </c>
      <c r="B687" t="s">
        <v>973</v>
      </c>
      <c r="C687" s="35" t="s">
        <v>2568</v>
      </c>
    </row>
    <row r="688" spans="1:3" x14ac:dyDescent="0.25">
      <c r="A688" s="36">
        <v>30709305618</v>
      </c>
      <c r="B688" t="s">
        <v>973</v>
      </c>
      <c r="C688" s="35" t="s">
        <v>2568</v>
      </c>
    </row>
    <row r="689" spans="1:3" x14ac:dyDescent="0.25">
      <c r="A689" s="36">
        <v>30714118389</v>
      </c>
      <c r="B689" t="s">
        <v>974</v>
      </c>
      <c r="C689" s="35" t="s">
        <v>2568</v>
      </c>
    </row>
    <row r="690" spans="1:3" x14ac:dyDescent="0.25">
      <c r="A690" s="36">
        <v>30714118389</v>
      </c>
      <c r="B690" t="s">
        <v>974</v>
      </c>
      <c r="C690" s="35" t="s">
        <v>2568</v>
      </c>
    </row>
    <row r="691" spans="1:3" x14ac:dyDescent="0.25">
      <c r="A691" s="36">
        <v>30712317872</v>
      </c>
      <c r="B691" t="s">
        <v>992</v>
      </c>
      <c r="C691" s="35" t="s">
        <v>2568</v>
      </c>
    </row>
    <row r="692" spans="1:3" x14ac:dyDescent="0.25">
      <c r="A692" s="36">
        <v>30712317872</v>
      </c>
      <c r="B692" t="s">
        <v>992</v>
      </c>
      <c r="C692" s="35" t="s">
        <v>2568</v>
      </c>
    </row>
    <row r="693" spans="1:3" x14ac:dyDescent="0.25">
      <c r="A693" s="36">
        <v>30717140725</v>
      </c>
      <c r="B693" t="s">
        <v>2058</v>
      </c>
      <c r="C693" s="35" t="s">
        <v>2568</v>
      </c>
    </row>
    <row r="694" spans="1:3" x14ac:dyDescent="0.25">
      <c r="A694" s="36">
        <v>30519102826</v>
      </c>
      <c r="B694" t="s">
        <v>994</v>
      </c>
      <c r="C694" s="35" t="s">
        <v>2568</v>
      </c>
    </row>
    <row r="695" spans="1:3" x14ac:dyDescent="0.25">
      <c r="A695" s="36">
        <v>30519102826</v>
      </c>
      <c r="B695" t="s">
        <v>994</v>
      </c>
      <c r="C695" s="35" t="s">
        <v>2568</v>
      </c>
    </row>
    <row r="696" spans="1:3" x14ac:dyDescent="0.25">
      <c r="A696" s="36">
        <v>30616031143</v>
      </c>
      <c r="B696" t="s">
        <v>1001</v>
      </c>
      <c r="C696" s="35" t="s">
        <v>2568</v>
      </c>
    </row>
    <row r="697" spans="1:3" x14ac:dyDescent="0.25">
      <c r="A697" s="36">
        <v>30616031143</v>
      </c>
      <c r="B697" t="s">
        <v>1001</v>
      </c>
      <c r="C697" s="35" t="s">
        <v>2568</v>
      </c>
    </row>
    <row r="698" spans="1:3" x14ac:dyDescent="0.25">
      <c r="A698" s="36">
        <v>33682571239</v>
      </c>
      <c r="B698" t="s">
        <v>1013</v>
      </c>
      <c r="C698" s="35" t="s">
        <v>2568</v>
      </c>
    </row>
    <row r="699" spans="1:3" x14ac:dyDescent="0.25">
      <c r="A699" s="36">
        <v>33682571239</v>
      </c>
      <c r="B699" t="s">
        <v>1013</v>
      </c>
      <c r="C699" s="35" t="s">
        <v>2568</v>
      </c>
    </row>
    <row r="700" spans="1:3" x14ac:dyDescent="0.25">
      <c r="A700" s="36">
        <v>20330855038</v>
      </c>
      <c r="B700" t="s">
        <v>1016</v>
      </c>
      <c r="C700" s="35" t="s">
        <v>2568</v>
      </c>
    </row>
    <row r="701" spans="1:3" x14ac:dyDescent="0.25">
      <c r="A701" s="36">
        <v>20330855038</v>
      </c>
      <c r="B701" t="s">
        <v>1016</v>
      </c>
      <c r="C701" s="35" t="s">
        <v>2568</v>
      </c>
    </row>
    <row r="702" spans="1:3" x14ac:dyDescent="0.25">
      <c r="A702" s="36">
        <v>20936626549</v>
      </c>
      <c r="B702" t="s">
        <v>2127</v>
      </c>
      <c r="C702" s="35" t="s">
        <v>2568</v>
      </c>
    </row>
    <row r="703" spans="1:3" x14ac:dyDescent="0.25">
      <c r="A703" s="36">
        <v>30646150406</v>
      </c>
      <c r="B703" t="s">
        <v>1019</v>
      </c>
      <c r="C703" s="35" t="s">
        <v>2568</v>
      </c>
    </row>
    <row r="704" spans="1:3" x14ac:dyDescent="0.25">
      <c r="A704" s="36">
        <v>30646150406</v>
      </c>
      <c r="B704" t="s">
        <v>1019</v>
      </c>
      <c r="C704" s="35" t="s">
        <v>2568</v>
      </c>
    </row>
    <row r="705" spans="1:3" x14ac:dyDescent="0.25">
      <c r="A705" s="36">
        <v>30699097884</v>
      </c>
      <c r="B705" t="s">
        <v>1021</v>
      </c>
      <c r="C705" s="35" t="s">
        <v>2568</v>
      </c>
    </row>
    <row r="706" spans="1:3" x14ac:dyDescent="0.25">
      <c r="A706" s="36">
        <v>30699097884</v>
      </c>
      <c r="B706" t="s">
        <v>1021</v>
      </c>
      <c r="C706" s="35" t="s">
        <v>2568</v>
      </c>
    </row>
    <row r="707" spans="1:3" x14ac:dyDescent="0.25">
      <c r="A707" s="36">
        <v>30715893416</v>
      </c>
      <c r="B707" t="s">
        <v>1024</v>
      </c>
      <c r="C707" s="35" t="s">
        <v>2568</v>
      </c>
    </row>
    <row r="708" spans="1:3" x14ac:dyDescent="0.25">
      <c r="A708" s="36">
        <v>30715893416</v>
      </c>
      <c r="B708" t="s">
        <v>1024</v>
      </c>
      <c r="C708" s="35" t="s">
        <v>2568</v>
      </c>
    </row>
    <row r="709" spans="1:3" x14ac:dyDescent="0.25">
      <c r="A709" s="36">
        <v>30708992301</v>
      </c>
      <c r="B709" t="s">
        <v>1026</v>
      </c>
      <c r="C709" s="35" t="s">
        <v>2568</v>
      </c>
    </row>
    <row r="710" spans="1:3" x14ac:dyDescent="0.25">
      <c r="A710" s="36">
        <v>30708992301</v>
      </c>
      <c r="B710" t="s">
        <v>1026</v>
      </c>
      <c r="C710" s="35" t="s">
        <v>2568</v>
      </c>
    </row>
    <row r="711" spans="1:3" x14ac:dyDescent="0.25">
      <c r="A711" s="36">
        <v>30658325104</v>
      </c>
      <c r="B711" t="s">
        <v>1034</v>
      </c>
      <c r="C711" s="35" t="s">
        <v>2568</v>
      </c>
    </row>
    <row r="712" spans="1:3" x14ac:dyDescent="0.25">
      <c r="A712" s="156">
        <v>30658325104</v>
      </c>
      <c r="B712" t="s">
        <v>1034</v>
      </c>
      <c r="C712" s="35" t="s">
        <v>2568</v>
      </c>
    </row>
    <row r="713" spans="1:3" x14ac:dyDescent="0.25">
      <c r="A713" s="36">
        <v>20259693609</v>
      </c>
      <c r="B713" t="s">
        <v>1036</v>
      </c>
      <c r="C713" s="35" t="s">
        <v>2568</v>
      </c>
    </row>
    <row r="714" spans="1:3" x14ac:dyDescent="0.25">
      <c r="A714" s="36">
        <v>20308004865</v>
      </c>
      <c r="B714" t="s">
        <v>2036</v>
      </c>
      <c r="C714" s="35" t="s">
        <v>2568</v>
      </c>
    </row>
    <row r="715" spans="1:3" x14ac:dyDescent="0.25">
      <c r="A715" s="36">
        <v>20247225243</v>
      </c>
      <c r="B715" t="s">
        <v>1058</v>
      </c>
      <c r="C715" s="35" t="s">
        <v>2568</v>
      </c>
    </row>
    <row r="716" spans="1:3" x14ac:dyDescent="0.25">
      <c r="A716" s="36">
        <v>20247225243</v>
      </c>
      <c r="B716" t="s">
        <v>1058</v>
      </c>
      <c r="C716" s="35" t="s">
        <v>2568</v>
      </c>
    </row>
    <row r="717" spans="1:3" x14ac:dyDescent="0.25">
      <c r="A717" s="36">
        <v>20077107186</v>
      </c>
      <c r="B717" t="s">
        <v>1064</v>
      </c>
      <c r="C717" s="35" t="s">
        <v>2568</v>
      </c>
    </row>
    <row r="718" spans="1:3" x14ac:dyDescent="0.25">
      <c r="A718" s="36">
        <v>20077107186</v>
      </c>
      <c r="B718" t="s">
        <v>1064</v>
      </c>
      <c r="C718" s="35" t="s">
        <v>2568</v>
      </c>
    </row>
    <row r="719" spans="1:3" x14ac:dyDescent="0.25">
      <c r="A719" s="36">
        <v>20287832649</v>
      </c>
      <c r="B719" t="s">
        <v>1070</v>
      </c>
      <c r="C719" s="35" t="s">
        <v>2568</v>
      </c>
    </row>
    <row r="720" spans="1:3" x14ac:dyDescent="0.25">
      <c r="A720" s="36">
        <v>20287832649</v>
      </c>
      <c r="B720" t="s">
        <v>1070</v>
      </c>
      <c r="C720" s="35" t="s">
        <v>2568</v>
      </c>
    </row>
    <row r="721" spans="1:3" x14ac:dyDescent="0.25">
      <c r="A721" s="36">
        <v>27211421202</v>
      </c>
      <c r="B721" t="s">
        <v>1073</v>
      </c>
      <c r="C721" s="35" t="s">
        <v>2568</v>
      </c>
    </row>
    <row r="722" spans="1:3" x14ac:dyDescent="0.25">
      <c r="A722" s="36">
        <v>30714848034</v>
      </c>
      <c r="B722" t="s">
        <v>685</v>
      </c>
      <c r="C722" s="35" t="s">
        <v>2568</v>
      </c>
    </row>
    <row r="723" spans="1:3" x14ac:dyDescent="0.25">
      <c r="A723" s="36">
        <v>27211421202</v>
      </c>
      <c r="B723" t="s">
        <v>1073</v>
      </c>
      <c r="C723" s="35" t="s">
        <v>2568</v>
      </c>
    </row>
    <row r="724" spans="1:3" x14ac:dyDescent="0.25">
      <c r="A724" s="36">
        <v>30708648414</v>
      </c>
      <c r="B724" t="s">
        <v>1084</v>
      </c>
      <c r="C724" s="35" t="s">
        <v>2568</v>
      </c>
    </row>
    <row r="725" spans="1:3" x14ac:dyDescent="0.25">
      <c r="A725" s="36">
        <v>30708648414</v>
      </c>
      <c r="B725" t="s">
        <v>1084</v>
      </c>
      <c r="C725" s="35" t="s">
        <v>2568</v>
      </c>
    </row>
    <row r="726" spans="1:3" x14ac:dyDescent="0.25">
      <c r="A726" s="36">
        <v>30715609807</v>
      </c>
      <c r="B726" t="s">
        <v>1086</v>
      </c>
      <c r="C726" s="35" t="s">
        <v>2568</v>
      </c>
    </row>
    <row r="727" spans="1:3" x14ac:dyDescent="0.25">
      <c r="A727" s="36">
        <v>30715609807</v>
      </c>
      <c r="B727" t="s">
        <v>1086</v>
      </c>
      <c r="C727" s="35" t="s">
        <v>2568</v>
      </c>
    </row>
    <row r="728" spans="1:3" x14ac:dyDescent="0.25">
      <c r="A728" s="36">
        <v>30680297408</v>
      </c>
      <c r="B728" t="s">
        <v>1090</v>
      </c>
      <c r="C728" s="35" t="s">
        <v>2568</v>
      </c>
    </row>
    <row r="729" spans="1:3" x14ac:dyDescent="0.25">
      <c r="A729" s="36">
        <v>30680297408</v>
      </c>
      <c r="B729" t="s">
        <v>1090</v>
      </c>
      <c r="C729" s="35" t="s">
        <v>2568</v>
      </c>
    </row>
    <row r="730" spans="1:3" x14ac:dyDescent="0.25">
      <c r="A730" s="36">
        <v>20165292929</v>
      </c>
      <c r="B730" t="s">
        <v>1092</v>
      </c>
      <c r="C730" s="35" t="s">
        <v>2568</v>
      </c>
    </row>
    <row r="731" spans="1:3" x14ac:dyDescent="0.25">
      <c r="A731" s="36">
        <v>20165292929</v>
      </c>
      <c r="B731" t="s">
        <v>1092</v>
      </c>
      <c r="C731" s="35" t="s">
        <v>2568</v>
      </c>
    </row>
    <row r="732" spans="1:3" x14ac:dyDescent="0.25">
      <c r="A732" s="36">
        <v>20231247239</v>
      </c>
      <c r="B732" t="s">
        <v>1097</v>
      </c>
      <c r="C732" s="35" t="s">
        <v>2568</v>
      </c>
    </row>
    <row r="733" spans="1:3" x14ac:dyDescent="0.25">
      <c r="A733" s="36">
        <v>20231247239</v>
      </c>
      <c r="B733" t="s">
        <v>1097</v>
      </c>
      <c r="C733" s="35" t="s">
        <v>2568</v>
      </c>
    </row>
    <row r="734" spans="1:3" x14ac:dyDescent="0.25">
      <c r="A734" s="36">
        <v>30585558733</v>
      </c>
      <c r="B734" t="s">
        <v>1105</v>
      </c>
      <c r="C734" s="35" t="s">
        <v>2568</v>
      </c>
    </row>
    <row r="735" spans="1:3" x14ac:dyDescent="0.25">
      <c r="A735" s="36">
        <v>30585558733</v>
      </c>
      <c r="B735" t="s">
        <v>1105</v>
      </c>
      <c r="C735" s="35" t="s">
        <v>2568</v>
      </c>
    </row>
    <row r="736" spans="1:3" x14ac:dyDescent="0.25">
      <c r="A736" s="36">
        <v>30715459368</v>
      </c>
      <c r="B736" t="s">
        <v>2151</v>
      </c>
      <c r="C736" s="35" t="s">
        <v>2568</v>
      </c>
    </row>
    <row r="737" spans="1:3" x14ac:dyDescent="0.25">
      <c r="A737" s="36">
        <v>30578204713</v>
      </c>
      <c r="B737" t="s">
        <v>1109</v>
      </c>
      <c r="C737" s="35" t="s">
        <v>2568</v>
      </c>
    </row>
    <row r="738" spans="1:3" x14ac:dyDescent="0.25">
      <c r="A738" s="36">
        <v>30578204713</v>
      </c>
      <c r="B738" t="s">
        <v>1109</v>
      </c>
      <c r="C738" s="35" t="s">
        <v>2568</v>
      </c>
    </row>
    <row r="739" spans="1:3" x14ac:dyDescent="0.25">
      <c r="A739" s="36">
        <v>30707512454</v>
      </c>
      <c r="B739" t="s">
        <v>1113</v>
      </c>
      <c r="C739" s="35" t="s">
        <v>2568</v>
      </c>
    </row>
    <row r="740" spans="1:3" x14ac:dyDescent="0.25">
      <c r="A740" s="36">
        <v>30707512454</v>
      </c>
      <c r="B740" t="s">
        <v>1113</v>
      </c>
      <c r="C740" s="35" t="s">
        <v>2568</v>
      </c>
    </row>
    <row r="741" spans="1:3" x14ac:dyDescent="0.25">
      <c r="A741" s="36">
        <v>33640878679</v>
      </c>
      <c r="B741" t="s">
        <v>1361</v>
      </c>
      <c r="C741" s="35" t="s">
        <v>2568</v>
      </c>
    </row>
    <row r="742" spans="1:3" x14ac:dyDescent="0.25">
      <c r="A742" s="36">
        <v>30708041722</v>
      </c>
      <c r="B742" t="s">
        <v>1428</v>
      </c>
      <c r="C742" s="35" t="s">
        <v>2568</v>
      </c>
    </row>
    <row r="743" spans="1:3" x14ac:dyDescent="0.25">
      <c r="A743" s="36">
        <v>30534051049</v>
      </c>
      <c r="B743" t="s">
        <v>2570</v>
      </c>
      <c r="C743" s="35" t="s">
        <v>2568</v>
      </c>
    </row>
    <row r="744" spans="1:3" x14ac:dyDescent="0.25">
      <c r="A744" s="36">
        <v>30504507870</v>
      </c>
      <c r="B744" t="s">
        <v>1764</v>
      </c>
      <c r="C744" s="35" t="s">
        <v>2568</v>
      </c>
    </row>
    <row r="745" spans="1:3" x14ac:dyDescent="0.25">
      <c r="A745" s="36">
        <v>30658667374</v>
      </c>
      <c r="B745" t="s">
        <v>2254</v>
      </c>
      <c r="C745" s="35" t="s">
        <v>2568</v>
      </c>
    </row>
    <row r="746" spans="1:3" x14ac:dyDescent="0.25">
      <c r="A746" s="36">
        <v>30716757249</v>
      </c>
      <c r="B746" t="s">
        <v>2260</v>
      </c>
      <c r="C746" s="35" t="s">
        <v>2568</v>
      </c>
    </row>
    <row r="747" spans="1:3" x14ac:dyDescent="0.25">
      <c r="A747" s="36">
        <v>27409592487</v>
      </c>
      <c r="B747" t="s">
        <v>1143</v>
      </c>
      <c r="C747" s="35" t="s">
        <v>2571</v>
      </c>
    </row>
    <row r="748" spans="1:3" x14ac:dyDescent="0.25">
      <c r="A748" s="36">
        <v>27409592487</v>
      </c>
      <c r="B748" t="s">
        <v>1143</v>
      </c>
      <c r="C748" s="35" t="s">
        <v>2571</v>
      </c>
    </row>
    <row r="749" spans="1:3" x14ac:dyDescent="0.25">
      <c r="A749" s="36">
        <v>30710446047</v>
      </c>
      <c r="B749" t="s">
        <v>1160</v>
      </c>
      <c r="C749" s="35" t="s">
        <v>2571</v>
      </c>
    </row>
    <row r="750" spans="1:3" x14ac:dyDescent="0.25">
      <c r="A750" s="36">
        <v>20300814094</v>
      </c>
      <c r="B750" t="s">
        <v>1146</v>
      </c>
      <c r="C750" s="35" t="s">
        <v>2571</v>
      </c>
    </row>
    <row r="751" spans="1:3" x14ac:dyDescent="0.25">
      <c r="A751" s="36">
        <v>30585948817</v>
      </c>
      <c r="B751" t="s">
        <v>1174</v>
      </c>
      <c r="C751" s="35" t="s">
        <v>2571</v>
      </c>
    </row>
    <row r="752" spans="1:3" x14ac:dyDescent="0.25">
      <c r="A752" s="36">
        <v>30585948817</v>
      </c>
      <c r="B752" t="s">
        <v>1174</v>
      </c>
      <c r="C752" s="35" t="s">
        <v>2571</v>
      </c>
    </row>
    <row r="753" spans="1:3" x14ac:dyDescent="0.25">
      <c r="A753" s="36">
        <v>30585948817</v>
      </c>
      <c r="B753" t="s">
        <v>1132</v>
      </c>
      <c r="C753" s="35" t="s">
        <v>2571</v>
      </c>
    </row>
    <row r="754" spans="1:3" x14ac:dyDescent="0.25">
      <c r="A754" s="36">
        <v>30585948817</v>
      </c>
      <c r="B754" t="s">
        <v>1132</v>
      </c>
      <c r="C754" s="35" t="s">
        <v>2571</v>
      </c>
    </row>
    <row r="755" spans="1:3" x14ac:dyDescent="0.25">
      <c r="A755" s="36">
        <v>20172319743</v>
      </c>
      <c r="B755" t="s">
        <v>1521</v>
      </c>
      <c r="C755" s="35" t="s">
        <v>2571</v>
      </c>
    </row>
    <row r="756" spans="1:3" x14ac:dyDescent="0.25">
      <c r="A756" s="36">
        <v>30708669306</v>
      </c>
      <c r="B756" t="s">
        <v>1517</v>
      </c>
      <c r="C756" s="35" t="s">
        <v>2571</v>
      </c>
    </row>
    <row r="757" spans="1:3" x14ac:dyDescent="0.25">
      <c r="A757" s="36">
        <v>30718359526</v>
      </c>
      <c r="B757" t="s">
        <v>2073</v>
      </c>
      <c r="C757" s="35" t="s">
        <v>2571</v>
      </c>
    </row>
    <row r="758" spans="1:3" x14ac:dyDescent="0.25">
      <c r="A758" s="36">
        <v>30663937975</v>
      </c>
      <c r="B758" t="s">
        <v>2075</v>
      </c>
      <c r="C758" s="35" t="s">
        <v>2571</v>
      </c>
    </row>
    <row r="759" spans="1:3" x14ac:dyDescent="0.25">
      <c r="A759" s="36">
        <v>30715296000</v>
      </c>
      <c r="B759" t="s">
        <v>2078</v>
      </c>
      <c r="C759" s="35" t="s">
        <v>2571</v>
      </c>
    </row>
    <row r="760" spans="1:3" x14ac:dyDescent="0.25">
      <c r="A760" s="36">
        <v>30709932876</v>
      </c>
      <c r="B760" t="s">
        <v>1169</v>
      </c>
      <c r="C760" s="35" t="s">
        <v>2571</v>
      </c>
    </row>
    <row r="761" spans="1:3" x14ac:dyDescent="0.25">
      <c r="A761" s="36">
        <v>30709932876</v>
      </c>
      <c r="B761" t="s">
        <v>1169</v>
      </c>
      <c r="C761" s="35" t="s">
        <v>2571</v>
      </c>
    </row>
    <row r="762" spans="1:3" x14ac:dyDescent="0.25">
      <c r="A762" s="36">
        <v>30709932876</v>
      </c>
      <c r="B762" t="s">
        <v>1169</v>
      </c>
      <c r="C762" s="35" t="s">
        <v>2571</v>
      </c>
    </row>
    <row r="763" spans="1:3" x14ac:dyDescent="0.25">
      <c r="A763" s="36">
        <v>30709932876</v>
      </c>
      <c r="B763" t="s">
        <v>1169</v>
      </c>
      <c r="C763" s="35" t="s">
        <v>2571</v>
      </c>
    </row>
    <row r="764" spans="1:3" x14ac:dyDescent="0.25">
      <c r="A764" s="36">
        <v>30708017759</v>
      </c>
      <c r="B764" t="s">
        <v>1418</v>
      </c>
      <c r="C764" s="35" t="s">
        <v>2571</v>
      </c>
    </row>
    <row r="765" spans="1:3" x14ac:dyDescent="0.25">
      <c r="A765" s="36">
        <v>30708017759</v>
      </c>
      <c r="B765" t="s">
        <v>1418</v>
      </c>
      <c r="C765" s="35" t="s">
        <v>2571</v>
      </c>
    </row>
    <row r="766" spans="1:3" x14ac:dyDescent="0.25">
      <c r="A766" s="36">
        <v>20077604627</v>
      </c>
      <c r="B766" t="s">
        <v>1353</v>
      </c>
      <c r="C766" s="35" t="s">
        <v>2571</v>
      </c>
    </row>
    <row r="767" spans="1:3" x14ac:dyDescent="0.25">
      <c r="A767" s="36">
        <v>20077604627</v>
      </c>
      <c r="B767" t="s">
        <v>1353</v>
      </c>
      <c r="C767" s="35" t="s">
        <v>2571</v>
      </c>
    </row>
    <row r="768" spans="1:3" x14ac:dyDescent="0.25">
      <c r="A768" s="36">
        <v>20077604627</v>
      </c>
      <c r="B768" t="s">
        <v>1353</v>
      </c>
      <c r="C768" s="35" t="s">
        <v>2571</v>
      </c>
    </row>
    <row r="769" spans="1:3" x14ac:dyDescent="0.25">
      <c r="A769" s="36">
        <v>20077604627</v>
      </c>
      <c r="B769" t="s">
        <v>1353</v>
      </c>
      <c r="C769" s="35" t="s">
        <v>2571</v>
      </c>
    </row>
    <row r="770" spans="1:3" x14ac:dyDescent="0.25">
      <c r="A770" s="36">
        <v>20077604627</v>
      </c>
      <c r="B770" t="s">
        <v>1353</v>
      </c>
      <c r="C770" s="35" t="s">
        <v>2571</v>
      </c>
    </row>
    <row r="771" spans="1:3" x14ac:dyDescent="0.25">
      <c r="A771" s="36">
        <v>20077604627</v>
      </c>
      <c r="B771" t="s">
        <v>1353</v>
      </c>
      <c r="C771" s="35" t="s">
        <v>2571</v>
      </c>
    </row>
    <row r="772" spans="1:3" x14ac:dyDescent="0.25">
      <c r="A772" s="36">
        <v>20077604627</v>
      </c>
      <c r="B772" t="s">
        <v>1353</v>
      </c>
      <c r="C772" s="35" t="s">
        <v>2571</v>
      </c>
    </row>
    <row r="773" spans="1:3" x14ac:dyDescent="0.25">
      <c r="A773" s="36">
        <v>20077604627</v>
      </c>
      <c r="B773" t="s">
        <v>1353</v>
      </c>
      <c r="C773" s="35" t="s">
        <v>2571</v>
      </c>
    </row>
    <row r="774" spans="1:3" x14ac:dyDescent="0.25">
      <c r="A774" s="36">
        <v>20077604627</v>
      </c>
      <c r="B774" t="s">
        <v>1353</v>
      </c>
      <c r="C774" s="35" t="s">
        <v>2571</v>
      </c>
    </row>
    <row r="775" spans="1:3" x14ac:dyDescent="0.25">
      <c r="A775" s="36">
        <v>20077604627</v>
      </c>
      <c r="B775" t="s">
        <v>1353</v>
      </c>
      <c r="C775" s="35" t="s">
        <v>2571</v>
      </c>
    </row>
    <row r="776" spans="1:3" x14ac:dyDescent="0.25">
      <c r="A776" s="36">
        <v>20077604627</v>
      </c>
      <c r="B776" t="s">
        <v>1178</v>
      </c>
      <c r="C776" s="35" t="s">
        <v>2571</v>
      </c>
    </row>
    <row r="777" spans="1:3" x14ac:dyDescent="0.25">
      <c r="A777" s="36">
        <v>20077604627</v>
      </c>
      <c r="B777" t="s">
        <v>1178</v>
      </c>
      <c r="C777" s="35" t="s">
        <v>2571</v>
      </c>
    </row>
    <row r="778" spans="1:3" x14ac:dyDescent="0.25">
      <c r="A778" s="36">
        <v>30707603123</v>
      </c>
      <c r="B778" t="s">
        <v>1650</v>
      </c>
      <c r="C778" s="35" t="s">
        <v>2571</v>
      </c>
    </row>
    <row r="779" spans="1:3" x14ac:dyDescent="0.25">
      <c r="A779" s="36">
        <v>30709863076</v>
      </c>
      <c r="B779" t="s">
        <v>1151</v>
      </c>
      <c r="C779" s="35" t="s">
        <v>2571</v>
      </c>
    </row>
    <row r="780" spans="1:3" x14ac:dyDescent="0.25">
      <c r="A780" s="36">
        <v>30552433595</v>
      </c>
      <c r="B780" t="s">
        <v>1139</v>
      </c>
      <c r="C780" s="35" t="s">
        <v>2571</v>
      </c>
    </row>
    <row r="781" spans="1:3" x14ac:dyDescent="0.25">
      <c r="A781" s="36">
        <v>27181689183</v>
      </c>
      <c r="B781" t="s">
        <v>1375</v>
      </c>
      <c r="C781" s="35" t="s">
        <v>2571</v>
      </c>
    </row>
    <row r="782" spans="1:3" x14ac:dyDescent="0.25">
      <c r="A782" s="36">
        <v>27181689183</v>
      </c>
      <c r="B782" t="s">
        <v>1375</v>
      </c>
      <c r="C782" s="35" t="s">
        <v>2571</v>
      </c>
    </row>
    <row r="783" spans="1:3" x14ac:dyDescent="0.25">
      <c r="A783" s="36">
        <v>27181689183</v>
      </c>
      <c r="B783" t="s">
        <v>1158</v>
      </c>
      <c r="C783" s="35" t="s">
        <v>2571</v>
      </c>
    </row>
    <row r="784" spans="1:3" x14ac:dyDescent="0.25">
      <c r="A784" s="36">
        <v>27181689183</v>
      </c>
      <c r="B784" t="s">
        <v>1158</v>
      </c>
      <c r="C784" s="35" t="s">
        <v>2571</v>
      </c>
    </row>
    <row r="785" spans="1:3" x14ac:dyDescent="0.25">
      <c r="A785" s="36">
        <v>20232507978</v>
      </c>
      <c r="B785" t="s">
        <v>1443</v>
      </c>
      <c r="C785" s="35" t="s">
        <v>2571</v>
      </c>
    </row>
    <row r="786" spans="1:3" x14ac:dyDescent="0.25">
      <c r="A786" s="36">
        <v>20232507978</v>
      </c>
      <c r="B786" t="s">
        <v>1443</v>
      </c>
      <c r="C786" s="35" t="s">
        <v>2571</v>
      </c>
    </row>
    <row r="787" spans="1:3" x14ac:dyDescent="0.25">
      <c r="A787" s="36">
        <v>27218204053</v>
      </c>
      <c r="B787" t="s">
        <v>2233</v>
      </c>
      <c r="C787" s="35" t="s">
        <v>2571</v>
      </c>
    </row>
    <row r="788" spans="1:3" x14ac:dyDescent="0.25">
      <c r="A788" s="36">
        <v>20217646414</v>
      </c>
      <c r="B788" t="s">
        <v>1632</v>
      </c>
      <c r="C788" s="35" t="s">
        <v>2571</v>
      </c>
    </row>
    <row r="789" spans="1:3" x14ac:dyDescent="0.25">
      <c r="A789" s="36">
        <v>30715434276</v>
      </c>
      <c r="B789" t="s">
        <v>1648</v>
      </c>
      <c r="C789" s="35" t="s">
        <v>2571</v>
      </c>
    </row>
    <row r="790" spans="1:3" x14ac:dyDescent="0.25">
      <c r="A790" s="36">
        <v>30708157755</v>
      </c>
      <c r="B790" t="s">
        <v>1829</v>
      </c>
      <c r="C790" s="35" t="s">
        <v>2571</v>
      </c>
    </row>
    <row r="791" spans="1:3" x14ac:dyDescent="0.25">
      <c r="A791" s="36">
        <v>30624066827</v>
      </c>
      <c r="B791" t="s">
        <v>1983</v>
      </c>
      <c r="C791" s="35" t="s">
        <v>2571</v>
      </c>
    </row>
    <row r="792" spans="1:3" x14ac:dyDescent="0.25">
      <c r="A792" s="36">
        <v>20103069832</v>
      </c>
      <c r="B792" t="s">
        <v>1984</v>
      </c>
      <c r="C792" s="35" t="s">
        <v>2571</v>
      </c>
    </row>
    <row r="793" spans="1:3" x14ac:dyDescent="0.25">
      <c r="A793" s="36">
        <v>20310796736</v>
      </c>
      <c r="B793" t="s">
        <v>2026</v>
      </c>
      <c r="C793" s="35" t="s">
        <v>2571</v>
      </c>
    </row>
    <row r="794" spans="1:3" x14ac:dyDescent="0.25">
      <c r="A794" s="36">
        <v>20299505430</v>
      </c>
      <c r="B794" t="s">
        <v>2051</v>
      </c>
      <c r="C794" s="35" t="s">
        <v>2571</v>
      </c>
    </row>
    <row r="795" spans="1:3" x14ac:dyDescent="0.25">
      <c r="A795" s="36">
        <v>20145686459</v>
      </c>
      <c r="B795" t="s">
        <v>2080</v>
      </c>
      <c r="C795" s="35" t="s">
        <v>2571</v>
      </c>
    </row>
    <row r="796" spans="1:3" x14ac:dyDescent="0.25">
      <c r="A796" s="36">
        <v>30714946389</v>
      </c>
      <c r="B796" t="s">
        <v>2109</v>
      </c>
      <c r="C796" s="35" t="s">
        <v>2571</v>
      </c>
    </row>
    <row r="797" spans="1:3" x14ac:dyDescent="0.25">
      <c r="A797" s="36">
        <v>30715865188</v>
      </c>
      <c r="B797" t="s">
        <v>2143</v>
      </c>
      <c r="C797" s="35" t="s">
        <v>2571</v>
      </c>
    </row>
    <row r="798" spans="1:3" x14ac:dyDescent="0.25">
      <c r="A798" s="36">
        <v>20255726103</v>
      </c>
      <c r="B798" t="s">
        <v>2145</v>
      </c>
      <c r="C798" s="35" t="s">
        <v>2571</v>
      </c>
    </row>
    <row r="799" spans="1:3" x14ac:dyDescent="0.25">
      <c r="A799" s="36">
        <v>30644997258</v>
      </c>
      <c r="B799" t="s">
        <v>2179</v>
      </c>
      <c r="C799" s="35" t="s">
        <v>2571</v>
      </c>
    </row>
    <row r="800" spans="1:3" x14ac:dyDescent="0.25">
      <c r="A800" s="36">
        <v>20320262195</v>
      </c>
      <c r="B800" t="s">
        <v>2222</v>
      </c>
      <c r="C800" s="35" t="s">
        <v>2571</v>
      </c>
    </row>
    <row r="801" spans="1:3" x14ac:dyDescent="0.25">
      <c r="A801" s="36">
        <v>30717486826</v>
      </c>
      <c r="B801" t="s">
        <v>2230</v>
      </c>
      <c r="C801" s="35" t="s">
        <v>2571</v>
      </c>
    </row>
    <row r="802" spans="1:3" x14ac:dyDescent="0.25">
      <c r="A802" s="36">
        <v>30717381242</v>
      </c>
      <c r="B802" t="s">
        <v>2258</v>
      </c>
      <c r="C802" s="35" t="s">
        <v>2571</v>
      </c>
    </row>
    <row r="803" spans="1:3" x14ac:dyDescent="0.25">
      <c r="A803" s="36">
        <v>30709382019</v>
      </c>
      <c r="B803" t="s">
        <v>2290</v>
      </c>
      <c r="C803" s="35" t="s">
        <v>2571</v>
      </c>
    </row>
    <row r="804" spans="1:3" x14ac:dyDescent="0.25">
      <c r="A804" s="36">
        <v>20381035221</v>
      </c>
      <c r="B804" t="s">
        <v>2152</v>
      </c>
      <c r="C804" s="35" t="s">
        <v>2572</v>
      </c>
    </row>
    <row r="805" spans="1:3" x14ac:dyDescent="0.25">
      <c r="A805" s="36">
        <v>30582876661</v>
      </c>
      <c r="B805" t="s">
        <v>155</v>
      </c>
      <c r="C805" s="35" t="s">
        <v>83</v>
      </c>
    </row>
    <row r="806" spans="1:3" x14ac:dyDescent="0.25">
      <c r="A806" s="36">
        <v>30506357841</v>
      </c>
      <c r="B806" t="s">
        <v>261</v>
      </c>
      <c r="C806" s="35" t="s">
        <v>83</v>
      </c>
    </row>
    <row r="807" spans="1:3" x14ac:dyDescent="0.25">
      <c r="A807" s="36">
        <v>30712480358</v>
      </c>
      <c r="B807" t="s">
        <v>411</v>
      </c>
      <c r="C807" s="35" t="s">
        <v>83</v>
      </c>
    </row>
    <row r="808" spans="1:3" x14ac:dyDescent="0.25">
      <c r="A808" s="36">
        <v>33716493119</v>
      </c>
      <c r="B808" t="s">
        <v>519</v>
      </c>
      <c r="C808" s="35" t="s">
        <v>83</v>
      </c>
    </row>
    <row r="809" spans="1:3" x14ac:dyDescent="0.25">
      <c r="A809" s="36">
        <v>30714543357</v>
      </c>
      <c r="B809" t="s">
        <v>628</v>
      </c>
      <c r="C809" s="35" t="s">
        <v>83</v>
      </c>
    </row>
    <row r="810" spans="1:3" x14ac:dyDescent="0.25">
      <c r="A810" s="36">
        <v>20275363279</v>
      </c>
      <c r="B810" t="s">
        <v>661</v>
      </c>
      <c r="C810" s="35" t="s">
        <v>83</v>
      </c>
    </row>
    <row r="811" spans="1:3" x14ac:dyDescent="0.25">
      <c r="A811" s="36"/>
      <c r="B811" t="s">
        <v>688</v>
      </c>
      <c r="C811" s="35" t="s">
        <v>83</v>
      </c>
    </row>
    <row r="812" spans="1:3" x14ac:dyDescent="0.25">
      <c r="A812" s="36">
        <v>30709981141</v>
      </c>
      <c r="B812" t="s">
        <v>935</v>
      </c>
      <c r="C812" s="35" t="s">
        <v>83</v>
      </c>
    </row>
    <row r="813" spans="1:3" x14ac:dyDescent="0.25">
      <c r="A813" s="36">
        <v>30709981141</v>
      </c>
      <c r="B813" t="s">
        <v>935</v>
      </c>
      <c r="C813" s="35" t="s">
        <v>83</v>
      </c>
    </row>
    <row r="814" spans="1:3" x14ac:dyDescent="0.25">
      <c r="A814" s="36">
        <v>30715354213</v>
      </c>
      <c r="B814" t="s">
        <v>1045</v>
      </c>
      <c r="C814" s="35" t="s">
        <v>83</v>
      </c>
    </row>
    <row r="815" spans="1:3" x14ac:dyDescent="0.25">
      <c r="A815" s="36">
        <v>30715354213</v>
      </c>
      <c r="B815" t="s">
        <v>1045</v>
      </c>
      <c r="C815" s="35" t="s">
        <v>83</v>
      </c>
    </row>
    <row r="816" spans="1:3" x14ac:dyDescent="0.25">
      <c r="A816" s="36">
        <v>27135545436</v>
      </c>
      <c r="B816" t="s">
        <v>1118</v>
      </c>
      <c r="C816" s="35" t="s">
        <v>83</v>
      </c>
    </row>
    <row r="817" spans="1:4" x14ac:dyDescent="0.25">
      <c r="A817" s="36">
        <v>27135545436</v>
      </c>
      <c r="B817" t="s">
        <v>1118</v>
      </c>
      <c r="C817" s="35" t="s">
        <v>83</v>
      </c>
    </row>
    <row r="818" spans="1:4" x14ac:dyDescent="0.25">
      <c r="A818" s="36">
        <v>30708574836</v>
      </c>
      <c r="B818" t="s">
        <v>1368</v>
      </c>
      <c r="C818" s="35" t="s">
        <v>1853</v>
      </c>
    </row>
    <row r="819" spans="1:4" x14ac:dyDescent="0.25">
      <c r="A819" s="36">
        <v>30711877386</v>
      </c>
      <c r="B819" t="s">
        <v>741</v>
      </c>
      <c r="C819" s="35" t="s">
        <v>742</v>
      </c>
    </row>
    <row r="820" spans="1:4" x14ac:dyDescent="0.25">
      <c r="A820" s="36">
        <v>30712273158</v>
      </c>
      <c r="B820" t="s">
        <v>776</v>
      </c>
      <c r="C820" s="35" t="s">
        <v>86</v>
      </c>
    </row>
    <row r="821" spans="1:4" x14ac:dyDescent="0.25">
      <c r="A821" s="36">
        <v>30715585215</v>
      </c>
      <c r="B821" t="s">
        <v>1007</v>
      </c>
      <c r="C821" s="35" t="s">
        <v>86</v>
      </c>
    </row>
    <row r="822" spans="1:4" x14ac:dyDescent="0.25">
      <c r="A822" s="36">
        <v>30715585215</v>
      </c>
      <c r="B822" t="s">
        <v>1007</v>
      </c>
      <c r="C822" s="35" t="s">
        <v>86</v>
      </c>
    </row>
    <row r="823" spans="1:4" x14ac:dyDescent="0.25">
      <c r="A823" s="36">
        <v>30708425237</v>
      </c>
      <c r="B823" t="s">
        <v>1751</v>
      </c>
      <c r="C823" s="35" t="s">
        <v>86</v>
      </c>
      <c r="D823" t="s">
        <v>1752</v>
      </c>
    </row>
    <row r="824" spans="1:4" x14ac:dyDescent="0.25">
      <c r="A824" s="36">
        <v>30708610999</v>
      </c>
      <c r="B824" t="s">
        <v>1756</v>
      </c>
      <c r="C824" s="35" t="s">
        <v>86</v>
      </c>
      <c r="D824" t="s">
        <v>1754</v>
      </c>
    </row>
    <row r="825" spans="1:4" x14ac:dyDescent="0.25">
      <c r="A825" s="36">
        <v>30522581506</v>
      </c>
      <c r="B825" t="s">
        <v>1934</v>
      </c>
      <c r="C825" s="35" t="s">
        <v>86</v>
      </c>
    </row>
    <row r="826" spans="1:4" x14ac:dyDescent="0.25">
      <c r="A826" s="36">
        <v>30714112836</v>
      </c>
      <c r="B826" t="s">
        <v>1126</v>
      </c>
      <c r="C826" s="35" t="s">
        <v>2573</v>
      </c>
    </row>
    <row r="827" spans="1:4" x14ac:dyDescent="0.25">
      <c r="A827" s="36">
        <v>30714112836</v>
      </c>
      <c r="B827" t="s">
        <v>1126</v>
      </c>
      <c r="C827" s="35" t="s">
        <v>2573</v>
      </c>
    </row>
    <row r="828" spans="1:4" x14ac:dyDescent="0.25">
      <c r="A828" s="36">
        <v>30714112836</v>
      </c>
      <c r="B828" t="s">
        <v>1359</v>
      </c>
      <c r="C828" s="35" t="s">
        <v>2573</v>
      </c>
    </row>
    <row r="829" spans="1:4" x14ac:dyDescent="0.25">
      <c r="A829" s="36">
        <v>30714112836</v>
      </c>
      <c r="B829" t="s">
        <v>1359</v>
      </c>
      <c r="C829" s="35" t="s">
        <v>2573</v>
      </c>
    </row>
    <row r="830" spans="1:4" x14ac:dyDescent="0.25">
      <c r="A830" s="36">
        <v>30677237119</v>
      </c>
      <c r="B830" t="s">
        <v>1370</v>
      </c>
      <c r="C830" s="35" t="s">
        <v>2573</v>
      </c>
    </row>
    <row r="831" spans="1:4" x14ac:dyDescent="0.25">
      <c r="A831" s="36">
        <v>30677237119</v>
      </c>
      <c r="B831" t="s">
        <v>1370</v>
      </c>
      <c r="C831" s="35" t="s">
        <v>2573</v>
      </c>
    </row>
    <row r="832" spans="1:4" x14ac:dyDescent="0.25">
      <c r="A832" s="36">
        <v>30677237119</v>
      </c>
      <c r="B832" t="s">
        <v>1370</v>
      </c>
      <c r="C832" s="35" t="s">
        <v>2573</v>
      </c>
    </row>
    <row r="833" spans="1:3" x14ac:dyDescent="0.25">
      <c r="A833" s="36">
        <v>30677237119</v>
      </c>
      <c r="B833" t="s">
        <v>1370</v>
      </c>
      <c r="C833" s="35" t="s">
        <v>2573</v>
      </c>
    </row>
    <row r="834" spans="1:3" x14ac:dyDescent="0.25">
      <c r="A834" s="36">
        <v>30574876474</v>
      </c>
      <c r="B834" t="s">
        <v>1366</v>
      </c>
      <c r="C834" s="35" t="s">
        <v>2573</v>
      </c>
    </row>
    <row r="835" spans="1:3" x14ac:dyDescent="0.25">
      <c r="A835" s="36">
        <v>30574876474</v>
      </c>
      <c r="B835" t="s">
        <v>1366</v>
      </c>
      <c r="C835" s="35" t="s">
        <v>2573</v>
      </c>
    </row>
    <row r="836" spans="1:3" x14ac:dyDescent="0.25">
      <c r="A836" s="36">
        <v>30574876474</v>
      </c>
      <c r="B836" t="s">
        <v>1366</v>
      </c>
      <c r="C836" s="35" t="s">
        <v>2573</v>
      </c>
    </row>
    <row r="837" spans="1:3" x14ac:dyDescent="0.25">
      <c r="A837" s="36">
        <v>30574876474</v>
      </c>
      <c r="B837" t="s">
        <v>1366</v>
      </c>
      <c r="C837" s="35" t="s">
        <v>2573</v>
      </c>
    </row>
    <row r="838" spans="1:3" x14ac:dyDescent="0.25">
      <c r="A838" s="36">
        <v>30715804812</v>
      </c>
      <c r="B838" t="s">
        <v>1398</v>
      </c>
      <c r="C838" s="35" t="s">
        <v>2573</v>
      </c>
    </row>
    <row r="839" spans="1:3" x14ac:dyDescent="0.25">
      <c r="A839" s="36">
        <v>30715804812</v>
      </c>
      <c r="B839" t="s">
        <v>1398</v>
      </c>
      <c r="C839" s="35" t="s">
        <v>2573</v>
      </c>
    </row>
    <row r="840" spans="1:3" x14ac:dyDescent="0.25">
      <c r="A840" s="36">
        <v>30663498513</v>
      </c>
      <c r="B840" t="s">
        <v>141</v>
      </c>
      <c r="C840" s="35" t="s">
        <v>2573</v>
      </c>
    </row>
    <row r="841" spans="1:3" x14ac:dyDescent="0.25">
      <c r="A841" s="36">
        <v>30663498513</v>
      </c>
      <c r="B841" t="s">
        <v>1364</v>
      </c>
      <c r="C841" s="35" t="s">
        <v>2573</v>
      </c>
    </row>
    <row r="842" spans="1:3" x14ac:dyDescent="0.25">
      <c r="A842" s="36">
        <v>30663498513</v>
      </c>
      <c r="B842" t="s">
        <v>1364</v>
      </c>
      <c r="C842" s="35" t="s">
        <v>2573</v>
      </c>
    </row>
    <row r="843" spans="1:3" x14ac:dyDescent="0.25">
      <c r="A843" s="36">
        <v>30663498513</v>
      </c>
      <c r="B843" t="s">
        <v>1364</v>
      </c>
      <c r="C843" s="35" t="s">
        <v>2573</v>
      </c>
    </row>
    <row r="844" spans="1:3" x14ac:dyDescent="0.25">
      <c r="A844" s="36">
        <v>30663498513</v>
      </c>
      <c r="B844" t="s">
        <v>1364</v>
      </c>
      <c r="C844" s="35" t="s">
        <v>2573</v>
      </c>
    </row>
    <row r="845" spans="1:3" x14ac:dyDescent="0.25">
      <c r="A845" s="36">
        <v>30639935872</v>
      </c>
      <c r="B845" t="s">
        <v>2076</v>
      </c>
      <c r="C845" s="35" t="s">
        <v>2573</v>
      </c>
    </row>
    <row r="846" spans="1:3" x14ac:dyDescent="0.25">
      <c r="A846" s="36">
        <v>30714783129</v>
      </c>
      <c r="B846" t="s">
        <v>2101</v>
      </c>
      <c r="C846" s="35" t="s">
        <v>2573</v>
      </c>
    </row>
    <row r="847" spans="1:3" x14ac:dyDescent="0.25">
      <c r="A847" s="36">
        <v>20222798397</v>
      </c>
      <c r="B847" t="s">
        <v>2176</v>
      </c>
      <c r="C847" s="35" t="s">
        <v>2574</v>
      </c>
    </row>
    <row r="848" spans="1:3" x14ac:dyDescent="0.25">
      <c r="A848" s="36">
        <v>20219190469</v>
      </c>
      <c r="B848" t="s">
        <v>1395</v>
      </c>
      <c r="C848" s="35" t="s">
        <v>2550</v>
      </c>
    </row>
    <row r="849" spans="1:3" x14ac:dyDescent="0.25">
      <c r="A849" s="36">
        <v>20219190469</v>
      </c>
      <c r="B849" t="s">
        <v>1395</v>
      </c>
      <c r="C849" s="35" t="s">
        <v>2550</v>
      </c>
    </row>
    <row r="850" spans="1:3" x14ac:dyDescent="0.25">
      <c r="A850" s="36">
        <v>20219190469</v>
      </c>
      <c r="B850" t="s">
        <v>1154</v>
      </c>
      <c r="C850" s="35" t="s">
        <v>2550</v>
      </c>
    </row>
    <row r="851" spans="1:3" x14ac:dyDescent="0.25">
      <c r="A851" s="36">
        <v>20219190469</v>
      </c>
      <c r="B851" t="s">
        <v>1154</v>
      </c>
      <c r="C851" s="35" t="s">
        <v>2550</v>
      </c>
    </row>
    <row r="852" spans="1:3" x14ac:dyDescent="0.25">
      <c r="A852" s="36">
        <v>20291527575</v>
      </c>
      <c r="B852" t="s">
        <v>2136</v>
      </c>
      <c r="C852" s="35" t="s">
        <v>2550</v>
      </c>
    </row>
    <row r="853" spans="1:3" x14ac:dyDescent="0.25">
      <c r="A853" s="36">
        <v>33714677239</v>
      </c>
      <c r="B853" t="s">
        <v>1152</v>
      </c>
      <c r="C853" s="35" t="s">
        <v>2550</v>
      </c>
    </row>
    <row r="854" spans="1:3" x14ac:dyDescent="0.25">
      <c r="A854" s="36">
        <v>30714618977</v>
      </c>
      <c r="B854" t="s">
        <v>1529</v>
      </c>
      <c r="C854" s="35" t="s">
        <v>2550</v>
      </c>
    </row>
    <row r="855" spans="1:3" x14ac:dyDescent="0.25">
      <c r="A855" s="36">
        <v>30616146447</v>
      </c>
      <c r="B855" t="s">
        <v>1524</v>
      </c>
      <c r="C855" s="35" t="s">
        <v>2550</v>
      </c>
    </row>
    <row r="856" spans="1:3" x14ac:dyDescent="0.25">
      <c r="A856" s="36">
        <v>20946785300</v>
      </c>
      <c r="B856" t="s">
        <v>1431</v>
      </c>
      <c r="C856" s="35" t="s">
        <v>2550</v>
      </c>
    </row>
    <row r="857" spans="1:3" x14ac:dyDescent="0.25">
      <c r="A857" s="36">
        <v>20102638086</v>
      </c>
      <c r="B857" t="s">
        <v>1542</v>
      </c>
      <c r="C857" s="35" t="s">
        <v>2550</v>
      </c>
    </row>
    <row r="858" spans="1:3" x14ac:dyDescent="0.25">
      <c r="A858" s="36">
        <v>30629863571</v>
      </c>
      <c r="B858" t="s">
        <v>1357</v>
      </c>
      <c r="C858" s="35" t="s">
        <v>2550</v>
      </c>
    </row>
    <row r="859" spans="1:3" x14ac:dyDescent="0.25">
      <c r="A859" s="36">
        <v>20946785300</v>
      </c>
      <c r="B859" t="s">
        <v>1431</v>
      </c>
      <c r="C859" s="35" t="s">
        <v>2550</v>
      </c>
    </row>
    <row r="860" spans="1:3" x14ac:dyDescent="0.25">
      <c r="A860" s="36">
        <v>30708006420</v>
      </c>
      <c r="B860" t="s">
        <v>1149</v>
      </c>
      <c r="C860" s="35" t="s">
        <v>2550</v>
      </c>
    </row>
    <row r="861" spans="1:3" x14ac:dyDescent="0.25">
      <c r="A861" s="36">
        <v>30708006420</v>
      </c>
      <c r="B861" t="s">
        <v>1149</v>
      </c>
      <c r="C861" s="35" t="s">
        <v>2550</v>
      </c>
    </row>
    <row r="862" spans="1:3" x14ac:dyDescent="0.25">
      <c r="A862" s="36">
        <v>30708006420</v>
      </c>
      <c r="B862" t="s">
        <v>1149</v>
      </c>
      <c r="C862" s="35" t="s">
        <v>2550</v>
      </c>
    </row>
    <row r="863" spans="1:3" x14ac:dyDescent="0.25">
      <c r="A863" s="36">
        <v>30708006420</v>
      </c>
      <c r="B863" t="s">
        <v>1149</v>
      </c>
      <c r="C863" s="35" t="s">
        <v>2550</v>
      </c>
    </row>
    <row r="864" spans="1:3" x14ac:dyDescent="0.25">
      <c r="A864" s="36">
        <v>30715811622</v>
      </c>
      <c r="B864" t="s">
        <v>1558</v>
      </c>
      <c r="C864" s="35" t="s">
        <v>2550</v>
      </c>
    </row>
    <row r="865" spans="1:3" x14ac:dyDescent="0.25">
      <c r="A865" s="36">
        <v>30718148207</v>
      </c>
      <c r="B865" t="s">
        <v>1900</v>
      </c>
      <c r="C865" s="35" t="s">
        <v>2550</v>
      </c>
    </row>
    <row r="866" spans="1:3" x14ac:dyDescent="0.25">
      <c r="A866" s="36">
        <v>30718189388</v>
      </c>
      <c r="B866" t="s">
        <v>2097</v>
      </c>
      <c r="C866" s="35" t="s">
        <v>2550</v>
      </c>
    </row>
    <row r="867" spans="1:3" x14ac:dyDescent="0.25">
      <c r="A867" s="36">
        <v>20263486464</v>
      </c>
      <c r="B867" t="s">
        <v>2178</v>
      </c>
      <c r="C867" s="35" t="s">
        <v>2550</v>
      </c>
    </row>
    <row r="868" spans="1:3" x14ac:dyDescent="0.25">
      <c r="A868" s="36">
        <v>30711234191</v>
      </c>
      <c r="B868" t="s">
        <v>2256</v>
      </c>
      <c r="C868" s="35" t="s">
        <v>2550</v>
      </c>
    </row>
    <row r="869" spans="1:3" x14ac:dyDescent="0.25">
      <c r="A869" s="36">
        <v>30718531736</v>
      </c>
      <c r="B869" t="s">
        <v>2262</v>
      </c>
      <c r="C869" s="35" t="s">
        <v>2550</v>
      </c>
    </row>
    <row r="870" spans="1:3" x14ac:dyDescent="0.25">
      <c r="A870" s="36">
        <v>30711091552</v>
      </c>
      <c r="B870" t="s">
        <v>2298</v>
      </c>
      <c r="C870" s="35" t="s">
        <v>75</v>
      </c>
    </row>
    <row r="871" spans="1:3" x14ac:dyDescent="0.25">
      <c r="A871" s="36">
        <v>23934601289</v>
      </c>
      <c r="B871" t="s">
        <v>2108</v>
      </c>
      <c r="C871" s="35" t="s">
        <v>79</v>
      </c>
    </row>
    <row r="872" spans="1:3" x14ac:dyDescent="0.25">
      <c r="A872" s="36">
        <v>30707997679</v>
      </c>
      <c r="B872" t="s">
        <v>2114</v>
      </c>
      <c r="C872" s="35" t="s">
        <v>79</v>
      </c>
    </row>
    <row r="873" spans="1:3" x14ac:dyDescent="0.25">
      <c r="A873" s="36">
        <v>30707014756</v>
      </c>
      <c r="B873" t="s">
        <v>2118</v>
      </c>
      <c r="C873" s="35" t="s">
        <v>79</v>
      </c>
    </row>
    <row r="874" spans="1:3" x14ac:dyDescent="0.25">
      <c r="A874" s="36">
        <v>30500795804</v>
      </c>
      <c r="B874" t="s">
        <v>2124</v>
      </c>
      <c r="C874" s="35" t="s">
        <v>79</v>
      </c>
    </row>
    <row r="875" spans="1:3" x14ac:dyDescent="0.25">
      <c r="A875" s="36">
        <v>30602291487</v>
      </c>
      <c r="B875" t="s">
        <v>2188</v>
      </c>
      <c r="C875" s="35" t="s">
        <v>79</v>
      </c>
    </row>
    <row r="876" spans="1:3" x14ac:dyDescent="0.25">
      <c r="A876" s="36">
        <v>30687725766</v>
      </c>
      <c r="B876" t="s">
        <v>2198</v>
      </c>
      <c r="C876" s="35" t="s">
        <v>79</v>
      </c>
    </row>
    <row r="877" spans="1:3" x14ac:dyDescent="0.25">
      <c r="A877" s="36">
        <v>30717197409</v>
      </c>
      <c r="B877" t="s">
        <v>2207</v>
      </c>
      <c r="C877" s="35" t="s">
        <v>79</v>
      </c>
    </row>
    <row r="878" spans="1:3" x14ac:dyDescent="0.25">
      <c r="A878" s="36">
        <v>30677372717</v>
      </c>
      <c r="B878" t="s">
        <v>2211</v>
      </c>
      <c r="C878" s="35" t="s">
        <v>79</v>
      </c>
    </row>
    <row r="879" spans="1:3" x14ac:dyDescent="0.25">
      <c r="A879" s="36">
        <v>20317427361</v>
      </c>
      <c r="B879" t="s">
        <v>2223</v>
      </c>
      <c r="C879" s="35" t="s">
        <v>79</v>
      </c>
    </row>
    <row r="880" spans="1:3" x14ac:dyDescent="0.25">
      <c r="A880" s="36">
        <v>27286944588</v>
      </c>
      <c r="B880" t="s">
        <v>2239</v>
      </c>
      <c r="C880" s="35" t="s">
        <v>79</v>
      </c>
    </row>
    <row r="881" spans="1:3" x14ac:dyDescent="0.25">
      <c r="A881" s="36">
        <v>30714440779</v>
      </c>
      <c r="B881" t="s">
        <v>2248</v>
      </c>
      <c r="C881" s="35" t="s">
        <v>79</v>
      </c>
    </row>
    <row r="882" spans="1:3" x14ac:dyDescent="0.25">
      <c r="A882" s="36">
        <v>20165282974</v>
      </c>
      <c r="B882" t="s">
        <v>2308</v>
      </c>
      <c r="C882" s="35" t="s">
        <v>79</v>
      </c>
    </row>
    <row r="883" spans="1:3" x14ac:dyDescent="0.25">
      <c r="A883" s="36">
        <v>20134116251</v>
      </c>
      <c r="B883" t="s">
        <v>1878</v>
      </c>
      <c r="C883" s="35" t="s">
        <v>2575</v>
      </c>
    </row>
    <row r="884" spans="1:3" x14ac:dyDescent="0.25">
      <c r="A884" s="36">
        <v>30620779748</v>
      </c>
      <c r="B884" t="s">
        <v>2301</v>
      </c>
      <c r="C884" s="35" t="s">
        <v>2575</v>
      </c>
    </row>
    <row r="885" spans="1:3" x14ac:dyDescent="0.25">
      <c r="A885" s="36">
        <v>23234730959</v>
      </c>
      <c r="B885" t="s">
        <v>1412</v>
      </c>
      <c r="C885" s="35" t="s">
        <v>117</v>
      </c>
    </row>
    <row r="886" spans="1:3" x14ac:dyDescent="0.25">
      <c r="A886" s="36">
        <v>23234730959</v>
      </c>
      <c r="B886" t="s">
        <v>1412</v>
      </c>
      <c r="C886" s="35" t="s">
        <v>117</v>
      </c>
    </row>
    <row r="887" spans="1:3" x14ac:dyDescent="0.25">
      <c r="A887" s="36">
        <v>30709565075</v>
      </c>
      <c r="B887" t="s">
        <v>1176</v>
      </c>
      <c r="C887" s="35" t="s">
        <v>80</v>
      </c>
    </row>
    <row r="888" spans="1:3" x14ac:dyDescent="0.25">
      <c r="A888" s="36">
        <v>30709565075</v>
      </c>
      <c r="B888" t="s">
        <v>1176</v>
      </c>
      <c r="C888" s="35" t="s">
        <v>80</v>
      </c>
    </row>
    <row r="889" spans="1:3" x14ac:dyDescent="0.25">
      <c r="A889" s="36">
        <v>30655116202</v>
      </c>
      <c r="B889" t="s">
        <v>1170</v>
      </c>
      <c r="C889" s="35" t="s">
        <v>80</v>
      </c>
    </row>
    <row r="890" spans="1:3" x14ac:dyDescent="0.25">
      <c r="A890" s="36">
        <v>30655116202</v>
      </c>
      <c r="B890" t="s">
        <v>1170</v>
      </c>
      <c r="C890" s="35" t="s">
        <v>80</v>
      </c>
    </row>
    <row r="891" spans="1:3" x14ac:dyDescent="0.25">
      <c r="A891" s="36">
        <v>30655116512</v>
      </c>
      <c r="B891" t="s">
        <v>1161</v>
      </c>
      <c r="C891" s="35" t="s">
        <v>80</v>
      </c>
    </row>
    <row r="892" spans="1:3" x14ac:dyDescent="0.25">
      <c r="A892" s="36">
        <v>30655116512</v>
      </c>
      <c r="B892" t="s">
        <v>1161</v>
      </c>
      <c r="C892" s="35" t="s">
        <v>80</v>
      </c>
    </row>
    <row r="893" spans="1:3" x14ac:dyDescent="0.25">
      <c r="A893" s="36">
        <v>30655116512</v>
      </c>
      <c r="B893" t="s">
        <v>1161</v>
      </c>
      <c r="C893" s="35" t="s">
        <v>80</v>
      </c>
    </row>
    <row r="894" spans="1:3" x14ac:dyDescent="0.25">
      <c r="A894" s="36">
        <v>30655116512</v>
      </c>
      <c r="B894" t="s">
        <v>1161</v>
      </c>
      <c r="C894" s="35" t="s">
        <v>80</v>
      </c>
    </row>
    <row r="895" spans="1:3" x14ac:dyDescent="0.25">
      <c r="A895" s="36">
        <v>30702652975</v>
      </c>
      <c r="B895" t="s">
        <v>114</v>
      </c>
      <c r="C895" s="35" t="s">
        <v>80</v>
      </c>
    </row>
    <row r="896" spans="1:3" x14ac:dyDescent="0.25">
      <c r="A896" s="36">
        <v>30576393381</v>
      </c>
      <c r="B896" t="s">
        <v>792</v>
      </c>
      <c r="C896" s="35" t="s">
        <v>80</v>
      </c>
    </row>
    <row r="897" spans="1:3" x14ac:dyDescent="0.25">
      <c r="A897" s="36">
        <v>30640897267</v>
      </c>
      <c r="B897" t="s">
        <v>1175</v>
      </c>
      <c r="C897" s="35" t="s">
        <v>80</v>
      </c>
    </row>
    <row r="898" spans="1:3" x14ac:dyDescent="0.25">
      <c r="A898" s="36">
        <v>30640897267</v>
      </c>
      <c r="B898" t="s">
        <v>1175</v>
      </c>
      <c r="C898" s="35" t="s">
        <v>80</v>
      </c>
    </row>
    <row r="899" spans="1:3" x14ac:dyDescent="0.25">
      <c r="A899" s="36">
        <v>30640897267</v>
      </c>
      <c r="B899" t="s">
        <v>1175</v>
      </c>
      <c r="C899" s="35" t="s">
        <v>80</v>
      </c>
    </row>
    <row r="900" spans="1:3" x14ac:dyDescent="0.25">
      <c r="A900" s="36">
        <v>30640897267</v>
      </c>
      <c r="B900" t="s">
        <v>1175</v>
      </c>
      <c r="C900" s="35" t="s">
        <v>80</v>
      </c>
    </row>
    <row r="901" spans="1:3" x14ac:dyDescent="0.25">
      <c r="A901" s="36">
        <v>30640897267</v>
      </c>
      <c r="B901" t="s">
        <v>101</v>
      </c>
      <c r="C901" s="35" t="s">
        <v>80</v>
      </c>
    </row>
    <row r="902" spans="1:3" x14ac:dyDescent="0.25">
      <c r="A902" s="36">
        <v>30640897267</v>
      </c>
      <c r="B902" t="s">
        <v>101</v>
      </c>
      <c r="C902" s="35" t="s">
        <v>80</v>
      </c>
    </row>
    <row r="903" spans="1:3" x14ac:dyDescent="0.25">
      <c r="A903" s="36">
        <v>30639453738</v>
      </c>
      <c r="B903" t="s">
        <v>960</v>
      </c>
      <c r="C903" s="35" t="s">
        <v>80</v>
      </c>
    </row>
    <row r="904" spans="1:3" x14ac:dyDescent="0.25">
      <c r="A904" s="36">
        <v>30639453738</v>
      </c>
      <c r="B904" t="s">
        <v>960</v>
      </c>
      <c r="C904" s="35" t="s">
        <v>80</v>
      </c>
    </row>
    <row r="905" spans="1:3" x14ac:dyDescent="0.25">
      <c r="A905" s="36">
        <v>30639453738</v>
      </c>
      <c r="B905" t="s">
        <v>1167</v>
      </c>
      <c r="C905" s="35" t="s">
        <v>80</v>
      </c>
    </row>
    <row r="906" spans="1:3" x14ac:dyDescent="0.25">
      <c r="A906" s="36">
        <v>30639453738</v>
      </c>
      <c r="B906" t="s">
        <v>1167</v>
      </c>
      <c r="C906" s="35" t="s">
        <v>80</v>
      </c>
    </row>
    <row r="907" spans="1:3" x14ac:dyDescent="0.25">
      <c r="A907" s="36">
        <v>30639453738</v>
      </c>
      <c r="B907" t="s">
        <v>1392</v>
      </c>
      <c r="C907" s="35" t="s">
        <v>80</v>
      </c>
    </row>
    <row r="908" spans="1:3" x14ac:dyDescent="0.25">
      <c r="A908" s="36">
        <v>30639453738</v>
      </c>
      <c r="B908" t="s">
        <v>1392</v>
      </c>
      <c r="C908" s="35" t="s">
        <v>80</v>
      </c>
    </row>
    <row r="909" spans="1:3" x14ac:dyDescent="0.25">
      <c r="A909" s="36">
        <v>30639453975</v>
      </c>
      <c r="B909" t="s">
        <v>961</v>
      </c>
      <c r="C909" s="35" t="s">
        <v>80</v>
      </c>
    </row>
    <row r="910" spans="1:3" x14ac:dyDescent="0.25">
      <c r="A910" s="36">
        <v>30639453975</v>
      </c>
      <c r="B910" t="s">
        <v>961</v>
      </c>
      <c r="C910" s="35" t="s">
        <v>80</v>
      </c>
    </row>
    <row r="911" spans="1:3" x14ac:dyDescent="0.25">
      <c r="A911" s="36">
        <v>30678814357</v>
      </c>
      <c r="B911" t="s">
        <v>962</v>
      </c>
      <c r="C911" s="35" t="s">
        <v>80</v>
      </c>
    </row>
    <row r="912" spans="1:3" x14ac:dyDescent="0.25">
      <c r="A912" s="36">
        <v>30678814357</v>
      </c>
      <c r="B912" t="s">
        <v>962</v>
      </c>
      <c r="C912" s="35" t="s">
        <v>80</v>
      </c>
    </row>
    <row r="913" spans="1:3" x14ac:dyDescent="0.25">
      <c r="A913" s="36">
        <v>33640077609</v>
      </c>
      <c r="B913" t="s">
        <v>1794</v>
      </c>
      <c r="C913" s="35" t="s">
        <v>80</v>
      </c>
    </row>
    <row r="914" spans="1:3" x14ac:dyDescent="0.25">
      <c r="A914" s="36">
        <v>33707953549</v>
      </c>
      <c r="B914" t="s">
        <v>1943</v>
      </c>
      <c r="C914" s="35" t="s">
        <v>80</v>
      </c>
    </row>
    <row r="915" spans="1:3" x14ac:dyDescent="0.25">
      <c r="A915" s="36">
        <v>23265923909</v>
      </c>
      <c r="B915" t="s">
        <v>2085</v>
      </c>
      <c r="C915" s="35" t="s">
        <v>80</v>
      </c>
    </row>
    <row r="916" spans="1:3" x14ac:dyDescent="0.25">
      <c r="A916" s="36">
        <v>30717096068</v>
      </c>
      <c r="B916" t="s">
        <v>2186</v>
      </c>
      <c r="C916" s="35" t="s">
        <v>80</v>
      </c>
    </row>
    <row r="917" spans="1:3" x14ac:dyDescent="0.25">
      <c r="A917" s="36">
        <v>30657863676</v>
      </c>
      <c r="B917" t="s">
        <v>2191</v>
      </c>
      <c r="C917" s="35" t="s">
        <v>80</v>
      </c>
    </row>
    <row r="918" spans="1:3" x14ac:dyDescent="0.25">
      <c r="A918" s="36">
        <v>33708975309</v>
      </c>
      <c r="B918" t="s">
        <v>2210</v>
      </c>
      <c r="C918" s="35" t="s">
        <v>80</v>
      </c>
    </row>
    <row r="919" spans="1:3" x14ac:dyDescent="0.25">
      <c r="A919" s="36">
        <v>30678186445</v>
      </c>
      <c r="B919" t="s">
        <v>2225</v>
      </c>
      <c r="C919" s="35" t="s">
        <v>80</v>
      </c>
    </row>
    <row r="920" spans="1:3" x14ac:dyDescent="0.25">
      <c r="A920" s="36">
        <v>30711651779</v>
      </c>
      <c r="B920" t="s">
        <v>1371</v>
      </c>
      <c r="C920" s="35" t="s">
        <v>2576</v>
      </c>
    </row>
    <row r="921" spans="1:3" x14ac:dyDescent="0.25">
      <c r="A921" s="36">
        <v>30711651779</v>
      </c>
      <c r="B921" t="s">
        <v>1371</v>
      </c>
      <c r="C921" s="35" t="s">
        <v>2576</v>
      </c>
    </row>
    <row r="922" spans="1:3" x14ac:dyDescent="0.25">
      <c r="A922" s="36">
        <v>30711651779</v>
      </c>
      <c r="B922" t="s">
        <v>1155</v>
      </c>
      <c r="C922" s="35" t="s">
        <v>2576</v>
      </c>
    </row>
    <row r="923" spans="1:3" x14ac:dyDescent="0.25">
      <c r="A923" s="36">
        <v>30711651779</v>
      </c>
      <c r="B923" t="s">
        <v>1155</v>
      </c>
      <c r="C923" s="35" t="s">
        <v>2576</v>
      </c>
    </row>
    <row r="924" spans="1:3" x14ac:dyDescent="0.25">
      <c r="A924" s="36">
        <v>30709457523</v>
      </c>
      <c r="B924" t="s">
        <v>2014</v>
      </c>
      <c r="C924" s="35" t="s">
        <v>2576</v>
      </c>
    </row>
    <row r="925" spans="1:3" x14ac:dyDescent="0.25">
      <c r="A925" s="36">
        <v>30714749206</v>
      </c>
      <c r="B925" t="s">
        <v>2131</v>
      </c>
      <c r="C925" s="35" t="s">
        <v>2576</v>
      </c>
    </row>
    <row r="926" spans="1:3" x14ac:dyDescent="0.25">
      <c r="A926" s="36">
        <v>30525525046</v>
      </c>
      <c r="B926" t="s">
        <v>2155</v>
      </c>
      <c r="C926" s="35" t="s">
        <v>2576</v>
      </c>
    </row>
    <row r="927" spans="1:3" x14ac:dyDescent="0.25">
      <c r="A927" s="36">
        <v>30707830960</v>
      </c>
      <c r="B927" t="s">
        <v>2259</v>
      </c>
      <c r="C927" s="35" t="s">
        <v>2576</v>
      </c>
    </row>
    <row r="928" spans="1:3" x14ac:dyDescent="0.25">
      <c r="A928" s="36">
        <v>27218690160</v>
      </c>
      <c r="B928" t="s">
        <v>2235</v>
      </c>
      <c r="C928" s="35" t="s">
        <v>2565</v>
      </c>
    </row>
    <row r="929" spans="1:3" x14ac:dyDescent="0.25">
      <c r="A929" s="36">
        <v>27165595861</v>
      </c>
      <c r="B929" t="s">
        <v>1786</v>
      </c>
      <c r="C929" s="35" t="s">
        <v>1787</v>
      </c>
    </row>
    <row r="930" spans="1:3" x14ac:dyDescent="0.25">
      <c r="A930" s="36">
        <v>20234632613</v>
      </c>
      <c r="B930" t="s">
        <v>2247</v>
      </c>
      <c r="C930" s="35" t="s">
        <v>1787</v>
      </c>
    </row>
    <row r="931" spans="1:3" x14ac:dyDescent="0.25">
      <c r="A931" s="36">
        <v>20205368826</v>
      </c>
      <c r="B931" t="s">
        <v>2255</v>
      </c>
      <c r="C931" s="35" t="s">
        <v>1787</v>
      </c>
    </row>
    <row r="932" spans="1:3" x14ac:dyDescent="0.25">
      <c r="A932" s="36">
        <v>30656515224</v>
      </c>
      <c r="B932" t="s">
        <v>2149</v>
      </c>
      <c r="C932" s="35" t="s">
        <v>2577</v>
      </c>
    </row>
    <row r="933" spans="1:3" x14ac:dyDescent="0.25">
      <c r="A933" s="36">
        <v>30714284963</v>
      </c>
      <c r="B933" t="s">
        <v>1422</v>
      </c>
      <c r="C933" s="35" t="s">
        <v>79</v>
      </c>
    </row>
    <row r="934" spans="1:3" x14ac:dyDescent="0.25">
      <c r="A934" s="36">
        <v>30714284963</v>
      </c>
      <c r="B934" t="s">
        <v>1422</v>
      </c>
      <c r="C934" s="35" t="s">
        <v>79</v>
      </c>
    </row>
    <row r="935" spans="1:3" x14ac:dyDescent="0.25">
      <c r="A935" s="36">
        <v>20280299686</v>
      </c>
      <c r="B935" t="s">
        <v>1767</v>
      </c>
      <c r="C935" s="35" t="s">
        <v>2578</v>
      </c>
    </row>
    <row r="936" spans="1:3" x14ac:dyDescent="0.25">
      <c r="A936" s="36">
        <v>33708907869</v>
      </c>
      <c r="B936" t="s">
        <v>1916</v>
      </c>
      <c r="C936" s="35" t="s">
        <v>79</v>
      </c>
    </row>
    <row r="937" spans="1:3" x14ac:dyDescent="0.25">
      <c r="A937" s="36">
        <v>20176922363</v>
      </c>
      <c r="B937" t="s">
        <v>1531</v>
      </c>
      <c r="C937" s="35" t="s">
        <v>2565</v>
      </c>
    </row>
    <row r="938" spans="1:3" x14ac:dyDescent="0.25">
      <c r="A938" s="36">
        <v>20284304048</v>
      </c>
      <c r="B938" t="s">
        <v>2130</v>
      </c>
      <c r="C938" s="35" t="s">
        <v>2578</v>
      </c>
    </row>
    <row r="939" spans="1:3" x14ac:dyDescent="0.25">
      <c r="A939" s="36">
        <v>27412102431</v>
      </c>
      <c r="B939" t="s">
        <v>2180</v>
      </c>
      <c r="C939" s="35" t="s">
        <v>2578</v>
      </c>
    </row>
    <row r="940" spans="1:3" x14ac:dyDescent="0.25">
      <c r="A940" s="36">
        <v>30716352451</v>
      </c>
      <c r="B940" t="s">
        <v>2189</v>
      </c>
      <c r="C940" s="35" t="s">
        <v>2578</v>
      </c>
    </row>
    <row r="941" spans="1:3" x14ac:dyDescent="0.25">
      <c r="A941" s="36">
        <v>12999779</v>
      </c>
      <c r="B941" t="s">
        <v>121</v>
      </c>
    </row>
    <row r="942" spans="1:3" x14ac:dyDescent="0.25">
      <c r="A942" s="36">
        <v>475785</v>
      </c>
      <c r="B942" t="s">
        <v>122</v>
      </c>
    </row>
    <row r="943" spans="1:3" x14ac:dyDescent="0.25">
      <c r="A943" s="36">
        <v>32052462</v>
      </c>
      <c r="B943" t="s">
        <v>123</v>
      </c>
    </row>
    <row r="944" spans="1:3" x14ac:dyDescent="0.25">
      <c r="A944" s="36">
        <v>36065190</v>
      </c>
      <c r="B944" t="s">
        <v>1310</v>
      </c>
    </row>
    <row r="945" spans="1:2" x14ac:dyDescent="0.25">
      <c r="A945" s="36">
        <v>36065190</v>
      </c>
      <c r="B945" t="s">
        <v>1310</v>
      </c>
    </row>
    <row r="946" spans="1:2" x14ac:dyDescent="0.25">
      <c r="A946" s="36">
        <v>35357420</v>
      </c>
      <c r="B946" t="s">
        <v>1255</v>
      </c>
    </row>
    <row r="947" spans="1:2" x14ac:dyDescent="0.25">
      <c r="A947" s="36">
        <v>35357420</v>
      </c>
      <c r="B947" t="s">
        <v>1255</v>
      </c>
    </row>
    <row r="948" spans="1:2" x14ac:dyDescent="0.25">
      <c r="A948" s="36">
        <v>35357420</v>
      </c>
      <c r="B948" t="s">
        <v>1255</v>
      </c>
    </row>
    <row r="949" spans="1:2" x14ac:dyDescent="0.25">
      <c r="A949" s="36">
        <v>35357420</v>
      </c>
      <c r="B949" t="s">
        <v>1255</v>
      </c>
    </row>
    <row r="950" spans="1:2" x14ac:dyDescent="0.25">
      <c r="A950" s="36">
        <v>26927710</v>
      </c>
      <c r="B950" t="s">
        <v>1256</v>
      </c>
    </row>
    <row r="951" spans="1:2" x14ac:dyDescent="0.25">
      <c r="A951" s="36">
        <v>26927710</v>
      </c>
      <c r="B951" t="s">
        <v>1256</v>
      </c>
    </row>
    <row r="952" spans="1:2" x14ac:dyDescent="0.25">
      <c r="A952" s="36">
        <v>25231635</v>
      </c>
      <c r="B952" t="s">
        <v>1271</v>
      </c>
    </row>
    <row r="953" spans="1:2" x14ac:dyDescent="0.25">
      <c r="A953" s="36">
        <v>25231635</v>
      </c>
      <c r="B953" t="s">
        <v>1271</v>
      </c>
    </row>
    <row r="954" spans="1:2" x14ac:dyDescent="0.25">
      <c r="A954" s="36">
        <v>25231635</v>
      </c>
      <c r="B954" t="s">
        <v>1271</v>
      </c>
    </row>
    <row r="955" spans="1:2" x14ac:dyDescent="0.25">
      <c r="A955" s="36">
        <v>25231635</v>
      </c>
      <c r="B955" t="s">
        <v>1271</v>
      </c>
    </row>
    <row r="956" spans="1:2" x14ac:dyDescent="0.25">
      <c r="A956" s="36">
        <v>20621121</v>
      </c>
      <c r="B956" t="s">
        <v>1245</v>
      </c>
    </row>
    <row r="957" spans="1:2" x14ac:dyDescent="0.25">
      <c r="A957" s="36">
        <v>20621121</v>
      </c>
      <c r="B957" t="s">
        <v>1245</v>
      </c>
    </row>
    <row r="958" spans="1:2" x14ac:dyDescent="0.25">
      <c r="A958" s="36">
        <v>20621121</v>
      </c>
      <c r="B958" t="s">
        <v>1245</v>
      </c>
    </row>
    <row r="959" spans="1:2" x14ac:dyDescent="0.25">
      <c r="A959" s="36">
        <v>20621121</v>
      </c>
      <c r="B959" t="s">
        <v>1245</v>
      </c>
    </row>
    <row r="960" spans="1:2" x14ac:dyDescent="0.25">
      <c r="A960" s="36">
        <v>20621121</v>
      </c>
      <c r="B960" t="s">
        <v>1245</v>
      </c>
    </row>
    <row r="961" spans="1:2" x14ac:dyDescent="0.25">
      <c r="A961" s="36">
        <v>20621121</v>
      </c>
      <c r="B961" t="s">
        <v>1245</v>
      </c>
    </row>
    <row r="962" spans="1:2" x14ac:dyDescent="0.25">
      <c r="A962" s="36">
        <v>22479614</v>
      </c>
      <c r="B962" t="s">
        <v>1289</v>
      </c>
    </row>
    <row r="963" spans="1:2" x14ac:dyDescent="0.25">
      <c r="A963" s="36">
        <v>22479614</v>
      </c>
      <c r="B963" t="s">
        <v>1289</v>
      </c>
    </row>
    <row r="964" spans="1:2" x14ac:dyDescent="0.25">
      <c r="A964" s="36">
        <v>22479614</v>
      </c>
      <c r="B964" t="s">
        <v>1289</v>
      </c>
    </row>
    <row r="965" spans="1:2" x14ac:dyDescent="0.25">
      <c r="A965" s="36">
        <v>22479614</v>
      </c>
      <c r="B965" t="s">
        <v>1289</v>
      </c>
    </row>
    <row r="966" spans="1:2" x14ac:dyDescent="0.25">
      <c r="A966" s="36">
        <v>26670209</v>
      </c>
      <c r="B966" t="s">
        <v>1229</v>
      </c>
    </row>
    <row r="967" spans="1:2" x14ac:dyDescent="0.25">
      <c r="A967" s="36">
        <v>26670209</v>
      </c>
      <c r="B967" t="s">
        <v>1229</v>
      </c>
    </row>
    <row r="968" spans="1:2" x14ac:dyDescent="0.25">
      <c r="A968" s="36">
        <v>18396100</v>
      </c>
      <c r="B968" t="s">
        <v>1285</v>
      </c>
    </row>
    <row r="969" spans="1:2" x14ac:dyDescent="0.25">
      <c r="A969" s="36">
        <v>18396100</v>
      </c>
      <c r="B969" t="s">
        <v>1285</v>
      </c>
    </row>
    <row r="970" spans="1:2" x14ac:dyDescent="0.25">
      <c r="A970" s="36">
        <v>18396100</v>
      </c>
      <c r="B970" t="s">
        <v>1285</v>
      </c>
    </row>
    <row r="971" spans="1:2" x14ac:dyDescent="0.25">
      <c r="A971" s="36">
        <v>18396100</v>
      </c>
      <c r="B971" t="s">
        <v>1285</v>
      </c>
    </row>
    <row r="972" spans="1:2" x14ac:dyDescent="0.25">
      <c r="A972" s="36">
        <v>26456987</v>
      </c>
      <c r="B972" t="s">
        <v>1267</v>
      </c>
    </row>
    <row r="973" spans="1:2" x14ac:dyDescent="0.25">
      <c r="A973" s="36">
        <v>22238457</v>
      </c>
      <c r="B973" t="s">
        <v>1267</v>
      </c>
    </row>
    <row r="974" spans="1:2" x14ac:dyDescent="0.25">
      <c r="A974" s="36">
        <v>26456987</v>
      </c>
      <c r="B974" t="s">
        <v>1267</v>
      </c>
    </row>
    <row r="975" spans="1:2" x14ac:dyDescent="0.25">
      <c r="A975" s="36">
        <v>22238457</v>
      </c>
      <c r="B975" t="s">
        <v>1267</v>
      </c>
    </row>
    <row r="976" spans="1:2" x14ac:dyDescent="0.25">
      <c r="A976" s="36">
        <v>29381165</v>
      </c>
      <c r="B976" t="s">
        <v>1194</v>
      </c>
    </row>
    <row r="977" spans="1:2" x14ac:dyDescent="0.25">
      <c r="A977" s="36">
        <v>29381165</v>
      </c>
      <c r="B977" t="s">
        <v>1194</v>
      </c>
    </row>
    <row r="978" spans="1:2" x14ac:dyDescent="0.25">
      <c r="A978" s="36">
        <v>42683175</v>
      </c>
      <c r="B978" t="s">
        <v>1272</v>
      </c>
    </row>
    <row r="979" spans="1:2" x14ac:dyDescent="0.25">
      <c r="A979" s="36">
        <v>42683175</v>
      </c>
      <c r="B979" t="s">
        <v>1272</v>
      </c>
    </row>
    <row r="980" spans="1:2" x14ac:dyDescent="0.25">
      <c r="A980" s="36">
        <v>27059572666</v>
      </c>
      <c r="B980" t="s">
        <v>1459</v>
      </c>
    </row>
    <row r="981" spans="1:2" x14ac:dyDescent="0.25">
      <c r="A981" s="36">
        <v>27059572666</v>
      </c>
      <c r="B981" t="s">
        <v>1459</v>
      </c>
    </row>
    <row r="982" spans="1:2" x14ac:dyDescent="0.25">
      <c r="A982" s="36">
        <v>28170300</v>
      </c>
      <c r="B982" t="s">
        <v>1305</v>
      </c>
    </row>
    <row r="983" spans="1:2" x14ac:dyDescent="0.25">
      <c r="A983" s="36">
        <v>28170300</v>
      </c>
      <c r="B983" t="s">
        <v>1305</v>
      </c>
    </row>
    <row r="984" spans="1:2" x14ac:dyDescent="0.25">
      <c r="A984" s="36">
        <v>27256969802</v>
      </c>
      <c r="B984" t="s">
        <v>1458</v>
      </c>
    </row>
    <row r="985" spans="1:2" x14ac:dyDescent="0.25">
      <c r="A985" s="36">
        <v>27256969802</v>
      </c>
      <c r="B985" t="s">
        <v>1458</v>
      </c>
    </row>
    <row r="986" spans="1:2" x14ac:dyDescent="0.25">
      <c r="A986" s="36">
        <v>30267269</v>
      </c>
      <c r="B986" t="s">
        <v>1338</v>
      </c>
    </row>
    <row r="987" spans="1:2" x14ac:dyDescent="0.25">
      <c r="A987" s="36">
        <v>30267269</v>
      </c>
      <c r="B987" t="s">
        <v>1338</v>
      </c>
    </row>
    <row r="988" spans="1:2" x14ac:dyDescent="0.25">
      <c r="A988" s="36">
        <v>30527225988</v>
      </c>
      <c r="B988" t="s">
        <v>1493</v>
      </c>
    </row>
    <row r="989" spans="1:2" x14ac:dyDescent="0.25">
      <c r="A989" s="36">
        <v>23166393574</v>
      </c>
      <c r="B989" t="s">
        <v>1450</v>
      </c>
    </row>
    <row r="990" spans="1:2" x14ac:dyDescent="0.25">
      <c r="A990" s="36">
        <v>23166393574</v>
      </c>
      <c r="B990" t="s">
        <v>1450</v>
      </c>
    </row>
    <row r="991" spans="1:2" x14ac:dyDescent="0.25">
      <c r="A991" s="36">
        <v>18462045</v>
      </c>
      <c r="B991" t="s">
        <v>1280</v>
      </c>
    </row>
    <row r="992" spans="1:2" x14ac:dyDescent="0.25">
      <c r="A992" s="36">
        <v>18462045</v>
      </c>
      <c r="B992" t="s">
        <v>1280</v>
      </c>
    </row>
    <row r="993" spans="1:2" x14ac:dyDescent="0.25">
      <c r="A993" s="36">
        <v>30714069639</v>
      </c>
      <c r="B993" t="s">
        <v>1123</v>
      </c>
    </row>
    <row r="994" spans="1:2" x14ac:dyDescent="0.25">
      <c r="A994" s="36">
        <v>30714069639</v>
      </c>
      <c r="B994" t="s">
        <v>1123</v>
      </c>
    </row>
    <row r="995" spans="1:2" x14ac:dyDescent="0.25">
      <c r="A995" s="36">
        <v>27302111346</v>
      </c>
      <c r="B995" t="s">
        <v>1397</v>
      </c>
    </row>
    <row r="996" spans="1:2" x14ac:dyDescent="0.25">
      <c r="A996" s="36">
        <v>27302111346</v>
      </c>
      <c r="B996" t="s">
        <v>1397</v>
      </c>
    </row>
    <row r="997" spans="1:2" x14ac:dyDescent="0.25">
      <c r="A997" s="36">
        <v>29734146</v>
      </c>
      <c r="B997" t="s">
        <v>1214</v>
      </c>
    </row>
    <row r="998" spans="1:2" x14ac:dyDescent="0.25">
      <c r="A998" s="36">
        <v>29734146</v>
      </c>
      <c r="B998" t="s">
        <v>1214</v>
      </c>
    </row>
    <row r="999" spans="1:2" x14ac:dyDescent="0.25">
      <c r="A999" s="36">
        <v>27816221</v>
      </c>
      <c r="B999" t="s">
        <v>1246</v>
      </c>
    </row>
    <row r="1000" spans="1:2" x14ac:dyDescent="0.25">
      <c r="A1000" s="36">
        <v>27816221</v>
      </c>
      <c r="B1000" t="s">
        <v>1246</v>
      </c>
    </row>
    <row r="1001" spans="1:2" x14ac:dyDescent="0.25">
      <c r="A1001" s="36">
        <v>27816221</v>
      </c>
      <c r="B1001" t="s">
        <v>1246</v>
      </c>
    </row>
    <row r="1002" spans="1:2" x14ac:dyDescent="0.25">
      <c r="A1002" s="36">
        <v>27816221</v>
      </c>
      <c r="B1002" t="s">
        <v>1246</v>
      </c>
    </row>
    <row r="1003" spans="1:2" x14ac:dyDescent="0.25">
      <c r="A1003" s="36">
        <v>27816221</v>
      </c>
      <c r="B1003" t="s">
        <v>1246</v>
      </c>
    </row>
    <row r="1004" spans="1:2" x14ac:dyDescent="0.25">
      <c r="A1004" s="36">
        <v>27816221</v>
      </c>
      <c r="B1004" t="s">
        <v>1246</v>
      </c>
    </row>
    <row r="1005" spans="1:2" x14ac:dyDescent="0.25">
      <c r="A1005" s="36">
        <v>30308030</v>
      </c>
      <c r="B1005" t="s">
        <v>1232</v>
      </c>
    </row>
    <row r="1006" spans="1:2" x14ac:dyDescent="0.25">
      <c r="A1006" s="36">
        <v>30308030</v>
      </c>
      <c r="B1006" t="s">
        <v>1232</v>
      </c>
    </row>
    <row r="1007" spans="1:2" x14ac:dyDescent="0.25">
      <c r="A1007" s="36">
        <v>30308030</v>
      </c>
      <c r="B1007" t="s">
        <v>1232</v>
      </c>
    </row>
    <row r="1008" spans="1:2" x14ac:dyDescent="0.25">
      <c r="A1008" s="36">
        <v>30308030</v>
      </c>
      <c r="B1008" t="s">
        <v>1232</v>
      </c>
    </row>
    <row r="1009" spans="1:2" x14ac:dyDescent="0.25">
      <c r="A1009" s="36">
        <v>20109190110</v>
      </c>
      <c r="B1009" t="s">
        <v>1514</v>
      </c>
    </row>
    <row r="1010" spans="1:2" x14ac:dyDescent="0.25">
      <c r="A1010" s="36">
        <v>22879936</v>
      </c>
      <c r="B1010" t="s">
        <v>1213</v>
      </c>
    </row>
    <row r="1011" spans="1:2" x14ac:dyDescent="0.25">
      <c r="A1011" s="36">
        <v>22879936</v>
      </c>
      <c r="B1011" t="s">
        <v>1213</v>
      </c>
    </row>
    <row r="1012" spans="1:2" x14ac:dyDescent="0.25">
      <c r="A1012" s="36">
        <v>22879936</v>
      </c>
      <c r="B1012" t="s">
        <v>1213</v>
      </c>
    </row>
    <row r="1013" spans="1:2" x14ac:dyDescent="0.25">
      <c r="A1013" s="36">
        <v>22879936</v>
      </c>
      <c r="B1013" t="s">
        <v>1213</v>
      </c>
    </row>
    <row r="1014" spans="1:2" x14ac:dyDescent="0.25">
      <c r="A1014" s="36">
        <v>22879936</v>
      </c>
      <c r="B1014" t="s">
        <v>1213</v>
      </c>
    </row>
    <row r="1015" spans="1:2" x14ac:dyDescent="0.25">
      <c r="A1015" s="36">
        <v>22879936</v>
      </c>
      <c r="B1015" t="s">
        <v>1213</v>
      </c>
    </row>
    <row r="1016" spans="1:2" x14ac:dyDescent="0.25">
      <c r="A1016" s="36">
        <v>30538688793</v>
      </c>
      <c r="B1016" t="s">
        <v>1498</v>
      </c>
    </row>
    <row r="1017" spans="1:2" x14ac:dyDescent="0.25">
      <c r="A1017" s="36">
        <v>40512917</v>
      </c>
      <c r="B1017" t="s">
        <v>1224</v>
      </c>
    </row>
    <row r="1018" spans="1:2" x14ac:dyDescent="0.25">
      <c r="A1018" s="36">
        <v>40512917</v>
      </c>
      <c r="B1018" t="s">
        <v>1224</v>
      </c>
    </row>
    <row r="1019" spans="1:2" x14ac:dyDescent="0.25">
      <c r="A1019" s="36">
        <v>33716348569</v>
      </c>
      <c r="B1019" t="s">
        <v>1505</v>
      </c>
    </row>
    <row r="1020" spans="1:2" x14ac:dyDescent="0.25">
      <c r="A1020" s="36">
        <v>26162942</v>
      </c>
      <c r="B1020" t="s">
        <v>1309</v>
      </c>
    </row>
    <row r="1021" spans="1:2" x14ac:dyDescent="0.25">
      <c r="A1021" s="36">
        <v>26162942</v>
      </c>
      <c r="B1021" t="s">
        <v>1309</v>
      </c>
    </row>
    <row r="1022" spans="1:2" x14ac:dyDescent="0.25">
      <c r="A1022" s="36">
        <v>35969790</v>
      </c>
      <c r="B1022" t="s">
        <v>1231</v>
      </c>
    </row>
    <row r="1023" spans="1:2" x14ac:dyDescent="0.25">
      <c r="A1023" s="36">
        <v>35969790</v>
      </c>
      <c r="B1023" t="s">
        <v>1231</v>
      </c>
    </row>
    <row r="1024" spans="1:2" x14ac:dyDescent="0.25">
      <c r="A1024" s="36">
        <v>26272486</v>
      </c>
      <c r="B1024" t="s">
        <v>1302</v>
      </c>
    </row>
    <row r="1025" spans="1:3" x14ac:dyDescent="0.25">
      <c r="A1025" s="36">
        <v>26272486</v>
      </c>
      <c r="B1025" t="s">
        <v>1302</v>
      </c>
    </row>
    <row r="1026" spans="1:3" x14ac:dyDescent="0.25">
      <c r="A1026" s="36">
        <v>26272486</v>
      </c>
      <c r="B1026" t="s">
        <v>1302</v>
      </c>
    </row>
    <row r="1027" spans="1:3" x14ac:dyDescent="0.25">
      <c r="A1027" s="36">
        <v>26272486</v>
      </c>
      <c r="B1027" t="s">
        <v>1302</v>
      </c>
    </row>
    <row r="1028" spans="1:3" x14ac:dyDescent="0.25">
      <c r="A1028" s="36">
        <v>35041832</v>
      </c>
      <c r="B1028" t="s">
        <v>1297</v>
      </c>
    </row>
    <row r="1029" spans="1:3" x14ac:dyDescent="0.25">
      <c r="A1029" s="36">
        <v>35041832</v>
      </c>
      <c r="B1029" t="s">
        <v>1297</v>
      </c>
    </row>
    <row r="1030" spans="1:3" x14ac:dyDescent="0.25">
      <c r="A1030" s="36">
        <v>35041832</v>
      </c>
      <c r="B1030" t="s">
        <v>1297</v>
      </c>
    </row>
    <row r="1031" spans="1:3" x14ac:dyDescent="0.25">
      <c r="A1031" s="36">
        <v>35041832</v>
      </c>
      <c r="B1031" t="s">
        <v>1297</v>
      </c>
    </row>
    <row r="1032" spans="1:3" x14ac:dyDescent="0.25">
      <c r="A1032" s="36">
        <v>35041832</v>
      </c>
      <c r="B1032" t="s">
        <v>1297</v>
      </c>
    </row>
    <row r="1033" spans="1:3" x14ac:dyDescent="0.25">
      <c r="A1033" s="36">
        <v>35041832</v>
      </c>
      <c r="B1033" t="s">
        <v>1297</v>
      </c>
    </row>
    <row r="1034" spans="1:3" x14ac:dyDescent="0.25">
      <c r="A1034" s="36">
        <v>30715847023</v>
      </c>
      <c r="B1034" t="s">
        <v>1519</v>
      </c>
    </row>
    <row r="1035" spans="1:3" x14ac:dyDescent="0.25">
      <c r="A1035" s="36">
        <v>26886918</v>
      </c>
      <c r="B1035" t="s">
        <v>1252</v>
      </c>
    </row>
    <row r="1036" spans="1:3" x14ac:dyDescent="0.25">
      <c r="A1036" s="36">
        <v>26886918</v>
      </c>
      <c r="B1036" t="s">
        <v>1252</v>
      </c>
    </row>
    <row r="1037" spans="1:3" x14ac:dyDescent="0.25">
      <c r="A1037" s="36">
        <v>27172834189</v>
      </c>
      <c r="B1037" t="s">
        <v>1494</v>
      </c>
    </row>
    <row r="1038" spans="1:3" x14ac:dyDescent="0.25">
      <c r="A1038" s="36">
        <v>30644823276</v>
      </c>
      <c r="B1038" t="s">
        <v>1511</v>
      </c>
    </row>
    <row r="1039" spans="1:3" x14ac:dyDescent="0.25">
      <c r="A1039" s="36">
        <v>23357502209</v>
      </c>
      <c r="B1039" t="s">
        <v>1476</v>
      </c>
    </row>
    <row r="1040" spans="1:3" x14ac:dyDescent="0.25">
      <c r="A1040" s="36">
        <v>30711069360</v>
      </c>
      <c r="B1040" t="s">
        <v>1545</v>
      </c>
      <c r="C1040" s="35" t="s">
        <v>79</v>
      </c>
    </row>
    <row r="1041" spans="1:2" x14ac:dyDescent="0.25">
      <c r="A1041" s="36">
        <v>27142831339</v>
      </c>
      <c r="B1041" t="s">
        <v>1189</v>
      </c>
    </row>
    <row r="1042" spans="1:2" x14ac:dyDescent="0.25">
      <c r="A1042" s="36">
        <v>27142831339</v>
      </c>
      <c r="B1042" t="s">
        <v>1189</v>
      </c>
    </row>
    <row r="1043" spans="1:2" x14ac:dyDescent="0.25">
      <c r="A1043" s="36">
        <v>30714012734</v>
      </c>
      <c r="B1043" t="s">
        <v>1426</v>
      </c>
    </row>
    <row r="1044" spans="1:2" x14ac:dyDescent="0.25">
      <c r="A1044" s="36">
        <v>30714012734</v>
      </c>
      <c r="B1044" t="s">
        <v>1426</v>
      </c>
    </row>
    <row r="1045" spans="1:2" x14ac:dyDescent="0.25">
      <c r="A1045" s="36">
        <v>26819759</v>
      </c>
      <c r="B1045" t="s">
        <v>1248</v>
      </c>
    </row>
    <row r="1046" spans="1:2" x14ac:dyDescent="0.25">
      <c r="A1046" s="36">
        <v>26819759</v>
      </c>
      <c r="B1046" t="s">
        <v>1248</v>
      </c>
    </row>
    <row r="1047" spans="1:2" x14ac:dyDescent="0.25">
      <c r="A1047" s="36">
        <v>42117899</v>
      </c>
      <c r="B1047" t="s">
        <v>1288</v>
      </c>
    </row>
    <row r="1048" spans="1:2" x14ac:dyDescent="0.25">
      <c r="A1048" s="36">
        <v>42117899</v>
      </c>
      <c r="B1048" t="s">
        <v>1288</v>
      </c>
    </row>
    <row r="1049" spans="1:2" x14ac:dyDescent="0.25">
      <c r="A1049" s="36">
        <v>36373638</v>
      </c>
      <c r="B1049" t="s">
        <v>1247</v>
      </c>
    </row>
    <row r="1050" spans="1:2" x14ac:dyDescent="0.25">
      <c r="A1050" s="36">
        <v>36373638</v>
      </c>
      <c r="B1050" t="s">
        <v>1247</v>
      </c>
    </row>
    <row r="1051" spans="1:2" x14ac:dyDescent="0.25">
      <c r="A1051" s="36">
        <v>36373638</v>
      </c>
      <c r="B1051" t="s">
        <v>1247</v>
      </c>
    </row>
    <row r="1052" spans="1:2" x14ac:dyDescent="0.25">
      <c r="A1052" s="36">
        <v>36373638</v>
      </c>
      <c r="B1052" t="s">
        <v>1247</v>
      </c>
    </row>
    <row r="1053" spans="1:2" x14ac:dyDescent="0.25">
      <c r="A1053" s="36">
        <v>18800655</v>
      </c>
      <c r="B1053" t="s">
        <v>1254</v>
      </c>
    </row>
    <row r="1054" spans="1:2" x14ac:dyDescent="0.25">
      <c r="A1054" s="36">
        <v>18800655</v>
      </c>
      <c r="B1054" t="s">
        <v>1254</v>
      </c>
    </row>
    <row r="1055" spans="1:2" x14ac:dyDescent="0.25">
      <c r="A1055" s="36">
        <v>18800655</v>
      </c>
      <c r="B1055" t="s">
        <v>1254</v>
      </c>
    </row>
    <row r="1056" spans="1:2" x14ac:dyDescent="0.25">
      <c r="A1056" s="36">
        <v>18800655</v>
      </c>
      <c r="B1056" t="s">
        <v>1254</v>
      </c>
    </row>
    <row r="1057" spans="1:2" x14ac:dyDescent="0.25">
      <c r="A1057" s="36">
        <v>30716367432</v>
      </c>
      <c r="B1057" t="s">
        <v>1540</v>
      </c>
    </row>
    <row r="1058" spans="1:2" x14ac:dyDescent="0.25">
      <c r="A1058" s="36">
        <v>11368071</v>
      </c>
      <c r="B1058" t="s">
        <v>1250</v>
      </c>
    </row>
    <row r="1059" spans="1:2" x14ac:dyDescent="0.25">
      <c r="A1059" s="36">
        <v>11368071</v>
      </c>
      <c r="B1059" t="s">
        <v>1250</v>
      </c>
    </row>
    <row r="1060" spans="1:2" x14ac:dyDescent="0.25">
      <c r="A1060" s="36">
        <v>11368071</v>
      </c>
      <c r="B1060" t="s">
        <v>1250</v>
      </c>
    </row>
    <row r="1061" spans="1:2" x14ac:dyDescent="0.25">
      <c r="A1061" s="36">
        <v>11368071</v>
      </c>
      <c r="B1061" t="s">
        <v>1250</v>
      </c>
    </row>
    <row r="1062" spans="1:2" x14ac:dyDescent="0.25">
      <c r="A1062" s="36">
        <v>11368071</v>
      </c>
      <c r="B1062" t="s">
        <v>1250</v>
      </c>
    </row>
    <row r="1063" spans="1:2" x14ac:dyDescent="0.25">
      <c r="A1063" s="36">
        <v>11368071</v>
      </c>
      <c r="B1063" t="s">
        <v>1250</v>
      </c>
    </row>
    <row r="1064" spans="1:2" x14ac:dyDescent="0.25">
      <c r="A1064" s="36">
        <v>33528637</v>
      </c>
      <c r="B1064" t="s">
        <v>1342</v>
      </c>
    </row>
    <row r="1065" spans="1:2" x14ac:dyDescent="0.25">
      <c r="A1065" s="36">
        <v>33528637</v>
      </c>
      <c r="B1065" t="s">
        <v>1342</v>
      </c>
    </row>
    <row r="1066" spans="1:2" x14ac:dyDescent="0.25">
      <c r="A1066" s="36">
        <v>34624335</v>
      </c>
      <c r="B1066" t="s">
        <v>1196</v>
      </c>
    </row>
    <row r="1067" spans="1:2" x14ac:dyDescent="0.25">
      <c r="A1067" s="36">
        <v>94046946</v>
      </c>
      <c r="B1067" t="s">
        <v>1235</v>
      </c>
    </row>
    <row r="1068" spans="1:2" x14ac:dyDescent="0.25">
      <c r="A1068" s="36">
        <v>17466985</v>
      </c>
      <c r="B1068" t="s">
        <v>1220</v>
      </c>
    </row>
    <row r="1069" spans="1:2" x14ac:dyDescent="0.25">
      <c r="A1069" s="36">
        <v>17466985</v>
      </c>
      <c r="B1069" t="s">
        <v>1220</v>
      </c>
    </row>
    <row r="1070" spans="1:2" x14ac:dyDescent="0.25">
      <c r="A1070" s="36">
        <v>33206249</v>
      </c>
      <c r="B1070" t="s">
        <v>1251</v>
      </c>
    </row>
    <row r="1071" spans="1:2" x14ac:dyDescent="0.25">
      <c r="A1071" s="36">
        <v>33206249</v>
      </c>
      <c r="B1071" t="s">
        <v>1251</v>
      </c>
    </row>
    <row r="1072" spans="1:2" x14ac:dyDescent="0.25">
      <c r="A1072" s="36">
        <v>31684880</v>
      </c>
      <c r="B1072" t="s">
        <v>1240</v>
      </c>
    </row>
    <row r="1073" spans="1:2" x14ac:dyDescent="0.25">
      <c r="A1073" s="36">
        <v>31684880</v>
      </c>
      <c r="B1073" t="s">
        <v>1240</v>
      </c>
    </row>
    <row r="1074" spans="1:2" x14ac:dyDescent="0.25">
      <c r="A1074" s="36">
        <v>32094010</v>
      </c>
      <c r="B1074" t="s">
        <v>1233</v>
      </c>
    </row>
    <row r="1075" spans="1:2" x14ac:dyDescent="0.25">
      <c r="A1075" s="36">
        <v>32094010</v>
      </c>
      <c r="B1075" t="s">
        <v>1233</v>
      </c>
    </row>
    <row r="1076" spans="1:2" x14ac:dyDescent="0.25">
      <c r="A1076" s="36">
        <v>23319210954</v>
      </c>
      <c r="B1076" t="s">
        <v>1401</v>
      </c>
    </row>
    <row r="1077" spans="1:2" x14ac:dyDescent="0.25">
      <c r="A1077" s="36">
        <v>27175380146</v>
      </c>
      <c r="B1077" t="s">
        <v>1467</v>
      </c>
    </row>
    <row r="1078" spans="1:2" x14ac:dyDescent="0.25">
      <c r="A1078" s="36">
        <v>18039953</v>
      </c>
      <c r="B1078" t="s">
        <v>1324</v>
      </c>
    </row>
    <row r="1079" spans="1:2" x14ac:dyDescent="0.25">
      <c r="A1079" s="36">
        <v>18039953</v>
      </c>
      <c r="B1079" t="s">
        <v>1324</v>
      </c>
    </row>
    <row r="1080" spans="1:2" x14ac:dyDescent="0.25">
      <c r="A1080" s="36">
        <v>26843489</v>
      </c>
      <c r="B1080" t="s">
        <v>1334</v>
      </c>
    </row>
    <row r="1081" spans="1:2" x14ac:dyDescent="0.25">
      <c r="A1081" s="36">
        <v>26843489</v>
      </c>
      <c r="B1081" t="s">
        <v>1334</v>
      </c>
    </row>
    <row r="1082" spans="1:2" x14ac:dyDescent="0.25">
      <c r="A1082" s="36">
        <v>30709163503</v>
      </c>
      <c r="B1082" t="s">
        <v>1447</v>
      </c>
    </row>
    <row r="1083" spans="1:2" x14ac:dyDescent="0.25">
      <c r="A1083" s="36">
        <v>30709163503</v>
      </c>
      <c r="B1083" t="s">
        <v>1447</v>
      </c>
    </row>
    <row r="1084" spans="1:2" x14ac:dyDescent="0.25">
      <c r="A1084" s="36">
        <v>12980812</v>
      </c>
      <c r="B1084" t="s">
        <v>1347</v>
      </c>
    </row>
    <row r="1085" spans="1:2" x14ac:dyDescent="0.25">
      <c r="A1085" s="36">
        <v>12980812</v>
      </c>
      <c r="B1085" t="s">
        <v>1347</v>
      </c>
    </row>
    <row r="1086" spans="1:2" x14ac:dyDescent="0.25">
      <c r="A1086" s="36">
        <v>31508290</v>
      </c>
      <c r="B1086" t="s">
        <v>1228</v>
      </c>
    </row>
    <row r="1087" spans="1:2" x14ac:dyDescent="0.25">
      <c r="A1087" s="36">
        <v>31508290</v>
      </c>
      <c r="B1087" t="s">
        <v>1228</v>
      </c>
    </row>
    <row r="1088" spans="1:2" x14ac:dyDescent="0.25">
      <c r="A1088" s="36">
        <v>31508290</v>
      </c>
      <c r="B1088" t="s">
        <v>1228</v>
      </c>
    </row>
    <row r="1089" spans="1:2" x14ac:dyDescent="0.25">
      <c r="A1089" s="36">
        <v>31508290</v>
      </c>
      <c r="B1089" t="s">
        <v>1228</v>
      </c>
    </row>
    <row r="1090" spans="1:2" x14ac:dyDescent="0.25">
      <c r="A1090" s="36">
        <v>30716654105</v>
      </c>
      <c r="B1090" t="s">
        <v>1388</v>
      </c>
    </row>
    <row r="1091" spans="1:2" x14ac:dyDescent="0.25">
      <c r="A1091" s="36">
        <v>30716654105</v>
      </c>
      <c r="B1091" t="s">
        <v>1388</v>
      </c>
    </row>
    <row r="1092" spans="1:2" x14ac:dyDescent="0.25">
      <c r="A1092" s="36">
        <v>22209881</v>
      </c>
      <c r="B1092" t="s">
        <v>1242</v>
      </c>
    </row>
    <row r="1093" spans="1:2" x14ac:dyDescent="0.25">
      <c r="A1093" s="36">
        <v>22209881</v>
      </c>
      <c r="B1093" t="s">
        <v>1242</v>
      </c>
    </row>
    <row r="1094" spans="1:2" x14ac:dyDescent="0.25">
      <c r="A1094" s="36">
        <v>27280796552</v>
      </c>
      <c r="B1094" t="s">
        <v>1448</v>
      </c>
    </row>
    <row r="1095" spans="1:2" x14ac:dyDescent="0.25">
      <c r="A1095" s="36">
        <v>27280796552</v>
      </c>
      <c r="B1095" t="s">
        <v>1448</v>
      </c>
    </row>
    <row r="1096" spans="1:2" x14ac:dyDescent="0.25">
      <c r="A1096" s="36">
        <v>43018540</v>
      </c>
      <c r="B1096" t="s">
        <v>1192</v>
      </c>
    </row>
    <row r="1097" spans="1:2" x14ac:dyDescent="0.25">
      <c r="A1097" s="36">
        <v>43018540</v>
      </c>
      <c r="B1097" t="s">
        <v>1192</v>
      </c>
    </row>
    <row r="1098" spans="1:2" x14ac:dyDescent="0.25">
      <c r="A1098" s="36">
        <v>43018540</v>
      </c>
      <c r="B1098" t="s">
        <v>1192</v>
      </c>
    </row>
    <row r="1099" spans="1:2" x14ac:dyDescent="0.25">
      <c r="A1099" s="36">
        <v>43018540</v>
      </c>
      <c r="B1099" t="s">
        <v>1192</v>
      </c>
    </row>
    <row r="1100" spans="1:2" x14ac:dyDescent="0.25">
      <c r="A1100" s="36">
        <v>30541213860</v>
      </c>
      <c r="B1100" t="s">
        <v>1490</v>
      </c>
    </row>
    <row r="1101" spans="1:2" x14ac:dyDescent="0.25">
      <c r="A1101" s="36">
        <v>27327364567</v>
      </c>
      <c r="B1101" t="s">
        <v>1180</v>
      </c>
    </row>
    <row r="1102" spans="1:2" x14ac:dyDescent="0.25">
      <c r="A1102" s="36">
        <v>27327364567</v>
      </c>
      <c r="B1102" t="s">
        <v>1180</v>
      </c>
    </row>
    <row r="1103" spans="1:2" x14ac:dyDescent="0.25">
      <c r="A1103" s="36">
        <v>30716010739</v>
      </c>
      <c r="B1103" t="s">
        <v>1513</v>
      </c>
    </row>
    <row r="1104" spans="1:2" x14ac:dyDescent="0.25">
      <c r="A1104" s="36">
        <v>36291697</v>
      </c>
      <c r="B1104" t="s">
        <v>1204</v>
      </c>
    </row>
    <row r="1105" spans="1:2" x14ac:dyDescent="0.25">
      <c r="A1105" s="36">
        <v>36291697</v>
      </c>
      <c r="B1105" t="s">
        <v>1204</v>
      </c>
    </row>
    <row r="1106" spans="1:2" x14ac:dyDescent="0.25">
      <c r="A1106" s="36">
        <v>30716160889</v>
      </c>
      <c r="B1106" t="s">
        <v>1135</v>
      </c>
    </row>
    <row r="1107" spans="1:2" x14ac:dyDescent="0.25">
      <c r="A1107" s="36">
        <v>17834265</v>
      </c>
      <c r="B1107" t="s">
        <v>1210</v>
      </c>
    </row>
    <row r="1108" spans="1:2" x14ac:dyDescent="0.25">
      <c r="A1108" s="36">
        <v>17834265</v>
      </c>
      <c r="B1108" t="s">
        <v>1210</v>
      </c>
    </row>
    <row r="1109" spans="1:2" x14ac:dyDescent="0.25">
      <c r="A1109" s="36">
        <v>30717219232</v>
      </c>
      <c r="B1109" t="s">
        <v>1525</v>
      </c>
    </row>
    <row r="1110" spans="1:2" x14ac:dyDescent="0.25">
      <c r="A1110" s="36">
        <v>22333444</v>
      </c>
      <c r="B1110" t="s">
        <v>1259</v>
      </c>
    </row>
    <row r="1111" spans="1:2" x14ac:dyDescent="0.25">
      <c r="A1111" s="36">
        <v>22333444</v>
      </c>
      <c r="B1111" t="s">
        <v>1259</v>
      </c>
    </row>
    <row r="1112" spans="1:2" x14ac:dyDescent="0.25">
      <c r="A1112" s="36">
        <v>30708574836</v>
      </c>
      <c r="B1112" t="s">
        <v>1368</v>
      </c>
    </row>
    <row r="1113" spans="1:2" x14ac:dyDescent="0.25">
      <c r="A1113" s="36">
        <v>40423390</v>
      </c>
      <c r="B1113" t="s">
        <v>1313</v>
      </c>
    </row>
    <row r="1114" spans="1:2" x14ac:dyDescent="0.25">
      <c r="A1114" s="36">
        <v>40423390</v>
      </c>
      <c r="B1114" t="s">
        <v>1313</v>
      </c>
    </row>
    <row r="1115" spans="1:2" x14ac:dyDescent="0.25">
      <c r="A1115" s="36">
        <v>30633139144</v>
      </c>
      <c r="B1115" t="s">
        <v>1553</v>
      </c>
    </row>
    <row r="1116" spans="1:2" x14ac:dyDescent="0.25">
      <c r="A1116" s="36">
        <v>23134689</v>
      </c>
      <c r="B1116" t="s">
        <v>1236</v>
      </c>
    </row>
    <row r="1117" spans="1:2" x14ac:dyDescent="0.25">
      <c r="A1117" s="36">
        <v>23134689</v>
      </c>
      <c r="B1117" t="s">
        <v>1236</v>
      </c>
    </row>
    <row r="1118" spans="1:2" x14ac:dyDescent="0.25">
      <c r="A1118" s="36">
        <v>23134689</v>
      </c>
      <c r="B1118" t="s">
        <v>1236</v>
      </c>
    </row>
    <row r="1119" spans="1:2" x14ac:dyDescent="0.25">
      <c r="A1119" s="36">
        <v>23134689</v>
      </c>
      <c r="B1119" t="s">
        <v>1236</v>
      </c>
    </row>
    <row r="1120" spans="1:2" x14ac:dyDescent="0.25">
      <c r="A1120" s="36">
        <v>23134689</v>
      </c>
      <c r="B1120" t="s">
        <v>1236</v>
      </c>
    </row>
    <row r="1121" spans="1:2" x14ac:dyDescent="0.25">
      <c r="A1121" s="36">
        <v>23134689</v>
      </c>
      <c r="B1121" t="s">
        <v>1236</v>
      </c>
    </row>
    <row r="1122" spans="1:2" x14ac:dyDescent="0.25">
      <c r="A1122" s="36">
        <v>20206005042</v>
      </c>
      <c r="B1122" t="s">
        <v>1457</v>
      </c>
    </row>
    <row r="1123" spans="1:2" x14ac:dyDescent="0.25">
      <c r="A1123" s="36">
        <v>20206005042</v>
      </c>
      <c r="B1123" t="s">
        <v>1457</v>
      </c>
    </row>
    <row r="1124" spans="1:2" x14ac:dyDescent="0.25">
      <c r="A1124" s="36">
        <v>32461525</v>
      </c>
      <c r="B1124" t="s">
        <v>1282</v>
      </c>
    </row>
    <row r="1125" spans="1:2" x14ac:dyDescent="0.25">
      <c r="A1125" s="36">
        <v>32461525</v>
      </c>
      <c r="B1125" t="s">
        <v>1282</v>
      </c>
    </row>
    <row r="1126" spans="1:2" x14ac:dyDescent="0.25">
      <c r="A1126" s="36">
        <v>23168212429</v>
      </c>
      <c r="B1126" t="s">
        <v>1512</v>
      </c>
    </row>
    <row r="1127" spans="1:2" x14ac:dyDescent="0.25">
      <c r="A1127" s="36">
        <v>37034742</v>
      </c>
      <c r="B1127" t="s">
        <v>1315</v>
      </c>
    </row>
    <row r="1128" spans="1:2" x14ac:dyDescent="0.25">
      <c r="A1128" s="36">
        <v>37034742</v>
      </c>
      <c r="B1128" t="s">
        <v>1315</v>
      </c>
    </row>
    <row r="1129" spans="1:2" x14ac:dyDescent="0.25">
      <c r="A1129" s="36">
        <v>23782857</v>
      </c>
      <c r="B1129" t="s">
        <v>1241</v>
      </c>
    </row>
    <row r="1130" spans="1:2" x14ac:dyDescent="0.25">
      <c r="A1130" s="36">
        <v>23782857</v>
      </c>
      <c r="B1130" t="s">
        <v>1241</v>
      </c>
    </row>
    <row r="1131" spans="1:2" x14ac:dyDescent="0.25">
      <c r="A1131" s="36">
        <v>20938867179</v>
      </c>
      <c r="B1131" t="s">
        <v>1551</v>
      </c>
    </row>
    <row r="1132" spans="1:2" x14ac:dyDescent="0.25">
      <c r="A1132" s="36">
        <v>5150827</v>
      </c>
      <c r="B1132" t="s">
        <v>1322</v>
      </c>
    </row>
    <row r="1133" spans="1:2" x14ac:dyDescent="0.25">
      <c r="A1133" s="36">
        <v>5150827</v>
      </c>
      <c r="B1133" t="s">
        <v>1322</v>
      </c>
    </row>
    <row r="1134" spans="1:2" x14ac:dyDescent="0.25">
      <c r="A1134" s="36">
        <v>20403969886</v>
      </c>
      <c r="B1134" t="s">
        <v>1532</v>
      </c>
    </row>
    <row r="1135" spans="1:2" x14ac:dyDescent="0.25">
      <c r="A1135" s="36">
        <v>30699166673</v>
      </c>
      <c r="B1135" t="s">
        <v>1538</v>
      </c>
    </row>
    <row r="1136" spans="1:2" x14ac:dyDescent="0.25">
      <c r="A1136" s="36">
        <v>27047880241</v>
      </c>
      <c r="B1136" t="s">
        <v>1481</v>
      </c>
    </row>
    <row r="1137" spans="1:3" x14ac:dyDescent="0.25">
      <c r="A1137" s="36">
        <v>30717072592</v>
      </c>
      <c r="B1137" t="s">
        <v>1495</v>
      </c>
    </row>
    <row r="1138" spans="1:3" x14ac:dyDescent="0.25">
      <c r="A1138" s="36">
        <v>30701307115</v>
      </c>
      <c r="B1138" t="s">
        <v>1427</v>
      </c>
      <c r="C1138" s="35" t="s">
        <v>79</v>
      </c>
    </row>
    <row r="1139" spans="1:3" x14ac:dyDescent="0.25">
      <c r="A1139" s="36">
        <v>23206465</v>
      </c>
      <c r="B1139" t="s">
        <v>1219</v>
      </c>
    </row>
    <row r="1140" spans="1:3" x14ac:dyDescent="0.25">
      <c r="A1140" s="36"/>
    </row>
    <row r="1141" spans="1:3" x14ac:dyDescent="0.25">
      <c r="A1141" s="36">
        <v>12737020</v>
      </c>
      <c r="B1141" t="s">
        <v>1321</v>
      </c>
    </row>
    <row r="1142" spans="1:3" x14ac:dyDescent="0.25">
      <c r="A1142" s="36">
        <v>12737020</v>
      </c>
      <c r="B1142" t="s">
        <v>1321</v>
      </c>
    </row>
    <row r="1143" spans="1:3" x14ac:dyDescent="0.25">
      <c r="A1143" s="36">
        <v>26818017</v>
      </c>
      <c r="B1143" t="s">
        <v>1195</v>
      </c>
    </row>
    <row r="1144" spans="1:3" x14ac:dyDescent="0.25">
      <c r="A1144" s="36">
        <v>26818017</v>
      </c>
      <c r="B1144" t="s">
        <v>1195</v>
      </c>
    </row>
    <row r="1145" spans="1:3" x14ac:dyDescent="0.25">
      <c r="A1145" s="36">
        <v>28573689</v>
      </c>
      <c r="B1145" t="s">
        <v>1293</v>
      </c>
    </row>
    <row r="1146" spans="1:3" x14ac:dyDescent="0.25">
      <c r="A1146" s="36">
        <v>28573689</v>
      </c>
      <c r="B1146" t="s">
        <v>1293</v>
      </c>
    </row>
    <row r="1147" spans="1:3" x14ac:dyDescent="0.25">
      <c r="A1147" s="36">
        <v>31245859</v>
      </c>
      <c r="B1147" t="s">
        <v>1336</v>
      </c>
    </row>
    <row r="1148" spans="1:3" x14ac:dyDescent="0.25">
      <c r="A1148" s="36">
        <v>31245859</v>
      </c>
      <c r="B1148" t="s">
        <v>1336</v>
      </c>
    </row>
    <row r="1149" spans="1:3" x14ac:dyDescent="0.25">
      <c r="A1149" s="36">
        <v>23127284369</v>
      </c>
      <c r="B1149" t="s">
        <v>1153</v>
      </c>
    </row>
    <row r="1150" spans="1:3" x14ac:dyDescent="0.25">
      <c r="A1150" s="36">
        <v>23127284369</v>
      </c>
      <c r="B1150" t="s">
        <v>1153</v>
      </c>
    </row>
    <row r="1151" spans="1:3" x14ac:dyDescent="0.25">
      <c r="A1151" s="36">
        <v>30910546</v>
      </c>
      <c r="B1151" t="s">
        <v>1237</v>
      </c>
    </row>
    <row r="1152" spans="1:3" x14ac:dyDescent="0.25">
      <c r="A1152" s="36">
        <v>30910546</v>
      </c>
      <c r="B1152" t="s">
        <v>1237</v>
      </c>
    </row>
    <row r="1153" spans="1:2" x14ac:dyDescent="0.25">
      <c r="A1153" s="36">
        <v>30714082066</v>
      </c>
      <c r="B1153" t="s">
        <v>1547</v>
      </c>
    </row>
    <row r="1154" spans="1:2" x14ac:dyDescent="0.25">
      <c r="A1154" s="36">
        <v>30708247770</v>
      </c>
      <c r="B1154" t="s">
        <v>1522</v>
      </c>
    </row>
    <row r="1155" spans="1:2" x14ac:dyDescent="0.25">
      <c r="A1155" s="36">
        <v>30551016117</v>
      </c>
      <c r="B1155" t="s">
        <v>1407</v>
      </c>
    </row>
    <row r="1156" spans="1:2" x14ac:dyDescent="0.25">
      <c r="A1156" s="36">
        <v>30551016117</v>
      </c>
      <c r="B1156" t="s">
        <v>1407</v>
      </c>
    </row>
    <row r="1157" spans="1:2" x14ac:dyDescent="0.25">
      <c r="A1157" s="36">
        <v>30610474604</v>
      </c>
      <c r="B1157" t="s">
        <v>1541</v>
      </c>
    </row>
    <row r="1158" spans="1:2" x14ac:dyDescent="0.25">
      <c r="A1158" s="36"/>
    </row>
    <row r="1159" spans="1:2" x14ac:dyDescent="0.25">
      <c r="A1159" s="36"/>
    </row>
    <row r="1160" spans="1:2" x14ac:dyDescent="0.25">
      <c r="A1160" s="36"/>
    </row>
    <row r="1161" spans="1:2" x14ac:dyDescent="0.25">
      <c r="A1161" s="36"/>
    </row>
    <row r="1162" spans="1:2" x14ac:dyDescent="0.25">
      <c r="A1162" s="36"/>
    </row>
    <row r="1163" spans="1:2" x14ac:dyDescent="0.25">
      <c r="A1163" s="36">
        <v>20120844386</v>
      </c>
      <c r="B1163" t="s">
        <v>1499</v>
      </c>
    </row>
    <row r="1164" spans="1:2" x14ac:dyDescent="0.25">
      <c r="A1164" s="36">
        <v>20022890</v>
      </c>
      <c r="B1164" t="s">
        <v>1257</v>
      </c>
    </row>
    <row r="1165" spans="1:2" x14ac:dyDescent="0.25">
      <c r="A1165" s="36">
        <v>20022890</v>
      </c>
      <c r="B1165" t="s">
        <v>1257</v>
      </c>
    </row>
    <row r="1166" spans="1:2" x14ac:dyDescent="0.25">
      <c r="A1166" s="36">
        <v>3942773277</v>
      </c>
      <c r="B1166" t="s">
        <v>1318</v>
      </c>
    </row>
    <row r="1167" spans="1:2" x14ac:dyDescent="0.25">
      <c r="A1167" s="36">
        <v>3942773277</v>
      </c>
      <c r="B1167" t="s">
        <v>1318</v>
      </c>
    </row>
    <row r="1168" spans="1:2" x14ac:dyDescent="0.25">
      <c r="A1168" s="36">
        <v>27280036698</v>
      </c>
      <c r="B1168" t="s">
        <v>1188</v>
      </c>
    </row>
    <row r="1169" spans="1:2" x14ac:dyDescent="0.25">
      <c r="A1169" s="36">
        <v>27280036698</v>
      </c>
      <c r="B1169" t="s">
        <v>1188</v>
      </c>
    </row>
    <row r="1170" spans="1:2" x14ac:dyDescent="0.25">
      <c r="A1170" s="36">
        <v>20397562469</v>
      </c>
      <c r="B1170" t="s">
        <v>1561</v>
      </c>
    </row>
    <row r="1171" spans="1:2" x14ac:dyDescent="0.25">
      <c r="A1171" s="36">
        <v>36740584</v>
      </c>
      <c r="B1171" t="s">
        <v>1225</v>
      </c>
    </row>
    <row r="1172" spans="1:2" x14ac:dyDescent="0.25">
      <c r="A1172" s="36">
        <v>36740584</v>
      </c>
      <c r="B1172" t="s">
        <v>1225</v>
      </c>
    </row>
    <row r="1173" spans="1:2" x14ac:dyDescent="0.25">
      <c r="A1173" s="36">
        <v>36740584</v>
      </c>
      <c r="B1173" t="s">
        <v>1225</v>
      </c>
    </row>
    <row r="1174" spans="1:2" x14ac:dyDescent="0.25">
      <c r="A1174" s="36">
        <v>36740584</v>
      </c>
      <c r="B1174" t="s">
        <v>1225</v>
      </c>
    </row>
    <row r="1175" spans="1:2" x14ac:dyDescent="0.25">
      <c r="A1175" s="36">
        <v>36740584</v>
      </c>
      <c r="B1175" t="s">
        <v>1225</v>
      </c>
    </row>
    <row r="1176" spans="1:2" x14ac:dyDescent="0.25">
      <c r="A1176" s="36">
        <v>36740584</v>
      </c>
      <c r="B1176" t="s">
        <v>1225</v>
      </c>
    </row>
    <row r="1177" spans="1:2" x14ac:dyDescent="0.25">
      <c r="A1177" s="36">
        <v>36740584</v>
      </c>
      <c r="B1177" t="s">
        <v>1225</v>
      </c>
    </row>
    <row r="1178" spans="1:2" x14ac:dyDescent="0.25">
      <c r="A1178" s="36">
        <v>36740584</v>
      </c>
      <c r="B1178" t="s">
        <v>1225</v>
      </c>
    </row>
    <row r="1179" spans="1:2" x14ac:dyDescent="0.25">
      <c r="A1179" s="36">
        <v>34651132</v>
      </c>
      <c r="B1179" t="s">
        <v>1298</v>
      </c>
    </row>
    <row r="1180" spans="1:2" x14ac:dyDescent="0.25">
      <c r="A1180" s="36">
        <v>34651132</v>
      </c>
      <c r="B1180" t="s">
        <v>1298</v>
      </c>
    </row>
    <row r="1181" spans="1:2" x14ac:dyDescent="0.25">
      <c r="A1181" s="36">
        <v>30712104550</v>
      </c>
      <c r="B1181" t="s">
        <v>1186</v>
      </c>
    </row>
    <row r="1182" spans="1:2" x14ac:dyDescent="0.25">
      <c r="A1182" s="36">
        <v>30712104550</v>
      </c>
      <c r="B1182" t="s">
        <v>1186</v>
      </c>
    </row>
    <row r="1183" spans="1:2" x14ac:dyDescent="0.25">
      <c r="A1183" s="36">
        <v>30712104550</v>
      </c>
      <c r="B1183" t="s">
        <v>1186</v>
      </c>
    </row>
    <row r="1184" spans="1:2" x14ac:dyDescent="0.25">
      <c r="A1184" s="36">
        <v>30712104550</v>
      </c>
      <c r="B1184" t="s">
        <v>1186</v>
      </c>
    </row>
    <row r="1185" spans="1:3" x14ac:dyDescent="0.25">
      <c r="A1185" s="36">
        <v>30715023497</v>
      </c>
      <c r="B1185" t="s">
        <v>1556</v>
      </c>
      <c r="C1185" s="35" t="s">
        <v>79</v>
      </c>
    </row>
    <row r="1186" spans="1:3" x14ac:dyDescent="0.25">
      <c r="A1186" s="36">
        <v>30715889486</v>
      </c>
      <c r="B1186" t="s">
        <v>1177</v>
      </c>
    </row>
    <row r="1187" spans="1:3" x14ac:dyDescent="0.25">
      <c r="A1187" s="36">
        <v>30715889486</v>
      </c>
      <c r="B1187" t="s">
        <v>1136</v>
      </c>
    </row>
    <row r="1188" spans="1:3" x14ac:dyDescent="0.25">
      <c r="A1188" s="36">
        <v>30715889486</v>
      </c>
      <c r="B1188" t="s">
        <v>1136</v>
      </c>
    </row>
    <row r="1189" spans="1:3" x14ac:dyDescent="0.25">
      <c r="A1189" s="36">
        <v>30715889486</v>
      </c>
      <c r="B1189" t="s">
        <v>1177</v>
      </c>
    </row>
    <row r="1190" spans="1:3" x14ac:dyDescent="0.25">
      <c r="A1190" s="36">
        <v>30715889486</v>
      </c>
      <c r="B1190" t="s">
        <v>1136</v>
      </c>
    </row>
    <row r="1191" spans="1:3" x14ac:dyDescent="0.25">
      <c r="A1191" s="36">
        <v>30715553321</v>
      </c>
      <c r="B1191" t="s">
        <v>1544</v>
      </c>
    </row>
    <row r="1192" spans="1:3" x14ac:dyDescent="0.25">
      <c r="A1192" s="36">
        <v>29199061</v>
      </c>
      <c r="B1192" t="s">
        <v>1291</v>
      </c>
    </row>
    <row r="1193" spans="1:3" x14ac:dyDescent="0.25">
      <c r="A1193" s="36">
        <v>29199061</v>
      </c>
      <c r="B1193" t="s">
        <v>1291</v>
      </c>
    </row>
    <row r="1194" spans="1:3" x14ac:dyDescent="0.25">
      <c r="A1194" s="36">
        <v>29199061</v>
      </c>
      <c r="B1194" t="s">
        <v>1291</v>
      </c>
    </row>
    <row r="1195" spans="1:3" x14ac:dyDescent="0.25">
      <c r="A1195" s="36">
        <v>29199061</v>
      </c>
      <c r="B1195" t="s">
        <v>1291</v>
      </c>
    </row>
    <row r="1196" spans="1:3" x14ac:dyDescent="0.25">
      <c r="A1196" s="36">
        <v>28778142</v>
      </c>
      <c r="B1196" t="s">
        <v>1295</v>
      </c>
    </row>
    <row r="1197" spans="1:3" x14ac:dyDescent="0.25">
      <c r="A1197" s="36">
        <v>28778142</v>
      </c>
      <c r="B1197" t="s">
        <v>1295</v>
      </c>
    </row>
    <row r="1198" spans="1:3" x14ac:dyDescent="0.25">
      <c r="A1198" s="36">
        <v>17710578</v>
      </c>
      <c r="B1198" t="s">
        <v>1284</v>
      </c>
    </row>
    <row r="1199" spans="1:3" x14ac:dyDescent="0.25">
      <c r="A1199" s="36">
        <v>17710578</v>
      </c>
      <c r="B1199" t="s">
        <v>1284</v>
      </c>
    </row>
    <row r="1200" spans="1:3" x14ac:dyDescent="0.25">
      <c r="A1200" s="36">
        <v>17710578</v>
      </c>
      <c r="B1200" t="s">
        <v>1284</v>
      </c>
    </row>
    <row r="1201" spans="1:2" x14ac:dyDescent="0.25">
      <c r="A1201" s="36">
        <v>17710578</v>
      </c>
      <c r="B1201" t="s">
        <v>1284</v>
      </c>
    </row>
    <row r="1202" spans="1:2" x14ac:dyDescent="0.25">
      <c r="A1202" s="36">
        <v>30641221771</v>
      </c>
      <c r="B1202" t="s">
        <v>1548</v>
      </c>
    </row>
    <row r="1203" spans="1:2" x14ac:dyDescent="0.25">
      <c r="A1203" s="36"/>
    </row>
    <row r="1204" spans="1:2" x14ac:dyDescent="0.25">
      <c r="A1204" s="36">
        <v>16736509</v>
      </c>
      <c r="B1204" t="s">
        <v>1239</v>
      </c>
    </row>
    <row r="1205" spans="1:2" x14ac:dyDescent="0.25">
      <c r="A1205" s="36">
        <v>16736509</v>
      </c>
      <c r="B1205" t="s">
        <v>1239</v>
      </c>
    </row>
    <row r="1206" spans="1:2" x14ac:dyDescent="0.25">
      <c r="A1206" s="36">
        <v>16736509</v>
      </c>
      <c r="B1206" t="s">
        <v>1239</v>
      </c>
    </row>
    <row r="1207" spans="1:2" x14ac:dyDescent="0.25">
      <c r="A1207" s="36">
        <v>16736509</v>
      </c>
      <c r="B1207" t="s">
        <v>1239</v>
      </c>
    </row>
    <row r="1208" spans="1:2" x14ac:dyDescent="0.25">
      <c r="A1208" s="36">
        <v>16736509</v>
      </c>
      <c r="B1208" t="s">
        <v>1239</v>
      </c>
    </row>
    <row r="1209" spans="1:2" x14ac:dyDescent="0.25">
      <c r="A1209" s="36">
        <v>16736509</v>
      </c>
      <c r="B1209" t="s">
        <v>1239</v>
      </c>
    </row>
    <row r="1210" spans="1:2" x14ac:dyDescent="0.25">
      <c r="A1210" s="36">
        <v>24871779</v>
      </c>
      <c r="B1210" t="s">
        <v>1223</v>
      </c>
    </row>
    <row r="1211" spans="1:2" x14ac:dyDescent="0.25">
      <c r="A1211" s="36">
        <v>24871779</v>
      </c>
      <c r="B1211" t="s">
        <v>1223</v>
      </c>
    </row>
    <row r="1212" spans="1:2" x14ac:dyDescent="0.25">
      <c r="A1212" s="36">
        <v>24871779</v>
      </c>
      <c r="B1212" t="s">
        <v>1223</v>
      </c>
    </row>
    <row r="1213" spans="1:2" x14ac:dyDescent="0.25">
      <c r="A1213" s="36">
        <v>24871779</v>
      </c>
      <c r="B1213" t="s">
        <v>1223</v>
      </c>
    </row>
    <row r="1214" spans="1:2" x14ac:dyDescent="0.25">
      <c r="A1214" s="36">
        <v>30573652084</v>
      </c>
      <c r="B1214" t="s">
        <v>1156</v>
      </c>
    </row>
    <row r="1215" spans="1:2" x14ac:dyDescent="0.25">
      <c r="A1215" s="36">
        <v>30573652084</v>
      </c>
      <c r="B1215" t="s">
        <v>1156</v>
      </c>
    </row>
    <row r="1216" spans="1:2" x14ac:dyDescent="0.25">
      <c r="A1216" s="36">
        <v>30573652084</v>
      </c>
      <c r="B1216" t="s">
        <v>1156</v>
      </c>
    </row>
    <row r="1217" spans="1:2" x14ac:dyDescent="0.25">
      <c r="A1217" s="36">
        <v>30573652084</v>
      </c>
      <c r="B1217" t="s">
        <v>1156</v>
      </c>
    </row>
    <row r="1218" spans="1:2" x14ac:dyDescent="0.25">
      <c r="A1218" s="36">
        <v>30573652084</v>
      </c>
      <c r="B1218" t="s">
        <v>1156</v>
      </c>
    </row>
    <row r="1219" spans="1:2" x14ac:dyDescent="0.25">
      <c r="A1219" s="36">
        <v>30573652084</v>
      </c>
      <c r="B1219" t="s">
        <v>1156</v>
      </c>
    </row>
    <row r="1220" spans="1:2" x14ac:dyDescent="0.25">
      <c r="A1220" s="36">
        <v>27141689296</v>
      </c>
      <c r="B1220" t="s">
        <v>1451</v>
      </c>
    </row>
    <row r="1221" spans="1:2" x14ac:dyDescent="0.25">
      <c r="A1221" s="36">
        <v>27141689296</v>
      </c>
      <c r="B1221" t="s">
        <v>1451</v>
      </c>
    </row>
    <row r="1222" spans="1:2" x14ac:dyDescent="0.25">
      <c r="A1222" s="36">
        <v>95775679</v>
      </c>
      <c r="B1222" t="s">
        <v>1330</v>
      </c>
    </row>
    <row r="1223" spans="1:2" x14ac:dyDescent="0.25">
      <c r="A1223" s="36">
        <v>95775679</v>
      </c>
      <c r="B1223" t="s">
        <v>1330</v>
      </c>
    </row>
    <row r="1224" spans="1:2" x14ac:dyDescent="0.25">
      <c r="A1224" s="36"/>
    </row>
    <row r="1225" spans="1:2" x14ac:dyDescent="0.25">
      <c r="A1225" s="36">
        <v>20136536320</v>
      </c>
      <c r="B1225" t="s">
        <v>1403</v>
      </c>
    </row>
    <row r="1226" spans="1:2" x14ac:dyDescent="0.25">
      <c r="A1226" s="36">
        <v>17282007</v>
      </c>
      <c r="B1226" t="s">
        <v>1208</v>
      </c>
    </row>
    <row r="1227" spans="1:2" x14ac:dyDescent="0.25">
      <c r="A1227" s="36">
        <v>17282007</v>
      </c>
      <c r="B1227" t="s">
        <v>1208</v>
      </c>
    </row>
    <row r="1228" spans="1:2" x14ac:dyDescent="0.25">
      <c r="A1228" s="36">
        <v>27247999766</v>
      </c>
      <c r="B1228" t="s">
        <v>1492</v>
      </c>
    </row>
    <row r="1229" spans="1:2" x14ac:dyDescent="0.25">
      <c r="A1229" s="36">
        <v>23920485979</v>
      </c>
      <c r="B1229" t="s">
        <v>1463</v>
      </c>
    </row>
    <row r="1230" spans="1:2" x14ac:dyDescent="0.25">
      <c r="A1230" s="36">
        <v>22489713</v>
      </c>
      <c r="B1230" t="s">
        <v>1217</v>
      </c>
    </row>
    <row r="1231" spans="1:2" x14ac:dyDescent="0.25">
      <c r="A1231" s="36">
        <v>22489713</v>
      </c>
      <c r="B1231" t="s">
        <v>1217</v>
      </c>
    </row>
    <row r="1232" spans="1:2" x14ac:dyDescent="0.25">
      <c r="A1232" s="36">
        <v>22489713</v>
      </c>
      <c r="B1232" t="s">
        <v>1217</v>
      </c>
    </row>
    <row r="1233" spans="1:2" x14ac:dyDescent="0.25">
      <c r="A1233" s="36">
        <v>22489713</v>
      </c>
      <c r="B1233" t="s">
        <v>1217</v>
      </c>
    </row>
    <row r="1234" spans="1:2" x14ac:dyDescent="0.25">
      <c r="A1234" s="36">
        <v>27223495317</v>
      </c>
      <c r="B1234" t="s">
        <v>1478</v>
      </c>
    </row>
    <row r="1235" spans="1:2" x14ac:dyDescent="0.25">
      <c r="A1235" s="36">
        <v>30714734446</v>
      </c>
      <c r="B1235" t="s">
        <v>1420</v>
      </c>
    </row>
    <row r="1236" spans="1:2" x14ac:dyDescent="0.25">
      <c r="A1236" s="36">
        <v>30714734446</v>
      </c>
      <c r="B1236" t="s">
        <v>1420</v>
      </c>
    </row>
    <row r="1237" spans="1:2" x14ac:dyDescent="0.25">
      <c r="A1237" s="36">
        <v>20214540291</v>
      </c>
      <c r="B1237" t="s">
        <v>1487</v>
      </c>
    </row>
    <row r="1238" spans="1:2" x14ac:dyDescent="0.25">
      <c r="A1238" s="36">
        <v>33708495129</v>
      </c>
      <c r="B1238" t="s">
        <v>1404</v>
      </c>
    </row>
    <row r="1239" spans="1:2" x14ac:dyDescent="0.25">
      <c r="A1239" s="36">
        <v>33708495129</v>
      </c>
      <c r="B1239" t="s">
        <v>1404</v>
      </c>
    </row>
    <row r="1240" spans="1:2" x14ac:dyDescent="0.25">
      <c r="A1240" s="36">
        <v>30715188674</v>
      </c>
      <c r="B1240" t="s">
        <v>1421</v>
      </c>
    </row>
    <row r="1241" spans="1:2" x14ac:dyDescent="0.25">
      <c r="A1241" s="36">
        <v>30715188674</v>
      </c>
      <c r="B1241" t="s">
        <v>1421</v>
      </c>
    </row>
    <row r="1242" spans="1:2" x14ac:dyDescent="0.25">
      <c r="A1242" s="36">
        <v>30709539295</v>
      </c>
      <c r="B1242" t="s">
        <v>1497</v>
      </c>
    </row>
    <row r="1243" spans="1:2" x14ac:dyDescent="0.25">
      <c r="A1243" s="36">
        <v>13262270</v>
      </c>
      <c r="B1243" t="s">
        <v>1300</v>
      </c>
    </row>
    <row r="1244" spans="1:2" x14ac:dyDescent="0.25">
      <c r="A1244" s="36">
        <v>13262270</v>
      </c>
      <c r="B1244" t="s">
        <v>1300</v>
      </c>
    </row>
    <row r="1245" spans="1:2" x14ac:dyDescent="0.25">
      <c r="A1245" s="36">
        <v>13262270</v>
      </c>
      <c r="B1245" t="s">
        <v>1300</v>
      </c>
    </row>
    <row r="1246" spans="1:2" x14ac:dyDescent="0.25">
      <c r="A1246" s="36">
        <v>13262270</v>
      </c>
      <c r="B1246" t="s">
        <v>1300</v>
      </c>
    </row>
    <row r="1247" spans="1:2" x14ac:dyDescent="0.25">
      <c r="A1247" s="36">
        <v>30715621866</v>
      </c>
      <c r="B1247" t="s">
        <v>1430</v>
      </c>
    </row>
    <row r="1248" spans="1:2" x14ac:dyDescent="0.25">
      <c r="A1248" s="36">
        <v>30715621866</v>
      </c>
      <c r="B1248" t="s">
        <v>1430</v>
      </c>
    </row>
    <row r="1249" spans="1:3" x14ac:dyDescent="0.25">
      <c r="A1249" s="36">
        <v>30713628804</v>
      </c>
      <c r="B1249" t="s">
        <v>1130</v>
      </c>
      <c r="C1249" s="35" t="s">
        <v>1568</v>
      </c>
    </row>
    <row r="1250" spans="1:3" x14ac:dyDescent="0.25">
      <c r="A1250" s="36">
        <v>30713628804</v>
      </c>
      <c r="B1250" t="s">
        <v>1130</v>
      </c>
      <c r="C1250" s="35" t="s">
        <v>1568</v>
      </c>
    </row>
    <row r="1251" spans="1:3" x14ac:dyDescent="0.25">
      <c r="A1251" s="36">
        <v>20076169579</v>
      </c>
      <c r="B1251" t="s">
        <v>1486</v>
      </c>
    </row>
    <row r="1252" spans="1:3" x14ac:dyDescent="0.25">
      <c r="A1252" s="36">
        <v>17852963</v>
      </c>
      <c r="B1252" t="s">
        <v>1299</v>
      </c>
    </row>
    <row r="1253" spans="1:3" x14ac:dyDescent="0.25">
      <c r="A1253" s="36">
        <v>17852963</v>
      </c>
      <c r="B1253" t="s">
        <v>1299</v>
      </c>
    </row>
    <row r="1254" spans="1:3" x14ac:dyDescent="0.25">
      <c r="A1254" s="36">
        <v>25671318</v>
      </c>
      <c r="B1254" t="s">
        <v>1269</v>
      </c>
    </row>
    <row r="1255" spans="1:3" x14ac:dyDescent="0.25">
      <c r="A1255" s="36">
        <v>25671318</v>
      </c>
      <c r="B1255" t="s">
        <v>1269</v>
      </c>
    </row>
    <row r="1256" spans="1:3" x14ac:dyDescent="0.25">
      <c r="A1256" s="36">
        <v>25671318</v>
      </c>
      <c r="B1256" t="s">
        <v>1269</v>
      </c>
    </row>
    <row r="1257" spans="1:3" x14ac:dyDescent="0.25">
      <c r="A1257" s="36">
        <v>25671318</v>
      </c>
      <c r="B1257" t="s">
        <v>1269</v>
      </c>
    </row>
    <row r="1258" spans="1:3" x14ac:dyDescent="0.25">
      <c r="A1258" s="36">
        <v>25671318</v>
      </c>
      <c r="B1258" t="s">
        <v>1269</v>
      </c>
    </row>
    <row r="1259" spans="1:3" x14ac:dyDescent="0.25">
      <c r="A1259" s="36">
        <v>25671318</v>
      </c>
      <c r="B1259" t="s">
        <v>1269</v>
      </c>
    </row>
    <row r="1260" spans="1:3" x14ac:dyDescent="0.25">
      <c r="A1260" s="36">
        <v>10514389</v>
      </c>
      <c r="B1260" t="s">
        <v>1277</v>
      </c>
    </row>
    <row r="1261" spans="1:3" x14ac:dyDescent="0.25">
      <c r="A1261" s="36">
        <v>10514389</v>
      </c>
      <c r="B1261" t="s">
        <v>1277</v>
      </c>
    </row>
    <row r="1262" spans="1:3" x14ac:dyDescent="0.25">
      <c r="A1262" s="36">
        <v>20206063239</v>
      </c>
      <c r="B1262" t="s">
        <v>1504</v>
      </c>
    </row>
    <row r="1263" spans="1:3" x14ac:dyDescent="0.25">
      <c r="A1263" s="36">
        <v>11001660</v>
      </c>
      <c r="B1263" t="s">
        <v>1221</v>
      </c>
    </row>
    <row r="1264" spans="1:3" x14ac:dyDescent="0.25">
      <c r="A1264" s="36">
        <v>11001660</v>
      </c>
      <c r="B1264" t="s">
        <v>1221</v>
      </c>
    </row>
    <row r="1265" spans="1:2" x14ac:dyDescent="0.25">
      <c r="A1265" s="36">
        <v>11001660</v>
      </c>
      <c r="B1265" t="s">
        <v>1221</v>
      </c>
    </row>
    <row r="1266" spans="1:2" x14ac:dyDescent="0.25">
      <c r="A1266" s="36">
        <v>11001660</v>
      </c>
      <c r="B1266" t="s">
        <v>1221</v>
      </c>
    </row>
    <row r="1267" spans="1:2" x14ac:dyDescent="0.25">
      <c r="A1267" s="36">
        <v>2143749</v>
      </c>
      <c r="B1267" t="s">
        <v>1212</v>
      </c>
    </row>
    <row r="1268" spans="1:2" x14ac:dyDescent="0.25">
      <c r="A1268" s="36">
        <v>2143749</v>
      </c>
      <c r="B1268" t="s">
        <v>1212</v>
      </c>
    </row>
    <row r="1269" spans="1:2" x14ac:dyDescent="0.25">
      <c r="A1269" s="36">
        <v>2143749</v>
      </c>
      <c r="B1269" t="s">
        <v>1212</v>
      </c>
    </row>
    <row r="1270" spans="1:2" x14ac:dyDescent="0.25">
      <c r="A1270" s="36">
        <v>2143749</v>
      </c>
      <c r="B1270" t="s">
        <v>1212</v>
      </c>
    </row>
    <row r="1271" spans="1:2" x14ac:dyDescent="0.25">
      <c r="A1271" s="36">
        <v>2143749</v>
      </c>
      <c r="B1271" t="s">
        <v>1212</v>
      </c>
    </row>
    <row r="1272" spans="1:2" x14ac:dyDescent="0.25">
      <c r="A1272" s="36">
        <v>2143749</v>
      </c>
      <c r="B1272" t="s">
        <v>1212</v>
      </c>
    </row>
    <row r="1273" spans="1:2" x14ac:dyDescent="0.25">
      <c r="A1273" s="36">
        <v>30715303791</v>
      </c>
      <c r="B1273" t="s">
        <v>124</v>
      </c>
    </row>
    <row r="1274" spans="1:2" x14ac:dyDescent="0.25">
      <c r="A1274" s="36">
        <v>23159787</v>
      </c>
      <c r="B1274" t="s">
        <v>1316</v>
      </c>
    </row>
    <row r="1275" spans="1:2" x14ac:dyDescent="0.25">
      <c r="A1275" s="36">
        <v>23159787</v>
      </c>
      <c r="B1275" t="s">
        <v>1316</v>
      </c>
    </row>
    <row r="1276" spans="1:2" x14ac:dyDescent="0.25">
      <c r="A1276" s="36">
        <v>30638969</v>
      </c>
      <c r="B1276" t="s">
        <v>1326</v>
      </c>
    </row>
    <row r="1277" spans="1:2" x14ac:dyDescent="0.25">
      <c r="A1277" s="36">
        <v>30638969</v>
      </c>
      <c r="B1277" t="s">
        <v>1326</v>
      </c>
    </row>
    <row r="1278" spans="1:2" x14ac:dyDescent="0.25">
      <c r="A1278" s="36">
        <v>30638969</v>
      </c>
      <c r="B1278" t="s">
        <v>1326</v>
      </c>
    </row>
    <row r="1279" spans="1:2" x14ac:dyDescent="0.25">
      <c r="A1279" s="36">
        <v>30638969</v>
      </c>
      <c r="B1279" t="s">
        <v>1326</v>
      </c>
    </row>
    <row r="1280" spans="1:2" x14ac:dyDescent="0.25">
      <c r="A1280" s="36">
        <v>30707397256</v>
      </c>
      <c r="B1280" t="s">
        <v>1383</v>
      </c>
    </row>
    <row r="1281" spans="1:2" x14ac:dyDescent="0.25">
      <c r="A1281" s="36">
        <v>30707397256</v>
      </c>
      <c r="B1281" t="s">
        <v>1383</v>
      </c>
    </row>
    <row r="1282" spans="1:2" x14ac:dyDescent="0.25">
      <c r="A1282" s="36">
        <v>30707397256</v>
      </c>
      <c r="B1282" t="s">
        <v>1165</v>
      </c>
    </row>
    <row r="1283" spans="1:2" x14ac:dyDescent="0.25">
      <c r="A1283" s="36">
        <v>30707397256</v>
      </c>
      <c r="B1283" t="s">
        <v>1165</v>
      </c>
    </row>
    <row r="1284" spans="1:2" x14ac:dyDescent="0.25">
      <c r="A1284" s="36"/>
    </row>
    <row r="1285" spans="1:2" x14ac:dyDescent="0.25">
      <c r="A1285" s="36"/>
    </row>
    <row r="1286" spans="1:2" x14ac:dyDescent="0.25">
      <c r="A1286" s="36"/>
    </row>
    <row r="1287" spans="1:2" x14ac:dyDescent="0.25">
      <c r="A1287" s="36">
        <v>30554704189</v>
      </c>
      <c r="B1287" t="s">
        <v>127</v>
      </c>
    </row>
    <row r="1288" spans="1:2" x14ac:dyDescent="0.25">
      <c r="A1288" s="36">
        <v>30715734407</v>
      </c>
      <c r="B1288" t="s">
        <v>128</v>
      </c>
    </row>
    <row r="1289" spans="1:2" x14ac:dyDescent="0.25">
      <c r="A1289" s="36">
        <v>23284527534</v>
      </c>
      <c r="B1289" t="s">
        <v>129</v>
      </c>
    </row>
    <row r="1290" spans="1:2" x14ac:dyDescent="0.25">
      <c r="A1290" s="36">
        <v>20275934217</v>
      </c>
      <c r="B1290" t="s">
        <v>130</v>
      </c>
    </row>
    <row r="1291" spans="1:2" x14ac:dyDescent="0.25">
      <c r="A1291" s="36">
        <v>20050719864</v>
      </c>
      <c r="B1291" t="s">
        <v>131</v>
      </c>
    </row>
    <row r="1292" spans="1:2" x14ac:dyDescent="0.25">
      <c r="A1292" s="36">
        <v>30633217803</v>
      </c>
      <c r="B1292" t="s">
        <v>132</v>
      </c>
    </row>
    <row r="1293" spans="1:2" x14ac:dyDescent="0.25">
      <c r="A1293" s="36">
        <v>30715688871</v>
      </c>
      <c r="B1293" t="s">
        <v>133</v>
      </c>
    </row>
    <row r="1294" spans="1:2" x14ac:dyDescent="0.25">
      <c r="A1294" s="36">
        <v>30712776403</v>
      </c>
      <c r="B1294" t="s">
        <v>134</v>
      </c>
    </row>
    <row r="1295" spans="1:2" x14ac:dyDescent="0.25">
      <c r="A1295" s="36">
        <v>30715642197</v>
      </c>
      <c r="B1295" t="s">
        <v>136</v>
      </c>
    </row>
    <row r="1296" spans="1:2" x14ac:dyDescent="0.25">
      <c r="A1296" s="36">
        <v>33695089789</v>
      </c>
      <c r="B1296" t="s">
        <v>138</v>
      </c>
    </row>
    <row r="1297" spans="1:2" x14ac:dyDescent="0.25">
      <c r="A1297" s="36">
        <v>20148857696</v>
      </c>
      <c r="B1297" t="s">
        <v>1470</v>
      </c>
    </row>
    <row r="1298" spans="1:2" x14ac:dyDescent="0.25">
      <c r="A1298" s="36">
        <v>26458741</v>
      </c>
      <c r="B1298" t="s">
        <v>1273</v>
      </c>
    </row>
    <row r="1299" spans="1:2" x14ac:dyDescent="0.25">
      <c r="A1299" s="36">
        <v>26458741</v>
      </c>
      <c r="B1299" t="s">
        <v>1273</v>
      </c>
    </row>
    <row r="1300" spans="1:2" x14ac:dyDescent="0.25">
      <c r="A1300" s="36">
        <v>30717035018</v>
      </c>
      <c r="B1300" t="s">
        <v>1533</v>
      </c>
    </row>
    <row r="1301" spans="1:2" x14ac:dyDescent="0.25">
      <c r="A1301" s="36">
        <v>33717503789</v>
      </c>
      <c r="B1301" t="s">
        <v>139</v>
      </c>
    </row>
    <row r="1302" spans="1:2" x14ac:dyDescent="0.25">
      <c r="A1302" s="36">
        <v>30715745980</v>
      </c>
      <c r="B1302" t="s">
        <v>140</v>
      </c>
    </row>
    <row r="1303" spans="1:2" x14ac:dyDescent="0.25">
      <c r="A1303" s="36">
        <v>30716389088</v>
      </c>
      <c r="B1303" t="s">
        <v>142</v>
      </c>
    </row>
    <row r="1304" spans="1:2" x14ac:dyDescent="0.25">
      <c r="A1304" s="36">
        <v>30715775014</v>
      </c>
      <c r="B1304" t="s">
        <v>144</v>
      </c>
    </row>
    <row r="1305" spans="1:2" x14ac:dyDescent="0.25">
      <c r="A1305" s="36">
        <v>30714905534</v>
      </c>
      <c r="B1305" t="s">
        <v>145</v>
      </c>
    </row>
    <row r="1306" spans="1:2" x14ac:dyDescent="0.25">
      <c r="A1306" s="36">
        <v>30709227161</v>
      </c>
      <c r="B1306" t="s">
        <v>146</v>
      </c>
    </row>
    <row r="1307" spans="1:2" x14ac:dyDescent="0.25">
      <c r="A1307" s="36">
        <v>30711809739</v>
      </c>
      <c r="B1307" t="s">
        <v>147</v>
      </c>
    </row>
    <row r="1308" spans="1:2" x14ac:dyDescent="0.25">
      <c r="A1308" s="36">
        <v>20268494155</v>
      </c>
      <c r="B1308" t="s">
        <v>148</v>
      </c>
    </row>
    <row r="1309" spans="1:2" x14ac:dyDescent="0.25">
      <c r="A1309" s="36">
        <v>30714466689</v>
      </c>
      <c r="B1309" t="s">
        <v>149</v>
      </c>
    </row>
    <row r="1310" spans="1:2" x14ac:dyDescent="0.25">
      <c r="A1310" s="36">
        <v>20045519709</v>
      </c>
      <c r="B1310" t="s">
        <v>150</v>
      </c>
    </row>
    <row r="1311" spans="1:2" x14ac:dyDescent="0.25">
      <c r="A1311" s="36">
        <v>20358014330</v>
      </c>
      <c r="B1311" t="s">
        <v>151</v>
      </c>
    </row>
    <row r="1312" spans="1:2" x14ac:dyDescent="0.25">
      <c r="A1312" s="36">
        <v>20940658609</v>
      </c>
      <c r="B1312" t="s">
        <v>152</v>
      </c>
    </row>
    <row r="1313" spans="1:2" x14ac:dyDescent="0.25">
      <c r="A1313" s="36">
        <v>27058716508</v>
      </c>
      <c r="B1313" t="s">
        <v>157</v>
      </c>
    </row>
    <row r="1314" spans="1:2" x14ac:dyDescent="0.25">
      <c r="A1314" s="36">
        <v>20144078188</v>
      </c>
      <c r="B1314" t="s">
        <v>158</v>
      </c>
    </row>
    <row r="1315" spans="1:2" x14ac:dyDescent="0.25">
      <c r="A1315" s="36"/>
    </row>
    <row r="1316" spans="1:2" x14ac:dyDescent="0.25">
      <c r="A1316" s="36"/>
    </row>
    <row r="1317" spans="1:2" x14ac:dyDescent="0.25">
      <c r="A1317" s="36"/>
    </row>
    <row r="1318" spans="1:2" x14ac:dyDescent="0.25">
      <c r="A1318" s="36">
        <v>16172630</v>
      </c>
      <c r="B1318" t="s">
        <v>1339</v>
      </c>
    </row>
    <row r="1319" spans="1:2" x14ac:dyDescent="0.25">
      <c r="A1319" s="36">
        <v>16172630</v>
      </c>
      <c r="B1319" t="s">
        <v>1339</v>
      </c>
    </row>
    <row r="1320" spans="1:2" x14ac:dyDescent="0.25">
      <c r="A1320" s="36">
        <v>30708244208</v>
      </c>
      <c r="B1320" t="s">
        <v>160</v>
      </c>
    </row>
    <row r="1321" spans="1:2" x14ac:dyDescent="0.25">
      <c r="A1321" s="36">
        <v>20161304086</v>
      </c>
      <c r="B1321" t="s">
        <v>161</v>
      </c>
    </row>
    <row r="1322" spans="1:2" x14ac:dyDescent="0.25">
      <c r="A1322" s="36">
        <v>30570945285</v>
      </c>
      <c r="B1322" t="s">
        <v>163</v>
      </c>
    </row>
    <row r="1323" spans="1:2" x14ac:dyDescent="0.25">
      <c r="A1323" s="36">
        <v>30714233560</v>
      </c>
      <c r="B1323" t="s">
        <v>164</v>
      </c>
    </row>
    <row r="1324" spans="1:2" x14ac:dyDescent="0.25">
      <c r="A1324" s="36">
        <v>30593410354</v>
      </c>
      <c r="B1324" t="s">
        <v>165</v>
      </c>
    </row>
    <row r="1325" spans="1:2" x14ac:dyDescent="0.25">
      <c r="A1325" s="36">
        <v>20245638486</v>
      </c>
      <c r="B1325" t="s">
        <v>167</v>
      </c>
    </row>
    <row r="1326" spans="1:2" x14ac:dyDescent="0.25">
      <c r="A1326" s="36">
        <v>30708508221</v>
      </c>
      <c r="B1326" t="s">
        <v>170</v>
      </c>
    </row>
    <row r="1327" spans="1:2" x14ac:dyDescent="0.25">
      <c r="A1327" s="36">
        <v>27171152610</v>
      </c>
      <c r="B1327" t="s">
        <v>172</v>
      </c>
    </row>
    <row r="1328" spans="1:2" x14ac:dyDescent="0.25">
      <c r="A1328" s="36">
        <v>20255683595</v>
      </c>
      <c r="B1328" t="s">
        <v>173</v>
      </c>
    </row>
    <row r="1329" spans="1:2" x14ac:dyDescent="0.25">
      <c r="A1329" s="36">
        <v>30539122793</v>
      </c>
      <c r="B1329" t="s">
        <v>178</v>
      </c>
    </row>
    <row r="1330" spans="1:2" x14ac:dyDescent="0.25">
      <c r="A1330" s="36">
        <v>30691712350</v>
      </c>
      <c r="B1330" t="s">
        <v>179</v>
      </c>
    </row>
    <row r="1331" spans="1:2" x14ac:dyDescent="0.25">
      <c r="A1331" s="36">
        <v>30655300186</v>
      </c>
      <c r="B1331" t="s">
        <v>180</v>
      </c>
    </row>
    <row r="1332" spans="1:2" x14ac:dyDescent="0.25">
      <c r="A1332" s="36">
        <v>30686155893</v>
      </c>
      <c r="B1332" t="s">
        <v>181</v>
      </c>
    </row>
    <row r="1333" spans="1:2" x14ac:dyDescent="0.25">
      <c r="A1333" s="36">
        <v>30686155893</v>
      </c>
      <c r="B1333" t="s">
        <v>181</v>
      </c>
    </row>
    <row r="1334" spans="1:2" x14ac:dyDescent="0.25">
      <c r="A1334" s="36">
        <v>30686155893</v>
      </c>
      <c r="B1334" t="s">
        <v>181</v>
      </c>
    </row>
    <row r="1335" spans="1:2" x14ac:dyDescent="0.25">
      <c r="A1335" s="36">
        <v>30710102593</v>
      </c>
      <c r="B1335" t="s">
        <v>181</v>
      </c>
    </row>
    <row r="1336" spans="1:2" x14ac:dyDescent="0.25">
      <c r="A1336" s="36">
        <v>30711035075</v>
      </c>
      <c r="B1336" t="s">
        <v>182</v>
      </c>
    </row>
    <row r="1337" spans="1:2" x14ac:dyDescent="0.25">
      <c r="A1337" s="36">
        <v>30716168731</v>
      </c>
      <c r="B1337" t="s">
        <v>183</v>
      </c>
    </row>
    <row r="1338" spans="1:2" x14ac:dyDescent="0.25">
      <c r="A1338" s="36">
        <v>30714859168</v>
      </c>
      <c r="B1338" t="s">
        <v>185</v>
      </c>
    </row>
    <row r="1339" spans="1:2" x14ac:dyDescent="0.25">
      <c r="A1339" s="36">
        <v>30697605785</v>
      </c>
      <c r="B1339" t="s">
        <v>186</v>
      </c>
    </row>
    <row r="1340" spans="1:2" x14ac:dyDescent="0.25">
      <c r="A1340" s="36">
        <v>30709217832</v>
      </c>
      <c r="B1340" t="s">
        <v>187</v>
      </c>
    </row>
    <row r="1341" spans="1:2" x14ac:dyDescent="0.25">
      <c r="A1341" s="36">
        <v>30709217832</v>
      </c>
      <c r="B1341" t="s">
        <v>187</v>
      </c>
    </row>
    <row r="1342" spans="1:2" x14ac:dyDescent="0.25">
      <c r="A1342" s="36">
        <v>27174758854</v>
      </c>
      <c r="B1342" t="s">
        <v>188</v>
      </c>
    </row>
    <row r="1343" spans="1:2" x14ac:dyDescent="0.25">
      <c r="A1343" s="36">
        <v>30711017697</v>
      </c>
      <c r="B1343" t="s">
        <v>189</v>
      </c>
    </row>
    <row r="1344" spans="1:2" x14ac:dyDescent="0.25">
      <c r="A1344" s="36">
        <v>30716974436</v>
      </c>
      <c r="B1344" t="s">
        <v>191</v>
      </c>
    </row>
    <row r="1345" spans="1:2" x14ac:dyDescent="0.25">
      <c r="A1345" s="36">
        <v>20114286150</v>
      </c>
      <c r="B1345" t="s">
        <v>192</v>
      </c>
    </row>
    <row r="1346" spans="1:2" x14ac:dyDescent="0.25">
      <c r="A1346" s="36">
        <v>30710682557</v>
      </c>
      <c r="B1346" t="s">
        <v>193</v>
      </c>
    </row>
    <row r="1347" spans="1:2" x14ac:dyDescent="0.25">
      <c r="A1347" s="36">
        <v>30715681133</v>
      </c>
      <c r="B1347" t="s">
        <v>194</v>
      </c>
    </row>
    <row r="1348" spans="1:2" x14ac:dyDescent="0.25">
      <c r="A1348" s="36">
        <v>30715578154</v>
      </c>
      <c r="B1348" t="s">
        <v>195</v>
      </c>
    </row>
    <row r="1349" spans="1:2" x14ac:dyDescent="0.25">
      <c r="A1349" s="36">
        <v>23298673614</v>
      </c>
      <c r="B1349" t="s">
        <v>197</v>
      </c>
    </row>
    <row r="1350" spans="1:2" x14ac:dyDescent="0.25">
      <c r="A1350" s="36">
        <v>30717649490</v>
      </c>
      <c r="B1350" t="s">
        <v>1377</v>
      </c>
    </row>
    <row r="1351" spans="1:2" x14ac:dyDescent="0.25">
      <c r="A1351" s="36">
        <v>30717649490</v>
      </c>
      <c r="B1351" t="s">
        <v>1377</v>
      </c>
    </row>
    <row r="1352" spans="1:2" x14ac:dyDescent="0.25">
      <c r="A1352" s="36">
        <v>30667805283</v>
      </c>
      <c r="B1352" t="s">
        <v>199</v>
      </c>
    </row>
    <row r="1353" spans="1:2" x14ac:dyDescent="0.25">
      <c r="A1353" s="36">
        <v>20248515741</v>
      </c>
      <c r="B1353" t="s">
        <v>200</v>
      </c>
    </row>
    <row r="1354" spans="1:2" x14ac:dyDescent="0.25">
      <c r="A1354" s="36">
        <v>30711676402</v>
      </c>
      <c r="B1354" t="s">
        <v>202</v>
      </c>
    </row>
    <row r="1355" spans="1:2" x14ac:dyDescent="0.25">
      <c r="A1355" s="36">
        <v>30710457162</v>
      </c>
      <c r="B1355" t="s">
        <v>89</v>
      </c>
    </row>
    <row r="1356" spans="1:2" x14ac:dyDescent="0.25">
      <c r="A1356" s="36">
        <v>27228084862</v>
      </c>
      <c r="B1356" t="s">
        <v>1549</v>
      </c>
    </row>
    <row r="1357" spans="1:2" x14ac:dyDescent="0.25">
      <c r="A1357" s="36">
        <v>27161304439</v>
      </c>
      <c r="B1357" t="s">
        <v>203</v>
      </c>
    </row>
    <row r="1358" spans="1:2" x14ac:dyDescent="0.25">
      <c r="A1358" s="36">
        <v>27236871946</v>
      </c>
      <c r="B1358" t="s">
        <v>204</v>
      </c>
    </row>
    <row r="1359" spans="1:2" x14ac:dyDescent="0.25">
      <c r="A1359" s="36">
        <v>30711633371</v>
      </c>
      <c r="B1359" t="s">
        <v>205</v>
      </c>
    </row>
    <row r="1360" spans="1:2" x14ac:dyDescent="0.25">
      <c r="A1360" s="36">
        <v>30716421151</v>
      </c>
      <c r="B1360" t="s">
        <v>1454</v>
      </c>
    </row>
    <row r="1361" spans="1:2" x14ac:dyDescent="0.25">
      <c r="A1361" s="36">
        <v>30716421151</v>
      </c>
      <c r="B1361" t="s">
        <v>1454</v>
      </c>
    </row>
    <row r="1362" spans="1:2" x14ac:dyDescent="0.25">
      <c r="A1362" s="36">
        <v>30709647047</v>
      </c>
      <c r="B1362" t="s">
        <v>206</v>
      </c>
    </row>
    <row r="1363" spans="1:2" x14ac:dyDescent="0.25">
      <c r="A1363" s="36">
        <v>30697598266</v>
      </c>
      <c r="B1363" t="s">
        <v>207</v>
      </c>
    </row>
    <row r="1364" spans="1:2" x14ac:dyDescent="0.25">
      <c r="A1364" s="36">
        <v>33500262899</v>
      </c>
      <c r="B1364" t="s">
        <v>209</v>
      </c>
    </row>
    <row r="1365" spans="1:2" x14ac:dyDescent="0.25">
      <c r="A1365" s="36">
        <v>30662982454</v>
      </c>
      <c r="B1365" t="s">
        <v>210</v>
      </c>
    </row>
    <row r="1366" spans="1:2" x14ac:dyDescent="0.25">
      <c r="A1366" s="36">
        <v>33711366909</v>
      </c>
      <c r="B1366" t="s">
        <v>211</v>
      </c>
    </row>
    <row r="1367" spans="1:2" x14ac:dyDescent="0.25">
      <c r="A1367" s="36">
        <v>30710137710</v>
      </c>
      <c r="B1367" t="s">
        <v>212</v>
      </c>
    </row>
    <row r="1368" spans="1:2" x14ac:dyDescent="0.25">
      <c r="A1368" s="36">
        <v>20264361304</v>
      </c>
      <c r="B1368" t="s">
        <v>213</v>
      </c>
    </row>
    <row r="1369" spans="1:2" x14ac:dyDescent="0.25">
      <c r="A1369" s="36">
        <v>30715237071</v>
      </c>
      <c r="B1369" t="s">
        <v>214</v>
      </c>
    </row>
    <row r="1370" spans="1:2" x14ac:dyDescent="0.25">
      <c r="A1370" s="36">
        <v>20104571507</v>
      </c>
      <c r="B1370" t="s">
        <v>215</v>
      </c>
    </row>
    <row r="1371" spans="1:2" x14ac:dyDescent="0.25">
      <c r="A1371" s="36">
        <v>30656675140</v>
      </c>
      <c r="B1371" t="s">
        <v>217</v>
      </c>
    </row>
    <row r="1372" spans="1:2" x14ac:dyDescent="0.25">
      <c r="A1372" s="36">
        <v>33715207619</v>
      </c>
      <c r="B1372" t="s">
        <v>218</v>
      </c>
    </row>
    <row r="1373" spans="1:2" x14ac:dyDescent="0.25">
      <c r="A1373" s="36">
        <v>30627739571</v>
      </c>
      <c r="B1373" t="s">
        <v>219</v>
      </c>
    </row>
    <row r="1374" spans="1:2" x14ac:dyDescent="0.25">
      <c r="A1374" s="36">
        <v>30657735899</v>
      </c>
      <c r="B1374" t="s">
        <v>221</v>
      </c>
    </row>
    <row r="1375" spans="1:2" x14ac:dyDescent="0.25">
      <c r="A1375" s="36">
        <v>30598312377</v>
      </c>
      <c r="B1375" t="s">
        <v>224</v>
      </c>
    </row>
    <row r="1376" spans="1:2" x14ac:dyDescent="0.25">
      <c r="A1376" s="36">
        <v>30715959484</v>
      </c>
      <c r="B1376" t="s">
        <v>225</v>
      </c>
    </row>
    <row r="1377" spans="1:2" x14ac:dyDescent="0.25">
      <c r="A1377" s="36">
        <v>30715959484</v>
      </c>
      <c r="B1377" t="s">
        <v>225</v>
      </c>
    </row>
    <row r="1378" spans="1:2" x14ac:dyDescent="0.25">
      <c r="A1378" s="36">
        <v>30642468339</v>
      </c>
      <c r="B1378" t="s">
        <v>226</v>
      </c>
    </row>
    <row r="1379" spans="1:2" x14ac:dyDescent="0.25">
      <c r="A1379" s="36">
        <v>30618978121</v>
      </c>
      <c r="B1379" t="s">
        <v>227</v>
      </c>
    </row>
    <row r="1380" spans="1:2" x14ac:dyDescent="0.25">
      <c r="A1380" s="36">
        <v>20125768920</v>
      </c>
      <c r="B1380" t="s">
        <v>228</v>
      </c>
    </row>
    <row r="1381" spans="1:2" x14ac:dyDescent="0.25">
      <c r="A1381" s="36">
        <v>30712223703</v>
      </c>
      <c r="B1381" t="s">
        <v>229</v>
      </c>
    </row>
    <row r="1382" spans="1:2" x14ac:dyDescent="0.25">
      <c r="A1382" s="36">
        <v>20259438552</v>
      </c>
      <c r="B1382" t="s">
        <v>1144</v>
      </c>
    </row>
    <row r="1383" spans="1:2" x14ac:dyDescent="0.25">
      <c r="A1383" s="36">
        <v>20259438552</v>
      </c>
      <c r="B1383" t="s">
        <v>1168</v>
      </c>
    </row>
    <row r="1384" spans="1:2" x14ac:dyDescent="0.25">
      <c r="A1384" s="36">
        <v>20259438552</v>
      </c>
      <c r="B1384" t="s">
        <v>1144</v>
      </c>
    </row>
    <row r="1385" spans="1:2" x14ac:dyDescent="0.25">
      <c r="A1385" s="36">
        <v>20259438552</v>
      </c>
      <c r="B1385" t="s">
        <v>1144</v>
      </c>
    </row>
    <row r="1386" spans="1:2" x14ac:dyDescent="0.25">
      <c r="A1386" s="36">
        <v>20259438552</v>
      </c>
      <c r="B1386" t="s">
        <v>1168</v>
      </c>
    </row>
    <row r="1387" spans="1:2" x14ac:dyDescent="0.25">
      <c r="A1387" s="36">
        <v>20259438552</v>
      </c>
      <c r="B1387" t="s">
        <v>1144</v>
      </c>
    </row>
    <row r="1388" spans="1:2" x14ac:dyDescent="0.25">
      <c r="A1388" s="36">
        <v>30618674378</v>
      </c>
      <c r="B1388" t="s">
        <v>230</v>
      </c>
    </row>
    <row r="1389" spans="1:2" x14ac:dyDescent="0.25">
      <c r="A1389" s="36">
        <v>30619552535</v>
      </c>
      <c r="B1389" t="s">
        <v>231</v>
      </c>
    </row>
    <row r="1390" spans="1:2" x14ac:dyDescent="0.25">
      <c r="A1390" s="36">
        <v>30712479945</v>
      </c>
      <c r="B1390" t="s">
        <v>232</v>
      </c>
    </row>
    <row r="1391" spans="1:2" x14ac:dyDescent="0.25">
      <c r="A1391" s="36">
        <v>30573417611</v>
      </c>
      <c r="B1391" t="s">
        <v>233</v>
      </c>
    </row>
    <row r="1392" spans="1:2" x14ac:dyDescent="0.25">
      <c r="A1392" s="36">
        <v>30711738130</v>
      </c>
      <c r="B1392" t="s">
        <v>234</v>
      </c>
    </row>
    <row r="1393" spans="1:2" x14ac:dyDescent="0.25">
      <c r="A1393" s="36">
        <v>33711252229</v>
      </c>
      <c r="B1393" t="s">
        <v>235</v>
      </c>
    </row>
    <row r="1394" spans="1:2" x14ac:dyDescent="0.25">
      <c r="A1394" s="36">
        <v>30525920034</v>
      </c>
      <c r="B1394" t="s">
        <v>236</v>
      </c>
    </row>
    <row r="1395" spans="1:2" x14ac:dyDescent="0.25">
      <c r="A1395" s="36">
        <v>30610211638</v>
      </c>
      <c r="B1395" t="s">
        <v>237</v>
      </c>
    </row>
    <row r="1396" spans="1:2" x14ac:dyDescent="0.25">
      <c r="A1396" s="36">
        <v>30585134534</v>
      </c>
      <c r="B1396" t="s">
        <v>238</v>
      </c>
    </row>
    <row r="1397" spans="1:2" x14ac:dyDescent="0.25">
      <c r="A1397" s="36">
        <v>30707491058</v>
      </c>
      <c r="B1397" t="s">
        <v>240</v>
      </c>
    </row>
    <row r="1398" spans="1:2" x14ac:dyDescent="0.25">
      <c r="A1398" s="36">
        <v>30715363239</v>
      </c>
      <c r="B1398" t="s">
        <v>241</v>
      </c>
    </row>
    <row r="1399" spans="1:2" x14ac:dyDescent="0.25">
      <c r="A1399" s="36">
        <v>30697558868</v>
      </c>
      <c r="B1399" t="s">
        <v>243</v>
      </c>
    </row>
    <row r="1400" spans="1:2" x14ac:dyDescent="0.25">
      <c r="A1400" s="36">
        <v>30699010983</v>
      </c>
      <c r="B1400" t="s">
        <v>244</v>
      </c>
    </row>
    <row r="1401" spans="1:2" x14ac:dyDescent="0.25">
      <c r="A1401" s="36">
        <v>30595476557</v>
      </c>
      <c r="B1401" t="s">
        <v>245</v>
      </c>
    </row>
    <row r="1402" spans="1:2" x14ac:dyDescent="0.25">
      <c r="A1402" s="36">
        <v>30711949573</v>
      </c>
      <c r="B1402" t="s">
        <v>246</v>
      </c>
    </row>
    <row r="1403" spans="1:2" x14ac:dyDescent="0.25">
      <c r="A1403" s="36">
        <v>30710787731</v>
      </c>
      <c r="B1403" t="s">
        <v>247</v>
      </c>
    </row>
    <row r="1404" spans="1:2" x14ac:dyDescent="0.25">
      <c r="A1404" s="36">
        <v>30635770917</v>
      </c>
      <c r="B1404" t="s">
        <v>248</v>
      </c>
    </row>
    <row r="1405" spans="1:2" x14ac:dyDescent="0.25">
      <c r="A1405" s="36">
        <v>30708023910</v>
      </c>
      <c r="B1405" t="s">
        <v>1456</v>
      </c>
    </row>
    <row r="1406" spans="1:2" x14ac:dyDescent="0.25">
      <c r="A1406" s="36">
        <v>30708023910</v>
      </c>
      <c r="B1406" t="s">
        <v>1456</v>
      </c>
    </row>
    <row r="1407" spans="1:2" x14ac:dyDescent="0.25">
      <c r="A1407" s="36">
        <v>20118371047</v>
      </c>
      <c r="B1407" t="s">
        <v>250</v>
      </c>
    </row>
    <row r="1408" spans="1:2" x14ac:dyDescent="0.25">
      <c r="A1408" s="36">
        <v>30716193671</v>
      </c>
      <c r="B1408" t="s">
        <v>252</v>
      </c>
    </row>
    <row r="1409" spans="1:2" x14ac:dyDescent="0.25">
      <c r="A1409" s="36">
        <v>30712187316</v>
      </c>
      <c r="B1409" t="s">
        <v>253</v>
      </c>
    </row>
    <row r="1410" spans="1:2" x14ac:dyDescent="0.25">
      <c r="A1410" s="36">
        <v>30547076679</v>
      </c>
      <c r="B1410" t="s">
        <v>254</v>
      </c>
    </row>
    <row r="1411" spans="1:2" x14ac:dyDescent="0.25">
      <c r="A1411" s="36">
        <v>30517221933</v>
      </c>
      <c r="B1411" t="s">
        <v>256</v>
      </c>
    </row>
    <row r="1412" spans="1:2" x14ac:dyDescent="0.25">
      <c r="A1412" s="36">
        <v>30714474657</v>
      </c>
      <c r="B1412" t="s">
        <v>257</v>
      </c>
    </row>
    <row r="1413" spans="1:2" x14ac:dyDescent="0.25">
      <c r="A1413" s="36">
        <v>30714474657</v>
      </c>
      <c r="B1413" t="s">
        <v>257</v>
      </c>
    </row>
    <row r="1414" spans="1:2" x14ac:dyDescent="0.25">
      <c r="A1414" s="36">
        <v>27162860866</v>
      </c>
      <c r="B1414" t="s">
        <v>1507</v>
      </c>
    </row>
    <row r="1415" spans="1:2" x14ac:dyDescent="0.25">
      <c r="A1415" s="36">
        <v>30711428514</v>
      </c>
      <c r="B1415" t="s">
        <v>1446</v>
      </c>
    </row>
    <row r="1416" spans="1:2" x14ac:dyDescent="0.25">
      <c r="A1416" s="36">
        <v>30711428514</v>
      </c>
      <c r="B1416" t="s">
        <v>1446</v>
      </c>
    </row>
    <row r="1417" spans="1:2" x14ac:dyDescent="0.25">
      <c r="A1417" s="36">
        <v>30636074280</v>
      </c>
      <c r="B1417" t="s">
        <v>259</v>
      </c>
    </row>
    <row r="1418" spans="1:2" x14ac:dyDescent="0.25">
      <c r="A1418" s="36">
        <v>30714306355</v>
      </c>
      <c r="B1418" t="s">
        <v>260</v>
      </c>
    </row>
    <row r="1419" spans="1:2" x14ac:dyDescent="0.25">
      <c r="A1419" s="36">
        <v>30715318195</v>
      </c>
      <c r="B1419" t="s">
        <v>262</v>
      </c>
    </row>
    <row r="1420" spans="1:2" x14ac:dyDescent="0.25">
      <c r="A1420" s="36">
        <v>30715318195</v>
      </c>
      <c r="B1420" t="s">
        <v>262</v>
      </c>
    </row>
    <row r="1421" spans="1:2" x14ac:dyDescent="0.25">
      <c r="A1421" s="36">
        <v>95697506</v>
      </c>
      <c r="B1421" t="s">
        <v>1332</v>
      </c>
    </row>
    <row r="1422" spans="1:2" x14ac:dyDescent="0.25">
      <c r="A1422" s="36">
        <v>95697506</v>
      </c>
      <c r="B1422" t="s">
        <v>1332</v>
      </c>
    </row>
    <row r="1423" spans="1:2" x14ac:dyDescent="0.25">
      <c r="A1423" s="36">
        <v>24931553247</v>
      </c>
      <c r="B1423" t="s">
        <v>263</v>
      </c>
    </row>
    <row r="1424" spans="1:2" x14ac:dyDescent="0.25">
      <c r="A1424" s="36">
        <v>30714902152</v>
      </c>
      <c r="B1424" t="s">
        <v>264</v>
      </c>
    </row>
    <row r="1425" spans="1:2" x14ac:dyDescent="0.25">
      <c r="A1425" s="36">
        <v>20109841286</v>
      </c>
      <c r="B1425" t="s">
        <v>265</v>
      </c>
    </row>
    <row r="1426" spans="1:2" x14ac:dyDescent="0.25">
      <c r="A1426" s="36">
        <v>20216458940</v>
      </c>
      <c r="B1426" t="s">
        <v>266</v>
      </c>
    </row>
    <row r="1427" spans="1:2" x14ac:dyDescent="0.25">
      <c r="A1427" s="36">
        <v>33649669029</v>
      </c>
      <c r="B1427" t="s">
        <v>268</v>
      </c>
    </row>
    <row r="1428" spans="1:2" x14ac:dyDescent="0.25">
      <c r="A1428" s="36">
        <v>33649669029</v>
      </c>
      <c r="B1428" t="s">
        <v>268</v>
      </c>
    </row>
    <row r="1429" spans="1:2" x14ac:dyDescent="0.25">
      <c r="A1429" s="36">
        <v>33649669029</v>
      </c>
      <c r="B1429" t="s">
        <v>268</v>
      </c>
    </row>
    <row r="1430" spans="1:2" x14ac:dyDescent="0.25">
      <c r="A1430" s="36">
        <v>20165471491</v>
      </c>
      <c r="B1430" t="s">
        <v>273</v>
      </c>
    </row>
    <row r="1431" spans="1:2" x14ac:dyDescent="0.25">
      <c r="A1431" s="36">
        <v>30715735713</v>
      </c>
      <c r="B1431" t="s">
        <v>274</v>
      </c>
    </row>
    <row r="1432" spans="1:2" x14ac:dyDescent="0.25">
      <c r="A1432" s="36">
        <v>30005896</v>
      </c>
      <c r="B1432" t="s">
        <v>1215</v>
      </c>
    </row>
    <row r="1433" spans="1:2" x14ac:dyDescent="0.25">
      <c r="A1433" s="36">
        <v>30005896</v>
      </c>
      <c r="B1433" t="s">
        <v>1215</v>
      </c>
    </row>
    <row r="1434" spans="1:2" x14ac:dyDescent="0.25">
      <c r="A1434" s="36">
        <v>30707172769</v>
      </c>
      <c r="B1434" t="s">
        <v>275</v>
      </c>
    </row>
    <row r="1435" spans="1:2" x14ac:dyDescent="0.25">
      <c r="A1435" s="36">
        <v>30712246428</v>
      </c>
      <c r="B1435" t="s">
        <v>1424</v>
      </c>
    </row>
    <row r="1436" spans="1:2" x14ac:dyDescent="0.25">
      <c r="A1436" s="36">
        <v>30712246428</v>
      </c>
      <c r="B1436" t="s">
        <v>1424</v>
      </c>
    </row>
    <row r="1437" spans="1:2" x14ac:dyDescent="0.25">
      <c r="A1437" s="36">
        <v>30715884026</v>
      </c>
      <c r="B1437" t="s">
        <v>276</v>
      </c>
    </row>
    <row r="1438" spans="1:2" x14ac:dyDescent="0.25">
      <c r="A1438" s="36">
        <v>33635997929</v>
      </c>
      <c r="B1438" t="s">
        <v>277</v>
      </c>
    </row>
    <row r="1439" spans="1:2" x14ac:dyDescent="0.25">
      <c r="A1439" s="36">
        <v>30708540141</v>
      </c>
      <c r="B1439" t="s">
        <v>278</v>
      </c>
    </row>
    <row r="1440" spans="1:2" x14ac:dyDescent="0.25">
      <c r="A1440" s="36">
        <v>30631965284</v>
      </c>
      <c r="B1440" t="s">
        <v>281</v>
      </c>
    </row>
    <row r="1441" spans="1:2" x14ac:dyDescent="0.25">
      <c r="A1441" s="36">
        <v>33685799559</v>
      </c>
      <c r="B1441" t="s">
        <v>282</v>
      </c>
    </row>
    <row r="1442" spans="1:2" x14ac:dyDescent="0.25">
      <c r="A1442" s="36">
        <v>30717334090</v>
      </c>
      <c r="B1442" t="s">
        <v>284</v>
      </c>
    </row>
    <row r="1443" spans="1:2" x14ac:dyDescent="0.25">
      <c r="A1443" s="36">
        <v>26206162</v>
      </c>
      <c r="B1443" t="s">
        <v>1331</v>
      </c>
    </row>
    <row r="1444" spans="1:2" x14ac:dyDescent="0.25">
      <c r="A1444" s="36">
        <v>26206162</v>
      </c>
      <c r="B1444" t="s">
        <v>1331</v>
      </c>
    </row>
    <row r="1445" spans="1:2" x14ac:dyDescent="0.25">
      <c r="A1445" s="36">
        <v>20223654151</v>
      </c>
      <c r="B1445" t="s">
        <v>285</v>
      </c>
    </row>
    <row r="1446" spans="1:2" x14ac:dyDescent="0.25">
      <c r="A1446" s="36">
        <v>20085058321</v>
      </c>
      <c r="B1446" t="s">
        <v>287</v>
      </c>
    </row>
    <row r="1447" spans="1:2" x14ac:dyDescent="0.25">
      <c r="A1447" s="36">
        <v>27266689875</v>
      </c>
      <c r="B1447" t="s">
        <v>1181</v>
      </c>
    </row>
    <row r="1448" spans="1:2" x14ac:dyDescent="0.25">
      <c r="A1448" s="36">
        <v>27266689875</v>
      </c>
      <c r="B1448" t="s">
        <v>1181</v>
      </c>
    </row>
    <row r="1449" spans="1:2" x14ac:dyDescent="0.25">
      <c r="A1449" s="36">
        <v>27266689875</v>
      </c>
      <c r="B1449" t="s">
        <v>1181</v>
      </c>
    </row>
    <row r="1450" spans="1:2" x14ac:dyDescent="0.25">
      <c r="A1450" s="36">
        <v>27266689875</v>
      </c>
      <c r="B1450" t="s">
        <v>1181</v>
      </c>
    </row>
    <row r="1451" spans="1:2" x14ac:dyDescent="0.25">
      <c r="A1451" s="36">
        <v>30707763864</v>
      </c>
      <c r="B1451" t="s">
        <v>288</v>
      </c>
    </row>
    <row r="1452" spans="1:2" x14ac:dyDescent="0.25">
      <c r="A1452" s="36">
        <v>30711720169</v>
      </c>
      <c r="B1452" t="s">
        <v>1477</v>
      </c>
    </row>
    <row r="1453" spans="1:2" x14ac:dyDescent="0.25">
      <c r="A1453" s="36">
        <v>30702232046</v>
      </c>
      <c r="B1453" t="s">
        <v>289</v>
      </c>
    </row>
    <row r="1454" spans="1:2" x14ac:dyDescent="0.25">
      <c r="A1454" s="36">
        <v>23220104389</v>
      </c>
      <c r="B1454" t="s">
        <v>290</v>
      </c>
    </row>
    <row r="1455" spans="1:2" x14ac:dyDescent="0.25">
      <c r="A1455" s="36">
        <v>30714185574</v>
      </c>
      <c r="B1455" t="s">
        <v>291</v>
      </c>
    </row>
    <row r="1456" spans="1:2" x14ac:dyDescent="0.25">
      <c r="A1456" s="36">
        <v>30715219014</v>
      </c>
      <c r="B1456" t="s">
        <v>1471</v>
      </c>
    </row>
    <row r="1457" spans="1:2" x14ac:dyDescent="0.25">
      <c r="A1457" s="36">
        <v>30710802404</v>
      </c>
      <c r="B1457" t="s">
        <v>1437</v>
      </c>
    </row>
    <row r="1458" spans="1:2" x14ac:dyDescent="0.25">
      <c r="A1458" s="36">
        <v>30710802404</v>
      </c>
      <c r="B1458" t="s">
        <v>1437</v>
      </c>
    </row>
    <row r="1459" spans="1:2" x14ac:dyDescent="0.25">
      <c r="A1459" s="36">
        <v>30715433245</v>
      </c>
      <c r="B1459" t="s">
        <v>292</v>
      </c>
    </row>
    <row r="1460" spans="1:2" x14ac:dyDescent="0.25">
      <c r="A1460" s="36">
        <v>30707918914</v>
      </c>
      <c r="B1460" t="s">
        <v>293</v>
      </c>
    </row>
    <row r="1461" spans="1:2" x14ac:dyDescent="0.25">
      <c r="A1461" s="36">
        <v>30716365162</v>
      </c>
      <c r="B1461" t="s">
        <v>294</v>
      </c>
    </row>
    <row r="1462" spans="1:2" x14ac:dyDescent="0.25">
      <c r="A1462" s="36">
        <v>30711604703</v>
      </c>
      <c r="B1462" t="s">
        <v>1184</v>
      </c>
    </row>
    <row r="1463" spans="1:2" x14ac:dyDescent="0.25">
      <c r="A1463" s="36">
        <v>30711604703</v>
      </c>
      <c r="B1463" t="s">
        <v>1184</v>
      </c>
    </row>
    <row r="1464" spans="1:2" x14ac:dyDescent="0.25">
      <c r="A1464" s="36">
        <v>30686216019</v>
      </c>
      <c r="B1464" t="s">
        <v>295</v>
      </c>
    </row>
    <row r="1465" spans="1:2" x14ac:dyDescent="0.25">
      <c r="A1465" s="36">
        <v>20188295526</v>
      </c>
      <c r="B1465" t="s">
        <v>1483</v>
      </c>
    </row>
    <row r="1466" spans="1:2" x14ac:dyDescent="0.25">
      <c r="A1466" s="36">
        <v>20161920291</v>
      </c>
      <c r="B1466" t="s">
        <v>296</v>
      </c>
    </row>
    <row r="1467" spans="1:2" x14ac:dyDescent="0.25">
      <c r="A1467" s="36">
        <v>20082440314</v>
      </c>
      <c r="B1467" t="s">
        <v>297</v>
      </c>
    </row>
    <row r="1468" spans="1:2" x14ac:dyDescent="0.25">
      <c r="A1468" s="36">
        <v>27181038727</v>
      </c>
      <c r="B1468" t="s">
        <v>298</v>
      </c>
    </row>
    <row r="1469" spans="1:2" x14ac:dyDescent="0.25">
      <c r="A1469" s="36">
        <v>30688476360</v>
      </c>
      <c r="B1469" t="s">
        <v>299</v>
      </c>
    </row>
    <row r="1470" spans="1:2" x14ac:dyDescent="0.25">
      <c r="A1470" s="36">
        <v>30709664227</v>
      </c>
      <c r="B1470" t="s">
        <v>300</v>
      </c>
    </row>
    <row r="1471" spans="1:2" x14ac:dyDescent="0.25">
      <c r="A1471" s="36">
        <v>20925719677</v>
      </c>
      <c r="B1471" t="s">
        <v>301</v>
      </c>
    </row>
    <row r="1472" spans="1:2" x14ac:dyDescent="0.25">
      <c r="A1472" s="36">
        <v>30710859465</v>
      </c>
      <c r="B1472" t="s">
        <v>302</v>
      </c>
    </row>
    <row r="1473" spans="1:2" x14ac:dyDescent="0.25">
      <c r="A1473" s="36">
        <v>30707538437</v>
      </c>
      <c r="B1473" t="s">
        <v>303</v>
      </c>
    </row>
    <row r="1474" spans="1:2" x14ac:dyDescent="0.25">
      <c r="A1474" s="36">
        <v>30714481343</v>
      </c>
      <c r="B1474" t="s">
        <v>305</v>
      </c>
    </row>
    <row r="1475" spans="1:2" x14ac:dyDescent="0.25">
      <c r="A1475" s="36">
        <v>33654138589</v>
      </c>
      <c r="B1475" t="s">
        <v>306</v>
      </c>
    </row>
    <row r="1476" spans="1:2" x14ac:dyDescent="0.25">
      <c r="A1476" s="36">
        <v>30645614735</v>
      </c>
      <c r="B1476" t="s">
        <v>307</v>
      </c>
    </row>
    <row r="1477" spans="1:2" x14ac:dyDescent="0.25">
      <c r="A1477" s="36">
        <v>30709459399</v>
      </c>
      <c r="B1477" t="s">
        <v>308</v>
      </c>
    </row>
    <row r="1478" spans="1:2" x14ac:dyDescent="0.25">
      <c r="A1478" s="36">
        <v>30682653406</v>
      </c>
      <c r="B1478" t="s">
        <v>309</v>
      </c>
    </row>
    <row r="1479" spans="1:2" x14ac:dyDescent="0.25">
      <c r="A1479" s="36">
        <v>30707439579</v>
      </c>
      <c r="B1479" t="s">
        <v>310</v>
      </c>
    </row>
    <row r="1480" spans="1:2" x14ac:dyDescent="0.25">
      <c r="A1480" s="36">
        <v>30500051163</v>
      </c>
      <c r="B1480" t="s">
        <v>311</v>
      </c>
    </row>
    <row r="1481" spans="1:2" x14ac:dyDescent="0.25">
      <c r="A1481" s="36">
        <v>30715305093</v>
      </c>
      <c r="B1481" t="s">
        <v>312</v>
      </c>
    </row>
    <row r="1482" spans="1:2" x14ac:dyDescent="0.25">
      <c r="A1482" s="36">
        <v>30663213748</v>
      </c>
      <c r="B1482" t="s">
        <v>313</v>
      </c>
    </row>
    <row r="1483" spans="1:2" x14ac:dyDescent="0.25">
      <c r="A1483" s="36">
        <v>30663213748</v>
      </c>
      <c r="B1483" t="s">
        <v>314</v>
      </c>
    </row>
    <row r="1484" spans="1:2" x14ac:dyDescent="0.25">
      <c r="A1484" s="36">
        <v>30663213748</v>
      </c>
      <c r="B1484" t="s">
        <v>314</v>
      </c>
    </row>
    <row r="1485" spans="1:2" x14ac:dyDescent="0.25">
      <c r="A1485" s="36">
        <v>30663213748</v>
      </c>
      <c r="B1485" t="s">
        <v>314</v>
      </c>
    </row>
    <row r="1486" spans="1:2" x14ac:dyDescent="0.25">
      <c r="A1486" s="36">
        <v>30714871729</v>
      </c>
      <c r="B1486" t="s">
        <v>315</v>
      </c>
    </row>
    <row r="1487" spans="1:2" x14ac:dyDescent="0.25">
      <c r="A1487" s="36">
        <v>30697583048</v>
      </c>
      <c r="B1487" t="s">
        <v>316</v>
      </c>
    </row>
    <row r="1488" spans="1:2" x14ac:dyDescent="0.25">
      <c r="A1488" s="36">
        <v>30711005966</v>
      </c>
      <c r="B1488" t="s">
        <v>1414</v>
      </c>
    </row>
    <row r="1489" spans="1:2" x14ac:dyDescent="0.25">
      <c r="A1489" s="36">
        <v>30606475558</v>
      </c>
      <c r="B1489" t="s">
        <v>317</v>
      </c>
    </row>
    <row r="1490" spans="1:2" x14ac:dyDescent="0.25">
      <c r="A1490" s="36">
        <v>33717012319</v>
      </c>
      <c r="B1490" t="s">
        <v>318</v>
      </c>
    </row>
    <row r="1491" spans="1:2" x14ac:dyDescent="0.25">
      <c r="A1491" s="36">
        <v>23225375364</v>
      </c>
      <c r="B1491" t="s">
        <v>319</v>
      </c>
    </row>
    <row r="1492" spans="1:2" x14ac:dyDescent="0.25">
      <c r="A1492" s="36">
        <v>30687091295</v>
      </c>
      <c r="B1492" t="s">
        <v>1536</v>
      </c>
    </row>
    <row r="1493" spans="1:2" x14ac:dyDescent="0.25">
      <c r="A1493" s="36">
        <v>30585254297</v>
      </c>
      <c r="B1493" t="s">
        <v>320</v>
      </c>
    </row>
    <row r="1494" spans="1:2" x14ac:dyDescent="0.25">
      <c r="A1494" s="36">
        <v>23062664444</v>
      </c>
      <c r="B1494" t="s">
        <v>321</v>
      </c>
    </row>
    <row r="1495" spans="1:2" x14ac:dyDescent="0.25">
      <c r="A1495" s="36">
        <v>30714212628</v>
      </c>
      <c r="B1495" t="s">
        <v>322</v>
      </c>
    </row>
    <row r="1496" spans="1:2" x14ac:dyDescent="0.25">
      <c r="A1496" s="36">
        <v>33708818319</v>
      </c>
      <c r="B1496" t="s">
        <v>323</v>
      </c>
    </row>
    <row r="1497" spans="1:2" x14ac:dyDescent="0.25">
      <c r="A1497" s="36">
        <v>20183150740</v>
      </c>
      <c r="B1497" t="s">
        <v>324</v>
      </c>
    </row>
    <row r="1498" spans="1:2" x14ac:dyDescent="0.25">
      <c r="A1498" s="36">
        <v>30708784067</v>
      </c>
      <c r="B1498" t="s">
        <v>1350</v>
      </c>
    </row>
    <row r="1499" spans="1:2" x14ac:dyDescent="0.25">
      <c r="A1499" s="36">
        <v>30708784067</v>
      </c>
      <c r="B1499" t="s">
        <v>1350</v>
      </c>
    </row>
    <row r="1500" spans="1:2" x14ac:dyDescent="0.25">
      <c r="A1500" s="36">
        <v>20043924312</v>
      </c>
      <c r="B1500" t="s">
        <v>325</v>
      </c>
    </row>
    <row r="1501" spans="1:2" x14ac:dyDescent="0.25">
      <c r="A1501" s="36">
        <v>20304751569</v>
      </c>
      <c r="B1501" t="s">
        <v>326</v>
      </c>
    </row>
    <row r="1502" spans="1:2" x14ac:dyDescent="0.25">
      <c r="A1502" s="36">
        <v>20121778042</v>
      </c>
      <c r="B1502" t="s">
        <v>327</v>
      </c>
    </row>
    <row r="1503" spans="1:2" x14ac:dyDescent="0.25">
      <c r="A1503" s="36">
        <v>30691251191</v>
      </c>
      <c r="B1503" t="s">
        <v>328</v>
      </c>
    </row>
    <row r="1504" spans="1:2" x14ac:dyDescent="0.25">
      <c r="A1504" s="36">
        <v>27249631413</v>
      </c>
      <c r="B1504" t="s">
        <v>329</v>
      </c>
    </row>
    <row r="1505" spans="1:3" x14ac:dyDescent="0.25">
      <c r="A1505" s="36">
        <v>30676666253</v>
      </c>
      <c r="B1505" t="s">
        <v>330</v>
      </c>
    </row>
    <row r="1506" spans="1:3" x14ac:dyDescent="0.25">
      <c r="A1506" s="36">
        <v>30708378425</v>
      </c>
      <c r="B1506" t="s">
        <v>331</v>
      </c>
    </row>
    <row r="1507" spans="1:3" x14ac:dyDescent="0.25">
      <c r="A1507" s="36">
        <v>30679107220</v>
      </c>
      <c r="B1507" t="s">
        <v>332</v>
      </c>
    </row>
    <row r="1508" spans="1:3" x14ac:dyDescent="0.25">
      <c r="A1508" s="36">
        <v>30716150042</v>
      </c>
      <c r="B1508" t="s">
        <v>333</v>
      </c>
    </row>
    <row r="1509" spans="1:3" x14ac:dyDescent="0.25">
      <c r="A1509" s="36">
        <v>20307580862</v>
      </c>
      <c r="B1509" t="s">
        <v>1501</v>
      </c>
    </row>
    <row r="1510" spans="1:3" x14ac:dyDescent="0.25">
      <c r="A1510" s="36">
        <v>20043978366</v>
      </c>
      <c r="B1510" t="s">
        <v>335</v>
      </c>
    </row>
    <row r="1511" spans="1:3" x14ac:dyDescent="0.25">
      <c r="A1511" s="36">
        <v>30653022774</v>
      </c>
      <c r="B1511" t="s">
        <v>338</v>
      </c>
    </row>
    <row r="1512" spans="1:3" x14ac:dyDescent="0.25">
      <c r="A1512" s="36">
        <v>20222524564</v>
      </c>
      <c r="B1512" t="s">
        <v>1419</v>
      </c>
      <c r="C1512" s="35" t="s">
        <v>2651</v>
      </c>
    </row>
    <row r="1513" spans="1:3" x14ac:dyDescent="0.25">
      <c r="A1513" s="36">
        <v>20222524564</v>
      </c>
      <c r="B1513" t="s">
        <v>1419</v>
      </c>
      <c r="C1513" s="35" t="s">
        <v>2651</v>
      </c>
    </row>
    <row r="1514" spans="1:3" x14ac:dyDescent="0.25">
      <c r="A1514" s="36">
        <v>3079881767</v>
      </c>
      <c r="B1514" t="s">
        <v>339</v>
      </c>
    </row>
    <row r="1515" spans="1:3" x14ac:dyDescent="0.25">
      <c r="A1515" s="36">
        <v>30715668862</v>
      </c>
      <c r="B1515" t="s">
        <v>340</v>
      </c>
    </row>
    <row r="1516" spans="1:3" x14ac:dyDescent="0.25">
      <c r="A1516" s="36">
        <v>26410585</v>
      </c>
      <c r="B1516" t="s">
        <v>1268</v>
      </c>
    </row>
    <row r="1517" spans="1:3" x14ac:dyDescent="0.25">
      <c r="A1517" s="36">
        <v>26410585</v>
      </c>
      <c r="B1517" t="s">
        <v>1268</v>
      </c>
    </row>
    <row r="1518" spans="1:3" x14ac:dyDescent="0.25">
      <c r="A1518" s="36">
        <v>30712255249</v>
      </c>
      <c r="B1518" t="s">
        <v>341</v>
      </c>
    </row>
    <row r="1519" spans="1:3" x14ac:dyDescent="0.25">
      <c r="A1519" s="36">
        <v>30678617926</v>
      </c>
      <c r="B1519" t="s">
        <v>342</v>
      </c>
    </row>
    <row r="1520" spans="1:3" x14ac:dyDescent="0.25">
      <c r="A1520" s="36">
        <v>27946127588</v>
      </c>
      <c r="B1520" t="s">
        <v>343</v>
      </c>
    </row>
    <row r="1521" spans="1:2" x14ac:dyDescent="0.25">
      <c r="A1521" s="36">
        <v>20945139855</v>
      </c>
      <c r="B1521" t="s">
        <v>345</v>
      </c>
    </row>
    <row r="1522" spans="1:2" x14ac:dyDescent="0.25">
      <c r="A1522" s="36">
        <v>20277189071</v>
      </c>
      <c r="B1522" t="s">
        <v>347</v>
      </c>
    </row>
    <row r="1523" spans="1:2" x14ac:dyDescent="0.25">
      <c r="A1523" s="36">
        <v>23223377734</v>
      </c>
      <c r="B1523" t="s">
        <v>348</v>
      </c>
    </row>
    <row r="1524" spans="1:2" x14ac:dyDescent="0.25">
      <c r="A1524" s="36">
        <v>30661041486</v>
      </c>
      <c r="B1524" t="s">
        <v>349</v>
      </c>
    </row>
    <row r="1525" spans="1:2" x14ac:dyDescent="0.25">
      <c r="A1525" s="36">
        <v>20145266522</v>
      </c>
      <c r="B1525" t="s">
        <v>350</v>
      </c>
    </row>
    <row r="1526" spans="1:2" x14ac:dyDescent="0.25">
      <c r="A1526" s="36">
        <v>27933367237</v>
      </c>
      <c r="B1526" t="s">
        <v>351</v>
      </c>
    </row>
    <row r="1527" spans="1:2" x14ac:dyDescent="0.25">
      <c r="A1527" s="36">
        <v>30612929455</v>
      </c>
      <c r="B1527" t="s">
        <v>1432</v>
      </c>
    </row>
    <row r="1528" spans="1:2" x14ac:dyDescent="0.25">
      <c r="A1528" s="36">
        <v>30612929455</v>
      </c>
      <c r="B1528" t="s">
        <v>1432</v>
      </c>
    </row>
    <row r="1529" spans="1:2" x14ac:dyDescent="0.25">
      <c r="A1529" s="36">
        <v>30710295529</v>
      </c>
      <c r="B1529" t="s">
        <v>352</v>
      </c>
    </row>
    <row r="1530" spans="1:2" x14ac:dyDescent="0.25">
      <c r="A1530" s="36">
        <v>23120106953</v>
      </c>
      <c r="B1530" t="s">
        <v>1140</v>
      </c>
    </row>
    <row r="1531" spans="1:2" x14ac:dyDescent="0.25">
      <c r="A1531" s="36">
        <v>23120106953</v>
      </c>
      <c r="B1531" t="s">
        <v>1140</v>
      </c>
    </row>
    <row r="1532" spans="1:2" x14ac:dyDescent="0.25">
      <c r="A1532" s="36">
        <v>20402302462</v>
      </c>
      <c r="B1532" t="s">
        <v>357</v>
      </c>
    </row>
    <row r="1533" spans="1:2" x14ac:dyDescent="0.25">
      <c r="A1533" s="36">
        <v>27129657710</v>
      </c>
      <c r="B1533" t="s">
        <v>359</v>
      </c>
    </row>
    <row r="1534" spans="1:2" x14ac:dyDescent="0.25">
      <c r="A1534" s="36">
        <v>30715028480</v>
      </c>
      <c r="B1534" t="s">
        <v>360</v>
      </c>
    </row>
    <row r="1535" spans="1:2" x14ac:dyDescent="0.25">
      <c r="A1535" s="36">
        <v>30716473682</v>
      </c>
      <c r="B1535" t="s">
        <v>361</v>
      </c>
    </row>
    <row r="1536" spans="1:2" x14ac:dyDescent="0.25">
      <c r="A1536" s="36">
        <v>30708326794</v>
      </c>
      <c r="B1536" t="s">
        <v>362</v>
      </c>
    </row>
    <row r="1537" spans="1:2" x14ac:dyDescent="0.25">
      <c r="A1537" s="36">
        <v>20124975035</v>
      </c>
      <c r="B1537" t="s">
        <v>363</v>
      </c>
    </row>
    <row r="1538" spans="1:2" x14ac:dyDescent="0.25">
      <c r="A1538" s="36">
        <v>30708035633</v>
      </c>
      <c r="B1538" t="s">
        <v>364</v>
      </c>
    </row>
    <row r="1539" spans="1:2" x14ac:dyDescent="0.25">
      <c r="A1539" s="36">
        <v>27061737230</v>
      </c>
      <c r="B1539" t="s">
        <v>1502</v>
      </c>
    </row>
    <row r="1540" spans="1:2" x14ac:dyDescent="0.25">
      <c r="A1540" s="36">
        <v>30711515727</v>
      </c>
      <c r="B1540" t="s">
        <v>365</v>
      </c>
    </row>
    <row r="1541" spans="1:2" x14ac:dyDescent="0.25">
      <c r="A1541" s="36">
        <v>30714647594</v>
      </c>
      <c r="B1541" t="s">
        <v>366</v>
      </c>
    </row>
    <row r="1542" spans="1:2" x14ac:dyDescent="0.25">
      <c r="A1542" s="36">
        <v>30687280438</v>
      </c>
      <c r="B1542" t="s">
        <v>367</v>
      </c>
    </row>
    <row r="1543" spans="1:2" x14ac:dyDescent="0.25">
      <c r="A1543" s="36">
        <v>30687280438</v>
      </c>
      <c r="B1543" t="s">
        <v>368</v>
      </c>
    </row>
    <row r="1544" spans="1:2" x14ac:dyDescent="0.25">
      <c r="A1544" s="36">
        <v>30708168366</v>
      </c>
      <c r="B1544" t="s">
        <v>369</v>
      </c>
    </row>
    <row r="1545" spans="1:2" x14ac:dyDescent="0.25">
      <c r="A1545" s="36">
        <v>30618850133</v>
      </c>
      <c r="B1545" t="s">
        <v>370</v>
      </c>
    </row>
    <row r="1546" spans="1:2" x14ac:dyDescent="0.25">
      <c r="A1546" s="36">
        <v>30675994915</v>
      </c>
      <c r="B1546" t="s">
        <v>1537</v>
      </c>
    </row>
    <row r="1547" spans="1:2" x14ac:dyDescent="0.25">
      <c r="A1547" s="36">
        <v>23113845554</v>
      </c>
      <c r="B1547" t="s">
        <v>371</v>
      </c>
    </row>
    <row r="1548" spans="1:2" x14ac:dyDescent="0.25">
      <c r="A1548" s="36">
        <v>30710265425</v>
      </c>
      <c r="B1548" t="s">
        <v>372</v>
      </c>
    </row>
    <row r="1549" spans="1:2" x14ac:dyDescent="0.25">
      <c r="A1549" s="36">
        <v>30547188760</v>
      </c>
      <c r="B1549" t="s">
        <v>373</v>
      </c>
    </row>
    <row r="1550" spans="1:2" x14ac:dyDescent="0.25">
      <c r="A1550" s="36">
        <v>20266711671</v>
      </c>
      <c r="B1550" t="s">
        <v>375</v>
      </c>
    </row>
    <row r="1551" spans="1:2" x14ac:dyDescent="0.25">
      <c r="A1551" s="36">
        <v>27048813181</v>
      </c>
      <c r="B1551" t="s">
        <v>376</v>
      </c>
    </row>
    <row r="1552" spans="1:2" x14ac:dyDescent="0.25">
      <c r="A1552" s="36">
        <v>20162408888</v>
      </c>
      <c r="B1552" t="s">
        <v>378</v>
      </c>
    </row>
    <row r="1553" spans="1:2" x14ac:dyDescent="0.25">
      <c r="A1553" s="36">
        <v>23277121859</v>
      </c>
      <c r="B1553" t="s">
        <v>1433</v>
      </c>
    </row>
    <row r="1554" spans="1:2" x14ac:dyDescent="0.25">
      <c r="A1554" s="36">
        <v>23277121859</v>
      </c>
      <c r="B1554" t="s">
        <v>1433</v>
      </c>
    </row>
    <row r="1555" spans="1:2" x14ac:dyDescent="0.25">
      <c r="A1555" s="36">
        <v>20256826470</v>
      </c>
      <c r="B1555" t="s">
        <v>380</v>
      </c>
    </row>
    <row r="1556" spans="1:2" x14ac:dyDescent="0.25">
      <c r="A1556" s="36">
        <v>35186493</v>
      </c>
      <c r="B1556" t="s">
        <v>1197</v>
      </c>
    </row>
    <row r="1557" spans="1:2" x14ac:dyDescent="0.25">
      <c r="A1557" s="36">
        <v>35186493</v>
      </c>
      <c r="B1557" t="s">
        <v>1197</v>
      </c>
    </row>
    <row r="1558" spans="1:2" x14ac:dyDescent="0.25">
      <c r="A1558" s="36">
        <v>37596714</v>
      </c>
      <c r="B1558" t="s">
        <v>1307</v>
      </c>
    </row>
    <row r="1559" spans="1:2" x14ac:dyDescent="0.25">
      <c r="A1559" s="36">
        <v>37596714</v>
      </c>
      <c r="B1559" t="s">
        <v>1307</v>
      </c>
    </row>
    <row r="1560" spans="1:2" x14ac:dyDescent="0.25">
      <c r="A1560" s="36">
        <v>37937689</v>
      </c>
      <c r="B1560" t="s">
        <v>1270</v>
      </c>
    </row>
    <row r="1561" spans="1:2" x14ac:dyDescent="0.25">
      <c r="A1561" s="36">
        <v>37937689</v>
      </c>
      <c r="B1561" t="s">
        <v>1270</v>
      </c>
    </row>
    <row r="1562" spans="1:2" x14ac:dyDescent="0.25">
      <c r="A1562" s="36">
        <v>37937689</v>
      </c>
      <c r="B1562" t="s">
        <v>1270</v>
      </c>
    </row>
    <row r="1563" spans="1:2" x14ac:dyDescent="0.25">
      <c r="A1563" s="36">
        <v>37937689</v>
      </c>
      <c r="B1563" t="s">
        <v>1270</v>
      </c>
    </row>
    <row r="1564" spans="1:2" x14ac:dyDescent="0.25">
      <c r="A1564" s="36">
        <v>111</v>
      </c>
      <c r="B1564" t="s">
        <v>1287</v>
      </c>
    </row>
    <row r="1565" spans="1:2" x14ac:dyDescent="0.25">
      <c r="A1565" s="36">
        <v>111</v>
      </c>
      <c r="B1565" t="s">
        <v>1287</v>
      </c>
    </row>
    <row r="1566" spans="1:2" x14ac:dyDescent="0.25">
      <c r="A1566" s="36">
        <v>30596572711</v>
      </c>
      <c r="B1566" t="s">
        <v>381</v>
      </c>
    </row>
    <row r="1567" spans="1:2" x14ac:dyDescent="0.25">
      <c r="A1567" s="36">
        <v>27258239577</v>
      </c>
      <c r="B1567" t="s">
        <v>1182</v>
      </c>
    </row>
    <row r="1568" spans="1:2" x14ac:dyDescent="0.25">
      <c r="A1568" s="36">
        <v>27258239577</v>
      </c>
      <c r="B1568" t="s">
        <v>1182</v>
      </c>
    </row>
    <row r="1569" spans="1:2" x14ac:dyDescent="0.25">
      <c r="A1569" s="36">
        <v>27321118084</v>
      </c>
      <c r="B1569" t="s">
        <v>1484</v>
      </c>
    </row>
    <row r="1570" spans="1:2" x14ac:dyDescent="0.25">
      <c r="A1570" s="36">
        <v>30716008440</v>
      </c>
      <c r="B1570" t="s">
        <v>382</v>
      </c>
    </row>
    <row r="1571" spans="1:2" x14ac:dyDescent="0.25">
      <c r="A1571" s="36">
        <v>30712222499</v>
      </c>
      <c r="B1571" t="s">
        <v>1550</v>
      </c>
    </row>
    <row r="1572" spans="1:2" x14ac:dyDescent="0.25">
      <c r="A1572" s="36">
        <v>20137542855</v>
      </c>
      <c r="B1572" t="s">
        <v>383</v>
      </c>
    </row>
    <row r="1573" spans="1:2" x14ac:dyDescent="0.25">
      <c r="A1573" s="36">
        <v>33879446</v>
      </c>
      <c r="B1573" t="s">
        <v>1314</v>
      </c>
    </row>
    <row r="1574" spans="1:2" x14ac:dyDescent="0.25">
      <c r="A1574" s="36">
        <v>33879446</v>
      </c>
      <c r="B1574" t="s">
        <v>1314</v>
      </c>
    </row>
    <row r="1575" spans="1:2" x14ac:dyDescent="0.25">
      <c r="A1575" s="36">
        <v>30714725358</v>
      </c>
      <c r="B1575" t="s">
        <v>384</v>
      </c>
    </row>
    <row r="1576" spans="1:2" x14ac:dyDescent="0.25">
      <c r="A1576" s="36">
        <v>30715952773</v>
      </c>
      <c r="B1576" t="s">
        <v>385</v>
      </c>
    </row>
    <row r="1577" spans="1:2" x14ac:dyDescent="0.25">
      <c r="A1577" s="36">
        <v>30711022461</v>
      </c>
      <c r="B1577" t="s">
        <v>386</v>
      </c>
    </row>
    <row r="1578" spans="1:2" x14ac:dyDescent="0.25">
      <c r="A1578" s="36">
        <v>20604520348</v>
      </c>
      <c r="B1578" t="s">
        <v>387</v>
      </c>
    </row>
    <row r="1579" spans="1:2" x14ac:dyDescent="0.25">
      <c r="A1579" s="36">
        <v>30694562392</v>
      </c>
      <c r="B1579" t="s">
        <v>388</v>
      </c>
    </row>
    <row r="1580" spans="1:2" x14ac:dyDescent="0.25">
      <c r="A1580" s="36">
        <v>23126017189</v>
      </c>
      <c r="B1580" t="s">
        <v>390</v>
      </c>
    </row>
    <row r="1581" spans="1:2" x14ac:dyDescent="0.25">
      <c r="A1581" s="36">
        <v>30707523839</v>
      </c>
      <c r="B1581" t="s">
        <v>391</v>
      </c>
    </row>
    <row r="1582" spans="1:2" x14ac:dyDescent="0.25">
      <c r="A1582" s="36">
        <v>27139133523</v>
      </c>
      <c r="B1582" t="s">
        <v>392</v>
      </c>
    </row>
    <row r="1583" spans="1:2" x14ac:dyDescent="0.25">
      <c r="A1583" s="36">
        <v>23084885029</v>
      </c>
      <c r="B1583" t="s">
        <v>393</v>
      </c>
    </row>
    <row r="1584" spans="1:2" x14ac:dyDescent="0.25">
      <c r="A1584" s="36">
        <v>30690082019</v>
      </c>
      <c r="B1584" t="s">
        <v>394</v>
      </c>
    </row>
    <row r="1585" spans="1:2" x14ac:dyDescent="0.25">
      <c r="A1585" s="36">
        <v>33710560299</v>
      </c>
      <c r="B1585" t="s">
        <v>395</v>
      </c>
    </row>
    <row r="1586" spans="1:2" x14ac:dyDescent="0.25">
      <c r="A1586" s="36">
        <v>30714597066</v>
      </c>
      <c r="B1586" t="s">
        <v>398</v>
      </c>
    </row>
    <row r="1587" spans="1:2" x14ac:dyDescent="0.25">
      <c r="A1587" s="36">
        <v>30700902532</v>
      </c>
      <c r="B1587" t="s">
        <v>399</v>
      </c>
    </row>
    <row r="1588" spans="1:2" x14ac:dyDescent="0.25">
      <c r="A1588" s="36">
        <v>30715685457</v>
      </c>
      <c r="B1588" t="s">
        <v>400</v>
      </c>
    </row>
    <row r="1589" spans="1:2" x14ac:dyDescent="0.25">
      <c r="A1589" s="36">
        <v>30713134704</v>
      </c>
      <c r="B1589" t="s">
        <v>402</v>
      </c>
    </row>
    <row r="1590" spans="1:2" x14ac:dyDescent="0.25">
      <c r="A1590" s="36">
        <v>30714155225</v>
      </c>
      <c r="B1590" t="s">
        <v>404</v>
      </c>
    </row>
    <row r="1591" spans="1:2" x14ac:dyDescent="0.25">
      <c r="A1591" s="36">
        <v>30714155225</v>
      </c>
      <c r="B1591" t="s">
        <v>404</v>
      </c>
    </row>
    <row r="1592" spans="1:2" x14ac:dyDescent="0.25">
      <c r="A1592" s="36">
        <v>20222545383</v>
      </c>
      <c r="B1592" t="s">
        <v>405</v>
      </c>
    </row>
    <row r="1593" spans="1:2" x14ac:dyDescent="0.25">
      <c r="A1593" s="36">
        <v>20251522899</v>
      </c>
      <c r="B1593" t="s">
        <v>1423</v>
      </c>
    </row>
    <row r="1594" spans="1:2" x14ac:dyDescent="0.25">
      <c r="A1594" s="36">
        <v>20251522899</v>
      </c>
      <c r="B1594" t="s">
        <v>1423</v>
      </c>
    </row>
    <row r="1595" spans="1:2" x14ac:dyDescent="0.25">
      <c r="A1595" s="36">
        <v>20120338529</v>
      </c>
      <c r="B1595" t="s">
        <v>406</v>
      </c>
    </row>
    <row r="1596" spans="1:2" x14ac:dyDescent="0.25">
      <c r="A1596" s="36">
        <v>20251542229</v>
      </c>
      <c r="B1596" t="s">
        <v>407</v>
      </c>
    </row>
    <row r="1597" spans="1:2" x14ac:dyDescent="0.25">
      <c r="A1597" s="36">
        <v>30715418130</v>
      </c>
      <c r="B1597" t="s">
        <v>408</v>
      </c>
    </row>
    <row r="1598" spans="1:2" x14ac:dyDescent="0.25">
      <c r="A1598" s="36">
        <v>44824322</v>
      </c>
      <c r="B1598" t="s">
        <v>1343</v>
      </c>
    </row>
    <row r="1599" spans="1:2" x14ac:dyDescent="0.25">
      <c r="A1599" s="36">
        <v>44824322</v>
      </c>
      <c r="B1599" t="s">
        <v>1343</v>
      </c>
    </row>
    <row r="1600" spans="1:2" x14ac:dyDescent="0.25">
      <c r="A1600" s="36">
        <v>30716829649</v>
      </c>
      <c r="B1600" t="s">
        <v>409</v>
      </c>
    </row>
    <row r="1601" spans="1:2" x14ac:dyDescent="0.25">
      <c r="A1601" s="36">
        <v>33710682599</v>
      </c>
      <c r="B1601" t="s">
        <v>410</v>
      </c>
    </row>
    <row r="1602" spans="1:2" x14ac:dyDescent="0.25">
      <c r="A1602" s="36">
        <v>30716288346</v>
      </c>
      <c r="B1602" t="s">
        <v>412</v>
      </c>
    </row>
    <row r="1603" spans="1:2" x14ac:dyDescent="0.25">
      <c r="A1603" s="36">
        <v>30709496294</v>
      </c>
      <c r="B1603" t="s">
        <v>1510</v>
      </c>
    </row>
    <row r="1604" spans="1:2" x14ac:dyDescent="0.25">
      <c r="A1604" s="36">
        <v>20172008241</v>
      </c>
      <c r="B1604" t="s">
        <v>415</v>
      </c>
    </row>
    <row r="1605" spans="1:2" x14ac:dyDescent="0.25">
      <c r="A1605" s="36">
        <v>20044258898</v>
      </c>
      <c r="B1605" t="s">
        <v>416</v>
      </c>
    </row>
    <row r="1606" spans="1:2" x14ac:dyDescent="0.25">
      <c r="A1606" s="36">
        <v>30715893963</v>
      </c>
      <c r="B1606" t="s">
        <v>1440</v>
      </c>
    </row>
    <row r="1607" spans="1:2" x14ac:dyDescent="0.25">
      <c r="A1607" s="36">
        <v>30715893963</v>
      </c>
      <c r="B1607" t="s">
        <v>1440</v>
      </c>
    </row>
    <row r="1608" spans="1:2" x14ac:dyDescent="0.25">
      <c r="A1608" s="36">
        <v>23265885594</v>
      </c>
      <c r="B1608" t="s">
        <v>1462</v>
      </c>
    </row>
    <row r="1609" spans="1:2" x14ac:dyDescent="0.25">
      <c r="A1609" s="36">
        <v>23265885594</v>
      </c>
      <c r="B1609" t="s">
        <v>1462</v>
      </c>
    </row>
    <row r="1610" spans="1:2" x14ac:dyDescent="0.25">
      <c r="A1610" s="36">
        <v>27328481788</v>
      </c>
      <c r="B1610" t="s">
        <v>418</v>
      </c>
    </row>
    <row r="1611" spans="1:2" x14ac:dyDescent="0.25">
      <c r="A1611" s="36">
        <v>27228778937</v>
      </c>
      <c r="B1611" t="s">
        <v>419</v>
      </c>
    </row>
    <row r="1612" spans="1:2" x14ac:dyDescent="0.25">
      <c r="A1612" s="36">
        <v>20295036460</v>
      </c>
      <c r="B1612" t="s">
        <v>420</v>
      </c>
    </row>
    <row r="1613" spans="1:2" x14ac:dyDescent="0.25">
      <c r="A1613" s="36">
        <v>27277172874</v>
      </c>
      <c r="B1613" t="s">
        <v>1474</v>
      </c>
    </row>
    <row r="1614" spans="1:2" x14ac:dyDescent="0.25">
      <c r="A1614" s="36">
        <v>20202134700</v>
      </c>
      <c r="B1614" t="s">
        <v>421</v>
      </c>
    </row>
    <row r="1615" spans="1:2" x14ac:dyDescent="0.25">
      <c r="A1615" s="36">
        <v>20125492763</v>
      </c>
      <c r="B1615" t="s">
        <v>423</v>
      </c>
    </row>
    <row r="1616" spans="1:2" x14ac:dyDescent="0.25">
      <c r="A1616" s="36">
        <v>30707963065</v>
      </c>
      <c r="B1616" t="s">
        <v>424</v>
      </c>
    </row>
    <row r="1617" spans="1:2" x14ac:dyDescent="0.25">
      <c r="A1617" s="36">
        <v>30715009826</v>
      </c>
      <c r="B1617" t="s">
        <v>425</v>
      </c>
    </row>
    <row r="1618" spans="1:2" x14ac:dyDescent="0.25">
      <c r="A1618" s="36">
        <v>30687282279</v>
      </c>
      <c r="B1618" t="s">
        <v>1416</v>
      </c>
    </row>
    <row r="1619" spans="1:2" x14ac:dyDescent="0.25">
      <c r="A1619" s="36">
        <v>30687282279</v>
      </c>
      <c r="B1619" t="s">
        <v>1416</v>
      </c>
    </row>
    <row r="1620" spans="1:2" x14ac:dyDescent="0.25">
      <c r="A1620" s="36">
        <v>38268441</v>
      </c>
      <c r="B1620" t="s">
        <v>1261</v>
      </c>
    </row>
    <row r="1621" spans="1:2" x14ac:dyDescent="0.25">
      <c r="A1621" s="36">
        <v>38268441</v>
      </c>
      <c r="B1621" t="s">
        <v>1261</v>
      </c>
    </row>
    <row r="1622" spans="1:2" x14ac:dyDescent="0.25">
      <c r="A1622" s="36">
        <v>38268441</v>
      </c>
      <c r="B1622" t="s">
        <v>1261</v>
      </c>
    </row>
    <row r="1623" spans="1:2" x14ac:dyDescent="0.25">
      <c r="A1623" s="36">
        <v>38268441</v>
      </c>
      <c r="B1623" t="s">
        <v>1261</v>
      </c>
    </row>
    <row r="1624" spans="1:2" x14ac:dyDescent="0.25">
      <c r="A1624" s="36">
        <v>38268441</v>
      </c>
      <c r="B1624" t="s">
        <v>1261</v>
      </c>
    </row>
    <row r="1625" spans="1:2" x14ac:dyDescent="0.25">
      <c r="A1625" s="36">
        <v>38268441</v>
      </c>
      <c r="B1625" t="s">
        <v>1261</v>
      </c>
    </row>
    <row r="1626" spans="1:2" x14ac:dyDescent="0.25">
      <c r="A1626" s="36">
        <v>30568557464</v>
      </c>
      <c r="B1626" t="s">
        <v>427</v>
      </c>
    </row>
    <row r="1627" spans="1:2" x14ac:dyDescent="0.25">
      <c r="A1627" s="36">
        <v>29561228</v>
      </c>
      <c r="B1627" t="s">
        <v>1311</v>
      </c>
    </row>
    <row r="1628" spans="1:2" x14ac:dyDescent="0.25">
      <c r="A1628" s="36">
        <v>29561228</v>
      </c>
      <c r="B1628" t="s">
        <v>1311</v>
      </c>
    </row>
    <row r="1629" spans="1:2" x14ac:dyDescent="0.25">
      <c r="A1629" s="36">
        <v>20217508992</v>
      </c>
      <c r="B1629" t="s">
        <v>428</v>
      </c>
    </row>
    <row r="1630" spans="1:2" x14ac:dyDescent="0.25">
      <c r="A1630" s="36">
        <v>40233550</v>
      </c>
      <c r="B1630" t="s">
        <v>1243</v>
      </c>
    </row>
    <row r="1631" spans="1:2" x14ac:dyDescent="0.25">
      <c r="A1631" s="36">
        <v>40233550</v>
      </c>
      <c r="B1631" t="s">
        <v>1243</v>
      </c>
    </row>
    <row r="1632" spans="1:2" x14ac:dyDescent="0.25">
      <c r="A1632" s="36">
        <v>40233550</v>
      </c>
      <c r="B1632" t="s">
        <v>1243</v>
      </c>
    </row>
    <row r="1633" spans="1:2" x14ac:dyDescent="0.25">
      <c r="A1633" s="36">
        <v>40233550</v>
      </c>
      <c r="B1633" t="s">
        <v>1243</v>
      </c>
    </row>
    <row r="1634" spans="1:2" x14ac:dyDescent="0.25">
      <c r="A1634" s="36">
        <v>26195323</v>
      </c>
      <c r="B1634" t="s">
        <v>1319</v>
      </c>
    </row>
    <row r="1635" spans="1:2" x14ac:dyDescent="0.25">
      <c r="A1635" s="36">
        <v>26195323</v>
      </c>
      <c r="B1635" t="s">
        <v>1319</v>
      </c>
    </row>
    <row r="1636" spans="1:2" x14ac:dyDescent="0.25">
      <c r="A1636" s="36">
        <v>111</v>
      </c>
      <c r="B1636" t="s">
        <v>1292</v>
      </c>
    </row>
    <row r="1637" spans="1:2" x14ac:dyDescent="0.25">
      <c r="A1637" s="36">
        <v>111</v>
      </c>
      <c r="B1637" t="s">
        <v>1292</v>
      </c>
    </row>
    <row r="1638" spans="1:2" x14ac:dyDescent="0.25">
      <c r="A1638" s="36">
        <v>20206464519</v>
      </c>
      <c r="B1638" t="s">
        <v>430</v>
      </c>
    </row>
    <row r="1639" spans="1:2" x14ac:dyDescent="0.25">
      <c r="A1639" s="36">
        <v>30714625892</v>
      </c>
      <c r="B1639" t="s">
        <v>431</v>
      </c>
    </row>
    <row r="1640" spans="1:2" x14ac:dyDescent="0.25">
      <c r="A1640" s="36">
        <v>20361558228</v>
      </c>
      <c r="B1640" t="s">
        <v>433</v>
      </c>
    </row>
    <row r="1641" spans="1:2" x14ac:dyDescent="0.25">
      <c r="A1641" s="36">
        <v>30710377223</v>
      </c>
      <c r="B1641" t="s">
        <v>434</v>
      </c>
    </row>
    <row r="1642" spans="1:2" x14ac:dyDescent="0.25">
      <c r="A1642" s="36">
        <v>30617095463</v>
      </c>
      <c r="B1642" t="s">
        <v>436</v>
      </c>
    </row>
    <row r="1643" spans="1:2" x14ac:dyDescent="0.25">
      <c r="A1643" s="36">
        <v>20256122333</v>
      </c>
      <c r="B1643" t="s">
        <v>437</v>
      </c>
    </row>
    <row r="1644" spans="1:2" x14ac:dyDescent="0.25">
      <c r="A1644" s="36">
        <v>30709982326</v>
      </c>
      <c r="B1644" t="s">
        <v>438</v>
      </c>
    </row>
    <row r="1645" spans="1:2" x14ac:dyDescent="0.25">
      <c r="A1645" s="36">
        <v>20103906149</v>
      </c>
      <c r="B1645" t="s">
        <v>1442</v>
      </c>
    </row>
    <row r="1646" spans="1:2" x14ac:dyDescent="0.25">
      <c r="A1646" s="36">
        <v>20103906149</v>
      </c>
      <c r="B1646" t="s">
        <v>1442</v>
      </c>
    </row>
    <row r="1647" spans="1:2" x14ac:dyDescent="0.25">
      <c r="A1647" s="36">
        <v>30710051247</v>
      </c>
      <c r="B1647" t="s">
        <v>442</v>
      </c>
    </row>
    <row r="1648" spans="1:2" x14ac:dyDescent="0.25">
      <c r="A1648" s="36">
        <v>30708655410</v>
      </c>
      <c r="B1648" t="s">
        <v>445</v>
      </c>
    </row>
    <row r="1649" spans="1:2" x14ac:dyDescent="0.25">
      <c r="A1649" s="36">
        <v>30715705946</v>
      </c>
      <c r="B1649" t="s">
        <v>1500</v>
      </c>
    </row>
    <row r="1650" spans="1:2" x14ac:dyDescent="0.25">
      <c r="A1650" s="36">
        <v>30546771314</v>
      </c>
      <c r="B1650" t="s">
        <v>446</v>
      </c>
    </row>
    <row r="1651" spans="1:2" x14ac:dyDescent="0.25">
      <c r="A1651" s="36">
        <v>20103955395</v>
      </c>
      <c r="B1651" t="s">
        <v>447</v>
      </c>
    </row>
    <row r="1652" spans="1:2" x14ac:dyDescent="0.25">
      <c r="A1652" s="36">
        <v>20229907523</v>
      </c>
      <c r="B1652" t="s">
        <v>448</v>
      </c>
    </row>
    <row r="1653" spans="1:2" x14ac:dyDescent="0.25">
      <c r="A1653" s="36">
        <v>30714352535</v>
      </c>
      <c r="B1653" t="s">
        <v>449</v>
      </c>
    </row>
    <row r="1654" spans="1:2" x14ac:dyDescent="0.25">
      <c r="A1654" s="36">
        <v>30709932876</v>
      </c>
      <c r="B1654" t="s">
        <v>1138</v>
      </c>
    </row>
    <row r="1655" spans="1:2" x14ac:dyDescent="0.25">
      <c r="A1655" s="36">
        <v>30709932876</v>
      </c>
      <c r="B1655" t="s">
        <v>1138</v>
      </c>
    </row>
    <row r="1656" spans="1:2" x14ac:dyDescent="0.25">
      <c r="A1656" s="36">
        <v>30709932876</v>
      </c>
      <c r="B1656" t="s">
        <v>1389</v>
      </c>
    </row>
    <row r="1657" spans="1:2" x14ac:dyDescent="0.25">
      <c r="A1657" s="36">
        <v>30709932876</v>
      </c>
      <c r="B1657" t="s">
        <v>1389</v>
      </c>
    </row>
    <row r="1658" spans="1:2" x14ac:dyDescent="0.25">
      <c r="A1658" s="36">
        <v>30709319929</v>
      </c>
      <c r="B1658" t="s">
        <v>92</v>
      </c>
    </row>
    <row r="1659" spans="1:2" x14ac:dyDescent="0.25">
      <c r="A1659" s="36">
        <v>30709282588</v>
      </c>
      <c r="B1659" t="s">
        <v>452</v>
      </c>
    </row>
    <row r="1660" spans="1:2" x14ac:dyDescent="0.25">
      <c r="A1660" s="36">
        <v>30712800700</v>
      </c>
      <c r="B1660" t="s">
        <v>453</v>
      </c>
    </row>
    <row r="1661" spans="1:2" x14ac:dyDescent="0.25">
      <c r="A1661" s="36">
        <v>20044415195</v>
      </c>
      <c r="B1661" t="s">
        <v>454</v>
      </c>
    </row>
    <row r="1662" spans="1:2" x14ac:dyDescent="0.25">
      <c r="A1662" s="36">
        <v>30715686054</v>
      </c>
      <c r="B1662" t="s">
        <v>455</v>
      </c>
    </row>
    <row r="1663" spans="1:2" x14ac:dyDescent="0.25">
      <c r="A1663" s="36">
        <v>23126008929</v>
      </c>
      <c r="B1663" t="s">
        <v>457</v>
      </c>
    </row>
    <row r="1664" spans="1:2" x14ac:dyDescent="0.25">
      <c r="A1664" s="36">
        <v>27119872311</v>
      </c>
      <c r="B1664" t="s">
        <v>458</v>
      </c>
    </row>
    <row r="1665" spans="1:3" x14ac:dyDescent="0.25">
      <c r="A1665" s="36">
        <v>27144787019</v>
      </c>
      <c r="B1665" t="s">
        <v>459</v>
      </c>
    </row>
    <row r="1666" spans="1:3" x14ac:dyDescent="0.25">
      <c r="A1666" s="36">
        <v>32290050</v>
      </c>
      <c r="B1666" t="s">
        <v>1337</v>
      </c>
    </row>
    <row r="1667" spans="1:3" x14ac:dyDescent="0.25">
      <c r="A1667" s="36">
        <v>26558560</v>
      </c>
      <c r="B1667" t="s">
        <v>1258</v>
      </c>
    </row>
    <row r="1668" spans="1:3" x14ac:dyDescent="0.25">
      <c r="A1668" s="36">
        <v>26558560</v>
      </c>
      <c r="B1668" t="s">
        <v>1258</v>
      </c>
    </row>
    <row r="1669" spans="1:3" x14ac:dyDescent="0.25">
      <c r="A1669" s="36">
        <v>16826280</v>
      </c>
      <c r="B1669" t="s">
        <v>1253</v>
      </c>
    </row>
    <row r="1670" spans="1:3" x14ac:dyDescent="0.25">
      <c r="A1670" s="36">
        <v>16826280</v>
      </c>
      <c r="B1670" t="s">
        <v>1253</v>
      </c>
    </row>
    <row r="1671" spans="1:3" x14ac:dyDescent="0.25">
      <c r="A1671" s="36">
        <v>20117741398</v>
      </c>
      <c r="B1671" t="s">
        <v>460</v>
      </c>
    </row>
    <row r="1672" spans="1:3" x14ac:dyDescent="0.25">
      <c r="A1672" s="36">
        <v>30707661492</v>
      </c>
      <c r="B1672" t="s">
        <v>461</v>
      </c>
    </row>
    <row r="1673" spans="1:3" x14ac:dyDescent="0.25">
      <c r="A1673" s="36">
        <v>30716425165</v>
      </c>
      <c r="B1673" t="s">
        <v>1528</v>
      </c>
      <c r="C1673" s="35" t="s">
        <v>111</v>
      </c>
    </row>
    <row r="1674" spans="1:3" x14ac:dyDescent="0.25">
      <c r="A1674" s="36">
        <v>30715944738</v>
      </c>
      <c r="B1674" t="s">
        <v>463</v>
      </c>
    </row>
    <row r="1675" spans="1:3" x14ac:dyDescent="0.25">
      <c r="A1675" s="36">
        <v>20930929981</v>
      </c>
      <c r="B1675" t="s">
        <v>464</v>
      </c>
    </row>
    <row r="1676" spans="1:3" x14ac:dyDescent="0.25">
      <c r="A1676" s="36">
        <v>20261582520</v>
      </c>
      <c r="B1676" t="s">
        <v>466</v>
      </c>
    </row>
    <row r="1677" spans="1:3" x14ac:dyDescent="0.25">
      <c r="A1677" s="36">
        <v>30520045798</v>
      </c>
      <c r="B1677" t="s">
        <v>468</v>
      </c>
    </row>
    <row r="1678" spans="1:3" x14ac:dyDescent="0.25">
      <c r="A1678" s="36">
        <v>20083339293</v>
      </c>
      <c r="B1678" t="s">
        <v>469</v>
      </c>
    </row>
    <row r="1679" spans="1:3" x14ac:dyDescent="0.25">
      <c r="A1679" s="36">
        <v>30716099667</v>
      </c>
      <c r="B1679" t="s">
        <v>470</v>
      </c>
    </row>
    <row r="1680" spans="1:3" x14ac:dyDescent="0.25">
      <c r="A1680" s="36">
        <v>30709016012</v>
      </c>
      <c r="B1680" t="s">
        <v>471</v>
      </c>
    </row>
    <row r="1681" spans="1:2" x14ac:dyDescent="0.25">
      <c r="A1681" s="36">
        <v>20946785300</v>
      </c>
      <c r="B1681" t="s">
        <v>1150</v>
      </c>
    </row>
    <row r="1682" spans="1:2" x14ac:dyDescent="0.25">
      <c r="A1682" s="36">
        <v>20946785300</v>
      </c>
      <c r="B1682" t="s">
        <v>1150</v>
      </c>
    </row>
    <row r="1683" spans="1:2" x14ac:dyDescent="0.25">
      <c r="A1683" s="36">
        <v>31915229</v>
      </c>
      <c r="B1683" t="s">
        <v>1286</v>
      </c>
    </row>
    <row r="1684" spans="1:2" x14ac:dyDescent="0.25">
      <c r="A1684" s="36">
        <v>31915229</v>
      </c>
      <c r="B1684" t="s">
        <v>1286</v>
      </c>
    </row>
    <row r="1685" spans="1:2" x14ac:dyDescent="0.25">
      <c r="A1685" s="36">
        <v>31915229</v>
      </c>
      <c r="B1685" t="s">
        <v>1286</v>
      </c>
    </row>
    <row r="1686" spans="1:2" x14ac:dyDescent="0.25">
      <c r="A1686" s="36">
        <v>31915229</v>
      </c>
      <c r="B1686" t="s">
        <v>1286</v>
      </c>
    </row>
    <row r="1687" spans="1:2" x14ac:dyDescent="0.25">
      <c r="A1687" s="36">
        <v>20937793252</v>
      </c>
      <c r="B1687" t="s">
        <v>473</v>
      </c>
    </row>
    <row r="1688" spans="1:2" x14ac:dyDescent="0.25">
      <c r="A1688" s="36">
        <v>20171635285</v>
      </c>
      <c r="B1688" t="s">
        <v>474</v>
      </c>
    </row>
    <row r="1689" spans="1:2" x14ac:dyDescent="0.25">
      <c r="A1689" s="36">
        <v>33714063079</v>
      </c>
      <c r="B1689" t="s">
        <v>476</v>
      </c>
    </row>
    <row r="1690" spans="1:2" x14ac:dyDescent="0.25">
      <c r="A1690" s="36">
        <v>30708784067</v>
      </c>
      <c r="B1690" t="s">
        <v>1360</v>
      </c>
    </row>
    <row r="1691" spans="1:2" x14ac:dyDescent="0.25">
      <c r="A1691" s="36">
        <v>30708784067</v>
      </c>
      <c r="B1691" t="s">
        <v>1360</v>
      </c>
    </row>
    <row r="1692" spans="1:2" x14ac:dyDescent="0.25">
      <c r="A1692" s="36">
        <v>30708994924</v>
      </c>
      <c r="B1692" t="s">
        <v>1187</v>
      </c>
    </row>
    <row r="1693" spans="1:2" x14ac:dyDescent="0.25">
      <c r="A1693" s="36">
        <v>30708994924</v>
      </c>
      <c r="B1693" t="s">
        <v>1187</v>
      </c>
    </row>
    <row r="1694" spans="1:2" x14ac:dyDescent="0.25">
      <c r="A1694" s="36">
        <v>30715065556</v>
      </c>
      <c r="B1694" t="s">
        <v>477</v>
      </c>
    </row>
    <row r="1695" spans="1:2" x14ac:dyDescent="0.25">
      <c r="A1695" s="36">
        <v>20147439882</v>
      </c>
      <c r="B1695" t="s">
        <v>478</v>
      </c>
    </row>
    <row r="1696" spans="1:2" x14ac:dyDescent="0.25">
      <c r="A1696" s="36">
        <v>20283215343</v>
      </c>
      <c r="B1696" t="s">
        <v>479</v>
      </c>
    </row>
    <row r="1697" spans="1:2" x14ac:dyDescent="0.25">
      <c r="A1697" s="36">
        <v>20116341566</v>
      </c>
      <c r="B1697" t="s">
        <v>480</v>
      </c>
    </row>
    <row r="1698" spans="1:2" x14ac:dyDescent="0.25">
      <c r="A1698" s="36">
        <v>20331936910</v>
      </c>
      <c r="B1698" t="s">
        <v>481</v>
      </c>
    </row>
    <row r="1699" spans="1:2" x14ac:dyDescent="0.25">
      <c r="A1699" s="36">
        <v>27249624298</v>
      </c>
      <c r="B1699" t="s">
        <v>482</v>
      </c>
    </row>
    <row r="1700" spans="1:2" x14ac:dyDescent="0.25">
      <c r="A1700" s="36">
        <v>20205862243</v>
      </c>
      <c r="B1700" t="s">
        <v>483</v>
      </c>
    </row>
    <row r="1701" spans="1:2" x14ac:dyDescent="0.25">
      <c r="A1701" s="36">
        <v>27182974922</v>
      </c>
      <c r="B1701" t="s">
        <v>484</v>
      </c>
    </row>
    <row r="1702" spans="1:2" x14ac:dyDescent="0.25">
      <c r="A1702" s="36">
        <v>20400073776</v>
      </c>
      <c r="B1702" t="s">
        <v>1164</v>
      </c>
    </row>
    <row r="1703" spans="1:2" x14ac:dyDescent="0.25">
      <c r="A1703" s="36">
        <v>20400073776</v>
      </c>
      <c r="B1703" t="s">
        <v>1380</v>
      </c>
    </row>
    <row r="1704" spans="1:2" x14ac:dyDescent="0.25">
      <c r="A1704" s="36">
        <v>20400073776</v>
      </c>
      <c r="B1704" t="s">
        <v>1164</v>
      </c>
    </row>
    <row r="1705" spans="1:2" x14ac:dyDescent="0.25">
      <c r="A1705" s="36">
        <v>20400073776</v>
      </c>
      <c r="B1705" t="s">
        <v>1380</v>
      </c>
    </row>
    <row r="1706" spans="1:2" x14ac:dyDescent="0.25">
      <c r="A1706" s="36">
        <v>20120766598</v>
      </c>
      <c r="B1706" t="s">
        <v>488</v>
      </c>
    </row>
    <row r="1707" spans="1:2" x14ac:dyDescent="0.25">
      <c r="A1707" s="36">
        <v>20959609013</v>
      </c>
      <c r="B1707" t="s">
        <v>489</v>
      </c>
    </row>
    <row r="1708" spans="1:2" x14ac:dyDescent="0.25">
      <c r="A1708" s="36">
        <v>20141339517</v>
      </c>
      <c r="B1708" t="s">
        <v>490</v>
      </c>
    </row>
    <row r="1709" spans="1:2" x14ac:dyDescent="0.25">
      <c r="A1709" s="36">
        <v>30535101902</v>
      </c>
      <c r="B1709" t="s">
        <v>492</v>
      </c>
    </row>
    <row r="1710" spans="1:2" x14ac:dyDescent="0.25">
      <c r="A1710" s="36">
        <v>30500858628</v>
      </c>
      <c r="B1710" t="s">
        <v>93</v>
      </c>
    </row>
    <row r="1711" spans="1:2" x14ac:dyDescent="0.25">
      <c r="A1711" s="36">
        <v>30522982225</v>
      </c>
      <c r="B1711" t="s">
        <v>494</v>
      </c>
    </row>
    <row r="1712" spans="1:2" x14ac:dyDescent="0.25">
      <c r="A1712" s="36">
        <v>20295036460</v>
      </c>
      <c r="B1712" t="s">
        <v>495</v>
      </c>
    </row>
    <row r="1713" spans="1:2" x14ac:dyDescent="0.25">
      <c r="A1713" s="36">
        <v>23120821539</v>
      </c>
      <c r="B1713" t="s">
        <v>496</v>
      </c>
    </row>
    <row r="1714" spans="1:2" x14ac:dyDescent="0.25">
      <c r="A1714" s="36">
        <v>22993607</v>
      </c>
      <c r="B1714" t="s">
        <v>1312</v>
      </c>
    </row>
    <row r="1715" spans="1:2" x14ac:dyDescent="0.25">
      <c r="A1715" s="36">
        <v>22993607</v>
      </c>
      <c r="B1715" t="s">
        <v>1312</v>
      </c>
    </row>
    <row r="1716" spans="1:2" x14ac:dyDescent="0.25">
      <c r="A1716" s="36">
        <v>345698745</v>
      </c>
      <c r="B1716" t="s">
        <v>1275</v>
      </c>
    </row>
    <row r="1717" spans="1:2" x14ac:dyDescent="0.25">
      <c r="A1717" s="36">
        <v>31920868</v>
      </c>
      <c r="B1717" t="s">
        <v>1275</v>
      </c>
    </row>
    <row r="1718" spans="1:2" x14ac:dyDescent="0.25">
      <c r="A1718" s="36">
        <v>345698745</v>
      </c>
      <c r="B1718" t="s">
        <v>1275</v>
      </c>
    </row>
    <row r="1719" spans="1:2" x14ac:dyDescent="0.25">
      <c r="A1719" s="36">
        <v>31920868</v>
      </c>
      <c r="B1719" t="s">
        <v>1275</v>
      </c>
    </row>
    <row r="1720" spans="1:2" x14ac:dyDescent="0.25">
      <c r="A1720" s="36">
        <v>23127284369</v>
      </c>
      <c r="B1720" t="s">
        <v>1362</v>
      </c>
    </row>
    <row r="1721" spans="1:2" x14ac:dyDescent="0.25">
      <c r="A1721" s="36">
        <v>23127284369</v>
      </c>
      <c r="B1721" t="s">
        <v>1362</v>
      </c>
    </row>
    <row r="1722" spans="1:2" x14ac:dyDescent="0.25">
      <c r="A1722" s="36">
        <v>20076127264</v>
      </c>
      <c r="B1722" t="s">
        <v>498</v>
      </c>
    </row>
    <row r="1723" spans="1:2" x14ac:dyDescent="0.25">
      <c r="A1723" s="36">
        <v>27131715183</v>
      </c>
      <c r="B1723" t="s">
        <v>499</v>
      </c>
    </row>
    <row r="1724" spans="1:2" x14ac:dyDescent="0.25">
      <c r="A1724" s="36">
        <v>17466981</v>
      </c>
      <c r="B1724" t="s">
        <v>1344</v>
      </c>
    </row>
    <row r="1725" spans="1:2" x14ac:dyDescent="0.25">
      <c r="A1725" s="36">
        <v>17466981</v>
      </c>
      <c r="B1725" t="s">
        <v>1344</v>
      </c>
    </row>
    <row r="1726" spans="1:2" x14ac:dyDescent="0.25">
      <c r="A1726" s="36">
        <v>30715119443</v>
      </c>
      <c r="B1726" t="s">
        <v>1496</v>
      </c>
    </row>
    <row r="1727" spans="1:2" x14ac:dyDescent="0.25">
      <c r="A1727" s="36">
        <v>20179018269</v>
      </c>
      <c r="B1727" t="s">
        <v>500</v>
      </c>
    </row>
    <row r="1728" spans="1:2" x14ac:dyDescent="0.25">
      <c r="A1728" s="36">
        <v>20162452283</v>
      </c>
      <c r="B1728" t="s">
        <v>501</v>
      </c>
    </row>
    <row r="1729" spans="1:2" x14ac:dyDescent="0.25">
      <c r="A1729" s="36">
        <v>42043394</v>
      </c>
      <c r="B1729" t="s">
        <v>1203</v>
      </c>
    </row>
    <row r="1730" spans="1:2" x14ac:dyDescent="0.25">
      <c r="A1730" s="36">
        <v>42043394</v>
      </c>
      <c r="B1730" t="s">
        <v>1203</v>
      </c>
    </row>
    <row r="1731" spans="1:2" x14ac:dyDescent="0.25">
      <c r="A1731" s="36">
        <v>42043394</v>
      </c>
      <c r="B1731" t="s">
        <v>1203</v>
      </c>
    </row>
    <row r="1732" spans="1:2" x14ac:dyDescent="0.25">
      <c r="A1732" s="36">
        <v>42043394</v>
      </c>
      <c r="B1732" t="s">
        <v>1203</v>
      </c>
    </row>
    <row r="1733" spans="1:2" x14ac:dyDescent="0.25">
      <c r="A1733" s="36">
        <v>42043394</v>
      </c>
      <c r="B1733" t="s">
        <v>1203</v>
      </c>
    </row>
    <row r="1734" spans="1:2" x14ac:dyDescent="0.25">
      <c r="A1734" s="36">
        <v>42043394</v>
      </c>
      <c r="B1734" t="s">
        <v>1203</v>
      </c>
    </row>
    <row r="1735" spans="1:2" x14ac:dyDescent="0.25">
      <c r="A1735" s="36">
        <v>42043394</v>
      </c>
      <c r="B1735" t="s">
        <v>1203</v>
      </c>
    </row>
    <row r="1736" spans="1:2" x14ac:dyDescent="0.25">
      <c r="A1736" s="36">
        <v>42043394</v>
      </c>
      <c r="B1736" t="s">
        <v>1203</v>
      </c>
    </row>
    <row r="1737" spans="1:2" x14ac:dyDescent="0.25">
      <c r="A1737" s="36">
        <v>42043394</v>
      </c>
      <c r="B1737" t="s">
        <v>1203</v>
      </c>
    </row>
    <row r="1738" spans="1:2" x14ac:dyDescent="0.25">
      <c r="A1738" s="36">
        <v>42043394</v>
      </c>
      <c r="B1738" t="s">
        <v>1203</v>
      </c>
    </row>
    <row r="1739" spans="1:2" x14ac:dyDescent="0.25">
      <c r="A1739" s="36">
        <v>42043394</v>
      </c>
      <c r="B1739" t="s">
        <v>1203</v>
      </c>
    </row>
    <row r="1740" spans="1:2" x14ac:dyDescent="0.25">
      <c r="A1740" s="36">
        <v>42043394</v>
      </c>
      <c r="B1740" t="s">
        <v>1203</v>
      </c>
    </row>
    <row r="1741" spans="1:2" x14ac:dyDescent="0.25">
      <c r="A1741" s="36">
        <v>42043394</v>
      </c>
      <c r="B1741" t="s">
        <v>1203</v>
      </c>
    </row>
    <row r="1742" spans="1:2" x14ac:dyDescent="0.25">
      <c r="A1742" s="36">
        <v>42043394</v>
      </c>
      <c r="B1742" t="s">
        <v>1203</v>
      </c>
    </row>
    <row r="1743" spans="1:2" x14ac:dyDescent="0.25">
      <c r="A1743" s="36">
        <v>20930200035</v>
      </c>
      <c r="B1743" t="s">
        <v>502</v>
      </c>
    </row>
    <row r="1744" spans="1:2" x14ac:dyDescent="0.25">
      <c r="A1744" s="36">
        <v>20238449783</v>
      </c>
      <c r="B1744" t="s">
        <v>503</v>
      </c>
    </row>
    <row r="1745" spans="1:2" x14ac:dyDescent="0.25">
      <c r="A1745" s="36">
        <v>30708608994</v>
      </c>
      <c r="B1745" t="s">
        <v>504</v>
      </c>
    </row>
    <row r="1746" spans="1:2" x14ac:dyDescent="0.25">
      <c r="A1746" s="36">
        <v>30500786937</v>
      </c>
      <c r="B1746" t="s">
        <v>505</v>
      </c>
    </row>
    <row r="1747" spans="1:2" x14ac:dyDescent="0.25">
      <c r="A1747" s="36">
        <v>30713713909</v>
      </c>
      <c r="B1747" t="s">
        <v>506</v>
      </c>
    </row>
    <row r="1748" spans="1:2" x14ac:dyDescent="0.25">
      <c r="A1748" s="36">
        <v>33717119059</v>
      </c>
      <c r="B1748" t="s">
        <v>507</v>
      </c>
    </row>
    <row r="1749" spans="1:2" x14ac:dyDescent="0.25">
      <c r="A1749" s="36">
        <v>30632563856</v>
      </c>
      <c r="B1749" t="s">
        <v>508</v>
      </c>
    </row>
    <row r="1750" spans="1:2" x14ac:dyDescent="0.25">
      <c r="A1750" s="36">
        <v>30557676798</v>
      </c>
      <c r="B1750" t="s">
        <v>94</v>
      </c>
    </row>
    <row r="1751" spans="1:2" x14ac:dyDescent="0.25">
      <c r="A1751" s="36">
        <v>30716413817</v>
      </c>
      <c r="B1751" t="s">
        <v>1489</v>
      </c>
    </row>
    <row r="1752" spans="1:2" x14ac:dyDescent="0.25">
      <c r="A1752" s="36">
        <v>30707400591</v>
      </c>
      <c r="B1752" t="s">
        <v>509</v>
      </c>
    </row>
    <row r="1753" spans="1:2" x14ac:dyDescent="0.25">
      <c r="A1753" s="36">
        <v>30711996547</v>
      </c>
      <c r="B1753" t="s">
        <v>510</v>
      </c>
    </row>
    <row r="1754" spans="1:2" x14ac:dyDescent="0.25">
      <c r="A1754" s="36">
        <v>30715245090</v>
      </c>
      <c r="B1754" t="s">
        <v>511</v>
      </c>
    </row>
    <row r="1755" spans="1:2" x14ac:dyDescent="0.25">
      <c r="A1755" s="36">
        <v>30715742221</v>
      </c>
      <c r="B1755" t="s">
        <v>512</v>
      </c>
    </row>
    <row r="1756" spans="1:2" x14ac:dyDescent="0.25">
      <c r="A1756" s="36">
        <v>30715154400</v>
      </c>
      <c r="B1756" t="s">
        <v>513</v>
      </c>
    </row>
    <row r="1757" spans="1:2" x14ac:dyDescent="0.25">
      <c r="A1757" s="36">
        <v>27062742564</v>
      </c>
      <c r="B1757" t="s">
        <v>514</v>
      </c>
    </row>
    <row r="1758" spans="1:2" x14ac:dyDescent="0.25">
      <c r="A1758" s="36">
        <v>30573785742</v>
      </c>
      <c r="B1758" t="s">
        <v>515</v>
      </c>
    </row>
    <row r="1759" spans="1:2" x14ac:dyDescent="0.25">
      <c r="A1759" s="36">
        <v>30716113937</v>
      </c>
      <c r="B1759" t="s">
        <v>516</v>
      </c>
    </row>
    <row r="1760" spans="1:2" x14ac:dyDescent="0.25">
      <c r="A1760" s="36">
        <v>41737843</v>
      </c>
      <c r="B1760" t="s">
        <v>1345</v>
      </c>
    </row>
    <row r="1761" spans="1:2" x14ac:dyDescent="0.25">
      <c r="A1761" s="36">
        <v>41737843</v>
      </c>
      <c r="B1761" t="s">
        <v>1345</v>
      </c>
    </row>
    <row r="1762" spans="1:2" x14ac:dyDescent="0.25">
      <c r="A1762" s="36">
        <v>41737843</v>
      </c>
      <c r="B1762" t="s">
        <v>1345</v>
      </c>
    </row>
    <row r="1763" spans="1:2" x14ac:dyDescent="0.25">
      <c r="A1763" s="36">
        <v>41737843</v>
      </c>
      <c r="B1763" t="s">
        <v>1345</v>
      </c>
    </row>
    <row r="1764" spans="1:2" x14ac:dyDescent="0.25">
      <c r="A1764" s="36">
        <v>22046570</v>
      </c>
      <c r="B1764" t="s">
        <v>1346</v>
      </c>
    </row>
    <row r="1765" spans="1:2" x14ac:dyDescent="0.25">
      <c r="A1765" s="36">
        <v>22046570</v>
      </c>
      <c r="B1765" t="s">
        <v>1346</v>
      </c>
    </row>
    <row r="1766" spans="1:2" x14ac:dyDescent="0.25">
      <c r="A1766" s="36">
        <v>22046570</v>
      </c>
      <c r="B1766" t="s">
        <v>1346</v>
      </c>
    </row>
    <row r="1767" spans="1:2" x14ac:dyDescent="0.25">
      <c r="A1767" s="36">
        <v>22046570</v>
      </c>
      <c r="B1767" t="s">
        <v>1346</v>
      </c>
    </row>
    <row r="1768" spans="1:2" x14ac:dyDescent="0.25">
      <c r="A1768" s="36">
        <v>23182832324</v>
      </c>
      <c r="B1768" t="s">
        <v>517</v>
      </c>
    </row>
    <row r="1769" spans="1:2" x14ac:dyDescent="0.25">
      <c r="A1769" s="36">
        <v>20226511874</v>
      </c>
      <c r="B1769" t="s">
        <v>518</v>
      </c>
    </row>
    <row r="1770" spans="1:2" x14ac:dyDescent="0.25">
      <c r="A1770" s="36">
        <v>20205670247</v>
      </c>
      <c r="B1770" t="s">
        <v>1381</v>
      </c>
    </row>
    <row r="1771" spans="1:2" x14ac:dyDescent="0.25">
      <c r="A1771" s="36">
        <v>20205670247</v>
      </c>
      <c r="B1771" t="s">
        <v>1381</v>
      </c>
    </row>
    <row r="1772" spans="1:2" x14ac:dyDescent="0.25">
      <c r="A1772" s="36">
        <v>20241276458</v>
      </c>
      <c r="B1772" t="s">
        <v>522</v>
      </c>
    </row>
    <row r="1773" spans="1:2" x14ac:dyDescent="0.25">
      <c r="A1773" s="36">
        <v>27209563113</v>
      </c>
      <c r="B1773" t="s">
        <v>523</v>
      </c>
    </row>
    <row r="1774" spans="1:2" x14ac:dyDescent="0.25">
      <c r="A1774" s="36">
        <v>30714376523</v>
      </c>
      <c r="B1774" t="s">
        <v>524</v>
      </c>
    </row>
    <row r="1775" spans="1:2" x14ac:dyDescent="0.25">
      <c r="A1775" s="36">
        <v>20310505650</v>
      </c>
      <c r="B1775" t="s">
        <v>526</v>
      </c>
    </row>
    <row r="1776" spans="1:2" x14ac:dyDescent="0.25">
      <c r="A1776" s="36">
        <v>5944118</v>
      </c>
      <c r="B1776" t="s">
        <v>1200</v>
      </c>
    </row>
    <row r="1777" spans="1:2" x14ac:dyDescent="0.25">
      <c r="A1777" s="36">
        <v>5944118</v>
      </c>
      <c r="B1777" t="s">
        <v>1200</v>
      </c>
    </row>
    <row r="1778" spans="1:2" x14ac:dyDescent="0.25">
      <c r="A1778" s="36">
        <v>20220241212</v>
      </c>
      <c r="B1778" t="s">
        <v>529</v>
      </c>
    </row>
    <row r="1779" spans="1:2" x14ac:dyDescent="0.25">
      <c r="A1779" s="36">
        <v>30711498504</v>
      </c>
      <c r="B1779" t="s">
        <v>530</v>
      </c>
    </row>
    <row r="1780" spans="1:2" x14ac:dyDescent="0.25">
      <c r="A1780" s="36">
        <v>30707264957</v>
      </c>
      <c r="B1780" t="s">
        <v>531</v>
      </c>
    </row>
    <row r="1781" spans="1:2" x14ac:dyDescent="0.25">
      <c r="A1781" s="36">
        <v>30660489181</v>
      </c>
      <c r="B1781" t="s">
        <v>532</v>
      </c>
    </row>
    <row r="1782" spans="1:2" x14ac:dyDescent="0.25">
      <c r="A1782" s="36">
        <v>27259489976</v>
      </c>
      <c r="B1782" t="s">
        <v>533</v>
      </c>
    </row>
    <row r="1783" spans="1:2" x14ac:dyDescent="0.25">
      <c r="A1783" s="36">
        <v>30710155336</v>
      </c>
      <c r="B1783" t="s">
        <v>534</v>
      </c>
    </row>
    <row r="1784" spans="1:2" x14ac:dyDescent="0.25">
      <c r="A1784" s="36">
        <v>20334549152</v>
      </c>
      <c r="B1784" t="s">
        <v>536</v>
      </c>
    </row>
    <row r="1785" spans="1:2" x14ac:dyDescent="0.25">
      <c r="A1785" s="36">
        <v>20145637415</v>
      </c>
      <c r="B1785" t="s">
        <v>539</v>
      </c>
    </row>
    <row r="1786" spans="1:2" x14ac:dyDescent="0.25">
      <c r="A1786" s="36">
        <v>30714834300</v>
      </c>
      <c r="B1786" t="s">
        <v>540</v>
      </c>
    </row>
    <row r="1787" spans="1:2" x14ac:dyDescent="0.25">
      <c r="A1787" s="36">
        <v>30709822116</v>
      </c>
      <c r="B1787" t="s">
        <v>541</v>
      </c>
    </row>
    <row r="1788" spans="1:2" x14ac:dyDescent="0.25">
      <c r="A1788" s="36">
        <v>30714696838</v>
      </c>
      <c r="B1788" t="s">
        <v>542</v>
      </c>
    </row>
    <row r="1789" spans="1:2" x14ac:dyDescent="0.25">
      <c r="A1789" s="36">
        <v>30710332467</v>
      </c>
      <c r="B1789" t="s">
        <v>543</v>
      </c>
    </row>
    <row r="1790" spans="1:2" x14ac:dyDescent="0.25">
      <c r="A1790" s="36">
        <v>30707811540</v>
      </c>
      <c r="B1790" t="s">
        <v>544</v>
      </c>
    </row>
    <row r="1791" spans="1:2" x14ac:dyDescent="0.25">
      <c r="A1791" s="36">
        <v>20381564224</v>
      </c>
      <c r="B1791" t="s">
        <v>1526</v>
      </c>
    </row>
    <row r="1792" spans="1:2" x14ac:dyDescent="0.25">
      <c r="A1792" s="36">
        <v>20251270202</v>
      </c>
      <c r="B1792" t="s">
        <v>545</v>
      </c>
    </row>
    <row r="1793" spans="1:2" x14ac:dyDescent="0.25">
      <c r="A1793" s="36">
        <v>20298653541</v>
      </c>
      <c r="B1793" t="s">
        <v>546</v>
      </c>
    </row>
    <row r="1794" spans="1:2" x14ac:dyDescent="0.25">
      <c r="A1794" s="36">
        <v>30710731868</v>
      </c>
      <c r="B1794" t="s">
        <v>547</v>
      </c>
    </row>
    <row r="1795" spans="1:2" x14ac:dyDescent="0.25">
      <c r="A1795" s="36">
        <v>20309026897</v>
      </c>
      <c r="B1795" t="s">
        <v>1372</v>
      </c>
    </row>
    <row r="1796" spans="1:2" x14ac:dyDescent="0.25">
      <c r="A1796" s="36">
        <v>20309026897</v>
      </c>
      <c r="B1796" t="s">
        <v>1372</v>
      </c>
    </row>
    <row r="1797" spans="1:2" x14ac:dyDescent="0.25">
      <c r="A1797" s="36">
        <v>20327697324</v>
      </c>
      <c r="B1797" t="s">
        <v>548</v>
      </c>
    </row>
    <row r="1798" spans="1:2" x14ac:dyDescent="0.25">
      <c r="A1798" s="36">
        <v>30717535649</v>
      </c>
      <c r="B1798" t="s">
        <v>1127</v>
      </c>
    </row>
    <row r="1799" spans="1:2" x14ac:dyDescent="0.25">
      <c r="A1799" s="36">
        <v>30717535649</v>
      </c>
      <c r="B1799" t="s">
        <v>1127</v>
      </c>
    </row>
    <row r="1800" spans="1:2" x14ac:dyDescent="0.25">
      <c r="A1800" s="36">
        <v>30712215689</v>
      </c>
      <c r="B1800" t="s">
        <v>550</v>
      </c>
    </row>
    <row r="1801" spans="1:2" x14ac:dyDescent="0.25">
      <c r="A1801" s="36">
        <v>30712215689</v>
      </c>
      <c r="B1801" t="s">
        <v>550</v>
      </c>
    </row>
    <row r="1802" spans="1:2" x14ac:dyDescent="0.25">
      <c r="A1802" s="36">
        <v>30557807175</v>
      </c>
      <c r="B1802" t="s">
        <v>551</v>
      </c>
    </row>
    <row r="1803" spans="1:2" x14ac:dyDescent="0.25">
      <c r="A1803" s="36">
        <v>33716080809</v>
      </c>
      <c r="B1803" t="s">
        <v>553</v>
      </c>
    </row>
    <row r="1804" spans="1:2" x14ac:dyDescent="0.25">
      <c r="A1804" s="36">
        <v>23147243669</v>
      </c>
      <c r="B1804" t="s">
        <v>554</v>
      </c>
    </row>
    <row r="1805" spans="1:2" x14ac:dyDescent="0.25">
      <c r="A1805" s="36">
        <v>30715891154</v>
      </c>
      <c r="B1805" t="s">
        <v>555</v>
      </c>
    </row>
    <row r="1806" spans="1:2" x14ac:dyDescent="0.25">
      <c r="A1806" s="36">
        <v>30711180431</v>
      </c>
      <c r="B1806" t="s">
        <v>556</v>
      </c>
    </row>
    <row r="1807" spans="1:2" x14ac:dyDescent="0.25">
      <c r="A1807" s="36">
        <v>30638389548</v>
      </c>
      <c r="B1807" t="s">
        <v>557</v>
      </c>
    </row>
    <row r="1808" spans="1:2" x14ac:dyDescent="0.25">
      <c r="A1808" s="36">
        <v>30638389548</v>
      </c>
      <c r="B1808" t="s">
        <v>558</v>
      </c>
    </row>
    <row r="1809" spans="1:2" x14ac:dyDescent="0.25">
      <c r="A1809" s="36">
        <v>30691617773</v>
      </c>
      <c r="B1809" t="s">
        <v>1382</v>
      </c>
    </row>
    <row r="1810" spans="1:2" x14ac:dyDescent="0.25">
      <c r="A1810" s="36">
        <v>30691617773</v>
      </c>
      <c r="B1810" t="s">
        <v>1382</v>
      </c>
    </row>
    <row r="1811" spans="1:2" x14ac:dyDescent="0.25">
      <c r="A1811" s="36">
        <v>30691617773</v>
      </c>
      <c r="B1811" t="s">
        <v>1166</v>
      </c>
    </row>
    <row r="1812" spans="1:2" x14ac:dyDescent="0.25">
      <c r="A1812" s="36">
        <v>30691617773</v>
      </c>
      <c r="B1812" t="s">
        <v>1166</v>
      </c>
    </row>
    <row r="1813" spans="1:2" x14ac:dyDescent="0.25">
      <c r="A1813" s="36">
        <v>30686222086</v>
      </c>
      <c r="B1813" t="s">
        <v>559</v>
      </c>
    </row>
    <row r="1814" spans="1:2" x14ac:dyDescent="0.25">
      <c r="A1814" s="36">
        <v>30685437011</v>
      </c>
      <c r="B1814" t="s">
        <v>562</v>
      </c>
    </row>
    <row r="1815" spans="1:2" x14ac:dyDescent="0.25">
      <c r="A1815" s="36">
        <v>30709318965</v>
      </c>
      <c r="B1815" t="s">
        <v>563</v>
      </c>
    </row>
    <row r="1816" spans="1:2" x14ac:dyDescent="0.25">
      <c r="A1816" s="36">
        <v>30714113395</v>
      </c>
      <c r="B1816" t="s">
        <v>564</v>
      </c>
    </row>
    <row r="1817" spans="1:2" x14ac:dyDescent="0.25">
      <c r="A1817" s="36">
        <v>30715263676</v>
      </c>
      <c r="B1817" t="s">
        <v>565</v>
      </c>
    </row>
    <row r="1818" spans="1:2" x14ac:dyDescent="0.25">
      <c r="A1818" s="36">
        <v>30707846425</v>
      </c>
      <c r="B1818" t="s">
        <v>568</v>
      </c>
    </row>
    <row r="1819" spans="1:2" x14ac:dyDescent="0.25">
      <c r="A1819" s="36">
        <v>30694573173</v>
      </c>
      <c r="B1819" t="s">
        <v>569</v>
      </c>
    </row>
    <row r="1820" spans="1:2" x14ac:dyDescent="0.25">
      <c r="A1820" s="36">
        <v>30708073519</v>
      </c>
      <c r="B1820" t="s">
        <v>1480</v>
      </c>
    </row>
    <row r="1821" spans="1:2" x14ac:dyDescent="0.25">
      <c r="A1821" s="36">
        <v>30695268137</v>
      </c>
      <c r="B1821" t="s">
        <v>570</v>
      </c>
    </row>
    <row r="1822" spans="1:2" x14ac:dyDescent="0.25">
      <c r="A1822" s="36">
        <v>23068390</v>
      </c>
      <c r="B1822" t="s">
        <v>1349</v>
      </c>
    </row>
    <row r="1823" spans="1:2" x14ac:dyDescent="0.25">
      <c r="A1823" s="36">
        <v>23068390</v>
      </c>
      <c r="B1823" t="s">
        <v>1349</v>
      </c>
    </row>
    <row r="1824" spans="1:2" x14ac:dyDescent="0.25">
      <c r="A1824" s="36">
        <v>17681773</v>
      </c>
      <c r="B1824" t="s">
        <v>1348</v>
      </c>
    </row>
    <row r="1825" spans="1:2" x14ac:dyDescent="0.25">
      <c r="A1825" s="36">
        <v>17681773</v>
      </c>
      <c r="B1825" t="s">
        <v>1348</v>
      </c>
    </row>
    <row r="1826" spans="1:2" x14ac:dyDescent="0.25">
      <c r="A1826" s="36">
        <v>30500053522</v>
      </c>
      <c r="B1826" t="s">
        <v>572</v>
      </c>
    </row>
    <row r="1827" spans="1:2" x14ac:dyDescent="0.25">
      <c r="A1827" s="36">
        <v>30658137642</v>
      </c>
      <c r="B1827" t="s">
        <v>573</v>
      </c>
    </row>
    <row r="1828" spans="1:2" x14ac:dyDescent="0.25">
      <c r="A1828" s="36">
        <v>33600011869</v>
      </c>
      <c r="B1828" t="s">
        <v>574</v>
      </c>
    </row>
    <row r="1829" spans="1:2" x14ac:dyDescent="0.25">
      <c r="A1829" s="36">
        <v>30609521941</v>
      </c>
      <c r="B1829" t="s">
        <v>575</v>
      </c>
    </row>
    <row r="1830" spans="1:2" x14ac:dyDescent="0.25">
      <c r="A1830" s="36">
        <v>30590412631</v>
      </c>
      <c r="B1830" t="s">
        <v>576</v>
      </c>
    </row>
    <row r="1831" spans="1:2" x14ac:dyDescent="0.25">
      <c r="A1831" s="36">
        <v>30707006702</v>
      </c>
      <c r="B1831" t="s">
        <v>577</v>
      </c>
    </row>
    <row r="1832" spans="1:2" x14ac:dyDescent="0.25">
      <c r="A1832" s="36">
        <v>30714757012</v>
      </c>
      <c r="B1832" t="s">
        <v>578</v>
      </c>
    </row>
    <row r="1833" spans="1:2" x14ac:dyDescent="0.25">
      <c r="A1833" s="36">
        <v>30585412453</v>
      </c>
      <c r="B1833" t="s">
        <v>579</v>
      </c>
    </row>
    <row r="1834" spans="1:2" x14ac:dyDescent="0.25">
      <c r="A1834" s="36">
        <v>30546846217</v>
      </c>
      <c r="B1834" t="s">
        <v>580</v>
      </c>
    </row>
    <row r="1835" spans="1:2" x14ac:dyDescent="0.25">
      <c r="A1835" s="36">
        <v>30701783065</v>
      </c>
      <c r="B1835" t="s">
        <v>581</v>
      </c>
    </row>
    <row r="1836" spans="1:2" x14ac:dyDescent="0.25">
      <c r="A1836" s="36">
        <v>20177474844</v>
      </c>
      <c r="B1836" t="s">
        <v>583</v>
      </c>
    </row>
    <row r="1837" spans="1:2" x14ac:dyDescent="0.25">
      <c r="A1837" s="36">
        <v>30715303236</v>
      </c>
      <c r="B1837" t="s">
        <v>1864</v>
      </c>
    </row>
    <row r="1838" spans="1:2" x14ac:dyDescent="0.25">
      <c r="A1838" s="36">
        <v>20050717187</v>
      </c>
      <c r="B1838" t="s">
        <v>588</v>
      </c>
    </row>
    <row r="1839" spans="1:2" x14ac:dyDescent="0.25">
      <c r="A1839" s="36">
        <v>30708436573</v>
      </c>
      <c r="B1839" t="s">
        <v>589</v>
      </c>
    </row>
    <row r="1840" spans="1:2" x14ac:dyDescent="0.25">
      <c r="A1840" s="36">
        <v>30708436573</v>
      </c>
      <c r="B1840" t="s">
        <v>590</v>
      </c>
    </row>
    <row r="1841" spans="1:2" x14ac:dyDescent="0.25">
      <c r="A1841" s="36">
        <v>27405786066</v>
      </c>
      <c r="B1841" t="s">
        <v>592</v>
      </c>
    </row>
    <row r="1842" spans="1:2" x14ac:dyDescent="0.25">
      <c r="A1842" s="36">
        <v>3468287</v>
      </c>
      <c r="B1842" t="s">
        <v>1340</v>
      </c>
    </row>
    <row r="1843" spans="1:2" x14ac:dyDescent="0.25">
      <c r="A1843" s="36">
        <v>3468287</v>
      </c>
      <c r="B1843" t="s">
        <v>1340</v>
      </c>
    </row>
    <row r="1844" spans="1:2" x14ac:dyDescent="0.25">
      <c r="A1844" s="36">
        <v>21856835</v>
      </c>
      <c r="B1844" t="s">
        <v>1205</v>
      </c>
    </row>
    <row r="1845" spans="1:2" x14ac:dyDescent="0.25">
      <c r="A1845" s="36">
        <v>21856835</v>
      </c>
      <c r="B1845" t="s">
        <v>1205</v>
      </c>
    </row>
    <row r="1846" spans="1:2" x14ac:dyDescent="0.25">
      <c r="A1846" s="36">
        <v>21856835</v>
      </c>
      <c r="B1846" t="s">
        <v>1205</v>
      </c>
    </row>
    <row r="1847" spans="1:2" x14ac:dyDescent="0.25">
      <c r="A1847" s="36">
        <v>21856835</v>
      </c>
      <c r="B1847" t="s">
        <v>1205</v>
      </c>
    </row>
    <row r="1848" spans="1:2" x14ac:dyDescent="0.25">
      <c r="A1848" s="36">
        <v>20114990419</v>
      </c>
      <c r="B1848" t="s">
        <v>594</v>
      </c>
    </row>
    <row r="1849" spans="1:2" x14ac:dyDescent="0.25">
      <c r="A1849" s="36">
        <v>30645310361</v>
      </c>
      <c r="B1849" t="s">
        <v>595</v>
      </c>
    </row>
    <row r="1850" spans="1:2" x14ac:dyDescent="0.25">
      <c r="A1850" s="36">
        <v>30712341803</v>
      </c>
      <c r="B1850" t="s">
        <v>596</v>
      </c>
    </row>
    <row r="1851" spans="1:2" x14ac:dyDescent="0.25">
      <c r="A1851" s="36">
        <v>30550245309</v>
      </c>
      <c r="B1851" t="s">
        <v>597</v>
      </c>
    </row>
    <row r="1852" spans="1:2" x14ac:dyDescent="0.25">
      <c r="A1852" s="36">
        <v>30655042772</v>
      </c>
      <c r="B1852" t="s">
        <v>598</v>
      </c>
    </row>
    <row r="1853" spans="1:2" x14ac:dyDescent="0.25">
      <c r="A1853" s="36">
        <v>30714830453</v>
      </c>
      <c r="B1853" t="s">
        <v>599</v>
      </c>
    </row>
    <row r="1854" spans="1:2" x14ac:dyDescent="0.25">
      <c r="A1854" s="36">
        <v>30678774495</v>
      </c>
      <c r="B1854" t="s">
        <v>1391</v>
      </c>
    </row>
    <row r="1855" spans="1:2" x14ac:dyDescent="0.25">
      <c r="A1855" s="36">
        <v>30678774495</v>
      </c>
      <c r="B1855" t="s">
        <v>1391</v>
      </c>
    </row>
    <row r="1856" spans="1:2" x14ac:dyDescent="0.25">
      <c r="A1856" s="36">
        <v>30710681771</v>
      </c>
      <c r="B1856" t="s">
        <v>600</v>
      </c>
    </row>
    <row r="1857" spans="1:2" x14ac:dyDescent="0.25">
      <c r="A1857" s="36">
        <v>30709497428</v>
      </c>
      <c r="B1857" t="s">
        <v>1546</v>
      </c>
    </row>
    <row r="1858" spans="1:2" x14ac:dyDescent="0.25">
      <c r="A1858" s="36">
        <v>30688264711</v>
      </c>
      <c r="B1858" t="s">
        <v>604</v>
      </c>
    </row>
    <row r="1859" spans="1:2" x14ac:dyDescent="0.25">
      <c r="A1859" s="36">
        <v>20238751560</v>
      </c>
      <c r="B1859" t="s">
        <v>605</v>
      </c>
    </row>
    <row r="1860" spans="1:2" x14ac:dyDescent="0.25">
      <c r="A1860" s="36">
        <v>30701934195</v>
      </c>
      <c r="B1860" t="s">
        <v>609</v>
      </c>
    </row>
    <row r="1861" spans="1:2" x14ac:dyDescent="0.25">
      <c r="A1861" s="36">
        <v>20083082136</v>
      </c>
      <c r="B1861" t="s">
        <v>610</v>
      </c>
    </row>
    <row r="1862" spans="1:2" x14ac:dyDescent="0.25">
      <c r="A1862" s="36">
        <v>30711127646</v>
      </c>
      <c r="B1862" t="s">
        <v>611</v>
      </c>
    </row>
    <row r="1863" spans="1:2" x14ac:dyDescent="0.25">
      <c r="A1863" s="36">
        <v>30518922897</v>
      </c>
      <c r="B1863" t="s">
        <v>612</v>
      </c>
    </row>
    <row r="1864" spans="1:2" x14ac:dyDescent="0.25">
      <c r="A1864" s="36">
        <v>27106318900</v>
      </c>
      <c r="B1864" t="s">
        <v>613</v>
      </c>
    </row>
    <row r="1865" spans="1:2" x14ac:dyDescent="0.25">
      <c r="A1865" s="36">
        <v>20222971676</v>
      </c>
      <c r="B1865" t="s">
        <v>614</v>
      </c>
    </row>
    <row r="1866" spans="1:2" x14ac:dyDescent="0.25">
      <c r="A1866" s="36">
        <v>20178198050</v>
      </c>
      <c r="B1866" t="s">
        <v>615</v>
      </c>
    </row>
    <row r="1867" spans="1:2" x14ac:dyDescent="0.25">
      <c r="A1867" s="36">
        <v>30600271004</v>
      </c>
      <c r="B1867" t="s">
        <v>616</v>
      </c>
    </row>
    <row r="1868" spans="1:2" x14ac:dyDescent="0.25">
      <c r="A1868" s="36">
        <v>30709517976</v>
      </c>
      <c r="B1868" t="s">
        <v>619</v>
      </c>
    </row>
    <row r="1869" spans="1:2" x14ac:dyDescent="0.25">
      <c r="A1869" s="36">
        <v>30715363255</v>
      </c>
      <c r="B1869" t="s">
        <v>620</v>
      </c>
    </row>
    <row r="1870" spans="1:2" x14ac:dyDescent="0.25">
      <c r="A1870" s="36">
        <v>30709917516</v>
      </c>
      <c r="B1870" t="s">
        <v>621</v>
      </c>
    </row>
    <row r="1871" spans="1:2" x14ac:dyDescent="0.25">
      <c r="A1871" s="36">
        <v>20266254084</v>
      </c>
      <c r="B1871" t="s">
        <v>622</v>
      </c>
    </row>
    <row r="1872" spans="1:2" x14ac:dyDescent="0.25">
      <c r="A1872" s="36">
        <v>20233719618</v>
      </c>
      <c r="B1872" t="s">
        <v>623</v>
      </c>
    </row>
    <row r="1873" spans="1:2" x14ac:dyDescent="0.25">
      <c r="A1873" s="36">
        <v>30715154192</v>
      </c>
      <c r="B1873" t="s">
        <v>624</v>
      </c>
    </row>
    <row r="1874" spans="1:2" x14ac:dyDescent="0.25">
      <c r="A1874" s="36">
        <v>20181612410</v>
      </c>
      <c r="B1874" t="s">
        <v>1179</v>
      </c>
    </row>
    <row r="1875" spans="1:2" x14ac:dyDescent="0.25">
      <c r="A1875" s="36">
        <v>20181612410</v>
      </c>
      <c r="B1875" t="s">
        <v>1179</v>
      </c>
    </row>
    <row r="1876" spans="1:2" x14ac:dyDescent="0.25">
      <c r="A1876" s="36">
        <v>24928181428</v>
      </c>
      <c r="B1876" t="s">
        <v>625</v>
      </c>
    </row>
    <row r="1877" spans="1:2" x14ac:dyDescent="0.25">
      <c r="A1877" s="36">
        <v>30707801987</v>
      </c>
      <c r="B1877" t="s">
        <v>626</v>
      </c>
    </row>
    <row r="1878" spans="1:2" x14ac:dyDescent="0.25">
      <c r="A1878" s="36">
        <v>20205019775</v>
      </c>
      <c r="B1878" t="s">
        <v>627</v>
      </c>
    </row>
    <row r="1879" spans="1:2" x14ac:dyDescent="0.25">
      <c r="A1879" s="36">
        <v>31316007</v>
      </c>
      <c r="B1879" t="s">
        <v>1218</v>
      </c>
    </row>
    <row r="1880" spans="1:2" x14ac:dyDescent="0.25">
      <c r="A1880" s="36">
        <v>31316007</v>
      </c>
      <c r="B1880" t="s">
        <v>1218</v>
      </c>
    </row>
    <row r="1881" spans="1:2" x14ac:dyDescent="0.25">
      <c r="A1881" s="36">
        <v>31316007</v>
      </c>
      <c r="B1881" t="s">
        <v>1218</v>
      </c>
    </row>
    <row r="1882" spans="1:2" x14ac:dyDescent="0.25">
      <c r="A1882" s="36">
        <v>31316007</v>
      </c>
      <c r="B1882" t="s">
        <v>1218</v>
      </c>
    </row>
    <row r="1883" spans="1:2" x14ac:dyDescent="0.25">
      <c r="A1883" s="36">
        <v>31316007</v>
      </c>
      <c r="B1883" t="s">
        <v>1218</v>
      </c>
    </row>
    <row r="1884" spans="1:2" x14ac:dyDescent="0.25">
      <c r="A1884" s="36">
        <v>31316007</v>
      </c>
      <c r="B1884" t="s">
        <v>1218</v>
      </c>
    </row>
    <row r="1885" spans="1:2" x14ac:dyDescent="0.25">
      <c r="A1885" s="36">
        <v>31316007</v>
      </c>
      <c r="B1885" t="s">
        <v>1218</v>
      </c>
    </row>
    <row r="1886" spans="1:2" x14ac:dyDescent="0.25">
      <c r="A1886" s="36">
        <v>31316007</v>
      </c>
      <c r="B1886" t="s">
        <v>1218</v>
      </c>
    </row>
    <row r="1887" spans="1:2" x14ac:dyDescent="0.25">
      <c r="A1887" s="36">
        <v>30658840785</v>
      </c>
      <c r="B1887" t="s">
        <v>630</v>
      </c>
    </row>
    <row r="1888" spans="1:2" x14ac:dyDescent="0.25">
      <c r="A1888" s="36">
        <v>30696172877</v>
      </c>
      <c r="B1888" t="s">
        <v>632</v>
      </c>
    </row>
    <row r="1889" spans="1:2" x14ac:dyDescent="0.25">
      <c r="A1889" s="36">
        <v>20137411815</v>
      </c>
      <c r="B1889" t="s">
        <v>633</v>
      </c>
    </row>
    <row r="1890" spans="1:2" x14ac:dyDescent="0.25">
      <c r="A1890" s="36">
        <v>20137411815</v>
      </c>
      <c r="B1890" t="s">
        <v>633</v>
      </c>
    </row>
    <row r="1891" spans="1:2" x14ac:dyDescent="0.25">
      <c r="A1891" s="36">
        <v>20935729662</v>
      </c>
      <c r="B1891" t="s">
        <v>634</v>
      </c>
    </row>
    <row r="1892" spans="1:2" x14ac:dyDescent="0.25">
      <c r="A1892" s="36">
        <v>30687255492</v>
      </c>
      <c r="B1892" t="s">
        <v>636</v>
      </c>
    </row>
    <row r="1893" spans="1:2" x14ac:dyDescent="0.25">
      <c r="A1893" s="36">
        <v>30716022354</v>
      </c>
      <c r="B1893" t="s">
        <v>639</v>
      </c>
    </row>
    <row r="1894" spans="1:2" x14ac:dyDescent="0.25">
      <c r="A1894" s="36">
        <v>27066479531</v>
      </c>
      <c r="B1894" t="s">
        <v>640</v>
      </c>
    </row>
    <row r="1895" spans="1:2" x14ac:dyDescent="0.25">
      <c r="A1895" s="36">
        <v>30954543</v>
      </c>
      <c r="B1895" t="s">
        <v>1193</v>
      </c>
    </row>
    <row r="1896" spans="1:2" x14ac:dyDescent="0.25">
      <c r="A1896" s="36">
        <v>30954543</v>
      </c>
      <c r="B1896" t="s">
        <v>1193</v>
      </c>
    </row>
    <row r="1897" spans="1:2" x14ac:dyDescent="0.25">
      <c r="A1897" s="36">
        <v>16218369</v>
      </c>
      <c r="B1897" t="s">
        <v>641</v>
      </c>
    </row>
    <row r="1898" spans="1:2" x14ac:dyDescent="0.25">
      <c r="A1898" s="36">
        <v>20128057499</v>
      </c>
      <c r="B1898" t="s">
        <v>1183</v>
      </c>
    </row>
    <row r="1899" spans="1:2" x14ac:dyDescent="0.25">
      <c r="A1899" s="36">
        <v>20128057499</v>
      </c>
      <c r="B1899" t="s">
        <v>1183</v>
      </c>
    </row>
    <row r="1900" spans="1:2" x14ac:dyDescent="0.25">
      <c r="A1900" s="36">
        <v>30717065286</v>
      </c>
      <c r="B1900" t="s">
        <v>1410</v>
      </c>
    </row>
    <row r="1901" spans="1:2" x14ac:dyDescent="0.25">
      <c r="A1901" s="36">
        <v>30717065286</v>
      </c>
      <c r="B1901" t="s">
        <v>1410</v>
      </c>
    </row>
    <row r="1902" spans="1:2" x14ac:dyDescent="0.25">
      <c r="A1902" s="36">
        <v>30712217487</v>
      </c>
      <c r="B1902" t="s">
        <v>642</v>
      </c>
    </row>
    <row r="1903" spans="1:2" x14ac:dyDescent="0.25">
      <c r="A1903" s="36">
        <v>30707515232</v>
      </c>
      <c r="B1903" t="s">
        <v>643</v>
      </c>
    </row>
    <row r="1904" spans="1:2" x14ac:dyDescent="0.25">
      <c r="A1904" s="36">
        <v>30715413678</v>
      </c>
      <c r="B1904" t="s">
        <v>644</v>
      </c>
    </row>
    <row r="1905" spans="1:2" x14ac:dyDescent="0.25">
      <c r="A1905" s="36">
        <v>27127809521</v>
      </c>
      <c r="B1905" t="s">
        <v>645</v>
      </c>
    </row>
    <row r="1906" spans="1:2" x14ac:dyDescent="0.25">
      <c r="A1906" s="36">
        <v>30714593095</v>
      </c>
      <c r="B1906" t="s">
        <v>646</v>
      </c>
    </row>
    <row r="1907" spans="1:2" x14ac:dyDescent="0.25">
      <c r="A1907" s="36">
        <v>30708084944</v>
      </c>
      <c r="B1907" t="s">
        <v>647</v>
      </c>
    </row>
    <row r="1908" spans="1:2" x14ac:dyDescent="0.25">
      <c r="A1908" s="36">
        <v>27231348420</v>
      </c>
      <c r="B1908" t="s">
        <v>648</v>
      </c>
    </row>
    <row r="1909" spans="1:2" x14ac:dyDescent="0.25">
      <c r="A1909" s="36">
        <v>27231348420</v>
      </c>
      <c r="B1909" t="s">
        <v>648</v>
      </c>
    </row>
    <row r="1910" spans="1:2" x14ac:dyDescent="0.25">
      <c r="A1910" s="36">
        <v>27231348420</v>
      </c>
      <c r="B1910" t="s">
        <v>648</v>
      </c>
    </row>
    <row r="1911" spans="1:2" x14ac:dyDescent="0.25">
      <c r="A1911" s="36">
        <v>27231348420</v>
      </c>
      <c r="B1911" t="s">
        <v>648</v>
      </c>
    </row>
    <row r="1912" spans="1:2" x14ac:dyDescent="0.25">
      <c r="A1912" s="36">
        <v>27231348420</v>
      </c>
      <c r="B1912" t="s">
        <v>648</v>
      </c>
    </row>
    <row r="1913" spans="1:2" x14ac:dyDescent="0.25">
      <c r="A1913" s="36">
        <v>27106477871</v>
      </c>
      <c r="B1913" t="s">
        <v>649</v>
      </c>
    </row>
    <row r="1914" spans="1:2" x14ac:dyDescent="0.25">
      <c r="A1914" s="36">
        <v>30716279843</v>
      </c>
      <c r="B1914" t="s">
        <v>650</v>
      </c>
    </row>
    <row r="1915" spans="1:2" x14ac:dyDescent="0.25">
      <c r="A1915" s="36">
        <v>30717080269</v>
      </c>
      <c r="B1915" t="s">
        <v>651</v>
      </c>
    </row>
    <row r="1916" spans="1:2" x14ac:dyDescent="0.25">
      <c r="A1916" s="36">
        <v>30715405187</v>
      </c>
      <c r="B1916" t="s">
        <v>652</v>
      </c>
    </row>
    <row r="1917" spans="1:2" x14ac:dyDescent="0.25">
      <c r="A1917" s="36">
        <v>23866620</v>
      </c>
      <c r="B1917" t="s">
        <v>1301</v>
      </c>
    </row>
    <row r="1918" spans="1:2" x14ac:dyDescent="0.25">
      <c r="A1918" s="36">
        <v>23866620</v>
      </c>
      <c r="B1918" t="s">
        <v>1301</v>
      </c>
    </row>
    <row r="1919" spans="1:2" x14ac:dyDescent="0.25">
      <c r="A1919" s="36">
        <v>23866620</v>
      </c>
      <c r="B1919" t="s">
        <v>1301</v>
      </c>
    </row>
    <row r="1920" spans="1:2" x14ac:dyDescent="0.25">
      <c r="A1920" s="36">
        <v>23866620</v>
      </c>
      <c r="B1920" t="s">
        <v>1301</v>
      </c>
    </row>
    <row r="1921" spans="1:2" x14ac:dyDescent="0.25">
      <c r="A1921" s="36">
        <v>26198343</v>
      </c>
      <c r="B1921" t="s">
        <v>653</v>
      </c>
    </row>
    <row r="1922" spans="1:2" x14ac:dyDescent="0.25">
      <c r="A1922" s="36">
        <v>20182267164</v>
      </c>
      <c r="B1922" t="s">
        <v>654</v>
      </c>
    </row>
    <row r="1923" spans="1:2" x14ac:dyDescent="0.25">
      <c r="A1923" s="36">
        <v>23131563779</v>
      </c>
      <c r="B1923" t="s">
        <v>655</v>
      </c>
    </row>
    <row r="1924" spans="1:2" x14ac:dyDescent="0.25">
      <c r="A1924" s="36">
        <v>20929849907</v>
      </c>
      <c r="B1924" t="s">
        <v>656</v>
      </c>
    </row>
    <row r="1925" spans="1:2" x14ac:dyDescent="0.25">
      <c r="A1925" s="36">
        <v>23144901819</v>
      </c>
      <c r="B1925" t="s">
        <v>657</v>
      </c>
    </row>
    <row r="1926" spans="1:2" x14ac:dyDescent="0.25">
      <c r="A1926" s="36">
        <v>37582966</v>
      </c>
      <c r="B1926" t="s">
        <v>1323</v>
      </c>
    </row>
    <row r="1927" spans="1:2" x14ac:dyDescent="0.25">
      <c r="A1927" s="36">
        <v>37582966</v>
      </c>
      <c r="B1927" t="s">
        <v>1323</v>
      </c>
    </row>
    <row r="1928" spans="1:2" x14ac:dyDescent="0.25">
      <c r="A1928" s="36">
        <v>23085797</v>
      </c>
      <c r="B1928" t="s">
        <v>1329</v>
      </c>
    </row>
    <row r="1929" spans="1:2" x14ac:dyDescent="0.25">
      <c r="A1929" s="36">
        <v>23085797</v>
      </c>
      <c r="B1929" t="s">
        <v>1329</v>
      </c>
    </row>
    <row r="1930" spans="1:2" x14ac:dyDescent="0.25">
      <c r="A1930" s="36">
        <v>30957738</v>
      </c>
      <c r="B1930" t="s">
        <v>1209</v>
      </c>
    </row>
    <row r="1931" spans="1:2" x14ac:dyDescent="0.25">
      <c r="A1931" s="36">
        <v>30957738</v>
      </c>
      <c r="B1931" t="s">
        <v>1209</v>
      </c>
    </row>
    <row r="1932" spans="1:2" x14ac:dyDescent="0.25">
      <c r="A1932" s="36">
        <v>30957738</v>
      </c>
      <c r="B1932" t="s">
        <v>1209</v>
      </c>
    </row>
    <row r="1933" spans="1:2" x14ac:dyDescent="0.25">
      <c r="A1933" s="36">
        <v>30957738</v>
      </c>
      <c r="B1933" t="s">
        <v>1209</v>
      </c>
    </row>
    <row r="1934" spans="1:2" x14ac:dyDescent="0.25">
      <c r="A1934" s="36">
        <v>94658910</v>
      </c>
      <c r="B1934" t="s">
        <v>1202</v>
      </c>
    </row>
    <row r="1935" spans="1:2" x14ac:dyDescent="0.25">
      <c r="A1935" s="36">
        <v>94658910</v>
      </c>
      <c r="B1935" t="s">
        <v>1202</v>
      </c>
    </row>
    <row r="1936" spans="1:2" x14ac:dyDescent="0.25">
      <c r="A1936" s="36">
        <v>94658910</v>
      </c>
      <c r="B1936" t="s">
        <v>1202</v>
      </c>
    </row>
    <row r="1937" spans="1:2" x14ac:dyDescent="0.25">
      <c r="A1937" s="36">
        <v>94658910</v>
      </c>
      <c r="B1937" t="s">
        <v>1202</v>
      </c>
    </row>
    <row r="1938" spans="1:2" x14ac:dyDescent="0.25">
      <c r="A1938" s="36">
        <v>94658910</v>
      </c>
      <c r="B1938" t="s">
        <v>1202</v>
      </c>
    </row>
    <row r="1939" spans="1:2" x14ac:dyDescent="0.25">
      <c r="A1939" s="36">
        <v>94658910</v>
      </c>
      <c r="B1939" t="s">
        <v>1202</v>
      </c>
    </row>
    <row r="1940" spans="1:2" x14ac:dyDescent="0.25">
      <c r="A1940" s="36">
        <v>94658910</v>
      </c>
      <c r="B1940" t="s">
        <v>1202</v>
      </c>
    </row>
    <row r="1941" spans="1:2" x14ac:dyDescent="0.25">
      <c r="A1941" s="36">
        <v>94658910</v>
      </c>
      <c r="B1941" t="s">
        <v>1202</v>
      </c>
    </row>
    <row r="1942" spans="1:2" x14ac:dyDescent="0.25">
      <c r="A1942" s="36">
        <v>20126925272</v>
      </c>
      <c r="B1942" t="s">
        <v>658</v>
      </c>
    </row>
    <row r="1943" spans="1:2" x14ac:dyDescent="0.25">
      <c r="A1943" s="36">
        <v>20243799296</v>
      </c>
      <c r="B1943" t="s">
        <v>659</v>
      </c>
    </row>
    <row r="1944" spans="1:2" x14ac:dyDescent="0.25">
      <c r="A1944" s="36">
        <v>20120499174</v>
      </c>
      <c r="B1944" t="s">
        <v>660</v>
      </c>
    </row>
    <row r="1945" spans="1:2" x14ac:dyDescent="0.25">
      <c r="A1945" s="36">
        <v>23284031709</v>
      </c>
      <c r="B1945" t="s">
        <v>662</v>
      </c>
    </row>
    <row r="1946" spans="1:2" x14ac:dyDescent="0.25">
      <c r="A1946" s="36">
        <v>12493401</v>
      </c>
      <c r="B1946" t="s">
        <v>1327</v>
      </c>
    </row>
    <row r="1947" spans="1:2" x14ac:dyDescent="0.25">
      <c r="A1947" s="36">
        <v>12493401</v>
      </c>
      <c r="B1947" t="s">
        <v>1327</v>
      </c>
    </row>
    <row r="1948" spans="1:2" x14ac:dyDescent="0.25">
      <c r="A1948" s="36">
        <v>12493401</v>
      </c>
      <c r="B1948" t="s">
        <v>1294</v>
      </c>
    </row>
    <row r="1949" spans="1:2" x14ac:dyDescent="0.25">
      <c r="A1949" s="36">
        <v>12493401</v>
      </c>
      <c r="B1949" t="s">
        <v>1294</v>
      </c>
    </row>
    <row r="1950" spans="1:2" x14ac:dyDescent="0.25">
      <c r="A1950" s="36">
        <v>20100020751</v>
      </c>
      <c r="B1950" t="s">
        <v>663</v>
      </c>
    </row>
    <row r="1951" spans="1:2" x14ac:dyDescent="0.25">
      <c r="A1951" s="36">
        <v>23304475609</v>
      </c>
      <c r="B1951" t="s">
        <v>664</v>
      </c>
    </row>
    <row r="1952" spans="1:2" x14ac:dyDescent="0.25">
      <c r="A1952" s="36">
        <v>30714260290</v>
      </c>
      <c r="B1952" t="s">
        <v>666</v>
      </c>
    </row>
    <row r="1953" spans="1:2" x14ac:dyDescent="0.25">
      <c r="A1953" s="36">
        <v>20257454615</v>
      </c>
      <c r="B1953" t="s">
        <v>667</v>
      </c>
    </row>
    <row r="1954" spans="1:2" x14ac:dyDescent="0.25">
      <c r="A1954" s="36">
        <v>44209390</v>
      </c>
      <c r="B1954" t="s">
        <v>1308</v>
      </c>
    </row>
    <row r="1955" spans="1:2" x14ac:dyDescent="0.25">
      <c r="A1955" s="36">
        <v>44209390</v>
      </c>
      <c r="B1955" t="s">
        <v>1308</v>
      </c>
    </row>
    <row r="1956" spans="1:2" x14ac:dyDescent="0.25">
      <c r="A1956" s="36">
        <v>30710063164</v>
      </c>
      <c r="B1956" t="s">
        <v>668</v>
      </c>
    </row>
    <row r="1957" spans="1:2" x14ac:dyDescent="0.25">
      <c r="A1957" s="36">
        <v>30510865363</v>
      </c>
      <c r="B1957" t="s">
        <v>669</v>
      </c>
    </row>
    <row r="1958" spans="1:2" x14ac:dyDescent="0.25">
      <c r="A1958" s="36">
        <v>30709975427</v>
      </c>
      <c r="B1958" t="s">
        <v>670</v>
      </c>
    </row>
    <row r="1959" spans="1:2" x14ac:dyDescent="0.25">
      <c r="A1959" s="36">
        <v>33714646899</v>
      </c>
      <c r="B1959" t="s">
        <v>671</v>
      </c>
    </row>
    <row r="1960" spans="1:2" x14ac:dyDescent="0.25">
      <c r="A1960" s="36">
        <v>27137541314</v>
      </c>
      <c r="B1960" t="s">
        <v>672</v>
      </c>
    </row>
    <row r="1961" spans="1:2" x14ac:dyDescent="0.25">
      <c r="A1961" s="36"/>
    </row>
    <row r="1962" spans="1:2" x14ac:dyDescent="0.25">
      <c r="A1962" s="36"/>
    </row>
    <row r="1963" spans="1:2" x14ac:dyDescent="0.25">
      <c r="A1963" s="36"/>
    </row>
    <row r="1964" spans="1:2" x14ac:dyDescent="0.25">
      <c r="A1964" s="36"/>
    </row>
    <row r="1965" spans="1:2" x14ac:dyDescent="0.25">
      <c r="A1965" s="36"/>
    </row>
    <row r="1966" spans="1:2" x14ac:dyDescent="0.25">
      <c r="A1966" s="36"/>
    </row>
    <row r="1967" spans="1:2" x14ac:dyDescent="0.25">
      <c r="A1967" s="36"/>
    </row>
    <row r="1968" spans="1:2" x14ac:dyDescent="0.25">
      <c r="A1968" s="36"/>
    </row>
    <row r="1969" spans="1:2" x14ac:dyDescent="0.25">
      <c r="A1969" s="36"/>
    </row>
    <row r="1970" spans="1:2" x14ac:dyDescent="0.25">
      <c r="A1970" s="36"/>
    </row>
    <row r="1971" spans="1:2" x14ac:dyDescent="0.25">
      <c r="A1971" s="36"/>
    </row>
    <row r="1972" spans="1:2" x14ac:dyDescent="0.25">
      <c r="A1972" s="36">
        <v>30504744538</v>
      </c>
      <c r="B1972" t="s">
        <v>97</v>
      </c>
    </row>
    <row r="1973" spans="1:2" x14ac:dyDescent="0.25">
      <c r="A1973" s="36">
        <v>30707950990</v>
      </c>
      <c r="B1973" t="s">
        <v>1503</v>
      </c>
    </row>
    <row r="1974" spans="1:2" x14ac:dyDescent="0.25">
      <c r="A1974" s="36">
        <v>30717434710</v>
      </c>
      <c r="B1974" t="s">
        <v>1429</v>
      </c>
    </row>
    <row r="1975" spans="1:2" x14ac:dyDescent="0.25">
      <c r="A1975" s="36">
        <v>30717434710</v>
      </c>
      <c r="B1975" t="s">
        <v>1429</v>
      </c>
    </row>
    <row r="1976" spans="1:2" x14ac:dyDescent="0.25">
      <c r="A1976" s="36">
        <v>19015786</v>
      </c>
      <c r="B1976" t="s">
        <v>1317</v>
      </c>
    </row>
    <row r="1977" spans="1:2" x14ac:dyDescent="0.25">
      <c r="A1977" s="36">
        <v>19015786</v>
      </c>
      <c r="B1977" t="s">
        <v>1317</v>
      </c>
    </row>
    <row r="1978" spans="1:2" x14ac:dyDescent="0.25">
      <c r="A1978" s="36">
        <v>30707228098</v>
      </c>
      <c r="B1978" t="s">
        <v>675</v>
      </c>
    </row>
    <row r="1979" spans="1:2" x14ac:dyDescent="0.25">
      <c r="A1979" s="36">
        <v>20170681844</v>
      </c>
      <c r="B1979" t="s">
        <v>676</v>
      </c>
    </row>
    <row r="1980" spans="1:2" x14ac:dyDescent="0.25">
      <c r="A1980" s="36">
        <v>37018499</v>
      </c>
      <c r="B1980" t="s">
        <v>1283</v>
      </c>
    </row>
    <row r="1981" spans="1:2" x14ac:dyDescent="0.25">
      <c r="A1981" s="36">
        <v>37018499</v>
      </c>
      <c r="B1981" t="s">
        <v>1283</v>
      </c>
    </row>
    <row r="1982" spans="1:2" x14ac:dyDescent="0.25">
      <c r="A1982" s="36">
        <v>24589431</v>
      </c>
      <c r="B1982" t="s">
        <v>1198</v>
      </c>
    </row>
    <row r="1983" spans="1:2" x14ac:dyDescent="0.25">
      <c r="A1983" s="36">
        <v>24589431</v>
      </c>
      <c r="B1983" t="s">
        <v>1198</v>
      </c>
    </row>
    <row r="1984" spans="1:2" x14ac:dyDescent="0.25">
      <c r="A1984" s="36">
        <v>20325657988</v>
      </c>
      <c r="B1984" t="s">
        <v>677</v>
      </c>
    </row>
    <row r="1985" spans="1:3" x14ac:dyDescent="0.25">
      <c r="A1985" s="36">
        <v>20242932413</v>
      </c>
      <c r="B1985" t="s">
        <v>678</v>
      </c>
    </row>
    <row r="1986" spans="1:3" x14ac:dyDescent="0.25">
      <c r="A1986" s="36">
        <v>30712341714</v>
      </c>
      <c r="B1986" t="s">
        <v>679</v>
      </c>
    </row>
    <row r="1987" spans="1:3" x14ac:dyDescent="0.25">
      <c r="A1987" s="36">
        <v>20222061947</v>
      </c>
      <c r="B1987" t="s">
        <v>682</v>
      </c>
    </row>
    <row r="1988" spans="1:3" x14ac:dyDescent="0.25">
      <c r="A1988" s="36">
        <v>33715426779</v>
      </c>
      <c r="B1988" t="s">
        <v>683</v>
      </c>
    </row>
    <row r="1989" spans="1:3" x14ac:dyDescent="0.25">
      <c r="A1989" s="36">
        <v>20236710026</v>
      </c>
      <c r="B1989" t="s">
        <v>684</v>
      </c>
    </row>
    <row r="1990" spans="1:3" x14ac:dyDescent="0.25">
      <c r="A1990" s="36">
        <v>30699342129</v>
      </c>
      <c r="B1990" t="s">
        <v>1882</v>
      </c>
    </row>
    <row r="1991" spans="1:3" x14ac:dyDescent="0.25">
      <c r="A1991" s="36"/>
    </row>
    <row r="1992" spans="1:3" x14ac:dyDescent="0.25">
      <c r="A1992" s="36">
        <v>30555517757</v>
      </c>
      <c r="B1992" t="s">
        <v>686</v>
      </c>
    </row>
    <row r="1993" spans="1:3" x14ac:dyDescent="0.25">
      <c r="A1993" s="36">
        <v>33643358749</v>
      </c>
      <c r="B1993" t="s">
        <v>1563</v>
      </c>
      <c r="C1993" s="35" t="s">
        <v>109</v>
      </c>
    </row>
    <row r="1994" spans="1:3" x14ac:dyDescent="0.25">
      <c r="A1994" s="36">
        <v>20263156324</v>
      </c>
      <c r="B1994" t="s">
        <v>690</v>
      </c>
    </row>
    <row r="1995" spans="1:3" x14ac:dyDescent="0.25">
      <c r="A1995" s="36">
        <v>5965253</v>
      </c>
      <c r="B1995" t="s">
        <v>1304</v>
      </c>
    </row>
    <row r="1996" spans="1:3" x14ac:dyDescent="0.25">
      <c r="A1996" s="36">
        <v>5965253</v>
      </c>
      <c r="B1996" t="s">
        <v>1304</v>
      </c>
    </row>
    <row r="1997" spans="1:3" x14ac:dyDescent="0.25">
      <c r="A1997" s="36">
        <v>27368065981</v>
      </c>
      <c r="B1997" t="s">
        <v>1482</v>
      </c>
    </row>
    <row r="1998" spans="1:3" x14ac:dyDescent="0.25">
      <c r="A1998" s="36">
        <v>30717498980</v>
      </c>
      <c r="B1998" t="s">
        <v>691</v>
      </c>
    </row>
    <row r="1999" spans="1:3" x14ac:dyDescent="0.25">
      <c r="A1999" s="36">
        <v>30711540853</v>
      </c>
      <c r="B1999" t="s">
        <v>692</v>
      </c>
    </row>
    <row r="2000" spans="1:3" x14ac:dyDescent="0.25">
      <c r="A2000" s="36">
        <v>30714249416</v>
      </c>
      <c r="B2000" t="s">
        <v>693</v>
      </c>
    </row>
    <row r="2001" spans="1:2" x14ac:dyDescent="0.25">
      <c r="A2001" s="36">
        <v>30709463612</v>
      </c>
      <c r="B2001" t="s">
        <v>696</v>
      </c>
    </row>
    <row r="2002" spans="1:2" x14ac:dyDescent="0.25">
      <c r="A2002" s="36">
        <v>27203132722</v>
      </c>
      <c r="B2002" t="s">
        <v>697</v>
      </c>
    </row>
    <row r="2003" spans="1:2" x14ac:dyDescent="0.25">
      <c r="A2003" s="36">
        <v>23250680</v>
      </c>
      <c r="B2003" t="s">
        <v>1265</v>
      </c>
    </row>
    <row r="2004" spans="1:2" x14ac:dyDescent="0.25">
      <c r="A2004" s="36">
        <v>23250680</v>
      </c>
      <c r="B2004" t="s">
        <v>1265</v>
      </c>
    </row>
    <row r="2005" spans="1:2" x14ac:dyDescent="0.25">
      <c r="A2005" s="36">
        <v>23250680</v>
      </c>
      <c r="B2005" t="s">
        <v>1265</v>
      </c>
    </row>
    <row r="2006" spans="1:2" x14ac:dyDescent="0.25">
      <c r="A2006" s="36">
        <v>23250680</v>
      </c>
      <c r="B2006" t="s">
        <v>1265</v>
      </c>
    </row>
    <row r="2007" spans="1:2" x14ac:dyDescent="0.25">
      <c r="A2007" s="36">
        <v>23250680</v>
      </c>
      <c r="B2007" t="s">
        <v>1265</v>
      </c>
    </row>
    <row r="2008" spans="1:2" x14ac:dyDescent="0.25">
      <c r="A2008" s="36">
        <v>23250680</v>
      </c>
      <c r="B2008" t="s">
        <v>1265</v>
      </c>
    </row>
    <row r="2009" spans="1:2" x14ac:dyDescent="0.25">
      <c r="A2009" s="36">
        <v>30708390468</v>
      </c>
      <c r="B2009" t="s">
        <v>698</v>
      </c>
    </row>
    <row r="2010" spans="1:2" x14ac:dyDescent="0.25">
      <c r="A2010" s="36">
        <v>30619305848</v>
      </c>
      <c r="B2010" t="s">
        <v>699</v>
      </c>
    </row>
    <row r="2011" spans="1:2" x14ac:dyDescent="0.25">
      <c r="A2011" s="36">
        <v>30583464138</v>
      </c>
      <c r="B2011" t="s">
        <v>700</v>
      </c>
    </row>
    <row r="2012" spans="1:2" x14ac:dyDescent="0.25">
      <c r="A2012" s="36">
        <v>33086180</v>
      </c>
      <c r="B2012" t="s">
        <v>1199</v>
      </c>
    </row>
    <row r="2013" spans="1:2" x14ac:dyDescent="0.25">
      <c r="A2013" s="36">
        <v>33086180</v>
      </c>
      <c r="B2013" t="s">
        <v>1199</v>
      </c>
    </row>
    <row r="2014" spans="1:2" x14ac:dyDescent="0.25">
      <c r="A2014" s="36">
        <v>33086180</v>
      </c>
      <c r="B2014" t="s">
        <v>1199</v>
      </c>
    </row>
    <row r="2015" spans="1:2" x14ac:dyDescent="0.25">
      <c r="A2015" s="36">
        <v>33086180</v>
      </c>
      <c r="B2015" t="s">
        <v>1199</v>
      </c>
    </row>
    <row r="2016" spans="1:2" x14ac:dyDescent="0.25">
      <c r="A2016" s="36">
        <v>33086180</v>
      </c>
      <c r="B2016" t="s">
        <v>1199</v>
      </c>
    </row>
    <row r="2017" spans="1:2" x14ac:dyDescent="0.25">
      <c r="A2017" s="36">
        <v>33086180</v>
      </c>
      <c r="B2017" t="s">
        <v>1199</v>
      </c>
    </row>
    <row r="2018" spans="1:2" x14ac:dyDescent="0.25">
      <c r="A2018" s="36">
        <v>33086180</v>
      </c>
      <c r="B2018" t="s">
        <v>1199</v>
      </c>
    </row>
    <row r="2019" spans="1:2" x14ac:dyDescent="0.25">
      <c r="A2019" s="36">
        <v>33086180</v>
      </c>
      <c r="B2019" t="s">
        <v>1199</v>
      </c>
    </row>
    <row r="2020" spans="1:2" x14ac:dyDescent="0.25">
      <c r="A2020" s="36">
        <v>30711122911</v>
      </c>
      <c r="B2020" t="s">
        <v>701</v>
      </c>
    </row>
    <row r="2021" spans="1:2" x14ac:dyDescent="0.25">
      <c r="A2021" s="36">
        <v>23230332169</v>
      </c>
      <c r="B2021" t="s">
        <v>702</v>
      </c>
    </row>
    <row r="2022" spans="1:2" x14ac:dyDescent="0.25">
      <c r="A2022" s="36">
        <v>20339137111</v>
      </c>
      <c r="B2022" t="s">
        <v>703</v>
      </c>
    </row>
    <row r="2023" spans="1:2" x14ac:dyDescent="0.25">
      <c r="A2023" s="36">
        <v>30550005987</v>
      </c>
      <c r="B2023" t="s">
        <v>704</v>
      </c>
    </row>
    <row r="2024" spans="1:2" x14ac:dyDescent="0.25">
      <c r="A2024" s="36">
        <v>27128309174</v>
      </c>
      <c r="B2024" t="s">
        <v>706</v>
      </c>
    </row>
    <row r="2025" spans="1:2" x14ac:dyDescent="0.25">
      <c r="A2025" s="36">
        <v>30707970010</v>
      </c>
      <c r="B2025" t="s">
        <v>707</v>
      </c>
    </row>
    <row r="2026" spans="1:2" x14ac:dyDescent="0.25">
      <c r="A2026" s="36">
        <v>30520079129</v>
      </c>
      <c r="B2026" t="s">
        <v>708</v>
      </c>
    </row>
    <row r="2027" spans="1:2" x14ac:dyDescent="0.25">
      <c r="A2027" s="36">
        <v>30520079129</v>
      </c>
      <c r="B2027" t="s">
        <v>709</v>
      </c>
    </row>
    <row r="2028" spans="1:2" x14ac:dyDescent="0.25">
      <c r="A2028" s="36">
        <v>30677866868</v>
      </c>
      <c r="B2028" t="s">
        <v>710</v>
      </c>
    </row>
    <row r="2029" spans="1:2" x14ac:dyDescent="0.25">
      <c r="A2029" s="36">
        <v>30715853465</v>
      </c>
      <c r="B2029" t="s">
        <v>711</v>
      </c>
    </row>
    <row r="2030" spans="1:2" x14ac:dyDescent="0.25">
      <c r="A2030" s="36">
        <v>30710576137</v>
      </c>
      <c r="B2030" t="s">
        <v>712</v>
      </c>
    </row>
    <row r="2031" spans="1:2" x14ac:dyDescent="0.25">
      <c r="A2031" s="36">
        <v>30711989680</v>
      </c>
      <c r="B2031" t="s">
        <v>713</v>
      </c>
    </row>
    <row r="2032" spans="1:2" x14ac:dyDescent="0.25">
      <c r="A2032" s="36">
        <v>33714326029</v>
      </c>
      <c r="B2032" t="s">
        <v>714</v>
      </c>
    </row>
    <row r="2033" spans="1:2" x14ac:dyDescent="0.25">
      <c r="A2033" s="36">
        <v>30605215412</v>
      </c>
      <c r="B2033" t="s">
        <v>715</v>
      </c>
    </row>
    <row r="2034" spans="1:2" x14ac:dyDescent="0.25">
      <c r="A2034" s="36">
        <v>30710207190</v>
      </c>
      <c r="B2034" t="s">
        <v>716</v>
      </c>
    </row>
    <row r="2035" spans="1:2" x14ac:dyDescent="0.25">
      <c r="A2035" s="36">
        <v>30660432961</v>
      </c>
      <c r="B2035" t="s">
        <v>717</v>
      </c>
    </row>
    <row r="2036" spans="1:2" x14ac:dyDescent="0.25">
      <c r="A2036" s="36">
        <v>30715155334</v>
      </c>
      <c r="B2036" t="s">
        <v>1386</v>
      </c>
    </row>
    <row r="2037" spans="1:2" x14ac:dyDescent="0.25">
      <c r="A2037" s="36">
        <v>30715155334</v>
      </c>
      <c r="B2037" t="s">
        <v>1386</v>
      </c>
    </row>
    <row r="2038" spans="1:2" x14ac:dyDescent="0.25">
      <c r="A2038" s="36">
        <v>30715155334</v>
      </c>
      <c r="B2038" t="s">
        <v>1386</v>
      </c>
    </row>
    <row r="2039" spans="1:2" x14ac:dyDescent="0.25">
      <c r="A2039" s="36">
        <v>30715155334</v>
      </c>
      <c r="B2039" t="s">
        <v>1386</v>
      </c>
    </row>
    <row r="2040" spans="1:2" x14ac:dyDescent="0.25">
      <c r="A2040" s="36">
        <v>30644602687</v>
      </c>
      <c r="B2040" t="s">
        <v>718</v>
      </c>
    </row>
    <row r="2041" spans="1:2" x14ac:dyDescent="0.25">
      <c r="A2041" s="36">
        <v>20277651441</v>
      </c>
      <c r="B2041" t="s">
        <v>719</v>
      </c>
    </row>
    <row r="2042" spans="1:2" x14ac:dyDescent="0.25">
      <c r="A2042" s="36">
        <v>23202815669</v>
      </c>
      <c r="B2042" t="s">
        <v>721</v>
      </c>
    </row>
    <row r="2043" spans="1:2" x14ac:dyDescent="0.25">
      <c r="A2043" s="36">
        <v>20046224931</v>
      </c>
      <c r="B2043" t="s">
        <v>722</v>
      </c>
    </row>
    <row r="2044" spans="1:2" x14ac:dyDescent="0.25">
      <c r="A2044" s="36">
        <v>30715380761</v>
      </c>
      <c r="B2044" t="s">
        <v>723</v>
      </c>
    </row>
    <row r="2045" spans="1:2" x14ac:dyDescent="0.25">
      <c r="A2045" s="36">
        <v>30714861839</v>
      </c>
      <c r="B2045" t="s">
        <v>724</v>
      </c>
    </row>
    <row r="2046" spans="1:2" x14ac:dyDescent="0.25">
      <c r="A2046" s="36">
        <v>30712121102</v>
      </c>
      <c r="B2046" t="s">
        <v>726</v>
      </c>
    </row>
    <row r="2047" spans="1:2" x14ac:dyDescent="0.25">
      <c r="A2047" s="36">
        <v>30717398196</v>
      </c>
      <c r="B2047" t="s">
        <v>1452</v>
      </c>
    </row>
    <row r="2048" spans="1:2" x14ac:dyDescent="0.25">
      <c r="A2048" s="36">
        <v>30717398196</v>
      </c>
      <c r="B2048" t="s">
        <v>1452</v>
      </c>
    </row>
    <row r="2049" spans="1:2" x14ac:dyDescent="0.25">
      <c r="A2049" s="36">
        <v>30568731936</v>
      </c>
      <c r="B2049" t="s">
        <v>728</v>
      </c>
    </row>
    <row r="2050" spans="1:2" x14ac:dyDescent="0.25">
      <c r="A2050" s="36">
        <v>20334579019</v>
      </c>
      <c r="B2050" t="s">
        <v>1128</v>
      </c>
    </row>
    <row r="2051" spans="1:2" x14ac:dyDescent="0.25">
      <c r="A2051" s="36">
        <v>20334579019</v>
      </c>
      <c r="B2051" t="s">
        <v>1128</v>
      </c>
    </row>
    <row r="2052" spans="1:2" x14ac:dyDescent="0.25">
      <c r="A2052" s="36">
        <v>20388902877</v>
      </c>
      <c r="B2052" t="s">
        <v>730</v>
      </c>
    </row>
    <row r="2053" spans="1:2" x14ac:dyDescent="0.25">
      <c r="A2053" s="36">
        <v>30716237997</v>
      </c>
      <c r="B2053" t="s">
        <v>731</v>
      </c>
    </row>
    <row r="2054" spans="1:2" x14ac:dyDescent="0.25">
      <c r="A2054" s="36">
        <v>30611843565</v>
      </c>
      <c r="B2054" t="s">
        <v>732</v>
      </c>
    </row>
    <row r="2055" spans="1:2" x14ac:dyDescent="0.25">
      <c r="A2055" s="36">
        <v>12892105</v>
      </c>
      <c r="B2055" t="s">
        <v>733</v>
      </c>
    </row>
    <row r="2056" spans="1:2" x14ac:dyDescent="0.25">
      <c r="A2056" s="36">
        <v>27137856870</v>
      </c>
      <c r="B2056" t="s">
        <v>734</v>
      </c>
    </row>
    <row r="2057" spans="1:2" x14ac:dyDescent="0.25">
      <c r="A2057" s="36">
        <v>27233748205</v>
      </c>
      <c r="B2057" t="s">
        <v>735</v>
      </c>
    </row>
    <row r="2058" spans="1:2" x14ac:dyDescent="0.25">
      <c r="A2058" s="36">
        <v>5143707</v>
      </c>
      <c r="B2058" t="s">
        <v>1320</v>
      </c>
    </row>
    <row r="2059" spans="1:2" x14ac:dyDescent="0.25">
      <c r="A2059" s="36">
        <v>5143707</v>
      </c>
      <c r="B2059" t="s">
        <v>1320</v>
      </c>
    </row>
    <row r="2060" spans="1:2" x14ac:dyDescent="0.25">
      <c r="A2060" s="36">
        <v>5143707</v>
      </c>
      <c r="B2060" t="s">
        <v>1320</v>
      </c>
    </row>
    <row r="2061" spans="1:2" x14ac:dyDescent="0.25">
      <c r="A2061" s="36">
        <v>5143707</v>
      </c>
      <c r="B2061" t="s">
        <v>1320</v>
      </c>
    </row>
    <row r="2062" spans="1:2" x14ac:dyDescent="0.25">
      <c r="A2062" s="36">
        <v>27135427069</v>
      </c>
      <c r="B2062" t="s">
        <v>737</v>
      </c>
    </row>
    <row r="2063" spans="1:2" x14ac:dyDescent="0.25">
      <c r="A2063" s="36">
        <v>20045434207</v>
      </c>
      <c r="B2063" t="s">
        <v>738</v>
      </c>
    </row>
    <row r="2064" spans="1:2" x14ac:dyDescent="0.25">
      <c r="A2064" s="36">
        <v>27333102035</v>
      </c>
      <c r="B2064" t="s">
        <v>1479</v>
      </c>
    </row>
    <row r="2065" spans="1:2" x14ac:dyDescent="0.25">
      <c r="A2065" s="36">
        <v>27179366741</v>
      </c>
      <c r="B2065" t="s">
        <v>740</v>
      </c>
    </row>
    <row r="2066" spans="1:2" x14ac:dyDescent="0.25">
      <c r="A2066" s="36">
        <v>60433055</v>
      </c>
      <c r="B2066" t="s">
        <v>1263</v>
      </c>
    </row>
    <row r="2067" spans="1:2" x14ac:dyDescent="0.25">
      <c r="A2067" s="36">
        <v>60433055</v>
      </c>
      <c r="B2067" t="s">
        <v>1263</v>
      </c>
    </row>
    <row r="2068" spans="1:2" x14ac:dyDescent="0.25">
      <c r="A2068" s="36">
        <v>23180421564</v>
      </c>
      <c r="B2068" t="s">
        <v>1473</v>
      </c>
    </row>
    <row r="2069" spans="1:2" x14ac:dyDescent="0.25">
      <c r="A2069" s="36">
        <v>20304029561</v>
      </c>
      <c r="B2069" t="s">
        <v>743</v>
      </c>
    </row>
    <row r="2070" spans="1:2" x14ac:dyDescent="0.25">
      <c r="A2070" s="36">
        <v>20043154835</v>
      </c>
      <c r="B2070" t="s">
        <v>745</v>
      </c>
    </row>
    <row r="2071" spans="1:2" x14ac:dyDescent="0.25">
      <c r="A2071" s="36">
        <v>30716184826</v>
      </c>
      <c r="B2071" t="s">
        <v>747</v>
      </c>
    </row>
    <row r="2072" spans="1:2" x14ac:dyDescent="0.25">
      <c r="A2072" s="36">
        <v>33711399149</v>
      </c>
      <c r="B2072" t="s">
        <v>749</v>
      </c>
    </row>
    <row r="2073" spans="1:2" x14ac:dyDescent="0.25">
      <c r="A2073" s="36">
        <v>30547604888</v>
      </c>
      <c r="B2073" t="s">
        <v>750</v>
      </c>
    </row>
    <row r="2074" spans="1:2" x14ac:dyDescent="0.25">
      <c r="A2074" s="36">
        <v>20085119614</v>
      </c>
      <c r="B2074" t="s">
        <v>753</v>
      </c>
    </row>
    <row r="2075" spans="1:2" x14ac:dyDescent="0.25">
      <c r="A2075" s="36"/>
    </row>
    <row r="2076" spans="1:2" x14ac:dyDescent="0.25">
      <c r="A2076" s="36">
        <v>20284621434</v>
      </c>
      <c r="B2076" t="s">
        <v>757</v>
      </c>
    </row>
    <row r="2077" spans="1:2" x14ac:dyDescent="0.25">
      <c r="A2077" s="36">
        <v>30714719773</v>
      </c>
      <c r="B2077" t="s">
        <v>758</v>
      </c>
    </row>
    <row r="2078" spans="1:2" x14ac:dyDescent="0.25">
      <c r="A2078" s="36">
        <v>30501136510</v>
      </c>
      <c r="B2078" t="s">
        <v>759</v>
      </c>
    </row>
    <row r="2079" spans="1:2" x14ac:dyDescent="0.25">
      <c r="A2079" s="36">
        <v>20134074958</v>
      </c>
      <c r="B2079" t="s">
        <v>760</v>
      </c>
    </row>
    <row r="2080" spans="1:2" x14ac:dyDescent="0.25">
      <c r="A2080" s="36">
        <v>30711784833</v>
      </c>
      <c r="B2080" t="s">
        <v>761</v>
      </c>
    </row>
    <row r="2081" spans="1:2" x14ac:dyDescent="0.25">
      <c r="A2081" s="36">
        <v>20217488738</v>
      </c>
      <c r="B2081" t="s">
        <v>762</v>
      </c>
    </row>
    <row r="2082" spans="1:2" x14ac:dyDescent="0.25">
      <c r="A2082" s="36">
        <v>30716303442</v>
      </c>
      <c r="B2082" t="s">
        <v>1527</v>
      </c>
    </row>
    <row r="2083" spans="1:2" x14ac:dyDescent="0.25">
      <c r="A2083" s="36">
        <v>30559806052</v>
      </c>
      <c r="B2083" t="s">
        <v>763</v>
      </c>
    </row>
    <row r="2084" spans="1:2" x14ac:dyDescent="0.25">
      <c r="A2084" s="36">
        <v>30716150891</v>
      </c>
      <c r="B2084" t="s">
        <v>764</v>
      </c>
    </row>
    <row r="2085" spans="1:2" x14ac:dyDescent="0.25">
      <c r="A2085" s="36">
        <v>30716091879</v>
      </c>
      <c r="B2085" t="s">
        <v>765</v>
      </c>
    </row>
    <row r="2086" spans="1:2" x14ac:dyDescent="0.25">
      <c r="A2086" s="36">
        <v>30525966859</v>
      </c>
      <c r="B2086" t="s">
        <v>768</v>
      </c>
    </row>
    <row r="2087" spans="1:2" x14ac:dyDescent="0.25">
      <c r="A2087" s="36">
        <v>20210807889</v>
      </c>
      <c r="B2087" t="s">
        <v>769</v>
      </c>
    </row>
    <row r="2088" spans="1:2" x14ac:dyDescent="0.25">
      <c r="A2088" s="36">
        <v>30714596574</v>
      </c>
      <c r="B2088" t="s">
        <v>770</v>
      </c>
    </row>
    <row r="2089" spans="1:2" x14ac:dyDescent="0.25">
      <c r="A2089" s="36">
        <v>20925629708</v>
      </c>
      <c r="B2089" t="s">
        <v>771</v>
      </c>
    </row>
    <row r="2090" spans="1:2" x14ac:dyDescent="0.25">
      <c r="A2090" s="36">
        <v>30714642762</v>
      </c>
      <c r="B2090" t="s">
        <v>772</v>
      </c>
    </row>
    <row r="2091" spans="1:2" x14ac:dyDescent="0.25">
      <c r="A2091" s="36">
        <v>30608642869</v>
      </c>
      <c r="B2091" t="s">
        <v>773</v>
      </c>
    </row>
    <row r="2092" spans="1:2" x14ac:dyDescent="0.25">
      <c r="A2092" s="36">
        <v>23148974314</v>
      </c>
      <c r="B2092" t="s">
        <v>1449</v>
      </c>
    </row>
    <row r="2093" spans="1:2" x14ac:dyDescent="0.25">
      <c r="A2093" s="36">
        <v>23148974314</v>
      </c>
      <c r="B2093" t="s">
        <v>1449</v>
      </c>
    </row>
    <row r="2094" spans="1:2" x14ac:dyDescent="0.25">
      <c r="A2094" s="36">
        <v>27182686641</v>
      </c>
      <c r="B2094" t="s">
        <v>1560</v>
      </c>
    </row>
    <row r="2095" spans="1:2" x14ac:dyDescent="0.25">
      <c r="A2095" s="36">
        <v>20321198946</v>
      </c>
      <c r="B2095" t="s">
        <v>774</v>
      </c>
    </row>
    <row r="2096" spans="1:2" x14ac:dyDescent="0.25">
      <c r="A2096" s="36">
        <v>20180600710</v>
      </c>
      <c r="B2096" t="s">
        <v>775</v>
      </c>
    </row>
    <row r="2097" spans="1:2" x14ac:dyDescent="0.25">
      <c r="A2097" s="36">
        <v>30710884281</v>
      </c>
      <c r="B2097" t="s">
        <v>777</v>
      </c>
    </row>
    <row r="2098" spans="1:2" x14ac:dyDescent="0.25">
      <c r="A2098" s="36">
        <v>30710575203</v>
      </c>
      <c r="B2098" t="s">
        <v>778</v>
      </c>
    </row>
    <row r="2099" spans="1:2" x14ac:dyDescent="0.25">
      <c r="A2099" s="36">
        <v>30715582593</v>
      </c>
      <c r="B2099" t="s">
        <v>780</v>
      </c>
    </row>
    <row r="2100" spans="1:2" x14ac:dyDescent="0.25">
      <c r="A2100" s="36">
        <v>30716620995</v>
      </c>
      <c r="B2100" t="s">
        <v>781</v>
      </c>
    </row>
    <row r="2101" spans="1:2" x14ac:dyDescent="0.25">
      <c r="A2101" s="36">
        <v>30709497789</v>
      </c>
      <c r="B2101" t="s">
        <v>782</v>
      </c>
    </row>
    <row r="2102" spans="1:2" x14ac:dyDescent="0.25">
      <c r="A2102" s="36">
        <v>35329458</v>
      </c>
      <c r="B2102" t="s">
        <v>1201</v>
      </c>
    </row>
    <row r="2103" spans="1:2" x14ac:dyDescent="0.25">
      <c r="A2103" s="36">
        <v>35458965</v>
      </c>
      <c r="B2103" t="s">
        <v>1201</v>
      </c>
    </row>
    <row r="2104" spans="1:2" x14ac:dyDescent="0.25">
      <c r="A2104" s="36">
        <v>35329458</v>
      </c>
      <c r="B2104" t="s">
        <v>1201</v>
      </c>
    </row>
    <row r="2105" spans="1:2" x14ac:dyDescent="0.25">
      <c r="A2105" s="36">
        <v>35458965</v>
      </c>
      <c r="B2105" t="s">
        <v>1201</v>
      </c>
    </row>
    <row r="2106" spans="1:2" x14ac:dyDescent="0.25">
      <c r="A2106" s="36">
        <v>30714732540</v>
      </c>
      <c r="B2106" t="s">
        <v>785</v>
      </c>
    </row>
    <row r="2107" spans="1:2" x14ac:dyDescent="0.25">
      <c r="A2107" s="36"/>
    </row>
    <row r="2108" spans="1:2" x14ac:dyDescent="0.25">
      <c r="A2108" s="36">
        <v>30921865</v>
      </c>
      <c r="B2108" t="s">
        <v>1227</v>
      </c>
    </row>
    <row r="2109" spans="1:2" x14ac:dyDescent="0.25">
      <c r="A2109" s="36">
        <v>30921865</v>
      </c>
      <c r="B2109" t="s">
        <v>1227</v>
      </c>
    </row>
    <row r="2110" spans="1:2" x14ac:dyDescent="0.25">
      <c r="A2110" s="36">
        <v>30921865</v>
      </c>
      <c r="B2110" t="s">
        <v>1227</v>
      </c>
    </row>
    <row r="2111" spans="1:2" x14ac:dyDescent="0.25">
      <c r="A2111" s="36">
        <v>30921865</v>
      </c>
      <c r="B2111" t="s">
        <v>1227</v>
      </c>
    </row>
    <row r="2112" spans="1:2" x14ac:dyDescent="0.25">
      <c r="A2112" s="36">
        <v>30921865</v>
      </c>
      <c r="B2112" t="s">
        <v>1227</v>
      </c>
    </row>
    <row r="2113" spans="1:2" x14ac:dyDescent="0.25">
      <c r="A2113" s="36">
        <v>30921865</v>
      </c>
      <c r="B2113" t="s">
        <v>1227</v>
      </c>
    </row>
    <row r="2114" spans="1:2" x14ac:dyDescent="0.25">
      <c r="A2114" s="36">
        <v>30921865</v>
      </c>
      <c r="B2114" t="s">
        <v>1227</v>
      </c>
    </row>
    <row r="2115" spans="1:2" x14ac:dyDescent="0.25">
      <c r="A2115" s="36">
        <v>30921865</v>
      </c>
      <c r="B2115" t="s">
        <v>1227</v>
      </c>
    </row>
    <row r="2116" spans="1:2" x14ac:dyDescent="0.25">
      <c r="A2116" s="36">
        <v>30921865</v>
      </c>
      <c r="B2116" t="s">
        <v>1227</v>
      </c>
    </row>
    <row r="2117" spans="1:2" x14ac:dyDescent="0.25">
      <c r="A2117" s="36">
        <v>30921865</v>
      </c>
      <c r="B2117" t="s">
        <v>1227</v>
      </c>
    </row>
    <row r="2118" spans="1:2" x14ac:dyDescent="0.25">
      <c r="A2118" s="36">
        <v>20049749814</v>
      </c>
      <c r="B2118" t="s">
        <v>788</v>
      </c>
    </row>
    <row r="2119" spans="1:2" x14ac:dyDescent="0.25">
      <c r="A2119" s="36">
        <v>30687162680</v>
      </c>
      <c r="B2119" t="s">
        <v>790</v>
      </c>
    </row>
    <row r="2120" spans="1:2" x14ac:dyDescent="0.25">
      <c r="A2120" s="36">
        <v>20254732363</v>
      </c>
      <c r="B2120" t="s">
        <v>793</v>
      </c>
    </row>
    <row r="2121" spans="1:2" x14ac:dyDescent="0.25">
      <c r="A2121" s="36">
        <v>35942192</v>
      </c>
      <c r="B2121" t="s">
        <v>1226</v>
      </c>
    </row>
    <row r="2122" spans="1:2" x14ac:dyDescent="0.25">
      <c r="A2122" s="36">
        <v>35942192</v>
      </c>
      <c r="B2122" t="s">
        <v>1226</v>
      </c>
    </row>
    <row r="2123" spans="1:2" x14ac:dyDescent="0.25">
      <c r="A2123" s="36">
        <v>35942192</v>
      </c>
      <c r="B2123" t="s">
        <v>1226</v>
      </c>
    </row>
    <row r="2124" spans="1:2" x14ac:dyDescent="0.25">
      <c r="A2124" s="36">
        <v>35942192</v>
      </c>
      <c r="B2124" t="s">
        <v>1226</v>
      </c>
    </row>
    <row r="2125" spans="1:2" x14ac:dyDescent="0.25">
      <c r="A2125" s="36">
        <v>35942192</v>
      </c>
      <c r="B2125" t="s">
        <v>1226</v>
      </c>
    </row>
    <row r="2126" spans="1:2" x14ac:dyDescent="0.25">
      <c r="A2126" s="36">
        <v>35942192</v>
      </c>
      <c r="B2126" t="s">
        <v>1226</v>
      </c>
    </row>
    <row r="2127" spans="1:2" x14ac:dyDescent="0.25">
      <c r="A2127" s="36">
        <v>35942192</v>
      </c>
      <c r="B2127" t="s">
        <v>1226</v>
      </c>
    </row>
    <row r="2128" spans="1:2" x14ac:dyDescent="0.25">
      <c r="A2128" s="36">
        <v>35942192</v>
      </c>
      <c r="B2128" t="s">
        <v>1226</v>
      </c>
    </row>
    <row r="2129" spans="1:2" x14ac:dyDescent="0.25">
      <c r="A2129" s="36">
        <v>35942192</v>
      </c>
      <c r="B2129" t="s">
        <v>1226</v>
      </c>
    </row>
    <row r="2130" spans="1:2" x14ac:dyDescent="0.25">
      <c r="A2130" s="36">
        <v>35942192</v>
      </c>
      <c r="B2130" t="s">
        <v>1226</v>
      </c>
    </row>
    <row r="2131" spans="1:2" x14ac:dyDescent="0.25">
      <c r="A2131" s="36">
        <v>35942192</v>
      </c>
      <c r="B2131" t="s">
        <v>1226</v>
      </c>
    </row>
    <row r="2132" spans="1:2" x14ac:dyDescent="0.25">
      <c r="A2132" s="36">
        <v>35942192</v>
      </c>
      <c r="B2132" t="s">
        <v>1226</v>
      </c>
    </row>
    <row r="2133" spans="1:2" x14ac:dyDescent="0.25">
      <c r="A2133" s="36">
        <v>35942192</v>
      </c>
      <c r="B2133" t="s">
        <v>1226</v>
      </c>
    </row>
    <row r="2134" spans="1:2" x14ac:dyDescent="0.25">
      <c r="A2134" s="36">
        <v>35942192</v>
      </c>
      <c r="B2134" t="s">
        <v>1226</v>
      </c>
    </row>
    <row r="2135" spans="1:2" x14ac:dyDescent="0.25">
      <c r="A2135" s="36">
        <v>12824335</v>
      </c>
      <c r="B2135" t="s">
        <v>1238</v>
      </c>
    </row>
    <row r="2136" spans="1:2" x14ac:dyDescent="0.25">
      <c r="A2136" s="36">
        <v>12824335</v>
      </c>
      <c r="B2136" t="s">
        <v>1238</v>
      </c>
    </row>
    <row r="2137" spans="1:2" x14ac:dyDescent="0.25">
      <c r="A2137" s="36">
        <v>27161298285</v>
      </c>
      <c r="B2137" t="s">
        <v>1465</v>
      </c>
    </row>
    <row r="2138" spans="1:2" x14ac:dyDescent="0.25">
      <c r="A2138" s="36">
        <v>20922392413</v>
      </c>
      <c r="B2138" t="s">
        <v>797</v>
      </c>
    </row>
    <row r="2139" spans="1:2" x14ac:dyDescent="0.25">
      <c r="A2139" s="36">
        <v>20223632719</v>
      </c>
      <c r="B2139" t="s">
        <v>1472</v>
      </c>
    </row>
    <row r="2140" spans="1:2" x14ac:dyDescent="0.25">
      <c r="A2140" s="36">
        <v>20235931967</v>
      </c>
      <c r="B2140" t="s">
        <v>801</v>
      </c>
    </row>
    <row r="2141" spans="1:2" x14ac:dyDescent="0.25">
      <c r="A2141" s="36">
        <v>30682500162</v>
      </c>
      <c r="B2141" t="s">
        <v>802</v>
      </c>
    </row>
    <row r="2142" spans="1:2" x14ac:dyDescent="0.25">
      <c r="A2142" s="36">
        <v>30682500162</v>
      </c>
      <c r="B2142" t="s">
        <v>803</v>
      </c>
    </row>
    <row r="2143" spans="1:2" x14ac:dyDescent="0.25">
      <c r="A2143" s="36">
        <v>27127067452</v>
      </c>
      <c r="B2143" t="s">
        <v>804</v>
      </c>
    </row>
    <row r="2144" spans="1:2" x14ac:dyDescent="0.25">
      <c r="A2144" s="36">
        <v>20352381218</v>
      </c>
      <c r="B2144" t="s">
        <v>805</v>
      </c>
    </row>
    <row r="2145" spans="1:2" x14ac:dyDescent="0.25">
      <c r="A2145" s="36">
        <v>30708962275</v>
      </c>
      <c r="B2145" t="s">
        <v>806</v>
      </c>
    </row>
    <row r="2146" spans="1:2" x14ac:dyDescent="0.25">
      <c r="A2146" s="36">
        <v>37682395</v>
      </c>
      <c r="B2146" t="s">
        <v>1306</v>
      </c>
    </row>
    <row r="2147" spans="1:2" x14ac:dyDescent="0.25">
      <c r="A2147" s="36">
        <v>37682395</v>
      </c>
      <c r="B2147" t="s">
        <v>1306</v>
      </c>
    </row>
    <row r="2148" spans="1:2" x14ac:dyDescent="0.25">
      <c r="A2148" s="36">
        <v>20226341596</v>
      </c>
      <c r="B2148" t="s">
        <v>1439</v>
      </c>
    </row>
    <row r="2149" spans="1:2" x14ac:dyDescent="0.25">
      <c r="A2149" s="36">
        <v>20226341596</v>
      </c>
      <c r="B2149" t="s">
        <v>1439</v>
      </c>
    </row>
    <row r="2150" spans="1:2" x14ac:dyDescent="0.25">
      <c r="A2150" s="36">
        <v>4829719</v>
      </c>
      <c r="B2150" t="s">
        <v>807</v>
      </c>
    </row>
    <row r="2151" spans="1:2" x14ac:dyDescent="0.25">
      <c r="A2151" s="36">
        <v>30715280422</v>
      </c>
      <c r="B2151" t="s">
        <v>1441</v>
      </c>
    </row>
    <row r="2152" spans="1:2" x14ac:dyDescent="0.25">
      <c r="A2152" s="36">
        <v>30715280422</v>
      </c>
      <c r="B2152" t="s">
        <v>1441</v>
      </c>
    </row>
    <row r="2153" spans="1:2" x14ac:dyDescent="0.25">
      <c r="A2153" s="36">
        <v>27219515796</v>
      </c>
      <c r="B2153" t="s">
        <v>809</v>
      </c>
    </row>
    <row r="2154" spans="1:2" x14ac:dyDescent="0.25">
      <c r="A2154" s="36">
        <v>30592032909</v>
      </c>
      <c r="B2154" t="s">
        <v>1453</v>
      </c>
    </row>
    <row r="2155" spans="1:2" x14ac:dyDescent="0.25">
      <c r="A2155" s="36">
        <v>30592032909</v>
      </c>
      <c r="B2155" t="s">
        <v>1453</v>
      </c>
    </row>
    <row r="2156" spans="1:2" x14ac:dyDescent="0.25">
      <c r="A2156" s="36">
        <v>25795171</v>
      </c>
      <c r="B2156" t="s">
        <v>1335</v>
      </c>
    </row>
    <row r="2157" spans="1:2" x14ac:dyDescent="0.25">
      <c r="A2157" s="36">
        <v>25795171</v>
      </c>
      <c r="B2157" t="s">
        <v>1335</v>
      </c>
    </row>
    <row r="2158" spans="1:2" x14ac:dyDescent="0.25">
      <c r="A2158" s="36">
        <v>23370096899</v>
      </c>
      <c r="B2158" t="s">
        <v>810</v>
      </c>
    </row>
    <row r="2159" spans="1:2" x14ac:dyDescent="0.25">
      <c r="A2159" s="36">
        <v>20145341796</v>
      </c>
      <c r="B2159" t="s">
        <v>811</v>
      </c>
    </row>
    <row r="2160" spans="1:2" x14ac:dyDescent="0.25">
      <c r="A2160" s="36">
        <v>30717000524</v>
      </c>
      <c r="B2160" t="s">
        <v>812</v>
      </c>
    </row>
    <row r="2161" spans="1:2" x14ac:dyDescent="0.25">
      <c r="A2161" s="36">
        <v>30715407503</v>
      </c>
      <c r="B2161" t="s">
        <v>813</v>
      </c>
    </row>
    <row r="2162" spans="1:2" x14ac:dyDescent="0.25">
      <c r="A2162" s="36">
        <v>30506730038</v>
      </c>
      <c r="B2162" t="s">
        <v>816</v>
      </c>
    </row>
    <row r="2163" spans="1:2" x14ac:dyDescent="0.25">
      <c r="A2163" s="36">
        <v>30506730038</v>
      </c>
      <c r="B2163" t="s">
        <v>816</v>
      </c>
    </row>
    <row r="2164" spans="1:2" x14ac:dyDescent="0.25">
      <c r="A2164" s="36">
        <v>30506730038</v>
      </c>
      <c r="B2164" t="s">
        <v>816</v>
      </c>
    </row>
    <row r="2165" spans="1:2" x14ac:dyDescent="0.25">
      <c r="A2165" s="36">
        <v>30506730038</v>
      </c>
      <c r="B2165" t="s">
        <v>816</v>
      </c>
    </row>
    <row r="2166" spans="1:2" x14ac:dyDescent="0.25">
      <c r="A2166" s="36">
        <v>33642144699</v>
      </c>
      <c r="B2166" t="s">
        <v>817</v>
      </c>
    </row>
    <row r="2167" spans="1:2" x14ac:dyDescent="0.25">
      <c r="A2167" s="36">
        <v>30506730038</v>
      </c>
      <c r="B2167" t="s">
        <v>818</v>
      </c>
    </row>
    <row r="2168" spans="1:2" x14ac:dyDescent="0.25">
      <c r="A2168" s="36">
        <v>20076873284</v>
      </c>
      <c r="B2168" t="s">
        <v>819</v>
      </c>
    </row>
    <row r="2169" spans="1:2" x14ac:dyDescent="0.25">
      <c r="A2169" s="36">
        <v>30604078543</v>
      </c>
      <c r="B2169" t="s">
        <v>821</v>
      </c>
    </row>
    <row r="2170" spans="1:2" x14ac:dyDescent="0.25">
      <c r="A2170" s="36">
        <v>30610511801</v>
      </c>
      <c r="B2170" t="s">
        <v>822</v>
      </c>
    </row>
    <row r="2171" spans="1:2" x14ac:dyDescent="0.25">
      <c r="A2171" s="36">
        <v>20267161152</v>
      </c>
      <c r="B2171" t="s">
        <v>824</v>
      </c>
    </row>
    <row r="2172" spans="1:2" x14ac:dyDescent="0.25">
      <c r="A2172" s="36">
        <v>34932294</v>
      </c>
      <c r="B2172" t="s">
        <v>1264</v>
      </c>
    </row>
    <row r="2173" spans="1:2" x14ac:dyDescent="0.25">
      <c r="A2173" s="36">
        <v>34932294</v>
      </c>
      <c r="B2173" t="s">
        <v>1264</v>
      </c>
    </row>
    <row r="2174" spans="1:2" x14ac:dyDescent="0.25">
      <c r="A2174" s="36">
        <v>34932294</v>
      </c>
      <c r="B2174" t="s">
        <v>1264</v>
      </c>
    </row>
    <row r="2175" spans="1:2" x14ac:dyDescent="0.25">
      <c r="A2175" s="36">
        <v>34932294</v>
      </c>
      <c r="B2175" t="s">
        <v>1264</v>
      </c>
    </row>
    <row r="2176" spans="1:2" x14ac:dyDescent="0.25">
      <c r="A2176" s="36">
        <v>33715832769</v>
      </c>
      <c r="B2176" t="s">
        <v>826</v>
      </c>
    </row>
    <row r="2177" spans="1:2" x14ac:dyDescent="0.25">
      <c r="A2177" s="36">
        <v>6209031</v>
      </c>
      <c r="B2177" t="s">
        <v>827</v>
      </c>
    </row>
    <row r="2178" spans="1:2" x14ac:dyDescent="0.25">
      <c r="A2178" s="36">
        <v>30645585654</v>
      </c>
      <c r="B2178" t="s">
        <v>828</v>
      </c>
    </row>
    <row r="2179" spans="1:2" x14ac:dyDescent="0.25">
      <c r="A2179" s="36">
        <v>30712481516</v>
      </c>
      <c r="B2179" t="s">
        <v>829</v>
      </c>
    </row>
    <row r="2180" spans="1:2" x14ac:dyDescent="0.25">
      <c r="A2180" s="36">
        <v>30710381867</v>
      </c>
      <c r="B2180" t="s">
        <v>831</v>
      </c>
    </row>
    <row r="2181" spans="1:2" x14ac:dyDescent="0.25">
      <c r="A2181" s="36">
        <v>20202641424</v>
      </c>
      <c r="B2181" t="s">
        <v>832</v>
      </c>
    </row>
    <row r="2182" spans="1:2" x14ac:dyDescent="0.25">
      <c r="A2182" s="36">
        <v>20202641424</v>
      </c>
      <c r="B2182" t="s">
        <v>832</v>
      </c>
    </row>
    <row r="2183" spans="1:2" x14ac:dyDescent="0.25">
      <c r="A2183" s="36">
        <v>20202641424</v>
      </c>
      <c r="B2183" t="s">
        <v>832</v>
      </c>
    </row>
    <row r="2184" spans="1:2" x14ac:dyDescent="0.25">
      <c r="A2184" s="36">
        <v>20202641424</v>
      </c>
      <c r="B2184" t="s">
        <v>832</v>
      </c>
    </row>
    <row r="2185" spans="1:2" x14ac:dyDescent="0.25">
      <c r="A2185" s="36">
        <v>20202641424</v>
      </c>
      <c r="B2185" t="s">
        <v>832</v>
      </c>
    </row>
    <row r="2186" spans="1:2" x14ac:dyDescent="0.25">
      <c r="A2186" s="36">
        <v>30657580496</v>
      </c>
      <c r="B2186" t="s">
        <v>833</v>
      </c>
    </row>
    <row r="2187" spans="1:2" x14ac:dyDescent="0.25">
      <c r="A2187" s="36">
        <v>30657580496</v>
      </c>
      <c r="B2187" t="s">
        <v>833</v>
      </c>
    </row>
    <row r="2188" spans="1:2" x14ac:dyDescent="0.25">
      <c r="A2188" s="36">
        <v>30517616687</v>
      </c>
      <c r="B2188" t="s">
        <v>834</v>
      </c>
    </row>
    <row r="2189" spans="1:2" x14ac:dyDescent="0.25">
      <c r="A2189" s="36">
        <v>30517616687</v>
      </c>
      <c r="B2189" t="s">
        <v>834</v>
      </c>
    </row>
    <row r="2190" spans="1:2" x14ac:dyDescent="0.25">
      <c r="A2190" s="36">
        <v>20236656994</v>
      </c>
      <c r="B2190" t="s">
        <v>835</v>
      </c>
    </row>
    <row r="2191" spans="1:2" x14ac:dyDescent="0.25">
      <c r="A2191" s="36">
        <v>20236656994</v>
      </c>
      <c r="B2191" t="s">
        <v>835</v>
      </c>
    </row>
    <row r="2192" spans="1:2" x14ac:dyDescent="0.25">
      <c r="A2192" s="36">
        <v>94018871</v>
      </c>
      <c r="B2192" t="s">
        <v>836</v>
      </c>
    </row>
    <row r="2193" spans="1:2" x14ac:dyDescent="0.25">
      <c r="A2193" s="36">
        <v>94018871</v>
      </c>
      <c r="B2193" t="s">
        <v>836</v>
      </c>
    </row>
    <row r="2194" spans="1:2" x14ac:dyDescent="0.25">
      <c r="A2194" s="36">
        <v>20941512438</v>
      </c>
      <c r="B2194" t="s">
        <v>837</v>
      </c>
    </row>
    <row r="2195" spans="1:2" x14ac:dyDescent="0.25">
      <c r="A2195" s="36">
        <v>20941512438</v>
      </c>
      <c r="B2195" t="s">
        <v>837</v>
      </c>
    </row>
    <row r="2196" spans="1:2" x14ac:dyDescent="0.25">
      <c r="A2196" s="36">
        <v>20941512438</v>
      </c>
      <c r="B2196" t="s">
        <v>837</v>
      </c>
    </row>
    <row r="2197" spans="1:2" x14ac:dyDescent="0.25">
      <c r="A2197" s="36">
        <v>20941512438</v>
      </c>
      <c r="B2197" t="s">
        <v>837</v>
      </c>
    </row>
    <row r="2198" spans="1:2" x14ac:dyDescent="0.25">
      <c r="A2198" s="36">
        <v>24064111</v>
      </c>
      <c r="B2198" t="s">
        <v>1333</v>
      </c>
    </row>
    <row r="2199" spans="1:2" x14ac:dyDescent="0.25">
      <c r="A2199" s="36">
        <v>24064111</v>
      </c>
      <c r="B2199" t="s">
        <v>1333</v>
      </c>
    </row>
    <row r="2200" spans="1:2" x14ac:dyDescent="0.25">
      <c r="A2200" s="36">
        <v>30710846908</v>
      </c>
      <c r="B2200" t="s">
        <v>838</v>
      </c>
    </row>
    <row r="2201" spans="1:2" x14ac:dyDescent="0.25">
      <c r="A2201" s="36">
        <v>30710846908</v>
      </c>
      <c r="B2201" t="s">
        <v>838</v>
      </c>
    </row>
    <row r="2202" spans="1:2" x14ac:dyDescent="0.25">
      <c r="A2202" s="36">
        <v>33711072999</v>
      </c>
      <c r="B2202" t="s">
        <v>840</v>
      </c>
    </row>
    <row r="2203" spans="1:2" x14ac:dyDescent="0.25">
      <c r="A2203" s="36">
        <v>33711072999</v>
      </c>
      <c r="B2203" t="s">
        <v>840</v>
      </c>
    </row>
    <row r="2204" spans="1:2" x14ac:dyDescent="0.25">
      <c r="A2204" s="36">
        <v>33711072999</v>
      </c>
      <c r="B2204" t="s">
        <v>840</v>
      </c>
    </row>
    <row r="2205" spans="1:2" x14ac:dyDescent="0.25">
      <c r="A2205" s="36">
        <v>33711072999</v>
      </c>
      <c r="B2205" t="s">
        <v>840</v>
      </c>
    </row>
    <row r="2206" spans="1:2" x14ac:dyDescent="0.25">
      <c r="A2206" s="36">
        <v>39831609</v>
      </c>
      <c r="B2206" t="s">
        <v>1274</v>
      </c>
    </row>
    <row r="2207" spans="1:2" x14ac:dyDescent="0.25">
      <c r="A2207" s="36">
        <v>39831609</v>
      </c>
      <c r="B2207" t="s">
        <v>1274</v>
      </c>
    </row>
    <row r="2208" spans="1:2" x14ac:dyDescent="0.25">
      <c r="A2208" s="36">
        <v>18496709</v>
      </c>
      <c r="B2208" t="s">
        <v>1207</v>
      </c>
    </row>
    <row r="2209" spans="1:2" x14ac:dyDescent="0.25">
      <c r="A2209" s="36">
        <v>18496709</v>
      </c>
      <c r="B2209" t="s">
        <v>1207</v>
      </c>
    </row>
    <row r="2210" spans="1:2" x14ac:dyDescent="0.25">
      <c r="A2210" s="36">
        <v>18496709</v>
      </c>
      <c r="B2210" t="s">
        <v>1207</v>
      </c>
    </row>
    <row r="2211" spans="1:2" x14ac:dyDescent="0.25">
      <c r="A2211" s="36">
        <v>18496709</v>
      </c>
      <c r="B2211" t="s">
        <v>1207</v>
      </c>
    </row>
    <row r="2212" spans="1:2" x14ac:dyDescent="0.25">
      <c r="A2212" s="36">
        <v>16411942</v>
      </c>
      <c r="B2212" t="s">
        <v>1211</v>
      </c>
    </row>
    <row r="2213" spans="1:2" x14ac:dyDescent="0.25">
      <c r="A2213" s="36">
        <v>16411942</v>
      </c>
      <c r="B2213" t="s">
        <v>1211</v>
      </c>
    </row>
    <row r="2214" spans="1:2" x14ac:dyDescent="0.25">
      <c r="A2214" s="36">
        <v>16411942</v>
      </c>
      <c r="B2214" t="s">
        <v>1211</v>
      </c>
    </row>
    <row r="2215" spans="1:2" x14ac:dyDescent="0.25">
      <c r="A2215" s="36">
        <v>16411942</v>
      </c>
      <c r="B2215" t="s">
        <v>1211</v>
      </c>
    </row>
    <row r="2216" spans="1:2" x14ac:dyDescent="0.25">
      <c r="A2216" s="36">
        <v>27226413095</v>
      </c>
      <c r="B2216" t="s">
        <v>1417</v>
      </c>
    </row>
    <row r="2217" spans="1:2" x14ac:dyDescent="0.25">
      <c r="A2217" s="36">
        <v>27226413095</v>
      </c>
      <c r="B2217" t="s">
        <v>1417</v>
      </c>
    </row>
    <row r="2218" spans="1:2" x14ac:dyDescent="0.25">
      <c r="A2218" s="36">
        <v>20163076676</v>
      </c>
      <c r="B2218" t="s">
        <v>841</v>
      </c>
    </row>
    <row r="2219" spans="1:2" x14ac:dyDescent="0.25">
      <c r="A2219" s="36">
        <v>20163076676</v>
      </c>
      <c r="B2219" t="s">
        <v>841</v>
      </c>
    </row>
    <row r="2220" spans="1:2" x14ac:dyDescent="0.25">
      <c r="A2220" s="36">
        <v>27234905924</v>
      </c>
      <c r="B2220" t="s">
        <v>1475</v>
      </c>
    </row>
    <row r="2221" spans="1:2" x14ac:dyDescent="0.25">
      <c r="A2221" s="36">
        <v>20176582112</v>
      </c>
      <c r="B2221" t="s">
        <v>842</v>
      </c>
    </row>
    <row r="2222" spans="1:2" x14ac:dyDescent="0.25">
      <c r="A2222" s="36">
        <v>20176582112</v>
      </c>
      <c r="B2222" t="s">
        <v>842</v>
      </c>
    </row>
    <row r="2223" spans="1:2" x14ac:dyDescent="0.25">
      <c r="A2223" s="36">
        <v>30710536771</v>
      </c>
      <c r="B2223" t="s">
        <v>843</v>
      </c>
    </row>
    <row r="2224" spans="1:2" x14ac:dyDescent="0.25">
      <c r="A2224" s="36">
        <v>30710536771</v>
      </c>
      <c r="B2224" t="s">
        <v>843</v>
      </c>
    </row>
    <row r="2225" spans="1:2" x14ac:dyDescent="0.25">
      <c r="A2225" s="36">
        <v>27245614905</v>
      </c>
      <c r="B2225" t="s">
        <v>845</v>
      </c>
    </row>
    <row r="2226" spans="1:2" x14ac:dyDescent="0.25">
      <c r="A2226" s="36">
        <v>27245614905</v>
      </c>
      <c r="B2226" t="s">
        <v>845</v>
      </c>
    </row>
    <row r="2227" spans="1:2" x14ac:dyDescent="0.25">
      <c r="A2227" s="36">
        <v>30715239104</v>
      </c>
      <c r="B2227" t="s">
        <v>1390</v>
      </c>
    </row>
    <row r="2228" spans="1:2" x14ac:dyDescent="0.25">
      <c r="A2228" s="36">
        <v>30715239104</v>
      </c>
      <c r="B2228" t="s">
        <v>1390</v>
      </c>
    </row>
    <row r="2229" spans="1:2" x14ac:dyDescent="0.25">
      <c r="A2229" s="36">
        <v>30707115366</v>
      </c>
      <c r="B2229" t="s">
        <v>846</v>
      </c>
    </row>
    <row r="2230" spans="1:2" x14ac:dyDescent="0.25">
      <c r="A2230" s="36">
        <v>30707115366</v>
      </c>
      <c r="B2230" t="s">
        <v>846</v>
      </c>
    </row>
    <row r="2231" spans="1:2" x14ac:dyDescent="0.25">
      <c r="A2231" s="36">
        <v>27240421513</v>
      </c>
      <c r="B2231" t="s">
        <v>847</v>
      </c>
    </row>
    <row r="2232" spans="1:2" x14ac:dyDescent="0.25">
      <c r="A2232" s="36">
        <v>27240421513</v>
      </c>
      <c r="B2232" t="s">
        <v>847</v>
      </c>
    </row>
    <row r="2233" spans="1:2" x14ac:dyDescent="0.25">
      <c r="A2233" s="36">
        <v>20203503181</v>
      </c>
      <c r="B2233" t="s">
        <v>848</v>
      </c>
    </row>
    <row r="2234" spans="1:2" x14ac:dyDescent="0.25">
      <c r="A2234" s="36">
        <v>20203503181</v>
      </c>
      <c r="B2234" t="s">
        <v>848</v>
      </c>
    </row>
    <row r="2235" spans="1:2" x14ac:dyDescent="0.25">
      <c r="A2235" s="36">
        <v>30716523086</v>
      </c>
      <c r="B2235" t="s">
        <v>850</v>
      </c>
    </row>
    <row r="2236" spans="1:2" x14ac:dyDescent="0.25">
      <c r="A2236" s="36">
        <v>30716523086</v>
      </c>
      <c r="B2236" t="s">
        <v>850</v>
      </c>
    </row>
    <row r="2237" spans="1:2" x14ac:dyDescent="0.25">
      <c r="A2237" s="36">
        <v>27226753805</v>
      </c>
      <c r="B2237" t="s">
        <v>851</v>
      </c>
    </row>
    <row r="2238" spans="1:2" x14ac:dyDescent="0.25">
      <c r="A2238" s="36">
        <v>27226753805</v>
      </c>
      <c r="B2238" t="s">
        <v>851</v>
      </c>
    </row>
    <row r="2239" spans="1:2" x14ac:dyDescent="0.25">
      <c r="A2239" s="36">
        <v>30709480711</v>
      </c>
      <c r="B2239" t="s">
        <v>1508</v>
      </c>
    </row>
    <row r="2240" spans="1:2" x14ac:dyDescent="0.25">
      <c r="A2240" s="36">
        <v>30517424303</v>
      </c>
      <c r="B2240" t="s">
        <v>852</v>
      </c>
    </row>
    <row r="2241" spans="1:2" x14ac:dyDescent="0.25">
      <c r="A2241" s="36">
        <v>30517424303</v>
      </c>
      <c r="B2241" t="s">
        <v>852</v>
      </c>
    </row>
    <row r="2242" spans="1:2" x14ac:dyDescent="0.25">
      <c r="A2242" s="36">
        <v>27129458688</v>
      </c>
      <c r="B2242" t="s">
        <v>853</v>
      </c>
    </row>
    <row r="2243" spans="1:2" x14ac:dyDescent="0.25">
      <c r="A2243" s="36">
        <v>27129458688</v>
      </c>
      <c r="B2243" t="s">
        <v>853</v>
      </c>
    </row>
    <row r="2244" spans="1:2" x14ac:dyDescent="0.25">
      <c r="A2244" s="36">
        <v>27129458688</v>
      </c>
      <c r="B2244" t="s">
        <v>853</v>
      </c>
    </row>
    <row r="2245" spans="1:2" x14ac:dyDescent="0.25">
      <c r="A2245" s="36">
        <v>27129458688</v>
      </c>
      <c r="B2245" t="s">
        <v>853</v>
      </c>
    </row>
    <row r="2246" spans="1:2" x14ac:dyDescent="0.25">
      <c r="A2246" s="36">
        <v>20295692716</v>
      </c>
      <c r="B2246" t="s">
        <v>854</v>
      </c>
    </row>
    <row r="2247" spans="1:2" x14ac:dyDescent="0.25">
      <c r="A2247" s="36">
        <v>20295692716</v>
      </c>
      <c r="B2247" t="s">
        <v>854</v>
      </c>
    </row>
    <row r="2248" spans="1:2" x14ac:dyDescent="0.25">
      <c r="A2248" s="36">
        <v>20309493347</v>
      </c>
      <c r="B2248" t="s">
        <v>855</v>
      </c>
    </row>
    <row r="2249" spans="1:2" x14ac:dyDescent="0.25">
      <c r="A2249" s="36">
        <v>20309493347</v>
      </c>
      <c r="B2249" t="s">
        <v>855</v>
      </c>
    </row>
    <row r="2250" spans="1:2" x14ac:dyDescent="0.25">
      <c r="A2250" s="36">
        <v>20085332733</v>
      </c>
      <c r="B2250" t="s">
        <v>856</v>
      </c>
    </row>
    <row r="2251" spans="1:2" x14ac:dyDescent="0.25">
      <c r="A2251" s="36">
        <v>20085332733</v>
      </c>
      <c r="B2251" t="s">
        <v>856</v>
      </c>
    </row>
    <row r="2252" spans="1:2" x14ac:dyDescent="0.25">
      <c r="A2252" s="36">
        <v>30708428082</v>
      </c>
      <c r="B2252" t="s">
        <v>857</v>
      </c>
    </row>
    <row r="2253" spans="1:2" x14ac:dyDescent="0.25">
      <c r="A2253" s="36">
        <v>30708428082</v>
      </c>
      <c r="B2253" t="s">
        <v>857</v>
      </c>
    </row>
    <row r="2254" spans="1:2" x14ac:dyDescent="0.25">
      <c r="A2254" s="36">
        <v>30710474105</v>
      </c>
      <c r="B2254" t="s">
        <v>1351</v>
      </c>
    </row>
    <row r="2255" spans="1:2" x14ac:dyDescent="0.25">
      <c r="A2255" s="36">
        <v>30710474105</v>
      </c>
      <c r="B2255" t="s">
        <v>1351</v>
      </c>
    </row>
    <row r="2256" spans="1:2" x14ac:dyDescent="0.25">
      <c r="A2256" s="36">
        <v>27168227790</v>
      </c>
      <c r="B2256" t="s">
        <v>858</v>
      </c>
    </row>
    <row r="2257" spans="1:2" x14ac:dyDescent="0.25">
      <c r="A2257" s="36">
        <v>27168227790</v>
      </c>
      <c r="B2257" t="s">
        <v>858</v>
      </c>
    </row>
    <row r="2258" spans="1:2" x14ac:dyDescent="0.25">
      <c r="A2258" s="36">
        <v>20334416632</v>
      </c>
      <c r="B2258" t="s">
        <v>1163</v>
      </c>
    </row>
    <row r="2259" spans="1:2" x14ac:dyDescent="0.25">
      <c r="A2259" s="36">
        <v>20334416632</v>
      </c>
      <c r="B2259" t="s">
        <v>1163</v>
      </c>
    </row>
    <row r="2260" spans="1:2" x14ac:dyDescent="0.25">
      <c r="A2260" s="36">
        <v>30710144830</v>
      </c>
      <c r="B2260" t="s">
        <v>1469</v>
      </c>
    </row>
    <row r="2261" spans="1:2" x14ac:dyDescent="0.25">
      <c r="A2261" s="36">
        <v>30648820704</v>
      </c>
      <c r="B2261" t="s">
        <v>859</v>
      </c>
    </row>
    <row r="2262" spans="1:2" x14ac:dyDescent="0.25">
      <c r="A2262" s="36">
        <v>30648820704</v>
      </c>
      <c r="B2262" t="s">
        <v>859</v>
      </c>
    </row>
    <row r="2263" spans="1:2" x14ac:dyDescent="0.25">
      <c r="A2263" s="36">
        <v>30649820704</v>
      </c>
      <c r="B2263" t="s">
        <v>860</v>
      </c>
    </row>
    <row r="2264" spans="1:2" x14ac:dyDescent="0.25">
      <c r="A2264" s="36">
        <v>30649820704</v>
      </c>
      <c r="B2264" t="s">
        <v>860</v>
      </c>
    </row>
    <row r="2265" spans="1:2" x14ac:dyDescent="0.25">
      <c r="A2265" s="36">
        <v>30679699535</v>
      </c>
      <c r="B2265" t="s">
        <v>861</v>
      </c>
    </row>
    <row r="2266" spans="1:2" x14ac:dyDescent="0.25">
      <c r="A2266" s="36">
        <v>30679699535</v>
      </c>
      <c r="B2266" t="s">
        <v>861</v>
      </c>
    </row>
    <row r="2267" spans="1:2" x14ac:dyDescent="0.25">
      <c r="A2267" s="36">
        <v>30715852590</v>
      </c>
      <c r="B2267" t="s">
        <v>862</v>
      </c>
    </row>
    <row r="2268" spans="1:2" x14ac:dyDescent="0.25">
      <c r="A2268" s="36">
        <v>30715852590</v>
      </c>
      <c r="B2268" t="s">
        <v>862</v>
      </c>
    </row>
    <row r="2269" spans="1:2" x14ac:dyDescent="0.25">
      <c r="A2269" s="36">
        <v>30711105014</v>
      </c>
      <c r="B2269" t="s">
        <v>864</v>
      </c>
    </row>
    <row r="2270" spans="1:2" x14ac:dyDescent="0.25">
      <c r="A2270" s="36">
        <v>30711105014</v>
      </c>
      <c r="B2270" t="s">
        <v>864</v>
      </c>
    </row>
    <row r="2271" spans="1:2" x14ac:dyDescent="0.25">
      <c r="A2271" s="36">
        <v>30683684143</v>
      </c>
      <c r="B2271" t="s">
        <v>865</v>
      </c>
    </row>
    <row r="2272" spans="1:2" x14ac:dyDescent="0.25">
      <c r="A2272" s="36">
        <v>30683684143</v>
      </c>
      <c r="B2272" t="s">
        <v>865</v>
      </c>
    </row>
    <row r="2273" spans="1:2" x14ac:dyDescent="0.25">
      <c r="A2273" s="36">
        <v>20242296355</v>
      </c>
      <c r="B2273" t="s">
        <v>866</v>
      </c>
    </row>
    <row r="2274" spans="1:2" x14ac:dyDescent="0.25">
      <c r="A2274" s="36">
        <v>20242296355</v>
      </c>
      <c r="B2274" t="s">
        <v>866</v>
      </c>
    </row>
    <row r="2275" spans="1:2" x14ac:dyDescent="0.25">
      <c r="A2275" s="36">
        <v>20132669644</v>
      </c>
      <c r="B2275" t="s">
        <v>1491</v>
      </c>
    </row>
    <row r="2276" spans="1:2" x14ac:dyDescent="0.25">
      <c r="A2276" s="36">
        <v>27172427400</v>
      </c>
      <c r="B2276" t="s">
        <v>118</v>
      </c>
    </row>
    <row r="2277" spans="1:2" x14ac:dyDescent="0.25">
      <c r="A2277" s="36">
        <v>27172427400</v>
      </c>
      <c r="B2277" t="s">
        <v>118</v>
      </c>
    </row>
    <row r="2278" spans="1:2" x14ac:dyDescent="0.25">
      <c r="A2278" s="36">
        <v>30645330184</v>
      </c>
      <c r="B2278" t="s">
        <v>867</v>
      </c>
    </row>
    <row r="2279" spans="1:2" x14ac:dyDescent="0.25">
      <c r="A2279" s="36">
        <v>30645330184</v>
      </c>
      <c r="B2279" t="s">
        <v>867</v>
      </c>
    </row>
    <row r="2280" spans="1:2" x14ac:dyDescent="0.25">
      <c r="A2280" s="36">
        <v>30610025915</v>
      </c>
      <c r="B2280" t="s">
        <v>868</v>
      </c>
    </row>
    <row r="2281" spans="1:2" x14ac:dyDescent="0.25">
      <c r="A2281" s="36">
        <v>30610025915</v>
      </c>
      <c r="B2281" t="s">
        <v>868</v>
      </c>
    </row>
    <row r="2282" spans="1:2" x14ac:dyDescent="0.25">
      <c r="A2282" s="36">
        <v>30616500593</v>
      </c>
      <c r="B2282" t="s">
        <v>869</v>
      </c>
    </row>
    <row r="2283" spans="1:2" x14ac:dyDescent="0.25">
      <c r="A2283" s="36">
        <v>30616500593</v>
      </c>
      <c r="B2283" t="s">
        <v>869</v>
      </c>
    </row>
    <row r="2284" spans="1:2" x14ac:dyDescent="0.25">
      <c r="A2284" s="36">
        <v>30647727545</v>
      </c>
      <c r="B2284" t="s">
        <v>870</v>
      </c>
    </row>
    <row r="2285" spans="1:2" x14ac:dyDescent="0.25">
      <c r="A2285" s="36">
        <v>30647727545</v>
      </c>
      <c r="B2285" t="s">
        <v>870</v>
      </c>
    </row>
    <row r="2286" spans="1:2" x14ac:dyDescent="0.25">
      <c r="A2286" s="36">
        <v>30647727545</v>
      </c>
      <c r="B2286" t="s">
        <v>871</v>
      </c>
    </row>
    <row r="2287" spans="1:2" x14ac:dyDescent="0.25">
      <c r="A2287" s="36">
        <v>30647727545</v>
      </c>
      <c r="B2287" t="s">
        <v>871</v>
      </c>
    </row>
    <row r="2288" spans="1:2" x14ac:dyDescent="0.25">
      <c r="A2288" s="36">
        <v>33712299539</v>
      </c>
      <c r="B2288" t="s">
        <v>872</v>
      </c>
    </row>
    <row r="2289" spans="1:2" x14ac:dyDescent="0.25">
      <c r="A2289" s="36">
        <v>33712299539</v>
      </c>
      <c r="B2289" t="s">
        <v>872</v>
      </c>
    </row>
    <row r="2290" spans="1:2" x14ac:dyDescent="0.25">
      <c r="A2290" s="36">
        <v>30633678509</v>
      </c>
      <c r="B2290" t="s">
        <v>1516</v>
      </c>
    </row>
    <row r="2291" spans="1:2" x14ac:dyDescent="0.25">
      <c r="A2291" s="36">
        <v>33709344809</v>
      </c>
      <c r="B2291" t="s">
        <v>1406</v>
      </c>
    </row>
    <row r="2292" spans="1:2" x14ac:dyDescent="0.25">
      <c r="A2292" s="36">
        <v>33709344809</v>
      </c>
      <c r="B2292" t="s">
        <v>1406</v>
      </c>
    </row>
    <row r="2293" spans="1:2" x14ac:dyDescent="0.25">
      <c r="A2293" s="36">
        <v>30716388553</v>
      </c>
      <c r="B2293" t="s">
        <v>874</v>
      </c>
    </row>
    <row r="2294" spans="1:2" x14ac:dyDescent="0.25">
      <c r="A2294" s="36">
        <v>30716388553</v>
      </c>
      <c r="B2294" t="s">
        <v>874</v>
      </c>
    </row>
    <row r="2295" spans="1:2" x14ac:dyDescent="0.25">
      <c r="A2295" s="36">
        <v>30716648393</v>
      </c>
      <c r="B2295" t="s">
        <v>1411</v>
      </c>
    </row>
    <row r="2296" spans="1:2" x14ac:dyDescent="0.25">
      <c r="A2296" s="36">
        <v>30716648393</v>
      </c>
      <c r="B2296" t="s">
        <v>1411</v>
      </c>
    </row>
    <row r="2297" spans="1:2" x14ac:dyDescent="0.25">
      <c r="A2297" s="36">
        <v>20165913281</v>
      </c>
      <c r="B2297" t="s">
        <v>876</v>
      </c>
    </row>
    <row r="2298" spans="1:2" x14ac:dyDescent="0.25">
      <c r="A2298" s="36">
        <v>20165913281</v>
      </c>
      <c r="B2298" t="s">
        <v>876</v>
      </c>
    </row>
    <row r="2299" spans="1:2" x14ac:dyDescent="0.25">
      <c r="A2299" s="36">
        <v>20165913281</v>
      </c>
      <c r="B2299" t="s">
        <v>876</v>
      </c>
    </row>
    <row r="2300" spans="1:2" x14ac:dyDescent="0.25">
      <c r="A2300" s="36">
        <v>20165913281</v>
      </c>
      <c r="B2300" t="s">
        <v>876</v>
      </c>
    </row>
    <row r="2301" spans="1:2" x14ac:dyDescent="0.25">
      <c r="A2301" s="36">
        <v>27176483291</v>
      </c>
      <c r="B2301" t="s">
        <v>877</v>
      </c>
    </row>
    <row r="2302" spans="1:2" x14ac:dyDescent="0.25">
      <c r="A2302" s="36">
        <v>27176483291</v>
      </c>
      <c r="B2302" t="s">
        <v>877</v>
      </c>
    </row>
    <row r="2303" spans="1:2" x14ac:dyDescent="0.25">
      <c r="A2303" s="36">
        <v>31335549</v>
      </c>
      <c r="B2303" t="s">
        <v>878</v>
      </c>
    </row>
    <row r="2304" spans="1:2" x14ac:dyDescent="0.25">
      <c r="A2304" s="36">
        <v>31335549</v>
      </c>
      <c r="B2304" t="s">
        <v>878</v>
      </c>
    </row>
    <row r="2305" spans="1:2" x14ac:dyDescent="0.25">
      <c r="A2305" s="36">
        <v>30700876590</v>
      </c>
      <c r="B2305" t="s">
        <v>879</v>
      </c>
    </row>
    <row r="2306" spans="1:2" x14ac:dyDescent="0.25">
      <c r="A2306" s="36">
        <v>30700876590</v>
      </c>
      <c r="B2306" t="s">
        <v>879</v>
      </c>
    </row>
    <row r="2307" spans="1:2" x14ac:dyDescent="0.25">
      <c r="A2307" s="36">
        <v>30715006177</v>
      </c>
      <c r="B2307" t="s">
        <v>880</v>
      </c>
    </row>
    <row r="2308" spans="1:2" x14ac:dyDescent="0.25">
      <c r="A2308" s="36">
        <v>30715006177</v>
      </c>
      <c r="B2308" t="s">
        <v>880</v>
      </c>
    </row>
    <row r="2309" spans="1:2" x14ac:dyDescent="0.25">
      <c r="A2309" s="36">
        <v>20184103924</v>
      </c>
      <c r="B2309" t="s">
        <v>881</v>
      </c>
    </row>
    <row r="2310" spans="1:2" x14ac:dyDescent="0.25">
      <c r="A2310" s="36">
        <v>20184103924</v>
      </c>
      <c r="B2310" t="s">
        <v>881</v>
      </c>
    </row>
    <row r="2311" spans="1:2" x14ac:dyDescent="0.25">
      <c r="A2311" s="36">
        <v>30663434191</v>
      </c>
      <c r="B2311" t="s">
        <v>883</v>
      </c>
    </row>
    <row r="2312" spans="1:2" x14ac:dyDescent="0.25">
      <c r="A2312" s="36">
        <v>30663434191</v>
      </c>
      <c r="B2312" t="s">
        <v>883</v>
      </c>
    </row>
    <row r="2313" spans="1:2" x14ac:dyDescent="0.25">
      <c r="A2313" s="36">
        <v>23309270819</v>
      </c>
      <c r="B2313" t="s">
        <v>884</v>
      </c>
    </row>
    <row r="2314" spans="1:2" x14ac:dyDescent="0.25">
      <c r="A2314" s="36">
        <v>23309270819</v>
      </c>
      <c r="B2314" t="s">
        <v>884</v>
      </c>
    </row>
    <row r="2315" spans="1:2" x14ac:dyDescent="0.25">
      <c r="A2315" s="36">
        <v>20243351309</v>
      </c>
      <c r="B2315" t="s">
        <v>1460</v>
      </c>
    </row>
    <row r="2316" spans="1:2" x14ac:dyDescent="0.25">
      <c r="A2316" s="36">
        <v>20243351309</v>
      </c>
      <c r="B2316" t="s">
        <v>1460</v>
      </c>
    </row>
    <row r="2317" spans="1:2" x14ac:dyDescent="0.25">
      <c r="A2317" s="36">
        <v>30707833765</v>
      </c>
      <c r="B2317" t="s">
        <v>886</v>
      </c>
    </row>
    <row r="2318" spans="1:2" x14ac:dyDescent="0.25">
      <c r="A2318" s="36">
        <v>30707833765</v>
      </c>
      <c r="B2318" t="s">
        <v>886</v>
      </c>
    </row>
    <row r="2319" spans="1:2" x14ac:dyDescent="0.25">
      <c r="A2319" s="36">
        <v>30500625194</v>
      </c>
      <c r="B2319" t="s">
        <v>887</v>
      </c>
    </row>
    <row r="2320" spans="1:2" x14ac:dyDescent="0.25">
      <c r="A2320" s="36">
        <v>30500625194</v>
      </c>
      <c r="B2320" t="s">
        <v>887</v>
      </c>
    </row>
    <row r="2321" spans="1:2" x14ac:dyDescent="0.25">
      <c r="A2321" s="36">
        <v>20162028732</v>
      </c>
      <c r="B2321" t="s">
        <v>888</v>
      </c>
    </row>
    <row r="2322" spans="1:2" x14ac:dyDescent="0.25">
      <c r="A2322" s="36">
        <v>20162028732</v>
      </c>
      <c r="B2322" t="s">
        <v>888</v>
      </c>
    </row>
    <row r="2323" spans="1:2" x14ac:dyDescent="0.25">
      <c r="A2323" s="36">
        <v>30715079549</v>
      </c>
      <c r="B2323" t="s">
        <v>889</v>
      </c>
    </row>
    <row r="2324" spans="1:2" x14ac:dyDescent="0.25">
      <c r="A2324" s="36">
        <v>30715079549</v>
      </c>
      <c r="B2324" t="s">
        <v>889</v>
      </c>
    </row>
    <row r="2325" spans="1:2" x14ac:dyDescent="0.25">
      <c r="A2325" s="36">
        <v>27226500338</v>
      </c>
      <c r="B2325" t="s">
        <v>1466</v>
      </c>
    </row>
    <row r="2326" spans="1:2" x14ac:dyDescent="0.25">
      <c r="A2326" s="36">
        <v>30528650003</v>
      </c>
      <c r="B2326" t="s">
        <v>890</v>
      </c>
    </row>
    <row r="2327" spans="1:2" x14ac:dyDescent="0.25">
      <c r="A2327" s="36">
        <v>30528650003</v>
      </c>
      <c r="B2327" t="s">
        <v>890</v>
      </c>
    </row>
    <row r="2328" spans="1:2" x14ac:dyDescent="0.25">
      <c r="A2328" s="36">
        <v>34569874</v>
      </c>
      <c r="B2328" t="s">
        <v>1206</v>
      </c>
    </row>
    <row r="2329" spans="1:2" x14ac:dyDescent="0.25">
      <c r="A2329" s="36">
        <v>34569874</v>
      </c>
      <c r="B2329" t="s">
        <v>1206</v>
      </c>
    </row>
    <row r="2330" spans="1:2" x14ac:dyDescent="0.25">
      <c r="A2330" s="36">
        <v>23344755523</v>
      </c>
      <c r="B2330" t="s">
        <v>892</v>
      </c>
    </row>
    <row r="2331" spans="1:2" x14ac:dyDescent="0.25">
      <c r="A2331" s="36">
        <v>23344755523</v>
      </c>
      <c r="B2331" t="s">
        <v>892</v>
      </c>
    </row>
    <row r="2332" spans="1:2" x14ac:dyDescent="0.25">
      <c r="A2332" s="36">
        <v>23344755523</v>
      </c>
      <c r="B2332" t="s">
        <v>892</v>
      </c>
    </row>
    <row r="2333" spans="1:2" x14ac:dyDescent="0.25">
      <c r="A2333" s="36">
        <v>23344755523</v>
      </c>
      <c r="B2333" t="s">
        <v>892</v>
      </c>
    </row>
    <row r="2334" spans="1:2" x14ac:dyDescent="0.25">
      <c r="A2334" s="36">
        <v>23344755523</v>
      </c>
      <c r="B2334" t="s">
        <v>892</v>
      </c>
    </row>
    <row r="2335" spans="1:2" x14ac:dyDescent="0.25">
      <c r="A2335" s="36">
        <v>23344755523</v>
      </c>
      <c r="B2335" t="s">
        <v>892</v>
      </c>
    </row>
    <row r="2336" spans="1:2" x14ac:dyDescent="0.25">
      <c r="A2336" s="36">
        <v>23344755523</v>
      </c>
      <c r="B2336" t="s">
        <v>892</v>
      </c>
    </row>
    <row r="2337" spans="1:2" x14ac:dyDescent="0.25">
      <c r="A2337" s="36">
        <v>23344755523</v>
      </c>
      <c r="B2337" t="s">
        <v>892</v>
      </c>
    </row>
    <row r="2338" spans="1:2" x14ac:dyDescent="0.25">
      <c r="A2338" s="36">
        <v>20210020412</v>
      </c>
      <c r="B2338" t="s">
        <v>893</v>
      </c>
    </row>
    <row r="2339" spans="1:2" x14ac:dyDescent="0.25">
      <c r="A2339" s="36">
        <v>20210020412</v>
      </c>
      <c r="B2339" t="s">
        <v>893</v>
      </c>
    </row>
    <row r="2340" spans="1:2" x14ac:dyDescent="0.25">
      <c r="A2340" s="36">
        <v>30584633383</v>
      </c>
      <c r="B2340" t="s">
        <v>894</v>
      </c>
    </row>
    <row r="2341" spans="1:2" x14ac:dyDescent="0.25">
      <c r="A2341" s="36">
        <v>30584633383</v>
      </c>
      <c r="B2341" t="s">
        <v>894</v>
      </c>
    </row>
    <row r="2342" spans="1:2" x14ac:dyDescent="0.25">
      <c r="A2342" s="36">
        <v>30715701975</v>
      </c>
      <c r="B2342" t="s">
        <v>1191</v>
      </c>
    </row>
    <row r="2343" spans="1:2" x14ac:dyDescent="0.25">
      <c r="A2343" s="36">
        <v>30715701975</v>
      </c>
      <c r="B2343" t="s">
        <v>1191</v>
      </c>
    </row>
    <row r="2344" spans="1:2" x14ac:dyDescent="0.25">
      <c r="A2344" s="36">
        <v>30709182389</v>
      </c>
      <c r="B2344" t="s">
        <v>895</v>
      </c>
    </row>
    <row r="2345" spans="1:2" x14ac:dyDescent="0.25">
      <c r="A2345" s="36">
        <v>30709182389</v>
      </c>
      <c r="B2345" t="s">
        <v>895</v>
      </c>
    </row>
    <row r="2346" spans="1:2" x14ac:dyDescent="0.25">
      <c r="A2346" s="36">
        <v>30665725829</v>
      </c>
      <c r="B2346" t="s">
        <v>896</v>
      </c>
    </row>
    <row r="2347" spans="1:2" x14ac:dyDescent="0.25">
      <c r="A2347" s="36">
        <v>30665725829</v>
      </c>
      <c r="B2347" t="s">
        <v>896</v>
      </c>
    </row>
    <row r="2348" spans="1:2" x14ac:dyDescent="0.25">
      <c r="A2348" s="36">
        <v>30715487876</v>
      </c>
      <c r="B2348" t="s">
        <v>897</v>
      </c>
    </row>
    <row r="2349" spans="1:2" x14ac:dyDescent="0.25">
      <c r="A2349" s="36">
        <v>30715487876</v>
      </c>
      <c r="B2349" t="s">
        <v>897</v>
      </c>
    </row>
    <row r="2350" spans="1:2" x14ac:dyDescent="0.25">
      <c r="A2350" s="36">
        <v>23110449429</v>
      </c>
      <c r="B2350" t="s">
        <v>898</v>
      </c>
    </row>
    <row r="2351" spans="1:2" x14ac:dyDescent="0.25">
      <c r="A2351" s="36">
        <v>23110449429</v>
      </c>
      <c r="B2351" t="s">
        <v>898</v>
      </c>
    </row>
    <row r="2352" spans="1:2" x14ac:dyDescent="0.25">
      <c r="A2352" s="36">
        <v>20171417148</v>
      </c>
      <c r="B2352" t="s">
        <v>899</v>
      </c>
    </row>
    <row r="2353" spans="1:2" x14ac:dyDescent="0.25">
      <c r="A2353" s="36">
        <v>20171417148</v>
      </c>
      <c r="B2353" t="s">
        <v>899</v>
      </c>
    </row>
    <row r="2354" spans="1:2" x14ac:dyDescent="0.25">
      <c r="A2354" s="36">
        <v>30715925164</v>
      </c>
      <c r="B2354" t="s">
        <v>900</v>
      </c>
    </row>
    <row r="2355" spans="1:2" x14ac:dyDescent="0.25">
      <c r="A2355" s="36">
        <v>30715925164</v>
      </c>
      <c r="B2355" t="s">
        <v>900</v>
      </c>
    </row>
    <row r="2356" spans="1:2" x14ac:dyDescent="0.25">
      <c r="A2356" s="36">
        <v>30572076764</v>
      </c>
      <c r="B2356" t="s">
        <v>901</v>
      </c>
    </row>
    <row r="2357" spans="1:2" x14ac:dyDescent="0.25">
      <c r="A2357" s="36">
        <v>30572076764</v>
      </c>
      <c r="B2357" t="s">
        <v>901</v>
      </c>
    </row>
    <row r="2358" spans="1:2" x14ac:dyDescent="0.25">
      <c r="A2358" s="36">
        <v>30654118767</v>
      </c>
      <c r="B2358" t="s">
        <v>902</v>
      </c>
    </row>
    <row r="2359" spans="1:2" x14ac:dyDescent="0.25">
      <c r="A2359" s="36">
        <v>30654118767</v>
      </c>
      <c r="B2359" t="s">
        <v>902</v>
      </c>
    </row>
    <row r="2360" spans="1:2" x14ac:dyDescent="0.25">
      <c r="A2360" s="36">
        <v>30709040908</v>
      </c>
      <c r="B2360" t="s">
        <v>903</v>
      </c>
    </row>
    <row r="2361" spans="1:2" x14ac:dyDescent="0.25">
      <c r="A2361" s="36">
        <v>30709040908</v>
      </c>
      <c r="B2361" t="s">
        <v>903</v>
      </c>
    </row>
    <row r="2362" spans="1:2" x14ac:dyDescent="0.25">
      <c r="A2362" s="36">
        <v>33714720789</v>
      </c>
      <c r="B2362" s="2" t="s">
        <v>905</v>
      </c>
    </row>
    <row r="2363" spans="1:2" x14ac:dyDescent="0.25">
      <c r="A2363" s="36">
        <v>33714720789</v>
      </c>
      <c r="B2363" t="s">
        <v>905</v>
      </c>
    </row>
    <row r="2364" spans="1:2" x14ac:dyDescent="0.25">
      <c r="A2364" s="36">
        <v>20258711611</v>
      </c>
      <c r="B2364" t="s">
        <v>1408</v>
      </c>
    </row>
    <row r="2365" spans="1:2" x14ac:dyDescent="0.25">
      <c r="A2365" s="36">
        <v>20258711611</v>
      </c>
      <c r="B2365" t="s">
        <v>1408</v>
      </c>
    </row>
    <row r="2366" spans="1:2" x14ac:dyDescent="0.25">
      <c r="A2366" s="36">
        <v>42622446</v>
      </c>
      <c r="B2366" t="s">
        <v>1260</v>
      </c>
    </row>
    <row r="2367" spans="1:2" x14ac:dyDescent="0.25">
      <c r="A2367" s="36">
        <v>42622446</v>
      </c>
      <c r="B2367" t="s">
        <v>1260</v>
      </c>
    </row>
    <row r="2368" spans="1:2" x14ac:dyDescent="0.25">
      <c r="A2368" s="36">
        <v>27103618792</v>
      </c>
      <c r="B2368" t="s">
        <v>1468</v>
      </c>
    </row>
    <row r="2369" spans="1:2" x14ac:dyDescent="0.25">
      <c r="A2369" s="36">
        <v>34432726</v>
      </c>
      <c r="B2369" t="s">
        <v>1281</v>
      </c>
    </row>
    <row r="2370" spans="1:2" x14ac:dyDescent="0.25">
      <c r="A2370" s="36">
        <v>34432726</v>
      </c>
      <c r="B2370" t="s">
        <v>1281</v>
      </c>
    </row>
    <row r="2371" spans="1:2" x14ac:dyDescent="0.25">
      <c r="A2371" s="36">
        <v>18198929</v>
      </c>
      <c r="B2371" t="s">
        <v>1244</v>
      </c>
    </row>
    <row r="2372" spans="1:2" x14ac:dyDescent="0.25">
      <c r="A2372" s="36">
        <v>18198929</v>
      </c>
      <c r="B2372" t="s">
        <v>1244</v>
      </c>
    </row>
    <row r="2373" spans="1:2" x14ac:dyDescent="0.25">
      <c r="A2373" s="36">
        <v>13740696</v>
      </c>
      <c r="B2373" t="s">
        <v>909</v>
      </c>
    </row>
    <row r="2374" spans="1:2" x14ac:dyDescent="0.25">
      <c r="A2374" s="36">
        <v>13740696</v>
      </c>
      <c r="B2374" t="s">
        <v>909</v>
      </c>
    </row>
    <row r="2375" spans="1:2" x14ac:dyDescent="0.25">
      <c r="A2375" s="36">
        <v>30577797281</v>
      </c>
      <c r="B2375" t="s">
        <v>912</v>
      </c>
    </row>
    <row r="2376" spans="1:2" x14ac:dyDescent="0.25">
      <c r="A2376" s="36">
        <v>30577797281</v>
      </c>
      <c r="B2376" t="s">
        <v>912</v>
      </c>
    </row>
    <row r="2377" spans="1:2" x14ac:dyDescent="0.25">
      <c r="A2377" s="36">
        <v>20249295869</v>
      </c>
      <c r="B2377" t="s">
        <v>913</v>
      </c>
    </row>
    <row r="2378" spans="1:2" x14ac:dyDescent="0.25">
      <c r="A2378" s="36">
        <v>20249295869</v>
      </c>
      <c r="B2378" t="s">
        <v>913</v>
      </c>
    </row>
    <row r="2379" spans="1:2" x14ac:dyDescent="0.25">
      <c r="A2379" s="36">
        <v>20238775389</v>
      </c>
      <c r="B2379" t="s">
        <v>914</v>
      </c>
    </row>
    <row r="2380" spans="1:2" x14ac:dyDescent="0.25">
      <c r="A2380" s="36">
        <v>20238775389</v>
      </c>
      <c r="B2380" t="s">
        <v>914</v>
      </c>
    </row>
    <row r="2381" spans="1:2" x14ac:dyDescent="0.25">
      <c r="A2381" s="36">
        <v>30500221956</v>
      </c>
      <c r="B2381" t="s">
        <v>915</v>
      </c>
    </row>
    <row r="2382" spans="1:2" x14ac:dyDescent="0.25">
      <c r="A2382" s="36">
        <v>30500221956</v>
      </c>
      <c r="B2382" t="s">
        <v>915</v>
      </c>
    </row>
    <row r="2383" spans="1:2" x14ac:dyDescent="0.25">
      <c r="A2383" s="36">
        <v>30516336885</v>
      </c>
      <c r="B2383" t="s">
        <v>1400</v>
      </c>
    </row>
    <row r="2384" spans="1:2" x14ac:dyDescent="0.25">
      <c r="A2384" s="36">
        <v>30516336885</v>
      </c>
      <c r="B2384" t="s">
        <v>1400</v>
      </c>
    </row>
    <row r="2385" spans="1:2" x14ac:dyDescent="0.25">
      <c r="A2385" s="36">
        <v>20388413000</v>
      </c>
      <c r="B2385" t="s">
        <v>916</v>
      </c>
    </row>
    <row r="2386" spans="1:2" x14ac:dyDescent="0.25">
      <c r="A2386" s="36">
        <v>20388413000</v>
      </c>
      <c r="B2386" t="s">
        <v>916</v>
      </c>
    </row>
    <row r="2387" spans="1:2" x14ac:dyDescent="0.25">
      <c r="A2387" s="36">
        <v>20276237889</v>
      </c>
      <c r="B2387" t="s">
        <v>917</v>
      </c>
    </row>
    <row r="2388" spans="1:2" x14ac:dyDescent="0.25">
      <c r="A2388" s="36">
        <v>20276237889</v>
      </c>
      <c r="B2388" t="s">
        <v>917</v>
      </c>
    </row>
    <row r="2389" spans="1:2" x14ac:dyDescent="0.25">
      <c r="A2389" s="36">
        <v>24847198</v>
      </c>
      <c r="B2389" t="s">
        <v>1262</v>
      </c>
    </row>
    <row r="2390" spans="1:2" x14ac:dyDescent="0.25">
      <c r="A2390" s="36">
        <v>24847198</v>
      </c>
      <c r="B2390" t="s">
        <v>1262</v>
      </c>
    </row>
    <row r="2391" spans="1:2" x14ac:dyDescent="0.25">
      <c r="A2391" s="36">
        <v>20293879681</v>
      </c>
      <c r="B2391" t="s">
        <v>918</v>
      </c>
    </row>
    <row r="2392" spans="1:2" x14ac:dyDescent="0.25">
      <c r="A2392" s="36">
        <v>20293879681</v>
      </c>
      <c r="B2392" t="s">
        <v>918</v>
      </c>
    </row>
    <row r="2393" spans="1:2" x14ac:dyDescent="0.25">
      <c r="A2393" s="36">
        <v>20172324240</v>
      </c>
      <c r="B2393" t="s">
        <v>919</v>
      </c>
    </row>
    <row r="2394" spans="1:2" x14ac:dyDescent="0.25">
      <c r="A2394" s="36">
        <v>20172324240</v>
      </c>
      <c r="B2394" t="s">
        <v>919</v>
      </c>
    </row>
    <row r="2395" spans="1:2" x14ac:dyDescent="0.25">
      <c r="A2395" s="36">
        <v>28951546</v>
      </c>
      <c r="B2395" t="s">
        <v>1216</v>
      </c>
    </row>
    <row r="2396" spans="1:2" x14ac:dyDescent="0.25">
      <c r="A2396" s="36">
        <v>28951546</v>
      </c>
      <c r="B2396" t="s">
        <v>1216</v>
      </c>
    </row>
    <row r="2397" spans="1:2" x14ac:dyDescent="0.25">
      <c r="A2397" s="36">
        <v>28951546</v>
      </c>
      <c r="B2397" t="s">
        <v>1216</v>
      </c>
    </row>
    <row r="2398" spans="1:2" x14ac:dyDescent="0.25">
      <c r="A2398" s="36">
        <v>28951546</v>
      </c>
      <c r="B2398" t="s">
        <v>1216</v>
      </c>
    </row>
    <row r="2399" spans="1:2" x14ac:dyDescent="0.25">
      <c r="A2399" s="36">
        <v>20211427834</v>
      </c>
      <c r="B2399" t="s">
        <v>921</v>
      </c>
    </row>
    <row r="2400" spans="1:2" x14ac:dyDescent="0.25">
      <c r="A2400" s="36">
        <v>20211427834</v>
      </c>
      <c r="B2400" t="s">
        <v>921</v>
      </c>
    </row>
    <row r="2401" spans="1:2" x14ac:dyDescent="0.25">
      <c r="A2401" s="36">
        <v>30711500711</v>
      </c>
      <c r="B2401" t="s">
        <v>922</v>
      </c>
    </row>
    <row r="2402" spans="1:2" x14ac:dyDescent="0.25">
      <c r="A2402" s="36">
        <v>30711500711</v>
      </c>
      <c r="B2402" t="s">
        <v>922</v>
      </c>
    </row>
    <row r="2403" spans="1:2" x14ac:dyDescent="0.25">
      <c r="A2403" s="36">
        <v>20041986078</v>
      </c>
      <c r="B2403" t="s">
        <v>924</v>
      </c>
    </row>
    <row r="2404" spans="1:2" x14ac:dyDescent="0.25">
      <c r="A2404" s="36">
        <v>20041986078</v>
      </c>
      <c r="B2404" t="s">
        <v>924</v>
      </c>
    </row>
    <row r="2405" spans="1:2" x14ac:dyDescent="0.25">
      <c r="A2405" s="36">
        <v>20934658230</v>
      </c>
      <c r="B2405" t="s">
        <v>925</v>
      </c>
    </row>
    <row r="2406" spans="1:2" x14ac:dyDescent="0.25">
      <c r="A2406" s="36">
        <v>20934658230</v>
      </c>
      <c r="B2406" t="s">
        <v>925</v>
      </c>
    </row>
    <row r="2407" spans="1:2" x14ac:dyDescent="0.25">
      <c r="A2407" s="36">
        <v>20934658230</v>
      </c>
      <c r="B2407" t="s">
        <v>925</v>
      </c>
    </row>
    <row r="2408" spans="1:2" x14ac:dyDescent="0.25">
      <c r="A2408" s="36">
        <v>20934658230</v>
      </c>
      <c r="B2408" t="s">
        <v>925</v>
      </c>
    </row>
    <row r="2409" spans="1:2" x14ac:dyDescent="0.25">
      <c r="A2409" s="36">
        <v>20084002675</v>
      </c>
      <c r="B2409" t="s">
        <v>926</v>
      </c>
    </row>
    <row r="2410" spans="1:2" x14ac:dyDescent="0.25">
      <c r="A2410" s="36">
        <v>20084002675</v>
      </c>
      <c r="B2410" t="s">
        <v>926</v>
      </c>
    </row>
    <row r="2411" spans="1:2" x14ac:dyDescent="0.25">
      <c r="A2411" s="36">
        <v>30715259407</v>
      </c>
      <c r="B2411" t="s">
        <v>927</v>
      </c>
    </row>
    <row r="2412" spans="1:2" x14ac:dyDescent="0.25">
      <c r="A2412" s="36">
        <v>30715259407</v>
      </c>
      <c r="B2412" t="s">
        <v>927</v>
      </c>
    </row>
    <row r="2413" spans="1:2" x14ac:dyDescent="0.25">
      <c r="A2413" s="36">
        <v>30717465403</v>
      </c>
      <c r="B2413" t="s">
        <v>928</v>
      </c>
    </row>
    <row r="2414" spans="1:2" x14ac:dyDescent="0.25">
      <c r="A2414" s="36">
        <v>30717465403</v>
      </c>
      <c r="B2414" t="s">
        <v>928</v>
      </c>
    </row>
    <row r="2415" spans="1:2" x14ac:dyDescent="0.25">
      <c r="A2415" s="36">
        <v>27202375958</v>
      </c>
      <c r="B2415" t="s">
        <v>930</v>
      </c>
    </row>
    <row r="2416" spans="1:2" x14ac:dyDescent="0.25">
      <c r="A2416" s="36">
        <v>27202375958</v>
      </c>
      <c r="B2416" t="s">
        <v>930</v>
      </c>
    </row>
    <row r="2417" spans="1:2" x14ac:dyDescent="0.25">
      <c r="A2417" s="36">
        <v>20045279244</v>
      </c>
      <c r="B2417" t="s">
        <v>931</v>
      </c>
    </row>
    <row r="2418" spans="1:2" x14ac:dyDescent="0.25">
      <c r="A2418" s="36">
        <v>20045279244</v>
      </c>
      <c r="B2418" t="s">
        <v>931</v>
      </c>
    </row>
    <row r="2419" spans="1:2" x14ac:dyDescent="0.25">
      <c r="A2419" s="36">
        <v>30716209551</v>
      </c>
      <c r="B2419" t="s">
        <v>933</v>
      </c>
    </row>
    <row r="2420" spans="1:2" x14ac:dyDescent="0.25">
      <c r="A2420" s="36">
        <v>30716209551</v>
      </c>
      <c r="B2420" t="s">
        <v>933</v>
      </c>
    </row>
    <row r="2421" spans="1:2" x14ac:dyDescent="0.25">
      <c r="A2421" s="36">
        <v>30716258439</v>
      </c>
      <c r="B2421" t="s">
        <v>934</v>
      </c>
    </row>
    <row r="2422" spans="1:2" x14ac:dyDescent="0.25">
      <c r="A2422" s="36">
        <v>30716258439</v>
      </c>
      <c r="B2422" t="s">
        <v>934</v>
      </c>
    </row>
    <row r="2423" spans="1:2" x14ac:dyDescent="0.25">
      <c r="A2423" s="36">
        <v>30710486952</v>
      </c>
      <c r="B2423" t="s">
        <v>937</v>
      </c>
    </row>
    <row r="2424" spans="1:2" x14ac:dyDescent="0.25">
      <c r="A2424" s="36">
        <v>30710486952</v>
      </c>
      <c r="B2424" t="s">
        <v>937</v>
      </c>
    </row>
    <row r="2425" spans="1:2" x14ac:dyDescent="0.25">
      <c r="A2425" s="36">
        <v>23145783224</v>
      </c>
      <c r="B2425" t="s">
        <v>100</v>
      </c>
    </row>
    <row r="2426" spans="1:2" x14ac:dyDescent="0.25">
      <c r="A2426" s="36">
        <v>23145783224</v>
      </c>
      <c r="B2426" t="s">
        <v>100</v>
      </c>
    </row>
    <row r="2427" spans="1:2" x14ac:dyDescent="0.25">
      <c r="A2427" s="36">
        <v>30712121781</v>
      </c>
      <c r="B2427" t="s">
        <v>1562</v>
      </c>
    </row>
    <row r="2428" spans="1:2" x14ac:dyDescent="0.25">
      <c r="A2428" s="36">
        <v>20174824585</v>
      </c>
      <c r="B2428" t="s">
        <v>940</v>
      </c>
    </row>
    <row r="2429" spans="1:2" x14ac:dyDescent="0.25">
      <c r="A2429" s="36">
        <v>20174824585</v>
      </c>
      <c r="B2429" t="s">
        <v>940</v>
      </c>
    </row>
    <row r="2430" spans="1:2" x14ac:dyDescent="0.25">
      <c r="A2430" s="36">
        <v>24215334</v>
      </c>
      <c r="B2430" t="s">
        <v>1296</v>
      </c>
    </row>
    <row r="2431" spans="1:2" x14ac:dyDescent="0.25">
      <c r="A2431" s="36">
        <v>24215334</v>
      </c>
      <c r="B2431" t="s">
        <v>1296</v>
      </c>
    </row>
    <row r="2432" spans="1:2" x14ac:dyDescent="0.25">
      <c r="A2432" s="36">
        <v>27166041673</v>
      </c>
      <c r="B2432" t="s">
        <v>941</v>
      </c>
    </row>
    <row r="2433" spans="1:2" x14ac:dyDescent="0.25">
      <c r="A2433" s="36">
        <v>27166041673</v>
      </c>
      <c r="B2433" t="s">
        <v>941</v>
      </c>
    </row>
    <row r="2434" spans="1:2" x14ac:dyDescent="0.25">
      <c r="A2434" s="36">
        <v>30649038089</v>
      </c>
      <c r="B2434" t="s">
        <v>942</v>
      </c>
    </row>
    <row r="2435" spans="1:2" x14ac:dyDescent="0.25">
      <c r="A2435" s="36">
        <v>30649038089</v>
      </c>
      <c r="B2435" t="s">
        <v>942</v>
      </c>
    </row>
    <row r="2436" spans="1:2" x14ac:dyDescent="0.25">
      <c r="A2436" s="36">
        <v>30709276332</v>
      </c>
      <c r="B2436" t="s">
        <v>943</v>
      </c>
    </row>
    <row r="2437" spans="1:2" x14ac:dyDescent="0.25">
      <c r="A2437" s="36">
        <v>30709276332</v>
      </c>
      <c r="B2437" t="s">
        <v>943</v>
      </c>
    </row>
    <row r="2438" spans="1:2" x14ac:dyDescent="0.25">
      <c r="A2438" s="36">
        <v>30685376349</v>
      </c>
      <c r="B2438" t="s">
        <v>946</v>
      </c>
    </row>
    <row r="2439" spans="1:2" x14ac:dyDescent="0.25">
      <c r="A2439" s="36">
        <v>30685376349</v>
      </c>
      <c r="B2439" t="s">
        <v>946</v>
      </c>
    </row>
    <row r="2440" spans="1:2" x14ac:dyDescent="0.25">
      <c r="A2440" s="36">
        <v>30716290154</v>
      </c>
      <c r="B2440" t="s">
        <v>948</v>
      </c>
    </row>
    <row r="2441" spans="1:2" x14ac:dyDescent="0.25">
      <c r="A2441" s="36">
        <v>30716290154</v>
      </c>
      <c r="B2441" t="s">
        <v>948</v>
      </c>
    </row>
    <row r="2442" spans="1:2" x14ac:dyDescent="0.25">
      <c r="A2442" s="36">
        <v>20267697516</v>
      </c>
      <c r="B2442" t="s">
        <v>949</v>
      </c>
    </row>
    <row r="2443" spans="1:2" x14ac:dyDescent="0.25">
      <c r="A2443" s="36">
        <v>20267697516</v>
      </c>
      <c r="B2443" t="s">
        <v>949</v>
      </c>
    </row>
    <row r="2444" spans="1:2" x14ac:dyDescent="0.25">
      <c r="A2444" s="36">
        <v>30715422782</v>
      </c>
      <c r="B2444" t="s">
        <v>950</v>
      </c>
    </row>
    <row r="2445" spans="1:2" x14ac:dyDescent="0.25">
      <c r="A2445" s="36">
        <v>30715422782</v>
      </c>
      <c r="B2445" t="s">
        <v>950</v>
      </c>
    </row>
    <row r="2446" spans="1:2" x14ac:dyDescent="0.25">
      <c r="A2446" s="36">
        <v>30714511005</v>
      </c>
      <c r="B2446" t="s">
        <v>953</v>
      </c>
    </row>
    <row r="2447" spans="1:2" x14ac:dyDescent="0.25">
      <c r="A2447" s="36">
        <v>30714511005</v>
      </c>
      <c r="B2447" t="s">
        <v>953</v>
      </c>
    </row>
    <row r="2448" spans="1:2" x14ac:dyDescent="0.25">
      <c r="A2448" s="36">
        <v>30708960736</v>
      </c>
      <c r="B2448" t="s">
        <v>954</v>
      </c>
    </row>
    <row r="2449" spans="1:2" x14ac:dyDescent="0.25">
      <c r="A2449" s="36">
        <v>30708960736</v>
      </c>
      <c r="B2449" t="s">
        <v>954</v>
      </c>
    </row>
    <row r="2450" spans="1:2" x14ac:dyDescent="0.25">
      <c r="A2450" s="36">
        <v>30708351063</v>
      </c>
      <c r="B2450" t="s">
        <v>955</v>
      </c>
    </row>
    <row r="2451" spans="1:2" x14ac:dyDescent="0.25">
      <c r="A2451" s="36">
        <v>30708351063</v>
      </c>
      <c r="B2451" t="s">
        <v>955</v>
      </c>
    </row>
    <row r="2452" spans="1:2" x14ac:dyDescent="0.25">
      <c r="A2452" s="36">
        <v>30711246556</v>
      </c>
      <c r="B2452" t="s">
        <v>956</v>
      </c>
    </row>
    <row r="2453" spans="1:2" x14ac:dyDescent="0.25">
      <c r="A2453" s="36">
        <v>30711246556</v>
      </c>
      <c r="B2453" t="s">
        <v>956</v>
      </c>
    </row>
    <row r="2454" spans="1:2" x14ac:dyDescent="0.25">
      <c r="A2454" s="36">
        <v>30707761357</v>
      </c>
      <c r="B2454" t="s">
        <v>957</v>
      </c>
    </row>
    <row r="2455" spans="1:2" x14ac:dyDescent="0.25">
      <c r="A2455" s="36">
        <v>30707761357</v>
      </c>
      <c r="B2455" t="s">
        <v>957</v>
      </c>
    </row>
    <row r="2456" spans="1:2" x14ac:dyDescent="0.25">
      <c r="A2456" s="36">
        <v>30639453975</v>
      </c>
      <c r="B2456" t="s">
        <v>1173</v>
      </c>
    </row>
    <row r="2457" spans="1:2" x14ac:dyDescent="0.25">
      <c r="A2457" s="36">
        <v>30639453975</v>
      </c>
      <c r="B2457" t="s">
        <v>1173</v>
      </c>
    </row>
    <row r="2458" spans="1:2" x14ac:dyDescent="0.25">
      <c r="A2458" s="36">
        <v>30639453975</v>
      </c>
      <c r="B2458" t="s">
        <v>1173</v>
      </c>
    </row>
    <row r="2459" spans="1:2" x14ac:dyDescent="0.25">
      <c r="A2459" s="36">
        <v>30639453975</v>
      </c>
      <c r="B2459" t="s">
        <v>1173</v>
      </c>
    </row>
    <row r="2460" spans="1:2" x14ac:dyDescent="0.25">
      <c r="A2460" s="36">
        <v>30639453975</v>
      </c>
      <c r="B2460" t="s">
        <v>1367</v>
      </c>
    </row>
    <row r="2461" spans="1:2" x14ac:dyDescent="0.25">
      <c r="A2461" s="36">
        <v>30639453975</v>
      </c>
      <c r="B2461" t="s">
        <v>1367</v>
      </c>
    </row>
    <row r="2462" spans="1:2" x14ac:dyDescent="0.25">
      <c r="A2462" s="36">
        <v>30715548182</v>
      </c>
      <c r="B2462" t="s">
        <v>1518</v>
      </c>
    </row>
    <row r="2463" spans="1:2" x14ac:dyDescent="0.25">
      <c r="A2463" s="36">
        <v>33695098419</v>
      </c>
      <c r="B2463" t="s">
        <v>963</v>
      </c>
    </row>
    <row r="2464" spans="1:2" x14ac:dyDescent="0.25">
      <c r="A2464" s="36">
        <v>33695098419</v>
      </c>
      <c r="B2464" t="s">
        <v>963</v>
      </c>
    </row>
    <row r="2465" spans="1:2" x14ac:dyDescent="0.25">
      <c r="A2465" s="36">
        <v>34593997202</v>
      </c>
      <c r="B2465" t="s">
        <v>964</v>
      </c>
    </row>
    <row r="2466" spans="1:2" x14ac:dyDescent="0.25">
      <c r="A2466" s="36">
        <v>34593997202</v>
      </c>
      <c r="B2466" t="s">
        <v>964</v>
      </c>
    </row>
    <row r="2467" spans="1:2" x14ac:dyDescent="0.25">
      <c r="A2467" s="36">
        <v>30716088320</v>
      </c>
      <c r="B2467" t="s">
        <v>965</v>
      </c>
    </row>
    <row r="2468" spans="1:2" x14ac:dyDescent="0.25">
      <c r="A2468" s="36">
        <v>30716088320</v>
      </c>
      <c r="B2468" t="s">
        <v>965</v>
      </c>
    </row>
    <row r="2469" spans="1:2" x14ac:dyDescent="0.25">
      <c r="A2469" s="36">
        <v>30710092784</v>
      </c>
      <c r="B2469" t="s">
        <v>966</v>
      </c>
    </row>
    <row r="2470" spans="1:2" x14ac:dyDescent="0.25">
      <c r="A2470" s="36">
        <v>30710092784</v>
      </c>
      <c r="B2470" t="s">
        <v>966</v>
      </c>
    </row>
    <row r="2471" spans="1:2" x14ac:dyDescent="0.25">
      <c r="A2471" s="36">
        <v>20066033946</v>
      </c>
      <c r="B2471" t="s">
        <v>967</v>
      </c>
    </row>
    <row r="2472" spans="1:2" x14ac:dyDescent="0.25">
      <c r="A2472" s="36">
        <v>20066033946</v>
      </c>
      <c r="B2472" t="s">
        <v>967</v>
      </c>
    </row>
    <row r="2473" spans="1:2" x14ac:dyDescent="0.25">
      <c r="A2473" s="36">
        <v>33629816599</v>
      </c>
      <c r="B2473" t="s">
        <v>968</v>
      </c>
    </row>
    <row r="2474" spans="1:2" x14ac:dyDescent="0.25">
      <c r="A2474" s="36">
        <v>33629816599</v>
      </c>
      <c r="B2474" t="s">
        <v>968</v>
      </c>
    </row>
    <row r="2475" spans="1:2" x14ac:dyDescent="0.25">
      <c r="A2475" s="36">
        <v>20925943410</v>
      </c>
      <c r="B2475" t="s">
        <v>969</v>
      </c>
    </row>
    <row r="2476" spans="1:2" x14ac:dyDescent="0.25">
      <c r="A2476" s="36">
        <v>20925943410</v>
      </c>
      <c r="B2476" t="s">
        <v>969</v>
      </c>
    </row>
    <row r="2477" spans="1:2" x14ac:dyDescent="0.25">
      <c r="A2477" s="36">
        <v>30710718438</v>
      </c>
      <c r="B2477" t="s">
        <v>970</v>
      </c>
    </row>
    <row r="2478" spans="1:2" x14ac:dyDescent="0.25">
      <c r="A2478" s="36">
        <v>30710718438</v>
      </c>
      <c r="B2478" t="s">
        <v>970</v>
      </c>
    </row>
    <row r="2479" spans="1:2" x14ac:dyDescent="0.25">
      <c r="A2479" s="36">
        <v>30716296438</v>
      </c>
      <c r="B2479" t="s">
        <v>971</v>
      </c>
    </row>
    <row r="2480" spans="1:2" x14ac:dyDescent="0.25">
      <c r="A2480" s="36">
        <v>30716296438</v>
      </c>
      <c r="B2480" t="s">
        <v>971</v>
      </c>
    </row>
    <row r="2481" spans="1:2" x14ac:dyDescent="0.25">
      <c r="A2481" s="36">
        <v>30711902054</v>
      </c>
      <c r="B2481" t="s">
        <v>975</v>
      </c>
    </row>
    <row r="2482" spans="1:2" x14ac:dyDescent="0.25">
      <c r="A2482" s="36">
        <v>30711902054</v>
      </c>
      <c r="B2482" t="s">
        <v>975</v>
      </c>
    </row>
    <row r="2483" spans="1:2" x14ac:dyDescent="0.25">
      <c r="A2483" s="36">
        <v>30711902054</v>
      </c>
      <c r="B2483" t="s">
        <v>976</v>
      </c>
    </row>
    <row r="2484" spans="1:2" x14ac:dyDescent="0.25">
      <c r="A2484" s="36">
        <v>30711902054</v>
      </c>
      <c r="B2484" t="s">
        <v>976</v>
      </c>
    </row>
    <row r="2485" spans="1:2" x14ac:dyDescent="0.25">
      <c r="A2485" s="36">
        <v>30709081728</v>
      </c>
      <c r="B2485" t="s">
        <v>977</v>
      </c>
    </row>
    <row r="2486" spans="1:2" x14ac:dyDescent="0.25">
      <c r="A2486" s="36">
        <v>30709081728</v>
      </c>
      <c r="B2486" t="s">
        <v>977</v>
      </c>
    </row>
    <row r="2487" spans="1:2" x14ac:dyDescent="0.25">
      <c r="A2487" s="36">
        <v>30715251201</v>
      </c>
      <c r="B2487" t="s">
        <v>978</v>
      </c>
    </row>
    <row r="2488" spans="1:2" x14ac:dyDescent="0.25">
      <c r="A2488" s="36">
        <v>30715251201</v>
      </c>
      <c r="B2488" t="s">
        <v>978</v>
      </c>
    </row>
    <row r="2489" spans="1:2" x14ac:dyDescent="0.25">
      <c r="A2489" s="36">
        <v>30715293923</v>
      </c>
      <c r="B2489" t="s">
        <v>980</v>
      </c>
    </row>
    <row r="2490" spans="1:2" x14ac:dyDescent="0.25">
      <c r="A2490" s="36">
        <v>30715293923</v>
      </c>
      <c r="B2490" t="s">
        <v>980</v>
      </c>
    </row>
    <row r="2491" spans="1:2" x14ac:dyDescent="0.25">
      <c r="A2491" s="36">
        <v>30716087588</v>
      </c>
      <c r="B2491" t="s">
        <v>1488</v>
      </c>
    </row>
    <row r="2492" spans="1:2" x14ac:dyDescent="0.25">
      <c r="A2492" s="36">
        <v>30707824618</v>
      </c>
      <c r="B2492" t="s">
        <v>981</v>
      </c>
    </row>
    <row r="2493" spans="1:2" x14ac:dyDescent="0.25">
      <c r="A2493" s="36">
        <v>30707824618</v>
      </c>
      <c r="B2493" t="s">
        <v>981</v>
      </c>
    </row>
    <row r="2494" spans="1:2" x14ac:dyDescent="0.25">
      <c r="A2494" s="36">
        <v>30715505661</v>
      </c>
      <c r="B2494" t="s">
        <v>982</v>
      </c>
    </row>
    <row r="2495" spans="1:2" x14ac:dyDescent="0.25">
      <c r="A2495" s="36">
        <v>30715505661</v>
      </c>
      <c r="B2495" t="s">
        <v>982</v>
      </c>
    </row>
    <row r="2496" spans="1:2" x14ac:dyDescent="0.25">
      <c r="A2496" s="36">
        <v>30712370978</v>
      </c>
      <c r="B2496" t="s">
        <v>983</v>
      </c>
    </row>
    <row r="2497" spans="1:2" x14ac:dyDescent="0.25">
      <c r="A2497" s="36">
        <v>30712370978</v>
      </c>
      <c r="B2497" t="s">
        <v>983</v>
      </c>
    </row>
    <row r="2498" spans="1:2" x14ac:dyDescent="0.25">
      <c r="A2498" s="36">
        <v>30708491086</v>
      </c>
      <c r="B2498" t="s">
        <v>984</v>
      </c>
    </row>
    <row r="2499" spans="1:2" x14ac:dyDescent="0.25">
      <c r="A2499" s="36">
        <v>30708491086</v>
      </c>
      <c r="B2499" t="s">
        <v>984</v>
      </c>
    </row>
    <row r="2500" spans="1:2" x14ac:dyDescent="0.25">
      <c r="A2500" s="36">
        <v>30715702920</v>
      </c>
      <c r="B2500" t="s">
        <v>986</v>
      </c>
    </row>
    <row r="2501" spans="1:2" x14ac:dyDescent="0.25">
      <c r="A2501" s="36">
        <v>30715702920</v>
      </c>
      <c r="B2501" t="s">
        <v>986</v>
      </c>
    </row>
    <row r="2502" spans="1:2" x14ac:dyDescent="0.25">
      <c r="A2502" s="36">
        <v>20229914007</v>
      </c>
      <c r="B2502" t="s">
        <v>987</v>
      </c>
    </row>
    <row r="2503" spans="1:2" x14ac:dyDescent="0.25">
      <c r="A2503" s="36">
        <v>20229914007</v>
      </c>
      <c r="B2503" t="s">
        <v>987</v>
      </c>
    </row>
    <row r="2504" spans="1:2" x14ac:dyDescent="0.25">
      <c r="A2504" s="36">
        <v>30710484534</v>
      </c>
      <c r="B2504" t="s">
        <v>988</v>
      </c>
    </row>
    <row r="2505" spans="1:2" x14ac:dyDescent="0.25">
      <c r="A2505" s="36">
        <v>30710484534</v>
      </c>
      <c r="B2505" t="s">
        <v>988</v>
      </c>
    </row>
    <row r="2506" spans="1:2" x14ac:dyDescent="0.25">
      <c r="A2506" s="36">
        <v>30708847247</v>
      </c>
      <c r="B2506" t="s">
        <v>989</v>
      </c>
    </row>
    <row r="2507" spans="1:2" x14ac:dyDescent="0.25">
      <c r="A2507" s="36">
        <v>30708847247</v>
      </c>
      <c r="B2507" t="s">
        <v>989</v>
      </c>
    </row>
    <row r="2508" spans="1:2" x14ac:dyDescent="0.25">
      <c r="A2508" s="36">
        <v>21934163</v>
      </c>
      <c r="B2508" t="s">
        <v>1325</v>
      </c>
    </row>
    <row r="2509" spans="1:2" x14ac:dyDescent="0.25">
      <c r="A2509" s="36">
        <v>21934163</v>
      </c>
      <c r="B2509" t="s">
        <v>1325</v>
      </c>
    </row>
    <row r="2510" spans="1:2" x14ac:dyDescent="0.25">
      <c r="A2510" s="36">
        <v>30715169254</v>
      </c>
      <c r="B2510" t="s">
        <v>990</v>
      </c>
    </row>
    <row r="2511" spans="1:2" x14ac:dyDescent="0.25">
      <c r="A2511" s="36">
        <v>30715169254</v>
      </c>
      <c r="B2511" t="s">
        <v>990</v>
      </c>
    </row>
    <row r="2512" spans="1:2" x14ac:dyDescent="0.25">
      <c r="A2512" s="36">
        <v>30715168254</v>
      </c>
      <c r="B2512" t="s">
        <v>991</v>
      </c>
    </row>
    <row r="2513" spans="1:2" x14ac:dyDescent="0.25">
      <c r="A2513" s="36">
        <v>30715168254</v>
      </c>
      <c r="B2513" t="s">
        <v>991</v>
      </c>
    </row>
    <row r="2514" spans="1:2" x14ac:dyDescent="0.25">
      <c r="A2514" s="36">
        <v>30715147250</v>
      </c>
      <c r="B2514" t="s">
        <v>993</v>
      </c>
    </row>
    <row r="2515" spans="1:2" x14ac:dyDescent="0.25">
      <c r="A2515" s="36">
        <v>30715147250</v>
      </c>
      <c r="B2515" t="s">
        <v>993</v>
      </c>
    </row>
    <row r="2516" spans="1:2" x14ac:dyDescent="0.25">
      <c r="A2516" s="36">
        <v>27329450991</v>
      </c>
      <c r="B2516" t="s">
        <v>1436</v>
      </c>
    </row>
    <row r="2517" spans="1:2" x14ac:dyDescent="0.25">
      <c r="A2517" s="36">
        <v>27329450991</v>
      </c>
      <c r="B2517" t="s">
        <v>1436</v>
      </c>
    </row>
    <row r="2518" spans="1:2" x14ac:dyDescent="0.25">
      <c r="A2518" s="36">
        <v>30500525327</v>
      </c>
      <c r="B2518" t="s">
        <v>1409</v>
      </c>
    </row>
    <row r="2519" spans="1:2" x14ac:dyDescent="0.25">
      <c r="A2519" s="36">
        <v>30500525327</v>
      </c>
      <c r="B2519" t="s">
        <v>1409</v>
      </c>
    </row>
    <row r="2520" spans="1:2" x14ac:dyDescent="0.25">
      <c r="A2520" s="36">
        <v>30715221426</v>
      </c>
      <c r="B2520" t="s">
        <v>995</v>
      </c>
    </row>
    <row r="2521" spans="1:2" x14ac:dyDescent="0.25">
      <c r="A2521" s="36">
        <v>30715221426</v>
      </c>
      <c r="B2521" t="s">
        <v>995</v>
      </c>
    </row>
    <row r="2522" spans="1:2" x14ac:dyDescent="0.25">
      <c r="A2522" s="36">
        <v>20939212508</v>
      </c>
      <c r="B2522" t="s">
        <v>996</v>
      </c>
    </row>
    <row r="2523" spans="1:2" x14ac:dyDescent="0.25">
      <c r="A2523" s="36">
        <v>20939212508</v>
      </c>
      <c r="B2523" t="s">
        <v>996</v>
      </c>
    </row>
    <row r="2524" spans="1:2" x14ac:dyDescent="0.25">
      <c r="A2524" s="36">
        <v>30711694605</v>
      </c>
      <c r="B2524" t="s">
        <v>1455</v>
      </c>
    </row>
    <row r="2525" spans="1:2" x14ac:dyDescent="0.25">
      <c r="A2525" s="36">
        <v>30711694605</v>
      </c>
      <c r="B2525" t="s">
        <v>1455</v>
      </c>
    </row>
    <row r="2526" spans="1:2" x14ac:dyDescent="0.25">
      <c r="A2526" s="36">
        <v>30709532568</v>
      </c>
      <c r="B2526" t="s">
        <v>997</v>
      </c>
    </row>
    <row r="2527" spans="1:2" x14ac:dyDescent="0.25">
      <c r="A2527" s="36">
        <v>30709532568</v>
      </c>
      <c r="B2527" t="s">
        <v>997</v>
      </c>
    </row>
    <row r="2528" spans="1:2" x14ac:dyDescent="0.25">
      <c r="A2528" s="36">
        <v>30709063061</v>
      </c>
      <c r="B2528" t="s">
        <v>998</v>
      </c>
    </row>
    <row r="2529" spans="1:2" x14ac:dyDescent="0.25">
      <c r="A2529" s="36">
        <v>30709063061</v>
      </c>
      <c r="B2529" t="s">
        <v>998</v>
      </c>
    </row>
    <row r="2530" spans="1:2" x14ac:dyDescent="0.25">
      <c r="A2530" s="36">
        <v>30531602273</v>
      </c>
      <c r="B2530" t="s">
        <v>1000</v>
      </c>
    </row>
    <row r="2531" spans="1:2" x14ac:dyDescent="0.25">
      <c r="A2531" s="36">
        <v>30531602273</v>
      </c>
      <c r="B2531" t="s">
        <v>1000</v>
      </c>
    </row>
    <row r="2532" spans="1:2" x14ac:dyDescent="0.25">
      <c r="A2532" s="36">
        <v>30709002755</v>
      </c>
      <c r="B2532" t="s">
        <v>1003</v>
      </c>
    </row>
    <row r="2533" spans="1:2" x14ac:dyDescent="0.25">
      <c r="A2533" s="36">
        <v>30709002755</v>
      </c>
      <c r="B2533" t="s">
        <v>1003</v>
      </c>
    </row>
    <row r="2534" spans="1:2" x14ac:dyDescent="0.25">
      <c r="A2534" s="36">
        <v>30709361895</v>
      </c>
      <c r="B2534" t="s">
        <v>1004</v>
      </c>
    </row>
    <row r="2535" spans="1:2" x14ac:dyDescent="0.25">
      <c r="A2535" s="36">
        <v>30709361895</v>
      </c>
      <c r="B2535" t="s">
        <v>1004</v>
      </c>
    </row>
    <row r="2536" spans="1:2" x14ac:dyDescent="0.25">
      <c r="A2536" s="36">
        <v>34584348951</v>
      </c>
      <c r="B2536" t="s">
        <v>1005</v>
      </c>
    </row>
    <row r="2537" spans="1:2" x14ac:dyDescent="0.25">
      <c r="A2537" s="36">
        <v>34584348951</v>
      </c>
      <c r="B2537" t="s">
        <v>1005</v>
      </c>
    </row>
    <row r="2538" spans="1:2" x14ac:dyDescent="0.25">
      <c r="A2538" s="36">
        <v>30614916490</v>
      </c>
      <c r="B2538" t="s">
        <v>1006</v>
      </c>
    </row>
    <row r="2539" spans="1:2" x14ac:dyDescent="0.25">
      <c r="A2539" s="36">
        <v>30614916490</v>
      </c>
      <c r="B2539" t="s">
        <v>1006</v>
      </c>
    </row>
    <row r="2540" spans="1:2" x14ac:dyDescent="0.25">
      <c r="A2540" s="36">
        <v>30715044060</v>
      </c>
      <c r="B2540" t="s">
        <v>1009</v>
      </c>
    </row>
    <row r="2541" spans="1:2" x14ac:dyDescent="0.25">
      <c r="A2541" s="36">
        <v>30715044060</v>
      </c>
      <c r="B2541" t="s">
        <v>1009</v>
      </c>
    </row>
    <row r="2542" spans="1:2" x14ac:dyDescent="0.25">
      <c r="A2542" s="36">
        <v>30710573936</v>
      </c>
      <c r="B2542" t="s">
        <v>1010</v>
      </c>
    </row>
    <row r="2543" spans="1:2" x14ac:dyDescent="0.25">
      <c r="A2543" s="36">
        <v>30710573936</v>
      </c>
      <c r="B2543" t="s">
        <v>1010</v>
      </c>
    </row>
    <row r="2544" spans="1:2" x14ac:dyDescent="0.25">
      <c r="A2544" s="36">
        <v>33712310419</v>
      </c>
      <c r="B2544" t="s">
        <v>1011</v>
      </c>
    </row>
    <row r="2545" spans="1:2" x14ac:dyDescent="0.25">
      <c r="A2545" s="36">
        <v>33712310419</v>
      </c>
      <c r="B2545" t="s">
        <v>1011</v>
      </c>
    </row>
    <row r="2546" spans="1:2" x14ac:dyDescent="0.25">
      <c r="A2546" s="36">
        <v>30570046663</v>
      </c>
      <c r="B2546" t="s">
        <v>1358</v>
      </c>
    </row>
    <row r="2547" spans="1:2" x14ac:dyDescent="0.25">
      <c r="A2547" s="36">
        <v>30570046663</v>
      </c>
      <c r="B2547" t="s">
        <v>1358</v>
      </c>
    </row>
    <row r="2548" spans="1:2" x14ac:dyDescent="0.25">
      <c r="A2548" s="36">
        <v>30708457244</v>
      </c>
      <c r="B2548" t="s">
        <v>1014</v>
      </c>
    </row>
    <row r="2549" spans="1:2" x14ac:dyDescent="0.25">
      <c r="A2549" s="36">
        <v>30708457244</v>
      </c>
      <c r="B2549" t="s">
        <v>1014</v>
      </c>
    </row>
    <row r="2550" spans="1:2" x14ac:dyDescent="0.25">
      <c r="A2550" s="36">
        <v>21847097</v>
      </c>
      <c r="B2550" t="s">
        <v>1015</v>
      </c>
    </row>
    <row r="2551" spans="1:2" x14ac:dyDescent="0.25">
      <c r="A2551" s="36">
        <v>21847097</v>
      </c>
      <c r="B2551" t="s">
        <v>1015</v>
      </c>
    </row>
    <row r="2552" spans="1:2" x14ac:dyDescent="0.25">
      <c r="A2552" s="36">
        <v>20279412207</v>
      </c>
      <c r="B2552" t="s">
        <v>1145</v>
      </c>
    </row>
    <row r="2553" spans="1:2" x14ac:dyDescent="0.25">
      <c r="A2553" s="36">
        <v>20279412207</v>
      </c>
      <c r="B2553" t="s">
        <v>1145</v>
      </c>
    </row>
    <row r="2554" spans="1:2" x14ac:dyDescent="0.25">
      <c r="A2554" s="36">
        <v>27249100019</v>
      </c>
      <c r="B2554" t="s">
        <v>1017</v>
      </c>
    </row>
    <row r="2555" spans="1:2" x14ac:dyDescent="0.25">
      <c r="A2555" s="36">
        <v>27249100019</v>
      </c>
      <c r="B2555" t="s">
        <v>1017</v>
      </c>
    </row>
    <row r="2556" spans="1:2" x14ac:dyDescent="0.25">
      <c r="A2556" s="36">
        <v>23161117269</v>
      </c>
      <c r="B2556" t="s">
        <v>1018</v>
      </c>
    </row>
    <row r="2557" spans="1:2" x14ac:dyDescent="0.25">
      <c r="A2557" s="36">
        <v>23161117269</v>
      </c>
      <c r="B2557" t="s">
        <v>1018</v>
      </c>
    </row>
    <row r="2558" spans="1:2" x14ac:dyDescent="0.25">
      <c r="A2558" s="36">
        <v>25024253</v>
      </c>
      <c r="B2558" t="s">
        <v>1328</v>
      </c>
    </row>
    <row r="2559" spans="1:2" x14ac:dyDescent="0.25">
      <c r="A2559" s="36">
        <v>25024253</v>
      </c>
      <c r="B2559" t="s">
        <v>1328</v>
      </c>
    </row>
    <row r="2560" spans="1:2" x14ac:dyDescent="0.25">
      <c r="A2560" s="36">
        <v>30710473168</v>
      </c>
      <c r="B2560" t="s">
        <v>1023</v>
      </c>
    </row>
    <row r="2561" spans="1:3" x14ac:dyDescent="0.25">
      <c r="A2561" s="36">
        <v>30710473168</v>
      </c>
      <c r="B2561" t="s">
        <v>1023</v>
      </c>
    </row>
    <row r="2562" spans="1:3" x14ac:dyDescent="0.25">
      <c r="A2562" s="36">
        <v>30661186085</v>
      </c>
      <c r="B2562" t="s">
        <v>1539</v>
      </c>
    </row>
    <row r="2563" spans="1:3" x14ac:dyDescent="0.25">
      <c r="A2563" s="36">
        <v>30501912405</v>
      </c>
      <c r="B2563" t="s">
        <v>1027</v>
      </c>
    </row>
    <row r="2564" spans="1:3" x14ac:dyDescent="0.25">
      <c r="A2564" s="36">
        <v>30501912405</v>
      </c>
      <c r="B2564" t="s">
        <v>1027</v>
      </c>
    </row>
    <row r="2565" spans="1:3" x14ac:dyDescent="0.25">
      <c r="A2565" s="36">
        <v>30710649150</v>
      </c>
      <c r="B2565" t="s">
        <v>1028</v>
      </c>
    </row>
    <row r="2566" spans="1:3" x14ac:dyDescent="0.25">
      <c r="A2566" s="36">
        <v>30710649150</v>
      </c>
      <c r="B2566" t="s">
        <v>1028</v>
      </c>
    </row>
    <row r="2567" spans="1:3" x14ac:dyDescent="0.25">
      <c r="A2567" s="36">
        <v>30710649150</v>
      </c>
      <c r="B2567" t="s">
        <v>1029</v>
      </c>
    </row>
    <row r="2568" spans="1:3" x14ac:dyDescent="0.25">
      <c r="A2568" s="36">
        <v>30710649150</v>
      </c>
      <c r="B2568" t="s">
        <v>1029</v>
      </c>
    </row>
    <row r="2569" spans="1:3" x14ac:dyDescent="0.25">
      <c r="A2569" s="36">
        <v>30532905555</v>
      </c>
      <c r="B2569" t="s">
        <v>1554</v>
      </c>
      <c r="C2569" s="35" t="s">
        <v>3065</v>
      </c>
    </row>
    <row r="2570" spans="1:3" x14ac:dyDescent="0.25">
      <c r="A2570" s="36">
        <v>30710352689</v>
      </c>
      <c r="B2570" t="s">
        <v>1030</v>
      </c>
    </row>
    <row r="2571" spans="1:3" x14ac:dyDescent="0.25">
      <c r="A2571" s="36">
        <v>30710352689</v>
      </c>
      <c r="B2571" t="s">
        <v>1030</v>
      </c>
    </row>
    <row r="2572" spans="1:3" x14ac:dyDescent="0.25">
      <c r="A2572" s="36">
        <v>30716605007</v>
      </c>
      <c r="B2572" t="s">
        <v>1031</v>
      </c>
    </row>
    <row r="2573" spans="1:3" x14ac:dyDescent="0.25">
      <c r="A2573" s="36">
        <v>30716605007</v>
      </c>
      <c r="B2573" t="s">
        <v>1031</v>
      </c>
    </row>
    <row r="2574" spans="1:3" x14ac:dyDescent="0.25">
      <c r="A2574" s="36">
        <v>30711186138</v>
      </c>
      <c r="B2574" t="s">
        <v>1032</v>
      </c>
    </row>
    <row r="2575" spans="1:3" x14ac:dyDescent="0.25">
      <c r="A2575" s="36">
        <v>30711186138</v>
      </c>
      <c r="B2575" t="s">
        <v>1032</v>
      </c>
    </row>
    <row r="2576" spans="1:3" x14ac:dyDescent="0.25">
      <c r="A2576" s="36">
        <v>33710531299</v>
      </c>
      <c r="B2576" t="s">
        <v>1033</v>
      </c>
    </row>
    <row r="2577" spans="1:5" x14ac:dyDescent="0.25">
      <c r="A2577" s="36">
        <v>33710531299</v>
      </c>
      <c r="B2577" t="s">
        <v>1033</v>
      </c>
    </row>
    <row r="2578" spans="1:5" x14ac:dyDescent="0.25">
      <c r="A2578" s="36">
        <v>30717145328</v>
      </c>
      <c r="B2578" t="s">
        <v>1035</v>
      </c>
    </row>
    <row r="2579" spans="1:5" x14ac:dyDescent="0.25">
      <c r="A2579" s="36">
        <v>30717145328</v>
      </c>
      <c r="B2579" t="s">
        <v>1035</v>
      </c>
    </row>
    <row r="2580" spans="1:5" x14ac:dyDescent="0.25">
      <c r="A2580" s="36">
        <v>33714677239</v>
      </c>
      <c r="B2580" t="s">
        <v>1355</v>
      </c>
      <c r="D2580" t="s">
        <v>1752</v>
      </c>
    </row>
    <row r="2581" spans="1:5" x14ac:dyDescent="0.25">
      <c r="A2581" s="36">
        <v>20366883879</v>
      </c>
      <c r="B2581" t="s">
        <v>1394</v>
      </c>
      <c r="C2581" s="35" t="s">
        <v>112</v>
      </c>
      <c r="E2581" t="s">
        <v>2590</v>
      </c>
    </row>
    <row r="2582" spans="1:5" x14ac:dyDescent="0.25">
      <c r="A2582" s="36">
        <v>20366883879</v>
      </c>
      <c r="B2582" t="s">
        <v>1394</v>
      </c>
    </row>
    <row r="2583" spans="1:5" x14ac:dyDescent="0.25">
      <c r="A2583" s="36">
        <v>30709034304</v>
      </c>
      <c r="B2583" t="s">
        <v>1037</v>
      </c>
    </row>
    <row r="2584" spans="1:5" x14ac:dyDescent="0.25">
      <c r="A2584" s="36">
        <v>30709034304</v>
      </c>
      <c r="B2584" t="s">
        <v>1037</v>
      </c>
    </row>
    <row r="2585" spans="1:5" x14ac:dyDescent="0.25">
      <c r="A2585" s="36">
        <v>20116347742</v>
      </c>
      <c r="B2585" t="s">
        <v>1509</v>
      </c>
    </row>
    <row r="2586" spans="1:5" x14ac:dyDescent="0.25">
      <c r="A2586" s="36">
        <v>20234542371</v>
      </c>
      <c r="B2586" t="s">
        <v>1038</v>
      </c>
    </row>
    <row r="2587" spans="1:5" x14ac:dyDescent="0.25">
      <c r="A2587" s="36">
        <v>20234542371</v>
      </c>
      <c r="B2587" t="s">
        <v>1038</v>
      </c>
    </row>
    <row r="2588" spans="1:5" x14ac:dyDescent="0.25">
      <c r="A2588" s="36">
        <v>20161297217</v>
      </c>
      <c r="B2588" t="s">
        <v>1039</v>
      </c>
    </row>
    <row r="2589" spans="1:5" x14ac:dyDescent="0.25">
      <c r="A2589" s="36">
        <v>20135300277</v>
      </c>
      <c r="B2589" t="s">
        <v>1040</v>
      </c>
    </row>
    <row r="2590" spans="1:5" x14ac:dyDescent="0.25">
      <c r="A2590" s="36">
        <v>20135300277</v>
      </c>
      <c r="B2590" t="s">
        <v>1040</v>
      </c>
    </row>
    <row r="2591" spans="1:5" x14ac:dyDescent="0.25">
      <c r="A2591" s="36">
        <v>23269528214</v>
      </c>
      <c r="B2591" t="s">
        <v>1185</v>
      </c>
    </row>
    <row r="2592" spans="1:5" x14ac:dyDescent="0.25">
      <c r="A2592" s="36">
        <v>23269528214</v>
      </c>
      <c r="B2592" t="s">
        <v>1185</v>
      </c>
    </row>
    <row r="2593" spans="1:2" x14ac:dyDescent="0.25">
      <c r="A2593" s="36">
        <v>20044441269</v>
      </c>
      <c r="B2593" t="s">
        <v>1041</v>
      </c>
    </row>
    <row r="2594" spans="1:2" x14ac:dyDescent="0.25">
      <c r="A2594" s="36">
        <v>34569874</v>
      </c>
      <c r="B2594" t="s">
        <v>1266</v>
      </c>
    </row>
    <row r="2595" spans="1:2" x14ac:dyDescent="0.25">
      <c r="A2595" s="36">
        <v>34569874</v>
      </c>
      <c r="B2595" t="s">
        <v>1266</v>
      </c>
    </row>
    <row r="2596" spans="1:2" x14ac:dyDescent="0.25">
      <c r="A2596" s="36">
        <v>26822235</v>
      </c>
      <c r="B2596" t="s">
        <v>1230</v>
      </c>
    </row>
    <row r="2597" spans="1:2" x14ac:dyDescent="0.25">
      <c r="A2597" s="36">
        <v>92475517</v>
      </c>
      <c r="B2597" t="s">
        <v>1222</v>
      </c>
    </row>
    <row r="2598" spans="1:2" x14ac:dyDescent="0.25">
      <c r="A2598" s="36">
        <v>92475517</v>
      </c>
      <c r="B2598" t="s">
        <v>1222</v>
      </c>
    </row>
    <row r="2599" spans="1:2" x14ac:dyDescent="0.25">
      <c r="A2599" s="36">
        <v>92475517</v>
      </c>
      <c r="B2599" t="s">
        <v>1222</v>
      </c>
    </row>
    <row r="2600" spans="1:2" x14ac:dyDescent="0.25">
      <c r="A2600" s="36">
        <v>92475517</v>
      </c>
      <c r="B2600" t="s">
        <v>1222</v>
      </c>
    </row>
    <row r="2601" spans="1:2" x14ac:dyDescent="0.25">
      <c r="A2601" s="173">
        <v>20138513670</v>
      </c>
      <c r="B2601" t="s">
        <v>1042</v>
      </c>
    </row>
    <row r="2602" spans="1:2" x14ac:dyDescent="0.25">
      <c r="A2602" s="173">
        <v>20138513670</v>
      </c>
      <c r="B2602" t="s">
        <v>1042</v>
      </c>
    </row>
    <row r="2603" spans="1:2" x14ac:dyDescent="0.25">
      <c r="A2603" s="173">
        <v>20121003792</v>
      </c>
      <c r="B2603" t="s">
        <v>1043</v>
      </c>
    </row>
    <row r="2604" spans="1:2" x14ac:dyDescent="0.25">
      <c r="A2604" s="173">
        <v>20161507165</v>
      </c>
      <c r="B2604" t="s">
        <v>1044</v>
      </c>
    </row>
    <row r="2605" spans="1:2" x14ac:dyDescent="0.25">
      <c r="A2605" s="173">
        <v>93455751</v>
      </c>
      <c r="B2605" t="s">
        <v>1046</v>
      </c>
    </row>
    <row r="2606" spans="1:2" x14ac:dyDescent="0.25">
      <c r="A2606" s="173">
        <v>93455751</v>
      </c>
      <c r="B2606" t="s">
        <v>1046</v>
      </c>
    </row>
    <row r="2607" spans="1:2" x14ac:dyDescent="0.25">
      <c r="A2607" s="173">
        <v>23107038124</v>
      </c>
      <c r="B2607" t="s">
        <v>1047</v>
      </c>
    </row>
    <row r="2608" spans="1:2" x14ac:dyDescent="0.25">
      <c r="A2608" s="173">
        <v>23107038124</v>
      </c>
      <c r="B2608" t="s">
        <v>1047</v>
      </c>
    </row>
    <row r="2609" spans="1:2" x14ac:dyDescent="0.25">
      <c r="A2609" s="173">
        <v>27242509612</v>
      </c>
      <c r="B2609" t="s">
        <v>1190</v>
      </c>
    </row>
    <row r="2610" spans="1:2" x14ac:dyDescent="0.25">
      <c r="A2610" s="173">
        <v>27242509612</v>
      </c>
      <c r="B2610" t="s">
        <v>1190</v>
      </c>
    </row>
    <row r="2611" spans="1:2" x14ac:dyDescent="0.25">
      <c r="A2611" s="173">
        <v>27102598747</v>
      </c>
      <c r="B2611" t="s">
        <v>1048</v>
      </c>
    </row>
    <row r="2612" spans="1:2" x14ac:dyDescent="0.25">
      <c r="A2612" s="173">
        <v>27102598747</v>
      </c>
      <c r="B2612" t="s">
        <v>1048</v>
      </c>
    </row>
    <row r="2613" spans="1:2" x14ac:dyDescent="0.25">
      <c r="A2613" s="173">
        <v>20256641993</v>
      </c>
      <c r="B2613" t="s">
        <v>1049</v>
      </c>
    </row>
    <row r="2614" spans="1:2" x14ac:dyDescent="0.25">
      <c r="A2614" s="173">
        <v>20256641993</v>
      </c>
      <c r="B2614" t="s">
        <v>1049</v>
      </c>
    </row>
    <row r="2615" spans="1:2" x14ac:dyDescent="0.25">
      <c r="A2615" s="173">
        <v>30715222112</v>
      </c>
      <c r="B2615" t="s">
        <v>1050</v>
      </c>
    </row>
    <row r="2616" spans="1:2" x14ac:dyDescent="0.25">
      <c r="A2616" s="173">
        <v>30715222112</v>
      </c>
      <c r="B2616" t="s">
        <v>1050</v>
      </c>
    </row>
    <row r="2617" spans="1:2" x14ac:dyDescent="0.25">
      <c r="A2617" s="173">
        <v>20206659379</v>
      </c>
      <c r="B2617" t="s">
        <v>1461</v>
      </c>
    </row>
    <row r="2618" spans="1:2" x14ac:dyDescent="0.25">
      <c r="A2618" s="173">
        <v>20206659379</v>
      </c>
      <c r="B2618" t="s">
        <v>1461</v>
      </c>
    </row>
    <row r="2619" spans="1:2" x14ac:dyDescent="0.25">
      <c r="A2619" s="36">
        <v>23386252629</v>
      </c>
      <c r="B2619" t="s">
        <v>1052</v>
      </c>
    </row>
    <row r="2620" spans="1:2" x14ac:dyDescent="0.25">
      <c r="A2620" s="36">
        <v>23386252629</v>
      </c>
      <c r="B2620" t="s">
        <v>1052</v>
      </c>
    </row>
    <row r="2621" spans="1:2" x14ac:dyDescent="0.25">
      <c r="A2621" s="36">
        <v>16458001</v>
      </c>
      <c r="B2621" t="s">
        <v>1053</v>
      </c>
    </row>
    <row r="2622" spans="1:2" x14ac:dyDescent="0.25">
      <c r="A2622" s="36">
        <v>16458001</v>
      </c>
      <c r="B2622" t="s">
        <v>1053</v>
      </c>
    </row>
    <row r="2623" spans="1:2" x14ac:dyDescent="0.25">
      <c r="A2623" s="36">
        <v>27036968910</v>
      </c>
      <c r="B2623" t="s">
        <v>1054</v>
      </c>
    </row>
    <row r="2624" spans="1:2" x14ac:dyDescent="0.25">
      <c r="A2624" s="36">
        <v>27036968910</v>
      </c>
      <c r="B2624" t="s">
        <v>1054</v>
      </c>
    </row>
    <row r="2625" spans="1:2" x14ac:dyDescent="0.25">
      <c r="A2625" s="36">
        <v>27149028302</v>
      </c>
      <c r="B2625" t="s">
        <v>1055</v>
      </c>
    </row>
    <row r="2626" spans="1:2" x14ac:dyDescent="0.25">
      <c r="A2626" s="36">
        <v>27149028302</v>
      </c>
      <c r="B2626" t="s">
        <v>1055</v>
      </c>
    </row>
    <row r="2627" spans="1:2" x14ac:dyDescent="0.25">
      <c r="A2627" s="36">
        <v>27003352000</v>
      </c>
      <c r="B2627" t="s">
        <v>1056</v>
      </c>
    </row>
    <row r="2628" spans="1:2" x14ac:dyDescent="0.25">
      <c r="A2628" s="36">
        <v>27003352000</v>
      </c>
      <c r="B2628" t="s">
        <v>1056</v>
      </c>
    </row>
    <row r="2629" spans="1:2" x14ac:dyDescent="0.25">
      <c r="A2629" s="36">
        <v>20242071574</v>
      </c>
      <c r="B2629" t="s">
        <v>1464</v>
      </c>
    </row>
    <row r="2630" spans="1:2" x14ac:dyDescent="0.25">
      <c r="A2630" s="36">
        <v>33709179379</v>
      </c>
      <c r="B2630" t="s">
        <v>1057</v>
      </c>
    </row>
    <row r="2631" spans="1:2" x14ac:dyDescent="0.25">
      <c r="A2631" s="36">
        <v>33709179379</v>
      </c>
      <c r="B2631" t="s">
        <v>1057</v>
      </c>
    </row>
    <row r="2632" spans="1:2" x14ac:dyDescent="0.25">
      <c r="A2632" s="36">
        <v>30715385216</v>
      </c>
      <c r="B2632" t="s">
        <v>1415</v>
      </c>
    </row>
    <row r="2633" spans="1:2" x14ac:dyDescent="0.25">
      <c r="A2633" s="36">
        <v>30715385216</v>
      </c>
      <c r="B2633" t="s">
        <v>1415</v>
      </c>
    </row>
    <row r="2634" spans="1:2" x14ac:dyDescent="0.25">
      <c r="A2634" s="36">
        <v>20176063573</v>
      </c>
      <c r="B2634" t="s">
        <v>1059</v>
      </c>
    </row>
    <row r="2635" spans="1:2" x14ac:dyDescent="0.25">
      <c r="A2635" s="36">
        <v>20176063573</v>
      </c>
      <c r="B2635" t="s">
        <v>1059</v>
      </c>
    </row>
    <row r="2636" spans="1:2" x14ac:dyDescent="0.25">
      <c r="A2636" s="36">
        <v>14287880</v>
      </c>
      <c r="B2636" t="s">
        <v>1060</v>
      </c>
    </row>
    <row r="2637" spans="1:2" x14ac:dyDescent="0.25">
      <c r="A2637" s="36">
        <v>14287880</v>
      </c>
      <c r="B2637" t="s">
        <v>1060</v>
      </c>
    </row>
    <row r="2638" spans="1:2" x14ac:dyDescent="0.25">
      <c r="A2638" s="36">
        <v>20178221974</v>
      </c>
      <c r="B2638" t="s">
        <v>1061</v>
      </c>
    </row>
    <row r="2639" spans="1:2" x14ac:dyDescent="0.25">
      <c r="A2639" s="36">
        <v>20178221974</v>
      </c>
      <c r="B2639" t="s">
        <v>1061</v>
      </c>
    </row>
    <row r="2640" spans="1:2" x14ac:dyDescent="0.25">
      <c r="A2640" s="36">
        <v>20939843907</v>
      </c>
      <c r="B2640" t="s">
        <v>1062</v>
      </c>
    </row>
    <row r="2641" spans="1:2" x14ac:dyDescent="0.25">
      <c r="A2641" s="36">
        <v>20939843907</v>
      </c>
      <c r="B2641" t="s">
        <v>1062</v>
      </c>
    </row>
    <row r="2642" spans="1:2" x14ac:dyDescent="0.25">
      <c r="A2642" s="36">
        <v>30681830800</v>
      </c>
      <c r="B2642" t="s">
        <v>1063</v>
      </c>
    </row>
    <row r="2643" spans="1:2" x14ac:dyDescent="0.25">
      <c r="A2643" s="36">
        <v>30681830800</v>
      </c>
      <c r="B2643" t="s">
        <v>1063</v>
      </c>
    </row>
    <row r="2644" spans="1:2" x14ac:dyDescent="0.25">
      <c r="A2644" s="36">
        <v>30624872874</v>
      </c>
      <c r="B2644" t="s">
        <v>1065</v>
      </c>
    </row>
    <row r="2645" spans="1:2" x14ac:dyDescent="0.25">
      <c r="A2645" s="36">
        <v>30624872874</v>
      </c>
      <c r="B2645" t="s">
        <v>1065</v>
      </c>
    </row>
    <row r="2646" spans="1:2" x14ac:dyDescent="0.25">
      <c r="A2646" s="36">
        <v>33717549479</v>
      </c>
      <c r="B2646" t="s">
        <v>1066</v>
      </c>
    </row>
    <row r="2647" spans="1:2" x14ac:dyDescent="0.25">
      <c r="A2647" s="36">
        <v>33717549479</v>
      </c>
      <c r="B2647" t="s">
        <v>1066</v>
      </c>
    </row>
    <row r="2648" spans="1:2" x14ac:dyDescent="0.25">
      <c r="A2648" s="36">
        <v>20278120</v>
      </c>
      <c r="B2648" t="s">
        <v>1279</v>
      </c>
    </row>
    <row r="2649" spans="1:2" x14ac:dyDescent="0.25">
      <c r="A2649" s="36">
        <v>20278120</v>
      </c>
      <c r="B2649" t="s">
        <v>1279</v>
      </c>
    </row>
    <row r="2650" spans="1:2" x14ac:dyDescent="0.25">
      <c r="A2650" s="36">
        <v>30717040267</v>
      </c>
      <c r="B2650" t="s">
        <v>1071</v>
      </c>
    </row>
    <row r="2651" spans="1:2" x14ac:dyDescent="0.25">
      <c r="A2651" s="36">
        <v>30717040267</v>
      </c>
      <c r="B2651" t="s">
        <v>1071</v>
      </c>
    </row>
    <row r="2652" spans="1:2" x14ac:dyDescent="0.25">
      <c r="A2652" s="36">
        <v>30715595407</v>
      </c>
      <c r="B2652" t="s">
        <v>1072</v>
      </c>
    </row>
    <row r="2653" spans="1:2" x14ac:dyDescent="0.25">
      <c r="A2653" s="36">
        <v>30715595407</v>
      </c>
      <c r="B2653" t="s">
        <v>1072</v>
      </c>
    </row>
    <row r="2654" spans="1:2" x14ac:dyDescent="0.25">
      <c r="A2654" s="36">
        <v>25121194</v>
      </c>
      <c r="B2654" t="s">
        <v>1276</v>
      </c>
    </row>
    <row r="2655" spans="1:2" x14ac:dyDescent="0.25">
      <c r="A2655" s="36">
        <v>25121194</v>
      </c>
      <c r="B2655" t="s">
        <v>1276</v>
      </c>
    </row>
    <row r="2656" spans="1:2" x14ac:dyDescent="0.25">
      <c r="A2656" s="36">
        <v>20334416632</v>
      </c>
      <c r="B2656" t="s">
        <v>1379</v>
      </c>
    </row>
    <row r="2657" spans="1:2" x14ac:dyDescent="0.25">
      <c r="A2657" s="36">
        <v>20334416632</v>
      </c>
      <c r="B2657" t="s">
        <v>1379</v>
      </c>
    </row>
    <row r="2658" spans="1:2" x14ac:dyDescent="0.25">
      <c r="A2658" s="36">
        <v>33682919839</v>
      </c>
      <c r="B2658" t="s">
        <v>1074</v>
      </c>
    </row>
    <row r="2659" spans="1:2" x14ac:dyDescent="0.25">
      <c r="A2659" s="36">
        <v>33682919839</v>
      </c>
      <c r="B2659" t="s">
        <v>1074</v>
      </c>
    </row>
    <row r="2660" spans="1:2" x14ac:dyDescent="0.25">
      <c r="A2660" s="36">
        <v>20188505911</v>
      </c>
      <c r="B2660" t="s">
        <v>1075</v>
      </c>
    </row>
    <row r="2661" spans="1:2" x14ac:dyDescent="0.25">
      <c r="A2661" s="36">
        <v>20188505911</v>
      </c>
      <c r="B2661" t="s">
        <v>1075</v>
      </c>
    </row>
    <row r="2662" spans="1:2" x14ac:dyDescent="0.25">
      <c r="A2662" s="36">
        <v>20945931907</v>
      </c>
      <c r="B2662" t="s">
        <v>1076</v>
      </c>
    </row>
    <row r="2663" spans="1:2" x14ac:dyDescent="0.25">
      <c r="A2663" s="36">
        <v>20945931907</v>
      </c>
      <c r="B2663" t="s">
        <v>1076</v>
      </c>
    </row>
    <row r="2664" spans="1:2" x14ac:dyDescent="0.25">
      <c r="A2664" s="36">
        <v>28732994</v>
      </c>
      <c r="B2664" t="s">
        <v>1249</v>
      </c>
    </row>
    <row r="2665" spans="1:2" x14ac:dyDescent="0.25">
      <c r="A2665" s="36">
        <v>28732994</v>
      </c>
      <c r="B2665" t="s">
        <v>1249</v>
      </c>
    </row>
    <row r="2666" spans="1:2" x14ac:dyDescent="0.25">
      <c r="A2666" s="36">
        <v>28732994</v>
      </c>
      <c r="B2666" t="s">
        <v>1249</v>
      </c>
    </row>
    <row r="2667" spans="1:2" x14ac:dyDescent="0.25">
      <c r="A2667" s="36">
        <v>28732994</v>
      </c>
      <c r="B2667" t="s">
        <v>1249</v>
      </c>
    </row>
    <row r="2668" spans="1:2" x14ac:dyDescent="0.25">
      <c r="A2668" s="36">
        <v>29266476</v>
      </c>
      <c r="B2668" t="s">
        <v>1341</v>
      </c>
    </row>
    <row r="2669" spans="1:2" x14ac:dyDescent="0.25">
      <c r="A2669" s="36">
        <v>29266476</v>
      </c>
      <c r="B2669" t="s">
        <v>1341</v>
      </c>
    </row>
    <row r="2670" spans="1:2" x14ac:dyDescent="0.25">
      <c r="A2670" s="36">
        <v>29266476</v>
      </c>
      <c r="B2670" t="s">
        <v>1341</v>
      </c>
    </row>
    <row r="2671" spans="1:2" x14ac:dyDescent="0.25">
      <c r="A2671" s="36">
        <v>29266476</v>
      </c>
      <c r="B2671" t="s">
        <v>1341</v>
      </c>
    </row>
    <row r="2672" spans="1:2" x14ac:dyDescent="0.25">
      <c r="A2672" s="36">
        <v>29266476</v>
      </c>
      <c r="B2672" t="s">
        <v>1341</v>
      </c>
    </row>
    <row r="2673" spans="1:2" x14ac:dyDescent="0.25">
      <c r="A2673" s="36">
        <v>29266476</v>
      </c>
      <c r="B2673" t="s">
        <v>1341</v>
      </c>
    </row>
    <row r="2674" spans="1:2" x14ac:dyDescent="0.25">
      <c r="A2674" s="36">
        <v>20117243533</v>
      </c>
      <c r="B2674" t="s">
        <v>1077</v>
      </c>
    </row>
    <row r="2675" spans="1:2" x14ac:dyDescent="0.25">
      <c r="A2675" s="36">
        <v>20117243533</v>
      </c>
      <c r="B2675" t="s">
        <v>1077</v>
      </c>
    </row>
    <row r="2676" spans="1:2" x14ac:dyDescent="0.25">
      <c r="A2676" s="36">
        <v>20209071550</v>
      </c>
      <c r="B2676" t="s">
        <v>1078</v>
      </c>
    </row>
    <row r="2677" spans="1:2" x14ac:dyDescent="0.25">
      <c r="A2677" s="36">
        <v>20209071550</v>
      </c>
      <c r="B2677" t="s">
        <v>1078</v>
      </c>
    </row>
    <row r="2678" spans="1:2" x14ac:dyDescent="0.25">
      <c r="A2678" s="36">
        <v>27934121088</v>
      </c>
      <c r="B2678" t="s">
        <v>1079</v>
      </c>
    </row>
    <row r="2679" spans="1:2" x14ac:dyDescent="0.25">
      <c r="A2679" s="36">
        <v>27934121088</v>
      </c>
      <c r="B2679" t="s">
        <v>1079</v>
      </c>
    </row>
    <row r="2680" spans="1:2" x14ac:dyDescent="0.25">
      <c r="A2680" s="36">
        <v>20321447997</v>
      </c>
      <c r="B2680" t="s">
        <v>1080</v>
      </c>
    </row>
    <row r="2681" spans="1:2" x14ac:dyDescent="0.25">
      <c r="A2681" s="36">
        <v>20321447997</v>
      </c>
      <c r="B2681" t="s">
        <v>1080</v>
      </c>
    </row>
    <row r="2682" spans="1:2" x14ac:dyDescent="0.25">
      <c r="A2682" s="36">
        <v>18603248</v>
      </c>
      <c r="B2682" t="s">
        <v>1234</v>
      </c>
    </row>
    <row r="2683" spans="1:2" x14ac:dyDescent="0.25">
      <c r="A2683" s="36">
        <v>18603248</v>
      </c>
      <c r="B2683" t="s">
        <v>1234</v>
      </c>
    </row>
    <row r="2684" spans="1:2" x14ac:dyDescent="0.25">
      <c r="A2684" s="36">
        <v>30714429112</v>
      </c>
      <c r="B2684" t="s">
        <v>1081</v>
      </c>
    </row>
    <row r="2685" spans="1:2" x14ac:dyDescent="0.25">
      <c r="A2685" s="36">
        <v>30714429112</v>
      </c>
      <c r="B2685" t="s">
        <v>1081</v>
      </c>
    </row>
    <row r="2686" spans="1:2" x14ac:dyDescent="0.25">
      <c r="A2686" s="36">
        <v>20169401196</v>
      </c>
      <c r="B2686" t="s">
        <v>1082</v>
      </c>
    </row>
    <row r="2687" spans="1:2" x14ac:dyDescent="0.25">
      <c r="A2687" s="36">
        <v>20169401196</v>
      </c>
      <c r="B2687" t="s">
        <v>1082</v>
      </c>
    </row>
    <row r="2688" spans="1:2" x14ac:dyDescent="0.25">
      <c r="A2688" s="36">
        <v>20325226316</v>
      </c>
      <c r="B2688" t="s">
        <v>1083</v>
      </c>
    </row>
    <row r="2689" spans="1:2" x14ac:dyDescent="0.25">
      <c r="A2689" s="36">
        <v>20325226316</v>
      </c>
      <c r="B2689" t="s">
        <v>1083</v>
      </c>
    </row>
    <row r="2690" spans="1:2" x14ac:dyDescent="0.25">
      <c r="A2690" s="36">
        <v>20137229944</v>
      </c>
      <c r="B2690" t="s">
        <v>1085</v>
      </c>
    </row>
    <row r="2691" spans="1:2" x14ac:dyDescent="0.25">
      <c r="A2691" s="36">
        <v>20137229944</v>
      </c>
      <c r="B2691" t="s">
        <v>1085</v>
      </c>
    </row>
    <row r="2692" spans="1:2" x14ac:dyDescent="0.25">
      <c r="A2692" s="36">
        <v>23112144064</v>
      </c>
      <c r="B2692" t="s">
        <v>1087</v>
      </c>
    </row>
    <row r="2693" spans="1:2" x14ac:dyDescent="0.25">
      <c r="A2693" s="36">
        <v>23112144064</v>
      </c>
      <c r="B2693" t="s">
        <v>1087</v>
      </c>
    </row>
    <row r="2694" spans="1:2" x14ac:dyDescent="0.25">
      <c r="A2694" s="36">
        <v>20250206284</v>
      </c>
      <c r="B2694" t="s">
        <v>1088</v>
      </c>
    </row>
    <row r="2695" spans="1:2" x14ac:dyDescent="0.25">
      <c r="A2695" s="36">
        <v>20250206284</v>
      </c>
      <c r="B2695" t="s">
        <v>1088</v>
      </c>
    </row>
    <row r="2696" spans="1:2" x14ac:dyDescent="0.25">
      <c r="A2696" s="36">
        <v>94318201</v>
      </c>
      <c r="B2696" t="s">
        <v>1278</v>
      </c>
    </row>
    <row r="2697" spans="1:2" x14ac:dyDescent="0.25">
      <c r="A2697" s="36">
        <v>94318201</v>
      </c>
      <c r="B2697" t="s">
        <v>1278</v>
      </c>
    </row>
    <row r="2698" spans="1:2" x14ac:dyDescent="0.25">
      <c r="A2698" s="36">
        <v>27160098746</v>
      </c>
      <c r="B2698" t="s">
        <v>1089</v>
      </c>
    </row>
    <row r="2699" spans="1:2" x14ac:dyDescent="0.25">
      <c r="A2699" s="36">
        <v>27160098746</v>
      </c>
      <c r="B2699" t="s">
        <v>1089</v>
      </c>
    </row>
    <row r="2700" spans="1:2" x14ac:dyDescent="0.25">
      <c r="A2700" s="36">
        <v>20225501190</v>
      </c>
      <c r="B2700" t="s">
        <v>1091</v>
      </c>
    </row>
    <row r="2701" spans="1:2" x14ac:dyDescent="0.25">
      <c r="A2701" s="36">
        <v>20225501190</v>
      </c>
      <c r="B2701" t="s">
        <v>1091</v>
      </c>
    </row>
    <row r="2702" spans="1:2" x14ac:dyDescent="0.25">
      <c r="A2702" s="36">
        <v>23787603</v>
      </c>
      <c r="B2702" t="s">
        <v>1290</v>
      </c>
    </row>
    <row r="2703" spans="1:2" x14ac:dyDescent="0.25">
      <c r="A2703" s="36">
        <v>23787603</v>
      </c>
      <c r="B2703" t="s">
        <v>1290</v>
      </c>
    </row>
    <row r="2704" spans="1:2" x14ac:dyDescent="0.25">
      <c r="A2704" s="36">
        <v>23787603</v>
      </c>
      <c r="B2704" t="s">
        <v>1290</v>
      </c>
    </row>
    <row r="2705" spans="1:2" x14ac:dyDescent="0.25">
      <c r="A2705" s="36">
        <v>23787603</v>
      </c>
      <c r="B2705" t="s">
        <v>1290</v>
      </c>
    </row>
    <row r="2706" spans="1:2" x14ac:dyDescent="0.25">
      <c r="A2706" s="36">
        <v>23787603</v>
      </c>
      <c r="B2706" t="s">
        <v>1290</v>
      </c>
    </row>
    <row r="2707" spans="1:2" x14ac:dyDescent="0.25">
      <c r="A2707" s="36">
        <v>23787603</v>
      </c>
      <c r="B2707" t="s">
        <v>1290</v>
      </c>
    </row>
    <row r="2708" spans="1:2" x14ac:dyDescent="0.25">
      <c r="A2708" s="36">
        <v>32758476</v>
      </c>
      <c r="B2708" t="s">
        <v>1303</v>
      </c>
    </row>
    <row r="2709" spans="1:2" x14ac:dyDescent="0.25">
      <c r="A2709" s="36">
        <v>32758476</v>
      </c>
      <c r="B2709" t="s">
        <v>1303</v>
      </c>
    </row>
    <row r="2710" spans="1:2" x14ac:dyDescent="0.25">
      <c r="A2710" s="36">
        <v>30715581562</v>
      </c>
      <c r="B2710" t="s">
        <v>1093</v>
      </c>
    </row>
    <row r="2711" spans="1:2" x14ac:dyDescent="0.25">
      <c r="A2711" s="36">
        <v>30715581562</v>
      </c>
      <c r="B2711" t="s">
        <v>1093</v>
      </c>
    </row>
    <row r="2712" spans="1:2" x14ac:dyDescent="0.25">
      <c r="A2712" s="36">
        <v>30687182959</v>
      </c>
      <c r="B2712" t="s">
        <v>1094</v>
      </c>
    </row>
    <row r="2713" spans="1:2" x14ac:dyDescent="0.25">
      <c r="A2713" s="36">
        <v>30687182959</v>
      </c>
      <c r="B2713" t="s">
        <v>1094</v>
      </c>
    </row>
    <row r="2714" spans="1:2" x14ac:dyDescent="0.25">
      <c r="A2714" s="36">
        <v>30712121714</v>
      </c>
      <c r="B2714" t="s">
        <v>1095</v>
      </c>
    </row>
    <row r="2715" spans="1:2" x14ac:dyDescent="0.25">
      <c r="A2715" s="36">
        <v>30712121714</v>
      </c>
      <c r="B2715" t="s">
        <v>1095</v>
      </c>
    </row>
    <row r="2716" spans="1:2" x14ac:dyDescent="0.25">
      <c r="A2716" s="36">
        <v>20215878822</v>
      </c>
      <c r="B2716" t="s">
        <v>1098</v>
      </c>
    </row>
    <row r="2717" spans="1:2" x14ac:dyDescent="0.25">
      <c r="A2717" s="36">
        <v>20215878822</v>
      </c>
      <c r="B2717" t="s">
        <v>1098</v>
      </c>
    </row>
    <row r="2718" spans="1:2" x14ac:dyDescent="0.25">
      <c r="A2718" s="36">
        <v>33709309159</v>
      </c>
      <c r="B2718" t="s">
        <v>1099</v>
      </c>
    </row>
    <row r="2719" spans="1:2" x14ac:dyDescent="0.25">
      <c r="A2719" s="36">
        <v>33709309159</v>
      </c>
      <c r="B2719" t="s">
        <v>1099</v>
      </c>
    </row>
    <row r="2720" spans="1:2" x14ac:dyDescent="0.25">
      <c r="A2720" s="36">
        <v>30711499500</v>
      </c>
      <c r="B2720" t="s">
        <v>1100</v>
      </c>
    </row>
    <row r="2721" spans="1:2" x14ac:dyDescent="0.25">
      <c r="A2721" s="36">
        <v>30711499500</v>
      </c>
      <c r="B2721" t="s">
        <v>1100</v>
      </c>
    </row>
    <row r="2722" spans="1:2" x14ac:dyDescent="0.25">
      <c r="A2722" s="36">
        <v>20202493751</v>
      </c>
      <c r="B2722" t="s">
        <v>1101</v>
      </c>
    </row>
    <row r="2723" spans="1:2" x14ac:dyDescent="0.25">
      <c r="A2723" s="36">
        <v>20202493751</v>
      </c>
      <c r="B2723" t="s">
        <v>1101</v>
      </c>
    </row>
    <row r="2724" spans="1:2" x14ac:dyDescent="0.25">
      <c r="A2724" s="36">
        <v>30715877453</v>
      </c>
      <c r="B2724" t="s">
        <v>1102</v>
      </c>
    </row>
    <row r="2725" spans="1:2" x14ac:dyDescent="0.25">
      <c r="A2725" s="36">
        <v>30715877453</v>
      </c>
      <c r="B2725" t="s">
        <v>1102</v>
      </c>
    </row>
    <row r="2726" spans="1:2" x14ac:dyDescent="0.25">
      <c r="A2726" s="36">
        <v>30715987437</v>
      </c>
      <c r="B2726" t="s">
        <v>1103</v>
      </c>
    </row>
    <row r="2727" spans="1:2" x14ac:dyDescent="0.25">
      <c r="A2727" s="36">
        <v>30715987437</v>
      </c>
      <c r="B2727" t="s">
        <v>1103</v>
      </c>
    </row>
    <row r="2728" spans="1:2" x14ac:dyDescent="0.25">
      <c r="A2728" s="36">
        <v>30712383603</v>
      </c>
      <c r="B2728" t="s">
        <v>1104</v>
      </c>
    </row>
    <row r="2729" spans="1:2" x14ac:dyDescent="0.25">
      <c r="A2729" s="36">
        <v>30712383603</v>
      </c>
      <c r="B2729" t="s">
        <v>1104</v>
      </c>
    </row>
    <row r="2730" spans="1:2" x14ac:dyDescent="0.25">
      <c r="A2730" s="36">
        <v>20202020527</v>
      </c>
      <c r="B2730" t="s">
        <v>1106</v>
      </c>
    </row>
    <row r="2731" spans="1:2" x14ac:dyDescent="0.25">
      <c r="A2731" s="36">
        <v>20202020527</v>
      </c>
      <c r="B2731" t="s">
        <v>1106</v>
      </c>
    </row>
    <row r="2732" spans="1:2" x14ac:dyDescent="0.25">
      <c r="A2732" s="36">
        <v>30712148191</v>
      </c>
      <c r="B2732" t="s">
        <v>1107</v>
      </c>
    </row>
    <row r="2733" spans="1:2" x14ac:dyDescent="0.25">
      <c r="A2733" s="36">
        <v>30712148191</v>
      </c>
      <c r="B2733" t="s">
        <v>1107</v>
      </c>
    </row>
    <row r="2734" spans="1:2" x14ac:dyDescent="0.25">
      <c r="A2734" s="36">
        <v>30688410890</v>
      </c>
      <c r="B2734" t="s">
        <v>1108</v>
      </c>
    </row>
    <row r="2735" spans="1:2" x14ac:dyDescent="0.25">
      <c r="A2735" s="36">
        <v>30688410890</v>
      </c>
      <c r="B2735" t="s">
        <v>1108</v>
      </c>
    </row>
    <row r="2736" spans="1:2" x14ac:dyDescent="0.25">
      <c r="A2736" s="36">
        <v>30695243673</v>
      </c>
      <c r="B2736" t="s">
        <v>1110</v>
      </c>
    </row>
    <row r="2737" spans="1:2" x14ac:dyDescent="0.25">
      <c r="A2737" s="36">
        <v>30695243673</v>
      </c>
      <c r="B2737" t="s">
        <v>1110</v>
      </c>
    </row>
    <row r="2738" spans="1:2" x14ac:dyDescent="0.25">
      <c r="A2738" s="36">
        <v>30707796851</v>
      </c>
      <c r="B2738" t="s">
        <v>1111</v>
      </c>
    </row>
    <row r="2739" spans="1:2" x14ac:dyDescent="0.25">
      <c r="A2739" s="36">
        <v>30707796851</v>
      </c>
      <c r="B2739" t="s">
        <v>1111</v>
      </c>
    </row>
    <row r="2740" spans="1:2" x14ac:dyDescent="0.25">
      <c r="A2740" s="36">
        <v>27209731814</v>
      </c>
      <c r="B2740" t="s">
        <v>1112</v>
      </c>
    </row>
    <row r="2741" spans="1:2" x14ac:dyDescent="0.25">
      <c r="A2741" s="36">
        <v>27209731814</v>
      </c>
      <c r="B2741" t="s">
        <v>1112</v>
      </c>
    </row>
    <row r="2742" spans="1:2" x14ac:dyDescent="0.25">
      <c r="A2742" s="36">
        <v>27325577539</v>
      </c>
      <c r="B2742" t="s">
        <v>1115</v>
      </c>
    </row>
    <row r="2743" spans="1:2" x14ac:dyDescent="0.25">
      <c r="A2743" s="36">
        <v>27325577539</v>
      </c>
      <c r="B2743" t="s">
        <v>1115</v>
      </c>
    </row>
    <row r="2744" spans="1:2" x14ac:dyDescent="0.25">
      <c r="A2744" s="36">
        <v>20179571235</v>
      </c>
      <c r="B2744" t="s">
        <v>1116</v>
      </c>
    </row>
    <row r="2745" spans="1:2" x14ac:dyDescent="0.25">
      <c r="A2745" s="36">
        <v>20179571235</v>
      </c>
      <c r="B2745" t="s">
        <v>1116</v>
      </c>
    </row>
    <row r="2746" spans="1:2" x14ac:dyDescent="0.25">
      <c r="A2746" s="36">
        <v>20238054592</v>
      </c>
      <c r="B2746" t="s">
        <v>1117</v>
      </c>
    </row>
    <row r="2747" spans="1:2" x14ac:dyDescent="0.25">
      <c r="A2747" s="36">
        <v>20238054592</v>
      </c>
      <c r="B2747" t="s">
        <v>1117</v>
      </c>
    </row>
    <row r="2748" spans="1:2" x14ac:dyDescent="0.25">
      <c r="A2748" s="36">
        <v>27242128252</v>
      </c>
      <c r="B2748" t="s">
        <v>1485</v>
      </c>
    </row>
    <row r="2749" spans="1:2" x14ac:dyDescent="0.25">
      <c r="A2749" s="36">
        <v>27055704444</v>
      </c>
      <c r="B2749" t="s">
        <v>1119</v>
      </c>
    </row>
    <row r="2750" spans="1:2" x14ac:dyDescent="0.25">
      <c r="A2750" s="36">
        <v>27055704444</v>
      </c>
      <c r="B2750" t="s">
        <v>1119</v>
      </c>
    </row>
    <row r="2751" spans="1:2" x14ac:dyDescent="0.25">
      <c r="A2751" s="36">
        <v>30712352341</v>
      </c>
      <c r="B2751" t="s">
        <v>1120</v>
      </c>
    </row>
    <row r="2752" spans="1:2" x14ac:dyDescent="0.25">
      <c r="A2752" s="36">
        <v>30712352341</v>
      </c>
      <c r="B2752" t="s">
        <v>1120</v>
      </c>
    </row>
    <row r="2753" spans="1:2" x14ac:dyDescent="0.25">
      <c r="A2753" s="36">
        <v>30716247054</v>
      </c>
      <c r="B2753" t="s">
        <v>1121</v>
      </c>
    </row>
    <row r="2754" spans="1:2" x14ac:dyDescent="0.25">
      <c r="A2754" s="36">
        <v>30716247054</v>
      </c>
      <c r="B2754" t="s">
        <v>1121</v>
      </c>
    </row>
    <row r="2755" spans="1:2" x14ac:dyDescent="0.25">
      <c r="A2755" s="36">
        <v>20187987335</v>
      </c>
      <c r="B2755" t="s">
        <v>1122</v>
      </c>
    </row>
    <row r="2756" spans="1:2" x14ac:dyDescent="0.25">
      <c r="A2756" s="36">
        <v>20187987335</v>
      </c>
      <c r="B2756" t="s">
        <v>1122</v>
      </c>
    </row>
    <row r="2757" spans="1:2" x14ac:dyDescent="0.25">
      <c r="A2757" s="36">
        <v>20266613866</v>
      </c>
      <c r="B2757" t="s">
        <v>1520</v>
      </c>
    </row>
    <row r="2758" spans="1:2" x14ac:dyDescent="0.25">
      <c r="A2758" s="36">
        <v>33715137289</v>
      </c>
      <c r="B2758" t="s">
        <v>1584</v>
      </c>
    </row>
    <row r="2759" spans="1:2" x14ac:dyDescent="0.25">
      <c r="A2759" s="36">
        <v>30541213860</v>
      </c>
      <c r="B2759" t="s">
        <v>1490</v>
      </c>
    </row>
    <row r="2760" spans="1:2" x14ac:dyDescent="0.25">
      <c r="A2760" s="36">
        <v>30711701504</v>
      </c>
      <c r="B2760" t="s">
        <v>1585</v>
      </c>
    </row>
    <row r="2761" spans="1:2" x14ac:dyDescent="0.25">
      <c r="A2761" s="36">
        <v>30708994924</v>
      </c>
      <c r="B2761" t="s">
        <v>1187</v>
      </c>
    </row>
    <row r="2762" spans="1:2" x14ac:dyDescent="0.25">
      <c r="A2762" s="36">
        <v>20223632719</v>
      </c>
      <c r="B2762" t="s">
        <v>1472</v>
      </c>
    </row>
    <row r="2763" spans="1:2" x14ac:dyDescent="0.25">
      <c r="A2763" s="36">
        <v>27277172874</v>
      </c>
      <c r="B2763" t="s">
        <v>1474</v>
      </c>
    </row>
    <row r="2764" spans="1:2" x14ac:dyDescent="0.25">
      <c r="A2764" s="36">
        <v>27280796552</v>
      </c>
      <c r="B2764" t="s">
        <v>1586</v>
      </c>
    </row>
    <row r="2765" spans="1:2" x14ac:dyDescent="0.25">
      <c r="A2765" s="36">
        <v>23223553184</v>
      </c>
      <c r="B2765" t="s">
        <v>1587</v>
      </c>
    </row>
    <row r="2766" spans="1:2" x14ac:dyDescent="0.25">
      <c r="A2766" s="36">
        <v>30716138018</v>
      </c>
      <c r="B2766" t="s">
        <v>1588</v>
      </c>
    </row>
    <row r="2767" spans="1:2" x14ac:dyDescent="0.25">
      <c r="A2767" s="36">
        <v>27223495317</v>
      </c>
      <c r="B2767" t="s">
        <v>1478</v>
      </c>
    </row>
    <row r="2768" spans="1:2" x14ac:dyDescent="0.25">
      <c r="A2768" s="36">
        <v>27175380146</v>
      </c>
      <c r="B2768" t="s">
        <v>1467</v>
      </c>
    </row>
    <row r="2769" spans="1:2" x14ac:dyDescent="0.25">
      <c r="A2769" s="36">
        <v>30715629336</v>
      </c>
      <c r="B2769" t="s">
        <v>1589</v>
      </c>
    </row>
    <row r="2770" spans="1:2" x14ac:dyDescent="0.25">
      <c r="A2770" s="36">
        <v>20120844386</v>
      </c>
      <c r="B2770" t="s">
        <v>1499</v>
      </c>
    </row>
    <row r="2771" spans="1:2" x14ac:dyDescent="0.25">
      <c r="A2771" s="36">
        <v>27175380146</v>
      </c>
      <c r="B2771" t="s">
        <v>1467</v>
      </c>
    </row>
    <row r="2772" spans="1:2" x14ac:dyDescent="0.25">
      <c r="A2772" s="36">
        <v>30714387797</v>
      </c>
      <c r="B2772" t="s">
        <v>1590</v>
      </c>
    </row>
    <row r="2773" spans="1:2" x14ac:dyDescent="0.25">
      <c r="A2773" s="36">
        <v>27141689296</v>
      </c>
      <c r="B2773" t="s">
        <v>1451</v>
      </c>
    </row>
    <row r="2774" spans="1:2" x14ac:dyDescent="0.25">
      <c r="A2774" s="36">
        <v>30708907142</v>
      </c>
      <c r="B2774" t="s">
        <v>1591</v>
      </c>
    </row>
    <row r="2775" spans="1:2" x14ac:dyDescent="0.25">
      <c r="A2775" s="36">
        <v>27126678768</v>
      </c>
      <c r="B2775" t="s">
        <v>1592</v>
      </c>
    </row>
    <row r="2776" spans="1:2" x14ac:dyDescent="0.25">
      <c r="A2776" s="36">
        <v>27234905924</v>
      </c>
      <c r="B2776" t="s">
        <v>1475</v>
      </c>
    </row>
    <row r="2777" spans="1:2" x14ac:dyDescent="0.25">
      <c r="A2777" s="36">
        <v>27258239577</v>
      </c>
      <c r="B2777" t="s">
        <v>1593</v>
      </c>
    </row>
    <row r="2778" spans="1:2" x14ac:dyDescent="0.25">
      <c r="A2778" s="36">
        <v>23357502209</v>
      </c>
      <c r="B2778" t="s">
        <v>1476</v>
      </c>
    </row>
    <row r="2779" spans="1:2" x14ac:dyDescent="0.25">
      <c r="A2779" s="36">
        <v>23357502209</v>
      </c>
      <c r="B2779" t="s">
        <v>1476</v>
      </c>
    </row>
    <row r="2780" spans="1:2" x14ac:dyDescent="0.25">
      <c r="A2780" s="36">
        <v>20936447113</v>
      </c>
      <c r="B2780" t="s">
        <v>1594</v>
      </c>
    </row>
    <row r="2781" spans="1:2" x14ac:dyDescent="0.25">
      <c r="A2781" s="36">
        <v>27280796552</v>
      </c>
      <c r="B2781" t="s">
        <v>1586</v>
      </c>
    </row>
    <row r="2782" spans="1:2" x14ac:dyDescent="0.25">
      <c r="A2782" s="36">
        <v>27175380146</v>
      </c>
      <c r="B2782" t="s">
        <v>1467</v>
      </c>
    </row>
    <row r="2783" spans="1:2" x14ac:dyDescent="0.25">
      <c r="A2783" s="36">
        <v>27161298285</v>
      </c>
      <c r="B2783" t="s">
        <v>1465</v>
      </c>
    </row>
    <row r="2784" spans="1:2" x14ac:dyDescent="0.25">
      <c r="A2784" s="36">
        <v>20045590047</v>
      </c>
      <c r="B2784" t="s">
        <v>1595</v>
      </c>
    </row>
    <row r="2785" spans="1:2" x14ac:dyDescent="0.25">
      <c r="A2785" s="36">
        <v>30712104550</v>
      </c>
      <c r="B2785" t="s">
        <v>1186</v>
      </c>
    </row>
    <row r="2786" spans="1:2" x14ac:dyDescent="0.25">
      <c r="A2786" s="36">
        <v>30712104550</v>
      </c>
      <c r="B2786" t="s">
        <v>1186</v>
      </c>
    </row>
    <row r="2787" spans="1:2" x14ac:dyDescent="0.25">
      <c r="A2787" s="36">
        <v>30712104550</v>
      </c>
      <c r="B2787" t="s">
        <v>1186</v>
      </c>
    </row>
    <row r="2788" spans="1:2" x14ac:dyDescent="0.25">
      <c r="A2788" s="36">
        <v>30712104550</v>
      </c>
      <c r="B2788" t="s">
        <v>1186</v>
      </c>
    </row>
    <row r="2789" spans="1:2" x14ac:dyDescent="0.25">
      <c r="A2789" s="36">
        <v>30712104550</v>
      </c>
      <c r="B2789" t="s">
        <v>1186</v>
      </c>
    </row>
    <row r="2790" spans="1:2" x14ac:dyDescent="0.25">
      <c r="A2790" s="36">
        <v>30592032909</v>
      </c>
      <c r="B2790" t="s">
        <v>1596</v>
      </c>
    </row>
    <row r="2791" spans="1:2" x14ac:dyDescent="0.25">
      <c r="A2791" s="36">
        <v>27394920423</v>
      </c>
      <c r="B2791" t="s">
        <v>1597</v>
      </c>
    </row>
    <row r="2792" spans="1:2" x14ac:dyDescent="0.25">
      <c r="A2792" s="36">
        <v>30716124009</v>
      </c>
      <c r="B2792" t="s">
        <v>1598</v>
      </c>
    </row>
    <row r="2793" spans="1:2" x14ac:dyDescent="0.25">
      <c r="A2793" s="36">
        <v>20234861973</v>
      </c>
      <c r="B2793" t="s">
        <v>1599</v>
      </c>
    </row>
    <row r="2794" spans="1:2" x14ac:dyDescent="0.25">
      <c r="A2794" s="36">
        <v>27141689296</v>
      </c>
      <c r="B2794" t="s">
        <v>1451</v>
      </c>
    </row>
    <row r="2795" spans="1:2" x14ac:dyDescent="0.25">
      <c r="A2795" s="36">
        <v>27394920423</v>
      </c>
      <c r="B2795" t="s">
        <v>1597</v>
      </c>
    </row>
    <row r="2796" spans="1:2" x14ac:dyDescent="0.25">
      <c r="A2796" s="36">
        <v>33711346959</v>
      </c>
      <c r="B2796" t="s">
        <v>1600</v>
      </c>
    </row>
    <row r="2797" spans="1:2" x14ac:dyDescent="0.25">
      <c r="A2797" s="36">
        <v>30715705946</v>
      </c>
      <c r="B2797" t="s">
        <v>1500</v>
      </c>
    </row>
    <row r="2798" spans="1:2" x14ac:dyDescent="0.25">
      <c r="A2798" s="36">
        <v>20223632719</v>
      </c>
      <c r="B2798" t="s">
        <v>1472</v>
      </c>
    </row>
    <row r="2799" spans="1:2" x14ac:dyDescent="0.25">
      <c r="A2799" s="36">
        <v>23269528214</v>
      </c>
      <c r="B2799" t="s">
        <v>1601</v>
      </c>
    </row>
    <row r="2800" spans="1:2" x14ac:dyDescent="0.25">
      <c r="A2800" s="36">
        <v>20223632719</v>
      </c>
      <c r="B2800" t="s">
        <v>1472</v>
      </c>
    </row>
    <row r="2801" spans="1:2" x14ac:dyDescent="0.25">
      <c r="A2801" s="36">
        <v>30709689505</v>
      </c>
      <c r="B2801" t="s">
        <v>1602</v>
      </c>
    </row>
    <row r="2802" spans="1:2" x14ac:dyDescent="0.25">
      <c r="A2802" s="36">
        <v>30715119443</v>
      </c>
      <c r="B2802" t="s">
        <v>1496</v>
      </c>
    </row>
    <row r="2803" spans="1:2" x14ac:dyDescent="0.25">
      <c r="A2803" s="36">
        <v>30717855082</v>
      </c>
      <c r="B2803" t="s">
        <v>1603</v>
      </c>
    </row>
    <row r="2804" spans="1:2" x14ac:dyDescent="0.25">
      <c r="A2804" s="36">
        <v>23269528214</v>
      </c>
      <c r="B2804" t="s">
        <v>1601</v>
      </c>
    </row>
    <row r="2805" spans="1:2" x14ac:dyDescent="0.25">
      <c r="A2805" s="36">
        <v>30717390942</v>
      </c>
      <c r="B2805" t="s">
        <v>1604</v>
      </c>
    </row>
    <row r="2806" spans="1:2" x14ac:dyDescent="0.25">
      <c r="A2806" s="36">
        <v>27327364567</v>
      </c>
      <c r="B2806" t="s">
        <v>1605</v>
      </c>
    </row>
    <row r="2807" spans="1:2" x14ac:dyDescent="0.25">
      <c r="A2807" s="36">
        <v>30708655410</v>
      </c>
      <c r="B2807" t="s">
        <v>445</v>
      </c>
    </row>
    <row r="2808" spans="1:2" x14ac:dyDescent="0.25">
      <c r="A2808" s="36">
        <v>30716421151</v>
      </c>
      <c r="B2808" t="s">
        <v>1606</v>
      </c>
    </row>
    <row r="2809" spans="1:2" x14ac:dyDescent="0.25">
      <c r="A2809" s="36">
        <v>30715770357</v>
      </c>
      <c r="B2809" t="s">
        <v>1607</v>
      </c>
    </row>
    <row r="2810" spans="1:2" x14ac:dyDescent="0.25">
      <c r="A2810" s="36">
        <v>30708994924</v>
      </c>
      <c r="B2810" t="s">
        <v>1187</v>
      </c>
    </row>
    <row r="2811" spans="1:2" x14ac:dyDescent="0.25">
      <c r="A2811" s="36">
        <v>30708994924</v>
      </c>
      <c r="B2811" t="s">
        <v>1187</v>
      </c>
    </row>
    <row r="2812" spans="1:2" x14ac:dyDescent="0.25">
      <c r="A2812" s="36">
        <v>27175380146</v>
      </c>
      <c r="B2812" t="s">
        <v>1467</v>
      </c>
    </row>
    <row r="2813" spans="1:2" x14ac:dyDescent="0.25">
      <c r="A2813" s="36">
        <v>27141689296</v>
      </c>
      <c r="B2813" t="s">
        <v>1451</v>
      </c>
    </row>
    <row r="2814" spans="1:2" x14ac:dyDescent="0.25">
      <c r="A2814" s="36">
        <v>27061737230</v>
      </c>
      <c r="B2814" t="s">
        <v>1502</v>
      </c>
    </row>
    <row r="2815" spans="1:2" x14ac:dyDescent="0.25">
      <c r="A2815" s="36">
        <v>30711604703</v>
      </c>
      <c r="B2815" t="s">
        <v>1184</v>
      </c>
    </row>
    <row r="2816" spans="1:2" x14ac:dyDescent="0.25">
      <c r="A2816" s="36">
        <v>30709163503</v>
      </c>
      <c r="B2816" t="s">
        <v>1608</v>
      </c>
    </row>
    <row r="2817" spans="1:2" x14ac:dyDescent="0.25">
      <c r="A2817" s="36">
        <v>30709163503</v>
      </c>
      <c r="B2817" t="s">
        <v>1608</v>
      </c>
    </row>
    <row r="2818" spans="1:2" x14ac:dyDescent="0.25">
      <c r="A2818" s="36">
        <v>30708994924</v>
      </c>
      <c r="B2818" t="s">
        <v>1187</v>
      </c>
    </row>
    <row r="2819" spans="1:2" x14ac:dyDescent="0.25">
      <c r="A2819" s="36">
        <v>30712104550</v>
      </c>
      <c r="B2819" t="s">
        <v>1186</v>
      </c>
    </row>
    <row r="2820" spans="1:2" x14ac:dyDescent="0.25">
      <c r="A2820" s="36">
        <v>27940805258</v>
      </c>
      <c r="B2820" t="s">
        <v>1609</v>
      </c>
    </row>
    <row r="2821" spans="1:2" x14ac:dyDescent="0.25">
      <c r="A2821" s="36">
        <v>20181612410</v>
      </c>
      <c r="B2821" t="s">
        <v>1179</v>
      </c>
    </row>
    <row r="2822" spans="1:2" x14ac:dyDescent="0.25">
      <c r="A2822" s="36">
        <v>20181612410</v>
      </c>
      <c r="B2822" t="s">
        <v>1179</v>
      </c>
    </row>
    <row r="2823" spans="1:2" x14ac:dyDescent="0.25">
      <c r="A2823" s="36">
        <v>27141689296</v>
      </c>
      <c r="B2823" t="s">
        <v>1451</v>
      </c>
    </row>
    <row r="2824" spans="1:2" x14ac:dyDescent="0.25">
      <c r="A2824" s="36">
        <v>23269528214</v>
      </c>
      <c r="B2824" t="s">
        <v>1601</v>
      </c>
    </row>
    <row r="2825" spans="1:2" x14ac:dyDescent="0.25">
      <c r="A2825" s="36">
        <v>30707950990</v>
      </c>
      <c r="B2825" t="s">
        <v>1503</v>
      </c>
    </row>
    <row r="2826" spans="1:2" x14ac:dyDescent="0.25">
      <c r="A2826" s="36">
        <v>30716413817</v>
      </c>
      <c r="B2826" t="s">
        <v>1489</v>
      </c>
    </row>
    <row r="2827" spans="1:2" x14ac:dyDescent="0.25">
      <c r="A2827" s="36">
        <v>30716972662</v>
      </c>
      <c r="B2827" t="s">
        <v>1610</v>
      </c>
    </row>
    <row r="2828" spans="1:2" x14ac:dyDescent="0.25">
      <c r="A2828" s="36">
        <v>30716421151</v>
      </c>
      <c r="B2828" t="s">
        <v>1606</v>
      </c>
    </row>
    <row r="2829" spans="1:2" x14ac:dyDescent="0.25">
      <c r="A2829" s="36">
        <v>27394920423</v>
      </c>
      <c r="B2829" t="s">
        <v>1597</v>
      </c>
    </row>
    <row r="2830" spans="1:2" x14ac:dyDescent="0.25">
      <c r="A2830" s="36">
        <v>27294955823</v>
      </c>
      <c r="B2830" t="s">
        <v>1611</v>
      </c>
    </row>
    <row r="2831" spans="1:2" x14ac:dyDescent="0.25">
      <c r="A2831" s="36">
        <v>20307580862</v>
      </c>
      <c r="B2831" t="s">
        <v>1501</v>
      </c>
    </row>
    <row r="2832" spans="1:2" x14ac:dyDescent="0.25">
      <c r="A2832" s="36">
        <v>27242128252</v>
      </c>
      <c r="B2832" t="s">
        <v>1485</v>
      </c>
    </row>
    <row r="2833" spans="1:2" x14ac:dyDescent="0.25">
      <c r="A2833" s="36">
        <v>27161298285</v>
      </c>
      <c r="B2833" t="s">
        <v>1465</v>
      </c>
    </row>
    <row r="2834" spans="1:2" x14ac:dyDescent="0.25">
      <c r="A2834" s="36">
        <v>27175380146</v>
      </c>
      <c r="B2834" t="s">
        <v>1467</v>
      </c>
    </row>
    <row r="2835" spans="1:2" x14ac:dyDescent="0.25">
      <c r="A2835" s="36">
        <v>30711694605</v>
      </c>
      <c r="B2835" t="s">
        <v>1612</v>
      </c>
    </row>
    <row r="2836" spans="1:2" x14ac:dyDescent="0.25">
      <c r="A2836" s="36">
        <v>30711720169</v>
      </c>
      <c r="B2836" t="s">
        <v>1477</v>
      </c>
    </row>
    <row r="2837" spans="1:2" x14ac:dyDescent="0.25">
      <c r="A2837" s="36">
        <v>30711940010</v>
      </c>
      <c r="B2837" t="s">
        <v>1613</v>
      </c>
    </row>
    <row r="2838" spans="1:2" x14ac:dyDescent="0.25">
      <c r="A2838" s="36">
        <v>20206659379</v>
      </c>
      <c r="B2838" t="s">
        <v>1614</v>
      </c>
    </row>
    <row r="2839" spans="1:2" x14ac:dyDescent="0.25">
      <c r="A2839" s="36">
        <v>27168442802</v>
      </c>
      <c r="B2839" t="s">
        <v>1615</v>
      </c>
    </row>
    <row r="2840" spans="1:2" x14ac:dyDescent="0.25">
      <c r="A2840" s="36">
        <v>27242275158</v>
      </c>
      <c r="B2840" t="s">
        <v>1616</v>
      </c>
    </row>
    <row r="2841" spans="1:2" x14ac:dyDescent="0.25">
      <c r="A2841" s="36">
        <v>27366442974</v>
      </c>
      <c r="B2841" t="s">
        <v>1617</v>
      </c>
    </row>
    <row r="2842" spans="1:2" x14ac:dyDescent="0.25">
      <c r="A2842" s="36">
        <v>27271107434</v>
      </c>
      <c r="B2842" t="s">
        <v>1618</v>
      </c>
    </row>
    <row r="2843" spans="1:2" x14ac:dyDescent="0.25">
      <c r="A2843" s="36">
        <v>27142840478</v>
      </c>
      <c r="B2843" t="s">
        <v>1619</v>
      </c>
    </row>
    <row r="2844" spans="1:2" x14ac:dyDescent="0.25">
      <c r="A2844" s="36">
        <v>27239266598</v>
      </c>
      <c r="B2844" t="s">
        <v>1620</v>
      </c>
    </row>
    <row r="2845" spans="1:2" x14ac:dyDescent="0.25">
      <c r="A2845" s="36">
        <v>27263118834</v>
      </c>
      <c r="B2845" t="s">
        <v>1621</v>
      </c>
    </row>
    <row r="2846" spans="1:2" x14ac:dyDescent="0.25">
      <c r="A2846" s="36">
        <v>27256583157</v>
      </c>
      <c r="B2846" t="s">
        <v>1622</v>
      </c>
    </row>
    <row r="2847" spans="1:2" x14ac:dyDescent="0.25">
      <c r="A2847" s="36">
        <v>23207936324</v>
      </c>
      <c r="B2847" t="s">
        <v>1623</v>
      </c>
    </row>
    <row r="2848" spans="1:2" x14ac:dyDescent="0.25">
      <c r="A2848" s="36">
        <v>27949525061</v>
      </c>
      <c r="B2848" t="s">
        <v>1624</v>
      </c>
    </row>
    <row r="2849" spans="1:3" x14ac:dyDescent="0.25">
      <c r="A2849" s="36">
        <v>27143137746</v>
      </c>
      <c r="B2849" t="s">
        <v>1625</v>
      </c>
    </row>
    <row r="2850" spans="1:3" x14ac:dyDescent="0.25">
      <c r="A2850" s="36">
        <v>27138528311</v>
      </c>
      <c r="B2850" t="s">
        <v>1626</v>
      </c>
    </row>
    <row r="2851" spans="1:3" x14ac:dyDescent="0.25">
      <c r="A2851" s="36">
        <v>27263118834</v>
      </c>
      <c r="B2851" t="s">
        <v>1621</v>
      </c>
    </row>
    <row r="2852" spans="1:3" x14ac:dyDescent="0.25">
      <c r="A2852" s="36">
        <v>27940533924</v>
      </c>
      <c r="B2852" t="s">
        <v>1628</v>
      </c>
    </row>
    <row r="2853" spans="1:3" x14ac:dyDescent="0.25">
      <c r="A2853" s="36">
        <v>27132079124</v>
      </c>
      <c r="B2853" t="s">
        <v>1629</v>
      </c>
    </row>
    <row r="2854" spans="1:3" x14ac:dyDescent="0.25">
      <c r="A2854" s="36">
        <v>27302842790</v>
      </c>
      <c r="B2854" t="s">
        <v>1630</v>
      </c>
    </row>
    <row r="2855" spans="1:3" x14ac:dyDescent="0.25">
      <c r="A2855" s="36">
        <v>27181966330</v>
      </c>
      <c r="B2855" t="s">
        <v>1631</v>
      </c>
    </row>
    <row r="2856" spans="1:3" x14ac:dyDescent="0.25">
      <c r="A2856" s="36">
        <v>30517266457</v>
      </c>
      <c r="B2856" t="s">
        <v>1635</v>
      </c>
    </row>
    <row r="2857" spans="1:3" x14ac:dyDescent="0.25">
      <c r="A2857" s="36">
        <v>30679202045</v>
      </c>
      <c r="B2857" t="s">
        <v>1636</v>
      </c>
      <c r="C2857" s="35" t="s">
        <v>2699</v>
      </c>
    </row>
    <row r="2858" spans="1:3" x14ac:dyDescent="0.25">
      <c r="A2858" s="36">
        <v>30714381551</v>
      </c>
      <c r="B2858" t="s">
        <v>1637</v>
      </c>
    </row>
    <row r="2859" spans="1:3" x14ac:dyDescent="0.25">
      <c r="A2859" s="36">
        <v>20403989496</v>
      </c>
      <c r="B2859" t="s">
        <v>1638</v>
      </c>
    </row>
    <row r="2860" spans="1:3" x14ac:dyDescent="0.25">
      <c r="A2860" s="36">
        <v>30584529454</v>
      </c>
      <c r="B2860" t="s">
        <v>1639</v>
      </c>
    </row>
    <row r="2861" spans="1:3" x14ac:dyDescent="0.25">
      <c r="A2861" s="36"/>
    </row>
    <row r="2862" spans="1:3" x14ac:dyDescent="0.25">
      <c r="A2862" s="36">
        <v>30503874497</v>
      </c>
      <c r="B2862" t="s">
        <v>1640</v>
      </c>
    </row>
    <row r="2863" spans="1:3" x14ac:dyDescent="0.25">
      <c r="A2863" s="36">
        <v>30710688180</v>
      </c>
      <c r="B2863" t="s">
        <v>1643</v>
      </c>
      <c r="C2863" s="35" t="s">
        <v>2651</v>
      </c>
    </row>
    <row r="2864" spans="1:3" x14ac:dyDescent="0.25">
      <c r="A2864" s="36">
        <v>30715777599</v>
      </c>
      <c r="B2864" t="s">
        <v>1644</v>
      </c>
    </row>
    <row r="2865" spans="1:3" x14ac:dyDescent="0.25">
      <c r="A2865" s="36">
        <v>30550106430</v>
      </c>
      <c r="B2865" t="s">
        <v>1645</v>
      </c>
    </row>
    <row r="2866" spans="1:3" x14ac:dyDescent="0.25">
      <c r="A2866" s="36">
        <v>20107074989</v>
      </c>
      <c r="B2866" t="s">
        <v>1647</v>
      </c>
    </row>
    <row r="2867" spans="1:3" x14ac:dyDescent="0.25">
      <c r="A2867" s="36">
        <v>20283638783</v>
      </c>
      <c r="B2867" t="s">
        <v>1649</v>
      </c>
    </row>
    <row r="2868" spans="1:3" x14ac:dyDescent="0.25">
      <c r="A2868" s="36">
        <v>20268898221</v>
      </c>
      <c r="B2868" t="s">
        <v>1651</v>
      </c>
      <c r="C2868" s="35" t="s">
        <v>2566</v>
      </c>
    </row>
    <row r="2869" spans="1:3" x14ac:dyDescent="0.25">
      <c r="A2869" s="36"/>
    </row>
    <row r="2870" spans="1:3" x14ac:dyDescent="0.25">
      <c r="A2870" s="36">
        <v>20174208094</v>
      </c>
      <c r="B2870" t="s">
        <v>1653</v>
      </c>
    </row>
    <row r="2871" spans="1:3" x14ac:dyDescent="0.25">
      <c r="A2871" s="36">
        <v>27315558706</v>
      </c>
      <c r="B2871" t="s">
        <v>1654</v>
      </c>
    </row>
    <row r="2872" spans="1:3" x14ac:dyDescent="0.25">
      <c r="A2872" s="36">
        <v>27234905924</v>
      </c>
      <c r="B2872" t="s">
        <v>1475</v>
      </c>
    </row>
    <row r="2873" spans="1:3" x14ac:dyDescent="0.25">
      <c r="A2873" s="36">
        <v>27394920423</v>
      </c>
      <c r="B2873" t="s">
        <v>1597</v>
      </c>
    </row>
    <row r="2874" spans="1:3" x14ac:dyDescent="0.25">
      <c r="A2874" s="36">
        <v>27944761859</v>
      </c>
      <c r="B2874" t="s">
        <v>1656</v>
      </c>
    </row>
    <row r="2875" spans="1:3" x14ac:dyDescent="0.25">
      <c r="A2875" s="36">
        <v>30714645532</v>
      </c>
      <c r="B2875" t="s">
        <v>1657</v>
      </c>
    </row>
    <row r="2876" spans="1:3" x14ac:dyDescent="0.25">
      <c r="A2876" s="36">
        <v>30717390942</v>
      </c>
      <c r="B2876" t="s">
        <v>1604</v>
      </c>
    </row>
    <row r="2877" spans="1:3" x14ac:dyDescent="0.25">
      <c r="A2877" s="36">
        <v>30711604703</v>
      </c>
      <c r="B2877" t="s">
        <v>1184</v>
      </c>
    </row>
    <row r="2878" spans="1:3" x14ac:dyDescent="0.25">
      <c r="A2878" s="36">
        <v>30714645532</v>
      </c>
      <c r="B2878" t="s">
        <v>1657</v>
      </c>
    </row>
    <row r="2879" spans="1:3" x14ac:dyDescent="0.25">
      <c r="A2879" s="36">
        <v>20206659379</v>
      </c>
      <c r="B2879" t="s">
        <v>1614</v>
      </c>
    </row>
    <row r="2880" spans="1:3" x14ac:dyDescent="0.25">
      <c r="A2880" s="36">
        <v>27262876220</v>
      </c>
      <c r="B2880" t="s">
        <v>1658</v>
      </c>
    </row>
    <row r="2881" spans="1:2" x14ac:dyDescent="0.25">
      <c r="A2881" s="36">
        <v>23269528214</v>
      </c>
      <c r="B2881" t="s">
        <v>1601</v>
      </c>
    </row>
    <row r="2882" spans="1:2" x14ac:dyDescent="0.25">
      <c r="A2882" s="36">
        <v>30712119574</v>
      </c>
      <c r="B2882" t="s">
        <v>1659</v>
      </c>
    </row>
    <row r="2883" spans="1:2" x14ac:dyDescent="0.25">
      <c r="A2883" s="36">
        <v>27175380146</v>
      </c>
      <c r="B2883" t="s">
        <v>1467</v>
      </c>
    </row>
    <row r="2884" spans="1:2" x14ac:dyDescent="0.25">
      <c r="A2884" s="36">
        <v>27280796552</v>
      </c>
      <c r="B2884" t="s">
        <v>1586</v>
      </c>
    </row>
    <row r="2885" spans="1:2" x14ac:dyDescent="0.25">
      <c r="A2885" s="36">
        <v>30712104550</v>
      </c>
      <c r="B2885" t="s">
        <v>1186</v>
      </c>
    </row>
    <row r="2886" spans="1:2" x14ac:dyDescent="0.25">
      <c r="A2886" s="36">
        <v>30710144830</v>
      </c>
      <c r="B2886" t="s">
        <v>1469</v>
      </c>
    </row>
    <row r="2887" spans="1:2" x14ac:dyDescent="0.25">
      <c r="A2887" s="36">
        <v>23269528214</v>
      </c>
      <c r="B2887" t="s">
        <v>1601</v>
      </c>
    </row>
    <row r="2888" spans="1:2" x14ac:dyDescent="0.25">
      <c r="A2888" s="36">
        <v>27161298285</v>
      </c>
      <c r="B2888" t="s">
        <v>1465</v>
      </c>
    </row>
    <row r="2889" spans="1:2" x14ac:dyDescent="0.25">
      <c r="A2889" s="36">
        <v>30712119574</v>
      </c>
      <c r="B2889" t="s">
        <v>1659</v>
      </c>
    </row>
    <row r="2890" spans="1:2" x14ac:dyDescent="0.25">
      <c r="A2890" s="36">
        <v>27141689296</v>
      </c>
      <c r="B2890" t="s">
        <v>1451</v>
      </c>
    </row>
    <row r="2891" spans="1:2" x14ac:dyDescent="0.25">
      <c r="A2891" s="36">
        <v>27333102035</v>
      </c>
      <c r="B2891" t="s">
        <v>1479</v>
      </c>
    </row>
    <row r="2892" spans="1:2" x14ac:dyDescent="0.25">
      <c r="A2892" s="36">
        <v>20181612410</v>
      </c>
      <c r="B2892" t="s">
        <v>1179</v>
      </c>
    </row>
    <row r="2893" spans="1:2" x14ac:dyDescent="0.25">
      <c r="A2893" s="36">
        <v>23269528214</v>
      </c>
      <c r="B2893" t="s">
        <v>1601</v>
      </c>
    </row>
    <row r="2894" spans="1:2" x14ac:dyDescent="0.25">
      <c r="A2894" s="36">
        <v>23180421564</v>
      </c>
      <c r="B2894" t="s">
        <v>1473</v>
      </c>
    </row>
    <row r="2895" spans="1:2" x14ac:dyDescent="0.25">
      <c r="A2895" s="36">
        <v>23180421564</v>
      </c>
      <c r="B2895" t="s">
        <v>1473</v>
      </c>
    </row>
    <row r="2896" spans="1:2" x14ac:dyDescent="0.25">
      <c r="A2896" s="36">
        <v>23180421564</v>
      </c>
      <c r="B2896" t="s">
        <v>1473</v>
      </c>
    </row>
    <row r="2897" spans="1:2" x14ac:dyDescent="0.25">
      <c r="A2897" s="36">
        <v>30527225988</v>
      </c>
      <c r="B2897" t="s">
        <v>1493</v>
      </c>
    </row>
    <row r="2898" spans="1:2" x14ac:dyDescent="0.25">
      <c r="A2898" s="36">
        <v>30717390942</v>
      </c>
      <c r="B2898" t="s">
        <v>1604</v>
      </c>
    </row>
    <row r="2899" spans="1:2" x14ac:dyDescent="0.25">
      <c r="A2899" s="36">
        <v>23269528214</v>
      </c>
      <c r="B2899" t="s">
        <v>1601</v>
      </c>
    </row>
    <row r="2900" spans="1:2" x14ac:dyDescent="0.25">
      <c r="A2900" s="36">
        <v>27256969802</v>
      </c>
      <c r="B2900" t="s">
        <v>1660</v>
      </c>
    </row>
    <row r="2901" spans="1:2" x14ac:dyDescent="0.25">
      <c r="A2901" s="36">
        <v>23269528214</v>
      </c>
      <c r="B2901" t="s">
        <v>1601</v>
      </c>
    </row>
    <row r="2902" spans="1:2" x14ac:dyDescent="0.25">
      <c r="A2902" s="36">
        <v>30715629336</v>
      </c>
      <c r="B2902" t="s">
        <v>1589</v>
      </c>
    </row>
    <row r="2903" spans="1:2" x14ac:dyDescent="0.25">
      <c r="A2903" s="36">
        <v>30715629336</v>
      </c>
      <c r="B2903" t="s">
        <v>1589</v>
      </c>
    </row>
    <row r="2904" spans="1:2" x14ac:dyDescent="0.25">
      <c r="A2904" s="36">
        <v>30711428514</v>
      </c>
      <c r="B2904" t="s">
        <v>1661</v>
      </c>
    </row>
    <row r="2905" spans="1:2" x14ac:dyDescent="0.25">
      <c r="A2905" s="36">
        <v>30711428514</v>
      </c>
      <c r="B2905" t="s">
        <v>1661</v>
      </c>
    </row>
    <row r="2906" spans="1:2" x14ac:dyDescent="0.25">
      <c r="A2906" s="36">
        <v>30712119574</v>
      </c>
      <c r="B2906" t="s">
        <v>1659</v>
      </c>
    </row>
    <row r="2907" spans="1:2" x14ac:dyDescent="0.25">
      <c r="A2907" s="36">
        <v>30716421151</v>
      </c>
      <c r="B2907" t="s">
        <v>1606</v>
      </c>
    </row>
    <row r="2908" spans="1:2" x14ac:dyDescent="0.25">
      <c r="A2908" s="36">
        <v>27223495317</v>
      </c>
      <c r="B2908" t="s">
        <v>1478</v>
      </c>
    </row>
    <row r="2909" spans="1:2" x14ac:dyDescent="0.25">
      <c r="A2909" s="36">
        <v>20307279569</v>
      </c>
      <c r="B2909" t="s">
        <v>1662</v>
      </c>
    </row>
    <row r="2910" spans="1:2" x14ac:dyDescent="0.25">
      <c r="A2910" s="36">
        <v>30712104550</v>
      </c>
      <c r="B2910" t="s">
        <v>1186</v>
      </c>
    </row>
    <row r="2911" spans="1:2" x14ac:dyDescent="0.25">
      <c r="A2911" s="36">
        <v>27280796552</v>
      </c>
      <c r="B2911" t="s">
        <v>1586</v>
      </c>
    </row>
    <row r="2912" spans="1:2" x14ac:dyDescent="0.25">
      <c r="A2912" s="36">
        <v>27280796552</v>
      </c>
      <c r="B2912" t="s">
        <v>1586</v>
      </c>
    </row>
    <row r="2913" spans="1:2" x14ac:dyDescent="0.25">
      <c r="A2913" s="36">
        <v>30709971626</v>
      </c>
      <c r="B2913" t="s">
        <v>1663</v>
      </c>
    </row>
    <row r="2914" spans="1:2" x14ac:dyDescent="0.25">
      <c r="A2914" s="36">
        <v>27280796552</v>
      </c>
      <c r="B2914" t="s">
        <v>1586</v>
      </c>
    </row>
    <row r="2915" spans="1:2" x14ac:dyDescent="0.25">
      <c r="A2915" s="36">
        <v>30714645532</v>
      </c>
      <c r="B2915" t="s">
        <v>1657</v>
      </c>
    </row>
    <row r="2916" spans="1:2" x14ac:dyDescent="0.25">
      <c r="A2916" s="36">
        <v>30717072592</v>
      </c>
      <c r="B2916" t="s">
        <v>1495</v>
      </c>
    </row>
    <row r="2917" spans="1:2" x14ac:dyDescent="0.25">
      <c r="A2917" s="36">
        <v>30717072592</v>
      </c>
      <c r="B2917" t="s">
        <v>1495</v>
      </c>
    </row>
    <row r="2918" spans="1:2" x14ac:dyDescent="0.25">
      <c r="A2918" s="36">
        <v>30709539295</v>
      </c>
      <c r="B2918" t="s">
        <v>1497</v>
      </c>
    </row>
    <row r="2919" spans="1:2" x14ac:dyDescent="0.25">
      <c r="A2919" s="36">
        <v>30709539295</v>
      </c>
      <c r="B2919" t="s">
        <v>1497</v>
      </c>
    </row>
    <row r="2920" spans="1:2" x14ac:dyDescent="0.25">
      <c r="A2920" s="36">
        <v>30715705946</v>
      </c>
      <c r="B2920" t="s">
        <v>1500</v>
      </c>
    </row>
    <row r="2921" spans="1:2" x14ac:dyDescent="0.25">
      <c r="A2921" s="36">
        <v>27234905924</v>
      </c>
      <c r="B2921" t="s">
        <v>1475</v>
      </c>
    </row>
    <row r="2922" spans="1:2" x14ac:dyDescent="0.25">
      <c r="A2922" s="36">
        <v>27141689296</v>
      </c>
      <c r="B2922" t="s">
        <v>1451</v>
      </c>
    </row>
    <row r="2923" spans="1:2" x14ac:dyDescent="0.25">
      <c r="A2923" s="36">
        <v>27234905924</v>
      </c>
      <c r="B2923" t="s">
        <v>1475</v>
      </c>
    </row>
    <row r="2924" spans="1:2" x14ac:dyDescent="0.25">
      <c r="A2924" s="36">
        <v>27234905924</v>
      </c>
      <c r="B2924" t="s">
        <v>1475</v>
      </c>
    </row>
    <row r="2925" spans="1:2" x14ac:dyDescent="0.25">
      <c r="A2925" s="36">
        <v>30715119443</v>
      </c>
      <c r="B2925" t="s">
        <v>1496</v>
      </c>
    </row>
    <row r="2926" spans="1:2" x14ac:dyDescent="0.25">
      <c r="A2926" s="36">
        <v>20181612410</v>
      </c>
      <c r="B2926" t="s">
        <v>1179</v>
      </c>
    </row>
    <row r="2927" spans="1:2" x14ac:dyDescent="0.25">
      <c r="A2927" s="36">
        <v>30711720169</v>
      </c>
      <c r="B2927" t="s">
        <v>1477</v>
      </c>
    </row>
    <row r="2928" spans="1:2" x14ac:dyDescent="0.25">
      <c r="A2928" s="36">
        <v>27366226112</v>
      </c>
      <c r="B2928" t="s">
        <v>1664</v>
      </c>
    </row>
    <row r="2929" spans="1:2" x14ac:dyDescent="0.25">
      <c r="A2929" s="36">
        <v>27366226112</v>
      </c>
      <c r="B2929" t="s">
        <v>1664</v>
      </c>
    </row>
    <row r="2930" spans="1:2" x14ac:dyDescent="0.25">
      <c r="A2930" s="36">
        <v>27172834189</v>
      </c>
      <c r="B2930" t="s">
        <v>1494</v>
      </c>
    </row>
    <row r="2931" spans="1:2" x14ac:dyDescent="0.25">
      <c r="A2931" s="36">
        <v>27242509612</v>
      </c>
      <c r="B2931" t="s">
        <v>1665</v>
      </c>
    </row>
    <row r="2932" spans="1:2" x14ac:dyDescent="0.25">
      <c r="A2932" s="36">
        <v>27209146601</v>
      </c>
      <c r="B2932" t="s">
        <v>1666</v>
      </c>
    </row>
    <row r="2933" spans="1:2" x14ac:dyDescent="0.25">
      <c r="A2933" s="36">
        <v>27394920423</v>
      </c>
      <c r="B2933" t="s">
        <v>1597</v>
      </c>
    </row>
    <row r="2934" spans="1:2" x14ac:dyDescent="0.25">
      <c r="A2934" s="36">
        <v>27242128252</v>
      </c>
      <c r="B2934" t="s">
        <v>1485</v>
      </c>
    </row>
    <row r="2935" spans="1:2" x14ac:dyDescent="0.25">
      <c r="A2935" s="36">
        <v>27242128252</v>
      </c>
      <c r="B2935" t="s">
        <v>1485</v>
      </c>
    </row>
    <row r="2936" spans="1:2" x14ac:dyDescent="0.25">
      <c r="A2936" s="36">
        <v>23265885594</v>
      </c>
      <c r="B2936" t="s">
        <v>1667</v>
      </c>
    </row>
    <row r="2937" spans="1:2" x14ac:dyDescent="0.25">
      <c r="A2937" s="36">
        <v>27175380146</v>
      </c>
      <c r="B2937" t="s">
        <v>1467</v>
      </c>
    </row>
    <row r="2938" spans="1:2" x14ac:dyDescent="0.25">
      <c r="A2938" s="36">
        <v>27242128252</v>
      </c>
      <c r="B2938" t="s">
        <v>1485</v>
      </c>
    </row>
    <row r="2939" spans="1:2" x14ac:dyDescent="0.25">
      <c r="A2939" s="36">
        <v>27242128252</v>
      </c>
      <c r="B2939" t="s">
        <v>1485</v>
      </c>
    </row>
    <row r="2940" spans="1:2" x14ac:dyDescent="0.25">
      <c r="A2940" s="36">
        <v>20181612410</v>
      </c>
      <c r="B2940" t="s">
        <v>1179</v>
      </c>
    </row>
    <row r="2941" spans="1:2" x14ac:dyDescent="0.25">
      <c r="A2941" s="36">
        <v>20181612410</v>
      </c>
      <c r="B2941" t="s">
        <v>1179</v>
      </c>
    </row>
    <row r="2942" spans="1:2" x14ac:dyDescent="0.25">
      <c r="A2942" s="36">
        <v>20132857432</v>
      </c>
      <c r="B2942" t="s">
        <v>1668</v>
      </c>
    </row>
    <row r="2943" spans="1:2" x14ac:dyDescent="0.25">
      <c r="A2943" s="36">
        <v>23269528214</v>
      </c>
      <c r="B2943" t="s">
        <v>1601</v>
      </c>
    </row>
    <row r="2944" spans="1:2" x14ac:dyDescent="0.25">
      <c r="A2944" s="36">
        <v>30711604703</v>
      </c>
      <c r="B2944" t="s">
        <v>1184</v>
      </c>
    </row>
    <row r="2945" spans="1:2" x14ac:dyDescent="0.25">
      <c r="A2945" s="36">
        <v>23269528214</v>
      </c>
      <c r="B2945" t="s">
        <v>1601</v>
      </c>
    </row>
    <row r="2946" spans="1:2" x14ac:dyDescent="0.25">
      <c r="A2946" s="36">
        <v>23269528214</v>
      </c>
      <c r="B2946" t="s">
        <v>1601</v>
      </c>
    </row>
    <row r="2947" spans="1:2" x14ac:dyDescent="0.25">
      <c r="A2947" s="36">
        <v>30709043117</v>
      </c>
      <c r="B2947" t="s">
        <v>1669</v>
      </c>
    </row>
    <row r="2948" spans="1:2" x14ac:dyDescent="0.25">
      <c r="A2948" s="36">
        <v>39348401</v>
      </c>
      <c r="B2948" t="s">
        <v>1670</v>
      </c>
    </row>
    <row r="2949" spans="1:2" x14ac:dyDescent="0.25">
      <c r="A2949" s="36">
        <v>25817118</v>
      </c>
      <c r="B2949" t="s">
        <v>1671</v>
      </c>
    </row>
    <row r="2950" spans="1:2" x14ac:dyDescent="0.25">
      <c r="A2950" s="36">
        <v>12758459</v>
      </c>
      <c r="B2950" t="s">
        <v>1672</v>
      </c>
    </row>
    <row r="2951" spans="1:2" x14ac:dyDescent="0.25">
      <c r="A2951" s="36">
        <v>18442283</v>
      </c>
      <c r="B2951" t="s">
        <v>1673</v>
      </c>
    </row>
    <row r="2952" spans="1:2" x14ac:dyDescent="0.25">
      <c r="A2952" s="36"/>
    </row>
    <row r="2953" spans="1:2" x14ac:dyDescent="0.25">
      <c r="A2953" s="36">
        <v>28031075</v>
      </c>
      <c r="B2953" t="s">
        <v>1674</v>
      </c>
    </row>
    <row r="2954" spans="1:2" x14ac:dyDescent="0.25">
      <c r="A2954" s="36">
        <v>27220670878</v>
      </c>
      <c r="B2954" t="s">
        <v>1675</v>
      </c>
    </row>
    <row r="2955" spans="1:2" x14ac:dyDescent="0.25">
      <c r="A2955" s="36">
        <v>18106230</v>
      </c>
      <c r="B2955" t="s">
        <v>1676</v>
      </c>
    </row>
    <row r="2956" spans="1:2" x14ac:dyDescent="0.25">
      <c r="A2956" s="36">
        <v>38999561</v>
      </c>
      <c r="B2956" t="s">
        <v>1677</v>
      </c>
    </row>
    <row r="2957" spans="1:2" x14ac:dyDescent="0.25">
      <c r="A2957" s="36">
        <v>11897143</v>
      </c>
      <c r="B2957" t="s">
        <v>1678</v>
      </c>
    </row>
    <row r="2958" spans="1:2" x14ac:dyDescent="0.25">
      <c r="A2958" s="36">
        <v>13862555</v>
      </c>
      <c r="B2958" t="s">
        <v>1679</v>
      </c>
    </row>
    <row r="2959" spans="1:2" x14ac:dyDescent="0.25">
      <c r="A2959" s="36">
        <v>24445141</v>
      </c>
      <c r="B2959" t="s">
        <v>1680</v>
      </c>
    </row>
    <row r="2960" spans="1:2" x14ac:dyDescent="0.25">
      <c r="A2960" s="36">
        <v>34745621</v>
      </c>
      <c r="B2960" t="s">
        <v>1681</v>
      </c>
    </row>
    <row r="2961" spans="1:2" x14ac:dyDescent="0.25">
      <c r="A2961" s="36">
        <v>24445141</v>
      </c>
      <c r="B2961" t="s">
        <v>1680</v>
      </c>
    </row>
    <row r="2962" spans="1:2" x14ac:dyDescent="0.25">
      <c r="A2962" s="36">
        <v>12760724</v>
      </c>
      <c r="B2962" t="s">
        <v>1682</v>
      </c>
    </row>
    <row r="2963" spans="1:2" x14ac:dyDescent="0.25">
      <c r="A2963" s="36">
        <v>14015710</v>
      </c>
      <c r="B2963" t="s">
        <v>1683</v>
      </c>
    </row>
    <row r="2964" spans="1:2" x14ac:dyDescent="0.25">
      <c r="A2964" s="36">
        <v>30512432</v>
      </c>
      <c r="B2964" t="s">
        <v>1684</v>
      </c>
    </row>
    <row r="2965" spans="1:2" x14ac:dyDescent="0.25">
      <c r="A2965" s="36">
        <v>24171267</v>
      </c>
      <c r="B2965" t="s">
        <v>1685</v>
      </c>
    </row>
    <row r="2966" spans="1:2" x14ac:dyDescent="0.25">
      <c r="A2966" s="36">
        <v>34454281</v>
      </c>
      <c r="B2966" t="s">
        <v>1686</v>
      </c>
    </row>
    <row r="2967" spans="1:2" x14ac:dyDescent="0.25">
      <c r="A2967" s="36">
        <v>24313506</v>
      </c>
      <c r="B2967" t="s">
        <v>1687</v>
      </c>
    </row>
    <row r="2968" spans="1:2" x14ac:dyDescent="0.25">
      <c r="A2968" s="36">
        <v>45895643</v>
      </c>
      <c r="B2968" t="s">
        <v>1688</v>
      </c>
    </row>
    <row r="2969" spans="1:2" x14ac:dyDescent="0.25">
      <c r="A2969" s="36">
        <v>11543320</v>
      </c>
      <c r="B2969" t="s">
        <v>1689</v>
      </c>
    </row>
    <row r="2970" spans="1:2" x14ac:dyDescent="0.25">
      <c r="A2970" s="36">
        <v>11046463</v>
      </c>
      <c r="B2970" t="s">
        <v>1690</v>
      </c>
    </row>
    <row r="2971" spans="1:2" x14ac:dyDescent="0.25">
      <c r="A2971" s="36">
        <v>27271107434</v>
      </c>
      <c r="B2971" t="s">
        <v>1618</v>
      </c>
    </row>
    <row r="2972" spans="1:2" x14ac:dyDescent="0.25">
      <c r="A2972" s="36">
        <v>16313903</v>
      </c>
      <c r="B2972" t="s">
        <v>1691</v>
      </c>
    </row>
    <row r="2973" spans="1:2" x14ac:dyDescent="0.25">
      <c r="A2973" s="36">
        <v>18134041</v>
      </c>
      <c r="B2973" t="s">
        <v>1692</v>
      </c>
    </row>
    <row r="2974" spans="1:2" x14ac:dyDescent="0.25">
      <c r="A2974" s="36">
        <v>26865987</v>
      </c>
      <c r="B2974" t="s">
        <v>1693</v>
      </c>
    </row>
    <row r="2975" spans="1:2" x14ac:dyDescent="0.25">
      <c r="A2975" s="36">
        <v>27560895</v>
      </c>
      <c r="B2975" t="s">
        <v>1695</v>
      </c>
    </row>
    <row r="2976" spans="1:2" x14ac:dyDescent="0.25">
      <c r="A2976" s="36">
        <v>24927300</v>
      </c>
      <c r="B2976" t="s">
        <v>1696</v>
      </c>
    </row>
    <row r="2977" spans="1:2" x14ac:dyDescent="0.25">
      <c r="A2977" s="36">
        <v>38999561</v>
      </c>
      <c r="B2977" t="s">
        <v>1677</v>
      </c>
    </row>
    <row r="2978" spans="1:2" x14ac:dyDescent="0.25">
      <c r="A2978" s="36">
        <v>10120367</v>
      </c>
      <c r="B2978" t="s">
        <v>1697</v>
      </c>
    </row>
    <row r="2979" spans="1:2" x14ac:dyDescent="0.25">
      <c r="A2979" s="36">
        <v>26996097</v>
      </c>
      <c r="B2979" t="s">
        <v>1698</v>
      </c>
    </row>
    <row r="2980" spans="1:2" x14ac:dyDescent="0.25">
      <c r="A2980" s="36">
        <v>92344179</v>
      </c>
      <c r="B2980" t="s">
        <v>1699</v>
      </c>
    </row>
    <row r="2981" spans="1:2" x14ac:dyDescent="0.25">
      <c r="A2981" s="36">
        <v>35041832</v>
      </c>
      <c r="B2981" t="s">
        <v>1700</v>
      </c>
    </row>
    <row r="2982" spans="1:2" x14ac:dyDescent="0.25">
      <c r="A2982" s="36">
        <v>38999561</v>
      </c>
      <c r="B2982" t="s">
        <v>1677</v>
      </c>
    </row>
    <row r="2983" spans="1:2" x14ac:dyDescent="0.25">
      <c r="A2983" s="36">
        <v>94006532</v>
      </c>
      <c r="B2983" t="s">
        <v>1701</v>
      </c>
    </row>
    <row r="2984" spans="1:2" x14ac:dyDescent="0.25">
      <c r="A2984" s="36">
        <v>34513098</v>
      </c>
      <c r="B2984" t="s">
        <v>1702</v>
      </c>
    </row>
    <row r="2985" spans="1:2" x14ac:dyDescent="0.25">
      <c r="A2985" s="36">
        <v>32758476</v>
      </c>
      <c r="B2985" t="s">
        <v>1703</v>
      </c>
    </row>
    <row r="2986" spans="1:2" x14ac:dyDescent="0.25">
      <c r="A2986" s="36">
        <v>21920073</v>
      </c>
      <c r="B2986" t="s">
        <v>1704</v>
      </c>
    </row>
    <row r="2987" spans="1:2" x14ac:dyDescent="0.25">
      <c r="A2987" s="36">
        <v>25869848</v>
      </c>
      <c r="B2987" t="s">
        <v>1705</v>
      </c>
    </row>
    <row r="2988" spans="1:2" x14ac:dyDescent="0.25">
      <c r="A2988" s="36">
        <v>39658304</v>
      </c>
      <c r="B2988" t="s">
        <v>1706</v>
      </c>
    </row>
    <row r="2989" spans="1:2" x14ac:dyDescent="0.25">
      <c r="A2989" s="36">
        <v>38999561</v>
      </c>
      <c r="B2989" t="s">
        <v>1677</v>
      </c>
    </row>
    <row r="2990" spans="1:2" x14ac:dyDescent="0.25">
      <c r="A2990" s="36">
        <v>41250180</v>
      </c>
      <c r="B2990" t="s">
        <v>1707</v>
      </c>
    </row>
    <row r="2991" spans="1:2" x14ac:dyDescent="0.25">
      <c r="A2991" s="36">
        <v>27220620587</v>
      </c>
      <c r="B2991" t="s">
        <v>1708</v>
      </c>
    </row>
    <row r="2992" spans="1:2" x14ac:dyDescent="0.25">
      <c r="A2992" s="36">
        <v>30579939008</v>
      </c>
      <c r="B2992" t="s">
        <v>1719</v>
      </c>
    </row>
    <row r="2993" spans="1:2" x14ac:dyDescent="0.25">
      <c r="A2993" s="36">
        <v>30711239800</v>
      </c>
      <c r="B2993" t="s">
        <v>1720</v>
      </c>
    </row>
    <row r="2994" spans="1:2" x14ac:dyDescent="0.25">
      <c r="A2994" s="36">
        <v>33717247189</v>
      </c>
      <c r="B2994" t="s">
        <v>1721</v>
      </c>
    </row>
    <row r="2995" spans="1:2" x14ac:dyDescent="0.25">
      <c r="A2995" s="36">
        <v>30716032120</v>
      </c>
      <c r="B2995" t="s">
        <v>1723</v>
      </c>
    </row>
    <row r="2996" spans="1:2" x14ac:dyDescent="0.25">
      <c r="A2996" s="36">
        <v>30714430781</v>
      </c>
      <c r="B2996" t="s">
        <v>1727</v>
      </c>
    </row>
    <row r="2997" spans="1:2" x14ac:dyDescent="0.25">
      <c r="A2997" s="36">
        <v>30709003654</v>
      </c>
      <c r="B2997" t="s">
        <v>1728</v>
      </c>
    </row>
    <row r="2998" spans="1:2" x14ac:dyDescent="0.25">
      <c r="A2998" s="36">
        <v>30708528052</v>
      </c>
      <c r="B2998" t="s">
        <v>1731</v>
      </c>
    </row>
    <row r="2999" spans="1:2" x14ac:dyDescent="0.25">
      <c r="A2999" s="36">
        <v>30715012835</v>
      </c>
      <c r="B2999" t="s">
        <v>1732</v>
      </c>
    </row>
    <row r="3000" spans="1:2" x14ac:dyDescent="0.25">
      <c r="A3000" s="36">
        <v>30585727152</v>
      </c>
      <c r="B3000" t="s">
        <v>1734</v>
      </c>
    </row>
    <row r="3001" spans="1:2" x14ac:dyDescent="0.25">
      <c r="A3001" s="36">
        <v>30708142022</v>
      </c>
      <c r="B3001" t="s">
        <v>1735</v>
      </c>
    </row>
    <row r="3002" spans="1:2" x14ac:dyDescent="0.25">
      <c r="A3002" s="36">
        <v>20149021591</v>
      </c>
      <c r="B3002" t="s">
        <v>1737</v>
      </c>
    </row>
    <row r="3003" spans="1:2" x14ac:dyDescent="0.25">
      <c r="A3003" s="36">
        <v>33519459529</v>
      </c>
      <c r="B3003" t="s">
        <v>1738</v>
      </c>
    </row>
    <row r="3004" spans="1:2" x14ac:dyDescent="0.25">
      <c r="A3004" s="36">
        <v>30707719725</v>
      </c>
      <c r="B3004" t="s">
        <v>1739</v>
      </c>
    </row>
    <row r="3005" spans="1:2" x14ac:dyDescent="0.25">
      <c r="A3005" s="36">
        <v>27316594676</v>
      </c>
      <c r="B3005" t="s">
        <v>1741</v>
      </c>
    </row>
    <row r="3006" spans="1:2" x14ac:dyDescent="0.25">
      <c r="A3006" s="36">
        <v>30709040460</v>
      </c>
      <c r="B3006" t="s">
        <v>1742</v>
      </c>
    </row>
    <row r="3007" spans="1:2" x14ac:dyDescent="0.25">
      <c r="A3007" s="36">
        <v>30716072033</v>
      </c>
      <c r="B3007" t="s">
        <v>1743</v>
      </c>
    </row>
    <row r="3008" spans="1:2" x14ac:dyDescent="0.25">
      <c r="A3008" s="36">
        <v>20304940019</v>
      </c>
      <c r="B3008" t="s">
        <v>1744</v>
      </c>
    </row>
    <row r="3009" spans="1:2" x14ac:dyDescent="0.25">
      <c r="A3009" s="36">
        <v>30715294938</v>
      </c>
      <c r="B3009" t="s">
        <v>1745</v>
      </c>
    </row>
    <row r="3010" spans="1:2" x14ac:dyDescent="0.25">
      <c r="A3010" s="36">
        <v>20321577645</v>
      </c>
      <c r="B3010" t="s">
        <v>1747</v>
      </c>
    </row>
    <row r="3011" spans="1:2" x14ac:dyDescent="0.25">
      <c r="A3011" s="36">
        <v>30686965801</v>
      </c>
      <c r="B3011" t="s">
        <v>1748</v>
      </c>
    </row>
    <row r="3012" spans="1:2" x14ac:dyDescent="0.25">
      <c r="A3012" s="36">
        <v>27164522704</v>
      </c>
      <c r="B3012" t="s">
        <v>1749</v>
      </c>
    </row>
    <row r="3013" spans="1:2" x14ac:dyDescent="0.25">
      <c r="A3013" s="36">
        <v>30520201048</v>
      </c>
      <c r="B3013" t="s">
        <v>1757</v>
      </c>
    </row>
    <row r="3014" spans="1:2" x14ac:dyDescent="0.25">
      <c r="A3014" s="36">
        <v>30696186932</v>
      </c>
      <c r="B3014" t="s">
        <v>1758</v>
      </c>
    </row>
    <row r="3015" spans="1:2" x14ac:dyDescent="0.25">
      <c r="A3015" s="36">
        <v>30500445757</v>
      </c>
      <c r="B3015" t="s">
        <v>1765</v>
      </c>
    </row>
    <row r="3016" spans="1:2" x14ac:dyDescent="0.25">
      <c r="A3016" s="36">
        <v>23043805649</v>
      </c>
      <c r="B3016" t="s">
        <v>1766</v>
      </c>
    </row>
    <row r="3017" spans="1:2" x14ac:dyDescent="0.25">
      <c r="A3017" s="36">
        <v>30693213262</v>
      </c>
      <c r="B3017" t="s">
        <v>1768</v>
      </c>
    </row>
    <row r="3018" spans="1:2" x14ac:dyDescent="0.25">
      <c r="A3018" s="36">
        <v>20298662915</v>
      </c>
      <c r="B3018" t="s">
        <v>1769</v>
      </c>
    </row>
    <row r="3019" spans="1:2" x14ac:dyDescent="0.25">
      <c r="A3019" s="36">
        <v>20286297839</v>
      </c>
      <c r="B3019" t="s">
        <v>1771</v>
      </c>
    </row>
    <row r="3020" spans="1:2" x14ac:dyDescent="0.25">
      <c r="A3020" s="36">
        <v>27188803771</v>
      </c>
      <c r="B3020" t="s">
        <v>1772</v>
      </c>
    </row>
    <row r="3021" spans="1:2" x14ac:dyDescent="0.25">
      <c r="A3021" s="36">
        <v>20334254500</v>
      </c>
      <c r="B3021" t="s">
        <v>1773</v>
      </c>
    </row>
    <row r="3022" spans="1:2" x14ac:dyDescent="0.25">
      <c r="A3022" s="36">
        <v>20334254500</v>
      </c>
      <c r="B3022" t="s">
        <v>1773</v>
      </c>
    </row>
    <row r="3023" spans="1:2" x14ac:dyDescent="0.25">
      <c r="A3023" s="36">
        <v>20335161395</v>
      </c>
      <c r="B3023" t="s">
        <v>1776</v>
      </c>
    </row>
    <row r="3024" spans="1:2" x14ac:dyDescent="0.25">
      <c r="A3024" s="36">
        <v>30716874377</v>
      </c>
      <c r="B3024" t="s">
        <v>1777</v>
      </c>
    </row>
    <row r="3025" spans="1:5" x14ac:dyDescent="0.25">
      <c r="A3025" s="36">
        <v>33663990859</v>
      </c>
      <c r="B3025" t="s">
        <v>1778</v>
      </c>
    </row>
    <row r="3026" spans="1:5" x14ac:dyDescent="0.25">
      <c r="A3026" s="36">
        <v>20271009780</v>
      </c>
      <c r="B3026" t="s">
        <v>1779</v>
      </c>
    </row>
    <row r="3027" spans="1:5" x14ac:dyDescent="0.25">
      <c r="A3027" s="36">
        <v>27239067218</v>
      </c>
      <c r="B3027" t="s">
        <v>2579</v>
      </c>
      <c r="C3027" s="35" t="s">
        <v>79</v>
      </c>
    </row>
    <row r="3028" spans="1:5" x14ac:dyDescent="0.25">
      <c r="A3028" s="36">
        <v>30711031320</v>
      </c>
      <c r="B3028" t="s">
        <v>2580</v>
      </c>
      <c r="C3028" s="35" t="s">
        <v>79</v>
      </c>
    </row>
    <row r="3029" spans="1:5" x14ac:dyDescent="0.25">
      <c r="A3029" s="36">
        <v>30717413691</v>
      </c>
      <c r="B3029" t="s">
        <v>2581</v>
      </c>
      <c r="C3029" s="35" t="s">
        <v>79</v>
      </c>
    </row>
    <row r="3030" spans="1:5" x14ac:dyDescent="0.25">
      <c r="A3030" s="36">
        <v>30716371324</v>
      </c>
      <c r="B3030" t="s">
        <v>2582</v>
      </c>
      <c r="C3030" s="35" t="s">
        <v>79</v>
      </c>
    </row>
    <row r="3031" spans="1:5" x14ac:dyDescent="0.25">
      <c r="A3031" s="36">
        <v>30614274421</v>
      </c>
      <c r="B3031" t="s">
        <v>2583</v>
      </c>
      <c r="C3031" s="35" t="s">
        <v>79</v>
      </c>
    </row>
    <row r="3032" spans="1:5" x14ac:dyDescent="0.25">
      <c r="A3032" s="36">
        <v>30716436396</v>
      </c>
      <c r="B3032" t="s">
        <v>2584</v>
      </c>
      <c r="C3032" s="35" t="s">
        <v>79</v>
      </c>
    </row>
    <row r="3033" spans="1:5" x14ac:dyDescent="0.25">
      <c r="A3033" s="36">
        <v>27385473937</v>
      </c>
      <c r="B3033" t="s">
        <v>2444</v>
      </c>
      <c r="C3033" s="35" t="s">
        <v>79</v>
      </c>
    </row>
    <row r="3034" spans="1:5" x14ac:dyDescent="0.25">
      <c r="A3034" s="36">
        <v>33707790399</v>
      </c>
      <c r="B3034" t="s">
        <v>2585</v>
      </c>
      <c r="C3034" s="35" t="s">
        <v>79</v>
      </c>
    </row>
    <row r="3035" spans="1:5" x14ac:dyDescent="0.25">
      <c r="A3035" s="36">
        <v>30716075873</v>
      </c>
      <c r="B3035" t="s">
        <v>2586</v>
      </c>
      <c r="C3035" s="35" t="s">
        <v>79</v>
      </c>
    </row>
    <row r="3036" spans="1:5" x14ac:dyDescent="0.25">
      <c r="A3036" s="36">
        <v>33697231469</v>
      </c>
      <c r="B3036" t="s">
        <v>2587</v>
      </c>
      <c r="C3036" s="35" t="s">
        <v>79</v>
      </c>
    </row>
    <row r="3037" spans="1:5" x14ac:dyDescent="0.25">
      <c r="A3037" s="36">
        <v>30718454510</v>
      </c>
      <c r="B3037" t="s">
        <v>2588</v>
      </c>
      <c r="C3037" s="35" t="s">
        <v>79</v>
      </c>
    </row>
    <row r="3038" spans="1:5" x14ac:dyDescent="0.25">
      <c r="A3038" s="36">
        <v>30715819461</v>
      </c>
      <c r="B3038" t="s">
        <v>1788</v>
      </c>
    </row>
    <row r="3039" spans="1:5" x14ac:dyDescent="0.25">
      <c r="A3039" s="36">
        <v>30712099166</v>
      </c>
      <c r="B3039" t="s">
        <v>1790</v>
      </c>
    </row>
    <row r="3040" spans="1:5" x14ac:dyDescent="0.25">
      <c r="A3040" s="36">
        <v>30705466269</v>
      </c>
      <c r="B3040" t="s">
        <v>1791</v>
      </c>
      <c r="C3040" s="35" t="s">
        <v>83</v>
      </c>
      <c r="E3040" t="s">
        <v>2613</v>
      </c>
    </row>
    <row r="3041" spans="1:3" x14ac:dyDescent="0.25">
      <c r="A3041" s="36">
        <v>30717442551</v>
      </c>
      <c r="B3041" t="s">
        <v>1793</v>
      </c>
    </row>
    <row r="3042" spans="1:3" x14ac:dyDescent="0.25">
      <c r="A3042" s="36">
        <v>20294675826</v>
      </c>
      <c r="B3042" t="s">
        <v>1795</v>
      </c>
    </row>
    <row r="3043" spans="1:3" x14ac:dyDescent="0.25">
      <c r="A3043" s="36">
        <v>30712210636</v>
      </c>
      <c r="B3043" t="s">
        <v>1796</v>
      </c>
    </row>
    <row r="3044" spans="1:3" x14ac:dyDescent="0.25">
      <c r="A3044" s="36">
        <v>30715053221</v>
      </c>
      <c r="B3044" t="s">
        <v>1797</v>
      </c>
    </row>
    <row r="3045" spans="1:3" x14ac:dyDescent="0.25">
      <c r="A3045" s="36">
        <v>20256599954</v>
      </c>
      <c r="B3045" t="s">
        <v>1798</v>
      </c>
    </row>
    <row r="3046" spans="1:3" x14ac:dyDescent="0.25">
      <c r="A3046" s="36">
        <v>20372478056</v>
      </c>
      <c r="B3046" t="s">
        <v>1799</v>
      </c>
    </row>
    <row r="3047" spans="1:3" x14ac:dyDescent="0.25">
      <c r="A3047" s="36">
        <v>30699455829</v>
      </c>
      <c r="B3047" t="s">
        <v>1800</v>
      </c>
    </row>
    <row r="3048" spans="1:3" x14ac:dyDescent="0.25">
      <c r="A3048" s="36">
        <v>33716968109</v>
      </c>
      <c r="B3048" t="s">
        <v>1801</v>
      </c>
    </row>
    <row r="3049" spans="1:3" x14ac:dyDescent="0.25">
      <c r="A3049" s="36">
        <v>30711776040</v>
      </c>
      <c r="B3049" t="s">
        <v>1802</v>
      </c>
    </row>
    <row r="3050" spans="1:3" x14ac:dyDescent="0.25">
      <c r="A3050" s="36">
        <v>30712449361</v>
      </c>
      <c r="B3050" t="s">
        <v>1803</v>
      </c>
      <c r="C3050" s="35" t="s">
        <v>3069</v>
      </c>
    </row>
    <row r="3051" spans="1:3" x14ac:dyDescent="0.25">
      <c r="A3051" s="36">
        <v>30709788635</v>
      </c>
      <c r="B3051" t="s">
        <v>1804</v>
      </c>
    </row>
    <row r="3052" spans="1:3" x14ac:dyDescent="0.25">
      <c r="A3052" s="36">
        <v>30711200599</v>
      </c>
      <c r="B3052" t="s">
        <v>1806</v>
      </c>
    </row>
    <row r="3053" spans="1:3" x14ac:dyDescent="0.25">
      <c r="A3053" s="36">
        <v>27162255881</v>
      </c>
      <c r="B3053" t="s">
        <v>1807</v>
      </c>
    </row>
    <row r="3054" spans="1:3" x14ac:dyDescent="0.25">
      <c r="A3054" s="36">
        <v>30707254366</v>
      </c>
      <c r="B3054" t="s">
        <v>1808</v>
      </c>
    </row>
    <row r="3055" spans="1:3" x14ac:dyDescent="0.25">
      <c r="A3055" s="36">
        <v>30715510002</v>
      </c>
      <c r="B3055" t="s">
        <v>1810</v>
      </c>
    </row>
    <row r="3056" spans="1:3" x14ac:dyDescent="0.25">
      <c r="A3056" s="36">
        <v>23221796969</v>
      </c>
      <c r="B3056" t="s">
        <v>1811</v>
      </c>
    </row>
    <row r="3057" spans="1:3" x14ac:dyDescent="0.25">
      <c r="A3057" s="36">
        <v>30710457502</v>
      </c>
      <c r="B3057" t="s">
        <v>1812</v>
      </c>
    </row>
    <row r="3058" spans="1:3" x14ac:dyDescent="0.25">
      <c r="A3058" s="36">
        <v>30717323420</v>
      </c>
      <c r="B3058" t="s">
        <v>1813</v>
      </c>
    </row>
    <row r="3059" spans="1:3" x14ac:dyDescent="0.25">
      <c r="A3059" s="36">
        <v>30715342983</v>
      </c>
      <c r="B3059" t="s">
        <v>1814</v>
      </c>
    </row>
    <row r="3060" spans="1:3" x14ac:dyDescent="0.25">
      <c r="A3060" s="36">
        <v>20177984184</v>
      </c>
      <c r="B3060" t="s">
        <v>1815</v>
      </c>
    </row>
    <row r="3061" spans="1:3" x14ac:dyDescent="0.25">
      <c r="A3061" s="36">
        <v>30716959232</v>
      </c>
      <c r="B3061" t="s">
        <v>1816</v>
      </c>
    </row>
    <row r="3062" spans="1:3" x14ac:dyDescent="0.25">
      <c r="A3062" s="36">
        <v>27326035306</v>
      </c>
      <c r="B3062" t="s">
        <v>1817</v>
      </c>
    </row>
    <row r="3063" spans="1:3" x14ac:dyDescent="0.25">
      <c r="A3063" s="36">
        <v>33715179119</v>
      </c>
      <c r="B3063" t="s">
        <v>1818</v>
      </c>
      <c r="C3063" s="35" t="s">
        <v>79</v>
      </c>
    </row>
    <row r="3064" spans="1:3" x14ac:dyDescent="0.25">
      <c r="A3064" s="36">
        <v>23316519539</v>
      </c>
      <c r="B3064" t="s">
        <v>1819</v>
      </c>
    </row>
    <row r="3065" spans="1:3" x14ac:dyDescent="0.25">
      <c r="A3065" s="36">
        <v>30628724497</v>
      </c>
      <c r="B3065" t="s">
        <v>1821</v>
      </c>
    </row>
    <row r="3066" spans="1:3" x14ac:dyDescent="0.25">
      <c r="A3066" s="36">
        <v>30714381942</v>
      </c>
      <c r="B3066" t="s">
        <v>1825</v>
      </c>
    </row>
    <row r="3067" spans="1:3" x14ac:dyDescent="0.25">
      <c r="A3067" s="36">
        <v>30697954399</v>
      </c>
      <c r="B3067" t="s">
        <v>1826</v>
      </c>
    </row>
    <row r="3068" spans="1:3" x14ac:dyDescent="0.25">
      <c r="A3068" s="36">
        <v>30711080917</v>
      </c>
      <c r="B3068" t="s">
        <v>1827</v>
      </c>
    </row>
    <row r="3069" spans="1:3" x14ac:dyDescent="0.25">
      <c r="A3069" s="36">
        <v>30709609064</v>
      </c>
      <c r="B3069" t="s">
        <v>1830</v>
      </c>
    </row>
    <row r="3070" spans="1:3" x14ac:dyDescent="0.25">
      <c r="A3070" s="36">
        <v>30710405413</v>
      </c>
      <c r="B3070" t="s">
        <v>1832</v>
      </c>
    </row>
    <row r="3071" spans="1:3" x14ac:dyDescent="0.25">
      <c r="A3071" s="36">
        <v>27293459172</v>
      </c>
      <c r="B3071" t="s">
        <v>1833</v>
      </c>
    </row>
    <row r="3072" spans="1:3" x14ac:dyDescent="0.25">
      <c r="A3072" s="36">
        <v>30710018479</v>
      </c>
      <c r="B3072" t="s">
        <v>1836</v>
      </c>
    </row>
    <row r="3073" spans="1:3" x14ac:dyDescent="0.25">
      <c r="A3073" s="36">
        <v>33712020569</v>
      </c>
      <c r="B3073" t="s">
        <v>1837</v>
      </c>
    </row>
    <row r="3074" spans="1:3" x14ac:dyDescent="0.25">
      <c r="A3074" s="36">
        <v>30697262063</v>
      </c>
      <c r="B3074" t="s">
        <v>1839</v>
      </c>
      <c r="C3074" s="35" t="s">
        <v>112</v>
      </c>
    </row>
    <row r="3075" spans="1:3" x14ac:dyDescent="0.25">
      <c r="A3075" s="36">
        <v>30710857322</v>
      </c>
      <c r="B3075" t="s">
        <v>1840</v>
      </c>
    </row>
    <row r="3076" spans="1:3" x14ac:dyDescent="0.25">
      <c r="A3076" s="36">
        <v>30716827166</v>
      </c>
      <c r="B3076" t="s">
        <v>1841</v>
      </c>
    </row>
    <row r="3077" spans="1:3" x14ac:dyDescent="0.25">
      <c r="A3077" s="36">
        <v>33715693009</v>
      </c>
      <c r="B3077" t="s">
        <v>1842</v>
      </c>
    </row>
    <row r="3078" spans="1:3" x14ac:dyDescent="0.25">
      <c r="A3078" s="36">
        <v>20106202274</v>
      </c>
      <c r="B3078" t="s">
        <v>1844</v>
      </c>
    </row>
    <row r="3079" spans="1:3" x14ac:dyDescent="0.25">
      <c r="A3079" s="36">
        <v>30637769002</v>
      </c>
      <c r="B3079" t="s">
        <v>1845</v>
      </c>
    </row>
    <row r="3080" spans="1:3" x14ac:dyDescent="0.25">
      <c r="A3080" s="36">
        <v>30707963804</v>
      </c>
      <c r="B3080" t="s">
        <v>1846</v>
      </c>
    </row>
    <row r="3081" spans="1:3" x14ac:dyDescent="0.25">
      <c r="A3081" s="36">
        <v>30669793754</v>
      </c>
      <c r="B3081" t="s">
        <v>1847</v>
      </c>
    </row>
    <row r="3082" spans="1:3" x14ac:dyDescent="0.25">
      <c r="A3082" s="36">
        <v>20267256196</v>
      </c>
      <c r="B3082" t="s">
        <v>1849</v>
      </c>
    </row>
    <row r="3083" spans="1:3" x14ac:dyDescent="0.25">
      <c r="A3083" s="36">
        <v>30587053221</v>
      </c>
      <c r="B3083" t="s">
        <v>1861</v>
      </c>
    </row>
    <row r="3084" spans="1:3" x14ac:dyDescent="0.25">
      <c r="A3084" s="36"/>
    </row>
    <row r="3085" spans="1:3" x14ac:dyDescent="0.25">
      <c r="A3085" s="36">
        <v>20214813301</v>
      </c>
      <c r="B3085" t="s">
        <v>1866</v>
      </c>
      <c r="C3085" s="35" t="s">
        <v>2555</v>
      </c>
    </row>
    <row r="3086" spans="1:3" x14ac:dyDescent="0.25">
      <c r="A3086" s="36">
        <v>30717305287</v>
      </c>
      <c r="B3086" t="s">
        <v>1868</v>
      </c>
    </row>
    <row r="3087" spans="1:3" x14ac:dyDescent="0.25">
      <c r="A3087" s="36">
        <v>30709625833</v>
      </c>
      <c r="B3087" t="s">
        <v>1869</v>
      </c>
    </row>
    <row r="3088" spans="1:3" x14ac:dyDescent="0.25">
      <c r="A3088" s="36">
        <v>33712445489</v>
      </c>
      <c r="B3088" t="s">
        <v>1870</v>
      </c>
    </row>
    <row r="3089" spans="1:3" x14ac:dyDescent="0.25">
      <c r="A3089" s="36">
        <v>20956744750</v>
      </c>
      <c r="B3089" t="s">
        <v>1871</v>
      </c>
    </row>
    <row r="3090" spans="1:3" x14ac:dyDescent="0.25">
      <c r="A3090" s="36">
        <v>20259150249</v>
      </c>
      <c r="B3090" t="s">
        <v>1872</v>
      </c>
    </row>
    <row r="3091" spans="1:3" x14ac:dyDescent="0.25">
      <c r="A3091" s="36">
        <v>30695506410</v>
      </c>
      <c r="B3091" t="s">
        <v>1873</v>
      </c>
    </row>
    <row r="3092" spans="1:3" x14ac:dyDescent="0.25">
      <c r="A3092" s="36">
        <v>30709600539</v>
      </c>
      <c r="B3092" t="s">
        <v>1874</v>
      </c>
    </row>
    <row r="3093" spans="1:3" x14ac:dyDescent="0.25">
      <c r="A3093" s="36">
        <v>20161447340</v>
      </c>
      <c r="B3093" t="s">
        <v>1875</v>
      </c>
    </row>
    <row r="3094" spans="1:3" x14ac:dyDescent="0.25">
      <c r="A3094" s="36">
        <v>30519167472</v>
      </c>
      <c r="B3094" t="s">
        <v>1879</v>
      </c>
    </row>
    <row r="3095" spans="1:3" x14ac:dyDescent="0.25">
      <c r="A3095" s="36">
        <v>30716583984</v>
      </c>
      <c r="B3095" t="s">
        <v>1881</v>
      </c>
    </row>
    <row r="3096" spans="1:3" x14ac:dyDescent="0.25">
      <c r="A3096" s="36">
        <v>30716877260</v>
      </c>
      <c r="B3096" t="s">
        <v>1883</v>
      </c>
    </row>
    <row r="3097" spans="1:3" x14ac:dyDescent="0.25">
      <c r="A3097" s="36">
        <v>30714683663</v>
      </c>
      <c r="B3097" t="s">
        <v>1884</v>
      </c>
      <c r="C3097" s="35" t="s">
        <v>3065</v>
      </c>
    </row>
    <row r="3098" spans="1:3" x14ac:dyDescent="0.25">
      <c r="A3098" s="36">
        <v>30714911135</v>
      </c>
      <c r="B3098" t="s">
        <v>1885</v>
      </c>
    </row>
    <row r="3099" spans="1:3" x14ac:dyDescent="0.25">
      <c r="A3099" s="36">
        <v>30714683663</v>
      </c>
      <c r="B3099" t="s">
        <v>1884</v>
      </c>
      <c r="C3099" s="35" t="s">
        <v>3065</v>
      </c>
    </row>
    <row r="3100" spans="1:3" x14ac:dyDescent="0.25">
      <c r="A3100" s="210">
        <v>30714389064</v>
      </c>
      <c r="B3100" t="s">
        <v>1887</v>
      </c>
    </row>
    <row r="3101" spans="1:3" x14ac:dyDescent="0.25">
      <c r="A3101" s="210">
        <v>20337899790</v>
      </c>
      <c r="B3101" t="s">
        <v>1888</v>
      </c>
    </row>
    <row r="3102" spans="1:3" x14ac:dyDescent="0.25">
      <c r="A3102" s="210">
        <v>30710276273</v>
      </c>
      <c r="B3102" t="s">
        <v>1889</v>
      </c>
    </row>
    <row r="3103" spans="1:3" x14ac:dyDescent="0.25">
      <c r="A3103" s="355">
        <v>30717322815</v>
      </c>
      <c r="B3103" t="s">
        <v>1890</v>
      </c>
    </row>
    <row r="3104" spans="1:3" x14ac:dyDescent="0.25">
      <c r="A3104" s="355">
        <v>30717695026</v>
      </c>
      <c r="B3104" t="s">
        <v>1891</v>
      </c>
    </row>
    <row r="3105" spans="1:2" x14ac:dyDescent="0.25">
      <c r="A3105" s="355">
        <v>30717675408</v>
      </c>
      <c r="B3105" t="s">
        <v>1892</v>
      </c>
    </row>
    <row r="3106" spans="1:2" x14ac:dyDescent="0.25">
      <c r="A3106" s="355">
        <v>30711722129</v>
      </c>
      <c r="B3106" t="s">
        <v>1893</v>
      </c>
    </row>
    <row r="3107" spans="1:2" x14ac:dyDescent="0.25">
      <c r="A3107" s="36">
        <v>33711089859</v>
      </c>
      <c r="B3107" t="s">
        <v>1894</v>
      </c>
    </row>
    <row r="3108" spans="1:2" x14ac:dyDescent="0.25">
      <c r="A3108" s="36">
        <v>30715401467</v>
      </c>
      <c r="B3108" t="s">
        <v>1895</v>
      </c>
    </row>
    <row r="3109" spans="1:2" x14ac:dyDescent="0.25">
      <c r="A3109" s="36">
        <v>30603886360</v>
      </c>
      <c r="B3109" t="s">
        <v>1896</v>
      </c>
    </row>
    <row r="3110" spans="1:2" x14ac:dyDescent="0.25">
      <c r="A3110" s="36">
        <v>27315291661</v>
      </c>
      <c r="B3110" t="s">
        <v>1897</v>
      </c>
    </row>
    <row r="3111" spans="1:2" x14ac:dyDescent="0.25">
      <c r="A3111" s="36">
        <v>27288615557</v>
      </c>
      <c r="B3111" t="s">
        <v>1898</v>
      </c>
    </row>
    <row r="3112" spans="1:2" x14ac:dyDescent="0.25">
      <c r="A3112" s="36">
        <v>30716526832</v>
      </c>
      <c r="B3112" t="s">
        <v>1901</v>
      </c>
    </row>
    <row r="3113" spans="1:2" x14ac:dyDescent="0.25">
      <c r="A3113" s="36">
        <v>27245151522</v>
      </c>
      <c r="B3113" t="s">
        <v>1902</v>
      </c>
    </row>
    <row r="3114" spans="1:2" x14ac:dyDescent="0.25">
      <c r="A3114" s="36">
        <v>30574603788</v>
      </c>
      <c r="B3114" t="s">
        <v>1354</v>
      </c>
    </row>
    <row r="3115" spans="1:2" x14ac:dyDescent="0.25">
      <c r="A3115" s="36">
        <v>20236267688</v>
      </c>
      <c r="B3115" t="s">
        <v>1903</v>
      </c>
    </row>
    <row r="3116" spans="1:2" x14ac:dyDescent="0.25">
      <c r="A3116" s="36">
        <v>20237825021</v>
      </c>
      <c r="B3116" t="s">
        <v>1904</v>
      </c>
    </row>
    <row r="3117" spans="1:2" x14ac:dyDescent="0.25">
      <c r="A3117" s="36">
        <v>30516863230</v>
      </c>
      <c r="B3117" t="s">
        <v>1905</v>
      </c>
    </row>
    <row r="3118" spans="1:2" x14ac:dyDescent="0.25">
      <c r="A3118" s="36">
        <v>30710587619</v>
      </c>
      <c r="B3118" t="s">
        <v>1906</v>
      </c>
    </row>
    <row r="3119" spans="1:2" x14ac:dyDescent="0.25">
      <c r="A3119" s="36">
        <v>30716920344</v>
      </c>
      <c r="B3119" t="s">
        <v>1907</v>
      </c>
    </row>
    <row r="3120" spans="1:2" x14ac:dyDescent="0.25">
      <c r="A3120" s="36">
        <v>27287475344</v>
      </c>
      <c r="B3120" t="s">
        <v>1908</v>
      </c>
    </row>
    <row r="3121" spans="1:3" x14ac:dyDescent="0.25">
      <c r="A3121" s="36">
        <v>30707862900</v>
      </c>
      <c r="B3121" t="s">
        <v>1909</v>
      </c>
    </row>
    <row r="3122" spans="1:3" x14ac:dyDescent="0.25">
      <c r="A3122" s="36">
        <v>30715706551</v>
      </c>
      <c r="B3122" t="s">
        <v>1910</v>
      </c>
    </row>
    <row r="3123" spans="1:3" x14ac:dyDescent="0.25">
      <c r="A3123" s="36">
        <v>30717934020</v>
      </c>
      <c r="B3123" t="s">
        <v>1912</v>
      </c>
    </row>
    <row r="3124" spans="1:3" x14ac:dyDescent="0.25">
      <c r="A3124" s="36">
        <v>30709424420</v>
      </c>
      <c r="B3124" t="s">
        <v>1913</v>
      </c>
      <c r="C3124" s="35" t="s">
        <v>3089</v>
      </c>
    </row>
    <row r="3125" spans="1:3" x14ac:dyDescent="0.25">
      <c r="A3125" s="36">
        <v>27293054350</v>
      </c>
      <c r="B3125" t="s">
        <v>1914</v>
      </c>
    </row>
    <row r="3126" spans="1:3" x14ac:dyDescent="0.25">
      <c r="A3126" s="36">
        <v>30702209397</v>
      </c>
      <c r="B3126" t="s">
        <v>1915</v>
      </c>
    </row>
    <row r="3127" spans="1:3" x14ac:dyDescent="0.25">
      <c r="A3127" s="36">
        <v>20177965279</v>
      </c>
      <c r="B3127" t="s">
        <v>1917</v>
      </c>
    </row>
    <row r="3128" spans="1:3" x14ac:dyDescent="0.25">
      <c r="A3128" s="36">
        <v>20285074712</v>
      </c>
      <c r="B3128" t="s">
        <v>1918</v>
      </c>
    </row>
    <row r="3129" spans="1:3" x14ac:dyDescent="0.25">
      <c r="A3129" s="36">
        <v>20417104543</v>
      </c>
      <c r="B3129" t="s">
        <v>1919</v>
      </c>
    </row>
    <row r="3130" spans="1:3" x14ac:dyDescent="0.25">
      <c r="A3130" s="36">
        <v>20279103190</v>
      </c>
      <c r="B3130" t="s">
        <v>1920</v>
      </c>
    </row>
    <row r="3131" spans="1:3" x14ac:dyDescent="0.25">
      <c r="A3131" s="36">
        <v>30707059466</v>
      </c>
      <c r="B3131" t="s">
        <v>1921</v>
      </c>
    </row>
    <row r="3132" spans="1:3" x14ac:dyDescent="0.25">
      <c r="A3132" s="36">
        <v>30716621894</v>
      </c>
      <c r="B3132" t="s">
        <v>1922</v>
      </c>
    </row>
    <row r="3133" spans="1:3" x14ac:dyDescent="0.25">
      <c r="A3133" s="36">
        <v>30709972894</v>
      </c>
      <c r="B3133" t="s">
        <v>1923</v>
      </c>
    </row>
    <row r="3134" spans="1:3" x14ac:dyDescent="0.25">
      <c r="A3134" s="36">
        <v>27940267965</v>
      </c>
      <c r="B3134" t="s">
        <v>1924</v>
      </c>
    </row>
    <row r="3135" spans="1:3" x14ac:dyDescent="0.25">
      <c r="A3135" s="36">
        <v>30601502778</v>
      </c>
      <c r="B3135" t="s">
        <v>1925</v>
      </c>
    </row>
    <row r="3136" spans="1:3" x14ac:dyDescent="0.25">
      <c r="A3136" s="36">
        <v>20164549837</v>
      </c>
      <c r="B3136" t="s">
        <v>1926</v>
      </c>
    </row>
    <row r="3137" spans="1:4" x14ac:dyDescent="0.25">
      <c r="A3137" s="36">
        <v>20140992411</v>
      </c>
      <c r="B3137" t="s">
        <v>1927</v>
      </c>
      <c r="D3137" t="s">
        <v>1752</v>
      </c>
    </row>
    <row r="3138" spans="1:4" x14ac:dyDescent="0.25">
      <c r="A3138" s="36">
        <v>20244059369</v>
      </c>
      <c r="B3138" t="s">
        <v>1936</v>
      </c>
    </row>
    <row r="3139" spans="1:4" x14ac:dyDescent="0.25">
      <c r="A3139" s="36">
        <v>20141232178</v>
      </c>
      <c r="B3139" t="s">
        <v>1938</v>
      </c>
    </row>
    <row r="3140" spans="1:4" x14ac:dyDescent="0.25">
      <c r="A3140" s="36">
        <v>33700851279</v>
      </c>
      <c r="B3140" t="s">
        <v>1941</v>
      </c>
    </row>
    <row r="3141" spans="1:4" x14ac:dyDescent="0.25">
      <c r="A3141" s="36">
        <v>30656753591</v>
      </c>
      <c r="B3141" t="s">
        <v>1942</v>
      </c>
    </row>
    <row r="3142" spans="1:4" x14ac:dyDescent="0.25">
      <c r="A3142" s="36"/>
    </row>
    <row r="3143" spans="1:4" x14ac:dyDescent="0.25">
      <c r="A3143" s="36">
        <v>20120794338</v>
      </c>
      <c r="B3143" t="s">
        <v>1944</v>
      </c>
      <c r="C3143" s="35" t="s">
        <v>111</v>
      </c>
    </row>
    <row r="3144" spans="1:4" x14ac:dyDescent="0.25">
      <c r="A3144" s="36">
        <v>20250382910</v>
      </c>
      <c r="B3144" t="s">
        <v>1945</v>
      </c>
    </row>
    <row r="3145" spans="1:4" x14ac:dyDescent="0.25">
      <c r="A3145" s="36">
        <v>30710338554</v>
      </c>
      <c r="B3145" t="s">
        <v>1946</v>
      </c>
    </row>
    <row r="3146" spans="1:4" x14ac:dyDescent="0.25">
      <c r="A3146" s="36">
        <v>30711725608</v>
      </c>
      <c r="B3146" t="s">
        <v>1947</v>
      </c>
    </row>
    <row r="3147" spans="1:4" x14ac:dyDescent="0.25">
      <c r="A3147" s="36">
        <v>20352164616</v>
      </c>
      <c r="B3147" t="s">
        <v>1949</v>
      </c>
    </row>
    <row r="3148" spans="1:4" x14ac:dyDescent="0.25">
      <c r="A3148" s="36">
        <v>30707591168</v>
      </c>
      <c r="B3148" t="s">
        <v>1952</v>
      </c>
    </row>
    <row r="3149" spans="1:4" x14ac:dyDescent="0.25">
      <c r="A3149" s="36">
        <v>30708395443</v>
      </c>
      <c r="B3149" t="s">
        <v>1954</v>
      </c>
    </row>
    <row r="3150" spans="1:4" x14ac:dyDescent="0.25">
      <c r="A3150" s="36">
        <v>20247737414</v>
      </c>
      <c r="B3150" t="s">
        <v>1955</v>
      </c>
    </row>
    <row r="3151" spans="1:4" x14ac:dyDescent="0.25">
      <c r="A3151" s="36">
        <v>20271814128</v>
      </c>
      <c r="B3151" t="s">
        <v>1956</v>
      </c>
    </row>
    <row r="3152" spans="1:4" x14ac:dyDescent="0.25">
      <c r="A3152" s="36">
        <v>20149278290</v>
      </c>
      <c r="B3152" t="s">
        <v>1958</v>
      </c>
    </row>
    <row r="3153" spans="1:2" x14ac:dyDescent="0.25">
      <c r="A3153" s="36">
        <v>30710492626</v>
      </c>
      <c r="B3153" t="s">
        <v>1959</v>
      </c>
    </row>
    <row r="3154" spans="1:2" x14ac:dyDescent="0.25">
      <c r="A3154" s="36">
        <v>30710102550</v>
      </c>
      <c r="B3154" t="s">
        <v>1960</v>
      </c>
    </row>
    <row r="3155" spans="1:2" x14ac:dyDescent="0.25">
      <c r="A3155" s="36">
        <v>27329934328</v>
      </c>
      <c r="B3155" t="s">
        <v>1961</v>
      </c>
    </row>
    <row r="3156" spans="1:2" x14ac:dyDescent="0.25">
      <c r="A3156" s="36">
        <v>30711399093</v>
      </c>
      <c r="B3156" t="s">
        <v>1962</v>
      </c>
    </row>
    <row r="3157" spans="1:2" x14ac:dyDescent="0.25">
      <c r="A3157" s="36">
        <v>27292465063</v>
      </c>
      <c r="B3157" t="s">
        <v>1963</v>
      </c>
    </row>
    <row r="3158" spans="1:2" x14ac:dyDescent="0.25">
      <c r="A3158" s="36">
        <v>20263592167</v>
      </c>
      <c r="B3158" t="s">
        <v>1964</v>
      </c>
    </row>
    <row r="3159" spans="1:2" x14ac:dyDescent="0.25">
      <c r="A3159" s="36">
        <v>20231251821</v>
      </c>
      <c r="B3159" t="s">
        <v>1965</v>
      </c>
    </row>
    <row r="3160" spans="1:2" x14ac:dyDescent="0.25">
      <c r="A3160" s="36">
        <v>20373457796</v>
      </c>
      <c r="B3160" t="s">
        <v>1966</v>
      </c>
    </row>
    <row r="3161" spans="1:2" x14ac:dyDescent="0.25">
      <c r="A3161" s="36">
        <v>23366871349</v>
      </c>
      <c r="B3161" t="s">
        <v>1968</v>
      </c>
    </row>
    <row r="3162" spans="1:2" x14ac:dyDescent="0.25">
      <c r="A3162" s="36">
        <v>30715888951</v>
      </c>
      <c r="B3162" t="s">
        <v>1970</v>
      </c>
    </row>
    <row r="3163" spans="1:2" x14ac:dyDescent="0.25">
      <c r="A3163" s="36">
        <v>30710259883</v>
      </c>
      <c r="B3163" t="s">
        <v>1971</v>
      </c>
    </row>
    <row r="3164" spans="1:2" x14ac:dyDescent="0.25">
      <c r="A3164" s="36">
        <v>30712312447</v>
      </c>
      <c r="B3164" t="s">
        <v>1972</v>
      </c>
    </row>
    <row r="3165" spans="1:2" x14ac:dyDescent="0.25">
      <c r="A3165" s="36">
        <v>30715961373</v>
      </c>
      <c r="B3165" t="s">
        <v>1974</v>
      </c>
    </row>
    <row r="3166" spans="1:2" x14ac:dyDescent="0.25">
      <c r="A3166" s="36">
        <v>23142556499</v>
      </c>
      <c r="B3166" t="s">
        <v>1975</v>
      </c>
    </row>
    <row r="3167" spans="1:2" x14ac:dyDescent="0.25">
      <c r="A3167" s="36">
        <v>30708046023</v>
      </c>
      <c r="B3167" t="s">
        <v>1976</v>
      </c>
    </row>
    <row r="3168" spans="1:2" x14ac:dyDescent="0.25">
      <c r="A3168" s="36">
        <v>30715094319</v>
      </c>
      <c r="B3168" t="s">
        <v>1977</v>
      </c>
    </row>
    <row r="3169" spans="1:2" x14ac:dyDescent="0.25">
      <c r="A3169" s="36">
        <v>23059002414</v>
      </c>
      <c r="B3169" t="s">
        <v>1978</v>
      </c>
    </row>
    <row r="3170" spans="1:2" x14ac:dyDescent="0.25">
      <c r="A3170" s="36">
        <v>30717026361</v>
      </c>
      <c r="B3170" t="s">
        <v>1979</v>
      </c>
    </row>
    <row r="3171" spans="1:2" x14ac:dyDescent="0.25">
      <c r="A3171" s="36">
        <v>30715515144</v>
      </c>
      <c r="B3171" t="s">
        <v>1981</v>
      </c>
    </row>
    <row r="3172" spans="1:2" x14ac:dyDescent="0.25">
      <c r="A3172" s="36">
        <v>30716611821</v>
      </c>
      <c r="B3172" t="s">
        <v>1982</v>
      </c>
    </row>
    <row r="3173" spans="1:2" x14ac:dyDescent="0.25">
      <c r="A3173" s="36">
        <v>20287430974</v>
      </c>
      <c r="B3173" t="s">
        <v>1985</v>
      </c>
    </row>
    <row r="3174" spans="1:2" x14ac:dyDescent="0.25">
      <c r="A3174" s="36">
        <v>30717074781</v>
      </c>
      <c r="B3174" t="s">
        <v>1987</v>
      </c>
    </row>
    <row r="3175" spans="1:2" x14ac:dyDescent="0.25">
      <c r="A3175" s="36">
        <v>27236451262</v>
      </c>
      <c r="B3175" t="s">
        <v>1990</v>
      </c>
    </row>
    <row r="3176" spans="1:2" x14ac:dyDescent="0.25">
      <c r="A3176" s="36">
        <v>20183101456</v>
      </c>
      <c r="B3176" t="s">
        <v>1995</v>
      </c>
    </row>
    <row r="3177" spans="1:2" x14ac:dyDescent="0.25">
      <c r="A3177" s="36">
        <v>30714905313</v>
      </c>
      <c r="B3177" t="s">
        <v>1998</v>
      </c>
    </row>
    <row r="3178" spans="1:2" x14ac:dyDescent="0.25">
      <c r="A3178" s="36">
        <v>30696676026</v>
      </c>
      <c r="B3178" t="s">
        <v>1999</v>
      </c>
    </row>
    <row r="3179" spans="1:2" x14ac:dyDescent="0.25">
      <c r="A3179" s="36">
        <v>27185805854</v>
      </c>
      <c r="B3179" t="s">
        <v>2000</v>
      </c>
    </row>
    <row r="3180" spans="1:2" x14ac:dyDescent="0.25">
      <c r="A3180" s="36">
        <v>27235174451</v>
      </c>
      <c r="B3180" t="s">
        <v>2001</v>
      </c>
    </row>
    <row r="3181" spans="1:2" x14ac:dyDescent="0.25">
      <c r="A3181" s="36">
        <v>20383253528</v>
      </c>
      <c r="B3181" t="s">
        <v>2003</v>
      </c>
    </row>
    <row r="3182" spans="1:2" x14ac:dyDescent="0.25">
      <c r="A3182" s="36">
        <v>30708637587</v>
      </c>
      <c r="B3182" t="s">
        <v>2004</v>
      </c>
    </row>
    <row r="3183" spans="1:2" x14ac:dyDescent="0.25">
      <c r="A3183" s="36">
        <v>30706053812</v>
      </c>
      <c r="B3183" t="s">
        <v>2005</v>
      </c>
    </row>
    <row r="3184" spans="1:2" x14ac:dyDescent="0.25">
      <c r="A3184" s="36">
        <v>30702259890</v>
      </c>
      <c r="B3184" t="s">
        <v>2009</v>
      </c>
    </row>
    <row r="3185" spans="1:2" x14ac:dyDescent="0.25">
      <c r="A3185" s="36">
        <v>33708943059</v>
      </c>
      <c r="B3185" t="s">
        <v>2010</v>
      </c>
    </row>
    <row r="3186" spans="1:2" x14ac:dyDescent="0.25">
      <c r="A3186" s="36">
        <v>30538514191</v>
      </c>
      <c r="B3186" t="s">
        <v>2012</v>
      </c>
    </row>
    <row r="3187" spans="1:2" x14ac:dyDescent="0.25">
      <c r="A3187" s="36">
        <v>30716389681</v>
      </c>
      <c r="B3187" t="s">
        <v>2013</v>
      </c>
    </row>
    <row r="3188" spans="1:2" x14ac:dyDescent="0.25">
      <c r="A3188" s="36">
        <v>20282218802</v>
      </c>
      <c r="B3188" t="s">
        <v>2015</v>
      </c>
    </row>
    <row r="3189" spans="1:2" x14ac:dyDescent="0.25">
      <c r="A3189" s="36">
        <v>30548690796</v>
      </c>
      <c r="B3189" t="s">
        <v>2016</v>
      </c>
    </row>
    <row r="3190" spans="1:2" x14ac:dyDescent="0.25">
      <c r="A3190" s="36">
        <v>30716642913</v>
      </c>
      <c r="B3190" t="s">
        <v>2020</v>
      </c>
    </row>
    <row r="3191" spans="1:2" x14ac:dyDescent="0.25">
      <c r="A3191" s="36">
        <v>30716426196</v>
      </c>
      <c r="B3191" t="s">
        <v>2021</v>
      </c>
    </row>
    <row r="3192" spans="1:2" x14ac:dyDescent="0.25">
      <c r="A3192" s="36">
        <v>30657611936</v>
      </c>
      <c r="B3192" t="s">
        <v>2022</v>
      </c>
    </row>
    <row r="3193" spans="1:2" x14ac:dyDescent="0.25">
      <c r="A3193" s="36">
        <v>20130392262</v>
      </c>
      <c r="B3193" t="s">
        <v>2023</v>
      </c>
    </row>
    <row r="3194" spans="1:2" x14ac:dyDescent="0.25">
      <c r="A3194" s="36">
        <v>30629642672</v>
      </c>
      <c r="B3194" t="s">
        <v>2024</v>
      </c>
    </row>
    <row r="3195" spans="1:2" x14ac:dyDescent="0.25">
      <c r="A3195" s="36">
        <v>30711101280</v>
      </c>
      <c r="B3195" t="s">
        <v>2025</v>
      </c>
    </row>
    <row r="3196" spans="1:2" x14ac:dyDescent="0.25">
      <c r="A3196" s="36">
        <v>30714280712</v>
      </c>
      <c r="B3196" t="s">
        <v>2027</v>
      </c>
    </row>
    <row r="3197" spans="1:2" x14ac:dyDescent="0.25">
      <c r="A3197" s="36">
        <v>27323842413</v>
      </c>
      <c r="B3197" t="s">
        <v>2028</v>
      </c>
    </row>
    <row r="3198" spans="1:2" x14ac:dyDescent="0.25">
      <c r="A3198" s="36">
        <v>30712263519</v>
      </c>
      <c r="B3198" t="s">
        <v>2029</v>
      </c>
    </row>
    <row r="3199" spans="1:2" x14ac:dyDescent="0.25">
      <c r="A3199" s="36">
        <v>30711992053</v>
      </c>
      <c r="B3199" t="s">
        <v>2030</v>
      </c>
    </row>
    <row r="3200" spans="1:2" x14ac:dyDescent="0.25">
      <c r="A3200" s="36">
        <v>30715353934</v>
      </c>
      <c r="B3200" t="s">
        <v>2031</v>
      </c>
    </row>
    <row r="3201" spans="1:3" x14ac:dyDescent="0.25">
      <c r="A3201" s="36">
        <v>20235723906</v>
      </c>
      <c r="B3201" t="s">
        <v>2032</v>
      </c>
    </row>
    <row r="3202" spans="1:3" x14ac:dyDescent="0.25">
      <c r="A3202" s="36">
        <v>30717062775</v>
      </c>
      <c r="B3202" t="s">
        <v>2033</v>
      </c>
    </row>
    <row r="3203" spans="1:3" x14ac:dyDescent="0.25">
      <c r="A3203" s="36">
        <v>20178564219</v>
      </c>
      <c r="B3203" t="s">
        <v>2034</v>
      </c>
    </row>
    <row r="3204" spans="1:3" x14ac:dyDescent="0.25">
      <c r="A3204" s="36">
        <v>30708092904</v>
      </c>
      <c r="B3204" t="s">
        <v>2035</v>
      </c>
    </row>
    <row r="3205" spans="1:3" x14ac:dyDescent="0.25">
      <c r="A3205" s="36">
        <v>27128887186</v>
      </c>
      <c r="B3205" t="s">
        <v>2039</v>
      </c>
      <c r="C3205" s="35" t="s">
        <v>79</v>
      </c>
    </row>
    <row r="3206" spans="1:3" x14ac:dyDescent="0.25">
      <c r="A3206" s="36">
        <v>30702209397</v>
      </c>
      <c r="B3206" t="s">
        <v>1915</v>
      </c>
    </row>
    <row r="3207" spans="1:3" x14ac:dyDescent="0.25">
      <c r="A3207" s="36">
        <v>20301942444</v>
      </c>
      <c r="B3207" t="s">
        <v>2041</v>
      </c>
    </row>
    <row r="3208" spans="1:3" x14ac:dyDescent="0.25">
      <c r="A3208" s="36">
        <v>20323423785</v>
      </c>
      <c r="B3208" t="s">
        <v>2042</v>
      </c>
      <c r="C3208" s="35" t="s">
        <v>79</v>
      </c>
    </row>
    <row r="3209" spans="1:3" x14ac:dyDescent="0.25">
      <c r="A3209" s="36">
        <v>30715603582</v>
      </c>
      <c r="B3209" t="s">
        <v>2043</v>
      </c>
    </row>
    <row r="3210" spans="1:3" x14ac:dyDescent="0.25">
      <c r="A3210" s="36">
        <v>30708512741</v>
      </c>
      <c r="B3210" t="s">
        <v>2044</v>
      </c>
    </row>
    <row r="3211" spans="1:3" x14ac:dyDescent="0.25">
      <c r="A3211" s="36">
        <v>27174015703</v>
      </c>
      <c r="B3211" t="s">
        <v>2045</v>
      </c>
    </row>
    <row r="3212" spans="1:3" x14ac:dyDescent="0.25">
      <c r="A3212" s="36">
        <v>30715465708</v>
      </c>
      <c r="B3212" t="s">
        <v>2046</v>
      </c>
    </row>
    <row r="3213" spans="1:3" x14ac:dyDescent="0.25">
      <c r="A3213" s="36">
        <v>33715657479</v>
      </c>
      <c r="B3213" t="s">
        <v>2047</v>
      </c>
    </row>
    <row r="3214" spans="1:3" x14ac:dyDescent="0.25">
      <c r="A3214" s="36">
        <v>20225038717</v>
      </c>
      <c r="B3214" t="s">
        <v>2049</v>
      </c>
    </row>
    <row r="3215" spans="1:3" x14ac:dyDescent="0.25">
      <c r="A3215" s="36">
        <v>30716813327</v>
      </c>
      <c r="B3215" t="s">
        <v>2052</v>
      </c>
    </row>
    <row r="3216" spans="1:3" x14ac:dyDescent="0.25">
      <c r="A3216" s="36">
        <v>30715885596</v>
      </c>
      <c r="B3216" t="s">
        <v>2053</v>
      </c>
    </row>
    <row r="3217" spans="1:7" x14ac:dyDescent="0.25">
      <c r="A3217" s="36">
        <v>30708020539</v>
      </c>
      <c r="B3217" t="s">
        <v>2054</v>
      </c>
    </row>
    <row r="3218" spans="1:7" x14ac:dyDescent="0.25">
      <c r="A3218" s="36">
        <v>30716228955</v>
      </c>
      <c r="B3218" t="s">
        <v>2055</v>
      </c>
      <c r="C3218" s="35" t="s">
        <v>3088</v>
      </c>
    </row>
    <row r="3219" spans="1:7" x14ac:dyDescent="0.25">
      <c r="A3219" s="36">
        <v>55000002126</v>
      </c>
      <c r="B3219" t="s">
        <v>2213</v>
      </c>
    </row>
    <row r="3220" spans="1:7" x14ac:dyDescent="0.25">
      <c r="A3220" s="36">
        <v>30417345039</v>
      </c>
    </row>
    <row r="3221" spans="1:7" x14ac:dyDescent="0.25">
      <c r="A3221" s="36">
        <v>30529403522</v>
      </c>
      <c r="B3221" t="s">
        <v>2079</v>
      </c>
      <c r="C3221" s="35" t="s">
        <v>79</v>
      </c>
    </row>
    <row r="3222" spans="1:7" x14ac:dyDescent="0.25">
      <c r="A3222" s="36">
        <v>30517345039</v>
      </c>
      <c r="B3222" t="s">
        <v>2309</v>
      </c>
    </row>
    <row r="3223" spans="1:7" x14ac:dyDescent="0.25">
      <c r="A3223" s="533">
        <v>30718465636</v>
      </c>
      <c r="B3223" s="534" t="s">
        <v>2610</v>
      </c>
      <c r="C3223" s="535" t="s">
        <v>112</v>
      </c>
      <c r="D3223" s="534"/>
      <c r="E3223" t="s">
        <v>2590</v>
      </c>
      <c r="G3223" s="121" t="s">
        <v>83</v>
      </c>
    </row>
    <row r="3224" spans="1:7" x14ac:dyDescent="0.25">
      <c r="A3224" s="36">
        <v>20381760317</v>
      </c>
      <c r="B3224" t="s">
        <v>2597</v>
      </c>
      <c r="C3224" s="35" t="s">
        <v>2609</v>
      </c>
      <c r="E3224" t="s">
        <v>2589</v>
      </c>
      <c r="G3224" s="122" t="s">
        <v>80</v>
      </c>
    </row>
    <row r="3225" spans="1:7" x14ac:dyDescent="0.25">
      <c r="A3225" s="36">
        <v>30711431981</v>
      </c>
      <c r="B3225" t="s">
        <v>2591</v>
      </c>
      <c r="C3225" s="35" t="s">
        <v>79</v>
      </c>
      <c r="E3225" t="s">
        <v>2592</v>
      </c>
      <c r="G3225" s="121" t="s">
        <v>106</v>
      </c>
    </row>
    <row r="3226" spans="1:7" x14ac:dyDescent="0.25">
      <c r="A3226" s="36">
        <v>30710852762</v>
      </c>
      <c r="B3226" t="s">
        <v>2593</v>
      </c>
      <c r="C3226" s="35" t="s">
        <v>79</v>
      </c>
      <c r="E3226" t="s">
        <v>2594</v>
      </c>
      <c r="G3226" s="122" t="s">
        <v>84</v>
      </c>
    </row>
    <row r="3227" spans="1:7" x14ac:dyDescent="0.25">
      <c r="A3227" s="36">
        <v>30717961532</v>
      </c>
      <c r="B3227" t="s">
        <v>2595</v>
      </c>
      <c r="C3227" s="35" t="s">
        <v>79</v>
      </c>
      <c r="E3227" t="s">
        <v>2594</v>
      </c>
      <c r="G3227" s="121" t="s">
        <v>79</v>
      </c>
    </row>
    <row r="3228" spans="1:7" x14ac:dyDescent="0.25">
      <c r="A3228" s="36">
        <v>30717214494</v>
      </c>
      <c r="B3228" t="s">
        <v>2596</v>
      </c>
      <c r="C3228" s="35" t="s">
        <v>2609</v>
      </c>
      <c r="E3228" t="s">
        <v>2589</v>
      </c>
      <c r="G3228" s="122" t="s">
        <v>107</v>
      </c>
    </row>
    <row r="3229" spans="1:7" x14ac:dyDescent="0.25">
      <c r="A3229" s="36">
        <v>30715083937</v>
      </c>
      <c r="B3229" t="s">
        <v>2598</v>
      </c>
      <c r="C3229" s="35" t="s">
        <v>112</v>
      </c>
      <c r="E3229" t="s">
        <v>2590</v>
      </c>
      <c r="G3229" s="121" t="s">
        <v>90</v>
      </c>
    </row>
    <row r="3230" spans="1:7" x14ac:dyDescent="0.25">
      <c r="A3230" s="36">
        <v>30707158952</v>
      </c>
      <c r="B3230" t="s">
        <v>2599</v>
      </c>
      <c r="C3230" s="35" t="s">
        <v>79</v>
      </c>
      <c r="E3230" t="s">
        <v>2600</v>
      </c>
      <c r="G3230" s="122" t="s">
        <v>78</v>
      </c>
    </row>
    <row r="3231" spans="1:7" x14ac:dyDescent="0.25">
      <c r="A3231" s="36">
        <v>30717334015</v>
      </c>
      <c r="B3231" t="s">
        <v>2601</v>
      </c>
      <c r="C3231" s="35" t="s">
        <v>112</v>
      </c>
      <c r="E3231" t="s">
        <v>2590</v>
      </c>
      <c r="G3231" s="121" t="s">
        <v>108</v>
      </c>
    </row>
    <row r="3232" spans="1:7" x14ac:dyDescent="0.25">
      <c r="A3232" s="36">
        <v>30682116028</v>
      </c>
      <c r="B3232" t="s">
        <v>2602</v>
      </c>
      <c r="C3232" s="35" t="s">
        <v>82</v>
      </c>
      <c r="E3232" t="s">
        <v>2603</v>
      </c>
      <c r="G3232" s="122" t="s">
        <v>87</v>
      </c>
    </row>
    <row r="3233" spans="1:7" x14ac:dyDescent="0.25">
      <c r="A3233" s="36">
        <v>20258099290</v>
      </c>
      <c r="B3233" t="s">
        <v>2604</v>
      </c>
      <c r="C3233" s="35" t="s">
        <v>79</v>
      </c>
      <c r="E3233" t="s">
        <v>2605</v>
      </c>
      <c r="G3233" s="121" t="s">
        <v>104</v>
      </c>
    </row>
    <row r="3234" spans="1:7" x14ac:dyDescent="0.25">
      <c r="A3234" s="36">
        <v>30716006391</v>
      </c>
      <c r="B3234" t="s">
        <v>2606</v>
      </c>
      <c r="C3234" s="35" t="s">
        <v>79</v>
      </c>
      <c r="E3234" t="s">
        <v>2589</v>
      </c>
      <c r="G3234" s="122" t="s">
        <v>109</v>
      </c>
    </row>
    <row r="3235" spans="1:7" x14ac:dyDescent="0.25">
      <c r="A3235" s="36">
        <v>20409938311</v>
      </c>
      <c r="B3235" t="s">
        <v>2607</v>
      </c>
      <c r="C3235" s="35" t="s">
        <v>2609</v>
      </c>
      <c r="E3235" t="s">
        <v>2589</v>
      </c>
      <c r="G3235" s="121" t="s">
        <v>110</v>
      </c>
    </row>
    <row r="3236" spans="1:7" x14ac:dyDescent="0.25">
      <c r="A3236" s="36">
        <v>30716164574</v>
      </c>
      <c r="B3236" t="s">
        <v>2608</v>
      </c>
      <c r="C3236" s="35" t="s">
        <v>2609</v>
      </c>
      <c r="E3236" t="s">
        <v>2589</v>
      </c>
      <c r="G3236" s="122" t="s">
        <v>85</v>
      </c>
    </row>
    <row r="3237" spans="1:7" x14ac:dyDescent="0.25">
      <c r="A3237" s="36">
        <v>20132380741</v>
      </c>
      <c r="B3237" t="s">
        <v>2611</v>
      </c>
      <c r="C3237" s="35" t="s">
        <v>82</v>
      </c>
      <c r="E3237" t="s">
        <v>2603</v>
      </c>
      <c r="G3237" s="121" t="s">
        <v>82</v>
      </c>
    </row>
    <row r="3238" spans="1:7" x14ac:dyDescent="0.25">
      <c r="A3238" s="36">
        <v>20202970940</v>
      </c>
      <c r="B3238" t="s">
        <v>2612</v>
      </c>
      <c r="C3238" s="35" t="s">
        <v>83</v>
      </c>
      <c r="E3238" t="s">
        <v>2613</v>
      </c>
      <c r="G3238" s="122" t="s">
        <v>111</v>
      </c>
    </row>
    <row r="3239" spans="1:7" x14ac:dyDescent="0.25">
      <c r="A3239" s="36">
        <v>20330222566</v>
      </c>
      <c r="B3239" t="s">
        <v>2614</v>
      </c>
      <c r="C3239" s="35" t="s">
        <v>90</v>
      </c>
      <c r="E3239" t="s">
        <v>2615</v>
      </c>
      <c r="G3239" s="121" t="s">
        <v>81</v>
      </c>
    </row>
    <row r="3240" spans="1:7" x14ac:dyDescent="0.25">
      <c r="A3240" s="36">
        <v>20348424026</v>
      </c>
      <c r="B3240" t="s">
        <v>2616</v>
      </c>
      <c r="C3240" s="35" t="s">
        <v>2609</v>
      </c>
      <c r="E3240" t="s">
        <v>2589</v>
      </c>
      <c r="G3240" s="122" t="s">
        <v>112</v>
      </c>
    </row>
    <row r="3241" spans="1:7" x14ac:dyDescent="0.25">
      <c r="A3241" s="36">
        <v>20349222923</v>
      </c>
      <c r="B3241" t="s">
        <v>2617</v>
      </c>
      <c r="C3241" s="35" t="s">
        <v>112</v>
      </c>
      <c r="E3241" t="s">
        <v>2590</v>
      </c>
      <c r="G3241" s="121" t="s">
        <v>86</v>
      </c>
    </row>
    <row r="3242" spans="1:7" x14ac:dyDescent="0.25">
      <c r="A3242" s="36">
        <v>27386627695</v>
      </c>
      <c r="B3242" t="s">
        <v>2618</v>
      </c>
      <c r="C3242" s="35" t="s">
        <v>112</v>
      </c>
      <c r="E3242" t="s">
        <v>2590</v>
      </c>
      <c r="G3242" s="122" t="s">
        <v>88</v>
      </c>
    </row>
    <row r="3243" spans="1:7" x14ac:dyDescent="0.25">
      <c r="A3243" s="36">
        <v>30710677227</v>
      </c>
      <c r="B3243" t="s">
        <v>2619</v>
      </c>
      <c r="C3243" s="35" t="s">
        <v>2609</v>
      </c>
      <c r="E3243" t="s">
        <v>2589</v>
      </c>
      <c r="G3243" s="121" t="s">
        <v>113</v>
      </c>
    </row>
    <row r="3244" spans="1:7" x14ac:dyDescent="0.25">
      <c r="A3244" s="36">
        <v>30714295957</v>
      </c>
      <c r="B3244" t="s">
        <v>2620</v>
      </c>
      <c r="C3244" s="35" t="s">
        <v>112</v>
      </c>
      <c r="E3244" t="s">
        <v>2590</v>
      </c>
    </row>
    <row r="3245" spans="1:7" x14ac:dyDescent="0.25">
      <c r="A3245" s="36">
        <v>30714580406</v>
      </c>
      <c r="B3245" t="s">
        <v>2621</v>
      </c>
      <c r="C3245" s="35" t="s">
        <v>79</v>
      </c>
      <c r="E3245" t="s">
        <v>2605</v>
      </c>
    </row>
    <row r="3246" spans="1:7" x14ac:dyDescent="0.25">
      <c r="A3246" s="36">
        <v>30714948209</v>
      </c>
      <c r="B3246" t="s">
        <v>2622</v>
      </c>
      <c r="C3246" s="35" t="s">
        <v>2609</v>
      </c>
      <c r="E3246" t="s">
        <v>2589</v>
      </c>
    </row>
    <row r="3247" spans="1:7" x14ac:dyDescent="0.25">
      <c r="A3247" s="36">
        <v>30716242672</v>
      </c>
      <c r="B3247" t="s">
        <v>2623</v>
      </c>
      <c r="C3247" s="35" t="s">
        <v>78</v>
      </c>
      <c r="E3247" t="s">
        <v>2624</v>
      </c>
    </row>
    <row r="3248" spans="1:7" x14ac:dyDescent="0.25">
      <c r="A3248" s="36">
        <v>30716627167</v>
      </c>
      <c r="B3248" t="s">
        <v>2625</v>
      </c>
      <c r="C3248" s="35" t="s">
        <v>109</v>
      </c>
      <c r="E3248" t="s">
        <v>2626</v>
      </c>
    </row>
    <row r="3249" spans="1:5" x14ac:dyDescent="0.25">
      <c r="A3249" s="36">
        <v>33716767669</v>
      </c>
      <c r="B3249" t="s">
        <v>2627</v>
      </c>
      <c r="C3249" s="35" t="s">
        <v>112</v>
      </c>
      <c r="E3249" t="s">
        <v>2590</v>
      </c>
    </row>
    <row r="3250" spans="1:5" x14ac:dyDescent="0.25">
      <c r="A3250" s="36">
        <v>20352040402</v>
      </c>
      <c r="B3250" t="s">
        <v>2628</v>
      </c>
      <c r="C3250" s="35" t="s">
        <v>112</v>
      </c>
      <c r="E3250" t="s">
        <v>2590</v>
      </c>
    </row>
    <row r="3251" spans="1:5" x14ac:dyDescent="0.25">
      <c r="A3251" s="36">
        <v>30717315657</v>
      </c>
      <c r="B3251" t="s">
        <v>2629</v>
      </c>
      <c r="C3251" s="35" t="s">
        <v>79</v>
      </c>
      <c r="E3251" t="s">
        <v>2594</v>
      </c>
    </row>
    <row r="3252" spans="1:5" x14ac:dyDescent="0.25">
      <c r="A3252" s="36">
        <v>30716502356</v>
      </c>
      <c r="B3252" t="s">
        <v>2630</v>
      </c>
      <c r="C3252" s="35" t="s">
        <v>112</v>
      </c>
      <c r="E3252" t="s">
        <v>2590</v>
      </c>
    </row>
    <row r="3253" spans="1:5" x14ac:dyDescent="0.25">
      <c r="A3253" s="36">
        <v>30711549206</v>
      </c>
      <c r="B3253" t="s">
        <v>2631</v>
      </c>
      <c r="C3253" s="35" t="s">
        <v>90</v>
      </c>
      <c r="E3253" t="s">
        <v>2632</v>
      </c>
    </row>
    <row r="3254" spans="1:5" x14ac:dyDescent="0.25">
      <c r="A3254" s="36">
        <v>30718028996</v>
      </c>
      <c r="B3254" t="s">
        <v>2633</v>
      </c>
      <c r="C3254" s="35" t="s">
        <v>112</v>
      </c>
      <c r="E3254" t="s">
        <v>2590</v>
      </c>
    </row>
    <row r="3255" spans="1:5" x14ac:dyDescent="0.25">
      <c r="A3255" s="36">
        <v>30716749351</v>
      </c>
      <c r="B3255" t="s">
        <v>2634</v>
      </c>
      <c r="C3255" s="35" t="s">
        <v>90</v>
      </c>
      <c r="E3255" t="s">
        <v>2632</v>
      </c>
    </row>
    <row r="3256" spans="1:5" x14ac:dyDescent="0.25">
      <c r="A3256" s="36">
        <v>30697262063</v>
      </c>
      <c r="B3256" t="s">
        <v>2635</v>
      </c>
      <c r="C3256" s="35" t="s">
        <v>112</v>
      </c>
      <c r="E3256" t="s">
        <v>2590</v>
      </c>
    </row>
    <row r="3257" spans="1:5" x14ac:dyDescent="0.25">
      <c r="A3257" s="36">
        <v>20321877185</v>
      </c>
      <c r="B3257" t="s">
        <v>2636</v>
      </c>
      <c r="C3257" s="35" t="s">
        <v>112</v>
      </c>
      <c r="E3257" t="s">
        <v>2590</v>
      </c>
    </row>
    <row r="3258" spans="1:5" x14ac:dyDescent="0.25">
      <c r="A3258" s="36">
        <v>30716671328</v>
      </c>
      <c r="B3258" t="s">
        <v>2637</v>
      </c>
      <c r="C3258" s="35" t="s">
        <v>2648</v>
      </c>
      <c r="E3258" t="s">
        <v>2638</v>
      </c>
    </row>
    <row r="3259" spans="1:5" x14ac:dyDescent="0.25">
      <c r="A3259" s="36">
        <v>20940147981</v>
      </c>
      <c r="B3259" t="s">
        <v>2640</v>
      </c>
      <c r="C3259" s="35" t="s">
        <v>90</v>
      </c>
      <c r="E3259" t="s">
        <v>2632</v>
      </c>
    </row>
    <row r="3260" spans="1:5" x14ac:dyDescent="0.25">
      <c r="A3260" s="36">
        <v>27222151754</v>
      </c>
      <c r="B3260" t="s">
        <v>2641</v>
      </c>
      <c r="C3260" s="35" t="s">
        <v>109</v>
      </c>
      <c r="E3260" t="s">
        <v>2642</v>
      </c>
    </row>
    <row r="3261" spans="1:5" x14ac:dyDescent="0.25">
      <c r="A3261" s="36">
        <v>30716088657</v>
      </c>
      <c r="B3261" t="s">
        <v>2643</v>
      </c>
      <c r="C3261" s="35" t="s">
        <v>112</v>
      </c>
      <c r="E3261" t="s">
        <v>2590</v>
      </c>
    </row>
    <row r="3262" spans="1:5" x14ac:dyDescent="0.25">
      <c r="A3262" s="36">
        <v>30625574273</v>
      </c>
      <c r="B3262" t="s">
        <v>2644</v>
      </c>
      <c r="C3262" s="35" t="s">
        <v>78</v>
      </c>
      <c r="E3262" t="s">
        <v>2624</v>
      </c>
    </row>
    <row r="3263" spans="1:5" x14ac:dyDescent="0.25">
      <c r="A3263" s="36">
        <v>20318970204</v>
      </c>
      <c r="B3263" t="s">
        <v>2645</v>
      </c>
      <c r="C3263" s="35" t="s">
        <v>90</v>
      </c>
      <c r="E3263" t="s">
        <v>2632</v>
      </c>
    </row>
    <row r="3264" spans="1:5" x14ac:dyDescent="0.25">
      <c r="A3264" s="36">
        <v>30718604733</v>
      </c>
      <c r="B3264" t="s">
        <v>2646</v>
      </c>
      <c r="C3264" s="35" t="s">
        <v>112</v>
      </c>
      <c r="E3264" t="s">
        <v>2590</v>
      </c>
    </row>
    <row r="3265" spans="1:5" x14ac:dyDescent="0.25">
      <c r="A3265" s="36">
        <v>30713135301</v>
      </c>
      <c r="B3265" t="s">
        <v>2647</v>
      </c>
      <c r="C3265" s="35" t="s">
        <v>112</v>
      </c>
      <c r="E3265" t="s">
        <v>2590</v>
      </c>
    </row>
    <row r="3266" spans="1:5" x14ac:dyDescent="0.25">
      <c r="A3266" s="36">
        <v>30681484635</v>
      </c>
      <c r="B3266" t="s">
        <v>2649</v>
      </c>
      <c r="C3266" s="35" t="s">
        <v>83</v>
      </c>
      <c r="E3266" t="s">
        <v>2650</v>
      </c>
    </row>
    <row r="3267" spans="1:5" x14ac:dyDescent="0.25">
      <c r="A3267" s="36">
        <v>20184094526</v>
      </c>
      <c r="B3267" t="s">
        <v>2652</v>
      </c>
      <c r="C3267" s="35" t="s">
        <v>79</v>
      </c>
      <c r="E3267" t="s">
        <v>2653</v>
      </c>
    </row>
    <row r="3268" spans="1:5" x14ac:dyDescent="0.25">
      <c r="A3268" s="36">
        <v>30718354419</v>
      </c>
      <c r="B3268" t="s">
        <v>2654</v>
      </c>
      <c r="C3268" s="35" t="s">
        <v>112</v>
      </c>
      <c r="E3268" t="s">
        <v>2590</v>
      </c>
    </row>
    <row r="3269" spans="1:5" x14ac:dyDescent="0.25">
      <c r="A3269" s="36">
        <v>30708261110</v>
      </c>
      <c r="B3269" t="s">
        <v>2655</v>
      </c>
      <c r="C3269" s="35" t="s">
        <v>81</v>
      </c>
      <c r="E3269" t="s">
        <v>2656</v>
      </c>
    </row>
    <row r="3270" spans="1:5" x14ac:dyDescent="0.25">
      <c r="A3270" s="36">
        <v>27234805679</v>
      </c>
      <c r="B3270" t="s">
        <v>2657</v>
      </c>
      <c r="C3270" s="35" t="s">
        <v>112</v>
      </c>
      <c r="E3270" t="s">
        <v>2590</v>
      </c>
    </row>
    <row r="3271" spans="1:5" x14ac:dyDescent="0.25">
      <c r="A3271" s="36">
        <v>30715399896</v>
      </c>
      <c r="B3271" t="s">
        <v>2658</v>
      </c>
      <c r="C3271" s="35" t="s">
        <v>86</v>
      </c>
      <c r="E3271" t="s">
        <v>2659</v>
      </c>
    </row>
    <row r="3272" spans="1:5" x14ac:dyDescent="0.25">
      <c r="A3272" s="36">
        <v>27210116120</v>
      </c>
      <c r="B3272" t="s">
        <v>2660</v>
      </c>
      <c r="C3272" s="35" t="s">
        <v>111</v>
      </c>
      <c r="E3272" t="s">
        <v>2661</v>
      </c>
    </row>
    <row r="3273" spans="1:5" x14ac:dyDescent="0.25">
      <c r="A3273" s="36">
        <v>33712458599</v>
      </c>
      <c r="B3273" t="s">
        <v>2662</v>
      </c>
      <c r="C3273" s="35" t="s">
        <v>112</v>
      </c>
      <c r="E3273" t="s">
        <v>2590</v>
      </c>
    </row>
    <row r="3274" spans="1:5" x14ac:dyDescent="0.25">
      <c r="A3274" s="36">
        <v>30708232439</v>
      </c>
      <c r="B3274" t="s">
        <v>2663</v>
      </c>
      <c r="C3274" s="35" t="s">
        <v>2648</v>
      </c>
      <c r="E3274" t="s">
        <v>2638</v>
      </c>
    </row>
    <row r="3275" spans="1:5" x14ac:dyDescent="0.25">
      <c r="A3275" s="36">
        <v>30716642212</v>
      </c>
      <c r="B3275" t="s">
        <v>2664</v>
      </c>
      <c r="C3275" s="35" t="s">
        <v>112</v>
      </c>
      <c r="E3275" t="s">
        <v>2590</v>
      </c>
    </row>
    <row r="3276" spans="1:5" x14ac:dyDescent="0.25">
      <c r="A3276" s="36">
        <v>30617209094</v>
      </c>
      <c r="B3276" t="s">
        <v>2665</v>
      </c>
      <c r="C3276" s="35" t="s">
        <v>83</v>
      </c>
      <c r="E3276" t="s">
        <v>2650</v>
      </c>
    </row>
    <row r="3277" spans="1:5" x14ac:dyDescent="0.25">
      <c r="A3277" s="36">
        <v>20160152533</v>
      </c>
      <c r="B3277" t="s">
        <v>2666</v>
      </c>
      <c r="C3277" s="35" t="s">
        <v>108</v>
      </c>
      <c r="E3277" t="s">
        <v>2667</v>
      </c>
    </row>
    <row r="3278" spans="1:5" x14ac:dyDescent="0.25">
      <c r="A3278" s="36">
        <v>30621927252</v>
      </c>
      <c r="B3278" t="s">
        <v>1834</v>
      </c>
      <c r="C3278" s="35" t="s">
        <v>106</v>
      </c>
      <c r="E3278" t="s">
        <v>2639</v>
      </c>
    </row>
    <row r="3279" spans="1:5" x14ac:dyDescent="0.25">
      <c r="A3279" s="36">
        <v>30711583927</v>
      </c>
      <c r="B3279" t="s">
        <v>2668</v>
      </c>
      <c r="C3279" s="35" t="s">
        <v>79</v>
      </c>
    </row>
    <row r="3280" spans="1:5" x14ac:dyDescent="0.25">
      <c r="A3280" s="36">
        <v>30708393262</v>
      </c>
      <c r="B3280" t="s">
        <v>2669</v>
      </c>
      <c r="C3280" s="35" t="s">
        <v>79</v>
      </c>
    </row>
    <row r="3281" spans="1:3" x14ac:dyDescent="0.25">
      <c r="A3281" s="36">
        <v>30686489325</v>
      </c>
      <c r="B3281" t="s">
        <v>2670</v>
      </c>
      <c r="C3281" s="35" t="s">
        <v>79</v>
      </c>
    </row>
    <row r="3282" spans="1:3" x14ac:dyDescent="0.25">
      <c r="A3282" s="36">
        <v>30709407895</v>
      </c>
      <c r="B3282" t="s">
        <v>2671</v>
      </c>
      <c r="C3282" s="35" t="s">
        <v>2651</v>
      </c>
    </row>
    <row r="3283" spans="1:3" x14ac:dyDescent="0.25">
      <c r="A3283" s="36">
        <v>20939155059</v>
      </c>
      <c r="B3283" t="s">
        <v>2672</v>
      </c>
      <c r="C3283" s="35" t="s">
        <v>78</v>
      </c>
    </row>
    <row r="3284" spans="1:3" x14ac:dyDescent="0.25">
      <c r="A3284" s="36">
        <v>23396559269</v>
      </c>
      <c r="B3284" t="s">
        <v>2673</v>
      </c>
      <c r="C3284" s="35" t="s">
        <v>78</v>
      </c>
    </row>
    <row r="3285" spans="1:3" x14ac:dyDescent="0.25">
      <c r="A3285" s="36">
        <v>27061895642</v>
      </c>
      <c r="B3285" t="s">
        <v>2674</v>
      </c>
      <c r="C3285" s="35" t="s">
        <v>107</v>
      </c>
    </row>
    <row r="3286" spans="1:3" x14ac:dyDescent="0.25">
      <c r="A3286" s="36">
        <v>30542071741</v>
      </c>
      <c r="B3286" t="s">
        <v>2675</v>
      </c>
      <c r="C3286" s="35" t="s">
        <v>107</v>
      </c>
    </row>
    <row r="3287" spans="1:3" x14ac:dyDescent="0.25">
      <c r="A3287" s="36">
        <v>30633413629</v>
      </c>
      <c r="B3287" t="s">
        <v>2676</v>
      </c>
      <c r="C3287" s="35" t="s">
        <v>82</v>
      </c>
    </row>
    <row r="3288" spans="1:3" x14ac:dyDescent="0.25">
      <c r="A3288" s="36">
        <v>30710166834</v>
      </c>
      <c r="B3288" t="s">
        <v>2677</v>
      </c>
      <c r="C3288" s="35" t="s">
        <v>78</v>
      </c>
    </row>
    <row r="3289" spans="1:3" x14ac:dyDescent="0.25">
      <c r="A3289" s="36">
        <v>30714239321</v>
      </c>
      <c r="B3289" t="s">
        <v>2678</v>
      </c>
      <c r="C3289" s="35" t="s">
        <v>2679</v>
      </c>
    </row>
    <row r="3290" spans="1:3" x14ac:dyDescent="0.25">
      <c r="A3290" s="36">
        <v>30715837311</v>
      </c>
      <c r="B3290" t="s">
        <v>2680</v>
      </c>
      <c r="C3290" s="35" t="s">
        <v>82</v>
      </c>
    </row>
    <row r="3291" spans="1:3" x14ac:dyDescent="0.25">
      <c r="A3291" s="36">
        <v>30717438562</v>
      </c>
      <c r="B3291" t="s">
        <v>2681</v>
      </c>
      <c r="C3291" s="35" t="s">
        <v>79</v>
      </c>
    </row>
    <row r="3292" spans="1:3" x14ac:dyDescent="0.25">
      <c r="A3292" s="36">
        <v>33712527639</v>
      </c>
      <c r="B3292" t="s">
        <v>2682</v>
      </c>
      <c r="C3292" s="35" t="s">
        <v>79</v>
      </c>
    </row>
    <row r="3293" spans="1:3" x14ac:dyDescent="0.25">
      <c r="A3293" s="36">
        <v>30546741253</v>
      </c>
      <c r="B3293" t="s">
        <v>2683</v>
      </c>
      <c r="C3293" s="35" t="s">
        <v>2684</v>
      </c>
    </row>
    <row r="3294" spans="1:3" x14ac:dyDescent="0.25">
      <c r="A3294" s="36">
        <v>20353654560</v>
      </c>
      <c r="B3294" t="s">
        <v>2685</v>
      </c>
      <c r="C3294" s="35" t="s">
        <v>111</v>
      </c>
    </row>
    <row r="3295" spans="1:3" x14ac:dyDescent="0.25">
      <c r="A3295" s="36">
        <v>30707598936</v>
      </c>
      <c r="B3295" t="s">
        <v>2686</v>
      </c>
      <c r="C3295" s="35" t="s">
        <v>79</v>
      </c>
    </row>
    <row r="3296" spans="1:3" x14ac:dyDescent="0.25">
      <c r="A3296" s="36">
        <v>30717690075</v>
      </c>
      <c r="B3296" t="s">
        <v>2687</v>
      </c>
      <c r="C3296" s="35" t="s">
        <v>79</v>
      </c>
    </row>
    <row r="3297" spans="1:3" x14ac:dyDescent="0.25">
      <c r="A3297" s="36">
        <v>30703451310</v>
      </c>
      <c r="B3297" t="s">
        <v>2688</v>
      </c>
      <c r="C3297" s="35" t="s">
        <v>79</v>
      </c>
    </row>
    <row r="3298" spans="1:3" x14ac:dyDescent="0.25">
      <c r="A3298" s="36">
        <v>27341012525</v>
      </c>
      <c r="B3298" t="s">
        <v>2689</v>
      </c>
      <c r="C3298" s="35" t="s">
        <v>79</v>
      </c>
    </row>
    <row r="3299" spans="1:3" x14ac:dyDescent="0.25">
      <c r="A3299" s="36">
        <v>20242147341</v>
      </c>
      <c r="B3299" t="s">
        <v>2690</v>
      </c>
      <c r="C3299" s="35" t="s">
        <v>111</v>
      </c>
    </row>
    <row r="3300" spans="1:3" x14ac:dyDescent="0.25">
      <c r="A3300" s="36">
        <v>33707675069</v>
      </c>
      <c r="B3300" t="s">
        <v>2691</v>
      </c>
      <c r="C3300" s="35" t="s">
        <v>82</v>
      </c>
    </row>
    <row r="3301" spans="1:3" x14ac:dyDescent="0.25">
      <c r="A3301" s="36">
        <v>30708912146</v>
      </c>
      <c r="B3301" t="s">
        <v>2692</v>
      </c>
      <c r="C3301" s="35" t="s">
        <v>78</v>
      </c>
    </row>
    <row r="3302" spans="1:3" x14ac:dyDescent="0.25">
      <c r="A3302" s="36">
        <v>30700976501</v>
      </c>
      <c r="B3302" t="s">
        <v>2693</v>
      </c>
      <c r="C3302" s="35" t="s">
        <v>2651</v>
      </c>
    </row>
    <row r="3303" spans="1:3" x14ac:dyDescent="0.25">
      <c r="A3303" s="36">
        <v>33709701199</v>
      </c>
      <c r="B3303" t="s">
        <v>2694</v>
      </c>
      <c r="C3303" s="35" t="s">
        <v>79</v>
      </c>
    </row>
    <row r="3304" spans="1:3" x14ac:dyDescent="0.25">
      <c r="A3304" s="36">
        <v>30715209833</v>
      </c>
      <c r="B3304" t="s">
        <v>2695</v>
      </c>
      <c r="C3304" s="35" t="s">
        <v>79</v>
      </c>
    </row>
    <row r="3305" spans="1:3" x14ac:dyDescent="0.25">
      <c r="A3305" s="36">
        <v>30717495175</v>
      </c>
      <c r="B3305" t="s">
        <v>2696</v>
      </c>
      <c r="C3305" s="35" t="s">
        <v>79</v>
      </c>
    </row>
    <row r="3306" spans="1:3" x14ac:dyDescent="0.25">
      <c r="A3306" s="36">
        <v>20359008954</v>
      </c>
      <c r="B3306" t="s">
        <v>2697</v>
      </c>
      <c r="C3306" s="35" t="s">
        <v>79</v>
      </c>
    </row>
    <row r="3307" spans="1:3" x14ac:dyDescent="0.25">
      <c r="A3307" s="36">
        <v>30690937006</v>
      </c>
      <c r="B3307" t="s">
        <v>2698</v>
      </c>
      <c r="C3307" s="35" t="s">
        <v>78</v>
      </c>
    </row>
    <row r="3308" spans="1:3" x14ac:dyDescent="0.25">
      <c r="A3308" s="36">
        <v>30710117582</v>
      </c>
      <c r="B3308" t="s">
        <v>2700</v>
      </c>
      <c r="C3308" s="35" t="s">
        <v>2701</v>
      </c>
    </row>
    <row r="3309" spans="1:3" x14ac:dyDescent="0.25">
      <c r="A3309" s="36">
        <v>30707428577</v>
      </c>
      <c r="B3309" t="s">
        <v>2702</v>
      </c>
      <c r="C3309" s="35" t="s">
        <v>2701</v>
      </c>
    </row>
    <row r="3310" spans="1:3" x14ac:dyDescent="0.25">
      <c r="A3310" s="36">
        <v>30716821516</v>
      </c>
      <c r="B3310" t="s">
        <v>2703</v>
      </c>
      <c r="C3310" s="35" t="s">
        <v>109</v>
      </c>
    </row>
    <row r="3311" spans="1:3" x14ac:dyDescent="0.25">
      <c r="A3311" s="36">
        <v>30668432782</v>
      </c>
      <c r="B3311" t="s">
        <v>2704</v>
      </c>
      <c r="C3311" s="35" t="s">
        <v>79</v>
      </c>
    </row>
    <row r="3312" spans="1:3" x14ac:dyDescent="0.25">
      <c r="A3312" s="36">
        <v>30710333498</v>
      </c>
      <c r="B3312" t="s">
        <v>2705</v>
      </c>
      <c r="C3312" s="35" t="s">
        <v>79</v>
      </c>
    </row>
    <row r="3313" spans="1:3" x14ac:dyDescent="0.25">
      <c r="A3313" s="36">
        <v>30717884201</v>
      </c>
      <c r="B3313" t="s">
        <v>2706</v>
      </c>
      <c r="C3313" s="35" t="s">
        <v>79</v>
      </c>
    </row>
    <row r="3314" spans="1:3" x14ac:dyDescent="0.25">
      <c r="A3314" s="36">
        <v>20309151489</v>
      </c>
      <c r="B3314" t="s">
        <v>2707</v>
      </c>
      <c r="C3314" s="35" t="s">
        <v>111</v>
      </c>
    </row>
    <row r="3315" spans="1:3" x14ac:dyDescent="0.25">
      <c r="A3315" s="36">
        <v>30714508160</v>
      </c>
      <c r="B3315" t="s">
        <v>2708</v>
      </c>
      <c r="C3315" s="35" t="s">
        <v>79</v>
      </c>
    </row>
    <row r="3316" spans="1:3" x14ac:dyDescent="0.25">
      <c r="A3316" s="36">
        <v>20443065793</v>
      </c>
      <c r="B3316" t="s">
        <v>2709</v>
      </c>
      <c r="C3316" s="35" t="s">
        <v>79</v>
      </c>
    </row>
    <row r="3317" spans="1:3" x14ac:dyDescent="0.25">
      <c r="A3317" s="36">
        <v>30716701820</v>
      </c>
      <c r="B3317" t="s">
        <v>2710</v>
      </c>
      <c r="C3317" s="35" t="s">
        <v>79</v>
      </c>
    </row>
    <row r="3318" spans="1:3" x14ac:dyDescent="0.25">
      <c r="A3318" s="36">
        <v>30572183668</v>
      </c>
      <c r="B3318" t="s">
        <v>2711</v>
      </c>
      <c r="C3318" s="35" t="s">
        <v>2712</v>
      </c>
    </row>
    <row r="3319" spans="1:3" x14ac:dyDescent="0.25">
      <c r="A3319" s="36">
        <v>30716794829</v>
      </c>
      <c r="B3319" t="s">
        <v>2713</v>
      </c>
      <c r="C3319" s="35" t="s">
        <v>79</v>
      </c>
    </row>
    <row r="3320" spans="1:3" x14ac:dyDescent="0.25">
      <c r="A3320" s="36">
        <v>20297373812</v>
      </c>
      <c r="B3320" t="s">
        <v>2714</v>
      </c>
      <c r="C3320" s="35" t="s">
        <v>112</v>
      </c>
    </row>
    <row r="3321" spans="1:3" x14ac:dyDescent="0.25">
      <c r="A3321" s="36">
        <v>30541775567</v>
      </c>
      <c r="B3321" t="s">
        <v>2715</v>
      </c>
      <c r="C3321" s="35" t="s">
        <v>2712</v>
      </c>
    </row>
    <row r="3322" spans="1:3" x14ac:dyDescent="0.25">
      <c r="A3322" s="36">
        <v>30715117920</v>
      </c>
      <c r="B3322" t="s">
        <v>2716</v>
      </c>
      <c r="C3322" s="35" t="s">
        <v>2712</v>
      </c>
    </row>
    <row r="3323" spans="1:3" x14ac:dyDescent="0.25">
      <c r="A3323" s="36">
        <v>20348187040</v>
      </c>
      <c r="B3323" t="s">
        <v>2717</v>
      </c>
      <c r="C3323" s="35" t="s">
        <v>79</v>
      </c>
    </row>
    <row r="3324" spans="1:3" x14ac:dyDescent="0.25">
      <c r="A3324" s="36">
        <v>30709539775</v>
      </c>
      <c r="B3324" t="s">
        <v>2718</v>
      </c>
      <c r="C3324" s="35" t="s">
        <v>79</v>
      </c>
    </row>
    <row r="3325" spans="1:3" x14ac:dyDescent="0.25">
      <c r="A3325" s="36">
        <v>30709136018</v>
      </c>
      <c r="B3325" t="s">
        <v>2719</v>
      </c>
      <c r="C3325" s="35" t="s">
        <v>79</v>
      </c>
    </row>
    <row r="3326" spans="1:3" x14ac:dyDescent="0.25">
      <c r="A3326" s="36">
        <v>20190491774</v>
      </c>
      <c r="B3326" t="s">
        <v>2720</v>
      </c>
      <c r="C3326" s="35" t="s">
        <v>79</v>
      </c>
    </row>
    <row r="3327" spans="1:3" x14ac:dyDescent="0.25">
      <c r="A3327" s="36">
        <v>20278009883</v>
      </c>
      <c r="B3327" t="s">
        <v>2721</v>
      </c>
      <c r="C3327" s="35" t="s">
        <v>78</v>
      </c>
    </row>
    <row r="3328" spans="1:3" x14ac:dyDescent="0.25">
      <c r="A3328" s="36">
        <v>30718584937</v>
      </c>
      <c r="B3328" t="s">
        <v>2722</v>
      </c>
      <c r="C3328" s="35" t="s">
        <v>2712</v>
      </c>
    </row>
    <row r="3329" spans="1:3" x14ac:dyDescent="0.25">
      <c r="A3329" s="36">
        <v>30710093322</v>
      </c>
      <c r="B3329" t="s">
        <v>2723</v>
      </c>
      <c r="C3329" s="35" t="s">
        <v>90</v>
      </c>
    </row>
    <row r="3330" spans="1:3" x14ac:dyDescent="0.25">
      <c r="A3330" s="36">
        <v>30708708697</v>
      </c>
      <c r="B3330" t="s">
        <v>2724</v>
      </c>
      <c r="C3330" s="35" t="s">
        <v>87</v>
      </c>
    </row>
    <row r="3331" spans="1:3" x14ac:dyDescent="0.25">
      <c r="A3331" s="36">
        <v>20220164013</v>
      </c>
      <c r="B3331" t="s">
        <v>2725</v>
      </c>
      <c r="C3331" s="35" t="s">
        <v>111</v>
      </c>
    </row>
    <row r="3332" spans="1:3" x14ac:dyDescent="0.25">
      <c r="A3332" s="36">
        <v>30717698610</v>
      </c>
      <c r="B3332" t="s">
        <v>2726</v>
      </c>
      <c r="C3332" s="35" t="s">
        <v>109</v>
      </c>
    </row>
    <row r="3333" spans="1:3" x14ac:dyDescent="0.25">
      <c r="A3333" s="36">
        <v>30712450408</v>
      </c>
      <c r="B3333" t="s">
        <v>2727</v>
      </c>
      <c r="C3333" s="35" t="s">
        <v>109</v>
      </c>
    </row>
    <row r="3334" spans="1:3" x14ac:dyDescent="0.25">
      <c r="A3334" s="36">
        <v>27136649065</v>
      </c>
      <c r="B3334" t="s">
        <v>2728</v>
      </c>
      <c r="C3334" s="35" t="s">
        <v>79</v>
      </c>
    </row>
    <row r="3335" spans="1:3" x14ac:dyDescent="0.25">
      <c r="A3335" s="36">
        <v>30582170653</v>
      </c>
      <c r="B3335" t="s">
        <v>2729</v>
      </c>
      <c r="C3335" s="35" t="s">
        <v>2712</v>
      </c>
    </row>
    <row r="3336" spans="1:3" x14ac:dyDescent="0.25">
      <c r="A3336" s="36">
        <v>30652412889</v>
      </c>
      <c r="B3336" t="s">
        <v>2730</v>
      </c>
      <c r="C3336" s="35" t="s">
        <v>109</v>
      </c>
    </row>
    <row r="3337" spans="1:3" x14ac:dyDescent="0.25">
      <c r="A3337" s="36">
        <v>27406423900</v>
      </c>
      <c r="B3337" t="s">
        <v>2731</v>
      </c>
      <c r="C3337" s="35" t="s">
        <v>2712</v>
      </c>
    </row>
    <row r="3338" spans="1:3" x14ac:dyDescent="0.25">
      <c r="A3338" s="36">
        <v>33715240209</v>
      </c>
      <c r="B3338" t="s">
        <v>2732</v>
      </c>
      <c r="C3338" s="35" t="s">
        <v>90</v>
      </c>
    </row>
    <row r="3339" spans="1:3" x14ac:dyDescent="0.25">
      <c r="A3339" s="36">
        <v>30710804830</v>
      </c>
      <c r="B3339" t="s">
        <v>2733</v>
      </c>
      <c r="C3339" s="35" t="s">
        <v>78</v>
      </c>
    </row>
    <row r="3340" spans="1:3" x14ac:dyDescent="0.25">
      <c r="A3340" s="36">
        <v>20250954426</v>
      </c>
      <c r="B3340" t="s">
        <v>2734</v>
      </c>
      <c r="C3340" s="35" t="s">
        <v>2712</v>
      </c>
    </row>
    <row r="3341" spans="1:3" x14ac:dyDescent="0.25">
      <c r="A3341" s="36">
        <v>20286871802</v>
      </c>
      <c r="B3341" t="s">
        <v>2735</v>
      </c>
      <c r="C3341" s="35" t="s">
        <v>109</v>
      </c>
    </row>
    <row r="3342" spans="1:3" x14ac:dyDescent="0.25">
      <c r="A3342" s="36">
        <v>27319349672</v>
      </c>
      <c r="B3342" t="s">
        <v>2736</v>
      </c>
      <c r="C3342" s="35" t="s">
        <v>79</v>
      </c>
    </row>
    <row r="3343" spans="1:3" x14ac:dyDescent="0.25">
      <c r="A3343" s="36">
        <v>20388915413</v>
      </c>
      <c r="B3343" t="s">
        <v>2737</v>
      </c>
      <c r="C3343" s="35" t="s">
        <v>2712</v>
      </c>
    </row>
    <row r="3344" spans="1:3" x14ac:dyDescent="0.25">
      <c r="A3344" s="36">
        <v>20086298539</v>
      </c>
      <c r="B3344" t="s">
        <v>2738</v>
      </c>
      <c r="C3344" s="35" t="s">
        <v>2712</v>
      </c>
    </row>
    <row r="3345" spans="1:3" x14ac:dyDescent="0.25">
      <c r="A3345" s="36">
        <v>20230902780</v>
      </c>
      <c r="B3345" t="s">
        <v>2739</v>
      </c>
      <c r="C3345" s="35" t="s">
        <v>2712</v>
      </c>
    </row>
    <row r="3346" spans="1:3" x14ac:dyDescent="0.25">
      <c r="A3346" s="36">
        <v>27228930623</v>
      </c>
      <c r="B3346" t="s">
        <v>2740</v>
      </c>
      <c r="C3346" s="35" t="s">
        <v>79</v>
      </c>
    </row>
    <row r="3347" spans="1:3" x14ac:dyDescent="0.25">
      <c r="A3347" s="36">
        <v>20218317996</v>
      </c>
      <c r="B3347" t="s">
        <v>2741</v>
      </c>
      <c r="C3347" s="35" t="s">
        <v>79</v>
      </c>
    </row>
    <row r="3348" spans="1:3" x14ac:dyDescent="0.25">
      <c r="A3348" s="36">
        <v>30718122577</v>
      </c>
      <c r="B3348" t="s">
        <v>2742</v>
      </c>
      <c r="C3348" s="35" t="s">
        <v>90</v>
      </c>
    </row>
    <row r="3349" spans="1:3" x14ac:dyDescent="0.25">
      <c r="A3349" s="36">
        <v>20472017056</v>
      </c>
      <c r="B3349" t="s">
        <v>2761</v>
      </c>
      <c r="C3349" s="35" t="s">
        <v>3079</v>
      </c>
    </row>
    <row r="3350" spans="1:3" x14ac:dyDescent="0.25">
      <c r="A3350" s="36">
        <v>27250242536</v>
      </c>
      <c r="B3350" t="s">
        <v>2762</v>
      </c>
      <c r="C3350" s="35" t="s">
        <v>3079</v>
      </c>
    </row>
    <row r="3351" spans="1:3" x14ac:dyDescent="0.25">
      <c r="A3351" s="36">
        <v>23285547709</v>
      </c>
      <c r="B3351" t="s">
        <v>2763</v>
      </c>
      <c r="C3351" s="35" t="s">
        <v>79</v>
      </c>
    </row>
    <row r="3352" spans="1:3" x14ac:dyDescent="0.25">
      <c r="A3352" s="36">
        <v>27203738418</v>
      </c>
      <c r="B3352" t="s">
        <v>2764</v>
      </c>
      <c r="C3352" s="35" t="s">
        <v>3079</v>
      </c>
    </row>
    <row r="3353" spans="1:3" x14ac:dyDescent="0.25">
      <c r="A3353" s="36">
        <v>30716922231</v>
      </c>
      <c r="B3353" t="s">
        <v>2778</v>
      </c>
    </row>
    <row r="3354" spans="1:3" x14ac:dyDescent="0.25">
      <c r="A3354" s="36">
        <v>30718734203</v>
      </c>
      <c r="B3354" t="s">
        <v>2779</v>
      </c>
    </row>
    <row r="3355" spans="1:3" x14ac:dyDescent="0.25">
      <c r="A3355" s="36">
        <v>27210653398</v>
      </c>
      <c r="B3355" t="s">
        <v>2780</v>
      </c>
    </row>
    <row r="3356" spans="1:3" x14ac:dyDescent="0.25">
      <c r="A3356" s="36">
        <v>30718380851</v>
      </c>
      <c r="B3356" t="s">
        <v>2781</v>
      </c>
    </row>
    <row r="3357" spans="1:3" x14ac:dyDescent="0.25">
      <c r="A3357" s="36">
        <v>20294221094</v>
      </c>
      <c r="B3357" t="s">
        <v>2782</v>
      </c>
    </row>
    <row r="3358" spans="1:3" x14ac:dyDescent="0.25">
      <c r="A3358" s="36">
        <v>30714882615</v>
      </c>
      <c r="B3358" t="s">
        <v>2783</v>
      </c>
    </row>
    <row r="3359" spans="1:3" x14ac:dyDescent="0.25">
      <c r="A3359" s="36">
        <v>30701007561</v>
      </c>
      <c r="B3359" t="s">
        <v>2784</v>
      </c>
    </row>
    <row r="3360" spans="1:3" x14ac:dyDescent="0.25">
      <c r="A3360" s="36">
        <v>30715357255</v>
      </c>
      <c r="B3360" t="s">
        <v>2785</v>
      </c>
    </row>
    <row r="3361" spans="1:3" x14ac:dyDescent="0.25">
      <c r="A3361" s="36">
        <v>30715875264</v>
      </c>
      <c r="B3361" t="s">
        <v>2786</v>
      </c>
    </row>
    <row r="3362" spans="1:3" x14ac:dyDescent="0.25">
      <c r="A3362" s="36">
        <v>20314249500</v>
      </c>
      <c r="B3362" t="s">
        <v>2787</v>
      </c>
    </row>
    <row r="3363" spans="1:3" x14ac:dyDescent="0.25">
      <c r="A3363" s="36">
        <v>30717375560</v>
      </c>
      <c r="B3363" t="s">
        <v>2788</v>
      </c>
    </row>
    <row r="3364" spans="1:3" x14ac:dyDescent="0.25">
      <c r="A3364" s="36">
        <v>30714811513</v>
      </c>
      <c r="B3364" t="s">
        <v>2789</v>
      </c>
      <c r="C3364" s="35" t="s">
        <v>1753</v>
      </c>
    </row>
    <row r="3365" spans="1:3" x14ac:dyDescent="0.25">
      <c r="A3365" s="36">
        <v>20307789427</v>
      </c>
      <c r="B3365" t="s">
        <v>2790</v>
      </c>
      <c r="C3365" s="35" t="s">
        <v>3064</v>
      </c>
    </row>
    <row r="3366" spans="1:3" x14ac:dyDescent="0.25">
      <c r="A3366" s="36">
        <v>30709604321</v>
      </c>
      <c r="B3366" t="s">
        <v>2791</v>
      </c>
    </row>
    <row r="3367" spans="1:3" x14ac:dyDescent="0.25">
      <c r="A3367" s="36">
        <v>30716118068</v>
      </c>
      <c r="B3367" t="s">
        <v>2792</v>
      </c>
    </row>
    <row r="3368" spans="1:3" x14ac:dyDescent="0.25">
      <c r="A3368" s="36">
        <v>30708615737</v>
      </c>
      <c r="B3368" t="s">
        <v>2793</v>
      </c>
    </row>
    <row r="3369" spans="1:3" x14ac:dyDescent="0.25">
      <c r="A3369" s="36">
        <v>30712118926</v>
      </c>
      <c r="B3369" t="s">
        <v>2794</v>
      </c>
    </row>
    <row r="3370" spans="1:3" x14ac:dyDescent="0.25">
      <c r="A3370" s="36">
        <v>30708232749</v>
      </c>
      <c r="B3370" t="s">
        <v>2795</v>
      </c>
    </row>
    <row r="3371" spans="1:3" x14ac:dyDescent="0.25">
      <c r="A3371" s="36">
        <v>33716307749</v>
      </c>
      <c r="B3371" t="s">
        <v>2796</v>
      </c>
      <c r="C3371" s="35" t="s">
        <v>3076</v>
      </c>
    </row>
    <row r="3372" spans="1:3" x14ac:dyDescent="0.25">
      <c r="A3372" s="36">
        <v>30708693010</v>
      </c>
      <c r="B3372" t="s">
        <v>2797</v>
      </c>
    </row>
    <row r="3373" spans="1:3" x14ac:dyDescent="0.25">
      <c r="A3373" s="36">
        <v>30708611855</v>
      </c>
      <c r="B3373" t="s">
        <v>2798</v>
      </c>
    </row>
    <row r="3374" spans="1:3" x14ac:dyDescent="0.25">
      <c r="A3374" s="36">
        <v>30709489468</v>
      </c>
      <c r="B3374" t="s">
        <v>2799</v>
      </c>
    </row>
    <row r="3375" spans="1:3" x14ac:dyDescent="0.25">
      <c r="A3375" s="36">
        <v>30576347460</v>
      </c>
      <c r="B3375" t="s">
        <v>2800</v>
      </c>
    </row>
    <row r="3376" spans="1:3" x14ac:dyDescent="0.25">
      <c r="A3376" s="36">
        <v>33711252709</v>
      </c>
      <c r="B3376" t="s">
        <v>2801</v>
      </c>
    </row>
    <row r="3377" spans="1:3" x14ac:dyDescent="0.25">
      <c r="A3377" s="36">
        <v>23225817529</v>
      </c>
      <c r="B3377" t="s">
        <v>2802</v>
      </c>
    </row>
    <row r="3378" spans="1:3" x14ac:dyDescent="0.25">
      <c r="A3378" s="36">
        <v>20320131260</v>
      </c>
      <c r="B3378" t="s">
        <v>2803</v>
      </c>
    </row>
    <row r="3379" spans="1:3" x14ac:dyDescent="0.25">
      <c r="A3379" s="36">
        <v>20339043923</v>
      </c>
      <c r="B3379" t="s">
        <v>2804</v>
      </c>
    </row>
    <row r="3380" spans="1:3" x14ac:dyDescent="0.25">
      <c r="A3380" s="36">
        <v>20393696274</v>
      </c>
      <c r="B3380" t="s">
        <v>2805</v>
      </c>
    </row>
    <row r="3381" spans="1:3" x14ac:dyDescent="0.25">
      <c r="A3381" s="36">
        <v>20450149471</v>
      </c>
      <c r="B3381" t="s">
        <v>2806</v>
      </c>
    </row>
    <row r="3382" spans="1:3" x14ac:dyDescent="0.25">
      <c r="A3382" s="36">
        <v>30714153753</v>
      </c>
      <c r="B3382" t="s">
        <v>2807</v>
      </c>
    </row>
    <row r="3383" spans="1:3" x14ac:dyDescent="0.25">
      <c r="A3383" s="36">
        <v>30710489234</v>
      </c>
      <c r="B3383" t="s">
        <v>2808</v>
      </c>
    </row>
    <row r="3384" spans="1:3" x14ac:dyDescent="0.25">
      <c r="A3384" s="36">
        <v>27310577168</v>
      </c>
      <c r="B3384" t="s">
        <v>2829</v>
      </c>
    </row>
    <row r="3385" spans="1:3" x14ac:dyDescent="0.25">
      <c r="A3385" s="36">
        <v>27176180485</v>
      </c>
      <c r="B3385" t="s">
        <v>2830</v>
      </c>
      <c r="C3385" s="35" t="s">
        <v>3079</v>
      </c>
    </row>
    <row r="3386" spans="1:3" x14ac:dyDescent="0.25">
      <c r="A3386" s="36">
        <v>20372527707</v>
      </c>
      <c r="B3386" t="s">
        <v>2831</v>
      </c>
    </row>
    <row r="3387" spans="1:3" x14ac:dyDescent="0.25">
      <c r="A3387" s="36">
        <v>27280216572</v>
      </c>
      <c r="B3387" t="s">
        <v>2832</v>
      </c>
      <c r="C3387" s="35" t="s">
        <v>111</v>
      </c>
    </row>
    <row r="3388" spans="1:3" x14ac:dyDescent="0.25">
      <c r="A3388" s="36">
        <v>23182935069</v>
      </c>
      <c r="B3388" t="s">
        <v>2833</v>
      </c>
    </row>
    <row r="3389" spans="1:3" x14ac:dyDescent="0.25">
      <c r="A3389" s="36">
        <v>20216023774</v>
      </c>
      <c r="B3389" t="s">
        <v>2846</v>
      </c>
    </row>
    <row r="3390" spans="1:3" x14ac:dyDescent="0.25">
      <c r="A3390" s="36">
        <v>30716661519</v>
      </c>
      <c r="B3390" t="s">
        <v>2847</v>
      </c>
    </row>
    <row r="3391" spans="1:3" x14ac:dyDescent="0.25">
      <c r="A3391" s="36">
        <v>33718014579</v>
      </c>
      <c r="B3391" t="s">
        <v>2848</v>
      </c>
    </row>
    <row r="3392" spans="1:3" x14ac:dyDescent="0.25">
      <c r="A3392" s="36">
        <v>30642617555</v>
      </c>
      <c r="B3392" t="s">
        <v>2849</v>
      </c>
      <c r="C3392" s="35" t="s">
        <v>2651</v>
      </c>
    </row>
    <row r="3393" spans="1:3" x14ac:dyDescent="0.25">
      <c r="A3393" s="36">
        <v>33708184239</v>
      </c>
      <c r="B3393" t="s">
        <v>2850</v>
      </c>
    </row>
    <row r="3394" spans="1:3" x14ac:dyDescent="0.25">
      <c r="A3394" s="36">
        <v>20309802021</v>
      </c>
      <c r="B3394" t="s">
        <v>2851</v>
      </c>
      <c r="C3394" s="35" t="s">
        <v>2651</v>
      </c>
    </row>
    <row r="3395" spans="1:3" x14ac:dyDescent="0.25">
      <c r="A3395" s="36">
        <v>30714946915</v>
      </c>
      <c r="B3395" t="s">
        <v>2852</v>
      </c>
    </row>
    <row r="3396" spans="1:3" x14ac:dyDescent="0.25">
      <c r="A3396" s="36">
        <v>30692272591</v>
      </c>
      <c r="B3396" t="s">
        <v>2853</v>
      </c>
    </row>
    <row r="3397" spans="1:3" x14ac:dyDescent="0.25">
      <c r="A3397" s="36">
        <v>27292799433</v>
      </c>
      <c r="B3397" t="s">
        <v>2854</v>
      </c>
    </row>
    <row r="3398" spans="1:3" x14ac:dyDescent="0.25">
      <c r="A3398" s="36">
        <v>20324801236</v>
      </c>
      <c r="B3398" t="s">
        <v>2855</v>
      </c>
      <c r="C3398" s="35" t="s">
        <v>1753</v>
      </c>
    </row>
    <row r="3399" spans="1:3" x14ac:dyDescent="0.25">
      <c r="A3399" s="36">
        <v>30611152775</v>
      </c>
      <c r="B3399" t="s">
        <v>2856</v>
      </c>
      <c r="C3399" s="35" t="s">
        <v>2648</v>
      </c>
    </row>
    <row r="3400" spans="1:3" x14ac:dyDescent="0.25">
      <c r="A3400" s="36">
        <v>33717243019</v>
      </c>
      <c r="B3400" t="s">
        <v>2857</v>
      </c>
      <c r="C3400" s="35" t="s">
        <v>3080</v>
      </c>
    </row>
    <row r="3401" spans="1:3" x14ac:dyDescent="0.25">
      <c r="A3401" s="36">
        <v>30644236834</v>
      </c>
      <c r="B3401" t="s">
        <v>2858</v>
      </c>
    </row>
    <row r="3402" spans="1:3" x14ac:dyDescent="0.25">
      <c r="A3402" s="36">
        <v>30537679855</v>
      </c>
      <c r="B3402" t="s">
        <v>2859</v>
      </c>
    </row>
    <row r="3403" spans="1:3" x14ac:dyDescent="0.25">
      <c r="A3403" s="36">
        <v>30710718802</v>
      </c>
      <c r="B3403" t="s">
        <v>2860</v>
      </c>
    </row>
    <row r="3404" spans="1:3" x14ac:dyDescent="0.25">
      <c r="A3404" s="36">
        <v>30711061327</v>
      </c>
      <c r="B3404" t="s">
        <v>2861</v>
      </c>
    </row>
    <row r="3405" spans="1:3" x14ac:dyDescent="0.25">
      <c r="A3405" s="36">
        <v>30709686883</v>
      </c>
      <c r="B3405" t="s">
        <v>2862</v>
      </c>
    </row>
    <row r="3406" spans="1:3" x14ac:dyDescent="0.25">
      <c r="A3406" s="36">
        <v>30716522454</v>
      </c>
      <c r="B3406" t="s">
        <v>2863</v>
      </c>
    </row>
    <row r="3407" spans="1:3" x14ac:dyDescent="0.25">
      <c r="A3407" s="36">
        <v>20416150959</v>
      </c>
      <c r="B3407" t="s">
        <v>2864</v>
      </c>
    </row>
    <row r="3408" spans="1:3" x14ac:dyDescent="0.25">
      <c r="A3408" s="36">
        <v>30718383788</v>
      </c>
      <c r="B3408" t="s">
        <v>2865</v>
      </c>
    </row>
    <row r="3409" spans="1:3" x14ac:dyDescent="0.25">
      <c r="A3409" s="36">
        <v>30718409744</v>
      </c>
      <c r="B3409" t="s">
        <v>2866</v>
      </c>
    </row>
    <row r="3410" spans="1:3" x14ac:dyDescent="0.25">
      <c r="A3410" s="36">
        <v>20431994942</v>
      </c>
      <c r="B3410" t="s">
        <v>2867</v>
      </c>
      <c r="C3410" s="35" t="s">
        <v>2651</v>
      </c>
    </row>
    <row r="3411" spans="1:3" x14ac:dyDescent="0.25">
      <c r="A3411" s="36">
        <v>30714272884</v>
      </c>
      <c r="B3411" t="s">
        <v>2868</v>
      </c>
    </row>
    <row r="3412" spans="1:3" x14ac:dyDescent="0.25">
      <c r="A3412" s="36">
        <v>30715368346</v>
      </c>
      <c r="B3412" t="s">
        <v>2869</v>
      </c>
    </row>
    <row r="3413" spans="1:3" x14ac:dyDescent="0.25">
      <c r="A3413" s="36">
        <v>30714971782</v>
      </c>
      <c r="B3413" t="s">
        <v>2899</v>
      </c>
      <c r="C3413" s="35" t="s">
        <v>1753</v>
      </c>
    </row>
    <row r="3414" spans="1:3" x14ac:dyDescent="0.25">
      <c r="A3414" s="36">
        <v>30677041877</v>
      </c>
      <c r="B3414" t="s">
        <v>2900</v>
      </c>
      <c r="C3414" s="35" t="s">
        <v>2651</v>
      </c>
    </row>
    <row r="3415" spans="1:3" x14ac:dyDescent="0.25">
      <c r="A3415" s="36">
        <v>20232842823</v>
      </c>
      <c r="B3415" t="s">
        <v>2901</v>
      </c>
      <c r="C3415" s="35" t="s">
        <v>3077</v>
      </c>
    </row>
    <row r="3416" spans="1:3" x14ac:dyDescent="0.25">
      <c r="A3416" s="36">
        <v>30717993973</v>
      </c>
      <c r="B3416" t="s">
        <v>2902</v>
      </c>
      <c r="C3416" s="35" t="s">
        <v>3078</v>
      </c>
    </row>
    <row r="3417" spans="1:3" x14ac:dyDescent="0.25">
      <c r="A3417" s="36">
        <v>30717740439</v>
      </c>
      <c r="B3417" t="s">
        <v>2903</v>
      </c>
      <c r="C3417" s="35" t="s">
        <v>79</v>
      </c>
    </row>
    <row r="3418" spans="1:3" x14ac:dyDescent="0.25">
      <c r="A3418" s="36">
        <v>30716070790</v>
      </c>
      <c r="B3418" t="s">
        <v>2904</v>
      </c>
      <c r="C3418" s="35" t="s">
        <v>1753</v>
      </c>
    </row>
    <row r="3419" spans="1:3" x14ac:dyDescent="0.25">
      <c r="A3419" s="36">
        <v>20292094176</v>
      </c>
      <c r="B3419" t="s">
        <v>2905</v>
      </c>
      <c r="C3419" s="35" t="s">
        <v>3079</v>
      </c>
    </row>
    <row r="3420" spans="1:3" x14ac:dyDescent="0.25">
      <c r="A3420" s="36">
        <v>20313158676</v>
      </c>
      <c r="B3420" t="s">
        <v>2906</v>
      </c>
      <c r="C3420" s="35" t="s">
        <v>3069</v>
      </c>
    </row>
    <row r="3421" spans="1:3" x14ac:dyDescent="0.25">
      <c r="A3421" s="36">
        <v>20232494787</v>
      </c>
      <c r="B3421" t="s">
        <v>2907</v>
      </c>
      <c r="C3421" s="35" t="s">
        <v>3069</v>
      </c>
    </row>
    <row r="3422" spans="1:3" x14ac:dyDescent="0.25">
      <c r="A3422" s="36">
        <v>30554807301</v>
      </c>
      <c r="B3422" t="s">
        <v>2908</v>
      </c>
      <c r="C3422" s="35" t="s">
        <v>112</v>
      </c>
    </row>
    <row r="3423" spans="1:3" x14ac:dyDescent="0.25">
      <c r="A3423" s="36">
        <v>30696604580</v>
      </c>
      <c r="B3423" t="s">
        <v>2909</v>
      </c>
      <c r="C3423" s="35" t="s">
        <v>3064</v>
      </c>
    </row>
    <row r="3424" spans="1:3" x14ac:dyDescent="0.25">
      <c r="A3424" s="36">
        <v>33716948639</v>
      </c>
      <c r="B3424" t="s">
        <v>2910</v>
      </c>
      <c r="C3424" s="35" t="s">
        <v>3069</v>
      </c>
    </row>
    <row r="3425" spans="1:3" x14ac:dyDescent="0.25">
      <c r="A3425" s="36">
        <v>30717490874</v>
      </c>
      <c r="B3425" t="s">
        <v>2911</v>
      </c>
      <c r="C3425" s="35" t="s">
        <v>3080</v>
      </c>
    </row>
    <row r="3426" spans="1:3" x14ac:dyDescent="0.25">
      <c r="A3426" s="36">
        <v>30712517383</v>
      </c>
      <c r="B3426" t="s">
        <v>2912</v>
      </c>
      <c r="C3426" s="35" t="s">
        <v>79</v>
      </c>
    </row>
    <row r="3427" spans="1:3" x14ac:dyDescent="0.25">
      <c r="A3427" s="36">
        <v>30718627792</v>
      </c>
      <c r="B3427" t="s">
        <v>2913</v>
      </c>
      <c r="C3427" s="35" t="s">
        <v>1753</v>
      </c>
    </row>
    <row r="3428" spans="1:3" x14ac:dyDescent="0.25">
      <c r="A3428" s="36">
        <v>30717196593</v>
      </c>
      <c r="B3428" t="s">
        <v>2914</v>
      </c>
      <c r="C3428" s="35" t="s">
        <v>3064</v>
      </c>
    </row>
    <row r="3429" spans="1:3" x14ac:dyDescent="0.25">
      <c r="A3429" s="36">
        <v>23128023569</v>
      </c>
      <c r="B3429" t="s">
        <v>2915</v>
      </c>
      <c r="C3429" s="35" t="s">
        <v>79</v>
      </c>
    </row>
    <row r="3430" spans="1:3" x14ac:dyDescent="0.25">
      <c r="A3430" s="36">
        <v>33715225889</v>
      </c>
      <c r="B3430" t="s">
        <v>2916</v>
      </c>
      <c r="C3430" s="35" t="s">
        <v>3078</v>
      </c>
    </row>
    <row r="3431" spans="1:3" x14ac:dyDescent="0.25">
      <c r="A3431" s="36">
        <v>30697465983</v>
      </c>
      <c r="B3431" t="s">
        <v>2917</v>
      </c>
      <c r="C3431" s="35" t="s">
        <v>79</v>
      </c>
    </row>
    <row r="3432" spans="1:3" x14ac:dyDescent="0.25">
      <c r="A3432" s="36">
        <v>30710373414</v>
      </c>
      <c r="B3432" t="s">
        <v>2918</v>
      </c>
      <c r="C3432" s="35" t="s">
        <v>2651</v>
      </c>
    </row>
    <row r="3433" spans="1:3" x14ac:dyDescent="0.25">
      <c r="A3433" s="36">
        <v>30715695207</v>
      </c>
      <c r="B3433" t="s">
        <v>2919</v>
      </c>
      <c r="C3433" s="35" t="s">
        <v>2651</v>
      </c>
    </row>
    <row r="3434" spans="1:3" x14ac:dyDescent="0.25">
      <c r="A3434" s="36">
        <v>30718164830</v>
      </c>
      <c r="B3434" t="s">
        <v>2920</v>
      </c>
      <c r="C3434" s="35" t="s">
        <v>2651</v>
      </c>
    </row>
    <row r="3435" spans="1:3" x14ac:dyDescent="0.25">
      <c r="A3435" s="36">
        <v>30710284152</v>
      </c>
      <c r="B3435" t="s">
        <v>2921</v>
      </c>
      <c r="C3435" s="35" t="s">
        <v>2648</v>
      </c>
    </row>
    <row r="3436" spans="1:3" x14ac:dyDescent="0.25">
      <c r="A3436" s="36">
        <v>20312616980</v>
      </c>
      <c r="B3436" t="s">
        <v>2922</v>
      </c>
      <c r="C3436" s="35" t="s">
        <v>3064</v>
      </c>
    </row>
    <row r="3437" spans="1:3" x14ac:dyDescent="0.25">
      <c r="A3437" s="36">
        <v>30718095421</v>
      </c>
      <c r="B3437" t="s">
        <v>2923</v>
      </c>
      <c r="C3437" s="35" t="s">
        <v>2648</v>
      </c>
    </row>
    <row r="3438" spans="1:3" x14ac:dyDescent="0.25">
      <c r="A3438" s="36">
        <v>20371136046</v>
      </c>
      <c r="B3438" t="s">
        <v>2924</v>
      </c>
      <c r="C3438" s="35" t="s">
        <v>2578</v>
      </c>
    </row>
    <row r="3439" spans="1:3" x14ac:dyDescent="0.25">
      <c r="A3439" s="36">
        <v>20920906754</v>
      </c>
      <c r="B3439" t="s">
        <v>2925</v>
      </c>
      <c r="C3439" s="35" t="s">
        <v>1753</v>
      </c>
    </row>
    <row r="3440" spans="1:3" x14ac:dyDescent="0.25">
      <c r="A3440" s="36">
        <v>27957981939</v>
      </c>
      <c r="B3440" t="s">
        <v>2926</v>
      </c>
      <c r="C3440" s="35" t="s">
        <v>2651</v>
      </c>
    </row>
    <row r="3441" spans="1:3" x14ac:dyDescent="0.25">
      <c r="A3441" s="36">
        <v>30576333230</v>
      </c>
      <c r="B3441" t="s">
        <v>2927</v>
      </c>
      <c r="C3441" s="35" t="s">
        <v>1568</v>
      </c>
    </row>
    <row r="3442" spans="1:3" x14ac:dyDescent="0.25">
      <c r="A3442" s="36">
        <v>20373784592</v>
      </c>
      <c r="B3442" t="s">
        <v>2928</v>
      </c>
      <c r="C3442" s="35" t="s">
        <v>111</v>
      </c>
    </row>
    <row r="3443" spans="1:3" x14ac:dyDescent="0.25">
      <c r="A3443" s="36">
        <v>30715471562</v>
      </c>
      <c r="B3443" t="s">
        <v>2929</v>
      </c>
      <c r="C3443" s="35" t="s">
        <v>3069</v>
      </c>
    </row>
    <row r="3444" spans="1:3" x14ac:dyDescent="0.25">
      <c r="A3444" s="36">
        <v>30711829209</v>
      </c>
      <c r="B3444" t="s">
        <v>2930</v>
      </c>
      <c r="C3444" s="35" t="s">
        <v>3069</v>
      </c>
    </row>
    <row r="3445" spans="1:3" x14ac:dyDescent="0.25">
      <c r="A3445" s="36">
        <v>23040820604</v>
      </c>
      <c r="B3445" t="s">
        <v>2931</v>
      </c>
      <c r="C3445" s="35" t="s">
        <v>79</v>
      </c>
    </row>
    <row r="3446" spans="1:3" x14ac:dyDescent="0.25">
      <c r="A3446" s="36">
        <v>30708307145</v>
      </c>
      <c r="B3446" t="s">
        <v>2933</v>
      </c>
      <c r="C3446" s="35" t="s">
        <v>79</v>
      </c>
    </row>
    <row r="3447" spans="1:3" x14ac:dyDescent="0.25">
      <c r="A3447" s="36">
        <v>30708060387</v>
      </c>
      <c r="B3447" t="s">
        <v>2934</v>
      </c>
      <c r="C3447" s="35" t="s">
        <v>3080</v>
      </c>
    </row>
    <row r="3448" spans="1:3" x14ac:dyDescent="0.25">
      <c r="A3448" s="36">
        <v>27182116373</v>
      </c>
      <c r="B3448" t="s">
        <v>2950</v>
      </c>
      <c r="C3448" s="35" t="s">
        <v>3079</v>
      </c>
    </row>
    <row r="3449" spans="1:3" x14ac:dyDescent="0.25">
      <c r="A3449" s="36">
        <v>27320941550</v>
      </c>
      <c r="B3449" t="s">
        <v>2951</v>
      </c>
      <c r="C3449" s="35" t="s">
        <v>79</v>
      </c>
    </row>
    <row r="3450" spans="1:3" x14ac:dyDescent="0.25">
      <c r="A3450" s="36">
        <v>27344198948</v>
      </c>
      <c r="B3450" t="s">
        <v>2952</v>
      </c>
      <c r="C3450" s="35" t="s">
        <v>111</v>
      </c>
    </row>
    <row r="3451" spans="1:3" x14ac:dyDescent="0.25">
      <c r="A3451" s="36">
        <v>27248210732</v>
      </c>
      <c r="B3451" t="s">
        <v>2953</v>
      </c>
      <c r="C3451" s="35" t="s">
        <v>3087</v>
      </c>
    </row>
    <row r="3452" spans="1:3" x14ac:dyDescent="0.25">
      <c r="A3452" s="36">
        <v>20170295537</v>
      </c>
      <c r="B3452" t="s">
        <v>2954</v>
      </c>
      <c r="C3452" s="35" t="s">
        <v>3079</v>
      </c>
    </row>
    <row r="3453" spans="1:3" x14ac:dyDescent="0.25">
      <c r="A3453" s="36">
        <v>20107654861</v>
      </c>
      <c r="B3453" t="s">
        <v>2970</v>
      </c>
      <c r="C3453" s="35" t="s">
        <v>3085</v>
      </c>
    </row>
    <row r="3454" spans="1:3" x14ac:dyDescent="0.25">
      <c r="A3454" s="36">
        <v>30711557195</v>
      </c>
      <c r="B3454" t="s">
        <v>2971</v>
      </c>
      <c r="C3454" s="35" t="s">
        <v>3086</v>
      </c>
    </row>
    <row r="3455" spans="1:3" x14ac:dyDescent="0.25">
      <c r="A3455" s="36">
        <v>20288651923</v>
      </c>
      <c r="B3455" t="s">
        <v>2972</v>
      </c>
      <c r="C3455" s="35" t="s">
        <v>79</v>
      </c>
    </row>
    <row r="3456" spans="1:3" x14ac:dyDescent="0.25">
      <c r="A3456" s="36">
        <v>20244535853</v>
      </c>
      <c r="B3456" t="s">
        <v>2973</v>
      </c>
      <c r="C3456" s="35" t="s">
        <v>2578</v>
      </c>
    </row>
    <row r="3457" spans="1:3" x14ac:dyDescent="0.25">
      <c r="A3457" s="36">
        <v>30717799514</v>
      </c>
      <c r="B3457" t="s">
        <v>2974</v>
      </c>
      <c r="C3457" s="35" t="s">
        <v>3069</v>
      </c>
    </row>
    <row r="3458" spans="1:3" x14ac:dyDescent="0.25">
      <c r="A3458" s="36">
        <v>30715361813</v>
      </c>
      <c r="B3458" t="s">
        <v>2975</v>
      </c>
      <c r="C3458" s="35" t="s">
        <v>1753</v>
      </c>
    </row>
    <row r="3459" spans="1:3" x14ac:dyDescent="0.25">
      <c r="A3459" s="36">
        <v>30542844562</v>
      </c>
      <c r="B3459" t="s">
        <v>2976</v>
      </c>
      <c r="C3459" s="35" t="s">
        <v>79</v>
      </c>
    </row>
    <row r="3460" spans="1:3" x14ac:dyDescent="0.25">
      <c r="A3460" s="36">
        <v>27438028442</v>
      </c>
      <c r="B3460" t="s">
        <v>2977</v>
      </c>
      <c r="C3460" s="35" t="s">
        <v>1753</v>
      </c>
    </row>
    <row r="3461" spans="1:3" x14ac:dyDescent="0.25">
      <c r="A3461" s="36">
        <v>23342113729</v>
      </c>
      <c r="B3461" t="s">
        <v>2978</v>
      </c>
      <c r="C3461" s="35" t="s">
        <v>2651</v>
      </c>
    </row>
    <row r="3462" spans="1:3" x14ac:dyDescent="0.25">
      <c r="A3462" s="36">
        <v>30684766690</v>
      </c>
      <c r="B3462" t="s">
        <v>2979</v>
      </c>
      <c r="C3462" s="35" t="s">
        <v>1753</v>
      </c>
    </row>
    <row r="3463" spans="1:3" x14ac:dyDescent="0.25">
      <c r="A3463" s="36">
        <v>30714275670</v>
      </c>
      <c r="B3463" t="s">
        <v>2980</v>
      </c>
      <c r="C3463" s="35" t="s">
        <v>3080</v>
      </c>
    </row>
    <row r="3464" spans="1:3" x14ac:dyDescent="0.25">
      <c r="A3464" s="36">
        <v>30710550294</v>
      </c>
      <c r="B3464" t="s">
        <v>2981</v>
      </c>
      <c r="C3464" s="35" t="s">
        <v>1753</v>
      </c>
    </row>
    <row r="3465" spans="1:3" x14ac:dyDescent="0.25">
      <c r="A3465" s="36">
        <v>30683773820</v>
      </c>
      <c r="B3465" t="s">
        <v>2982</v>
      </c>
      <c r="C3465" s="35" t="s">
        <v>80</v>
      </c>
    </row>
    <row r="3466" spans="1:3" x14ac:dyDescent="0.25">
      <c r="A3466" s="36">
        <v>20349755115</v>
      </c>
      <c r="B3466" t="s">
        <v>2983</v>
      </c>
      <c r="C3466" s="35" t="s">
        <v>3069</v>
      </c>
    </row>
    <row r="3467" spans="1:3" x14ac:dyDescent="0.25">
      <c r="A3467" s="36">
        <v>20170366205</v>
      </c>
      <c r="B3467" t="s">
        <v>2984</v>
      </c>
      <c r="C3467" s="35" t="s">
        <v>3064</v>
      </c>
    </row>
    <row r="3468" spans="1:3" x14ac:dyDescent="0.25">
      <c r="A3468" s="36">
        <v>27314704482</v>
      </c>
      <c r="B3468" t="s">
        <v>2985</v>
      </c>
      <c r="C3468" s="35" t="s">
        <v>2651</v>
      </c>
    </row>
    <row r="3469" spans="1:3" x14ac:dyDescent="0.25">
      <c r="A3469" s="36">
        <v>23958112564</v>
      </c>
      <c r="B3469" t="s">
        <v>2986</v>
      </c>
      <c r="C3469" s="35" t="s">
        <v>2651</v>
      </c>
    </row>
    <row r="3470" spans="1:3" x14ac:dyDescent="0.25">
      <c r="A3470" s="36">
        <v>30718627318</v>
      </c>
      <c r="B3470" t="s">
        <v>2987</v>
      </c>
      <c r="C3470" s="35" t="s">
        <v>3064</v>
      </c>
    </row>
    <row r="3471" spans="1:3" x14ac:dyDescent="0.25">
      <c r="A3471" s="36">
        <v>20292504455</v>
      </c>
      <c r="B3471" t="s">
        <v>2988</v>
      </c>
      <c r="C3471" s="35" t="s">
        <v>3064</v>
      </c>
    </row>
    <row r="3472" spans="1:3" x14ac:dyDescent="0.25">
      <c r="A3472" s="36">
        <v>30560298796</v>
      </c>
      <c r="B3472" t="s">
        <v>2989</v>
      </c>
      <c r="C3472" s="35" t="s">
        <v>79</v>
      </c>
    </row>
    <row r="3473" spans="1:3" x14ac:dyDescent="0.25">
      <c r="A3473" s="36">
        <v>30692975533</v>
      </c>
      <c r="B3473" t="s">
        <v>2990</v>
      </c>
      <c r="C3473" s="35" t="s">
        <v>2573</v>
      </c>
    </row>
    <row r="3474" spans="1:3" x14ac:dyDescent="0.25">
      <c r="A3474" s="36">
        <v>30710900430</v>
      </c>
      <c r="B3474" t="s">
        <v>2991</v>
      </c>
      <c r="C3474" s="35" t="s">
        <v>3069</v>
      </c>
    </row>
    <row r="3475" spans="1:3" x14ac:dyDescent="0.25">
      <c r="A3475" s="36">
        <v>30711966400</v>
      </c>
      <c r="B3475" t="s">
        <v>2992</v>
      </c>
      <c r="C3475" s="35" t="s">
        <v>79</v>
      </c>
    </row>
    <row r="3476" spans="1:3" x14ac:dyDescent="0.25">
      <c r="A3476" s="36">
        <v>23221086309</v>
      </c>
      <c r="B3476" t="s">
        <v>3008</v>
      </c>
      <c r="C3476" s="35" t="s">
        <v>3069</v>
      </c>
    </row>
    <row r="3477" spans="1:3" x14ac:dyDescent="0.25">
      <c r="A3477" s="36">
        <v>20424968154</v>
      </c>
      <c r="B3477" t="s">
        <v>3009</v>
      </c>
      <c r="C3477" s="35" t="s">
        <v>79</v>
      </c>
    </row>
    <row r="3478" spans="1:3" x14ac:dyDescent="0.25">
      <c r="A3478" s="36">
        <v>27054269973</v>
      </c>
      <c r="B3478" t="s">
        <v>3010</v>
      </c>
      <c r="C3478" s="35" t="s">
        <v>3079</v>
      </c>
    </row>
    <row r="3479" spans="1:3" x14ac:dyDescent="0.25">
      <c r="A3479" s="36">
        <v>20465838060</v>
      </c>
      <c r="B3479" t="s">
        <v>3011</v>
      </c>
      <c r="C3479" s="35" t="s">
        <v>3079</v>
      </c>
    </row>
    <row r="3480" spans="1:3" x14ac:dyDescent="0.25">
      <c r="A3480" s="36">
        <v>27360751436</v>
      </c>
      <c r="B3480" t="s">
        <v>3012</v>
      </c>
      <c r="C3480" s="35" t="s">
        <v>3090</v>
      </c>
    </row>
    <row r="3481" spans="1:3" x14ac:dyDescent="0.25">
      <c r="A3481" s="36">
        <v>20388318024</v>
      </c>
      <c r="B3481" t="s">
        <v>3013</v>
      </c>
      <c r="C3481" s="35" t="s">
        <v>79</v>
      </c>
    </row>
    <row r="3482" spans="1:3" x14ac:dyDescent="0.25">
      <c r="A3482" s="36">
        <v>30712548319</v>
      </c>
      <c r="B3482" t="s">
        <v>3028</v>
      </c>
      <c r="C3482" s="35" t="s">
        <v>3088</v>
      </c>
    </row>
    <row r="3483" spans="1:3" x14ac:dyDescent="0.25">
      <c r="A3483" s="36">
        <v>30708311703</v>
      </c>
      <c r="B3483" t="s">
        <v>3029</v>
      </c>
      <c r="C3483" s="35" t="s">
        <v>2651</v>
      </c>
    </row>
    <row r="3484" spans="1:3" x14ac:dyDescent="0.25">
      <c r="A3484" s="36">
        <v>27106496787</v>
      </c>
      <c r="B3484" t="s">
        <v>3030</v>
      </c>
      <c r="C3484" s="35" t="s">
        <v>3069</v>
      </c>
    </row>
    <row r="3485" spans="1:3" x14ac:dyDescent="0.25">
      <c r="A3485" s="36">
        <v>30715827707</v>
      </c>
      <c r="B3485" t="s">
        <v>3031</v>
      </c>
      <c r="C3485" s="35" t="s">
        <v>79</v>
      </c>
    </row>
    <row r="3486" spans="1:3" x14ac:dyDescent="0.25">
      <c r="A3486" s="36">
        <v>20371707442</v>
      </c>
      <c r="B3486" t="s">
        <v>3032</v>
      </c>
      <c r="C3486" s="35" t="s">
        <v>2578</v>
      </c>
    </row>
    <row r="3487" spans="1:3" x14ac:dyDescent="0.25">
      <c r="A3487" s="36">
        <v>27100794247</v>
      </c>
      <c r="B3487" t="s">
        <v>3033</v>
      </c>
      <c r="C3487" s="35" t="s">
        <v>3079</v>
      </c>
    </row>
    <row r="3488" spans="1:3" x14ac:dyDescent="0.25">
      <c r="A3488" s="36">
        <v>20422269550</v>
      </c>
      <c r="B3488" t="s">
        <v>3034</v>
      </c>
      <c r="C3488" s="35" t="s">
        <v>79</v>
      </c>
    </row>
    <row r="3489" spans="1:3" x14ac:dyDescent="0.25">
      <c r="A3489" s="36">
        <v>30716833530</v>
      </c>
      <c r="B3489" t="s">
        <v>3035</v>
      </c>
      <c r="C3489" s="35" t="s">
        <v>2651</v>
      </c>
    </row>
    <row r="3490" spans="1:3" x14ac:dyDescent="0.25">
      <c r="A3490" s="36">
        <v>24109521716</v>
      </c>
      <c r="B3490" t="s">
        <v>3036</v>
      </c>
      <c r="C3490" s="35" t="s">
        <v>79</v>
      </c>
    </row>
    <row r="3491" spans="1:3" x14ac:dyDescent="0.25">
      <c r="A3491" s="36">
        <v>20274099012</v>
      </c>
      <c r="B3491" t="s">
        <v>3037</v>
      </c>
      <c r="C3491" s="35" t="s">
        <v>2651</v>
      </c>
    </row>
    <row r="3492" spans="1:3" x14ac:dyDescent="0.25">
      <c r="A3492" s="36">
        <v>30707437851</v>
      </c>
      <c r="B3492" t="s">
        <v>3038</v>
      </c>
      <c r="C3492" s="35" t="s">
        <v>3080</v>
      </c>
    </row>
    <row r="3493" spans="1:3" x14ac:dyDescent="0.25">
      <c r="A3493" s="36">
        <v>20295230186</v>
      </c>
      <c r="B3493" t="s">
        <v>3039</v>
      </c>
      <c r="C3493" s="35" t="s">
        <v>79</v>
      </c>
    </row>
    <row r="3494" spans="1:3" x14ac:dyDescent="0.25">
      <c r="A3494" s="36">
        <v>27259141635</v>
      </c>
      <c r="B3494" t="s">
        <v>3040</v>
      </c>
      <c r="C3494" s="35" t="s">
        <v>2651</v>
      </c>
    </row>
    <row r="3495" spans="1:3" x14ac:dyDescent="0.25">
      <c r="A3495" s="36">
        <v>30718407857</v>
      </c>
      <c r="B3495" t="s">
        <v>3041</v>
      </c>
      <c r="C3495" s="35" t="s">
        <v>3064</v>
      </c>
    </row>
    <row r="3496" spans="1:3" x14ac:dyDescent="0.25">
      <c r="A3496" s="36">
        <v>30715164376</v>
      </c>
      <c r="B3496" t="s">
        <v>3042</v>
      </c>
      <c r="C3496" s="35" t="s">
        <v>3088</v>
      </c>
    </row>
    <row r="3497" spans="1:3" x14ac:dyDescent="0.25">
      <c r="A3497" s="36">
        <v>30712132511</v>
      </c>
      <c r="B3497" t="s">
        <v>3043</v>
      </c>
      <c r="C3497" s="35" t="s">
        <v>79</v>
      </c>
    </row>
    <row r="3498" spans="1:3" x14ac:dyDescent="0.25">
      <c r="A3498" s="36">
        <v>20170158955</v>
      </c>
      <c r="B3498" t="s">
        <v>3044</v>
      </c>
      <c r="C3498" s="35" t="s">
        <v>79</v>
      </c>
    </row>
    <row r="3499" spans="1:3" x14ac:dyDescent="0.25">
      <c r="A3499" s="36">
        <v>30638687115</v>
      </c>
      <c r="B3499" t="s">
        <v>3045</v>
      </c>
      <c r="C3499" s="35" t="s">
        <v>79</v>
      </c>
    </row>
    <row r="3500" spans="1:3" x14ac:dyDescent="0.25">
      <c r="A3500" s="36">
        <v>20323260029</v>
      </c>
      <c r="B3500" t="s">
        <v>3046</v>
      </c>
      <c r="C3500" s="35" t="s">
        <v>3089</v>
      </c>
    </row>
    <row r="3501" spans="1:3" x14ac:dyDescent="0.25">
      <c r="A3501" s="36">
        <v>30711526419</v>
      </c>
      <c r="B3501" t="s">
        <v>3047</v>
      </c>
      <c r="C3501" s="35" t="s">
        <v>2651</v>
      </c>
    </row>
    <row r="3502" spans="1:3" x14ac:dyDescent="0.25">
      <c r="A3502" s="36">
        <v>30697790574</v>
      </c>
      <c r="B3502" t="s">
        <v>3048</v>
      </c>
      <c r="C3502" s="35" t="s">
        <v>1753</v>
      </c>
    </row>
    <row r="3503" spans="1:3" x14ac:dyDescent="0.25">
      <c r="A3503" s="36">
        <v>20183328094</v>
      </c>
      <c r="B3503" t="s">
        <v>3049</v>
      </c>
      <c r="C3503" s="35" t="s">
        <v>3064</v>
      </c>
    </row>
    <row r="3504" spans="1:3" x14ac:dyDescent="0.25">
      <c r="A3504" s="36">
        <v>30581214053</v>
      </c>
      <c r="B3504" t="s">
        <v>3050</v>
      </c>
      <c r="C3504" s="35" t="s">
        <v>76</v>
      </c>
    </row>
    <row r="3505" spans="1:3" x14ac:dyDescent="0.25">
      <c r="A3505" s="36">
        <v>30707975020</v>
      </c>
      <c r="B3505" t="s">
        <v>3051</v>
      </c>
      <c r="C3505" s="35" t="s">
        <v>2651</v>
      </c>
    </row>
    <row r="3506" spans="1:3" x14ac:dyDescent="0.25">
      <c r="A3506" s="36">
        <v>30707639896</v>
      </c>
      <c r="B3506" t="s">
        <v>3052</v>
      </c>
      <c r="C3506" s="35" t="s">
        <v>2651</v>
      </c>
    </row>
    <row r="3507" spans="1:3" x14ac:dyDescent="0.25">
      <c r="A3507" s="36">
        <v>27332062498</v>
      </c>
      <c r="B3507" t="s">
        <v>3081</v>
      </c>
      <c r="C3507" s="35" t="s">
        <v>3079</v>
      </c>
    </row>
    <row r="3508" spans="1:3" x14ac:dyDescent="0.25">
      <c r="A3508" s="36">
        <v>23386637199</v>
      </c>
      <c r="B3508" t="s">
        <v>3082</v>
      </c>
      <c r="C3508" s="35" t="s">
        <v>79</v>
      </c>
    </row>
    <row r="3509" spans="1:3" x14ac:dyDescent="0.25">
      <c r="A3509" s="36">
        <v>20927548322</v>
      </c>
      <c r="B3509" t="s">
        <v>3083</v>
      </c>
      <c r="C3509" s="35" t="s">
        <v>79</v>
      </c>
    </row>
    <row r="3510" spans="1:3" x14ac:dyDescent="0.25">
      <c r="A3510" s="36">
        <v>20126445432</v>
      </c>
      <c r="B3510" t="s">
        <v>3084</v>
      </c>
      <c r="C3510" s="35" t="s">
        <v>2651</v>
      </c>
    </row>
    <row r="3511" spans="1:3" x14ac:dyDescent="0.25">
      <c r="A3511" s="36">
        <v>23430663399</v>
      </c>
      <c r="B3511" t="s">
        <v>3091</v>
      </c>
      <c r="C3511" s="35" t="s">
        <v>3089</v>
      </c>
    </row>
    <row r="3512" spans="1:3" x14ac:dyDescent="0.25">
      <c r="A3512" s="36">
        <v>27303374243</v>
      </c>
      <c r="B3512" t="s">
        <v>3092</v>
      </c>
      <c r="C3512" s="35" t="s">
        <v>3086</v>
      </c>
    </row>
    <row r="3513" spans="1:3" x14ac:dyDescent="0.25">
      <c r="A3513" s="36">
        <v>27343113914</v>
      </c>
      <c r="B3513" t="s">
        <v>3093</v>
      </c>
      <c r="C3513" s="35" t="s">
        <v>3085</v>
      </c>
    </row>
    <row r="3514" spans="1:3" x14ac:dyDescent="0.25">
      <c r="A3514" s="36">
        <v>30715103946</v>
      </c>
      <c r="B3514" t="s">
        <v>3094</v>
      </c>
      <c r="C3514" s="35" t="s">
        <v>3064</v>
      </c>
    </row>
    <row r="3515" spans="1:3" x14ac:dyDescent="0.25">
      <c r="A3515" s="36">
        <v>20283841503</v>
      </c>
      <c r="B3515" t="s">
        <v>3095</v>
      </c>
      <c r="C3515" s="35" t="s">
        <v>1753</v>
      </c>
    </row>
    <row r="3516" spans="1:3" x14ac:dyDescent="0.25">
      <c r="A3516" s="36">
        <v>30716221039</v>
      </c>
      <c r="B3516" t="s">
        <v>3096</v>
      </c>
      <c r="C3516" s="35" t="s">
        <v>3087</v>
      </c>
    </row>
    <row r="3517" spans="1:3" x14ac:dyDescent="0.25">
      <c r="A3517" s="36">
        <v>30718553519</v>
      </c>
      <c r="B3517" t="s">
        <v>3097</v>
      </c>
      <c r="C3517" s="35" t="s">
        <v>2573</v>
      </c>
    </row>
    <row r="3518" spans="1:3" x14ac:dyDescent="0.25">
      <c r="A3518" s="36">
        <v>20935406979</v>
      </c>
      <c r="B3518" t="s">
        <v>3098</v>
      </c>
      <c r="C3518" s="35" t="s">
        <v>3069</v>
      </c>
    </row>
    <row r="3519" spans="1:3" x14ac:dyDescent="0.25">
      <c r="A3519" s="36">
        <v>20463552267</v>
      </c>
      <c r="B3519" t="s">
        <v>3099</v>
      </c>
      <c r="C3519" s="35" t="s">
        <v>79</v>
      </c>
    </row>
    <row r="3520" spans="1:3" x14ac:dyDescent="0.25">
      <c r="A3520" s="36">
        <v>20160903288</v>
      </c>
      <c r="B3520" t="s">
        <v>3100</v>
      </c>
      <c r="C3520" s="35" t="s">
        <v>79</v>
      </c>
    </row>
    <row r="3521" spans="1:3" x14ac:dyDescent="0.25">
      <c r="A3521" s="36">
        <v>27379693364</v>
      </c>
      <c r="B3521" t="s">
        <v>3101</v>
      </c>
      <c r="C3521" s="35" t="s">
        <v>1753</v>
      </c>
    </row>
    <row r="3522" spans="1:3" x14ac:dyDescent="0.25">
      <c r="A3522" s="36"/>
    </row>
    <row r="3523" spans="1:3" x14ac:dyDescent="0.25">
      <c r="A3523" s="36"/>
    </row>
    <row r="3524" spans="1:3" x14ac:dyDescent="0.25">
      <c r="A3524" s="36"/>
    </row>
    <row r="3525" spans="1:3" x14ac:dyDescent="0.25">
      <c r="A3525" s="36"/>
    </row>
    <row r="3526" spans="1:3" x14ac:dyDescent="0.25">
      <c r="A3526" s="36"/>
    </row>
    <row r="3527" spans="1:3" x14ac:dyDescent="0.25">
      <c r="A3527" s="36"/>
    </row>
    <row r="3528" spans="1:3" x14ac:dyDescent="0.25">
      <c r="A3528" s="36"/>
    </row>
    <row r="3529" spans="1:3" x14ac:dyDescent="0.25">
      <c r="A3529" s="36"/>
    </row>
    <row r="3530" spans="1:3" x14ac:dyDescent="0.25">
      <c r="A3530" s="36"/>
    </row>
    <row r="3531" spans="1:3" x14ac:dyDescent="0.25">
      <c r="A3531" s="36"/>
    </row>
  </sheetData>
  <dataValidations count="1">
    <dataValidation type="whole" allowBlank="1" showInputMessage="1" showErrorMessage="1" sqref="A95 A2991 A3100:A3106" xr:uid="{00000000-0002-0000-0000-000000000000}">
      <formula1>20000000000</formula1>
      <formula2>33999999999</formula2>
    </dataValidation>
  </dataValidations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9" tint="-0.249977111117893"/>
    <pageSetUpPr fitToPage="1"/>
  </sheetPr>
  <dimension ref="A1:Z218"/>
  <sheetViews>
    <sheetView showGridLines="0" zoomScale="80" zoomScaleNormal="80" workbookViewId="0">
      <selection activeCell="T10" sqref="T10"/>
    </sheetView>
  </sheetViews>
  <sheetFormatPr baseColWidth="10" defaultColWidth="15.7109375" defaultRowHeight="15" x14ac:dyDescent="0.25"/>
  <cols>
    <col min="1" max="1" width="12.7109375" customWidth="1"/>
    <col min="2" max="2" width="10.28515625" customWidth="1"/>
    <col min="3" max="3" width="7.28515625" customWidth="1"/>
    <col min="4" max="4" width="9.42578125" customWidth="1"/>
    <col min="5" max="5" width="12.42578125" customWidth="1"/>
    <col min="6" max="18" width="15.7109375" customWidth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95" t="s">
        <v>119</v>
      </c>
      <c r="H1" s="595"/>
      <c r="I1" s="595"/>
      <c r="J1" s="595"/>
      <c r="K1" s="595"/>
      <c r="L1" s="595"/>
      <c r="M1" s="595"/>
      <c r="N1" s="584">
        <v>45658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SUM(compras_mes1[[#Totals],[NETO GRAVADO]])+extracto_banco_mes1[[#Totals],[NETO]]</f>
        <v>44381076.689374998</v>
      </c>
      <c r="C4" s="589"/>
      <c r="D4" s="589"/>
      <c r="E4" s="589"/>
      <c r="F4" s="39"/>
      <c r="G4" s="590">
        <f>compras_mes1[[#Totals],[IVA 21 %]]+compras_mes1[[#Totals],[IVA 27%]]+compras_mes1[[#Totals],[IVA 10,5%]]+extracto_banco_mes1[[#Totals],[IVA 21%]]+extracto_banco_mes1[[#Totals],[IVA 10,5%]]</f>
        <v>8974257.857218748</v>
      </c>
      <c r="H4" s="590"/>
      <c r="I4" s="39"/>
      <c r="J4" s="591">
        <f>venta_a_mes1[[#Totals],[IMPORTE NETO]]+ventas_b_mes1[[#Totals],[IMPORTE NETO]]</f>
        <v>0</v>
      </c>
      <c r="K4" s="591"/>
      <c r="L4" s="39"/>
      <c r="M4" s="591">
        <f>venta_a_mes1[[#Totals],[IVA 21%]]+venta_a_mes1[[#Totals],[IVA 10,5%]]+ventas_b_mes1[[#Totals],[IVA 21%]]+ventas_b_mes1[[#Totals],[IVA 10,5%]]</f>
        <v>0</v>
      </c>
      <c r="N4" s="591"/>
      <c r="O4" s="39"/>
      <c r="P4" s="579">
        <f>G4-M4</f>
        <v>8974257.857218748</v>
      </c>
      <c r="Q4" s="580"/>
      <c r="R4" s="580"/>
    </row>
    <row r="5" spans="1:26" ht="13.15" customHeight="1" x14ac:dyDescent="0.25"/>
    <row r="6" spans="1:26" x14ac:dyDescent="0.25">
      <c r="G6" s="438" t="s">
        <v>2343</v>
      </c>
      <c r="H6" t="s">
        <v>2344</v>
      </c>
      <c r="I6" s="449" t="s">
        <v>2345</v>
      </c>
    </row>
    <row r="7" spans="1:26" s="2" customFormat="1" x14ac:dyDescent="0.25">
      <c r="B7" s="40"/>
      <c r="C7" s="41"/>
      <c r="D7" s="42"/>
      <c r="E7" s="43"/>
      <c r="F7" s="44"/>
      <c r="G7" s="45"/>
      <c r="H7" s="48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2" t="s">
        <v>2336</v>
      </c>
      <c r="C9" s="403">
        <v>1</v>
      </c>
      <c r="D9" s="285">
        <v>4</v>
      </c>
      <c r="E9" s="286">
        <v>370</v>
      </c>
      <c r="F9" s="287">
        <v>20104345221</v>
      </c>
      <c r="G9" s="404" t="str">
        <f>IFERROR(IF(compras_mes1[[#This Row],[CUIT]]="","-",VLOOKUP(compras_mes1[[#This Row],[CUIT]],Lista_CUIT[#All],2,0)),"CUIT NO CARGADO")</f>
        <v>ARAYA SERGIO ALEJANDRO</v>
      </c>
      <c r="H9" s="405">
        <v>3057.86</v>
      </c>
      <c r="I9" s="406">
        <f>IF(compras_mes1[[#This Row],[NETO GRAVADO]]="","",compras_mes1[[#This Row],[NETO GRAVADO]]*0.21)</f>
        <v>642.15060000000005</v>
      </c>
      <c r="J9" s="406"/>
      <c r="K9" s="406"/>
      <c r="L9" s="406"/>
      <c r="M9" s="406"/>
      <c r="N9" s="406"/>
      <c r="O9" s="406"/>
      <c r="P9" s="407">
        <f>SUM(compras_mes1[[#This Row],[NETO GRAVADO]:[Otros / No Grav.]])</f>
        <v>3700.0106000000001</v>
      </c>
      <c r="Q9" s="408" t="str">
        <f>IFERROR(IF(compras_mes1[[#This Row],[CUIT]]="","-",VLOOKUP(compras_mes1[[#This Row],[CUIT]],Lista_CUIT[#All],3,0)),"CUIT NO CARGADO")</f>
        <v>LIBRERÍA</v>
      </c>
      <c r="R9" s="408">
        <f>IFERROR(IF(compras_mes1[[#This Row],[CUIT]]="","-",VLOOKUP(compras_mes1[[#This Row],[CUIT]],Lista_CUIT[#All],4,0)),"CUIT NO CARGADO")</f>
        <v>0</v>
      </c>
    </row>
    <row r="10" spans="1:26" ht="14.45" customHeight="1" x14ac:dyDescent="0.25">
      <c r="B10" s="402" t="s">
        <v>2323</v>
      </c>
      <c r="C10" s="403">
        <v>1</v>
      </c>
      <c r="D10" s="285">
        <v>4</v>
      </c>
      <c r="E10" s="286">
        <v>371</v>
      </c>
      <c r="F10" s="287">
        <v>20104345221</v>
      </c>
      <c r="G10" s="404" t="str">
        <f>IFERROR(IF(compras_mes1[[#This Row],[CUIT]]="","-",VLOOKUP(compras_mes1[[#This Row],[CUIT]],Lista_CUIT[#All],2,0)),"CUIT NO CARGADO")</f>
        <v>ARAYA SERGIO ALEJANDRO</v>
      </c>
      <c r="H10" s="405">
        <v>11818.19</v>
      </c>
      <c r="I10" s="406">
        <f>IF(compras_mes1[[#This Row],[NETO GRAVADO]]="","",compras_mes1[[#This Row],[NETO GRAVADO]]*0.21)</f>
        <v>2481.8199</v>
      </c>
      <c r="J10" s="406"/>
      <c r="K10" s="406"/>
      <c r="L10" s="406"/>
      <c r="M10" s="406"/>
      <c r="N10" s="406"/>
      <c r="O10" s="406"/>
      <c r="P10" s="407">
        <f>SUM(compras_mes1[[#This Row],[NETO GRAVADO]:[Otros / No Grav.]])</f>
        <v>14300.009900000001</v>
      </c>
      <c r="Q10" s="408" t="str">
        <f>IFERROR(IF(compras_mes1[[#This Row],[CUIT]]="","-",VLOOKUP(compras_mes1[[#This Row],[CUIT]],Lista_CUIT[#All],3,0)),"CUIT NO CARGADO")</f>
        <v>LIBRERÍA</v>
      </c>
      <c r="R10" s="408">
        <f>IFERROR(IF(compras_mes1[[#This Row],[CUIT]]="","-",VLOOKUP(compras_mes1[[#This Row],[CUIT]],Lista_CUIT[#All],4,0)),"CUIT NO CARGADO")</f>
        <v>0</v>
      </c>
    </row>
    <row r="11" spans="1:26" ht="14.45" customHeight="1" x14ac:dyDescent="0.25">
      <c r="B11" s="402" t="s">
        <v>2321</v>
      </c>
      <c r="C11" s="403">
        <v>1</v>
      </c>
      <c r="D11" s="285">
        <v>50</v>
      </c>
      <c r="E11" s="286">
        <v>4053001</v>
      </c>
      <c r="F11" s="287">
        <v>30714112836</v>
      </c>
      <c r="G11" s="404" t="str">
        <f>IFERROR(IF(compras_mes1[[#This Row],[CUIT]]="","-",VLOOKUP(compras_mes1[[#This Row],[CUIT]],Lista_CUIT[#All],2,0)),"CUIT NO CARGADO")</f>
        <v>AUTOPISTAS DE BS AS</v>
      </c>
      <c r="H11" s="405">
        <v>35577.879999999997</v>
      </c>
      <c r="I11" s="406">
        <f>IF(compras_mes1[[#This Row],[NETO GRAVADO]]="","",compras_mes1[[#This Row],[NETO GRAVADO]]*0.21)</f>
        <v>7471.3547999999992</v>
      </c>
      <c r="J11" s="406"/>
      <c r="K11" s="406"/>
      <c r="L11" s="406">
        <v>1067.3399999999999</v>
      </c>
      <c r="M11" s="406"/>
      <c r="N11" s="406"/>
      <c r="O11" s="406"/>
      <c r="P11" s="407">
        <f>SUM(compras_mes1[[#This Row],[NETO GRAVADO]:[Otros / No Grav.]])</f>
        <v>44116.574799999995</v>
      </c>
      <c r="Q11" s="408" t="str">
        <f>IFERROR(IF(compras_mes1[[#This Row],[CUIT]]="","-",VLOOKUP(compras_mes1[[#This Row],[CUIT]],Lista_CUIT[#All],3,0)),"CUIT NO CARGADO")</f>
        <v>Peajes</v>
      </c>
      <c r="R11" s="408">
        <f>IFERROR(IF(compras_mes1[[#This Row],[CUIT]]="","-",VLOOKUP(compras_mes1[[#This Row],[CUIT]],Lista_CUIT[#All],4,0)),"CUIT NO CARGADO")</f>
        <v>0</v>
      </c>
    </row>
    <row r="12" spans="1:26" ht="15" customHeight="1" x14ac:dyDescent="0.25">
      <c r="B12" s="40" t="s">
        <v>2340</v>
      </c>
      <c r="C12" s="403">
        <v>1</v>
      </c>
      <c r="D12" s="42">
        <v>50</v>
      </c>
      <c r="E12" s="43">
        <v>4093332</v>
      </c>
      <c r="F12" s="44">
        <v>30714112836</v>
      </c>
      <c r="G12" s="45" t="str">
        <f>IFERROR(IF(compras_mes1[[#This Row],[CUIT]]="","-",VLOOKUP(compras_mes1[[#This Row],[CUIT]],Lista_CUIT[#All],2,0)),"CUIT NO CARGADO")</f>
        <v>AUTOPISTAS DE BS AS</v>
      </c>
      <c r="H12" s="46">
        <v>42783.56</v>
      </c>
      <c r="I12" s="406">
        <f>IF(compras_mes1[[#This Row],[NETO GRAVADO]]="","",compras_mes1[[#This Row],[NETO GRAVADO]]*0.21)</f>
        <v>8984.5475999999999</v>
      </c>
      <c r="J12" s="85"/>
      <c r="K12" s="85"/>
      <c r="L12" s="85">
        <v>1283.51</v>
      </c>
      <c r="M12" s="85"/>
      <c r="N12" s="85"/>
      <c r="O12" s="85"/>
      <c r="P12" s="48">
        <f>SUM(compras_mes1[[#This Row],[NETO GRAVADO]:[Otros / No Grav.]])</f>
        <v>53051.617599999998</v>
      </c>
      <c r="Q12" s="49" t="str">
        <f>IFERROR(IF(compras_mes1[[#This Row],[CUIT]]="","-",VLOOKUP(compras_mes1[[#This Row],[CUIT]],Lista_CUIT[#All],3,0)),"CUIT NO CARGADO")</f>
        <v>Peajes</v>
      </c>
      <c r="R12" s="49">
        <f>IFERROR(IF(compras_mes1[[#This Row],[CUIT]]="","-",VLOOKUP(compras_mes1[[#This Row],[CUIT]],Lista_CUIT[#All],4,0)),"CUIT NO CARGADO")</f>
        <v>0</v>
      </c>
    </row>
    <row r="13" spans="1:26" ht="15" customHeight="1" x14ac:dyDescent="0.25">
      <c r="B13" s="402" t="s">
        <v>2326</v>
      </c>
      <c r="C13" s="403">
        <v>1</v>
      </c>
      <c r="D13" s="285">
        <v>711</v>
      </c>
      <c r="E13" s="286">
        <v>6582749</v>
      </c>
      <c r="F13" s="287">
        <v>30677237119</v>
      </c>
      <c r="G13" s="404" t="str">
        <f>IFERROR(IF(compras_mes1[[#This Row],[CUIT]]="","-",VLOOKUP(compras_mes1[[#This Row],[CUIT]],Lista_CUIT[#All],2,0)),"CUIT NO CARGADO")</f>
        <v>AUTOPISTAS DEL SOL S A</v>
      </c>
      <c r="H13" s="405">
        <v>13461.93</v>
      </c>
      <c r="I13" s="406">
        <f>IF(compras_mes1[[#This Row],[NETO GRAVADO]]="","",compras_mes1[[#This Row],[NETO GRAVADO]]*0.21)</f>
        <v>2827.0052999999998</v>
      </c>
      <c r="J13" s="406"/>
      <c r="K13" s="406"/>
      <c r="L13" s="406">
        <v>403.86</v>
      </c>
      <c r="M13" s="406"/>
      <c r="N13" s="406"/>
      <c r="O13" s="406">
        <v>403.86</v>
      </c>
      <c r="P13" s="407">
        <f>SUM(compras_mes1[[#This Row],[NETO GRAVADO]:[Otros / No Grav.]])</f>
        <v>17096.655300000002</v>
      </c>
      <c r="Q13" s="408" t="str">
        <f>IFERROR(IF(compras_mes1[[#This Row],[CUIT]]="","-",VLOOKUP(compras_mes1[[#This Row],[CUIT]],Lista_CUIT[#All],3,0)),"CUIT NO CARGADO")</f>
        <v>Peajes</v>
      </c>
      <c r="R13" s="408">
        <f>IFERROR(IF(compras_mes1[[#This Row],[CUIT]]="","-",VLOOKUP(compras_mes1[[#This Row],[CUIT]],Lista_CUIT[#All],4,0)),"CUIT NO CARGADO")</f>
        <v>0</v>
      </c>
    </row>
    <row r="14" spans="1:26" ht="15" customHeight="1" x14ac:dyDescent="0.25">
      <c r="B14" s="402" t="s">
        <v>2321</v>
      </c>
      <c r="C14" s="403">
        <v>1</v>
      </c>
      <c r="D14" s="285">
        <v>711</v>
      </c>
      <c r="E14" s="286">
        <v>6641317</v>
      </c>
      <c r="F14" s="287">
        <v>30677237119</v>
      </c>
      <c r="G14" s="404" t="str">
        <f>IFERROR(IF(compras_mes1[[#This Row],[CUIT]]="","-",VLOOKUP(compras_mes1[[#This Row],[CUIT]],Lista_CUIT[#All],2,0)),"CUIT NO CARGADO")</f>
        <v>AUTOPISTAS DEL SOL S A</v>
      </c>
      <c r="H14" s="405">
        <v>13924.07</v>
      </c>
      <c r="I14" s="406">
        <f>IF(compras_mes1[[#This Row],[NETO GRAVADO]]="","",compras_mes1[[#This Row],[NETO GRAVADO]]*0.21)</f>
        <v>2924.0546999999997</v>
      </c>
      <c r="J14" s="406"/>
      <c r="K14" s="406"/>
      <c r="L14" s="406">
        <v>417.72</v>
      </c>
      <c r="M14" s="406"/>
      <c r="N14" s="406"/>
      <c r="O14" s="406">
        <v>417.72</v>
      </c>
      <c r="P14" s="407">
        <f>SUM(compras_mes1[[#This Row],[NETO GRAVADO]:[Otros / No Grav.]])</f>
        <v>17683.564700000003</v>
      </c>
      <c r="Q14" s="408" t="str">
        <f>IFERROR(IF(compras_mes1[[#This Row],[CUIT]]="","-",VLOOKUP(compras_mes1[[#This Row],[CUIT]],Lista_CUIT[#All],3,0)),"CUIT NO CARGADO")</f>
        <v>Peajes</v>
      </c>
      <c r="R14" s="408">
        <f>IFERROR(IF(compras_mes1[[#This Row],[CUIT]]="","-",VLOOKUP(compras_mes1[[#This Row],[CUIT]],Lista_CUIT[#All],4,0)),"CUIT NO CARGADO")</f>
        <v>0</v>
      </c>
    </row>
    <row r="15" spans="1:26" ht="15" customHeight="1" x14ac:dyDescent="0.25">
      <c r="B15" s="40" t="s">
        <v>2329</v>
      </c>
      <c r="C15" s="403">
        <v>1</v>
      </c>
      <c r="D15" s="42">
        <v>5015</v>
      </c>
      <c r="E15" s="43">
        <v>711560</v>
      </c>
      <c r="F15" s="44">
        <v>30574876474</v>
      </c>
      <c r="G15" s="45" t="str">
        <f>IFERROR(IF(compras_mes1[[#This Row],[CUIT]]="","-",VLOOKUP(compras_mes1[[#This Row],[CUIT]],Lista_CUIT[#All],2,0)),"CUIT NO CARGADO")</f>
        <v>AUTOPISTAS URBANAS S A</v>
      </c>
      <c r="H15" s="46">
        <v>86388.04</v>
      </c>
      <c r="I15" s="406">
        <f>IF(compras_mes1[[#This Row],[NETO GRAVADO]]="","",compras_mes1[[#This Row],[NETO GRAVADO]]*0.21)</f>
        <v>18141.488399999998</v>
      </c>
      <c r="J15" s="85"/>
      <c r="K15" s="85"/>
      <c r="L15" s="85"/>
      <c r="M15" s="85"/>
      <c r="N15" s="85"/>
      <c r="O15" s="85">
        <v>11230.43</v>
      </c>
      <c r="P15" s="48">
        <f>SUM(compras_mes1[[#This Row],[NETO GRAVADO]:[Otros / No Grav.]])</f>
        <v>115759.9584</v>
      </c>
      <c r="Q15" s="49" t="str">
        <f>IFERROR(IF(compras_mes1[[#This Row],[CUIT]]="","-",VLOOKUP(compras_mes1[[#This Row],[CUIT]],Lista_CUIT[#All],3,0)),"CUIT NO CARGADO")</f>
        <v>Peajes</v>
      </c>
      <c r="R15" s="49">
        <f>IFERROR(IF(compras_mes1[[#This Row],[CUIT]]="","-",VLOOKUP(compras_mes1[[#This Row],[CUIT]],Lista_CUIT[#All],4,0)),"CUIT NO CARGADO")</f>
        <v>0</v>
      </c>
    </row>
    <row r="16" spans="1:26" ht="15" customHeight="1" x14ac:dyDescent="0.25">
      <c r="B16" s="402" t="s">
        <v>2320</v>
      </c>
      <c r="C16" s="403">
        <v>1</v>
      </c>
      <c r="D16" s="285">
        <v>5015</v>
      </c>
      <c r="E16" s="286">
        <v>714530</v>
      </c>
      <c r="F16" s="287">
        <v>30574876474</v>
      </c>
      <c r="G16" s="404" t="str">
        <f>IFERROR(IF(compras_mes1[[#This Row],[CUIT]]="","-",VLOOKUP(compras_mes1[[#This Row],[CUIT]],Lista_CUIT[#All],2,0)),"CUIT NO CARGADO")</f>
        <v>AUTOPISTAS URBANAS S A</v>
      </c>
      <c r="H16" s="405">
        <v>70476.38</v>
      </c>
      <c r="I16" s="406">
        <f>IF(compras_mes1[[#This Row],[NETO GRAVADO]]="","",compras_mes1[[#This Row],[NETO GRAVADO]]*0.21)</f>
        <v>14800.0398</v>
      </c>
      <c r="J16" s="406"/>
      <c r="K16" s="406"/>
      <c r="L16" s="406"/>
      <c r="M16" s="406"/>
      <c r="N16" s="406"/>
      <c r="O16" s="406">
        <v>9161.91</v>
      </c>
      <c r="P16" s="407">
        <f>SUM(compras_mes1[[#This Row],[NETO GRAVADO]:[Otros / No Grav.]])</f>
        <v>94438.329800000007</v>
      </c>
      <c r="Q16" s="408" t="str">
        <f>IFERROR(IF(compras_mes1[[#This Row],[CUIT]]="","-",VLOOKUP(compras_mes1[[#This Row],[CUIT]],Lista_CUIT[#All],3,0)),"CUIT NO CARGADO")</f>
        <v>Peajes</v>
      </c>
      <c r="R16" s="408">
        <f>IFERROR(IF(compras_mes1[[#This Row],[CUIT]]="","-",VLOOKUP(compras_mes1[[#This Row],[CUIT]],Lista_CUIT[#All],4,0)),"CUIT NO CARGADO")</f>
        <v>0</v>
      </c>
    </row>
    <row r="17" spans="2:18" x14ac:dyDescent="0.25">
      <c r="B17" s="402" t="s">
        <v>2323</v>
      </c>
      <c r="C17" s="403">
        <v>1</v>
      </c>
      <c r="D17" s="285">
        <v>5015</v>
      </c>
      <c r="E17" s="286">
        <v>727543</v>
      </c>
      <c r="F17" s="287">
        <v>30574876474</v>
      </c>
      <c r="G17" s="404" t="str">
        <f>IFERROR(IF(compras_mes1[[#This Row],[CUIT]]="","-",VLOOKUP(compras_mes1[[#This Row],[CUIT]],Lista_CUIT[#All],2,0)),"CUIT NO CARGADO")</f>
        <v>AUTOPISTAS URBANAS S A</v>
      </c>
      <c r="H17" s="405">
        <v>64396.7</v>
      </c>
      <c r="I17" s="406">
        <f>IF(compras_mes1[[#This Row],[NETO GRAVADO]]="","",compras_mes1[[#This Row],[NETO GRAVADO]]*0.21)</f>
        <v>13523.306999999999</v>
      </c>
      <c r="J17" s="406"/>
      <c r="K17" s="406"/>
      <c r="L17" s="406"/>
      <c r="M17" s="406"/>
      <c r="N17" s="406"/>
      <c r="O17" s="406">
        <v>8371.5499999999993</v>
      </c>
      <c r="P17" s="407">
        <f>SUM(compras_mes1[[#This Row],[NETO GRAVADO]:[Otros / No Grav.]])</f>
        <v>86291.557000000001</v>
      </c>
      <c r="Q17" s="408" t="str">
        <f>IFERROR(IF(compras_mes1[[#This Row],[CUIT]]="","-",VLOOKUP(compras_mes1[[#This Row],[CUIT]],Lista_CUIT[#All],3,0)),"CUIT NO CARGADO")</f>
        <v>Peajes</v>
      </c>
      <c r="R17" s="408">
        <f>IFERROR(IF(compras_mes1[[#This Row],[CUIT]]="","-",VLOOKUP(compras_mes1[[#This Row],[CUIT]],Lista_CUIT[#All],4,0)),"CUIT NO CARGADO")</f>
        <v>0</v>
      </c>
    </row>
    <row r="18" spans="2:18" x14ac:dyDescent="0.25">
      <c r="B18" s="402" t="s">
        <v>2340</v>
      </c>
      <c r="C18" s="403">
        <v>1</v>
      </c>
      <c r="D18" s="285">
        <v>5015</v>
      </c>
      <c r="E18" s="286">
        <v>737142</v>
      </c>
      <c r="F18" s="287">
        <v>30574876474</v>
      </c>
      <c r="G18" s="404" t="str">
        <f>IFERROR(IF(compras_mes1[[#This Row],[CUIT]]="","-",VLOOKUP(compras_mes1[[#This Row],[CUIT]],Lista_CUIT[#All],2,0)),"CUIT NO CARGADO")</f>
        <v>AUTOPISTAS URBANAS S A</v>
      </c>
      <c r="H18" s="405">
        <v>76599.56</v>
      </c>
      <c r="I18" s="406">
        <f>IF(compras_mes1[[#This Row],[NETO GRAVADO]]="","",compras_mes1[[#This Row],[NETO GRAVADO]]*0.21)</f>
        <v>16085.907599999999</v>
      </c>
      <c r="J18" s="406"/>
      <c r="K18" s="406"/>
      <c r="L18" s="406"/>
      <c r="M18" s="406"/>
      <c r="N18" s="406"/>
      <c r="O18" s="406">
        <v>9957.9</v>
      </c>
      <c r="P18" s="407">
        <f>SUM(compras_mes1[[#This Row],[NETO GRAVADO]:[Otros / No Grav.]])</f>
        <v>102643.3676</v>
      </c>
      <c r="Q18" s="408" t="str">
        <f>IFERROR(IF(compras_mes1[[#This Row],[CUIT]]="","-",VLOOKUP(compras_mes1[[#This Row],[CUIT]],Lista_CUIT[#All],3,0)),"CUIT NO CARGADO")</f>
        <v>Peajes</v>
      </c>
      <c r="R18" s="408">
        <f>IFERROR(IF(compras_mes1[[#This Row],[CUIT]]="","-",VLOOKUP(compras_mes1[[#This Row],[CUIT]],Lista_CUIT[#All],4,0)),"CUIT NO CARGADO")</f>
        <v>0</v>
      </c>
    </row>
    <row r="19" spans="2:18" x14ac:dyDescent="0.25">
      <c r="B19" s="402" t="s">
        <v>2329</v>
      </c>
      <c r="C19" s="403">
        <v>1</v>
      </c>
      <c r="D19" s="285">
        <v>2</v>
      </c>
      <c r="E19" s="286">
        <v>288</v>
      </c>
      <c r="F19" s="287">
        <v>27309896063</v>
      </c>
      <c r="G19" s="404" t="str">
        <f>IFERROR(IF(compras_mes1[[#This Row],[CUIT]]="","-",VLOOKUP(compras_mes1[[#This Row],[CUIT]],Lista_CUIT[#All],2,0)),"CUIT NO CARGADO")</f>
        <v>BATTELLINI MARIA SOLEDAD</v>
      </c>
      <c r="H19" s="405">
        <v>550000</v>
      </c>
      <c r="I19" s="406">
        <f>IF(compras_mes1[[#This Row],[NETO GRAVADO]]="","",compras_mes1[[#This Row],[NETO GRAVADO]]*0.21)</f>
        <v>115500</v>
      </c>
      <c r="J19" s="406"/>
      <c r="K19" s="406"/>
      <c r="L19" s="406"/>
      <c r="M19" s="406"/>
      <c r="N19" s="406"/>
      <c r="O19" s="406"/>
      <c r="P19" s="407">
        <f>SUM(compras_mes1[[#This Row],[NETO GRAVADO]:[Otros / No Grav.]])</f>
        <v>665500</v>
      </c>
      <c r="Q19" s="408" t="str">
        <f>IFERROR(IF(compras_mes1[[#This Row],[CUIT]]="","-",VLOOKUP(compras_mes1[[#This Row],[CUIT]],Lista_CUIT[#All],3,0)),"CUIT NO CARGADO")</f>
        <v>Alquiler</v>
      </c>
      <c r="R19" s="408">
        <f>IFERROR(IF(compras_mes1[[#This Row],[CUIT]]="","-",VLOOKUP(compras_mes1[[#This Row],[CUIT]],Lista_CUIT[#All],4,0)),"CUIT NO CARGADO")</f>
        <v>0</v>
      </c>
    </row>
    <row r="20" spans="2:18" x14ac:dyDescent="0.25">
      <c r="B20" s="402" t="s">
        <v>2325</v>
      </c>
      <c r="C20" s="403">
        <v>1</v>
      </c>
      <c r="D20" s="285">
        <v>503</v>
      </c>
      <c r="E20" s="286">
        <v>1669262</v>
      </c>
      <c r="F20" s="287">
        <v>30639935872</v>
      </c>
      <c r="G20" s="404" t="str">
        <f>IFERROR(IF(compras_mes1[[#This Row],[CUIT]]="","-",VLOOKUP(compras_mes1[[#This Row],[CUIT]],Lista_CUIT[#All],2,0)),"CUIT NO CARGADO")</f>
        <v>CAMINOS DEL RIO URUGUAY S A DE CONSTRUCCIONES Y CONCESIONES VIALES</v>
      </c>
      <c r="H20" s="405">
        <v>10053.18</v>
      </c>
      <c r="I20" s="406">
        <f>IF(compras_mes1[[#This Row],[NETO GRAVADO]]="","",compras_mes1[[#This Row],[NETO GRAVADO]]*0.21)</f>
        <v>2111.1678000000002</v>
      </c>
      <c r="J20" s="406"/>
      <c r="K20" s="406"/>
      <c r="L20" s="406"/>
      <c r="M20" s="406"/>
      <c r="N20" s="406">
        <v>603.19000000000005</v>
      </c>
      <c r="O20" s="406"/>
      <c r="P20" s="407">
        <f>SUM(compras_mes1[[#This Row],[NETO GRAVADO]:[Otros / No Grav.]])</f>
        <v>12767.5378</v>
      </c>
      <c r="Q20" s="408" t="str">
        <f>IFERROR(IF(compras_mes1[[#This Row],[CUIT]]="","-",VLOOKUP(compras_mes1[[#This Row],[CUIT]],Lista_CUIT[#All],3,0)),"CUIT NO CARGADO")</f>
        <v>Peajes</v>
      </c>
      <c r="R20" s="408">
        <f>IFERROR(IF(compras_mes1[[#This Row],[CUIT]]="","-",VLOOKUP(compras_mes1[[#This Row],[CUIT]],Lista_CUIT[#All],4,0)),"CUIT NO CARGADO")</f>
        <v>0</v>
      </c>
    </row>
    <row r="21" spans="2:18" x14ac:dyDescent="0.25">
      <c r="B21" s="402" t="s">
        <v>2329</v>
      </c>
      <c r="C21" s="403">
        <v>1</v>
      </c>
      <c r="D21" s="285">
        <v>4</v>
      </c>
      <c r="E21" s="286">
        <v>21</v>
      </c>
      <c r="F21" s="287">
        <v>20262815367</v>
      </c>
      <c r="G21" s="404" t="str">
        <f>IFERROR(IF(compras_mes1[[#This Row],[CUIT]]="","-",VLOOKUP(compras_mes1[[#This Row],[CUIT]],Lista_CUIT[#All],2,0)),"CUIT NO CARGADO")</f>
        <v>CARDARELLO BASAVILBASO FEDERICO JORGE</v>
      </c>
      <c r="H21" s="405">
        <v>16198.35</v>
      </c>
      <c r="I21" s="406">
        <f>IF(compras_mes1[[#This Row],[NETO GRAVADO]]="","",compras_mes1[[#This Row],[NETO GRAVADO]]*0.21)</f>
        <v>3401.6534999999999</v>
      </c>
      <c r="J21" s="406"/>
      <c r="K21" s="406"/>
      <c r="L21" s="406"/>
      <c r="M21" s="406"/>
      <c r="N21" s="406"/>
      <c r="O21" s="406"/>
      <c r="P21" s="407">
        <f>SUM(compras_mes1[[#This Row],[NETO GRAVADO]:[Otros / No Grav.]])</f>
        <v>19600.003499999999</v>
      </c>
      <c r="Q21" s="408" t="str">
        <f>IFERROR(IF(compras_mes1[[#This Row],[CUIT]]="","-",VLOOKUP(compras_mes1[[#This Row],[CUIT]],Lista_CUIT[#All],3,0)),"CUIT NO CARGADO")</f>
        <v>Gastos Varios</v>
      </c>
      <c r="R21" s="408">
        <f>IFERROR(IF(compras_mes1[[#This Row],[CUIT]]="","-",VLOOKUP(compras_mes1[[#This Row],[CUIT]],Lista_CUIT[#All],4,0)),"CUIT NO CARGADO")</f>
        <v>0</v>
      </c>
    </row>
    <row r="22" spans="2:18" x14ac:dyDescent="0.25">
      <c r="B22" s="402" t="s">
        <v>2328</v>
      </c>
      <c r="C22" s="403">
        <v>1</v>
      </c>
      <c r="D22" s="285">
        <v>9</v>
      </c>
      <c r="E22" s="286">
        <v>10766</v>
      </c>
      <c r="F22" s="287">
        <v>30709531960</v>
      </c>
      <c r="G22" s="404" t="str">
        <f>IFERROR(IF(compras_mes1[[#This Row],[CUIT]]="","-",VLOOKUP(compras_mes1[[#This Row],[CUIT]],Lista_CUIT[#All],2,0)),"CUIT NO CARGADO")</f>
        <v>CENTRO DE DISTRIBUCION SUR S R L</v>
      </c>
      <c r="H22" s="405">
        <v>29756.6</v>
      </c>
      <c r="I22" s="406">
        <f>IF(compras_mes1[[#This Row],[NETO GRAVADO]]="","",compras_mes1[[#This Row],[NETO GRAVADO]]*0.21)</f>
        <v>6248.8859999999995</v>
      </c>
      <c r="J22" s="406"/>
      <c r="K22" s="406"/>
      <c r="L22" s="406"/>
      <c r="M22" s="406"/>
      <c r="N22" s="406">
        <v>1785.4</v>
      </c>
      <c r="O22" s="406"/>
      <c r="P22" s="407">
        <f>SUM(compras_mes1[[#This Row],[NETO GRAVADO]:[Otros / No Grav.]])</f>
        <v>37790.885999999999</v>
      </c>
      <c r="Q22" s="408" t="str">
        <f>IFERROR(IF(compras_mes1[[#This Row],[CUIT]]="","-",VLOOKUP(compras_mes1[[#This Row],[CUIT]],Lista_CUIT[#All],3,0)),"CUIT NO CARGADO")</f>
        <v>Gastos Limpieza</v>
      </c>
      <c r="R22" s="408">
        <f>IFERROR(IF(compras_mes1[[#This Row],[CUIT]]="","-",VLOOKUP(compras_mes1[[#This Row],[CUIT]],Lista_CUIT[#All],4,0)),"CUIT NO CARGADO")</f>
        <v>0</v>
      </c>
    </row>
    <row r="23" spans="2:18" x14ac:dyDescent="0.25">
      <c r="B23" s="419" t="s">
        <v>2315</v>
      </c>
      <c r="C23" s="420">
        <v>1</v>
      </c>
      <c r="D23" s="421">
        <v>1</v>
      </c>
      <c r="E23" s="422">
        <v>577</v>
      </c>
      <c r="F23" s="423">
        <v>20131206144</v>
      </c>
      <c r="G23" s="424" t="str">
        <f>IFERROR(IF(compras_mes1[[#This Row],[CUIT]]="","-",VLOOKUP(compras_mes1[[#This Row],[CUIT]],Lista_CUIT[#All],2,0)),"CUIT NO CARGADO")</f>
        <v>CHAMORRO MANUEL</v>
      </c>
      <c r="H23" s="425">
        <v>1009489</v>
      </c>
      <c r="I23" s="426">
        <f>IF(compras_mes1[[#This Row],[NETO GRAVADO]]="","",compras_mes1[[#This Row],[NETO GRAVADO]]*0.21)</f>
        <v>211992.69</v>
      </c>
      <c r="J23" s="426"/>
      <c r="K23" s="426"/>
      <c r="L23" s="426"/>
      <c r="M23" s="426"/>
      <c r="N23" s="426"/>
      <c r="O23" s="426"/>
      <c r="P23" s="427">
        <f>SUM(compras_mes1[[#This Row],[NETO GRAVADO]:[Otros / No Grav.]])</f>
        <v>1221481.69</v>
      </c>
      <c r="Q23" s="428" t="str">
        <f>IFERROR(IF(compras_mes1[[#This Row],[CUIT]]="","-",VLOOKUP(compras_mes1[[#This Row],[CUIT]],Lista_CUIT[#All],3,0)),"CUIT NO CARGADO")</f>
        <v>Alquiler</v>
      </c>
      <c r="R23" s="428">
        <f>IFERROR(IF(compras_mes1[[#This Row],[CUIT]]="","-",VLOOKUP(compras_mes1[[#This Row],[CUIT]],Lista_CUIT[#All],4,0)),"CUIT NO CARGADO")</f>
        <v>0</v>
      </c>
    </row>
    <row r="24" spans="2:18" s="56" customFormat="1" x14ac:dyDescent="0.25">
      <c r="B24" s="402" t="s">
        <v>2317</v>
      </c>
      <c r="C24" s="403">
        <v>1</v>
      </c>
      <c r="D24" s="285">
        <v>2</v>
      </c>
      <c r="E24" s="286">
        <v>83308</v>
      </c>
      <c r="F24" s="287">
        <v>30715023497</v>
      </c>
      <c r="G24" s="404" t="str">
        <f>IFERROR(IF(compras_mes1[[#This Row],[CUIT]]="","-",VLOOKUP(compras_mes1[[#This Row],[CUIT]],Lista_CUIT[#All],2,0)),"CUIT NO CARGADO")</f>
        <v>EVER SAFE S.R.L.</v>
      </c>
      <c r="H24" s="405">
        <v>26859.5</v>
      </c>
      <c r="I24" s="406">
        <f>IF(compras_mes1[[#This Row],[NETO GRAVADO]]="","",compras_mes1[[#This Row],[NETO GRAVADO]]*0.21)</f>
        <v>5640.4949999999999</v>
      </c>
      <c r="J24" s="406"/>
      <c r="K24" s="406"/>
      <c r="L24" s="406"/>
      <c r="M24" s="406"/>
      <c r="N24" s="406"/>
      <c r="O24" s="406"/>
      <c r="P24" s="407">
        <f>SUM(compras_mes1[[#This Row],[NETO GRAVADO]:[Otros / No Grav.]])</f>
        <v>32499.994999999999</v>
      </c>
      <c r="Q24" s="408" t="str">
        <f>IFERROR(IF(compras_mes1[[#This Row],[CUIT]]="","-",VLOOKUP(compras_mes1[[#This Row],[CUIT]],Lista_CUIT[#All],3,0)),"CUIT NO CARGADO")</f>
        <v>Gastos Varios</v>
      </c>
      <c r="R24" s="408">
        <f>IFERROR(IF(compras_mes1[[#This Row],[CUIT]]="","-",VLOOKUP(compras_mes1[[#This Row],[CUIT]],Lista_CUIT[#All],4,0)),"CUIT NO CARGADO")</f>
        <v>0</v>
      </c>
    </row>
    <row r="25" spans="2:18" x14ac:dyDescent="0.25">
      <c r="B25" s="402" t="s">
        <v>2320</v>
      </c>
      <c r="C25" s="403">
        <v>1</v>
      </c>
      <c r="D25" s="285">
        <v>113</v>
      </c>
      <c r="E25" s="286">
        <v>4023609</v>
      </c>
      <c r="F25" s="287">
        <v>30577207190</v>
      </c>
      <c r="G25" s="404" t="str">
        <f>IFERROR(IF(compras_mes1[[#This Row],[CUIT]]="","-",VLOOKUP(compras_mes1[[#This Row],[CUIT]],Lista_CUIT[#All],2,0)),"CUIT NO CARGADO")</f>
        <v>COORDINACION ECOLOGICA AREA METROPOLITANA SOCIEDAD DEL ESTADO</v>
      </c>
      <c r="H25" s="405">
        <v>3966.94</v>
      </c>
      <c r="I25" s="406">
        <f>IF(compras_mes1[[#This Row],[NETO GRAVADO]]="","",compras_mes1[[#This Row],[NETO GRAVADO]]*0.21)</f>
        <v>833.05740000000003</v>
      </c>
      <c r="J25" s="406"/>
      <c r="K25" s="406"/>
      <c r="L25" s="406">
        <v>119.01</v>
      </c>
      <c r="M25" s="406"/>
      <c r="N25" s="406"/>
      <c r="O25" s="406"/>
      <c r="P25" s="407">
        <f>SUM(compras_mes1[[#This Row],[NETO GRAVADO]:[Otros / No Grav.]])</f>
        <v>4919.0074000000004</v>
      </c>
      <c r="Q25" s="408" t="str">
        <f>IFERROR(IF(compras_mes1[[#This Row],[CUIT]]="","-",VLOOKUP(compras_mes1[[#This Row],[CUIT]],Lista_CUIT[#All],3,0)),"CUIT NO CARGADO")</f>
        <v>Gastos Limpieza</v>
      </c>
      <c r="R25" s="408">
        <f>IFERROR(IF(compras_mes1[[#This Row],[CUIT]]="","-",VLOOKUP(compras_mes1[[#This Row],[CUIT]],Lista_CUIT[#All],4,0)),"CUIT NO CARGADO")</f>
        <v>0</v>
      </c>
    </row>
    <row r="26" spans="2:18" x14ac:dyDescent="0.25">
      <c r="B26" s="402" t="s">
        <v>2340</v>
      </c>
      <c r="C26" s="403">
        <v>1</v>
      </c>
      <c r="D26" s="285">
        <v>113</v>
      </c>
      <c r="E26" s="286">
        <v>4048471</v>
      </c>
      <c r="F26" s="287">
        <v>30577207190</v>
      </c>
      <c r="G26" s="404" t="str">
        <f>IFERROR(IF(compras_mes1[[#This Row],[CUIT]]="","-",VLOOKUP(compras_mes1[[#This Row],[CUIT]],Lista_CUIT[#All],2,0)),"CUIT NO CARGADO")</f>
        <v>COORDINACION ECOLOGICA AREA METROPOLITANA SOCIEDAD DEL ESTADO</v>
      </c>
      <c r="H26" s="405">
        <v>5960.33</v>
      </c>
      <c r="I26" s="406">
        <f>IF(compras_mes1[[#This Row],[NETO GRAVADO]]="","",compras_mes1[[#This Row],[NETO GRAVADO]]*0.21)</f>
        <v>1251.6693</v>
      </c>
      <c r="J26" s="406"/>
      <c r="K26" s="406"/>
      <c r="L26" s="406">
        <v>178.81</v>
      </c>
      <c r="M26" s="406"/>
      <c r="N26" s="406"/>
      <c r="O26" s="406"/>
      <c r="P26" s="407">
        <f>SUM(compras_mes1[[#This Row],[NETO GRAVADO]:[Otros / No Grav.]])</f>
        <v>7390.8092999999999</v>
      </c>
      <c r="Q26" s="408" t="str">
        <f>IFERROR(IF(compras_mes1[[#This Row],[CUIT]]="","-",VLOOKUP(compras_mes1[[#This Row],[CUIT]],Lista_CUIT[#All],3,0)),"CUIT NO CARGADO")</f>
        <v>Gastos Limpieza</v>
      </c>
      <c r="R26" s="408">
        <f>IFERROR(IF(compras_mes1[[#This Row],[CUIT]]="","-",VLOOKUP(compras_mes1[[#This Row],[CUIT]],Lista_CUIT[#All],4,0)),"CUIT NO CARGADO")</f>
        <v>0</v>
      </c>
    </row>
    <row r="27" spans="2:18" x14ac:dyDescent="0.25">
      <c r="B27" s="402" t="s">
        <v>2328</v>
      </c>
      <c r="C27" s="403">
        <v>1</v>
      </c>
      <c r="D27" s="285">
        <v>700</v>
      </c>
      <c r="E27" s="286">
        <v>2181747</v>
      </c>
      <c r="F27" s="287">
        <v>30715804812</v>
      </c>
      <c r="G27" s="404" t="str">
        <f>IFERROR(IF(compras_mes1[[#This Row],[CUIT]]="","-",VLOOKUP(compras_mes1[[#This Row],[CUIT]],Lista_CUIT[#All],2,0)),"CUIT NO CARGADO")</f>
        <v>CORREDORES VIALES SOCIEDAD ANONIMA</v>
      </c>
      <c r="H27" s="405">
        <v>2703.95</v>
      </c>
      <c r="I27" s="406">
        <f>IF(compras_mes1[[#This Row],[NETO GRAVADO]]="","",compras_mes1[[#This Row],[NETO GRAVADO]]*0.21)</f>
        <v>567.82949999999994</v>
      </c>
      <c r="J27" s="406"/>
      <c r="K27" s="406"/>
      <c r="L27" s="406"/>
      <c r="M27" s="406"/>
      <c r="N27" s="406"/>
      <c r="O27" s="406"/>
      <c r="P27" s="407">
        <f>SUM(compras_mes1[[#This Row],[NETO GRAVADO]:[Otros / No Grav.]])</f>
        <v>3271.7794999999996</v>
      </c>
      <c r="Q27" s="408" t="str">
        <f>IFERROR(IF(compras_mes1[[#This Row],[CUIT]]="","-",VLOOKUP(compras_mes1[[#This Row],[CUIT]],Lista_CUIT[#All],3,0)),"CUIT NO CARGADO")</f>
        <v>Peajes</v>
      </c>
      <c r="R27" s="408">
        <f>IFERROR(IF(compras_mes1[[#This Row],[CUIT]]="","-",VLOOKUP(compras_mes1[[#This Row],[CUIT]],Lista_CUIT[#All],4,0)),"CUIT NO CARGADO")</f>
        <v>0</v>
      </c>
    </row>
    <row r="28" spans="2:18" x14ac:dyDescent="0.25">
      <c r="B28" s="402" t="s">
        <v>2319</v>
      </c>
      <c r="C28" s="403">
        <v>1</v>
      </c>
      <c r="D28" s="285">
        <v>104</v>
      </c>
      <c r="E28" s="286">
        <v>7758171</v>
      </c>
      <c r="F28" s="287">
        <v>30715804812</v>
      </c>
      <c r="G28" s="404" t="str">
        <f>IFERROR(IF(compras_mes1[[#This Row],[CUIT]]="","-",VLOOKUP(compras_mes1[[#This Row],[CUIT]],Lista_CUIT[#All],2,0)),"CUIT NO CARGADO")</f>
        <v>CORREDORES VIALES SOCIEDAD ANONIMA</v>
      </c>
      <c r="H28" s="405">
        <v>1039.98</v>
      </c>
      <c r="I28" s="406">
        <f>IF(compras_mes1[[#This Row],[NETO GRAVADO]]="","",compras_mes1[[#This Row],[NETO GRAVADO]]*0.21)</f>
        <v>218.39580000000001</v>
      </c>
      <c r="J28" s="406"/>
      <c r="K28" s="406"/>
      <c r="L28" s="406"/>
      <c r="M28" s="406">
        <v>62.4</v>
      </c>
      <c r="N28" s="406"/>
      <c r="O28" s="406"/>
      <c r="P28" s="407">
        <f>SUM(compras_mes1[[#This Row],[NETO GRAVADO]:[Otros / No Grav.]])</f>
        <v>1320.7758000000001</v>
      </c>
      <c r="Q28" s="408" t="str">
        <f>IFERROR(IF(compras_mes1[[#This Row],[CUIT]]="","-",VLOOKUP(compras_mes1[[#This Row],[CUIT]],Lista_CUIT[#All],3,0)),"CUIT NO CARGADO")</f>
        <v>Peajes</v>
      </c>
      <c r="R28" s="408">
        <f>IFERROR(IF(compras_mes1[[#This Row],[CUIT]]="","-",VLOOKUP(compras_mes1[[#This Row],[CUIT]],Lista_CUIT[#All],4,0)),"CUIT NO CARGADO")</f>
        <v>0</v>
      </c>
    </row>
    <row r="29" spans="2:18" x14ac:dyDescent="0.25">
      <c r="B29" s="402" t="s">
        <v>2322</v>
      </c>
      <c r="C29" s="403">
        <v>1</v>
      </c>
      <c r="D29" s="285">
        <v>700</v>
      </c>
      <c r="E29" s="286">
        <v>2215027</v>
      </c>
      <c r="F29" s="287">
        <v>30715804812</v>
      </c>
      <c r="G29" s="404" t="str">
        <f>IFERROR(IF(compras_mes1[[#This Row],[CUIT]]="","-",VLOOKUP(compras_mes1[[#This Row],[CUIT]],Lista_CUIT[#All],2,0)),"CUIT NO CARGADO")</f>
        <v>CORREDORES VIALES SOCIEDAD ANONIMA</v>
      </c>
      <c r="H29" s="405">
        <v>4575.92</v>
      </c>
      <c r="I29" s="406">
        <f>IF(compras_mes1[[#This Row],[NETO GRAVADO]]="","",compras_mes1[[#This Row],[NETO GRAVADO]]*0.21)</f>
        <v>960.94319999999993</v>
      </c>
      <c r="J29" s="406"/>
      <c r="K29" s="406"/>
      <c r="L29" s="406"/>
      <c r="M29" s="406"/>
      <c r="N29" s="406"/>
      <c r="O29" s="406"/>
      <c r="P29" s="407">
        <f>SUM(compras_mes1[[#This Row],[NETO GRAVADO]:[Otros / No Grav.]])</f>
        <v>5536.8631999999998</v>
      </c>
      <c r="Q29" s="408" t="str">
        <f>IFERROR(IF(compras_mes1[[#This Row],[CUIT]]="","-",VLOOKUP(compras_mes1[[#This Row],[CUIT]],Lista_CUIT[#All],3,0)),"CUIT NO CARGADO")</f>
        <v>Peajes</v>
      </c>
      <c r="R29" s="408">
        <f>IFERROR(IF(compras_mes1[[#This Row],[CUIT]]="","-",VLOOKUP(compras_mes1[[#This Row],[CUIT]],Lista_CUIT[#All],4,0)),"CUIT NO CARGADO")</f>
        <v>0</v>
      </c>
    </row>
    <row r="30" spans="2:18" x14ac:dyDescent="0.25">
      <c r="B30" s="402" t="s">
        <v>2330</v>
      </c>
      <c r="C30" s="403">
        <v>1</v>
      </c>
      <c r="D30" s="285">
        <v>2018</v>
      </c>
      <c r="E30" s="286">
        <v>5871</v>
      </c>
      <c r="F30" s="287">
        <v>30548083156</v>
      </c>
      <c r="G30" s="404" t="str">
        <f>IFERROR(IF(compras_mes1[[#This Row],[CUIT]]="","-",VLOOKUP(compras_mes1[[#This Row],[CUIT]],Lista_CUIT[#All],2,0)),"CUIT NO CARGADO")</f>
        <v>COTO CENTRO INTEGRAL DE COMERCIALIZACION SOCIEDAD ANONIMA</v>
      </c>
      <c r="H30" s="405">
        <v>19427.900000000001</v>
      </c>
      <c r="I30" s="406">
        <f>IF(compras_mes1[[#This Row],[NETO GRAVADO]]="","",compras_mes1[[#This Row],[NETO GRAVADO]]*0.21)</f>
        <v>4079.8590000000004</v>
      </c>
      <c r="J30" s="406"/>
      <c r="K30" s="406"/>
      <c r="L30" s="406"/>
      <c r="M30" s="406"/>
      <c r="N30" s="406"/>
      <c r="O30" s="406">
        <v>1748.51</v>
      </c>
      <c r="P30" s="407">
        <f>SUM(compras_mes1[[#This Row],[NETO GRAVADO]:[Otros / No Grav.]])</f>
        <v>25256.269</v>
      </c>
      <c r="Q30" s="408" t="str">
        <f>IFERROR(IF(compras_mes1[[#This Row],[CUIT]]="","-",VLOOKUP(compras_mes1[[#This Row],[CUIT]],Lista_CUIT[#All],3,0)),"CUIT NO CARGADO")</f>
        <v>Gastos Varios</v>
      </c>
      <c r="R30" s="408">
        <f>IFERROR(IF(compras_mes1[[#This Row],[CUIT]]="","-",VLOOKUP(compras_mes1[[#This Row],[CUIT]],Lista_CUIT[#All],4,0)),"CUIT NO CARGADO")</f>
        <v>0</v>
      </c>
    </row>
    <row r="31" spans="2:18" x14ac:dyDescent="0.25">
      <c r="B31" s="402" t="s">
        <v>2330</v>
      </c>
      <c r="C31" s="403">
        <v>1</v>
      </c>
      <c r="D31" s="285">
        <v>2199</v>
      </c>
      <c r="E31" s="286">
        <v>34414</v>
      </c>
      <c r="F31" s="287">
        <v>30548083156</v>
      </c>
      <c r="G31" s="404" t="str">
        <f>IFERROR(IF(compras_mes1[[#This Row],[CUIT]]="","-",VLOOKUP(compras_mes1[[#This Row],[CUIT]],Lista_CUIT[#All],2,0)),"CUIT NO CARGADO")</f>
        <v>COTO CENTRO INTEGRAL DE COMERCIALIZACION SOCIEDAD ANONIMA</v>
      </c>
      <c r="H31" s="405">
        <v>59262.1</v>
      </c>
      <c r="I31" s="406">
        <f>IF(compras_mes1[[#This Row],[NETO GRAVADO]]="","",compras_mes1[[#This Row],[NETO GRAVADO]]*0.21)</f>
        <v>12445.040999999999</v>
      </c>
      <c r="J31" s="406"/>
      <c r="K31" s="406"/>
      <c r="L31" s="406"/>
      <c r="M31" s="406"/>
      <c r="N31" s="406"/>
      <c r="O31" s="406">
        <v>5132.13</v>
      </c>
      <c r="P31" s="407">
        <f>SUM(compras_mes1[[#This Row],[NETO GRAVADO]:[Otros / No Grav.]])</f>
        <v>76839.271000000008</v>
      </c>
      <c r="Q31" s="408" t="str">
        <f>IFERROR(IF(compras_mes1[[#This Row],[CUIT]]="","-",VLOOKUP(compras_mes1[[#This Row],[CUIT]],Lista_CUIT[#All],3,0)),"CUIT NO CARGADO")</f>
        <v>Gastos Varios</v>
      </c>
      <c r="R31" s="408">
        <f>IFERROR(IF(compras_mes1[[#This Row],[CUIT]]="","-",VLOOKUP(compras_mes1[[#This Row],[CUIT]],Lista_CUIT[#All],4,0)),"CUIT NO CARGADO")</f>
        <v>0</v>
      </c>
    </row>
    <row r="32" spans="2:18" x14ac:dyDescent="0.25">
      <c r="B32" s="402" t="s">
        <v>2331</v>
      </c>
      <c r="C32" s="403">
        <v>1</v>
      </c>
      <c r="D32" s="285">
        <v>2188</v>
      </c>
      <c r="E32" s="286">
        <v>139314</v>
      </c>
      <c r="F32" s="287">
        <v>30548083156</v>
      </c>
      <c r="G32" s="404" t="str">
        <f>IFERROR(IF(compras_mes1[[#This Row],[CUIT]]="","-",VLOOKUP(compras_mes1[[#This Row],[CUIT]],Lista_CUIT[#All],2,0)),"CUIT NO CARGADO")</f>
        <v>COTO CENTRO INTEGRAL DE COMERCIALIZACION SOCIEDAD ANONIMA</v>
      </c>
      <c r="H32" s="405">
        <v>86331.94</v>
      </c>
      <c r="I32" s="406">
        <v>15199.6</v>
      </c>
      <c r="J32" s="406"/>
      <c r="K32" s="406">
        <v>1465.05</v>
      </c>
      <c r="L32" s="406"/>
      <c r="M32" s="406"/>
      <c r="N32" s="406"/>
      <c r="O32" s="406">
        <v>7390.82</v>
      </c>
      <c r="P32" s="407">
        <f>SUM(compras_mes1[[#This Row],[NETO GRAVADO]:[Otros / No Grav.]])</f>
        <v>110387.41</v>
      </c>
      <c r="Q32" s="408" t="str">
        <f>IFERROR(IF(compras_mes1[[#This Row],[CUIT]]="","-",VLOOKUP(compras_mes1[[#This Row],[CUIT]],Lista_CUIT[#All],3,0)),"CUIT NO CARGADO")</f>
        <v>Gastos Varios</v>
      </c>
      <c r="R32" s="408">
        <f>IFERROR(IF(compras_mes1[[#This Row],[CUIT]]="","-",VLOOKUP(compras_mes1[[#This Row],[CUIT]],Lista_CUIT[#All],4,0)),"CUIT NO CARGADO")</f>
        <v>0</v>
      </c>
    </row>
    <row r="33" spans="2:18" x14ac:dyDescent="0.25">
      <c r="B33" s="40" t="s">
        <v>2318</v>
      </c>
      <c r="C33" s="403">
        <v>1</v>
      </c>
      <c r="D33" s="42">
        <v>2199</v>
      </c>
      <c r="E33" s="43">
        <v>34452</v>
      </c>
      <c r="F33" s="44">
        <v>30548083156</v>
      </c>
      <c r="G33" s="45" t="str">
        <f>IFERROR(IF(compras_mes1[[#This Row],[CUIT]]="","-",VLOOKUP(compras_mes1[[#This Row],[CUIT]],Lista_CUIT[#All],2,0)),"CUIT NO CARGADO")</f>
        <v>COTO CENTRO INTEGRAL DE COMERCIALIZACION SOCIEDAD ANONIMA</v>
      </c>
      <c r="H33" s="46">
        <v>24354.73</v>
      </c>
      <c r="I33" s="406">
        <v>4770.1400000000003</v>
      </c>
      <c r="J33" s="85"/>
      <c r="K33" s="85">
        <v>172.18</v>
      </c>
      <c r="L33" s="85"/>
      <c r="M33" s="85"/>
      <c r="N33" s="85"/>
      <c r="O33" s="85">
        <v>2140.63</v>
      </c>
      <c r="P33" s="48">
        <f>SUM(compras_mes1[[#This Row],[NETO GRAVADO]:[Otros / No Grav.]])</f>
        <v>31437.68</v>
      </c>
      <c r="Q33" s="49" t="str">
        <f>IFERROR(IF(compras_mes1[[#This Row],[CUIT]]="","-",VLOOKUP(compras_mes1[[#This Row],[CUIT]],Lista_CUIT[#All],3,0)),"CUIT NO CARGADO")</f>
        <v>Gastos Varios</v>
      </c>
      <c r="R33" s="49">
        <f>IFERROR(IF(compras_mes1[[#This Row],[CUIT]]="","-",VLOOKUP(compras_mes1[[#This Row],[CUIT]],Lista_CUIT[#All],4,0)),"CUIT NO CARGADO")</f>
        <v>0</v>
      </c>
    </row>
    <row r="34" spans="2:18" x14ac:dyDescent="0.25">
      <c r="B34" s="402" t="s">
        <v>2318</v>
      </c>
      <c r="C34" s="403">
        <v>1</v>
      </c>
      <c r="D34" s="285">
        <v>2084</v>
      </c>
      <c r="E34" s="286">
        <v>26860</v>
      </c>
      <c r="F34" s="287">
        <v>30548083156</v>
      </c>
      <c r="G34" s="404" t="str">
        <f>IFERROR(IF(compras_mes1[[#This Row],[CUIT]]="","-",VLOOKUP(compras_mes1[[#This Row],[CUIT]],Lista_CUIT[#All],2,0)),"CUIT NO CARGADO")</f>
        <v>COTO CENTRO INTEGRAL DE COMERCIALIZACION SOCIEDAD ANONIMA</v>
      </c>
      <c r="H34" s="405">
        <v>54278.54</v>
      </c>
      <c r="I34" s="406">
        <f>IF(compras_mes1[[#This Row],[NETO GRAVADO]]="","",compras_mes1[[#This Row],[NETO GRAVADO]]*0.21)</f>
        <v>11398.493399999999</v>
      </c>
      <c r="J34" s="406"/>
      <c r="K34" s="406"/>
      <c r="L34" s="406"/>
      <c r="M34" s="406"/>
      <c r="N34" s="406"/>
      <c r="O34" s="406">
        <v>4753.33</v>
      </c>
      <c r="P34" s="407">
        <f>SUM(compras_mes1[[#This Row],[NETO GRAVADO]:[Otros / No Grav.]])</f>
        <v>70430.363400000002</v>
      </c>
      <c r="Q34" s="408" t="str">
        <f>IFERROR(IF(compras_mes1[[#This Row],[CUIT]]="","-",VLOOKUP(compras_mes1[[#This Row],[CUIT]],Lista_CUIT[#All],3,0)),"CUIT NO CARGADO")</f>
        <v>Gastos Varios</v>
      </c>
      <c r="R34" s="408">
        <f>IFERROR(IF(compras_mes1[[#This Row],[CUIT]]="","-",VLOOKUP(compras_mes1[[#This Row],[CUIT]],Lista_CUIT[#All],4,0)),"CUIT NO CARGADO")</f>
        <v>0</v>
      </c>
    </row>
    <row r="35" spans="2:18" x14ac:dyDescent="0.25">
      <c r="B35" s="402" t="s">
        <v>2333</v>
      </c>
      <c r="C35" s="403">
        <v>1</v>
      </c>
      <c r="D35" s="285">
        <v>2199</v>
      </c>
      <c r="E35" s="286">
        <v>34567</v>
      </c>
      <c r="F35" s="287">
        <v>30548083156</v>
      </c>
      <c r="G35" s="404" t="str">
        <f>IFERROR(IF(compras_mes1[[#This Row],[CUIT]]="","-",VLOOKUP(compras_mes1[[#This Row],[CUIT]],Lista_CUIT[#All],2,0)),"CUIT NO CARGADO")</f>
        <v>COTO CENTRO INTEGRAL DE COMERCIALIZACION SOCIEDAD ANONIMA</v>
      </c>
      <c r="H35" s="405">
        <v>28228.91</v>
      </c>
      <c r="I35" s="406">
        <v>2484.65</v>
      </c>
      <c r="J35" s="406"/>
      <c r="K35" s="406">
        <v>1721.71</v>
      </c>
      <c r="L35" s="406"/>
      <c r="M35" s="406"/>
      <c r="N35" s="406"/>
      <c r="O35" s="406">
        <v>1563.98</v>
      </c>
      <c r="P35" s="407">
        <f>SUM(compras_mes1[[#This Row],[NETO GRAVADO]:[Otros / No Grav.]])</f>
        <v>33999.25</v>
      </c>
      <c r="Q35" s="408" t="str">
        <f>IFERROR(IF(compras_mes1[[#This Row],[CUIT]]="","-",VLOOKUP(compras_mes1[[#This Row],[CUIT]],Lista_CUIT[#All],3,0)),"CUIT NO CARGADO")</f>
        <v>Gastos Varios</v>
      </c>
      <c r="R35" s="408">
        <f>IFERROR(IF(compras_mes1[[#This Row],[CUIT]]="","-",VLOOKUP(compras_mes1[[#This Row],[CUIT]],Lista_CUIT[#All],4,0)),"CUIT NO CARGADO")</f>
        <v>0</v>
      </c>
    </row>
    <row r="36" spans="2:18" x14ac:dyDescent="0.25">
      <c r="B36" s="402" t="s">
        <v>2334</v>
      </c>
      <c r="C36" s="403">
        <v>1</v>
      </c>
      <c r="D36" s="285">
        <v>2084</v>
      </c>
      <c r="E36" s="286">
        <v>26973</v>
      </c>
      <c r="F36" s="287">
        <v>30548083156</v>
      </c>
      <c r="G36" s="404" t="str">
        <f>IFERROR(IF(compras_mes1[[#This Row],[CUIT]]="","-",VLOOKUP(compras_mes1[[#This Row],[CUIT]],Lista_CUIT[#All],2,0)),"CUIT NO CARGADO")</f>
        <v>COTO CENTRO INTEGRAL DE COMERCIALIZACION SOCIEDAD ANONIMA</v>
      </c>
      <c r="H36" s="405">
        <v>26243.84</v>
      </c>
      <c r="I36" s="406">
        <f>IF(compras_mes1[[#This Row],[NETO GRAVADO]]="","",compras_mes1[[#This Row],[NETO GRAVADO]]*0.21)</f>
        <v>5511.2064</v>
      </c>
      <c r="J36" s="406"/>
      <c r="K36" s="406"/>
      <c r="L36" s="406"/>
      <c r="M36" s="406"/>
      <c r="N36" s="406"/>
      <c r="O36" s="406">
        <v>2361.9499999999998</v>
      </c>
      <c r="P36" s="407">
        <f>SUM(compras_mes1[[#This Row],[NETO GRAVADO]:[Otros / No Grav.]])</f>
        <v>34116.996399999996</v>
      </c>
      <c r="Q36" s="408" t="str">
        <f>IFERROR(IF(compras_mes1[[#This Row],[CUIT]]="","-",VLOOKUP(compras_mes1[[#This Row],[CUIT]],Lista_CUIT[#All],3,0)),"CUIT NO CARGADO")</f>
        <v>Gastos Varios</v>
      </c>
      <c r="R36" s="408">
        <f>IFERROR(IF(compras_mes1[[#This Row],[CUIT]]="","-",VLOOKUP(compras_mes1[[#This Row],[CUIT]],Lista_CUIT[#All],4,0)),"CUIT NO CARGADO")</f>
        <v>0</v>
      </c>
    </row>
    <row r="37" spans="2:18" x14ac:dyDescent="0.25">
      <c r="B37" s="40" t="s">
        <v>2338</v>
      </c>
      <c r="C37" s="403">
        <v>1</v>
      </c>
      <c r="D37" s="42">
        <v>2199</v>
      </c>
      <c r="E37" s="43">
        <v>34760</v>
      </c>
      <c r="F37" s="44">
        <v>30548083156</v>
      </c>
      <c r="G37" s="45" t="str">
        <f>IFERROR(IF(compras_mes1[[#This Row],[CUIT]]="","-",VLOOKUP(compras_mes1[[#This Row],[CUIT]],Lista_CUIT[#All],2,0)),"CUIT NO CARGADO")</f>
        <v>COTO CENTRO INTEGRAL DE COMERCIALIZACION SOCIEDAD ANONIMA</v>
      </c>
      <c r="H37" s="46">
        <v>76325.89</v>
      </c>
      <c r="I37" s="406">
        <v>15268.43</v>
      </c>
      <c r="J37" s="85"/>
      <c r="K37" s="85">
        <v>380</v>
      </c>
      <c r="L37" s="85"/>
      <c r="M37" s="85"/>
      <c r="N37" s="85"/>
      <c r="O37" s="85">
        <v>6427.39</v>
      </c>
      <c r="P37" s="48">
        <f>SUM(compras_mes1[[#This Row],[NETO GRAVADO]:[Otros / No Grav.]])</f>
        <v>98401.71</v>
      </c>
      <c r="Q37" s="49" t="str">
        <f>IFERROR(IF(compras_mes1[[#This Row],[CUIT]]="","-",VLOOKUP(compras_mes1[[#This Row],[CUIT]],Lista_CUIT[#All],3,0)),"CUIT NO CARGADO")</f>
        <v>Gastos Varios</v>
      </c>
      <c r="R37" s="49">
        <f>IFERROR(IF(compras_mes1[[#This Row],[CUIT]]="","-",VLOOKUP(compras_mes1[[#This Row],[CUIT]],Lista_CUIT[#All],4,0)),"CUIT NO CARGADO")</f>
        <v>0</v>
      </c>
    </row>
    <row r="38" spans="2:18" x14ac:dyDescent="0.25">
      <c r="B38" s="40" t="s">
        <v>2338</v>
      </c>
      <c r="C38" s="403">
        <v>1</v>
      </c>
      <c r="D38" s="42">
        <v>2199</v>
      </c>
      <c r="E38" s="43">
        <v>34761</v>
      </c>
      <c r="F38" s="44">
        <v>30548083156</v>
      </c>
      <c r="G38" s="45" t="str">
        <f>IFERROR(IF(compras_mes1[[#This Row],[CUIT]]="","-",VLOOKUP(compras_mes1[[#This Row],[CUIT]],Lista_CUIT[#All],2,0)),"CUIT NO CARGADO")</f>
        <v>COTO CENTRO INTEGRAL DE COMERCIALIZACION SOCIEDAD ANONIMA</v>
      </c>
      <c r="H38" s="46">
        <v>6292.55</v>
      </c>
      <c r="I38" s="406">
        <f>IF(compras_mes1[[#This Row],[NETO GRAVADO]]="","",compras_mes1[[#This Row],[NETO GRAVADO]]*0.21)</f>
        <v>1321.4355</v>
      </c>
      <c r="J38" s="85"/>
      <c r="K38" s="85"/>
      <c r="L38" s="85"/>
      <c r="M38" s="85"/>
      <c r="N38" s="85"/>
      <c r="O38" s="85">
        <v>566.33000000000004</v>
      </c>
      <c r="P38" s="48">
        <f>SUM(compras_mes1[[#This Row],[NETO GRAVADO]:[Otros / No Grav.]])</f>
        <v>8180.3155000000006</v>
      </c>
      <c r="Q38" s="49" t="str">
        <f>IFERROR(IF(compras_mes1[[#This Row],[CUIT]]="","-",VLOOKUP(compras_mes1[[#This Row],[CUIT]],Lista_CUIT[#All],3,0)),"CUIT NO CARGADO")</f>
        <v>Gastos Varios</v>
      </c>
      <c r="R38" s="49">
        <f>IFERROR(IF(compras_mes1[[#This Row],[CUIT]]="","-",VLOOKUP(compras_mes1[[#This Row],[CUIT]],Lista_CUIT[#All],4,0)),"CUIT NO CARGADO")</f>
        <v>0</v>
      </c>
    </row>
    <row r="39" spans="2:18" x14ac:dyDescent="0.25">
      <c r="B39" s="402" t="s">
        <v>2338</v>
      </c>
      <c r="C39" s="403">
        <v>3</v>
      </c>
      <c r="D39" s="285">
        <v>2199</v>
      </c>
      <c r="E39" s="286">
        <v>319</v>
      </c>
      <c r="F39" s="287">
        <v>30548083156</v>
      </c>
      <c r="G39" s="404" t="str">
        <f>IFERROR(IF(compras_mes1[[#This Row],[CUIT]]="","-",VLOOKUP(compras_mes1[[#This Row],[CUIT]],Lista_CUIT[#All],2,0)),"CUIT NO CARGADO")</f>
        <v>COTO CENTRO INTEGRAL DE COMERCIALIZACION SOCIEDAD ANONIMA</v>
      </c>
      <c r="H39" s="405">
        <v>-9474.3700000000008</v>
      </c>
      <c r="I39" s="406">
        <f>IF(compras_mes1[[#This Row],[NETO GRAVADO]]="","",compras_mes1[[#This Row],[NETO GRAVADO]]*0.21)</f>
        <v>-1989.6177</v>
      </c>
      <c r="J39" s="406"/>
      <c r="K39" s="406"/>
      <c r="L39" s="406"/>
      <c r="M39" s="406"/>
      <c r="N39" s="406"/>
      <c r="O39" s="406">
        <v>-852.69</v>
      </c>
      <c r="P39" s="407">
        <f>SUM(compras_mes1[[#This Row],[NETO GRAVADO]:[Otros / No Grav.]])</f>
        <v>-12316.677700000002</v>
      </c>
      <c r="Q39" s="408" t="str">
        <f>IFERROR(IF(compras_mes1[[#This Row],[CUIT]]="","-",VLOOKUP(compras_mes1[[#This Row],[CUIT]],Lista_CUIT[#All],3,0)),"CUIT NO CARGADO")</f>
        <v>Gastos Varios</v>
      </c>
      <c r="R39" s="408">
        <f>IFERROR(IF(compras_mes1[[#This Row],[CUIT]]="","-",VLOOKUP(compras_mes1[[#This Row],[CUIT]],Lista_CUIT[#All],4,0)),"CUIT NO CARGADO")</f>
        <v>0</v>
      </c>
    </row>
    <row r="40" spans="2:18" x14ac:dyDescent="0.25">
      <c r="B40" s="439">
        <v>45670</v>
      </c>
      <c r="C40" s="440">
        <v>1</v>
      </c>
      <c r="D40" s="441">
        <v>6</v>
      </c>
      <c r="E40" s="442">
        <v>2122</v>
      </c>
      <c r="F40" s="443">
        <v>30718465636</v>
      </c>
      <c r="G40" s="444" t="str">
        <f>IFERROR(IF(compras_mes1[[#This Row],[CUIT]]="","-",VLOOKUP(compras_mes1[[#This Row],[CUIT]],Lista_CUIT[#All],2,0)),"CUIT NO CARGADO")</f>
        <v>MAQUINARIAS BOEDO SRL</v>
      </c>
      <c r="H40" s="445">
        <v>306466.11</v>
      </c>
      <c r="I40" s="446">
        <f>IF(compras_mes1[[#This Row],[NETO GRAVADO]]="","",compras_mes1[[#This Row],[NETO GRAVADO]]*0.21)</f>
        <v>64357.883099999992</v>
      </c>
      <c r="J40" s="446"/>
      <c r="K40" s="446"/>
      <c r="L40" s="446"/>
      <c r="M40" s="446"/>
      <c r="N40" s="446"/>
      <c r="O40" s="446"/>
      <c r="P40" s="447">
        <f>SUM(compras_mes1[[#This Row],[NETO GRAVADO]:[Otros / No Grav.]])</f>
        <v>370823.99309999996</v>
      </c>
      <c r="Q40" s="448" t="str">
        <f>IFERROR(IF(compras_mes1[[#This Row],[CUIT]]="","-",VLOOKUP(compras_mes1[[#This Row],[CUIT]],Lista_CUIT[#All],3,0)),"CUIT NO CARGADO")</f>
        <v>Muebles y Utiles</v>
      </c>
      <c r="R40" s="448">
        <f>IFERROR(IF(compras_mes1[[#This Row],[CUIT]]="","-",VLOOKUP(compras_mes1[[#This Row],[CUIT]],Lista_CUIT[#All],4,0)),"CUIT NO CARGADO")</f>
        <v>0</v>
      </c>
    </row>
    <row r="41" spans="2:18" x14ac:dyDescent="0.25">
      <c r="B41" s="402" t="s">
        <v>2315</v>
      </c>
      <c r="C41" s="403">
        <v>1</v>
      </c>
      <c r="D41" s="285">
        <v>33</v>
      </c>
      <c r="E41" s="286">
        <v>209</v>
      </c>
      <c r="F41" s="287">
        <v>30711583927</v>
      </c>
      <c r="G41" s="404" t="str">
        <f>IFERROR(IF(compras_mes1[[#This Row],[CUIT]]="","-",VLOOKUP(compras_mes1[[#This Row],[CUIT]],Lista_CUIT[#All],2,0)),"CUIT NO CARGADO")</f>
        <v>LOVE IN SA</v>
      </c>
      <c r="H41" s="405">
        <v>53719.01</v>
      </c>
      <c r="I41" s="406">
        <f>IF(compras_mes1[[#This Row],[NETO GRAVADO]]="","",compras_mes1[[#This Row],[NETO GRAVADO]]*0.21)</f>
        <v>11280.992099999999</v>
      </c>
      <c r="J41" s="406"/>
      <c r="K41" s="406"/>
      <c r="L41" s="406"/>
      <c r="M41" s="406"/>
      <c r="N41" s="406"/>
      <c r="O41" s="406"/>
      <c r="P41" s="407">
        <f>SUM(compras_mes1[[#This Row],[NETO GRAVADO]:[Otros / No Grav.]])</f>
        <v>65000.002099999998</v>
      </c>
      <c r="Q41" s="408" t="str">
        <f>IFERROR(IF(compras_mes1[[#This Row],[CUIT]]="","-",VLOOKUP(compras_mes1[[#This Row],[CUIT]],Lista_CUIT[#All],3,0)),"CUIT NO CARGADO")</f>
        <v>Gastos Varios</v>
      </c>
      <c r="R41" s="408">
        <f>IFERROR(IF(compras_mes1[[#This Row],[CUIT]]="","-",VLOOKUP(compras_mes1[[#This Row],[CUIT]],Lista_CUIT[#All],4,0)),"CUIT NO CARGADO")</f>
        <v>0</v>
      </c>
    </row>
    <row r="42" spans="2:18" x14ac:dyDescent="0.25">
      <c r="B42" s="419" t="s">
        <v>2317</v>
      </c>
      <c r="C42" s="420">
        <v>1</v>
      </c>
      <c r="D42" s="421">
        <v>4</v>
      </c>
      <c r="E42" s="422">
        <v>9877</v>
      </c>
      <c r="F42" s="423">
        <v>20381760317</v>
      </c>
      <c r="G42" s="424" t="str">
        <f>IFERROR(IF(compras_mes1[[#This Row],[CUIT]]="","-",VLOOKUP(compras_mes1[[#This Row],[CUIT]],Lista_CUIT[#All],2,0)),"CUIT NO CARGADO")</f>
        <v>NEASTORE</v>
      </c>
      <c r="H42" s="425">
        <v>9090.08</v>
      </c>
      <c r="I42" s="426">
        <f>IF(compras_mes1[[#This Row],[NETO GRAVADO]]="","",compras_mes1[[#This Row],[NETO GRAVADO]]*0.21)</f>
        <v>1908.9168</v>
      </c>
      <c r="J42" s="426"/>
      <c r="K42" s="426"/>
      <c r="L42" s="426"/>
      <c r="M42" s="426"/>
      <c r="N42" s="426"/>
      <c r="O42" s="426"/>
      <c r="P42" s="427">
        <f>SUM(compras_mes1[[#This Row],[NETO GRAVADO]:[Otros / No Grav.]])</f>
        <v>10998.996800000001</v>
      </c>
      <c r="Q42" s="428" t="str">
        <f>IFERROR(IF(compras_mes1[[#This Row],[CUIT]]="","-",VLOOKUP(compras_mes1[[#This Row],[CUIT]],Lista_CUIT[#All],3,0)),"CUIT NO CARGADO")</f>
        <v xml:space="preserve"> Gastos Limpieza</v>
      </c>
      <c r="R42" s="428">
        <f>IFERROR(IF(compras_mes1[[#This Row],[CUIT]]="","-",VLOOKUP(compras_mes1[[#This Row],[CUIT]],Lista_CUIT[#All],4,0)),"CUIT NO CARGADO")</f>
        <v>0</v>
      </c>
    </row>
    <row r="43" spans="2:18" x14ac:dyDescent="0.25">
      <c r="B43" s="429" t="s">
        <v>2317</v>
      </c>
      <c r="C43" s="420">
        <v>1</v>
      </c>
      <c r="D43" s="430">
        <v>6</v>
      </c>
      <c r="E43" s="431">
        <v>5881</v>
      </c>
      <c r="F43" s="432">
        <v>30711431981</v>
      </c>
      <c r="G43" s="433" t="str">
        <f>IFERROR(IF(compras_mes1[[#This Row],[CUIT]]="","-",VLOOKUP(compras_mes1[[#This Row],[CUIT]],Lista_CUIT[#All],2,0)),"CUIT NO CARGADO")</f>
        <v>TANGOID SRL</v>
      </c>
      <c r="H43" s="434">
        <v>52215.45</v>
      </c>
      <c r="I43" s="426">
        <f>IF(compras_mes1[[#This Row],[NETO GRAVADO]]="","",compras_mes1[[#This Row],[NETO GRAVADO]]*0.21)</f>
        <v>10965.244499999999</v>
      </c>
      <c r="J43" s="435"/>
      <c r="K43" s="435"/>
      <c r="L43" s="435"/>
      <c r="M43" s="435"/>
      <c r="N43" s="435"/>
      <c r="O43" s="435"/>
      <c r="P43" s="436">
        <f>SUM(compras_mes1[[#This Row],[NETO GRAVADO]:[Otros / No Grav.]])</f>
        <v>63180.694499999998</v>
      </c>
      <c r="Q43" s="437" t="str">
        <f>IFERROR(IF(compras_mes1[[#This Row],[CUIT]]="","-",VLOOKUP(compras_mes1[[#This Row],[CUIT]],Lista_CUIT[#All],3,0)),"CUIT NO CARGADO")</f>
        <v>Gastos Varios</v>
      </c>
      <c r="R43" s="437">
        <f>IFERROR(IF(compras_mes1[[#This Row],[CUIT]]="","-",VLOOKUP(compras_mes1[[#This Row],[CUIT]],Lista_CUIT[#All],4,0)),"CUIT NO CARGADO")</f>
        <v>0</v>
      </c>
    </row>
    <row r="44" spans="2:18" x14ac:dyDescent="0.25">
      <c r="B44" s="419" t="s">
        <v>2317</v>
      </c>
      <c r="C44" s="420">
        <v>1</v>
      </c>
      <c r="D44" s="421">
        <v>90</v>
      </c>
      <c r="E44" s="422">
        <v>48142</v>
      </c>
      <c r="F44" s="423">
        <v>30710852762</v>
      </c>
      <c r="G44" s="424" t="str">
        <f>IFERROR(IF(compras_mes1[[#This Row],[CUIT]]="","-",VLOOKUP(compras_mes1[[#This Row],[CUIT]],Lista_CUIT[#All],2,0)),"CUIT NO CARGADO")</f>
        <v xml:space="preserve">REBORN SRL </v>
      </c>
      <c r="H44" s="425">
        <v>26076.42</v>
      </c>
      <c r="I44" s="426">
        <f>IF(compras_mes1[[#This Row],[NETO GRAVADO]]="","",compras_mes1[[#This Row],[NETO GRAVADO]]*0.21)</f>
        <v>5476.0481999999993</v>
      </c>
      <c r="J44" s="426"/>
      <c r="K44" s="426"/>
      <c r="L44" s="426"/>
      <c r="M44" s="426"/>
      <c r="N44" s="426"/>
      <c r="O44" s="426"/>
      <c r="P44" s="427">
        <f>SUM(compras_mes1[[#This Row],[NETO GRAVADO]:[Otros / No Grav.]])</f>
        <v>31552.468199999996</v>
      </c>
      <c r="Q44" s="428" t="str">
        <f>IFERROR(IF(compras_mes1[[#This Row],[CUIT]]="","-",VLOOKUP(compras_mes1[[#This Row],[CUIT]],Lista_CUIT[#All],3,0)),"CUIT NO CARGADO")</f>
        <v>Gastos Varios</v>
      </c>
      <c r="R44" s="428">
        <f>IFERROR(IF(compras_mes1[[#This Row],[CUIT]]="","-",VLOOKUP(compras_mes1[[#This Row],[CUIT]],Lista_CUIT[#All],4,0)),"CUIT NO CARGADO")</f>
        <v>0</v>
      </c>
    </row>
    <row r="45" spans="2:18" ht="17.25" customHeight="1" x14ac:dyDescent="0.25">
      <c r="B45" s="419" t="s">
        <v>2328</v>
      </c>
      <c r="C45" s="420">
        <v>1</v>
      </c>
      <c r="D45" s="421">
        <v>2</v>
      </c>
      <c r="E45" s="422">
        <v>2136</v>
      </c>
      <c r="F45" s="423">
        <v>30717961532</v>
      </c>
      <c r="G45" s="424" t="str">
        <f>IFERROR(IF(compras_mes1[[#This Row],[CUIT]]="","-",VLOOKUP(compras_mes1[[#This Row],[CUIT]],Lista_CUIT[#All],2,0)),"CUIT NO CARGADO")</f>
        <v>ABTEC SA</v>
      </c>
      <c r="H45" s="425">
        <v>39718.47</v>
      </c>
      <c r="I45" s="426">
        <f>IF(compras_mes1[[#This Row],[NETO GRAVADO]]="","",compras_mes1[[#This Row],[NETO GRAVADO]]*0.21)</f>
        <v>8340.8786999999993</v>
      </c>
      <c r="J45" s="426"/>
      <c r="K45" s="426"/>
      <c r="L45" s="426"/>
      <c r="M45" s="426"/>
      <c r="N45" s="426"/>
      <c r="O45" s="426"/>
      <c r="P45" s="427">
        <f>SUM(compras_mes1[[#This Row],[NETO GRAVADO]:[Otros / No Grav.]])</f>
        <v>48059.348700000002</v>
      </c>
      <c r="Q45" s="428" t="str">
        <f>IFERROR(IF(compras_mes1[[#This Row],[CUIT]]="","-",VLOOKUP(compras_mes1[[#This Row],[CUIT]],Lista_CUIT[#All],3,0)),"CUIT NO CARGADO")</f>
        <v>Gastos Varios</v>
      </c>
      <c r="R45" s="428">
        <f>IFERROR(IF(compras_mes1[[#This Row],[CUIT]]="","-",VLOOKUP(compras_mes1[[#This Row],[CUIT]],Lista_CUIT[#All],4,0)),"CUIT NO CARGADO")</f>
        <v>0</v>
      </c>
    </row>
    <row r="46" spans="2:18" x14ac:dyDescent="0.25">
      <c r="B46" s="419" t="s">
        <v>2330</v>
      </c>
      <c r="C46" s="420">
        <v>1</v>
      </c>
      <c r="D46" s="421">
        <v>11</v>
      </c>
      <c r="E46" s="422">
        <v>4901</v>
      </c>
      <c r="F46" s="423">
        <v>30717214494</v>
      </c>
      <c r="G46" s="424" t="str">
        <f>IFERROR(IF(compras_mes1[[#This Row],[CUIT]]="","-",VLOOKUP(compras_mes1[[#This Row],[CUIT]],Lista_CUIT[#All],2,0)),"CUIT NO CARGADO")</f>
        <v>ONE MEDICAL SRL</v>
      </c>
      <c r="H46" s="425">
        <v>21399.47</v>
      </c>
      <c r="I46" s="426">
        <f>IF(compras_mes1[[#This Row],[NETO GRAVADO]]="","",compras_mes1[[#This Row],[NETO GRAVADO]]*0.21)</f>
        <v>4493.8887000000004</v>
      </c>
      <c r="J46" s="426"/>
      <c r="K46" s="426"/>
      <c r="L46" s="426"/>
      <c r="M46" s="426"/>
      <c r="N46" s="426"/>
      <c r="O46" s="426"/>
      <c r="P46" s="427">
        <f>SUM(compras_mes1[[#This Row],[NETO GRAVADO]:[Otros / No Grav.]])</f>
        <v>25893.358700000001</v>
      </c>
      <c r="Q46" s="428" t="str">
        <f>IFERROR(IF(compras_mes1[[#This Row],[CUIT]]="","-",VLOOKUP(compras_mes1[[#This Row],[CUIT]],Lista_CUIT[#All],3,0)),"CUIT NO CARGADO")</f>
        <v xml:space="preserve"> Gastos Limpieza</v>
      </c>
      <c r="R46" s="428">
        <f>IFERROR(IF(compras_mes1[[#This Row],[CUIT]]="","-",VLOOKUP(compras_mes1[[#This Row],[CUIT]],Lista_CUIT[#All],4,0)),"CUIT NO CARGADO")</f>
        <v>0</v>
      </c>
    </row>
    <row r="47" spans="2:18" x14ac:dyDescent="0.25">
      <c r="B47" s="419" t="s">
        <v>2331</v>
      </c>
      <c r="C47" s="420">
        <v>1</v>
      </c>
      <c r="D47" s="421">
        <v>5</v>
      </c>
      <c r="E47" s="422">
        <v>28022</v>
      </c>
      <c r="F47" s="423">
        <v>30715083937</v>
      </c>
      <c r="G47" s="424" t="str">
        <f>IFERROR(IF(compras_mes1[[#This Row],[CUIT]]="","-",VLOOKUP(compras_mes1[[#This Row],[CUIT]],Lista_CUIT[#All],2,0)),"CUIT NO CARGADO")</f>
        <v>MASHARY S.R.L</v>
      </c>
      <c r="H47" s="425">
        <v>43726.51</v>
      </c>
      <c r="I47" s="426">
        <f>IF(compras_mes1[[#This Row],[NETO GRAVADO]]="","",compras_mes1[[#This Row],[NETO GRAVADO]]*0.21)</f>
        <v>9182.5671000000002</v>
      </c>
      <c r="J47" s="426"/>
      <c r="K47" s="426"/>
      <c r="L47" s="426"/>
      <c r="M47" s="426"/>
      <c r="N47" s="426"/>
      <c r="O47" s="426"/>
      <c r="P47" s="427">
        <f>SUM(compras_mes1[[#This Row],[NETO GRAVADO]:[Otros / No Grav.]])</f>
        <v>52909.077100000002</v>
      </c>
      <c r="Q47" s="428" t="str">
        <f>IFERROR(IF(compras_mes1[[#This Row],[CUIT]]="","-",VLOOKUP(compras_mes1[[#This Row],[CUIT]],Lista_CUIT[#All],3,0)),"CUIT NO CARGADO")</f>
        <v>Muebles y Utiles</v>
      </c>
      <c r="R47" s="428">
        <f>IFERROR(IF(compras_mes1[[#This Row],[CUIT]]="","-",VLOOKUP(compras_mes1[[#This Row],[CUIT]],Lista_CUIT[#All],4,0)),"CUIT NO CARGADO")</f>
        <v>0</v>
      </c>
    </row>
    <row r="48" spans="2:18" x14ac:dyDescent="0.25">
      <c r="B48" s="402" t="s">
        <v>2318</v>
      </c>
      <c r="C48" s="403">
        <v>1</v>
      </c>
      <c r="D48" s="285">
        <v>3</v>
      </c>
      <c r="E48" s="286">
        <v>2646</v>
      </c>
      <c r="F48" s="287">
        <v>30708393262</v>
      </c>
      <c r="G48" s="404" t="str">
        <f>IFERROR(IF(compras_mes1[[#This Row],[CUIT]]="","-",VLOOKUP(compras_mes1[[#This Row],[CUIT]],Lista_CUIT[#All],2,0)),"CUIT NO CARGADO")</f>
        <v>VIVERO GALANTE BRUNO S.A.</v>
      </c>
      <c r="H48" s="405">
        <v>46697.25</v>
      </c>
      <c r="I48" s="406">
        <f>IF(compras_mes1[[#This Row],[NETO GRAVADO]]="","",compras_mes1[[#This Row],[NETO GRAVADO]]*0.21)</f>
        <v>9806.4224999999988</v>
      </c>
      <c r="J48" s="406"/>
      <c r="K48" s="406"/>
      <c r="L48" s="406"/>
      <c r="M48" s="406"/>
      <c r="N48" s="406"/>
      <c r="O48" s="406"/>
      <c r="P48" s="407">
        <f>SUM(compras_mes1[[#This Row],[NETO GRAVADO]:[Otros / No Grav.]])</f>
        <v>56503.672500000001</v>
      </c>
      <c r="Q48" s="408" t="str">
        <f>IFERROR(IF(compras_mes1[[#This Row],[CUIT]]="","-",VLOOKUP(compras_mes1[[#This Row],[CUIT]],Lista_CUIT[#All],3,0)),"CUIT NO CARGADO")</f>
        <v>Gastos Varios</v>
      </c>
      <c r="R48" s="408">
        <f>IFERROR(IF(compras_mes1[[#This Row],[CUIT]]="","-",VLOOKUP(compras_mes1[[#This Row],[CUIT]],Lista_CUIT[#All],4,0)),"CUIT NO CARGADO")</f>
        <v>0</v>
      </c>
    </row>
    <row r="49" spans="2:18" x14ac:dyDescent="0.25">
      <c r="B49" s="419" t="s">
        <v>2332</v>
      </c>
      <c r="C49" s="420">
        <v>1</v>
      </c>
      <c r="D49" s="421">
        <v>11</v>
      </c>
      <c r="E49" s="422">
        <v>312</v>
      </c>
      <c r="F49" s="423">
        <v>30707158952</v>
      </c>
      <c r="G49" s="424" t="str">
        <f>IFERROR(IF(compras_mes1[[#This Row],[CUIT]]="","-",VLOOKUP(compras_mes1[[#This Row],[CUIT]],Lista_CUIT[#All],2,0)),"CUIT NO CARGADO")</f>
        <v>INTERBAT SRL</v>
      </c>
      <c r="H49" s="425">
        <v>109917.36</v>
      </c>
      <c r="I49" s="426">
        <f>IF(compras_mes1[[#This Row],[NETO GRAVADO]]="","",compras_mes1[[#This Row],[NETO GRAVADO]]*0.21)</f>
        <v>23082.6456</v>
      </c>
      <c r="J49" s="426"/>
      <c r="K49" s="426"/>
      <c r="L49" s="426"/>
      <c r="M49" s="426"/>
      <c r="N49" s="426"/>
      <c r="O49" s="426"/>
      <c r="P49" s="427">
        <f>SUM(compras_mes1[[#This Row],[NETO GRAVADO]:[Otros / No Grav.]])</f>
        <v>133000.0056</v>
      </c>
      <c r="Q49" s="428" t="str">
        <f>IFERROR(IF(compras_mes1[[#This Row],[CUIT]]="","-",VLOOKUP(compras_mes1[[#This Row],[CUIT]],Lista_CUIT[#All],3,0)),"CUIT NO CARGADO")</f>
        <v>Gastos Varios</v>
      </c>
      <c r="R49" s="428">
        <f>IFERROR(IF(compras_mes1[[#This Row],[CUIT]]="","-",VLOOKUP(compras_mes1[[#This Row],[CUIT]],Lista_CUIT[#All],4,0)),"CUIT NO CARGADO")</f>
        <v>0</v>
      </c>
    </row>
    <row r="50" spans="2:18" x14ac:dyDescent="0.25">
      <c r="B50" s="419" t="s">
        <v>2319</v>
      </c>
      <c r="C50" s="420">
        <v>1</v>
      </c>
      <c r="D50" s="421">
        <v>1</v>
      </c>
      <c r="E50" s="422">
        <v>38349</v>
      </c>
      <c r="F50" s="423">
        <v>30717334015</v>
      </c>
      <c r="G50" s="424" t="str">
        <f>IFERROR(IF(compras_mes1[[#This Row],[CUIT]]="","-",VLOOKUP(compras_mes1[[#This Row],[CUIT]],Lista_CUIT[#All],2,0)),"CUIT NO CARGADO")</f>
        <v>DIGITAL SALES S.A</v>
      </c>
      <c r="H50" s="425">
        <v>214875.21</v>
      </c>
      <c r="I50" s="426">
        <f>IF(compras_mes1[[#This Row],[NETO GRAVADO]]="","",compras_mes1[[#This Row],[NETO GRAVADO]]*0.21)</f>
        <v>45123.794099999999</v>
      </c>
      <c r="J50" s="426"/>
      <c r="K50" s="426"/>
      <c r="L50" s="426"/>
      <c r="M50" s="426"/>
      <c r="N50" s="426"/>
      <c r="O50" s="426"/>
      <c r="P50" s="427">
        <f>SUM(compras_mes1[[#This Row],[NETO GRAVADO]:[Otros / No Grav.]])</f>
        <v>259999.00409999999</v>
      </c>
      <c r="Q50" s="428" t="str">
        <f>IFERROR(IF(compras_mes1[[#This Row],[CUIT]]="","-",VLOOKUP(compras_mes1[[#This Row],[CUIT]],Lista_CUIT[#All],3,0)),"CUIT NO CARGADO")</f>
        <v>Muebles y Utiles</v>
      </c>
      <c r="R50" s="428">
        <f>IFERROR(IF(compras_mes1[[#This Row],[CUIT]]="","-",VLOOKUP(compras_mes1[[#This Row],[CUIT]],Lista_CUIT[#All],4,0)),"CUIT NO CARGADO")</f>
        <v>0</v>
      </c>
    </row>
    <row r="51" spans="2:18" x14ac:dyDescent="0.25">
      <c r="B51" s="419" t="s">
        <v>2319</v>
      </c>
      <c r="C51" s="420">
        <v>1</v>
      </c>
      <c r="D51" s="421">
        <v>3</v>
      </c>
      <c r="E51" s="422">
        <v>3247</v>
      </c>
      <c r="F51" s="423">
        <v>30682116028</v>
      </c>
      <c r="G51" s="424" t="str">
        <f>IFERROR(IF(compras_mes1[[#This Row],[CUIT]]="","-",VLOOKUP(compras_mes1[[#This Row],[CUIT]],Lista_CUIT[#All],2,0)),"CUIT NO CARGADO")</f>
        <v>BLUE STAR CARGO SRL</v>
      </c>
      <c r="H51" s="425">
        <v>752070</v>
      </c>
      <c r="I51" s="426">
        <f>IF(compras_mes1[[#This Row],[NETO GRAVADO]]="","",compras_mes1[[#This Row],[NETO GRAVADO]]*0.21)</f>
        <v>157934.69999999998</v>
      </c>
      <c r="J51" s="426"/>
      <c r="K51" s="426"/>
      <c r="L51" s="426"/>
      <c r="M51" s="426"/>
      <c r="N51" s="426"/>
      <c r="O51" s="426">
        <v>966400</v>
      </c>
      <c r="P51" s="427">
        <f>SUM(compras_mes1[[#This Row],[NETO GRAVADO]:[Otros / No Grav.]])</f>
        <v>1876404.7</v>
      </c>
      <c r="Q51" s="428" t="str">
        <f>IFERROR(IF(compras_mes1[[#This Row],[CUIT]]="","-",VLOOKUP(compras_mes1[[#This Row],[CUIT]],Lista_CUIT[#All],3,0)),"CUIT NO CARGADO")</f>
        <v>Flete</v>
      </c>
      <c r="R51" s="428">
        <f>IFERROR(IF(compras_mes1[[#This Row],[CUIT]]="","-",VLOOKUP(compras_mes1[[#This Row],[CUIT]],Lista_CUIT[#All],4,0)),"CUIT NO CARGADO")</f>
        <v>0</v>
      </c>
    </row>
    <row r="52" spans="2:18" x14ac:dyDescent="0.25">
      <c r="B52" s="419" t="s">
        <v>2335</v>
      </c>
      <c r="C52" s="420">
        <v>1</v>
      </c>
      <c r="D52" s="421">
        <v>6</v>
      </c>
      <c r="E52" s="422">
        <v>698</v>
      </c>
      <c r="F52" s="423">
        <v>20258099290</v>
      </c>
      <c r="G52" s="424" t="str">
        <f>IFERROR(IF(compras_mes1[[#This Row],[CUIT]]="","-",VLOOKUP(compras_mes1[[#This Row],[CUIT]],Lista_CUIT[#All],2,0)),"CUIT NO CARGADO")</f>
        <v>CENZANO HERNAN</v>
      </c>
      <c r="H52" s="425">
        <v>15537.19</v>
      </c>
      <c r="I52" s="426">
        <f>IF(compras_mes1[[#This Row],[NETO GRAVADO]]="","",compras_mes1[[#This Row],[NETO GRAVADO]]*0.21)</f>
        <v>3262.8099000000002</v>
      </c>
      <c r="J52" s="426"/>
      <c r="K52" s="426"/>
      <c r="L52" s="426"/>
      <c r="M52" s="426"/>
      <c r="N52" s="426"/>
      <c r="O52" s="426"/>
      <c r="P52" s="427">
        <f>SUM(compras_mes1[[#This Row],[NETO GRAVADO]:[Otros / No Grav.]])</f>
        <v>18799.999900000003</v>
      </c>
      <c r="Q52" s="428" t="str">
        <f>IFERROR(IF(compras_mes1[[#This Row],[CUIT]]="","-",VLOOKUP(compras_mes1[[#This Row],[CUIT]],Lista_CUIT[#All],3,0)),"CUIT NO CARGADO")</f>
        <v>Gastos Varios</v>
      </c>
      <c r="R52" s="428">
        <f>IFERROR(IF(compras_mes1[[#This Row],[CUIT]]="","-",VLOOKUP(compras_mes1[[#This Row],[CUIT]],Lista_CUIT[#All],4,0)),"CUIT NO CARGADO")</f>
        <v>0</v>
      </c>
    </row>
    <row r="53" spans="2:18" x14ac:dyDescent="0.25">
      <c r="B53" s="402" t="s">
        <v>2338</v>
      </c>
      <c r="C53" s="403">
        <v>1</v>
      </c>
      <c r="D53" s="285">
        <v>17</v>
      </c>
      <c r="E53" s="286">
        <v>2307</v>
      </c>
      <c r="F53" s="287">
        <v>30686489325</v>
      </c>
      <c r="G53" s="404" t="str">
        <f>IFERROR(IF(compras_mes1[[#This Row],[CUIT]]="","-",VLOOKUP(compras_mes1[[#This Row],[CUIT]],Lista_CUIT[#All],2,0)),"CUIT NO CARGADO")</f>
        <v>ELECTRICIDAD AREV S R L</v>
      </c>
      <c r="H53" s="405">
        <v>12228.36</v>
      </c>
      <c r="I53" s="406">
        <f>IF(compras_mes1[[#This Row],[NETO GRAVADO]]="","",compras_mes1[[#This Row],[NETO GRAVADO]]*0.21)</f>
        <v>2567.9556000000002</v>
      </c>
      <c r="J53" s="406"/>
      <c r="K53" s="406"/>
      <c r="L53" s="406"/>
      <c r="M53" s="406"/>
      <c r="N53" s="406">
        <v>733.7</v>
      </c>
      <c r="O53" s="406"/>
      <c r="P53" s="407">
        <f>SUM(compras_mes1[[#This Row],[NETO GRAVADO]:[Otros / No Grav.]])</f>
        <v>15530.015600000002</v>
      </c>
      <c r="Q53" s="408" t="str">
        <f>IFERROR(IF(compras_mes1[[#This Row],[CUIT]]="","-",VLOOKUP(compras_mes1[[#This Row],[CUIT]],Lista_CUIT[#All],3,0)),"CUIT NO CARGADO")</f>
        <v>Gastos Varios</v>
      </c>
      <c r="R53" s="408">
        <f>IFERROR(IF(compras_mes1[[#This Row],[CUIT]]="","-",VLOOKUP(compras_mes1[[#This Row],[CUIT]],Lista_CUIT[#All],4,0)),"CUIT NO CARGADO")</f>
        <v>0</v>
      </c>
    </row>
    <row r="54" spans="2:18" x14ac:dyDescent="0.25">
      <c r="B54" s="419" t="s">
        <v>2324</v>
      </c>
      <c r="C54" s="420">
        <v>1</v>
      </c>
      <c r="D54" s="421">
        <v>5</v>
      </c>
      <c r="E54" s="422">
        <v>19226</v>
      </c>
      <c r="F54" s="423">
        <v>30716006391</v>
      </c>
      <c r="G54" s="424" t="str">
        <f>IFERROR(IF(compras_mes1[[#This Row],[CUIT]]="","-",VLOOKUP(compras_mes1[[#This Row],[CUIT]],Lista_CUIT[#All],2,0)),"CUIT NO CARGADO")</f>
        <v>ALISSING</v>
      </c>
      <c r="H54" s="425">
        <v>12781.49</v>
      </c>
      <c r="I54" s="426">
        <f>IF(compras_mes1[[#This Row],[NETO GRAVADO]]="","",compras_mes1[[#This Row],[NETO GRAVADO]]*0.21)</f>
        <v>2684.1129000000001</v>
      </c>
      <c r="J54" s="426"/>
      <c r="K54" s="426"/>
      <c r="L54" s="426"/>
      <c r="M54" s="426"/>
      <c r="N54" s="426"/>
      <c r="O54" s="426"/>
      <c r="P54" s="427">
        <f>SUM(compras_mes1[[#This Row],[NETO GRAVADO]:[Otros / No Grav.]])</f>
        <v>15465.6029</v>
      </c>
      <c r="Q54" s="428" t="str">
        <f>IFERROR(IF(compras_mes1[[#This Row],[CUIT]]="","-",VLOOKUP(compras_mes1[[#This Row],[CUIT]],Lista_CUIT[#All],3,0)),"CUIT NO CARGADO")</f>
        <v>Gastos Varios</v>
      </c>
      <c r="R54" s="428">
        <f>IFERROR(IF(compras_mes1[[#This Row],[CUIT]]="","-",VLOOKUP(compras_mes1[[#This Row],[CUIT]],Lista_CUIT[#All],4,0)),"CUIT NO CARGADO")</f>
        <v>0</v>
      </c>
    </row>
    <row r="55" spans="2:18" x14ac:dyDescent="0.25">
      <c r="B55" s="419" t="s">
        <v>2324</v>
      </c>
      <c r="C55" s="420">
        <v>1</v>
      </c>
      <c r="D55" s="421">
        <v>5</v>
      </c>
      <c r="E55" s="422">
        <v>19227</v>
      </c>
      <c r="F55" s="423">
        <v>30716006391</v>
      </c>
      <c r="G55" s="424" t="str">
        <f>IFERROR(IF(compras_mes1[[#This Row],[CUIT]]="","-",VLOOKUP(compras_mes1[[#This Row],[CUIT]],Lista_CUIT[#All],2,0)),"CUIT NO CARGADO")</f>
        <v>ALISSING</v>
      </c>
      <c r="H55" s="425">
        <v>12781.49</v>
      </c>
      <c r="I55" s="426">
        <f>IF(compras_mes1[[#This Row],[NETO GRAVADO]]="","",compras_mes1[[#This Row],[NETO GRAVADO]]*0.21)</f>
        <v>2684.1129000000001</v>
      </c>
      <c r="J55" s="426"/>
      <c r="K55" s="426"/>
      <c r="L55" s="426"/>
      <c r="M55" s="426"/>
      <c r="N55" s="426"/>
      <c r="O55" s="426"/>
      <c r="P55" s="427">
        <f>SUM(compras_mes1[[#This Row],[NETO GRAVADO]:[Otros / No Grav.]])</f>
        <v>15465.6029</v>
      </c>
      <c r="Q55" s="428" t="str">
        <f>IFERROR(IF(compras_mes1[[#This Row],[CUIT]]="","-",VLOOKUP(compras_mes1[[#This Row],[CUIT]],Lista_CUIT[#All],3,0)),"CUIT NO CARGADO")</f>
        <v>Gastos Varios</v>
      </c>
      <c r="R55" s="428">
        <f>IFERROR(IF(compras_mes1[[#This Row],[CUIT]]="","-",VLOOKUP(compras_mes1[[#This Row],[CUIT]],Lista_CUIT[#All],4,0)),"CUIT NO CARGADO")</f>
        <v>0</v>
      </c>
    </row>
    <row r="56" spans="2:18" x14ac:dyDescent="0.25">
      <c r="B56" s="419" t="s">
        <v>2324</v>
      </c>
      <c r="C56" s="420">
        <v>1</v>
      </c>
      <c r="D56" s="421">
        <v>5</v>
      </c>
      <c r="E56" s="422">
        <v>19233</v>
      </c>
      <c r="F56" s="423">
        <v>30716006391</v>
      </c>
      <c r="G56" s="424" t="str">
        <f>IFERROR(IF(compras_mes1[[#This Row],[CUIT]]="","-",VLOOKUP(compras_mes1[[#This Row],[CUIT]],Lista_CUIT[#All],2,0)),"CUIT NO CARGADO")</f>
        <v>ALISSING</v>
      </c>
      <c r="H56" s="425">
        <v>12781.49</v>
      </c>
      <c r="I56" s="426">
        <f>IF(compras_mes1[[#This Row],[NETO GRAVADO]]="","",compras_mes1[[#This Row],[NETO GRAVADO]]*0.21)</f>
        <v>2684.1129000000001</v>
      </c>
      <c r="J56" s="426"/>
      <c r="K56" s="426"/>
      <c r="L56" s="426"/>
      <c r="M56" s="426"/>
      <c r="N56" s="426"/>
      <c r="O56" s="426"/>
      <c r="P56" s="427">
        <f>SUM(compras_mes1[[#This Row],[NETO GRAVADO]:[Otros / No Grav.]])</f>
        <v>15465.6029</v>
      </c>
      <c r="Q56" s="428" t="str">
        <f>IFERROR(IF(compras_mes1[[#This Row],[CUIT]]="","-",VLOOKUP(compras_mes1[[#This Row],[CUIT]],Lista_CUIT[#All],3,0)),"CUIT NO CARGADO")</f>
        <v>Gastos Varios</v>
      </c>
      <c r="R56" s="428">
        <f>IFERROR(IF(compras_mes1[[#This Row],[CUIT]]="","-",VLOOKUP(compras_mes1[[#This Row],[CUIT]],Lista_CUIT[#All],4,0)),"CUIT NO CARGADO")</f>
        <v>0</v>
      </c>
    </row>
    <row r="57" spans="2:18" x14ac:dyDescent="0.25">
      <c r="B57" s="419" t="s">
        <v>2324</v>
      </c>
      <c r="C57" s="420">
        <v>1</v>
      </c>
      <c r="D57" s="421">
        <v>5</v>
      </c>
      <c r="E57" s="422">
        <v>19234</v>
      </c>
      <c r="F57" s="423">
        <v>30716006391</v>
      </c>
      <c r="G57" s="424" t="str">
        <f>IFERROR(IF(compras_mes1[[#This Row],[CUIT]]="","-",VLOOKUP(compras_mes1[[#This Row],[CUIT]],Lista_CUIT[#All],2,0)),"CUIT NO CARGADO")</f>
        <v>ALISSING</v>
      </c>
      <c r="H57" s="425">
        <v>12781.49</v>
      </c>
      <c r="I57" s="426">
        <f>IF(compras_mes1[[#This Row],[NETO GRAVADO]]="","",compras_mes1[[#This Row],[NETO GRAVADO]]*0.21)</f>
        <v>2684.1129000000001</v>
      </c>
      <c r="J57" s="426"/>
      <c r="K57" s="426"/>
      <c r="L57" s="426"/>
      <c r="M57" s="426"/>
      <c r="N57" s="426"/>
      <c r="O57" s="426"/>
      <c r="P57" s="427">
        <f>SUM(compras_mes1[[#This Row],[NETO GRAVADO]:[Otros / No Grav.]])</f>
        <v>15465.6029</v>
      </c>
      <c r="Q57" s="428" t="str">
        <f>IFERROR(IF(compras_mes1[[#This Row],[CUIT]]="","-",VLOOKUP(compras_mes1[[#This Row],[CUIT]],Lista_CUIT[#All],3,0)),"CUIT NO CARGADO")</f>
        <v>Gastos Varios</v>
      </c>
      <c r="R57" s="428">
        <f>IFERROR(IF(compras_mes1[[#This Row],[CUIT]]="","-",VLOOKUP(compras_mes1[[#This Row],[CUIT]],Lista_CUIT[#All],4,0)),"CUIT NO CARGADO")</f>
        <v>0</v>
      </c>
    </row>
    <row r="58" spans="2:18" x14ac:dyDescent="0.25">
      <c r="B58" s="402" t="s">
        <v>2324</v>
      </c>
      <c r="C58" s="403">
        <v>1</v>
      </c>
      <c r="D58" s="285">
        <v>5</v>
      </c>
      <c r="E58" s="286">
        <v>19185</v>
      </c>
      <c r="F58" s="287">
        <v>30716006391</v>
      </c>
      <c r="G58" s="404" t="str">
        <f>IFERROR(IF(compras_mes1[[#This Row],[CUIT]]="","-",VLOOKUP(compras_mes1[[#This Row],[CUIT]],Lista_CUIT[#All],2,0)),"CUIT NO CARGADO")</f>
        <v>ALISSING</v>
      </c>
      <c r="H58" s="405">
        <v>12781.49</v>
      </c>
      <c r="I58" s="406">
        <f>IF(compras_mes1[[#This Row],[NETO GRAVADO]]="","",compras_mes1[[#This Row],[NETO GRAVADO]]*0.21)</f>
        <v>2684.1129000000001</v>
      </c>
      <c r="J58" s="406"/>
      <c r="K58" s="406"/>
      <c r="L58" s="406"/>
      <c r="M58" s="406"/>
      <c r="N58" s="406"/>
      <c r="O58" s="406"/>
      <c r="P58" s="407">
        <f>SUM(compras_mes1[[#This Row],[NETO GRAVADO]:[Otros / No Grav.]])</f>
        <v>15465.6029</v>
      </c>
      <c r="Q58" s="408" t="str">
        <f>IFERROR(IF(compras_mes1[[#This Row],[CUIT]]="","-",VLOOKUP(compras_mes1[[#This Row],[CUIT]],Lista_CUIT[#All],3,0)),"CUIT NO CARGADO")</f>
        <v>Gastos Varios</v>
      </c>
      <c r="R58" s="408">
        <f>IFERROR(IF(compras_mes1[[#This Row],[CUIT]]="","-",VLOOKUP(compras_mes1[[#This Row],[CUIT]],Lista_CUIT[#All],4,0)),"CUIT NO CARGADO")</f>
        <v>0</v>
      </c>
    </row>
    <row r="59" spans="2:18" x14ac:dyDescent="0.25">
      <c r="B59" s="402" t="s">
        <v>2324</v>
      </c>
      <c r="C59" s="403">
        <v>1</v>
      </c>
      <c r="D59" s="285">
        <v>5</v>
      </c>
      <c r="E59" s="286">
        <v>19186</v>
      </c>
      <c r="F59" s="287">
        <v>30716006391</v>
      </c>
      <c r="G59" s="404" t="str">
        <f>IFERROR(IF(compras_mes1[[#This Row],[CUIT]]="","-",VLOOKUP(compras_mes1[[#This Row],[CUIT]],Lista_CUIT[#All],2,0)),"CUIT NO CARGADO")</f>
        <v>ALISSING</v>
      </c>
      <c r="H59" s="405">
        <v>25562.97</v>
      </c>
      <c r="I59" s="406">
        <f>IF(compras_mes1[[#This Row],[NETO GRAVADO]]="","",compras_mes1[[#This Row],[NETO GRAVADO]]*0.21)</f>
        <v>5368.2237000000005</v>
      </c>
      <c r="J59" s="406"/>
      <c r="K59" s="406"/>
      <c r="L59" s="406"/>
      <c r="M59" s="406"/>
      <c r="N59" s="406"/>
      <c r="O59" s="406"/>
      <c r="P59" s="407">
        <f>SUM(compras_mes1[[#This Row],[NETO GRAVADO]:[Otros / No Grav.]])</f>
        <v>30931.193700000003</v>
      </c>
      <c r="Q59" s="408" t="str">
        <f>IFERROR(IF(compras_mes1[[#This Row],[CUIT]]="","-",VLOOKUP(compras_mes1[[#This Row],[CUIT]],Lista_CUIT[#All],3,0)),"CUIT NO CARGADO")</f>
        <v>Gastos Varios</v>
      </c>
      <c r="R59" s="408">
        <f>IFERROR(IF(compras_mes1[[#This Row],[CUIT]]="","-",VLOOKUP(compras_mes1[[#This Row],[CUIT]],Lista_CUIT[#All],4,0)),"CUIT NO CARGADO")</f>
        <v>0</v>
      </c>
    </row>
    <row r="60" spans="2:18" x14ac:dyDescent="0.25">
      <c r="B60" s="402" t="s">
        <v>2324</v>
      </c>
      <c r="C60" s="403">
        <v>1</v>
      </c>
      <c r="D60" s="285">
        <v>5</v>
      </c>
      <c r="E60" s="286">
        <v>19187</v>
      </c>
      <c r="F60" s="287">
        <v>30716006391</v>
      </c>
      <c r="G60" s="404" t="str">
        <f>IFERROR(IF(compras_mes1[[#This Row],[CUIT]]="","-",VLOOKUP(compras_mes1[[#This Row],[CUIT]],Lista_CUIT[#All],2,0)),"CUIT NO CARGADO")</f>
        <v>ALISSING</v>
      </c>
      <c r="H60" s="405">
        <v>25562.97</v>
      </c>
      <c r="I60" s="406">
        <f>IF(compras_mes1[[#This Row],[NETO GRAVADO]]="","",compras_mes1[[#This Row],[NETO GRAVADO]]*0.21)</f>
        <v>5368.2237000000005</v>
      </c>
      <c r="J60" s="406"/>
      <c r="K60" s="406"/>
      <c r="L60" s="406"/>
      <c r="M60" s="406"/>
      <c r="N60" s="406"/>
      <c r="O60" s="406"/>
      <c r="P60" s="407">
        <f>SUM(compras_mes1[[#This Row],[NETO GRAVADO]:[Otros / No Grav.]])</f>
        <v>30931.193700000003</v>
      </c>
      <c r="Q60" s="408" t="str">
        <f>IFERROR(IF(compras_mes1[[#This Row],[CUIT]]="","-",VLOOKUP(compras_mes1[[#This Row],[CUIT]],Lista_CUIT[#All],3,0)),"CUIT NO CARGADO")</f>
        <v>Gastos Varios</v>
      </c>
      <c r="R60" s="408">
        <f>IFERROR(IF(compras_mes1[[#This Row],[CUIT]]="","-",VLOOKUP(compras_mes1[[#This Row],[CUIT]],Lista_CUIT[#All],4,0)),"CUIT NO CARGADO")</f>
        <v>0</v>
      </c>
    </row>
    <row r="61" spans="2:18" x14ac:dyDescent="0.25">
      <c r="B61" s="402" t="s">
        <v>2324</v>
      </c>
      <c r="C61" s="403">
        <v>3</v>
      </c>
      <c r="D61" s="285">
        <v>5</v>
      </c>
      <c r="E61" s="286">
        <v>871</v>
      </c>
      <c r="F61" s="287">
        <v>30716006391</v>
      </c>
      <c r="G61" s="404" t="str">
        <f>IFERROR(IF(compras_mes1[[#This Row],[CUIT]]="","-",VLOOKUP(compras_mes1[[#This Row],[CUIT]],Lista_CUIT[#All],2,0)),"CUIT NO CARGADO")</f>
        <v>ALISSING</v>
      </c>
      <c r="H61" s="405">
        <v>-25562.97</v>
      </c>
      <c r="I61" s="406">
        <f>IF(compras_mes1[[#This Row],[NETO GRAVADO]]="","",compras_mes1[[#This Row],[NETO GRAVADO]]*0.21)</f>
        <v>-5368.2237000000005</v>
      </c>
      <c r="J61" s="406"/>
      <c r="K61" s="406"/>
      <c r="L61" s="406"/>
      <c r="M61" s="406"/>
      <c r="N61" s="406"/>
      <c r="O61" s="406"/>
      <c r="P61" s="407">
        <f>SUM(compras_mes1[[#This Row],[NETO GRAVADO]:[Otros / No Grav.]])</f>
        <v>-30931.193700000003</v>
      </c>
      <c r="Q61" s="408" t="str">
        <f>IFERROR(IF(compras_mes1[[#This Row],[CUIT]]="","-",VLOOKUP(compras_mes1[[#This Row],[CUIT]],Lista_CUIT[#All],3,0)),"CUIT NO CARGADO")</f>
        <v>Gastos Varios</v>
      </c>
      <c r="R61" s="408">
        <f>IFERROR(IF(compras_mes1[[#This Row],[CUIT]]="","-",VLOOKUP(compras_mes1[[#This Row],[CUIT]],Lista_CUIT[#All],4,0)),"CUIT NO CARGADO")</f>
        <v>0</v>
      </c>
    </row>
    <row r="62" spans="2:18" x14ac:dyDescent="0.25">
      <c r="B62" s="40" t="s">
        <v>2324</v>
      </c>
      <c r="C62" s="403">
        <v>3</v>
      </c>
      <c r="D62" s="42">
        <v>5</v>
      </c>
      <c r="E62" s="43">
        <v>872</v>
      </c>
      <c r="F62" s="44">
        <v>30716006391</v>
      </c>
      <c r="G62" s="45" t="str">
        <f>IFERROR(IF(compras_mes1[[#This Row],[CUIT]]="","-",VLOOKUP(compras_mes1[[#This Row],[CUIT]],Lista_CUIT[#All],2,0)),"CUIT NO CARGADO")</f>
        <v>ALISSING</v>
      </c>
      <c r="H62" s="46">
        <v>-25562.97</v>
      </c>
      <c r="I62" s="406">
        <f>IF(compras_mes1[[#This Row],[NETO GRAVADO]]="","",compras_mes1[[#This Row],[NETO GRAVADO]]*0.21)</f>
        <v>-5368.2237000000005</v>
      </c>
      <c r="J62" s="85"/>
      <c r="K62" s="85"/>
      <c r="L62" s="85"/>
      <c r="M62" s="85"/>
      <c r="N62" s="85"/>
      <c r="O62" s="85"/>
      <c r="P62" s="48">
        <f>SUM(compras_mes1[[#This Row],[NETO GRAVADO]:[Otros / No Grav.]])</f>
        <v>-30931.193700000003</v>
      </c>
      <c r="Q62" s="49" t="str">
        <f>IFERROR(IF(compras_mes1[[#This Row],[CUIT]]="","-",VLOOKUP(compras_mes1[[#This Row],[CUIT]],Lista_CUIT[#All],3,0)),"CUIT NO CARGADO")</f>
        <v>Gastos Varios</v>
      </c>
      <c r="R62" s="49">
        <f>IFERROR(IF(compras_mes1[[#This Row],[CUIT]]="","-",VLOOKUP(compras_mes1[[#This Row],[CUIT]],Lista_CUIT[#All],4,0)),"CUIT NO CARGADO")</f>
        <v>0</v>
      </c>
    </row>
    <row r="63" spans="2:18" x14ac:dyDescent="0.25">
      <c r="B63" s="419" t="s">
        <v>2325</v>
      </c>
      <c r="C63" s="420">
        <v>1</v>
      </c>
      <c r="D63" s="421">
        <v>5</v>
      </c>
      <c r="E63" s="422">
        <v>19260</v>
      </c>
      <c r="F63" s="423">
        <v>30716006391</v>
      </c>
      <c r="G63" s="424" t="str">
        <f>IFERROR(IF(compras_mes1[[#This Row],[CUIT]]="","-",VLOOKUP(compras_mes1[[#This Row],[CUIT]],Lista_CUIT[#All],2,0)),"CUIT NO CARGADO")</f>
        <v>ALISSING</v>
      </c>
      <c r="H63" s="425">
        <v>6390.74</v>
      </c>
      <c r="I63" s="426">
        <f>IF(compras_mes1[[#This Row],[NETO GRAVADO]]="","",compras_mes1[[#This Row],[NETO GRAVADO]]*0.21)</f>
        <v>1342.0554</v>
      </c>
      <c r="J63" s="426"/>
      <c r="K63" s="426"/>
      <c r="L63" s="426"/>
      <c r="M63" s="426"/>
      <c r="N63" s="426"/>
      <c r="O63" s="426"/>
      <c r="P63" s="427">
        <f>SUM(compras_mes1[[#This Row],[NETO GRAVADO]:[Otros / No Grav.]])</f>
        <v>7732.7954</v>
      </c>
      <c r="Q63" s="428" t="str">
        <f>IFERROR(IF(compras_mes1[[#This Row],[CUIT]]="","-",VLOOKUP(compras_mes1[[#This Row],[CUIT]],Lista_CUIT[#All],3,0)),"CUIT NO CARGADO")</f>
        <v>Gastos Varios</v>
      </c>
      <c r="R63" s="428">
        <f>IFERROR(IF(compras_mes1[[#This Row],[CUIT]]="","-",VLOOKUP(compras_mes1[[#This Row],[CUIT]],Lista_CUIT[#All],4,0)),"CUIT NO CARGADO")</f>
        <v>0</v>
      </c>
    </row>
    <row r="64" spans="2:18" x14ac:dyDescent="0.25">
      <c r="B64" s="419" t="s">
        <v>2325</v>
      </c>
      <c r="C64" s="420">
        <v>1</v>
      </c>
      <c r="D64" s="421">
        <v>5</v>
      </c>
      <c r="E64" s="422">
        <v>19261</v>
      </c>
      <c r="F64" s="423">
        <v>30716006391</v>
      </c>
      <c r="G64" s="424" t="str">
        <f>IFERROR(IF(compras_mes1[[#This Row],[CUIT]]="","-",VLOOKUP(compras_mes1[[#This Row],[CUIT]],Lista_CUIT[#All],2,0)),"CUIT NO CARGADO")</f>
        <v>ALISSING</v>
      </c>
      <c r="H64" s="425">
        <v>6390.74</v>
      </c>
      <c r="I64" s="426">
        <f>IF(compras_mes1[[#This Row],[NETO GRAVADO]]="","",compras_mes1[[#This Row],[NETO GRAVADO]]*0.21)</f>
        <v>1342.0554</v>
      </c>
      <c r="J64" s="426"/>
      <c r="K64" s="426"/>
      <c r="L64" s="426"/>
      <c r="M64" s="426"/>
      <c r="N64" s="426"/>
      <c r="O64" s="426"/>
      <c r="P64" s="427">
        <f>SUM(compras_mes1[[#This Row],[NETO GRAVADO]:[Otros / No Grav.]])</f>
        <v>7732.7954</v>
      </c>
      <c r="Q64" s="428" t="str">
        <f>IFERROR(IF(compras_mes1[[#This Row],[CUIT]]="","-",VLOOKUP(compras_mes1[[#This Row],[CUIT]],Lista_CUIT[#All],3,0)),"CUIT NO CARGADO")</f>
        <v>Gastos Varios</v>
      </c>
      <c r="R64" s="428">
        <f>IFERROR(IF(compras_mes1[[#This Row],[CUIT]]="","-",VLOOKUP(compras_mes1[[#This Row],[CUIT]],Lista_CUIT[#All],4,0)),"CUIT NO CARGADO")</f>
        <v>0</v>
      </c>
    </row>
    <row r="65" spans="2:18" x14ac:dyDescent="0.25">
      <c r="B65" s="419" t="s">
        <v>2325</v>
      </c>
      <c r="C65" s="420">
        <v>1</v>
      </c>
      <c r="D65" s="421">
        <v>5</v>
      </c>
      <c r="E65" s="422">
        <v>4153</v>
      </c>
      <c r="F65" s="423">
        <v>20409938311</v>
      </c>
      <c r="G65" s="424" t="str">
        <f>IFERROR(IF(compras_mes1[[#This Row],[CUIT]]="","-",VLOOKUP(compras_mes1[[#This Row],[CUIT]],Lista_CUIT[#All],2,0)),"CUIT NO CARGADO")</f>
        <v xml:space="preserve">ROSEMBERG NAHUEL </v>
      </c>
      <c r="H65" s="425">
        <v>49316.28</v>
      </c>
      <c r="I65" s="426">
        <f>IF(compras_mes1[[#This Row],[NETO GRAVADO]]="","",compras_mes1[[#This Row],[NETO GRAVADO]]*0.21)</f>
        <v>10356.418799999999</v>
      </c>
      <c r="J65" s="426"/>
      <c r="K65" s="426"/>
      <c r="L65" s="426"/>
      <c r="M65" s="426"/>
      <c r="N65" s="426"/>
      <c r="O65" s="426"/>
      <c r="P65" s="427">
        <f>SUM(compras_mes1[[#This Row],[NETO GRAVADO]:[Otros / No Grav.]])</f>
        <v>59672.698799999998</v>
      </c>
      <c r="Q65" s="428" t="str">
        <f>IFERROR(IF(compras_mes1[[#This Row],[CUIT]]="","-",VLOOKUP(compras_mes1[[#This Row],[CUIT]],Lista_CUIT[#All],3,0)),"CUIT NO CARGADO")</f>
        <v xml:space="preserve"> Gastos Limpieza</v>
      </c>
      <c r="R65" s="428">
        <f>IFERROR(IF(compras_mes1[[#This Row],[CUIT]]="","-",VLOOKUP(compras_mes1[[#This Row],[CUIT]],Lista_CUIT[#All],4,0)),"CUIT NO CARGADO")</f>
        <v>0</v>
      </c>
    </row>
    <row r="66" spans="2:18" x14ac:dyDescent="0.25">
      <c r="B66" s="402" t="s">
        <v>2325</v>
      </c>
      <c r="C66" s="403">
        <v>1</v>
      </c>
      <c r="D66" s="285">
        <v>6</v>
      </c>
      <c r="E66" s="286">
        <v>52839</v>
      </c>
      <c r="F66" s="287">
        <v>30709407895</v>
      </c>
      <c r="G66" s="404" t="str">
        <f>IFERROR(IF(compras_mes1[[#This Row],[CUIT]]="","-",VLOOKUP(compras_mes1[[#This Row],[CUIT]],Lista_CUIT[#All],2,0)),"CUIT NO CARGADO")</f>
        <v>SISTEMAS GAFF S.A.</v>
      </c>
      <c r="H66" s="405">
        <v>9322.31</v>
      </c>
      <c r="I66" s="406">
        <f>IF(compras_mes1[[#This Row],[NETO GRAVADO]]="","",compras_mes1[[#This Row],[NETO GRAVADO]]*0.21)</f>
        <v>1957.6850999999999</v>
      </c>
      <c r="J66" s="406"/>
      <c r="K66" s="406"/>
      <c r="L66" s="406"/>
      <c r="M66" s="406"/>
      <c r="N66" s="406"/>
      <c r="O66" s="406"/>
      <c r="P66" s="407">
        <f>SUM(compras_mes1[[#This Row],[NETO GRAVADO]:[Otros / No Grav.]])</f>
        <v>11279.9951</v>
      </c>
      <c r="Q66" s="408" t="str">
        <f>IFERROR(IF(compras_mes1[[#This Row],[CUIT]]="","-",VLOOKUP(compras_mes1[[#This Row],[CUIT]],Lista_CUIT[#All],3,0)),"CUIT NO CARGADO")</f>
        <v>Insumos</v>
      </c>
      <c r="R66" s="408">
        <f>IFERROR(IF(compras_mes1[[#This Row],[CUIT]]="","-",VLOOKUP(compras_mes1[[#This Row],[CUIT]],Lista_CUIT[#All],4,0)),"CUIT NO CARGADO")</f>
        <v>0</v>
      </c>
    </row>
    <row r="67" spans="2:18" x14ac:dyDescent="0.25">
      <c r="B67" s="40" t="s">
        <v>2325</v>
      </c>
      <c r="C67" s="403">
        <v>3</v>
      </c>
      <c r="D67" s="42">
        <v>5</v>
      </c>
      <c r="E67" s="43">
        <v>878</v>
      </c>
      <c r="F67" s="44">
        <v>30716006391</v>
      </c>
      <c r="G67" s="45" t="str">
        <f>IFERROR(IF(compras_mes1[[#This Row],[CUIT]]="","-",VLOOKUP(compras_mes1[[#This Row],[CUIT]],Lista_CUIT[#All],2,0)),"CUIT NO CARGADO")</f>
        <v>ALISSING</v>
      </c>
      <c r="H67" s="46">
        <v>-12781.49</v>
      </c>
      <c r="I67" s="406">
        <f>IF(compras_mes1[[#This Row],[NETO GRAVADO]]="","",compras_mes1[[#This Row],[NETO GRAVADO]]*0.21)</f>
        <v>-2684.1129000000001</v>
      </c>
      <c r="J67" s="85"/>
      <c r="K67" s="85"/>
      <c r="L67" s="85"/>
      <c r="M67" s="85"/>
      <c r="N67" s="85"/>
      <c r="O67" s="85"/>
      <c r="P67" s="48">
        <f>SUM(compras_mes1[[#This Row],[NETO GRAVADO]:[Otros / No Grav.]])</f>
        <v>-15465.6029</v>
      </c>
      <c r="Q67" s="49" t="str">
        <f>IFERROR(IF(compras_mes1[[#This Row],[CUIT]]="","-",VLOOKUP(compras_mes1[[#This Row],[CUIT]],Lista_CUIT[#All],3,0)),"CUIT NO CARGADO")</f>
        <v>Gastos Varios</v>
      </c>
      <c r="R67" s="49">
        <f>IFERROR(IF(compras_mes1[[#This Row],[CUIT]]="","-",VLOOKUP(compras_mes1[[#This Row],[CUIT]],Lista_CUIT[#All],4,0)),"CUIT NO CARGADO")</f>
        <v>0</v>
      </c>
    </row>
    <row r="68" spans="2:18" x14ac:dyDescent="0.25">
      <c r="B68" s="419" t="s">
        <v>2339</v>
      </c>
      <c r="C68" s="420">
        <v>1</v>
      </c>
      <c r="D68" s="421">
        <v>6</v>
      </c>
      <c r="E68" s="422">
        <v>38712</v>
      </c>
      <c r="F68" s="423">
        <v>30716164574</v>
      </c>
      <c r="G68" s="424" t="str">
        <f>IFERROR(IF(compras_mes1[[#This Row],[CUIT]]="","-",VLOOKUP(compras_mes1[[#This Row],[CUIT]],Lista_CUIT[#All],2,0)),"CUIT NO CARGADO")</f>
        <v>QUO MARKETING SRL</v>
      </c>
      <c r="H68" s="425">
        <v>12538.07</v>
      </c>
      <c r="I68" s="426">
        <f>IF(compras_mes1[[#This Row],[NETO GRAVADO]]="","",compras_mes1[[#This Row],[NETO GRAVADO]]*0.21)</f>
        <v>2632.9946999999997</v>
      </c>
      <c r="J68" s="426"/>
      <c r="K68" s="426"/>
      <c r="L68" s="426"/>
      <c r="M68" s="426"/>
      <c r="N68" s="426"/>
      <c r="O68" s="426"/>
      <c r="P68" s="427">
        <f>SUM(compras_mes1[[#This Row],[NETO GRAVADO]:[Otros / No Grav.]])</f>
        <v>15171.064699999999</v>
      </c>
      <c r="Q68" s="428" t="str">
        <f>IFERROR(IF(compras_mes1[[#This Row],[CUIT]]="","-",VLOOKUP(compras_mes1[[#This Row],[CUIT]],Lista_CUIT[#All],3,0)),"CUIT NO CARGADO")</f>
        <v xml:space="preserve"> Gastos Limpieza</v>
      </c>
      <c r="R68" s="428">
        <f>IFERROR(IF(compras_mes1[[#This Row],[CUIT]]="","-",VLOOKUP(compras_mes1[[#This Row],[CUIT]],Lista_CUIT[#All],4,0)),"CUIT NO CARGADO")</f>
        <v>0</v>
      </c>
    </row>
    <row r="69" spans="2:18" x14ac:dyDescent="0.25">
      <c r="B69" s="429" t="s">
        <v>2337</v>
      </c>
      <c r="C69" s="420">
        <v>1</v>
      </c>
      <c r="D69" s="430">
        <v>6</v>
      </c>
      <c r="E69" s="431">
        <v>26254</v>
      </c>
      <c r="F69" s="432">
        <v>33640878679</v>
      </c>
      <c r="G69" s="433" t="str">
        <f>IFERROR(IF(compras_mes1[[#This Row],[CUIT]]="","-",VLOOKUP(compras_mes1[[#This Row],[CUIT]],Lista_CUIT[#All],2,0)),"CUIT NO CARGADO")</f>
        <v>DHACAM S R L</v>
      </c>
      <c r="H69" s="434">
        <v>34545</v>
      </c>
      <c r="I69" s="426">
        <f>IF(compras_mes1[[#This Row],[NETO GRAVADO]]="","",compras_mes1[[#This Row],[NETO GRAVADO]]*0.21)</f>
        <v>7254.45</v>
      </c>
      <c r="J69" s="435"/>
      <c r="K69" s="435"/>
      <c r="L69" s="435"/>
      <c r="M69" s="435"/>
      <c r="N69" s="435"/>
      <c r="O69" s="435"/>
      <c r="P69" s="436">
        <f>SUM(compras_mes1[[#This Row],[NETO GRAVADO]:[Otros / No Grav.]])</f>
        <v>41799.449999999997</v>
      </c>
      <c r="Q69" s="437" t="str">
        <f>IFERROR(IF(compras_mes1[[#This Row],[CUIT]]="","-",VLOOKUP(compras_mes1[[#This Row],[CUIT]],Lista_CUIT[#All],3,0)),"CUIT NO CARGADO")</f>
        <v>Materia Prima</v>
      </c>
      <c r="R69" s="437">
        <f>IFERROR(IF(compras_mes1[[#This Row],[CUIT]]="","-",VLOOKUP(compras_mes1[[#This Row],[CUIT]],Lista_CUIT[#All],4,0)),"CUIT NO CARGADO")</f>
        <v>0</v>
      </c>
    </row>
    <row r="70" spans="2:18" x14ac:dyDescent="0.25">
      <c r="B70" s="40" t="s">
        <v>2316</v>
      </c>
      <c r="C70" s="403">
        <v>1</v>
      </c>
      <c r="D70" s="42">
        <v>3</v>
      </c>
      <c r="E70" s="43">
        <v>335900</v>
      </c>
      <c r="F70" s="44">
        <v>30709131865</v>
      </c>
      <c r="G70" s="45" t="str">
        <f>IFERROR(IF(compras_mes1[[#This Row],[CUIT]]="","-",VLOOKUP(compras_mes1[[#This Row],[CUIT]],Lista_CUIT[#All],2,0)),"CUIT NO CARGADO")</f>
        <v>EMPRENDIMIENTOS SATELITALES SA</v>
      </c>
      <c r="H70" s="46">
        <v>4832</v>
      </c>
      <c r="I70" s="406">
        <f>IF(compras_mes1[[#This Row],[NETO GRAVADO]]="","",compras_mes1[[#This Row],[NETO GRAVADO]]*0.21)</f>
        <v>1014.7199999999999</v>
      </c>
      <c r="J70" s="85"/>
      <c r="K70" s="85"/>
      <c r="L70" s="85"/>
      <c r="M70" s="85"/>
      <c r="N70" s="85"/>
      <c r="O70" s="85"/>
      <c r="P70" s="48">
        <f>SUM(compras_mes1[[#This Row],[NETO GRAVADO]:[Otros / No Grav.]])</f>
        <v>5846.72</v>
      </c>
      <c r="Q70" s="49" t="str">
        <f>IFERROR(IF(compras_mes1[[#This Row],[CUIT]]="","-",VLOOKUP(compras_mes1[[#This Row],[CUIT]],Lista_CUIT[#All],3,0)),"CUIT NO CARGADO")</f>
        <v>Mantenimiento Rodado</v>
      </c>
      <c r="R70" s="49">
        <f>IFERROR(IF(compras_mes1[[#This Row],[CUIT]]="","-",VLOOKUP(compras_mes1[[#This Row],[CUIT]],Lista_CUIT[#All],4,0)),"CUIT NO CARGADO")</f>
        <v>0</v>
      </c>
    </row>
    <row r="71" spans="2:18" x14ac:dyDescent="0.25">
      <c r="B71" s="402" t="s">
        <v>2327</v>
      </c>
      <c r="C71" s="403">
        <v>1</v>
      </c>
      <c r="D71" s="285">
        <v>3</v>
      </c>
      <c r="E71" s="286">
        <v>335946</v>
      </c>
      <c r="F71" s="287">
        <v>30709131865</v>
      </c>
      <c r="G71" s="404" t="str">
        <f>IFERROR(IF(compras_mes1[[#This Row],[CUIT]]="","-",VLOOKUP(compras_mes1[[#This Row],[CUIT]],Lista_CUIT[#All],2,0)),"CUIT NO CARGADO")</f>
        <v>EMPRENDIMIENTOS SATELITALES SA</v>
      </c>
      <c r="H71" s="405">
        <v>4832</v>
      </c>
      <c r="I71" s="406">
        <f>IF(compras_mes1[[#This Row],[NETO GRAVADO]]="","",compras_mes1[[#This Row],[NETO GRAVADO]]*0.21)</f>
        <v>1014.7199999999999</v>
      </c>
      <c r="J71" s="406"/>
      <c r="K71" s="406"/>
      <c r="L71" s="406"/>
      <c r="M71" s="406"/>
      <c r="N71" s="406"/>
      <c r="O71" s="406"/>
      <c r="P71" s="407">
        <f>SUM(compras_mes1[[#This Row],[NETO GRAVADO]:[Otros / No Grav.]])</f>
        <v>5846.72</v>
      </c>
      <c r="Q71" s="408" t="str">
        <f>IFERROR(IF(compras_mes1[[#This Row],[CUIT]]="","-",VLOOKUP(compras_mes1[[#This Row],[CUIT]],Lista_CUIT[#All],3,0)),"CUIT NO CARGADO")</f>
        <v>Mantenimiento Rodado</v>
      </c>
      <c r="R71" s="408">
        <f>IFERROR(IF(compras_mes1[[#This Row],[CUIT]]="","-",VLOOKUP(compras_mes1[[#This Row],[CUIT]],Lista_CUIT[#All],4,0)),"CUIT NO CARGADO")</f>
        <v>0</v>
      </c>
    </row>
    <row r="72" spans="2:18" x14ac:dyDescent="0.25">
      <c r="B72" s="429" t="s">
        <v>2316</v>
      </c>
      <c r="C72" s="420">
        <v>1</v>
      </c>
      <c r="D72" s="430">
        <v>4</v>
      </c>
      <c r="E72" s="431">
        <v>48501</v>
      </c>
      <c r="F72" s="432">
        <v>30709863076</v>
      </c>
      <c r="G72" s="433" t="str">
        <f>IFERROR(IF(compras_mes1[[#This Row],[CUIT]]="","-",VLOOKUP(compras_mes1[[#This Row],[CUIT]],Lista_CUIT[#All],2,0)),"CUIT NO CARGADO")</f>
        <v>INDUSTRIAS PLASTICOS SALTA S.R.L.</v>
      </c>
      <c r="H72" s="434">
        <v>42975.21</v>
      </c>
      <c r="I72" s="426">
        <f>IF(compras_mes1[[#This Row],[NETO GRAVADO]]="","",compras_mes1[[#This Row],[NETO GRAVADO]]*0.21)</f>
        <v>9024.7940999999992</v>
      </c>
      <c r="J72" s="435"/>
      <c r="K72" s="435"/>
      <c r="L72" s="435"/>
      <c r="M72" s="435"/>
      <c r="N72" s="435"/>
      <c r="O72" s="435"/>
      <c r="P72" s="436">
        <f>SUM(compras_mes1[[#This Row],[NETO GRAVADO]:[Otros / No Grav.]])</f>
        <v>52000.004099999998</v>
      </c>
      <c r="Q72" s="437" t="str">
        <f>IFERROR(IF(compras_mes1[[#This Row],[CUIT]]="","-",VLOOKUP(compras_mes1[[#This Row],[CUIT]],Lista_CUIT[#All],3,0)),"CUIT NO CARGADO")</f>
        <v>Materia Prima</v>
      </c>
      <c r="R72" s="437">
        <f>IFERROR(IF(compras_mes1[[#This Row],[CUIT]]="","-",VLOOKUP(compras_mes1[[#This Row],[CUIT]],Lista_CUIT[#All],4,0)),"CUIT NO CARGADO")</f>
        <v>0</v>
      </c>
    </row>
    <row r="73" spans="2:18" x14ac:dyDescent="0.25">
      <c r="B73" s="40" t="s">
        <v>2331</v>
      </c>
      <c r="C73" s="403">
        <v>1</v>
      </c>
      <c r="D73" s="42">
        <v>1</v>
      </c>
      <c r="E73" s="43">
        <v>23</v>
      </c>
      <c r="F73" s="44">
        <v>30717504824</v>
      </c>
      <c r="G73" s="45" t="str">
        <f>IFERROR(IF(compras_mes1[[#This Row],[CUIT]]="","-",VLOOKUP(compras_mes1[[#This Row],[CUIT]],Lista_CUIT[#All],2,0)),"CUIT NO CARGADO")</f>
        <v>FIDEICOMISO MAMBA</v>
      </c>
      <c r="H73" s="46">
        <v>2673303.14</v>
      </c>
      <c r="I73" s="406"/>
      <c r="J73" s="85"/>
      <c r="K73" s="85">
        <f>compras_mes1[[#This Row],[NETO GRAVADO]]*0.105</f>
        <v>280696.8297</v>
      </c>
      <c r="L73" s="85"/>
      <c r="M73" s="85"/>
      <c r="N73" s="85"/>
      <c r="O73" s="85"/>
      <c r="P73" s="48">
        <f>SUM(compras_mes1[[#This Row],[NETO GRAVADO]:[Otros / No Grav.]])</f>
        <v>2953999.9697000002</v>
      </c>
      <c r="Q73" s="49" t="str">
        <f>IFERROR(IF(compras_mes1[[#This Row],[CUIT]]="","-",VLOOKUP(compras_mes1[[#This Row],[CUIT]],Lista_CUIT[#All],3,0)),"CUIT NO CARGADO")</f>
        <v>MANTENIMIENTO</v>
      </c>
      <c r="R73" s="49">
        <f>IFERROR(IF(compras_mes1[[#This Row],[CUIT]]="","-",VLOOKUP(compras_mes1[[#This Row],[CUIT]],Lista_CUIT[#All],4,0)),"CUIT NO CARGADO")</f>
        <v>0</v>
      </c>
    </row>
    <row r="74" spans="2:18" x14ac:dyDescent="0.25">
      <c r="B74" s="402" t="s">
        <v>2330</v>
      </c>
      <c r="C74" s="403">
        <v>1</v>
      </c>
      <c r="D74" s="285">
        <v>14</v>
      </c>
      <c r="E74" s="286">
        <v>15726</v>
      </c>
      <c r="F74" s="287">
        <v>30715186256</v>
      </c>
      <c r="G74" s="404" t="str">
        <f>IFERROR(IF(compras_mes1[[#This Row],[CUIT]]="","-",VLOOKUP(compras_mes1[[#This Row],[CUIT]],Lista_CUIT[#All],2,0)),"CUIT NO CARGADO")</f>
        <v>FRIGORIFICO ALIMENTIC</v>
      </c>
      <c r="H74" s="405">
        <v>97074.14</v>
      </c>
      <c r="I74" s="406">
        <v>4246.04</v>
      </c>
      <c r="J74" s="406"/>
      <c r="K74" s="406">
        <v>8069.77</v>
      </c>
      <c r="L74" s="406"/>
      <c r="M74" s="406"/>
      <c r="N74" s="406"/>
      <c r="O74" s="406"/>
      <c r="P74" s="407">
        <f>SUM(compras_mes1[[#This Row],[NETO GRAVADO]:[Otros / No Grav.]])</f>
        <v>109389.95</v>
      </c>
      <c r="Q74" s="408" t="str">
        <f>IFERROR(IF(compras_mes1[[#This Row],[CUIT]]="","-",VLOOKUP(compras_mes1[[#This Row],[CUIT]],Lista_CUIT[#All],3,0)),"CUIT NO CARGADO")</f>
        <v>Gastos Comercializacion - Feria</v>
      </c>
      <c r="R74" s="408">
        <f>IFERROR(IF(compras_mes1[[#This Row],[CUIT]]="","-",VLOOKUP(compras_mes1[[#This Row],[CUIT]],Lista_CUIT[#All],4,0)),"CUIT NO CARGADO")</f>
        <v>0</v>
      </c>
    </row>
    <row r="75" spans="2:18" x14ac:dyDescent="0.25">
      <c r="B75" s="419" t="s">
        <v>2335</v>
      </c>
      <c r="C75" s="420">
        <v>1</v>
      </c>
      <c r="D75" s="421">
        <v>4</v>
      </c>
      <c r="E75" s="422">
        <v>48617</v>
      </c>
      <c r="F75" s="423">
        <v>30709863076</v>
      </c>
      <c r="G75" s="424" t="str">
        <f>IFERROR(IF(compras_mes1[[#This Row],[CUIT]]="","-",VLOOKUP(compras_mes1[[#This Row],[CUIT]],Lista_CUIT[#All],2,0)),"CUIT NO CARGADO")</f>
        <v>INDUSTRIAS PLASTICOS SALTA S.R.L.</v>
      </c>
      <c r="H75" s="425">
        <v>2264040</v>
      </c>
      <c r="I75" s="426">
        <f>IF(compras_mes1[[#This Row],[NETO GRAVADO]]="","",compras_mes1[[#This Row],[NETO GRAVADO]]*0.21)</f>
        <v>475448.39999999997</v>
      </c>
      <c r="J75" s="426"/>
      <c r="K75" s="426"/>
      <c r="L75" s="426"/>
      <c r="M75" s="426"/>
      <c r="N75" s="426"/>
      <c r="O75" s="426"/>
      <c r="P75" s="427">
        <f>SUM(compras_mes1[[#This Row],[NETO GRAVADO]:[Otros / No Grav.]])</f>
        <v>2739488.4</v>
      </c>
      <c r="Q75" s="428" t="str">
        <f>IFERROR(IF(compras_mes1[[#This Row],[CUIT]]="","-",VLOOKUP(compras_mes1[[#This Row],[CUIT]],Lista_CUIT[#All],3,0)),"CUIT NO CARGADO")</f>
        <v>Materia Prima</v>
      </c>
      <c r="R75" s="428">
        <f>IFERROR(IF(compras_mes1[[#This Row],[CUIT]]="","-",VLOOKUP(compras_mes1[[#This Row],[CUIT]],Lista_CUIT[#All],4,0)),"CUIT NO CARGADO")</f>
        <v>0</v>
      </c>
    </row>
    <row r="76" spans="2:18" x14ac:dyDescent="0.25">
      <c r="B76" s="402" t="s">
        <v>2340</v>
      </c>
      <c r="C76" s="403">
        <v>1</v>
      </c>
      <c r="D76" s="285">
        <v>11</v>
      </c>
      <c r="E76" s="286">
        <v>1106898</v>
      </c>
      <c r="F76" s="287">
        <v>33709585229</v>
      </c>
      <c r="G76" s="404" t="str">
        <f>IFERROR(IF(compras_mes1[[#This Row],[CUIT]]="","-",VLOOKUP(compras_mes1[[#This Row],[CUIT]],Lista_CUIT[#All],2,0)),"CUIT NO CARGADO")</f>
        <v>GOOGLE ARGENTINA S.R.L.</v>
      </c>
      <c r="H76" s="405">
        <v>398731.48</v>
      </c>
      <c r="I76" s="406">
        <f>IF(compras_mes1[[#This Row],[NETO GRAVADO]]="","",compras_mes1[[#This Row],[NETO GRAVADO]]*0.21)</f>
        <v>83733.610799999995</v>
      </c>
      <c r="J76" s="406"/>
      <c r="K76" s="406"/>
      <c r="L76" s="406"/>
      <c r="M76" s="406"/>
      <c r="N76" s="406">
        <v>81670.179999999993</v>
      </c>
      <c r="O76" s="406">
        <v>11961.94</v>
      </c>
      <c r="P76" s="407">
        <f>SUM(compras_mes1[[#This Row],[NETO GRAVADO]:[Otros / No Grav.]])</f>
        <v>576097.2108</v>
      </c>
      <c r="Q76" s="408" t="str">
        <f>IFERROR(IF(compras_mes1[[#This Row],[CUIT]]="","-",VLOOKUP(compras_mes1[[#This Row],[CUIT]],Lista_CUIT[#All],3,0)),"CUIT NO CARGADO")</f>
        <v>Gastos Comercializacion</v>
      </c>
      <c r="R76" s="408">
        <f>IFERROR(IF(compras_mes1[[#This Row],[CUIT]]="","-",VLOOKUP(compras_mes1[[#This Row],[CUIT]],Lista_CUIT[#All],4,0)),"CUIT NO CARGADO")</f>
        <v>0</v>
      </c>
    </row>
    <row r="77" spans="2:18" x14ac:dyDescent="0.25">
      <c r="B77" s="402" t="s">
        <v>2340</v>
      </c>
      <c r="C77" s="403">
        <v>3</v>
      </c>
      <c r="D77" s="285">
        <v>11</v>
      </c>
      <c r="E77" s="286">
        <v>794471</v>
      </c>
      <c r="F77" s="287">
        <v>33709585229</v>
      </c>
      <c r="G77" s="404" t="str">
        <f>IFERROR(IF(compras_mes1[[#This Row],[CUIT]]="","-",VLOOKUP(compras_mes1[[#This Row],[CUIT]],Lista_CUIT[#All],2,0)),"CUIT NO CARGADO")</f>
        <v>GOOGLE ARGENTINA S.R.L.</v>
      </c>
      <c r="H77" s="405">
        <v>-278.61</v>
      </c>
      <c r="I77" s="406">
        <f>IF(compras_mes1[[#This Row],[NETO GRAVADO]]="","",compras_mes1[[#This Row],[NETO GRAVADO]]*0.21)</f>
        <v>-58.508099999999999</v>
      </c>
      <c r="J77" s="406"/>
      <c r="K77" s="406"/>
      <c r="L77" s="406"/>
      <c r="M77" s="406"/>
      <c r="N77" s="406">
        <v>-36.840000000000003</v>
      </c>
      <c r="O77" s="406"/>
      <c r="P77" s="407">
        <f>SUM(compras_mes1[[#This Row],[NETO GRAVADO]:[Otros / No Grav.]])</f>
        <v>-373.95810000000006</v>
      </c>
      <c r="Q77" s="408" t="str">
        <f>IFERROR(IF(compras_mes1[[#This Row],[CUIT]]="","-",VLOOKUP(compras_mes1[[#This Row],[CUIT]],Lista_CUIT[#All],3,0)),"CUIT NO CARGADO")</f>
        <v>Gastos Comercializacion</v>
      </c>
      <c r="R77" s="408">
        <f>IFERROR(IF(compras_mes1[[#This Row],[CUIT]]="","-",VLOOKUP(compras_mes1[[#This Row],[CUIT]],Lista_CUIT[#All],4,0)),"CUIT NO CARGADO")</f>
        <v>0</v>
      </c>
    </row>
    <row r="78" spans="2:18" x14ac:dyDescent="0.25">
      <c r="B78" s="402" t="s">
        <v>2326</v>
      </c>
      <c r="C78" s="403">
        <v>1</v>
      </c>
      <c r="D78" s="285">
        <v>629</v>
      </c>
      <c r="E78" s="286">
        <v>5743055</v>
      </c>
      <c r="F78" s="287">
        <v>30663498513</v>
      </c>
      <c r="G78" s="404" t="str">
        <f>IFERROR(IF(compras_mes1[[#This Row],[CUIT]]="","-",VLOOKUP(compras_mes1[[#This Row],[CUIT]],Lista_CUIT[#All],2,0)),"CUIT NO CARGADO")</f>
        <v>GRUPO CONCES. DEL OESTE SA</v>
      </c>
      <c r="H78" s="405">
        <v>31661.77</v>
      </c>
      <c r="I78" s="406">
        <f>IF(compras_mes1[[#This Row],[NETO GRAVADO]]="","",compras_mes1[[#This Row],[NETO GRAVADO]]*0.21)</f>
        <v>6648.9717000000001</v>
      </c>
      <c r="J78" s="406"/>
      <c r="K78" s="406"/>
      <c r="L78" s="406"/>
      <c r="M78" s="406"/>
      <c r="N78" s="406"/>
      <c r="O78" s="406"/>
      <c r="P78" s="407">
        <f>SUM(compras_mes1[[#This Row],[NETO GRAVADO]:[Otros / No Grav.]])</f>
        <v>38310.741699999999</v>
      </c>
      <c r="Q78" s="408" t="str">
        <f>IFERROR(IF(compras_mes1[[#This Row],[CUIT]]="","-",VLOOKUP(compras_mes1[[#This Row],[CUIT]],Lista_CUIT[#All],3,0)),"CUIT NO CARGADO")</f>
        <v>Peajes</v>
      </c>
      <c r="R78" s="408">
        <f>IFERROR(IF(compras_mes1[[#This Row],[CUIT]]="","-",VLOOKUP(compras_mes1[[#This Row],[CUIT]],Lista_CUIT[#All],4,0)),"CUIT NO CARGADO")</f>
        <v>0</v>
      </c>
    </row>
    <row r="79" spans="2:18" x14ac:dyDescent="0.25">
      <c r="B79" s="402" t="s">
        <v>2321</v>
      </c>
      <c r="C79" s="403">
        <v>1</v>
      </c>
      <c r="D79" s="285">
        <v>629</v>
      </c>
      <c r="E79" s="286">
        <v>5784055</v>
      </c>
      <c r="F79" s="287">
        <v>30663498513</v>
      </c>
      <c r="G79" s="404" t="str">
        <f>IFERROR(IF(compras_mes1[[#This Row],[CUIT]]="","-",VLOOKUP(compras_mes1[[#This Row],[CUIT]],Lista_CUIT[#All],2,0)),"CUIT NO CARGADO")</f>
        <v>GRUPO CONCES. DEL OESTE SA</v>
      </c>
      <c r="H79" s="405">
        <v>33741.760000000002</v>
      </c>
      <c r="I79" s="406">
        <f>IF(compras_mes1[[#This Row],[NETO GRAVADO]]="","",compras_mes1[[#This Row],[NETO GRAVADO]]*0.21)</f>
        <v>7085.7696000000005</v>
      </c>
      <c r="J79" s="406"/>
      <c r="K79" s="406"/>
      <c r="L79" s="406"/>
      <c r="M79" s="406"/>
      <c r="N79" s="406"/>
      <c r="O79" s="406"/>
      <c r="P79" s="407">
        <f>SUM(compras_mes1[[#This Row],[NETO GRAVADO]:[Otros / No Grav.]])</f>
        <v>40827.529600000002</v>
      </c>
      <c r="Q79" s="408" t="str">
        <f>IFERROR(IF(compras_mes1[[#This Row],[CUIT]]="","-",VLOOKUP(compras_mes1[[#This Row],[CUIT]],Lista_CUIT[#All],3,0)),"CUIT NO CARGADO")</f>
        <v>Peajes</v>
      </c>
      <c r="R79" s="408">
        <f>IFERROR(IF(compras_mes1[[#This Row],[CUIT]]="","-",VLOOKUP(compras_mes1[[#This Row],[CUIT]],Lista_CUIT[#All],4,0)),"CUIT NO CARGADO")</f>
        <v>0</v>
      </c>
    </row>
    <row r="80" spans="2:18" x14ac:dyDescent="0.25">
      <c r="B80" s="419" t="s">
        <v>2315</v>
      </c>
      <c r="C80" s="420">
        <v>1</v>
      </c>
      <c r="D80" s="421">
        <v>1</v>
      </c>
      <c r="E80" s="422">
        <v>149</v>
      </c>
      <c r="F80" s="423">
        <v>30716010313</v>
      </c>
      <c r="G80" s="424" t="str">
        <f>IFERROR(IF(compras_mes1[[#This Row],[CUIT]]="","-",VLOOKUP(compras_mes1[[#This Row],[CUIT]],Lista_CUIT[#All],2,0)),"CUIT NO CARGADO")</f>
        <v>H UNO 1469 S.A.</v>
      </c>
      <c r="H80" s="425">
        <v>500000</v>
      </c>
      <c r="I80" s="426">
        <f>IF(compras_mes1[[#This Row],[NETO GRAVADO]]="","",compras_mes1[[#This Row],[NETO GRAVADO]]*0.21)</f>
        <v>105000</v>
      </c>
      <c r="J80" s="426"/>
      <c r="K80" s="426"/>
      <c r="L80" s="426"/>
      <c r="M80" s="426"/>
      <c r="N80" s="426"/>
      <c r="O80" s="426"/>
      <c r="P80" s="427">
        <f>SUM(compras_mes1[[#This Row],[NETO GRAVADO]:[Otros / No Grav.]])</f>
        <v>605000</v>
      </c>
      <c r="Q80" s="428" t="str">
        <f>IFERROR(IF(compras_mes1[[#This Row],[CUIT]]="","-",VLOOKUP(compras_mes1[[#This Row],[CUIT]],Lista_CUIT[#All],3,0)),"CUIT NO CARGADO")</f>
        <v>Alquiler</v>
      </c>
      <c r="R80" s="428">
        <f>IFERROR(IF(compras_mes1[[#This Row],[CUIT]]="","-",VLOOKUP(compras_mes1[[#This Row],[CUIT]],Lista_CUIT[#All],4,0)),"CUIT NO CARGADO")</f>
        <v>0</v>
      </c>
    </row>
    <row r="81" spans="2:18" x14ac:dyDescent="0.25">
      <c r="B81" s="40" t="s">
        <v>2318</v>
      </c>
      <c r="C81" s="403">
        <v>1</v>
      </c>
      <c r="D81" s="42">
        <v>1005</v>
      </c>
      <c r="E81" s="43">
        <v>89159</v>
      </c>
      <c r="F81" s="44">
        <v>20338116978</v>
      </c>
      <c r="G81" s="45" t="str">
        <f>IFERROR(IF(compras_mes1[[#This Row],[CUIT]]="","-",VLOOKUP(compras_mes1[[#This Row],[CUIT]],Lista_CUIT[#All],2,0)),"CUIT NO CARGADO")</f>
        <v>HERBAS ESPINOZA GABRIEL MATIAS</v>
      </c>
      <c r="H81" s="46">
        <v>2892.56</v>
      </c>
      <c r="I81" s="406">
        <f>IF(compras_mes1[[#This Row],[NETO GRAVADO]]="","",compras_mes1[[#This Row],[NETO GRAVADO]]*0.21)</f>
        <v>607.43759999999997</v>
      </c>
      <c r="J81" s="85"/>
      <c r="K81" s="85"/>
      <c r="L81" s="85"/>
      <c r="M81" s="85"/>
      <c r="N81" s="85"/>
      <c r="O81" s="85"/>
      <c r="P81" s="48">
        <f>SUM(compras_mes1[[#This Row],[NETO GRAVADO]:[Otros / No Grav.]])</f>
        <v>3499.9975999999997</v>
      </c>
      <c r="Q81" s="49" t="str">
        <f>IFERROR(IF(compras_mes1[[#This Row],[CUIT]]="","-",VLOOKUP(compras_mes1[[#This Row],[CUIT]],Lista_CUIT[#All],3,0)),"CUIT NO CARGADO")</f>
        <v>Gastos Varios</v>
      </c>
      <c r="R81" s="49">
        <f>IFERROR(IF(compras_mes1[[#This Row],[CUIT]]="","-",VLOOKUP(compras_mes1[[#This Row],[CUIT]],Lista_CUIT[#All],4,0)),"CUIT NO CARGADO")</f>
        <v>0</v>
      </c>
    </row>
    <row r="82" spans="2:18" x14ac:dyDescent="0.25">
      <c r="B82" s="402" t="s">
        <v>2321</v>
      </c>
      <c r="C82" s="403">
        <v>1</v>
      </c>
      <c r="D82" s="285">
        <v>4</v>
      </c>
      <c r="E82" s="286">
        <v>217</v>
      </c>
      <c r="F82" s="287">
        <v>27317740196</v>
      </c>
      <c r="G82" s="404" t="str">
        <f>IFERROR(IF(compras_mes1[[#This Row],[CUIT]]="","-",VLOOKUP(compras_mes1[[#This Row],[CUIT]],Lista_CUIT[#All],2,0)),"CUIT NO CARGADO")</f>
        <v>HOKAMA ROMINA PAOLA</v>
      </c>
      <c r="H82" s="405">
        <v>29131.42</v>
      </c>
      <c r="I82" s="406">
        <f>IF(compras_mes1[[#This Row],[NETO GRAVADO]]="","",compras_mes1[[#This Row],[NETO GRAVADO]]*0.21)</f>
        <v>6117.5981999999995</v>
      </c>
      <c r="J82" s="406"/>
      <c r="K82" s="406"/>
      <c r="L82" s="406"/>
      <c r="M82" s="406"/>
      <c r="N82" s="406"/>
      <c r="O82" s="406"/>
      <c r="P82" s="407">
        <f>SUM(compras_mes1[[#This Row],[NETO GRAVADO]:[Otros / No Grav.]])</f>
        <v>35249.018199999999</v>
      </c>
      <c r="Q82" s="408" t="str">
        <f>IFERROR(IF(compras_mes1[[#This Row],[CUIT]]="","-",VLOOKUP(compras_mes1[[#This Row],[CUIT]],Lista_CUIT[#All],3,0)),"CUIT NO CARGADO")</f>
        <v>Gastos Varios</v>
      </c>
      <c r="R82" s="408">
        <f>IFERROR(IF(compras_mes1[[#This Row],[CUIT]]="","-",VLOOKUP(compras_mes1[[#This Row],[CUIT]],Lista_CUIT[#All],4,0)),"CUIT NO CARGADO")</f>
        <v>0</v>
      </c>
    </row>
    <row r="83" spans="2:18" x14ac:dyDescent="0.25">
      <c r="B83" s="40" t="s">
        <v>2322</v>
      </c>
      <c r="C83" s="403">
        <v>1</v>
      </c>
      <c r="D83" s="42">
        <v>4</v>
      </c>
      <c r="E83" s="43">
        <v>227</v>
      </c>
      <c r="F83" s="44">
        <v>27317740196</v>
      </c>
      <c r="G83" s="45" t="str">
        <f>IFERROR(IF(compras_mes1[[#This Row],[CUIT]]="","-",VLOOKUP(compras_mes1[[#This Row],[CUIT]],Lista_CUIT[#All],2,0)),"CUIT NO CARGADO")</f>
        <v>HOKAMA ROMINA PAOLA</v>
      </c>
      <c r="H83" s="46">
        <v>40798.33</v>
      </c>
      <c r="I83" s="406">
        <f>IF(compras_mes1[[#This Row],[NETO GRAVADO]]="","",compras_mes1[[#This Row],[NETO GRAVADO]]*0.21)</f>
        <v>8567.6493000000009</v>
      </c>
      <c r="J83" s="85"/>
      <c r="K83" s="85"/>
      <c r="L83" s="85"/>
      <c r="M83" s="85"/>
      <c r="N83" s="85"/>
      <c r="O83" s="85"/>
      <c r="P83" s="48">
        <f>SUM(compras_mes1[[#This Row],[NETO GRAVADO]:[Otros / No Grav.]])</f>
        <v>49365.979300000006</v>
      </c>
      <c r="Q83" s="49" t="str">
        <f>IFERROR(IF(compras_mes1[[#This Row],[CUIT]]="","-",VLOOKUP(compras_mes1[[#This Row],[CUIT]],Lista_CUIT[#All],3,0)),"CUIT NO CARGADO")</f>
        <v>Gastos Varios</v>
      </c>
      <c r="R83" s="49">
        <f>IFERROR(IF(compras_mes1[[#This Row],[CUIT]]="","-",VLOOKUP(compras_mes1[[#This Row],[CUIT]],Lista_CUIT[#All],4,0)),"CUIT NO CARGADO")</f>
        <v>0</v>
      </c>
    </row>
    <row r="84" spans="2:18" x14ac:dyDescent="0.25">
      <c r="B84" s="419" t="s">
        <v>2317</v>
      </c>
      <c r="C84" s="420">
        <v>1</v>
      </c>
      <c r="D84" s="421">
        <v>9</v>
      </c>
      <c r="E84" s="422">
        <v>10742</v>
      </c>
      <c r="F84" s="423">
        <v>30709953482</v>
      </c>
      <c r="G84" s="424" t="str">
        <f>IFERROR(IF(compras_mes1[[#This Row],[CUIT]]="","-",VLOOKUP(compras_mes1[[#This Row],[CUIT]],Lista_CUIT[#All],2,0)),"CUIT NO CARGADO")</f>
        <v>HONRE S.A</v>
      </c>
      <c r="H84" s="425">
        <v>29234.02</v>
      </c>
      <c r="I84" s="426">
        <f>IF(compras_mes1[[#This Row],[NETO GRAVADO]]="","",compras_mes1[[#This Row],[NETO GRAVADO]]*0.21)</f>
        <v>6139.1441999999997</v>
      </c>
      <c r="J84" s="426"/>
      <c r="K84" s="426"/>
      <c r="L84" s="426"/>
      <c r="M84" s="426"/>
      <c r="N84" s="426"/>
      <c r="O84" s="426"/>
      <c r="P84" s="427">
        <f>SUM(compras_mes1[[#This Row],[NETO GRAVADO]:[Otros / No Grav.]])</f>
        <v>35373.164199999999</v>
      </c>
      <c r="Q84" s="428" t="str">
        <f>IFERROR(IF(compras_mes1[[#This Row],[CUIT]]="","-",VLOOKUP(compras_mes1[[#This Row],[CUIT]],Lista_CUIT[#All],3,0)),"CUIT NO CARGADO")</f>
        <v>Gastos Limpieza</v>
      </c>
      <c r="R84" s="428">
        <f>IFERROR(IF(compras_mes1[[#This Row],[CUIT]]="","-",VLOOKUP(compras_mes1[[#This Row],[CUIT]],Lista_CUIT[#All],4,0)),"CUIT NO CARGADO")</f>
        <v>0</v>
      </c>
    </row>
    <row r="85" spans="2:18" x14ac:dyDescent="0.25">
      <c r="B85" s="419" t="s">
        <v>2317</v>
      </c>
      <c r="C85" s="420">
        <v>1</v>
      </c>
      <c r="D85" s="421">
        <v>9</v>
      </c>
      <c r="E85" s="422">
        <v>10743</v>
      </c>
      <c r="F85" s="423">
        <v>30709953482</v>
      </c>
      <c r="G85" s="424" t="str">
        <f>IFERROR(IF(compras_mes1[[#This Row],[CUIT]]="","-",VLOOKUP(compras_mes1[[#This Row],[CUIT]],Lista_CUIT[#All],2,0)),"CUIT NO CARGADO")</f>
        <v>HONRE S.A</v>
      </c>
      <c r="H85" s="425">
        <v>29234.02</v>
      </c>
      <c r="I85" s="426">
        <f>IF(compras_mes1[[#This Row],[NETO GRAVADO]]="","",compras_mes1[[#This Row],[NETO GRAVADO]]*0.21)</f>
        <v>6139.1441999999997</v>
      </c>
      <c r="J85" s="426"/>
      <c r="K85" s="426"/>
      <c r="L85" s="426"/>
      <c r="M85" s="426"/>
      <c r="N85" s="426"/>
      <c r="O85" s="426"/>
      <c r="P85" s="427">
        <f>SUM(compras_mes1[[#This Row],[NETO GRAVADO]:[Otros / No Grav.]])</f>
        <v>35373.164199999999</v>
      </c>
      <c r="Q85" s="428" t="str">
        <f>IFERROR(IF(compras_mes1[[#This Row],[CUIT]]="","-",VLOOKUP(compras_mes1[[#This Row],[CUIT]],Lista_CUIT[#All],3,0)),"CUIT NO CARGADO")</f>
        <v>Gastos Limpieza</v>
      </c>
      <c r="R85" s="428">
        <f>IFERROR(IF(compras_mes1[[#This Row],[CUIT]]="","-",VLOOKUP(compras_mes1[[#This Row],[CUIT]],Lista_CUIT[#All],4,0)),"CUIT NO CARGADO")</f>
        <v>0</v>
      </c>
    </row>
    <row r="86" spans="2:18" x14ac:dyDescent="0.25">
      <c r="B86" s="419" t="s">
        <v>2317</v>
      </c>
      <c r="C86" s="420">
        <v>1</v>
      </c>
      <c r="D86" s="421">
        <v>9</v>
      </c>
      <c r="E86" s="422">
        <v>10744</v>
      </c>
      <c r="F86" s="423">
        <v>30709953482</v>
      </c>
      <c r="G86" s="424" t="str">
        <f>IFERROR(IF(compras_mes1[[#This Row],[CUIT]]="","-",VLOOKUP(compras_mes1[[#This Row],[CUIT]],Lista_CUIT[#All],2,0)),"CUIT NO CARGADO")</f>
        <v>HONRE S.A</v>
      </c>
      <c r="H86" s="425">
        <v>29234.02</v>
      </c>
      <c r="I86" s="426">
        <f>IF(compras_mes1[[#This Row],[NETO GRAVADO]]="","",compras_mes1[[#This Row],[NETO GRAVADO]]*0.21)</f>
        <v>6139.1441999999997</v>
      </c>
      <c r="J86" s="426"/>
      <c r="K86" s="426"/>
      <c r="L86" s="426"/>
      <c r="M86" s="426"/>
      <c r="N86" s="426"/>
      <c r="O86" s="426"/>
      <c r="P86" s="427">
        <f>SUM(compras_mes1[[#This Row],[NETO GRAVADO]:[Otros / No Grav.]])</f>
        <v>35373.164199999999</v>
      </c>
      <c r="Q86" s="428" t="str">
        <f>IFERROR(IF(compras_mes1[[#This Row],[CUIT]]="","-",VLOOKUP(compras_mes1[[#This Row],[CUIT]],Lista_CUIT[#All],3,0)),"CUIT NO CARGADO")</f>
        <v>Gastos Limpieza</v>
      </c>
      <c r="R86" s="428">
        <f>IFERROR(IF(compras_mes1[[#This Row],[CUIT]]="","-",VLOOKUP(compras_mes1[[#This Row],[CUIT]],Lista_CUIT[#All],4,0)),"CUIT NO CARGADO")</f>
        <v>0</v>
      </c>
    </row>
    <row r="87" spans="2:18" x14ac:dyDescent="0.25">
      <c r="B87" s="402">
        <v>45663</v>
      </c>
      <c r="C87" s="403">
        <v>1</v>
      </c>
      <c r="D87" s="285">
        <v>21</v>
      </c>
      <c r="E87" s="286">
        <v>54464</v>
      </c>
      <c r="F87" s="287">
        <v>30515800219</v>
      </c>
      <c r="G87" s="404" t="str">
        <f>IFERROR(IF(compras_mes1[[#This Row],[CUIT]]="","-",VLOOKUP(compras_mes1[[#This Row],[CUIT]],Lista_CUIT[#All],2,0)),"CUIT NO CARGADO")</f>
        <v>INCAT SRL</v>
      </c>
      <c r="H87" s="405">
        <v>30599.19</v>
      </c>
      <c r="I87" s="406">
        <f>IF(compras_mes1[[#This Row],[NETO GRAVADO]]="","",compras_mes1[[#This Row],[NETO GRAVADO]]*0.21)</f>
        <v>6425.8298999999997</v>
      </c>
      <c r="J87" s="406"/>
      <c r="K87" s="406"/>
      <c r="L87" s="406"/>
      <c r="M87" s="406"/>
      <c r="N87" s="406"/>
      <c r="O87" s="406">
        <v>15958.08</v>
      </c>
      <c r="P87" s="407">
        <f>SUM(compras_mes1[[#This Row],[NETO GRAVADO]:[Otros / No Grav.]])</f>
        <v>52983.099900000001</v>
      </c>
      <c r="Q87" s="408" t="str">
        <f>IFERROR(IF(compras_mes1[[#This Row],[CUIT]]="","-",VLOOKUP(compras_mes1[[#This Row],[CUIT]],Lista_CUIT[#All],3,0)),"CUIT NO CARGADO")</f>
        <v>Combustible</v>
      </c>
      <c r="R87" s="408" t="str">
        <f>IFERROR(IF(compras_mes1[[#This Row],[CUIT]]="","-",VLOOKUP(compras_mes1[[#This Row],[CUIT]],Lista_CUIT[#All],4,0)),"CUIT NO CARGADO")</f>
        <v>CABA</v>
      </c>
    </row>
    <row r="88" spans="2:18" x14ac:dyDescent="0.25">
      <c r="B88" s="419" t="s">
        <v>2335</v>
      </c>
      <c r="C88" s="420">
        <v>1</v>
      </c>
      <c r="D88" s="421">
        <v>4</v>
      </c>
      <c r="E88" s="422">
        <v>48621</v>
      </c>
      <c r="F88" s="423">
        <v>30709863076</v>
      </c>
      <c r="G88" s="424" t="str">
        <f>IFERROR(IF(compras_mes1[[#This Row],[CUIT]]="","-",VLOOKUP(compras_mes1[[#This Row],[CUIT]],Lista_CUIT[#All],2,0)),"CUIT NO CARGADO")</f>
        <v>INDUSTRIAS PLASTICOS SALTA S.R.L.</v>
      </c>
      <c r="H88" s="425">
        <v>85950.41</v>
      </c>
      <c r="I88" s="426">
        <f>IF(compras_mes1[[#This Row],[NETO GRAVADO]]="","",compras_mes1[[#This Row],[NETO GRAVADO]]*0.21)</f>
        <v>18049.5861</v>
      </c>
      <c r="J88" s="426"/>
      <c r="K88" s="426"/>
      <c r="L88" s="426"/>
      <c r="M88" s="426"/>
      <c r="N88" s="426"/>
      <c r="O88" s="426"/>
      <c r="P88" s="427">
        <f>SUM(compras_mes1[[#This Row],[NETO GRAVADO]:[Otros / No Grav.]])</f>
        <v>103999.9961</v>
      </c>
      <c r="Q88" s="428" t="str">
        <f>IFERROR(IF(compras_mes1[[#This Row],[CUIT]]="","-",VLOOKUP(compras_mes1[[#This Row],[CUIT]],Lista_CUIT[#All],3,0)),"CUIT NO CARGADO")</f>
        <v>Materia Prima</v>
      </c>
      <c r="R88" s="428">
        <f>IFERROR(IF(compras_mes1[[#This Row],[CUIT]]="","-",VLOOKUP(compras_mes1[[#This Row],[CUIT]],Lista_CUIT[#All],4,0)),"CUIT NO CARGADO")</f>
        <v>0</v>
      </c>
    </row>
    <row r="89" spans="2:18" x14ac:dyDescent="0.25">
      <c r="B89" s="40" t="s">
        <v>2316</v>
      </c>
      <c r="C89" s="403">
        <v>1</v>
      </c>
      <c r="D89" s="42">
        <v>4</v>
      </c>
      <c r="E89" s="43">
        <v>110</v>
      </c>
      <c r="F89" s="44">
        <v>20308004865</v>
      </c>
      <c r="G89" s="45" t="str">
        <f>IFERROR(IF(compras_mes1[[#This Row],[CUIT]]="","-",VLOOKUP(compras_mes1[[#This Row],[CUIT]],Lista_CUIT[#All],2,0)),"CUIT NO CARGADO")</f>
        <v>VEGA GUSTAVO RAUL</v>
      </c>
      <c r="H89" s="46">
        <v>1487600</v>
      </c>
      <c r="I89" s="406">
        <f>IF(compras_mes1[[#This Row],[NETO GRAVADO]]="","",compras_mes1[[#This Row],[NETO GRAVADO]]*0.21)</f>
        <v>312396</v>
      </c>
      <c r="J89" s="85"/>
      <c r="K89" s="85"/>
      <c r="L89" s="85"/>
      <c r="M89" s="85"/>
      <c r="N89" s="85"/>
      <c r="O89" s="85"/>
      <c r="P89" s="48">
        <f>SUM(compras_mes1[[#This Row],[NETO GRAVADO]:[Otros / No Grav.]])</f>
        <v>1799996</v>
      </c>
      <c r="Q89" s="49" t="str">
        <f>IFERROR(IF(compras_mes1[[#This Row],[CUIT]]="","-",VLOOKUP(compras_mes1[[#This Row],[CUIT]],Lista_CUIT[#All],3,0)),"CUIT NO CARGADO")</f>
        <v>Materia Prima</v>
      </c>
      <c r="R89" s="49">
        <f>IFERROR(IF(compras_mes1[[#This Row],[CUIT]]="","-",VLOOKUP(compras_mes1[[#This Row],[CUIT]],Lista_CUIT[#All],4,0)),"CUIT NO CARGADO")</f>
        <v>0</v>
      </c>
    </row>
    <row r="90" spans="2:18" x14ac:dyDescent="0.25">
      <c r="B90" s="419" t="s">
        <v>2330</v>
      </c>
      <c r="C90" s="420">
        <v>1</v>
      </c>
      <c r="D90" s="421">
        <v>4</v>
      </c>
      <c r="E90" s="422">
        <v>45645</v>
      </c>
      <c r="F90" s="423">
        <v>30585948817</v>
      </c>
      <c r="G90" s="424" t="str">
        <f>IFERROR(IF(compras_mes1[[#This Row],[CUIT]]="","-",VLOOKUP(compras_mes1[[#This Row],[CUIT]],Lista_CUIT[#All],2,0)),"CUIT NO CARGADO")</f>
        <v xml:space="preserve">GLASCAR </v>
      </c>
      <c r="H90" s="425">
        <v>830000</v>
      </c>
      <c r="I90" s="426">
        <f>IF(compras_mes1[[#This Row],[NETO GRAVADO]]="","",compras_mes1[[#This Row],[NETO GRAVADO]]*0.21)</f>
        <v>174300</v>
      </c>
      <c r="J90" s="426"/>
      <c r="K90" s="426"/>
      <c r="L90" s="426"/>
      <c r="M90" s="426">
        <v>49800</v>
      </c>
      <c r="N90" s="426"/>
      <c r="O90" s="426"/>
      <c r="P90" s="427">
        <f>SUM(compras_mes1[[#This Row],[NETO GRAVADO]:[Otros / No Grav.]])</f>
        <v>1054100</v>
      </c>
      <c r="Q90" s="428" t="str">
        <f>IFERROR(IF(compras_mes1[[#This Row],[CUIT]]="","-",VLOOKUP(compras_mes1[[#This Row],[CUIT]],Lista_CUIT[#All],3,0)),"CUIT NO CARGADO")</f>
        <v>Material de Empaque</v>
      </c>
      <c r="R90" s="428">
        <f>IFERROR(IF(compras_mes1[[#This Row],[CUIT]]="","-",VLOOKUP(compras_mes1[[#This Row],[CUIT]],Lista_CUIT[#All],4,0)),"CUIT NO CARGADO")</f>
        <v>0</v>
      </c>
    </row>
    <row r="91" spans="2:18" x14ac:dyDescent="0.25">
      <c r="B91" s="402" t="s">
        <v>2328</v>
      </c>
      <c r="C91" s="403">
        <v>1</v>
      </c>
      <c r="D91" s="285">
        <v>1674</v>
      </c>
      <c r="E91" s="286">
        <v>13880</v>
      </c>
      <c r="F91" s="287">
        <v>30589621499</v>
      </c>
      <c r="G91" s="404" t="str">
        <f>IFERROR(IF(compras_mes1[[#This Row],[CUIT]]="","-",VLOOKUP(compras_mes1[[#This Row],[CUIT]],Lista_CUIT[#All],2,0)),"CUIT NO CARGADO")</f>
        <v>MAKRO SA</v>
      </c>
      <c r="H91" s="405">
        <v>107636.7</v>
      </c>
      <c r="I91" s="406">
        <f>IF(compras_mes1[[#This Row],[NETO GRAVADO]]="","",compras_mes1[[#This Row],[NETO GRAVADO]]*0.21)</f>
        <v>22603.706999999999</v>
      </c>
      <c r="J91" s="406"/>
      <c r="K91" s="406"/>
      <c r="L91" s="406">
        <v>3229.1</v>
      </c>
      <c r="M91" s="406"/>
      <c r="N91" s="406">
        <v>6458.2</v>
      </c>
      <c r="O91" s="406"/>
      <c r="P91" s="407">
        <f>SUM(compras_mes1[[#This Row],[NETO GRAVADO]:[Otros / No Grav.]])</f>
        <v>139927.70699999999</v>
      </c>
      <c r="Q91" s="408" t="str">
        <f>IFERROR(IF(compras_mes1[[#This Row],[CUIT]]="","-",VLOOKUP(compras_mes1[[#This Row],[CUIT]],Lista_CUIT[#All],3,0)),"CUIT NO CARGADO")</f>
        <v>Gastos Varios</v>
      </c>
      <c r="R91" s="408">
        <f>IFERROR(IF(compras_mes1[[#This Row],[CUIT]]="","-",VLOOKUP(compras_mes1[[#This Row],[CUIT]],Lista_CUIT[#All],4,0)),"CUIT NO CARGADO")</f>
        <v>0</v>
      </c>
    </row>
    <row r="92" spans="2:18" x14ac:dyDescent="0.25">
      <c r="B92" s="419" t="s">
        <v>2339</v>
      </c>
      <c r="C92" s="420">
        <v>1</v>
      </c>
      <c r="D92" s="421">
        <v>2</v>
      </c>
      <c r="E92" s="422">
        <v>6382</v>
      </c>
      <c r="F92" s="423">
        <v>30717403866</v>
      </c>
      <c r="G92" s="424" t="str">
        <f>IFERROR(IF(compras_mes1[[#This Row],[CUIT]]="","-",VLOOKUP(compras_mes1[[#This Row],[CUIT]],Lista_CUIT[#All],2,0)),"CUIT NO CARGADO")</f>
        <v>MCBA S.R.L.</v>
      </c>
      <c r="H92" s="425">
        <v>15709.09</v>
      </c>
      <c r="I92" s="426">
        <f>IF(compras_mes1[[#This Row],[NETO GRAVADO]]="","",compras_mes1[[#This Row],[NETO GRAVADO]]*0.21)</f>
        <v>3298.9088999999999</v>
      </c>
      <c r="J92" s="426"/>
      <c r="K92" s="426"/>
      <c r="L92" s="426"/>
      <c r="M92" s="426"/>
      <c r="N92" s="426"/>
      <c r="O92" s="426"/>
      <c r="P92" s="427">
        <f>SUM(compras_mes1[[#This Row],[NETO GRAVADO]:[Otros / No Grav.]])</f>
        <v>19007.998899999999</v>
      </c>
      <c r="Q92" s="428" t="str">
        <f>IFERROR(IF(compras_mes1[[#This Row],[CUIT]]="","-",VLOOKUP(compras_mes1[[#This Row],[CUIT]],Lista_CUIT[#All],3,0)),"CUIT NO CARGADO")</f>
        <v>Gastos Limpieza</v>
      </c>
      <c r="R92" s="428">
        <f>IFERROR(IF(compras_mes1[[#This Row],[CUIT]]="","-",VLOOKUP(compras_mes1[[#This Row],[CUIT]],Lista_CUIT[#All],4,0)),"CUIT NO CARGADO")</f>
        <v>0</v>
      </c>
    </row>
    <row r="93" spans="2:18" x14ac:dyDescent="0.25">
      <c r="B93" s="419" t="s">
        <v>2325</v>
      </c>
      <c r="C93" s="420">
        <v>1</v>
      </c>
      <c r="D93" s="421">
        <v>27</v>
      </c>
      <c r="E93" s="422">
        <v>3033116</v>
      </c>
      <c r="F93" s="423">
        <v>30703088534</v>
      </c>
      <c r="G93" s="424" t="str">
        <f>IFERROR(IF(compras_mes1[[#This Row],[CUIT]]="","-",VLOOKUP(compras_mes1[[#This Row],[CUIT]],Lista_CUIT[#All],2,0)),"CUIT NO CARGADO")</f>
        <v>MERCADO LIBRE SRL</v>
      </c>
      <c r="H93" s="425">
        <v>2435766.0299999998</v>
      </c>
      <c r="I93" s="426">
        <f>IF(compras_mes1[[#This Row],[NETO GRAVADO]]="","",compras_mes1[[#This Row],[NETO GRAVADO]]*0.21)</f>
        <v>511510.86629999994</v>
      </c>
      <c r="J93" s="426"/>
      <c r="K93" s="426"/>
      <c r="L93" s="426">
        <v>73072.97</v>
      </c>
      <c r="M93" s="426"/>
      <c r="N93" s="426">
        <v>146145.95000000001</v>
      </c>
      <c r="O93" s="426">
        <v>24357.66</v>
      </c>
      <c r="P93" s="427">
        <f>SUM(compras_mes1[[#This Row],[NETO GRAVADO]:[Otros / No Grav.]])</f>
        <v>3190853.4763000002</v>
      </c>
      <c r="Q93" s="428" t="str">
        <f>IFERROR(IF(compras_mes1[[#This Row],[CUIT]]="","-",VLOOKUP(compras_mes1[[#This Row],[CUIT]],Lista_CUIT[#All],3,0)),"CUIT NO CARGADO")</f>
        <v>Gastos Varios</v>
      </c>
      <c r="R93" s="428" t="str">
        <f>IFERROR(IF(compras_mes1[[#This Row],[CUIT]]="","-",VLOOKUP(compras_mes1[[#This Row],[CUIT]],Lista_CUIT[#All],4,0)),"CUIT NO CARGADO")</f>
        <v>CABA</v>
      </c>
    </row>
    <row r="94" spans="2:18" x14ac:dyDescent="0.25">
      <c r="B94" s="439">
        <v>45672</v>
      </c>
      <c r="C94" s="440">
        <v>1</v>
      </c>
      <c r="D94" s="441">
        <v>64</v>
      </c>
      <c r="E94" s="442">
        <v>26942640</v>
      </c>
      <c r="F94" s="443">
        <v>30657863676</v>
      </c>
      <c r="G94" s="444" t="str">
        <f>IFERROR(IF(compras_mes1[[#This Row],[CUIT]]="","-",VLOOKUP(compras_mes1[[#This Row],[CUIT]],Lista_CUIT[#All],2,0)),"CUIT NO CARGADO")</f>
        <v>METROGAS S A</v>
      </c>
      <c r="H94" s="445">
        <v>13359.359375</v>
      </c>
      <c r="I94" s="446">
        <f>IF(compras_mes1[[#This Row],[NETO GRAVADO]]="","",compras_mes1[[#This Row],[NETO GRAVADO]]*0.21)</f>
        <v>2805.4654687499997</v>
      </c>
      <c r="J94" s="446"/>
      <c r="K94" s="446"/>
      <c r="L94" s="446"/>
      <c r="M94" s="446"/>
      <c r="N94" s="446"/>
      <c r="O94" s="446">
        <v>22.68</v>
      </c>
      <c r="P94" s="447">
        <f>SUM(compras_mes1[[#This Row],[NETO GRAVADO]:[Otros / No Grav.]])</f>
        <v>16187.504843750001</v>
      </c>
      <c r="Q94" s="448" t="str">
        <f>IFERROR(IF(compras_mes1[[#This Row],[CUIT]]="","-",VLOOKUP(compras_mes1[[#This Row],[CUIT]],Lista_CUIT[#All],3,0)),"CUIT NO CARGADO")</f>
        <v>Servicios Gas, Luz, etc.</v>
      </c>
      <c r="R94" s="448">
        <f>IFERROR(IF(compras_mes1[[#This Row],[CUIT]]="","-",VLOOKUP(compras_mes1[[#This Row],[CUIT]],Lista_CUIT[#All],4,0)),"CUIT NO CARGADO")</f>
        <v>0</v>
      </c>
    </row>
    <row r="95" spans="2:18" x14ac:dyDescent="0.25">
      <c r="B95" s="429" t="s">
        <v>2339</v>
      </c>
      <c r="C95" s="420">
        <v>1</v>
      </c>
      <c r="D95" s="430">
        <v>4</v>
      </c>
      <c r="E95" s="431">
        <v>10750</v>
      </c>
      <c r="F95" s="432">
        <v>30694547903</v>
      </c>
      <c r="G95" s="433" t="str">
        <f>IFERROR(IF(compras_mes1[[#This Row],[CUIT]]="","-",VLOOKUP(compras_mes1[[#This Row],[CUIT]],Lista_CUIT[#All],2,0)),"CUIT NO CARGADO")</f>
        <v>MULTICAJAS S A</v>
      </c>
      <c r="H95" s="434">
        <v>250344</v>
      </c>
      <c r="I95" s="426">
        <f>IF(compras_mes1[[#This Row],[NETO GRAVADO]]="","",compras_mes1[[#This Row],[NETO GRAVADO]]*0.21)</f>
        <v>52572.24</v>
      </c>
      <c r="J95" s="435"/>
      <c r="K95" s="435"/>
      <c r="L95" s="435"/>
      <c r="M95" s="435"/>
      <c r="N95" s="435"/>
      <c r="O95" s="435"/>
      <c r="P95" s="436">
        <f>SUM(compras_mes1[[#This Row],[NETO GRAVADO]:[Otros / No Grav.]])</f>
        <v>302916.24</v>
      </c>
      <c r="Q95" s="437" t="str">
        <f>IFERROR(IF(compras_mes1[[#This Row],[CUIT]]="","-",VLOOKUP(compras_mes1[[#This Row],[CUIT]],Lista_CUIT[#All],3,0)),"CUIT NO CARGADO")</f>
        <v>LIBRERÍA</v>
      </c>
      <c r="R95" s="437">
        <f>IFERROR(IF(compras_mes1[[#This Row],[CUIT]]="","-",VLOOKUP(compras_mes1[[#This Row],[CUIT]],Lista_CUIT[#All],4,0)),"CUIT NO CARGADO")</f>
        <v>0</v>
      </c>
    </row>
    <row r="96" spans="2:18" x14ac:dyDescent="0.25">
      <c r="B96" s="419" t="s">
        <v>2319</v>
      </c>
      <c r="C96" s="420">
        <v>1</v>
      </c>
      <c r="D96" s="421">
        <v>7</v>
      </c>
      <c r="E96" s="422">
        <v>13674</v>
      </c>
      <c r="F96" s="423">
        <v>30708017759</v>
      </c>
      <c r="G96" s="424" t="str">
        <f>IFERROR(IF(compras_mes1[[#This Row],[CUIT]]="","-",VLOOKUP(compras_mes1[[#This Row],[CUIT]],Lista_CUIT[#All],2,0)),"CUIT NO CARGADO")</f>
        <v>NEW  HIGH PACK  SA</v>
      </c>
      <c r="H96" s="425">
        <v>2164393.7000000002</v>
      </c>
      <c r="I96" s="426">
        <f>IF(compras_mes1[[#This Row],[NETO GRAVADO]]="","",compras_mes1[[#This Row],[NETO GRAVADO]]*0.21)</f>
        <v>454522.67700000003</v>
      </c>
      <c r="J96" s="426"/>
      <c r="K96" s="426"/>
      <c r="L96" s="426"/>
      <c r="M96" s="426"/>
      <c r="N96" s="426">
        <v>129863.62</v>
      </c>
      <c r="O96" s="426"/>
      <c r="P96" s="427">
        <f>SUM(compras_mes1[[#This Row],[NETO GRAVADO]:[Otros / No Grav.]])</f>
        <v>2748779.9970000004</v>
      </c>
      <c r="Q96" s="428" t="str">
        <f>IFERROR(IF(compras_mes1[[#This Row],[CUIT]]="","-",VLOOKUP(compras_mes1[[#This Row],[CUIT]],Lista_CUIT[#All],3,0)),"CUIT NO CARGADO")</f>
        <v>Material de Empaque</v>
      </c>
      <c r="R96" s="428">
        <f>IFERROR(IF(compras_mes1[[#This Row],[CUIT]]="","-",VLOOKUP(compras_mes1[[#This Row],[CUIT]],Lista_CUIT[#All],4,0)),"CUIT NO CARGADO")</f>
        <v>0</v>
      </c>
    </row>
    <row r="97" spans="2:18" x14ac:dyDescent="0.25">
      <c r="B97" s="429" t="s">
        <v>2337</v>
      </c>
      <c r="C97" s="420">
        <v>1</v>
      </c>
      <c r="D97" s="430">
        <v>7</v>
      </c>
      <c r="E97" s="431">
        <v>13772</v>
      </c>
      <c r="F97" s="432">
        <v>30708017759</v>
      </c>
      <c r="G97" s="433" t="str">
        <f>IFERROR(IF(compras_mes1[[#This Row],[CUIT]]="","-",VLOOKUP(compras_mes1[[#This Row],[CUIT]],Lista_CUIT[#All],2,0)),"CUIT NO CARGADO")</f>
        <v>NEW  HIGH PACK  SA</v>
      </c>
      <c r="H97" s="434">
        <v>1321779.2</v>
      </c>
      <c r="I97" s="426">
        <f>IF(compras_mes1[[#This Row],[NETO GRAVADO]]="","",compras_mes1[[#This Row],[NETO GRAVADO]]*0.21)</f>
        <v>277573.63199999998</v>
      </c>
      <c r="J97" s="435"/>
      <c r="K97" s="435"/>
      <c r="L97" s="435"/>
      <c r="M97" s="435"/>
      <c r="N97" s="435">
        <v>79306.75</v>
      </c>
      <c r="O97" s="435"/>
      <c r="P97" s="436">
        <f>SUM(compras_mes1[[#This Row],[NETO GRAVADO]:[Otros / No Grav.]])</f>
        <v>1678659.5819999999</v>
      </c>
      <c r="Q97" s="437" t="str">
        <f>IFERROR(IF(compras_mes1[[#This Row],[CUIT]]="","-",VLOOKUP(compras_mes1[[#This Row],[CUIT]],Lista_CUIT[#All],3,0)),"CUIT NO CARGADO")</f>
        <v>Material de Empaque</v>
      </c>
      <c r="R97" s="437">
        <f>IFERROR(IF(compras_mes1[[#This Row],[CUIT]]="","-",VLOOKUP(compras_mes1[[#This Row],[CUIT]],Lista_CUIT[#All],4,0)),"CUIT NO CARGADO")</f>
        <v>0</v>
      </c>
    </row>
    <row r="98" spans="2:18" x14ac:dyDescent="0.25">
      <c r="B98" s="402" t="s">
        <v>2316</v>
      </c>
      <c r="C98" s="403">
        <v>3</v>
      </c>
      <c r="D98" s="285">
        <v>10</v>
      </c>
      <c r="E98" s="286">
        <v>620</v>
      </c>
      <c r="F98" s="287">
        <v>30710796838</v>
      </c>
      <c r="G98" s="404" t="str">
        <f>IFERROR(IF(compras_mes1[[#This Row],[CUIT]]="","-",VLOOKUP(compras_mes1[[#This Row],[CUIT]],Lista_CUIT[#All],2,0)),"CUIT NO CARGADO")</f>
        <v>NO BAJAR LOS BRAZOS S.R.L.</v>
      </c>
      <c r="H98" s="405">
        <v>-84628.1</v>
      </c>
      <c r="I98" s="406">
        <f>IF(compras_mes1[[#This Row],[NETO GRAVADO]]="","",compras_mes1[[#This Row],[NETO GRAVADO]]*0.21)</f>
        <v>-17771.901000000002</v>
      </c>
      <c r="J98" s="406"/>
      <c r="K98" s="406"/>
      <c r="L98" s="406"/>
      <c r="M98" s="406"/>
      <c r="N98" s="406"/>
      <c r="O98" s="406"/>
      <c r="P98" s="407">
        <f>SUM(compras_mes1[[#This Row],[NETO GRAVADO]:[Otros / No Grav.]])</f>
        <v>-102400.001</v>
      </c>
      <c r="Q98" s="408" t="str">
        <f>IFERROR(IF(compras_mes1[[#This Row],[CUIT]]="","-",VLOOKUP(compras_mes1[[#This Row],[CUIT]],Lista_CUIT[#All],3,0)),"CUIT NO CARGADO")</f>
        <v>Gastos Limpieza</v>
      </c>
      <c r="R98" s="408">
        <f>IFERROR(IF(compras_mes1[[#This Row],[CUIT]]="","-",VLOOKUP(compras_mes1[[#This Row],[CUIT]],Lista_CUIT[#All],4,0)),"CUIT NO CARGADO")</f>
        <v>0</v>
      </c>
    </row>
    <row r="99" spans="2:18" x14ac:dyDescent="0.25">
      <c r="B99" s="40" t="s">
        <v>2336</v>
      </c>
      <c r="C99" s="403">
        <v>1</v>
      </c>
      <c r="D99" s="42">
        <v>5</v>
      </c>
      <c r="E99" s="43">
        <v>3212921</v>
      </c>
      <c r="F99" s="44">
        <v>30702652975</v>
      </c>
      <c r="G99" s="45" t="str">
        <f>IFERROR(IF(compras_mes1[[#This Row],[CUIT]]="","-",VLOOKUP(compras_mes1[[#This Row],[CUIT]],Lista_CUIT[#All],2,0)),"CUIT NO CARGADO")</f>
        <v>NSS SA</v>
      </c>
      <c r="H99" s="46">
        <v>29946.48</v>
      </c>
      <c r="I99" s="406">
        <f>IF(compras_mes1[[#This Row],[NETO GRAVADO]]="","",compras_mes1[[#This Row],[NETO GRAVADO]]*0.21)</f>
        <v>6288.7608</v>
      </c>
      <c r="J99" s="85"/>
      <c r="K99" s="85"/>
      <c r="L99" s="85"/>
      <c r="M99" s="85"/>
      <c r="N99" s="85">
        <v>1796.79</v>
      </c>
      <c r="O99" s="85"/>
      <c r="P99" s="48">
        <f>SUM(compras_mes1[[#This Row],[NETO GRAVADO]:[Otros / No Grav.]])</f>
        <v>38032.0308</v>
      </c>
      <c r="Q99" s="49" t="str">
        <f>IFERROR(IF(compras_mes1[[#This Row],[CUIT]]="","-",VLOOKUP(compras_mes1[[#This Row],[CUIT]],Lista_CUIT[#All],3,0)),"CUIT NO CARGADO")</f>
        <v>Servicios Gas, Luz, etc.</v>
      </c>
      <c r="R99" s="49">
        <f>IFERROR(IF(compras_mes1[[#This Row],[CUIT]]="","-",VLOOKUP(compras_mes1[[#This Row],[CUIT]],Lista_CUIT[#All],4,0)),"CUIT NO CARGADO")</f>
        <v>0</v>
      </c>
    </row>
    <row r="100" spans="2:18" x14ac:dyDescent="0.25">
      <c r="B100" s="40" t="s">
        <v>2328</v>
      </c>
      <c r="C100" s="403">
        <v>1</v>
      </c>
      <c r="D100" s="42">
        <v>6852</v>
      </c>
      <c r="E100" s="43">
        <v>28627</v>
      </c>
      <c r="F100" s="44">
        <v>30678774495</v>
      </c>
      <c r="G100" s="45" t="str">
        <f>IFERROR(IF(compras_mes1[[#This Row],[CUIT]]="","-",VLOOKUP(compras_mes1[[#This Row],[CUIT]],Lista_CUIT[#All],2,0)),"CUIT NO CARGADO")</f>
        <v>OPER. DE EST. DE SERV. SA</v>
      </c>
      <c r="H100" s="46">
        <v>8204.7800000000007</v>
      </c>
      <c r="I100" s="406">
        <f>IF(compras_mes1[[#This Row],[NETO GRAVADO]]="","",compras_mes1[[#This Row],[NETO GRAVADO]]*0.21)</f>
        <v>1723.0038000000002</v>
      </c>
      <c r="J100" s="85"/>
      <c r="K100" s="85"/>
      <c r="L100" s="85"/>
      <c r="M100" s="85"/>
      <c r="N100" s="85"/>
      <c r="O100" s="85">
        <v>2072.19</v>
      </c>
      <c r="P100" s="48">
        <f>SUM(compras_mes1[[#This Row],[NETO GRAVADO]:[Otros / No Grav.]])</f>
        <v>11999.973800000002</v>
      </c>
      <c r="Q100" s="49" t="str">
        <f>IFERROR(IF(compras_mes1[[#This Row],[CUIT]]="","-",VLOOKUP(compras_mes1[[#This Row],[CUIT]],Lista_CUIT[#All],3,0)),"CUIT NO CARGADO")</f>
        <v>Combustible</v>
      </c>
      <c r="R100" s="49">
        <f>IFERROR(IF(compras_mes1[[#This Row],[CUIT]]="","-",VLOOKUP(compras_mes1[[#This Row],[CUIT]],Lista_CUIT[#All],4,0)),"CUIT NO CARGADO")</f>
        <v>0</v>
      </c>
    </row>
    <row r="101" spans="2:18" x14ac:dyDescent="0.25">
      <c r="B101" s="40" t="s">
        <v>2319</v>
      </c>
      <c r="C101" s="403">
        <v>1</v>
      </c>
      <c r="D101" s="42">
        <v>8012</v>
      </c>
      <c r="E101" s="43">
        <v>35402</v>
      </c>
      <c r="F101" s="44">
        <v>30678774495</v>
      </c>
      <c r="G101" s="45" t="str">
        <f>IFERROR(IF(compras_mes1[[#This Row],[CUIT]]="","-",VLOOKUP(compras_mes1[[#This Row],[CUIT]],Lista_CUIT[#All],2,0)),"CUIT NO CARGADO")</f>
        <v>OPER. DE EST. DE SERV. SA</v>
      </c>
      <c r="H101" s="46">
        <v>45177.01</v>
      </c>
      <c r="I101" s="406">
        <f>IF(compras_mes1[[#This Row],[NETO GRAVADO]]="","",compras_mes1[[#This Row],[NETO GRAVADO]]*0.21)</f>
        <v>9487.1720999999998</v>
      </c>
      <c r="J101" s="85"/>
      <c r="K101" s="85"/>
      <c r="L101" s="85"/>
      <c r="M101" s="85"/>
      <c r="N101" s="85"/>
      <c r="O101" s="85">
        <v>11505.85</v>
      </c>
      <c r="P101" s="48">
        <f>SUM(compras_mes1[[#This Row],[NETO GRAVADO]:[Otros / No Grav.]])</f>
        <v>66170.032100000011</v>
      </c>
      <c r="Q101" s="49" t="str">
        <f>IFERROR(IF(compras_mes1[[#This Row],[CUIT]]="","-",VLOOKUP(compras_mes1[[#This Row],[CUIT]],Lista_CUIT[#All],3,0)),"CUIT NO CARGADO")</f>
        <v>Combustible</v>
      </c>
      <c r="R101" s="49">
        <f>IFERROR(IF(compras_mes1[[#This Row],[CUIT]]="","-",VLOOKUP(compras_mes1[[#This Row],[CUIT]],Lista_CUIT[#All],4,0)),"CUIT NO CARGADO")</f>
        <v>0</v>
      </c>
    </row>
    <row r="102" spans="2:18" x14ac:dyDescent="0.25">
      <c r="B102" s="402" t="s">
        <v>2340</v>
      </c>
      <c r="C102" s="403">
        <v>1</v>
      </c>
      <c r="D102" s="285">
        <v>7978</v>
      </c>
      <c r="E102" s="286">
        <v>22570</v>
      </c>
      <c r="F102" s="287">
        <v>30678774495</v>
      </c>
      <c r="G102" s="404" t="str">
        <f>IFERROR(IF(compras_mes1[[#This Row],[CUIT]]="","-",VLOOKUP(compras_mes1[[#This Row],[CUIT]],Lista_CUIT[#All],2,0)),"CUIT NO CARGADO")</f>
        <v>OPER. DE EST. DE SERV. SA</v>
      </c>
      <c r="H102" s="405">
        <v>4392.7299999999996</v>
      </c>
      <c r="I102" s="406">
        <f>IF(compras_mes1[[#This Row],[NETO GRAVADO]]="","",compras_mes1[[#This Row],[NETO GRAVADO]]*0.21)</f>
        <v>922.47329999999988</v>
      </c>
      <c r="J102" s="406"/>
      <c r="K102" s="406"/>
      <c r="L102" s="406"/>
      <c r="M102" s="406"/>
      <c r="N102" s="406"/>
      <c r="O102" s="406"/>
      <c r="P102" s="407">
        <f>SUM(compras_mes1[[#This Row],[NETO GRAVADO]:[Otros / No Grav.]])</f>
        <v>5315.2032999999992</v>
      </c>
      <c r="Q102" s="408" t="str">
        <f>IFERROR(IF(compras_mes1[[#This Row],[CUIT]]="","-",VLOOKUP(compras_mes1[[#This Row],[CUIT]],Lista_CUIT[#All],3,0)),"CUIT NO CARGADO")</f>
        <v>Combustible</v>
      </c>
      <c r="R102" s="408">
        <f>IFERROR(IF(compras_mes1[[#This Row],[CUIT]]="","-",VLOOKUP(compras_mes1[[#This Row],[CUIT]],Lista_CUIT[#All],4,0)),"CUIT NO CARGADO")</f>
        <v>0</v>
      </c>
    </row>
    <row r="103" spans="2:18" x14ac:dyDescent="0.25">
      <c r="B103" s="402">
        <v>45661</v>
      </c>
      <c r="C103" s="403">
        <v>1</v>
      </c>
      <c r="D103" s="285">
        <v>12</v>
      </c>
      <c r="E103" s="286">
        <v>56058</v>
      </c>
      <c r="F103" s="287">
        <v>30696131003</v>
      </c>
      <c r="G103" s="404" t="str">
        <f>IFERROR(IF(compras_mes1[[#This Row],[CUIT]]="","-",VLOOKUP(compras_mes1[[#This Row],[CUIT]],Lista_CUIT[#All],2,0)),"CUIT NO CARGADO")</f>
        <v>Petrolfe S.A.</v>
      </c>
      <c r="H103" s="405">
        <v>126358.14</v>
      </c>
      <c r="I103" s="406">
        <f>IF(compras_mes1[[#This Row],[NETO GRAVADO]]="","",compras_mes1[[#This Row],[NETO GRAVADO]]*0.21)</f>
        <v>26535.2094</v>
      </c>
      <c r="J103" s="406"/>
      <c r="K103" s="406"/>
      <c r="L103" s="406"/>
      <c r="M103" s="406"/>
      <c r="N103" s="406"/>
      <c r="O103" s="406">
        <v>45292.02</v>
      </c>
      <c r="P103" s="407">
        <f>SUM(compras_mes1[[#This Row],[NETO GRAVADO]:[Otros / No Grav.]])</f>
        <v>198185.3694</v>
      </c>
      <c r="Q103" s="408" t="str">
        <f>IFERROR(IF(compras_mes1[[#This Row],[CUIT]]="","-",VLOOKUP(compras_mes1[[#This Row],[CUIT]],Lista_CUIT[#All],3,0)),"CUIT NO CARGADO")</f>
        <v>Combustible</v>
      </c>
      <c r="R103" s="408">
        <f>IFERROR(IF(compras_mes1[[#This Row],[CUIT]]="","-",VLOOKUP(compras_mes1[[#This Row],[CUIT]],Lista_CUIT[#All],4,0)),"CUIT NO CARGADO")</f>
        <v>0</v>
      </c>
    </row>
    <row r="104" spans="2:18" x14ac:dyDescent="0.25">
      <c r="B104" s="402">
        <v>45668</v>
      </c>
      <c r="C104" s="403">
        <v>1</v>
      </c>
      <c r="D104" s="285">
        <v>12</v>
      </c>
      <c r="E104" s="286">
        <v>56442</v>
      </c>
      <c r="F104" s="287">
        <v>30696131003</v>
      </c>
      <c r="G104" s="404" t="str">
        <f>IFERROR(IF(compras_mes1[[#This Row],[CUIT]]="","-",VLOOKUP(compras_mes1[[#This Row],[CUIT]],Lista_CUIT[#All],2,0)),"CUIT NO CARGADO")</f>
        <v>Petrolfe S.A.</v>
      </c>
      <c r="H104" s="405">
        <v>140113.81</v>
      </c>
      <c r="I104" s="406">
        <f>IF(compras_mes1[[#This Row],[NETO GRAVADO]]="","",compras_mes1[[#This Row],[NETO GRAVADO]]*0.21)</f>
        <v>29423.900099999999</v>
      </c>
      <c r="J104" s="406"/>
      <c r="K104" s="406"/>
      <c r="L104" s="406"/>
      <c r="M104" s="406"/>
      <c r="N104" s="406"/>
      <c r="O104" s="406">
        <v>50222.62</v>
      </c>
      <c r="P104" s="407">
        <f>SUM(compras_mes1[[#This Row],[NETO GRAVADO]:[Otros / No Grav.]])</f>
        <v>219760.33009999999</v>
      </c>
      <c r="Q104" s="408" t="str">
        <f>IFERROR(IF(compras_mes1[[#This Row],[CUIT]]="","-",VLOOKUP(compras_mes1[[#This Row],[CUIT]],Lista_CUIT[#All],3,0)),"CUIT NO CARGADO")</f>
        <v>Combustible</v>
      </c>
      <c r="R104" s="408">
        <f>IFERROR(IF(compras_mes1[[#This Row],[CUIT]]="","-",VLOOKUP(compras_mes1[[#This Row],[CUIT]],Lista_CUIT[#All],4,0)),"CUIT NO CARGADO")</f>
        <v>0</v>
      </c>
    </row>
    <row r="105" spans="2:18" x14ac:dyDescent="0.25">
      <c r="B105" s="439">
        <v>45675</v>
      </c>
      <c r="C105" s="440">
        <v>1</v>
      </c>
      <c r="D105" s="441">
        <v>12</v>
      </c>
      <c r="E105" s="442">
        <v>56868</v>
      </c>
      <c r="F105" s="443">
        <v>30696131003</v>
      </c>
      <c r="G105" s="444" t="str">
        <f>IFERROR(IF(compras_mes1[[#This Row],[CUIT]]="","-",VLOOKUP(compras_mes1[[#This Row],[CUIT]],Lista_CUIT[#All],2,0)),"CUIT NO CARGADO")</f>
        <v>Petrolfe S.A.</v>
      </c>
      <c r="H105" s="445">
        <v>158374.67000000001</v>
      </c>
      <c r="I105" s="446">
        <f>IF(compras_mes1[[#This Row],[NETO GRAVADO]]="","",compras_mes1[[#This Row],[NETO GRAVADO]]*0.21)</f>
        <v>33258.680700000004</v>
      </c>
      <c r="J105" s="446"/>
      <c r="K105" s="446"/>
      <c r="L105" s="446"/>
      <c r="M105" s="446"/>
      <c r="N105" s="446"/>
      <c r="O105" s="446">
        <v>24965.56</v>
      </c>
      <c r="P105" s="447">
        <f>SUM(compras_mes1[[#This Row],[NETO GRAVADO]:[Otros / No Grav.]])</f>
        <v>216598.91070000001</v>
      </c>
      <c r="Q105" s="448" t="str">
        <f>IFERROR(IF(compras_mes1[[#This Row],[CUIT]]="","-",VLOOKUP(compras_mes1[[#This Row],[CUIT]],Lista_CUIT[#All],3,0)),"CUIT NO CARGADO")</f>
        <v>Combustible</v>
      </c>
      <c r="R105" s="448">
        <f>IFERROR(IF(compras_mes1[[#This Row],[CUIT]]="","-",VLOOKUP(compras_mes1[[#This Row],[CUIT]],Lista_CUIT[#All],4,0)),"CUIT NO CARGADO")</f>
        <v>0</v>
      </c>
    </row>
    <row r="106" spans="2:18" x14ac:dyDescent="0.25">
      <c r="B106" s="439">
        <v>45682</v>
      </c>
      <c r="C106" s="440">
        <v>1</v>
      </c>
      <c r="D106" s="441">
        <v>12</v>
      </c>
      <c r="E106" s="442">
        <v>57290</v>
      </c>
      <c r="F106" s="443">
        <v>30696131003</v>
      </c>
      <c r="G106" s="444" t="str">
        <f>IFERROR(IF(compras_mes1[[#This Row],[CUIT]]="","-",VLOOKUP(compras_mes1[[#This Row],[CUIT]],Lista_CUIT[#All],2,0)),"CUIT NO CARGADO")</f>
        <v>Petrolfe S.A.</v>
      </c>
      <c r="H106" s="445">
        <v>106923.25</v>
      </c>
      <c r="I106" s="446">
        <f>IF(compras_mes1[[#This Row],[NETO GRAVADO]]="","",compras_mes1[[#This Row],[NETO GRAVADO]]*0.21)</f>
        <v>22453.8825</v>
      </c>
      <c r="J106" s="446"/>
      <c r="K106" s="446"/>
      <c r="L106" s="446"/>
      <c r="M106" s="446"/>
      <c r="N106" s="446"/>
      <c r="O106" s="446">
        <v>19162.87</v>
      </c>
      <c r="P106" s="447">
        <f>SUM(compras_mes1[[#This Row],[NETO GRAVADO]:[Otros / No Grav.]])</f>
        <v>148540.0025</v>
      </c>
      <c r="Q106" s="448" t="str">
        <f>IFERROR(IF(compras_mes1[[#This Row],[CUIT]]="","-",VLOOKUP(compras_mes1[[#This Row],[CUIT]],Lista_CUIT[#All],3,0)),"CUIT NO CARGADO")</f>
        <v>Combustible</v>
      </c>
      <c r="R106" s="448">
        <f>IFERROR(IF(compras_mes1[[#This Row],[CUIT]]="","-",VLOOKUP(compras_mes1[[#This Row],[CUIT]],Lista_CUIT[#All],4,0)),"CUIT NO CARGADO")</f>
        <v>0</v>
      </c>
    </row>
    <row r="107" spans="2:18" x14ac:dyDescent="0.25">
      <c r="B107" s="40" t="s">
        <v>2330</v>
      </c>
      <c r="C107" s="403">
        <v>1</v>
      </c>
      <c r="D107" s="42">
        <v>336</v>
      </c>
      <c r="E107" s="43">
        <v>47110</v>
      </c>
      <c r="F107" s="44">
        <v>30646512952</v>
      </c>
      <c r="G107" s="45" t="str">
        <f>IFERROR(IF(compras_mes1[[#This Row],[CUIT]]="","-",VLOOKUP(compras_mes1[[#This Row],[CUIT]],Lista_CUIT[#All],2,0)),"CUIT NO CARGADO")</f>
        <v xml:space="preserve">PINTURERIA REX </v>
      </c>
      <c r="H107" s="46">
        <v>487496.2</v>
      </c>
      <c r="I107" s="406">
        <f>IF(compras_mes1[[#This Row],[NETO GRAVADO]]="","",compras_mes1[[#This Row],[NETO GRAVADO]]*0.21)</f>
        <v>102374.202</v>
      </c>
      <c r="J107" s="85"/>
      <c r="K107" s="85"/>
      <c r="L107" s="85"/>
      <c r="M107" s="85">
        <v>29249.77</v>
      </c>
      <c r="N107" s="85"/>
      <c r="O107" s="85"/>
      <c r="P107" s="48">
        <f>SUM(compras_mes1[[#This Row],[NETO GRAVADO]:[Otros / No Grav.]])</f>
        <v>619120.17200000002</v>
      </c>
      <c r="Q107" s="49" t="str">
        <f>IFERROR(IF(compras_mes1[[#This Row],[CUIT]]="","-",VLOOKUP(compras_mes1[[#This Row],[CUIT]],Lista_CUIT[#All],3,0)),"CUIT NO CARGADO")</f>
        <v>Mantenimiento Locales</v>
      </c>
      <c r="R107" s="49">
        <f>IFERROR(IF(compras_mes1[[#This Row],[CUIT]]="","-",VLOOKUP(compras_mes1[[#This Row],[CUIT]],Lista_CUIT[#All],4,0)),"CUIT NO CARGADO")</f>
        <v>0</v>
      </c>
    </row>
    <row r="108" spans="2:18" x14ac:dyDescent="0.25">
      <c r="B108" s="429" t="s">
        <v>2319</v>
      </c>
      <c r="C108" s="420">
        <v>1</v>
      </c>
      <c r="D108" s="430">
        <v>6</v>
      </c>
      <c r="E108" s="431">
        <v>3422</v>
      </c>
      <c r="F108" s="432">
        <v>30574603788</v>
      </c>
      <c r="G108" s="433" t="str">
        <f>IFERROR(IF(compras_mes1[[#This Row],[CUIT]]="","-",VLOOKUP(compras_mes1[[#This Row],[CUIT]],Lista_CUIT[#All],2,0)),"CUIT NO CARGADO")</f>
        <v>CODAC SRL</v>
      </c>
      <c r="H108" s="434">
        <v>2500470</v>
      </c>
      <c r="I108" s="426">
        <f>IF(compras_mes1[[#This Row],[NETO GRAVADO]]="","",compras_mes1[[#This Row],[NETO GRAVADO]]*0.21)</f>
        <v>525098.69999999995</v>
      </c>
      <c r="J108" s="435"/>
      <c r="K108" s="435"/>
      <c r="L108" s="435"/>
      <c r="M108" s="435"/>
      <c r="N108" s="435"/>
      <c r="O108" s="435"/>
      <c r="P108" s="436">
        <f>SUM(compras_mes1[[#This Row],[NETO GRAVADO]:[Otros / No Grav.]])</f>
        <v>3025568.7</v>
      </c>
      <c r="Q108" s="437" t="str">
        <f>IFERROR(IF(compras_mes1[[#This Row],[CUIT]]="","-",VLOOKUP(compras_mes1[[#This Row],[CUIT]],Lista_CUIT[#All],3,0)),"CUIT NO CARGADO")</f>
        <v>Productos Venta</v>
      </c>
      <c r="R108" s="437" t="str">
        <f>IFERROR(IF(compras_mes1[[#This Row],[CUIT]]="","-",VLOOKUP(compras_mes1[[#This Row],[CUIT]],Lista_CUIT[#All],4,0)),"CUIT NO CARGADO")</f>
        <v>BUENOS AIRES</v>
      </c>
    </row>
    <row r="109" spans="2:18" x14ac:dyDescent="0.25">
      <c r="B109" s="419" t="s">
        <v>2316</v>
      </c>
      <c r="C109" s="420">
        <v>1</v>
      </c>
      <c r="D109" s="421">
        <v>2</v>
      </c>
      <c r="E109" s="422">
        <v>3933</v>
      </c>
      <c r="F109" s="423">
        <v>30629863571</v>
      </c>
      <c r="G109" s="424" t="str">
        <f>IFERROR(IF(compras_mes1[[#This Row],[CUIT]]="","-",VLOOKUP(compras_mes1[[#This Row],[CUIT]],Lista_CUIT[#All],2,0)),"CUIT NO CARGADO")</f>
        <v>TECNIMAR S R L</v>
      </c>
      <c r="H109" s="425">
        <v>4572898.05</v>
      </c>
      <c r="I109" s="426">
        <f>IF(compras_mes1[[#This Row],[NETO GRAVADO]]="","",compras_mes1[[#This Row],[NETO GRAVADO]]*0.21)</f>
        <v>960308.59049999993</v>
      </c>
      <c r="J109" s="426"/>
      <c r="K109" s="426"/>
      <c r="L109" s="426"/>
      <c r="M109" s="426"/>
      <c r="N109" s="426"/>
      <c r="O109" s="426"/>
      <c r="P109" s="427">
        <f>SUM(compras_mes1[[#This Row],[NETO GRAVADO]:[Otros / No Grav.]])</f>
        <v>5533206.6404999997</v>
      </c>
      <c r="Q109" s="428" t="str">
        <f>IFERROR(IF(compras_mes1[[#This Row],[CUIT]]="","-",VLOOKUP(compras_mes1[[#This Row],[CUIT]],Lista_CUIT[#All],3,0)),"CUIT NO CARGADO")</f>
        <v>Productos Venta</v>
      </c>
      <c r="R109" s="428">
        <f>IFERROR(IF(compras_mes1[[#This Row],[CUIT]]="","-",VLOOKUP(compras_mes1[[#This Row],[CUIT]],Lista_CUIT[#All],4,0)),"CUIT NO CARGADO")</f>
        <v>0</v>
      </c>
    </row>
    <row r="110" spans="2:18" x14ac:dyDescent="0.25">
      <c r="B110" s="429" t="s">
        <v>2328</v>
      </c>
      <c r="C110" s="420">
        <v>1</v>
      </c>
      <c r="D110" s="430">
        <v>2</v>
      </c>
      <c r="E110" s="431">
        <v>3936</v>
      </c>
      <c r="F110" s="432">
        <v>30629863571</v>
      </c>
      <c r="G110" s="433" t="str">
        <f>IFERROR(IF(compras_mes1[[#This Row],[CUIT]]="","-",VLOOKUP(compras_mes1[[#This Row],[CUIT]],Lista_CUIT[#All],2,0)),"CUIT NO CARGADO")</f>
        <v>TECNIMAR S R L</v>
      </c>
      <c r="H110" s="434">
        <v>1094782.1399999999</v>
      </c>
      <c r="I110" s="426">
        <f>IF(compras_mes1[[#This Row],[NETO GRAVADO]]="","",compras_mes1[[#This Row],[NETO GRAVADO]]*0.21)</f>
        <v>229904.24939999997</v>
      </c>
      <c r="J110" s="435"/>
      <c r="K110" s="435"/>
      <c r="L110" s="435"/>
      <c r="M110" s="435"/>
      <c r="N110" s="435"/>
      <c r="O110" s="435"/>
      <c r="P110" s="436">
        <f>SUM(compras_mes1[[#This Row],[NETO GRAVADO]:[Otros / No Grav.]])</f>
        <v>1324686.3893999998</v>
      </c>
      <c r="Q110" s="437" t="str">
        <f>IFERROR(IF(compras_mes1[[#This Row],[CUIT]]="","-",VLOOKUP(compras_mes1[[#This Row],[CUIT]],Lista_CUIT[#All],3,0)),"CUIT NO CARGADO")</f>
        <v>Productos Venta</v>
      </c>
      <c r="R110" s="437">
        <f>IFERROR(IF(compras_mes1[[#This Row],[CUIT]]="","-",VLOOKUP(compras_mes1[[#This Row],[CUIT]],Lista_CUIT[#All],4,0)),"CUIT NO CARGADO")</f>
        <v>0</v>
      </c>
    </row>
    <row r="111" spans="2:18" x14ac:dyDescent="0.25">
      <c r="B111" s="419" t="s">
        <v>2330</v>
      </c>
      <c r="C111" s="420">
        <v>1</v>
      </c>
      <c r="D111" s="421">
        <v>2</v>
      </c>
      <c r="E111" s="422">
        <v>3937</v>
      </c>
      <c r="F111" s="423">
        <v>30629863571</v>
      </c>
      <c r="G111" s="424" t="str">
        <f>IFERROR(IF(compras_mes1[[#This Row],[CUIT]]="","-",VLOOKUP(compras_mes1[[#This Row],[CUIT]],Lista_CUIT[#All],2,0)),"CUIT NO CARGADO")</f>
        <v>TECNIMAR S R L</v>
      </c>
      <c r="H111" s="425">
        <v>2830332.29</v>
      </c>
      <c r="I111" s="426">
        <f>IF(compras_mes1[[#This Row],[NETO GRAVADO]]="","",compras_mes1[[#This Row],[NETO GRAVADO]]*0.21)</f>
        <v>594369.78090000001</v>
      </c>
      <c r="J111" s="426"/>
      <c r="K111" s="426"/>
      <c r="L111" s="426"/>
      <c r="M111" s="426"/>
      <c r="N111" s="426"/>
      <c r="O111" s="426"/>
      <c r="P111" s="427">
        <f>SUM(compras_mes1[[#This Row],[NETO GRAVADO]:[Otros / No Grav.]])</f>
        <v>3424702.0709000002</v>
      </c>
      <c r="Q111" s="428" t="str">
        <f>IFERROR(IF(compras_mes1[[#This Row],[CUIT]]="","-",VLOOKUP(compras_mes1[[#This Row],[CUIT]],Lista_CUIT[#All],3,0)),"CUIT NO CARGADO")</f>
        <v>Productos Venta</v>
      </c>
      <c r="R111" s="428">
        <f>IFERROR(IF(compras_mes1[[#This Row],[CUIT]]="","-",VLOOKUP(compras_mes1[[#This Row],[CUIT]],Lista_CUIT[#All],4,0)),"CUIT NO CARGADO")</f>
        <v>0</v>
      </c>
    </row>
    <row r="112" spans="2:18" x14ac:dyDescent="0.25">
      <c r="B112" s="419" t="s">
        <v>2330</v>
      </c>
      <c r="C112" s="420">
        <v>1</v>
      </c>
      <c r="D112" s="421">
        <v>2</v>
      </c>
      <c r="E112" s="422">
        <v>3938</v>
      </c>
      <c r="F112" s="423">
        <v>30629863571</v>
      </c>
      <c r="G112" s="424" t="str">
        <f>IFERROR(IF(compras_mes1[[#This Row],[CUIT]]="","-",VLOOKUP(compras_mes1[[#This Row],[CUIT]],Lista_CUIT[#All],2,0)),"CUIT NO CARGADO")</f>
        <v>TECNIMAR S R L</v>
      </c>
      <c r="H112" s="425">
        <v>594304.56999999995</v>
      </c>
      <c r="I112" s="426">
        <f>IF(compras_mes1[[#This Row],[NETO GRAVADO]]="","",compras_mes1[[#This Row],[NETO GRAVADO]]*0.21)</f>
        <v>124803.95969999998</v>
      </c>
      <c r="J112" s="426"/>
      <c r="K112" s="426"/>
      <c r="L112" s="426"/>
      <c r="M112" s="426"/>
      <c r="N112" s="426"/>
      <c r="O112" s="426"/>
      <c r="P112" s="427">
        <f>SUM(compras_mes1[[#This Row],[NETO GRAVADO]:[Otros / No Grav.]])</f>
        <v>719108.52969999996</v>
      </c>
      <c r="Q112" s="428" t="str">
        <f>IFERROR(IF(compras_mes1[[#This Row],[CUIT]]="","-",VLOOKUP(compras_mes1[[#This Row],[CUIT]],Lista_CUIT[#All],3,0)),"CUIT NO CARGADO")</f>
        <v>Productos Venta</v>
      </c>
      <c r="R112" s="428">
        <f>IFERROR(IF(compras_mes1[[#This Row],[CUIT]]="","-",VLOOKUP(compras_mes1[[#This Row],[CUIT]],Lista_CUIT[#All],4,0)),"CUIT NO CARGADO")</f>
        <v>0</v>
      </c>
    </row>
    <row r="113" spans="2:18" x14ac:dyDescent="0.25">
      <c r="B113" s="419" t="s">
        <v>2322</v>
      </c>
      <c r="C113" s="420">
        <v>1</v>
      </c>
      <c r="D113" s="421">
        <v>2</v>
      </c>
      <c r="E113" s="422">
        <v>3948</v>
      </c>
      <c r="F113" s="423">
        <v>30629863571</v>
      </c>
      <c r="G113" s="424" t="str">
        <f>IFERROR(IF(compras_mes1[[#This Row],[CUIT]]="","-",VLOOKUP(compras_mes1[[#This Row],[CUIT]],Lista_CUIT[#All],2,0)),"CUIT NO CARGADO")</f>
        <v>TECNIMAR S R L</v>
      </c>
      <c r="H113" s="425">
        <v>1626737.71</v>
      </c>
      <c r="I113" s="426">
        <f>IF(compras_mes1[[#This Row],[NETO GRAVADO]]="","",compras_mes1[[#This Row],[NETO GRAVADO]]*0.21)</f>
        <v>341614.9191</v>
      </c>
      <c r="J113" s="426"/>
      <c r="K113" s="426"/>
      <c r="L113" s="426"/>
      <c r="M113" s="426"/>
      <c r="N113" s="426"/>
      <c r="O113" s="426"/>
      <c r="P113" s="427">
        <f>SUM(compras_mes1[[#This Row],[NETO GRAVADO]:[Otros / No Grav.]])</f>
        <v>1968352.6291</v>
      </c>
      <c r="Q113" s="428" t="str">
        <f>IFERROR(IF(compras_mes1[[#This Row],[CUIT]]="","-",VLOOKUP(compras_mes1[[#This Row],[CUIT]],Lista_CUIT[#All],3,0)),"CUIT NO CARGADO")</f>
        <v>Productos Venta</v>
      </c>
      <c r="R113" s="428">
        <f>IFERROR(IF(compras_mes1[[#This Row],[CUIT]]="","-",VLOOKUP(compras_mes1[[#This Row],[CUIT]],Lista_CUIT[#All],4,0)),"CUIT NO CARGADO")</f>
        <v>0</v>
      </c>
    </row>
    <row r="114" spans="2:18" x14ac:dyDescent="0.25">
      <c r="B114" s="429" t="s">
        <v>2336</v>
      </c>
      <c r="C114" s="420">
        <v>1</v>
      </c>
      <c r="D114" s="430">
        <v>2</v>
      </c>
      <c r="E114" s="431">
        <v>3951</v>
      </c>
      <c r="F114" s="432">
        <v>30629863571</v>
      </c>
      <c r="G114" s="433" t="str">
        <f>IFERROR(IF(compras_mes1[[#This Row],[CUIT]]="","-",VLOOKUP(compras_mes1[[#This Row],[CUIT]],Lista_CUIT[#All],2,0)),"CUIT NO CARGADO")</f>
        <v>TECNIMAR S R L</v>
      </c>
      <c r="H114" s="434">
        <v>1454801.1</v>
      </c>
      <c r="I114" s="426">
        <f>IF(compras_mes1[[#This Row],[NETO GRAVADO]]="","",compras_mes1[[#This Row],[NETO GRAVADO]]*0.21)</f>
        <v>305508.23100000003</v>
      </c>
      <c r="J114" s="435"/>
      <c r="K114" s="435"/>
      <c r="L114" s="435"/>
      <c r="M114" s="435"/>
      <c r="N114" s="435"/>
      <c r="O114" s="435"/>
      <c r="P114" s="436">
        <f>SUM(compras_mes1[[#This Row],[NETO GRAVADO]:[Otros / No Grav.]])</f>
        <v>1760309.3310000002</v>
      </c>
      <c r="Q114" s="437" t="str">
        <f>IFERROR(IF(compras_mes1[[#This Row],[CUIT]]="","-",VLOOKUP(compras_mes1[[#This Row],[CUIT]],Lista_CUIT[#All],3,0)),"CUIT NO CARGADO")</f>
        <v>Productos Venta</v>
      </c>
      <c r="R114" s="437">
        <f>IFERROR(IF(compras_mes1[[#This Row],[CUIT]]="","-",VLOOKUP(compras_mes1[[#This Row],[CUIT]],Lista_CUIT[#All],4,0)),"CUIT NO CARGADO")</f>
        <v>0</v>
      </c>
    </row>
    <row r="115" spans="2:18" x14ac:dyDescent="0.25">
      <c r="B115" s="419" t="s">
        <v>2338</v>
      </c>
      <c r="C115" s="420">
        <v>1</v>
      </c>
      <c r="D115" s="421">
        <v>2</v>
      </c>
      <c r="E115" s="422">
        <v>3954</v>
      </c>
      <c r="F115" s="423">
        <v>30629863571</v>
      </c>
      <c r="G115" s="424" t="str">
        <f>IFERROR(IF(compras_mes1[[#This Row],[CUIT]]="","-",VLOOKUP(compras_mes1[[#This Row],[CUIT]],Lista_CUIT[#All],2,0)),"CUIT NO CARGADO")</f>
        <v>TECNIMAR S R L</v>
      </c>
      <c r="H115" s="425">
        <v>1370858.52</v>
      </c>
      <c r="I115" s="426">
        <f>IF(compras_mes1[[#This Row],[NETO GRAVADO]]="","",compras_mes1[[#This Row],[NETO GRAVADO]]*0.21)</f>
        <v>287880.2892</v>
      </c>
      <c r="J115" s="426"/>
      <c r="K115" s="426"/>
      <c r="L115" s="426"/>
      <c r="M115" s="426"/>
      <c r="N115" s="426"/>
      <c r="O115" s="426"/>
      <c r="P115" s="427">
        <f>SUM(compras_mes1[[#This Row],[NETO GRAVADO]:[Otros / No Grav.]])</f>
        <v>1658738.8092</v>
      </c>
      <c r="Q115" s="428" t="str">
        <f>IFERROR(IF(compras_mes1[[#This Row],[CUIT]]="","-",VLOOKUP(compras_mes1[[#This Row],[CUIT]],Lista_CUIT[#All],3,0)),"CUIT NO CARGADO")</f>
        <v>Productos Venta</v>
      </c>
      <c r="R115" s="428">
        <f>IFERROR(IF(compras_mes1[[#This Row],[CUIT]]="","-",VLOOKUP(compras_mes1[[#This Row],[CUIT]],Lista_CUIT[#All],4,0)),"CUIT NO CARGADO")</f>
        <v>0</v>
      </c>
    </row>
    <row r="116" spans="2:18" x14ac:dyDescent="0.25">
      <c r="B116" s="402" t="s">
        <v>2324</v>
      </c>
      <c r="C116" s="403">
        <v>1</v>
      </c>
      <c r="D116" s="285">
        <v>2</v>
      </c>
      <c r="E116" s="286">
        <v>3957</v>
      </c>
      <c r="F116" s="287">
        <v>30629863571</v>
      </c>
      <c r="G116" s="404" t="str">
        <f>IFERROR(IF(compras_mes1[[#This Row],[CUIT]]="","-",VLOOKUP(compras_mes1[[#This Row],[CUIT]],Lista_CUIT[#All],2,0)),"CUIT NO CARGADO")</f>
        <v>TECNIMAR S R L</v>
      </c>
      <c r="H116" s="405">
        <v>1898336.24</v>
      </c>
      <c r="I116" s="406">
        <f>IF(compras_mes1[[#This Row],[NETO GRAVADO]]="","",compras_mes1[[#This Row],[NETO GRAVADO]]*0.21)</f>
        <v>398650.61040000001</v>
      </c>
      <c r="J116" s="406"/>
      <c r="K116" s="406"/>
      <c r="L116" s="406"/>
      <c r="M116" s="406"/>
      <c r="N116" s="406"/>
      <c r="O116" s="406"/>
      <c r="P116" s="407">
        <f>SUM(compras_mes1[[#This Row],[NETO GRAVADO]:[Otros / No Grav.]])</f>
        <v>2296986.8503999999</v>
      </c>
      <c r="Q116" s="408" t="str">
        <f>IFERROR(IF(compras_mes1[[#This Row],[CUIT]]="","-",VLOOKUP(compras_mes1[[#This Row],[CUIT]],Lista_CUIT[#All],3,0)),"CUIT NO CARGADO")</f>
        <v>Productos Venta</v>
      </c>
      <c r="R116" s="408">
        <f>IFERROR(IF(compras_mes1[[#This Row],[CUIT]]="","-",VLOOKUP(compras_mes1[[#This Row],[CUIT]],Lista_CUIT[#All],4,0)),"CUIT NO CARGADO")</f>
        <v>0</v>
      </c>
    </row>
    <row r="117" spans="2:18" x14ac:dyDescent="0.25">
      <c r="B117" s="429" t="s">
        <v>2325</v>
      </c>
      <c r="C117" s="420">
        <v>1</v>
      </c>
      <c r="D117" s="430">
        <v>2</v>
      </c>
      <c r="E117" s="431">
        <v>3958</v>
      </c>
      <c r="F117" s="432">
        <v>30629863571</v>
      </c>
      <c r="G117" s="433" t="str">
        <f>IFERROR(IF(compras_mes1[[#This Row],[CUIT]]="","-",VLOOKUP(compras_mes1[[#This Row],[CUIT]],Lista_CUIT[#All],2,0)),"CUIT NO CARGADO")</f>
        <v>TECNIMAR S R L</v>
      </c>
      <c r="H117" s="434">
        <v>3021686.24</v>
      </c>
      <c r="I117" s="426">
        <f>IF(compras_mes1[[#This Row],[NETO GRAVADO]]="","",compras_mes1[[#This Row],[NETO GRAVADO]]*0.21)</f>
        <v>634554.11040000001</v>
      </c>
      <c r="J117" s="435"/>
      <c r="K117" s="435"/>
      <c r="L117" s="435"/>
      <c r="M117" s="435"/>
      <c r="N117" s="435"/>
      <c r="O117" s="435"/>
      <c r="P117" s="436">
        <f>SUM(compras_mes1[[#This Row],[NETO GRAVADO]:[Otros / No Grav.]])</f>
        <v>3656240.3504000003</v>
      </c>
      <c r="Q117" s="437" t="str">
        <f>IFERROR(IF(compras_mes1[[#This Row],[CUIT]]="","-",VLOOKUP(compras_mes1[[#This Row],[CUIT]],Lista_CUIT[#All],3,0)),"CUIT NO CARGADO")</f>
        <v>Productos Venta</v>
      </c>
      <c r="R117" s="437">
        <f>IFERROR(IF(compras_mes1[[#This Row],[CUIT]]="","-",VLOOKUP(compras_mes1[[#This Row],[CUIT]],Lista_CUIT[#All],4,0)),"CUIT NO CARGADO")</f>
        <v>0</v>
      </c>
    </row>
    <row r="118" spans="2:18" x14ac:dyDescent="0.25">
      <c r="B118" s="419" t="s">
        <v>2317</v>
      </c>
      <c r="C118" s="420">
        <v>1</v>
      </c>
      <c r="D118" s="421">
        <v>63</v>
      </c>
      <c r="E118" s="422">
        <v>3131505</v>
      </c>
      <c r="F118" s="423">
        <v>30640897267</v>
      </c>
      <c r="G118" s="424" t="str">
        <f>IFERROR(IF(compras_mes1[[#This Row],[CUIT]]="","-",VLOOKUP(compras_mes1[[#This Row],[CUIT]],Lista_CUIT[#All],2,0)),"CUIT NO CARGADO")</f>
        <v>TELECENTRO S.A.</v>
      </c>
      <c r="H118" s="425">
        <v>56267.6</v>
      </c>
      <c r="I118" s="426">
        <f>IF(compras_mes1[[#This Row],[NETO GRAVADO]]="","",compras_mes1[[#This Row],[NETO GRAVADO]]*0.21)</f>
        <v>11816.196</v>
      </c>
      <c r="J118" s="426"/>
      <c r="K118" s="426"/>
      <c r="L118" s="426">
        <v>1688.03</v>
      </c>
      <c r="M118" s="426">
        <v>3376.06</v>
      </c>
      <c r="N118" s="426"/>
      <c r="O118" s="426"/>
      <c r="P118" s="427">
        <f>SUM(compras_mes1[[#This Row],[NETO GRAVADO]:[Otros / No Grav.]])</f>
        <v>73147.885999999999</v>
      </c>
      <c r="Q118" s="428" t="str">
        <f>IFERROR(IF(compras_mes1[[#This Row],[CUIT]]="","-",VLOOKUP(compras_mes1[[#This Row],[CUIT]],Lista_CUIT[#All],3,0)),"CUIT NO CARGADO")</f>
        <v>Servicios Gas, Luz, etc.</v>
      </c>
      <c r="R118" s="428">
        <f>IFERROR(IF(compras_mes1[[#This Row],[CUIT]]="","-",VLOOKUP(compras_mes1[[#This Row],[CUIT]],Lista_CUIT[#All],4,0)),"CUIT NO CARGADO")</f>
        <v>0</v>
      </c>
    </row>
    <row r="119" spans="2:18" x14ac:dyDescent="0.25">
      <c r="B119" s="419" t="s">
        <v>2317</v>
      </c>
      <c r="C119" s="420">
        <v>1</v>
      </c>
      <c r="D119" s="421">
        <v>63</v>
      </c>
      <c r="E119" s="422">
        <v>3132560</v>
      </c>
      <c r="F119" s="423">
        <v>30640897267</v>
      </c>
      <c r="G119" s="424" t="str">
        <f>IFERROR(IF(compras_mes1[[#This Row],[CUIT]]="","-",VLOOKUP(compras_mes1[[#This Row],[CUIT]],Lista_CUIT[#All],2,0)),"CUIT NO CARGADO")</f>
        <v>TELECENTRO S.A.</v>
      </c>
      <c r="H119" s="425">
        <v>56267.6</v>
      </c>
      <c r="I119" s="426">
        <f>IF(compras_mes1[[#This Row],[NETO GRAVADO]]="","",compras_mes1[[#This Row],[NETO GRAVADO]]*0.21)</f>
        <v>11816.196</v>
      </c>
      <c r="J119" s="426"/>
      <c r="K119" s="426"/>
      <c r="L119" s="426">
        <v>1688.03</v>
      </c>
      <c r="M119" s="426">
        <v>3376.06</v>
      </c>
      <c r="N119" s="426"/>
      <c r="O119" s="426"/>
      <c r="P119" s="427">
        <f>SUM(compras_mes1[[#This Row],[NETO GRAVADO]:[Otros / No Grav.]])</f>
        <v>73147.885999999999</v>
      </c>
      <c r="Q119" s="428" t="str">
        <f>IFERROR(IF(compras_mes1[[#This Row],[CUIT]]="","-",VLOOKUP(compras_mes1[[#This Row],[CUIT]],Lista_CUIT[#All],3,0)),"CUIT NO CARGADO")</f>
        <v>Servicios Gas, Luz, etc.</v>
      </c>
      <c r="R119" s="428">
        <f>IFERROR(IF(compras_mes1[[#This Row],[CUIT]]="","-",VLOOKUP(compras_mes1[[#This Row],[CUIT]],Lista_CUIT[#All],4,0)),"CUIT NO CARGADO")</f>
        <v>0</v>
      </c>
    </row>
    <row r="120" spans="2:18" x14ac:dyDescent="0.25">
      <c r="B120" s="429" t="s">
        <v>2331</v>
      </c>
      <c r="C120" s="420">
        <v>1</v>
      </c>
      <c r="D120" s="430">
        <v>6364</v>
      </c>
      <c r="E120" s="431">
        <v>8833475</v>
      </c>
      <c r="F120" s="432">
        <v>30639453738</v>
      </c>
      <c r="G120" s="433" t="str">
        <f>IFERROR(IF(compras_mes1[[#This Row],[CUIT]]="","-",VLOOKUP(compras_mes1[[#This Row],[CUIT]],Lista_CUIT[#All],2,0)),"CUIT NO CARGADO")</f>
        <v>TELECOM ARG SA</v>
      </c>
      <c r="H120" s="434">
        <v>279914.39</v>
      </c>
      <c r="I120" s="426">
        <v>58596.07</v>
      </c>
      <c r="J120" s="435">
        <v>239.08</v>
      </c>
      <c r="K120" s="435"/>
      <c r="L120" s="435"/>
      <c r="M120" s="435"/>
      <c r="N120" s="435">
        <v>15597.83</v>
      </c>
      <c r="O120" s="435">
        <v>8473.08</v>
      </c>
      <c r="P120" s="436">
        <f>SUM(compras_mes1[[#This Row],[NETO GRAVADO]:[Otros / No Grav.]])</f>
        <v>362820.45000000007</v>
      </c>
      <c r="Q120" s="437" t="str">
        <f>IFERROR(IF(compras_mes1[[#This Row],[CUIT]]="","-",VLOOKUP(compras_mes1[[#This Row],[CUIT]],Lista_CUIT[#All],3,0)),"CUIT NO CARGADO")</f>
        <v>Servicios Gas, Luz, etc.</v>
      </c>
      <c r="R120" s="437">
        <f>IFERROR(IF(compras_mes1[[#This Row],[CUIT]]="","-",VLOOKUP(compras_mes1[[#This Row],[CUIT]],Lista_CUIT[#All],4,0)),"CUIT NO CARGADO")</f>
        <v>0</v>
      </c>
    </row>
    <row r="121" spans="2:18" x14ac:dyDescent="0.25">
      <c r="B121" s="402" t="s">
        <v>2333</v>
      </c>
      <c r="C121" s="403">
        <v>1</v>
      </c>
      <c r="D121" s="285">
        <v>4264</v>
      </c>
      <c r="E121" s="286">
        <v>4819935</v>
      </c>
      <c r="F121" s="287">
        <v>30639453738</v>
      </c>
      <c r="G121" s="404" t="str">
        <f>IFERROR(IF(compras_mes1[[#This Row],[CUIT]]="","-",VLOOKUP(compras_mes1[[#This Row],[CUIT]],Lista_CUIT[#All],2,0)),"CUIT NO CARGADO")</f>
        <v>TELECOM ARG SA</v>
      </c>
      <c r="H121" s="405">
        <v>19010</v>
      </c>
      <c r="I121" s="406">
        <f>IF(compras_mes1[[#This Row],[NETO GRAVADO]]="","",compras_mes1[[#This Row],[NETO GRAVADO]]*0.21)</f>
        <v>3992.1</v>
      </c>
      <c r="J121" s="406"/>
      <c r="K121" s="406"/>
      <c r="L121" s="406"/>
      <c r="M121" s="406">
        <v>570.29999999999995</v>
      </c>
      <c r="N121" s="406"/>
      <c r="O121" s="406"/>
      <c r="P121" s="407">
        <f>SUM(compras_mes1[[#This Row],[NETO GRAVADO]:[Otros / No Grav.]])</f>
        <v>23572.399999999998</v>
      </c>
      <c r="Q121" s="408" t="str">
        <f>IFERROR(IF(compras_mes1[[#This Row],[CUIT]]="","-",VLOOKUP(compras_mes1[[#This Row],[CUIT]],Lista_CUIT[#All],3,0)),"CUIT NO CARGADO")</f>
        <v>Servicios Gas, Luz, etc.</v>
      </c>
      <c r="R121" s="408">
        <f>IFERROR(IF(compras_mes1[[#This Row],[CUIT]]="","-",VLOOKUP(compras_mes1[[#This Row],[CUIT]],Lista_CUIT[#All],4,0)),"CUIT NO CARGADO")</f>
        <v>0</v>
      </c>
    </row>
    <row r="122" spans="2:18" x14ac:dyDescent="0.25">
      <c r="B122" s="402" t="s">
        <v>2333</v>
      </c>
      <c r="C122" s="403">
        <v>1</v>
      </c>
      <c r="D122" s="285">
        <v>4264</v>
      </c>
      <c r="E122" s="286">
        <v>4856295</v>
      </c>
      <c r="F122" s="287">
        <v>30639453738</v>
      </c>
      <c r="G122" s="404" t="str">
        <f>IFERROR(IF(compras_mes1[[#This Row],[CUIT]]="","-",VLOOKUP(compras_mes1[[#This Row],[CUIT]],Lista_CUIT[#All],2,0)),"CUIT NO CARGADO")</f>
        <v>TELECOM ARG SA</v>
      </c>
      <c r="H122" s="405">
        <v>28760</v>
      </c>
      <c r="I122" s="406">
        <f>IF(compras_mes1[[#This Row],[NETO GRAVADO]]="","",compras_mes1[[#This Row],[NETO GRAVADO]]*0.21)</f>
        <v>6039.5999999999995</v>
      </c>
      <c r="J122" s="406"/>
      <c r="K122" s="406"/>
      <c r="L122" s="406"/>
      <c r="M122" s="406"/>
      <c r="N122" s="406">
        <v>2588.4</v>
      </c>
      <c r="O122" s="406"/>
      <c r="P122" s="407">
        <f>SUM(compras_mes1[[#This Row],[NETO GRAVADO]:[Otros / No Grav.]])</f>
        <v>37388</v>
      </c>
      <c r="Q122" s="408" t="str">
        <f>IFERROR(IF(compras_mes1[[#This Row],[CUIT]]="","-",VLOOKUP(compras_mes1[[#This Row],[CUIT]],Lista_CUIT[#All],3,0)),"CUIT NO CARGADO")</f>
        <v>Servicios Gas, Luz, etc.</v>
      </c>
      <c r="R122" s="408">
        <f>IFERROR(IF(compras_mes1[[#This Row],[CUIT]]="","-",VLOOKUP(compras_mes1[[#This Row],[CUIT]],Lista_CUIT[#All],4,0)),"CUIT NO CARGADO")</f>
        <v>0</v>
      </c>
    </row>
    <row r="123" spans="2:18" x14ac:dyDescent="0.25">
      <c r="B123" s="402" t="s">
        <v>2338</v>
      </c>
      <c r="C123" s="403">
        <v>1</v>
      </c>
      <c r="D123" s="285">
        <v>5743</v>
      </c>
      <c r="E123" s="286">
        <v>2957</v>
      </c>
      <c r="F123" s="287">
        <v>30639453738</v>
      </c>
      <c r="G123" s="404" t="str">
        <f>IFERROR(IF(compras_mes1[[#This Row],[CUIT]]="","-",VLOOKUP(compras_mes1[[#This Row],[CUIT]],Lista_CUIT[#All],2,0)),"CUIT NO CARGADO")</f>
        <v>TELECOM ARG SA</v>
      </c>
      <c r="H123" s="405">
        <v>0.01</v>
      </c>
      <c r="I123" s="406">
        <f>IF(compras_mes1[[#This Row],[NETO GRAVADO]]="","",compras_mes1[[#This Row],[NETO GRAVADO]]*0.21)</f>
        <v>2.0999999999999999E-3</v>
      </c>
      <c r="J123" s="406"/>
      <c r="K123" s="406"/>
      <c r="L123" s="406"/>
      <c r="M123" s="406"/>
      <c r="N123" s="406"/>
      <c r="O123" s="406"/>
      <c r="P123" s="407">
        <f>SUM(compras_mes1[[#This Row],[NETO GRAVADO]:[Otros / No Grav.]])</f>
        <v>1.21E-2</v>
      </c>
      <c r="Q123" s="408" t="str">
        <f>IFERROR(IF(compras_mes1[[#This Row],[CUIT]]="","-",VLOOKUP(compras_mes1[[#This Row],[CUIT]],Lista_CUIT[#All],3,0)),"CUIT NO CARGADO")</f>
        <v>Servicios Gas, Luz, etc.</v>
      </c>
      <c r="R123" s="408">
        <f>IFERROR(IF(compras_mes1[[#This Row],[CUIT]]="","-",VLOOKUP(compras_mes1[[#This Row],[CUIT]],Lista_CUIT[#All],4,0)),"CUIT NO CARGADO")</f>
        <v>0</v>
      </c>
    </row>
    <row r="124" spans="2:18" x14ac:dyDescent="0.25">
      <c r="B124" s="402" t="s">
        <v>2338</v>
      </c>
      <c r="C124" s="403">
        <v>1</v>
      </c>
      <c r="D124" s="285">
        <v>5743</v>
      </c>
      <c r="E124" s="286">
        <v>2955</v>
      </c>
      <c r="F124" s="287">
        <v>30639453738</v>
      </c>
      <c r="G124" s="404" t="str">
        <f>IFERROR(IF(compras_mes1[[#This Row],[CUIT]]="","-",VLOOKUP(compras_mes1[[#This Row],[CUIT]],Lista_CUIT[#All],2,0)),"CUIT NO CARGADO")</f>
        <v>TELECOM ARG SA</v>
      </c>
      <c r="H124" s="405">
        <v>0.01</v>
      </c>
      <c r="I124" s="406">
        <f>IF(compras_mes1[[#This Row],[NETO GRAVADO]]="","",compras_mes1[[#This Row],[NETO GRAVADO]]*0.21)</f>
        <v>2.0999999999999999E-3</v>
      </c>
      <c r="J124" s="406"/>
      <c r="K124" s="406"/>
      <c r="L124" s="406"/>
      <c r="M124" s="406"/>
      <c r="N124" s="406"/>
      <c r="O124" s="406"/>
      <c r="P124" s="407">
        <f>SUM(compras_mes1[[#This Row],[NETO GRAVADO]:[Otros / No Grav.]])</f>
        <v>1.21E-2</v>
      </c>
      <c r="Q124" s="408" t="str">
        <f>IFERROR(IF(compras_mes1[[#This Row],[CUIT]]="","-",VLOOKUP(compras_mes1[[#This Row],[CUIT]],Lista_CUIT[#All],3,0)),"CUIT NO CARGADO")</f>
        <v>Servicios Gas, Luz, etc.</v>
      </c>
      <c r="R124" s="408">
        <f>IFERROR(IF(compras_mes1[[#This Row],[CUIT]]="","-",VLOOKUP(compras_mes1[[#This Row],[CUIT]],Lista_CUIT[#All],4,0)),"CUIT NO CARGADO")</f>
        <v>0</v>
      </c>
    </row>
    <row r="125" spans="2:18" x14ac:dyDescent="0.25">
      <c r="B125" s="402" t="s">
        <v>2338</v>
      </c>
      <c r="C125" s="403">
        <v>1</v>
      </c>
      <c r="D125" s="285">
        <v>5743</v>
      </c>
      <c r="E125" s="286">
        <v>2956</v>
      </c>
      <c r="F125" s="287">
        <v>30639453738</v>
      </c>
      <c r="G125" s="404" t="str">
        <f>IFERROR(IF(compras_mes1[[#This Row],[CUIT]]="","-",VLOOKUP(compras_mes1[[#This Row],[CUIT]],Lista_CUIT[#All],2,0)),"CUIT NO CARGADO")</f>
        <v>TELECOM ARG SA</v>
      </c>
      <c r="H125" s="405">
        <v>0.01</v>
      </c>
      <c r="I125" s="406">
        <f>IF(compras_mes1[[#This Row],[NETO GRAVADO]]="","",compras_mes1[[#This Row],[NETO GRAVADO]]*0.21)</f>
        <v>2.0999999999999999E-3</v>
      </c>
      <c r="J125" s="406"/>
      <c r="K125" s="406"/>
      <c r="L125" s="406"/>
      <c r="M125" s="406"/>
      <c r="N125" s="406"/>
      <c r="O125" s="406"/>
      <c r="P125" s="407">
        <f>SUM(compras_mes1[[#This Row],[NETO GRAVADO]:[Otros / No Grav.]])</f>
        <v>1.21E-2</v>
      </c>
      <c r="Q125" s="408" t="str">
        <f>IFERROR(IF(compras_mes1[[#This Row],[CUIT]]="","-",VLOOKUP(compras_mes1[[#This Row],[CUIT]],Lista_CUIT[#All],3,0)),"CUIT NO CARGADO")</f>
        <v>Servicios Gas, Luz, etc.</v>
      </c>
      <c r="R125" s="408">
        <f>IFERROR(IF(compras_mes1[[#This Row],[CUIT]]="","-",VLOOKUP(compras_mes1[[#This Row],[CUIT]],Lista_CUIT[#All],4,0)),"CUIT NO CARGADO")</f>
        <v>0</v>
      </c>
    </row>
    <row r="126" spans="2:18" x14ac:dyDescent="0.25">
      <c r="B126" s="402" t="s">
        <v>2316</v>
      </c>
      <c r="C126" s="403">
        <v>1</v>
      </c>
      <c r="D126" s="285">
        <v>3099</v>
      </c>
      <c r="E126" s="286">
        <v>363718</v>
      </c>
      <c r="F126" s="287">
        <v>30678814357</v>
      </c>
      <c r="G126" s="404" t="str">
        <f>IFERROR(IF(compras_mes1[[#This Row],[CUIT]]="","-",VLOOKUP(compras_mes1[[#This Row],[CUIT]],Lista_CUIT[#All],2,0)),"CUIT NO CARGADO")</f>
        <v>TELEFONICA MOVILES ARG</v>
      </c>
      <c r="H126" s="405">
        <v>33406</v>
      </c>
      <c r="I126" s="406"/>
      <c r="J126" s="406">
        <f>compras_mes1[[#This Row],[NETO GRAVADO]]*0.27</f>
        <v>9019.6200000000008</v>
      </c>
      <c r="K126" s="406"/>
      <c r="L126" s="406">
        <v>1002.18</v>
      </c>
      <c r="M126" s="406"/>
      <c r="N126" s="406">
        <v>2004.36</v>
      </c>
      <c r="O126" s="406"/>
      <c r="P126" s="407">
        <f>SUM(compras_mes1[[#This Row],[NETO GRAVADO]:[Otros / No Grav.]])</f>
        <v>45432.160000000003</v>
      </c>
      <c r="Q126" s="408" t="str">
        <f>IFERROR(IF(compras_mes1[[#This Row],[CUIT]]="","-",VLOOKUP(compras_mes1[[#This Row],[CUIT]],Lista_CUIT[#All],3,0)),"CUIT NO CARGADO")</f>
        <v>Servicios Gas, Luz, etc.</v>
      </c>
      <c r="R126" s="408">
        <f>IFERROR(IF(compras_mes1[[#This Row],[CUIT]]="","-",VLOOKUP(compras_mes1[[#This Row],[CUIT]],Lista_CUIT[#All],4,0)),"CUIT NO CARGADO")</f>
        <v>0</v>
      </c>
    </row>
    <row r="127" spans="2:18" x14ac:dyDescent="0.25">
      <c r="B127" s="402" t="s">
        <v>2330</v>
      </c>
      <c r="C127" s="403">
        <v>1</v>
      </c>
      <c r="D127" s="285">
        <v>3101</v>
      </c>
      <c r="E127" s="286">
        <v>238908</v>
      </c>
      <c r="F127" s="287">
        <v>30678814357</v>
      </c>
      <c r="G127" s="404" t="str">
        <f>IFERROR(IF(compras_mes1[[#This Row],[CUIT]]="","-",VLOOKUP(compras_mes1[[#This Row],[CUIT]],Lista_CUIT[#All],2,0)),"CUIT NO CARGADO")</f>
        <v>TELEFONICA MOVILES ARG</v>
      </c>
      <c r="H127" s="405">
        <v>15383.3</v>
      </c>
      <c r="I127" s="406"/>
      <c r="J127" s="406">
        <f>compras_mes1[[#This Row],[NETO GRAVADO]]*0.27</f>
        <v>4153.491</v>
      </c>
      <c r="K127" s="406"/>
      <c r="L127" s="406">
        <v>461.5</v>
      </c>
      <c r="M127" s="406"/>
      <c r="N127" s="406">
        <v>923</v>
      </c>
      <c r="O127" s="406"/>
      <c r="P127" s="407">
        <f>SUM(compras_mes1[[#This Row],[NETO GRAVADO]:[Otros / No Grav.]])</f>
        <v>20921.290999999997</v>
      </c>
      <c r="Q127" s="408" t="str">
        <f>IFERROR(IF(compras_mes1[[#This Row],[CUIT]]="","-",VLOOKUP(compras_mes1[[#This Row],[CUIT]],Lista_CUIT[#All],3,0)),"CUIT NO CARGADO")</f>
        <v>Servicios Gas, Luz, etc.</v>
      </c>
      <c r="R127" s="408">
        <f>IFERROR(IF(compras_mes1[[#This Row],[CUIT]]="","-",VLOOKUP(compras_mes1[[#This Row],[CUIT]],Lista_CUIT[#All],4,0)),"CUIT NO CARGADO")</f>
        <v>0</v>
      </c>
    </row>
    <row r="128" spans="2:18" x14ac:dyDescent="0.25">
      <c r="B128" s="402" t="s">
        <v>2328</v>
      </c>
      <c r="C128" s="403">
        <v>1</v>
      </c>
      <c r="D128" s="285">
        <v>3</v>
      </c>
      <c r="E128" s="286">
        <v>28919</v>
      </c>
      <c r="F128" s="287">
        <v>33707953549</v>
      </c>
      <c r="G128" s="404" t="str">
        <f>IFERROR(IF(compras_mes1[[#This Row],[CUIT]]="","-",VLOOKUP(compras_mes1[[#This Row],[CUIT]],Lista_CUIT[#All],2,0)),"CUIT NO CARGADO")</f>
        <v>TELESMART</v>
      </c>
      <c r="H128" s="405">
        <v>19500</v>
      </c>
      <c r="I128" s="406">
        <f>IF(compras_mes1[[#This Row],[NETO GRAVADO]]="","",compras_mes1[[#This Row],[NETO GRAVADO]]*0.21)</f>
        <v>4095</v>
      </c>
      <c r="J128" s="406"/>
      <c r="K128" s="406"/>
      <c r="L128" s="406"/>
      <c r="M128" s="406"/>
      <c r="N128" s="406"/>
      <c r="O128" s="406"/>
      <c r="P128" s="407">
        <f>SUM(compras_mes1[[#This Row],[NETO GRAVADO]:[Otros / No Grav.]])</f>
        <v>23595</v>
      </c>
      <c r="Q128" s="408" t="str">
        <f>IFERROR(IF(compras_mes1[[#This Row],[CUIT]]="","-",VLOOKUP(compras_mes1[[#This Row],[CUIT]],Lista_CUIT[#All],3,0)),"CUIT NO CARGADO")</f>
        <v>Servicios Gas, Luz, etc.</v>
      </c>
      <c r="R128" s="408">
        <f>IFERROR(IF(compras_mes1[[#This Row],[CUIT]]="","-",VLOOKUP(compras_mes1[[#This Row],[CUIT]],Lista_CUIT[#All],4,0)),"CUIT NO CARGADO")</f>
        <v>0</v>
      </c>
    </row>
    <row r="129" spans="2:18" x14ac:dyDescent="0.25">
      <c r="B129" s="402" t="s">
        <v>2318</v>
      </c>
      <c r="C129" s="403">
        <v>1</v>
      </c>
      <c r="D129" s="285">
        <v>4</v>
      </c>
      <c r="E129" s="286">
        <v>1714</v>
      </c>
      <c r="F129" s="287">
        <v>30715501348</v>
      </c>
      <c r="G129" s="404" t="str">
        <f>IFERROR(IF(compras_mes1[[#This Row],[CUIT]]="","-",VLOOKUP(compras_mes1[[#This Row],[CUIT]],Lista_CUIT[#All],2,0)),"CUIT NO CARGADO")</f>
        <v>VANALEX PISCINAS S.R.L.</v>
      </c>
      <c r="H129" s="405">
        <v>59090.91</v>
      </c>
      <c r="I129" s="406">
        <f>IF(compras_mes1[[#This Row],[NETO GRAVADO]]="","",compras_mes1[[#This Row],[NETO GRAVADO]]*0.21)</f>
        <v>12409.0911</v>
      </c>
      <c r="J129" s="406"/>
      <c r="K129" s="406"/>
      <c r="L129" s="406"/>
      <c r="M129" s="406"/>
      <c r="N129" s="406"/>
      <c r="O129" s="406"/>
      <c r="P129" s="407">
        <f>SUM(compras_mes1[[#This Row],[NETO GRAVADO]:[Otros / No Grav.]])</f>
        <v>71500.001100000009</v>
      </c>
      <c r="Q129" s="408" t="str">
        <f>IFERROR(IF(compras_mes1[[#This Row],[CUIT]]="","-",VLOOKUP(compras_mes1[[#This Row],[CUIT]],Lista_CUIT[#All],3,0)),"CUIT NO CARGADO")</f>
        <v>Gastos Varios</v>
      </c>
      <c r="R129" s="408">
        <f>IFERROR(IF(compras_mes1[[#This Row],[CUIT]]="","-",VLOOKUP(compras_mes1[[#This Row],[CUIT]],Lista_CUIT[#All],4,0)),"CUIT NO CARGADO")</f>
        <v>0</v>
      </c>
    </row>
    <row r="130" spans="2:18" x14ac:dyDescent="0.25">
      <c r="B130" s="429" t="s">
        <v>2340</v>
      </c>
      <c r="C130" s="420">
        <v>1</v>
      </c>
      <c r="D130" s="430">
        <v>2</v>
      </c>
      <c r="E130" s="431">
        <v>3960</v>
      </c>
      <c r="F130" s="432">
        <v>30629863571</v>
      </c>
      <c r="G130" s="433" t="str">
        <f>IFERROR(IF(compras_mes1[[#This Row],[CUIT]]="","-",VLOOKUP(compras_mes1[[#This Row],[CUIT]],Lista_CUIT[#All],2,0)),"CUIT NO CARGADO")</f>
        <v>TECNIMAR S R L</v>
      </c>
      <c r="H130" s="434">
        <v>879206.14</v>
      </c>
      <c r="I130" s="426">
        <f>IF(compras_mes1[[#This Row],[NETO GRAVADO]]="","",compras_mes1[[#This Row],[NETO GRAVADO]]*0.21)</f>
        <v>184633.28940000001</v>
      </c>
      <c r="J130" s="435"/>
      <c r="K130" s="435"/>
      <c r="L130" s="435"/>
      <c r="M130" s="435"/>
      <c r="N130" s="435"/>
      <c r="O130" s="435"/>
      <c r="P130" s="436">
        <f>SUM(compras_mes1[[#This Row],[NETO GRAVADO]:[Otros / No Grav.]])</f>
        <v>1063839.4294</v>
      </c>
      <c r="Q130" s="437" t="str">
        <f>IFERROR(IF(compras_mes1[[#This Row],[CUIT]]="","-",VLOOKUP(compras_mes1[[#This Row],[CUIT]],Lista_CUIT[#All],3,0)),"CUIT NO CARGADO")</f>
        <v>Productos Venta</v>
      </c>
      <c r="R130" s="437">
        <f>IFERROR(IF(compras_mes1[[#This Row],[CUIT]]="","-",VLOOKUP(compras_mes1[[#This Row],[CUIT]],Lista_CUIT[#All],4,0)),"CUIT NO CARGADO")</f>
        <v>0</v>
      </c>
    </row>
    <row r="131" spans="2:18" x14ac:dyDescent="0.25">
      <c r="B131" s="40" t="s">
        <v>2316</v>
      </c>
      <c r="C131" s="403">
        <v>1</v>
      </c>
      <c r="D131" s="42">
        <v>1</v>
      </c>
      <c r="E131" s="43">
        <v>96506</v>
      </c>
      <c r="F131" s="44">
        <v>30714867349</v>
      </c>
      <c r="G131" s="45" t="str">
        <f>IFERROR(IF(compras_mes1[[#This Row],[CUIT]]="","-",VLOOKUP(compras_mes1[[#This Row],[CUIT]],Lista_CUIT[#All],2,0)),"CUIT NO CARGADO")</f>
        <v>VTV SUD S.A.</v>
      </c>
      <c r="H131" s="46">
        <v>38869</v>
      </c>
      <c r="I131" s="406">
        <f>IF(compras_mes1[[#This Row],[NETO GRAVADO]]="","",compras_mes1[[#This Row],[NETO GRAVADO]]*0.21)</f>
        <v>8162.49</v>
      </c>
      <c r="J131" s="85"/>
      <c r="K131" s="85"/>
      <c r="L131" s="85"/>
      <c r="M131" s="85"/>
      <c r="N131" s="85"/>
      <c r="O131" s="85"/>
      <c r="P131" s="48">
        <f>SUM(compras_mes1[[#This Row],[NETO GRAVADO]:[Otros / No Grav.]])</f>
        <v>47031.49</v>
      </c>
      <c r="Q131" s="49" t="str">
        <f>IFERROR(IF(compras_mes1[[#This Row],[CUIT]]="","-",VLOOKUP(compras_mes1[[#This Row],[CUIT]],Lista_CUIT[#All],3,0)),"CUIT NO CARGADO")</f>
        <v>Mantenimiento Rodado</v>
      </c>
      <c r="R131" s="49">
        <f>IFERROR(IF(compras_mes1[[#This Row],[CUIT]]="","-",VLOOKUP(compras_mes1[[#This Row],[CUIT]],Lista_CUIT[#All],4,0)),"CUIT NO CARGADO")</f>
        <v>0</v>
      </c>
    </row>
    <row r="132" spans="2:18" x14ac:dyDescent="0.25">
      <c r="B132" s="402" t="s">
        <v>2327</v>
      </c>
      <c r="C132" s="403">
        <v>1</v>
      </c>
      <c r="D132" s="285">
        <v>1</v>
      </c>
      <c r="E132" s="286">
        <v>96522</v>
      </c>
      <c r="F132" s="287">
        <v>30714867349</v>
      </c>
      <c r="G132" s="404" t="str">
        <f>IFERROR(IF(compras_mes1[[#This Row],[CUIT]]="","-",VLOOKUP(compras_mes1[[#This Row],[CUIT]],Lista_CUIT[#All],2,0)),"CUIT NO CARGADO")</f>
        <v>VTV SUD S.A.</v>
      </c>
      <c r="H132" s="405">
        <v>38869</v>
      </c>
      <c r="I132" s="406">
        <f>IF(compras_mes1[[#This Row],[NETO GRAVADO]]="","",compras_mes1[[#This Row],[NETO GRAVADO]]*0.21)</f>
        <v>8162.49</v>
      </c>
      <c r="J132" s="406"/>
      <c r="K132" s="406"/>
      <c r="L132" s="406"/>
      <c r="M132" s="406"/>
      <c r="N132" s="406"/>
      <c r="O132" s="406"/>
      <c r="P132" s="407">
        <f>SUM(compras_mes1[[#This Row],[NETO GRAVADO]:[Otros / No Grav.]])</f>
        <v>47031.49</v>
      </c>
      <c r="Q132" s="408" t="str">
        <f>IFERROR(IF(compras_mes1[[#This Row],[CUIT]]="","-",VLOOKUP(compras_mes1[[#This Row],[CUIT]],Lista_CUIT[#All],3,0)),"CUIT NO CARGADO")</f>
        <v>Mantenimiento Rodado</v>
      </c>
      <c r="R132" s="408">
        <f>IFERROR(IF(compras_mes1[[#This Row],[CUIT]]="","-",VLOOKUP(compras_mes1[[#This Row],[CUIT]],Lista_CUIT[#All],4,0)),"CUIT NO CARGADO")</f>
        <v>0</v>
      </c>
    </row>
    <row r="133" spans="2:18" x14ac:dyDescent="0.25">
      <c r="B133" s="95" t="s">
        <v>103</v>
      </c>
      <c r="C133" s="95"/>
      <c r="D133" s="95"/>
      <c r="E133" s="95"/>
      <c r="F133" s="95"/>
      <c r="G133" s="96"/>
      <c r="H133" s="97">
        <f>SUBTOTAL(109,compras_mes1[NETO GRAVADO])</f>
        <v>42790410.679375</v>
      </c>
      <c r="I133" s="97">
        <f>SUBTOTAL(109,compras_mes1[IVA 21 %])</f>
        <v>8390543.4602687489</v>
      </c>
      <c r="J133" s="97">
        <f>SUBTOTAL(109,compras_mes1[IVA 27%])</f>
        <v>13412.191000000001</v>
      </c>
      <c r="K133" s="97">
        <f>SUBTOTAL(109,compras_mes1[IVA 10,5%])</f>
        <v>292505.53970000002</v>
      </c>
      <c r="L133" s="97">
        <f>SUBTOTAL(109,compras_mes1[PERC. IVA])</f>
        <v>84612.06</v>
      </c>
      <c r="M133" s="97">
        <f>SUBTOTAL(109,compras_mes1[PERC IIBB 
BS AS])</f>
        <v>86434.59</v>
      </c>
      <c r="N133" s="97">
        <f>SUBTOTAL(109,compras_mes1[PERC. IIBB CABA])</f>
        <v>469440.53</v>
      </c>
      <c r="O133" s="97">
        <f>SUBTOTAL(109,compras_mes1[Otros / No Grav.])</f>
        <v>1251170.3000000003</v>
      </c>
      <c r="P133" s="97">
        <f>SUBTOTAL(109,compras_mes1[TOTAL])</f>
        <v>53378529.350343771</v>
      </c>
      <c r="Q133" s="95"/>
      <c r="R133" s="95"/>
    </row>
    <row r="134" spans="2:18" x14ac:dyDescent="0.25">
      <c r="B134" s="40"/>
      <c r="C134" s="41"/>
      <c r="D134" s="42"/>
      <c r="E134" s="43"/>
      <c r="F134" s="44"/>
      <c r="G134" s="45"/>
      <c r="H134" s="46"/>
      <c r="I134" s="47"/>
      <c r="J134" s="47"/>
      <c r="K134" s="47"/>
      <c r="L134" s="47"/>
      <c r="M134" s="47"/>
      <c r="N134" s="47"/>
      <c r="O134" s="47"/>
      <c r="P134" s="48"/>
      <c r="Q134" s="49"/>
      <c r="R134" s="49"/>
    </row>
    <row r="135" spans="2:18" x14ac:dyDescent="0.25">
      <c r="B135" s="40"/>
      <c r="C135" s="41"/>
      <c r="D135" s="42"/>
      <c r="E135" s="43"/>
      <c r="F135" s="44"/>
      <c r="G135" s="45"/>
      <c r="H135" s="46"/>
      <c r="I135" s="47"/>
      <c r="J135" s="47"/>
      <c r="K135" s="47"/>
      <c r="L135" s="47"/>
      <c r="M135" s="47"/>
      <c r="N135" s="47"/>
      <c r="O135" s="47"/>
      <c r="P135" s="48"/>
      <c r="Q135" s="49"/>
      <c r="R135" s="49"/>
    </row>
    <row r="136" spans="2:18" x14ac:dyDescent="0.25">
      <c r="B136" s="40"/>
      <c r="C136" s="41"/>
      <c r="D136" s="42"/>
      <c r="E136" s="43"/>
      <c r="F136" s="44"/>
      <c r="G136" s="45"/>
      <c r="H136" s="46">
        <f>H144*100/21</f>
        <v>240260</v>
      </c>
      <c r="I136" s="47">
        <f>I144*100/10.5</f>
        <v>103196.23000000001</v>
      </c>
      <c r="J136" s="47"/>
      <c r="K136" s="47"/>
      <c r="L136" s="47"/>
      <c r="M136" s="47"/>
      <c r="N136" s="47"/>
      <c r="O136" s="47"/>
      <c r="P136" s="48"/>
      <c r="Q136" s="49"/>
      <c r="R136" s="49"/>
    </row>
    <row r="137" spans="2:18" x14ac:dyDescent="0.25">
      <c r="B137" s="40"/>
      <c r="C137" s="41"/>
      <c r="D137" s="42"/>
      <c r="E137" s="43"/>
      <c r="F137" s="44"/>
      <c r="G137" s="45"/>
      <c r="H137" s="46"/>
      <c r="I137" s="47"/>
      <c r="J137" s="47"/>
      <c r="K137" s="47"/>
      <c r="L137" s="47"/>
      <c r="O137" s="536"/>
    </row>
    <row r="138" spans="2:18" ht="21" x14ac:dyDescent="0.25">
      <c r="D138" s="581" t="s">
        <v>15</v>
      </c>
      <c r="E138" s="581"/>
      <c r="F138" s="581"/>
      <c r="G138" s="581"/>
      <c r="H138" s="581"/>
      <c r="I138" s="581"/>
      <c r="J138" s="581"/>
      <c r="K138" s="581"/>
      <c r="L138" s="581"/>
    </row>
    <row r="139" spans="2:18" ht="15.75" x14ac:dyDescent="0.25">
      <c r="D139" s="73" t="s">
        <v>0</v>
      </c>
      <c r="E139" s="74" t="s">
        <v>26</v>
      </c>
      <c r="F139" s="74" t="s">
        <v>16</v>
      </c>
      <c r="G139" s="74" t="s">
        <v>5</v>
      </c>
      <c r="H139" s="74" t="s">
        <v>17</v>
      </c>
      <c r="I139" s="74" t="s">
        <v>7</v>
      </c>
      <c r="J139" s="75" t="s">
        <v>18</v>
      </c>
      <c r="K139" s="75" t="s">
        <v>19</v>
      </c>
      <c r="L139" s="76" t="s">
        <v>20</v>
      </c>
    </row>
    <row r="140" spans="2:18" x14ac:dyDescent="0.25">
      <c r="D140" s="288"/>
      <c r="E140" s="289"/>
      <c r="F140" s="165" t="s">
        <v>2310</v>
      </c>
      <c r="G140" s="290">
        <v>8055.63</v>
      </c>
      <c r="H140" s="290"/>
      <c r="I140" s="290">
        <v>845.84</v>
      </c>
      <c r="J140" s="290">
        <v>483.34</v>
      </c>
      <c r="K140" s="290">
        <v>120.83</v>
      </c>
      <c r="L140" s="290"/>
    </row>
    <row r="141" spans="2:18" x14ac:dyDescent="0.25">
      <c r="D141" s="50"/>
      <c r="E141" s="159"/>
      <c r="F141" s="165" t="s">
        <v>2341</v>
      </c>
      <c r="G141" s="81">
        <v>5619.83</v>
      </c>
      <c r="H141" s="81">
        <f>extracto_banco_mes1[[#This Row],[NETO]]*0.21</f>
        <v>1180.1642999999999</v>
      </c>
      <c r="I141" s="81"/>
      <c r="J141" s="81">
        <v>15164.09</v>
      </c>
      <c r="K141" s="81">
        <v>168.59</v>
      </c>
      <c r="L141" s="81"/>
    </row>
    <row r="142" spans="2:18" x14ac:dyDescent="0.25">
      <c r="D142" s="50"/>
      <c r="E142" s="159"/>
      <c r="F142" s="165" t="s">
        <v>2312</v>
      </c>
      <c r="G142" s="81">
        <v>38000</v>
      </c>
      <c r="H142" s="81">
        <f>extracto_banco_mes1[[#This Row],[NETO]]*0.21</f>
        <v>7980</v>
      </c>
      <c r="I142" s="81"/>
      <c r="J142" s="81">
        <v>2280</v>
      </c>
      <c r="K142" s="81">
        <v>1140</v>
      </c>
      <c r="L142" s="81"/>
    </row>
    <row r="143" spans="2:18" x14ac:dyDescent="0.25">
      <c r="D143" s="50"/>
      <c r="E143" s="159"/>
      <c r="F143" s="165" t="s">
        <v>2313</v>
      </c>
      <c r="G143" s="81">
        <v>989441.90999999992</v>
      </c>
      <c r="H143" s="81">
        <v>118659.31450000002</v>
      </c>
      <c r="I143" s="81">
        <v>44561.737200000003</v>
      </c>
      <c r="J143" s="81">
        <v>1418142.17</v>
      </c>
      <c r="K143" s="81"/>
      <c r="L143" s="81"/>
    </row>
    <row r="144" spans="2:18" x14ac:dyDescent="0.25">
      <c r="D144" s="50"/>
      <c r="E144" s="159"/>
      <c r="F144" s="165" t="s">
        <v>2314</v>
      </c>
      <c r="G144" s="81">
        <v>343456.23</v>
      </c>
      <c r="H144" s="81">
        <v>50454.6</v>
      </c>
      <c r="I144" s="81">
        <v>10835.604149999999</v>
      </c>
      <c r="J144" s="81">
        <v>20516.77</v>
      </c>
      <c r="K144" s="81">
        <v>8710.4399999999987</v>
      </c>
      <c r="L144" s="81"/>
    </row>
    <row r="145" spans="4:12" x14ac:dyDescent="0.25">
      <c r="D145" s="50"/>
      <c r="E145" s="159"/>
      <c r="F145" s="165" t="s">
        <v>2342</v>
      </c>
      <c r="G145" s="81">
        <v>202125.47</v>
      </c>
      <c r="H145" s="81">
        <f>extracto_banco_mes1[[#This Row],[NETO]]*0.21</f>
        <v>42446.348700000002</v>
      </c>
      <c r="I145" s="81"/>
      <c r="J145" s="81">
        <v>157183.79999999999</v>
      </c>
      <c r="K145" s="81"/>
      <c r="L145" s="81"/>
    </row>
    <row r="146" spans="4:12" x14ac:dyDescent="0.25">
      <c r="D146" s="50"/>
      <c r="E146" s="159"/>
      <c r="F146" s="165" t="s">
        <v>2184</v>
      </c>
      <c r="G146" s="81">
        <v>3966.94</v>
      </c>
      <c r="H146" s="81">
        <f>extracto_banco_mes1[[#This Row],[NETO]]*0.21</f>
        <v>833.05740000000003</v>
      </c>
      <c r="I146" s="81"/>
      <c r="J146" s="81">
        <v>420.16</v>
      </c>
      <c r="K146" s="81">
        <v>119.01</v>
      </c>
      <c r="L146" s="81"/>
    </row>
    <row r="147" spans="4:12" x14ac:dyDescent="0.25">
      <c r="D147" s="50"/>
      <c r="E147" s="159"/>
      <c r="F147" s="165"/>
      <c r="G147" s="81"/>
      <c r="H147" s="81">
        <f>extracto_banco_mes1[[#This Row],[NETO]]*0.21</f>
        <v>0</v>
      </c>
      <c r="I147" s="81"/>
      <c r="J147" s="81"/>
      <c r="K147" s="81"/>
      <c r="L147" s="81"/>
    </row>
    <row r="148" spans="4:12" x14ac:dyDescent="0.25">
      <c r="D148" s="82" t="s">
        <v>103</v>
      </c>
      <c r="E148" s="80"/>
      <c r="F148" s="80"/>
      <c r="G148" s="83">
        <f>SUBTOTAL(109,extracto_banco_mes1[NETO])</f>
        <v>1590666.0099999998</v>
      </c>
      <c r="H148" s="83">
        <f>SUBTOTAL(109,extracto_banco_mes1[IVA 21%])</f>
        <v>221553.48490000001</v>
      </c>
      <c r="I148" s="83">
        <f>SUBTOTAL(109,extracto_banco_mes1[IVA 10,5%])</f>
        <v>56243.181349999999</v>
      </c>
      <c r="J148" s="83">
        <f>SUBTOTAL(109,extracto_banco_mes1[RET IIBB CABA])</f>
        <v>1614190.3299999998</v>
      </c>
      <c r="K148" s="83">
        <f>SUBTOTAL(109,extracto_banco_mes1[PERC IVA])</f>
        <v>10258.869999999999</v>
      </c>
      <c r="L148" s="83">
        <f>SUBTOTAL(109,extracto_banco_mes1[PERC IIBB])</f>
        <v>0</v>
      </c>
    </row>
    <row r="151" spans="4:12" ht="21" x14ac:dyDescent="0.25">
      <c r="D151" s="581" t="s">
        <v>25</v>
      </c>
      <c r="E151" s="581"/>
      <c r="F151" s="581"/>
      <c r="G151" s="581"/>
      <c r="H151" s="581"/>
      <c r="I151" s="581"/>
      <c r="J151" s="581"/>
      <c r="K151" s="581"/>
    </row>
    <row r="152" spans="4:12" x14ac:dyDescent="0.25">
      <c r="D152" s="51" t="s">
        <v>0</v>
      </c>
      <c r="E152" s="51" t="s">
        <v>2</v>
      </c>
      <c r="F152" s="51" t="s">
        <v>74</v>
      </c>
      <c r="G152" s="51" t="s">
        <v>3</v>
      </c>
      <c r="H152" s="51" t="s">
        <v>4</v>
      </c>
      <c r="I152" s="52" t="s">
        <v>10</v>
      </c>
      <c r="J152" s="51" t="s">
        <v>13</v>
      </c>
      <c r="K152" s="51" t="s">
        <v>38</v>
      </c>
    </row>
    <row r="153" spans="4:12" x14ac:dyDescent="0.25">
      <c r="D153" s="50" t="s">
        <v>2318</v>
      </c>
      <c r="E153" s="131">
        <v>2</v>
      </c>
      <c r="F153" s="131">
        <v>396</v>
      </c>
      <c r="G153" s="44">
        <v>20300814094</v>
      </c>
      <c r="H153" s="53" t="str">
        <f>IFERROR(IF(factura_c_mes1[[#This Row],[CUIT]]="","-",VLOOKUP(factura_c_mes1[[#This Row],[CUIT]],Lista_CUIT[#All],2,0)),"CUIT NO CARGADO")</f>
        <v>FARRAPEIRA OSCAR MAXIMO</v>
      </c>
      <c r="I153" s="284">
        <v>707868</v>
      </c>
      <c r="J153" s="54" t="str">
        <f>IFERROR(IF(factura_c_mes1[[#This Row],[CUIT]]="","-",VLOOKUP(factura_c_mes1[[#This Row],[CUIT]],Lista_CUIT[#All],3,0)),"CUIT NO CARGADO")</f>
        <v>Material de Empaque</v>
      </c>
      <c r="K153" s="54">
        <f>IFERROR(IF(factura_c_mes1[[#This Row],[CUIT]]="","-",VLOOKUP(factura_c_mes1[[#This Row],[CUIT]],Lista_CUIT[#All],4,0)),"CUIT NO CARGADO")</f>
        <v>0</v>
      </c>
    </row>
    <row r="154" spans="4:12" x14ac:dyDescent="0.25">
      <c r="D154" s="50" t="s">
        <v>2319</v>
      </c>
      <c r="E154" s="131">
        <v>2</v>
      </c>
      <c r="F154" s="131">
        <v>398</v>
      </c>
      <c r="G154" s="44">
        <v>20300814094</v>
      </c>
      <c r="H154" s="53" t="str">
        <f>IFERROR(IF(factura_c_mes1[[#This Row],[CUIT]]="","-",VLOOKUP(factura_c_mes1[[#This Row],[CUIT]],Lista_CUIT[#All],2,0)),"CUIT NO CARGADO")</f>
        <v>FARRAPEIRA OSCAR MAXIMO</v>
      </c>
      <c r="I154" s="284">
        <v>1703644</v>
      </c>
      <c r="J154" s="54" t="str">
        <f>IFERROR(IF(factura_c_mes1[[#This Row],[CUIT]]="","-",VLOOKUP(factura_c_mes1[[#This Row],[CUIT]],Lista_CUIT[#All],3,0)),"CUIT NO CARGADO")</f>
        <v>Material de Empaque</v>
      </c>
      <c r="K154" s="54">
        <f>IFERROR(IF(factura_c_mes1[[#This Row],[CUIT]]="","-",VLOOKUP(factura_c_mes1[[#This Row],[CUIT]],Lista_CUIT[#All],4,0)),"CUIT NO CARGADO")</f>
        <v>0</v>
      </c>
    </row>
    <row r="155" spans="4:12" x14ac:dyDescent="0.25">
      <c r="D155" s="50" t="s">
        <v>2319</v>
      </c>
      <c r="E155" s="131">
        <v>1</v>
      </c>
      <c r="F155" s="131">
        <v>101</v>
      </c>
      <c r="G155" s="44">
        <v>20299505430</v>
      </c>
      <c r="H155" s="53" t="str">
        <f>IFERROR(IF(factura_c_mes1[[#This Row],[CUIT]]="","-",VLOOKUP(factura_c_mes1[[#This Row],[CUIT]],Lista_CUIT[#All],2,0)),"CUIT NO CARGADO")</f>
        <v>PRADO EMILIANO HERNAN</v>
      </c>
      <c r="I155" s="284">
        <v>832520</v>
      </c>
      <c r="J155" s="54" t="str">
        <f>IFERROR(IF(factura_c_mes1[[#This Row],[CUIT]]="","-",VLOOKUP(factura_c_mes1[[#This Row],[CUIT]],Lista_CUIT[#All],3,0)),"CUIT NO CARGADO")</f>
        <v>Material de Empaque</v>
      </c>
      <c r="K155" s="54">
        <f>IFERROR(IF(factura_c_mes1[[#This Row],[CUIT]]="","-",VLOOKUP(factura_c_mes1[[#This Row],[CUIT]],Lista_CUIT[#All],4,0)),"CUIT NO CARGADO")</f>
        <v>0</v>
      </c>
    </row>
    <row r="156" spans="4:12" x14ac:dyDescent="0.25">
      <c r="D156" s="50" t="s">
        <v>2324</v>
      </c>
      <c r="E156" s="280">
        <v>8</v>
      </c>
      <c r="F156" s="280">
        <v>947</v>
      </c>
      <c r="G156" s="281">
        <v>27409592487</v>
      </c>
      <c r="H156" s="282" t="str">
        <f>IFERROR(IF(factura_c_mes1[[#This Row],[CUIT]]="","-",VLOOKUP(factura_c_mes1[[#This Row],[CUIT]],Lista_CUIT[#All],2,0)),"CUIT NO CARGADO")</f>
        <v>BAUDONE ANTONELLA AGOSTINA</v>
      </c>
      <c r="I156" s="284">
        <v>251200</v>
      </c>
      <c r="J156" s="283" t="str">
        <f>IFERROR(IF(factura_c_mes1[[#This Row],[CUIT]]="","-",VLOOKUP(factura_c_mes1[[#This Row],[CUIT]],Lista_CUIT[#All],3,0)),"CUIT NO CARGADO")</f>
        <v>Material de Empaque</v>
      </c>
      <c r="K156" s="283">
        <f>IFERROR(IF(factura_c_mes1[[#This Row],[CUIT]]="","-",VLOOKUP(factura_c_mes1[[#This Row],[CUIT]],Lista_CUIT[#All],4,0)),"CUIT NO CARGADO")</f>
        <v>0</v>
      </c>
    </row>
    <row r="157" spans="4:12" x14ac:dyDescent="0.25">
      <c r="D157" s="50" t="s">
        <v>2320</v>
      </c>
      <c r="E157" s="280">
        <v>2</v>
      </c>
      <c r="F157" s="280">
        <v>293</v>
      </c>
      <c r="G157" s="281">
        <v>27065444777</v>
      </c>
      <c r="H157" s="282" t="str">
        <f>IFERROR(IF(factura_c_mes1[[#This Row],[CUIT]]="","-",VLOOKUP(factura_c_mes1[[#This Row],[CUIT]],Lista_CUIT[#All],2,0)),"CUIT NO CARGADO")</f>
        <v>CARNEVALE MABEL HAYDEE</v>
      </c>
      <c r="I157" s="284">
        <v>50000</v>
      </c>
      <c r="J157" s="283" t="str">
        <f>IFERROR(IF(factura_c_mes1[[#This Row],[CUIT]]="","-",VLOOKUP(factura_c_mes1[[#This Row],[CUIT]],Lista_CUIT[#All],3,0)),"CUIT NO CARGADO")</f>
        <v>Honorarios Profesionales</v>
      </c>
      <c r="K157" s="283">
        <f>IFERROR(IF(factura_c_mes1[[#This Row],[CUIT]]="","-",VLOOKUP(factura_c_mes1[[#This Row],[CUIT]],Lista_CUIT[#All],4,0)),"CUIT NO CARGADO")</f>
        <v>0</v>
      </c>
    </row>
    <row r="158" spans="4:12" x14ac:dyDescent="0.25">
      <c r="D158" s="50" t="s">
        <v>2325</v>
      </c>
      <c r="E158" s="131">
        <v>1</v>
      </c>
      <c r="F158" s="131">
        <v>99</v>
      </c>
      <c r="G158" s="44">
        <v>20176922363</v>
      </c>
      <c r="H158" s="53" t="str">
        <f>IFERROR(IF(factura_c_mes1[[#This Row],[CUIT]]="","-",VLOOKUP(factura_c_mes1[[#This Row],[CUIT]],Lista_CUIT[#All],2,0)),"CUIT NO CARGADO")</f>
        <v>CASTILLO JUAN RAMON</v>
      </c>
      <c r="I158" s="284">
        <v>1500000</v>
      </c>
      <c r="J158" s="54" t="str">
        <f>IFERROR(IF(factura_c_mes1[[#This Row],[CUIT]]="","-",VLOOKUP(factura_c_mes1[[#This Row],[CUIT]],Lista_CUIT[#All],3,0)),"CUIT NO CARGADO")</f>
        <v>Honorarios Profesionales</v>
      </c>
      <c r="K158" s="54">
        <f>IFERROR(IF(factura_c_mes1[[#This Row],[CUIT]]="","-",VLOOKUP(factura_c_mes1[[#This Row],[CUIT]],Lista_CUIT[#All],4,0)),"CUIT NO CARGADO")</f>
        <v>0</v>
      </c>
    </row>
    <row r="159" spans="4:12" x14ac:dyDescent="0.25">
      <c r="D159" s="50" t="s">
        <v>2325</v>
      </c>
      <c r="E159" s="131">
        <v>1</v>
      </c>
      <c r="F159" s="131">
        <v>100</v>
      </c>
      <c r="G159" s="44">
        <v>20176922363</v>
      </c>
      <c r="H159" s="53" t="str">
        <f>IFERROR(IF(factura_c_mes1[[#This Row],[CUIT]]="","-",VLOOKUP(factura_c_mes1[[#This Row],[CUIT]],Lista_CUIT[#All],2,0)),"CUIT NO CARGADO")</f>
        <v>CASTILLO JUAN RAMON</v>
      </c>
      <c r="I159" s="284">
        <v>1000000</v>
      </c>
      <c r="J159" s="54" t="str">
        <f>IFERROR(IF(factura_c_mes1[[#This Row],[CUIT]]="","-",VLOOKUP(factura_c_mes1[[#This Row],[CUIT]],Lista_CUIT[#All],3,0)),"CUIT NO CARGADO")</f>
        <v>Honorarios Profesionales</v>
      </c>
      <c r="K159" s="54">
        <f>IFERROR(IF(factura_c_mes1[[#This Row],[CUIT]]="","-",VLOOKUP(factura_c_mes1[[#This Row],[CUIT]],Lista_CUIT[#All],4,0)),"CUIT NO CARGADO")</f>
        <v>0</v>
      </c>
    </row>
    <row r="160" spans="4:12" x14ac:dyDescent="0.25">
      <c r="D160" s="50" t="s">
        <v>2325</v>
      </c>
      <c r="E160" s="131">
        <v>1</v>
      </c>
      <c r="F160" s="131">
        <v>101</v>
      </c>
      <c r="G160" s="44">
        <v>20176922363</v>
      </c>
      <c r="H160" s="53" t="str">
        <f>IFERROR(IF(factura_c_mes1[[#This Row],[CUIT]]="","-",VLOOKUP(factura_c_mes1[[#This Row],[CUIT]],Lista_CUIT[#All],2,0)),"CUIT NO CARGADO")</f>
        <v>CASTILLO JUAN RAMON</v>
      </c>
      <c r="I160" s="284">
        <v>500000</v>
      </c>
      <c r="J160" s="54" t="str">
        <f>IFERROR(IF(factura_c_mes1[[#This Row],[CUIT]]="","-",VLOOKUP(factura_c_mes1[[#This Row],[CUIT]],Lista_CUIT[#All],3,0)),"CUIT NO CARGADO")</f>
        <v>Honorarios Profesionales</v>
      </c>
      <c r="K160" s="54">
        <f>IFERROR(IF(factura_c_mes1[[#This Row],[CUIT]]="","-",VLOOKUP(factura_c_mes1[[#This Row],[CUIT]],Lista_CUIT[#All],4,0)),"CUIT NO CARGADO")</f>
        <v>0</v>
      </c>
    </row>
    <row r="161" spans="4:11" x14ac:dyDescent="0.25">
      <c r="D161" s="50" t="s">
        <v>2317</v>
      </c>
      <c r="E161" s="131">
        <v>3</v>
      </c>
      <c r="F161" s="131">
        <v>523</v>
      </c>
      <c r="G161" s="44">
        <v>20210551574</v>
      </c>
      <c r="H161" s="53" t="str">
        <f>IFERROR(IF(factura_c_mes1[[#This Row],[CUIT]]="","-",VLOOKUP(factura_c_mes1[[#This Row],[CUIT]],Lista_CUIT[#All],2,0)),"CUIT NO CARGADO")</f>
        <v>REUS JORGE DIEGO</v>
      </c>
      <c r="I161" s="284">
        <v>280000</v>
      </c>
      <c r="J161" s="54" t="str">
        <f>IFERROR(IF(factura_c_mes1[[#This Row],[CUIT]]="","-",VLOOKUP(factura_c_mes1[[#This Row],[CUIT]],Lista_CUIT[#All],3,0)),"CUIT NO CARGADO")</f>
        <v>Honorarios Legales</v>
      </c>
      <c r="K161" s="54">
        <f>IFERROR(IF(factura_c_mes1[[#This Row],[CUIT]]="","-",VLOOKUP(factura_c_mes1[[#This Row],[CUIT]],Lista_CUIT[#All],4,0)),"CUIT NO CARGADO")</f>
        <v>0</v>
      </c>
    </row>
    <row r="162" spans="4:11" x14ac:dyDescent="0.25">
      <c r="D162" s="50" t="s">
        <v>2315</v>
      </c>
      <c r="E162" s="131">
        <v>2</v>
      </c>
      <c r="F162" s="131">
        <v>366</v>
      </c>
      <c r="G162" s="44">
        <v>27206941419</v>
      </c>
      <c r="H162" s="53" t="str">
        <f>IFERROR(IF(factura_c_mes1[[#This Row],[CUIT]]="","-",VLOOKUP(factura_c_mes1[[#This Row],[CUIT]],Lista_CUIT[#All],2,0)),"CUIT NO CARGADO")</f>
        <v>DOBARRO PAULA MARCELA</v>
      </c>
      <c r="I162" s="284">
        <v>80000</v>
      </c>
      <c r="J162" s="54" t="str">
        <f>IFERROR(IF(factura_c_mes1[[#This Row],[CUIT]]="","-",VLOOKUP(factura_c_mes1[[#This Row],[CUIT]],Lista_CUIT[#All],3,0)),"CUIT NO CARGADO")</f>
        <v>Honorarios Contables</v>
      </c>
      <c r="K162" s="54">
        <f>IFERROR(IF(factura_c_mes1[[#This Row],[CUIT]]="","-",VLOOKUP(factura_c_mes1[[#This Row],[CUIT]],Lista_CUIT[#All],4,0)),"CUIT NO CARGADO")</f>
        <v>0</v>
      </c>
    </row>
    <row r="163" spans="4:11" x14ac:dyDescent="0.25">
      <c r="D163" s="50" t="s">
        <v>2315</v>
      </c>
      <c r="E163" s="131">
        <v>3</v>
      </c>
      <c r="F163" s="131">
        <v>920</v>
      </c>
      <c r="G163" s="44">
        <v>20086277523</v>
      </c>
      <c r="H163" s="53" t="str">
        <f>IFERROR(IF(factura_c_mes1[[#This Row],[CUIT]]="","-",VLOOKUP(factura_c_mes1[[#This Row],[CUIT]],Lista_CUIT[#All],2,0)),"CUIT NO CARGADO")</f>
        <v>BOTINDARI JUAN CARLOS</v>
      </c>
      <c r="I163" s="284">
        <v>270000</v>
      </c>
      <c r="J163" s="54" t="str">
        <f>IFERROR(IF(factura_c_mes1[[#This Row],[CUIT]]="","-",VLOOKUP(factura_c_mes1[[#This Row],[CUIT]],Lista_CUIT[#All],3,0)),"CUIT NO CARGADO")</f>
        <v>Honorarios Contables</v>
      </c>
      <c r="K163" s="54">
        <f>IFERROR(IF(factura_c_mes1[[#This Row],[CUIT]]="","-",VLOOKUP(factura_c_mes1[[#This Row],[CUIT]],Lista_CUIT[#All],4,0)),"CUIT NO CARGADO")</f>
        <v>0</v>
      </c>
    </row>
    <row r="164" spans="4:11" x14ac:dyDescent="0.25">
      <c r="D164" s="50" t="s">
        <v>2316</v>
      </c>
      <c r="E164" s="131">
        <v>2</v>
      </c>
      <c r="F164" s="131">
        <v>323</v>
      </c>
      <c r="G164" s="44">
        <v>23319210954</v>
      </c>
      <c r="H164" s="53" t="str">
        <f>IFERROR(IF(factura_c_mes1[[#This Row],[CUIT]]="","-",VLOOKUP(factura_c_mes1[[#This Row],[CUIT]],Lista_CUIT[#All],2,0)),"CUIT NO CARGADO")</f>
        <v>CAFFARATTI ROMINA PAOLA</v>
      </c>
      <c r="I164" s="284">
        <v>263000</v>
      </c>
      <c r="J164" s="54" t="str">
        <f>IFERROR(IF(factura_c_mes1[[#This Row],[CUIT]]="","-",VLOOKUP(factura_c_mes1[[#This Row],[CUIT]],Lista_CUIT[#All],3,0)),"CUIT NO CARGADO")</f>
        <v>Honorarios Contables</v>
      </c>
      <c r="K164" s="54">
        <f>IFERROR(IF(factura_c_mes1[[#This Row],[CUIT]]="","-",VLOOKUP(factura_c_mes1[[#This Row],[CUIT]],Lista_CUIT[#All],4,0)),"CUIT NO CARGADO")</f>
        <v>0</v>
      </c>
    </row>
    <row r="165" spans="4:11" x14ac:dyDescent="0.25">
      <c r="D165" s="50" t="s">
        <v>2321</v>
      </c>
      <c r="E165" s="280">
        <v>3</v>
      </c>
      <c r="F165" s="280">
        <v>1562</v>
      </c>
      <c r="G165" s="281">
        <v>20173025557</v>
      </c>
      <c r="H165" s="282" t="str">
        <f>IFERROR(IF(factura_c_mes1[[#This Row],[CUIT]]="","-",VLOOKUP(factura_c_mes1[[#This Row],[CUIT]],Lista_CUIT[#All],2,0)),"CUIT NO CARGADO")</f>
        <v>MARAUDA HECTOR</v>
      </c>
      <c r="I165" s="284">
        <v>7000</v>
      </c>
      <c r="J165" s="283" t="str">
        <f>IFERROR(IF(factura_c_mes1[[#This Row],[CUIT]]="","-",VLOOKUP(factura_c_mes1[[#This Row],[CUIT]],Lista_CUIT[#All],3,0)),"CUIT NO CARGADO")</f>
        <v>Gastos Varios</v>
      </c>
      <c r="K165" s="283">
        <f>IFERROR(IF(factura_c_mes1[[#This Row],[CUIT]]="","-",VLOOKUP(factura_c_mes1[[#This Row],[CUIT]],Lista_CUIT[#All],4,0)),"CUIT NO CARGADO")</f>
        <v>0</v>
      </c>
    </row>
    <row r="166" spans="4:11" x14ac:dyDescent="0.25">
      <c r="D166" s="50" t="s">
        <v>2322</v>
      </c>
      <c r="E166" s="280">
        <v>10</v>
      </c>
      <c r="F166" s="280">
        <v>241</v>
      </c>
      <c r="G166" s="281">
        <v>20302234389</v>
      </c>
      <c r="H166" s="282" t="str">
        <f>IFERROR(IF(factura_c_mes1[[#This Row],[CUIT]]="","-",VLOOKUP(factura_c_mes1[[#This Row],[CUIT]],Lista_CUIT[#All],2,0)),"CUIT NO CARGADO")</f>
        <v>VIGORELLI GUILLERMO DANIEL</v>
      </c>
      <c r="I166" s="284">
        <v>230000</v>
      </c>
      <c r="J166" s="283" t="str">
        <f>IFERROR(IF(factura_c_mes1[[#This Row],[CUIT]]="","-",VLOOKUP(factura_c_mes1[[#This Row],[CUIT]],Lista_CUIT[#All],3,0)),"CUIT NO CARGADO")</f>
        <v>Gastos Varios</v>
      </c>
      <c r="K166" s="283">
        <f>IFERROR(IF(factura_c_mes1[[#This Row],[CUIT]]="","-",VLOOKUP(factura_c_mes1[[#This Row],[CUIT]],Lista_CUIT[#All],4,0)),"CUIT NO CARGADO")</f>
        <v>0</v>
      </c>
    </row>
    <row r="167" spans="4:11" x14ac:dyDescent="0.25">
      <c r="D167" s="50" t="s">
        <v>2322</v>
      </c>
      <c r="E167" s="280">
        <v>2</v>
      </c>
      <c r="F167" s="280">
        <v>4972</v>
      </c>
      <c r="G167" s="281">
        <v>20136536320</v>
      </c>
      <c r="H167" s="282" t="str">
        <f>IFERROR(IF(factura_c_mes1[[#This Row],[CUIT]]="","-",VLOOKUP(factura_c_mes1[[#This Row],[CUIT]],Lista_CUIT[#All],2,0)),"CUIT NO CARGADO")</f>
        <v>FONTENLA ERNESTO MARIO</v>
      </c>
      <c r="I167" s="284">
        <v>24000</v>
      </c>
      <c r="J167" s="283" t="str">
        <f>IFERROR(IF(factura_c_mes1[[#This Row],[CUIT]]="","-",VLOOKUP(factura_c_mes1[[#This Row],[CUIT]],Lista_CUIT[#All],3,0)),"CUIT NO CARGADO")</f>
        <v>Gastos Varios</v>
      </c>
      <c r="K167" s="283" t="str">
        <f>IFERROR(IF(factura_c_mes1[[#This Row],[CUIT]]="","-",VLOOKUP(factura_c_mes1[[#This Row],[CUIT]],Lista_CUIT[#All],4,0)),"CUIT NO CARGADO")</f>
        <v>CABA</v>
      </c>
    </row>
    <row r="168" spans="4:11" x14ac:dyDescent="0.25">
      <c r="D168" s="50" t="s">
        <v>2323</v>
      </c>
      <c r="E168" s="280">
        <v>2</v>
      </c>
      <c r="F168" s="280">
        <v>4991</v>
      </c>
      <c r="G168" s="281">
        <v>20136536320</v>
      </c>
      <c r="H168" s="282" t="str">
        <f>IFERROR(IF(factura_c_mes1[[#This Row],[CUIT]]="","-",VLOOKUP(factura_c_mes1[[#This Row],[CUIT]],Lista_CUIT[#All],2,0)),"CUIT NO CARGADO")</f>
        <v>FONTENLA ERNESTO MARIO</v>
      </c>
      <c r="I168" s="284">
        <v>6400</v>
      </c>
      <c r="J168" s="283" t="str">
        <f>IFERROR(IF(factura_c_mes1[[#This Row],[CUIT]]="","-",VLOOKUP(factura_c_mes1[[#This Row],[CUIT]],Lista_CUIT[#All],3,0)),"CUIT NO CARGADO")</f>
        <v>Gastos Varios</v>
      </c>
      <c r="K168" s="283" t="str">
        <f>IFERROR(IF(factura_c_mes1[[#This Row],[CUIT]]="","-",VLOOKUP(factura_c_mes1[[#This Row],[CUIT]],Lista_CUIT[#All],4,0)),"CUIT NO CARGADO")</f>
        <v>CABA</v>
      </c>
    </row>
    <row r="169" spans="4:11" x14ac:dyDescent="0.25">
      <c r="D169" s="50" t="s">
        <v>2315</v>
      </c>
      <c r="E169" s="131">
        <v>5</v>
      </c>
      <c r="F169" s="131">
        <v>386</v>
      </c>
      <c r="G169" s="44">
        <v>27303374243</v>
      </c>
      <c r="H169" s="53" t="str">
        <f>IFERROR(IF(factura_c_mes1[[#This Row],[CUIT]]="","-",VLOOKUP(factura_c_mes1[[#This Row],[CUIT]],Lista_CUIT[#All],2,0)),"CUIT NO CARGADO")</f>
        <v>FONTANA MARIA HILARIA</v>
      </c>
      <c r="I169" s="284">
        <v>90000</v>
      </c>
      <c r="J169" s="54" t="str">
        <f>IFERROR(IF(factura_c_mes1[[#This Row],[CUIT]]="","-",VLOOKUP(factura_c_mes1[[#This Row],[CUIT]],Lista_CUIT[#All],3,0)),"CUIT NO CARGADO")</f>
        <v>Embalajes</v>
      </c>
      <c r="K169" s="54">
        <f>IFERROR(IF(factura_c_mes1[[#This Row],[CUIT]]="","-",VLOOKUP(factura_c_mes1[[#This Row],[CUIT]],Lista_CUIT[#All],4,0)),"CUIT NO CARGADO")</f>
        <v>0</v>
      </c>
    </row>
    <row r="170" spans="4:11" x14ac:dyDescent="0.25">
      <c r="D170" s="50" t="s">
        <v>2320</v>
      </c>
      <c r="E170" s="280">
        <v>1234</v>
      </c>
      <c r="F170" s="280">
        <v>716</v>
      </c>
      <c r="G170" s="281">
        <v>23430663399</v>
      </c>
      <c r="H170" s="282" t="str">
        <f>IFERROR(IF(factura_c_mes1[[#This Row],[CUIT]]="","-",VLOOKUP(factura_c_mes1[[#This Row],[CUIT]],Lista_CUIT[#All],2,0)),"CUIT NO CARGADO")</f>
        <v>MARASTONI FRANCO AGUSTIN</v>
      </c>
      <c r="I170" s="284">
        <v>265937</v>
      </c>
      <c r="J170" s="283" t="str">
        <f>IFERROR(IF(factura_c_mes1[[#This Row],[CUIT]]="","-",VLOOKUP(factura_c_mes1[[#This Row],[CUIT]],Lista_CUIT[#All],3,0)),"CUIT NO CARGADO")</f>
        <v>Feria</v>
      </c>
      <c r="K170" s="283">
        <f>IFERROR(IF(factura_c_mes1[[#This Row],[CUIT]]="","-",VLOOKUP(factura_c_mes1[[#This Row],[CUIT]],Lista_CUIT[#All],4,0)),"CUIT NO CARGADO")</f>
        <v>0</v>
      </c>
    </row>
    <row r="171" spans="4:11" x14ac:dyDescent="0.25">
      <c r="D171" s="50"/>
      <c r="E171" s="131"/>
      <c r="F171" s="131"/>
      <c r="G171" s="44"/>
      <c r="H171" s="53" t="str">
        <f>IFERROR(IF(factura_c_mes1[[#This Row],[CUIT]]="","-",VLOOKUP(factura_c_mes1[[#This Row],[CUIT]],Lista_CUIT[#All],2,0)),"CUIT NO CARGADO")</f>
        <v>-</v>
      </c>
      <c r="I171" s="284"/>
      <c r="J171" s="54" t="str">
        <f>IFERROR(IF(factura_c_mes1[[#This Row],[CUIT]]="","-",VLOOKUP(factura_c_mes1[[#This Row],[CUIT]],Lista_CUIT[#All],3,0)),"CUIT NO CARGADO")</f>
        <v>-</v>
      </c>
      <c r="K171" s="54" t="str">
        <f>IFERROR(IF(factura_c_mes1[[#This Row],[CUIT]]="","-",VLOOKUP(factura_c_mes1[[#This Row],[CUIT]],Lista_CUIT[#All],4,0)),"CUIT NO CARGADO")</f>
        <v>-</v>
      </c>
    </row>
    <row r="172" spans="4:11" x14ac:dyDescent="0.25">
      <c r="D172" s="50"/>
      <c r="E172" s="131"/>
      <c r="F172" s="131"/>
      <c r="G172" s="44"/>
      <c r="H172" s="53" t="str">
        <f>IFERROR(IF(factura_c_mes1[[#This Row],[CUIT]]="","-",VLOOKUP(factura_c_mes1[[#This Row],[CUIT]],Lista_CUIT[#All],2,0)),"CUIT NO CARGADO")</f>
        <v>-</v>
      </c>
      <c r="I172" s="284"/>
      <c r="J172" s="54" t="str">
        <f>IFERROR(IF(factura_c_mes1[[#This Row],[CUIT]]="","-",VLOOKUP(factura_c_mes1[[#This Row],[CUIT]],Lista_CUIT[#All],3,0)),"CUIT NO CARGADO")</f>
        <v>-</v>
      </c>
      <c r="K172" s="54" t="str">
        <f>IFERROR(IF(factura_c_mes1[[#This Row],[CUIT]]="","-",VLOOKUP(factura_c_mes1[[#This Row],[CUIT]],Lista_CUIT[#All],4,0)),"CUIT NO CARGADO")</f>
        <v>-</v>
      </c>
    </row>
    <row r="173" spans="4:11" x14ac:dyDescent="0.25">
      <c r="D173" s="50"/>
      <c r="E173" s="131"/>
      <c r="F173" s="131"/>
      <c r="G173" s="44"/>
      <c r="H173" s="53" t="str">
        <f>IFERROR(IF(factura_c_mes1[[#This Row],[CUIT]]="","-",VLOOKUP(factura_c_mes1[[#This Row],[CUIT]],Lista_CUIT[#All],2,0)),"CUIT NO CARGADO")</f>
        <v>-</v>
      </c>
      <c r="I173" s="284"/>
      <c r="J173" s="54" t="str">
        <f>IFERROR(IF(factura_c_mes1[[#This Row],[CUIT]]="","-",VLOOKUP(factura_c_mes1[[#This Row],[CUIT]],Lista_CUIT[#All],3,0)),"CUIT NO CARGADO")</f>
        <v>-</v>
      </c>
      <c r="K173" s="54" t="str">
        <f>IFERROR(IF(factura_c_mes1[[#This Row],[CUIT]]="","-",VLOOKUP(factura_c_mes1[[#This Row],[CUIT]],Lista_CUIT[#All],4,0)),"CUIT NO CARGADO")</f>
        <v>-</v>
      </c>
    </row>
    <row r="174" spans="4:11" x14ac:dyDescent="0.25">
      <c r="D174" s="50"/>
      <c r="E174" s="131"/>
      <c r="F174" s="131"/>
      <c r="G174" s="44"/>
      <c r="H174" s="53" t="str">
        <f>IFERROR(IF(factura_c_mes1[[#This Row],[CUIT]]="","-",VLOOKUP(factura_c_mes1[[#This Row],[CUIT]],Lista_CUIT[#All],2,0)),"CUIT NO CARGADO")</f>
        <v>-</v>
      </c>
      <c r="I174" s="284"/>
      <c r="J174" s="54" t="str">
        <f>IFERROR(IF(factura_c_mes1[[#This Row],[CUIT]]="","-",VLOOKUP(factura_c_mes1[[#This Row],[CUIT]],Lista_CUIT[#All],3,0)),"CUIT NO CARGADO")</f>
        <v>-</v>
      </c>
      <c r="K174" s="54" t="str">
        <f>IFERROR(IF(factura_c_mes1[[#This Row],[CUIT]]="","-",VLOOKUP(factura_c_mes1[[#This Row],[CUIT]],Lista_CUIT[#All],4,0)),"CUIT NO CARGADO")</f>
        <v>-</v>
      </c>
    </row>
    <row r="175" spans="4:11" x14ac:dyDescent="0.25">
      <c r="D175" s="50"/>
      <c r="E175" s="131"/>
      <c r="F175" s="131"/>
      <c r="G175" s="44"/>
      <c r="H175" s="53" t="str">
        <f>IFERROR(IF(factura_c_mes1[[#This Row],[CUIT]]="","-",VLOOKUP(factura_c_mes1[[#This Row],[CUIT]],Lista_CUIT[#All],2,0)),"CUIT NO CARGADO")</f>
        <v>-</v>
      </c>
      <c r="I175" s="284"/>
      <c r="J175" s="54" t="str">
        <f>IFERROR(IF(factura_c_mes1[[#This Row],[CUIT]]="","-",VLOOKUP(factura_c_mes1[[#This Row],[CUIT]],Lista_CUIT[#All],3,0)),"CUIT NO CARGADO")</f>
        <v>-</v>
      </c>
      <c r="K175" s="54" t="str">
        <f>IFERROR(IF(factura_c_mes1[[#This Row],[CUIT]]="","-",VLOOKUP(factura_c_mes1[[#This Row],[CUIT]],Lista_CUIT[#All],4,0)),"CUIT NO CARGADO")</f>
        <v>-</v>
      </c>
    </row>
    <row r="176" spans="4:11" x14ac:dyDescent="0.25">
      <c r="D176" s="50"/>
      <c r="E176" s="131"/>
      <c r="F176" s="131"/>
      <c r="G176" s="44"/>
      <c r="H176" s="53" t="str">
        <f>IFERROR(IF(factura_c_mes1[[#This Row],[CUIT]]="","-",VLOOKUP(factura_c_mes1[[#This Row],[CUIT]],Lista_CUIT[#All],2,0)),"CUIT NO CARGADO")</f>
        <v>-</v>
      </c>
      <c r="I176" s="284"/>
      <c r="J176" s="54" t="str">
        <f>IFERROR(IF(factura_c_mes1[[#This Row],[CUIT]]="","-",VLOOKUP(factura_c_mes1[[#This Row],[CUIT]],Lista_CUIT[#All],3,0)),"CUIT NO CARGADO")</f>
        <v>-</v>
      </c>
      <c r="K176" s="54" t="str">
        <f>IFERROR(IF(factura_c_mes1[[#This Row],[CUIT]]="","-",VLOOKUP(factura_c_mes1[[#This Row],[CUIT]],Lista_CUIT[#All],4,0)),"CUIT NO CARGADO")</f>
        <v>-</v>
      </c>
    </row>
    <row r="177" spans="2:18" x14ac:dyDescent="0.25">
      <c r="D177" s="50"/>
      <c r="E177" s="280"/>
      <c r="F177" s="280"/>
      <c r="G177" s="281"/>
      <c r="H177" s="282" t="str">
        <f>IFERROR(IF(factura_c_mes1[[#This Row],[CUIT]]="","-",VLOOKUP(factura_c_mes1[[#This Row],[CUIT]],Lista_CUIT[#All],2,0)),"CUIT NO CARGADO")</f>
        <v>-</v>
      </c>
      <c r="I177" s="284"/>
      <c r="J177" s="283" t="str">
        <f>IFERROR(IF(factura_c_mes1[[#This Row],[CUIT]]="","-",VLOOKUP(factura_c_mes1[[#This Row],[CUIT]],Lista_CUIT[#All],3,0)),"CUIT NO CARGADO")</f>
        <v>-</v>
      </c>
      <c r="K177" s="283" t="str">
        <f>IFERROR(IF(factura_c_mes1[[#This Row],[CUIT]]="","-",VLOOKUP(factura_c_mes1[[#This Row],[CUIT]],Lista_CUIT[#All],4,0)),"CUIT NO CARGADO")</f>
        <v>-</v>
      </c>
    </row>
    <row r="178" spans="2:18" x14ac:dyDescent="0.25">
      <c r="B178" s="56"/>
      <c r="C178" s="56"/>
      <c r="D178" s="55" t="s">
        <v>103</v>
      </c>
      <c r="E178" s="55"/>
      <c r="F178" s="55"/>
      <c r="G178" s="55"/>
      <c r="H178" s="57"/>
      <c r="I178" s="58">
        <f>SUBTOTAL(109,factura_c_mes1[TOTAL])</f>
        <v>8061569</v>
      </c>
      <c r="J178" s="55"/>
      <c r="K178" s="55"/>
      <c r="L178" s="56"/>
      <c r="M178" s="56"/>
      <c r="N178" s="56"/>
      <c r="O178" s="56"/>
      <c r="P178" s="56"/>
      <c r="Q178" s="56"/>
      <c r="R178" s="56"/>
    </row>
    <row r="183" spans="2:18" ht="26.25" x14ac:dyDescent="0.25">
      <c r="B183" s="592" t="s">
        <v>29</v>
      </c>
      <c r="C183" s="592"/>
      <c r="D183" s="592"/>
      <c r="E183" s="592"/>
      <c r="F183" s="592"/>
      <c r="G183" s="592"/>
      <c r="H183" s="592"/>
      <c r="I183" s="592"/>
      <c r="J183" s="592"/>
      <c r="K183" s="593">
        <f>N1</f>
        <v>45658</v>
      </c>
      <c r="L183" s="593"/>
      <c r="M183" s="593"/>
    </row>
    <row r="185" spans="2:18" ht="21" x14ac:dyDescent="0.25">
      <c r="B185" s="594" t="s">
        <v>30</v>
      </c>
      <c r="C185" s="594"/>
    </row>
    <row r="186" spans="2:18" ht="31.5" x14ac:dyDescent="0.25">
      <c r="B186" s="60" t="s">
        <v>0</v>
      </c>
      <c r="C186" s="61" t="s">
        <v>1</v>
      </c>
      <c r="D186" s="61" t="s">
        <v>21</v>
      </c>
      <c r="E186" s="61" t="s">
        <v>22</v>
      </c>
      <c r="F186" s="61" t="s">
        <v>3</v>
      </c>
      <c r="G186" s="61" t="s">
        <v>4</v>
      </c>
      <c r="H186" s="61" t="s">
        <v>23</v>
      </c>
      <c r="I186" s="61" t="s">
        <v>17</v>
      </c>
      <c r="J186" s="61" t="s">
        <v>7</v>
      </c>
      <c r="K186" s="61" t="s">
        <v>24</v>
      </c>
      <c r="L186" s="61" t="s">
        <v>10</v>
      </c>
      <c r="M186" s="62" t="s">
        <v>38</v>
      </c>
    </row>
    <row r="187" spans="2:18" x14ac:dyDescent="0.25">
      <c r="B187" s="40"/>
      <c r="C187" s="41"/>
      <c r="D187" s="42"/>
      <c r="E187" s="43"/>
      <c r="F187" s="44"/>
      <c r="G187" s="164" t="str">
        <f>IFERROR(IF(venta_a_mes1[[#This Row],[CUIT]]="","-",VLOOKUP(venta_a_mes1[[#This Row],[CUIT]],Lista_CUIT[#All],2,0)),"CUIT NO CARGADO")</f>
        <v>-</v>
      </c>
      <c r="H187" s="99"/>
      <c r="I187" s="100">
        <f>venta_a_mes1[[#This Row],[IMPORTE NETO]]*0.21</f>
        <v>0</v>
      </c>
      <c r="J187" s="65"/>
      <c r="K187" s="65"/>
      <c r="L187" s="65">
        <f>SUM(venta_a_mes1[[#This Row],[IMPORTE NETO]:[EXENTO]])</f>
        <v>0</v>
      </c>
      <c r="M187" s="59"/>
    </row>
    <row r="188" spans="2:18" x14ac:dyDescent="0.25">
      <c r="B188" s="40"/>
      <c r="C188" s="41"/>
      <c r="D188" s="42"/>
      <c r="E188" s="43"/>
      <c r="F188" s="44"/>
      <c r="G188" s="164" t="str">
        <f>IFERROR(IF(venta_a_mes1[[#This Row],[CUIT]]="","-",VLOOKUP(venta_a_mes1[[#This Row],[CUIT]],Lista_CUIT[#All],2,0)),"CUIT NO CARGADO")</f>
        <v>-</v>
      </c>
      <c r="H188" s="99"/>
      <c r="I188" s="100">
        <f>venta_a_mes1[[#This Row],[IMPORTE NETO]]*0.21</f>
        <v>0</v>
      </c>
      <c r="J188" s="65"/>
      <c r="K188" s="65"/>
      <c r="L188" s="65">
        <f>SUM(venta_a_mes1[[#This Row],[IMPORTE NETO]:[EXENTO]])</f>
        <v>0</v>
      </c>
      <c r="M188" s="59"/>
    </row>
    <row r="189" spans="2:18" x14ac:dyDescent="0.25">
      <c r="B189" s="108"/>
      <c r="C189" s="109"/>
      <c r="D189" s="110"/>
      <c r="E189" s="111"/>
      <c r="F189" s="112"/>
      <c r="G189" s="164" t="str">
        <f>IFERROR(IF(venta_a_mes1[[#This Row],[CUIT]]="","-",VLOOKUP(venta_a_mes1[[#This Row],[CUIT]],Lista_CUIT[#All],2,0)),"CUIT NO CARGADO")</f>
        <v>-</v>
      </c>
      <c r="H189" s="99"/>
      <c r="I189" s="100">
        <f>venta_a_mes1[[#This Row],[IMPORTE NETO]]*0.21</f>
        <v>0</v>
      </c>
      <c r="J189" s="65"/>
      <c r="K189" s="65"/>
      <c r="L189" s="65">
        <f>SUM(venta_a_mes1[[#This Row],[IMPORTE NETO]:[EXENTO]])</f>
        <v>0</v>
      </c>
      <c r="M189" s="59"/>
    </row>
    <row r="190" spans="2:18" x14ac:dyDescent="0.25">
      <c r="B190" s="108"/>
      <c r="C190" s="109"/>
      <c r="D190" s="110"/>
      <c r="E190" s="111"/>
      <c r="F190" s="112"/>
      <c r="G190" s="164" t="str">
        <f>IFERROR(IF(venta_a_mes1[[#This Row],[CUIT]]="","-",VLOOKUP(venta_a_mes1[[#This Row],[CUIT]],Lista_CUIT[#All],2,0)),"CUIT NO CARGADO")</f>
        <v>-</v>
      </c>
      <c r="H190" s="99"/>
      <c r="I190" s="100">
        <f>venta_a_mes1[[#This Row],[IMPORTE NETO]]*0.21</f>
        <v>0</v>
      </c>
      <c r="J190" s="65"/>
      <c r="K190" s="65"/>
      <c r="L190" s="65">
        <f>SUM(venta_a_mes1[[#This Row],[IMPORTE NETO]:[EXENTO]])</f>
        <v>0</v>
      </c>
      <c r="M190" s="59"/>
    </row>
    <row r="191" spans="2:18" x14ac:dyDescent="0.25">
      <c r="B191" s="108"/>
      <c r="C191" s="109"/>
      <c r="D191" s="110"/>
      <c r="E191" s="111"/>
      <c r="F191" s="112"/>
      <c r="G191" s="164" t="str">
        <f>IFERROR(IF(venta_a_mes1[[#This Row],[CUIT]]="","-",VLOOKUP(venta_a_mes1[[#This Row],[CUIT]],Lista_CUIT[#All],2,0)),"CUIT NO CARGADO")</f>
        <v>-</v>
      </c>
      <c r="H191" s="99"/>
      <c r="I191" s="100">
        <f>venta_a_mes1[[#This Row],[IMPORTE NETO]]*0.21</f>
        <v>0</v>
      </c>
      <c r="J191" s="65"/>
      <c r="K191" s="65"/>
      <c r="L191" s="65">
        <f>SUM(venta_a_mes1[[#This Row],[IMPORTE NETO]:[EXENTO]])</f>
        <v>0</v>
      </c>
      <c r="M191" s="59"/>
    </row>
    <row r="192" spans="2:18" x14ac:dyDescent="0.25">
      <c r="B192" s="108"/>
      <c r="C192" s="109"/>
      <c r="D192" s="110"/>
      <c r="E192" s="111"/>
      <c r="F192" s="112"/>
      <c r="G192" s="164" t="str">
        <f>IFERROR(IF(venta_a_mes1[[#This Row],[CUIT]]="","-",VLOOKUP(venta_a_mes1[[#This Row],[CUIT]],Lista_CUIT[#All],2,0)),"CUIT NO CARGADO")</f>
        <v>-</v>
      </c>
      <c r="H192" s="99"/>
      <c r="I192" s="100">
        <f>venta_a_mes1[[#This Row],[IMPORTE NETO]]*0.21</f>
        <v>0</v>
      </c>
      <c r="J192" s="65"/>
      <c r="K192" s="65"/>
      <c r="L192" s="65">
        <f>SUM(venta_a_mes1[[#This Row],[IMPORTE NETO]:[EXENTO]])</f>
        <v>0</v>
      </c>
      <c r="M192" s="59"/>
    </row>
    <row r="193" spans="2:13" x14ac:dyDescent="0.25">
      <c r="B193" s="108"/>
      <c r="C193" s="109"/>
      <c r="D193" s="110"/>
      <c r="E193" s="111"/>
      <c r="F193" s="112"/>
      <c r="G193" s="164" t="str">
        <f>IFERROR(IF(venta_a_mes1[[#This Row],[CUIT]]="","-",VLOOKUP(venta_a_mes1[[#This Row],[CUIT]],Lista_CUIT[#All],2,0)),"CUIT NO CARGADO")</f>
        <v>-</v>
      </c>
      <c r="H193" s="99"/>
      <c r="I193" s="100">
        <f>venta_a_mes1[[#This Row],[IMPORTE NETO]]*0.21</f>
        <v>0</v>
      </c>
      <c r="J193" s="65"/>
      <c r="K193" s="65"/>
      <c r="L193" s="65">
        <f>SUM(venta_a_mes1[[#This Row],[IMPORTE NETO]:[EXENTO]])</f>
        <v>0</v>
      </c>
      <c r="M193" s="59"/>
    </row>
    <row r="194" spans="2:13" x14ac:dyDescent="0.25">
      <c r="B194" s="66" t="s">
        <v>103</v>
      </c>
      <c r="C194" s="67"/>
      <c r="D194" s="67"/>
      <c r="E194" s="67"/>
      <c r="F194" s="67"/>
      <c r="G194" s="67"/>
      <c r="H194" s="69">
        <f>SUBTOTAL(109,venta_a_mes1[IMPORTE NETO])</f>
        <v>0</v>
      </c>
      <c r="I194" s="70">
        <f>SUBTOTAL(109,venta_a_mes1[IVA 21%])</f>
        <v>0</v>
      </c>
      <c r="J194" s="71">
        <f>SUBTOTAL(109,venta_a_mes1[IVA 10,5%])</f>
        <v>0</v>
      </c>
      <c r="K194" s="71">
        <f>SUBTOTAL(109,venta_a_mes1[EXENTO])</f>
        <v>0</v>
      </c>
      <c r="L194" s="71">
        <f>SUBTOTAL(109,venta_a_mes1[TOTAL])</f>
        <v>0</v>
      </c>
      <c r="M194" s="68">
        <f>SUBTOTAL(103,venta_a_mes1[Provincia])</f>
        <v>0</v>
      </c>
    </row>
    <row r="197" spans="2:13" ht="21" x14ac:dyDescent="0.25">
      <c r="B197" s="594" t="s">
        <v>31</v>
      </c>
      <c r="C197" s="594"/>
    </row>
    <row r="198" spans="2:13" ht="31.5" x14ac:dyDescent="0.25">
      <c r="B198" s="60" t="s">
        <v>0</v>
      </c>
      <c r="C198" s="61" t="s">
        <v>1</v>
      </c>
      <c r="D198" s="61" t="s">
        <v>21</v>
      </c>
      <c r="E198" s="61" t="s">
        <v>22</v>
      </c>
      <c r="F198" s="61" t="s">
        <v>3</v>
      </c>
      <c r="G198" s="61" t="s">
        <v>4</v>
      </c>
      <c r="H198" s="61" t="s">
        <v>23</v>
      </c>
      <c r="I198" s="61" t="s">
        <v>17</v>
      </c>
      <c r="J198" s="61" t="s">
        <v>7</v>
      </c>
      <c r="K198" s="61" t="s">
        <v>24</v>
      </c>
      <c r="L198" s="61" t="s">
        <v>10</v>
      </c>
      <c r="M198" s="62" t="s">
        <v>38</v>
      </c>
    </row>
    <row r="199" spans="2:13" x14ac:dyDescent="0.25">
      <c r="B199" s="134"/>
      <c r="C199" s="135"/>
      <c r="D199" s="136"/>
      <c r="E199" s="137"/>
      <c r="F199" s="138"/>
      <c r="G199" s="1" t="str">
        <f>IFERROR(IF(ventas_b_mes1[[#This Row],[CUIT]]="","-",VLOOKUP(ventas_b_mes1[[#This Row],[CUIT]],Lista_CUIT[#All],2,0)),"CUIT NO CARGADO")</f>
        <v>-</v>
      </c>
      <c r="H199" s="64">
        <f>ventas_b_mes1[[#This Row],[TOTAL]]/1.21</f>
        <v>0</v>
      </c>
      <c r="I199" s="139">
        <f>ventas_b_mes1[[#This Row],[IMPORTE NETO]]*0.21</f>
        <v>0</v>
      </c>
      <c r="J199" s="140"/>
      <c r="K199" s="140"/>
      <c r="L199" s="140"/>
      <c r="M199" s="59"/>
    </row>
    <row r="200" spans="2:13" x14ac:dyDescent="0.25">
      <c r="B200" s="134"/>
      <c r="C200" s="135"/>
      <c r="D200" s="136"/>
      <c r="E200" s="137"/>
      <c r="F200" s="138"/>
      <c r="G200" s="1" t="str">
        <f>IFERROR(IF(ventas_b_mes1[[#This Row],[CUIT]]="","-",VLOOKUP(ventas_b_mes1[[#This Row],[CUIT]],Lista_CUIT[#All],2,0)),"CUIT NO CARGADO")</f>
        <v>-</v>
      </c>
      <c r="H200" s="64">
        <f>ventas_b_mes1[[#This Row],[TOTAL]]/1.21</f>
        <v>0</v>
      </c>
      <c r="I200" s="139">
        <f>ventas_b_mes1[[#This Row],[IMPORTE NETO]]*0.21</f>
        <v>0</v>
      </c>
      <c r="J200" s="140"/>
      <c r="K200" s="140"/>
      <c r="L200" s="140"/>
      <c r="M200" s="59"/>
    </row>
    <row r="201" spans="2:13" x14ac:dyDescent="0.25">
      <c r="B201" s="134"/>
      <c r="C201" s="135"/>
      <c r="D201" s="136"/>
      <c r="E201" s="137"/>
      <c r="F201" s="138"/>
      <c r="G201" s="1" t="str">
        <f>IFERROR(IF(ventas_b_mes1[[#This Row],[CUIT]]="","-",VLOOKUP(ventas_b_mes1[[#This Row],[CUIT]],Lista_CUIT[#All],2,0)),"CUIT NO CARGADO")</f>
        <v>-</v>
      </c>
      <c r="H201" s="64">
        <f>ventas_b_mes1[[#This Row],[TOTAL]]/1.21</f>
        <v>0</v>
      </c>
      <c r="I201" s="139">
        <f>ventas_b_mes1[[#This Row],[IMPORTE NETO]]*0.21</f>
        <v>0</v>
      </c>
      <c r="J201" s="140"/>
      <c r="K201" s="140"/>
      <c r="L201" s="140"/>
      <c r="M201" s="59"/>
    </row>
    <row r="202" spans="2:13" x14ac:dyDescent="0.25">
      <c r="B202" s="134"/>
      <c r="C202" s="135"/>
      <c r="D202" s="136"/>
      <c r="E202" s="137"/>
      <c r="F202" s="138"/>
      <c r="G202" s="1" t="str">
        <f>IFERROR(IF(ventas_b_mes1[[#This Row],[CUIT]]="","-",VLOOKUP(ventas_b_mes1[[#This Row],[CUIT]],Lista_CUIT[#All],2,0)),"CUIT NO CARGADO")</f>
        <v>-</v>
      </c>
      <c r="H202" s="64">
        <f>ventas_b_mes1[[#This Row],[TOTAL]]/1.21</f>
        <v>0</v>
      </c>
      <c r="I202" s="139">
        <f>ventas_b_mes1[[#This Row],[IMPORTE NETO]]*0.21</f>
        <v>0</v>
      </c>
      <c r="J202" s="140"/>
      <c r="K202" s="140"/>
      <c r="L202" s="140"/>
      <c r="M202" s="59"/>
    </row>
    <row r="203" spans="2:13" x14ac:dyDescent="0.25">
      <c r="B203" s="66" t="s">
        <v>103</v>
      </c>
      <c r="C203" s="67"/>
      <c r="D203" s="67"/>
      <c r="E203" s="67"/>
      <c r="F203" s="67"/>
      <c r="G203" s="67"/>
      <c r="H203" s="77">
        <f>SUBTOTAL(109,ventas_b_mes1[IMPORTE NETO])</f>
        <v>0</v>
      </c>
      <c r="I203" s="77">
        <f>SUBTOTAL(109,ventas_b_mes1[IVA 21%])</f>
        <v>0</v>
      </c>
      <c r="J203" s="78">
        <f>SUBTOTAL(109,ventas_b_mes1[IVA 10,5%])</f>
        <v>0</v>
      </c>
      <c r="K203" s="78">
        <f>SUBTOTAL(109,ventas_b_mes1[EXENTO])</f>
        <v>0</v>
      </c>
      <c r="L203" s="78">
        <f>SUBTOTAL(109,ventas_b_mes1[TOTAL])</f>
        <v>0</v>
      </c>
      <c r="M203" s="68">
        <f>SUBTOTAL(103,ventas_b_mes1[Provincia])</f>
        <v>0</v>
      </c>
    </row>
    <row r="210" spans="3:12" ht="15.75" thickBot="1" x14ac:dyDescent="0.3"/>
    <row r="211" spans="3:12" ht="15.75" thickTop="1" x14ac:dyDescent="0.25">
      <c r="C211" s="588" t="s">
        <v>66</v>
      </c>
      <c r="D211" s="588"/>
      <c r="E211" s="588"/>
      <c r="F211" s="588"/>
      <c r="G211" s="588"/>
      <c r="H211" s="32"/>
      <c r="I211" s="32"/>
      <c r="J211" s="32"/>
    </row>
    <row r="212" spans="3:12" ht="15.75" x14ac:dyDescent="0.25">
      <c r="C212" s="113" t="s">
        <v>67</v>
      </c>
      <c r="D212" s="114" t="s">
        <v>68</v>
      </c>
      <c r="E212" s="114" t="s">
        <v>105</v>
      </c>
      <c r="F212" s="114" t="s">
        <v>3</v>
      </c>
      <c r="G212" s="114" t="s">
        <v>4</v>
      </c>
      <c r="H212" s="115" t="s">
        <v>69</v>
      </c>
      <c r="I212" s="115" t="s">
        <v>70</v>
      </c>
      <c r="J212" s="115" t="s">
        <v>71</v>
      </c>
      <c r="K212" s="115" t="s">
        <v>72</v>
      </c>
      <c r="L212" s="115" t="s">
        <v>73</v>
      </c>
    </row>
    <row r="213" spans="3:12" x14ac:dyDescent="0.25">
      <c r="C213" s="116"/>
      <c r="D213" s="117"/>
      <c r="E213" s="117"/>
      <c r="F213" s="118"/>
      <c r="G213" s="53" t="str">
        <f>IFERROR(IF(retenciones_mes1[[#This Row],[CUIT]]="","-",VLOOKUP(retenciones_mes1[[#This Row],[CUIT]],Lista_CUIT[#All],2,0)),"CUIT NO CARGADO")</f>
        <v>-</v>
      </c>
      <c r="H213" s="119"/>
      <c r="I213" s="119"/>
      <c r="J213" s="119"/>
      <c r="K213" s="119"/>
      <c r="L213" s="119"/>
    </row>
    <row r="214" spans="3:12" x14ac:dyDescent="0.25">
      <c r="C214" s="116"/>
      <c r="D214" s="117"/>
      <c r="E214" s="117"/>
      <c r="F214" s="118"/>
      <c r="G214" s="53" t="str">
        <f>IFERROR(IF(retenciones_mes1[[#This Row],[CUIT]]="","-",VLOOKUP(retenciones_mes1[[#This Row],[CUIT]],Lista_CUIT[#All],2,0)),"CUIT NO CARGADO")</f>
        <v>-</v>
      </c>
      <c r="H214" s="119"/>
      <c r="I214" s="119"/>
      <c r="J214" s="119"/>
      <c r="K214" s="119"/>
      <c r="L214" s="119"/>
    </row>
    <row r="215" spans="3:12" x14ac:dyDescent="0.25">
      <c r="C215" s="116"/>
      <c r="D215" s="117"/>
      <c r="E215" s="117"/>
      <c r="F215" s="118"/>
      <c r="G215" s="53" t="str">
        <f>IFERROR(IF(retenciones_mes1[[#This Row],[CUIT]]="","-",VLOOKUP(retenciones_mes1[[#This Row],[CUIT]],Lista_CUIT[#All],2,0)),"CUIT NO CARGADO")</f>
        <v>-</v>
      </c>
      <c r="H215" s="119"/>
      <c r="I215" s="119"/>
      <c r="J215" s="119"/>
      <c r="K215" s="119"/>
      <c r="L215" s="119"/>
    </row>
    <row r="216" spans="3:12" x14ac:dyDescent="0.25">
      <c r="C216" s="116"/>
      <c r="D216" s="117"/>
      <c r="E216" s="117"/>
      <c r="F216" s="118"/>
      <c r="G216" s="53" t="str">
        <f>IFERROR(IF(retenciones_mes1[[#This Row],[CUIT]]="","-",VLOOKUP(retenciones_mes1[[#This Row],[CUIT]],Lista_CUIT[#All],2,0)),"CUIT NO CARGADO")</f>
        <v>-</v>
      </c>
      <c r="H216" s="119"/>
      <c r="I216" s="119"/>
      <c r="J216" s="119"/>
      <c r="K216" s="119"/>
      <c r="L216" s="119"/>
    </row>
    <row r="217" spans="3:12" x14ac:dyDescent="0.25">
      <c r="D217" s="117"/>
      <c r="E217" s="117"/>
      <c r="G217" s="53" t="str">
        <f>IFERROR(IF(retenciones_mes1[[#This Row],[CUIT]]="","-",VLOOKUP(retenciones_mes1[[#This Row],[CUIT]],Lista_CUIT[#All],2,0)),"CUIT NO CARGADO")</f>
        <v>-</v>
      </c>
    </row>
    <row r="218" spans="3:12" x14ac:dyDescent="0.25">
      <c r="C218" s="33"/>
    </row>
  </sheetData>
  <mergeCells count="20">
    <mergeCell ref="N1:R1"/>
    <mergeCell ref="D138:L138"/>
    <mergeCell ref="B185:C185"/>
    <mergeCell ref="B197:C197"/>
    <mergeCell ref="B1:F1"/>
    <mergeCell ref="G1:M1"/>
    <mergeCell ref="K183:M183"/>
    <mergeCell ref="B3:E3"/>
    <mergeCell ref="B4:E4"/>
    <mergeCell ref="G4:H4"/>
    <mergeCell ref="G3:H3"/>
    <mergeCell ref="B183:J183"/>
    <mergeCell ref="D151:K151"/>
    <mergeCell ref="P4:R4"/>
    <mergeCell ref="P3:R3"/>
    <mergeCell ref="J3:K3"/>
    <mergeCell ref="J4:K4"/>
    <mergeCell ref="M4:N4"/>
    <mergeCell ref="M3:N3"/>
    <mergeCell ref="C211:G211"/>
  </mergeCells>
  <phoneticPr fontId="38" type="noConversion"/>
  <dataValidations count="10">
    <dataValidation type="whole" allowBlank="1" showInputMessage="1" showErrorMessage="1" sqref="E153:E177 D187:D193 D199:D202 D9:D132" xr:uid="{00000000-0002-0000-0100-000000000000}">
      <formula1>1</formula1>
      <formula2>9999</formula2>
    </dataValidation>
    <dataValidation type="whole" allowBlank="1" showInputMessage="1" showErrorMessage="1" sqref="F153:F177 E187:E193 E199:E202 E9:E132" xr:uid="{00000000-0002-0000-0100-000001000000}">
      <formula1>1</formula1>
      <formula2>99999999</formula2>
    </dataValidation>
    <dataValidation type="whole" allowBlank="1" showInputMessage="1" showErrorMessage="1" sqref="G153:G177 F199:F202 F187:F193 F9:F132" xr:uid="{00000000-0002-0000-0100-000002000000}">
      <formula1>20000000000</formula1>
      <formula2>33999999999</formula2>
    </dataValidation>
    <dataValidation type="date" allowBlank="1" showInputMessage="1" showErrorMessage="1" sqref="D140:D147 D153:D177 B134:B137 B187:B193 B199:B202 B9:B132" xr:uid="{00000000-0002-0000-0100-000003000000}">
      <formula1>40179</formula1>
      <formula2>TODAY()</formula2>
    </dataValidation>
    <dataValidation type="whole" allowBlank="1" showInputMessage="1" showErrorMessage="1" sqref="C134:C137 C187:C193 C9:C132" xr:uid="{00000000-0002-0000-0100-000004000000}">
      <formula1>1</formula1>
      <formula2>3</formula2>
    </dataValidation>
    <dataValidation type="custom" allowBlank="1" showInputMessage="1" showErrorMessage="1" sqref="H187:K187" xr:uid="{00000000-0002-0000-0100-000005000000}">
      <formula1>IF($C187=3,H187&lt;0,H187&gt;=0)</formula1>
    </dataValidation>
    <dataValidation type="custom" allowBlank="1" showInputMessage="1" showErrorMessage="1" sqref="L187:L193" xr:uid="{00000000-0002-0000-0100-000006000000}">
      <formula1>IF(#REF!=3,#REF!&lt;0,#REF!&gt;=0)</formula1>
    </dataValidation>
    <dataValidation type="whole" allowBlank="1" showInputMessage="1" showErrorMessage="1" sqref="C199:C202" xr:uid="{00000000-0002-0000-0100-000007000000}">
      <formula1>6</formula1>
      <formula2>8</formula2>
    </dataValidation>
    <dataValidation type="custom" allowBlank="1" showInputMessage="1" showErrorMessage="1" sqref="H199:L202" xr:uid="{00000000-0002-0000-0100-000008000000}">
      <formula1>IF($C199=8,H199&lt;0,H199&gt;=0)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32" xr:uid="{00000000-0002-0000-0100-000009000000}">
      <formula1>IF($C9=3,H9&lt;0,H9&gt;=0)</formula1>
    </dataValidation>
  </dataValidations>
  <pageMargins left="0.25" right="0.25" top="0.75" bottom="0.75" header="0.3" footer="0.3"/>
  <pageSetup paperSize="9" scale="49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tabColor theme="9" tint="0.79998168889431442"/>
    <pageSetUpPr fitToPage="1"/>
  </sheetPr>
  <dimension ref="A1:T233"/>
  <sheetViews>
    <sheetView showGridLines="0" topLeftCell="F1" zoomScale="80" zoomScaleNormal="80" workbookViewId="0">
      <selection activeCell="P152" sqref="P152"/>
    </sheetView>
  </sheetViews>
  <sheetFormatPr baseColWidth="10" defaultColWidth="15.7109375" defaultRowHeight="15" x14ac:dyDescent="0.25"/>
  <cols>
    <col min="1" max="1" width="6.140625" customWidth="1"/>
    <col min="2" max="2" width="13.5703125" customWidth="1"/>
    <col min="3" max="3" width="9.5703125" customWidth="1"/>
    <col min="4" max="4" width="13.28515625" customWidth="1"/>
    <col min="5" max="5" width="15.85546875" customWidth="1"/>
    <col min="6" max="6" width="18" customWidth="1"/>
    <col min="7" max="7" width="33.140625" customWidth="1"/>
    <col min="8" max="8" width="15.5703125" customWidth="1"/>
    <col min="9" max="9" width="19.42578125" customWidth="1"/>
    <col min="10" max="10" width="29.28515625" bestFit="1" customWidth="1"/>
    <col min="11" max="11" width="14.42578125" customWidth="1"/>
    <col min="12" max="12" width="11.42578125" customWidth="1"/>
    <col min="13" max="13" width="12.85546875" customWidth="1"/>
    <col min="14" max="14" width="13.28515625" customWidth="1"/>
    <col min="15" max="15" width="12.42578125" customWidth="1"/>
    <col min="16" max="16" width="20.28515625" customWidth="1"/>
    <col min="17" max="17" width="22.5703125" customWidth="1"/>
    <col min="18" max="18" width="16.28515625" bestFit="1" customWidth="1"/>
  </cols>
  <sheetData>
    <row r="1" spans="1:18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EDATE('Ene-25'!N1,1)</f>
        <v>45689</v>
      </c>
      <c r="O1" s="584"/>
      <c r="P1" s="584"/>
      <c r="Q1" s="584"/>
      <c r="R1" s="584"/>
    </row>
    <row r="2" spans="1:18" ht="15" customHeight="1" x14ac:dyDescent="0.25"/>
    <row r="3" spans="1:18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18" ht="25.15" customHeight="1" x14ac:dyDescent="0.35">
      <c r="B4" s="589">
        <f>SUM(compras_mes2[[#Totals],[NETO GRAVADO]])+extracto_banco_mes2[[#Totals],[NETO]]</f>
        <v>42863386.312548846</v>
      </c>
      <c r="C4" s="589"/>
      <c r="D4" s="589"/>
      <c r="E4" s="589"/>
      <c r="F4" s="39"/>
      <c r="G4" s="590">
        <f>compras_mes2[[#Totals],[IVA 21 %]]+compras_mes2[[#Totals],[IVA 27%]]+compras_mes2[[#Totals],[IVA 10,5%]]+extracto_banco_mes2[[#Totals],[IVA 21%]]+extracto_banco_mes2[[#Totals],[IVA 10,5%]]</f>
        <v>8622566.5669641588</v>
      </c>
      <c r="H4" s="590"/>
      <c r="I4" s="39"/>
      <c r="J4" s="591">
        <f>venta_a_mes2[[#Totals],[IMPORTE NETO]]+ventas_b_mes2[[#Totals],[IMPORTE NETO]]</f>
        <v>0</v>
      </c>
      <c r="K4" s="591"/>
      <c r="L4" s="39"/>
      <c r="M4" s="591">
        <f>venta_a_mes2[[#Totals],[IVA 21%]]+venta_a_mes2[[#Totals],[IVA 10,5%]]+ventas_b_mes2[[#Totals],[IVA 21%]]+ventas_b_mes2[[#Totals],[IVA 10,5%]]</f>
        <v>0</v>
      </c>
      <c r="N4" s="591"/>
      <c r="O4" s="39"/>
      <c r="P4" s="579">
        <f>G4-M4</f>
        <v>8622566.5669641588</v>
      </c>
      <c r="Q4" s="580"/>
      <c r="R4" s="580"/>
    </row>
    <row r="5" spans="1:18" ht="17.25" customHeight="1" x14ac:dyDescent="0.25"/>
    <row r="6" spans="1:18" ht="18.75" customHeight="1" x14ac:dyDescent="0.25">
      <c r="F6" s="127"/>
      <c r="G6" s="438" t="s">
        <v>2380</v>
      </c>
    </row>
    <row r="7" spans="1:18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18" x14ac:dyDescent="0.25">
      <c r="B8" s="40" t="s">
        <v>2360</v>
      </c>
      <c r="C8" s="41">
        <v>1</v>
      </c>
      <c r="D8" s="285">
        <v>2084</v>
      </c>
      <c r="E8" s="286">
        <v>27204</v>
      </c>
      <c r="F8" s="287">
        <v>30548083156</v>
      </c>
      <c r="G8" s="45" t="str">
        <f>IFERROR(IF(compras_mes2[[#This Row],[CUIT]]="","-",VLOOKUP(compras_mes2[[#This Row],[CUIT]],Lista_CUIT[#All],2,0)),"CUIT NO CARGADO")</f>
        <v>COTO CENTRO INTEGRAL DE COMERCIALIZACION SOCIEDAD ANONIMA</v>
      </c>
      <c r="H8" s="46">
        <v>24264.52</v>
      </c>
      <c r="I8" s="85">
        <v>2201.38</v>
      </c>
      <c r="J8" s="85"/>
      <c r="K8" s="85">
        <v>1447.08</v>
      </c>
      <c r="L8" s="85"/>
      <c r="M8" s="85"/>
      <c r="N8" s="85"/>
      <c r="O8" s="85">
        <v>1150.17</v>
      </c>
      <c r="P8" s="48">
        <f>SUM(compras_mes2[[#This Row],[NETO GRAVADO]:[Otros / No Grav.]])</f>
        <v>29063.15</v>
      </c>
      <c r="Q8" s="49" t="str">
        <f>IFERROR(IF(compras_mes2[[#This Row],[CUIT]]="","-",VLOOKUP(compras_mes2[[#This Row],[CUIT]],Lista_CUIT[#All],3,0)),"CUIT NO CARGADO")</f>
        <v>Gastos Varios</v>
      </c>
      <c r="R8" s="49">
        <f>IFERROR(IF(compras_mes2[[#This Row],[CUIT]]="","-",VLOOKUP(compras_mes2[[#This Row],[CUIT]],Lista_CUIT[#All],4,0)),"CUIT NO CARGADO")</f>
        <v>0</v>
      </c>
    </row>
    <row r="9" spans="1:18" x14ac:dyDescent="0.25">
      <c r="B9" s="40" t="s">
        <v>2360</v>
      </c>
      <c r="C9" s="41">
        <v>1</v>
      </c>
      <c r="D9" s="285">
        <v>629</v>
      </c>
      <c r="E9" s="286">
        <v>5823700</v>
      </c>
      <c r="F9" s="287">
        <v>30663498513</v>
      </c>
      <c r="G9" s="45" t="str">
        <f>IFERROR(IF(compras_mes2[[#This Row],[CUIT]]="","-",VLOOKUP(compras_mes2[[#This Row],[CUIT]],Lista_CUIT[#All],2,0)),"CUIT NO CARGADO")</f>
        <v>GRUPO CONCES. DEL OESTE SA</v>
      </c>
      <c r="H9" s="46">
        <v>27732.84</v>
      </c>
      <c r="I9" s="85">
        <f>IF(compras_mes2[[#This Row],[NETO GRAVADO]]="","",compras_mes2[[#This Row],[NETO GRAVADO]]*0.21)</f>
        <v>5823.8963999999996</v>
      </c>
      <c r="J9" s="85"/>
      <c r="K9" s="85"/>
      <c r="L9" s="85"/>
      <c r="M9" s="85"/>
      <c r="N9" s="85"/>
      <c r="O9" s="85"/>
      <c r="P9" s="48">
        <f>SUM(compras_mes2[[#This Row],[NETO GRAVADO]:[Otros / No Grav.]])</f>
        <v>33556.736400000002</v>
      </c>
      <c r="Q9" s="49" t="str">
        <f>IFERROR(IF(compras_mes2[[#This Row],[CUIT]]="","-",VLOOKUP(compras_mes2[[#This Row],[CUIT]],Lista_CUIT[#All],3,0)),"CUIT NO CARGADO")</f>
        <v>Peajes</v>
      </c>
      <c r="R9" s="49">
        <f>IFERROR(IF(compras_mes2[[#This Row],[CUIT]]="","-",VLOOKUP(compras_mes2[[#This Row],[CUIT]],Lista_CUIT[#All],4,0)),"CUIT NO CARGADO")</f>
        <v>0</v>
      </c>
    </row>
    <row r="10" spans="1:18" x14ac:dyDescent="0.25">
      <c r="B10" s="40" t="s">
        <v>2362</v>
      </c>
      <c r="C10" s="41">
        <v>1</v>
      </c>
      <c r="D10" s="285">
        <v>4</v>
      </c>
      <c r="E10" s="286">
        <v>3582</v>
      </c>
      <c r="F10" s="287">
        <v>20132380741</v>
      </c>
      <c r="G10" s="45" t="str">
        <f>IFERROR(IF(compras_mes2[[#This Row],[CUIT]]="","-",VLOOKUP(compras_mes2[[#This Row],[CUIT]],Lista_CUIT[#All],2,0)),"CUIT NO CARGADO")</f>
        <v>GERARDO A.S. LARA</v>
      </c>
      <c r="H10" s="46">
        <v>665000</v>
      </c>
      <c r="I10" s="85">
        <f>IF(compras_mes2[[#This Row],[NETO GRAVADO]]="","",compras_mes2[[#This Row],[NETO GRAVADO]]*0.21)</f>
        <v>139650</v>
      </c>
      <c r="J10" s="85"/>
      <c r="K10" s="85"/>
      <c r="L10" s="85"/>
      <c r="M10" s="85"/>
      <c r="N10" s="85"/>
      <c r="O10" s="85">
        <v>10629.43</v>
      </c>
      <c r="P10" s="48">
        <f>SUM(compras_mes2[[#This Row],[NETO GRAVADO]:[Otros / No Grav.]])</f>
        <v>815279.43</v>
      </c>
      <c r="Q10" s="49" t="str">
        <f>IFERROR(IF(compras_mes2[[#This Row],[CUIT]]="","-",VLOOKUP(compras_mes2[[#This Row],[CUIT]],Lista_CUIT[#All],3,0)),"CUIT NO CARGADO")</f>
        <v>Flete</v>
      </c>
      <c r="R10" s="49">
        <f>IFERROR(IF(compras_mes2[[#This Row],[CUIT]]="","-",VLOOKUP(compras_mes2[[#This Row],[CUIT]],Lista_CUIT[#All],4,0)),"CUIT NO CARGADO")</f>
        <v>0</v>
      </c>
    </row>
    <row r="11" spans="1:18" x14ac:dyDescent="0.25">
      <c r="B11" s="40" t="s">
        <v>2354</v>
      </c>
      <c r="C11" s="41">
        <v>1</v>
      </c>
      <c r="D11" s="285">
        <v>3</v>
      </c>
      <c r="E11" s="286">
        <v>83</v>
      </c>
      <c r="F11" s="287">
        <v>20202970940</v>
      </c>
      <c r="G11" s="45" t="str">
        <f>IFERROR(IF(compras_mes2[[#This Row],[CUIT]]="","-",VLOOKUP(compras_mes2[[#This Row],[CUIT]],Lista_CUIT[#All],2,0)),"CUIT NO CARGADO")</f>
        <v xml:space="preserve">ALEJANDRO TRAIBER </v>
      </c>
      <c r="H11" s="46">
        <v>2658400</v>
      </c>
      <c r="I11" s="85">
        <f>IF(compras_mes2[[#This Row],[NETO GRAVADO]]="","",compras_mes2[[#This Row],[NETO GRAVADO]]*0.21)</f>
        <v>558264</v>
      </c>
      <c r="J11" s="85"/>
      <c r="K11" s="85"/>
      <c r="L11" s="85"/>
      <c r="M11" s="85"/>
      <c r="N11" s="85"/>
      <c r="O11" s="85"/>
      <c r="P11" s="48">
        <f>SUM(compras_mes2[[#This Row],[NETO GRAVADO]:[Otros / No Grav.]])</f>
        <v>3216664</v>
      </c>
      <c r="Q11" s="49" t="str">
        <f>IFERROR(IF(compras_mes2[[#This Row],[CUIT]]="","-",VLOOKUP(compras_mes2[[#This Row],[CUIT]],Lista_CUIT[#All],3,0)),"CUIT NO CARGADO")</f>
        <v>Mercaderia</v>
      </c>
      <c r="R11" s="49">
        <f>IFERROR(IF(compras_mes2[[#This Row],[CUIT]]="","-",VLOOKUP(compras_mes2[[#This Row],[CUIT]],Lista_CUIT[#All],4,0)),"CUIT NO CARGADO")</f>
        <v>0</v>
      </c>
    </row>
    <row r="12" spans="1:18" x14ac:dyDescent="0.25">
      <c r="B12" s="40">
        <v>45689</v>
      </c>
      <c r="C12" s="41">
        <v>1</v>
      </c>
      <c r="D12" s="285">
        <v>12</v>
      </c>
      <c r="E12" s="286">
        <v>57783</v>
      </c>
      <c r="F12" s="287">
        <v>30696131003</v>
      </c>
      <c r="G12" s="45" t="str">
        <f>IFERROR(IF(compras_mes2[[#This Row],[CUIT]]="","-",VLOOKUP(compras_mes2[[#This Row],[CUIT]],Lista_CUIT[#All],2,0)),"CUIT NO CARGADO")</f>
        <v>Petrolfe S.A.</v>
      </c>
      <c r="H12" s="46">
        <v>204168.24</v>
      </c>
      <c r="I12" s="85">
        <f>IF(compras_mes2[[#This Row],[NETO GRAVADO]]="","",compras_mes2[[#This Row],[NETO GRAVADO]]*0.21)</f>
        <v>42875.330399999999</v>
      </c>
      <c r="J12" s="85"/>
      <c r="K12" s="85"/>
      <c r="L12" s="85"/>
      <c r="M12" s="85"/>
      <c r="N12" s="85"/>
      <c r="O12" s="85">
        <v>61551.08</v>
      </c>
      <c r="P12" s="48">
        <f>SUM(compras_mes2[[#This Row],[NETO GRAVADO]:[Otros / No Grav.]])</f>
        <v>308594.65039999998</v>
      </c>
      <c r="Q12" s="49" t="str">
        <f>IFERROR(IF(compras_mes2[[#This Row],[CUIT]]="","-",VLOOKUP(compras_mes2[[#This Row],[CUIT]],Lista_CUIT[#All],3,0)),"CUIT NO CARGADO")</f>
        <v>Combustible</v>
      </c>
      <c r="R12" s="49">
        <f>IFERROR(IF(compras_mes2[[#This Row],[CUIT]]="","-",VLOOKUP(compras_mes2[[#This Row],[CUIT]],Lista_CUIT[#All],4,0)),"CUIT NO CARGADO")</f>
        <v>0</v>
      </c>
    </row>
    <row r="13" spans="1:18" x14ac:dyDescent="0.25">
      <c r="B13" s="40" t="s">
        <v>2361</v>
      </c>
      <c r="C13" s="41">
        <v>1</v>
      </c>
      <c r="D13" s="285">
        <v>2199</v>
      </c>
      <c r="E13" s="286">
        <v>34884</v>
      </c>
      <c r="F13" s="287">
        <v>30548083156</v>
      </c>
      <c r="G13" s="45" t="str">
        <f>IFERROR(IF(compras_mes2[[#This Row],[CUIT]]="","-",VLOOKUP(compras_mes2[[#This Row],[CUIT]],Lista_CUIT[#All],2,0)),"CUIT NO CARGADO")</f>
        <v>COTO CENTRO INTEGRAL DE COMERCIALIZACION SOCIEDAD ANONIMA</v>
      </c>
      <c r="H13" s="46">
        <v>34066.089999999997</v>
      </c>
      <c r="I13" s="85">
        <f>IF(compras_mes2[[#This Row],[NETO GRAVADO]]="","",compras_mes2[[#This Row],[NETO GRAVADO]]*0.21)</f>
        <v>7153.8788999999988</v>
      </c>
      <c r="J13" s="85"/>
      <c r="K13" s="85"/>
      <c r="L13" s="85"/>
      <c r="M13" s="85"/>
      <c r="N13" s="85"/>
      <c r="O13" s="85">
        <v>2927.3</v>
      </c>
      <c r="P13" s="48">
        <f>SUM(compras_mes2[[#This Row],[NETO GRAVADO]:[Otros / No Grav.]])</f>
        <v>44147.268899999995</v>
      </c>
      <c r="Q13" s="49" t="str">
        <f>IFERROR(IF(compras_mes2[[#This Row],[CUIT]]="","-",VLOOKUP(compras_mes2[[#This Row],[CUIT]],Lista_CUIT[#All],3,0)),"CUIT NO CARGADO")</f>
        <v>Gastos Varios</v>
      </c>
      <c r="R13" s="49">
        <f>IFERROR(IF(compras_mes2[[#This Row],[CUIT]]="","-",VLOOKUP(compras_mes2[[#This Row],[CUIT]],Lista_CUIT[#All],4,0)),"CUIT NO CARGADO")</f>
        <v>0</v>
      </c>
    </row>
    <row r="14" spans="1:18" x14ac:dyDescent="0.25">
      <c r="B14" s="40" t="s">
        <v>2346</v>
      </c>
      <c r="C14" s="41">
        <v>1</v>
      </c>
      <c r="D14" s="285">
        <v>14</v>
      </c>
      <c r="E14" s="286">
        <v>180510</v>
      </c>
      <c r="F14" s="287">
        <v>30644997258</v>
      </c>
      <c r="G14" s="45" t="str">
        <f>IFERROR(IF(compras_mes2[[#This Row],[CUIT]]="","-",VLOOKUP(compras_mes2[[#This Row],[CUIT]],Lista_CUIT[#All],2,0)),"CUIT NO CARGADO")</f>
        <v>GEMEZ SA</v>
      </c>
      <c r="H14" s="46">
        <v>950047.5</v>
      </c>
      <c r="I14" s="85">
        <f>IF(compras_mes2[[#This Row],[NETO GRAVADO]]="","",compras_mes2[[#This Row],[NETO GRAVADO]]*0.21)</f>
        <v>199509.97500000001</v>
      </c>
      <c r="J14" s="85"/>
      <c r="K14" s="85"/>
      <c r="L14" s="85"/>
      <c r="M14" s="85"/>
      <c r="N14" s="85">
        <v>57002.85</v>
      </c>
      <c r="O14" s="85"/>
      <c r="P14" s="48">
        <f>SUM(compras_mes2[[#This Row],[NETO GRAVADO]:[Otros / No Grav.]])</f>
        <v>1206560.3250000002</v>
      </c>
      <c r="Q14" s="49" t="str">
        <f>IFERROR(IF(compras_mes2[[#This Row],[CUIT]]="","-",VLOOKUP(compras_mes2[[#This Row],[CUIT]],Lista_CUIT[#All],3,0)),"CUIT NO CARGADO")</f>
        <v>Material de Empaque</v>
      </c>
      <c r="R14" s="49">
        <f>IFERROR(IF(compras_mes2[[#This Row],[CUIT]]="","-",VLOOKUP(compras_mes2[[#This Row],[CUIT]],Lista_CUIT[#All],4,0)),"CUIT NO CARGADO")</f>
        <v>0</v>
      </c>
    </row>
    <row r="15" spans="1:18" s="56" customFormat="1" x14ac:dyDescent="0.25">
      <c r="B15" s="40" t="s">
        <v>2346</v>
      </c>
      <c r="C15" s="41">
        <v>1</v>
      </c>
      <c r="D15" s="285">
        <v>3099</v>
      </c>
      <c r="E15" s="286">
        <v>373747</v>
      </c>
      <c r="F15" s="287">
        <v>30678814357</v>
      </c>
      <c r="G15" s="45" t="str">
        <f>IFERROR(IF(compras_mes2[[#This Row],[CUIT]]="","-",VLOOKUP(compras_mes2[[#This Row],[CUIT]],Lista_CUIT[#All],2,0)),"CUIT NO CARGADO")</f>
        <v>TELEFONICA MOVILES ARG</v>
      </c>
      <c r="H15" s="46">
        <v>34608</v>
      </c>
      <c r="I15" s="85"/>
      <c r="J15" s="85">
        <f>compras_mes2[[#This Row],[NETO GRAVADO]]*0.27</f>
        <v>9344.16</v>
      </c>
      <c r="K15" s="85"/>
      <c r="L15" s="85">
        <v>1038.24</v>
      </c>
      <c r="M15" s="85"/>
      <c r="N15" s="85">
        <v>2076.48</v>
      </c>
      <c r="O15" s="85"/>
      <c r="P15" s="48">
        <f>SUM(compras_mes2[[#This Row],[NETO GRAVADO]:[Otros / No Grav.]])</f>
        <v>47066.880000000005</v>
      </c>
      <c r="Q15" s="49" t="str">
        <f>IFERROR(IF(compras_mes2[[#This Row],[CUIT]]="","-",VLOOKUP(compras_mes2[[#This Row],[CUIT]],Lista_CUIT[#All],3,0)),"CUIT NO CARGADO")</f>
        <v>Servicios Gas, Luz, etc.</v>
      </c>
      <c r="R15" s="49">
        <f>IFERROR(IF(compras_mes2[[#This Row],[CUIT]]="","-",VLOOKUP(compras_mes2[[#This Row],[CUIT]],Lista_CUIT[#All],4,0)),"CUIT NO CARGADO")</f>
        <v>0</v>
      </c>
    </row>
    <row r="16" spans="1:18" ht="15.75" customHeight="1" x14ac:dyDescent="0.25">
      <c r="B16" s="451">
        <v>45691</v>
      </c>
      <c r="C16" s="452">
        <v>1</v>
      </c>
      <c r="D16" s="453">
        <v>501</v>
      </c>
      <c r="E16" s="454">
        <v>42219059</v>
      </c>
      <c r="F16" s="455">
        <v>30655116512</v>
      </c>
      <c r="G16" s="456" t="str">
        <f>IFERROR(IF(compras_mes2[[#This Row],[CUIT]]="","-",VLOOKUP(compras_mes2[[#This Row],[CUIT]],Lista_CUIT[#All],2,0)),"CUIT NO CARGADO")</f>
        <v>Empresa Distribuidora Sur S.A.</v>
      </c>
      <c r="H16" s="457">
        <v>104119.900390625</v>
      </c>
      <c r="I16" s="458">
        <f>IF(compras_mes2[[#This Row],[NETO GRAVADO]]="","",compras_mes2[[#This Row],[NETO GRAVADO]]*0.21)</f>
        <v>21865.179082031249</v>
      </c>
      <c r="J16" s="458"/>
      <c r="K16" s="458"/>
      <c r="L16" s="458">
        <v>4164.7998046875</v>
      </c>
      <c r="M16" s="458"/>
      <c r="N16" s="458"/>
      <c r="O16" s="458">
        <v>6689.7099609375</v>
      </c>
      <c r="P16" s="459">
        <f>SUM(compras_mes2[[#This Row],[NETO GRAVADO]:[Otros / No Grav.]])</f>
        <v>136839.58923828125</v>
      </c>
      <c r="Q16" s="460" t="str">
        <f>IFERROR(IF(compras_mes2[[#This Row],[CUIT]]="","-",VLOOKUP(compras_mes2[[#This Row],[CUIT]],Lista_CUIT[#All],3,0)),"CUIT NO CARGADO")</f>
        <v>Servicios Gas, Luz, etc.</v>
      </c>
      <c r="R16" s="460">
        <f>IFERROR(IF(compras_mes2[[#This Row],[CUIT]]="","-",VLOOKUP(compras_mes2[[#This Row],[CUIT]],Lista_CUIT[#All],4,0)),"CUIT NO CARGADO")</f>
        <v>0</v>
      </c>
    </row>
    <row r="17" spans="2:18" x14ac:dyDescent="0.25">
      <c r="B17" s="451">
        <v>45691</v>
      </c>
      <c r="C17" s="452">
        <v>1</v>
      </c>
      <c r="D17" s="453">
        <v>501</v>
      </c>
      <c r="E17" s="454">
        <v>2027280</v>
      </c>
      <c r="F17" s="455">
        <v>30655116512</v>
      </c>
      <c r="G17" s="456" t="str">
        <f>IFERROR(IF(compras_mes2[[#This Row],[CUIT]]="","-",VLOOKUP(compras_mes2[[#This Row],[CUIT]],Lista_CUIT[#All],2,0)),"CUIT NO CARGADO")</f>
        <v>Empresa Distribuidora Sur S.A.</v>
      </c>
      <c r="H17" s="457">
        <v>263312.53999999998</v>
      </c>
      <c r="I17" s="458"/>
      <c r="J17" s="458">
        <f>compras_mes2[[#This Row],[NETO GRAVADO]]*0.27</f>
        <v>71094.385800000004</v>
      </c>
      <c r="K17" s="458"/>
      <c r="L17" s="458"/>
      <c r="M17" s="458"/>
      <c r="N17" s="458"/>
      <c r="O17" s="458">
        <v>16807.240000000002</v>
      </c>
      <c r="P17" s="459">
        <f>SUM(compras_mes2[[#This Row],[NETO GRAVADO]:[Otros / No Grav.]])</f>
        <v>351214.16579999996</v>
      </c>
      <c r="Q17" s="460" t="str">
        <f>IFERROR(IF(compras_mes2[[#This Row],[CUIT]]="","-",VLOOKUP(compras_mes2[[#This Row],[CUIT]],Lista_CUIT[#All],3,0)),"CUIT NO CARGADO")</f>
        <v>Servicios Gas, Luz, etc.</v>
      </c>
      <c r="R17" s="460">
        <f>IFERROR(IF(compras_mes2[[#This Row],[CUIT]]="","-",VLOOKUP(compras_mes2[[#This Row],[CUIT]],Lista_CUIT[#All],4,0)),"CUIT NO CARGADO")</f>
        <v>0</v>
      </c>
    </row>
    <row r="18" spans="2:18" x14ac:dyDescent="0.25">
      <c r="B18" s="451">
        <v>45691</v>
      </c>
      <c r="C18" s="452">
        <v>1</v>
      </c>
      <c r="D18" s="453">
        <v>501</v>
      </c>
      <c r="E18" s="454">
        <v>2027281</v>
      </c>
      <c r="F18" s="455">
        <v>30655116512</v>
      </c>
      <c r="G18" s="456" t="str">
        <f>IFERROR(IF(compras_mes2[[#This Row],[CUIT]]="","-",VLOOKUP(compras_mes2[[#This Row],[CUIT]],Lista_CUIT[#All],2,0)),"CUIT NO CARGADO")</f>
        <v>Empresa Distribuidora Sur S.A.</v>
      </c>
      <c r="H18" s="457">
        <v>100297.291015625</v>
      </c>
      <c r="I18" s="458"/>
      <c r="J18" s="458">
        <f>compras_mes2[[#This Row],[NETO GRAVADO]]*0.27</f>
        <v>27080.268574218753</v>
      </c>
      <c r="K18" s="458"/>
      <c r="L18" s="458">
        <v>3008.919921875</v>
      </c>
      <c r="M18" s="458"/>
      <c r="N18" s="458"/>
      <c r="O18" s="458">
        <v>6401.98</v>
      </c>
      <c r="P18" s="459">
        <f>SUM(compras_mes2[[#This Row],[NETO GRAVADO]:[Otros / No Grav.]])</f>
        <v>136788.45951171877</v>
      </c>
      <c r="Q18" s="460" t="str">
        <f>IFERROR(IF(compras_mes2[[#This Row],[CUIT]]="","-",VLOOKUP(compras_mes2[[#This Row],[CUIT]],Lista_CUIT[#All],3,0)),"CUIT NO CARGADO")</f>
        <v>Servicios Gas, Luz, etc.</v>
      </c>
      <c r="R18" s="460">
        <f>IFERROR(IF(compras_mes2[[#This Row],[CUIT]]="","-",VLOOKUP(compras_mes2[[#This Row],[CUIT]],Lista_CUIT[#All],4,0)),"CUIT NO CARGADO")</f>
        <v>0</v>
      </c>
    </row>
    <row r="19" spans="2:18" ht="14.45" customHeight="1" x14ac:dyDescent="0.25">
      <c r="B19" s="40" t="s">
        <v>2347</v>
      </c>
      <c r="C19" s="41">
        <v>1</v>
      </c>
      <c r="D19" s="285">
        <v>3</v>
      </c>
      <c r="E19" s="286">
        <v>29839</v>
      </c>
      <c r="F19" s="287">
        <v>33707953549</v>
      </c>
      <c r="G19" s="45" t="str">
        <f>IFERROR(IF(compras_mes2[[#This Row],[CUIT]]="","-",VLOOKUP(compras_mes2[[#This Row],[CUIT]],Lista_CUIT[#All],2,0)),"CUIT NO CARGADO")</f>
        <v>TELESMART</v>
      </c>
      <c r="H19" s="46">
        <v>19500</v>
      </c>
      <c r="I19" s="85">
        <f>IF(compras_mes2[[#This Row],[NETO GRAVADO]]="","",compras_mes2[[#This Row],[NETO GRAVADO]]*0.21)</f>
        <v>4095</v>
      </c>
      <c r="J19" s="85"/>
      <c r="K19" s="85"/>
      <c r="L19" s="85"/>
      <c r="M19" s="85"/>
      <c r="N19" s="85"/>
      <c r="O19" s="85"/>
      <c r="P19" s="48">
        <f>SUM(compras_mes2[[#This Row],[NETO GRAVADO]:[Otros / No Grav.]])</f>
        <v>23595</v>
      </c>
      <c r="Q19" s="49" t="str">
        <f>IFERROR(IF(compras_mes2[[#This Row],[CUIT]]="","-",VLOOKUP(compras_mes2[[#This Row],[CUIT]],Lista_CUIT[#All],3,0)),"CUIT NO CARGADO")</f>
        <v>Servicios Gas, Luz, etc.</v>
      </c>
      <c r="R19" s="49">
        <f>IFERROR(IF(compras_mes2[[#This Row],[CUIT]]="","-",VLOOKUP(compras_mes2[[#This Row],[CUIT]],Lista_CUIT[#All],4,0)),"CUIT NO CARGADO")</f>
        <v>0</v>
      </c>
    </row>
    <row r="20" spans="2:18" x14ac:dyDescent="0.25">
      <c r="B20" s="40" t="s">
        <v>2347</v>
      </c>
      <c r="C20" s="41">
        <v>1</v>
      </c>
      <c r="D20" s="285">
        <v>1</v>
      </c>
      <c r="E20" s="286">
        <v>152</v>
      </c>
      <c r="F20" s="287">
        <v>30716010313</v>
      </c>
      <c r="G20" s="45" t="str">
        <f>IFERROR(IF(compras_mes2[[#This Row],[CUIT]]="","-",VLOOKUP(compras_mes2[[#This Row],[CUIT]],Lista_CUIT[#All],2,0)),"CUIT NO CARGADO")</f>
        <v>H UNO 1469 S.A.</v>
      </c>
      <c r="H20" s="46">
        <v>500000</v>
      </c>
      <c r="I20" s="85">
        <f>IF(compras_mes2[[#This Row],[NETO GRAVADO]]="","",compras_mes2[[#This Row],[NETO GRAVADO]]*0.21)</f>
        <v>105000</v>
      </c>
      <c r="J20" s="85"/>
      <c r="K20" s="85"/>
      <c r="L20" s="85"/>
      <c r="M20" s="85"/>
      <c r="N20" s="85"/>
      <c r="O20" s="85"/>
      <c r="P20" s="48">
        <f>SUM(compras_mes2[[#This Row],[NETO GRAVADO]:[Otros / No Grav.]])</f>
        <v>605000</v>
      </c>
      <c r="Q20" s="49" t="str">
        <f>IFERROR(IF(compras_mes2[[#This Row],[CUIT]]="","-",VLOOKUP(compras_mes2[[#This Row],[CUIT]],Lista_CUIT[#All],3,0)),"CUIT NO CARGADO")</f>
        <v>Alquiler</v>
      </c>
      <c r="R20" s="49">
        <f>IFERROR(IF(compras_mes2[[#This Row],[CUIT]]="","-",VLOOKUP(compras_mes2[[#This Row],[CUIT]],Lista_CUIT[#All],4,0)),"CUIT NO CARGADO")</f>
        <v>0</v>
      </c>
    </row>
    <row r="21" spans="2:18" x14ac:dyDescent="0.25">
      <c r="B21" s="40" t="s">
        <v>2347</v>
      </c>
      <c r="C21" s="41">
        <v>1</v>
      </c>
      <c r="D21" s="285">
        <v>2</v>
      </c>
      <c r="E21" s="286">
        <v>293</v>
      </c>
      <c r="F21" s="287">
        <v>27309896063</v>
      </c>
      <c r="G21" s="45" t="str">
        <f>IFERROR(IF(compras_mes2[[#This Row],[CUIT]]="","-",VLOOKUP(compras_mes2[[#This Row],[CUIT]],Lista_CUIT[#All],2,0)),"CUIT NO CARGADO")</f>
        <v>BATTELLINI MARIA SOLEDAD</v>
      </c>
      <c r="H21" s="46">
        <v>550000</v>
      </c>
      <c r="I21" s="85">
        <f>IF(compras_mes2[[#This Row],[NETO GRAVADO]]="","",compras_mes2[[#This Row],[NETO GRAVADO]]*0.21)</f>
        <v>115500</v>
      </c>
      <c r="J21" s="85"/>
      <c r="K21" s="85"/>
      <c r="L21" s="85"/>
      <c r="M21" s="85"/>
      <c r="N21" s="85"/>
      <c r="O21" s="85"/>
      <c r="P21" s="48">
        <f>SUM(compras_mes2[[#This Row],[NETO GRAVADO]:[Otros / No Grav.]])</f>
        <v>665500</v>
      </c>
      <c r="Q21" s="49" t="str">
        <f>IFERROR(IF(compras_mes2[[#This Row],[CUIT]]="","-",VLOOKUP(compras_mes2[[#This Row],[CUIT]],Lista_CUIT[#All],3,0)),"CUIT NO CARGADO")</f>
        <v>Alquiler</v>
      </c>
      <c r="R21" s="49">
        <f>IFERROR(IF(compras_mes2[[#This Row],[CUIT]]="","-",VLOOKUP(compras_mes2[[#This Row],[CUIT]],Lista_CUIT[#All],4,0)),"CUIT NO CARGADO")</f>
        <v>0</v>
      </c>
    </row>
    <row r="22" spans="2:18" ht="14.45" customHeight="1" x14ac:dyDescent="0.25">
      <c r="B22" s="40" t="s">
        <v>2347</v>
      </c>
      <c r="C22" s="41">
        <v>1</v>
      </c>
      <c r="D22" s="285">
        <v>1</v>
      </c>
      <c r="E22" s="286">
        <v>585</v>
      </c>
      <c r="F22" s="287">
        <v>20131206144</v>
      </c>
      <c r="G22" s="45" t="str">
        <f>IFERROR(IF(compras_mes2[[#This Row],[CUIT]]="","-",VLOOKUP(compras_mes2[[#This Row],[CUIT]],Lista_CUIT[#All],2,0)),"CUIT NO CARGADO")</f>
        <v>CHAMORRO MANUEL</v>
      </c>
      <c r="H22" s="46">
        <v>1009489</v>
      </c>
      <c r="I22" s="85">
        <f>IF(compras_mes2[[#This Row],[NETO GRAVADO]]="","",compras_mes2[[#This Row],[NETO GRAVADO]]*0.21)</f>
        <v>211992.69</v>
      </c>
      <c r="J22" s="85"/>
      <c r="K22" s="85"/>
      <c r="L22" s="85"/>
      <c r="M22" s="85"/>
      <c r="N22" s="85"/>
      <c r="O22" s="85"/>
      <c r="P22" s="48">
        <f>SUM(compras_mes2[[#This Row],[NETO GRAVADO]:[Otros / No Grav.]])</f>
        <v>1221481.69</v>
      </c>
      <c r="Q22" s="49" t="str">
        <f>IFERROR(IF(compras_mes2[[#This Row],[CUIT]]="","-",VLOOKUP(compras_mes2[[#This Row],[CUIT]],Lista_CUIT[#All],3,0)),"CUIT NO CARGADO")</f>
        <v>Alquiler</v>
      </c>
      <c r="R22" s="49">
        <f>IFERROR(IF(compras_mes2[[#This Row],[CUIT]]="","-",VLOOKUP(compras_mes2[[#This Row],[CUIT]],Lista_CUIT[#All],4,0)),"CUIT NO CARGADO")</f>
        <v>0</v>
      </c>
    </row>
    <row r="23" spans="2:18" ht="14.45" customHeight="1" x14ac:dyDescent="0.25">
      <c r="B23" s="451">
        <v>45692</v>
      </c>
      <c r="C23" s="452">
        <v>1</v>
      </c>
      <c r="D23" s="453">
        <v>26</v>
      </c>
      <c r="E23" s="454">
        <v>49207834</v>
      </c>
      <c r="F23" s="455">
        <v>30655116202</v>
      </c>
      <c r="G23" s="456" t="str">
        <f>IFERROR(IF(compras_mes2[[#This Row],[CUIT]]="","-",VLOOKUP(compras_mes2[[#This Row],[CUIT]],Lista_CUIT[#All],2,0)),"CUIT NO CARGADO")</f>
        <v xml:space="preserve">EDENOR </v>
      </c>
      <c r="H23" s="457">
        <v>67216.671875</v>
      </c>
      <c r="I23" s="458"/>
      <c r="J23" s="458">
        <f>compras_mes2[[#This Row],[NETO GRAVADO]]*0.27</f>
        <v>18148.501406250001</v>
      </c>
      <c r="K23" s="458"/>
      <c r="L23" s="458">
        <v>11527.66015625</v>
      </c>
      <c r="M23" s="458"/>
      <c r="N23" s="458"/>
      <c r="O23" s="458"/>
      <c r="P23" s="459">
        <f>SUM(compras_mes2[[#This Row],[NETO GRAVADO]:[Otros / No Grav.]])</f>
        <v>96892.833437499998</v>
      </c>
      <c r="Q23" s="460" t="str">
        <f>IFERROR(IF(compras_mes2[[#This Row],[CUIT]]="","-",VLOOKUP(compras_mes2[[#This Row],[CUIT]],Lista_CUIT[#All],3,0)),"CUIT NO CARGADO")</f>
        <v>Servicios Gas, Luz, etc.</v>
      </c>
      <c r="R23" s="460">
        <f>IFERROR(IF(compras_mes2[[#This Row],[CUIT]]="","-",VLOOKUP(compras_mes2[[#This Row],[CUIT]],Lista_CUIT[#All],4,0)),"CUIT NO CARGADO")</f>
        <v>0</v>
      </c>
    </row>
    <row r="24" spans="2:18" ht="15" customHeight="1" x14ac:dyDescent="0.25">
      <c r="B24" s="40" t="s">
        <v>2351</v>
      </c>
      <c r="C24" s="41">
        <v>1</v>
      </c>
      <c r="D24" s="285">
        <v>8</v>
      </c>
      <c r="E24" s="286">
        <v>111</v>
      </c>
      <c r="F24" s="287">
        <v>20330222566</v>
      </c>
      <c r="G24" s="45" t="str">
        <f>IFERROR(IF(compras_mes2[[#This Row],[CUIT]]="","-",VLOOKUP(compras_mes2[[#This Row],[CUIT]],Lista_CUIT[#All],2,0)),"CUIT NO CARGADO")</f>
        <v>TECHSUPPLIES</v>
      </c>
      <c r="H24" s="46">
        <v>93739.67</v>
      </c>
      <c r="I24" s="85">
        <f>IF(compras_mes2[[#This Row],[NETO GRAVADO]]="","",compras_mes2[[#This Row],[NETO GRAVADO]]*0.21)</f>
        <v>19685.330699999999</v>
      </c>
      <c r="J24" s="85"/>
      <c r="K24" s="85"/>
      <c r="L24" s="85"/>
      <c r="M24" s="85"/>
      <c r="N24" s="85"/>
      <c r="O24" s="85"/>
      <c r="P24" s="48">
        <f>SUM(compras_mes2[[#This Row],[NETO GRAVADO]:[Otros / No Grav.]])</f>
        <v>113425.0007</v>
      </c>
      <c r="Q24" s="49" t="str">
        <f>IFERROR(IF(compras_mes2[[#This Row],[CUIT]]="","-",VLOOKUP(compras_mes2[[#This Row],[CUIT]],Lista_CUIT[#All],3,0)),"CUIT NO CARGADO")</f>
        <v>Librería</v>
      </c>
      <c r="R24" s="49">
        <f>IFERROR(IF(compras_mes2[[#This Row],[CUIT]]="","-",VLOOKUP(compras_mes2[[#This Row],[CUIT]],Lista_CUIT[#All],4,0)),"CUIT NO CARGADO")</f>
        <v>0</v>
      </c>
    </row>
    <row r="25" spans="2:18" ht="15" customHeight="1" x14ac:dyDescent="0.25">
      <c r="B25" s="40" t="s">
        <v>2362</v>
      </c>
      <c r="C25" s="41">
        <v>1</v>
      </c>
      <c r="D25" s="285">
        <v>700</v>
      </c>
      <c r="E25" s="286">
        <v>2249015</v>
      </c>
      <c r="F25" s="287">
        <v>30715804812</v>
      </c>
      <c r="G25" s="45" t="str">
        <f>IFERROR(IF(compras_mes2[[#This Row],[CUIT]]="","-",VLOOKUP(compras_mes2[[#This Row],[CUIT]],Lista_CUIT[#All],2,0)),"CUIT NO CARGADO")</f>
        <v>CORREDORES VIALES SOCIEDAD ANONIMA</v>
      </c>
      <c r="H25" s="46">
        <v>8111.83</v>
      </c>
      <c r="I25" s="85">
        <f>IF(compras_mes2[[#This Row],[NETO GRAVADO]]="","",compras_mes2[[#This Row],[NETO GRAVADO]]*0.21)</f>
        <v>1703.4842999999998</v>
      </c>
      <c r="J25" s="85"/>
      <c r="K25" s="85"/>
      <c r="L25" s="85"/>
      <c r="M25" s="85"/>
      <c r="N25" s="85"/>
      <c r="O25" s="85"/>
      <c r="P25" s="48">
        <f>SUM(compras_mes2[[#This Row],[NETO GRAVADO]:[Otros / No Grav.]])</f>
        <v>9815.3143</v>
      </c>
      <c r="Q25" s="49" t="str">
        <f>IFERROR(IF(compras_mes2[[#This Row],[CUIT]]="","-",VLOOKUP(compras_mes2[[#This Row],[CUIT]],Lista_CUIT[#All],3,0)),"CUIT NO CARGADO")</f>
        <v>Peajes</v>
      </c>
      <c r="R25" s="49">
        <f>IFERROR(IF(compras_mes2[[#This Row],[CUIT]]="","-",VLOOKUP(compras_mes2[[#This Row],[CUIT]],Lista_CUIT[#All],4,0)),"CUIT NO CARGADO")</f>
        <v>0</v>
      </c>
    </row>
    <row r="26" spans="2:18" ht="15" customHeight="1" x14ac:dyDescent="0.25">
      <c r="B26" s="40" t="s">
        <v>2362</v>
      </c>
      <c r="C26" s="41">
        <v>1</v>
      </c>
      <c r="D26" s="285">
        <v>63</v>
      </c>
      <c r="E26" s="286">
        <v>3171692</v>
      </c>
      <c r="F26" s="287">
        <v>30640897267</v>
      </c>
      <c r="G26" s="45" t="str">
        <f>IFERROR(IF(compras_mes2[[#This Row],[CUIT]]="","-",VLOOKUP(compras_mes2[[#This Row],[CUIT]],Lista_CUIT[#All],2,0)),"CUIT NO CARGADO")</f>
        <v>TELECENTRO S.A.</v>
      </c>
      <c r="H26" s="46">
        <v>58457.599999999999</v>
      </c>
      <c r="I26" s="85">
        <f>IF(compras_mes2[[#This Row],[NETO GRAVADO]]="","",compras_mes2[[#This Row],[NETO GRAVADO]]*0.21)</f>
        <v>12276.096</v>
      </c>
      <c r="J26" s="85"/>
      <c r="K26" s="85"/>
      <c r="L26" s="85">
        <v>1753.73</v>
      </c>
      <c r="M26" s="85"/>
      <c r="N26" s="85">
        <v>3507.46</v>
      </c>
      <c r="O26" s="85"/>
      <c r="P26" s="48">
        <f>SUM(compras_mes2[[#This Row],[NETO GRAVADO]:[Otros / No Grav.]])</f>
        <v>75994.885999999999</v>
      </c>
      <c r="Q26" s="49" t="str">
        <f>IFERROR(IF(compras_mes2[[#This Row],[CUIT]]="","-",VLOOKUP(compras_mes2[[#This Row],[CUIT]],Lista_CUIT[#All],3,0)),"CUIT NO CARGADO")</f>
        <v>Servicios Gas, Luz, etc.</v>
      </c>
      <c r="R26" s="49">
        <f>IFERROR(IF(compras_mes2[[#This Row],[CUIT]]="","-",VLOOKUP(compras_mes2[[#This Row],[CUIT]],Lista_CUIT[#All],4,0)),"CUIT NO CARGADO")</f>
        <v>0</v>
      </c>
    </row>
    <row r="27" spans="2:18" ht="15" customHeight="1" x14ac:dyDescent="0.25">
      <c r="B27" s="40" t="s">
        <v>2362</v>
      </c>
      <c r="C27" s="41">
        <v>1</v>
      </c>
      <c r="D27" s="285">
        <v>63</v>
      </c>
      <c r="E27" s="286">
        <v>3172765</v>
      </c>
      <c r="F27" s="287">
        <v>30640897267</v>
      </c>
      <c r="G27" s="45" t="str">
        <f>IFERROR(IF(compras_mes2[[#This Row],[CUIT]]="","-",VLOOKUP(compras_mes2[[#This Row],[CUIT]],Lista_CUIT[#All],2,0)),"CUIT NO CARGADO")</f>
        <v>TELECENTRO S.A.</v>
      </c>
      <c r="H27" s="46">
        <v>58457.599999999999</v>
      </c>
      <c r="I27" s="85">
        <f>IF(compras_mes2[[#This Row],[NETO GRAVADO]]="","",compras_mes2[[#This Row],[NETO GRAVADO]]*0.21)</f>
        <v>12276.096</v>
      </c>
      <c r="J27" s="85"/>
      <c r="K27" s="85"/>
      <c r="L27" s="85">
        <v>1753.73</v>
      </c>
      <c r="M27" s="85"/>
      <c r="N27" s="85">
        <v>3507.46</v>
      </c>
      <c r="O27" s="85"/>
      <c r="P27" s="48">
        <f>SUM(compras_mes2[[#This Row],[NETO GRAVADO]:[Otros / No Grav.]])</f>
        <v>75994.885999999999</v>
      </c>
      <c r="Q27" s="49" t="str">
        <f>IFERROR(IF(compras_mes2[[#This Row],[CUIT]]="","-",VLOOKUP(compras_mes2[[#This Row],[CUIT]],Lista_CUIT[#All],3,0)),"CUIT NO CARGADO")</f>
        <v>Servicios Gas, Luz, etc.</v>
      </c>
      <c r="R27" s="49">
        <f>IFERROR(IF(compras_mes2[[#This Row],[CUIT]]="","-",VLOOKUP(compras_mes2[[#This Row],[CUIT]],Lista_CUIT[#All],4,0)),"CUIT NO CARGADO")</f>
        <v>0</v>
      </c>
    </row>
    <row r="28" spans="2:18" ht="15" customHeight="1" x14ac:dyDescent="0.25">
      <c r="B28" s="40" t="s">
        <v>2362</v>
      </c>
      <c r="C28" s="41">
        <v>1</v>
      </c>
      <c r="D28" s="285">
        <v>1</v>
      </c>
      <c r="E28" s="286">
        <v>27</v>
      </c>
      <c r="F28" s="287">
        <v>30717504824</v>
      </c>
      <c r="G28" s="45" t="str">
        <f>IFERROR(IF(compras_mes2[[#This Row],[CUIT]]="","-",VLOOKUP(compras_mes2[[#This Row],[CUIT]],Lista_CUIT[#All],2,0)),"CUIT NO CARGADO")</f>
        <v>FIDEICOMISO MAMBA</v>
      </c>
      <c r="H28" s="46">
        <v>2722714.95</v>
      </c>
      <c r="I28" s="85"/>
      <c r="J28" s="85"/>
      <c r="K28" s="85">
        <f>compras_mes2[[#This Row],[NETO GRAVADO]]*0.105</f>
        <v>285885.06975000002</v>
      </c>
      <c r="L28" s="85"/>
      <c r="M28" s="85"/>
      <c r="N28" s="85"/>
      <c r="O28" s="85"/>
      <c r="P28" s="48">
        <f>SUM(compras_mes2[[#This Row],[NETO GRAVADO]:[Otros / No Grav.]])</f>
        <v>3008600.01975</v>
      </c>
      <c r="Q28" s="49" t="str">
        <f>IFERROR(IF(compras_mes2[[#This Row],[CUIT]]="","-",VLOOKUP(compras_mes2[[#This Row],[CUIT]],Lista_CUIT[#All],3,0)),"CUIT NO CARGADO")</f>
        <v>MANTENIMIENTO</v>
      </c>
      <c r="R28" s="49">
        <f>IFERROR(IF(compras_mes2[[#This Row],[CUIT]]="","-",VLOOKUP(compras_mes2[[#This Row],[CUIT]],Lista_CUIT[#All],4,0)),"CUIT NO CARGADO")</f>
        <v>0</v>
      </c>
    </row>
    <row r="29" spans="2:18" x14ac:dyDescent="0.25">
      <c r="B29" s="40" t="s">
        <v>2369</v>
      </c>
      <c r="C29" s="41">
        <v>1</v>
      </c>
      <c r="D29" s="285">
        <v>8</v>
      </c>
      <c r="E29" s="286">
        <v>3625</v>
      </c>
      <c r="F29" s="287">
        <v>20348424026</v>
      </c>
      <c r="G29" s="45" t="str">
        <f>IFERROR(IF(compras_mes2[[#This Row],[CUIT]]="","-",VLOOKUP(compras_mes2[[#This Row],[CUIT]],Lista_CUIT[#All],2,0)),"CUIT NO CARGADO")</f>
        <v>ALEXANDER DOUGLAS DROT DE GOURVILLE</v>
      </c>
      <c r="H29" s="46">
        <v>17520.66</v>
      </c>
      <c r="I29" s="85">
        <f>IF(compras_mes2[[#This Row],[NETO GRAVADO]]="","",compras_mes2[[#This Row],[NETO GRAVADO]]*0.21)</f>
        <v>3679.3386</v>
      </c>
      <c r="J29" s="85"/>
      <c r="K29" s="85"/>
      <c r="L29" s="85"/>
      <c r="M29" s="85"/>
      <c r="N29" s="85"/>
      <c r="O29" s="85"/>
      <c r="P29" s="48">
        <f>SUM(compras_mes2[[#This Row],[NETO GRAVADO]:[Otros / No Grav.]])</f>
        <v>21199.998599999999</v>
      </c>
      <c r="Q29" s="49" t="str">
        <f>IFERROR(IF(compras_mes2[[#This Row],[CUIT]]="","-",VLOOKUP(compras_mes2[[#This Row],[CUIT]],Lista_CUIT[#All],3,0)),"CUIT NO CARGADO")</f>
        <v xml:space="preserve"> Gastos Limpieza</v>
      </c>
      <c r="R29" s="49">
        <f>IFERROR(IF(compras_mes2[[#This Row],[CUIT]]="","-",VLOOKUP(compras_mes2[[#This Row],[CUIT]],Lista_CUIT[#All],4,0)),"CUIT NO CARGADO")</f>
        <v>0</v>
      </c>
    </row>
    <row r="30" spans="2:18" x14ac:dyDescent="0.25">
      <c r="B30" s="40" t="s">
        <v>2348</v>
      </c>
      <c r="C30" s="41">
        <v>1</v>
      </c>
      <c r="D30" s="285">
        <v>2</v>
      </c>
      <c r="E30" s="286">
        <v>2865</v>
      </c>
      <c r="F30" s="287">
        <v>30715811622</v>
      </c>
      <c r="G30" s="45" t="str">
        <f>IFERROR(IF(compras_mes2[[#This Row],[CUIT]]="","-",VLOOKUP(compras_mes2[[#This Row],[CUIT]],Lista_CUIT[#All],2,0)),"CUIT NO CARGADO")</f>
        <v>VTEC SRL</v>
      </c>
      <c r="H30" s="46">
        <v>732728.94</v>
      </c>
      <c r="I30" s="85">
        <f>IF(compras_mes2[[#This Row],[NETO GRAVADO]]="","",compras_mes2[[#This Row],[NETO GRAVADO]]*0.21)</f>
        <v>153873.07739999998</v>
      </c>
      <c r="J30" s="85"/>
      <c r="K30" s="85"/>
      <c r="L30" s="85"/>
      <c r="M30" s="85"/>
      <c r="N30" s="85"/>
      <c r="O30" s="85"/>
      <c r="P30" s="48">
        <f>SUM(compras_mes2[[#This Row],[NETO GRAVADO]:[Otros / No Grav.]])</f>
        <v>886602.0173999999</v>
      </c>
      <c r="Q30" s="49" t="str">
        <f>IFERROR(IF(compras_mes2[[#This Row],[CUIT]]="","-",VLOOKUP(compras_mes2[[#This Row],[CUIT]],Lista_CUIT[#All],3,0)),"CUIT NO CARGADO")</f>
        <v>Productos Venta</v>
      </c>
      <c r="R30" s="49">
        <f>IFERROR(IF(compras_mes2[[#This Row],[CUIT]]="","-",VLOOKUP(compras_mes2[[#This Row],[CUIT]],Lista_CUIT[#All],4,0)),"CUIT NO CARGADO")</f>
        <v>0</v>
      </c>
    </row>
    <row r="31" spans="2:18" x14ac:dyDescent="0.25">
      <c r="B31" s="40" t="s">
        <v>2348</v>
      </c>
      <c r="C31" s="41">
        <v>1</v>
      </c>
      <c r="D31" s="285">
        <v>5</v>
      </c>
      <c r="E31" s="286">
        <v>28353</v>
      </c>
      <c r="F31" s="287">
        <v>20366883879</v>
      </c>
      <c r="G31" s="45" t="str">
        <f>IFERROR(IF(compras_mes2[[#This Row],[CUIT]]="","-",VLOOKUP(compras_mes2[[#This Row],[CUIT]],Lista_CUIT[#All],2,0)),"CUIT NO CARGADO")</f>
        <v>VACCARI DARIO</v>
      </c>
      <c r="H31" s="46">
        <v>105544</v>
      </c>
      <c r="I31" s="85">
        <f>IF(compras_mes2[[#This Row],[NETO GRAVADO]]="","",compras_mes2[[#This Row],[NETO GRAVADO]]*0.21)</f>
        <v>22164.239999999998</v>
      </c>
      <c r="J31" s="85"/>
      <c r="K31" s="85"/>
      <c r="L31" s="85"/>
      <c r="M31" s="85"/>
      <c r="N31" s="85"/>
      <c r="O31" s="85"/>
      <c r="P31" s="48">
        <f>SUM(compras_mes2[[#This Row],[NETO GRAVADO]:[Otros / No Grav.]])</f>
        <v>127708.23999999999</v>
      </c>
      <c r="Q31" s="49" t="str">
        <f>IFERROR(IF(compras_mes2[[#This Row],[CUIT]]="","-",VLOOKUP(compras_mes2[[#This Row],[CUIT]],Lista_CUIT[#All],3,0)),"CUIT NO CARGADO")</f>
        <v>Muebles y Utiles</v>
      </c>
      <c r="R31" s="49">
        <f>IFERROR(IF(compras_mes2[[#This Row],[CUIT]]="","-",VLOOKUP(compras_mes2[[#This Row],[CUIT]],Lista_CUIT[#All],4,0)),"CUIT NO CARGADO")</f>
        <v>0</v>
      </c>
    </row>
    <row r="32" spans="2:18" x14ac:dyDescent="0.25">
      <c r="B32" s="40" t="s">
        <v>2348</v>
      </c>
      <c r="C32" s="41">
        <v>1</v>
      </c>
      <c r="D32" s="285">
        <v>5</v>
      </c>
      <c r="E32" s="286">
        <v>28354</v>
      </c>
      <c r="F32" s="287">
        <v>20366883879</v>
      </c>
      <c r="G32" s="45" t="str">
        <f>IFERROR(IF(compras_mes2[[#This Row],[CUIT]]="","-",VLOOKUP(compras_mes2[[#This Row],[CUIT]],Lista_CUIT[#All],2,0)),"CUIT NO CARGADO")</f>
        <v>VACCARI DARIO</v>
      </c>
      <c r="H32" s="46">
        <v>105544</v>
      </c>
      <c r="I32" s="85">
        <f>IF(compras_mes2[[#This Row],[NETO GRAVADO]]="","",compras_mes2[[#This Row],[NETO GRAVADO]]*0.21)</f>
        <v>22164.239999999998</v>
      </c>
      <c r="J32" s="85"/>
      <c r="K32" s="85"/>
      <c r="L32" s="85"/>
      <c r="M32" s="85"/>
      <c r="N32" s="85"/>
      <c r="O32" s="85"/>
      <c r="P32" s="48">
        <f>SUM(compras_mes2[[#This Row],[NETO GRAVADO]:[Otros / No Grav.]])</f>
        <v>127708.23999999999</v>
      </c>
      <c r="Q32" s="49" t="str">
        <f>IFERROR(IF(compras_mes2[[#This Row],[CUIT]]="","-",VLOOKUP(compras_mes2[[#This Row],[CUIT]],Lista_CUIT[#All],3,0)),"CUIT NO CARGADO")</f>
        <v>Muebles y Utiles</v>
      </c>
      <c r="R32" s="49">
        <f>IFERROR(IF(compras_mes2[[#This Row],[CUIT]]="","-",VLOOKUP(compras_mes2[[#This Row],[CUIT]],Lista_CUIT[#All],4,0)),"CUIT NO CARGADO")</f>
        <v>0</v>
      </c>
    </row>
    <row r="33" spans="2:18" x14ac:dyDescent="0.25">
      <c r="B33" s="40">
        <v>45695</v>
      </c>
      <c r="C33" s="41">
        <v>1</v>
      </c>
      <c r="D33" s="285">
        <v>14</v>
      </c>
      <c r="E33" s="286">
        <v>34417</v>
      </c>
      <c r="F33" s="287">
        <v>30647082293</v>
      </c>
      <c r="G33" s="45" t="str">
        <f>IFERROR(IF(compras_mes2[[#This Row],[CUIT]]="","-",VLOOKUP(compras_mes2[[#This Row],[CUIT]],Lista_CUIT[#All],2,0)),"CUIT NO CARGADO")</f>
        <v>CHARATA SRL</v>
      </c>
      <c r="H33" s="46">
        <v>52519.1</v>
      </c>
      <c r="I33" s="85">
        <f>IF(compras_mes2[[#This Row],[NETO GRAVADO]]="","",compras_mes2[[#This Row],[NETO GRAVADO]]*0.21)</f>
        <v>11029.010999999999</v>
      </c>
      <c r="J33" s="85"/>
      <c r="K33" s="85"/>
      <c r="L33" s="85"/>
      <c r="M33" s="85"/>
      <c r="N33" s="85"/>
      <c r="O33" s="85">
        <v>14903.82</v>
      </c>
      <c r="P33" s="48">
        <f>SUM(compras_mes2[[#This Row],[NETO GRAVADO]:[Otros / No Grav.]])</f>
        <v>78451.930999999997</v>
      </c>
      <c r="Q33" s="49" t="str">
        <f>IFERROR(IF(compras_mes2[[#This Row],[CUIT]]="","-",VLOOKUP(compras_mes2[[#This Row],[CUIT]],Lista_CUIT[#All],3,0)),"CUIT NO CARGADO")</f>
        <v>Combustible</v>
      </c>
      <c r="R33" s="49">
        <f>IFERROR(IF(compras_mes2[[#This Row],[CUIT]]="","-",VLOOKUP(compras_mes2[[#This Row],[CUIT]],Lista_CUIT[#All],4,0)),"CUIT NO CARGADO")</f>
        <v>0</v>
      </c>
    </row>
    <row r="34" spans="2:18" x14ac:dyDescent="0.25">
      <c r="B34" s="40" t="s">
        <v>2364</v>
      </c>
      <c r="C34" s="41">
        <v>1</v>
      </c>
      <c r="D34" s="285">
        <v>14</v>
      </c>
      <c r="E34" s="286">
        <v>16052</v>
      </c>
      <c r="F34" s="287">
        <v>30715186256</v>
      </c>
      <c r="G34" s="45" t="str">
        <f>IFERROR(IF(compras_mes2[[#This Row],[CUIT]]="","-",VLOOKUP(compras_mes2[[#This Row],[CUIT]],Lista_CUIT[#All],2,0)),"CUIT NO CARGADO")</f>
        <v>FRIGORIFICO ALIMENTIC</v>
      </c>
      <c r="H34" s="46">
        <v>172610.89</v>
      </c>
      <c r="I34" s="85">
        <v>4142.03</v>
      </c>
      <c r="J34" s="85"/>
      <c r="K34" s="85">
        <v>16053.13</v>
      </c>
      <c r="L34" s="85"/>
      <c r="M34" s="85"/>
      <c r="N34" s="85"/>
      <c r="O34" s="85"/>
      <c r="P34" s="48">
        <f>SUM(compras_mes2[[#This Row],[NETO GRAVADO]:[Otros / No Grav.]])</f>
        <v>192806.05000000002</v>
      </c>
      <c r="Q34" s="49" t="str">
        <f>IFERROR(IF(compras_mes2[[#This Row],[CUIT]]="","-",VLOOKUP(compras_mes2[[#This Row],[CUIT]],Lista_CUIT[#All],3,0)),"CUIT NO CARGADO")</f>
        <v>Gastos Comercializacion - Feria</v>
      </c>
      <c r="R34" s="49">
        <f>IFERROR(IF(compras_mes2[[#This Row],[CUIT]]="","-",VLOOKUP(compras_mes2[[#This Row],[CUIT]],Lista_CUIT[#All],4,0)),"CUIT NO CARGADO")</f>
        <v>0</v>
      </c>
    </row>
    <row r="35" spans="2:18" x14ac:dyDescent="0.25">
      <c r="B35" s="40" t="s">
        <v>2364</v>
      </c>
      <c r="C35" s="41">
        <v>1</v>
      </c>
      <c r="D35" s="285">
        <v>2084</v>
      </c>
      <c r="E35" s="286">
        <v>27310</v>
      </c>
      <c r="F35" s="287">
        <v>30548083156</v>
      </c>
      <c r="G35" s="45" t="str">
        <f>IFERROR(IF(compras_mes2[[#This Row],[CUIT]]="","-",VLOOKUP(compras_mes2[[#This Row],[CUIT]],Lista_CUIT[#All],2,0)),"CUIT NO CARGADO")</f>
        <v>COTO CENTRO INTEGRAL DE COMERCIALIZACION SOCIEDAD ANONIMA</v>
      </c>
      <c r="H35" s="46">
        <v>51799.27</v>
      </c>
      <c r="I35" s="85">
        <v>10210.950000000001</v>
      </c>
      <c r="J35" s="85"/>
      <c r="K35" s="85">
        <v>333.45</v>
      </c>
      <c r="L35" s="85"/>
      <c r="M35" s="85"/>
      <c r="N35" s="85"/>
      <c r="O35" s="85">
        <v>4289.6499999999996</v>
      </c>
      <c r="P35" s="48">
        <f>SUM(compras_mes2[[#This Row],[NETO GRAVADO]:[Otros / No Grav.]])</f>
        <v>66633.319999999992</v>
      </c>
      <c r="Q35" s="49" t="str">
        <f>IFERROR(IF(compras_mes2[[#This Row],[CUIT]]="","-",VLOOKUP(compras_mes2[[#This Row],[CUIT]],Lista_CUIT[#All],3,0)),"CUIT NO CARGADO")</f>
        <v>Gastos Varios</v>
      </c>
      <c r="R35" s="49">
        <f>IFERROR(IF(compras_mes2[[#This Row],[CUIT]]="","-",VLOOKUP(compras_mes2[[#This Row],[CUIT]],Lista_CUIT[#All],4,0)),"CUIT NO CARGADO")</f>
        <v>0</v>
      </c>
    </row>
    <row r="36" spans="2:18" s="56" customFormat="1" ht="18.600000000000001" customHeight="1" x14ac:dyDescent="0.25">
      <c r="B36" s="40" t="s">
        <v>2364</v>
      </c>
      <c r="C36" s="41">
        <v>1</v>
      </c>
      <c r="D36" s="285">
        <v>5015</v>
      </c>
      <c r="E36" s="286">
        <v>745745</v>
      </c>
      <c r="F36" s="287">
        <v>30574876474</v>
      </c>
      <c r="G36" s="45" t="str">
        <f>IFERROR(IF(compras_mes2[[#This Row],[CUIT]]="","-",VLOOKUP(compras_mes2[[#This Row],[CUIT]],Lista_CUIT[#All],2,0)),"CUIT NO CARGADO")</f>
        <v>AUTOPISTAS URBANAS S A</v>
      </c>
      <c r="H36" s="46">
        <v>45405.7</v>
      </c>
      <c r="I36" s="85">
        <f>IF(compras_mes2[[#This Row],[NETO GRAVADO]]="","",compras_mes2[[#This Row],[NETO GRAVADO]]*0.21)</f>
        <v>9535.1969999999983</v>
      </c>
      <c r="J36" s="85"/>
      <c r="K36" s="85"/>
      <c r="L36" s="85"/>
      <c r="M36" s="85"/>
      <c r="N36" s="85"/>
      <c r="O36" s="85">
        <v>5902.74</v>
      </c>
      <c r="P36" s="48">
        <f>SUM(compras_mes2[[#This Row],[NETO GRAVADO]:[Otros / No Grav.]])</f>
        <v>60843.636999999995</v>
      </c>
      <c r="Q36" s="49" t="str">
        <f>IFERROR(IF(compras_mes2[[#This Row],[CUIT]]="","-",VLOOKUP(compras_mes2[[#This Row],[CUIT]],Lista_CUIT[#All],3,0)),"CUIT NO CARGADO")</f>
        <v>Peajes</v>
      </c>
      <c r="R36" s="49">
        <f>IFERROR(IF(compras_mes2[[#This Row],[CUIT]]="","-",VLOOKUP(compras_mes2[[#This Row],[CUIT]],Lista_CUIT[#All],4,0)),"CUIT NO CARGADO")</f>
        <v>0</v>
      </c>
    </row>
    <row r="37" spans="2:18" x14ac:dyDescent="0.25">
      <c r="B37" s="40" t="s">
        <v>2364</v>
      </c>
      <c r="C37" s="41">
        <v>1</v>
      </c>
      <c r="D37" s="285">
        <v>711</v>
      </c>
      <c r="E37" s="286">
        <v>6698530</v>
      </c>
      <c r="F37" s="287">
        <v>30677237119</v>
      </c>
      <c r="G37" s="45" t="str">
        <f>IFERROR(IF(compras_mes2[[#This Row],[CUIT]]="","-",VLOOKUP(compras_mes2[[#This Row],[CUIT]],Lista_CUIT[#All],2,0)),"CUIT NO CARGADO")</f>
        <v>AUTOPISTAS DEL SOL S A</v>
      </c>
      <c r="H37" s="46">
        <v>9186.42</v>
      </c>
      <c r="I37" s="85">
        <f>IF(compras_mes2[[#This Row],[NETO GRAVADO]]="","",compras_mes2[[#This Row],[NETO GRAVADO]]*0.21)</f>
        <v>1929.1481999999999</v>
      </c>
      <c r="J37" s="85"/>
      <c r="K37" s="85"/>
      <c r="L37" s="85">
        <v>275.58999999999997</v>
      </c>
      <c r="M37" s="85"/>
      <c r="N37" s="85"/>
      <c r="O37" s="85">
        <v>275.58999999999997</v>
      </c>
      <c r="P37" s="48">
        <f>SUM(compras_mes2[[#This Row],[NETO GRAVADO]:[Otros / No Grav.]])</f>
        <v>11666.7482</v>
      </c>
      <c r="Q37" s="49" t="str">
        <f>IFERROR(IF(compras_mes2[[#This Row],[CUIT]]="","-",VLOOKUP(compras_mes2[[#This Row],[CUIT]],Lista_CUIT[#All],3,0)),"CUIT NO CARGADO")</f>
        <v>Peajes</v>
      </c>
      <c r="R37" s="49">
        <f>IFERROR(IF(compras_mes2[[#This Row],[CUIT]]="","-",VLOOKUP(compras_mes2[[#This Row],[CUIT]],Lista_CUIT[#All],4,0)),"CUIT NO CARGADO")</f>
        <v>0</v>
      </c>
    </row>
    <row r="38" spans="2:18" x14ac:dyDescent="0.25">
      <c r="B38" s="40">
        <v>45696</v>
      </c>
      <c r="C38" s="41">
        <v>1</v>
      </c>
      <c r="D38" s="285">
        <v>12</v>
      </c>
      <c r="E38" s="286">
        <v>58181</v>
      </c>
      <c r="F38" s="287">
        <v>30696131003</v>
      </c>
      <c r="G38" s="45" t="str">
        <f>IFERROR(IF(compras_mes2[[#This Row],[CUIT]]="","-",VLOOKUP(compras_mes2[[#This Row],[CUIT]],Lista_CUIT[#All],2,0)),"CUIT NO CARGADO")</f>
        <v>Petrolfe S.A.</v>
      </c>
      <c r="H38" s="46">
        <v>99574.71</v>
      </c>
      <c r="I38" s="85">
        <f>IF(compras_mes2[[#This Row],[NETO GRAVADO]]="","",compras_mes2[[#This Row],[NETO GRAVADO]]*0.21)</f>
        <v>20910.6891</v>
      </c>
      <c r="J38" s="85"/>
      <c r="K38" s="85"/>
      <c r="L38" s="85"/>
      <c r="M38" s="85"/>
      <c r="N38" s="85"/>
      <c r="O38" s="85">
        <v>34875.279999999999</v>
      </c>
      <c r="P38" s="48">
        <f>SUM(compras_mes2[[#This Row],[NETO GRAVADO]:[Otros / No Grav.]])</f>
        <v>155360.67910000001</v>
      </c>
      <c r="Q38" s="49" t="str">
        <f>IFERROR(IF(compras_mes2[[#This Row],[CUIT]]="","-",VLOOKUP(compras_mes2[[#This Row],[CUIT]],Lista_CUIT[#All],3,0)),"CUIT NO CARGADO")</f>
        <v>Combustible</v>
      </c>
      <c r="R38" s="49">
        <f>IFERROR(IF(compras_mes2[[#This Row],[CUIT]]="","-",VLOOKUP(compras_mes2[[#This Row],[CUIT]],Lista_CUIT[#All],4,0)),"CUIT NO CARGADO")</f>
        <v>0</v>
      </c>
    </row>
    <row r="39" spans="2:18" x14ac:dyDescent="0.25">
      <c r="B39" s="40" t="s">
        <v>2365</v>
      </c>
      <c r="C39" s="41">
        <v>1</v>
      </c>
      <c r="D39" s="285">
        <v>2215</v>
      </c>
      <c r="E39" s="286">
        <v>51306</v>
      </c>
      <c r="F39" s="287">
        <v>30548083156</v>
      </c>
      <c r="G39" s="45" t="str">
        <f>IFERROR(IF(compras_mes2[[#This Row],[CUIT]]="","-",VLOOKUP(compras_mes2[[#This Row],[CUIT]],Lista_CUIT[#All],2,0)),"CUIT NO CARGADO")</f>
        <v>COTO CENTRO INTEGRAL DE COMERCIALIZACION SOCIEDAD ANONIMA</v>
      </c>
      <c r="H39" s="46">
        <v>94361.53</v>
      </c>
      <c r="I39" s="85">
        <v>18409.439999999999</v>
      </c>
      <c r="J39" s="85"/>
      <c r="K39" s="85">
        <v>703.24</v>
      </c>
      <c r="L39" s="85"/>
      <c r="M39" s="85"/>
      <c r="N39" s="85"/>
      <c r="O39" s="85">
        <v>7951.97</v>
      </c>
      <c r="P39" s="48">
        <f>SUM(compras_mes2[[#This Row],[NETO GRAVADO]:[Otros / No Grav.]])</f>
        <v>121426.18000000001</v>
      </c>
      <c r="Q39" s="49" t="str">
        <f>IFERROR(IF(compras_mes2[[#This Row],[CUIT]]="","-",VLOOKUP(compras_mes2[[#This Row],[CUIT]],Lista_CUIT[#All],3,0)),"CUIT NO CARGADO")</f>
        <v>Gastos Varios</v>
      </c>
      <c r="R39" s="49">
        <f>IFERROR(IF(compras_mes2[[#This Row],[CUIT]]="","-",VLOOKUP(compras_mes2[[#This Row],[CUIT]],Lista_CUIT[#All],4,0)),"CUIT NO CARGADO")</f>
        <v>0</v>
      </c>
    </row>
    <row r="40" spans="2:18" x14ac:dyDescent="0.25">
      <c r="B40" s="40" t="s">
        <v>2365</v>
      </c>
      <c r="C40" s="41">
        <v>1</v>
      </c>
      <c r="D40" s="285">
        <v>3101</v>
      </c>
      <c r="E40" s="286">
        <v>264469</v>
      </c>
      <c r="F40" s="287">
        <v>30678814357</v>
      </c>
      <c r="G40" s="45" t="str">
        <f>IFERROR(IF(compras_mes2[[#This Row],[CUIT]]="","-",VLOOKUP(compras_mes2[[#This Row],[CUIT]],Lista_CUIT[#All],2,0)),"CUIT NO CARGADO")</f>
        <v>TELEFONICA MOVILES ARG</v>
      </c>
      <c r="H40" s="46">
        <v>16370.23</v>
      </c>
      <c r="I40" s="85"/>
      <c r="J40" s="85">
        <f>compras_mes2[[#This Row],[NETO GRAVADO]]*0.27</f>
        <v>4419.9620999999997</v>
      </c>
      <c r="K40" s="85"/>
      <c r="L40" s="85">
        <v>491.11</v>
      </c>
      <c r="M40" s="85"/>
      <c r="N40" s="85">
        <v>982.21</v>
      </c>
      <c r="O40" s="85"/>
      <c r="P40" s="48">
        <f>SUM(compras_mes2[[#This Row],[NETO GRAVADO]:[Otros / No Grav.]])</f>
        <v>22263.5121</v>
      </c>
      <c r="Q40" s="49" t="str">
        <f>IFERROR(IF(compras_mes2[[#This Row],[CUIT]]="","-",VLOOKUP(compras_mes2[[#This Row],[CUIT]],Lista_CUIT[#All],3,0)),"CUIT NO CARGADO")</f>
        <v>Servicios Gas, Luz, etc.</v>
      </c>
      <c r="R40" s="49">
        <f>IFERROR(IF(compras_mes2[[#This Row],[CUIT]]="","-",VLOOKUP(compras_mes2[[#This Row],[CUIT]],Lista_CUIT[#All],4,0)),"CUIT NO CARGADO")</f>
        <v>0</v>
      </c>
    </row>
    <row r="41" spans="2:18" x14ac:dyDescent="0.25">
      <c r="B41" s="40" t="s">
        <v>2349</v>
      </c>
      <c r="C41" s="41">
        <v>1</v>
      </c>
      <c r="D41" s="285">
        <v>7</v>
      </c>
      <c r="E41" s="286">
        <v>13918</v>
      </c>
      <c r="F41" s="287">
        <v>30708017759</v>
      </c>
      <c r="G41" s="45" t="str">
        <f>IFERROR(IF(compras_mes2[[#This Row],[CUIT]]="","-",VLOOKUP(compras_mes2[[#This Row],[CUIT]],Lista_CUIT[#All],2,0)),"CUIT NO CARGADO")</f>
        <v>NEW  HIGH PACK  SA</v>
      </c>
      <c r="H41" s="46">
        <v>2846901.61</v>
      </c>
      <c r="I41" s="85">
        <f>IF(compras_mes2[[#This Row],[NETO GRAVADO]]="","",compras_mes2[[#This Row],[NETO GRAVADO]]*0.21)</f>
        <v>597849.33809999994</v>
      </c>
      <c r="J41" s="85"/>
      <c r="K41" s="85"/>
      <c r="L41" s="85"/>
      <c r="M41" s="85"/>
      <c r="N41" s="85">
        <v>170814.1</v>
      </c>
      <c r="O41" s="85"/>
      <c r="P41" s="48">
        <f>SUM(compras_mes2[[#This Row],[NETO GRAVADO]:[Otros / No Grav.]])</f>
        <v>3615565.0480999998</v>
      </c>
      <c r="Q41" s="49" t="str">
        <f>IFERROR(IF(compras_mes2[[#This Row],[CUIT]]="","-",VLOOKUP(compras_mes2[[#This Row],[CUIT]],Lista_CUIT[#All],3,0)),"CUIT NO CARGADO")</f>
        <v>Material de Empaque</v>
      </c>
      <c r="R41" s="49">
        <f>IFERROR(IF(compras_mes2[[#This Row],[CUIT]]="","-",VLOOKUP(compras_mes2[[#This Row],[CUIT]],Lista_CUIT[#All],4,0)),"CUIT NO CARGADO")</f>
        <v>0</v>
      </c>
    </row>
    <row r="42" spans="2:18" x14ac:dyDescent="0.25">
      <c r="B42" s="40" t="s">
        <v>2349</v>
      </c>
      <c r="C42" s="41">
        <v>1</v>
      </c>
      <c r="D42" s="285">
        <v>6364</v>
      </c>
      <c r="E42" s="286">
        <v>8897422</v>
      </c>
      <c r="F42" s="287">
        <v>30639453738</v>
      </c>
      <c r="G42" s="45" t="str">
        <f>IFERROR(IF(compras_mes2[[#This Row],[CUIT]]="","-",VLOOKUP(compras_mes2[[#This Row],[CUIT]],Lista_CUIT[#All],2,0)),"CUIT NO CARGADO")</f>
        <v>TELECOM ARG SA</v>
      </c>
      <c r="H42" s="46">
        <v>280060.42</v>
      </c>
      <c r="I42" s="85">
        <v>58596.07</v>
      </c>
      <c r="J42" s="85">
        <v>278.51</v>
      </c>
      <c r="K42" s="85"/>
      <c r="L42" s="85"/>
      <c r="M42" s="85"/>
      <c r="N42" s="85">
        <v>15606.86</v>
      </c>
      <c r="O42" s="85">
        <v>8477.57</v>
      </c>
      <c r="P42" s="48">
        <f>SUM(compras_mes2[[#This Row],[NETO GRAVADO]:[Otros / No Grav.]])</f>
        <v>363019.43</v>
      </c>
      <c r="Q42" s="49" t="str">
        <f>IFERROR(IF(compras_mes2[[#This Row],[CUIT]]="","-",VLOOKUP(compras_mes2[[#This Row],[CUIT]],Lista_CUIT[#All],3,0)),"CUIT NO CARGADO")</f>
        <v>Servicios Gas, Luz, etc.</v>
      </c>
      <c r="R42" s="49">
        <f>IFERROR(IF(compras_mes2[[#This Row],[CUIT]]="","-",VLOOKUP(compras_mes2[[#This Row],[CUIT]],Lista_CUIT[#All],4,0)),"CUIT NO CARGADO")</f>
        <v>0</v>
      </c>
    </row>
    <row r="43" spans="2:18" ht="18" customHeight="1" x14ac:dyDescent="0.25">
      <c r="B43" s="40" t="s">
        <v>2349</v>
      </c>
      <c r="C43" s="41">
        <v>3</v>
      </c>
      <c r="D43" s="285">
        <v>7</v>
      </c>
      <c r="E43" s="286">
        <v>1178</v>
      </c>
      <c r="F43" s="287">
        <v>30708017759</v>
      </c>
      <c r="G43" s="45" t="str">
        <f>IFERROR(IF(compras_mes2[[#This Row],[CUIT]]="","-",VLOOKUP(compras_mes2[[#This Row],[CUIT]],Lista_CUIT[#All],2,0)),"CUIT NO CARGADO")</f>
        <v>NEW  HIGH PACK  SA</v>
      </c>
      <c r="H43" s="46">
        <v>-2164393.7000000002</v>
      </c>
      <c r="I43" s="85">
        <f>IF(compras_mes2[[#This Row],[NETO GRAVADO]]="","",compras_mes2[[#This Row],[NETO GRAVADO]]*0.21)</f>
        <v>-454522.67700000003</v>
      </c>
      <c r="J43" s="85"/>
      <c r="K43" s="85"/>
      <c r="L43" s="85"/>
      <c r="M43" s="85"/>
      <c r="N43" s="85">
        <v>-129863.62</v>
      </c>
      <c r="O43" s="85"/>
      <c r="P43" s="48">
        <f>SUM(compras_mes2[[#This Row],[NETO GRAVADO]:[Otros / No Grav.]])</f>
        <v>-2748779.9970000004</v>
      </c>
      <c r="Q43" s="49" t="str">
        <f>IFERROR(IF(compras_mes2[[#This Row],[CUIT]]="","-",VLOOKUP(compras_mes2[[#This Row],[CUIT]],Lista_CUIT[#All],3,0)),"CUIT NO CARGADO")</f>
        <v>Material de Empaque</v>
      </c>
      <c r="R43" s="49">
        <f>IFERROR(IF(compras_mes2[[#This Row],[CUIT]]="","-",VLOOKUP(compras_mes2[[#This Row],[CUIT]],Lista_CUIT[#All],4,0)),"CUIT NO CARGADO")</f>
        <v>0</v>
      </c>
    </row>
    <row r="44" spans="2:18" x14ac:dyDescent="0.25">
      <c r="B44" s="451">
        <v>45698</v>
      </c>
      <c r="C44" s="452">
        <v>1</v>
      </c>
      <c r="D44" s="453">
        <v>106</v>
      </c>
      <c r="E44" s="454">
        <v>10196672</v>
      </c>
      <c r="F44" s="455">
        <v>30709565075</v>
      </c>
      <c r="G44" s="456" t="str">
        <f>IFERROR(IF(compras_mes2[[#This Row],[CUIT]]="","-",VLOOKUP(compras_mes2[[#This Row],[CUIT]],Lista_CUIT[#All],2,0)),"CUIT NO CARGADO")</f>
        <v>AYSA S.A</v>
      </c>
      <c r="H44" s="457">
        <v>83566.104003906294</v>
      </c>
      <c r="I44" s="458"/>
      <c r="J44" s="458">
        <f>compras_mes2[[#This Row],[NETO GRAVADO]]*0.27</f>
        <v>22562.848081054701</v>
      </c>
      <c r="K44" s="458"/>
      <c r="L44" s="458">
        <v>2506.97998046875</v>
      </c>
      <c r="M44" s="458"/>
      <c r="N44" s="458"/>
      <c r="O44" s="458">
        <v>1495.83984375</v>
      </c>
      <c r="P44" s="459">
        <f>SUM(compras_mes2[[#This Row],[NETO GRAVADO]:[Otros / No Grav.]])</f>
        <v>110131.77190917975</v>
      </c>
      <c r="Q44" s="460" t="str">
        <f>IFERROR(IF(compras_mes2[[#This Row],[CUIT]]="","-",VLOOKUP(compras_mes2[[#This Row],[CUIT]],Lista_CUIT[#All],3,0)),"CUIT NO CARGADO")</f>
        <v>Servicios Gas, Luz, etc.</v>
      </c>
      <c r="R44" s="460">
        <f>IFERROR(IF(compras_mes2[[#This Row],[CUIT]]="","-",VLOOKUP(compras_mes2[[#This Row],[CUIT]],Lista_CUIT[#All],4,0)),"CUIT NO CARGADO")</f>
        <v>0</v>
      </c>
    </row>
    <row r="45" spans="2:18" x14ac:dyDescent="0.25">
      <c r="B45" s="451">
        <v>45698</v>
      </c>
      <c r="C45" s="452">
        <v>1</v>
      </c>
      <c r="D45" s="453">
        <v>110</v>
      </c>
      <c r="E45" s="454">
        <v>51168570</v>
      </c>
      <c r="F45" s="455">
        <v>30709565075</v>
      </c>
      <c r="G45" s="456" t="str">
        <f>IFERROR(IF(compras_mes2[[#This Row],[CUIT]]="","-",VLOOKUP(compras_mes2[[#This Row],[CUIT]],Lista_CUIT[#All],2,0)),"CUIT NO CARGADO")</f>
        <v>AYSA S.A</v>
      </c>
      <c r="H45" s="457">
        <v>69409.738891601606</v>
      </c>
      <c r="I45" s="458">
        <f>IF(compras_mes2[[#This Row],[NETO GRAVADO]]="","",compras_mes2[[#This Row],[NETO GRAVADO]]*0.21)</f>
        <v>14576.045167236336</v>
      </c>
      <c r="J45" s="458"/>
      <c r="K45" s="458"/>
      <c r="L45" s="458"/>
      <c r="M45" s="458"/>
      <c r="N45" s="458"/>
      <c r="O45" s="458">
        <v>1242.43005371094</v>
      </c>
      <c r="P45" s="459">
        <f>SUM(compras_mes2[[#This Row],[NETO GRAVADO]:[Otros / No Grav.]])</f>
        <v>85228.214112548885</v>
      </c>
      <c r="Q45" s="460" t="str">
        <f>IFERROR(IF(compras_mes2[[#This Row],[CUIT]]="","-",VLOOKUP(compras_mes2[[#This Row],[CUIT]],Lista_CUIT[#All],3,0)),"CUIT NO CARGADO")</f>
        <v>Servicios Gas, Luz, etc.</v>
      </c>
      <c r="R45" s="460">
        <f>IFERROR(IF(compras_mes2[[#This Row],[CUIT]]="","-",VLOOKUP(compras_mes2[[#This Row],[CUIT]],Lista_CUIT[#All],4,0)),"CUIT NO CARGADO")</f>
        <v>0</v>
      </c>
    </row>
    <row r="46" spans="2:18" x14ac:dyDescent="0.25">
      <c r="B46" s="40">
        <v>45699</v>
      </c>
      <c r="C46" s="41">
        <v>1</v>
      </c>
      <c r="D46" s="285">
        <v>1</v>
      </c>
      <c r="E46" s="286">
        <v>131</v>
      </c>
      <c r="F46" s="287">
        <v>30718148207</v>
      </c>
      <c r="G46" s="45" t="str">
        <f>IFERROR(IF(compras_mes2[[#This Row],[CUIT]]="","-",VLOOKUP(compras_mes2[[#This Row],[CUIT]],Lista_CUIT[#All],2,0)),"CUIT NO CARGADO")</f>
        <v>VIPA INTERNATIONAL S.R.L.</v>
      </c>
      <c r="H46" s="46">
        <v>1750000</v>
      </c>
      <c r="I46" s="85">
        <f>IF(compras_mes2[[#This Row],[NETO GRAVADO]]="","",compras_mes2[[#This Row],[NETO GRAVADO]]*0.21)</f>
        <v>367500</v>
      </c>
      <c r="J46" s="85"/>
      <c r="K46" s="85"/>
      <c r="L46" s="85"/>
      <c r="M46" s="85"/>
      <c r="N46" s="85"/>
      <c r="O46" s="85"/>
      <c r="P46" s="48">
        <f>SUM(compras_mes2[[#This Row],[NETO GRAVADO]:[Otros / No Grav.]])</f>
        <v>2117500</v>
      </c>
      <c r="Q46" s="49" t="str">
        <f>IFERROR(IF(compras_mes2[[#This Row],[CUIT]]="","-",VLOOKUP(compras_mes2[[#This Row],[CUIT]],Lista_CUIT[#All],3,0)),"CUIT NO CARGADO")</f>
        <v>Productos Venta</v>
      </c>
      <c r="R46" s="49">
        <f>IFERROR(IF(compras_mes2[[#This Row],[CUIT]]="","-",VLOOKUP(compras_mes2[[#This Row],[CUIT]],Lista_CUIT[#All],4,0)),"CUIT NO CARGADO")</f>
        <v>0</v>
      </c>
    </row>
    <row r="47" spans="2:18" x14ac:dyDescent="0.25">
      <c r="B47" s="40">
        <v>45699</v>
      </c>
      <c r="C47" s="41">
        <v>1</v>
      </c>
      <c r="D47" s="285">
        <v>1</v>
      </c>
      <c r="E47" s="286">
        <v>132</v>
      </c>
      <c r="F47" s="287">
        <v>30718148207</v>
      </c>
      <c r="G47" s="45" t="str">
        <f>IFERROR(IF(compras_mes2[[#This Row],[CUIT]]="","-",VLOOKUP(compras_mes2[[#This Row],[CUIT]],Lista_CUIT[#All],2,0)),"CUIT NO CARGADO")</f>
        <v>VIPA INTERNATIONAL S.R.L.</v>
      </c>
      <c r="H47" s="46">
        <v>2200000</v>
      </c>
      <c r="I47" s="85">
        <f>IF(compras_mes2[[#This Row],[NETO GRAVADO]]="","",compras_mes2[[#This Row],[NETO GRAVADO]]*0.21)</f>
        <v>462000</v>
      </c>
      <c r="J47" s="85"/>
      <c r="K47" s="85"/>
      <c r="L47" s="85"/>
      <c r="M47" s="85"/>
      <c r="N47" s="85"/>
      <c r="O47" s="85"/>
      <c r="P47" s="48">
        <f>SUM(compras_mes2[[#This Row],[NETO GRAVADO]:[Otros / No Grav.]])</f>
        <v>2662000</v>
      </c>
      <c r="Q47" s="49" t="str">
        <f>IFERROR(IF(compras_mes2[[#This Row],[CUIT]]="","-",VLOOKUP(compras_mes2[[#This Row],[CUIT]],Lista_CUIT[#All],3,0)),"CUIT NO CARGADO")</f>
        <v>Productos Venta</v>
      </c>
      <c r="R47" s="49">
        <f>IFERROR(IF(compras_mes2[[#This Row],[CUIT]]="","-",VLOOKUP(compras_mes2[[#This Row],[CUIT]],Lista_CUIT[#All],4,0)),"CUIT NO CARGADO")</f>
        <v>0</v>
      </c>
    </row>
    <row r="48" spans="2:18" x14ac:dyDescent="0.25">
      <c r="B48" s="40" t="s">
        <v>2366</v>
      </c>
      <c r="C48" s="41">
        <v>1</v>
      </c>
      <c r="D48" s="285">
        <v>3</v>
      </c>
      <c r="E48" s="286">
        <v>1338</v>
      </c>
      <c r="F48" s="287">
        <v>20308960782</v>
      </c>
      <c r="G48" s="45" t="str">
        <f>IFERROR(IF(compras_mes2[[#This Row],[CUIT]]="","-",VLOOKUP(compras_mes2[[#This Row],[CUIT]],Lista_CUIT[#All],2,0)),"CUIT NO CARGADO")</f>
        <v>OSSANDON ROBERTO SAUL</v>
      </c>
      <c r="H48" s="46">
        <v>11157.02</v>
      </c>
      <c r="I48" s="85">
        <f>IF(compras_mes2[[#This Row],[NETO GRAVADO]]="","",compras_mes2[[#This Row],[NETO GRAVADO]]*0.21)</f>
        <v>2342.9742000000001</v>
      </c>
      <c r="J48" s="85"/>
      <c r="K48" s="85"/>
      <c r="L48" s="85"/>
      <c r="M48" s="85"/>
      <c r="N48" s="85"/>
      <c r="O48" s="85"/>
      <c r="P48" s="48">
        <f>SUM(compras_mes2[[#This Row],[NETO GRAVADO]:[Otros / No Grav.]])</f>
        <v>13499.994200000001</v>
      </c>
      <c r="Q48" s="49" t="str">
        <f>IFERROR(IF(compras_mes2[[#This Row],[CUIT]]="","-",VLOOKUP(compras_mes2[[#This Row],[CUIT]],Lista_CUIT[#All],3,0)),"CUIT NO CARGADO")</f>
        <v>Gastos Limpieza</v>
      </c>
      <c r="R48" s="49">
        <f>IFERROR(IF(compras_mes2[[#This Row],[CUIT]]="","-",VLOOKUP(compras_mes2[[#This Row],[CUIT]],Lista_CUIT[#All],4,0)),"CUIT NO CARGADO")</f>
        <v>0</v>
      </c>
    </row>
    <row r="49" spans="1:18" x14ac:dyDescent="0.25">
      <c r="B49" s="40" t="s">
        <v>2366</v>
      </c>
      <c r="C49" s="41">
        <v>1</v>
      </c>
      <c r="D49" s="285">
        <v>2</v>
      </c>
      <c r="E49" s="286">
        <v>2870</v>
      </c>
      <c r="F49" s="287">
        <v>30715811622</v>
      </c>
      <c r="G49" s="45" t="str">
        <f>IFERROR(IF(compras_mes2[[#This Row],[CUIT]]="","-",VLOOKUP(compras_mes2[[#This Row],[CUIT]],Lista_CUIT[#All],2,0)),"CUIT NO CARGADO")</f>
        <v>VTEC SRL</v>
      </c>
      <c r="H49" s="46">
        <v>688084.96</v>
      </c>
      <c r="I49" s="85">
        <f>IF(compras_mes2[[#This Row],[NETO GRAVADO]]="","",compras_mes2[[#This Row],[NETO GRAVADO]]*0.21)</f>
        <v>144497.84159999999</v>
      </c>
      <c r="J49" s="85"/>
      <c r="K49" s="85"/>
      <c r="L49" s="85"/>
      <c r="M49" s="85"/>
      <c r="N49" s="85"/>
      <c r="O49" s="85"/>
      <c r="P49" s="48">
        <f>SUM(compras_mes2[[#This Row],[NETO GRAVADO]:[Otros / No Grav.]])</f>
        <v>832582.80159999989</v>
      </c>
      <c r="Q49" s="49" t="str">
        <f>IFERROR(IF(compras_mes2[[#This Row],[CUIT]]="","-",VLOOKUP(compras_mes2[[#This Row],[CUIT]],Lista_CUIT[#All],3,0)),"CUIT NO CARGADO")</f>
        <v>Productos Venta</v>
      </c>
      <c r="R49" s="49">
        <f>IFERROR(IF(compras_mes2[[#This Row],[CUIT]]="","-",VLOOKUP(compras_mes2[[#This Row],[CUIT]],Lista_CUIT[#All],4,0)),"CUIT NO CARGADO")</f>
        <v>0</v>
      </c>
    </row>
    <row r="50" spans="1:18" x14ac:dyDescent="0.25">
      <c r="B50" s="40" t="s">
        <v>2369</v>
      </c>
      <c r="C50" s="41">
        <v>1</v>
      </c>
      <c r="D50" s="285">
        <v>8</v>
      </c>
      <c r="E50" s="286">
        <v>3626</v>
      </c>
      <c r="F50" s="287">
        <v>20348424026</v>
      </c>
      <c r="G50" s="45" t="str">
        <f>IFERROR(IF(compras_mes2[[#This Row],[CUIT]]="","-",VLOOKUP(compras_mes2[[#This Row],[CUIT]],Lista_CUIT[#All],2,0)),"CUIT NO CARGADO")</f>
        <v>ALEXANDER DOUGLAS DROT DE GOURVILLE</v>
      </c>
      <c r="H50" s="46">
        <v>17520.66</v>
      </c>
      <c r="I50" s="85">
        <f>IF(compras_mes2[[#This Row],[NETO GRAVADO]]="","",compras_mes2[[#This Row],[NETO GRAVADO]]*0.21)</f>
        <v>3679.3386</v>
      </c>
      <c r="J50" s="85"/>
      <c r="K50" s="85"/>
      <c r="L50" s="85"/>
      <c r="M50" s="85"/>
      <c r="N50" s="85"/>
      <c r="O50" s="85"/>
      <c r="P50" s="48">
        <f>SUM(compras_mes2[[#This Row],[NETO GRAVADO]:[Otros / No Grav.]])</f>
        <v>21199.998599999999</v>
      </c>
      <c r="Q50" s="49" t="str">
        <f>IFERROR(IF(compras_mes2[[#This Row],[CUIT]]="","-",VLOOKUP(compras_mes2[[#This Row],[CUIT]],Lista_CUIT[#All],3,0)),"CUIT NO CARGADO")</f>
        <v xml:space="preserve"> Gastos Limpieza</v>
      </c>
      <c r="R50" s="49">
        <f>IFERROR(IF(compras_mes2[[#This Row],[CUIT]]="","-",VLOOKUP(compras_mes2[[#This Row],[CUIT]],Lista_CUIT[#All],4,0)),"CUIT NO CARGADO")</f>
        <v>0</v>
      </c>
    </row>
    <row r="51" spans="1:18" x14ac:dyDescent="0.25">
      <c r="A51" t="s">
        <v>1576</v>
      </c>
      <c r="B51" s="40" t="s">
        <v>2350</v>
      </c>
      <c r="C51" s="41">
        <v>1</v>
      </c>
      <c r="D51" s="285">
        <v>5</v>
      </c>
      <c r="E51" s="286">
        <v>30493</v>
      </c>
      <c r="F51" s="287">
        <v>30718509552</v>
      </c>
      <c r="G51" s="45" t="str">
        <f>IFERROR(IF(compras_mes2[[#This Row],[CUIT]]="","-",VLOOKUP(compras_mes2[[#This Row],[CUIT]],Lista_CUIT[#All],2,0)),"CUIT NO CARGADO")</f>
        <v>SEDAFE</v>
      </c>
      <c r="H51" s="46">
        <v>32638.02</v>
      </c>
      <c r="I51" s="85">
        <f>IF(compras_mes2[[#This Row],[NETO GRAVADO]]="","",compras_mes2[[#This Row],[NETO GRAVADO]]*0.21)</f>
        <v>6853.9841999999999</v>
      </c>
      <c r="J51" s="85"/>
      <c r="K51" s="85"/>
      <c r="L51" s="85"/>
      <c r="M51" s="85"/>
      <c r="N51" s="85"/>
      <c r="O51" s="85"/>
      <c r="P51" s="48">
        <f>SUM(compras_mes2[[#This Row],[NETO GRAVADO]:[Otros / No Grav.]])</f>
        <v>39492.004200000003</v>
      </c>
      <c r="Q51" s="49" t="str">
        <f>IFERROR(IF(compras_mes2[[#This Row],[CUIT]]="","-",VLOOKUP(compras_mes2[[#This Row],[CUIT]],Lista_CUIT[#All],3,0)),"CUIT NO CARGADO")</f>
        <v>Gastos Varios</v>
      </c>
      <c r="R51" s="49">
        <f>IFERROR(IF(compras_mes2[[#This Row],[CUIT]]="","-",VLOOKUP(compras_mes2[[#This Row],[CUIT]],Lista_CUIT[#All],4,0)),"CUIT NO CARGADO")</f>
        <v>0</v>
      </c>
    </row>
    <row r="52" spans="1:18" x14ac:dyDescent="0.25">
      <c r="B52" s="40" t="s">
        <v>2369</v>
      </c>
      <c r="C52" s="41">
        <v>1</v>
      </c>
      <c r="D52" s="285">
        <v>8</v>
      </c>
      <c r="E52" s="286">
        <v>3627</v>
      </c>
      <c r="F52" s="287">
        <v>20348424026</v>
      </c>
      <c r="G52" s="45" t="str">
        <f>IFERROR(IF(compras_mes2[[#This Row],[CUIT]]="","-",VLOOKUP(compras_mes2[[#This Row],[CUIT]],Lista_CUIT[#All],2,0)),"CUIT NO CARGADO")</f>
        <v>ALEXANDER DOUGLAS DROT DE GOURVILLE</v>
      </c>
      <c r="H52" s="46">
        <v>17520.66</v>
      </c>
      <c r="I52" s="85">
        <f>IF(compras_mes2[[#This Row],[NETO GRAVADO]]="","",compras_mes2[[#This Row],[NETO GRAVADO]]*0.21)</f>
        <v>3679.3386</v>
      </c>
      <c r="J52" s="85"/>
      <c r="K52" s="85"/>
      <c r="L52" s="85"/>
      <c r="M52" s="85"/>
      <c r="N52" s="85"/>
      <c r="O52" s="85"/>
      <c r="P52" s="48">
        <f>SUM(compras_mes2[[#This Row],[NETO GRAVADO]:[Otros / No Grav.]])</f>
        <v>21199.998599999999</v>
      </c>
      <c r="Q52" s="49" t="str">
        <f>IFERROR(IF(compras_mes2[[#This Row],[CUIT]]="","-",VLOOKUP(compras_mes2[[#This Row],[CUIT]],Lista_CUIT[#All],3,0)),"CUIT NO CARGADO")</f>
        <v xml:space="preserve"> Gastos Limpieza</v>
      </c>
      <c r="R52" s="49">
        <f>IFERROR(IF(compras_mes2[[#This Row],[CUIT]]="","-",VLOOKUP(compras_mes2[[#This Row],[CUIT]],Lista_CUIT[#All],4,0)),"CUIT NO CARGADO")</f>
        <v>0</v>
      </c>
    </row>
    <row r="53" spans="1:18" x14ac:dyDescent="0.25">
      <c r="B53" s="40" t="s">
        <v>2351</v>
      </c>
      <c r="C53" s="41">
        <v>1</v>
      </c>
      <c r="D53" s="285">
        <v>5722</v>
      </c>
      <c r="E53" s="286">
        <v>127831</v>
      </c>
      <c r="F53" s="287">
        <v>30639453738</v>
      </c>
      <c r="G53" s="45" t="str">
        <f>IFERROR(IF(compras_mes2[[#This Row],[CUIT]]="","-",VLOOKUP(compras_mes2[[#This Row],[CUIT]],Lista_CUIT[#All],2,0)),"CUIT NO CARGADO")</f>
        <v>TELECOM ARG SA</v>
      </c>
      <c r="H53" s="46">
        <v>0.01</v>
      </c>
      <c r="I53" s="85">
        <f>IF(compras_mes2[[#This Row],[NETO GRAVADO]]="","",compras_mes2[[#This Row],[NETO GRAVADO]]*0.21)</f>
        <v>2.0999999999999999E-3</v>
      </c>
      <c r="J53" s="85"/>
      <c r="K53" s="85"/>
      <c r="L53" s="85"/>
      <c r="M53" s="85"/>
      <c r="N53" s="85"/>
      <c r="O53" s="85"/>
      <c r="P53" s="48">
        <f>SUM(compras_mes2[[#This Row],[NETO GRAVADO]:[Otros / No Grav.]])</f>
        <v>1.21E-2</v>
      </c>
      <c r="Q53" s="49" t="str">
        <f>IFERROR(IF(compras_mes2[[#This Row],[CUIT]]="","-",VLOOKUP(compras_mes2[[#This Row],[CUIT]],Lista_CUIT[#All],3,0)),"CUIT NO CARGADO")</f>
        <v>Servicios Gas, Luz, etc.</v>
      </c>
      <c r="R53" s="49">
        <f>IFERROR(IF(compras_mes2[[#This Row],[CUIT]]="","-",VLOOKUP(compras_mes2[[#This Row],[CUIT]],Lista_CUIT[#All],4,0)),"CUIT NO CARGADO")</f>
        <v>0</v>
      </c>
    </row>
    <row r="54" spans="1:18" x14ac:dyDescent="0.25">
      <c r="B54" s="40" t="s">
        <v>2351</v>
      </c>
      <c r="C54" s="41">
        <v>1</v>
      </c>
      <c r="D54" s="285">
        <v>3</v>
      </c>
      <c r="E54" s="286">
        <v>57718</v>
      </c>
      <c r="F54" s="287">
        <v>20349222923</v>
      </c>
      <c r="G54" s="45" t="str">
        <f>IFERROR(IF(compras_mes2[[#This Row],[CUIT]]="","-",VLOOKUP(compras_mes2[[#This Row],[CUIT]],Lista_CUIT[#All],2,0)),"CUIT NO CARGADO")</f>
        <v xml:space="preserve">RAUL GUILLERMO RODRIGUEZ </v>
      </c>
      <c r="H54" s="46">
        <v>69020.83</v>
      </c>
      <c r="I54" s="85">
        <f>IF(compras_mes2[[#This Row],[NETO GRAVADO]]="","",compras_mes2[[#This Row],[NETO GRAVADO]]*0.21)</f>
        <v>14494.374299999999</v>
      </c>
      <c r="J54" s="85"/>
      <c r="K54" s="85"/>
      <c r="L54" s="85"/>
      <c r="M54" s="85"/>
      <c r="N54" s="85"/>
      <c r="O54" s="85"/>
      <c r="P54" s="48">
        <f>SUM(compras_mes2[[#This Row],[NETO GRAVADO]:[Otros / No Grav.]])</f>
        <v>83515.204299999998</v>
      </c>
      <c r="Q54" s="49" t="str">
        <f>IFERROR(IF(compras_mes2[[#This Row],[CUIT]]="","-",VLOOKUP(compras_mes2[[#This Row],[CUIT]],Lista_CUIT[#All],3,0)),"CUIT NO CARGADO")</f>
        <v>Muebles y Utiles</v>
      </c>
      <c r="R54" s="49">
        <f>IFERROR(IF(compras_mes2[[#This Row],[CUIT]]="","-",VLOOKUP(compras_mes2[[#This Row],[CUIT]],Lista_CUIT[#All],4,0)),"CUIT NO CARGADO")</f>
        <v>0</v>
      </c>
    </row>
    <row r="55" spans="1:18" ht="17.25" customHeight="1" x14ac:dyDescent="0.25">
      <c r="B55" s="40" t="s">
        <v>2351</v>
      </c>
      <c r="C55" s="41">
        <v>1</v>
      </c>
      <c r="D55" s="285">
        <v>503</v>
      </c>
      <c r="E55" s="286">
        <v>1721638</v>
      </c>
      <c r="F55" s="287">
        <v>30639935872</v>
      </c>
      <c r="G55" s="45" t="str">
        <f>IFERROR(IF(compras_mes2[[#This Row],[CUIT]]="","-",VLOOKUP(compras_mes2[[#This Row],[CUIT]],Lista_CUIT[#All],2,0)),"CUIT NO CARGADO")</f>
        <v>CAMINOS DEL RIO URUGUAY S A DE CONSTRUCCIONES Y CONCESIONES VIALES</v>
      </c>
      <c r="H55" s="46">
        <v>6104.82</v>
      </c>
      <c r="I55" s="85">
        <f>IF(compras_mes2[[#This Row],[NETO GRAVADO]]="","",compras_mes2[[#This Row],[NETO GRAVADO]]*0.21)</f>
        <v>1282.0121999999999</v>
      </c>
      <c r="J55" s="85"/>
      <c r="K55" s="85"/>
      <c r="L55" s="85"/>
      <c r="M55" s="85"/>
      <c r="N55" s="85">
        <v>366.29</v>
      </c>
      <c r="O55" s="85"/>
      <c r="P55" s="48">
        <f>SUM(compras_mes2[[#This Row],[NETO GRAVADO]:[Otros / No Grav.]])</f>
        <v>7753.1221999999998</v>
      </c>
      <c r="Q55" s="49" t="str">
        <f>IFERROR(IF(compras_mes2[[#This Row],[CUIT]]="","-",VLOOKUP(compras_mes2[[#This Row],[CUIT]],Lista_CUIT[#All],3,0)),"CUIT NO CARGADO")</f>
        <v>Peajes</v>
      </c>
      <c r="R55" s="49">
        <f>IFERROR(IF(compras_mes2[[#This Row],[CUIT]]="","-",VLOOKUP(compras_mes2[[#This Row],[CUIT]],Lista_CUIT[#All],4,0)),"CUIT NO CARGADO")</f>
        <v>0</v>
      </c>
    </row>
    <row r="56" spans="1:18" x14ac:dyDescent="0.25">
      <c r="B56" s="40" t="s">
        <v>2353</v>
      </c>
      <c r="C56" s="41">
        <v>1</v>
      </c>
      <c r="D56" s="285">
        <v>4</v>
      </c>
      <c r="E56" s="286">
        <v>4320</v>
      </c>
      <c r="F56" s="287">
        <v>20939155059</v>
      </c>
      <c r="G56" s="45" t="str">
        <f>IFERROR(IF(compras_mes2[[#This Row],[CUIT]]="","-",VLOOKUP(compras_mes2[[#This Row],[CUIT]],Lista_CUIT[#All],2,0)),"CUIT NO CARGADO")</f>
        <v>AGUERA MOLINA JUAN</v>
      </c>
      <c r="H56" s="46">
        <v>65603.38</v>
      </c>
      <c r="I56" s="85">
        <f>IF(compras_mes2[[#This Row],[NETO GRAVADO]]="","",compras_mes2[[#This Row],[NETO GRAVADO]]*0.21)</f>
        <v>13776.709800000001</v>
      </c>
      <c r="J56" s="85"/>
      <c r="K56" s="85"/>
      <c r="L56" s="85"/>
      <c r="M56" s="85"/>
      <c r="N56" s="85"/>
      <c r="O56" s="85"/>
      <c r="P56" s="48">
        <f>SUM(compras_mes2[[#This Row],[NETO GRAVADO]:[Otros / No Grav.]])</f>
        <v>79380.089800000002</v>
      </c>
      <c r="Q56" s="49" t="str">
        <f>IFERROR(IF(compras_mes2[[#This Row],[CUIT]]="","-",VLOOKUP(compras_mes2[[#This Row],[CUIT]],Lista_CUIT[#All],3,0)),"CUIT NO CARGADO")</f>
        <v xml:space="preserve">Gastos mantenimiento </v>
      </c>
      <c r="R56" s="49">
        <f>IFERROR(IF(compras_mes2[[#This Row],[CUIT]]="","-",VLOOKUP(compras_mes2[[#This Row],[CUIT]],Lista_CUIT[#All],4,0)),"CUIT NO CARGADO")</f>
        <v>0</v>
      </c>
    </row>
    <row r="57" spans="1:18" x14ac:dyDescent="0.25">
      <c r="B57" s="40" t="s">
        <v>2351</v>
      </c>
      <c r="C57" s="41">
        <v>1</v>
      </c>
      <c r="D57" s="285">
        <v>4</v>
      </c>
      <c r="E57" s="286">
        <v>251</v>
      </c>
      <c r="F57" s="287">
        <v>27317740196</v>
      </c>
      <c r="G57" s="45" t="str">
        <f>IFERROR(IF(compras_mes2[[#This Row],[CUIT]]="","-",VLOOKUP(compras_mes2[[#This Row],[CUIT]],Lista_CUIT[#All],2,0)),"CUIT NO CARGADO")</f>
        <v>HOKAMA ROMINA PAOLA</v>
      </c>
      <c r="H57" s="46">
        <v>52998.35</v>
      </c>
      <c r="I57" s="85">
        <f>IF(compras_mes2[[#This Row],[NETO GRAVADO]]="","",compras_mes2[[#This Row],[NETO GRAVADO]]*0.21)</f>
        <v>11129.653499999999</v>
      </c>
      <c r="J57" s="85"/>
      <c r="K57" s="85"/>
      <c r="L57" s="85"/>
      <c r="M57" s="85"/>
      <c r="N57" s="85"/>
      <c r="O57" s="85"/>
      <c r="P57" s="48">
        <f>SUM(compras_mes2[[#This Row],[NETO GRAVADO]:[Otros / No Grav.]])</f>
        <v>64128.003499999999</v>
      </c>
      <c r="Q57" s="49" t="str">
        <f>IFERROR(IF(compras_mes2[[#This Row],[CUIT]]="","-",VLOOKUP(compras_mes2[[#This Row],[CUIT]],Lista_CUIT[#All],3,0)),"CUIT NO CARGADO")</f>
        <v>Gastos Varios</v>
      </c>
      <c r="R57" s="49">
        <f>IFERROR(IF(compras_mes2[[#This Row],[CUIT]]="","-",VLOOKUP(compras_mes2[[#This Row],[CUIT]],Lista_CUIT[#All],4,0)),"CUIT NO CARGADO")</f>
        <v>0</v>
      </c>
    </row>
    <row r="58" spans="1:18" x14ac:dyDescent="0.25">
      <c r="B58" s="40" t="s">
        <v>2351</v>
      </c>
      <c r="C58" s="41">
        <v>1</v>
      </c>
      <c r="D58" s="285">
        <v>6852</v>
      </c>
      <c r="E58" s="286">
        <v>29316</v>
      </c>
      <c r="F58" s="287">
        <v>30678774495</v>
      </c>
      <c r="G58" s="45" t="str">
        <f>IFERROR(IF(compras_mes2[[#This Row],[CUIT]]="","-",VLOOKUP(compras_mes2[[#This Row],[CUIT]],Lista_CUIT[#All],2,0)),"CUIT NO CARGADO")</f>
        <v>OPER. DE EST. DE SERV. SA</v>
      </c>
      <c r="H58" s="46">
        <v>8936.85</v>
      </c>
      <c r="I58" s="85">
        <f>IF(compras_mes2[[#This Row],[NETO GRAVADO]]="","",compras_mes2[[#This Row],[NETO GRAVADO]]*0.21)</f>
        <v>1876.7384999999999</v>
      </c>
      <c r="J58" s="85"/>
      <c r="K58" s="85"/>
      <c r="L58" s="85"/>
      <c r="M58" s="85"/>
      <c r="N58" s="85"/>
      <c r="O58" s="85">
        <v>2193.39</v>
      </c>
      <c r="P58" s="48">
        <f>SUM(compras_mes2[[#This Row],[NETO GRAVADO]:[Otros / No Grav.]])</f>
        <v>13006.978499999999</v>
      </c>
      <c r="Q58" s="49" t="str">
        <f>IFERROR(IF(compras_mes2[[#This Row],[CUIT]]="","-",VLOOKUP(compras_mes2[[#This Row],[CUIT]],Lista_CUIT[#All],3,0)),"CUIT NO CARGADO")</f>
        <v>Combustible</v>
      </c>
      <c r="R58" s="49">
        <f>IFERROR(IF(compras_mes2[[#This Row],[CUIT]]="","-",VLOOKUP(compras_mes2[[#This Row],[CUIT]],Lista_CUIT[#All],4,0)),"CUIT NO CARGADO")</f>
        <v>0</v>
      </c>
    </row>
    <row r="59" spans="1:18" x14ac:dyDescent="0.25">
      <c r="B59" s="40" t="s">
        <v>2351</v>
      </c>
      <c r="C59" s="41">
        <v>1</v>
      </c>
      <c r="D59" s="285">
        <v>11</v>
      </c>
      <c r="E59" s="286">
        <v>82901</v>
      </c>
      <c r="F59" s="287">
        <v>30534051049</v>
      </c>
      <c r="G59" s="45" t="str">
        <f>IFERROR(IF(compras_mes2[[#This Row],[CUIT]]="","-",VLOOKUP(compras_mes2[[#This Row],[CUIT]],Lista_CUIT[#All],2,0)),"CUIT NO CARGADO")</f>
        <v>PLIN METAL S A</v>
      </c>
      <c r="H59" s="46">
        <v>16452.75</v>
      </c>
      <c r="I59" s="85">
        <f>IF(compras_mes2[[#This Row],[NETO GRAVADO]]="","",compras_mes2[[#This Row],[NETO GRAVADO]]*0.21)</f>
        <v>3455.0774999999999</v>
      </c>
      <c r="J59" s="85"/>
      <c r="K59" s="85"/>
      <c r="L59" s="85"/>
      <c r="M59" s="85"/>
      <c r="N59" s="85"/>
      <c r="O59" s="85"/>
      <c r="P59" s="48">
        <f>SUM(compras_mes2[[#This Row],[NETO GRAVADO]:[Otros / No Grav.]])</f>
        <v>19907.827499999999</v>
      </c>
      <c r="Q59" s="49" t="str">
        <f>IFERROR(IF(compras_mes2[[#This Row],[CUIT]]="","-",VLOOKUP(compras_mes2[[#This Row],[CUIT]],Lista_CUIT[#All],3,0)),"CUIT NO CARGADO")</f>
        <v>Materia Prima</v>
      </c>
      <c r="R59" s="49">
        <f>IFERROR(IF(compras_mes2[[#This Row],[CUIT]]="","-",VLOOKUP(compras_mes2[[#This Row],[CUIT]],Lista_CUIT[#All],4,0)),"CUIT NO CARGADO")</f>
        <v>0</v>
      </c>
    </row>
    <row r="60" spans="1:18" x14ac:dyDescent="0.25">
      <c r="B60" s="40" t="s">
        <v>2351</v>
      </c>
      <c r="C60" s="41">
        <v>1</v>
      </c>
      <c r="D60" s="285">
        <v>50</v>
      </c>
      <c r="E60" s="286">
        <v>432997</v>
      </c>
      <c r="F60" s="287">
        <v>30610333822</v>
      </c>
      <c r="G60" s="45" t="str">
        <f>IFERROR(IF(compras_mes2[[#This Row],[CUIT]]="","-",VLOOKUP(compras_mes2[[#This Row],[CUIT]],Lista_CUIT[#All],2,0)),"CUIT NO CARGADO")</f>
        <v>MASIVOS S A</v>
      </c>
      <c r="H60" s="46">
        <v>39190.080000000002</v>
      </c>
      <c r="I60" s="85">
        <f>IF(compras_mes2[[#This Row],[NETO GRAVADO]]="","",compras_mes2[[#This Row],[NETO GRAVADO]]*0.21)</f>
        <v>8229.9168000000009</v>
      </c>
      <c r="J60" s="85"/>
      <c r="K60" s="85"/>
      <c r="L60" s="85"/>
      <c r="M60" s="85"/>
      <c r="N60" s="85"/>
      <c r="O60" s="85"/>
      <c r="P60" s="48">
        <f>SUM(compras_mes2[[#This Row],[NETO GRAVADO]:[Otros / No Grav.]])</f>
        <v>47419.996800000001</v>
      </c>
      <c r="Q60" s="49" t="str">
        <f>IFERROR(IF(compras_mes2[[#This Row],[CUIT]]="","-",VLOOKUP(compras_mes2[[#This Row],[CUIT]],Lista_CUIT[#All],3,0)),"CUIT NO CARGADO")</f>
        <v>Gastos Varios</v>
      </c>
      <c r="R60" s="49">
        <f>IFERROR(IF(compras_mes2[[#This Row],[CUIT]]="","-",VLOOKUP(compras_mes2[[#This Row],[CUIT]],Lista_CUIT[#All],4,0)),"CUIT NO CARGADO")</f>
        <v>0</v>
      </c>
    </row>
    <row r="61" spans="1:18" x14ac:dyDescent="0.25">
      <c r="B61" s="40">
        <v>45702</v>
      </c>
      <c r="C61" s="41">
        <v>1</v>
      </c>
      <c r="D61" s="285">
        <v>9</v>
      </c>
      <c r="E61" s="286">
        <v>76453</v>
      </c>
      <c r="F61" s="287">
        <v>30696131003</v>
      </c>
      <c r="G61" s="45" t="str">
        <f>IFERROR(IF(compras_mes2[[#This Row],[CUIT]]="","-",VLOOKUP(compras_mes2[[#This Row],[CUIT]],Lista_CUIT[#All],2,0)),"CUIT NO CARGADO")</f>
        <v>Petrolfe S.A.</v>
      </c>
      <c r="H61" s="46">
        <v>20936.810000000001</v>
      </c>
      <c r="I61" s="85">
        <f>IF(compras_mes2[[#This Row],[NETO GRAVADO]]="","",compras_mes2[[#This Row],[NETO GRAVADO]]*0.21)</f>
        <v>4396.7300999999998</v>
      </c>
      <c r="J61" s="85"/>
      <c r="K61" s="85"/>
      <c r="L61" s="85"/>
      <c r="M61" s="85"/>
      <c r="N61" s="85"/>
      <c r="O61" s="85">
        <v>7332.96</v>
      </c>
      <c r="P61" s="48">
        <f>SUM(compras_mes2[[#This Row],[NETO GRAVADO]:[Otros / No Grav.]])</f>
        <v>32666.500100000001</v>
      </c>
      <c r="Q61" s="49" t="str">
        <f>IFERROR(IF(compras_mes2[[#This Row],[CUIT]]="","-",VLOOKUP(compras_mes2[[#This Row],[CUIT]],Lista_CUIT[#All],3,0)),"CUIT NO CARGADO")</f>
        <v>Combustible</v>
      </c>
      <c r="R61" s="49">
        <f>IFERROR(IF(compras_mes2[[#This Row],[CUIT]]="","-",VLOOKUP(compras_mes2[[#This Row],[CUIT]],Lista_CUIT[#All],4,0)),"CUIT NO CARGADO")</f>
        <v>0</v>
      </c>
    </row>
    <row r="62" spans="1:18" x14ac:dyDescent="0.25">
      <c r="B62" s="451">
        <v>45702</v>
      </c>
      <c r="C62" s="452">
        <v>1</v>
      </c>
      <c r="D62" s="453">
        <v>2</v>
      </c>
      <c r="E62" s="454">
        <v>3171692</v>
      </c>
      <c r="F62" s="455">
        <v>30640897267</v>
      </c>
      <c r="G62" s="456" t="str">
        <f>IFERROR(IF(compras_mes2[[#This Row],[CUIT]]="","-",VLOOKUP(compras_mes2[[#This Row],[CUIT]],Lista_CUIT[#All],2,0)),"CUIT NO CARGADO")</f>
        <v>TELECENTRO S.A.</v>
      </c>
      <c r="H62" s="457">
        <v>58457.601196289099</v>
      </c>
      <c r="I62" s="458">
        <f>IF(compras_mes2[[#This Row],[NETO GRAVADO]]="","",compras_mes2[[#This Row],[NETO GRAVADO]]*0.21)</f>
        <v>12276.09625122071</v>
      </c>
      <c r="J62" s="458"/>
      <c r="K62" s="458"/>
      <c r="L62" s="458">
        <v>3507.4599609375</v>
      </c>
      <c r="M62" s="458"/>
      <c r="N62" s="458">
        <v>1753.72985839844</v>
      </c>
      <c r="O62" s="458"/>
      <c r="P62" s="459">
        <f>SUM(compras_mes2[[#This Row],[NETO GRAVADO]:[Otros / No Grav.]])</f>
        <v>75994.887266845748</v>
      </c>
      <c r="Q62" s="460" t="str">
        <f>IFERROR(IF(compras_mes2[[#This Row],[CUIT]]="","-",VLOOKUP(compras_mes2[[#This Row],[CUIT]],Lista_CUIT[#All],3,0)),"CUIT NO CARGADO")</f>
        <v>Servicios Gas, Luz, etc.</v>
      </c>
      <c r="R62" s="460">
        <f>IFERROR(IF(compras_mes2[[#This Row],[CUIT]]="","-",VLOOKUP(compras_mes2[[#This Row],[CUIT]],Lista_CUIT[#All],4,0)),"CUIT NO CARGADO")</f>
        <v>0</v>
      </c>
    </row>
    <row r="63" spans="1:18" x14ac:dyDescent="0.25">
      <c r="B63" s="451">
        <v>45702</v>
      </c>
      <c r="C63" s="452">
        <v>1</v>
      </c>
      <c r="D63" s="453">
        <v>14</v>
      </c>
      <c r="E63" s="454">
        <v>19529510</v>
      </c>
      <c r="F63" s="455">
        <v>30655116202</v>
      </c>
      <c r="G63" s="456" t="str">
        <f>IFERROR(IF(compras_mes2[[#This Row],[CUIT]]="","-",VLOOKUP(compras_mes2[[#This Row],[CUIT]],Lista_CUIT[#All],2,0)),"CUIT NO CARGADO")</f>
        <v xml:space="preserve">EDENOR </v>
      </c>
      <c r="H63" s="457">
        <v>105336.603515625</v>
      </c>
      <c r="I63" s="458"/>
      <c r="J63" s="458">
        <f>compras_mes2[[#This Row],[NETO GRAVADO]]*0.27</f>
        <v>28440.882949218751</v>
      </c>
      <c r="K63" s="458"/>
      <c r="L63" s="458">
        <v>3160.10009765625</v>
      </c>
      <c r="M63" s="458"/>
      <c r="N63" s="458"/>
      <c r="O63" s="458">
        <v>6723.64013671875</v>
      </c>
      <c r="P63" s="459">
        <f>SUM(compras_mes2[[#This Row],[NETO GRAVADO]:[Otros / No Grav.]])</f>
        <v>143661.22669921874</v>
      </c>
      <c r="Q63" s="460" t="str">
        <f>IFERROR(IF(compras_mes2[[#This Row],[CUIT]]="","-",VLOOKUP(compras_mes2[[#This Row],[CUIT]],Lista_CUIT[#All],3,0)),"CUIT NO CARGADO")</f>
        <v>Servicios Gas, Luz, etc.</v>
      </c>
      <c r="R63" s="460">
        <f>IFERROR(IF(compras_mes2[[#This Row],[CUIT]]="","-",VLOOKUP(compras_mes2[[#This Row],[CUIT]],Lista_CUIT[#All],4,0)),"CUIT NO CARGADO")</f>
        <v>0</v>
      </c>
    </row>
    <row r="64" spans="1:18" x14ac:dyDescent="0.25">
      <c r="B64" s="40" t="s">
        <v>2367</v>
      </c>
      <c r="C64" s="41">
        <v>1</v>
      </c>
      <c r="D64" s="285">
        <v>2084</v>
      </c>
      <c r="E64" s="286">
        <v>27426</v>
      </c>
      <c r="F64" s="287">
        <v>30548083156</v>
      </c>
      <c r="G64" s="45" t="str">
        <f>IFERROR(IF(compras_mes2[[#This Row],[CUIT]]="","-",VLOOKUP(compras_mes2[[#This Row],[CUIT]],Lista_CUIT[#All],2,0)),"CUIT NO CARGADO")</f>
        <v>COTO CENTRO INTEGRAL DE COMERCIALIZACION SOCIEDAD ANONIMA</v>
      </c>
      <c r="H64" s="46">
        <v>58798.41</v>
      </c>
      <c r="I64" s="85">
        <v>7602.67</v>
      </c>
      <c r="J64" s="85"/>
      <c r="K64" s="85">
        <v>2372.5</v>
      </c>
      <c r="L64" s="85"/>
      <c r="M64" s="85"/>
      <c r="N64" s="85"/>
      <c r="O64" s="85">
        <v>3597.22</v>
      </c>
      <c r="P64" s="48">
        <f>SUM(compras_mes2[[#This Row],[NETO GRAVADO]:[Otros / No Grav.]])</f>
        <v>72370.8</v>
      </c>
      <c r="Q64" s="49" t="str">
        <f>IFERROR(IF(compras_mes2[[#This Row],[CUIT]]="","-",VLOOKUP(compras_mes2[[#This Row],[CUIT]],Lista_CUIT[#All],3,0)),"CUIT NO CARGADO")</f>
        <v>Gastos Varios</v>
      </c>
      <c r="R64" s="49">
        <f>IFERROR(IF(compras_mes2[[#This Row],[CUIT]]="","-",VLOOKUP(compras_mes2[[#This Row],[CUIT]],Lista_CUIT[#All],4,0)),"CUIT NO CARGADO")</f>
        <v>0</v>
      </c>
    </row>
    <row r="65" spans="2:18" x14ac:dyDescent="0.25">
      <c r="B65" s="40" t="s">
        <v>2367</v>
      </c>
      <c r="C65" s="41">
        <v>1</v>
      </c>
      <c r="D65" s="285">
        <v>5015</v>
      </c>
      <c r="E65" s="286">
        <v>748842</v>
      </c>
      <c r="F65" s="287">
        <v>30574876474</v>
      </c>
      <c r="G65" s="45" t="str">
        <f>IFERROR(IF(compras_mes2[[#This Row],[CUIT]]="","-",VLOOKUP(compras_mes2[[#This Row],[CUIT]],Lista_CUIT[#All],2,0)),"CUIT NO CARGADO")</f>
        <v>AUTOPISTAS URBANAS S A</v>
      </c>
      <c r="H65" s="46">
        <v>41444.339999999997</v>
      </c>
      <c r="I65" s="85">
        <f>IF(compras_mes2[[#This Row],[NETO GRAVADO]]="","",compras_mes2[[#This Row],[NETO GRAVADO]]*0.21)</f>
        <v>8703.3113999999987</v>
      </c>
      <c r="J65" s="85"/>
      <c r="K65" s="85"/>
      <c r="L65" s="85"/>
      <c r="M65" s="85"/>
      <c r="N65" s="85"/>
      <c r="O65" s="85">
        <v>5387.76</v>
      </c>
      <c r="P65" s="48">
        <f>SUM(compras_mes2[[#This Row],[NETO GRAVADO]:[Otros / No Grav.]])</f>
        <v>55535.411399999997</v>
      </c>
      <c r="Q65" s="49" t="str">
        <f>IFERROR(IF(compras_mes2[[#This Row],[CUIT]]="","-",VLOOKUP(compras_mes2[[#This Row],[CUIT]],Lista_CUIT[#All],3,0)),"CUIT NO CARGADO")</f>
        <v>Peajes</v>
      </c>
      <c r="R65" s="49">
        <f>IFERROR(IF(compras_mes2[[#This Row],[CUIT]]="","-",VLOOKUP(compras_mes2[[#This Row],[CUIT]],Lista_CUIT[#All],4,0)),"CUIT NO CARGADO")</f>
        <v>0</v>
      </c>
    </row>
    <row r="66" spans="2:18" ht="19.149999999999999" customHeight="1" x14ac:dyDescent="0.25">
      <c r="B66" s="40" t="s">
        <v>2367</v>
      </c>
      <c r="C66" s="41">
        <v>1</v>
      </c>
      <c r="D66" s="285">
        <v>103</v>
      </c>
      <c r="E66" s="286">
        <v>748031</v>
      </c>
      <c r="F66" s="287">
        <v>30701307115</v>
      </c>
      <c r="G66" s="45" t="str">
        <f>IFERROR(IF(compras_mes2[[#This Row],[CUIT]]="","-",VLOOKUP(compras_mes2[[#This Row],[CUIT]],Lista_CUIT[#All],2,0)),"CUIT NO CARGADO")</f>
        <v>DESPEGAR COM AR SA</v>
      </c>
      <c r="H66" s="46">
        <v>100301</v>
      </c>
      <c r="I66" s="85">
        <v>2742.43</v>
      </c>
      <c r="J66" s="85"/>
      <c r="K66" s="85">
        <v>9160.39</v>
      </c>
      <c r="L66" s="85"/>
      <c r="M66" s="85"/>
      <c r="N66" s="85">
        <v>7112.71</v>
      </c>
      <c r="O66" s="85">
        <v>12164.03</v>
      </c>
      <c r="P66" s="48">
        <f>SUM(compras_mes2[[#This Row],[NETO GRAVADO]:[Otros / No Grav.]])</f>
        <v>131480.56</v>
      </c>
      <c r="Q66" s="49" t="str">
        <f>IFERROR(IF(compras_mes2[[#This Row],[CUIT]]="","-",VLOOKUP(compras_mes2[[#This Row],[CUIT]],Lista_CUIT[#All],3,0)),"CUIT NO CARGADO")</f>
        <v>Gastos Varios</v>
      </c>
      <c r="R66" s="49">
        <f>IFERROR(IF(compras_mes2[[#This Row],[CUIT]]="","-",VLOOKUP(compras_mes2[[#This Row],[CUIT]],Lista_CUIT[#All],4,0)),"CUIT NO CARGADO")</f>
        <v>0</v>
      </c>
    </row>
    <row r="67" spans="2:18" x14ac:dyDescent="0.25">
      <c r="B67" s="40" t="s">
        <v>2367</v>
      </c>
      <c r="C67" s="41">
        <v>1</v>
      </c>
      <c r="D67" s="285">
        <v>50</v>
      </c>
      <c r="E67" s="286">
        <v>4132474</v>
      </c>
      <c r="F67" s="287">
        <v>30714112836</v>
      </c>
      <c r="G67" s="45" t="str">
        <f>IFERROR(IF(compras_mes2[[#This Row],[CUIT]]="","-",VLOOKUP(compras_mes2[[#This Row],[CUIT]],Lista_CUIT[#All],2,0)),"CUIT NO CARGADO")</f>
        <v>AUTOPISTAS DE BS AS</v>
      </c>
      <c r="H67" s="46">
        <v>36205.910000000003</v>
      </c>
      <c r="I67" s="85">
        <f>IF(compras_mes2[[#This Row],[NETO GRAVADO]]="","",compras_mes2[[#This Row],[NETO GRAVADO]]*0.21)</f>
        <v>7603.2411000000002</v>
      </c>
      <c r="J67" s="85"/>
      <c r="K67" s="85"/>
      <c r="L67" s="85">
        <v>1086.18</v>
      </c>
      <c r="M67" s="85"/>
      <c r="N67" s="85"/>
      <c r="O67" s="85"/>
      <c r="P67" s="48">
        <f>SUM(compras_mes2[[#This Row],[NETO GRAVADO]:[Otros / No Grav.]])</f>
        <v>44895.331100000003</v>
      </c>
      <c r="Q67" s="49" t="str">
        <f>IFERROR(IF(compras_mes2[[#This Row],[CUIT]]="","-",VLOOKUP(compras_mes2[[#This Row],[CUIT]],Lista_CUIT[#All],3,0)),"CUIT NO CARGADO")</f>
        <v>Peajes</v>
      </c>
      <c r="R67" s="49">
        <f>IFERROR(IF(compras_mes2[[#This Row],[CUIT]]="","-",VLOOKUP(compras_mes2[[#This Row],[CUIT]],Lista_CUIT[#All],4,0)),"CUIT NO CARGADO")</f>
        <v>0</v>
      </c>
    </row>
    <row r="68" spans="2:18" x14ac:dyDescent="0.25">
      <c r="B68" s="40" t="s">
        <v>2367</v>
      </c>
      <c r="C68" s="41">
        <v>1</v>
      </c>
      <c r="D68" s="285">
        <v>113</v>
      </c>
      <c r="E68" s="286">
        <v>4073690</v>
      </c>
      <c r="F68" s="287">
        <v>30577207190</v>
      </c>
      <c r="G68" s="45" t="str">
        <f>IFERROR(IF(compras_mes2[[#This Row],[CUIT]]="","-",VLOOKUP(compras_mes2[[#This Row],[CUIT]],Lista_CUIT[#All],2,0)),"CUIT NO CARGADO")</f>
        <v>COORDINACION ECOLOGICA AREA METROPOLITANA SOCIEDAD DEL ESTADO</v>
      </c>
      <c r="H68" s="46">
        <v>3719.01</v>
      </c>
      <c r="I68" s="85">
        <f>IF(compras_mes2[[#This Row],[NETO GRAVADO]]="","",compras_mes2[[#This Row],[NETO GRAVADO]]*0.21)</f>
        <v>780.99210000000005</v>
      </c>
      <c r="J68" s="85"/>
      <c r="K68" s="85"/>
      <c r="L68" s="85">
        <v>111.57</v>
      </c>
      <c r="M68" s="85"/>
      <c r="N68" s="85"/>
      <c r="O68" s="85"/>
      <c r="P68" s="48">
        <f>SUM(compras_mes2[[#This Row],[NETO GRAVADO]:[Otros / No Grav.]])</f>
        <v>4611.5721000000003</v>
      </c>
      <c r="Q68" s="49" t="str">
        <f>IFERROR(IF(compras_mes2[[#This Row],[CUIT]]="","-",VLOOKUP(compras_mes2[[#This Row],[CUIT]],Lista_CUIT[#All],3,0)),"CUIT NO CARGADO")</f>
        <v>Gastos Limpieza</v>
      </c>
      <c r="R68" s="49">
        <f>IFERROR(IF(compras_mes2[[#This Row],[CUIT]]="","-",VLOOKUP(compras_mes2[[#This Row],[CUIT]],Lista_CUIT[#All],4,0)),"CUIT NO CARGADO")</f>
        <v>0</v>
      </c>
    </row>
    <row r="69" spans="2:18" x14ac:dyDescent="0.25">
      <c r="B69" s="40" t="s">
        <v>2367</v>
      </c>
      <c r="C69" s="41">
        <v>1</v>
      </c>
      <c r="D69" s="285">
        <v>3</v>
      </c>
      <c r="E69" s="286">
        <v>1965</v>
      </c>
      <c r="F69" s="287">
        <v>20320262195</v>
      </c>
      <c r="G69" s="45" t="str">
        <f>IFERROR(IF(compras_mes2[[#This Row],[CUIT]]="","-",VLOOKUP(compras_mes2[[#This Row],[CUIT]],Lista_CUIT[#All],2,0)),"CUIT NO CARGADO")</f>
        <v>FRAIRE MARIO ANDRES</v>
      </c>
      <c r="H69" s="46">
        <v>37190.1</v>
      </c>
      <c r="I69" s="85">
        <f>IF(compras_mes2[[#This Row],[NETO GRAVADO]]="","",compras_mes2[[#This Row],[NETO GRAVADO]]*0.21)</f>
        <v>7809.9209999999994</v>
      </c>
      <c r="J69" s="85"/>
      <c r="K69" s="85"/>
      <c r="L69" s="85"/>
      <c r="M69" s="85"/>
      <c r="N69" s="85"/>
      <c r="O69" s="85"/>
      <c r="P69" s="48">
        <f>SUM(compras_mes2[[#This Row],[NETO GRAVADO]:[Otros / No Grav.]])</f>
        <v>45000.021000000001</v>
      </c>
      <c r="Q69" s="49" t="str">
        <f>IFERROR(IF(compras_mes2[[#This Row],[CUIT]]="","-",VLOOKUP(compras_mes2[[#This Row],[CUIT]],Lista_CUIT[#All],3,0)),"CUIT NO CARGADO")</f>
        <v>Material de Empaque</v>
      </c>
      <c r="R69" s="49">
        <f>IFERROR(IF(compras_mes2[[#This Row],[CUIT]]="","-",VLOOKUP(compras_mes2[[#This Row],[CUIT]],Lista_CUIT[#All],4,0)),"CUIT NO CARGADO")</f>
        <v>0</v>
      </c>
    </row>
    <row r="70" spans="2:18" x14ac:dyDescent="0.25">
      <c r="B70" s="40" t="s">
        <v>2352</v>
      </c>
      <c r="C70" s="41">
        <v>1</v>
      </c>
      <c r="D70" s="285">
        <v>711</v>
      </c>
      <c r="E70" s="286">
        <v>6755140</v>
      </c>
      <c r="F70" s="287">
        <v>30677237119</v>
      </c>
      <c r="G70" s="45" t="str">
        <f>IFERROR(IF(compras_mes2[[#This Row],[CUIT]]="","-",VLOOKUP(compras_mes2[[#This Row],[CUIT]],Lista_CUIT[#All],2,0)),"CUIT NO CARGADO")</f>
        <v>AUTOPISTAS DEL SOL S A</v>
      </c>
      <c r="H70" s="46">
        <v>12999.78</v>
      </c>
      <c r="I70" s="85">
        <f>IF(compras_mes2[[#This Row],[NETO GRAVADO]]="","",compras_mes2[[#This Row],[NETO GRAVADO]]*0.21)</f>
        <v>2729.9538000000002</v>
      </c>
      <c r="J70" s="85"/>
      <c r="K70" s="85"/>
      <c r="L70" s="85">
        <v>389.99</v>
      </c>
      <c r="M70" s="85"/>
      <c r="N70" s="85"/>
      <c r="O70" s="85">
        <v>389.99</v>
      </c>
      <c r="P70" s="48">
        <f>SUM(compras_mes2[[#This Row],[NETO GRAVADO]:[Otros / No Grav.]])</f>
        <v>16509.713800000001</v>
      </c>
      <c r="Q70" s="49" t="str">
        <f>IFERROR(IF(compras_mes2[[#This Row],[CUIT]]="","-",VLOOKUP(compras_mes2[[#This Row],[CUIT]],Lista_CUIT[#All],3,0)),"CUIT NO CARGADO")</f>
        <v>Peajes</v>
      </c>
      <c r="R70" s="49">
        <f>IFERROR(IF(compras_mes2[[#This Row],[CUIT]]="","-",VLOOKUP(compras_mes2[[#This Row],[CUIT]],Lista_CUIT[#All],4,0)),"CUIT NO CARGADO")</f>
        <v>0</v>
      </c>
    </row>
    <row r="71" spans="2:18" x14ac:dyDescent="0.25">
      <c r="B71" s="40" t="s">
        <v>2352</v>
      </c>
      <c r="C71" s="41">
        <v>1</v>
      </c>
      <c r="D71" s="285">
        <v>629</v>
      </c>
      <c r="E71" s="286">
        <v>5863119</v>
      </c>
      <c r="F71" s="287">
        <v>30663498513</v>
      </c>
      <c r="G71" s="45" t="str">
        <f>IFERROR(IF(compras_mes2[[#This Row],[CUIT]]="","-",VLOOKUP(compras_mes2[[#This Row],[CUIT]],Lista_CUIT[#All],2,0)),"CUIT NO CARGADO")</f>
        <v>GRUPO CONCES. DEL OESTE SA</v>
      </c>
      <c r="H71" s="46">
        <v>17217.59</v>
      </c>
      <c r="I71" s="85">
        <f>IF(compras_mes2[[#This Row],[NETO GRAVADO]]="","",compras_mes2[[#This Row],[NETO GRAVADO]]*0.21)</f>
        <v>3615.6938999999998</v>
      </c>
      <c r="J71" s="85"/>
      <c r="K71" s="85"/>
      <c r="L71" s="85"/>
      <c r="M71" s="85"/>
      <c r="N71" s="85"/>
      <c r="O71" s="85"/>
      <c r="P71" s="48">
        <f>SUM(compras_mes2[[#This Row],[NETO GRAVADO]:[Otros / No Grav.]])</f>
        <v>20833.283899999999</v>
      </c>
      <c r="Q71" s="49" t="str">
        <f>IFERROR(IF(compras_mes2[[#This Row],[CUIT]]="","-",VLOOKUP(compras_mes2[[#This Row],[CUIT]],Lista_CUIT[#All],3,0)),"CUIT NO CARGADO")</f>
        <v>Peajes</v>
      </c>
      <c r="R71" s="49">
        <f>IFERROR(IF(compras_mes2[[#This Row],[CUIT]]="","-",VLOOKUP(compras_mes2[[#This Row],[CUIT]],Lista_CUIT[#All],4,0)),"CUIT NO CARGADO")</f>
        <v>0</v>
      </c>
    </row>
    <row r="72" spans="2:18" x14ac:dyDescent="0.25">
      <c r="B72" s="40" t="s">
        <v>2353</v>
      </c>
      <c r="C72" s="41">
        <v>1</v>
      </c>
      <c r="D72" s="285">
        <v>2</v>
      </c>
      <c r="E72" s="286">
        <v>275</v>
      </c>
      <c r="F72" s="287">
        <v>23396559269</v>
      </c>
      <c r="G72" s="45" t="str">
        <f>IFERROR(IF(compras_mes2[[#This Row],[CUIT]]="","-",VLOOKUP(compras_mes2[[#This Row],[CUIT]],Lista_CUIT[#All],2,0)),"CUIT NO CARGADO")</f>
        <v>GODOY MATIAS NICOLAS</v>
      </c>
      <c r="H72" s="46">
        <v>138099.14000000001</v>
      </c>
      <c r="I72" s="85">
        <f>IF(compras_mes2[[#This Row],[NETO GRAVADO]]="","",compras_mes2[[#This Row],[NETO GRAVADO]]*0.21)</f>
        <v>29000.8194</v>
      </c>
      <c r="J72" s="85"/>
      <c r="K72" s="85"/>
      <c r="L72" s="85"/>
      <c r="M72" s="85"/>
      <c r="N72" s="85"/>
      <c r="O72" s="85"/>
      <c r="P72" s="48">
        <f>SUM(compras_mes2[[#This Row],[NETO GRAVADO]:[Otros / No Grav.]])</f>
        <v>167099.95940000002</v>
      </c>
      <c r="Q72" s="49" t="str">
        <f>IFERROR(IF(compras_mes2[[#This Row],[CUIT]]="","-",VLOOKUP(compras_mes2[[#This Row],[CUIT]],Lista_CUIT[#All],3,0)),"CUIT NO CARGADO")</f>
        <v xml:space="preserve">Gastos mantenimiento </v>
      </c>
      <c r="R72" s="49">
        <f>IFERROR(IF(compras_mes2[[#This Row],[CUIT]]="","-",VLOOKUP(compras_mes2[[#This Row],[CUIT]],Lista_CUIT[#All],4,0)),"CUIT NO CARGADO")</f>
        <v>0</v>
      </c>
    </row>
    <row r="73" spans="2:18" x14ac:dyDescent="0.25">
      <c r="B73" s="40" t="s">
        <v>2368</v>
      </c>
      <c r="C73" s="41">
        <v>1</v>
      </c>
      <c r="D73" s="285">
        <v>4</v>
      </c>
      <c r="E73" s="286">
        <v>48893</v>
      </c>
      <c r="F73" s="287">
        <v>30709863076</v>
      </c>
      <c r="G73" s="45" t="str">
        <f>IFERROR(IF(compras_mes2[[#This Row],[CUIT]]="","-",VLOOKUP(compras_mes2[[#This Row],[CUIT]],Lista_CUIT[#All],2,0)),"CUIT NO CARGADO")</f>
        <v>INDUSTRIAS PLASTICOS SALTA S.R.L.</v>
      </c>
      <c r="H73" s="46">
        <v>816375</v>
      </c>
      <c r="I73" s="85">
        <f>IF(compras_mes2[[#This Row],[NETO GRAVADO]]="","",compras_mes2[[#This Row],[NETO GRAVADO]]*0.21)</f>
        <v>171438.75</v>
      </c>
      <c r="J73" s="85"/>
      <c r="K73" s="85"/>
      <c r="L73" s="85"/>
      <c r="M73" s="85"/>
      <c r="N73" s="85"/>
      <c r="O73" s="85"/>
      <c r="P73" s="48">
        <f>SUM(compras_mes2[[#This Row],[NETO GRAVADO]:[Otros / No Grav.]])</f>
        <v>987813.75</v>
      </c>
      <c r="Q73" s="49" t="str">
        <f>IFERROR(IF(compras_mes2[[#This Row],[CUIT]]="","-",VLOOKUP(compras_mes2[[#This Row],[CUIT]],Lista_CUIT[#All],3,0)),"CUIT NO CARGADO")</f>
        <v>Materia Prima</v>
      </c>
      <c r="R73" s="49">
        <f>IFERROR(IF(compras_mes2[[#This Row],[CUIT]]="","-",VLOOKUP(compras_mes2[[#This Row],[CUIT]],Lista_CUIT[#All],4,0)),"CUIT NO CARGADO")</f>
        <v>0</v>
      </c>
    </row>
    <row r="74" spans="2:18" x14ac:dyDescent="0.25">
      <c r="B74" s="40" t="s">
        <v>2353</v>
      </c>
      <c r="C74" s="41">
        <v>1</v>
      </c>
      <c r="D74" s="285">
        <v>2</v>
      </c>
      <c r="E74" s="286">
        <v>274</v>
      </c>
      <c r="F74" s="287">
        <v>23396559269</v>
      </c>
      <c r="G74" s="45" t="str">
        <f>IFERROR(IF(compras_mes2[[#This Row],[CUIT]]="","-",VLOOKUP(compras_mes2[[#This Row],[CUIT]],Lista_CUIT[#All],2,0)),"CUIT NO CARGADO")</f>
        <v>GODOY MATIAS NICOLAS</v>
      </c>
      <c r="H74" s="46">
        <v>51799.14</v>
      </c>
      <c r="I74" s="85">
        <f>IF(compras_mes2[[#This Row],[NETO GRAVADO]]="","",compras_mes2[[#This Row],[NETO GRAVADO]]*0.21)</f>
        <v>10877.8194</v>
      </c>
      <c r="J74" s="85"/>
      <c r="K74" s="85"/>
      <c r="L74" s="85"/>
      <c r="M74" s="85"/>
      <c r="N74" s="85"/>
      <c r="O74" s="85"/>
      <c r="P74" s="48">
        <f>SUM(compras_mes2[[#This Row],[NETO GRAVADO]:[Otros / No Grav.]])</f>
        <v>62676.9594</v>
      </c>
      <c r="Q74" s="49" t="str">
        <f>IFERROR(IF(compras_mes2[[#This Row],[CUIT]]="","-",VLOOKUP(compras_mes2[[#This Row],[CUIT]],Lista_CUIT[#All],3,0)),"CUIT NO CARGADO")</f>
        <v xml:space="preserve">Gastos mantenimiento </v>
      </c>
      <c r="R74" s="49">
        <f>IFERROR(IF(compras_mes2[[#This Row],[CUIT]]="","-",VLOOKUP(compras_mes2[[#This Row],[CUIT]],Lista_CUIT[#All],4,0)),"CUIT NO CARGADO")</f>
        <v>0</v>
      </c>
    </row>
    <row r="75" spans="2:18" x14ac:dyDescent="0.25">
      <c r="B75" s="40" t="s">
        <v>2368</v>
      </c>
      <c r="C75" s="41">
        <v>1</v>
      </c>
      <c r="D75" s="285">
        <v>14</v>
      </c>
      <c r="E75" s="286">
        <v>63810</v>
      </c>
      <c r="F75" s="287">
        <v>30711069360</v>
      </c>
      <c r="G75" s="45" t="str">
        <f>IFERROR(IF(compras_mes2[[#This Row],[CUIT]]="","-",VLOOKUP(compras_mes2[[#This Row],[CUIT]],Lista_CUIT[#All],2,0)),"CUIT NO CARGADO")</f>
        <v>BIDCOM SRL</v>
      </c>
      <c r="H75" s="46">
        <v>55655.37</v>
      </c>
      <c r="I75" s="85"/>
      <c r="J75" s="85"/>
      <c r="K75" s="85">
        <f>compras_mes2[[#This Row],[NETO GRAVADO]]*0.105</f>
        <v>5843.8138500000005</v>
      </c>
      <c r="L75" s="85"/>
      <c r="M75" s="85"/>
      <c r="N75" s="85"/>
      <c r="O75" s="85"/>
      <c r="P75" s="48">
        <f>SUM(compras_mes2[[#This Row],[NETO GRAVADO]:[Otros / No Grav.]])</f>
        <v>61499.183850000001</v>
      </c>
      <c r="Q75" s="49" t="str">
        <f>IFERROR(IF(compras_mes2[[#This Row],[CUIT]]="","-",VLOOKUP(compras_mes2[[#This Row],[CUIT]],Lista_CUIT[#All],3,0)),"CUIT NO CARGADO")</f>
        <v>Gastos Varios</v>
      </c>
      <c r="R75" s="49">
        <f>IFERROR(IF(compras_mes2[[#This Row],[CUIT]]="","-",VLOOKUP(compras_mes2[[#This Row],[CUIT]],Lista_CUIT[#All],4,0)),"CUIT NO CARGADO")</f>
        <v>0</v>
      </c>
    </row>
    <row r="76" spans="2:18" x14ac:dyDescent="0.25">
      <c r="B76" s="40" t="s">
        <v>2368</v>
      </c>
      <c r="C76" s="41">
        <v>1</v>
      </c>
      <c r="D76" s="285">
        <v>14</v>
      </c>
      <c r="E76" s="286">
        <v>16140</v>
      </c>
      <c r="F76" s="287">
        <v>30715186256</v>
      </c>
      <c r="G76" s="45" t="str">
        <f>IFERROR(IF(compras_mes2[[#This Row],[CUIT]]="","-",VLOOKUP(compras_mes2[[#This Row],[CUIT]],Lista_CUIT[#All],2,0)),"CUIT NO CARGADO")</f>
        <v>FRIGORIFICO ALIMENTIC</v>
      </c>
      <c r="H76" s="46">
        <v>68355.39</v>
      </c>
      <c r="I76" s="85">
        <v>5306.41</v>
      </c>
      <c r="J76" s="85"/>
      <c r="K76" s="85">
        <v>4524.1099999999997</v>
      </c>
      <c r="L76" s="85"/>
      <c r="M76" s="85"/>
      <c r="N76" s="85"/>
      <c r="O76" s="85"/>
      <c r="P76" s="48">
        <f>SUM(compras_mes2[[#This Row],[NETO GRAVADO]:[Otros / No Grav.]])</f>
        <v>78185.91</v>
      </c>
      <c r="Q76" s="49" t="str">
        <f>IFERROR(IF(compras_mes2[[#This Row],[CUIT]]="","-",VLOOKUP(compras_mes2[[#This Row],[CUIT]],Lista_CUIT[#All],3,0)),"CUIT NO CARGADO")</f>
        <v>Gastos Comercializacion - Feria</v>
      </c>
      <c r="R76" s="49">
        <f>IFERROR(IF(compras_mes2[[#This Row],[CUIT]]="","-",VLOOKUP(compras_mes2[[#This Row],[CUIT]],Lista_CUIT[#All],4,0)),"CUIT NO CARGADO")</f>
        <v>0</v>
      </c>
    </row>
    <row r="77" spans="2:18" x14ac:dyDescent="0.25">
      <c r="B77" s="40" t="s">
        <v>2368</v>
      </c>
      <c r="C77" s="41">
        <v>1</v>
      </c>
      <c r="D77" s="285">
        <v>4264</v>
      </c>
      <c r="E77" s="286">
        <v>4995862</v>
      </c>
      <c r="F77" s="287">
        <v>30639453738</v>
      </c>
      <c r="G77" s="45" t="str">
        <f>IFERROR(IF(compras_mes2[[#This Row],[CUIT]]="","-",VLOOKUP(compras_mes2[[#This Row],[CUIT]],Lista_CUIT[#All],2,0)),"CUIT NO CARGADO")</f>
        <v>TELECOM ARG SA</v>
      </c>
      <c r="H77" s="46">
        <v>28760</v>
      </c>
      <c r="I77" s="85">
        <f>IF(compras_mes2[[#This Row],[NETO GRAVADO]]="","",compras_mes2[[#This Row],[NETO GRAVADO]]*0.21)</f>
        <v>6039.5999999999995</v>
      </c>
      <c r="J77" s="85"/>
      <c r="K77" s="85"/>
      <c r="L77" s="85"/>
      <c r="M77" s="85"/>
      <c r="N77" s="85">
        <v>2588.4</v>
      </c>
      <c r="O77" s="85"/>
      <c r="P77" s="48">
        <f>SUM(compras_mes2[[#This Row],[NETO GRAVADO]:[Otros / No Grav.]])</f>
        <v>37388</v>
      </c>
      <c r="Q77" s="49" t="str">
        <f>IFERROR(IF(compras_mes2[[#This Row],[CUIT]]="","-",VLOOKUP(compras_mes2[[#This Row],[CUIT]],Lista_CUIT[#All],3,0)),"CUIT NO CARGADO")</f>
        <v>Servicios Gas, Luz, etc.</v>
      </c>
      <c r="R77" s="49">
        <f>IFERROR(IF(compras_mes2[[#This Row],[CUIT]]="","-",VLOOKUP(compras_mes2[[#This Row],[CUIT]],Lista_CUIT[#All],4,0)),"CUIT NO CARGADO")</f>
        <v>0</v>
      </c>
    </row>
    <row r="78" spans="2:18" x14ac:dyDescent="0.25">
      <c r="B78" s="40" t="s">
        <v>2368</v>
      </c>
      <c r="C78" s="41">
        <v>1</v>
      </c>
      <c r="D78" s="285">
        <v>4264</v>
      </c>
      <c r="E78" s="286">
        <v>4957843</v>
      </c>
      <c r="F78" s="287">
        <v>30639453738</v>
      </c>
      <c r="G78" s="45" t="str">
        <f>IFERROR(IF(compras_mes2[[#This Row],[CUIT]]="","-",VLOOKUP(compras_mes2[[#This Row],[CUIT]],Lista_CUIT[#All],2,0)),"CUIT NO CARGADO")</f>
        <v>TELECOM ARG SA</v>
      </c>
      <c r="H78" s="46">
        <v>19010</v>
      </c>
      <c r="I78" s="85">
        <f>IF(compras_mes2[[#This Row],[NETO GRAVADO]]="","",compras_mes2[[#This Row],[NETO GRAVADO]]*0.21)</f>
        <v>3992.1</v>
      </c>
      <c r="J78" s="85"/>
      <c r="K78" s="85"/>
      <c r="L78" s="85"/>
      <c r="M78" s="85"/>
      <c r="N78" s="85">
        <v>570.29999999999995</v>
      </c>
      <c r="O78" s="85"/>
      <c r="P78" s="48">
        <f>SUM(compras_mes2[[#This Row],[NETO GRAVADO]:[Otros / No Grav.]])</f>
        <v>23572.399999999998</v>
      </c>
      <c r="Q78" s="49" t="str">
        <f>IFERROR(IF(compras_mes2[[#This Row],[CUIT]]="","-",VLOOKUP(compras_mes2[[#This Row],[CUIT]],Lista_CUIT[#All],3,0)),"CUIT NO CARGADO")</f>
        <v>Servicios Gas, Luz, etc.</v>
      </c>
      <c r="R78" s="49">
        <f>IFERROR(IF(compras_mes2[[#This Row],[CUIT]]="","-",VLOOKUP(compras_mes2[[#This Row],[CUIT]],Lista_CUIT[#All],4,0)),"CUIT NO CARGADO")</f>
        <v>0</v>
      </c>
    </row>
    <row r="79" spans="2:18" x14ac:dyDescent="0.25">
      <c r="B79" s="40" t="s">
        <v>2368</v>
      </c>
      <c r="C79" s="41">
        <v>1</v>
      </c>
      <c r="D79" s="285">
        <v>3</v>
      </c>
      <c r="E79" s="286">
        <v>10073</v>
      </c>
      <c r="F79" s="287">
        <v>27412102431</v>
      </c>
      <c r="G79" s="45" t="str">
        <f>IFERROR(IF(compras_mes2[[#This Row],[CUIT]]="","-",VLOOKUP(compras_mes2[[#This Row],[CUIT]],Lista_CUIT[#All],2,0)),"CUIT NO CARGADO")</f>
        <v>ALVEZ ARIANA SOL</v>
      </c>
      <c r="H79" s="46">
        <v>71487.62</v>
      </c>
      <c r="I79" s="85">
        <f>IF(compras_mes2[[#This Row],[NETO GRAVADO]]="","",compras_mes2[[#This Row],[NETO GRAVADO]]*0.21)</f>
        <v>15012.400199999998</v>
      </c>
      <c r="J79" s="85"/>
      <c r="K79" s="85"/>
      <c r="L79" s="85"/>
      <c r="M79" s="85"/>
      <c r="N79" s="85"/>
      <c r="O79" s="85"/>
      <c r="P79" s="48">
        <f>SUM(compras_mes2[[#This Row],[NETO GRAVADO]:[Otros / No Grav.]])</f>
        <v>86500.020199999999</v>
      </c>
      <c r="Q79" s="49" t="str">
        <f>IFERROR(IF(compras_mes2[[#This Row],[CUIT]]="","-",VLOOKUP(compras_mes2[[#This Row],[CUIT]],Lista_CUIT[#All],3,0)),"CUIT NO CARGADO")</f>
        <v>Software Mantenimiento</v>
      </c>
      <c r="R79" s="49">
        <f>IFERROR(IF(compras_mes2[[#This Row],[CUIT]]="","-",VLOOKUP(compras_mes2[[#This Row],[CUIT]],Lista_CUIT[#All],4,0)),"CUIT NO CARGADO")</f>
        <v>0</v>
      </c>
    </row>
    <row r="80" spans="2:18" x14ac:dyDescent="0.25">
      <c r="B80" s="40" t="s">
        <v>2368</v>
      </c>
      <c r="C80" s="41">
        <v>1</v>
      </c>
      <c r="D80" s="285">
        <v>2</v>
      </c>
      <c r="E80" s="286">
        <v>3961</v>
      </c>
      <c r="F80" s="287">
        <v>30629863571</v>
      </c>
      <c r="G80" s="45" t="str">
        <f>IFERROR(IF(compras_mes2[[#This Row],[CUIT]]="","-",VLOOKUP(compras_mes2[[#This Row],[CUIT]],Lista_CUIT[#All],2,0)),"CUIT NO CARGADO")</f>
        <v>TECNIMAR S R L</v>
      </c>
      <c r="H80" s="46">
        <v>376793.24</v>
      </c>
      <c r="I80" s="85">
        <f>IF(compras_mes2[[#This Row],[NETO GRAVADO]]="","",compras_mes2[[#This Row],[NETO GRAVADO]]*0.21)</f>
        <v>79126.580399999992</v>
      </c>
      <c r="J80" s="85"/>
      <c r="K80" s="85"/>
      <c r="L80" s="85"/>
      <c r="M80" s="85"/>
      <c r="N80" s="85"/>
      <c r="O80" s="85"/>
      <c r="P80" s="48">
        <f>SUM(compras_mes2[[#This Row],[NETO GRAVADO]:[Otros / No Grav.]])</f>
        <v>455919.82039999997</v>
      </c>
      <c r="Q80" s="49" t="str">
        <f>IFERROR(IF(compras_mes2[[#This Row],[CUIT]]="","-",VLOOKUP(compras_mes2[[#This Row],[CUIT]],Lista_CUIT[#All],3,0)),"CUIT NO CARGADO")</f>
        <v>Productos Venta</v>
      </c>
      <c r="R80" s="49">
        <f>IFERROR(IF(compras_mes2[[#This Row],[CUIT]]="","-",VLOOKUP(compras_mes2[[#This Row],[CUIT]],Lista_CUIT[#All],4,0)),"CUIT NO CARGADO")</f>
        <v>0</v>
      </c>
    </row>
    <row r="81" spans="2:18" x14ac:dyDescent="0.25">
      <c r="B81" s="40" t="s">
        <v>2369</v>
      </c>
      <c r="C81" s="41">
        <v>1</v>
      </c>
      <c r="D81" s="285">
        <v>15</v>
      </c>
      <c r="E81" s="286">
        <v>90963</v>
      </c>
      <c r="F81" s="287">
        <v>33708907869</v>
      </c>
      <c r="G81" s="45" t="str">
        <f>IFERROR(IF(compras_mes2[[#This Row],[CUIT]]="","-",VLOOKUP(compras_mes2[[#This Row],[CUIT]],Lista_CUIT[#All],2,0)),"CUIT NO CARGADO")</f>
        <v>SERCAP INSUMOS SRL</v>
      </c>
      <c r="H81" s="46">
        <v>66573.759999999995</v>
      </c>
      <c r="I81" s="85"/>
      <c r="J81" s="85"/>
      <c r="K81" s="85">
        <f>compras_mes2[[#This Row],[NETO GRAVADO]]*0.105</f>
        <v>6990.2447999999995</v>
      </c>
      <c r="L81" s="85"/>
      <c r="M81" s="85"/>
      <c r="N81" s="85"/>
      <c r="O81" s="85"/>
      <c r="P81" s="48">
        <f>SUM(compras_mes2[[#This Row],[NETO GRAVADO]:[Otros / No Grav.]])</f>
        <v>73564.004799999995</v>
      </c>
      <c r="Q81" s="49" t="str">
        <f>IFERROR(IF(compras_mes2[[#This Row],[CUIT]]="","-",VLOOKUP(compras_mes2[[#This Row],[CUIT]],Lista_CUIT[#All],3,0)),"CUIT NO CARGADO")</f>
        <v>Gastos Varios</v>
      </c>
      <c r="R81" s="49">
        <f>IFERROR(IF(compras_mes2[[#This Row],[CUIT]]="","-",VLOOKUP(compras_mes2[[#This Row],[CUIT]],Lista_CUIT[#All],4,0)),"CUIT NO CARGADO")</f>
        <v>0</v>
      </c>
    </row>
    <row r="82" spans="2:18" x14ac:dyDescent="0.25">
      <c r="B82" s="40" t="s">
        <v>2369</v>
      </c>
      <c r="C82" s="41">
        <v>1</v>
      </c>
      <c r="D82" s="285">
        <v>8</v>
      </c>
      <c r="E82" s="286">
        <v>2391</v>
      </c>
      <c r="F82" s="287">
        <v>20277381908</v>
      </c>
      <c r="G82" s="45" t="str">
        <f>IFERROR(IF(compras_mes2[[#This Row],[CUIT]]="","-",VLOOKUP(compras_mes2[[#This Row],[CUIT]],Lista_CUIT[#All],2,0)),"CUIT NO CARGADO")</f>
        <v>ALONSO RODRIGO JAVIER</v>
      </c>
      <c r="H82" s="46">
        <v>59504.13</v>
      </c>
      <c r="I82" s="85">
        <f>IF(compras_mes2[[#This Row],[NETO GRAVADO]]="","",compras_mes2[[#This Row],[NETO GRAVADO]]*0.21)</f>
        <v>12495.8673</v>
      </c>
      <c r="J82" s="85"/>
      <c r="K82" s="85"/>
      <c r="L82" s="85"/>
      <c r="M82" s="85"/>
      <c r="N82" s="85"/>
      <c r="O82" s="85"/>
      <c r="P82" s="48">
        <f>SUM(compras_mes2[[#This Row],[NETO GRAVADO]:[Otros / No Grav.]])</f>
        <v>71999.997300000003</v>
      </c>
      <c r="Q82" s="49" t="str">
        <f>IFERROR(IF(compras_mes2[[#This Row],[CUIT]]="","-",VLOOKUP(compras_mes2[[#This Row],[CUIT]],Lista_CUIT[#All],3,0)),"CUIT NO CARGADO")</f>
        <v>Gastos Varios</v>
      </c>
      <c r="R82" s="49">
        <f>IFERROR(IF(compras_mes2[[#This Row],[CUIT]]="","-",VLOOKUP(compras_mes2[[#This Row],[CUIT]],Lista_CUIT[#All],4,0)),"CUIT NO CARGADO")</f>
        <v>0</v>
      </c>
    </row>
    <row r="83" spans="2:18" x14ac:dyDescent="0.25">
      <c r="B83" s="40" t="s">
        <v>2353</v>
      </c>
      <c r="C83" s="41">
        <v>1</v>
      </c>
      <c r="D83" s="285">
        <v>2</v>
      </c>
      <c r="E83" s="286">
        <v>273</v>
      </c>
      <c r="F83" s="287">
        <v>23396559269</v>
      </c>
      <c r="G83" s="45" t="str">
        <f>IFERROR(IF(compras_mes2[[#This Row],[CUIT]]="","-",VLOOKUP(compras_mes2[[#This Row],[CUIT]],Lista_CUIT[#All],2,0)),"CUIT NO CARGADO")</f>
        <v>GODOY MATIAS NICOLAS</v>
      </c>
      <c r="H83" s="46">
        <v>51799.14</v>
      </c>
      <c r="I83" s="85">
        <f>IF(compras_mes2[[#This Row],[NETO GRAVADO]]="","",compras_mes2[[#This Row],[NETO GRAVADO]]*0.21)</f>
        <v>10877.8194</v>
      </c>
      <c r="J83" s="85"/>
      <c r="K83" s="85"/>
      <c r="L83" s="85"/>
      <c r="M83" s="85"/>
      <c r="N83" s="85"/>
      <c r="O83" s="85"/>
      <c r="P83" s="48">
        <f>SUM(compras_mes2[[#This Row],[NETO GRAVADO]:[Otros / No Grav.]])</f>
        <v>62676.9594</v>
      </c>
      <c r="Q83" s="49" t="str">
        <f>IFERROR(IF(compras_mes2[[#This Row],[CUIT]]="","-",VLOOKUP(compras_mes2[[#This Row],[CUIT]],Lista_CUIT[#All],3,0)),"CUIT NO CARGADO")</f>
        <v xml:space="preserve">Gastos mantenimiento </v>
      </c>
      <c r="R83" s="49">
        <f>IFERROR(IF(compras_mes2[[#This Row],[CUIT]]="","-",VLOOKUP(compras_mes2[[#This Row],[CUIT]],Lista_CUIT[#All],4,0)),"CUIT NO CARGADO")</f>
        <v>0</v>
      </c>
    </row>
    <row r="84" spans="2:18" x14ac:dyDescent="0.25">
      <c r="B84" s="40" t="s">
        <v>2353</v>
      </c>
      <c r="C84" s="41">
        <v>3</v>
      </c>
      <c r="D84" s="285">
        <v>2</v>
      </c>
      <c r="E84" s="286">
        <v>7</v>
      </c>
      <c r="F84" s="287">
        <v>23396559269</v>
      </c>
      <c r="G84" s="45" t="str">
        <f>IFERROR(IF(compras_mes2[[#This Row],[CUIT]]="","-",VLOOKUP(compras_mes2[[#This Row],[CUIT]],Lista_CUIT[#All],2,0)),"CUIT NO CARGADO")</f>
        <v>GODOY MATIAS NICOLAS</v>
      </c>
      <c r="H84" s="46">
        <v>-51799.14</v>
      </c>
      <c r="I84" s="85">
        <f>IF(compras_mes2[[#This Row],[NETO GRAVADO]]="","",compras_mes2[[#This Row],[NETO GRAVADO]]*0.21)</f>
        <v>-10877.8194</v>
      </c>
      <c r="J84" s="85"/>
      <c r="K84" s="85"/>
      <c r="L84" s="85"/>
      <c r="M84" s="85"/>
      <c r="N84" s="85"/>
      <c r="O84" s="85"/>
      <c r="P84" s="48">
        <f>SUM(compras_mes2[[#This Row],[NETO GRAVADO]:[Otros / No Grav.]])</f>
        <v>-62676.9594</v>
      </c>
      <c r="Q84" s="49" t="str">
        <f>IFERROR(IF(compras_mes2[[#This Row],[CUIT]]="","-",VLOOKUP(compras_mes2[[#This Row],[CUIT]],Lista_CUIT[#All],3,0)),"CUIT NO CARGADO")</f>
        <v xml:space="preserve">Gastos mantenimiento </v>
      </c>
      <c r="R84" s="49">
        <f>IFERROR(IF(compras_mes2[[#This Row],[CUIT]]="","-",VLOOKUP(compras_mes2[[#This Row],[CUIT]],Lista_CUIT[#All],4,0)),"CUIT NO CARGADO")</f>
        <v>0</v>
      </c>
    </row>
    <row r="85" spans="2:18" x14ac:dyDescent="0.25">
      <c r="B85" s="40" t="s">
        <v>2353</v>
      </c>
      <c r="C85" s="41">
        <v>3</v>
      </c>
      <c r="D85" s="285">
        <v>2</v>
      </c>
      <c r="E85" s="286">
        <v>6</v>
      </c>
      <c r="F85" s="287">
        <v>23396559269</v>
      </c>
      <c r="G85" s="45" t="str">
        <f>IFERROR(IF(compras_mes2[[#This Row],[CUIT]]="","-",VLOOKUP(compras_mes2[[#This Row],[CUIT]],Lista_CUIT[#All],2,0)),"CUIT NO CARGADO")</f>
        <v>GODOY MATIAS NICOLAS</v>
      </c>
      <c r="H85" s="46">
        <v>-51799.14</v>
      </c>
      <c r="I85" s="85">
        <f>IF(compras_mes2[[#This Row],[NETO GRAVADO]]="","",compras_mes2[[#This Row],[NETO GRAVADO]]*0.21)</f>
        <v>-10877.8194</v>
      </c>
      <c r="J85" s="85"/>
      <c r="K85" s="85"/>
      <c r="L85" s="85"/>
      <c r="M85" s="85"/>
      <c r="N85" s="85"/>
      <c r="O85" s="85"/>
      <c r="P85" s="48">
        <f>SUM(compras_mes2[[#This Row],[NETO GRAVADO]:[Otros / No Grav.]])</f>
        <v>-62676.9594</v>
      </c>
      <c r="Q85" s="49" t="str">
        <f>IFERROR(IF(compras_mes2[[#This Row],[CUIT]]="","-",VLOOKUP(compras_mes2[[#This Row],[CUIT]],Lista_CUIT[#All],3,0)),"CUIT NO CARGADO")</f>
        <v xml:space="preserve">Gastos mantenimiento </v>
      </c>
      <c r="R85" s="49">
        <f>IFERROR(IF(compras_mes2[[#This Row],[CUIT]]="","-",VLOOKUP(compras_mes2[[#This Row],[CUIT]],Lista_CUIT[#All],4,0)),"CUIT NO CARGADO")</f>
        <v>0</v>
      </c>
    </row>
    <row r="86" spans="2:18" x14ac:dyDescent="0.25">
      <c r="B86" s="40" t="s">
        <v>2369</v>
      </c>
      <c r="C86" s="41">
        <v>1</v>
      </c>
      <c r="D86" s="285">
        <v>2</v>
      </c>
      <c r="E86" s="286">
        <v>3962</v>
      </c>
      <c r="F86" s="287">
        <v>30629863571</v>
      </c>
      <c r="G86" s="45" t="str">
        <f>IFERROR(IF(compras_mes2[[#This Row],[CUIT]]="","-",VLOOKUP(compras_mes2[[#This Row],[CUIT]],Lista_CUIT[#All],2,0)),"CUIT NO CARGADO")</f>
        <v>TECNIMAR S R L</v>
      </c>
      <c r="H86" s="46">
        <v>4091058.71</v>
      </c>
      <c r="I86" s="85">
        <f>IF(compras_mes2[[#This Row],[NETO GRAVADO]]="","",compras_mes2[[#This Row],[NETO GRAVADO]]*0.21)</f>
        <v>859122.32909999997</v>
      </c>
      <c r="J86" s="85"/>
      <c r="K86" s="85"/>
      <c r="L86" s="85"/>
      <c r="M86" s="85"/>
      <c r="N86" s="85"/>
      <c r="O86" s="85"/>
      <c r="P86" s="48">
        <f>SUM(compras_mes2[[#This Row],[NETO GRAVADO]:[Otros / No Grav.]])</f>
        <v>4950181.0390999997</v>
      </c>
      <c r="Q86" s="49" t="str">
        <f>IFERROR(IF(compras_mes2[[#This Row],[CUIT]]="","-",VLOOKUP(compras_mes2[[#This Row],[CUIT]],Lista_CUIT[#All],3,0)),"CUIT NO CARGADO")</f>
        <v>Productos Venta</v>
      </c>
      <c r="R86" s="49">
        <f>IFERROR(IF(compras_mes2[[#This Row],[CUIT]]="","-",VLOOKUP(compras_mes2[[#This Row],[CUIT]],Lista_CUIT[#All],4,0)),"CUIT NO CARGADO")</f>
        <v>0</v>
      </c>
    </row>
    <row r="87" spans="2:18" x14ac:dyDescent="0.25">
      <c r="B87" s="40" t="s">
        <v>2355</v>
      </c>
      <c r="C87" s="41">
        <v>1</v>
      </c>
      <c r="D87" s="285">
        <v>4</v>
      </c>
      <c r="E87" s="286">
        <v>97</v>
      </c>
      <c r="F87" s="287">
        <v>27061895642</v>
      </c>
      <c r="G87" s="45" t="str">
        <f>IFERROR(IF(compras_mes2[[#This Row],[CUIT]]="","-",VLOOKUP(compras_mes2[[#This Row],[CUIT]],Lista_CUIT[#All],2,0)),"CUIT NO CARGADO")</f>
        <v>BUSATTO ELSA MARIA</v>
      </c>
      <c r="H87" s="46">
        <v>30000</v>
      </c>
      <c r="I87" s="85">
        <f>IF(compras_mes2[[#This Row],[NETO GRAVADO]]="","",compras_mes2[[#This Row],[NETO GRAVADO]]*0.21)</f>
        <v>6300</v>
      </c>
      <c r="J87" s="85"/>
      <c r="K87" s="85"/>
      <c r="L87" s="85"/>
      <c r="M87" s="85"/>
      <c r="N87" s="85"/>
      <c r="O87" s="85"/>
      <c r="P87" s="48">
        <f>SUM(compras_mes2[[#This Row],[NETO GRAVADO]:[Otros / No Grav.]])</f>
        <v>36300</v>
      </c>
      <c r="Q87" s="49" t="str">
        <f>IFERROR(IF(compras_mes2[[#This Row],[CUIT]]="","-",VLOOKUP(compras_mes2[[#This Row],[CUIT]],Lista_CUIT[#All],3,0)),"CUIT NO CARGADO")</f>
        <v>Gastos seguridad</v>
      </c>
      <c r="R87" s="49">
        <f>IFERROR(IF(compras_mes2[[#This Row],[CUIT]]="","-",VLOOKUP(compras_mes2[[#This Row],[CUIT]],Lista_CUIT[#All],4,0)),"CUIT NO CARGADO")</f>
        <v>0</v>
      </c>
    </row>
    <row r="88" spans="2:18" x14ac:dyDescent="0.25">
      <c r="B88" s="40" t="s">
        <v>2353</v>
      </c>
      <c r="C88" s="41">
        <v>1</v>
      </c>
      <c r="D88" s="285">
        <v>2188</v>
      </c>
      <c r="E88" s="286">
        <v>142084</v>
      </c>
      <c r="F88" s="287">
        <v>30548083156</v>
      </c>
      <c r="G88" s="45" t="str">
        <f>IFERROR(IF(compras_mes2[[#This Row],[CUIT]]="","-",VLOOKUP(compras_mes2[[#This Row],[CUIT]],Lista_CUIT[#All],2,0)),"CUIT NO CARGADO")</f>
        <v>COTO CENTRO INTEGRAL DE COMERCIALIZACION SOCIEDAD ANONIMA</v>
      </c>
      <c r="H88" s="46">
        <v>66983.759999999995</v>
      </c>
      <c r="I88" s="85">
        <v>12065.51</v>
      </c>
      <c r="J88" s="85"/>
      <c r="K88" s="85">
        <v>1000.54</v>
      </c>
      <c r="L88" s="85"/>
      <c r="M88" s="85"/>
      <c r="N88" s="85"/>
      <c r="O88" s="85">
        <v>5235.6499999999996</v>
      </c>
      <c r="P88" s="48">
        <f>SUM(compras_mes2[[#This Row],[NETO GRAVADO]:[Otros / No Grav.]])</f>
        <v>85285.459999999977</v>
      </c>
      <c r="Q88" s="49" t="str">
        <f>IFERROR(IF(compras_mes2[[#This Row],[CUIT]]="","-",VLOOKUP(compras_mes2[[#This Row],[CUIT]],Lista_CUIT[#All],3,0)),"CUIT NO CARGADO")</f>
        <v>Gastos Varios</v>
      </c>
      <c r="R88" s="49">
        <f>IFERROR(IF(compras_mes2[[#This Row],[CUIT]]="","-",VLOOKUP(compras_mes2[[#This Row],[CUIT]],Lista_CUIT[#All],4,0)),"CUIT NO CARGADO")</f>
        <v>0</v>
      </c>
    </row>
    <row r="89" spans="2:18" x14ac:dyDescent="0.25">
      <c r="B89" s="40" t="s">
        <v>2353</v>
      </c>
      <c r="C89" s="41">
        <v>1</v>
      </c>
      <c r="D89" s="285">
        <v>1</v>
      </c>
      <c r="E89" s="286">
        <v>349</v>
      </c>
      <c r="F89" s="287">
        <v>27386627695</v>
      </c>
      <c r="G89" s="45" t="str">
        <f>IFERROR(IF(compras_mes2[[#This Row],[CUIT]]="","-",VLOOKUP(compras_mes2[[#This Row],[CUIT]],Lista_CUIT[#All],2,0)),"CUIT NO CARGADO")</f>
        <v>CANAVIDE JIMENA PAOLA</v>
      </c>
      <c r="H89" s="46">
        <v>659073.56999999995</v>
      </c>
      <c r="I89" s="85">
        <f>IF(compras_mes2[[#This Row],[NETO GRAVADO]]="","",compras_mes2[[#This Row],[NETO GRAVADO]]*0.21)</f>
        <v>138405.4497</v>
      </c>
      <c r="J89" s="85"/>
      <c r="K89" s="85"/>
      <c r="L89" s="85"/>
      <c r="M89" s="85"/>
      <c r="N89" s="85"/>
      <c r="O89" s="85"/>
      <c r="P89" s="48">
        <f>SUM(compras_mes2[[#This Row],[NETO GRAVADO]:[Otros / No Grav.]])</f>
        <v>797479.01969999995</v>
      </c>
      <c r="Q89" s="49" t="str">
        <f>IFERROR(IF(compras_mes2[[#This Row],[CUIT]]="","-",VLOOKUP(compras_mes2[[#This Row],[CUIT]],Lista_CUIT[#All],3,0)),"CUIT NO CARGADO")</f>
        <v>Muebles y Utiles</v>
      </c>
      <c r="R89" s="49">
        <f>IFERROR(IF(compras_mes2[[#This Row],[CUIT]]="","-",VLOOKUP(compras_mes2[[#This Row],[CUIT]],Lista_CUIT[#All],4,0)),"CUIT NO CARGADO")</f>
        <v>0</v>
      </c>
    </row>
    <row r="90" spans="2:18" x14ac:dyDescent="0.25">
      <c r="B90" s="40" t="s">
        <v>2368</v>
      </c>
      <c r="C90" s="41">
        <v>1</v>
      </c>
      <c r="D90" s="285">
        <v>8</v>
      </c>
      <c r="E90" s="286">
        <v>30518</v>
      </c>
      <c r="F90" s="287">
        <v>30542071741</v>
      </c>
      <c r="G90" s="45" t="str">
        <f>IFERROR(IF(compras_mes2[[#This Row],[CUIT]]="","-",VLOOKUP(compras_mes2[[#This Row],[CUIT]],Lista_CUIT[#All],2,0)),"CUIT NO CARGADO")</f>
        <v>VALLS SOCIEDAD ANONIMA</v>
      </c>
      <c r="H90" s="46">
        <v>720358.8</v>
      </c>
      <c r="I90" s="85">
        <v>36672.04</v>
      </c>
      <c r="J90" s="85"/>
      <c r="K90" s="85">
        <v>57301.65</v>
      </c>
      <c r="L90" s="85"/>
      <c r="M90" s="85"/>
      <c r="N90" s="85"/>
      <c r="O90" s="85"/>
      <c r="P90" s="48">
        <f>SUM(compras_mes2[[#This Row],[NETO GRAVADO]:[Otros / No Grav.]])</f>
        <v>814332.49000000011</v>
      </c>
      <c r="Q90" s="49" t="str">
        <f>IFERROR(IF(compras_mes2[[#This Row],[CUIT]]="","-",VLOOKUP(compras_mes2[[#This Row],[CUIT]],Lista_CUIT[#All],3,0)),"CUIT NO CARGADO")</f>
        <v>Gastos seguridad</v>
      </c>
      <c r="R90" s="49">
        <f>IFERROR(IF(compras_mes2[[#This Row],[CUIT]]="","-",VLOOKUP(compras_mes2[[#This Row],[CUIT]],Lista_CUIT[#All],4,0)),"CUIT NO CARGADO")</f>
        <v>0</v>
      </c>
    </row>
    <row r="91" spans="2:18" x14ac:dyDescent="0.25">
      <c r="B91" s="40" t="s">
        <v>2358</v>
      </c>
      <c r="C91" s="41">
        <v>1</v>
      </c>
      <c r="D91" s="285">
        <v>32</v>
      </c>
      <c r="E91" s="286">
        <v>6228</v>
      </c>
      <c r="F91" s="287">
        <v>30633413629</v>
      </c>
      <c r="G91" s="45" t="str">
        <f>IFERROR(IF(compras_mes2[[#This Row],[CUIT]]="","-",VLOOKUP(compras_mes2[[#This Row],[CUIT]],Lista_CUIT[#All],2,0)),"CUIT NO CARGADO")</f>
        <v>TRANSPORTE RAOSA SRL</v>
      </c>
      <c r="H91" s="46">
        <v>12186.19</v>
      </c>
      <c r="I91" s="85">
        <f>IF(compras_mes2[[#This Row],[NETO GRAVADO]]="","",compras_mes2[[#This Row],[NETO GRAVADO]]*0.21)</f>
        <v>2559.0999000000002</v>
      </c>
      <c r="J91" s="85"/>
      <c r="K91" s="85"/>
      <c r="L91" s="85"/>
      <c r="M91" s="85"/>
      <c r="N91" s="85"/>
      <c r="O91" s="85"/>
      <c r="P91" s="48">
        <f>SUM(compras_mes2[[#This Row],[NETO GRAVADO]:[Otros / No Grav.]])</f>
        <v>14745.2899</v>
      </c>
      <c r="Q91" s="49" t="str">
        <f>IFERROR(IF(compras_mes2[[#This Row],[CUIT]]="","-",VLOOKUP(compras_mes2[[#This Row],[CUIT]],Lista_CUIT[#All],3,0)),"CUIT NO CARGADO")</f>
        <v>Flete</v>
      </c>
      <c r="R91" s="49">
        <f>IFERROR(IF(compras_mes2[[#This Row],[CUIT]]="","-",VLOOKUP(compras_mes2[[#This Row],[CUIT]],Lista_CUIT[#All],4,0)),"CUIT NO CARGADO")</f>
        <v>0</v>
      </c>
    </row>
    <row r="92" spans="2:18" x14ac:dyDescent="0.25">
      <c r="B92" s="40" t="s">
        <v>2358</v>
      </c>
      <c r="C92" s="41">
        <v>1</v>
      </c>
      <c r="D92" s="285">
        <v>5</v>
      </c>
      <c r="E92" s="286">
        <v>12030</v>
      </c>
      <c r="F92" s="287">
        <v>30710166834</v>
      </c>
      <c r="G92" s="45" t="str">
        <f>IFERROR(IF(compras_mes2[[#This Row],[CUIT]]="","-",VLOOKUP(compras_mes2[[#This Row],[CUIT]],Lista_CUIT[#All],2,0)),"CUIT NO CARGADO")</f>
        <v>CILUX S.R.L.</v>
      </c>
      <c r="H92" s="46">
        <v>66338.97</v>
      </c>
      <c r="I92" s="85">
        <f>IF(compras_mes2[[#This Row],[NETO GRAVADO]]="","",compras_mes2[[#This Row],[NETO GRAVADO]]*0.21)</f>
        <v>13931.1837</v>
      </c>
      <c r="J92" s="85"/>
      <c r="K92" s="85"/>
      <c r="L92" s="85"/>
      <c r="M92" s="85"/>
      <c r="N92" s="85"/>
      <c r="O92" s="85"/>
      <c r="P92" s="48">
        <f>SUM(compras_mes2[[#This Row],[NETO GRAVADO]:[Otros / No Grav.]])</f>
        <v>80270.153699999995</v>
      </c>
      <c r="Q92" s="49" t="str">
        <f>IFERROR(IF(compras_mes2[[#This Row],[CUIT]]="","-",VLOOKUP(compras_mes2[[#This Row],[CUIT]],Lista_CUIT[#All],3,0)),"CUIT NO CARGADO")</f>
        <v xml:space="preserve">Gastos mantenimiento </v>
      </c>
      <c r="R92" s="49">
        <f>IFERROR(IF(compras_mes2[[#This Row],[CUIT]]="","-",VLOOKUP(compras_mes2[[#This Row],[CUIT]],Lista_CUIT[#All],4,0)),"CUIT NO CARGADO")</f>
        <v>0</v>
      </c>
    </row>
    <row r="93" spans="2:18" x14ac:dyDescent="0.25">
      <c r="B93" s="40" t="s">
        <v>2355</v>
      </c>
      <c r="C93" s="41">
        <v>1</v>
      </c>
      <c r="D93" s="285">
        <v>5</v>
      </c>
      <c r="E93" s="286">
        <v>23647</v>
      </c>
      <c r="F93" s="287">
        <v>30710677227</v>
      </c>
      <c r="G93" s="45" t="str">
        <f>IFERROR(IF(compras_mes2[[#This Row],[CUIT]]="","-",VLOOKUP(compras_mes2[[#This Row],[CUIT]],Lista_CUIT[#All],2,0)),"CUIT NO CARGADO")</f>
        <v>CINE 24 SRL</v>
      </c>
      <c r="H93" s="46">
        <v>65452.56</v>
      </c>
      <c r="I93" s="85">
        <f>IF(compras_mes2[[#This Row],[NETO GRAVADO]]="","",compras_mes2[[#This Row],[NETO GRAVADO]]*0.21)</f>
        <v>13745.0376</v>
      </c>
      <c r="J93" s="85"/>
      <c r="K93" s="85"/>
      <c r="L93" s="85"/>
      <c r="M93" s="85"/>
      <c r="N93" s="85"/>
      <c r="O93" s="85"/>
      <c r="P93" s="48">
        <f>SUM(compras_mes2[[#This Row],[NETO GRAVADO]:[Otros / No Grav.]])</f>
        <v>79197.597599999994</v>
      </c>
      <c r="Q93" s="49" t="str">
        <f>IFERROR(IF(compras_mes2[[#This Row],[CUIT]]="","-",VLOOKUP(compras_mes2[[#This Row],[CUIT]],Lista_CUIT[#All],3,0)),"CUIT NO CARGADO")</f>
        <v xml:space="preserve"> Gastos Limpieza</v>
      </c>
      <c r="R93" s="49">
        <f>IFERROR(IF(compras_mes2[[#This Row],[CUIT]]="","-",VLOOKUP(compras_mes2[[#This Row],[CUIT]],Lista_CUIT[#All],4,0)),"CUIT NO CARGADO")</f>
        <v>0</v>
      </c>
    </row>
    <row r="94" spans="2:18" x14ac:dyDescent="0.25">
      <c r="B94" s="40" t="s">
        <v>2360</v>
      </c>
      <c r="C94" s="41">
        <v>1</v>
      </c>
      <c r="D94" s="285">
        <v>3</v>
      </c>
      <c r="E94" s="286">
        <v>340</v>
      </c>
      <c r="F94" s="287">
        <v>30714239321</v>
      </c>
      <c r="G94" s="45" t="str">
        <f>IFERROR(IF(compras_mes2[[#This Row],[CUIT]]="","-",VLOOKUP(compras_mes2[[#This Row],[CUIT]],Lista_CUIT[#All],2,0)),"CUIT NO CARGADO")</f>
        <v>DINAMANU SRL</v>
      </c>
      <c r="H94" s="46">
        <v>1009489</v>
      </c>
      <c r="I94" s="85">
        <f>IF(compras_mes2[[#This Row],[NETO GRAVADO]]="","",compras_mes2[[#This Row],[NETO GRAVADO]]*0.21)</f>
        <v>211992.69</v>
      </c>
      <c r="J94" s="85"/>
      <c r="K94" s="85"/>
      <c r="L94" s="85"/>
      <c r="M94" s="85"/>
      <c r="N94" s="85"/>
      <c r="O94" s="85"/>
      <c r="P94" s="48">
        <f>SUM(compras_mes2[[#This Row],[NETO GRAVADO]:[Otros / No Grav.]])</f>
        <v>1221481.69</v>
      </c>
      <c r="Q94" s="49" t="str">
        <f>IFERROR(IF(compras_mes2[[#This Row],[CUIT]]="","-",VLOOKUP(compras_mes2[[#This Row],[CUIT]],Lista_CUIT[#All],3,0)),"CUIT NO CARGADO")</f>
        <v>Alquiler?</v>
      </c>
      <c r="R94" s="49">
        <f>IFERROR(IF(compras_mes2[[#This Row],[CUIT]]="","-",VLOOKUP(compras_mes2[[#This Row],[CUIT]],Lista_CUIT[#All],4,0)),"CUIT NO CARGADO")</f>
        <v>0</v>
      </c>
    </row>
    <row r="95" spans="2:18" x14ac:dyDescent="0.25">
      <c r="B95" s="40" t="s">
        <v>2360</v>
      </c>
      <c r="C95" s="41">
        <v>3</v>
      </c>
      <c r="D95" s="285">
        <v>3</v>
      </c>
      <c r="E95" s="286">
        <v>17</v>
      </c>
      <c r="F95" s="287">
        <v>30714239321</v>
      </c>
      <c r="G95" s="45" t="str">
        <f>IFERROR(IF(compras_mes2[[#This Row],[CUIT]]="","-",VLOOKUP(compras_mes2[[#This Row],[CUIT]],Lista_CUIT[#All],2,0)),"CUIT NO CARGADO")</f>
        <v>DINAMANU SRL</v>
      </c>
      <c r="H95" s="46">
        <v>-1009489</v>
      </c>
      <c r="I95" s="85">
        <f>IF(compras_mes2[[#This Row],[NETO GRAVADO]]="","",compras_mes2[[#This Row],[NETO GRAVADO]]*0.21)</f>
        <v>-211992.69</v>
      </c>
      <c r="J95" s="85"/>
      <c r="K95" s="85"/>
      <c r="L95" s="85"/>
      <c r="M95" s="85"/>
      <c r="N95" s="85"/>
      <c r="O95" s="85"/>
      <c r="P95" s="48">
        <f>SUM(compras_mes2[[#This Row],[NETO GRAVADO]:[Otros / No Grav.]])</f>
        <v>-1221481.69</v>
      </c>
      <c r="Q95" s="49" t="str">
        <f>IFERROR(IF(compras_mes2[[#This Row],[CUIT]]="","-",VLOOKUP(compras_mes2[[#This Row],[CUIT]],Lista_CUIT[#All],3,0)),"CUIT NO CARGADO")</f>
        <v>Alquiler?</v>
      </c>
      <c r="R95" s="49">
        <f>IFERROR(IF(compras_mes2[[#This Row],[CUIT]]="","-",VLOOKUP(compras_mes2[[#This Row],[CUIT]],Lista_CUIT[#All],4,0)),"CUIT NO CARGADO")</f>
        <v>0</v>
      </c>
    </row>
    <row r="96" spans="2:18" x14ac:dyDescent="0.25">
      <c r="B96" s="40" t="s">
        <v>2370</v>
      </c>
      <c r="C96" s="41">
        <v>1</v>
      </c>
      <c r="D96" s="285">
        <v>700</v>
      </c>
      <c r="E96" s="286">
        <v>2279499</v>
      </c>
      <c r="F96" s="287">
        <v>30715804812</v>
      </c>
      <c r="G96" s="45" t="str">
        <f>IFERROR(IF(compras_mes2[[#This Row],[CUIT]]="","-",VLOOKUP(compras_mes2[[#This Row],[CUIT]],Lista_CUIT[#All],2,0)),"CUIT NO CARGADO")</f>
        <v>CORREDORES VIALES SOCIEDAD ANONIMA</v>
      </c>
      <c r="H96" s="46">
        <v>5407.9</v>
      </c>
      <c r="I96" s="85">
        <f>IF(compras_mes2[[#This Row],[NETO GRAVADO]]="","",compras_mes2[[#This Row],[NETO GRAVADO]]*0.21)</f>
        <v>1135.6589999999999</v>
      </c>
      <c r="J96" s="85"/>
      <c r="K96" s="85"/>
      <c r="L96" s="85"/>
      <c r="M96" s="85"/>
      <c r="N96" s="85"/>
      <c r="O96" s="85"/>
      <c r="P96" s="48">
        <f>SUM(compras_mes2[[#This Row],[NETO GRAVADO]:[Otros / No Grav.]])</f>
        <v>6543.5589999999993</v>
      </c>
      <c r="Q96" s="49" t="str">
        <f>IFERROR(IF(compras_mes2[[#This Row],[CUIT]]="","-",VLOOKUP(compras_mes2[[#This Row],[CUIT]],Lista_CUIT[#All],3,0)),"CUIT NO CARGADO")</f>
        <v>Peajes</v>
      </c>
      <c r="R96" s="49">
        <f>IFERROR(IF(compras_mes2[[#This Row],[CUIT]]="","-",VLOOKUP(compras_mes2[[#This Row],[CUIT]],Lista_CUIT[#All],4,0)),"CUIT NO CARGADO")</f>
        <v>0</v>
      </c>
    </row>
    <row r="97" spans="2:18" x14ac:dyDescent="0.25">
      <c r="B97" s="40" t="s">
        <v>2370</v>
      </c>
      <c r="C97" s="41">
        <v>1</v>
      </c>
      <c r="D97" s="285">
        <v>2</v>
      </c>
      <c r="E97" s="286">
        <v>3963</v>
      </c>
      <c r="F97" s="287">
        <v>30629863571</v>
      </c>
      <c r="G97" s="45" t="str">
        <f>IFERROR(IF(compras_mes2[[#This Row],[CUIT]]="","-",VLOOKUP(compras_mes2[[#This Row],[CUIT]],Lista_CUIT[#All],2,0)),"CUIT NO CARGADO")</f>
        <v>TECNIMAR S R L</v>
      </c>
      <c r="H97" s="46">
        <v>1991402.24</v>
      </c>
      <c r="I97" s="85">
        <f>IF(compras_mes2[[#This Row],[NETO GRAVADO]]="","",compras_mes2[[#This Row],[NETO GRAVADO]]*0.21)</f>
        <v>418194.47039999999</v>
      </c>
      <c r="J97" s="85"/>
      <c r="K97" s="85"/>
      <c r="L97" s="85"/>
      <c r="M97" s="85"/>
      <c r="N97" s="85"/>
      <c r="O97" s="85"/>
      <c r="P97" s="48">
        <f>SUM(compras_mes2[[#This Row],[NETO GRAVADO]:[Otros / No Grav.]])</f>
        <v>2409596.7104000002</v>
      </c>
      <c r="Q97" s="49" t="str">
        <f>IFERROR(IF(compras_mes2[[#This Row],[CUIT]]="","-",VLOOKUP(compras_mes2[[#This Row],[CUIT]],Lista_CUIT[#All],3,0)),"CUIT NO CARGADO")</f>
        <v>Productos Venta</v>
      </c>
      <c r="R97" s="49">
        <f>IFERROR(IF(compras_mes2[[#This Row],[CUIT]]="","-",VLOOKUP(compras_mes2[[#This Row],[CUIT]],Lista_CUIT[#All],4,0)),"CUIT NO CARGADO")</f>
        <v>0</v>
      </c>
    </row>
    <row r="98" spans="2:18" x14ac:dyDescent="0.25">
      <c r="B98" s="451">
        <v>45708</v>
      </c>
      <c r="C98" s="452">
        <v>1</v>
      </c>
      <c r="D98" s="453">
        <v>501</v>
      </c>
      <c r="E98" s="454">
        <v>2137978</v>
      </c>
      <c r="F98" s="455">
        <v>30655116512</v>
      </c>
      <c r="G98" s="456" t="str">
        <f>IFERROR(IF(compras_mes2[[#This Row],[CUIT]]="","-",VLOOKUP(compras_mes2[[#This Row],[CUIT]],Lista_CUIT[#All],2,0)),"CUIT NO CARGADO")</f>
        <v>Empresa Distribuidora Sur S.A.</v>
      </c>
      <c r="H98" s="457">
        <v>277415.19799804699</v>
      </c>
      <c r="I98" s="458"/>
      <c r="J98" s="458">
        <f>compras_mes2[[#This Row],[NETO GRAVADO]]*0.27</f>
        <v>74902.103459472695</v>
      </c>
      <c r="K98" s="458"/>
      <c r="L98" s="458"/>
      <c r="M98" s="458"/>
      <c r="N98" s="458"/>
      <c r="O98" s="458">
        <v>16696.3801269531</v>
      </c>
      <c r="P98" s="459">
        <f>SUM(compras_mes2[[#This Row],[NETO GRAVADO]:[Otros / No Grav.]])</f>
        <v>369013.68158447283</v>
      </c>
      <c r="Q98" s="460" t="str">
        <f>IFERROR(IF(compras_mes2[[#This Row],[CUIT]]="","-",VLOOKUP(compras_mes2[[#This Row],[CUIT]],Lista_CUIT[#All],3,0)),"CUIT NO CARGADO")</f>
        <v>Servicios Gas, Luz, etc.</v>
      </c>
      <c r="R98" s="460">
        <f>IFERROR(IF(compras_mes2[[#This Row],[CUIT]]="","-",VLOOKUP(compras_mes2[[#This Row],[CUIT]],Lista_CUIT[#All],4,0)),"CUIT NO CARGADO")</f>
        <v>0</v>
      </c>
    </row>
    <row r="99" spans="2:18" x14ac:dyDescent="0.25">
      <c r="B99" s="451">
        <v>45708</v>
      </c>
      <c r="C99" s="452">
        <v>1</v>
      </c>
      <c r="D99" s="453">
        <v>501</v>
      </c>
      <c r="E99" s="454">
        <v>2137979</v>
      </c>
      <c r="F99" s="455">
        <v>30655116512</v>
      </c>
      <c r="G99" s="456" t="str">
        <f>IFERROR(IF(compras_mes2[[#This Row],[CUIT]]="","-",VLOOKUP(compras_mes2[[#This Row],[CUIT]],Lista_CUIT[#All],2,0)),"CUIT NO CARGADO")</f>
        <v>Empresa Distribuidora Sur S.A.</v>
      </c>
      <c r="H99" s="457">
        <v>105629.396240234</v>
      </c>
      <c r="I99" s="458"/>
      <c r="J99" s="458">
        <f>compras_mes2[[#This Row],[NETO GRAVADO]]*0.27</f>
        <v>28519.93698486318</v>
      </c>
      <c r="K99" s="458"/>
      <c r="L99" s="458">
        <v>3168.8798828125</v>
      </c>
      <c r="M99" s="458"/>
      <c r="N99" s="458"/>
      <c r="O99" s="458">
        <v>5731.3000488281295</v>
      </c>
      <c r="P99" s="459">
        <f>SUM(compras_mes2[[#This Row],[NETO GRAVADO]:[Otros / No Grav.]])</f>
        <v>143049.51315673781</v>
      </c>
      <c r="Q99" s="460" t="str">
        <f>IFERROR(IF(compras_mes2[[#This Row],[CUIT]]="","-",VLOOKUP(compras_mes2[[#This Row],[CUIT]],Lista_CUIT[#All],3,0)),"CUIT NO CARGADO")</f>
        <v>Servicios Gas, Luz, etc.</v>
      </c>
      <c r="R99" s="460">
        <f>IFERROR(IF(compras_mes2[[#This Row],[CUIT]]="","-",VLOOKUP(compras_mes2[[#This Row],[CUIT]],Lista_CUIT[#All],4,0)),"CUIT NO CARGADO")</f>
        <v>0</v>
      </c>
    </row>
    <row r="100" spans="2:18" x14ac:dyDescent="0.25">
      <c r="B100" s="40" t="s">
        <v>2371</v>
      </c>
      <c r="C100" s="41">
        <v>1</v>
      </c>
      <c r="D100" s="285">
        <v>5</v>
      </c>
      <c r="E100" s="286">
        <v>3233807</v>
      </c>
      <c r="F100" s="287">
        <v>30702652975</v>
      </c>
      <c r="G100" s="45" t="str">
        <f>IFERROR(IF(compras_mes2[[#This Row],[CUIT]]="","-",VLOOKUP(compras_mes2[[#This Row],[CUIT]],Lista_CUIT[#All],2,0)),"CUIT NO CARGADO")</f>
        <v>NSS SA</v>
      </c>
      <c r="H100" s="46">
        <v>29946.48</v>
      </c>
      <c r="I100" s="85">
        <f>IF(compras_mes2[[#This Row],[NETO GRAVADO]]="","",compras_mes2[[#This Row],[NETO GRAVADO]]*0.21)</f>
        <v>6288.7608</v>
      </c>
      <c r="J100" s="85"/>
      <c r="K100" s="85"/>
      <c r="L100" s="85"/>
      <c r="M100" s="85"/>
      <c r="N100" s="85"/>
      <c r="O100" s="85">
        <v>1796.79</v>
      </c>
      <c r="P100" s="48">
        <f>SUM(compras_mes2[[#This Row],[NETO GRAVADO]:[Otros / No Grav.]])</f>
        <v>38032.0308</v>
      </c>
      <c r="Q100" s="49" t="str">
        <f>IFERROR(IF(compras_mes2[[#This Row],[CUIT]]="","-",VLOOKUP(compras_mes2[[#This Row],[CUIT]],Lista_CUIT[#All],3,0)),"CUIT NO CARGADO")</f>
        <v>Servicios Gas, Luz, etc.</v>
      </c>
      <c r="R100" s="49">
        <f>IFERROR(IF(compras_mes2[[#This Row],[CUIT]]="","-",VLOOKUP(compras_mes2[[#This Row],[CUIT]],Lista_CUIT[#All],4,0)),"CUIT NO CARGADO")</f>
        <v>0</v>
      </c>
    </row>
    <row r="101" spans="2:18" x14ac:dyDescent="0.25">
      <c r="B101" s="40" t="s">
        <v>2371</v>
      </c>
      <c r="C101" s="41">
        <v>1</v>
      </c>
      <c r="D101" s="285">
        <v>45</v>
      </c>
      <c r="E101" s="286">
        <v>51</v>
      </c>
      <c r="F101" s="287">
        <v>30500795804</v>
      </c>
      <c r="G101" s="45" t="str">
        <f>IFERROR(IF(compras_mes2[[#This Row],[CUIT]]="","-",VLOOKUP(compras_mes2[[#This Row],[CUIT]],Lista_CUIT[#All],2,0)),"CUIT NO CARGADO")</f>
        <v>SATURNINO CABEZON S A</v>
      </c>
      <c r="H101" s="46">
        <v>42396.69</v>
      </c>
      <c r="I101" s="85">
        <f>IF(compras_mes2[[#This Row],[NETO GRAVADO]]="","",compras_mes2[[#This Row],[NETO GRAVADO]]*0.21)</f>
        <v>8903.304900000001</v>
      </c>
      <c r="J101" s="85"/>
      <c r="K101" s="85"/>
      <c r="L101" s="85"/>
      <c r="M101" s="85"/>
      <c r="N101" s="85"/>
      <c r="O101" s="85"/>
      <c r="P101" s="48">
        <f>SUM(compras_mes2[[#This Row],[NETO GRAVADO]:[Otros / No Grav.]])</f>
        <v>51299.994900000005</v>
      </c>
      <c r="Q101" s="49" t="str">
        <f>IFERROR(IF(compras_mes2[[#This Row],[CUIT]]="","-",VLOOKUP(compras_mes2[[#This Row],[CUIT]],Lista_CUIT[#All],3,0)),"CUIT NO CARGADO")</f>
        <v>Gastos Varios</v>
      </c>
      <c r="R101" s="49">
        <f>IFERROR(IF(compras_mes2[[#This Row],[CUIT]]="","-",VLOOKUP(compras_mes2[[#This Row],[CUIT]],Lista_CUIT[#All],4,0)),"CUIT NO CARGADO")</f>
        <v>0</v>
      </c>
    </row>
    <row r="102" spans="2:18" x14ac:dyDescent="0.25">
      <c r="B102" s="40" t="s">
        <v>2351</v>
      </c>
      <c r="C102" s="41">
        <v>1</v>
      </c>
      <c r="D102" s="285">
        <v>15</v>
      </c>
      <c r="E102" s="286">
        <v>28413</v>
      </c>
      <c r="F102" s="287">
        <v>30714295957</v>
      </c>
      <c r="G102" s="45" t="str">
        <f>IFERROR(IF(compras_mes2[[#This Row],[CUIT]]="","-",VLOOKUP(compras_mes2[[#This Row],[CUIT]],Lista_CUIT[#All],2,0)),"CUIT NO CARGADO")</f>
        <v>IT BROKERS SA</v>
      </c>
      <c r="H102" s="46">
        <v>70735.539999999994</v>
      </c>
      <c r="I102" s="85">
        <f>IF(compras_mes2[[#This Row],[NETO GRAVADO]]="","",compras_mes2[[#This Row],[NETO GRAVADO]]*0.21)</f>
        <v>14854.463399999999</v>
      </c>
      <c r="J102" s="85"/>
      <c r="K102" s="85"/>
      <c r="L102" s="85"/>
      <c r="M102" s="85"/>
      <c r="N102" s="85">
        <v>4244.13</v>
      </c>
      <c r="O102" s="85"/>
      <c r="P102" s="48">
        <f>SUM(compras_mes2[[#This Row],[NETO GRAVADO]:[Otros / No Grav.]])</f>
        <v>89834.133399999992</v>
      </c>
      <c r="Q102" s="49" t="str">
        <f>IFERROR(IF(compras_mes2[[#This Row],[CUIT]]="","-",VLOOKUP(compras_mes2[[#This Row],[CUIT]],Lista_CUIT[#All],3,0)),"CUIT NO CARGADO")</f>
        <v>Muebles y Utiles</v>
      </c>
      <c r="R102" s="49">
        <f>IFERROR(IF(compras_mes2[[#This Row],[CUIT]]="","-",VLOOKUP(compras_mes2[[#This Row],[CUIT]],Lista_CUIT[#All],4,0)),"CUIT NO CARGADO")</f>
        <v>0</v>
      </c>
    </row>
    <row r="103" spans="2:18" x14ac:dyDescent="0.25">
      <c r="B103" s="40" t="s">
        <v>2371</v>
      </c>
      <c r="C103" s="41">
        <v>1</v>
      </c>
      <c r="D103" s="285">
        <v>355</v>
      </c>
      <c r="E103" s="286">
        <v>39509</v>
      </c>
      <c r="F103" s="287">
        <v>30646512952</v>
      </c>
      <c r="G103" s="45" t="str">
        <f>IFERROR(IF(compras_mes2[[#This Row],[CUIT]]="","-",VLOOKUP(compras_mes2[[#This Row],[CUIT]],Lista_CUIT[#All],2,0)),"CUIT NO CARGADO")</f>
        <v xml:space="preserve">PINTURERIA REX </v>
      </c>
      <c r="H103" s="46">
        <v>102363.7</v>
      </c>
      <c r="I103" s="85">
        <f>IF(compras_mes2[[#This Row],[NETO GRAVADO]]="","",compras_mes2[[#This Row],[NETO GRAVADO]]*0.21)</f>
        <v>21496.377</v>
      </c>
      <c r="J103" s="85"/>
      <c r="K103" s="85"/>
      <c r="L103" s="85"/>
      <c r="M103" s="85"/>
      <c r="N103" s="85">
        <v>6141.82</v>
      </c>
      <c r="O103" s="85"/>
      <c r="P103" s="48">
        <f>SUM(compras_mes2[[#This Row],[NETO GRAVADO]:[Otros / No Grav.]])</f>
        <v>130001.897</v>
      </c>
      <c r="Q103" s="49" t="str">
        <f>IFERROR(IF(compras_mes2[[#This Row],[CUIT]]="","-",VLOOKUP(compras_mes2[[#This Row],[CUIT]],Lista_CUIT[#All],3,0)),"CUIT NO CARGADO")</f>
        <v>Mantenimiento Locales</v>
      </c>
      <c r="R103" s="49">
        <f>IFERROR(IF(compras_mes2[[#This Row],[CUIT]]="","-",VLOOKUP(compras_mes2[[#This Row],[CUIT]],Lista_CUIT[#All],4,0)),"CUIT NO CARGADO")</f>
        <v>0</v>
      </c>
    </row>
    <row r="104" spans="2:18" x14ac:dyDescent="0.25">
      <c r="B104" s="40" t="s">
        <v>2372</v>
      </c>
      <c r="C104" s="41">
        <v>1</v>
      </c>
      <c r="D104" s="285">
        <v>2084</v>
      </c>
      <c r="E104" s="286">
        <v>27543</v>
      </c>
      <c r="F104" s="287">
        <v>30548083156</v>
      </c>
      <c r="G104" s="45" t="str">
        <f>IFERROR(IF(compras_mes2[[#This Row],[CUIT]]="","-",VLOOKUP(compras_mes2[[#This Row],[CUIT]],Lista_CUIT[#All],2,0)),"CUIT NO CARGADO")</f>
        <v>COTO CENTRO INTEGRAL DE COMERCIALIZACION SOCIEDAD ANONIMA</v>
      </c>
      <c r="H104" s="46">
        <v>68948.509999999995</v>
      </c>
      <c r="I104" s="85">
        <v>8858</v>
      </c>
      <c r="J104" s="85"/>
      <c r="K104" s="85">
        <v>2810.59</v>
      </c>
      <c r="L104" s="85"/>
      <c r="M104" s="85"/>
      <c r="N104" s="85"/>
      <c r="O104" s="85">
        <v>4384.3100000000004</v>
      </c>
      <c r="P104" s="48">
        <f>SUM(compras_mes2[[#This Row],[NETO GRAVADO]:[Otros / No Grav.]])</f>
        <v>85001.409999999989</v>
      </c>
      <c r="Q104" s="49" t="str">
        <f>IFERROR(IF(compras_mes2[[#This Row],[CUIT]]="","-",VLOOKUP(compras_mes2[[#This Row],[CUIT]],Lista_CUIT[#All],3,0)),"CUIT NO CARGADO")</f>
        <v>Gastos Varios</v>
      </c>
      <c r="R104" s="49">
        <f>IFERROR(IF(compras_mes2[[#This Row],[CUIT]]="","-",VLOOKUP(compras_mes2[[#This Row],[CUIT]],Lista_CUIT[#All],4,0)),"CUIT NO CARGADO")</f>
        <v>0</v>
      </c>
    </row>
    <row r="105" spans="2:18" x14ac:dyDescent="0.25">
      <c r="B105" s="40" t="s">
        <v>2372</v>
      </c>
      <c r="C105" s="41">
        <v>1</v>
      </c>
      <c r="D105" s="285">
        <v>14</v>
      </c>
      <c r="E105" s="286">
        <v>16207</v>
      </c>
      <c r="F105" s="287">
        <v>30715186256</v>
      </c>
      <c r="G105" s="45" t="str">
        <f>IFERROR(IF(compras_mes2[[#This Row],[CUIT]]="","-",VLOOKUP(compras_mes2[[#This Row],[CUIT]],Lista_CUIT[#All],2,0)),"CUIT NO CARGADO")</f>
        <v>FRIGORIFICO ALIMENTIC</v>
      </c>
      <c r="H105" s="46">
        <v>188737.56</v>
      </c>
      <c r="I105" s="85">
        <v>1336.8</v>
      </c>
      <c r="J105" s="85"/>
      <c r="K105" s="85">
        <v>19149.05</v>
      </c>
      <c r="L105" s="85"/>
      <c r="M105" s="85"/>
      <c r="N105" s="85"/>
      <c r="O105" s="85"/>
      <c r="P105" s="48">
        <f>SUM(compras_mes2[[#This Row],[NETO GRAVADO]:[Otros / No Grav.]])</f>
        <v>209223.40999999997</v>
      </c>
      <c r="Q105" s="49" t="str">
        <f>IFERROR(IF(compras_mes2[[#This Row],[CUIT]]="","-",VLOOKUP(compras_mes2[[#This Row],[CUIT]],Lista_CUIT[#All],3,0)),"CUIT NO CARGADO")</f>
        <v>Gastos Comercializacion - Feria</v>
      </c>
      <c r="R105" s="49">
        <f>IFERROR(IF(compras_mes2[[#This Row],[CUIT]]="","-",VLOOKUP(compras_mes2[[#This Row],[CUIT]],Lista_CUIT[#All],4,0)),"CUIT NO CARGADO")</f>
        <v>0</v>
      </c>
    </row>
    <row r="106" spans="2:18" x14ac:dyDescent="0.25">
      <c r="B106" s="40" t="s">
        <v>2372</v>
      </c>
      <c r="C106" s="41">
        <v>1</v>
      </c>
      <c r="D106" s="285">
        <v>1678</v>
      </c>
      <c r="E106" s="286">
        <v>54232</v>
      </c>
      <c r="F106" s="287">
        <v>30589621499</v>
      </c>
      <c r="G106" s="45" t="str">
        <f>IFERROR(IF(compras_mes2[[#This Row],[CUIT]]="","-",VLOOKUP(compras_mes2[[#This Row],[CUIT]],Lista_CUIT[#All],2,0)),"CUIT NO CARGADO")</f>
        <v>MAKRO SA</v>
      </c>
      <c r="H106" s="46">
        <v>188696.35</v>
      </c>
      <c r="I106" s="85">
        <f>IF(compras_mes2[[#This Row],[NETO GRAVADO]]="","",compras_mes2[[#This Row],[NETO GRAVADO]]*0.21)</f>
        <v>39626.233500000002</v>
      </c>
      <c r="J106" s="85"/>
      <c r="K106" s="85"/>
      <c r="L106" s="85">
        <v>5660.89</v>
      </c>
      <c r="M106" s="85"/>
      <c r="N106" s="85">
        <v>11321.78</v>
      </c>
      <c r="O106" s="85">
        <v>1838.21</v>
      </c>
      <c r="P106" s="48">
        <f>SUM(compras_mes2[[#This Row],[NETO GRAVADO]:[Otros / No Grav.]])</f>
        <v>247143.46350000001</v>
      </c>
      <c r="Q106" s="49" t="str">
        <f>IFERROR(IF(compras_mes2[[#This Row],[CUIT]]="","-",VLOOKUP(compras_mes2[[#This Row],[CUIT]],Lista_CUIT[#All],3,0)),"CUIT NO CARGADO")</f>
        <v>Gastos Varios</v>
      </c>
      <c r="R106" s="49">
        <f>IFERROR(IF(compras_mes2[[#This Row],[CUIT]]="","-",VLOOKUP(compras_mes2[[#This Row],[CUIT]],Lista_CUIT[#All],4,0)),"CUIT NO CARGADO")</f>
        <v>0</v>
      </c>
    </row>
    <row r="107" spans="2:18" x14ac:dyDescent="0.25">
      <c r="B107" s="40" t="s">
        <v>2373</v>
      </c>
      <c r="C107" s="41">
        <v>1</v>
      </c>
      <c r="D107" s="285">
        <v>8950</v>
      </c>
      <c r="E107" s="286">
        <v>16352</v>
      </c>
      <c r="F107" s="287">
        <v>30678774495</v>
      </c>
      <c r="G107" s="45" t="str">
        <f>IFERROR(IF(compras_mes2[[#This Row],[CUIT]]="","-",VLOOKUP(compras_mes2[[#This Row],[CUIT]],Lista_CUIT[#All],2,0)),"CUIT NO CARGADO")</f>
        <v>OPER. DE EST. DE SERV. SA</v>
      </c>
      <c r="H107" s="46">
        <v>30298.59</v>
      </c>
      <c r="I107" s="85">
        <f>IF(compras_mes2[[#This Row],[NETO GRAVADO]]="","",compras_mes2[[#This Row],[NETO GRAVADO]]*0.21)</f>
        <v>6362.7038999999995</v>
      </c>
      <c r="J107" s="85"/>
      <c r="K107" s="85"/>
      <c r="L107" s="85"/>
      <c r="M107" s="85"/>
      <c r="N107" s="85"/>
      <c r="O107" s="85">
        <v>6839.7</v>
      </c>
      <c r="P107" s="48">
        <f>SUM(compras_mes2[[#This Row],[NETO GRAVADO]:[Otros / No Grav.]])</f>
        <v>43500.993899999994</v>
      </c>
      <c r="Q107" s="49" t="str">
        <f>IFERROR(IF(compras_mes2[[#This Row],[CUIT]]="","-",VLOOKUP(compras_mes2[[#This Row],[CUIT]],Lista_CUIT[#All],3,0)),"CUIT NO CARGADO")</f>
        <v>Combustible</v>
      </c>
      <c r="R107" s="49">
        <f>IFERROR(IF(compras_mes2[[#This Row],[CUIT]]="","-",VLOOKUP(compras_mes2[[#This Row],[CUIT]],Lista_CUIT[#All],4,0)),"CUIT NO CARGADO")</f>
        <v>0</v>
      </c>
    </row>
    <row r="108" spans="2:18" x14ac:dyDescent="0.25">
      <c r="B108" s="40" t="s">
        <v>2373</v>
      </c>
      <c r="C108" s="41">
        <v>1</v>
      </c>
      <c r="D108" s="285">
        <v>5015</v>
      </c>
      <c r="E108" s="286">
        <v>762333</v>
      </c>
      <c r="F108" s="287">
        <v>30574876474</v>
      </c>
      <c r="G108" s="45" t="str">
        <f>IFERROR(IF(compras_mes2[[#This Row],[CUIT]]="","-",VLOOKUP(compras_mes2[[#This Row],[CUIT]],Lista_CUIT[#All],2,0)),"CUIT NO CARGADO")</f>
        <v>AUTOPISTAS URBANAS S A</v>
      </c>
      <c r="H108" s="46">
        <v>50766.82</v>
      </c>
      <c r="I108" s="85">
        <f>IF(compras_mes2[[#This Row],[NETO GRAVADO]]="","",compras_mes2[[#This Row],[NETO GRAVADO]]*0.21)</f>
        <v>10661.0322</v>
      </c>
      <c r="J108" s="85"/>
      <c r="K108" s="85"/>
      <c r="L108" s="85"/>
      <c r="M108" s="85"/>
      <c r="N108" s="85"/>
      <c r="O108" s="85">
        <v>6599.38</v>
      </c>
      <c r="P108" s="48">
        <f>SUM(compras_mes2[[#This Row],[NETO GRAVADO]:[Otros / No Grav.]])</f>
        <v>68027.232199999999</v>
      </c>
      <c r="Q108" s="49" t="str">
        <f>IFERROR(IF(compras_mes2[[#This Row],[CUIT]]="","-",VLOOKUP(compras_mes2[[#This Row],[CUIT]],Lista_CUIT[#All],3,0)),"CUIT NO CARGADO")</f>
        <v>Peajes</v>
      </c>
      <c r="R108" s="49">
        <f>IFERROR(IF(compras_mes2[[#This Row],[CUIT]]="","-",VLOOKUP(compras_mes2[[#This Row],[CUIT]],Lista_CUIT[#All],4,0)),"CUIT NO CARGADO")</f>
        <v>0</v>
      </c>
    </row>
    <row r="109" spans="2:18" x14ac:dyDescent="0.25">
      <c r="B109" s="40" t="s">
        <v>2366</v>
      </c>
      <c r="C109" s="41">
        <v>1</v>
      </c>
      <c r="D109" s="285">
        <v>6</v>
      </c>
      <c r="E109" s="286">
        <v>15288</v>
      </c>
      <c r="F109" s="287">
        <v>30714580406</v>
      </c>
      <c r="G109" s="45" t="str">
        <f>IFERROR(IF(compras_mes2[[#This Row],[CUIT]]="","-",VLOOKUP(compras_mes2[[#This Row],[CUIT]],Lista_CUIT[#All],2,0)),"CUIT NO CARGADO")</f>
        <v>SWEATERS ARGENTINOS S.R.L</v>
      </c>
      <c r="H109" s="46">
        <v>21155.37</v>
      </c>
      <c r="I109" s="85">
        <f>IF(compras_mes2[[#This Row],[NETO GRAVADO]]="","",compras_mes2[[#This Row],[NETO GRAVADO]]*0.21)</f>
        <v>4442.6277</v>
      </c>
      <c r="J109" s="85"/>
      <c r="K109" s="85"/>
      <c r="L109" s="85"/>
      <c r="M109" s="85"/>
      <c r="N109" s="85"/>
      <c r="O109" s="85"/>
      <c r="P109" s="48">
        <f>SUM(compras_mes2[[#This Row],[NETO GRAVADO]:[Otros / No Grav.]])</f>
        <v>25597.9977</v>
      </c>
      <c r="Q109" s="49" t="str">
        <f>IFERROR(IF(compras_mes2[[#This Row],[CUIT]]="","-",VLOOKUP(compras_mes2[[#This Row],[CUIT]],Lista_CUIT[#All],3,0)),"CUIT NO CARGADO")</f>
        <v>Gastos Varios</v>
      </c>
      <c r="R109" s="49">
        <f>IFERROR(IF(compras_mes2[[#This Row],[CUIT]]="","-",VLOOKUP(compras_mes2[[#This Row],[CUIT]],Lista_CUIT[#All],4,0)),"CUIT NO CARGADO")</f>
        <v>0</v>
      </c>
    </row>
    <row r="110" spans="2:18" x14ac:dyDescent="0.25">
      <c r="B110" s="40" t="s">
        <v>2354</v>
      </c>
      <c r="C110" s="41">
        <v>1</v>
      </c>
      <c r="D110" s="285">
        <v>5722</v>
      </c>
      <c r="E110" s="286">
        <v>129208</v>
      </c>
      <c r="F110" s="287">
        <v>30639453738</v>
      </c>
      <c r="G110" s="45" t="str">
        <f>IFERROR(IF(compras_mes2[[#This Row],[CUIT]]="","-",VLOOKUP(compras_mes2[[#This Row],[CUIT]],Lista_CUIT[#All],2,0)),"CUIT NO CARGADO")</f>
        <v>TELECOM ARG SA</v>
      </c>
      <c r="H110" s="46">
        <v>0.01</v>
      </c>
      <c r="I110" s="85">
        <f>IF(compras_mes2[[#This Row],[NETO GRAVADO]]="","",compras_mes2[[#This Row],[NETO GRAVADO]]*0.21)</f>
        <v>2.0999999999999999E-3</v>
      </c>
      <c r="J110" s="85"/>
      <c r="K110" s="85"/>
      <c r="L110" s="85"/>
      <c r="M110" s="85"/>
      <c r="N110" s="85"/>
      <c r="O110" s="85"/>
      <c r="P110" s="48">
        <f>SUM(compras_mes2[[#This Row],[NETO GRAVADO]:[Otros / No Grav.]])</f>
        <v>1.21E-2</v>
      </c>
      <c r="Q110" s="49" t="str">
        <f>IFERROR(IF(compras_mes2[[#This Row],[CUIT]]="","-",VLOOKUP(compras_mes2[[#This Row],[CUIT]],Lista_CUIT[#All],3,0)),"CUIT NO CARGADO")</f>
        <v>Servicios Gas, Luz, etc.</v>
      </c>
      <c r="R110" s="49">
        <f>IFERROR(IF(compras_mes2[[#This Row],[CUIT]]="","-",VLOOKUP(compras_mes2[[#This Row],[CUIT]],Lista_CUIT[#All],4,0)),"CUIT NO CARGADO")</f>
        <v>0</v>
      </c>
    </row>
    <row r="111" spans="2:18" x14ac:dyDescent="0.25">
      <c r="B111" s="40" t="s">
        <v>2354</v>
      </c>
      <c r="C111" s="41">
        <v>1</v>
      </c>
      <c r="D111" s="285">
        <v>5722</v>
      </c>
      <c r="E111" s="286">
        <v>129210</v>
      </c>
      <c r="F111" s="287">
        <v>30639453738</v>
      </c>
      <c r="G111" s="45" t="str">
        <f>IFERROR(IF(compras_mes2[[#This Row],[CUIT]]="","-",VLOOKUP(compras_mes2[[#This Row],[CUIT]],Lista_CUIT[#All],2,0)),"CUIT NO CARGADO")</f>
        <v>TELECOM ARG SA</v>
      </c>
      <c r="H111" s="46">
        <v>0.01</v>
      </c>
      <c r="I111" s="85">
        <f>IF(compras_mes2[[#This Row],[NETO GRAVADO]]="","",compras_mes2[[#This Row],[NETO GRAVADO]]*0.21)</f>
        <v>2.0999999999999999E-3</v>
      </c>
      <c r="J111" s="85"/>
      <c r="K111" s="85"/>
      <c r="L111" s="85"/>
      <c r="M111" s="85"/>
      <c r="N111" s="85"/>
      <c r="O111" s="85"/>
      <c r="P111" s="48">
        <f>SUM(compras_mes2[[#This Row],[NETO GRAVADO]:[Otros / No Grav.]])</f>
        <v>1.21E-2</v>
      </c>
      <c r="Q111" s="49" t="str">
        <f>IFERROR(IF(compras_mes2[[#This Row],[CUIT]]="","-",VLOOKUP(compras_mes2[[#This Row],[CUIT]],Lista_CUIT[#All],3,0)),"CUIT NO CARGADO")</f>
        <v>Servicios Gas, Luz, etc.</v>
      </c>
      <c r="R111" s="49">
        <f>IFERROR(IF(compras_mes2[[#This Row],[CUIT]]="","-",VLOOKUP(compras_mes2[[#This Row],[CUIT]],Lista_CUIT[#All],4,0)),"CUIT NO CARGADO")</f>
        <v>0</v>
      </c>
    </row>
    <row r="112" spans="2:18" x14ac:dyDescent="0.25">
      <c r="B112" s="40" t="s">
        <v>2354</v>
      </c>
      <c r="C112" s="41">
        <v>1</v>
      </c>
      <c r="D112" s="285">
        <v>1</v>
      </c>
      <c r="E112" s="286">
        <v>139</v>
      </c>
      <c r="F112" s="287">
        <v>30718148207</v>
      </c>
      <c r="G112" s="45" t="str">
        <f>IFERROR(IF(compras_mes2[[#This Row],[CUIT]]="","-",VLOOKUP(compras_mes2[[#This Row],[CUIT]],Lista_CUIT[#All],2,0)),"CUIT NO CARGADO")</f>
        <v>VIPA INTERNATIONAL S.R.L.</v>
      </c>
      <c r="H112" s="46">
        <v>1950000</v>
      </c>
      <c r="I112" s="85">
        <f>IF(compras_mes2[[#This Row],[NETO GRAVADO]]="","",compras_mes2[[#This Row],[NETO GRAVADO]]*0.21)</f>
        <v>409500</v>
      </c>
      <c r="J112" s="85"/>
      <c r="K112" s="85"/>
      <c r="L112" s="85"/>
      <c r="M112" s="85"/>
      <c r="N112" s="85"/>
      <c r="O112" s="85"/>
      <c r="P112" s="48">
        <f>SUM(compras_mes2[[#This Row],[NETO GRAVADO]:[Otros / No Grav.]])</f>
        <v>2359500</v>
      </c>
      <c r="Q112" s="49" t="str">
        <f>IFERROR(IF(compras_mes2[[#This Row],[CUIT]]="","-",VLOOKUP(compras_mes2[[#This Row],[CUIT]],Lista_CUIT[#All],3,0)),"CUIT NO CARGADO")</f>
        <v>Productos Venta</v>
      </c>
      <c r="R112" s="49">
        <f>IFERROR(IF(compras_mes2[[#This Row],[CUIT]]="","-",VLOOKUP(compras_mes2[[#This Row],[CUIT]],Lista_CUIT[#All],4,0)),"CUIT NO CARGADO")</f>
        <v>0</v>
      </c>
    </row>
    <row r="113" spans="2:18" x14ac:dyDescent="0.25">
      <c r="B113" s="40" t="s">
        <v>2353</v>
      </c>
      <c r="C113" s="41">
        <v>1</v>
      </c>
      <c r="D113" s="285">
        <v>8</v>
      </c>
      <c r="E113" s="286">
        <v>25180</v>
      </c>
      <c r="F113" s="287">
        <v>30714948209</v>
      </c>
      <c r="G113" s="45" t="str">
        <f>IFERROR(IF(compras_mes2[[#This Row],[CUIT]]="","-",VLOOKUP(compras_mes2[[#This Row],[CUIT]],Lista_CUIT[#All],2,0)),"CUIT NO CARGADO")</f>
        <v xml:space="preserve">BORDER ARGENTINA S.A </v>
      </c>
      <c r="H113" s="46">
        <v>266539.52000000002</v>
      </c>
      <c r="I113" s="85">
        <f>IF(compras_mes2[[#This Row],[NETO GRAVADO]]="","",compras_mes2[[#This Row],[NETO GRAVADO]]*0.21)</f>
        <v>55973.299200000001</v>
      </c>
      <c r="J113" s="85"/>
      <c r="K113" s="85"/>
      <c r="L113" s="85"/>
      <c r="M113" s="85"/>
      <c r="N113" s="85"/>
      <c r="O113" s="85"/>
      <c r="P113" s="48">
        <f>SUM(compras_mes2[[#This Row],[NETO GRAVADO]:[Otros / No Grav.]])</f>
        <v>322512.81920000003</v>
      </c>
      <c r="Q113" s="49" t="str">
        <f>IFERROR(IF(compras_mes2[[#This Row],[CUIT]]="","-",VLOOKUP(compras_mes2[[#This Row],[CUIT]],Lista_CUIT[#All],3,0)),"CUIT NO CARGADO")</f>
        <v xml:space="preserve"> Gastos Limpieza</v>
      </c>
      <c r="R113" s="49">
        <f>IFERROR(IF(compras_mes2[[#This Row],[CUIT]]="","-",VLOOKUP(compras_mes2[[#This Row],[CUIT]],Lista_CUIT[#All],4,0)),"CUIT NO CARGADO")</f>
        <v>0</v>
      </c>
    </row>
    <row r="114" spans="2:18" x14ac:dyDescent="0.25">
      <c r="B114" s="451">
        <v>45712</v>
      </c>
      <c r="C114" s="452">
        <v>1</v>
      </c>
      <c r="D114" s="453">
        <v>12</v>
      </c>
      <c r="E114" s="454">
        <v>59323</v>
      </c>
      <c r="F114" s="455">
        <v>30696131003</v>
      </c>
      <c r="G114" s="456" t="str">
        <f>IFERROR(IF(compras_mes2[[#This Row],[CUIT]]="","-",VLOOKUP(compras_mes2[[#This Row],[CUIT]],Lista_CUIT[#All],2,0)),"CUIT NO CARGADO")</f>
        <v>Petrolfe S.A.</v>
      </c>
      <c r="H114" s="457">
        <v>117600.607421875</v>
      </c>
      <c r="I114" s="458">
        <f>IF(compras_mes2[[#This Row],[NETO GRAVADO]]="","",compras_mes2[[#This Row],[NETO GRAVADO]]*0.21)</f>
        <v>24696.127558593747</v>
      </c>
      <c r="J114" s="458"/>
      <c r="K114" s="458"/>
      <c r="L114" s="458"/>
      <c r="M114" s="458"/>
      <c r="N114" s="458"/>
      <c r="O114" s="458">
        <v>20500.220703125</v>
      </c>
      <c r="P114" s="459">
        <f>SUM(compras_mes2[[#This Row],[NETO GRAVADO]:[Otros / No Grav.]])</f>
        <v>162796.95568359375</v>
      </c>
      <c r="Q114" s="460" t="str">
        <f>IFERROR(IF(compras_mes2[[#This Row],[CUIT]]="","-",VLOOKUP(compras_mes2[[#This Row],[CUIT]],Lista_CUIT[#All],3,0)),"CUIT NO CARGADO")</f>
        <v>Combustible</v>
      </c>
      <c r="R114" s="460">
        <f>IFERROR(IF(compras_mes2[[#This Row],[CUIT]]="","-",VLOOKUP(compras_mes2[[#This Row],[CUIT]],Lista_CUIT[#All],4,0)),"CUIT NO CARGADO")</f>
        <v>0</v>
      </c>
    </row>
    <row r="115" spans="2:18" x14ac:dyDescent="0.25">
      <c r="B115" s="40" t="s">
        <v>2355</v>
      </c>
      <c r="C115" s="41">
        <v>1</v>
      </c>
      <c r="D115" s="285">
        <v>6</v>
      </c>
      <c r="E115" s="286">
        <v>4604</v>
      </c>
      <c r="F115" s="287">
        <v>20214813301</v>
      </c>
      <c r="G115" s="45" t="str">
        <f>IFERROR(IF(compras_mes2[[#This Row],[CUIT]]="","-",VLOOKUP(compras_mes2[[#This Row],[CUIT]],Lista_CUIT[#All],2,0)),"CUIT NO CARGADO")</f>
        <v>ROSENBERG PEDRO ROBERTO</v>
      </c>
      <c r="H115" s="46">
        <v>54614.879999999997</v>
      </c>
      <c r="I115" s="85">
        <f>IF(compras_mes2[[#This Row],[NETO GRAVADO]]="","",compras_mes2[[#This Row],[NETO GRAVADO]]*0.21)</f>
        <v>11469.1248</v>
      </c>
      <c r="J115" s="85"/>
      <c r="K115" s="85"/>
      <c r="L115" s="85"/>
      <c r="M115" s="85"/>
      <c r="N115" s="85"/>
      <c r="O115" s="85"/>
      <c r="P115" s="48">
        <f>SUM(compras_mes2[[#This Row],[NETO GRAVADO]:[Otros / No Grav.]])</f>
        <v>66084.004799999995</v>
      </c>
      <c r="Q115" s="49" t="str">
        <f>IFERROR(IF(compras_mes2[[#This Row],[CUIT]]="","-",VLOOKUP(compras_mes2[[#This Row],[CUIT]],Lista_CUIT[#All],3,0)),"CUIT NO CARGADO")</f>
        <v>Gastos Limpieza</v>
      </c>
      <c r="R115" s="49">
        <f>IFERROR(IF(compras_mes2[[#This Row],[CUIT]]="","-",VLOOKUP(compras_mes2[[#This Row],[CUIT]],Lista_CUIT[#All],4,0)),"CUIT NO CARGADO")</f>
        <v>0</v>
      </c>
    </row>
    <row r="116" spans="2:18" x14ac:dyDescent="0.25">
      <c r="B116" s="40" t="s">
        <v>2373</v>
      </c>
      <c r="C116" s="41">
        <v>1</v>
      </c>
      <c r="D116" s="285">
        <v>5</v>
      </c>
      <c r="E116" s="286">
        <v>35206</v>
      </c>
      <c r="F116" s="287">
        <v>30715837311</v>
      </c>
      <c r="G116" s="45" t="str">
        <f>IFERROR(IF(compras_mes2[[#This Row],[CUIT]]="","-",VLOOKUP(compras_mes2[[#This Row],[CUIT]],Lista_CUIT[#All],2,0)),"CUIT NO CARGADO")</f>
        <v>LA PLATA TRADE S.A.S.</v>
      </c>
      <c r="H116" s="46">
        <v>29368.55</v>
      </c>
      <c r="I116" s="85">
        <f>IF(compras_mes2[[#This Row],[NETO GRAVADO]]="","",compras_mes2[[#This Row],[NETO GRAVADO]]*0.21)</f>
        <v>6167.3954999999996</v>
      </c>
      <c r="J116" s="85"/>
      <c r="K116" s="85"/>
      <c r="L116" s="85"/>
      <c r="M116" s="85"/>
      <c r="N116" s="85"/>
      <c r="O116" s="85"/>
      <c r="P116" s="48">
        <f>SUM(compras_mes2[[#This Row],[NETO GRAVADO]:[Otros / No Grav.]])</f>
        <v>35535.945500000002</v>
      </c>
      <c r="Q116" s="49" t="str">
        <f>IFERROR(IF(compras_mes2[[#This Row],[CUIT]]="","-",VLOOKUP(compras_mes2[[#This Row],[CUIT]],Lista_CUIT[#All],3,0)),"CUIT NO CARGADO")</f>
        <v>Flete</v>
      </c>
      <c r="R116" s="49">
        <f>IFERROR(IF(compras_mes2[[#This Row],[CUIT]]="","-",VLOOKUP(compras_mes2[[#This Row],[CUIT]],Lista_CUIT[#All],4,0)),"CUIT NO CARGADO")</f>
        <v>0</v>
      </c>
    </row>
    <row r="117" spans="2:18" x14ac:dyDescent="0.25">
      <c r="B117" s="40" t="s">
        <v>2355</v>
      </c>
      <c r="C117" s="41">
        <v>1</v>
      </c>
      <c r="D117" s="285">
        <v>8</v>
      </c>
      <c r="E117" s="286">
        <v>2430</v>
      </c>
      <c r="F117" s="287">
        <v>20277381908</v>
      </c>
      <c r="G117" s="45" t="str">
        <f>IFERROR(IF(compras_mes2[[#This Row],[CUIT]]="","-",VLOOKUP(compras_mes2[[#This Row],[CUIT]],Lista_CUIT[#All],2,0)),"CUIT NO CARGADO")</f>
        <v>ALONSO RODRIGO JAVIER</v>
      </c>
      <c r="H117" s="46">
        <v>5090.91</v>
      </c>
      <c r="I117" s="85">
        <f>IF(compras_mes2[[#This Row],[NETO GRAVADO]]="","",compras_mes2[[#This Row],[NETO GRAVADO]]*0.21)</f>
        <v>1069.0910999999999</v>
      </c>
      <c r="J117" s="85"/>
      <c r="K117" s="85"/>
      <c r="L117" s="85"/>
      <c r="M117" s="85"/>
      <c r="N117" s="85"/>
      <c r="O117" s="85"/>
      <c r="P117" s="48">
        <f>SUM(compras_mes2[[#This Row],[NETO GRAVADO]:[Otros / No Grav.]])</f>
        <v>6160.0010999999995</v>
      </c>
      <c r="Q117" s="49" t="str">
        <f>IFERROR(IF(compras_mes2[[#This Row],[CUIT]]="","-",VLOOKUP(compras_mes2[[#This Row],[CUIT]],Lista_CUIT[#All],3,0)),"CUIT NO CARGADO")</f>
        <v>Gastos Varios</v>
      </c>
      <c r="R117" s="49">
        <f>IFERROR(IF(compras_mes2[[#This Row],[CUIT]]="","-",VLOOKUP(compras_mes2[[#This Row],[CUIT]],Lista_CUIT[#All],4,0)),"CUIT NO CARGADO")</f>
        <v>0</v>
      </c>
    </row>
    <row r="118" spans="2:18" x14ac:dyDescent="0.25">
      <c r="B118" s="40" t="s">
        <v>2355</v>
      </c>
      <c r="C118" s="41">
        <v>1</v>
      </c>
      <c r="D118" s="285">
        <v>7</v>
      </c>
      <c r="E118" s="286">
        <v>30417</v>
      </c>
      <c r="F118" s="287">
        <v>30710819552</v>
      </c>
      <c r="G118" s="45" t="str">
        <f>IFERROR(IF(compras_mes2[[#This Row],[CUIT]]="","-",VLOOKUP(compras_mes2[[#This Row],[CUIT]],Lista_CUIT[#All],2,0)),"CUIT NO CARGADO")</f>
        <v>EL CACIQUE Gastos Limpieza SRL</v>
      </c>
      <c r="H118" s="46">
        <v>45243.96</v>
      </c>
      <c r="I118" s="85">
        <f>IF(compras_mes2[[#This Row],[NETO GRAVADO]]="","",compras_mes2[[#This Row],[NETO GRAVADO]]*0.21)</f>
        <v>9501.2315999999992</v>
      </c>
      <c r="J118" s="85"/>
      <c r="K118" s="85"/>
      <c r="L118" s="85"/>
      <c r="M118" s="85"/>
      <c r="N118" s="85"/>
      <c r="O118" s="85"/>
      <c r="P118" s="48">
        <f>SUM(compras_mes2[[#This Row],[NETO GRAVADO]:[Otros / No Grav.]])</f>
        <v>54745.191599999998</v>
      </c>
      <c r="Q118" s="49" t="str">
        <f>IFERROR(IF(compras_mes2[[#This Row],[CUIT]]="","-",VLOOKUP(compras_mes2[[#This Row],[CUIT]],Lista_CUIT[#All],3,0)),"CUIT NO CARGADO")</f>
        <v>Gastos Limpieza</v>
      </c>
      <c r="R118" s="49">
        <f>IFERROR(IF(compras_mes2[[#This Row],[CUIT]]="","-",VLOOKUP(compras_mes2[[#This Row],[CUIT]],Lista_CUIT[#All],4,0)),"CUIT NO CARGADO")</f>
        <v>0</v>
      </c>
    </row>
    <row r="119" spans="2:18" x14ac:dyDescent="0.25">
      <c r="B119" s="40" t="s">
        <v>2368</v>
      </c>
      <c r="C119" s="41">
        <v>1</v>
      </c>
      <c r="D119" s="285">
        <v>3</v>
      </c>
      <c r="E119" s="286">
        <v>5259</v>
      </c>
      <c r="F119" s="287">
        <v>30716242672</v>
      </c>
      <c r="G119" s="45" t="str">
        <f>IFERROR(IF(compras_mes2[[#This Row],[CUIT]]="","-",VLOOKUP(compras_mes2[[#This Row],[CUIT]],Lista_CUIT[#All],2,0)),"CUIT NO CARGADO")</f>
        <v>Pensagro SRL</v>
      </c>
      <c r="H119" s="46">
        <v>1643904.71</v>
      </c>
      <c r="I119" s="85">
        <f>IF(compras_mes2[[#This Row],[NETO GRAVADO]]="","",compras_mes2[[#This Row],[NETO GRAVADO]]*0.21)</f>
        <v>345219.98910000001</v>
      </c>
      <c r="J119" s="85"/>
      <c r="K119" s="85"/>
      <c r="L119" s="85"/>
      <c r="M119" s="85"/>
      <c r="N119" s="85"/>
      <c r="O119" s="85"/>
      <c r="P119" s="48">
        <f>SUM(compras_mes2[[#This Row],[NETO GRAVADO]:[Otros / No Grav.]])</f>
        <v>1989124.6990999999</v>
      </c>
      <c r="Q119" s="49" t="str">
        <f>IFERROR(IF(compras_mes2[[#This Row],[CUIT]]="","-",VLOOKUP(compras_mes2[[#This Row],[CUIT]],Lista_CUIT[#All],3,0)),"CUIT NO CARGADO")</f>
        <v xml:space="preserve">Gastos mantenimiento </v>
      </c>
      <c r="R119" s="49">
        <f>IFERROR(IF(compras_mes2[[#This Row],[CUIT]]="","-",VLOOKUP(compras_mes2[[#This Row],[CUIT]],Lista_CUIT[#All],4,0)),"CUIT NO CARGADO")</f>
        <v>0</v>
      </c>
    </row>
    <row r="120" spans="2:18" x14ac:dyDescent="0.25">
      <c r="B120" s="40" t="s">
        <v>2355</v>
      </c>
      <c r="C120" s="41">
        <v>1</v>
      </c>
      <c r="D120" s="285">
        <v>1</v>
      </c>
      <c r="E120" s="286">
        <v>34</v>
      </c>
      <c r="F120" s="287">
        <v>30718189388</v>
      </c>
      <c r="G120" s="45" t="str">
        <f>IFERROR(IF(compras_mes2[[#This Row],[CUIT]]="","-",VLOOKUP(compras_mes2[[#This Row],[CUIT]],Lista_CUIT[#All],2,0)),"CUIT NO CARGADO")</f>
        <v>PICALI Y ASOCIADOS S.R.L.</v>
      </c>
      <c r="H120" s="46">
        <v>2605000</v>
      </c>
      <c r="I120" s="85">
        <f>IF(compras_mes2[[#This Row],[NETO GRAVADO]]="","",compras_mes2[[#This Row],[NETO GRAVADO]]*0.21)</f>
        <v>547050</v>
      </c>
      <c r="J120" s="85"/>
      <c r="K120" s="85"/>
      <c r="L120" s="85"/>
      <c r="M120" s="85"/>
      <c r="N120" s="85"/>
      <c r="O120" s="85"/>
      <c r="P120" s="48">
        <f>SUM(compras_mes2[[#This Row],[NETO GRAVADO]:[Otros / No Grav.]])</f>
        <v>3152050</v>
      </c>
      <c r="Q120" s="49" t="str">
        <f>IFERROR(IF(compras_mes2[[#This Row],[CUIT]]="","-",VLOOKUP(compras_mes2[[#This Row],[CUIT]],Lista_CUIT[#All],3,0)),"CUIT NO CARGADO")</f>
        <v>Productos Venta</v>
      </c>
      <c r="R120" s="49">
        <f>IFERROR(IF(compras_mes2[[#This Row],[CUIT]]="","-",VLOOKUP(compras_mes2[[#This Row],[CUIT]],Lista_CUIT[#All],4,0)),"CUIT NO CARGADO")</f>
        <v>0</v>
      </c>
    </row>
    <row r="121" spans="2:18" x14ac:dyDescent="0.25">
      <c r="B121" s="40" t="s">
        <v>2356</v>
      </c>
      <c r="C121" s="41">
        <v>1</v>
      </c>
      <c r="D121" s="285">
        <v>3</v>
      </c>
      <c r="E121" s="286">
        <v>5301</v>
      </c>
      <c r="F121" s="287">
        <v>30716242672</v>
      </c>
      <c r="G121" s="45" t="str">
        <f>IFERROR(IF(compras_mes2[[#This Row],[CUIT]]="","-",VLOOKUP(compras_mes2[[#This Row],[CUIT]],Lista_CUIT[#All],2,0)),"CUIT NO CARGADO")</f>
        <v>Pensagro SRL</v>
      </c>
      <c r="H121" s="46">
        <v>855272.01</v>
      </c>
      <c r="I121" s="85">
        <f>IF(compras_mes2[[#This Row],[NETO GRAVADO]]="","",compras_mes2[[#This Row],[NETO GRAVADO]]*0.21)</f>
        <v>179607.12210000001</v>
      </c>
      <c r="J121" s="85"/>
      <c r="K121" s="85"/>
      <c r="L121" s="85"/>
      <c r="M121" s="85"/>
      <c r="N121" s="85"/>
      <c r="O121" s="85"/>
      <c r="P121" s="48">
        <f>SUM(compras_mes2[[#This Row],[NETO GRAVADO]:[Otros / No Grav.]])</f>
        <v>1034879.1321</v>
      </c>
      <c r="Q121" s="49" t="str">
        <f>IFERROR(IF(compras_mes2[[#This Row],[CUIT]]="","-",VLOOKUP(compras_mes2[[#This Row],[CUIT]],Lista_CUIT[#All],3,0)),"CUIT NO CARGADO")</f>
        <v xml:space="preserve">Gastos mantenimiento </v>
      </c>
      <c r="R121" s="49">
        <f>IFERROR(IF(compras_mes2[[#This Row],[CUIT]]="","-",VLOOKUP(compras_mes2[[#This Row],[CUIT]],Lista_CUIT[#All],4,0)),"CUIT NO CARGADO")</f>
        <v>0</v>
      </c>
    </row>
    <row r="122" spans="2:18" x14ac:dyDescent="0.25">
      <c r="B122" s="40" t="s">
        <v>2357</v>
      </c>
      <c r="C122" s="41">
        <v>1</v>
      </c>
      <c r="D122" s="285">
        <v>3</v>
      </c>
      <c r="E122" s="286">
        <v>5305</v>
      </c>
      <c r="F122" s="287">
        <v>30716242672</v>
      </c>
      <c r="G122" s="45" t="str">
        <f>IFERROR(IF(compras_mes2[[#This Row],[CUIT]]="","-",VLOOKUP(compras_mes2[[#This Row],[CUIT]],Lista_CUIT[#All],2,0)),"CUIT NO CARGADO")</f>
        <v>Pensagro SRL</v>
      </c>
      <c r="H122" s="46">
        <v>18432.59</v>
      </c>
      <c r="I122" s="85">
        <f>IF(compras_mes2[[#This Row],[NETO GRAVADO]]="","",compras_mes2[[#This Row],[NETO GRAVADO]]*0.21)</f>
        <v>3870.8438999999998</v>
      </c>
      <c r="J122" s="85"/>
      <c r="K122" s="85"/>
      <c r="L122" s="85"/>
      <c r="M122" s="85"/>
      <c r="N122" s="85"/>
      <c r="O122" s="85"/>
      <c r="P122" s="48">
        <f>SUM(compras_mes2[[#This Row],[NETO GRAVADO]:[Otros / No Grav.]])</f>
        <v>22303.4339</v>
      </c>
      <c r="Q122" s="49" t="str">
        <f>IFERROR(IF(compras_mes2[[#This Row],[CUIT]]="","-",VLOOKUP(compras_mes2[[#This Row],[CUIT]],Lista_CUIT[#All],3,0)),"CUIT NO CARGADO")</f>
        <v xml:space="preserve">Gastos mantenimiento </v>
      </c>
      <c r="R122" s="49">
        <f>IFERROR(IF(compras_mes2[[#This Row],[CUIT]]="","-",VLOOKUP(compras_mes2[[#This Row],[CUIT]],Lista_CUIT[#All],4,0)),"CUIT NO CARGADO")</f>
        <v>0</v>
      </c>
    </row>
    <row r="123" spans="2:18" x14ac:dyDescent="0.25">
      <c r="B123" s="40" t="s">
        <v>2356</v>
      </c>
      <c r="C123" s="41">
        <v>1</v>
      </c>
      <c r="D123" s="285">
        <v>2188</v>
      </c>
      <c r="E123" s="286">
        <v>142596</v>
      </c>
      <c r="F123" s="287">
        <v>30548083156</v>
      </c>
      <c r="G123" s="45" t="str">
        <f>IFERROR(IF(compras_mes2[[#This Row],[CUIT]]="","-",VLOOKUP(compras_mes2[[#This Row],[CUIT]],Lista_CUIT[#All],2,0)),"CUIT NO CARGADO")</f>
        <v>COTO CENTRO INTEGRAL DE COMERCIALIZACION SOCIEDAD ANONIMA</v>
      </c>
      <c r="H123" s="46">
        <v>62641.38</v>
      </c>
      <c r="I123" s="85">
        <v>11282.39</v>
      </c>
      <c r="J123" s="85"/>
      <c r="K123" s="85">
        <v>936.15</v>
      </c>
      <c r="L123" s="85"/>
      <c r="M123" s="85"/>
      <c r="N123" s="85"/>
      <c r="O123" s="85">
        <v>5198.8100000000004</v>
      </c>
      <c r="P123" s="48">
        <f>SUM(compras_mes2[[#This Row],[NETO GRAVADO]:[Otros / No Grav.]])</f>
        <v>80058.729999999981</v>
      </c>
      <c r="Q123" s="49" t="str">
        <f>IFERROR(IF(compras_mes2[[#This Row],[CUIT]]="","-",VLOOKUP(compras_mes2[[#This Row],[CUIT]],Lista_CUIT[#All],3,0)),"CUIT NO CARGADO")</f>
        <v>Gastos Varios</v>
      </c>
      <c r="R123" s="49">
        <f>IFERROR(IF(compras_mes2[[#This Row],[CUIT]]="","-",VLOOKUP(compras_mes2[[#This Row],[CUIT]],Lista_CUIT[#All],4,0)),"CUIT NO CARGADO")</f>
        <v>0</v>
      </c>
    </row>
    <row r="124" spans="2:18" x14ac:dyDescent="0.25">
      <c r="B124" s="40" t="s">
        <v>2356</v>
      </c>
      <c r="C124" s="41">
        <v>1</v>
      </c>
      <c r="D124" s="285">
        <v>14</v>
      </c>
      <c r="E124" s="286">
        <v>5412</v>
      </c>
      <c r="F124" s="287">
        <v>30693293754</v>
      </c>
      <c r="G124" s="45" t="str">
        <f>IFERROR(IF(compras_mes2[[#This Row],[CUIT]]="","-",VLOOKUP(compras_mes2[[#This Row],[CUIT]],Lista_CUIT[#All],2,0)),"CUIT NO CARGADO")</f>
        <v>CPT INTEGRAL SA</v>
      </c>
      <c r="H124" s="46">
        <v>206528.1</v>
      </c>
      <c r="I124" s="85">
        <f>IF(compras_mes2[[#This Row],[NETO GRAVADO]]="","",compras_mes2[[#This Row],[NETO GRAVADO]]*0.21)</f>
        <v>43370.900999999998</v>
      </c>
      <c r="J124" s="85"/>
      <c r="K124" s="85"/>
      <c r="L124" s="85"/>
      <c r="M124" s="85">
        <v>12391.69</v>
      </c>
      <c r="N124" s="85"/>
      <c r="O124" s="85"/>
      <c r="P124" s="48">
        <f>SUM(compras_mes2[[#This Row],[NETO GRAVADO]:[Otros / No Grav.]])</f>
        <v>262290.69099999999</v>
      </c>
      <c r="Q124" s="49" t="str">
        <f>IFERROR(IF(compras_mes2[[#This Row],[CUIT]]="","-",VLOOKUP(compras_mes2[[#This Row],[CUIT]],Lista_CUIT[#All],3,0)),"CUIT NO CARGADO")</f>
        <v>LIBRERÍA</v>
      </c>
      <c r="R124" s="49">
        <f>IFERROR(IF(compras_mes2[[#This Row],[CUIT]]="","-",VLOOKUP(compras_mes2[[#This Row],[CUIT]],Lista_CUIT[#All],4,0)),"CUIT NO CARGADO")</f>
        <v>0</v>
      </c>
    </row>
    <row r="125" spans="2:18" x14ac:dyDescent="0.25">
      <c r="B125" s="40" t="s">
        <v>2356</v>
      </c>
      <c r="C125" s="41">
        <v>1</v>
      </c>
      <c r="D125" s="285">
        <v>6854</v>
      </c>
      <c r="E125" s="286">
        <v>18918</v>
      </c>
      <c r="F125" s="287">
        <v>30678774495</v>
      </c>
      <c r="G125" s="45" t="str">
        <f>IFERROR(IF(compras_mes2[[#This Row],[CUIT]]="","-",VLOOKUP(compras_mes2[[#This Row],[CUIT]],Lista_CUIT[#All],2,0)),"CUIT NO CARGADO")</f>
        <v>OPER. DE EST. DE SERV. SA</v>
      </c>
      <c r="H125" s="46">
        <v>8932.0400000000009</v>
      </c>
      <c r="I125" s="85">
        <f>IF(compras_mes2[[#This Row],[NETO GRAVADO]]="","",compras_mes2[[#This Row],[NETO GRAVADO]]*0.21)</f>
        <v>1875.7284000000002</v>
      </c>
      <c r="J125" s="85"/>
      <c r="K125" s="85"/>
      <c r="L125" s="85"/>
      <c r="M125" s="85"/>
      <c r="N125" s="85"/>
      <c r="O125" s="85">
        <v>2192.21</v>
      </c>
      <c r="P125" s="48">
        <f>SUM(compras_mes2[[#This Row],[NETO GRAVADO]:[Otros / No Grav.]])</f>
        <v>12999.9784</v>
      </c>
      <c r="Q125" s="49" t="str">
        <f>IFERROR(IF(compras_mes2[[#This Row],[CUIT]]="","-",VLOOKUP(compras_mes2[[#This Row],[CUIT]],Lista_CUIT[#All],3,0)),"CUIT NO CARGADO")</f>
        <v>Combustible</v>
      </c>
      <c r="R125" s="49">
        <f>IFERROR(IF(compras_mes2[[#This Row],[CUIT]]="","-",VLOOKUP(compras_mes2[[#This Row],[CUIT]],Lista_CUIT[#All],4,0)),"CUIT NO CARGADO")</f>
        <v>0</v>
      </c>
    </row>
    <row r="126" spans="2:18" x14ac:dyDescent="0.25">
      <c r="B126" s="40" t="s">
        <v>2356</v>
      </c>
      <c r="C126" s="41">
        <v>1</v>
      </c>
      <c r="D126" s="285">
        <v>2</v>
      </c>
      <c r="E126" s="286">
        <v>3968</v>
      </c>
      <c r="F126" s="287">
        <v>30629863571</v>
      </c>
      <c r="G126" s="45" t="str">
        <f>IFERROR(IF(compras_mes2[[#This Row],[CUIT]]="","-",VLOOKUP(compras_mes2[[#This Row],[CUIT]],Lista_CUIT[#All],2,0)),"CUIT NO CARGADO")</f>
        <v>TECNIMAR S R L</v>
      </c>
      <c r="H126" s="46">
        <v>2094732</v>
      </c>
      <c r="I126" s="85">
        <f>IF(compras_mes2[[#This Row],[NETO GRAVADO]]="","",compras_mes2[[#This Row],[NETO GRAVADO]]*0.21)</f>
        <v>439893.72</v>
      </c>
      <c r="J126" s="85"/>
      <c r="K126" s="85"/>
      <c r="L126" s="85"/>
      <c r="M126" s="85"/>
      <c r="N126" s="85"/>
      <c r="O126" s="85"/>
      <c r="P126" s="48">
        <f>SUM(compras_mes2[[#This Row],[NETO GRAVADO]:[Otros / No Grav.]])</f>
        <v>2534625.7199999997</v>
      </c>
      <c r="Q126" s="49" t="str">
        <f>IFERROR(IF(compras_mes2[[#This Row],[CUIT]]="","-",VLOOKUP(compras_mes2[[#This Row],[CUIT]],Lista_CUIT[#All],3,0)),"CUIT NO CARGADO")</f>
        <v>Productos Venta</v>
      </c>
      <c r="R126" s="49">
        <f>IFERROR(IF(compras_mes2[[#This Row],[CUIT]]="","-",VLOOKUP(compras_mes2[[#This Row],[CUIT]],Lista_CUIT[#All],4,0)),"CUIT NO CARGADO")</f>
        <v>0</v>
      </c>
    </row>
    <row r="127" spans="2:18" x14ac:dyDescent="0.25">
      <c r="B127" s="40">
        <v>45714</v>
      </c>
      <c r="C127" s="41">
        <v>1</v>
      </c>
      <c r="D127" s="285">
        <v>11</v>
      </c>
      <c r="E127" s="286">
        <v>41855</v>
      </c>
      <c r="F127" s="287">
        <v>30696131003</v>
      </c>
      <c r="G127" s="45" t="str">
        <f>IFERROR(IF(compras_mes2[[#This Row],[CUIT]]="","-",VLOOKUP(compras_mes2[[#This Row],[CUIT]],Lista_CUIT[#All],2,0)),"CUIT NO CARGADO")</f>
        <v>Petrolfe S.A.</v>
      </c>
      <c r="H127" s="46">
        <v>33575.43</v>
      </c>
      <c r="I127" s="85">
        <f>IF(compras_mes2[[#This Row],[NETO GRAVADO]]="","",compras_mes2[[#This Row],[NETO GRAVADO]]*0.21)</f>
        <v>7050.8402999999998</v>
      </c>
      <c r="J127" s="85"/>
      <c r="K127" s="85"/>
      <c r="L127" s="85"/>
      <c r="M127" s="85"/>
      <c r="N127" s="85"/>
      <c r="O127" s="85">
        <v>11759.54</v>
      </c>
      <c r="P127" s="48">
        <f>SUM(compras_mes2[[#This Row],[NETO GRAVADO]:[Otros / No Grav.]])</f>
        <v>52385.810300000005</v>
      </c>
      <c r="Q127" s="49" t="str">
        <f>IFERROR(IF(compras_mes2[[#This Row],[CUIT]]="","-",VLOOKUP(compras_mes2[[#This Row],[CUIT]],Lista_CUIT[#All],3,0)),"CUIT NO CARGADO")</f>
        <v>Combustible</v>
      </c>
      <c r="R127" s="49">
        <f>IFERROR(IF(compras_mes2[[#This Row],[CUIT]]="","-",VLOOKUP(compras_mes2[[#This Row],[CUIT]],Lista_CUIT[#All],4,0)),"CUIT NO CARGADO")</f>
        <v>0</v>
      </c>
    </row>
    <row r="128" spans="2:18" x14ac:dyDescent="0.25">
      <c r="B128" s="40" t="s">
        <v>2355</v>
      </c>
      <c r="C128" s="41">
        <v>1</v>
      </c>
      <c r="D128" s="285">
        <v>1</v>
      </c>
      <c r="E128" s="286">
        <v>38778</v>
      </c>
      <c r="F128" s="287">
        <v>30717334015</v>
      </c>
      <c r="G128" s="45" t="str">
        <f>IFERROR(IF(compras_mes2[[#This Row],[CUIT]]="","-",VLOOKUP(compras_mes2[[#This Row],[CUIT]],Lista_CUIT[#All],2,0)),"CUIT NO CARGADO")</f>
        <v>DIGITAL SALES S.A</v>
      </c>
      <c r="H128" s="46">
        <v>225812.45</v>
      </c>
      <c r="I128" s="85">
        <f>IF(compras_mes2[[#This Row],[NETO GRAVADO]]="","",compras_mes2[[#This Row],[NETO GRAVADO]]*0.21)</f>
        <v>47420.614500000003</v>
      </c>
      <c r="J128" s="85"/>
      <c r="K128" s="85"/>
      <c r="L128" s="85"/>
      <c r="M128" s="85"/>
      <c r="N128" s="85"/>
      <c r="O128" s="85"/>
      <c r="P128" s="48">
        <f>SUM(compras_mes2[[#This Row],[NETO GRAVADO]:[Otros / No Grav.]])</f>
        <v>273233.06450000004</v>
      </c>
      <c r="Q128" s="49" t="str">
        <f>IFERROR(IF(compras_mes2[[#This Row],[CUIT]]="","-",VLOOKUP(compras_mes2[[#This Row],[CUIT]],Lista_CUIT[#All],3,0)),"CUIT NO CARGADO")</f>
        <v>Muebles y Utiles</v>
      </c>
      <c r="R128" s="49">
        <f>IFERROR(IF(compras_mes2[[#This Row],[CUIT]]="","-",VLOOKUP(compras_mes2[[#This Row],[CUIT]],Lista_CUIT[#All],4,0)),"CUIT NO CARGADO")</f>
        <v>0</v>
      </c>
    </row>
    <row r="129" spans="1:20" x14ac:dyDescent="0.25">
      <c r="B129" s="40" t="s">
        <v>2357</v>
      </c>
      <c r="C129" s="41">
        <v>1</v>
      </c>
      <c r="D129" s="285">
        <v>8456</v>
      </c>
      <c r="E129" s="286">
        <v>32346</v>
      </c>
      <c r="F129" s="287">
        <v>30678774495</v>
      </c>
      <c r="G129" s="45" t="str">
        <f>IFERROR(IF(compras_mes2[[#This Row],[CUIT]]="","-",VLOOKUP(compras_mes2[[#This Row],[CUIT]],Lista_CUIT[#All],2,0)),"CUIT NO CARGADO")</f>
        <v>OPER. DE EST. DE SERV. SA</v>
      </c>
      <c r="H129" s="46">
        <v>28673.54</v>
      </c>
      <c r="I129" s="85">
        <f>IF(compras_mes2[[#This Row],[NETO GRAVADO]]="","",compras_mes2[[#This Row],[NETO GRAVADO]]*0.21)</f>
        <v>6021.4434000000001</v>
      </c>
      <c r="J129" s="85"/>
      <c r="K129" s="85"/>
      <c r="L129" s="85"/>
      <c r="M129" s="85"/>
      <c r="N129" s="85"/>
      <c r="O129" s="85">
        <v>7304.04</v>
      </c>
      <c r="P129" s="48">
        <f>SUM(compras_mes2[[#This Row],[NETO GRAVADO]:[Otros / No Grav.]])</f>
        <v>41999.023399999998</v>
      </c>
      <c r="Q129" s="49" t="str">
        <f>IFERROR(IF(compras_mes2[[#This Row],[CUIT]]="","-",VLOOKUP(compras_mes2[[#This Row],[CUIT]],Lista_CUIT[#All],3,0)),"CUIT NO CARGADO")</f>
        <v>Combustible</v>
      </c>
      <c r="R129" s="49">
        <f>IFERROR(IF(compras_mes2[[#This Row],[CUIT]]="","-",VLOOKUP(compras_mes2[[#This Row],[CUIT]],Lista_CUIT[#All],4,0)),"CUIT NO CARGADO")</f>
        <v>0</v>
      </c>
    </row>
    <row r="130" spans="1:20" x14ac:dyDescent="0.25">
      <c r="B130" s="40" t="s">
        <v>2357</v>
      </c>
      <c r="C130" s="41">
        <v>1</v>
      </c>
      <c r="D130" s="285">
        <v>6001</v>
      </c>
      <c r="E130" s="286">
        <v>2732</v>
      </c>
      <c r="F130" s="287">
        <v>30639453738</v>
      </c>
      <c r="G130" s="45" t="str">
        <f>IFERROR(IF(compras_mes2[[#This Row],[CUIT]]="","-",VLOOKUP(compras_mes2[[#This Row],[CUIT]],Lista_CUIT[#All],2,0)),"CUIT NO CARGADO")</f>
        <v>TELECOM ARG SA</v>
      </c>
      <c r="H130" s="46">
        <v>0.01</v>
      </c>
      <c r="I130" s="85">
        <f>IF(compras_mes2[[#This Row],[NETO GRAVADO]]="","",compras_mes2[[#This Row],[NETO GRAVADO]]*0.21)</f>
        <v>2.0999999999999999E-3</v>
      </c>
      <c r="J130" s="85"/>
      <c r="K130" s="85"/>
      <c r="L130" s="85"/>
      <c r="M130" s="85"/>
      <c r="N130" s="85"/>
      <c r="O130" s="85"/>
      <c r="P130" s="48">
        <f>SUM(compras_mes2[[#This Row],[NETO GRAVADO]:[Otros / No Grav.]])</f>
        <v>1.21E-2</v>
      </c>
      <c r="Q130" s="49" t="str">
        <f>IFERROR(IF(compras_mes2[[#This Row],[CUIT]]="","-",VLOOKUP(compras_mes2[[#This Row],[CUIT]],Lista_CUIT[#All],3,0)),"CUIT NO CARGADO")</f>
        <v>Servicios Gas, Luz, etc.</v>
      </c>
      <c r="R130" s="49">
        <f>IFERROR(IF(compras_mes2[[#This Row],[CUIT]]="","-",VLOOKUP(compras_mes2[[#This Row],[CUIT]],Lista_CUIT[#All],4,0)),"CUIT NO CARGADO")</f>
        <v>0</v>
      </c>
    </row>
    <row r="131" spans="1:20" x14ac:dyDescent="0.25">
      <c r="B131" s="40" t="s">
        <v>2357</v>
      </c>
      <c r="C131" s="41">
        <v>1</v>
      </c>
      <c r="D131" s="285">
        <v>2</v>
      </c>
      <c r="E131" s="286">
        <v>3971</v>
      </c>
      <c r="F131" s="287">
        <v>30629863571</v>
      </c>
      <c r="G131" s="45" t="str">
        <f>IFERROR(IF(compras_mes2[[#This Row],[CUIT]]="","-",VLOOKUP(compras_mes2[[#This Row],[CUIT]],Lista_CUIT[#All],2,0)),"CUIT NO CARGADO")</f>
        <v>TECNIMAR S R L</v>
      </c>
      <c r="H131" s="46">
        <v>536818</v>
      </c>
      <c r="I131" s="85">
        <f>IF(compras_mes2[[#This Row],[NETO GRAVADO]]="","",compras_mes2[[#This Row],[NETO GRAVADO]]*0.21)</f>
        <v>112731.78</v>
      </c>
      <c r="J131" s="85"/>
      <c r="K131" s="85"/>
      <c r="L131" s="85"/>
      <c r="M131" s="85"/>
      <c r="N131" s="85"/>
      <c r="O131" s="85"/>
      <c r="P131" s="48">
        <f>SUM(compras_mes2[[#This Row],[NETO GRAVADO]:[Otros / No Grav.]])</f>
        <v>649549.78</v>
      </c>
      <c r="Q131" s="49" t="str">
        <f>IFERROR(IF(compras_mes2[[#This Row],[CUIT]]="","-",VLOOKUP(compras_mes2[[#This Row],[CUIT]],Lista_CUIT[#All],3,0)),"CUIT NO CARGADO")</f>
        <v>Productos Venta</v>
      </c>
      <c r="R131" s="49">
        <f>IFERROR(IF(compras_mes2[[#This Row],[CUIT]]="","-",VLOOKUP(compras_mes2[[#This Row],[CUIT]],Lista_CUIT[#All],4,0)),"CUIT NO CARGADO")</f>
        <v>0</v>
      </c>
    </row>
    <row r="132" spans="1:20" s="174" customFormat="1" x14ac:dyDescent="0.25">
      <c r="A132"/>
      <c r="B132" s="378">
        <v>45715</v>
      </c>
      <c r="C132" s="450">
        <v>1</v>
      </c>
      <c r="D132" s="379">
        <v>32</v>
      </c>
      <c r="E132" s="380">
        <v>2997</v>
      </c>
      <c r="F132" s="381">
        <v>30696106068</v>
      </c>
      <c r="G132" s="382" t="str">
        <f>IFERROR(IF(compras_mes2[[#This Row],[CUIT]]="","-",VLOOKUP(compras_mes2[[#This Row],[CUIT]],Lista_CUIT[#All],2,0)),"CUIT NO CARGADO")</f>
        <v>PINTURERIAS LIBERATO SRL</v>
      </c>
      <c r="H132" s="383">
        <v>118969.62</v>
      </c>
      <c r="I132" s="384">
        <f>IF(compras_mes2[[#This Row],[NETO GRAVADO]]="","",compras_mes2[[#This Row],[NETO GRAVADO]]*0.21)</f>
        <v>24983.620199999998</v>
      </c>
      <c r="J132" s="384"/>
      <c r="K132" s="384"/>
      <c r="L132" s="384"/>
      <c r="M132" s="384"/>
      <c r="N132" s="384"/>
      <c r="O132" s="384">
        <v>0.02</v>
      </c>
      <c r="P132" s="385">
        <f>SUM(compras_mes2[[#This Row],[NETO GRAVADO]:[Otros / No Grav.]])</f>
        <v>143953.26019999999</v>
      </c>
      <c r="Q132" s="386" t="str">
        <f>IFERROR(IF(compras_mes2[[#This Row],[CUIT]]="","-",VLOOKUP(compras_mes2[[#This Row],[CUIT]],Lista_CUIT[#All],3,0)),"CUIT NO CARGADO")</f>
        <v>Mantenimiento Locales</v>
      </c>
      <c r="R132" s="386">
        <f>IFERROR(IF(compras_mes2[[#This Row],[CUIT]]="","-",VLOOKUP(compras_mes2[[#This Row],[CUIT]],Lista_CUIT[#All],4,0)),"CUIT NO CARGADO")</f>
        <v>0</v>
      </c>
      <c r="S132"/>
      <c r="T132"/>
    </row>
    <row r="133" spans="1:20" x14ac:dyDescent="0.25">
      <c r="B133" s="451">
        <v>45715</v>
      </c>
      <c r="C133" s="452">
        <v>1</v>
      </c>
      <c r="D133" s="453">
        <v>64</v>
      </c>
      <c r="E133" s="454">
        <v>29258919</v>
      </c>
      <c r="F133" s="455">
        <v>30657863676</v>
      </c>
      <c r="G133" s="456" t="str">
        <f>IFERROR(IF(compras_mes2[[#This Row],[CUIT]]="","-",VLOOKUP(compras_mes2[[#This Row],[CUIT]],Lista_CUIT[#All],2,0)),"CUIT NO CARGADO")</f>
        <v>METROGAS S A</v>
      </c>
      <c r="H133" s="457">
        <v>13753.34</v>
      </c>
      <c r="I133" s="458">
        <f>IF(compras_mes2[[#This Row],[NETO GRAVADO]]="","",compras_mes2[[#This Row],[NETO GRAVADO]]*0.21)</f>
        <v>2888.2013999999999</v>
      </c>
      <c r="J133" s="458"/>
      <c r="K133" s="458"/>
      <c r="L133" s="458"/>
      <c r="M133" s="458"/>
      <c r="N133" s="458">
        <v>516.59991455078102</v>
      </c>
      <c r="O133" s="458">
        <v>1529.30004882813</v>
      </c>
      <c r="P133" s="459">
        <f>SUM(compras_mes2[[#This Row],[NETO GRAVADO]:[Otros / No Grav.]])</f>
        <v>18687.441363378912</v>
      </c>
      <c r="Q133" s="460" t="str">
        <f>IFERROR(IF(compras_mes2[[#This Row],[CUIT]]="","-",VLOOKUP(compras_mes2[[#This Row],[CUIT]],Lista_CUIT[#All],3,0)),"CUIT NO CARGADO")</f>
        <v>Servicios Gas, Luz, etc.</v>
      </c>
      <c r="R133" s="460">
        <f>IFERROR(IF(compras_mes2[[#This Row],[CUIT]]="","-",VLOOKUP(compras_mes2[[#This Row],[CUIT]],Lista_CUIT[#All],4,0)),"CUIT NO CARGADO")</f>
        <v>0</v>
      </c>
    </row>
    <row r="134" spans="1:20" x14ac:dyDescent="0.25">
      <c r="B134" s="451">
        <v>45715</v>
      </c>
      <c r="C134" s="452">
        <v>1</v>
      </c>
      <c r="D134" s="453">
        <v>26</v>
      </c>
      <c r="E134" s="454">
        <v>54702077</v>
      </c>
      <c r="F134" s="455">
        <v>30655116202</v>
      </c>
      <c r="G134" s="456" t="str">
        <f>IFERROR(IF(compras_mes2[[#This Row],[CUIT]]="","-",VLOOKUP(compras_mes2[[#This Row],[CUIT]],Lista_CUIT[#All],2,0)),"CUIT NO CARGADO")</f>
        <v xml:space="preserve">EDENOR </v>
      </c>
      <c r="H134" s="457">
        <v>85841.93</v>
      </c>
      <c r="I134" s="458"/>
      <c r="J134" s="458">
        <f>compras_mes2[[#This Row],[NETO GRAVADO]]*0.27</f>
        <v>23177.321100000001</v>
      </c>
      <c r="K134" s="458"/>
      <c r="L134" s="458">
        <v>14721.8896484375</v>
      </c>
      <c r="M134" s="458"/>
      <c r="N134" s="458"/>
      <c r="O134" s="458">
        <v>5515.35009765625</v>
      </c>
      <c r="P134" s="459">
        <f>SUM(compras_mes2[[#This Row],[NETO GRAVADO]:[Otros / No Grav.]])</f>
        <v>129256.49084609374</v>
      </c>
      <c r="Q134" s="460" t="str">
        <f>IFERROR(IF(compras_mes2[[#This Row],[CUIT]]="","-",VLOOKUP(compras_mes2[[#This Row],[CUIT]],Lista_CUIT[#All],3,0)),"CUIT NO CARGADO")</f>
        <v>Servicios Gas, Luz, etc.</v>
      </c>
      <c r="R134" s="460">
        <f>IFERROR(IF(compras_mes2[[#This Row],[CUIT]]="","-",VLOOKUP(compras_mes2[[#This Row],[CUIT]],Lista_CUIT[#All],4,0)),"CUIT NO CARGADO")</f>
        <v>0</v>
      </c>
    </row>
    <row r="135" spans="1:20" x14ac:dyDescent="0.25">
      <c r="B135" s="40" t="s">
        <v>2358</v>
      </c>
      <c r="C135" s="41">
        <v>1</v>
      </c>
      <c r="D135" s="285">
        <v>3</v>
      </c>
      <c r="E135" s="286">
        <v>12491</v>
      </c>
      <c r="F135" s="287">
        <v>30679163317</v>
      </c>
      <c r="G135" s="45" t="str">
        <f>IFERROR(IF(compras_mes2[[#This Row],[CUIT]]="","-",VLOOKUP(compras_mes2[[#This Row],[CUIT]],Lista_CUIT[#All],2,0)),"CUIT NO CARGADO")</f>
        <v>RANKO S R L</v>
      </c>
      <c r="H135" s="46">
        <v>33057.85</v>
      </c>
      <c r="I135" s="85">
        <f>IF(compras_mes2[[#This Row],[NETO GRAVADO]]="","",compras_mes2[[#This Row],[NETO GRAVADO]]*0.21)</f>
        <v>6942.1484999999993</v>
      </c>
      <c r="J135" s="85"/>
      <c r="K135" s="85"/>
      <c r="L135" s="85"/>
      <c r="M135" s="85"/>
      <c r="N135" s="85"/>
      <c r="O135" s="85"/>
      <c r="P135" s="48">
        <f>SUM(compras_mes2[[#This Row],[NETO GRAVADO]:[Otros / No Grav.]])</f>
        <v>39999.998500000002</v>
      </c>
      <c r="Q135" s="49" t="str">
        <f>IFERROR(IF(compras_mes2[[#This Row],[CUIT]]="","-",VLOOKUP(compras_mes2[[#This Row],[CUIT]],Lista_CUIT[#All],3,0)),"CUIT NO CARGADO")</f>
        <v>Mantenimiento</v>
      </c>
      <c r="R135" s="49">
        <f>IFERROR(IF(compras_mes2[[#This Row],[CUIT]]="","-",VLOOKUP(compras_mes2[[#This Row],[CUIT]],Lista_CUIT[#All],4,0)),"CUIT NO CARGADO")</f>
        <v>0</v>
      </c>
    </row>
    <row r="136" spans="1:20" x14ac:dyDescent="0.25">
      <c r="B136" s="40" t="s">
        <v>2363</v>
      </c>
      <c r="C136" s="41">
        <v>1</v>
      </c>
      <c r="D136" s="285">
        <v>3</v>
      </c>
      <c r="E136" s="286">
        <v>3306</v>
      </c>
      <c r="F136" s="287">
        <v>30717438562</v>
      </c>
      <c r="G136" s="45" t="str">
        <f>IFERROR(IF(compras_mes2[[#This Row],[CUIT]]="","-",VLOOKUP(compras_mes2[[#This Row],[CUIT]],Lista_CUIT[#All],2,0)),"CUIT NO CARGADO")</f>
        <v>MR SHOPS S.R.L.</v>
      </c>
      <c r="H136" s="46">
        <v>4793.3900000000003</v>
      </c>
      <c r="I136" s="85">
        <f>IF(compras_mes2[[#This Row],[NETO GRAVADO]]="","",compras_mes2[[#This Row],[NETO GRAVADO]]*0.21)</f>
        <v>1006.6119</v>
      </c>
      <c r="J136" s="85"/>
      <c r="K136" s="85"/>
      <c r="L136" s="85"/>
      <c r="M136" s="85"/>
      <c r="N136" s="85"/>
      <c r="O136" s="85"/>
      <c r="P136" s="48">
        <f>SUM(compras_mes2[[#This Row],[NETO GRAVADO]:[Otros / No Grav.]])</f>
        <v>5800.0019000000002</v>
      </c>
      <c r="Q136" s="49" t="str">
        <f>IFERROR(IF(compras_mes2[[#This Row],[CUIT]]="","-",VLOOKUP(compras_mes2[[#This Row],[CUIT]],Lista_CUIT[#All],3,0)),"CUIT NO CARGADO")</f>
        <v>Gastos Varios</v>
      </c>
      <c r="R136" s="49">
        <f>IFERROR(IF(compras_mes2[[#This Row],[CUIT]]="","-",VLOOKUP(compras_mes2[[#This Row],[CUIT]],Lista_CUIT[#All],4,0)),"CUIT NO CARGADO")</f>
        <v>0</v>
      </c>
    </row>
    <row r="137" spans="1:20" x14ac:dyDescent="0.25">
      <c r="B137" s="40" t="s">
        <v>2358</v>
      </c>
      <c r="C137" s="41">
        <v>1</v>
      </c>
      <c r="D137" s="285">
        <v>104</v>
      </c>
      <c r="E137" s="286">
        <v>8381668</v>
      </c>
      <c r="F137" s="287">
        <v>30715804812</v>
      </c>
      <c r="G137" s="45" t="str">
        <f>IFERROR(IF(compras_mes2[[#This Row],[CUIT]]="","-",VLOOKUP(compras_mes2[[#This Row],[CUIT]],Lista_CUIT[#All],2,0)),"CUIT NO CARGADO")</f>
        <v>CORREDORES VIALES SOCIEDAD ANONIMA</v>
      </c>
      <c r="H137" s="46">
        <v>2079.9699999999998</v>
      </c>
      <c r="I137" s="85">
        <f>IF(compras_mes2[[#This Row],[NETO GRAVADO]]="","",compras_mes2[[#This Row],[NETO GRAVADO]]*0.21)</f>
        <v>436.79369999999994</v>
      </c>
      <c r="J137" s="85"/>
      <c r="K137" s="85"/>
      <c r="L137" s="85"/>
      <c r="M137" s="85"/>
      <c r="N137" s="85">
        <v>124.8</v>
      </c>
      <c r="O137" s="85"/>
      <c r="P137" s="48">
        <f>SUM(compras_mes2[[#This Row],[NETO GRAVADO]:[Otros / No Grav.]])</f>
        <v>2641.5636999999997</v>
      </c>
      <c r="Q137" s="49" t="str">
        <f>IFERROR(IF(compras_mes2[[#This Row],[CUIT]]="","-",VLOOKUP(compras_mes2[[#This Row],[CUIT]],Lista_CUIT[#All],3,0)),"CUIT NO CARGADO")</f>
        <v>Peajes</v>
      </c>
      <c r="R137" s="49">
        <f>IFERROR(IF(compras_mes2[[#This Row],[CUIT]]="","-",VLOOKUP(compras_mes2[[#This Row],[CUIT]],Lista_CUIT[#All],4,0)),"CUIT NO CARGADO")</f>
        <v>0</v>
      </c>
    </row>
    <row r="138" spans="1:20" x14ac:dyDescent="0.25">
      <c r="B138" s="40" t="s">
        <v>2358</v>
      </c>
      <c r="C138" s="41">
        <v>1</v>
      </c>
      <c r="D138" s="285">
        <v>503</v>
      </c>
      <c r="E138" s="286">
        <v>1740738</v>
      </c>
      <c r="F138" s="287">
        <v>30639935872</v>
      </c>
      <c r="G138" s="45" t="str">
        <f>IFERROR(IF(compras_mes2[[#This Row],[CUIT]]="","-",VLOOKUP(compras_mes2[[#This Row],[CUIT]],Lista_CUIT[#All],2,0)),"CUIT NO CARGADO")</f>
        <v>CAMINOS DEL RIO URUGUAY S A DE CONSTRUCCIONES Y CONCESIONES VIALES</v>
      </c>
      <c r="H138" s="46">
        <v>2753.15</v>
      </c>
      <c r="I138" s="85">
        <f>IF(compras_mes2[[#This Row],[NETO GRAVADO]]="","",compras_mes2[[#This Row],[NETO GRAVADO]]*0.21)</f>
        <v>578.16150000000005</v>
      </c>
      <c r="J138" s="85"/>
      <c r="K138" s="85"/>
      <c r="L138" s="85"/>
      <c r="M138" s="85"/>
      <c r="N138" s="85">
        <v>165.19</v>
      </c>
      <c r="O138" s="85"/>
      <c r="P138" s="48">
        <f>SUM(compras_mes2[[#This Row],[NETO GRAVADO]:[Otros / No Grav.]])</f>
        <v>3496.5015000000003</v>
      </c>
      <c r="Q138" s="49" t="str">
        <f>IFERROR(IF(compras_mes2[[#This Row],[CUIT]]="","-",VLOOKUP(compras_mes2[[#This Row],[CUIT]],Lista_CUIT[#All],3,0)),"CUIT NO CARGADO")</f>
        <v>Peajes</v>
      </c>
      <c r="R138" s="49">
        <f>IFERROR(IF(compras_mes2[[#This Row],[CUIT]]="","-",VLOOKUP(compras_mes2[[#This Row],[CUIT]],Lista_CUIT[#All],4,0)),"CUIT NO CARGADO")</f>
        <v>0</v>
      </c>
    </row>
    <row r="139" spans="1:20" x14ac:dyDescent="0.25">
      <c r="B139" s="40" t="s">
        <v>2358</v>
      </c>
      <c r="C139" s="41">
        <v>1</v>
      </c>
      <c r="D139" s="285">
        <v>2215</v>
      </c>
      <c r="E139" s="286">
        <v>51856</v>
      </c>
      <c r="F139" s="287">
        <v>30548083156</v>
      </c>
      <c r="G139" s="45" t="str">
        <f>IFERROR(IF(compras_mes2[[#This Row],[CUIT]]="","-",VLOOKUP(compras_mes2[[#This Row],[CUIT]],Lista_CUIT[#All],2,0)),"CUIT NO CARGADO")</f>
        <v>COTO CENTRO INTEGRAL DE COMERCIALIZACION SOCIEDAD ANONIMA</v>
      </c>
      <c r="H139" s="46">
        <v>69865.960000000006</v>
      </c>
      <c r="I139" s="85">
        <v>11773.62</v>
      </c>
      <c r="J139" s="85"/>
      <c r="K139" s="85">
        <v>1449.12</v>
      </c>
      <c r="L139" s="85"/>
      <c r="M139" s="85"/>
      <c r="N139" s="85"/>
      <c r="O139" s="85">
        <v>6008.45</v>
      </c>
      <c r="P139" s="48">
        <f>SUM(compras_mes2[[#This Row],[NETO GRAVADO]:[Otros / No Grav.]])</f>
        <v>89097.15</v>
      </c>
      <c r="Q139" s="49" t="str">
        <f>IFERROR(IF(compras_mes2[[#This Row],[CUIT]]="","-",VLOOKUP(compras_mes2[[#This Row],[CUIT]],Lista_CUIT[#All],3,0)),"CUIT NO CARGADO")</f>
        <v>Gastos Varios</v>
      </c>
      <c r="R139" s="49">
        <f>IFERROR(IF(compras_mes2[[#This Row],[CUIT]]="","-",VLOOKUP(compras_mes2[[#This Row],[CUIT]],Lista_CUIT[#All],4,0)),"CUIT NO CARGADO")</f>
        <v>0</v>
      </c>
    </row>
    <row r="140" spans="1:20" x14ac:dyDescent="0.25">
      <c r="B140" s="40" t="s">
        <v>2371</v>
      </c>
      <c r="C140" s="41">
        <v>1</v>
      </c>
      <c r="D140" s="285">
        <v>3</v>
      </c>
      <c r="E140" s="286">
        <v>2293</v>
      </c>
      <c r="F140" s="287">
        <v>33712527639</v>
      </c>
      <c r="G140" s="45" t="str">
        <f>IFERROR(IF(compras_mes2[[#This Row],[CUIT]]="","-",VLOOKUP(compras_mes2[[#This Row],[CUIT]],Lista_CUIT[#All],2,0)),"CUIT NO CARGADO")</f>
        <v>AIDICIAN BOULDOUKIAN, P. A. Y HERNANDEZ BASILIO, E.J. S.H.</v>
      </c>
      <c r="H140" s="46">
        <v>41326.25</v>
      </c>
      <c r="I140" s="85">
        <f>IF(compras_mes2[[#This Row],[NETO GRAVADO]]="","",compras_mes2[[#This Row],[NETO GRAVADO]]*0.21)</f>
        <v>8678.5124999999989</v>
      </c>
      <c r="J140" s="85"/>
      <c r="K140" s="85"/>
      <c r="L140" s="85"/>
      <c r="M140" s="85"/>
      <c r="N140" s="85"/>
      <c r="O140" s="85"/>
      <c r="P140" s="48">
        <f>SUM(compras_mes2[[#This Row],[NETO GRAVADO]:[Otros / No Grav.]])</f>
        <v>50004.762499999997</v>
      </c>
      <c r="Q140" s="49" t="str">
        <f>IFERROR(IF(compras_mes2[[#This Row],[CUIT]]="","-",VLOOKUP(compras_mes2[[#This Row],[CUIT]],Lista_CUIT[#All],3,0)),"CUIT NO CARGADO")</f>
        <v>Gastos Varios</v>
      </c>
      <c r="R140" s="49">
        <f>IFERROR(IF(compras_mes2[[#This Row],[CUIT]]="","-",VLOOKUP(compras_mes2[[#This Row],[CUIT]],Lista_CUIT[#All],4,0)),"CUIT NO CARGADO")</f>
        <v>0</v>
      </c>
    </row>
    <row r="141" spans="1:20" x14ac:dyDescent="0.25">
      <c r="B141" s="40" t="s">
        <v>2358</v>
      </c>
      <c r="C141" s="41">
        <v>1</v>
      </c>
      <c r="D141" s="285">
        <v>67</v>
      </c>
      <c r="E141" s="286">
        <v>174170</v>
      </c>
      <c r="F141" s="287">
        <v>30703088534</v>
      </c>
      <c r="G141" s="45" t="str">
        <f>IFERROR(IF(compras_mes2[[#This Row],[CUIT]]="","-",VLOOKUP(compras_mes2[[#This Row],[CUIT]],Lista_CUIT[#All],2,0)),"CUIT NO CARGADO")</f>
        <v>MERCADO LIBRE SRL</v>
      </c>
      <c r="H141" s="46">
        <v>1211093.76</v>
      </c>
      <c r="I141" s="85">
        <f>IF(compras_mes2[[#This Row],[NETO GRAVADO]]="","",compras_mes2[[#This Row],[NETO GRAVADO]]*0.21)</f>
        <v>254329.68959999998</v>
      </c>
      <c r="J141" s="85"/>
      <c r="K141" s="85"/>
      <c r="L141" s="85"/>
      <c r="M141" s="85"/>
      <c r="N141" s="85"/>
      <c r="O141" s="85">
        <v>121109.36</v>
      </c>
      <c r="P141" s="48">
        <f>SUM(compras_mes2[[#This Row],[NETO GRAVADO]:[Otros / No Grav.]])</f>
        <v>1586532.8096</v>
      </c>
      <c r="Q141" s="49" t="str">
        <f>IFERROR(IF(compras_mes2[[#This Row],[CUIT]]="","-",VLOOKUP(compras_mes2[[#This Row],[CUIT]],Lista_CUIT[#All],3,0)),"CUIT NO CARGADO")</f>
        <v>Gastos Varios</v>
      </c>
      <c r="R141" s="49" t="str">
        <f>IFERROR(IF(compras_mes2[[#This Row],[CUIT]]="","-",VLOOKUP(compras_mes2[[#This Row],[CUIT]],Lista_CUIT[#All],4,0)),"CUIT NO CARGADO")</f>
        <v>CABA</v>
      </c>
    </row>
    <row r="142" spans="1:20" x14ac:dyDescent="0.25">
      <c r="B142" s="40" t="s">
        <v>2358</v>
      </c>
      <c r="C142" s="41">
        <v>1</v>
      </c>
      <c r="D142" s="285">
        <v>11</v>
      </c>
      <c r="E142" s="286">
        <v>1118531</v>
      </c>
      <c r="F142" s="287">
        <v>33709585229</v>
      </c>
      <c r="G142" s="45" t="str">
        <f>IFERROR(IF(compras_mes2[[#This Row],[CUIT]]="","-",VLOOKUP(compras_mes2[[#This Row],[CUIT]],Lista_CUIT[#All],2,0)),"CUIT NO CARGADO")</f>
        <v>GOOGLE ARGENTINA S.R.L.</v>
      </c>
      <c r="H142" s="46">
        <v>282686.90999999997</v>
      </c>
      <c r="I142" s="85">
        <f>IF(compras_mes2[[#This Row],[NETO GRAVADO]]="","",compras_mes2[[#This Row],[NETO GRAVADO]]*0.21)</f>
        <v>59364.251099999994</v>
      </c>
      <c r="J142" s="85"/>
      <c r="K142" s="85"/>
      <c r="L142" s="85"/>
      <c r="M142" s="85"/>
      <c r="N142" s="85">
        <v>57901.35</v>
      </c>
      <c r="O142" s="85">
        <v>8480.61</v>
      </c>
      <c r="P142" s="48">
        <f>SUM(compras_mes2[[#This Row],[NETO GRAVADO]:[Otros / No Grav.]])</f>
        <v>408433.12109999993</v>
      </c>
      <c r="Q142" s="49" t="str">
        <f>IFERROR(IF(compras_mes2[[#This Row],[CUIT]]="","-",VLOOKUP(compras_mes2[[#This Row],[CUIT]],Lista_CUIT[#All],3,0)),"CUIT NO CARGADO")</f>
        <v>Gastos Comercializacion</v>
      </c>
      <c r="R142" s="49">
        <f>IFERROR(IF(compras_mes2[[#This Row],[CUIT]]="","-",VLOOKUP(compras_mes2[[#This Row],[CUIT]],Lista_CUIT[#All],4,0)),"CUIT NO CARGADO")</f>
        <v>0</v>
      </c>
    </row>
    <row r="143" spans="1:20" x14ac:dyDescent="0.25">
      <c r="B143" s="40" t="s">
        <v>2358</v>
      </c>
      <c r="C143" s="41">
        <v>1</v>
      </c>
      <c r="D143" s="285">
        <v>50</v>
      </c>
      <c r="E143" s="286">
        <v>4171825</v>
      </c>
      <c r="F143" s="287">
        <v>30714112836</v>
      </c>
      <c r="G143" s="45" t="str">
        <f>IFERROR(IF(compras_mes2[[#This Row],[CUIT]]="","-",VLOOKUP(compras_mes2[[#This Row],[CUIT]],Lista_CUIT[#All],2,0)),"CUIT NO CARGADO")</f>
        <v>AUTOPISTAS DE BS AS</v>
      </c>
      <c r="H143" s="46">
        <v>68244.850000000006</v>
      </c>
      <c r="I143" s="85">
        <f>IF(compras_mes2[[#This Row],[NETO GRAVADO]]="","",compras_mes2[[#This Row],[NETO GRAVADO]]*0.21)</f>
        <v>14331.418500000002</v>
      </c>
      <c r="J143" s="85"/>
      <c r="K143" s="85"/>
      <c r="L143" s="85">
        <v>2047.35</v>
      </c>
      <c r="M143" s="85"/>
      <c r="N143" s="85"/>
      <c r="O143" s="85"/>
      <c r="P143" s="48">
        <f>SUM(compras_mes2[[#This Row],[NETO GRAVADO]:[Otros / No Grav.]])</f>
        <v>84623.618500000011</v>
      </c>
      <c r="Q143" s="49" t="str">
        <f>IFERROR(IF(compras_mes2[[#This Row],[CUIT]]="","-",VLOOKUP(compras_mes2[[#This Row],[CUIT]],Lista_CUIT[#All],3,0)),"CUIT NO CARGADO")</f>
        <v>Peajes</v>
      </c>
      <c r="R143" s="49">
        <f>IFERROR(IF(compras_mes2[[#This Row],[CUIT]]="","-",VLOOKUP(compras_mes2[[#This Row],[CUIT]],Lista_CUIT[#All],4,0)),"CUIT NO CARGADO")</f>
        <v>0</v>
      </c>
    </row>
    <row r="144" spans="1:20" x14ac:dyDescent="0.25">
      <c r="B144" s="40" t="s">
        <v>2358</v>
      </c>
      <c r="C144" s="41">
        <v>1</v>
      </c>
      <c r="D144" s="285">
        <v>113</v>
      </c>
      <c r="E144" s="286">
        <v>4099186</v>
      </c>
      <c r="F144" s="287">
        <v>30577207190</v>
      </c>
      <c r="G144" s="45" t="str">
        <f>IFERROR(IF(compras_mes2[[#This Row],[CUIT]]="","-",VLOOKUP(compras_mes2[[#This Row],[CUIT]],Lista_CUIT[#All],2,0)),"CUIT NO CARGADO")</f>
        <v>COORDINACION ECOLOGICA AREA METROPOLITANA SOCIEDAD DEL ESTADO</v>
      </c>
      <c r="H144" s="46">
        <v>2479.34</v>
      </c>
      <c r="I144" s="85">
        <f>IF(compras_mes2[[#This Row],[NETO GRAVADO]]="","",compras_mes2[[#This Row],[NETO GRAVADO]]*0.21)</f>
        <v>520.66139999999996</v>
      </c>
      <c r="J144" s="85"/>
      <c r="K144" s="85"/>
      <c r="L144" s="85">
        <v>74.38</v>
      </c>
      <c r="M144" s="85"/>
      <c r="N144" s="85"/>
      <c r="O144" s="85"/>
      <c r="P144" s="48">
        <f>SUM(compras_mes2[[#This Row],[NETO GRAVADO]:[Otros / No Grav.]])</f>
        <v>3074.3814000000002</v>
      </c>
      <c r="Q144" s="49" t="str">
        <f>IFERROR(IF(compras_mes2[[#This Row],[CUIT]]="","-",VLOOKUP(compras_mes2[[#This Row],[CUIT]],Lista_CUIT[#All],3,0)),"CUIT NO CARGADO")</f>
        <v>Gastos Limpieza</v>
      </c>
      <c r="R144" s="49">
        <f>IFERROR(IF(compras_mes2[[#This Row],[CUIT]]="","-",VLOOKUP(compras_mes2[[#This Row],[CUIT]],Lista_CUIT[#All],4,0)),"CUIT NO CARGADO")</f>
        <v>0</v>
      </c>
    </row>
    <row r="145" spans="2:18" x14ac:dyDescent="0.25">
      <c r="B145" s="40" t="s">
        <v>2358</v>
      </c>
      <c r="C145" s="41">
        <v>1</v>
      </c>
      <c r="D145" s="285">
        <v>5015</v>
      </c>
      <c r="E145" s="286">
        <v>765420</v>
      </c>
      <c r="F145" s="287">
        <v>30574876474</v>
      </c>
      <c r="G145" s="45" t="str">
        <f>IFERROR(IF(compras_mes2[[#This Row],[CUIT]]="","-",VLOOKUP(compras_mes2[[#This Row],[CUIT]],Lista_CUIT[#All],2,0)),"CUIT NO CARGADO")</f>
        <v>AUTOPISTAS URBANAS S A</v>
      </c>
      <c r="H145" s="46">
        <v>56689.06</v>
      </c>
      <c r="I145" s="85">
        <f>IF(compras_mes2[[#This Row],[NETO GRAVADO]]="","",compras_mes2[[#This Row],[NETO GRAVADO]]*0.21)</f>
        <v>11904.702599999999</v>
      </c>
      <c r="J145" s="85"/>
      <c r="K145" s="85"/>
      <c r="L145" s="85"/>
      <c r="M145" s="85"/>
      <c r="N145" s="85"/>
      <c r="O145" s="85">
        <v>7369.54</v>
      </c>
      <c r="P145" s="48">
        <f>SUM(compras_mes2[[#This Row],[NETO GRAVADO]:[Otros / No Grav.]])</f>
        <v>75963.302599999995</v>
      </c>
      <c r="Q145" s="49" t="str">
        <f>IFERROR(IF(compras_mes2[[#This Row],[CUIT]]="","-",VLOOKUP(compras_mes2[[#This Row],[CUIT]],Lista_CUIT[#All],3,0)),"CUIT NO CARGADO")</f>
        <v>Peajes</v>
      </c>
      <c r="R145" s="49">
        <f>IFERROR(IF(compras_mes2[[#This Row],[CUIT]]="","-",VLOOKUP(compras_mes2[[#This Row],[CUIT]],Lista_CUIT[#All],4,0)),"CUIT NO CARGADO")</f>
        <v>0</v>
      </c>
    </row>
    <row r="146" spans="2:18" x14ac:dyDescent="0.25">
      <c r="B146" s="40" t="s">
        <v>2358</v>
      </c>
      <c r="C146" s="41">
        <v>3</v>
      </c>
      <c r="D146" s="285">
        <v>11</v>
      </c>
      <c r="E146" s="286">
        <v>801917</v>
      </c>
      <c r="F146" s="287">
        <v>33709585229</v>
      </c>
      <c r="G146" s="45" t="str">
        <f>IFERROR(IF(compras_mes2[[#This Row],[CUIT]]="","-",VLOOKUP(compras_mes2[[#This Row],[CUIT]],Lista_CUIT[#All],2,0)),"CUIT NO CARGADO")</f>
        <v>GOOGLE ARGENTINA S.R.L.</v>
      </c>
      <c r="H146" s="46">
        <v>-359.66</v>
      </c>
      <c r="I146" s="85">
        <f>IF(compras_mes2[[#This Row],[NETO GRAVADO]]="","",compras_mes2[[#This Row],[NETO GRAVADO]]*0.21)</f>
        <v>-75.528599999999997</v>
      </c>
      <c r="J146" s="85"/>
      <c r="K146" s="85"/>
      <c r="L146" s="85"/>
      <c r="M146" s="85"/>
      <c r="N146" s="85">
        <v>-73.66</v>
      </c>
      <c r="O146" s="85"/>
      <c r="P146" s="48">
        <f>SUM(compras_mes2[[#This Row],[NETO GRAVADO]:[Otros / No Grav.]])</f>
        <v>-508.84860000000003</v>
      </c>
      <c r="Q146" s="49" t="str">
        <f>IFERROR(IF(compras_mes2[[#This Row],[CUIT]]="","-",VLOOKUP(compras_mes2[[#This Row],[CUIT]],Lista_CUIT[#All],3,0)),"CUIT NO CARGADO")</f>
        <v>Gastos Comercializacion</v>
      </c>
      <c r="R146" s="49">
        <f>IFERROR(IF(compras_mes2[[#This Row],[CUIT]]="","-",VLOOKUP(compras_mes2[[#This Row],[CUIT]],Lista_CUIT[#All],4,0)),"CUIT NO CARGADO")</f>
        <v>0</v>
      </c>
    </row>
    <row r="147" spans="2:18" x14ac:dyDescent="0.25">
      <c r="B147" s="378"/>
      <c r="C147" s="450"/>
      <c r="D147" s="379"/>
      <c r="E147" s="380"/>
      <c r="F147" s="381"/>
      <c r="G147" s="382" t="str">
        <f>IFERROR(IF(compras_mes2[[#This Row],[CUIT]]="","-",VLOOKUP(compras_mes2[[#This Row],[CUIT]],Lista_CUIT[#All],2,0)),"CUIT NO CARGADO")</f>
        <v>-</v>
      </c>
      <c r="H147" s="383"/>
      <c r="I147" s="384" t="str">
        <f>IF(compras_mes2[[#This Row],[NETO GRAVADO]]="","",compras_mes2[[#This Row],[NETO GRAVADO]]*0.21)</f>
        <v/>
      </c>
      <c r="J147" s="384"/>
      <c r="K147" s="384"/>
      <c r="L147" s="384"/>
      <c r="M147" s="384"/>
      <c r="N147" s="384"/>
      <c r="O147" s="384"/>
      <c r="P147" s="385">
        <f>SUM(compras_mes2[[#This Row],[NETO GRAVADO]:[Otros / No Grav.]])</f>
        <v>0</v>
      </c>
      <c r="Q147" s="386" t="str">
        <f>IFERROR(IF(compras_mes2[[#This Row],[CUIT]]="","-",VLOOKUP(compras_mes2[[#This Row],[CUIT]],Lista_CUIT[#All],3,0)),"CUIT NO CARGADO")</f>
        <v>-</v>
      </c>
      <c r="R147" s="386" t="str">
        <f>IFERROR(IF(compras_mes2[[#This Row],[CUIT]]="","-",VLOOKUP(compras_mes2[[#This Row],[CUIT]],Lista_CUIT[#All],4,0)),"CUIT NO CARGADO")</f>
        <v>-</v>
      </c>
    </row>
    <row r="148" spans="2:18" x14ac:dyDescent="0.25">
      <c r="B148" s="95" t="s">
        <v>103</v>
      </c>
      <c r="C148" s="95"/>
      <c r="D148" s="95"/>
      <c r="E148" s="95"/>
      <c r="F148" s="95"/>
      <c r="G148" s="96"/>
      <c r="H148" s="97">
        <f>SUBTOTAL(109,compras_mes2[NETO GRAVADO])</f>
        <v>41608272.392548844</v>
      </c>
      <c r="I148" s="97">
        <f>SUBTOTAL(109,compras_mes2[IVA 21 %])</f>
        <v>7666285.5990590816</v>
      </c>
      <c r="J148" s="97">
        <f>SUBTOTAL(109,compras_mes2[IVA 27%])</f>
        <v>307968.88045507809</v>
      </c>
      <c r="K148" s="97">
        <f>SUBTOTAL(109,compras_mes2[IVA 10,5%])</f>
        <v>415960.12840000005</v>
      </c>
      <c r="L148" s="97">
        <f>SUBTOTAL(109,compras_mes2[PERC. IVA])</f>
        <v>60449.449453124987</v>
      </c>
      <c r="M148" s="97">
        <f>SUBTOTAL(109,compras_mes2[PERC IIBB 
BS AS])</f>
        <v>12391.69</v>
      </c>
      <c r="N148" s="97">
        <f>SUBTOTAL(109,compras_mes2[PERC. IIBB CABA])</f>
        <v>216367.23977294919</v>
      </c>
      <c r="O148" s="97">
        <f>SUBTOTAL(109,compras_mes2[Otros / No Grav.])</f>
        <v>469449.96102050773</v>
      </c>
      <c r="P148" s="97">
        <f>SUBTOTAL(109,compras_mes2[TOTAL])</f>
        <v>50757145.340709567</v>
      </c>
      <c r="Q148" s="95"/>
      <c r="R148" s="95"/>
    </row>
    <row r="149" spans="2:18" x14ac:dyDescent="0.25">
      <c r="B149" s="40"/>
      <c r="C149" s="41"/>
      <c r="D149" s="42"/>
      <c r="E149" s="43"/>
      <c r="F149" s="44"/>
      <c r="G149" s="45">
        <f>I155*100/10.5</f>
        <v>21593.02</v>
      </c>
      <c r="H149" s="46"/>
      <c r="I149" s="47"/>
      <c r="J149" s="47"/>
      <c r="K149" s="47"/>
      <c r="L149" s="47"/>
      <c r="M149" s="47"/>
      <c r="N149" s="47"/>
      <c r="O149" s="47"/>
      <c r="P149" s="48"/>
      <c r="Q149" s="49"/>
      <c r="R149" s="49"/>
    </row>
    <row r="150" spans="2:18" ht="21" x14ac:dyDescent="0.25">
      <c r="D150" s="581" t="s">
        <v>15</v>
      </c>
      <c r="E150" s="581"/>
      <c r="F150" s="581"/>
      <c r="G150" s="581"/>
      <c r="H150" s="581"/>
      <c r="I150" s="581"/>
      <c r="J150" s="581"/>
      <c r="K150" s="581"/>
      <c r="L150" s="581"/>
      <c r="P150" s="33">
        <f>+compras_mes2[[#Totals],[Otros / No Grav.]]+compras_mes2[[#Totals],[NETO GRAVADO]]</f>
        <v>42077722.353569351</v>
      </c>
    </row>
    <row r="151" spans="2:18" ht="15.75" x14ac:dyDescent="0.25">
      <c r="D151" s="73" t="s">
        <v>0</v>
      </c>
      <c r="E151" s="74" t="s">
        <v>26</v>
      </c>
      <c r="F151" s="74" t="s">
        <v>16</v>
      </c>
      <c r="G151" s="74" t="s">
        <v>5</v>
      </c>
      <c r="H151" s="74" t="s">
        <v>17</v>
      </c>
      <c r="I151" s="74" t="s">
        <v>7</v>
      </c>
      <c r="J151" s="75" t="s">
        <v>18</v>
      </c>
      <c r="K151" s="75" t="s">
        <v>19</v>
      </c>
      <c r="L151" s="76" t="s">
        <v>20</v>
      </c>
      <c r="P151">
        <v>24177591.350000001</v>
      </c>
    </row>
    <row r="152" spans="2:18" x14ac:dyDescent="0.25">
      <c r="D152" s="50"/>
      <c r="E152" s="80"/>
      <c r="F152" s="165" t="s">
        <v>2374</v>
      </c>
      <c r="G152" s="81">
        <v>57.37</v>
      </c>
      <c r="H152" s="81"/>
      <c r="I152" s="81">
        <v>6.02</v>
      </c>
      <c r="J152" s="81"/>
      <c r="K152" s="81"/>
      <c r="L152" s="81"/>
      <c r="P152" s="33">
        <f>+P150-P151</f>
        <v>17900131.00356935</v>
      </c>
    </row>
    <row r="153" spans="2:18" x14ac:dyDescent="0.25">
      <c r="D153" s="50"/>
      <c r="E153" s="159"/>
      <c r="F153" s="165" t="s">
        <v>2375</v>
      </c>
      <c r="G153" s="81">
        <v>91225.93</v>
      </c>
      <c r="H153" s="81">
        <v>19127.010000000002</v>
      </c>
      <c r="I153" s="81">
        <v>15.217650000000001</v>
      </c>
      <c r="J153" s="81">
        <v>5464.88</v>
      </c>
      <c r="K153" s="81">
        <v>2732.44</v>
      </c>
      <c r="L153" s="81"/>
    </row>
    <row r="154" spans="2:18" x14ac:dyDescent="0.25">
      <c r="D154" s="50"/>
      <c r="E154" s="159"/>
      <c r="F154" s="165" t="s">
        <v>2376</v>
      </c>
      <c r="G154" s="81">
        <v>676904.55000000016</v>
      </c>
      <c r="H154" s="81">
        <v>86647.760499999989</v>
      </c>
      <c r="I154" s="81">
        <v>26568.743299999998</v>
      </c>
      <c r="J154" s="81">
        <v>1080831.8599999999</v>
      </c>
      <c r="K154" s="81"/>
      <c r="L154" s="81"/>
    </row>
    <row r="155" spans="2:18" x14ac:dyDescent="0.25">
      <c r="D155" s="291"/>
      <c r="E155" s="159"/>
      <c r="F155" s="165" t="s">
        <v>2377</v>
      </c>
      <c r="G155" s="81">
        <v>145723.02000000002</v>
      </c>
      <c r="H155" s="81">
        <v>26067.3</v>
      </c>
      <c r="I155" s="81">
        <v>2267.2671</v>
      </c>
      <c r="J155" s="81">
        <v>7226.58</v>
      </c>
      <c r="K155" s="81">
        <v>3921.49</v>
      </c>
      <c r="L155" s="81"/>
    </row>
    <row r="156" spans="2:18" x14ac:dyDescent="0.25">
      <c r="D156" s="50"/>
      <c r="E156" s="159"/>
      <c r="F156" s="165" t="s">
        <v>2378</v>
      </c>
      <c r="G156" s="81">
        <v>335583.22</v>
      </c>
      <c r="H156" s="81">
        <v>70472.47619999999</v>
      </c>
      <c r="I156" s="81"/>
      <c r="J156" s="81">
        <v>308144.71000000002</v>
      </c>
      <c r="K156" s="81"/>
      <c r="L156" s="81"/>
    </row>
    <row r="157" spans="2:18" x14ac:dyDescent="0.25">
      <c r="D157" s="50"/>
      <c r="E157" s="159"/>
      <c r="F157" s="165" t="s">
        <v>2379</v>
      </c>
      <c r="G157" s="81">
        <v>5619.83</v>
      </c>
      <c r="H157" s="81">
        <v>1180.1642999999999</v>
      </c>
      <c r="I157" s="81"/>
      <c r="J157" s="81">
        <v>13528.37</v>
      </c>
      <c r="K157" s="81">
        <v>168.59</v>
      </c>
      <c r="L157" s="81"/>
    </row>
    <row r="158" spans="2:18" x14ac:dyDescent="0.25">
      <c r="D158" s="50"/>
      <c r="E158" s="159"/>
      <c r="F158" s="165"/>
      <c r="G158" s="81"/>
      <c r="H158" s="81"/>
      <c r="I158" s="81"/>
      <c r="J158" s="81"/>
      <c r="K158" s="81"/>
      <c r="L158" s="81"/>
    </row>
    <row r="159" spans="2:18" x14ac:dyDescent="0.25">
      <c r="D159" s="50"/>
      <c r="E159" s="159"/>
      <c r="F159" s="165"/>
      <c r="G159" s="81"/>
      <c r="H159" s="81"/>
      <c r="I159" s="81"/>
      <c r="J159" s="81"/>
      <c r="K159" s="81"/>
      <c r="L159" s="81"/>
    </row>
    <row r="160" spans="2:18" x14ac:dyDescent="0.25">
      <c r="D160" s="50"/>
      <c r="E160" s="159"/>
      <c r="F160" s="165"/>
      <c r="G160" s="81"/>
      <c r="H160" s="290"/>
      <c r="I160" s="290"/>
      <c r="J160" s="290"/>
      <c r="K160" s="290"/>
      <c r="L160" s="290"/>
    </row>
    <row r="161" spans="4:12" x14ac:dyDescent="0.25">
      <c r="D161" s="82" t="s">
        <v>103</v>
      </c>
      <c r="E161" s="80"/>
      <c r="F161" s="80"/>
      <c r="G161" s="83">
        <f>SUBTOTAL(109,extracto_banco_mes2[NETO])</f>
        <v>1255113.9200000002</v>
      </c>
      <c r="H161" s="83">
        <f>SUBTOTAL(109,extracto_banco_mes2[IVA 21%])</f>
        <v>203494.71099999995</v>
      </c>
      <c r="I161" s="83">
        <f>SUBTOTAL(109,extracto_banco_mes2[IVA 10,5%])</f>
        <v>28857.248049999998</v>
      </c>
      <c r="J161" s="83">
        <f>SUBTOTAL(109,extracto_banco_mes2[RET IIBB CABA])</f>
        <v>1415196.4</v>
      </c>
      <c r="K161" s="83">
        <f>SUBTOTAL(109,extracto_banco_mes2[PERC IVA])</f>
        <v>6822.52</v>
      </c>
      <c r="L161" s="83">
        <f>SUBTOTAL(109,extracto_banco_mes2[PERC IIBB])</f>
        <v>0</v>
      </c>
    </row>
    <row r="162" spans="4:12" x14ac:dyDescent="0.25">
      <c r="D162" s="175"/>
      <c r="E162" s="176"/>
      <c r="F162" s="176"/>
      <c r="G162" s="177"/>
      <c r="H162" s="177"/>
      <c r="I162" s="177"/>
      <c r="J162" s="177"/>
      <c r="K162" s="177"/>
      <c r="L162" s="177"/>
    </row>
    <row r="163" spans="4:12" x14ac:dyDescent="0.25">
      <c r="D163" s="175"/>
      <c r="E163" s="176"/>
      <c r="F163" s="176"/>
      <c r="G163" s="177"/>
      <c r="H163" s="177"/>
      <c r="I163" s="177"/>
      <c r="J163" s="177"/>
      <c r="K163" s="177"/>
      <c r="L163" s="177"/>
    </row>
    <row r="165" spans="4:12" ht="21" x14ac:dyDescent="0.25">
      <c r="D165" s="581" t="s">
        <v>25</v>
      </c>
      <c r="E165" s="581"/>
      <c r="F165" s="581"/>
      <c r="G165" s="581"/>
      <c r="H165" s="581"/>
      <c r="I165" s="581"/>
      <c r="J165" s="581"/>
      <c r="K165" s="581"/>
    </row>
    <row r="166" spans="4:12" x14ac:dyDescent="0.25">
      <c r="D166" s="51" t="s">
        <v>0</v>
      </c>
      <c r="E166" s="51" t="s">
        <v>2</v>
      </c>
      <c r="F166" s="51" t="s">
        <v>74</v>
      </c>
      <c r="G166" s="51" t="s">
        <v>3</v>
      </c>
      <c r="H166" s="51" t="s">
        <v>4</v>
      </c>
      <c r="I166" s="52" t="s">
        <v>10</v>
      </c>
      <c r="J166" s="51" t="s">
        <v>13</v>
      </c>
      <c r="K166" s="51" t="s">
        <v>38</v>
      </c>
    </row>
    <row r="167" spans="4:12" x14ac:dyDescent="0.25">
      <c r="D167" s="50" t="s">
        <v>2349</v>
      </c>
      <c r="E167" s="42">
        <v>1</v>
      </c>
      <c r="F167" s="43">
        <v>102</v>
      </c>
      <c r="G167" s="44">
        <v>20299505430</v>
      </c>
      <c r="H167" s="53" t="str">
        <f>IFERROR(IF(factura_c_mes2[[#This Row],[CUIT]]="","-",VLOOKUP(factura_c_mes2[[#This Row],[CUIT]],Lista_CUIT[#All],2,0)),"CUIT NO CARGADO")</f>
        <v>PRADO EMILIANO HERNAN</v>
      </c>
      <c r="I167" s="81">
        <v>458200</v>
      </c>
      <c r="J167" s="54" t="str">
        <f>IFERROR(IF(factura_c_mes2[[#This Row],[CUIT]]="","-",VLOOKUP(factura_c_mes2[[#This Row],[CUIT]],Lista_CUIT[#All],3,0)),"CUIT NO CARGADO")</f>
        <v>Material de Empaque</v>
      </c>
      <c r="K167" s="54">
        <f>IFERROR(IF(factura_c_mes2[[#This Row],[CUIT]]="","-",VLOOKUP(factura_c_mes2[[#This Row],[CUIT]],Lista_CUIT[#All],4,0)),"CUIT NO CARGADO")</f>
        <v>0</v>
      </c>
    </row>
    <row r="168" spans="4:12" x14ac:dyDescent="0.25">
      <c r="D168" s="50" t="s">
        <v>2349</v>
      </c>
      <c r="E168" s="42">
        <v>1</v>
      </c>
      <c r="F168" s="43">
        <v>104</v>
      </c>
      <c r="G168" s="44">
        <v>20299505430</v>
      </c>
      <c r="H168" s="53" t="str">
        <f>IFERROR(IF(factura_c_mes2[[#This Row],[CUIT]]="","-",VLOOKUP(factura_c_mes2[[#This Row],[CUIT]],Lista_CUIT[#All],2,0)),"CUIT NO CARGADO")</f>
        <v>PRADO EMILIANO HERNAN</v>
      </c>
      <c r="I168" s="81">
        <v>540000</v>
      </c>
      <c r="J168" s="54" t="str">
        <f>IFERROR(IF(factura_c_mes2[[#This Row],[CUIT]]="","-",VLOOKUP(factura_c_mes2[[#This Row],[CUIT]],Lista_CUIT[#All],3,0)),"CUIT NO CARGADO")</f>
        <v>Material de Empaque</v>
      </c>
      <c r="K168" s="54">
        <f>IFERROR(IF(factura_c_mes2[[#This Row],[CUIT]]="","-",VLOOKUP(factura_c_mes2[[#This Row],[CUIT]],Lista_CUIT[#All],4,0)),"CUIT NO CARGADO")</f>
        <v>0</v>
      </c>
    </row>
    <row r="169" spans="4:12" x14ac:dyDescent="0.25">
      <c r="D169" s="50" t="s">
        <v>2354</v>
      </c>
      <c r="E169" s="42">
        <v>2</v>
      </c>
      <c r="F169" s="43">
        <v>403</v>
      </c>
      <c r="G169" s="44">
        <v>20300814094</v>
      </c>
      <c r="H169" s="53" t="str">
        <f>IFERROR(IF(factura_c_mes2[[#This Row],[CUIT]]="","-",VLOOKUP(factura_c_mes2[[#This Row],[CUIT]],Lista_CUIT[#All],2,0)),"CUIT NO CARGADO")</f>
        <v>FARRAPEIRA OSCAR MAXIMO</v>
      </c>
      <c r="I169" s="81">
        <v>357105</v>
      </c>
      <c r="J169" s="54" t="str">
        <f>IFERROR(IF(factura_c_mes2[[#This Row],[CUIT]]="","-",VLOOKUP(factura_c_mes2[[#This Row],[CUIT]],Lista_CUIT[#All],3,0)),"CUIT NO CARGADO")</f>
        <v>Material de Empaque</v>
      </c>
      <c r="K169" s="54">
        <f>IFERROR(IF(factura_c_mes2[[#This Row],[CUIT]]="","-",VLOOKUP(factura_c_mes2[[#This Row],[CUIT]],Lista_CUIT[#All],4,0)),"CUIT NO CARGADO")</f>
        <v>0</v>
      </c>
    </row>
    <row r="170" spans="4:12" x14ac:dyDescent="0.25">
      <c r="D170" s="50" t="s">
        <v>2355</v>
      </c>
      <c r="E170" s="42">
        <v>2</v>
      </c>
      <c r="F170" s="43">
        <v>404</v>
      </c>
      <c r="G170" s="44">
        <v>20300814094</v>
      </c>
      <c r="H170" s="53" t="str">
        <f>IFERROR(IF(factura_c_mes2[[#This Row],[CUIT]]="","-",VLOOKUP(factura_c_mes2[[#This Row],[CUIT]],Lista_CUIT[#All],2,0)),"CUIT NO CARGADO")</f>
        <v>FARRAPEIRA OSCAR MAXIMO</v>
      </c>
      <c r="I170" s="81">
        <v>533829</v>
      </c>
      <c r="J170" s="54" t="str">
        <f>IFERROR(IF(factura_c_mes2[[#This Row],[CUIT]]="","-",VLOOKUP(factura_c_mes2[[#This Row],[CUIT]],Lista_CUIT[#All],3,0)),"CUIT NO CARGADO")</f>
        <v>Material de Empaque</v>
      </c>
      <c r="K170" s="54">
        <f>IFERROR(IF(factura_c_mes2[[#This Row],[CUIT]]="","-",VLOOKUP(factura_c_mes2[[#This Row],[CUIT]],Lista_CUIT[#All],4,0)),"CUIT NO CARGADO")</f>
        <v>0</v>
      </c>
    </row>
    <row r="171" spans="4:12" x14ac:dyDescent="0.25">
      <c r="D171" s="50" t="s">
        <v>2356</v>
      </c>
      <c r="E171" s="42">
        <v>8</v>
      </c>
      <c r="F171" s="43">
        <v>997</v>
      </c>
      <c r="G171" s="44">
        <v>27409592487</v>
      </c>
      <c r="H171" s="53" t="str">
        <f>IFERROR(IF(factura_c_mes2[[#This Row],[CUIT]]="","-",VLOOKUP(factura_c_mes2[[#This Row],[CUIT]],Lista_CUIT[#All],2,0)),"CUIT NO CARGADO")</f>
        <v>BAUDONE ANTONELLA AGOSTINA</v>
      </c>
      <c r="I171" s="81">
        <v>472000</v>
      </c>
      <c r="J171" s="54" t="str">
        <f>IFERROR(IF(factura_c_mes2[[#This Row],[CUIT]]="","-",VLOOKUP(factura_c_mes2[[#This Row],[CUIT]],Lista_CUIT[#All],3,0)),"CUIT NO CARGADO")</f>
        <v>Material de Empaque</v>
      </c>
      <c r="K171" s="54">
        <f>IFERROR(IF(factura_c_mes2[[#This Row],[CUIT]]="","-",VLOOKUP(factura_c_mes2[[#This Row],[CUIT]],Lista_CUIT[#All],4,0)),"CUIT NO CARGADO")</f>
        <v>0</v>
      </c>
    </row>
    <row r="172" spans="4:12" x14ac:dyDescent="0.25">
      <c r="D172" s="50" t="s">
        <v>2358</v>
      </c>
      <c r="E172" s="42">
        <v>1</v>
      </c>
      <c r="F172" s="43">
        <v>110</v>
      </c>
      <c r="G172" s="44">
        <v>20299505430</v>
      </c>
      <c r="H172" s="53" t="str">
        <f>IFERROR(IF(factura_c_mes2[[#This Row],[CUIT]]="","-",VLOOKUP(factura_c_mes2[[#This Row],[CUIT]],Lista_CUIT[#All],2,0)),"CUIT NO CARGADO")</f>
        <v>PRADO EMILIANO HERNAN</v>
      </c>
      <c r="I172" s="81">
        <v>656040</v>
      </c>
      <c r="J172" s="54" t="str">
        <f>IFERROR(IF(factura_c_mes2[[#This Row],[CUIT]]="","-",VLOOKUP(factura_c_mes2[[#This Row],[CUIT]],Lista_CUIT[#All],3,0)),"CUIT NO CARGADO")</f>
        <v>Material de Empaque</v>
      </c>
      <c r="K172" s="54">
        <f>IFERROR(IF(factura_c_mes2[[#This Row],[CUIT]]="","-",VLOOKUP(factura_c_mes2[[#This Row],[CUIT]],Lista_CUIT[#All],4,0)),"CUIT NO CARGADO")</f>
        <v>0</v>
      </c>
    </row>
    <row r="173" spans="4:12" x14ac:dyDescent="0.25">
      <c r="D173" s="50" t="s">
        <v>2351</v>
      </c>
      <c r="E173" s="42">
        <v>1</v>
      </c>
      <c r="F173" s="43">
        <v>103</v>
      </c>
      <c r="G173" s="44">
        <v>20176922363</v>
      </c>
      <c r="H173" s="53" t="str">
        <f>IFERROR(IF(factura_c_mes2[[#This Row],[CUIT]]="","-",VLOOKUP(factura_c_mes2[[#This Row],[CUIT]],Lista_CUIT[#All],2,0)),"CUIT NO CARGADO")</f>
        <v>CASTILLO JUAN RAMON</v>
      </c>
      <c r="I173" s="81">
        <v>1000000</v>
      </c>
      <c r="J173" s="54" t="str">
        <f>IFERROR(IF(factura_c_mes2[[#This Row],[CUIT]]="","-",VLOOKUP(factura_c_mes2[[#This Row],[CUIT]],Lista_CUIT[#All],3,0)),"CUIT NO CARGADO")</f>
        <v>Honorarios Profesionales</v>
      </c>
      <c r="K173" s="54">
        <f>IFERROR(IF(factura_c_mes2[[#This Row],[CUIT]]="","-",VLOOKUP(factura_c_mes2[[#This Row],[CUIT]],Lista_CUIT[#All],4,0)),"CUIT NO CARGADO")</f>
        <v>0</v>
      </c>
    </row>
    <row r="174" spans="4:12" x14ac:dyDescent="0.25">
      <c r="D174" s="50" t="s">
        <v>2351</v>
      </c>
      <c r="E174" s="42">
        <v>2</v>
      </c>
      <c r="F174" s="43">
        <v>299</v>
      </c>
      <c r="G174" s="44">
        <v>27065444777</v>
      </c>
      <c r="H174" s="53" t="str">
        <f>IFERROR(IF(factura_c_mes2[[#This Row],[CUIT]]="","-",VLOOKUP(factura_c_mes2[[#This Row],[CUIT]],Lista_CUIT[#All],2,0)),"CUIT NO CARGADO")</f>
        <v>CARNEVALE MABEL HAYDEE</v>
      </c>
      <c r="I174" s="81">
        <v>50000</v>
      </c>
      <c r="J174" s="54" t="str">
        <f>IFERROR(IF(factura_c_mes2[[#This Row],[CUIT]]="","-",VLOOKUP(factura_c_mes2[[#This Row],[CUIT]],Lista_CUIT[#All],3,0)),"CUIT NO CARGADO")</f>
        <v>Honorarios Profesionales</v>
      </c>
      <c r="K174" s="54">
        <f>IFERROR(IF(factura_c_mes2[[#This Row],[CUIT]]="","-",VLOOKUP(factura_c_mes2[[#This Row],[CUIT]],Lista_CUIT[#All],4,0)),"CUIT NO CARGADO")</f>
        <v>0</v>
      </c>
    </row>
    <row r="175" spans="4:12" x14ac:dyDescent="0.25">
      <c r="D175" s="50" t="s">
        <v>2351</v>
      </c>
      <c r="E175" s="42">
        <v>1</v>
      </c>
      <c r="F175" s="43">
        <v>102</v>
      </c>
      <c r="G175" s="44">
        <v>20176922363</v>
      </c>
      <c r="H175" s="53" t="str">
        <f>IFERROR(IF(factura_c_mes2[[#This Row],[CUIT]]="","-",VLOOKUP(factura_c_mes2[[#This Row],[CUIT]],Lista_CUIT[#All],2,0)),"CUIT NO CARGADO")</f>
        <v>CASTILLO JUAN RAMON</v>
      </c>
      <c r="I175" s="81">
        <v>1500000</v>
      </c>
      <c r="J175" s="54" t="str">
        <f>IFERROR(IF(factura_c_mes2[[#This Row],[CUIT]]="","-",VLOOKUP(factura_c_mes2[[#This Row],[CUIT]],Lista_CUIT[#All],3,0)),"CUIT NO CARGADO")</f>
        <v>Honorarios Profesionales</v>
      </c>
      <c r="K175" s="54">
        <f>IFERROR(IF(factura_c_mes2[[#This Row],[CUIT]]="","-",VLOOKUP(factura_c_mes2[[#This Row],[CUIT]],Lista_CUIT[#All],4,0)),"CUIT NO CARGADO")</f>
        <v>0</v>
      </c>
    </row>
    <row r="176" spans="4:12" x14ac:dyDescent="0.25">
      <c r="D176" s="50" t="s">
        <v>2357</v>
      </c>
      <c r="E176" s="42">
        <v>2</v>
      </c>
      <c r="F176" s="43">
        <v>730</v>
      </c>
      <c r="G176" s="44">
        <v>27218690160</v>
      </c>
      <c r="H176" s="53" t="str">
        <f>IFERROR(IF(factura_c_mes2[[#This Row],[CUIT]]="","-",VLOOKUP(factura_c_mes2[[#This Row],[CUIT]],Lista_CUIT[#All],2,0)),"CUIT NO CARGADO")</f>
        <v>RAMIREZ LAURA VERONICA</v>
      </c>
      <c r="I176" s="81">
        <v>28500</v>
      </c>
      <c r="J176" s="54" t="str">
        <f>IFERROR(IF(factura_c_mes2[[#This Row],[CUIT]]="","-",VLOOKUP(factura_c_mes2[[#This Row],[CUIT]],Lista_CUIT[#All],3,0)),"CUIT NO CARGADO")</f>
        <v>Honorarios Profesionales</v>
      </c>
      <c r="K176" s="54">
        <f>IFERROR(IF(factura_c_mes2[[#This Row],[CUIT]]="","-",VLOOKUP(factura_c_mes2[[#This Row],[CUIT]],Lista_CUIT[#All],4,0)),"CUIT NO CARGADO")</f>
        <v>0</v>
      </c>
    </row>
    <row r="177" spans="4:11" x14ac:dyDescent="0.25">
      <c r="D177" s="50" t="s">
        <v>2358</v>
      </c>
      <c r="E177" s="42">
        <v>2</v>
      </c>
      <c r="F177" s="43">
        <v>731</v>
      </c>
      <c r="G177" s="44">
        <v>27218690160</v>
      </c>
      <c r="H177" s="53" t="str">
        <f>IFERROR(IF(factura_c_mes2[[#This Row],[CUIT]]="","-",VLOOKUP(factura_c_mes2[[#This Row],[CUIT]],Lista_CUIT[#All],2,0)),"CUIT NO CARGADO")</f>
        <v>RAMIREZ LAURA VERONICA</v>
      </c>
      <c r="I177" s="81">
        <v>28500</v>
      </c>
      <c r="J177" s="54" t="str">
        <f>IFERROR(IF(factura_c_mes2[[#This Row],[CUIT]]="","-",VLOOKUP(factura_c_mes2[[#This Row],[CUIT]],Lista_CUIT[#All],3,0)),"CUIT NO CARGADO")</f>
        <v>Honorarios Profesionales</v>
      </c>
      <c r="K177" s="54">
        <f>IFERROR(IF(factura_c_mes2[[#This Row],[CUIT]]="","-",VLOOKUP(factura_c_mes2[[#This Row],[CUIT]],Lista_CUIT[#All],4,0)),"CUIT NO CARGADO")</f>
        <v>0</v>
      </c>
    </row>
    <row r="178" spans="4:11" x14ac:dyDescent="0.25">
      <c r="D178" s="50" t="s">
        <v>2347</v>
      </c>
      <c r="E178" s="42">
        <v>3</v>
      </c>
      <c r="F178" s="43">
        <v>530</v>
      </c>
      <c r="G178" s="44">
        <v>20210551574</v>
      </c>
      <c r="H178" s="53" t="str">
        <f>IFERROR(IF(factura_c_mes2[[#This Row],[CUIT]]="","-",VLOOKUP(factura_c_mes2[[#This Row],[CUIT]],Lista_CUIT[#All],2,0)),"CUIT NO CARGADO")</f>
        <v>REUS JORGE DIEGO</v>
      </c>
      <c r="I178" s="81">
        <v>288000</v>
      </c>
      <c r="J178" s="54" t="str">
        <f>IFERROR(IF(factura_c_mes2[[#This Row],[CUIT]]="","-",VLOOKUP(factura_c_mes2[[#This Row],[CUIT]],Lista_CUIT[#All],3,0)),"CUIT NO CARGADO")</f>
        <v>Honorarios Legales</v>
      </c>
      <c r="K178" s="54">
        <f>IFERROR(IF(factura_c_mes2[[#This Row],[CUIT]]="","-",VLOOKUP(factura_c_mes2[[#This Row],[CUIT]],Lista_CUIT[#All],4,0)),"CUIT NO CARGADO")</f>
        <v>0</v>
      </c>
    </row>
    <row r="179" spans="4:11" x14ac:dyDescent="0.25">
      <c r="D179" s="50" t="s">
        <v>2346</v>
      </c>
      <c r="E179" s="42">
        <v>3</v>
      </c>
      <c r="F179" s="43">
        <v>930</v>
      </c>
      <c r="G179" s="44">
        <v>20086277523</v>
      </c>
      <c r="H179" s="53" t="str">
        <f>IFERROR(IF(factura_c_mes2[[#This Row],[CUIT]]="","-",VLOOKUP(factura_c_mes2[[#This Row],[CUIT]],Lista_CUIT[#All],2,0)),"CUIT NO CARGADO")</f>
        <v>BOTINDARI JUAN CARLOS</v>
      </c>
      <c r="I179" s="81">
        <v>270000</v>
      </c>
      <c r="J179" s="54" t="str">
        <f>IFERROR(IF(factura_c_mes2[[#This Row],[CUIT]]="","-",VLOOKUP(factura_c_mes2[[#This Row],[CUIT]],Lista_CUIT[#All],3,0)),"CUIT NO CARGADO")</f>
        <v>Honorarios Contables</v>
      </c>
      <c r="K179" s="54">
        <f>IFERROR(IF(factura_c_mes2[[#This Row],[CUIT]]="","-",VLOOKUP(factura_c_mes2[[#This Row],[CUIT]],Lista_CUIT[#All],4,0)),"CUIT NO CARGADO")</f>
        <v>0</v>
      </c>
    </row>
    <row r="180" spans="4:11" x14ac:dyDescent="0.25">
      <c r="D180" s="50" t="s">
        <v>2346</v>
      </c>
      <c r="E180" s="42">
        <v>2</v>
      </c>
      <c r="F180" s="43">
        <v>372</v>
      </c>
      <c r="G180" s="44">
        <v>27206941419</v>
      </c>
      <c r="H180" s="53" t="str">
        <f>IFERROR(IF(factura_c_mes2[[#This Row],[CUIT]]="","-",VLOOKUP(factura_c_mes2[[#This Row],[CUIT]],Lista_CUIT[#All],2,0)),"CUIT NO CARGADO")</f>
        <v>DOBARRO PAULA MARCELA</v>
      </c>
      <c r="I180" s="81">
        <v>80000</v>
      </c>
      <c r="J180" s="54" t="str">
        <f>IFERROR(IF(factura_c_mes2[[#This Row],[CUIT]]="","-",VLOOKUP(factura_c_mes2[[#This Row],[CUIT]],Lista_CUIT[#All],3,0)),"CUIT NO CARGADO")</f>
        <v>Honorarios Contables</v>
      </c>
      <c r="K180" s="54">
        <f>IFERROR(IF(factura_c_mes2[[#This Row],[CUIT]]="","-",VLOOKUP(factura_c_mes2[[#This Row],[CUIT]],Lista_CUIT[#All],4,0)),"CUIT NO CARGADO")</f>
        <v>0</v>
      </c>
    </row>
    <row r="181" spans="4:11" x14ac:dyDescent="0.25">
      <c r="D181" s="50" t="s">
        <v>2348</v>
      </c>
      <c r="E181" s="42">
        <v>2</v>
      </c>
      <c r="F181" s="43">
        <v>326</v>
      </c>
      <c r="G181" s="44">
        <v>23319210954</v>
      </c>
      <c r="H181" s="53" t="str">
        <f>IFERROR(IF(factura_c_mes2[[#This Row],[CUIT]]="","-",VLOOKUP(factura_c_mes2[[#This Row],[CUIT]],Lista_CUIT[#All],2,0)),"CUIT NO CARGADO")</f>
        <v>CAFFARATTI ROMINA PAOLA</v>
      </c>
      <c r="I181" s="81">
        <v>263000</v>
      </c>
      <c r="J181" s="54" t="str">
        <f>IFERROR(IF(factura_c_mes2[[#This Row],[CUIT]]="","-",VLOOKUP(factura_c_mes2[[#This Row],[CUIT]],Lista_CUIT[#All],3,0)),"CUIT NO CARGADO")</f>
        <v>Honorarios Contables</v>
      </c>
      <c r="K181" s="54">
        <f>IFERROR(IF(factura_c_mes2[[#This Row],[CUIT]]="","-",VLOOKUP(factura_c_mes2[[#This Row],[CUIT]],Lista_CUIT[#All],4,0)),"CUIT NO CARGADO")</f>
        <v>0</v>
      </c>
    </row>
    <row r="182" spans="4:11" x14ac:dyDescent="0.25">
      <c r="D182" s="50" t="s">
        <v>2347</v>
      </c>
      <c r="E182" s="42">
        <v>1</v>
      </c>
      <c r="F182" s="43">
        <v>13</v>
      </c>
      <c r="G182" s="44">
        <v>27309116343</v>
      </c>
      <c r="H182" s="53" t="str">
        <f>IFERROR(IF(factura_c_mes2[[#This Row],[CUIT]]="","-",VLOOKUP(factura_c_mes2[[#This Row],[CUIT]],Lista_CUIT[#All],2,0)),"CUIT NO CARGADO")</f>
        <v>FERNANDEZ DANIELA NATALIA</v>
      </c>
      <c r="I182" s="81">
        <v>120000</v>
      </c>
      <c r="J182" s="54" t="str">
        <f>IFERROR(IF(factura_c_mes2[[#This Row],[CUIT]]="","-",VLOOKUP(factura_c_mes2[[#This Row],[CUIT]],Lista_CUIT[#All],3,0)),"CUIT NO CARGADO")</f>
        <v>Honorarios Administrativos</v>
      </c>
      <c r="K182" s="54">
        <f>IFERROR(IF(factura_c_mes2[[#This Row],[CUIT]]="","-",VLOOKUP(factura_c_mes2[[#This Row],[CUIT]],Lista_CUIT[#All],4,0)),"CUIT NO CARGADO")</f>
        <v>0</v>
      </c>
    </row>
    <row r="183" spans="4:11" x14ac:dyDescent="0.25">
      <c r="D183" s="50" t="s">
        <v>2347</v>
      </c>
      <c r="E183" s="42">
        <v>2</v>
      </c>
      <c r="F183" s="43">
        <v>6</v>
      </c>
      <c r="G183" s="44">
        <v>27226409799</v>
      </c>
      <c r="H183" s="53" t="str">
        <f>IFERROR(IF(factura_c_mes2[[#This Row],[CUIT]]="","-",VLOOKUP(factura_c_mes2[[#This Row],[CUIT]],Lista_CUIT[#All],2,0)),"CUIT NO CARGADO")</f>
        <v>CASTILLO BERTA YOLANDA</v>
      </c>
      <c r="I183" s="81">
        <v>792000</v>
      </c>
      <c r="J183" s="54" t="str">
        <f>IFERROR(IF(factura_c_mes2[[#This Row],[CUIT]]="","-",VLOOKUP(factura_c_mes2[[#This Row],[CUIT]],Lista_CUIT[#All],3,0)),"CUIT NO CARGADO")</f>
        <v>Honorarios Administrativos</v>
      </c>
      <c r="K183" s="54">
        <f>IFERROR(IF(factura_c_mes2[[#This Row],[CUIT]]="","-",VLOOKUP(factura_c_mes2[[#This Row],[CUIT]],Lista_CUIT[#All],4,0)),"CUIT NO CARGADO")</f>
        <v>0</v>
      </c>
    </row>
    <row r="184" spans="4:11" x14ac:dyDescent="0.25">
      <c r="D184" s="50" t="s">
        <v>2347</v>
      </c>
      <c r="E184" s="42">
        <v>2</v>
      </c>
      <c r="F184" s="43">
        <v>5</v>
      </c>
      <c r="G184" s="44">
        <v>27226409799</v>
      </c>
      <c r="H184" s="53" t="str">
        <f>IFERROR(IF(factura_c_mes2[[#This Row],[CUIT]]="","-",VLOOKUP(factura_c_mes2[[#This Row],[CUIT]],Lista_CUIT[#All],2,0)),"CUIT NO CARGADO")</f>
        <v>CASTILLO BERTA YOLANDA</v>
      </c>
      <c r="I184" s="81">
        <v>364000</v>
      </c>
      <c r="J184" s="54" t="str">
        <f>IFERROR(IF(factura_c_mes2[[#This Row],[CUIT]]="","-",VLOOKUP(factura_c_mes2[[#This Row],[CUIT]],Lista_CUIT[#All],3,0)),"CUIT NO CARGADO")</f>
        <v>Honorarios Administrativos</v>
      </c>
      <c r="K184" s="54">
        <f>IFERROR(IF(factura_c_mes2[[#This Row],[CUIT]]="","-",VLOOKUP(factura_c_mes2[[#This Row],[CUIT]],Lista_CUIT[#All],4,0)),"CUIT NO CARGADO")</f>
        <v>0</v>
      </c>
    </row>
    <row r="185" spans="4:11" x14ac:dyDescent="0.25">
      <c r="D185" s="50" t="s">
        <v>2352</v>
      </c>
      <c r="E185" s="42">
        <v>3</v>
      </c>
      <c r="F185" s="43">
        <v>1621</v>
      </c>
      <c r="G185" s="44">
        <v>20173025557</v>
      </c>
      <c r="H185" s="53" t="str">
        <f>IFERROR(IF(factura_c_mes2[[#This Row],[CUIT]]="","-",VLOOKUP(factura_c_mes2[[#This Row],[CUIT]],Lista_CUIT[#All],2,0)),"CUIT NO CARGADO")</f>
        <v>MARAUDA HECTOR</v>
      </c>
      <c r="I185" s="81">
        <v>7000</v>
      </c>
      <c r="J185" s="54" t="str">
        <f>IFERROR(IF(factura_c_mes2[[#This Row],[CUIT]]="","-",VLOOKUP(factura_c_mes2[[#This Row],[CUIT]],Lista_CUIT[#All],3,0)),"CUIT NO CARGADO")</f>
        <v>Gastos Varios</v>
      </c>
      <c r="K185" s="54">
        <f>IFERROR(IF(factura_c_mes2[[#This Row],[CUIT]]="","-",VLOOKUP(factura_c_mes2[[#This Row],[CUIT]],Lista_CUIT[#All],4,0)),"CUIT NO CARGADO")</f>
        <v>0</v>
      </c>
    </row>
    <row r="186" spans="4:11" x14ac:dyDescent="0.25">
      <c r="D186" s="50" t="s">
        <v>2353</v>
      </c>
      <c r="E186" s="42">
        <v>2</v>
      </c>
      <c r="F186" s="43">
        <v>5019</v>
      </c>
      <c r="G186" s="44">
        <v>20136536320</v>
      </c>
      <c r="H186" s="53" t="str">
        <f>IFERROR(IF(factura_c_mes2[[#This Row],[CUIT]]="","-",VLOOKUP(factura_c_mes2[[#This Row],[CUIT]],Lista_CUIT[#All],2,0)),"CUIT NO CARGADO")</f>
        <v>FONTENLA ERNESTO MARIO</v>
      </c>
      <c r="I186" s="81">
        <v>4500</v>
      </c>
      <c r="J186" s="54" t="str">
        <f>IFERROR(IF(factura_c_mes2[[#This Row],[CUIT]]="","-",VLOOKUP(factura_c_mes2[[#This Row],[CUIT]],Lista_CUIT[#All],3,0)),"CUIT NO CARGADO")</f>
        <v>Gastos Varios</v>
      </c>
      <c r="K186" s="54" t="str">
        <f>IFERROR(IF(factura_c_mes2[[#This Row],[CUIT]]="","-",VLOOKUP(factura_c_mes2[[#This Row],[CUIT]],Lista_CUIT[#All],4,0)),"CUIT NO CARGADO")</f>
        <v>CABA</v>
      </c>
    </row>
    <row r="187" spans="4:11" x14ac:dyDescent="0.25">
      <c r="D187" s="50" t="s">
        <v>2356</v>
      </c>
      <c r="E187" s="42">
        <v>10</v>
      </c>
      <c r="F187" s="43">
        <v>248</v>
      </c>
      <c r="G187" s="44">
        <v>20302234389</v>
      </c>
      <c r="H187" s="53" t="str">
        <f>IFERROR(IF(factura_c_mes2[[#This Row],[CUIT]]="","-",VLOOKUP(factura_c_mes2[[#This Row],[CUIT]],Lista_CUIT[#All],2,0)),"CUIT NO CARGADO")</f>
        <v>VIGORELLI GUILLERMO DANIEL</v>
      </c>
      <c r="I187" s="81">
        <v>240000</v>
      </c>
      <c r="J187" s="54" t="str">
        <f>IFERROR(IF(factura_c_mes2[[#This Row],[CUIT]]="","-",VLOOKUP(factura_c_mes2[[#This Row],[CUIT]],Lista_CUIT[#All],3,0)),"CUIT NO CARGADO")</f>
        <v>Gastos Varios</v>
      </c>
      <c r="K187" s="54">
        <f>IFERROR(IF(factura_c_mes2[[#This Row],[CUIT]]="","-",VLOOKUP(factura_c_mes2[[#This Row],[CUIT]],Lista_CUIT[#All],4,0)),"CUIT NO CARGADO")</f>
        <v>0</v>
      </c>
    </row>
    <row r="188" spans="4:11" x14ac:dyDescent="0.25">
      <c r="D188" s="50" t="s">
        <v>2350</v>
      </c>
      <c r="E188" s="42">
        <v>2</v>
      </c>
      <c r="F188" s="43">
        <v>1612</v>
      </c>
      <c r="G188" s="44">
        <v>27203200523</v>
      </c>
      <c r="H188" s="53" t="str">
        <f>IFERROR(IF(factura_c_mes2[[#This Row],[CUIT]]="","-",VLOOKUP(factura_c_mes2[[#This Row],[CUIT]],Lista_CUIT[#All],2,0)),"CUIT NO CARGADO")</f>
        <v>NIEVE MARCELA SUSANA</v>
      </c>
      <c r="I188" s="81">
        <v>120000</v>
      </c>
      <c r="J188" s="54" t="str">
        <f>IFERROR(IF(factura_c_mes2[[#This Row],[CUIT]]="","-",VLOOKUP(factura_c_mes2[[#This Row],[CUIT]],Lista_CUIT[#All],3,0)),"CUIT NO CARGADO")</f>
        <v>Gastos Limpieza</v>
      </c>
      <c r="K188" s="54">
        <f>IFERROR(IF(factura_c_mes2[[#This Row],[CUIT]]="","-",VLOOKUP(factura_c_mes2[[#This Row],[CUIT]],Lista_CUIT[#All],4,0)),"CUIT NO CARGADO")</f>
        <v>0</v>
      </c>
    </row>
    <row r="189" spans="4:11" x14ac:dyDescent="0.25">
      <c r="D189" s="50"/>
      <c r="E189" s="42"/>
      <c r="F189" s="43"/>
      <c r="G189" s="44"/>
      <c r="H189" s="53" t="str">
        <f>IFERROR(IF(factura_c_mes2[[#This Row],[CUIT]]="","-",VLOOKUP(factura_c_mes2[[#This Row],[CUIT]],Lista_CUIT[#All],2,0)),"CUIT NO CARGADO")</f>
        <v>-</v>
      </c>
      <c r="I189" s="81"/>
      <c r="J189" s="54" t="str">
        <f>IFERROR(IF(factura_c_mes2[[#This Row],[CUIT]]="","-",VLOOKUP(factura_c_mes2[[#This Row],[CUIT]],Lista_CUIT[#All],3,0)),"CUIT NO CARGADO")</f>
        <v>-</v>
      </c>
      <c r="K189" s="54" t="str">
        <f>IFERROR(IF(factura_c_mes2[[#This Row],[CUIT]]="","-",VLOOKUP(factura_c_mes2[[#This Row],[CUIT]],Lista_CUIT[#All],4,0)),"CUIT NO CARGADO")</f>
        <v>-</v>
      </c>
    </row>
    <row r="190" spans="4:11" x14ac:dyDescent="0.25">
      <c r="D190" s="50"/>
      <c r="E190" s="42"/>
      <c r="F190" s="43"/>
      <c r="G190" s="44"/>
      <c r="H190" s="53" t="str">
        <f>IFERROR(IF(factura_c_mes2[[#This Row],[CUIT]]="","-",VLOOKUP(factura_c_mes2[[#This Row],[CUIT]],Lista_CUIT[#All],2,0)),"CUIT NO CARGADO")</f>
        <v>-</v>
      </c>
      <c r="I190" s="81"/>
      <c r="J190" s="54" t="str">
        <f>IFERROR(IF(factura_c_mes2[[#This Row],[CUIT]]="","-",VLOOKUP(factura_c_mes2[[#This Row],[CUIT]],Lista_CUIT[#All],3,0)),"CUIT NO CARGADO")</f>
        <v>-</v>
      </c>
      <c r="K190" s="54" t="str">
        <f>IFERROR(IF(factura_c_mes2[[#This Row],[CUIT]]="","-",VLOOKUP(factura_c_mes2[[#This Row],[CUIT]],Lista_CUIT[#All],4,0)),"CUIT NO CARGADO")</f>
        <v>-</v>
      </c>
    </row>
    <row r="191" spans="4:11" x14ac:dyDescent="0.25">
      <c r="D191" s="50"/>
      <c r="E191" s="42"/>
      <c r="F191" s="43"/>
      <c r="G191" s="44"/>
      <c r="H191" s="53" t="str">
        <f>IFERROR(IF(factura_c_mes2[[#This Row],[CUIT]]="","-",VLOOKUP(factura_c_mes2[[#This Row],[CUIT]],Lista_CUIT[#All],2,0)),"CUIT NO CARGADO")</f>
        <v>-</v>
      </c>
      <c r="I191" s="81"/>
      <c r="J191" s="54" t="str">
        <f>IFERROR(IF(factura_c_mes2[[#This Row],[CUIT]]="","-",VLOOKUP(factura_c_mes2[[#This Row],[CUIT]],Lista_CUIT[#All],3,0)),"CUIT NO CARGADO")</f>
        <v>-</v>
      </c>
      <c r="K191" s="54" t="str">
        <f>IFERROR(IF(factura_c_mes2[[#This Row],[CUIT]]="","-",VLOOKUP(factura_c_mes2[[#This Row],[CUIT]],Lista_CUIT[#All],4,0)),"CUIT NO CARGADO")</f>
        <v>-</v>
      </c>
    </row>
    <row r="192" spans="4:11" x14ac:dyDescent="0.25">
      <c r="D192" s="50"/>
      <c r="E192" s="42"/>
      <c r="F192" s="43"/>
      <c r="G192" s="44"/>
      <c r="H192" s="53" t="str">
        <f>IFERROR(IF(factura_c_mes2[[#This Row],[CUIT]]="","-",VLOOKUP(factura_c_mes2[[#This Row],[CUIT]],Lista_CUIT[#All],2,0)),"CUIT NO CARGADO")</f>
        <v>-</v>
      </c>
      <c r="I192" s="81"/>
      <c r="J192" s="54" t="str">
        <f>IFERROR(IF(factura_c_mes2[[#This Row],[CUIT]]="","-",VLOOKUP(factura_c_mes2[[#This Row],[CUIT]],Lista_CUIT[#All],3,0)),"CUIT NO CARGADO")</f>
        <v>-</v>
      </c>
      <c r="K192" s="54" t="str">
        <f>IFERROR(IF(factura_c_mes2[[#This Row],[CUIT]]="","-",VLOOKUP(factura_c_mes2[[#This Row],[CUIT]],Lista_CUIT[#All],4,0)),"CUIT NO CARGADO")</f>
        <v>-</v>
      </c>
    </row>
    <row r="193" spans="2:18" x14ac:dyDescent="0.25">
      <c r="D193" s="50"/>
      <c r="E193" s="42"/>
      <c r="F193" s="43"/>
      <c r="G193" s="44"/>
      <c r="H193" s="53" t="str">
        <f>IFERROR(IF(factura_c_mes2[[#This Row],[CUIT]]="","-",VLOOKUP(factura_c_mes2[[#This Row],[CUIT]],Lista_CUIT[#All],2,0)),"CUIT NO CARGADO")</f>
        <v>-</v>
      </c>
      <c r="I193" s="81"/>
      <c r="J193" s="54" t="str">
        <f>IFERROR(IF(factura_c_mes2[[#This Row],[CUIT]]="","-",VLOOKUP(factura_c_mes2[[#This Row],[CUIT]],Lista_CUIT[#All],3,0)),"CUIT NO CARGADO")</f>
        <v>-</v>
      </c>
      <c r="K193" s="54" t="str">
        <f>IFERROR(IF(factura_c_mes2[[#This Row],[CUIT]]="","-",VLOOKUP(factura_c_mes2[[#This Row],[CUIT]],Lista_CUIT[#All],4,0)),"CUIT NO CARGADO")</f>
        <v>-</v>
      </c>
    </row>
    <row r="194" spans="2:18" x14ac:dyDescent="0.25">
      <c r="D194" s="50"/>
      <c r="E194" s="42"/>
      <c r="F194" s="43"/>
      <c r="G194" s="44"/>
      <c r="H194" s="53" t="str">
        <f>IFERROR(IF(factura_c_mes2[[#This Row],[CUIT]]="","-",VLOOKUP(factura_c_mes2[[#This Row],[CUIT]],Lista_CUIT[#All],2,0)),"CUIT NO CARGADO")</f>
        <v>-</v>
      </c>
      <c r="I194" s="81"/>
      <c r="J194" s="54" t="str">
        <f>IFERROR(IF(factura_c_mes2[[#This Row],[CUIT]]="","-",VLOOKUP(factura_c_mes2[[#This Row],[CUIT]],Lista_CUIT[#All],3,0)),"CUIT NO CARGADO")</f>
        <v>-</v>
      </c>
      <c r="K194" s="54" t="str">
        <f>IFERROR(IF(factura_c_mes2[[#This Row],[CUIT]]="","-",VLOOKUP(factura_c_mes2[[#This Row],[CUIT]],Lista_CUIT[#All],4,0)),"CUIT NO CARGADO")</f>
        <v>-</v>
      </c>
    </row>
    <row r="195" spans="2:18" x14ac:dyDescent="0.25">
      <c r="D195" s="50"/>
      <c r="E195" s="42"/>
      <c r="F195" s="43"/>
      <c r="G195" s="44"/>
      <c r="H195" s="53" t="str">
        <f>IFERROR(IF(factura_c_mes2[[#This Row],[CUIT]]="","-",VLOOKUP(factura_c_mes2[[#This Row],[CUIT]],Lista_CUIT[#All],2,0)),"CUIT NO CARGADO")</f>
        <v>-</v>
      </c>
      <c r="I195" s="81"/>
      <c r="J195" s="54" t="str">
        <f>IFERROR(IF(factura_c_mes2[[#This Row],[CUIT]]="","-",VLOOKUP(factura_c_mes2[[#This Row],[CUIT]],Lista_CUIT[#All],3,0)),"CUIT NO CARGADO")</f>
        <v>-</v>
      </c>
      <c r="K195" s="54" t="str">
        <f>IFERROR(IF(factura_c_mes2[[#This Row],[CUIT]]="","-",VLOOKUP(factura_c_mes2[[#This Row],[CUIT]],Lista_CUIT[#All],4,0)),"CUIT NO CARGADO")</f>
        <v>-</v>
      </c>
    </row>
    <row r="196" spans="2:18" x14ac:dyDescent="0.25">
      <c r="D196" s="50"/>
      <c r="E196" s="42"/>
      <c r="F196" s="43"/>
      <c r="G196" s="44"/>
      <c r="H196" s="53" t="str">
        <f>IFERROR(IF(factura_c_mes2[[#This Row],[CUIT]]="","-",VLOOKUP(factura_c_mes2[[#This Row],[CUIT]],Lista_CUIT[#All],2,0)),"CUIT NO CARGADO")</f>
        <v>-</v>
      </c>
      <c r="I196" s="81"/>
      <c r="J196" s="54" t="str">
        <f>IFERROR(IF(factura_c_mes2[[#This Row],[CUIT]]="","-",VLOOKUP(factura_c_mes2[[#This Row],[CUIT]],Lista_CUIT[#All],3,0)),"CUIT NO CARGADO")</f>
        <v>-</v>
      </c>
      <c r="K196" s="54" t="str">
        <f>IFERROR(IF(factura_c_mes2[[#This Row],[CUIT]]="","-",VLOOKUP(factura_c_mes2[[#This Row],[CUIT]],Lista_CUIT[#All],4,0)),"CUIT NO CARGADO")</f>
        <v>-</v>
      </c>
    </row>
    <row r="197" spans="2:18" x14ac:dyDescent="0.25">
      <c r="D197" s="55" t="s">
        <v>103</v>
      </c>
      <c r="E197" s="55"/>
      <c r="F197" s="55"/>
      <c r="G197" s="55"/>
      <c r="H197" s="57"/>
      <c r="I197" s="58">
        <f>SUBTOTAL(109,factura_c_mes2[TOTAL])</f>
        <v>8172674</v>
      </c>
      <c r="J197" s="55"/>
      <c r="K197" s="55"/>
    </row>
    <row r="198" spans="2:18" x14ac:dyDescent="0.25">
      <c r="B198" s="56"/>
      <c r="C198" s="56"/>
      <c r="L198" s="56"/>
      <c r="M198" s="56"/>
      <c r="N198" s="56"/>
      <c r="O198" s="56"/>
      <c r="P198" s="56"/>
      <c r="Q198" s="56"/>
      <c r="R198" s="56"/>
    </row>
    <row r="203" spans="2:18" ht="26.25" x14ac:dyDescent="0.25">
      <c r="B203" s="592" t="s">
        <v>29</v>
      </c>
      <c r="C203" s="592"/>
      <c r="D203" s="592"/>
      <c r="E203" s="592"/>
      <c r="F203" s="592"/>
      <c r="G203" s="592"/>
      <c r="H203" s="592"/>
      <c r="I203" s="592"/>
      <c r="J203" s="592"/>
      <c r="K203" s="593">
        <f>N1</f>
        <v>45689</v>
      </c>
      <c r="L203" s="593"/>
      <c r="M203" s="593"/>
    </row>
    <row r="205" spans="2:18" ht="21" x14ac:dyDescent="0.25">
      <c r="B205" s="594" t="s">
        <v>30</v>
      </c>
      <c r="C205" s="594"/>
    </row>
    <row r="206" spans="2:18" ht="31.5" x14ac:dyDescent="0.25">
      <c r="B206" s="60" t="s">
        <v>0</v>
      </c>
      <c r="C206" s="61" t="s">
        <v>1</v>
      </c>
      <c r="D206" s="61" t="s">
        <v>21</v>
      </c>
      <c r="E206" s="61" t="s">
        <v>22</v>
      </c>
      <c r="F206" s="61" t="s">
        <v>3</v>
      </c>
      <c r="G206" s="61" t="s">
        <v>4</v>
      </c>
      <c r="H206" s="61" t="s">
        <v>23</v>
      </c>
      <c r="I206" s="61" t="s">
        <v>17</v>
      </c>
      <c r="J206" s="61" t="s">
        <v>7</v>
      </c>
      <c r="K206" s="61" t="s">
        <v>24</v>
      </c>
      <c r="L206" s="61" t="s">
        <v>10</v>
      </c>
      <c r="M206" s="62" t="s">
        <v>38</v>
      </c>
    </row>
    <row r="207" spans="2:18" x14ac:dyDescent="0.25">
      <c r="B207" s="40"/>
      <c r="C207" s="41"/>
      <c r="D207" s="42"/>
      <c r="E207" s="43"/>
      <c r="F207" s="44"/>
      <c r="G207" s="98" t="str">
        <f>IFERROR(IF(venta_a_mes2[[#This Row],[CUIT]]="","-",VLOOKUP(venta_a_mes2[[#This Row],[CUIT]],Lista_CUIT[#All],2,0)),"CUIT NO CARGADO")</f>
        <v>-</v>
      </c>
      <c r="H207" s="99"/>
      <c r="I207" s="100">
        <f>venta_a_mes2[[#This Row],[IMPORTE NETO]]*0.21</f>
        <v>0</v>
      </c>
      <c r="J207" s="65"/>
      <c r="K207" s="65"/>
      <c r="L207" s="65">
        <f>SUM(venta_a_mes2[[#This Row],[IMPORTE NETO]:[EXENTO]])</f>
        <v>0</v>
      </c>
      <c r="M207" s="59"/>
    </row>
    <row r="208" spans="2:18" x14ac:dyDescent="0.25">
      <c r="B208" s="167" t="s">
        <v>103</v>
      </c>
      <c r="C208" s="168"/>
      <c r="D208" s="168"/>
      <c r="E208" s="168"/>
      <c r="F208" s="168"/>
      <c r="G208" s="168"/>
      <c r="H208" s="169">
        <f>SUBTOTAL(109,venta_a_mes2[IMPORTE NETO])</f>
        <v>0</v>
      </c>
      <c r="I208" s="170">
        <f>SUBTOTAL(109,venta_a_mes2[IVA 21%])</f>
        <v>0</v>
      </c>
      <c r="J208" s="171">
        <f>SUBTOTAL(109,venta_a_mes2[IVA 10,5%])</f>
        <v>0</v>
      </c>
      <c r="K208" s="171">
        <f>SUBTOTAL(109,venta_a_mes2[EXENTO])</f>
        <v>0</v>
      </c>
      <c r="L208" s="171">
        <f>SUBTOTAL(109,venta_a_mes2[TOTAL])</f>
        <v>0</v>
      </c>
      <c r="M208" s="172">
        <f>SUBTOTAL(103,venta_a_mes2[Provincia])</f>
        <v>0</v>
      </c>
    </row>
    <row r="211" spans="2:13" ht="21" x14ac:dyDescent="0.25">
      <c r="B211" s="594" t="s">
        <v>31</v>
      </c>
      <c r="C211" s="594"/>
    </row>
    <row r="212" spans="2:13" ht="31.5" x14ac:dyDescent="0.25">
      <c r="B212" s="60" t="s">
        <v>0</v>
      </c>
      <c r="C212" s="61" t="s">
        <v>1</v>
      </c>
      <c r="D212" s="61" t="s">
        <v>21</v>
      </c>
      <c r="E212" s="61" t="s">
        <v>22</v>
      </c>
      <c r="F212" s="61" t="s">
        <v>3</v>
      </c>
      <c r="G212" s="61" t="s">
        <v>4</v>
      </c>
      <c r="H212" s="61" t="s">
        <v>23</v>
      </c>
      <c r="I212" s="61" t="s">
        <v>17</v>
      </c>
      <c r="J212" s="61" t="s">
        <v>7</v>
      </c>
      <c r="K212" s="61" t="s">
        <v>24</v>
      </c>
      <c r="L212" s="61" t="s">
        <v>10</v>
      </c>
      <c r="M212" s="62" t="s">
        <v>38</v>
      </c>
    </row>
    <row r="213" spans="2:13" x14ac:dyDescent="0.25">
      <c r="B213" s="40"/>
      <c r="C213" s="41"/>
      <c r="D213" s="42"/>
      <c r="E213" s="43"/>
      <c r="F213" s="43"/>
      <c r="G213" s="1" t="str">
        <f>IFERROR(IF(ventas_b_mes2[[#This Row],[CUIT]]="","-",VLOOKUP(ventas_b_mes2[[#This Row],[CUIT]],Lista_CUIT[#All],2,0)),"CUIT NO CARGADO")</f>
        <v>-</v>
      </c>
      <c r="H213" s="64">
        <f>ventas_b_mes2[[#This Row],[TOTAL]]/1.21</f>
        <v>0</v>
      </c>
      <c r="I213" s="64">
        <f>ventas_b_mes2[[#This Row],[IMPORTE NETO]]*0.21</f>
        <v>0</v>
      </c>
      <c r="J213" s="64"/>
      <c r="K213" s="64"/>
      <c r="L213" s="64"/>
      <c r="M213" s="59"/>
    </row>
    <row r="214" spans="2:13" x14ac:dyDescent="0.25">
      <c r="B214" s="40"/>
      <c r="C214" s="41"/>
      <c r="D214" s="42"/>
      <c r="E214" s="43"/>
      <c r="F214" s="43"/>
      <c r="G214" s="1" t="str">
        <f>IFERROR(IF(ventas_b_mes2[[#This Row],[CUIT]]="","-",VLOOKUP(ventas_b_mes2[[#This Row],[CUIT]],Lista_CUIT[#All],2,0)),"CUIT NO CARGADO")</f>
        <v>-</v>
      </c>
      <c r="H214" s="64">
        <f>ventas_b_mes2[[#This Row],[TOTAL]]/1.21</f>
        <v>0</v>
      </c>
      <c r="I214" s="64">
        <f>ventas_b_mes2[[#This Row],[IMPORTE NETO]]*0.21</f>
        <v>0</v>
      </c>
      <c r="J214" s="64"/>
      <c r="K214" s="64"/>
      <c r="L214" s="64"/>
      <c r="M214" s="59"/>
    </row>
    <row r="215" spans="2:13" x14ac:dyDescent="0.25">
      <c r="B215" s="66" t="s">
        <v>103</v>
      </c>
      <c r="C215" s="67"/>
      <c r="D215" s="67"/>
      <c r="E215" s="67"/>
      <c r="F215" s="67"/>
      <c r="G215" s="67"/>
      <c r="H215" s="77">
        <f>SUBTOTAL(109,ventas_b_mes2[IMPORTE NETO])</f>
        <v>0</v>
      </c>
      <c r="I215" s="77">
        <f>SUBTOTAL(109,ventas_b_mes2[IVA 21%])</f>
        <v>0</v>
      </c>
      <c r="J215" s="78">
        <f>SUBTOTAL(109,ventas_b_mes2[IVA 10,5%])</f>
        <v>0</v>
      </c>
      <c r="K215" s="78">
        <f>SUBTOTAL(109,ventas_b_mes2[EXENTO])</f>
        <v>0</v>
      </c>
      <c r="L215" s="78">
        <f>SUBTOTAL(109,ventas_b_mes2[TOTAL])</f>
        <v>0</v>
      </c>
      <c r="M215" s="68">
        <f>SUBTOTAL(103,ventas_b_mes2[Provincia])</f>
        <v>0</v>
      </c>
    </row>
    <row r="216" spans="2:13" x14ac:dyDescent="0.25">
      <c r="B216" s="160"/>
      <c r="C216" s="160"/>
      <c r="D216" s="160"/>
      <c r="E216" s="160"/>
      <c r="F216" s="160"/>
      <c r="G216" s="160"/>
      <c r="H216" s="161"/>
      <c r="I216" s="161"/>
      <c r="J216" s="162"/>
      <c r="K216" s="162"/>
      <c r="L216" s="162"/>
      <c r="M216" s="163"/>
    </row>
    <row r="217" spans="2:13" ht="15.75" thickBot="1" x14ac:dyDescent="0.3">
      <c r="B217" s="160"/>
      <c r="C217" s="160"/>
      <c r="D217" s="160"/>
      <c r="E217" s="160"/>
      <c r="F217" s="160"/>
      <c r="G217" s="160"/>
      <c r="H217" s="161"/>
      <c r="I217" s="161"/>
      <c r="J217" s="162"/>
      <c r="K217" s="162"/>
      <c r="L217" s="162"/>
      <c r="M217" s="163"/>
    </row>
    <row r="218" spans="2:13" ht="15.75" thickTop="1" x14ac:dyDescent="0.25">
      <c r="C218" s="588" t="s">
        <v>66</v>
      </c>
      <c r="D218" s="588"/>
      <c r="E218" s="588"/>
      <c r="F218" s="588"/>
      <c r="G218" s="588"/>
      <c r="H218" s="32"/>
      <c r="I218" s="32"/>
      <c r="J218" s="32"/>
    </row>
    <row r="219" spans="2:13" ht="15.75" x14ac:dyDescent="0.25">
      <c r="C219" s="113" t="s">
        <v>67</v>
      </c>
      <c r="D219" s="114" t="s">
        <v>68</v>
      </c>
      <c r="E219" s="114" t="s">
        <v>105</v>
      </c>
      <c r="F219" s="114" t="s">
        <v>3</v>
      </c>
      <c r="G219" s="114" t="s">
        <v>4</v>
      </c>
      <c r="H219" s="115" t="s">
        <v>69</v>
      </c>
      <c r="I219" s="115" t="s">
        <v>70</v>
      </c>
      <c r="J219" s="115" t="s">
        <v>71</v>
      </c>
      <c r="K219" s="115" t="s">
        <v>72</v>
      </c>
      <c r="L219" s="115" t="s">
        <v>73</v>
      </c>
    </row>
    <row r="220" spans="2:13" x14ac:dyDescent="0.25">
      <c r="C220" s="116"/>
      <c r="D220" s="117"/>
      <c r="E220" s="117"/>
      <c r="F220" s="118"/>
      <c r="G220" s="53" t="str">
        <f>IFERROR(IF(Retenciones_mes2[[#This Row],[CUIT]]="","-",VLOOKUP(Retenciones_mes2[[#This Row],[CUIT]],Lista_CUIT[#All],2,0)),"CUIT NO CARGADO")</f>
        <v>-</v>
      </c>
      <c r="H220" s="119"/>
      <c r="I220" s="119"/>
      <c r="J220" s="119"/>
      <c r="K220" s="119"/>
      <c r="L220" s="119"/>
    </row>
    <row r="221" spans="2:13" x14ac:dyDescent="0.25">
      <c r="C221" s="116"/>
      <c r="D221" s="117"/>
      <c r="E221" s="117"/>
      <c r="F221" s="118"/>
      <c r="G221" s="53" t="str">
        <f>IFERROR(IF(Retenciones_mes2[[#This Row],[CUIT]]="","-",VLOOKUP(Retenciones_mes2[[#This Row],[CUIT]],Lista_CUIT[#All],2,0)),"CUIT NO CARGADO")</f>
        <v>-</v>
      </c>
      <c r="H221" s="119"/>
      <c r="I221" s="119"/>
      <c r="J221" s="119"/>
      <c r="K221" s="119"/>
      <c r="L221" s="119"/>
    </row>
    <row r="222" spans="2:13" x14ac:dyDescent="0.25">
      <c r="C222" s="116"/>
      <c r="D222" s="117"/>
      <c r="E222" s="117"/>
      <c r="F222" s="118"/>
      <c r="G222" s="53" t="str">
        <f>IFERROR(IF(Retenciones_mes2[[#This Row],[CUIT]]="","-",VLOOKUP(Retenciones_mes2[[#This Row],[CUIT]],Lista_CUIT[#All],2,0)),"CUIT NO CARGADO")</f>
        <v>-</v>
      </c>
      <c r="H222" s="119"/>
      <c r="I222" s="119"/>
      <c r="J222" s="119"/>
      <c r="K222" s="119"/>
      <c r="L222" s="119"/>
    </row>
    <row r="223" spans="2:13" x14ac:dyDescent="0.25">
      <c r="C223" s="116"/>
      <c r="D223" s="117"/>
      <c r="E223" s="117"/>
      <c r="F223" s="118"/>
      <c r="G223" s="53" t="str">
        <f>IFERROR(IF(Retenciones_mes2[[#This Row],[CUIT]]="","-",VLOOKUP(Retenciones_mes2[[#This Row],[CUIT]],Lista_CUIT[#All],2,0)),"CUIT NO CARGADO")</f>
        <v>-</v>
      </c>
      <c r="H223" s="119"/>
      <c r="I223" s="119"/>
      <c r="J223" s="119"/>
      <c r="K223" s="119"/>
      <c r="L223" s="119"/>
    </row>
    <row r="224" spans="2:13" x14ac:dyDescent="0.25">
      <c r="D224" s="117"/>
      <c r="E224" s="117"/>
      <c r="G224" s="53" t="str">
        <f>IFERROR(IF(Retenciones_mes2[[#This Row],[CUIT]]="","-",VLOOKUP(Retenciones_mes2[[#This Row],[CUIT]],Lista_CUIT[#All],2,0)),"CUIT NO CARGADO")</f>
        <v>-</v>
      </c>
    </row>
    <row r="225" spans="2:13" x14ac:dyDescent="0.25">
      <c r="C225" s="33"/>
    </row>
    <row r="227" spans="2:13" ht="21" x14ac:dyDescent="0.25">
      <c r="B227" s="594" t="s">
        <v>1709</v>
      </c>
      <c r="C227" s="594"/>
    </row>
    <row r="228" spans="2:13" ht="31.5" x14ac:dyDescent="0.25">
      <c r="B228" s="60" t="s">
        <v>0</v>
      </c>
      <c r="C228" s="61" t="s">
        <v>1</v>
      </c>
      <c r="D228" s="61" t="s">
        <v>21</v>
      </c>
      <c r="E228" s="61" t="s">
        <v>22</v>
      </c>
      <c r="F228" s="61" t="s">
        <v>3</v>
      </c>
      <c r="G228" s="61" t="s">
        <v>4</v>
      </c>
      <c r="H228" s="61" t="s">
        <v>23</v>
      </c>
      <c r="I228" s="61" t="s">
        <v>17</v>
      </c>
      <c r="J228" s="61" t="s">
        <v>7</v>
      </c>
      <c r="K228" s="61" t="s">
        <v>24</v>
      </c>
      <c r="L228" s="61" t="s">
        <v>10</v>
      </c>
      <c r="M228" s="62" t="s">
        <v>38</v>
      </c>
    </row>
    <row r="229" spans="2:13" x14ac:dyDescent="0.25">
      <c r="B229" s="40"/>
      <c r="C229" s="41"/>
      <c r="D229" s="42"/>
      <c r="E229" s="43"/>
      <c r="F229" s="44"/>
      <c r="G229" s="98" t="str">
        <f>IFERROR(IF(venta_a_mes552[[#This Row],[CUIT]]="","-",VLOOKUP(venta_a_mes552[[#This Row],[CUIT]],Lista_CUIT[#All],2,0)),"CUIT NO CARGADO")</f>
        <v>-</v>
      </c>
      <c r="H229" s="99"/>
      <c r="I229" s="100"/>
      <c r="J229" s="65"/>
      <c r="K229" s="65"/>
      <c r="L229" s="65">
        <f>SUM(venta_a_mes552[[#This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98" t="str">
        <f>IFERROR(IF(venta_a_mes552[[#This Row],[CUIT]]="","-",VLOOKUP(venta_a_mes552[[#This Row],[CUIT]],Lista_CUIT[#All],2,0)),"CUIT NO CARGADO")</f>
        <v>-</v>
      </c>
      <c r="H230" s="99"/>
      <c r="I230" s="100"/>
      <c r="J230" s="65"/>
      <c r="K230" s="65"/>
      <c r="L230" s="65">
        <f>SUM(venta_a_mes552[[#This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98" t="str">
        <f>IFERROR(IF(venta_a_mes552[[#This Row],[CUIT]]="","-",VLOOKUP(venta_a_mes552[[#This Row],[CUIT]],Lista_CUIT[#All],2,0)),"CUIT NO CARGADO")</f>
        <v>-</v>
      </c>
      <c r="H231" s="99"/>
      <c r="I231" s="100"/>
      <c r="J231" s="65"/>
      <c r="K231" s="65"/>
      <c r="L231" s="65">
        <f>SUM(venta_a_mes552[[#This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98" t="str">
        <f>IFERROR(IF(venta_a_mes552[[#This Row],[CUIT]]="","-",VLOOKUP(venta_a_mes552[[#This Row],[CUIT]],Lista_CUIT[#All],2,0)),"CUIT NO CARGADO")</f>
        <v>-</v>
      </c>
      <c r="H232" s="99"/>
      <c r="I232" s="100"/>
      <c r="J232" s="65"/>
      <c r="K232" s="65"/>
      <c r="L232" s="65">
        <f>SUM(venta_a_mes552[[#This Row],[IMPORTE NETO]:[EXENTO]])</f>
        <v>0</v>
      </c>
      <c r="M232" s="59"/>
    </row>
    <row r="233" spans="2:13" x14ac:dyDescent="0.25">
      <c r="B233" s="66" t="s">
        <v>103</v>
      </c>
      <c r="C233" s="67"/>
      <c r="D233" s="67"/>
      <c r="E233" s="67"/>
      <c r="F233" s="67"/>
      <c r="G233" s="67"/>
      <c r="H233" s="69">
        <f>SUBTOTAL(109,venta_a_mes552[IMPORTE NETO])</f>
        <v>0</v>
      </c>
      <c r="I233" s="70">
        <f>SUBTOTAL(109,venta_a_mes552[IVA 21%])</f>
        <v>0</v>
      </c>
      <c r="J233" s="71">
        <f>SUBTOTAL(109,venta_a_mes552[IVA 10,5%])</f>
        <v>0</v>
      </c>
      <c r="K233" s="71">
        <f>SUBTOTAL(109,venta_a_mes552[EXENTO])</f>
        <v>0</v>
      </c>
      <c r="L233" s="71">
        <f>SUBTOTAL(109,venta_a_mes552[TOTAL])</f>
        <v>0</v>
      </c>
      <c r="M233" s="68">
        <f>SUBTOTAL(103,venta_a_mes552[Provincia])</f>
        <v>0</v>
      </c>
    </row>
  </sheetData>
  <mergeCells count="21">
    <mergeCell ref="D165:K165"/>
    <mergeCell ref="B203:J203"/>
    <mergeCell ref="K203:M203"/>
    <mergeCell ref="B205:C205"/>
    <mergeCell ref="B211:C211"/>
    <mergeCell ref="B227:C227"/>
    <mergeCell ref="P4:R4"/>
    <mergeCell ref="D150:L150"/>
    <mergeCell ref="B1:F1"/>
    <mergeCell ref="G1:M1"/>
    <mergeCell ref="N1:R1"/>
    <mergeCell ref="B3:E3"/>
    <mergeCell ref="G3:H3"/>
    <mergeCell ref="J3:K3"/>
    <mergeCell ref="M3:N3"/>
    <mergeCell ref="P3:R3"/>
    <mergeCell ref="C218:G218"/>
    <mergeCell ref="B4:E4"/>
    <mergeCell ref="G4:H4"/>
    <mergeCell ref="J4:K4"/>
    <mergeCell ref="M4:N4"/>
  </mergeCells>
  <phoneticPr fontId="38" type="noConversion"/>
  <dataValidations count="11">
    <dataValidation type="custom" allowBlank="1" showInputMessage="1" showErrorMessage="1" sqref="H207:K207 H229:K229 H231:K231" xr:uid="{00000000-0002-0000-0200-000000000000}">
      <formula1>IF($C207=3,H207&lt;0,H207&gt;=0)</formula1>
    </dataValidation>
    <dataValidation type="whole" allowBlank="1" showInputMessage="1" showErrorMessage="1" sqref="C207 C229:C232 C8:C147 C149" xr:uid="{00000000-0002-0000-0200-000001000000}">
      <formula1>1</formula1>
      <formula2>3</formula2>
    </dataValidation>
    <dataValidation type="date" allowBlank="1" showInputMessage="1" showErrorMessage="1" sqref="D167:D196 B213:B214 B207 B229:B232 D152:D160 B8:B147 B149" xr:uid="{00000000-0002-0000-0200-000002000000}">
      <formula1>40179</formula1>
      <formula2>TODAY()</formula2>
    </dataValidation>
    <dataValidation type="whole" allowBlank="1" showInputMessage="1" showErrorMessage="1" sqref="G167:G196 F207 F229:F232 F213:F214 F8:F147" xr:uid="{00000000-0002-0000-0200-000003000000}">
      <formula1>20000000000</formula1>
      <formula2>33999999999</formula2>
    </dataValidation>
    <dataValidation type="whole" allowBlank="1" showInputMessage="1" showErrorMessage="1" sqref="E207 E229:E232 E213:E214 F167:F196 E8:E147" xr:uid="{00000000-0002-0000-0200-000004000000}">
      <formula1>1</formula1>
      <formula2>99999999</formula2>
    </dataValidation>
    <dataValidation type="whole" allowBlank="1" showInputMessage="1" showErrorMessage="1" sqref="D207 D229:D232 D213:D214 E167:E196 D8:D147" xr:uid="{00000000-0002-0000-0200-000005000000}">
      <formula1>1</formula1>
      <formula2>9999</formula2>
    </dataValidation>
    <dataValidation type="custom" allowBlank="1" showInputMessage="1" showErrorMessage="1" sqref="L207" xr:uid="{00000000-0002-0000-0200-000006000000}">
      <formula1>IF($C8=3,L8&lt;0,L8&gt;=0)</formula1>
    </dataValidation>
    <dataValidation type="custom" allowBlank="1" showInputMessage="1" showErrorMessage="1" sqref="L229:L232" xr:uid="{00000000-0002-0000-0200-000007000000}">
      <formula1>IF(#REF!=3,#REF!&lt;0,#REF!&gt;=0)</formula1>
    </dataValidation>
    <dataValidation type="whole" allowBlank="1" showInputMessage="1" showErrorMessage="1" sqref="C213:C214" xr:uid="{00000000-0002-0000-0200-000008000000}">
      <formula1>6</formula1>
      <formula2>8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37 N37 N39:N132 L39:L132 H8:O36 M37:M132 O37:O132 H37:K132" xr:uid="{00000000-0002-0000-0200-000009000000}">
      <formula1>IF($C8=3,H8&lt;0,H8&gt;=0)</formula1>
    </dataValidation>
    <dataValidation type="custom" allowBlank="1" showInputMessage="1" showErrorMessage="1" sqref="H213:L214" xr:uid="{00000000-0002-0000-0200-00000A000000}">
      <formula1>IF($C213=8,H213&lt;0,H213&gt;=0)</formula1>
    </dataValidation>
  </dataValidations>
  <pageMargins left="0.7" right="0.7" top="0.75" bottom="0.75" header="0.3" footer="0.3"/>
  <pageSetup paperSize="9" scale="49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>
    <tabColor theme="9" tint="0.79998168889431442"/>
    <pageSetUpPr fitToPage="1"/>
  </sheetPr>
  <dimension ref="A1:Z268"/>
  <sheetViews>
    <sheetView showGridLines="0" topLeftCell="E1" zoomScale="80" zoomScaleNormal="80" workbookViewId="0">
      <selection activeCell="Q190" sqref="Q190"/>
    </sheetView>
  </sheetViews>
  <sheetFormatPr baseColWidth="10" defaultColWidth="15.7109375" defaultRowHeight="15" x14ac:dyDescent="0.25"/>
  <cols>
    <col min="1" max="1" width="7.2851562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0.28515625" customWidth="1"/>
    <col min="7" max="7" width="29.42578125" customWidth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95" t="str">
        <f>'Ene-25'!G1:M1</f>
        <v>EUROARGENTINA</v>
      </c>
      <c r="H1" s="595"/>
      <c r="I1" s="595"/>
      <c r="J1" s="595"/>
      <c r="K1" s="595"/>
      <c r="L1" s="595"/>
      <c r="M1" s="595"/>
      <c r="N1" s="584">
        <f>EDATE('Ene-25'!N1,2)</f>
        <v>45717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SUM(compras_mes3[[#Totals],[NETO GRAVADO]])+extracto_banco_mes3[[#Totals],[NETO]]</f>
        <v>78599548.627202377</v>
      </c>
      <c r="C4" s="589"/>
      <c r="D4" s="589"/>
      <c r="E4" s="589"/>
      <c r="F4" s="39"/>
      <c r="G4" s="590">
        <f>compras_mes3[[#Totals],[IVA 21 %]]+compras_mes3[[#Totals],[IVA 27%]]+compras_mes3[[#Totals],[IVA 10,5%]]+extracto_banco_mes3[[#Totals],[IVA 21%]]+extracto_banco_mes3[[#Totals],[IVA 10,5%]]</f>
        <v>16012910.30377949</v>
      </c>
      <c r="H4" s="590"/>
      <c r="I4" s="39"/>
      <c r="J4" s="591">
        <f>venta_a_mes3[[#Totals],[IMPORTE NETO]]+ventas_b_mes3[[#Totals],[IMPORTE NETO]]</f>
        <v>0</v>
      </c>
      <c r="K4" s="591"/>
      <c r="L4" s="39"/>
      <c r="M4" s="591">
        <f>venta_a_mes3[[#Totals],[IVA 21%]]+venta_a_mes3[[#Totals],[IVA 10,5%]]+ventas_b_mes3[[#Totals],[IVA 21%]]+ventas_b_mes3[[#Totals],[IVA 10,5%]]</f>
        <v>0</v>
      </c>
      <c r="N4" s="591"/>
      <c r="O4" s="39"/>
      <c r="P4" s="579">
        <f>G4-M4</f>
        <v>16012910.30377949</v>
      </c>
      <c r="Q4" s="580"/>
      <c r="R4" s="580"/>
    </row>
    <row r="6" spans="1:26" x14ac:dyDescent="0.25">
      <c r="N6" s="186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94" t="s">
        <v>2398</v>
      </c>
      <c r="C9" s="295">
        <v>1</v>
      </c>
      <c r="D9" s="296">
        <v>8</v>
      </c>
      <c r="E9" s="462">
        <v>2452</v>
      </c>
      <c r="F9" s="297">
        <v>20277381908</v>
      </c>
      <c r="G9" s="298" t="str">
        <f>IFERROR(IF(compras_mes3[[#This Row],[CUIT]]="","-",VLOOKUP(compras_mes3[[#This Row],[CUIT]],Lista_CUIT[#All],2,0)),"CUIT NO CARGADO")</f>
        <v>ALONSO RODRIGO JAVIER</v>
      </c>
      <c r="H9" s="299">
        <v>68760.33</v>
      </c>
      <c r="I9" s="300">
        <f>compras_mes3[[#This Row],[NETO GRAVADO]]*0.21</f>
        <v>14439.6693</v>
      </c>
      <c r="J9" s="300"/>
      <c r="K9" s="300"/>
      <c r="L9" s="300"/>
      <c r="M9" s="300"/>
      <c r="N9" s="300"/>
      <c r="O9" s="300"/>
      <c r="P9" s="301">
        <f>SUM(compras_mes3[[#This Row],[NETO GRAVADO]:[Otros / No Grav.]])</f>
        <v>83199.999299999996</v>
      </c>
      <c r="Q9" s="302" t="str">
        <f>IFERROR(IF(compras_mes3[[#This Row],[CUIT]]="","-",VLOOKUP(compras_mes3[[#This Row],[CUIT]],Lista_CUIT[#All],3,0)),"CUIT NO CARGADO")</f>
        <v>Gastos Varios</v>
      </c>
      <c r="R9" s="302">
        <f>IFERROR(IF(compras_mes3[[#This Row],[CUIT]]="","-",VLOOKUP(compras_mes3[[#This Row],[CUIT]],Lista_CUIT[#All],4,0)),"CUIT NO CARGADO")</f>
        <v>0</v>
      </c>
    </row>
    <row r="10" spans="1:26" x14ac:dyDescent="0.25">
      <c r="B10" s="303" t="s">
        <v>2384</v>
      </c>
      <c r="C10" s="295">
        <v>1</v>
      </c>
      <c r="D10" s="304">
        <v>3</v>
      </c>
      <c r="E10" s="305">
        <v>10154</v>
      </c>
      <c r="F10" s="306">
        <v>27412102431</v>
      </c>
      <c r="G10" s="307" t="str">
        <f>IFERROR(IF(compras_mes3[[#This Row],[CUIT]]="","-",VLOOKUP(compras_mes3[[#This Row],[CUIT]],Lista_CUIT[#All],2,0)),"CUIT NO CARGADO")</f>
        <v>ALVEZ ARIANA SOL</v>
      </c>
      <c r="H10" s="308">
        <v>89223.14</v>
      </c>
      <c r="I10" s="300">
        <f>compras_mes3[[#This Row],[NETO GRAVADO]]*0.21</f>
        <v>18736.859399999998</v>
      </c>
      <c r="J10" s="309"/>
      <c r="K10" s="309"/>
      <c r="L10" s="309"/>
      <c r="M10" s="309"/>
      <c r="N10" s="309"/>
      <c r="O10" s="309"/>
      <c r="P10" s="301">
        <f>SUM(compras_mes3[[#This Row],[NETO GRAVADO]:[Otros / No Grav.]])</f>
        <v>107959.9994</v>
      </c>
      <c r="Q10" s="310" t="str">
        <f>IFERROR(IF(compras_mes3[[#This Row],[CUIT]]="","-",VLOOKUP(compras_mes3[[#This Row],[CUIT]],Lista_CUIT[#All],3,0)),"CUIT NO CARGADO")</f>
        <v>Software Mantenimiento</v>
      </c>
      <c r="R10" s="310">
        <f>IFERROR(IF(compras_mes3[[#This Row],[CUIT]]="","-",VLOOKUP(compras_mes3[[#This Row],[CUIT]],Lista_CUIT[#All],4,0)),"CUIT NO CARGADO")</f>
        <v>0</v>
      </c>
    </row>
    <row r="11" spans="1:26" x14ac:dyDescent="0.25">
      <c r="B11" s="303" t="s">
        <v>2395</v>
      </c>
      <c r="C11" s="295">
        <v>1</v>
      </c>
      <c r="D11" s="304">
        <v>50</v>
      </c>
      <c r="E11" s="305">
        <v>4243302</v>
      </c>
      <c r="F11" s="306">
        <v>30714112836</v>
      </c>
      <c r="G11" s="307" t="str">
        <f>IFERROR(IF(compras_mes3[[#This Row],[CUIT]]="","-",VLOOKUP(compras_mes3[[#This Row],[CUIT]],Lista_CUIT[#All],2,0)),"CUIT NO CARGADO")</f>
        <v>AUTOPISTAS DE BS AS</v>
      </c>
      <c r="H11" s="308">
        <v>53227.3</v>
      </c>
      <c r="I11" s="300">
        <f>compras_mes3[[#This Row],[NETO GRAVADO]]*0.21</f>
        <v>11177.733</v>
      </c>
      <c r="J11" s="309"/>
      <c r="K11" s="309"/>
      <c r="L11" s="309">
        <v>1596.82</v>
      </c>
      <c r="M11" s="309"/>
      <c r="N11" s="309"/>
      <c r="O11" s="309"/>
      <c r="P11" s="301">
        <f>SUM(compras_mes3[[#This Row],[NETO GRAVADO]:[Otros / No Grav.]])</f>
        <v>66001.853000000003</v>
      </c>
      <c r="Q11" s="310" t="str">
        <f>IFERROR(IF(compras_mes3[[#This Row],[CUIT]]="","-",VLOOKUP(compras_mes3[[#This Row],[CUIT]],Lista_CUIT[#All],3,0)),"CUIT NO CARGADO")</f>
        <v>Peajes</v>
      </c>
      <c r="R11" s="310">
        <f>IFERROR(IF(compras_mes3[[#This Row],[CUIT]]="","-",VLOOKUP(compras_mes3[[#This Row],[CUIT]],Lista_CUIT[#All],4,0)),"CUIT NO CARGADO")</f>
        <v>0</v>
      </c>
    </row>
    <row r="12" spans="1:26" x14ac:dyDescent="0.25">
      <c r="B12" s="294" t="s">
        <v>2404</v>
      </c>
      <c r="C12" s="295">
        <v>1</v>
      </c>
      <c r="D12" s="296">
        <v>50</v>
      </c>
      <c r="E12" s="462">
        <v>4206585</v>
      </c>
      <c r="F12" s="297">
        <v>30714112836</v>
      </c>
      <c r="G12" s="298" t="str">
        <f>IFERROR(IF(compras_mes3[[#This Row],[CUIT]]="","-",VLOOKUP(compras_mes3[[#This Row],[CUIT]],Lista_CUIT[#All],2,0)),"CUIT NO CARGADO")</f>
        <v>AUTOPISTAS DE BS AS</v>
      </c>
      <c r="H12" s="299">
        <v>39874.78</v>
      </c>
      <c r="I12" s="300">
        <f>compras_mes3[[#This Row],[NETO GRAVADO]]*0.21</f>
        <v>8373.7037999999993</v>
      </c>
      <c r="J12" s="300"/>
      <c r="K12" s="300"/>
      <c r="L12" s="300">
        <v>1196.24</v>
      </c>
      <c r="M12" s="300"/>
      <c r="N12" s="300"/>
      <c r="O12" s="300"/>
      <c r="P12" s="301">
        <f>SUM(compras_mes3[[#This Row],[NETO GRAVADO]:[Otros / No Grav.]])</f>
        <v>49444.7238</v>
      </c>
      <c r="Q12" s="302" t="str">
        <f>IFERROR(IF(compras_mes3[[#This Row],[CUIT]]="","-",VLOOKUP(compras_mes3[[#This Row],[CUIT]],Lista_CUIT[#All],3,0)),"CUIT NO CARGADO")</f>
        <v>Peajes</v>
      </c>
      <c r="R12" s="302">
        <f>IFERROR(IF(compras_mes3[[#This Row],[CUIT]]="","-",VLOOKUP(compras_mes3[[#This Row],[CUIT]],Lista_CUIT[#All],4,0)),"CUIT NO CARGADO")</f>
        <v>0</v>
      </c>
    </row>
    <row r="13" spans="1:26" x14ac:dyDescent="0.25">
      <c r="B13" s="294" t="s">
        <v>2396</v>
      </c>
      <c r="C13" s="295">
        <v>1</v>
      </c>
      <c r="D13" s="296">
        <v>711</v>
      </c>
      <c r="E13" s="462">
        <v>6814102</v>
      </c>
      <c r="F13" s="297">
        <v>30677237119</v>
      </c>
      <c r="G13" s="298" t="str">
        <f>IFERROR(IF(compras_mes3[[#This Row],[CUIT]]="","-",VLOOKUP(compras_mes3[[#This Row],[CUIT]],Lista_CUIT[#All],2,0)),"CUIT NO CARGADO")</f>
        <v>AUTOPISTAS DEL SOL S A</v>
      </c>
      <c r="H13" s="299">
        <v>11208.67</v>
      </c>
      <c r="I13" s="300">
        <f>compras_mes3[[#This Row],[NETO GRAVADO]]*0.21</f>
        <v>2353.8206999999998</v>
      </c>
      <c r="J13" s="300"/>
      <c r="K13" s="300"/>
      <c r="L13" s="300">
        <v>336.26</v>
      </c>
      <c r="M13" s="300"/>
      <c r="N13" s="300"/>
      <c r="O13" s="300">
        <v>336.26</v>
      </c>
      <c r="P13" s="301">
        <f>SUM(compras_mes3[[#This Row],[NETO GRAVADO]:[Otros / No Grav.]])</f>
        <v>14235.010700000001</v>
      </c>
      <c r="Q13" s="302" t="str">
        <f>IFERROR(IF(compras_mes3[[#This Row],[CUIT]]="","-",VLOOKUP(compras_mes3[[#This Row],[CUIT]],Lista_CUIT[#All],3,0)),"CUIT NO CARGADO")</f>
        <v>Peajes</v>
      </c>
      <c r="R13" s="302">
        <f>IFERROR(IF(compras_mes3[[#This Row],[CUIT]]="","-",VLOOKUP(compras_mes3[[#This Row],[CUIT]],Lista_CUIT[#All],4,0)),"CUIT NO CARGADO")</f>
        <v>0</v>
      </c>
    </row>
    <row r="14" spans="1:26" x14ac:dyDescent="0.25">
      <c r="B14" s="294" t="s">
        <v>2386</v>
      </c>
      <c r="C14" s="295">
        <v>1</v>
      </c>
      <c r="D14" s="296">
        <v>711</v>
      </c>
      <c r="E14" s="462">
        <v>6872526</v>
      </c>
      <c r="F14" s="297">
        <v>30677237119</v>
      </c>
      <c r="G14" s="298" t="str">
        <f>IFERROR(IF(compras_mes3[[#This Row],[CUIT]]="","-",VLOOKUP(compras_mes3[[#This Row],[CUIT]],Lista_CUIT[#All],2,0)),"CUIT NO CARGADO")</f>
        <v>AUTOPISTAS DEL SOL S A</v>
      </c>
      <c r="H14" s="299">
        <v>10573.09</v>
      </c>
      <c r="I14" s="300">
        <f>compras_mes3[[#This Row],[NETO GRAVADO]]*0.21</f>
        <v>2220.3489</v>
      </c>
      <c r="J14" s="300"/>
      <c r="K14" s="300"/>
      <c r="L14" s="300">
        <v>317.19</v>
      </c>
      <c r="M14" s="300"/>
      <c r="N14" s="85" t="s">
        <v>2411</v>
      </c>
      <c r="O14" s="300">
        <v>317.19</v>
      </c>
      <c r="P14" s="301">
        <f>SUM(compras_mes3[[#This Row],[NETO GRAVADO]:[Otros / No Grav.]])</f>
        <v>13427.818900000002</v>
      </c>
      <c r="Q14" s="302" t="str">
        <f>IFERROR(IF(compras_mes3[[#This Row],[CUIT]]="","-",VLOOKUP(compras_mes3[[#This Row],[CUIT]],Lista_CUIT[#All],3,0)),"CUIT NO CARGADO")</f>
        <v>Peajes</v>
      </c>
      <c r="R14" s="302">
        <f>IFERROR(IF(compras_mes3[[#This Row],[CUIT]]="","-",VLOOKUP(compras_mes3[[#This Row],[CUIT]],Lista_CUIT[#All],4,0)),"CUIT NO CARGADO")</f>
        <v>0</v>
      </c>
    </row>
    <row r="15" spans="1:26" x14ac:dyDescent="0.25">
      <c r="B15" s="303" t="s">
        <v>2395</v>
      </c>
      <c r="C15" s="295">
        <v>1</v>
      </c>
      <c r="D15" s="304">
        <v>5015</v>
      </c>
      <c r="E15" s="305">
        <v>802257</v>
      </c>
      <c r="F15" s="306">
        <v>30574876474</v>
      </c>
      <c r="G15" s="307" t="str">
        <f>IFERROR(IF(compras_mes3[[#This Row],[CUIT]]="","-",VLOOKUP(compras_mes3[[#This Row],[CUIT]],Lista_CUIT[#All],2,0)),"CUIT NO CARGADO")</f>
        <v>AUTOPISTAS URBANAS S A</v>
      </c>
      <c r="H15" s="308">
        <v>132464.07</v>
      </c>
      <c r="I15" s="300">
        <f>compras_mes3[[#This Row],[NETO GRAVADO]]*0.21</f>
        <v>27817.454700000002</v>
      </c>
      <c r="J15" s="309"/>
      <c r="K15" s="309"/>
      <c r="L15" s="309"/>
      <c r="M15" s="309"/>
      <c r="N15" s="309"/>
      <c r="O15" s="309">
        <v>17220.28</v>
      </c>
      <c r="P15" s="301">
        <f>SUM(compras_mes3[[#This Row],[NETO GRAVADO]:[Otros / No Grav.]])</f>
        <v>177501.80470000001</v>
      </c>
      <c r="Q15" s="310" t="str">
        <f>IFERROR(IF(compras_mes3[[#This Row],[CUIT]]="","-",VLOOKUP(compras_mes3[[#This Row],[CUIT]],Lista_CUIT[#All],3,0)),"CUIT NO CARGADO")</f>
        <v>Peajes</v>
      </c>
      <c r="R15" s="310">
        <f>IFERROR(IF(compras_mes3[[#This Row],[CUIT]]="","-",VLOOKUP(compras_mes3[[#This Row],[CUIT]],Lista_CUIT[#All],4,0)),"CUIT NO CARGADO")</f>
        <v>0</v>
      </c>
    </row>
    <row r="16" spans="1:26" x14ac:dyDescent="0.25">
      <c r="B16" s="294" t="s">
        <v>2404</v>
      </c>
      <c r="C16" s="295">
        <v>1</v>
      </c>
      <c r="D16" s="296">
        <v>5015</v>
      </c>
      <c r="E16" s="462">
        <v>782068</v>
      </c>
      <c r="F16" s="297">
        <v>30574876474</v>
      </c>
      <c r="G16" s="298" t="str">
        <f>IFERROR(IF(compras_mes3[[#This Row],[CUIT]]="","-",VLOOKUP(compras_mes3[[#This Row],[CUIT]],Lista_CUIT[#All],2,0)),"CUIT NO CARGADO")</f>
        <v>AUTOPISTAS URBANAS S A</v>
      </c>
      <c r="H16" s="299">
        <v>114941.7</v>
      </c>
      <c r="I16" s="300">
        <f>compras_mes3[[#This Row],[NETO GRAVADO]]*0.21</f>
        <v>24137.756999999998</v>
      </c>
      <c r="J16" s="300"/>
      <c r="K16" s="300"/>
      <c r="L16" s="300"/>
      <c r="M16" s="300"/>
      <c r="N16" s="300"/>
      <c r="O16" s="300">
        <v>14942.39</v>
      </c>
      <c r="P16" s="301">
        <f>SUM(compras_mes3[[#This Row],[NETO GRAVADO]:[Otros / No Grav.]])</f>
        <v>154021.84700000001</v>
      </c>
      <c r="Q16" s="302" t="str">
        <f>IFERROR(IF(compras_mes3[[#This Row],[CUIT]]="","-",VLOOKUP(compras_mes3[[#This Row],[CUIT]],Lista_CUIT[#All],3,0)),"CUIT NO CARGADO")</f>
        <v>Peajes</v>
      </c>
      <c r="R16" s="302">
        <f>IFERROR(IF(compras_mes3[[#This Row],[CUIT]]="","-",VLOOKUP(compras_mes3[[#This Row],[CUIT]],Lista_CUIT[#All],4,0)),"CUIT NO CARGADO")</f>
        <v>0</v>
      </c>
    </row>
    <row r="17" spans="2:18" x14ac:dyDescent="0.25">
      <c r="B17" s="294" t="s">
        <v>2408</v>
      </c>
      <c r="C17" s="295">
        <v>1</v>
      </c>
      <c r="D17" s="296">
        <v>5015</v>
      </c>
      <c r="E17" s="462">
        <v>795254</v>
      </c>
      <c r="F17" s="297">
        <v>30574876474</v>
      </c>
      <c r="G17" s="298" t="str">
        <f>IFERROR(IF(compras_mes3[[#This Row],[CUIT]]="","-",VLOOKUP(compras_mes3[[#This Row],[CUIT]],Lista_CUIT[#All],2,0)),"CUIT NO CARGADO")</f>
        <v>AUTOPISTAS URBANAS S A</v>
      </c>
      <c r="H17" s="299">
        <v>85345.81</v>
      </c>
      <c r="I17" s="300">
        <f>compras_mes3[[#This Row],[NETO GRAVADO]]*0.21</f>
        <v>17922.6201</v>
      </c>
      <c r="J17" s="300"/>
      <c r="K17" s="300"/>
      <c r="L17" s="300"/>
      <c r="M17" s="300"/>
      <c r="N17" s="300"/>
      <c r="O17" s="300">
        <v>11095.16</v>
      </c>
      <c r="P17" s="301">
        <f>SUM(compras_mes3[[#This Row],[NETO GRAVADO]:[Otros / No Grav.]])</f>
        <v>114363.5901</v>
      </c>
      <c r="Q17" s="302" t="str">
        <f>IFERROR(IF(compras_mes3[[#This Row],[CUIT]]="","-",VLOOKUP(compras_mes3[[#This Row],[CUIT]],Lista_CUIT[#All],3,0)),"CUIT NO CARGADO")</f>
        <v>Peajes</v>
      </c>
      <c r="R17" s="302">
        <f>IFERROR(IF(compras_mes3[[#This Row],[CUIT]]="","-",VLOOKUP(compras_mes3[[#This Row],[CUIT]],Lista_CUIT[#All],4,0)),"CUIT NO CARGADO")</f>
        <v>0</v>
      </c>
    </row>
    <row r="18" spans="2:18" x14ac:dyDescent="0.25">
      <c r="B18" s="294" t="s">
        <v>2401</v>
      </c>
      <c r="C18" s="295">
        <v>1</v>
      </c>
      <c r="D18" s="296">
        <v>5015</v>
      </c>
      <c r="E18" s="462">
        <v>779008</v>
      </c>
      <c r="F18" s="297">
        <v>30574876474</v>
      </c>
      <c r="G18" s="298" t="str">
        <f>IFERROR(IF(compras_mes3[[#This Row],[CUIT]]="","-",VLOOKUP(compras_mes3[[#This Row],[CUIT]],Lista_CUIT[#All],2,0)),"CUIT NO CARGADO")</f>
        <v>AUTOPISTAS URBANAS S A</v>
      </c>
      <c r="H18" s="299">
        <v>64477.81</v>
      </c>
      <c r="I18" s="300">
        <f>compras_mes3[[#This Row],[NETO GRAVADO]]*0.21</f>
        <v>13540.340099999999</v>
      </c>
      <c r="J18" s="300"/>
      <c r="K18" s="300"/>
      <c r="L18" s="300"/>
      <c r="M18" s="300"/>
      <c r="N18" s="300"/>
      <c r="O18" s="300">
        <v>8382.1</v>
      </c>
      <c r="P18" s="301">
        <f>SUM(compras_mes3[[#This Row],[NETO GRAVADO]:[Otros / No Grav.]])</f>
        <v>86400.250100000005</v>
      </c>
      <c r="Q18" s="302" t="str">
        <f>IFERROR(IF(compras_mes3[[#This Row],[CUIT]]="","-",VLOOKUP(compras_mes3[[#This Row],[CUIT]],Lista_CUIT[#All],3,0)),"CUIT NO CARGADO")</f>
        <v>Peajes</v>
      </c>
      <c r="R18" s="302">
        <f>IFERROR(IF(compras_mes3[[#This Row],[CUIT]]="","-",VLOOKUP(compras_mes3[[#This Row],[CUIT]],Lista_CUIT[#All],4,0)),"CUIT NO CARGADO")</f>
        <v>0</v>
      </c>
    </row>
    <row r="19" spans="2:18" x14ac:dyDescent="0.25">
      <c r="B19" s="303" t="s">
        <v>2409</v>
      </c>
      <c r="C19" s="295">
        <v>1</v>
      </c>
      <c r="D19" s="304">
        <v>30</v>
      </c>
      <c r="E19" s="305">
        <v>183850</v>
      </c>
      <c r="F19" s="306">
        <v>30695056342</v>
      </c>
      <c r="G19" s="307" t="str">
        <f>IFERROR(IF(compras_mes3[[#This Row],[CUIT]]="","-",VLOOKUP(compras_mes3[[#This Row],[CUIT]],Lista_CUIT[#All],2,0)),"CUIT NO CARGADO")</f>
        <v>AVENIDA MAIPU 4199 S C S</v>
      </c>
      <c r="H19" s="308">
        <v>10366.94</v>
      </c>
      <c r="I19" s="300">
        <f>compras_mes3[[#This Row],[NETO GRAVADO]]*0.21</f>
        <v>2177.0574000000001</v>
      </c>
      <c r="J19" s="309"/>
      <c r="K19" s="309"/>
      <c r="L19" s="309"/>
      <c r="M19" s="309"/>
      <c r="N19" s="309"/>
      <c r="O19" s="309"/>
      <c r="P19" s="312">
        <f>SUM(compras_mes3[[#This Row],[NETO GRAVADO]:[Otros / No Grav.]])</f>
        <v>12543.9974</v>
      </c>
      <c r="Q19" s="310" t="str">
        <f>IFERROR(IF(compras_mes3[[#This Row],[CUIT]]="","-",VLOOKUP(compras_mes3[[#This Row],[CUIT]],Lista_CUIT[#All],3,0)),"CUIT NO CARGADO")</f>
        <v>Gastos Cosmetica</v>
      </c>
      <c r="R19" s="310">
        <f>IFERROR(IF(compras_mes3[[#This Row],[CUIT]]="","-",VLOOKUP(compras_mes3[[#This Row],[CUIT]],Lista_CUIT[#All],4,0)),"CUIT NO CARGADO")</f>
        <v>0</v>
      </c>
    </row>
    <row r="20" spans="2:18" x14ac:dyDescent="0.25">
      <c r="B20" s="303">
        <v>45733</v>
      </c>
      <c r="C20" s="295">
        <v>1</v>
      </c>
      <c r="D20" s="304">
        <v>106</v>
      </c>
      <c r="E20" s="305">
        <v>10303761</v>
      </c>
      <c r="F20" s="306">
        <v>30709565075</v>
      </c>
      <c r="G20" s="307" t="str">
        <f>IFERROR(IF(compras_mes3[[#This Row],[CUIT]]="","-",VLOOKUP(compras_mes3[[#This Row],[CUIT]],Lista_CUIT[#All],2,0)),"CUIT NO CARGADO")</f>
        <v>AYSA S.A</v>
      </c>
      <c r="H20" s="308">
        <v>85708.684814453096</v>
      </c>
      <c r="I20" s="85" t="s">
        <v>2411</v>
      </c>
      <c r="J20" s="309">
        <f>compras_mes3[[#This Row],[NETO GRAVADO]]*0.27</f>
        <v>23141.344899902339</v>
      </c>
      <c r="K20" s="309"/>
      <c r="L20" s="309">
        <v>2571.26000976563</v>
      </c>
      <c r="M20" s="309"/>
      <c r="N20" s="309"/>
      <c r="O20" s="309">
        <v>1534.18994140625</v>
      </c>
      <c r="P20" s="301">
        <f>SUM(compras_mes3[[#This Row],[NETO GRAVADO]:[Otros / No Grav.]])</f>
        <v>112955.47966552731</v>
      </c>
      <c r="Q20" s="310" t="str">
        <f>IFERROR(IF(compras_mes3[[#This Row],[CUIT]]="","-",VLOOKUP(compras_mes3[[#This Row],[CUIT]],Lista_CUIT[#All],3,0)),"CUIT NO CARGADO")</f>
        <v>Servicios Gas, Luz, etc.</v>
      </c>
      <c r="R20" s="310">
        <f>IFERROR(IF(compras_mes3[[#This Row],[CUIT]]="","-",VLOOKUP(compras_mes3[[#This Row],[CUIT]],Lista_CUIT[#All],4,0)),"CUIT NO CARGADO")</f>
        <v>0</v>
      </c>
    </row>
    <row r="21" spans="2:18" x14ac:dyDescent="0.25">
      <c r="B21" s="303">
        <v>45729</v>
      </c>
      <c r="C21" s="295">
        <v>1</v>
      </c>
      <c r="D21" s="304">
        <v>110</v>
      </c>
      <c r="E21" s="305">
        <v>54731370</v>
      </c>
      <c r="F21" s="306">
        <v>30709565075</v>
      </c>
      <c r="G21" s="307" t="str">
        <f>IFERROR(IF(compras_mes3[[#This Row],[CUIT]]="","-",VLOOKUP(compras_mes3[[#This Row],[CUIT]],Lista_CUIT[#All],2,0)),"CUIT NO CARGADO")</f>
        <v>AYSA S.A</v>
      </c>
      <c r="H21" s="308">
        <v>32933.557373046897</v>
      </c>
      <c r="I21" s="309">
        <f>compras_mes3[[#This Row],[NETO GRAVADO]]*0.21</f>
        <v>6916.0470483398485</v>
      </c>
      <c r="J21" s="309"/>
      <c r="K21" s="309"/>
      <c r="L21" s="309"/>
      <c r="M21" s="309"/>
      <c r="N21" s="309"/>
      <c r="O21" s="309">
        <v>589.510009765625</v>
      </c>
      <c r="P21" s="301">
        <f>SUM(compras_mes3[[#This Row],[NETO GRAVADO]:[Otros / No Grav.]])</f>
        <v>40439.114431152368</v>
      </c>
      <c r="Q21" s="310" t="str">
        <f>IFERROR(IF(compras_mes3[[#This Row],[CUIT]]="","-",VLOOKUP(compras_mes3[[#This Row],[CUIT]],Lista_CUIT[#All],3,0)),"CUIT NO CARGADO")</f>
        <v>Servicios Gas, Luz, etc.</v>
      </c>
      <c r="R21" s="310">
        <f>IFERROR(IF(compras_mes3[[#This Row],[CUIT]]="","-",VLOOKUP(compras_mes3[[#This Row],[CUIT]],Lista_CUIT[#All],4,0)),"CUIT NO CARGADO")</f>
        <v>0</v>
      </c>
    </row>
    <row r="22" spans="2:18" x14ac:dyDescent="0.25">
      <c r="B22" s="303" t="s">
        <v>2399</v>
      </c>
      <c r="C22" s="295">
        <v>1</v>
      </c>
      <c r="D22" s="304">
        <v>2</v>
      </c>
      <c r="E22" s="305">
        <v>296</v>
      </c>
      <c r="F22" s="306">
        <v>27309896063</v>
      </c>
      <c r="G22" s="307" t="str">
        <f>IFERROR(IF(compras_mes3[[#This Row],[CUIT]]="","-",VLOOKUP(compras_mes3[[#This Row],[CUIT]],Lista_CUIT[#All],2,0)),"CUIT NO CARGADO")</f>
        <v>BATTELLINI MARIA SOLEDAD</v>
      </c>
      <c r="H22" s="308">
        <v>550000</v>
      </c>
      <c r="I22" s="300">
        <f>compras_mes3[[#This Row],[NETO GRAVADO]]*0.21</f>
        <v>115500</v>
      </c>
      <c r="J22" s="309"/>
      <c r="K22" s="309"/>
      <c r="L22" s="309"/>
      <c r="M22" s="309"/>
      <c r="N22" s="309"/>
      <c r="O22" s="309"/>
      <c r="P22" s="301">
        <f>SUM(compras_mes3[[#This Row],[NETO GRAVADO]:[Otros / No Grav.]])</f>
        <v>665500</v>
      </c>
      <c r="Q22" s="310" t="str">
        <f>IFERROR(IF(compras_mes3[[#This Row],[CUIT]]="","-",VLOOKUP(compras_mes3[[#This Row],[CUIT]],Lista_CUIT[#All],3,0)),"CUIT NO CARGADO")</f>
        <v>Alquiler</v>
      </c>
      <c r="R22" s="310">
        <f>IFERROR(IF(compras_mes3[[#This Row],[CUIT]]="","-",VLOOKUP(compras_mes3[[#This Row],[CUIT]],Lista_CUIT[#All],4,0)),"CUIT NO CARGADO")</f>
        <v>0</v>
      </c>
    </row>
    <row r="23" spans="2:18" x14ac:dyDescent="0.25">
      <c r="B23" s="303" t="s">
        <v>2394</v>
      </c>
      <c r="C23" s="295">
        <v>1</v>
      </c>
      <c r="D23" s="304">
        <v>503</v>
      </c>
      <c r="E23" s="305">
        <v>1799272</v>
      </c>
      <c r="F23" s="306">
        <v>30639935872</v>
      </c>
      <c r="G23" s="307" t="str">
        <f>IFERROR(IF(compras_mes3[[#This Row],[CUIT]]="","-",VLOOKUP(compras_mes3[[#This Row],[CUIT]],Lista_CUIT[#All],2,0)),"CUIT NO CARGADO")</f>
        <v>CAMINOS DEL RIO URUGUAY S A DE CONSTRUCCIONES Y CONCESIONES VIALES</v>
      </c>
      <c r="H23" s="308">
        <v>3471.36</v>
      </c>
      <c r="I23" s="300">
        <f>compras_mes3[[#This Row],[NETO GRAVADO]]*0.21</f>
        <v>728.98559999999998</v>
      </c>
      <c r="J23" s="309"/>
      <c r="K23" s="309"/>
      <c r="L23" s="309"/>
      <c r="M23" s="309"/>
      <c r="N23" s="309">
        <v>208.28</v>
      </c>
      <c r="O23" s="309"/>
      <c r="P23" s="301">
        <f>SUM(compras_mes3[[#This Row],[NETO GRAVADO]:[Otros / No Grav.]])</f>
        <v>4408.6256000000003</v>
      </c>
      <c r="Q23" s="310" t="str">
        <f>IFERROR(IF(compras_mes3[[#This Row],[CUIT]]="","-",VLOOKUP(compras_mes3[[#This Row],[CUIT]],Lista_CUIT[#All],3,0)),"CUIT NO CARGADO")</f>
        <v>Peajes</v>
      </c>
      <c r="R23" s="310">
        <f>IFERROR(IF(compras_mes3[[#This Row],[CUIT]]="","-",VLOOKUP(compras_mes3[[#This Row],[CUIT]],Lista_CUIT[#All],4,0)),"CUIT NO CARGADO")</f>
        <v>0</v>
      </c>
    </row>
    <row r="24" spans="2:18" x14ac:dyDescent="0.25">
      <c r="B24" s="294" t="s">
        <v>2402</v>
      </c>
      <c r="C24" s="295">
        <v>1</v>
      </c>
      <c r="D24" s="296">
        <v>4</v>
      </c>
      <c r="E24" s="462">
        <v>33</v>
      </c>
      <c r="F24" s="297">
        <v>20262815367</v>
      </c>
      <c r="G24" s="298" t="str">
        <f>IFERROR(IF(compras_mes3[[#This Row],[CUIT]]="","-",VLOOKUP(compras_mes3[[#This Row],[CUIT]],Lista_CUIT[#All],2,0)),"CUIT NO CARGADO")</f>
        <v>CARDARELLO BASAVILBASO FEDERICO JORGE</v>
      </c>
      <c r="H24" s="299">
        <v>13388.43</v>
      </c>
      <c r="I24" s="300">
        <f>compras_mes3[[#This Row],[NETO GRAVADO]]*0.21</f>
        <v>2811.5702999999999</v>
      </c>
      <c r="J24" s="300"/>
      <c r="K24" s="300"/>
      <c r="L24" s="300"/>
      <c r="M24" s="300"/>
      <c r="N24" s="300"/>
      <c r="O24" s="300"/>
      <c r="P24" s="301">
        <f>SUM(compras_mes3[[#This Row],[NETO GRAVADO]:[Otros / No Grav.]])</f>
        <v>16200.0003</v>
      </c>
      <c r="Q24" s="302" t="str">
        <f>IFERROR(IF(compras_mes3[[#This Row],[CUIT]]="","-",VLOOKUP(compras_mes3[[#This Row],[CUIT]],Lista_CUIT[#All],3,0)),"CUIT NO CARGADO")</f>
        <v>Gastos Varios</v>
      </c>
      <c r="R24" s="302">
        <f>IFERROR(IF(compras_mes3[[#This Row],[CUIT]]="","-",VLOOKUP(compras_mes3[[#This Row],[CUIT]],Lista_CUIT[#All],4,0)),"CUIT NO CARGADO")</f>
        <v>0</v>
      </c>
    </row>
    <row r="25" spans="2:18" x14ac:dyDescent="0.25">
      <c r="B25" s="294" t="s">
        <v>2403</v>
      </c>
      <c r="C25" s="295">
        <v>1</v>
      </c>
      <c r="D25" s="296">
        <v>6</v>
      </c>
      <c r="E25" s="462">
        <v>7518</v>
      </c>
      <c r="F25" s="297">
        <v>30717381242</v>
      </c>
      <c r="G25" s="298" t="str">
        <f>IFERROR(IF(compras_mes3[[#This Row],[CUIT]]="","-",VLOOKUP(compras_mes3[[#This Row],[CUIT]],Lista_CUIT[#All],2,0)),"CUIT NO CARGADO")</f>
        <v>CASA MAYO GROUP S.R.L.</v>
      </c>
      <c r="H25" s="299">
        <v>88085.95</v>
      </c>
      <c r="I25" s="300">
        <f>compras_mes3[[#This Row],[NETO GRAVADO]]*0.21</f>
        <v>18498.049499999997</v>
      </c>
      <c r="J25" s="300"/>
      <c r="K25" s="300"/>
      <c r="L25" s="300"/>
      <c r="M25" s="300"/>
      <c r="N25" s="300"/>
      <c r="O25" s="300"/>
      <c r="P25" s="301">
        <f>SUM(compras_mes3[[#This Row],[NETO GRAVADO]:[Otros / No Grav.]])</f>
        <v>106583.99949999999</v>
      </c>
      <c r="Q25" s="302" t="str">
        <f>IFERROR(IF(compras_mes3[[#This Row],[CUIT]]="","-",VLOOKUP(compras_mes3[[#This Row],[CUIT]],Lista_CUIT[#All],3,0)),"CUIT NO CARGADO")</f>
        <v>Material de Empaque</v>
      </c>
      <c r="R25" s="302">
        <f>IFERROR(IF(compras_mes3[[#This Row],[CUIT]]="","-",VLOOKUP(compras_mes3[[#This Row],[CUIT]],Lista_CUIT[#All],4,0)),"CUIT NO CARGADO")</f>
        <v>0</v>
      </c>
    </row>
    <row r="26" spans="2:18" x14ac:dyDescent="0.25">
      <c r="B26" s="294" t="s">
        <v>2387</v>
      </c>
      <c r="C26" s="295">
        <v>1</v>
      </c>
      <c r="D26" s="296">
        <v>6</v>
      </c>
      <c r="E26" s="462">
        <v>7586</v>
      </c>
      <c r="F26" s="297">
        <v>30717381242</v>
      </c>
      <c r="G26" s="298" t="str">
        <f>IFERROR(IF(compras_mes3[[#This Row],[CUIT]]="","-",VLOOKUP(compras_mes3[[#This Row],[CUIT]],Lista_CUIT[#All],2,0)),"CUIT NO CARGADO")</f>
        <v>CASA MAYO GROUP S.R.L.</v>
      </c>
      <c r="H26" s="299">
        <v>83882.64</v>
      </c>
      <c r="I26" s="300">
        <f>compras_mes3[[#This Row],[NETO GRAVADO]]*0.21</f>
        <v>17615.3544</v>
      </c>
      <c r="J26" s="300"/>
      <c r="K26" s="300"/>
      <c r="L26" s="300"/>
      <c r="M26" s="300"/>
      <c r="N26" s="300"/>
      <c r="O26" s="300"/>
      <c r="P26" s="301">
        <f>SUM(compras_mes3[[#This Row],[NETO GRAVADO]:[Otros / No Grav.]])</f>
        <v>101497.9944</v>
      </c>
      <c r="Q26" s="302" t="str">
        <f>IFERROR(IF(compras_mes3[[#This Row],[CUIT]]="","-",VLOOKUP(compras_mes3[[#This Row],[CUIT]],Lista_CUIT[#All],3,0)),"CUIT NO CARGADO")</f>
        <v>Material de Empaque</v>
      </c>
      <c r="R26" s="302">
        <f>IFERROR(IF(compras_mes3[[#This Row],[CUIT]]="","-",VLOOKUP(compras_mes3[[#This Row],[CUIT]],Lista_CUIT[#All],4,0)),"CUIT NO CARGADO")</f>
        <v>0</v>
      </c>
    </row>
    <row r="27" spans="2:18" x14ac:dyDescent="0.25">
      <c r="B27" s="294" t="s">
        <v>2404</v>
      </c>
      <c r="C27" s="295">
        <v>1</v>
      </c>
      <c r="D27" s="296">
        <v>8823</v>
      </c>
      <c r="E27" s="462">
        <v>7750</v>
      </c>
      <c r="F27" s="297">
        <v>30590360763</v>
      </c>
      <c r="G27" s="298" t="str">
        <f>IFERROR(IF(compras_mes3[[#This Row],[CUIT]]="","-",VLOOKUP(compras_mes3[[#This Row],[CUIT]],Lista_CUIT[#All],2,0)),"CUIT NO CARGADO")</f>
        <v>CENCOSUD S.A</v>
      </c>
      <c r="H27" s="299">
        <v>5780.99</v>
      </c>
      <c r="I27" s="300">
        <f>compras_mes3[[#This Row],[NETO GRAVADO]]*0.21</f>
        <v>1214.0078999999998</v>
      </c>
      <c r="J27" s="300"/>
      <c r="K27" s="300"/>
      <c r="L27" s="300">
        <v>173.43</v>
      </c>
      <c r="M27" s="300"/>
      <c r="N27" s="300">
        <v>346.86</v>
      </c>
      <c r="O27" s="300"/>
      <c r="P27" s="301">
        <f>SUM(compras_mes3[[#This Row],[NETO GRAVADO]:[Otros / No Grav.]])</f>
        <v>7515.2878999999994</v>
      </c>
      <c r="Q27" s="302" t="str">
        <f>IFERROR(IF(compras_mes3[[#This Row],[CUIT]]="","-",VLOOKUP(compras_mes3[[#This Row],[CUIT]],Lista_CUIT[#All],3,0)),"CUIT NO CARGADO")</f>
        <v>Gastos Varios</v>
      </c>
      <c r="R27" s="302">
        <f>IFERROR(IF(compras_mes3[[#This Row],[CUIT]]="","-",VLOOKUP(compras_mes3[[#This Row],[CUIT]],Lista_CUIT[#All],4,0)),"CUIT NO CARGADO")</f>
        <v>0</v>
      </c>
    </row>
    <row r="28" spans="2:18" x14ac:dyDescent="0.25">
      <c r="B28" s="294" t="s">
        <v>2409</v>
      </c>
      <c r="C28" s="295">
        <v>1</v>
      </c>
      <c r="D28" s="296">
        <v>9</v>
      </c>
      <c r="E28" s="462">
        <v>2835</v>
      </c>
      <c r="F28" s="297">
        <v>30715683446</v>
      </c>
      <c r="G28" s="298" t="str">
        <f>IFERROR(IF(compras_mes3[[#This Row],[CUIT]]="","-",VLOOKUP(compras_mes3[[#This Row],[CUIT]],Lista_CUIT[#All],2,0)),"CUIT NO CARGADO")</f>
        <v>CENTRAL MAYORISTA S R L</v>
      </c>
      <c r="H28" s="299">
        <v>4578.33</v>
      </c>
      <c r="I28" s="300">
        <f>compras_mes3[[#This Row],[NETO GRAVADO]]*0.21</f>
        <v>961.44929999999999</v>
      </c>
      <c r="J28" s="300"/>
      <c r="K28" s="300"/>
      <c r="L28" s="300"/>
      <c r="M28" s="300"/>
      <c r="N28" s="300"/>
      <c r="O28" s="300"/>
      <c r="P28" s="301">
        <f>SUM(compras_mes3[[#This Row],[NETO GRAVADO]:[Otros / No Grav.]])</f>
        <v>5539.7793000000001</v>
      </c>
      <c r="Q28" s="302" t="str">
        <f>IFERROR(IF(compras_mes3[[#This Row],[CUIT]]="","-",VLOOKUP(compras_mes3[[#This Row],[CUIT]],Lista_CUIT[#All],3,0)),"CUIT NO CARGADO")</f>
        <v>LIBRERÍA</v>
      </c>
      <c r="R28" s="302">
        <f>IFERROR(IF(compras_mes3[[#This Row],[CUIT]]="","-",VLOOKUP(compras_mes3[[#This Row],[CUIT]],Lista_CUIT[#All],4,0)),"CUIT NO CARGADO")</f>
        <v>0</v>
      </c>
    </row>
    <row r="29" spans="2:18" x14ac:dyDescent="0.25">
      <c r="B29" s="294" t="s">
        <v>2396</v>
      </c>
      <c r="C29" s="295">
        <v>1</v>
      </c>
      <c r="D29" s="296">
        <v>1</v>
      </c>
      <c r="E29" s="462">
        <v>594</v>
      </c>
      <c r="F29" s="297">
        <v>20131206144</v>
      </c>
      <c r="G29" s="298" t="str">
        <f>IFERROR(IF(compras_mes3[[#This Row],[CUIT]]="","-",VLOOKUP(compras_mes3[[#This Row],[CUIT]],Lista_CUIT[#All],2,0)),"CUIT NO CARGADO")</f>
        <v>CHAMORRO MANUEL</v>
      </c>
      <c r="H29" s="299">
        <v>1009489</v>
      </c>
      <c r="I29" s="300">
        <f>compras_mes3[[#This Row],[NETO GRAVADO]]*0.21</f>
        <v>211992.69</v>
      </c>
      <c r="J29" s="300"/>
      <c r="K29" s="300"/>
      <c r="L29" s="300"/>
      <c r="M29" s="300"/>
      <c r="N29" s="300"/>
      <c r="O29" s="300"/>
      <c r="P29" s="301">
        <f>SUM(compras_mes3[[#This Row],[NETO GRAVADO]:[Otros / No Grav.]])</f>
        <v>1221481.69</v>
      </c>
      <c r="Q29" s="302" t="str">
        <f>IFERROR(IF(compras_mes3[[#This Row],[CUIT]]="","-",VLOOKUP(compras_mes3[[#This Row],[CUIT]],Lista_CUIT[#All],3,0)),"CUIT NO CARGADO")</f>
        <v>Alquiler</v>
      </c>
      <c r="R29" s="302">
        <f>IFERROR(IF(compras_mes3[[#This Row],[CUIT]]="","-",VLOOKUP(compras_mes3[[#This Row],[CUIT]],Lista_CUIT[#All],4,0)),"CUIT NO CARGADO")</f>
        <v>0</v>
      </c>
    </row>
    <row r="30" spans="2:18" x14ac:dyDescent="0.25">
      <c r="B30" s="294" t="s">
        <v>2403</v>
      </c>
      <c r="C30" s="295">
        <v>1</v>
      </c>
      <c r="D30" s="296">
        <v>5</v>
      </c>
      <c r="E30" s="462">
        <v>14698</v>
      </c>
      <c r="F30" s="297">
        <v>30717970787</v>
      </c>
      <c r="G30" s="298" t="str">
        <f>IFERROR(IF(compras_mes3[[#This Row],[CUIT]]="","-",VLOOKUP(compras_mes3[[#This Row],[CUIT]],Lista_CUIT[#All],2,0)),"CUIT NO CARGADO")</f>
        <v>CIUDAD DE JUEGOS S. R. L.</v>
      </c>
      <c r="H30" s="299">
        <v>390406.33</v>
      </c>
      <c r="I30" s="300"/>
      <c r="J30" s="300"/>
      <c r="K30" s="300">
        <f>compras_mes3[[#This Row],[NETO GRAVADO]]*0.105</f>
        <v>40992.664649999999</v>
      </c>
      <c r="L30" s="300"/>
      <c r="M30" s="300"/>
      <c r="N30" s="300"/>
      <c r="O30" s="300"/>
      <c r="P30" s="301">
        <f>SUM(compras_mes3[[#This Row],[NETO GRAVADO]:[Otros / No Grav.]])</f>
        <v>431398.99465000001</v>
      </c>
      <c r="Q30" s="302" t="str">
        <f>IFERROR(IF(compras_mes3[[#This Row],[CUIT]]="","-",VLOOKUP(compras_mes3[[#This Row],[CUIT]],Lista_CUIT[#All],3,0)),"CUIT NO CARGADO")</f>
        <v>Gastos Oficina</v>
      </c>
      <c r="R30" s="302">
        <f>IFERROR(IF(compras_mes3[[#This Row],[CUIT]]="","-",VLOOKUP(compras_mes3[[#This Row],[CUIT]],Lista_CUIT[#All],4,0)),"CUIT NO CARGADO")</f>
        <v>0</v>
      </c>
    </row>
    <row r="31" spans="2:18" x14ac:dyDescent="0.25">
      <c r="B31" s="294" t="s">
        <v>2403</v>
      </c>
      <c r="C31" s="295">
        <v>1</v>
      </c>
      <c r="D31" s="296">
        <v>6</v>
      </c>
      <c r="E31" s="462">
        <v>3466</v>
      </c>
      <c r="F31" s="297">
        <v>30574603788</v>
      </c>
      <c r="G31" s="298" t="str">
        <f>IFERROR(IF(compras_mes3[[#This Row],[CUIT]]="","-",VLOOKUP(compras_mes3[[#This Row],[CUIT]],Lista_CUIT[#All],2,0)),"CUIT NO CARGADO")</f>
        <v>CODAC SRL</v>
      </c>
      <c r="H31" s="299">
        <v>2810077</v>
      </c>
      <c r="I31" s="300">
        <f>compras_mes3[[#This Row],[NETO GRAVADO]]*0.21</f>
        <v>590116.16999999993</v>
      </c>
      <c r="J31" s="300"/>
      <c r="K31" s="300"/>
      <c r="L31" s="300"/>
      <c r="M31" s="300"/>
      <c r="N31" s="300"/>
      <c r="O31" s="300"/>
      <c r="P31" s="301">
        <f>SUM(compras_mes3[[#This Row],[NETO GRAVADO]:[Otros / No Grav.]])</f>
        <v>3400193.17</v>
      </c>
      <c r="Q31" s="302" t="str">
        <f>IFERROR(IF(compras_mes3[[#This Row],[CUIT]]="","-",VLOOKUP(compras_mes3[[#This Row],[CUIT]],Lista_CUIT[#All],3,0)),"CUIT NO CARGADO")</f>
        <v>Productos Venta</v>
      </c>
      <c r="R31" s="302" t="str">
        <f>IFERROR(IF(compras_mes3[[#This Row],[CUIT]]="","-",VLOOKUP(compras_mes3[[#This Row],[CUIT]],Lista_CUIT[#All],4,0)),"CUIT NO CARGADO")</f>
        <v>BUENOS AIRES</v>
      </c>
    </row>
    <row r="32" spans="2:18" x14ac:dyDescent="0.25">
      <c r="B32" s="294" t="s">
        <v>2381</v>
      </c>
      <c r="C32" s="295">
        <v>1</v>
      </c>
      <c r="D32" s="296">
        <v>6</v>
      </c>
      <c r="E32" s="462">
        <v>3461</v>
      </c>
      <c r="F32" s="297">
        <v>30574603788</v>
      </c>
      <c r="G32" s="298" t="str">
        <f>IFERROR(IF(compras_mes3[[#This Row],[CUIT]]="","-",VLOOKUP(compras_mes3[[#This Row],[CUIT]],Lista_CUIT[#All],2,0)),"CUIT NO CARGADO")</f>
        <v>CODAC SRL</v>
      </c>
      <c r="H32" s="299">
        <v>557336</v>
      </c>
      <c r="I32" s="300">
        <f>compras_mes3[[#This Row],[NETO GRAVADO]]*0.21</f>
        <v>117040.56</v>
      </c>
      <c r="J32" s="300"/>
      <c r="K32" s="300"/>
      <c r="L32" s="300"/>
      <c r="M32" s="300"/>
      <c r="N32" s="300"/>
      <c r="O32" s="300"/>
      <c r="P32" s="301">
        <f>SUM(compras_mes3[[#This Row],[NETO GRAVADO]:[Otros / No Grav.]])</f>
        <v>674376.56</v>
      </c>
      <c r="Q32" s="302" t="str">
        <f>IFERROR(IF(compras_mes3[[#This Row],[CUIT]]="","-",VLOOKUP(compras_mes3[[#This Row],[CUIT]],Lista_CUIT[#All],3,0)),"CUIT NO CARGADO")</f>
        <v>Productos Venta</v>
      </c>
      <c r="R32" s="302" t="str">
        <f>IFERROR(IF(compras_mes3[[#This Row],[CUIT]]="","-",VLOOKUP(compras_mes3[[#This Row],[CUIT]],Lista_CUIT[#All],4,0)),"CUIT NO CARGADO")</f>
        <v>BUENOS AIRES</v>
      </c>
    </row>
    <row r="33" spans="2:18" x14ac:dyDescent="0.25">
      <c r="B33" s="294" t="s">
        <v>2404</v>
      </c>
      <c r="C33" s="295">
        <v>1</v>
      </c>
      <c r="D33" s="296">
        <v>113</v>
      </c>
      <c r="E33" s="462">
        <v>4124114</v>
      </c>
      <c r="F33" s="297">
        <v>30577207190</v>
      </c>
      <c r="G33" s="298" t="str">
        <f>IFERROR(IF(compras_mes3[[#This Row],[CUIT]]="","-",VLOOKUP(compras_mes3[[#This Row],[CUIT]],Lista_CUIT[#All],2,0)),"CUIT NO CARGADO")</f>
        <v>COORDINACION ECOLOGICA AREA METROPOLITANA SOCIEDAD DEL ESTADO</v>
      </c>
      <c r="H33" s="299">
        <v>3719.01</v>
      </c>
      <c r="I33" s="300">
        <f>compras_mes3[[#This Row],[NETO GRAVADO]]*0.21</f>
        <v>780.99210000000005</v>
      </c>
      <c r="J33" s="300"/>
      <c r="K33" s="300"/>
      <c r="L33" s="300">
        <v>111.57</v>
      </c>
      <c r="M33" s="300"/>
      <c r="N33" s="300"/>
      <c r="O33" s="300"/>
      <c r="P33" s="301">
        <f>SUM(compras_mes3[[#This Row],[NETO GRAVADO]:[Otros / No Grav.]])</f>
        <v>4611.5721000000003</v>
      </c>
      <c r="Q33" s="302" t="str">
        <f>IFERROR(IF(compras_mes3[[#This Row],[CUIT]]="","-",VLOOKUP(compras_mes3[[#This Row],[CUIT]],Lista_CUIT[#All],3,0)),"CUIT NO CARGADO")</f>
        <v>Gastos Limpieza</v>
      </c>
      <c r="R33" s="302">
        <f>IFERROR(IF(compras_mes3[[#This Row],[CUIT]]="","-",VLOOKUP(compras_mes3[[#This Row],[CUIT]],Lista_CUIT[#All],4,0)),"CUIT NO CARGADO")</f>
        <v>0</v>
      </c>
    </row>
    <row r="34" spans="2:18" x14ac:dyDescent="0.25">
      <c r="B34" s="303" t="s">
        <v>2395</v>
      </c>
      <c r="C34" s="295">
        <v>1</v>
      </c>
      <c r="D34" s="304">
        <v>113</v>
      </c>
      <c r="E34" s="305">
        <v>4150902</v>
      </c>
      <c r="F34" s="306">
        <v>30577207190</v>
      </c>
      <c r="G34" s="307" t="str">
        <f>IFERROR(IF(compras_mes3[[#This Row],[CUIT]]="","-",VLOOKUP(compras_mes3[[#This Row],[CUIT]],Lista_CUIT[#All],2,0)),"CUIT NO CARGADO")</f>
        <v>COORDINACION ECOLOGICA AREA METROPOLITANA SOCIEDAD DEL ESTADO</v>
      </c>
      <c r="H34" s="308">
        <v>3719.01</v>
      </c>
      <c r="I34" s="300">
        <f>compras_mes3[[#This Row],[NETO GRAVADO]]*0.21</f>
        <v>780.99210000000005</v>
      </c>
      <c r="J34" s="309"/>
      <c r="K34" s="309"/>
      <c r="L34" s="309">
        <v>111.57</v>
      </c>
      <c r="M34" s="309"/>
      <c r="N34" s="309"/>
      <c r="O34" s="309"/>
      <c r="P34" s="301">
        <f>SUM(compras_mes3[[#This Row],[NETO GRAVADO]:[Otros / No Grav.]])</f>
        <v>4611.5721000000003</v>
      </c>
      <c r="Q34" s="310" t="str">
        <f>IFERROR(IF(compras_mes3[[#This Row],[CUIT]]="","-",VLOOKUP(compras_mes3[[#This Row],[CUIT]],Lista_CUIT[#All],3,0)),"CUIT NO CARGADO")</f>
        <v>Gastos Limpieza</v>
      </c>
      <c r="R34" s="310">
        <f>IFERROR(IF(compras_mes3[[#This Row],[CUIT]]="","-",VLOOKUP(compras_mes3[[#This Row],[CUIT]],Lista_CUIT[#All],4,0)),"CUIT NO CARGADO")</f>
        <v>0</v>
      </c>
    </row>
    <row r="35" spans="2:18" x14ac:dyDescent="0.25">
      <c r="B35" s="303" t="s">
        <v>2399</v>
      </c>
      <c r="C35" s="295">
        <v>1</v>
      </c>
      <c r="D35" s="304">
        <v>700</v>
      </c>
      <c r="E35" s="305">
        <v>2314494</v>
      </c>
      <c r="F35" s="306">
        <v>30715804812</v>
      </c>
      <c r="G35" s="307" t="str">
        <f>IFERROR(IF(compras_mes3[[#This Row],[CUIT]]="","-",VLOOKUP(compras_mes3[[#This Row],[CUIT]],Lista_CUIT[#All],2,0)),"CUIT NO CARGADO")</f>
        <v>CORREDORES VIALES SOCIEDAD ANONIMA</v>
      </c>
      <c r="H35" s="308">
        <v>5615.9</v>
      </c>
      <c r="I35" s="300">
        <f>compras_mes3[[#This Row],[NETO GRAVADO]]*0.21</f>
        <v>1179.3389999999999</v>
      </c>
      <c r="J35" s="309"/>
      <c r="K35" s="309"/>
      <c r="L35" s="309"/>
      <c r="M35" s="309"/>
      <c r="N35" s="309"/>
      <c r="O35" s="309"/>
      <c r="P35" s="301">
        <f>SUM(compras_mes3[[#This Row],[NETO GRAVADO]:[Otros / No Grav.]])</f>
        <v>6795.2389999999996</v>
      </c>
      <c r="Q35" s="310" t="str">
        <f>IFERROR(IF(compras_mes3[[#This Row],[CUIT]]="","-",VLOOKUP(compras_mes3[[#This Row],[CUIT]],Lista_CUIT[#All],3,0)),"CUIT NO CARGADO")</f>
        <v>Peajes</v>
      </c>
      <c r="R35" s="310">
        <f>IFERROR(IF(compras_mes3[[#This Row],[CUIT]]="","-",VLOOKUP(compras_mes3[[#This Row],[CUIT]],Lista_CUIT[#All],4,0)),"CUIT NO CARGADO")</f>
        <v>0</v>
      </c>
    </row>
    <row r="36" spans="2:18" x14ac:dyDescent="0.25">
      <c r="B36" s="294" t="s">
        <v>2385</v>
      </c>
      <c r="C36" s="295">
        <v>1</v>
      </c>
      <c r="D36" s="296">
        <v>104</v>
      </c>
      <c r="E36" s="462">
        <v>8464148</v>
      </c>
      <c r="F36" s="297">
        <v>30715804812</v>
      </c>
      <c r="G36" s="298" t="str">
        <f>IFERROR(IF(compras_mes3[[#This Row],[CUIT]]="","-",VLOOKUP(compras_mes3[[#This Row],[CUIT]],Lista_CUIT[#All],2,0)),"CUIT NO CARGADO")</f>
        <v>CORREDORES VIALES SOCIEDAD ANONIMA</v>
      </c>
      <c r="H36" s="299">
        <v>4159.93</v>
      </c>
      <c r="I36" s="300">
        <f>compras_mes3[[#This Row],[NETO GRAVADO]]*0.21</f>
        <v>873.58530000000007</v>
      </c>
      <c r="J36" s="300"/>
      <c r="K36" s="300"/>
      <c r="L36" s="300"/>
      <c r="M36" s="300"/>
      <c r="N36" s="300">
        <v>249.6</v>
      </c>
      <c r="O36" s="300"/>
      <c r="P36" s="301">
        <f>SUM(compras_mes3[[#This Row],[NETO GRAVADO]:[Otros / No Grav.]])</f>
        <v>5283.1153000000004</v>
      </c>
      <c r="Q36" s="302" t="str">
        <f>IFERROR(IF(compras_mes3[[#This Row],[CUIT]]="","-",VLOOKUP(compras_mes3[[#This Row],[CUIT]],Lista_CUIT[#All],3,0)),"CUIT NO CARGADO")</f>
        <v>Peajes</v>
      </c>
      <c r="R36" s="302">
        <f>IFERROR(IF(compras_mes3[[#This Row],[CUIT]]="","-",VLOOKUP(compras_mes3[[#This Row],[CUIT]],Lista_CUIT[#All],4,0)),"CUIT NO CARGADO")</f>
        <v>0</v>
      </c>
    </row>
    <row r="37" spans="2:18" x14ac:dyDescent="0.25">
      <c r="B37" s="303" t="s">
        <v>2394</v>
      </c>
      <c r="C37" s="295">
        <v>1</v>
      </c>
      <c r="D37" s="304">
        <v>104</v>
      </c>
      <c r="E37" s="305">
        <v>8667810</v>
      </c>
      <c r="F37" s="306">
        <v>30715804812</v>
      </c>
      <c r="G37" s="307" t="str">
        <f>IFERROR(IF(compras_mes3[[#This Row],[CUIT]]="","-",VLOOKUP(compras_mes3[[#This Row],[CUIT]],Lista_CUIT[#All],2,0)),"CUIT NO CARGADO")</f>
        <v>CORREDORES VIALES SOCIEDAD ANONIMA</v>
      </c>
      <c r="H37" s="308">
        <v>2079.9699999999998</v>
      </c>
      <c r="I37" s="300">
        <f>compras_mes3[[#This Row],[NETO GRAVADO]]*0.21</f>
        <v>436.79369999999994</v>
      </c>
      <c r="J37" s="309"/>
      <c r="K37" s="309"/>
      <c r="L37" s="309"/>
      <c r="M37" s="309">
        <v>124.8</v>
      </c>
      <c r="N37" s="309"/>
      <c r="O37" s="309"/>
      <c r="P37" s="301">
        <f>SUM(compras_mes3[[#This Row],[NETO GRAVADO]:[Otros / No Grav.]])</f>
        <v>2641.5636999999997</v>
      </c>
      <c r="Q37" s="310" t="str">
        <f>IFERROR(IF(compras_mes3[[#This Row],[CUIT]]="","-",VLOOKUP(compras_mes3[[#This Row],[CUIT]],Lista_CUIT[#All],3,0)),"CUIT NO CARGADO")</f>
        <v>Peajes</v>
      </c>
      <c r="R37" s="310">
        <f>IFERROR(IF(compras_mes3[[#This Row],[CUIT]]="","-",VLOOKUP(compras_mes3[[#This Row],[CUIT]],Lista_CUIT[#All],4,0)),"CUIT NO CARGADO")</f>
        <v>0</v>
      </c>
    </row>
    <row r="38" spans="2:18" x14ac:dyDescent="0.25">
      <c r="B38" s="294" t="s">
        <v>2388</v>
      </c>
      <c r="C38" s="295">
        <v>1</v>
      </c>
      <c r="D38" s="296">
        <v>700</v>
      </c>
      <c r="E38" s="462">
        <v>2342135</v>
      </c>
      <c r="F38" s="297">
        <v>30715804812</v>
      </c>
      <c r="G38" s="298" t="str">
        <f>IFERROR(IF(compras_mes3[[#This Row],[CUIT]]="","-",VLOOKUP(compras_mes3[[#This Row],[CUIT]],Lista_CUIT[#All],2,0)),"CUIT NO CARGADO")</f>
        <v>CORREDORES VIALES SOCIEDAD ANONIMA</v>
      </c>
      <c r="H38" s="299">
        <v>831.98</v>
      </c>
      <c r="I38" s="300">
        <f>compras_mes3[[#This Row],[NETO GRAVADO]]*0.21</f>
        <v>174.7158</v>
      </c>
      <c r="J38" s="300"/>
      <c r="K38" s="300"/>
      <c r="L38" s="300"/>
      <c r="M38" s="300"/>
      <c r="N38" s="300"/>
      <c r="O38" s="300"/>
      <c r="P38" s="301">
        <f>SUM(compras_mes3[[#This Row],[NETO GRAVADO]:[Otros / No Grav.]])</f>
        <v>1006.6958</v>
      </c>
      <c r="Q38" s="302" t="str">
        <f>IFERROR(IF(compras_mes3[[#This Row],[CUIT]]="","-",VLOOKUP(compras_mes3[[#This Row],[CUIT]],Lista_CUIT[#All],3,0)),"CUIT NO CARGADO")</f>
        <v>Peajes</v>
      </c>
      <c r="R38" s="302">
        <f>IFERROR(IF(compras_mes3[[#This Row],[CUIT]]="","-",VLOOKUP(compras_mes3[[#This Row],[CUIT]],Lista_CUIT[#All],4,0)),"CUIT NO CARGADO")</f>
        <v>0</v>
      </c>
    </row>
    <row r="39" spans="2:18" x14ac:dyDescent="0.25">
      <c r="B39" s="294" t="s">
        <v>2409</v>
      </c>
      <c r="C39" s="295">
        <v>1</v>
      </c>
      <c r="D39" s="296">
        <v>3034</v>
      </c>
      <c r="E39" s="462">
        <v>8133093</v>
      </c>
      <c r="F39" s="297">
        <v>30708574836</v>
      </c>
      <c r="G39" s="298" t="str">
        <f>IFERROR(IF(compras_mes3[[#This Row],[CUIT]]="","-",VLOOKUP(compras_mes3[[#This Row],[CUIT]],Lista_CUIT[#All],2,0)),"CUIT NO CARGADO")</f>
        <v>CORREO OFICIAL DE LA REPUBLICA ARGENTINA SOCIEDAD ANONIMA</v>
      </c>
      <c r="H39" s="299">
        <v>9963.64</v>
      </c>
      <c r="I39" s="300">
        <f>compras_mes3[[#This Row],[NETO GRAVADO]]*0.21</f>
        <v>2092.3643999999999</v>
      </c>
      <c r="J39" s="300"/>
      <c r="K39" s="300"/>
      <c r="L39" s="300"/>
      <c r="M39" s="300"/>
      <c r="N39" s="300"/>
      <c r="O39" s="300"/>
      <c r="P39" s="301">
        <f>SUM(compras_mes3[[#This Row],[NETO GRAVADO]:[Otros / No Grav.]])</f>
        <v>12056.0044</v>
      </c>
      <c r="Q39" s="302" t="str">
        <f>IFERROR(IF(compras_mes3[[#This Row],[CUIT]]="","-",VLOOKUP(compras_mes3[[#This Row],[CUIT]],Lista_CUIT[#All],3,0)),"CUIT NO CARGADO")</f>
        <v>MESAJERIA</v>
      </c>
      <c r="R39" s="302">
        <f>IFERROR(IF(compras_mes3[[#This Row],[CUIT]]="","-",VLOOKUP(compras_mes3[[#This Row],[CUIT]],Lista_CUIT[#All],4,0)),"CUIT NO CARGADO")</f>
        <v>0</v>
      </c>
    </row>
    <row r="40" spans="2:18" x14ac:dyDescent="0.25">
      <c r="B40" s="294" t="s">
        <v>2384</v>
      </c>
      <c r="C40" s="295">
        <v>1</v>
      </c>
      <c r="D40" s="296">
        <v>3034</v>
      </c>
      <c r="E40" s="462">
        <v>8060702</v>
      </c>
      <c r="F40" s="297">
        <v>30708574836</v>
      </c>
      <c r="G40" s="298" t="str">
        <f>IFERROR(IF(compras_mes3[[#This Row],[CUIT]]="","-",VLOOKUP(compras_mes3[[#This Row],[CUIT]],Lista_CUIT[#All],2,0)),"CUIT NO CARGADO")</f>
        <v>CORREO OFICIAL DE LA REPUBLICA ARGENTINA SOCIEDAD ANONIMA</v>
      </c>
      <c r="H40" s="299">
        <v>5953.72</v>
      </c>
      <c r="I40" s="300">
        <f>compras_mes3[[#This Row],[NETO GRAVADO]]*0.21</f>
        <v>1250.2811999999999</v>
      </c>
      <c r="J40" s="300"/>
      <c r="K40" s="300"/>
      <c r="L40" s="300"/>
      <c r="M40" s="300"/>
      <c r="N40" s="300"/>
      <c r="O40" s="300"/>
      <c r="P40" s="301">
        <f>SUM(compras_mes3[[#This Row],[NETO GRAVADO]:[Otros / No Grav.]])</f>
        <v>7204.0012000000006</v>
      </c>
      <c r="Q40" s="302" t="str">
        <f>IFERROR(IF(compras_mes3[[#This Row],[CUIT]]="","-",VLOOKUP(compras_mes3[[#This Row],[CUIT]],Lista_CUIT[#All],3,0)),"CUIT NO CARGADO")</f>
        <v>MESAJERIA</v>
      </c>
      <c r="R40" s="302">
        <f>IFERROR(IF(compras_mes3[[#This Row],[CUIT]]="","-",VLOOKUP(compras_mes3[[#This Row],[CUIT]],Lista_CUIT[#All],4,0)),"CUIT NO CARGADO")</f>
        <v>0</v>
      </c>
    </row>
    <row r="41" spans="2:18" x14ac:dyDescent="0.25">
      <c r="B41" s="294" t="s">
        <v>2409</v>
      </c>
      <c r="C41" s="295">
        <v>1</v>
      </c>
      <c r="D41" s="296">
        <v>3034</v>
      </c>
      <c r="E41" s="462">
        <v>8133150</v>
      </c>
      <c r="F41" s="297">
        <v>30708574836</v>
      </c>
      <c r="G41" s="298" t="str">
        <f>IFERROR(IF(compras_mes3[[#This Row],[CUIT]]="","-",VLOOKUP(compras_mes3[[#This Row],[CUIT]],Lista_CUIT[#All],2,0)),"CUIT NO CARGADO")</f>
        <v>CORREO OFICIAL DE LA REPUBLICA ARGENTINA SOCIEDAD ANONIMA</v>
      </c>
      <c r="H41" s="299">
        <v>5953.72</v>
      </c>
      <c r="I41" s="300">
        <f>compras_mes3[[#This Row],[NETO GRAVADO]]*0.21</f>
        <v>1250.2811999999999</v>
      </c>
      <c r="J41" s="300"/>
      <c r="K41" s="300"/>
      <c r="L41" s="300"/>
      <c r="M41" s="300"/>
      <c r="N41" s="300"/>
      <c r="O41" s="300"/>
      <c r="P41" s="301">
        <f>SUM(compras_mes3[[#This Row],[NETO GRAVADO]:[Otros / No Grav.]])</f>
        <v>7204.0012000000006</v>
      </c>
      <c r="Q41" s="302" t="str">
        <f>IFERROR(IF(compras_mes3[[#This Row],[CUIT]]="","-",VLOOKUP(compras_mes3[[#This Row],[CUIT]],Lista_CUIT[#All],3,0)),"CUIT NO CARGADO")</f>
        <v>MESAJERIA</v>
      </c>
      <c r="R41" s="302">
        <f>IFERROR(IF(compras_mes3[[#This Row],[CUIT]]="","-",VLOOKUP(compras_mes3[[#This Row],[CUIT]],Lista_CUIT[#All],4,0)),"CUIT NO CARGADO")</f>
        <v>0</v>
      </c>
    </row>
    <row r="42" spans="2:18" x14ac:dyDescent="0.25">
      <c r="B42" s="303" t="s">
        <v>2393</v>
      </c>
      <c r="C42" s="295">
        <v>1</v>
      </c>
      <c r="D42" s="304">
        <v>2188</v>
      </c>
      <c r="E42" s="305">
        <v>144864</v>
      </c>
      <c r="F42" s="306">
        <v>30548083156</v>
      </c>
      <c r="G42" s="307" t="str">
        <f>IFERROR(IF(compras_mes3[[#This Row],[CUIT]]="","-",VLOOKUP(compras_mes3[[#This Row],[CUIT]],Lista_CUIT[#All],2,0)),"CUIT NO CARGADO")</f>
        <v>COTO CENTRO INTEGRAL DE COMERCIALIZACION SOCIEDAD ANONIMA</v>
      </c>
      <c r="H42" s="308">
        <v>119657.03</v>
      </c>
      <c r="I42" s="300">
        <v>22180.86</v>
      </c>
      <c r="J42" s="309"/>
      <c r="K42" s="309">
        <v>1473.56</v>
      </c>
      <c r="L42" s="309"/>
      <c r="M42" s="309"/>
      <c r="N42" s="309"/>
      <c r="O42" s="309">
        <v>10122.35</v>
      </c>
      <c r="P42" s="312">
        <f>SUM(compras_mes3[[#This Row],[NETO GRAVADO]:[Otros / No Grav.]])</f>
        <v>153433.80000000002</v>
      </c>
      <c r="Q42" s="310" t="str">
        <f>IFERROR(IF(compras_mes3[[#This Row],[CUIT]]="","-",VLOOKUP(compras_mes3[[#This Row],[CUIT]],Lista_CUIT[#All],3,0)),"CUIT NO CARGADO")</f>
        <v>Gastos Varios</v>
      </c>
      <c r="R42" s="310">
        <f>IFERROR(IF(compras_mes3[[#This Row],[CUIT]]="","-",VLOOKUP(compras_mes3[[#This Row],[CUIT]],Lista_CUIT[#All],4,0)),"CUIT NO CARGADO")</f>
        <v>0</v>
      </c>
    </row>
    <row r="43" spans="2:18" x14ac:dyDescent="0.25">
      <c r="B43" s="303" t="s">
        <v>2389</v>
      </c>
      <c r="C43" s="295">
        <v>1</v>
      </c>
      <c r="D43" s="304">
        <v>2084</v>
      </c>
      <c r="E43" s="305">
        <v>28101</v>
      </c>
      <c r="F43" s="306">
        <v>30548083156</v>
      </c>
      <c r="G43" s="307" t="str">
        <f>IFERROR(IF(compras_mes3[[#This Row],[CUIT]]="","-",VLOOKUP(compras_mes3[[#This Row],[CUIT]],Lista_CUIT[#All],2,0)),"CUIT NO CARGADO")</f>
        <v>COTO CENTRO INTEGRAL DE COMERCIALIZACION SOCIEDAD ANONIMA</v>
      </c>
      <c r="H43" s="308">
        <v>107358.91</v>
      </c>
      <c r="I43" s="300">
        <v>15638.45</v>
      </c>
      <c r="J43" s="309"/>
      <c r="K43" s="309">
        <v>3453.46</v>
      </c>
      <c r="L43" s="309"/>
      <c r="M43" s="309"/>
      <c r="N43" s="309"/>
      <c r="O43" s="309">
        <v>7195.54</v>
      </c>
      <c r="P43" s="312">
        <f>SUM(compras_mes3[[#This Row],[NETO GRAVADO]:[Otros / No Grav.]])</f>
        <v>133646.36000000002</v>
      </c>
      <c r="Q43" s="310" t="str">
        <f>IFERROR(IF(compras_mes3[[#This Row],[CUIT]]="","-",VLOOKUP(compras_mes3[[#This Row],[CUIT]],Lista_CUIT[#All],3,0)),"CUIT NO CARGADO")</f>
        <v>Gastos Varios</v>
      </c>
      <c r="R43" s="310">
        <f>IFERROR(IF(compras_mes3[[#This Row],[CUIT]]="","-",VLOOKUP(compras_mes3[[#This Row],[CUIT]],Lista_CUIT[#All],4,0)),"CUIT NO CARGADO")</f>
        <v>0</v>
      </c>
    </row>
    <row r="44" spans="2:18" x14ac:dyDescent="0.25">
      <c r="B44" s="294" t="s">
        <v>2385</v>
      </c>
      <c r="C44" s="295">
        <v>1</v>
      </c>
      <c r="D44" s="296">
        <v>2188</v>
      </c>
      <c r="E44" s="462">
        <v>143823</v>
      </c>
      <c r="F44" s="297">
        <v>30548083156</v>
      </c>
      <c r="G44" s="298" t="str">
        <f>IFERROR(IF(compras_mes3[[#This Row],[CUIT]]="","-",VLOOKUP(compras_mes3[[#This Row],[CUIT]],Lista_CUIT[#All],2,0)),"CUIT NO CARGADO")</f>
        <v>COTO CENTRO INTEGRAL DE COMERCIALIZACION SOCIEDAD ANONIMA</v>
      </c>
      <c r="H44" s="299">
        <v>101850.93</v>
      </c>
      <c r="I44" s="300">
        <v>14539.58</v>
      </c>
      <c r="J44" s="300"/>
      <c r="K44" s="300">
        <v>3424.56</v>
      </c>
      <c r="L44" s="300"/>
      <c r="M44" s="300"/>
      <c r="N44" s="300"/>
      <c r="O44" s="300">
        <v>7390.31</v>
      </c>
      <c r="P44" s="301">
        <f>SUM(compras_mes3[[#This Row],[NETO GRAVADO]:[Otros / No Grav.]])</f>
        <v>127205.37999999999</v>
      </c>
      <c r="Q44" s="302" t="str">
        <f>IFERROR(IF(compras_mes3[[#This Row],[CUIT]]="","-",VLOOKUP(compras_mes3[[#This Row],[CUIT]],Lista_CUIT[#All],3,0)),"CUIT NO CARGADO")</f>
        <v>Gastos Varios</v>
      </c>
      <c r="R44" s="302">
        <f>IFERROR(IF(compras_mes3[[#This Row],[CUIT]]="","-",VLOOKUP(compras_mes3[[#This Row],[CUIT]],Lista_CUIT[#All],4,0)),"CUIT NO CARGADO")</f>
        <v>0</v>
      </c>
    </row>
    <row r="45" spans="2:18" x14ac:dyDescent="0.25">
      <c r="B45" s="294" t="s">
        <v>2396</v>
      </c>
      <c r="C45" s="295">
        <v>1</v>
      </c>
      <c r="D45" s="296">
        <v>2188</v>
      </c>
      <c r="E45" s="462">
        <v>142887</v>
      </c>
      <c r="F45" s="297">
        <v>30548083156</v>
      </c>
      <c r="G45" s="298" t="str">
        <f>IFERROR(IF(compras_mes3[[#This Row],[CUIT]]="","-",VLOOKUP(compras_mes3[[#This Row],[CUIT]],Lista_CUIT[#All],2,0)),"CUIT NO CARGADO")</f>
        <v>COTO CENTRO INTEGRAL DE COMERCIALIZACION SOCIEDAD ANONIMA</v>
      </c>
      <c r="H45" s="299">
        <v>74426.47</v>
      </c>
      <c r="I45" s="300">
        <f>compras_mes3[[#This Row],[NETO GRAVADO]]*0.21</f>
        <v>15629.5587</v>
      </c>
      <c r="J45" s="300"/>
      <c r="K45" s="300"/>
      <c r="L45" s="300"/>
      <c r="M45" s="300"/>
      <c r="N45" s="300"/>
      <c r="O45" s="300">
        <v>6569.46</v>
      </c>
      <c r="P45" s="301">
        <f>SUM(compras_mes3[[#This Row],[NETO GRAVADO]:[Otros / No Grav.]])</f>
        <v>96625.488700000002</v>
      </c>
      <c r="Q45" s="302" t="str">
        <f>IFERROR(IF(compras_mes3[[#This Row],[CUIT]]="","-",VLOOKUP(compras_mes3[[#This Row],[CUIT]],Lista_CUIT[#All],3,0)),"CUIT NO CARGADO")</f>
        <v>Gastos Varios</v>
      </c>
      <c r="R45" s="302">
        <f>IFERROR(IF(compras_mes3[[#This Row],[CUIT]]="","-",VLOOKUP(compras_mes3[[#This Row],[CUIT]],Lista_CUIT[#All],4,0)),"CUIT NO CARGADO")</f>
        <v>0</v>
      </c>
    </row>
    <row r="46" spans="2:18" x14ac:dyDescent="0.25">
      <c r="B46" s="294" t="s">
        <v>2396</v>
      </c>
      <c r="C46" s="295">
        <v>1</v>
      </c>
      <c r="D46" s="296">
        <v>2084</v>
      </c>
      <c r="E46" s="462">
        <v>27668</v>
      </c>
      <c r="F46" s="297">
        <v>30548083156</v>
      </c>
      <c r="G46" s="298" t="str">
        <f>IFERROR(IF(compras_mes3[[#This Row],[CUIT]]="","-",VLOOKUP(compras_mes3[[#This Row],[CUIT]],Lista_CUIT[#All],2,0)),"CUIT NO CARGADO")</f>
        <v>COTO CENTRO INTEGRAL DE COMERCIALIZACION SOCIEDAD ANONIMA</v>
      </c>
      <c r="H46" s="299">
        <v>59617.8</v>
      </c>
      <c r="I46" s="300">
        <v>6002.99</v>
      </c>
      <c r="J46" s="300"/>
      <c r="K46" s="300">
        <v>3258.37</v>
      </c>
      <c r="L46" s="300"/>
      <c r="M46" s="300"/>
      <c r="N46" s="300"/>
      <c r="O46" s="300">
        <v>3038.19</v>
      </c>
      <c r="P46" s="301">
        <f>SUM(compras_mes3[[#This Row],[NETO GRAVADO]:[Otros / No Grav.]])</f>
        <v>71917.350000000006</v>
      </c>
      <c r="Q46" s="302" t="str">
        <f>IFERROR(IF(compras_mes3[[#This Row],[CUIT]]="","-",VLOOKUP(compras_mes3[[#This Row],[CUIT]],Lista_CUIT[#All],3,0)),"CUIT NO CARGADO")</f>
        <v>Gastos Varios</v>
      </c>
      <c r="R46" s="302">
        <f>IFERROR(IF(compras_mes3[[#This Row],[CUIT]]="","-",VLOOKUP(compras_mes3[[#This Row],[CUIT]],Lista_CUIT[#All],4,0)),"CUIT NO CARGADO")</f>
        <v>0</v>
      </c>
    </row>
    <row r="47" spans="2:18" x14ac:dyDescent="0.25">
      <c r="B47" s="294" t="s">
        <v>2400</v>
      </c>
      <c r="C47" s="295">
        <v>1</v>
      </c>
      <c r="D47" s="296">
        <v>2188</v>
      </c>
      <c r="E47" s="462">
        <v>143277</v>
      </c>
      <c r="F47" s="297">
        <v>30548083156</v>
      </c>
      <c r="G47" s="298" t="str">
        <f>IFERROR(IF(compras_mes3[[#This Row],[CUIT]]="","-",VLOOKUP(compras_mes3[[#This Row],[CUIT]],Lista_CUIT[#All],2,0)),"CUIT NO CARGADO")</f>
        <v>COTO CENTRO INTEGRAL DE COMERCIALIZACION SOCIEDAD ANONIMA</v>
      </c>
      <c r="H47" s="299">
        <v>57905.3</v>
      </c>
      <c r="I47" s="300">
        <v>8934.41</v>
      </c>
      <c r="J47" s="300"/>
      <c r="K47" s="300">
        <v>1612.85</v>
      </c>
      <c r="L47" s="300"/>
      <c r="M47" s="300"/>
      <c r="N47" s="300"/>
      <c r="O47" s="300">
        <v>4217.34</v>
      </c>
      <c r="P47" s="301">
        <f>SUM(compras_mes3[[#This Row],[NETO GRAVADO]:[Otros / No Grav.]])</f>
        <v>72669.900000000009</v>
      </c>
      <c r="Q47" s="302" t="str">
        <f>IFERROR(IF(compras_mes3[[#This Row],[CUIT]]="","-",VLOOKUP(compras_mes3[[#This Row],[CUIT]],Lista_CUIT[#All],3,0)),"CUIT NO CARGADO")</f>
        <v>Gastos Varios</v>
      </c>
      <c r="R47" s="302">
        <f>IFERROR(IF(compras_mes3[[#This Row],[CUIT]]="","-",VLOOKUP(compras_mes3[[#This Row],[CUIT]],Lista_CUIT[#All],4,0)),"CUIT NO CARGADO")</f>
        <v>0</v>
      </c>
    </row>
    <row r="48" spans="2:18" x14ac:dyDescent="0.25">
      <c r="B48" s="294" t="s">
        <v>2385</v>
      </c>
      <c r="C48" s="295">
        <v>1</v>
      </c>
      <c r="D48" s="296">
        <v>2199</v>
      </c>
      <c r="E48" s="462">
        <v>35682</v>
      </c>
      <c r="F48" s="297">
        <v>30548083156</v>
      </c>
      <c r="G48" s="298" t="str">
        <f>IFERROR(IF(compras_mes3[[#This Row],[CUIT]]="","-",VLOOKUP(compras_mes3[[#This Row],[CUIT]],Lista_CUIT[#All],2,0)),"CUIT NO CARGADO")</f>
        <v>COTO CENTRO INTEGRAL DE COMERCIALIZACION SOCIEDAD ANONIMA</v>
      </c>
      <c r="H48" s="299">
        <v>50961.13</v>
      </c>
      <c r="I48" s="300">
        <v>7959.21</v>
      </c>
      <c r="J48" s="300"/>
      <c r="K48" s="300">
        <v>1371.31</v>
      </c>
      <c r="L48" s="300"/>
      <c r="M48" s="300"/>
      <c r="N48" s="300"/>
      <c r="O48" s="300">
        <v>2801.21</v>
      </c>
      <c r="P48" s="301">
        <f>SUM(compras_mes3[[#This Row],[NETO GRAVADO]:[Otros / No Grav.]])</f>
        <v>63092.859999999993</v>
      </c>
      <c r="Q48" s="302" t="str">
        <f>IFERROR(IF(compras_mes3[[#This Row],[CUIT]]="","-",VLOOKUP(compras_mes3[[#This Row],[CUIT]],Lista_CUIT[#All],3,0)),"CUIT NO CARGADO")</f>
        <v>Gastos Varios</v>
      </c>
      <c r="R48" s="302">
        <f>IFERROR(IF(compras_mes3[[#This Row],[CUIT]]="","-",VLOOKUP(compras_mes3[[#This Row],[CUIT]],Lista_CUIT[#All],4,0)),"CUIT NO CARGADO")</f>
        <v>0</v>
      </c>
    </row>
    <row r="49" spans="2:18" x14ac:dyDescent="0.25">
      <c r="B49" s="294" t="s">
        <v>2390</v>
      </c>
      <c r="C49" s="295">
        <v>1</v>
      </c>
      <c r="D49" s="296">
        <v>2215</v>
      </c>
      <c r="E49" s="462">
        <v>52604</v>
      </c>
      <c r="F49" s="297">
        <v>30548083156</v>
      </c>
      <c r="G49" s="298" t="str">
        <f>IFERROR(IF(compras_mes3[[#This Row],[CUIT]]="","-",VLOOKUP(compras_mes3[[#This Row],[CUIT]],Lista_CUIT[#All],2,0)),"CUIT NO CARGADO")</f>
        <v>COTO CENTRO INTEGRAL DE COMERCIALIZACION SOCIEDAD ANONIMA</v>
      </c>
      <c r="H49" s="299">
        <v>43963.3</v>
      </c>
      <c r="I49" s="300">
        <v>7077.89</v>
      </c>
      <c r="J49" s="85" t="s">
        <v>2411</v>
      </c>
      <c r="K49" s="300">
        <v>1077.22</v>
      </c>
      <c r="L49" s="300"/>
      <c r="M49" s="300"/>
      <c r="N49" s="300"/>
      <c r="O49" s="300">
        <v>3758.04</v>
      </c>
      <c r="P49" s="301">
        <f>SUM(compras_mes3[[#This Row],[NETO GRAVADO]:[Otros / No Grav.]])</f>
        <v>55876.450000000004</v>
      </c>
      <c r="Q49" s="302" t="str">
        <f>IFERROR(IF(compras_mes3[[#This Row],[CUIT]]="","-",VLOOKUP(compras_mes3[[#This Row],[CUIT]],Lista_CUIT[#All],3,0)),"CUIT NO CARGADO")</f>
        <v>Gastos Varios</v>
      </c>
      <c r="R49" s="302">
        <f>IFERROR(IF(compras_mes3[[#This Row],[CUIT]]="","-",VLOOKUP(compras_mes3[[#This Row],[CUIT]],Lista_CUIT[#All],4,0)),"CUIT NO CARGADO")</f>
        <v>0</v>
      </c>
    </row>
    <row r="50" spans="2:18" x14ac:dyDescent="0.25">
      <c r="B50" s="294" t="s">
        <v>2382</v>
      </c>
      <c r="C50" s="295">
        <v>1</v>
      </c>
      <c r="D50" s="296">
        <v>2188</v>
      </c>
      <c r="E50" s="462">
        <v>143560</v>
      </c>
      <c r="F50" s="297">
        <v>30548083156</v>
      </c>
      <c r="G50" s="298" t="str">
        <f>IFERROR(IF(compras_mes3[[#This Row],[CUIT]]="","-",VLOOKUP(compras_mes3[[#This Row],[CUIT]],Lista_CUIT[#All],2,0)),"CUIT NO CARGADO")</f>
        <v>COTO CENTRO INTEGRAL DE COMERCIALIZACION SOCIEDAD ANONIMA</v>
      </c>
      <c r="H50" s="299">
        <v>25194.54</v>
      </c>
      <c r="I50" s="300">
        <v>4955.71</v>
      </c>
      <c r="J50" s="300"/>
      <c r="K50" s="300">
        <v>167.57</v>
      </c>
      <c r="L50" s="300"/>
      <c r="M50" s="300"/>
      <c r="N50" s="300"/>
      <c r="O50" s="300">
        <v>2219.63</v>
      </c>
      <c r="P50" s="301">
        <f>SUM(compras_mes3[[#This Row],[NETO GRAVADO]:[Otros / No Grav.]])</f>
        <v>32537.45</v>
      </c>
      <c r="Q50" s="302" t="str">
        <f>IFERROR(IF(compras_mes3[[#This Row],[CUIT]]="","-",VLOOKUP(compras_mes3[[#This Row],[CUIT]],Lista_CUIT[#All],3,0)),"CUIT NO CARGADO")</f>
        <v>Gastos Varios</v>
      </c>
      <c r="R50" s="302">
        <f>IFERROR(IF(compras_mes3[[#This Row],[CUIT]]="","-",VLOOKUP(compras_mes3[[#This Row],[CUIT]],Lista_CUIT[#All],4,0)),"CUIT NO CARGADO")</f>
        <v>0</v>
      </c>
    </row>
    <row r="51" spans="2:18" x14ac:dyDescent="0.25">
      <c r="B51" s="294" t="s">
        <v>2402</v>
      </c>
      <c r="C51" s="295">
        <v>1</v>
      </c>
      <c r="D51" s="296">
        <v>2084</v>
      </c>
      <c r="E51" s="462">
        <v>27821</v>
      </c>
      <c r="F51" s="297">
        <v>30548083156</v>
      </c>
      <c r="G51" s="298" t="str">
        <f>IFERROR(IF(compras_mes3[[#This Row],[CUIT]]="","-",VLOOKUP(compras_mes3[[#This Row],[CUIT]],Lista_CUIT[#All],2,0)),"CUIT NO CARGADO")</f>
        <v>COTO CENTRO INTEGRAL DE COMERCIALIZACION SOCIEDAD ANONIMA</v>
      </c>
      <c r="H51" s="299">
        <v>21951.86</v>
      </c>
      <c r="I51" s="300">
        <v>2334.6999999999998</v>
      </c>
      <c r="J51" s="300"/>
      <c r="K51" s="300">
        <v>1137.5999999999999</v>
      </c>
      <c r="L51" s="300"/>
      <c r="M51" s="300"/>
      <c r="N51" s="300"/>
      <c r="O51" s="300">
        <v>1306.23</v>
      </c>
      <c r="P51" s="301">
        <f>SUM(compras_mes3[[#This Row],[NETO GRAVADO]:[Otros / No Grav.]])</f>
        <v>26730.39</v>
      </c>
      <c r="Q51" s="302" t="str">
        <f>IFERROR(IF(compras_mes3[[#This Row],[CUIT]]="","-",VLOOKUP(compras_mes3[[#This Row],[CUIT]],Lista_CUIT[#All],3,0)),"CUIT NO CARGADO")</f>
        <v>Gastos Varios</v>
      </c>
      <c r="R51" s="302">
        <f>IFERROR(IF(compras_mes3[[#This Row],[CUIT]]="","-",VLOOKUP(compras_mes3[[#This Row],[CUIT]],Lista_CUIT[#All],4,0)),"CUIT NO CARGADO")</f>
        <v>0</v>
      </c>
    </row>
    <row r="52" spans="2:18" x14ac:dyDescent="0.25">
      <c r="B52" s="294" t="s">
        <v>2407</v>
      </c>
      <c r="C52" s="295">
        <v>1</v>
      </c>
      <c r="D52" s="296">
        <v>3</v>
      </c>
      <c r="E52" s="462">
        <v>105</v>
      </c>
      <c r="F52" s="297">
        <v>20202970940</v>
      </c>
      <c r="G52" s="298" t="str">
        <f>IFERROR(IF(compras_mes3[[#This Row],[CUIT]]="","-",VLOOKUP(compras_mes3[[#This Row],[CUIT]],Lista_CUIT[#All],2,0)),"CUIT NO CARGADO")</f>
        <v xml:space="preserve">ALEJANDRO TRAIBER </v>
      </c>
      <c r="H52" s="299">
        <v>3000000</v>
      </c>
      <c r="I52" s="300">
        <f>compras_mes3[[#This Row],[NETO GRAVADO]]*0.21</f>
        <v>630000</v>
      </c>
      <c r="J52" s="300"/>
      <c r="K52" s="300"/>
      <c r="L52" s="300"/>
      <c r="M52" s="300"/>
      <c r="N52" s="300"/>
      <c r="O52" s="300"/>
      <c r="P52" s="301">
        <f>SUM(compras_mes3[[#This Row],[NETO GRAVADO]:[Otros / No Grav.]])</f>
        <v>3630000</v>
      </c>
      <c r="Q52" s="302" t="str">
        <f>IFERROR(IF(compras_mes3[[#This Row],[CUIT]]="","-",VLOOKUP(compras_mes3[[#This Row],[CUIT]],Lista_CUIT[#All],3,0)),"CUIT NO CARGADO")</f>
        <v>Mercaderia</v>
      </c>
      <c r="R52" s="302">
        <f>IFERROR(IF(compras_mes3[[#This Row],[CUIT]]="","-",VLOOKUP(compras_mes3[[#This Row],[CUIT]],Lista_CUIT[#All],4,0)),"CUIT NO CARGADO")</f>
        <v>0</v>
      </c>
    </row>
    <row r="53" spans="2:18" x14ac:dyDescent="0.25">
      <c r="B53" s="294" t="s">
        <v>2407</v>
      </c>
      <c r="C53" s="295">
        <v>1</v>
      </c>
      <c r="D53" s="296">
        <v>3</v>
      </c>
      <c r="E53" s="462">
        <v>106</v>
      </c>
      <c r="F53" s="297">
        <v>20202970940</v>
      </c>
      <c r="G53" s="298" t="str">
        <f>IFERROR(IF(compras_mes3[[#This Row],[CUIT]]="","-",VLOOKUP(compras_mes3[[#This Row],[CUIT]],Lista_CUIT[#All],2,0)),"CUIT NO CARGADO")</f>
        <v xml:space="preserve">ALEJANDRO TRAIBER </v>
      </c>
      <c r="H53" s="299">
        <v>3000000</v>
      </c>
      <c r="I53" s="300">
        <f>compras_mes3[[#This Row],[NETO GRAVADO]]*0.21</f>
        <v>630000</v>
      </c>
      <c r="J53" s="300"/>
      <c r="K53" s="300"/>
      <c r="L53" s="300"/>
      <c r="M53" s="300"/>
      <c r="N53" s="300"/>
      <c r="O53" s="300"/>
      <c r="P53" s="301">
        <f>SUM(compras_mes3[[#This Row],[NETO GRAVADO]:[Otros / No Grav.]])</f>
        <v>3630000</v>
      </c>
      <c r="Q53" s="302" t="str">
        <f>IFERROR(IF(compras_mes3[[#This Row],[CUIT]]="","-",VLOOKUP(compras_mes3[[#This Row],[CUIT]],Lista_CUIT[#All],3,0)),"CUIT NO CARGADO")</f>
        <v>Mercaderia</v>
      </c>
      <c r="R53" s="302">
        <f>IFERROR(IF(compras_mes3[[#This Row],[CUIT]]="","-",VLOOKUP(compras_mes3[[#This Row],[CUIT]],Lista_CUIT[#All],4,0)),"CUIT NO CARGADO")</f>
        <v>0</v>
      </c>
    </row>
    <row r="54" spans="2:18" x14ac:dyDescent="0.25">
      <c r="B54" s="294" t="s">
        <v>2400</v>
      </c>
      <c r="C54" s="295">
        <v>1</v>
      </c>
      <c r="D54" s="296">
        <v>3</v>
      </c>
      <c r="E54" s="462">
        <v>91</v>
      </c>
      <c r="F54" s="297">
        <v>20202970940</v>
      </c>
      <c r="G54" s="298" t="str">
        <f>IFERROR(IF(compras_mes3[[#This Row],[CUIT]]="","-",VLOOKUP(compras_mes3[[#This Row],[CUIT]],Lista_CUIT[#All],2,0)),"CUIT NO CARGADO")</f>
        <v xml:space="preserve">ALEJANDRO TRAIBER </v>
      </c>
      <c r="H54" s="299">
        <v>2005290</v>
      </c>
      <c r="I54" s="300">
        <f>compras_mes3[[#This Row],[NETO GRAVADO]]*0.21</f>
        <v>421110.89999999997</v>
      </c>
      <c r="J54" s="300"/>
      <c r="K54" s="300"/>
      <c r="L54" s="300"/>
      <c r="M54" s="300"/>
      <c r="N54" s="300"/>
      <c r="O54" s="300"/>
      <c r="P54" s="301">
        <f>SUM(compras_mes3[[#This Row],[NETO GRAVADO]:[Otros / No Grav.]])</f>
        <v>2426400.9</v>
      </c>
      <c r="Q54" s="302" t="str">
        <f>IFERROR(IF(compras_mes3[[#This Row],[CUIT]]="","-",VLOOKUP(compras_mes3[[#This Row],[CUIT]],Lista_CUIT[#All],3,0)),"CUIT NO CARGADO")</f>
        <v>Mercaderia</v>
      </c>
      <c r="R54" s="302">
        <f>IFERROR(IF(compras_mes3[[#This Row],[CUIT]]="","-",VLOOKUP(compras_mes3[[#This Row],[CUIT]],Lista_CUIT[#All],4,0)),"CUIT NO CARGADO")</f>
        <v>0</v>
      </c>
    </row>
    <row r="55" spans="2:18" x14ac:dyDescent="0.25">
      <c r="B55" s="294" t="s">
        <v>2405</v>
      </c>
      <c r="C55" s="295">
        <v>1</v>
      </c>
      <c r="D55" s="296">
        <v>3</v>
      </c>
      <c r="E55" s="462">
        <v>5356</v>
      </c>
      <c r="F55" s="297">
        <v>30716242672</v>
      </c>
      <c r="G55" s="298" t="str">
        <f>IFERROR(IF(compras_mes3[[#This Row],[CUIT]]="","-",VLOOKUP(compras_mes3[[#This Row],[CUIT]],Lista_CUIT[#All],2,0)),"CUIT NO CARGADO")</f>
        <v>Pensagro SRL</v>
      </c>
      <c r="H55" s="299">
        <v>883317.69</v>
      </c>
      <c r="I55" s="300">
        <f>compras_mes3[[#This Row],[NETO GRAVADO]]*0.21</f>
        <v>185496.71489999999</v>
      </c>
      <c r="J55" s="300"/>
      <c r="K55" s="300"/>
      <c r="L55" s="300"/>
      <c r="M55" s="300"/>
      <c r="N55" s="300"/>
      <c r="O55" s="300"/>
      <c r="P55" s="301">
        <f>SUM(compras_mes3[[#This Row],[NETO GRAVADO]:[Otros / No Grav.]])</f>
        <v>1068814.4049</v>
      </c>
      <c r="Q55" s="302" t="str">
        <f>IFERROR(IF(compras_mes3[[#This Row],[CUIT]]="","-",VLOOKUP(compras_mes3[[#This Row],[CUIT]],Lista_CUIT[#All],3,0)),"CUIT NO CARGADO")</f>
        <v xml:space="preserve">Gastos mantenimiento </v>
      </c>
      <c r="R55" s="302">
        <f>IFERROR(IF(compras_mes3[[#This Row],[CUIT]]="","-",VLOOKUP(compras_mes3[[#This Row],[CUIT]],Lista_CUIT[#All],4,0)),"CUIT NO CARGADO")</f>
        <v>0</v>
      </c>
    </row>
    <row r="56" spans="2:18" x14ac:dyDescent="0.25">
      <c r="B56" s="303" t="s">
        <v>2392</v>
      </c>
      <c r="C56" s="295">
        <v>1</v>
      </c>
      <c r="D56" s="304">
        <v>81</v>
      </c>
      <c r="E56" s="305">
        <v>302074</v>
      </c>
      <c r="F56" s="306">
        <v>30546741253</v>
      </c>
      <c r="G56" s="307" t="str">
        <f>IFERROR(IF(compras_mes3[[#This Row],[CUIT]]="","-",VLOOKUP(compras_mes3[[#This Row],[CUIT]],Lista_CUIT[#All],2,0)),"CUIT NO CARGADO")</f>
        <v>OSDE </v>
      </c>
      <c r="H56" s="308">
        <v>582356.56000000006</v>
      </c>
      <c r="I56" s="85" t="s">
        <v>2411</v>
      </c>
      <c r="J56" s="309"/>
      <c r="K56" s="309">
        <f>compras_mes3[[#This Row],[NETO GRAVADO]]*0.105</f>
        <v>61147.438800000004</v>
      </c>
      <c r="L56" s="309"/>
      <c r="M56" s="309">
        <v>34941.39</v>
      </c>
      <c r="N56" s="309"/>
      <c r="O56" s="309"/>
      <c r="P56" s="301">
        <f>SUM(compras_mes3[[#This Row],[NETO GRAVADO]:[Otros / No Grav.]])</f>
        <v>678445.38880000007</v>
      </c>
      <c r="Q56" s="310" t="str">
        <f>IFERROR(IF(compras_mes3[[#This Row],[CUIT]]="","-",VLOOKUP(compras_mes3[[#This Row],[CUIT]],Lista_CUIT[#All],3,0)),"CUIT NO CARGADO")</f>
        <v>Prepaga corporativa</v>
      </c>
      <c r="R56" s="310">
        <f>IFERROR(IF(compras_mes3[[#This Row],[CUIT]]="","-",VLOOKUP(compras_mes3[[#This Row],[CUIT]],Lista_CUIT[#All],4,0)),"CUIT NO CARGADO")</f>
        <v>0</v>
      </c>
    </row>
    <row r="57" spans="2:18" x14ac:dyDescent="0.25">
      <c r="B57" s="294" t="s">
        <v>2390</v>
      </c>
      <c r="C57" s="295">
        <v>1</v>
      </c>
      <c r="D57" s="296">
        <v>2</v>
      </c>
      <c r="E57" s="462">
        <v>73</v>
      </c>
      <c r="F57" s="297">
        <v>20353654560</v>
      </c>
      <c r="G57" s="298" t="str">
        <f>IFERROR(IF(compras_mes3[[#This Row],[CUIT]]="","-",VLOOKUP(compras_mes3[[#This Row],[CUIT]],Lista_CUIT[#All],2,0)),"CUIT NO CARGADO")</f>
        <v>CUNIOLI FEDERICO</v>
      </c>
      <c r="H57" s="299">
        <v>495000</v>
      </c>
      <c r="I57" s="300">
        <f>compras_mes3[[#This Row],[NETO GRAVADO]]*0.21</f>
        <v>103950</v>
      </c>
      <c r="J57" s="300"/>
      <c r="K57" s="300"/>
      <c r="L57" s="300"/>
      <c r="M57" s="300"/>
      <c r="N57" s="300"/>
      <c r="O57" s="300"/>
      <c r="P57" s="301">
        <f>SUM(compras_mes3[[#This Row],[NETO GRAVADO]:[Otros / No Grav.]])</f>
        <v>598950</v>
      </c>
      <c r="Q57" s="302" t="str">
        <f>IFERROR(IF(compras_mes3[[#This Row],[CUIT]]="","-",VLOOKUP(compras_mes3[[#This Row],[CUIT]],Lista_CUIT[#All],3,0)),"CUIT NO CARGADO")</f>
        <v>Honorarios Legales</v>
      </c>
      <c r="R57" s="302">
        <f>IFERROR(IF(compras_mes3[[#This Row],[CUIT]]="","-",VLOOKUP(compras_mes3[[#This Row],[CUIT]],Lista_CUIT[#All],4,0)),"CUIT NO CARGADO")</f>
        <v>0</v>
      </c>
    </row>
    <row r="58" spans="2:18" x14ac:dyDescent="0.25">
      <c r="B58" s="294" t="s">
        <v>2383</v>
      </c>
      <c r="C58" s="295">
        <v>1</v>
      </c>
      <c r="D58" s="296">
        <v>4</v>
      </c>
      <c r="E58" s="462">
        <v>10845</v>
      </c>
      <c r="F58" s="297">
        <v>30716627167</v>
      </c>
      <c r="G58" s="298" t="str">
        <f>IFERROR(IF(compras_mes3[[#This Row],[CUIT]]="","-",VLOOKUP(compras_mes3[[#This Row],[CUIT]],Lista_CUIT[#All],2,0)),"CUIT NO CARGADO")</f>
        <v>ZIEL TECHNOLOGY S.A</v>
      </c>
      <c r="H58" s="299">
        <v>267896.69</v>
      </c>
      <c r="I58" s="300">
        <f>compras_mes3[[#This Row],[NETO GRAVADO]]*0.21</f>
        <v>56258.304899999996</v>
      </c>
      <c r="J58" s="300"/>
      <c r="K58" s="300"/>
      <c r="L58" s="300"/>
      <c r="M58" s="300"/>
      <c r="N58" s="300"/>
      <c r="O58" s="300"/>
      <c r="P58" s="301">
        <f>SUM(compras_mes3[[#This Row],[NETO GRAVADO]:[Otros / No Grav.]])</f>
        <v>324154.99489999999</v>
      </c>
      <c r="Q58" s="302" t="str">
        <f>IFERROR(IF(compras_mes3[[#This Row],[CUIT]]="","-",VLOOKUP(compras_mes3[[#This Row],[CUIT]],Lista_CUIT[#All],3,0)),"CUIT NO CARGADO")</f>
        <v>Gastos administrativos</v>
      </c>
      <c r="R58" s="302">
        <f>IFERROR(IF(compras_mes3[[#This Row],[CUIT]]="","-",VLOOKUP(compras_mes3[[#This Row],[CUIT]],Lista_CUIT[#All],4,0)),"CUIT NO CARGADO")</f>
        <v>0</v>
      </c>
    </row>
    <row r="59" spans="2:18" x14ac:dyDescent="0.25">
      <c r="B59" s="303" t="s">
        <v>2393</v>
      </c>
      <c r="C59" s="295">
        <v>1</v>
      </c>
      <c r="D59" s="304">
        <v>4</v>
      </c>
      <c r="E59" s="305">
        <v>2394</v>
      </c>
      <c r="F59" s="306">
        <v>33716767669</v>
      </c>
      <c r="G59" s="307" t="str">
        <f>IFERROR(IF(compras_mes3[[#This Row],[CUIT]]="","-",VLOOKUP(compras_mes3[[#This Row],[CUIT]],Lista_CUIT[#All],2,0)),"CUIT NO CARGADO")</f>
        <v>LIDER ESTANT SRL</v>
      </c>
      <c r="H59" s="308">
        <v>195044.86</v>
      </c>
      <c r="I59" s="300">
        <f>compras_mes3[[#This Row],[NETO GRAVADO]]*0.21</f>
        <v>40959.420599999998</v>
      </c>
      <c r="J59" s="309"/>
      <c r="K59" s="309"/>
      <c r="L59" s="309"/>
      <c r="M59" s="309"/>
      <c r="N59" s="309"/>
      <c r="O59" s="309"/>
      <c r="P59" s="301">
        <f>SUM(compras_mes3[[#This Row],[NETO GRAVADO]:[Otros / No Grav.]])</f>
        <v>236004.2806</v>
      </c>
      <c r="Q59" s="310" t="str">
        <f>IFERROR(IF(compras_mes3[[#This Row],[CUIT]]="","-",VLOOKUP(compras_mes3[[#This Row],[CUIT]],Lista_CUIT[#All],3,0)),"CUIT NO CARGADO")</f>
        <v>Muebles y Utiles</v>
      </c>
      <c r="R59" s="310">
        <f>IFERROR(IF(compras_mes3[[#This Row],[CUIT]]="","-",VLOOKUP(compras_mes3[[#This Row],[CUIT]],Lista_CUIT[#All],4,0)),"CUIT NO CARGADO")</f>
        <v>0</v>
      </c>
    </row>
    <row r="60" spans="2:18" x14ac:dyDescent="0.25">
      <c r="B60" s="294" t="s">
        <v>2388</v>
      </c>
      <c r="C60" s="295">
        <v>1</v>
      </c>
      <c r="D60" s="296">
        <v>12</v>
      </c>
      <c r="E60" s="462">
        <v>226619</v>
      </c>
      <c r="F60" s="297">
        <v>30707598936</v>
      </c>
      <c r="G60" s="298" t="str">
        <f>IFERROR(IF(compras_mes3[[#This Row],[CUIT]]="","-",VLOOKUP(compras_mes3[[#This Row],[CUIT]],Lista_CUIT[#All],2,0)),"CUIT NO CARGADO")</f>
        <v>CENTRO-SEC SRL</v>
      </c>
      <c r="H60" s="299">
        <v>190545.96</v>
      </c>
      <c r="I60" s="300">
        <f>compras_mes3[[#This Row],[NETO GRAVADO]]*0.21</f>
        <v>40014.651599999997</v>
      </c>
      <c r="J60" s="300"/>
      <c r="K60" s="300"/>
      <c r="L60" s="300"/>
      <c r="M60" s="300">
        <v>11432.76</v>
      </c>
      <c r="N60" s="300"/>
      <c r="O60" s="300"/>
      <c r="P60" s="301">
        <f>SUM(compras_mes3[[#This Row],[NETO GRAVADO]:[Otros / No Grav.]])</f>
        <v>241993.37160000001</v>
      </c>
      <c r="Q60" s="302" t="str">
        <f>IFERROR(IF(compras_mes3[[#This Row],[CUIT]]="","-",VLOOKUP(compras_mes3[[#This Row],[CUIT]],Lista_CUIT[#All],3,0)),"CUIT NO CARGADO")</f>
        <v>Gastos Varios</v>
      </c>
      <c r="R60" s="302">
        <f>IFERROR(IF(compras_mes3[[#This Row],[CUIT]]="","-",VLOOKUP(compras_mes3[[#This Row],[CUIT]],Lista_CUIT[#All],4,0)),"CUIT NO CARGADO")</f>
        <v>0</v>
      </c>
    </row>
    <row r="61" spans="2:18" x14ac:dyDescent="0.25">
      <c r="B61" s="294" t="s">
        <v>2397</v>
      </c>
      <c r="C61" s="295">
        <v>1</v>
      </c>
      <c r="D61" s="296">
        <v>4</v>
      </c>
      <c r="E61" s="462">
        <v>808</v>
      </c>
      <c r="F61" s="297">
        <v>30717690075</v>
      </c>
      <c r="G61" s="298" t="str">
        <f>IFERROR(IF(compras_mes3[[#This Row],[CUIT]]="","-",VLOOKUP(compras_mes3[[#This Row],[CUIT]],Lista_CUIT[#All],2,0)),"CUIT NO CARGADO")</f>
        <v>MFK</v>
      </c>
      <c r="H61" s="299">
        <v>162190.07999999999</v>
      </c>
      <c r="I61" s="300">
        <f>compras_mes3[[#This Row],[NETO GRAVADO]]*0.21</f>
        <v>34059.916799999999</v>
      </c>
      <c r="J61" s="300"/>
      <c r="K61" s="300"/>
      <c r="L61" s="300"/>
      <c r="M61" s="300"/>
      <c r="N61" s="300"/>
      <c r="O61" s="300"/>
      <c r="P61" s="301">
        <f>SUM(compras_mes3[[#This Row],[NETO GRAVADO]:[Otros / No Grav.]])</f>
        <v>196249.99679999999</v>
      </c>
      <c r="Q61" s="302" t="str">
        <f>IFERROR(IF(compras_mes3[[#This Row],[CUIT]]="","-",VLOOKUP(compras_mes3[[#This Row],[CUIT]],Lista_CUIT[#All],3,0)),"CUIT NO CARGADO")</f>
        <v>Gastos Varios</v>
      </c>
      <c r="R61" s="302">
        <f>IFERROR(IF(compras_mes3[[#This Row],[CUIT]]="","-",VLOOKUP(compras_mes3[[#This Row],[CUIT]],Lista_CUIT[#All],4,0)),"CUIT NO CARGADO")</f>
        <v>0</v>
      </c>
    </row>
    <row r="62" spans="2:18" x14ac:dyDescent="0.25">
      <c r="B62" s="294" t="s">
        <v>2399</v>
      </c>
      <c r="C62" s="295">
        <v>1</v>
      </c>
      <c r="D62" s="296">
        <v>3</v>
      </c>
      <c r="E62" s="462">
        <v>2728</v>
      </c>
      <c r="F62" s="297">
        <v>20352040402</v>
      </c>
      <c r="G62" s="298" t="str">
        <f>IFERROR(IF(compras_mes3[[#This Row],[CUIT]]="","-",VLOOKUP(compras_mes3[[#This Row],[CUIT]],Lista_CUIT[#All],2,0)),"CUIT NO CARGADO")</f>
        <v xml:space="preserve">THE GLOBAL SHINE </v>
      </c>
      <c r="H62" s="299">
        <v>113057.8</v>
      </c>
      <c r="I62" s="300">
        <f>compras_mes3[[#This Row],[NETO GRAVADO]]*0.21</f>
        <v>23742.137999999999</v>
      </c>
      <c r="J62" s="300"/>
      <c r="K62" s="300"/>
      <c r="L62" s="300"/>
      <c r="M62" s="300"/>
      <c r="N62" s="300"/>
      <c r="O62" s="300"/>
      <c r="P62" s="301">
        <f>SUM(compras_mes3[[#This Row],[NETO GRAVADO]:[Otros / No Grav.]])</f>
        <v>136799.93799999999</v>
      </c>
      <c r="Q62" s="302" t="str">
        <f>IFERROR(IF(compras_mes3[[#This Row],[CUIT]]="","-",VLOOKUP(compras_mes3[[#This Row],[CUIT]],Lista_CUIT[#All],3,0)),"CUIT NO CARGADO")</f>
        <v>Muebles y Utiles</v>
      </c>
      <c r="R62" s="302">
        <f>IFERROR(IF(compras_mes3[[#This Row],[CUIT]]="","-",VLOOKUP(compras_mes3[[#This Row],[CUIT]],Lista_CUIT[#All],4,0)),"CUIT NO CARGADO")</f>
        <v>0</v>
      </c>
    </row>
    <row r="63" spans="2:18" x14ac:dyDescent="0.25">
      <c r="B63" s="294" t="s">
        <v>2406</v>
      </c>
      <c r="C63" s="295">
        <v>1</v>
      </c>
      <c r="D63" s="296">
        <v>6</v>
      </c>
      <c r="E63" s="462">
        <v>16488</v>
      </c>
      <c r="F63" s="297">
        <v>30703451310</v>
      </c>
      <c r="G63" s="298" t="str">
        <f>IFERROR(IF(compras_mes3[[#This Row],[CUIT]]="","-",VLOOKUP(compras_mes3[[#This Row],[CUIT]],Lista_CUIT[#All],2,0)),"CUIT NO CARGADO")</f>
        <v>AGROCENTRAL S R L</v>
      </c>
      <c r="H63" s="299">
        <v>94484.32</v>
      </c>
      <c r="I63" s="300">
        <f>compras_mes3[[#This Row],[NETO GRAVADO]]*0.21</f>
        <v>19841.707200000001</v>
      </c>
      <c r="J63" s="300"/>
      <c r="K63" s="300"/>
      <c r="L63" s="300"/>
      <c r="M63" s="300"/>
      <c r="N63" s="300"/>
      <c r="O63" s="300"/>
      <c r="P63" s="301">
        <f>SUM(compras_mes3[[#This Row],[NETO GRAVADO]:[Otros / No Grav.]])</f>
        <v>114326.02720000001</v>
      </c>
      <c r="Q63" s="302" t="str">
        <f>IFERROR(IF(compras_mes3[[#This Row],[CUIT]]="","-",VLOOKUP(compras_mes3[[#This Row],[CUIT]],Lista_CUIT[#All],3,0)),"CUIT NO CARGADO")</f>
        <v>Gastos Varios</v>
      </c>
      <c r="R63" s="302">
        <f>IFERROR(IF(compras_mes3[[#This Row],[CUIT]]="","-",VLOOKUP(compras_mes3[[#This Row],[CUIT]],Lista_CUIT[#All],4,0)),"CUIT NO CARGADO")</f>
        <v>0</v>
      </c>
    </row>
    <row r="64" spans="2:18" x14ac:dyDescent="0.25">
      <c r="B64" s="303" t="s">
        <v>2395</v>
      </c>
      <c r="C64" s="295">
        <v>1</v>
      </c>
      <c r="D64" s="304">
        <v>7</v>
      </c>
      <c r="E64" s="305">
        <v>7344</v>
      </c>
      <c r="F64" s="306">
        <v>27341012525</v>
      </c>
      <c r="G64" s="307" t="str">
        <f>IFERROR(IF(compras_mes3[[#This Row],[CUIT]]="","-",VLOOKUP(compras_mes3[[#This Row],[CUIT]],Lista_CUIT[#All],2,0)),"CUIT NO CARGADO")</f>
        <v>MAGARIÑOS VANESA LORENA</v>
      </c>
      <c r="H64" s="308">
        <v>93933.88</v>
      </c>
      <c r="I64" s="300">
        <f>compras_mes3[[#This Row],[NETO GRAVADO]]*0.21</f>
        <v>19726.114799999999</v>
      </c>
      <c r="J64" s="309"/>
      <c r="K64" s="309"/>
      <c r="L64" s="309"/>
      <c r="M64" s="309"/>
      <c r="N64" s="309"/>
      <c r="O64" s="309"/>
      <c r="P64" s="301">
        <f>SUM(compras_mes3[[#This Row],[NETO GRAVADO]:[Otros / No Grav.]])</f>
        <v>113659.9948</v>
      </c>
      <c r="Q64" s="310" t="str">
        <f>IFERROR(IF(compras_mes3[[#This Row],[CUIT]]="","-",VLOOKUP(compras_mes3[[#This Row],[CUIT]],Lista_CUIT[#All],3,0)),"CUIT NO CARGADO")</f>
        <v>Gastos Varios</v>
      </c>
      <c r="R64" s="310">
        <f>IFERROR(IF(compras_mes3[[#This Row],[CUIT]]="","-",VLOOKUP(compras_mes3[[#This Row],[CUIT]],Lista_CUIT[#All],4,0)),"CUIT NO CARGADO")</f>
        <v>0</v>
      </c>
    </row>
    <row r="65" spans="2:18" x14ac:dyDescent="0.25">
      <c r="B65" s="294" t="s">
        <v>2387</v>
      </c>
      <c r="C65" s="295">
        <v>1</v>
      </c>
      <c r="D65" s="296">
        <v>3</v>
      </c>
      <c r="E65" s="462">
        <v>20908</v>
      </c>
      <c r="F65" s="297">
        <v>30717315657</v>
      </c>
      <c r="G65" s="298" t="str">
        <f>IFERROR(IF(compras_mes3[[#This Row],[CUIT]]="","-",VLOOKUP(compras_mes3[[#This Row],[CUIT]],Lista_CUIT[#All],2,0)),"CUIT NO CARGADO")</f>
        <v>Tango Hogar SRL</v>
      </c>
      <c r="H65" s="299">
        <v>58015.64</v>
      </c>
      <c r="I65" s="300">
        <f>compras_mes3[[#This Row],[NETO GRAVADO]]*0.21</f>
        <v>12183.284399999999</v>
      </c>
      <c r="J65" s="300"/>
      <c r="K65" s="300"/>
      <c r="L65" s="300"/>
      <c r="M65" s="300"/>
      <c r="N65" s="300"/>
      <c r="O65" s="300"/>
      <c r="P65" s="301">
        <f>SUM(compras_mes3[[#This Row],[NETO GRAVADO]:[Otros / No Grav.]])</f>
        <v>70198.924400000004</v>
      </c>
      <c r="Q65" s="302" t="str">
        <f>IFERROR(IF(compras_mes3[[#This Row],[CUIT]]="","-",VLOOKUP(compras_mes3[[#This Row],[CUIT]],Lista_CUIT[#All],3,0)),"CUIT NO CARGADO")</f>
        <v>Gastos Varios</v>
      </c>
      <c r="R65" s="302">
        <f>IFERROR(IF(compras_mes3[[#This Row],[CUIT]]="","-",VLOOKUP(compras_mes3[[#This Row],[CUIT]],Lista_CUIT[#All],4,0)),"CUIT NO CARGADO")</f>
        <v>0</v>
      </c>
    </row>
    <row r="66" spans="2:18" x14ac:dyDescent="0.25">
      <c r="B66" s="294" t="s">
        <v>2388</v>
      </c>
      <c r="C66" s="295">
        <v>1</v>
      </c>
      <c r="D66" s="296">
        <v>2</v>
      </c>
      <c r="E66" s="462">
        <v>6769</v>
      </c>
      <c r="F66" s="297">
        <v>20242147341</v>
      </c>
      <c r="G66" s="298" t="str">
        <f>IFERROR(IF(compras_mes3[[#This Row],[CUIT]]="","-",VLOOKUP(compras_mes3[[#This Row],[CUIT]],Lista_CUIT[#All],2,0)),"CUIT NO CARGADO")</f>
        <v>TOSOLINI ANDRES ALCIDES GUSTAVO</v>
      </c>
      <c r="H66" s="299">
        <v>54545.440000000002</v>
      </c>
      <c r="I66" s="300">
        <f>compras_mes3[[#This Row],[NETO GRAVADO]]*0.21</f>
        <v>11454.5424</v>
      </c>
      <c r="J66" s="300"/>
      <c r="K66" s="300"/>
      <c r="L66" s="300"/>
      <c r="M66" s="300"/>
      <c r="N66" s="300"/>
      <c r="O66" s="300"/>
      <c r="P66" s="301">
        <f>SUM(compras_mes3[[#This Row],[NETO GRAVADO]:[Otros / No Grav.]])</f>
        <v>65999.982400000008</v>
      </c>
      <c r="Q66" s="302" t="str">
        <f>IFERROR(IF(compras_mes3[[#This Row],[CUIT]]="","-",VLOOKUP(compras_mes3[[#This Row],[CUIT]],Lista_CUIT[#All],3,0)),"CUIT NO CARGADO")</f>
        <v>Honorarios Legales</v>
      </c>
      <c r="R66" s="302">
        <f>IFERROR(IF(compras_mes3[[#This Row],[CUIT]]="","-",VLOOKUP(compras_mes3[[#This Row],[CUIT]],Lista_CUIT[#All],4,0)),"CUIT NO CARGADO")</f>
        <v>0</v>
      </c>
    </row>
    <row r="67" spans="2:18" x14ac:dyDescent="0.25">
      <c r="B67" s="303" t="s">
        <v>2409</v>
      </c>
      <c r="C67" s="295">
        <v>1</v>
      </c>
      <c r="D67" s="304">
        <v>5</v>
      </c>
      <c r="E67" s="305">
        <v>200</v>
      </c>
      <c r="F67" s="306">
        <v>30716502356</v>
      </c>
      <c r="G67" s="307" t="str">
        <f>IFERROR(IF(compras_mes3[[#This Row],[CUIT]]="","-",VLOOKUP(compras_mes3[[#This Row],[CUIT]],Lista_CUIT[#All],2,0)),"CUIT NO CARGADO")</f>
        <v xml:space="preserve">PUNTOTECH </v>
      </c>
      <c r="H67" s="308">
        <v>45955.66</v>
      </c>
      <c r="I67" s="85" t="s">
        <v>2411</v>
      </c>
      <c r="J67" s="309"/>
      <c r="K67" s="309">
        <f>compras_mes3[[#This Row],[NETO GRAVADO]]*0.105</f>
        <v>4825.3442999999997</v>
      </c>
      <c r="L67" s="309"/>
      <c r="M67" s="309"/>
      <c r="N67" s="309"/>
      <c r="O67" s="309"/>
      <c r="P67" s="312">
        <f>SUM(compras_mes3[[#This Row],[NETO GRAVADO]:[Otros / No Grav.]])</f>
        <v>50781.004300000001</v>
      </c>
      <c r="Q67" s="310" t="str">
        <f>IFERROR(IF(compras_mes3[[#This Row],[CUIT]]="","-",VLOOKUP(compras_mes3[[#This Row],[CUIT]],Lista_CUIT[#All],3,0)),"CUIT NO CARGADO")</f>
        <v>Muebles y Utiles</v>
      </c>
      <c r="R67" s="310">
        <f>IFERROR(IF(compras_mes3[[#This Row],[CUIT]]="","-",VLOOKUP(compras_mes3[[#This Row],[CUIT]],Lista_CUIT[#All],4,0)),"CUIT NO CARGADO")</f>
        <v>0</v>
      </c>
    </row>
    <row r="68" spans="2:18" x14ac:dyDescent="0.25">
      <c r="B68" s="294" t="s">
        <v>2387</v>
      </c>
      <c r="C68" s="295">
        <v>1</v>
      </c>
      <c r="D68" s="296">
        <v>7243</v>
      </c>
      <c r="E68" s="462">
        <v>278</v>
      </c>
      <c r="F68" s="297">
        <v>33707675069</v>
      </c>
      <c r="G68" s="298" t="str">
        <f>IFERROR(IF(compras_mes3[[#This Row],[CUIT]]="","-",VLOOKUP(compras_mes3[[#This Row],[CUIT]],Lista_CUIT[#All],2,0)),"CUIT NO CARGADO")</f>
        <v>BUS PACK S.A.</v>
      </c>
      <c r="H68" s="299">
        <v>42557.86</v>
      </c>
      <c r="I68" s="300">
        <f>compras_mes3[[#This Row],[NETO GRAVADO]]*0.21</f>
        <v>8937.150599999999</v>
      </c>
      <c r="J68" s="300"/>
      <c r="K68" s="300"/>
      <c r="L68" s="300"/>
      <c r="M68" s="300"/>
      <c r="N68" s="300"/>
      <c r="O68" s="300"/>
      <c r="P68" s="301">
        <f>SUM(compras_mes3[[#This Row],[NETO GRAVADO]:[Otros / No Grav.]])</f>
        <v>51495.010600000001</v>
      </c>
      <c r="Q68" s="302" t="str">
        <f>IFERROR(IF(compras_mes3[[#This Row],[CUIT]]="","-",VLOOKUP(compras_mes3[[#This Row],[CUIT]],Lista_CUIT[#All],3,0)),"CUIT NO CARGADO")</f>
        <v>Flete</v>
      </c>
      <c r="R68" s="302">
        <f>IFERROR(IF(compras_mes3[[#This Row],[CUIT]]="","-",VLOOKUP(compras_mes3[[#This Row],[CUIT]],Lista_CUIT[#All],4,0)),"CUIT NO CARGADO")</f>
        <v>0</v>
      </c>
    </row>
    <row r="69" spans="2:18" x14ac:dyDescent="0.25">
      <c r="B69" s="294" t="s">
        <v>2406</v>
      </c>
      <c r="C69" s="295">
        <v>1</v>
      </c>
      <c r="D69" s="296">
        <v>5</v>
      </c>
      <c r="E69" s="462">
        <v>45264</v>
      </c>
      <c r="F69" s="297">
        <v>30711549206</v>
      </c>
      <c r="G69" s="298" t="str">
        <f>IFERROR(IF(compras_mes3[[#This Row],[CUIT]]="","-",VLOOKUP(compras_mes3[[#This Row],[CUIT]],Lista_CUIT[#All],2,0)),"CUIT NO CARGADO")</f>
        <v>DDV S.R.L</v>
      </c>
      <c r="H69" s="299">
        <v>40076.400000000001</v>
      </c>
      <c r="I69" s="300">
        <f>compras_mes3[[#This Row],[NETO GRAVADO]]*0.21</f>
        <v>8416.0439999999999</v>
      </c>
      <c r="J69" s="300"/>
      <c r="K69" s="300"/>
      <c r="L69" s="300"/>
      <c r="M69" s="300"/>
      <c r="N69" s="300"/>
      <c r="O69" s="300"/>
      <c r="P69" s="301">
        <f>SUM(compras_mes3[[#This Row],[NETO GRAVADO]:[Otros / No Grav.]])</f>
        <v>48492.444000000003</v>
      </c>
      <c r="Q69" s="302" t="str">
        <f>IFERROR(IF(compras_mes3[[#This Row],[CUIT]]="","-",VLOOKUP(compras_mes3[[#This Row],[CUIT]],Lista_CUIT[#All],3,0)),"CUIT NO CARGADO")</f>
        <v>Librería</v>
      </c>
      <c r="R69" s="302">
        <f>IFERROR(IF(compras_mes3[[#This Row],[CUIT]]="","-",VLOOKUP(compras_mes3[[#This Row],[CUIT]],Lista_CUIT[#All],4,0)),"CUIT NO CARGADO")</f>
        <v>0</v>
      </c>
    </row>
    <row r="70" spans="2:18" x14ac:dyDescent="0.25">
      <c r="B70" s="294" t="s">
        <v>2404</v>
      </c>
      <c r="C70" s="295">
        <v>1</v>
      </c>
      <c r="D70" s="296">
        <v>3</v>
      </c>
      <c r="E70" s="462">
        <v>2741</v>
      </c>
      <c r="F70" s="297">
        <v>30708393262</v>
      </c>
      <c r="G70" s="298" t="str">
        <f>IFERROR(IF(compras_mes3[[#This Row],[CUIT]]="","-",VLOOKUP(compras_mes3[[#This Row],[CUIT]],Lista_CUIT[#All],2,0)),"CUIT NO CARGADO")</f>
        <v>VIVERO GALANTE BRUNO S.A.</v>
      </c>
      <c r="H70" s="299">
        <v>38311.25</v>
      </c>
      <c r="I70" s="300">
        <f>compras_mes3[[#This Row],[NETO GRAVADO]]*0.21</f>
        <v>8045.3624999999993</v>
      </c>
      <c r="J70" s="300"/>
      <c r="K70" s="300"/>
      <c r="L70" s="300"/>
      <c r="M70" s="300"/>
      <c r="N70" s="300"/>
      <c r="O70" s="300"/>
      <c r="P70" s="301">
        <f>SUM(compras_mes3[[#This Row],[NETO GRAVADO]:[Otros / No Grav.]])</f>
        <v>46356.612500000003</v>
      </c>
      <c r="Q70" s="302" t="str">
        <f>IFERROR(IF(compras_mes3[[#This Row],[CUIT]]="","-",VLOOKUP(compras_mes3[[#This Row],[CUIT]],Lista_CUIT[#All],3,0)),"CUIT NO CARGADO")</f>
        <v>Gastos Varios</v>
      </c>
      <c r="R70" s="302">
        <f>IFERROR(IF(compras_mes3[[#This Row],[CUIT]]="","-",VLOOKUP(compras_mes3[[#This Row],[CUIT]],Lista_CUIT[#All],4,0)),"CUIT NO CARGADO")</f>
        <v>0</v>
      </c>
    </row>
    <row r="71" spans="2:18" x14ac:dyDescent="0.25">
      <c r="B71" s="294" t="s">
        <v>2392</v>
      </c>
      <c r="C71" s="295">
        <v>1</v>
      </c>
      <c r="D71" s="296">
        <v>508</v>
      </c>
      <c r="E71" s="462">
        <v>21995</v>
      </c>
      <c r="F71" s="297">
        <v>30708912146</v>
      </c>
      <c r="G71" s="298" t="str">
        <f>IFERROR(IF(compras_mes3[[#This Row],[CUIT]]="","-",VLOOKUP(compras_mes3[[#This Row],[CUIT]],Lista_CUIT[#All],2,0)),"CUIT NO CARGADO")</f>
        <v>XIUN SA</v>
      </c>
      <c r="H71" s="299">
        <v>31090.17</v>
      </c>
      <c r="I71" s="300">
        <f>compras_mes3[[#This Row],[NETO GRAVADO]]*0.21</f>
        <v>6528.9356999999991</v>
      </c>
      <c r="J71" s="300"/>
      <c r="K71" s="300"/>
      <c r="L71" s="300"/>
      <c r="M71" s="300"/>
      <c r="N71" s="300">
        <v>1865.41</v>
      </c>
      <c r="O71" s="300"/>
      <c r="P71" s="301">
        <f>SUM(compras_mes3[[#This Row],[NETO GRAVADO]:[Otros / No Grav.]])</f>
        <v>39484.515700000004</v>
      </c>
      <c r="Q71" s="302" t="str">
        <f>IFERROR(IF(compras_mes3[[#This Row],[CUIT]]="","-",VLOOKUP(compras_mes3[[#This Row],[CUIT]],Lista_CUIT[#All],3,0)),"CUIT NO CARGADO")</f>
        <v xml:space="preserve">Gastos mantenimiento </v>
      </c>
      <c r="R71" s="302">
        <f>IFERROR(IF(compras_mes3[[#This Row],[CUIT]]="","-",VLOOKUP(compras_mes3[[#This Row],[CUIT]],Lista_CUIT[#All],4,0)),"CUIT NO CARGADO")</f>
        <v>0</v>
      </c>
    </row>
    <row r="72" spans="2:18" x14ac:dyDescent="0.25">
      <c r="B72" s="294" t="s">
        <v>2391</v>
      </c>
      <c r="C72" s="295">
        <v>1</v>
      </c>
      <c r="D72" s="296">
        <v>2</v>
      </c>
      <c r="E72" s="462">
        <v>4458</v>
      </c>
      <c r="F72" s="297">
        <v>30718028996</v>
      </c>
      <c r="G72" s="298" t="str">
        <f>IFERROR(IF(compras_mes3[[#This Row],[CUIT]]="","-",VLOOKUP(compras_mes3[[#This Row],[CUIT]],Lista_CUIT[#All],2,0)),"CUIT NO CARGADO")</f>
        <v>FULL STORE SRL</v>
      </c>
      <c r="H72" s="299">
        <v>29864.25</v>
      </c>
      <c r="I72" s="85" t="s">
        <v>2411</v>
      </c>
      <c r="J72" s="300"/>
      <c r="K72" s="300">
        <f>compras_mes3[[#This Row],[NETO GRAVADO]]*0.105</f>
        <v>3135.7462499999997</v>
      </c>
      <c r="L72" s="300"/>
      <c r="M72" s="300"/>
      <c r="N72" s="300"/>
      <c r="O72" s="300"/>
      <c r="P72" s="301">
        <f>SUM(compras_mes3[[#This Row],[NETO GRAVADO]:[Otros / No Grav.]])</f>
        <v>32999.996249999997</v>
      </c>
      <c r="Q72" s="302" t="str">
        <f>IFERROR(IF(compras_mes3[[#This Row],[CUIT]]="","-",VLOOKUP(compras_mes3[[#This Row],[CUIT]],Lista_CUIT[#All],3,0)),"CUIT NO CARGADO")</f>
        <v>Muebles y Utiles</v>
      </c>
      <c r="R72" s="302">
        <f>IFERROR(IF(compras_mes3[[#This Row],[CUIT]]="","-",VLOOKUP(compras_mes3[[#This Row],[CUIT]],Lista_CUIT[#All],4,0)),"CUIT NO CARGADO")</f>
        <v>0</v>
      </c>
    </row>
    <row r="73" spans="2:18" x14ac:dyDescent="0.25">
      <c r="B73" s="294" t="s">
        <v>2392</v>
      </c>
      <c r="C73" s="295">
        <v>1</v>
      </c>
      <c r="D73" s="296">
        <v>11</v>
      </c>
      <c r="E73" s="462">
        <v>14833</v>
      </c>
      <c r="F73" s="297">
        <v>30700976501</v>
      </c>
      <c r="G73" s="298" t="str">
        <f>IFERROR(IF(compras_mes3[[#This Row],[CUIT]]="","-",VLOOKUP(compras_mes3[[#This Row],[CUIT]],Lista_CUIT[#All],2,0)),"CUIT NO CARGADO")</f>
        <v>COMBE ARGENTINA S R L</v>
      </c>
      <c r="H73" s="299">
        <v>24562.81</v>
      </c>
      <c r="I73" s="300">
        <f>compras_mes3[[#This Row],[NETO GRAVADO]]*0.21</f>
        <v>5158.1900999999998</v>
      </c>
      <c r="J73" s="300"/>
      <c r="K73" s="300"/>
      <c r="L73" s="300"/>
      <c r="M73" s="300"/>
      <c r="N73" s="300"/>
      <c r="O73" s="300"/>
      <c r="P73" s="301">
        <f>SUM(compras_mes3[[#This Row],[NETO GRAVADO]:[Otros / No Grav.]])</f>
        <v>29721.000100000001</v>
      </c>
      <c r="Q73" s="302" t="str">
        <f>IFERROR(IF(compras_mes3[[#This Row],[CUIT]]="","-",VLOOKUP(compras_mes3[[#This Row],[CUIT]],Lista_CUIT[#All],3,0)),"CUIT NO CARGADO")</f>
        <v>Insumos</v>
      </c>
      <c r="R73" s="302">
        <f>IFERROR(IF(compras_mes3[[#This Row],[CUIT]]="","-",VLOOKUP(compras_mes3[[#This Row],[CUIT]],Lista_CUIT[#All],4,0)),"CUIT NO CARGADO")</f>
        <v>0</v>
      </c>
    </row>
    <row r="74" spans="2:18" x14ac:dyDescent="0.25">
      <c r="B74" s="303" t="s">
        <v>2406</v>
      </c>
      <c r="C74" s="295">
        <v>1</v>
      </c>
      <c r="D74" s="304">
        <v>11</v>
      </c>
      <c r="E74" s="305">
        <v>26504</v>
      </c>
      <c r="F74" s="306">
        <v>33709701199</v>
      </c>
      <c r="G74" s="307" t="str">
        <f>IFERROR(IF(compras_mes3[[#This Row],[CUIT]]="","-",VLOOKUP(compras_mes3[[#This Row],[CUIT]],Lista_CUIT[#All],2,0)),"CUIT NO CARGADO")</f>
        <v>RAIN SHOW S.A.</v>
      </c>
      <c r="H74" s="308">
        <v>22017.65</v>
      </c>
      <c r="I74" s="300">
        <v>161.03</v>
      </c>
      <c r="J74" s="309"/>
      <c r="K74" s="309">
        <v>2231.34</v>
      </c>
      <c r="L74" s="309"/>
      <c r="M74" s="309"/>
      <c r="N74" s="309"/>
      <c r="O74" s="309"/>
      <c r="P74" s="301">
        <f>SUM(compras_mes3[[#This Row],[NETO GRAVADO]:[Otros / No Grav.]])</f>
        <v>24410.02</v>
      </c>
      <c r="Q74" s="310" t="str">
        <f>IFERROR(IF(compras_mes3[[#This Row],[CUIT]]="","-",VLOOKUP(compras_mes3[[#This Row],[CUIT]],Lista_CUIT[#All],3,0)),"CUIT NO CARGADO")</f>
        <v>Gastos Varios</v>
      </c>
      <c r="R74" s="310">
        <f>IFERROR(IF(compras_mes3[[#This Row],[CUIT]]="","-",VLOOKUP(compras_mes3[[#This Row],[CUIT]],Lista_CUIT[#All],4,0)),"CUIT NO CARGADO")</f>
        <v>0</v>
      </c>
    </row>
    <row r="75" spans="2:18" x14ac:dyDescent="0.25">
      <c r="B75" s="303" t="s">
        <v>2407</v>
      </c>
      <c r="C75" s="295">
        <v>1</v>
      </c>
      <c r="D75" s="304">
        <v>52</v>
      </c>
      <c r="E75" s="305">
        <v>622</v>
      </c>
      <c r="F75" s="306">
        <v>30715209833</v>
      </c>
      <c r="G75" s="307" t="str">
        <f>IFERROR(IF(compras_mes3[[#This Row],[CUIT]]="","-",VLOOKUP(compras_mes3[[#This Row],[CUIT]],Lista_CUIT[#All],2,0)),"CUIT NO CARGADO")</f>
        <v>GIFEL S.R.L</v>
      </c>
      <c r="H75" s="308">
        <v>17107.43</v>
      </c>
      <c r="I75" s="309">
        <f>compras_mes3[[#This Row],[NETO GRAVADO]]*0.21</f>
        <v>3592.5603000000001</v>
      </c>
      <c r="J75" s="309"/>
      <c r="K75" s="309"/>
      <c r="L75" s="309"/>
      <c r="M75" s="309"/>
      <c r="N75" s="309"/>
      <c r="O75" s="309"/>
      <c r="P75" s="301">
        <f>SUM(compras_mes3[[#This Row],[NETO GRAVADO]:[Otros / No Grav.]])</f>
        <v>20699.990300000001</v>
      </c>
      <c r="Q75" s="310" t="str">
        <f>IFERROR(IF(compras_mes3[[#This Row],[CUIT]]="","-",VLOOKUP(compras_mes3[[#This Row],[CUIT]],Lista_CUIT[#All],3,0)),"CUIT NO CARGADO")</f>
        <v>Gastos Varios</v>
      </c>
      <c r="R75" s="310">
        <f>IFERROR(IF(compras_mes3[[#This Row],[CUIT]]="","-",VLOOKUP(compras_mes3[[#This Row],[CUIT]],Lista_CUIT[#All],4,0)),"CUIT NO CARGADO")</f>
        <v>0</v>
      </c>
    </row>
    <row r="76" spans="2:18" x14ac:dyDescent="0.25">
      <c r="B76" s="303" t="s">
        <v>2392</v>
      </c>
      <c r="C76" s="295">
        <v>1</v>
      </c>
      <c r="D76" s="304">
        <v>8</v>
      </c>
      <c r="E76" s="305">
        <v>1615</v>
      </c>
      <c r="F76" s="306">
        <v>30717495175</v>
      </c>
      <c r="G76" s="307" t="str">
        <f>IFERROR(IF(compras_mes3[[#This Row],[CUIT]]="","-",VLOOKUP(compras_mes3[[#This Row],[CUIT]],Lista_CUIT[#All],2,0)),"CUIT NO CARGADO")</f>
        <v>BYLAPPIEL LABORATORIOS S.A.S.</v>
      </c>
      <c r="H76" s="308">
        <v>13786.6</v>
      </c>
      <c r="I76" s="300">
        <f>compras_mes3[[#This Row],[NETO GRAVADO]]*0.21</f>
        <v>2895.1860000000001</v>
      </c>
      <c r="J76" s="309"/>
      <c r="K76" s="309"/>
      <c r="L76" s="309"/>
      <c r="M76" s="309"/>
      <c r="N76" s="309"/>
      <c r="O76" s="309"/>
      <c r="P76" s="301">
        <f>SUM(compras_mes3[[#This Row],[NETO GRAVADO]:[Otros / No Grav.]])</f>
        <v>16681.786</v>
      </c>
      <c r="Q76" s="310" t="str">
        <f>IFERROR(IF(compras_mes3[[#This Row],[CUIT]]="","-",VLOOKUP(compras_mes3[[#This Row],[CUIT]],Lista_CUIT[#All],3,0)),"CUIT NO CARGADO")</f>
        <v>Gastos Varios</v>
      </c>
      <c r="R76" s="310">
        <f>IFERROR(IF(compras_mes3[[#This Row],[CUIT]]="","-",VLOOKUP(compras_mes3[[#This Row],[CUIT]],Lista_CUIT[#All],4,0)),"CUIT NO CARGADO")</f>
        <v>0</v>
      </c>
    </row>
    <row r="77" spans="2:18" x14ac:dyDescent="0.25">
      <c r="B77" s="303" t="s">
        <v>2393</v>
      </c>
      <c r="C77" s="295">
        <v>1</v>
      </c>
      <c r="D77" s="304">
        <v>6011</v>
      </c>
      <c r="E77" s="305">
        <v>38463</v>
      </c>
      <c r="F77" s="306">
        <v>33707675069</v>
      </c>
      <c r="G77" s="307" t="str">
        <f>IFERROR(IF(compras_mes3[[#This Row],[CUIT]]="","-",VLOOKUP(compras_mes3[[#This Row],[CUIT]],Lista_CUIT[#All],2,0)),"CUIT NO CARGADO")</f>
        <v>BUS PACK S.A.</v>
      </c>
      <c r="H77" s="308">
        <v>13446.29</v>
      </c>
      <c r="I77" s="300">
        <f>compras_mes3[[#This Row],[NETO GRAVADO]]*0.21</f>
        <v>2823.7209000000003</v>
      </c>
      <c r="J77" s="309"/>
      <c r="K77" s="309"/>
      <c r="L77" s="309"/>
      <c r="M77" s="309"/>
      <c r="N77" s="309"/>
      <c r="O77" s="309"/>
      <c r="P77" s="301">
        <f>SUM(compras_mes3[[#This Row],[NETO GRAVADO]:[Otros / No Grav.]])</f>
        <v>16270.010900000001</v>
      </c>
      <c r="Q77" s="310" t="str">
        <f>IFERROR(IF(compras_mes3[[#This Row],[CUIT]]="","-",VLOOKUP(compras_mes3[[#This Row],[CUIT]],Lista_CUIT[#All],3,0)),"CUIT NO CARGADO")</f>
        <v>Flete</v>
      </c>
      <c r="R77" s="310">
        <f>IFERROR(IF(compras_mes3[[#This Row],[CUIT]]="","-",VLOOKUP(compras_mes3[[#This Row],[CUIT]],Lista_CUIT[#All],4,0)),"CUIT NO CARGADO")</f>
        <v>0</v>
      </c>
    </row>
    <row r="78" spans="2:18" x14ac:dyDescent="0.25">
      <c r="B78" s="294" t="s">
        <v>2398</v>
      </c>
      <c r="C78" s="295">
        <v>1</v>
      </c>
      <c r="D78" s="296">
        <v>8</v>
      </c>
      <c r="E78" s="462">
        <v>17503</v>
      </c>
      <c r="F78" s="297">
        <v>20359008954</v>
      </c>
      <c r="G78" s="298" t="str">
        <f>IFERROR(IF(compras_mes3[[#This Row],[CUIT]]="","-",VLOOKUP(compras_mes3[[#This Row],[CUIT]],Lista_CUIT[#All],2,0)),"CUIT NO CARGADO")</f>
        <v>LITVACK ENRIQUE</v>
      </c>
      <c r="H78" s="299">
        <v>11462.21</v>
      </c>
      <c r="I78" s="300">
        <f>compras_mes3[[#This Row],[NETO GRAVADO]]*0.21</f>
        <v>2407.0640999999996</v>
      </c>
      <c r="J78" s="300"/>
      <c r="K78" s="300"/>
      <c r="L78" s="300"/>
      <c r="M78" s="300"/>
      <c r="N78" s="300"/>
      <c r="O78" s="300"/>
      <c r="P78" s="301">
        <f>SUM(compras_mes3[[#This Row],[NETO GRAVADO]:[Otros / No Grav.]])</f>
        <v>13869.274099999999</v>
      </c>
      <c r="Q78" s="302" t="str">
        <f>IFERROR(IF(compras_mes3[[#This Row],[CUIT]]="","-",VLOOKUP(compras_mes3[[#This Row],[CUIT]],Lista_CUIT[#All],3,0)),"CUIT NO CARGADO")</f>
        <v>Gastos Varios</v>
      </c>
      <c r="R78" s="302">
        <f>IFERROR(IF(compras_mes3[[#This Row],[CUIT]]="","-",VLOOKUP(compras_mes3[[#This Row],[CUIT]],Lista_CUIT[#All],4,0)),"CUIT NO CARGADO")</f>
        <v>0</v>
      </c>
    </row>
    <row r="79" spans="2:18" x14ac:dyDescent="0.25">
      <c r="B79" s="294" t="s">
        <v>2388</v>
      </c>
      <c r="C79" s="295">
        <v>1</v>
      </c>
      <c r="D79" s="296">
        <v>2</v>
      </c>
      <c r="E79" s="462">
        <v>19769</v>
      </c>
      <c r="F79" s="297">
        <v>30716749351</v>
      </c>
      <c r="G79" s="298" t="str">
        <f>IFERROR(IF(compras_mes3[[#This Row],[CUIT]]="","-",VLOOKUP(compras_mes3[[#This Row],[CUIT]],Lista_CUIT[#All],2,0)),"CUIT NO CARGADO")</f>
        <v>TUACASA S.A.S</v>
      </c>
      <c r="H79" s="299">
        <v>8895.2099999999991</v>
      </c>
      <c r="I79" s="300">
        <f>compras_mes3[[#This Row],[NETO GRAVADO]]*0.21</f>
        <v>1867.9940999999997</v>
      </c>
      <c r="J79" s="300"/>
      <c r="K79" s="300"/>
      <c r="L79" s="300"/>
      <c r="M79" s="300"/>
      <c r="N79" s="300"/>
      <c r="O79" s="300"/>
      <c r="P79" s="301">
        <f>SUM(compras_mes3[[#This Row],[NETO GRAVADO]:[Otros / No Grav.]])</f>
        <v>10763.204099999999</v>
      </c>
      <c r="Q79" s="302" t="str">
        <f>IFERROR(IF(compras_mes3[[#This Row],[CUIT]]="","-",VLOOKUP(compras_mes3[[#This Row],[CUIT]],Lista_CUIT[#All],3,0)),"CUIT NO CARGADO")</f>
        <v>Librería</v>
      </c>
      <c r="R79" s="302">
        <f>IFERROR(IF(compras_mes3[[#This Row],[CUIT]]="","-",VLOOKUP(compras_mes3[[#This Row],[CUIT]],Lista_CUIT[#All],4,0)),"CUIT NO CARGADO")</f>
        <v>0</v>
      </c>
    </row>
    <row r="80" spans="2:18" x14ac:dyDescent="0.25">
      <c r="B80" s="294" t="s">
        <v>2407</v>
      </c>
      <c r="C80" s="295">
        <v>1</v>
      </c>
      <c r="D80" s="296">
        <v>11</v>
      </c>
      <c r="E80" s="462">
        <v>9699</v>
      </c>
      <c r="F80" s="297">
        <v>30690937006</v>
      </c>
      <c r="G80" s="298" t="str">
        <f>IFERROR(IF(compras_mes3[[#This Row],[CUIT]]="","-",VLOOKUP(compras_mes3[[#This Row],[CUIT]],Lista_CUIT[#All],2,0)),"CUIT NO CARGADO")</f>
        <v>ELECTRONICA EL UNIVERSO DE SCHARNOPOLSKYMARCELO MAULY</v>
      </c>
      <c r="H80" s="299">
        <v>4151.3</v>
      </c>
      <c r="I80" s="300">
        <v>225.62</v>
      </c>
      <c r="J80" s="300"/>
      <c r="K80" s="300">
        <v>323.08</v>
      </c>
      <c r="L80" s="300"/>
      <c r="M80" s="300"/>
      <c r="N80" s="300"/>
      <c r="O80" s="300"/>
      <c r="P80" s="301">
        <f>SUM(compras_mes3[[#This Row],[NETO GRAVADO]:[Otros / No Grav.]])</f>
        <v>4700</v>
      </c>
      <c r="Q80" s="302" t="str">
        <f>IFERROR(IF(compras_mes3[[#This Row],[CUIT]]="","-",VLOOKUP(compras_mes3[[#This Row],[CUIT]],Lista_CUIT[#All],3,0)),"CUIT NO CARGADO")</f>
        <v xml:space="preserve">Gastos mantenimiento </v>
      </c>
      <c r="R80" s="302">
        <f>IFERROR(IF(compras_mes3[[#This Row],[CUIT]]="","-",VLOOKUP(compras_mes3[[#This Row],[CUIT]],Lista_CUIT[#All],4,0)),"CUIT NO CARGADO")</f>
        <v>0</v>
      </c>
    </row>
    <row r="81" spans="2:18" x14ac:dyDescent="0.25">
      <c r="B81" s="303" t="s">
        <v>2388</v>
      </c>
      <c r="C81" s="295">
        <v>1</v>
      </c>
      <c r="D81" s="304">
        <v>11</v>
      </c>
      <c r="E81" s="305">
        <v>9703</v>
      </c>
      <c r="F81" s="306">
        <v>30690937006</v>
      </c>
      <c r="G81" s="307" t="str">
        <f>IFERROR(IF(compras_mes3[[#This Row],[CUIT]]="","-",VLOOKUP(compras_mes3[[#This Row],[CUIT]],Lista_CUIT[#All],2,0)),"CUIT NO CARGADO")</f>
        <v>ELECTRONICA EL UNIVERSO DE SCHARNOPOLSKYMARCELO MAULY</v>
      </c>
      <c r="H81" s="308">
        <v>3076.92</v>
      </c>
      <c r="I81" s="85" t="s">
        <v>2411</v>
      </c>
      <c r="J81" s="309"/>
      <c r="K81" s="309">
        <f>compras_mes3[[#This Row],[NETO GRAVADO]]*0.105</f>
        <v>323.07659999999998</v>
      </c>
      <c r="L81" s="309"/>
      <c r="M81" s="309"/>
      <c r="N81" s="309"/>
      <c r="O81" s="309"/>
      <c r="P81" s="312">
        <f>SUM(compras_mes3[[#This Row],[NETO GRAVADO]:[Otros / No Grav.]])</f>
        <v>3399.9965999999999</v>
      </c>
      <c r="Q81" s="310" t="str">
        <f>IFERROR(IF(compras_mes3[[#This Row],[CUIT]]="","-",VLOOKUP(compras_mes3[[#This Row],[CUIT]],Lista_CUIT[#All],3,0)),"CUIT NO CARGADO")</f>
        <v xml:space="preserve">Gastos mantenimiento </v>
      </c>
      <c r="R81" s="310">
        <f>IFERROR(IF(compras_mes3[[#This Row],[CUIT]]="","-",VLOOKUP(compras_mes3[[#This Row],[CUIT]],Lista_CUIT[#All],4,0)),"CUIT NO CARGADO")</f>
        <v>0</v>
      </c>
    </row>
    <row r="82" spans="2:18" x14ac:dyDescent="0.25">
      <c r="B82" s="294" t="s">
        <v>2382</v>
      </c>
      <c r="C82" s="295">
        <v>1</v>
      </c>
      <c r="D82" s="296">
        <v>1</v>
      </c>
      <c r="E82" s="462">
        <v>1739</v>
      </c>
      <c r="F82" s="297">
        <v>30718465636</v>
      </c>
      <c r="G82" s="298" t="str">
        <f>IFERROR(IF(compras_mes3[[#This Row],[CUIT]]="","-",VLOOKUP(compras_mes3[[#This Row],[CUIT]],Lista_CUIT[#All],2,0)),"CUIT NO CARGADO")</f>
        <v>MAQUINARIAS BOEDO SRL</v>
      </c>
      <c r="H82" s="299">
        <v>1398.35</v>
      </c>
      <c r="I82" s="300">
        <f>compras_mes3[[#This Row],[NETO GRAVADO]]*0.21</f>
        <v>293.65349999999995</v>
      </c>
      <c r="J82" s="300"/>
      <c r="K82" s="300"/>
      <c r="L82" s="300"/>
      <c r="M82" s="300"/>
      <c r="N82" s="300"/>
      <c r="O82" s="300"/>
      <c r="P82" s="301">
        <f>SUM(compras_mes3[[#This Row],[NETO GRAVADO]:[Otros / No Grav.]])</f>
        <v>1692.0034999999998</v>
      </c>
      <c r="Q82" s="302" t="str">
        <f>IFERROR(IF(compras_mes3[[#This Row],[CUIT]]="","-",VLOOKUP(compras_mes3[[#This Row],[CUIT]],Lista_CUIT[#All],3,0)),"CUIT NO CARGADO")</f>
        <v>Muebles y Utiles</v>
      </c>
      <c r="R82" s="302">
        <f>IFERROR(IF(compras_mes3[[#This Row],[CUIT]]="","-",VLOOKUP(compras_mes3[[#This Row],[CUIT]],Lista_CUIT[#All],4,0)),"CUIT NO CARGADO")</f>
        <v>0</v>
      </c>
    </row>
    <row r="83" spans="2:18" x14ac:dyDescent="0.25">
      <c r="B83" s="303" t="s">
        <v>2388</v>
      </c>
      <c r="C83" s="295">
        <v>3</v>
      </c>
      <c r="D83" s="304">
        <v>3</v>
      </c>
      <c r="E83" s="305">
        <v>4</v>
      </c>
      <c r="F83" s="306">
        <v>20202970940</v>
      </c>
      <c r="G83" s="307" t="str">
        <f>IFERROR(IF(compras_mes3[[#This Row],[CUIT]]="","-",VLOOKUP(compras_mes3[[#This Row],[CUIT]],Lista_CUIT[#All],2,0)),"CUIT NO CARGADO")</f>
        <v xml:space="preserve">ALEJANDRO TRAIBER </v>
      </c>
      <c r="H83" s="308">
        <v>-3000000</v>
      </c>
      <c r="I83" s="309">
        <f>compras_mes3[[#This Row],[NETO GRAVADO]]*0.21</f>
        <v>-630000</v>
      </c>
      <c r="J83" s="309"/>
      <c r="K83" s="309"/>
      <c r="L83" s="309"/>
      <c r="M83" s="309"/>
      <c r="N83" s="309"/>
      <c r="O83" s="309"/>
      <c r="P83" s="301">
        <f>SUM(compras_mes3[[#This Row],[NETO GRAVADO]:[Otros / No Grav.]])</f>
        <v>-3630000</v>
      </c>
      <c r="Q83" s="310" t="str">
        <f>IFERROR(IF(compras_mes3[[#This Row],[CUIT]]="","-",VLOOKUP(compras_mes3[[#This Row],[CUIT]],Lista_CUIT[#All],3,0)),"CUIT NO CARGADO")</f>
        <v>Mercaderia</v>
      </c>
      <c r="R83" s="310">
        <f>IFERROR(IF(compras_mes3[[#This Row],[CUIT]]="","-",VLOOKUP(compras_mes3[[#This Row],[CUIT]],Lista_CUIT[#All],4,0)),"CUIT NO CARGADO")</f>
        <v>0</v>
      </c>
    </row>
    <row r="84" spans="2:18" x14ac:dyDescent="0.25">
      <c r="B84" s="294" t="s">
        <v>2404</v>
      </c>
      <c r="C84" s="295">
        <v>1</v>
      </c>
      <c r="D84" s="296">
        <v>6329</v>
      </c>
      <c r="E84" s="462">
        <v>1147</v>
      </c>
      <c r="F84" s="297">
        <v>30638485733</v>
      </c>
      <c r="G84" s="298" t="str">
        <f>IFERROR(IF(compras_mes3[[#This Row],[CUIT]]="","-",VLOOKUP(compras_mes3[[#This Row],[CUIT]],Lista_CUIT[#All],2,0)),"CUIT NO CARGADO")</f>
        <v>DABRA SOCIEDAD ANONIMA</v>
      </c>
      <c r="H84" s="299">
        <v>82643.81</v>
      </c>
      <c r="I84" s="300">
        <f>compras_mes3[[#This Row],[NETO GRAVADO]]*0.21</f>
        <v>17355.200099999998</v>
      </c>
      <c r="J84" s="300"/>
      <c r="K84" s="300"/>
      <c r="L84" s="300"/>
      <c r="M84" s="300"/>
      <c r="N84" s="300">
        <v>4958.63</v>
      </c>
      <c r="O84" s="300"/>
      <c r="P84" s="301">
        <f>SUM(compras_mes3[[#This Row],[NETO GRAVADO]:[Otros / No Grav.]])</f>
        <v>104957.6401</v>
      </c>
      <c r="Q84" s="302" t="str">
        <f>IFERROR(IF(compras_mes3[[#This Row],[CUIT]]="","-",VLOOKUP(compras_mes3[[#This Row],[CUIT]],Lista_CUIT[#All],3,0)),"CUIT NO CARGADO")</f>
        <v>Gastos Varios</v>
      </c>
      <c r="R84" s="302">
        <f>IFERROR(IF(compras_mes3[[#This Row],[CUIT]]="","-",VLOOKUP(compras_mes3[[#This Row],[CUIT]],Lista_CUIT[#All],4,0)),"CUIT NO CARGADO")</f>
        <v>0</v>
      </c>
    </row>
    <row r="85" spans="2:18" x14ac:dyDescent="0.25">
      <c r="B85" s="294" t="s">
        <v>2407</v>
      </c>
      <c r="C85" s="295">
        <v>1</v>
      </c>
      <c r="D85" s="296">
        <v>2</v>
      </c>
      <c r="E85" s="462">
        <v>864</v>
      </c>
      <c r="F85" s="297">
        <v>20103069832</v>
      </c>
      <c r="G85" s="298" t="str">
        <f>IFERROR(IF(compras_mes3[[#This Row],[CUIT]]="","-",VLOOKUP(compras_mes3[[#This Row],[CUIT]],Lista_CUIT[#All],2,0)),"CUIT NO CARGADO")</f>
        <v>DE LUCA HECTOR RAFAEL FRANCI</v>
      </c>
      <c r="H85" s="299">
        <v>744000</v>
      </c>
      <c r="I85" s="300">
        <f>compras_mes3[[#This Row],[NETO GRAVADO]]*0.21</f>
        <v>156240</v>
      </c>
      <c r="J85" s="300"/>
      <c r="K85" s="300"/>
      <c r="L85" s="300"/>
      <c r="M85" s="300"/>
      <c r="N85" s="300"/>
      <c r="O85" s="300"/>
      <c r="P85" s="301">
        <f>SUM(compras_mes3[[#This Row],[NETO GRAVADO]:[Otros / No Grav.]])</f>
        <v>900240</v>
      </c>
      <c r="Q85" s="302" t="str">
        <f>IFERROR(IF(compras_mes3[[#This Row],[CUIT]]="","-",VLOOKUP(compras_mes3[[#This Row],[CUIT]],Lista_CUIT[#All],3,0)),"CUIT NO CARGADO")</f>
        <v>Material de Empaque</v>
      </c>
      <c r="R85" s="302">
        <f>IFERROR(IF(compras_mes3[[#This Row],[CUIT]]="","-",VLOOKUP(compras_mes3[[#This Row],[CUIT]],Lista_CUIT[#All],4,0)),"CUIT NO CARGADO")</f>
        <v>0</v>
      </c>
    </row>
    <row r="86" spans="2:18" x14ac:dyDescent="0.25">
      <c r="B86" s="294" t="s">
        <v>2388</v>
      </c>
      <c r="C86" s="295">
        <v>1</v>
      </c>
      <c r="D86" s="296">
        <v>6</v>
      </c>
      <c r="E86" s="462">
        <v>26541</v>
      </c>
      <c r="F86" s="297">
        <v>33640878679</v>
      </c>
      <c r="G86" s="298" t="str">
        <f>IFERROR(IF(compras_mes3[[#This Row],[CUIT]]="","-",VLOOKUP(compras_mes3[[#This Row],[CUIT]],Lista_CUIT[#All],2,0)),"CUIT NO CARGADO")</f>
        <v>DHACAM S R L</v>
      </c>
      <c r="H86" s="299">
        <v>1442380</v>
      </c>
      <c r="I86" s="300">
        <f>compras_mes3[[#This Row],[NETO GRAVADO]]*0.21</f>
        <v>302899.8</v>
      </c>
      <c r="J86" s="300"/>
      <c r="K86" s="300"/>
      <c r="L86" s="300"/>
      <c r="M86" s="300"/>
      <c r="N86" s="300"/>
      <c r="O86" s="300"/>
      <c r="P86" s="301">
        <f>SUM(compras_mes3[[#This Row],[NETO GRAVADO]:[Otros / No Grav.]])</f>
        <v>1745279.8</v>
      </c>
      <c r="Q86" s="302" t="str">
        <f>IFERROR(IF(compras_mes3[[#This Row],[CUIT]]="","-",VLOOKUP(compras_mes3[[#This Row],[CUIT]],Lista_CUIT[#All],3,0)),"CUIT NO CARGADO")</f>
        <v>Materia Prima</v>
      </c>
      <c r="R86" s="302">
        <f>IFERROR(IF(compras_mes3[[#This Row],[CUIT]]="","-",VLOOKUP(compras_mes3[[#This Row],[CUIT]],Lista_CUIT[#All],4,0)),"CUIT NO CARGADO")</f>
        <v>0</v>
      </c>
    </row>
    <row r="87" spans="2:18" x14ac:dyDescent="0.25">
      <c r="B87" s="303">
        <v>45733</v>
      </c>
      <c r="C87" s="295">
        <v>1</v>
      </c>
      <c r="D87" s="304">
        <v>14</v>
      </c>
      <c r="E87" s="305">
        <v>19741200</v>
      </c>
      <c r="F87" s="306">
        <v>30655116202</v>
      </c>
      <c r="G87" s="307" t="str">
        <f>IFERROR(IF(compras_mes3[[#This Row],[CUIT]]="","-",VLOOKUP(compras_mes3[[#This Row],[CUIT]],Lista_CUIT[#All],2,0)),"CUIT NO CARGADO")</f>
        <v xml:space="preserve">EDENOR </v>
      </c>
      <c r="H87" s="308">
        <v>110472.50292968799</v>
      </c>
      <c r="I87" s="85" t="s">
        <v>2411</v>
      </c>
      <c r="J87" s="309">
        <f>compras_mes3[[#This Row],[NETO GRAVADO]]*0.27</f>
        <v>29827.575791015759</v>
      </c>
      <c r="K87" s="309"/>
      <c r="L87" s="309">
        <v>3314.169921875</v>
      </c>
      <c r="M87" s="309"/>
      <c r="N87" s="309"/>
      <c r="O87" s="309">
        <v>7051.4599609375</v>
      </c>
      <c r="P87" s="301">
        <f>SUM(compras_mes3[[#This Row],[NETO GRAVADO]:[Otros / No Grav.]])</f>
        <v>150665.70860351625</v>
      </c>
      <c r="Q87" s="310" t="str">
        <f>IFERROR(IF(compras_mes3[[#This Row],[CUIT]]="","-",VLOOKUP(compras_mes3[[#This Row],[CUIT]],Lista_CUIT[#All],3,0)),"CUIT NO CARGADO")</f>
        <v>Servicios Gas, Luz, etc.</v>
      </c>
      <c r="R87" s="310">
        <f>IFERROR(IF(compras_mes3[[#This Row],[CUIT]]="","-",VLOOKUP(compras_mes3[[#This Row],[CUIT]],Lista_CUIT[#All],4,0)),"CUIT NO CARGADO")</f>
        <v>0</v>
      </c>
    </row>
    <row r="88" spans="2:18" x14ac:dyDescent="0.25">
      <c r="B88" s="303" t="s">
        <v>2388</v>
      </c>
      <c r="C88" s="295">
        <v>1</v>
      </c>
      <c r="D88" s="304">
        <v>7</v>
      </c>
      <c r="E88" s="305">
        <v>30780</v>
      </c>
      <c r="F88" s="306">
        <v>30710819552</v>
      </c>
      <c r="G88" s="307" t="str">
        <f>IFERROR(IF(compras_mes3[[#This Row],[CUIT]]="","-",VLOOKUP(compras_mes3[[#This Row],[CUIT]],Lista_CUIT[#All],2,0)),"CUIT NO CARGADO")</f>
        <v>EL CACIQUE Gastos Limpieza SRL</v>
      </c>
      <c r="H88" s="308">
        <v>135996.57999999999</v>
      </c>
      <c r="I88" s="300">
        <f>compras_mes3[[#This Row],[NETO GRAVADO]]*0.21</f>
        <v>28559.281799999997</v>
      </c>
      <c r="J88" s="309"/>
      <c r="K88" s="309"/>
      <c r="L88" s="309"/>
      <c r="M88" s="309"/>
      <c r="N88" s="309"/>
      <c r="O88" s="309"/>
      <c r="P88" s="312">
        <f>SUM(compras_mes3[[#This Row],[NETO GRAVADO]:[Otros / No Grav.]])</f>
        <v>164555.86179999998</v>
      </c>
      <c r="Q88" s="310" t="str">
        <f>IFERROR(IF(compras_mes3[[#This Row],[CUIT]]="","-",VLOOKUP(compras_mes3[[#This Row],[CUIT]],Lista_CUIT[#All],3,0)),"CUIT NO CARGADO")</f>
        <v>Gastos Limpieza</v>
      </c>
      <c r="R88" s="310">
        <f>IFERROR(IF(compras_mes3[[#This Row],[CUIT]]="","-",VLOOKUP(compras_mes3[[#This Row],[CUIT]],Lista_CUIT[#All],4,0)),"CUIT NO CARGADO")</f>
        <v>0</v>
      </c>
    </row>
    <row r="89" spans="2:18" x14ac:dyDescent="0.25">
      <c r="B89" s="303">
        <v>45744</v>
      </c>
      <c r="C89" s="295">
        <v>1</v>
      </c>
      <c r="D89" s="304">
        <v>501</v>
      </c>
      <c r="E89" s="305">
        <v>2253970</v>
      </c>
      <c r="F89" s="306">
        <v>30655116512</v>
      </c>
      <c r="G89" s="307" t="str">
        <f>IFERROR(IF(compras_mes3[[#This Row],[CUIT]]="","-",VLOOKUP(compras_mes3[[#This Row],[CUIT]],Lista_CUIT[#All],2,0)),"CUIT NO CARGADO")</f>
        <v>Empresa Distribuidora Sur S.A.</v>
      </c>
      <c r="H89" s="308">
        <v>363503.990234375</v>
      </c>
      <c r="I89" s="85" t="s">
        <v>2411</v>
      </c>
      <c r="J89" s="309">
        <f>compras_mes3[[#This Row],[NETO GRAVADO]]*0.27</f>
        <v>98146.077363281263</v>
      </c>
      <c r="K89" s="309"/>
      <c r="L89" s="309"/>
      <c r="M89" s="309"/>
      <c r="N89" s="309"/>
      <c r="O89" s="309">
        <v>23202.470703125</v>
      </c>
      <c r="P89" s="301">
        <f>SUM(compras_mes3[[#This Row],[NETO GRAVADO]:[Otros / No Grav.]])</f>
        <v>484852.53830078128</v>
      </c>
      <c r="Q89" s="310" t="str">
        <f>IFERROR(IF(compras_mes3[[#This Row],[CUIT]]="","-",VLOOKUP(compras_mes3[[#This Row],[CUIT]],Lista_CUIT[#All],3,0)),"CUIT NO CARGADO")</f>
        <v>Servicios Gas, Luz, etc.</v>
      </c>
      <c r="R89" s="310">
        <f>IFERROR(IF(compras_mes3[[#This Row],[CUIT]]="","-",VLOOKUP(compras_mes3[[#This Row],[CUIT]],Lista_CUIT[#All],4,0)),"CUIT NO CARGADO")</f>
        <v>0</v>
      </c>
    </row>
    <row r="90" spans="2:18" x14ac:dyDescent="0.25">
      <c r="B90" s="303">
        <v>45744</v>
      </c>
      <c r="C90" s="295">
        <v>1</v>
      </c>
      <c r="D90" s="304">
        <v>501</v>
      </c>
      <c r="E90" s="305">
        <v>2248283</v>
      </c>
      <c r="F90" s="306">
        <v>30655116512</v>
      </c>
      <c r="G90" s="307" t="str">
        <f>IFERROR(IF(compras_mes3[[#This Row],[CUIT]]="","-",VLOOKUP(compras_mes3[[#This Row],[CUIT]],Lista_CUIT[#All],2,0)),"CUIT NO CARGADO")</f>
        <v>Empresa Distribuidora Sur S.A.</v>
      </c>
      <c r="H90" s="308">
        <v>120638.89355468799</v>
      </c>
      <c r="I90" s="85" t="s">
        <v>2411</v>
      </c>
      <c r="J90" s="309">
        <f>compras_mes3[[#This Row],[NETO GRAVADO]]*0.27</f>
        <v>32572.501259765762</v>
      </c>
      <c r="K90" s="309"/>
      <c r="L90" s="309">
        <v>3619.169921875</v>
      </c>
      <c r="M90" s="309"/>
      <c r="N90" s="309"/>
      <c r="O90" s="309">
        <v>7700.3798828125</v>
      </c>
      <c r="P90" s="301">
        <f>SUM(compras_mes3[[#This Row],[NETO GRAVADO]:[Otros / No Grav.]])</f>
        <v>164530.94461914126</v>
      </c>
      <c r="Q90" s="310" t="str">
        <f>IFERROR(IF(compras_mes3[[#This Row],[CUIT]]="","-",VLOOKUP(compras_mes3[[#This Row],[CUIT]],Lista_CUIT[#All],3,0)),"CUIT NO CARGADO")</f>
        <v>Servicios Gas, Luz, etc.</v>
      </c>
      <c r="R90" s="310">
        <f>IFERROR(IF(compras_mes3[[#This Row],[CUIT]]="","-",VLOOKUP(compras_mes3[[#This Row],[CUIT]],Lista_CUIT[#All],4,0)),"CUIT NO CARGADO")</f>
        <v>0</v>
      </c>
    </row>
    <row r="91" spans="2:18" x14ac:dyDescent="0.25">
      <c r="B91" s="378">
        <v>45722</v>
      </c>
      <c r="C91" s="450">
        <v>1</v>
      </c>
      <c r="D91" s="379">
        <v>501</v>
      </c>
      <c r="E91" s="380">
        <v>44580654</v>
      </c>
      <c r="F91" s="381">
        <v>30655116512</v>
      </c>
      <c r="G91" s="382" t="str">
        <f>IFERROR(IF(compras_mes3[[#This Row],[CUIT]]="","-",VLOOKUP(compras_mes3[[#This Row],[CUIT]],Lista_CUIT[#All],2,0)),"CUIT NO CARGADO")</f>
        <v>Empresa Distribuidora Sur S.A.</v>
      </c>
      <c r="H91" s="383">
        <v>109980.01</v>
      </c>
      <c r="I91" s="384">
        <f>compras_mes3[[#This Row],[NETO GRAVADO]]*0.21</f>
        <v>23095.802099999997</v>
      </c>
      <c r="J91" s="384"/>
      <c r="K91" s="384"/>
      <c r="L91" s="384" t="s">
        <v>2411</v>
      </c>
      <c r="M91" s="384" t="s">
        <v>2411</v>
      </c>
      <c r="N91" s="384" t="s">
        <v>2411</v>
      </c>
      <c r="O91" s="384">
        <v>7065.12</v>
      </c>
      <c r="P91" s="385">
        <f>SUM(compras_mes3[[#This Row],[NETO GRAVADO]:[Otros / No Grav.]])</f>
        <v>140140.93209999998</v>
      </c>
      <c r="Q91" s="386" t="str">
        <f>IFERROR(IF(compras_mes3[[#This Row],[CUIT]]="","-",VLOOKUP(compras_mes3[[#This Row],[CUIT]],Lista_CUIT[#All],3,0)),"CUIT NO CARGADO")</f>
        <v>Servicios Gas, Luz, etc.</v>
      </c>
      <c r="R91" s="386">
        <f>IFERROR(IF(compras_mes3[[#This Row],[CUIT]]="","-",VLOOKUP(compras_mes3[[#This Row],[CUIT]],Lista_CUIT[#All],4,0)),"CUIT NO CARGADO")</f>
        <v>0</v>
      </c>
    </row>
    <row r="92" spans="2:18" x14ac:dyDescent="0.25">
      <c r="B92" s="303" t="s">
        <v>2384</v>
      </c>
      <c r="C92" s="295">
        <v>1</v>
      </c>
      <c r="D92" s="304">
        <v>2</v>
      </c>
      <c r="E92" s="305">
        <v>8802</v>
      </c>
      <c r="F92" s="306">
        <v>30714284963</v>
      </c>
      <c r="G92" s="307" t="str">
        <f>IFERROR(IF(compras_mes3[[#This Row],[CUIT]]="","-",VLOOKUP(compras_mes3[[#This Row],[CUIT]],Lista_CUIT[#All],2,0)),"CUIT NO CARGADO")</f>
        <v>ENGYMAN SRL</v>
      </c>
      <c r="H92" s="308">
        <v>360000</v>
      </c>
      <c r="I92" s="300">
        <f>compras_mes3[[#This Row],[NETO GRAVADO]]*0.21</f>
        <v>75600</v>
      </c>
      <c r="J92" s="309"/>
      <c r="K92" s="309"/>
      <c r="L92" s="309"/>
      <c r="M92" s="309"/>
      <c r="N92" s="309"/>
      <c r="O92" s="309"/>
      <c r="P92" s="312">
        <f>SUM(compras_mes3[[#This Row],[NETO GRAVADO]:[Otros / No Grav.]])</f>
        <v>435600</v>
      </c>
      <c r="Q92" s="310" t="str">
        <f>IFERROR(IF(compras_mes3[[#This Row],[CUIT]]="","-",VLOOKUP(compras_mes3[[#This Row],[CUIT]],Lista_CUIT[#All],3,0)),"CUIT NO CARGADO")</f>
        <v>Gastos Varios</v>
      </c>
      <c r="R92" s="310">
        <f>IFERROR(IF(compras_mes3[[#This Row],[CUIT]]="","-",VLOOKUP(compras_mes3[[#This Row],[CUIT]],Lista_CUIT[#All],4,0)),"CUIT NO CARGADO")</f>
        <v>0</v>
      </c>
    </row>
    <row r="93" spans="2:18" x14ac:dyDescent="0.25">
      <c r="B93" s="40" t="s">
        <v>2381</v>
      </c>
      <c r="C93" s="295">
        <v>1</v>
      </c>
      <c r="D93" s="42">
        <v>1</v>
      </c>
      <c r="E93" s="43">
        <v>886</v>
      </c>
      <c r="F93" s="44">
        <v>30715889486</v>
      </c>
      <c r="G93" s="45" t="str">
        <f>IFERROR(IF(compras_mes3[[#This Row],[CUIT]]="","-",VLOOKUP(compras_mes3[[#This Row],[CUIT]],Lista_CUIT[#All],2,0)),"CUIT NO CARGADO")</f>
        <v>EXPOESTETICA</v>
      </c>
      <c r="H93" s="46">
        <v>1440000</v>
      </c>
      <c r="I93" s="300">
        <f>compras_mes3[[#This Row],[NETO GRAVADO]]*0.21</f>
        <v>302400</v>
      </c>
      <c r="J93" s="85"/>
      <c r="K93" s="85"/>
      <c r="L93" s="85"/>
      <c r="M93" s="85"/>
      <c r="N93" s="85"/>
      <c r="O93" s="85"/>
      <c r="P93" s="301">
        <f>SUM(compras_mes3[[#This Row],[NETO GRAVADO]:[Otros / No Grav.]])</f>
        <v>1742400</v>
      </c>
      <c r="Q93" s="49" t="str">
        <f>IFERROR(IF(compras_mes3[[#This Row],[CUIT]]="","-",VLOOKUP(compras_mes3[[#This Row],[CUIT]],Lista_CUIT[#All],3,0)),"CUIT NO CARGADO")</f>
        <v>Gastos Comercializacion - Feria</v>
      </c>
      <c r="R93" s="49" t="str">
        <f>IFERROR(IF(compras_mes3[[#This Row],[CUIT]]="","-",VLOOKUP(compras_mes3[[#This Row],[CUIT]],Lista_CUIT[#All],4,0)),"CUIT NO CARGADO")</f>
        <v>BUENOS AIRES</v>
      </c>
    </row>
    <row r="94" spans="2:18" x14ac:dyDescent="0.25">
      <c r="B94" s="294" t="s">
        <v>2381</v>
      </c>
      <c r="C94" s="295">
        <v>1</v>
      </c>
      <c r="D94" s="296">
        <v>1</v>
      </c>
      <c r="E94" s="462">
        <v>887</v>
      </c>
      <c r="F94" s="297">
        <v>30715889486</v>
      </c>
      <c r="G94" s="298" t="str">
        <f>IFERROR(IF(compras_mes3[[#This Row],[CUIT]]="","-",VLOOKUP(compras_mes3[[#This Row],[CUIT]],Lista_CUIT[#All],2,0)),"CUIT NO CARGADO")</f>
        <v>EXPOESTETICA</v>
      </c>
      <c r="H94" s="299">
        <v>648000</v>
      </c>
      <c r="I94" s="300">
        <f>compras_mes3[[#This Row],[NETO GRAVADO]]*0.21</f>
        <v>136080</v>
      </c>
      <c r="J94" s="300"/>
      <c r="K94" s="300"/>
      <c r="L94" s="300"/>
      <c r="M94" s="300"/>
      <c r="N94" s="300"/>
      <c r="O94" s="300"/>
      <c r="P94" s="301">
        <f>SUM(compras_mes3[[#This Row],[NETO GRAVADO]:[Otros / No Grav.]])</f>
        <v>784080</v>
      </c>
      <c r="Q94" s="302" t="str">
        <f>IFERROR(IF(compras_mes3[[#This Row],[CUIT]]="","-",VLOOKUP(compras_mes3[[#This Row],[CUIT]],Lista_CUIT[#All],3,0)),"CUIT NO CARGADO")</f>
        <v>Gastos Comercializacion - Feria</v>
      </c>
      <c r="R94" s="302" t="str">
        <f>IFERROR(IF(compras_mes3[[#This Row],[CUIT]]="","-",VLOOKUP(compras_mes3[[#This Row],[CUIT]],Lista_CUIT[#All],4,0)),"CUIT NO CARGADO")</f>
        <v>BUENOS AIRES</v>
      </c>
    </row>
    <row r="95" spans="2:18" x14ac:dyDescent="0.25">
      <c r="B95" s="303" t="s">
        <v>2381</v>
      </c>
      <c r="C95" s="295">
        <v>1</v>
      </c>
      <c r="D95" s="304">
        <v>26</v>
      </c>
      <c r="E95" s="305">
        <v>65795</v>
      </c>
      <c r="F95" s="306">
        <v>30544110035</v>
      </c>
      <c r="G95" s="307" t="str">
        <f>IFERROR(IF(compras_mes3[[#This Row],[CUIT]]="","-",VLOOKUP(compras_mes3[[#This Row],[CUIT]],Lista_CUIT[#All],2,0)),"CUIT NO CARGADO")</f>
        <v>EXPRESO SANTA ROSA S A </v>
      </c>
      <c r="H95" s="308">
        <v>19312.439999999999</v>
      </c>
      <c r="I95" s="300">
        <f>compras_mes3[[#This Row],[NETO GRAVADO]]*0.21</f>
        <v>4055.6123999999995</v>
      </c>
      <c r="J95" s="309"/>
      <c r="K95" s="309"/>
      <c r="L95" s="309"/>
      <c r="M95" s="309"/>
      <c r="N95" s="309"/>
      <c r="O95" s="309"/>
      <c r="P95" s="301">
        <f>SUM(compras_mes3[[#This Row],[NETO GRAVADO]:[Otros / No Grav.]])</f>
        <v>23368.052399999997</v>
      </c>
      <c r="Q95" s="310" t="str">
        <f>IFERROR(IF(compras_mes3[[#This Row],[CUIT]]="","-",VLOOKUP(compras_mes3[[#This Row],[CUIT]],Lista_CUIT[#All],3,0)),"CUIT NO CARGADO")</f>
        <v>Gastos Comercializacion</v>
      </c>
      <c r="R95" s="310">
        <f>IFERROR(IF(compras_mes3[[#This Row],[CUIT]]="","-",VLOOKUP(compras_mes3[[#This Row],[CUIT]],Lista_CUIT[#All],4,0)),"CUIT NO CARGADO")</f>
        <v>0</v>
      </c>
    </row>
    <row r="96" spans="2:18" x14ac:dyDescent="0.25">
      <c r="B96" s="294" t="s">
        <v>2392</v>
      </c>
      <c r="C96" s="295">
        <v>1</v>
      </c>
      <c r="D96" s="296">
        <v>2</v>
      </c>
      <c r="E96" s="462">
        <v>348</v>
      </c>
      <c r="F96" s="297">
        <v>30717133613</v>
      </c>
      <c r="G96" s="298" t="str">
        <f>IFERROR(IF(compras_mes3[[#This Row],[CUIT]]="","-",VLOOKUP(compras_mes3[[#This Row],[CUIT]],Lista_CUIT[#All],2,0)),"CUIT NO CARGADO")</f>
        <v>FERRETERIA LA ESQUINA S.R.L.</v>
      </c>
      <c r="H96" s="299">
        <v>4688.45</v>
      </c>
      <c r="I96" s="300">
        <f>compras_mes3[[#This Row],[NETO GRAVADO]]*0.21</f>
        <v>984.57449999999994</v>
      </c>
      <c r="J96" s="300"/>
      <c r="K96" s="300"/>
      <c r="L96" s="300"/>
      <c r="M96" s="300"/>
      <c r="N96" s="300"/>
      <c r="O96" s="300"/>
      <c r="P96" s="301">
        <f>SUM(compras_mes3[[#This Row],[NETO GRAVADO]:[Otros / No Grav.]])</f>
        <v>5673.0244999999995</v>
      </c>
      <c r="Q96" s="302" t="str">
        <f>IFERROR(IF(compras_mes3[[#This Row],[CUIT]]="","-",VLOOKUP(compras_mes3[[#This Row],[CUIT]],Lista_CUIT[#All],3,0)),"CUIT NO CARGADO")</f>
        <v>Gastos Varios</v>
      </c>
      <c r="R96" s="302">
        <f>IFERROR(IF(compras_mes3[[#This Row],[CUIT]]="","-",VLOOKUP(compras_mes3[[#This Row],[CUIT]],Lista_CUIT[#All],4,0)),"CUIT NO CARGADO")</f>
        <v>0</v>
      </c>
    </row>
    <row r="97" spans="2:18" x14ac:dyDescent="0.25">
      <c r="B97" s="294" t="s">
        <v>2406</v>
      </c>
      <c r="C97" s="295">
        <v>1</v>
      </c>
      <c r="D97" s="296">
        <v>2</v>
      </c>
      <c r="E97" s="462">
        <v>337</v>
      </c>
      <c r="F97" s="297">
        <v>30717133613</v>
      </c>
      <c r="G97" s="298" t="str">
        <f>IFERROR(IF(compras_mes3[[#This Row],[CUIT]]="","-",VLOOKUP(compras_mes3[[#This Row],[CUIT]],Lista_CUIT[#All],2,0)),"CUIT NO CARGADO")</f>
        <v>FERRETERIA LA ESQUINA S.R.L.</v>
      </c>
      <c r="H97" s="299">
        <v>2121.5</v>
      </c>
      <c r="I97" s="300">
        <f>compras_mes3[[#This Row],[NETO GRAVADO]]*0.21</f>
        <v>445.51499999999999</v>
      </c>
      <c r="J97" s="300"/>
      <c r="K97" s="300"/>
      <c r="L97" s="300"/>
      <c r="M97" s="300"/>
      <c r="N97" s="300"/>
      <c r="O97" s="300"/>
      <c r="P97" s="301">
        <f>SUM(compras_mes3[[#This Row],[NETO GRAVADO]:[Otros / No Grav.]])</f>
        <v>2567.0149999999999</v>
      </c>
      <c r="Q97" s="302" t="str">
        <f>IFERROR(IF(compras_mes3[[#This Row],[CUIT]]="","-",VLOOKUP(compras_mes3[[#This Row],[CUIT]],Lista_CUIT[#All],3,0)),"CUIT NO CARGADO")</f>
        <v>Gastos Varios</v>
      </c>
      <c r="R97" s="302">
        <f>IFERROR(IF(compras_mes3[[#This Row],[CUIT]]="","-",VLOOKUP(compras_mes3[[#This Row],[CUIT]],Lista_CUIT[#All],4,0)),"CUIT NO CARGADO")</f>
        <v>0</v>
      </c>
    </row>
    <row r="98" spans="2:18" x14ac:dyDescent="0.25">
      <c r="B98" s="303" t="s">
        <v>2406</v>
      </c>
      <c r="C98" s="295">
        <v>1</v>
      </c>
      <c r="D98" s="304">
        <v>2</v>
      </c>
      <c r="E98" s="305">
        <v>335</v>
      </c>
      <c r="F98" s="306">
        <v>30717133613</v>
      </c>
      <c r="G98" s="307" t="str">
        <f>IFERROR(IF(compras_mes3[[#This Row],[CUIT]]="","-",VLOOKUP(compras_mes3[[#This Row],[CUIT]],Lista_CUIT[#All],2,0)),"CUIT NO CARGADO")</f>
        <v>FERRETERIA LA ESQUINA S.R.L.</v>
      </c>
      <c r="H98" s="308">
        <v>1583.47</v>
      </c>
      <c r="I98" s="300">
        <f>compras_mes3[[#This Row],[NETO GRAVADO]]*0.21</f>
        <v>332.52870000000001</v>
      </c>
      <c r="J98" s="309"/>
      <c r="K98" s="309"/>
      <c r="L98" s="309"/>
      <c r="M98" s="309"/>
      <c r="N98" s="309"/>
      <c r="O98" s="309"/>
      <c r="P98" s="301">
        <f>SUM(compras_mes3[[#This Row],[NETO GRAVADO]:[Otros / No Grav.]])</f>
        <v>1915.9987000000001</v>
      </c>
      <c r="Q98" s="310" t="str">
        <f>IFERROR(IF(compras_mes3[[#This Row],[CUIT]]="","-",VLOOKUP(compras_mes3[[#This Row],[CUIT]],Lista_CUIT[#All],3,0)),"CUIT NO CARGADO")</f>
        <v>Gastos Varios</v>
      </c>
      <c r="R98" s="310">
        <f>IFERROR(IF(compras_mes3[[#This Row],[CUIT]]="","-",VLOOKUP(compras_mes3[[#This Row],[CUIT]],Lista_CUIT[#All],4,0)),"CUIT NO CARGADO")</f>
        <v>0</v>
      </c>
    </row>
    <row r="99" spans="2:18" x14ac:dyDescent="0.25">
      <c r="B99" s="294" t="s">
        <v>2400</v>
      </c>
      <c r="C99" s="295">
        <v>1</v>
      </c>
      <c r="D99" s="296">
        <v>1</v>
      </c>
      <c r="E99" s="462">
        <v>32</v>
      </c>
      <c r="F99" s="297">
        <v>30717504824</v>
      </c>
      <c r="G99" s="298" t="str">
        <f>IFERROR(IF(compras_mes3[[#This Row],[CUIT]]="","-",VLOOKUP(compras_mes3[[#This Row],[CUIT]],Lista_CUIT[#All],2,0)),"CUIT NO CARGADO")</f>
        <v>FIDEICOMISO MAMBA</v>
      </c>
      <c r="H99" s="299">
        <v>2748054.29</v>
      </c>
      <c r="I99" s="300"/>
      <c r="J99" s="300"/>
      <c r="K99" s="300">
        <f>compras_mes3[[#This Row],[NETO GRAVADO]]*0.105</f>
        <v>288545.70045</v>
      </c>
      <c r="L99" s="300"/>
      <c r="M99" s="300"/>
      <c r="N99" s="300"/>
      <c r="O99" s="300"/>
      <c r="P99" s="301">
        <f>SUM(compras_mes3[[#This Row],[NETO GRAVADO]:[Otros / No Grav.]])</f>
        <v>3036599.9904499999</v>
      </c>
      <c r="Q99" s="302" t="str">
        <f>IFERROR(IF(compras_mes3[[#This Row],[CUIT]]="","-",VLOOKUP(compras_mes3[[#This Row],[CUIT]],Lista_CUIT[#All],3,0)),"CUIT NO CARGADO")</f>
        <v>MANTENIMIENTO</v>
      </c>
      <c r="R99" s="302">
        <f>IFERROR(IF(compras_mes3[[#This Row],[CUIT]]="","-",VLOOKUP(compras_mes3[[#This Row],[CUIT]],Lista_CUIT[#All],4,0)),"CUIT NO CARGADO")</f>
        <v>0</v>
      </c>
    </row>
    <row r="100" spans="2:18" x14ac:dyDescent="0.25">
      <c r="B100" s="294" t="s">
        <v>2384</v>
      </c>
      <c r="C100" s="295">
        <v>1</v>
      </c>
      <c r="D100" s="296">
        <v>4</v>
      </c>
      <c r="E100" s="462">
        <v>9709</v>
      </c>
      <c r="F100" s="297">
        <v>30698029648</v>
      </c>
      <c r="G100" s="298" t="str">
        <f>IFERROR(IF(compras_mes3[[#This Row],[CUIT]]="","-",VLOOKUP(compras_mes3[[#This Row],[CUIT]],Lista_CUIT[#All],2,0)),"CUIT NO CARGADO")</f>
        <v>FISDEL LIONEL Y FISDEL MARIO S H</v>
      </c>
      <c r="H100" s="299">
        <v>17709.27</v>
      </c>
      <c r="I100" s="300">
        <f>compras_mes3[[#This Row],[NETO GRAVADO]]*0.21</f>
        <v>3718.9467</v>
      </c>
      <c r="J100" s="300"/>
      <c r="K100" s="300"/>
      <c r="L100" s="300"/>
      <c r="M100" s="300"/>
      <c r="N100" s="300"/>
      <c r="O100" s="300"/>
      <c r="P100" s="301">
        <f>SUM(compras_mes3[[#This Row],[NETO GRAVADO]:[Otros / No Grav.]])</f>
        <v>21428.216700000001</v>
      </c>
      <c r="Q100" s="302" t="str">
        <f>IFERROR(IF(compras_mes3[[#This Row],[CUIT]]="","-",VLOOKUP(compras_mes3[[#This Row],[CUIT]],Lista_CUIT[#All],3,0)),"CUIT NO CARGADO")</f>
        <v>Gastos Varios</v>
      </c>
      <c r="R100" s="302">
        <f>IFERROR(IF(compras_mes3[[#This Row],[CUIT]]="","-",VLOOKUP(compras_mes3[[#This Row],[CUIT]],Lista_CUIT[#All],4,0)),"CUIT NO CARGADO")</f>
        <v>0</v>
      </c>
    </row>
    <row r="101" spans="2:18" x14ac:dyDescent="0.25">
      <c r="B101" s="294" t="s">
        <v>2409</v>
      </c>
      <c r="C101" s="295">
        <v>1</v>
      </c>
      <c r="D101" s="296">
        <v>4</v>
      </c>
      <c r="E101" s="462">
        <v>9742</v>
      </c>
      <c r="F101" s="297">
        <v>30698029648</v>
      </c>
      <c r="G101" s="298" t="str">
        <f>IFERROR(IF(compras_mes3[[#This Row],[CUIT]]="","-",VLOOKUP(compras_mes3[[#This Row],[CUIT]],Lista_CUIT[#All],2,0)),"CUIT NO CARGADO")</f>
        <v>FISDEL LIONEL Y FISDEL MARIO S H</v>
      </c>
      <c r="H101" s="299">
        <v>9055.31</v>
      </c>
      <c r="I101" s="300">
        <f>compras_mes3[[#This Row],[NETO GRAVADO]]*0.21</f>
        <v>1901.6150999999998</v>
      </c>
      <c r="J101" s="300"/>
      <c r="K101" s="300"/>
      <c r="L101" s="300"/>
      <c r="M101" s="300"/>
      <c r="N101" s="300"/>
      <c r="O101" s="300"/>
      <c r="P101" s="301">
        <f>SUM(compras_mes3[[#This Row],[NETO GRAVADO]:[Otros / No Grav.]])</f>
        <v>10956.925099999999</v>
      </c>
      <c r="Q101" s="302" t="str">
        <f>IFERROR(IF(compras_mes3[[#This Row],[CUIT]]="","-",VLOOKUP(compras_mes3[[#This Row],[CUIT]],Lista_CUIT[#All],3,0)),"CUIT NO CARGADO")</f>
        <v>Gastos Varios</v>
      </c>
      <c r="R101" s="302">
        <f>IFERROR(IF(compras_mes3[[#This Row],[CUIT]]="","-",VLOOKUP(compras_mes3[[#This Row],[CUIT]],Lista_CUIT[#All],4,0)),"CUIT NO CARGADO")</f>
        <v>0</v>
      </c>
    </row>
    <row r="102" spans="2:18" x14ac:dyDescent="0.25">
      <c r="B102" s="303" t="s">
        <v>2391</v>
      </c>
      <c r="C102" s="295">
        <v>1</v>
      </c>
      <c r="D102" s="304">
        <v>5</v>
      </c>
      <c r="E102" s="305">
        <v>117</v>
      </c>
      <c r="F102" s="306">
        <v>20946785300</v>
      </c>
      <c r="G102" s="307" t="str">
        <f>IFERROR(IF(compras_mes3[[#This Row],[CUIT]]="","-",VLOOKUP(compras_mes3[[#This Row],[CUIT]],Lista_CUIT[#All],2,0)),"CUIT NO CARGADO")</f>
        <v>FLORES HUAYRA MICHAEL MARTIN</v>
      </c>
      <c r="H102" s="308">
        <v>871000</v>
      </c>
      <c r="I102" s="300">
        <f>compras_mes3[[#This Row],[NETO GRAVADO]]*0.21</f>
        <v>182910</v>
      </c>
      <c r="J102" s="309"/>
      <c r="K102" s="309"/>
      <c r="L102" s="309"/>
      <c r="M102" s="309"/>
      <c r="N102" s="309"/>
      <c r="O102" s="309"/>
      <c r="P102" s="301">
        <f>SUM(compras_mes3[[#This Row],[NETO GRAVADO]:[Otros / No Grav.]])</f>
        <v>1053910</v>
      </c>
      <c r="Q102" s="310" t="str">
        <f>IFERROR(IF(compras_mes3[[#This Row],[CUIT]]="","-",VLOOKUP(compras_mes3[[#This Row],[CUIT]],Lista_CUIT[#All],3,0)),"CUIT NO CARGADO")</f>
        <v>Productos Venta</v>
      </c>
      <c r="R102" s="310">
        <f>IFERROR(IF(compras_mes3[[#This Row],[CUIT]]="","-",VLOOKUP(compras_mes3[[#This Row],[CUIT]],Lista_CUIT[#All],4,0)),"CUIT NO CARGADO")</f>
        <v>0</v>
      </c>
    </row>
    <row r="103" spans="2:18" x14ac:dyDescent="0.25">
      <c r="B103" s="294" t="s">
        <v>2406</v>
      </c>
      <c r="C103" s="295">
        <v>1</v>
      </c>
      <c r="D103" s="296">
        <v>14</v>
      </c>
      <c r="E103" s="462">
        <v>16490</v>
      </c>
      <c r="F103" s="297">
        <v>30715186256</v>
      </c>
      <c r="G103" s="298" t="str">
        <f>IFERROR(IF(compras_mes3[[#This Row],[CUIT]]="","-",VLOOKUP(compras_mes3[[#This Row],[CUIT]],Lista_CUIT[#All],2,0)),"CUIT NO CARGADO")</f>
        <v>FRIGORIFICO ALIMENTIC</v>
      </c>
      <c r="H103" s="299">
        <v>82378.66</v>
      </c>
      <c r="I103" s="300">
        <v>2648.86</v>
      </c>
      <c r="J103" s="300"/>
      <c r="K103" s="300">
        <v>7325.33</v>
      </c>
      <c r="L103" s="300"/>
      <c r="M103" s="300"/>
      <c r="N103" s="300"/>
      <c r="O103" s="300"/>
      <c r="P103" s="301">
        <f>SUM(compras_mes3[[#This Row],[NETO GRAVADO]:[Otros / No Grav.]])</f>
        <v>92352.85</v>
      </c>
      <c r="Q103" s="302" t="str">
        <f>IFERROR(IF(compras_mes3[[#This Row],[CUIT]]="","-",VLOOKUP(compras_mes3[[#This Row],[CUIT]],Lista_CUIT[#All],3,0)),"CUIT NO CARGADO")</f>
        <v>Gastos Comercializacion - Feria</v>
      </c>
      <c r="R103" s="302">
        <f>IFERROR(IF(compras_mes3[[#This Row],[CUIT]]="","-",VLOOKUP(compras_mes3[[#This Row],[CUIT]],Lista_CUIT[#All],4,0)),"CUIT NO CARGADO")</f>
        <v>0</v>
      </c>
    </row>
    <row r="104" spans="2:18" x14ac:dyDescent="0.25">
      <c r="B104" s="294" t="s">
        <v>2392</v>
      </c>
      <c r="C104" s="295">
        <v>1</v>
      </c>
      <c r="D104" s="296">
        <v>14</v>
      </c>
      <c r="E104" s="462">
        <v>16599</v>
      </c>
      <c r="F104" s="297">
        <v>30715186256</v>
      </c>
      <c r="G104" s="298" t="str">
        <f>IFERROR(IF(compras_mes3[[#This Row],[CUIT]]="","-",VLOOKUP(compras_mes3[[#This Row],[CUIT]],Lista_CUIT[#All],2,0)),"CUIT NO CARGADO")</f>
        <v>FRIGORIFICO ALIMENTIC</v>
      </c>
      <c r="H104" s="299">
        <v>74987.39</v>
      </c>
      <c r="I104" s="300">
        <v>1214.8800000000001</v>
      </c>
      <c r="J104" s="300"/>
      <c r="K104" s="300">
        <v>7266.24</v>
      </c>
      <c r="L104" s="85" t="s">
        <v>2411</v>
      </c>
      <c r="M104" s="300"/>
      <c r="N104" s="300"/>
      <c r="O104" s="300"/>
      <c r="P104" s="301">
        <f>SUM(compras_mes3[[#This Row],[NETO GRAVADO]:[Otros / No Grav.]])</f>
        <v>83468.510000000009</v>
      </c>
      <c r="Q104" s="302" t="str">
        <f>IFERROR(IF(compras_mes3[[#This Row],[CUIT]]="","-",VLOOKUP(compras_mes3[[#This Row],[CUIT]],Lista_CUIT[#All],3,0)),"CUIT NO CARGADO")</f>
        <v>Gastos Comercializacion - Feria</v>
      </c>
      <c r="R104" s="302">
        <f>IFERROR(IF(compras_mes3[[#This Row],[CUIT]]="","-",VLOOKUP(compras_mes3[[#This Row],[CUIT]],Lista_CUIT[#All],4,0)),"CUIT NO CARGADO")</f>
        <v>0</v>
      </c>
    </row>
    <row r="105" spans="2:18" x14ac:dyDescent="0.25">
      <c r="B105" s="294" t="s">
        <v>2403</v>
      </c>
      <c r="C105" s="295">
        <v>1</v>
      </c>
      <c r="D105" s="296">
        <v>14</v>
      </c>
      <c r="E105" s="462">
        <v>16374</v>
      </c>
      <c r="F105" s="297">
        <v>30715186256</v>
      </c>
      <c r="G105" s="298" t="str">
        <f>IFERROR(IF(compras_mes3[[#This Row],[CUIT]]="","-",VLOOKUP(compras_mes3[[#This Row],[CUIT]],Lista_CUIT[#All],2,0)),"CUIT NO CARGADO")</f>
        <v>FRIGORIFICO ALIMENTIC</v>
      </c>
      <c r="H105" s="299">
        <v>58934.35</v>
      </c>
      <c r="I105" s="300">
        <v>2667.7</v>
      </c>
      <c r="J105" s="300"/>
      <c r="K105" s="300">
        <v>4854.26</v>
      </c>
      <c r="L105" s="300"/>
      <c r="M105" s="300"/>
      <c r="N105" s="300"/>
      <c r="O105" s="300"/>
      <c r="P105" s="301">
        <f>SUM(compras_mes3[[#This Row],[NETO GRAVADO]:[Otros / No Grav.]])</f>
        <v>66456.31</v>
      </c>
      <c r="Q105" s="302" t="str">
        <f>IFERROR(IF(compras_mes3[[#This Row],[CUIT]]="","-",VLOOKUP(compras_mes3[[#This Row],[CUIT]],Lista_CUIT[#All],3,0)),"CUIT NO CARGADO")</f>
        <v>Gastos Comercializacion - Feria</v>
      </c>
      <c r="R105" s="302">
        <f>IFERROR(IF(compras_mes3[[#This Row],[CUIT]]="","-",VLOOKUP(compras_mes3[[#This Row],[CUIT]],Lista_CUIT[#All],4,0)),"CUIT NO CARGADO")</f>
        <v>0</v>
      </c>
    </row>
    <row r="106" spans="2:18" x14ac:dyDescent="0.25">
      <c r="B106" s="294" t="s">
        <v>2389</v>
      </c>
      <c r="C106" s="295">
        <v>1</v>
      </c>
      <c r="D106" s="296">
        <v>4</v>
      </c>
      <c r="E106" s="462">
        <v>1891</v>
      </c>
      <c r="F106" s="297">
        <v>20141890159</v>
      </c>
      <c r="G106" s="298" t="str">
        <f>IFERROR(IF(compras_mes3[[#This Row],[CUIT]]="","-",VLOOKUP(compras_mes3[[#This Row],[CUIT]],Lista_CUIT[#All],2,0)),"CUIT NO CARGADO")</f>
        <v>GARBARSKY JAIME GERARDO</v>
      </c>
      <c r="H106" s="299">
        <v>3719.01</v>
      </c>
      <c r="I106" s="300">
        <f>compras_mes3[[#This Row],[NETO GRAVADO]]*0.21</f>
        <v>780.99210000000005</v>
      </c>
      <c r="J106" s="300"/>
      <c r="K106" s="300"/>
      <c r="L106" s="300"/>
      <c r="M106" s="300"/>
      <c r="N106" s="300"/>
      <c r="O106" s="300"/>
      <c r="P106" s="301">
        <f>SUM(compras_mes3[[#This Row],[NETO GRAVADO]:[Otros / No Grav.]])</f>
        <v>4500.0021000000006</v>
      </c>
      <c r="Q106" s="302" t="str">
        <f>IFERROR(IF(compras_mes3[[#This Row],[CUIT]]="","-",VLOOKUP(compras_mes3[[#This Row],[CUIT]],Lista_CUIT[#All],3,0)),"CUIT NO CARGADO")</f>
        <v>Gastos Varios</v>
      </c>
      <c r="R106" s="302">
        <f>IFERROR(IF(compras_mes3[[#This Row],[CUIT]]="","-",VLOOKUP(compras_mes3[[#This Row],[CUIT]],Lista_CUIT[#All],4,0)),"CUIT NO CARGADO")</f>
        <v>0</v>
      </c>
    </row>
    <row r="107" spans="2:18" x14ac:dyDescent="0.25">
      <c r="B107" s="294" t="s">
        <v>2405</v>
      </c>
      <c r="C107" s="295">
        <v>1</v>
      </c>
      <c r="D107" s="296">
        <v>4</v>
      </c>
      <c r="E107" s="462">
        <v>2715</v>
      </c>
      <c r="F107" s="297">
        <v>30715946250</v>
      </c>
      <c r="G107" s="298" t="str">
        <f>IFERROR(IF(compras_mes3[[#This Row],[CUIT]]="","-",VLOOKUP(compras_mes3[[#This Row],[CUIT]],Lista_CUIT[#All],2,0)),"CUIT NO CARGADO")</f>
        <v>GLOBAL AESTHETICS PRODUCTS AND SERVICES SRL</v>
      </c>
      <c r="H107" s="299">
        <v>5384640</v>
      </c>
      <c r="I107" s="300">
        <f>compras_mes3[[#This Row],[NETO GRAVADO]]*0.21</f>
        <v>1130774.3999999999</v>
      </c>
      <c r="J107" s="300"/>
      <c r="K107" s="300"/>
      <c r="L107" s="300"/>
      <c r="M107" s="300"/>
      <c r="N107" s="300"/>
      <c r="O107" s="300"/>
      <c r="P107" s="301">
        <f>SUM(compras_mes3[[#This Row],[NETO GRAVADO]:[Otros / No Grav.]])</f>
        <v>6515414.4000000004</v>
      </c>
      <c r="Q107" s="302" t="str">
        <f>IFERROR(IF(compras_mes3[[#This Row],[CUIT]]="","-",VLOOKUP(compras_mes3[[#This Row],[CUIT]],Lista_CUIT[#All],3,0)),"CUIT NO CARGADO")</f>
        <v>Productos Venta</v>
      </c>
      <c r="R107" s="302">
        <f>IFERROR(IF(compras_mes3[[#This Row],[CUIT]]="","-",VLOOKUP(compras_mes3[[#This Row],[CUIT]],Lista_CUIT[#All],4,0)),"CUIT NO CARGADO")</f>
        <v>0</v>
      </c>
    </row>
    <row r="108" spans="2:18" x14ac:dyDescent="0.25">
      <c r="B108" s="303" t="s">
        <v>2393</v>
      </c>
      <c r="C108" s="295">
        <v>1</v>
      </c>
      <c r="D108" s="304">
        <v>4</v>
      </c>
      <c r="E108" s="305">
        <v>2750</v>
      </c>
      <c r="F108" s="306">
        <v>30715946250</v>
      </c>
      <c r="G108" s="307" t="str">
        <f>IFERROR(IF(compras_mes3[[#This Row],[CUIT]]="","-",VLOOKUP(compras_mes3[[#This Row],[CUIT]],Lista_CUIT[#All],2,0)),"CUIT NO CARGADO")</f>
        <v>GLOBAL AESTHETICS PRODUCTS AND SERVICES SRL</v>
      </c>
      <c r="H108" s="308">
        <v>3816000</v>
      </c>
      <c r="I108" s="300">
        <f>compras_mes3[[#This Row],[NETO GRAVADO]]*0.21</f>
        <v>801360</v>
      </c>
      <c r="J108" s="309"/>
      <c r="K108" s="309"/>
      <c r="L108" s="309"/>
      <c r="M108" s="309"/>
      <c r="N108" s="309"/>
      <c r="O108" s="309"/>
      <c r="P108" s="301">
        <f>SUM(compras_mes3[[#This Row],[NETO GRAVADO]:[Otros / No Grav.]])</f>
        <v>4617360</v>
      </c>
      <c r="Q108" s="310" t="str">
        <f>IFERROR(IF(compras_mes3[[#This Row],[CUIT]]="","-",VLOOKUP(compras_mes3[[#This Row],[CUIT]],Lista_CUIT[#All],3,0)),"CUIT NO CARGADO")</f>
        <v>Productos Venta</v>
      </c>
      <c r="R108" s="310">
        <f>IFERROR(IF(compras_mes3[[#This Row],[CUIT]]="","-",VLOOKUP(compras_mes3[[#This Row],[CUIT]],Lista_CUIT[#All],4,0)),"CUIT NO CARGADO")</f>
        <v>0</v>
      </c>
    </row>
    <row r="109" spans="2:18" x14ac:dyDescent="0.25">
      <c r="B109" s="303" t="s">
        <v>2395</v>
      </c>
      <c r="C109" s="295">
        <v>1</v>
      </c>
      <c r="D109" s="304">
        <v>11</v>
      </c>
      <c r="E109" s="305">
        <v>1131122</v>
      </c>
      <c r="F109" s="306">
        <v>33709585229</v>
      </c>
      <c r="G109" s="307" t="str">
        <f>IFERROR(IF(compras_mes3[[#This Row],[CUIT]]="","-",VLOOKUP(compras_mes3[[#This Row],[CUIT]],Lista_CUIT[#All],2,0)),"CUIT NO CARGADO")</f>
        <v>GOOGLE ARGENTINA S.R.L.</v>
      </c>
      <c r="H109" s="308">
        <v>379802.27</v>
      </c>
      <c r="I109" s="300">
        <f>compras_mes3[[#This Row],[NETO GRAVADO]]*0.21</f>
        <v>79758.476699999999</v>
      </c>
      <c r="J109" s="309"/>
      <c r="K109" s="309"/>
      <c r="L109" s="309"/>
      <c r="M109" s="309">
        <v>77793</v>
      </c>
      <c r="N109" s="309"/>
      <c r="O109" s="309">
        <v>11394.07</v>
      </c>
      <c r="P109" s="312">
        <f>SUM(compras_mes3[[#This Row],[NETO GRAVADO]:[Otros / No Grav.]])</f>
        <v>548747.81669999997</v>
      </c>
      <c r="Q109" s="310" t="str">
        <f>IFERROR(IF(compras_mes3[[#This Row],[CUIT]]="","-",VLOOKUP(compras_mes3[[#This Row],[CUIT]],Lista_CUIT[#All],3,0)),"CUIT NO CARGADO")</f>
        <v>Gastos Comercializacion</v>
      </c>
      <c r="R109" s="310">
        <f>IFERROR(IF(compras_mes3[[#This Row],[CUIT]]="","-",VLOOKUP(compras_mes3[[#This Row],[CUIT]],Lista_CUIT[#All],4,0)),"CUIT NO CARGADO")</f>
        <v>0</v>
      </c>
    </row>
    <row r="110" spans="2:18" x14ac:dyDescent="0.25">
      <c r="B110" s="303" t="s">
        <v>2395</v>
      </c>
      <c r="C110" s="295">
        <v>3</v>
      </c>
      <c r="D110" s="304">
        <v>11</v>
      </c>
      <c r="E110" s="305">
        <v>808893</v>
      </c>
      <c r="F110" s="306">
        <v>33709585229</v>
      </c>
      <c r="G110" s="307" t="str">
        <f>IFERROR(IF(compras_mes3[[#This Row],[CUIT]]="","-",VLOOKUP(compras_mes3[[#This Row],[CUIT]],Lista_CUIT[#All],2,0)),"CUIT NO CARGADO")</f>
        <v>GOOGLE ARGENTINA S.R.L.</v>
      </c>
      <c r="H110" s="308">
        <v>-93.47</v>
      </c>
      <c r="I110" s="309">
        <f>compras_mes3[[#This Row],[NETO GRAVADO]]*0.21</f>
        <v>-19.628699999999998</v>
      </c>
      <c r="J110" s="309"/>
      <c r="K110" s="309"/>
      <c r="L110" s="309"/>
      <c r="M110" s="309"/>
      <c r="N110" s="309"/>
      <c r="O110" s="309"/>
      <c r="P110" s="301">
        <f>SUM(compras_mes3[[#This Row],[NETO GRAVADO]:[Otros / No Grav.]])</f>
        <v>-113.09869999999999</v>
      </c>
      <c r="Q110" s="310" t="str">
        <f>IFERROR(IF(compras_mes3[[#This Row],[CUIT]]="","-",VLOOKUP(compras_mes3[[#This Row],[CUIT]],Lista_CUIT[#All],3,0)),"CUIT NO CARGADO")</f>
        <v>Gastos Comercializacion</v>
      </c>
      <c r="R110" s="310">
        <f>IFERROR(IF(compras_mes3[[#This Row],[CUIT]]="","-",VLOOKUP(compras_mes3[[#This Row],[CUIT]],Lista_CUIT[#All],4,0)),"CUIT NO CARGADO")</f>
        <v>0</v>
      </c>
    </row>
    <row r="111" spans="2:18" x14ac:dyDescent="0.25">
      <c r="B111" s="294" t="s">
        <v>2386</v>
      </c>
      <c r="C111" s="295">
        <v>1</v>
      </c>
      <c r="D111" s="296">
        <v>629</v>
      </c>
      <c r="E111" s="462">
        <v>5942734</v>
      </c>
      <c r="F111" s="297">
        <v>30663498513</v>
      </c>
      <c r="G111" s="298" t="str">
        <f>IFERROR(IF(compras_mes3[[#This Row],[CUIT]]="","-",VLOOKUP(compras_mes3[[#This Row],[CUIT]],Lista_CUIT[#All],2,0)),"CUIT NO CARGADO")</f>
        <v>GRUPO CONCES. DEL OESTE SA</v>
      </c>
      <c r="H111" s="299">
        <v>30506.25</v>
      </c>
      <c r="I111" s="300">
        <f>compras_mes3[[#This Row],[NETO GRAVADO]]*0.21</f>
        <v>6406.3125</v>
      </c>
      <c r="J111" s="300"/>
      <c r="K111" s="85" t="s">
        <v>2411</v>
      </c>
      <c r="L111" s="300"/>
      <c r="M111" s="300"/>
      <c r="N111" s="300"/>
      <c r="O111" s="300"/>
      <c r="P111" s="301">
        <f>SUM(compras_mes3[[#This Row],[NETO GRAVADO]:[Otros / No Grav.]])</f>
        <v>36912.5625</v>
      </c>
      <c r="Q111" s="302" t="str">
        <f>IFERROR(IF(compras_mes3[[#This Row],[CUIT]]="","-",VLOOKUP(compras_mes3[[#This Row],[CUIT]],Lista_CUIT[#All],3,0)),"CUIT NO CARGADO")</f>
        <v>Peajes</v>
      </c>
      <c r="R111" s="302">
        <f>IFERROR(IF(compras_mes3[[#This Row],[CUIT]]="","-",VLOOKUP(compras_mes3[[#This Row],[CUIT]],Lista_CUIT[#All],4,0)),"CUIT NO CARGADO")</f>
        <v>0</v>
      </c>
    </row>
    <row r="112" spans="2:18" x14ac:dyDescent="0.25">
      <c r="B112" s="294" t="s">
        <v>2396</v>
      </c>
      <c r="C112" s="295">
        <v>1</v>
      </c>
      <c r="D112" s="296">
        <v>629</v>
      </c>
      <c r="E112" s="462">
        <v>5903445</v>
      </c>
      <c r="F112" s="297">
        <v>30663498513</v>
      </c>
      <c r="G112" s="298" t="str">
        <f>IFERROR(IF(compras_mes3[[#This Row],[CUIT]]="","-",VLOOKUP(compras_mes3[[#This Row],[CUIT]],Lista_CUIT[#All],2,0)),"CUIT NO CARGADO")</f>
        <v>GRUPO CONCES. DEL OESTE SA</v>
      </c>
      <c r="H112" s="299">
        <v>13404.23</v>
      </c>
      <c r="I112" s="300">
        <f>compras_mes3[[#This Row],[NETO GRAVADO]]*0.21</f>
        <v>2814.8882999999996</v>
      </c>
      <c r="J112" s="300"/>
      <c r="K112" s="300"/>
      <c r="L112" s="300"/>
      <c r="M112" s="300"/>
      <c r="N112" s="300"/>
      <c r="O112" s="300"/>
      <c r="P112" s="301">
        <f>SUM(compras_mes3[[#This Row],[NETO GRAVADO]:[Otros / No Grav.]])</f>
        <v>16219.118299999998</v>
      </c>
      <c r="Q112" s="302" t="str">
        <f>IFERROR(IF(compras_mes3[[#This Row],[CUIT]]="","-",VLOOKUP(compras_mes3[[#This Row],[CUIT]],Lista_CUIT[#All],3,0)),"CUIT NO CARGADO")</f>
        <v>Peajes</v>
      </c>
      <c r="R112" s="302">
        <f>IFERROR(IF(compras_mes3[[#This Row],[CUIT]]="","-",VLOOKUP(compras_mes3[[#This Row],[CUIT]],Lista_CUIT[#All],4,0)),"CUIT NO CARGADO")</f>
        <v>0</v>
      </c>
    </row>
    <row r="113" spans="2:18" x14ac:dyDescent="0.25">
      <c r="B113" s="294" t="s">
        <v>2406</v>
      </c>
      <c r="C113" s="295">
        <v>1</v>
      </c>
      <c r="D113" s="296">
        <v>1</v>
      </c>
      <c r="E113" s="462">
        <v>1123</v>
      </c>
      <c r="F113" s="297">
        <v>30717640175</v>
      </c>
      <c r="G113" s="298" t="str">
        <f>IFERROR(IF(compras_mes3[[#This Row],[CUIT]]="","-",VLOOKUP(compras_mes3[[#This Row],[CUIT]],Lista_CUIT[#All],2,0)),"CUIT NO CARGADO")</f>
        <v>GRUPO DE REPUESTOS EL MELLIZO</v>
      </c>
      <c r="H113" s="299">
        <v>6363.62</v>
      </c>
      <c r="I113" s="300">
        <f>compras_mes3[[#This Row],[NETO GRAVADO]]*0.21</f>
        <v>1336.3601999999998</v>
      </c>
      <c r="J113" s="300"/>
      <c r="K113" s="300"/>
      <c r="L113" s="300"/>
      <c r="M113" s="300"/>
      <c r="N113" s="300"/>
      <c r="O113" s="300"/>
      <c r="P113" s="301">
        <f>SUM(compras_mes3[[#This Row],[NETO GRAVADO]:[Otros / No Grav.]])</f>
        <v>7699.9802</v>
      </c>
      <c r="Q113" s="302" t="str">
        <f>IFERROR(IF(compras_mes3[[#This Row],[CUIT]]="","-",VLOOKUP(compras_mes3[[#This Row],[CUIT]],Lista_CUIT[#All],3,0)),"CUIT NO CARGADO")</f>
        <v>Gastos Varios</v>
      </c>
      <c r="R113" s="302">
        <f>IFERROR(IF(compras_mes3[[#This Row],[CUIT]]="","-",VLOOKUP(compras_mes3[[#This Row],[CUIT]],Lista_CUIT[#All],4,0)),"CUIT NO CARGADO")</f>
        <v>0</v>
      </c>
    </row>
    <row r="114" spans="2:18" x14ac:dyDescent="0.25">
      <c r="B114" s="303" t="s">
        <v>2382</v>
      </c>
      <c r="C114" s="295">
        <v>1</v>
      </c>
      <c r="D114" s="304">
        <v>2</v>
      </c>
      <c r="E114" s="305">
        <v>342</v>
      </c>
      <c r="F114" s="306">
        <v>30717924548</v>
      </c>
      <c r="G114" s="307" t="str">
        <f>IFERROR(IF(compras_mes3[[#This Row],[CUIT]]="","-",VLOOKUP(compras_mes3[[#This Row],[CUIT]],Lista_CUIT[#All],2,0)),"CUIT NO CARGADO")</f>
        <v>GRUPO LEDUFT SA</v>
      </c>
      <c r="H114" s="308">
        <v>45930.58</v>
      </c>
      <c r="I114" s="309">
        <f>compras_mes3[[#This Row],[NETO GRAVADO]]*0.21</f>
        <v>9645.4218000000001</v>
      </c>
      <c r="J114" s="309"/>
      <c r="K114" s="309"/>
      <c r="L114" s="309"/>
      <c r="M114" s="309"/>
      <c r="N114" s="309"/>
      <c r="O114" s="309"/>
      <c r="P114" s="301">
        <f>SUM(compras_mes3[[#This Row],[NETO GRAVADO]:[Otros / No Grav.]])</f>
        <v>55576.001799999998</v>
      </c>
      <c r="Q114" s="310" t="str">
        <f>IFERROR(IF(compras_mes3[[#This Row],[CUIT]]="","-",VLOOKUP(compras_mes3[[#This Row],[CUIT]],Lista_CUIT[#All],3,0)),"CUIT NO CARGADO")</f>
        <v>Gastos Varios</v>
      </c>
      <c r="R114" s="310">
        <f>IFERROR(IF(compras_mes3[[#This Row],[CUIT]]="","-",VLOOKUP(compras_mes3[[#This Row],[CUIT]],Lista_CUIT[#All],4,0)),"CUIT NO CARGADO")</f>
        <v>0</v>
      </c>
    </row>
    <row r="115" spans="2:18" x14ac:dyDescent="0.25">
      <c r="B115" s="294" t="s">
        <v>2391</v>
      </c>
      <c r="C115" s="295">
        <v>1</v>
      </c>
      <c r="D115" s="296">
        <v>2000</v>
      </c>
      <c r="E115" s="462">
        <v>63868</v>
      </c>
      <c r="F115" s="297">
        <v>30716932245</v>
      </c>
      <c r="G115" s="298" t="str">
        <f>IFERROR(IF(compras_mes3[[#This Row],[CUIT]]="","-",VLOOKUP(compras_mes3[[#This Row],[CUIT]],Lista_CUIT[#All],2,0)),"CUIT NO CARGADO")</f>
        <v>GRUPO MEXX S.R.L</v>
      </c>
      <c r="H115" s="299">
        <v>35166.519999999997</v>
      </c>
      <c r="I115" s="85" t="s">
        <v>2411</v>
      </c>
      <c r="J115" s="300"/>
      <c r="K115" s="300">
        <f>compras_mes3[[#This Row],[NETO GRAVADO]]*0.105</f>
        <v>3692.4845999999993</v>
      </c>
      <c r="L115" s="300"/>
      <c r="M115" s="300"/>
      <c r="N115" s="300"/>
      <c r="O115" s="300"/>
      <c r="P115" s="301">
        <f>SUM(compras_mes3[[#This Row],[NETO GRAVADO]:[Otros / No Grav.]])</f>
        <v>38859.004599999993</v>
      </c>
      <c r="Q115" s="302" t="str">
        <f>IFERROR(IF(compras_mes3[[#This Row],[CUIT]]="","-",VLOOKUP(compras_mes3[[#This Row],[CUIT]],Lista_CUIT[#All],3,0)),"CUIT NO CARGADO")</f>
        <v>Gastos Oficina</v>
      </c>
      <c r="R115" s="302">
        <f>IFERROR(IF(compras_mes3[[#This Row],[CUIT]]="","-",VLOOKUP(compras_mes3[[#This Row],[CUIT]],Lista_CUIT[#All],4,0)),"CUIT NO CARGADO")</f>
        <v>0</v>
      </c>
    </row>
    <row r="116" spans="2:18" x14ac:dyDescent="0.25">
      <c r="B116" s="294" t="s">
        <v>2396</v>
      </c>
      <c r="C116" s="295">
        <v>1</v>
      </c>
      <c r="D116" s="296">
        <v>1</v>
      </c>
      <c r="E116" s="462">
        <v>155</v>
      </c>
      <c r="F116" s="297">
        <v>30716010313</v>
      </c>
      <c r="G116" s="298" t="str">
        <f>IFERROR(IF(compras_mes3[[#This Row],[CUIT]]="","-",VLOOKUP(compras_mes3[[#This Row],[CUIT]],Lista_CUIT[#All],2,0)),"CUIT NO CARGADO")</f>
        <v>H UNO 1469 S.A.</v>
      </c>
      <c r="H116" s="299">
        <v>500000</v>
      </c>
      <c r="I116" s="300">
        <f>compras_mes3[[#This Row],[NETO GRAVADO]]*0.21</f>
        <v>105000</v>
      </c>
      <c r="J116" s="300"/>
      <c r="K116" s="300"/>
      <c r="L116" s="300"/>
      <c r="M116" s="300"/>
      <c r="N116" s="300"/>
      <c r="O116" s="300"/>
      <c r="P116" s="301">
        <f>SUM(compras_mes3[[#This Row],[NETO GRAVADO]:[Otros / No Grav.]])</f>
        <v>605000</v>
      </c>
      <c r="Q116" s="302" t="str">
        <f>IFERROR(IF(compras_mes3[[#This Row],[CUIT]]="","-",VLOOKUP(compras_mes3[[#This Row],[CUIT]],Lista_CUIT[#All],3,0)),"CUIT NO CARGADO")</f>
        <v>Alquiler</v>
      </c>
      <c r="R116" s="302">
        <f>IFERROR(IF(compras_mes3[[#This Row],[CUIT]]="","-",VLOOKUP(compras_mes3[[#This Row],[CUIT]],Lista_CUIT[#All],4,0)),"CUIT NO CARGADO")</f>
        <v>0</v>
      </c>
    </row>
    <row r="117" spans="2:18" x14ac:dyDescent="0.25">
      <c r="B117" s="303" t="s">
        <v>2395</v>
      </c>
      <c r="C117" s="295">
        <v>1</v>
      </c>
      <c r="D117" s="304">
        <v>2</v>
      </c>
      <c r="E117" s="305">
        <v>633</v>
      </c>
      <c r="F117" s="306">
        <v>27317740196</v>
      </c>
      <c r="G117" s="307" t="str">
        <f>IFERROR(IF(compras_mes3[[#This Row],[CUIT]]="","-",VLOOKUP(compras_mes3[[#This Row],[CUIT]],Lista_CUIT[#All],2,0)),"CUIT NO CARGADO")</f>
        <v>HOKAMA ROMINA PAOLA</v>
      </c>
      <c r="H117" s="308">
        <v>50638.85</v>
      </c>
      <c r="I117" s="300">
        <f>compras_mes3[[#This Row],[NETO GRAVADO]]*0.21</f>
        <v>10634.1585</v>
      </c>
      <c r="J117" s="309"/>
      <c r="K117" s="309"/>
      <c r="L117" s="309"/>
      <c r="M117" s="309"/>
      <c r="N117" s="309"/>
      <c r="O117" s="309"/>
      <c r="P117" s="301">
        <f>SUM(compras_mes3[[#This Row],[NETO GRAVADO]:[Otros / No Grav.]])</f>
        <v>61273.008499999996</v>
      </c>
      <c r="Q117" s="310" t="str">
        <f>IFERROR(IF(compras_mes3[[#This Row],[CUIT]]="","-",VLOOKUP(compras_mes3[[#This Row],[CUIT]],Lista_CUIT[#All],3,0)),"CUIT NO CARGADO")</f>
        <v>Gastos Varios</v>
      </c>
      <c r="R117" s="310">
        <f>IFERROR(IF(compras_mes3[[#This Row],[CUIT]]="","-",VLOOKUP(compras_mes3[[#This Row],[CUIT]],Lista_CUIT[#All],4,0)),"CUIT NO CARGADO")</f>
        <v>0</v>
      </c>
    </row>
    <row r="118" spans="2:18" x14ac:dyDescent="0.25">
      <c r="B118" s="294" t="s">
        <v>2383</v>
      </c>
      <c r="C118" s="295">
        <v>1</v>
      </c>
      <c r="D118" s="296">
        <v>2</v>
      </c>
      <c r="E118" s="462">
        <v>532</v>
      </c>
      <c r="F118" s="297">
        <v>27317740196</v>
      </c>
      <c r="G118" s="298" t="str">
        <f>IFERROR(IF(compras_mes3[[#This Row],[CUIT]]="","-",VLOOKUP(compras_mes3[[#This Row],[CUIT]],Lista_CUIT[#All],2,0)),"CUIT NO CARGADO")</f>
        <v>HOKAMA ROMINA PAOLA</v>
      </c>
      <c r="H118" s="299">
        <v>45129.72</v>
      </c>
      <c r="I118" s="300">
        <f>compras_mes3[[#This Row],[NETO GRAVADO]]*0.21</f>
        <v>9477.2412000000004</v>
      </c>
      <c r="J118" s="300"/>
      <c r="K118" s="300"/>
      <c r="L118" s="300"/>
      <c r="M118" s="300"/>
      <c r="N118" s="300"/>
      <c r="O118" s="300"/>
      <c r="P118" s="301">
        <f>SUM(compras_mes3[[#This Row],[NETO GRAVADO]:[Otros / No Grav.]])</f>
        <v>54606.961200000005</v>
      </c>
      <c r="Q118" s="302" t="str">
        <f>IFERROR(IF(compras_mes3[[#This Row],[CUIT]]="","-",VLOOKUP(compras_mes3[[#This Row],[CUIT]],Lista_CUIT[#All],3,0)),"CUIT NO CARGADO")</f>
        <v>Gastos Varios</v>
      </c>
      <c r="R118" s="302">
        <f>IFERROR(IF(compras_mes3[[#This Row],[CUIT]]="","-",VLOOKUP(compras_mes3[[#This Row],[CUIT]],Lista_CUIT[#All],4,0)),"CUIT NO CARGADO")</f>
        <v>0</v>
      </c>
    </row>
    <row r="119" spans="2:18" x14ac:dyDescent="0.25">
      <c r="B119" s="294" t="s">
        <v>2407</v>
      </c>
      <c r="C119" s="295">
        <v>1</v>
      </c>
      <c r="D119" s="296">
        <v>2</v>
      </c>
      <c r="E119" s="462">
        <v>576</v>
      </c>
      <c r="F119" s="297">
        <v>27317740196</v>
      </c>
      <c r="G119" s="298" t="str">
        <f>IFERROR(IF(compras_mes3[[#This Row],[CUIT]]="","-",VLOOKUP(compras_mes3[[#This Row],[CUIT]],Lista_CUIT[#All],2,0)),"CUIT NO CARGADO")</f>
        <v>HOKAMA ROMINA PAOLA</v>
      </c>
      <c r="H119" s="299">
        <v>32431.39</v>
      </c>
      <c r="I119" s="300">
        <f>compras_mes3[[#This Row],[NETO GRAVADO]]*0.21</f>
        <v>6810.5918999999994</v>
      </c>
      <c r="J119" s="300"/>
      <c r="K119" s="300"/>
      <c r="L119" s="300"/>
      <c r="M119" s="300"/>
      <c r="N119" s="300"/>
      <c r="O119" s="300"/>
      <c r="P119" s="301">
        <f>SUM(compras_mes3[[#This Row],[NETO GRAVADO]:[Otros / No Grav.]])</f>
        <v>39241.981899999999</v>
      </c>
      <c r="Q119" s="302" t="str">
        <f>IFERROR(IF(compras_mes3[[#This Row],[CUIT]]="","-",VLOOKUP(compras_mes3[[#This Row],[CUIT]],Lista_CUIT[#All],3,0)),"CUIT NO CARGADO")</f>
        <v>Gastos Varios</v>
      </c>
      <c r="R119" s="302">
        <f>IFERROR(IF(compras_mes3[[#This Row],[CUIT]]="","-",VLOOKUP(compras_mes3[[#This Row],[CUIT]],Lista_CUIT[#All],4,0)),"CUIT NO CARGADO")</f>
        <v>0</v>
      </c>
    </row>
    <row r="120" spans="2:18" x14ac:dyDescent="0.25">
      <c r="B120" s="303" t="s">
        <v>2381</v>
      </c>
      <c r="C120" s="295">
        <v>1</v>
      </c>
      <c r="D120" s="304">
        <v>2</v>
      </c>
      <c r="E120" s="305">
        <v>486</v>
      </c>
      <c r="F120" s="306">
        <v>27317740196</v>
      </c>
      <c r="G120" s="307" t="str">
        <f>IFERROR(IF(compras_mes3[[#This Row],[CUIT]]="","-",VLOOKUP(compras_mes3[[#This Row],[CUIT]],Lista_CUIT[#All],2,0)),"CUIT NO CARGADO")</f>
        <v>HOKAMA ROMINA PAOLA</v>
      </c>
      <c r="H120" s="308">
        <v>29823.95</v>
      </c>
      <c r="I120" s="300">
        <f>compras_mes3[[#This Row],[NETO GRAVADO]]*0.21</f>
        <v>6263.0294999999996</v>
      </c>
      <c r="J120" s="309"/>
      <c r="K120" s="309"/>
      <c r="L120" s="309"/>
      <c r="M120" s="309"/>
      <c r="N120" s="309"/>
      <c r="O120" s="309"/>
      <c r="P120" s="301">
        <f>SUM(compras_mes3[[#This Row],[NETO GRAVADO]:[Otros / No Grav.]])</f>
        <v>36086.979500000001</v>
      </c>
      <c r="Q120" s="310" t="str">
        <f>IFERROR(IF(compras_mes3[[#This Row],[CUIT]]="","-",VLOOKUP(compras_mes3[[#This Row],[CUIT]],Lista_CUIT[#All],3,0)),"CUIT NO CARGADO")</f>
        <v>Gastos Varios</v>
      </c>
      <c r="R120" s="310">
        <f>IFERROR(IF(compras_mes3[[#This Row],[CUIT]]="","-",VLOOKUP(compras_mes3[[#This Row],[CUIT]],Lista_CUIT[#All],4,0)),"CUIT NO CARGADO")</f>
        <v>0</v>
      </c>
    </row>
    <row r="121" spans="2:18" x14ac:dyDescent="0.25">
      <c r="B121" s="294" t="s">
        <v>2387</v>
      </c>
      <c r="C121" s="295">
        <v>1</v>
      </c>
      <c r="D121" s="296">
        <v>6</v>
      </c>
      <c r="E121" s="462">
        <v>72</v>
      </c>
      <c r="F121" s="297">
        <v>30716154102</v>
      </c>
      <c r="G121" s="298" t="str">
        <f>IFERROR(IF(compras_mes3[[#This Row],[CUIT]]="","-",VLOOKUP(compras_mes3[[#This Row],[CUIT]],Lista_CUIT[#All],2,0)),"CUIT NO CARGADO")</f>
        <v>IDZONE SRL</v>
      </c>
      <c r="H121" s="299">
        <v>293962.5</v>
      </c>
      <c r="I121" s="300">
        <f>compras_mes3[[#This Row],[NETO GRAVADO]]*0.21</f>
        <v>61732.125</v>
      </c>
      <c r="J121" s="300"/>
      <c r="K121" s="300"/>
      <c r="L121" s="300"/>
      <c r="M121" s="300"/>
      <c r="N121" s="300"/>
      <c r="O121" s="300"/>
      <c r="P121" s="301">
        <f>SUM(compras_mes3[[#This Row],[NETO GRAVADO]:[Otros / No Grav.]])</f>
        <v>355694.625</v>
      </c>
      <c r="Q121" s="302" t="str">
        <f>IFERROR(IF(compras_mes3[[#This Row],[CUIT]]="","-",VLOOKUP(compras_mes3[[#This Row],[CUIT]],Lista_CUIT[#All],3,0)),"CUIT NO CARGADO")</f>
        <v>Mantenimiento</v>
      </c>
      <c r="R121" s="302">
        <f>IFERROR(IF(compras_mes3[[#This Row],[CUIT]]="","-",VLOOKUP(compras_mes3[[#This Row],[CUIT]],Lista_CUIT[#All],4,0)),"CUIT NO CARGADO")</f>
        <v>0</v>
      </c>
    </row>
    <row r="122" spans="2:18" x14ac:dyDescent="0.25">
      <c r="B122" s="303" t="s">
        <v>2392</v>
      </c>
      <c r="C122" s="295">
        <v>1</v>
      </c>
      <c r="D122" s="304">
        <v>4</v>
      </c>
      <c r="E122" s="305">
        <v>49255</v>
      </c>
      <c r="F122" s="306">
        <v>30709863076</v>
      </c>
      <c r="G122" s="307" t="str">
        <f>IFERROR(IF(compras_mes3[[#This Row],[CUIT]]="","-",VLOOKUP(compras_mes3[[#This Row],[CUIT]],Lista_CUIT[#All],2,0)),"CUIT NO CARGADO")</f>
        <v>INDUSTRIAS PLASTICOS SALTA S.R.L.</v>
      </c>
      <c r="H122" s="308">
        <v>473595.04</v>
      </c>
      <c r="I122" s="300">
        <f>compras_mes3[[#This Row],[NETO GRAVADO]]*0.21</f>
        <v>99454.958399999989</v>
      </c>
      <c r="J122" s="309"/>
      <c r="K122" s="309"/>
      <c r="L122" s="309"/>
      <c r="M122" s="309"/>
      <c r="N122" s="309"/>
      <c r="O122" s="309"/>
      <c r="P122" s="301">
        <f>SUM(compras_mes3[[#This Row],[NETO GRAVADO]:[Otros / No Grav.]])</f>
        <v>573049.99839999992</v>
      </c>
      <c r="Q122" s="310" t="str">
        <f>IFERROR(IF(compras_mes3[[#This Row],[CUIT]]="","-",VLOOKUP(compras_mes3[[#This Row],[CUIT]],Lista_CUIT[#All],3,0)),"CUIT NO CARGADO")</f>
        <v>Materia Prima</v>
      </c>
      <c r="R122" s="310">
        <f>IFERROR(IF(compras_mes3[[#This Row],[CUIT]]="","-",VLOOKUP(compras_mes3[[#This Row],[CUIT]],Lista_CUIT[#All],4,0)),"CUIT NO CARGADO")</f>
        <v>0</v>
      </c>
    </row>
    <row r="123" spans="2:18" x14ac:dyDescent="0.25">
      <c r="B123" s="303" t="s">
        <v>2403</v>
      </c>
      <c r="C123" s="295">
        <v>1</v>
      </c>
      <c r="D123" s="304">
        <v>4</v>
      </c>
      <c r="E123" s="305">
        <v>49077</v>
      </c>
      <c r="F123" s="306">
        <v>30709863076</v>
      </c>
      <c r="G123" s="307" t="str">
        <f>IFERROR(IF(compras_mes3[[#This Row],[CUIT]]="","-",VLOOKUP(compras_mes3[[#This Row],[CUIT]],Lista_CUIT[#All],2,0)),"CUIT NO CARGADO")</f>
        <v>INDUSTRIAS PLASTICOS SALTA S.R.L.</v>
      </c>
      <c r="H123" s="308">
        <v>269338.84999999998</v>
      </c>
      <c r="I123" s="309">
        <f>compras_mes3[[#This Row],[NETO GRAVADO]]*0.21</f>
        <v>56561.15849999999</v>
      </c>
      <c r="J123" s="309"/>
      <c r="K123" s="309"/>
      <c r="L123" s="309"/>
      <c r="M123" s="309"/>
      <c r="N123" s="309"/>
      <c r="O123" s="309"/>
      <c r="P123" s="301">
        <f>SUM(compras_mes3[[#This Row],[NETO GRAVADO]:[Otros / No Grav.]])</f>
        <v>325900.0085</v>
      </c>
      <c r="Q123" s="310" t="str">
        <f>IFERROR(IF(compras_mes3[[#This Row],[CUIT]]="","-",VLOOKUP(compras_mes3[[#This Row],[CUIT]],Lista_CUIT[#All],3,0)),"CUIT NO CARGADO")</f>
        <v>Materia Prima</v>
      </c>
      <c r="R123" s="310">
        <f>IFERROR(IF(compras_mes3[[#This Row],[CUIT]]="","-",VLOOKUP(compras_mes3[[#This Row],[CUIT]],Lista_CUIT[#All],4,0)),"CUIT NO CARGADO")</f>
        <v>0</v>
      </c>
    </row>
    <row r="124" spans="2:18" x14ac:dyDescent="0.25">
      <c r="B124" s="294" t="s">
        <v>2384</v>
      </c>
      <c r="C124" s="295">
        <v>1</v>
      </c>
      <c r="D124" s="296">
        <v>4</v>
      </c>
      <c r="E124" s="462">
        <v>49143</v>
      </c>
      <c r="F124" s="297">
        <v>30709863076</v>
      </c>
      <c r="G124" s="298" t="str">
        <f>IFERROR(IF(compras_mes3[[#This Row],[CUIT]]="","-",VLOOKUP(compras_mes3[[#This Row],[CUIT]],Lista_CUIT[#All],2,0)),"CUIT NO CARGADO")</f>
        <v>INDUSTRIAS PLASTICOS SALTA S.R.L.</v>
      </c>
      <c r="H124" s="299">
        <v>152231.41</v>
      </c>
      <c r="I124" s="300">
        <f>compras_mes3[[#This Row],[NETO GRAVADO]]*0.21</f>
        <v>31968.596099999999</v>
      </c>
      <c r="J124" s="300"/>
      <c r="K124" s="300"/>
      <c r="L124" s="300"/>
      <c r="M124" s="300"/>
      <c r="N124" s="300"/>
      <c r="O124" s="300"/>
      <c r="P124" s="301">
        <f>SUM(compras_mes3[[#This Row],[NETO GRAVADO]:[Otros / No Grav.]])</f>
        <v>184200.0061</v>
      </c>
      <c r="Q124" s="302" t="str">
        <f>IFERROR(IF(compras_mes3[[#This Row],[CUIT]]="","-",VLOOKUP(compras_mes3[[#This Row],[CUIT]],Lista_CUIT[#All],3,0)),"CUIT NO CARGADO")</f>
        <v>Materia Prima</v>
      </c>
      <c r="R124" s="302">
        <f>IFERROR(IF(compras_mes3[[#This Row],[CUIT]]="","-",VLOOKUP(compras_mes3[[#This Row],[CUIT]],Lista_CUIT[#All],4,0)),"CUIT NO CARGADO")</f>
        <v>0</v>
      </c>
    </row>
    <row r="125" spans="2:18" x14ac:dyDescent="0.25">
      <c r="B125" s="294" t="s">
        <v>2384</v>
      </c>
      <c r="C125" s="295">
        <v>1</v>
      </c>
      <c r="D125" s="296">
        <v>4</v>
      </c>
      <c r="E125" s="462">
        <v>49128</v>
      </c>
      <c r="F125" s="297">
        <v>30709863076</v>
      </c>
      <c r="G125" s="298" t="str">
        <f>IFERROR(IF(compras_mes3[[#This Row],[CUIT]]="","-",VLOOKUP(compras_mes3[[#This Row],[CUIT]],Lista_CUIT[#All],2,0)),"CUIT NO CARGADO")</f>
        <v>INDUSTRIAS PLASTICOS SALTA S.R.L.</v>
      </c>
      <c r="H125" s="299">
        <v>86776.87</v>
      </c>
      <c r="I125" s="300">
        <f>compras_mes3[[#This Row],[NETO GRAVADO]]*0.21</f>
        <v>18223.142699999997</v>
      </c>
      <c r="J125" s="300"/>
      <c r="K125" s="300"/>
      <c r="L125" s="300"/>
      <c r="M125" s="300"/>
      <c r="N125" s="300"/>
      <c r="O125" s="300"/>
      <c r="P125" s="301">
        <f>SUM(compras_mes3[[#This Row],[NETO GRAVADO]:[Otros / No Grav.]])</f>
        <v>105000.01269999999</v>
      </c>
      <c r="Q125" s="302" t="str">
        <f>IFERROR(IF(compras_mes3[[#This Row],[CUIT]]="","-",VLOOKUP(compras_mes3[[#This Row],[CUIT]],Lista_CUIT[#All],3,0)),"CUIT NO CARGADO")</f>
        <v>Materia Prima</v>
      </c>
      <c r="R125" s="302">
        <f>IFERROR(IF(compras_mes3[[#This Row],[CUIT]]="","-",VLOOKUP(compras_mes3[[#This Row],[CUIT]],Lista_CUIT[#All],4,0)),"CUIT NO CARGADO")</f>
        <v>0</v>
      </c>
    </row>
    <row r="126" spans="2:18" x14ac:dyDescent="0.25">
      <c r="B126" s="294" t="s">
        <v>2403</v>
      </c>
      <c r="C126" s="295">
        <v>1</v>
      </c>
      <c r="D126" s="296">
        <v>4</v>
      </c>
      <c r="E126" s="462">
        <v>49078</v>
      </c>
      <c r="F126" s="297">
        <v>30709863076</v>
      </c>
      <c r="G126" s="298" t="str">
        <f>IFERROR(IF(compras_mes3[[#This Row],[CUIT]]="","-",VLOOKUP(compras_mes3[[#This Row],[CUIT]],Lista_CUIT[#All],2,0)),"CUIT NO CARGADO")</f>
        <v>INDUSTRIAS PLASTICOS SALTA S.R.L.</v>
      </c>
      <c r="H126" s="299">
        <v>54710.74</v>
      </c>
      <c r="I126" s="300">
        <f>compras_mes3[[#This Row],[NETO GRAVADO]]*0.21</f>
        <v>11489.2554</v>
      </c>
      <c r="J126" s="300"/>
      <c r="K126" s="300"/>
      <c r="L126" s="300"/>
      <c r="M126" s="300"/>
      <c r="N126" s="300"/>
      <c r="O126" s="300"/>
      <c r="P126" s="301">
        <f>SUM(compras_mes3[[#This Row],[NETO GRAVADO]:[Otros / No Grav.]])</f>
        <v>66199.9954</v>
      </c>
      <c r="Q126" s="302" t="str">
        <f>IFERROR(IF(compras_mes3[[#This Row],[CUIT]]="","-",VLOOKUP(compras_mes3[[#This Row],[CUIT]],Lista_CUIT[#All],3,0)),"CUIT NO CARGADO")</f>
        <v>Materia Prima</v>
      </c>
      <c r="R126" s="302">
        <f>IFERROR(IF(compras_mes3[[#This Row],[CUIT]]="","-",VLOOKUP(compras_mes3[[#This Row],[CUIT]],Lista_CUIT[#All],4,0)),"CUIT NO CARGADO")</f>
        <v>0</v>
      </c>
    </row>
    <row r="127" spans="2:18" x14ac:dyDescent="0.25">
      <c r="B127" s="294" t="s">
        <v>2384</v>
      </c>
      <c r="C127" s="295">
        <v>1</v>
      </c>
      <c r="D127" s="296">
        <v>5</v>
      </c>
      <c r="E127" s="462">
        <v>3179</v>
      </c>
      <c r="F127" s="297">
        <v>30711651779</v>
      </c>
      <c r="G127" s="298" t="str">
        <f>IFERROR(IF(compras_mes3[[#This Row],[CUIT]]="","-",VLOOKUP(compras_mes3[[#This Row],[CUIT]],Lista_CUIT[#All],2,0)),"CUIT NO CARGADO")</f>
        <v>INFOSOL BUENOS AIRES S.R.L.</v>
      </c>
      <c r="H127" s="299">
        <v>99173.55</v>
      </c>
      <c r="I127" s="300">
        <f>compras_mes3[[#This Row],[NETO GRAVADO]]*0.21</f>
        <v>20826.445500000002</v>
      </c>
      <c r="J127" s="300"/>
      <c r="K127" s="300"/>
      <c r="L127" s="300"/>
      <c r="M127" s="300"/>
      <c r="N127" s="300"/>
      <c r="O127" s="300"/>
      <c r="P127" s="301">
        <f>SUM(compras_mes3[[#This Row],[NETO GRAVADO]:[Otros / No Grav.]])</f>
        <v>119999.9955</v>
      </c>
      <c r="Q127" s="302" t="str">
        <f>IFERROR(IF(compras_mes3[[#This Row],[CUIT]]="","-",VLOOKUP(compras_mes3[[#This Row],[CUIT]],Lista_CUIT[#All],3,0)),"CUIT NO CARGADO")</f>
        <v>Servicios Informatica</v>
      </c>
      <c r="R127" s="302">
        <f>IFERROR(IF(compras_mes3[[#This Row],[CUIT]]="","-",VLOOKUP(compras_mes3[[#This Row],[CUIT]],Lista_CUIT[#All],4,0)),"CUIT NO CARGADO")</f>
        <v>0</v>
      </c>
    </row>
    <row r="128" spans="2:18" x14ac:dyDescent="0.25">
      <c r="B128" s="294" t="s">
        <v>2398</v>
      </c>
      <c r="C128" s="295">
        <v>1</v>
      </c>
      <c r="D128" s="296">
        <v>29</v>
      </c>
      <c r="E128" s="462">
        <v>61935</v>
      </c>
      <c r="F128" s="297">
        <v>30679202045</v>
      </c>
      <c r="G128" s="298" t="str">
        <f>IFERROR(IF(compras_mes3[[#This Row],[CUIT]]="","-",VLOOKUP(compras_mes3[[#This Row],[CUIT]],Lista_CUIT[#All],2,0)),"CUIT NO CARGADO")</f>
        <v>LEADER ELECTRONIC S A</v>
      </c>
      <c r="H128" s="299">
        <v>29751.24</v>
      </c>
      <c r="I128" s="300">
        <f>compras_mes3[[#This Row],[NETO GRAVADO]]*0.21</f>
        <v>6247.7604000000001</v>
      </c>
      <c r="J128" s="300"/>
      <c r="K128" s="300"/>
      <c r="L128" s="300"/>
      <c r="M128" s="300"/>
      <c r="N128" s="300"/>
      <c r="O128" s="300"/>
      <c r="P128" s="301">
        <f>SUM(compras_mes3[[#This Row],[NETO GRAVADO]:[Otros / No Grav.]])</f>
        <v>35999.000400000004</v>
      </c>
      <c r="Q128" s="302" t="str">
        <f>IFERROR(IF(compras_mes3[[#This Row],[CUIT]]="","-",VLOOKUP(compras_mes3[[#This Row],[CUIT]],Lista_CUIT[#All],3,0)),"CUIT NO CARGADO")</f>
        <v>Gastos mantenimiento</v>
      </c>
      <c r="R128" s="302">
        <f>IFERROR(IF(compras_mes3[[#This Row],[CUIT]]="","-",VLOOKUP(compras_mes3[[#This Row],[CUIT]],Lista_CUIT[#All],4,0)),"CUIT NO CARGADO")</f>
        <v>0</v>
      </c>
    </row>
    <row r="129" spans="2:18" x14ac:dyDescent="0.25">
      <c r="B129" s="294" t="s">
        <v>2387</v>
      </c>
      <c r="C129" s="295">
        <v>1</v>
      </c>
      <c r="D129" s="296">
        <v>1678</v>
      </c>
      <c r="E129" s="462">
        <v>55180</v>
      </c>
      <c r="F129" s="297">
        <v>30589621499</v>
      </c>
      <c r="G129" s="298" t="str">
        <f>IFERROR(IF(compras_mes3[[#This Row],[CUIT]]="","-",VLOOKUP(compras_mes3[[#This Row],[CUIT]],Lista_CUIT[#All],2,0)),"CUIT NO CARGADO")</f>
        <v>MAKRO SA</v>
      </c>
      <c r="H129" s="299">
        <v>79978.61</v>
      </c>
      <c r="I129" s="300">
        <v>16081.84</v>
      </c>
      <c r="J129" s="300"/>
      <c r="K129" s="300">
        <v>356.84</v>
      </c>
      <c r="L129" s="300">
        <v>2348.39</v>
      </c>
      <c r="M129" s="300"/>
      <c r="N129" s="300">
        <v>4798.72</v>
      </c>
      <c r="O129" s="300"/>
      <c r="P129" s="301">
        <f>SUM(compras_mes3[[#This Row],[NETO GRAVADO]:[Otros / No Grav.]])</f>
        <v>103564.4</v>
      </c>
      <c r="Q129" s="302" t="str">
        <f>IFERROR(IF(compras_mes3[[#This Row],[CUIT]]="","-",VLOOKUP(compras_mes3[[#This Row],[CUIT]],Lista_CUIT[#All],3,0)),"CUIT NO CARGADO")</f>
        <v>Gastos Varios</v>
      </c>
      <c r="R129" s="302">
        <f>IFERROR(IF(compras_mes3[[#This Row],[CUIT]]="","-",VLOOKUP(compras_mes3[[#This Row],[CUIT]],Lista_CUIT[#All],4,0)),"CUIT NO CARGADO")</f>
        <v>0</v>
      </c>
    </row>
    <row r="130" spans="2:18" x14ac:dyDescent="0.25">
      <c r="B130" s="294" t="s">
        <v>2399</v>
      </c>
      <c r="C130" s="295">
        <v>1</v>
      </c>
      <c r="D130" s="296">
        <v>1676</v>
      </c>
      <c r="E130" s="462">
        <v>25509</v>
      </c>
      <c r="F130" s="297">
        <v>30589621499</v>
      </c>
      <c r="G130" s="298" t="str">
        <f>IFERROR(IF(compras_mes3[[#This Row],[CUIT]]="","-",VLOOKUP(compras_mes3[[#This Row],[CUIT]],Lista_CUIT[#All],2,0)),"CUIT NO CARGADO")</f>
        <v>MAKRO SA</v>
      </c>
      <c r="H130" s="299">
        <v>52162.16</v>
      </c>
      <c r="I130" s="300">
        <f>compras_mes3[[#This Row],[NETO GRAVADO]]*0.21</f>
        <v>10954.053600000001</v>
      </c>
      <c r="J130" s="300"/>
      <c r="K130" s="300"/>
      <c r="L130" s="300">
        <v>1564.86</v>
      </c>
      <c r="M130" s="300"/>
      <c r="N130" s="300">
        <v>3129.73</v>
      </c>
      <c r="O130" s="300"/>
      <c r="P130" s="301">
        <f>SUM(compras_mes3[[#This Row],[NETO GRAVADO]:[Otros / No Grav.]])</f>
        <v>67810.803599999999</v>
      </c>
      <c r="Q130" s="302" t="str">
        <f>IFERROR(IF(compras_mes3[[#This Row],[CUIT]]="","-",VLOOKUP(compras_mes3[[#This Row],[CUIT]],Lista_CUIT[#All],3,0)),"CUIT NO CARGADO")</f>
        <v>Gastos Varios</v>
      </c>
      <c r="R130" s="302">
        <f>IFERROR(IF(compras_mes3[[#This Row],[CUIT]]="","-",VLOOKUP(compras_mes3[[#This Row],[CUIT]],Lista_CUIT[#All],4,0)),"CUIT NO CARGADO")</f>
        <v>0</v>
      </c>
    </row>
    <row r="131" spans="2:18" x14ac:dyDescent="0.25">
      <c r="B131" s="303" t="s">
        <v>2394</v>
      </c>
      <c r="C131" s="295">
        <v>1</v>
      </c>
      <c r="D131" s="304">
        <v>23</v>
      </c>
      <c r="E131" s="305">
        <v>3072947</v>
      </c>
      <c r="F131" s="306">
        <v>30703088534</v>
      </c>
      <c r="G131" s="307" t="str">
        <f>IFERROR(IF(compras_mes3[[#This Row],[CUIT]]="","-",VLOOKUP(compras_mes3[[#This Row],[CUIT]],Lista_CUIT[#All],2,0)),"CUIT NO CARGADO")</f>
        <v>MERCADO LIBRE SRL</v>
      </c>
      <c r="H131" s="308">
        <v>1361225.94</v>
      </c>
      <c r="I131" s="300">
        <f>compras_mes3[[#This Row],[NETO GRAVADO]]*0.21</f>
        <v>285857.4474</v>
      </c>
      <c r="J131" s="309"/>
      <c r="K131" s="309"/>
      <c r="L131" s="309">
        <v>40836.78</v>
      </c>
      <c r="M131" s="309">
        <v>13612.26</v>
      </c>
      <c r="N131" s="309">
        <v>81673.56</v>
      </c>
      <c r="O131" s="309"/>
      <c r="P131" s="301">
        <f>SUM(compras_mes3[[#This Row],[NETO GRAVADO]:[Otros / No Grav.]])</f>
        <v>1783205.9874</v>
      </c>
      <c r="Q131" s="310" t="str">
        <f>IFERROR(IF(compras_mes3[[#This Row],[CUIT]]="","-",VLOOKUP(compras_mes3[[#This Row],[CUIT]],Lista_CUIT[#All],3,0)),"CUIT NO CARGADO")</f>
        <v>Gastos Varios</v>
      </c>
      <c r="R131" s="310" t="str">
        <f>IFERROR(IF(compras_mes3[[#This Row],[CUIT]]="","-",VLOOKUP(compras_mes3[[#This Row],[CUIT]],Lista_CUIT[#All],4,0)),"CUIT NO CARGADO")</f>
        <v>CABA</v>
      </c>
    </row>
    <row r="132" spans="2:18" x14ac:dyDescent="0.25">
      <c r="B132" s="303">
        <v>45744</v>
      </c>
      <c r="C132" s="311">
        <v>1</v>
      </c>
      <c r="D132" s="304">
        <v>64</v>
      </c>
      <c r="E132" s="305">
        <v>31533692</v>
      </c>
      <c r="F132" s="306">
        <v>30657863676</v>
      </c>
      <c r="G132" s="307" t="str">
        <f>IFERROR(IF(compras_mes3[[#This Row],[CUIT]]="","-",VLOOKUP(compras_mes3[[#This Row],[CUIT]],Lista_CUIT[#All],2,0)),"CUIT NO CARGADO")</f>
        <v>METROGAS S A</v>
      </c>
      <c r="H132" s="308">
        <v>13455.57</v>
      </c>
      <c r="I132" s="309">
        <f>compras_mes3[[#This Row],[NETO GRAVADO]]*0.21</f>
        <v>2825.6696999999999</v>
      </c>
      <c r="J132" s="309"/>
      <c r="K132" s="309"/>
      <c r="L132" s="309"/>
      <c r="M132" s="309"/>
      <c r="N132" s="309"/>
      <c r="O132" s="85">
        <v>112.8</v>
      </c>
      <c r="P132" s="301">
        <f>SUM(compras_mes3[[#This Row],[NETO GRAVADO]:[Otros / No Grav.]])</f>
        <v>16394.039700000001</v>
      </c>
      <c r="Q132" s="310" t="str">
        <f>IFERROR(IF(compras_mes3[[#This Row],[CUIT]]="","-",VLOOKUP(compras_mes3[[#This Row],[CUIT]],Lista_CUIT[#All],3,0)),"CUIT NO CARGADO")</f>
        <v>Servicios Gas, Luz, etc.</v>
      </c>
      <c r="R132" s="310">
        <f>IFERROR(IF(compras_mes3[[#This Row],[CUIT]]="","-",VLOOKUP(compras_mes3[[#This Row],[CUIT]],Lista_CUIT[#All],4,0)),"CUIT NO CARGADO")</f>
        <v>0</v>
      </c>
    </row>
    <row r="133" spans="2:18" x14ac:dyDescent="0.25">
      <c r="B133" s="294" t="s">
        <v>2406</v>
      </c>
      <c r="C133" s="295">
        <v>1</v>
      </c>
      <c r="D133" s="296">
        <v>10</v>
      </c>
      <c r="E133" s="462">
        <v>20460</v>
      </c>
      <c r="F133" s="297">
        <v>30702073657</v>
      </c>
      <c r="G133" s="298" t="str">
        <f>IFERROR(IF(compras_mes3[[#This Row],[CUIT]]="","-",VLOOKUP(compras_mes3[[#This Row],[CUIT]],Lista_CUIT[#All],2,0)),"CUIT NO CARGADO")</f>
        <v>MICROELECTRONICA COMPONENTES S.R.L.</v>
      </c>
      <c r="H133" s="299">
        <v>3906.87</v>
      </c>
      <c r="I133" s="300">
        <v>327.14</v>
      </c>
      <c r="J133" s="300"/>
      <c r="K133" s="300">
        <v>246.65</v>
      </c>
      <c r="L133" s="300"/>
      <c r="M133" s="300"/>
      <c r="N133" s="300"/>
      <c r="O133" s="300"/>
      <c r="P133" s="301">
        <f>SUM(compras_mes3[[#This Row],[NETO GRAVADO]:[Otros / No Grav.]])</f>
        <v>4480.66</v>
      </c>
      <c r="Q133" s="302" t="str">
        <f>IFERROR(IF(compras_mes3[[#This Row],[CUIT]]="","-",VLOOKUP(compras_mes3[[#This Row],[CUIT]],Lista_CUIT[#All],3,0)),"CUIT NO CARGADO")</f>
        <v>Materia Prima</v>
      </c>
      <c r="R133" s="302">
        <f>IFERROR(IF(compras_mes3[[#This Row],[CUIT]]="","-",VLOOKUP(compras_mes3[[#This Row],[CUIT]],Lista_CUIT[#All],4,0)),"CUIT NO CARGADO")</f>
        <v>0</v>
      </c>
    </row>
    <row r="134" spans="2:18" x14ac:dyDescent="0.25">
      <c r="B134" s="294" t="s">
        <v>2390</v>
      </c>
      <c r="C134" s="295">
        <v>1</v>
      </c>
      <c r="D134" s="296">
        <v>3</v>
      </c>
      <c r="E134" s="462">
        <v>3974</v>
      </c>
      <c r="F134" s="297">
        <v>30714064572</v>
      </c>
      <c r="G134" s="298" t="str">
        <f>IFERROR(IF(compras_mes3[[#This Row],[CUIT]]="","-",VLOOKUP(compras_mes3[[#This Row],[CUIT]],Lista_CUIT[#All],2,0)),"CUIT NO CARGADO")</f>
        <v>NATURAL BOTANICS SRL</v>
      </c>
      <c r="H134" s="299">
        <v>17710.39</v>
      </c>
      <c r="I134" s="300">
        <f>compras_mes3[[#This Row],[NETO GRAVADO]]*0.21</f>
        <v>3719.1818999999996</v>
      </c>
      <c r="J134" s="300"/>
      <c r="K134" s="300"/>
      <c r="L134" s="300"/>
      <c r="M134" s="300"/>
      <c r="N134" s="300"/>
      <c r="O134" s="300"/>
      <c r="P134" s="301">
        <f>SUM(compras_mes3[[#This Row],[NETO GRAVADO]:[Otros / No Grav.]])</f>
        <v>21429.571899999999</v>
      </c>
      <c r="Q134" s="302" t="str">
        <f>IFERROR(IF(compras_mes3[[#This Row],[CUIT]]="","-",VLOOKUP(compras_mes3[[#This Row],[CUIT]],Lista_CUIT[#All],3,0)),"CUIT NO CARGADO")</f>
        <v>Gastos Varios</v>
      </c>
      <c r="R134" s="302">
        <f>IFERROR(IF(compras_mes3[[#This Row],[CUIT]]="","-",VLOOKUP(compras_mes3[[#This Row],[CUIT]],Lista_CUIT[#All],4,0)),"CUIT NO CARGADO")</f>
        <v>0</v>
      </c>
    </row>
    <row r="135" spans="2:18" x14ac:dyDescent="0.25">
      <c r="B135" s="294" t="s">
        <v>2409</v>
      </c>
      <c r="C135" s="295">
        <v>1</v>
      </c>
      <c r="D135" s="296">
        <v>5</v>
      </c>
      <c r="E135" s="462">
        <v>3255615</v>
      </c>
      <c r="F135" s="297">
        <v>30702652975</v>
      </c>
      <c r="G135" s="298" t="str">
        <f>IFERROR(IF(compras_mes3[[#This Row],[CUIT]]="","-",VLOOKUP(compras_mes3[[#This Row],[CUIT]],Lista_CUIT[#All],2,0)),"CUIT NO CARGADO")</f>
        <v>NSS SA</v>
      </c>
      <c r="H135" s="299">
        <v>29946.48</v>
      </c>
      <c r="I135" s="300">
        <f>compras_mes3[[#This Row],[NETO GRAVADO]]*0.21</f>
        <v>6288.7608</v>
      </c>
      <c r="J135" s="300"/>
      <c r="K135" s="300"/>
      <c r="L135" s="300"/>
      <c r="M135" s="300"/>
      <c r="N135" s="300">
        <v>1796.79</v>
      </c>
      <c r="O135" s="300"/>
      <c r="P135" s="301">
        <f>SUM(compras_mes3[[#This Row],[NETO GRAVADO]:[Otros / No Grav.]])</f>
        <v>38032.0308</v>
      </c>
      <c r="Q135" s="302" t="str">
        <f>IFERROR(IF(compras_mes3[[#This Row],[CUIT]]="","-",VLOOKUP(compras_mes3[[#This Row],[CUIT]],Lista_CUIT[#All],3,0)),"CUIT NO CARGADO")</f>
        <v>Servicios Gas, Luz, etc.</v>
      </c>
      <c r="R135" s="302">
        <f>IFERROR(IF(compras_mes3[[#This Row],[CUIT]]="","-",VLOOKUP(compras_mes3[[#This Row],[CUIT]],Lista_CUIT[#All],4,0)),"CUIT NO CARGADO")</f>
        <v>0</v>
      </c>
    </row>
    <row r="136" spans="2:18" x14ac:dyDescent="0.25">
      <c r="B136" s="303" t="s">
        <v>2402</v>
      </c>
      <c r="C136" s="295">
        <v>1</v>
      </c>
      <c r="D136" s="304">
        <v>6854</v>
      </c>
      <c r="E136" s="305">
        <v>19046</v>
      </c>
      <c r="F136" s="306">
        <v>30678774495</v>
      </c>
      <c r="G136" s="307" t="str">
        <f>IFERROR(IF(compras_mes3[[#This Row],[CUIT]]="","-",VLOOKUP(compras_mes3[[#This Row],[CUIT]],Lista_CUIT[#All],2,0)),"CUIT NO CARGADO")</f>
        <v>OPER. DE EST. DE SERV. SA</v>
      </c>
      <c r="H136" s="308">
        <v>54427.16</v>
      </c>
      <c r="I136" s="300">
        <f>compras_mes3[[#This Row],[NETO GRAVADO]]*0.21</f>
        <v>11429.703600000001</v>
      </c>
      <c r="J136" s="309"/>
      <c r="K136" s="309"/>
      <c r="L136" s="309"/>
      <c r="M136" s="309"/>
      <c r="N136" s="309"/>
      <c r="O136" s="309">
        <v>13447.12</v>
      </c>
      <c r="P136" s="312">
        <f>SUM(compras_mes3[[#This Row],[NETO GRAVADO]:[Otros / No Grav.]])</f>
        <v>79303.983600000007</v>
      </c>
      <c r="Q136" s="310" t="str">
        <f>IFERROR(IF(compras_mes3[[#This Row],[CUIT]]="","-",VLOOKUP(compras_mes3[[#This Row],[CUIT]],Lista_CUIT[#All],3,0)),"CUIT NO CARGADO")</f>
        <v>Combustible</v>
      </c>
      <c r="R136" s="310">
        <f>IFERROR(IF(compras_mes3[[#This Row],[CUIT]]="","-",VLOOKUP(compras_mes3[[#This Row],[CUIT]],Lista_CUIT[#All],4,0)),"CUIT NO CARGADO")</f>
        <v>0</v>
      </c>
    </row>
    <row r="137" spans="2:18" x14ac:dyDescent="0.25">
      <c r="B137" s="303" t="s">
        <v>2395</v>
      </c>
      <c r="C137" s="295">
        <v>1</v>
      </c>
      <c r="D137" s="304">
        <v>6850</v>
      </c>
      <c r="E137" s="305">
        <v>25666</v>
      </c>
      <c r="F137" s="306">
        <v>30678774495</v>
      </c>
      <c r="G137" s="307" t="str">
        <f>IFERROR(IF(compras_mes3[[#This Row],[CUIT]]="","-",VLOOKUP(compras_mes3[[#This Row],[CUIT]],Lista_CUIT[#All],2,0)),"CUIT NO CARGADO")</f>
        <v>OPER. DE EST. DE SERV. SA</v>
      </c>
      <c r="H137" s="308">
        <v>25423.07</v>
      </c>
      <c r="I137" s="300">
        <f>compras_mes3[[#This Row],[NETO GRAVADO]]*0.21</f>
        <v>5338.8446999999996</v>
      </c>
      <c r="J137" s="309"/>
      <c r="K137" s="309"/>
      <c r="L137" s="309"/>
      <c r="M137" s="309"/>
      <c r="N137" s="309"/>
      <c r="O137" s="309">
        <v>7342.14</v>
      </c>
      <c r="P137" s="301">
        <f>SUM(compras_mes3[[#This Row],[NETO GRAVADO]:[Otros / No Grav.]])</f>
        <v>38104.054700000001</v>
      </c>
      <c r="Q137" s="310" t="str">
        <f>IFERROR(IF(compras_mes3[[#This Row],[CUIT]]="","-",VLOOKUP(compras_mes3[[#This Row],[CUIT]],Lista_CUIT[#All],3,0)),"CUIT NO CARGADO")</f>
        <v>Combustible</v>
      </c>
      <c r="R137" s="310">
        <f>IFERROR(IF(compras_mes3[[#This Row],[CUIT]]="","-",VLOOKUP(compras_mes3[[#This Row],[CUIT]],Lista_CUIT[#All],4,0)),"CUIT NO CARGADO")</f>
        <v>0</v>
      </c>
    </row>
    <row r="138" spans="2:18" x14ac:dyDescent="0.25">
      <c r="B138" s="294" t="s">
        <v>2402</v>
      </c>
      <c r="C138" s="295">
        <v>1</v>
      </c>
      <c r="D138" s="296">
        <v>6850</v>
      </c>
      <c r="E138" s="462">
        <v>25284</v>
      </c>
      <c r="F138" s="297">
        <v>30678774495</v>
      </c>
      <c r="G138" s="298" t="str">
        <f>IFERROR(IF(compras_mes3[[#This Row],[CUIT]]="","-",VLOOKUP(compras_mes3[[#This Row],[CUIT]],Lista_CUIT[#All],2,0)),"CUIT NO CARGADO")</f>
        <v>OPER. DE EST. DE SERV. SA</v>
      </c>
      <c r="H138" s="299">
        <v>8922.0400000000009</v>
      </c>
      <c r="I138" s="300">
        <f>compras_mes3[[#This Row],[NETO GRAVADO]]*0.21</f>
        <v>1873.6284000000001</v>
      </c>
      <c r="J138" s="300"/>
      <c r="K138" s="300"/>
      <c r="L138" s="300"/>
      <c r="M138" s="300"/>
      <c r="N138" s="300"/>
      <c r="O138" s="300">
        <v>2204.34</v>
      </c>
      <c r="P138" s="301">
        <f>SUM(compras_mes3[[#This Row],[NETO GRAVADO]:[Otros / No Grav.]])</f>
        <v>13000.008400000001</v>
      </c>
      <c r="Q138" s="302" t="str">
        <f>IFERROR(IF(compras_mes3[[#This Row],[CUIT]]="","-",VLOOKUP(compras_mes3[[#This Row],[CUIT]],Lista_CUIT[#All],3,0)),"CUIT NO CARGADO")</f>
        <v>Combustible</v>
      </c>
      <c r="R138" s="302">
        <f>IFERROR(IF(compras_mes3[[#This Row],[CUIT]]="","-",VLOOKUP(compras_mes3[[#This Row],[CUIT]],Lista_CUIT[#All],4,0)),"CUIT NO CARGADO")</f>
        <v>0</v>
      </c>
    </row>
    <row r="139" spans="2:18" x14ac:dyDescent="0.25">
      <c r="B139" s="40" t="s">
        <v>2404</v>
      </c>
      <c r="C139" s="295">
        <v>1</v>
      </c>
      <c r="D139" s="42">
        <v>6850</v>
      </c>
      <c r="E139" s="43">
        <v>25394</v>
      </c>
      <c r="F139" s="44">
        <v>30678774495</v>
      </c>
      <c r="G139" s="45" t="str">
        <f>IFERROR(IF(compras_mes3[[#This Row],[CUIT]]="","-",VLOOKUP(compras_mes3[[#This Row],[CUIT]],Lista_CUIT[#All],2,0)),"CUIT NO CARGADO")</f>
        <v>OPER. DE EST. DE SERV. SA</v>
      </c>
      <c r="H139" s="46">
        <v>8922.0400000000009</v>
      </c>
      <c r="I139" s="300">
        <f>compras_mes3[[#This Row],[NETO GRAVADO]]*0.21</f>
        <v>1873.6284000000001</v>
      </c>
      <c r="J139" s="85"/>
      <c r="K139" s="85"/>
      <c r="L139" s="85"/>
      <c r="M139" s="85"/>
      <c r="N139" s="85"/>
      <c r="O139" s="85">
        <v>2204.34</v>
      </c>
      <c r="P139" s="301">
        <f>SUM(compras_mes3[[#This Row],[NETO GRAVADO]:[Otros / No Grav.]])</f>
        <v>13000.008400000001</v>
      </c>
      <c r="Q139" s="49" t="str">
        <f>IFERROR(IF(compras_mes3[[#This Row],[CUIT]]="","-",VLOOKUP(compras_mes3[[#This Row],[CUIT]],Lista_CUIT[#All],3,0)),"CUIT NO CARGADO")</f>
        <v>Combustible</v>
      </c>
      <c r="R139" s="49">
        <f>IFERROR(IF(compras_mes3[[#This Row],[CUIT]]="","-",VLOOKUP(compras_mes3[[#This Row],[CUIT]],Lista_CUIT[#All],4,0)),"CUIT NO CARGADO")</f>
        <v>0</v>
      </c>
    </row>
    <row r="140" spans="2:18" x14ac:dyDescent="0.25">
      <c r="B140" s="294" t="s">
        <v>2389</v>
      </c>
      <c r="C140" s="295">
        <v>1</v>
      </c>
      <c r="D140" s="296">
        <v>6852</v>
      </c>
      <c r="E140" s="462">
        <v>29928</v>
      </c>
      <c r="F140" s="297">
        <v>30678774495</v>
      </c>
      <c r="G140" s="298" t="str">
        <f>IFERROR(IF(compras_mes3[[#This Row],[CUIT]]="","-",VLOOKUP(compras_mes3[[#This Row],[CUIT]],Lista_CUIT[#All],2,0)),"CUIT NO CARGADO")</f>
        <v>OPER. DE EST. DE SERV. SA</v>
      </c>
      <c r="H140" s="299">
        <v>8922.0400000000009</v>
      </c>
      <c r="I140" s="300">
        <f>compras_mes3[[#This Row],[NETO GRAVADO]]*0.21</f>
        <v>1873.6284000000001</v>
      </c>
      <c r="J140" s="300"/>
      <c r="K140" s="300"/>
      <c r="L140" s="300"/>
      <c r="M140" s="300"/>
      <c r="N140" s="300"/>
      <c r="O140" s="300">
        <v>2204.34</v>
      </c>
      <c r="P140" s="301">
        <f>SUM(compras_mes3[[#This Row],[NETO GRAVADO]:[Otros / No Grav.]])</f>
        <v>13000.008400000001</v>
      </c>
      <c r="Q140" s="302" t="str">
        <f>IFERROR(IF(compras_mes3[[#This Row],[CUIT]]="","-",VLOOKUP(compras_mes3[[#This Row],[CUIT]],Lista_CUIT[#All],3,0)),"CUIT NO CARGADO")</f>
        <v>Combustible</v>
      </c>
      <c r="R140" s="302">
        <f>IFERROR(IF(compras_mes3[[#This Row],[CUIT]]="","-",VLOOKUP(compras_mes3[[#This Row],[CUIT]],Lista_CUIT[#All],4,0)),"CUIT NO CARGADO")</f>
        <v>0</v>
      </c>
    </row>
    <row r="141" spans="2:18" x14ac:dyDescent="0.25">
      <c r="B141" s="303" t="s">
        <v>2410</v>
      </c>
      <c r="C141" s="295">
        <v>1</v>
      </c>
      <c r="D141" s="304">
        <v>6850</v>
      </c>
      <c r="E141" s="305">
        <v>25641</v>
      </c>
      <c r="F141" s="306">
        <v>30678774495</v>
      </c>
      <c r="G141" s="307" t="str">
        <f>IFERROR(IF(compras_mes3[[#This Row],[CUIT]]="","-",VLOOKUP(compras_mes3[[#This Row],[CUIT]],Lista_CUIT[#All],2,0)),"CUIT NO CARGADO")</f>
        <v>OPER. DE EST. DE SERV. SA</v>
      </c>
      <c r="H141" s="308">
        <v>8673.6200000000008</v>
      </c>
      <c r="I141" s="300">
        <f>compras_mes3[[#This Row],[NETO GRAVADO]]*0.21</f>
        <v>1821.4602000000002</v>
      </c>
      <c r="J141" s="309"/>
      <c r="K141" s="309"/>
      <c r="L141" s="309"/>
      <c r="M141" s="309"/>
      <c r="N141" s="309"/>
      <c r="O141" s="309">
        <v>2504.9299999999998</v>
      </c>
      <c r="P141" s="301">
        <f>SUM(compras_mes3[[#This Row],[NETO GRAVADO]:[Otros / No Grav.]])</f>
        <v>13000.010200000001</v>
      </c>
      <c r="Q141" s="310" t="str">
        <f>IFERROR(IF(compras_mes3[[#This Row],[CUIT]]="","-",VLOOKUP(compras_mes3[[#This Row],[CUIT]],Lista_CUIT[#All],3,0)),"CUIT NO CARGADO")</f>
        <v>Combustible</v>
      </c>
      <c r="R141" s="310">
        <f>IFERROR(IF(compras_mes3[[#This Row],[CUIT]]="","-",VLOOKUP(compras_mes3[[#This Row],[CUIT]],Lista_CUIT[#All],4,0)),"CUIT NO CARGADO")</f>
        <v>0</v>
      </c>
    </row>
    <row r="142" spans="2:18" x14ac:dyDescent="0.25">
      <c r="B142" s="378">
        <v>45726</v>
      </c>
      <c r="C142" s="450">
        <v>1</v>
      </c>
      <c r="D142" s="379">
        <v>12</v>
      </c>
      <c r="E142" s="380">
        <v>60340</v>
      </c>
      <c r="F142" s="381">
        <v>30696131003</v>
      </c>
      <c r="G142" s="382" t="str">
        <f>IFERROR(IF(compras_mes3[[#This Row],[CUIT]]="","-",VLOOKUP(compras_mes3[[#This Row],[CUIT]],Lista_CUIT[#All],2,0)),"CUIT NO CARGADO")</f>
        <v>Petrolfe S.A.</v>
      </c>
      <c r="H142" s="383">
        <v>158762.697265625</v>
      </c>
      <c r="I142" s="384">
        <f>compras_mes3[[#This Row],[NETO GRAVADO]]*0.21</f>
        <v>33340.166425781252</v>
      </c>
      <c r="J142" s="384"/>
      <c r="K142" s="384"/>
      <c r="L142" s="384"/>
      <c r="M142" s="384"/>
      <c r="N142" s="384"/>
      <c r="O142" s="384">
        <v>23542.06</v>
      </c>
      <c r="P142" s="385">
        <f>SUM(compras_mes3[[#This Row],[NETO GRAVADO]:[Otros / No Grav.]])</f>
        <v>215644.92369140626</v>
      </c>
      <c r="Q142" s="386" t="str">
        <f>IFERROR(IF(compras_mes3[[#This Row],[CUIT]]="","-",VLOOKUP(compras_mes3[[#This Row],[CUIT]],Lista_CUIT[#All],3,0)),"CUIT NO CARGADO")</f>
        <v>Combustible</v>
      </c>
      <c r="R142" s="386">
        <f>IFERROR(IF(compras_mes3[[#This Row],[CUIT]]="","-",VLOOKUP(compras_mes3[[#This Row],[CUIT]],Lista_CUIT[#All],4,0)),"CUIT NO CARGADO")</f>
        <v>0</v>
      </c>
    </row>
    <row r="143" spans="2:18" x14ac:dyDescent="0.25">
      <c r="B143" s="303">
        <v>45747</v>
      </c>
      <c r="C143" s="295">
        <v>1</v>
      </c>
      <c r="D143" s="304">
        <v>12</v>
      </c>
      <c r="E143" s="305">
        <v>61887</v>
      </c>
      <c r="F143" s="306">
        <v>30696131003</v>
      </c>
      <c r="G143" s="307" t="str">
        <f>IFERROR(IF(compras_mes3[[#This Row],[CUIT]]="","-",VLOOKUP(compras_mes3[[#This Row],[CUIT]],Lista_CUIT[#All],2,0)),"CUIT NO CARGADO")</f>
        <v>Petrolfe S.A.</v>
      </c>
      <c r="H143" s="308">
        <v>144755.998046875</v>
      </c>
      <c r="I143" s="309">
        <f>compras_mes3[[#This Row],[NETO GRAVADO]]*0.21</f>
        <v>30398.75958984375</v>
      </c>
      <c r="J143" s="309"/>
      <c r="K143" s="309"/>
      <c r="L143" s="309"/>
      <c r="M143" s="309"/>
      <c r="N143" s="309"/>
      <c r="O143" s="309">
        <v>21238.029296875</v>
      </c>
      <c r="P143" s="301">
        <f>SUM(compras_mes3[[#This Row],[NETO GRAVADO]:[Otros / No Grav.]])</f>
        <v>196392.78693359374</v>
      </c>
      <c r="Q143" s="310" t="str">
        <f>IFERROR(IF(compras_mes3[[#This Row],[CUIT]]="","-",VLOOKUP(compras_mes3[[#This Row],[CUIT]],Lista_CUIT[#All],3,0)),"CUIT NO CARGADO")</f>
        <v>Combustible</v>
      </c>
      <c r="R143" s="310">
        <f>IFERROR(IF(compras_mes3[[#This Row],[CUIT]]="","-",VLOOKUP(compras_mes3[[#This Row],[CUIT]],Lista_CUIT[#All],4,0)),"CUIT NO CARGADO")</f>
        <v>0</v>
      </c>
    </row>
    <row r="144" spans="2:18" x14ac:dyDescent="0.25">
      <c r="B144" s="378">
        <v>45733</v>
      </c>
      <c r="C144" s="450">
        <v>1</v>
      </c>
      <c r="D144" s="379">
        <v>12</v>
      </c>
      <c r="E144" s="380">
        <v>60762</v>
      </c>
      <c r="F144" s="381">
        <v>30696131003</v>
      </c>
      <c r="G144" s="382" t="str">
        <f>IFERROR(IF(compras_mes3[[#This Row],[CUIT]]="","-",VLOOKUP(compras_mes3[[#This Row],[CUIT]],Lista_CUIT[#All],2,0)),"CUIT NO CARGADO")</f>
        <v>Petrolfe S.A.</v>
      </c>
      <c r="H144" s="383">
        <v>143480.78</v>
      </c>
      <c r="I144" s="384">
        <f>compras_mes3[[#This Row],[NETO GRAVADO]]*0.21</f>
        <v>30130.963799999998</v>
      </c>
      <c r="J144" s="384"/>
      <c r="K144" s="384"/>
      <c r="L144" s="384"/>
      <c r="M144" s="384"/>
      <c r="N144" s="384"/>
      <c r="O144" s="384">
        <v>24345.439999999999</v>
      </c>
      <c r="P144" s="385">
        <f>SUM(compras_mes3[[#This Row],[NETO GRAVADO]:[Otros / No Grav.]])</f>
        <v>197957.1838</v>
      </c>
      <c r="Q144" s="386" t="str">
        <f>IFERROR(IF(compras_mes3[[#This Row],[CUIT]]="","-",VLOOKUP(compras_mes3[[#This Row],[CUIT]],Lista_CUIT[#All],3,0)),"CUIT NO CARGADO")</f>
        <v>Combustible</v>
      </c>
      <c r="R144" s="386">
        <f>IFERROR(IF(compras_mes3[[#This Row],[CUIT]]="","-",VLOOKUP(compras_mes3[[#This Row],[CUIT]],Lista_CUIT[#All],4,0)),"CUIT NO CARGADO")</f>
        <v>0</v>
      </c>
    </row>
    <row r="145" spans="2:18" x14ac:dyDescent="0.25">
      <c r="B145" s="303">
        <v>45738</v>
      </c>
      <c r="C145" s="295">
        <v>1</v>
      </c>
      <c r="D145" s="304">
        <v>12</v>
      </c>
      <c r="E145" s="305">
        <v>61210</v>
      </c>
      <c r="F145" s="306">
        <v>30696131003</v>
      </c>
      <c r="G145" s="307" t="str">
        <f>IFERROR(IF(compras_mes3[[#This Row],[CUIT]]="","-",VLOOKUP(compras_mes3[[#This Row],[CUIT]],Lista_CUIT[#All],2,0)),"CUIT NO CARGADO")</f>
        <v>Petrolfe S.A.</v>
      </c>
      <c r="H145" s="308">
        <v>131792.20703125</v>
      </c>
      <c r="I145" s="309">
        <f>compras_mes3[[#This Row],[NETO GRAVADO]]*0.21</f>
        <v>27676.363476562499</v>
      </c>
      <c r="J145" s="309"/>
      <c r="K145" s="309"/>
      <c r="L145" s="309"/>
      <c r="M145" s="309"/>
      <c r="N145" s="309"/>
      <c r="O145" s="309">
        <v>22585.439453125</v>
      </c>
      <c r="P145" s="301">
        <f>SUM(compras_mes3[[#This Row],[NETO GRAVADO]:[Otros / No Grav.]])</f>
        <v>182054.00996093749</v>
      </c>
      <c r="Q145" s="310" t="str">
        <f>IFERROR(IF(compras_mes3[[#This Row],[CUIT]]="","-",VLOOKUP(compras_mes3[[#This Row],[CUIT]],Lista_CUIT[#All],3,0)),"CUIT NO CARGADO")</f>
        <v>Combustible</v>
      </c>
      <c r="R145" s="310">
        <f>IFERROR(IF(compras_mes3[[#This Row],[CUIT]]="","-",VLOOKUP(compras_mes3[[#This Row],[CUIT]],Lista_CUIT[#All],4,0)),"CUIT NO CARGADO")</f>
        <v>0</v>
      </c>
    </row>
    <row r="146" spans="2:18" x14ac:dyDescent="0.25">
      <c r="B146" s="378">
        <v>45717</v>
      </c>
      <c r="C146" s="450">
        <v>1</v>
      </c>
      <c r="D146" s="379">
        <v>12</v>
      </c>
      <c r="E146" s="380">
        <v>60032</v>
      </c>
      <c r="F146" s="381">
        <v>30696131003</v>
      </c>
      <c r="G146" s="382" t="str">
        <f>IFERROR(IF(compras_mes3[[#This Row],[CUIT]]="","-",VLOOKUP(compras_mes3[[#This Row],[CUIT]],Lista_CUIT[#All],2,0)),"CUIT NO CARGADO")</f>
        <v>Petrolfe S.A.</v>
      </c>
      <c r="H146" s="383">
        <v>127437.37</v>
      </c>
      <c r="I146" s="384">
        <f>compras_mes3[[#This Row],[NETO GRAVADO]]*0.21</f>
        <v>26761.847699999998</v>
      </c>
      <c r="J146" s="384"/>
      <c r="K146" s="384"/>
      <c r="L146" s="384"/>
      <c r="M146" s="384"/>
      <c r="N146" s="384"/>
      <c r="O146" s="384">
        <v>20054.61</v>
      </c>
      <c r="P146" s="385">
        <f>SUM(compras_mes3[[#This Row],[NETO GRAVADO]:[Otros / No Grav.]])</f>
        <v>174253.82769999997</v>
      </c>
      <c r="Q146" s="386" t="str">
        <f>IFERROR(IF(compras_mes3[[#This Row],[CUIT]]="","-",VLOOKUP(compras_mes3[[#This Row],[CUIT]],Lista_CUIT[#All],3,0)),"CUIT NO CARGADO")</f>
        <v>Combustible</v>
      </c>
      <c r="R146" s="386">
        <f>IFERROR(IF(compras_mes3[[#This Row],[CUIT]]="","-",VLOOKUP(compras_mes3[[#This Row],[CUIT]],Lista_CUIT[#All],4,0)),"CUIT NO CARGADO")</f>
        <v>0</v>
      </c>
    </row>
    <row r="147" spans="2:18" x14ac:dyDescent="0.25">
      <c r="B147" s="294" t="s">
        <v>2385</v>
      </c>
      <c r="C147" s="295">
        <v>1</v>
      </c>
      <c r="D147" s="296">
        <v>1</v>
      </c>
      <c r="E147" s="462">
        <v>37</v>
      </c>
      <c r="F147" s="297">
        <v>30718189388</v>
      </c>
      <c r="G147" s="298" t="str">
        <f>IFERROR(IF(compras_mes3[[#This Row],[CUIT]]="","-",VLOOKUP(compras_mes3[[#This Row],[CUIT]],Lista_CUIT[#All],2,0)),"CUIT NO CARGADO")</f>
        <v>PICALI Y ASOCIADOS S.R.L.</v>
      </c>
      <c r="H147" s="299">
        <v>1200000</v>
      </c>
      <c r="I147" s="300">
        <f>compras_mes3[[#This Row],[NETO GRAVADO]]*0.21</f>
        <v>252000</v>
      </c>
      <c r="J147" s="300"/>
      <c r="K147" s="300"/>
      <c r="L147" s="300"/>
      <c r="M147" s="300"/>
      <c r="N147" s="300"/>
      <c r="O147" s="300"/>
      <c r="P147" s="301">
        <f>SUM(compras_mes3[[#This Row],[NETO GRAVADO]:[Otros / No Grav.]])</f>
        <v>1452000</v>
      </c>
      <c r="Q147" s="302" t="str">
        <f>IFERROR(IF(compras_mes3[[#This Row],[CUIT]]="","-",VLOOKUP(compras_mes3[[#This Row],[CUIT]],Lista_CUIT[#All],3,0)),"CUIT NO CARGADO")</f>
        <v>Productos Venta</v>
      </c>
      <c r="R147" s="302">
        <f>IFERROR(IF(compras_mes3[[#This Row],[CUIT]]="","-",VLOOKUP(compras_mes3[[#This Row],[CUIT]],Lista_CUIT[#All],4,0)),"CUIT NO CARGADO")</f>
        <v>0</v>
      </c>
    </row>
    <row r="148" spans="2:18" x14ac:dyDescent="0.25">
      <c r="B148" s="303">
        <v>45743</v>
      </c>
      <c r="C148" s="311">
        <v>1</v>
      </c>
      <c r="D148" s="304">
        <v>32</v>
      </c>
      <c r="E148" s="305">
        <v>3048</v>
      </c>
      <c r="F148" s="306">
        <v>30696106068</v>
      </c>
      <c r="G148" s="307" t="str">
        <f>IFERROR(IF(compras_mes3[[#This Row],[CUIT]]="","-",VLOOKUP(compras_mes3[[#This Row],[CUIT]],Lista_CUIT[#All],2,0)),"CUIT NO CARGADO")</f>
        <v>PINTURERIAS LIBERATO SRL</v>
      </c>
      <c r="H148" s="308">
        <v>16375.95</v>
      </c>
      <c r="I148" s="309">
        <f>compras_mes3[[#This Row],[NETO GRAVADO]]*0.21</f>
        <v>3438.9495000000002</v>
      </c>
      <c r="J148" s="309"/>
      <c r="K148" s="309"/>
      <c r="L148" s="309"/>
      <c r="M148" s="309"/>
      <c r="N148" s="309"/>
      <c r="O148" s="309"/>
      <c r="P148" s="301">
        <f>SUM(compras_mes3[[#This Row],[NETO GRAVADO]:[Otros / No Grav.]])</f>
        <v>19814.8995</v>
      </c>
      <c r="Q148" s="310" t="str">
        <f>IFERROR(IF(compras_mes3[[#This Row],[CUIT]]="","-",VLOOKUP(compras_mes3[[#This Row],[CUIT]],Lista_CUIT[#All],3,0)),"CUIT NO CARGADO")</f>
        <v>Mantenimiento Locales</v>
      </c>
      <c r="R148" s="310">
        <f>IFERROR(IF(compras_mes3[[#This Row],[CUIT]]="","-",VLOOKUP(compras_mes3[[#This Row],[CUIT]],Lista_CUIT[#All],4,0)),"CUIT NO CARGADO")</f>
        <v>0</v>
      </c>
    </row>
    <row r="149" spans="2:18" x14ac:dyDescent="0.25">
      <c r="B149" s="294" t="s">
        <v>2405</v>
      </c>
      <c r="C149" s="295">
        <v>1</v>
      </c>
      <c r="D149" s="296">
        <v>4</v>
      </c>
      <c r="E149" s="462">
        <v>28319</v>
      </c>
      <c r="F149" s="297">
        <v>30552433595</v>
      </c>
      <c r="G149" s="298" t="str">
        <f>IFERROR(IF(compras_mes3[[#This Row],[CUIT]]="","-",VLOOKUP(compras_mes3[[#This Row],[CUIT]],Lista_CUIT[#All],2,0)),"CUIT NO CARGADO")</f>
        <v>PIROPLAST SRL</v>
      </c>
      <c r="H149" s="299">
        <v>1245502.1200000001</v>
      </c>
      <c r="I149" s="300">
        <f>compras_mes3[[#This Row],[NETO GRAVADO]]*0.21</f>
        <v>261555.44520000002</v>
      </c>
      <c r="J149" s="300"/>
      <c r="K149" s="300"/>
      <c r="L149" s="300"/>
      <c r="M149" s="300"/>
      <c r="N149" s="300"/>
      <c r="O149" s="300"/>
      <c r="P149" s="301">
        <f>SUM(compras_mes3[[#This Row],[NETO GRAVADO]:[Otros / No Grav.]])</f>
        <v>1507057.5652000001</v>
      </c>
      <c r="Q149" s="302" t="str">
        <f>IFERROR(IF(compras_mes3[[#This Row],[CUIT]]="","-",VLOOKUP(compras_mes3[[#This Row],[CUIT]],Lista_CUIT[#All],3,0)),"CUIT NO CARGADO")</f>
        <v>Material de Empaque</v>
      </c>
      <c r="R149" s="302">
        <f>IFERROR(IF(compras_mes3[[#This Row],[CUIT]]="","-",VLOOKUP(compras_mes3[[#This Row],[CUIT]],Lista_CUIT[#All],4,0)),"CUIT NO CARGADO")</f>
        <v>0</v>
      </c>
    </row>
    <row r="150" spans="2:18" x14ac:dyDescent="0.25">
      <c r="B150" s="294" t="s">
        <v>2387</v>
      </c>
      <c r="C150" s="295">
        <v>1</v>
      </c>
      <c r="D150" s="296">
        <v>3</v>
      </c>
      <c r="E150" s="462">
        <v>10451</v>
      </c>
      <c r="F150" s="297">
        <v>30697262063</v>
      </c>
      <c r="G150" s="298" t="str">
        <f>IFERROR(IF(compras_mes3[[#This Row],[CUIT]]="","-",VLOOKUP(compras_mes3[[#This Row],[CUIT]],Lista_CUIT[#All],2,0)),"CUIT NO CARGADO")</f>
        <v>REPRESENTACIONES TECNOLOGICAS SA</v>
      </c>
      <c r="H150" s="299">
        <v>670427.29499999993</v>
      </c>
      <c r="I150" s="85" t="s">
        <v>2411</v>
      </c>
      <c r="J150" s="300"/>
      <c r="K150" s="300">
        <f>compras_mes3[[#This Row],[NETO GRAVADO]]*0.105</f>
        <v>70394.865974999993</v>
      </c>
      <c r="L150" s="300"/>
      <c r="M150" s="300"/>
      <c r="N150" s="300"/>
      <c r="O150" s="300"/>
      <c r="P150" s="301">
        <f>SUM(compras_mes3[[#This Row],[NETO GRAVADO]:[Otros / No Grav.]])</f>
        <v>740822.16097499989</v>
      </c>
      <c r="Q150" s="302" t="str">
        <f>IFERROR(IF(compras_mes3[[#This Row],[CUIT]]="","-",VLOOKUP(compras_mes3[[#This Row],[CUIT]],Lista_CUIT[#All],3,0)),"CUIT NO CARGADO")</f>
        <v>Muebles y Utiles</v>
      </c>
      <c r="R150" s="302">
        <f>IFERROR(IF(compras_mes3[[#This Row],[CUIT]]="","-",VLOOKUP(compras_mes3[[#This Row],[CUIT]],Lista_CUIT[#All],4,0)),"CUIT NO CARGADO")</f>
        <v>0</v>
      </c>
    </row>
    <row r="151" spans="2:18" x14ac:dyDescent="0.25">
      <c r="B151" s="294" t="s">
        <v>2409</v>
      </c>
      <c r="C151" s="295">
        <v>1</v>
      </c>
      <c r="D151" s="296">
        <v>5</v>
      </c>
      <c r="E151" s="462">
        <v>6482</v>
      </c>
      <c r="F151" s="297">
        <v>20367393042</v>
      </c>
      <c r="G151" s="298" t="str">
        <f>IFERROR(IF(compras_mes3[[#This Row],[CUIT]]="","-",VLOOKUP(compras_mes3[[#This Row],[CUIT]],Lista_CUIT[#All],2,0)),"CUIT NO CARGADO")</f>
        <v>RITACCO RODRIGO</v>
      </c>
      <c r="H151" s="299">
        <v>342892.56</v>
      </c>
      <c r="I151" s="300">
        <f>compras_mes3[[#This Row],[NETO GRAVADO]]*0.21</f>
        <v>72007.43759999999</v>
      </c>
      <c r="J151" s="300"/>
      <c r="K151" s="300"/>
      <c r="L151" s="300"/>
      <c r="M151" s="300"/>
      <c r="N151" s="300"/>
      <c r="O151" s="300"/>
      <c r="P151" s="301">
        <f>SUM(compras_mes3[[#This Row],[NETO GRAVADO]:[Otros / No Grav.]])</f>
        <v>414899.9976</v>
      </c>
      <c r="Q151" s="302" t="str">
        <f>IFERROR(IF(compras_mes3[[#This Row],[CUIT]]="","-",VLOOKUP(compras_mes3[[#This Row],[CUIT]],Lista_CUIT[#All],3,0)),"CUIT NO CARGADO")</f>
        <v>Materia Prima</v>
      </c>
      <c r="R151" s="302">
        <f>IFERROR(IF(compras_mes3[[#This Row],[CUIT]]="","-",VLOOKUP(compras_mes3[[#This Row],[CUIT]],Lista_CUIT[#All],4,0)),"CUIT NO CARGADO")</f>
        <v>0</v>
      </c>
    </row>
    <row r="152" spans="2:18" x14ac:dyDescent="0.25">
      <c r="B152" s="294" t="s">
        <v>2400</v>
      </c>
      <c r="C152" s="295">
        <v>1</v>
      </c>
      <c r="D152" s="296">
        <v>1</v>
      </c>
      <c r="E152" s="462">
        <v>505</v>
      </c>
      <c r="F152" s="297">
        <v>20263486464</v>
      </c>
      <c r="G152" s="298" t="str">
        <f>IFERROR(IF(compras_mes3[[#This Row],[CUIT]]="","-",VLOOKUP(compras_mes3[[#This Row],[CUIT]],Lista_CUIT[#All],2,0)),"CUIT NO CARGADO")</f>
        <v>ROMANO SEBASTIAN ANTONIO</v>
      </c>
      <c r="H152" s="299">
        <v>908329.2</v>
      </c>
      <c r="I152" s="300">
        <f>compras_mes3[[#This Row],[NETO GRAVADO]]*0.21</f>
        <v>190749.13199999998</v>
      </c>
      <c r="J152" s="300"/>
      <c r="K152" s="300"/>
      <c r="L152" s="300"/>
      <c r="M152" s="300"/>
      <c r="N152" s="300"/>
      <c r="O152" s="300"/>
      <c r="P152" s="301">
        <f>SUM(compras_mes3[[#This Row],[NETO GRAVADO]:[Otros / No Grav.]])</f>
        <v>1099078.3319999999</v>
      </c>
      <c r="Q152" s="302" t="str">
        <f>IFERROR(IF(compras_mes3[[#This Row],[CUIT]]="","-",VLOOKUP(compras_mes3[[#This Row],[CUIT]],Lista_CUIT[#All],3,0)),"CUIT NO CARGADO")</f>
        <v>Productos Venta</v>
      </c>
      <c r="R152" s="302">
        <f>IFERROR(IF(compras_mes3[[#This Row],[CUIT]]="","-",VLOOKUP(compras_mes3[[#This Row],[CUIT]],Lista_CUIT[#All],4,0)),"CUIT NO CARGADO")</f>
        <v>0</v>
      </c>
    </row>
    <row r="153" spans="2:18" x14ac:dyDescent="0.25">
      <c r="B153" s="294" t="s">
        <v>2382</v>
      </c>
      <c r="C153" s="295">
        <v>1</v>
      </c>
      <c r="D153" s="296">
        <v>1</v>
      </c>
      <c r="E153" s="462">
        <v>511</v>
      </c>
      <c r="F153" s="297">
        <v>20263486464</v>
      </c>
      <c r="G153" s="298" t="str">
        <f>IFERROR(IF(compras_mes3[[#This Row],[CUIT]]="","-",VLOOKUP(compras_mes3[[#This Row],[CUIT]],Lista_CUIT[#All],2,0)),"CUIT NO CARGADO")</f>
        <v>ROMANO SEBASTIAN ANTONIO</v>
      </c>
      <c r="H153" s="299">
        <v>215130.6</v>
      </c>
      <c r="I153" s="300">
        <f>compras_mes3[[#This Row],[NETO GRAVADO]]*0.21</f>
        <v>45177.425999999999</v>
      </c>
      <c r="J153" s="300"/>
      <c r="K153" s="300"/>
      <c r="L153" s="300"/>
      <c r="M153" s="300"/>
      <c r="N153" s="300"/>
      <c r="O153" s="300"/>
      <c r="P153" s="301">
        <f>SUM(compras_mes3[[#This Row],[NETO GRAVADO]:[Otros / No Grav.]])</f>
        <v>260308.02600000001</v>
      </c>
      <c r="Q153" s="302" t="str">
        <f>IFERROR(IF(compras_mes3[[#This Row],[CUIT]]="","-",VLOOKUP(compras_mes3[[#This Row],[CUIT]],Lista_CUIT[#All],3,0)),"CUIT NO CARGADO")</f>
        <v>Productos Venta</v>
      </c>
      <c r="R153" s="302">
        <f>IFERROR(IF(compras_mes3[[#This Row],[CUIT]]="","-",VLOOKUP(compras_mes3[[#This Row],[CUIT]],Lista_CUIT[#All],4,0)),"CUIT NO CARGADO")</f>
        <v>0</v>
      </c>
    </row>
    <row r="154" spans="2:18" x14ac:dyDescent="0.25">
      <c r="B154" s="303" t="s">
        <v>2382</v>
      </c>
      <c r="C154" s="295">
        <v>3</v>
      </c>
      <c r="D154" s="304">
        <v>1</v>
      </c>
      <c r="E154" s="305">
        <v>24</v>
      </c>
      <c r="F154" s="306">
        <v>20263486464</v>
      </c>
      <c r="G154" s="307" t="str">
        <f>IFERROR(IF(compras_mes3[[#This Row],[CUIT]]="","-",VLOOKUP(compras_mes3[[#This Row],[CUIT]],Lista_CUIT[#All],2,0)),"CUIT NO CARGADO")</f>
        <v>ROMANO SEBASTIAN ANTONIO</v>
      </c>
      <c r="H154" s="308">
        <v>-47806.8</v>
      </c>
      <c r="I154" s="309">
        <f>compras_mes3[[#This Row],[NETO GRAVADO]]*0.21</f>
        <v>-10039.428</v>
      </c>
      <c r="J154" s="309"/>
      <c r="K154" s="309"/>
      <c r="L154" s="309"/>
      <c r="M154" s="309"/>
      <c r="N154" s="309"/>
      <c r="O154" s="309"/>
      <c r="P154" s="301">
        <f>SUM(compras_mes3[[#This Row],[NETO GRAVADO]:[Otros / No Grav.]])</f>
        <v>-57846.228000000003</v>
      </c>
      <c r="Q154" s="310" t="str">
        <f>IFERROR(IF(compras_mes3[[#This Row],[CUIT]]="","-",VLOOKUP(compras_mes3[[#This Row],[CUIT]],Lista_CUIT[#All],3,0)),"CUIT NO CARGADO")</f>
        <v>Productos Venta</v>
      </c>
      <c r="R154" s="310">
        <f>IFERROR(IF(compras_mes3[[#This Row],[CUIT]]="","-",VLOOKUP(compras_mes3[[#This Row],[CUIT]],Lista_CUIT[#All],4,0)),"CUIT NO CARGADO")</f>
        <v>0</v>
      </c>
    </row>
    <row r="155" spans="2:18" x14ac:dyDescent="0.25">
      <c r="B155" s="294" t="s">
        <v>2407</v>
      </c>
      <c r="C155" s="295">
        <v>1</v>
      </c>
      <c r="D155" s="296">
        <v>2</v>
      </c>
      <c r="E155" s="462">
        <v>9512</v>
      </c>
      <c r="F155" s="297">
        <v>23180288899</v>
      </c>
      <c r="G155" s="298" t="str">
        <f>IFERROR(IF(compras_mes3[[#This Row],[CUIT]]="","-",VLOOKUP(compras_mes3[[#This Row],[CUIT]],Lista_CUIT[#All],2,0)),"CUIT NO CARGADO")</f>
        <v>ROMERO EMILIO</v>
      </c>
      <c r="H155" s="299">
        <v>890000</v>
      </c>
      <c r="I155" s="300">
        <f>compras_mes3[[#This Row],[NETO GRAVADO]]*0.21</f>
        <v>186900</v>
      </c>
      <c r="J155" s="300"/>
      <c r="K155" s="300"/>
      <c r="L155" s="300">
        <v>26700</v>
      </c>
      <c r="M155" s="300"/>
      <c r="N155" s="300"/>
      <c r="O155" s="300"/>
      <c r="P155" s="301">
        <f>SUM(compras_mes3[[#This Row],[NETO GRAVADO]:[Otros / No Grav.]])</f>
        <v>1103600</v>
      </c>
      <c r="Q155" s="302" t="str">
        <f>IFERROR(IF(compras_mes3[[#This Row],[CUIT]]="","-",VLOOKUP(compras_mes3[[#This Row],[CUIT]],Lista_CUIT[#All],3,0)),"CUIT NO CARGADO")</f>
        <v>Gastos Varios</v>
      </c>
      <c r="R155" s="302">
        <f>IFERROR(IF(compras_mes3[[#This Row],[CUIT]]="","-",VLOOKUP(compras_mes3[[#This Row],[CUIT]],Lista_CUIT[#All],4,0)),"CUIT NO CARGADO")</f>
        <v>0</v>
      </c>
    </row>
    <row r="156" spans="2:18" x14ac:dyDescent="0.25">
      <c r="B156" s="303" t="s">
        <v>2407</v>
      </c>
      <c r="C156" s="295">
        <v>1</v>
      </c>
      <c r="D156" s="304">
        <v>2</v>
      </c>
      <c r="E156" s="305">
        <v>9504</v>
      </c>
      <c r="F156" s="306">
        <v>23180288899</v>
      </c>
      <c r="G156" s="307" t="str">
        <f>IFERROR(IF(compras_mes3[[#This Row],[CUIT]]="","-",VLOOKUP(compras_mes3[[#This Row],[CUIT]],Lista_CUIT[#All],2,0)),"CUIT NO CARGADO")</f>
        <v>ROMERO EMILIO</v>
      </c>
      <c r="H156" s="308">
        <v>845500</v>
      </c>
      <c r="I156" s="300">
        <f>compras_mes3[[#This Row],[NETO GRAVADO]]*0.21</f>
        <v>177555</v>
      </c>
      <c r="J156" s="309"/>
      <c r="K156" s="309"/>
      <c r="L156" s="309">
        <v>25365</v>
      </c>
      <c r="M156" s="309"/>
      <c r="N156" s="309"/>
      <c r="O156" s="309"/>
      <c r="P156" s="312">
        <f>SUM(compras_mes3[[#This Row],[NETO GRAVADO]:[Otros / No Grav.]])</f>
        <v>1048420</v>
      </c>
      <c r="Q156" s="310" t="str">
        <f>IFERROR(IF(compras_mes3[[#This Row],[CUIT]]="","-",VLOOKUP(compras_mes3[[#This Row],[CUIT]],Lista_CUIT[#All],3,0)),"CUIT NO CARGADO")</f>
        <v>Gastos Varios</v>
      </c>
      <c r="R156" s="310">
        <f>IFERROR(IF(compras_mes3[[#This Row],[CUIT]]="","-",VLOOKUP(compras_mes3[[#This Row],[CUIT]],Lista_CUIT[#All],4,0)),"CUIT NO CARGADO")</f>
        <v>0</v>
      </c>
    </row>
    <row r="157" spans="2:18" x14ac:dyDescent="0.25">
      <c r="B157" s="303" t="s">
        <v>2407</v>
      </c>
      <c r="C157" s="295">
        <v>3</v>
      </c>
      <c r="D157" s="304">
        <v>2</v>
      </c>
      <c r="E157" s="305">
        <v>157</v>
      </c>
      <c r="F157" s="306">
        <v>23180288899</v>
      </c>
      <c r="G157" s="307" t="str">
        <f>IFERROR(IF(compras_mes3[[#This Row],[CUIT]]="","-",VLOOKUP(compras_mes3[[#This Row],[CUIT]],Lista_CUIT[#All],2,0)),"CUIT NO CARGADO")</f>
        <v>ROMERO EMILIO</v>
      </c>
      <c r="H157" s="308">
        <v>-845500</v>
      </c>
      <c r="I157" s="309">
        <f>compras_mes3[[#This Row],[NETO GRAVADO]]*0.21</f>
        <v>-177555</v>
      </c>
      <c r="J157" s="309"/>
      <c r="K157" s="309"/>
      <c r="L157" s="309">
        <v>-25365</v>
      </c>
      <c r="M157" s="309"/>
      <c r="N157" s="309"/>
      <c r="O157" s="309"/>
      <c r="P157" s="301">
        <f>SUM(compras_mes3[[#This Row],[NETO GRAVADO]:[Otros / No Grav.]])</f>
        <v>-1048420</v>
      </c>
      <c r="Q157" s="310" t="str">
        <f>IFERROR(IF(compras_mes3[[#This Row],[CUIT]]="","-",VLOOKUP(compras_mes3[[#This Row],[CUIT]],Lista_CUIT[#All],3,0)),"CUIT NO CARGADO")</f>
        <v>Gastos Varios</v>
      </c>
      <c r="R157" s="310">
        <f>IFERROR(IF(compras_mes3[[#This Row],[CUIT]]="","-",VLOOKUP(compras_mes3[[#This Row],[CUIT]],Lista_CUIT[#All],4,0)),"CUIT NO CARGADO")</f>
        <v>0</v>
      </c>
    </row>
    <row r="158" spans="2:18" x14ac:dyDescent="0.25">
      <c r="B158" s="294" t="s">
        <v>2406</v>
      </c>
      <c r="C158" s="295">
        <v>1</v>
      </c>
      <c r="D158" s="296">
        <v>10</v>
      </c>
      <c r="E158" s="462">
        <v>7983</v>
      </c>
      <c r="F158" s="297">
        <v>30631047145</v>
      </c>
      <c r="G158" s="298" t="str">
        <f>IFERROR(IF(compras_mes3[[#This Row],[CUIT]]="","-",VLOOKUP(compras_mes3[[#This Row],[CUIT]],Lista_CUIT[#All],2,0)),"CUIT NO CARGADO")</f>
        <v>SEMICONDUC. Y COMPON. SRL</v>
      </c>
      <c r="H158" s="299">
        <v>4461.83</v>
      </c>
      <c r="I158" s="300">
        <v>534.77</v>
      </c>
      <c r="J158" s="300"/>
      <c r="K158" s="300">
        <v>201.11</v>
      </c>
      <c r="L158" s="300"/>
      <c r="M158" s="300"/>
      <c r="N158" s="300"/>
      <c r="O158" s="300"/>
      <c r="P158" s="301">
        <f>SUM(compras_mes3[[#This Row],[NETO GRAVADO]:[Otros / No Grav.]])</f>
        <v>5197.71</v>
      </c>
      <c r="Q158" s="302" t="str">
        <f>IFERROR(IF(compras_mes3[[#This Row],[CUIT]]="","-",VLOOKUP(compras_mes3[[#This Row],[CUIT]],Lista_CUIT[#All],3,0)),"CUIT NO CARGADO")</f>
        <v>Materia Prima</v>
      </c>
      <c r="R158" s="302">
        <f>IFERROR(IF(compras_mes3[[#This Row],[CUIT]]="","-",VLOOKUP(compras_mes3[[#This Row],[CUIT]],Lista_CUIT[#All],4,0)),"CUIT NO CARGADO")</f>
        <v>0</v>
      </c>
    </row>
    <row r="159" spans="2:18" x14ac:dyDescent="0.25">
      <c r="B159" s="294" t="s">
        <v>2382</v>
      </c>
      <c r="C159" s="295">
        <v>1</v>
      </c>
      <c r="D159" s="296">
        <v>2</v>
      </c>
      <c r="E159" s="462">
        <v>44054</v>
      </c>
      <c r="F159" s="297">
        <v>30717273520</v>
      </c>
      <c r="G159" s="298" t="str">
        <f>IFERROR(IF(compras_mes3[[#This Row],[CUIT]]="","-",VLOOKUP(compras_mes3[[#This Row],[CUIT]],Lista_CUIT[#All],2,0)),"CUIT NO CARGADO")</f>
        <v>SMART IT SOLUTIONS S.R.L</v>
      </c>
      <c r="H159" s="299">
        <v>44132.23</v>
      </c>
      <c r="I159" s="300">
        <f>compras_mes3[[#This Row],[NETO GRAVADO]]*0.21</f>
        <v>9267.7682999999997</v>
      </c>
      <c r="J159" s="300"/>
      <c r="K159" s="300"/>
      <c r="L159" s="300"/>
      <c r="M159" s="300"/>
      <c r="N159" s="300"/>
      <c r="O159" s="300"/>
      <c r="P159" s="301">
        <f>SUM(compras_mes3[[#This Row],[NETO GRAVADO]:[Otros / No Grav.]])</f>
        <v>53399.998300000007</v>
      </c>
      <c r="Q159" s="302" t="str">
        <f>IFERROR(IF(compras_mes3[[#This Row],[CUIT]]="","-",VLOOKUP(compras_mes3[[#This Row],[CUIT]],Lista_CUIT[#All],3,0)),"CUIT NO CARGADO")</f>
        <v>Gastos Oficina</v>
      </c>
      <c r="R159" s="302">
        <f>IFERROR(IF(compras_mes3[[#This Row],[CUIT]]="","-",VLOOKUP(compras_mes3[[#This Row],[CUIT]],Lista_CUIT[#All],4,0)),"CUIT NO CARGADO")</f>
        <v>0</v>
      </c>
    </row>
    <row r="160" spans="2:18" x14ac:dyDescent="0.25">
      <c r="B160" s="303" t="s">
        <v>2394</v>
      </c>
      <c r="C160" s="295">
        <v>1</v>
      </c>
      <c r="D160" s="304">
        <v>20</v>
      </c>
      <c r="E160" s="305">
        <v>39277</v>
      </c>
      <c r="F160" s="306">
        <v>30717210847</v>
      </c>
      <c r="G160" s="307" t="str">
        <f>IFERROR(IF(compras_mes3[[#This Row],[CUIT]]="","-",VLOOKUP(compras_mes3[[#This Row],[CUIT]],Lista_CUIT[#All],2,0)),"CUIT NO CARGADO")</f>
        <v>STENDY</v>
      </c>
      <c r="H160" s="308">
        <v>43039.82</v>
      </c>
      <c r="I160" s="300">
        <f>compras_mes3[[#This Row],[NETO GRAVADO]]*0.21</f>
        <v>9038.3621999999996</v>
      </c>
      <c r="J160" s="309"/>
      <c r="K160" s="309"/>
      <c r="L160" s="309"/>
      <c r="M160" s="309"/>
      <c r="N160" s="309"/>
      <c r="O160" s="309"/>
      <c r="P160" s="301">
        <f>SUM(compras_mes3[[#This Row],[NETO GRAVADO]:[Otros / No Grav.]])</f>
        <v>52078.182199999996</v>
      </c>
      <c r="Q160" s="310" t="str">
        <f>IFERROR(IF(compras_mes3[[#This Row],[CUIT]]="","-",VLOOKUP(compras_mes3[[#This Row],[CUIT]],Lista_CUIT[#All],3,0)),"CUIT NO CARGADO")</f>
        <v>LIBRERÍA</v>
      </c>
      <c r="R160" s="310">
        <f>IFERROR(IF(compras_mes3[[#This Row],[CUIT]]="","-",VLOOKUP(compras_mes3[[#This Row],[CUIT]],Lista_CUIT[#All],4,0)),"CUIT NO CARGADO")</f>
        <v>0</v>
      </c>
    </row>
    <row r="161" spans="2:18" x14ac:dyDescent="0.25">
      <c r="B161" s="303" t="s">
        <v>2392</v>
      </c>
      <c r="C161" s="295">
        <v>1</v>
      </c>
      <c r="D161" s="304">
        <v>2</v>
      </c>
      <c r="E161" s="305">
        <v>3996</v>
      </c>
      <c r="F161" s="306">
        <v>30629863571</v>
      </c>
      <c r="G161" s="307" t="str">
        <f>IFERROR(IF(compras_mes3[[#This Row],[CUIT]]="","-",VLOOKUP(compras_mes3[[#This Row],[CUIT]],Lista_CUIT[#All],2,0)),"CUIT NO CARGADO")</f>
        <v>TECNIMAR S R L</v>
      </c>
      <c r="H161" s="308">
        <v>4834002</v>
      </c>
      <c r="I161" s="300">
        <f>compras_mes3[[#This Row],[NETO GRAVADO]]*0.21</f>
        <v>1015140.4199999999</v>
      </c>
      <c r="J161" s="309"/>
      <c r="K161" s="309"/>
      <c r="L161" s="309"/>
      <c r="M161" s="309"/>
      <c r="N161" s="309"/>
      <c r="O161" s="309"/>
      <c r="P161" s="301">
        <f>SUM(compras_mes3[[#This Row],[NETO GRAVADO]:[Otros / No Grav.]])</f>
        <v>5849142.4199999999</v>
      </c>
      <c r="Q161" s="310" t="str">
        <f>IFERROR(IF(compras_mes3[[#This Row],[CUIT]]="","-",VLOOKUP(compras_mes3[[#This Row],[CUIT]],Lista_CUIT[#All],3,0)),"CUIT NO CARGADO")</f>
        <v>Productos Venta</v>
      </c>
      <c r="R161" s="310">
        <f>IFERROR(IF(compras_mes3[[#This Row],[CUIT]]="","-",VLOOKUP(compras_mes3[[#This Row],[CUIT]],Lista_CUIT[#All],4,0)),"CUIT NO CARGADO")</f>
        <v>0</v>
      </c>
    </row>
    <row r="162" spans="2:18" x14ac:dyDescent="0.25">
      <c r="B162" s="294" t="s">
        <v>2409</v>
      </c>
      <c r="C162" s="295">
        <v>1</v>
      </c>
      <c r="D162" s="296">
        <v>2</v>
      </c>
      <c r="E162" s="462">
        <v>3994</v>
      </c>
      <c r="F162" s="297">
        <v>30629863571</v>
      </c>
      <c r="G162" s="298" t="str">
        <f>IFERROR(IF(compras_mes3[[#This Row],[CUIT]]="","-",VLOOKUP(compras_mes3[[#This Row],[CUIT]],Lista_CUIT[#All],2,0)),"CUIT NO CARGADO")</f>
        <v>TECNIMAR S R L</v>
      </c>
      <c r="H162" s="299">
        <v>2377809</v>
      </c>
      <c r="I162" s="300">
        <f>compras_mes3[[#This Row],[NETO GRAVADO]]*0.21</f>
        <v>499339.88999999996</v>
      </c>
      <c r="J162" s="300"/>
      <c r="K162" s="300"/>
      <c r="L162" s="300"/>
      <c r="M162" s="300"/>
      <c r="N162" s="300"/>
      <c r="O162" s="300"/>
      <c r="P162" s="301">
        <f>SUM(compras_mes3[[#This Row],[NETO GRAVADO]:[Otros / No Grav.]])</f>
        <v>2877148.89</v>
      </c>
      <c r="Q162" s="302" t="str">
        <f>IFERROR(IF(compras_mes3[[#This Row],[CUIT]]="","-",VLOOKUP(compras_mes3[[#This Row],[CUIT]],Lista_CUIT[#All],3,0)),"CUIT NO CARGADO")</f>
        <v>Productos Venta</v>
      </c>
      <c r="R162" s="302">
        <f>IFERROR(IF(compras_mes3[[#This Row],[CUIT]]="","-",VLOOKUP(compras_mes3[[#This Row],[CUIT]],Lista_CUIT[#All],4,0)),"CUIT NO CARGADO")</f>
        <v>0</v>
      </c>
    </row>
    <row r="163" spans="2:18" x14ac:dyDescent="0.25">
      <c r="B163" s="40" t="s">
        <v>2381</v>
      </c>
      <c r="C163" s="295">
        <v>1</v>
      </c>
      <c r="D163" s="42">
        <v>2</v>
      </c>
      <c r="E163" s="43">
        <v>3972</v>
      </c>
      <c r="F163" s="44">
        <v>30629863571</v>
      </c>
      <c r="G163" s="45" t="str">
        <f>IFERROR(IF(compras_mes3[[#This Row],[CUIT]]="","-",VLOOKUP(compras_mes3[[#This Row],[CUIT]],Lista_CUIT[#All],2,0)),"CUIT NO CARGADO")</f>
        <v>TECNIMAR S R L</v>
      </c>
      <c r="H163" s="46">
        <v>2324288</v>
      </c>
      <c r="I163" s="300">
        <f>compras_mes3[[#This Row],[NETO GRAVADO]]*0.21</f>
        <v>488100.48</v>
      </c>
      <c r="J163" s="85"/>
      <c r="K163" s="85"/>
      <c r="L163" s="85"/>
      <c r="M163" s="85"/>
      <c r="N163" s="85"/>
      <c r="O163" s="85"/>
      <c r="P163" s="301">
        <f>SUM(compras_mes3[[#This Row],[NETO GRAVADO]:[Otros / No Grav.]])</f>
        <v>2812388.48</v>
      </c>
      <c r="Q163" s="49" t="str">
        <f>IFERROR(IF(compras_mes3[[#This Row],[CUIT]]="","-",VLOOKUP(compras_mes3[[#This Row],[CUIT]],Lista_CUIT[#All],3,0)),"CUIT NO CARGADO")</f>
        <v>Productos Venta</v>
      </c>
      <c r="R163" s="49">
        <f>IFERROR(IF(compras_mes3[[#This Row],[CUIT]]="","-",VLOOKUP(compras_mes3[[#This Row],[CUIT]],Lista_CUIT[#All],4,0)),"CUIT NO CARGADO")</f>
        <v>0</v>
      </c>
    </row>
    <row r="164" spans="2:18" x14ac:dyDescent="0.25">
      <c r="B164" s="294" t="s">
        <v>2384</v>
      </c>
      <c r="C164" s="295">
        <v>1</v>
      </c>
      <c r="D164" s="296">
        <v>2</v>
      </c>
      <c r="E164" s="462">
        <v>3981</v>
      </c>
      <c r="F164" s="297">
        <v>30629863571</v>
      </c>
      <c r="G164" s="298" t="str">
        <f>IFERROR(IF(compras_mes3[[#This Row],[CUIT]]="","-",VLOOKUP(compras_mes3[[#This Row],[CUIT]],Lista_CUIT[#All],2,0)),"CUIT NO CARGADO")</f>
        <v>TECNIMAR S R L</v>
      </c>
      <c r="H164" s="299">
        <v>2186480</v>
      </c>
      <c r="I164" s="300">
        <f>compras_mes3[[#This Row],[NETO GRAVADO]]*0.21</f>
        <v>459160.8</v>
      </c>
      <c r="J164" s="300"/>
      <c r="K164" s="300"/>
      <c r="L164" s="300"/>
      <c r="M164" s="300"/>
      <c r="N164" s="300"/>
      <c r="O164" s="300"/>
      <c r="P164" s="301">
        <f>SUM(compras_mes3[[#This Row],[NETO GRAVADO]:[Otros / No Grav.]])</f>
        <v>2645640.7999999998</v>
      </c>
      <c r="Q164" s="302" t="str">
        <f>IFERROR(IF(compras_mes3[[#This Row],[CUIT]]="","-",VLOOKUP(compras_mes3[[#This Row],[CUIT]],Lista_CUIT[#All],3,0)),"CUIT NO CARGADO")</f>
        <v>Productos Venta</v>
      </c>
      <c r="R164" s="302">
        <f>IFERROR(IF(compras_mes3[[#This Row],[CUIT]]="","-",VLOOKUP(compras_mes3[[#This Row],[CUIT]],Lista_CUIT[#All],4,0)),"CUIT NO CARGADO")</f>
        <v>0</v>
      </c>
    </row>
    <row r="165" spans="2:18" x14ac:dyDescent="0.25">
      <c r="B165" s="303" t="s">
        <v>2395</v>
      </c>
      <c r="C165" s="295">
        <v>1</v>
      </c>
      <c r="D165" s="304">
        <v>2</v>
      </c>
      <c r="E165" s="305">
        <v>3998</v>
      </c>
      <c r="F165" s="306">
        <v>30629863571</v>
      </c>
      <c r="G165" s="307" t="str">
        <f>IFERROR(IF(compras_mes3[[#This Row],[CUIT]]="","-",VLOOKUP(compras_mes3[[#This Row],[CUIT]],Lista_CUIT[#All],2,0)),"CUIT NO CARGADO")</f>
        <v>TECNIMAR S R L</v>
      </c>
      <c r="H165" s="308">
        <v>2079840</v>
      </c>
      <c r="I165" s="309">
        <f>compras_mes3[[#This Row],[NETO GRAVADO]]*0.21</f>
        <v>436766.39999999997</v>
      </c>
      <c r="J165" s="309"/>
      <c r="K165" s="309"/>
      <c r="L165" s="309"/>
      <c r="M165" s="309"/>
      <c r="N165" s="309"/>
      <c r="O165" s="309"/>
      <c r="P165" s="301">
        <f>SUM(compras_mes3[[#This Row],[NETO GRAVADO]:[Otros / No Grav.]])</f>
        <v>2516606.4</v>
      </c>
      <c r="Q165" s="310" t="str">
        <f>IFERROR(IF(compras_mes3[[#This Row],[CUIT]]="","-",VLOOKUP(compras_mes3[[#This Row],[CUIT]],Lista_CUIT[#All],3,0)),"CUIT NO CARGADO")</f>
        <v>Productos Venta</v>
      </c>
      <c r="R165" s="310">
        <f>IFERROR(IF(compras_mes3[[#This Row],[CUIT]]="","-",VLOOKUP(compras_mes3[[#This Row],[CUIT]],Lista_CUIT[#All],4,0)),"CUIT NO CARGADO")</f>
        <v>0</v>
      </c>
    </row>
    <row r="166" spans="2:18" x14ac:dyDescent="0.25">
      <c r="B166" s="303" t="s">
        <v>2393</v>
      </c>
      <c r="C166" s="295">
        <v>1</v>
      </c>
      <c r="D166" s="304">
        <v>2</v>
      </c>
      <c r="E166" s="305">
        <v>3997</v>
      </c>
      <c r="F166" s="306">
        <v>30629863571</v>
      </c>
      <c r="G166" s="307" t="str">
        <f>IFERROR(IF(compras_mes3[[#This Row],[CUIT]]="","-",VLOOKUP(compras_mes3[[#This Row],[CUIT]],Lista_CUIT[#All],2,0)),"CUIT NO CARGADO")</f>
        <v>TECNIMAR S R L</v>
      </c>
      <c r="H166" s="308">
        <v>1715934</v>
      </c>
      <c r="I166" s="300">
        <f>compras_mes3[[#This Row],[NETO GRAVADO]]*0.21</f>
        <v>360346.14</v>
      </c>
      <c r="J166" s="309"/>
      <c r="K166" s="309"/>
      <c r="L166" s="309"/>
      <c r="M166" s="309"/>
      <c r="N166" s="309"/>
      <c r="O166" s="309"/>
      <c r="P166" s="301">
        <f>SUM(compras_mes3[[#This Row],[NETO GRAVADO]:[Otros / No Grav.]])</f>
        <v>2076280.1400000001</v>
      </c>
      <c r="Q166" s="310" t="str">
        <f>IFERROR(IF(compras_mes3[[#This Row],[CUIT]]="","-",VLOOKUP(compras_mes3[[#This Row],[CUIT]],Lista_CUIT[#All],3,0)),"CUIT NO CARGADO")</f>
        <v>Productos Venta</v>
      </c>
      <c r="R166" s="310">
        <f>IFERROR(IF(compras_mes3[[#This Row],[CUIT]]="","-",VLOOKUP(compras_mes3[[#This Row],[CUIT]],Lista_CUIT[#All],4,0)),"CUIT NO CARGADO")</f>
        <v>0</v>
      </c>
    </row>
    <row r="167" spans="2:18" x14ac:dyDescent="0.25">
      <c r="B167" s="294" t="s">
        <v>2383</v>
      </c>
      <c r="C167" s="295">
        <v>1</v>
      </c>
      <c r="D167" s="296">
        <v>2</v>
      </c>
      <c r="E167" s="462">
        <v>3979</v>
      </c>
      <c r="F167" s="297">
        <v>30629863571</v>
      </c>
      <c r="G167" s="298" t="str">
        <f>IFERROR(IF(compras_mes3[[#This Row],[CUIT]]="","-",VLOOKUP(compras_mes3[[#This Row],[CUIT]],Lista_CUIT[#All],2,0)),"CUIT NO CARGADO")</f>
        <v>TECNIMAR S R L</v>
      </c>
      <c r="H167" s="299">
        <v>1700822</v>
      </c>
      <c r="I167" s="300">
        <f>compras_mes3[[#This Row],[NETO GRAVADO]]*0.21</f>
        <v>357172.62</v>
      </c>
      <c r="J167" s="300"/>
      <c r="K167" s="300"/>
      <c r="L167" s="300"/>
      <c r="M167" s="300"/>
      <c r="N167" s="300"/>
      <c r="O167" s="300"/>
      <c r="P167" s="301">
        <f>SUM(compras_mes3[[#This Row],[NETO GRAVADO]:[Otros / No Grav.]])</f>
        <v>2057994.62</v>
      </c>
      <c r="Q167" s="302" t="str">
        <f>IFERROR(IF(compras_mes3[[#This Row],[CUIT]]="","-",VLOOKUP(compras_mes3[[#This Row],[CUIT]],Lista_CUIT[#All],3,0)),"CUIT NO CARGADO")</f>
        <v>Productos Venta</v>
      </c>
      <c r="R167" s="302">
        <f>IFERROR(IF(compras_mes3[[#This Row],[CUIT]]="","-",VLOOKUP(compras_mes3[[#This Row],[CUIT]],Lista_CUIT[#All],4,0)),"CUIT NO CARGADO")</f>
        <v>0</v>
      </c>
    </row>
    <row r="168" spans="2:18" x14ac:dyDescent="0.25">
      <c r="B168" s="294" t="s">
        <v>2403</v>
      </c>
      <c r="C168" s="295">
        <v>1</v>
      </c>
      <c r="D168" s="296">
        <v>2</v>
      </c>
      <c r="E168" s="462">
        <v>3978</v>
      </c>
      <c r="F168" s="297">
        <v>30629863571</v>
      </c>
      <c r="G168" s="298" t="str">
        <f>IFERROR(IF(compras_mes3[[#This Row],[CUIT]]="","-",VLOOKUP(compras_mes3[[#This Row],[CUIT]],Lista_CUIT[#All],2,0)),"CUIT NO CARGADO")</f>
        <v>TECNIMAR S R L</v>
      </c>
      <c r="H168" s="299">
        <v>1581300</v>
      </c>
      <c r="I168" s="300">
        <f>compras_mes3[[#This Row],[NETO GRAVADO]]*0.21</f>
        <v>332073</v>
      </c>
      <c r="J168" s="300"/>
      <c r="K168" s="300"/>
      <c r="L168" s="300"/>
      <c r="M168" s="300"/>
      <c r="N168" s="300"/>
      <c r="O168" s="300"/>
      <c r="P168" s="301">
        <f>SUM(compras_mes3[[#This Row],[NETO GRAVADO]:[Otros / No Grav.]])</f>
        <v>1913373</v>
      </c>
      <c r="Q168" s="302" t="str">
        <f>IFERROR(IF(compras_mes3[[#This Row],[CUIT]]="","-",VLOOKUP(compras_mes3[[#This Row],[CUIT]],Lista_CUIT[#All],3,0)),"CUIT NO CARGADO")</f>
        <v>Productos Venta</v>
      </c>
      <c r="R168" s="302">
        <f>IFERROR(IF(compras_mes3[[#This Row],[CUIT]]="","-",VLOOKUP(compras_mes3[[#This Row],[CUIT]],Lista_CUIT[#All],4,0)),"CUIT NO CARGADO")</f>
        <v>0</v>
      </c>
    </row>
    <row r="169" spans="2:18" x14ac:dyDescent="0.25">
      <c r="B169" s="303" t="s">
        <v>2399</v>
      </c>
      <c r="C169" s="295">
        <v>1</v>
      </c>
      <c r="D169" s="304">
        <v>2</v>
      </c>
      <c r="E169" s="305">
        <v>3976</v>
      </c>
      <c r="F169" s="306">
        <v>30629863571</v>
      </c>
      <c r="G169" s="307" t="str">
        <f>IFERROR(IF(compras_mes3[[#This Row],[CUIT]]="","-",VLOOKUP(compras_mes3[[#This Row],[CUIT]],Lista_CUIT[#All],2,0)),"CUIT NO CARGADO")</f>
        <v>TECNIMAR S R L</v>
      </c>
      <c r="H169" s="308">
        <v>1380118</v>
      </c>
      <c r="I169" s="300">
        <f>compras_mes3[[#This Row],[NETO GRAVADO]]*0.21</f>
        <v>289824.77999999997</v>
      </c>
      <c r="J169" s="309"/>
      <c r="K169" s="309"/>
      <c r="L169" s="309"/>
      <c r="M169" s="309"/>
      <c r="N169" s="309"/>
      <c r="O169" s="309"/>
      <c r="P169" s="301">
        <f>SUM(compras_mes3[[#This Row],[NETO GRAVADO]:[Otros / No Grav.]])</f>
        <v>1669942.78</v>
      </c>
      <c r="Q169" s="310" t="str">
        <f>IFERROR(IF(compras_mes3[[#This Row],[CUIT]]="","-",VLOOKUP(compras_mes3[[#This Row],[CUIT]],Lista_CUIT[#All],3,0)),"CUIT NO CARGADO")</f>
        <v>Productos Venta</v>
      </c>
      <c r="R169" s="310">
        <f>IFERROR(IF(compras_mes3[[#This Row],[CUIT]]="","-",VLOOKUP(compras_mes3[[#This Row],[CUIT]],Lista_CUIT[#All],4,0)),"CUIT NO CARGADO")</f>
        <v>0</v>
      </c>
    </row>
    <row r="170" spans="2:18" x14ac:dyDescent="0.25">
      <c r="B170" s="89" t="s">
        <v>2381</v>
      </c>
      <c r="C170" s="295">
        <v>1</v>
      </c>
      <c r="D170" s="90">
        <v>2</v>
      </c>
      <c r="E170" s="91">
        <v>3975</v>
      </c>
      <c r="F170" s="92">
        <v>30629863571</v>
      </c>
      <c r="G170" s="93" t="str">
        <f>IFERROR(IF(compras_mes3[[#This Row],[CUIT]]="","-",VLOOKUP(compras_mes3[[#This Row],[CUIT]],Lista_CUIT[#All],2,0)),"CUIT NO CARGADO")</f>
        <v>TECNIMAR S R L</v>
      </c>
      <c r="H170" s="94">
        <v>1313928</v>
      </c>
      <c r="I170" s="300">
        <f>compras_mes3[[#This Row],[NETO GRAVADO]]*0.21</f>
        <v>275924.88</v>
      </c>
      <c r="J170" s="86"/>
      <c r="K170" s="86"/>
      <c r="L170" s="86"/>
      <c r="M170" s="86"/>
      <c r="N170" s="86"/>
      <c r="O170" s="86"/>
      <c r="P170" s="301">
        <f>SUM(compras_mes3[[#This Row],[NETO GRAVADO]:[Otros / No Grav.]])</f>
        <v>1589852.88</v>
      </c>
      <c r="Q170" s="88" t="str">
        <f>IFERROR(IF(compras_mes3[[#This Row],[CUIT]]="","-",VLOOKUP(compras_mes3[[#This Row],[CUIT]],Lista_CUIT[#All],3,0)),"CUIT NO CARGADO")</f>
        <v>Productos Venta</v>
      </c>
      <c r="R170" s="88">
        <f>IFERROR(IF(compras_mes3[[#This Row],[CUIT]]="","-",VLOOKUP(compras_mes3[[#This Row],[CUIT]],Lista_CUIT[#All],4,0)),"CUIT NO CARGADO")</f>
        <v>0</v>
      </c>
    </row>
    <row r="171" spans="2:18" x14ac:dyDescent="0.25">
      <c r="B171" s="294" t="s">
        <v>2387</v>
      </c>
      <c r="C171" s="295">
        <v>1</v>
      </c>
      <c r="D171" s="296">
        <v>2</v>
      </c>
      <c r="E171" s="462">
        <v>3987</v>
      </c>
      <c r="F171" s="297">
        <v>30629863571</v>
      </c>
      <c r="G171" s="298" t="str">
        <f>IFERROR(IF(compras_mes3[[#This Row],[CUIT]]="","-",VLOOKUP(compras_mes3[[#This Row],[CUIT]],Lista_CUIT[#All],2,0)),"CUIT NO CARGADO")</f>
        <v>TECNIMAR S R L</v>
      </c>
      <c r="H171" s="299">
        <v>1007490</v>
      </c>
      <c r="I171" s="300">
        <f>compras_mes3[[#This Row],[NETO GRAVADO]]*0.21</f>
        <v>211572.9</v>
      </c>
      <c r="J171" s="300"/>
      <c r="K171" s="300"/>
      <c r="L171" s="300"/>
      <c r="M171" s="300"/>
      <c r="N171" s="300"/>
      <c r="O171" s="300"/>
      <c r="P171" s="301">
        <f>SUM(compras_mes3[[#This Row],[NETO GRAVADO]:[Otros / No Grav.]])</f>
        <v>1219062.8999999999</v>
      </c>
      <c r="Q171" s="302" t="str">
        <f>IFERROR(IF(compras_mes3[[#This Row],[CUIT]]="","-",VLOOKUP(compras_mes3[[#This Row],[CUIT]],Lista_CUIT[#All],3,0)),"CUIT NO CARGADO")</f>
        <v>Productos Venta</v>
      </c>
      <c r="R171" s="302">
        <f>IFERROR(IF(compras_mes3[[#This Row],[CUIT]]="","-",VLOOKUP(compras_mes3[[#This Row],[CUIT]],Lista_CUIT[#All],4,0)),"CUIT NO CARGADO")</f>
        <v>0</v>
      </c>
    </row>
    <row r="172" spans="2:18" x14ac:dyDescent="0.25">
      <c r="B172" s="294" t="s">
        <v>2400</v>
      </c>
      <c r="C172" s="295">
        <v>1</v>
      </c>
      <c r="D172" s="296">
        <v>2</v>
      </c>
      <c r="E172" s="462">
        <v>3977</v>
      </c>
      <c r="F172" s="297">
        <v>30629863571</v>
      </c>
      <c r="G172" s="298" t="str">
        <f>IFERROR(IF(compras_mes3[[#This Row],[CUIT]]="","-",VLOOKUP(compras_mes3[[#This Row],[CUIT]],Lista_CUIT[#All],2,0)),"CUIT NO CARGADO")</f>
        <v>TECNIMAR S R L</v>
      </c>
      <c r="H172" s="299">
        <v>638296</v>
      </c>
      <c r="I172" s="300">
        <f>compras_mes3[[#This Row],[NETO GRAVADO]]*0.21</f>
        <v>134042.16</v>
      </c>
      <c r="J172" s="300"/>
      <c r="K172" s="300"/>
      <c r="L172" s="300"/>
      <c r="M172" s="300"/>
      <c r="N172" s="300"/>
      <c r="O172" s="300"/>
      <c r="P172" s="301">
        <f>SUM(compras_mes3[[#This Row],[NETO GRAVADO]:[Otros / No Grav.]])</f>
        <v>772338.16</v>
      </c>
      <c r="Q172" s="302" t="str">
        <f>IFERROR(IF(compras_mes3[[#This Row],[CUIT]]="","-",VLOOKUP(compras_mes3[[#This Row],[CUIT]],Lista_CUIT[#All],3,0)),"CUIT NO CARGADO")</f>
        <v>Productos Venta</v>
      </c>
      <c r="R172" s="302">
        <f>IFERROR(IF(compras_mes3[[#This Row],[CUIT]]="","-",VLOOKUP(compras_mes3[[#This Row],[CUIT]],Lista_CUIT[#All],4,0)),"CUIT NO CARGADO")</f>
        <v>0</v>
      </c>
    </row>
    <row r="173" spans="2:18" x14ac:dyDescent="0.25">
      <c r="B173" s="294" t="s">
        <v>2406</v>
      </c>
      <c r="C173" s="295">
        <v>1</v>
      </c>
      <c r="D173" s="296">
        <v>2</v>
      </c>
      <c r="E173" s="462">
        <v>3986</v>
      </c>
      <c r="F173" s="297">
        <v>30629863571</v>
      </c>
      <c r="G173" s="298" t="str">
        <f>IFERROR(IF(compras_mes3[[#This Row],[CUIT]]="","-",VLOOKUP(compras_mes3[[#This Row],[CUIT]],Lista_CUIT[#All],2,0)),"CUIT NO CARGADO")</f>
        <v>TECNIMAR S R L</v>
      </c>
      <c r="H173" s="299">
        <v>616837</v>
      </c>
      <c r="I173" s="300">
        <f>compras_mes3[[#This Row],[NETO GRAVADO]]*0.21</f>
        <v>129535.76999999999</v>
      </c>
      <c r="J173" s="300"/>
      <c r="K173" s="300"/>
      <c r="L173" s="300"/>
      <c r="M173" s="300"/>
      <c r="N173" s="300"/>
      <c r="O173" s="300"/>
      <c r="P173" s="301">
        <f>SUM(compras_mes3[[#This Row],[NETO GRAVADO]:[Otros / No Grav.]])</f>
        <v>746372.77</v>
      </c>
      <c r="Q173" s="302" t="str">
        <f>IFERROR(IF(compras_mes3[[#This Row],[CUIT]]="","-",VLOOKUP(compras_mes3[[#This Row],[CUIT]],Lista_CUIT[#All],3,0)),"CUIT NO CARGADO")</f>
        <v>Productos Venta</v>
      </c>
      <c r="R173" s="302">
        <f>IFERROR(IF(compras_mes3[[#This Row],[CUIT]]="","-",VLOOKUP(compras_mes3[[#This Row],[CUIT]],Lista_CUIT[#All],4,0)),"CUIT NO CARGADO")</f>
        <v>0</v>
      </c>
    </row>
    <row r="174" spans="2:18" x14ac:dyDescent="0.25">
      <c r="B174" s="294" t="s">
        <v>2400</v>
      </c>
      <c r="C174" s="295">
        <v>1</v>
      </c>
      <c r="D174" s="296">
        <v>63</v>
      </c>
      <c r="E174" s="462">
        <v>3212090</v>
      </c>
      <c r="F174" s="297">
        <v>30640897267</v>
      </c>
      <c r="G174" s="298" t="str">
        <f>IFERROR(IF(compras_mes3[[#This Row],[CUIT]]="","-",VLOOKUP(compras_mes3[[#This Row],[CUIT]],Lista_CUIT[#All],2,0)),"CUIT NO CARGADO")</f>
        <v>TELECENTRO S.A.</v>
      </c>
      <c r="H174" s="299">
        <v>60803.72</v>
      </c>
      <c r="I174" s="300">
        <f>compras_mes3[[#This Row],[NETO GRAVADO]]*0.21</f>
        <v>12768.781199999999</v>
      </c>
      <c r="J174" s="300"/>
      <c r="K174" s="300"/>
      <c r="L174" s="300">
        <v>1824.11</v>
      </c>
      <c r="M174" s="300"/>
      <c r="N174" s="300">
        <v>3648.22</v>
      </c>
      <c r="O174" s="300"/>
      <c r="P174" s="301">
        <f>SUM(compras_mes3[[#This Row],[NETO GRAVADO]:[Otros / No Grav.]])</f>
        <v>79044.831200000001</v>
      </c>
      <c r="Q174" s="302" t="str">
        <f>IFERROR(IF(compras_mes3[[#This Row],[CUIT]]="","-",VLOOKUP(compras_mes3[[#This Row],[CUIT]],Lista_CUIT[#All],3,0)),"CUIT NO CARGADO")</f>
        <v>Servicios Gas, Luz, etc.</v>
      </c>
      <c r="R174" s="302">
        <f>IFERROR(IF(compras_mes3[[#This Row],[CUIT]]="","-",VLOOKUP(compras_mes3[[#This Row],[CUIT]],Lista_CUIT[#All],4,0)),"CUIT NO CARGADO")</f>
        <v>0</v>
      </c>
    </row>
    <row r="175" spans="2:18" x14ac:dyDescent="0.25">
      <c r="B175" s="294" t="s">
        <v>2400</v>
      </c>
      <c r="C175" s="295">
        <v>1</v>
      </c>
      <c r="D175" s="296">
        <v>63</v>
      </c>
      <c r="E175" s="462">
        <v>3213176</v>
      </c>
      <c r="F175" s="297">
        <v>30640897267</v>
      </c>
      <c r="G175" s="298" t="str">
        <f>IFERROR(IF(compras_mes3[[#This Row],[CUIT]]="","-",VLOOKUP(compras_mes3[[#This Row],[CUIT]],Lista_CUIT[#All],2,0)),"CUIT NO CARGADO")</f>
        <v>TELECENTRO S.A.</v>
      </c>
      <c r="H175" s="299">
        <v>60803.72</v>
      </c>
      <c r="I175" s="300">
        <f>compras_mes3[[#This Row],[NETO GRAVADO]]*0.21</f>
        <v>12768.781199999999</v>
      </c>
      <c r="J175" s="300"/>
      <c r="K175" s="300"/>
      <c r="L175" s="300">
        <v>1824.11</v>
      </c>
      <c r="M175" s="300"/>
      <c r="N175" s="300">
        <v>3648.22</v>
      </c>
      <c r="O175" s="300"/>
      <c r="P175" s="301">
        <f>SUM(compras_mes3[[#This Row],[NETO GRAVADO]:[Otros / No Grav.]])</f>
        <v>79044.831200000001</v>
      </c>
      <c r="Q175" s="302" t="str">
        <f>IFERROR(IF(compras_mes3[[#This Row],[CUIT]]="","-",VLOOKUP(compras_mes3[[#This Row],[CUIT]],Lista_CUIT[#All],3,0)),"CUIT NO CARGADO")</f>
        <v>Servicios Gas, Luz, etc.</v>
      </c>
      <c r="R175" s="302">
        <f>IFERROR(IF(compras_mes3[[#This Row],[CUIT]]="","-",VLOOKUP(compras_mes3[[#This Row],[CUIT]],Lista_CUIT[#All],4,0)),"CUIT NO CARGADO")</f>
        <v>0</v>
      </c>
    </row>
    <row r="176" spans="2:18" x14ac:dyDescent="0.25">
      <c r="B176" s="294" t="s">
        <v>2403</v>
      </c>
      <c r="C176" s="295">
        <v>1</v>
      </c>
      <c r="D176" s="296">
        <v>6364</v>
      </c>
      <c r="E176" s="462">
        <v>8961530</v>
      </c>
      <c r="F176" s="297">
        <v>30639453738</v>
      </c>
      <c r="G176" s="298" t="str">
        <f>IFERROR(IF(compras_mes3[[#This Row],[CUIT]]="","-",VLOOKUP(compras_mes3[[#This Row],[CUIT]],Lista_CUIT[#All],2,0)),"CUIT NO CARGADO")</f>
        <v>TELECOM ARG SA</v>
      </c>
      <c r="H176" s="299">
        <v>276410.39</v>
      </c>
      <c r="I176" s="300">
        <v>57809.83</v>
      </c>
      <c r="J176" s="300">
        <v>303.89</v>
      </c>
      <c r="K176" s="300"/>
      <c r="L176" s="300"/>
      <c r="M176" s="300"/>
      <c r="N176" s="300">
        <v>15381.28</v>
      </c>
      <c r="O176" s="300">
        <v>8367.9599999999991</v>
      </c>
      <c r="P176" s="301">
        <f>SUM(compras_mes3[[#This Row],[NETO GRAVADO]:[Otros / No Grav.]])</f>
        <v>358273.35000000009</v>
      </c>
      <c r="Q176" s="302" t="str">
        <f>IFERROR(IF(compras_mes3[[#This Row],[CUIT]]="","-",VLOOKUP(compras_mes3[[#This Row],[CUIT]],Lista_CUIT[#All],3,0)),"CUIT NO CARGADO")</f>
        <v>Servicios Gas, Luz, etc.</v>
      </c>
      <c r="R176" s="302">
        <f>IFERROR(IF(compras_mes3[[#This Row],[CUIT]]="","-",VLOOKUP(compras_mes3[[#This Row],[CUIT]],Lista_CUIT[#All],4,0)),"CUIT NO CARGADO")</f>
        <v>0</v>
      </c>
    </row>
    <row r="177" spans="2:18" x14ac:dyDescent="0.25">
      <c r="B177" s="294" t="s">
        <v>2387</v>
      </c>
      <c r="C177" s="295">
        <v>1</v>
      </c>
      <c r="D177" s="296">
        <v>4264</v>
      </c>
      <c r="E177" s="462">
        <v>5133566</v>
      </c>
      <c r="F177" s="297">
        <v>30639453738</v>
      </c>
      <c r="G177" s="298" t="str">
        <f>IFERROR(IF(compras_mes3[[#This Row],[CUIT]]="","-",VLOOKUP(compras_mes3[[#This Row],[CUIT]],Lista_CUIT[#All],2,0)),"CUIT NO CARGADO")</f>
        <v>TELECOM ARG SA</v>
      </c>
      <c r="H177" s="299">
        <v>28760</v>
      </c>
      <c r="I177" s="300">
        <f>compras_mes3[[#This Row],[NETO GRAVADO]]*0.21</f>
        <v>6039.5999999999995</v>
      </c>
      <c r="J177" s="300"/>
      <c r="K177" s="300"/>
      <c r="L177" s="300"/>
      <c r="M177" s="300"/>
      <c r="N177" s="300">
        <v>2588.4</v>
      </c>
      <c r="O177" s="300"/>
      <c r="P177" s="301">
        <f>SUM(compras_mes3[[#This Row],[NETO GRAVADO]:[Otros / No Grav.]])</f>
        <v>37388</v>
      </c>
      <c r="Q177" s="302" t="str">
        <f>IFERROR(IF(compras_mes3[[#This Row],[CUIT]]="","-",VLOOKUP(compras_mes3[[#This Row],[CUIT]],Lista_CUIT[#All],3,0)),"CUIT NO CARGADO")</f>
        <v>Servicios Gas, Luz, etc.</v>
      </c>
      <c r="R177" s="302">
        <f>IFERROR(IF(compras_mes3[[#This Row],[CUIT]]="","-",VLOOKUP(compras_mes3[[#This Row],[CUIT]],Lista_CUIT[#All],4,0)),"CUIT NO CARGADO")</f>
        <v>0</v>
      </c>
    </row>
    <row r="178" spans="2:18" x14ac:dyDescent="0.25">
      <c r="B178" s="294" t="s">
        <v>2387</v>
      </c>
      <c r="C178" s="295">
        <v>1</v>
      </c>
      <c r="D178" s="296">
        <v>4264</v>
      </c>
      <c r="E178" s="462">
        <v>5093169</v>
      </c>
      <c r="F178" s="297">
        <v>30639453738</v>
      </c>
      <c r="G178" s="298" t="str">
        <f>IFERROR(IF(compras_mes3[[#This Row],[CUIT]]="","-",VLOOKUP(compras_mes3[[#This Row],[CUIT]],Lista_CUIT[#All],2,0)),"CUIT NO CARGADO")</f>
        <v>TELECOM ARG SA</v>
      </c>
      <c r="H178" s="299">
        <v>19010</v>
      </c>
      <c r="I178" s="300">
        <f>compras_mes3[[#This Row],[NETO GRAVADO]]*0.21</f>
        <v>3992.1</v>
      </c>
      <c r="J178" s="300"/>
      <c r="K178" s="300"/>
      <c r="L178" s="300"/>
      <c r="M178" s="300"/>
      <c r="N178" s="300">
        <v>570.29999999999995</v>
      </c>
      <c r="O178" s="300"/>
      <c r="P178" s="301">
        <f>SUM(compras_mes3[[#This Row],[NETO GRAVADO]:[Otros / No Grav.]])</f>
        <v>23572.399999999998</v>
      </c>
      <c r="Q178" s="302" t="str">
        <f>IFERROR(IF(compras_mes3[[#This Row],[CUIT]]="","-",VLOOKUP(compras_mes3[[#This Row],[CUIT]],Lista_CUIT[#All],3,0)),"CUIT NO CARGADO")</f>
        <v>Servicios Gas, Luz, etc.</v>
      </c>
      <c r="R178" s="302">
        <f>IFERROR(IF(compras_mes3[[#This Row],[CUIT]]="","-",VLOOKUP(compras_mes3[[#This Row],[CUIT]],Lista_CUIT[#All],4,0)),"CUIT NO CARGADO")</f>
        <v>0</v>
      </c>
    </row>
    <row r="179" spans="2:18" x14ac:dyDescent="0.25">
      <c r="B179" s="294" t="s">
        <v>2397</v>
      </c>
      <c r="C179" s="295">
        <v>1</v>
      </c>
      <c r="D179" s="296">
        <v>3099</v>
      </c>
      <c r="E179" s="462">
        <v>394007</v>
      </c>
      <c r="F179" s="297">
        <v>30678814357</v>
      </c>
      <c r="G179" s="298" t="str">
        <f>IFERROR(IF(compras_mes3[[#This Row],[CUIT]]="","-",VLOOKUP(compras_mes3[[#This Row],[CUIT]],Lista_CUIT[#All],2,0)),"CUIT NO CARGADO")</f>
        <v>TELEFONICA MOVILES ARG</v>
      </c>
      <c r="H179" s="299">
        <v>35610</v>
      </c>
      <c r="I179" s="300"/>
      <c r="J179" s="300">
        <f>compras_mes3[[#This Row],[NETO GRAVADO]]*0.27</f>
        <v>9614.7000000000007</v>
      </c>
      <c r="K179" s="300"/>
      <c r="L179" s="300">
        <v>1068.3</v>
      </c>
      <c r="M179" s="300"/>
      <c r="N179" s="300">
        <v>2136.6</v>
      </c>
      <c r="O179" s="300"/>
      <c r="P179" s="301">
        <f>SUM(compras_mes3[[#This Row],[NETO GRAVADO]:[Otros / No Grav.]])</f>
        <v>48429.599999999999</v>
      </c>
      <c r="Q179" s="302" t="str">
        <f>IFERROR(IF(compras_mes3[[#This Row],[CUIT]]="","-",VLOOKUP(compras_mes3[[#This Row],[CUIT]],Lista_CUIT[#All],3,0)),"CUIT NO CARGADO")</f>
        <v>Servicios Gas, Luz, etc.</v>
      </c>
      <c r="R179" s="302">
        <f>IFERROR(IF(compras_mes3[[#This Row],[CUIT]]="","-",VLOOKUP(compras_mes3[[#This Row],[CUIT]],Lista_CUIT[#All],4,0)),"CUIT NO CARGADO")</f>
        <v>0</v>
      </c>
    </row>
    <row r="180" spans="2:18" x14ac:dyDescent="0.25">
      <c r="B180" s="294" t="s">
        <v>2402</v>
      </c>
      <c r="C180" s="295">
        <v>1</v>
      </c>
      <c r="D180" s="296">
        <v>3101</v>
      </c>
      <c r="E180" s="462">
        <v>266789</v>
      </c>
      <c r="F180" s="297">
        <v>30678814357</v>
      </c>
      <c r="G180" s="298" t="str">
        <f>IFERROR(IF(compras_mes3[[#This Row],[CUIT]]="","-",VLOOKUP(compras_mes3[[#This Row],[CUIT]],Lista_CUIT[#All],2,0)),"CUIT NO CARGADO")</f>
        <v>TELEFONICA MOVILES ARG</v>
      </c>
      <c r="H180" s="299">
        <v>16397.400000000001</v>
      </c>
      <c r="I180" s="300"/>
      <c r="J180" s="300">
        <f>compras_mes3[[#This Row],[NETO GRAVADO]]*0.27</f>
        <v>4427.2980000000007</v>
      </c>
      <c r="K180" s="300"/>
      <c r="L180" s="300">
        <v>491.92</v>
      </c>
      <c r="M180" s="300"/>
      <c r="N180" s="300">
        <v>983.84</v>
      </c>
      <c r="O180" s="300"/>
      <c r="P180" s="301">
        <f>SUM(compras_mes3[[#This Row],[NETO GRAVADO]:[Otros / No Grav.]])</f>
        <v>22300.458000000002</v>
      </c>
      <c r="Q180" s="302" t="str">
        <f>IFERROR(IF(compras_mes3[[#This Row],[CUIT]]="","-",VLOOKUP(compras_mes3[[#This Row],[CUIT]],Lista_CUIT[#All],3,0)),"CUIT NO CARGADO")</f>
        <v>Servicios Gas, Luz, etc.</v>
      </c>
      <c r="R180" s="302">
        <f>IFERROR(IF(compras_mes3[[#This Row],[CUIT]]="","-",VLOOKUP(compras_mes3[[#This Row],[CUIT]],Lista_CUIT[#All],4,0)),"CUIT NO CARGADO")</f>
        <v>0</v>
      </c>
    </row>
    <row r="181" spans="2:18" s="56" customFormat="1" ht="18.600000000000001" customHeight="1" x14ac:dyDescent="0.25">
      <c r="B181" s="294" t="s">
        <v>2399</v>
      </c>
      <c r="C181" s="295">
        <v>1</v>
      </c>
      <c r="D181" s="296">
        <v>3</v>
      </c>
      <c r="E181" s="462">
        <v>30761</v>
      </c>
      <c r="F181" s="297">
        <v>33707953549</v>
      </c>
      <c r="G181" s="298" t="str">
        <f>IFERROR(IF(compras_mes3[[#This Row],[CUIT]]="","-",VLOOKUP(compras_mes3[[#This Row],[CUIT]],Lista_CUIT[#All],2,0)),"CUIT NO CARGADO")</f>
        <v>TELESMART</v>
      </c>
      <c r="H181" s="299">
        <v>19500</v>
      </c>
      <c r="I181" s="300">
        <f>compras_mes3[[#This Row],[NETO GRAVADO]]*0.21</f>
        <v>4095</v>
      </c>
      <c r="J181" s="300"/>
      <c r="K181" s="300"/>
      <c r="L181" s="300"/>
      <c r="M181" s="300"/>
      <c r="N181" s="300"/>
      <c r="O181" s="300"/>
      <c r="P181" s="301">
        <f>SUM(compras_mes3[[#This Row],[NETO GRAVADO]:[Otros / No Grav.]])</f>
        <v>23595</v>
      </c>
      <c r="Q181" s="302" t="str">
        <f>IFERROR(IF(compras_mes3[[#This Row],[CUIT]]="","-",VLOOKUP(compras_mes3[[#This Row],[CUIT]],Lista_CUIT[#All],3,0)),"CUIT NO CARGADO")</f>
        <v>Servicios Gas, Luz, etc.</v>
      </c>
      <c r="R181" s="302">
        <f>IFERROR(IF(compras_mes3[[#This Row],[CUIT]]="","-",VLOOKUP(compras_mes3[[#This Row],[CUIT]],Lista_CUIT[#All],4,0)),"CUIT NO CARGADO")</f>
        <v>0</v>
      </c>
    </row>
    <row r="182" spans="2:18" x14ac:dyDescent="0.25">
      <c r="B182" s="294" t="s">
        <v>2385</v>
      </c>
      <c r="C182" s="295">
        <v>1</v>
      </c>
      <c r="D182" s="296">
        <v>1</v>
      </c>
      <c r="E182" s="462">
        <v>141</v>
      </c>
      <c r="F182" s="297">
        <v>30718148207</v>
      </c>
      <c r="G182" s="298" t="str">
        <f>IFERROR(IF(compras_mes3[[#This Row],[CUIT]]="","-",VLOOKUP(compras_mes3[[#This Row],[CUIT]],Lista_CUIT[#All],2,0)),"CUIT NO CARGADO")</f>
        <v>VIPA INTERNATIONAL S.R.L.</v>
      </c>
      <c r="H182" s="299">
        <v>3550000</v>
      </c>
      <c r="I182" s="300">
        <f>compras_mes3[[#This Row],[NETO GRAVADO]]*0.21</f>
        <v>745500</v>
      </c>
      <c r="J182" s="300"/>
      <c r="K182" s="300"/>
      <c r="L182" s="300"/>
      <c r="M182" s="300"/>
      <c r="N182" s="300"/>
      <c r="O182" s="300"/>
      <c r="P182" s="301">
        <f>SUM(compras_mes3[[#This Row],[NETO GRAVADO]:[Otros / No Grav.]])</f>
        <v>4295500</v>
      </c>
      <c r="Q182" s="302" t="str">
        <f>IFERROR(IF(compras_mes3[[#This Row],[CUIT]]="","-",VLOOKUP(compras_mes3[[#This Row],[CUIT]],Lista_CUIT[#All],3,0)),"CUIT NO CARGADO")</f>
        <v>Productos Venta</v>
      </c>
      <c r="R182" s="302">
        <f>IFERROR(IF(compras_mes3[[#This Row],[CUIT]]="","-",VLOOKUP(compras_mes3[[#This Row],[CUIT]],Lista_CUIT[#All],4,0)),"CUIT NO CARGADO")</f>
        <v>0</v>
      </c>
    </row>
    <row r="183" spans="2:18" x14ac:dyDescent="0.25">
      <c r="B183" s="294" t="s">
        <v>2407</v>
      </c>
      <c r="C183" s="295">
        <v>1</v>
      </c>
      <c r="D183" s="296">
        <v>1</v>
      </c>
      <c r="E183" s="462">
        <v>142</v>
      </c>
      <c r="F183" s="297">
        <v>30718148207</v>
      </c>
      <c r="G183" s="298" t="str">
        <f>IFERROR(IF(compras_mes3[[#This Row],[CUIT]]="","-",VLOOKUP(compras_mes3[[#This Row],[CUIT]],Lista_CUIT[#All],2,0)),"CUIT NO CARGADO")</f>
        <v>VIPA INTERNATIONAL S.R.L.</v>
      </c>
      <c r="H183" s="299">
        <v>2511250</v>
      </c>
      <c r="I183" s="300">
        <f>compras_mes3[[#This Row],[NETO GRAVADO]]*0.21</f>
        <v>527362.5</v>
      </c>
      <c r="J183" s="300"/>
      <c r="K183" s="300"/>
      <c r="L183" s="300"/>
      <c r="M183" s="300"/>
      <c r="N183" s="300"/>
      <c r="O183" s="300"/>
      <c r="P183" s="301">
        <f>SUM(compras_mes3[[#This Row],[NETO GRAVADO]:[Otros / No Grav.]])</f>
        <v>3038612.5</v>
      </c>
      <c r="Q183" s="302" t="str">
        <f>IFERROR(IF(compras_mes3[[#This Row],[CUIT]]="","-",VLOOKUP(compras_mes3[[#This Row],[CUIT]],Lista_CUIT[#All],3,0)),"CUIT NO CARGADO")</f>
        <v>Productos Venta</v>
      </c>
      <c r="R183" s="302">
        <f>IFERROR(IF(compras_mes3[[#This Row],[CUIT]]="","-",VLOOKUP(compras_mes3[[#This Row],[CUIT]],Lista_CUIT[#All],4,0)),"CUIT NO CARGADO")</f>
        <v>0</v>
      </c>
    </row>
    <row r="184" spans="2:18" x14ac:dyDescent="0.25">
      <c r="B184" s="294" t="s">
        <v>2403</v>
      </c>
      <c r="C184" s="295">
        <v>1</v>
      </c>
      <c r="D184" s="296">
        <v>1</v>
      </c>
      <c r="E184" s="462">
        <v>140</v>
      </c>
      <c r="F184" s="297">
        <v>30718148207</v>
      </c>
      <c r="G184" s="298" t="str">
        <f>IFERROR(IF(compras_mes3[[#This Row],[CUIT]]="","-",VLOOKUP(compras_mes3[[#This Row],[CUIT]],Lista_CUIT[#All],2,0)),"CUIT NO CARGADO")</f>
        <v>VIPA INTERNATIONAL S.R.L.</v>
      </c>
      <c r="H184" s="299">
        <v>1800000</v>
      </c>
      <c r="I184" s="300">
        <f>compras_mes3[[#This Row],[NETO GRAVADO]]*0.21</f>
        <v>378000</v>
      </c>
      <c r="J184" s="300"/>
      <c r="K184" s="300"/>
      <c r="L184" s="300"/>
      <c r="M184" s="300"/>
      <c r="N184" s="300"/>
      <c r="O184" s="300"/>
      <c r="P184" s="301">
        <f>SUM(compras_mes3[[#This Row],[NETO GRAVADO]:[Otros / No Grav.]])</f>
        <v>2178000</v>
      </c>
      <c r="Q184" s="302" t="str">
        <f>IFERROR(IF(compras_mes3[[#This Row],[CUIT]]="","-",VLOOKUP(compras_mes3[[#This Row],[CUIT]],Lista_CUIT[#All],3,0)),"CUIT NO CARGADO")</f>
        <v>Productos Venta</v>
      </c>
      <c r="R184" s="302">
        <f>IFERROR(IF(compras_mes3[[#This Row],[CUIT]]="","-",VLOOKUP(compras_mes3[[#This Row],[CUIT]],Lista_CUIT[#All],4,0)),"CUIT NO CARGADO")</f>
        <v>0</v>
      </c>
    </row>
    <row r="185" spans="2:18" ht="15" customHeight="1" x14ac:dyDescent="0.25">
      <c r="B185" s="294" t="s">
        <v>2399</v>
      </c>
      <c r="C185" s="295">
        <v>1</v>
      </c>
      <c r="D185" s="296">
        <v>11</v>
      </c>
      <c r="E185" s="462">
        <v>18338</v>
      </c>
      <c r="F185" s="297">
        <v>30717193926</v>
      </c>
      <c r="G185" s="298" t="str">
        <f>IFERROR(IF(compras_mes3[[#This Row],[CUIT]]="","-",VLOOKUP(compras_mes3[[#This Row],[CUIT]],Lista_CUIT[#All],2,0)),"CUIT NO CARGADO")</f>
        <v>WORLD ONE TRADE</v>
      </c>
      <c r="H185" s="299">
        <v>193128</v>
      </c>
      <c r="I185" s="300">
        <f>compras_mes3[[#This Row],[NETO GRAVADO]]*0.21</f>
        <v>40556.879999999997</v>
      </c>
      <c r="J185" s="300"/>
      <c r="K185" s="300"/>
      <c r="L185" s="300"/>
      <c r="M185" s="300"/>
      <c r="N185" s="300"/>
      <c r="O185" s="300"/>
      <c r="P185" s="301">
        <f>SUM(compras_mes3[[#This Row],[NETO GRAVADO]:[Otros / No Grav.]])</f>
        <v>233684.88</v>
      </c>
      <c r="Q185" s="302" t="str">
        <f>IFERROR(IF(compras_mes3[[#This Row],[CUIT]]="","-",VLOOKUP(compras_mes3[[#This Row],[CUIT]],Lista_CUIT[#All],3,0)),"CUIT NO CARGADO")</f>
        <v>Gastos Varios</v>
      </c>
      <c r="R185" s="302">
        <f>IFERROR(IF(compras_mes3[[#This Row],[CUIT]]="","-",VLOOKUP(compras_mes3[[#This Row],[CUIT]],Lista_CUIT[#All],4,0)),"CUIT NO CARGADO")</f>
        <v>0</v>
      </c>
    </row>
    <row r="186" spans="2:18" x14ac:dyDescent="0.25">
      <c r="B186" s="95" t="s">
        <v>103</v>
      </c>
      <c r="C186" s="95"/>
      <c r="D186" s="95"/>
      <c r="E186" s="95"/>
      <c r="F186" s="95"/>
      <c r="G186" s="96"/>
      <c r="H186" s="97">
        <f>SUBTOTAL(109,compras_mes3[NETO GRAVADO])</f>
        <v>77085576.456249997</v>
      </c>
      <c r="I186" s="97">
        <f>SUBTOTAL(109,compras_mes3[IVA 21 %])</f>
        <v>15008267.825040525</v>
      </c>
      <c r="J186" s="97">
        <f>SUBTOTAL(109,compras_mes3[IVA 27%])</f>
        <v>198033.38731396516</v>
      </c>
      <c r="K186" s="97">
        <f>SUBTOTAL(109,compras_mes3[IVA 10,5%])</f>
        <v>512838.67162500008</v>
      </c>
      <c r="L186" s="97">
        <f>SUBTOTAL(109,compras_mes3[PERC. IVA])</f>
        <v>90006.149853515628</v>
      </c>
      <c r="M186" s="97">
        <f>SUBTOTAL(109,compras_mes3[PERC IIBB 
BS AS])</f>
        <v>137904.21000000002</v>
      </c>
      <c r="N186" s="97">
        <f>SUBTOTAL(109,compras_mes3[PERC. IIBB CABA])</f>
        <v>127984.43999999999</v>
      </c>
      <c r="O186" s="97">
        <f>SUBTOTAL(109,compras_mes3[Otros / No Grav.])</f>
        <v>309602.42924804689</v>
      </c>
      <c r="P186" s="97">
        <f>SUBTOTAL(109,compras_mes3[TOTAL])</f>
        <v>93470213.56933105</v>
      </c>
      <c r="Q186" s="95"/>
      <c r="R186" s="95"/>
    </row>
    <row r="187" spans="2:18" x14ac:dyDescent="0.25">
      <c r="B187" s="40"/>
      <c r="C187" s="41"/>
      <c r="D187" s="42"/>
      <c r="E187" s="43"/>
      <c r="F187" s="44"/>
      <c r="G187" s="45"/>
      <c r="H187" s="46"/>
      <c r="I187" s="47"/>
      <c r="J187" s="47"/>
      <c r="K187" s="47"/>
      <c r="L187" s="47"/>
      <c r="M187" s="47"/>
      <c r="N187" s="47"/>
      <c r="O187" s="47"/>
      <c r="P187" s="48"/>
      <c r="Q187" s="292"/>
      <c r="R187" s="49"/>
    </row>
    <row r="188" spans="2:18" ht="21" x14ac:dyDescent="0.25">
      <c r="D188" s="581" t="s">
        <v>15</v>
      </c>
      <c r="E188" s="581"/>
      <c r="F188" s="581"/>
      <c r="G188" s="581"/>
      <c r="H188" s="581"/>
      <c r="I188" s="581"/>
      <c r="J188" s="581"/>
      <c r="K188" s="581"/>
      <c r="L188" s="581"/>
      <c r="O188" s="33">
        <v>77395178.885498047</v>
      </c>
    </row>
    <row r="189" spans="2:18" ht="15.75" x14ac:dyDescent="0.25">
      <c r="D189" s="73" t="s">
        <v>0</v>
      </c>
      <c r="E189" s="74" t="s">
        <v>26</v>
      </c>
      <c r="F189" s="74" t="s">
        <v>16</v>
      </c>
      <c r="G189" s="74" t="s">
        <v>5</v>
      </c>
      <c r="H189" s="74" t="s">
        <v>17</v>
      </c>
      <c r="I189" s="74" t="s">
        <v>7</v>
      </c>
      <c r="J189" s="75" t="s">
        <v>18</v>
      </c>
      <c r="K189" s="75" t="s">
        <v>19</v>
      </c>
      <c r="L189" s="76" t="s">
        <v>20</v>
      </c>
      <c r="O189" s="186">
        <f>-compras_mes3[[#Totals],[NETO GRAVADO]]</f>
        <v>-77085576.456249997</v>
      </c>
    </row>
    <row r="190" spans="2:18" x14ac:dyDescent="0.25">
      <c r="D190" s="414"/>
      <c r="E190" s="415"/>
      <c r="F190" t="s">
        <v>2412</v>
      </c>
      <c r="G190" s="416">
        <v>696054.94095238089</v>
      </c>
      <c r="H190" s="416">
        <v>98736.680799999987</v>
      </c>
      <c r="I190" s="416">
        <v>23717.429699999997</v>
      </c>
      <c r="J190" s="416">
        <v>1295910.6699999997</v>
      </c>
      <c r="K190" s="417"/>
      <c r="L190" s="418"/>
      <c r="O190" s="186">
        <f>SUM(I202:I207)*-1</f>
        <v>-2397656</v>
      </c>
    </row>
    <row r="191" spans="2:18" x14ac:dyDescent="0.25">
      <c r="D191" s="414"/>
      <c r="E191" s="415"/>
      <c r="F191" t="s">
        <v>115</v>
      </c>
      <c r="G191" s="416">
        <v>210448.87</v>
      </c>
      <c r="H191" s="416">
        <v>41941.724999999999</v>
      </c>
      <c r="I191" s="416">
        <v>1126.2688499999999</v>
      </c>
      <c r="J191" s="416">
        <v>5263.58</v>
      </c>
      <c r="K191" s="417">
        <v>5999.26</v>
      </c>
      <c r="L191" s="418"/>
    </row>
    <row r="192" spans="2:18" x14ac:dyDescent="0.25">
      <c r="D192" s="414"/>
      <c r="E192" s="415"/>
      <c r="F192" t="s">
        <v>2113</v>
      </c>
      <c r="G192" s="416">
        <v>5619.83</v>
      </c>
      <c r="H192" s="416">
        <v>1379.13</v>
      </c>
      <c r="I192" s="416">
        <v>483.49</v>
      </c>
      <c r="J192" s="416">
        <v>18270.27</v>
      </c>
      <c r="K192" s="417">
        <v>266.09000000000003</v>
      </c>
      <c r="L192" s="418"/>
    </row>
    <row r="193" spans="4:12" x14ac:dyDescent="0.25">
      <c r="D193" s="414"/>
      <c r="E193" s="415"/>
      <c r="F193" t="s">
        <v>1582</v>
      </c>
      <c r="G193" s="416"/>
      <c r="H193" s="416">
        <f>extracto_banco_mes3[[#This Row],[NETO]]*0.21</f>
        <v>0</v>
      </c>
      <c r="I193" s="416"/>
      <c r="J193" s="416"/>
      <c r="K193" s="417"/>
      <c r="L193" s="418"/>
    </row>
    <row r="194" spans="4:12" x14ac:dyDescent="0.25">
      <c r="D194" s="414"/>
      <c r="E194" s="415"/>
      <c r="F194" t="s">
        <v>2413</v>
      </c>
      <c r="G194" s="416">
        <v>559857.81999999995</v>
      </c>
      <c r="H194" s="416">
        <f>extracto_banco_mes3[[#This Row],[NETO]]*0.21</f>
        <v>117570.14219999999</v>
      </c>
      <c r="I194" s="416"/>
      <c r="J194" s="416">
        <v>676385.06</v>
      </c>
      <c r="K194" s="417"/>
      <c r="L194" s="418"/>
    </row>
    <row r="195" spans="4:12" x14ac:dyDescent="0.25">
      <c r="D195" s="414"/>
      <c r="E195" s="415"/>
      <c r="F195" t="s">
        <v>116</v>
      </c>
      <c r="G195" s="416">
        <v>38023.769999999997</v>
      </c>
      <c r="H195" s="416">
        <v>7980</v>
      </c>
      <c r="I195" s="416">
        <v>2.4958499999999999</v>
      </c>
      <c r="J195" s="416"/>
      <c r="K195" s="417">
        <v>1140</v>
      </c>
      <c r="L195" s="418"/>
    </row>
    <row r="196" spans="4:12" x14ac:dyDescent="0.25">
      <c r="D196" s="414"/>
      <c r="E196" s="415"/>
      <c r="F196" t="s">
        <v>2414</v>
      </c>
      <c r="G196" s="416">
        <v>3966.94</v>
      </c>
      <c r="H196" s="416">
        <f>extracto_banco_mes3[[#This Row],[NETO]]*0.21</f>
        <v>833.05740000000003</v>
      </c>
      <c r="I196" s="416"/>
      <c r="J196" s="416">
        <v>214.13</v>
      </c>
      <c r="K196" s="417">
        <v>119.01</v>
      </c>
      <c r="L196" s="418"/>
    </row>
    <row r="197" spans="4:12" x14ac:dyDescent="0.25">
      <c r="D197" s="414"/>
      <c r="E197" s="415"/>
      <c r="F197" t="s">
        <v>1718</v>
      </c>
      <c r="G197" s="416"/>
      <c r="H197" s="416">
        <f>extracto_banco_mes3[[#This Row],[NETO]]*0.21</f>
        <v>0</v>
      </c>
      <c r="I197" s="416"/>
      <c r="J197" s="416"/>
      <c r="K197" s="417"/>
      <c r="L197" s="418"/>
    </row>
    <row r="198" spans="4:12" x14ac:dyDescent="0.25">
      <c r="D198" s="82" t="s">
        <v>103</v>
      </c>
      <c r="E198" s="80"/>
      <c r="F198" s="80"/>
      <c r="G198" s="400">
        <f>SUBTOTAL(109,extracto_banco_mes3[NETO])</f>
        <v>1513972.1709523806</v>
      </c>
      <c r="H198" s="400">
        <f>SUBTOTAL(109,extracto_banco_mes3[IVA 21%])</f>
        <v>268440.73539999995</v>
      </c>
      <c r="I198" s="400">
        <f>SUBTOTAL(109,extracto_banco_mes3[IVA 10,5%])</f>
        <v>25329.684399999998</v>
      </c>
      <c r="J198" s="400">
        <f>SUBTOTAL(109,extracto_banco_mes3[RET IIBB CABA])</f>
        <v>1996043.7099999997</v>
      </c>
      <c r="K198" s="400">
        <f>SUBTOTAL(109,extracto_banco_mes3[PERC IVA])</f>
        <v>7524.3600000000006</v>
      </c>
      <c r="L198" s="83">
        <f>SUBTOTAL(109,extracto_banco_mes3[PERC IIBB])</f>
        <v>0</v>
      </c>
    </row>
    <row r="199" spans="4:12" x14ac:dyDescent="0.25">
      <c r="D199" s="175"/>
      <c r="E199" s="176"/>
      <c r="F199" s="176"/>
      <c r="H199" s="177"/>
      <c r="I199" s="293"/>
      <c r="J199" s="177"/>
      <c r="K199" s="177"/>
      <c r="L199" s="177"/>
    </row>
    <row r="200" spans="4:12" ht="21" x14ac:dyDescent="0.25">
      <c r="D200" s="581" t="s">
        <v>25</v>
      </c>
      <c r="E200" s="581"/>
      <c r="F200" s="581"/>
      <c r="G200" s="581"/>
      <c r="H200" s="581"/>
      <c r="I200" s="581"/>
      <c r="J200" s="581"/>
      <c r="K200" s="581"/>
    </row>
    <row r="201" spans="4:12" ht="18" customHeight="1" x14ac:dyDescent="0.25">
      <c r="D201" s="51" t="s">
        <v>0</v>
      </c>
      <c r="E201" s="51" t="s">
        <v>2</v>
      </c>
      <c r="F201" s="51" t="s">
        <v>74</v>
      </c>
      <c r="G201" s="51" t="s">
        <v>3</v>
      </c>
      <c r="H201" s="51" t="s">
        <v>4</v>
      </c>
      <c r="I201" s="52" t="s">
        <v>10</v>
      </c>
      <c r="J201" s="51" t="s">
        <v>13</v>
      </c>
      <c r="K201" s="51" t="s">
        <v>38</v>
      </c>
    </row>
    <row r="202" spans="4:12" ht="18" customHeight="1" x14ac:dyDescent="0.25">
      <c r="D202" s="50" t="s">
        <v>2387</v>
      </c>
      <c r="E202" s="42">
        <v>1</v>
      </c>
      <c r="F202" s="43">
        <v>111</v>
      </c>
      <c r="G202" s="409">
        <v>20299505430</v>
      </c>
      <c r="H202" s="410" t="str">
        <f>IFERROR(IF(factura_c_mes3[[#This Row],[CUIT]]="","-",VLOOKUP(factura_c_mes3[[#This Row],[CUIT]],Lista_CUIT[#All],2,0)),"CUIT NO CARGADO")</f>
        <v>PRADO EMILIANO HERNAN</v>
      </c>
      <c r="I202" s="411">
        <v>707695</v>
      </c>
      <c r="J202" s="412" t="str">
        <f>IFERROR(IF(factura_c_mes3[[#This Row],[CUIT]]="","-",VLOOKUP(factura_c_mes3[[#This Row],[CUIT]],Lista_CUIT[#All],3,0)),"CUIT NO CARGADO")</f>
        <v>Material de Empaque</v>
      </c>
      <c r="K202" s="412">
        <f>IFERROR(IF(factura_c_mes3[[#This Row],[CUIT]]="","-",VLOOKUP(factura_c_mes3[[#This Row],[CUIT]],Lista_CUIT[#All],4,0)),"CUIT NO CARGADO")</f>
        <v>0</v>
      </c>
    </row>
    <row r="203" spans="4:12" ht="18" customHeight="1" x14ac:dyDescent="0.25">
      <c r="D203" s="50" t="s">
        <v>2387</v>
      </c>
      <c r="E203" s="42">
        <v>2</v>
      </c>
      <c r="F203" s="43">
        <v>409</v>
      </c>
      <c r="G203" s="409">
        <v>20300814094</v>
      </c>
      <c r="H203" s="410" t="str">
        <f>IFERROR(IF(factura_c_mes3[[#This Row],[CUIT]]="","-",VLOOKUP(factura_c_mes3[[#This Row],[CUIT]],Lista_CUIT[#All],2,0)),"CUIT NO CARGADO")</f>
        <v>FARRAPEIRA OSCAR MAXIMO</v>
      </c>
      <c r="I203" s="411">
        <v>742500</v>
      </c>
      <c r="J203" s="412" t="str">
        <f>IFERROR(IF(factura_c_mes3[[#This Row],[CUIT]]="","-",VLOOKUP(factura_c_mes3[[#This Row],[CUIT]],Lista_CUIT[#All],3,0)),"CUIT NO CARGADO")</f>
        <v>Material de Empaque</v>
      </c>
      <c r="K203" s="412">
        <f>IFERROR(IF(factura_c_mes3[[#This Row],[CUIT]]="","-",VLOOKUP(factura_c_mes3[[#This Row],[CUIT]],Lista_CUIT[#All],4,0)),"CUIT NO CARGADO")</f>
        <v>0</v>
      </c>
    </row>
    <row r="204" spans="4:12" ht="18" customHeight="1" x14ac:dyDescent="0.25">
      <c r="D204" s="461" t="s">
        <v>2389</v>
      </c>
      <c r="E204" s="395">
        <v>8</v>
      </c>
      <c r="F204" s="395">
        <v>1035</v>
      </c>
      <c r="G204" s="396">
        <v>27409592487</v>
      </c>
      <c r="H204" s="397" t="str">
        <f>IFERROR(IF(factura_c_mes3[[#This Row],[CUIT]]="","-",VLOOKUP(factura_c_mes3[[#This Row],[CUIT]],Lista_CUIT[#All],2,0)),"CUIT NO CARGADO")</f>
        <v>BAUDONE ANTONELLA AGOSTINA</v>
      </c>
      <c r="I204" s="398">
        <v>424000</v>
      </c>
      <c r="J204" s="399" t="str">
        <f>IFERROR(IF(factura_c_mes3[[#This Row],[CUIT]]="","-",VLOOKUP(factura_c_mes3[[#This Row],[CUIT]],Lista_CUIT[#All],3,0)),"CUIT NO CARGADO")</f>
        <v>Material de Empaque</v>
      </c>
      <c r="K204" s="399">
        <f>IFERROR(IF(factura_c_mes3[[#This Row],[CUIT]]="","-",VLOOKUP(factura_c_mes3[[#This Row],[CUIT]],Lista_CUIT[#All],4,0)),"CUIT NO CARGADO")</f>
        <v>0</v>
      </c>
    </row>
    <row r="205" spans="4:12" ht="18" customHeight="1" x14ac:dyDescent="0.25">
      <c r="D205" s="461" t="s">
        <v>2391</v>
      </c>
      <c r="E205" s="395">
        <v>2</v>
      </c>
      <c r="F205" s="395">
        <v>410</v>
      </c>
      <c r="G205" s="396">
        <v>20300814094</v>
      </c>
      <c r="H205" s="397" t="str">
        <f>IFERROR(IF(factura_c_mes3[[#This Row],[CUIT]]="","-",VLOOKUP(factura_c_mes3[[#This Row],[CUIT]],Lista_CUIT[#All],2,0)),"CUIT NO CARGADO")</f>
        <v>FARRAPEIRA OSCAR MAXIMO</v>
      </c>
      <c r="I205" s="398">
        <v>349649</v>
      </c>
      <c r="J205" s="399" t="str">
        <f>IFERROR(IF(factura_c_mes3[[#This Row],[CUIT]]="","-",VLOOKUP(factura_c_mes3[[#This Row],[CUIT]],Lista_CUIT[#All],3,0)),"CUIT NO CARGADO")</f>
        <v>Material de Empaque</v>
      </c>
      <c r="K205" s="399">
        <f>IFERROR(IF(factura_c_mes3[[#This Row],[CUIT]]="","-",VLOOKUP(factura_c_mes3[[#This Row],[CUIT]],Lista_CUIT[#All],4,0)),"CUIT NO CARGADO")</f>
        <v>0</v>
      </c>
    </row>
    <row r="206" spans="4:12" ht="18" customHeight="1" x14ac:dyDescent="0.25">
      <c r="D206" s="461" t="s">
        <v>2392</v>
      </c>
      <c r="E206" s="395">
        <v>2</v>
      </c>
      <c r="F206" s="395">
        <v>411</v>
      </c>
      <c r="G206" s="396">
        <v>20300814094</v>
      </c>
      <c r="H206" s="397" t="str">
        <f>IFERROR(IF(factura_c_mes3[[#This Row],[CUIT]]="","-",VLOOKUP(factura_c_mes3[[#This Row],[CUIT]],Lista_CUIT[#All],2,0)),"CUIT NO CARGADO")</f>
        <v>FARRAPEIRA OSCAR MAXIMO</v>
      </c>
      <c r="I206" s="398">
        <v>79382</v>
      </c>
      <c r="J206" s="399" t="str">
        <f>IFERROR(IF(factura_c_mes3[[#This Row],[CUIT]]="","-",VLOOKUP(factura_c_mes3[[#This Row],[CUIT]],Lista_CUIT[#All],3,0)),"CUIT NO CARGADO")</f>
        <v>Material de Empaque</v>
      </c>
      <c r="K206" s="399">
        <f>IFERROR(IF(factura_c_mes3[[#This Row],[CUIT]]="","-",VLOOKUP(factura_c_mes3[[#This Row],[CUIT]],Lista_CUIT[#All],4,0)),"CUIT NO CARGADO")</f>
        <v>0</v>
      </c>
    </row>
    <row r="207" spans="4:12" ht="18" customHeight="1" x14ac:dyDescent="0.25">
      <c r="D207" s="461" t="s">
        <v>2392</v>
      </c>
      <c r="E207" s="395">
        <v>1</v>
      </c>
      <c r="F207" s="395">
        <v>112</v>
      </c>
      <c r="G207" s="396">
        <v>20299505430</v>
      </c>
      <c r="H207" s="397" t="str">
        <f>IFERROR(IF(factura_c_mes3[[#This Row],[CUIT]]="","-",VLOOKUP(factura_c_mes3[[#This Row],[CUIT]],Lista_CUIT[#All],2,0)),"CUIT NO CARGADO")</f>
        <v>PRADO EMILIANO HERNAN</v>
      </c>
      <c r="I207" s="398">
        <v>94430</v>
      </c>
      <c r="J207" s="399" t="str">
        <f>IFERROR(IF(factura_c_mes3[[#This Row],[CUIT]]="","-",VLOOKUP(factura_c_mes3[[#This Row],[CUIT]],Lista_CUIT[#All],3,0)),"CUIT NO CARGADO")</f>
        <v>Material de Empaque</v>
      </c>
      <c r="K207" s="399">
        <f>IFERROR(IF(factura_c_mes3[[#This Row],[CUIT]]="","-",VLOOKUP(factura_c_mes3[[#This Row],[CUIT]],Lista_CUIT[#All],4,0)),"CUIT NO CARGADO")</f>
        <v>0</v>
      </c>
    </row>
    <row r="208" spans="4:12" ht="18" customHeight="1" x14ac:dyDescent="0.25">
      <c r="D208" s="50" t="s">
        <v>2395</v>
      </c>
      <c r="E208" s="42">
        <v>2</v>
      </c>
      <c r="F208" s="43">
        <v>413</v>
      </c>
      <c r="G208" s="44">
        <v>20300814094</v>
      </c>
      <c r="H208" s="53" t="str">
        <f>IFERROR(IF(factura_c_mes3[[#This Row],[CUIT]]="","-",VLOOKUP(factura_c_mes3[[#This Row],[CUIT]],Lista_CUIT[#All],2,0)),"CUIT NO CARGADO")</f>
        <v>FARRAPEIRA OSCAR MAXIMO</v>
      </c>
      <c r="I208" s="81">
        <v>214679</v>
      </c>
      <c r="J208" s="54" t="str">
        <f>IFERROR(IF(factura_c_mes3[[#This Row],[CUIT]]="","-",VLOOKUP(factura_c_mes3[[#This Row],[CUIT]],Lista_CUIT[#All],3,0)),"CUIT NO CARGADO")</f>
        <v>Material de Empaque</v>
      </c>
      <c r="K208" s="54">
        <f>IFERROR(IF(factura_c_mes3[[#This Row],[CUIT]]="","-",VLOOKUP(factura_c_mes3[[#This Row],[CUIT]],Lista_CUIT[#All],4,0)),"CUIT NO CARGADO")</f>
        <v>0</v>
      </c>
    </row>
    <row r="209" spans="4:11" ht="18" customHeight="1" x14ac:dyDescent="0.25">
      <c r="D209" s="461" t="s">
        <v>2393</v>
      </c>
      <c r="E209" s="395">
        <v>1</v>
      </c>
      <c r="F209" s="395">
        <v>106</v>
      </c>
      <c r="G209" s="396">
        <v>20176922363</v>
      </c>
      <c r="H209" s="397" t="str">
        <f>IFERROR(IF(factura_c_mes3[[#This Row],[CUIT]]="","-",VLOOKUP(factura_c_mes3[[#This Row],[CUIT]],Lista_CUIT[#All],2,0)),"CUIT NO CARGADO")</f>
        <v>CASTILLO JUAN RAMON</v>
      </c>
      <c r="I209" s="398">
        <v>1000000</v>
      </c>
      <c r="J209" s="399" t="str">
        <f>IFERROR(IF(factura_c_mes3[[#This Row],[CUIT]]="","-",VLOOKUP(factura_c_mes3[[#This Row],[CUIT]],Lista_CUIT[#All],3,0)),"CUIT NO CARGADO")</f>
        <v>Honorarios Profesionales</v>
      </c>
      <c r="K209" s="399">
        <f>IFERROR(IF(factura_c_mes3[[#This Row],[CUIT]]="","-",VLOOKUP(factura_c_mes3[[#This Row],[CUIT]],Lista_CUIT[#All],4,0)),"CUIT NO CARGADO")</f>
        <v>0</v>
      </c>
    </row>
    <row r="210" spans="4:11" ht="18" customHeight="1" x14ac:dyDescent="0.25">
      <c r="D210" s="461" t="s">
        <v>2393</v>
      </c>
      <c r="E210" s="395">
        <v>2</v>
      </c>
      <c r="F210" s="395">
        <v>739</v>
      </c>
      <c r="G210" s="396">
        <v>27218690160</v>
      </c>
      <c r="H210" s="397" t="str">
        <f>IFERROR(IF(factura_c_mes3[[#This Row],[CUIT]]="","-",VLOOKUP(factura_c_mes3[[#This Row],[CUIT]],Lista_CUIT[#All],2,0)),"CUIT NO CARGADO")</f>
        <v>RAMIREZ LAURA VERONICA</v>
      </c>
      <c r="I210" s="398">
        <v>28500</v>
      </c>
      <c r="J210" s="399" t="str">
        <f>IFERROR(IF(factura_c_mes3[[#This Row],[CUIT]]="","-",VLOOKUP(factura_c_mes3[[#This Row],[CUIT]],Lista_CUIT[#All],3,0)),"CUIT NO CARGADO")</f>
        <v>Honorarios Profesionales</v>
      </c>
      <c r="K210" s="399">
        <f>IFERROR(IF(factura_c_mes3[[#This Row],[CUIT]]="","-",VLOOKUP(factura_c_mes3[[#This Row],[CUIT]],Lista_CUIT[#All],4,0)),"CUIT NO CARGADO")</f>
        <v>0</v>
      </c>
    </row>
    <row r="211" spans="4:11" ht="18" customHeight="1" x14ac:dyDescent="0.25">
      <c r="D211" s="461" t="s">
        <v>2394</v>
      </c>
      <c r="E211" s="395">
        <v>2</v>
      </c>
      <c r="F211" s="395">
        <v>741</v>
      </c>
      <c r="G211" s="396">
        <v>27218690160</v>
      </c>
      <c r="H211" s="397" t="str">
        <f>IFERROR(IF(factura_c_mes3[[#This Row],[CUIT]]="","-",VLOOKUP(factura_c_mes3[[#This Row],[CUIT]],Lista_CUIT[#All],2,0)),"CUIT NO CARGADO")</f>
        <v>RAMIREZ LAURA VERONICA</v>
      </c>
      <c r="I211" s="398">
        <v>28500</v>
      </c>
      <c r="J211" s="399" t="str">
        <f>IFERROR(IF(factura_c_mes3[[#This Row],[CUIT]]="","-",VLOOKUP(factura_c_mes3[[#This Row],[CUIT]],Lista_CUIT[#All],3,0)),"CUIT NO CARGADO")</f>
        <v>Honorarios Profesionales</v>
      </c>
      <c r="K211" s="399">
        <f>IFERROR(IF(factura_c_mes3[[#This Row],[CUIT]]="","-",VLOOKUP(factura_c_mes3[[#This Row],[CUIT]],Lista_CUIT[#All],4,0)),"CUIT NO CARGADO")</f>
        <v>0</v>
      </c>
    </row>
    <row r="212" spans="4:11" ht="18" customHeight="1" x14ac:dyDescent="0.25">
      <c r="D212" s="50" t="s">
        <v>2381</v>
      </c>
      <c r="E212" s="42">
        <v>3</v>
      </c>
      <c r="F212" s="43">
        <v>537</v>
      </c>
      <c r="G212" s="409">
        <v>20210551574</v>
      </c>
      <c r="H212" s="410" t="str">
        <f>IFERROR(IF(factura_c_mes3[[#This Row],[CUIT]]="","-",VLOOKUP(factura_c_mes3[[#This Row],[CUIT]],Lista_CUIT[#All],2,0)),"CUIT NO CARGADO")</f>
        <v>REUS JORGE DIEGO</v>
      </c>
      <c r="I212" s="411">
        <v>295000</v>
      </c>
      <c r="J212" s="412" t="str">
        <f>IFERROR(IF(factura_c_mes3[[#This Row],[CUIT]]="","-",VLOOKUP(factura_c_mes3[[#This Row],[CUIT]],Lista_CUIT[#All],3,0)),"CUIT NO CARGADO")</f>
        <v>Honorarios Legales</v>
      </c>
      <c r="K212" s="412">
        <f>IFERROR(IF(factura_c_mes3[[#This Row],[CUIT]]="","-",VLOOKUP(factura_c_mes3[[#This Row],[CUIT]],Lista_CUIT[#All],4,0)),"CUIT NO CARGADO")</f>
        <v>0</v>
      </c>
    </row>
    <row r="213" spans="4:11" ht="18" customHeight="1" x14ac:dyDescent="0.25">
      <c r="D213" s="50" t="s">
        <v>2381</v>
      </c>
      <c r="E213" s="42">
        <v>2</v>
      </c>
      <c r="F213" s="43">
        <v>374</v>
      </c>
      <c r="G213" s="409">
        <v>27206941419</v>
      </c>
      <c r="H213" s="410" t="str">
        <f>IFERROR(IF(factura_c_mes3[[#This Row],[CUIT]]="","-",VLOOKUP(factura_c_mes3[[#This Row],[CUIT]],Lista_CUIT[#All],2,0)),"CUIT NO CARGADO")</f>
        <v>DOBARRO PAULA MARCELA</v>
      </c>
      <c r="I213" s="411">
        <v>80000</v>
      </c>
      <c r="J213" s="412" t="str">
        <f>IFERROR(IF(factura_c_mes3[[#This Row],[CUIT]]="","-",VLOOKUP(factura_c_mes3[[#This Row],[CUIT]],Lista_CUIT[#All],3,0)),"CUIT NO CARGADO")</f>
        <v>Honorarios Contables</v>
      </c>
      <c r="K213" s="412">
        <f>IFERROR(IF(factura_c_mes3[[#This Row],[CUIT]]="","-",VLOOKUP(factura_c_mes3[[#This Row],[CUIT]],Lista_CUIT[#All],4,0)),"CUIT NO CARGADO")</f>
        <v>0</v>
      </c>
    </row>
    <row r="214" spans="4:11" ht="18" customHeight="1" x14ac:dyDescent="0.25">
      <c r="D214" s="50" t="s">
        <v>2381</v>
      </c>
      <c r="E214" s="42">
        <v>2</v>
      </c>
      <c r="F214" s="43">
        <v>329</v>
      </c>
      <c r="G214" s="409">
        <v>23319210954</v>
      </c>
      <c r="H214" s="410" t="str">
        <f>IFERROR(IF(factura_c_mes3[[#This Row],[CUIT]]="","-",VLOOKUP(factura_c_mes3[[#This Row],[CUIT]],Lista_CUIT[#All],2,0)),"CUIT NO CARGADO")</f>
        <v>CAFFARATTI ROMINA PAOLA</v>
      </c>
      <c r="I214" s="411">
        <v>294800</v>
      </c>
      <c r="J214" s="412" t="str">
        <f>IFERROR(IF(factura_c_mes3[[#This Row],[CUIT]]="","-",VLOOKUP(factura_c_mes3[[#This Row],[CUIT]],Lista_CUIT[#All],3,0)),"CUIT NO CARGADO")</f>
        <v>Honorarios Contables</v>
      </c>
      <c r="K214" s="412">
        <f>IFERROR(IF(factura_c_mes3[[#This Row],[CUIT]]="","-",VLOOKUP(factura_c_mes3[[#This Row],[CUIT]],Lista_CUIT[#All],4,0)),"CUIT NO CARGADO")</f>
        <v>0</v>
      </c>
    </row>
    <row r="215" spans="4:11" ht="18" customHeight="1" x14ac:dyDescent="0.25">
      <c r="D215" s="50" t="s">
        <v>2381</v>
      </c>
      <c r="E215" s="42">
        <v>3</v>
      </c>
      <c r="F215" s="43">
        <v>940</v>
      </c>
      <c r="G215" s="409">
        <v>20086277523</v>
      </c>
      <c r="H215" s="410" t="str">
        <f>IFERROR(IF(factura_c_mes3[[#This Row],[CUIT]]="","-",VLOOKUP(factura_c_mes3[[#This Row],[CUIT]],Lista_CUIT[#All],2,0)),"CUIT NO CARGADO")</f>
        <v>BOTINDARI JUAN CARLOS</v>
      </c>
      <c r="I215" s="411">
        <v>290000</v>
      </c>
      <c r="J215" s="412" t="str">
        <f>IFERROR(IF(factura_c_mes3[[#This Row],[CUIT]]="","-",VLOOKUP(factura_c_mes3[[#This Row],[CUIT]],Lista_CUIT[#All],3,0)),"CUIT NO CARGADO")</f>
        <v>Honorarios Contables</v>
      </c>
      <c r="K215" s="412">
        <f>IFERROR(IF(factura_c_mes3[[#This Row],[CUIT]]="","-",VLOOKUP(factura_c_mes3[[#This Row],[CUIT]],Lista_CUIT[#All],4,0)),"CUIT NO CARGADO")</f>
        <v>0</v>
      </c>
    </row>
    <row r="216" spans="4:11" ht="18" customHeight="1" x14ac:dyDescent="0.25">
      <c r="D216" s="50" t="s">
        <v>2382</v>
      </c>
      <c r="E216" s="42">
        <v>2</v>
      </c>
      <c r="F216" s="43">
        <v>7</v>
      </c>
      <c r="G216" s="409">
        <v>27226409799</v>
      </c>
      <c r="H216" s="410" t="str">
        <f>IFERROR(IF(factura_c_mes3[[#This Row],[CUIT]]="","-",VLOOKUP(factura_c_mes3[[#This Row],[CUIT]],Lista_CUIT[#All],2,0)),"CUIT NO CARGADO")</f>
        <v>CASTILLO BERTA YOLANDA</v>
      </c>
      <c r="I216" s="411">
        <v>792000</v>
      </c>
      <c r="J216" s="412" t="str">
        <f>IFERROR(IF(factura_c_mes3[[#This Row],[CUIT]]="","-",VLOOKUP(factura_c_mes3[[#This Row],[CUIT]],Lista_CUIT[#All],3,0)),"CUIT NO CARGADO")</f>
        <v>Honorarios Administrativos</v>
      </c>
      <c r="K216" s="412">
        <f>IFERROR(IF(factura_c_mes3[[#This Row],[CUIT]]="","-",VLOOKUP(factura_c_mes3[[#This Row],[CUIT]],Lista_CUIT[#All],4,0)),"CUIT NO CARGADO")</f>
        <v>0</v>
      </c>
    </row>
    <row r="217" spans="4:11" ht="18" customHeight="1" x14ac:dyDescent="0.25">
      <c r="D217" s="50" t="s">
        <v>2382</v>
      </c>
      <c r="E217" s="42">
        <v>2</v>
      </c>
      <c r="F217" s="43">
        <v>8</v>
      </c>
      <c r="G217" s="409">
        <v>27226409799</v>
      </c>
      <c r="H217" s="410" t="str">
        <f>IFERROR(IF(factura_c_mes3[[#This Row],[CUIT]]="","-",VLOOKUP(factura_c_mes3[[#This Row],[CUIT]],Lista_CUIT[#All],2,0)),"CUIT NO CARGADO")</f>
        <v>CASTILLO BERTA YOLANDA</v>
      </c>
      <c r="I217" s="411">
        <v>364000</v>
      </c>
      <c r="J217" s="412" t="str">
        <f>IFERROR(IF(factura_c_mes3[[#This Row],[CUIT]]="","-",VLOOKUP(factura_c_mes3[[#This Row],[CUIT]],Lista_CUIT[#All],3,0)),"CUIT NO CARGADO")</f>
        <v>Honorarios Administrativos</v>
      </c>
      <c r="K217" s="412">
        <f>IFERROR(IF(factura_c_mes3[[#This Row],[CUIT]]="","-",VLOOKUP(factura_c_mes3[[#This Row],[CUIT]],Lista_CUIT[#All],4,0)),"CUIT NO CARGADO")</f>
        <v>0</v>
      </c>
    </row>
    <row r="218" spans="4:11" ht="18" customHeight="1" x14ac:dyDescent="0.25">
      <c r="D218" s="50" t="s">
        <v>2383</v>
      </c>
      <c r="E218" s="42">
        <v>2</v>
      </c>
      <c r="F218" s="43">
        <v>5053</v>
      </c>
      <c r="G218" s="409">
        <v>20136536320</v>
      </c>
      <c r="H218" s="410" t="str">
        <f>IFERROR(IF(factura_c_mes3[[#This Row],[CUIT]]="","-",VLOOKUP(factura_c_mes3[[#This Row],[CUIT]],Lista_CUIT[#All],2,0)),"CUIT NO CARGADO")</f>
        <v>FONTENLA ERNESTO MARIO</v>
      </c>
      <c r="I218" s="411">
        <v>7800</v>
      </c>
      <c r="J218" s="412" t="str">
        <f>IFERROR(IF(factura_c_mes3[[#This Row],[CUIT]]="","-",VLOOKUP(factura_c_mes3[[#This Row],[CUIT]],Lista_CUIT[#All],3,0)),"CUIT NO CARGADO")</f>
        <v>Gastos Varios</v>
      </c>
      <c r="K218" s="412" t="str">
        <f>IFERROR(IF(factura_c_mes3[[#This Row],[CUIT]]="","-",VLOOKUP(factura_c_mes3[[#This Row],[CUIT]],Lista_CUIT[#All],4,0)),"CUIT NO CARGADO")</f>
        <v>CABA</v>
      </c>
    </row>
    <row r="219" spans="4:11" ht="18" customHeight="1" x14ac:dyDescent="0.25">
      <c r="D219" s="50" t="s">
        <v>2385</v>
      </c>
      <c r="E219" s="42">
        <v>2</v>
      </c>
      <c r="F219" s="43">
        <v>5078</v>
      </c>
      <c r="G219" s="409">
        <v>20136536320</v>
      </c>
      <c r="H219" s="410" t="str">
        <f>IFERROR(IF(factura_c_mes3[[#This Row],[CUIT]]="","-",VLOOKUP(factura_c_mes3[[#This Row],[CUIT]],Lista_CUIT[#All],2,0)),"CUIT NO CARGADO")</f>
        <v>FONTENLA ERNESTO MARIO</v>
      </c>
      <c r="I219" s="411">
        <v>14000</v>
      </c>
      <c r="J219" s="412" t="str">
        <f>IFERROR(IF(factura_c_mes3[[#This Row],[CUIT]]="","-",VLOOKUP(factura_c_mes3[[#This Row],[CUIT]],Lista_CUIT[#All],3,0)),"CUIT NO CARGADO")</f>
        <v>Gastos Varios</v>
      </c>
      <c r="K219" s="412" t="str">
        <f>IFERROR(IF(factura_c_mes3[[#This Row],[CUIT]]="","-",VLOOKUP(factura_c_mes3[[#This Row],[CUIT]],Lista_CUIT[#All],4,0)),"CUIT NO CARGADO")</f>
        <v>CABA</v>
      </c>
    </row>
    <row r="220" spans="4:11" x14ac:dyDescent="0.25">
      <c r="D220" s="50" t="s">
        <v>2386</v>
      </c>
      <c r="E220" s="42">
        <v>3</v>
      </c>
      <c r="F220" s="43">
        <v>1678</v>
      </c>
      <c r="G220" s="409">
        <v>20173025557</v>
      </c>
      <c r="H220" s="410" t="str">
        <f>IFERROR(IF(factura_c_mes3[[#This Row],[CUIT]]="","-",VLOOKUP(factura_c_mes3[[#This Row],[CUIT]],Lista_CUIT[#All],2,0)),"CUIT NO CARGADO")</f>
        <v>MARAUDA HECTOR</v>
      </c>
      <c r="I220" s="411">
        <v>7000</v>
      </c>
      <c r="J220" s="412" t="str">
        <f>IFERROR(IF(factura_c_mes3[[#This Row],[CUIT]]="","-",VLOOKUP(factura_c_mes3[[#This Row],[CUIT]],Lista_CUIT[#All],3,0)),"CUIT NO CARGADO")</f>
        <v>Gastos Varios</v>
      </c>
      <c r="K220" s="412">
        <f>IFERROR(IF(factura_c_mes3[[#This Row],[CUIT]]="","-",VLOOKUP(factura_c_mes3[[#This Row],[CUIT]],Lista_CUIT[#All],4,0)),"CUIT NO CARGADO")</f>
        <v>0</v>
      </c>
    </row>
    <row r="221" spans="4:11" x14ac:dyDescent="0.25">
      <c r="D221" s="461" t="s">
        <v>2388</v>
      </c>
      <c r="E221" s="395">
        <v>10</v>
      </c>
      <c r="F221" s="395">
        <v>253</v>
      </c>
      <c r="G221" s="396">
        <v>20302234389</v>
      </c>
      <c r="H221" s="397" t="str">
        <f>IFERROR(IF(factura_c_mes3[[#This Row],[CUIT]]="","-",VLOOKUP(factura_c_mes3[[#This Row],[CUIT]],Lista_CUIT[#All],2,0)),"CUIT NO CARGADO")</f>
        <v>VIGORELLI GUILLERMO DANIEL</v>
      </c>
      <c r="I221" s="398">
        <v>265000</v>
      </c>
      <c r="J221" s="399" t="str">
        <f>IFERROR(IF(factura_c_mes3[[#This Row],[CUIT]]="","-",VLOOKUP(factura_c_mes3[[#This Row],[CUIT]],Lista_CUIT[#All],3,0)),"CUIT NO CARGADO")</f>
        <v>Gastos Varios</v>
      </c>
      <c r="K221" s="399">
        <f>IFERROR(IF(factura_c_mes3[[#This Row],[CUIT]]="","-",VLOOKUP(factura_c_mes3[[#This Row],[CUIT]],Lista_CUIT[#All],4,0)),"CUIT NO CARGADO")</f>
        <v>0</v>
      </c>
    </row>
    <row r="222" spans="4:11" x14ac:dyDescent="0.25">
      <c r="D222" s="461" t="s">
        <v>2388</v>
      </c>
      <c r="E222" s="395">
        <v>2</v>
      </c>
      <c r="F222" s="395">
        <v>5113</v>
      </c>
      <c r="G222" s="396">
        <v>20136536320</v>
      </c>
      <c r="H222" s="397" t="str">
        <f>IFERROR(IF(factura_c_mes3[[#This Row],[CUIT]]="","-",VLOOKUP(factura_c_mes3[[#This Row],[CUIT]],Lista_CUIT[#All],2,0)),"CUIT NO CARGADO")</f>
        <v>FONTENLA ERNESTO MARIO</v>
      </c>
      <c r="I222" s="398">
        <v>4700</v>
      </c>
      <c r="J222" s="399" t="str">
        <f>IFERROR(IF(factura_c_mes3[[#This Row],[CUIT]]="","-",VLOOKUP(factura_c_mes3[[#This Row],[CUIT]],Lista_CUIT[#All],3,0)),"CUIT NO CARGADO")</f>
        <v>Gastos Varios</v>
      </c>
      <c r="K222" s="399" t="str">
        <f>IFERROR(IF(factura_c_mes3[[#This Row],[CUIT]]="","-",VLOOKUP(factura_c_mes3[[#This Row],[CUIT]],Lista_CUIT[#All],4,0)),"CUIT NO CARGADO")</f>
        <v>CABA</v>
      </c>
    </row>
    <row r="223" spans="4:11" x14ac:dyDescent="0.25">
      <c r="D223" s="50" t="s">
        <v>2384</v>
      </c>
      <c r="E223" s="42">
        <v>1</v>
      </c>
      <c r="F223" s="43">
        <v>469</v>
      </c>
      <c r="G223" s="409">
        <v>27343113914</v>
      </c>
      <c r="H223" s="410" t="str">
        <f>IFERROR(IF(factura_c_mes3[[#This Row],[CUIT]]="","-",VLOOKUP(factura_c_mes3[[#This Row],[CUIT]],Lista_CUIT[#All],2,0)),"CUIT NO CARGADO")</f>
        <v>VALORIANI ROMINA GISELA</v>
      </c>
      <c r="I223" s="411">
        <v>232000</v>
      </c>
      <c r="J223" s="412" t="str">
        <f>IFERROR(IF(factura_c_mes3[[#This Row],[CUIT]]="","-",VLOOKUP(factura_c_mes3[[#This Row],[CUIT]],Lista_CUIT[#All],3,0)),"CUIT NO CARGADO")</f>
        <v>Serv. Informaticos</v>
      </c>
      <c r="K223" s="412">
        <f>IFERROR(IF(factura_c_mes3[[#This Row],[CUIT]]="","-",VLOOKUP(factura_c_mes3[[#This Row],[CUIT]],Lista_CUIT[#All],4,0)),"CUIT NO CARGADO")</f>
        <v>0</v>
      </c>
    </row>
    <row r="224" spans="4:11" x14ac:dyDescent="0.25">
      <c r="D224" s="461" t="s">
        <v>2390</v>
      </c>
      <c r="E224" s="395">
        <v>1006</v>
      </c>
      <c r="F224" s="395">
        <v>1190675</v>
      </c>
      <c r="G224" s="396">
        <v>30715103946</v>
      </c>
      <c r="H224" s="397" t="str">
        <f>IFERROR(IF(factura_c_mes3[[#This Row],[CUIT]]="","-",VLOOKUP(factura_c_mes3[[#This Row],[CUIT]],Lista_CUIT[#All],2,0)),"CUIT NO CARGADO")</f>
        <v>LIBRENTA LIBROS S.A.U.</v>
      </c>
      <c r="I224" s="398">
        <v>29459</v>
      </c>
      <c r="J224" s="399" t="str">
        <f>IFERROR(IF(factura_c_mes3[[#This Row],[CUIT]]="","-",VLOOKUP(factura_c_mes3[[#This Row],[CUIT]],Lista_CUIT[#All],3,0)),"CUIT NO CARGADO")</f>
        <v>Papeleria</v>
      </c>
      <c r="K224" s="399">
        <f>IFERROR(IF(factura_c_mes3[[#This Row],[CUIT]]="","-",VLOOKUP(factura_c_mes3[[#This Row],[CUIT]],Lista_CUIT[#All],4,0)),"CUIT NO CARGADO")</f>
        <v>0</v>
      </c>
    </row>
    <row r="225" spans="2:13" x14ac:dyDescent="0.25">
      <c r="D225" s="50"/>
      <c r="E225" s="42"/>
      <c r="F225" s="43"/>
      <c r="G225" s="44"/>
      <c r="H225" s="53" t="str">
        <f>IFERROR(IF(factura_c_mes3[[#This Row],[CUIT]]="","-",VLOOKUP(factura_c_mes3[[#This Row],[CUIT]],Lista_CUIT[#All],2,0)),"CUIT NO CARGADO")</f>
        <v>-</v>
      </c>
      <c r="I225" s="81"/>
      <c r="J225" s="54" t="str">
        <f>IFERROR(IF(factura_c_mes3[[#This Row],[CUIT]]="","-",VLOOKUP(factura_c_mes3[[#This Row],[CUIT]],Lista_CUIT[#All],3,0)),"CUIT NO CARGADO")</f>
        <v>-</v>
      </c>
      <c r="K225" s="54" t="str">
        <f>IFERROR(IF(factura_c_mes3[[#This Row],[CUIT]]="","-",VLOOKUP(factura_c_mes3[[#This Row],[CUIT]],Lista_CUIT[#All],4,0)),"CUIT NO CARGADO")</f>
        <v>-</v>
      </c>
    </row>
    <row r="226" spans="2:13" x14ac:dyDescent="0.25">
      <c r="D226" s="50"/>
      <c r="E226" s="42"/>
      <c r="F226" s="43"/>
      <c r="G226" s="44"/>
      <c r="H226" s="53" t="str">
        <f>IFERROR(IF(factura_c_mes3[[#This Row],[CUIT]]="","-",VLOOKUP(factura_c_mes3[[#This Row],[CUIT]],Lista_CUIT[#All],2,0)),"CUIT NO CARGADO")</f>
        <v>-</v>
      </c>
      <c r="I226" s="81"/>
      <c r="J226" s="54" t="str">
        <f>IFERROR(IF(factura_c_mes3[[#This Row],[CUIT]]="","-",VLOOKUP(factura_c_mes3[[#This Row],[CUIT]],Lista_CUIT[#All],3,0)),"CUIT NO CARGADO")</f>
        <v>-</v>
      </c>
      <c r="K226" s="54" t="str">
        <f>IFERROR(IF(factura_c_mes3[[#This Row],[CUIT]]="","-",VLOOKUP(factura_c_mes3[[#This Row],[CUIT]],Lista_CUIT[#All],4,0)),"CUIT NO CARGADO")</f>
        <v>-</v>
      </c>
    </row>
    <row r="227" spans="2:13" x14ac:dyDescent="0.25">
      <c r="D227" s="50"/>
      <c r="E227" s="42"/>
      <c r="F227" s="43"/>
      <c r="G227" s="44"/>
      <c r="H227" s="53" t="str">
        <f>IFERROR(IF(factura_c_mes3[[#This Row],[CUIT]]="","-",VLOOKUP(factura_c_mes3[[#This Row],[CUIT]],Lista_CUIT[#All],2,0)),"CUIT NO CARGADO")</f>
        <v>-</v>
      </c>
      <c r="I227" s="81"/>
      <c r="J227" s="54" t="str">
        <f>IFERROR(IF(factura_c_mes3[[#This Row],[CUIT]]="","-",VLOOKUP(factura_c_mes3[[#This Row],[CUIT]],Lista_CUIT[#All],3,0)),"CUIT NO CARGADO")</f>
        <v>-</v>
      </c>
      <c r="K227" s="54" t="str">
        <f>IFERROR(IF(factura_c_mes3[[#This Row],[CUIT]]="","-",VLOOKUP(factura_c_mes3[[#This Row],[CUIT]],Lista_CUIT[#All],4,0)),"CUIT NO CARGADO")</f>
        <v>-</v>
      </c>
    </row>
    <row r="228" spans="2:13" x14ac:dyDescent="0.25">
      <c r="D228" s="50"/>
      <c r="E228" s="413"/>
      <c r="F228" s="413"/>
      <c r="G228" s="409"/>
      <c r="H228" s="410" t="str">
        <f>IFERROR(IF(factura_c_mes3[[#This Row],[CUIT]]="","-",VLOOKUP(factura_c_mes3[[#This Row],[CUIT]],Lista_CUIT[#All],2,0)),"CUIT NO CARGADO")</f>
        <v>-</v>
      </c>
      <c r="I228" s="411"/>
      <c r="J228" s="412" t="str">
        <f>IFERROR(IF(factura_c_mes3[[#This Row],[CUIT]]="","-",VLOOKUP(factura_c_mes3[[#This Row],[CUIT]],Lista_CUIT[#All],3,0)),"CUIT NO CARGADO")</f>
        <v>-</v>
      </c>
      <c r="K228" s="412" t="str">
        <f>IFERROR(IF(factura_c_mes3[[#This Row],[CUIT]]="","-",VLOOKUP(factura_c_mes3[[#This Row],[CUIT]],Lista_CUIT[#All],4,0)),"CUIT NO CARGADO")</f>
        <v>-</v>
      </c>
    </row>
    <row r="229" spans="2:13" x14ac:dyDescent="0.25">
      <c r="D229" s="55" t="s">
        <v>103</v>
      </c>
      <c r="E229" s="55"/>
      <c r="F229" s="55"/>
      <c r="G229" s="55"/>
      <c r="H229" s="57"/>
      <c r="I229" s="58">
        <f>SUBTOTAL(109,factura_c_mes3[TOTAL])</f>
        <v>6345094</v>
      </c>
      <c r="J229" s="55"/>
      <c r="K229" s="55"/>
    </row>
    <row r="232" spans="2:13" ht="26.25" x14ac:dyDescent="0.25">
      <c r="B232" s="592" t="s">
        <v>29</v>
      </c>
      <c r="C232" s="592"/>
      <c r="D232" s="592"/>
      <c r="E232" s="592"/>
      <c r="F232" s="592"/>
      <c r="G232" s="592"/>
      <c r="H232" s="592"/>
      <c r="I232" s="592"/>
      <c r="J232" s="592"/>
      <c r="K232" s="593">
        <f>N1</f>
        <v>45717</v>
      </c>
      <c r="L232" s="593"/>
      <c r="M232" s="593"/>
    </row>
    <row r="234" spans="2:13" ht="21" x14ac:dyDescent="0.25">
      <c r="B234" s="594" t="s">
        <v>30</v>
      </c>
      <c r="C234" s="594"/>
    </row>
    <row r="235" spans="2:13" ht="31.5" x14ac:dyDescent="0.25">
      <c r="B235" s="60" t="s">
        <v>0</v>
      </c>
      <c r="C235" s="61" t="s">
        <v>1</v>
      </c>
      <c r="D235" s="61" t="s">
        <v>21</v>
      </c>
      <c r="E235" s="61" t="s">
        <v>22</v>
      </c>
      <c r="F235" s="61" t="s">
        <v>3</v>
      </c>
      <c r="G235" s="61" t="s">
        <v>4</v>
      </c>
      <c r="H235" s="61" t="s">
        <v>23</v>
      </c>
      <c r="I235" s="61" t="s">
        <v>17</v>
      </c>
      <c r="J235" s="61" t="s">
        <v>7</v>
      </c>
      <c r="K235" s="61" t="s">
        <v>24</v>
      </c>
      <c r="L235" s="61" t="s">
        <v>10</v>
      </c>
      <c r="M235" s="62" t="s">
        <v>38</v>
      </c>
    </row>
    <row r="236" spans="2:13" x14ac:dyDescent="0.25">
      <c r="B236" s="40"/>
      <c r="C236" s="41"/>
      <c r="D236" s="42"/>
      <c r="E236" s="43"/>
      <c r="F236" s="44"/>
      <c r="G236" s="98" t="str">
        <f>IFERROR(IF(venta_a_mes3[[#This Row],[CUIT]]="","-",VLOOKUP(venta_a_mes3[[#This Row],[CUIT]],Lista_CUIT[#All],2,0)),"CUIT NO CARGADO")</f>
        <v>-</v>
      </c>
      <c r="H236" s="99"/>
      <c r="I236" s="100">
        <f>venta_a_mes3[[#This Row],[IMPORTE NETO]]*0.21</f>
        <v>0</v>
      </c>
      <c r="J236" s="65"/>
      <c r="K236" s="65"/>
      <c r="L236" s="65">
        <f>SUM(venta_a_mes3[[#This Row],[IMPORTE NETO]:[EXENTO]])</f>
        <v>0</v>
      </c>
      <c r="M236" s="59"/>
    </row>
    <row r="237" spans="2:13" x14ac:dyDescent="0.25">
      <c r="B237" s="108"/>
      <c r="C237" s="109"/>
      <c r="D237" s="110"/>
      <c r="E237" s="111"/>
      <c r="F237" s="112"/>
      <c r="G237" s="98" t="str">
        <f>IFERROR(IF(venta_a_mes3[[#This Row],[CUIT]]="","-",VLOOKUP(venta_a_mes3[[#This Row],[CUIT]],Lista_CUIT[#All],2,0)),"CUIT NO CARGADO")</f>
        <v>-</v>
      </c>
      <c r="H237" s="99"/>
      <c r="I237" s="100">
        <f>venta_a_mes3[[#This Row],[IMPORTE NETO]]*0.21</f>
        <v>0</v>
      </c>
      <c r="J237" s="65"/>
      <c r="K237" s="65"/>
      <c r="L237" s="65">
        <f>SUM(venta_a_mes3[[#This Row],[IMPORTE NETO]:[EXENTO]])</f>
        <v>0</v>
      </c>
      <c r="M237" s="59"/>
    </row>
    <row r="238" spans="2:13" x14ac:dyDescent="0.25">
      <c r="B238" s="66" t="s">
        <v>103</v>
      </c>
      <c r="C238" s="67"/>
      <c r="D238" s="67"/>
      <c r="E238" s="67"/>
      <c r="F238" s="67"/>
      <c r="G238" s="67"/>
      <c r="H238" s="69">
        <f>SUBTOTAL(109,venta_a_mes3[IMPORTE NETO])</f>
        <v>0</v>
      </c>
      <c r="I238" s="70">
        <f>SUBTOTAL(109,venta_a_mes3[IVA 21%])</f>
        <v>0</v>
      </c>
      <c r="J238" s="71">
        <f>SUBTOTAL(109,venta_a_mes3[IVA 10,5%])</f>
        <v>0</v>
      </c>
      <c r="K238" s="71">
        <f>SUBTOTAL(109,venta_a_mes3[EXENTO])</f>
        <v>0</v>
      </c>
      <c r="L238" s="71">
        <f>SUBTOTAL(109,venta_a_mes3[TOTAL])</f>
        <v>0</v>
      </c>
      <c r="M238" s="68">
        <f>SUBTOTAL(103,venta_a_mes3[Provincia])</f>
        <v>0</v>
      </c>
    </row>
    <row r="241" spans="2:13" ht="21" x14ac:dyDescent="0.25">
      <c r="B241" s="594" t="s">
        <v>31</v>
      </c>
      <c r="C241" s="594"/>
    </row>
    <row r="242" spans="2:13" ht="31.5" x14ac:dyDescent="0.25">
      <c r="B242" s="60" t="s">
        <v>0</v>
      </c>
      <c r="C242" s="61" t="s">
        <v>1</v>
      </c>
      <c r="D242" s="61" t="s">
        <v>21</v>
      </c>
      <c r="E242" s="61" t="s">
        <v>22</v>
      </c>
      <c r="F242" s="61" t="s">
        <v>3</v>
      </c>
      <c r="G242" s="61" t="s">
        <v>4</v>
      </c>
      <c r="H242" s="61" t="s">
        <v>23</v>
      </c>
      <c r="I242" s="61" t="s">
        <v>17</v>
      </c>
      <c r="J242" s="61" t="s">
        <v>7</v>
      </c>
      <c r="K242" s="61" t="s">
        <v>24</v>
      </c>
      <c r="L242" s="61" t="s">
        <v>10</v>
      </c>
      <c r="M242" s="62" t="s">
        <v>38</v>
      </c>
    </row>
    <row r="243" spans="2:13" x14ac:dyDescent="0.25">
      <c r="B243" s="40"/>
      <c r="C243" s="41"/>
      <c r="D243" s="42"/>
      <c r="E243" s="43"/>
      <c r="F243" s="44"/>
      <c r="G243" s="1" t="str">
        <f>IFERROR(IF(ventas_b_mes3[[#This Row],[CUIT]]="","-",VLOOKUP(ventas_b_mes3[[#This Row],[CUIT]],Lista_CUIT[#All],2,0)),"CUIT NO CARGADO")</f>
        <v>-</v>
      </c>
      <c r="H243" s="64"/>
      <c r="I243" s="64"/>
      <c r="J243" s="64"/>
      <c r="K243" s="64"/>
      <c r="L243" s="64">
        <f>SUM(ventas_b_mes3[[#This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1"/>
      <c r="H244" s="64"/>
      <c r="I244" s="64"/>
      <c r="J244" s="64"/>
      <c r="K244" s="64"/>
      <c r="L244" s="64">
        <f>SUM(ventas_b_mes3[[#This Row],[IMPORTE NETO]:[EXENTO]])</f>
        <v>0</v>
      </c>
      <c r="M244" s="59"/>
    </row>
    <row r="245" spans="2:13" x14ac:dyDescent="0.25">
      <c r="B245" s="66" t="s">
        <v>103</v>
      </c>
      <c r="C245" s="67"/>
      <c r="D245" s="67"/>
      <c r="E245" s="67"/>
      <c r="F245" s="67"/>
      <c r="G245" s="67"/>
      <c r="H245" s="77">
        <f>SUBTOTAL(109,ventas_b_mes3[IMPORTE NETO])</f>
        <v>0</v>
      </c>
      <c r="I245" s="77">
        <f>SUBTOTAL(109,ventas_b_mes3[IVA 21%])</f>
        <v>0</v>
      </c>
      <c r="J245" s="78">
        <f>SUBTOTAL(109,ventas_b_mes3[IVA 10,5%])</f>
        <v>0</v>
      </c>
      <c r="K245" s="78">
        <f>SUBTOTAL(109,ventas_b_mes3[EXENTO])</f>
        <v>0</v>
      </c>
      <c r="L245" s="78">
        <f>SUBTOTAL(109,ventas_b_mes3[TOTAL])</f>
        <v>0</v>
      </c>
      <c r="M245" s="68">
        <f>SUBTOTAL(103,ventas_b_mes3[Provincia])</f>
        <v>0</v>
      </c>
    </row>
    <row r="252" spans="2:13" ht="15.75" thickBot="1" x14ac:dyDescent="0.3"/>
    <row r="253" spans="2:13" ht="15.75" thickTop="1" x14ac:dyDescent="0.25">
      <c r="C253" s="588" t="s">
        <v>66</v>
      </c>
      <c r="D253" s="588"/>
      <c r="E253" s="588"/>
      <c r="F253" s="588"/>
      <c r="G253" s="588"/>
      <c r="H253" s="32"/>
      <c r="I253" s="32"/>
      <c r="J253" s="32"/>
    </row>
    <row r="254" spans="2:13" ht="15.75" x14ac:dyDescent="0.25">
      <c r="C254" s="113" t="s">
        <v>67</v>
      </c>
      <c r="D254" s="114" t="s">
        <v>68</v>
      </c>
      <c r="E254" s="114" t="s">
        <v>105</v>
      </c>
      <c r="F254" s="114" t="s">
        <v>3</v>
      </c>
      <c r="G254" s="114" t="s">
        <v>4</v>
      </c>
      <c r="H254" s="115" t="s">
        <v>69</v>
      </c>
      <c r="I254" s="115" t="s">
        <v>70</v>
      </c>
      <c r="J254" s="115" t="s">
        <v>71</v>
      </c>
      <c r="K254" s="115" t="s">
        <v>72</v>
      </c>
      <c r="L254" s="115" t="s">
        <v>73</v>
      </c>
    </row>
    <row r="255" spans="2:13" x14ac:dyDescent="0.25">
      <c r="C255" s="116"/>
      <c r="D255" s="117"/>
      <c r="E255" s="117"/>
      <c r="F255" s="118"/>
      <c r="G255" s="53" t="str">
        <f>IFERROR(IF(Retenciones_mes3[[#This Row],[CUIT]]="","-",VLOOKUP(Retenciones_mes3[[#This Row],[CUIT]],Lista_CUIT[#All],2,0)),"CUIT NO CARGADO")</f>
        <v>-</v>
      </c>
      <c r="H255" s="119"/>
      <c r="I255" s="119"/>
      <c r="J255" s="119"/>
      <c r="K255" s="119"/>
      <c r="L255" s="119"/>
    </row>
    <row r="256" spans="2:13" x14ac:dyDescent="0.25">
      <c r="C256" s="116"/>
      <c r="D256" s="117"/>
      <c r="E256" s="117"/>
      <c r="F256" s="118"/>
      <c r="G256" s="53" t="str">
        <f>IFERROR(IF(Retenciones_mes3[[#This Row],[CUIT]]="","-",VLOOKUP(Retenciones_mes3[[#This Row],[CUIT]],Lista_CUIT[#All],2,0)),"CUIT NO CARGADO")</f>
        <v>-</v>
      </c>
      <c r="H256" s="119"/>
      <c r="I256" s="119"/>
      <c r="J256" s="119"/>
      <c r="K256" s="119"/>
      <c r="L256" s="119"/>
    </row>
    <row r="257" spans="3:14" x14ac:dyDescent="0.25">
      <c r="C257" s="116"/>
      <c r="D257" s="117"/>
      <c r="E257" s="117"/>
      <c r="F257" s="118"/>
      <c r="G257" s="53" t="str">
        <f>IFERROR(IF(Retenciones_mes3[[#This Row],[CUIT]]="","-",VLOOKUP(Retenciones_mes3[[#This Row],[CUIT]],Lista_CUIT[#All],2,0)),"CUIT NO CARGADO")</f>
        <v>-</v>
      </c>
      <c r="H257" s="119"/>
      <c r="I257" s="119"/>
      <c r="J257" s="119"/>
      <c r="K257" s="119"/>
      <c r="L257" s="119"/>
    </row>
    <row r="258" spans="3:14" x14ac:dyDescent="0.25">
      <c r="C258" s="116"/>
      <c r="D258" s="117"/>
      <c r="E258" s="117"/>
      <c r="F258" s="118"/>
      <c r="G258" s="53" t="str">
        <f>IFERROR(IF(Retenciones_mes3[[#This Row],[CUIT]]="","-",VLOOKUP(Retenciones_mes3[[#This Row],[CUIT]],Lista_CUIT[#All],2,0)),"CUIT NO CARGADO")</f>
        <v>-</v>
      </c>
      <c r="H258" s="119"/>
      <c r="I258" s="119"/>
      <c r="J258" s="119"/>
      <c r="K258" s="119"/>
      <c r="L258" s="119"/>
    </row>
    <row r="259" spans="3:14" x14ac:dyDescent="0.25">
      <c r="D259" s="117"/>
      <c r="E259" s="117"/>
      <c r="G259" s="53" t="str">
        <f>IFERROR(IF(Retenciones_mes3[[#This Row],[CUIT]]="","-",VLOOKUP(Retenciones_mes3[[#This Row],[CUIT]],Lista_CUIT[#All],2,0)),"CUIT NO CARGADO")</f>
        <v>-</v>
      </c>
    </row>
    <row r="260" spans="3:14" x14ac:dyDescent="0.25">
      <c r="C260" s="33"/>
    </row>
    <row r="262" spans="3:14" ht="21" x14ac:dyDescent="0.25">
      <c r="C262" s="594" t="s">
        <v>1709</v>
      </c>
      <c r="D262" s="594"/>
    </row>
    <row r="263" spans="3:14" ht="31.5" x14ac:dyDescent="0.25">
      <c r="C263" s="60" t="s">
        <v>0</v>
      </c>
      <c r="D263" s="61" t="s">
        <v>1</v>
      </c>
      <c r="E263" s="61" t="s">
        <v>21</v>
      </c>
      <c r="F263" s="61" t="s">
        <v>22</v>
      </c>
      <c r="G263" s="61" t="s">
        <v>3</v>
      </c>
      <c r="H263" s="61" t="s">
        <v>4</v>
      </c>
      <c r="I263" s="61" t="s">
        <v>23</v>
      </c>
      <c r="J263" s="61" t="s">
        <v>17</v>
      </c>
      <c r="K263" s="61" t="s">
        <v>7</v>
      </c>
      <c r="L263" s="61" t="s">
        <v>24</v>
      </c>
      <c r="M263" s="61" t="s">
        <v>10</v>
      </c>
      <c r="N263" s="62" t="s">
        <v>38</v>
      </c>
    </row>
    <row r="264" spans="3:14" x14ac:dyDescent="0.25">
      <c r="C264" s="40"/>
      <c r="D264" s="41"/>
      <c r="E264" s="42"/>
      <c r="F264" s="43"/>
      <c r="G264" s="44"/>
      <c r="H264" s="98" t="str">
        <f>IFERROR(IF(venta_a_mes55253[[#This Row],[CUIT]]="","-",VLOOKUP(venta_a_mes55253[[#This Row],[CUIT]],Lista_CUIT[#All],2,0)),"CUIT NO CARGADO")</f>
        <v>-</v>
      </c>
      <c r="I264" s="99"/>
      <c r="J264" s="184"/>
      <c r="K264" s="65"/>
      <c r="L264" s="65"/>
      <c r="M264" s="185">
        <f>SUM(venta_a_mes55253[[#This Row],[IMPORTE NETO]:[EXENTO]])</f>
        <v>0</v>
      </c>
      <c r="N264" s="59"/>
    </row>
    <row r="265" spans="3:14" x14ac:dyDescent="0.25">
      <c r="C265" s="40"/>
      <c r="D265" s="41"/>
      <c r="E265" s="42"/>
      <c r="F265" s="43"/>
      <c r="G265" s="44"/>
      <c r="H265" s="98" t="str">
        <f>IFERROR(IF(venta_a_mes55253[[#This Row],[CUIT]]="","-",VLOOKUP(venta_a_mes55253[[#This Row],[CUIT]],Lista_CUIT[#All],2,0)),"CUIT NO CARGADO")</f>
        <v>-</v>
      </c>
      <c r="I265" s="99"/>
      <c r="J265" s="184"/>
      <c r="K265" s="65"/>
      <c r="L265" s="65"/>
      <c r="M265" s="185">
        <f>SUM(venta_a_mes55253[[#This Row],[IMPORTE NETO]:[EXENTO]])</f>
        <v>0</v>
      </c>
      <c r="N265" s="59"/>
    </row>
    <row r="266" spans="3:14" x14ac:dyDescent="0.25">
      <c r="C266" s="40"/>
      <c r="D266" s="41"/>
      <c r="E266" s="42"/>
      <c r="F266" s="43"/>
      <c r="G266" s="44"/>
      <c r="H266" s="98" t="str">
        <f>IFERROR(IF(venta_a_mes55253[[#This Row],[CUIT]]="","-",VLOOKUP(venta_a_mes55253[[#This Row],[CUIT]],Lista_CUIT[#All],2,0)),"CUIT NO CARGADO")</f>
        <v>-</v>
      </c>
      <c r="I266" s="99"/>
      <c r="J266" s="184"/>
      <c r="K266" s="65"/>
      <c r="L266" s="65"/>
      <c r="M266" s="185">
        <f>SUM(venta_a_mes55253[[#This Row],[IMPORTE NETO]:[EXENTO]])</f>
        <v>0</v>
      </c>
      <c r="N266" s="59"/>
    </row>
    <row r="267" spans="3:14" x14ac:dyDescent="0.25">
      <c r="C267" s="40"/>
      <c r="D267" s="41"/>
      <c r="E267" s="42"/>
      <c r="F267" s="43"/>
      <c r="G267" s="44"/>
      <c r="H267" s="98" t="str">
        <f>IFERROR(IF(venta_a_mes55253[[#This Row],[CUIT]]="","-",VLOOKUP(venta_a_mes55253[[#This Row],[CUIT]],Lista_CUIT[#All],2,0)),"CUIT NO CARGADO")</f>
        <v>-</v>
      </c>
      <c r="I267" s="99"/>
      <c r="J267" s="184"/>
      <c r="K267" s="65"/>
      <c r="L267" s="65"/>
      <c r="M267" s="185">
        <f>SUM(venta_a_mes55253[[#This Row],[IMPORTE NETO]:[EXENTO]])</f>
        <v>0</v>
      </c>
      <c r="N267" s="59"/>
    </row>
    <row r="268" spans="3:14" x14ac:dyDescent="0.25">
      <c r="C268" s="178" t="s">
        <v>103</v>
      </c>
      <c r="D268" s="179"/>
      <c r="E268" s="179"/>
      <c r="F268" s="179"/>
      <c r="G268" s="179"/>
      <c r="H268" s="179"/>
      <c r="I268" s="180">
        <f>SUBTOTAL(109,venta_a_mes55253[IMPORTE NETO])</f>
        <v>0</v>
      </c>
      <c r="J268" s="181">
        <f>SUBTOTAL(109,venta_a_mes55253[IVA 21%])</f>
        <v>0</v>
      </c>
      <c r="K268" s="182">
        <f>SUBTOTAL(109,venta_a_mes55253[IVA 10,5%])</f>
        <v>0</v>
      </c>
      <c r="L268" s="182">
        <f>SUBTOTAL(109,venta_a_mes55253[EXENTO])</f>
        <v>0</v>
      </c>
      <c r="M268" s="182">
        <f>SUBTOTAL(109,venta_a_mes55253[TOTAL])</f>
        <v>0</v>
      </c>
      <c r="N268" s="183">
        <f>SUBTOTAL(103,venta_a_mes55253[Provincia])</f>
        <v>0</v>
      </c>
    </row>
  </sheetData>
  <mergeCells count="21">
    <mergeCell ref="D200:K200"/>
    <mergeCell ref="B232:J232"/>
    <mergeCell ref="K232:M232"/>
    <mergeCell ref="B234:C234"/>
    <mergeCell ref="C262:D262"/>
    <mergeCell ref="C253:G253"/>
    <mergeCell ref="B241:C241"/>
    <mergeCell ref="P4:R4"/>
    <mergeCell ref="D188:L188"/>
    <mergeCell ref="B1:F1"/>
    <mergeCell ref="G1:M1"/>
    <mergeCell ref="N1:R1"/>
    <mergeCell ref="B3:E3"/>
    <mergeCell ref="G3:H3"/>
    <mergeCell ref="J3:K3"/>
    <mergeCell ref="M3:N3"/>
    <mergeCell ref="P3:R3"/>
    <mergeCell ref="M4:N4"/>
    <mergeCell ref="B4:E4"/>
    <mergeCell ref="G4:H4"/>
    <mergeCell ref="J4:K4"/>
  </mergeCells>
  <dataValidations count="10">
    <dataValidation type="whole" allowBlank="1" showInputMessage="1" showErrorMessage="1" sqref="E264:E267 D243:D244 E202:E228 D236:D237 D9:D185" xr:uid="{00000000-0002-0000-0300-000000000000}">
      <formula1>1</formula1>
      <formula2>9999</formula2>
    </dataValidation>
    <dataValidation type="whole" allowBlank="1" showInputMessage="1" showErrorMessage="1" sqref="F264:F267 E243:E244 F202:F228 E236:E237 E9:E185" xr:uid="{00000000-0002-0000-0300-000001000000}">
      <formula1>1</formula1>
      <formula2>99999999</formula2>
    </dataValidation>
    <dataValidation type="whole" allowBlank="1" showInputMessage="1" showErrorMessage="1" sqref="G264:G267 F243:F244 G202:G228 F236:F237 F9:F185" xr:uid="{00000000-0002-0000-0300-000002000000}">
      <formula1>20000000000</formula1>
      <formula2>33999999999</formula2>
    </dataValidation>
    <dataValidation type="date" allowBlank="1" showInputMessage="1" showErrorMessage="1" sqref="C264:C267 B243:B244 D202:D228 D190:D197 B236:B237 B187 B9:B185" xr:uid="{00000000-0002-0000-0300-000003000000}">
      <formula1>40179</formula1>
      <formula2>TODAY()</formula2>
    </dataValidation>
    <dataValidation type="whole" allowBlank="1" showInputMessage="1" showErrorMessage="1" sqref="D264:D267 C236:C237 C187 C9:C185" xr:uid="{00000000-0002-0000-0300-000004000000}">
      <formula1>1</formula1>
      <formula2>3</formula2>
    </dataValidation>
    <dataValidation type="custom" allowBlank="1" showInputMessage="1" showErrorMessage="1" sqref="H236:K236 K266:L266 I266 I264 K264:L264" xr:uid="{00000000-0002-0000-0300-000005000000}">
      <formula1>IF($C236=3,H236&lt;0,H236&gt;=0)</formula1>
    </dataValidation>
    <dataValidation type="whole" allowBlank="1" showInputMessage="1" showErrorMessage="1" sqref="C243:C244" xr:uid="{00000000-0002-0000-0300-000006000000}">
      <formula1>6</formula1>
      <formula2>8</formula2>
    </dataValidation>
    <dataValidation type="custom" allowBlank="1" showInputMessage="1" showErrorMessage="1" sqref="L236" xr:uid="{00000000-0002-0000-0300-000007000000}">
      <formula1>IF(#REF!=3,#REF!&lt;0,#REF!&gt;=0)</formula1>
    </dataValidation>
    <dataValidation type="custom" allowBlank="1" showInputMessage="1" showErrorMessage="1" sqref="H243:L244" xr:uid="{00000000-0002-0000-0300-000008000000}">
      <formula1>IF($C243=8,H243&lt;0,H243&gt;=0)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85" xr:uid="{00000000-0002-0000-0300-000009000000}">
      <formula1>IF($C9=3,H9&lt;0,H9&gt;=0)</formula1>
    </dataValidation>
  </dataValidations>
  <pageMargins left="0.7" right="0.7" top="0.75" bottom="0.75" header="0.3" footer="0.3"/>
  <pageSetup paperSize="9" scale="42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>
    <tabColor theme="9" tint="0.79998168889431442"/>
    <pageSetUpPr fitToPage="1"/>
  </sheetPr>
  <dimension ref="A1:Z285"/>
  <sheetViews>
    <sheetView showGridLines="0" topLeftCell="F4" zoomScale="80" zoomScaleNormal="80" workbookViewId="0">
      <selection activeCell="Q179" sqref="Q179"/>
    </sheetView>
  </sheetViews>
  <sheetFormatPr baseColWidth="10" defaultColWidth="15.7109375" defaultRowHeight="15" x14ac:dyDescent="0.25"/>
  <cols>
    <col min="1" max="1" width="3.5703125" customWidth="1"/>
    <col min="2" max="2" width="10.28515625" customWidth="1"/>
    <col min="3" max="3" width="9.5703125" customWidth="1"/>
    <col min="4" max="4" width="9.85546875" customWidth="1"/>
    <col min="5" max="5" width="11" customWidth="1"/>
    <col min="6" max="6" width="28.42578125" customWidth="1"/>
    <col min="7" max="7" width="36.140625" customWidth="1"/>
    <col min="8" max="17" width="15.7109375" customWidth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EDATE('Ene-25'!N1,3)</f>
        <v>45748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SUM(compras_mes4[[#Totals],[NETO GRAVADO]])+extracto_banco_mes4[[#Totals],[NETO]]</f>
        <v>72967942.801277712</v>
      </c>
      <c r="C4" s="589"/>
      <c r="D4" s="589"/>
      <c r="E4" s="589"/>
      <c r="F4" s="39"/>
      <c r="G4" s="590">
        <f>compras_mes4[[#Totals],[IVA 21 %]]+compras_mes4[[#Totals],[IVA 27%]]+compras_mes4[[#Totals],[IVA 10,5%]]+extracto_banco_mes4[[#Totals],[IVA 21%]]+extracto_banco_mes4[[#Totals],[IVA 10,5%]]</f>
        <v>14976506.647078561</v>
      </c>
      <c r="H4" s="590"/>
      <c r="I4" s="39"/>
      <c r="J4" s="591">
        <f>venta_a_mes4[[#Totals],[IMPORTE NETO]]+ventas_b_mes4[[#Totals],[IMPORTE NETO]]</f>
        <v>0</v>
      </c>
      <c r="K4" s="591"/>
      <c r="L4" s="39"/>
      <c r="M4" s="591">
        <f>venta_a_mes4[[#Totals],[IVA 21%]]+venta_a_mes4[[#Totals],[IVA 10,5%]]+ventas_b_mes4[[#Totals],[IVA 21%]]+ventas_b_mes4[[#Totals],[IVA 10,5%]]</f>
        <v>0</v>
      </c>
      <c r="N4" s="591"/>
      <c r="O4" s="39"/>
      <c r="P4" s="579">
        <f>G4-M4</f>
        <v>14976506.647078561</v>
      </c>
      <c r="Q4" s="579"/>
      <c r="R4" s="579"/>
    </row>
    <row r="5" spans="1:26" x14ac:dyDescent="0.25">
      <c r="F5" s="438" t="s">
        <v>2449</v>
      </c>
      <c r="P5" s="127"/>
    </row>
    <row r="6" spans="1:26" s="2" customFormat="1" x14ac:dyDescent="0.25">
      <c r="B6" s="40"/>
      <c r="C6" s="41"/>
      <c r="D6" s="42"/>
      <c r="E6" s="43"/>
      <c r="F6" s="44"/>
      <c r="G6" s="45"/>
      <c r="H6" s="46"/>
      <c r="I6" s="47"/>
      <c r="J6" s="151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84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40" t="s">
        <v>2427</v>
      </c>
      <c r="C8" s="41">
        <v>1</v>
      </c>
      <c r="D8" s="42">
        <v>3</v>
      </c>
      <c r="E8" s="43">
        <v>8181</v>
      </c>
      <c r="F8" s="44">
        <v>30710117582</v>
      </c>
      <c r="G8" s="45" t="str">
        <f>IFERROR(IF(compras_mes4[[#This Row],[CUIT]]="","-",VLOOKUP(compras_mes4[[#This Row],[CUIT]],Lista_CUIT[#All],2,0)),"CUIT NO CARGADO")</f>
        <v>F L TRAVEL SRL</v>
      </c>
      <c r="H8" s="46">
        <v>118262.2</v>
      </c>
      <c r="I8" s="85">
        <f>IF(compras_mes4[[#This Row],[NETO GRAVADO]]="","",compras_mes4[[#This Row],[NETO GRAVADO]]*0.21)</f>
        <v>24835.061999999998</v>
      </c>
      <c r="J8" s="85"/>
      <c r="K8" s="85"/>
      <c r="L8" s="85"/>
      <c r="M8" s="85"/>
      <c r="N8" s="85"/>
      <c r="O8" s="85">
        <v>7219956.0999999996</v>
      </c>
      <c r="P8" s="48">
        <f>SUM(compras_mes4[[#This Row],[NETO GRAVADO]:[Otros / No Grav.]])</f>
        <v>7363053.3619999997</v>
      </c>
      <c r="Q8" s="49" t="str">
        <f>IFERROR(IF(compras_mes4[[#This Row],[CUIT]]="","-",VLOOKUP(compras_mes4[[#This Row],[CUIT]],Lista_CUIT[#All],3,0)),"CUIT NO CARGADO")</f>
        <v>Gastos comercializacion - Viaje</v>
      </c>
      <c r="R8" s="49">
        <f>IFERROR(IF(compras_mes4[[#This Row],[CUIT]]="","-",VLOOKUP(compras_mes4[[#This Row],[CUIT]],Lista_CUIT[#All],4,0)),"CUIT NO CARGADO")</f>
        <v>0</v>
      </c>
    </row>
    <row r="9" spans="1:26" x14ac:dyDescent="0.25">
      <c r="B9" s="40" t="s">
        <v>2426</v>
      </c>
      <c r="C9" s="41">
        <v>1</v>
      </c>
      <c r="D9" s="42">
        <v>2</v>
      </c>
      <c r="E9" s="43">
        <v>1276</v>
      </c>
      <c r="F9" s="44">
        <v>30716671328</v>
      </c>
      <c r="G9" s="45" t="str">
        <f>IFERROR(IF(compras_mes4[[#This Row],[CUIT]]="","-",VLOOKUP(compras_mes4[[#This Row],[CUIT]],Lista_CUIT[#All],2,0)),"CUIT NO CARGADO")</f>
        <v>PLASTICOS SARRATEA SRL</v>
      </c>
      <c r="H9" s="46">
        <v>4911540</v>
      </c>
      <c r="I9" s="85">
        <f>IF(compras_mes4[[#This Row],[NETO GRAVADO]]="","",compras_mes4[[#This Row],[NETO GRAVADO]]*0.21)</f>
        <v>1031423.3999999999</v>
      </c>
      <c r="J9" s="85"/>
      <c r="K9" s="85"/>
      <c r="L9" s="85"/>
      <c r="M9" s="85"/>
      <c r="N9" s="85"/>
      <c r="O9" s="85"/>
      <c r="P9" s="48">
        <f>SUM(compras_mes4[[#This Row],[NETO GRAVADO]:[Otros / No Grav.]])</f>
        <v>5942963.4000000004</v>
      </c>
      <c r="Q9" s="49" t="str">
        <f>IFERROR(IF(compras_mes4[[#This Row],[CUIT]]="","-",VLOOKUP(compras_mes4[[#This Row],[CUIT]],Lista_CUIT[#All],3,0)),"CUIT NO CARGADO")</f>
        <v>Envases</v>
      </c>
      <c r="R9" s="49">
        <f>IFERROR(IF(compras_mes4[[#This Row],[CUIT]]="","-",VLOOKUP(compras_mes4[[#This Row],[CUIT]],Lista_CUIT[#All],4,0)),"CUIT NO CARGADO")</f>
        <v>0</v>
      </c>
    </row>
    <row r="10" spans="1:26" x14ac:dyDescent="0.25">
      <c r="B10" s="40" t="s">
        <v>2433</v>
      </c>
      <c r="C10" s="41">
        <v>1</v>
      </c>
      <c r="D10" s="42">
        <v>3</v>
      </c>
      <c r="E10" s="43">
        <v>2733</v>
      </c>
      <c r="F10" s="540">
        <v>30621927252</v>
      </c>
      <c r="G10" s="541" t="str">
        <f>IFERROR(IF(compras_mes4[[#This Row],[CUIT]]="","-",VLOOKUP(compras_mes4[[#This Row],[CUIT]],Lista_CUIT[#All],2,0)),"CUIT NO CARGADO")</f>
        <v>PERALBA SOCIEDAD ANONIMA</v>
      </c>
      <c r="H10" s="542">
        <v>2000000</v>
      </c>
      <c r="I10" s="543">
        <f>IF(compras_mes4[[#This Row],[NETO GRAVADO]]="","",compras_mes4[[#This Row],[NETO GRAVADO]]*0.21)</f>
        <v>420000</v>
      </c>
      <c r="J10" s="543"/>
      <c r="K10" s="543"/>
      <c r="L10" s="543"/>
      <c r="M10" s="543"/>
      <c r="N10" s="543"/>
      <c r="O10" s="543"/>
      <c r="P10" s="544">
        <f>SUM(compras_mes4[[#This Row],[NETO GRAVADO]:[Otros / No Grav.]])</f>
        <v>2420000</v>
      </c>
      <c r="Q10" s="545" t="str">
        <f>IFERROR(IF(compras_mes4[[#This Row],[CUIT]]="","-",VLOOKUP(compras_mes4[[#This Row],[CUIT]],Lista_CUIT[#All],3,0)),"CUIT NO CARGADO")</f>
        <v>Gastos catering</v>
      </c>
      <c r="R10" s="49">
        <f>IFERROR(IF(compras_mes4[[#This Row],[CUIT]]="","-",VLOOKUP(compras_mes4[[#This Row],[CUIT]],Lista_CUIT[#All],4,0)),"CUIT NO CARGADO")</f>
        <v>0</v>
      </c>
    </row>
    <row r="11" spans="1:26" s="56" customFormat="1" ht="18.600000000000001" customHeight="1" x14ac:dyDescent="0.25">
      <c r="B11" s="313" t="s">
        <v>2427</v>
      </c>
      <c r="C11" s="41">
        <v>1</v>
      </c>
      <c r="D11" s="314">
        <v>81</v>
      </c>
      <c r="E11" s="477">
        <v>306328</v>
      </c>
      <c r="F11" s="315">
        <v>30546741253</v>
      </c>
      <c r="G11" s="316" t="str">
        <f>IFERROR(IF(compras_mes4[[#This Row],[CUIT]]="","-",VLOOKUP(compras_mes4[[#This Row],[CUIT]],Lista_CUIT[#All],2,0)),"CUIT NO CARGADO")</f>
        <v>OSDE </v>
      </c>
      <c r="H11" s="317">
        <v>596331.21</v>
      </c>
      <c r="I11" s="85" t="s">
        <v>2411</v>
      </c>
      <c r="J11" s="318"/>
      <c r="K11" s="318">
        <f>compras_mes4[[#This Row],[NETO GRAVADO]]*0.105</f>
        <v>62614.777049999997</v>
      </c>
      <c r="L11" s="318"/>
      <c r="M11" s="318">
        <v>35779.870000000003</v>
      </c>
      <c r="N11" s="318"/>
      <c r="O11" s="318"/>
      <c r="P11" s="319">
        <f>SUM(compras_mes4[[#This Row],[NETO GRAVADO]:[Otros / No Grav.]])</f>
        <v>694725.85704999999</v>
      </c>
      <c r="Q11" s="320" t="str">
        <f>IFERROR(IF(compras_mes4[[#This Row],[CUIT]]="","-",VLOOKUP(compras_mes4[[#This Row],[CUIT]],Lista_CUIT[#All],3,0)),"CUIT NO CARGADO")</f>
        <v>Prepaga corporativa</v>
      </c>
      <c r="R11" s="320">
        <f>IFERROR(IF(compras_mes4[[#This Row],[CUIT]]="","-",VLOOKUP(compras_mes4[[#This Row],[CUIT]],Lista_CUIT[#All],4,0)),"CUIT NO CARGADO")</f>
        <v>0</v>
      </c>
    </row>
    <row r="12" spans="1:26" x14ac:dyDescent="0.25">
      <c r="B12" s="40" t="s">
        <v>2423</v>
      </c>
      <c r="C12" s="41">
        <v>1</v>
      </c>
      <c r="D12" s="42">
        <v>3</v>
      </c>
      <c r="E12" s="43">
        <v>10306</v>
      </c>
      <c r="F12" s="44">
        <v>27412102431</v>
      </c>
      <c r="G12" s="45" t="str">
        <f>IFERROR(IF(compras_mes4[[#This Row],[CUIT]]="","-",VLOOKUP(compras_mes4[[#This Row],[CUIT]],Lista_CUIT[#All],2,0)),"CUIT NO CARGADO")</f>
        <v>ALVEZ ARIANA SOL</v>
      </c>
      <c r="H12" s="46">
        <v>31570.29</v>
      </c>
      <c r="I12" s="85">
        <f>IF(compras_mes4[[#This Row],[NETO GRAVADO]]="","",compras_mes4[[#This Row],[NETO GRAVADO]]*0.21)</f>
        <v>6629.7609000000002</v>
      </c>
      <c r="J12" s="85"/>
      <c r="K12" s="85"/>
      <c r="L12" s="85"/>
      <c r="M12" s="85"/>
      <c r="N12" s="85"/>
      <c r="O12" s="85"/>
      <c r="P12" s="48">
        <f>SUM(compras_mes4[[#This Row],[NETO GRAVADO]:[Otros / No Grav.]])</f>
        <v>38200.050900000002</v>
      </c>
      <c r="Q12" s="49" t="str">
        <f>IFERROR(IF(compras_mes4[[#This Row],[CUIT]]="","-",VLOOKUP(compras_mes4[[#This Row],[CUIT]],Lista_CUIT[#All],3,0)),"CUIT NO CARGADO")</f>
        <v>Software Mantenimiento</v>
      </c>
      <c r="R12" s="49">
        <f>IFERROR(IF(compras_mes4[[#This Row],[CUIT]]="","-",VLOOKUP(compras_mes4[[#This Row],[CUIT]],Lista_CUIT[#All],4,0)),"CUIT NO CARGADO")</f>
        <v>0</v>
      </c>
    </row>
    <row r="13" spans="1:26" x14ac:dyDescent="0.25">
      <c r="B13" s="40" t="s">
        <v>2422</v>
      </c>
      <c r="C13" s="41">
        <v>1</v>
      </c>
      <c r="D13" s="42">
        <v>50</v>
      </c>
      <c r="E13" s="43">
        <v>4276465</v>
      </c>
      <c r="F13" s="44">
        <v>30714112836</v>
      </c>
      <c r="G13" s="45" t="str">
        <f>IFERROR(IF(compras_mes4[[#This Row],[CUIT]]="","-",VLOOKUP(compras_mes4[[#This Row],[CUIT]],Lista_CUIT[#All],2,0)),"CUIT NO CARGADO")</f>
        <v>AUTOPISTAS DE BS AS</v>
      </c>
      <c r="H13" s="46">
        <v>38973.86</v>
      </c>
      <c r="I13" s="85">
        <f>IF(compras_mes4[[#This Row],[NETO GRAVADO]]="","",compras_mes4[[#This Row],[NETO GRAVADO]]*0.21)</f>
        <v>8184.5105999999996</v>
      </c>
      <c r="J13" s="85"/>
      <c r="K13" s="85"/>
      <c r="L13" s="85">
        <v>1169.22</v>
      </c>
      <c r="M13" s="85"/>
      <c r="N13" s="85"/>
      <c r="O13" s="85"/>
      <c r="P13" s="48">
        <f>SUM(compras_mes4[[#This Row],[NETO GRAVADO]:[Otros / No Grav.]])</f>
        <v>48327.590600000003</v>
      </c>
      <c r="Q13" s="49" t="str">
        <f>IFERROR(IF(compras_mes4[[#This Row],[CUIT]]="","-",VLOOKUP(compras_mes4[[#This Row],[CUIT]],Lista_CUIT[#All],3,0)),"CUIT NO CARGADO")</f>
        <v>Peajes</v>
      </c>
      <c r="R13" s="49">
        <f>IFERROR(IF(compras_mes4[[#This Row],[CUIT]]="","-",VLOOKUP(compras_mes4[[#This Row],[CUIT]],Lista_CUIT[#All],4,0)),"CUIT NO CARGADO")</f>
        <v>0</v>
      </c>
    </row>
    <row r="14" spans="1:26" x14ac:dyDescent="0.25">
      <c r="B14" s="40" t="s">
        <v>2430</v>
      </c>
      <c r="C14" s="41">
        <v>1</v>
      </c>
      <c r="D14" s="42">
        <v>50</v>
      </c>
      <c r="E14" s="43">
        <v>4310926</v>
      </c>
      <c r="F14" s="44">
        <v>30714112836</v>
      </c>
      <c r="G14" s="45" t="str">
        <f>IFERROR(IF(compras_mes4[[#This Row],[CUIT]]="","-",VLOOKUP(compras_mes4[[#This Row],[CUIT]],Lista_CUIT[#All],2,0)),"CUIT NO CARGADO")</f>
        <v>AUTOPISTAS DE BS AS</v>
      </c>
      <c r="H14" s="46">
        <v>34984.29</v>
      </c>
      <c r="I14" s="85">
        <f>IF(compras_mes4[[#This Row],[NETO GRAVADO]]="","",compras_mes4[[#This Row],[NETO GRAVADO]]*0.21)</f>
        <v>7346.7008999999998</v>
      </c>
      <c r="J14" s="85"/>
      <c r="K14" s="85"/>
      <c r="L14" s="85">
        <v>1049.53</v>
      </c>
      <c r="M14" s="85"/>
      <c r="N14" s="85"/>
      <c r="O14" s="85"/>
      <c r="P14" s="48">
        <f>SUM(compras_mes4[[#This Row],[NETO GRAVADO]:[Otros / No Grav.]])</f>
        <v>43380.520900000003</v>
      </c>
      <c r="Q14" s="49" t="str">
        <f>IFERROR(IF(compras_mes4[[#This Row],[CUIT]]="","-",VLOOKUP(compras_mes4[[#This Row],[CUIT]],Lista_CUIT[#All],3,0)),"CUIT NO CARGADO")</f>
        <v>Peajes</v>
      </c>
      <c r="R14" s="49">
        <f>IFERROR(IF(compras_mes4[[#This Row],[CUIT]]="","-",VLOOKUP(compras_mes4[[#This Row],[CUIT]],Lista_CUIT[#All],4,0)),"CUIT NO CARGADO")</f>
        <v>0</v>
      </c>
    </row>
    <row r="15" spans="1:26" ht="14.45" customHeight="1" x14ac:dyDescent="0.25">
      <c r="B15" s="89" t="s">
        <v>2431</v>
      </c>
      <c r="C15" s="41">
        <v>1</v>
      </c>
      <c r="D15" s="90">
        <v>711</v>
      </c>
      <c r="E15" s="91">
        <v>6935436</v>
      </c>
      <c r="F15" s="92">
        <v>30677237119</v>
      </c>
      <c r="G15" s="93" t="str">
        <f>IFERROR(IF(compras_mes4[[#This Row],[CUIT]]="","-",VLOOKUP(compras_mes4[[#This Row],[CUIT]],Lista_CUIT[#All],2,0)),"CUIT NO CARGADO")</f>
        <v>AUTOPISTAS DEL SOL S A</v>
      </c>
      <c r="H15" s="94">
        <v>19528.41</v>
      </c>
      <c r="I15" s="85">
        <f>IF(compras_mes4[[#This Row],[NETO GRAVADO]]="","",compras_mes4[[#This Row],[NETO GRAVADO]]*0.21)</f>
        <v>4100.9660999999996</v>
      </c>
      <c r="J15" s="86"/>
      <c r="K15" s="86"/>
      <c r="L15" s="86">
        <v>585.85</v>
      </c>
      <c r="M15" s="86"/>
      <c r="N15" s="86"/>
      <c r="O15" s="86">
        <v>585.85</v>
      </c>
      <c r="P15" s="87">
        <f>SUM(compras_mes4[[#This Row],[NETO GRAVADO]:[Otros / No Grav.]])</f>
        <v>24801.076099999998</v>
      </c>
      <c r="Q15" s="88" t="str">
        <f>IFERROR(IF(compras_mes4[[#This Row],[CUIT]]="","-",VLOOKUP(compras_mes4[[#This Row],[CUIT]],Lista_CUIT[#All],3,0)),"CUIT NO CARGADO")</f>
        <v>Peajes</v>
      </c>
      <c r="R15" s="88">
        <f>IFERROR(IF(compras_mes4[[#This Row],[CUIT]]="","-",VLOOKUP(compras_mes4[[#This Row],[CUIT]],Lista_CUIT[#All],4,0)),"CUIT NO CARGADO")</f>
        <v>0</v>
      </c>
    </row>
    <row r="16" spans="1:26" ht="14.45" customHeight="1" x14ac:dyDescent="0.25">
      <c r="B16" s="40" t="s">
        <v>2437</v>
      </c>
      <c r="C16" s="41">
        <v>1</v>
      </c>
      <c r="D16" s="42">
        <v>711</v>
      </c>
      <c r="E16" s="43">
        <v>6997515</v>
      </c>
      <c r="F16" s="44">
        <v>30677237119</v>
      </c>
      <c r="G16" s="45" t="str">
        <f>IFERROR(IF(compras_mes4[[#This Row],[CUIT]]="","-",VLOOKUP(compras_mes4[[#This Row],[CUIT]],Lista_CUIT[#All],2,0)),"CUIT NO CARGADO")</f>
        <v>AUTOPISTAS DEL SOL S A</v>
      </c>
      <c r="H16" s="46">
        <v>32701.54</v>
      </c>
      <c r="I16" s="85">
        <f>IF(compras_mes4[[#This Row],[NETO GRAVADO]]="","",compras_mes4[[#This Row],[NETO GRAVADO]]*0.21)</f>
        <v>6867.3234000000002</v>
      </c>
      <c r="J16" s="85"/>
      <c r="K16" s="85"/>
      <c r="L16" s="85">
        <v>981.05</v>
      </c>
      <c r="M16" s="85"/>
      <c r="N16" s="85"/>
      <c r="O16" s="85">
        <v>981.05</v>
      </c>
      <c r="P16" s="48">
        <f>SUM(compras_mes4[[#This Row],[NETO GRAVADO]:[Otros / No Grav.]])</f>
        <v>41530.963400000008</v>
      </c>
      <c r="Q16" s="49" t="str">
        <f>IFERROR(IF(compras_mes4[[#This Row],[CUIT]]="","-",VLOOKUP(compras_mes4[[#This Row],[CUIT]],Lista_CUIT[#All],3,0)),"CUIT NO CARGADO")</f>
        <v>Peajes</v>
      </c>
      <c r="R16" s="49">
        <f>IFERROR(IF(compras_mes4[[#This Row],[CUIT]]="","-",VLOOKUP(compras_mes4[[#This Row],[CUIT]],Lista_CUIT[#All],4,0)),"CUIT NO CARGADO")</f>
        <v>0</v>
      </c>
    </row>
    <row r="17" spans="2:18" ht="14.45" customHeight="1" x14ac:dyDescent="0.25">
      <c r="B17" s="40" t="s">
        <v>2433</v>
      </c>
      <c r="C17" s="41">
        <v>1</v>
      </c>
      <c r="D17" s="42">
        <v>5015</v>
      </c>
      <c r="E17" s="43">
        <v>812865</v>
      </c>
      <c r="F17" s="44">
        <v>30574876474</v>
      </c>
      <c r="G17" s="45" t="str">
        <f>IFERROR(IF(compras_mes4[[#This Row],[CUIT]]="","-",VLOOKUP(compras_mes4[[#This Row],[CUIT]],Lista_CUIT[#All],2,0)),"CUIT NO CARGADO")</f>
        <v>AUTOPISTAS URBANAS S A</v>
      </c>
      <c r="H17" s="46">
        <v>91785.02</v>
      </c>
      <c r="I17" s="85">
        <f>IF(compras_mes4[[#This Row],[NETO GRAVADO]]="","",compras_mes4[[#This Row],[NETO GRAVADO]]*0.21)</f>
        <v>19274.854200000002</v>
      </c>
      <c r="J17" s="85"/>
      <c r="K17" s="85"/>
      <c r="L17" s="85"/>
      <c r="M17" s="85"/>
      <c r="N17" s="85"/>
      <c r="O17" s="85">
        <v>11932.02</v>
      </c>
      <c r="P17" s="48">
        <f>SUM(compras_mes4[[#This Row],[NETO GRAVADO]:[Otros / No Grav.]])</f>
        <v>122991.89420000001</v>
      </c>
      <c r="Q17" s="49" t="str">
        <f>IFERROR(IF(compras_mes4[[#This Row],[CUIT]]="","-",VLOOKUP(compras_mes4[[#This Row],[CUIT]],Lista_CUIT[#All],3,0)),"CUIT NO CARGADO")</f>
        <v>Peajes</v>
      </c>
      <c r="R17" s="49">
        <f>IFERROR(IF(compras_mes4[[#This Row],[CUIT]]="","-",VLOOKUP(compras_mes4[[#This Row],[CUIT]],Lista_CUIT[#All],4,0)),"CUIT NO CARGADO")</f>
        <v>0</v>
      </c>
    </row>
    <row r="18" spans="2:18" ht="14.45" customHeight="1" x14ac:dyDescent="0.25">
      <c r="B18" s="40" t="s">
        <v>2436</v>
      </c>
      <c r="C18" s="41">
        <v>1</v>
      </c>
      <c r="D18" s="42">
        <v>5015</v>
      </c>
      <c r="E18" s="43">
        <v>817333</v>
      </c>
      <c r="F18" s="44">
        <v>30574876474</v>
      </c>
      <c r="G18" s="45" t="str">
        <f>IFERROR(IF(compras_mes4[[#This Row],[CUIT]]="","-",VLOOKUP(compras_mes4[[#This Row],[CUIT]],Lista_CUIT[#All],2,0)),"CUIT NO CARGADO")</f>
        <v>AUTOPISTAS URBANAS S A</v>
      </c>
      <c r="H18" s="46">
        <v>100856.11</v>
      </c>
      <c r="I18" s="85">
        <f>IF(compras_mes4[[#This Row],[NETO GRAVADO]]="","",compras_mes4[[#This Row],[NETO GRAVADO]]*0.21)</f>
        <v>21179.783100000001</v>
      </c>
      <c r="J18" s="85"/>
      <c r="K18" s="85"/>
      <c r="L18" s="85"/>
      <c r="M18" s="85"/>
      <c r="N18" s="85"/>
      <c r="O18" s="85">
        <v>13111.24</v>
      </c>
      <c r="P18" s="48">
        <f>SUM(compras_mes4[[#This Row],[NETO GRAVADO]:[Otros / No Grav.]])</f>
        <v>135147.13310000001</v>
      </c>
      <c r="Q18" s="49" t="str">
        <f>IFERROR(IF(compras_mes4[[#This Row],[CUIT]]="","-",VLOOKUP(compras_mes4[[#This Row],[CUIT]],Lista_CUIT[#All],3,0)),"CUIT NO CARGADO")</f>
        <v>Peajes</v>
      </c>
      <c r="R18" s="49">
        <f>IFERROR(IF(compras_mes4[[#This Row],[CUIT]]="","-",VLOOKUP(compras_mes4[[#This Row],[CUIT]],Lista_CUIT[#All],4,0)),"CUIT NO CARGADO")</f>
        <v>0</v>
      </c>
    </row>
    <row r="19" spans="2:18" ht="14.45" customHeight="1" x14ac:dyDescent="0.25">
      <c r="B19" s="313" t="s">
        <v>2426</v>
      </c>
      <c r="C19" s="41">
        <v>1</v>
      </c>
      <c r="D19" s="314">
        <v>5015</v>
      </c>
      <c r="E19" s="477">
        <v>829106</v>
      </c>
      <c r="F19" s="315">
        <v>30574876474</v>
      </c>
      <c r="G19" s="316" t="str">
        <f>IFERROR(IF(compras_mes4[[#This Row],[CUIT]]="","-",VLOOKUP(compras_mes4[[#This Row],[CUIT]],Lista_CUIT[#All],2,0)),"CUIT NO CARGADO")</f>
        <v>AUTOPISTAS URBANAS S A</v>
      </c>
      <c r="H19" s="317">
        <v>92079.92</v>
      </c>
      <c r="I19" s="85">
        <f>IF(compras_mes4[[#This Row],[NETO GRAVADO]]="","",compras_mes4[[#This Row],[NETO GRAVADO]]*0.21)</f>
        <v>19336.783199999998</v>
      </c>
      <c r="J19" s="318"/>
      <c r="K19" s="318"/>
      <c r="L19" s="318"/>
      <c r="M19" s="318"/>
      <c r="N19" s="318"/>
      <c r="O19" s="318">
        <v>11970.36</v>
      </c>
      <c r="P19" s="319">
        <f>SUM(compras_mes4[[#This Row],[NETO GRAVADO]:[Otros / No Grav.]])</f>
        <v>123387.06319999999</v>
      </c>
      <c r="Q19" s="320" t="str">
        <f>IFERROR(IF(compras_mes4[[#This Row],[CUIT]]="","-",VLOOKUP(compras_mes4[[#This Row],[CUIT]],Lista_CUIT[#All],3,0)),"CUIT NO CARGADO")</f>
        <v>Peajes</v>
      </c>
      <c r="R19" s="320">
        <f>IFERROR(IF(compras_mes4[[#This Row],[CUIT]]="","-",VLOOKUP(compras_mes4[[#This Row],[CUIT]],Lista_CUIT[#All],4,0)),"CUIT NO CARGADO")</f>
        <v>0</v>
      </c>
    </row>
    <row r="20" spans="2:18" ht="14.45" customHeight="1" x14ac:dyDescent="0.25">
      <c r="B20" s="40" t="s">
        <v>2430</v>
      </c>
      <c r="C20" s="41">
        <v>1</v>
      </c>
      <c r="D20" s="42">
        <v>5015</v>
      </c>
      <c r="E20" s="43">
        <v>832641</v>
      </c>
      <c r="F20" s="44">
        <v>30574876474</v>
      </c>
      <c r="G20" s="45" t="str">
        <f>IFERROR(IF(compras_mes4[[#This Row],[CUIT]]="","-",VLOOKUP(compras_mes4[[#This Row],[CUIT]],Lista_CUIT[#All],2,0)),"CUIT NO CARGADO")</f>
        <v>AUTOPISTAS URBANAS S A</v>
      </c>
      <c r="H20" s="46">
        <v>120448.49</v>
      </c>
      <c r="I20" s="85">
        <f>IF(compras_mes4[[#This Row],[NETO GRAVADO]]="","",compras_mes4[[#This Row],[NETO GRAVADO]]*0.21)</f>
        <v>25294.1829</v>
      </c>
      <c r="J20" s="85"/>
      <c r="K20" s="85"/>
      <c r="L20" s="85"/>
      <c r="M20" s="85"/>
      <c r="N20" s="85"/>
      <c r="O20" s="85">
        <v>15658.25</v>
      </c>
      <c r="P20" s="48">
        <f>SUM(compras_mes4[[#This Row],[NETO GRAVADO]:[Otros / No Grav.]])</f>
        <v>161400.92290000001</v>
      </c>
      <c r="Q20" s="49" t="str">
        <f>IFERROR(IF(compras_mes4[[#This Row],[CUIT]]="","-",VLOOKUP(compras_mes4[[#This Row],[CUIT]],Lista_CUIT[#All],3,0)),"CUIT NO CARGADO")</f>
        <v>Peajes</v>
      </c>
      <c r="R20" s="49">
        <f>IFERROR(IF(compras_mes4[[#This Row],[CUIT]]="","-",VLOOKUP(compras_mes4[[#This Row],[CUIT]],Lista_CUIT[#All],4,0)),"CUIT NO CARGADO")</f>
        <v>0</v>
      </c>
    </row>
    <row r="21" spans="2:18" ht="14.45" customHeight="1" x14ac:dyDescent="0.25">
      <c r="B21" s="467">
        <v>45757</v>
      </c>
      <c r="C21" s="468">
        <v>1</v>
      </c>
      <c r="D21" s="469">
        <v>4</v>
      </c>
      <c r="E21" s="470">
        <v>58357770</v>
      </c>
      <c r="F21" s="471">
        <v>30709565075</v>
      </c>
      <c r="G21" s="472" t="str">
        <f>IFERROR(IF(compras_mes4[[#This Row],[CUIT]]="","-",VLOOKUP(compras_mes4[[#This Row],[CUIT]],Lista_CUIT[#All],2,0)),"CUIT NO CARGADO")</f>
        <v>AYSA S.A</v>
      </c>
      <c r="H21" s="473">
        <v>32933.600341796897</v>
      </c>
      <c r="I21" s="435">
        <f>IF(compras_mes4[[#This Row],[NETO GRAVADO]]="","",compras_mes4[[#This Row],[NETO GRAVADO]]*0.21)</f>
        <v>6916.0560717773478</v>
      </c>
      <c r="J21" s="474"/>
      <c r="K21" s="474"/>
      <c r="L21" s="474"/>
      <c r="M21" s="474"/>
      <c r="N21" s="474"/>
      <c r="O21" s="474">
        <v>589.510009765625</v>
      </c>
      <c r="P21" s="475">
        <f>SUM(compras_mes4[[#This Row],[NETO GRAVADO]:[Otros / No Grav.]])</f>
        <v>40439.16642333987</v>
      </c>
      <c r="Q21" s="476" t="str">
        <f>IFERROR(IF(compras_mes4[[#This Row],[CUIT]]="","-",VLOOKUP(compras_mes4[[#This Row],[CUIT]],Lista_CUIT[#All],3,0)),"CUIT NO CARGADO")</f>
        <v>Servicios Gas, Luz, etc.</v>
      </c>
      <c r="R21" s="476">
        <f>IFERROR(IF(compras_mes4[[#This Row],[CUIT]]="","-",VLOOKUP(compras_mes4[[#This Row],[CUIT]],Lista_CUIT[#All],4,0)),"CUIT NO CARGADO")</f>
        <v>0</v>
      </c>
    </row>
    <row r="22" spans="2:18" ht="14.45" customHeight="1" x14ac:dyDescent="0.25">
      <c r="B22" s="467">
        <v>45763</v>
      </c>
      <c r="C22" s="468">
        <v>1</v>
      </c>
      <c r="D22" s="469">
        <v>17</v>
      </c>
      <c r="E22" s="470">
        <v>10402663</v>
      </c>
      <c r="F22" s="471">
        <v>30709565075</v>
      </c>
      <c r="G22" s="472" t="str">
        <f>IFERROR(IF(compras_mes4[[#This Row],[CUIT]]="","-",VLOOKUP(compras_mes4[[#This Row],[CUIT]],Lista_CUIT[#All],2,0)),"CUIT NO CARGADO")</f>
        <v>AYSA S.A</v>
      </c>
      <c r="H22" s="473">
        <v>85264.109985351606</v>
      </c>
      <c r="I22" s="435" t="s">
        <v>2411</v>
      </c>
      <c r="J22" s="474">
        <f>compras_mes4[[#This Row],[NETO GRAVADO]]*0.27</f>
        <v>23021.309696044937</v>
      </c>
      <c r="K22" s="474"/>
      <c r="L22" s="474">
        <v>2557.919921875</v>
      </c>
      <c r="M22" s="474"/>
      <c r="N22" s="474"/>
      <c r="O22" s="474">
        <v>1526.22985839844</v>
      </c>
      <c r="P22" s="475">
        <f>SUM(compras_mes4[[#This Row],[NETO GRAVADO]:[Otros / No Grav.]])</f>
        <v>112369.56946166998</v>
      </c>
      <c r="Q22" s="476" t="str">
        <f>IFERROR(IF(compras_mes4[[#This Row],[CUIT]]="","-",VLOOKUP(compras_mes4[[#This Row],[CUIT]],Lista_CUIT[#All],3,0)),"CUIT NO CARGADO")</f>
        <v>Servicios Gas, Luz, etc.</v>
      </c>
      <c r="R22" s="476">
        <f>IFERROR(IF(compras_mes4[[#This Row],[CUIT]]="","-",VLOOKUP(compras_mes4[[#This Row],[CUIT]],Lista_CUIT[#All],4,0)),"CUIT NO CARGADO")</f>
        <v>0</v>
      </c>
    </row>
    <row r="23" spans="2:18" ht="14.45" customHeight="1" x14ac:dyDescent="0.25">
      <c r="B23" s="40" t="s">
        <v>2429</v>
      </c>
      <c r="C23" s="41">
        <v>1</v>
      </c>
      <c r="D23" s="42">
        <v>3</v>
      </c>
      <c r="E23" s="43">
        <v>3790</v>
      </c>
      <c r="F23" s="44">
        <v>30707428577</v>
      </c>
      <c r="G23" s="45" t="str">
        <f>IFERROR(IF(compras_mes4[[#This Row],[CUIT]]="","-",VLOOKUP(compras_mes4[[#This Row],[CUIT]],Lista_CUIT[#All],2,0)),"CUIT NO CARGADO")</f>
        <v>HELENA INTERNACIONAL TOURS S A</v>
      </c>
      <c r="H23" s="46">
        <v>147107.44</v>
      </c>
      <c r="I23" s="85">
        <f>IF(compras_mes4[[#This Row],[NETO GRAVADO]]="","",compras_mes4[[#This Row],[NETO GRAVADO]]*0.21)</f>
        <v>30892.562399999999</v>
      </c>
      <c r="J23" s="85"/>
      <c r="K23" s="85"/>
      <c r="L23" s="85"/>
      <c r="M23" s="85"/>
      <c r="N23" s="85"/>
      <c r="O23" s="85">
        <v>222000</v>
      </c>
      <c r="P23" s="48">
        <f>SUM(compras_mes4[[#This Row],[NETO GRAVADO]:[Otros / No Grav.]])</f>
        <v>400000.0024</v>
      </c>
      <c r="Q23" s="49" t="str">
        <f>IFERROR(IF(compras_mes4[[#This Row],[CUIT]]="","-",VLOOKUP(compras_mes4[[#This Row],[CUIT]],Lista_CUIT[#All],3,0)),"CUIT NO CARGADO")</f>
        <v>Gastos comercializacion - Viaje</v>
      </c>
      <c r="R23" s="49">
        <f>IFERROR(IF(compras_mes4[[#This Row],[CUIT]]="","-",VLOOKUP(compras_mes4[[#This Row],[CUIT]],Lista_CUIT[#All],4,0)),"CUIT NO CARGADO")</f>
        <v>0</v>
      </c>
    </row>
    <row r="24" spans="2:18" ht="14.45" customHeight="1" x14ac:dyDescent="0.25">
      <c r="B24" s="40" t="s">
        <v>2415</v>
      </c>
      <c r="C24" s="41">
        <v>1</v>
      </c>
      <c r="D24" s="42">
        <v>10</v>
      </c>
      <c r="E24" s="43">
        <v>684</v>
      </c>
      <c r="F24" s="44">
        <v>20323423785</v>
      </c>
      <c r="G24" s="45" t="str">
        <f>IFERROR(IF(compras_mes4[[#This Row],[CUIT]]="","-",VLOOKUP(compras_mes4[[#This Row],[CUIT]],Lista_CUIT[#All],2,0)),"CUIT NO CARGADO")</f>
        <v>ALBARRACIN ARIEL EDUARDO</v>
      </c>
      <c r="H24" s="46">
        <v>145041.32999999999</v>
      </c>
      <c r="I24" s="85">
        <f>IF(compras_mes4[[#This Row],[NETO GRAVADO]]="","",compras_mes4[[#This Row],[NETO GRAVADO]]*0.21)</f>
        <v>30458.679299999996</v>
      </c>
      <c r="J24" s="85"/>
      <c r="K24" s="85"/>
      <c r="L24" s="85"/>
      <c r="M24" s="85"/>
      <c r="N24" s="85"/>
      <c r="O24" s="85"/>
      <c r="P24" s="48">
        <f>SUM(compras_mes4[[#This Row],[NETO GRAVADO]:[Otros / No Grav.]])</f>
        <v>175500.00929999998</v>
      </c>
      <c r="Q24" s="49" t="str">
        <f>IFERROR(IF(compras_mes4[[#This Row],[CUIT]]="","-",VLOOKUP(compras_mes4[[#This Row],[CUIT]],Lista_CUIT[#All],3,0)),"CUIT NO CARGADO")</f>
        <v>Gastos Varios</v>
      </c>
      <c r="R24" s="49">
        <f>IFERROR(IF(compras_mes4[[#This Row],[CUIT]]="","-",VLOOKUP(compras_mes4[[#This Row],[CUIT]],Lista_CUIT[#All],4,0)),"CUIT NO CARGADO")</f>
        <v>0</v>
      </c>
    </row>
    <row r="25" spans="2:18" ht="14.45" customHeight="1" x14ac:dyDescent="0.25">
      <c r="B25" s="40" t="s">
        <v>2415</v>
      </c>
      <c r="C25" s="41">
        <v>1</v>
      </c>
      <c r="D25" s="42">
        <v>2</v>
      </c>
      <c r="E25" s="43">
        <v>302</v>
      </c>
      <c r="F25" s="44">
        <v>27309896063</v>
      </c>
      <c r="G25" s="45" t="str">
        <f>IFERROR(IF(compras_mes4[[#This Row],[CUIT]]="","-",VLOOKUP(compras_mes4[[#This Row],[CUIT]],Lista_CUIT[#All],2,0)),"CUIT NO CARGADO")</f>
        <v>BATTELLINI MARIA SOLEDAD</v>
      </c>
      <c r="H25" s="46">
        <v>620000</v>
      </c>
      <c r="I25" s="85">
        <f>IF(compras_mes4[[#This Row],[NETO GRAVADO]]="","",compras_mes4[[#This Row],[NETO GRAVADO]]*0.21)</f>
        <v>130200</v>
      </c>
      <c r="J25" s="85"/>
      <c r="K25" s="85"/>
      <c r="L25" s="85"/>
      <c r="M25" s="85"/>
      <c r="N25" s="85"/>
      <c r="O25" s="85"/>
      <c r="P25" s="48">
        <f>SUM(compras_mes4[[#This Row],[NETO GRAVADO]:[Otros / No Grav.]])</f>
        <v>750200</v>
      </c>
      <c r="Q25" s="49" t="str">
        <f>IFERROR(IF(compras_mes4[[#This Row],[CUIT]]="","-",VLOOKUP(compras_mes4[[#This Row],[CUIT]],Lista_CUIT[#All],3,0)),"CUIT NO CARGADO")</f>
        <v>Alquiler</v>
      </c>
      <c r="R25" s="49">
        <f>IFERROR(IF(compras_mes4[[#This Row],[CUIT]]="","-",VLOOKUP(compras_mes4[[#This Row],[CUIT]],Lista_CUIT[#All],4,0)),"CUIT NO CARGADO")</f>
        <v>0</v>
      </c>
    </row>
    <row r="26" spans="2:18" ht="14.45" customHeight="1" x14ac:dyDescent="0.25">
      <c r="B26" s="40" t="s">
        <v>2440</v>
      </c>
      <c r="C26" s="41">
        <v>1</v>
      </c>
      <c r="D26" s="42">
        <v>6</v>
      </c>
      <c r="E26" s="43">
        <v>10446</v>
      </c>
      <c r="F26" s="44">
        <v>30707603123</v>
      </c>
      <c r="G26" s="45" t="str">
        <f>IFERROR(IF(compras_mes4[[#This Row],[CUIT]]="","-",VLOOKUP(compras_mes4[[#This Row],[CUIT]],Lista_CUIT[#All],2,0)),"CUIT NO CARGADO")</f>
        <v>BI-ORIENT S.A.</v>
      </c>
      <c r="H26" s="46">
        <v>1548400</v>
      </c>
      <c r="I26" s="85">
        <f>IF(compras_mes4[[#This Row],[NETO GRAVADO]]="","",compras_mes4[[#This Row],[NETO GRAVADO]]*0.21)</f>
        <v>325164</v>
      </c>
      <c r="J26" s="85"/>
      <c r="K26" s="85"/>
      <c r="L26" s="85"/>
      <c r="M26" s="85"/>
      <c r="N26" s="85"/>
      <c r="O26" s="85"/>
      <c r="P26" s="48">
        <f>SUM(compras_mes4[[#This Row],[NETO GRAVADO]:[Otros / No Grav.]])</f>
        <v>1873564</v>
      </c>
      <c r="Q26" s="49" t="str">
        <f>IFERROR(IF(compras_mes4[[#This Row],[CUIT]]="","-",VLOOKUP(compras_mes4[[#This Row],[CUIT]],Lista_CUIT[#All],3,0)),"CUIT NO CARGADO")</f>
        <v>Material de Empaque</v>
      </c>
      <c r="R26" s="49">
        <f>IFERROR(IF(compras_mes4[[#This Row],[CUIT]]="","-",VLOOKUP(compras_mes4[[#This Row],[CUIT]],Lista_CUIT[#All],4,0)),"CUIT NO CARGADO")</f>
        <v>0</v>
      </c>
    </row>
    <row r="27" spans="2:18" ht="14.45" customHeight="1" x14ac:dyDescent="0.25">
      <c r="B27" s="313" t="s">
        <v>2425</v>
      </c>
      <c r="C27" s="41">
        <v>1</v>
      </c>
      <c r="D27" s="314">
        <v>2</v>
      </c>
      <c r="E27" s="477">
        <v>9911</v>
      </c>
      <c r="F27" s="315">
        <v>33714677239</v>
      </c>
      <c r="G27" s="316" t="str">
        <f>IFERROR(IF(compras_mes4[[#This Row],[CUIT]]="","-",VLOOKUP(compras_mes4[[#This Row],[CUIT]],Lista_CUIT[#All],2,0)),"CUIT NO CARGADO")</f>
        <v xml:space="preserve">BOMBAS VAPORIZADORAS </v>
      </c>
      <c r="H27" s="317">
        <v>2664000</v>
      </c>
      <c r="I27" s="85">
        <f>IF(compras_mes4[[#This Row],[NETO GRAVADO]]="","",compras_mes4[[#This Row],[NETO GRAVADO]]*0.21)</f>
        <v>559440</v>
      </c>
      <c r="J27" s="318"/>
      <c r="K27" s="318"/>
      <c r="L27" s="318"/>
      <c r="M27" s="318"/>
      <c r="N27" s="318"/>
      <c r="O27" s="318"/>
      <c r="P27" s="319">
        <f>SUM(compras_mes4[[#This Row],[NETO GRAVADO]:[Otros / No Grav.]])</f>
        <v>3223440</v>
      </c>
      <c r="Q27" s="320" t="str">
        <f>IFERROR(IF(compras_mes4[[#This Row],[CUIT]]="","-",VLOOKUP(compras_mes4[[#This Row],[CUIT]],Lista_CUIT[#All],3,0)),"CUIT NO CARGADO")</f>
        <v>Productos Venta</v>
      </c>
      <c r="R27" s="320">
        <f>IFERROR(IF(compras_mes4[[#This Row],[CUIT]]="","-",VLOOKUP(compras_mes4[[#This Row],[CUIT]],Lista_CUIT[#All],4,0)),"CUIT NO CARGADO")</f>
        <v>0</v>
      </c>
    </row>
    <row r="28" spans="2:18" ht="14.45" customHeight="1" x14ac:dyDescent="0.25">
      <c r="B28" s="40" t="s">
        <v>2431</v>
      </c>
      <c r="C28" s="41">
        <v>1</v>
      </c>
      <c r="D28" s="42">
        <v>4</v>
      </c>
      <c r="E28" s="43">
        <v>7213</v>
      </c>
      <c r="F28" s="44">
        <v>20255726103</v>
      </c>
      <c r="G28" s="45" t="str">
        <f>IFERROR(IF(compras_mes4[[#This Row],[CUIT]]="","-",VLOOKUP(compras_mes4[[#This Row],[CUIT]],Lista_CUIT[#All],2,0)),"CUIT NO CARGADO")</f>
        <v>BUSTAMANTE PABLO RODRIGO</v>
      </c>
      <c r="H28" s="46">
        <v>65433.06</v>
      </c>
      <c r="I28" s="85">
        <f>IF(compras_mes4[[#This Row],[NETO GRAVADO]]="","",compras_mes4[[#This Row],[NETO GRAVADO]]*0.21)</f>
        <v>13740.942599999998</v>
      </c>
      <c r="J28" s="85"/>
      <c r="K28" s="85"/>
      <c r="L28" s="85"/>
      <c r="M28" s="85"/>
      <c r="N28" s="85"/>
      <c r="O28" s="85"/>
      <c r="P28" s="48">
        <f>SUM(compras_mes4[[#This Row],[NETO GRAVADO]:[Otros / No Grav.]])</f>
        <v>79174.002599999993</v>
      </c>
      <c r="Q28" s="49" t="str">
        <f>IFERROR(IF(compras_mes4[[#This Row],[CUIT]]="","-",VLOOKUP(compras_mes4[[#This Row],[CUIT]],Lista_CUIT[#All],3,0)),"CUIT NO CARGADO")</f>
        <v>Material de Empaque</v>
      </c>
      <c r="R28" s="49">
        <f>IFERROR(IF(compras_mes4[[#This Row],[CUIT]]="","-",VLOOKUP(compras_mes4[[#This Row],[CUIT]],Lista_CUIT[#All],4,0)),"CUIT NO CARGADO")</f>
        <v>0</v>
      </c>
    </row>
    <row r="29" spans="2:18" ht="14.45" customHeight="1" x14ac:dyDescent="0.25">
      <c r="B29" s="40" t="s">
        <v>2432</v>
      </c>
      <c r="C29" s="41">
        <v>1</v>
      </c>
      <c r="D29" s="42">
        <v>11841</v>
      </c>
      <c r="E29" s="43">
        <v>1714</v>
      </c>
      <c r="F29" s="44">
        <v>30590360763</v>
      </c>
      <c r="G29" s="45" t="str">
        <f>IFERROR(IF(compras_mes4[[#This Row],[CUIT]]="","-",VLOOKUP(compras_mes4[[#This Row],[CUIT]],Lista_CUIT[#All],2,0)),"CUIT NO CARGADO")</f>
        <v>CENCOSUD S.A</v>
      </c>
      <c r="H29" s="46">
        <v>27731.02</v>
      </c>
      <c r="I29" s="85">
        <v>5241.4399999999996</v>
      </c>
      <c r="J29" s="85"/>
      <c r="K29" s="85">
        <v>291.04000000000002</v>
      </c>
      <c r="L29" s="85">
        <v>790.36</v>
      </c>
      <c r="M29" s="85"/>
      <c r="N29" s="85">
        <v>1663.86</v>
      </c>
      <c r="O29" s="85">
        <v>870.32</v>
      </c>
      <c r="P29" s="48">
        <f>SUM(compras_mes4[[#This Row],[NETO GRAVADO]:[Otros / No Grav.]])</f>
        <v>36588.04</v>
      </c>
      <c r="Q29" s="49" t="str">
        <f>IFERROR(IF(compras_mes4[[#This Row],[CUIT]]="","-",VLOOKUP(compras_mes4[[#This Row],[CUIT]],Lista_CUIT[#All],3,0)),"CUIT NO CARGADO")</f>
        <v>Gastos Varios</v>
      </c>
      <c r="R29" s="49">
        <f>IFERROR(IF(compras_mes4[[#This Row],[CUIT]]="","-",VLOOKUP(compras_mes4[[#This Row],[CUIT]],Lista_CUIT[#All],4,0)),"CUIT NO CARGADO")</f>
        <v>0</v>
      </c>
    </row>
    <row r="30" spans="2:18" ht="14.45" customHeight="1" x14ac:dyDescent="0.25">
      <c r="B30" s="40" t="s">
        <v>2435</v>
      </c>
      <c r="C30" s="41">
        <v>1</v>
      </c>
      <c r="D30" s="42">
        <v>8273</v>
      </c>
      <c r="E30" s="43">
        <v>11863</v>
      </c>
      <c r="F30" s="44">
        <v>30590360763</v>
      </c>
      <c r="G30" s="45" t="str">
        <f>IFERROR(IF(compras_mes4[[#This Row],[CUIT]]="","-",VLOOKUP(compras_mes4[[#This Row],[CUIT]],Lista_CUIT[#All],2,0)),"CUIT NO CARGADO")</f>
        <v>CENCOSUD S.A</v>
      </c>
      <c r="H30" s="46">
        <v>25396.69</v>
      </c>
      <c r="I30" s="85">
        <f>IF(compras_mes4[[#This Row],[NETO GRAVADO]]="","",compras_mes4[[#This Row],[NETO GRAVADO]]*0.21)</f>
        <v>5333.3048999999992</v>
      </c>
      <c r="J30" s="85"/>
      <c r="K30" s="85"/>
      <c r="L30" s="85">
        <v>761.9</v>
      </c>
      <c r="M30" s="85"/>
      <c r="N30" s="85">
        <v>1523.8</v>
      </c>
      <c r="O30" s="85"/>
      <c r="P30" s="48">
        <f>SUM(compras_mes4[[#This Row],[NETO GRAVADO]:[Otros / No Grav.]])</f>
        <v>33015.694900000002</v>
      </c>
      <c r="Q30" s="49" t="str">
        <f>IFERROR(IF(compras_mes4[[#This Row],[CUIT]]="","-",VLOOKUP(compras_mes4[[#This Row],[CUIT]],Lista_CUIT[#All],3,0)),"CUIT NO CARGADO")</f>
        <v>Gastos Varios</v>
      </c>
      <c r="R30" s="49">
        <f>IFERROR(IF(compras_mes4[[#This Row],[CUIT]]="","-",VLOOKUP(compras_mes4[[#This Row],[CUIT]],Lista_CUIT[#All],4,0)),"CUIT NO CARGADO")</f>
        <v>0</v>
      </c>
    </row>
    <row r="31" spans="2:18" ht="14.45" customHeight="1" x14ac:dyDescent="0.25">
      <c r="B31" s="40" t="s">
        <v>2439</v>
      </c>
      <c r="C31" s="41">
        <v>1</v>
      </c>
      <c r="D31" s="42">
        <v>11843</v>
      </c>
      <c r="E31" s="43">
        <v>1681</v>
      </c>
      <c r="F31" s="44">
        <v>30590360763</v>
      </c>
      <c r="G31" s="45" t="str">
        <f>IFERROR(IF(compras_mes4[[#This Row],[CUIT]]="","-",VLOOKUP(compras_mes4[[#This Row],[CUIT]],Lista_CUIT[#All],2,0)),"CUIT NO CARGADO")</f>
        <v>CENCOSUD S.A</v>
      </c>
      <c r="H31" s="46">
        <v>11114.02</v>
      </c>
      <c r="I31" s="85">
        <v>1422.27</v>
      </c>
      <c r="J31" s="85"/>
      <c r="K31" s="85">
        <v>455.84</v>
      </c>
      <c r="L31" s="85">
        <v>268.3</v>
      </c>
      <c r="M31" s="85"/>
      <c r="N31" s="85">
        <v>666.84</v>
      </c>
      <c r="O31" s="85"/>
      <c r="P31" s="48">
        <f>SUM(compras_mes4[[#This Row],[NETO GRAVADO]:[Otros / No Grav.]])</f>
        <v>13927.27</v>
      </c>
      <c r="Q31" s="49" t="str">
        <f>IFERROR(IF(compras_mes4[[#This Row],[CUIT]]="","-",VLOOKUP(compras_mes4[[#This Row],[CUIT]],Lista_CUIT[#All],3,0)),"CUIT NO CARGADO")</f>
        <v>Gastos Varios</v>
      </c>
      <c r="R31" s="49">
        <f>IFERROR(IF(compras_mes4[[#This Row],[CUIT]]="","-",VLOOKUP(compras_mes4[[#This Row],[CUIT]],Lista_CUIT[#All],4,0)),"CUIT NO CARGADO")</f>
        <v>0</v>
      </c>
    </row>
    <row r="32" spans="2:18" ht="14.45" customHeight="1" x14ac:dyDescent="0.25">
      <c r="B32" s="40" t="s">
        <v>2431</v>
      </c>
      <c r="C32" s="41">
        <v>1</v>
      </c>
      <c r="D32" s="42">
        <v>1</v>
      </c>
      <c r="E32" s="43">
        <v>598</v>
      </c>
      <c r="F32" s="44">
        <v>20131206144</v>
      </c>
      <c r="G32" s="45" t="str">
        <f>IFERROR(IF(compras_mes4[[#This Row],[CUIT]]="","-",VLOOKUP(compras_mes4[[#This Row],[CUIT]],Lista_CUIT[#All],2,0)),"CUIT NO CARGADO")</f>
        <v>CHAMORRO MANUEL</v>
      </c>
      <c r="H32" s="46">
        <v>1180956</v>
      </c>
      <c r="I32" s="85">
        <f>IF(compras_mes4[[#This Row],[NETO GRAVADO]]="","",compras_mes4[[#This Row],[NETO GRAVADO]]*0.21)</f>
        <v>248000.75999999998</v>
      </c>
      <c r="J32" s="85"/>
      <c r="K32" s="85"/>
      <c r="L32" s="85"/>
      <c r="M32" s="85"/>
      <c r="N32" s="85"/>
      <c r="O32" s="85"/>
      <c r="P32" s="48">
        <f>SUM(compras_mes4[[#This Row],[NETO GRAVADO]:[Otros / No Grav.]])</f>
        <v>1428956.76</v>
      </c>
      <c r="Q32" s="49" t="str">
        <f>IFERROR(IF(compras_mes4[[#This Row],[CUIT]]="","-",VLOOKUP(compras_mes4[[#This Row],[CUIT]],Lista_CUIT[#All],3,0)),"CUIT NO CARGADO")</f>
        <v>Alquiler</v>
      </c>
      <c r="R32" s="49">
        <f>IFERROR(IF(compras_mes4[[#This Row],[CUIT]]="","-",VLOOKUP(compras_mes4[[#This Row],[CUIT]],Lista_CUIT[#All],4,0)),"CUIT NO CARGADO")</f>
        <v>0</v>
      </c>
    </row>
    <row r="33" spans="2:18" ht="14.45" customHeight="1" x14ac:dyDescent="0.25">
      <c r="B33" s="40" t="s">
        <v>2425</v>
      </c>
      <c r="C33" s="41">
        <v>1</v>
      </c>
      <c r="D33" s="42">
        <v>7</v>
      </c>
      <c r="E33" s="43">
        <v>151959</v>
      </c>
      <c r="F33" s="44">
        <v>30716821516</v>
      </c>
      <c r="G33" s="45" t="str">
        <f>IFERROR(IF(compras_mes4[[#This Row],[CUIT]]="","-",VLOOKUP(compras_mes4[[#This Row],[CUIT]],Lista_CUIT[#All],2,0)),"CUIT NO CARGADO")</f>
        <v>GETNET ARGENTINA S. A. U.</v>
      </c>
      <c r="H33" s="46">
        <v>140000</v>
      </c>
      <c r="I33" s="85">
        <f>IF(compras_mes4[[#This Row],[NETO GRAVADO]]="","",compras_mes4[[#This Row],[NETO GRAVADO]]*0.21)</f>
        <v>29400</v>
      </c>
      <c r="J33" s="85"/>
      <c r="K33" s="85"/>
      <c r="L33" s="85"/>
      <c r="M33" s="85"/>
      <c r="N33" s="85"/>
      <c r="O33" s="85"/>
      <c r="P33" s="48">
        <f>SUM(compras_mes4[[#This Row],[NETO GRAVADO]:[Otros / No Grav.]])</f>
        <v>169400</v>
      </c>
      <c r="Q33" s="49" t="str">
        <f>IFERROR(IF(compras_mes4[[#This Row],[CUIT]]="","-",VLOOKUP(compras_mes4[[#This Row],[CUIT]],Lista_CUIT[#All],3,0)),"CUIT NO CARGADO")</f>
        <v>Gastos administrativos</v>
      </c>
      <c r="R33" s="49">
        <f>IFERROR(IF(compras_mes4[[#This Row],[CUIT]]="","-",VLOOKUP(compras_mes4[[#This Row],[CUIT]],Lista_CUIT[#All],4,0)),"CUIT NO CARGADO")</f>
        <v>0</v>
      </c>
    </row>
    <row r="34" spans="2:18" ht="14.45" customHeight="1" x14ac:dyDescent="0.25">
      <c r="B34" s="40" t="s">
        <v>2441</v>
      </c>
      <c r="C34" s="41">
        <v>1</v>
      </c>
      <c r="D34" s="42">
        <v>6</v>
      </c>
      <c r="E34" s="43">
        <v>3511</v>
      </c>
      <c r="F34" s="44">
        <v>30574603788</v>
      </c>
      <c r="G34" s="45" t="str">
        <f>IFERROR(IF(compras_mes4[[#This Row],[CUIT]]="","-",VLOOKUP(compras_mes4[[#This Row],[CUIT]],Lista_CUIT[#All],2,0)),"CUIT NO CARGADO")</f>
        <v>CODAC SRL</v>
      </c>
      <c r="H34" s="46">
        <v>4714220</v>
      </c>
      <c r="I34" s="85">
        <f>IF(compras_mes4[[#This Row],[NETO GRAVADO]]="","",compras_mes4[[#This Row],[NETO GRAVADO]]*0.21)</f>
        <v>989986.2</v>
      </c>
      <c r="J34" s="85"/>
      <c r="K34" s="85"/>
      <c r="L34" s="85"/>
      <c r="M34" s="85"/>
      <c r="N34" s="85"/>
      <c r="O34" s="85"/>
      <c r="P34" s="48">
        <f>SUM(compras_mes4[[#This Row],[NETO GRAVADO]:[Otros / No Grav.]])</f>
        <v>5704206.2000000002</v>
      </c>
      <c r="Q34" s="49" t="str">
        <f>IFERROR(IF(compras_mes4[[#This Row],[CUIT]]="","-",VLOOKUP(compras_mes4[[#This Row],[CUIT]],Lista_CUIT[#All],3,0)),"CUIT NO CARGADO")</f>
        <v>Productos Venta</v>
      </c>
      <c r="R34" s="49" t="str">
        <f>IFERROR(IF(compras_mes4[[#This Row],[CUIT]]="","-",VLOOKUP(compras_mes4[[#This Row],[CUIT]],Lista_CUIT[#All],4,0)),"CUIT NO CARGADO")</f>
        <v>BUENOS AIRES</v>
      </c>
    </row>
    <row r="35" spans="2:18" ht="14.45" customHeight="1" x14ac:dyDescent="0.25">
      <c r="B35" s="40" t="s">
        <v>2422</v>
      </c>
      <c r="C35" s="41">
        <v>1</v>
      </c>
      <c r="D35" s="42">
        <v>113</v>
      </c>
      <c r="E35" s="43">
        <v>4178857</v>
      </c>
      <c r="F35" s="44">
        <v>30577207190</v>
      </c>
      <c r="G35" s="45" t="str">
        <f>IFERROR(IF(compras_mes4[[#This Row],[CUIT]]="","-",VLOOKUP(compras_mes4[[#This Row],[CUIT]],Lista_CUIT[#All],2,0)),"CUIT NO CARGADO")</f>
        <v>COORDINACION ECOLOGICA AREA METROPOLITANA SOCIEDAD DEL ESTADO</v>
      </c>
      <c r="H35" s="46">
        <v>9348.76</v>
      </c>
      <c r="I35" s="85">
        <f>IF(compras_mes4[[#This Row],[NETO GRAVADO]]="","",compras_mes4[[#This Row],[NETO GRAVADO]]*0.21)</f>
        <v>1963.2395999999999</v>
      </c>
      <c r="J35" s="85"/>
      <c r="K35" s="85"/>
      <c r="L35" s="85">
        <v>280.45999999999998</v>
      </c>
      <c r="M35" s="85"/>
      <c r="N35" s="85"/>
      <c r="O35" s="85"/>
      <c r="P35" s="48">
        <f>SUM(compras_mes4[[#This Row],[NETO GRAVADO]:[Otros / No Grav.]])</f>
        <v>11592.459599999998</v>
      </c>
      <c r="Q35" s="49" t="str">
        <f>IFERROR(IF(compras_mes4[[#This Row],[CUIT]]="","-",VLOOKUP(compras_mes4[[#This Row],[CUIT]],Lista_CUIT[#All],3,0)),"CUIT NO CARGADO")</f>
        <v>Gastos Limpieza</v>
      </c>
      <c r="R35" s="49">
        <f>IFERROR(IF(compras_mes4[[#This Row],[CUIT]]="","-",VLOOKUP(compras_mes4[[#This Row],[CUIT]],Lista_CUIT[#All],4,0)),"CUIT NO CARGADO")</f>
        <v>0</v>
      </c>
    </row>
    <row r="36" spans="2:18" ht="14.45" customHeight="1" x14ac:dyDescent="0.25">
      <c r="B36" s="40" t="s">
        <v>2430</v>
      </c>
      <c r="C36" s="41">
        <v>1</v>
      </c>
      <c r="D36" s="42">
        <v>113</v>
      </c>
      <c r="E36" s="43">
        <v>4207192</v>
      </c>
      <c r="F36" s="44">
        <v>30577207190</v>
      </c>
      <c r="G36" s="45" t="str">
        <f>IFERROR(IF(compras_mes4[[#This Row],[CUIT]]="","-",VLOOKUP(compras_mes4[[#This Row],[CUIT]],Lista_CUIT[#All],2,0)),"CUIT NO CARGADO")</f>
        <v>COORDINACION ECOLOGICA AREA METROPOLITANA SOCIEDAD DEL ESTADO</v>
      </c>
      <c r="H36" s="46">
        <v>3719.01</v>
      </c>
      <c r="I36" s="85">
        <f>IF(compras_mes4[[#This Row],[NETO GRAVADO]]="","",compras_mes4[[#This Row],[NETO GRAVADO]]*0.21)</f>
        <v>780.99210000000005</v>
      </c>
      <c r="J36" s="85"/>
      <c r="K36" s="85"/>
      <c r="L36" s="85">
        <v>111.57</v>
      </c>
      <c r="M36" s="85"/>
      <c r="N36" s="85"/>
      <c r="O36" s="85"/>
      <c r="P36" s="48">
        <f>SUM(compras_mes4[[#This Row],[NETO GRAVADO]:[Otros / No Grav.]])</f>
        <v>4611.5721000000003</v>
      </c>
      <c r="Q36" s="49" t="str">
        <f>IFERROR(IF(compras_mes4[[#This Row],[CUIT]]="","-",VLOOKUP(compras_mes4[[#This Row],[CUIT]],Lista_CUIT[#All],3,0)),"CUIT NO CARGADO")</f>
        <v>Gastos Limpieza</v>
      </c>
      <c r="R36" s="49">
        <f>IFERROR(IF(compras_mes4[[#This Row],[CUIT]]="","-",VLOOKUP(compras_mes4[[#This Row],[CUIT]],Lista_CUIT[#All],4,0)),"CUIT NO CARGADO")</f>
        <v>0</v>
      </c>
    </row>
    <row r="37" spans="2:18" ht="14.45" customHeight="1" x14ac:dyDescent="0.25">
      <c r="B37" s="40" t="s">
        <v>2418</v>
      </c>
      <c r="C37" s="41">
        <v>1</v>
      </c>
      <c r="D37" s="42">
        <v>700</v>
      </c>
      <c r="E37" s="43">
        <v>2377896</v>
      </c>
      <c r="F37" s="44">
        <v>30715804812</v>
      </c>
      <c r="G37" s="45" t="str">
        <f>IFERROR(IF(compras_mes4[[#This Row],[CUIT]]="","-",VLOOKUP(compras_mes4[[#This Row],[CUIT]],Lista_CUIT[#All],2,0)),"CUIT NO CARGADO")</f>
        <v>CORREDORES VIALES SOCIEDAD ANONIMA</v>
      </c>
      <c r="H37" s="46">
        <v>7695.84</v>
      </c>
      <c r="I37" s="85">
        <f>IF(compras_mes4[[#This Row],[NETO GRAVADO]]="","",compras_mes4[[#This Row],[NETO GRAVADO]]*0.21)</f>
        <v>1616.1263999999999</v>
      </c>
      <c r="J37" s="85"/>
      <c r="K37" s="85"/>
      <c r="L37" s="85"/>
      <c r="M37" s="85"/>
      <c r="N37" s="85"/>
      <c r="O37" s="85"/>
      <c r="P37" s="48">
        <f>SUM(compras_mes4[[#This Row],[NETO GRAVADO]:[Otros / No Grav.]])</f>
        <v>9311.9663999999993</v>
      </c>
      <c r="Q37" s="49" t="str">
        <f>IFERROR(IF(compras_mes4[[#This Row],[CUIT]]="","-",VLOOKUP(compras_mes4[[#This Row],[CUIT]],Lista_CUIT[#All],3,0)),"CUIT NO CARGADO")</f>
        <v>Peajes</v>
      </c>
      <c r="R37" s="49">
        <f>IFERROR(IF(compras_mes4[[#This Row],[CUIT]]="","-",VLOOKUP(compras_mes4[[#This Row],[CUIT]],Lista_CUIT[#All],4,0)),"CUIT NO CARGADO")</f>
        <v>0</v>
      </c>
    </row>
    <row r="38" spans="2:18" ht="14.45" customHeight="1" x14ac:dyDescent="0.25">
      <c r="B38" s="313" t="s">
        <v>2422</v>
      </c>
      <c r="C38" s="41">
        <v>1</v>
      </c>
      <c r="D38" s="314">
        <v>104</v>
      </c>
      <c r="E38" s="477">
        <v>8886874</v>
      </c>
      <c r="F38" s="315">
        <v>30715804812</v>
      </c>
      <c r="G38" s="316" t="str">
        <f>IFERROR(IF(compras_mes4[[#This Row],[CUIT]]="","-",VLOOKUP(compras_mes4[[#This Row],[CUIT]],Lista_CUIT[#All],2,0)),"CUIT NO CARGADO")</f>
        <v>CORREDORES VIALES SOCIEDAD ANONIMA</v>
      </c>
      <c r="H38" s="317">
        <v>4159.9399999999996</v>
      </c>
      <c r="I38" s="85">
        <f>IF(compras_mes4[[#This Row],[NETO GRAVADO]]="","",compras_mes4[[#This Row],[NETO GRAVADO]]*0.21)</f>
        <v>873.58739999999989</v>
      </c>
      <c r="J38" s="318"/>
      <c r="K38" s="318"/>
      <c r="L38" s="318"/>
      <c r="M38" s="318">
        <v>249.6</v>
      </c>
      <c r="N38" s="318"/>
      <c r="O38" s="318"/>
      <c r="P38" s="319">
        <f>SUM(compras_mes4[[#This Row],[NETO GRAVADO]:[Otros / No Grav.]])</f>
        <v>5283.1273999999994</v>
      </c>
      <c r="Q38" s="320" t="str">
        <f>IFERROR(IF(compras_mes4[[#This Row],[CUIT]]="","-",VLOOKUP(compras_mes4[[#This Row],[CUIT]],Lista_CUIT[#All],3,0)),"CUIT NO CARGADO")</f>
        <v>Peajes</v>
      </c>
      <c r="R38" s="320">
        <f>IFERROR(IF(compras_mes4[[#This Row],[CUIT]]="","-",VLOOKUP(compras_mes4[[#This Row],[CUIT]],Lista_CUIT[#All],4,0)),"CUIT NO CARGADO")</f>
        <v>0</v>
      </c>
    </row>
    <row r="39" spans="2:18" ht="14.45" customHeight="1" x14ac:dyDescent="0.25">
      <c r="B39" s="40" t="s">
        <v>2425</v>
      </c>
      <c r="C39" s="41">
        <v>1</v>
      </c>
      <c r="D39" s="42">
        <v>700</v>
      </c>
      <c r="E39" s="43">
        <v>2407031</v>
      </c>
      <c r="F39" s="44">
        <v>30715804812</v>
      </c>
      <c r="G39" s="45" t="str">
        <f>IFERROR(IF(compras_mes4[[#This Row],[CUIT]]="","-",VLOOKUP(compras_mes4[[#This Row],[CUIT]],Lista_CUIT[#All],2,0)),"CUIT NO CARGADO")</f>
        <v>CORREDORES VIALES SOCIEDAD ANONIMA</v>
      </c>
      <c r="H39" s="46">
        <v>4575.92</v>
      </c>
      <c r="I39" s="85">
        <f>IF(compras_mes4[[#This Row],[NETO GRAVADO]]="","",compras_mes4[[#This Row],[NETO GRAVADO]]*0.21)</f>
        <v>960.94319999999993</v>
      </c>
      <c r="J39" s="85"/>
      <c r="K39" s="85"/>
      <c r="L39" s="85"/>
      <c r="M39" s="85"/>
      <c r="N39" s="85"/>
      <c r="O39" s="85"/>
      <c r="P39" s="48">
        <f>SUM(compras_mes4[[#This Row],[NETO GRAVADO]:[Otros / No Grav.]])</f>
        <v>5536.8631999999998</v>
      </c>
      <c r="Q39" s="49" t="str">
        <f>IFERROR(IF(compras_mes4[[#This Row],[CUIT]]="","-",VLOOKUP(compras_mes4[[#This Row],[CUIT]],Lista_CUIT[#All],3,0)),"CUIT NO CARGADO")</f>
        <v>Peajes</v>
      </c>
      <c r="R39" s="49">
        <f>IFERROR(IF(compras_mes4[[#This Row],[CUIT]]="","-",VLOOKUP(compras_mes4[[#This Row],[CUIT]],Lista_CUIT[#All],4,0)),"CUIT NO CARGADO")</f>
        <v>0</v>
      </c>
    </row>
    <row r="40" spans="2:18" ht="14.45" customHeight="1" x14ac:dyDescent="0.25">
      <c r="B40" s="40" t="s">
        <v>2443</v>
      </c>
      <c r="C40" s="41">
        <v>1</v>
      </c>
      <c r="D40" s="42">
        <v>104</v>
      </c>
      <c r="E40" s="43">
        <v>9065338</v>
      </c>
      <c r="F40" s="44">
        <v>30715804812</v>
      </c>
      <c r="G40" s="45" t="str">
        <f>IFERROR(IF(compras_mes4[[#This Row],[CUIT]]="","-",VLOOKUP(compras_mes4[[#This Row],[CUIT]],Lista_CUIT[#All],2,0)),"CUIT NO CARGADO")</f>
        <v>CORREDORES VIALES SOCIEDAD ANONIMA</v>
      </c>
      <c r="H40" s="46">
        <v>2079.9699999999998</v>
      </c>
      <c r="I40" s="85">
        <f>IF(compras_mes4[[#This Row],[NETO GRAVADO]]="","",compras_mes4[[#This Row],[NETO GRAVADO]]*0.21)</f>
        <v>436.79369999999994</v>
      </c>
      <c r="J40" s="85"/>
      <c r="K40" s="85"/>
      <c r="L40" s="85"/>
      <c r="M40" s="85">
        <v>124.8</v>
      </c>
      <c r="N40" s="85"/>
      <c r="O40" s="85"/>
      <c r="P40" s="48">
        <f>SUM(compras_mes4[[#This Row],[NETO GRAVADO]:[Otros / No Grav.]])</f>
        <v>2641.5636999999997</v>
      </c>
      <c r="Q40" s="49" t="str">
        <f>IFERROR(IF(compras_mes4[[#This Row],[CUIT]]="","-",VLOOKUP(compras_mes4[[#This Row],[CUIT]],Lista_CUIT[#All],3,0)),"CUIT NO CARGADO")</f>
        <v>Peajes</v>
      </c>
      <c r="R40" s="49">
        <f>IFERROR(IF(compras_mes4[[#This Row],[CUIT]]="","-",VLOOKUP(compras_mes4[[#This Row],[CUIT]],Lista_CUIT[#All],4,0)),"CUIT NO CARGADO")</f>
        <v>0</v>
      </c>
    </row>
    <row r="41" spans="2:18" ht="14.45" customHeight="1" x14ac:dyDescent="0.25">
      <c r="B41" s="40" t="s">
        <v>2429</v>
      </c>
      <c r="C41" s="41">
        <v>1</v>
      </c>
      <c r="D41" s="42">
        <v>3034</v>
      </c>
      <c r="E41" s="43">
        <v>8352173</v>
      </c>
      <c r="F41" s="44">
        <v>30708574836</v>
      </c>
      <c r="G41" s="45" t="str">
        <f>IFERROR(IF(compras_mes4[[#This Row],[CUIT]]="","-",VLOOKUP(compras_mes4[[#This Row],[CUIT]],Lista_CUIT[#All],2,0)),"CUIT NO CARGADO")</f>
        <v>CORREO OFICIAL DE LA REPUBLICA ARGENTINA SOCIEDAD ANONIMA</v>
      </c>
      <c r="H41" s="46">
        <v>5953.72</v>
      </c>
      <c r="I41" s="85">
        <f>IF(compras_mes4[[#This Row],[NETO GRAVADO]]="","",compras_mes4[[#This Row],[NETO GRAVADO]]*0.21)</f>
        <v>1250.2811999999999</v>
      </c>
      <c r="J41" s="85"/>
      <c r="K41" s="85"/>
      <c r="L41" s="85"/>
      <c r="M41" s="85"/>
      <c r="N41" s="85"/>
      <c r="O41" s="85"/>
      <c r="P41" s="48">
        <f>SUM(compras_mes4[[#This Row],[NETO GRAVADO]:[Otros / No Grav.]])</f>
        <v>7204.0012000000006</v>
      </c>
      <c r="Q41" s="49" t="str">
        <f>IFERROR(IF(compras_mes4[[#This Row],[CUIT]]="","-",VLOOKUP(compras_mes4[[#This Row],[CUIT]],Lista_CUIT[#All],3,0)),"CUIT NO CARGADO")</f>
        <v>MESAJERIA</v>
      </c>
      <c r="R41" s="49">
        <f>IFERROR(IF(compras_mes4[[#This Row],[CUIT]]="","-",VLOOKUP(compras_mes4[[#This Row],[CUIT]],Lista_CUIT[#All],4,0)),"CUIT NO CARGADO")</f>
        <v>0</v>
      </c>
    </row>
    <row r="42" spans="2:18" ht="14.45" customHeight="1" x14ac:dyDescent="0.25">
      <c r="B42" s="40" t="s">
        <v>2416</v>
      </c>
      <c r="C42" s="41">
        <v>1</v>
      </c>
      <c r="D42" s="42">
        <v>2188</v>
      </c>
      <c r="E42" s="43">
        <v>145426</v>
      </c>
      <c r="F42" s="44">
        <v>30548083156</v>
      </c>
      <c r="G42" s="45" t="str">
        <f>IFERROR(IF(compras_mes4[[#This Row],[CUIT]]="","-",VLOOKUP(compras_mes4[[#This Row],[CUIT]],Lista_CUIT[#All],2,0)),"CUIT NO CARGADO")</f>
        <v>COTO CENTRO INTEGRAL DE COMERCIALIZACION SOCIEDAD ANONIMA</v>
      </c>
      <c r="H42" s="46">
        <v>135368.4</v>
      </c>
      <c r="I42" s="85">
        <v>26556.44</v>
      </c>
      <c r="J42" s="85"/>
      <c r="K42" s="85">
        <v>935.46</v>
      </c>
      <c r="L42" s="85"/>
      <c r="M42" s="85"/>
      <c r="N42" s="85"/>
      <c r="O42" s="85">
        <v>11192.19</v>
      </c>
      <c r="P42" s="48">
        <f>SUM(compras_mes4[[#This Row],[NETO GRAVADO]:[Otros / No Grav.]])</f>
        <v>174052.49</v>
      </c>
      <c r="Q42" s="49" t="str">
        <f>IFERROR(IF(compras_mes4[[#This Row],[CUIT]]="","-",VLOOKUP(compras_mes4[[#This Row],[CUIT]],Lista_CUIT[#All],3,0)),"CUIT NO CARGADO")</f>
        <v>Gastos Varios</v>
      </c>
      <c r="R42" s="49">
        <f>IFERROR(IF(compras_mes4[[#This Row],[CUIT]]="","-",VLOOKUP(compras_mes4[[#This Row],[CUIT]],Lista_CUIT[#All],4,0)),"CUIT NO CARGADO")</f>
        <v>0</v>
      </c>
    </row>
    <row r="43" spans="2:18" ht="14.45" customHeight="1" x14ac:dyDescent="0.25">
      <c r="B43" s="40" t="s">
        <v>2416</v>
      </c>
      <c r="C43" s="41">
        <v>1</v>
      </c>
      <c r="D43" s="42">
        <v>2215</v>
      </c>
      <c r="E43" s="43">
        <v>52938</v>
      </c>
      <c r="F43" s="44">
        <v>30548083156</v>
      </c>
      <c r="G43" s="45" t="str">
        <f>IFERROR(IF(compras_mes4[[#This Row],[CUIT]]="","-",VLOOKUP(compras_mes4[[#This Row],[CUIT]],Lista_CUIT[#All],2,0)),"CUIT NO CARGADO")</f>
        <v>COTO CENTRO INTEGRAL DE COMERCIALIZACION SOCIEDAD ANONIMA</v>
      </c>
      <c r="H43" s="46">
        <v>53347.57</v>
      </c>
      <c r="I43" s="85">
        <f>IF(compras_mes4[[#This Row],[NETO GRAVADO]]="","",compras_mes4[[#This Row],[NETO GRAVADO]]*0.21)</f>
        <v>11202.9897</v>
      </c>
      <c r="J43" s="85"/>
      <c r="K43" s="85"/>
      <c r="L43" s="85"/>
      <c r="M43" s="85"/>
      <c r="N43" s="85"/>
      <c r="O43" s="85">
        <v>4801.28</v>
      </c>
      <c r="P43" s="48">
        <f>SUM(compras_mes4[[#This Row],[NETO GRAVADO]:[Otros / No Grav.]])</f>
        <v>69351.839699999997</v>
      </c>
      <c r="Q43" s="49" t="str">
        <f>IFERROR(IF(compras_mes4[[#This Row],[CUIT]]="","-",VLOOKUP(compras_mes4[[#This Row],[CUIT]],Lista_CUIT[#All],3,0)),"CUIT NO CARGADO")</f>
        <v>Gastos Varios</v>
      </c>
      <c r="R43" s="49">
        <f>IFERROR(IF(compras_mes4[[#This Row],[CUIT]]="","-",VLOOKUP(compras_mes4[[#This Row],[CUIT]],Lista_CUIT[#All],4,0)),"CUIT NO CARGADO")</f>
        <v>0</v>
      </c>
    </row>
    <row r="44" spans="2:18" ht="14.45" customHeight="1" x14ac:dyDescent="0.25">
      <c r="B44" s="40" t="s">
        <v>2420</v>
      </c>
      <c r="C44" s="41">
        <v>1</v>
      </c>
      <c r="D44" s="42">
        <v>4910</v>
      </c>
      <c r="E44" s="43">
        <v>19</v>
      </c>
      <c r="F44" s="44">
        <v>30548083156</v>
      </c>
      <c r="G44" s="45" t="str">
        <f>IFERROR(IF(compras_mes4[[#This Row],[CUIT]]="","-",VLOOKUP(compras_mes4[[#This Row],[CUIT]],Lista_CUIT[#All],2,0)),"CUIT NO CARGADO")</f>
        <v>COTO CENTRO INTEGRAL DE COMERCIALIZACION SOCIEDAD ANONIMA</v>
      </c>
      <c r="H44" s="46">
        <v>62662.2</v>
      </c>
      <c r="I44" s="85">
        <v>9172.52</v>
      </c>
      <c r="J44" s="85"/>
      <c r="K44" s="85">
        <v>1993.27</v>
      </c>
      <c r="L44" s="85"/>
      <c r="M44" s="85"/>
      <c r="N44" s="85"/>
      <c r="O44" s="85">
        <v>4215.83</v>
      </c>
      <c r="P44" s="48">
        <f>SUM(compras_mes4[[#This Row],[NETO GRAVADO]:[Otros / No Grav.]])</f>
        <v>78043.820000000007</v>
      </c>
      <c r="Q44" s="49" t="str">
        <f>IFERROR(IF(compras_mes4[[#This Row],[CUIT]]="","-",VLOOKUP(compras_mes4[[#This Row],[CUIT]],Lista_CUIT[#All],3,0)),"CUIT NO CARGADO")</f>
        <v>Gastos Varios</v>
      </c>
      <c r="R44" s="49">
        <f>IFERROR(IF(compras_mes4[[#This Row],[CUIT]]="","-",VLOOKUP(compras_mes4[[#This Row],[CUIT]],Lista_CUIT[#All],4,0)),"CUIT NO CARGADO")</f>
        <v>0</v>
      </c>
    </row>
    <row r="45" spans="2:18" ht="14.45" customHeight="1" x14ac:dyDescent="0.25">
      <c r="B45" s="40" t="s">
        <v>2421</v>
      </c>
      <c r="C45" s="41">
        <v>1</v>
      </c>
      <c r="D45" s="42">
        <v>2199</v>
      </c>
      <c r="E45" s="43">
        <v>36249</v>
      </c>
      <c r="F45" s="44">
        <v>30548083156</v>
      </c>
      <c r="G45" s="45" t="str">
        <f>IFERROR(IF(compras_mes4[[#This Row],[CUIT]]="","-",VLOOKUP(compras_mes4[[#This Row],[CUIT]],Lista_CUIT[#All],2,0)),"CUIT NO CARGADO")</f>
        <v>COTO CENTRO INTEGRAL DE COMERCIALIZACION SOCIEDAD ANONIMA</v>
      </c>
      <c r="H45" s="46">
        <v>49288.63</v>
      </c>
      <c r="I45" s="85">
        <v>8690.41</v>
      </c>
      <c r="J45" s="85"/>
      <c r="K45" s="85">
        <v>830.1</v>
      </c>
      <c r="L45" s="85"/>
      <c r="M45" s="85"/>
      <c r="N45" s="85"/>
      <c r="O45" s="85">
        <v>3843.05</v>
      </c>
      <c r="P45" s="48">
        <f>SUM(compras_mes4[[#This Row],[NETO GRAVADO]:[Otros / No Grav.]])</f>
        <v>62652.189999999995</v>
      </c>
      <c r="Q45" s="49" t="str">
        <f>IFERROR(IF(compras_mes4[[#This Row],[CUIT]]="","-",VLOOKUP(compras_mes4[[#This Row],[CUIT]],Lista_CUIT[#All],3,0)),"CUIT NO CARGADO")</f>
        <v>Gastos Varios</v>
      </c>
      <c r="R45" s="49">
        <f>IFERROR(IF(compras_mes4[[#This Row],[CUIT]]="","-",VLOOKUP(compras_mes4[[#This Row],[CUIT]],Lista_CUIT[#All],4,0)),"CUIT NO CARGADO")</f>
        <v>0</v>
      </c>
    </row>
    <row r="46" spans="2:18" ht="14.45" customHeight="1" x14ac:dyDescent="0.25">
      <c r="B46" s="40" t="s">
        <v>2421</v>
      </c>
      <c r="C46" s="41">
        <v>1</v>
      </c>
      <c r="D46" s="42">
        <v>2084</v>
      </c>
      <c r="E46" s="43">
        <v>28547</v>
      </c>
      <c r="F46" s="44">
        <v>30548083156</v>
      </c>
      <c r="G46" s="45" t="str">
        <f>IFERROR(IF(compras_mes4[[#This Row],[CUIT]]="","-",VLOOKUP(compras_mes4[[#This Row],[CUIT]],Lista_CUIT[#All],2,0)),"CUIT NO CARGADO")</f>
        <v>COTO CENTRO INTEGRAL DE COMERCIALIZACION SOCIEDAD ANONIMA</v>
      </c>
      <c r="H46" s="46">
        <v>47209.67</v>
      </c>
      <c r="I46" s="85">
        <v>9822.73</v>
      </c>
      <c r="J46" s="85"/>
      <c r="K46" s="85">
        <v>45.65</v>
      </c>
      <c r="L46" s="85"/>
      <c r="M46" s="85"/>
      <c r="N46" s="85"/>
      <c r="O46" s="85">
        <v>4235.83</v>
      </c>
      <c r="P46" s="48">
        <f>SUM(compras_mes4[[#This Row],[NETO GRAVADO]:[Otros / No Grav.]])</f>
        <v>61313.88</v>
      </c>
      <c r="Q46" s="49" t="str">
        <f>IFERROR(IF(compras_mes4[[#This Row],[CUIT]]="","-",VLOOKUP(compras_mes4[[#This Row],[CUIT]],Lista_CUIT[#All],3,0)),"CUIT NO CARGADO")</f>
        <v>Gastos Varios</v>
      </c>
      <c r="R46" s="49">
        <f>IFERROR(IF(compras_mes4[[#This Row],[CUIT]]="","-",VLOOKUP(compras_mes4[[#This Row],[CUIT]],Lista_CUIT[#All],4,0)),"CUIT NO CARGADO")</f>
        <v>0</v>
      </c>
    </row>
    <row r="47" spans="2:18" ht="14.45" customHeight="1" x14ac:dyDescent="0.25">
      <c r="B47" s="40" t="s">
        <v>2436</v>
      </c>
      <c r="C47" s="41">
        <v>1</v>
      </c>
      <c r="D47" s="42">
        <v>2188</v>
      </c>
      <c r="E47" s="43">
        <v>146225</v>
      </c>
      <c r="F47" s="44">
        <v>30548083156</v>
      </c>
      <c r="G47" s="45" t="str">
        <f>IFERROR(IF(compras_mes4[[#This Row],[CUIT]]="","-",VLOOKUP(compras_mes4[[#This Row],[CUIT]],Lista_CUIT[#All],2,0)),"CUIT NO CARGADO")</f>
        <v>COTO CENTRO INTEGRAL DE COMERCIALIZACION SOCIEDAD ANONIMA</v>
      </c>
      <c r="H47" s="46">
        <v>18864.5</v>
      </c>
      <c r="I47" s="85">
        <v>2752.27</v>
      </c>
      <c r="J47" s="85"/>
      <c r="K47" s="85">
        <v>604.64</v>
      </c>
      <c r="L47" s="85"/>
      <c r="M47" s="85"/>
      <c r="N47" s="85"/>
      <c r="O47" s="85">
        <v>1497.37</v>
      </c>
      <c r="P47" s="48">
        <f>SUM(compras_mes4[[#This Row],[NETO GRAVADO]:[Otros / No Grav.]])</f>
        <v>23718.78</v>
      </c>
      <c r="Q47" s="49" t="str">
        <f>IFERROR(IF(compras_mes4[[#This Row],[CUIT]]="","-",VLOOKUP(compras_mes4[[#This Row],[CUIT]],Lista_CUIT[#All],3,0)),"CUIT NO CARGADO")</f>
        <v>Gastos Varios</v>
      </c>
      <c r="R47" s="49">
        <f>IFERROR(IF(compras_mes4[[#This Row],[CUIT]]="","-",VLOOKUP(compras_mes4[[#This Row],[CUIT]],Lista_CUIT[#All],4,0)),"CUIT NO CARGADO")</f>
        <v>0</v>
      </c>
    </row>
    <row r="48" spans="2:18" ht="14.45" customHeight="1" x14ac:dyDescent="0.25">
      <c r="B48" s="40" t="s">
        <v>2422</v>
      </c>
      <c r="C48" s="41">
        <v>1</v>
      </c>
      <c r="D48" s="42">
        <v>2188</v>
      </c>
      <c r="E48" s="43">
        <v>146304</v>
      </c>
      <c r="F48" s="44">
        <v>30548083156</v>
      </c>
      <c r="G48" s="45" t="str">
        <f>IFERROR(IF(compras_mes4[[#This Row],[CUIT]]="","-",VLOOKUP(compras_mes4[[#This Row],[CUIT]],Lista_CUIT[#All],2,0)),"CUIT NO CARGADO")</f>
        <v>COTO CENTRO INTEGRAL DE COMERCIALIZACION SOCIEDAD ANONIMA</v>
      </c>
      <c r="H48" s="46">
        <v>60948.21</v>
      </c>
      <c r="I48" s="85">
        <v>10791.19</v>
      </c>
      <c r="J48" s="85"/>
      <c r="K48" s="85">
        <v>1003.97</v>
      </c>
      <c r="L48" s="85"/>
      <c r="M48" s="85"/>
      <c r="N48" s="85"/>
      <c r="O48" s="85">
        <v>5278.76</v>
      </c>
      <c r="P48" s="48">
        <f>SUM(compras_mes4[[#This Row],[NETO GRAVADO]:[Otros / No Grav.]])</f>
        <v>78022.12999999999</v>
      </c>
      <c r="Q48" s="49" t="str">
        <f>IFERROR(IF(compras_mes4[[#This Row],[CUIT]]="","-",VLOOKUP(compras_mes4[[#This Row],[CUIT]],Lista_CUIT[#All],3,0)),"CUIT NO CARGADO")</f>
        <v>Gastos Varios</v>
      </c>
      <c r="R48" s="49">
        <f>IFERROR(IF(compras_mes4[[#This Row],[CUIT]]="","-",VLOOKUP(compras_mes4[[#This Row],[CUIT]],Lista_CUIT[#All],4,0)),"CUIT NO CARGADO")</f>
        <v>0</v>
      </c>
    </row>
    <row r="49" spans="2:18" ht="14.45" customHeight="1" x14ac:dyDescent="0.25">
      <c r="B49" s="40" t="s">
        <v>2438</v>
      </c>
      <c r="C49" s="41">
        <v>1</v>
      </c>
      <c r="D49" s="42">
        <v>2199</v>
      </c>
      <c r="E49" s="43">
        <v>36322</v>
      </c>
      <c r="F49" s="44">
        <v>30548083156</v>
      </c>
      <c r="G49" s="45" t="str">
        <f>IFERROR(IF(compras_mes4[[#This Row],[CUIT]]="","-",VLOOKUP(compras_mes4[[#This Row],[CUIT]],Lista_CUIT[#All],2,0)),"CUIT NO CARGADO")</f>
        <v>COTO CENTRO INTEGRAL DE COMERCIALIZACION SOCIEDAD ANONIMA</v>
      </c>
      <c r="H49" s="46">
        <v>40316.730000000003</v>
      </c>
      <c r="I49" s="85">
        <v>6478.46</v>
      </c>
      <c r="J49" s="85"/>
      <c r="K49" s="85">
        <v>994.03</v>
      </c>
      <c r="L49" s="85"/>
      <c r="M49" s="85"/>
      <c r="N49" s="85"/>
      <c r="O49" s="85">
        <v>3248.37</v>
      </c>
      <c r="P49" s="48">
        <f>SUM(compras_mes4[[#This Row],[NETO GRAVADO]:[Otros / No Grav.]])</f>
        <v>51037.590000000004</v>
      </c>
      <c r="Q49" s="49" t="str">
        <f>IFERROR(IF(compras_mes4[[#This Row],[CUIT]]="","-",VLOOKUP(compras_mes4[[#This Row],[CUIT]],Lista_CUIT[#All],3,0)),"CUIT NO CARGADO")</f>
        <v>Gastos Varios</v>
      </c>
      <c r="R49" s="49">
        <f>IFERROR(IF(compras_mes4[[#This Row],[CUIT]]="","-",VLOOKUP(compras_mes4[[#This Row],[CUIT]],Lista_CUIT[#All],4,0)),"CUIT NO CARGADO")</f>
        <v>0</v>
      </c>
    </row>
    <row r="50" spans="2:18" ht="14.45" customHeight="1" x14ac:dyDescent="0.25">
      <c r="B50" s="40" t="s">
        <v>2439</v>
      </c>
      <c r="C50" s="41">
        <v>1</v>
      </c>
      <c r="D50" s="42">
        <v>2084</v>
      </c>
      <c r="E50" s="43">
        <v>28648</v>
      </c>
      <c r="F50" s="44">
        <v>30548083156</v>
      </c>
      <c r="G50" s="45" t="str">
        <f>IFERROR(IF(compras_mes4[[#This Row],[CUIT]]="","-",VLOOKUP(compras_mes4[[#This Row],[CUIT]],Lista_CUIT[#All],2,0)),"CUIT NO CARGADO")</f>
        <v>COTO CENTRO INTEGRAL DE COMERCIALIZACION SOCIEDAD ANONIMA</v>
      </c>
      <c r="H50" s="46">
        <v>53227.14</v>
      </c>
      <c r="I50" s="85">
        <v>7000.78</v>
      </c>
      <c r="J50" s="85"/>
      <c r="K50" s="85">
        <v>2088.46</v>
      </c>
      <c r="L50" s="85"/>
      <c r="M50" s="85"/>
      <c r="N50" s="85"/>
      <c r="O50" s="85">
        <v>3136.53</v>
      </c>
      <c r="P50" s="48">
        <f>SUM(compras_mes4[[#This Row],[NETO GRAVADO]:[Otros / No Grav.]])</f>
        <v>65452.909999999996</v>
      </c>
      <c r="Q50" s="49" t="str">
        <f>IFERROR(IF(compras_mes4[[#This Row],[CUIT]]="","-",VLOOKUP(compras_mes4[[#This Row],[CUIT]],Lista_CUIT[#All],3,0)),"CUIT NO CARGADO")</f>
        <v>Gastos Varios</v>
      </c>
      <c r="R50" s="49">
        <f>IFERROR(IF(compras_mes4[[#This Row],[CUIT]]="","-",VLOOKUP(compras_mes4[[#This Row],[CUIT]],Lista_CUIT[#All],4,0)),"CUIT NO CARGADO")</f>
        <v>0</v>
      </c>
    </row>
    <row r="51" spans="2:18" ht="14.45" customHeight="1" x14ac:dyDescent="0.25">
      <c r="B51" s="40" t="s">
        <v>2427</v>
      </c>
      <c r="C51" s="41">
        <v>1</v>
      </c>
      <c r="D51" s="42">
        <v>2188</v>
      </c>
      <c r="E51" s="43">
        <v>147025</v>
      </c>
      <c r="F51" s="44">
        <v>30548083156</v>
      </c>
      <c r="G51" s="45" t="str">
        <f>IFERROR(IF(compras_mes4[[#This Row],[CUIT]]="","-",VLOOKUP(compras_mes4[[#This Row],[CUIT]],Lista_CUIT[#All],2,0)),"CUIT NO CARGADO")</f>
        <v>COTO CENTRO INTEGRAL DE COMERCIALIZACION SOCIEDAD ANONIMA</v>
      </c>
      <c r="H51" s="46">
        <v>152191.74</v>
      </c>
      <c r="I51" s="85">
        <v>28648</v>
      </c>
      <c r="J51" s="85"/>
      <c r="K51" s="85">
        <v>1656.13</v>
      </c>
      <c r="L51" s="85"/>
      <c r="M51" s="85"/>
      <c r="N51" s="85"/>
      <c r="O51" s="85">
        <v>12643.81</v>
      </c>
      <c r="P51" s="48">
        <f>SUM(compras_mes4[[#This Row],[NETO GRAVADO]:[Otros / No Grav.]])</f>
        <v>195139.68</v>
      </c>
      <c r="Q51" s="49" t="str">
        <f>IFERROR(IF(compras_mes4[[#This Row],[CUIT]]="","-",VLOOKUP(compras_mes4[[#This Row],[CUIT]],Lista_CUIT[#All],3,0)),"CUIT NO CARGADO")</f>
        <v>Gastos Varios</v>
      </c>
      <c r="R51" s="49">
        <f>IFERROR(IF(compras_mes4[[#This Row],[CUIT]]="","-",VLOOKUP(compras_mes4[[#This Row],[CUIT]],Lista_CUIT[#All],4,0)),"CUIT NO CARGADO")</f>
        <v>0</v>
      </c>
    </row>
    <row r="52" spans="2:18" ht="14.45" customHeight="1" x14ac:dyDescent="0.25">
      <c r="B52" s="40" t="s">
        <v>2442</v>
      </c>
      <c r="C52" s="41">
        <v>1</v>
      </c>
      <c r="D52" s="42">
        <v>2084</v>
      </c>
      <c r="E52" s="43">
        <v>28806</v>
      </c>
      <c r="F52" s="44">
        <v>30548083156</v>
      </c>
      <c r="G52" s="45" t="str">
        <f>IFERROR(IF(compras_mes4[[#This Row],[CUIT]]="","-",VLOOKUP(compras_mes4[[#This Row],[CUIT]],Lista_CUIT[#All],2,0)),"CUIT NO CARGADO")</f>
        <v>COTO CENTRO INTEGRAL DE COMERCIALIZACION SOCIEDAD ANONIMA</v>
      </c>
      <c r="H52" s="46">
        <v>64916.29</v>
      </c>
      <c r="I52" s="85">
        <v>8951.27</v>
      </c>
      <c r="J52" s="85"/>
      <c r="K52" s="85">
        <v>2340.58</v>
      </c>
      <c r="L52" s="85"/>
      <c r="M52" s="85"/>
      <c r="N52" s="85"/>
      <c r="O52" s="85">
        <v>4196.82</v>
      </c>
      <c r="P52" s="48">
        <f>SUM(compras_mes4[[#This Row],[NETO GRAVADO]:[Otros / No Grav.]])</f>
        <v>80404.959999999992</v>
      </c>
      <c r="Q52" s="49" t="str">
        <f>IFERROR(IF(compras_mes4[[#This Row],[CUIT]]="","-",VLOOKUP(compras_mes4[[#This Row],[CUIT]],Lista_CUIT[#All],3,0)),"CUIT NO CARGADO")</f>
        <v>Gastos Varios</v>
      </c>
      <c r="R52" s="49">
        <f>IFERROR(IF(compras_mes4[[#This Row],[CUIT]]="","-",VLOOKUP(compras_mes4[[#This Row],[CUIT]],Lista_CUIT[#All],4,0)),"CUIT NO CARGADO")</f>
        <v>0</v>
      </c>
    </row>
    <row r="53" spans="2:18" ht="14.45" customHeight="1" x14ac:dyDescent="0.25">
      <c r="B53" s="40" t="s">
        <v>2430</v>
      </c>
      <c r="C53" s="41">
        <v>1</v>
      </c>
      <c r="D53" s="42">
        <v>2188</v>
      </c>
      <c r="E53" s="43">
        <v>147376</v>
      </c>
      <c r="F53" s="44">
        <v>30548083156</v>
      </c>
      <c r="G53" s="45" t="str">
        <f>IFERROR(IF(compras_mes4[[#This Row],[CUIT]]="","-",VLOOKUP(compras_mes4[[#This Row],[CUIT]],Lista_CUIT[#All],2,0)),"CUIT NO CARGADO")</f>
        <v>COTO CENTRO INTEGRAL DE COMERCIALIZACION SOCIEDAD ANONIMA</v>
      </c>
      <c r="H53" s="46">
        <v>62925.51</v>
      </c>
      <c r="I53" s="85">
        <v>10696.43</v>
      </c>
      <c r="J53" s="85"/>
      <c r="K53" s="85">
        <v>1258.96</v>
      </c>
      <c r="L53" s="85"/>
      <c r="M53" s="85"/>
      <c r="N53" s="85"/>
      <c r="O53" s="85">
        <v>5074.4799999999996</v>
      </c>
      <c r="P53" s="48">
        <f>SUM(compras_mes4[[#This Row],[NETO GRAVADO]:[Otros / No Grav.]])</f>
        <v>79955.38</v>
      </c>
      <c r="Q53" s="49" t="str">
        <f>IFERROR(IF(compras_mes4[[#This Row],[CUIT]]="","-",VLOOKUP(compras_mes4[[#This Row],[CUIT]],Lista_CUIT[#All],3,0)),"CUIT NO CARGADO")</f>
        <v>Gastos Varios</v>
      </c>
      <c r="R53" s="49">
        <f>IFERROR(IF(compras_mes4[[#This Row],[CUIT]]="","-",VLOOKUP(compras_mes4[[#This Row],[CUIT]],Lista_CUIT[#All],4,0)),"CUIT NO CARGADO")</f>
        <v>0</v>
      </c>
    </row>
    <row r="54" spans="2:18" ht="14.45" customHeight="1" x14ac:dyDescent="0.25">
      <c r="B54" s="40" t="s">
        <v>2420</v>
      </c>
      <c r="C54" s="41">
        <v>1</v>
      </c>
      <c r="D54" s="42">
        <v>2042</v>
      </c>
      <c r="E54" s="43">
        <v>159907</v>
      </c>
      <c r="F54" s="44">
        <v>30516186670</v>
      </c>
      <c r="G54" s="45" t="str">
        <f>IFERROR(IF(compras_mes4[[#This Row],[CUIT]]="","-",VLOOKUP(compras_mes4[[#This Row],[CUIT]],Lista_CUIT[#All],2,0)),"CUIT NO CARGADO")</f>
        <v>DEHEZA S.A.I.C.F. e I.</v>
      </c>
      <c r="H54" s="46">
        <v>24245.93</v>
      </c>
      <c r="I54" s="85">
        <f>IF(compras_mes4[[#This Row],[NETO GRAVADO]]="","",compras_mes4[[#This Row],[NETO GRAVADO]]*0.21)</f>
        <v>5091.6453000000001</v>
      </c>
      <c r="J54" s="85"/>
      <c r="K54" s="85"/>
      <c r="L54" s="85">
        <v>727.38</v>
      </c>
      <c r="M54" s="85">
        <v>1795.94</v>
      </c>
      <c r="N54" s="85"/>
      <c r="O54" s="85">
        <v>6171.31</v>
      </c>
      <c r="P54" s="48">
        <f>SUM(compras_mes4[[#This Row],[NETO GRAVADO]:[Otros / No Grav.]])</f>
        <v>38032.205300000001</v>
      </c>
      <c r="Q54" s="49" t="str">
        <f>IFERROR(IF(compras_mes4[[#This Row],[CUIT]]="","-",VLOOKUP(compras_mes4[[#This Row],[CUIT]],Lista_CUIT[#All],3,0)),"CUIT NO CARGADO")</f>
        <v>Combustible</v>
      </c>
      <c r="R54" s="49" t="str">
        <f>IFERROR(IF(compras_mes4[[#This Row],[CUIT]]="","-",VLOOKUP(compras_mes4[[#This Row],[CUIT]],Lista_CUIT[#All],4,0)),"CUIT NO CARGADO")</f>
        <v>CABA</v>
      </c>
    </row>
    <row r="55" spans="2:18" x14ac:dyDescent="0.25">
      <c r="B55" s="40" t="s">
        <v>2420</v>
      </c>
      <c r="C55" s="41">
        <v>1</v>
      </c>
      <c r="D55" s="42">
        <v>57</v>
      </c>
      <c r="E55" s="43">
        <v>1249</v>
      </c>
      <c r="F55" s="44">
        <v>30668432782</v>
      </c>
      <c r="G55" s="45" t="str">
        <f>IFERROR(IF(compras_mes4[[#This Row],[CUIT]]="","-",VLOOKUP(compras_mes4[[#This Row],[CUIT]],Lista_CUIT[#All],2,0)),"CUIT NO CARGADO")</f>
        <v>QUINTO CENTENARIO S A</v>
      </c>
      <c r="H55" s="46">
        <v>120165.29</v>
      </c>
      <c r="I55" s="85">
        <f>IF(compras_mes4[[#This Row],[NETO GRAVADO]]="","",compras_mes4[[#This Row],[NETO GRAVADO]]*0.21)</f>
        <v>25234.710899999998</v>
      </c>
      <c r="J55" s="85"/>
      <c r="K55" s="85"/>
      <c r="L55" s="85"/>
      <c r="M55" s="85"/>
      <c r="N55" s="85"/>
      <c r="O55" s="85"/>
      <c r="P55" s="48">
        <f>SUM(compras_mes4[[#This Row],[NETO GRAVADO]:[Otros / No Grav.]])</f>
        <v>145400.00089999998</v>
      </c>
      <c r="Q55" s="49" t="str">
        <f>IFERROR(IF(compras_mes4[[#This Row],[CUIT]]="","-",VLOOKUP(compras_mes4[[#This Row],[CUIT]],Lista_CUIT[#All],3,0)),"CUIT NO CARGADO")</f>
        <v>Gastos Varios</v>
      </c>
      <c r="R55" s="49">
        <f>IFERROR(IF(compras_mes4[[#This Row],[CUIT]]="","-",VLOOKUP(compras_mes4[[#This Row],[CUIT]],Lista_CUIT[#All],4,0)),"CUIT NO CARGADO")</f>
        <v>0</v>
      </c>
    </row>
    <row r="56" spans="2:18" x14ac:dyDescent="0.25">
      <c r="B56" s="40" t="s">
        <v>2419</v>
      </c>
      <c r="C56" s="41">
        <v>1</v>
      </c>
      <c r="D56" s="42">
        <v>16</v>
      </c>
      <c r="E56" s="43">
        <v>136890</v>
      </c>
      <c r="F56" s="44">
        <v>30711050767</v>
      </c>
      <c r="G56" s="45" t="str">
        <f>IFERROR(IF(compras_mes4[[#This Row],[CUIT]]="","-",VLOOKUP(compras_mes4[[#This Row],[CUIT]],Lista_CUIT[#All],2,0)),"CUIT NO CARGADO")</f>
        <v>DIAMOND SYSTEM S.A.</v>
      </c>
      <c r="H56" s="46">
        <v>98346.28</v>
      </c>
      <c r="I56" s="85">
        <f>IF(compras_mes4[[#This Row],[NETO GRAVADO]]="","",compras_mes4[[#This Row],[NETO GRAVADO]]*0.21)</f>
        <v>20652.718799999999</v>
      </c>
      <c r="J56" s="85"/>
      <c r="K56" s="85"/>
      <c r="L56" s="85"/>
      <c r="M56" s="85"/>
      <c r="N56" s="85"/>
      <c r="O56" s="85"/>
      <c r="P56" s="48">
        <f>SUM(compras_mes4[[#This Row],[NETO GRAVADO]:[Otros / No Grav.]])</f>
        <v>118998.9988</v>
      </c>
      <c r="Q56" s="49" t="str">
        <f>IFERROR(IF(compras_mes4[[#This Row],[CUIT]]="","-",VLOOKUP(compras_mes4[[#This Row],[CUIT]],Lista_CUIT[#All],3,0)),"CUIT NO CARGADO")</f>
        <v>Gastos Comerciales</v>
      </c>
      <c r="R56" s="49">
        <f>IFERROR(IF(compras_mes4[[#This Row],[CUIT]]="","-",VLOOKUP(compras_mes4[[#This Row],[CUIT]],Lista_CUIT[#All],4,0)),"CUIT NO CARGADO")</f>
        <v>0</v>
      </c>
    </row>
    <row r="57" spans="2:18" ht="14.45" customHeight="1" x14ac:dyDescent="0.25">
      <c r="B57" s="40" t="s">
        <v>2415</v>
      </c>
      <c r="C57" s="41">
        <v>1</v>
      </c>
      <c r="D57" s="42">
        <v>10</v>
      </c>
      <c r="E57" s="43">
        <v>685</v>
      </c>
      <c r="F57" s="44">
        <v>20323423785</v>
      </c>
      <c r="G57" s="45" t="str">
        <f>IFERROR(IF(compras_mes4[[#This Row],[CUIT]]="","-",VLOOKUP(compras_mes4[[#This Row],[CUIT]],Lista_CUIT[#All],2,0)),"CUIT NO CARGADO")</f>
        <v>ALBARRACIN ARIEL EDUARDO</v>
      </c>
      <c r="H57" s="46">
        <v>105852.65</v>
      </c>
      <c r="I57" s="85">
        <f>IF(compras_mes4[[#This Row],[NETO GRAVADO]]="","",compras_mes4[[#This Row],[NETO GRAVADO]]*0.21)</f>
        <v>22229.056499999999</v>
      </c>
      <c r="J57" s="85"/>
      <c r="K57" s="85"/>
      <c r="L57" s="85"/>
      <c r="M57" s="85"/>
      <c r="N57" s="85"/>
      <c r="O57" s="85"/>
      <c r="P57" s="48">
        <f>SUM(compras_mes4[[#This Row],[NETO GRAVADO]:[Otros / No Grav.]])</f>
        <v>128081.7065</v>
      </c>
      <c r="Q57" s="49" t="str">
        <f>IFERROR(IF(compras_mes4[[#This Row],[CUIT]]="","-",VLOOKUP(compras_mes4[[#This Row],[CUIT]],Lista_CUIT[#All],3,0)),"CUIT NO CARGADO")</f>
        <v>Gastos Varios</v>
      </c>
      <c r="R57" s="49">
        <f>IFERROR(IF(compras_mes4[[#This Row],[CUIT]]="","-",VLOOKUP(compras_mes4[[#This Row],[CUIT]],Lista_CUIT[#All],4,0)),"CUIT NO CARGADO")</f>
        <v>0</v>
      </c>
    </row>
    <row r="58" spans="2:18" ht="14.45" customHeight="1" x14ac:dyDescent="0.25">
      <c r="B58" s="467">
        <v>45750</v>
      </c>
      <c r="C58" s="468">
        <v>1</v>
      </c>
      <c r="D58" s="469">
        <v>26</v>
      </c>
      <c r="E58" s="470">
        <v>60042079</v>
      </c>
      <c r="F58" s="471">
        <v>30655116202</v>
      </c>
      <c r="G58" s="472" t="str">
        <f>IFERROR(IF(compras_mes4[[#This Row],[CUIT]]="","-",VLOOKUP(compras_mes4[[#This Row],[CUIT]],Lista_CUIT[#All],2,0)),"CUIT NO CARGADO")</f>
        <v xml:space="preserve">EDENOR </v>
      </c>
      <c r="H58" s="473">
        <v>87017.356933593794</v>
      </c>
      <c r="I58" s="435" t="s">
        <v>2411</v>
      </c>
      <c r="J58" s="474">
        <f>compras_mes4[[#This Row],[NETO GRAVADO]]*0.27</f>
        <v>23494.686372070326</v>
      </c>
      <c r="K58" s="474"/>
      <c r="L58" s="474">
        <v>14923.48046875</v>
      </c>
      <c r="M58" s="474"/>
      <c r="N58" s="474"/>
      <c r="O58" s="474">
        <v>6461.02978515625</v>
      </c>
      <c r="P58" s="475">
        <f>SUM(compras_mes4[[#This Row],[NETO GRAVADO]:[Otros / No Grav.]])</f>
        <v>131896.55355957037</v>
      </c>
      <c r="Q58" s="476" t="str">
        <f>IFERROR(IF(compras_mes4[[#This Row],[CUIT]]="","-",VLOOKUP(compras_mes4[[#This Row],[CUIT]],Lista_CUIT[#All],3,0)),"CUIT NO CARGADO")</f>
        <v>Servicios Gas, Luz, etc.</v>
      </c>
      <c r="R58" s="476">
        <f>IFERROR(IF(compras_mes4[[#This Row],[CUIT]]="","-",VLOOKUP(compras_mes4[[#This Row],[CUIT]],Lista_CUIT[#All],4,0)),"CUIT NO CARGADO")</f>
        <v>0</v>
      </c>
    </row>
    <row r="59" spans="2:18" ht="15" customHeight="1" x14ac:dyDescent="0.25">
      <c r="B59" s="429">
        <v>45770</v>
      </c>
      <c r="C59" s="468">
        <v>1</v>
      </c>
      <c r="D59" s="430">
        <v>14</v>
      </c>
      <c r="E59" s="431">
        <v>19996743</v>
      </c>
      <c r="F59" s="432">
        <v>30655116202</v>
      </c>
      <c r="G59" s="433" t="str">
        <f>IFERROR(IF(compras_mes4[[#This Row],[CUIT]]="","-",VLOOKUP(compras_mes4[[#This Row],[CUIT]],Lista_CUIT[#All],2,0)),"CUIT NO CARGADO")</f>
        <v xml:space="preserve">EDENOR </v>
      </c>
      <c r="H59" s="434">
        <v>91560.970703125</v>
      </c>
      <c r="I59" s="435" t="s">
        <v>2411</v>
      </c>
      <c r="J59" s="435">
        <f>compras_mes4[[#This Row],[NETO GRAVADO]]*0.27</f>
        <v>24721.462089843753</v>
      </c>
      <c r="K59" s="435"/>
      <c r="L59" s="435">
        <v>2746.830078125</v>
      </c>
      <c r="M59" s="435"/>
      <c r="N59" s="435"/>
      <c r="O59" s="435">
        <v>5844.33984375</v>
      </c>
      <c r="P59" s="436">
        <f>SUM(compras_mes4[[#This Row],[NETO GRAVADO]:[Otros / No Grav.]])</f>
        <v>124873.60271484376</v>
      </c>
      <c r="Q59" s="437" t="str">
        <f>IFERROR(IF(compras_mes4[[#This Row],[CUIT]]="","-",VLOOKUP(compras_mes4[[#This Row],[CUIT]],Lista_CUIT[#All],3,0)),"CUIT NO CARGADO")</f>
        <v>Servicios Gas, Luz, etc.</v>
      </c>
      <c r="R59" s="437">
        <f>IFERROR(IF(compras_mes4[[#This Row],[CUIT]]="","-",VLOOKUP(compras_mes4[[#This Row],[CUIT]],Lista_CUIT[#All],4,0)),"CUIT NO CARGADO")</f>
        <v>0</v>
      </c>
    </row>
    <row r="60" spans="2:18" ht="15" customHeight="1" x14ac:dyDescent="0.25">
      <c r="B60" s="429">
        <v>45777</v>
      </c>
      <c r="C60" s="468">
        <v>1</v>
      </c>
      <c r="D60" s="430">
        <v>5</v>
      </c>
      <c r="E60" s="431">
        <v>65654433</v>
      </c>
      <c r="F60" s="432">
        <v>30655116202</v>
      </c>
      <c r="G60" s="433" t="str">
        <f>IFERROR(IF(compras_mes4[[#This Row],[CUIT]]="","-",VLOOKUP(compras_mes4[[#This Row],[CUIT]],Lista_CUIT[#All],2,0)),"CUIT NO CARGADO")</f>
        <v xml:space="preserve">EDENOR </v>
      </c>
      <c r="H60" s="434">
        <v>63039.127197265603</v>
      </c>
      <c r="I60" s="435" t="s">
        <v>2411</v>
      </c>
      <c r="J60" s="435">
        <f>compras_mes4[[#This Row],[NETO GRAVADO]]*0.27</f>
        <v>17020.564343261714</v>
      </c>
      <c r="K60" s="435"/>
      <c r="L60" s="435">
        <v>10704.169921875</v>
      </c>
      <c r="M60" s="435"/>
      <c r="N60" s="435"/>
      <c r="O60" s="435">
        <v>4010.15991210938</v>
      </c>
      <c r="P60" s="436">
        <f>SUM(compras_mes4[[#This Row],[NETO GRAVADO]:[Otros / No Grav.]])</f>
        <v>94774.021374511693</v>
      </c>
      <c r="Q60" s="437" t="str">
        <f>IFERROR(IF(compras_mes4[[#This Row],[CUIT]]="","-",VLOOKUP(compras_mes4[[#This Row],[CUIT]],Lista_CUIT[#All],3,0)),"CUIT NO CARGADO")</f>
        <v>Servicios Gas, Luz, etc.</v>
      </c>
      <c r="R60" s="437">
        <f>IFERROR(IF(compras_mes4[[#This Row],[CUIT]]="","-",VLOOKUP(compras_mes4[[#This Row],[CUIT]],Lista_CUIT[#All],4,0)),"CUIT NO CARGADO")</f>
        <v>0</v>
      </c>
    </row>
    <row r="61" spans="2:18" ht="15" customHeight="1" x14ac:dyDescent="0.25">
      <c r="B61" s="40" t="s">
        <v>2416</v>
      </c>
      <c r="C61" s="41">
        <v>1</v>
      </c>
      <c r="D61" s="42">
        <v>5</v>
      </c>
      <c r="E61" s="43">
        <v>22350</v>
      </c>
      <c r="F61" s="44">
        <v>30616146447</v>
      </c>
      <c r="G61" s="45" t="str">
        <f>IFERROR(IF(compras_mes4[[#This Row],[CUIT]]="","-",VLOOKUP(compras_mes4[[#This Row],[CUIT]],Lista_CUIT[#All],2,0)),"CUIT NO CARGADO")</f>
        <v>EGEO SOCIEDAD DE RESPONSABILIDAD LIMITADA</v>
      </c>
      <c r="H61" s="46">
        <v>1228800</v>
      </c>
      <c r="I61" s="85">
        <f>IF(compras_mes4[[#This Row],[NETO GRAVADO]]="","",compras_mes4[[#This Row],[NETO GRAVADO]]*0.21)</f>
        <v>258048</v>
      </c>
      <c r="J61" s="85"/>
      <c r="K61" s="85"/>
      <c r="L61" s="85"/>
      <c r="M61" s="85"/>
      <c r="N61" s="85"/>
      <c r="O61" s="85"/>
      <c r="P61" s="48">
        <f>SUM(compras_mes4[[#This Row],[NETO GRAVADO]:[Otros / No Grav.]])</f>
        <v>1486848</v>
      </c>
      <c r="Q61" s="49" t="str">
        <f>IFERROR(IF(compras_mes4[[#This Row],[CUIT]]="","-",VLOOKUP(compras_mes4[[#This Row],[CUIT]],Lista_CUIT[#All],3,0)),"CUIT NO CARGADO")</f>
        <v>Productos Venta</v>
      </c>
      <c r="R61" s="49">
        <f>IFERROR(IF(compras_mes4[[#This Row],[CUIT]]="","-",VLOOKUP(compras_mes4[[#This Row],[CUIT]],Lista_CUIT[#All],4,0)),"CUIT NO CARGADO")</f>
        <v>0</v>
      </c>
    </row>
    <row r="62" spans="2:18" ht="15" customHeight="1" x14ac:dyDescent="0.25">
      <c r="B62" s="40" t="s">
        <v>2431</v>
      </c>
      <c r="C62" s="41">
        <v>1</v>
      </c>
      <c r="D62" s="42">
        <v>11</v>
      </c>
      <c r="E62" s="43">
        <v>83646</v>
      </c>
      <c r="F62" s="44">
        <v>30534051049</v>
      </c>
      <c r="G62" s="45" t="str">
        <f>IFERROR(IF(compras_mes4[[#This Row],[CUIT]]="","-",VLOOKUP(compras_mes4[[#This Row],[CUIT]],Lista_CUIT[#All],2,0)),"CUIT NO CARGADO")</f>
        <v>PLIN METAL S A</v>
      </c>
      <c r="H62" s="46">
        <v>8630.4599999999991</v>
      </c>
      <c r="I62" s="85">
        <f>IF(compras_mes4[[#This Row],[NETO GRAVADO]]="","",compras_mes4[[#This Row],[NETO GRAVADO]]*0.21)</f>
        <v>1812.3965999999998</v>
      </c>
      <c r="J62" s="85"/>
      <c r="K62" s="85"/>
      <c r="L62" s="85"/>
      <c r="M62" s="85"/>
      <c r="N62" s="85"/>
      <c r="O62" s="85">
        <v>517.83000000000004</v>
      </c>
      <c r="P62" s="48">
        <f>SUM(compras_mes4[[#This Row],[NETO GRAVADO]:[Otros / No Grav.]])</f>
        <v>10960.686599999999</v>
      </c>
      <c r="Q62" s="49" t="str">
        <f>IFERROR(IF(compras_mes4[[#This Row],[CUIT]]="","-",VLOOKUP(compras_mes4[[#This Row],[CUIT]],Lista_CUIT[#All],3,0)),"CUIT NO CARGADO")</f>
        <v>Materia Prima</v>
      </c>
      <c r="R62" s="49">
        <f>IFERROR(IF(compras_mes4[[#This Row],[CUIT]]="","-",VLOOKUP(compras_mes4[[#This Row],[CUIT]],Lista_CUIT[#All],4,0)),"CUIT NO CARGADO")</f>
        <v>0</v>
      </c>
    </row>
    <row r="63" spans="2:18" ht="15" customHeight="1" x14ac:dyDescent="0.25">
      <c r="B63" s="467">
        <v>45751</v>
      </c>
      <c r="C63" s="468">
        <v>1</v>
      </c>
      <c r="D63" s="469">
        <v>501</v>
      </c>
      <c r="E63" s="470">
        <v>46975980</v>
      </c>
      <c r="F63" s="471">
        <v>30655116512</v>
      </c>
      <c r="G63" s="472" t="str">
        <f>IFERROR(IF(compras_mes4[[#This Row],[CUIT]]="","-",VLOOKUP(compras_mes4[[#This Row],[CUIT]],Lista_CUIT[#All],2,0)),"CUIT NO CARGADO")</f>
        <v>Empresa Distribuidora Sur S.A.</v>
      </c>
      <c r="H63" s="473">
        <v>137501.595336914</v>
      </c>
      <c r="I63" s="435">
        <f>IF(compras_mes4[[#This Row],[NETO GRAVADO]]="","",compras_mes4[[#This Row],[NETO GRAVADO]]*0.21)</f>
        <v>28875.33502075194</v>
      </c>
      <c r="J63" s="474"/>
      <c r="K63" s="474"/>
      <c r="L63" s="474"/>
      <c r="M63" s="474"/>
      <c r="N63" s="474"/>
      <c r="O63" s="474">
        <v>8151.6605224609402</v>
      </c>
      <c r="P63" s="475">
        <f>SUM(compras_mes4[[#This Row],[NETO GRAVADO]:[Otros / No Grav.]])</f>
        <v>174528.59088012687</v>
      </c>
      <c r="Q63" s="476" t="str">
        <f>IFERROR(IF(compras_mes4[[#This Row],[CUIT]]="","-",VLOOKUP(compras_mes4[[#This Row],[CUIT]],Lista_CUIT[#All],3,0)),"CUIT NO CARGADO")</f>
        <v>Servicios Gas, Luz, etc.</v>
      </c>
      <c r="R63" s="476">
        <f>IFERROR(IF(compras_mes4[[#This Row],[CUIT]]="","-",VLOOKUP(compras_mes4[[#This Row],[CUIT]],Lista_CUIT[#All],4,0)),"CUIT NO CARGADO")</f>
        <v>0</v>
      </c>
    </row>
    <row r="64" spans="2:18" x14ac:dyDescent="0.25">
      <c r="B64" s="429">
        <v>45770</v>
      </c>
      <c r="C64" s="468">
        <v>1</v>
      </c>
      <c r="D64" s="430">
        <v>425</v>
      </c>
      <c r="E64" s="431">
        <v>2367516</v>
      </c>
      <c r="F64" s="432">
        <v>30655116512</v>
      </c>
      <c r="G64" s="433" t="str">
        <f>IFERROR(IF(compras_mes4[[#This Row],[CUIT]]="","-",VLOOKUP(compras_mes4[[#This Row],[CUIT]],Lista_CUIT[#All],2,0)),"CUIT NO CARGADO")</f>
        <v>Empresa Distribuidora Sur S.A.</v>
      </c>
      <c r="H64" s="434">
        <v>370919.91271972703</v>
      </c>
      <c r="I64" s="435" t="s">
        <v>2411</v>
      </c>
      <c r="J64" s="435">
        <f>compras_mes4[[#This Row],[NETO GRAVADO]]*0.27</f>
        <v>100148.3764343263</v>
      </c>
      <c r="K64" s="435"/>
      <c r="L64" s="435"/>
      <c r="M64" s="435"/>
      <c r="N64" s="435"/>
      <c r="O64" s="435">
        <v>23332.790405273401</v>
      </c>
      <c r="P64" s="436">
        <f>SUM(compras_mes4[[#This Row],[NETO GRAVADO]:[Otros / No Grav.]])</f>
        <v>494401.0795593267</v>
      </c>
      <c r="Q64" s="437" t="str">
        <f>IFERROR(IF(compras_mes4[[#This Row],[CUIT]]="","-",VLOOKUP(compras_mes4[[#This Row],[CUIT]],Lista_CUIT[#All],3,0)),"CUIT NO CARGADO")</f>
        <v>Servicios Gas, Luz, etc.</v>
      </c>
      <c r="R64" s="437">
        <f>IFERROR(IF(compras_mes4[[#This Row],[CUIT]]="","-",VLOOKUP(compras_mes4[[#This Row],[CUIT]],Lista_CUIT[#All],4,0)),"CUIT NO CARGADO")</f>
        <v>0</v>
      </c>
    </row>
    <row r="65" spans="2:18" x14ac:dyDescent="0.25">
      <c r="B65" s="429">
        <v>45770</v>
      </c>
      <c r="C65" s="468">
        <v>1</v>
      </c>
      <c r="D65" s="430">
        <v>425</v>
      </c>
      <c r="E65" s="431">
        <v>2631194</v>
      </c>
      <c r="F65" s="432">
        <v>30655116512</v>
      </c>
      <c r="G65" s="433" t="str">
        <f>IFERROR(IF(compras_mes4[[#This Row],[CUIT]]="","-",VLOOKUP(compras_mes4[[#This Row],[CUIT]],Lista_CUIT[#All],2,0)),"CUIT NO CARGADO")</f>
        <v>Empresa Distribuidora Sur S.A.</v>
      </c>
      <c r="H65" s="434">
        <v>123332.197631836</v>
      </c>
      <c r="I65" s="435" t="s">
        <v>2411</v>
      </c>
      <c r="J65" s="435">
        <f>compras_mes4[[#This Row],[NETO GRAVADO]]*0.27</f>
        <v>33299.693360595724</v>
      </c>
      <c r="K65" s="435"/>
      <c r="L65" s="435">
        <v>3699.96997070313</v>
      </c>
      <c r="M65" s="435"/>
      <c r="N65" s="435"/>
      <c r="O65" s="435">
        <v>7529.2698974609402</v>
      </c>
      <c r="P65" s="436">
        <f>SUM(compras_mes4[[#This Row],[NETO GRAVADO]:[Otros / No Grav.]])</f>
        <v>167861.13086059579</v>
      </c>
      <c r="Q65" s="437" t="str">
        <f>IFERROR(IF(compras_mes4[[#This Row],[CUIT]]="","-",VLOOKUP(compras_mes4[[#This Row],[CUIT]],Lista_CUIT[#All],3,0)),"CUIT NO CARGADO")</f>
        <v>Servicios Gas, Luz, etc.</v>
      </c>
      <c r="R65" s="437">
        <f>IFERROR(IF(compras_mes4[[#This Row],[CUIT]]="","-",VLOOKUP(compras_mes4[[#This Row],[CUIT]],Lista_CUIT[#All],4,0)),"CUIT NO CARGADO")</f>
        <v>0</v>
      </c>
    </row>
    <row r="66" spans="2:18" x14ac:dyDescent="0.25">
      <c r="B66" s="40" t="s">
        <v>2437</v>
      </c>
      <c r="C66" s="41">
        <v>1</v>
      </c>
      <c r="D66" s="42">
        <v>6</v>
      </c>
      <c r="E66" s="43">
        <v>263</v>
      </c>
      <c r="F66" s="44">
        <v>23234730959</v>
      </c>
      <c r="G66" s="45" t="str">
        <f>IFERROR(IF(compras_mes4[[#This Row],[CUIT]]="","-",VLOOKUP(compras_mes4[[#This Row],[CUIT]],Lista_CUIT[#All],2,0)),"CUIT NO CARGADO")</f>
        <v>RUSCONI GERMAN ADOLFO</v>
      </c>
      <c r="H66" s="46">
        <v>7851.24</v>
      </c>
      <c r="I66" s="85">
        <f>IF(compras_mes4[[#This Row],[NETO GRAVADO]]="","",compras_mes4[[#This Row],[NETO GRAVADO]]*0.21)</f>
        <v>1648.7603999999999</v>
      </c>
      <c r="J66" s="85"/>
      <c r="K66" s="85"/>
      <c r="L66" s="85"/>
      <c r="M66" s="85"/>
      <c r="N66" s="85"/>
      <c r="O66" s="85"/>
      <c r="P66" s="48">
        <f>SUM(compras_mes4[[#This Row],[NETO GRAVADO]:[Otros / No Grav.]])</f>
        <v>9500.000399999999</v>
      </c>
      <c r="Q66" s="49" t="str">
        <f>IFERROR(IF(compras_mes4[[#This Row],[CUIT]]="","-",VLOOKUP(compras_mes4[[#This Row],[CUIT]],Lista_CUIT[#All],3,0)),"CUIT NO CARGADO")</f>
        <v>Gastos Varios</v>
      </c>
      <c r="R66" s="49">
        <f>IFERROR(IF(compras_mes4[[#This Row],[CUIT]]="","-",VLOOKUP(compras_mes4[[#This Row],[CUIT]],Lista_CUIT[#All],4,0)),"CUIT NO CARGADO")</f>
        <v>0</v>
      </c>
    </row>
    <row r="67" spans="2:18" x14ac:dyDescent="0.25">
      <c r="B67" s="40" t="s">
        <v>2440</v>
      </c>
      <c r="C67" s="41">
        <v>1</v>
      </c>
      <c r="D67" s="42">
        <v>2</v>
      </c>
      <c r="E67" s="43">
        <v>8851</v>
      </c>
      <c r="F67" s="44">
        <v>30714284963</v>
      </c>
      <c r="G67" s="45" t="str">
        <f>IFERROR(IF(compras_mes4[[#This Row],[CUIT]]="","-",VLOOKUP(compras_mes4[[#This Row],[CUIT]],Lista_CUIT[#All],2,0)),"CUIT NO CARGADO")</f>
        <v>ENGYMAN SRL</v>
      </c>
      <c r="H67" s="46">
        <v>90000</v>
      </c>
      <c r="I67" s="85">
        <f>IF(compras_mes4[[#This Row],[NETO GRAVADO]]="","",compras_mes4[[#This Row],[NETO GRAVADO]]*0.21)</f>
        <v>18900</v>
      </c>
      <c r="J67" s="85"/>
      <c r="K67" s="85"/>
      <c r="L67" s="85"/>
      <c r="M67" s="85"/>
      <c r="N67" s="85"/>
      <c r="O67" s="85"/>
      <c r="P67" s="48">
        <f>SUM(compras_mes4[[#This Row],[NETO GRAVADO]:[Otros / No Grav.]])</f>
        <v>108900</v>
      </c>
      <c r="Q67" s="49" t="str">
        <f>IFERROR(IF(compras_mes4[[#This Row],[CUIT]]="","-",VLOOKUP(compras_mes4[[#This Row],[CUIT]],Lista_CUIT[#All],3,0)),"CUIT NO CARGADO")</f>
        <v>Gastos Varios</v>
      </c>
      <c r="R67" s="49">
        <f>IFERROR(IF(compras_mes4[[#This Row],[CUIT]]="","-",VLOOKUP(compras_mes4[[#This Row],[CUIT]],Lista_CUIT[#All],4,0)),"CUIT NO CARGADO")</f>
        <v>0</v>
      </c>
    </row>
    <row r="68" spans="2:18" x14ac:dyDescent="0.25">
      <c r="B68" s="40" t="s">
        <v>2426</v>
      </c>
      <c r="C68" s="41">
        <v>1</v>
      </c>
      <c r="D68" s="42">
        <v>2</v>
      </c>
      <c r="E68" s="43">
        <v>8854</v>
      </c>
      <c r="F68" s="44">
        <v>30714284963</v>
      </c>
      <c r="G68" s="45" t="str">
        <f>IFERROR(IF(compras_mes4[[#This Row],[CUIT]]="","-",VLOOKUP(compras_mes4[[#This Row],[CUIT]],Lista_CUIT[#All],2,0)),"CUIT NO CARGADO")</f>
        <v>ENGYMAN SRL</v>
      </c>
      <c r="H68" s="46">
        <v>180000</v>
      </c>
      <c r="I68" s="85">
        <f>IF(compras_mes4[[#This Row],[NETO GRAVADO]]="","",compras_mes4[[#This Row],[NETO GRAVADO]]*0.21)</f>
        <v>37800</v>
      </c>
      <c r="J68" s="85"/>
      <c r="K68" s="85"/>
      <c r="L68" s="85"/>
      <c r="M68" s="85"/>
      <c r="N68" s="85"/>
      <c r="O68" s="85"/>
      <c r="P68" s="48">
        <f>SUM(compras_mes4[[#This Row],[NETO GRAVADO]:[Otros / No Grav.]])</f>
        <v>217800</v>
      </c>
      <c r="Q68" s="49" t="str">
        <f>IFERROR(IF(compras_mes4[[#This Row],[CUIT]]="","-",VLOOKUP(compras_mes4[[#This Row],[CUIT]],Lista_CUIT[#All],3,0)),"CUIT NO CARGADO")</f>
        <v>Gastos Varios</v>
      </c>
      <c r="R68" s="49">
        <f>IFERROR(IF(compras_mes4[[#This Row],[CUIT]]="","-",VLOOKUP(compras_mes4[[#This Row],[CUIT]],Lista_CUIT[#All],4,0)),"CUIT NO CARGADO")</f>
        <v>0</v>
      </c>
    </row>
    <row r="69" spans="2:18" x14ac:dyDescent="0.25">
      <c r="B69" s="313" t="s">
        <v>2430</v>
      </c>
      <c r="C69" s="41">
        <v>1</v>
      </c>
      <c r="D69" s="314">
        <v>2</v>
      </c>
      <c r="E69" s="477">
        <v>8867</v>
      </c>
      <c r="F69" s="315">
        <v>30714284963</v>
      </c>
      <c r="G69" s="316" t="str">
        <f>IFERROR(IF(compras_mes4[[#This Row],[CUIT]]="","-",VLOOKUP(compras_mes4[[#This Row],[CUIT]],Lista_CUIT[#All],2,0)),"CUIT NO CARGADO")</f>
        <v>ENGYMAN SRL</v>
      </c>
      <c r="H69" s="317">
        <v>180000</v>
      </c>
      <c r="I69" s="85">
        <f>IF(compras_mes4[[#This Row],[NETO GRAVADO]]="","",compras_mes4[[#This Row],[NETO GRAVADO]]*0.21)</f>
        <v>37800</v>
      </c>
      <c r="J69" s="318"/>
      <c r="K69" s="318"/>
      <c r="L69" s="318"/>
      <c r="M69" s="318"/>
      <c r="N69" s="318"/>
      <c r="O69" s="318"/>
      <c r="P69" s="319">
        <f>SUM(compras_mes4[[#This Row],[NETO GRAVADO]:[Otros / No Grav.]])</f>
        <v>217800</v>
      </c>
      <c r="Q69" s="320" t="str">
        <f>IFERROR(IF(compras_mes4[[#This Row],[CUIT]]="","-",VLOOKUP(compras_mes4[[#This Row],[CUIT]],Lista_CUIT[#All],3,0)),"CUIT NO CARGADO")</f>
        <v>Gastos Varios</v>
      </c>
      <c r="R69" s="320">
        <f>IFERROR(IF(compras_mes4[[#This Row],[CUIT]]="","-",VLOOKUP(compras_mes4[[#This Row],[CUIT]],Lista_CUIT[#All],4,0)),"CUIT NO CARGADO")</f>
        <v>0</v>
      </c>
    </row>
    <row r="70" spans="2:18" x14ac:dyDescent="0.25">
      <c r="B70" s="40" t="s">
        <v>2437</v>
      </c>
      <c r="C70" s="41">
        <v>1</v>
      </c>
      <c r="D70" s="42">
        <v>9</v>
      </c>
      <c r="E70" s="43">
        <v>891</v>
      </c>
      <c r="F70" s="44">
        <v>30710446047</v>
      </c>
      <c r="G70" s="45" t="str">
        <f>IFERROR(IF(compras_mes4[[#This Row],[CUIT]]="","-",VLOOKUP(compras_mes4[[#This Row],[CUIT]],Lista_CUIT[#All],2,0)),"CUIT NO CARGADO")</f>
        <v>ENSAMBLE GRAFICO S.H.</v>
      </c>
      <c r="H70" s="46">
        <v>1969110</v>
      </c>
      <c r="I70" s="85">
        <f>IF(compras_mes4[[#This Row],[NETO GRAVADO]]="","",compras_mes4[[#This Row],[NETO GRAVADO]]*0.21)</f>
        <v>413513.1</v>
      </c>
      <c r="J70" s="85"/>
      <c r="K70" s="85"/>
      <c r="L70" s="85"/>
      <c r="M70" s="85"/>
      <c r="N70" s="85"/>
      <c r="O70" s="85"/>
      <c r="P70" s="48">
        <f>SUM(compras_mes4[[#This Row],[NETO GRAVADO]:[Otros / No Grav.]])</f>
        <v>2382623.1</v>
      </c>
      <c r="Q70" s="49" t="str">
        <f>IFERROR(IF(compras_mes4[[#This Row],[CUIT]]="","-",VLOOKUP(compras_mes4[[#This Row],[CUIT]],Lista_CUIT[#All],3,0)),"CUIT NO CARGADO")</f>
        <v>Material de Empaque</v>
      </c>
      <c r="R70" s="49">
        <f>IFERROR(IF(compras_mes4[[#This Row],[CUIT]]="","-",VLOOKUP(compras_mes4[[#This Row],[CUIT]],Lista_CUIT[#All],4,0)),"CUIT NO CARGADO")</f>
        <v>0</v>
      </c>
    </row>
    <row r="71" spans="2:18" x14ac:dyDescent="0.25">
      <c r="B71" s="40" t="s">
        <v>2431</v>
      </c>
      <c r="C71" s="41">
        <v>1</v>
      </c>
      <c r="D71" s="42">
        <v>1</v>
      </c>
      <c r="E71" s="43">
        <v>902</v>
      </c>
      <c r="F71" s="44">
        <v>30715889486</v>
      </c>
      <c r="G71" s="45" t="str">
        <f>IFERROR(IF(compras_mes4[[#This Row],[CUIT]]="","-",VLOOKUP(compras_mes4[[#This Row],[CUIT]],Lista_CUIT[#All],2,0)),"CUIT NO CARGADO")</f>
        <v>EXPOESTETICA</v>
      </c>
      <c r="H71" s="46">
        <v>2088000</v>
      </c>
      <c r="I71" s="85">
        <f>IF(compras_mes4[[#This Row],[NETO GRAVADO]]="","",compras_mes4[[#This Row],[NETO GRAVADO]]*0.21)</f>
        <v>438480</v>
      </c>
      <c r="J71" s="85"/>
      <c r="K71" s="85"/>
      <c r="L71" s="85"/>
      <c r="M71" s="85"/>
      <c r="N71" s="85"/>
      <c r="O71" s="85"/>
      <c r="P71" s="48">
        <f>SUM(compras_mes4[[#This Row],[NETO GRAVADO]:[Otros / No Grav.]])</f>
        <v>2526480</v>
      </c>
      <c r="Q71" s="49" t="str">
        <f>IFERROR(IF(compras_mes4[[#This Row],[CUIT]]="","-",VLOOKUP(compras_mes4[[#This Row],[CUIT]],Lista_CUIT[#All],3,0)),"CUIT NO CARGADO")</f>
        <v>Gastos Comercializacion - Feria</v>
      </c>
      <c r="R71" s="49" t="str">
        <f>IFERROR(IF(compras_mes4[[#This Row],[CUIT]]="","-",VLOOKUP(compras_mes4[[#This Row],[CUIT]],Lista_CUIT[#All],4,0)),"CUIT NO CARGADO")</f>
        <v>BUENOS AIRES</v>
      </c>
    </row>
    <row r="72" spans="2:18" x14ac:dyDescent="0.25">
      <c r="B72" s="467">
        <v>45761</v>
      </c>
      <c r="C72" s="468">
        <v>1</v>
      </c>
      <c r="D72" s="469">
        <v>1</v>
      </c>
      <c r="E72" s="470">
        <v>2</v>
      </c>
      <c r="F72" s="471">
        <v>30715889486</v>
      </c>
      <c r="G72" s="472" t="str">
        <f>IFERROR(IF(compras_mes4[[#This Row],[CUIT]]="","-",VLOOKUP(compras_mes4[[#This Row],[CUIT]],Lista_CUIT[#All],2,0)),"CUIT NO CARGADO")</f>
        <v>EXPOESTETICA</v>
      </c>
      <c r="H72" s="473">
        <v>2088000</v>
      </c>
      <c r="I72" s="435">
        <f>IF(compras_mes4[[#This Row],[NETO GRAVADO]]="","",compras_mes4[[#This Row],[NETO GRAVADO]]*0.21)</f>
        <v>438480</v>
      </c>
      <c r="J72" s="474"/>
      <c r="K72" s="474"/>
      <c r="L72" s="474"/>
      <c r="M72" s="474"/>
      <c r="N72" s="474"/>
      <c r="O72" s="474"/>
      <c r="P72" s="475">
        <f>SUM(compras_mes4[[#This Row],[NETO GRAVADO]:[Otros / No Grav.]])</f>
        <v>2526480</v>
      </c>
      <c r="Q72" s="476" t="str">
        <f>IFERROR(IF(compras_mes4[[#This Row],[CUIT]]="","-",VLOOKUP(compras_mes4[[#This Row],[CUIT]],Lista_CUIT[#All],3,0)),"CUIT NO CARGADO")</f>
        <v>Gastos Comercializacion - Feria</v>
      </c>
      <c r="R72" s="476" t="str">
        <f>IFERROR(IF(compras_mes4[[#This Row],[CUIT]]="","-",VLOOKUP(compras_mes4[[#This Row],[CUIT]],Lista_CUIT[#All],4,0)),"CUIT NO CARGADO")</f>
        <v>BUENOS AIRES</v>
      </c>
    </row>
    <row r="73" spans="2:18" x14ac:dyDescent="0.25">
      <c r="B73" s="429">
        <v>45776</v>
      </c>
      <c r="C73" s="468">
        <v>1</v>
      </c>
      <c r="D73" s="430">
        <v>1</v>
      </c>
      <c r="E73" s="431">
        <v>922</v>
      </c>
      <c r="F73" s="432">
        <v>30715889486</v>
      </c>
      <c r="G73" s="433" t="str">
        <f>IFERROR(IF(compras_mes4[[#This Row],[CUIT]]="","-",VLOOKUP(compras_mes4[[#This Row],[CUIT]],Lista_CUIT[#All],2,0)),"CUIT NO CARGADO")</f>
        <v>EXPOESTETICA</v>
      </c>
      <c r="H73" s="434">
        <v>2088000</v>
      </c>
      <c r="I73" s="435">
        <f>IF(compras_mes4[[#This Row],[NETO GRAVADO]]="","",compras_mes4[[#This Row],[NETO GRAVADO]]*0.21)</f>
        <v>438480</v>
      </c>
      <c r="J73" s="435"/>
      <c r="K73" s="435"/>
      <c r="L73" s="435"/>
      <c r="M73" s="435"/>
      <c r="N73" s="435"/>
      <c r="O73" s="435"/>
      <c r="P73" s="436">
        <f>SUM(compras_mes4[[#This Row],[NETO GRAVADO]:[Otros / No Grav.]])</f>
        <v>2526480</v>
      </c>
      <c r="Q73" s="437" t="str">
        <f>IFERROR(IF(compras_mes4[[#This Row],[CUIT]]="","-",VLOOKUP(compras_mes4[[#This Row],[CUIT]],Lista_CUIT[#All],3,0)),"CUIT NO CARGADO")</f>
        <v>Gastos Comercializacion - Feria</v>
      </c>
      <c r="R73" s="437" t="str">
        <f>IFERROR(IF(compras_mes4[[#This Row],[CUIT]]="","-",VLOOKUP(compras_mes4[[#This Row],[CUIT]],Lista_CUIT[#All],4,0)),"CUIT NO CARGADO")</f>
        <v>BUENOS AIRES</v>
      </c>
    </row>
    <row r="74" spans="2:18" x14ac:dyDescent="0.25">
      <c r="B74" s="40" t="s">
        <v>2439</v>
      </c>
      <c r="C74" s="41">
        <v>1</v>
      </c>
      <c r="D74" s="42">
        <v>23</v>
      </c>
      <c r="E74" s="43">
        <v>1697</v>
      </c>
      <c r="F74" s="44">
        <v>20940147981</v>
      </c>
      <c r="G74" s="45" t="str">
        <f>IFERROR(IF(compras_mes4[[#This Row],[CUIT]]="","-",VLOOKUP(compras_mes4[[#This Row],[CUIT]],Lista_CUIT[#All],2,0)),"CUIT NO CARGADO")</f>
        <v xml:space="preserve">ELIO IGNACIO GIMENEZ </v>
      </c>
      <c r="H74" s="46">
        <v>89173.55</v>
      </c>
      <c r="I74" s="85">
        <f>IF(compras_mes4[[#This Row],[NETO GRAVADO]]="","",compras_mes4[[#This Row],[NETO GRAVADO]]*0.21)</f>
        <v>18726.445500000002</v>
      </c>
      <c r="J74" s="85"/>
      <c r="K74" s="85"/>
      <c r="L74" s="85"/>
      <c r="M74" s="85"/>
      <c r="N74" s="85"/>
      <c r="O74" s="85"/>
      <c r="P74" s="48">
        <f>SUM(compras_mes4[[#This Row],[NETO GRAVADO]:[Otros / No Grav.]])</f>
        <v>107899.9955</v>
      </c>
      <c r="Q74" s="49" t="str">
        <f>IFERROR(IF(compras_mes4[[#This Row],[CUIT]]="","-",VLOOKUP(compras_mes4[[#This Row],[CUIT]],Lista_CUIT[#All],3,0)),"CUIT NO CARGADO")</f>
        <v>Librería</v>
      </c>
      <c r="R74" s="49">
        <f>IFERROR(IF(compras_mes4[[#This Row],[CUIT]]="","-",VLOOKUP(compras_mes4[[#This Row],[CUIT]],Lista_CUIT[#All],4,0)),"CUIT NO CARGADO")</f>
        <v>0</v>
      </c>
    </row>
    <row r="75" spans="2:18" x14ac:dyDescent="0.25">
      <c r="B75" s="40" t="s">
        <v>2432</v>
      </c>
      <c r="C75" s="41">
        <v>1</v>
      </c>
      <c r="D75" s="42">
        <v>1</v>
      </c>
      <c r="E75" s="43">
        <v>39</v>
      </c>
      <c r="F75" s="44">
        <v>30717504824</v>
      </c>
      <c r="G75" s="45" t="str">
        <f>IFERROR(IF(compras_mes4[[#This Row],[CUIT]]="","-",VLOOKUP(compras_mes4[[#This Row],[CUIT]],Lista_CUIT[#All],2,0)),"CUIT NO CARGADO")</f>
        <v>FIDEICOMISO MAMBA</v>
      </c>
      <c r="H75" s="46">
        <v>2775927.62</v>
      </c>
      <c r="I75" s="85" t="s">
        <v>2411</v>
      </c>
      <c r="J75" s="85"/>
      <c r="K75" s="85">
        <f>compras_mes4[[#This Row],[NETO GRAVADO]]*0.105</f>
        <v>291472.40010000003</v>
      </c>
      <c r="L75" s="85"/>
      <c r="M75" s="85"/>
      <c r="N75" s="85"/>
      <c r="O75" s="85"/>
      <c r="P75" s="48">
        <f>SUM(compras_mes4[[#This Row],[NETO GRAVADO]:[Otros / No Grav.]])</f>
        <v>3067400.0201000003</v>
      </c>
      <c r="Q75" s="49" t="str">
        <f>IFERROR(IF(compras_mes4[[#This Row],[CUIT]]="","-",VLOOKUP(compras_mes4[[#This Row],[CUIT]],Lista_CUIT[#All],3,0)),"CUIT NO CARGADO")</f>
        <v>MANTENIMIENTO</v>
      </c>
      <c r="R75" s="49">
        <f>IFERROR(IF(compras_mes4[[#This Row],[CUIT]]="","-",VLOOKUP(compras_mes4[[#This Row],[CUIT]],Lista_CUIT[#All],4,0)),"CUIT NO CARGADO")</f>
        <v>0</v>
      </c>
    </row>
    <row r="76" spans="2:18" x14ac:dyDescent="0.25">
      <c r="B76" s="40" t="s">
        <v>2432</v>
      </c>
      <c r="C76" s="41">
        <v>1</v>
      </c>
      <c r="D76" s="42">
        <v>14</v>
      </c>
      <c r="E76" s="43">
        <v>16719</v>
      </c>
      <c r="F76" s="44">
        <v>30715186256</v>
      </c>
      <c r="G76" s="45" t="str">
        <f>IFERROR(IF(compras_mes4[[#This Row],[CUIT]]="","-",VLOOKUP(compras_mes4[[#This Row],[CUIT]],Lista_CUIT[#All],2,0)),"CUIT NO CARGADO")</f>
        <v>FRIGORIFICO ALIMENTIC</v>
      </c>
      <c r="H76" s="46">
        <v>195188.52</v>
      </c>
      <c r="I76" s="85">
        <v>5808.41</v>
      </c>
      <c r="J76" s="85"/>
      <c r="K76" s="85">
        <v>17590.59</v>
      </c>
      <c r="L76" s="85"/>
      <c r="M76" s="85"/>
      <c r="N76" s="85"/>
      <c r="O76" s="85"/>
      <c r="P76" s="48">
        <f>SUM(compras_mes4[[#This Row],[NETO GRAVADO]:[Otros / No Grav.]])</f>
        <v>218587.51999999999</v>
      </c>
      <c r="Q76" s="49" t="str">
        <f>IFERROR(IF(compras_mes4[[#This Row],[CUIT]]="","-",VLOOKUP(compras_mes4[[#This Row],[CUIT]],Lista_CUIT[#All],3,0)),"CUIT NO CARGADO")</f>
        <v>Gastos Comercializacion - Feria</v>
      </c>
      <c r="R76" s="49">
        <f>IFERROR(IF(compras_mes4[[#This Row],[CUIT]]="","-",VLOOKUP(compras_mes4[[#This Row],[CUIT]],Lista_CUIT[#All],4,0)),"CUIT NO CARGADO")</f>
        <v>0</v>
      </c>
    </row>
    <row r="77" spans="2:18" x14ac:dyDescent="0.25">
      <c r="B77" s="40" t="s">
        <v>2422</v>
      </c>
      <c r="C77" s="41">
        <v>1</v>
      </c>
      <c r="D77" s="42">
        <v>14</v>
      </c>
      <c r="E77" s="43">
        <v>16846</v>
      </c>
      <c r="F77" s="44">
        <v>30715186256</v>
      </c>
      <c r="G77" s="45" t="str">
        <f>IFERROR(IF(compras_mes4[[#This Row],[CUIT]]="","-",VLOOKUP(compras_mes4[[#This Row],[CUIT]],Lista_CUIT[#All],2,0)),"CUIT NO CARGADO")</f>
        <v>FRIGORIFICO ALIMENTIC</v>
      </c>
      <c r="H77" s="46">
        <v>71236.22</v>
      </c>
      <c r="I77" s="85">
        <v>4232.9799999999996</v>
      </c>
      <c r="J77" s="85"/>
      <c r="K77" s="85">
        <v>5363.31</v>
      </c>
      <c r="L77" s="85"/>
      <c r="M77" s="85"/>
      <c r="N77" s="85"/>
      <c r="O77" s="85"/>
      <c r="P77" s="48">
        <f>SUM(compras_mes4[[#This Row],[NETO GRAVADO]:[Otros / No Grav.]])</f>
        <v>80832.509999999995</v>
      </c>
      <c r="Q77" s="49" t="str">
        <f>IFERROR(IF(compras_mes4[[#This Row],[CUIT]]="","-",VLOOKUP(compras_mes4[[#This Row],[CUIT]],Lista_CUIT[#All],3,0)),"CUIT NO CARGADO")</f>
        <v>Gastos Comercializacion - Feria</v>
      </c>
      <c r="R77" s="49">
        <f>IFERROR(IF(compras_mes4[[#This Row],[CUIT]]="","-",VLOOKUP(compras_mes4[[#This Row],[CUIT]],Lista_CUIT[#All],4,0)),"CUIT NO CARGADO")</f>
        <v>0</v>
      </c>
    </row>
    <row r="78" spans="2:18" x14ac:dyDescent="0.25">
      <c r="B78" s="40" t="s">
        <v>2434</v>
      </c>
      <c r="C78" s="41">
        <v>1</v>
      </c>
      <c r="D78" s="42">
        <v>7</v>
      </c>
      <c r="E78" s="43">
        <v>413</v>
      </c>
      <c r="F78" s="44">
        <v>30710333498</v>
      </c>
      <c r="G78" s="45" t="str">
        <f>IFERROR(IF(compras_mes4[[#This Row],[CUIT]]="","-",VLOOKUP(compras_mes4[[#This Row],[CUIT]],Lista_CUIT[#All],2,0)),"CUIT NO CARGADO")</f>
        <v>AERO SRL</v>
      </c>
      <c r="H78" s="46">
        <v>63553.72</v>
      </c>
      <c r="I78" s="85">
        <f>IF(compras_mes4[[#This Row],[NETO GRAVADO]]="","",compras_mes4[[#This Row],[NETO GRAVADO]]*0.21)</f>
        <v>13346.281199999999</v>
      </c>
      <c r="J78" s="85"/>
      <c r="K78" s="85"/>
      <c r="L78" s="85"/>
      <c r="M78" s="85"/>
      <c r="N78" s="85"/>
      <c r="O78" s="85"/>
      <c r="P78" s="48">
        <f>SUM(compras_mes4[[#This Row],[NETO GRAVADO]:[Otros / No Grav.]])</f>
        <v>76900.001199999999</v>
      </c>
      <c r="Q78" s="49" t="str">
        <f>IFERROR(IF(compras_mes4[[#This Row],[CUIT]]="","-",VLOOKUP(compras_mes4[[#This Row],[CUIT]],Lista_CUIT[#All],3,0)),"CUIT NO CARGADO")</f>
        <v>Gastos Varios</v>
      </c>
      <c r="R78" s="49">
        <f>IFERROR(IF(compras_mes4[[#This Row],[CUIT]]="","-",VLOOKUP(compras_mes4[[#This Row],[CUIT]],Lista_CUIT[#All],4,0)),"CUIT NO CARGADO")</f>
        <v>0</v>
      </c>
    </row>
    <row r="79" spans="2:18" x14ac:dyDescent="0.25">
      <c r="B79" s="40" t="s">
        <v>2441</v>
      </c>
      <c r="C79" s="41">
        <v>1</v>
      </c>
      <c r="D79" s="42">
        <v>528</v>
      </c>
      <c r="E79" s="43">
        <v>2125</v>
      </c>
      <c r="F79" s="44">
        <v>30640079378</v>
      </c>
      <c r="G79" s="45" t="str">
        <f>IFERROR(IF(compras_mes4[[#This Row],[CUIT]]="","-",VLOOKUP(compras_mes4[[#This Row],[CUIT]],Lista_CUIT[#All],2,0)),"CUIT NO CARGADO")</f>
        <v>GOMERIAS NEUMEN S A</v>
      </c>
      <c r="H79" s="46">
        <v>162743.79999999999</v>
      </c>
      <c r="I79" s="85">
        <f>IF(compras_mes4[[#This Row],[NETO GRAVADO]]="","",compras_mes4[[#This Row],[NETO GRAVADO]]*0.21)</f>
        <v>34176.197999999997</v>
      </c>
      <c r="J79" s="85"/>
      <c r="K79" s="85"/>
      <c r="L79" s="85"/>
      <c r="M79" s="85"/>
      <c r="N79" s="85"/>
      <c r="O79" s="85"/>
      <c r="P79" s="48">
        <f>SUM(compras_mes4[[#This Row],[NETO GRAVADO]:[Otros / No Grav.]])</f>
        <v>196919.99799999999</v>
      </c>
      <c r="Q79" s="49" t="str">
        <f>IFERROR(IF(compras_mes4[[#This Row],[CUIT]]="","-",VLOOKUP(compras_mes4[[#This Row],[CUIT]],Lista_CUIT[#All],3,0)),"CUIT NO CARGADO")</f>
        <v>Mantenimiento Rodado</v>
      </c>
      <c r="R79" s="49">
        <f>IFERROR(IF(compras_mes4[[#This Row],[CUIT]]="","-",VLOOKUP(compras_mes4[[#This Row],[CUIT]],Lista_CUIT[#All],4,0)),"CUIT NO CARGADO")</f>
        <v>0</v>
      </c>
    </row>
    <row r="80" spans="2:18" x14ac:dyDescent="0.25">
      <c r="B80" s="40" t="s">
        <v>2425</v>
      </c>
      <c r="C80" s="41">
        <v>1</v>
      </c>
      <c r="D80" s="42">
        <v>3</v>
      </c>
      <c r="E80" s="43">
        <v>7</v>
      </c>
      <c r="F80" s="44">
        <v>30717884201</v>
      </c>
      <c r="G80" s="45" t="str">
        <f>IFERROR(IF(compras_mes4[[#This Row],[CUIT]]="","-",VLOOKUP(compras_mes4[[#This Row],[CUIT]],Lista_CUIT[#All],2,0)),"CUIT NO CARGADO")</f>
        <v>BAIRES SHOP S.R.L.</v>
      </c>
      <c r="H80" s="46">
        <v>54871.81</v>
      </c>
      <c r="I80" s="85">
        <f>IF(compras_mes4[[#This Row],[NETO GRAVADO]]="","",compras_mes4[[#This Row],[NETO GRAVADO]]*0.21)</f>
        <v>11523.080099999999</v>
      </c>
      <c r="J80" s="85"/>
      <c r="K80" s="85"/>
      <c r="L80" s="85"/>
      <c r="M80" s="85"/>
      <c r="N80" s="85"/>
      <c r="O80" s="85"/>
      <c r="P80" s="48">
        <f>SUM(compras_mes4[[#This Row],[NETO GRAVADO]:[Otros / No Grav.]])</f>
        <v>66394.89009999999</v>
      </c>
      <c r="Q80" s="49" t="str">
        <f>IFERROR(IF(compras_mes4[[#This Row],[CUIT]]="","-",VLOOKUP(compras_mes4[[#This Row],[CUIT]],Lista_CUIT[#All],3,0)),"CUIT NO CARGADO")</f>
        <v>Gastos Varios</v>
      </c>
      <c r="R80" s="49">
        <f>IFERROR(IF(compras_mes4[[#This Row],[CUIT]]="","-",VLOOKUP(compras_mes4[[#This Row],[CUIT]],Lista_CUIT[#All],4,0)),"CUIT NO CARGADO")</f>
        <v>0</v>
      </c>
    </row>
    <row r="81" spans="2:18" x14ac:dyDescent="0.25">
      <c r="B81" s="40" t="s">
        <v>2430</v>
      </c>
      <c r="C81" s="41">
        <v>1</v>
      </c>
      <c r="D81" s="42">
        <v>11</v>
      </c>
      <c r="E81" s="43">
        <v>1146310</v>
      </c>
      <c r="F81" s="44">
        <v>33709585229</v>
      </c>
      <c r="G81" s="45" t="str">
        <f>IFERROR(IF(compras_mes4[[#This Row],[CUIT]]="","-",VLOOKUP(compras_mes4[[#This Row],[CUIT]],Lista_CUIT[#All],2,0)),"CUIT NO CARGADO")</f>
        <v>GOOGLE ARGENTINA S.R.L.</v>
      </c>
      <c r="H81" s="46">
        <v>241176.77</v>
      </c>
      <c r="I81" s="85">
        <f>IF(compras_mes4[[#This Row],[NETO GRAVADO]]="","",compras_mes4[[#This Row],[NETO GRAVADO]]*0.21)</f>
        <v>50647.121699999996</v>
      </c>
      <c r="J81" s="85"/>
      <c r="K81" s="85"/>
      <c r="L81" s="85"/>
      <c r="M81" s="85"/>
      <c r="N81" s="85">
        <v>66787.88</v>
      </c>
      <c r="O81" s="85">
        <v>7253.3</v>
      </c>
      <c r="P81" s="48">
        <f>SUM(compras_mes4[[#This Row],[NETO GRAVADO]:[Otros / No Grav.]])</f>
        <v>365865.07169999997</v>
      </c>
      <c r="Q81" s="49" t="str">
        <f>IFERROR(IF(compras_mes4[[#This Row],[CUIT]]="","-",VLOOKUP(compras_mes4[[#This Row],[CUIT]],Lista_CUIT[#All],3,0)),"CUIT NO CARGADO")</f>
        <v>Gastos Comercializacion</v>
      </c>
      <c r="R81" s="49">
        <f>IFERROR(IF(compras_mes4[[#This Row],[CUIT]]="","-",VLOOKUP(compras_mes4[[#This Row],[CUIT]],Lista_CUIT[#All],4,0)),"CUIT NO CARGADO")</f>
        <v>0</v>
      </c>
    </row>
    <row r="82" spans="2:18" x14ac:dyDescent="0.25">
      <c r="B82" s="313" t="s">
        <v>2431</v>
      </c>
      <c r="C82" s="41">
        <v>1</v>
      </c>
      <c r="D82" s="314">
        <v>629</v>
      </c>
      <c r="E82" s="477">
        <v>5984992</v>
      </c>
      <c r="F82" s="315">
        <v>30663498513</v>
      </c>
      <c r="G82" s="316" t="str">
        <f>IFERROR(IF(compras_mes4[[#This Row],[CUIT]]="","-",VLOOKUP(compras_mes4[[#This Row],[CUIT]],Lista_CUIT[#All],2,0)),"CUIT NO CARGADO")</f>
        <v>GRUPO CONCES. DEL OESTE SA</v>
      </c>
      <c r="H82" s="317">
        <v>34435.089999999997</v>
      </c>
      <c r="I82" s="85">
        <f>IF(compras_mes4[[#This Row],[NETO GRAVADO]]="","",compras_mes4[[#This Row],[NETO GRAVADO]]*0.21)</f>
        <v>7231.3688999999986</v>
      </c>
      <c r="J82" s="318"/>
      <c r="K82" s="318"/>
      <c r="L82" s="318"/>
      <c r="M82" s="318"/>
      <c r="N82" s="318"/>
      <c r="O82" s="318"/>
      <c r="P82" s="319">
        <f>SUM(compras_mes4[[#This Row],[NETO GRAVADO]:[Otros / No Grav.]])</f>
        <v>41666.458899999998</v>
      </c>
      <c r="Q82" s="320" t="str">
        <f>IFERROR(IF(compras_mes4[[#This Row],[CUIT]]="","-",VLOOKUP(compras_mes4[[#This Row],[CUIT]],Lista_CUIT[#All],3,0)),"CUIT NO CARGADO")</f>
        <v>Peajes</v>
      </c>
      <c r="R82" s="320">
        <f>IFERROR(IF(compras_mes4[[#This Row],[CUIT]]="","-",VLOOKUP(compras_mes4[[#This Row],[CUIT]],Lista_CUIT[#All],4,0)),"CUIT NO CARGADO")</f>
        <v>0</v>
      </c>
    </row>
    <row r="83" spans="2:18" x14ac:dyDescent="0.25">
      <c r="B83" s="40" t="s">
        <v>2437</v>
      </c>
      <c r="C83" s="41">
        <v>1</v>
      </c>
      <c r="D83" s="42">
        <v>629</v>
      </c>
      <c r="E83" s="43">
        <v>6027461</v>
      </c>
      <c r="F83" s="44">
        <v>30663498513</v>
      </c>
      <c r="G83" s="45" t="str">
        <f>IFERROR(IF(compras_mes4[[#This Row],[CUIT]]="","-",VLOOKUP(compras_mes4[[#This Row],[CUIT]],Lista_CUIT[#All],2,0)),"CUIT NO CARGADO")</f>
        <v>GRUPO CONCES. DEL OESTE SA</v>
      </c>
      <c r="H83" s="46">
        <v>34088.379999999997</v>
      </c>
      <c r="I83" s="85">
        <f>IF(compras_mes4[[#This Row],[NETO GRAVADO]]="","",compras_mes4[[#This Row],[NETO GRAVADO]]*0.21)</f>
        <v>7158.5597999999991</v>
      </c>
      <c r="J83" s="85"/>
      <c r="K83" s="85"/>
      <c r="L83" s="85"/>
      <c r="M83" s="85"/>
      <c r="N83" s="85"/>
      <c r="O83" s="85"/>
      <c r="P83" s="48">
        <f>SUM(compras_mes4[[#This Row],[NETO GRAVADO]:[Otros / No Grav.]])</f>
        <v>41246.939799999993</v>
      </c>
      <c r="Q83" s="49" t="str">
        <f>IFERROR(IF(compras_mes4[[#This Row],[CUIT]]="","-",VLOOKUP(compras_mes4[[#This Row],[CUIT]],Lista_CUIT[#All],3,0)),"CUIT NO CARGADO")</f>
        <v>Peajes</v>
      </c>
      <c r="R83" s="49">
        <f>IFERROR(IF(compras_mes4[[#This Row],[CUIT]]="","-",VLOOKUP(compras_mes4[[#This Row],[CUIT]],Lista_CUIT[#All],4,0)),"CUIT NO CARGADO")</f>
        <v>0</v>
      </c>
    </row>
    <row r="84" spans="2:18" x14ac:dyDescent="0.25">
      <c r="B84" s="40" t="s">
        <v>2420</v>
      </c>
      <c r="C84" s="41">
        <v>1</v>
      </c>
      <c r="D84" s="42">
        <v>1</v>
      </c>
      <c r="E84" s="43">
        <v>1161</v>
      </c>
      <c r="F84" s="44">
        <v>30717640175</v>
      </c>
      <c r="G84" s="45" t="str">
        <f>IFERROR(IF(compras_mes4[[#This Row],[CUIT]]="","-",VLOOKUP(compras_mes4[[#This Row],[CUIT]],Lista_CUIT[#All],2,0)),"CUIT NO CARGADO")</f>
        <v>GRUPO DE REPUESTOS EL MELLIZO</v>
      </c>
      <c r="H84" s="46">
        <v>13966.94</v>
      </c>
      <c r="I84" s="85">
        <f>IF(compras_mes4[[#This Row],[NETO GRAVADO]]="","",compras_mes4[[#This Row],[NETO GRAVADO]]*0.21)</f>
        <v>2933.0574000000001</v>
      </c>
      <c r="J84" s="85"/>
      <c r="K84" s="85"/>
      <c r="L84" s="85"/>
      <c r="M84" s="85"/>
      <c r="N84" s="85"/>
      <c r="O84" s="85"/>
      <c r="P84" s="48">
        <f>SUM(compras_mes4[[#This Row],[NETO GRAVADO]:[Otros / No Grav.]])</f>
        <v>16899.9974</v>
      </c>
      <c r="Q84" s="49" t="str">
        <f>IFERROR(IF(compras_mes4[[#This Row],[CUIT]]="","-",VLOOKUP(compras_mes4[[#This Row],[CUIT]],Lista_CUIT[#All],3,0)),"CUIT NO CARGADO")</f>
        <v>Gastos Varios</v>
      </c>
      <c r="R84" s="49">
        <f>IFERROR(IF(compras_mes4[[#This Row],[CUIT]]="","-",VLOOKUP(compras_mes4[[#This Row],[CUIT]],Lista_CUIT[#All],4,0)),"CUIT NO CARGADO")</f>
        <v>0</v>
      </c>
    </row>
    <row r="85" spans="2:18" x14ac:dyDescent="0.25">
      <c r="B85" s="313" t="s">
        <v>2428</v>
      </c>
      <c r="C85" s="41">
        <v>1</v>
      </c>
      <c r="D85" s="314">
        <v>2</v>
      </c>
      <c r="E85" s="477">
        <v>184</v>
      </c>
      <c r="F85" s="315">
        <v>30717884201</v>
      </c>
      <c r="G85" s="316" t="str">
        <f>IFERROR(IF(compras_mes4[[#This Row],[CUIT]]="","-",VLOOKUP(compras_mes4[[#This Row],[CUIT]],Lista_CUIT[#All],2,0)),"CUIT NO CARGADO")</f>
        <v>BAIRES SHOP S.R.L.</v>
      </c>
      <c r="H85" s="317">
        <v>54544.54</v>
      </c>
      <c r="I85" s="85">
        <f>IF(compras_mes4[[#This Row],[NETO GRAVADO]]="","",compras_mes4[[#This Row],[NETO GRAVADO]]*0.21)</f>
        <v>11454.3534</v>
      </c>
      <c r="J85" s="318"/>
      <c r="K85" s="318"/>
      <c r="L85" s="318"/>
      <c r="M85" s="318"/>
      <c r="N85" s="318"/>
      <c r="O85" s="318"/>
      <c r="P85" s="319">
        <f>SUM(compras_mes4[[#This Row],[NETO GRAVADO]:[Otros / No Grav.]])</f>
        <v>65998.893400000001</v>
      </c>
      <c r="Q85" s="320" t="str">
        <f>IFERROR(IF(compras_mes4[[#This Row],[CUIT]]="","-",VLOOKUP(compras_mes4[[#This Row],[CUIT]],Lista_CUIT[#All],3,0)),"CUIT NO CARGADO")</f>
        <v>Gastos Varios</v>
      </c>
      <c r="R85" s="320">
        <f>IFERROR(IF(compras_mes4[[#This Row],[CUIT]]="","-",VLOOKUP(compras_mes4[[#This Row],[CUIT]],Lista_CUIT[#All],4,0)),"CUIT NO CARGADO")</f>
        <v>0</v>
      </c>
    </row>
    <row r="86" spans="2:18" x14ac:dyDescent="0.25">
      <c r="B86" s="40" t="s">
        <v>2431</v>
      </c>
      <c r="C86" s="41">
        <v>1</v>
      </c>
      <c r="D86" s="42">
        <v>1</v>
      </c>
      <c r="E86" s="43">
        <v>158</v>
      </c>
      <c r="F86" s="44">
        <v>30716010313</v>
      </c>
      <c r="G86" s="45" t="str">
        <f>IFERROR(IF(compras_mes4[[#This Row],[CUIT]]="","-",VLOOKUP(compras_mes4[[#This Row],[CUIT]],Lista_CUIT[#All],2,0)),"CUIT NO CARGADO")</f>
        <v>H UNO 1469 S.A.</v>
      </c>
      <c r="H86" s="46">
        <v>500000</v>
      </c>
      <c r="I86" s="85">
        <f>IF(compras_mes4[[#This Row],[NETO GRAVADO]]="","",compras_mes4[[#This Row],[NETO GRAVADO]]*0.21)</f>
        <v>105000</v>
      </c>
      <c r="J86" s="85"/>
      <c r="K86" s="85"/>
      <c r="L86" s="85"/>
      <c r="M86" s="85"/>
      <c r="N86" s="85"/>
      <c r="O86" s="85"/>
      <c r="P86" s="48">
        <f>SUM(compras_mes4[[#This Row],[NETO GRAVADO]:[Otros / No Grav.]])</f>
        <v>605000</v>
      </c>
      <c r="Q86" s="49" t="str">
        <f>IFERROR(IF(compras_mes4[[#This Row],[CUIT]]="","-",VLOOKUP(compras_mes4[[#This Row],[CUIT]],Lista_CUIT[#All],3,0)),"CUIT NO CARGADO")</f>
        <v>Alquiler</v>
      </c>
      <c r="R86" s="49">
        <f>IFERROR(IF(compras_mes4[[#This Row],[CUIT]]="","-",VLOOKUP(compras_mes4[[#This Row],[CUIT]],Lista_CUIT[#All],4,0)),"CUIT NO CARGADO")</f>
        <v>0</v>
      </c>
    </row>
    <row r="87" spans="2:18" x14ac:dyDescent="0.25">
      <c r="B87" s="313" t="s">
        <v>2426</v>
      </c>
      <c r="C87" s="41">
        <v>1</v>
      </c>
      <c r="D87" s="314">
        <v>4</v>
      </c>
      <c r="E87" s="477">
        <v>4886</v>
      </c>
      <c r="F87" s="315">
        <v>30705466269</v>
      </c>
      <c r="G87" s="316" t="str">
        <f>IFERROR(IF(compras_mes4[[#This Row],[CUIT]]="","-",VLOOKUP(compras_mes4[[#This Row],[CUIT]],Lista_CUIT[#All],2,0)),"CUIT NO CARGADO")</f>
        <v>CHIEN SA</v>
      </c>
      <c r="H87" s="317">
        <v>51582.64</v>
      </c>
      <c r="I87" s="85">
        <f>IF(compras_mes4[[#This Row],[NETO GRAVADO]]="","",compras_mes4[[#This Row],[NETO GRAVADO]]*0.21)</f>
        <v>10832.3544</v>
      </c>
      <c r="J87" s="318"/>
      <c r="K87" s="318"/>
      <c r="L87" s="318"/>
      <c r="M87" s="318"/>
      <c r="N87" s="318"/>
      <c r="O87" s="318"/>
      <c r="P87" s="319">
        <f>SUM(compras_mes4[[#This Row],[NETO GRAVADO]:[Otros / No Grav.]])</f>
        <v>62414.994399999996</v>
      </c>
      <c r="Q87" s="320" t="str">
        <f>IFERROR(IF(compras_mes4[[#This Row],[CUIT]]="","-",VLOOKUP(compras_mes4[[#This Row],[CUIT]],Lista_CUIT[#All],3,0)),"CUIT NO CARGADO")</f>
        <v>Mercaderia</v>
      </c>
      <c r="R87" s="320">
        <f>IFERROR(IF(compras_mes4[[#This Row],[CUIT]]="","-",VLOOKUP(compras_mes4[[#This Row],[CUIT]],Lista_CUIT[#All],4,0)),"CUIT NO CARGADO")</f>
        <v>0</v>
      </c>
    </row>
    <row r="88" spans="2:18" x14ac:dyDescent="0.25">
      <c r="B88" s="40" t="s">
        <v>2432</v>
      </c>
      <c r="C88" s="41">
        <v>1</v>
      </c>
      <c r="D88" s="42">
        <v>2</v>
      </c>
      <c r="E88" s="43">
        <v>669</v>
      </c>
      <c r="F88" s="44">
        <v>27317740196</v>
      </c>
      <c r="G88" s="45" t="str">
        <f>IFERROR(IF(compras_mes4[[#This Row],[CUIT]]="","-",VLOOKUP(compras_mes4[[#This Row],[CUIT]],Lista_CUIT[#All],2,0)),"CUIT NO CARGADO")</f>
        <v>HOKAMA ROMINA PAOLA</v>
      </c>
      <c r="H88" s="46">
        <v>17816.53</v>
      </c>
      <c r="I88" s="85">
        <f>IF(compras_mes4[[#This Row],[NETO GRAVADO]]="","",compras_mes4[[#This Row],[NETO GRAVADO]]*0.21)</f>
        <v>3741.4712999999997</v>
      </c>
      <c r="J88" s="85"/>
      <c r="K88" s="85"/>
      <c r="L88" s="85"/>
      <c r="M88" s="85"/>
      <c r="N88" s="85"/>
      <c r="O88" s="85"/>
      <c r="P88" s="48">
        <f>SUM(compras_mes4[[#This Row],[NETO GRAVADO]:[Otros / No Grav.]])</f>
        <v>21558.0013</v>
      </c>
      <c r="Q88" s="49" t="str">
        <f>IFERROR(IF(compras_mes4[[#This Row],[CUIT]]="","-",VLOOKUP(compras_mes4[[#This Row],[CUIT]],Lista_CUIT[#All],3,0)),"CUIT NO CARGADO")</f>
        <v>Gastos Varios</v>
      </c>
      <c r="R88" s="49">
        <f>IFERROR(IF(compras_mes4[[#This Row],[CUIT]]="","-",VLOOKUP(compras_mes4[[#This Row],[CUIT]],Lista_CUIT[#All],4,0)),"CUIT NO CARGADO")</f>
        <v>0</v>
      </c>
    </row>
    <row r="89" spans="2:18" x14ac:dyDescent="0.25">
      <c r="B89" s="40" t="s">
        <v>2434</v>
      </c>
      <c r="C89" s="41">
        <v>1</v>
      </c>
      <c r="D89" s="42">
        <v>2</v>
      </c>
      <c r="E89" s="43">
        <v>698</v>
      </c>
      <c r="F89" s="44">
        <v>27317740196</v>
      </c>
      <c r="G89" s="45" t="str">
        <f>IFERROR(IF(compras_mes4[[#This Row],[CUIT]]="","-",VLOOKUP(compras_mes4[[#This Row],[CUIT]],Lista_CUIT[#All],2,0)),"CUIT NO CARGADO")</f>
        <v>HOKAMA ROMINA PAOLA</v>
      </c>
      <c r="H89" s="46">
        <v>30533.06</v>
      </c>
      <c r="I89" s="85">
        <f>IF(compras_mes4[[#This Row],[NETO GRAVADO]]="","",compras_mes4[[#This Row],[NETO GRAVADO]]*0.21)</f>
        <v>6411.9426000000003</v>
      </c>
      <c r="J89" s="85"/>
      <c r="K89" s="85"/>
      <c r="L89" s="85"/>
      <c r="M89" s="85"/>
      <c r="N89" s="85"/>
      <c r="O89" s="85"/>
      <c r="P89" s="48">
        <f>SUM(compras_mes4[[#This Row],[NETO GRAVADO]:[Otros / No Grav.]])</f>
        <v>36945.0026</v>
      </c>
      <c r="Q89" s="49" t="str">
        <f>IFERROR(IF(compras_mes4[[#This Row],[CUIT]]="","-",VLOOKUP(compras_mes4[[#This Row],[CUIT]],Lista_CUIT[#All],3,0)),"CUIT NO CARGADO")</f>
        <v>Gastos Varios</v>
      </c>
      <c r="R89" s="49">
        <f>IFERROR(IF(compras_mes4[[#This Row],[CUIT]]="","-",VLOOKUP(compras_mes4[[#This Row],[CUIT]],Lista_CUIT[#All],4,0)),"CUIT NO CARGADO")</f>
        <v>0</v>
      </c>
    </row>
    <row r="90" spans="2:18" x14ac:dyDescent="0.25">
      <c r="B90" s="40" t="s">
        <v>2421</v>
      </c>
      <c r="C90" s="41">
        <v>1</v>
      </c>
      <c r="D90" s="42">
        <v>2</v>
      </c>
      <c r="E90" s="43">
        <v>724</v>
      </c>
      <c r="F90" s="44">
        <v>27317740196</v>
      </c>
      <c r="G90" s="45" t="str">
        <f>IFERROR(IF(compras_mes4[[#This Row],[CUIT]]="","-",VLOOKUP(compras_mes4[[#This Row],[CUIT]],Lista_CUIT[#All],2,0)),"CUIT NO CARGADO")</f>
        <v>HOKAMA ROMINA PAOLA</v>
      </c>
      <c r="H90" s="46">
        <v>22576.86</v>
      </c>
      <c r="I90" s="85">
        <f>IF(compras_mes4[[#This Row],[NETO GRAVADO]]="","",compras_mes4[[#This Row],[NETO GRAVADO]]*0.21)</f>
        <v>4741.1405999999997</v>
      </c>
      <c r="J90" s="85"/>
      <c r="K90" s="85"/>
      <c r="L90" s="85"/>
      <c r="M90" s="85"/>
      <c r="N90" s="85"/>
      <c r="O90" s="85"/>
      <c r="P90" s="48">
        <f>SUM(compras_mes4[[#This Row],[NETO GRAVADO]:[Otros / No Grav.]])</f>
        <v>27318.000599999999</v>
      </c>
      <c r="Q90" s="49" t="str">
        <f>IFERROR(IF(compras_mes4[[#This Row],[CUIT]]="","-",VLOOKUP(compras_mes4[[#This Row],[CUIT]],Lista_CUIT[#All],3,0)),"CUIT NO CARGADO")</f>
        <v>Gastos Varios</v>
      </c>
      <c r="R90" s="49">
        <f>IFERROR(IF(compras_mes4[[#This Row],[CUIT]]="","-",VLOOKUP(compras_mes4[[#This Row],[CUIT]],Lista_CUIT[#All],4,0)),"CUIT NO CARGADO")</f>
        <v>0</v>
      </c>
    </row>
    <row r="91" spans="2:18" x14ac:dyDescent="0.25">
      <c r="B91" s="313" t="s">
        <v>2436</v>
      </c>
      <c r="C91" s="41">
        <v>1</v>
      </c>
      <c r="D91" s="314">
        <v>2</v>
      </c>
      <c r="E91" s="477">
        <v>729</v>
      </c>
      <c r="F91" s="315">
        <v>27317740196</v>
      </c>
      <c r="G91" s="316" t="str">
        <f>IFERROR(IF(compras_mes4[[#This Row],[CUIT]]="","-",VLOOKUP(compras_mes4[[#This Row],[CUIT]],Lista_CUIT[#All],2,0)),"CUIT NO CARGADO")</f>
        <v>HOKAMA ROMINA PAOLA</v>
      </c>
      <c r="H91" s="317">
        <v>18292.560000000001</v>
      </c>
      <c r="I91" s="85">
        <f>IF(compras_mes4[[#This Row],[NETO GRAVADO]]="","",compras_mes4[[#This Row],[NETO GRAVADO]]*0.21)</f>
        <v>3841.4376000000002</v>
      </c>
      <c r="J91" s="318"/>
      <c r="K91" s="318"/>
      <c r="L91" s="318"/>
      <c r="M91" s="318"/>
      <c r="N91" s="318"/>
      <c r="O91" s="318"/>
      <c r="P91" s="319">
        <f>SUM(compras_mes4[[#This Row],[NETO GRAVADO]:[Otros / No Grav.]])</f>
        <v>22133.997600000002</v>
      </c>
      <c r="Q91" s="320" t="str">
        <f>IFERROR(IF(compras_mes4[[#This Row],[CUIT]]="","-",VLOOKUP(compras_mes4[[#This Row],[CUIT]],Lista_CUIT[#All],3,0)),"CUIT NO CARGADO")</f>
        <v>Gastos Varios</v>
      </c>
      <c r="R91" s="320">
        <f>IFERROR(IF(compras_mes4[[#This Row],[CUIT]]="","-",VLOOKUP(compras_mes4[[#This Row],[CUIT]],Lista_CUIT[#All],4,0)),"CUIT NO CARGADO")</f>
        <v>0</v>
      </c>
    </row>
    <row r="92" spans="2:18" x14ac:dyDescent="0.25">
      <c r="B92" s="40" t="s">
        <v>2438</v>
      </c>
      <c r="C92" s="41">
        <v>1</v>
      </c>
      <c r="D92" s="42">
        <v>2</v>
      </c>
      <c r="E92" s="43">
        <v>761</v>
      </c>
      <c r="F92" s="44">
        <v>27317740196</v>
      </c>
      <c r="G92" s="45" t="str">
        <f>IFERROR(IF(compras_mes4[[#This Row],[CUIT]]="","-",VLOOKUP(compras_mes4[[#This Row],[CUIT]],Lista_CUIT[#All],2,0)),"CUIT NO CARGADO")</f>
        <v>HOKAMA ROMINA PAOLA</v>
      </c>
      <c r="H92" s="46">
        <v>24719.01</v>
      </c>
      <c r="I92" s="85">
        <f>IF(compras_mes4[[#This Row],[NETO GRAVADO]]="","",compras_mes4[[#This Row],[NETO GRAVADO]]*0.21)</f>
        <v>5190.9920999999995</v>
      </c>
      <c r="J92" s="85"/>
      <c r="K92" s="85"/>
      <c r="L92" s="85"/>
      <c r="M92" s="85"/>
      <c r="N92" s="85"/>
      <c r="O92" s="85"/>
      <c r="P92" s="48">
        <f>SUM(compras_mes4[[#This Row],[NETO GRAVADO]:[Otros / No Grav.]])</f>
        <v>29910.002099999998</v>
      </c>
      <c r="Q92" s="49" t="str">
        <f>IFERROR(IF(compras_mes4[[#This Row],[CUIT]]="","-",VLOOKUP(compras_mes4[[#This Row],[CUIT]],Lista_CUIT[#All],3,0)),"CUIT NO CARGADO")</f>
        <v>Gastos Varios</v>
      </c>
      <c r="R92" s="49">
        <f>IFERROR(IF(compras_mes4[[#This Row],[CUIT]]="","-",VLOOKUP(compras_mes4[[#This Row],[CUIT]],Lista_CUIT[#All],4,0)),"CUIT NO CARGADO")</f>
        <v>0</v>
      </c>
    </row>
    <row r="93" spans="2:18" x14ac:dyDescent="0.25">
      <c r="B93" s="40" t="s">
        <v>2441</v>
      </c>
      <c r="C93" s="41">
        <v>1</v>
      </c>
      <c r="D93" s="42">
        <v>2</v>
      </c>
      <c r="E93" s="43">
        <v>795</v>
      </c>
      <c r="F93" s="44">
        <v>27317740196</v>
      </c>
      <c r="G93" s="45" t="str">
        <f>IFERROR(IF(compras_mes4[[#This Row],[CUIT]]="","-",VLOOKUP(compras_mes4[[#This Row],[CUIT]],Lista_CUIT[#All],2,0)),"CUIT NO CARGADO")</f>
        <v>HOKAMA ROMINA PAOLA</v>
      </c>
      <c r="H93" s="46">
        <v>40942.980000000003</v>
      </c>
      <c r="I93" s="85">
        <f>IF(compras_mes4[[#This Row],[NETO GRAVADO]]="","",compras_mes4[[#This Row],[NETO GRAVADO]]*0.21)</f>
        <v>8598.0258000000013</v>
      </c>
      <c r="J93" s="85"/>
      <c r="K93" s="85"/>
      <c r="L93" s="85"/>
      <c r="M93" s="85"/>
      <c r="N93" s="85"/>
      <c r="O93" s="85"/>
      <c r="P93" s="48">
        <f>SUM(compras_mes4[[#This Row],[NETO GRAVADO]:[Otros / No Grav.]])</f>
        <v>49541.005800000006</v>
      </c>
      <c r="Q93" s="49" t="str">
        <f>IFERROR(IF(compras_mes4[[#This Row],[CUIT]]="","-",VLOOKUP(compras_mes4[[#This Row],[CUIT]],Lista_CUIT[#All],3,0)),"CUIT NO CARGADO")</f>
        <v>Gastos Varios</v>
      </c>
      <c r="R93" s="49">
        <f>IFERROR(IF(compras_mes4[[#This Row],[CUIT]]="","-",VLOOKUP(compras_mes4[[#This Row],[CUIT]],Lista_CUIT[#All],4,0)),"CUIT NO CARGADO")</f>
        <v>0</v>
      </c>
    </row>
    <row r="94" spans="2:18" x14ac:dyDescent="0.25">
      <c r="B94" s="40" t="s">
        <v>2430</v>
      </c>
      <c r="C94" s="41">
        <v>1</v>
      </c>
      <c r="D94" s="42">
        <v>2</v>
      </c>
      <c r="E94" s="43">
        <v>830</v>
      </c>
      <c r="F94" s="44">
        <v>27317740196</v>
      </c>
      <c r="G94" s="45" t="str">
        <f>IFERROR(IF(compras_mes4[[#This Row],[CUIT]]="","-",VLOOKUP(compras_mes4[[#This Row],[CUIT]],Lista_CUIT[#All],2,0)),"CUIT NO CARGADO")</f>
        <v>HOKAMA ROMINA PAOLA</v>
      </c>
      <c r="H94" s="46">
        <v>37579.339999999997</v>
      </c>
      <c r="I94" s="85">
        <f>IF(compras_mes4[[#This Row],[NETO GRAVADO]]="","",compras_mes4[[#This Row],[NETO GRAVADO]]*0.21)</f>
        <v>7891.661399999999</v>
      </c>
      <c r="J94" s="85"/>
      <c r="K94" s="85"/>
      <c r="L94" s="85"/>
      <c r="M94" s="85"/>
      <c r="N94" s="85"/>
      <c r="O94" s="85"/>
      <c r="P94" s="48">
        <f>SUM(compras_mes4[[#This Row],[NETO GRAVADO]:[Otros / No Grav.]])</f>
        <v>45471.001399999994</v>
      </c>
      <c r="Q94" s="49" t="str">
        <f>IFERROR(IF(compras_mes4[[#This Row],[CUIT]]="","-",VLOOKUP(compras_mes4[[#This Row],[CUIT]],Lista_CUIT[#All],3,0)),"CUIT NO CARGADO")</f>
        <v>Gastos Varios</v>
      </c>
      <c r="R94" s="49">
        <f>IFERROR(IF(compras_mes4[[#This Row],[CUIT]]="","-",VLOOKUP(compras_mes4[[#This Row],[CUIT]],Lista_CUIT[#All],4,0)),"CUIT NO CARGADO")</f>
        <v>0</v>
      </c>
    </row>
    <row r="95" spans="2:18" x14ac:dyDescent="0.25">
      <c r="B95" s="313" t="s">
        <v>2429</v>
      </c>
      <c r="C95" s="41">
        <v>1</v>
      </c>
      <c r="D95" s="314">
        <v>6</v>
      </c>
      <c r="E95" s="477">
        <v>127</v>
      </c>
      <c r="F95" s="315">
        <v>30716154102</v>
      </c>
      <c r="G95" s="316" t="str">
        <f>IFERROR(IF(compras_mes4[[#This Row],[CUIT]]="","-",VLOOKUP(compras_mes4[[#This Row],[CUIT]],Lista_CUIT[#All],2,0)),"CUIT NO CARGADO")</f>
        <v>IDZONE SRL</v>
      </c>
      <c r="H95" s="317">
        <v>321300</v>
      </c>
      <c r="I95" s="85">
        <f>IF(compras_mes4[[#This Row],[NETO GRAVADO]]="","",compras_mes4[[#This Row],[NETO GRAVADO]]*0.21)</f>
        <v>67473</v>
      </c>
      <c r="J95" s="318"/>
      <c r="K95" s="318"/>
      <c r="L95" s="318"/>
      <c r="M95" s="318"/>
      <c r="N95" s="318"/>
      <c r="O95" s="318"/>
      <c r="P95" s="319">
        <f>SUM(compras_mes4[[#This Row],[NETO GRAVADO]:[Otros / No Grav.]])</f>
        <v>388773</v>
      </c>
      <c r="Q95" s="320" t="str">
        <f>IFERROR(IF(compras_mes4[[#This Row],[CUIT]]="","-",VLOOKUP(compras_mes4[[#This Row],[CUIT]],Lista_CUIT[#All],3,0)),"CUIT NO CARGADO")</f>
        <v>Mantenimiento</v>
      </c>
      <c r="R95" s="320">
        <f>IFERROR(IF(compras_mes4[[#This Row],[CUIT]]="","-",VLOOKUP(compras_mes4[[#This Row],[CUIT]],Lista_CUIT[#All],4,0)),"CUIT NO CARGADO")</f>
        <v>0</v>
      </c>
    </row>
    <row r="96" spans="2:18" x14ac:dyDescent="0.25">
      <c r="B96" s="313" t="s">
        <v>2429</v>
      </c>
      <c r="C96" s="41">
        <v>2</v>
      </c>
      <c r="D96" s="314">
        <v>6</v>
      </c>
      <c r="E96" s="477">
        <v>16</v>
      </c>
      <c r="F96" s="315">
        <v>30716154102</v>
      </c>
      <c r="G96" s="316" t="str">
        <f>IFERROR(IF(compras_mes4[[#This Row],[CUIT]]="","-",VLOOKUP(compras_mes4[[#This Row],[CUIT]],Lista_CUIT[#All],2,0)),"CUIT NO CARGADO")</f>
        <v>IDZONE SRL</v>
      </c>
      <c r="H96" s="317">
        <v>27337.19</v>
      </c>
      <c r="I96" s="85">
        <f>IF(compras_mes4[[#This Row],[NETO GRAVADO]]="","",compras_mes4[[#This Row],[NETO GRAVADO]]*0.21)</f>
        <v>5740.8098999999993</v>
      </c>
      <c r="J96" s="318"/>
      <c r="K96" s="318"/>
      <c r="L96" s="318"/>
      <c r="M96" s="318"/>
      <c r="N96" s="318"/>
      <c r="O96" s="318"/>
      <c r="P96" s="319">
        <f>SUM(compras_mes4[[#This Row],[NETO GRAVADO]:[Otros / No Grav.]])</f>
        <v>33077.999899999995</v>
      </c>
      <c r="Q96" s="320" t="str">
        <f>IFERROR(IF(compras_mes4[[#This Row],[CUIT]]="","-",VLOOKUP(compras_mes4[[#This Row],[CUIT]],Lista_CUIT[#All],3,0)),"CUIT NO CARGADO")</f>
        <v>Mantenimiento</v>
      </c>
      <c r="R96" s="320">
        <f>IFERROR(IF(compras_mes4[[#This Row],[CUIT]]="","-",VLOOKUP(compras_mes4[[#This Row],[CUIT]],Lista_CUIT[#All],4,0)),"CUIT NO CARGADO")</f>
        <v>0</v>
      </c>
    </row>
    <row r="97" spans="2:18" x14ac:dyDescent="0.25">
      <c r="B97" s="89" t="s">
        <v>2415</v>
      </c>
      <c r="C97" s="41">
        <v>1</v>
      </c>
      <c r="D97" s="90">
        <v>4</v>
      </c>
      <c r="E97" s="91">
        <v>49311</v>
      </c>
      <c r="F97" s="92">
        <v>30709863076</v>
      </c>
      <c r="G97" s="93" t="str">
        <f>IFERROR(IF(compras_mes4[[#This Row],[CUIT]]="","-",VLOOKUP(compras_mes4[[#This Row],[CUIT]],Lista_CUIT[#All],2,0)),"CUIT NO CARGADO")</f>
        <v>INDUSTRIAS PLASTICOS SALTA S.R.L.</v>
      </c>
      <c r="H97" s="94">
        <v>244214.88</v>
      </c>
      <c r="I97" s="85">
        <f>IF(compras_mes4[[#This Row],[NETO GRAVADO]]="","",compras_mes4[[#This Row],[NETO GRAVADO]]*0.21)</f>
        <v>51285.124799999998</v>
      </c>
      <c r="J97" s="86"/>
      <c r="K97" s="86"/>
      <c r="L97" s="86"/>
      <c r="M97" s="86"/>
      <c r="N97" s="86"/>
      <c r="O97" s="86"/>
      <c r="P97" s="87">
        <f>SUM(compras_mes4[[#This Row],[NETO GRAVADO]:[Otros / No Grav.]])</f>
        <v>295500.0048</v>
      </c>
      <c r="Q97" s="88" t="str">
        <f>IFERROR(IF(compras_mes4[[#This Row],[CUIT]]="","-",VLOOKUP(compras_mes4[[#This Row],[CUIT]],Lista_CUIT[#All],3,0)),"CUIT NO CARGADO")</f>
        <v>Materia Prima</v>
      </c>
      <c r="R97" s="88">
        <f>IFERROR(IF(compras_mes4[[#This Row],[CUIT]]="","-",VLOOKUP(compras_mes4[[#This Row],[CUIT]],Lista_CUIT[#All],4,0)),"CUIT NO CARGADO")</f>
        <v>0</v>
      </c>
    </row>
    <row r="98" spans="2:18" x14ac:dyDescent="0.25">
      <c r="B98" s="40" t="s">
        <v>2418</v>
      </c>
      <c r="C98" s="41">
        <v>1</v>
      </c>
      <c r="D98" s="42">
        <v>4</v>
      </c>
      <c r="E98" s="43">
        <v>49354</v>
      </c>
      <c r="F98" s="44">
        <v>30709863076</v>
      </c>
      <c r="G98" s="45" t="str">
        <f>IFERROR(IF(compras_mes4[[#This Row],[CUIT]]="","-",VLOOKUP(compras_mes4[[#This Row],[CUIT]],Lista_CUIT[#All],2,0)),"CUIT NO CARGADO")</f>
        <v>INDUSTRIAS PLASTICOS SALTA S.R.L.</v>
      </c>
      <c r="H98" s="46">
        <v>3510916</v>
      </c>
      <c r="I98" s="85">
        <f>IF(compras_mes4[[#This Row],[NETO GRAVADO]]="","",compras_mes4[[#This Row],[NETO GRAVADO]]*0.21)</f>
        <v>737292.36</v>
      </c>
      <c r="J98" s="85"/>
      <c r="K98" s="85"/>
      <c r="L98" s="85"/>
      <c r="M98" s="85"/>
      <c r="N98" s="85"/>
      <c r="O98" s="85"/>
      <c r="P98" s="48">
        <f>SUM(compras_mes4[[#This Row],[NETO GRAVADO]:[Otros / No Grav.]])</f>
        <v>4248208.3600000003</v>
      </c>
      <c r="Q98" s="49" t="str">
        <f>IFERROR(IF(compras_mes4[[#This Row],[CUIT]]="","-",VLOOKUP(compras_mes4[[#This Row],[CUIT]],Lista_CUIT[#All],3,0)),"CUIT NO CARGADO")</f>
        <v>Materia Prima</v>
      </c>
      <c r="R98" s="49">
        <f>IFERROR(IF(compras_mes4[[#This Row],[CUIT]]="","-",VLOOKUP(compras_mes4[[#This Row],[CUIT]],Lista_CUIT[#All],4,0)),"CUIT NO CARGADO")</f>
        <v>0</v>
      </c>
    </row>
    <row r="99" spans="2:18" x14ac:dyDescent="0.25">
      <c r="B99" s="40" t="s">
        <v>2423</v>
      </c>
      <c r="C99" s="41">
        <v>1</v>
      </c>
      <c r="D99" s="42">
        <v>4</v>
      </c>
      <c r="E99" s="43">
        <v>49453</v>
      </c>
      <c r="F99" s="44">
        <v>30709863076</v>
      </c>
      <c r="G99" s="45" t="str">
        <f>IFERROR(IF(compras_mes4[[#This Row],[CUIT]]="","-",VLOOKUP(compras_mes4[[#This Row],[CUIT]],Lista_CUIT[#All],2,0)),"CUIT NO CARGADO")</f>
        <v>INDUSTRIAS PLASTICOS SALTA S.R.L.</v>
      </c>
      <c r="H99" s="46">
        <v>988900</v>
      </c>
      <c r="I99" s="85">
        <f>IF(compras_mes4[[#This Row],[NETO GRAVADO]]="","",compras_mes4[[#This Row],[NETO GRAVADO]]*0.21)</f>
        <v>207669</v>
      </c>
      <c r="J99" s="85"/>
      <c r="K99" s="85"/>
      <c r="L99" s="85"/>
      <c r="M99" s="85"/>
      <c r="N99" s="85"/>
      <c r="O99" s="85"/>
      <c r="P99" s="48">
        <f>SUM(compras_mes4[[#This Row],[NETO GRAVADO]:[Otros / No Grav.]])</f>
        <v>1196569</v>
      </c>
      <c r="Q99" s="49" t="str">
        <f>IFERROR(IF(compras_mes4[[#This Row],[CUIT]]="","-",VLOOKUP(compras_mes4[[#This Row],[CUIT]],Lista_CUIT[#All],3,0)),"CUIT NO CARGADO")</f>
        <v>Materia Prima</v>
      </c>
      <c r="R99" s="49">
        <f>IFERROR(IF(compras_mes4[[#This Row],[CUIT]]="","-",VLOOKUP(compras_mes4[[#This Row],[CUIT]],Lista_CUIT[#All],4,0)),"CUIT NO CARGADO")</f>
        <v>0</v>
      </c>
    </row>
    <row r="100" spans="2:18" x14ac:dyDescent="0.25">
      <c r="B100" s="40" t="s">
        <v>2440</v>
      </c>
      <c r="C100" s="41">
        <v>1</v>
      </c>
      <c r="D100" s="42">
        <v>4</v>
      </c>
      <c r="E100" s="43">
        <v>49457</v>
      </c>
      <c r="F100" s="44">
        <v>30709863076</v>
      </c>
      <c r="G100" s="45" t="str">
        <f>IFERROR(IF(compras_mes4[[#This Row],[CUIT]]="","-",VLOOKUP(compras_mes4[[#This Row],[CUIT]],Lista_CUIT[#All],2,0)),"CUIT NO CARGADO")</f>
        <v>INDUSTRIAS PLASTICOS SALTA S.R.L.</v>
      </c>
      <c r="H100" s="46">
        <v>259338.84</v>
      </c>
      <c r="I100" s="85">
        <f>IF(compras_mes4[[#This Row],[NETO GRAVADO]]="","",compras_mes4[[#This Row],[NETO GRAVADO]]*0.21)</f>
        <v>54461.1564</v>
      </c>
      <c r="J100" s="85"/>
      <c r="K100" s="85"/>
      <c r="L100" s="85"/>
      <c r="M100" s="85"/>
      <c r="N100" s="85"/>
      <c r="O100" s="85"/>
      <c r="P100" s="48">
        <f>SUM(compras_mes4[[#This Row],[NETO GRAVADO]:[Otros / No Grav.]])</f>
        <v>313799.9964</v>
      </c>
      <c r="Q100" s="49" t="str">
        <f>IFERROR(IF(compras_mes4[[#This Row],[CUIT]]="","-",VLOOKUP(compras_mes4[[#This Row],[CUIT]],Lista_CUIT[#All],3,0)),"CUIT NO CARGADO")</f>
        <v>Materia Prima</v>
      </c>
      <c r="R100" s="49">
        <f>IFERROR(IF(compras_mes4[[#This Row],[CUIT]]="","-",VLOOKUP(compras_mes4[[#This Row],[CUIT]],Lista_CUIT[#All],4,0)),"CUIT NO CARGADO")</f>
        <v>0</v>
      </c>
    </row>
    <row r="101" spans="2:18" x14ac:dyDescent="0.25">
      <c r="B101" s="40" t="s">
        <v>2441</v>
      </c>
      <c r="C101" s="41">
        <v>1</v>
      </c>
      <c r="D101" s="42">
        <v>4</v>
      </c>
      <c r="E101" s="43">
        <v>49521</v>
      </c>
      <c r="F101" s="44">
        <v>30709863076</v>
      </c>
      <c r="G101" s="45" t="str">
        <f>IFERROR(IF(compras_mes4[[#This Row],[CUIT]]="","-",VLOOKUP(compras_mes4[[#This Row],[CUIT]],Lista_CUIT[#All],2,0)),"CUIT NO CARGADO")</f>
        <v>INDUSTRIAS PLASTICOS SALTA S.R.L.</v>
      </c>
      <c r="H101" s="46">
        <v>2153581</v>
      </c>
      <c r="I101" s="85">
        <f>IF(compras_mes4[[#This Row],[NETO GRAVADO]]="","",compras_mes4[[#This Row],[NETO GRAVADO]]*0.21)</f>
        <v>452252.01</v>
      </c>
      <c r="J101" s="85"/>
      <c r="K101" s="85"/>
      <c r="L101" s="85"/>
      <c r="M101" s="85"/>
      <c r="N101" s="85"/>
      <c r="O101" s="85"/>
      <c r="P101" s="48">
        <f>SUM(compras_mes4[[#This Row],[NETO GRAVADO]:[Otros / No Grav.]])</f>
        <v>2605833.0099999998</v>
      </c>
      <c r="Q101" s="49" t="str">
        <f>IFERROR(IF(compras_mes4[[#This Row],[CUIT]]="","-",VLOOKUP(compras_mes4[[#This Row],[CUIT]],Lista_CUIT[#All],3,0)),"CUIT NO CARGADO")</f>
        <v>Materia Prima</v>
      </c>
      <c r="R101" s="49">
        <f>IFERROR(IF(compras_mes4[[#This Row],[CUIT]]="","-",VLOOKUP(compras_mes4[[#This Row],[CUIT]],Lista_CUIT[#All],4,0)),"CUIT NO CARGADO")</f>
        <v>0</v>
      </c>
    </row>
    <row r="102" spans="2:18" x14ac:dyDescent="0.25">
      <c r="B102" s="40" t="s">
        <v>2441</v>
      </c>
      <c r="C102" s="41">
        <v>3</v>
      </c>
      <c r="D102" s="42">
        <v>4</v>
      </c>
      <c r="E102" s="43">
        <v>1762</v>
      </c>
      <c r="F102" s="44">
        <v>30709863076</v>
      </c>
      <c r="G102" s="45" t="str">
        <f>IFERROR(IF(compras_mes4[[#This Row],[CUIT]]="","-",VLOOKUP(compras_mes4[[#This Row],[CUIT]],Lista_CUIT[#All],2,0)),"CUIT NO CARGADO")</f>
        <v>INDUSTRIAS PLASTICOS SALTA S.R.L.</v>
      </c>
      <c r="H102" s="46">
        <v>-988900</v>
      </c>
      <c r="I102" s="85">
        <f>IF(compras_mes4[[#This Row],[NETO GRAVADO]]="","",compras_mes4[[#This Row],[NETO GRAVADO]]*0.21)</f>
        <v>-207669</v>
      </c>
      <c r="J102" s="85"/>
      <c r="K102" s="85"/>
      <c r="L102" s="85"/>
      <c r="M102" s="85"/>
      <c r="N102" s="85"/>
      <c r="O102" s="85"/>
      <c r="P102" s="48">
        <f>SUM(compras_mes4[[#This Row],[NETO GRAVADO]:[Otros / No Grav.]])</f>
        <v>-1196569</v>
      </c>
      <c r="Q102" s="49" t="str">
        <f>IFERROR(IF(compras_mes4[[#This Row],[CUIT]]="","-",VLOOKUP(compras_mes4[[#This Row],[CUIT]],Lista_CUIT[#All],3,0)),"CUIT NO CARGADO")</f>
        <v>Materia Prima</v>
      </c>
      <c r="R102" s="49">
        <f>IFERROR(IF(compras_mes4[[#This Row],[CUIT]]="","-",VLOOKUP(compras_mes4[[#This Row],[CUIT]],Lista_CUIT[#All],4,0)),"CUIT NO CARGADO")</f>
        <v>0</v>
      </c>
    </row>
    <row r="103" spans="2:18" x14ac:dyDescent="0.25">
      <c r="B103" s="40" t="s">
        <v>2427</v>
      </c>
      <c r="C103" s="41">
        <v>1</v>
      </c>
      <c r="D103" s="42">
        <v>4</v>
      </c>
      <c r="E103" s="43">
        <v>49534</v>
      </c>
      <c r="F103" s="44">
        <v>30709863076</v>
      </c>
      <c r="G103" s="45" t="str">
        <f>IFERROR(IF(compras_mes4[[#This Row],[CUIT]]="","-",VLOOKUP(compras_mes4[[#This Row],[CUIT]],Lista_CUIT[#All],2,0)),"CUIT NO CARGADO")</f>
        <v>INDUSTRIAS PLASTICOS SALTA S.R.L.</v>
      </c>
      <c r="H103" s="46">
        <v>137933.9</v>
      </c>
      <c r="I103" s="85">
        <f>IF(compras_mes4[[#This Row],[NETO GRAVADO]]="","",compras_mes4[[#This Row],[NETO GRAVADO]]*0.21)</f>
        <v>28966.118999999999</v>
      </c>
      <c r="J103" s="85"/>
      <c r="K103" s="85"/>
      <c r="L103" s="85"/>
      <c r="M103" s="85"/>
      <c r="N103" s="85"/>
      <c r="O103" s="85"/>
      <c r="P103" s="48">
        <f>SUM(compras_mes4[[#This Row],[NETO GRAVADO]:[Otros / No Grav.]])</f>
        <v>166900.019</v>
      </c>
      <c r="Q103" s="49" t="str">
        <f>IFERROR(IF(compras_mes4[[#This Row],[CUIT]]="","-",VLOOKUP(compras_mes4[[#This Row],[CUIT]],Lista_CUIT[#All],3,0)),"CUIT NO CARGADO")</f>
        <v>Materia Prima</v>
      </c>
      <c r="R103" s="49">
        <f>IFERROR(IF(compras_mes4[[#This Row],[CUIT]]="","-",VLOOKUP(compras_mes4[[#This Row],[CUIT]],Lista_CUIT[#All],4,0)),"CUIT NO CARGADO")</f>
        <v>0</v>
      </c>
    </row>
    <row r="104" spans="2:18" x14ac:dyDescent="0.25">
      <c r="B104" s="40" t="s">
        <v>2422</v>
      </c>
      <c r="C104" s="41">
        <v>1</v>
      </c>
      <c r="D104" s="42">
        <v>4</v>
      </c>
      <c r="E104" s="43">
        <v>5982</v>
      </c>
      <c r="F104" s="44">
        <v>30718201760</v>
      </c>
      <c r="G104" s="45" t="str">
        <f>IFERROR(IF(compras_mes4[[#This Row],[CUIT]]="","-",VLOOKUP(compras_mes4[[#This Row],[CUIT]],Lista_CUIT[#All],2,0)),"CUIT NO CARGADO")</f>
        <v>JM FACTIRY S.R.L.</v>
      </c>
      <c r="H104" s="46">
        <v>70656.45</v>
      </c>
      <c r="I104" s="85">
        <f>IF(compras_mes4[[#This Row],[NETO GRAVADO]]="","",compras_mes4[[#This Row],[NETO GRAVADO]]*0.21)</f>
        <v>14837.854499999999</v>
      </c>
      <c r="J104" s="85"/>
      <c r="K104" s="85"/>
      <c r="L104" s="85"/>
      <c r="M104" s="85"/>
      <c r="N104" s="85"/>
      <c r="O104" s="85"/>
      <c r="P104" s="48">
        <f>SUM(compras_mes4[[#This Row],[NETO GRAVADO]:[Otros / No Grav.]])</f>
        <v>85494.304499999998</v>
      </c>
      <c r="Q104" s="49" t="str">
        <f>IFERROR(IF(compras_mes4[[#This Row],[CUIT]]="","-",VLOOKUP(compras_mes4[[#This Row],[CUIT]],Lista_CUIT[#All],3,0)),"CUIT NO CARGADO")</f>
        <v>LIBRERÍA</v>
      </c>
      <c r="R104" s="49">
        <f>IFERROR(IF(compras_mes4[[#This Row],[CUIT]]="","-",VLOOKUP(compras_mes4[[#This Row],[CUIT]],Lista_CUIT[#All],4,0)),"CUIT NO CARGADO")</f>
        <v>0</v>
      </c>
    </row>
    <row r="105" spans="2:18" x14ac:dyDescent="0.25">
      <c r="B105" s="313" t="s">
        <v>2443</v>
      </c>
      <c r="C105" s="41">
        <v>1</v>
      </c>
      <c r="D105" s="314">
        <v>4</v>
      </c>
      <c r="E105" s="477">
        <v>6064</v>
      </c>
      <c r="F105" s="315">
        <v>30718201760</v>
      </c>
      <c r="G105" s="316" t="str">
        <f>IFERROR(IF(compras_mes4[[#This Row],[CUIT]]="","-",VLOOKUP(compras_mes4[[#This Row],[CUIT]],Lista_CUIT[#All],2,0)),"CUIT NO CARGADO")</f>
        <v>JM FACTIRY S.R.L.</v>
      </c>
      <c r="H105" s="317">
        <v>37817.68</v>
      </c>
      <c r="I105" s="85">
        <f>IF(compras_mes4[[#This Row],[NETO GRAVADO]]="","",compras_mes4[[#This Row],[NETO GRAVADO]]*0.21)</f>
        <v>7941.7127999999993</v>
      </c>
      <c r="J105" s="318"/>
      <c r="K105" s="318"/>
      <c r="L105" s="318"/>
      <c r="M105" s="318"/>
      <c r="N105" s="318"/>
      <c r="O105" s="318"/>
      <c r="P105" s="319">
        <f>SUM(compras_mes4[[#This Row],[NETO GRAVADO]:[Otros / No Grav.]])</f>
        <v>45759.392800000001</v>
      </c>
      <c r="Q105" s="320" t="str">
        <f>IFERROR(IF(compras_mes4[[#This Row],[CUIT]]="","-",VLOOKUP(compras_mes4[[#This Row],[CUIT]],Lista_CUIT[#All],3,0)),"CUIT NO CARGADO")</f>
        <v>LIBRERÍA</v>
      </c>
      <c r="R105" s="320">
        <f>IFERROR(IF(compras_mes4[[#This Row],[CUIT]]="","-",VLOOKUP(compras_mes4[[#This Row],[CUIT]],Lista_CUIT[#All],4,0)),"CUIT NO CARGADO")</f>
        <v>0</v>
      </c>
    </row>
    <row r="106" spans="2:18" x14ac:dyDescent="0.25">
      <c r="B106" s="40" t="s">
        <v>2439</v>
      </c>
      <c r="C106" s="41">
        <v>1</v>
      </c>
      <c r="D106" s="42">
        <v>100</v>
      </c>
      <c r="E106" s="43">
        <v>9478</v>
      </c>
      <c r="F106" s="44">
        <v>27222151754</v>
      </c>
      <c r="G106" s="45" t="str">
        <f>IFERROR(IF(compras_mes4[[#This Row],[CUIT]]="","-",VLOOKUP(compras_mes4[[#This Row],[CUIT]],Lista_CUIT[#All],2,0)),"CUIT NO CARGADO")</f>
        <v xml:space="preserve">RODRIGUEZ MARIA LAURA </v>
      </c>
      <c r="H106" s="46">
        <v>47735.54</v>
      </c>
      <c r="I106" s="85">
        <f>IF(compras_mes4[[#This Row],[NETO GRAVADO]]="","",compras_mes4[[#This Row],[NETO GRAVADO]]*0.21)</f>
        <v>10024.463400000001</v>
      </c>
      <c r="J106" s="85"/>
      <c r="K106" s="85"/>
      <c r="L106" s="85"/>
      <c r="M106" s="85"/>
      <c r="N106" s="85"/>
      <c r="O106" s="85"/>
      <c r="P106" s="48">
        <f>SUM(compras_mes4[[#This Row],[NETO GRAVADO]:[Otros / No Grav.]])</f>
        <v>57760.003400000001</v>
      </c>
      <c r="Q106" s="49" t="str">
        <f>IFERROR(IF(compras_mes4[[#This Row],[CUIT]]="","-",VLOOKUP(compras_mes4[[#This Row],[CUIT]],Lista_CUIT[#All],3,0)),"CUIT NO CARGADO")</f>
        <v>Gastos administrativos</v>
      </c>
      <c r="R106" s="49">
        <f>IFERROR(IF(compras_mes4[[#This Row],[CUIT]]="","-",VLOOKUP(compras_mes4[[#This Row],[CUIT]],Lista_CUIT[#All],4,0)),"CUIT NO CARGADO")</f>
        <v>0</v>
      </c>
    </row>
    <row r="107" spans="2:18" x14ac:dyDescent="0.25">
      <c r="B107" s="40" t="s">
        <v>2439</v>
      </c>
      <c r="C107" s="41">
        <v>1</v>
      </c>
      <c r="D107" s="42">
        <v>100</v>
      </c>
      <c r="E107" s="43">
        <v>9479</v>
      </c>
      <c r="F107" s="44">
        <v>27222151754</v>
      </c>
      <c r="G107" s="45" t="str">
        <f>IFERROR(IF(compras_mes4[[#This Row],[CUIT]]="","-",VLOOKUP(compras_mes4[[#This Row],[CUIT]],Lista_CUIT[#All],2,0)),"CUIT NO CARGADO")</f>
        <v xml:space="preserve">RODRIGUEZ MARIA LAURA </v>
      </c>
      <c r="H107" s="46">
        <v>47735.54</v>
      </c>
      <c r="I107" s="85">
        <f>IF(compras_mes4[[#This Row],[NETO GRAVADO]]="","",compras_mes4[[#This Row],[NETO GRAVADO]]*0.21)</f>
        <v>10024.463400000001</v>
      </c>
      <c r="J107" s="85"/>
      <c r="K107" s="85"/>
      <c r="L107" s="85"/>
      <c r="M107" s="85"/>
      <c r="N107" s="85"/>
      <c r="O107" s="85"/>
      <c r="P107" s="48">
        <f>SUM(compras_mes4[[#This Row],[NETO GRAVADO]:[Otros / No Grav.]])</f>
        <v>57760.003400000001</v>
      </c>
      <c r="Q107" s="49" t="str">
        <f>IFERROR(IF(compras_mes4[[#This Row],[CUIT]]="","-",VLOOKUP(compras_mes4[[#This Row],[CUIT]],Lista_CUIT[#All],3,0)),"CUIT NO CARGADO")</f>
        <v>Gastos administrativos</v>
      </c>
      <c r="R107" s="49">
        <f>IFERROR(IF(compras_mes4[[#This Row],[CUIT]]="","-",VLOOKUP(compras_mes4[[#This Row],[CUIT]],Lista_CUIT[#All],4,0)),"CUIT NO CARGADO")</f>
        <v>0</v>
      </c>
    </row>
    <row r="108" spans="2:18" x14ac:dyDescent="0.25">
      <c r="B108" s="40" t="s">
        <v>2439</v>
      </c>
      <c r="C108" s="41">
        <v>1</v>
      </c>
      <c r="D108" s="42">
        <v>100</v>
      </c>
      <c r="E108" s="43">
        <v>9481</v>
      </c>
      <c r="F108" s="44">
        <v>27222151754</v>
      </c>
      <c r="G108" s="45" t="str">
        <f>IFERROR(IF(compras_mes4[[#This Row],[CUIT]]="","-",VLOOKUP(compras_mes4[[#This Row],[CUIT]],Lista_CUIT[#All],2,0)),"CUIT NO CARGADO")</f>
        <v xml:space="preserve">RODRIGUEZ MARIA LAURA </v>
      </c>
      <c r="H108" s="46">
        <v>47735.54</v>
      </c>
      <c r="I108" s="85">
        <f>IF(compras_mes4[[#This Row],[NETO GRAVADO]]="","",compras_mes4[[#This Row],[NETO GRAVADO]]*0.21)</f>
        <v>10024.463400000001</v>
      </c>
      <c r="J108" s="85"/>
      <c r="K108" s="85"/>
      <c r="L108" s="85"/>
      <c r="M108" s="85"/>
      <c r="N108" s="85"/>
      <c r="O108" s="85"/>
      <c r="P108" s="48">
        <f>SUM(compras_mes4[[#This Row],[NETO GRAVADO]:[Otros / No Grav.]])</f>
        <v>57760.003400000001</v>
      </c>
      <c r="Q108" s="49" t="str">
        <f>IFERROR(IF(compras_mes4[[#This Row],[CUIT]]="","-",VLOOKUP(compras_mes4[[#This Row],[CUIT]],Lista_CUIT[#All],3,0)),"CUIT NO CARGADO")</f>
        <v>Gastos administrativos</v>
      </c>
      <c r="R108" s="49">
        <f>IFERROR(IF(compras_mes4[[#This Row],[CUIT]]="","-",VLOOKUP(compras_mes4[[#This Row],[CUIT]],Lista_CUIT[#All],4,0)),"CUIT NO CARGADO")</f>
        <v>0</v>
      </c>
    </row>
    <row r="109" spans="2:18" x14ac:dyDescent="0.25">
      <c r="B109" s="40" t="s">
        <v>2433</v>
      </c>
      <c r="C109" s="41">
        <v>1</v>
      </c>
      <c r="D109" s="42">
        <v>1675</v>
      </c>
      <c r="E109" s="43">
        <v>11265</v>
      </c>
      <c r="F109" s="44">
        <v>30589621499</v>
      </c>
      <c r="G109" s="45" t="str">
        <f>IFERROR(IF(compras_mes4[[#This Row],[CUIT]]="","-",VLOOKUP(compras_mes4[[#This Row],[CUIT]],Lista_CUIT[#All],2,0)),"CUIT NO CARGADO")</f>
        <v>MAKRO SA</v>
      </c>
      <c r="H109" s="46">
        <v>112040.16</v>
      </c>
      <c r="I109" s="85">
        <f>IF(compras_mes4[[#This Row],[NETO GRAVADO]]="","",compras_mes4[[#This Row],[NETO GRAVADO]]*0.21)</f>
        <v>23528.4336</v>
      </c>
      <c r="J109" s="85"/>
      <c r="K109" s="85"/>
      <c r="L109" s="85">
        <v>3361.2</v>
      </c>
      <c r="M109" s="85"/>
      <c r="N109" s="85">
        <v>6722.41</v>
      </c>
      <c r="O109" s="85"/>
      <c r="P109" s="48">
        <f>SUM(compras_mes4[[#This Row],[NETO GRAVADO]:[Otros / No Grav.]])</f>
        <v>145652.20360000001</v>
      </c>
      <c r="Q109" s="49" t="str">
        <f>IFERROR(IF(compras_mes4[[#This Row],[CUIT]]="","-",VLOOKUP(compras_mes4[[#This Row],[CUIT]],Lista_CUIT[#All],3,0)),"CUIT NO CARGADO")</f>
        <v>Gastos Varios</v>
      </c>
      <c r="R109" s="49">
        <f>IFERROR(IF(compras_mes4[[#This Row],[CUIT]]="","-",VLOOKUP(compras_mes4[[#This Row],[CUIT]],Lista_CUIT[#All],4,0)),"CUIT NO CARGADO")</f>
        <v>0</v>
      </c>
    </row>
    <row r="110" spans="2:18" x14ac:dyDescent="0.25">
      <c r="B110" s="40" t="s">
        <v>2443</v>
      </c>
      <c r="C110" s="41">
        <v>1</v>
      </c>
      <c r="D110" s="42">
        <v>1</v>
      </c>
      <c r="E110" s="43">
        <v>2086</v>
      </c>
      <c r="F110" s="44">
        <v>30718465636</v>
      </c>
      <c r="G110" s="45" t="str">
        <f>IFERROR(IF(compras_mes4[[#This Row],[CUIT]]="","-",VLOOKUP(compras_mes4[[#This Row],[CUIT]],Lista_CUIT[#All],2,0)),"CUIT NO CARGADO")</f>
        <v>MAQUINARIAS BOEDO SRL</v>
      </c>
      <c r="H110" s="46">
        <v>8469.42</v>
      </c>
      <c r="I110" s="85">
        <f>IF(compras_mes4[[#This Row],[NETO GRAVADO]]="","",compras_mes4[[#This Row],[NETO GRAVADO]]*0.21)</f>
        <v>1778.5781999999999</v>
      </c>
      <c r="J110" s="85"/>
      <c r="K110" s="85"/>
      <c r="L110" s="85"/>
      <c r="M110" s="85"/>
      <c r="N110" s="85"/>
      <c r="O110" s="85"/>
      <c r="P110" s="48">
        <f>SUM(compras_mes4[[#This Row],[NETO GRAVADO]:[Otros / No Grav.]])</f>
        <v>10247.9982</v>
      </c>
      <c r="Q110" s="49" t="str">
        <f>IFERROR(IF(compras_mes4[[#This Row],[CUIT]]="","-",VLOOKUP(compras_mes4[[#This Row],[CUIT]],Lista_CUIT[#All],3,0)),"CUIT NO CARGADO")</f>
        <v>Muebles y Utiles</v>
      </c>
      <c r="R110" s="49">
        <f>IFERROR(IF(compras_mes4[[#This Row],[CUIT]]="","-",VLOOKUP(compras_mes4[[#This Row],[CUIT]],Lista_CUIT[#All],4,0)),"CUIT NO CARGADO")</f>
        <v>0</v>
      </c>
    </row>
    <row r="111" spans="2:18" x14ac:dyDescent="0.25">
      <c r="B111" s="40" t="s">
        <v>2430</v>
      </c>
      <c r="C111" s="41">
        <v>1</v>
      </c>
      <c r="D111" s="42">
        <v>10</v>
      </c>
      <c r="E111" s="43">
        <v>698</v>
      </c>
      <c r="F111" s="44">
        <v>20323423785</v>
      </c>
      <c r="G111" s="45" t="str">
        <f>IFERROR(IF(compras_mes4[[#This Row],[CUIT]]="","-",VLOOKUP(compras_mes4[[#This Row],[CUIT]],Lista_CUIT[#All],2,0)),"CUIT NO CARGADO")</f>
        <v>ALBARRACIN ARIEL EDUARDO</v>
      </c>
      <c r="H111" s="46">
        <v>39049.589999999997</v>
      </c>
      <c r="I111" s="85">
        <f>IF(compras_mes4[[#This Row],[NETO GRAVADO]]="","",compras_mes4[[#This Row],[NETO GRAVADO]]*0.21)</f>
        <v>8200.4138999999996</v>
      </c>
      <c r="J111" s="85"/>
      <c r="K111" s="85"/>
      <c r="L111" s="85"/>
      <c r="M111" s="85"/>
      <c r="N111" s="85"/>
      <c r="O111" s="85"/>
      <c r="P111" s="48">
        <f>SUM(compras_mes4[[#This Row],[NETO GRAVADO]:[Otros / No Grav.]])</f>
        <v>47250.003899999996</v>
      </c>
      <c r="Q111" s="49" t="str">
        <f>IFERROR(IF(compras_mes4[[#This Row],[CUIT]]="","-",VLOOKUP(compras_mes4[[#This Row],[CUIT]],Lista_CUIT[#All],3,0)),"CUIT NO CARGADO")</f>
        <v>Gastos Varios</v>
      </c>
      <c r="R111" s="49">
        <f>IFERROR(IF(compras_mes4[[#This Row],[CUIT]]="","-",VLOOKUP(compras_mes4[[#This Row],[CUIT]],Lista_CUIT[#All],4,0)),"CUIT NO CARGADO")</f>
        <v>0</v>
      </c>
    </row>
    <row r="112" spans="2:18" x14ac:dyDescent="0.25">
      <c r="B112" s="40" t="s">
        <v>2443</v>
      </c>
      <c r="C112" s="41">
        <v>1</v>
      </c>
      <c r="D112" s="42">
        <v>74</v>
      </c>
      <c r="E112" s="43">
        <v>242560</v>
      </c>
      <c r="F112" s="44">
        <v>30703088534</v>
      </c>
      <c r="G112" s="45" t="str">
        <f>IFERROR(IF(compras_mes4[[#This Row],[CUIT]]="","-",VLOOKUP(compras_mes4[[#This Row],[CUIT]],Lista_CUIT[#All],2,0)),"CUIT NO CARGADO")</f>
        <v>MERCADO LIBRE SRL</v>
      </c>
      <c r="H112" s="46">
        <v>1399749.21</v>
      </c>
      <c r="I112" s="85">
        <f>IF(compras_mes4[[#This Row],[NETO GRAVADO]]="","",compras_mes4[[#This Row],[NETO GRAVADO]]*0.21)</f>
        <v>293947.33409999998</v>
      </c>
      <c r="J112" s="85"/>
      <c r="K112" s="85"/>
      <c r="L112" s="85"/>
      <c r="M112" s="85"/>
      <c r="N112" s="85"/>
      <c r="O112" s="85">
        <v>139974.96</v>
      </c>
      <c r="P112" s="48">
        <f>SUM(compras_mes4[[#This Row],[NETO GRAVADO]:[Otros / No Grav.]])</f>
        <v>1833671.5041</v>
      </c>
      <c r="Q112" s="49" t="str">
        <f>IFERROR(IF(compras_mes4[[#This Row],[CUIT]]="","-",VLOOKUP(compras_mes4[[#This Row],[CUIT]],Lista_CUIT[#All],3,0)),"CUIT NO CARGADO")</f>
        <v>Gastos Varios</v>
      </c>
      <c r="R112" s="49" t="str">
        <f>IFERROR(IF(compras_mes4[[#This Row],[CUIT]]="","-",VLOOKUP(compras_mes4[[#This Row],[CUIT]],Lista_CUIT[#All],4,0)),"CUIT NO CARGADO")</f>
        <v>CABA</v>
      </c>
    </row>
    <row r="113" spans="2:18" x14ac:dyDescent="0.25">
      <c r="B113" s="40" t="s">
        <v>2427</v>
      </c>
      <c r="C113" s="41">
        <v>1</v>
      </c>
      <c r="D113" s="42">
        <v>1</v>
      </c>
      <c r="E113" s="43">
        <v>18083</v>
      </c>
      <c r="F113" s="44">
        <v>30716088657</v>
      </c>
      <c r="G113" s="45" t="str">
        <f>IFERROR(IF(compras_mes4[[#This Row],[CUIT]]="","-",VLOOKUP(compras_mes4[[#This Row],[CUIT]],Lista_CUIT[#All],2,0)),"CUIT NO CARGADO")</f>
        <v>MERCADO ONLINE S.A.S.</v>
      </c>
      <c r="H113" s="46">
        <v>39342</v>
      </c>
      <c r="I113" s="85" t="s">
        <v>2411</v>
      </c>
      <c r="J113" s="85"/>
      <c r="K113" s="85">
        <f>compras_mes4[[#This Row],[NETO GRAVADO]]*0.105</f>
        <v>4130.91</v>
      </c>
      <c r="L113" s="85"/>
      <c r="M113" s="85"/>
      <c r="N113" s="85"/>
      <c r="O113" s="85"/>
      <c r="P113" s="48">
        <f>SUM(compras_mes4[[#This Row],[NETO GRAVADO]:[Otros / No Grav.]])</f>
        <v>43472.91</v>
      </c>
      <c r="Q113" s="49" t="str">
        <f>IFERROR(IF(compras_mes4[[#This Row],[CUIT]]="","-",VLOOKUP(compras_mes4[[#This Row],[CUIT]],Lista_CUIT[#All],3,0)),"CUIT NO CARGADO")</f>
        <v>Muebles y Utiles</v>
      </c>
      <c r="R113" s="49">
        <f>IFERROR(IF(compras_mes4[[#This Row],[CUIT]]="","-",VLOOKUP(compras_mes4[[#This Row],[CUIT]],Lista_CUIT[#All],4,0)),"CUIT NO CARGADO")</f>
        <v>0</v>
      </c>
    </row>
    <row r="114" spans="2:18" x14ac:dyDescent="0.25">
      <c r="B114" s="429">
        <v>45777</v>
      </c>
      <c r="C114" s="468">
        <v>1</v>
      </c>
      <c r="D114" s="430">
        <v>5</v>
      </c>
      <c r="E114" s="431">
        <v>33983233</v>
      </c>
      <c r="F114" s="432">
        <v>30657863676</v>
      </c>
      <c r="G114" s="433" t="str">
        <f>IFERROR(IF(compras_mes4[[#This Row],[CUIT]]="","-",VLOOKUP(compras_mes4[[#This Row],[CUIT]],Lista_CUIT[#All],2,0)),"CUIT NO CARGADO")</f>
        <v>METROGAS S A</v>
      </c>
      <c r="H114" s="434">
        <v>12728.160766601601</v>
      </c>
      <c r="I114" s="435">
        <f>IF(compras_mes4[[#This Row],[NETO GRAVADO]]="","",compras_mes4[[#This Row],[NETO GRAVADO]]*0.21)</f>
        <v>2672.913760986336</v>
      </c>
      <c r="J114" s="435"/>
      <c r="K114" s="435"/>
      <c r="L114" s="435"/>
      <c r="M114" s="435">
        <v>709.119873046875</v>
      </c>
      <c r="N114" s="435"/>
      <c r="O114" s="435">
        <v>1257.48986816406</v>
      </c>
      <c r="P114" s="436">
        <f>SUM(compras_mes4[[#This Row],[NETO GRAVADO]:[Otros / No Grav.]])</f>
        <v>17367.684268798872</v>
      </c>
      <c r="Q114" s="437" t="str">
        <f>IFERROR(IF(compras_mes4[[#This Row],[CUIT]]="","-",VLOOKUP(compras_mes4[[#This Row],[CUIT]],Lista_CUIT[#All],3,0)),"CUIT NO CARGADO")</f>
        <v>Servicios Gas, Luz, etc.</v>
      </c>
      <c r="R114" s="437">
        <f>IFERROR(IF(compras_mes4[[#This Row],[CUIT]]="","-",VLOOKUP(compras_mes4[[#This Row],[CUIT]],Lista_CUIT[#All],4,0)),"CUIT NO CARGADO")</f>
        <v>0</v>
      </c>
    </row>
    <row r="115" spans="2:18" x14ac:dyDescent="0.25">
      <c r="B115" s="40" t="s">
        <v>2443</v>
      </c>
      <c r="C115" s="41">
        <v>1</v>
      </c>
      <c r="D115" s="42">
        <v>4</v>
      </c>
      <c r="E115" s="43">
        <v>11003</v>
      </c>
      <c r="F115" s="44">
        <v>30694547903</v>
      </c>
      <c r="G115" s="45" t="str">
        <f>IFERROR(IF(compras_mes4[[#This Row],[CUIT]]="","-",VLOOKUP(compras_mes4[[#This Row],[CUIT]],Lista_CUIT[#All],2,0)),"CUIT NO CARGADO")</f>
        <v>MULTICAJAS S A</v>
      </c>
      <c r="H115" s="46">
        <v>192150</v>
      </c>
      <c r="I115" s="85">
        <f>IF(compras_mes4[[#This Row],[NETO GRAVADO]]="","",compras_mes4[[#This Row],[NETO GRAVADO]]*0.21)</f>
        <v>40351.5</v>
      </c>
      <c r="J115" s="85"/>
      <c r="K115" s="85"/>
      <c r="L115" s="85"/>
      <c r="M115" s="85"/>
      <c r="N115" s="85"/>
      <c r="O115" s="85"/>
      <c r="P115" s="48">
        <f>SUM(compras_mes4[[#This Row],[NETO GRAVADO]:[Otros / No Grav.]])</f>
        <v>232501.5</v>
      </c>
      <c r="Q115" s="49" t="str">
        <f>IFERROR(IF(compras_mes4[[#This Row],[CUIT]]="","-",VLOOKUP(compras_mes4[[#This Row],[CUIT]],Lista_CUIT[#All],3,0)),"CUIT NO CARGADO")</f>
        <v>LIBRERÍA</v>
      </c>
      <c r="R115" s="49">
        <f>IFERROR(IF(compras_mes4[[#This Row],[CUIT]]="","-",VLOOKUP(compras_mes4[[#This Row],[CUIT]],Lista_CUIT[#All],4,0)),"CUIT NO CARGADO")</f>
        <v>0</v>
      </c>
    </row>
    <row r="116" spans="2:18" x14ac:dyDescent="0.25">
      <c r="B116" s="40" t="s">
        <v>2428</v>
      </c>
      <c r="C116" s="41">
        <v>1</v>
      </c>
      <c r="D116" s="42">
        <v>3</v>
      </c>
      <c r="E116" s="43">
        <v>149</v>
      </c>
      <c r="F116" s="44">
        <v>27385473937</v>
      </c>
      <c r="G116" s="45" t="str">
        <f>IFERROR(IF(compras_mes4[[#This Row],[CUIT]]="","-",VLOOKUP(compras_mes4[[#This Row],[CUIT]],Lista_CUIT[#All],2,0)),"CUIT NO CARGADO")</f>
        <v>NOCENTE MARIA DEL SOL</v>
      </c>
      <c r="H116" s="46">
        <v>17355.38</v>
      </c>
      <c r="I116" s="85">
        <f>IF(compras_mes4[[#This Row],[NETO GRAVADO]]="","",compras_mes4[[#This Row],[NETO GRAVADO]]*0.21)</f>
        <v>3644.6298000000002</v>
      </c>
      <c r="J116" s="85"/>
      <c r="K116" s="85"/>
      <c r="L116" s="85"/>
      <c r="M116" s="85"/>
      <c r="N116" s="85"/>
      <c r="O116" s="85"/>
      <c r="P116" s="48">
        <f>SUM(compras_mes4[[#This Row],[NETO GRAVADO]:[Otros / No Grav.]])</f>
        <v>21000.0098</v>
      </c>
      <c r="Q116" s="49" t="str">
        <f>IFERROR(IF(compras_mes4[[#This Row],[CUIT]]="","-",VLOOKUP(compras_mes4[[#This Row],[CUIT]],Lista_CUIT[#All],3,0)),"CUIT NO CARGADO")</f>
        <v>Gastos Varios</v>
      </c>
      <c r="R116" s="49">
        <f>IFERROR(IF(compras_mes4[[#This Row],[CUIT]]="","-",VLOOKUP(compras_mes4[[#This Row],[CUIT]],Lista_CUIT[#All],4,0)),"CUIT NO CARGADO")</f>
        <v>0</v>
      </c>
    </row>
    <row r="117" spans="2:18" x14ac:dyDescent="0.25">
      <c r="B117" s="40" t="s">
        <v>2441</v>
      </c>
      <c r="C117" s="41">
        <v>1</v>
      </c>
      <c r="D117" s="42">
        <v>5</v>
      </c>
      <c r="E117" s="43">
        <v>3280323</v>
      </c>
      <c r="F117" s="44">
        <v>30702652975</v>
      </c>
      <c r="G117" s="45" t="str">
        <f>IFERROR(IF(compras_mes4[[#This Row],[CUIT]]="","-",VLOOKUP(compras_mes4[[#This Row],[CUIT]],Lista_CUIT[#All],2,0)),"CUIT NO CARGADO")</f>
        <v>NSS SA</v>
      </c>
      <c r="H117" s="46">
        <v>34438.46</v>
      </c>
      <c r="I117" s="85">
        <f>IF(compras_mes4[[#This Row],[NETO GRAVADO]]="","",compras_mes4[[#This Row],[NETO GRAVADO]]*0.21)</f>
        <v>7232.0765999999994</v>
      </c>
      <c r="J117" s="85"/>
      <c r="K117" s="85"/>
      <c r="L117" s="85"/>
      <c r="M117" s="85"/>
      <c r="N117" s="85">
        <v>2066.31</v>
      </c>
      <c r="O117" s="85"/>
      <c r="P117" s="48">
        <f>SUM(compras_mes4[[#This Row],[NETO GRAVADO]:[Otros / No Grav.]])</f>
        <v>43736.846599999997</v>
      </c>
      <c r="Q117" s="49" t="str">
        <f>IFERROR(IF(compras_mes4[[#This Row],[CUIT]]="","-",VLOOKUP(compras_mes4[[#This Row],[CUIT]],Lista_CUIT[#All],3,0)),"CUIT NO CARGADO")</f>
        <v>Servicios Gas, Luz, etc.</v>
      </c>
      <c r="R117" s="49">
        <f>IFERROR(IF(compras_mes4[[#This Row],[CUIT]]="","-",VLOOKUP(compras_mes4[[#This Row],[CUIT]],Lista_CUIT[#All],4,0)),"CUIT NO CARGADO")</f>
        <v>0</v>
      </c>
    </row>
    <row r="118" spans="2:18" ht="18" customHeight="1" x14ac:dyDescent="0.25">
      <c r="B118" s="40" t="s">
        <v>2416</v>
      </c>
      <c r="C118" s="41">
        <v>1</v>
      </c>
      <c r="D118" s="42">
        <v>7298</v>
      </c>
      <c r="E118" s="43">
        <v>41410</v>
      </c>
      <c r="F118" s="44">
        <v>30678774495</v>
      </c>
      <c r="G118" s="45" t="str">
        <f>IFERROR(IF(compras_mes4[[#This Row],[CUIT]]="","-",VLOOKUP(compras_mes4[[#This Row],[CUIT]],Lista_CUIT[#All],2,0)),"CUIT NO CARGADO")</f>
        <v>OPER. DE EST. DE SERV. SA</v>
      </c>
      <c r="H118" s="46">
        <v>19980.78</v>
      </c>
      <c r="I118" s="85">
        <f>IF(compras_mes4[[#This Row],[NETO GRAVADO]]="","",compras_mes4[[#This Row],[NETO GRAVADO]]*0.21)</f>
        <v>4195.9637999999995</v>
      </c>
      <c r="J118" s="85"/>
      <c r="K118" s="85"/>
      <c r="L118" s="85"/>
      <c r="M118" s="85"/>
      <c r="N118" s="85"/>
      <c r="O118" s="85">
        <v>5823.26</v>
      </c>
      <c r="P118" s="48">
        <f>SUM(compras_mes4[[#This Row],[NETO GRAVADO]:[Otros / No Grav.]])</f>
        <v>30000.003799999999</v>
      </c>
      <c r="Q118" s="49" t="str">
        <f>IFERROR(IF(compras_mes4[[#This Row],[CUIT]]="","-",VLOOKUP(compras_mes4[[#This Row],[CUIT]],Lista_CUIT[#All],3,0)),"CUIT NO CARGADO")</f>
        <v>Combustible</v>
      </c>
      <c r="R118" s="49">
        <f>IFERROR(IF(compras_mes4[[#This Row],[CUIT]]="","-",VLOOKUP(compras_mes4[[#This Row],[CUIT]],Lista_CUIT[#All],4,0)),"CUIT NO CARGADO")</f>
        <v>0</v>
      </c>
    </row>
    <row r="119" spans="2:18" x14ac:dyDescent="0.25">
      <c r="B119" s="40" t="s">
        <v>2417</v>
      </c>
      <c r="C119" s="41">
        <v>1</v>
      </c>
      <c r="D119" s="42">
        <v>6850</v>
      </c>
      <c r="E119" s="43">
        <v>25740</v>
      </c>
      <c r="F119" s="44">
        <v>30678774495</v>
      </c>
      <c r="G119" s="45" t="str">
        <f>IFERROR(IF(compras_mes4[[#This Row],[CUIT]]="","-",VLOOKUP(compras_mes4[[#This Row],[CUIT]],Lista_CUIT[#All],2,0)),"CUIT NO CARGADO")</f>
        <v>OPER. DE EST. DE SERV. SA</v>
      </c>
      <c r="H119" s="46">
        <v>8908.59</v>
      </c>
      <c r="I119" s="85">
        <f>IF(compras_mes4[[#This Row],[NETO GRAVADO]]="","",compras_mes4[[#This Row],[NETO GRAVADO]]*0.21)</f>
        <v>1870.8038999999999</v>
      </c>
      <c r="J119" s="85"/>
      <c r="K119" s="85"/>
      <c r="L119" s="85"/>
      <c r="M119" s="85"/>
      <c r="N119" s="85"/>
      <c r="O119" s="85">
        <v>2220.6</v>
      </c>
      <c r="P119" s="48">
        <f>SUM(compras_mes4[[#This Row],[NETO GRAVADO]:[Otros / No Grav.]])</f>
        <v>12999.993899999999</v>
      </c>
      <c r="Q119" s="49" t="str">
        <f>IFERROR(IF(compras_mes4[[#This Row],[CUIT]]="","-",VLOOKUP(compras_mes4[[#This Row],[CUIT]],Lista_CUIT[#All],3,0)),"CUIT NO CARGADO")</f>
        <v>Combustible</v>
      </c>
      <c r="R119" s="49">
        <f>IFERROR(IF(compras_mes4[[#This Row],[CUIT]]="","-",VLOOKUP(compras_mes4[[#This Row],[CUIT]],Lista_CUIT[#All],4,0)),"CUIT NO CARGADO")</f>
        <v>0</v>
      </c>
    </row>
    <row r="120" spans="2:18" x14ac:dyDescent="0.25">
      <c r="B120" s="40" t="s">
        <v>2440</v>
      </c>
      <c r="C120" s="41">
        <v>1</v>
      </c>
      <c r="D120" s="42">
        <v>6852</v>
      </c>
      <c r="E120" s="43">
        <v>30283</v>
      </c>
      <c r="F120" s="44">
        <v>30678774495</v>
      </c>
      <c r="G120" s="45" t="str">
        <f>IFERROR(IF(compras_mes4[[#This Row],[CUIT]]="","-",VLOOKUP(compras_mes4[[#This Row],[CUIT]],Lista_CUIT[#All],2,0)),"CUIT NO CARGADO")</f>
        <v>OPER. DE EST. DE SERV. SA</v>
      </c>
      <c r="H120" s="46">
        <v>8658.33</v>
      </c>
      <c r="I120" s="85">
        <f>IF(compras_mes4[[#This Row],[NETO GRAVADO]]="","",compras_mes4[[#This Row],[NETO GRAVADO]]*0.21)</f>
        <v>1818.2492999999999</v>
      </c>
      <c r="J120" s="85"/>
      <c r="K120" s="85"/>
      <c r="L120" s="85"/>
      <c r="M120" s="85"/>
      <c r="N120" s="85"/>
      <c r="O120" s="85">
        <v>2523.41</v>
      </c>
      <c r="P120" s="48">
        <f>SUM(compras_mes4[[#This Row],[NETO GRAVADO]:[Otros / No Grav.]])</f>
        <v>12999.989299999999</v>
      </c>
      <c r="Q120" s="49" t="str">
        <f>IFERROR(IF(compras_mes4[[#This Row],[CUIT]]="","-",VLOOKUP(compras_mes4[[#This Row],[CUIT]],Lista_CUIT[#All],3,0)),"CUIT NO CARGADO")</f>
        <v>Combustible</v>
      </c>
      <c r="R120" s="49">
        <f>IFERROR(IF(compras_mes4[[#This Row],[CUIT]]="","-",VLOOKUP(compras_mes4[[#This Row],[CUIT]],Lista_CUIT[#All],4,0)),"CUIT NO CARGADO")</f>
        <v>0</v>
      </c>
    </row>
    <row r="121" spans="2:18" x14ac:dyDescent="0.25">
      <c r="B121" s="40" t="s">
        <v>2442</v>
      </c>
      <c r="C121" s="41">
        <v>1</v>
      </c>
      <c r="D121" s="42">
        <v>6854</v>
      </c>
      <c r="E121" s="43">
        <v>19694</v>
      </c>
      <c r="F121" s="44">
        <v>30678774495</v>
      </c>
      <c r="G121" s="45" t="str">
        <f>IFERROR(IF(compras_mes4[[#This Row],[CUIT]]="","-",VLOOKUP(compras_mes4[[#This Row],[CUIT]],Lista_CUIT[#All],2,0)),"CUIT NO CARGADO")</f>
        <v>OPER. DE EST. DE SERV. SA</v>
      </c>
      <c r="H121" s="46">
        <v>55782.18</v>
      </c>
      <c r="I121" s="85">
        <f>IF(compras_mes4[[#This Row],[NETO GRAVADO]]="","",compras_mes4[[#This Row],[NETO GRAVADO]]*0.21)</f>
        <v>11714.257799999999</v>
      </c>
      <c r="J121" s="85"/>
      <c r="K121" s="85"/>
      <c r="L121" s="85"/>
      <c r="M121" s="85"/>
      <c r="N121" s="85"/>
      <c r="O121" s="85">
        <v>13904.59</v>
      </c>
      <c r="P121" s="48">
        <f>SUM(compras_mes4[[#This Row],[NETO GRAVADO]:[Otros / No Grav.]])</f>
        <v>81401.027799999996</v>
      </c>
      <c r="Q121" s="49" t="str">
        <f>IFERROR(IF(compras_mes4[[#This Row],[CUIT]]="","-",VLOOKUP(compras_mes4[[#This Row],[CUIT]],Lista_CUIT[#All],3,0)),"CUIT NO CARGADO")</f>
        <v>Combustible</v>
      </c>
      <c r="R121" s="49">
        <f>IFERROR(IF(compras_mes4[[#This Row],[CUIT]]="","-",VLOOKUP(compras_mes4[[#This Row],[CUIT]],Lista_CUIT[#All],4,0)),"CUIT NO CARGADO")</f>
        <v>0</v>
      </c>
    </row>
    <row r="122" spans="2:18" x14ac:dyDescent="0.25">
      <c r="B122" s="40" t="s">
        <v>2429</v>
      </c>
      <c r="C122" s="41">
        <v>1</v>
      </c>
      <c r="D122" s="42">
        <v>6852</v>
      </c>
      <c r="E122" s="43">
        <v>30387</v>
      </c>
      <c r="F122" s="44">
        <v>30678774495</v>
      </c>
      <c r="G122" s="45" t="str">
        <f>IFERROR(IF(compras_mes4[[#This Row],[CUIT]]="","-",VLOOKUP(compras_mes4[[#This Row],[CUIT]],Lista_CUIT[#All],2,0)),"CUIT NO CARGADO")</f>
        <v>OPER. DE EST. DE SERV. SA</v>
      </c>
      <c r="H122" s="46">
        <v>8908.59</v>
      </c>
      <c r="I122" s="85">
        <f>IF(compras_mes4[[#This Row],[NETO GRAVADO]]="","",compras_mes4[[#This Row],[NETO GRAVADO]]*0.21)</f>
        <v>1870.8038999999999</v>
      </c>
      <c r="J122" s="85"/>
      <c r="K122" s="85"/>
      <c r="L122" s="85"/>
      <c r="M122" s="85"/>
      <c r="N122" s="85"/>
      <c r="O122" s="85">
        <v>2220.6</v>
      </c>
      <c r="P122" s="48">
        <f>SUM(compras_mes4[[#This Row],[NETO GRAVADO]:[Otros / No Grav.]])</f>
        <v>12999.993899999999</v>
      </c>
      <c r="Q122" s="49" t="str">
        <f>IFERROR(IF(compras_mes4[[#This Row],[CUIT]]="","-",VLOOKUP(compras_mes4[[#This Row],[CUIT]],Lista_CUIT[#All],3,0)),"CUIT NO CARGADO")</f>
        <v>Combustible</v>
      </c>
      <c r="R122" s="49">
        <f>IFERROR(IF(compras_mes4[[#This Row],[CUIT]]="","-",VLOOKUP(compras_mes4[[#This Row],[CUIT]],Lista_CUIT[#All],4,0)),"CUIT NO CARGADO")</f>
        <v>0</v>
      </c>
    </row>
    <row r="123" spans="2:18" x14ac:dyDescent="0.25">
      <c r="B123" s="40" t="s">
        <v>2426</v>
      </c>
      <c r="C123" s="41">
        <v>1</v>
      </c>
      <c r="D123" s="42">
        <v>3</v>
      </c>
      <c r="E123" s="43">
        <v>29277</v>
      </c>
      <c r="F123" s="44">
        <v>30625574273</v>
      </c>
      <c r="G123" s="45" t="str">
        <f>IFERROR(IF(compras_mes4[[#This Row],[CUIT]]="","-",VLOOKUP(compras_mes4[[#This Row],[CUIT]],Lista_CUIT[#All],2,0)),"CUIT NO CARGADO")</f>
        <v>Grupo Efia</v>
      </c>
      <c r="H123" s="46">
        <v>32500</v>
      </c>
      <c r="I123" s="85">
        <f>IF(compras_mes4[[#This Row],[NETO GRAVADO]]="","",compras_mes4[[#This Row],[NETO GRAVADO]]*0.21)</f>
        <v>6825</v>
      </c>
      <c r="J123" s="85"/>
      <c r="K123" s="85"/>
      <c r="L123" s="85"/>
      <c r="M123" s="85"/>
      <c r="N123" s="85"/>
      <c r="O123" s="85"/>
      <c r="P123" s="48">
        <f>SUM(compras_mes4[[#This Row],[NETO GRAVADO]:[Otros / No Grav.]])</f>
        <v>39325</v>
      </c>
      <c r="Q123" s="49" t="str">
        <f>IFERROR(IF(compras_mes4[[#This Row],[CUIT]]="","-",VLOOKUP(compras_mes4[[#This Row],[CUIT]],Lista_CUIT[#All],3,0)),"CUIT NO CARGADO")</f>
        <v xml:space="preserve">Gastos mantenimiento </v>
      </c>
      <c r="R123" s="49">
        <f>IFERROR(IF(compras_mes4[[#This Row],[CUIT]]="","-",VLOOKUP(compras_mes4[[#This Row],[CUIT]],Lista_CUIT[#All],4,0)),"CUIT NO CARGADO")</f>
        <v>0</v>
      </c>
    </row>
    <row r="124" spans="2:18" x14ac:dyDescent="0.25">
      <c r="B124" s="313" t="s">
        <v>2418</v>
      </c>
      <c r="C124" s="41">
        <v>1</v>
      </c>
      <c r="D124" s="314">
        <v>5</v>
      </c>
      <c r="E124" s="477">
        <v>2402</v>
      </c>
      <c r="F124" s="315">
        <v>20318970204</v>
      </c>
      <c r="G124" s="316" t="str">
        <f>IFERROR(IF(compras_mes4[[#This Row],[CUIT]]="","-",VLOOKUP(compras_mes4[[#This Row],[CUIT]],Lista_CUIT[#All],2,0)),"CUIT NO CARGADO")</f>
        <v>WALTER DARIO LENKIEVICZ</v>
      </c>
      <c r="H124" s="317">
        <v>31684.3</v>
      </c>
      <c r="I124" s="85">
        <f>IF(compras_mes4[[#This Row],[NETO GRAVADO]]="","",compras_mes4[[#This Row],[NETO GRAVADO]]*0.21)</f>
        <v>6653.7029999999995</v>
      </c>
      <c r="J124" s="318"/>
      <c r="K124" s="318"/>
      <c r="L124" s="318"/>
      <c r="M124" s="318"/>
      <c r="N124" s="318"/>
      <c r="O124" s="318"/>
      <c r="P124" s="319">
        <f>SUM(compras_mes4[[#This Row],[NETO GRAVADO]:[Otros / No Grav.]])</f>
        <v>38338.002999999997</v>
      </c>
      <c r="Q124" s="320" t="str">
        <f>IFERROR(IF(compras_mes4[[#This Row],[CUIT]]="","-",VLOOKUP(compras_mes4[[#This Row],[CUIT]],Lista_CUIT[#All],3,0)),"CUIT NO CARGADO")</f>
        <v>Librería</v>
      </c>
      <c r="R124" s="320">
        <f>IFERROR(IF(compras_mes4[[#This Row],[CUIT]]="","-",VLOOKUP(compras_mes4[[#This Row],[CUIT]],Lista_CUIT[#All],4,0)),"CUIT NO CARGADO")</f>
        <v>0</v>
      </c>
    </row>
    <row r="125" spans="2:18" x14ac:dyDescent="0.25">
      <c r="B125" s="40" t="s">
        <v>2419</v>
      </c>
      <c r="C125" s="41">
        <v>1</v>
      </c>
      <c r="D125" s="42">
        <v>5</v>
      </c>
      <c r="E125" s="43">
        <v>10620</v>
      </c>
      <c r="F125" s="44">
        <v>20309151489</v>
      </c>
      <c r="G125" s="45" t="str">
        <f>IFERROR(IF(compras_mes4[[#This Row],[CUIT]]="","-",VLOOKUP(compras_mes4[[#This Row],[CUIT]],Lista_CUIT[#All],2,0)),"CUIT NO CARGADO")</f>
        <v>GOMEZ FERNANDO ALBERTO</v>
      </c>
      <c r="H125" s="46">
        <v>28725.62</v>
      </c>
      <c r="I125" s="85">
        <f>IF(compras_mes4[[#This Row],[NETO GRAVADO]]="","",compras_mes4[[#This Row],[NETO GRAVADO]]*0.21)</f>
        <v>6032.3801999999996</v>
      </c>
      <c r="J125" s="85"/>
      <c r="K125" s="85"/>
      <c r="L125" s="85"/>
      <c r="M125" s="85"/>
      <c r="N125" s="85"/>
      <c r="O125" s="85"/>
      <c r="P125" s="48">
        <f>SUM(compras_mes4[[#This Row],[NETO GRAVADO]:[Otros / No Grav.]])</f>
        <v>34758.000199999995</v>
      </c>
      <c r="Q125" s="49" t="str">
        <f>IFERROR(IF(compras_mes4[[#This Row],[CUIT]]="","-",VLOOKUP(compras_mes4[[#This Row],[CUIT]],Lista_CUIT[#All],3,0)),"CUIT NO CARGADO")</f>
        <v>Honorarios Legales</v>
      </c>
      <c r="R125" s="49">
        <f>IFERROR(IF(compras_mes4[[#This Row],[CUIT]]="","-",VLOOKUP(compras_mes4[[#This Row],[CUIT]],Lista_CUIT[#All],4,0)),"CUIT NO CARGADO")</f>
        <v>0</v>
      </c>
    </row>
    <row r="126" spans="2:18" x14ac:dyDescent="0.25">
      <c r="B126" s="40" t="s">
        <v>2430</v>
      </c>
      <c r="C126" s="41">
        <v>1</v>
      </c>
      <c r="D126" s="42">
        <v>1</v>
      </c>
      <c r="E126" s="43">
        <v>79</v>
      </c>
      <c r="F126" s="44">
        <v>30718604733</v>
      </c>
      <c r="G126" s="45" t="str">
        <f>IFERROR(IF(compras_mes4[[#This Row],[CUIT]]="","-",VLOOKUP(compras_mes4[[#This Row],[CUIT]],Lista_CUIT[#All],2,0)),"CUIT NO CARGADO")</f>
        <v>PLOCAN S.R.L</v>
      </c>
      <c r="H126" s="46">
        <v>27272.71</v>
      </c>
      <c r="I126" s="85">
        <f>IF(compras_mes4[[#This Row],[NETO GRAVADO]]="","",compras_mes4[[#This Row],[NETO GRAVADO]]*0.21)</f>
        <v>5727.2690999999995</v>
      </c>
      <c r="J126" s="85"/>
      <c r="K126" s="85"/>
      <c r="L126" s="85"/>
      <c r="M126" s="85"/>
      <c r="N126" s="85"/>
      <c r="O126" s="85"/>
      <c r="P126" s="48">
        <f>SUM(compras_mes4[[#This Row],[NETO GRAVADO]:[Otros / No Grav.]])</f>
        <v>32999.979099999997</v>
      </c>
      <c r="Q126" s="49" t="str">
        <f>IFERROR(IF(compras_mes4[[#This Row],[CUIT]]="","-",VLOOKUP(compras_mes4[[#This Row],[CUIT]],Lista_CUIT[#All],3,0)),"CUIT NO CARGADO")</f>
        <v>Muebles y Utiles</v>
      </c>
      <c r="R126" s="49">
        <f>IFERROR(IF(compras_mes4[[#This Row],[CUIT]]="","-",VLOOKUP(compras_mes4[[#This Row],[CUIT]],Lista_CUIT[#All],4,0)),"CUIT NO CARGADO")</f>
        <v>0</v>
      </c>
    </row>
    <row r="127" spans="2:18" x14ac:dyDescent="0.25">
      <c r="B127" s="467">
        <v>45754</v>
      </c>
      <c r="C127" s="468">
        <v>1</v>
      </c>
      <c r="D127" s="469">
        <v>12</v>
      </c>
      <c r="E127" s="470">
        <v>62576</v>
      </c>
      <c r="F127" s="471">
        <v>30696131003</v>
      </c>
      <c r="G127" s="472" t="str">
        <f>IFERROR(IF(compras_mes4[[#This Row],[CUIT]]="","-",VLOOKUP(compras_mes4[[#This Row],[CUIT]],Lista_CUIT[#All],2,0)),"CUIT NO CARGADO")</f>
        <v>Petrolfe S.A.</v>
      </c>
      <c r="H127" s="473">
        <v>139467</v>
      </c>
      <c r="I127" s="435">
        <f>IF(compras_mes4[[#This Row],[NETO GRAVADO]]="","",compras_mes4[[#This Row],[NETO GRAVADO]]*0.21)</f>
        <v>29288.07</v>
      </c>
      <c r="J127" s="474"/>
      <c r="K127" s="474"/>
      <c r="L127" s="474"/>
      <c r="M127" s="474"/>
      <c r="N127" s="474"/>
      <c r="O127" s="474">
        <v>23422</v>
      </c>
      <c r="P127" s="475">
        <f>SUM(compras_mes4[[#This Row],[NETO GRAVADO]:[Otros / No Grav.]])</f>
        <v>192177.07</v>
      </c>
      <c r="Q127" s="476" t="str">
        <f>IFERROR(IF(compras_mes4[[#This Row],[CUIT]]="","-",VLOOKUP(compras_mes4[[#This Row],[CUIT]],Lista_CUIT[#All],3,0)),"CUIT NO CARGADO")</f>
        <v>Combustible</v>
      </c>
      <c r="R127" s="476">
        <f>IFERROR(IF(compras_mes4[[#This Row],[CUIT]]="","-",VLOOKUP(compras_mes4[[#This Row],[CUIT]],Lista_CUIT[#All],4,0)),"CUIT NO CARGADO")</f>
        <v>0</v>
      </c>
    </row>
    <row r="128" spans="2:18" x14ac:dyDescent="0.25">
      <c r="B128" s="467">
        <v>45761</v>
      </c>
      <c r="C128" s="468">
        <v>1</v>
      </c>
      <c r="D128" s="469">
        <v>12</v>
      </c>
      <c r="E128" s="470">
        <v>63061</v>
      </c>
      <c r="F128" s="471">
        <v>30696131003</v>
      </c>
      <c r="G128" s="472" t="str">
        <f>IFERROR(IF(compras_mes4[[#This Row],[CUIT]]="","-",VLOOKUP(compras_mes4[[#This Row],[CUIT]],Lista_CUIT[#All],2,0)),"CUIT NO CARGADO")</f>
        <v>Petrolfe S.A.</v>
      </c>
      <c r="H128" s="473">
        <v>183520.09375</v>
      </c>
      <c r="I128" s="435">
        <f>IF(compras_mes4[[#This Row],[NETO GRAVADO]]="","",compras_mes4[[#This Row],[NETO GRAVADO]]*0.21)</f>
        <v>38539.219687500001</v>
      </c>
      <c r="J128" s="474"/>
      <c r="K128" s="474"/>
      <c r="L128" s="474"/>
      <c r="M128" s="474"/>
      <c r="N128" s="474"/>
      <c r="O128" s="474">
        <v>27322.640625</v>
      </c>
      <c r="P128" s="475">
        <f>SUM(compras_mes4[[#This Row],[NETO GRAVADO]:[Otros / No Grav.]])</f>
        <v>249381.95406250001</v>
      </c>
      <c r="Q128" s="476" t="str">
        <f>IFERROR(IF(compras_mes4[[#This Row],[CUIT]]="","-",VLOOKUP(compras_mes4[[#This Row],[CUIT]],Lista_CUIT[#All],3,0)),"CUIT NO CARGADO")</f>
        <v>Combustible</v>
      </c>
      <c r="R128" s="476">
        <f>IFERROR(IF(compras_mes4[[#This Row],[CUIT]]="","-",VLOOKUP(compras_mes4[[#This Row],[CUIT]],Lista_CUIT[#All],4,0)),"CUIT NO CARGADO")</f>
        <v>0</v>
      </c>
    </row>
    <row r="129" spans="2:18" x14ac:dyDescent="0.25">
      <c r="B129" s="429">
        <v>45768</v>
      </c>
      <c r="C129" s="468">
        <v>1</v>
      </c>
      <c r="D129" s="430">
        <v>12</v>
      </c>
      <c r="E129" s="431">
        <v>63480</v>
      </c>
      <c r="F129" s="432">
        <v>30696131003</v>
      </c>
      <c r="G129" s="433" t="str">
        <f>IFERROR(IF(compras_mes4[[#This Row],[CUIT]]="","-",VLOOKUP(compras_mes4[[#This Row],[CUIT]],Lista_CUIT[#All],2,0)),"CUIT NO CARGADO")</f>
        <v>Petrolfe S.A.</v>
      </c>
      <c r="H129" s="434">
        <v>93695.09765625</v>
      </c>
      <c r="I129" s="435">
        <f>IF(compras_mes4[[#This Row],[NETO GRAVADO]]="","",compras_mes4[[#This Row],[NETO GRAVADO]]*0.21)</f>
        <v>19675.970507812501</v>
      </c>
      <c r="J129" s="435"/>
      <c r="K129" s="435"/>
      <c r="L129" s="435"/>
      <c r="M129" s="435"/>
      <c r="N129" s="435"/>
      <c r="O129" s="435">
        <v>15735.080078125</v>
      </c>
      <c r="P129" s="436">
        <f>SUM(compras_mes4[[#This Row],[NETO GRAVADO]:[Otros / No Grav.]])</f>
        <v>129106.1482421875</v>
      </c>
      <c r="Q129" s="437" t="str">
        <f>IFERROR(IF(compras_mes4[[#This Row],[CUIT]]="","-",VLOOKUP(compras_mes4[[#This Row],[CUIT]],Lista_CUIT[#All],3,0)),"CUIT NO CARGADO")</f>
        <v>Combustible</v>
      </c>
      <c r="R129" s="437">
        <f>IFERROR(IF(compras_mes4[[#This Row],[CUIT]]="","-",VLOOKUP(compras_mes4[[#This Row],[CUIT]],Lista_CUIT[#All],4,0)),"CUIT NO CARGADO")</f>
        <v>0</v>
      </c>
    </row>
    <row r="130" spans="2:18" x14ac:dyDescent="0.25">
      <c r="B130" s="429">
        <v>45775</v>
      </c>
      <c r="C130" s="468">
        <v>1</v>
      </c>
      <c r="D130" s="430">
        <v>12</v>
      </c>
      <c r="E130" s="431">
        <v>63950</v>
      </c>
      <c r="F130" s="432">
        <v>30696131003</v>
      </c>
      <c r="G130" s="433" t="str">
        <f>IFERROR(IF(compras_mes4[[#This Row],[CUIT]]="","-",VLOOKUP(compras_mes4[[#This Row],[CUIT]],Lista_CUIT[#All],2,0)),"CUIT NO CARGADO")</f>
        <v>Petrolfe S.A.</v>
      </c>
      <c r="H130" s="434">
        <v>96555.794921875</v>
      </c>
      <c r="I130" s="435">
        <f>IF(compras_mes4[[#This Row],[NETO GRAVADO]]="","",compras_mes4[[#This Row],[NETO GRAVADO]]*0.21)</f>
        <v>20276.716933593751</v>
      </c>
      <c r="J130" s="435"/>
      <c r="K130" s="435"/>
      <c r="L130" s="435"/>
      <c r="M130" s="435"/>
      <c r="N130" s="435"/>
      <c r="O130" s="435">
        <v>16215.5</v>
      </c>
      <c r="P130" s="436">
        <f>SUM(compras_mes4[[#This Row],[NETO GRAVADO]:[Otros / No Grav.]])</f>
        <v>133048.01185546874</v>
      </c>
      <c r="Q130" s="437" t="str">
        <f>IFERROR(IF(compras_mes4[[#This Row],[CUIT]]="","-",VLOOKUP(compras_mes4[[#This Row],[CUIT]],Lista_CUIT[#All],3,0)),"CUIT NO CARGADO")</f>
        <v>Combustible</v>
      </c>
      <c r="R130" s="437">
        <f>IFERROR(IF(compras_mes4[[#This Row],[CUIT]]="","-",VLOOKUP(compras_mes4[[#This Row],[CUIT]],Lista_CUIT[#All],4,0)),"CUIT NO CARGADO")</f>
        <v>0</v>
      </c>
    </row>
    <row r="131" spans="2:18" x14ac:dyDescent="0.25">
      <c r="B131" s="40" t="s">
        <v>2422</v>
      </c>
      <c r="C131" s="41">
        <v>1</v>
      </c>
      <c r="D131" s="42">
        <v>6</v>
      </c>
      <c r="E131" s="43">
        <v>118</v>
      </c>
      <c r="F131" s="44">
        <v>20269531062</v>
      </c>
      <c r="G131" s="45" t="str">
        <f>IFERROR(IF(compras_mes4[[#This Row],[CUIT]]="","-",VLOOKUP(compras_mes4[[#This Row],[CUIT]],Lista_CUIT[#All],2,0)),"CUIT NO CARGADO")</f>
        <v>PEZZELATTO RICARDO OMAR</v>
      </c>
      <c r="H131" s="46">
        <v>25456.45</v>
      </c>
      <c r="I131" s="85">
        <f>IF(compras_mes4[[#This Row],[NETO GRAVADO]]="","",compras_mes4[[#This Row],[NETO GRAVADO]]*0.21)</f>
        <v>5345.8545000000004</v>
      </c>
      <c r="J131" s="85"/>
      <c r="K131" s="85"/>
      <c r="L131" s="85"/>
      <c r="M131" s="85"/>
      <c r="N131" s="85"/>
      <c r="O131" s="85"/>
      <c r="P131" s="48">
        <f>SUM(compras_mes4[[#This Row],[NETO GRAVADO]:[Otros / No Grav.]])</f>
        <v>30802.304500000002</v>
      </c>
      <c r="Q131" s="49" t="str">
        <f>IFERROR(IF(compras_mes4[[#This Row],[CUIT]]="","-",VLOOKUP(compras_mes4[[#This Row],[CUIT]],Lista_CUIT[#All],3,0)),"CUIT NO CARGADO")</f>
        <v>Gastos Varios</v>
      </c>
      <c r="R131" s="49">
        <f>IFERROR(IF(compras_mes4[[#This Row],[CUIT]]="","-",VLOOKUP(compras_mes4[[#This Row],[CUIT]],Lista_CUIT[#All],4,0)),"CUIT NO CARGADO")</f>
        <v>0</v>
      </c>
    </row>
    <row r="132" spans="2:18" x14ac:dyDescent="0.25">
      <c r="B132" s="40" t="s">
        <v>2423</v>
      </c>
      <c r="C132" s="41">
        <v>1</v>
      </c>
      <c r="D132" s="42">
        <v>1</v>
      </c>
      <c r="E132" s="43">
        <v>43</v>
      </c>
      <c r="F132" s="44">
        <v>30718189388</v>
      </c>
      <c r="G132" s="45" t="str">
        <f>IFERROR(IF(compras_mes4[[#This Row],[CUIT]]="","-",VLOOKUP(compras_mes4[[#This Row],[CUIT]],Lista_CUIT[#All],2,0)),"CUIT NO CARGADO")</f>
        <v>PICALI Y ASOCIADOS S.R.L.</v>
      </c>
      <c r="H132" s="46">
        <v>1115950</v>
      </c>
      <c r="I132" s="85">
        <f>IF(compras_mes4[[#This Row],[NETO GRAVADO]]="","",compras_mes4[[#This Row],[NETO GRAVADO]]*0.21)</f>
        <v>234349.5</v>
      </c>
      <c r="J132" s="85"/>
      <c r="K132" s="85"/>
      <c r="L132" s="85"/>
      <c r="M132" s="85"/>
      <c r="N132" s="85"/>
      <c r="O132" s="85"/>
      <c r="P132" s="48">
        <f>SUM(compras_mes4[[#This Row],[NETO GRAVADO]:[Otros / No Grav.]])</f>
        <v>1350299.5</v>
      </c>
      <c r="Q132" s="49" t="str">
        <f>IFERROR(IF(compras_mes4[[#This Row],[CUIT]]="","-",VLOOKUP(compras_mes4[[#This Row],[CUIT]],Lista_CUIT[#All],3,0)),"CUIT NO CARGADO")</f>
        <v>Productos Venta</v>
      </c>
      <c r="R132" s="49">
        <f>IFERROR(IF(compras_mes4[[#This Row],[CUIT]]="","-",VLOOKUP(compras_mes4[[#This Row],[CUIT]],Lista_CUIT[#All],4,0)),"CUIT NO CARGADO")</f>
        <v>0</v>
      </c>
    </row>
    <row r="133" spans="2:18" x14ac:dyDescent="0.25">
      <c r="B133" s="313">
        <v>45776</v>
      </c>
      <c r="C133" s="41">
        <v>1</v>
      </c>
      <c r="D133" s="314">
        <v>35</v>
      </c>
      <c r="E133" s="477">
        <v>3614</v>
      </c>
      <c r="F133" s="315">
        <v>30696106068</v>
      </c>
      <c r="G133" s="316" t="str">
        <f>IFERROR(IF(compras_mes4[[#This Row],[CUIT]]="","-",VLOOKUP(compras_mes4[[#This Row],[CUIT]],Lista_CUIT[#All],2,0)),"CUIT NO CARGADO")</f>
        <v>PINTURERIAS LIBERATO SRL</v>
      </c>
      <c r="H133" s="317">
        <v>7559</v>
      </c>
      <c r="I133" s="85">
        <f>IF(compras_mes4[[#This Row],[NETO GRAVADO]]="","",compras_mes4[[#This Row],[NETO GRAVADO]]*0.21)</f>
        <v>1587.3899999999999</v>
      </c>
      <c r="J133" s="318"/>
      <c r="K133" s="318"/>
      <c r="L133" s="318"/>
      <c r="M133" s="318"/>
      <c r="N133" s="318"/>
      <c r="O133" s="318"/>
      <c r="P133" s="319">
        <f>SUM(compras_mes4[[#This Row],[NETO GRAVADO]:[Otros / No Grav.]])</f>
        <v>9146.39</v>
      </c>
      <c r="Q133" s="320" t="str">
        <f>IFERROR(IF(compras_mes4[[#This Row],[CUIT]]="","-",VLOOKUP(compras_mes4[[#This Row],[CUIT]],Lista_CUIT[#All],3,0)),"CUIT NO CARGADO")</f>
        <v>Mantenimiento Locales</v>
      </c>
      <c r="R133" s="320">
        <f>IFERROR(IF(compras_mes4[[#This Row],[CUIT]]="","-",VLOOKUP(compras_mes4[[#This Row],[CUIT]],Lista_CUIT[#All],4,0)),"CUIT NO CARGADO")</f>
        <v>0</v>
      </c>
    </row>
    <row r="134" spans="2:18" x14ac:dyDescent="0.25">
      <c r="B134" s="40" t="s">
        <v>2426</v>
      </c>
      <c r="C134" s="41">
        <v>1</v>
      </c>
      <c r="D134" s="42">
        <v>4</v>
      </c>
      <c r="E134" s="43">
        <v>28809</v>
      </c>
      <c r="F134" s="44">
        <v>30552433595</v>
      </c>
      <c r="G134" s="45" t="str">
        <f>IFERROR(IF(compras_mes4[[#This Row],[CUIT]]="","-",VLOOKUP(compras_mes4[[#This Row],[CUIT]],Lista_CUIT[#All],2,0)),"CUIT NO CARGADO")</f>
        <v>PIROPLAST SRL</v>
      </c>
      <c r="H134" s="46">
        <v>1959457.51</v>
      </c>
      <c r="I134" s="85">
        <f>IF(compras_mes4[[#This Row],[NETO GRAVADO]]="","",compras_mes4[[#This Row],[NETO GRAVADO]]*0.21)</f>
        <v>411486.07709999999</v>
      </c>
      <c r="J134" s="85"/>
      <c r="K134" s="85"/>
      <c r="L134" s="85"/>
      <c r="M134" s="85"/>
      <c r="N134" s="85"/>
      <c r="O134" s="85"/>
      <c r="P134" s="48">
        <f>SUM(compras_mes4[[#This Row],[NETO GRAVADO]:[Otros / No Grav.]])</f>
        <v>2370943.5871000001</v>
      </c>
      <c r="Q134" s="49" t="str">
        <f>IFERROR(IF(compras_mes4[[#This Row],[CUIT]]="","-",VLOOKUP(compras_mes4[[#This Row],[CUIT]],Lista_CUIT[#All],3,0)),"CUIT NO CARGADO")</f>
        <v>Material de Empaque</v>
      </c>
      <c r="R134" s="49">
        <f>IFERROR(IF(compras_mes4[[#This Row],[CUIT]]="","-",VLOOKUP(compras_mes4[[#This Row],[CUIT]],Lista_CUIT[#All],4,0)),"CUIT NO CARGADO")</f>
        <v>0</v>
      </c>
    </row>
    <row r="135" spans="2:18" x14ac:dyDescent="0.25">
      <c r="B135" s="40" t="s">
        <v>2440</v>
      </c>
      <c r="C135" s="41">
        <v>1</v>
      </c>
      <c r="D135" s="42">
        <v>3</v>
      </c>
      <c r="E135" s="43">
        <v>56498</v>
      </c>
      <c r="F135" s="44">
        <v>30714508160</v>
      </c>
      <c r="G135" s="45" t="str">
        <f>IFERROR(IF(compras_mes4[[#This Row],[CUIT]]="","-",VLOOKUP(compras_mes4[[#This Row],[CUIT]],Lista_CUIT[#All],2,0)),"CUIT NO CARGADO")</f>
        <v>DIGITAL STORE TEC S.R.L.</v>
      </c>
      <c r="H135" s="46">
        <v>23676.02</v>
      </c>
      <c r="I135" s="85">
        <f>IF(compras_mes4[[#This Row],[NETO GRAVADO]]="","",compras_mes4[[#This Row],[NETO GRAVADO]]*0.21)</f>
        <v>4971.9642000000003</v>
      </c>
      <c r="J135" s="85"/>
      <c r="K135" s="85"/>
      <c r="L135" s="85"/>
      <c r="M135" s="85"/>
      <c r="N135" s="85"/>
      <c r="O135" s="85"/>
      <c r="P135" s="48">
        <f>SUM(compras_mes4[[#This Row],[NETO GRAVADO]:[Otros / No Grav.]])</f>
        <v>28647.984199999999</v>
      </c>
      <c r="Q135" s="49" t="str">
        <f>IFERROR(IF(compras_mes4[[#This Row],[CUIT]]="","-",VLOOKUP(compras_mes4[[#This Row],[CUIT]],Lista_CUIT[#All],3,0)),"CUIT NO CARGADO")</f>
        <v>Gastos Varios</v>
      </c>
      <c r="R135" s="49">
        <f>IFERROR(IF(compras_mes4[[#This Row],[CUIT]]="","-",VLOOKUP(compras_mes4[[#This Row],[CUIT]],Lista_CUIT[#All],4,0)),"CUIT NO CARGADO")</f>
        <v>0</v>
      </c>
    </row>
    <row r="136" spans="2:18" x14ac:dyDescent="0.25">
      <c r="B136" s="40" t="s">
        <v>2435</v>
      </c>
      <c r="C136" s="41">
        <v>1</v>
      </c>
      <c r="D136" s="42">
        <v>57</v>
      </c>
      <c r="E136" s="43">
        <v>1258</v>
      </c>
      <c r="F136" s="44">
        <v>30668432782</v>
      </c>
      <c r="G136" s="45" t="str">
        <f>IFERROR(IF(compras_mes4[[#This Row],[CUIT]]="","-",VLOOKUP(compras_mes4[[#This Row],[CUIT]],Lista_CUIT[#All],2,0)),"CUIT NO CARGADO")</f>
        <v>QUINTO CENTENARIO S A</v>
      </c>
      <c r="H136" s="46">
        <v>14876.03</v>
      </c>
      <c r="I136" s="85">
        <f>IF(compras_mes4[[#This Row],[NETO GRAVADO]]="","",compras_mes4[[#This Row],[NETO GRAVADO]]*0.21)</f>
        <v>3123.9663</v>
      </c>
      <c r="J136" s="85"/>
      <c r="K136" s="85"/>
      <c r="L136" s="85"/>
      <c r="M136" s="85"/>
      <c r="N136" s="85"/>
      <c r="O136" s="85"/>
      <c r="P136" s="48">
        <f>SUM(compras_mes4[[#This Row],[NETO GRAVADO]:[Otros / No Grav.]])</f>
        <v>17999.996299999999</v>
      </c>
      <c r="Q136" s="49" t="str">
        <f>IFERROR(IF(compras_mes4[[#This Row],[CUIT]]="","-",VLOOKUP(compras_mes4[[#This Row],[CUIT]],Lista_CUIT[#All],3,0)),"CUIT NO CARGADO")</f>
        <v>Gastos Varios</v>
      </c>
      <c r="R136" s="49">
        <f>IFERROR(IF(compras_mes4[[#This Row],[CUIT]]="","-",VLOOKUP(compras_mes4[[#This Row],[CUIT]],Lista_CUIT[#All],4,0)),"CUIT NO CARGADO")</f>
        <v>0</v>
      </c>
    </row>
    <row r="137" spans="2:18" x14ac:dyDescent="0.25">
      <c r="B137" s="40" t="s">
        <v>2440</v>
      </c>
      <c r="C137" s="41">
        <v>1</v>
      </c>
      <c r="D137" s="42">
        <v>1</v>
      </c>
      <c r="E137" s="43">
        <v>16</v>
      </c>
      <c r="F137" s="44">
        <v>20443065793</v>
      </c>
      <c r="G137" s="45" t="str">
        <f>IFERROR(IF(compras_mes4[[#This Row],[CUIT]]="","-",VLOOKUP(compras_mes4[[#This Row],[CUIT]],Lista_CUIT[#All],2,0)),"CUIT NO CARGADO")</f>
        <v>QUIROGA JOEL HERNAN</v>
      </c>
      <c r="H137" s="46">
        <v>11752.05</v>
      </c>
      <c r="I137" s="85">
        <f>IF(compras_mes4[[#This Row],[NETO GRAVADO]]="","",compras_mes4[[#This Row],[NETO GRAVADO]]*0.21)</f>
        <v>2467.9304999999999</v>
      </c>
      <c r="J137" s="85"/>
      <c r="K137" s="85"/>
      <c r="L137" s="85"/>
      <c r="M137" s="85"/>
      <c r="N137" s="85"/>
      <c r="O137" s="85"/>
      <c r="P137" s="48">
        <f>SUM(compras_mes4[[#This Row],[NETO GRAVADO]:[Otros / No Grav.]])</f>
        <v>14219.9805</v>
      </c>
      <c r="Q137" s="49" t="str">
        <f>IFERROR(IF(compras_mes4[[#This Row],[CUIT]]="","-",VLOOKUP(compras_mes4[[#This Row],[CUIT]],Lista_CUIT[#All],3,0)),"CUIT NO CARGADO")</f>
        <v>Gastos Varios</v>
      </c>
      <c r="R137" s="49">
        <f>IFERROR(IF(compras_mes4[[#This Row],[CUIT]]="","-",VLOOKUP(compras_mes4[[#This Row],[CUIT]],Lista_CUIT[#All],4,0)),"CUIT NO CARGADO")</f>
        <v>0</v>
      </c>
    </row>
    <row r="138" spans="2:18" x14ac:dyDescent="0.25">
      <c r="B138" s="40" t="s">
        <v>2440</v>
      </c>
      <c r="C138" s="41">
        <v>1</v>
      </c>
      <c r="D138" s="42">
        <v>6</v>
      </c>
      <c r="E138" s="43">
        <v>40863</v>
      </c>
      <c r="F138" s="44">
        <v>30713135301</v>
      </c>
      <c r="G138" s="45" t="str">
        <f>IFERROR(IF(compras_mes4[[#This Row],[CUIT]]="","-",VLOOKUP(compras_mes4[[#This Row],[CUIT]],Lista_CUIT[#All],2,0)),"CUIT NO CARGADO")</f>
        <v>DEL PLASTIC SRL</v>
      </c>
      <c r="H138" s="46">
        <v>11032.32</v>
      </c>
      <c r="I138" s="85">
        <f>IF(compras_mes4[[#This Row],[NETO GRAVADO]]="","",compras_mes4[[#This Row],[NETO GRAVADO]]*0.21)</f>
        <v>2316.7871999999998</v>
      </c>
      <c r="J138" s="85"/>
      <c r="K138" s="85"/>
      <c r="L138" s="85"/>
      <c r="M138" s="85"/>
      <c r="N138" s="85"/>
      <c r="O138" s="85"/>
      <c r="P138" s="48">
        <f>SUM(compras_mes4[[#This Row],[NETO GRAVADO]:[Otros / No Grav.]])</f>
        <v>13349.107199999999</v>
      </c>
      <c r="Q138" s="49" t="str">
        <f>IFERROR(IF(compras_mes4[[#This Row],[CUIT]]="","-",VLOOKUP(compras_mes4[[#This Row],[CUIT]],Lista_CUIT[#All],3,0)),"CUIT NO CARGADO")</f>
        <v>Muebles y Utiles</v>
      </c>
      <c r="R138" s="49">
        <f>IFERROR(IF(compras_mes4[[#This Row],[CUIT]]="","-",VLOOKUP(compras_mes4[[#This Row],[CUIT]],Lista_CUIT[#All],4,0)),"CUIT NO CARGADO")</f>
        <v>0</v>
      </c>
    </row>
    <row r="139" spans="2:18" x14ac:dyDescent="0.25">
      <c r="B139" s="40" t="s">
        <v>2415</v>
      </c>
      <c r="C139" s="41">
        <v>1</v>
      </c>
      <c r="D139" s="42">
        <v>4</v>
      </c>
      <c r="E139" s="43">
        <v>33209</v>
      </c>
      <c r="F139" s="44">
        <v>30716701820</v>
      </c>
      <c r="G139" s="45" t="str">
        <f>IFERROR(IF(compras_mes4[[#This Row],[CUIT]]="","-",VLOOKUP(compras_mes4[[#This Row],[CUIT]],Lista_CUIT[#All],2,0)),"CUIT NO CARGADO")</f>
        <v>MENTA GRANIZADA</v>
      </c>
      <c r="H139" s="46">
        <v>7643.78</v>
      </c>
      <c r="I139" s="85">
        <f>IF(compras_mes4[[#This Row],[NETO GRAVADO]]="","",compras_mes4[[#This Row],[NETO GRAVADO]]*0.21)</f>
        <v>1605.1937999999998</v>
      </c>
      <c r="J139" s="85"/>
      <c r="K139" s="85"/>
      <c r="L139" s="85"/>
      <c r="M139" s="85"/>
      <c r="N139" s="85"/>
      <c r="O139" s="85"/>
      <c r="P139" s="48">
        <f>SUM(compras_mes4[[#This Row],[NETO GRAVADO]:[Otros / No Grav.]])</f>
        <v>9248.9737999999998</v>
      </c>
      <c r="Q139" s="49" t="str">
        <f>IFERROR(IF(compras_mes4[[#This Row],[CUIT]]="","-",VLOOKUP(compras_mes4[[#This Row],[CUIT]],Lista_CUIT[#All],3,0)),"CUIT NO CARGADO")</f>
        <v>Gastos Varios</v>
      </c>
      <c r="R139" s="49">
        <f>IFERROR(IF(compras_mes4[[#This Row],[CUIT]]="","-",VLOOKUP(compras_mes4[[#This Row],[CUIT]],Lista_CUIT[#All],4,0)),"CUIT NO CARGADO")</f>
        <v>0</v>
      </c>
    </row>
    <row r="140" spans="2:18" x14ac:dyDescent="0.25">
      <c r="B140" s="40" t="s">
        <v>2430</v>
      </c>
      <c r="C140" s="41">
        <v>1</v>
      </c>
      <c r="D140" s="42">
        <v>4</v>
      </c>
      <c r="E140" s="43">
        <v>1521</v>
      </c>
      <c r="F140" s="44">
        <v>23329455319</v>
      </c>
      <c r="G140" s="45" t="str">
        <f>IFERROR(IF(compras_mes4[[#This Row],[CUIT]]="","-",VLOOKUP(compras_mes4[[#This Row],[CUIT]],Lista_CUIT[#All],2,0)),"CUIT NO CARGADO")</f>
        <v>REPETTO RAMIRO ANDRES</v>
      </c>
      <c r="H140" s="46">
        <v>39008.26</v>
      </c>
      <c r="I140" s="85">
        <f>IF(compras_mes4[[#This Row],[NETO GRAVADO]]="","",compras_mes4[[#This Row],[NETO GRAVADO]]*0.21)</f>
        <v>8191.7345999999998</v>
      </c>
      <c r="J140" s="85"/>
      <c r="K140" s="85"/>
      <c r="L140" s="85"/>
      <c r="M140" s="85"/>
      <c r="N140" s="85"/>
      <c r="O140" s="85"/>
      <c r="P140" s="48">
        <f>SUM(compras_mes4[[#This Row],[NETO GRAVADO]:[Otros / No Grav.]])</f>
        <v>47199.994600000005</v>
      </c>
      <c r="Q140" s="49" t="str">
        <f>IFERROR(IF(compras_mes4[[#This Row],[CUIT]]="","-",VLOOKUP(compras_mes4[[#This Row],[CUIT]],Lista_CUIT[#All],3,0)),"CUIT NO CARGADO")</f>
        <v>Gastos Varios</v>
      </c>
      <c r="R140" s="49">
        <f>IFERROR(IF(compras_mes4[[#This Row],[CUIT]]="","-",VLOOKUP(compras_mes4[[#This Row],[CUIT]],Lista_CUIT[#All],4,0)),"CUIT NO CARGADO")</f>
        <v>0</v>
      </c>
    </row>
    <row r="141" spans="2:18" x14ac:dyDescent="0.25">
      <c r="B141" s="40" t="s">
        <v>2415</v>
      </c>
      <c r="C141" s="41">
        <v>1</v>
      </c>
      <c r="D141" s="42">
        <v>7</v>
      </c>
      <c r="E141" s="43">
        <v>7367</v>
      </c>
      <c r="F141" s="44">
        <v>27341012525</v>
      </c>
      <c r="G141" s="45" t="str">
        <f>IFERROR(IF(compras_mes4[[#This Row],[CUIT]]="","-",VLOOKUP(compras_mes4[[#This Row],[CUIT]],Lista_CUIT[#All],2,0)),"CUIT NO CARGADO")</f>
        <v>MAGARIÑOS VANESA LORENA</v>
      </c>
      <c r="H141" s="46">
        <v>2132.23</v>
      </c>
      <c r="I141" s="85">
        <f>IF(compras_mes4[[#This Row],[NETO GRAVADO]]="","",compras_mes4[[#This Row],[NETO GRAVADO]]*0.21)</f>
        <v>447.76830000000001</v>
      </c>
      <c r="J141" s="85"/>
      <c r="K141" s="85"/>
      <c r="L141" s="85"/>
      <c r="M141" s="85"/>
      <c r="N141" s="85"/>
      <c r="O141" s="85"/>
      <c r="P141" s="87">
        <f>SUM(compras_mes4[[#This Row],[NETO GRAVADO]:[Otros / No Grav.]])</f>
        <v>2579.9983000000002</v>
      </c>
      <c r="Q141" s="49" t="str">
        <f>IFERROR(IF(compras_mes4[[#This Row],[CUIT]]="","-",VLOOKUP(compras_mes4[[#This Row],[CUIT]],Lista_CUIT[#All],3,0)),"CUIT NO CARGADO")</f>
        <v>Gastos Varios</v>
      </c>
      <c r="R141" s="49">
        <f>IFERROR(IF(compras_mes4[[#This Row],[CUIT]]="","-",VLOOKUP(compras_mes4[[#This Row],[CUIT]],Lista_CUIT[#All],4,0)),"CUIT NO CARGADO")</f>
        <v>0</v>
      </c>
    </row>
    <row r="142" spans="2:18" x14ac:dyDescent="0.25">
      <c r="B142" s="40" t="s">
        <v>2415</v>
      </c>
      <c r="C142" s="41">
        <v>1</v>
      </c>
      <c r="D142" s="42">
        <v>7</v>
      </c>
      <c r="E142" s="43">
        <v>7368</v>
      </c>
      <c r="F142" s="44">
        <v>27341012525</v>
      </c>
      <c r="G142" s="45" t="str">
        <f>IFERROR(IF(compras_mes4[[#This Row],[CUIT]]="","-",VLOOKUP(compras_mes4[[#This Row],[CUIT]],Lista_CUIT[#All],2,0)),"CUIT NO CARGADO")</f>
        <v>MAGARIÑOS VANESA LORENA</v>
      </c>
      <c r="H142" s="46">
        <v>2132.23</v>
      </c>
      <c r="I142" s="85">
        <f>IF(compras_mes4[[#This Row],[NETO GRAVADO]]="","",compras_mes4[[#This Row],[NETO GRAVADO]]*0.21)</f>
        <v>447.76830000000001</v>
      </c>
      <c r="J142" s="85"/>
      <c r="K142" s="85"/>
      <c r="L142" s="85"/>
      <c r="M142" s="85"/>
      <c r="N142" s="85"/>
      <c r="O142" s="85"/>
      <c r="P142" s="48">
        <f>SUM(compras_mes4[[#This Row],[NETO GRAVADO]:[Otros / No Grav.]])</f>
        <v>2579.9983000000002</v>
      </c>
      <c r="Q142" s="49" t="str">
        <f>IFERROR(IF(compras_mes4[[#This Row],[CUIT]]="","-",VLOOKUP(compras_mes4[[#This Row],[CUIT]],Lista_CUIT[#All],3,0)),"CUIT NO CARGADO")</f>
        <v>Gastos Varios</v>
      </c>
      <c r="R142" s="49">
        <f>IFERROR(IF(compras_mes4[[#This Row],[CUIT]]="","-",VLOOKUP(compras_mes4[[#This Row],[CUIT]],Lista_CUIT[#All],4,0)),"CUIT NO CARGADO")</f>
        <v>0</v>
      </c>
    </row>
    <row r="143" spans="2:18" x14ac:dyDescent="0.25">
      <c r="B143" s="40" t="s">
        <v>2425</v>
      </c>
      <c r="C143" s="41">
        <v>3</v>
      </c>
      <c r="D143" s="42">
        <v>3</v>
      </c>
      <c r="E143" s="43">
        <v>168</v>
      </c>
      <c r="F143" s="44">
        <v>30621927252</v>
      </c>
      <c r="G143" s="45" t="str">
        <f>IFERROR(IF(compras_mes4[[#This Row],[CUIT]]="","-",VLOOKUP(compras_mes4[[#This Row],[CUIT]],Lista_CUIT[#All],2,0)),"CUIT NO CARGADO")</f>
        <v>PERALBA SOCIEDAD ANONIMA</v>
      </c>
      <c r="H143" s="46">
        <v>-2000000</v>
      </c>
      <c r="I143" s="85">
        <f>IF(compras_mes4[[#This Row],[NETO GRAVADO]]="","",compras_mes4[[#This Row],[NETO GRAVADO]]*0.21)</f>
        <v>-420000</v>
      </c>
      <c r="J143" s="85"/>
      <c r="K143" s="85"/>
      <c r="L143" s="85"/>
      <c r="M143" s="85"/>
      <c r="N143" s="85"/>
      <c r="O143" s="85"/>
      <c r="P143" s="48">
        <f>SUM(compras_mes4[[#This Row],[NETO GRAVADO]:[Otros / No Grav.]])</f>
        <v>-2420000</v>
      </c>
      <c r="Q143" s="49" t="str">
        <f>IFERROR(IF(compras_mes4[[#This Row],[CUIT]]="","-",VLOOKUP(compras_mes4[[#This Row],[CUIT]],Lista_CUIT[#All],3,0)),"CUIT NO CARGADO")</f>
        <v>Gastos catering</v>
      </c>
      <c r="R143" s="49">
        <f>IFERROR(IF(compras_mes4[[#This Row],[CUIT]]="","-",VLOOKUP(compras_mes4[[#This Row],[CUIT]],Lista_CUIT[#All],4,0)),"CUIT NO CARGADO")</f>
        <v>0</v>
      </c>
    </row>
    <row r="144" spans="2:18" x14ac:dyDescent="0.25">
      <c r="B144" s="40" t="s">
        <v>2438</v>
      </c>
      <c r="C144" s="41">
        <v>1</v>
      </c>
      <c r="D144" s="42">
        <v>2</v>
      </c>
      <c r="E144" s="43">
        <v>9656</v>
      </c>
      <c r="F144" s="44">
        <v>23180288899</v>
      </c>
      <c r="G144" s="45" t="str">
        <f>IFERROR(IF(compras_mes4[[#This Row],[CUIT]]="","-",VLOOKUP(compras_mes4[[#This Row],[CUIT]],Lista_CUIT[#All],2,0)),"CUIT NO CARGADO")</f>
        <v>ROMERO EMILIO</v>
      </c>
      <c r="H144" s="46">
        <v>890000</v>
      </c>
      <c r="I144" s="85">
        <f>IF(compras_mes4[[#This Row],[NETO GRAVADO]]="","",compras_mes4[[#This Row],[NETO GRAVADO]]*0.21)</f>
        <v>186900</v>
      </c>
      <c r="J144" s="85"/>
      <c r="K144" s="85"/>
      <c r="L144" s="85">
        <v>26700</v>
      </c>
      <c r="M144" s="85"/>
      <c r="N144" s="85"/>
      <c r="O144" s="85"/>
      <c r="P144" s="48">
        <f>SUM(compras_mes4[[#This Row],[NETO GRAVADO]:[Otros / No Grav.]])</f>
        <v>1103600</v>
      </c>
      <c r="Q144" s="49" t="str">
        <f>IFERROR(IF(compras_mes4[[#This Row],[CUIT]]="","-",VLOOKUP(compras_mes4[[#This Row],[CUIT]],Lista_CUIT[#All],3,0)),"CUIT NO CARGADO")</f>
        <v>Gastos Varios</v>
      </c>
      <c r="R144" s="49">
        <f>IFERROR(IF(compras_mes4[[#This Row],[CUIT]]="","-",VLOOKUP(compras_mes4[[#This Row],[CUIT]],Lista_CUIT[#All],4,0)),"CUIT NO CARGADO")</f>
        <v>0</v>
      </c>
    </row>
    <row r="145" spans="2:18" x14ac:dyDescent="0.25">
      <c r="B145" s="40" t="s">
        <v>2439</v>
      </c>
      <c r="C145" s="41">
        <v>1</v>
      </c>
      <c r="D145" s="42">
        <v>5</v>
      </c>
      <c r="E145" s="43">
        <v>38263</v>
      </c>
      <c r="F145" s="44">
        <v>30718509552</v>
      </c>
      <c r="G145" s="45" t="str">
        <f>IFERROR(IF(compras_mes4[[#This Row],[CUIT]]="","-",VLOOKUP(compras_mes4[[#This Row],[CUIT]],Lista_CUIT[#All],2,0)),"CUIT NO CARGADO")</f>
        <v>SEDAFE</v>
      </c>
      <c r="H145" s="46">
        <v>35600</v>
      </c>
      <c r="I145" s="85">
        <f>IF(compras_mes4[[#This Row],[NETO GRAVADO]]="","",compras_mes4[[#This Row],[NETO GRAVADO]]*0.21)</f>
        <v>7476</v>
      </c>
      <c r="J145" s="85"/>
      <c r="K145" s="85"/>
      <c r="L145" s="85"/>
      <c r="M145" s="85"/>
      <c r="N145" s="85"/>
      <c r="O145" s="85"/>
      <c r="P145" s="48">
        <f>SUM(compras_mes4[[#This Row],[NETO GRAVADO]:[Otros / No Grav.]])</f>
        <v>43076</v>
      </c>
      <c r="Q145" s="49" t="str">
        <f>IFERROR(IF(compras_mes4[[#This Row],[CUIT]]="","-",VLOOKUP(compras_mes4[[#This Row],[CUIT]],Lista_CUIT[#All],3,0)),"CUIT NO CARGADO")</f>
        <v>Gastos Varios</v>
      </c>
      <c r="R145" s="49">
        <f>IFERROR(IF(compras_mes4[[#This Row],[CUIT]]="","-",VLOOKUP(compras_mes4[[#This Row],[CUIT]],Lista_CUIT[#All],4,0)),"CUIT NO CARGADO")</f>
        <v>0</v>
      </c>
    </row>
    <row r="146" spans="2:18" x14ac:dyDescent="0.25">
      <c r="B146" s="40" t="s">
        <v>2419</v>
      </c>
      <c r="C146" s="41">
        <v>1</v>
      </c>
      <c r="D146" s="42">
        <v>301</v>
      </c>
      <c r="E146" s="43">
        <v>109471</v>
      </c>
      <c r="F146" s="44">
        <v>30686978350</v>
      </c>
      <c r="G146" s="45" t="str">
        <f>IFERROR(IF(compras_mes4[[#This Row],[CUIT]]="","-",VLOOKUP(compras_mes4[[#This Row],[CUIT]],Lista_CUIT[#All],2,0)),"CUIT NO CARGADO")</f>
        <v>SPEED BUSINESS S. A.</v>
      </c>
      <c r="H146" s="46">
        <v>16842.98</v>
      </c>
      <c r="I146" s="85">
        <f>IF(compras_mes4[[#This Row],[NETO GRAVADO]]="","",compras_mes4[[#This Row],[NETO GRAVADO]]*0.21)</f>
        <v>3537.0257999999999</v>
      </c>
      <c r="J146" s="85"/>
      <c r="K146" s="85"/>
      <c r="L146" s="85"/>
      <c r="M146" s="85"/>
      <c r="N146" s="85"/>
      <c r="O146" s="85"/>
      <c r="P146" s="48">
        <f>SUM(compras_mes4[[#This Row],[NETO GRAVADO]:[Otros / No Grav.]])</f>
        <v>20380.005799999999</v>
      </c>
      <c r="Q146" s="49" t="str">
        <f>IFERROR(IF(compras_mes4[[#This Row],[CUIT]]="","-",VLOOKUP(compras_mes4[[#This Row],[CUIT]],Lista_CUIT[#All],3,0)),"CUIT NO CARGADO")</f>
        <v>Gastos Comercializacion</v>
      </c>
      <c r="R146" s="49">
        <f>IFERROR(IF(compras_mes4[[#This Row],[CUIT]]="","-",VLOOKUP(compras_mes4[[#This Row],[CUIT]],Lista_CUIT[#All],4,0)),"CUIT NO CARGADO")</f>
        <v>0</v>
      </c>
    </row>
    <row r="147" spans="2:18" x14ac:dyDescent="0.25">
      <c r="B147" s="40" t="s">
        <v>2422</v>
      </c>
      <c r="C147" s="41">
        <v>1</v>
      </c>
      <c r="D147" s="42">
        <v>20</v>
      </c>
      <c r="E147" s="43">
        <v>39726</v>
      </c>
      <c r="F147" s="44">
        <v>30717210847</v>
      </c>
      <c r="G147" s="45" t="str">
        <f>IFERROR(IF(compras_mes4[[#This Row],[CUIT]]="","-",VLOOKUP(compras_mes4[[#This Row],[CUIT]],Lista_CUIT[#All],2,0)),"CUIT NO CARGADO")</f>
        <v>STENDY</v>
      </c>
      <c r="H147" s="46">
        <v>60359.5</v>
      </c>
      <c r="I147" s="85">
        <f>IF(compras_mes4[[#This Row],[NETO GRAVADO]]="","",compras_mes4[[#This Row],[NETO GRAVADO]]*0.21)</f>
        <v>12675.494999999999</v>
      </c>
      <c r="J147" s="85"/>
      <c r="K147" s="85"/>
      <c r="L147" s="85"/>
      <c r="M147" s="85"/>
      <c r="N147" s="85"/>
      <c r="O147" s="85"/>
      <c r="P147" s="48">
        <f>SUM(compras_mes4[[#This Row],[NETO GRAVADO]:[Otros / No Grav.]])</f>
        <v>73034.994999999995</v>
      </c>
      <c r="Q147" s="49" t="str">
        <f>IFERROR(IF(compras_mes4[[#This Row],[CUIT]]="","-",VLOOKUP(compras_mes4[[#This Row],[CUIT]],Lista_CUIT[#All],3,0)),"CUIT NO CARGADO")</f>
        <v>LIBRERÍA</v>
      </c>
      <c r="R147" s="49">
        <f>IFERROR(IF(compras_mes4[[#This Row],[CUIT]]="","-",VLOOKUP(compras_mes4[[#This Row],[CUIT]],Lista_CUIT[#All],4,0)),"CUIT NO CARGADO")</f>
        <v>0</v>
      </c>
    </row>
    <row r="148" spans="2:18" x14ac:dyDescent="0.25">
      <c r="B148" s="40" t="s">
        <v>2422</v>
      </c>
      <c r="C148" s="41">
        <v>1</v>
      </c>
      <c r="D148" s="42">
        <v>20</v>
      </c>
      <c r="E148" s="43">
        <v>39727</v>
      </c>
      <c r="F148" s="44">
        <v>30717210847</v>
      </c>
      <c r="G148" s="45" t="str">
        <f>IFERROR(IF(compras_mes4[[#This Row],[CUIT]]="","-",VLOOKUP(compras_mes4[[#This Row],[CUIT]],Lista_CUIT[#All],2,0)),"CUIT NO CARGADO")</f>
        <v>STENDY</v>
      </c>
      <c r="H148" s="46">
        <v>40239.67</v>
      </c>
      <c r="I148" s="85">
        <f>IF(compras_mes4[[#This Row],[NETO GRAVADO]]="","",compras_mes4[[#This Row],[NETO GRAVADO]]*0.21)</f>
        <v>8450.3306999999986</v>
      </c>
      <c r="J148" s="85"/>
      <c r="K148" s="85"/>
      <c r="L148" s="85"/>
      <c r="M148" s="85"/>
      <c r="N148" s="85"/>
      <c r="O148" s="85"/>
      <c r="P148" s="48">
        <f>SUM(compras_mes4[[#This Row],[NETO GRAVADO]:[Otros / No Grav.]])</f>
        <v>48690.000699999997</v>
      </c>
      <c r="Q148" s="49" t="str">
        <f>IFERROR(IF(compras_mes4[[#This Row],[CUIT]]="","-",VLOOKUP(compras_mes4[[#This Row],[CUIT]],Lista_CUIT[#All],3,0)),"CUIT NO CARGADO")</f>
        <v>LIBRERÍA</v>
      </c>
      <c r="R148" s="49">
        <f>IFERROR(IF(compras_mes4[[#This Row],[CUIT]]="","-",VLOOKUP(compras_mes4[[#This Row],[CUIT]],Lista_CUIT[#All],4,0)),"CUIT NO CARGADO")</f>
        <v>0</v>
      </c>
    </row>
    <row r="149" spans="2:18" x14ac:dyDescent="0.25">
      <c r="B149" s="313" t="s">
        <v>2431</v>
      </c>
      <c r="C149" s="41">
        <v>1</v>
      </c>
      <c r="D149" s="314">
        <v>2</v>
      </c>
      <c r="E149" s="477">
        <v>3999</v>
      </c>
      <c r="F149" s="315">
        <v>30629863571</v>
      </c>
      <c r="G149" s="316" t="str">
        <f>IFERROR(IF(compras_mes4[[#This Row],[CUIT]]="","-",VLOOKUP(compras_mes4[[#This Row],[CUIT]],Lista_CUIT[#All],2,0)),"CUIT NO CARGADO")</f>
        <v>TECNIMAR S R L</v>
      </c>
      <c r="H149" s="317">
        <v>882720</v>
      </c>
      <c r="I149" s="85">
        <f>IF(compras_mes4[[#This Row],[NETO GRAVADO]]="","",compras_mes4[[#This Row],[NETO GRAVADO]]*0.21)</f>
        <v>185371.19999999998</v>
      </c>
      <c r="J149" s="318"/>
      <c r="K149" s="318"/>
      <c r="L149" s="318"/>
      <c r="M149" s="318"/>
      <c r="N149" s="318"/>
      <c r="O149" s="318"/>
      <c r="P149" s="319">
        <f>SUM(compras_mes4[[#This Row],[NETO GRAVADO]:[Otros / No Grav.]])</f>
        <v>1068091.2</v>
      </c>
      <c r="Q149" s="320" t="str">
        <f>IFERROR(IF(compras_mes4[[#This Row],[CUIT]]="","-",VLOOKUP(compras_mes4[[#This Row],[CUIT]],Lista_CUIT[#All],3,0)),"CUIT NO CARGADO")</f>
        <v>Productos Venta</v>
      </c>
      <c r="R149" s="320">
        <f>IFERROR(IF(compras_mes4[[#This Row],[CUIT]]="","-",VLOOKUP(compras_mes4[[#This Row],[CUIT]],Lista_CUIT[#All],4,0)),"CUIT NO CARGADO")</f>
        <v>0</v>
      </c>
    </row>
    <row r="150" spans="2:18" x14ac:dyDescent="0.25">
      <c r="B150" s="40" t="s">
        <v>2418</v>
      </c>
      <c r="C150" s="41">
        <v>1</v>
      </c>
      <c r="D150" s="42">
        <v>2</v>
      </c>
      <c r="E150" s="43">
        <v>4003</v>
      </c>
      <c r="F150" s="44">
        <v>30629863571</v>
      </c>
      <c r="G150" s="45" t="str">
        <f>IFERROR(IF(compras_mes4[[#This Row],[CUIT]]="","-",VLOOKUP(compras_mes4[[#This Row],[CUIT]],Lista_CUIT[#All],2,0)),"CUIT NO CARGADO")</f>
        <v>TECNIMAR S R L</v>
      </c>
      <c r="H150" s="46">
        <v>2915564</v>
      </c>
      <c r="I150" s="85">
        <f>IF(compras_mes4[[#This Row],[NETO GRAVADO]]="","",compras_mes4[[#This Row],[NETO GRAVADO]]*0.21)</f>
        <v>612268.43999999994</v>
      </c>
      <c r="J150" s="85"/>
      <c r="K150" s="85"/>
      <c r="L150" s="85"/>
      <c r="M150" s="85"/>
      <c r="N150" s="85"/>
      <c r="O150" s="85"/>
      <c r="P150" s="48">
        <f>SUM(compras_mes4[[#This Row],[NETO GRAVADO]:[Otros / No Grav.]])</f>
        <v>3527832.44</v>
      </c>
      <c r="Q150" s="49" t="str">
        <f>IFERROR(IF(compras_mes4[[#This Row],[CUIT]]="","-",VLOOKUP(compras_mes4[[#This Row],[CUIT]],Lista_CUIT[#All],3,0)),"CUIT NO CARGADO")</f>
        <v>Productos Venta</v>
      </c>
      <c r="R150" s="49">
        <f>IFERROR(IF(compras_mes4[[#This Row],[CUIT]]="","-",VLOOKUP(compras_mes4[[#This Row],[CUIT]],Lista_CUIT[#All],4,0)),"CUIT NO CARGADO")</f>
        <v>0</v>
      </c>
    </row>
    <row r="151" spans="2:18" x14ac:dyDescent="0.25">
      <c r="B151" s="40" t="s">
        <v>2433</v>
      </c>
      <c r="C151" s="41">
        <v>1</v>
      </c>
      <c r="D151" s="42">
        <v>2</v>
      </c>
      <c r="E151" s="43">
        <v>4004</v>
      </c>
      <c r="F151" s="44">
        <v>30629863571</v>
      </c>
      <c r="G151" s="45" t="str">
        <f>IFERROR(IF(compras_mes4[[#This Row],[CUIT]]="","-",VLOOKUP(compras_mes4[[#This Row],[CUIT]],Lista_CUIT[#All],2,0)),"CUIT NO CARGADO")</f>
        <v>TECNIMAR S R L</v>
      </c>
      <c r="H151" s="46">
        <v>1562220</v>
      </c>
      <c r="I151" s="85">
        <f>IF(compras_mes4[[#This Row],[NETO GRAVADO]]="","",compras_mes4[[#This Row],[NETO GRAVADO]]*0.21)</f>
        <v>328066.2</v>
      </c>
      <c r="J151" s="85"/>
      <c r="K151" s="85"/>
      <c r="L151" s="85"/>
      <c r="M151" s="85"/>
      <c r="N151" s="85"/>
      <c r="O151" s="85"/>
      <c r="P151" s="48">
        <f>SUM(compras_mes4[[#This Row],[NETO GRAVADO]:[Otros / No Grav.]])</f>
        <v>1890286.2</v>
      </c>
      <c r="Q151" s="49" t="str">
        <f>IFERROR(IF(compras_mes4[[#This Row],[CUIT]]="","-",VLOOKUP(compras_mes4[[#This Row],[CUIT]],Lista_CUIT[#All],3,0)),"CUIT NO CARGADO")</f>
        <v>Productos Venta</v>
      </c>
      <c r="R151" s="49">
        <f>IFERROR(IF(compras_mes4[[#This Row],[CUIT]]="","-",VLOOKUP(compras_mes4[[#This Row],[CUIT]],Lista_CUIT[#All],4,0)),"CUIT NO CARGADO")</f>
        <v>0</v>
      </c>
    </row>
    <row r="152" spans="2:18" x14ac:dyDescent="0.25">
      <c r="B152" s="40" t="s">
        <v>2419</v>
      </c>
      <c r="C152" s="41">
        <v>1</v>
      </c>
      <c r="D152" s="42">
        <v>2</v>
      </c>
      <c r="E152" s="43">
        <v>4005</v>
      </c>
      <c r="F152" s="44">
        <v>30629863571</v>
      </c>
      <c r="G152" s="45" t="str">
        <f>IFERROR(IF(compras_mes4[[#This Row],[CUIT]]="","-",VLOOKUP(compras_mes4[[#This Row],[CUIT]],Lista_CUIT[#All],2,0)),"CUIT NO CARGADO")</f>
        <v>TECNIMAR S R L</v>
      </c>
      <c r="H152" s="46">
        <v>2211450</v>
      </c>
      <c r="I152" s="85">
        <f>IF(compras_mes4[[#This Row],[NETO GRAVADO]]="","",compras_mes4[[#This Row],[NETO GRAVADO]]*0.21)</f>
        <v>464404.5</v>
      </c>
      <c r="J152" s="85"/>
      <c r="K152" s="85"/>
      <c r="L152" s="85"/>
      <c r="M152" s="85"/>
      <c r="N152" s="85"/>
      <c r="O152" s="85"/>
      <c r="P152" s="48">
        <f>SUM(compras_mes4[[#This Row],[NETO GRAVADO]:[Otros / No Grav.]])</f>
        <v>2675854.5</v>
      </c>
      <c r="Q152" s="49" t="str">
        <f>IFERROR(IF(compras_mes4[[#This Row],[CUIT]]="","-",VLOOKUP(compras_mes4[[#This Row],[CUIT]],Lista_CUIT[#All],3,0)),"CUIT NO CARGADO")</f>
        <v>Productos Venta</v>
      </c>
      <c r="R152" s="49">
        <f>IFERROR(IF(compras_mes4[[#This Row],[CUIT]]="","-",VLOOKUP(compras_mes4[[#This Row],[CUIT]],Lista_CUIT[#All],4,0)),"CUIT NO CARGADO")</f>
        <v>0</v>
      </c>
    </row>
    <row r="153" spans="2:18" x14ac:dyDescent="0.25">
      <c r="B153" s="313" t="s">
        <v>2434</v>
      </c>
      <c r="C153" s="41">
        <v>1</v>
      </c>
      <c r="D153" s="314">
        <v>2</v>
      </c>
      <c r="E153" s="477">
        <v>4008</v>
      </c>
      <c r="F153" s="315">
        <v>30629863571</v>
      </c>
      <c r="G153" s="316" t="str">
        <f>IFERROR(IF(compras_mes4[[#This Row],[CUIT]]="","-",VLOOKUP(compras_mes4[[#This Row],[CUIT]],Lista_CUIT[#All],2,0)),"CUIT NO CARGADO")</f>
        <v>TECNIMAR S R L</v>
      </c>
      <c r="H153" s="317">
        <v>699865</v>
      </c>
      <c r="I153" s="85">
        <f>IF(compras_mes4[[#This Row],[NETO GRAVADO]]="","",compras_mes4[[#This Row],[NETO GRAVADO]]*0.21)</f>
        <v>146971.65</v>
      </c>
      <c r="J153" s="318"/>
      <c r="K153" s="318"/>
      <c r="L153" s="318"/>
      <c r="M153" s="318"/>
      <c r="N153" s="318"/>
      <c r="O153" s="318"/>
      <c r="P153" s="319">
        <f>SUM(compras_mes4[[#This Row],[NETO GRAVADO]:[Otros / No Grav.]])</f>
        <v>846836.65</v>
      </c>
      <c r="Q153" s="320" t="str">
        <f>IFERROR(IF(compras_mes4[[#This Row],[CUIT]]="","-",VLOOKUP(compras_mes4[[#This Row],[CUIT]],Lista_CUIT[#All],3,0)),"CUIT NO CARGADO")</f>
        <v>Productos Venta</v>
      </c>
      <c r="R153" s="320">
        <f>IFERROR(IF(compras_mes4[[#This Row],[CUIT]]="","-",VLOOKUP(compras_mes4[[#This Row],[CUIT]],Lista_CUIT[#All],4,0)),"CUIT NO CARGADO")</f>
        <v>0</v>
      </c>
    </row>
    <row r="154" spans="2:18" x14ac:dyDescent="0.25">
      <c r="B154" s="40" t="s">
        <v>2420</v>
      </c>
      <c r="C154" s="41">
        <v>1</v>
      </c>
      <c r="D154" s="42">
        <v>2</v>
      </c>
      <c r="E154" s="43">
        <v>4011</v>
      </c>
      <c r="F154" s="44">
        <v>30629863571</v>
      </c>
      <c r="G154" s="45" t="str">
        <f>IFERROR(IF(compras_mes4[[#This Row],[CUIT]]="","-",VLOOKUP(compras_mes4[[#This Row],[CUIT]],Lista_CUIT[#All],2,0)),"CUIT NO CARGADO")</f>
        <v>TECNIMAR S R L</v>
      </c>
      <c r="H154" s="46">
        <v>1672500</v>
      </c>
      <c r="I154" s="85">
        <f>IF(compras_mes4[[#This Row],[NETO GRAVADO]]="","",compras_mes4[[#This Row],[NETO GRAVADO]]*0.21)</f>
        <v>351225</v>
      </c>
      <c r="J154" s="85"/>
      <c r="K154" s="85"/>
      <c r="L154" s="85"/>
      <c r="M154" s="85"/>
      <c r="N154" s="85"/>
      <c r="O154" s="85"/>
      <c r="P154" s="48">
        <f>SUM(compras_mes4[[#This Row],[NETO GRAVADO]:[Otros / No Grav.]])</f>
        <v>2023725</v>
      </c>
      <c r="Q154" s="49" t="str">
        <f>IFERROR(IF(compras_mes4[[#This Row],[CUIT]]="","-",VLOOKUP(compras_mes4[[#This Row],[CUIT]],Lista_CUIT[#All],3,0)),"CUIT NO CARGADO")</f>
        <v>Productos Venta</v>
      </c>
      <c r="R154" s="49">
        <f>IFERROR(IF(compras_mes4[[#This Row],[CUIT]]="","-",VLOOKUP(compras_mes4[[#This Row],[CUIT]],Lista_CUIT[#All],4,0)),"CUIT NO CARGADO")</f>
        <v>0</v>
      </c>
    </row>
    <row r="155" spans="2:18" x14ac:dyDescent="0.25">
      <c r="B155" s="40" t="s">
        <v>2436</v>
      </c>
      <c r="C155" s="41">
        <v>1</v>
      </c>
      <c r="D155" s="42">
        <v>2</v>
      </c>
      <c r="E155" s="43">
        <v>4014</v>
      </c>
      <c r="F155" s="44">
        <v>30629863571</v>
      </c>
      <c r="G155" s="45" t="str">
        <f>IFERROR(IF(compras_mes4[[#This Row],[CUIT]]="","-",VLOOKUP(compras_mes4[[#This Row],[CUIT]],Lista_CUIT[#All],2,0)),"CUIT NO CARGADO")</f>
        <v>TECNIMAR S R L</v>
      </c>
      <c r="H155" s="46">
        <v>1887452</v>
      </c>
      <c r="I155" s="85">
        <f>IF(compras_mes4[[#This Row],[NETO GRAVADO]]="","",compras_mes4[[#This Row],[NETO GRAVADO]]*0.21)</f>
        <v>396364.92</v>
      </c>
      <c r="J155" s="85"/>
      <c r="K155" s="85"/>
      <c r="L155" s="85"/>
      <c r="M155" s="85"/>
      <c r="N155" s="85"/>
      <c r="O155" s="85"/>
      <c r="P155" s="48">
        <f>SUM(compras_mes4[[#This Row],[NETO GRAVADO]:[Otros / No Grav.]])</f>
        <v>2283816.92</v>
      </c>
      <c r="Q155" s="49" t="str">
        <f>IFERROR(IF(compras_mes4[[#This Row],[CUIT]]="","-",VLOOKUP(compras_mes4[[#This Row],[CUIT]],Lista_CUIT[#All],3,0)),"CUIT NO CARGADO")</f>
        <v>Productos Venta</v>
      </c>
      <c r="R155" s="49">
        <f>IFERROR(IF(compras_mes4[[#This Row],[CUIT]]="","-",VLOOKUP(compras_mes4[[#This Row],[CUIT]],Lista_CUIT[#All],4,0)),"CUIT NO CARGADO")</f>
        <v>0</v>
      </c>
    </row>
    <row r="156" spans="2:18" x14ac:dyDescent="0.25">
      <c r="B156" s="40" t="s">
        <v>2440</v>
      </c>
      <c r="C156" s="41">
        <v>1</v>
      </c>
      <c r="D156" s="42">
        <v>2</v>
      </c>
      <c r="E156" s="43">
        <v>4019</v>
      </c>
      <c r="F156" s="44">
        <v>30629863571</v>
      </c>
      <c r="G156" s="45" t="str">
        <f>IFERROR(IF(compras_mes4[[#This Row],[CUIT]]="","-",VLOOKUP(compras_mes4[[#This Row],[CUIT]],Lista_CUIT[#All],2,0)),"CUIT NO CARGADO")</f>
        <v>TECNIMAR S R L</v>
      </c>
      <c r="H156" s="46">
        <v>2837176</v>
      </c>
      <c r="I156" s="85">
        <f>IF(compras_mes4[[#This Row],[NETO GRAVADO]]="","",compras_mes4[[#This Row],[NETO GRAVADO]]*0.21)</f>
        <v>595806.96</v>
      </c>
      <c r="J156" s="85"/>
      <c r="K156" s="85"/>
      <c r="L156" s="85"/>
      <c r="M156" s="85"/>
      <c r="N156" s="85"/>
      <c r="O156" s="85"/>
      <c r="P156" s="48">
        <f>SUM(compras_mes4[[#This Row],[NETO GRAVADO]:[Otros / No Grav.]])</f>
        <v>3432982.96</v>
      </c>
      <c r="Q156" s="49" t="str">
        <f>IFERROR(IF(compras_mes4[[#This Row],[CUIT]]="","-",VLOOKUP(compras_mes4[[#This Row],[CUIT]],Lista_CUIT[#All],3,0)),"CUIT NO CARGADO")</f>
        <v>Productos Venta</v>
      </c>
      <c r="R156" s="49">
        <f>IFERROR(IF(compras_mes4[[#This Row],[CUIT]]="","-",VLOOKUP(compras_mes4[[#This Row],[CUIT]],Lista_CUIT[#All],4,0)),"CUIT NO CARGADO")</f>
        <v>0</v>
      </c>
    </row>
    <row r="157" spans="2:18" x14ac:dyDescent="0.25">
      <c r="B157" s="40" t="s">
        <v>2426</v>
      </c>
      <c r="C157" s="41">
        <v>1</v>
      </c>
      <c r="D157" s="42">
        <v>2</v>
      </c>
      <c r="E157" s="43">
        <v>4022</v>
      </c>
      <c r="F157" s="44">
        <v>30629863571</v>
      </c>
      <c r="G157" s="45" t="str">
        <f>IFERROR(IF(compras_mes4[[#This Row],[CUIT]]="","-",VLOOKUP(compras_mes4[[#This Row],[CUIT]],Lista_CUIT[#All],2,0)),"CUIT NO CARGADO")</f>
        <v>TECNIMAR S R L</v>
      </c>
      <c r="H157" s="46">
        <v>2437675</v>
      </c>
      <c r="I157" s="85">
        <f>IF(compras_mes4[[#This Row],[NETO GRAVADO]]="","",compras_mes4[[#This Row],[NETO GRAVADO]]*0.21)</f>
        <v>511911.75</v>
      </c>
      <c r="J157" s="85"/>
      <c r="K157" s="85"/>
      <c r="L157" s="85"/>
      <c r="M157" s="85"/>
      <c r="N157" s="85"/>
      <c r="O157" s="85"/>
      <c r="P157" s="48">
        <f>SUM(compras_mes4[[#This Row],[NETO GRAVADO]:[Otros / No Grav.]])</f>
        <v>2949586.75</v>
      </c>
      <c r="Q157" s="49" t="str">
        <f>IFERROR(IF(compras_mes4[[#This Row],[CUIT]]="","-",VLOOKUP(compras_mes4[[#This Row],[CUIT]],Lista_CUIT[#All],3,0)),"CUIT NO CARGADO")</f>
        <v>Productos Venta</v>
      </c>
      <c r="R157" s="49">
        <f>IFERROR(IF(compras_mes4[[#This Row],[CUIT]]="","-",VLOOKUP(compras_mes4[[#This Row],[CUIT]],Lista_CUIT[#All],4,0)),"CUIT NO CARGADO")</f>
        <v>0</v>
      </c>
    </row>
    <row r="158" spans="2:18" x14ac:dyDescent="0.25">
      <c r="B158" s="40" t="s">
        <v>2441</v>
      </c>
      <c r="C158" s="41">
        <v>1</v>
      </c>
      <c r="D158" s="42">
        <v>2</v>
      </c>
      <c r="E158" s="43">
        <v>4024</v>
      </c>
      <c r="F158" s="44">
        <v>30629863571</v>
      </c>
      <c r="G158" s="45" t="str">
        <f>IFERROR(IF(compras_mes4[[#This Row],[CUIT]]="","-",VLOOKUP(compras_mes4[[#This Row],[CUIT]],Lista_CUIT[#All],2,0)),"CUIT NO CARGADO")</f>
        <v>TECNIMAR S R L</v>
      </c>
      <c r="H158" s="46">
        <v>434400</v>
      </c>
      <c r="I158" s="85">
        <f>IF(compras_mes4[[#This Row],[NETO GRAVADO]]="","",compras_mes4[[#This Row],[NETO GRAVADO]]*0.21)</f>
        <v>91224</v>
      </c>
      <c r="J158" s="85"/>
      <c r="K158" s="85"/>
      <c r="L158" s="85"/>
      <c r="M158" s="85"/>
      <c r="N158" s="85"/>
      <c r="O158" s="85"/>
      <c r="P158" s="48">
        <f>SUM(compras_mes4[[#This Row],[NETO GRAVADO]:[Otros / No Grav.]])</f>
        <v>525624</v>
      </c>
      <c r="Q158" s="49" t="str">
        <f>IFERROR(IF(compras_mes4[[#This Row],[CUIT]]="","-",VLOOKUP(compras_mes4[[#This Row],[CUIT]],Lista_CUIT[#All],3,0)),"CUIT NO CARGADO")</f>
        <v>Productos Venta</v>
      </c>
      <c r="R158" s="49">
        <f>IFERROR(IF(compras_mes4[[#This Row],[CUIT]]="","-",VLOOKUP(compras_mes4[[#This Row],[CUIT]],Lista_CUIT[#All],4,0)),"CUIT NO CARGADO")</f>
        <v>0</v>
      </c>
    </row>
    <row r="159" spans="2:18" x14ac:dyDescent="0.25">
      <c r="B159" s="40" t="s">
        <v>2427</v>
      </c>
      <c r="C159" s="41">
        <v>1</v>
      </c>
      <c r="D159" s="42">
        <v>2</v>
      </c>
      <c r="E159" s="43">
        <v>4025</v>
      </c>
      <c r="F159" s="44">
        <v>30629863571</v>
      </c>
      <c r="G159" s="45" t="str">
        <f>IFERROR(IF(compras_mes4[[#This Row],[CUIT]]="","-",VLOOKUP(compras_mes4[[#This Row],[CUIT]],Lista_CUIT[#All],2,0)),"CUIT NO CARGADO")</f>
        <v>TECNIMAR S R L</v>
      </c>
      <c r="H159" s="46">
        <v>1039034</v>
      </c>
      <c r="I159" s="85">
        <f>IF(compras_mes4[[#This Row],[NETO GRAVADO]]="","",compras_mes4[[#This Row],[NETO GRAVADO]]*0.21)</f>
        <v>218197.13999999998</v>
      </c>
      <c r="J159" s="85"/>
      <c r="K159" s="85"/>
      <c r="L159" s="85"/>
      <c r="M159" s="85"/>
      <c r="N159" s="85"/>
      <c r="O159" s="85"/>
      <c r="P159" s="48">
        <f>SUM(compras_mes4[[#This Row],[NETO GRAVADO]:[Otros / No Grav.]])</f>
        <v>1257231.1399999999</v>
      </c>
      <c r="Q159" s="49" t="str">
        <f>IFERROR(IF(compras_mes4[[#This Row],[CUIT]]="","-",VLOOKUP(compras_mes4[[#This Row],[CUIT]],Lista_CUIT[#All],3,0)),"CUIT NO CARGADO")</f>
        <v>Productos Venta</v>
      </c>
      <c r="R159" s="49">
        <f>IFERROR(IF(compras_mes4[[#This Row],[CUIT]]="","-",VLOOKUP(compras_mes4[[#This Row],[CUIT]],Lista_CUIT[#All],4,0)),"CUIT NO CARGADO")</f>
        <v>0</v>
      </c>
    </row>
    <row r="160" spans="2:18" x14ac:dyDescent="0.25">
      <c r="B160" s="40" t="s">
        <v>2443</v>
      </c>
      <c r="C160" s="41">
        <v>1</v>
      </c>
      <c r="D160" s="42">
        <v>2</v>
      </c>
      <c r="E160" s="43">
        <v>4032</v>
      </c>
      <c r="F160" s="44">
        <v>30629863571</v>
      </c>
      <c r="G160" s="45" t="str">
        <f>IFERROR(IF(compras_mes4[[#This Row],[CUIT]]="","-",VLOOKUP(compras_mes4[[#This Row],[CUIT]],Lista_CUIT[#All],2,0)),"CUIT NO CARGADO")</f>
        <v>TECNIMAR S R L</v>
      </c>
      <c r="H160" s="46">
        <v>1029776</v>
      </c>
      <c r="I160" s="85">
        <f>IF(compras_mes4[[#This Row],[NETO GRAVADO]]="","",compras_mes4[[#This Row],[NETO GRAVADO]]*0.21)</f>
        <v>216252.96</v>
      </c>
      <c r="J160" s="85"/>
      <c r="K160" s="85"/>
      <c r="L160" s="85"/>
      <c r="M160" s="85"/>
      <c r="N160" s="85"/>
      <c r="O160" s="85"/>
      <c r="P160" s="48">
        <f>SUM(compras_mes4[[#This Row],[NETO GRAVADO]:[Otros / No Grav.]])</f>
        <v>1246028.96</v>
      </c>
      <c r="Q160" s="49" t="str">
        <f>IFERROR(IF(compras_mes4[[#This Row],[CUIT]]="","-",VLOOKUP(compras_mes4[[#This Row],[CUIT]],Lista_CUIT[#All],3,0)),"CUIT NO CARGADO")</f>
        <v>Productos Venta</v>
      </c>
      <c r="R160" s="49">
        <f>IFERROR(IF(compras_mes4[[#This Row],[CUIT]]="","-",VLOOKUP(compras_mes4[[#This Row],[CUIT]],Lista_CUIT[#All],4,0)),"CUIT NO CARGADO")</f>
        <v>0</v>
      </c>
    </row>
    <row r="161" spans="2:18" x14ac:dyDescent="0.25">
      <c r="B161" s="313" t="s">
        <v>2430</v>
      </c>
      <c r="C161" s="41">
        <v>1</v>
      </c>
      <c r="D161" s="314">
        <v>2</v>
      </c>
      <c r="E161" s="477">
        <v>4034</v>
      </c>
      <c r="F161" s="315">
        <v>30629863571</v>
      </c>
      <c r="G161" s="316" t="str">
        <f>IFERROR(IF(compras_mes4[[#This Row],[CUIT]]="","-",VLOOKUP(compras_mes4[[#This Row],[CUIT]],Lista_CUIT[#All],2,0)),"CUIT NO CARGADO")</f>
        <v>TECNIMAR S R L</v>
      </c>
      <c r="H161" s="317">
        <v>2176618</v>
      </c>
      <c r="I161" s="85">
        <f>IF(compras_mes4[[#This Row],[NETO GRAVADO]]="","",compras_mes4[[#This Row],[NETO GRAVADO]]*0.21)</f>
        <v>457089.77999999997</v>
      </c>
      <c r="J161" s="318"/>
      <c r="K161" s="318"/>
      <c r="L161" s="318"/>
      <c r="M161" s="318"/>
      <c r="N161" s="318"/>
      <c r="O161" s="318"/>
      <c r="P161" s="319">
        <f>SUM(compras_mes4[[#This Row],[NETO GRAVADO]:[Otros / No Grav.]])</f>
        <v>2633707.7799999998</v>
      </c>
      <c r="Q161" s="320" t="str">
        <f>IFERROR(IF(compras_mes4[[#This Row],[CUIT]]="","-",VLOOKUP(compras_mes4[[#This Row],[CUIT]],Lista_CUIT[#All],3,0)),"CUIT NO CARGADO")</f>
        <v>Productos Venta</v>
      </c>
      <c r="R161" s="320">
        <f>IFERROR(IF(compras_mes4[[#This Row],[CUIT]]="","-",VLOOKUP(compras_mes4[[#This Row],[CUIT]],Lista_CUIT[#All],4,0)),"CUIT NO CARGADO")</f>
        <v>0</v>
      </c>
    </row>
    <row r="162" spans="2:18" x14ac:dyDescent="0.25">
      <c r="B162" s="40" t="s">
        <v>2416</v>
      </c>
      <c r="C162" s="41">
        <v>1</v>
      </c>
      <c r="D162" s="42">
        <v>63</v>
      </c>
      <c r="E162" s="43">
        <v>3252788</v>
      </c>
      <c r="F162" s="44">
        <v>30640897267</v>
      </c>
      <c r="G162" s="45" t="str">
        <f>IFERROR(IF(compras_mes4[[#This Row],[CUIT]]="","-",VLOOKUP(compras_mes4[[#This Row],[CUIT]],Lista_CUIT[#All],2,0)),"CUIT NO CARGADO")</f>
        <v>TELECENTRO S.A.</v>
      </c>
      <c r="H162" s="46">
        <v>31966.78</v>
      </c>
      <c r="I162" s="85">
        <f>IF(compras_mes4[[#This Row],[NETO GRAVADO]]="","",compras_mes4[[#This Row],[NETO GRAVADO]]*0.21)</f>
        <v>6713.0237999999999</v>
      </c>
      <c r="J162" s="85"/>
      <c r="K162" s="85"/>
      <c r="L162" s="85">
        <v>959</v>
      </c>
      <c r="M162" s="85"/>
      <c r="N162" s="85">
        <v>1918.01</v>
      </c>
      <c r="O162" s="85"/>
      <c r="P162" s="48">
        <f>SUM(compras_mes4[[#This Row],[NETO GRAVADO]:[Otros / No Grav.]])</f>
        <v>41556.813800000004</v>
      </c>
      <c r="Q162" s="49" t="str">
        <f>IFERROR(IF(compras_mes4[[#This Row],[CUIT]]="","-",VLOOKUP(compras_mes4[[#This Row],[CUIT]],Lista_CUIT[#All],3,0)),"CUIT NO CARGADO")</f>
        <v>Servicios Gas, Luz, etc.</v>
      </c>
      <c r="R162" s="49">
        <f>IFERROR(IF(compras_mes4[[#This Row],[CUIT]]="","-",VLOOKUP(compras_mes4[[#This Row],[CUIT]],Lista_CUIT[#All],4,0)),"CUIT NO CARGADO")</f>
        <v>0</v>
      </c>
    </row>
    <row r="163" spans="2:18" x14ac:dyDescent="0.25">
      <c r="B163" s="40" t="s">
        <v>2416</v>
      </c>
      <c r="C163" s="41">
        <v>1</v>
      </c>
      <c r="D163" s="42">
        <v>63</v>
      </c>
      <c r="E163" s="43">
        <v>3253906</v>
      </c>
      <c r="F163" s="44">
        <v>30640897267</v>
      </c>
      <c r="G163" s="45" t="str">
        <f>IFERROR(IF(compras_mes4[[#This Row],[CUIT]]="","-",VLOOKUP(compras_mes4[[#This Row],[CUIT]],Lista_CUIT[#All],2,0)),"CUIT NO CARGADO")</f>
        <v>TELECENTRO S.A.</v>
      </c>
      <c r="H163" s="46">
        <v>31966.78</v>
      </c>
      <c r="I163" s="85">
        <f>IF(compras_mes4[[#This Row],[NETO GRAVADO]]="","",compras_mes4[[#This Row],[NETO GRAVADO]]*0.21)</f>
        <v>6713.0237999999999</v>
      </c>
      <c r="J163" s="85"/>
      <c r="K163" s="85"/>
      <c r="L163" s="85">
        <v>959</v>
      </c>
      <c r="M163" s="85"/>
      <c r="N163" s="85">
        <v>1918.01</v>
      </c>
      <c r="O163" s="85"/>
      <c r="P163" s="48">
        <f>SUM(compras_mes4[[#This Row],[NETO GRAVADO]:[Otros / No Grav.]])</f>
        <v>41556.813800000004</v>
      </c>
      <c r="Q163" s="49" t="str">
        <f>IFERROR(IF(compras_mes4[[#This Row],[CUIT]]="","-",VLOOKUP(compras_mes4[[#This Row],[CUIT]],Lista_CUIT[#All],3,0)),"CUIT NO CARGADO")</f>
        <v>Servicios Gas, Luz, etc.</v>
      </c>
      <c r="R163" s="49">
        <f>IFERROR(IF(compras_mes4[[#This Row],[CUIT]]="","-",VLOOKUP(compras_mes4[[#This Row],[CUIT]],Lista_CUIT[#All],4,0)),"CUIT NO CARGADO")</f>
        <v>0</v>
      </c>
    </row>
    <row r="164" spans="2:18" x14ac:dyDescent="0.25">
      <c r="B164" s="40" t="s">
        <v>2419</v>
      </c>
      <c r="C164" s="41">
        <v>1</v>
      </c>
      <c r="D164" s="42">
        <v>5722</v>
      </c>
      <c r="E164" s="43">
        <v>132289</v>
      </c>
      <c r="F164" s="44">
        <v>30639453738</v>
      </c>
      <c r="G164" s="45" t="str">
        <f>IFERROR(IF(compras_mes4[[#This Row],[CUIT]]="","-",VLOOKUP(compras_mes4[[#This Row],[CUIT]],Lista_CUIT[#All],2,0)),"CUIT NO CARGADO")</f>
        <v>TELECOM ARG SA</v>
      </c>
      <c r="H164" s="46">
        <v>0.01</v>
      </c>
      <c r="I164" s="85">
        <f>IF(compras_mes4[[#This Row],[NETO GRAVADO]]="","",compras_mes4[[#This Row],[NETO GRAVADO]]*0.21)</f>
        <v>2.0999999999999999E-3</v>
      </c>
      <c r="J164" s="85"/>
      <c r="K164" s="85"/>
      <c r="L164" s="85"/>
      <c r="M164" s="85"/>
      <c r="N164" s="85"/>
      <c r="O164" s="85"/>
      <c r="P164" s="48">
        <f>SUM(compras_mes4[[#This Row],[NETO GRAVADO]:[Otros / No Grav.]])</f>
        <v>1.21E-2</v>
      </c>
      <c r="Q164" s="49" t="str">
        <f>IFERROR(IF(compras_mes4[[#This Row],[CUIT]]="","-",VLOOKUP(compras_mes4[[#This Row],[CUIT]],Lista_CUIT[#All],3,0)),"CUIT NO CARGADO")</f>
        <v>Servicios Gas, Luz, etc.</v>
      </c>
      <c r="R164" s="49">
        <f>IFERROR(IF(compras_mes4[[#This Row],[CUIT]]="","-",VLOOKUP(compras_mes4[[#This Row],[CUIT]],Lista_CUIT[#All],4,0)),"CUIT NO CARGADO")</f>
        <v>0</v>
      </c>
    </row>
    <row r="165" spans="2:18" x14ac:dyDescent="0.25">
      <c r="B165" s="40" t="s">
        <v>2434</v>
      </c>
      <c r="C165" s="41">
        <v>1</v>
      </c>
      <c r="D165" s="42">
        <v>6364</v>
      </c>
      <c r="E165" s="43">
        <v>9025455</v>
      </c>
      <c r="F165" s="44">
        <v>30639453738</v>
      </c>
      <c r="G165" s="45" t="str">
        <f>IFERROR(IF(compras_mes4[[#This Row],[CUIT]]="","-",VLOOKUP(compras_mes4[[#This Row],[CUIT]],Lista_CUIT[#All],2,0)),"CUIT NO CARGADO")</f>
        <v>TELECOM ARG SA</v>
      </c>
      <c r="H165" s="46">
        <v>306090.28000000003</v>
      </c>
      <c r="I165" s="85">
        <v>64113.16</v>
      </c>
      <c r="J165" s="85">
        <v>213.17</v>
      </c>
      <c r="K165" s="85"/>
      <c r="L165" s="85"/>
      <c r="M165" s="85">
        <v>17172.990000000002</v>
      </c>
      <c r="N165" s="85"/>
      <c r="O165" s="85">
        <v>9259.08</v>
      </c>
      <c r="P165" s="48">
        <f>SUM(compras_mes4[[#This Row],[NETO GRAVADO]:[Otros / No Grav.]])</f>
        <v>396848.68000000005</v>
      </c>
      <c r="Q165" s="49" t="str">
        <f>IFERROR(IF(compras_mes4[[#This Row],[CUIT]]="","-",VLOOKUP(compras_mes4[[#This Row],[CUIT]],Lista_CUIT[#All],3,0)),"CUIT NO CARGADO")</f>
        <v>Servicios Gas, Luz, etc.</v>
      </c>
      <c r="R165" s="49">
        <f>IFERROR(IF(compras_mes4[[#This Row],[CUIT]]="","-",VLOOKUP(compras_mes4[[#This Row],[CUIT]],Lista_CUIT[#All],4,0)),"CUIT NO CARGADO")</f>
        <v>0</v>
      </c>
    </row>
    <row r="166" spans="2:18" x14ac:dyDescent="0.25">
      <c r="B166" s="40" t="s">
        <v>2438</v>
      </c>
      <c r="C166" s="41">
        <v>1</v>
      </c>
      <c r="D166" s="42">
        <v>4264</v>
      </c>
      <c r="E166" s="43">
        <v>5230653</v>
      </c>
      <c r="F166" s="44">
        <v>30639453738</v>
      </c>
      <c r="G166" s="45" t="str">
        <f>IFERROR(IF(compras_mes4[[#This Row],[CUIT]]="","-",VLOOKUP(compras_mes4[[#This Row],[CUIT]],Lista_CUIT[#All],2,0)),"CUIT NO CARGADO")</f>
        <v>TELECOM ARG SA</v>
      </c>
      <c r="H166" s="46">
        <v>19010</v>
      </c>
      <c r="I166" s="85">
        <f>IF(compras_mes4[[#This Row],[NETO GRAVADO]]="","",compras_mes4[[#This Row],[NETO GRAVADO]]*0.21)</f>
        <v>3992.1</v>
      </c>
      <c r="J166" s="85"/>
      <c r="K166" s="85"/>
      <c r="L166" s="85"/>
      <c r="M166" s="85">
        <v>570.29999999999995</v>
      </c>
      <c r="N166" s="85"/>
      <c r="O166" s="85"/>
      <c r="P166" s="48">
        <f>SUM(compras_mes4[[#This Row],[NETO GRAVADO]:[Otros / No Grav.]])</f>
        <v>23572.399999999998</v>
      </c>
      <c r="Q166" s="49" t="str">
        <f>IFERROR(IF(compras_mes4[[#This Row],[CUIT]]="","-",VLOOKUP(compras_mes4[[#This Row],[CUIT]],Lista_CUIT[#All],3,0)),"CUIT NO CARGADO")</f>
        <v>Servicios Gas, Luz, etc.</v>
      </c>
      <c r="R166" s="49">
        <f>IFERROR(IF(compras_mes4[[#This Row],[CUIT]]="","-",VLOOKUP(compras_mes4[[#This Row],[CUIT]],Lista_CUIT[#All],4,0)),"CUIT NO CARGADO")</f>
        <v>0</v>
      </c>
    </row>
    <row r="167" spans="2:18" ht="19.149999999999999" customHeight="1" x14ac:dyDescent="0.25">
      <c r="B167" s="40" t="s">
        <v>2438</v>
      </c>
      <c r="C167" s="41">
        <v>1</v>
      </c>
      <c r="D167" s="42">
        <v>4264</v>
      </c>
      <c r="E167" s="43">
        <v>5267642</v>
      </c>
      <c r="F167" s="44">
        <v>30639453738</v>
      </c>
      <c r="G167" s="45" t="str">
        <f>IFERROR(IF(compras_mes4[[#This Row],[CUIT]]="","-",VLOOKUP(compras_mes4[[#This Row],[CUIT]],Lista_CUIT[#All],2,0)),"CUIT NO CARGADO")</f>
        <v>TELECOM ARG SA</v>
      </c>
      <c r="H167" s="46">
        <v>28760</v>
      </c>
      <c r="I167" s="85">
        <f>IF(compras_mes4[[#This Row],[NETO GRAVADO]]="","",compras_mes4[[#This Row],[NETO GRAVADO]]*0.21)</f>
        <v>6039.5999999999995</v>
      </c>
      <c r="J167" s="85"/>
      <c r="K167" s="85"/>
      <c r="L167" s="85"/>
      <c r="M167" s="85">
        <v>2588.4</v>
      </c>
      <c r="N167" s="85"/>
      <c r="O167" s="85"/>
      <c r="P167" s="48">
        <f>SUM(compras_mes4[[#This Row],[NETO GRAVADO]:[Otros / No Grav.]])</f>
        <v>37388</v>
      </c>
      <c r="Q167" s="49" t="str">
        <f>IFERROR(IF(compras_mes4[[#This Row],[CUIT]]="","-",VLOOKUP(compras_mes4[[#This Row],[CUIT]],Lista_CUIT[#All],3,0)),"CUIT NO CARGADO")</f>
        <v>Servicios Gas, Luz, etc.</v>
      </c>
      <c r="R167" s="49">
        <f>IFERROR(IF(compras_mes4[[#This Row],[CUIT]]="","-",VLOOKUP(compras_mes4[[#This Row],[CUIT]],Lista_CUIT[#All],4,0)),"CUIT NO CARGADO")</f>
        <v>0</v>
      </c>
    </row>
    <row r="168" spans="2:18" ht="19.149999999999999" customHeight="1" x14ac:dyDescent="0.25">
      <c r="B168" s="40" t="s">
        <v>2441</v>
      </c>
      <c r="C168" s="41">
        <v>1</v>
      </c>
      <c r="D168" s="42">
        <v>5743</v>
      </c>
      <c r="E168" s="43">
        <v>3064</v>
      </c>
      <c r="F168" s="44">
        <v>30639453738</v>
      </c>
      <c r="G168" s="45" t="str">
        <f>IFERROR(IF(compras_mes4[[#This Row],[CUIT]]="","-",VLOOKUP(compras_mes4[[#This Row],[CUIT]],Lista_CUIT[#All],2,0)),"CUIT NO CARGADO")</f>
        <v>TELECOM ARG SA</v>
      </c>
      <c r="H168" s="46">
        <v>0.01</v>
      </c>
      <c r="I168" s="85">
        <f>IF(compras_mes4[[#This Row],[NETO GRAVADO]]="","",compras_mes4[[#This Row],[NETO GRAVADO]]*0.21)</f>
        <v>2.0999999999999999E-3</v>
      </c>
      <c r="J168" s="85"/>
      <c r="K168" s="85"/>
      <c r="L168" s="85"/>
      <c r="M168" s="85"/>
      <c r="N168" s="85"/>
      <c r="O168" s="85"/>
      <c r="P168" s="48">
        <f>SUM(compras_mes4[[#This Row],[NETO GRAVADO]:[Otros / No Grav.]])</f>
        <v>1.21E-2</v>
      </c>
      <c r="Q168" s="49" t="str">
        <f>IFERROR(IF(compras_mes4[[#This Row],[CUIT]]="","-",VLOOKUP(compras_mes4[[#This Row],[CUIT]],Lista_CUIT[#All],3,0)),"CUIT NO CARGADO")</f>
        <v>Servicios Gas, Luz, etc.</v>
      </c>
      <c r="R168" s="49">
        <f>IFERROR(IF(compras_mes4[[#This Row],[CUIT]]="","-",VLOOKUP(compras_mes4[[#This Row],[CUIT]],Lista_CUIT[#All],4,0)),"CUIT NO CARGADO")</f>
        <v>0</v>
      </c>
    </row>
    <row r="169" spans="2:18" ht="19.149999999999999" customHeight="1" x14ac:dyDescent="0.25">
      <c r="B169" s="40" t="s">
        <v>2415</v>
      </c>
      <c r="C169" s="41">
        <v>1</v>
      </c>
      <c r="D169" s="42">
        <v>3099</v>
      </c>
      <c r="E169" s="43">
        <v>420259</v>
      </c>
      <c r="F169" s="44">
        <v>30678814357</v>
      </c>
      <c r="G169" s="45" t="str">
        <f>IFERROR(IF(compras_mes4[[#This Row],[CUIT]]="","-",VLOOKUP(compras_mes4[[#This Row],[CUIT]],Lista_CUIT[#All],2,0)),"CUIT NO CARGADO")</f>
        <v>TELEFONICA MOVILES ARG</v>
      </c>
      <c r="H169" s="46">
        <v>36570</v>
      </c>
      <c r="I169" s="85" t="s">
        <v>2411</v>
      </c>
      <c r="J169" s="85">
        <f>compras_mes4[[#This Row],[NETO GRAVADO]]*0.27</f>
        <v>9873.9000000000015</v>
      </c>
      <c r="K169" s="85"/>
      <c r="L169" s="85">
        <v>1097.0999999999999</v>
      </c>
      <c r="M169" s="85"/>
      <c r="N169" s="85">
        <v>2194.1999999999998</v>
      </c>
      <c r="O169" s="85"/>
      <c r="P169" s="48">
        <f>SUM(compras_mes4[[#This Row],[NETO GRAVADO]:[Otros / No Grav.]])</f>
        <v>49735.199999999997</v>
      </c>
      <c r="Q169" s="49" t="str">
        <f>IFERROR(IF(compras_mes4[[#This Row],[CUIT]]="","-",VLOOKUP(compras_mes4[[#This Row],[CUIT]],Lista_CUIT[#All],3,0)),"CUIT NO CARGADO")</f>
        <v>Servicios Gas, Luz, etc.</v>
      </c>
      <c r="R169" s="49">
        <f>IFERROR(IF(compras_mes4[[#This Row],[CUIT]]="","-",VLOOKUP(compras_mes4[[#This Row],[CUIT]],Lista_CUIT[#All],4,0)),"CUIT NO CARGADO")</f>
        <v>0</v>
      </c>
    </row>
    <row r="170" spans="2:18" ht="19.149999999999999" customHeight="1" x14ac:dyDescent="0.25">
      <c r="B170" s="40" t="s">
        <v>2419</v>
      </c>
      <c r="C170" s="41">
        <v>1</v>
      </c>
      <c r="D170" s="42">
        <v>3101</v>
      </c>
      <c r="E170" s="43">
        <v>285814</v>
      </c>
      <c r="F170" s="44">
        <v>30678814357</v>
      </c>
      <c r="G170" s="45" t="str">
        <f>IFERROR(IF(compras_mes4[[#This Row],[CUIT]]="","-",VLOOKUP(compras_mes4[[#This Row],[CUIT]],Lista_CUIT[#All],2,0)),"CUIT NO CARGADO")</f>
        <v>TELEFONICA MOVILES ARG</v>
      </c>
      <c r="H170" s="46">
        <v>16839.2</v>
      </c>
      <c r="I170" s="85" t="s">
        <v>2411</v>
      </c>
      <c r="J170" s="85">
        <v>4546.58</v>
      </c>
      <c r="K170" s="85"/>
      <c r="L170" s="85">
        <v>505.18</v>
      </c>
      <c r="M170" s="85"/>
      <c r="N170" s="85">
        <v>1010.35</v>
      </c>
      <c r="O170" s="85"/>
      <c r="P170" s="48">
        <f>SUM(compras_mes4[[#This Row],[NETO GRAVADO]:[Otros / No Grav.]])</f>
        <v>22901.309999999998</v>
      </c>
      <c r="Q170" s="49" t="str">
        <f>IFERROR(IF(compras_mes4[[#This Row],[CUIT]]="","-",VLOOKUP(compras_mes4[[#This Row],[CUIT]],Lista_CUIT[#All],3,0)),"CUIT NO CARGADO")</f>
        <v>Servicios Gas, Luz, etc.</v>
      </c>
      <c r="R170" s="49">
        <f>IFERROR(IF(compras_mes4[[#This Row],[CUIT]]="","-",VLOOKUP(compras_mes4[[#This Row],[CUIT]],Lista_CUIT[#All],4,0)),"CUIT NO CARGADO")</f>
        <v>0</v>
      </c>
    </row>
    <row r="171" spans="2:18" ht="19.149999999999999" customHeight="1" x14ac:dyDescent="0.25">
      <c r="B171" s="467">
        <v>45757</v>
      </c>
      <c r="C171" s="468">
        <v>1</v>
      </c>
      <c r="D171" s="469">
        <v>4</v>
      </c>
      <c r="E171" s="470">
        <v>250057013</v>
      </c>
      <c r="F171" s="471">
        <v>30678814357</v>
      </c>
      <c r="G171" s="472" t="str">
        <f>IFERROR(IF(compras_mes4[[#This Row],[CUIT]]="","-",VLOOKUP(compras_mes4[[#This Row],[CUIT]],Lista_CUIT[#All],2,0)),"CUIT NO CARGADO")</f>
        <v>TELEFONICA MOVILES ARG</v>
      </c>
      <c r="H171" s="473"/>
      <c r="I171" s="435" t="str">
        <f>IF(compras_mes4[[#This Row],[NETO GRAVADO]]="","",compras_mes4[[#This Row],[NETO GRAVADO]]*0.21)</f>
        <v/>
      </c>
      <c r="J171" s="474"/>
      <c r="K171" s="474"/>
      <c r="L171" s="474"/>
      <c r="M171" s="474"/>
      <c r="N171" s="474"/>
      <c r="O171" s="474">
        <v>44958</v>
      </c>
      <c r="P171" s="475">
        <f>SUM(compras_mes4[[#This Row],[NETO GRAVADO]:[Otros / No Grav.]])</f>
        <v>44958</v>
      </c>
      <c r="Q171" s="476" t="str">
        <f>IFERROR(IF(compras_mes4[[#This Row],[CUIT]]="","-",VLOOKUP(compras_mes4[[#This Row],[CUIT]],Lista_CUIT[#All],3,0)),"CUIT NO CARGADO")</f>
        <v>Servicios Gas, Luz, etc.</v>
      </c>
      <c r="R171" s="476">
        <f>IFERROR(IF(compras_mes4[[#This Row],[CUIT]]="","-",VLOOKUP(compras_mes4[[#This Row],[CUIT]],Lista_CUIT[#All],4,0)),"CUIT NO CARGADO")</f>
        <v>0</v>
      </c>
    </row>
    <row r="172" spans="2:18" ht="19.149999999999999" customHeight="1" x14ac:dyDescent="0.25">
      <c r="B172" s="89" t="s">
        <v>2415</v>
      </c>
      <c r="C172" s="41">
        <v>1</v>
      </c>
      <c r="D172" s="90">
        <v>3</v>
      </c>
      <c r="E172" s="91">
        <v>31685</v>
      </c>
      <c r="F172" s="92">
        <v>33707953549</v>
      </c>
      <c r="G172" s="93" t="str">
        <f>IFERROR(IF(compras_mes4[[#This Row],[CUIT]]="","-",VLOOKUP(compras_mes4[[#This Row],[CUIT]],Lista_CUIT[#All],2,0)),"CUIT NO CARGADO")</f>
        <v>TELESMART</v>
      </c>
      <c r="H172" s="94">
        <v>25000</v>
      </c>
      <c r="I172" s="85">
        <f>IF(compras_mes4[[#This Row],[NETO GRAVADO]]="","",compras_mes4[[#This Row],[NETO GRAVADO]]*0.21)</f>
        <v>5250</v>
      </c>
      <c r="J172" s="86"/>
      <c r="K172" s="86"/>
      <c r="L172" s="86"/>
      <c r="M172" s="86"/>
      <c r="N172" s="86"/>
      <c r="O172" s="86"/>
      <c r="P172" s="87">
        <f>SUM(compras_mes4[[#This Row],[NETO GRAVADO]:[Otros / No Grav.]])</f>
        <v>30250</v>
      </c>
      <c r="Q172" s="88" t="str">
        <f>IFERROR(IF(compras_mes4[[#This Row],[CUIT]]="","-",VLOOKUP(compras_mes4[[#This Row],[CUIT]],Lista_CUIT[#All],3,0)),"CUIT NO CARGADO")</f>
        <v>Servicios Gas, Luz, etc.</v>
      </c>
      <c r="R172" s="88">
        <f>IFERROR(IF(compras_mes4[[#This Row],[CUIT]]="","-",VLOOKUP(compras_mes4[[#This Row],[CUIT]],Lista_CUIT[#All],4,0)),"CUIT NO CARGADO")</f>
        <v>0</v>
      </c>
    </row>
    <row r="173" spans="2:18" ht="19.149999999999999" customHeight="1" x14ac:dyDescent="0.25">
      <c r="B173" s="40" t="s">
        <v>2436</v>
      </c>
      <c r="C173" s="41">
        <v>1</v>
      </c>
      <c r="D173" s="42">
        <v>7</v>
      </c>
      <c r="E173" s="43">
        <v>2912</v>
      </c>
      <c r="F173" s="44">
        <v>20936626549</v>
      </c>
      <c r="G173" s="45" t="str">
        <f>IFERROR(IF(compras_mes4[[#This Row],[CUIT]]="","-",VLOOKUP(compras_mes4[[#This Row],[CUIT]],Lista_CUIT[#All],2,0)),"CUIT NO CARGADO")</f>
        <v>TROTTA SALVADOR</v>
      </c>
      <c r="H173" s="46">
        <v>12892.56</v>
      </c>
      <c r="I173" s="85">
        <f>IF(compras_mes4[[#This Row],[NETO GRAVADO]]="","",compras_mes4[[#This Row],[NETO GRAVADO]]*0.21)</f>
        <v>2707.4375999999997</v>
      </c>
      <c r="J173" s="85"/>
      <c r="K173" s="85"/>
      <c r="L173" s="85"/>
      <c r="M173" s="85"/>
      <c r="N173" s="85"/>
      <c r="O173" s="85"/>
      <c r="P173" s="48">
        <f>SUM(compras_mes4[[#This Row],[NETO GRAVADO]:[Otros / No Grav.]])</f>
        <v>15599.997599999999</v>
      </c>
      <c r="Q173" s="49" t="str">
        <f>IFERROR(IF(compras_mes4[[#This Row],[CUIT]]="","-",VLOOKUP(compras_mes4[[#This Row],[CUIT]],Lista_CUIT[#All],3,0)),"CUIT NO CARGADO")</f>
        <v>Materia Prima</v>
      </c>
      <c r="R173" s="49">
        <f>IFERROR(IF(compras_mes4[[#This Row],[CUIT]]="","-",VLOOKUP(compras_mes4[[#This Row],[CUIT]],Lista_CUIT[#All],4,0)),"CUIT NO CARGADO")</f>
        <v>0</v>
      </c>
    </row>
    <row r="174" spans="2:18" ht="19.149999999999999" customHeight="1" x14ac:dyDescent="0.25">
      <c r="B174" s="40" t="s">
        <v>2428</v>
      </c>
      <c r="C174" s="41">
        <v>1</v>
      </c>
      <c r="D174" s="42">
        <v>7</v>
      </c>
      <c r="E174" s="43">
        <v>2948</v>
      </c>
      <c r="F174" s="44">
        <v>20936626549</v>
      </c>
      <c r="G174" s="45" t="str">
        <f>IFERROR(IF(compras_mes4[[#This Row],[CUIT]]="","-",VLOOKUP(compras_mes4[[#This Row],[CUIT]],Lista_CUIT[#All],2,0)),"CUIT NO CARGADO")</f>
        <v>TROTTA SALVADOR</v>
      </c>
      <c r="H174" s="46">
        <v>12892.56</v>
      </c>
      <c r="I174" s="85">
        <f>IF(compras_mes4[[#This Row],[NETO GRAVADO]]="","",compras_mes4[[#This Row],[NETO GRAVADO]]*0.21)</f>
        <v>2707.4375999999997</v>
      </c>
      <c r="J174" s="85"/>
      <c r="K174" s="85"/>
      <c r="L174" s="85"/>
      <c r="M174" s="85"/>
      <c r="N174" s="85"/>
      <c r="O174" s="85"/>
      <c r="P174" s="48">
        <f>SUM(compras_mes4[[#This Row],[NETO GRAVADO]:[Otros / No Grav.]])</f>
        <v>15599.997599999999</v>
      </c>
      <c r="Q174" s="49" t="str">
        <f>IFERROR(IF(compras_mes4[[#This Row],[CUIT]]="","-",VLOOKUP(compras_mes4[[#This Row],[CUIT]],Lista_CUIT[#All],3,0)),"CUIT NO CARGADO")</f>
        <v>Materia Prima</v>
      </c>
      <c r="R174" s="49">
        <f>IFERROR(IF(compras_mes4[[#This Row],[CUIT]]="","-",VLOOKUP(compras_mes4[[#This Row],[CUIT]],Lista_CUIT[#All],4,0)),"CUIT NO CARGADO")</f>
        <v>0</v>
      </c>
    </row>
    <row r="175" spans="2:18" ht="19.149999999999999" customHeight="1" x14ac:dyDescent="0.25">
      <c r="B175" s="40" t="s">
        <v>2440</v>
      </c>
      <c r="C175" s="41">
        <v>1</v>
      </c>
      <c r="D175" s="42">
        <v>4</v>
      </c>
      <c r="E175" s="43">
        <v>2614</v>
      </c>
      <c r="F175" s="44">
        <v>20321877185</v>
      </c>
      <c r="G175" s="45" t="str">
        <f>IFERROR(IF(compras_mes4[[#This Row],[CUIT]]="","-",VLOOKUP(compras_mes4[[#This Row],[CUIT]],Lista_CUIT[#All],2,0)),"CUIT NO CARGADO")</f>
        <v>CHV</v>
      </c>
      <c r="H175" s="46">
        <v>34389.14</v>
      </c>
      <c r="I175" s="85" t="s">
        <v>2411</v>
      </c>
      <c r="J175" s="85"/>
      <c r="K175" s="85">
        <f>compras_mes4[[#This Row],[NETO GRAVADO]]*0.105</f>
        <v>3610.8597</v>
      </c>
      <c r="L175" s="85"/>
      <c r="M175" s="85"/>
      <c r="N175" s="85"/>
      <c r="O175" s="85"/>
      <c r="P175" s="48">
        <f>SUM(compras_mes4[[#This Row],[NETO GRAVADO]:[Otros / No Grav.]])</f>
        <v>37999.9997</v>
      </c>
      <c r="Q175" s="49" t="str">
        <f>IFERROR(IF(compras_mes4[[#This Row],[CUIT]]="","-",VLOOKUP(compras_mes4[[#This Row],[CUIT]],Lista_CUIT[#All],3,0)),"CUIT NO CARGADO")</f>
        <v>Muebles y Utiles</v>
      </c>
      <c r="R175" s="49">
        <f>IFERROR(IF(compras_mes4[[#This Row],[CUIT]]="","-",VLOOKUP(compras_mes4[[#This Row],[CUIT]],Lista_CUIT[#All],4,0)),"CUIT NO CARGADO")</f>
        <v>0</v>
      </c>
    </row>
    <row r="176" spans="2:18" ht="19.149999999999999" customHeight="1" x14ac:dyDescent="0.25">
      <c r="B176" s="40" t="s">
        <v>2427</v>
      </c>
      <c r="C176" s="41">
        <v>1</v>
      </c>
      <c r="D176" s="42">
        <v>1</v>
      </c>
      <c r="E176" s="43">
        <v>149</v>
      </c>
      <c r="F176" s="44">
        <v>30718148207</v>
      </c>
      <c r="G176" s="45" t="str">
        <f>IFERROR(IF(compras_mes4[[#This Row],[CUIT]]="","-",VLOOKUP(compras_mes4[[#This Row],[CUIT]],Lista_CUIT[#All],2,0)),"CUIT NO CARGADO")</f>
        <v>VIPA INTERNATIONAL S.R.L.</v>
      </c>
      <c r="H176" s="46">
        <v>1092000</v>
      </c>
      <c r="I176" s="85">
        <f>IF(compras_mes4[[#This Row],[NETO GRAVADO]]="","",compras_mes4[[#This Row],[NETO GRAVADO]]*0.21)</f>
        <v>229320</v>
      </c>
      <c r="J176" s="85"/>
      <c r="K176" s="85"/>
      <c r="L176" s="85"/>
      <c r="M176" s="85"/>
      <c r="N176" s="85"/>
      <c r="O176" s="85"/>
      <c r="P176" s="48">
        <f>SUM(compras_mes4[[#This Row],[NETO GRAVADO]:[Otros / No Grav.]])</f>
        <v>1321320</v>
      </c>
      <c r="Q176" s="49" t="str">
        <f>IFERROR(IF(compras_mes4[[#This Row],[CUIT]]="","-",VLOOKUP(compras_mes4[[#This Row],[CUIT]],Lista_CUIT[#All],3,0)),"CUIT NO CARGADO")</f>
        <v>Productos Venta</v>
      </c>
      <c r="R176" s="49">
        <f>IFERROR(IF(compras_mes4[[#This Row],[CUIT]]="","-",VLOOKUP(compras_mes4[[#This Row],[CUIT]],Lista_CUIT[#All],4,0)),"CUIT NO CARGADO")</f>
        <v>0</v>
      </c>
    </row>
    <row r="177" spans="2:18" ht="19.149999999999999" customHeight="1" x14ac:dyDescent="0.25">
      <c r="B177" s="40" t="s">
        <v>2431</v>
      </c>
      <c r="C177" s="41">
        <v>1</v>
      </c>
      <c r="D177" s="42">
        <v>6</v>
      </c>
      <c r="E177" s="43">
        <v>737</v>
      </c>
      <c r="F177" s="44">
        <v>30717906833</v>
      </c>
      <c r="G177" s="45" t="str">
        <f>IFERROR(IF(compras_mes4[[#This Row],[CUIT]]="","-",VLOOKUP(compras_mes4[[#This Row],[CUIT]],Lista_CUIT[#All],2,0)),"CUIT NO CARGADO")</f>
        <v>WALJUL</v>
      </c>
      <c r="H177" s="46">
        <v>40991.74</v>
      </c>
      <c r="I177" s="85">
        <f>IF(compras_mes4[[#This Row],[NETO GRAVADO]]="","",compras_mes4[[#This Row],[NETO GRAVADO]]*0.21)</f>
        <v>8608.2653999999984</v>
      </c>
      <c r="J177" s="85"/>
      <c r="K177" s="85"/>
      <c r="L177" s="85"/>
      <c r="M177" s="85"/>
      <c r="N177" s="85"/>
      <c r="O177" s="85"/>
      <c r="P177" s="87">
        <f>SUM(compras_mes4[[#This Row],[NETO GRAVADO]:[Otros / No Grav.]])</f>
        <v>49600.005399999995</v>
      </c>
      <c r="Q177" s="49" t="str">
        <f>IFERROR(IF(compras_mes4[[#This Row],[CUIT]]="","-",VLOOKUP(compras_mes4[[#This Row],[CUIT]],Lista_CUIT[#All],3,0)),"CUIT NO CARGADO")</f>
        <v>Gastos Varios</v>
      </c>
      <c r="R177" s="49">
        <f>IFERROR(IF(compras_mes4[[#This Row],[CUIT]]="","-",VLOOKUP(compras_mes4[[#This Row],[CUIT]],Lista_CUIT[#All],4,0)),"CUIT NO CARGADO")</f>
        <v>0</v>
      </c>
    </row>
    <row r="178" spans="2:18" ht="16.5" customHeight="1" x14ac:dyDescent="0.25">
      <c r="B178" s="95" t="s">
        <v>103</v>
      </c>
      <c r="C178" s="95"/>
      <c r="D178" s="95"/>
      <c r="E178" s="95"/>
      <c r="F178" s="95"/>
      <c r="G178" s="96"/>
      <c r="H178" s="97">
        <f>SUBTOTAL(109,compras_mes4[NETO GRAVADO])</f>
        <v>71357602.427944377</v>
      </c>
      <c r="I178" s="97">
        <f>SUBTOTAL(109,compras_mes4[IVA 21 %])</f>
        <v>14002714.765582418</v>
      </c>
      <c r="J178" s="97">
        <f>SUBTOTAL(109,compras_mes4[IVA 27%])</f>
        <v>236339.74229614277</v>
      </c>
      <c r="K178" s="97">
        <f>SUBTOTAL(109,compras_mes4[IVA 10,5%])</f>
        <v>399280.97684999998</v>
      </c>
      <c r="L178" s="97">
        <f>SUBTOTAL(109,compras_mes4[PERC. IVA])</f>
        <v>74939.470361328131</v>
      </c>
      <c r="M178" s="97">
        <f>SUBTOTAL(109,compras_mes4[PERC IIBB 
BS AS])</f>
        <v>58991.019873046891</v>
      </c>
      <c r="N178" s="97">
        <f>SUBTOTAL(109,compras_mes4[PERC. IIBB CABA])</f>
        <v>86471.67</v>
      </c>
      <c r="O178" s="97">
        <f>SUBTOTAL(109,compras_mes4[Otros / No Grav.])</f>
        <v>7936654.1508056633</v>
      </c>
      <c r="P178" s="97">
        <f>SUBTOTAL(109,compras_mes4[TOTAL])</f>
        <v>94152994.223712966</v>
      </c>
      <c r="Q178" s="95"/>
      <c r="R178" s="95"/>
    </row>
    <row r="179" spans="2:18" x14ac:dyDescent="0.25">
      <c r="B179" s="40"/>
      <c r="C179" s="41"/>
      <c r="D179" s="42"/>
      <c r="E179" s="43"/>
      <c r="F179" s="44"/>
      <c r="G179" s="45"/>
      <c r="H179" s="46"/>
      <c r="I179" s="47"/>
      <c r="J179" s="47"/>
      <c r="K179" s="47"/>
      <c r="L179" s="47"/>
    </row>
    <row r="180" spans="2:18" ht="21" x14ac:dyDescent="0.25">
      <c r="D180" s="581" t="s">
        <v>15</v>
      </c>
      <c r="E180" s="581"/>
      <c r="F180" s="581"/>
      <c r="G180" s="581"/>
      <c r="H180" s="581"/>
      <c r="I180" s="581"/>
      <c r="J180" s="581"/>
      <c r="K180" s="581"/>
      <c r="L180" s="581"/>
      <c r="O180" s="33"/>
    </row>
    <row r="181" spans="2:18" ht="15.75" x14ac:dyDescent="0.25">
      <c r="D181" s="73" t="s">
        <v>0</v>
      </c>
      <c r="E181" s="74" t="s">
        <v>26</v>
      </c>
      <c r="F181" s="74" t="s">
        <v>16</v>
      </c>
      <c r="G181" s="74" t="s">
        <v>5</v>
      </c>
      <c r="H181" s="74" t="s">
        <v>17</v>
      </c>
      <c r="I181" s="74" t="s">
        <v>7</v>
      </c>
      <c r="J181" s="75" t="s">
        <v>18</v>
      </c>
      <c r="K181" s="75" t="s">
        <v>19</v>
      </c>
      <c r="L181" s="76" t="s">
        <v>20</v>
      </c>
      <c r="O181" s="274"/>
    </row>
    <row r="182" spans="2:18" x14ac:dyDescent="0.25">
      <c r="D182" s="50"/>
      <c r="E182" s="159"/>
      <c r="F182" s="154" t="s">
        <v>2445</v>
      </c>
      <c r="G182" s="81">
        <v>1970.27</v>
      </c>
      <c r="H182" s="81">
        <v>413.12459999999999</v>
      </c>
      <c r="I182" s="81">
        <v>0.31604999999999994</v>
      </c>
      <c r="J182" s="81"/>
      <c r="K182" s="81"/>
      <c r="L182" s="81"/>
      <c r="O182" s="33"/>
    </row>
    <row r="183" spans="2:18" x14ac:dyDescent="0.25">
      <c r="D183" s="50"/>
      <c r="E183" s="159"/>
      <c r="F183" s="154" t="s">
        <v>2379</v>
      </c>
      <c r="G183" s="81">
        <v>5619.83</v>
      </c>
      <c r="H183" s="81">
        <v>1180.1642999999999</v>
      </c>
      <c r="I183" s="81"/>
      <c r="J183" s="81">
        <v>10708.88</v>
      </c>
      <c r="K183" s="81">
        <v>271.55</v>
      </c>
      <c r="L183" s="81"/>
    </row>
    <row r="184" spans="2:18" x14ac:dyDescent="0.25">
      <c r="D184" s="50"/>
      <c r="E184" s="159"/>
      <c r="F184" s="154" t="s">
        <v>2375</v>
      </c>
      <c r="G184" s="81">
        <v>38000</v>
      </c>
      <c r="H184" s="81">
        <v>7980</v>
      </c>
      <c r="I184" s="81"/>
      <c r="J184" s="81">
        <v>732383.52</v>
      </c>
      <c r="K184" s="81">
        <v>1140</v>
      </c>
      <c r="L184" s="81"/>
    </row>
    <row r="185" spans="2:18" x14ac:dyDescent="0.25">
      <c r="D185" s="50"/>
      <c r="E185" s="159"/>
      <c r="F185" s="80" t="s">
        <v>2446</v>
      </c>
      <c r="G185" s="81">
        <v>930686</v>
      </c>
      <c r="H185" s="81">
        <v>195444.06</v>
      </c>
      <c r="I185" s="81"/>
      <c r="J185" s="81">
        <v>1605489.6</v>
      </c>
      <c r="K185" s="81">
        <v>17838.760000000002</v>
      </c>
      <c r="L185" s="81"/>
    </row>
    <row r="186" spans="2:18" x14ac:dyDescent="0.25">
      <c r="D186" s="50"/>
      <c r="E186" s="159"/>
      <c r="F186" s="80" t="s">
        <v>2377</v>
      </c>
      <c r="G186" s="81">
        <v>96710</v>
      </c>
      <c r="H186" s="81">
        <v>20309.099999999999</v>
      </c>
      <c r="I186" s="81"/>
      <c r="J186" s="81">
        <v>7034.05</v>
      </c>
      <c r="K186" s="81">
        <v>3141.51</v>
      </c>
      <c r="L186" s="81"/>
    </row>
    <row r="187" spans="2:18" x14ac:dyDescent="0.25">
      <c r="D187" s="50"/>
      <c r="E187" s="159"/>
      <c r="F187" s="80" t="s">
        <v>2447</v>
      </c>
      <c r="G187" s="81">
        <v>533387.33333333337</v>
      </c>
      <c r="H187" s="81">
        <v>112011.34</v>
      </c>
      <c r="I187" s="81"/>
      <c r="J187" s="81">
        <v>468437.82</v>
      </c>
      <c r="K187" s="81">
        <v>4467.8500000000004</v>
      </c>
      <c r="L187" s="81"/>
    </row>
    <row r="188" spans="2:18" x14ac:dyDescent="0.25">
      <c r="D188" s="464"/>
      <c r="E188" s="465"/>
      <c r="F188" s="80" t="s">
        <v>2448</v>
      </c>
      <c r="G188" s="466">
        <v>3966.94</v>
      </c>
      <c r="H188" s="466">
        <v>833.05740000000003</v>
      </c>
      <c r="I188" s="466"/>
      <c r="J188" s="466">
        <v>465.52</v>
      </c>
      <c r="K188" s="466">
        <v>119.01</v>
      </c>
      <c r="L188" s="466"/>
    </row>
    <row r="189" spans="2:18" x14ac:dyDescent="0.25">
      <c r="D189" s="463" t="s">
        <v>103</v>
      </c>
      <c r="E189" s="80"/>
      <c r="F189" s="80"/>
      <c r="G189" s="83">
        <f>SUBTOTAL(109,extracto_banco_mes4[NETO])</f>
        <v>1610340.3733333335</v>
      </c>
      <c r="H189" s="83">
        <f>SUBTOTAL(109,extracto_banco_mes4[IVA 21%])</f>
        <v>338170.84629999998</v>
      </c>
      <c r="I189" s="83">
        <f>SUBTOTAL(109,extracto_banco_mes4[IVA 10,5%])</f>
        <v>0.31604999999999994</v>
      </c>
      <c r="J189" s="83">
        <f>SUBTOTAL(109,extracto_banco_mes4[RET IIBB CABA])</f>
        <v>2824519.3899999997</v>
      </c>
      <c r="K189" s="83">
        <f>SUBTOTAL(109,extracto_banco_mes4[PERC IVA])</f>
        <v>26978.679999999997</v>
      </c>
      <c r="L189" s="83">
        <f>SUBTOTAL(109,extracto_banco_mes4[PERC IIBB])</f>
        <v>0</v>
      </c>
    </row>
    <row r="192" spans="2:18" ht="21" x14ac:dyDescent="0.25">
      <c r="D192" s="581" t="s">
        <v>1133</v>
      </c>
      <c r="E192" s="581"/>
      <c r="F192" s="581"/>
      <c r="G192" s="581"/>
      <c r="H192" s="581"/>
      <c r="I192" s="581"/>
      <c r="J192" s="581"/>
      <c r="K192" s="581"/>
    </row>
    <row r="193" spans="4:11" x14ac:dyDescent="0.25">
      <c r="D193" s="51" t="s">
        <v>0</v>
      </c>
      <c r="E193" s="51" t="s">
        <v>2</v>
      </c>
      <c r="F193" s="51" t="s">
        <v>74</v>
      </c>
      <c r="G193" s="51" t="s">
        <v>3</v>
      </c>
      <c r="H193" s="51" t="s">
        <v>4</v>
      </c>
      <c r="I193" s="52" t="s">
        <v>10</v>
      </c>
      <c r="J193" s="51" t="s">
        <v>13</v>
      </c>
      <c r="K193" s="51" t="s">
        <v>38</v>
      </c>
    </row>
    <row r="194" spans="4:11" x14ac:dyDescent="0.25">
      <c r="D194" s="50" t="s">
        <v>2415</v>
      </c>
      <c r="E194" s="131">
        <v>1</v>
      </c>
      <c r="F194" s="131">
        <v>113</v>
      </c>
      <c r="G194" s="118">
        <v>20299505430</v>
      </c>
      <c r="H194" s="53" t="str">
        <f>IFERROR(IF(factura_c_mes4[[#This Row],[CUIT]]="","-",VLOOKUP(factura_c_mes4[[#This Row],[CUIT]],Lista_CUIT[#All],2,0)),"CUIT NO CARGADO")</f>
        <v>PRADO EMILIANO HERNAN</v>
      </c>
      <c r="I194" s="158">
        <v>751678</v>
      </c>
      <c r="J194" s="54" t="str">
        <f>IFERROR(IF(factura_c_mes4[[#This Row],[CUIT]]="","-",VLOOKUP(factura_c_mes4[[#This Row],[CUIT]],Lista_CUIT[#All],3,0)),"CUIT NO CARGADO")</f>
        <v>Material de Empaque</v>
      </c>
      <c r="K194" s="54">
        <f>IFERROR(IF(factura_c_mes4[[#This Row],[CUIT]]="","-",VLOOKUP(factura_c_mes4[[#This Row],[CUIT]],Lista_CUIT[#All],4,0)),"CUIT NO CARGADO")</f>
        <v>0</v>
      </c>
    </row>
    <row r="195" spans="4:11" x14ac:dyDescent="0.25">
      <c r="D195" s="321" t="s">
        <v>2417</v>
      </c>
      <c r="E195" s="321">
        <v>1</v>
      </c>
      <c r="F195" s="321">
        <v>116</v>
      </c>
      <c r="G195" s="322">
        <v>20299505430</v>
      </c>
      <c r="H195" s="323" t="str">
        <f>IFERROR(IF(factura_c_mes4[[#This Row],[CUIT]]="","-",VLOOKUP(factura_c_mes4[[#This Row],[CUIT]],Lista_CUIT[#All],2,0)),"CUIT NO CARGADO")</f>
        <v>PRADO EMILIANO HERNAN</v>
      </c>
      <c r="I195" s="324">
        <v>549677</v>
      </c>
      <c r="J195" s="325" t="str">
        <f>IFERROR(IF(factura_c_mes4[[#This Row],[CUIT]]="","-",VLOOKUP(factura_c_mes4[[#This Row],[CUIT]],Lista_CUIT[#All],3,0)),"CUIT NO CARGADO")</f>
        <v>Material de Empaque</v>
      </c>
      <c r="K195" s="325">
        <f>IFERROR(IF(factura_c_mes4[[#This Row],[CUIT]]="","-",VLOOKUP(factura_c_mes4[[#This Row],[CUIT]],Lista_CUIT[#All],4,0)),"CUIT NO CARGADO")</f>
        <v>0</v>
      </c>
    </row>
    <row r="196" spans="4:11" x14ac:dyDescent="0.25">
      <c r="D196" s="321" t="s">
        <v>2419</v>
      </c>
      <c r="E196" s="321">
        <v>1</v>
      </c>
      <c r="F196" s="321">
        <v>118</v>
      </c>
      <c r="G196" s="322">
        <v>20299505430</v>
      </c>
      <c r="H196" s="323" t="str">
        <f>IFERROR(IF(factura_c_mes4[[#This Row],[CUIT]]="","-",VLOOKUP(factura_c_mes4[[#This Row],[CUIT]],Lista_CUIT[#All],2,0)),"CUIT NO CARGADO")</f>
        <v>PRADO EMILIANO HERNAN</v>
      </c>
      <c r="I196" s="324">
        <v>730823</v>
      </c>
      <c r="J196" s="325" t="str">
        <f>IFERROR(IF(factura_c_mes4[[#This Row],[CUIT]]="","-",VLOOKUP(factura_c_mes4[[#This Row],[CUIT]],Lista_CUIT[#All],3,0)),"CUIT NO CARGADO")</f>
        <v>Material de Empaque</v>
      </c>
      <c r="K196" s="325">
        <f>IFERROR(IF(factura_c_mes4[[#This Row],[CUIT]]="","-",VLOOKUP(factura_c_mes4[[#This Row],[CUIT]],Lista_CUIT[#All],4,0)),"CUIT NO CARGADO")</f>
        <v>0</v>
      </c>
    </row>
    <row r="197" spans="4:11" x14ac:dyDescent="0.25">
      <c r="D197" s="321" t="s">
        <v>2429</v>
      </c>
      <c r="E197" s="321">
        <v>1</v>
      </c>
      <c r="F197" s="321">
        <v>120</v>
      </c>
      <c r="G197" s="322">
        <v>20299505430</v>
      </c>
      <c r="H197" s="323" t="str">
        <f>IFERROR(IF(factura_c_mes4[[#This Row],[CUIT]]="","-",VLOOKUP(factura_c_mes4[[#This Row],[CUIT]],Lista_CUIT[#All],2,0)),"CUIT NO CARGADO")</f>
        <v>PRADO EMILIANO HERNAN</v>
      </c>
      <c r="I197" s="324">
        <v>864375</v>
      </c>
      <c r="J197" s="325" t="str">
        <f>IFERROR(IF(factura_c_mes4[[#This Row],[CUIT]]="","-",VLOOKUP(factura_c_mes4[[#This Row],[CUIT]],Lista_CUIT[#All],3,0)),"CUIT NO CARGADO")</f>
        <v>Material de Empaque</v>
      </c>
      <c r="K197" s="325">
        <f>IFERROR(IF(factura_c_mes4[[#This Row],[CUIT]]="","-",VLOOKUP(factura_c_mes4[[#This Row],[CUIT]],Lista_CUIT[#All],4,0)),"CUIT NO CARGADO")</f>
        <v>0</v>
      </c>
    </row>
    <row r="198" spans="4:11" x14ac:dyDescent="0.25">
      <c r="D198" s="50" t="s">
        <v>2415</v>
      </c>
      <c r="E198" s="131">
        <v>4</v>
      </c>
      <c r="F198" s="131">
        <v>997</v>
      </c>
      <c r="G198" s="118">
        <v>23222942934</v>
      </c>
      <c r="H198" s="53" t="str">
        <f>IFERROR(IF(factura_c_mes4[[#This Row],[CUIT]]="","-",VLOOKUP(factura_c_mes4[[#This Row],[CUIT]],Lista_CUIT[#All],2,0)),"CUIT NO CARGADO")</f>
        <v>FIORI SILVIA LORENA</v>
      </c>
      <c r="I198" s="158">
        <v>123500</v>
      </c>
      <c r="J198" s="54" t="str">
        <f>IFERROR(IF(factura_c_mes4[[#This Row],[CUIT]]="","-",VLOOKUP(factura_c_mes4[[#This Row],[CUIT]],Lista_CUIT[#All],3,0)),"CUIT NO CARGADO")</f>
        <v>Honorarios Profesionales</v>
      </c>
      <c r="K198" s="54">
        <f>IFERROR(IF(factura_c_mes4[[#This Row],[CUIT]]="","-",VLOOKUP(factura_c_mes4[[#This Row],[CUIT]],Lista_CUIT[#All],4,0)),"CUIT NO CARGADO")</f>
        <v>0</v>
      </c>
    </row>
    <row r="199" spans="4:11" x14ac:dyDescent="0.25">
      <c r="D199" s="321" t="s">
        <v>2427</v>
      </c>
      <c r="E199" s="321">
        <v>2</v>
      </c>
      <c r="F199" s="321">
        <v>749</v>
      </c>
      <c r="G199" s="322">
        <v>27218690160</v>
      </c>
      <c r="H199" s="323" t="str">
        <f>IFERROR(IF(factura_c_mes4[[#This Row],[CUIT]]="","-",VLOOKUP(factura_c_mes4[[#This Row],[CUIT]],Lista_CUIT[#All],2,0)),"CUIT NO CARGADO")</f>
        <v>RAMIREZ LAURA VERONICA</v>
      </c>
      <c r="I199" s="324">
        <v>28500</v>
      </c>
      <c r="J199" s="325" t="str">
        <f>IFERROR(IF(factura_c_mes4[[#This Row],[CUIT]]="","-",VLOOKUP(factura_c_mes4[[#This Row],[CUIT]],Lista_CUIT[#All],3,0)),"CUIT NO CARGADO")</f>
        <v>Honorarios Profesionales</v>
      </c>
      <c r="K199" s="325">
        <f>IFERROR(IF(factura_c_mes4[[#This Row],[CUIT]]="","-",VLOOKUP(factura_c_mes4[[#This Row],[CUIT]],Lista_CUIT[#All],4,0)),"CUIT NO CARGADO")</f>
        <v>0</v>
      </c>
    </row>
    <row r="200" spans="4:11" x14ac:dyDescent="0.25">
      <c r="D200" s="321" t="s">
        <v>2428</v>
      </c>
      <c r="E200" s="321">
        <v>2</v>
      </c>
      <c r="F200" s="321">
        <v>751</v>
      </c>
      <c r="G200" s="322">
        <v>27218690160</v>
      </c>
      <c r="H200" s="323" t="str">
        <f>IFERROR(IF(factura_c_mes4[[#This Row],[CUIT]]="","-",VLOOKUP(factura_c_mes4[[#This Row],[CUIT]],Lista_CUIT[#All],2,0)),"CUIT NO CARGADO")</f>
        <v>RAMIREZ LAURA VERONICA</v>
      </c>
      <c r="I200" s="324">
        <v>28500</v>
      </c>
      <c r="J200" s="325" t="str">
        <f>IFERROR(IF(factura_c_mes4[[#This Row],[CUIT]]="","-",VLOOKUP(factura_c_mes4[[#This Row],[CUIT]],Lista_CUIT[#All],3,0)),"CUIT NO CARGADO")</f>
        <v>Honorarios Profesionales</v>
      </c>
      <c r="K200" s="325">
        <f>IFERROR(IF(factura_c_mes4[[#This Row],[CUIT]]="","-",VLOOKUP(factura_c_mes4[[#This Row],[CUIT]],Lista_CUIT[#All],4,0)),"CUIT NO CARGADO")</f>
        <v>0</v>
      </c>
    </row>
    <row r="201" spans="4:11" x14ac:dyDescent="0.25">
      <c r="D201" s="321" t="s">
        <v>2429</v>
      </c>
      <c r="E201" s="321">
        <v>1</v>
      </c>
      <c r="F201" s="321">
        <v>108</v>
      </c>
      <c r="G201" s="322">
        <v>20176922363</v>
      </c>
      <c r="H201" s="323" t="str">
        <f>IFERROR(IF(factura_c_mes4[[#This Row],[CUIT]]="","-",VLOOKUP(factura_c_mes4[[#This Row],[CUIT]],Lista_CUIT[#All],2,0)),"CUIT NO CARGADO")</f>
        <v>CASTILLO JUAN RAMON</v>
      </c>
      <c r="I201" s="324">
        <v>1000000</v>
      </c>
      <c r="J201" s="325" t="str">
        <f>IFERROR(IF(factura_c_mes4[[#This Row],[CUIT]]="","-",VLOOKUP(factura_c_mes4[[#This Row],[CUIT]],Lista_CUIT[#All],3,0)),"CUIT NO CARGADO")</f>
        <v>Honorarios Profesionales</v>
      </c>
      <c r="K201" s="325">
        <f>IFERROR(IF(factura_c_mes4[[#This Row],[CUIT]]="","-",VLOOKUP(factura_c_mes4[[#This Row],[CUIT]],Lista_CUIT[#All],4,0)),"CUIT NO CARGADO")</f>
        <v>0</v>
      </c>
    </row>
    <row r="202" spans="4:11" x14ac:dyDescent="0.25">
      <c r="D202" s="321" t="s">
        <v>2429</v>
      </c>
      <c r="E202" s="321">
        <v>1</v>
      </c>
      <c r="F202" s="321">
        <v>109</v>
      </c>
      <c r="G202" s="322">
        <v>20176922363</v>
      </c>
      <c r="H202" s="323" t="str">
        <f>IFERROR(IF(factura_c_mes4[[#This Row],[CUIT]]="","-",VLOOKUP(factura_c_mes4[[#This Row],[CUIT]],Lista_CUIT[#All],2,0)),"CUIT NO CARGADO")</f>
        <v>CASTILLO JUAN RAMON</v>
      </c>
      <c r="I202" s="324">
        <v>1000000</v>
      </c>
      <c r="J202" s="325" t="str">
        <f>IFERROR(IF(factura_c_mes4[[#This Row],[CUIT]]="","-",VLOOKUP(factura_c_mes4[[#This Row],[CUIT]],Lista_CUIT[#All],3,0)),"CUIT NO CARGADO")</f>
        <v>Honorarios Profesionales</v>
      </c>
      <c r="K202" s="325">
        <f>IFERROR(IF(factura_c_mes4[[#This Row],[CUIT]]="","-",VLOOKUP(factura_c_mes4[[#This Row],[CUIT]],Lista_CUIT[#All],4,0)),"CUIT NO CARGADO")</f>
        <v>0</v>
      </c>
    </row>
    <row r="203" spans="4:11" x14ac:dyDescent="0.25">
      <c r="D203" s="321" t="s">
        <v>2430</v>
      </c>
      <c r="E203" s="321">
        <v>1</v>
      </c>
      <c r="F203" s="321">
        <v>110</v>
      </c>
      <c r="G203" s="322">
        <v>20176922363</v>
      </c>
      <c r="H203" s="323" t="str">
        <f>IFERROR(IF(factura_c_mes4[[#This Row],[CUIT]]="","-",VLOOKUP(factura_c_mes4[[#This Row],[CUIT]],Lista_CUIT[#All],2,0)),"CUIT NO CARGADO")</f>
        <v>CASTILLO JUAN RAMON</v>
      </c>
      <c r="I203" s="324">
        <v>800000</v>
      </c>
      <c r="J203" s="54" t="s">
        <v>87</v>
      </c>
      <c r="K203" s="325">
        <f>IFERROR(IF(factura_c_mes4[[#This Row],[CUIT]]="","-",VLOOKUP(factura_c_mes4[[#This Row],[CUIT]],Lista_CUIT[#All],4,0)),"CUIT NO CARGADO")</f>
        <v>0</v>
      </c>
    </row>
    <row r="204" spans="4:11" x14ac:dyDescent="0.25">
      <c r="D204" s="50" t="s">
        <v>2415</v>
      </c>
      <c r="E204" s="131">
        <v>3</v>
      </c>
      <c r="F204" s="131">
        <v>544</v>
      </c>
      <c r="G204" s="118">
        <v>20210551574</v>
      </c>
      <c r="H204" s="53" t="str">
        <f>IFERROR(IF(factura_c_mes4[[#This Row],[CUIT]]="","-",VLOOKUP(factura_c_mes4[[#This Row],[CUIT]],Lista_CUIT[#All],2,0)),"CUIT NO CARGADO")</f>
        <v>REUS JORGE DIEGO</v>
      </c>
      <c r="I204" s="158">
        <v>302000</v>
      </c>
      <c r="J204" s="54" t="str">
        <f>IFERROR(IF(factura_c_mes4[[#This Row],[CUIT]]="","-",VLOOKUP(factura_c_mes4[[#This Row],[CUIT]],Lista_CUIT[#All],3,0)),"CUIT NO CARGADO")</f>
        <v>Honorarios Legales</v>
      </c>
      <c r="K204" s="54">
        <f>IFERROR(IF(factura_c_mes4[[#This Row],[CUIT]]="","-",VLOOKUP(factura_c_mes4[[#This Row],[CUIT]],Lista_CUIT[#All],4,0)),"CUIT NO CARGADO")</f>
        <v>0</v>
      </c>
    </row>
    <row r="205" spans="4:11" x14ac:dyDescent="0.25">
      <c r="D205" s="50" t="s">
        <v>2415</v>
      </c>
      <c r="E205" s="131">
        <v>4</v>
      </c>
      <c r="F205" s="131">
        <v>4</v>
      </c>
      <c r="G205" s="118">
        <v>20086277523</v>
      </c>
      <c r="H205" s="53" t="str">
        <f>IFERROR(IF(factura_c_mes4[[#This Row],[CUIT]]="","-",VLOOKUP(factura_c_mes4[[#This Row],[CUIT]],Lista_CUIT[#All],2,0)),"CUIT NO CARGADO")</f>
        <v>BOTINDARI JUAN CARLOS</v>
      </c>
      <c r="I205" s="158">
        <v>290000</v>
      </c>
      <c r="J205" s="54" t="str">
        <f>IFERROR(IF(factura_c_mes4[[#This Row],[CUIT]]="","-",VLOOKUP(factura_c_mes4[[#This Row],[CUIT]],Lista_CUIT[#All],3,0)),"CUIT NO CARGADO")</f>
        <v>Honorarios Contables</v>
      </c>
      <c r="K205" s="54">
        <f>IFERROR(IF(factura_c_mes4[[#This Row],[CUIT]]="","-",VLOOKUP(factura_c_mes4[[#This Row],[CUIT]],Lista_CUIT[#All],4,0)),"CUIT NO CARGADO")</f>
        <v>0</v>
      </c>
    </row>
    <row r="206" spans="4:11" x14ac:dyDescent="0.25">
      <c r="D206" s="50" t="s">
        <v>2415</v>
      </c>
      <c r="E206" s="131">
        <v>2</v>
      </c>
      <c r="F206" s="131">
        <v>380</v>
      </c>
      <c r="G206" s="118">
        <v>27206941419</v>
      </c>
      <c r="H206" s="53" t="str">
        <f>IFERROR(IF(factura_c_mes4[[#This Row],[CUIT]]="","-",VLOOKUP(factura_c_mes4[[#This Row],[CUIT]],Lista_CUIT[#All],2,0)),"CUIT NO CARGADO")</f>
        <v>DOBARRO PAULA MARCELA</v>
      </c>
      <c r="I206" s="158">
        <v>150000</v>
      </c>
      <c r="J206" s="54" t="str">
        <f>IFERROR(IF(factura_c_mes4[[#This Row],[CUIT]]="","-",VLOOKUP(factura_c_mes4[[#This Row],[CUIT]],Lista_CUIT[#All],3,0)),"CUIT NO CARGADO")</f>
        <v>Honorarios Contables</v>
      </c>
      <c r="K206" s="54">
        <f>IFERROR(IF(factura_c_mes4[[#This Row],[CUIT]]="","-",VLOOKUP(factura_c_mes4[[#This Row],[CUIT]],Lista_CUIT[#All],4,0)),"CUIT NO CARGADO")</f>
        <v>0</v>
      </c>
    </row>
    <row r="207" spans="4:11" x14ac:dyDescent="0.25">
      <c r="D207" s="50" t="s">
        <v>2416</v>
      </c>
      <c r="E207" s="131">
        <v>2</v>
      </c>
      <c r="F207" s="131">
        <v>334</v>
      </c>
      <c r="G207" s="118">
        <v>23319210954</v>
      </c>
      <c r="H207" s="53" t="str">
        <f>IFERROR(IF(factura_c_mes4[[#This Row],[CUIT]]="","-",VLOOKUP(factura_c_mes4[[#This Row],[CUIT]],Lista_CUIT[#All],2,0)),"CUIT NO CARGADO")</f>
        <v>CAFFARATTI ROMINA PAOLA</v>
      </c>
      <c r="I207" s="158">
        <v>294800</v>
      </c>
      <c r="J207" s="54" t="str">
        <f>IFERROR(IF(factura_c_mes4[[#This Row],[CUIT]]="","-",VLOOKUP(factura_c_mes4[[#This Row],[CUIT]],Lista_CUIT[#All],3,0)),"CUIT NO CARGADO")</f>
        <v>Honorarios Contables</v>
      </c>
      <c r="K207" s="54">
        <f>IFERROR(IF(factura_c_mes4[[#This Row],[CUIT]]="","-",VLOOKUP(factura_c_mes4[[#This Row],[CUIT]],Lista_CUIT[#All],4,0)),"CUIT NO CARGADO")</f>
        <v>0</v>
      </c>
    </row>
    <row r="208" spans="4:11" x14ac:dyDescent="0.25">
      <c r="D208" s="50" t="s">
        <v>2415</v>
      </c>
      <c r="E208" s="131">
        <v>2</v>
      </c>
      <c r="F208" s="131">
        <v>12</v>
      </c>
      <c r="G208" s="118">
        <v>27226409799</v>
      </c>
      <c r="H208" s="53" t="str">
        <f>IFERROR(IF(factura_c_mes4[[#This Row],[CUIT]]="","-",VLOOKUP(factura_c_mes4[[#This Row],[CUIT]],Lista_CUIT[#All],2,0)),"CUIT NO CARGADO")</f>
        <v>CASTILLO BERTA YOLANDA</v>
      </c>
      <c r="I208" s="158">
        <v>795000</v>
      </c>
      <c r="J208" s="54" t="str">
        <f>IFERROR(IF(factura_c_mes4[[#This Row],[CUIT]]="","-",VLOOKUP(factura_c_mes4[[#This Row],[CUIT]],Lista_CUIT[#All],3,0)),"CUIT NO CARGADO")</f>
        <v>Honorarios Administrativos</v>
      </c>
      <c r="K208" s="54">
        <f>IFERROR(IF(factura_c_mes4[[#This Row],[CUIT]]="","-",VLOOKUP(factura_c_mes4[[#This Row],[CUIT]],Lista_CUIT[#All],4,0)),"CUIT NO CARGADO")</f>
        <v>0</v>
      </c>
    </row>
    <row r="209" spans="4:11" x14ac:dyDescent="0.25">
      <c r="D209" s="50" t="s">
        <v>2415</v>
      </c>
      <c r="E209" s="131">
        <v>2</v>
      </c>
      <c r="F209" s="131">
        <v>13</v>
      </c>
      <c r="G209" s="118">
        <v>27226409799</v>
      </c>
      <c r="H209" s="53" t="str">
        <f>IFERROR(IF(factura_c_mes4[[#This Row],[CUIT]]="","-",VLOOKUP(factura_c_mes4[[#This Row],[CUIT]],Lista_CUIT[#All],2,0)),"CUIT NO CARGADO")</f>
        <v>CASTILLO BERTA YOLANDA</v>
      </c>
      <c r="I209" s="158">
        <v>370000</v>
      </c>
      <c r="J209" s="54" t="str">
        <f>IFERROR(IF(factura_c_mes4[[#This Row],[CUIT]]="","-",VLOOKUP(factura_c_mes4[[#This Row],[CUIT]],Lista_CUIT[#All],3,0)),"CUIT NO CARGADO")</f>
        <v>Honorarios Administrativos</v>
      </c>
      <c r="K209" s="54">
        <f>IFERROR(IF(factura_c_mes4[[#This Row],[CUIT]]="","-",VLOOKUP(factura_c_mes4[[#This Row],[CUIT]],Lista_CUIT[#All],4,0)),"CUIT NO CARGADO")</f>
        <v>0</v>
      </c>
    </row>
    <row r="210" spans="4:11" x14ac:dyDescent="0.25">
      <c r="D210" s="50" t="s">
        <v>2416</v>
      </c>
      <c r="E210" s="131">
        <v>2</v>
      </c>
      <c r="F210" s="131">
        <v>13</v>
      </c>
      <c r="G210" s="118">
        <v>24180692653</v>
      </c>
      <c r="H210" s="53" t="str">
        <f>IFERROR(IF(factura_c_mes4[[#This Row],[CUIT]]="","-",VLOOKUP(factura_c_mes4[[#This Row],[CUIT]],Lista_CUIT[#All],2,0)),"CUIT NO CARGADO")</f>
        <v>CASTILLO JOSE MANUEL</v>
      </c>
      <c r="I210" s="158">
        <v>1000000</v>
      </c>
      <c r="J210" s="54" t="str">
        <f>IFERROR(IF(factura_c_mes4[[#This Row],[CUIT]]="","-",VLOOKUP(factura_c_mes4[[#This Row],[CUIT]],Lista_CUIT[#All],3,0)),"CUIT NO CARGADO")</f>
        <v>Honorarios Administrativos</v>
      </c>
      <c r="K210" s="54">
        <f>IFERROR(IF(factura_c_mes4[[#This Row],[CUIT]]="","-",VLOOKUP(factura_c_mes4[[#This Row],[CUIT]],Lista_CUIT[#All],4,0)),"CUIT NO CARGADO")</f>
        <v>0</v>
      </c>
    </row>
    <row r="211" spans="4:11" x14ac:dyDescent="0.25">
      <c r="D211" s="321" t="s">
        <v>2418</v>
      </c>
      <c r="E211" s="321">
        <v>2</v>
      </c>
      <c r="F211" s="321">
        <v>16</v>
      </c>
      <c r="G211" s="322">
        <v>24180692653</v>
      </c>
      <c r="H211" s="323" t="str">
        <f>IFERROR(IF(factura_c_mes4[[#This Row],[CUIT]]="","-",VLOOKUP(factura_c_mes4[[#This Row],[CUIT]],Lista_CUIT[#All],2,0)),"CUIT NO CARGADO")</f>
        <v>CASTILLO JOSE MANUEL</v>
      </c>
      <c r="I211" s="324">
        <v>1500000</v>
      </c>
      <c r="J211" s="325" t="str">
        <f>IFERROR(IF(factura_c_mes4[[#This Row],[CUIT]]="","-",VLOOKUP(factura_c_mes4[[#This Row],[CUIT]],Lista_CUIT[#All],3,0)),"CUIT NO CARGADO")</f>
        <v>Honorarios Administrativos</v>
      </c>
      <c r="K211" s="325">
        <f>IFERROR(IF(factura_c_mes4[[#This Row],[CUIT]]="","-",VLOOKUP(factura_c_mes4[[#This Row],[CUIT]],Lista_CUIT[#All],4,0)),"CUIT NO CARGADO")</f>
        <v>0</v>
      </c>
    </row>
    <row r="212" spans="4:11" x14ac:dyDescent="0.25">
      <c r="D212" s="321" t="s">
        <v>2425</v>
      </c>
      <c r="E212" s="321">
        <v>1</v>
      </c>
      <c r="F212" s="321">
        <v>14</v>
      </c>
      <c r="G212" s="322">
        <v>27309116343</v>
      </c>
      <c r="H212" s="323" t="str">
        <f>IFERROR(IF(factura_c_mes4[[#This Row],[CUIT]]="","-",VLOOKUP(factura_c_mes4[[#This Row],[CUIT]],Lista_CUIT[#All],2,0)),"CUIT NO CARGADO")</f>
        <v>FERNANDEZ DANIELA NATALIA</v>
      </c>
      <c r="I212" s="324">
        <v>142500</v>
      </c>
      <c r="J212" s="325" t="str">
        <f>IFERROR(IF(factura_c_mes4[[#This Row],[CUIT]]="","-",VLOOKUP(factura_c_mes4[[#This Row],[CUIT]],Lista_CUIT[#All],3,0)),"CUIT NO CARGADO")</f>
        <v>Honorarios Administrativos</v>
      </c>
      <c r="K212" s="325">
        <f>IFERROR(IF(factura_c_mes4[[#This Row],[CUIT]]="","-",VLOOKUP(factura_c_mes4[[#This Row],[CUIT]],Lista_CUIT[#All],4,0)),"CUIT NO CARGADO")</f>
        <v>0</v>
      </c>
    </row>
    <row r="213" spans="4:11" x14ac:dyDescent="0.25">
      <c r="D213" s="321" t="s">
        <v>2430</v>
      </c>
      <c r="E213" s="321">
        <v>2</v>
      </c>
      <c r="F213" s="321">
        <v>18</v>
      </c>
      <c r="G213" s="322">
        <v>24180692653</v>
      </c>
      <c r="H213" s="323" t="str">
        <f>IFERROR(IF(factura_c_mes4[[#This Row],[CUIT]]="","-",VLOOKUP(factura_c_mes4[[#This Row],[CUIT]],Lista_CUIT[#All],2,0)),"CUIT NO CARGADO")</f>
        <v>CASTILLO JOSE MANUEL</v>
      </c>
      <c r="I213" s="324">
        <v>600000</v>
      </c>
      <c r="J213" s="54" t="s">
        <v>87</v>
      </c>
      <c r="K213" s="325">
        <f>IFERROR(IF(factura_c_mes4[[#This Row],[CUIT]]="","-",VLOOKUP(factura_c_mes4[[#This Row],[CUIT]],Lista_CUIT[#All],4,0)),"CUIT NO CARGADO")</f>
        <v>0</v>
      </c>
    </row>
    <row r="214" spans="4:11" x14ac:dyDescent="0.25">
      <c r="D214" s="321" t="s">
        <v>2430</v>
      </c>
      <c r="E214" s="321">
        <v>2</v>
      </c>
      <c r="F214" s="321">
        <v>16</v>
      </c>
      <c r="G214" s="322">
        <v>27226409799</v>
      </c>
      <c r="H214" s="323" t="str">
        <f>IFERROR(IF(factura_c_mes4[[#This Row],[CUIT]]="","-",VLOOKUP(factura_c_mes4[[#This Row],[CUIT]],Lista_CUIT[#All],2,0)),"CUIT NO CARGADO")</f>
        <v>CASTILLO BERTA YOLANDA</v>
      </c>
      <c r="I214" s="324">
        <v>600000</v>
      </c>
      <c r="J214" s="54" t="s">
        <v>87</v>
      </c>
      <c r="K214" s="325">
        <f>IFERROR(IF(factura_c_mes4[[#This Row],[CUIT]]="","-",VLOOKUP(factura_c_mes4[[#This Row],[CUIT]],Lista_CUIT[#All],4,0)),"CUIT NO CARGADO")</f>
        <v>0</v>
      </c>
    </row>
    <row r="215" spans="4:11" x14ac:dyDescent="0.25">
      <c r="D215" s="321" t="s">
        <v>2422</v>
      </c>
      <c r="E215" s="321">
        <v>2</v>
      </c>
      <c r="F215" s="321">
        <v>5229</v>
      </c>
      <c r="G215" s="322">
        <v>20136536320</v>
      </c>
      <c r="H215" s="323" t="str">
        <f>IFERROR(IF(factura_c_mes4[[#This Row],[CUIT]]="","-",VLOOKUP(factura_c_mes4[[#This Row],[CUIT]],Lista_CUIT[#All],2,0)),"CUIT NO CARGADO")</f>
        <v>FONTENLA ERNESTO MARIO</v>
      </c>
      <c r="I215" s="324">
        <v>9400</v>
      </c>
      <c r="J215" s="325" t="str">
        <f>IFERROR(IF(factura_c_mes4[[#This Row],[CUIT]]="","-",VLOOKUP(factura_c_mes4[[#This Row],[CUIT]],Lista_CUIT[#All],3,0)),"CUIT NO CARGADO")</f>
        <v>Gastos Varios</v>
      </c>
      <c r="K215" s="325" t="str">
        <f>IFERROR(IF(factura_c_mes4[[#This Row],[CUIT]]="","-",VLOOKUP(factura_c_mes4[[#This Row],[CUIT]],Lista_CUIT[#All],4,0)),"CUIT NO CARGADO")</f>
        <v>CABA</v>
      </c>
    </row>
    <row r="216" spans="4:11" x14ac:dyDescent="0.25">
      <c r="D216" s="321" t="s">
        <v>2422</v>
      </c>
      <c r="E216" s="321">
        <v>3</v>
      </c>
      <c r="F216" s="321">
        <v>1731</v>
      </c>
      <c r="G216" s="322">
        <v>20173025557</v>
      </c>
      <c r="H216" s="323" t="str">
        <f>IFERROR(IF(factura_c_mes4[[#This Row],[CUIT]]="","-",VLOOKUP(factura_c_mes4[[#This Row],[CUIT]],Lista_CUIT[#All],2,0)),"CUIT NO CARGADO")</f>
        <v>MARAUDA HECTOR</v>
      </c>
      <c r="I216" s="324">
        <v>7000</v>
      </c>
      <c r="J216" s="325" t="str">
        <f>IFERROR(IF(factura_c_mes4[[#This Row],[CUIT]]="","-",VLOOKUP(factura_c_mes4[[#This Row],[CUIT]],Lista_CUIT[#All],3,0)),"CUIT NO CARGADO")</f>
        <v>Gastos Varios</v>
      </c>
      <c r="K216" s="325">
        <f>IFERROR(IF(factura_c_mes4[[#This Row],[CUIT]]="","-",VLOOKUP(factura_c_mes4[[#This Row],[CUIT]],Lista_CUIT[#All],4,0)),"CUIT NO CARGADO")</f>
        <v>0</v>
      </c>
    </row>
    <row r="217" spans="4:11" x14ac:dyDescent="0.25">
      <c r="D217" s="321" t="s">
        <v>2423</v>
      </c>
      <c r="E217" s="321">
        <v>2</v>
      </c>
      <c r="F217" s="321">
        <v>5240</v>
      </c>
      <c r="G217" s="322">
        <v>20136536320</v>
      </c>
      <c r="H217" s="323" t="str">
        <f>IFERROR(IF(factura_c_mes4[[#This Row],[CUIT]]="","-",VLOOKUP(factura_c_mes4[[#This Row],[CUIT]],Lista_CUIT[#All],2,0)),"CUIT NO CARGADO")</f>
        <v>FONTENLA ERNESTO MARIO</v>
      </c>
      <c r="I217" s="324">
        <v>9700</v>
      </c>
      <c r="J217" s="325" t="str">
        <f>IFERROR(IF(factura_c_mes4[[#This Row],[CUIT]]="","-",VLOOKUP(factura_c_mes4[[#This Row],[CUIT]],Lista_CUIT[#All],3,0)),"CUIT NO CARGADO")</f>
        <v>Gastos Varios</v>
      </c>
      <c r="K217" s="325" t="str">
        <f>IFERROR(IF(factura_c_mes4[[#This Row],[CUIT]]="","-",VLOOKUP(factura_c_mes4[[#This Row],[CUIT]],Lista_CUIT[#All],4,0)),"CUIT NO CARGADO")</f>
        <v>CABA</v>
      </c>
    </row>
    <row r="218" spans="4:11" x14ac:dyDescent="0.25">
      <c r="D218" s="321" t="s">
        <v>2426</v>
      </c>
      <c r="E218" s="321">
        <v>10</v>
      </c>
      <c r="F218" s="321">
        <v>260</v>
      </c>
      <c r="G218" s="322">
        <v>20302234389</v>
      </c>
      <c r="H218" s="323" t="str">
        <f>IFERROR(IF(factura_c_mes4[[#This Row],[CUIT]]="","-",VLOOKUP(factura_c_mes4[[#This Row],[CUIT]],Lista_CUIT[#All],2,0)),"CUIT NO CARGADO")</f>
        <v>VIGORELLI GUILLERMO DANIEL</v>
      </c>
      <c r="I218" s="324">
        <v>270000</v>
      </c>
      <c r="J218" s="325" t="str">
        <f>IFERROR(IF(factura_c_mes4[[#This Row],[CUIT]]="","-",VLOOKUP(factura_c_mes4[[#This Row],[CUIT]],Lista_CUIT[#All],3,0)),"CUIT NO CARGADO")</f>
        <v>Gastos Varios</v>
      </c>
      <c r="K218" s="325">
        <f>IFERROR(IF(factura_c_mes4[[#This Row],[CUIT]]="","-",VLOOKUP(factura_c_mes4[[#This Row],[CUIT]],Lista_CUIT[#All],4,0)),"CUIT NO CARGADO")</f>
        <v>0</v>
      </c>
    </row>
    <row r="219" spans="4:11" x14ac:dyDescent="0.25">
      <c r="D219" s="321" t="s">
        <v>2426</v>
      </c>
      <c r="E219" s="321">
        <v>2</v>
      </c>
      <c r="F219" s="321">
        <v>5248</v>
      </c>
      <c r="G219" s="322">
        <v>20136536320</v>
      </c>
      <c r="H219" s="323" t="str">
        <f>IFERROR(IF(factura_c_mes4[[#This Row],[CUIT]]="","-",VLOOKUP(factura_c_mes4[[#This Row],[CUIT]],Lista_CUIT[#All],2,0)),"CUIT NO CARGADO")</f>
        <v>FONTENLA ERNESTO MARIO</v>
      </c>
      <c r="I219" s="324">
        <v>8100</v>
      </c>
      <c r="J219" s="325" t="str">
        <f>IFERROR(IF(factura_c_mes4[[#This Row],[CUIT]]="","-",VLOOKUP(factura_c_mes4[[#This Row],[CUIT]],Lista_CUIT[#All],3,0)),"CUIT NO CARGADO")</f>
        <v>Gastos Varios</v>
      </c>
      <c r="K219" s="325" t="str">
        <f>IFERROR(IF(factura_c_mes4[[#This Row],[CUIT]]="","-",VLOOKUP(factura_c_mes4[[#This Row],[CUIT]],Lista_CUIT[#All],4,0)),"CUIT NO CARGADO")</f>
        <v>CABA</v>
      </c>
    </row>
    <row r="220" spans="4:11" x14ac:dyDescent="0.25">
      <c r="D220" s="321" t="s">
        <v>2429</v>
      </c>
      <c r="E220" s="321">
        <v>2</v>
      </c>
      <c r="F220" s="321">
        <v>5278</v>
      </c>
      <c r="G220" s="322">
        <v>20136536320</v>
      </c>
      <c r="H220" s="323" t="str">
        <f>IFERROR(IF(factura_c_mes4[[#This Row],[CUIT]]="","-",VLOOKUP(factura_c_mes4[[#This Row],[CUIT]],Lista_CUIT[#All],2,0)),"CUIT NO CARGADO")</f>
        <v>FONTENLA ERNESTO MARIO</v>
      </c>
      <c r="I220" s="324">
        <v>4500</v>
      </c>
      <c r="J220" s="325" t="str">
        <f>IFERROR(IF(factura_c_mes4[[#This Row],[CUIT]]="","-",VLOOKUP(factura_c_mes4[[#This Row],[CUIT]],Lista_CUIT[#All],3,0)),"CUIT NO CARGADO")</f>
        <v>Gastos Varios</v>
      </c>
      <c r="K220" s="325" t="str">
        <f>IFERROR(IF(factura_c_mes4[[#This Row],[CUIT]]="","-",VLOOKUP(factura_c_mes4[[#This Row],[CUIT]],Lista_CUIT[#All],4,0)),"CUIT NO CARGADO")</f>
        <v>CABA</v>
      </c>
    </row>
    <row r="221" spans="4:11" x14ac:dyDescent="0.25">
      <c r="D221" s="321" t="s">
        <v>2420</v>
      </c>
      <c r="E221" s="321">
        <v>2</v>
      </c>
      <c r="F221" s="321">
        <v>978</v>
      </c>
      <c r="G221" s="322">
        <v>20283841503</v>
      </c>
      <c r="H221" s="323" t="str">
        <f>IFERROR(IF(factura_c_mes4[[#This Row],[CUIT]]="","-",VLOOKUP(factura_c_mes4[[#This Row],[CUIT]],Lista_CUIT[#All],2,0)),"CUIT NO CARGADO")</f>
        <v>GOMEZ MATIAS GERMAN</v>
      </c>
      <c r="I221" s="324">
        <v>22500</v>
      </c>
      <c r="J221" s="325" t="str">
        <f>IFERROR(IF(factura_c_mes4[[#This Row],[CUIT]]="","-",VLOOKUP(factura_c_mes4[[#This Row],[CUIT]],Lista_CUIT[#All],3,0)),"CUIT NO CARGADO")</f>
        <v>MANTENIMIENTO</v>
      </c>
      <c r="K221" s="325">
        <f>IFERROR(IF(factura_c_mes4[[#This Row],[CUIT]]="","-",VLOOKUP(factura_c_mes4[[#This Row],[CUIT]],Lista_CUIT[#All],4,0)),"CUIT NO CARGADO")</f>
        <v>0</v>
      </c>
    </row>
    <row r="222" spans="4:11" x14ac:dyDescent="0.25">
      <c r="D222" s="321" t="s">
        <v>2421</v>
      </c>
      <c r="E222" s="321">
        <v>1</v>
      </c>
      <c r="F222" s="321">
        <v>2</v>
      </c>
      <c r="G222" s="322">
        <v>27250242536</v>
      </c>
      <c r="H222" s="323" t="str">
        <f>IFERROR(IF(factura_c_mes4[[#This Row],[CUIT]]="","-",VLOOKUP(factura_c_mes4[[#This Row],[CUIT]],Lista_CUIT[#All],2,0)),"CUIT NO CARGADO")</f>
        <v>TUNDIS AIDA ESPERANZA</v>
      </c>
      <c r="I222" s="324">
        <v>57000</v>
      </c>
      <c r="J222" s="325" t="str">
        <f>IFERROR(IF(factura_c_mes4[[#This Row],[CUIT]]="","-",VLOOKUP(factura_c_mes4[[#This Row],[CUIT]],Lista_CUIT[#All],3,0)),"CUIT NO CARGADO")</f>
        <v>Gtos. Administrativos</v>
      </c>
      <c r="K222" s="325">
        <f>IFERROR(IF(factura_c_mes4[[#This Row],[CUIT]]="","-",VLOOKUP(factura_c_mes4[[#This Row],[CUIT]],Lista_CUIT[#All],4,0)),"CUIT NO CARGADO")</f>
        <v>0</v>
      </c>
    </row>
    <row r="223" spans="4:11" x14ac:dyDescent="0.25">
      <c r="D223" s="321" t="s">
        <v>2424</v>
      </c>
      <c r="E223" s="321">
        <v>1</v>
      </c>
      <c r="F223" s="321">
        <v>3</v>
      </c>
      <c r="G223" s="322">
        <v>27250242536</v>
      </c>
      <c r="H223" s="323" t="str">
        <f>IFERROR(IF(factura_c_mes4[[#This Row],[CUIT]]="","-",VLOOKUP(factura_c_mes4[[#This Row],[CUIT]],Lista_CUIT[#All],2,0)),"CUIT NO CARGADO")</f>
        <v>TUNDIS AIDA ESPERANZA</v>
      </c>
      <c r="I223" s="324">
        <v>57000</v>
      </c>
      <c r="J223" s="325" t="str">
        <f>IFERROR(IF(factura_c_mes4[[#This Row],[CUIT]]="","-",VLOOKUP(factura_c_mes4[[#This Row],[CUIT]],Lista_CUIT[#All],3,0)),"CUIT NO CARGADO")</f>
        <v>Gtos. Administrativos</v>
      </c>
      <c r="K223" s="325">
        <f>IFERROR(IF(factura_c_mes4[[#This Row],[CUIT]]="","-",VLOOKUP(factura_c_mes4[[#This Row],[CUIT]],Lista_CUIT[#All],4,0)),"CUIT NO CARGADO")</f>
        <v>0</v>
      </c>
    </row>
    <row r="224" spans="4:11" x14ac:dyDescent="0.25">
      <c r="D224" s="321" t="s">
        <v>2430</v>
      </c>
      <c r="E224" s="321">
        <v>1</v>
      </c>
      <c r="F224" s="321">
        <v>4</v>
      </c>
      <c r="G224" s="322">
        <v>27203738418</v>
      </c>
      <c r="H224" s="323" t="str">
        <f>IFERROR(IF(factura_c_mes4[[#This Row],[CUIT]]="","-",VLOOKUP(factura_c_mes4[[#This Row],[CUIT]],Lista_CUIT[#All],2,0)),"CUIT NO CARGADO")</f>
        <v>CASTILLO DELIA CRISTINA</v>
      </c>
      <c r="I224" s="324">
        <v>600000</v>
      </c>
      <c r="J224" s="54" t="s">
        <v>87</v>
      </c>
      <c r="K224" s="325">
        <f>IFERROR(IF(factura_c_mes4[[#This Row],[CUIT]]="","-",VLOOKUP(factura_c_mes4[[#This Row],[CUIT]],Lista_CUIT[#All],4,0)),"CUIT NO CARGADO")</f>
        <v>0</v>
      </c>
    </row>
    <row r="225" spans="4:11" x14ac:dyDescent="0.25">
      <c r="D225" s="321"/>
      <c r="E225" s="321"/>
      <c r="F225" s="321"/>
      <c r="G225" s="322"/>
      <c r="H225" s="323" t="str">
        <f>IFERROR(IF(factura_c_mes4[[#This Row],[CUIT]]="","-",VLOOKUP(factura_c_mes4[[#This Row],[CUIT]],Lista_CUIT[#All],2,0)),"CUIT NO CARGADO")</f>
        <v>-</v>
      </c>
      <c r="I225" s="324"/>
      <c r="J225" s="325" t="str">
        <f>IFERROR(IF(factura_c_mes4[[#This Row],[CUIT]]="","-",VLOOKUP(factura_c_mes4[[#This Row],[CUIT]],Lista_CUIT[#All],3,0)),"CUIT NO CARGADO")</f>
        <v>-</v>
      </c>
      <c r="K225" s="325" t="str">
        <f>IFERROR(IF(factura_c_mes4[[#This Row],[CUIT]]="","-",VLOOKUP(factura_c_mes4[[#This Row],[CUIT]],Lista_CUIT[#All],4,0)),"CUIT NO CARGADO")</f>
        <v>-</v>
      </c>
    </row>
    <row r="226" spans="4:11" ht="18" customHeight="1" x14ac:dyDescent="0.25">
      <c r="D226" s="321"/>
      <c r="E226" s="321"/>
      <c r="F226" s="321"/>
      <c r="G226" s="322"/>
      <c r="H226" s="323" t="str">
        <f>IFERROR(IF(factura_c_mes4[[#This Row],[CUIT]]="","-",VLOOKUP(factura_c_mes4[[#This Row],[CUIT]],Lista_CUIT[#All],2,0)),"CUIT NO CARGADO")</f>
        <v>-</v>
      </c>
      <c r="I226" s="324"/>
      <c r="J226" s="325" t="str">
        <f>IFERROR(IF(factura_c_mes4[[#This Row],[CUIT]]="","-",VLOOKUP(factura_c_mes4[[#This Row],[CUIT]],Lista_CUIT[#All],3,0)),"CUIT NO CARGADO")</f>
        <v>-</v>
      </c>
      <c r="K226" s="325" t="str">
        <f>IFERROR(IF(factura_c_mes4[[#This Row],[CUIT]]="","-",VLOOKUP(factura_c_mes4[[#This Row],[CUIT]],Lista_CUIT[#All],4,0)),"CUIT NO CARGADO")</f>
        <v>-</v>
      </c>
    </row>
    <row r="227" spans="4:11" x14ac:dyDescent="0.25">
      <c r="D227" s="321"/>
      <c r="E227" s="321"/>
      <c r="F227" s="321"/>
      <c r="G227" s="322"/>
      <c r="H227" s="323" t="str">
        <f>IFERROR(IF(factura_c_mes4[[#This Row],[CUIT]]="","-",VLOOKUP(factura_c_mes4[[#This Row],[CUIT]],Lista_CUIT[#All],2,0)),"CUIT NO CARGADO")</f>
        <v>-</v>
      </c>
      <c r="I227" s="324"/>
      <c r="J227" s="325" t="str">
        <f>IFERROR(IF(factura_c_mes4[[#This Row],[CUIT]]="","-",VLOOKUP(factura_c_mes4[[#This Row],[CUIT]],Lista_CUIT[#All],3,0)),"CUIT NO CARGADO")</f>
        <v>-</v>
      </c>
      <c r="K227" s="325" t="str">
        <f>IFERROR(IF(factura_c_mes4[[#This Row],[CUIT]]="","-",VLOOKUP(factura_c_mes4[[#This Row],[CUIT]],Lista_CUIT[#All],4,0)),"CUIT NO CARGADO")</f>
        <v>-</v>
      </c>
    </row>
    <row r="228" spans="4:11" x14ac:dyDescent="0.25">
      <c r="D228" s="321"/>
      <c r="E228" s="321"/>
      <c r="F228" s="321"/>
      <c r="G228" s="322"/>
      <c r="H228" s="323" t="str">
        <f>IFERROR(IF(factura_c_mes4[[#This Row],[CUIT]]="","-",VLOOKUP(factura_c_mes4[[#This Row],[CUIT]],Lista_CUIT[#All],2,0)),"CUIT NO CARGADO")</f>
        <v>-</v>
      </c>
      <c r="I228" s="324"/>
      <c r="J228" s="325" t="str">
        <f>IFERROR(IF(factura_c_mes4[[#This Row],[CUIT]]="","-",VLOOKUP(factura_c_mes4[[#This Row],[CUIT]],Lista_CUIT[#All],3,0)),"CUIT NO CARGADO")</f>
        <v>-</v>
      </c>
      <c r="K228" s="325" t="str">
        <f>IFERROR(IF(factura_c_mes4[[#This Row],[CUIT]]="","-",VLOOKUP(factura_c_mes4[[#This Row],[CUIT]],Lista_CUIT[#All],4,0)),"CUIT NO CARGADO")</f>
        <v>-</v>
      </c>
    </row>
    <row r="229" spans="4:11" x14ac:dyDescent="0.25">
      <c r="D229" s="321"/>
      <c r="E229" s="321"/>
      <c r="F229" s="321"/>
      <c r="G229" s="322"/>
      <c r="H229" s="323" t="str">
        <f>IFERROR(IF(factura_c_mes4[[#This Row],[CUIT]]="","-",VLOOKUP(factura_c_mes4[[#This Row],[CUIT]],Lista_CUIT[#All],2,0)),"CUIT NO CARGADO")</f>
        <v>-</v>
      </c>
      <c r="I229" s="324"/>
      <c r="J229" s="325" t="str">
        <f>IFERROR(IF(factura_c_mes4[[#This Row],[CUIT]]="","-",VLOOKUP(factura_c_mes4[[#This Row],[CUIT]],Lista_CUIT[#All],3,0)),"CUIT NO CARGADO")</f>
        <v>-</v>
      </c>
      <c r="K229" s="325" t="str">
        <f>IFERROR(IF(factura_c_mes4[[#This Row],[CUIT]]="","-",VLOOKUP(factura_c_mes4[[#This Row],[CUIT]],Lista_CUIT[#All],4,0)),"CUIT NO CARGADO")</f>
        <v>-</v>
      </c>
    </row>
    <row r="230" spans="4:11" x14ac:dyDescent="0.25">
      <c r="D230" s="321"/>
      <c r="E230" s="321"/>
      <c r="F230" s="321"/>
      <c r="G230" s="322"/>
      <c r="H230" s="323" t="str">
        <f>IFERROR(IF(factura_c_mes4[[#This Row],[CUIT]]="","-",VLOOKUP(factura_c_mes4[[#This Row],[CUIT]],Lista_CUIT[#All],2,0)),"CUIT NO CARGADO")</f>
        <v>-</v>
      </c>
      <c r="I230" s="324"/>
      <c r="J230" s="325" t="str">
        <f>IFERROR(IF(factura_c_mes4[[#This Row],[CUIT]]="","-",VLOOKUP(factura_c_mes4[[#This Row],[CUIT]],Lista_CUIT[#All],3,0)),"CUIT NO CARGADO")</f>
        <v>-</v>
      </c>
      <c r="K230" s="325" t="str">
        <f>IFERROR(IF(factura_c_mes4[[#This Row],[CUIT]]="","-",VLOOKUP(factura_c_mes4[[#This Row],[CUIT]],Lista_CUIT[#All],4,0)),"CUIT NO CARGADO")</f>
        <v>-</v>
      </c>
    </row>
    <row r="231" spans="4:11" x14ac:dyDescent="0.25">
      <c r="D231" s="321"/>
      <c r="E231" s="321"/>
      <c r="F231" s="321"/>
      <c r="G231" s="322"/>
      <c r="H231" s="323" t="str">
        <f>IFERROR(IF(factura_c_mes4[[#This Row],[CUIT]]="","-",VLOOKUP(factura_c_mes4[[#This Row],[CUIT]],Lista_CUIT[#All],2,0)),"CUIT NO CARGADO")</f>
        <v>-</v>
      </c>
      <c r="I231" s="324"/>
      <c r="J231" s="325" t="str">
        <f>IFERROR(IF(factura_c_mes4[[#This Row],[CUIT]]="","-",VLOOKUP(factura_c_mes4[[#This Row],[CUIT]],Lista_CUIT[#All],3,0)),"CUIT NO CARGADO")</f>
        <v>-</v>
      </c>
      <c r="K231" s="325" t="str">
        <f>IFERROR(IF(factura_c_mes4[[#This Row],[CUIT]]="","-",VLOOKUP(factura_c_mes4[[#This Row],[CUIT]],Lista_CUIT[#All],4,0)),"CUIT NO CARGADO")</f>
        <v>-</v>
      </c>
    </row>
    <row r="232" spans="4:11" x14ac:dyDescent="0.25">
      <c r="D232" s="50"/>
      <c r="E232" s="131"/>
      <c r="F232" s="131"/>
      <c r="G232" s="118"/>
      <c r="H232" s="53" t="str">
        <f>IFERROR(IF(factura_c_mes4[[#This Row],[CUIT]]="","-",VLOOKUP(factura_c_mes4[[#This Row],[CUIT]],Lista_CUIT[#All],2,0)),"CUIT NO CARGADO")</f>
        <v>-</v>
      </c>
      <c r="I232" s="158"/>
      <c r="J232" s="54" t="str">
        <f>IFERROR(IF(factura_c_mes4[[#This Row],[CUIT]]="","-",VLOOKUP(factura_c_mes4[[#This Row],[CUIT]],Lista_CUIT[#All],3,0)),"CUIT NO CARGADO")</f>
        <v>-</v>
      </c>
      <c r="K232" s="54" t="str">
        <f>IFERROR(IF(factura_c_mes4[[#This Row],[CUIT]]="","-",VLOOKUP(factura_c_mes4[[#This Row],[CUIT]],Lista_CUIT[#All],4,0)),"CUIT NO CARGADO")</f>
        <v>-</v>
      </c>
    </row>
    <row r="233" spans="4:11" x14ac:dyDescent="0.25">
      <c r="D233" s="50"/>
      <c r="E233" s="131"/>
      <c r="F233" s="131"/>
      <c r="G233" s="118"/>
      <c r="H233" s="53" t="str">
        <f>IFERROR(IF(factura_c_mes4[[#This Row],[CUIT]]="","-",VLOOKUP(factura_c_mes4[[#This Row],[CUIT]],Lista_CUIT[#All],2,0)),"CUIT NO CARGADO")</f>
        <v>-</v>
      </c>
      <c r="I233" s="158"/>
      <c r="J233" s="54" t="str">
        <f>IFERROR(IF(factura_c_mes4[[#This Row],[CUIT]]="","-",VLOOKUP(factura_c_mes4[[#This Row],[CUIT]],Lista_CUIT[#All],3,0)),"CUIT NO CARGADO")</f>
        <v>-</v>
      </c>
      <c r="K233" s="54" t="str">
        <f>IFERROR(IF(factura_c_mes4[[#This Row],[CUIT]]="","-",VLOOKUP(factura_c_mes4[[#This Row],[CUIT]],Lista_CUIT[#All],4,0)),"CUIT NO CARGADO")</f>
        <v>-</v>
      </c>
    </row>
    <row r="234" spans="4:11" x14ac:dyDescent="0.25">
      <c r="D234" s="50"/>
      <c r="E234" s="131"/>
      <c r="F234" s="131"/>
      <c r="G234" s="118"/>
      <c r="H234" s="53" t="str">
        <f>IFERROR(IF(factura_c_mes4[[#This Row],[CUIT]]="","-",VLOOKUP(factura_c_mes4[[#This Row],[CUIT]],Lista_CUIT[#All],2,0)),"CUIT NO CARGADO")</f>
        <v>-</v>
      </c>
      <c r="I234" s="158"/>
      <c r="J234" s="54" t="str">
        <f>IFERROR(IF(factura_c_mes4[[#This Row],[CUIT]]="","-",VLOOKUP(factura_c_mes4[[#This Row],[CUIT]],Lista_CUIT[#All],3,0)),"CUIT NO CARGADO")</f>
        <v>-</v>
      </c>
      <c r="K234" s="54" t="str">
        <f>IFERROR(IF(factura_c_mes4[[#This Row],[CUIT]]="","-",VLOOKUP(factura_c_mes4[[#This Row],[CUIT]],Lista_CUIT[#All],4,0)),"CUIT NO CARGADO")</f>
        <v>-</v>
      </c>
    </row>
    <row r="235" spans="4:11" x14ac:dyDescent="0.25">
      <c r="D235" s="50"/>
      <c r="E235" s="42"/>
      <c r="F235" s="43"/>
      <c r="G235" s="44"/>
      <c r="H235" s="53" t="str">
        <f>IFERROR(IF(factura_c_mes4[[#This Row],[CUIT]]="","-",VLOOKUP(factura_c_mes4[[#This Row],[CUIT]],Lista_CUIT[#All],2,0)),"CUIT NO CARGADO")</f>
        <v>-</v>
      </c>
      <c r="I235" s="81"/>
      <c r="J235" s="54" t="str">
        <f>IFERROR(IF(factura_c_mes4[[#This Row],[CUIT]]="","-",VLOOKUP(factura_c_mes4[[#This Row],[CUIT]],Lista_CUIT[#All],3,0)),"CUIT NO CARGADO")</f>
        <v>-</v>
      </c>
      <c r="K235" s="54" t="str">
        <f>IFERROR(IF(factura_c_mes4[[#This Row],[CUIT]]="","-",VLOOKUP(factura_c_mes4[[#This Row],[CUIT]],Lista_CUIT[#All],4,0)),"CUIT NO CARGADO")</f>
        <v>-</v>
      </c>
    </row>
    <row r="236" spans="4:11" x14ac:dyDescent="0.25">
      <c r="D236" s="50"/>
      <c r="E236" s="42"/>
      <c r="F236" s="43"/>
      <c r="G236" s="44"/>
      <c r="H236" s="53" t="str">
        <f>IFERROR(IF(factura_c_mes4[[#This Row],[CUIT]]="","-",VLOOKUP(factura_c_mes4[[#This Row],[CUIT]],Lista_CUIT[#All],2,0)),"CUIT NO CARGADO")</f>
        <v>-</v>
      </c>
      <c r="I236" s="81"/>
      <c r="J236" s="54" t="str">
        <f>IFERROR(IF(factura_c_mes4[[#This Row],[CUIT]]="","-",VLOOKUP(factura_c_mes4[[#This Row],[CUIT]],Lista_CUIT[#All],3,0)),"CUIT NO CARGADO")</f>
        <v>-</v>
      </c>
      <c r="K236" s="54" t="str">
        <f>IFERROR(IF(factura_c_mes4[[#This Row],[CUIT]]="","-",VLOOKUP(factura_c_mes4[[#This Row],[CUIT]],Lista_CUIT[#All],4,0)),"CUIT NO CARGADO")</f>
        <v>-</v>
      </c>
    </row>
    <row r="237" spans="4:11" x14ac:dyDescent="0.25">
      <c r="D237" s="50"/>
      <c r="E237" s="42"/>
      <c r="F237" s="43"/>
      <c r="G237" s="44"/>
      <c r="H237" s="53" t="str">
        <f>IFERROR(IF(factura_c_mes4[[#This Row],[CUIT]]="","-",VLOOKUP(factura_c_mes4[[#This Row],[CUIT]],Lista_CUIT[#All],2,0)),"CUIT NO CARGADO")</f>
        <v>-</v>
      </c>
      <c r="I237" s="81"/>
      <c r="J237" s="54" t="str">
        <f>IFERROR(IF(factura_c_mes4[[#This Row],[CUIT]]="","-",VLOOKUP(factura_c_mes4[[#This Row],[CUIT]],Lista_CUIT[#All],3,0)),"CUIT NO CARGADO")</f>
        <v>-</v>
      </c>
      <c r="K237" s="54" t="str">
        <f>IFERROR(IF(factura_c_mes4[[#This Row],[CUIT]]="","-",VLOOKUP(factura_c_mes4[[#This Row],[CUIT]],Lista_CUIT[#All],4,0)),"CUIT NO CARGADO")</f>
        <v>-</v>
      </c>
    </row>
    <row r="238" spans="4:11" x14ac:dyDescent="0.25">
      <c r="D238" s="50"/>
      <c r="E238" s="42"/>
      <c r="F238" s="43"/>
      <c r="G238" s="44"/>
      <c r="H238" s="53" t="str">
        <f>IFERROR(IF(factura_c_mes4[[#This Row],[CUIT]]="","-",VLOOKUP(factura_c_mes4[[#This Row],[CUIT]],Lista_CUIT[#All],2,0)),"CUIT NO CARGADO")</f>
        <v>-</v>
      </c>
      <c r="I238" s="81"/>
      <c r="J238" s="54" t="str">
        <f>IFERROR(IF(factura_c_mes4[[#This Row],[CUIT]]="","-",VLOOKUP(factura_c_mes4[[#This Row],[CUIT]],Lista_CUIT[#All],3,0)),"CUIT NO CARGADO")</f>
        <v>-</v>
      </c>
      <c r="K238" s="54" t="str">
        <f>IFERROR(IF(factura_c_mes4[[#This Row],[CUIT]]="","-",VLOOKUP(factura_c_mes4[[#This Row],[CUIT]],Lista_CUIT[#All],4,0)),"CUIT NO CARGADO")</f>
        <v>-</v>
      </c>
    </row>
    <row r="239" spans="4:11" x14ac:dyDescent="0.25">
      <c r="D239" s="50"/>
      <c r="E239" s="42"/>
      <c r="F239" s="43"/>
      <c r="G239" s="44"/>
      <c r="H239" s="53" t="str">
        <f>IFERROR(IF(factura_c_mes4[[#This Row],[CUIT]]="","-",VLOOKUP(factura_c_mes4[[#This Row],[CUIT]],Lista_CUIT[#All],2,0)),"CUIT NO CARGADO")</f>
        <v>-</v>
      </c>
      <c r="I239" s="81"/>
      <c r="J239" s="54" t="str">
        <f>IFERROR(IF(factura_c_mes4[[#This Row],[CUIT]]="","-",VLOOKUP(factura_c_mes4[[#This Row],[CUIT]],Lista_CUIT[#All],3,0)),"CUIT NO CARGADO")</f>
        <v>-</v>
      </c>
      <c r="K239" s="54" t="str">
        <f>IFERROR(IF(factura_c_mes4[[#This Row],[CUIT]]="","-",VLOOKUP(factura_c_mes4[[#This Row],[CUIT]],Lista_CUIT[#All],4,0)),"CUIT NO CARGADO")</f>
        <v>-</v>
      </c>
    </row>
    <row r="240" spans="4:11" x14ac:dyDescent="0.25">
      <c r="D240" s="50"/>
      <c r="E240" s="42"/>
      <c r="F240" s="43"/>
      <c r="G240" s="44"/>
      <c r="H240" s="53" t="str">
        <f>IFERROR(IF(factura_c_mes4[[#This Row],[CUIT]]="","-",VLOOKUP(factura_c_mes4[[#This Row],[CUIT]],Lista_CUIT[#All],2,0)),"CUIT NO CARGADO")</f>
        <v>-</v>
      </c>
      <c r="I240" s="81"/>
      <c r="J240" s="54" t="str">
        <f>IFERROR(IF(factura_c_mes4[[#This Row],[CUIT]]="","-",VLOOKUP(factura_c_mes4[[#This Row],[CUIT]],Lista_CUIT[#All],3,0)),"CUIT NO CARGADO")</f>
        <v>-</v>
      </c>
      <c r="K240" s="54" t="str">
        <f>IFERROR(IF(factura_c_mes4[[#This Row],[CUIT]]="","-",VLOOKUP(factura_c_mes4[[#This Row],[CUIT]],Lista_CUIT[#All],4,0)),"CUIT NO CARGADO")</f>
        <v>-</v>
      </c>
    </row>
    <row r="241" spans="2:18" x14ac:dyDescent="0.25">
      <c r="D241" s="50"/>
      <c r="E241" s="42"/>
      <c r="F241" s="43"/>
      <c r="G241" s="44"/>
      <c r="H241" s="53" t="str">
        <f>IFERROR(IF(factura_c_mes4[[#This Row],[CUIT]]="","-",VLOOKUP(factura_c_mes4[[#This Row],[CUIT]],Lista_CUIT[#All],2,0)),"CUIT NO CARGADO")</f>
        <v>-</v>
      </c>
      <c r="I241" s="81"/>
      <c r="J241" s="54" t="str">
        <f>IFERROR(IF(factura_c_mes4[[#This Row],[CUIT]]="","-",VLOOKUP(factura_c_mes4[[#This Row],[CUIT]],Lista_CUIT[#All],3,0)),"CUIT NO CARGADO")</f>
        <v>-</v>
      </c>
      <c r="K241" s="54" t="str">
        <f>IFERROR(IF(factura_c_mes4[[#This Row],[CUIT]]="","-",VLOOKUP(factura_c_mes4[[#This Row],[CUIT]],Lista_CUIT[#All],4,0)),"CUIT NO CARGADO")</f>
        <v>-</v>
      </c>
    </row>
    <row r="242" spans="2:18" x14ac:dyDescent="0.25">
      <c r="D242" s="50"/>
      <c r="E242" s="42"/>
      <c r="F242" s="43"/>
      <c r="G242" s="44"/>
      <c r="H242" s="53" t="str">
        <f>IFERROR(IF(factura_c_mes4[[#This Row],[CUIT]]="","-",VLOOKUP(factura_c_mes4[[#This Row],[CUIT]],Lista_CUIT[#All],2,0)),"CUIT NO CARGADO")</f>
        <v>-</v>
      </c>
      <c r="I242" s="81"/>
      <c r="J242" s="54" t="str">
        <f>IFERROR(IF(factura_c_mes4[[#This Row],[CUIT]]="","-",VLOOKUP(factura_c_mes4[[#This Row],[CUIT]],Lista_CUIT[#All],3,0)),"CUIT NO CARGADO")</f>
        <v>-</v>
      </c>
      <c r="K242" s="54" t="str">
        <f>IFERROR(IF(factura_c_mes4[[#This Row],[CUIT]]="","-",VLOOKUP(factura_c_mes4[[#This Row],[CUIT]],Lista_CUIT[#All],4,0)),"CUIT NO CARGADO")</f>
        <v>-</v>
      </c>
    </row>
    <row r="243" spans="2:18" x14ac:dyDescent="0.25">
      <c r="D243" s="50"/>
      <c r="E243" s="42"/>
      <c r="F243" s="43"/>
      <c r="G243" s="44"/>
      <c r="H243" s="53" t="str">
        <f>IFERROR(IF(factura_c_mes4[[#This Row],[CUIT]]="","-",VLOOKUP(factura_c_mes4[[#This Row],[CUIT]],Lista_CUIT[#All],2,0)),"CUIT NO CARGADO")</f>
        <v>-</v>
      </c>
      <c r="I243" s="81"/>
      <c r="J243" s="54" t="str">
        <f>IFERROR(IF(factura_c_mes4[[#This Row],[CUIT]]="","-",VLOOKUP(factura_c_mes4[[#This Row],[CUIT]],Lista_CUIT[#All],3,0)),"CUIT NO CARGADO")</f>
        <v>-</v>
      </c>
      <c r="K243" s="54" t="str">
        <f>IFERROR(IF(factura_c_mes4[[#This Row],[CUIT]]="","-",VLOOKUP(factura_c_mes4[[#This Row],[CUIT]],Lista_CUIT[#All],4,0)),"CUIT NO CARGADO")</f>
        <v>-</v>
      </c>
    </row>
    <row r="244" spans="2:18" x14ac:dyDescent="0.25">
      <c r="D244" s="55" t="s">
        <v>103</v>
      </c>
      <c r="E244" s="55"/>
      <c r="F244" s="55"/>
      <c r="G244" s="55"/>
      <c r="H244" s="57"/>
      <c r="I244" s="58">
        <f>SUBTOTAL(109,factura_c_mes4[TOTAL])</f>
        <v>12966553</v>
      </c>
      <c r="J244" s="55"/>
      <c r="K244" s="55"/>
    </row>
    <row r="245" spans="2:18" x14ac:dyDescent="0.25">
      <c r="B245" s="56"/>
      <c r="C245" s="56"/>
      <c r="L245" s="56"/>
      <c r="M245" s="56"/>
      <c r="N245" s="56"/>
      <c r="O245" s="56"/>
      <c r="P245" s="56"/>
      <c r="Q245" s="56"/>
      <c r="R245" s="56"/>
    </row>
    <row r="250" spans="2:18" ht="26.25" x14ac:dyDescent="0.25">
      <c r="B250" s="592" t="s">
        <v>29</v>
      </c>
      <c r="C250" s="592"/>
      <c r="D250" s="592"/>
      <c r="E250" s="592"/>
      <c r="F250" s="592"/>
      <c r="G250" s="592"/>
      <c r="H250" s="592"/>
      <c r="I250" s="592"/>
      <c r="J250" s="592"/>
      <c r="K250" s="593">
        <f>N1</f>
        <v>45748</v>
      </c>
      <c r="L250" s="593"/>
      <c r="M250" s="593"/>
    </row>
    <row r="252" spans="2:18" ht="21" x14ac:dyDescent="0.25">
      <c r="B252" s="594" t="s">
        <v>1709</v>
      </c>
      <c r="C252" s="594"/>
    </row>
    <row r="253" spans="2:18" ht="31.5" x14ac:dyDescent="0.25">
      <c r="B253" s="60" t="s">
        <v>0</v>
      </c>
      <c r="C253" s="61" t="s">
        <v>1</v>
      </c>
      <c r="D253" s="61" t="s">
        <v>21</v>
      </c>
      <c r="E253" s="61" t="s">
        <v>22</v>
      </c>
      <c r="F253" s="61" t="s">
        <v>3</v>
      </c>
      <c r="G253" s="61" t="s">
        <v>4</v>
      </c>
      <c r="H253" s="61" t="s">
        <v>23</v>
      </c>
      <c r="I253" s="61" t="s">
        <v>17</v>
      </c>
      <c r="J253" s="61" t="s">
        <v>7</v>
      </c>
      <c r="K253" s="61" t="s">
        <v>24</v>
      </c>
      <c r="L253" s="61" t="s">
        <v>10</v>
      </c>
      <c r="M253" s="62" t="s">
        <v>38</v>
      </c>
    </row>
    <row r="254" spans="2:18" x14ac:dyDescent="0.25">
      <c r="B254" s="40"/>
      <c r="C254" s="41"/>
      <c r="D254" s="42"/>
      <c r="E254" s="43"/>
      <c r="F254" s="44"/>
      <c r="G254" s="98" t="str">
        <f>IFERROR(IF(venta_a_mes4[[#This Row],[CUIT]]="","-",VLOOKUP(venta_a_mes4[[#This Row],[CUIT]],Lista_CUIT[#All],2,0)),"CUIT NO CARGADO")</f>
        <v>-</v>
      </c>
      <c r="H254" s="99"/>
      <c r="I254" s="100">
        <f>venta_a_mes4[[#This Row],[IMPORTE NETO]]*0.21</f>
        <v>0</v>
      </c>
      <c r="J254" s="65"/>
      <c r="K254" s="65"/>
      <c r="L254" s="65">
        <f>SUM(venta_a_mes4[[#This Row],[IMPORTE NETO]:[EXENTO]])</f>
        <v>0</v>
      </c>
      <c r="M254" s="59"/>
    </row>
    <row r="255" spans="2:18" x14ac:dyDescent="0.25">
      <c r="B255" s="40"/>
      <c r="C255" s="41"/>
      <c r="D255" s="42"/>
      <c r="E255" s="43"/>
      <c r="F255" s="44"/>
      <c r="G255" s="98" t="str">
        <f>IFERROR(IF(venta_a_mes4[[#This Row],[CUIT]]="","-",VLOOKUP(venta_a_mes4[[#This Row],[CUIT]],Lista_CUIT[#All],2,0)),"CUIT NO CARGADO")</f>
        <v>-</v>
      </c>
      <c r="H255" s="99"/>
      <c r="I255" s="100">
        <f>venta_a_mes4[[#This Row],[IMPORTE NETO]]*0.21</f>
        <v>0</v>
      </c>
      <c r="J255" s="65"/>
      <c r="K255" s="65"/>
      <c r="L255" s="65">
        <f>SUM(venta_a_mes4[[#This Row],[IMPORTE NETO]:[EXENTO]])</f>
        <v>0</v>
      </c>
      <c r="M255" s="59"/>
    </row>
    <row r="256" spans="2:18" x14ac:dyDescent="0.25">
      <c r="B256" s="40"/>
      <c r="C256" s="41"/>
      <c r="D256" s="42"/>
      <c r="E256" s="43"/>
      <c r="F256" s="44"/>
      <c r="G256" s="98" t="str">
        <f>IFERROR(IF(venta_a_mes4[[#This Row],[CUIT]]="","-",VLOOKUP(venta_a_mes4[[#This Row],[CUIT]],Lista_CUIT[#All],2,0)),"CUIT NO CARGADO")</f>
        <v>-</v>
      </c>
      <c r="H256" s="99"/>
      <c r="I256" s="100">
        <f>venta_a_mes4[[#This Row],[IMPORTE NETO]]*0.21</f>
        <v>0</v>
      </c>
      <c r="J256" s="65"/>
      <c r="K256" s="65"/>
      <c r="L256" s="65">
        <f>SUM(venta_a_mes4[[#This Row],[IMPORTE NETO]:[EXENTO]])</f>
        <v>0</v>
      </c>
      <c r="M256" s="59"/>
    </row>
    <row r="257" spans="2:13" x14ac:dyDescent="0.25">
      <c r="B257" s="40"/>
      <c r="C257" s="41"/>
      <c r="D257" s="42"/>
      <c r="E257" s="43"/>
      <c r="F257" s="44"/>
      <c r="G257" s="98" t="str">
        <f>IFERROR(IF(venta_a_mes4[[#This Row],[CUIT]]="","-",VLOOKUP(venta_a_mes4[[#This Row],[CUIT]],Lista_CUIT[#All],2,0)),"CUIT NO CARGADO")</f>
        <v>-</v>
      </c>
      <c r="H257" s="99"/>
      <c r="I257" s="100">
        <f>venta_a_mes4[[#This Row],[IMPORTE NETO]]*0.21</f>
        <v>0</v>
      </c>
      <c r="J257" s="65"/>
      <c r="K257" s="65"/>
      <c r="L257" s="65">
        <f>SUM(venta_a_mes4[[#This Row],[IMPORTE NETO]:[EXENTO]])</f>
        <v>0</v>
      </c>
      <c r="M257" s="59"/>
    </row>
    <row r="258" spans="2:13" x14ac:dyDescent="0.25">
      <c r="B258" s="40"/>
      <c r="C258" s="41"/>
      <c r="D258" s="42"/>
      <c r="E258" s="43"/>
      <c r="F258" s="44"/>
      <c r="G258" s="98" t="str">
        <f>IFERROR(IF(venta_a_mes4[[#This Row],[CUIT]]="","-",VLOOKUP(venta_a_mes4[[#This Row],[CUIT]],Lista_CUIT[#All],2,0)),"CUIT NO CARGADO")</f>
        <v>-</v>
      </c>
      <c r="H258" s="99"/>
      <c r="I258" s="100">
        <f>venta_a_mes4[[#This Row],[IMPORTE NETO]]*0.21</f>
        <v>0</v>
      </c>
      <c r="J258" s="65"/>
      <c r="K258" s="65"/>
      <c r="L258" s="65">
        <f>SUM(venta_a_mes4[[#This Row],[IMPORTE NETO]:[EXENTO]])</f>
        <v>0</v>
      </c>
      <c r="M258" s="59"/>
    </row>
    <row r="259" spans="2:13" x14ac:dyDescent="0.25">
      <c r="B259" s="66" t="s">
        <v>103</v>
      </c>
      <c r="C259" s="67"/>
      <c r="D259" s="67"/>
      <c r="E259" s="67"/>
      <c r="F259" s="67"/>
      <c r="G259" s="67"/>
      <c r="H259" s="69">
        <f>SUBTOTAL(109,venta_a_mes4[IMPORTE NETO])</f>
        <v>0</v>
      </c>
      <c r="I259" s="70">
        <f>SUBTOTAL(109,venta_a_mes4[IVA 21%])</f>
        <v>0</v>
      </c>
      <c r="J259" s="71">
        <f>SUBTOTAL(109,venta_a_mes4[IVA 10,5%])</f>
        <v>0</v>
      </c>
      <c r="K259" s="71">
        <f>SUBTOTAL(109,venta_a_mes4[EXENTO])</f>
        <v>0</v>
      </c>
      <c r="L259" s="71">
        <f>SUBTOTAL(109,venta_a_mes4[TOTAL])</f>
        <v>0</v>
      </c>
      <c r="M259" s="68">
        <f>SUBTOTAL(103,venta_a_mes4[Provincia])</f>
        <v>0</v>
      </c>
    </row>
    <row r="262" spans="2:13" ht="21" x14ac:dyDescent="0.25">
      <c r="B262" s="594" t="s">
        <v>31</v>
      </c>
      <c r="C262" s="594"/>
    </row>
    <row r="263" spans="2:13" ht="31.5" x14ac:dyDescent="0.25">
      <c r="B263" s="60" t="s">
        <v>0</v>
      </c>
      <c r="C263" s="61" t="s">
        <v>1</v>
      </c>
      <c r="D263" s="61" t="s">
        <v>21</v>
      </c>
      <c r="E263" s="61" t="s">
        <v>22</v>
      </c>
      <c r="F263" s="61" t="s">
        <v>3</v>
      </c>
      <c r="G263" s="61" t="s">
        <v>4</v>
      </c>
      <c r="H263" s="61" t="s">
        <v>23</v>
      </c>
      <c r="I263" s="61" t="s">
        <v>17</v>
      </c>
      <c r="J263" s="61" t="s">
        <v>7</v>
      </c>
      <c r="K263" s="61" t="s">
        <v>24</v>
      </c>
      <c r="L263" s="61" t="s">
        <v>10</v>
      </c>
      <c r="M263" s="62" t="s">
        <v>38</v>
      </c>
    </row>
    <row r="264" spans="2:13" x14ac:dyDescent="0.25">
      <c r="B264" s="40"/>
      <c r="C264" s="41"/>
      <c r="D264" s="42"/>
      <c r="E264" s="43"/>
      <c r="F264" s="44"/>
      <c r="G264" s="1" t="str">
        <f>IFERROR(IF(ventas_b_mes4[[#This Row],[CUIT]]="","-",VLOOKUP(ventas_b_mes4[[#This Row],[CUIT]],Lista_CUIT[#All],2,0)),"CUIT NO CARGADO")</f>
        <v>-</v>
      </c>
      <c r="H264" s="64"/>
      <c r="I264" s="64"/>
      <c r="J264" s="64"/>
      <c r="K264" s="64"/>
      <c r="L264" s="64">
        <f>SUM(ventas_b_mes4[[#This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1"/>
      <c r="H265" s="64"/>
      <c r="I265" s="64"/>
      <c r="J265" s="64"/>
      <c r="K265" s="64"/>
      <c r="L265" s="64">
        <f>SUM(ventas_b_mes4[[#This Row],[IMPORTE NETO]:[EXENTO]])</f>
        <v>0</v>
      </c>
      <c r="M265" s="59"/>
    </row>
    <row r="266" spans="2:13" x14ac:dyDescent="0.25">
      <c r="B266" s="40"/>
      <c r="C266" s="41"/>
      <c r="D266" s="42"/>
      <c r="E266" s="43"/>
      <c r="F266" s="44"/>
      <c r="G266" s="1"/>
      <c r="H266" s="64"/>
      <c r="I266" s="64"/>
      <c r="J266" s="64"/>
      <c r="K266" s="64"/>
      <c r="L266" s="64">
        <f>SUM(ventas_b_mes4[[#This Row],[IMPORTE NETO]:[EXENTO]])</f>
        <v>0</v>
      </c>
      <c r="M266" s="59"/>
    </row>
    <row r="267" spans="2:13" x14ac:dyDescent="0.25">
      <c r="B267" s="40"/>
      <c r="C267" s="41"/>
      <c r="D267" s="42"/>
      <c r="E267" s="43"/>
      <c r="F267" s="44"/>
      <c r="G267" s="1"/>
      <c r="H267" s="64"/>
      <c r="I267" s="64"/>
      <c r="J267" s="64"/>
      <c r="K267" s="64"/>
      <c r="L267" s="64">
        <f>SUM(ventas_b_mes4[[#This Row],[IMPORTE NETO]:[EXENTO]])</f>
        <v>0</v>
      </c>
      <c r="M267" s="59"/>
    </row>
    <row r="268" spans="2:13" x14ac:dyDescent="0.25">
      <c r="B268" s="40"/>
      <c r="C268" s="41"/>
      <c r="D268" s="42"/>
      <c r="E268" s="43"/>
      <c r="F268" s="44"/>
      <c r="G268" s="1"/>
      <c r="H268" s="64"/>
      <c r="I268" s="64"/>
      <c r="J268" s="64"/>
      <c r="K268" s="64"/>
      <c r="L268" s="64">
        <f>SUM(ventas_b_mes4[[#This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1"/>
      <c r="H269" s="64"/>
      <c r="I269" s="64"/>
      <c r="J269" s="64"/>
      <c r="K269" s="64"/>
      <c r="L269" s="64">
        <f>SUM(ventas_b_mes4[[#This Row],[IMPORTE NETO]:[EXENTO]])</f>
        <v>0</v>
      </c>
      <c r="M269" s="59"/>
    </row>
    <row r="270" spans="2:13" x14ac:dyDescent="0.25">
      <c r="B270" s="66" t="s">
        <v>103</v>
      </c>
      <c r="C270" s="67"/>
      <c r="D270" s="67"/>
      <c r="E270" s="67"/>
      <c r="F270" s="67"/>
      <c r="G270" s="67"/>
      <c r="H270" s="77">
        <f>SUBTOTAL(109,ventas_b_mes4[IMPORTE NETO])</f>
        <v>0</v>
      </c>
      <c r="I270" s="77">
        <f>SUBTOTAL(109,ventas_b_mes4[IVA 21%])</f>
        <v>0</v>
      </c>
      <c r="J270" s="78">
        <f>SUBTOTAL(109,ventas_b_mes4[IVA 10,5%])</f>
        <v>0</v>
      </c>
      <c r="K270" s="78">
        <f>SUBTOTAL(109,ventas_b_mes4[EXENTO])</f>
        <v>0</v>
      </c>
      <c r="L270" s="78">
        <f>SUBTOTAL(109,ventas_b_mes4[TOTAL])</f>
        <v>0</v>
      </c>
      <c r="M270" s="68">
        <f>SUBTOTAL(103,ventas_b_mes4[Provincia])</f>
        <v>0</v>
      </c>
    </row>
    <row r="277" spans="3:12" ht="15.75" thickBot="1" x14ac:dyDescent="0.3"/>
    <row r="278" spans="3:12" ht="15.75" thickTop="1" x14ac:dyDescent="0.25">
      <c r="C278" s="588" t="s">
        <v>66</v>
      </c>
      <c r="D278" s="588"/>
      <c r="E278" s="588"/>
      <c r="F278" s="588"/>
      <c r="G278" s="588"/>
      <c r="H278" s="32"/>
      <c r="I278" s="32"/>
      <c r="J278" s="32"/>
    </row>
    <row r="279" spans="3:12" ht="15.75" x14ac:dyDescent="0.25">
      <c r="C279" s="113" t="s">
        <v>67</v>
      </c>
      <c r="D279" s="114" t="s">
        <v>68</v>
      </c>
      <c r="E279" s="114" t="s">
        <v>105</v>
      </c>
      <c r="F279" s="114" t="s">
        <v>3</v>
      </c>
      <c r="G279" s="114" t="s">
        <v>4</v>
      </c>
      <c r="H279" s="115" t="s">
        <v>69</v>
      </c>
      <c r="I279" s="115" t="s">
        <v>70</v>
      </c>
      <c r="J279" s="115" t="s">
        <v>71</v>
      </c>
      <c r="K279" s="115" t="s">
        <v>72</v>
      </c>
      <c r="L279" s="115" t="s">
        <v>73</v>
      </c>
    </row>
    <row r="280" spans="3:12" x14ac:dyDescent="0.25">
      <c r="C280" s="116"/>
      <c r="D280" s="117"/>
      <c r="E280" s="117"/>
      <c r="F280" s="118"/>
      <c r="G280" s="53" t="str">
        <f>IFERROR(IF(Retenciones_mes4[[#This Row],[CUIT]]="","-",VLOOKUP(Retenciones_mes4[[#This Row],[CUIT]],Lista_CUIT[#All],2,0)),"CUIT NO CARGADO")</f>
        <v>-</v>
      </c>
      <c r="H280" s="119"/>
      <c r="I280" s="119"/>
      <c r="J280" s="119"/>
      <c r="K280" s="119"/>
      <c r="L280" s="119"/>
    </row>
    <row r="281" spans="3:12" x14ac:dyDescent="0.25">
      <c r="C281" s="116"/>
      <c r="D281" s="117"/>
      <c r="E281" s="117"/>
      <c r="F281" s="118"/>
      <c r="G281" s="53" t="str">
        <f>IFERROR(IF(Retenciones_mes4[[#This Row],[CUIT]]="","-",VLOOKUP(Retenciones_mes4[[#This Row],[CUIT]],Lista_CUIT[#All],2,0)),"CUIT NO CARGADO")</f>
        <v>-</v>
      </c>
      <c r="H281" s="119"/>
      <c r="I281" s="119"/>
      <c r="J281" s="119"/>
      <c r="K281" s="119"/>
      <c r="L281" s="119"/>
    </row>
    <row r="282" spans="3:12" x14ac:dyDescent="0.25">
      <c r="C282" s="116"/>
      <c r="D282" s="117"/>
      <c r="E282" s="117"/>
      <c r="F282" s="118"/>
      <c r="G282" s="53" t="str">
        <f>IFERROR(IF(Retenciones_mes4[[#This Row],[CUIT]]="","-",VLOOKUP(Retenciones_mes4[[#This Row],[CUIT]],Lista_CUIT[#All],2,0)),"CUIT NO CARGADO")</f>
        <v>-</v>
      </c>
      <c r="H282" s="119"/>
      <c r="I282" s="119"/>
      <c r="J282" s="119"/>
      <c r="K282" s="119"/>
      <c r="L282" s="119"/>
    </row>
    <row r="283" spans="3:12" x14ac:dyDescent="0.25">
      <c r="C283" s="116"/>
      <c r="D283" s="117"/>
      <c r="E283" s="117"/>
      <c r="F283" s="118"/>
      <c r="G283" s="53" t="str">
        <f>IFERROR(IF(Retenciones_mes4[[#This Row],[CUIT]]="","-",VLOOKUP(Retenciones_mes4[[#This Row],[CUIT]],Lista_CUIT[#All],2,0)),"CUIT NO CARGADO")</f>
        <v>-</v>
      </c>
      <c r="H283" s="119"/>
      <c r="I283" s="119"/>
      <c r="J283" s="119"/>
      <c r="K283" s="119"/>
      <c r="L283" s="119"/>
    </row>
    <row r="284" spans="3:12" x14ac:dyDescent="0.25">
      <c r="D284" s="117"/>
      <c r="E284" s="117"/>
      <c r="G284" s="53" t="str">
        <f>IFERROR(IF(Retenciones_mes4[[#This Row],[CUIT]]="","-",VLOOKUP(Retenciones_mes4[[#This Row],[CUIT]],Lista_CUIT[#All],2,0)),"CUIT NO CARGADO")</f>
        <v>-</v>
      </c>
    </row>
    <row r="285" spans="3:12" x14ac:dyDescent="0.25">
      <c r="C285" s="33"/>
    </row>
  </sheetData>
  <mergeCells count="20">
    <mergeCell ref="C278:G278"/>
    <mergeCell ref="B4:E4"/>
    <mergeCell ref="G4:H4"/>
    <mergeCell ref="J4:K4"/>
    <mergeCell ref="M4:N4"/>
    <mergeCell ref="D192:K192"/>
    <mergeCell ref="B250:J250"/>
    <mergeCell ref="K250:M250"/>
    <mergeCell ref="B252:C252"/>
    <mergeCell ref="B262:C262"/>
    <mergeCell ref="P4:R4"/>
    <mergeCell ref="D180:L180"/>
    <mergeCell ref="B1:F1"/>
    <mergeCell ref="G1:M1"/>
    <mergeCell ref="N1:R1"/>
    <mergeCell ref="B3:E3"/>
    <mergeCell ref="G3:H3"/>
    <mergeCell ref="J3:K3"/>
    <mergeCell ref="M3:N3"/>
    <mergeCell ref="P3:R3"/>
  </mergeCells>
  <dataValidations count="11">
    <dataValidation type="custom" allowBlank="1" showInputMessage="1" showErrorMessage="1" sqref="H264:L269" xr:uid="{00000000-0002-0000-0400-000000000000}">
      <formula1>IF($C264=8,H264&lt;0,H264&gt;=0)</formula1>
    </dataValidation>
    <dataValidation type="custom" allowBlank="1" showInputMessage="1" showErrorMessage="1" sqref="L256:L258" xr:uid="{00000000-0002-0000-0400-000001000000}">
      <formula1>IF($C8=3,L8&lt;0,L8&gt;=0)</formula1>
    </dataValidation>
    <dataValidation type="custom" allowBlank="1" showInputMessage="1" showErrorMessage="1" sqref="L254:L255" xr:uid="{00000000-0002-0000-0400-000002000000}">
      <formula1>IF(#REF!=3,#REF!&lt;0,#REF!&gt;=0)</formula1>
    </dataValidation>
    <dataValidation type="whole" allowBlank="1" showInputMessage="1" showErrorMessage="1" sqref="C264:C269" xr:uid="{00000000-0002-0000-0400-000003000000}">
      <formula1>6</formula1>
      <formula2>8</formula2>
    </dataValidation>
    <dataValidation type="custom" allowBlank="1" showInputMessage="1" showErrorMessage="1" sqref="H254:K254 H256:K256 H258:K258" xr:uid="{00000000-0002-0000-0400-000004000000}">
      <formula1>IF($C254=3,H254&lt;0,H254&gt;=0)</formula1>
    </dataValidation>
    <dataValidation type="whole" allowBlank="1" showInputMessage="1" showErrorMessage="1" sqref="C254:C258 C179 C8:C177" xr:uid="{00000000-0002-0000-0400-000005000000}">
      <formula1>1</formula1>
      <formula2>3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O15:O82 O84:O159 J15:N160 H8:H160 I8:I177 J8:O14" xr:uid="{00000000-0002-0000-0400-000006000000}">
      <formula1>IF($C8=3,H8&lt;0,H8&gt;=0)</formula1>
    </dataValidation>
    <dataValidation type="date" allowBlank="1" showInputMessage="1" showErrorMessage="1" sqref="B254:B258 B264:B269 D194:D243 D182:D188 B179 B8:B160" xr:uid="{00000000-0002-0000-0400-000007000000}">
      <formula1>40179</formula1>
      <formula2>TODAY()</formula2>
    </dataValidation>
    <dataValidation type="whole" allowBlank="1" showInputMessage="1" showErrorMessage="1" sqref="G194:G243 F264:F269 F254:F258 F8:F160" xr:uid="{00000000-0002-0000-0400-000008000000}">
      <formula1>20000000000</formula1>
      <formula2>33999999999</formula2>
    </dataValidation>
    <dataValidation type="whole" allowBlank="1" showInputMessage="1" showErrorMessage="1" sqref="E254:E258 E264:E269 F194:F243 E8:E160" xr:uid="{00000000-0002-0000-0400-000009000000}">
      <formula1>1</formula1>
      <formula2>99999999</formula2>
    </dataValidation>
    <dataValidation type="whole" allowBlank="1" showInputMessage="1" showErrorMessage="1" sqref="D254:D258 D264:D269 E194:E243 D8:D160" xr:uid="{00000000-0002-0000-0400-00000A000000}">
      <formula1>1</formula1>
      <formula2>9999</formula2>
    </dataValidation>
  </dataValidations>
  <pageMargins left="0.7" right="0.7" top="0.75" bottom="0.75" header="0.3" footer="0.3"/>
  <pageSetup paperSize="9" scale="51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2">
    <tabColor theme="9" tint="0.79998168889431442"/>
    <pageSetUpPr fitToPage="1"/>
  </sheetPr>
  <dimension ref="A1:Z258"/>
  <sheetViews>
    <sheetView showGridLines="0" zoomScale="80" zoomScaleNormal="80" workbookViewId="0">
      <selection activeCell="I221" activeCellId="1" sqref="P165 I221"/>
    </sheetView>
  </sheetViews>
  <sheetFormatPr baseColWidth="10" defaultColWidth="15.7109375" defaultRowHeight="15" x14ac:dyDescent="0.25"/>
  <cols>
    <col min="1" max="1" width="4.855468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3.140625" customWidth="1"/>
    <col min="7" max="7" width="30.140625" style="330" customWidth="1"/>
    <col min="17" max="17" width="17" customWidth="1"/>
    <col min="18" max="18" width="17.5703125" customWidth="1"/>
  </cols>
  <sheetData>
    <row r="1" spans="1:26" ht="28.5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EDATE('Ene-25'!N1,4)</f>
        <v>45778</v>
      </c>
      <c r="O1" s="584"/>
      <c r="P1" s="584"/>
      <c r="Q1" s="584"/>
      <c r="R1" s="584"/>
    </row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SUM(compras_mes5[[#Totals],[NETO GRAVADO]])+extracto_banco_mes5[[#Totals],[NETO]]</f>
        <v>150787041.70428565</v>
      </c>
      <c r="C4" s="589"/>
      <c r="D4" s="589"/>
      <c r="E4" s="589"/>
      <c r="F4" s="39"/>
      <c r="G4" s="590">
        <f>compras_mes5[[#Totals],[IVA 21 %]]+compras_mes5[[#Totals],[IVA 27%]]+compras_mes5[[#Totals],[IVA 10,5%]]+extracto_banco_mes5[[#Totals],[IVA 21%]]+extracto_banco_mes5[[#Totals],[IVA 10,5%]]</f>
        <v>31095016.072600007</v>
      </c>
      <c r="H4" s="590"/>
      <c r="I4" s="39"/>
      <c r="J4" s="591">
        <f>venta_a_mes5[[#Totals],[IMPORTE NETO]]+ventas_b_mes5[[#Totals],[IMPORTE NETO]]</f>
        <v>0</v>
      </c>
      <c r="K4" s="591"/>
      <c r="L4" s="39"/>
      <c r="M4" s="591">
        <f>venta_a_mes5[[#Totals],[IVA 21%]]+venta_a_mes5[[#Totals],[IVA 10,5%]]+ventas_b_mes5[[#Totals],[IVA 21%]]+ventas_b_mes5[[#Totals],[IVA 10,5%]]</f>
        <v>0</v>
      </c>
      <c r="N4" s="591"/>
      <c r="O4" s="39"/>
      <c r="P4" s="579">
        <f>G4-M4</f>
        <v>31095016.072600007</v>
      </c>
      <c r="Q4" s="580"/>
      <c r="R4" s="580"/>
    </row>
    <row r="5" spans="1:26" x14ac:dyDescent="0.25">
      <c r="H5" s="186"/>
    </row>
    <row r="6" spans="1:26" s="2" customFormat="1" x14ac:dyDescent="0.25">
      <c r="B6" s="40"/>
      <c r="C6" s="41"/>
      <c r="D6" s="42"/>
      <c r="E6" s="43"/>
      <c r="F6" s="44"/>
      <c r="G6" s="128"/>
      <c r="H6" s="46"/>
      <c r="I6" s="47"/>
      <c r="J6" s="47"/>
      <c r="K6" s="47"/>
      <c r="L6" s="47"/>
      <c r="M6" s="47"/>
      <c r="N6" s="47"/>
      <c r="O6" s="47"/>
      <c r="P6" s="48"/>
      <c r="Q6" s="49"/>
      <c r="R6" s="49"/>
      <c r="T6"/>
      <c r="U6"/>
      <c r="V6"/>
      <c r="W6"/>
      <c r="X6"/>
      <c r="Y6"/>
      <c r="Z6"/>
    </row>
    <row r="7" spans="1:26" ht="38.450000000000003" customHeight="1" x14ac:dyDescent="0.25">
      <c r="B7" s="84" t="s">
        <v>0</v>
      </c>
      <c r="C7" s="84" t="s">
        <v>1</v>
      </c>
      <c r="D7" s="84" t="s">
        <v>2</v>
      </c>
      <c r="E7" s="84" t="s">
        <v>27</v>
      </c>
      <c r="F7" s="84" t="s">
        <v>3</v>
      </c>
      <c r="G7" s="331" t="s">
        <v>4</v>
      </c>
      <c r="H7" s="84" t="s">
        <v>34</v>
      </c>
      <c r="I7" s="84" t="s">
        <v>35</v>
      </c>
      <c r="J7" s="84" t="s">
        <v>6</v>
      </c>
      <c r="K7" s="84" t="s">
        <v>7</v>
      </c>
      <c r="L7" s="84" t="s">
        <v>8</v>
      </c>
      <c r="M7" s="84" t="s">
        <v>33</v>
      </c>
      <c r="N7" s="84" t="s">
        <v>9</v>
      </c>
      <c r="O7" s="84" t="s">
        <v>36</v>
      </c>
      <c r="P7" s="84" t="s">
        <v>10</v>
      </c>
      <c r="Q7" s="84" t="s">
        <v>11</v>
      </c>
      <c r="R7" s="84" t="s">
        <v>38</v>
      </c>
    </row>
    <row r="8" spans="1:26" x14ac:dyDescent="0.25">
      <c r="B8" s="478" t="s">
        <v>2450</v>
      </c>
      <c r="C8" s="479">
        <v>1</v>
      </c>
      <c r="D8" s="90">
        <v>711</v>
      </c>
      <c r="E8" s="91">
        <v>7060238</v>
      </c>
      <c r="F8" s="92">
        <v>30677237119</v>
      </c>
      <c r="G8" s="332" t="str">
        <f>IFERROR(IF(compras_mes5[[#This Row],[CUIT]]="","-",VLOOKUP(compras_mes5[[#This Row],[CUIT]],Lista_CUIT[#All],2,0)),"CUIT NO CARGADO")</f>
        <v>AUTOPISTAS DEL SOL S A</v>
      </c>
      <c r="H8" s="94">
        <v>14097.43</v>
      </c>
      <c r="I8" s="328">
        <f>IF(compras_mes5[[#This Row],[NETO GRAVADO]]="","",compras_mes5[[#This Row],[NETO GRAVADO]]*0.21)</f>
        <v>2960.4602999999997</v>
      </c>
      <c r="J8" s="328"/>
      <c r="K8" s="328"/>
      <c r="L8" s="328">
        <v>422.92</v>
      </c>
      <c r="M8" s="328"/>
      <c r="N8" s="328"/>
      <c r="O8" s="328">
        <v>422.92</v>
      </c>
      <c r="P8" s="87">
        <f>SUM(compras_mes5[[#This Row],[NETO GRAVADO]:[Otros / No Grav.]])</f>
        <v>17903.730299999996</v>
      </c>
      <c r="Q8" s="88" t="str">
        <f>IFERROR(IF(compras_mes5[[#This Row],[CUIT]]="","-",VLOOKUP(compras_mes5[[#This Row],[CUIT]],Lista_CUIT[#All],3,0)),"CUIT NO CARGADO")</f>
        <v>Peajes</v>
      </c>
      <c r="R8" s="88">
        <f>IFERROR(IF(compras_mes5[[#This Row],[CUIT]]="","-",VLOOKUP(compras_mes5[[#This Row],[CUIT]],Lista_CUIT[#All],4,0)),"CUIT NO CARGADO")</f>
        <v>0</v>
      </c>
      <c r="T8" s="33">
        <f>SUM(P8:P163)</f>
        <v>174145736.10375014</v>
      </c>
    </row>
    <row r="9" spans="1:26" x14ac:dyDescent="0.25">
      <c r="B9" s="478" t="s">
        <v>2450</v>
      </c>
      <c r="C9" s="479">
        <v>1</v>
      </c>
      <c r="D9" s="481">
        <v>629</v>
      </c>
      <c r="E9" s="482">
        <v>6071199</v>
      </c>
      <c r="F9" s="483">
        <v>30663498513</v>
      </c>
      <c r="G9" s="333" t="str">
        <f>IFERROR(IF(compras_mes5[[#This Row],[CUIT]]="","-",VLOOKUP(compras_mes5[[#This Row],[CUIT]],Lista_CUIT[#All],2,0)),"CUIT NO CARGADO")</f>
        <v>GRUPO CONCES. DEL OESTE SA</v>
      </c>
      <c r="H9" s="484">
        <v>29119.77</v>
      </c>
      <c r="I9" s="328">
        <f>IF(compras_mes5[[#This Row],[NETO GRAVADO]]="","",compras_mes5[[#This Row],[NETO GRAVADO]]*0.21)</f>
        <v>6115.1516999999994</v>
      </c>
      <c r="J9" s="328"/>
      <c r="K9" s="328"/>
      <c r="L9" s="328"/>
      <c r="M9" s="328"/>
      <c r="N9" s="328"/>
      <c r="O9" s="328"/>
      <c r="P9" s="327">
        <f>SUM(compras_mes5[[#This Row],[NETO GRAVADO]:[Otros / No Grav.]])</f>
        <v>35234.921699999999</v>
      </c>
      <c r="Q9" s="329" t="str">
        <f>IFERROR(IF(compras_mes5[[#This Row],[CUIT]]="","-",VLOOKUP(compras_mes5[[#This Row],[CUIT]],Lista_CUIT[#All],3,0)),"CUIT NO CARGADO")</f>
        <v>Peajes</v>
      </c>
      <c r="R9" s="329">
        <f>IFERROR(IF(compras_mes5[[#This Row],[CUIT]]="","-",VLOOKUP(compras_mes5[[#This Row],[CUIT]],Lista_CUIT[#All],4,0)),"CUIT NO CARGADO")</f>
        <v>0</v>
      </c>
    </row>
    <row r="10" spans="1:26" x14ac:dyDescent="0.25">
      <c r="B10" s="478" t="s">
        <v>2450</v>
      </c>
      <c r="C10" s="479">
        <v>1</v>
      </c>
      <c r="D10" s="481">
        <v>1</v>
      </c>
      <c r="E10" s="482">
        <v>922</v>
      </c>
      <c r="F10" s="483">
        <v>30715889486</v>
      </c>
      <c r="G10" s="333" t="str">
        <f>IFERROR(IF(compras_mes5[[#This Row],[CUIT]]="","-",VLOOKUP(compras_mes5[[#This Row],[CUIT]],Lista_CUIT[#All],2,0)),"CUIT NO CARGADO")</f>
        <v>EXPOESTETICA</v>
      </c>
      <c r="H10" s="484">
        <v>2088000</v>
      </c>
      <c r="I10" s="328">
        <f>IF(compras_mes5[[#This Row],[NETO GRAVADO]]="","",compras_mes5[[#This Row],[NETO GRAVADO]]*0.21)</f>
        <v>438480</v>
      </c>
      <c r="J10" s="328"/>
      <c r="K10" s="328"/>
      <c r="L10" s="328"/>
      <c r="M10" s="328"/>
      <c r="N10" s="328"/>
      <c r="O10" s="328"/>
      <c r="P10" s="327">
        <f>SUM(compras_mes5[[#This Row],[NETO GRAVADO]:[Otros / No Grav.]])</f>
        <v>2526480</v>
      </c>
      <c r="Q10" s="329" t="str">
        <f>IFERROR(IF(compras_mes5[[#This Row],[CUIT]]="","-",VLOOKUP(compras_mes5[[#This Row],[CUIT]],Lista_CUIT[#All],3,0)),"CUIT NO CARGADO")</f>
        <v>Gastos Comercializacion - Feria</v>
      </c>
      <c r="R10" s="329" t="str">
        <f>IFERROR(IF(compras_mes5[[#This Row],[CUIT]]="","-",VLOOKUP(compras_mes5[[#This Row],[CUIT]],Lista_CUIT[#All],4,0)),"CUIT NO CARGADO")</f>
        <v>BUENOS AIRES</v>
      </c>
    </row>
    <row r="11" spans="1:26" x14ac:dyDescent="0.25">
      <c r="B11" s="478" t="s">
        <v>2451</v>
      </c>
      <c r="C11" s="479">
        <v>1</v>
      </c>
      <c r="D11" s="481">
        <v>2199</v>
      </c>
      <c r="E11" s="482">
        <v>36587</v>
      </c>
      <c r="F11" s="483">
        <v>30548083156</v>
      </c>
      <c r="G11" s="333" t="str">
        <f>IFERROR(IF(compras_mes5[[#This Row],[CUIT]]="","-",VLOOKUP(compras_mes5[[#This Row],[CUIT]],Lista_CUIT[#All],2,0)),"CUIT NO CARGADO")</f>
        <v>COTO CENTRO INTEGRAL DE COMERCIALIZACION SOCIEDAD ANONIMA</v>
      </c>
      <c r="H11" s="484">
        <v>59077.26</v>
      </c>
      <c r="I11" s="328">
        <v>10241.34</v>
      </c>
      <c r="J11" s="328"/>
      <c r="K11" s="328">
        <v>1082.44</v>
      </c>
      <c r="L11" s="328"/>
      <c r="M11" s="328"/>
      <c r="N11" s="328"/>
      <c r="O11" s="328">
        <v>5162.32</v>
      </c>
      <c r="P11" s="327">
        <f>SUM(compras_mes5[[#This Row],[NETO GRAVADO]:[Otros / No Grav.]])</f>
        <v>75563.360000000015</v>
      </c>
      <c r="Q11" s="329" t="str">
        <f>IFERROR(IF(compras_mes5[[#This Row],[CUIT]]="","-",VLOOKUP(compras_mes5[[#This Row],[CUIT]],Lista_CUIT[#All],3,0)),"CUIT NO CARGADO")</f>
        <v>Gastos Varios</v>
      </c>
      <c r="R11" s="329">
        <f>IFERROR(IF(compras_mes5[[#This Row],[CUIT]]="","-",VLOOKUP(compras_mes5[[#This Row],[CUIT]],Lista_CUIT[#All],4,0)),"CUIT NO CARGADO")</f>
        <v>0</v>
      </c>
    </row>
    <row r="12" spans="1:26" x14ac:dyDescent="0.25">
      <c r="B12" s="478" t="s">
        <v>2451</v>
      </c>
      <c r="C12" s="479">
        <v>1</v>
      </c>
      <c r="D12" s="481">
        <v>1</v>
      </c>
      <c r="E12" s="482">
        <v>606</v>
      </c>
      <c r="F12" s="483">
        <v>20131206144</v>
      </c>
      <c r="G12" s="333" t="str">
        <f>IFERROR(IF(compras_mes5[[#This Row],[CUIT]]="","-",VLOOKUP(compras_mes5[[#This Row],[CUIT]],Lista_CUIT[#All],2,0)),"CUIT NO CARGADO")</f>
        <v>CHAMORRO MANUEL</v>
      </c>
      <c r="H12" s="484">
        <v>1180956</v>
      </c>
      <c r="I12" s="328">
        <f>IF(compras_mes5[[#This Row],[NETO GRAVADO]]="","",compras_mes5[[#This Row],[NETO GRAVADO]]*0.21)</f>
        <v>248000.75999999998</v>
      </c>
      <c r="J12" s="328"/>
      <c r="K12" s="328"/>
      <c r="L12" s="328"/>
      <c r="M12" s="328"/>
      <c r="N12" s="328"/>
      <c r="O12" s="328"/>
      <c r="P12" s="327">
        <f>SUM(compras_mes5[[#This Row],[NETO GRAVADO]:[Otros / No Grav.]])</f>
        <v>1428956.76</v>
      </c>
      <c r="Q12" s="329" t="str">
        <f>IFERROR(IF(compras_mes5[[#This Row],[CUIT]]="","-",VLOOKUP(compras_mes5[[#This Row],[CUIT]],Lista_CUIT[#All],3,0)),"CUIT NO CARGADO")</f>
        <v>Alquiler</v>
      </c>
      <c r="R12" s="329">
        <f>IFERROR(IF(compras_mes5[[#This Row],[CUIT]]="","-",VLOOKUP(compras_mes5[[#This Row],[CUIT]],Lista_CUIT[#All],4,0)),"CUIT NO CARGADO")</f>
        <v>0</v>
      </c>
    </row>
    <row r="13" spans="1:26" x14ac:dyDescent="0.25">
      <c r="B13" s="478" t="s">
        <v>2452</v>
      </c>
      <c r="C13" s="479">
        <v>1</v>
      </c>
      <c r="D13" s="481">
        <v>4</v>
      </c>
      <c r="E13" s="482">
        <v>2625</v>
      </c>
      <c r="F13" s="483">
        <v>23177130079</v>
      </c>
      <c r="G13" s="333" t="str">
        <f>IFERROR(IF(compras_mes5[[#This Row],[CUIT]]="","-",VLOOKUP(compras_mes5[[#This Row],[CUIT]],Lista_CUIT[#All],2,0)),"CUIT NO CARGADO")</f>
        <v>NATALI HUGO ARIEL</v>
      </c>
      <c r="H13" s="484">
        <v>18595.04</v>
      </c>
      <c r="I13" s="328">
        <f>IF(compras_mes5[[#This Row],[NETO GRAVADO]]="","",compras_mes5[[#This Row],[NETO GRAVADO]]*0.21)</f>
        <v>3904.9584</v>
      </c>
      <c r="J13" s="328"/>
      <c r="K13" s="328"/>
      <c r="L13" s="328"/>
      <c r="M13" s="328"/>
      <c r="N13" s="328"/>
      <c r="O13" s="328"/>
      <c r="P13" s="327">
        <f>SUM(compras_mes5[[#This Row],[NETO GRAVADO]:[Otros / No Grav.]])</f>
        <v>22499.9984</v>
      </c>
      <c r="Q13" s="329" t="str">
        <f>IFERROR(IF(compras_mes5[[#This Row],[CUIT]]="","-",VLOOKUP(compras_mes5[[#This Row],[CUIT]],Lista_CUIT[#All],3,0)),"CUIT NO CARGADO")</f>
        <v>Gastos Varios</v>
      </c>
      <c r="R13" s="329">
        <f>IFERROR(IF(compras_mes5[[#This Row],[CUIT]]="","-",VLOOKUP(compras_mes5[[#This Row],[CUIT]],Lista_CUIT[#All],4,0)),"CUIT NO CARGADO")</f>
        <v>0</v>
      </c>
    </row>
    <row r="14" spans="1:26" x14ac:dyDescent="0.25">
      <c r="B14" s="478" t="s">
        <v>2452</v>
      </c>
      <c r="C14" s="479">
        <v>1</v>
      </c>
      <c r="D14" s="481">
        <v>3099</v>
      </c>
      <c r="E14" s="482">
        <v>445752</v>
      </c>
      <c r="F14" s="483">
        <v>30678814357</v>
      </c>
      <c r="G14" s="333" t="str">
        <f>IFERROR(IF(compras_mes5[[#This Row],[CUIT]]="","-",VLOOKUP(compras_mes5[[#This Row],[CUIT]],Lista_CUIT[#All],2,0)),"CUIT NO CARGADO")</f>
        <v>TELEFONICA MOVILES ARG</v>
      </c>
      <c r="H14" s="484">
        <v>37446</v>
      </c>
      <c r="I14" s="85" t="s">
        <v>2411</v>
      </c>
      <c r="J14" s="328">
        <f>compras_mes5[[#This Row],[NETO GRAVADO]]*0.27</f>
        <v>10110.42</v>
      </c>
      <c r="K14" s="328"/>
      <c r="L14" s="328">
        <v>1123.3800000000001</v>
      </c>
      <c r="M14" s="328">
        <v>2246.7600000000002</v>
      </c>
      <c r="N14" s="328"/>
      <c r="O14" s="328"/>
      <c r="P14" s="327">
        <f>SUM(compras_mes5[[#This Row],[NETO GRAVADO]:[Otros / No Grav.]])</f>
        <v>50926.559999999998</v>
      </c>
      <c r="Q14" s="329" t="str">
        <f>IFERROR(IF(compras_mes5[[#This Row],[CUIT]]="","-",VLOOKUP(compras_mes5[[#This Row],[CUIT]],Lista_CUIT[#All],3,0)),"CUIT NO CARGADO")</f>
        <v>Servicios Gas, Luz, etc.</v>
      </c>
      <c r="R14" s="329">
        <f>IFERROR(IF(compras_mes5[[#This Row],[CUIT]]="","-",VLOOKUP(compras_mes5[[#This Row],[CUIT]],Lista_CUIT[#All],4,0)),"CUIT NO CARGADO")</f>
        <v>0</v>
      </c>
    </row>
    <row r="15" spans="1:26" x14ac:dyDescent="0.25">
      <c r="B15" s="478" t="s">
        <v>2452</v>
      </c>
      <c r="C15" s="479">
        <v>1</v>
      </c>
      <c r="D15" s="481">
        <v>6428</v>
      </c>
      <c r="E15" s="482">
        <v>629</v>
      </c>
      <c r="F15" s="483">
        <v>30638485733</v>
      </c>
      <c r="G15" s="333" t="str">
        <f>IFERROR(IF(compras_mes5[[#This Row],[CUIT]]="","-",VLOOKUP(compras_mes5[[#This Row],[CUIT]],Lista_CUIT[#All],2,0)),"CUIT NO CARGADO")</f>
        <v>DABRA SOCIEDAD ANONIMA</v>
      </c>
      <c r="H15" s="484">
        <v>45453.71</v>
      </c>
      <c r="I15" s="328">
        <f>IF(compras_mes5[[#This Row],[NETO GRAVADO]]="","",compras_mes5[[#This Row],[NETO GRAVADO]]*0.21)</f>
        <v>9545.2790999999997</v>
      </c>
      <c r="J15" s="328"/>
      <c r="K15" s="328"/>
      <c r="L15" s="328"/>
      <c r="M15" s="328"/>
      <c r="N15" s="328">
        <v>2727.22</v>
      </c>
      <c r="O15" s="328"/>
      <c r="P15" s="327">
        <f>SUM(compras_mes5[[#This Row],[NETO GRAVADO]:[Otros / No Grav.]])</f>
        <v>57726.2091</v>
      </c>
      <c r="Q15" s="329" t="str">
        <f>IFERROR(IF(compras_mes5[[#This Row],[CUIT]]="","-",VLOOKUP(compras_mes5[[#This Row],[CUIT]],Lista_CUIT[#All],3,0)),"CUIT NO CARGADO")</f>
        <v>Gastos Varios</v>
      </c>
      <c r="R15" s="329">
        <f>IFERROR(IF(compras_mes5[[#This Row],[CUIT]]="","-",VLOOKUP(compras_mes5[[#This Row],[CUIT]],Lista_CUIT[#All],4,0)),"CUIT NO CARGADO")</f>
        <v>0</v>
      </c>
    </row>
    <row r="16" spans="1:26" x14ac:dyDescent="0.25">
      <c r="B16" s="478" t="s">
        <v>2453</v>
      </c>
      <c r="C16" s="479">
        <v>1</v>
      </c>
      <c r="D16" s="42">
        <v>6</v>
      </c>
      <c r="E16" s="43">
        <v>26746</v>
      </c>
      <c r="F16" s="44">
        <v>33640878679</v>
      </c>
      <c r="G16" s="334" t="str">
        <f>IFERROR(IF(compras_mes5[[#This Row],[CUIT]]="","-",VLOOKUP(compras_mes5[[#This Row],[CUIT]],Lista_CUIT[#All],2,0)),"CUIT NO CARGADO")</f>
        <v>DHACAM S R L</v>
      </c>
      <c r="H16" s="46">
        <v>2488270</v>
      </c>
      <c r="I16" s="328">
        <f>IF(compras_mes5[[#This Row],[NETO GRAVADO]]="","",compras_mes5[[#This Row],[NETO GRAVADO]]*0.21)</f>
        <v>522536.69999999995</v>
      </c>
      <c r="J16" s="328"/>
      <c r="K16" s="328"/>
      <c r="L16" s="328"/>
      <c r="M16" s="328"/>
      <c r="N16" s="328"/>
      <c r="O16" s="328"/>
      <c r="P16" s="48">
        <f>SUM(compras_mes5[[#This Row],[NETO GRAVADO]:[Otros / No Grav.]])</f>
        <v>3010806.7</v>
      </c>
      <c r="Q16" s="49" t="str">
        <f>IFERROR(IF(compras_mes5[[#This Row],[CUIT]]="","-",VLOOKUP(compras_mes5[[#This Row],[CUIT]],Lista_CUIT[#All],3,0)),"CUIT NO CARGADO")</f>
        <v>Materia Prima</v>
      </c>
      <c r="R16" s="49">
        <f>IFERROR(IF(compras_mes5[[#This Row],[CUIT]]="","-",VLOOKUP(compras_mes5[[#This Row],[CUIT]],Lista_CUIT[#All],4,0)),"CUIT NO CARGADO")</f>
        <v>0</v>
      </c>
    </row>
    <row r="17" spans="2:18" x14ac:dyDescent="0.25">
      <c r="B17" s="478" t="s">
        <v>2453</v>
      </c>
      <c r="C17" s="479">
        <v>1</v>
      </c>
      <c r="D17" s="481">
        <v>6</v>
      </c>
      <c r="E17" s="482">
        <v>128</v>
      </c>
      <c r="F17" s="483">
        <v>20269531062</v>
      </c>
      <c r="G17" s="333" t="str">
        <f>IFERROR(IF(compras_mes5[[#This Row],[CUIT]]="","-",VLOOKUP(compras_mes5[[#This Row],[CUIT]],Lista_CUIT[#All],2,0)),"CUIT NO CARGADO")</f>
        <v>PEZZELATTO RICARDO OMAR</v>
      </c>
      <c r="H17" s="484">
        <v>26743.39</v>
      </c>
      <c r="I17" s="328">
        <f>IF(compras_mes5[[#This Row],[NETO GRAVADO]]="","",compras_mes5[[#This Row],[NETO GRAVADO]]*0.21)</f>
        <v>5616.1118999999999</v>
      </c>
      <c r="J17" s="328"/>
      <c r="K17" s="328"/>
      <c r="L17" s="328"/>
      <c r="M17" s="328"/>
      <c r="N17" s="328"/>
      <c r="O17" s="328"/>
      <c r="P17" s="327">
        <f>SUM(compras_mes5[[#This Row],[NETO GRAVADO]:[Otros / No Grav.]])</f>
        <v>32359.501899999999</v>
      </c>
      <c r="Q17" s="329" t="str">
        <f>IFERROR(IF(compras_mes5[[#This Row],[CUIT]]="","-",VLOOKUP(compras_mes5[[#This Row],[CUIT]],Lista_CUIT[#All],3,0)),"CUIT NO CARGADO")</f>
        <v>Gastos Varios</v>
      </c>
      <c r="R17" s="329">
        <f>IFERROR(IF(compras_mes5[[#This Row],[CUIT]]="","-",VLOOKUP(compras_mes5[[#This Row],[CUIT]],Lista_CUIT[#All],4,0)),"CUIT NO CARGADO")</f>
        <v>0</v>
      </c>
    </row>
    <row r="18" spans="2:18" x14ac:dyDescent="0.25">
      <c r="B18" s="478" t="s">
        <v>2453</v>
      </c>
      <c r="C18" s="479">
        <v>1</v>
      </c>
      <c r="D18" s="481">
        <v>4</v>
      </c>
      <c r="E18" s="482">
        <v>28931</v>
      </c>
      <c r="F18" s="483">
        <v>30552433595</v>
      </c>
      <c r="G18" s="333" t="str">
        <f>IFERROR(IF(compras_mes5[[#This Row],[CUIT]]="","-",VLOOKUP(compras_mes5[[#This Row],[CUIT]],Lista_CUIT[#All],2,0)),"CUIT NO CARGADO")</f>
        <v>PIROPLAST SRL</v>
      </c>
      <c r="H18" s="484">
        <v>1189524</v>
      </c>
      <c r="I18" s="328">
        <f>IF(compras_mes5[[#This Row],[NETO GRAVADO]]="","",compras_mes5[[#This Row],[NETO GRAVADO]]*0.21)</f>
        <v>249800.03999999998</v>
      </c>
      <c r="J18" s="328"/>
      <c r="K18" s="328"/>
      <c r="L18" s="328"/>
      <c r="M18" s="328"/>
      <c r="N18" s="328"/>
      <c r="O18" s="328"/>
      <c r="P18" s="327">
        <f>SUM(compras_mes5[[#This Row],[NETO GRAVADO]:[Otros / No Grav.]])</f>
        <v>1439324.04</v>
      </c>
      <c r="Q18" s="329" t="str">
        <f>IFERROR(IF(compras_mes5[[#This Row],[CUIT]]="","-",VLOOKUP(compras_mes5[[#This Row],[CUIT]],Lista_CUIT[#All],3,0)),"CUIT NO CARGADO")</f>
        <v>Material de Empaque</v>
      </c>
      <c r="R18" s="329">
        <f>IFERROR(IF(compras_mes5[[#This Row],[CUIT]]="","-",VLOOKUP(compras_mes5[[#This Row],[CUIT]],Lista_CUIT[#All],4,0)),"CUIT NO CARGADO")</f>
        <v>0</v>
      </c>
    </row>
    <row r="19" spans="2:18" x14ac:dyDescent="0.25">
      <c r="B19" s="478" t="s">
        <v>2453</v>
      </c>
      <c r="C19" s="479">
        <v>1</v>
      </c>
      <c r="D19" s="481">
        <v>301</v>
      </c>
      <c r="E19" s="482">
        <v>111530</v>
      </c>
      <c r="F19" s="483">
        <v>30686978350</v>
      </c>
      <c r="G19" s="333" t="str">
        <f>IFERROR(IF(compras_mes5[[#This Row],[CUIT]]="","-",VLOOKUP(compras_mes5[[#This Row],[CUIT]],Lista_CUIT[#All],2,0)),"CUIT NO CARGADO")</f>
        <v>SPEED BUSINESS S. A.</v>
      </c>
      <c r="H19" s="484">
        <v>17578.52</v>
      </c>
      <c r="I19" s="328">
        <f>IF(compras_mes5[[#This Row],[NETO GRAVADO]]="","",compras_mes5[[#This Row],[NETO GRAVADO]]*0.21)</f>
        <v>3691.4892</v>
      </c>
      <c r="J19" s="328"/>
      <c r="K19" s="328"/>
      <c r="L19" s="328"/>
      <c r="M19" s="328"/>
      <c r="N19" s="328"/>
      <c r="O19" s="328"/>
      <c r="P19" s="327">
        <f>SUM(compras_mes5[[#This Row],[NETO GRAVADO]:[Otros / No Grav.]])</f>
        <v>21270.0092</v>
      </c>
      <c r="Q19" s="329" t="str">
        <f>IFERROR(IF(compras_mes5[[#This Row],[CUIT]]="","-",VLOOKUP(compras_mes5[[#This Row],[CUIT]],Lista_CUIT[#All],3,0)),"CUIT NO CARGADO")</f>
        <v>Gastos Comercializacion</v>
      </c>
      <c r="R19" s="329">
        <f>IFERROR(IF(compras_mes5[[#This Row],[CUIT]]="","-",VLOOKUP(compras_mes5[[#This Row],[CUIT]],Lista_CUIT[#All],4,0)),"CUIT NO CARGADO")</f>
        <v>0</v>
      </c>
    </row>
    <row r="20" spans="2:18" x14ac:dyDescent="0.25">
      <c r="B20" s="478" t="s">
        <v>2453</v>
      </c>
      <c r="C20" s="479">
        <v>1</v>
      </c>
      <c r="D20" s="481">
        <v>6</v>
      </c>
      <c r="E20" s="482">
        <v>10873</v>
      </c>
      <c r="F20" s="483">
        <v>33710167309</v>
      </c>
      <c r="G20" s="333" t="str">
        <f>IFERROR(IF(compras_mes5[[#This Row],[CUIT]]="","-",VLOOKUP(compras_mes5[[#This Row],[CUIT]],Lista_CUIT[#All],2,0)),"CUIT NO CARGADO")</f>
        <v>MAT. ESCO SA</v>
      </c>
      <c r="H20" s="484">
        <v>27190.19</v>
      </c>
      <c r="I20" s="328">
        <f>IF(compras_mes5[[#This Row],[NETO GRAVADO]]="","",compras_mes5[[#This Row],[NETO GRAVADO]]*0.21)</f>
        <v>5709.9398999999994</v>
      </c>
      <c r="J20" s="328"/>
      <c r="K20" s="328"/>
      <c r="L20" s="328"/>
      <c r="M20" s="328"/>
      <c r="N20" s="328"/>
      <c r="O20" s="328"/>
      <c r="P20" s="327">
        <f>SUM(compras_mes5[[#This Row],[NETO GRAVADO]:[Otros / No Grav.]])</f>
        <v>32900.1299</v>
      </c>
      <c r="Q20" s="329" t="str">
        <f>IFERROR(IF(compras_mes5[[#This Row],[CUIT]]="","-",VLOOKUP(compras_mes5[[#This Row],[CUIT]],Lista_CUIT[#All],3,0)),"CUIT NO CARGADO")</f>
        <v>Gastos Varios</v>
      </c>
      <c r="R20" s="329">
        <f>IFERROR(IF(compras_mes5[[#This Row],[CUIT]]="","-",VLOOKUP(compras_mes5[[#This Row],[CUIT]],Lista_CUIT[#All],4,0)),"CUIT NO CARGADO")</f>
        <v>0</v>
      </c>
    </row>
    <row r="21" spans="2:18" x14ac:dyDescent="0.25">
      <c r="B21" s="478" t="s">
        <v>2453</v>
      </c>
      <c r="C21" s="479">
        <v>1</v>
      </c>
      <c r="D21" s="481">
        <v>2</v>
      </c>
      <c r="E21" s="482">
        <v>305</v>
      </c>
      <c r="F21" s="483">
        <v>27309896063</v>
      </c>
      <c r="G21" s="333" t="str">
        <f>IFERROR(IF(compras_mes5[[#This Row],[CUIT]]="","-",VLOOKUP(compras_mes5[[#This Row],[CUIT]],Lista_CUIT[#All],2,0)),"CUIT NO CARGADO")</f>
        <v>BATTELLINI MARIA SOLEDAD</v>
      </c>
      <c r="H21" s="484">
        <v>620000</v>
      </c>
      <c r="I21" s="328">
        <f>IF(compras_mes5[[#This Row],[NETO GRAVADO]]="","",compras_mes5[[#This Row],[NETO GRAVADO]]*0.21)</f>
        <v>130200</v>
      </c>
      <c r="J21" s="328"/>
      <c r="K21" s="328"/>
      <c r="L21" s="328"/>
      <c r="M21" s="328"/>
      <c r="N21" s="328"/>
      <c r="O21" s="328"/>
      <c r="P21" s="327">
        <f>SUM(compras_mes5[[#This Row],[NETO GRAVADO]:[Otros / No Grav.]])</f>
        <v>750200</v>
      </c>
      <c r="Q21" s="329" t="str">
        <f>IFERROR(IF(compras_mes5[[#This Row],[CUIT]]="","-",VLOOKUP(compras_mes5[[#This Row],[CUIT]],Lista_CUIT[#All],3,0)),"CUIT NO CARGADO")</f>
        <v>Alquiler</v>
      </c>
      <c r="R21" s="329">
        <f>IFERROR(IF(compras_mes5[[#This Row],[CUIT]]="","-",VLOOKUP(compras_mes5[[#This Row],[CUIT]],Lista_CUIT[#All],4,0)),"CUIT NO CARGADO")</f>
        <v>0</v>
      </c>
    </row>
    <row r="22" spans="2:18" x14ac:dyDescent="0.25">
      <c r="B22" s="478" t="s">
        <v>2453</v>
      </c>
      <c r="C22" s="479">
        <v>1</v>
      </c>
      <c r="D22" s="481">
        <v>1</v>
      </c>
      <c r="E22" s="482">
        <v>46</v>
      </c>
      <c r="F22" s="483">
        <v>30717504824</v>
      </c>
      <c r="G22" s="333" t="str">
        <f>IFERROR(IF(compras_mes5[[#This Row],[CUIT]]="","-",VLOOKUP(compras_mes5[[#This Row],[CUIT]],Lista_CUIT[#All],2,0)),"CUIT NO CARGADO")</f>
        <v>FIDEICOMISO MAMBA</v>
      </c>
      <c r="H22" s="484">
        <v>3066063.33</v>
      </c>
      <c r="I22" s="85" t="s">
        <v>2411</v>
      </c>
      <c r="J22" s="328"/>
      <c r="K22" s="328">
        <f>compras_mes5[[#This Row],[NETO GRAVADO]]*0.105</f>
        <v>321936.64964999998</v>
      </c>
      <c r="L22" s="328"/>
      <c r="M22" s="328"/>
      <c r="N22" s="328"/>
      <c r="O22" s="328"/>
      <c r="P22" s="327">
        <f>SUM(compras_mes5[[#This Row],[NETO GRAVADO]:[Otros / No Grav.]])</f>
        <v>3387999.9796500001</v>
      </c>
      <c r="Q22" s="329" t="str">
        <f>IFERROR(IF(compras_mes5[[#This Row],[CUIT]]="","-",VLOOKUP(compras_mes5[[#This Row],[CUIT]],Lista_CUIT[#All],3,0)),"CUIT NO CARGADO")</f>
        <v>MANTENIMIENTO</v>
      </c>
      <c r="R22" s="329">
        <f>IFERROR(IF(compras_mes5[[#This Row],[CUIT]]="","-",VLOOKUP(compras_mes5[[#This Row],[CUIT]],Lista_CUIT[#All],4,0)),"CUIT NO CARGADO")</f>
        <v>0</v>
      </c>
    </row>
    <row r="23" spans="2:18" x14ac:dyDescent="0.25">
      <c r="B23" s="478" t="s">
        <v>2454</v>
      </c>
      <c r="C23" s="479">
        <v>1</v>
      </c>
      <c r="D23" s="481">
        <v>6</v>
      </c>
      <c r="E23" s="482">
        <v>22053</v>
      </c>
      <c r="F23" s="483">
        <v>30714580406</v>
      </c>
      <c r="G23" s="333" t="str">
        <f>IFERROR(IF(compras_mes5[[#This Row],[CUIT]]="","-",VLOOKUP(compras_mes5[[#This Row],[CUIT]],Lista_CUIT[#All],2,0)),"CUIT NO CARGADO")</f>
        <v>SWEATERS ARGENTINOS S.R.L</v>
      </c>
      <c r="H23" s="484">
        <v>20578.509999999998</v>
      </c>
      <c r="I23" s="328">
        <f>IF(compras_mes5[[#This Row],[NETO GRAVADO]]="","",compras_mes5[[#This Row],[NETO GRAVADO]]*0.21)</f>
        <v>4321.4870999999994</v>
      </c>
      <c r="J23" s="328"/>
      <c r="K23" s="328"/>
      <c r="L23" s="328"/>
      <c r="M23" s="328"/>
      <c r="N23" s="328"/>
      <c r="O23" s="328"/>
      <c r="P23" s="327">
        <f>SUM(compras_mes5[[#This Row],[NETO GRAVADO]:[Otros / No Grav.]])</f>
        <v>24899.997099999997</v>
      </c>
      <c r="Q23" s="329" t="str">
        <f>IFERROR(IF(compras_mes5[[#This Row],[CUIT]]="","-",VLOOKUP(compras_mes5[[#This Row],[CUIT]],Lista_CUIT[#All],3,0)),"CUIT NO CARGADO")</f>
        <v>Gastos Varios</v>
      </c>
      <c r="R23" s="329">
        <f>IFERROR(IF(compras_mes5[[#This Row],[CUIT]]="","-",VLOOKUP(compras_mes5[[#This Row],[CUIT]],Lista_CUIT[#All],4,0)),"CUIT NO CARGADO")</f>
        <v>0</v>
      </c>
    </row>
    <row r="24" spans="2:18" x14ac:dyDescent="0.25">
      <c r="B24" s="478" t="s">
        <v>2454</v>
      </c>
      <c r="C24" s="479">
        <v>1</v>
      </c>
      <c r="D24" s="481">
        <v>2</v>
      </c>
      <c r="E24" s="482">
        <v>1284</v>
      </c>
      <c r="F24" s="483">
        <v>30716671328</v>
      </c>
      <c r="G24" s="333" t="str">
        <f>IFERROR(IF(compras_mes5[[#This Row],[CUIT]]="","-",VLOOKUP(compras_mes5[[#This Row],[CUIT]],Lista_CUIT[#All],2,0)),"CUIT NO CARGADO")</f>
        <v>PLASTICOS SARRATEA SRL</v>
      </c>
      <c r="H24" s="484">
        <v>5694120</v>
      </c>
      <c r="I24" s="328">
        <f>IF(compras_mes5[[#This Row],[NETO GRAVADO]]="","",compras_mes5[[#This Row],[NETO GRAVADO]]*0.21)</f>
        <v>1195765.2</v>
      </c>
      <c r="J24" s="328"/>
      <c r="K24" s="328"/>
      <c r="L24" s="328"/>
      <c r="M24" s="328"/>
      <c r="N24" s="328"/>
      <c r="O24" s="328"/>
      <c r="P24" s="327">
        <f>SUM(compras_mes5[[#This Row],[NETO GRAVADO]:[Otros / No Grav.]])</f>
        <v>6889885.2000000002</v>
      </c>
      <c r="Q24" s="329" t="str">
        <f>IFERROR(IF(compras_mes5[[#This Row],[CUIT]]="","-",VLOOKUP(compras_mes5[[#This Row],[CUIT]],Lista_CUIT[#All],3,0)),"CUIT NO CARGADO")</f>
        <v>Envases</v>
      </c>
      <c r="R24" s="329">
        <f>IFERROR(IF(compras_mes5[[#This Row],[CUIT]]="","-",VLOOKUP(compras_mes5[[#This Row],[CUIT]],Lista_CUIT[#All],4,0)),"CUIT NO CARGADO")</f>
        <v>0</v>
      </c>
    </row>
    <row r="25" spans="2:18" x14ac:dyDescent="0.25">
      <c r="B25" s="478" t="s">
        <v>2454</v>
      </c>
      <c r="C25" s="479">
        <v>1</v>
      </c>
      <c r="D25" s="481">
        <v>2002</v>
      </c>
      <c r="E25" s="482">
        <v>81568</v>
      </c>
      <c r="F25" s="483">
        <v>30716425165</v>
      </c>
      <c r="G25" s="333" t="str">
        <f>IFERROR(IF(compras_mes5[[#This Row],[CUIT]]="","-",VLOOKUP(compras_mes5[[#This Row],[CUIT]],Lista_CUIT[#All],2,0)),"CUIT NO CARGADO")</f>
        <v>MERCADO TOTAL SAS</v>
      </c>
      <c r="H25" s="484">
        <v>4276.8599999999997</v>
      </c>
      <c r="I25" s="328">
        <f>IF(compras_mes5[[#This Row],[NETO GRAVADO]]="","",compras_mes5[[#This Row],[NETO GRAVADO]]*0.21)</f>
        <v>898.14059999999995</v>
      </c>
      <c r="J25" s="328"/>
      <c r="K25" s="328"/>
      <c r="L25" s="328"/>
      <c r="M25" s="328"/>
      <c r="N25" s="328"/>
      <c r="O25" s="328"/>
      <c r="P25" s="327">
        <f>SUM(compras_mes5[[#This Row],[NETO GRAVADO]:[Otros / No Grav.]])</f>
        <v>5175.0005999999994</v>
      </c>
      <c r="Q25" s="329" t="str">
        <f>IFERROR(IF(compras_mes5[[#This Row],[CUIT]]="","-",VLOOKUP(compras_mes5[[#This Row],[CUIT]],Lista_CUIT[#All],3,0)),"CUIT NO CARGADO")</f>
        <v>Honorarios Legales</v>
      </c>
      <c r="R25" s="329">
        <f>IFERROR(IF(compras_mes5[[#This Row],[CUIT]]="","-",VLOOKUP(compras_mes5[[#This Row],[CUIT]],Lista_CUIT[#All],4,0)),"CUIT NO CARGADO")</f>
        <v>0</v>
      </c>
    </row>
    <row r="26" spans="2:18" x14ac:dyDescent="0.25">
      <c r="B26" s="478" t="s">
        <v>2454</v>
      </c>
      <c r="C26" s="479">
        <v>1</v>
      </c>
      <c r="D26" s="481">
        <v>10</v>
      </c>
      <c r="E26" s="482">
        <v>37896</v>
      </c>
      <c r="F26" s="483">
        <v>30681484635</v>
      </c>
      <c r="G26" s="333" t="str">
        <f>IFERROR(IF(compras_mes5[[#This Row],[CUIT]]="","-",VLOOKUP(compras_mes5[[#This Row],[CUIT]],Lista_CUIT[#All],2,0)),"CUIT NO CARGADO")</f>
        <v>Ionics S.A.</v>
      </c>
      <c r="H26" s="484">
        <v>154374.48000000001</v>
      </c>
      <c r="I26" s="328">
        <f>IF(compras_mes5[[#This Row],[NETO GRAVADO]]="","",compras_mes5[[#This Row],[NETO GRAVADO]]*0.21)</f>
        <v>32418.640800000001</v>
      </c>
      <c r="J26" s="328"/>
      <c r="K26" s="328"/>
      <c r="L26" s="328"/>
      <c r="M26" s="328"/>
      <c r="N26" s="328"/>
      <c r="O26" s="328"/>
      <c r="P26" s="327">
        <f>SUM(compras_mes5[[#This Row],[NETO GRAVADO]:[Otros / No Grav.]])</f>
        <v>186793.1208</v>
      </c>
      <c r="Q26" s="329" t="str">
        <f>IFERROR(IF(compras_mes5[[#This Row],[CUIT]]="","-",VLOOKUP(compras_mes5[[#This Row],[CUIT]],Lista_CUIT[#All],3,0)),"CUIT NO CARGADO")</f>
        <v>Mercaderia</v>
      </c>
      <c r="R26" s="329">
        <f>IFERROR(IF(compras_mes5[[#This Row],[CUIT]]="","-",VLOOKUP(compras_mes5[[#This Row],[CUIT]],Lista_CUIT[#All],4,0)),"CUIT NO CARGADO")</f>
        <v>0</v>
      </c>
    </row>
    <row r="27" spans="2:18" x14ac:dyDescent="0.25">
      <c r="B27" s="478" t="s">
        <v>2454</v>
      </c>
      <c r="C27" s="479">
        <v>1</v>
      </c>
      <c r="D27" s="481">
        <v>63</v>
      </c>
      <c r="E27" s="482">
        <v>3293755</v>
      </c>
      <c r="F27" s="483">
        <v>30640897267</v>
      </c>
      <c r="G27" s="333" t="str">
        <f>IFERROR(IF(compras_mes5[[#This Row],[CUIT]]="","-",VLOOKUP(compras_mes5[[#This Row],[CUIT]],Lista_CUIT[#All],2,0)),"CUIT NO CARGADO")</f>
        <v>TELECENTRO S.A.</v>
      </c>
      <c r="H27" s="484">
        <v>34756.36</v>
      </c>
      <c r="I27" s="328">
        <f>IF(compras_mes5[[#This Row],[NETO GRAVADO]]="","",compras_mes5[[#This Row],[NETO GRAVADO]]*0.21)</f>
        <v>7298.8355999999994</v>
      </c>
      <c r="J27" s="328"/>
      <c r="K27" s="328"/>
      <c r="L27" s="328">
        <v>1042.69</v>
      </c>
      <c r="M27" s="328"/>
      <c r="N27" s="328">
        <v>2085.38</v>
      </c>
      <c r="O27" s="328"/>
      <c r="P27" s="327">
        <f>SUM(compras_mes5[[#This Row],[NETO GRAVADO]:[Otros / No Grav.]])</f>
        <v>45183.265599999999</v>
      </c>
      <c r="Q27" s="329" t="str">
        <f>IFERROR(IF(compras_mes5[[#This Row],[CUIT]]="","-",VLOOKUP(compras_mes5[[#This Row],[CUIT]],Lista_CUIT[#All],3,0)),"CUIT NO CARGADO")</f>
        <v>Servicios Gas, Luz, etc.</v>
      </c>
      <c r="R27" s="329">
        <f>IFERROR(IF(compras_mes5[[#This Row],[CUIT]]="","-",VLOOKUP(compras_mes5[[#This Row],[CUIT]],Lista_CUIT[#All],4,0)),"CUIT NO CARGADO")</f>
        <v>0</v>
      </c>
    </row>
    <row r="28" spans="2:18" x14ac:dyDescent="0.25">
      <c r="B28" s="478" t="s">
        <v>2454</v>
      </c>
      <c r="C28" s="479">
        <v>1</v>
      </c>
      <c r="D28" s="481">
        <v>63</v>
      </c>
      <c r="E28" s="482">
        <v>3294888</v>
      </c>
      <c r="F28" s="483">
        <v>30640897267</v>
      </c>
      <c r="G28" s="333" t="str">
        <f>IFERROR(IF(compras_mes5[[#This Row],[CUIT]]="","-",VLOOKUP(compras_mes5[[#This Row],[CUIT]],Lista_CUIT[#All],2,0)),"CUIT NO CARGADO")</f>
        <v>TELECENTRO S.A.</v>
      </c>
      <c r="H28" s="484">
        <v>34756.36</v>
      </c>
      <c r="I28" s="328">
        <f>IF(compras_mes5[[#This Row],[NETO GRAVADO]]="","",compras_mes5[[#This Row],[NETO GRAVADO]]*0.21)</f>
        <v>7298.8355999999994</v>
      </c>
      <c r="J28" s="328"/>
      <c r="K28" s="328"/>
      <c r="L28" s="328">
        <v>1042.69</v>
      </c>
      <c r="M28" s="328"/>
      <c r="N28" s="328">
        <v>2085.38</v>
      </c>
      <c r="O28" s="328"/>
      <c r="P28" s="327">
        <f>SUM(compras_mes5[[#This Row],[NETO GRAVADO]:[Otros / No Grav.]])</f>
        <v>45183.265599999999</v>
      </c>
      <c r="Q28" s="329" t="str">
        <f>IFERROR(IF(compras_mes5[[#This Row],[CUIT]]="","-",VLOOKUP(compras_mes5[[#This Row],[CUIT]],Lista_CUIT[#All],3,0)),"CUIT NO CARGADO")</f>
        <v>Servicios Gas, Luz, etc.</v>
      </c>
      <c r="R28" s="329">
        <f>IFERROR(IF(compras_mes5[[#This Row],[CUIT]]="","-",VLOOKUP(compras_mes5[[#This Row],[CUIT]],Lista_CUIT[#All],4,0)),"CUIT NO CARGADO")</f>
        <v>0</v>
      </c>
    </row>
    <row r="29" spans="2:18" x14ac:dyDescent="0.25">
      <c r="B29" s="478" t="s">
        <v>2454</v>
      </c>
      <c r="C29" s="479">
        <v>1</v>
      </c>
      <c r="D29" s="481">
        <v>3</v>
      </c>
      <c r="E29" s="482">
        <v>155</v>
      </c>
      <c r="F29" s="483">
        <v>20202970940</v>
      </c>
      <c r="G29" s="333" t="str">
        <f>IFERROR(IF(compras_mes5[[#This Row],[CUIT]]="","-",VLOOKUP(compras_mes5[[#This Row],[CUIT]],Lista_CUIT[#All],2,0)),"CUIT NO CARGADO")</f>
        <v xml:space="preserve">ALEJANDRO TRAIBER </v>
      </c>
      <c r="H29" s="484">
        <v>3688000</v>
      </c>
      <c r="I29" s="328">
        <f>IF(compras_mes5[[#This Row],[NETO GRAVADO]]="","",compras_mes5[[#This Row],[NETO GRAVADO]]*0.21)</f>
        <v>774480</v>
      </c>
      <c r="J29" s="328"/>
      <c r="K29" s="328"/>
      <c r="L29" s="328"/>
      <c r="M29" s="328"/>
      <c r="N29" s="328"/>
      <c r="O29" s="328"/>
      <c r="P29" s="327">
        <f>SUM(compras_mes5[[#This Row],[NETO GRAVADO]:[Otros / No Grav.]])</f>
        <v>4462480</v>
      </c>
      <c r="Q29" s="329" t="str">
        <f>IFERROR(IF(compras_mes5[[#This Row],[CUIT]]="","-",VLOOKUP(compras_mes5[[#This Row],[CUIT]],Lista_CUIT[#All],3,0)),"CUIT NO CARGADO")</f>
        <v>Mercaderia</v>
      </c>
      <c r="R29" s="329">
        <f>IFERROR(IF(compras_mes5[[#This Row],[CUIT]]="","-",VLOOKUP(compras_mes5[[#This Row],[CUIT]],Lista_CUIT[#All],4,0)),"CUIT NO CARGADO")</f>
        <v>0</v>
      </c>
    </row>
    <row r="30" spans="2:18" x14ac:dyDescent="0.25">
      <c r="B30" s="478" t="s">
        <v>2454</v>
      </c>
      <c r="C30" s="479">
        <v>1</v>
      </c>
      <c r="D30" s="481">
        <v>2</v>
      </c>
      <c r="E30" s="482">
        <v>4038</v>
      </c>
      <c r="F30" s="483">
        <v>30629863571</v>
      </c>
      <c r="G30" s="333" t="str">
        <f>IFERROR(IF(compras_mes5[[#This Row],[CUIT]]="","-",VLOOKUP(compras_mes5[[#This Row],[CUIT]],Lista_CUIT[#All],2,0)),"CUIT NO CARGADO")</f>
        <v>TECNIMAR S R L</v>
      </c>
      <c r="H30" s="484">
        <v>4241724</v>
      </c>
      <c r="I30" s="328">
        <f>IF(compras_mes5[[#This Row],[NETO GRAVADO]]="","",compras_mes5[[#This Row],[NETO GRAVADO]]*0.21)</f>
        <v>890762.03999999992</v>
      </c>
      <c r="J30" s="328"/>
      <c r="K30" s="328"/>
      <c r="L30" s="328"/>
      <c r="M30" s="328"/>
      <c r="N30" s="328"/>
      <c r="O30" s="328"/>
      <c r="P30" s="327">
        <f>SUM(compras_mes5[[#This Row],[NETO GRAVADO]:[Otros / No Grav.]])</f>
        <v>5132486.04</v>
      </c>
      <c r="Q30" s="329" t="str">
        <f>IFERROR(IF(compras_mes5[[#This Row],[CUIT]]="","-",VLOOKUP(compras_mes5[[#This Row],[CUIT]],Lista_CUIT[#All],3,0)),"CUIT NO CARGADO")</f>
        <v>Productos Venta</v>
      </c>
      <c r="R30" s="329">
        <f>IFERROR(IF(compras_mes5[[#This Row],[CUIT]]="","-",VLOOKUP(compras_mes5[[#This Row],[CUIT]],Lista_CUIT[#All],4,0)),"CUIT NO CARGADO")</f>
        <v>0</v>
      </c>
    </row>
    <row r="31" spans="2:18" x14ac:dyDescent="0.25">
      <c r="B31" s="478" t="s">
        <v>2455</v>
      </c>
      <c r="C31" s="479">
        <v>1</v>
      </c>
      <c r="D31" s="481">
        <v>3</v>
      </c>
      <c r="E31" s="482">
        <v>32616</v>
      </c>
      <c r="F31" s="483">
        <v>33707953549</v>
      </c>
      <c r="G31" s="333" t="str">
        <f>IFERROR(IF(compras_mes5[[#This Row],[CUIT]]="","-",VLOOKUP(compras_mes5[[#This Row],[CUIT]],Lista_CUIT[#All],2,0)),"CUIT NO CARGADO")</f>
        <v>TELESMART</v>
      </c>
      <c r="H31" s="484">
        <v>25000</v>
      </c>
      <c r="I31" s="328">
        <f>IF(compras_mes5[[#This Row],[NETO GRAVADO]]="","",compras_mes5[[#This Row],[NETO GRAVADO]]*0.21)</f>
        <v>5250</v>
      </c>
      <c r="J31" s="328"/>
      <c r="K31" s="328"/>
      <c r="L31" s="328"/>
      <c r="M31" s="328"/>
      <c r="N31" s="328"/>
      <c r="O31" s="328"/>
      <c r="P31" s="327">
        <f>SUM(compras_mes5[[#This Row],[NETO GRAVADO]:[Otros / No Grav.]])</f>
        <v>30250</v>
      </c>
      <c r="Q31" s="329" t="str">
        <f>IFERROR(IF(compras_mes5[[#This Row],[CUIT]]="","-",VLOOKUP(compras_mes5[[#This Row],[CUIT]],Lista_CUIT[#All],3,0)),"CUIT NO CARGADO")</f>
        <v>Servicios Gas, Luz, etc.</v>
      </c>
      <c r="R31" s="329">
        <f>IFERROR(IF(compras_mes5[[#This Row],[CUIT]]="","-",VLOOKUP(compras_mes5[[#This Row],[CUIT]],Lista_CUIT[#All],4,0)),"CUIT NO CARGADO")</f>
        <v>0</v>
      </c>
    </row>
    <row r="32" spans="2:18" x14ac:dyDescent="0.25">
      <c r="B32" s="478" t="s">
        <v>2455</v>
      </c>
      <c r="C32" s="479">
        <v>1</v>
      </c>
      <c r="D32" s="481">
        <v>2</v>
      </c>
      <c r="E32" s="482">
        <v>10020</v>
      </c>
      <c r="F32" s="483">
        <v>33714677239</v>
      </c>
      <c r="G32" s="333" t="str">
        <f>IFERROR(IF(compras_mes5[[#This Row],[CUIT]]="","-",VLOOKUP(compras_mes5[[#This Row],[CUIT]],Lista_CUIT[#All],2,0)),"CUIT NO CARGADO")</f>
        <v xml:space="preserve">BOMBAS VAPORIZADORAS </v>
      </c>
      <c r="H32" s="484">
        <v>972000</v>
      </c>
      <c r="I32" s="328">
        <f>IF(compras_mes5[[#This Row],[NETO GRAVADO]]="","",compras_mes5[[#This Row],[NETO GRAVADO]]*0.21)</f>
        <v>204120</v>
      </c>
      <c r="J32" s="328"/>
      <c r="K32" s="328"/>
      <c r="L32" s="328"/>
      <c r="M32" s="328"/>
      <c r="N32" s="328"/>
      <c r="O32" s="328"/>
      <c r="P32" s="327">
        <f>SUM(compras_mes5[[#This Row],[NETO GRAVADO]:[Otros / No Grav.]])</f>
        <v>1176120</v>
      </c>
      <c r="Q32" s="329" t="str">
        <f>IFERROR(IF(compras_mes5[[#This Row],[CUIT]]="","-",VLOOKUP(compras_mes5[[#This Row],[CUIT]],Lista_CUIT[#All],3,0)),"CUIT NO CARGADO")</f>
        <v>Productos Venta</v>
      </c>
      <c r="R32" s="329">
        <f>IFERROR(IF(compras_mes5[[#This Row],[CUIT]]="","-",VLOOKUP(compras_mes5[[#This Row],[CUIT]],Lista_CUIT[#All],4,0)),"CUIT NO CARGADO")</f>
        <v>0</v>
      </c>
    </row>
    <row r="33" spans="2:18" x14ac:dyDescent="0.25">
      <c r="B33" s="478" t="s">
        <v>2455</v>
      </c>
      <c r="C33" s="479">
        <v>1</v>
      </c>
      <c r="D33" s="481">
        <v>700</v>
      </c>
      <c r="E33" s="482">
        <v>2441199</v>
      </c>
      <c r="F33" s="483">
        <v>30715804812</v>
      </c>
      <c r="G33" s="333" t="str">
        <f>IFERROR(IF(compras_mes5[[#This Row],[CUIT]]="","-",VLOOKUP(compras_mes5[[#This Row],[CUIT]],Lista_CUIT[#All],2,0)),"CUIT NO CARGADO")</f>
        <v>CORREDORES VIALES SOCIEDAD ANONIMA</v>
      </c>
      <c r="H33" s="484">
        <v>831.98</v>
      </c>
      <c r="I33" s="328">
        <f>IF(compras_mes5[[#This Row],[NETO GRAVADO]]="","",compras_mes5[[#This Row],[NETO GRAVADO]]*0.21)</f>
        <v>174.7158</v>
      </c>
      <c r="J33" s="328"/>
      <c r="K33" s="328"/>
      <c r="L33" s="328"/>
      <c r="M33" s="328"/>
      <c r="N33" s="328"/>
      <c r="O33" s="328"/>
      <c r="P33" s="327">
        <f>SUM(compras_mes5[[#This Row],[NETO GRAVADO]:[Otros / No Grav.]])</f>
        <v>1006.6958</v>
      </c>
      <c r="Q33" s="329" t="str">
        <f>IFERROR(IF(compras_mes5[[#This Row],[CUIT]]="","-",VLOOKUP(compras_mes5[[#This Row],[CUIT]],Lista_CUIT[#All],3,0)),"CUIT NO CARGADO")</f>
        <v>Peajes</v>
      </c>
      <c r="R33" s="329">
        <f>IFERROR(IF(compras_mes5[[#This Row],[CUIT]]="","-",VLOOKUP(compras_mes5[[#This Row],[CUIT]],Lista_CUIT[#All],4,0)),"CUIT NO CARGADO")</f>
        <v>0</v>
      </c>
    </row>
    <row r="34" spans="2:18" x14ac:dyDescent="0.25">
      <c r="B34" s="478" t="s">
        <v>2455</v>
      </c>
      <c r="C34" s="479">
        <v>1</v>
      </c>
      <c r="D34" s="481">
        <v>32</v>
      </c>
      <c r="E34" s="482">
        <v>208</v>
      </c>
      <c r="F34" s="483">
        <v>30572183668</v>
      </c>
      <c r="G34" s="333" t="str">
        <f>IFERROR(IF(compras_mes5[[#This Row],[CUIT]]="","-",VLOOKUP(compras_mes5[[#This Row],[CUIT]],Lista_CUIT[#All],2,0)),"CUIT NO CARGADO")</f>
        <v>LIBERTADOR MOTORS SOCIEDAD ANONIMA</v>
      </c>
      <c r="H34" s="484">
        <v>11487603.300000001</v>
      </c>
      <c r="I34" s="328">
        <f>IF(compras_mes5[[#This Row],[NETO GRAVADO]]="","",compras_mes5[[#This Row],[NETO GRAVADO]]*0.21)</f>
        <v>2412396.693</v>
      </c>
      <c r="J34" s="328"/>
      <c r="K34" s="328"/>
      <c r="L34" s="328"/>
      <c r="M34" s="328">
        <v>689256.2</v>
      </c>
      <c r="N34" s="328"/>
      <c r="O34" s="328"/>
      <c r="P34" s="327">
        <f>SUM(compras_mes5[[#This Row],[NETO GRAVADO]:[Otros / No Grav.]])</f>
        <v>14589256.193</v>
      </c>
      <c r="Q34" s="329" t="str">
        <f>IFERROR(IF(compras_mes5[[#This Row],[CUIT]]="","-",VLOOKUP(compras_mes5[[#This Row],[CUIT]],Lista_CUIT[#All],3,0)),"CUIT NO CARGADO")</f>
        <v>Pendiente clasificacion</v>
      </c>
      <c r="R34" s="329">
        <f>IFERROR(IF(compras_mes5[[#This Row],[CUIT]]="","-",VLOOKUP(compras_mes5[[#This Row],[CUIT]],Lista_CUIT[#All],4,0)),"CUIT NO CARGADO")</f>
        <v>0</v>
      </c>
    </row>
    <row r="35" spans="2:18" x14ac:dyDescent="0.25">
      <c r="B35" s="478" t="s">
        <v>2455</v>
      </c>
      <c r="C35" s="479">
        <v>1</v>
      </c>
      <c r="D35" s="481">
        <v>32</v>
      </c>
      <c r="E35" s="482">
        <v>209</v>
      </c>
      <c r="F35" s="483">
        <v>30572183668</v>
      </c>
      <c r="G35" s="333" t="str">
        <f>IFERROR(IF(compras_mes5[[#This Row],[CUIT]]="","-",VLOOKUP(compras_mes5[[#This Row],[CUIT]],Lista_CUIT[#All],2,0)),"CUIT NO CARGADO")</f>
        <v>LIBERTADOR MOTORS SOCIEDAD ANONIMA</v>
      </c>
      <c r="H35" s="484">
        <v>554545.43999999994</v>
      </c>
      <c r="I35" s="328">
        <f>IF(compras_mes5[[#This Row],[NETO GRAVADO]]="","",compras_mes5[[#This Row],[NETO GRAVADO]]*0.21)</f>
        <v>116454.54239999999</v>
      </c>
      <c r="J35" s="328"/>
      <c r="K35" s="328"/>
      <c r="L35" s="328"/>
      <c r="M35" s="328"/>
      <c r="N35" s="328">
        <v>33272.730000000003</v>
      </c>
      <c r="O35" s="328"/>
      <c r="P35" s="327">
        <f>SUM(compras_mes5[[#This Row],[NETO GRAVADO]:[Otros / No Grav.]])</f>
        <v>704272.71239999996</v>
      </c>
      <c r="Q35" s="329" t="str">
        <f>IFERROR(IF(compras_mes5[[#This Row],[CUIT]]="","-",VLOOKUP(compras_mes5[[#This Row],[CUIT]],Lista_CUIT[#All],3,0)),"CUIT NO CARGADO")</f>
        <v>Pendiente clasificacion</v>
      </c>
      <c r="R35" s="329">
        <f>IFERROR(IF(compras_mes5[[#This Row],[CUIT]]="","-",VLOOKUP(compras_mes5[[#This Row],[CUIT]],Lista_CUIT[#All],4,0)),"CUIT NO CARGADO")</f>
        <v>0</v>
      </c>
    </row>
    <row r="36" spans="2:18" x14ac:dyDescent="0.25">
      <c r="B36" s="478" t="s">
        <v>2455</v>
      </c>
      <c r="C36" s="479">
        <v>1</v>
      </c>
      <c r="D36" s="481">
        <v>2</v>
      </c>
      <c r="E36" s="482">
        <v>869</v>
      </c>
      <c r="F36" s="483">
        <v>27317740196</v>
      </c>
      <c r="G36" s="333" t="str">
        <f>IFERROR(IF(compras_mes5[[#This Row],[CUIT]]="","-",VLOOKUP(compras_mes5[[#This Row],[CUIT]],Lista_CUIT[#All],2,0)),"CUIT NO CARGADO")</f>
        <v>HOKAMA ROMINA PAOLA</v>
      </c>
      <c r="H36" s="484">
        <v>28199.17</v>
      </c>
      <c r="I36" s="328">
        <f>IF(compras_mes5[[#This Row],[NETO GRAVADO]]="","",compras_mes5[[#This Row],[NETO GRAVADO]]*0.21)</f>
        <v>5921.8256999999994</v>
      </c>
      <c r="J36" s="328"/>
      <c r="K36" s="328"/>
      <c r="L36" s="328"/>
      <c r="M36" s="328"/>
      <c r="N36" s="328"/>
      <c r="O36" s="328"/>
      <c r="P36" s="327">
        <f>SUM(compras_mes5[[#This Row],[NETO GRAVADO]:[Otros / No Grav.]])</f>
        <v>34120.995699999999</v>
      </c>
      <c r="Q36" s="329" t="str">
        <f>IFERROR(IF(compras_mes5[[#This Row],[CUIT]]="","-",VLOOKUP(compras_mes5[[#This Row],[CUIT]],Lista_CUIT[#All],3,0)),"CUIT NO CARGADO")</f>
        <v>Gastos Varios</v>
      </c>
      <c r="R36" s="329">
        <f>IFERROR(IF(compras_mes5[[#This Row],[CUIT]]="","-",VLOOKUP(compras_mes5[[#This Row],[CUIT]],Lista_CUIT[#All],4,0)),"CUIT NO CARGADO")</f>
        <v>0</v>
      </c>
    </row>
    <row r="37" spans="2:18" x14ac:dyDescent="0.25">
      <c r="B37" s="478" t="s">
        <v>2455</v>
      </c>
      <c r="C37" s="479">
        <v>1</v>
      </c>
      <c r="D37" s="481">
        <v>2</v>
      </c>
      <c r="E37" s="482">
        <v>4039</v>
      </c>
      <c r="F37" s="483">
        <v>30629863571</v>
      </c>
      <c r="G37" s="333" t="str">
        <f>IFERROR(IF(compras_mes5[[#This Row],[CUIT]]="","-",VLOOKUP(compras_mes5[[#This Row],[CUIT]],Lista_CUIT[#All],2,0)),"CUIT NO CARGADO")</f>
        <v>TECNIMAR S R L</v>
      </c>
      <c r="H37" s="484">
        <v>4187677</v>
      </c>
      <c r="I37" s="328">
        <f>IF(compras_mes5[[#This Row],[NETO GRAVADO]]="","",compras_mes5[[#This Row],[NETO GRAVADO]]*0.21)</f>
        <v>879412.16999999993</v>
      </c>
      <c r="J37" s="328"/>
      <c r="K37" s="328"/>
      <c r="L37" s="328"/>
      <c r="M37" s="328"/>
      <c r="N37" s="328"/>
      <c r="O37" s="328"/>
      <c r="P37" s="327">
        <f>SUM(compras_mes5[[#This Row],[NETO GRAVADO]:[Otros / No Grav.]])</f>
        <v>5067089.17</v>
      </c>
      <c r="Q37" s="329" t="str">
        <f>IFERROR(IF(compras_mes5[[#This Row],[CUIT]]="","-",VLOOKUP(compras_mes5[[#This Row],[CUIT]],Lista_CUIT[#All],3,0)),"CUIT NO CARGADO")</f>
        <v>Productos Venta</v>
      </c>
      <c r="R37" s="329">
        <f>IFERROR(IF(compras_mes5[[#This Row],[CUIT]]="","-",VLOOKUP(compras_mes5[[#This Row],[CUIT]],Lista_CUIT[#All],4,0)),"CUIT NO CARGADO")</f>
        <v>0</v>
      </c>
    </row>
    <row r="38" spans="2:18" x14ac:dyDescent="0.25">
      <c r="B38" s="478" t="s">
        <v>2456</v>
      </c>
      <c r="C38" s="479">
        <v>1</v>
      </c>
      <c r="D38" s="481">
        <v>5015</v>
      </c>
      <c r="E38" s="482">
        <v>846461</v>
      </c>
      <c r="F38" s="483">
        <v>30574876474</v>
      </c>
      <c r="G38" s="333" t="str">
        <f>IFERROR(IF(compras_mes5[[#This Row],[CUIT]]="","-",VLOOKUP(compras_mes5[[#This Row],[CUIT]],Lista_CUIT[#All],2,0)),"CUIT NO CARGADO")</f>
        <v>AUTOPISTAS URBANAS S A</v>
      </c>
      <c r="H38" s="484">
        <v>93056.08</v>
      </c>
      <c r="I38" s="328">
        <f>IF(compras_mes5[[#This Row],[NETO GRAVADO]]="","",compras_mes5[[#This Row],[NETO GRAVADO]]*0.21)</f>
        <v>19541.7768</v>
      </c>
      <c r="J38" s="328"/>
      <c r="K38" s="328"/>
      <c r="L38" s="328"/>
      <c r="M38" s="328"/>
      <c r="N38" s="328"/>
      <c r="O38" s="328">
        <v>12097.25</v>
      </c>
      <c r="P38" s="327">
        <f>SUM(compras_mes5[[#This Row],[NETO GRAVADO]:[Otros / No Grav.]])</f>
        <v>124695.10680000001</v>
      </c>
      <c r="Q38" s="329" t="str">
        <f>IFERROR(IF(compras_mes5[[#This Row],[CUIT]]="","-",VLOOKUP(compras_mes5[[#This Row],[CUIT]],Lista_CUIT[#All],3,0)),"CUIT NO CARGADO")</f>
        <v>Peajes</v>
      </c>
      <c r="R38" s="329">
        <f>IFERROR(IF(compras_mes5[[#This Row],[CUIT]]="","-",VLOOKUP(compras_mes5[[#This Row],[CUIT]],Lista_CUIT[#All],4,0)),"CUIT NO CARGADO")</f>
        <v>0</v>
      </c>
    </row>
    <row r="39" spans="2:18" x14ac:dyDescent="0.25">
      <c r="B39" s="478" t="s">
        <v>2456</v>
      </c>
      <c r="C39" s="479">
        <v>1</v>
      </c>
      <c r="D39" s="481">
        <v>1676</v>
      </c>
      <c r="E39" s="482">
        <v>27378</v>
      </c>
      <c r="F39" s="483">
        <v>30589621499</v>
      </c>
      <c r="G39" s="333" t="str">
        <f>IFERROR(IF(compras_mes5[[#This Row],[CUIT]]="","-",VLOOKUP(compras_mes5[[#This Row],[CUIT]],Lista_CUIT[#All],2,0)),"CUIT NO CARGADO")</f>
        <v>MAKRO SA</v>
      </c>
      <c r="H39" s="484">
        <v>100752.33</v>
      </c>
      <c r="I39" s="328">
        <v>20673.38</v>
      </c>
      <c r="J39" s="328"/>
      <c r="K39" s="328">
        <v>242.3</v>
      </c>
      <c r="L39" s="328">
        <v>2987.95</v>
      </c>
      <c r="M39" s="328"/>
      <c r="N39" s="328">
        <v>6045.14</v>
      </c>
      <c r="O39" s="328">
        <v>63.32</v>
      </c>
      <c r="P39" s="327">
        <f>SUM(compras_mes5[[#This Row],[NETO GRAVADO]:[Otros / No Grav.]])</f>
        <v>130764.42000000001</v>
      </c>
      <c r="Q39" s="329" t="str">
        <f>IFERROR(IF(compras_mes5[[#This Row],[CUIT]]="","-",VLOOKUP(compras_mes5[[#This Row],[CUIT]],Lista_CUIT[#All],3,0)),"CUIT NO CARGADO")</f>
        <v>Gastos Varios</v>
      </c>
      <c r="R39" s="329">
        <f>IFERROR(IF(compras_mes5[[#This Row],[CUIT]]="","-",VLOOKUP(compras_mes5[[#This Row],[CUIT]],Lista_CUIT[#All],4,0)),"CUIT NO CARGADO")</f>
        <v>0</v>
      </c>
    </row>
    <row r="40" spans="2:18" x14ac:dyDescent="0.25">
      <c r="B40" s="478" t="s">
        <v>2456</v>
      </c>
      <c r="C40" s="479">
        <v>1</v>
      </c>
      <c r="D40" s="481">
        <v>339</v>
      </c>
      <c r="E40" s="482">
        <v>1782</v>
      </c>
      <c r="F40" s="483">
        <v>30685849751</v>
      </c>
      <c r="G40" s="333" t="str">
        <f>IFERROR(IF(compras_mes5[[#This Row],[CUIT]]="","-",VLOOKUP(compras_mes5[[#This Row],[CUIT]],Lista_CUIT[#All],2,0)),"CUIT NO CARGADO")</f>
        <v>DIA ARGENTINA S A</v>
      </c>
      <c r="H40" s="484">
        <v>17243.78</v>
      </c>
      <c r="I40" s="328">
        <f>IF(compras_mes5[[#This Row],[NETO GRAVADO]]="","",compras_mes5[[#This Row],[NETO GRAVADO]]*0.21)</f>
        <v>3621.1937999999996</v>
      </c>
      <c r="J40" s="328"/>
      <c r="K40" s="328"/>
      <c r="L40" s="328"/>
      <c r="M40" s="328">
        <v>1034.6300000000001</v>
      </c>
      <c r="N40" s="328"/>
      <c r="O40" s="328"/>
      <c r="P40" s="327">
        <f>SUM(compras_mes5[[#This Row],[NETO GRAVADO]:[Otros / No Grav.]])</f>
        <v>21899.603800000001</v>
      </c>
      <c r="Q40" s="329" t="str">
        <f>IFERROR(IF(compras_mes5[[#This Row],[CUIT]]="","-",VLOOKUP(compras_mes5[[#This Row],[CUIT]],Lista_CUIT[#All],3,0)),"CUIT NO CARGADO")</f>
        <v>Gastos Varios</v>
      </c>
      <c r="R40" s="329">
        <f>IFERROR(IF(compras_mes5[[#This Row],[CUIT]]="","-",VLOOKUP(compras_mes5[[#This Row],[CUIT]],Lista_CUIT[#All],4,0)),"CUIT NO CARGADO")</f>
        <v>0</v>
      </c>
    </row>
    <row r="41" spans="2:18" x14ac:dyDescent="0.25">
      <c r="B41" s="478" t="s">
        <v>2456</v>
      </c>
      <c r="C41" s="479">
        <v>1</v>
      </c>
      <c r="D41" s="481">
        <v>3</v>
      </c>
      <c r="E41" s="482">
        <v>22359</v>
      </c>
      <c r="F41" s="483">
        <v>30707463143</v>
      </c>
      <c r="G41" s="333" t="str">
        <f>IFERROR(IF(compras_mes5[[#This Row],[CUIT]]="","-",VLOOKUP(compras_mes5[[#This Row],[CUIT]],Lista_CUIT[#All],2,0)),"CUIT NO CARGADO")</f>
        <v>AROMATICA S.A.</v>
      </c>
      <c r="H41" s="484">
        <v>1077186</v>
      </c>
      <c r="I41" s="328">
        <f>IF(compras_mes5[[#This Row],[NETO GRAVADO]]="","",compras_mes5[[#This Row],[NETO GRAVADO]]*0.21)</f>
        <v>226209.06</v>
      </c>
      <c r="J41" s="328"/>
      <c r="K41" s="328"/>
      <c r="L41" s="328"/>
      <c r="M41" s="328"/>
      <c r="N41" s="328"/>
      <c r="O41" s="328"/>
      <c r="P41" s="327">
        <f>SUM(compras_mes5[[#This Row],[NETO GRAVADO]:[Otros / No Grav.]])</f>
        <v>1303395.06</v>
      </c>
      <c r="Q41" s="329" t="str">
        <f>IFERROR(IF(compras_mes5[[#This Row],[CUIT]]="","-",VLOOKUP(compras_mes5[[#This Row],[CUIT]],Lista_CUIT[#All],3,0)),"CUIT NO CARGADO")</f>
        <v>Materia Prima</v>
      </c>
      <c r="R41" s="329">
        <f>IFERROR(IF(compras_mes5[[#This Row],[CUIT]]="","-",VLOOKUP(compras_mes5[[#This Row],[CUIT]],Lista_CUIT[#All],4,0)),"CUIT NO CARGADO")</f>
        <v>0</v>
      </c>
    </row>
    <row r="42" spans="2:18" x14ac:dyDescent="0.25">
      <c r="B42" s="478" t="s">
        <v>2456</v>
      </c>
      <c r="C42" s="479">
        <v>1</v>
      </c>
      <c r="D42" s="481">
        <v>3</v>
      </c>
      <c r="E42" s="482">
        <v>4093</v>
      </c>
      <c r="F42" s="483">
        <v>30714064572</v>
      </c>
      <c r="G42" s="333" t="str">
        <f>IFERROR(IF(compras_mes5[[#This Row],[CUIT]]="","-",VLOOKUP(compras_mes5[[#This Row],[CUIT]],Lista_CUIT[#All],2,0)),"CUIT NO CARGADO")</f>
        <v>NATURAL BOTANICS SRL</v>
      </c>
      <c r="H42" s="484">
        <v>17710.39</v>
      </c>
      <c r="I42" s="328">
        <f>IF(compras_mes5[[#This Row],[NETO GRAVADO]]="","",compras_mes5[[#This Row],[NETO GRAVADO]]*0.21)</f>
        <v>3719.1818999999996</v>
      </c>
      <c r="J42" s="328"/>
      <c r="K42" s="328"/>
      <c r="L42" s="328"/>
      <c r="M42" s="328"/>
      <c r="N42" s="328"/>
      <c r="O42" s="328"/>
      <c r="P42" s="327">
        <f>SUM(compras_mes5[[#This Row],[NETO GRAVADO]:[Otros / No Grav.]])</f>
        <v>21429.571899999999</v>
      </c>
      <c r="Q42" s="329" t="str">
        <f>IFERROR(IF(compras_mes5[[#This Row],[CUIT]]="","-",VLOOKUP(compras_mes5[[#This Row],[CUIT]],Lista_CUIT[#All],3,0)),"CUIT NO CARGADO")</f>
        <v>Gastos Varios</v>
      </c>
      <c r="R42" s="329">
        <f>IFERROR(IF(compras_mes5[[#This Row],[CUIT]]="","-",VLOOKUP(compras_mes5[[#This Row],[CUIT]],Lista_CUIT[#All],4,0)),"CUIT NO CARGADO")</f>
        <v>0</v>
      </c>
    </row>
    <row r="43" spans="2:18" x14ac:dyDescent="0.25">
      <c r="B43" s="478" t="s">
        <v>2456</v>
      </c>
      <c r="C43" s="479">
        <v>1</v>
      </c>
      <c r="D43" s="481">
        <v>10</v>
      </c>
      <c r="E43" s="482">
        <v>16523</v>
      </c>
      <c r="F43" s="483">
        <v>30710796838</v>
      </c>
      <c r="G43" s="333" t="str">
        <f>IFERROR(IF(compras_mes5[[#This Row],[CUIT]]="","-",VLOOKUP(compras_mes5[[#This Row],[CUIT]],Lista_CUIT[#All],2,0)),"CUIT NO CARGADO")</f>
        <v>NO BAJAR LOS BRAZOS S.R.L.</v>
      </c>
      <c r="H43" s="484">
        <v>53801.65</v>
      </c>
      <c r="I43" s="328">
        <f>IF(compras_mes5[[#This Row],[NETO GRAVADO]]="","",compras_mes5[[#This Row],[NETO GRAVADO]]*0.21)</f>
        <v>11298.3465</v>
      </c>
      <c r="J43" s="328"/>
      <c r="K43" s="328"/>
      <c r="L43" s="328"/>
      <c r="M43" s="328"/>
      <c r="N43" s="328"/>
      <c r="O43" s="328"/>
      <c r="P43" s="327">
        <f>SUM(compras_mes5[[#This Row],[NETO GRAVADO]:[Otros / No Grav.]])</f>
        <v>65099.996500000001</v>
      </c>
      <c r="Q43" s="329" t="str">
        <f>IFERROR(IF(compras_mes5[[#This Row],[CUIT]]="","-",VLOOKUP(compras_mes5[[#This Row],[CUIT]],Lista_CUIT[#All],3,0)),"CUIT NO CARGADO")</f>
        <v>Gastos Limpieza</v>
      </c>
      <c r="R43" s="329">
        <f>IFERROR(IF(compras_mes5[[#This Row],[CUIT]]="","-",VLOOKUP(compras_mes5[[#This Row],[CUIT]],Lista_CUIT[#All],4,0)),"CUIT NO CARGADO")</f>
        <v>0</v>
      </c>
    </row>
    <row r="44" spans="2:18" x14ac:dyDescent="0.25">
      <c r="B44" s="478" t="s">
        <v>2456</v>
      </c>
      <c r="C44" s="479">
        <v>1</v>
      </c>
      <c r="D44" s="481">
        <v>11</v>
      </c>
      <c r="E44" s="482">
        <v>85212</v>
      </c>
      <c r="F44" s="483">
        <v>30534051049</v>
      </c>
      <c r="G44" s="333" t="str">
        <f>IFERROR(IF(compras_mes5[[#This Row],[CUIT]]="","-",VLOOKUP(compras_mes5[[#This Row],[CUIT]],Lista_CUIT[#All],2,0)),"CUIT NO CARGADO")</f>
        <v>PLIN METAL S A</v>
      </c>
      <c r="H44" s="484">
        <v>22769.38</v>
      </c>
      <c r="I44" s="328">
        <f>IF(compras_mes5[[#This Row],[NETO GRAVADO]]="","",compras_mes5[[#This Row],[NETO GRAVADO]]*0.21)</f>
        <v>4781.5698000000002</v>
      </c>
      <c r="J44" s="328"/>
      <c r="K44" s="328"/>
      <c r="L44" s="328"/>
      <c r="M44" s="328"/>
      <c r="N44" s="328"/>
      <c r="O44" s="328">
        <v>1366.16</v>
      </c>
      <c r="P44" s="327">
        <f>SUM(compras_mes5[[#This Row],[NETO GRAVADO]:[Otros / No Grav.]])</f>
        <v>28917.109800000002</v>
      </c>
      <c r="Q44" s="329" t="str">
        <f>IFERROR(IF(compras_mes5[[#This Row],[CUIT]]="","-",VLOOKUP(compras_mes5[[#This Row],[CUIT]],Lista_CUIT[#All],3,0)),"CUIT NO CARGADO")</f>
        <v>Materia Prima</v>
      </c>
      <c r="R44" s="329">
        <f>IFERROR(IF(compras_mes5[[#This Row],[CUIT]]="","-",VLOOKUP(compras_mes5[[#This Row],[CUIT]],Lista_CUIT[#All],4,0)),"CUIT NO CARGADO")</f>
        <v>0</v>
      </c>
    </row>
    <row r="45" spans="2:18" x14ac:dyDescent="0.25">
      <c r="B45" s="478" t="s">
        <v>2456</v>
      </c>
      <c r="C45" s="479">
        <v>1</v>
      </c>
      <c r="D45" s="481">
        <v>4</v>
      </c>
      <c r="E45" s="482">
        <v>1963</v>
      </c>
      <c r="F45" s="483">
        <v>30716794829</v>
      </c>
      <c r="G45" s="333" t="str">
        <f>IFERROR(IF(compras_mes5[[#This Row],[CUIT]]="","-",VLOOKUP(compras_mes5[[#This Row],[CUIT]],Lista_CUIT[#All],2,0)),"CUIT NO CARGADO")</f>
        <v>VITALIS NATIVA SRL</v>
      </c>
      <c r="H45" s="484">
        <v>31232.23</v>
      </c>
      <c r="I45" s="328">
        <f>IF(compras_mes5[[#This Row],[NETO GRAVADO]]="","",compras_mes5[[#This Row],[NETO GRAVADO]]*0.21)</f>
        <v>6558.7682999999997</v>
      </c>
      <c r="J45" s="328"/>
      <c r="K45" s="328"/>
      <c r="L45" s="328"/>
      <c r="M45" s="328"/>
      <c r="N45" s="328"/>
      <c r="O45" s="328"/>
      <c r="P45" s="327">
        <f>SUM(compras_mes5[[#This Row],[NETO GRAVADO]:[Otros / No Grav.]])</f>
        <v>37790.998299999999</v>
      </c>
      <c r="Q45" s="329" t="str">
        <f>IFERROR(IF(compras_mes5[[#This Row],[CUIT]]="","-",VLOOKUP(compras_mes5[[#This Row],[CUIT]],Lista_CUIT[#All],3,0)),"CUIT NO CARGADO")</f>
        <v>Gastos Varios</v>
      </c>
      <c r="R45" s="329">
        <f>IFERROR(IF(compras_mes5[[#This Row],[CUIT]]="","-",VLOOKUP(compras_mes5[[#This Row],[CUIT]],Lista_CUIT[#All],4,0)),"CUIT NO CARGADO")</f>
        <v>0</v>
      </c>
    </row>
    <row r="46" spans="2:18" x14ac:dyDescent="0.25">
      <c r="B46" s="478" t="s">
        <v>2456</v>
      </c>
      <c r="C46" s="479">
        <v>1</v>
      </c>
      <c r="D46" s="481">
        <v>37</v>
      </c>
      <c r="E46" s="482">
        <v>13888</v>
      </c>
      <c r="F46" s="483">
        <v>30709539775</v>
      </c>
      <c r="G46" s="333" t="str">
        <f>IFERROR(IF(compras_mes5[[#This Row],[CUIT]]="","-",VLOOKUP(compras_mes5[[#This Row],[CUIT]],Lista_CUIT[#All],2,0)),"CUIT NO CARGADO")</f>
        <v>WEB SUPPLEMENTS S.R.L.</v>
      </c>
      <c r="H46" s="484">
        <v>6004.13</v>
      </c>
      <c r="I46" s="328">
        <f>IF(compras_mes5[[#This Row],[NETO GRAVADO]]="","",compras_mes5[[#This Row],[NETO GRAVADO]]*0.21)</f>
        <v>1260.8672999999999</v>
      </c>
      <c r="J46" s="328"/>
      <c r="K46" s="328"/>
      <c r="L46" s="328"/>
      <c r="M46" s="328"/>
      <c r="N46" s="328"/>
      <c r="O46" s="328"/>
      <c r="P46" s="327">
        <f>SUM(compras_mes5[[#This Row],[NETO GRAVADO]:[Otros / No Grav.]])</f>
        <v>7264.9973</v>
      </c>
      <c r="Q46" s="329" t="str">
        <f>IFERROR(IF(compras_mes5[[#This Row],[CUIT]]="","-",VLOOKUP(compras_mes5[[#This Row],[CUIT]],Lista_CUIT[#All],3,0)),"CUIT NO CARGADO")</f>
        <v>Gastos Varios</v>
      </c>
      <c r="R46" s="329">
        <f>IFERROR(IF(compras_mes5[[#This Row],[CUIT]]="","-",VLOOKUP(compras_mes5[[#This Row],[CUIT]],Lista_CUIT[#All],4,0)),"CUIT NO CARGADO")</f>
        <v>0</v>
      </c>
    </row>
    <row r="47" spans="2:18" x14ac:dyDescent="0.25">
      <c r="B47" s="478" t="s">
        <v>2456</v>
      </c>
      <c r="C47" s="479">
        <v>1</v>
      </c>
      <c r="D47" s="481">
        <v>2</v>
      </c>
      <c r="E47" s="482">
        <v>2377</v>
      </c>
      <c r="F47" s="483">
        <v>20184094526</v>
      </c>
      <c r="G47" s="333" t="str">
        <f>IFERROR(IF(compras_mes5[[#This Row],[CUIT]]="","-",VLOOKUP(compras_mes5[[#This Row],[CUIT]],Lista_CUIT[#All],2,0)),"CUIT NO CARGADO")</f>
        <v>Di Blasio Carlos</v>
      </c>
      <c r="H47" s="484">
        <v>266000</v>
      </c>
      <c r="I47" s="328">
        <f>IF(compras_mes5[[#This Row],[NETO GRAVADO]]="","",compras_mes5[[#This Row],[NETO GRAVADO]]*0.21)</f>
        <v>55860</v>
      </c>
      <c r="J47" s="328"/>
      <c r="K47" s="328"/>
      <c r="L47" s="328"/>
      <c r="M47" s="328"/>
      <c r="N47" s="328"/>
      <c r="O47" s="328"/>
      <c r="P47" s="327">
        <f>SUM(compras_mes5[[#This Row],[NETO GRAVADO]:[Otros / No Grav.]])</f>
        <v>321860</v>
      </c>
      <c r="Q47" s="329" t="str">
        <f>IFERROR(IF(compras_mes5[[#This Row],[CUIT]]="","-",VLOOKUP(compras_mes5[[#This Row],[CUIT]],Lista_CUIT[#All],3,0)),"CUIT NO CARGADO")</f>
        <v>Gastos Varios</v>
      </c>
      <c r="R47" s="329">
        <f>IFERROR(IF(compras_mes5[[#This Row],[CUIT]]="","-",VLOOKUP(compras_mes5[[#This Row],[CUIT]],Lista_CUIT[#All],4,0)),"CUIT NO CARGADO")</f>
        <v>0</v>
      </c>
    </row>
    <row r="48" spans="2:18" x14ac:dyDescent="0.25">
      <c r="B48" s="478" t="s">
        <v>2456</v>
      </c>
      <c r="C48" s="479">
        <v>1</v>
      </c>
      <c r="D48" s="481">
        <v>2</v>
      </c>
      <c r="E48" s="482">
        <v>4043</v>
      </c>
      <c r="F48" s="483">
        <v>30629863571</v>
      </c>
      <c r="G48" s="333" t="str">
        <f>IFERROR(IF(compras_mes5[[#This Row],[CUIT]]="","-",VLOOKUP(compras_mes5[[#This Row],[CUIT]],Lista_CUIT[#All],2,0)),"CUIT NO CARGADO")</f>
        <v>TECNIMAR S R L</v>
      </c>
      <c r="H48" s="484">
        <v>634900</v>
      </c>
      <c r="I48" s="328">
        <f>IF(compras_mes5[[#This Row],[NETO GRAVADO]]="","",compras_mes5[[#This Row],[NETO GRAVADO]]*0.21)</f>
        <v>133329</v>
      </c>
      <c r="J48" s="328"/>
      <c r="K48" s="328"/>
      <c r="L48" s="328"/>
      <c r="M48" s="328"/>
      <c r="N48" s="328"/>
      <c r="O48" s="328"/>
      <c r="P48" s="327">
        <f>SUM(compras_mes5[[#This Row],[NETO GRAVADO]:[Otros / No Grav.]])</f>
        <v>768229</v>
      </c>
      <c r="Q48" s="329" t="str">
        <f>IFERROR(IF(compras_mes5[[#This Row],[CUIT]]="","-",VLOOKUP(compras_mes5[[#This Row],[CUIT]],Lista_CUIT[#All],3,0)),"CUIT NO CARGADO")</f>
        <v>Productos Venta</v>
      </c>
      <c r="R48" s="329">
        <f>IFERROR(IF(compras_mes5[[#This Row],[CUIT]]="","-",VLOOKUP(compras_mes5[[#This Row],[CUIT]],Lista_CUIT[#All],4,0)),"CUIT NO CARGADO")</f>
        <v>0</v>
      </c>
    </row>
    <row r="49" spans="2:18" x14ac:dyDescent="0.25">
      <c r="B49" s="478" t="s">
        <v>2457</v>
      </c>
      <c r="C49" s="479">
        <v>1</v>
      </c>
      <c r="D49" s="481">
        <v>6</v>
      </c>
      <c r="E49" s="482">
        <v>131</v>
      </c>
      <c r="F49" s="483">
        <v>20269531062</v>
      </c>
      <c r="G49" s="333" t="str">
        <f>IFERROR(IF(compras_mes5[[#This Row],[CUIT]]="","-",VLOOKUP(compras_mes5[[#This Row],[CUIT]],Lista_CUIT[#All],2,0)),"CUIT NO CARGADO")</f>
        <v>PEZZELATTO RICARDO OMAR</v>
      </c>
      <c r="H49" s="484">
        <v>17910.740000000002</v>
      </c>
      <c r="I49" s="328">
        <f>IF(compras_mes5[[#This Row],[NETO GRAVADO]]="","",compras_mes5[[#This Row],[NETO GRAVADO]]*0.21)</f>
        <v>3761.2554</v>
      </c>
      <c r="J49" s="328"/>
      <c r="K49" s="328"/>
      <c r="L49" s="328"/>
      <c r="M49" s="328"/>
      <c r="N49" s="328"/>
      <c r="O49" s="328"/>
      <c r="P49" s="327">
        <f>SUM(compras_mes5[[#This Row],[NETO GRAVADO]:[Otros / No Grav.]])</f>
        <v>21671.9954</v>
      </c>
      <c r="Q49" s="329" t="str">
        <f>IFERROR(IF(compras_mes5[[#This Row],[CUIT]]="","-",VLOOKUP(compras_mes5[[#This Row],[CUIT]],Lista_CUIT[#All],3,0)),"CUIT NO CARGADO")</f>
        <v>Gastos Varios</v>
      </c>
      <c r="R49" s="329">
        <f>IFERROR(IF(compras_mes5[[#This Row],[CUIT]]="","-",VLOOKUP(compras_mes5[[#This Row],[CUIT]],Lista_CUIT[#All],4,0)),"CUIT NO CARGADO")</f>
        <v>0</v>
      </c>
    </row>
    <row r="50" spans="2:18" x14ac:dyDescent="0.25">
      <c r="B50" s="478" t="s">
        <v>2457</v>
      </c>
      <c r="C50" s="479">
        <v>1</v>
      </c>
      <c r="D50" s="481">
        <v>2084</v>
      </c>
      <c r="E50" s="482">
        <v>29018</v>
      </c>
      <c r="F50" s="483">
        <v>30548083156</v>
      </c>
      <c r="G50" s="333" t="str">
        <f>IFERROR(IF(compras_mes5[[#This Row],[CUIT]]="","-",VLOOKUP(compras_mes5[[#This Row],[CUIT]],Lista_CUIT[#All],2,0)),"CUIT NO CARGADO")</f>
        <v>COTO CENTRO INTEGRAL DE COMERCIALIZACION SOCIEDAD ANONIMA</v>
      </c>
      <c r="H50" s="484">
        <v>53938.19</v>
      </c>
      <c r="I50" s="328">
        <v>6348.75</v>
      </c>
      <c r="J50" s="328"/>
      <c r="K50" s="328">
        <v>2489.13</v>
      </c>
      <c r="L50" s="328"/>
      <c r="M50" s="328"/>
      <c r="N50" s="328"/>
      <c r="O50" s="328">
        <v>3076.48</v>
      </c>
      <c r="P50" s="327">
        <f>SUM(compras_mes5[[#This Row],[NETO GRAVADO]:[Otros / No Grav.]])</f>
        <v>65852.55</v>
      </c>
      <c r="Q50" s="329" t="str">
        <f>IFERROR(IF(compras_mes5[[#This Row],[CUIT]]="","-",VLOOKUP(compras_mes5[[#This Row],[CUIT]],Lista_CUIT[#All],3,0)),"CUIT NO CARGADO")</f>
        <v>Gastos Varios</v>
      </c>
      <c r="R50" s="329">
        <f>IFERROR(IF(compras_mes5[[#This Row],[CUIT]]="","-",VLOOKUP(compras_mes5[[#This Row],[CUIT]],Lista_CUIT[#All],4,0)),"CUIT NO CARGADO")</f>
        <v>0</v>
      </c>
    </row>
    <row r="51" spans="2:18" x14ac:dyDescent="0.25">
      <c r="B51" s="478" t="s">
        <v>2457</v>
      </c>
      <c r="C51" s="479">
        <v>1</v>
      </c>
      <c r="D51" s="481">
        <v>14</v>
      </c>
      <c r="E51" s="482">
        <v>17147</v>
      </c>
      <c r="F51" s="483">
        <v>30715186256</v>
      </c>
      <c r="G51" s="333" t="str">
        <f>IFERROR(IF(compras_mes5[[#This Row],[CUIT]]="","-",VLOOKUP(compras_mes5[[#This Row],[CUIT]],Lista_CUIT[#All],2,0)),"CUIT NO CARGADO")</f>
        <v>FRIGORIFICO ALIMENTIC</v>
      </c>
      <c r="H51" s="484">
        <v>64498.01</v>
      </c>
      <c r="I51" s="328">
        <v>3038.41</v>
      </c>
      <c r="J51" s="328"/>
      <c r="K51" s="328">
        <v>5253.09</v>
      </c>
      <c r="L51" s="328"/>
      <c r="M51" s="328"/>
      <c r="N51" s="328"/>
      <c r="O51" s="328"/>
      <c r="P51" s="327">
        <f>SUM(compras_mes5[[#This Row],[NETO GRAVADO]:[Otros / No Grav.]])</f>
        <v>72789.509999999995</v>
      </c>
      <c r="Q51" s="329" t="str">
        <f>IFERROR(IF(compras_mes5[[#This Row],[CUIT]]="","-",VLOOKUP(compras_mes5[[#This Row],[CUIT]],Lista_CUIT[#All],3,0)),"CUIT NO CARGADO")</f>
        <v>Gastos Comercializacion - Feria</v>
      </c>
      <c r="R51" s="329">
        <f>IFERROR(IF(compras_mes5[[#This Row],[CUIT]]="","-",VLOOKUP(compras_mes5[[#This Row],[CUIT]],Lista_CUIT[#All],4,0)),"CUIT NO CARGADO")</f>
        <v>0</v>
      </c>
    </row>
    <row r="52" spans="2:18" x14ac:dyDescent="0.25">
      <c r="B52" s="478" t="s">
        <v>2457</v>
      </c>
      <c r="C52" s="479">
        <v>1</v>
      </c>
      <c r="D52" s="481">
        <v>2188</v>
      </c>
      <c r="E52" s="482">
        <v>148000</v>
      </c>
      <c r="F52" s="483">
        <v>30548083156</v>
      </c>
      <c r="G52" s="333" t="str">
        <f>IFERROR(IF(compras_mes5[[#This Row],[CUIT]]="","-",VLOOKUP(compras_mes5[[#This Row],[CUIT]],Lista_CUIT[#All],2,0)),"CUIT NO CARGADO")</f>
        <v>COTO CENTRO INTEGRAL DE COMERCIALIZACION SOCIEDAD ANONIMA</v>
      </c>
      <c r="H52" s="484">
        <v>61482.17</v>
      </c>
      <c r="I52" s="328">
        <v>10378.82</v>
      </c>
      <c r="J52" s="85" t="s">
        <v>2411</v>
      </c>
      <c r="K52" s="85">
        <v>1266.22</v>
      </c>
      <c r="L52" s="85" t="s">
        <v>2411</v>
      </c>
      <c r="M52" s="328"/>
      <c r="N52" s="328"/>
      <c r="O52" s="328">
        <v>5163.3100000000004</v>
      </c>
      <c r="P52" s="327">
        <f>SUM(compras_mes5[[#This Row],[NETO GRAVADO]:[Otros / No Grav.]])</f>
        <v>78290.51999999999</v>
      </c>
      <c r="Q52" s="329" t="str">
        <f>IFERROR(IF(compras_mes5[[#This Row],[CUIT]]="","-",VLOOKUP(compras_mes5[[#This Row],[CUIT]],Lista_CUIT[#All],3,0)),"CUIT NO CARGADO")</f>
        <v>Gastos Varios</v>
      </c>
      <c r="R52" s="329">
        <f>IFERROR(IF(compras_mes5[[#This Row],[CUIT]]="","-",VLOOKUP(compras_mes5[[#This Row],[CUIT]],Lista_CUIT[#All],4,0)),"CUIT NO CARGADO")</f>
        <v>0</v>
      </c>
    </row>
    <row r="53" spans="2:18" x14ac:dyDescent="0.25">
      <c r="B53" s="478" t="s">
        <v>2457</v>
      </c>
      <c r="C53" s="479">
        <v>1</v>
      </c>
      <c r="D53" s="481">
        <v>3101</v>
      </c>
      <c r="E53" s="482">
        <v>310087</v>
      </c>
      <c r="F53" s="483">
        <v>30678814357</v>
      </c>
      <c r="G53" s="333" t="str">
        <f>IFERROR(IF(compras_mes5[[#This Row],[CUIT]]="","-",VLOOKUP(compras_mes5[[#This Row],[CUIT]],Lista_CUIT[#All],2,0)),"CUIT NO CARGADO")</f>
        <v>TELEFONICA MOVILES ARG</v>
      </c>
      <c r="H53" s="484">
        <v>17242.900000000001</v>
      </c>
      <c r="I53" s="85" t="s">
        <v>2411</v>
      </c>
      <c r="J53" s="328"/>
      <c r="K53" s="328">
        <f>compras_mes5[[#This Row],[NETO GRAVADO]]*0.27</f>
        <v>4655.5830000000005</v>
      </c>
      <c r="L53" s="328">
        <v>517.29</v>
      </c>
      <c r="M53" s="328"/>
      <c r="N53" s="328">
        <v>1034.57</v>
      </c>
      <c r="O53" s="328"/>
      <c r="P53" s="327">
        <f>SUM(compras_mes5[[#This Row],[NETO GRAVADO]:[Otros / No Grav.]])</f>
        <v>23450.343000000001</v>
      </c>
      <c r="Q53" s="329" t="str">
        <f>IFERROR(IF(compras_mes5[[#This Row],[CUIT]]="","-",VLOOKUP(compras_mes5[[#This Row],[CUIT]],Lista_CUIT[#All],3,0)),"CUIT NO CARGADO")</f>
        <v>Servicios Gas, Luz, etc.</v>
      </c>
      <c r="R53" s="329">
        <f>IFERROR(IF(compras_mes5[[#This Row],[CUIT]]="","-",VLOOKUP(compras_mes5[[#This Row],[CUIT]],Lista_CUIT[#All],4,0)),"CUIT NO CARGADO")</f>
        <v>0</v>
      </c>
    </row>
    <row r="54" spans="2:18" x14ac:dyDescent="0.25">
      <c r="B54" s="478" t="s">
        <v>2457</v>
      </c>
      <c r="C54" s="479">
        <v>1</v>
      </c>
      <c r="D54" s="481">
        <v>2</v>
      </c>
      <c r="E54" s="482">
        <v>874</v>
      </c>
      <c r="F54" s="483">
        <v>20103069832</v>
      </c>
      <c r="G54" s="333" t="str">
        <f>IFERROR(IF(compras_mes5[[#This Row],[CUIT]]="","-",VLOOKUP(compras_mes5[[#This Row],[CUIT]],Lista_CUIT[#All],2,0)),"CUIT NO CARGADO")</f>
        <v>DE LUCA HECTOR RAFAEL FRANCI</v>
      </c>
      <c r="H54" s="484">
        <v>1130400</v>
      </c>
      <c r="I54" s="328">
        <f>IF(compras_mes5[[#This Row],[NETO GRAVADO]]="","",compras_mes5[[#This Row],[NETO GRAVADO]]*0.21)</f>
        <v>237384</v>
      </c>
      <c r="J54" s="328"/>
      <c r="K54" s="328"/>
      <c r="L54" s="328"/>
      <c r="M54" s="328"/>
      <c r="N54" s="328"/>
      <c r="O54" s="328"/>
      <c r="P54" s="327">
        <f>SUM(compras_mes5[[#This Row],[NETO GRAVADO]:[Otros / No Grav.]])</f>
        <v>1367784</v>
      </c>
      <c r="Q54" s="329" t="str">
        <f>IFERROR(IF(compras_mes5[[#This Row],[CUIT]]="","-",VLOOKUP(compras_mes5[[#This Row],[CUIT]],Lista_CUIT[#All],3,0)),"CUIT NO CARGADO")</f>
        <v>Material de Empaque</v>
      </c>
      <c r="R54" s="329">
        <f>IFERROR(IF(compras_mes5[[#This Row],[CUIT]]="","-",VLOOKUP(compras_mes5[[#This Row],[CUIT]],Lista_CUIT[#All],4,0)),"CUIT NO CARGADO")</f>
        <v>0</v>
      </c>
    </row>
    <row r="55" spans="2:18" x14ac:dyDescent="0.25">
      <c r="B55" s="478" t="s">
        <v>2457</v>
      </c>
      <c r="C55" s="479">
        <v>1</v>
      </c>
      <c r="D55" s="481">
        <v>3</v>
      </c>
      <c r="E55" s="482">
        <v>157</v>
      </c>
      <c r="F55" s="483">
        <v>27385473937</v>
      </c>
      <c r="G55" s="333" t="str">
        <f>IFERROR(IF(compras_mes5[[#This Row],[CUIT]]="","-",VLOOKUP(compras_mes5[[#This Row],[CUIT]],Lista_CUIT[#All],2,0)),"CUIT NO CARGADO")</f>
        <v>NOCENTE MARIA DEL SOL</v>
      </c>
      <c r="H55" s="484">
        <v>8677.67</v>
      </c>
      <c r="I55" s="328">
        <f>IF(compras_mes5[[#This Row],[NETO GRAVADO]]="","",compras_mes5[[#This Row],[NETO GRAVADO]]*0.21)</f>
        <v>1822.3107</v>
      </c>
      <c r="J55" s="328"/>
      <c r="K55" s="328"/>
      <c r="L55" s="328"/>
      <c r="M55" s="328"/>
      <c r="N55" s="328"/>
      <c r="O55" s="328"/>
      <c r="P55" s="327">
        <f>SUM(compras_mes5[[#This Row],[NETO GRAVADO]:[Otros / No Grav.]])</f>
        <v>10499.9807</v>
      </c>
      <c r="Q55" s="329" t="str">
        <f>IFERROR(IF(compras_mes5[[#This Row],[CUIT]]="","-",VLOOKUP(compras_mes5[[#This Row],[CUIT]],Lista_CUIT[#All],3,0)),"CUIT NO CARGADO")</f>
        <v>Gastos Varios</v>
      </c>
      <c r="R55" s="329">
        <f>IFERROR(IF(compras_mes5[[#This Row],[CUIT]]="","-",VLOOKUP(compras_mes5[[#This Row],[CUIT]],Lista_CUIT[#All],4,0)),"CUIT NO CARGADO")</f>
        <v>0</v>
      </c>
    </row>
    <row r="56" spans="2:18" x14ac:dyDescent="0.25">
      <c r="B56" s="478" t="s">
        <v>2457</v>
      </c>
      <c r="C56" s="479">
        <v>1</v>
      </c>
      <c r="D56" s="481">
        <v>2</v>
      </c>
      <c r="E56" s="482">
        <v>4044</v>
      </c>
      <c r="F56" s="483">
        <v>30629863571</v>
      </c>
      <c r="G56" s="333" t="str">
        <f>IFERROR(IF(compras_mes5[[#This Row],[CUIT]]="","-",VLOOKUP(compras_mes5[[#This Row],[CUIT]],Lista_CUIT[#All],2,0)),"CUIT NO CARGADO")</f>
        <v>TECNIMAR S R L</v>
      </c>
      <c r="H56" s="484">
        <v>1142820</v>
      </c>
      <c r="I56" s="328">
        <f>IF(compras_mes5[[#This Row],[NETO GRAVADO]]="","",compras_mes5[[#This Row],[NETO GRAVADO]]*0.21)</f>
        <v>239992.19999999998</v>
      </c>
      <c r="J56" s="328"/>
      <c r="K56" s="328"/>
      <c r="L56" s="328"/>
      <c r="M56" s="328"/>
      <c r="N56" s="328"/>
      <c r="O56" s="328"/>
      <c r="P56" s="327">
        <f>SUM(compras_mes5[[#This Row],[NETO GRAVADO]:[Otros / No Grav.]])</f>
        <v>1382812.2</v>
      </c>
      <c r="Q56" s="329" t="str">
        <f>IFERROR(IF(compras_mes5[[#This Row],[CUIT]]="","-",VLOOKUP(compras_mes5[[#This Row],[CUIT]],Lista_CUIT[#All],3,0)),"CUIT NO CARGADO")</f>
        <v>Productos Venta</v>
      </c>
      <c r="R56" s="329">
        <f>IFERROR(IF(compras_mes5[[#This Row],[CUIT]]="","-",VLOOKUP(compras_mes5[[#This Row],[CUIT]],Lista_CUIT[#All],4,0)),"CUIT NO CARGADO")</f>
        <v>0</v>
      </c>
    </row>
    <row r="57" spans="2:18" x14ac:dyDescent="0.25">
      <c r="B57" s="478" t="s">
        <v>2458</v>
      </c>
      <c r="C57" s="479">
        <v>1</v>
      </c>
      <c r="D57" s="481">
        <v>6364</v>
      </c>
      <c r="E57" s="482">
        <v>9085892</v>
      </c>
      <c r="F57" s="483">
        <v>30639453738</v>
      </c>
      <c r="G57" s="333" t="str">
        <f>IFERROR(IF(compras_mes5[[#This Row],[CUIT]]="","-",VLOOKUP(compras_mes5[[#This Row],[CUIT]],Lista_CUIT[#All],2,0)),"CUIT NO CARGADO")</f>
        <v>TELECOM ARG SA</v>
      </c>
      <c r="H57" s="484">
        <v>432419.18</v>
      </c>
      <c r="I57" s="328">
        <v>63415.71</v>
      </c>
      <c r="J57" s="328">
        <v>35218.69</v>
      </c>
      <c r="K57" s="85" t="s">
        <v>2411</v>
      </c>
      <c r="L57" s="328"/>
      <c r="M57" s="328">
        <v>25302.36</v>
      </c>
      <c r="N57" s="328"/>
      <c r="O57" s="328">
        <v>13049.2</v>
      </c>
      <c r="P57" s="327">
        <f>SUM(compras_mes5[[#This Row],[NETO GRAVADO]:[Otros / No Grav.]])</f>
        <v>569405.14</v>
      </c>
      <c r="Q57" s="329" t="str">
        <f>IFERROR(IF(compras_mes5[[#This Row],[CUIT]]="","-",VLOOKUP(compras_mes5[[#This Row],[CUIT]],Lista_CUIT[#All],3,0)),"CUIT NO CARGADO")</f>
        <v>Servicios Gas, Luz, etc.</v>
      </c>
      <c r="R57" s="329">
        <f>IFERROR(IF(compras_mes5[[#This Row],[CUIT]]="","-",VLOOKUP(compras_mes5[[#This Row],[CUIT]],Lista_CUIT[#All],4,0)),"CUIT NO CARGADO")</f>
        <v>0</v>
      </c>
    </row>
    <row r="58" spans="2:18" x14ac:dyDescent="0.25">
      <c r="B58" s="478" t="s">
        <v>2459</v>
      </c>
      <c r="C58" s="479">
        <v>1</v>
      </c>
      <c r="D58" s="481">
        <v>10</v>
      </c>
      <c r="E58" s="482">
        <v>9184</v>
      </c>
      <c r="F58" s="483">
        <v>30709487147</v>
      </c>
      <c r="G58" s="333" t="str">
        <f>IFERROR(IF(compras_mes5[[#This Row],[CUIT]]="","-",VLOOKUP(compras_mes5[[#This Row],[CUIT]],Lista_CUIT[#All],2,0)),"CUIT NO CARGADO")</f>
        <v>GRUPO TAM  SRL</v>
      </c>
      <c r="H58" s="484">
        <v>63882.239999999998</v>
      </c>
      <c r="I58" s="328">
        <f>IF(compras_mes5[[#This Row],[NETO GRAVADO]]="","",compras_mes5[[#This Row],[NETO GRAVADO]]*0.21)</f>
        <v>13415.270399999999</v>
      </c>
      <c r="J58" s="328"/>
      <c r="K58" s="328"/>
      <c r="L58" s="328"/>
      <c r="M58" s="328"/>
      <c r="N58" s="328"/>
      <c r="O58" s="328"/>
      <c r="P58" s="327">
        <f>SUM(compras_mes5[[#This Row],[NETO GRAVADO]:[Otros / No Grav.]])</f>
        <v>77297.510399999999</v>
      </c>
      <c r="Q58" s="329" t="str">
        <f>IFERROR(IF(compras_mes5[[#This Row],[CUIT]]="","-",VLOOKUP(compras_mes5[[#This Row],[CUIT]],Lista_CUIT[#All],3,0)),"CUIT NO CARGADO")</f>
        <v>LIBRERÍA</v>
      </c>
      <c r="R58" s="329">
        <f>IFERROR(IF(compras_mes5[[#This Row],[CUIT]]="","-",VLOOKUP(compras_mes5[[#This Row],[CUIT]],Lista_CUIT[#All],4,0)),"CUIT NO CARGADO")</f>
        <v>0</v>
      </c>
    </row>
    <row r="59" spans="2:18" x14ac:dyDescent="0.25">
      <c r="B59" s="478" t="s">
        <v>2459</v>
      </c>
      <c r="C59" s="479">
        <v>1</v>
      </c>
      <c r="D59" s="481">
        <v>2</v>
      </c>
      <c r="E59" s="482">
        <v>2382</v>
      </c>
      <c r="F59" s="483">
        <v>20184094526</v>
      </c>
      <c r="G59" s="333" t="str">
        <f>IFERROR(IF(compras_mes5[[#This Row],[CUIT]]="","-",VLOOKUP(compras_mes5[[#This Row],[CUIT]],Lista_CUIT[#All],2,0)),"CUIT NO CARGADO")</f>
        <v>Di Blasio Carlos</v>
      </c>
      <c r="H59" s="484">
        <v>79200</v>
      </c>
      <c r="I59" s="328">
        <f>IF(compras_mes5[[#This Row],[NETO GRAVADO]]="","",compras_mes5[[#This Row],[NETO GRAVADO]]*0.21)</f>
        <v>16632</v>
      </c>
      <c r="J59" s="328"/>
      <c r="K59" s="328"/>
      <c r="L59" s="328"/>
      <c r="M59" s="328"/>
      <c r="N59" s="328"/>
      <c r="O59" s="328"/>
      <c r="P59" s="327">
        <f>SUM(compras_mes5[[#This Row],[NETO GRAVADO]:[Otros / No Grav.]])</f>
        <v>95832</v>
      </c>
      <c r="Q59" s="329" t="str">
        <f>IFERROR(IF(compras_mes5[[#This Row],[CUIT]]="","-",VLOOKUP(compras_mes5[[#This Row],[CUIT]],Lista_CUIT[#All],3,0)),"CUIT NO CARGADO")</f>
        <v>Gastos Varios</v>
      </c>
      <c r="R59" s="329">
        <f>IFERROR(IF(compras_mes5[[#This Row],[CUIT]]="","-",VLOOKUP(compras_mes5[[#This Row],[CUIT]],Lista_CUIT[#All],4,0)),"CUIT NO CARGADO")</f>
        <v>0</v>
      </c>
    </row>
    <row r="60" spans="2:18" x14ac:dyDescent="0.25">
      <c r="B60" s="478" t="s">
        <v>2459</v>
      </c>
      <c r="C60" s="479">
        <v>1</v>
      </c>
      <c r="D60" s="481">
        <v>2</v>
      </c>
      <c r="E60" s="482">
        <v>4045</v>
      </c>
      <c r="F60" s="483">
        <v>30629863571</v>
      </c>
      <c r="G60" s="333" t="str">
        <f>IFERROR(IF(compras_mes5[[#This Row],[CUIT]]="","-",VLOOKUP(compras_mes5[[#This Row],[CUIT]],Lista_CUIT[#All],2,0)),"CUIT NO CARGADO")</f>
        <v>TECNIMAR S R L</v>
      </c>
      <c r="H60" s="484">
        <v>1487304</v>
      </c>
      <c r="I60" s="328">
        <f>IF(compras_mes5[[#This Row],[NETO GRAVADO]]="","",compras_mes5[[#This Row],[NETO GRAVADO]]*0.21)</f>
        <v>312333.83999999997</v>
      </c>
      <c r="J60" s="328"/>
      <c r="K60" s="328"/>
      <c r="L60" s="328"/>
      <c r="M60" s="328"/>
      <c r="N60" s="328"/>
      <c r="O60" s="328"/>
      <c r="P60" s="327">
        <f>SUM(compras_mes5[[#This Row],[NETO GRAVADO]:[Otros / No Grav.]])</f>
        <v>1799637.8399999999</v>
      </c>
      <c r="Q60" s="329" t="str">
        <f>IFERROR(IF(compras_mes5[[#This Row],[CUIT]]="","-",VLOOKUP(compras_mes5[[#This Row],[CUIT]],Lista_CUIT[#All],3,0)),"CUIT NO CARGADO")</f>
        <v>Productos Venta</v>
      </c>
      <c r="R60" s="329">
        <f>IFERROR(IF(compras_mes5[[#This Row],[CUIT]]="","-",VLOOKUP(compras_mes5[[#This Row],[CUIT]],Lista_CUIT[#All],4,0)),"CUIT NO CARGADO")</f>
        <v>0</v>
      </c>
    </row>
    <row r="61" spans="2:18" x14ac:dyDescent="0.25">
      <c r="B61" s="478" t="s">
        <v>2460</v>
      </c>
      <c r="C61" s="479">
        <v>1</v>
      </c>
      <c r="D61" s="481">
        <v>4</v>
      </c>
      <c r="E61" s="482">
        <v>108</v>
      </c>
      <c r="F61" s="483">
        <v>20348187040</v>
      </c>
      <c r="G61" s="333" t="str">
        <f>IFERROR(IF(compras_mes5[[#This Row],[CUIT]]="","-",VLOOKUP(compras_mes5[[#This Row],[CUIT]],Lista_CUIT[#All],2,0)),"CUIT NO CARGADO")</f>
        <v>ZOLOTUCHO ANDRES NICOLAS</v>
      </c>
      <c r="H61" s="484">
        <v>32547.37</v>
      </c>
      <c r="I61" s="328">
        <f>IF(compras_mes5[[#This Row],[NETO GRAVADO]]="","",compras_mes5[[#This Row],[NETO GRAVADO]]*0.21)</f>
        <v>6834.9476999999997</v>
      </c>
      <c r="J61" s="328"/>
      <c r="K61" s="328"/>
      <c r="L61" s="328"/>
      <c r="M61" s="328"/>
      <c r="N61" s="328"/>
      <c r="O61" s="328"/>
      <c r="P61" s="327">
        <f>SUM(compras_mes5[[#This Row],[NETO GRAVADO]:[Otros / No Grav.]])</f>
        <v>39382.3177</v>
      </c>
      <c r="Q61" s="329" t="str">
        <f>IFERROR(IF(compras_mes5[[#This Row],[CUIT]]="","-",VLOOKUP(compras_mes5[[#This Row],[CUIT]],Lista_CUIT[#All],3,0)),"CUIT NO CARGADO")</f>
        <v>Gastos Varios</v>
      </c>
      <c r="R61" s="329">
        <f>IFERROR(IF(compras_mes5[[#This Row],[CUIT]]="","-",VLOOKUP(compras_mes5[[#This Row],[CUIT]],Lista_CUIT[#All],4,0)),"CUIT NO CARGADO")</f>
        <v>0</v>
      </c>
    </row>
    <row r="62" spans="2:18" x14ac:dyDescent="0.25">
      <c r="B62" s="478" t="s">
        <v>2460</v>
      </c>
      <c r="C62" s="479">
        <v>1</v>
      </c>
      <c r="D62" s="481">
        <v>4</v>
      </c>
      <c r="E62" s="482">
        <v>49688</v>
      </c>
      <c r="F62" s="483">
        <v>30709863076</v>
      </c>
      <c r="G62" s="333" t="str">
        <f>IFERROR(IF(compras_mes5[[#This Row],[CUIT]]="","-",VLOOKUP(compras_mes5[[#This Row],[CUIT]],Lista_CUIT[#All],2,0)),"CUIT NO CARGADO")</f>
        <v>INDUSTRIAS PLASTICOS SALTA S.R.L.</v>
      </c>
      <c r="H62" s="484">
        <v>2343498</v>
      </c>
      <c r="I62" s="328">
        <f>IF(compras_mes5[[#This Row],[NETO GRAVADO]]="","",compras_mes5[[#This Row],[NETO GRAVADO]]*0.21)</f>
        <v>492134.57999999996</v>
      </c>
      <c r="J62" s="328"/>
      <c r="K62" s="328"/>
      <c r="L62" s="328"/>
      <c r="M62" s="328"/>
      <c r="N62" s="328"/>
      <c r="O62" s="328"/>
      <c r="P62" s="327">
        <f>SUM(compras_mes5[[#This Row],[NETO GRAVADO]:[Otros / No Grav.]])</f>
        <v>2835632.58</v>
      </c>
      <c r="Q62" s="329" t="str">
        <f>IFERROR(IF(compras_mes5[[#This Row],[CUIT]]="","-",VLOOKUP(compras_mes5[[#This Row],[CUIT]],Lista_CUIT[#All],3,0)),"CUIT NO CARGADO")</f>
        <v>Materia Prima</v>
      </c>
      <c r="R62" s="329">
        <f>IFERROR(IF(compras_mes5[[#This Row],[CUIT]]="","-",VLOOKUP(compras_mes5[[#This Row],[CUIT]],Lista_CUIT[#All],4,0)),"CUIT NO CARGADO")</f>
        <v>0</v>
      </c>
    </row>
    <row r="63" spans="2:18" x14ac:dyDescent="0.25">
      <c r="B63" s="478" t="s">
        <v>2460</v>
      </c>
      <c r="C63" s="479">
        <v>1</v>
      </c>
      <c r="D63" s="481">
        <v>2</v>
      </c>
      <c r="E63" s="482">
        <v>46520</v>
      </c>
      <c r="F63" s="483">
        <v>30717273520</v>
      </c>
      <c r="G63" s="333" t="str">
        <f>IFERROR(IF(compras_mes5[[#This Row],[CUIT]]="","-",VLOOKUP(compras_mes5[[#This Row],[CUIT]],Lista_CUIT[#All],2,0)),"CUIT NO CARGADO")</f>
        <v>SMART IT SOLUTIONS S.R.L</v>
      </c>
      <c r="H63" s="484">
        <v>30489.26</v>
      </c>
      <c r="I63" s="328">
        <f>IF(compras_mes5[[#This Row],[NETO GRAVADO]]="","",compras_mes5[[#This Row],[NETO GRAVADO]]*0.21)</f>
        <v>6402.7445999999991</v>
      </c>
      <c r="J63" s="328"/>
      <c r="K63" s="328"/>
      <c r="L63" s="328"/>
      <c r="M63" s="328"/>
      <c r="N63" s="328"/>
      <c r="O63" s="328"/>
      <c r="P63" s="327">
        <f>SUM(compras_mes5[[#This Row],[NETO GRAVADO]:[Otros / No Grav.]])</f>
        <v>36892.0046</v>
      </c>
      <c r="Q63" s="329" t="str">
        <f>IFERROR(IF(compras_mes5[[#This Row],[CUIT]]="","-",VLOOKUP(compras_mes5[[#This Row],[CUIT]],Lista_CUIT[#All],3,0)),"CUIT NO CARGADO")</f>
        <v>Gastos Oficina</v>
      </c>
      <c r="R63" s="329">
        <f>IFERROR(IF(compras_mes5[[#This Row],[CUIT]]="","-",VLOOKUP(compras_mes5[[#This Row],[CUIT]],Lista_CUIT[#All],4,0)),"CUIT NO CARGADO")</f>
        <v>0</v>
      </c>
    </row>
    <row r="64" spans="2:18" x14ac:dyDescent="0.25">
      <c r="B64" s="478" t="s">
        <v>2461</v>
      </c>
      <c r="C64" s="479">
        <v>1</v>
      </c>
      <c r="D64" s="481">
        <v>7</v>
      </c>
      <c r="E64" s="482">
        <v>21254</v>
      </c>
      <c r="F64" s="483">
        <v>30715124919</v>
      </c>
      <c r="G64" s="333" t="str">
        <f>IFERROR(IF(compras_mes5[[#This Row],[CUIT]]="","-",VLOOKUP(compras_mes5[[#This Row],[CUIT]],Lista_CUIT[#All],2,0)),"CUIT NO CARGADO")</f>
        <v>CLEAN LAB SRL</v>
      </c>
      <c r="H64" s="484">
        <v>57906.96</v>
      </c>
      <c r="I64" s="328">
        <f>IF(compras_mes5[[#This Row],[NETO GRAVADO]]="","",compras_mes5[[#This Row],[NETO GRAVADO]]*0.21)</f>
        <v>12160.461599999999</v>
      </c>
      <c r="J64" s="328"/>
      <c r="K64" s="328"/>
      <c r="L64" s="328"/>
      <c r="M64" s="328"/>
      <c r="N64" s="328"/>
      <c r="O64" s="328"/>
      <c r="P64" s="327">
        <f>SUM(compras_mes5[[#This Row],[NETO GRAVADO]:[Otros / No Grav.]])</f>
        <v>70067.421600000001</v>
      </c>
      <c r="Q64" s="329" t="str">
        <f>IFERROR(IF(compras_mes5[[#This Row],[CUIT]]="","-",VLOOKUP(compras_mes5[[#This Row],[CUIT]],Lista_CUIT[#All],3,0)),"CUIT NO CARGADO")</f>
        <v>Gastos Limpieza</v>
      </c>
      <c r="R64" s="329">
        <f>IFERROR(IF(compras_mes5[[#This Row],[CUIT]]="","-",VLOOKUP(compras_mes5[[#This Row],[CUIT]],Lista_CUIT[#All],4,0)),"CUIT NO CARGADO")</f>
        <v>0</v>
      </c>
    </row>
    <row r="65" spans="2:18" s="127" customFormat="1" x14ac:dyDescent="0.25">
      <c r="B65" s="478" t="s">
        <v>2461</v>
      </c>
      <c r="C65" s="479">
        <v>1</v>
      </c>
      <c r="D65" s="481">
        <v>5015</v>
      </c>
      <c r="E65" s="482">
        <v>849820</v>
      </c>
      <c r="F65" s="483">
        <v>30574876474</v>
      </c>
      <c r="G65" s="333" t="str">
        <f>IFERROR(IF(compras_mes5[[#This Row],[CUIT]]="","-",VLOOKUP(compras_mes5[[#This Row],[CUIT]],Lista_CUIT[#All],2,0)),"CUIT NO CARGADO")</f>
        <v>AUTOPISTAS URBANAS S A</v>
      </c>
      <c r="H65" s="484">
        <v>89515.77</v>
      </c>
      <c r="I65" s="328">
        <f>IF(compras_mes5[[#This Row],[NETO GRAVADO]]="","",compras_mes5[[#This Row],[NETO GRAVADO]]*0.21)</f>
        <v>18798.311699999998</v>
      </c>
      <c r="J65" s="309"/>
      <c r="K65" s="328"/>
      <c r="L65" s="328"/>
      <c r="M65" s="328"/>
      <c r="N65" s="328"/>
      <c r="O65" s="328">
        <v>11637.02</v>
      </c>
      <c r="P65" s="327">
        <f>SUM(compras_mes5[[#This Row],[NETO GRAVADO]:[Otros / No Grav.]])</f>
        <v>119951.10170000001</v>
      </c>
      <c r="Q65" s="329" t="str">
        <f>IFERROR(IF(compras_mes5[[#This Row],[CUIT]]="","-",VLOOKUP(compras_mes5[[#This Row],[CUIT]],Lista_CUIT[#All],3,0)),"CUIT NO CARGADO")</f>
        <v>Peajes</v>
      </c>
      <c r="R65" s="329">
        <f>IFERROR(IF(compras_mes5[[#This Row],[CUIT]]="","-",VLOOKUP(compras_mes5[[#This Row],[CUIT]],Lista_CUIT[#All],4,0)),"CUIT NO CARGADO")</f>
        <v>0</v>
      </c>
    </row>
    <row r="66" spans="2:18" x14ac:dyDescent="0.25">
      <c r="B66" s="478" t="s">
        <v>2461</v>
      </c>
      <c r="C66" s="479">
        <v>1</v>
      </c>
      <c r="D66" s="481">
        <v>2</v>
      </c>
      <c r="E66" s="482">
        <v>910</v>
      </c>
      <c r="F66" s="483">
        <v>27317740196</v>
      </c>
      <c r="G66" s="333" t="str">
        <f>IFERROR(IF(compras_mes5[[#This Row],[CUIT]]="","-",VLOOKUP(compras_mes5[[#This Row],[CUIT]],Lista_CUIT[#All],2,0)),"CUIT NO CARGADO")</f>
        <v>HOKAMA ROMINA PAOLA</v>
      </c>
      <c r="H66" s="484">
        <v>20397.52</v>
      </c>
      <c r="I66" s="328">
        <f>IF(compras_mes5[[#This Row],[NETO GRAVADO]]="","",compras_mes5[[#This Row],[NETO GRAVADO]]*0.21)</f>
        <v>4283.4791999999998</v>
      </c>
      <c r="J66" s="328"/>
      <c r="K66" s="328"/>
      <c r="L66" s="328"/>
      <c r="M66" s="328"/>
      <c r="N66" s="328"/>
      <c r="O66" s="328"/>
      <c r="P66" s="327">
        <f>SUM(compras_mes5[[#This Row],[NETO GRAVADO]:[Otros / No Grav.]])</f>
        <v>24680.999199999998</v>
      </c>
      <c r="Q66" s="329" t="str">
        <f>IFERROR(IF(compras_mes5[[#This Row],[CUIT]]="","-",VLOOKUP(compras_mes5[[#This Row],[CUIT]],Lista_CUIT[#All],3,0)),"CUIT NO CARGADO")</f>
        <v>Gastos Varios</v>
      </c>
      <c r="R66" s="329">
        <f>IFERROR(IF(compras_mes5[[#This Row],[CUIT]]="","-",VLOOKUP(compras_mes5[[#This Row],[CUIT]],Lista_CUIT[#All],4,0)),"CUIT NO CARGADO")</f>
        <v>0</v>
      </c>
    </row>
    <row r="67" spans="2:18" x14ac:dyDescent="0.25">
      <c r="B67" s="478" t="s">
        <v>2461</v>
      </c>
      <c r="C67" s="479">
        <v>1</v>
      </c>
      <c r="D67" s="481">
        <v>2</v>
      </c>
      <c r="E67" s="482">
        <v>879</v>
      </c>
      <c r="F67" s="483">
        <v>20103069832</v>
      </c>
      <c r="G67" s="333" t="str">
        <f>IFERROR(IF(compras_mes5[[#This Row],[CUIT]]="","-",VLOOKUP(compras_mes5[[#This Row],[CUIT]],Lista_CUIT[#All],2,0)),"CUIT NO CARGADO")</f>
        <v>DE LUCA HECTOR RAFAEL FRANCI</v>
      </c>
      <c r="H67" s="484">
        <v>1248000</v>
      </c>
      <c r="I67" s="328">
        <f>IF(compras_mes5[[#This Row],[NETO GRAVADO]]="","",compras_mes5[[#This Row],[NETO GRAVADO]]*0.21)</f>
        <v>262080</v>
      </c>
      <c r="J67" s="328"/>
      <c r="K67" s="328"/>
      <c r="L67" s="328"/>
      <c r="M67" s="328"/>
      <c r="N67" s="328"/>
      <c r="O67" s="328"/>
      <c r="P67" s="327">
        <f>SUM(compras_mes5[[#This Row],[NETO GRAVADO]:[Otros / No Grav.]])</f>
        <v>1510080</v>
      </c>
      <c r="Q67" s="329" t="str">
        <f>IFERROR(IF(compras_mes5[[#This Row],[CUIT]]="","-",VLOOKUP(compras_mes5[[#This Row],[CUIT]],Lista_CUIT[#All],3,0)),"CUIT NO CARGADO")</f>
        <v>Material de Empaque</v>
      </c>
      <c r="R67" s="329">
        <f>IFERROR(IF(compras_mes5[[#This Row],[CUIT]]="","-",VLOOKUP(compras_mes5[[#This Row],[CUIT]],Lista_CUIT[#All],4,0)),"CUIT NO CARGADO")</f>
        <v>0</v>
      </c>
    </row>
    <row r="68" spans="2:18" x14ac:dyDescent="0.25">
      <c r="B68" s="478" t="s">
        <v>2461</v>
      </c>
      <c r="C68" s="479">
        <v>1</v>
      </c>
      <c r="D68" s="481">
        <v>2</v>
      </c>
      <c r="E68" s="482">
        <v>4048</v>
      </c>
      <c r="F68" s="483">
        <v>30629863571</v>
      </c>
      <c r="G68" s="333" t="str">
        <f>IFERROR(IF(compras_mes5[[#This Row],[CUIT]]="","-",VLOOKUP(compras_mes5[[#This Row],[CUIT]],Lista_CUIT[#All],2,0)),"CUIT NO CARGADO")</f>
        <v>TECNIMAR S R L</v>
      </c>
      <c r="H68" s="484">
        <v>1745608</v>
      </c>
      <c r="I68" s="328">
        <f>IF(compras_mes5[[#This Row],[NETO GRAVADO]]="","",compras_mes5[[#This Row],[NETO GRAVADO]]*0.21)</f>
        <v>366577.68</v>
      </c>
      <c r="J68" s="328"/>
      <c r="K68" s="328"/>
      <c r="L68" s="328"/>
      <c r="M68" s="328"/>
      <c r="N68" s="328"/>
      <c r="O68" s="328"/>
      <c r="P68" s="327">
        <f>SUM(compras_mes5[[#This Row],[NETO GRAVADO]:[Otros / No Grav.]])</f>
        <v>2112185.6800000002</v>
      </c>
      <c r="Q68" s="329" t="str">
        <f>IFERROR(IF(compras_mes5[[#This Row],[CUIT]]="","-",VLOOKUP(compras_mes5[[#This Row],[CUIT]],Lista_CUIT[#All],3,0)),"CUIT NO CARGADO")</f>
        <v>Productos Venta</v>
      </c>
      <c r="R68" s="329">
        <f>IFERROR(IF(compras_mes5[[#This Row],[CUIT]]="","-",VLOOKUP(compras_mes5[[#This Row],[CUIT]],Lista_CUIT[#All],4,0)),"CUIT NO CARGADO")</f>
        <v>0</v>
      </c>
    </row>
    <row r="69" spans="2:18" x14ac:dyDescent="0.25">
      <c r="B69" s="478" t="s">
        <v>2462</v>
      </c>
      <c r="C69" s="479">
        <v>1</v>
      </c>
      <c r="D69" s="481">
        <v>339</v>
      </c>
      <c r="E69" s="482">
        <v>1788</v>
      </c>
      <c r="F69" s="483">
        <v>30685849751</v>
      </c>
      <c r="G69" s="333" t="str">
        <f>IFERROR(IF(compras_mes5[[#This Row],[CUIT]]="","-",VLOOKUP(compras_mes5[[#This Row],[CUIT]],Lista_CUIT[#All],2,0)),"CUIT NO CARGADO")</f>
        <v>DIA ARGENTINA S A</v>
      </c>
      <c r="H69" s="484">
        <v>9586.77</v>
      </c>
      <c r="I69" s="328">
        <f>IF(compras_mes5[[#This Row],[NETO GRAVADO]]="","",compras_mes5[[#This Row],[NETO GRAVADO]]*0.21)</f>
        <v>2013.2217000000001</v>
      </c>
      <c r="J69" s="328"/>
      <c r="K69" s="328"/>
      <c r="L69" s="328"/>
      <c r="M69" s="328"/>
      <c r="N69" s="328">
        <v>575.21</v>
      </c>
      <c r="O69" s="328"/>
      <c r="P69" s="327">
        <f>SUM(compras_mes5[[#This Row],[NETO GRAVADO]:[Otros / No Grav.]])</f>
        <v>12175.201700000001</v>
      </c>
      <c r="Q69" s="329" t="str">
        <f>IFERROR(IF(compras_mes5[[#This Row],[CUIT]]="","-",VLOOKUP(compras_mes5[[#This Row],[CUIT]],Lista_CUIT[#All],3,0)),"CUIT NO CARGADO")</f>
        <v>Gastos Varios</v>
      </c>
      <c r="R69" s="329">
        <f>IFERROR(IF(compras_mes5[[#This Row],[CUIT]]="","-",VLOOKUP(compras_mes5[[#This Row],[CUIT]],Lista_CUIT[#All],4,0)),"CUIT NO CARGADO")</f>
        <v>0</v>
      </c>
    </row>
    <row r="70" spans="2:18" x14ac:dyDescent="0.25">
      <c r="B70" s="478" t="s">
        <v>2462</v>
      </c>
      <c r="C70" s="479">
        <v>1</v>
      </c>
      <c r="D70" s="481">
        <v>9361</v>
      </c>
      <c r="E70" s="482">
        <v>11090</v>
      </c>
      <c r="F70" s="483">
        <v>30590360763</v>
      </c>
      <c r="G70" s="333" t="str">
        <f>IFERROR(IF(compras_mes5[[#This Row],[CUIT]]="","-",VLOOKUP(compras_mes5[[#This Row],[CUIT]],Lista_CUIT[#All],2,0)),"CUIT NO CARGADO")</f>
        <v>CENCOSUD S.A</v>
      </c>
      <c r="H70" s="484">
        <v>71161.16</v>
      </c>
      <c r="I70" s="328">
        <f>IF(compras_mes5[[#This Row],[NETO GRAVADO]]="","",compras_mes5[[#This Row],[NETO GRAVADO]]*0.21)</f>
        <v>14943.8436</v>
      </c>
      <c r="J70" s="328"/>
      <c r="K70" s="328"/>
      <c r="L70" s="328">
        <v>2134.83</v>
      </c>
      <c r="M70" s="328"/>
      <c r="N70" s="328">
        <v>4269.67</v>
      </c>
      <c r="O70" s="328"/>
      <c r="P70" s="327">
        <f>SUM(compras_mes5[[#This Row],[NETO GRAVADO]:[Otros / No Grav.]])</f>
        <v>92509.503599999996</v>
      </c>
      <c r="Q70" s="329" t="str">
        <f>IFERROR(IF(compras_mes5[[#This Row],[CUIT]]="","-",VLOOKUP(compras_mes5[[#This Row],[CUIT]],Lista_CUIT[#All],3,0)),"CUIT NO CARGADO")</f>
        <v>Gastos Varios</v>
      </c>
      <c r="R70" s="329">
        <f>IFERROR(IF(compras_mes5[[#This Row],[CUIT]]="","-",VLOOKUP(compras_mes5[[#This Row],[CUIT]],Lista_CUIT[#All],4,0)),"CUIT NO CARGADO")</f>
        <v>0</v>
      </c>
    </row>
    <row r="71" spans="2:18" x14ac:dyDescent="0.25">
      <c r="B71" s="478" t="s">
        <v>2462</v>
      </c>
      <c r="C71" s="479">
        <v>1</v>
      </c>
      <c r="D71" s="481">
        <v>7</v>
      </c>
      <c r="E71" s="482">
        <v>83036</v>
      </c>
      <c r="F71" s="483">
        <v>30624066827</v>
      </c>
      <c r="G71" s="333" t="str">
        <f>IFERROR(IF(compras_mes5[[#This Row],[CUIT]]="","-",VLOOKUP(compras_mes5[[#This Row],[CUIT]],Lista_CUIT[#All],2,0)),"CUIT NO CARGADO")</f>
        <v>HECTOR HALABE Y OTROS</v>
      </c>
      <c r="H71" s="484">
        <v>44198.32</v>
      </c>
      <c r="I71" s="328">
        <f>IF(compras_mes5[[#This Row],[NETO GRAVADO]]="","",compras_mes5[[#This Row],[NETO GRAVADO]]*0.21)</f>
        <v>9281.6471999999994</v>
      </c>
      <c r="J71" s="328"/>
      <c r="K71" s="328"/>
      <c r="L71" s="328"/>
      <c r="M71" s="328"/>
      <c r="N71" s="328"/>
      <c r="O71" s="328"/>
      <c r="P71" s="327">
        <f>SUM(compras_mes5[[#This Row],[NETO GRAVADO]:[Otros / No Grav.]])</f>
        <v>53479.967199999999</v>
      </c>
      <c r="Q71" s="329" t="str">
        <f>IFERROR(IF(compras_mes5[[#This Row],[CUIT]]="","-",VLOOKUP(compras_mes5[[#This Row],[CUIT]],Lista_CUIT[#All],3,0)),"CUIT NO CARGADO")</f>
        <v>Material de Empaque</v>
      </c>
      <c r="R71" s="329">
        <f>IFERROR(IF(compras_mes5[[#This Row],[CUIT]]="","-",VLOOKUP(compras_mes5[[#This Row],[CUIT]],Lista_CUIT[#All],4,0)),"CUIT NO CARGADO")</f>
        <v>0</v>
      </c>
    </row>
    <row r="72" spans="2:18" x14ac:dyDescent="0.25">
      <c r="B72" s="478" t="s">
        <v>2462</v>
      </c>
      <c r="C72" s="479">
        <v>1</v>
      </c>
      <c r="D72" s="481">
        <v>50</v>
      </c>
      <c r="E72" s="482">
        <v>4343931</v>
      </c>
      <c r="F72" s="483">
        <v>30714112836</v>
      </c>
      <c r="G72" s="333" t="str">
        <f>IFERROR(IF(compras_mes5[[#This Row],[CUIT]]="","-",VLOOKUP(compras_mes5[[#This Row],[CUIT]],Lista_CUIT[#All],2,0)),"CUIT NO CARGADO")</f>
        <v>AUTOPISTAS DE BS AS</v>
      </c>
      <c r="H72" s="484">
        <v>37931.53</v>
      </c>
      <c r="I72" s="328">
        <f>IF(compras_mes5[[#This Row],[NETO GRAVADO]]="","",compras_mes5[[#This Row],[NETO GRAVADO]]*0.21)</f>
        <v>7965.6212999999998</v>
      </c>
      <c r="J72" s="328"/>
      <c r="K72" s="328"/>
      <c r="L72" s="328">
        <v>1137.95</v>
      </c>
      <c r="M72" s="328"/>
      <c r="N72" s="328"/>
      <c r="O72" s="328"/>
      <c r="P72" s="327">
        <f>SUM(compras_mes5[[#This Row],[NETO GRAVADO]:[Otros / No Grav.]])</f>
        <v>47035.101299999995</v>
      </c>
      <c r="Q72" s="329" t="str">
        <f>IFERROR(IF(compras_mes5[[#This Row],[CUIT]]="","-",VLOOKUP(compras_mes5[[#This Row],[CUIT]],Lista_CUIT[#All],3,0)),"CUIT NO CARGADO")</f>
        <v>Peajes</v>
      </c>
      <c r="R72" s="329">
        <f>IFERROR(IF(compras_mes5[[#This Row],[CUIT]]="","-",VLOOKUP(compras_mes5[[#This Row],[CUIT]],Lista_CUIT[#All],4,0)),"CUIT NO CARGADO")</f>
        <v>0</v>
      </c>
    </row>
    <row r="73" spans="2:18" x14ac:dyDescent="0.25">
      <c r="B73" s="478" t="s">
        <v>2462</v>
      </c>
      <c r="C73" s="479">
        <v>1</v>
      </c>
      <c r="D73" s="481">
        <v>113</v>
      </c>
      <c r="E73" s="482">
        <v>4234573</v>
      </c>
      <c r="F73" s="483">
        <v>30577207190</v>
      </c>
      <c r="G73" s="333" t="str">
        <f>IFERROR(IF(compras_mes5[[#This Row],[CUIT]]="","-",VLOOKUP(compras_mes5[[#This Row],[CUIT]],Lista_CUIT[#All],2,0)),"CUIT NO CARGADO")</f>
        <v>COORDINACION ECOLOGICA AREA METROPOLITANA SOCIEDAD DEL ESTADO</v>
      </c>
      <c r="H73" s="484">
        <v>7447.93</v>
      </c>
      <c r="I73" s="328">
        <f>IF(compras_mes5[[#This Row],[NETO GRAVADO]]="","",compras_mes5[[#This Row],[NETO GRAVADO]]*0.21)</f>
        <v>1564.0653</v>
      </c>
      <c r="J73" s="328"/>
      <c r="K73" s="328"/>
      <c r="L73" s="328">
        <v>223.44</v>
      </c>
      <c r="M73" s="328"/>
      <c r="N73" s="328"/>
      <c r="O73" s="328"/>
      <c r="P73" s="327">
        <f>SUM(compras_mes5[[#This Row],[NETO GRAVADO]:[Otros / No Grav.]])</f>
        <v>9235.435300000001</v>
      </c>
      <c r="Q73" s="329" t="str">
        <f>IFERROR(IF(compras_mes5[[#This Row],[CUIT]]="","-",VLOOKUP(compras_mes5[[#This Row],[CUIT]],Lista_CUIT[#All],3,0)),"CUIT NO CARGADO")</f>
        <v>Gastos Limpieza</v>
      </c>
      <c r="R73" s="329">
        <f>IFERROR(IF(compras_mes5[[#This Row],[CUIT]]="","-",VLOOKUP(compras_mes5[[#This Row],[CUIT]],Lista_CUIT[#All],4,0)),"CUIT NO CARGADO")</f>
        <v>0</v>
      </c>
    </row>
    <row r="74" spans="2:18" x14ac:dyDescent="0.25">
      <c r="B74" s="478" t="s">
        <v>2462</v>
      </c>
      <c r="C74" s="479">
        <v>1</v>
      </c>
      <c r="D74" s="481">
        <v>2</v>
      </c>
      <c r="E74" s="482">
        <v>967</v>
      </c>
      <c r="F74" s="483">
        <v>27317740196</v>
      </c>
      <c r="G74" s="333" t="str">
        <f>IFERROR(IF(compras_mes5[[#This Row],[CUIT]]="","-",VLOOKUP(compras_mes5[[#This Row],[CUIT]],Lista_CUIT[#All],2,0)),"CUIT NO CARGADO")</f>
        <v>HOKAMA ROMINA PAOLA</v>
      </c>
      <c r="H74" s="484">
        <v>14036.37</v>
      </c>
      <c r="I74" s="328">
        <f>IF(compras_mes5[[#This Row],[NETO GRAVADO]]="","",compras_mes5[[#This Row],[NETO GRAVADO]]*0.21)</f>
        <v>2947.6377000000002</v>
      </c>
      <c r="J74" s="328"/>
      <c r="K74" s="328"/>
      <c r="L74" s="328"/>
      <c r="M74" s="328"/>
      <c r="N74" s="328"/>
      <c r="O74" s="328"/>
      <c r="P74" s="327">
        <f>SUM(compras_mes5[[#This Row],[NETO GRAVADO]:[Otros / No Grav.]])</f>
        <v>16984.007700000002</v>
      </c>
      <c r="Q74" s="329" t="str">
        <f>IFERROR(IF(compras_mes5[[#This Row],[CUIT]]="","-",VLOOKUP(compras_mes5[[#This Row],[CUIT]],Lista_CUIT[#All],3,0)),"CUIT NO CARGADO")</f>
        <v>Gastos Varios</v>
      </c>
      <c r="R74" s="329">
        <f>IFERROR(IF(compras_mes5[[#This Row],[CUIT]]="","-",VLOOKUP(compras_mes5[[#This Row],[CUIT]],Lista_CUIT[#All],4,0)),"CUIT NO CARGADO")</f>
        <v>0</v>
      </c>
    </row>
    <row r="75" spans="2:18" x14ac:dyDescent="0.25">
      <c r="B75" s="478" t="s">
        <v>2462</v>
      </c>
      <c r="C75" s="479">
        <v>1</v>
      </c>
      <c r="D75" s="481">
        <v>2</v>
      </c>
      <c r="E75" s="482">
        <v>1002</v>
      </c>
      <c r="F75" s="483">
        <v>27317740196</v>
      </c>
      <c r="G75" s="333" t="str">
        <f>IFERROR(IF(compras_mes5[[#This Row],[CUIT]]="","-",VLOOKUP(compras_mes5[[#This Row],[CUIT]],Lista_CUIT[#All],2,0)),"CUIT NO CARGADO")</f>
        <v>HOKAMA ROMINA PAOLA</v>
      </c>
      <c r="H75" s="484">
        <v>11423.14</v>
      </c>
      <c r="I75" s="328">
        <f>IF(compras_mes5[[#This Row],[NETO GRAVADO]]="","",compras_mes5[[#This Row],[NETO GRAVADO]]*0.21)</f>
        <v>2398.8593999999998</v>
      </c>
      <c r="J75" s="328"/>
      <c r="K75" s="328"/>
      <c r="L75" s="328"/>
      <c r="M75" s="328"/>
      <c r="N75" s="328"/>
      <c r="O75" s="328"/>
      <c r="P75" s="327">
        <f>SUM(compras_mes5[[#This Row],[NETO GRAVADO]:[Otros / No Grav.]])</f>
        <v>13821.999399999999</v>
      </c>
      <c r="Q75" s="329" t="str">
        <f>IFERROR(IF(compras_mes5[[#This Row],[CUIT]]="","-",VLOOKUP(compras_mes5[[#This Row],[CUIT]],Lista_CUIT[#All],3,0)),"CUIT NO CARGADO")</f>
        <v>Gastos Varios</v>
      </c>
      <c r="R75" s="329">
        <f>IFERROR(IF(compras_mes5[[#This Row],[CUIT]]="","-",VLOOKUP(compras_mes5[[#This Row],[CUIT]],Lista_CUIT[#All],4,0)),"CUIT NO CARGADO")</f>
        <v>0</v>
      </c>
    </row>
    <row r="76" spans="2:18" x14ac:dyDescent="0.25">
      <c r="B76" s="478" t="s">
        <v>2462</v>
      </c>
      <c r="C76" s="479">
        <v>1</v>
      </c>
      <c r="D76" s="481">
        <v>2</v>
      </c>
      <c r="E76" s="482">
        <v>4051</v>
      </c>
      <c r="F76" s="483">
        <v>30629863571</v>
      </c>
      <c r="G76" s="333" t="str">
        <f>IFERROR(IF(compras_mes5[[#This Row],[CUIT]]="","-",VLOOKUP(compras_mes5[[#This Row],[CUIT]],Lista_CUIT[#All],2,0)),"CUIT NO CARGADO")</f>
        <v>TECNIMAR S R L</v>
      </c>
      <c r="H76" s="484">
        <v>1512401</v>
      </c>
      <c r="I76" s="328">
        <f>IF(compras_mes5[[#This Row],[NETO GRAVADO]]="","",compras_mes5[[#This Row],[NETO GRAVADO]]*0.21)</f>
        <v>317604.20999999996</v>
      </c>
      <c r="J76" s="328"/>
      <c r="K76" s="328"/>
      <c r="L76" s="328"/>
      <c r="M76" s="328"/>
      <c r="N76" s="328"/>
      <c r="O76" s="328"/>
      <c r="P76" s="327">
        <f>SUM(compras_mes5[[#This Row],[NETO GRAVADO]:[Otros / No Grav.]])</f>
        <v>1830005.21</v>
      </c>
      <c r="Q76" s="329" t="str">
        <f>IFERROR(IF(compras_mes5[[#This Row],[CUIT]]="","-",VLOOKUP(compras_mes5[[#This Row],[CUIT]],Lista_CUIT[#All],3,0)),"CUIT NO CARGADO")</f>
        <v>Productos Venta</v>
      </c>
      <c r="R76" s="329">
        <f>IFERROR(IF(compras_mes5[[#This Row],[CUIT]]="","-",VLOOKUP(compras_mes5[[#This Row],[CUIT]],Lista_CUIT[#All],4,0)),"CUIT NO CARGADO")</f>
        <v>0</v>
      </c>
    </row>
    <row r="77" spans="2:18" x14ac:dyDescent="0.25">
      <c r="B77" s="478" t="s">
        <v>2463</v>
      </c>
      <c r="C77" s="479">
        <v>1</v>
      </c>
      <c r="D77" s="481">
        <v>2188</v>
      </c>
      <c r="E77" s="482">
        <v>148587</v>
      </c>
      <c r="F77" s="483">
        <v>30548083156</v>
      </c>
      <c r="G77" s="333" t="str">
        <f>IFERROR(IF(compras_mes5[[#This Row],[CUIT]]="","-",VLOOKUP(compras_mes5[[#This Row],[CUIT]],Lista_CUIT[#All],2,0)),"CUIT NO CARGADO")</f>
        <v>COTO CENTRO INTEGRAL DE COMERCIALIZACION SOCIEDAD ANONIMA</v>
      </c>
      <c r="H77" s="484">
        <v>43192.09</v>
      </c>
      <c r="I77" s="328">
        <v>7376.97</v>
      </c>
      <c r="J77" s="328"/>
      <c r="K77" s="328">
        <v>846.68</v>
      </c>
      <c r="L77" s="328"/>
      <c r="M77" s="328"/>
      <c r="N77" s="328"/>
      <c r="O77" s="328">
        <v>3643.59</v>
      </c>
      <c r="P77" s="327">
        <f>SUM(compras_mes5[[#This Row],[NETO GRAVADO]:[Otros / No Grav.]])</f>
        <v>55059.33</v>
      </c>
      <c r="Q77" s="329" t="str">
        <f>IFERROR(IF(compras_mes5[[#This Row],[CUIT]]="","-",VLOOKUP(compras_mes5[[#This Row],[CUIT]],Lista_CUIT[#All],3,0)),"CUIT NO CARGADO")</f>
        <v>Gastos Varios</v>
      </c>
      <c r="R77" s="329">
        <f>IFERROR(IF(compras_mes5[[#This Row],[CUIT]]="","-",VLOOKUP(compras_mes5[[#This Row],[CUIT]],Lista_CUIT[#All],4,0)),"CUIT NO CARGADO")</f>
        <v>0</v>
      </c>
    </row>
    <row r="78" spans="2:18" x14ac:dyDescent="0.25">
      <c r="B78" s="478" t="s">
        <v>2463</v>
      </c>
      <c r="C78" s="479">
        <v>1</v>
      </c>
      <c r="D78" s="481">
        <v>7</v>
      </c>
      <c r="E78" s="482">
        <v>14732</v>
      </c>
      <c r="F78" s="483">
        <v>30708017759</v>
      </c>
      <c r="G78" s="333" t="str">
        <f>IFERROR(IF(compras_mes5[[#This Row],[CUIT]]="","-",VLOOKUP(compras_mes5[[#This Row],[CUIT]],Lista_CUIT[#All],2,0)),"CUIT NO CARGADO")</f>
        <v>NEW  HIGH PACK  SA</v>
      </c>
      <c r="H78" s="484">
        <v>5597280</v>
      </c>
      <c r="I78" s="328">
        <f>IF(compras_mes5[[#This Row],[NETO GRAVADO]]="","",compras_mes5[[#This Row],[NETO GRAVADO]]*0.21)</f>
        <v>1175428.8</v>
      </c>
      <c r="J78" s="328"/>
      <c r="K78" s="328"/>
      <c r="L78" s="328"/>
      <c r="M78" s="328">
        <v>335836.8</v>
      </c>
      <c r="N78" s="328"/>
      <c r="O78" s="328"/>
      <c r="P78" s="327">
        <f>SUM(compras_mes5[[#This Row],[NETO GRAVADO]:[Otros / No Grav.]])</f>
        <v>7108545.5999999996</v>
      </c>
      <c r="Q78" s="329" t="str">
        <f>IFERROR(IF(compras_mes5[[#This Row],[CUIT]]="","-",VLOOKUP(compras_mes5[[#This Row],[CUIT]],Lista_CUIT[#All],3,0)),"CUIT NO CARGADO")</f>
        <v>Material de Empaque</v>
      </c>
      <c r="R78" s="329">
        <f>IFERROR(IF(compras_mes5[[#This Row],[CUIT]]="","-",VLOOKUP(compras_mes5[[#This Row],[CUIT]],Lista_CUIT[#All],4,0)),"CUIT NO CARGADO")</f>
        <v>0</v>
      </c>
    </row>
    <row r="79" spans="2:18" x14ac:dyDescent="0.25">
      <c r="B79" s="478" t="s">
        <v>2463</v>
      </c>
      <c r="C79" s="479">
        <v>1</v>
      </c>
      <c r="D79" s="481">
        <v>629</v>
      </c>
      <c r="E79" s="482">
        <v>6113177</v>
      </c>
      <c r="F79" s="483">
        <v>30663498513</v>
      </c>
      <c r="G79" s="333" t="str">
        <f>IFERROR(IF(compras_mes5[[#This Row],[CUIT]]="","-",VLOOKUP(compras_mes5[[#This Row],[CUIT]],Lista_CUIT[#All],2,0)),"CUIT NO CARGADO")</f>
        <v>GRUPO CONCES. DEL OESTE SA</v>
      </c>
      <c r="H79" s="484">
        <v>27501.97</v>
      </c>
      <c r="I79" s="328">
        <f>IF(compras_mes5[[#This Row],[NETO GRAVADO]]="","",compras_mes5[[#This Row],[NETO GRAVADO]]*0.21)</f>
        <v>5775.4137000000001</v>
      </c>
      <c r="J79" s="328"/>
      <c r="K79" s="328"/>
      <c r="L79" s="328"/>
      <c r="M79" s="328"/>
      <c r="N79" s="328"/>
      <c r="O79" s="328"/>
      <c r="P79" s="327">
        <f>SUM(compras_mes5[[#This Row],[NETO GRAVADO]:[Otros / No Grav.]])</f>
        <v>33277.383699999998</v>
      </c>
      <c r="Q79" s="329" t="str">
        <f>IFERROR(IF(compras_mes5[[#This Row],[CUIT]]="","-",VLOOKUP(compras_mes5[[#This Row],[CUIT]],Lista_CUIT[#All],3,0)),"CUIT NO CARGADO")</f>
        <v>Peajes</v>
      </c>
      <c r="R79" s="329">
        <f>IFERROR(IF(compras_mes5[[#This Row],[CUIT]]="","-",VLOOKUP(compras_mes5[[#This Row],[CUIT]],Lista_CUIT[#All],4,0)),"CUIT NO CARGADO")</f>
        <v>0</v>
      </c>
    </row>
    <row r="80" spans="2:18" x14ac:dyDescent="0.25">
      <c r="B80" s="478" t="s">
        <v>2463</v>
      </c>
      <c r="C80" s="479">
        <v>1</v>
      </c>
      <c r="D80" s="481">
        <v>711</v>
      </c>
      <c r="E80" s="482">
        <v>7120853</v>
      </c>
      <c r="F80" s="483">
        <v>30677237119</v>
      </c>
      <c r="G80" s="333" t="str">
        <f>IFERROR(IF(compras_mes5[[#This Row],[CUIT]]="","-",VLOOKUP(compras_mes5[[#This Row],[CUIT]],Lista_CUIT[#All],2,0)),"CUIT NO CARGADO")</f>
        <v>AUTOPISTAS DEL SOL S A</v>
      </c>
      <c r="H80" s="484">
        <v>19875.07</v>
      </c>
      <c r="I80" s="328">
        <f>IF(compras_mes5[[#This Row],[NETO GRAVADO]]="","",compras_mes5[[#This Row],[NETO GRAVADO]]*0.21)</f>
        <v>4173.7646999999997</v>
      </c>
      <c r="J80" s="328"/>
      <c r="K80" s="328"/>
      <c r="L80" s="328"/>
      <c r="M80" s="328">
        <v>596.25</v>
      </c>
      <c r="N80" s="328"/>
      <c r="O80" s="328">
        <v>596.25</v>
      </c>
      <c r="P80" s="327">
        <f>SUM(compras_mes5[[#This Row],[NETO GRAVADO]:[Otros / No Grav.]])</f>
        <v>25241.334699999999</v>
      </c>
      <c r="Q80" s="329" t="str">
        <f>IFERROR(IF(compras_mes5[[#This Row],[CUIT]]="","-",VLOOKUP(compras_mes5[[#This Row],[CUIT]],Lista_CUIT[#All],3,0)),"CUIT NO CARGADO")</f>
        <v>Peajes</v>
      </c>
      <c r="R80" s="329">
        <f>IFERROR(IF(compras_mes5[[#This Row],[CUIT]]="","-",VLOOKUP(compras_mes5[[#This Row],[CUIT]],Lista_CUIT[#All],4,0)),"CUIT NO CARGADO")</f>
        <v>0</v>
      </c>
    </row>
    <row r="81" spans="2:19" x14ac:dyDescent="0.25">
      <c r="B81" s="478" t="s">
        <v>2463</v>
      </c>
      <c r="C81" s="479">
        <v>1</v>
      </c>
      <c r="D81" s="481">
        <v>2</v>
      </c>
      <c r="E81" s="482">
        <v>4052</v>
      </c>
      <c r="F81" s="483">
        <v>30629863571</v>
      </c>
      <c r="G81" s="333" t="str">
        <f>IFERROR(IF(compras_mes5[[#This Row],[CUIT]]="","-",VLOOKUP(compras_mes5[[#This Row],[CUIT]],Lista_CUIT[#All],2,0)),"CUIT NO CARGADO")</f>
        <v>TECNIMAR S R L</v>
      </c>
      <c r="H81" s="484">
        <v>1968502</v>
      </c>
      <c r="I81" s="328">
        <f>IF(compras_mes5[[#This Row],[NETO GRAVADO]]="","",compras_mes5[[#This Row],[NETO GRAVADO]]*0.21)</f>
        <v>413385.42</v>
      </c>
      <c r="J81" s="328"/>
      <c r="K81" s="328"/>
      <c r="L81" s="328"/>
      <c r="M81" s="328"/>
      <c r="N81" s="328"/>
      <c r="O81" s="328"/>
      <c r="P81" s="327">
        <f>SUM(compras_mes5[[#This Row],[NETO GRAVADO]:[Otros / No Grav.]])</f>
        <v>2381887.42</v>
      </c>
      <c r="Q81" s="329" t="str">
        <f>IFERROR(IF(compras_mes5[[#This Row],[CUIT]]="","-",VLOOKUP(compras_mes5[[#This Row],[CUIT]],Lista_CUIT[#All],3,0)),"CUIT NO CARGADO")</f>
        <v>Productos Venta</v>
      </c>
      <c r="R81" s="329">
        <f>IFERROR(IF(compras_mes5[[#This Row],[CUIT]]="","-",VLOOKUP(compras_mes5[[#This Row],[CUIT]],Lista_CUIT[#All],4,0)),"CUIT NO CARGADO")</f>
        <v>0</v>
      </c>
    </row>
    <row r="82" spans="2:19" x14ac:dyDescent="0.25">
      <c r="B82" s="478" t="s">
        <v>2464</v>
      </c>
      <c r="C82" s="479">
        <v>1</v>
      </c>
      <c r="D82" s="481">
        <v>2084</v>
      </c>
      <c r="E82" s="482">
        <v>29201</v>
      </c>
      <c r="F82" s="483">
        <v>30548083156</v>
      </c>
      <c r="G82" s="333" t="str">
        <f>IFERROR(IF(compras_mes5[[#This Row],[CUIT]]="","-",VLOOKUP(compras_mes5[[#This Row],[CUIT]],Lista_CUIT[#All],2,0)),"CUIT NO CARGADO")</f>
        <v>COTO CENTRO INTEGRAL DE COMERCIALIZACION SOCIEDAD ANONIMA</v>
      </c>
      <c r="H82" s="484">
        <v>101529.16</v>
      </c>
      <c r="I82" s="328">
        <v>10908.05</v>
      </c>
      <c r="J82" s="328"/>
      <c r="K82" s="328">
        <v>5206.54</v>
      </c>
      <c r="L82" s="328"/>
      <c r="M82" s="328"/>
      <c r="N82" s="328"/>
      <c r="O82" s="328">
        <v>5960.73</v>
      </c>
      <c r="P82" s="327">
        <f>SUM(compras_mes5[[#This Row],[NETO GRAVADO]:[Otros / No Grav.]])</f>
        <v>123604.48</v>
      </c>
      <c r="Q82" s="329" t="str">
        <f>IFERROR(IF(compras_mes5[[#This Row],[CUIT]]="","-",VLOOKUP(compras_mes5[[#This Row],[CUIT]],Lista_CUIT[#All],3,0)),"CUIT NO CARGADO")</f>
        <v>Gastos Varios</v>
      </c>
      <c r="R82" s="329">
        <f>IFERROR(IF(compras_mes5[[#This Row],[CUIT]]="","-",VLOOKUP(compras_mes5[[#This Row],[CUIT]],Lista_CUIT[#All],4,0)),"CUIT NO CARGADO")</f>
        <v>0</v>
      </c>
    </row>
    <row r="83" spans="2:19" x14ac:dyDescent="0.25">
      <c r="B83" s="478" t="s">
        <v>2465</v>
      </c>
      <c r="C83" s="479">
        <v>1</v>
      </c>
      <c r="D83" s="481">
        <v>2199</v>
      </c>
      <c r="E83" s="482">
        <v>36888</v>
      </c>
      <c r="F83" s="483">
        <v>30548083156</v>
      </c>
      <c r="G83" s="333" t="str">
        <f>IFERROR(IF(compras_mes5[[#This Row],[CUIT]]="","-",VLOOKUP(compras_mes5[[#This Row],[CUIT]],Lista_CUIT[#All],2,0)),"CUIT NO CARGADO")</f>
        <v>COTO CENTRO INTEGRAL DE COMERCIALIZACION SOCIEDAD ANONIMA</v>
      </c>
      <c r="H83" s="484">
        <v>75503.3</v>
      </c>
      <c r="I83" s="328">
        <v>13464.51</v>
      </c>
      <c r="J83" s="328"/>
      <c r="K83" s="328">
        <v>1195.5899999999999</v>
      </c>
      <c r="L83" s="328"/>
      <c r="M83" s="328"/>
      <c r="N83" s="328"/>
      <c r="O83" s="328">
        <v>6126.8</v>
      </c>
      <c r="P83" s="327">
        <f>SUM(compras_mes5[[#This Row],[NETO GRAVADO]:[Otros / No Grav.]])</f>
        <v>96290.2</v>
      </c>
      <c r="Q83" s="329" t="str">
        <f>IFERROR(IF(compras_mes5[[#This Row],[CUIT]]="","-",VLOOKUP(compras_mes5[[#This Row],[CUIT]],Lista_CUIT[#All],3,0)),"CUIT NO CARGADO")</f>
        <v>Gastos Varios</v>
      </c>
      <c r="R83" s="329">
        <f>IFERROR(IF(compras_mes5[[#This Row],[CUIT]]="","-",VLOOKUP(compras_mes5[[#This Row],[CUIT]],Lista_CUIT[#All],4,0)),"CUIT NO CARGADO")</f>
        <v>0</v>
      </c>
    </row>
    <row r="84" spans="2:19" x14ac:dyDescent="0.25">
      <c r="B84" s="478" t="s">
        <v>2466</v>
      </c>
      <c r="C84" s="479">
        <v>1</v>
      </c>
      <c r="D84" s="481">
        <v>2000</v>
      </c>
      <c r="E84" s="482">
        <v>66622</v>
      </c>
      <c r="F84" s="483">
        <v>30716932245</v>
      </c>
      <c r="G84" s="333" t="str">
        <f>IFERROR(IF(compras_mes5[[#This Row],[CUIT]]="","-",VLOOKUP(compras_mes5[[#This Row],[CUIT]],Lista_CUIT[#All],2,0)),"CUIT NO CARGADO")</f>
        <v>GRUPO MEXX S.R.L</v>
      </c>
      <c r="H84" s="484">
        <v>73076.02</v>
      </c>
      <c r="I84" s="85" t="s">
        <v>2411</v>
      </c>
      <c r="J84" s="328"/>
      <c r="K84" s="328">
        <f>compras_mes5[[#This Row],[NETO GRAVADO]]*0.105</f>
        <v>7672.9821000000002</v>
      </c>
      <c r="L84" s="328"/>
      <c r="M84" s="328"/>
      <c r="N84" s="328"/>
      <c r="O84" s="328"/>
      <c r="P84" s="327">
        <f>SUM(compras_mes5[[#This Row],[NETO GRAVADO]:[Otros / No Grav.]])</f>
        <v>80749.002099999998</v>
      </c>
      <c r="Q84" s="329" t="str">
        <f>IFERROR(IF(compras_mes5[[#This Row],[CUIT]]="","-",VLOOKUP(compras_mes5[[#This Row],[CUIT]],Lista_CUIT[#All],3,0)),"CUIT NO CARGADO")</f>
        <v>Gastos Oficina</v>
      </c>
      <c r="R84" s="329">
        <f>IFERROR(IF(compras_mes5[[#This Row],[CUIT]]="","-",VLOOKUP(compras_mes5[[#This Row],[CUIT]],Lista_CUIT[#All],4,0)),"CUIT NO CARGADO")</f>
        <v>0</v>
      </c>
    </row>
    <row r="85" spans="2:19" x14ac:dyDescent="0.25">
      <c r="B85" s="478" t="s">
        <v>2466</v>
      </c>
      <c r="C85" s="479">
        <v>1</v>
      </c>
      <c r="D85" s="481">
        <v>2</v>
      </c>
      <c r="E85" s="482">
        <v>4054</v>
      </c>
      <c r="F85" s="483">
        <v>30629863571</v>
      </c>
      <c r="G85" s="333" t="str">
        <f>IFERROR(IF(compras_mes5[[#This Row],[CUIT]]="","-",VLOOKUP(compras_mes5[[#This Row],[CUIT]],Lista_CUIT[#All],2,0)),"CUIT NO CARGADO")</f>
        <v>TECNIMAR S R L</v>
      </c>
      <c r="H85" s="484">
        <v>2511992</v>
      </c>
      <c r="I85" s="328">
        <f>IF(compras_mes5[[#This Row],[NETO GRAVADO]]="","",compras_mes5[[#This Row],[NETO GRAVADO]]*0.21)</f>
        <v>527518.31999999995</v>
      </c>
      <c r="J85" s="328"/>
      <c r="K85" s="328"/>
      <c r="L85" s="328"/>
      <c r="M85" s="328"/>
      <c r="N85" s="328"/>
      <c r="O85" s="328"/>
      <c r="P85" s="327">
        <f>SUM(compras_mes5[[#This Row],[NETO GRAVADO]:[Otros / No Grav.]])</f>
        <v>3039510.32</v>
      </c>
      <c r="Q85" s="329" t="str">
        <f>IFERROR(IF(compras_mes5[[#This Row],[CUIT]]="","-",VLOOKUP(compras_mes5[[#This Row],[CUIT]],Lista_CUIT[#All],3,0)),"CUIT NO CARGADO")</f>
        <v>Productos Venta</v>
      </c>
      <c r="R85" s="329">
        <f>IFERROR(IF(compras_mes5[[#This Row],[CUIT]]="","-",VLOOKUP(compras_mes5[[#This Row],[CUIT]],Lista_CUIT[#All],4,0)),"CUIT NO CARGADO")</f>
        <v>0</v>
      </c>
    </row>
    <row r="86" spans="2:19" x14ac:dyDescent="0.25">
      <c r="B86" s="478" t="s">
        <v>2467</v>
      </c>
      <c r="C86" s="479">
        <v>1</v>
      </c>
      <c r="D86" s="481">
        <v>5</v>
      </c>
      <c r="E86" s="482">
        <v>25221</v>
      </c>
      <c r="F86" s="483">
        <v>30708041722</v>
      </c>
      <c r="G86" s="333" t="str">
        <f>IFERROR(IF(compras_mes5[[#This Row],[CUIT]]="","-",VLOOKUP(compras_mes5[[#This Row],[CUIT]],Lista_CUIT[#All],2,0)),"CUIT NO CARGADO")</f>
        <v>QUETZAL QUIMICA S R L</v>
      </c>
      <c r="H86" s="484">
        <v>1160000</v>
      </c>
      <c r="I86" s="328">
        <f>IF(compras_mes5[[#This Row],[NETO GRAVADO]]="","",compras_mes5[[#This Row],[NETO GRAVADO]]*0.21)</f>
        <v>243600</v>
      </c>
      <c r="J86" s="328"/>
      <c r="K86" s="328"/>
      <c r="L86" s="328"/>
      <c r="M86" s="328"/>
      <c r="N86" s="328"/>
      <c r="O86" s="328"/>
      <c r="P86" s="327">
        <f>SUM(compras_mes5[[#This Row],[NETO GRAVADO]:[Otros / No Grav.]])</f>
        <v>1403600</v>
      </c>
      <c r="Q86" s="329" t="str">
        <f>IFERROR(IF(compras_mes5[[#This Row],[CUIT]]="","-",VLOOKUP(compras_mes5[[#This Row],[CUIT]],Lista_CUIT[#All],3,0)),"CUIT NO CARGADO")</f>
        <v>Materia Prima</v>
      </c>
      <c r="R86" s="329">
        <f>IFERROR(IF(compras_mes5[[#This Row],[CUIT]]="","-",VLOOKUP(compras_mes5[[#This Row],[CUIT]],Lista_CUIT[#All],4,0)),"CUIT NO CARGADO")</f>
        <v>0</v>
      </c>
    </row>
    <row r="87" spans="2:19" x14ac:dyDescent="0.25">
      <c r="B87" s="478" t="s">
        <v>2467</v>
      </c>
      <c r="C87" s="479">
        <v>1</v>
      </c>
      <c r="D87" s="481">
        <v>2</v>
      </c>
      <c r="E87" s="482">
        <v>880</v>
      </c>
      <c r="F87" s="483">
        <v>20103069832</v>
      </c>
      <c r="G87" s="333" t="str">
        <f>IFERROR(IF(compras_mes5[[#This Row],[CUIT]]="","-",VLOOKUP(compras_mes5[[#This Row],[CUIT]],Lista_CUIT[#All],2,0)),"CUIT NO CARGADO")</f>
        <v>DE LUCA HECTOR RAFAEL FRANCI</v>
      </c>
      <c r="H87" s="484">
        <v>345400</v>
      </c>
      <c r="I87" s="328">
        <f>IF(compras_mes5[[#This Row],[NETO GRAVADO]]="","",compras_mes5[[#This Row],[NETO GRAVADO]]*0.21)</f>
        <v>72534</v>
      </c>
      <c r="J87" s="328"/>
      <c r="K87" s="328"/>
      <c r="L87" s="328"/>
      <c r="M87" s="328"/>
      <c r="N87" s="328"/>
      <c r="O87" s="328"/>
      <c r="P87" s="327">
        <f>SUM(compras_mes5[[#This Row],[NETO GRAVADO]:[Otros / No Grav.]])</f>
        <v>417934</v>
      </c>
      <c r="Q87" s="329" t="str">
        <f>IFERROR(IF(compras_mes5[[#This Row],[CUIT]]="","-",VLOOKUP(compras_mes5[[#This Row],[CUIT]],Lista_CUIT[#All],3,0)),"CUIT NO CARGADO")</f>
        <v>Material de Empaque</v>
      </c>
      <c r="R87" s="329">
        <f>IFERROR(IF(compras_mes5[[#This Row],[CUIT]]="","-",VLOOKUP(compras_mes5[[#This Row],[CUIT]],Lista_CUIT[#All],4,0)),"CUIT NO CARGADO")</f>
        <v>0</v>
      </c>
    </row>
    <row r="88" spans="2:19" x14ac:dyDescent="0.25">
      <c r="B88" s="478" t="s">
        <v>2468</v>
      </c>
      <c r="C88" s="479">
        <v>1</v>
      </c>
      <c r="D88" s="481">
        <v>5</v>
      </c>
      <c r="E88" s="482">
        <v>3301006</v>
      </c>
      <c r="F88" s="483">
        <v>30702652975</v>
      </c>
      <c r="G88" s="333" t="str">
        <f>IFERROR(IF(compras_mes5[[#This Row],[CUIT]]="","-",VLOOKUP(compras_mes5[[#This Row],[CUIT]],Lista_CUIT[#All],2,0)),"CUIT NO CARGADO")</f>
        <v>NSS SA</v>
      </c>
      <c r="H88" s="484">
        <v>34438.46</v>
      </c>
      <c r="I88" s="328">
        <f>IF(compras_mes5[[#This Row],[NETO GRAVADO]]="","",compras_mes5[[#This Row],[NETO GRAVADO]]*0.21)</f>
        <v>7232.0765999999994</v>
      </c>
      <c r="J88" s="328"/>
      <c r="K88" s="328"/>
      <c r="L88" s="328"/>
      <c r="M88" s="328"/>
      <c r="N88" s="328">
        <v>2066.31</v>
      </c>
      <c r="O88" s="328"/>
      <c r="P88" s="327">
        <f>SUM(compras_mes5[[#This Row],[NETO GRAVADO]:[Otros / No Grav.]])</f>
        <v>43736.846599999997</v>
      </c>
      <c r="Q88" s="329" t="str">
        <f>IFERROR(IF(compras_mes5[[#This Row],[CUIT]]="","-",VLOOKUP(compras_mes5[[#This Row],[CUIT]],Lista_CUIT[#All],3,0)),"CUIT NO CARGADO")</f>
        <v>Servicios Gas, Luz, etc.</v>
      </c>
      <c r="R88" s="329">
        <f>IFERROR(IF(compras_mes5[[#This Row],[CUIT]]="","-",VLOOKUP(compras_mes5[[#This Row],[CUIT]],Lista_CUIT[#All],4,0)),"CUIT NO CARGADO")</f>
        <v>0</v>
      </c>
    </row>
    <row r="89" spans="2:19" x14ac:dyDescent="0.25">
      <c r="B89" s="478" t="s">
        <v>2468</v>
      </c>
      <c r="C89" s="479">
        <v>1</v>
      </c>
      <c r="D89" s="481">
        <v>4</v>
      </c>
      <c r="E89" s="482">
        <v>11102</v>
      </c>
      <c r="F89" s="483">
        <v>30694547903</v>
      </c>
      <c r="G89" s="333" t="str">
        <f>IFERROR(IF(compras_mes5[[#This Row],[CUIT]]="","-",VLOOKUP(compras_mes5[[#This Row],[CUIT]],Lista_CUIT[#All],2,0)),"CUIT NO CARGADO")</f>
        <v>MULTICAJAS S A</v>
      </c>
      <c r="H89" s="484">
        <v>763500</v>
      </c>
      <c r="I89" s="328">
        <f>IF(compras_mes5[[#This Row],[NETO GRAVADO]]="","",compras_mes5[[#This Row],[NETO GRAVADO]]*0.21)</f>
        <v>160335</v>
      </c>
      <c r="J89" s="328"/>
      <c r="K89" s="328"/>
      <c r="L89" s="328"/>
      <c r="M89" s="328"/>
      <c r="N89" s="328"/>
      <c r="O89" s="328"/>
      <c r="P89" s="327">
        <f>SUM(compras_mes5[[#This Row],[NETO GRAVADO]:[Otros / No Grav.]])</f>
        <v>923835</v>
      </c>
      <c r="Q89" s="329" t="str">
        <f>IFERROR(IF(compras_mes5[[#This Row],[CUIT]]="","-",VLOOKUP(compras_mes5[[#This Row],[CUIT]],Lista_CUIT[#All],3,0)),"CUIT NO CARGADO")</f>
        <v>LIBRERÍA</v>
      </c>
      <c r="R89" s="329">
        <f>IFERROR(IF(compras_mes5[[#This Row],[CUIT]]="","-",VLOOKUP(compras_mes5[[#This Row],[CUIT]],Lista_CUIT[#All],4,0)),"CUIT NO CARGADO")</f>
        <v>0</v>
      </c>
    </row>
    <row r="90" spans="2:19" x14ac:dyDescent="0.25">
      <c r="B90" s="478" t="s">
        <v>2468</v>
      </c>
      <c r="C90" s="479">
        <v>1</v>
      </c>
      <c r="D90" s="481">
        <v>6</v>
      </c>
      <c r="E90" s="482">
        <v>3536</v>
      </c>
      <c r="F90" s="483">
        <v>30574603788</v>
      </c>
      <c r="G90" s="333" t="str">
        <f>IFERROR(IF(compras_mes5[[#This Row],[CUIT]]="","-",VLOOKUP(compras_mes5[[#This Row],[CUIT]],Lista_CUIT[#All],2,0)),"CUIT NO CARGADO")</f>
        <v>CODAC SRL</v>
      </c>
      <c r="H90" s="484">
        <v>7459293</v>
      </c>
      <c r="I90" s="328">
        <f>IF(compras_mes5[[#This Row],[NETO GRAVADO]]="","",compras_mes5[[#This Row],[NETO GRAVADO]]*0.21)</f>
        <v>1566451.53</v>
      </c>
      <c r="J90" s="328"/>
      <c r="K90" s="328"/>
      <c r="L90" s="328"/>
      <c r="M90" s="328"/>
      <c r="N90" s="328"/>
      <c r="O90" s="328"/>
      <c r="P90" s="327">
        <f>SUM(compras_mes5[[#This Row],[NETO GRAVADO]:[Otros / No Grav.]])</f>
        <v>9025744.5299999993</v>
      </c>
      <c r="Q90" s="329" t="str">
        <f>IFERROR(IF(compras_mes5[[#This Row],[CUIT]]="","-",VLOOKUP(compras_mes5[[#This Row],[CUIT]],Lista_CUIT[#All],3,0)),"CUIT NO CARGADO")</f>
        <v>Productos Venta</v>
      </c>
      <c r="R90" s="329" t="str">
        <f>IFERROR(IF(compras_mes5[[#This Row],[CUIT]]="","-",VLOOKUP(compras_mes5[[#This Row],[CUIT]],Lista_CUIT[#All],4,0)),"CUIT NO CARGADO")</f>
        <v>BUENOS AIRES</v>
      </c>
    </row>
    <row r="91" spans="2:19" x14ac:dyDescent="0.25">
      <c r="B91" s="478" t="s">
        <v>2468</v>
      </c>
      <c r="C91" s="479">
        <v>1</v>
      </c>
      <c r="D91" s="481">
        <v>4264</v>
      </c>
      <c r="E91" s="482">
        <v>5369113</v>
      </c>
      <c r="F91" s="483">
        <v>30639453738</v>
      </c>
      <c r="G91" s="333" t="str">
        <f>IFERROR(IF(compras_mes5[[#This Row],[CUIT]]="","-",VLOOKUP(compras_mes5[[#This Row],[CUIT]],Lista_CUIT[#All],2,0)),"CUIT NO CARGADO")</f>
        <v>TELECOM ARG SA</v>
      </c>
      <c r="H91" s="484">
        <v>19010</v>
      </c>
      <c r="I91" s="328">
        <f>IF(compras_mes5[[#This Row],[NETO GRAVADO]]="","",compras_mes5[[#This Row],[NETO GRAVADO]]*0.21)</f>
        <v>3992.1</v>
      </c>
      <c r="J91" s="328"/>
      <c r="K91" s="328"/>
      <c r="L91" s="328"/>
      <c r="M91" s="328">
        <v>570.29999999999995</v>
      </c>
      <c r="N91" s="328"/>
      <c r="O91" s="328"/>
      <c r="P91" s="327">
        <f>SUM(compras_mes5[[#This Row],[NETO GRAVADO]:[Otros / No Grav.]])</f>
        <v>23572.399999999998</v>
      </c>
      <c r="Q91" s="329" t="str">
        <f>IFERROR(IF(compras_mes5[[#This Row],[CUIT]]="","-",VLOOKUP(compras_mes5[[#This Row],[CUIT]],Lista_CUIT[#All],3,0)),"CUIT NO CARGADO")</f>
        <v>Servicios Gas, Luz, etc.</v>
      </c>
      <c r="R91" s="329">
        <f>IFERROR(IF(compras_mes5[[#This Row],[CUIT]]="","-",VLOOKUP(compras_mes5[[#This Row],[CUIT]],Lista_CUIT[#All],4,0)),"CUIT NO CARGADO")</f>
        <v>0</v>
      </c>
    </row>
    <row r="92" spans="2:19" x14ac:dyDescent="0.25">
      <c r="B92" s="478" t="s">
        <v>2468</v>
      </c>
      <c r="C92" s="479">
        <v>1</v>
      </c>
      <c r="D92" s="481">
        <v>4264</v>
      </c>
      <c r="E92" s="482">
        <v>5406480</v>
      </c>
      <c r="F92" s="483">
        <v>30639453738</v>
      </c>
      <c r="G92" s="333" t="str">
        <f>IFERROR(IF(compras_mes5[[#This Row],[CUIT]]="","-",VLOOKUP(compras_mes5[[#This Row],[CUIT]],Lista_CUIT[#All],2,0)),"CUIT NO CARGADO")</f>
        <v>TELECOM ARG SA</v>
      </c>
      <c r="H92" s="484">
        <v>28760</v>
      </c>
      <c r="I92" s="328">
        <f>IF(compras_mes5[[#This Row],[NETO GRAVADO]]="","",compras_mes5[[#This Row],[NETO GRAVADO]]*0.21)</f>
        <v>6039.5999999999995</v>
      </c>
      <c r="J92" s="328"/>
      <c r="K92" s="328"/>
      <c r="L92" s="328"/>
      <c r="M92" s="328"/>
      <c r="N92" s="328">
        <v>2588.4</v>
      </c>
      <c r="O92" s="328"/>
      <c r="P92" s="327">
        <f>SUM(compras_mes5[[#This Row],[NETO GRAVADO]:[Otros / No Grav.]])</f>
        <v>37388</v>
      </c>
      <c r="Q92" s="329" t="str">
        <f>IFERROR(IF(compras_mes5[[#This Row],[CUIT]]="","-",VLOOKUP(compras_mes5[[#This Row],[CUIT]],Lista_CUIT[#All],3,0)),"CUIT NO CARGADO")</f>
        <v>Servicios Gas, Luz, etc.</v>
      </c>
      <c r="R92" s="329">
        <f>IFERROR(IF(compras_mes5[[#This Row],[CUIT]]="","-",VLOOKUP(compras_mes5[[#This Row],[CUIT]],Lista_CUIT[#All],4,0)),"CUIT NO CARGADO")</f>
        <v>0</v>
      </c>
      <c r="S92" s="193"/>
    </row>
    <row r="93" spans="2:19" x14ac:dyDescent="0.25">
      <c r="B93" s="478" t="s">
        <v>2468</v>
      </c>
      <c r="C93" s="479">
        <v>1</v>
      </c>
      <c r="D93" s="481">
        <v>1</v>
      </c>
      <c r="E93" s="482">
        <v>3914</v>
      </c>
      <c r="F93" s="483">
        <v>30718354419</v>
      </c>
      <c r="G93" s="333" t="str">
        <f>IFERROR(IF(compras_mes5[[#This Row],[CUIT]]="","-",VLOOKUP(compras_mes5[[#This Row],[CUIT]],Lista_CUIT[#All],2,0)),"CUIT NO CARGADO")</f>
        <v>AINHOME ARG</v>
      </c>
      <c r="H93" s="484">
        <v>150395.16</v>
      </c>
      <c r="I93" s="328">
        <f>IF(compras_mes5[[#This Row],[NETO GRAVADO]]="","",compras_mes5[[#This Row],[NETO GRAVADO]]*0.21)</f>
        <v>31582.9836</v>
      </c>
      <c r="J93" s="328"/>
      <c r="K93" s="328"/>
      <c r="L93" s="328"/>
      <c r="M93" s="328"/>
      <c r="N93" s="328"/>
      <c r="O93" s="328"/>
      <c r="P93" s="327">
        <f>SUM(compras_mes5[[#This Row],[NETO GRAVADO]:[Otros / No Grav.]])</f>
        <v>181978.14360000001</v>
      </c>
      <c r="Q93" s="329" t="str">
        <f>IFERROR(IF(compras_mes5[[#This Row],[CUIT]]="","-",VLOOKUP(compras_mes5[[#This Row],[CUIT]],Lista_CUIT[#All],3,0)),"CUIT NO CARGADO")</f>
        <v>Muebles y Utiles</v>
      </c>
      <c r="R93" s="329">
        <f>IFERROR(IF(compras_mes5[[#This Row],[CUIT]]="","-",VLOOKUP(compras_mes5[[#This Row],[CUIT]],Lista_CUIT[#All],4,0)),"CUIT NO CARGADO")</f>
        <v>0</v>
      </c>
    </row>
    <row r="94" spans="2:19" x14ac:dyDescent="0.25">
      <c r="B94" s="478" t="s">
        <v>2468</v>
      </c>
      <c r="C94" s="479">
        <v>1</v>
      </c>
      <c r="D94" s="481">
        <v>2</v>
      </c>
      <c r="E94" s="482">
        <v>4058</v>
      </c>
      <c r="F94" s="483">
        <v>30629863571</v>
      </c>
      <c r="G94" s="333" t="str">
        <f>IFERROR(IF(compras_mes5[[#This Row],[CUIT]]="","-",VLOOKUP(compras_mes5[[#This Row],[CUIT]],Lista_CUIT[#All],2,0)),"CUIT NO CARGADO")</f>
        <v>TECNIMAR S R L</v>
      </c>
      <c r="H94" s="484">
        <v>2224144</v>
      </c>
      <c r="I94" s="328">
        <f>IF(compras_mes5[[#This Row],[NETO GRAVADO]]="","",compras_mes5[[#This Row],[NETO GRAVADO]]*0.21)</f>
        <v>467070.24</v>
      </c>
      <c r="J94" s="328"/>
      <c r="K94" s="328"/>
      <c r="L94" s="328"/>
      <c r="M94" s="328"/>
      <c r="N94" s="328"/>
      <c r="O94" s="328"/>
      <c r="P94" s="327">
        <f>SUM(compras_mes5[[#This Row],[NETO GRAVADO]:[Otros / No Grav.]])</f>
        <v>2691214.24</v>
      </c>
      <c r="Q94" s="329" t="str">
        <f>IFERROR(IF(compras_mes5[[#This Row],[CUIT]]="","-",VLOOKUP(compras_mes5[[#This Row],[CUIT]],Lista_CUIT[#All],3,0)),"CUIT NO CARGADO")</f>
        <v>Productos Venta</v>
      </c>
      <c r="R94" s="329">
        <f>IFERROR(IF(compras_mes5[[#This Row],[CUIT]]="","-",VLOOKUP(compras_mes5[[#This Row],[CUIT]],Lista_CUIT[#All],4,0)),"CUIT NO CARGADO")</f>
        <v>0</v>
      </c>
    </row>
    <row r="95" spans="2:19" x14ac:dyDescent="0.25">
      <c r="B95" s="478" t="s">
        <v>2468</v>
      </c>
      <c r="C95" s="479">
        <v>1</v>
      </c>
      <c r="D95" s="481">
        <v>3</v>
      </c>
      <c r="E95" s="482">
        <v>5190</v>
      </c>
      <c r="F95" s="483">
        <v>30715117920</v>
      </c>
      <c r="G95" s="333" t="str">
        <f>IFERROR(IF(compras_mes5[[#This Row],[CUIT]]="","-",VLOOKUP(compras_mes5[[#This Row],[CUIT]],Lista_CUIT[#All],2,0)),"CUIT NO CARGADO")</f>
        <v>ENCENDIDO GRAN SUR DE RICARDO HERNAN RIVA, MARTIN EZEQUIEL RIVA, JULIO CESAR ORTIZ</v>
      </c>
      <c r="H95" s="484">
        <v>90909.1</v>
      </c>
      <c r="I95" s="328">
        <f>IF(compras_mes5[[#This Row],[NETO GRAVADO]]="","",compras_mes5[[#This Row],[NETO GRAVADO]]*0.21)</f>
        <v>19090.911</v>
      </c>
      <c r="J95" s="328"/>
      <c r="K95" s="328"/>
      <c r="L95" s="328"/>
      <c r="M95" s="328"/>
      <c r="N95" s="328"/>
      <c r="O95" s="328"/>
      <c r="P95" s="327">
        <f>SUM(compras_mes5[[#This Row],[NETO GRAVADO]:[Otros / No Grav.]])</f>
        <v>110000.011</v>
      </c>
      <c r="Q95" s="329" t="str">
        <f>IFERROR(IF(compras_mes5[[#This Row],[CUIT]]="","-",VLOOKUP(compras_mes5[[#This Row],[CUIT]],Lista_CUIT[#All],3,0)),"CUIT NO CARGADO")</f>
        <v>Pendiente clasificacion</v>
      </c>
      <c r="R95" s="329">
        <f>IFERROR(IF(compras_mes5[[#This Row],[CUIT]]="","-",VLOOKUP(compras_mes5[[#This Row],[CUIT]],Lista_CUIT[#All],4,0)),"CUIT NO CARGADO")</f>
        <v>0</v>
      </c>
    </row>
    <row r="96" spans="2:19" x14ac:dyDescent="0.25">
      <c r="B96" s="478" t="s">
        <v>2469</v>
      </c>
      <c r="C96" s="479">
        <v>1</v>
      </c>
      <c r="D96" s="481">
        <v>7</v>
      </c>
      <c r="E96" s="482">
        <v>168890</v>
      </c>
      <c r="F96" s="483">
        <v>30716821516</v>
      </c>
      <c r="G96" s="333" t="str">
        <f>IFERROR(IF(compras_mes5[[#This Row],[CUIT]]="","-",VLOOKUP(compras_mes5[[#This Row],[CUIT]],Lista_CUIT[#All],2,0)),"CUIT NO CARGADO")</f>
        <v>GETNET ARGENTINA S. A. U.</v>
      </c>
      <c r="H96" s="484">
        <v>140000</v>
      </c>
      <c r="I96" s="328">
        <f>IF(compras_mes5[[#This Row],[NETO GRAVADO]]="","",compras_mes5[[#This Row],[NETO GRAVADO]]*0.21)</f>
        <v>29400</v>
      </c>
      <c r="J96" s="328"/>
      <c r="K96" s="328"/>
      <c r="L96" s="328"/>
      <c r="M96" s="328"/>
      <c r="N96" s="328"/>
      <c r="O96" s="328"/>
      <c r="P96" s="327">
        <f>SUM(compras_mes5[[#This Row],[NETO GRAVADO]:[Otros / No Grav.]])</f>
        <v>169400</v>
      </c>
      <c r="Q96" s="329" t="str">
        <f>IFERROR(IF(compras_mes5[[#This Row],[CUIT]]="","-",VLOOKUP(compras_mes5[[#This Row],[CUIT]],Lista_CUIT[#All],3,0)),"CUIT NO CARGADO")</f>
        <v>Gastos administrativos</v>
      </c>
      <c r="R96" s="329">
        <f>IFERROR(IF(compras_mes5[[#This Row],[CUIT]]="","-",VLOOKUP(compras_mes5[[#This Row],[CUIT]],Lista_CUIT[#All],4,0)),"CUIT NO CARGADO")</f>
        <v>0</v>
      </c>
    </row>
    <row r="97" spans="2:18" x14ac:dyDescent="0.25">
      <c r="B97" s="478" t="s">
        <v>2469</v>
      </c>
      <c r="C97" s="479">
        <v>1</v>
      </c>
      <c r="D97" s="481">
        <v>1677</v>
      </c>
      <c r="E97" s="482">
        <v>65889</v>
      </c>
      <c r="F97" s="483">
        <v>30589621499</v>
      </c>
      <c r="G97" s="333" t="str">
        <f>IFERROR(IF(compras_mes5[[#This Row],[CUIT]]="","-",VLOOKUP(compras_mes5[[#This Row],[CUIT]],Lista_CUIT[#All],2,0)),"CUIT NO CARGADO")</f>
        <v>MAKRO SA</v>
      </c>
      <c r="H97" s="484">
        <v>128414.62</v>
      </c>
      <c r="I97" s="328">
        <v>26401.47</v>
      </c>
      <c r="J97" s="328"/>
      <c r="K97" s="328">
        <v>282.8</v>
      </c>
      <c r="L97" s="328">
        <v>3812.04</v>
      </c>
      <c r="M97" s="328"/>
      <c r="N97" s="328">
        <v>7704.88</v>
      </c>
      <c r="O97" s="328"/>
      <c r="P97" s="327">
        <f>SUM(compras_mes5[[#This Row],[NETO GRAVADO]:[Otros / No Grav.]])</f>
        <v>166615.81</v>
      </c>
      <c r="Q97" s="329" t="str">
        <f>IFERROR(IF(compras_mes5[[#This Row],[CUIT]]="","-",VLOOKUP(compras_mes5[[#This Row],[CUIT]],Lista_CUIT[#All],3,0)),"CUIT NO CARGADO")</f>
        <v>Gastos Varios</v>
      </c>
      <c r="R97" s="329">
        <f>IFERROR(IF(compras_mes5[[#This Row],[CUIT]]="","-",VLOOKUP(compras_mes5[[#This Row],[CUIT]],Lista_CUIT[#All],4,0)),"CUIT NO CARGADO")</f>
        <v>0</v>
      </c>
    </row>
    <row r="98" spans="2:18" x14ac:dyDescent="0.25">
      <c r="B98" s="478" t="s">
        <v>2469</v>
      </c>
      <c r="C98" s="479">
        <v>1</v>
      </c>
      <c r="D98" s="481">
        <v>5015</v>
      </c>
      <c r="E98" s="482">
        <v>862355</v>
      </c>
      <c r="F98" s="483">
        <v>30574876474</v>
      </c>
      <c r="G98" s="333" t="str">
        <f>IFERROR(IF(compras_mes5[[#This Row],[CUIT]]="","-",VLOOKUP(compras_mes5[[#This Row],[CUIT]],Lista_CUIT[#All],2,0)),"CUIT NO CARGADO")</f>
        <v>AUTOPISTAS URBANAS S A</v>
      </c>
      <c r="H98" s="484">
        <v>134876.96</v>
      </c>
      <c r="I98" s="328">
        <f>IF(compras_mes5[[#This Row],[NETO GRAVADO]]="","",compras_mes5[[#This Row],[NETO GRAVADO]]*0.21)</f>
        <v>28324.161599999996</v>
      </c>
      <c r="J98" s="328"/>
      <c r="K98" s="328"/>
      <c r="L98" s="328"/>
      <c r="M98" s="328"/>
      <c r="N98" s="328"/>
      <c r="O98" s="328">
        <v>17533.98</v>
      </c>
      <c r="P98" s="327">
        <f>SUM(compras_mes5[[#This Row],[NETO GRAVADO]:[Otros / No Grav.]])</f>
        <v>180735.10159999999</v>
      </c>
      <c r="Q98" s="329" t="str">
        <f>IFERROR(IF(compras_mes5[[#This Row],[CUIT]]="","-",VLOOKUP(compras_mes5[[#This Row],[CUIT]],Lista_CUIT[#All],3,0)),"CUIT NO CARGADO")</f>
        <v>Peajes</v>
      </c>
      <c r="R98" s="329">
        <f>IFERROR(IF(compras_mes5[[#This Row],[CUIT]]="","-",VLOOKUP(compras_mes5[[#This Row],[CUIT]],Lista_CUIT[#All],4,0)),"CUIT NO CARGADO")</f>
        <v>0</v>
      </c>
    </row>
    <row r="99" spans="2:18" x14ac:dyDescent="0.25">
      <c r="B99" s="478" t="s">
        <v>2469</v>
      </c>
      <c r="C99" s="479">
        <v>1</v>
      </c>
      <c r="D99" s="481">
        <v>5</v>
      </c>
      <c r="E99" s="482">
        <v>34393</v>
      </c>
      <c r="F99" s="483">
        <v>30708261110</v>
      </c>
      <c r="G99" s="333" t="str">
        <f>IFERROR(IF(compras_mes5[[#This Row],[CUIT]]="","-",VLOOKUP(compras_mes5[[#This Row],[CUIT]],Lista_CUIT[#All],2,0)),"CUIT NO CARGADO")</f>
        <v>MULTIPLIS SRL</v>
      </c>
      <c r="H99" s="484">
        <v>186324.45</v>
      </c>
      <c r="I99" s="328">
        <f>IF(compras_mes5[[#This Row],[NETO GRAVADO]]="","",compras_mes5[[#This Row],[NETO GRAVADO]]*0.21)</f>
        <v>39128.1345</v>
      </c>
      <c r="J99" s="328"/>
      <c r="K99" s="328"/>
      <c r="L99" s="328"/>
      <c r="M99" s="328"/>
      <c r="N99" s="328"/>
      <c r="O99" s="328"/>
      <c r="P99" s="327">
        <f>SUM(compras_mes5[[#This Row],[NETO GRAVADO]:[Otros / No Grav.]])</f>
        <v>225452.5845</v>
      </c>
      <c r="Q99" s="329" t="str">
        <f>IFERROR(IF(compras_mes5[[#This Row],[CUIT]]="","-",VLOOKUP(compras_mes5[[#This Row],[CUIT]],Lista_CUIT[#All],3,0)),"CUIT NO CARGADO")</f>
        <v>Insumo</v>
      </c>
      <c r="R99" s="329">
        <f>IFERROR(IF(compras_mes5[[#This Row],[CUIT]]="","-",VLOOKUP(compras_mes5[[#This Row],[CUIT]],Lista_CUIT[#All],4,0)),"CUIT NO CARGADO")</f>
        <v>0</v>
      </c>
    </row>
    <row r="100" spans="2:18" x14ac:dyDescent="0.25">
      <c r="B100" s="478" t="s">
        <v>2469</v>
      </c>
      <c r="C100" s="479">
        <v>1</v>
      </c>
      <c r="D100" s="481">
        <v>3034</v>
      </c>
      <c r="E100" s="482">
        <v>8518333</v>
      </c>
      <c r="F100" s="483">
        <v>30708574836</v>
      </c>
      <c r="G100" s="333" t="str">
        <f>IFERROR(IF(compras_mes5[[#This Row],[CUIT]]="","-",VLOOKUP(compras_mes5[[#This Row],[CUIT]],Lista_CUIT[#All],2,0)),"CUIT NO CARGADO")</f>
        <v>CORREO OFICIAL DE LA REPUBLICA ARGENTINA SOCIEDAD ANONIMA</v>
      </c>
      <c r="H100" s="484">
        <v>7738.84</v>
      </c>
      <c r="I100" s="328">
        <f>IF(compras_mes5[[#This Row],[NETO GRAVADO]]="","",compras_mes5[[#This Row],[NETO GRAVADO]]*0.21)</f>
        <v>1625.1564000000001</v>
      </c>
      <c r="J100" s="328"/>
      <c r="K100" s="328"/>
      <c r="L100" s="328"/>
      <c r="M100" s="328"/>
      <c r="N100" s="328"/>
      <c r="O100" s="328"/>
      <c r="P100" s="327">
        <f>SUM(compras_mes5[[#This Row],[NETO GRAVADO]:[Otros / No Grav.]])</f>
        <v>9363.9964</v>
      </c>
      <c r="Q100" s="329" t="str">
        <f>IFERROR(IF(compras_mes5[[#This Row],[CUIT]]="","-",VLOOKUP(compras_mes5[[#This Row],[CUIT]],Lista_CUIT[#All],3,0)),"CUIT NO CARGADO")</f>
        <v>MESAJERIA</v>
      </c>
      <c r="R100" s="329">
        <f>IFERROR(IF(compras_mes5[[#This Row],[CUIT]]="","-",VLOOKUP(compras_mes5[[#This Row],[CUIT]],Lista_CUIT[#All],4,0)),"CUIT NO CARGADO")</f>
        <v>0</v>
      </c>
    </row>
    <row r="101" spans="2:18" x14ac:dyDescent="0.25">
      <c r="B101" s="478" t="s">
        <v>2469</v>
      </c>
      <c r="C101" s="479">
        <v>1</v>
      </c>
      <c r="D101" s="481">
        <v>10</v>
      </c>
      <c r="E101" s="482">
        <v>2109</v>
      </c>
      <c r="F101" s="483">
        <v>30541775567</v>
      </c>
      <c r="G101" s="333" t="str">
        <f>IFERROR(IF(compras_mes5[[#This Row],[CUIT]]="","-",VLOOKUP(compras_mes5[[#This Row],[CUIT]],Lista_CUIT[#All],2,0)),"CUIT NO CARGADO")</f>
        <v>J C ZUPPIROLI S A C I M</v>
      </c>
      <c r="H101" s="484">
        <v>162892.56</v>
      </c>
      <c r="I101" s="328">
        <f>IF(compras_mes5[[#This Row],[NETO GRAVADO]]="","",compras_mes5[[#This Row],[NETO GRAVADO]]*0.21)</f>
        <v>34207.437599999997</v>
      </c>
      <c r="J101" s="328"/>
      <c r="K101" s="328"/>
      <c r="L101" s="328"/>
      <c r="M101" s="328"/>
      <c r="N101" s="328"/>
      <c r="O101" s="328"/>
      <c r="P101" s="327">
        <f>SUM(compras_mes5[[#This Row],[NETO GRAVADO]:[Otros / No Grav.]])</f>
        <v>197099.9976</v>
      </c>
      <c r="Q101" s="329" t="str">
        <f>IFERROR(IF(compras_mes5[[#This Row],[CUIT]]="","-",VLOOKUP(compras_mes5[[#This Row],[CUIT]],Lista_CUIT[#All],3,0)),"CUIT NO CARGADO")</f>
        <v>Pendiente clasificacion</v>
      </c>
      <c r="R101" s="329">
        <f>IFERROR(IF(compras_mes5[[#This Row],[CUIT]]="","-",VLOOKUP(compras_mes5[[#This Row],[CUIT]],Lista_CUIT[#All],4,0)),"CUIT NO CARGADO")</f>
        <v>0</v>
      </c>
    </row>
    <row r="102" spans="2:18" x14ac:dyDescent="0.25">
      <c r="B102" s="478" t="s">
        <v>2469</v>
      </c>
      <c r="C102" s="479">
        <v>1</v>
      </c>
      <c r="D102" s="481">
        <v>5</v>
      </c>
      <c r="E102" s="482">
        <v>29445</v>
      </c>
      <c r="F102" s="483">
        <v>27234805679</v>
      </c>
      <c r="G102" s="333" t="str">
        <f>IFERROR(IF(compras_mes5[[#This Row],[CUIT]]="","-",VLOOKUP(compras_mes5[[#This Row],[CUIT]],Lista_CUIT[#All],2,0)),"CUIT NO CARGADO")</f>
        <v xml:space="preserve">CAMPOY MABEL ALICIA </v>
      </c>
      <c r="H102" s="484">
        <v>521628.05</v>
      </c>
      <c r="I102" s="85" t="s">
        <v>2411</v>
      </c>
      <c r="J102" s="328"/>
      <c r="K102" s="328">
        <f>compras_mes5[[#This Row],[NETO GRAVADO]]*0.105</f>
        <v>54770.945249999997</v>
      </c>
      <c r="L102" s="328"/>
      <c r="M102" s="328"/>
      <c r="N102" s="328"/>
      <c r="O102" s="328"/>
      <c r="P102" s="327">
        <f>SUM(compras_mes5[[#This Row],[NETO GRAVADO]:[Otros / No Grav.]])</f>
        <v>576398.99525000004</v>
      </c>
      <c r="Q102" s="329" t="str">
        <f>IFERROR(IF(compras_mes5[[#This Row],[CUIT]]="","-",VLOOKUP(compras_mes5[[#This Row],[CUIT]],Lista_CUIT[#All],3,0)),"CUIT NO CARGADO")</f>
        <v>Muebles y Utiles</v>
      </c>
      <c r="R102" s="329">
        <f>IFERROR(IF(compras_mes5[[#This Row],[CUIT]]="","-",VLOOKUP(compras_mes5[[#This Row],[CUIT]],Lista_CUIT[#All],4,0)),"CUIT NO CARGADO")</f>
        <v>0</v>
      </c>
    </row>
    <row r="103" spans="2:18" x14ac:dyDescent="0.25">
      <c r="B103" s="478" t="s">
        <v>2469</v>
      </c>
      <c r="C103" s="479">
        <v>1</v>
      </c>
      <c r="D103" s="481">
        <v>4</v>
      </c>
      <c r="E103" s="482">
        <v>47184</v>
      </c>
      <c r="F103" s="483">
        <v>30585948817</v>
      </c>
      <c r="G103" s="333" t="str">
        <f>IFERROR(IF(compras_mes5[[#This Row],[CUIT]]="","-",VLOOKUP(compras_mes5[[#This Row],[CUIT]],Lista_CUIT[#All],2,0)),"CUIT NO CARGADO")</f>
        <v xml:space="preserve">GLASCAR </v>
      </c>
      <c r="H103" s="484">
        <v>4699267.2</v>
      </c>
      <c r="I103" s="328">
        <f>IF(compras_mes5[[#This Row],[NETO GRAVADO]]="","",compras_mes5[[#This Row],[NETO GRAVADO]]*0.21)</f>
        <v>986846.11199999996</v>
      </c>
      <c r="J103" s="328"/>
      <c r="K103" s="328"/>
      <c r="L103" s="328"/>
      <c r="M103" s="328"/>
      <c r="N103" s="328"/>
      <c r="O103" s="328"/>
      <c r="P103" s="327">
        <f>SUM(compras_mes5[[#This Row],[NETO GRAVADO]:[Otros / No Grav.]])</f>
        <v>5686113.3119999999</v>
      </c>
      <c r="Q103" s="329" t="str">
        <f>IFERROR(IF(compras_mes5[[#This Row],[CUIT]]="","-",VLOOKUP(compras_mes5[[#This Row],[CUIT]],Lista_CUIT[#All],3,0)),"CUIT NO CARGADO")</f>
        <v>Material de Empaque</v>
      </c>
      <c r="R103" s="329">
        <f>IFERROR(IF(compras_mes5[[#This Row],[CUIT]]="","-",VLOOKUP(compras_mes5[[#This Row],[CUIT]],Lista_CUIT[#All],4,0)),"CUIT NO CARGADO")</f>
        <v>0</v>
      </c>
    </row>
    <row r="104" spans="2:18" x14ac:dyDescent="0.25">
      <c r="B104" s="478" t="s">
        <v>2469</v>
      </c>
      <c r="C104" s="479">
        <v>1</v>
      </c>
      <c r="D104" s="481">
        <v>700</v>
      </c>
      <c r="E104" s="482">
        <v>2468437</v>
      </c>
      <c r="F104" s="483">
        <v>30715804812</v>
      </c>
      <c r="G104" s="333" t="str">
        <f>IFERROR(IF(compras_mes5[[#This Row],[CUIT]]="","-",VLOOKUP(compras_mes5[[#This Row],[CUIT]],Lista_CUIT[#All],2,0)),"CUIT NO CARGADO")</f>
        <v>CORREDORES VIALES SOCIEDAD ANONIMA</v>
      </c>
      <c r="H104" s="484">
        <v>5199.8999999999996</v>
      </c>
      <c r="I104" s="328">
        <f>IF(compras_mes5[[#This Row],[NETO GRAVADO]]="","",compras_mes5[[#This Row],[NETO GRAVADO]]*0.21)</f>
        <v>1091.9789999999998</v>
      </c>
      <c r="J104" s="328"/>
      <c r="K104" s="328"/>
      <c r="L104" s="328"/>
      <c r="M104" s="328"/>
      <c r="N104" s="328"/>
      <c r="O104" s="328"/>
      <c r="P104" s="327">
        <f>SUM(compras_mes5[[#This Row],[NETO GRAVADO]:[Otros / No Grav.]])</f>
        <v>6291.878999999999</v>
      </c>
      <c r="Q104" s="329" t="str">
        <f>IFERROR(IF(compras_mes5[[#This Row],[CUIT]]="","-",VLOOKUP(compras_mes5[[#This Row],[CUIT]],Lista_CUIT[#All],3,0)),"CUIT NO CARGADO")</f>
        <v>Peajes</v>
      </c>
      <c r="R104" s="329">
        <f>IFERROR(IF(compras_mes5[[#This Row],[CUIT]]="","-",VLOOKUP(compras_mes5[[#This Row],[CUIT]],Lista_CUIT[#All],4,0)),"CUIT NO CARGADO")</f>
        <v>0</v>
      </c>
    </row>
    <row r="105" spans="2:18" x14ac:dyDescent="0.25">
      <c r="B105" s="478" t="s">
        <v>2469</v>
      </c>
      <c r="C105" s="479">
        <v>1</v>
      </c>
      <c r="D105" s="481">
        <v>1</v>
      </c>
      <c r="E105" s="482">
        <v>161</v>
      </c>
      <c r="F105" s="483">
        <v>30716010313</v>
      </c>
      <c r="G105" s="333" t="str">
        <f>IFERROR(IF(compras_mes5[[#This Row],[CUIT]]="","-",VLOOKUP(compras_mes5[[#This Row],[CUIT]],Lista_CUIT[#All],2,0)),"CUIT NO CARGADO")</f>
        <v>H UNO 1469 S.A.</v>
      </c>
      <c r="H105" s="484">
        <v>584953.71</v>
      </c>
      <c r="I105" s="328">
        <f>IF(compras_mes5[[#This Row],[NETO GRAVADO]]="","",compras_mes5[[#This Row],[NETO GRAVADO]]*0.21)</f>
        <v>122840.27909999999</v>
      </c>
      <c r="J105" s="328"/>
      <c r="K105" s="328"/>
      <c r="L105" s="328"/>
      <c r="M105" s="328"/>
      <c r="N105" s="328"/>
      <c r="O105" s="328"/>
      <c r="P105" s="327">
        <f>SUM(compras_mes5[[#This Row],[NETO GRAVADO]:[Otros / No Grav.]])</f>
        <v>707793.98909999989</v>
      </c>
      <c r="Q105" s="329" t="str">
        <f>IFERROR(IF(compras_mes5[[#This Row],[CUIT]]="","-",VLOOKUP(compras_mes5[[#This Row],[CUIT]],Lista_CUIT[#All],3,0)),"CUIT NO CARGADO")</f>
        <v>Alquiler</v>
      </c>
      <c r="R105" s="329">
        <f>IFERROR(IF(compras_mes5[[#This Row],[CUIT]]="","-",VLOOKUP(compras_mes5[[#This Row],[CUIT]],Lista_CUIT[#All],4,0)),"CUIT NO CARGADO")</f>
        <v>0</v>
      </c>
    </row>
    <row r="106" spans="2:18" x14ac:dyDescent="0.25">
      <c r="B106" s="478" t="s">
        <v>2469</v>
      </c>
      <c r="C106" s="479">
        <v>1</v>
      </c>
      <c r="D106" s="481">
        <v>3</v>
      </c>
      <c r="E106" s="482">
        <v>181</v>
      </c>
      <c r="F106" s="483">
        <v>20202970940</v>
      </c>
      <c r="G106" s="333" t="str">
        <f>IFERROR(IF(compras_mes5[[#This Row],[CUIT]]="","-",VLOOKUP(compras_mes5[[#This Row],[CUIT]],Lista_CUIT[#All],2,0)),"CUIT NO CARGADO")</f>
        <v xml:space="preserve">ALEJANDRO TRAIBER </v>
      </c>
      <c r="H106" s="484">
        <v>1870000</v>
      </c>
      <c r="I106" s="328">
        <f>IF(compras_mes5[[#This Row],[NETO GRAVADO]]="","",compras_mes5[[#This Row],[NETO GRAVADO]]*0.21)</f>
        <v>392700</v>
      </c>
      <c r="J106" s="328"/>
      <c r="K106" s="328"/>
      <c r="L106" s="328"/>
      <c r="M106" s="328"/>
      <c r="N106" s="328"/>
      <c r="O106" s="328"/>
      <c r="P106" s="327">
        <f>SUM(compras_mes5[[#This Row],[NETO GRAVADO]:[Otros / No Grav.]])</f>
        <v>2262700</v>
      </c>
      <c r="Q106" s="329" t="str">
        <f>IFERROR(IF(compras_mes5[[#This Row],[CUIT]]="","-",VLOOKUP(compras_mes5[[#This Row],[CUIT]],Lista_CUIT[#All],3,0)),"CUIT NO CARGADO")</f>
        <v>Mercaderia</v>
      </c>
      <c r="R106" s="329">
        <f>IFERROR(IF(compras_mes5[[#This Row],[CUIT]]="","-",VLOOKUP(compras_mes5[[#This Row],[CUIT]],Lista_CUIT[#All],4,0)),"CUIT NO CARGADO")</f>
        <v>0</v>
      </c>
    </row>
    <row r="107" spans="2:18" x14ac:dyDescent="0.25">
      <c r="B107" s="478" t="s">
        <v>2469</v>
      </c>
      <c r="C107" s="479">
        <v>1</v>
      </c>
      <c r="D107" s="481">
        <v>4</v>
      </c>
      <c r="E107" s="482">
        <v>3844</v>
      </c>
      <c r="F107" s="483">
        <v>27247017491</v>
      </c>
      <c r="G107" s="333" t="str">
        <f>IFERROR(IF(compras_mes5[[#This Row],[CUIT]]="","-",VLOOKUP(compras_mes5[[#This Row],[CUIT]],Lista_CUIT[#All],2,0)),"CUIT NO CARGADO")</f>
        <v>GONZALEZ PATRICIA NOEMI</v>
      </c>
      <c r="H107" s="484">
        <v>4958.71</v>
      </c>
      <c r="I107" s="328">
        <f>IF(compras_mes5[[#This Row],[NETO GRAVADO]]="","",compras_mes5[[#This Row],[NETO GRAVADO]]*0.21)</f>
        <v>1041.3290999999999</v>
      </c>
      <c r="J107" s="328"/>
      <c r="K107" s="328"/>
      <c r="L107" s="328"/>
      <c r="M107" s="328"/>
      <c r="N107" s="328"/>
      <c r="O107" s="328"/>
      <c r="P107" s="327">
        <f>SUM(compras_mes5[[#This Row],[NETO GRAVADO]:[Otros / No Grav.]])</f>
        <v>6000.0391</v>
      </c>
      <c r="Q107" s="329" t="str">
        <f>IFERROR(IF(compras_mes5[[#This Row],[CUIT]]="","-",VLOOKUP(compras_mes5[[#This Row],[CUIT]],Lista_CUIT[#All],3,0)),"CUIT NO CARGADO")</f>
        <v>Gastos Varios</v>
      </c>
      <c r="R107" s="329">
        <f>IFERROR(IF(compras_mes5[[#This Row],[CUIT]]="","-",VLOOKUP(compras_mes5[[#This Row],[CUIT]],Lista_CUIT[#All],4,0)),"CUIT NO CARGADO")</f>
        <v>0</v>
      </c>
    </row>
    <row r="108" spans="2:18" x14ac:dyDescent="0.25">
      <c r="B108" s="478" t="s">
        <v>2469</v>
      </c>
      <c r="C108" s="479">
        <v>1</v>
      </c>
      <c r="D108" s="481">
        <v>2</v>
      </c>
      <c r="E108" s="482">
        <v>883</v>
      </c>
      <c r="F108" s="483">
        <v>20103069832</v>
      </c>
      <c r="G108" s="333" t="str">
        <f>IFERROR(IF(compras_mes5[[#This Row],[CUIT]]="","-",VLOOKUP(compras_mes5[[#This Row],[CUIT]],Lista_CUIT[#All],2,0)),"CUIT NO CARGADO")</f>
        <v>DE LUCA HECTOR RAFAEL FRANCI</v>
      </c>
      <c r="H108" s="484">
        <v>1248000</v>
      </c>
      <c r="I108" s="328">
        <f>IF(compras_mes5[[#This Row],[NETO GRAVADO]]="","",compras_mes5[[#This Row],[NETO GRAVADO]]*0.21)</f>
        <v>262080</v>
      </c>
      <c r="J108" s="328"/>
      <c r="K108" s="328"/>
      <c r="L108" s="328"/>
      <c r="M108" s="328"/>
      <c r="N108" s="328"/>
      <c r="O108" s="328"/>
      <c r="P108" s="327">
        <f>SUM(compras_mes5[[#This Row],[NETO GRAVADO]:[Otros / No Grav.]])</f>
        <v>1510080</v>
      </c>
      <c r="Q108" s="329" t="str">
        <f>IFERROR(IF(compras_mes5[[#This Row],[CUIT]]="","-",VLOOKUP(compras_mes5[[#This Row],[CUIT]],Lista_CUIT[#All],3,0)),"CUIT NO CARGADO")</f>
        <v>Material de Empaque</v>
      </c>
      <c r="R108" s="329">
        <f>IFERROR(IF(compras_mes5[[#This Row],[CUIT]]="","-",VLOOKUP(compras_mes5[[#This Row],[CUIT]],Lista_CUIT[#All],4,0)),"CUIT NO CARGADO")</f>
        <v>0</v>
      </c>
    </row>
    <row r="109" spans="2:18" x14ac:dyDescent="0.25">
      <c r="B109" s="478" t="s">
        <v>2469</v>
      </c>
      <c r="C109" s="479">
        <v>1</v>
      </c>
      <c r="D109" s="481">
        <v>3</v>
      </c>
      <c r="E109" s="482">
        <v>183</v>
      </c>
      <c r="F109" s="483">
        <v>20202970940</v>
      </c>
      <c r="G109" s="333" t="str">
        <f>IFERROR(IF(compras_mes5[[#This Row],[CUIT]]="","-",VLOOKUP(compras_mes5[[#This Row],[CUIT]],Lista_CUIT[#All],2,0)),"CUIT NO CARGADO")</f>
        <v xml:space="preserve">ALEJANDRO TRAIBER </v>
      </c>
      <c r="H109" s="484">
        <v>1535400</v>
      </c>
      <c r="I109" s="328">
        <f>IF(compras_mes5[[#This Row],[NETO GRAVADO]]="","",compras_mes5[[#This Row],[NETO GRAVADO]]*0.21)</f>
        <v>322434</v>
      </c>
      <c r="J109" s="328"/>
      <c r="K109" s="328"/>
      <c r="L109" s="328"/>
      <c r="M109" s="328"/>
      <c r="N109" s="328"/>
      <c r="O109" s="328"/>
      <c r="P109" s="327">
        <f>SUM(compras_mes5[[#This Row],[NETO GRAVADO]:[Otros / No Grav.]])</f>
        <v>1857834</v>
      </c>
      <c r="Q109" s="329" t="str">
        <f>IFERROR(IF(compras_mes5[[#This Row],[CUIT]]="","-",VLOOKUP(compras_mes5[[#This Row],[CUIT]],Lista_CUIT[#All],3,0)),"CUIT NO CARGADO")</f>
        <v>Mercaderia</v>
      </c>
      <c r="R109" s="329">
        <f>IFERROR(IF(compras_mes5[[#This Row],[CUIT]]="","-",VLOOKUP(compras_mes5[[#This Row],[CUIT]],Lista_CUIT[#All],4,0)),"CUIT NO CARGADO")</f>
        <v>0</v>
      </c>
    </row>
    <row r="110" spans="2:18" x14ac:dyDescent="0.25">
      <c r="B110" s="478" t="s">
        <v>2469</v>
      </c>
      <c r="C110" s="479">
        <v>1</v>
      </c>
      <c r="D110" s="481">
        <v>2</v>
      </c>
      <c r="E110" s="482">
        <v>4059</v>
      </c>
      <c r="F110" s="483">
        <v>30629863571</v>
      </c>
      <c r="G110" s="333" t="str">
        <f>IFERROR(IF(compras_mes5[[#This Row],[CUIT]]="","-",VLOOKUP(compras_mes5[[#This Row],[CUIT]],Lista_CUIT[#All],2,0)),"CUIT NO CARGADO")</f>
        <v>TECNIMAR S R L</v>
      </c>
      <c r="H110" s="484">
        <v>1246846</v>
      </c>
      <c r="I110" s="328">
        <f>IF(compras_mes5[[#This Row],[NETO GRAVADO]]="","",compras_mes5[[#This Row],[NETO GRAVADO]]*0.21)</f>
        <v>261837.66</v>
      </c>
      <c r="J110" s="328"/>
      <c r="K110" s="328"/>
      <c r="L110" s="328"/>
      <c r="M110" s="328"/>
      <c r="N110" s="328"/>
      <c r="O110" s="328"/>
      <c r="P110" s="327">
        <f>SUM(compras_mes5[[#This Row],[NETO GRAVADO]:[Otros / No Grav.]])</f>
        <v>1508683.66</v>
      </c>
      <c r="Q110" s="329" t="str">
        <f>IFERROR(IF(compras_mes5[[#This Row],[CUIT]]="","-",VLOOKUP(compras_mes5[[#This Row],[CUIT]],Lista_CUIT[#All],3,0)),"CUIT NO CARGADO")</f>
        <v>Productos Venta</v>
      </c>
      <c r="R110" s="329">
        <f>IFERROR(IF(compras_mes5[[#This Row],[CUIT]]="","-",VLOOKUP(compras_mes5[[#This Row],[CUIT]],Lista_CUIT[#All],4,0)),"CUIT NO CARGADO")</f>
        <v>0</v>
      </c>
    </row>
    <row r="111" spans="2:18" x14ac:dyDescent="0.25">
      <c r="B111" s="478" t="s">
        <v>2470</v>
      </c>
      <c r="C111" s="479">
        <v>1</v>
      </c>
      <c r="D111" s="481">
        <v>6852</v>
      </c>
      <c r="E111" s="482">
        <v>30741</v>
      </c>
      <c r="F111" s="483">
        <v>30678774495</v>
      </c>
      <c r="G111" s="333" t="str">
        <f>IFERROR(IF(compras_mes5[[#This Row],[CUIT]]="","-",VLOOKUP(compras_mes5[[#This Row],[CUIT]],Lista_CUIT[#All],2,0)),"CUIT NO CARGADO")</f>
        <v>OPER. DE EST. DE SERV. SA</v>
      </c>
      <c r="H111" s="484">
        <v>8875.17</v>
      </c>
      <c r="I111" s="328">
        <f>IF(compras_mes5[[#This Row],[NETO GRAVADO]]="","",compras_mes5[[#This Row],[NETO GRAVADO]]*0.21)</f>
        <v>1863.7856999999999</v>
      </c>
      <c r="J111" s="328"/>
      <c r="K111" s="328"/>
      <c r="L111" s="328"/>
      <c r="M111" s="328"/>
      <c r="N111" s="328"/>
      <c r="O111" s="328">
        <v>2261.0500000000002</v>
      </c>
      <c r="P111" s="327">
        <f>SUM(compras_mes5[[#This Row],[NETO GRAVADO]:[Otros / No Grav.]])</f>
        <v>13000.005700000002</v>
      </c>
      <c r="Q111" s="329" t="str">
        <f>IFERROR(IF(compras_mes5[[#This Row],[CUIT]]="","-",VLOOKUP(compras_mes5[[#This Row],[CUIT]],Lista_CUIT[#All],3,0)),"CUIT NO CARGADO")</f>
        <v>Combustible</v>
      </c>
      <c r="R111" s="329">
        <f>IFERROR(IF(compras_mes5[[#This Row],[CUIT]]="","-",VLOOKUP(compras_mes5[[#This Row],[CUIT]],Lista_CUIT[#All],4,0)),"CUIT NO CARGADO")</f>
        <v>0</v>
      </c>
    </row>
    <row r="112" spans="2:18" x14ac:dyDescent="0.25">
      <c r="B112" s="478" t="s">
        <v>2470</v>
      </c>
      <c r="C112" s="479">
        <v>1</v>
      </c>
      <c r="D112" s="481">
        <v>6</v>
      </c>
      <c r="E112" s="482">
        <v>26875</v>
      </c>
      <c r="F112" s="483">
        <v>33640878679</v>
      </c>
      <c r="G112" s="333" t="str">
        <f>IFERROR(IF(compras_mes5[[#This Row],[CUIT]]="","-",VLOOKUP(compras_mes5[[#This Row],[CUIT]],Lista_CUIT[#All],2,0)),"CUIT NO CARGADO")</f>
        <v>DHACAM S R L</v>
      </c>
      <c r="H112" s="484">
        <v>293775</v>
      </c>
      <c r="I112" s="328">
        <f>IF(compras_mes5[[#This Row],[NETO GRAVADO]]="","",compras_mes5[[#This Row],[NETO GRAVADO]]*0.21)</f>
        <v>61692.75</v>
      </c>
      <c r="J112" s="328"/>
      <c r="K112" s="328"/>
      <c r="L112" s="328"/>
      <c r="M112" s="328"/>
      <c r="N112" s="328"/>
      <c r="O112" s="328"/>
      <c r="P112" s="327">
        <f>SUM(compras_mes5[[#This Row],[NETO GRAVADO]:[Otros / No Grav.]])</f>
        <v>355467.75</v>
      </c>
      <c r="Q112" s="329" t="str">
        <f>IFERROR(IF(compras_mes5[[#This Row],[CUIT]]="","-",VLOOKUP(compras_mes5[[#This Row],[CUIT]],Lista_CUIT[#All],3,0)),"CUIT NO CARGADO")</f>
        <v>Materia Prima</v>
      </c>
      <c r="R112" s="329">
        <f>IFERROR(IF(compras_mes5[[#This Row],[CUIT]]="","-",VLOOKUP(compras_mes5[[#This Row],[CUIT]],Lista_CUIT[#All],4,0)),"CUIT NO CARGADO")</f>
        <v>0</v>
      </c>
    </row>
    <row r="113" spans="2:18" x14ac:dyDescent="0.25">
      <c r="B113" s="478" t="s">
        <v>2470</v>
      </c>
      <c r="C113" s="479">
        <v>1</v>
      </c>
      <c r="D113" s="481">
        <v>6</v>
      </c>
      <c r="E113" s="482">
        <v>138</v>
      </c>
      <c r="F113" s="483">
        <v>20269531062</v>
      </c>
      <c r="G113" s="333" t="str">
        <f>IFERROR(IF(compras_mes5[[#This Row],[CUIT]]="","-",VLOOKUP(compras_mes5[[#This Row],[CUIT]],Lista_CUIT[#All],2,0)),"CUIT NO CARGADO")</f>
        <v>PEZZELATTO RICARDO OMAR</v>
      </c>
      <c r="H113" s="484">
        <v>19088.48</v>
      </c>
      <c r="I113" s="328">
        <f>IF(compras_mes5[[#This Row],[NETO GRAVADO]]="","",compras_mes5[[#This Row],[NETO GRAVADO]]*0.21)</f>
        <v>4008.5807999999997</v>
      </c>
      <c r="J113" s="328"/>
      <c r="K113" s="328"/>
      <c r="L113" s="328"/>
      <c r="M113" s="328"/>
      <c r="N113" s="328"/>
      <c r="O113" s="328"/>
      <c r="P113" s="327">
        <f>SUM(compras_mes5[[#This Row],[NETO GRAVADO]:[Otros / No Grav.]])</f>
        <v>23097.060799999999</v>
      </c>
      <c r="Q113" s="329" t="str">
        <f>IFERROR(IF(compras_mes5[[#This Row],[CUIT]]="","-",VLOOKUP(compras_mes5[[#This Row],[CUIT]],Lista_CUIT[#All],3,0)),"CUIT NO CARGADO")</f>
        <v>Gastos Varios</v>
      </c>
      <c r="R113" s="329">
        <f>IFERROR(IF(compras_mes5[[#This Row],[CUIT]]="","-",VLOOKUP(compras_mes5[[#This Row],[CUIT]],Lista_CUIT[#All],4,0)),"CUIT NO CARGADO")</f>
        <v>0</v>
      </c>
    </row>
    <row r="114" spans="2:18" x14ac:dyDescent="0.25">
      <c r="B114" s="478" t="s">
        <v>2470</v>
      </c>
      <c r="C114" s="479">
        <v>1</v>
      </c>
      <c r="D114" s="481">
        <v>2199</v>
      </c>
      <c r="E114" s="482">
        <v>36967</v>
      </c>
      <c r="F114" s="483">
        <v>30548083156</v>
      </c>
      <c r="G114" s="333" t="str">
        <f>IFERROR(IF(compras_mes5[[#This Row],[CUIT]]="","-",VLOOKUP(compras_mes5[[#This Row],[CUIT]],Lista_CUIT[#All],2,0)),"CUIT NO CARGADO")</f>
        <v>COTO CENTRO INTEGRAL DE COMERCIALIZACION SOCIEDAD ANONIMA</v>
      </c>
      <c r="H114" s="484">
        <v>50776.41</v>
      </c>
      <c r="I114" s="328">
        <v>8743.52</v>
      </c>
      <c r="J114" s="328"/>
      <c r="K114" s="328">
        <v>959.77</v>
      </c>
      <c r="L114" s="328"/>
      <c r="M114" s="328"/>
      <c r="N114" s="328"/>
      <c r="O114" s="328">
        <v>4058.67</v>
      </c>
      <c r="P114" s="327">
        <f>SUM(compras_mes5[[#This Row],[NETO GRAVADO]:[Otros / No Grav.]])</f>
        <v>64538.37</v>
      </c>
      <c r="Q114" s="329" t="str">
        <f>IFERROR(IF(compras_mes5[[#This Row],[CUIT]]="","-",VLOOKUP(compras_mes5[[#This Row],[CUIT]],Lista_CUIT[#All],3,0)),"CUIT NO CARGADO")</f>
        <v>Gastos Varios</v>
      </c>
      <c r="R114" s="329">
        <f>IFERROR(IF(compras_mes5[[#This Row],[CUIT]]="","-",VLOOKUP(compras_mes5[[#This Row],[CUIT]],Lista_CUIT[#All],4,0)),"CUIT NO CARGADO")</f>
        <v>0</v>
      </c>
    </row>
    <row r="115" spans="2:18" x14ac:dyDescent="0.25">
      <c r="B115" s="478" t="s">
        <v>2470</v>
      </c>
      <c r="C115" s="479">
        <v>1</v>
      </c>
      <c r="D115" s="481">
        <v>6052</v>
      </c>
      <c r="E115" s="482">
        <v>8962</v>
      </c>
      <c r="F115" s="483">
        <v>33707675069</v>
      </c>
      <c r="G115" s="333" t="str">
        <f>IFERROR(IF(compras_mes5[[#This Row],[CUIT]]="","-",VLOOKUP(compras_mes5[[#This Row],[CUIT]],Lista_CUIT[#All],2,0)),"CUIT NO CARGADO")</f>
        <v>BUS PACK S.A.</v>
      </c>
      <c r="H115" s="484">
        <v>32768.57</v>
      </c>
      <c r="I115" s="328">
        <f>IF(compras_mes5[[#This Row],[NETO GRAVADO]]="","",compras_mes5[[#This Row],[NETO GRAVADO]]*0.21)</f>
        <v>6881.3996999999999</v>
      </c>
      <c r="J115" s="328"/>
      <c r="K115" s="328"/>
      <c r="L115" s="328"/>
      <c r="M115" s="328"/>
      <c r="N115" s="328"/>
      <c r="O115" s="328"/>
      <c r="P115" s="327">
        <f>SUM(compras_mes5[[#This Row],[NETO GRAVADO]:[Otros / No Grav.]])</f>
        <v>39649.969700000001</v>
      </c>
      <c r="Q115" s="329" t="str">
        <f>IFERROR(IF(compras_mes5[[#This Row],[CUIT]]="","-",VLOOKUP(compras_mes5[[#This Row],[CUIT]],Lista_CUIT[#All],3,0)),"CUIT NO CARGADO")</f>
        <v>Flete</v>
      </c>
      <c r="R115" s="329">
        <f>IFERROR(IF(compras_mes5[[#This Row],[CUIT]]="","-",VLOOKUP(compras_mes5[[#This Row],[CUIT]],Lista_CUIT[#All],4,0)),"CUIT NO CARGADO")</f>
        <v>0</v>
      </c>
    </row>
    <row r="116" spans="2:18" x14ac:dyDescent="0.25">
      <c r="B116" s="478" t="s">
        <v>2470</v>
      </c>
      <c r="C116" s="479">
        <v>1</v>
      </c>
      <c r="D116" s="481">
        <v>2</v>
      </c>
      <c r="E116" s="482">
        <v>4062</v>
      </c>
      <c r="F116" s="483">
        <v>30629863571</v>
      </c>
      <c r="G116" s="333" t="str">
        <f>IFERROR(IF(compras_mes5[[#This Row],[CUIT]]="","-",VLOOKUP(compras_mes5[[#This Row],[CUIT]],Lista_CUIT[#All],2,0)),"CUIT NO CARGADO")</f>
        <v>TECNIMAR S R L</v>
      </c>
      <c r="H116" s="484">
        <v>1127768</v>
      </c>
      <c r="I116" s="328">
        <f>IF(compras_mes5[[#This Row],[NETO GRAVADO]]="","",compras_mes5[[#This Row],[NETO GRAVADO]]*0.21)</f>
        <v>236831.28</v>
      </c>
      <c r="J116" s="328"/>
      <c r="K116" s="328"/>
      <c r="L116" s="328"/>
      <c r="M116" s="328"/>
      <c r="N116" s="328"/>
      <c r="O116" s="328"/>
      <c r="P116" s="327">
        <f>SUM(compras_mes5[[#This Row],[NETO GRAVADO]:[Otros / No Grav.]])</f>
        <v>1364599.28</v>
      </c>
      <c r="Q116" s="329" t="str">
        <f>IFERROR(IF(compras_mes5[[#This Row],[CUIT]]="","-",VLOOKUP(compras_mes5[[#This Row],[CUIT]],Lista_CUIT[#All],3,0)),"CUIT NO CARGADO")</f>
        <v>Productos Venta</v>
      </c>
      <c r="R116" s="329">
        <f>IFERROR(IF(compras_mes5[[#This Row],[CUIT]]="","-",VLOOKUP(compras_mes5[[#This Row],[CUIT]],Lista_CUIT[#All],4,0)),"CUIT NO CARGADO")</f>
        <v>0</v>
      </c>
    </row>
    <row r="117" spans="2:18" x14ac:dyDescent="0.25">
      <c r="B117" s="478" t="s">
        <v>2471</v>
      </c>
      <c r="C117" s="479">
        <v>1</v>
      </c>
      <c r="D117" s="481">
        <v>2084</v>
      </c>
      <c r="E117" s="482">
        <v>29352</v>
      </c>
      <c r="F117" s="483">
        <v>30548083156</v>
      </c>
      <c r="G117" s="333" t="str">
        <f>IFERROR(IF(compras_mes5[[#This Row],[CUIT]]="","-",VLOOKUP(compras_mes5[[#This Row],[CUIT]],Lista_CUIT[#All],2,0)),"CUIT NO CARGADO")</f>
        <v>COTO CENTRO INTEGRAL DE COMERCIALIZACION SOCIEDAD ANONIMA</v>
      </c>
      <c r="H117" s="484">
        <v>84479.9</v>
      </c>
      <c r="I117" s="328">
        <v>7086.15</v>
      </c>
      <c r="J117" s="328"/>
      <c r="K117" s="328">
        <v>5327.32</v>
      </c>
      <c r="L117" s="328"/>
      <c r="M117" s="328"/>
      <c r="N117" s="328"/>
      <c r="O117" s="328">
        <v>3797.96</v>
      </c>
      <c r="P117" s="327">
        <f>SUM(compras_mes5[[#This Row],[NETO GRAVADO]:[Otros / No Grav.]])</f>
        <v>100691.33</v>
      </c>
      <c r="Q117" s="329" t="str">
        <f>IFERROR(IF(compras_mes5[[#This Row],[CUIT]]="","-",VLOOKUP(compras_mes5[[#This Row],[CUIT]],Lista_CUIT[#All],3,0)),"CUIT NO CARGADO")</f>
        <v>Gastos Varios</v>
      </c>
      <c r="R117" s="329">
        <f>IFERROR(IF(compras_mes5[[#This Row],[CUIT]]="","-",VLOOKUP(compras_mes5[[#This Row],[CUIT]],Lista_CUIT[#All],4,0)),"CUIT NO CARGADO")</f>
        <v>0</v>
      </c>
    </row>
    <row r="118" spans="2:18" x14ac:dyDescent="0.25">
      <c r="B118" s="478" t="s">
        <v>2472</v>
      </c>
      <c r="C118" s="479">
        <v>1</v>
      </c>
      <c r="D118" s="481">
        <v>4</v>
      </c>
      <c r="E118" s="482">
        <v>49827</v>
      </c>
      <c r="F118" s="483">
        <v>30709863076</v>
      </c>
      <c r="G118" s="333" t="str">
        <f>IFERROR(IF(compras_mes5[[#This Row],[CUIT]]="","-",VLOOKUP(compras_mes5[[#This Row],[CUIT]],Lista_CUIT[#All],2,0)),"CUIT NO CARGADO")</f>
        <v>INDUSTRIAS PLASTICOS SALTA S.R.L.</v>
      </c>
      <c r="H118" s="484">
        <v>230495.87</v>
      </c>
      <c r="I118" s="328">
        <f>IF(compras_mes5[[#This Row],[NETO GRAVADO]]="","",compras_mes5[[#This Row],[NETO GRAVADO]]*0.21)</f>
        <v>48404.132699999995</v>
      </c>
      <c r="J118" s="328"/>
      <c r="K118" s="328"/>
      <c r="L118" s="328"/>
      <c r="M118" s="328"/>
      <c r="N118" s="328"/>
      <c r="O118" s="328"/>
      <c r="P118" s="327">
        <f>SUM(compras_mes5[[#This Row],[NETO GRAVADO]:[Otros / No Grav.]])</f>
        <v>278900.00270000001</v>
      </c>
      <c r="Q118" s="329" t="str">
        <f>IFERROR(IF(compras_mes5[[#This Row],[CUIT]]="","-",VLOOKUP(compras_mes5[[#This Row],[CUIT]],Lista_CUIT[#All],3,0)),"CUIT NO CARGADO")</f>
        <v>Materia Prima</v>
      </c>
      <c r="R118" s="329">
        <f>IFERROR(IF(compras_mes5[[#This Row],[CUIT]]="","-",VLOOKUP(compras_mes5[[#This Row],[CUIT]],Lista_CUIT[#All],4,0)),"CUIT NO CARGADO")</f>
        <v>0</v>
      </c>
    </row>
    <row r="119" spans="2:18" x14ac:dyDescent="0.25">
      <c r="B119" s="478" t="s">
        <v>2472</v>
      </c>
      <c r="C119" s="479">
        <v>1</v>
      </c>
      <c r="D119" s="481">
        <v>29</v>
      </c>
      <c r="E119" s="482">
        <v>3819</v>
      </c>
      <c r="F119" s="483">
        <v>20297373812</v>
      </c>
      <c r="G119" s="333" t="str">
        <f>IFERROR(IF(compras_mes5[[#This Row],[CUIT]]="","-",VLOOKUP(compras_mes5[[#This Row],[CUIT]],Lista_CUIT[#All],2,0)),"CUIT NO CARGADO")</f>
        <v>GARCIA BESTREGUI JULIO RODRIGO</v>
      </c>
      <c r="H119" s="484">
        <v>270278.93</v>
      </c>
      <c r="I119" s="328">
        <f>IF(compras_mes5[[#This Row],[NETO GRAVADO]]="","",compras_mes5[[#This Row],[NETO GRAVADO]]*0.21)</f>
        <v>56758.575299999997</v>
      </c>
      <c r="J119" s="328"/>
      <c r="K119" s="328"/>
      <c r="L119" s="328"/>
      <c r="M119" s="328"/>
      <c r="N119" s="328"/>
      <c r="O119" s="328"/>
      <c r="P119" s="327">
        <f>SUM(compras_mes5[[#This Row],[NETO GRAVADO]:[Otros / No Grav.]])</f>
        <v>327037.50529999996</v>
      </c>
      <c r="Q119" s="329" t="str">
        <f>IFERROR(IF(compras_mes5[[#This Row],[CUIT]]="","-",VLOOKUP(compras_mes5[[#This Row],[CUIT]],Lista_CUIT[#All],3,0)),"CUIT NO CARGADO")</f>
        <v>Muebles y Utiles</v>
      </c>
      <c r="R119" s="329">
        <f>IFERROR(IF(compras_mes5[[#This Row],[CUIT]]="","-",VLOOKUP(compras_mes5[[#This Row],[CUIT]],Lista_CUIT[#All],4,0)),"CUIT NO CARGADO")</f>
        <v>0</v>
      </c>
    </row>
    <row r="120" spans="2:18" x14ac:dyDescent="0.25">
      <c r="B120" s="478" t="s">
        <v>2472</v>
      </c>
      <c r="C120" s="479">
        <v>1</v>
      </c>
      <c r="D120" s="481">
        <v>73</v>
      </c>
      <c r="E120" s="482">
        <v>311309</v>
      </c>
      <c r="F120" s="483">
        <v>30546741253</v>
      </c>
      <c r="G120" s="333" t="str">
        <f>IFERROR(IF(compras_mes5[[#This Row],[CUIT]]="","-",VLOOKUP(compras_mes5[[#This Row],[CUIT]],Lista_CUIT[#All],2,0)),"CUIT NO CARGADO")</f>
        <v>OSDE </v>
      </c>
      <c r="H120" s="484">
        <v>611833.49</v>
      </c>
      <c r="I120" s="85" t="s">
        <v>2411</v>
      </c>
      <c r="J120" s="328"/>
      <c r="K120" s="328">
        <f>compras_mes5[[#This Row],[NETO GRAVADO]]*0.105</f>
        <v>64242.516449999996</v>
      </c>
      <c r="L120" s="328"/>
      <c r="M120" s="328"/>
      <c r="N120" s="328">
        <v>36710.01</v>
      </c>
      <c r="O120" s="328"/>
      <c r="P120" s="327">
        <f>SUM(compras_mes5[[#This Row],[NETO GRAVADO]:[Otros / No Grav.]])</f>
        <v>712786.01645</v>
      </c>
      <c r="Q120" s="329" t="str">
        <f>IFERROR(IF(compras_mes5[[#This Row],[CUIT]]="","-",VLOOKUP(compras_mes5[[#This Row],[CUIT]],Lista_CUIT[#All],3,0)),"CUIT NO CARGADO")</f>
        <v>Prepaga corporativa</v>
      </c>
      <c r="R120" s="329">
        <f>IFERROR(IF(compras_mes5[[#This Row],[CUIT]]="","-",VLOOKUP(compras_mes5[[#This Row],[CUIT]],Lista_CUIT[#All],4,0)),"CUIT NO CARGADO")</f>
        <v>0</v>
      </c>
    </row>
    <row r="121" spans="2:18" x14ac:dyDescent="0.25">
      <c r="B121" s="478" t="s">
        <v>2472</v>
      </c>
      <c r="C121" s="479">
        <v>1</v>
      </c>
      <c r="D121" s="481">
        <v>2</v>
      </c>
      <c r="E121" s="482">
        <v>4065</v>
      </c>
      <c r="F121" s="483">
        <v>30629863571</v>
      </c>
      <c r="G121" s="333" t="str">
        <f>IFERROR(IF(compras_mes5[[#This Row],[CUIT]]="","-",VLOOKUP(compras_mes5[[#This Row],[CUIT]],Lista_CUIT[#All],2,0)),"CUIT NO CARGADO")</f>
        <v>TECNIMAR S R L</v>
      </c>
      <c r="H121" s="484">
        <v>2835766</v>
      </c>
      <c r="I121" s="328">
        <f>IF(compras_mes5[[#This Row],[NETO GRAVADO]]="","",compras_mes5[[#This Row],[NETO GRAVADO]]*0.21)</f>
        <v>595510.86</v>
      </c>
      <c r="J121" s="328"/>
      <c r="K121" s="328"/>
      <c r="L121" s="328"/>
      <c r="M121" s="328"/>
      <c r="N121" s="328"/>
      <c r="O121" s="328"/>
      <c r="P121" s="327">
        <f>SUM(compras_mes5[[#This Row],[NETO GRAVADO]:[Otros / No Grav.]])</f>
        <v>3431276.86</v>
      </c>
      <c r="Q121" s="329" t="str">
        <f>IFERROR(IF(compras_mes5[[#This Row],[CUIT]]="","-",VLOOKUP(compras_mes5[[#This Row],[CUIT]],Lista_CUIT[#All],3,0)),"CUIT NO CARGADO")</f>
        <v>Productos Venta</v>
      </c>
      <c r="R121" s="329">
        <f>IFERROR(IF(compras_mes5[[#This Row],[CUIT]]="","-",VLOOKUP(compras_mes5[[#This Row],[CUIT]],Lista_CUIT[#All],4,0)),"CUIT NO CARGADO")</f>
        <v>0</v>
      </c>
    </row>
    <row r="122" spans="2:18" x14ac:dyDescent="0.25">
      <c r="B122" s="478" t="s">
        <v>2472</v>
      </c>
      <c r="C122" s="479">
        <v>1</v>
      </c>
      <c r="D122" s="481">
        <v>2</v>
      </c>
      <c r="E122" s="482">
        <v>4063</v>
      </c>
      <c r="F122" s="483">
        <v>30629863571</v>
      </c>
      <c r="G122" s="333" t="str">
        <f>IFERROR(IF(compras_mes5[[#This Row],[CUIT]]="","-",VLOOKUP(compras_mes5[[#This Row],[CUIT]],Lista_CUIT[#All],2,0)),"CUIT NO CARGADO")</f>
        <v>TECNIMAR S R L</v>
      </c>
      <c r="H122" s="484">
        <v>4357840</v>
      </c>
      <c r="I122" s="328">
        <f>IF(compras_mes5[[#This Row],[NETO GRAVADO]]="","",compras_mes5[[#This Row],[NETO GRAVADO]]*0.21)</f>
        <v>915146.4</v>
      </c>
      <c r="J122" s="328"/>
      <c r="K122" s="328"/>
      <c r="L122" s="328"/>
      <c r="M122" s="328"/>
      <c r="N122" s="328"/>
      <c r="O122" s="328"/>
      <c r="P122" s="327">
        <f>SUM(compras_mes5[[#This Row],[NETO GRAVADO]:[Otros / No Grav.]])</f>
        <v>5272986.4000000004</v>
      </c>
      <c r="Q122" s="329" t="str">
        <f>IFERROR(IF(compras_mes5[[#This Row],[CUIT]]="","-",VLOOKUP(compras_mes5[[#This Row],[CUIT]],Lista_CUIT[#All],3,0)),"CUIT NO CARGADO")</f>
        <v>Productos Venta</v>
      </c>
      <c r="R122" s="329">
        <f>IFERROR(IF(compras_mes5[[#This Row],[CUIT]]="","-",VLOOKUP(compras_mes5[[#This Row],[CUIT]],Lista_CUIT[#All],4,0)),"CUIT NO CARGADO")</f>
        <v>0</v>
      </c>
    </row>
    <row r="123" spans="2:18" x14ac:dyDescent="0.25">
      <c r="B123" s="478" t="s">
        <v>2473</v>
      </c>
      <c r="C123" s="479">
        <v>1</v>
      </c>
      <c r="D123" s="481">
        <v>4</v>
      </c>
      <c r="E123" s="482">
        <v>2812</v>
      </c>
      <c r="F123" s="483">
        <v>30715946250</v>
      </c>
      <c r="G123" s="333" t="str">
        <f>IFERROR(IF(compras_mes5[[#This Row],[CUIT]]="","-",VLOOKUP(compras_mes5[[#This Row],[CUIT]],Lista_CUIT[#All],2,0)),"CUIT NO CARGADO")</f>
        <v>GLOBAL AESTHETICS PRODUCTS AND SERVICES SRL</v>
      </c>
      <c r="H123" s="484">
        <v>6804480</v>
      </c>
      <c r="I123" s="328">
        <f>IF(compras_mes5[[#This Row],[NETO GRAVADO]]="","",compras_mes5[[#This Row],[NETO GRAVADO]]*0.21)</f>
        <v>1428940.8</v>
      </c>
      <c r="J123" s="328"/>
      <c r="K123" s="328"/>
      <c r="L123" s="328"/>
      <c r="M123" s="328"/>
      <c r="N123" s="328"/>
      <c r="O123" s="328"/>
      <c r="P123" s="327">
        <f>SUM(compras_mes5[[#This Row],[NETO GRAVADO]:[Otros / No Grav.]])</f>
        <v>8233420.7999999998</v>
      </c>
      <c r="Q123" s="329" t="str">
        <f>IFERROR(IF(compras_mes5[[#This Row],[CUIT]]="","-",VLOOKUP(compras_mes5[[#This Row],[CUIT]],Lista_CUIT[#All],3,0)),"CUIT NO CARGADO")</f>
        <v>Productos Venta</v>
      </c>
      <c r="R123" s="329">
        <f>IFERROR(IF(compras_mes5[[#This Row],[CUIT]]="","-",VLOOKUP(compras_mes5[[#This Row],[CUIT]],Lista_CUIT[#All],4,0)),"CUIT NO CARGADO")</f>
        <v>0</v>
      </c>
    </row>
    <row r="124" spans="2:18" x14ac:dyDescent="0.25">
      <c r="B124" s="478" t="s">
        <v>2473</v>
      </c>
      <c r="C124" s="479">
        <v>1</v>
      </c>
      <c r="D124" s="481">
        <v>3</v>
      </c>
      <c r="E124" s="482">
        <v>3277</v>
      </c>
      <c r="F124" s="483">
        <v>30715434276</v>
      </c>
      <c r="G124" s="333" t="str">
        <f>IFERROR(IF(compras_mes5[[#This Row],[CUIT]]="","-",VLOOKUP(compras_mes5[[#This Row],[CUIT]],Lista_CUIT[#All],2,0)),"CUIT NO CARGADO")</f>
        <v>BRUAYAFA S.A.</v>
      </c>
      <c r="H124" s="484">
        <v>1237500</v>
      </c>
      <c r="I124" s="328">
        <f>IF(compras_mes5[[#This Row],[NETO GRAVADO]]="","",compras_mes5[[#This Row],[NETO GRAVADO]]*0.21)</f>
        <v>259875</v>
      </c>
      <c r="J124" s="328"/>
      <c r="K124" s="328"/>
      <c r="L124" s="328"/>
      <c r="M124" s="328"/>
      <c r="N124" s="328"/>
      <c r="O124" s="328"/>
      <c r="P124" s="327">
        <f>SUM(compras_mes5[[#This Row],[NETO GRAVADO]:[Otros / No Grav.]])</f>
        <v>1497375</v>
      </c>
      <c r="Q124" s="329" t="str">
        <f>IFERROR(IF(compras_mes5[[#This Row],[CUIT]]="","-",VLOOKUP(compras_mes5[[#This Row],[CUIT]],Lista_CUIT[#All],3,0)),"CUIT NO CARGADO")</f>
        <v>Material de Empaque</v>
      </c>
      <c r="R124" s="329">
        <f>IFERROR(IF(compras_mes5[[#This Row],[CUIT]]="","-",VLOOKUP(compras_mes5[[#This Row],[CUIT]],Lista_CUIT[#All],4,0)),"CUIT NO CARGADO")</f>
        <v>0</v>
      </c>
    </row>
    <row r="125" spans="2:18" x14ac:dyDescent="0.25">
      <c r="B125" s="478" t="s">
        <v>2473</v>
      </c>
      <c r="C125" s="479">
        <v>1</v>
      </c>
      <c r="D125" s="481">
        <v>2188</v>
      </c>
      <c r="E125" s="482">
        <v>149397</v>
      </c>
      <c r="F125" s="483">
        <v>30548083156</v>
      </c>
      <c r="G125" s="333" t="str">
        <f>IFERROR(IF(compras_mes5[[#This Row],[CUIT]]="","-",VLOOKUP(compras_mes5[[#This Row],[CUIT]],Lista_CUIT[#All],2,0)),"CUIT NO CARGADO")</f>
        <v>COTO CENTRO INTEGRAL DE COMERCIALIZACION SOCIEDAD ANONIMA</v>
      </c>
      <c r="H125" s="484">
        <v>80237.84</v>
      </c>
      <c r="I125" s="328">
        <v>13288.72</v>
      </c>
      <c r="J125" s="328"/>
      <c r="K125" s="328">
        <v>1780.61</v>
      </c>
      <c r="L125" s="328"/>
      <c r="M125" s="328"/>
      <c r="N125" s="328"/>
      <c r="O125" s="328">
        <v>6820.86</v>
      </c>
      <c r="P125" s="327">
        <f>SUM(compras_mes5[[#This Row],[NETO GRAVADO]:[Otros / No Grav.]])</f>
        <v>102128.03</v>
      </c>
      <c r="Q125" s="329" t="str">
        <f>IFERROR(IF(compras_mes5[[#This Row],[CUIT]]="","-",VLOOKUP(compras_mes5[[#This Row],[CUIT]],Lista_CUIT[#All],3,0)),"CUIT NO CARGADO")</f>
        <v>Gastos Varios</v>
      </c>
      <c r="R125" s="329">
        <f>IFERROR(IF(compras_mes5[[#This Row],[CUIT]]="","-",VLOOKUP(compras_mes5[[#This Row],[CUIT]],Lista_CUIT[#All],4,0)),"CUIT NO CARGADO")</f>
        <v>0</v>
      </c>
    </row>
    <row r="126" spans="2:18" x14ac:dyDescent="0.25">
      <c r="B126" s="478" t="s">
        <v>2473</v>
      </c>
      <c r="C126" s="479">
        <v>1</v>
      </c>
      <c r="D126" s="481">
        <v>2</v>
      </c>
      <c r="E126" s="482">
        <v>2396</v>
      </c>
      <c r="F126" s="483">
        <v>20184094526</v>
      </c>
      <c r="G126" s="333" t="str">
        <f>IFERROR(IF(compras_mes5[[#This Row],[CUIT]]="","-",VLOOKUP(compras_mes5[[#This Row],[CUIT]],Lista_CUIT[#All],2,0)),"CUIT NO CARGADO")</f>
        <v>Di Blasio Carlos</v>
      </c>
      <c r="H126" s="484">
        <v>125400</v>
      </c>
      <c r="I126" s="328">
        <f>IF(compras_mes5[[#This Row],[NETO GRAVADO]]="","",compras_mes5[[#This Row],[NETO GRAVADO]]*0.21)</f>
        <v>26334</v>
      </c>
      <c r="J126" s="328"/>
      <c r="K126" s="328"/>
      <c r="L126" s="328"/>
      <c r="M126" s="328"/>
      <c r="N126" s="328"/>
      <c r="O126" s="328"/>
      <c r="P126" s="327">
        <f>SUM(compras_mes5[[#This Row],[NETO GRAVADO]:[Otros / No Grav.]])</f>
        <v>151734</v>
      </c>
      <c r="Q126" s="329" t="str">
        <f>IFERROR(IF(compras_mes5[[#This Row],[CUIT]]="","-",VLOOKUP(compras_mes5[[#This Row],[CUIT]],Lista_CUIT[#All],3,0)),"CUIT NO CARGADO")</f>
        <v>Gastos Varios</v>
      </c>
      <c r="R126" s="329">
        <f>IFERROR(IF(compras_mes5[[#This Row],[CUIT]]="","-",VLOOKUP(compras_mes5[[#This Row],[CUIT]],Lista_CUIT[#All],4,0)),"CUIT NO CARGADO")</f>
        <v>0</v>
      </c>
    </row>
    <row r="127" spans="2:18" x14ac:dyDescent="0.25">
      <c r="B127" s="478" t="s">
        <v>2474</v>
      </c>
      <c r="C127" s="479">
        <v>1</v>
      </c>
      <c r="D127" s="481">
        <v>6</v>
      </c>
      <c r="E127" s="482">
        <v>26907</v>
      </c>
      <c r="F127" s="483">
        <v>33640878679</v>
      </c>
      <c r="G127" s="333" t="str">
        <f>IFERROR(IF(compras_mes5[[#This Row],[CUIT]]="","-",VLOOKUP(compras_mes5[[#This Row],[CUIT]],Lista_CUIT[#All],2,0)),"CUIT NO CARGADO")</f>
        <v>DHACAM S R L</v>
      </c>
      <c r="H127" s="484">
        <v>1143480</v>
      </c>
      <c r="I127" s="328">
        <f>IF(compras_mes5[[#This Row],[NETO GRAVADO]]="","",compras_mes5[[#This Row],[NETO GRAVADO]]*0.21)</f>
        <v>240130.8</v>
      </c>
      <c r="J127" s="328"/>
      <c r="K127" s="328"/>
      <c r="L127" s="328"/>
      <c r="M127" s="328"/>
      <c r="N127" s="328"/>
      <c r="O127" s="328"/>
      <c r="P127" s="327">
        <f>SUM(compras_mes5[[#This Row],[NETO GRAVADO]:[Otros / No Grav.]])</f>
        <v>1383610.8</v>
      </c>
      <c r="Q127" s="329" t="str">
        <f>IFERROR(IF(compras_mes5[[#This Row],[CUIT]]="","-",VLOOKUP(compras_mes5[[#This Row],[CUIT]],Lista_CUIT[#All],3,0)),"CUIT NO CARGADO")</f>
        <v>Materia Prima</v>
      </c>
      <c r="R127" s="329">
        <f>IFERROR(IF(compras_mes5[[#This Row],[CUIT]]="","-",VLOOKUP(compras_mes5[[#This Row],[CUIT]],Lista_CUIT[#All],4,0)),"CUIT NO CARGADO")</f>
        <v>0</v>
      </c>
    </row>
    <row r="128" spans="2:18" x14ac:dyDescent="0.25">
      <c r="B128" s="478" t="s">
        <v>2474</v>
      </c>
      <c r="C128" s="479">
        <v>1</v>
      </c>
      <c r="D128" s="481">
        <v>6</v>
      </c>
      <c r="E128" s="482">
        <v>3544</v>
      </c>
      <c r="F128" s="483">
        <v>30574603788</v>
      </c>
      <c r="G128" s="333" t="str">
        <f>IFERROR(IF(compras_mes5[[#This Row],[CUIT]]="","-",VLOOKUP(compras_mes5[[#This Row],[CUIT]],Lista_CUIT[#All],2,0)),"CUIT NO CARGADO")</f>
        <v>CODAC SRL</v>
      </c>
      <c r="H128" s="484">
        <v>10900946</v>
      </c>
      <c r="I128" s="328">
        <f>IF(compras_mes5[[#This Row],[NETO GRAVADO]]="","",compras_mes5[[#This Row],[NETO GRAVADO]]*0.21)</f>
        <v>2289198.6599999997</v>
      </c>
      <c r="J128" s="328"/>
      <c r="K128" s="328"/>
      <c r="L128" s="328"/>
      <c r="M128" s="328"/>
      <c r="N128" s="328"/>
      <c r="O128" s="328"/>
      <c r="P128" s="327">
        <f>SUM(compras_mes5[[#This Row],[NETO GRAVADO]:[Otros / No Grav.]])</f>
        <v>13190144.66</v>
      </c>
      <c r="Q128" s="329" t="str">
        <f>IFERROR(IF(compras_mes5[[#This Row],[CUIT]]="","-",VLOOKUP(compras_mes5[[#This Row],[CUIT]],Lista_CUIT[#All],3,0)),"CUIT NO CARGADO")</f>
        <v>Productos Venta</v>
      </c>
      <c r="R128" s="329" t="str">
        <f>IFERROR(IF(compras_mes5[[#This Row],[CUIT]]="","-",VLOOKUP(compras_mes5[[#This Row],[CUIT]],Lista_CUIT[#All],4,0)),"CUIT NO CARGADO")</f>
        <v>BUENOS AIRES</v>
      </c>
    </row>
    <row r="129" spans="2:18" s="56" customFormat="1" ht="18.600000000000001" customHeight="1" x14ac:dyDescent="0.2">
      <c r="B129" s="478" t="s">
        <v>2474</v>
      </c>
      <c r="C129" s="479">
        <v>1</v>
      </c>
      <c r="D129" s="481">
        <v>4</v>
      </c>
      <c r="E129" s="482">
        <v>11138</v>
      </c>
      <c r="F129" s="483">
        <v>30694547903</v>
      </c>
      <c r="G129" s="333" t="str">
        <f>IFERROR(IF(compras_mes5[[#This Row],[CUIT]]="","-",VLOOKUP(compras_mes5[[#This Row],[CUIT]],Lista_CUIT[#All],2,0)),"CUIT NO CARGADO")</f>
        <v>MULTICAJAS S A</v>
      </c>
      <c r="H129" s="484">
        <v>192150</v>
      </c>
      <c r="I129" s="328">
        <f>IF(compras_mes5[[#This Row],[NETO GRAVADO]]="","",compras_mes5[[#This Row],[NETO GRAVADO]]*0.21)</f>
        <v>40351.5</v>
      </c>
      <c r="J129" s="328"/>
      <c r="K129" s="328"/>
      <c r="L129" s="328"/>
      <c r="M129" s="328"/>
      <c r="N129" s="328"/>
      <c r="O129" s="328"/>
      <c r="P129" s="327">
        <f>SUM(compras_mes5[[#This Row],[NETO GRAVADO]:[Otros / No Grav.]])</f>
        <v>232501.5</v>
      </c>
      <c r="Q129" s="329" t="str">
        <f>IFERROR(IF(compras_mes5[[#This Row],[CUIT]]="","-",VLOOKUP(compras_mes5[[#This Row],[CUIT]],Lista_CUIT[#All],3,0)),"CUIT NO CARGADO")</f>
        <v>LIBRERÍA</v>
      </c>
      <c r="R129" s="329">
        <f>IFERROR(IF(compras_mes5[[#This Row],[CUIT]]="","-",VLOOKUP(compras_mes5[[#This Row],[CUIT]],Lista_CUIT[#All],4,0)),"CUIT NO CARGADO")</f>
        <v>0</v>
      </c>
    </row>
    <row r="130" spans="2:18" s="56" customFormat="1" ht="18.600000000000001" customHeight="1" x14ac:dyDescent="0.2">
      <c r="B130" s="478" t="s">
        <v>2474</v>
      </c>
      <c r="C130" s="479">
        <v>1</v>
      </c>
      <c r="D130" s="481">
        <v>2</v>
      </c>
      <c r="E130" s="482">
        <v>4066</v>
      </c>
      <c r="F130" s="483">
        <v>30629863571</v>
      </c>
      <c r="G130" s="333" t="str">
        <f>IFERROR(IF(compras_mes5[[#This Row],[CUIT]]="","-",VLOOKUP(compras_mes5[[#This Row],[CUIT]],Lista_CUIT[#All],2,0)),"CUIT NO CARGADO")</f>
        <v>TECNIMAR S R L</v>
      </c>
      <c r="H130" s="484">
        <v>4690632</v>
      </c>
      <c r="I130" s="328">
        <f>IF(compras_mes5[[#This Row],[NETO GRAVADO]]="","",compras_mes5[[#This Row],[NETO GRAVADO]]*0.21)</f>
        <v>985032.72</v>
      </c>
      <c r="J130" s="328"/>
      <c r="K130" s="328"/>
      <c r="L130" s="328"/>
      <c r="M130" s="328"/>
      <c r="N130" s="328"/>
      <c r="O130" s="328"/>
      <c r="P130" s="327">
        <f>SUM(compras_mes5[[#This Row],[NETO GRAVADO]:[Otros / No Grav.]])</f>
        <v>5675664.7199999997</v>
      </c>
      <c r="Q130" s="329" t="str">
        <f>IFERROR(IF(compras_mes5[[#This Row],[CUIT]]="","-",VLOOKUP(compras_mes5[[#This Row],[CUIT]],Lista_CUIT[#All],3,0)),"CUIT NO CARGADO")</f>
        <v>Productos Venta</v>
      </c>
      <c r="R130" s="329">
        <f>IFERROR(IF(compras_mes5[[#This Row],[CUIT]]="","-",VLOOKUP(compras_mes5[[#This Row],[CUIT]],Lista_CUIT[#All],4,0)),"CUIT NO CARGADO")</f>
        <v>0</v>
      </c>
    </row>
    <row r="131" spans="2:18" s="56" customFormat="1" ht="18.600000000000001" customHeight="1" x14ac:dyDescent="0.2">
      <c r="B131" s="478" t="s">
        <v>2475</v>
      </c>
      <c r="C131" s="479">
        <v>1</v>
      </c>
      <c r="D131" s="481">
        <v>3</v>
      </c>
      <c r="E131" s="482">
        <v>8222</v>
      </c>
      <c r="F131" s="483">
        <v>30710117582</v>
      </c>
      <c r="G131" s="333" t="str">
        <f>IFERROR(IF(compras_mes5[[#This Row],[CUIT]]="","-",VLOOKUP(compras_mes5[[#This Row],[CUIT]],Lista_CUIT[#All],2,0)),"CUIT NO CARGADO")</f>
        <v>F L TRAVEL SRL</v>
      </c>
      <c r="H131" s="484">
        <v>117500</v>
      </c>
      <c r="I131" s="328">
        <f>IF(compras_mes5[[#This Row],[NETO GRAVADO]]="","",compras_mes5[[#This Row],[NETO GRAVADO]]*0.21)</f>
        <v>24675</v>
      </c>
      <c r="J131" s="328"/>
      <c r="K131" s="328"/>
      <c r="L131" s="328"/>
      <c r="M131" s="328"/>
      <c r="N131" s="328"/>
      <c r="O131" s="328">
        <v>9439950</v>
      </c>
      <c r="P131" s="327">
        <f>SUM(compras_mes5[[#This Row],[NETO GRAVADO]:[Otros / No Grav.]])</f>
        <v>9582125</v>
      </c>
      <c r="Q131" s="329" t="str">
        <f>IFERROR(IF(compras_mes5[[#This Row],[CUIT]]="","-",VLOOKUP(compras_mes5[[#This Row],[CUIT]],Lista_CUIT[#All],3,0)),"CUIT NO CARGADO")</f>
        <v>Gastos comercializacion - Viaje</v>
      </c>
      <c r="R131" s="329">
        <f>IFERROR(IF(compras_mes5[[#This Row],[CUIT]]="","-",VLOOKUP(compras_mes5[[#This Row],[CUIT]],Lista_CUIT[#All],4,0)),"CUIT NO CARGADO")</f>
        <v>0</v>
      </c>
    </row>
    <row r="132" spans="2:18" s="56" customFormat="1" ht="18.600000000000001" customHeight="1" x14ac:dyDescent="0.2">
      <c r="B132" s="478" t="s">
        <v>2475</v>
      </c>
      <c r="C132" s="479">
        <v>1</v>
      </c>
      <c r="D132" s="481">
        <v>10</v>
      </c>
      <c r="E132" s="482">
        <v>50036</v>
      </c>
      <c r="F132" s="483">
        <v>20357275882</v>
      </c>
      <c r="G132" s="333" t="str">
        <f>IFERROR(IF(compras_mes5[[#This Row],[CUIT]]="","-",VLOOKUP(compras_mes5[[#This Row],[CUIT]],Lista_CUIT[#All],2,0)),"CUIT NO CARGADO")</f>
        <v>ANTEDORO JEREMIAS FABIAN</v>
      </c>
      <c r="H132" s="484">
        <v>31895.87</v>
      </c>
      <c r="I132" s="328">
        <f>IF(compras_mes5[[#This Row],[NETO GRAVADO]]="","",compras_mes5[[#This Row],[NETO GRAVADO]]*0.21)</f>
        <v>6698.1326999999992</v>
      </c>
      <c r="J132" s="328"/>
      <c r="K132" s="328"/>
      <c r="L132" s="328"/>
      <c r="M132" s="328"/>
      <c r="N132" s="328"/>
      <c r="O132" s="328"/>
      <c r="P132" s="327">
        <f>SUM(compras_mes5[[#This Row],[NETO GRAVADO]:[Otros / No Grav.]])</f>
        <v>38594.002699999997</v>
      </c>
      <c r="Q132" s="329" t="str">
        <f>IFERROR(IF(compras_mes5[[#This Row],[CUIT]]="","-",VLOOKUP(compras_mes5[[#This Row],[CUIT]],Lista_CUIT[#All],3,0)),"CUIT NO CARGADO")</f>
        <v>Gastos Limpieza</v>
      </c>
      <c r="R132" s="329">
        <f>IFERROR(IF(compras_mes5[[#This Row],[CUIT]]="","-",VLOOKUP(compras_mes5[[#This Row],[CUIT]],Lista_CUIT[#All],4,0)),"CUIT NO CARGADO")</f>
        <v>0</v>
      </c>
    </row>
    <row r="133" spans="2:18" s="56" customFormat="1" ht="18.600000000000001" customHeight="1" x14ac:dyDescent="0.25">
      <c r="B133" s="303" t="s">
        <v>2475</v>
      </c>
      <c r="C133" s="479">
        <v>1</v>
      </c>
      <c r="D133" s="304">
        <v>14</v>
      </c>
      <c r="E133" s="305">
        <v>17410</v>
      </c>
      <c r="F133" s="306">
        <v>30715186256</v>
      </c>
      <c r="G133" s="307" t="str">
        <f>IFERROR(IF(compras_mes5[[#This Row],[CUIT]]="","-",VLOOKUP(compras_mes5[[#This Row],[CUIT]],Lista_CUIT[#All],2,0)),"CUIT NO CARGADO")</f>
        <v>FRIGORIFICO ALIMENTIC</v>
      </c>
      <c r="H133" s="308">
        <v>79291.490000000005</v>
      </c>
      <c r="I133" s="328">
        <v>3026.78</v>
      </c>
      <c r="J133" s="309"/>
      <c r="K133" s="309">
        <v>6812.22</v>
      </c>
      <c r="L133" s="309"/>
      <c r="M133" s="309"/>
      <c r="N133" s="309"/>
      <c r="O133" s="309"/>
      <c r="P133" s="312">
        <f>SUM(compras_mes5[[#This Row],[NETO GRAVADO]:[Otros / No Grav.]])</f>
        <v>89130.49</v>
      </c>
      <c r="Q133" s="310" t="str">
        <f>IFERROR(IF(compras_mes5[[#This Row],[CUIT]]="","-",VLOOKUP(compras_mes5[[#This Row],[CUIT]],Lista_CUIT[#All],3,0)),"CUIT NO CARGADO")</f>
        <v>Gastos Comercializacion - Feria</v>
      </c>
      <c r="R133" s="310">
        <f>IFERROR(IF(compras_mes5[[#This Row],[CUIT]]="","-",VLOOKUP(compras_mes5[[#This Row],[CUIT]],Lista_CUIT[#All],4,0)),"CUIT NO CARGADO")</f>
        <v>0</v>
      </c>
    </row>
    <row r="134" spans="2:18" s="56" customFormat="1" ht="18.600000000000001" customHeight="1" x14ac:dyDescent="0.2">
      <c r="B134" s="478" t="s">
        <v>2475</v>
      </c>
      <c r="C134" s="479">
        <v>1</v>
      </c>
      <c r="D134" s="481">
        <v>7</v>
      </c>
      <c r="E134" s="482">
        <v>31848</v>
      </c>
      <c r="F134" s="483">
        <v>30710819552</v>
      </c>
      <c r="G134" s="333" t="str">
        <f>IFERROR(IF(compras_mes5[[#This Row],[CUIT]]="","-",VLOOKUP(compras_mes5[[#This Row],[CUIT]],Lista_CUIT[#All],2,0)),"CUIT NO CARGADO")</f>
        <v>EL CACIQUE Gastos Limpieza SRL</v>
      </c>
      <c r="H134" s="484">
        <v>446528.27</v>
      </c>
      <c r="I134" s="328">
        <f>IF(compras_mes5[[#This Row],[NETO GRAVADO]]="","",compras_mes5[[#This Row],[NETO GRAVADO]]*0.21)</f>
        <v>93770.936700000006</v>
      </c>
      <c r="J134" s="328"/>
      <c r="K134" s="328"/>
      <c r="L134" s="328"/>
      <c r="M134" s="328"/>
      <c r="N134" s="328"/>
      <c r="O134" s="328"/>
      <c r="P134" s="327">
        <f>SUM(compras_mes5[[#This Row],[NETO GRAVADO]:[Otros / No Grav.]])</f>
        <v>540299.20669999998</v>
      </c>
      <c r="Q134" s="329" t="str">
        <f>IFERROR(IF(compras_mes5[[#This Row],[CUIT]]="","-",VLOOKUP(compras_mes5[[#This Row],[CUIT]],Lista_CUIT[#All],3,0)),"CUIT NO CARGADO")</f>
        <v>Gastos Limpieza</v>
      </c>
      <c r="R134" s="329">
        <f>IFERROR(IF(compras_mes5[[#This Row],[CUIT]]="","-",VLOOKUP(compras_mes5[[#This Row],[CUIT]],Lista_CUIT[#All],4,0)),"CUIT NO CARGADO")</f>
        <v>0</v>
      </c>
    </row>
    <row r="135" spans="2:18" s="56" customFormat="1" ht="18.600000000000001" customHeight="1" x14ac:dyDescent="0.2">
      <c r="B135" s="478" t="s">
        <v>2475</v>
      </c>
      <c r="C135" s="479">
        <v>1</v>
      </c>
      <c r="D135" s="481">
        <v>1</v>
      </c>
      <c r="E135" s="482">
        <v>2312</v>
      </c>
      <c r="F135" s="483">
        <v>30718465636</v>
      </c>
      <c r="G135" s="333" t="str">
        <f>IFERROR(IF(compras_mes5[[#This Row],[CUIT]]="","-",VLOOKUP(compras_mes5[[#This Row],[CUIT]],Lista_CUIT[#All],2,0)),"CUIT NO CARGADO")</f>
        <v>MAQUINARIAS BOEDO SRL</v>
      </c>
      <c r="H135" s="484">
        <v>3476.03</v>
      </c>
      <c r="I135" s="328">
        <f>IF(compras_mes5[[#This Row],[NETO GRAVADO]]="","",compras_mes5[[#This Row],[NETO GRAVADO]]*0.21)</f>
        <v>729.96630000000005</v>
      </c>
      <c r="J135" s="328"/>
      <c r="K135" s="328"/>
      <c r="L135" s="328"/>
      <c r="M135" s="328"/>
      <c r="N135" s="328"/>
      <c r="O135" s="328"/>
      <c r="P135" s="327">
        <f>SUM(compras_mes5[[#This Row],[NETO GRAVADO]:[Otros / No Grav.]])</f>
        <v>4205.9963000000007</v>
      </c>
      <c r="Q135" s="329" t="str">
        <f>IFERROR(IF(compras_mes5[[#This Row],[CUIT]]="","-",VLOOKUP(compras_mes5[[#This Row],[CUIT]],Lista_CUIT[#All],3,0)),"CUIT NO CARGADO")</f>
        <v>Muebles y Utiles</v>
      </c>
      <c r="R135" s="329">
        <f>IFERROR(IF(compras_mes5[[#This Row],[CUIT]]="","-",VLOOKUP(compras_mes5[[#This Row],[CUIT]],Lista_CUIT[#All],4,0)),"CUIT NO CARGADO")</f>
        <v>0</v>
      </c>
    </row>
    <row r="136" spans="2:18" s="56" customFormat="1" ht="18.600000000000001" customHeight="1" x14ac:dyDescent="0.2">
      <c r="B136" s="478" t="s">
        <v>2475</v>
      </c>
      <c r="C136" s="479">
        <v>1</v>
      </c>
      <c r="D136" s="481">
        <v>79</v>
      </c>
      <c r="E136" s="482">
        <v>274259</v>
      </c>
      <c r="F136" s="483">
        <v>30703088534</v>
      </c>
      <c r="G136" s="333" t="str">
        <f>IFERROR(IF(compras_mes5[[#This Row],[CUIT]]="","-",VLOOKUP(compras_mes5[[#This Row],[CUIT]],Lista_CUIT[#All],2,0)),"CUIT NO CARGADO")</f>
        <v>MERCADO LIBRE SRL</v>
      </c>
      <c r="H136" s="484">
        <v>1590065.79</v>
      </c>
      <c r="I136" s="328">
        <f>IF(compras_mes5[[#This Row],[NETO GRAVADO]]="","",compras_mes5[[#This Row],[NETO GRAVADO]]*0.21)</f>
        <v>333913.81589999999</v>
      </c>
      <c r="J136" s="328"/>
      <c r="K136" s="328"/>
      <c r="L136" s="328"/>
      <c r="M136" s="328"/>
      <c r="N136" s="328"/>
      <c r="O136" s="328">
        <v>159006.60999999999</v>
      </c>
      <c r="P136" s="327">
        <f>SUM(compras_mes5[[#This Row],[NETO GRAVADO]:[Otros / No Grav.]])</f>
        <v>2082986.2159000002</v>
      </c>
      <c r="Q136" s="329" t="str">
        <f>IFERROR(IF(compras_mes5[[#This Row],[CUIT]]="","-",VLOOKUP(compras_mes5[[#This Row],[CUIT]],Lista_CUIT[#All],3,0)),"CUIT NO CARGADO")</f>
        <v>Gastos Varios</v>
      </c>
      <c r="R136" s="329" t="str">
        <f>IFERROR(IF(compras_mes5[[#This Row],[CUIT]]="","-",VLOOKUP(compras_mes5[[#This Row],[CUIT]],Lista_CUIT[#All],4,0)),"CUIT NO CARGADO")</f>
        <v>CABA</v>
      </c>
    </row>
    <row r="137" spans="2:18" s="56" customFormat="1" ht="18.600000000000001" customHeight="1" x14ac:dyDescent="0.2">
      <c r="B137" s="478" t="s">
        <v>2475</v>
      </c>
      <c r="C137" s="479">
        <v>1</v>
      </c>
      <c r="D137" s="481">
        <v>2</v>
      </c>
      <c r="E137" s="482">
        <v>4070</v>
      </c>
      <c r="F137" s="483">
        <v>30629863571</v>
      </c>
      <c r="G137" s="333" t="str">
        <f>IFERROR(IF(compras_mes5[[#This Row],[CUIT]]="","-",VLOOKUP(compras_mes5[[#This Row],[CUIT]],Lista_CUIT[#All],2,0)),"CUIT NO CARGADO")</f>
        <v>TECNIMAR S R L</v>
      </c>
      <c r="H137" s="484">
        <v>483280</v>
      </c>
      <c r="I137" s="328">
        <f>IF(compras_mes5[[#This Row],[NETO GRAVADO]]="","",compras_mes5[[#This Row],[NETO GRAVADO]]*0.21)</f>
        <v>101488.8</v>
      </c>
      <c r="J137" s="328"/>
      <c r="K137" s="328"/>
      <c r="L137" s="328"/>
      <c r="M137" s="328"/>
      <c r="N137" s="328"/>
      <c r="O137" s="328"/>
      <c r="P137" s="327">
        <f>SUM(compras_mes5[[#This Row],[NETO GRAVADO]:[Otros / No Grav.]])</f>
        <v>584768.80000000005</v>
      </c>
      <c r="Q137" s="329" t="str">
        <f>IFERROR(IF(compras_mes5[[#This Row],[CUIT]]="","-",VLOOKUP(compras_mes5[[#This Row],[CUIT]],Lista_CUIT[#All],3,0)),"CUIT NO CARGADO")</f>
        <v>Productos Venta</v>
      </c>
      <c r="R137" s="329">
        <f>IFERROR(IF(compras_mes5[[#This Row],[CUIT]]="","-",VLOOKUP(compras_mes5[[#This Row],[CUIT]],Lista_CUIT[#All],4,0)),"CUIT NO CARGADO")</f>
        <v>0</v>
      </c>
    </row>
    <row r="138" spans="2:18" s="56" customFormat="1" ht="18.600000000000001" customHeight="1" x14ac:dyDescent="0.2">
      <c r="B138" s="478" t="s">
        <v>2476</v>
      </c>
      <c r="C138" s="479">
        <v>1</v>
      </c>
      <c r="D138" s="481">
        <v>8800</v>
      </c>
      <c r="E138" s="482">
        <v>38419</v>
      </c>
      <c r="F138" s="483">
        <v>30678774495</v>
      </c>
      <c r="G138" s="333" t="str">
        <f>IFERROR(IF(compras_mes5[[#This Row],[CUIT]]="","-",VLOOKUP(compras_mes5[[#This Row],[CUIT]],Lista_CUIT[#All],2,0)),"CUIT NO CARGADO")</f>
        <v>OPER. DE EST. DE SERV. SA</v>
      </c>
      <c r="H138" s="484">
        <v>28602.47</v>
      </c>
      <c r="I138" s="328">
        <f>IF(compras_mes5[[#This Row],[NETO GRAVADO]]="","",compras_mes5[[#This Row],[NETO GRAVADO]]*0.21)</f>
        <v>6006.5186999999996</v>
      </c>
      <c r="J138" s="328"/>
      <c r="K138" s="328"/>
      <c r="L138" s="328"/>
      <c r="M138" s="328"/>
      <c r="N138" s="328"/>
      <c r="O138" s="328">
        <v>6979.07</v>
      </c>
      <c r="P138" s="327">
        <f>SUM(compras_mes5[[#This Row],[NETO GRAVADO]:[Otros / No Grav.]])</f>
        <v>41588.058700000001</v>
      </c>
      <c r="Q138" s="329" t="str">
        <f>IFERROR(IF(compras_mes5[[#This Row],[CUIT]]="","-",VLOOKUP(compras_mes5[[#This Row],[CUIT]],Lista_CUIT[#All],3,0)),"CUIT NO CARGADO")</f>
        <v>Combustible</v>
      </c>
      <c r="R138" s="329">
        <f>IFERROR(IF(compras_mes5[[#This Row],[CUIT]]="","-",VLOOKUP(compras_mes5[[#This Row],[CUIT]],Lista_CUIT[#All],4,0)),"CUIT NO CARGADO")</f>
        <v>0</v>
      </c>
    </row>
    <row r="139" spans="2:18" s="56" customFormat="1" ht="18.600000000000001" customHeight="1" x14ac:dyDescent="0.2">
      <c r="B139" s="478" t="s">
        <v>2476</v>
      </c>
      <c r="C139" s="479">
        <v>1</v>
      </c>
      <c r="D139" s="481">
        <v>3</v>
      </c>
      <c r="E139" s="482">
        <v>13266</v>
      </c>
      <c r="F139" s="483">
        <v>30679163317</v>
      </c>
      <c r="G139" s="333" t="str">
        <f>IFERROR(IF(compras_mes5[[#This Row],[CUIT]]="","-",VLOOKUP(compras_mes5[[#This Row],[CUIT]],Lista_CUIT[#All],2,0)),"CUIT NO CARGADO")</f>
        <v>RANKO S R L</v>
      </c>
      <c r="H139" s="484">
        <v>54779.5</v>
      </c>
      <c r="I139" s="328">
        <f>IF(compras_mes5[[#This Row],[NETO GRAVADO]]="","",compras_mes5[[#This Row],[NETO GRAVADO]]*0.21)</f>
        <v>11503.695</v>
      </c>
      <c r="J139" s="328"/>
      <c r="K139" s="328"/>
      <c r="L139" s="328"/>
      <c r="M139" s="328"/>
      <c r="N139" s="328"/>
      <c r="O139" s="328"/>
      <c r="P139" s="327">
        <f>SUM(compras_mes5[[#This Row],[NETO GRAVADO]:[Otros / No Grav.]])</f>
        <v>66283.195000000007</v>
      </c>
      <c r="Q139" s="329" t="str">
        <f>IFERROR(IF(compras_mes5[[#This Row],[CUIT]]="","-",VLOOKUP(compras_mes5[[#This Row],[CUIT]],Lista_CUIT[#All],3,0)),"CUIT NO CARGADO")</f>
        <v>Mantenimiento</v>
      </c>
      <c r="R139" s="329">
        <f>IFERROR(IF(compras_mes5[[#This Row],[CUIT]]="","-",VLOOKUP(compras_mes5[[#This Row],[CUIT]],Lista_CUIT[#All],4,0)),"CUIT NO CARGADO")</f>
        <v>0</v>
      </c>
    </row>
    <row r="140" spans="2:18" s="56" customFormat="1" ht="18.600000000000001" customHeight="1" x14ac:dyDescent="0.2">
      <c r="B140" s="478" t="s">
        <v>2476</v>
      </c>
      <c r="C140" s="479">
        <v>1</v>
      </c>
      <c r="D140" s="481">
        <v>3</v>
      </c>
      <c r="E140" s="482">
        <v>13265</v>
      </c>
      <c r="F140" s="483">
        <v>30679163317</v>
      </c>
      <c r="G140" s="333" t="str">
        <f>IFERROR(IF(compras_mes5[[#This Row],[CUIT]]="","-",VLOOKUP(compras_mes5[[#This Row],[CUIT]],Lista_CUIT[#All],2,0)),"CUIT NO CARGADO")</f>
        <v>RANKO S R L</v>
      </c>
      <c r="H140" s="484">
        <v>53952.639999999999</v>
      </c>
      <c r="I140" s="328">
        <f>IF(compras_mes5[[#This Row],[NETO GRAVADO]]="","",compras_mes5[[#This Row],[NETO GRAVADO]]*0.21)</f>
        <v>11330.054399999999</v>
      </c>
      <c r="J140" s="328"/>
      <c r="K140" s="328"/>
      <c r="L140" s="328"/>
      <c r="M140" s="328"/>
      <c r="N140" s="328"/>
      <c r="O140" s="328"/>
      <c r="P140" s="327">
        <f>SUM(compras_mes5[[#This Row],[NETO GRAVADO]:[Otros / No Grav.]])</f>
        <v>65282.6944</v>
      </c>
      <c r="Q140" s="329" t="str">
        <f>IFERROR(IF(compras_mes5[[#This Row],[CUIT]]="","-",VLOOKUP(compras_mes5[[#This Row],[CUIT]],Lista_CUIT[#All],3,0)),"CUIT NO CARGADO")</f>
        <v>Mantenimiento</v>
      </c>
      <c r="R140" s="329">
        <f>IFERROR(IF(compras_mes5[[#This Row],[CUIT]]="","-",VLOOKUP(compras_mes5[[#This Row],[CUIT]],Lista_CUIT[#All],4,0)),"CUIT NO CARGADO")</f>
        <v>0</v>
      </c>
    </row>
    <row r="141" spans="2:18" s="56" customFormat="1" ht="18.600000000000001" customHeight="1" x14ac:dyDescent="0.2">
      <c r="B141" s="478" t="s">
        <v>2476</v>
      </c>
      <c r="C141" s="479">
        <v>1</v>
      </c>
      <c r="D141" s="481">
        <v>3</v>
      </c>
      <c r="E141" s="482">
        <v>13267</v>
      </c>
      <c r="F141" s="483">
        <v>30679163317</v>
      </c>
      <c r="G141" s="333" t="str">
        <f>IFERROR(IF(compras_mes5[[#This Row],[CUIT]]="","-",VLOOKUP(compras_mes5[[#This Row],[CUIT]],Lista_CUIT[#All],2,0)),"CUIT NO CARGADO")</f>
        <v>RANKO S R L</v>
      </c>
      <c r="H141" s="484">
        <v>127035.87</v>
      </c>
      <c r="I141" s="328">
        <f>IF(compras_mes5[[#This Row],[NETO GRAVADO]]="","",compras_mes5[[#This Row],[NETO GRAVADO]]*0.21)</f>
        <v>26677.5327</v>
      </c>
      <c r="J141" s="328"/>
      <c r="K141" s="328"/>
      <c r="L141" s="328"/>
      <c r="M141" s="328"/>
      <c r="N141" s="328"/>
      <c r="O141" s="328"/>
      <c r="P141" s="327">
        <f>SUM(compras_mes5[[#This Row],[NETO GRAVADO]:[Otros / No Grav.]])</f>
        <v>153713.40270000001</v>
      </c>
      <c r="Q141" s="329" t="str">
        <f>IFERROR(IF(compras_mes5[[#This Row],[CUIT]]="","-",VLOOKUP(compras_mes5[[#This Row],[CUIT]],Lista_CUIT[#All],3,0)),"CUIT NO CARGADO")</f>
        <v>Mantenimiento</v>
      </c>
      <c r="R141" s="329">
        <f>IFERROR(IF(compras_mes5[[#This Row],[CUIT]]="","-",VLOOKUP(compras_mes5[[#This Row],[CUIT]],Lista_CUIT[#All],4,0)),"CUIT NO CARGADO")</f>
        <v>0</v>
      </c>
    </row>
    <row r="142" spans="2:18" s="56" customFormat="1" ht="18.600000000000001" customHeight="1" x14ac:dyDescent="0.2">
      <c r="B142" s="478" t="s">
        <v>2476</v>
      </c>
      <c r="C142" s="479">
        <v>1</v>
      </c>
      <c r="D142" s="481">
        <v>4</v>
      </c>
      <c r="E142" s="482">
        <v>657</v>
      </c>
      <c r="F142" s="483">
        <v>33716304669</v>
      </c>
      <c r="G142" s="333" t="str">
        <f>IFERROR(IF(compras_mes5[[#This Row],[CUIT]]="","-",VLOOKUP(compras_mes5[[#This Row],[CUIT]],Lista_CUIT[#All],2,0)),"CUIT NO CARGADO")</f>
        <v>HEYCO LATAM S.A.</v>
      </c>
      <c r="H142" s="484">
        <v>127107.44</v>
      </c>
      <c r="I142" s="328">
        <f>IF(compras_mes5[[#This Row],[NETO GRAVADO]]="","",compras_mes5[[#This Row],[NETO GRAVADO]]*0.21)</f>
        <v>26692.562399999999</v>
      </c>
      <c r="J142" s="328"/>
      <c r="K142" s="328"/>
      <c r="L142" s="328"/>
      <c r="M142" s="328"/>
      <c r="N142" s="328"/>
      <c r="O142" s="328"/>
      <c r="P142" s="327">
        <f>SUM(compras_mes5[[#This Row],[NETO GRAVADO]:[Otros / No Grav.]])</f>
        <v>153800.0024</v>
      </c>
      <c r="Q142" s="329" t="str">
        <f>IFERROR(IF(compras_mes5[[#This Row],[CUIT]]="","-",VLOOKUP(compras_mes5[[#This Row],[CUIT]],Lista_CUIT[#All],3,0)),"CUIT NO CARGADO")</f>
        <v>LIBRERÍA</v>
      </c>
      <c r="R142" s="329">
        <f>IFERROR(IF(compras_mes5[[#This Row],[CUIT]]="","-",VLOOKUP(compras_mes5[[#This Row],[CUIT]],Lista_CUIT[#All],4,0)),"CUIT NO CARGADO")</f>
        <v>0</v>
      </c>
    </row>
    <row r="143" spans="2:18" s="56" customFormat="1" ht="18.600000000000001" customHeight="1" x14ac:dyDescent="0.2">
      <c r="B143" s="478" t="s">
        <v>2476</v>
      </c>
      <c r="C143" s="479">
        <v>1</v>
      </c>
      <c r="D143" s="481">
        <v>3</v>
      </c>
      <c r="E143" s="482">
        <v>13262</v>
      </c>
      <c r="F143" s="483">
        <v>30679163317</v>
      </c>
      <c r="G143" s="333" t="str">
        <f>IFERROR(IF(compras_mes5[[#This Row],[CUIT]]="","-",VLOOKUP(compras_mes5[[#This Row],[CUIT]],Lista_CUIT[#All],2,0)),"CUIT NO CARGADO")</f>
        <v>RANKO S R L</v>
      </c>
      <c r="H143" s="484">
        <v>68011.38</v>
      </c>
      <c r="I143" s="328">
        <f>IF(compras_mes5[[#This Row],[NETO GRAVADO]]="","",compras_mes5[[#This Row],[NETO GRAVADO]]*0.21)</f>
        <v>14282.389800000001</v>
      </c>
      <c r="J143" s="328"/>
      <c r="K143" s="328"/>
      <c r="L143" s="328"/>
      <c r="M143" s="328"/>
      <c r="N143" s="328"/>
      <c r="O143" s="328"/>
      <c r="P143" s="327">
        <f>SUM(compras_mes5[[#This Row],[NETO GRAVADO]:[Otros / No Grav.]])</f>
        <v>82293.769800000009</v>
      </c>
      <c r="Q143" s="329" t="str">
        <f>IFERROR(IF(compras_mes5[[#This Row],[CUIT]]="","-",VLOOKUP(compras_mes5[[#This Row],[CUIT]],Lista_CUIT[#All],3,0)),"CUIT NO CARGADO")</f>
        <v>Mantenimiento</v>
      </c>
      <c r="R143" s="329">
        <f>IFERROR(IF(compras_mes5[[#This Row],[CUIT]]="","-",VLOOKUP(compras_mes5[[#This Row],[CUIT]],Lista_CUIT[#All],4,0)),"CUIT NO CARGADO")</f>
        <v>0</v>
      </c>
    </row>
    <row r="144" spans="2:18" s="56" customFormat="1" ht="18.600000000000001" customHeight="1" x14ac:dyDescent="0.2">
      <c r="B144" s="478" t="s">
        <v>2476</v>
      </c>
      <c r="C144" s="479">
        <v>1</v>
      </c>
      <c r="D144" s="481">
        <v>3</v>
      </c>
      <c r="E144" s="482">
        <v>13263</v>
      </c>
      <c r="F144" s="483">
        <v>30679163317</v>
      </c>
      <c r="G144" s="333" t="str">
        <f>IFERROR(IF(compras_mes5[[#This Row],[CUIT]]="","-",VLOOKUP(compras_mes5[[#This Row],[CUIT]],Lista_CUIT[#All],2,0)),"CUIT NO CARGADO")</f>
        <v>RANKO S R L</v>
      </c>
      <c r="H144" s="484">
        <v>27389.75</v>
      </c>
      <c r="I144" s="328">
        <f>IF(compras_mes5[[#This Row],[NETO GRAVADO]]="","",compras_mes5[[#This Row],[NETO GRAVADO]]*0.21)</f>
        <v>5751.8474999999999</v>
      </c>
      <c r="J144" s="328"/>
      <c r="K144" s="328"/>
      <c r="L144" s="328"/>
      <c r="M144" s="328"/>
      <c r="N144" s="328"/>
      <c r="O144" s="328"/>
      <c r="P144" s="327">
        <f>SUM(compras_mes5[[#This Row],[NETO GRAVADO]:[Otros / No Grav.]])</f>
        <v>33141.597500000003</v>
      </c>
      <c r="Q144" s="329" t="str">
        <f>IFERROR(IF(compras_mes5[[#This Row],[CUIT]]="","-",VLOOKUP(compras_mes5[[#This Row],[CUIT]],Lista_CUIT[#All],3,0)),"CUIT NO CARGADO")</f>
        <v>Mantenimiento</v>
      </c>
      <c r="R144" s="329">
        <f>IFERROR(IF(compras_mes5[[#This Row],[CUIT]]="","-",VLOOKUP(compras_mes5[[#This Row],[CUIT]],Lista_CUIT[#All],4,0)),"CUIT NO CARGADO")</f>
        <v>0</v>
      </c>
    </row>
    <row r="145" spans="2:18" s="56" customFormat="1" ht="18.600000000000001" customHeight="1" x14ac:dyDescent="0.2">
      <c r="B145" s="478" t="s">
        <v>2476</v>
      </c>
      <c r="C145" s="479">
        <v>1</v>
      </c>
      <c r="D145" s="481">
        <v>2</v>
      </c>
      <c r="E145" s="482">
        <v>4071</v>
      </c>
      <c r="F145" s="483">
        <v>30629863571</v>
      </c>
      <c r="G145" s="333" t="str">
        <f>IFERROR(IF(compras_mes5[[#This Row],[CUIT]]="","-",VLOOKUP(compras_mes5[[#This Row],[CUIT]],Lista_CUIT[#All],2,0)),"CUIT NO CARGADO")</f>
        <v>TECNIMAR S R L</v>
      </c>
      <c r="H145" s="484">
        <v>4597760</v>
      </c>
      <c r="I145" s="328">
        <f>IF(compras_mes5[[#This Row],[NETO GRAVADO]]="","",compras_mes5[[#This Row],[NETO GRAVADO]]*0.21)</f>
        <v>965529.59999999998</v>
      </c>
      <c r="J145" s="328"/>
      <c r="K145" s="328"/>
      <c r="L145" s="328"/>
      <c r="M145" s="328"/>
      <c r="N145" s="328"/>
      <c r="O145" s="328"/>
      <c r="P145" s="327">
        <f>SUM(compras_mes5[[#This Row],[NETO GRAVADO]:[Otros / No Grav.]])</f>
        <v>5563289.5999999996</v>
      </c>
      <c r="Q145" s="329" t="str">
        <f>IFERROR(IF(compras_mes5[[#This Row],[CUIT]]="","-",VLOOKUP(compras_mes5[[#This Row],[CUIT]],Lista_CUIT[#All],3,0)),"CUIT NO CARGADO")</f>
        <v>Productos Venta</v>
      </c>
      <c r="R145" s="329">
        <f>IFERROR(IF(compras_mes5[[#This Row],[CUIT]]="","-",VLOOKUP(compras_mes5[[#This Row],[CUIT]],Lista_CUIT[#All],4,0)),"CUIT NO CARGADO")</f>
        <v>0</v>
      </c>
    </row>
    <row r="146" spans="2:18" s="56" customFormat="1" ht="18.600000000000001" customHeight="1" x14ac:dyDescent="0.2">
      <c r="B146" s="478" t="s">
        <v>2477</v>
      </c>
      <c r="C146" s="479">
        <v>1</v>
      </c>
      <c r="D146" s="481">
        <v>7976</v>
      </c>
      <c r="E146" s="482">
        <v>26490</v>
      </c>
      <c r="F146" s="483">
        <v>30678774495</v>
      </c>
      <c r="G146" s="333" t="str">
        <f>IFERROR(IF(compras_mes5[[#This Row],[CUIT]]="","-",VLOOKUP(compras_mes5[[#This Row],[CUIT]],Lista_CUIT[#All],2,0)),"CUIT NO CARGADO")</f>
        <v>OPER. DE EST. DE SERV. SA</v>
      </c>
      <c r="H146" s="484">
        <v>8613.92</v>
      </c>
      <c r="I146" s="328">
        <f>IF(compras_mes5[[#This Row],[NETO GRAVADO]]="","",compras_mes5[[#This Row],[NETO GRAVADO]]*0.21)</f>
        <v>1808.9232</v>
      </c>
      <c r="J146" s="328"/>
      <c r="K146" s="328"/>
      <c r="L146" s="328"/>
      <c r="M146" s="328"/>
      <c r="N146" s="328"/>
      <c r="O146" s="328">
        <v>2586.14</v>
      </c>
      <c r="P146" s="327">
        <f>SUM(compras_mes5[[#This Row],[NETO GRAVADO]:[Otros / No Grav.]])</f>
        <v>13008.983199999999</v>
      </c>
      <c r="Q146" s="329" t="str">
        <f>IFERROR(IF(compras_mes5[[#This Row],[CUIT]]="","-",VLOOKUP(compras_mes5[[#This Row],[CUIT]],Lista_CUIT[#All],3,0)),"CUIT NO CARGADO")</f>
        <v>Combustible</v>
      </c>
      <c r="R146" s="329">
        <f>IFERROR(IF(compras_mes5[[#This Row],[CUIT]]="","-",VLOOKUP(compras_mes5[[#This Row],[CUIT]],Lista_CUIT[#All],4,0)),"CUIT NO CARGADO")</f>
        <v>0</v>
      </c>
    </row>
    <row r="147" spans="2:18" s="56" customFormat="1" ht="18.600000000000001" customHeight="1" x14ac:dyDescent="0.2">
      <c r="B147" s="478" t="s">
        <v>2477</v>
      </c>
      <c r="C147" s="479">
        <v>1</v>
      </c>
      <c r="D147" s="481">
        <v>15</v>
      </c>
      <c r="E147" s="482">
        <v>36218</v>
      </c>
      <c r="F147" s="483">
        <v>30714120405</v>
      </c>
      <c r="G147" s="333" t="str">
        <f>IFERROR(IF(compras_mes5[[#This Row],[CUIT]]="","-",VLOOKUP(compras_mes5[[#This Row],[CUIT]],Lista_CUIT[#All],2,0)),"CUIT NO CARGADO")</f>
        <v>WITPEL S.R.L.</v>
      </c>
      <c r="H147" s="484">
        <v>53049.59</v>
      </c>
      <c r="I147" s="328">
        <f>IF(compras_mes5[[#This Row],[NETO GRAVADO]]="","",compras_mes5[[#This Row],[NETO GRAVADO]]*0.21)</f>
        <v>11140.4139</v>
      </c>
      <c r="J147" s="328"/>
      <c r="K147" s="328"/>
      <c r="L147" s="328"/>
      <c r="M147" s="328"/>
      <c r="N147" s="328"/>
      <c r="O147" s="328"/>
      <c r="P147" s="327">
        <f>SUM(compras_mes5[[#This Row],[NETO GRAVADO]:[Otros / No Grav.]])</f>
        <v>64190.003899999996</v>
      </c>
      <c r="Q147" s="329" t="str">
        <f>IFERROR(IF(compras_mes5[[#This Row],[CUIT]]="","-",VLOOKUP(compras_mes5[[#This Row],[CUIT]],Lista_CUIT[#All],3,0)),"CUIT NO CARGADO")</f>
        <v>LIBRERÍA</v>
      </c>
      <c r="R147" s="329">
        <f>IFERROR(IF(compras_mes5[[#This Row],[CUIT]]="","-",VLOOKUP(compras_mes5[[#This Row],[CUIT]],Lista_CUIT[#All],4,0)),"CUIT NO CARGADO")</f>
        <v>0</v>
      </c>
    </row>
    <row r="148" spans="2:18" s="56" customFormat="1" ht="18.600000000000001" customHeight="1" x14ac:dyDescent="0.2">
      <c r="B148" s="478" t="s">
        <v>2477</v>
      </c>
      <c r="C148" s="479">
        <v>1</v>
      </c>
      <c r="D148" s="481">
        <v>15</v>
      </c>
      <c r="E148" s="482">
        <v>36219</v>
      </c>
      <c r="F148" s="483">
        <v>30714120405</v>
      </c>
      <c r="G148" s="333" t="str">
        <f>IFERROR(IF(compras_mes5[[#This Row],[CUIT]]="","-",VLOOKUP(compras_mes5[[#This Row],[CUIT]],Lista_CUIT[#All],2,0)),"CUIT NO CARGADO")</f>
        <v>WITPEL S.R.L.</v>
      </c>
      <c r="H148" s="484">
        <v>53049.59</v>
      </c>
      <c r="I148" s="328">
        <f>IF(compras_mes5[[#This Row],[NETO GRAVADO]]="","",compras_mes5[[#This Row],[NETO GRAVADO]]*0.21)</f>
        <v>11140.4139</v>
      </c>
      <c r="J148" s="328"/>
      <c r="K148" s="328"/>
      <c r="L148" s="328"/>
      <c r="M148" s="328"/>
      <c r="N148" s="328"/>
      <c r="O148" s="328"/>
      <c r="P148" s="327">
        <f>SUM(compras_mes5[[#This Row],[NETO GRAVADO]:[Otros / No Grav.]])</f>
        <v>64190.003899999996</v>
      </c>
      <c r="Q148" s="329" t="str">
        <f>IFERROR(IF(compras_mes5[[#This Row],[CUIT]]="","-",VLOOKUP(compras_mes5[[#This Row],[CUIT]],Lista_CUIT[#All],3,0)),"CUIT NO CARGADO")</f>
        <v>LIBRERÍA</v>
      </c>
      <c r="R148" s="329">
        <f>IFERROR(IF(compras_mes5[[#This Row],[CUIT]]="","-",VLOOKUP(compras_mes5[[#This Row],[CUIT]],Lista_CUIT[#All],4,0)),"CUIT NO CARGADO")</f>
        <v>0</v>
      </c>
    </row>
    <row r="149" spans="2:18" s="56" customFormat="1" ht="18.600000000000001" customHeight="1" x14ac:dyDescent="0.2">
      <c r="B149" s="478" t="s">
        <v>2477</v>
      </c>
      <c r="C149" s="479">
        <v>1</v>
      </c>
      <c r="D149" s="481">
        <v>2</v>
      </c>
      <c r="E149" s="482">
        <v>456</v>
      </c>
      <c r="F149" s="483">
        <v>27422248426</v>
      </c>
      <c r="G149" s="333" t="str">
        <f>IFERROR(IF(compras_mes5[[#This Row],[CUIT]]="","-",VLOOKUP(compras_mes5[[#This Row],[CUIT]],Lista_CUIT[#All],2,0)),"CUIT NO CARGADO")</f>
        <v>CARRERA VICTORIA</v>
      </c>
      <c r="H149" s="484">
        <v>168033.06</v>
      </c>
      <c r="I149" s="328">
        <f>IF(compras_mes5[[#This Row],[NETO GRAVADO]]="","",compras_mes5[[#This Row],[NETO GRAVADO]]*0.21)</f>
        <v>35286.942599999995</v>
      </c>
      <c r="J149" s="328"/>
      <c r="K149" s="328"/>
      <c r="L149" s="328"/>
      <c r="M149" s="328"/>
      <c r="N149" s="328"/>
      <c r="O149" s="328"/>
      <c r="P149" s="327">
        <f>SUM(compras_mes5[[#This Row],[NETO GRAVADO]:[Otros / No Grav.]])</f>
        <v>203320.00260000001</v>
      </c>
      <c r="Q149" s="329" t="str">
        <f>IFERROR(IF(compras_mes5[[#This Row],[CUIT]]="","-",VLOOKUP(compras_mes5[[#This Row],[CUIT]],Lista_CUIT[#All],3,0)),"CUIT NO CARGADO")</f>
        <v>Gastos Varios</v>
      </c>
      <c r="R149" s="329">
        <f>IFERROR(IF(compras_mes5[[#This Row],[CUIT]]="","-",VLOOKUP(compras_mes5[[#This Row],[CUIT]],Lista_CUIT[#All],4,0)),"CUIT NO CARGADO")</f>
        <v>0</v>
      </c>
    </row>
    <row r="150" spans="2:18" s="56" customFormat="1" ht="18.600000000000001" customHeight="1" x14ac:dyDescent="0.2">
      <c r="B150" s="478" t="s">
        <v>2477</v>
      </c>
      <c r="C150" s="479">
        <v>1</v>
      </c>
      <c r="D150" s="481">
        <v>2199</v>
      </c>
      <c r="E150" s="482">
        <v>37111</v>
      </c>
      <c r="F150" s="483">
        <v>30548083156</v>
      </c>
      <c r="G150" s="333" t="str">
        <f>IFERROR(IF(compras_mes5[[#This Row],[CUIT]]="","-",VLOOKUP(compras_mes5[[#This Row],[CUIT]],Lista_CUIT[#All],2,0)),"CUIT NO CARGADO")</f>
        <v>COTO CENTRO INTEGRAL DE COMERCIALIZACION SOCIEDAD ANONIMA</v>
      </c>
      <c r="H150" s="484">
        <v>51826.400000000001</v>
      </c>
      <c r="I150" s="328">
        <v>8687.65</v>
      </c>
      <c r="J150" s="328"/>
      <c r="K150" s="328">
        <v>1097.94</v>
      </c>
      <c r="L150" s="328"/>
      <c r="M150" s="328"/>
      <c r="N150" s="328"/>
      <c r="O150" s="328">
        <v>4419.41</v>
      </c>
      <c r="P150" s="327">
        <f>SUM(compras_mes5[[#This Row],[NETO GRAVADO]:[Otros / No Grav.]])</f>
        <v>66031.400000000009</v>
      </c>
      <c r="Q150" s="329" t="str">
        <f>IFERROR(IF(compras_mes5[[#This Row],[CUIT]]="","-",VLOOKUP(compras_mes5[[#This Row],[CUIT]],Lista_CUIT[#All],3,0)),"CUIT NO CARGADO")</f>
        <v>Gastos Varios</v>
      </c>
      <c r="R150" s="329">
        <f>IFERROR(IF(compras_mes5[[#This Row],[CUIT]]="","-",VLOOKUP(compras_mes5[[#This Row],[CUIT]],Lista_CUIT[#All],4,0)),"CUIT NO CARGADO")</f>
        <v>0</v>
      </c>
    </row>
    <row r="151" spans="2:18" s="56" customFormat="1" ht="18.600000000000001" customHeight="1" x14ac:dyDescent="0.2">
      <c r="B151" s="478" t="s">
        <v>2477</v>
      </c>
      <c r="C151" s="479">
        <v>1</v>
      </c>
      <c r="D151" s="481">
        <v>5015</v>
      </c>
      <c r="E151" s="482">
        <v>865050</v>
      </c>
      <c r="F151" s="483">
        <v>30574876474</v>
      </c>
      <c r="G151" s="333" t="str">
        <f>IFERROR(IF(compras_mes5[[#This Row],[CUIT]]="","-",VLOOKUP(compras_mes5[[#This Row],[CUIT]],Lista_CUIT[#All],2,0)),"CUIT NO CARGADO")</f>
        <v>AUTOPISTAS URBANAS S A</v>
      </c>
      <c r="H151" s="484">
        <v>156161.45000000001</v>
      </c>
      <c r="I151" s="328">
        <f>IF(compras_mes5[[#This Row],[NETO GRAVADO]]="","",compras_mes5[[#This Row],[NETO GRAVADO]]*0.21)</f>
        <v>32793.904500000004</v>
      </c>
      <c r="J151" s="328"/>
      <c r="K151" s="328"/>
      <c r="L151" s="328"/>
      <c r="M151" s="328"/>
      <c r="N151" s="328"/>
      <c r="O151" s="328">
        <v>20300.95</v>
      </c>
      <c r="P151" s="327">
        <f>SUM(compras_mes5[[#This Row],[NETO GRAVADO]:[Otros / No Grav.]])</f>
        <v>209256.30450000003</v>
      </c>
      <c r="Q151" s="329" t="str">
        <f>IFERROR(IF(compras_mes5[[#This Row],[CUIT]]="","-",VLOOKUP(compras_mes5[[#This Row],[CUIT]],Lista_CUIT[#All],3,0)),"CUIT NO CARGADO")</f>
        <v>Peajes</v>
      </c>
      <c r="R151" s="329">
        <f>IFERROR(IF(compras_mes5[[#This Row],[CUIT]]="","-",VLOOKUP(compras_mes5[[#This Row],[CUIT]],Lista_CUIT[#All],4,0)),"CUIT NO CARGADO")</f>
        <v>0</v>
      </c>
    </row>
    <row r="152" spans="2:18" s="56" customFormat="1" ht="18.600000000000001" customHeight="1" x14ac:dyDescent="0.2">
      <c r="B152" s="478" t="s">
        <v>2477</v>
      </c>
      <c r="C152" s="479">
        <v>1</v>
      </c>
      <c r="D152" s="481">
        <v>11</v>
      </c>
      <c r="E152" s="482">
        <v>1166495</v>
      </c>
      <c r="F152" s="483">
        <v>33709585229</v>
      </c>
      <c r="G152" s="333" t="str">
        <f>IFERROR(IF(compras_mes5[[#This Row],[CUIT]]="","-",VLOOKUP(compras_mes5[[#This Row],[CUIT]],Lista_CUIT[#All],2,0)),"CUIT NO CARGADO")</f>
        <v>GOOGLE ARGENTINA S.R.L.</v>
      </c>
      <c r="H152" s="484">
        <v>127306.4</v>
      </c>
      <c r="I152" s="328">
        <f>IF(compras_mes5[[#This Row],[NETO GRAVADO]]="","",compras_mes5[[#This Row],[NETO GRAVADO]]*0.21)</f>
        <v>26734.343999999997</v>
      </c>
      <c r="J152" s="328"/>
      <c r="K152" s="328"/>
      <c r="L152" s="328"/>
      <c r="M152" s="328">
        <v>35254.33</v>
      </c>
      <c r="N152" s="328"/>
      <c r="O152" s="328">
        <v>3819.19</v>
      </c>
      <c r="P152" s="327">
        <f>SUM(compras_mes5[[#This Row],[NETO GRAVADO]:[Otros / No Grav.]])</f>
        <v>193114.26400000002</v>
      </c>
      <c r="Q152" s="329" t="str">
        <f>IFERROR(IF(compras_mes5[[#This Row],[CUIT]]="","-",VLOOKUP(compras_mes5[[#This Row],[CUIT]],Lista_CUIT[#All],3,0)),"CUIT NO CARGADO")</f>
        <v>Gastos Comercializacion</v>
      </c>
      <c r="R152" s="329">
        <f>IFERROR(IF(compras_mes5[[#This Row],[CUIT]]="","-",VLOOKUP(compras_mes5[[#This Row],[CUIT]],Lista_CUIT[#All],4,0)),"CUIT NO CARGADO")</f>
        <v>0</v>
      </c>
    </row>
    <row r="153" spans="2:18" s="56" customFormat="1" ht="18.600000000000001" customHeight="1" x14ac:dyDescent="0.2">
      <c r="B153" s="478" t="s">
        <v>2477</v>
      </c>
      <c r="C153" s="479">
        <v>1</v>
      </c>
      <c r="D153" s="481">
        <v>50</v>
      </c>
      <c r="E153" s="482">
        <v>4378509</v>
      </c>
      <c r="F153" s="483">
        <v>30714112836</v>
      </c>
      <c r="G153" s="333" t="str">
        <f>IFERROR(IF(compras_mes5[[#This Row],[CUIT]]="","-",VLOOKUP(compras_mes5[[#This Row],[CUIT]],Lista_CUIT[#All],2,0)),"CUIT NO CARGADO")</f>
        <v>AUTOPISTAS DE BS AS</v>
      </c>
      <c r="H153" s="484">
        <v>48318.9</v>
      </c>
      <c r="I153" s="328">
        <f>IF(compras_mes5[[#This Row],[NETO GRAVADO]]="","",compras_mes5[[#This Row],[NETO GRAVADO]]*0.21)</f>
        <v>10146.968999999999</v>
      </c>
      <c r="J153" s="328"/>
      <c r="K153" s="328"/>
      <c r="L153" s="328">
        <v>1449.57</v>
      </c>
      <c r="M153" s="328"/>
      <c r="N153" s="328"/>
      <c r="O153" s="328"/>
      <c r="P153" s="327">
        <f>SUM(compras_mes5[[#This Row],[NETO GRAVADO]:[Otros / No Grav.]])</f>
        <v>59915.438999999998</v>
      </c>
      <c r="Q153" s="329" t="str">
        <f>IFERROR(IF(compras_mes5[[#This Row],[CUIT]]="","-",VLOOKUP(compras_mes5[[#This Row],[CUIT]],Lista_CUIT[#All],3,0)),"CUIT NO CARGADO")</f>
        <v>Peajes</v>
      </c>
      <c r="R153" s="329">
        <f>IFERROR(IF(compras_mes5[[#This Row],[CUIT]]="","-",VLOOKUP(compras_mes5[[#This Row],[CUIT]],Lista_CUIT[#All],4,0)),"CUIT NO CARGADO")</f>
        <v>0</v>
      </c>
    </row>
    <row r="154" spans="2:18" s="56" customFormat="1" ht="18.600000000000001" customHeight="1" x14ac:dyDescent="0.2">
      <c r="B154" s="478" t="s">
        <v>2477</v>
      </c>
      <c r="C154" s="479">
        <v>1</v>
      </c>
      <c r="D154" s="481">
        <v>113</v>
      </c>
      <c r="E154" s="482">
        <v>4262603</v>
      </c>
      <c r="F154" s="483">
        <v>30577207190</v>
      </c>
      <c r="G154" s="333" t="str">
        <f>IFERROR(IF(compras_mes5[[#This Row],[CUIT]]="","-",VLOOKUP(compras_mes5[[#This Row],[CUIT]],Lista_CUIT[#All],2,0)),"CUIT NO CARGADO")</f>
        <v>COORDINACION ECOLOGICA AREA METROPOLITANA SOCIEDAD DEL ESTADO</v>
      </c>
      <c r="H154" s="484">
        <v>4958.68</v>
      </c>
      <c r="I154" s="328">
        <f>IF(compras_mes5[[#This Row],[NETO GRAVADO]]="","",compras_mes5[[#This Row],[NETO GRAVADO]]*0.21)</f>
        <v>1041.3227999999999</v>
      </c>
      <c r="J154" s="328"/>
      <c r="K154" s="328"/>
      <c r="L154" s="328">
        <v>148.76</v>
      </c>
      <c r="M154" s="328"/>
      <c r="N154" s="328"/>
      <c r="O154" s="328"/>
      <c r="P154" s="327">
        <f>SUM(compras_mes5[[#This Row],[NETO GRAVADO]:[Otros / No Grav.]])</f>
        <v>6148.7628000000004</v>
      </c>
      <c r="Q154" s="329" t="str">
        <f>IFERROR(IF(compras_mes5[[#This Row],[CUIT]]="","-",VLOOKUP(compras_mes5[[#This Row],[CUIT]],Lista_CUIT[#All],3,0)),"CUIT NO CARGADO")</f>
        <v>Gastos Limpieza</v>
      </c>
      <c r="R154" s="329">
        <f>IFERROR(IF(compras_mes5[[#This Row],[CUIT]]="","-",VLOOKUP(compras_mes5[[#This Row],[CUIT]],Lista_CUIT[#All],4,0)),"CUIT NO CARGADO")</f>
        <v>0</v>
      </c>
    </row>
    <row r="155" spans="2:18" s="56" customFormat="1" ht="18.600000000000001" customHeight="1" x14ac:dyDescent="0.2">
      <c r="B155" s="478" t="s">
        <v>2456</v>
      </c>
      <c r="C155" s="479">
        <v>1</v>
      </c>
      <c r="D155" s="481">
        <v>2</v>
      </c>
      <c r="E155" s="482">
        <v>35</v>
      </c>
      <c r="F155" s="483">
        <v>30629863571</v>
      </c>
      <c r="G155" s="333" t="str">
        <f>IFERROR(IF(compras_mes5[[#This Row],[CUIT]]="","-",VLOOKUP(compras_mes5[[#This Row],[CUIT]],Lista_CUIT[#All],2,0)),"CUIT NO CARGADO")</f>
        <v>TECNIMAR S R L</v>
      </c>
      <c r="H155" s="484">
        <v>8640</v>
      </c>
      <c r="I155" s="328">
        <f>IF(compras_mes5[[#This Row],[NETO GRAVADO]]="","",compras_mes5[[#This Row],[NETO GRAVADO]]*0.21)</f>
        <v>1814.3999999999999</v>
      </c>
      <c r="J155" s="328"/>
      <c r="K155" s="328"/>
      <c r="L155" s="328"/>
      <c r="M155" s="328"/>
      <c r="N155" s="328"/>
      <c r="O155" s="328"/>
      <c r="P155" s="327">
        <f>SUM(compras_mes5[[#This Row],[NETO GRAVADO]:[Otros / No Grav.]])</f>
        <v>10454.4</v>
      </c>
      <c r="Q155" s="329" t="str">
        <f>IFERROR(IF(compras_mes5[[#This Row],[CUIT]]="","-",VLOOKUP(compras_mes5[[#This Row],[CUIT]],Lista_CUIT[#All],3,0)),"CUIT NO CARGADO")</f>
        <v>Productos Venta</v>
      </c>
      <c r="R155" s="329">
        <f>IFERROR(IF(compras_mes5[[#This Row],[CUIT]]="","-",VLOOKUP(compras_mes5[[#This Row],[CUIT]],Lista_CUIT[#All],4,0)),"CUIT NO CARGADO")</f>
        <v>0</v>
      </c>
    </row>
    <row r="156" spans="2:18" s="56" customFormat="1" ht="18.600000000000001" customHeight="1" x14ac:dyDescent="0.2">
      <c r="B156" s="478" t="s">
        <v>2467</v>
      </c>
      <c r="C156" s="480">
        <v>3</v>
      </c>
      <c r="D156" s="481">
        <v>2</v>
      </c>
      <c r="E156" s="482">
        <v>25</v>
      </c>
      <c r="F156" s="483">
        <v>20103069832</v>
      </c>
      <c r="G156" s="333" t="str">
        <f>IFERROR(IF(compras_mes5[[#This Row],[CUIT]]="","-",VLOOKUP(compras_mes5[[#This Row],[CUIT]],Lista_CUIT[#All],2,0)),"CUIT NO CARGADO")</f>
        <v>DE LUCA HECTOR RAFAEL FRANCI</v>
      </c>
      <c r="H156" s="484">
        <v>-131040</v>
      </c>
      <c r="I156" s="328">
        <f>IF(compras_mes5[[#This Row],[NETO GRAVADO]]="","",compras_mes5[[#This Row],[NETO GRAVADO]]*0.21)</f>
        <v>-27518.399999999998</v>
      </c>
      <c r="J156" s="328"/>
      <c r="K156" s="328"/>
      <c r="L156" s="328"/>
      <c r="M156" s="328"/>
      <c r="N156" s="328"/>
      <c r="O156" s="328"/>
      <c r="P156" s="327">
        <f>SUM(compras_mes5[[#This Row],[NETO GRAVADO]:[Otros / No Grav.]])</f>
        <v>-158558.39999999999</v>
      </c>
      <c r="Q156" s="329" t="str">
        <f>IFERROR(IF(compras_mes5[[#This Row],[CUIT]]="","-",VLOOKUP(compras_mes5[[#This Row],[CUIT]],Lista_CUIT[#All],3,0)),"CUIT NO CARGADO")</f>
        <v>Material de Empaque</v>
      </c>
      <c r="R156" s="329">
        <f>IFERROR(IF(compras_mes5[[#This Row],[CUIT]]="","-",VLOOKUP(compras_mes5[[#This Row],[CUIT]],Lista_CUIT[#All],4,0)),"CUIT NO CARGADO")</f>
        <v>0</v>
      </c>
    </row>
    <row r="157" spans="2:18" s="56" customFormat="1" ht="18.600000000000001" customHeight="1" x14ac:dyDescent="0.2">
      <c r="B157" s="478" t="s">
        <v>2459</v>
      </c>
      <c r="C157" s="480">
        <v>1</v>
      </c>
      <c r="D157" s="481">
        <v>20</v>
      </c>
      <c r="E157" s="482">
        <v>17351</v>
      </c>
      <c r="F157" s="483">
        <v>30515800219</v>
      </c>
      <c r="G157" s="333" t="str">
        <f>IFERROR(IF(compras_mes5[[#This Row],[CUIT]]="","-",VLOOKUP(compras_mes5[[#This Row],[CUIT]],Lista_CUIT[#All],2,0)),"CUIT NO CARGADO")</f>
        <v>INCAT SRL</v>
      </c>
      <c r="H157" s="484">
        <v>2020.76</v>
      </c>
      <c r="I157" s="328">
        <f>IF(compras_mes5[[#This Row],[NETO GRAVADO]]="","",compras_mes5[[#This Row],[NETO GRAVADO]]*0.21)</f>
        <v>424.3596</v>
      </c>
      <c r="J157" s="328"/>
      <c r="K157" s="328"/>
      <c r="L157" s="328"/>
      <c r="M157" s="328"/>
      <c r="N157" s="328"/>
      <c r="O157" s="328">
        <v>4.88</v>
      </c>
      <c r="P157" s="327">
        <f>SUM(compras_mes5[[#This Row],[NETO GRAVADO]:[Otros / No Grav.]])</f>
        <v>2449.9996000000001</v>
      </c>
      <c r="Q157" s="329" t="str">
        <f>IFERROR(IF(compras_mes5[[#This Row],[CUIT]]="","-",VLOOKUP(compras_mes5[[#This Row],[CUIT]],Lista_CUIT[#All],3,0)),"CUIT NO CARGADO")</f>
        <v>Combustible</v>
      </c>
      <c r="R157" s="329" t="str">
        <f>IFERROR(IF(compras_mes5[[#This Row],[CUIT]]="","-",VLOOKUP(compras_mes5[[#This Row],[CUIT]],Lista_CUIT[#All],4,0)),"CUIT NO CARGADO")</f>
        <v>CABA</v>
      </c>
    </row>
    <row r="158" spans="2:18" s="56" customFormat="1" ht="18.600000000000001" customHeight="1" x14ac:dyDescent="0.2">
      <c r="B158" s="303" t="s">
        <v>2461</v>
      </c>
      <c r="C158" s="311">
        <v>1</v>
      </c>
      <c r="D158" s="304">
        <v>20</v>
      </c>
      <c r="E158" s="305">
        <v>17392</v>
      </c>
      <c r="F158" s="92">
        <v>30515800219</v>
      </c>
      <c r="G158" s="333" t="str">
        <f>IFERROR(IF(compras_mes5[[#This Row],[CUIT]]="","-",VLOOKUP(compras_mes5[[#This Row],[CUIT]],Lista_CUIT[#All],2,0)),"CUIT NO CARGADO")</f>
        <v>INCAT SRL</v>
      </c>
      <c r="H158" s="308">
        <v>3299.19</v>
      </c>
      <c r="I158" s="328">
        <f>IF(compras_mes5[[#This Row],[NETO GRAVADO]]="","",compras_mes5[[#This Row],[NETO GRAVADO]]*0.21)</f>
        <v>692.82989999999995</v>
      </c>
      <c r="J158" s="309"/>
      <c r="K158" s="309"/>
      <c r="L158" s="309"/>
      <c r="M158" s="309"/>
      <c r="N158" s="309"/>
      <c r="O158" s="309">
        <v>7.97</v>
      </c>
      <c r="P158" s="312">
        <f>SUM(compras_mes5[[#This Row],[NETO GRAVADO]:[Otros / No Grav.]])</f>
        <v>3999.9899</v>
      </c>
      <c r="Q158" s="310" t="str">
        <f>IFERROR(IF(compras_mes5[[#This Row],[CUIT]]="","-",VLOOKUP(compras_mes5[[#This Row],[CUIT]],Lista_CUIT[#All],3,0)),"CUIT NO CARGADO")</f>
        <v>Combustible</v>
      </c>
      <c r="R158" s="310" t="str">
        <f>IFERROR(IF(compras_mes5[[#This Row],[CUIT]]="","-",VLOOKUP(compras_mes5[[#This Row],[CUIT]],Lista_CUIT[#All],4,0)),"CUIT NO CARGADO")</f>
        <v>CABA</v>
      </c>
    </row>
    <row r="159" spans="2:18" s="56" customFormat="1" ht="18.600000000000001" customHeight="1" x14ac:dyDescent="0.2">
      <c r="B159" s="478">
        <v>45784</v>
      </c>
      <c r="C159" s="41">
        <v>1</v>
      </c>
      <c r="D159" s="481">
        <v>18</v>
      </c>
      <c r="E159" s="482">
        <v>41499</v>
      </c>
      <c r="F159" s="483">
        <v>30515800219</v>
      </c>
      <c r="G159" s="333" t="str">
        <f>IFERROR(IF(compras_mes5[[#This Row],[CUIT]]="","-",VLOOKUP(compras_mes5[[#This Row],[CUIT]],Lista_CUIT[#All],2,0)),"CUIT NO CARGADO")</f>
        <v>INCAT SRL</v>
      </c>
      <c r="H159" s="484">
        <v>8814.48</v>
      </c>
      <c r="I159" s="328">
        <f>IF(compras_mes5[[#This Row],[NETO GRAVADO]]="","",compras_mes5[[#This Row],[NETO GRAVADO]]*0.21)</f>
        <v>1851.0407999999998</v>
      </c>
      <c r="J159" s="328"/>
      <c r="K159" s="328"/>
      <c r="L159" s="328"/>
      <c r="M159" s="328"/>
      <c r="N159" s="328"/>
      <c r="O159" s="328">
        <v>2334.48</v>
      </c>
      <c r="P159" s="327">
        <f>SUM(compras_mes5[[#This Row],[NETO GRAVADO]:[Otros / No Grav.]])</f>
        <v>13000.000799999998</v>
      </c>
      <c r="Q159" s="329" t="str">
        <f>IFERROR(IF(compras_mes5[[#This Row],[CUIT]]="","-",VLOOKUP(compras_mes5[[#This Row],[CUIT]],Lista_CUIT[#All],3,0)),"CUIT NO CARGADO")</f>
        <v>Combustible</v>
      </c>
      <c r="R159" s="329" t="str">
        <f>IFERROR(IF(compras_mes5[[#This Row],[CUIT]]="","-",VLOOKUP(compras_mes5[[#This Row],[CUIT]],Lista_CUIT[#All],4,0)),"CUIT NO CARGADO")</f>
        <v>CABA</v>
      </c>
    </row>
    <row r="160" spans="2:18" s="56" customFormat="1" ht="18.600000000000001" customHeight="1" x14ac:dyDescent="0.2">
      <c r="B160" s="478" t="s">
        <v>2460</v>
      </c>
      <c r="C160" s="480">
        <v>1</v>
      </c>
      <c r="D160" s="481">
        <v>21</v>
      </c>
      <c r="E160" s="482">
        <v>60903</v>
      </c>
      <c r="F160" s="483">
        <v>30515800219</v>
      </c>
      <c r="G160" s="333" t="str">
        <f>IFERROR(IF(compras_mes5[[#This Row],[CUIT]]="","-",VLOOKUP(compras_mes5[[#This Row],[CUIT]],Lista_CUIT[#All],2,0)),"CUIT NO CARGADO")</f>
        <v>INCAT SRL</v>
      </c>
      <c r="H160" s="484">
        <v>33223.760000000002</v>
      </c>
      <c r="I160" s="328">
        <f>IF(compras_mes5[[#This Row],[NETO GRAVADO]]="","",compras_mes5[[#This Row],[NETO GRAVADO]]*0.21)</f>
        <v>6976.9895999999999</v>
      </c>
      <c r="J160" s="328"/>
      <c r="K160" s="328"/>
      <c r="L160" s="328"/>
      <c r="M160" s="328"/>
      <c r="N160" s="328"/>
      <c r="O160" s="328">
        <v>8799.2000000000007</v>
      </c>
      <c r="P160" s="327">
        <f>SUM(compras_mes5[[#This Row],[NETO GRAVADO]:[Otros / No Grav.]])</f>
        <v>48999.949600000007</v>
      </c>
      <c r="Q160" s="329" t="str">
        <f>IFERROR(IF(compras_mes5[[#This Row],[CUIT]]="","-",VLOOKUP(compras_mes5[[#This Row],[CUIT]],Lista_CUIT[#All],3,0)),"CUIT NO CARGADO")</f>
        <v>Combustible</v>
      </c>
      <c r="R160" s="329" t="str">
        <f>IFERROR(IF(compras_mes5[[#This Row],[CUIT]]="","-",VLOOKUP(compras_mes5[[#This Row],[CUIT]],Lista_CUIT[#All],4,0)),"CUIT NO CARGADO")</f>
        <v>CABA</v>
      </c>
    </row>
    <row r="161" spans="2:18" s="56" customFormat="1" ht="18.600000000000001" customHeight="1" x14ac:dyDescent="0.2">
      <c r="B161" s="478" t="s">
        <v>2458</v>
      </c>
      <c r="C161" s="480">
        <v>1</v>
      </c>
      <c r="D161" s="481">
        <v>12</v>
      </c>
      <c r="E161" s="482">
        <v>64875</v>
      </c>
      <c r="F161" s="483">
        <v>30696131003</v>
      </c>
      <c r="G161" s="333" t="str">
        <f>IFERROR(IF(compras_mes5[[#This Row],[CUIT]]="","-",VLOOKUP(compras_mes5[[#This Row],[CUIT]],Lista_CUIT[#All],2,0)),"CUIT NO CARGADO")</f>
        <v>Petrolfe S.A.</v>
      </c>
      <c r="H161" s="484">
        <v>144400.14000000001</v>
      </c>
      <c r="I161" s="328">
        <f>IF(compras_mes5[[#This Row],[NETO GRAVADO]]="","",compras_mes5[[#This Row],[NETO GRAVADO]]*0.21)</f>
        <v>30324.029400000003</v>
      </c>
      <c r="J161" s="328"/>
      <c r="K161" s="328"/>
      <c r="L161" s="328"/>
      <c r="M161" s="328"/>
      <c r="N161" s="328"/>
      <c r="O161" s="328">
        <v>24726.67</v>
      </c>
      <c r="P161" s="327">
        <f>SUM(compras_mes5[[#This Row],[NETO GRAVADO]:[Otros / No Grav.]])</f>
        <v>199450.8394</v>
      </c>
      <c r="Q161" s="329" t="str">
        <f>IFERROR(IF(compras_mes5[[#This Row],[CUIT]]="","-",VLOOKUP(compras_mes5[[#This Row],[CUIT]],Lista_CUIT[#All],3,0)),"CUIT NO CARGADO")</f>
        <v>Combustible</v>
      </c>
      <c r="R161" s="329">
        <f>IFERROR(IF(compras_mes5[[#This Row],[CUIT]]="","-",VLOOKUP(compras_mes5[[#This Row],[CUIT]],Lista_CUIT[#All],4,0)),"CUIT NO CARGADO")</f>
        <v>0</v>
      </c>
    </row>
    <row r="162" spans="2:18" s="56" customFormat="1" ht="18.600000000000001" customHeight="1" x14ac:dyDescent="0.2">
      <c r="B162" s="478" t="s">
        <v>2464</v>
      </c>
      <c r="C162" s="41">
        <v>1</v>
      </c>
      <c r="D162" s="481">
        <v>12</v>
      </c>
      <c r="E162" s="482">
        <v>65421</v>
      </c>
      <c r="F162" s="483">
        <v>30696131003</v>
      </c>
      <c r="G162" s="333" t="str">
        <f>IFERROR(IF(compras_mes5[[#This Row],[CUIT]]="","-",VLOOKUP(compras_mes5[[#This Row],[CUIT]],Lista_CUIT[#All],2,0)),"CUIT NO CARGADO")</f>
        <v>Petrolfe S.A.</v>
      </c>
      <c r="H162" s="484">
        <v>176303.19</v>
      </c>
      <c r="I162" s="328">
        <f>IF(compras_mes5[[#This Row],[NETO GRAVADO]]="","",compras_mes5[[#This Row],[NETO GRAVADO]]*0.21)</f>
        <v>37023.669900000001</v>
      </c>
      <c r="J162" s="328"/>
      <c r="K162" s="328"/>
      <c r="L162" s="328"/>
      <c r="M162" s="328"/>
      <c r="N162" s="328"/>
      <c r="O162" s="328">
        <v>22452.06</v>
      </c>
      <c r="P162" s="327">
        <f>SUM(compras_mes5[[#This Row],[NETO GRAVADO]:[Otros / No Grav.]])</f>
        <v>235778.91990000001</v>
      </c>
      <c r="Q162" s="329" t="str">
        <f>IFERROR(IF(compras_mes5[[#This Row],[CUIT]]="","-",VLOOKUP(compras_mes5[[#This Row],[CUIT]],Lista_CUIT[#All],3,0)),"CUIT NO CARGADO")</f>
        <v>Combustible</v>
      </c>
      <c r="R162" s="329">
        <f>IFERROR(IF(compras_mes5[[#This Row],[CUIT]]="","-",VLOOKUP(compras_mes5[[#This Row],[CUIT]],Lista_CUIT[#All],4,0)),"CUIT NO CARGADO")</f>
        <v>0</v>
      </c>
    </row>
    <row r="163" spans="2:18" s="56" customFormat="1" ht="18.600000000000001" customHeight="1" x14ac:dyDescent="0.2">
      <c r="B163" s="478"/>
      <c r="C163" s="41"/>
      <c r="D163" s="481"/>
      <c r="E163" s="482"/>
      <c r="F163" s="483"/>
      <c r="G163" s="333" t="str">
        <f>IFERROR(IF(compras_mes5[[#This Row],[CUIT]]="","-",VLOOKUP(compras_mes5[[#This Row],[CUIT]],Lista_CUIT[#All],2,0)),"CUIT NO CARGADO")</f>
        <v>-</v>
      </c>
      <c r="H163" s="484"/>
      <c r="I163" s="328" t="str">
        <f>IF(compras_mes5[[#This Row],[NETO GRAVADO]]="","",compras_mes5[[#This Row],[NETO GRAVADO]]*0.21)</f>
        <v/>
      </c>
      <c r="J163" s="328"/>
      <c r="K163" s="328"/>
      <c r="L163" s="328"/>
      <c r="M163" s="328"/>
      <c r="N163" s="328"/>
      <c r="O163" s="328"/>
      <c r="P163" s="327">
        <f>SUM(compras_mes5[[#This Row],[NETO GRAVADO]:[Otros / No Grav.]])</f>
        <v>0</v>
      </c>
      <c r="Q163" s="329" t="str">
        <f>IFERROR(IF(compras_mes5[[#This Row],[CUIT]]="","-",VLOOKUP(compras_mes5[[#This Row],[CUIT]],Lista_CUIT[#All],3,0)),"CUIT NO CARGADO")</f>
        <v>-</v>
      </c>
      <c r="R163" s="329" t="str">
        <f>IFERROR(IF(compras_mes5[[#This Row],[CUIT]]="","-",VLOOKUP(compras_mes5[[#This Row],[CUIT]],Lista_CUIT[#All],4,0)),"CUIT NO CARGADO")</f>
        <v>-</v>
      </c>
    </row>
    <row r="164" spans="2:18" x14ac:dyDescent="0.25">
      <c r="B164" s="303"/>
      <c r="C164" s="311"/>
      <c r="D164" s="304"/>
      <c r="E164" s="305"/>
      <c r="F164" s="306"/>
      <c r="G164" s="307" t="str">
        <f>IFERROR(IF(compras_mes5[[#This Row],[CUIT]]="","-",VLOOKUP(compras_mes5[[#This Row],[CUIT]],Lista_CUIT[#All],2,0)),"CUIT NO CARGADO")</f>
        <v>-</v>
      </c>
      <c r="H164" s="308"/>
      <c r="I164" s="328" t="str">
        <f>IF(compras_mes5[[#This Row],[NETO GRAVADO]]="","",compras_mes5[[#This Row],[NETO GRAVADO]]*0.21)</f>
        <v/>
      </c>
      <c r="J164" s="309"/>
      <c r="K164" s="309"/>
      <c r="L164" s="309"/>
      <c r="M164" s="309"/>
      <c r="N164" s="309"/>
      <c r="O164" s="309"/>
      <c r="P164" s="312">
        <f>SUM(compras_mes5[[#This Row],[NETO GRAVADO]:[Otros / No Grav.]])</f>
        <v>0</v>
      </c>
      <c r="Q164" s="310" t="str">
        <f>IFERROR(IF(compras_mes5[[#This Row],[CUIT]]="","-",VLOOKUP(compras_mes5[[#This Row],[CUIT]],Lista_CUIT[#All],3,0)),"CUIT NO CARGADO")</f>
        <v>-</v>
      </c>
      <c r="R164" s="310" t="str">
        <f>IFERROR(IF(compras_mes5[[#This Row],[CUIT]]="","-",VLOOKUP(compras_mes5[[#This Row],[CUIT]],Lista_CUIT[#All],4,0)),"CUIT NO CARGADO")</f>
        <v>-</v>
      </c>
    </row>
    <row r="165" spans="2:18" x14ac:dyDescent="0.25">
      <c r="B165" s="95" t="s">
        <v>103</v>
      </c>
      <c r="C165" s="95"/>
      <c r="D165" s="95"/>
      <c r="E165" s="95"/>
      <c r="F165" s="95"/>
      <c r="G165" s="96"/>
      <c r="H165" s="97">
        <f>SUBTOTAL(109,compras_mes5[NETO GRAVADO])</f>
        <v>135216168.26999995</v>
      </c>
      <c r="I165" s="97">
        <f>SUBTOTAL(109,compras_mes5[IVA 21 %])</f>
        <v>27391586.857300006</v>
      </c>
      <c r="J165" s="97">
        <f>SUBTOTAL(109,compras_mes5[IVA 27%])</f>
        <v>45329.11</v>
      </c>
      <c r="K165" s="97">
        <f>SUBTOTAL(109,compras_mes5[IVA 10,5%])</f>
        <v>487121.32644999993</v>
      </c>
      <c r="L165" s="97">
        <f>SUBTOTAL(109,compras_mes5[PERC. IVA])</f>
        <v>16043.51</v>
      </c>
      <c r="M165" s="97">
        <f>SUBTOTAL(109,compras_mes5[PERC IIBB 
BS AS])</f>
        <v>1090097.6300000001</v>
      </c>
      <c r="N165" s="97">
        <f>SUBTOTAL(109,compras_mes5[PERC. IIBB CABA])</f>
        <v>101164.9</v>
      </c>
      <c r="O165" s="97">
        <f>SUBTOTAL(109,compras_mes5[Otros / No Grav.])</f>
        <v>9798224.5</v>
      </c>
      <c r="P165" s="97">
        <f>SUBTOTAL(109,compras_mes5[TOTAL])</f>
        <v>174145736.10375014</v>
      </c>
      <c r="Q165" s="95"/>
      <c r="R165" s="95"/>
    </row>
    <row r="166" spans="2:18" x14ac:dyDescent="0.25">
      <c r="B166" s="40"/>
      <c r="C166" s="41"/>
      <c r="D166" s="42"/>
      <c r="E166" s="43"/>
      <c r="F166" s="44"/>
      <c r="G166" s="128"/>
      <c r="H166" s="46"/>
      <c r="I166" s="47"/>
      <c r="J166" s="47"/>
      <c r="K166" s="47"/>
      <c r="L166" s="47"/>
      <c r="M166" s="47"/>
      <c r="N166" s="47"/>
      <c r="O166" s="47"/>
      <c r="P166" s="48"/>
      <c r="Q166" s="49"/>
      <c r="R166" s="49"/>
    </row>
    <row r="167" spans="2:18" ht="21" x14ac:dyDescent="0.25">
      <c r="D167" s="581" t="s">
        <v>15</v>
      </c>
      <c r="E167" s="581"/>
      <c r="F167" s="581"/>
      <c r="G167" s="581"/>
      <c r="H167" s="581"/>
      <c r="I167" s="581"/>
      <c r="J167" s="581"/>
      <c r="K167" s="581"/>
      <c r="L167" s="581"/>
      <c r="O167" s="127"/>
      <c r="P167" s="537"/>
    </row>
    <row r="168" spans="2:18" ht="15.75" x14ac:dyDescent="0.25">
      <c r="D168" s="73" t="s">
        <v>0</v>
      </c>
      <c r="E168" s="74" t="s">
        <v>26</v>
      </c>
      <c r="F168" s="74" t="s">
        <v>16</v>
      </c>
      <c r="G168" s="335" t="s">
        <v>5</v>
      </c>
      <c r="H168" s="74" t="s">
        <v>17</v>
      </c>
      <c r="I168" s="74" t="s">
        <v>7</v>
      </c>
      <c r="J168" s="75" t="s">
        <v>18</v>
      </c>
      <c r="K168" s="75" t="s">
        <v>19</v>
      </c>
      <c r="L168" s="76" t="s">
        <v>20</v>
      </c>
      <c r="M168" s="206" t="s">
        <v>1822</v>
      </c>
      <c r="P168" s="186"/>
      <c r="R168" s="33"/>
    </row>
    <row r="169" spans="2:18" x14ac:dyDescent="0.25">
      <c r="D169" s="50"/>
      <c r="E169" s="80"/>
      <c r="F169" s="166" t="s">
        <v>2445</v>
      </c>
      <c r="G169" s="538">
        <v>143310.64000000001</v>
      </c>
      <c r="H169" s="81">
        <v>29380.68</v>
      </c>
      <c r="I169" s="81">
        <v>357.58</v>
      </c>
      <c r="J169" s="81">
        <v>8598.64</v>
      </c>
      <c r="K169" s="81">
        <v>4197.24</v>
      </c>
      <c r="L169" s="81"/>
      <c r="M169" s="205">
        <f>SUM(extracto_banco_mes5[[#This Row],[NETO]:[PERC IIBB]])</f>
        <v>185844.77999999997</v>
      </c>
      <c r="P169" s="186"/>
    </row>
    <row r="170" spans="2:18" x14ac:dyDescent="0.25">
      <c r="D170" s="50"/>
      <c r="E170" s="80"/>
      <c r="F170" s="166" t="s">
        <v>2480</v>
      </c>
      <c r="G170" s="538">
        <v>6611.57</v>
      </c>
      <c r="H170" s="81">
        <f>extracto_banco_mes5[[#This Row],[NETO]]*0.21</f>
        <v>1388.4296999999999</v>
      </c>
      <c r="I170" s="81"/>
      <c r="J170" s="81">
        <v>6820.74</v>
      </c>
      <c r="K170" s="81">
        <v>198.35</v>
      </c>
      <c r="L170" s="81"/>
      <c r="M170" s="205">
        <f>SUM(extracto_banco_mes5[[#This Row],[NETO]:[PERC IIBB]])</f>
        <v>15019.089699999999</v>
      </c>
      <c r="P170" s="186"/>
    </row>
    <row r="171" spans="2:18" x14ac:dyDescent="0.25">
      <c r="D171" s="50"/>
      <c r="E171" s="80"/>
      <c r="F171" s="166" t="s">
        <v>2481</v>
      </c>
      <c r="G171" s="538">
        <v>48001.91</v>
      </c>
      <c r="H171" s="81">
        <f>extracto_banco_mes5[[#This Row],[NETO]]*0.21</f>
        <v>10080.401100000001</v>
      </c>
      <c r="I171" s="81"/>
      <c r="J171" s="81">
        <v>2880</v>
      </c>
      <c r="K171" s="81">
        <v>1440</v>
      </c>
      <c r="L171" s="81"/>
      <c r="M171" s="205">
        <f>SUM(extracto_banco_mes5[[#This Row],[NETO]:[PERC IIBB]])</f>
        <v>62402.311100000006</v>
      </c>
    </row>
    <row r="172" spans="2:18" x14ac:dyDescent="0.25">
      <c r="D172" s="50"/>
      <c r="E172" s="80"/>
      <c r="F172" s="166" t="s">
        <v>2482</v>
      </c>
      <c r="G172" s="538">
        <v>1734362.5199999998</v>
      </c>
      <c r="H172" s="81">
        <v>186935.66889999996</v>
      </c>
      <c r="I172" s="81">
        <v>78732.792350000003</v>
      </c>
      <c r="J172" s="81">
        <v>1709480.09</v>
      </c>
      <c r="K172" s="81"/>
      <c r="L172" s="200"/>
      <c r="M172" s="205">
        <f>SUM(extracto_banco_mes5[[#This Row],[NETO]:[PERC IIBB]])</f>
        <v>3709511.07125</v>
      </c>
    </row>
    <row r="173" spans="2:18" x14ac:dyDescent="0.25">
      <c r="D173" s="50"/>
      <c r="E173" s="80"/>
      <c r="F173" s="166" t="s">
        <v>2377</v>
      </c>
      <c r="G173" s="538">
        <v>129733.23809523809</v>
      </c>
      <c r="H173" s="81">
        <f>extracto_banco_mes5[[#This Row],[NETO]]*0.21</f>
        <v>27243.98</v>
      </c>
      <c r="I173" s="81"/>
      <c r="J173" s="81">
        <v>8597.7900000000009</v>
      </c>
      <c r="K173" s="81">
        <v>3774.69</v>
      </c>
      <c r="L173" s="200"/>
      <c r="M173" s="205">
        <f>SUM(extracto_banco_mes5[[#This Row],[NETO]:[PERC IIBB]])</f>
        <v>169349.6980952381</v>
      </c>
    </row>
    <row r="174" spans="2:18" x14ac:dyDescent="0.25">
      <c r="D174" s="50"/>
      <c r="E174" s="80"/>
      <c r="F174" s="166" t="s">
        <v>2447</v>
      </c>
      <c r="G174" s="538">
        <v>348324.14</v>
      </c>
      <c r="H174" s="81">
        <f>extracto_banco_mes5[[#This Row],[NETO]]*0.21</f>
        <v>73148.069399999993</v>
      </c>
      <c r="I174" s="81"/>
      <c r="J174" s="81">
        <v>393606.68</v>
      </c>
      <c r="K174" s="81"/>
      <c r="L174" s="200"/>
      <c r="M174" s="205">
        <f>SUM(extracto_banco_mes5[[#This Row],[NETO]:[PERC IIBB]])</f>
        <v>815078.88939999999</v>
      </c>
    </row>
    <row r="175" spans="2:18" x14ac:dyDescent="0.25">
      <c r="D175" s="50"/>
      <c r="E175" s="80"/>
      <c r="F175" s="166" t="s">
        <v>2483</v>
      </c>
      <c r="G175" s="538">
        <v>3966.94</v>
      </c>
      <c r="H175" s="81">
        <f>extracto_banco_mes5[[#This Row],[NETO]]*0.21</f>
        <v>833.05740000000003</v>
      </c>
      <c r="I175" s="81"/>
      <c r="J175" s="81">
        <v>532.20000000000005</v>
      </c>
      <c r="K175" s="81">
        <v>119.01</v>
      </c>
      <c r="L175" s="200"/>
      <c r="M175" s="205">
        <f>SUM(extracto_banco_mes5[[#This Row],[NETO]:[PERC IIBB]])</f>
        <v>5451.2074000000002</v>
      </c>
    </row>
    <row r="176" spans="2:18" x14ac:dyDescent="0.25">
      <c r="D176" s="345">
        <v>45688</v>
      </c>
      <c r="E176" s="492" t="s">
        <v>2484</v>
      </c>
      <c r="F176" s="166" t="s">
        <v>2485</v>
      </c>
      <c r="G176" s="539">
        <f>(2626.31*100/21)*1052</f>
        <v>13156562.476190476</v>
      </c>
      <c r="H176" s="81">
        <f>extracto_banco_mes5[[#This Row],[NETO]]*0.21</f>
        <v>2762878.1199999996</v>
      </c>
      <c r="I176" s="348"/>
      <c r="J176" s="348"/>
      <c r="K176" s="348"/>
      <c r="L176" s="348"/>
      <c r="M176" s="205">
        <f>SUM(extracto_banco_mes5[[#This Row],[NETO]:[PERC IIBB]])</f>
        <v>15919440.596190475</v>
      </c>
    </row>
    <row r="177" spans="4:13" x14ac:dyDescent="0.25">
      <c r="D177" s="345"/>
      <c r="E177" s="346"/>
      <c r="F177" s="166"/>
      <c r="G177" s="347"/>
      <c r="H177" s="81">
        <f>extracto_banco_mes5[[#This Row],[NETO]]*0.21</f>
        <v>0</v>
      </c>
      <c r="I177" s="348"/>
      <c r="J177" s="348"/>
      <c r="K177" s="348"/>
      <c r="L177" s="348"/>
      <c r="M177" s="349">
        <f>SUM(extracto_banco_mes5[[#This Row],[NETO]:[PERC IIBB]])</f>
        <v>0</v>
      </c>
    </row>
    <row r="178" spans="4:13" x14ac:dyDescent="0.25">
      <c r="D178" s="82" t="s">
        <v>103</v>
      </c>
      <c r="E178" s="80"/>
      <c r="F178" s="80"/>
      <c r="G178" s="336">
        <f>SUBTOTAL(109,extracto_banco_mes5[NETO])</f>
        <v>15570873.434285713</v>
      </c>
      <c r="H178" s="83">
        <f>SUBTOTAL(109,extracto_banco_mes5[IVA 21%])</f>
        <v>3091888.4064999996</v>
      </c>
      <c r="I178" s="83">
        <f>SUBTOTAL(109,extracto_banco_mes5[IVA 10,5%])</f>
        <v>79090.372350000005</v>
      </c>
      <c r="J178" s="83">
        <f>SUBTOTAL(109,extracto_banco_mes5[RET IIBB CABA])</f>
        <v>2130516.14</v>
      </c>
      <c r="K178" s="83">
        <f>SUBTOTAL(109,extracto_banco_mes5[PERC IVA])</f>
        <v>9729.2900000000009</v>
      </c>
      <c r="L178" s="83">
        <f>SUBTOTAL(109,extracto_banco_mes5[PERC IIBB])</f>
        <v>0</v>
      </c>
      <c r="M178" s="228"/>
    </row>
    <row r="179" spans="4:13" x14ac:dyDescent="0.25">
      <c r="D179" s="201"/>
      <c r="E179" s="202"/>
      <c r="F179" s="202"/>
      <c r="G179" s="337"/>
      <c r="H179" s="203"/>
      <c r="I179" s="203"/>
      <c r="J179" s="203"/>
      <c r="K179" s="203"/>
      <c r="L179" s="203"/>
      <c r="M179" s="204"/>
    </row>
    <row r="180" spans="4:13" ht="21" x14ac:dyDescent="0.25">
      <c r="D180" s="581" t="s">
        <v>25</v>
      </c>
      <c r="E180" s="581"/>
      <c r="F180" s="581"/>
      <c r="G180" s="581"/>
      <c r="H180" s="581"/>
      <c r="I180" s="581"/>
      <c r="J180" s="581"/>
      <c r="K180" s="581"/>
    </row>
    <row r="181" spans="4:13" x14ac:dyDescent="0.25">
      <c r="D181" s="51" t="s">
        <v>0</v>
      </c>
      <c r="E181" s="51" t="s">
        <v>2</v>
      </c>
      <c r="F181" s="51" t="s">
        <v>74</v>
      </c>
      <c r="G181" s="338" t="s">
        <v>3</v>
      </c>
      <c r="H181" s="51" t="s">
        <v>4</v>
      </c>
      <c r="I181" s="52" t="s">
        <v>10</v>
      </c>
      <c r="J181" s="51" t="s">
        <v>13</v>
      </c>
      <c r="K181" s="51" t="s">
        <v>38</v>
      </c>
    </row>
    <row r="182" spans="4:13" x14ac:dyDescent="0.25">
      <c r="D182" s="486" t="s">
        <v>2457</v>
      </c>
      <c r="E182" s="487">
        <v>1</v>
      </c>
      <c r="F182" s="486">
        <v>122</v>
      </c>
      <c r="G182" s="488">
        <v>20299505430</v>
      </c>
      <c r="H182" s="489" t="str">
        <f>IFERROR(IF(factura_c_mes5[[#This Row],[CUIT]]="","-",VLOOKUP(factura_c_mes5[[#This Row],[CUIT]],Lista_CUIT[#All],2,0)),"CUIT NO CARGADO")</f>
        <v>PRADO EMILIANO HERNAN</v>
      </c>
      <c r="I182" s="490">
        <v>792918</v>
      </c>
      <c r="J182" s="491" t="str">
        <f>IFERROR(IF(factura_c_mes5[[#This Row],[CUIT]]="","-",VLOOKUP(factura_c_mes5[[#This Row],[CUIT]],Lista_CUIT[#All],3,0)),"CUIT NO CARGADO")</f>
        <v>Material de Empaque</v>
      </c>
      <c r="K182" s="491">
        <f>IFERROR(IF(factura_c_mes5[[#This Row],[CUIT]]="","-",VLOOKUP(factura_c_mes5[[#This Row],[CUIT]],Lista_CUIT[#All],4,0)),"CUIT NO CARGADO")</f>
        <v>0</v>
      </c>
    </row>
    <row r="183" spans="4:13" x14ac:dyDescent="0.25">
      <c r="D183" s="486" t="s">
        <v>2460</v>
      </c>
      <c r="E183" s="487">
        <v>2</v>
      </c>
      <c r="F183" s="486">
        <v>425</v>
      </c>
      <c r="G183" s="488">
        <v>20300814094</v>
      </c>
      <c r="H183" s="489" t="str">
        <f>IFERROR(IF(factura_c_mes5[[#This Row],[CUIT]]="","-",VLOOKUP(factura_c_mes5[[#This Row],[CUIT]],Lista_CUIT[#All],2,0)),"CUIT NO CARGADO")</f>
        <v>FARRAPEIRA OSCAR MAXIMO</v>
      </c>
      <c r="I183" s="490">
        <v>957714</v>
      </c>
      <c r="J183" s="491" t="str">
        <f>IFERROR(IF(factura_c_mes5[[#This Row],[CUIT]]="","-",VLOOKUP(factura_c_mes5[[#This Row],[CUIT]],Lista_CUIT[#All],3,0)),"CUIT NO CARGADO")</f>
        <v>Material de Empaque</v>
      </c>
      <c r="K183" s="491">
        <f>IFERROR(IF(factura_c_mes5[[#This Row],[CUIT]]="","-",VLOOKUP(factura_c_mes5[[#This Row],[CUIT]],Lista_CUIT[#All],4,0)),"CUIT NO CARGADO")</f>
        <v>0</v>
      </c>
    </row>
    <row r="184" spans="4:13" x14ac:dyDescent="0.25">
      <c r="D184" s="50" t="s">
        <v>2479</v>
      </c>
      <c r="E184" s="42">
        <v>2</v>
      </c>
      <c r="F184" s="187">
        <v>426</v>
      </c>
      <c r="G184" s="339">
        <v>20300814094</v>
      </c>
      <c r="H184" s="326" t="str">
        <f>IFERROR(IF(factura_c_mes5[[#This Row],[CUIT]]="","-",VLOOKUP(factura_c_mes5[[#This Row],[CUIT]],Lista_CUIT[#All],2,0)),"CUIT NO CARGADO")</f>
        <v>FARRAPEIRA OSCAR MAXIMO</v>
      </c>
      <c r="I184" s="188">
        <v>1012026</v>
      </c>
      <c r="J184" s="189" t="str">
        <f>IFERROR(IF(factura_c_mes5[[#This Row],[CUIT]]="","-",VLOOKUP(factura_c_mes5[[#This Row],[CUIT]],Lista_CUIT[#All],3,0)),"CUIT NO CARGADO")</f>
        <v>Material de Empaque</v>
      </c>
      <c r="K184" s="189">
        <f>IFERROR(IF(factura_c_mes5[[#This Row],[CUIT]]="","-",VLOOKUP(factura_c_mes5[[#This Row],[CUIT]],Lista_CUIT[#All],4,0)),"CUIT NO CARGADO")</f>
        <v>0</v>
      </c>
    </row>
    <row r="185" spans="4:13" x14ac:dyDescent="0.25">
      <c r="D185" s="50" t="s">
        <v>2469</v>
      </c>
      <c r="E185" s="42">
        <v>1</v>
      </c>
      <c r="F185" s="187">
        <v>111</v>
      </c>
      <c r="G185" s="339">
        <v>20176922363</v>
      </c>
      <c r="H185" s="326" t="str">
        <f>IFERROR(IF(factura_c_mes5[[#This Row],[CUIT]]="","-",VLOOKUP(factura_c_mes5[[#This Row],[CUIT]],Lista_CUIT[#All],2,0)),"CUIT NO CARGADO")</f>
        <v>CASTILLO JUAN RAMON</v>
      </c>
      <c r="I185" s="188">
        <v>800000</v>
      </c>
      <c r="J185" s="189" t="str">
        <f>IFERROR(IF(factura_c_mes5[[#This Row],[CUIT]]="","-",VLOOKUP(factura_c_mes5[[#This Row],[CUIT]],Lista_CUIT[#All],3,0)),"CUIT NO CARGADO")</f>
        <v>Honorarios Profesionales</v>
      </c>
      <c r="K185" s="189">
        <f>IFERROR(IF(factura_c_mes5[[#This Row],[CUIT]]="","-",VLOOKUP(factura_c_mes5[[#This Row],[CUIT]],Lista_CUIT[#All],4,0)),"CUIT NO CARGADO")</f>
        <v>0</v>
      </c>
    </row>
    <row r="186" spans="4:13" x14ac:dyDescent="0.25">
      <c r="D186" s="50" t="s">
        <v>2476</v>
      </c>
      <c r="E186" s="42">
        <v>2</v>
      </c>
      <c r="F186" s="187">
        <v>764</v>
      </c>
      <c r="G186" s="339">
        <v>27218690160</v>
      </c>
      <c r="H186" s="326" t="str">
        <f>IFERROR(IF(factura_c_mes5[[#This Row],[CUIT]]="","-",VLOOKUP(factura_c_mes5[[#This Row],[CUIT]],Lista_CUIT[#All],2,0)),"CUIT NO CARGADO")</f>
        <v>RAMIREZ LAURA VERONICA</v>
      </c>
      <c r="I186" s="188">
        <v>28500</v>
      </c>
      <c r="J186" s="189" t="str">
        <f>IFERROR(IF(factura_c_mes5[[#This Row],[CUIT]]="","-",VLOOKUP(factura_c_mes5[[#This Row],[CUIT]],Lista_CUIT[#All],3,0)),"CUIT NO CARGADO")</f>
        <v>Honorarios Profesionales</v>
      </c>
      <c r="K186" s="189">
        <f>IFERROR(IF(factura_c_mes5[[#This Row],[CUIT]]="","-",VLOOKUP(factura_c_mes5[[#This Row],[CUIT]],Lista_CUIT[#All],4,0)),"CUIT NO CARGADO")</f>
        <v>0</v>
      </c>
    </row>
    <row r="187" spans="4:13" x14ac:dyDescent="0.25">
      <c r="D187" s="50" t="s">
        <v>2477</v>
      </c>
      <c r="E187" s="42">
        <v>2</v>
      </c>
      <c r="F187" s="187">
        <v>765</v>
      </c>
      <c r="G187" s="339">
        <v>27218690160</v>
      </c>
      <c r="H187" s="326" t="str">
        <f>IFERROR(IF(factura_c_mes5[[#This Row],[CUIT]]="","-",VLOOKUP(factura_c_mes5[[#This Row],[CUIT]],Lista_CUIT[#All],2,0)),"CUIT NO CARGADO")</f>
        <v>RAMIREZ LAURA VERONICA</v>
      </c>
      <c r="I187" s="188">
        <v>28500</v>
      </c>
      <c r="J187" s="189" t="str">
        <f>IFERROR(IF(factura_c_mes5[[#This Row],[CUIT]]="","-",VLOOKUP(factura_c_mes5[[#This Row],[CUIT]],Lista_CUIT[#All],3,0)),"CUIT NO CARGADO")</f>
        <v>Honorarios Profesionales</v>
      </c>
      <c r="K187" s="189">
        <f>IFERROR(IF(factura_c_mes5[[#This Row],[CUIT]]="","-",VLOOKUP(factura_c_mes5[[#This Row],[CUIT]],Lista_CUIT[#All],4,0)),"CUIT NO CARGADO")</f>
        <v>0</v>
      </c>
    </row>
    <row r="188" spans="4:13" x14ac:dyDescent="0.25">
      <c r="D188" s="50" t="s">
        <v>2477</v>
      </c>
      <c r="E188" s="42">
        <v>4</v>
      </c>
      <c r="F188" s="187">
        <v>1226</v>
      </c>
      <c r="G188" s="339">
        <v>23222942934</v>
      </c>
      <c r="H188" s="326" t="str">
        <f>IFERROR(IF(factura_c_mes5[[#This Row],[CUIT]]="","-",VLOOKUP(factura_c_mes5[[#This Row],[CUIT]],Lista_CUIT[#All],2,0)),"CUIT NO CARGADO")</f>
        <v>FIORI SILVIA LORENA</v>
      </c>
      <c r="I188" s="188">
        <v>187500</v>
      </c>
      <c r="J188" s="189" t="str">
        <f>IFERROR(IF(factura_c_mes5[[#This Row],[CUIT]]="","-",VLOOKUP(factura_c_mes5[[#This Row],[CUIT]],Lista_CUIT[#All],3,0)),"CUIT NO CARGADO")</f>
        <v>Honorarios Profesionales</v>
      </c>
      <c r="K188" s="189">
        <f>IFERROR(IF(factura_c_mes5[[#This Row],[CUIT]]="","-",VLOOKUP(factura_c_mes5[[#This Row],[CUIT]],Lista_CUIT[#All],4,0)),"CUIT NO CARGADO")</f>
        <v>0</v>
      </c>
    </row>
    <row r="189" spans="4:13" x14ac:dyDescent="0.25">
      <c r="D189" s="50" t="s">
        <v>2453</v>
      </c>
      <c r="E189" s="42">
        <v>3</v>
      </c>
      <c r="F189" s="187">
        <v>551</v>
      </c>
      <c r="G189" s="339">
        <v>20210551574</v>
      </c>
      <c r="H189" s="326" t="str">
        <f>IFERROR(IF(factura_c_mes5[[#This Row],[CUIT]]="","-",VLOOKUP(factura_c_mes5[[#This Row],[CUIT]],Lista_CUIT[#All],2,0)),"CUIT NO CARGADO")</f>
        <v>REUS JORGE DIEGO</v>
      </c>
      <c r="I189" s="188">
        <v>314000</v>
      </c>
      <c r="J189" s="189" t="str">
        <f>IFERROR(IF(factura_c_mes5[[#This Row],[CUIT]]="","-",VLOOKUP(factura_c_mes5[[#This Row],[CUIT]],Lista_CUIT[#All],3,0)),"CUIT NO CARGADO")</f>
        <v>Honorarios Legales</v>
      </c>
      <c r="K189" s="189">
        <f>IFERROR(IF(factura_c_mes5[[#This Row],[CUIT]]="","-",VLOOKUP(factura_c_mes5[[#This Row],[CUIT]],Lista_CUIT[#All],4,0)),"CUIT NO CARGADO")</f>
        <v>0</v>
      </c>
    </row>
    <row r="190" spans="4:13" x14ac:dyDescent="0.25">
      <c r="D190" s="50" t="s">
        <v>2474</v>
      </c>
      <c r="E190" s="42">
        <v>3</v>
      </c>
      <c r="F190" s="187">
        <v>559</v>
      </c>
      <c r="G190" s="339">
        <v>20210551574</v>
      </c>
      <c r="H190" s="326" t="str">
        <f>IFERROR(IF(factura_c_mes5[[#This Row],[CUIT]]="","-",VLOOKUP(factura_c_mes5[[#This Row],[CUIT]],Lista_CUIT[#All],2,0)),"CUIT NO CARGADO")</f>
        <v>REUS JORGE DIEGO</v>
      </c>
      <c r="I190" s="188">
        <v>323000</v>
      </c>
      <c r="J190" s="189" t="str">
        <f>IFERROR(IF(factura_c_mes5[[#This Row],[CUIT]]="","-",VLOOKUP(factura_c_mes5[[#This Row],[CUIT]],Lista_CUIT[#All],3,0)),"CUIT NO CARGADO")</f>
        <v>Honorarios Legales</v>
      </c>
      <c r="K190" s="189">
        <f>IFERROR(IF(factura_c_mes5[[#This Row],[CUIT]]="","-",VLOOKUP(factura_c_mes5[[#This Row],[CUIT]],Lista_CUIT[#All],4,0)),"CUIT NO CARGADO")</f>
        <v>0</v>
      </c>
    </row>
    <row r="191" spans="4:13" x14ac:dyDescent="0.25">
      <c r="D191" s="50" t="s">
        <v>2450</v>
      </c>
      <c r="E191" s="42">
        <v>4</v>
      </c>
      <c r="F191" s="187">
        <v>13</v>
      </c>
      <c r="G191" s="339">
        <v>20086277523</v>
      </c>
      <c r="H191" s="326" t="str">
        <f>IFERROR(IF(factura_c_mes5[[#This Row],[CUIT]]="","-",VLOOKUP(factura_c_mes5[[#This Row],[CUIT]],Lista_CUIT[#All],2,0)),"CUIT NO CARGADO")</f>
        <v>BOTINDARI JUAN CARLOS</v>
      </c>
      <c r="I191" s="188">
        <v>290000</v>
      </c>
      <c r="J191" s="189" t="str">
        <f>IFERROR(IF(factura_c_mes5[[#This Row],[CUIT]]="","-",VLOOKUP(factura_c_mes5[[#This Row],[CUIT]],Lista_CUIT[#All],3,0)),"CUIT NO CARGADO")</f>
        <v>Honorarios Contables</v>
      </c>
      <c r="K191" s="189">
        <f>IFERROR(IF(factura_c_mes5[[#This Row],[CUIT]]="","-",VLOOKUP(factura_c_mes5[[#This Row],[CUIT]],Lista_CUIT[#All],4,0)),"CUIT NO CARGADO")</f>
        <v>0</v>
      </c>
    </row>
    <row r="192" spans="4:13" x14ac:dyDescent="0.25">
      <c r="D192" s="50" t="s">
        <v>2450</v>
      </c>
      <c r="E192" s="42">
        <v>2</v>
      </c>
      <c r="F192" s="187">
        <v>384</v>
      </c>
      <c r="G192" s="339">
        <v>27206941419</v>
      </c>
      <c r="H192" s="485" t="str">
        <f>IFERROR(IF(factura_c_mes5[[#This Row],[CUIT]]="","-",VLOOKUP(factura_c_mes5[[#This Row],[CUIT]],Lista_CUIT[#All],2,0)),"CUIT NO CARGADO")</f>
        <v>DOBARRO PAULA MARCELA</v>
      </c>
      <c r="I192" s="188">
        <v>150000</v>
      </c>
      <c r="J192" s="54" t="str">
        <f>IFERROR(IF(factura_c_mes5[[#This Row],[CUIT]]="","-",VLOOKUP(factura_c_mes5[[#This Row],[CUIT]],Lista_CUIT[#All],3,0)),"CUIT NO CARGADO")</f>
        <v>Honorarios Contables</v>
      </c>
      <c r="K192" s="54">
        <f>IFERROR(IF(factura_c_mes5[[#This Row],[CUIT]]="","-",VLOOKUP(factura_c_mes5[[#This Row],[CUIT]],Lista_CUIT[#All],4,0)),"CUIT NO CARGADO")</f>
        <v>0</v>
      </c>
    </row>
    <row r="193" spans="4:11" x14ac:dyDescent="0.25">
      <c r="D193" s="486" t="s">
        <v>2455</v>
      </c>
      <c r="E193" s="487">
        <v>2</v>
      </c>
      <c r="F193" s="486">
        <v>337</v>
      </c>
      <c r="G193" s="488">
        <v>23319210954</v>
      </c>
      <c r="H193" s="489" t="str">
        <f>IFERROR(IF(factura_c_mes5[[#This Row],[CUIT]]="","-",VLOOKUP(factura_c_mes5[[#This Row],[CUIT]],Lista_CUIT[#All],2,0)),"CUIT NO CARGADO")</f>
        <v>CAFFARATTI ROMINA PAOLA</v>
      </c>
      <c r="I193" s="490">
        <v>327300</v>
      </c>
      <c r="J193" s="491" t="str">
        <f>IFERROR(IF(factura_c_mes5[[#This Row],[CUIT]]="","-",VLOOKUP(factura_c_mes5[[#This Row],[CUIT]],Lista_CUIT[#All],3,0)),"CUIT NO CARGADO")</f>
        <v>Honorarios Contables</v>
      </c>
      <c r="K193" s="491">
        <f>IFERROR(IF(factura_c_mes5[[#This Row],[CUIT]]="","-",VLOOKUP(factura_c_mes5[[#This Row],[CUIT]],Lista_CUIT[#All],4,0)),"CUIT NO CARGADO")</f>
        <v>0</v>
      </c>
    </row>
    <row r="194" spans="4:11" x14ac:dyDescent="0.25">
      <c r="D194" s="50" t="s">
        <v>2454</v>
      </c>
      <c r="E194" s="42">
        <v>1</v>
      </c>
      <c r="F194" s="187">
        <v>15</v>
      </c>
      <c r="G194" s="339">
        <v>27309116343</v>
      </c>
      <c r="H194" s="326" t="str">
        <f>IFERROR(IF(factura_c_mes5[[#This Row],[CUIT]]="","-",VLOOKUP(factura_c_mes5[[#This Row],[CUIT]],Lista_CUIT[#All],2,0)),"CUIT NO CARGADO")</f>
        <v>FERNANDEZ DANIELA NATALIA</v>
      </c>
      <c r="I194" s="188">
        <v>114000</v>
      </c>
      <c r="J194" s="189" t="str">
        <f>IFERROR(IF(factura_c_mes5[[#This Row],[CUIT]]="","-",VLOOKUP(factura_c_mes5[[#This Row],[CUIT]],Lista_CUIT[#All],3,0)),"CUIT NO CARGADO")</f>
        <v>Honorarios Administrativos</v>
      </c>
      <c r="K194" s="189">
        <f>IFERROR(IF(factura_c_mes5[[#This Row],[CUIT]]="","-",VLOOKUP(factura_c_mes5[[#This Row],[CUIT]],Lista_CUIT[#All],4,0)),"CUIT NO CARGADO")</f>
        <v>0</v>
      </c>
    </row>
    <row r="195" spans="4:11" x14ac:dyDescent="0.25">
      <c r="D195" s="486" t="s">
        <v>2462</v>
      </c>
      <c r="E195" s="487">
        <v>2</v>
      </c>
      <c r="F195" s="486">
        <v>19</v>
      </c>
      <c r="G195" s="488">
        <v>27226409799</v>
      </c>
      <c r="H195" s="489" t="str">
        <f>IFERROR(IF(factura_c_mes5[[#This Row],[CUIT]]="","-",VLOOKUP(factura_c_mes5[[#This Row],[CUIT]],Lista_CUIT[#All],2,0)),"CUIT NO CARGADO")</f>
        <v>CASTILLO BERTA YOLANDA</v>
      </c>
      <c r="I195" s="490">
        <v>400000</v>
      </c>
      <c r="J195" s="491" t="str">
        <f>IFERROR(IF(factura_c_mes5[[#This Row],[CUIT]]="","-",VLOOKUP(factura_c_mes5[[#This Row],[CUIT]],Lista_CUIT[#All],3,0)),"CUIT NO CARGADO")</f>
        <v>Honorarios Administrativos</v>
      </c>
      <c r="K195" s="491">
        <f>IFERROR(IF(factura_c_mes5[[#This Row],[CUIT]]="","-",VLOOKUP(factura_c_mes5[[#This Row],[CUIT]],Lista_CUIT[#All],4,0)),"CUIT NO CARGADO")</f>
        <v>0</v>
      </c>
    </row>
    <row r="196" spans="4:11" x14ac:dyDescent="0.25">
      <c r="D196" s="486" t="s">
        <v>2462</v>
      </c>
      <c r="E196" s="487">
        <v>2</v>
      </c>
      <c r="F196" s="486">
        <v>18</v>
      </c>
      <c r="G196" s="488">
        <v>27226409799</v>
      </c>
      <c r="H196" s="489" t="str">
        <f>IFERROR(IF(factura_c_mes5[[#This Row],[CUIT]]="","-",VLOOKUP(factura_c_mes5[[#This Row],[CUIT]],Lista_CUIT[#All],2,0)),"CUIT NO CARGADO")</f>
        <v>CASTILLO BERTA YOLANDA</v>
      </c>
      <c r="I196" s="490">
        <v>800000</v>
      </c>
      <c r="J196" s="491" t="str">
        <f>IFERROR(IF(factura_c_mes5[[#This Row],[CUIT]]="","-",VLOOKUP(factura_c_mes5[[#This Row],[CUIT]],Lista_CUIT[#All],3,0)),"CUIT NO CARGADO")</f>
        <v>Honorarios Administrativos</v>
      </c>
      <c r="K196" s="491">
        <f>IFERROR(IF(factura_c_mes5[[#This Row],[CUIT]]="","-",VLOOKUP(factura_c_mes5[[#This Row],[CUIT]],Lista_CUIT[#All],4,0)),"CUIT NO CARGADO")</f>
        <v>0</v>
      </c>
    </row>
    <row r="197" spans="4:11" x14ac:dyDescent="0.25">
      <c r="D197" s="50" t="s">
        <v>2469</v>
      </c>
      <c r="E197" s="42">
        <v>2</v>
      </c>
      <c r="F197" s="187">
        <v>19</v>
      </c>
      <c r="G197" s="339">
        <v>24180692653</v>
      </c>
      <c r="H197" s="326" t="str">
        <f>IFERROR(IF(factura_c_mes5[[#This Row],[CUIT]]="","-",VLOOKUP(factura_c_mes5[[#This Row],[CUIT]],Lista_CUIT[#All],2,0)),"CUIT NO CARGADO")</f>
        <v>CASTILLO JOSE MANUEL</v>
      </c>
      <c r="I197" s="188">
        <v>600000</v>
      </c>
      <c r="J197" s="189" t="str">
        <f>IFERROR(IF(factura_c_mes5[[#This Row],[CUIT]]="","-",VLOOKUP(factura_c_mes5[[#This Row],[CUIT]],Lista_CUIT[#All],3,0)),"CUIT NO CARGADO")</f>
        <v>Honorarios Administrativos</v>
      </c>
      <c r="K197" s="189">
        <f>IFERROR(IF(factura_c_mes5[[#This Row],[CUIT]]="","-",VLOOKUP(factura_c_mes5[[#This Row],[CUIT]],Lista_CUIT[#All],4,0)),"CUIT NO CARGADO")</f>
        <v>0</v>
      </c>
    </row>
    <row r="198" spans="4:11" x14ac:dyDescent="0.25">
      <c r="D198" s="50" t="s">
        <v>2469</v>
      </c>
      <c r="E198" s="42">
        <v>2</v>
      </c>
      <c r="F198" s="187">
        <v>20</v>
      </c>
      <c r="G198" s="339">
        <v>27226409799</v>
      </c>
      <c r="H198" s="485" t="str">
        <f>IFERROR(IF(factura_c_mes5[[#This Row],[CUIT]]="","-",VLOOKUP(factura_c_mes5[[#This Row],[CUIT]],Lista_CUIT[#All],2,0)),"CUIT NO CARGADO")</f>
        <v>CASTILLO BERTA YOLANDA</v>
      </c>
      <c r="I198" s="188">
        <v>600000</v>
      </c>
      <c r="J198" s="54" t="str">
        <f>IFERROR(IF(factura_c_mes5[[#This Row],[CUIT]]="","-",VLOOKUP(factura_c_mes5[[#This Row],[CUIT]],Lista_CUIT[#All],3,0)),"CUIT NO CARGADO")</f>
        <v>Honorarios Administrativos</v>
      </c>
      <c r="K198" s="54">
        <f>IFERROR(IF(factura_c_mes5[[#This Row],[CUIT]]="","-",VLOOKUP(factura_c_mes5[[#This Row],[CUIT]],Lista_CUIT[#All],4,0)),"CUIT NO CARGADO")</f>
        <v>0</v>
      </c>
    </row>
    <row r="199" spans="4:11" x14ac:dyDescent="0.25">
      <c r="D199" s="50" t="s">
        <v>2454</v>
      </c>
      <c r="E199" s="42">
        <v>2</v>
      </c>
      <c r="F199" s="187">
        <v>5286</v>
      </c>
      <c r="G199" s="339">
        <v>20136536320</v>
      </c>
      <c r="H199" s="326" t="str">
        <f>IFERROR(IF(factura_c_mes5[[#This Row],[CUIT]]="","-",VLOOKUP(factura_c_mes5[[#This Row],[CUIT]],Lista_CUIT[#All],2,0)),"CUIT NO CARGADO")</f>
        <v>FONTENLA ERNESTO MARIO</v>
      </c>
      <c r="I199" s="188">
        <v>14400</v>
      </c>
      <c r="J199" s="189" t="str">
        <f>IFERROR(IF(factura_c_mes5[[#This Row],[CUIT]]="","-",VLOOKUP(factura_c_mes5[[#This Row],[CUIT]],Lista_CUIT[#All],3,0)),"CUIT NO CARGADO")</f>
        <v>Gastos Varios</v>
      </c>
      <c r="K199" s="189" t="str">
        <f>IFERROR(IF(factura_c_mes5[[#This Row],[CUIT]]="","-",VLOOKUP(factura_c_mes5[[#This Row],[CUIT]],Lista_CUIT[#All],4,0)),"CUIT NO CARGADO")</f>
        <v>CABA</v>
      </c>
    </row>
    <row r="200" spans="4:11" x14ac:dyDescent="0.25">
      <c r="D200" s="486" t="s">
        <v>2457</v>
      </c>
      <c r="E200" s="487">
        <v>2</v>
      </c>
      <c r="F200" s="486">
        <v>5292</v>
      </c>
      <c r="G200" s="488">
        <v>20136536320</v>
      </c>
      <c r="H200" s="489" t="str">
        <f>IFERROR(IF(factura_c_mes5[[#This Row],[CUIT]]="","-",VLOOKUP(factura_c_mes5[[#This Row],[CUIT]],Lista_CUIT[#All],2,0)),"CUIT NO CARGADO")</f>
        <v>FONTENLA ERNESTO MARIO</v>
      </c>
      <c r="I200" s="490">
        <v>7250</v>
      </c>
      <c r="J200" s="491" t="str">
        <f>IFERROR(IF(factura_c_mes5[[#This Row],[CUIT]]="","-",VLOOKUP(factura_c_mes5[[#This Row],[CUIT]],Lista_CUIT[#All],3,0)),"CUIT NO CARGADO")</f>
        <v>Gastos Varios</v>
      </c>
      <c r="K200" s="491" t="str">
        <f>IFERROR(IF(factura_c_mes5[[#This Row],[CUIT]]="","-",VLOOKUP(factura_c_mes5[[#This Row],[CUIT]],Lista_CUIT[#All],4,0)),"CUIT NO CARGADO")</f>
        <v>CABA</v>
      </c>
    </row>
    <row r="201" spans="4:11" x14ac:dyDescent="0.25">
      <c r="D201" s="486" t="s">
        <v>2457</v>
      </c>
      <c r="E201" s="487">
        <v>2</v>
      </c>
      <c r="F201" s="486">
        <v>5293</v>
      </c>
      <c r="G201" s="488">
        <v>20136536320</v>
      </c>
      <c r="H201" s="489" t="str">
        <f>IFERROR(IF(factura_c_mes5[[#This Row],[CUIT]]="","-",VLOOKUP(factura_c_mes5[[#This Row],[CUIT]],Lista_CUIT[#All],2,0)),"CUIT NO CARGADO")</f>
        <v>FONTENLA ERNESTO MARIO</v>
      </c>
      <c r="I201" s="490">
        <v>1850</v>
      </c>
      <c r="J201" s="491" t="str">
        <f>IFERROR(IF(factura_c_mes5[[#This Row],[CUIT]]="","-",VLOOKUP(factura_c_mes5[[#This Row],[CUIT]],Lista_CUIT[#All],3,0)),"CUIT NO CARGADO")</f>
        <v>Gastos Varios</v>
      </c>
      <c r="K201" s="491" t="str">
        <f>IFERROR(IF(factura_c_mes5[[#This Row],[CUIT]]="","-",VLOOKUP(factura_c_mes5[[#This Row],[CUIT]],Lista_CUIT[#All],4,0)),"CUIT NO CARGADO")</f>
        <v>CABA</v>
      </c>
    </row>
    <row r="202" spans="4:11" x14ac:dyDescent="0.25">
      <c r="D202" s="486" t="s">
        <v>2459</v>
      </c>
      <c r="E202" s="487">
        <v>10</v>
      </c>
      <c r="F202" s="486">
        <v>263</v>
      </c>
      <c r="G202" s="488">
        <v>20302234389</v>
      </c>
      <c r="H202" s="489" t="str">
        <f>IFERROR(IF(factura_c_mes5[[#This Row],[CUIT]]="","-",VLOOKUP(factura_c_mes5[[#This Row],[CUIT]],Lista_CUIT[#All],2,0)),"CUIT NO CARGADO")</f>
        <v>VIGORELLI GUILLERMO DANIEL</v>
      </c>
      <c r="I202" s="490">
        <v>270000</v>
      </c>
      <c r="J202" s="491" t="str">
        <f>IFERROR(IF(factura_c_mes5[[#This Row],[CUIT]]="","-",VLOOKUP(factura_c_mes5[[#This Row],[CUIT]],Lista_CUIT[#All],3,0)),"CUIT NO CARGADO")</f>
        <v>Gastos Varios</v>
      </c>
      <c r="K202" s="491">
        <f>IFERROR(IF(factura_c_mes5[[#This Row],[CUIT]]="","-",VLOOKUP(factura_c_mes5[[#This Row],[CUIT]],Lista_CUIT[#All],4,0)),"CUIT NO CARGADO")</f>
        <v>0</v>
      </c>
    </row>
    <row r="203" spans="4:11" x14ac:dyDescent="0.25">
      <c r="D203" s="486" t="s">
        <v>2459</v>
      </c>
      <c r="E203" s="487">
        <v>10</v>
      </c>
      <c r="F203" s="486">
        <v>264</v>
      </c>
      <c r="G203" s="488">
        <v>20302234389</v>
      </c>
      <c r="H203" s="489" t="str">
        <f>IFERROR(IF(factura_c_mes5[[#This Row],[CUIT]]="","-",VLOOKUP(factura_c_mes5[[#This Row],[CUIT]],Lista_CUIT[#All],2,0)),"CUIT NO CARGADO")</f>
        <v>VIGORELLI GUILLERMO DANIEL</v>
      </c>
      <c r="I203" s="490">
        <v>270000</v>
      </c>
      <c r="J203" s="491" t="str">
        <f>IFERROR(IF(factura_c_mes5[[#This Row],[CUIT]]="","-",VLOOKUP(factura_c_mes5[[#This Row],[CUIT]],Lista_CUIT[#All],3,0)),"CUIT NO CARGADO")</f>
        <v>Gastos Varios</v>
      </c>
      <c r="K203" s="491">
        <f>IFERROR(IF(factura_c_mes5[[#This Row],[CUIT]]="","-",VLOOKUP(factura_c_mes5[[#This Row],[CUIT]],Lista_CUIT[#All],4,0)),"CUIT NO CARGADO")</f>
        <v>0</v>
      </c>
    </row>
    <row r="204" spans="4:11" x14ac:dyDescent="0.25">
      <c r="D204" s="486" t="s">
        <v>2461</v>
      </c>
      <c r="E204" s="487">
        <v>2</v>
      </c>
      <c r="F204" s="486">
        <v>5302</v>
      </c>
      <c r="G204" s="488">
        <v>20136536320</v>
      </c>
      <c r="H204" s="489" t="str">
        <f>IFERROR(IF(factura_c_mes5[[#This Row],[CUIT]]="","-",VLOOKUP(factura_c_mes5[[#This Row],[CUIT]],Lista_CUIT[#All],2,0)),"CUIT NO CARGADO")</f>
        <v>FONTENLA ERNESTO MARIO</v>
      </c>
      <c r="I204" s="490">
        <v>3800</v>
      </c>
      <c r="J204" s="491" t="str">
        <f>IFERROR(IF(factura_c_mes5[[#This Row],[CUIT]]="","-",VLOOKUP(factura_c_mes5[[#This Row],[CUIT]],Lista_CUIT[#All],3,0)),"CUIT NO CARGADO")</f>
        <v>Gastos Varios</v>
      </c>
      <c r="K204" s="491" t="str">
        <f>IFERROR(IF(factura_c_mes5[[#This Row],[CUIT]]="","-",VLOOKUP(factura_c_mes5[[#This Row],[CUIT]],Lista_CUIT[#All],4,0)),"CUIT NO CARGADO")</f>
        <v>CABA</v>
      </c>
    </row>
    <row r="205" spans="4:11" x14ac:dyDescent="0.25">
      <c r="D205" s="486" t="s">
        <v>2461</v>
      </c>
      <c r="E205" s="487">
        <v>3</v>
      </c>
      <c r="F205" s="486">
        <v>1783</v>
      </c>
      <c r="G205" s="488">
        <v>20173025557</v>
      </c>
      <c r="H205" s="489" t="str">
        <f>IFERROR(IF(factura_c_mes5[[#This Row],[CUIT]]="","-",VLOOKUP(factura_c_mes5[[#This Row],[CUIT]],Lista_CUIT[#All],2,0)),"CUIT NO CARGADO")</f>
        <v>MARAUDA HECTOR</v>
      </c>
      <c r="I205" s="490">
        <v>8000</v>
      </c>
      <c r="J205" s="491" t="str">
        <f>IFERROR(IF(factura_c_mes5[[#This Row],[CUIT]]="","-",VLOOKUP(factura_c_mes5[[#This Row],[CUIT]],Lista_CUIT[#All],3,0)),"CUIT NO CARGADO")</f>
        <v>Gastos Varios</v>
      </c>
      <c r="K205" s="491">
        <f>IFERROR(IF(factura_c_mes5[[#This Row],[CUIT]]="","-",VLOOKUP(factura_c_mes5[[#This Row],[CUIT]],Lista_CUIT[#All],4,0)),"CUIT NO CARGADO")</f>
        <v>0</v>
      </c>
    </row>
    <row r="206" spans="4:11" x14ac:dyDescent="0.25">
      <c r="D206" s="486" t="s">
        <v>2463</v>
      </c>
      <c r="E206" s="487">
        <v>2</v>
      </c>
      <c r="F206" s="486">
        <v>5308</v>
      </c>
      <c r="G206" s="488">
        <v>20136536320</v>
      </c>
      <c r="H206" s="489" t="str">
        <f>IFERROR(IF(factura_c_mes5[[#This Row],[CUIT]]="","-",VLOOKUP(factura_c_mes5[[#This Row],[CUIT]],Lista_CUIT[#All],2,0)),"CUIT NO CARGADO")</f>
        <v>FONTENLA ERNESTO MARIO</v>
      </c>
      <c r="I206" s="490">
        <v>9120</v>
      </c>
      <c r="J206" s="491" t="str">
        <f>IFERROR(IF(factura_c_mes5[[#This Row],[CUIT]]="","-",VLOOKUP(factura_c_mes5[[#This Row],[CUIT]],Lista_CUIT[#All],3,0)),"CUIT NO CARGADO")</f>
        <v>Gastos Varios</v>
      </c>
      <c r="K206" s="491" t="str">
        <f>IFERROR(IF(factura_c_mes5[[#This Row],[CUIT]]="","-",VLOOKUP(factura_c_mes5[[#This Row],[CUIT]],Lista_CUIT[#All],4,0)),"CUIT NO CARGADO")</f>
        <v>CABA</v>
      </c>
    </row>
    <row r="207" spans="4:11" x14ac:dyDescent="0.25">
      <c r="D207" s="486" t="s">
        <v>2463</v>
      </c>
      <c r="E207" s="487">
        <v>2</v>
      </c>
      <c r="F207" s="486">
        <v>5309</v>
      </c>
      <c r="G207" s="488">
        <v>20136536320</v>
      </c>
      <c r="H207" s="489" t="str">
        <f>IFERROR(IF(factura_c_mes5[[#This Row],[CUIT]]="","-",VLOOKUP(factura_c_mes5[[#This Row],[CUIT]],Lista_CUIT[#All],2,0)),"CUIT NO CARGADO")</f>
        <v>FONTENLA ERNESTO MARIO</v>
      </c>
      <c r="I207" s="490">
        <v>4300</v>
      </c>
      <c r="J207" s="491" t="str">
        <f>IFERROR(IF(factura_c_mes5[[#This Row],[CUIT]]="","-",VLOOKUP(factura_c_mes5[[#This Row],[CUIT]],Lista_CUIT[#All],3,0)),"CUIT NO CARGADO")</f>
        <v>Gastos Varios</v>
      </c>
      <c r="K207" s="491" t="str">
        <f>IFERROR(IF(factura_c_mes5[[#This Row],[CUIT]]="","-",VLOOKUP(factura_c_mes5[[#This Row],[CUIT]],Lista_CUIT[#All],4,0)),"CUIT NO CARGADO")</f>
        <v>CABA</v>
      </c>
    </row>
    <row r="208" spans="4:11" x14ac:dyDescent="0.25">
      <c r="D208" s="50" t="s">
        <v>2469</v>
      </c>
      <c r="E208" s="42">
        <v>2</v>
      </c>
      <c r="F208" s="187">
        <v>5315</v>
      </c>
      <c r="G208" s="339">
        <v>20136536320</v>
      </c>
      <c r="H208" s="326" t="str">
        <f>IFERROR(IF(factura_c_mes5[[#This Row],[CUIT]]="","-",VLOOKUP(factura_c_mes5[[#This Row],[CUIT]],Lista_CUIT[#All],2,0)),"CUIT NO CARGADO")</f>
        <v>FONTENLA ERNESTO MARIO</v>
      </c>
      <c r="I208" s="188">
        <v>10125</v>
      </c>
      <c r="J208" s="189" t="str">
        <f>IFERROR(IF(factura_c_mes5[[#This Row],[CUIT]]="","-",VLOOKUP(factura_c_mes5[[#This Row],[CUIT]],Lista_CUIT[#All],3,0)),"CUIT NO CARGADO")</f>
        <v>Gastos Varios</v>
      </c>
      <c r="K208" s="189" t="str">
        <f>IFERROR(IF(factura_c_mes5[[#This Row],[CUIT]]="","-",VLOOKUP(factura_c_mes5[[#This Row],[CUIT]],Lista_CUIT[#All],4,0)),"CUIT NO CARGADO")</f>
        <v>CABA</v>
      </c>
    </row>
    <row r="209" spans="2:18" x14ac:dyDescent="0.25">
      <c r="D209" s="50" t="s">
        <v>2470</v>
      </c>
      <c r="E209" s="42">
        <v>2</v>
      </c>
      <c r="F209" s="187">
        <v>5319</v>
      </c>
      <c r="G209" s="339">
        <v>20136536320</v>
      </c>
      <c r="H209" s="485" t="str">
        <f>IFERROR(IF(factura_c_mes5[[#This Row],[CUIT]]="","-",VLOOKUP(factura_c_mes5[[#This Row],[CUIT]],Lista_CUIT[#All],2,0)),"CUIT NO CARGADO")</f>
        <v>FONTENLA ERNESTO MARIO</v>
      </c>
      <c r="I209" s="188">
        <v>1700</v>
      </c>
      <c r="J209" s="54" t="str">
        <f>IFERROR(IF(factura_c_mes5[[#This Row],[CUIT]]="","-",VLOOKUP(factura_c_mes5[[#This Row],[CUIT]],Lista_CUIT[#All],3,0)),"CUIT NO CARGADO")</f>
        <v>Gastos Varios</v>
      </c>
      <c r="K209" s="54" t="str">
        <f>IFERROR(IF(factura_c_mes5[[#This Row],[CUIT]]="","-",VLOOKUP(factura_c_mes5[[#This Row],[CUIT]],Lista_CUIT[#All],4,0)),"CUIT NO CARGADO")</f>
        <v>CABA</v>
      </c>
    </row>
    <row r="210" spans="2:18" x14ac:dyDescent="0.25">
      <c r="D210" s="50" t="s">
        <v>2470</v>
      </c>
      <c r="E210" s="42">
        <v>2</v>
      </c>
      <c r="F210" s="187">
        <v>5320</v>
      </c>
      <c r="G210" s="339">
        <v>20136536320</v>
      </c>
      <c r="H210" s="326" t="str">
        <f>IFERROR(IF(factura_c_mes5[[#This Row],[CUIT]]="","-",VLOOKUP(factura_c_mes5[[#This Row],[CUIT]],Lista_CUIT[#All],2,0)),"CUIT NO CARGADO")</f>
        <v>FONTENLA ERNESTO MARIO</v>
      </c>
      <c r="I210" s="188">
        <v>3400</v>
      </c>
      <c r="J210" s="189" t="str">
        <f>IFERROR(IF(factura_c_mes5[[#This Row],[CUIT]]="","-",VLOOKUP(factura_c_mes5[[#This Row],[CUIT]],Lista_CUIT[#All],3,0)),"CUIT NO CARGADO")</f>
        <v>Gastos Varios</v>
      </c>
      <c r="K210" s="189" t="str">
        <f>IFERROR(IF(factura_c_mes5[[#This Row],[CUIT]]="","-",VLOOKUP(factura_c_mes5[[#This Row],[CUIT]],Lista_CUIT[#All],4,0)),"CUIT NO CARGADO")</f>
        <v>CABA</v>
      </c>
    </row>
    <row r="211" spans="2:18" ht="17.25" customHeight="1" x14ac:dyDescent="0.25">
      <c r="D211" s="50" t="s">
        <v>2472</v>
      </c>
      <c r="E211" s="42">
        <v>2</v>
      </c>
      <c r="F211" s="187">
        <v>5364</v>
      </c>
      <c r="G211" s="339">
        <v>20136536320</v>
      </c>
      <c r="H211" s="326" t="str">
        <f>IFERROR(IF(factura_c_mes5[[#This Row],[CUIT]]="","-",VLOOKUP(factura_c_mes5[[#This Row],[CUIT]],Lista_CUIT[#All],2,0)),"CUIT NO CARGADO")</f>
        <v>FONTENLA ERNESTO MARIO</v>
      </c>
      <c r="I211" s="188">
        <v>12500</v>
      </c>
      <c r="J211" s="189" t="str">
        <f>IFERROR(IF(factura_c_mes5[[#This Row],[CUIT]]="","-",VLOOKUP(factura_c_mes5[[#This Row],[CUIT]],Lista_CUIT[#All],3,0)),"CUIT NO CARGADO")</f>
        <v>Gastos Varios</v>
      </c>
      <c r="K211" s="189" t="str">
        <f>IFERROR(IF(factura_c_mes5[[#This Row],[CUIT]]="","-",VLOOKUP(factura_c_mes5[[#This Row],[CUIT]],Lista_CUIT[#All],4,0)),"CUIT NO CARGADO")</f>
        <v>CABA</v>
      </c>
    </row>
    <row r="212" spans="2:18" x14ac:dyDescent="0.25">
      <c r="D212" s="486" t="s">
        <v>2456</v>
      </c>
      <c r="E212" s="487">
        <v>41</v>
      </c>
      <c r="F212" s="486">
        <v>635330</v>
      </c>
      <c r="G212" s="488">
        <v>30718553519</v>
      </c>
      <c r="H212" s="489" t="str">
        <f>IFERROR(IF(factura_c_mes5[[#This Row],[CUIT]]="","-",VLOOKUP(factura_c_mes5[[#This Row],[CUIT]],Lista_CUIT[#All],2,0)),"CUIT NO CARGADO")</f>
        <v>AUTOPISTA PROVINCIAL AP 01</v>
      </c>
      <c r="I212" s="490">
        <v>800</v>
      </c>
      <c r="J212" s="491" t="str">
        <f>IFERROR(IF(factura_c_mes5[[#This Row],[CUIT]]="","-",VLOOKUP(factura_c_mes5[[#This Row],[CUIT]],Lista_CUIT[#All],3,0)),"CUIT NO CARGADO")</f>
        <v>Peajes</v>
      </c>
      <c r="K212" s="491">
        <f>IFERROR(IF(factura_c_mes5[[#This Row],[CUIT]]="","-",VLOOKUP(factura_c_mes5[[#This Row],[CUIT]],Lista_CUIT[#All],4,0)),"CUIT NO CARGADO")</f>
        <v>0</v>
      </c>
    </row>
    <row r="213" spans="2:18" x14ac:dyDescent="0.25">
      <c r="D213" s="486" t="s">
        <v>2478</v>
      </c>
      <c r="E213" s="487">
        <v>1</v>
      </c>
      <c r="F213" s="486">
        <v>4</v>
      </c>
      <c r="G213" s="488">
        <v>27250242536</v>
      </c>
      <c r="H213" s="489" t="str">
        <f>IFERROR(IF(factura_c_mes5[[#This Row],[CUIT]]="","-",VLOOKUP(factura_c_mes5[[#This Row],[CUIT]],Lista_CUIT[#All],2,0)),"CUIT NO CARGADO")</f>
        <v>TUNDIS AIDA ESPERANZA</v>
      </c>
      <c r="I213" s="490">
        <v>57000</v>
      </c>
      <c r="J213" s="491" t="str">
        <f>IFERROR(IF(factura_c_mes5[[#This Row],[CUIT]]="","-",VLOOKUP(factura_c_mes5[[#This Row],[CUIT]],Lista_CUIT[#All],3,0)),"CUIT NO CARGADO")</f>
        <v>Gtos. Administrativos</v>
      </c>
      <c r="K213" s="491">
        <f>IFERROR(IF(factura_c_mes5[[#This Row],[CUIT]]="","-",VLOOKUP(factura_c_mes5[[#This Row],[CUIT]],Lista_CUIT[#All],4,0)),"CUIT NO CARGADO")</f>
        <v>0</v>
      </c>
    </row>
    <row r="214" spans="2:18" x14ac:dyDescent="0.25">
      <c r="B214" s="56"/>
      <c r="C214" s="56"/>
      <c r="D214" s="486" t="s">
        <v>2478</v>
      </c>
      <c r="E214" s="487">
        <v>1</v>
      </c>
      <c r="F214" s="486">
        <v>5</v>
      </c>
      <c r="G214" s="488">
        <v>27250242536</v>
      </c>
      <c r="H214" s="489" t="str">
        <f>IFERROR(IF(factura_c_mes5[[#This Row],[CUIT]]="","-",VLOOKUP(factura_c_mes5[[#This Row],[CUIT]],Lista_CUIT[#All],2,0)),"CUIT NO CARGADO")</f>
        <v>TUNDIS AIDA ESPERANZA</v>
      </c>
      <c r="I214" s="490">
        <v>57000</v>
      </c>
      <c r="J214" s="491" t="str">
        <f>IFERROR(IF(factura_c_mes5[[#This Row],[CUIT]]="","-",VLOOKUP(factura_c_mes5[[#This Row],[CUIT]],Lista_CUIT[#All],3,0)),"CUIT NO CARGADO")</f>
        <v>Gtos. Administrativos</v>
      </c>
      <c r="K214" s="491">
        <f>IFERROR(IF(factura_c_mes5[[#This Row],[CUIT]]="","-",VLOOKUP(factura_c_mes5[[#This Row],[CUIT]],Lista_CUIT[#All],4,0)),"CUIT NO CARGADO")</f>
        <v>0</v>
      </c>
      <c r="L214" s="56"/>
      <c r="M214" s="56"/>
      <c r="N214" s="56"/>
      <c r="O214" s="56"/>
      <c r="P214" s="56"/>
      <c r="Q214" s="56"/>
      <c r="R214" s="56"/>
    </row>
    <row r="215" spans="2:18" x14ac:dyDescent="0.25">
      <c r="D215" s="50" t="s">
        <v>2469</v>
      </c>
      <c r="E215" s="42">
        <v>1</v>
      </c>
      <c r="F215" s="187">
        <v>9</v>
      </c>
      <c r="G215" s="339">
        <v>27203738418</v>
      </c>
      <c r="H215" s="485" t="str">
        <f>IFERROR(IF(factura_c_mes5[[#This Row],[CUIT]]="","-",VLOOKUP(factura_c_mes5[[#This Row],[CUIT]],Lista_CUIT[#All],2,0)),"CUIT NO CARGADO")</f>
        <v>CASTILLO DELIA CRISTINA</v>
      </c>
      <c r="I215" s="188">
        <v>600000</v>
      </c>
      <c r="J215" s="54" t="str">
        <f>IFERROR(IF(factura_c_mes5[[#This Row],[CUIT]]="","-",VLOOKUP(factura_c_mes5[[#This Row],[CUIT]],Lista_CUIT[#All],3,0)),"CUIT NO CARGADO")</f>
        <v>Gtos. Administrativos</v>
      </c>
      <c r="K215" s="54">
        <f>IFERROR(IF(factura_c_mes5[[#This Row],[CUIT]]="","-",VLOOKUP(factura_c_mes5[[#This Row],[CUIT]],Lista_CUIT[#All],4,0)),"CUIT NO CARGADO")</f>
        <v>0</v>
      </c>
    </row>
    <row r="216" spans="2:18" x14ac:dyDescent="0.25">
      <c r="D216" s="50" t="s">
        <v>2456</v>
      </c>
      <c r="E216" s="42">
        <v>31</v>
      </c>
      <c r="F216" s="187">
        <v>28516</v>
      </c>
      <c r="G216" s="339">
        <v>30716221039</v>
      </c>
      <c r="H216" s="326" t="str">
        <f>IFERROR(IF(factura_c_mes5[[#This Row],[CUIT]]="","-",VLOOKUP(factura_c_mes5[[#This Row],[CUIT]],Lista_CUIT[#All],2,0)),"CUIT NO CARGADO")</f>
        <v>FLYLABS S.A.S</v>
      </c>
      <c r="I216" s="188">
        <v>19499</v>
      </c>
      <c r="J216" s="189" t="str">
        <f>IFERROR(IF(factura_c_mes5[[#This Row],[CUIT]]="","-",VLOOKUP(factura_c_mes5[[#This Row],[CUIT]],Lista_CUIT[#All],3,0)),"CUIT NO CARGADO")</f>
        <v>Gastos Cosmeticos</v>
      </c>
      <c r="K216" s="189">
        <f>IFERROR(IF(factura_c_mes5[[#This Row],[CUIT]]="","-",VLOOKUP(factura_c_mes5[[#This Row],[CUIT]],Lista_CUIT[#All],4,0)),"CUIT NO CARGADO")</f>
        <v>0</v>
      </c>
    </row>
    <row r="217" spans="2:18" ht="28.9" customHeight="1" x14ac:dyDescent="0.25">
      <c r="D217" s="50" t="s">
        <v>2454</v>
      </c>
      <c r="E217" s="42">
        <v>9</v>
      </c>
      <c r="F217" s="187">
        <v>5206774</v>
      </c>
      <c r="G217" s="339">
        <v>33715179119</v>
      </c>
      <c r="H217" s="326" t="str">
        <f>IFERROR(IF(factura_c_mes5[[#This Row],[CUIT]]="","-",VLOOKUP(factura_c_mes5[[#This Row],[CUIT]],Lista_CUIT[#All],2,0)),"CUIT NO CARGADO")</f>
        <v>FONDO DE COOPERACION TECNICA Y FINANCIERA - CECBA - SL Y T - LEY 23.412</v>
      </c>
      <c r="I217" s="188">
        <v>17000</v>
      </c>
      <c r="J217" s="189" t="str">
        <f>IFERROR(IF(factura_c_mes5[[#This Row],[CUIT]]="","-",VLOOKUP(factura_c_mes5[[#This Row],[CUIT]],Lista_CUIT[#All],3,0)),"CUIT NO CARGADO")</f>
        <v>Gastos Varios</v>
      </c>
      <c r="K217" s="189">
        <f>IFERROR(IF(factura_c_mes5[[#This Row],[CUIT]]="","-",VLOOKUP(factura_c_mes5[[#This Row],[CUIT]],Lista_CUIT[#All],4,0)),"CUIT NO CARGADO")</f>
        <v>0</v>
      </c>
    </row>
    <row r="218" spans="2:18" x14ac:dyDescent="0.25">
      <c r="D218" s="50" t="s">
        <v>2454</v>
      </c>
      <c r="E218" s="42">
        <v>1</v>
      </c>
      <c r="F218" s="187">
        <v>1088</v>
      </c>
      <c r="G218" s="339">
        <v>30716228955</v>
      </c>
      <c r="H218" s="326" t="str">
        <f>IFERROR(IF(factura_c_mes5[[#This Row],[CUIT]]="","-",VLOOKUP(factura_c_mes5[[#This Row],[CUIT]],Lista_CUIT[#All],2,0)),"CUIT NO CARGADO")</f>
        <v>ACONQUIJA CLUB DE VUELO Y AVENTURA ASOCIACION CIVIL</v>
      </c>
      <c r="I218" s="188">
        <v>200000</v>
      </c>
      <c r="J218" s="189" t="str">
        <f>IFERROR(IF(factura_c_mes5[[#This Row],[CUIT]]="","-",VLOOKUP(factura_c_mes5[[#This Row],[CUIT]],Lista_CUIT[#All],3,0)),"CUIT NO CARGADO")</f>
        <v>Representacion</v>
      </c>
      <c r="K218" s="189">
        <f>IFERROR(IF(factura_c_mes5[[#This Row],[CUIT]]="","-",VLOOKUP(factura_c_mes5[[#This Row],[CUIT]],Lista_CUIT[#All],4,0)),"CUIT NO CARGADO")</f>
        <v>0</v>
      </c>
    </row>
    <row r="219" spans="2:18" x14ac:dyDescent="0.25">
      <c r="D219" s="50" t="s">
        <v>2454</v>
      </c>
      <c r="E219" s="42">
        <v>1</v>
      </c>
      <c r="F219" s="187">
        <v>1089</v>
      </c>
      <c r="G219" s="339">
        <v>30716228955</v>
      </c>
      <c r="H219" s="326" t="str">
        <f>IFERROR(IF(factura_c_mes5[[#This Row],[CUIT]]="","-",VLOOKUP(factura_c_mes5[[#This Row],[CUIT]],Lista_CUIT[#All],2,0)),"CUIT NO CARGADO")</f>
        <v>ACONQUIJA CLUB DE VUELO Y AVENTURA ASOCIACION CIVIL</v>
      </c>
      <c r="I219" s="188">
        <v>60000</v>
      </c>
      <c r="J219" s="189" t="str">
        <f>IFERROR(IF(factura_c_mes5[[#This Row],[CUIT]]="","-",VLOOKUP(factura_c_mes5[[#This Row],[CUIT]],Lista_CUIT[#All],3,0)),"CUIT NO CARGADO")</f>
        <v>Representacion</v>
      </c>
      <c r="K219" s="189">
        <f>IFERROR(IF(factura_c_mes5[[#This Row],[CUIT]]="","-",VLOOKUP(factura_c_mes5[[#This Row],[CUIT]],Lista_CUIT[#All],4,0)),"CUIT NO CARGADO")</f>
        <v>0</v>
      </c>
    </row>
    <row r="220" spans="2:18" x14ac:dyDescent="0.25">
      <c r="D220" s="486" t="s">
        <v>2466</v>
      </c>
      <c r="E220" s="487">
        <v>3</v>
      </c>
      <c r="F220" s="486">
        <v>565</v>
      </c>
      <c r="G220" s="488">
        <v>20268898221</v>
      </c>
      <c r="H220" s="489" t="str">
        <f>IFERROR(IF(factura_c_mes5[[#This Row],[CUIT]]="","-",VLOOKUP(factura_c_mes5[[#This Row],[CUIT]],Lista_CUIT[#All],2,0)),"CUIT NO CARGADO")</f>
        <v>NAGEL DANIEL ALEJANDRO</v>
      </c>
      <c r="I220" s="490">
        <v>180000</v>
      </c>
      <c r="J220" s="491" t="str">
        <f>IFERROR(IF(factura_c_mes5[[#This Row],[CUIT]]="","-",VLOOKUP(factura_c_mes5[[#This Row],[CUIT]],Lista_CUIT[#All],3,0)),"CUIT NO CARGADO")</f>
        <v>Mantenimiento</v>
      </c>
      <c r="K220" s="491">
        <f>IFERROR(IF(factura_c_mes5[[#This Row],[CUIT]]="","-",VLOOKUP(factura_c_mes5[[#This Row],[CUIT]],Lista_CUIT[#All],4,0)),"CUIT NO CARGADO")</f>
        <v>0</v>
      </c>
    </row>
    <row r="221" spans="2:18" x14ac:dyDescent="0.25">
      <c r="D221" s="55" t="s">
        <v>103</v>
      </c>
      <c r="E221" s="55"/>
      <c r="F221" s="55"/>
      <c r="G221" s="57"/>
      <c r="H221" s="57"/>
      <c r="I221" s="58">
        <f>SUBTOTAL(109,factura_c_mes5[TOTAL])</f>
        <v>9533202</v>
      </c>
      <c r="J221" s="55"/>
      <c r="K221" s="55"/>
    </row>
    <row r="222" spans="2:18" x14ac:dyDescent="0.25">
      <c r="D222" s="190"/>
      <c r="E222" s="190"/>
      <c r="F222" s="190"/>
      <c r="G222" s="191"/>
      <c r="H222" s="191"/>
      <c r="I222" s="192"/>
      <c r="J222" s="190"/>
      <c r="K222" s="190"/>
    </row>
    <row r="223" spans="2:18" ht="26.25" x14ac:dyDescent="0.25">
      <c r="B223" s="592" t="s">
        <v>29</v>
      </c>
      <c r="C223" s="592"/>
      <c r="D223" s="592"/>
      <c r="E223" s="592"/>
      <c r="F223" s="592"/>
      <c r="G223" s="592"/>
      <c r="H223" s="592"/>
      <c r="I223" s="592"/>
      <c r="J223" s="592"/>
      <c r="K223" s="593">
        <f>N1</f>
        <v>45778</v>
      </c>
      <c r="L223" s="593"/>
      <c r="M223" s="593"/>
    </row>
    <row r="225" spans="2:13" ht="21" x14ac:dyDescent="0.25">
      <c r="B225" s="594" t="s">
        <v>1709</v>
      </c>
      <c r="C225" s="594"/>
    </row>
    <row r="226" spans="2:13" ht="31.5" x14ac:dyDescent="0.25">
      <c r="B226" s="60" t="s">
        <v>0</v>
      </c>
      <c r="C226" s="61" t="s">
        <v>1</v>
      </c>
      <c r="D226" s="61" t="s">
        <v>21</v>
      </c>
      <c r="E226" s="61" t="s">
        <v>22</v>
      </c>
      <c r="F226" s="61" t="s">
        <v>3</v>
      </c>
      <c r="G226" s="340" t="s">
        <v>4</v>
      </c>
      <c r="H226" s="61" t="s">
        <v>23</v>
      </c>
      <c r="I226" s="61" t="s">
        <v>17</v>
      </c>
      <c r="J226" s="61" t="s">
        <v>7</v>
      </c>
      <c r="K226" s="61" t="s">
        <v>24</v>
      </c>
      <c r="L226" s="61" t="s">
        <v>10</v>
      </c>
      <c r="M226" s="62" t="s">
        <v>38</v>
      </c>
    </row>
    <row r="227" spans="2:13" x14ac:dyDescent="0.25">
      <c r="B227" s="40"/>
      <c r="C227" s="41"/>
      <c r="D227" s="42"/>
      <c r="E227" s="43"/>
      <c r="F227" s="44"/>
      <c r="G227" s="164" t="str">
        <f>IFERROR(IF(venta_a_mes5[[#This Row],[CUIT]]="","-",VLOOKUP(venta_a_mes5[[#This Row],[CUIT]],Lista_CUIT[#All],2,0)),"CUIT NO CARGADO")</f>
        <v>-</v>
      </c>
      <c r="H227" s="99"/>
      <c r="I227" s="100"/>
      <c r="J227" s="65"/>
      <c r="K227" s="65"/>
      <c r="L227" s="65">
        <f>SUM(venta_a_mes5[[#This Row],[IMPORTE NETO]:[EXENTO]])</f>
        <v>0</v>
      </c>
      <c r="M227" s="59"/>
    </row>
    <row r="228" spans="2:13" x14ac:dyDescent="0.25">
      <c r="B228" s="40"/>
      <c r="C228" s="41"/>
      <c r="D228" s="42"/>
      <c r="E228" s="43"/>
      <c r="F228" s="44"/>
      <c r="G228" s="164" t="str">
        <f>IFERROR(IF(venta_a_mes5[[#This Row],[CUIT]]="","-",VLOOKUP(venta_a_mes5[[#This Row],[CUIT]],Lista_CUIT[#All],2,0)),"CUIT NO CARGADO")</f>
        <v>-</v>
      </c>
      <c r="H228" s="99"/>
      <c r="I228" s="100"/>
      <c r="J228" s="65"/>
      <c r="K228" s="65"/>
      <c r="L228" s="65">
        <f>SUM(venta_a_mes5[[#This Row],[IMPORTE NETO]:[EXENTO]])</f>
        <v>0</v>
      </c>
      <c r="M228" s="59"/>
    </row>
    <row r="229" spans="2:13" x14ac:dyDescent="0.25">
      <c r="B229" s="40"/>
      <c r="C229" s="41"/>
      <c r="D229" s="42"/>
      <c r="E229" s="43"/>
      <c r="F229" s="44"/>
      <c r="G229" s="164" t="str">
        <f>IFERROR(IF(venta_a_mes5[[#This Row],[CUIT]]="","-",VLOOKUP(venta_a_mes5[[#This Row],[CUIT]],Lista_CUIT[#All],2,0)),"CUIT NO CARGADO")</f>
        <v>-</v>
      </c>
      <c r="H229" s="99"/>
      <c r="I229" s="100"/>
      <c r="J229" s="65"/>
      <c r="K229" s="65"/>
      <c r="L229" s="65">
        <f>SUM(venta_a_mes5[[#This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164" t="str">
        <f>IFERROR(IF(venta_a_mes5[[#This Row],[CUIT]]="","-",VLOOKUP(venta_a_mes5[[#This Row],[CUIT]],Lista_CUIT[#All],2,0)),"CUIT NO CARGADO")</f>
        <v>-</v>
      </c>
      <c r="H230" s="99"/>
      <c r="I230" s="100"/>
      <c r="J230" s="65"/>
      <c r="K230" s="65"/>
      <c r="L230" s="65">
        <f>SUM(venta_a_mes5[[#This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164" t="str">
        <f>IFERROR(IF(venta_a_mes5[[#This Row],[CUIT]]="","-",VLOOKUP(venta_a_mes5[[#This Row],[CUIT]],Lista_CUIT[#All],2,0)),"CUIT NO CARGADO")</f>
        <v>-</v>
      </c>
      <c r="H231" s="99"/>
      <c r="I231" s="100"/>
      <c r="J231" s="65"/>
      <c r="K231" s="65"/>
      <c r="L231" s="65">
        <f>SUM(venta_a_mes5[[#This Row],[IMPORTE NETO]:[EXENTO]])</f>
        <v>0</v>
      </c>
      <c r="M231" s="59"/>
    </row>
    <row r="232" spans="2:13" x14ac:dyDescent="0.25">
      <c r="B232" s="194" t="s">
        <v>103</v>
      </c>
      <c r="C232" s="195"/>
      <c r="D232" s="195"/>
      <c r="E232" s="195"/>
      <c r="F232" s="195"/>
      <c r="G232" s="341"/>
      <c r="H232" s="196">
        <f>SUBTOTAL(109,venta_a_mes5[IMPORTE NETO])</f>
        <v>0</v>
      </c>
      <c r="I232" s="197">
        <f>SUBTOTAL(109,venta_a_mes5[IVA 21%])</f>
        <v>0</v>
      </c>
      <c r="J232" s="198">
        <f>SUBTOTAL(109,venta_a_mes5[IVA 10,5%])</f>
        <v>0</v>
      </c>
      <c r="K232" s="198">
        <f>SUBTOTAL(109,venta_a_mes5[EXENTO])</f>
        <v>0</v>
      </c>
      <c r="L232" s="198">
        <f>SUBTOTAL(109,venta_a_mes5[TOTAL])</f>
        <v>0</v>
      </c>
      <c r="M232" s="199">
        <f>SUBTOTAL(103,venta_a_mes5[Provincia])</f>
        <v>0</v>
      </c>
    </row>
    <row r="235" spans="2:13" ht="21" x14ac:dyDescent="0.25">
      <c r="B235" s="594" t="s">
        <v>31</v>
      </c>
      <c r="C235" s="594"/>
    </row>
    <row r="236" spans="2:13" ht="31.5" x14ac:dyDescent="0.25">
      <c r="B236" s="60" t="s">
        <v>0</v>
      </c>
      <c r="C236" s="61" t="s">
        <v>1</v>
      </c>
      <c r="D236" s="61" t="s">
        <v>21</v>
      </c>
      <c r="E236" s="61" t="s">
        <v>22</v>
      </c>
      <c r="F236" s="61" t="s">
        <v>3</v>
      </c>
      <c r="G236" s="340" t="s">
        <v>4</v>
      </c>
      <c r="H236" s="61" t="s">
        <v>23</v>
      </c>
      <c r="I236" s="61" t="s">
        <v>17</v>
      </c>
      <c r="J236" s="61" t="s">
        <v>7</v>
      </c>
      <c r="K236" s="61" t="s">
        <v>24</v>
      </c>
      <c r="L236" s="61" t="s">
        <v>10</v>
      </c>
      <c r="M236" s="62" t="s">
        <v>38</v>
      </c>
    </row>
    <row r="237" spans="2:13" x14ac:dyDescent="0.25">
      <c r="B237" s="40"/>
      <c r="C237" s="41"/>
      <c r="D237" s="42"/>
      <c r="E237" s="43"/>
      <c r="F237" s="44"/>
      <c r="G237" s="342" t="str">
        <f>IFERROR(IF(ventas_b_mes5[[#This Row],[CUIT]]="","-",VLOOKUP(ventas_b_mes5[[#This Row],[CUIT]],Lista_CUIT[#All],2,0)),"CUIT NO CARGADO")</f>
        <v>-</v>
      </c>
      <c r="H237" s="64"/>
      <c r="I237" s="64"/>
      <c r="J237" s="64"/>
      <c r="K237" s="64"/>
      <c r="L237" s="64">
        <f>SUM(ventas_b_mes5[[#This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342"/>
      <c r="H238" s="64"/>
      <c r="I238" s="64"/>
      <c r="J238" s="64"/>
      <c r="K238" s="64"/>
      <c r="L238" s="64">
        <f>SUM(ventas_b_mes5[[#This Row],[IMPORTE NETO]:[EXENTO]])</f>
        <v>0</v>
      </c>
      <c r="M238" s="59"/>
    </row>
    <row r="239" spans="2:13" x14ac:dyDescent="0.25">
      <c r="B239" s="40"/>
      <c r="C239" s="41"/>
      <c r="D239" s="42"/>
      <c r="E239" s="43"/>
      <c r="F239" s="44"/>
      <c r="G239" s="342"/>
      <c r="H239" s="64"/>
      <c r="I239" s="64"/>
      <c r="J239" s="64"/>
      <c r="K239" s="64"/>
      <c r="L239" s="64">
        <f>SUM(ventas_b_mes5[[#This Row],[IMPORTE NETO]:[EXENTO]])</f>
        <v>0</v>
      </c>
      <c r="M239" s="59"/>
    </row>
    <row r="240" spans="2:13" x14ac:dyDescent="0.25">
      <c r="B240" s="40"/>
      <c r="C240" s="41"/>
      <c r="D240" s="42"/>
      <c r="E240" s="43"/>
      <c r="F240" s="44"/>
      <c r="G240" s="342"/>
      <c r="H240" s="64"/>
      <c r="I240" s="64"/>
      <c r="J240" s="64"/>
      <c r="K240" s="64"/>
      <c r="L240" s="64">
        <f>SUM(ventas_b_mes5[[#This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342"/>
      <c r="H241" s="64"/>
      <c r="I241" s="64"/>
      <c r="J241" s="64"/>
      <c r="K241" s="64"/>
      <c r="L241" s="64">
        <f>SUM(ventas_b_mes5[[#This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342"/>
      <c r="H242" s="64"/>
      <c r="I242" s="64"/>
      <c r="J242" s="64"/>
      <c r="K242" s="64"/>
      <c r="L242" s="64">
        <f>SUM(ventas_b_mes5[[#This Row],[IMPORTE NETO]:[EXENTO]])</f>
        <v>0</v>
      </c>
      <c r="M242" s="59"/>
    </row>
    <row r="243" spans="2:13" x14ac:dyDescent="0.25">
      <c r="B243" s="66" t="s">
        <v>103</v>
      </c>
      <c r="C243" s="67"/>
      <c r="D243" s="67"/>
      <c r="E243" s="67"/>
      <c r="F243" s="67"/>
      <c r="G243" s="343"/>
      <c r="H243" s="77">
        <f>SUBTOTAL(109,ventas_b_mes5[IMPORTE NETO])</f>
        <v>0</v>
      </c>
      <c r="I243" s="77">
        <f>SUBTOTAL(109,ventas_b_mes5[IVA 21%])</f>
        <v>0</v>
      </c>
      <c r="J243" s="78">
        <f>SUBTOTAL(109,ventas_b_mes5[IVA 10,5%])</f>
        <v>0</v>
      </c>
      <c r="K243" s="78">
        <f>SUBTOTAL(109,ventas_b_mes5[EXENTO])</f>
        <v>0</v>
      </c>
      <c r="L243" s="78">
        <f>SUBTOTAL(109,ventas_b_mes5[TOTAL])</f>
        <v>0</v>
      </c>
      <c r="M243" s="68">
        <f>SUBTOTAL(103,ventas_b_mes5[Provincia])</f>
        <v>0</v>
      </c>
    </row>
    <row r="250" spans="2:13" ht="15.75" thickBot="1" x14ac:dyDescent="0.3"/>
    <row r="251" spans="2:13" ht="15.75" thickTop="1" x14ac:dyDescent="0.25">
      <c r="C251" s="588" t="s">
        <v>66</v>
      </c>
      <c r="D251" s="588"/>
      <c r="E251" s="588"/>
      <c r="F251" s="588"/>
      <c r="G251" s="588"/>
      <c r="H251" s="32"/>
      <c r="I251" s="32"/>
      <c r="J251" s="32"/>
    </row>
    <row r="252" spans="2:13" ht="15.75" x14ac:dyDescent="0.25">
      <c r="C252" s="113" t="s">
        <v>67</v>
      </c>
      <c r="D252" s="114" t="s">
        <v>68</v>
      </c>
      <c r="E252" s="114" t="s">
        <v>105</v>
      </c>
      <c r="F252" s="114" t="s">
        <v>3</v>
      </c>
      <c r="G252" s="344" t="s">
        <v>4</v>
      </c>
      <c r="H252" s="115" t="s">
        <v>69</v>
      </c>
      <c r="I252" s="115" t="s">
        <v>70</v>
      </c>
      <c r="J252" s="115" t="s">
        <v>71</v>
      </c>
      <c r="K252" s="115" t="s">
        <v>72</v>
      </c>
      <c r="L252" s="115" t="s">
        <v>73</v>
      </c>
    </row>
    <row r="253" spans="2:13" x14ac:dyDescent="0.25">
      <c r="C253" s="116"/>
      <c r="D253" s="117"/>
      <c r="E253" s="117"/>
      <c r="F253" s="118"/>
      <c r="G253" s="53" t="str">
        <f>IFERROR(IF(Retenciones_mes5[[#This Row],[CUIT]]="","-",VLOOKUP(Retenciones_mes5[[#This Row],[CUIT]],Lista_CUIT[#All],2,0)),"CUIT NO CARGADO")</f>
        <v>-</v>
      </c>
      <c r="H253" s="119"/>
      <c r="I253" s="119"/>
      <c r="J253" s="119"/>
      <c r="K253" s="119"/>
      <c r="L253" s="119"/>
    </row>
    <row r="254" spans="2:13" x14ac:dyDescent="0.25">
      <c r="C254" s="116"/>
      <c r="D254" s="117"/>
      <c r="E254" s="117"/>
      <c r="F254" s="118"/>
      <c r="G254" s="53" t="str">
        <f>IFERROR(IF(Retenciones_mes5[[#This Row],[CUIT]]="","-",VLOOKUP(Retenciones_mes5[[#This Row],[CUIT]],Lista_CUIT[#All],2,0)),"CUIT NO CARGADO")</f>
        <v>-</v>
      </c>
      <c r="H254" s="119"/>
      <c r="I254" s="119"/>
      <c r="J254" s="119"/>
      <c r="K254" s="119"/>
      <c r="L254" s="119"/>
    </row>
    <row r="255" spans="2:13" x14ac:dyDescent="0.25">
      <c r="C255" s="116"/>
      <c r="D255" s="117"/>
      <c r="E255" s="117"/>
      <c r="F255" s="118"/>
      <c r="G255" s="53" t="str">
        <f>IFERROR(IF(Retenciones_mes5[[#This Row],[CUIT]]="","-",VLOOKUP(Retenciones_mes5[[#This Row],[CUIT]],Lista_CUIT[#All],2,0)),"CUIT NO CARGADO")</f>
        <v>-</v>
      </c>
      <c r="H255" s="119"/>
      <c r="I255" s="119"/>
      <c r="J255" s="119"/>
      <c r="K255" s="119"/>
      <c r="L255" s="119"/>
    </row>
    <row r="256" spans="2:13" x14ac:dyDescent="0.25">
      <c r="C256" s="116"/>
      <c r="D256" s="117"/>
      <c r="E256" s="117"/>
      <c r="F256" s="118"/>
      <c r="G256" s="53" t="str">
        <f>IFERROR(IF(Retenciones_mes5[[#This Row],[CUIT]]="","-",VLOOKUP(Retenciones_mes5[[#This Row],[CUIT]],Lista_CUIT[#All],2,0)),"CUIT NO CARGADO")</f>
        <v>-</v>
      </c>
      <c r="H256" s="119"/>
      <c r="I256" s="119"/>
      <c r="J256" s="119"/>
      <c r="K256" s="119"/>
      <c r="L256" s="119"/>
    </row>
    <row r="257" spans="3:7" x14ac:dyDescent="0.25">
      <c r="D257" s="117"/>
      <c r="E257" s="117"/>
      <c r="G257" s="53" t="str">
        <f>IFERROR(IF(Retenciones_mes5[[#This Row],[CUIT]]="","-",VLOOKUP(Retenciones_mes5[[#This Row],[CUIT]],Lista_CUIT[#All],2,0)),"CUIT NO CARGADO")</f>
        <v>-</v>
      </c>
    </row>
    <row r="258" spans="3:7" x14ac:dyDescent="0.25">
      <c r="C258" s="33"/>
    </row>
  </sheetData>
  <mergeCells count="20">
    <mergeCell ref="C251:G251"/>
    <mergeCell ref="B4:E4"/>
    <mergeCell ref="G4:H4"/>
    <mergeCell ref="J4:K4"/>
    <mergeCell ref="M4:N4"/>
    <mergeCell ref="D180:K180"/>
    <mergeCell ref="B223:J223"/>
    <mergeCell ref="K223:M223"/>
    <mergeCell ref="B225:C225"/>
    <mergeCell ref="B235:C235"/>
    <mergeCell ref="P4:R4"/>
    <mergeCell ref="D167:L16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H237:L242" xr:uid="{00000000-0002-0000-0500-000000000000}">
      <formula1>IF($C237=8,H237&lt;0,H237&gt;=0)</formula1>
    </dataValidation>
    <dataValidation type="custom" allowBlank="1" showInputMessage="1" showErrorMessage="1" sqref="L227:L228" xr:uid="{00000000-0002-0000-0500-000001000000}">
      <formula1>IF($C8=3,L8&lt;0,L8&gt;=0)</formula1>
    </dataValidation>
    <dataValidation type="whole" allowBlank="1" showInputMessage="1" showErrorMessage="1" sqref="C237:C242" xr:uid="{00000000-0002-0000-0500-000002000000}">
      <formula1>6</formula1>
      <formula2>8</formula2>
    </dataValidation>
    <dataValidation type="custom" allowBlank="1" showInputMessage="1" showErrorMessage="1" sqref="H227:K227 H229:K229 H231:K231" xr:uid="{00000000-0002-0000-0500-000003000000}">
      <formula1>IF($C227=3,H227&lt;0,H227&gt;=0)</formula1>
    </dataValidation>
    <dataValidation type="whole" allowBlank="1" showInputMessage="1" showErrorMessage="1" sqref="C227:C231 C166 C8:C164" xr:uid="{00000000-0002-0000-0500-000004000000}">
      <formula1>1</formula1>
      <formula2>3</formula2>
    </dataValidation>
    <dataValidation type="date" allowBlank="1" showInputMessage="1" showErrorMessage="1" sqref="B166 B227:B231 B237:B242 D169:D177 B8:B164 D182:D220" xr:uid="{00000000-0002-0000-0500-000005000000}">
      <formula1>40179</formula1>
      <formula2>TODAY()</formula2>
    </dataValidation>
    <dataValidation type="whole" allowBlank="1" showInputMessage="1" showErrorMessage="1" sqref="F227:F231 F237:F242 F8:F164 G182:G220" xr:uid="{00000000-0002-0000-0500-000006000000}">
      <formula1>20000000000</formula1>
      <formula2>33999999999</formula2>
    </dataValidation>
    <dataValidation type="whole" allowBlank="1" showInputMessage="1" showErrorMessage="1" sqref="E227:E231 E237:E242 E8:E164 F182:F220" xr:uid="{00000000-0002-0000-0500-000007000000}">
      <formula1>1</formula1>
      <formula2>99999999</formula2>
    </dataValidation>
    <dataValidation type="whole" allowBlank="1" showInputMessage="1" showErrorMessage="1" sqref="D227:D231 D237:D242 D8:D164 E182:E220" xr:uid="{00000000-0002-0000-0500-000008000000}">
      <formula1>1</formula1>
      <formula2>9999</formula2>
    </dataValidation>
    <dataValidation type="custom" allowBlank="1" showInputMessage="1" showErrorMessage="1" sqref="L229" xr:uid="{00000000-0002-0000-0500-000009000000}">
      <formula1>IF($C12=3,L12&lt;0,L12&gt;=0)</formula1>
    </dataValidation>
    <dataValidation type="custom" allowBlank="1" showInputMessage="1" showErrorMessage="1" sqref="L230:L231" xr:uid="{00000000-0002-0000-0500-00000A000000}">
      <formula1>IF($C127=3,L127&lt;0,L127&gt;=0)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K65:O65 H8:O64 H65:I164 J66:O164" xr:uid="{00000000-0002-0000-0500-00000B000000}">
      <formula1>IF($C8=3,H8&lt;0,H8&gt;=0)</formula1>
    </dataValidation>
  </dataValidations>
  <pageMargins left="0.7" right="0.7" top="0.75" bottom="0.75" header="0.3" footer="0.3"/>
  <pageSetup paperSize="9" scale="43" fitToHeight="0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9" tint="0.79998168889431442"/>
    <pageSetUpPr fitToPage="1"/>
  </sheetPr>
  <dimension ref="A1:Z2740"/>
  <sheetViews>
    <sheetView showGridLines="0" zoomScale="90" zoomScaleNormal="90" workbookViewId="0">
      <selection activeCell="G143" sqref="G143"/>
    </sheetView>
  </sheetViews>
  <sheetFormatPr baseColWidth="10" defaultColWidth="15.7109375" defaultRowHeight="15" x14ac:dyDescent="0.25"/>
  <cols>
    <col min="1" max="1" width="3.7109375" customWidth="1"/>
    <col min="2" max="2" width="15.7109375" customWidth="1"/>
    <col min="3" max="3" width="7.7109375" customWidth="1"/>
    <col min="4" max="4" width="13.28515625" customWidth="1"/>
    <col min="5" max="6" width="15.7109375" customWidth="1"/>
    <col min="7" max="7" width="29.42578125" customWidth="1"/>
    <col min="8" max="18" width="15.7109375" customWidth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EDATE('Ene-25'!N1,5)</f>
        <v>45809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SUM(compras_mes6[[#Totals],[NETO GRAVADO]])+extracto_banco_mes6[[#Totals],[NETO]]</f>
        <v>62651987.846666679</v>
      </c>
      <c r="C4" s="589"/>
      <c r="D4" s="589"/>
      <c r="E4" s="589"/>
      <c r="F4" s="39"/>
      <c r="G4" s="590">
        <f>compras_mes6[[#Totals],[IVA 21 %]]+compras_mes6[[#Totals],[IVA 27%]]+compras_mes6[[#Totals],[IVA 10,5%]]+extracto_banco_mes6[[#Totals],[IVA 21%]]+extracto_banco_mes6[[#Totals],[IVA 10,5%]]</f>
        <v>12768448.697499998</v>
      </c>
      <c r="H4" s="590"/>
      <c r="I4" s="39"/>
      <c r="J4" s="591">
        <f>venta_a_mes6[[#Totals],[IMPORTE NETO]]+ventas_b_mes6[[#Totals],[IMPORTE NETO]]</f>
        <v>0</v>
      </c>
      <c r="K4" s="591"/>
      <c r="L4" s="39"/>
      <c r="M4" s="591">
        <f>venta_a_mes6[[#Totals],[IVA 21%]]+venta_a_mes6[[#Totals],[IVA 10,5%]]+ventas_b_mes6[[#Totals],[IVA 21%]]+ventas_b_mes6[[#Totals],[IVA 10,5%]]+ventas_b_mes684[[#Totals],[IVA 21%]]+ventas_b_mes684[[#Totals],[IVA 10,5%]]</f>
        <v>0</v>
      </c>
      <c r="N4" s="591"/>
      <c r="O4" s="39"/>
      <c r="P4" s="579">
        <f>G4-M4</f>
        <v>12768448.697499998</v>
      </c>
      <c r="Q4" s="580"/>
      <c r="R4" s="580"/>
    </row>
    <row r="5" spans="1:26" ht="20.25" customHeight="1" x14ac:dyDescent="0.25"/>
    <row r="6" spans="1:26" x14ac:dyDescent="0.25">
      <c r="F6" s="505" t="s">
        <v>2516</v>
      </c>
      <c r="I6" s="356"/>
    </row>
    <row r="7" spans="1:26" s="2" customFormat="1" x14ac:dyDescent="0.25">
      <c r="B7" s="40"/>
      <c r="C7" s="41"/>
      <c r="D7" s="42"/>
      <c r="E7" s="132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 t="s">
        <v>2489</v>
      </c>
      <c r="C9" s="41">
        <v>1</v>
      </c>
      <c r="D9" s="209">
        <v>3</v>
      </c>
      <c r="E9" s="225">
        <v>391288</v>
      </c>
      <c r="F9" s="210">
        <v>33643358749</v>
      </c>
      <c r="G9" s="211" t="str">
        <f>IFERROR(IF(compras_mes6[[#This Row],[CUIT]]="","-",VLOOKUP(compras_mes6[[#This Row],[CUIT]],Lista_CUIT[#All],2,0)),"CUIT NO CARGADO")</f>
        <v>POLYTECH S A</v>
      </c>
      <c r="H9" s="212">
        <v>27714.03</v>
      </c>
      <c r="I9" s="85" t="s">
        <v>2411</v>
      </c>
      <c r="J9" s="213"/>
      <c r="K9" s="213">
        <v>2909.97</v>
      </c>
      <c r="L9" s="213"/>
      <c r="M9" s="213"/>
      <c r="N9" s="213"/>
      <c r="O9" s="213"/>
      <c r="P9" s="214">
        <f>SUM(compras_mes6[[#This Row],[NETO GRAVADO]:[Otros / No Grav.]])</f>
        <v>30624</v>
      </c>
      <c r="Q9" s="215" t="str">
        <f>IFERROR(IF(compras_mes6[[#This Row],[CUIT]]="","-",VLOOKUP(compras_mes6[[#This Row],[CUIT]],Lista_CUIT[#All],3,0)),"CUIT NO CARGADO")</f>
        <v>Gastos administrativos</v>
      </c>
      <c r="R9" s="215">
        <f>IFERROR(IF(compras_mes6[[#This Row],[CUIT]]="","-",VLOOKUP(compras_mes6[[#This Row],[CUIT]],Lista_CUIT[#All],4,0)),"CUIT NO CARGADO")</f>
        <v>0</v>
      </c>
    </row>
    <row r="10" spans="1:26" x14ac:dyDescent="0.25">
      <c r="B10" s="207" t="s">
        <v>2490</v>
      </c>
      <c r="C10" s="41">
        <v>1</v>
      </c>
      <c r="D10" s="209">
        <v>11</v>
      </c>
      <c r="E10" s="225">
        <v>39</v>
      </c>
      <c r="F10" s="210">
        <v>27128887186</v>
      </c>
      <c r="G10" s="211" t="str">
        <f>IFERROR(IF(compras_mes6[[#This Row],[CUIT]]="","-",VLOOKUP(compras_mes6[[#This Row],[CUIT]],Lista_CUIT[#All],2,0)),"CUIT NO CARGADO")</f>
        <v>CASAS MARIA DEL CARMEN</v>
      </c>
      <c r="H10" s="212">
        <v>47107.42</v>
      </c>
      <c r="I10" s="213">
        <f>IF(compras_mes6[[#This Row],[NETO GRAVADO]]="","",compras_mes6[[#This Row],[NETO GRAVADO]]*0.21)</f>
        <v>9892.5581999999995</v>
      </c>
      <c r="J10" s="213"/>
      <c r="K10" s="213"/>
      <c r="L10" s="213"/>
      <c r="M10" s="213"/>
      <c r="N10" s="213"/>
      <c r="O10" s="213"/>
      <c r="P10" s="214">
        <f>SUM(compras_mes6[[#This Row],[NETO GRAVADO]:[Otros / No Grav.]])</f>
        <v>56999.978199999998</v>
      </c>
      <c r="Q10" s="215" t="str">
        <f>IFERROR(IF(compras_mes6[[#This Row],[CUIT]]="","-",VLOOKUP(compras_mes6[[#This Row],[CUIT]],Lista_CUIT[#All],3,0)),"CUIT NO CARGADO")</f>
        <v>Gastos Varios</v>
      </c>
      <c r="R10" s="215">
        <f>IFERROR(IF(compras_mes6[[#This Row],[CUIT]]="","-",VLOOKUP(compras_mes6[[#This Row],[CUIT]],Lista_CUIT[#All],4,0)),"CUIT NO CARGADO")</f>
        <v>0</v>
      </c>
    </row>
    <row r="11" spans="1:26" x14ac:dyDescent="0.25">
      <c r="B11" s="494" t="s">
        <v>2490</v>
      </c>
      <c r="C11" s="495">
        <v>1</v>
      </c>
      <c r="D11" s="496">
        <v>3</v>
      </c>
      <c r="E11" s="493">
        <v>2410</v>
      </c>
      <c r="F11" s="497">
        <v>30715399896</v>
      </c>
      <c r="G11" s="498" t="str">
        <f>IFERROR(IF(compras_mes6[[#This Row],[CUIT]]="","-",VLOOKUP(compras_mes6[[#This Row],[CUIT]],Lista_CUIT[#All],2,0)),"CUIT NO CARGADO")</f>
        <v>CREANDO IMAGEN S.A</v>
      </c>
      <c r="H11" s="499">
        <v>372900</v>
      </c>
      <c r="I11" s="500">
        <f>IF(compras_mes6[[#This Row],[NETO GRAVADO]]="","",compras_mes6[[#This Row],[NETO GRAVADO]]*0.21)</f>
        <v>78309</v>
      </c>
      <c r="J11" s="500"/>
      <c r="K11" s="500"/>
      <c r="L11" s="500"/>
      <c r="M11" s="500"/>
      <c r="N11" s="500"/>
      <c r="O11" s="500"/>
      <c r="P11" s="501">
        <f>SUM(compras_mes6[[#This Row],[NETO GRAVADO]:[Otros / No Grav.]])</f>
        <v>451209</v>
      </c>
      <c r="Q11" s="502" t="str">
        <f>IFERROR(IF(compras_mes6[[#This Row],[CUIT]]="","-",VLOOKUP(compras_mes6[[#This Row],[CUIT]],Lista_CUIT[#All],3,0)),"CUIT NO CARGADO")</f>
        <v>Otros</v>
      </c>
      <c r="R11" s="502">
        <f>IFERROR(IF(compras_mes6[[#This Row],[CUIT]]="","-",VLOOKUP(compras_mes6[[#This Row],[CUIT]],Lista_CUIT[#All],4,0)),"CUIT NO CARGADO")</f>
        <v>0</v>
      </c>
    </row>
    <row r="12" spans="1:26" x14ac:dyDescent="0.25">
      <c r="B12" s="207" t="s">
        <v>2496</v>
      </c>
      <c r="C12" s="41">
        <v>1</v>
      </c>
      <c r="D12" s="209">
        <v>10</v>
      </c>
      <c r="E12" s="225">
        <v>717</v>
      </c>
      <c r="F12" s="210">
        <v>20323423785</v>
      </c>
      <c r="G12" s="211" t="str">
        <f>IFERROR(IF(compras_mes6[[#This Row],[CUIT]]="","-",VLOOKUP(compras_mes6[[#This Row],[CUIT]],Lista_CUIT[#All],2,0)),"CUIT NO CARGADO")</f>
        <v>ALBARRACIN ARIEL EDUARDO</v>
      </c>
      <c r="H12" s="212">
        <v>217190.08</v>
      </c>
      <c r="I12" s="213">
        <f>IF(compras_mes6[[#This Row],[NETO GRAVADO]]="","",compras_mes6[[#This Row],[NETO GRAVADO]]*0.21)</f>
        <v>45609.916799999999</v>
      </c>
      <c r="J12" s="213"/>
      <c r="K12" s="213"/>
      <c r="L12" s="213"/>
      <c r="M12" s="213"/>
      <c r="N12" s="213"/>
      <c r="O12" s="213"/>
      <c r="P12" s="214">
        <f>SUM(compras_mes6[[#This Row],[NETO GRAVADO]:[Otros / No Grav.]])</f>
        <v>262799.99679999996</v>
      </c>
      <c r="Q12" s="215" t="str">
        <f>IFERROR(IF(compras_mes6[[#This Row],[CUIT]]="","-",VLOOKUP(compras_mes6[[#This Row],[CUIT]],Lista_CUIT[#All],3,0)),"CUIT NO CARGADO")</f>
        <v>Gastos Varios</v>
      </c>
      <c r="R12" s="215">
        <f>IFERROR(IF(compras_mes6[[#This Row],[CUIT]]="","-",VLOOKUP(compras_mes6[[#This Row],[CUIT]],Lista_CUIT[#All],4,0)),"CUIT NO CARGADO")</f>
        <v>0</v>
      </c>
    </row>
    <row r="13" spans="1:26" x14ac:dyDescent="0.25">
      <c r="B13" s="494" t="s">
        <v>2498</v>
      </c>
      <c r="C13" s="495">
        <v>1</v>
      </c>
      <c r="D13" s="496">
        <v>2</v>
      </c>
      <c r="E13" s="493">
        <v>2409</v>
      </c>
      <c r="F13" s="497">
        <v>20184094526</v>
      </c>
      <c r="G13" s="498" t="str">
        <f>IFERROR(IF(compras_mes6[[#This Row],[CUIT]]="","-",VLOOKUP(compras_mes6[[#This Row],[CUIT]],Lista_CUIT[#All],2,0)),"CUIT NO CARGADO")</f>
        <v>Di Blasio Carlos</v>
      </c>
      <c r="H13" s="499">
        <v>77400</v>
      </c>
      <c r="I13" s="500">
        <f>IF(compras_mes6[[#This Row],[NETO GRAVADO]]="","",compras_mes6[[#This Row],[NETO GRAVADO]]*0.21)</f>
        <v>16254</v>
      </c>
      <c r="J13" s="500"/>
      <c r="K13" s="500"/>
      <c r="L13" s="500"/>
      <c r="M13" s="500"/>
      <c r="N13" s="500"/>
      <c r="O13" s="500"/>
      <c r="P13" s="501">
        <f>SUM(compras_mes6[[#This Row],[NETO GRAVADO]:[Otros / No Grav.]])</f>
        <v>93654</v>
      </c>
      <c r="Q13" s="502" t="str">
        <f>IFERROR(IF(compras_mes6[[#This Row],[CUIT]]="","-",VLOOKUP(compras_mes6[[#This Row],[CUIT]],Lista_CUIT[#All],3,0)),"CUIT NO CARGADO")</f>
        <v>Gastos Varios</v>
      </c>
      <c r="R13" s="502">
        <f>IFERROR(IF(compras_mes6[[#This Row],[CUIT]]="","-",VLOOKUP(compras_mes6[[#This Row],[CUIT]],Lista_CUIT[#All],4,0)),"CUIT NO CARGADO")</f>
        <v>0</v>
      </c>
    </row>
    <row r="14" spans="1:26" x14ac:dyDescent="0.25">
      <c r="B14" s="494" t="s">
        <v>2498</v>
      </c>
      <c r="C14" s="495">
        <v>1</v>
      </c>
      <c r="D14" s="496">
        <v>2</v>
      </c>
      <c r="E14" s="493">
        <v>2408</v>
      </c>
      <c r="F14" s="497">
        <v>20184094526</v>
      </c>
      <c r="G14" s="498" t="str">
        <f>IFERROR(IF(compras_mes6[[#This Row],[CUIT]]="","-",VLOOKUP(compras_mes6[[#This Row],[CUIT]],Lista_CUIT[#All],2,0)),"CUIT NO CARGADO")</f>
        <v>Di Blasio Carlos</v>
      </c>
      <c r="H14" s="499">
        <v>395000</v>
      </c>
      <c r="I14" s="500">
        <f>IF(compras_mes6[[#This Row],[NETO GRAVADO]]="","",compras_mes6[[#This Row],[NETO GRAVADO]]*0.21)</f>
        <v>82950</v>
      </c>
      <c r="J14" s="500"/>
      <c r="K14" s="500"/>
      <c r="L14" s="500"/>
      <c r="M14" s="500"/>
      <c r="N14" s="500"/>
      <c r="O14" s="500"/>
      <c r="P14" s="501">
        <f>SUM(compras_mes6[[#This Row],[NETO GRAVADO]:[Otros / No Grav.]])</f>
        <v>477950</v>
      </c>
      <c r="Q14" s="502" t="str">
        <f>IFERROR(IF(compras_mes6[[#This Row],[CUIT]]="","-",VLOOKUP(compras_mes6[[#This Row],[CUIT]],Lista_CUIT[#All],3,0)),"CUIT NO CARGADO")</f>
        <v>Gastos Varios</v>
      </c>
      <c r="R14" s="502">
        <f>IFERROR(IF(compras_mes6[[#This Row],[CUIT]]="","-",VLOOKUP(compras_mes6[[#This Row],[CUIT]],Lista_CUIT[#All],4,0)),"CUIT NO CARGADO")</f>
        <v>0</v>
      </c>
    </row>
    <row r="15" spans="1:26" x14ac:dyDescent="0.25">
      <c r="B15" s="207" t="s">
        <v>2499</v>
      </c>
      <c r="C15" s="41">
        <v>1</v>
      </c>
      <c r="D15" s="209">
        <v>10</v>
      </c>
      <c r="E15" s="225">
        <v>723</v>
      </c>
      <c r="F15" s="210">
        <v>20323423785</v>
      </c>
      <c r="G15" s="211" t="str">
        <f>IFERROR(IF(compras_mes6[[#This Row],[CUIT]]="","-",VLOOKUP(compras_mes6[[#This Row],[CUIT]],Lista_CUIT[#All],2,0)),"CUIT NO CARGADO")</f>
        <v>ALBARRACIN ARIEL EDUARDO</v>
      </c>
      <c r="H15" s="212">
        <v>180595.03</v>
      </c>
      <c r="I15" s="213">
        <f>IF(compras_mes6[[#This Row],[NETO GRAVADO]]="","",compras_mes6[[#This Row],[NETO GRAVADO]]*0.21)</f>
        <v>37924.956299999998</v>
      </c>
      <c r="J15" s="213"/>
      <c r="K15" s="213"/>
      <c r="L15" s="213"/>
      <c r="M15" s="213"/>
      <c r="N15" s="213"/>
      <c r="O15" s="213"/>
      <c r="P15" s="214">
        <f>SUM(compras_mes6[[#This Row],[NETO GRAVADO]:[Otros / No Grav.]])</f>
        <v>218519.98629999999</v>
      </c>
      <c r="Q15" s="215" t="str">
        <f>IFERROR(IF(compras_mes6[[#This Row],[CUIT]]="","-",VLOOKUP(compras_mes6[[#This Row],[CUIT]],Lista_CUIT[#All],3,0)),"CUIT NO CARGADO")</f>
        <v>Gastos Varios</v>
      </c>
      <c r="R15" s="215">
        <f>IFERROR(IF(compras_mes6[[#This Row],[CUIT]]="","-",VLOOKUP(compras_mes6[[#This Row],[CUIT]],Lista_CUIT[#All],4,0)),"CUIT NO CARGADO")</f>
        <v>0</v>
      </c>
    </row>
    <row r="16" spans="1:26" x14ac:dyDescent="0.25">
      <c r="B16" s="494" t="s">
        <v>2503</v>
      </c>
      <c r="C16" s="495">
        <v>1</v>
      </c>
      <c r="D16" s="496">
        <v>3</v>
      </c>
      <c r="E16" s="493">
        <v>210</v>
      </c>
      <c r="F16" s="497">
        <v>20120794338</v>
      </c>
      <c r="G16" s="498" t="str">
        <f>IFERROR(IF(compras_mes6[[#This Row],[CUIT]]="","-",VLOOKUP(compras_mes6[[#This Row],[CUIT]],Lista_CUIT[#All],2,0)),"CUIT NO CARGADO")</f>
        <v>AINSTEIN MARCELO</v>
      </c>
      <c r="H16" s="499">
        <v>800000</v>
      </c>
      <c r="I16" s="500">
        <f>IF(compras_mes6[[#This Row],[NETO GRAVADO]]="","",compras_mes6[[#This Row],[NETO GRAVADO]]*0.21)</f>
        <v>168000</v>
      </c>
      <c r="J16" s="500"/>
      <c r="K16" s="500"/>
      <c r="L16" s="500"/>
      <c r="M16" s="500"/>
      <c r="N16" s="500"/>
      <c r="O16" s="500"/>
      <c r="P16" s="501">
        <f>SUM(compras_mes6[[#This Row],[NETO GRAVADO]:[Otros / No Grav.]])</f>
        <v>968000</v>
      </c>
      <c r="Q16" s="502" t="str">
        <f>IFERROR(IF(compras_mes6[[#This Row],[CUIT]]="","-",VLOOKUP(compras_mes6[[#This Row],[CUIT]],Lista_CUIT[#All],3,0)),"CUIT NO CARGADO")</f>
        <v>Honorarios Legales</v>
      </c>
      <c r="R16" s="502">
        <f>IFERROR(IF(compras_mes6[[#This Row],[CUIT]]="","-",VLOOKUP(compras_mes6[[#This Row],[CUIT]],Lista_CUIT[#All],4,0)),"CUIT NO CARGADO")</f>
        <v>0</v>
      </c>
    </row>
    <row r="17" spans="2:18" x14ac:dyDescent="0.25">
      <c r="B17" s="207" t="s">
        <v>2489</v>
      </c>
      <c r="C17" s="41">
        <v>3</v>
      </c>
      <c r="D17" s="209">
        <v>3</v>
      </c>
      <c r="E17" s="225">
        <v>61224</v>
      </c>
      <c r="F17" s="210">
        <v>33643358749</v>
      </c>
      <c r="G17" s="211" t="str">
        <f>IFERROR(IF(compras_mes6[[#This Row],[CUIT]]="","-",VLOOKUP(compras_mes6[[#This Row],[CUIT]],Lista_CUIT[#All],2,0)),"CUIT NO CARGADO")</f>
        <v>POLYTECH S A</v>
      </c>
      <c r="H17" s="212">
        <v>-1012.4</v>
      </c>
      <c r="I17" s="213">
        <f>IF(compras_mes6[[#This Row],[NETO GRAVADO]]="","",compras_mes6[[#This Row],[NETO GRAVADO]]*0.21)</f>
        <v>-212.60399999999998</v>
      </c>
      <c r="J17" s="213"/>
      <c r="K17" s="213"/>
      <c r="L17" s="213"/>
      <c r="M17" s="213"/>
      <c r="N17" s="213"/>
      <c r="O17" s="213"/>
      <c r="P17" s="214">
        <f>SUM(compras_mes6[[#This Row],[NETO GRAVADO]:[Otros / No Grav.]])</f>
        <v>-1225.0039999999999</v>
      </c>
      <c r="Q17" s="215" t="str">
        <f>IFERROR(IF(compras_mes6[[#This Row],[CUIT]]="","-",VLOOKUP(compras_mes6[[#This Row],[CUIT]],Lista_CUIT[#All],3,0)),"CUIT NO CARGADO")</f>
        <v>Gastos administrativos</v>
      </c>
      <c r="R17" s="215">
        <f>IFERROR(IF(compras_mes6[[#This Row],[CUIT]]="","-",VLOOKUP(compras_mes6[[#This Row],[CUIT]],Lista_CUIT[#All],4,0)),"CUIT NO CARGADO")</f>
        <v>0</v>
      </c>
    </row>
    <row r="18" spans="2:18" x14ac:dyDescent="0.25">
      <c r="B18" s="494" t="s">
        <v>2486</v>
      </c>
      <c r="C18" s="495">
        <v>1</v>
      </c>
      <c r="D18" s="496">
        <v>1</v>
      </c>
      <c r="E18" s="493">
        <v>614</v>
      </c>
      <c r="F18" s="497">
        <v>20131206144</v>
      </c>
      <c r="G18" s="498" t="str">
        <f>IFERROR(IF(compras_mes6[[#This Row],[CUIT]]="","-",VLOOKUP(compras_mes6[[#This Row],[CUIT]],Lista_CUIT[#All],2,0)),"CUIT NO CARGADO")</f>
        <v>CHAMORRO MANUEL</v>
      </c>
      <c r="H18" s="499">
        <v>1180956</v>
      </c>
      <c r="I18" s="500">
        <f>IF(compras_mes6[[#This Row],[NETO GRAVADO]]="","",compras_mes6[[#This Row],[NETO GRAVADO]]*0.21)</f>
        <v>248000.75999999998</v>
      </c>
      <c r="J18" s="500"/>
      <c r="K18" s="500"/>
      <c r="L18" s="500"/>
      <c r="M18" s="500"/>
      <c r="N18" s="500"/>
      <c r="O18" s="500"/>
      <c r="P18" s="501">
        <f>SUM(compras_mes6[[#This Row],[NETO GRAVADO]:[Otros / No Grav.]])</f>
        <v>1428956.76</v>
      </c>
      <c r="Q18" s="502" t="str">
        <f>IFERROR(IF(compras_mes6[[#This Row],[CUIT]]="","-",VLOOKUP(compras_mes6[[#This Row],[CUIT]],Lista_CUIT[#All],3,0)),"CUIT NO CARGADO")</f>
        <v>Alquiler</v>
      </c>
      <c r="R18" s="502">
        <f>IFERROR(IF(compras_mes6[[#This Row],[CUIT]]="","-",VLOOKUP(compras_mes6[[#This Row],[CUIT]],Lista_CUIT[#All],4,0)),"CUIT NO CARGADO")</f>
        <v>0</v>
      </c>
    </row>
    <row r="19" spans="2:18" x14ac:dyDescent="0.25">
      <c r="B19" s="494" t="s">
        <v>2487</v>
      </c>
      <c r="C19" s="495">
        <v>1</v>
      </c>
      <c r="D19" s="496">
        <v>1</v>
      </c>
      <c r="E19" s="493">
        <v>164</v>
      </c>
      <c r="F19" s="497">
        <v>30716010313</v>
      </c>
      <c r="G19" s="498" t="str">
        <f>IFERROR(IF(compras_mes6[[#This Row],[CUIT]]="","-",VLOOKUP(compras_mes6[[#This Row],[CUIT]],Lista_CUIT[#All],2,0)),"CUIT NO CARGADO")</f>
        <v>H UNO 1469 S.A.</v>
      </c>
      <c r="H19" s="499">
        <v>640980</v>
      </c>
      <c r="I19" s="500">
        <f>IF(compras_mes6[[#This Row],[NETO GRAVADO]]="","",compras_mes6[[#This Row],[NETO GRAVADO]]*0.21)</f>
        <v>134605.79999999999</v>
      </c>
      <c r="J19" s="500"/>
      <c r="K19" s="500"/>
      <c r="L19" s="500"/>
      <c r="M19" s="500"/>
      <c r="N19" s="500"/>
      <c r="O19" s="500"/>
      <c r="P19" s="501">
        <f>SUM(compras_mes6[[#This Row],[NETO GRAVADO]:[Otros / No Grav.]])</f>
        <v>775585.8</v>
      </c>
      <c r="Q19" s="502" t="str">
        <f>IFERROR(IF(compras_mes6[[#This Row],[CUIT]]="","-",VLOOKUP(compras_mes6[[#This Row],[CUIT]],Lista_CUIT[#All],3,0)),"CUIT NO CARGADO")</f>
        <v>Alquiler</v>
      </c>
      <c r="R19" s="502">
        <f>IFERROR(IF(compras_mes6[[#This Row],[CUIT]]="","-",VLOOKUP(compras_mes6[[#This Row],[CUIT]],Lista_CUIT[#All],4,0)),"CUIT NO CARGADO")</f>
        <v>0</v>
      </c>
    </row>
    <row r="20" spans="2:18" x14ac:dyDescent="0.25">
      <c r="B20" s="207" t="s">
        <v>2489</v>
      </c>
      <c r="C20" s="41">
        <v>1</v>
      </c>
      <c r="D20" s="209">
        <v>2</v>
      </c>
      <c r="E20" s="225">
        <v>310</v>
      </c>
      <c r="F20" s="210">
        <v>27309896063</v>
      </c>
      <c r="G20" s="211" t="str">
        <f>IFERROR(IF(compras_mes6[[#This Row],[CUIT]]="","-",VLOOKUP(compras_mes6[[#This Row],[CUIT]],Lista_CUIT[#All],2,0)),"CUIT NO CARGADO")</f>
        <v>BATTELLINI MARIA SOLEDAD</v>
      </c>
      <c r="H20" s="212">
        <v>620000</v>
      </c>
      <c r="I20" s="213">
        <f>IF(compras_mes6[[#This Row],[NETO GRAVADO]]="","",compras_mes6[[#This Row],[NETO GRAVADO]]*0.21)</f>
        <v>130200</v>
      </c>
      <c r="J20" s="213"/>
      <c r="K20" s="213"/>
      <c r="L20" s="213"/>
      <c r="M20" s="213"/>
      <c r="N20" s="213"/>
      <c r="O20" s="213"/>
      <c r="P20" s="214">
        <f>SUM(compras_mes6[[#This Row],[NETO GRAVADO]:[Otros / No Grav.]])</f>
        <v>750200</v>
      </c>
      <c r="Q20" s="215" t="str">
        <f>IFERROR(IF(compras_mes6[[#This Row],[CUIT]]="","-",VLOOKUP(compras_mes6[[#This Row],[CUIT]],Lista_CUIT[#All],3,0)),"CUIT NO CARGADO")</f>
        <v>Alquiler</v>
      </c>
      <c r="R20" s="215">
        <f>IFERROR(IF(compras_mes6[[#This Row],[CUIT]]="","-",VLOOKUP(compras_mes6[[#This Row],[CUIT]],Lista_CUIT[#All],4,0)),"CUIT NO CARGADO")</f>
        <v>0</v>
      </c>
    </row>
    <row r="21" spans="2:18" x14ac:dyDescent="0.25">
      <c r="B21" s="207" t="s">
        <v>2492</v>
      </c>
      <c r="C21" s="41">
        <v>1</v>
      </c>
      <c r="D21" s="209">
        <v>6854</v>
      </c>
      <c r="E21" s="225">
        <v>20214</v>
      </c>
      <c r="F21" s="210">
        <v>30678774495</v>
      </c>
      <c r="G21" s="211" t="str">
        <f>IFERROR(IF(compras_mes6[[#This Row],[CUIT]]="","-",VLOOKUP(compras_mes6[[#This Row],[CUIT]],Lista_CUIT[#All],2,0)),"CUIT NO CARGADO")</f>
        <v>OPER. DE EST. DE SERV. SA</v>
      </c>
      <c r="H21" s="212">
        <v>8522.56</v>
      </c>
      <c r="I21" s="213">
        <f>IF(compras_mes6[[#This Row],[NETO GRAVADO]]="","",compras_mes6[[#This Row],[NETO GRAVADO]]*0.21)</f>
        <v>1789.7375999999999</v>
      </c>
      <c r="J21" s="213"/>
      <c r="K21" s="213"/>
      <c r="L21" s="213"/>
      <c r="M21" s="213"/>
      <c r="N21" s="213"/>
      <c r="O21" s="213">
        <v>2687.7</v>
      </c>
      <c r="P21" s="214">
        <f>SUM(compras_mes6[[#This Row],[NETO GRAVADO]:[Otros / No Grav.]])</f>
        <v>12999.997599999999</v>
      </c>
      <c r="Q21" s="215" t="str">
        <f>IFERROR(IF(compras_mes6[[#This Row],[CUIT]]="","-",VLOOKUP(compras_mes6[[#This Row],[CUIT]],Lista_CUIT[#All],3,0)),"CUIT NO CARGADO")</f>
        <v>Combustible</v>
      </c>
      <c r="R21" s="215">
        <f>IFERROR(IF(compras_mes6[[#This Row],[CUIT]]="","-",VLOOKUP(compras_mes6[[#This Row],[CUIT]],Lista_CUIT[#All],4,0)),"CUIT NO CARGADO")</f>
        <v>0</v>
      </c>
    </row>
    <row r="22" spans="2:18" x14ac:dyDescent="0.25">
      <c r="B22" s="207" t="s">
        <v>2495</v>
      </c>
      <c r="C22" s="41">
        <v>1</v>
      </c>
      <c r="D22" s="209">
        <v>6854</v>
      </c>
      <c r="E22" s="225">
        <v>20250</v>
      </c>
      <c r="F22" s="210">
        <v>30678774495</v>
      </c>
      <c r="G22" s="211" t="str">
        <f>IFERROR(IF(compras_mes6[[#This Row],[CUIT]]="","-",VLOOKUP(compras_mes6[[#This Row],[CUIT]],Lista_CUIT[#All],2,0)),"CUIT NO CARGADO")</f>
        <v>OPER. DE EST. DE SERV. SA</v>
      </c>
      <c r="H22" s="212">
        <v>14156.87</v>
      </c>
      <c r="I22" s="213">
        <f>IF(compras_mes6[[#This Row],[NETO GRAVADO]]="","",compras_mes6[[#This Row],[NETO GRAVADO]]*0.21)</f>
        <v>2972.9427000000001</v>
      </c>
      <c r="J22" s="213"/>
      <c r="K22" s="213"/>
      <c r="L22" s="213"/>
      <c r="M22" s="213"/>
      <c r="N22" s="213"/>
      <c r="O22" s="213">
        <v>2938.23</v>
      </c>
      <c r="P22" s="214">
        <f>SUM(compras_mes6[[#This Row],[NETO GRAVADO]:[Otros / No Grav.]])</f>
        <v>20068.042700000002</v>
      </c>
      <c r="Q22" s="215" t="str">
        <f>IFERROR(IF(compras_mes6[[#This Row],[CUIT]]="","-",VLOOKUP(compras_mes6[[#This Row],[CUIT]],Lista_CUIT[#All],3,0)),"CUIT NO CARGADO")</f>
        <v>Combustible</v>
      </c>
      <c r="R22" s="215">
        <f>IFERROR(IF(compras_mes6[[#This Row],[CUIT]]="","-",VLOOKUP(compras_mes6[[#This Row],[CUIT]],Lista_CUIT[#All],4,0)),"CUIT NO CARGADO")</f>
        <v>0</v>
      </c>
    </row>
    <row r="23" spans="2:18" x14ac:dyDescent="0.25">
      <c r="B23" s="207" t="s">
        <v>2497</v>
      </c>
      <c r="C23" s="41">
        <v>1</v>
      </c>
      <c r="D23" s="209">
        <v>6854</v>
      </c>
      <c r="E23" s="225">
        <v>20270</v>
      </c>
      <c r="F23" s="210">
        <v>30678774495</v>
      </c>
      <c r="G23" s="211" t="str">
        <f>IFERROR(IF(compras_mes6[[#This Row],[CUIT]]="","-",VLOOKUP(compras_mes6[[#This Row],[CUIT]],Lista_CUIT[#All],2,0)),"CUIT NO CARGADO")</f>
        <v>OPER. DE EST. DE SERV. SA</v>
      </c>
      <c r="H23" s="212">
        <v>29747.759999999998</v>
      </c>
      <c r="I23" s="213">
        <f>IF(compras_mes6[[#This Row],[NETO GRAVADO]]="","",compras_mes6[[#This Row],[NETO GRAVADO]]*0.21)</f>
        <v>6247.0295999999998</v>
      </c>
      <c r="J23" s="213"/>
      <c r="K23" s="213"/>
      <c r="L23" s="213"/>
      <c r="M23" s="213"/>
      <c r="N23" s="213"/>
      <c r="O23" s="213">
        <v>8005.21</v>
      </c>
      <c r="P23" s="214">
        <f>SUM(compras_mes6[[#This Row],[NETO GRAVADO]:[Otros / No Grav.]])</f>
        <v>43999.999599999996</v>
      </c>
      <c r="Q23" s="215" t="str">
        <f>IFERROR(IF(compras_mes6[[#This Row],[CUIT]]="","-",VLOOKUP(compras_mes6[[#This Row],[CUIT]],Lista_CUIT[#All],3,0)),"CUIT NO CARGADO")</f>
        <v>Combustible</v>
      </c>
      <c r="R23" s="215">
        <f>IFERROR(IF(compras_mes6[[#This Row],[CUIT]]="","-",VLOOKUP(compras_mes6[[#This Row],[CUIT]],Lista_CUIT[#All],4,0)),"CUIT NO CARGADO")</f>
        <v>0</v>
      </c>
    </row>
    <row r="24" spans="2:18" x14ac:dyDescent="0.25">
      <c r="B24" s="207" t="s">
        <v>2506</v>
      </c>
      <c r="C24" s="41">
        <v>1</v>
      </c>
      <c r="D24" s="209">
        <v>6850</v>
      </c>
      <c r="E24" s="225">
        <v>26769</v>
      </c>
      <c r="F24" s="210">
        <v>30678774495</v>
      </c>
      <c r="G24" s="211" t="str">
        <f>IFERROR(IF(compras_mes6[[#This Row],[CUIT]]="","-",VLOOKUP(compras_mes6[[#This Row],[CUIT]],Lista_CUIT[#All],2,0)),"CUIT NO CARGADO")</f>
        <v>OPER. DE EST. DE SERV. SA</v>
      </c>
      <c r="H24" s="212">
        <v>8789.11</v>
      </c>
      <c r="I24" s="213">
        <f>IF(compras_mes6[[#This Row],[NETO GRAVADO]]="","",compras_mes6[[#This Row],[NETO GRAVADO]]*0.21)</f>
        <v>1845.7130999999999</v>
      </c>
      <c r="J24" s="213"/>
      <c r="K24" s="213"/>
      <c r="L24" s="213"/>
      <c r="M24" s="213"/>
      <c r="N24" s="213"/>
      <c r="O24" s="213">
        <v>2365.1799999999998</v>
      </c>
      <c r="P24" s="214">
        <f>SUM(compras_mes6[[#This Row],[NETO GRAVADO]:[Otros / No Grav.]])</f>
        <v>13000.003100000002</v>
      </c>
      <c r="Q24" s="215" t="str">
        <f>IFERROR(IF(compras_mes6[[#This Row],[CUIT]]="","-",VLOOKUP(compras_mes6[[#This Row],[CUIT]],Lista_CUIT[#All],3,0)),"CUIT NO CARGADO")</f>
        <v>Combustible</v>
      </c>
      <c r="R24" s="215">
        <f>IFERROR(IF(compras_mes6[[#This Row],[CUIT]]="","-",VLOOKUP(compras_mes6[[#This Row],[CUIT]],Lista_CUIT[#All],4,0)),"CUIT NO CARGADO")</f>
        <v>0</v>
      </c>
    </row>
    <row r="25" spans="2:18" x14ac:dyDescent="0.25">
      <c r="B25" s="207" t="s">
        <v>2508</v>
      </c>
      <c r="C25" s="41">
        <v>1</v>
      </c>
      <c r="D25" s="209">
        <v>6854</v>
      </c>
      <c r="E25" s="225">
        <v>20398</v>
      </c>
      <c r="F25" s="210">
        <v>30678774495</v>
      </c>
      <c r="G25" s="211" t="str">
        <f>IFERROR(IF(compras_mes6[[#This Row],[CUIT]]="","-",VLOOKUP(compras_mes6[[#This Row],[CUIT]],Lista_CUIT[#All],2,0)),"CUIT NO CARGADO")</f>
        <v>OPER. DE EST. DE SERV. SA</v>
      </c>
      <c r="H25" s="212">
        <v>13521.7</v>
      </c>
      <c r="I25" s="213">
        <f>IF(compras_mes6[[#This Row],[NETO GRAVADO]]="","",compras_mes6[[#This Row],[NETO GRAVADO]]*0.21)</f>
        <v>2839.5570000000002</v>
      </c>
      <c r="J25" s="213"/>
      <c r="K25" s="213"/>
      <c r="L25" s="213"/>
      <c r="M25" s="213"/>
      <c r="N25" s="213"/>
      <c r="O25" s="213">
        <v>3638.73</v>
      </c>
      <c r="P25" s="214">
        <f>SUM(compras_mes6[[#This Row],[NETO GRAVADO]:[Otros / No Grav.]])</f>
        <v>19999.987000000001</v>
      </c>
      <c r="Q25" s="215" t="str">
        <f>IFERROR(IF(compras_mes6[[#This Row],[CUIT]]="","-",VLOOKUP(compras_mes6[[#This Row],[CUIT]],Lista_CUIT[#All],3,0)),"CUIT NO CARGADO")</f>
        <v>Combustible</v>
      </c>
      <c r="R25" s="215">
        <f>IFERROR(IF(compras_mes6[[#This Row],[CUIT]]="","-",VLOOKUP(compras_mes6[[#This Row],[CUIT]],Lista_CUIT[#All],4,0)),"CUIT NO CARGADO")</f>
        <v>0</v>
      </c>
    </row>
    <row r="26" spans="2:18" x14ac:dyDescent="0.25">
      <c r="B26" s="207" t="s">
        <v>2512</v>
      </c>
      <c r="C26" s="41">
        <v>1</v>
      </c>
      <c r="D26" s="209">
        <v>6850</v>
      </c>
      <c r="E26" s="225">
        <v>26878</v>
      </c>
      <c r="F26" s="210">
        <v>30678774495</v>
      </c>
      <c r="G26" s="211" t="str">
        <f>IFERROR(IF(compras_mes6[[#This Row],[CUIT]]="","-",VLOOKUP(compras_mes6[[#This Row],[CUIT]],Lista_CUIT[#All],2,0)),"CUIT NO CARGADO")</f>
        <v>OPER. DE EST. DE SERV. SA</v>
      </c>
      <c r="H26" s="212">
        <v>50623.95</v>
      </c>
      <c r="I26" s="213">
        <f>IF(compras_mes6[[#This Row],[NETO GRAVADO]]="","",compras_mes6[[#This Row],[NETO GRAVADO]]*0.21)</f>
        <v>10631.029499999999</v>
      </c>
      <c r="J26" s="213"/>
      <c r="K26" s="213"/>
      <c r="L26" s="213"/>
      <c r="M26" s="213"/>
      <c r="N26" s="213"/>
      <c r="O26" s="213">
        <v>13623.07</v>
      </c>
      <c r="P26" s="214">
        <f>SUM(compras_mes6[[#This Row],[NETO GRAVADO]:[Otros / No Grav.]])</f>
        <v>74878.049499999994</v>
      </c>
      <c r="Q26" s="215" t="str">
        <f>IFERROR(IF(compras_mes6[[#This Row],[CUIT]]="","-",VLOOKUP(compras_mes6[[#This Row],[CUIT]],Lista_CUIT[#All],3,0)),"CUIT NO CARGADO")</f>
        <v>Combustible</v>
      </c>
      <c r="R26" s="215">
        <f>IFERROR(IF(compras_mes6[[#This Row],[CUIT]]="","-",VLOOKUP(compras_mes6[[#This Row],[CUIT]],Lista_CUIT[#All],4,0)),"CUIT NO CARGADO")</f>
        <v>0</v>
      </c>
    </row>
    <row r="27" spans="2:18" x14ac:dyDescent="0.25">
      <c r="B27" s="207" t="s">
        <v>2513</v>
      </c>
      <c r="C27" s="41">
        <v>1</v>
      </c>
      <c r="D27" s="209">
        <v>6854</v>
      </c>
      <c r="E27" s="225">
        <v>20450</v>
      </c>
      <c r="F27" s="210">
        <v>30678774495</v>
      </c>
      <c r="G27" s="211" t="str">
        <f>IFERROR(IF(compras_mes6[[#This Row],[CUIT]]="","-",VLOOKUP(compras_mes6[[#This Row],[CUIT]],Lista_CUIT[#All],2,0)),"CUIT NO CARGADO")</f>
        <v>OPER. DE EST. DE SERV. SA</v>
      </c>
      <c r="H27" s="212">
        <v>10581.69</v>
      </c>
      <c r="I27" s="213">
        <f>IF(compras_mes6[[#This Row],[NETO GRAVADO]]="","",compras_mes6[[#This Row],[NETO GRAVADO]]*0.21)</f>
        <v>2222.1549</v>
      </c>
      <c r="J27" s="213"/>
      <c r="K27" s="213"/>
      <c r="L27" s="213"/>
      <c r="M27" s="213"/>
      <c r="N27" s="213"/>
      <c r="O27" s="213">
        <v>2196.21</v>
      </c>
      <c r="P27" s="214">
        <f>SUM(compras_mes6[[#This Row],[NETO GRAVADO]:[Otros / No Grav.]])</f>
        <v>15000.054899999999</v>
      </c>
      <c r="Q27" s="215" t="str">
        <f>IFERROR(IF(compras_mes6[[#This Row],[CUIT]]="","-",VLOOKUP(compras_mes6[[#This Row],[CUIT]],Lista_CUIT[#All],3,0)),"CUIT NO CARGADO")</f>
        <v>Combustible</v>
      </c>
      <c r="R27" s="215">
        <f>IFERROR(IF(compras_mes6[[#This Row],[CUIT]]="","-",VLOOKUP(compras_mes6[[#This Row],[CUIT]],Lista_CUIT[#All],4,0)),"CUIT NO CARGADO")</f>
        <v>0</v>
      </c>
    </row>
    <row r="28" spans="2:18" x14ac:dyDescent="0.25">
      <c r="B28" s="207">
        <v>45838</v>
      </c>
      <c r="C28" s="41">
        <v>1</v>
      </c>
      <c r="D28" s="209">
        <v>6</v>
      </c>
      <c r="E28" s="225">
        <v>18957</v>
      </c>
      <c r="F28" s="210">
        <v>30708224142</v>
      </c>
      <c r="G28" s="211" t="str">
        <f>IFERROR(IF(compras_mes6[[#This Row],[CUIT]]="","-",VLOOKUP(compras_mes6[[#This Row],[CUIT]],Lista_CUIT[#All],2,0)),"CUIT NO CARGADO")</f>
        <v>ONSAY BEL SA</v>
      </c>
      <c r="H28" s="212">
        <v>13599.76</v>
      </c>
      <c r="I28" s="213">
        <f>IF(compras_mes6[[#This Row],[NETO GRAVADO]]="","",compras_mes6[[#This Row],[NETO GRAVADO]]*0.21)</f>
        <v>2855.9495999999999</v>
      </c>
      <c r="J28" s="213"/>
      <c r="K28" s="213"/>
      <c r="L28" s="213"/>
      <c r="M28" s="213"/>
      <c r="N28" s="213"/>
      <c r="O28" s="213">
        <v>3544.34</v>
      </c>
      <c r="P28" s="214">
        <f>SUM(compras_mes6[[#This Row],[NETO GRAVADO]:[Otros / No Grav.]])</f>
        <v>20000.049600000002</v>
      </c>
      <c r="Q28" s="215" t="str">
        <f>IFERROR(IF(compras_mes6[[#This Row],[CUIT]]="","-",VLOOKUP(compras_mes6[[#This Row],[CUIT]],Lista_CUIT[#All],3,0)),"CUIT NO CARGADO")</f>
        <v>Combustible</v>
      </c>
      <c r="R28" s="215">
        <f>IFERROR(IF(compras_mes6[[#This Row],[CUIT]]="","-",VLOOKUP(compras_mes6[[#This Row],[CUIT]],Lista_CUIT[#All],4,0)),"CUIT NO CARGADO")</f>
        <v>0</v>
      </c>
    </row>
    <row r="29" spans="2:18" x14ac:dyDescent="0.25">
      <c r="B29" s="494">
        <v>45829</v>
      </c>
      <c r="C29" s="495">
        <v>1</v>
      </c>
      <c r="D29" s="496">
        <v>12</v>
      </c>
      <c r="E29" s="493">
        <v>68041</v>
      </c>
      <c r="F29" s="497">
        <v>30696131003</v>
      </c>
      <c r="G29" s="498" t="str">
        <f>IFERROR(IF(compras_mes6[[#This Row],[CUIT]]="","-",VLOOKUP(compras_mes6[[#This Row],[CUIT]],Lista_CUIT[#All],2,0)),"CUIT NO CARGADO")</f>
        <v>Petrolfe S.A.</v>
      </c>
      <c r="H29" s="499">
        <v>146417.24</v>
      </c>
      <c r="I29" s="500">
        <f>IF(compras_mes6[[#This Row],[NETO GRAVADO]]="","",compras_mes6[[#This Row],[NETO GRAVADO]]*0.21)</f>
        <v>30747.620399999996</v>
      </c>
      <c r="J29" s="500"/>
      <c r="K29" s="500"/>
      <c r="L29" s="500"/>
      <c r="M29" s="500"/>
      <c r="N29" s="500"/>
      <c r="O29" s="500">
        <v>24778.240000000002</v>
      </c>
      <c r="P29" s="501">
        <f>SUM(compras_mes6[[#This Row],[NETO GRAVADO]:[Otros / No Grav.]])</f>
        <v>201943.10039999997</v>
      </c>
      <c r="Q29" s="502" t="str">
        <f>IFERROR(IF(compras_mes6[[#This Row],[CUIT]]="","-",VLOOKUP(compras_mes6[[#This Row],[CUIT]],Lista_CUIT[#All],3,0)),"CUIT NO CARGADO")</f>
        <v>Combustible</v>
      </c>
      <c r="R29" s="502">
        <f>IFERROR(IF(compras_mes6[[#This Row],[CUIT]]="","-",VLOOKUP(compras_mes6[[#This Row],[CUIT]],Lista_CUIT[#All],4,0)),"CUIT NO CARGADO")</f>
        <v>0</v>
      </c>
    </row>
    <row r="30" spans="2:18" x14ac:dyDescent="0.25">
      <c r="B30" s="207" t="s">
        <v>2487</v>
      </c>
      <c r="C30" s="41">
        <v>1</v>
      </c>
      <c r="D30" s="209">
        <v>13</v>
      </c>
      <c r="E30" s="225">
        <v>87</v>
      </c>
      <c r="F30" s="210">
        <v>30709136018</v>
      </c>
      <c r="G30" s="211" t="str">
        <f>IFERROR(IF(compras_mes6[[#This Row],[CUIT]]="","-",VLOOKUP(compras_mes6[[#This Row],[CUIT]],Lista_CUIT[#All],2,0)),"CUIT NO CARGADO")</f>
        <v>MULTILIMP SRL</v>
      </c>
      <c r="H30" s="212">
        <v>48099.17</v>
      </c>
      <c r="I30" s="213">
        <f>IF(compras_mes6[[#This Row],[NETO GRAVADO]]="","",compras_mes6[[#This Row],[NETO GRAVADO]]*0.21)</f>
        <v>10100.825699999999</v>
      </c>
      <c r="J30" s="213"/>
      <c r="K30" s="213"/>
      <c r="L30" s="213"/>
      <c r="M30" s="213"/>
      <c r="N30" s="213"/>
      <c r="O30" s="213"/>
      <c r="P30" s="214">
        <f>SUM(compras_mes6[[#This Row],[NETO GRAVADO]:[Otros / No Grav.]])</f>
        <v>58199.995699999999</v>
      </c>
      <c r="Q30" s="215" t="str">
        <f>IFERROR(IF(compras_mes6[[#This Row],[CUIT]]="","-",VLOOKUP(compras_mes6[[#This Row],[CUIT]],Lista_CUIT[#All],3,0)),"CUIT NO CARGADO")</f>
        <v>Gastos Varios</v>
      </c>
      <c r="R30" s="215">
        <f>IFERROR(IF(compras_mes6[[#This Row],[CUIT]]="","-",VLOOKUP(compras_mes6[[#This Row],[CUIT]],Lista_CUIT[#All],4,0)),"CUIT NO CARGADO")</f>
        <v>0</v>
      </c>
    </row>
    <row r="31" spans="2:18" x14ac:dyDescent="0.25">
      <c r="B31" s="207" t="s">
        <v>2498</v>
      </c>
      <c r="C31" s="41">
        <v>1</v>
      </c>
      <c r="D31" s="209">
        <v>6</v>
      </c>
      <c r="E31" s="225">
        <v>268</v>
      </c>
      <c r="F31" s="210">
        <v>20190491774</v>
      </c>
      <c r="G31" s="211" t="str">
        <f>IFERROR(IF(compras_mes6[[#This Row],[CUIT]]="","-",VLOOKUP(compras_mes6[[#This Row],[CUIT]],Lista_CUIT[#All],2,0)),"CUIT NO CARGADO")</f>
        <v>MIAH MAZNU</v>
      </c>
      <c r="H31" s="212">
        <v>7500</v>
      </c>
      <c r="I31" s="213">
        <f>IF(compras_mes6[[#This Row],[NETO GRAVADO]]="","",compras_mes6[[#This Row],[NETO GRAVADO]]*0.21)</f>
        <v>1575</v>
      </c>
      <c r="J31" s="213"/>
      <c r="K31" s="213"/>
      <c r="L31" s="213"/>
      <c r="M31" s="213"/>
      <c r="N31" s="213"/>
      <c r="O31" s="213"/>
      <c r="P31" s="214">
        <f>SUM(compras_mes6[[#This Row],[NETO GRAVADO]:[Otros / No Grav.]])</f>
        <v>9075</v>
      </c>
      <c r="Q31" s="215" t="str">
        <f>IFERROR(IF(compras_mes6[[#This Row],[CUIT]]="","-",VLOOKUP(compras_mes6[[#This Row],[CUIT]],Lista_CUIT[#All],3,0)),"CUIT NO CARGADO")</f>
        <v>Gastos Varios</v>
      </c>
      <c r="R31" s="215">
        <f>IFERROR(IF(compras_mes6[[#This Row],[CUIT]]="","-",VLOOKUP(compras_mes6[[#This Row],[CUIT]],Lista_CUIT[#All],4,0)),"CUIT NO CARGADO")</f>
        <v>0</v>
      </c>
    </row>
    <row r="32" spans="2:18" x14ac:dyDescent="0.25">
      <c r="B32" s="207" t="s">
        <v>2504</v>
      </c>
      <c r="C32" s="41">
        <v>1</v>
      </c>
      <c r="D32" s="209">
        <v>3</v>
      </c>
      <c r="E32" s="225">
        <v>1400</v>
      </c>
      <c r="F32" s="210">
        <v>20278009883</v>
      </c>
      <c r="G32" s="211" t="str">
        <f>IFERROR(IF(compras_mes6[[#This Row],[CUIT]]="","-",VLOOKUP(compras_mes6[[#This Row],[CUIT]],Lista_CUIT[#All],2,0)),"CUIT NO CARGADO")</f>
        <v>SACCOMANNO GERMAN ARIEL</v>
      </c>
      <c r="H32" s="212">
        <v>13752.04</v>
      </c>
      <c r="I32" s="213">
        <f>IF(compras_mes6[[#This Row],[NETO GRAVADO]]="","",compras_mes6[[#This Row],[NETO GRAVADO]]*0.21)</f>
        <v>2887.9284000000002</v>
      </c>
      <c r="J32" s="213"/>
      <c r="K32" s="213"/>
      <c r="L32" s="213"/>
      <c r="M32" s="213"/>
      <c r="N32" s="213"/>
      <c r="O32" s="213"/>
      <c r="P32" s="214">
        <f>SUM(compras_mes6[[#This Row],[NETO GRAVADO]:[Otros / No Grav.]])</f>
        <v>16639.968400000002</v>
      </c>
      <c r="Q32" s="215" t="str">
        <f>IFERROR(IF(compras_mes6[[#This Row],[CUIT]]="","-",VLOOKUP(compras_mes6[[#This Row],[CUIT]],Lista_CUIT[#All],3,0)),"CUIT NO CARGADO")</f>
        <v xml:space="preserve">Gastos mantenimiento </v>
      </c>
      <c r="R32" s="215">
        <f>IFERROR(IF(compras_mes6[[#This Row],[CUIT]]="","-",VLOOKUP(compras_mes6[[#This Row],[CUIT]],Lista_CUIT[#All],4,0)),"CUIT NO CARGADO")</f>
        <v>0</v>
      </c>
    </row>
    <row r="33" spans="2:18" x14ac:dyDescent="0.25">
      <c r="B33" s="207" t="s">
        <v>2504</v>
      </c>
      <c r="C33" s="41">
        <v>1</v>
      </c>
      <c r="D33" s="209">
        <v>2</v>
      </c>
      <c r="E33" s="225">
        <v>411</v>
      </c>
      <c r="F33" s="210">
        <v>30718584937</v>
      </c>
      <c r="G33" s="211" t="str">
        <f>IFERROR(IF(compras_mes6[[#This Row],[CUIT]]="","-",VLOOKUP(compras_mes6[[#This Row],[CUIT]],Lista_CUIT[#All],2,0)),"CUIT NO CARGADO")</f>
        <v>VIDGLASS 2022 S.R.L.</v>
      </c>
      <c r="H33" s="212">
        <v>958677.69</v>
      </c>
      <c r="I33" s="213">
        <f>IF(compras_mes6[[#This Row],[NETO GRAVADO]]="","",compras_mes6[[#This Row],[NETO GRAVADO]]*0.21)</f>
        <v>201322.31489999997</v>
      </c>
      <c r="J33" s="213"/>
      <c r="K33" s="213"/>
      <c r="L33" s="213"/>
      <c r="M33" s="213"/>
      <c r="N33" s="213"/>
      <c r="O33" s="213"/>
      <c r="P33" s="214">
        <f>SUM(compras_mes6[[#This Row],[NETO GRAVADO]:[Otros / No Grav.]])</f>
        <v>1160000.0048999998</v>
      </c>
      <c r="Q33" s="215" t="str">
        <f>IFERROR(IF(compras_mes6[[#This Row],[CUIT]]="","-",VLOOKUP(compras_mes6[[#This Row],[CUIT]],Lista_CUIT[#All],3,0)),"CUIT NO CARGADO")</f>
        <v>Pendiente clasificacion</v>
      </c>
      <c r="R33" s="215">
        <f>IFERROR(IF(compras_mes6[[#This Row],[CUIT]]="","-",VLOOKUP(compras_mes6[[#This Row],[CUIT]],Lista_CUIT[#All],4,0)),"CUIT NO CARGADO")</f>
        <v>0</v>
      </c>
    </row>
    <row r="34" spans="2:18" x14ac:dyDescent="0.25">
      <c r="B34" s="207" t="s">
        <v>2506</v>
      </c>
      <c r="C34" s="41">
        <v>1</v>
      </c>
      <c r="D34" s="209">
        <v>5</v>
      </c>
      <c r="E34" s="225">
        <v>36038</v>
      </c>
      <c r="F34" s="210">
        <v>30710093322</v>
      </c>
      <c r="G34" s="211" t="str">
        <f>IFERROR(IF(compras_mes6[[#This Row],[CUIT]]="","-",VLOOKUP(compras_mes6[[#This Row],[CUIT]],Lista_CUIT[#All],2,0)),"CUIT NO CARGADO")</f>
        <v>PILAS DEL OESTE SRL</v>
      </c>
      <c r="H34" s="212">
        <v>27272.73</v>
      </c>
      <c r="I34" s="213">
        <f>IF(compras_mes6[[#This Row],[NETO GRAVADO]]="","",compras_mes6[[#This Row],[NETO GRAVADO]]*0.21)</f>
        <v>5727.2732999999998</v>
      </c>
      <c r="J34" s="213"/>
      <c r="K34" s="213"/>
      <c r="L34" s="213"/>
      <c r="M34" s="213"/>
      <c r="N34" s="213"/>
      <c r="O34" s="213"/>
      <c r="P34" s="214">
        <f>SUM(compras_mes6[[#This Row],[NETO GRAVADO]:[Otros / No Grav.]])</f>
        <v>33000.003299999997</v>
      </c>
      <c r="Q34" s="215" t="str">
        <f>IFERROR(IF(compras_mes6[[#This Row],[CUIT]]="","-",VLOOKUP(compras_mes6[[#This Row],[CUIT]],Lista_CUIT[#All],3,0)),"CUIT NO CARGADO")</f>
        <v>Librería</v>
      </c>
      <c r="R34" s="215">
        <f>IFERROR(IF(compras_mes6[[#This Row],[CUIT]]="","-",VLOOKUP(compras_mes6[[#This Row],[CUIT]],Lista_CUIT[#All],4,0)),"CUIT NO CARGADO")</f>
        <v>0</v>
      </c>
    </row>
    <row r="35" spans="2:18" x14ac:dyDescent="0.25">
      <c r="B35" s="207" t="s">
        <v>2506</v>
      </c>
      <c r="C35" s="41">
        <v>1</v>
      </c>
      <c r="D35" s="209">
        <v>3</v>
      </c>
      <c r="E35" s="225">
        <v>156695</v>
      </c>
      <c r="F35" s="210">
        <v>30708708697</v>
      </c>
      <c r="G35" s="211" t="str">
        <f>IFERROR(IF(compras_mes6[[#This Row],[CUIT]]="","-",VLOOKUP(compras_mes6[[#This Row],[CUIT]],Lista_CUIT[#All],2,0)),"CUIT NO CARGADO")</f>
        <v>FERCOL LUBRICANTES S.R.L.</v>
      </c>
      <c r="H35" s="212">
        <v>3000000</v>
      </c>
      <c r="I35" s="213">
        <f>IF(compras_mes6[[#This Row],[NETO GRAVADO]]="","",compras_mes6[[#This Row],[NETO GRAVADO]]*0.21)</f>
        <v>630000</v>
      </c>
      <c r="J35" s="213"/>
      <c r="K35" s="213"/>
      <c r="L35" s="213"/>
      <c r="M35" s="213"/>
      <c r="N35" s="213"/>
      <c r="O35" s="213"/>
      <c r="P35" s="214">
        <f>SUM(compras_mes6[[#This Row],[NETO GRAVADO]:[Otros / No Grav.]])</f>
        <v>3630000</v>
      </c>
      <c r="Q35" s="215" t="str">
        <f>IFERROR(IF(compras_mes6[[#This Row],[CUIT]]="","-",VLOOKUP(compras_mes6[[#This Row],[CUIT]],Lista_CUIT[#All],3,0)),"CUIT NO CARGADO")</f>
        <v>Alquiler</v>
      </c>
      <c r="R35" s="215">
        <f>IFERROR(IF(compras_mes6[[#This Row],[CUIT]]="","-",VLOOKUP(compras_mes6[[#This Row],[CUIT]],Lista_CUIT[#All],4,0)),"CUIT NO CARGADO")</f>
        <v>0</v>
      </c>
    </row>
    <row r="36" spans="2:18" x14ac:dyDescent="0.25">
      <c r="B36" s="207" t="s">
        <v>2507</v>
      </c>
      <c r="C36" s="41">
        <v>1</v>
      </c>
      <c r="D36" s="209">
        <v>7</v>
      </c>
      <c r="E36" s="225">
        <v>208140</v>
      </c>
      <c r="F36" s="210">
        <v>30716821516</v>
      </c>
      <c r="G36" s="211" t="str">
        <f>IFERROR(IF(compras_mes6[[#This Row],[CUIT]]="","-",VLOOKUP(compras_mes6[[#This Row],[CUIT]],Lista_CUIT[#All],2,0)),"CUIT NO CARGADO")</f>
        <v>GETNET ARGENTINA S. A. U.</v>
      </c>
      <c r="H36" s="212">
        <v>0</v>
      </c>
      <c r="I36" s="213">
        <f>IF(compras_mes6[[#This Row],[NETO GRAVADO]]="","",compras_mes6[[#This Row],[NETO GRAVADO]]*0.21)</f>
        <v>0</v>
      </c>
      <c r="J36" s="213"/>
      <c r="K36" s="213"/>
      <c r="L36" s="213"/>
      <c r="M36" s="213"/>
      <c r="N36" s="213"/>
      <c r="O36" s="213"/>
      <c r="P36" s="214">
        <f>SUM(compras_mes6[[#This Row],[NETO GRAVADO]:[Otros / No Grav.]])</f>
        <v>0</v>
      </c>
      <c r="Q36" s="215" t="str">
        <f>IFERROR(IF(compras_mes6[[#This Row],[CUIT]]="","-",VLOOKUP(compras_mes6[[#This Row],[CUIT]],Lista_CUIT[#All],3,0)),"CUIT NO CARGADO")</f>
        <v>Gastos administrativos</v>
      </c>
      <c r="R36" s="215">
        <f>IFERROR(IF(compras_mes6[[#This Row],[CUIT]]="","-",VLOOKUP(compras_mes6[[#This Row],[CUIT]],Lista_CUIT[#All],4,0)),"CUIT NO CARGADO")</f>
        <v>0</v>
      </c>
    </row>
    <row r="37" spans="2:18" x14ac:dyDescent="0.25">
      <c r="B37" s="494" t="s">
        <v>2507</v>
      </c>
      <c r="C37" s="495">
        <v>1</v>
      </c>
      <c r="D37" s="496">
        <v>2</v>
      </c>
      <c r="E37" s="493">
        <v>1328</v>
      </c>
      <c r="F37" s="497">
        <v>30716671328</v>
      </c>
      <c r="G37" s="498" t="str">
        <f>IFERROR(IF(compras_mes6[[#This Row],[CUIT]]="","-",VLOOKUP(compras_mes6[[#This Row],[CUIT]],Lista_CUIT[#All],2,0)),"CUIT NO CARGADO")</f>
        <v>PLASTICOS SARRATEA SRL</v>
      </c>
      <c r="H37" s="499">
        <v>2848320</v>
      </c>
      <c r="I37" s="500">
        <f>IF(compras_mes6[[#This Row],[NETO GRAVADO]]="","",compras_mes6[[#This Row],[NETO GRAVADO]]*0.21)</f>
        <v>598147.19999999995</v>
      </c>
      <c r="J37" s="500"/>
      <c r="K37" s="500"/>
      <c r="L37" s="500"/>
      <c r="M37" s="500"/>
      <c r="N37" s="500"/>
      <c r="O37" s="500"/>
      <c r="P37" s="501">
        <f>SUM(compras_mes6[[#This Row],[NETO GRAVADO]:[Otros / No Grav.]])</f>
        <v>3446467.2</v>
      </c>
      <c r="Q37" s="502" t="str">
        <f>IFERROR(IF(compras_mes6[[#This Row],[CUIT]]="","-",VLOOKUP(compras_mes6[[#This Row],[CUIT]],Lista_CUIT[#All],3,0)),"CUIT NO CARGADO")</f>
        <v>Envases</v>
      </c>
      <c r="R37" s="502">
        <f>IFERROR(IF(compras_mes6[[#This Row],[CUIT]]="","-",VLOOKUP(compras_mes6[[#This Row],[CUIT]],Lista_CUIT[#All],4,0)),"CUIT NO CARGADO")</f>
        <v>0</v>
      </c>
    </row>
    <row r="38" spans="2:18" x14ac:dyDescent="0.25">
      <c r="B38" s="207" t="s">
        <v>2507</v>
      </c>
      <c r="C38" s="41">
        <v>1</v>
      </c>
      <c r="D38" s="209">
        <v>1</v>
      </c>
      <c r="E38" s="225">
        <v>771</v>
      </c>
      <c r="F38" s="210">
        <v>20220164013</v>
      </c>
      <c r="G38" s="211" t="str">
        <f>IFERROR(IF(compras_mes6[[#This Row],[CUIT]]="","-",VLOOKUP(compras_mes6[[#This Row],[CUIT]],Lista_CUIT[#All],2,0)),"CUIT NO CARGADO")</f>
        <v>BALESTRIERI ANDRES FERNANDO</v>
      </c>
      <c r="H38" s="212">
        <v>114000</v>
      </c>
      <c r="I38" s="213">
        <f>IF(compras_mes6[[#This Row],[NETO GRAVADO]]="","",compras_mes6[[#This Row],[NETO GRAVADO]]*0.21)</f>
        <v>23940</v>
      </c>
      <c r="J38" s="213"/>
      <c r="K38" s="213"/>
      <c r="L38" s="213"/>
      <c r="M38" s="213"/>
      <c r="N38" s="213"/>
      <c r="O38" s="213"/>
      <c r="P38" s="214">
        <f>SUM(compras_mes6[[#This Row],[NETO GRAVADO]:[Otros / No Grav.]])</f>
        <v>137940</v>
      </c>
      <c r="Q38" s="215" t="str">
        <f>IFERROR(IF(compras_mes6[[#This Row],[CUIT]]="","-",VLOOKUP(compras_mes6[[#This Row],[CUIT]],Lista_CUIT[#All],3,0)),"CUIT NO CARGADO")</f>
        <v>Honorarios Legales</v>
      </c>
      <c r="R38" s="215">
        <f>IFERROR(IF(compras_mes6[[#This Row],[CUIT]]="","-",VLOOKUP(compras_mes6[[#This Row],[CUIT]],Lista_CUIT[#All],4,0)),"CUIT NO CARGADO")</f>
        <v>0</v>
      </c>
    </row>
    <row r="39" spans="2:18" x14ac:dyDescent="0.25">
      <c r="B39" s="494" t="s">
        <v>2507</v>
      </c>
      <c r="C39" s="495">
        <v>1</v>
      </c>
      <c r="D39" s="496">
        <v>3</v>
      </c>
      <c r="E39" s="493">
        <v>158</v>
      </c>
      <c r="F39" s="497">
        <v>27210116120</v>
      </c>
      <c r="G39" s="498" t="str">
        <f>IFERROR(IF(compras_mes6[[#This Row],[CUIT]]="","-",VLOOKUP(compras_mes6[[#This Row],[CUIT]],Lista_CUIT[#All],2,0)),"CUIT NO CARGADO")</f>
        <v>Borrachetti Monica Adriana</v>
      </c>
      <c r="H39" s="499">
        <v>480000</v>
      </c>
      <c r="I39" s="500">
        <f>IF(compras_mes6[[#This Row],[NETO GRAVADO]]="","",compras_mes6[[#This Row],[NETO GRAVADO]]*0.21)</f>
        <v>100800</v>
      </c>
      <c r="J39" s="500"/>
      <c r="K39" s="500"/>
      <c r="L39" s="500"/>
      <c r="M39" s="500"/>
      <c r="N39" s="500"/>
      <c r="O39" s="500"/>
      <c r="P39" s="501">
        <f>SUM(compras_mes6[[#This Row],[NETO GRAVADO]:[Otros / No Grav.]])</f>
        <v>580800</v>
      </c>
      <c r="Q39" s="502" t="str">
        <f>IFERROR(IF(compras_mes6[[#This Row],[CUIT]]="","-",VLOOKUP(compras_mes6[[#This Row],[CUIT]],Lista_CUIT[#All],3,0)),"CUIT NO CARGADO")</f>
        <v>Honorarios Legales</v>
      </c>
      <c r="R39" s="502">
        <f>IFERROR(IF(compras_mes6[[#This Row],[CUIT]]="","-",VLOOKUP(compras_mes6[[#This Row],[CUIT]],Lista_CUIT[#All],4,0)),"CUIT NO CARGADO")</f>
        <v>0</v>
      </c>
    </row>
    <row r="40" spans="2:18" x14ac:dyDescent="0.25">
      <c r="B40" s="40" t="s">
        <v>2508</v>
      </c>
      <c r="C40" s="41">
        <v>1</v>
      </c>
      <c r="D40" s="42">
        <v>32</v>
      </c>
      <c r="E40" s="43">
        <v>216</v>
      </c>
      <c r="F40" s="44">
        <v>30572183668</v>
      </c>
      <c r="G40" s="45" t="str">
        <f>IFERROR(IF(compras_mes6[[#This Row],[CUIT]]="","-",VLOOKUP(compras_mes6[[#This Row],[CUIT]],Lista_CUIT[#All],2,0)),"CUIT NO CARGADO")</f>
        <v>LIBERTADOR MOTORS SOCIEDAD ANONIMA</v>
      </c>
      <c r="H40" s="46">
        <v>11487603.310000001</v>
      </c>
      <c r="I40" s="85">
        <f>IF(compras_mes6[[#This Row],[NETO GRAVADO]]="","",compras_mes6[[#This Row],[NETO GRAVADO]]*0.21)</f>
        <v>2412396.6951000001</v>
      </c>
      <c r="J40" s="85"/>
      <c r="K40" s="85"/>
      <c r="L40" s="85"/>
      <c r="M40" s="85"/>
      <c r="N40" s="85"/>
      <c r="O40" s="85"/>
      <c r="P40" s="48">
        <f>SUM(compras_mes6[[#This Row],[NETO GRAVADO]:[Otros / No Grav.]])</f>
        <v>13900000.005100001</v>
      </c>
      <c r="Q40" s="49" t="str">
        <f>IFERROR(IF(compras_mes6[[#This Row],[CUIT]]="","-",VLOOKUP(compras_mes6[[#This Row],[CUIT]],Lista_CUIT[#All],3,0)),"CUIT NO CARGADO")</f>
        <v>Pendiente clasificacion</v>
      </c>
      <c r="R40" s="49">
        <f>IFERROR(IF(compras_mes6[[#This Row],[CUIT]]="","-",VLOOKUP(compras_mes6[[#This Row],[CUIT]],Lista_CUIT[#All],4,0)),"CUIT NO CARGADO")</f>
        <v>0</v>
      </c>
    </row>
    <row r="41" spans="2:18" x14ac:dyDescent="0.25">
      <c r="B41" s="207" t="s">
        <v>2508</v>
      </c>
      <c r="C41" s="41">
        <v>1</v>
      </c>
      <c r="D41" s="209">
        <v>32</v>
      </c>
      <c r="E41" s="225">
        <v>217</v>
      </c>
      <c r="F41" s="210">
        <v>30572183668</v>
      </c>
      <c r="G41" s="211" t="str">
        <f>IFERROR(IF(compras_mes6[[#This Row],[CUIT]]="","-",VLOOKUP(compras_mes6[[#This Row],[CUIT]],Lista_CUIT[#All],2,0)),"CUIT NO CARGADO")</f>
        <v>LIBERTADOR MOTORS SOCIEDAD ANONIMA</v>
      </c>
      <c r="H41" s="212">
        <v>554545.44999999995</v>
      </c>
      <c r="I41" s="213">
        <f>IF(compras_mes6[[#This Row],[NETO GRAVADO]]="","",compras_mes6[[#This Row],[NETO GRAVADO]]*0.21)</f>
        <v>116454.54449999999</v>
      </c>
      <c r="J41" s="213"/>
      <c r="K41" s="213"/>
      <c r="L41" s="213"/>
      <c r="M41" s="213"/>
      <c r="N41" s="213"/>
      <c r="O41" s="213"/>
      <c r="P41" s="214">
        <f>SUM(compras_mes6[[#This Row],[NETO GRAVADO]:[Otros / No Grav.]])</f>
        <v>670999.99449999991</v>
      </c>
      <c r="Q41" s="215" t="str">
        <f>IFERROR(IF(compras_mes6[[#This Row],[CUIT]]="","-",VLOOKUP(compras_mes6[[#This Row],[CUIT]],Lista_CUIT[#All],3,0)),"CUIT NO CARGADO")</f>
        <v>Pendiente clasificacion</v>
      </c>
      <c r="R41" s="215">
        <f>IFERROR(IF(compras_mes6[[#This Row],[CUIT]]="","-",VLOOKUP(compras_mes6[[#This Row],[CUIT]],Lista_CUIT[#All],4,0)),"CUIT NO CARGADO")</f>
        <v>0</v>
      </c>
    </row>
    <row r="42" spans="2:18" x14ac:dyDescent="0.25">
      <c r="B42" s="207" t="s">
        <v>2508</v>
      </c>
      <c r="C42" s="41">
        <v>1</v>
      </c>
      <c r="D42" s="209">
        <v>77</v>
      </c>
      <c r="E42" s="225">
        <v>315331</v>
      </c>
      <c r="F42" s="210">
        <v>30546741253</v>
      </c>
      <c r="G42" s="211" t="str">
        <f>IFERROR(IF(compras_mes6[[#This Row],[CUIT]]="","-",VLOOKUP(compras_mes6[[#This Row],[CUIT]],Lista_CUIT[#All],2,0)),"CUIT NO CARGADO")</f>
        <v>OSDE </v>
      </c>
      <c r="H42" s="212">
        <v>626822.61</v>
      </c>
      <c r="I42" s="85" t="s">
        <v>2411</v>
      </c>
      <c r="J42" s="213"/>
      <c r="K42" s="213">
        <v>65816.37</v>
      </c>
      <c r="L42" s="213"/>
      <c r="M42" s="213">
        <v>37609.360000000001</v>
      </c>
      <c r="N42" s="213"/>
      <c r="O42" s="213"/>
      <c r="P42" s="214">
        <f>SUM(compras_mes6[[#This Row],[NETO GRAVADO]:[Otros / No Grav.]])</f>
        <v>730248.34</v>
      </c>
      <c r="Q42" s="215" t="str">
        <f>IFERROR(IF(compras_mes6[[#This Row],[CUIT]]="","-",VLOOKUP(compras_mes6[[#This Row],[CUIT]],Lista_CUIT[#All],3,0)),"CUIT NO CARGADO")</f>
        <v>Prepaga corporativa</v>
      </c>
      <c r="R42" s="215">
        <f>IFERROR(IF(compras_mes6[[#This Row],[CUIT]]="","-",VLOOKUP(compras_mes6[[#This Row],[CUIT]],Lista_CUIT[#All],4,0)),"CUIT NO CARGADO")</f>
        <v>0</v>
      </c>
    </row>
    <row r="43" spans="2:18" x14ac:dyDescent="0.25">
      <c r="B43" s="207" t="s">
        <v>2510</v>
      </c>
      <c r="C43" s="41">
        <v>1</v>
      </c>
      <c r="D43" s="209">
        <v>2</v>
      </c>
      <c r="E43" s="225">
        <v>404</v>
      </c>
      <c r="F43" s="210">
        <v>30717698610</v>
      </c>
      <c r="G43" s="211" t="str">
        <f>IFERROR(IF(compras_mes6[[#This Row],[CUIT]]="","-",VLOOKUP(compras_mes6[[#This Row],[CUIT]],Lista_CUIT[#All],2,0)),"CUIT NO CARGADO")</f>
        <v>MANZANA S.A.S.</v>
      </c>
      <c r="H43" s="212">
        <v>198345.45</v>
      </c>
      <c r="I43" s="213">
        <f>IF(compras_mes6[[#This Row],[NETO GRAVADO]]="","",compras_mes6[[#This Row],[NETO GRAVADO]]*0.21)</f>
        <v>41652.544500000004</v>
      </c>
      <c r="J43" s="213"/>
      <c r="K43" s="213"/>
      <c r="L43" s="213"/>
      <c r="M43" s="213"/>
      <c r="N43" s="213"/>
      <c r="O43" s="213"/>
      <c r="P43" s="214">
        <f>SUM(compras_mes6[[#This Row],[NETO GRAVADO]:[Otros / No Grav.]])</f>
        <v>239997.99450000003</v>
      </c>
      <c r="Q43" s="215" t="str">
        <f>IFERROR(IF(compras_mes6[[#This Row],[CUIT]]="","-",VLOOKUP(compras_mes6[[#This Row],[CUIT]],Lista_CUIT[#All],3,0)),"CUIT NO CARGADO")</f>
        <v>Gastos administrativos</v>
      </c>
      <c r="R43" s="215">
        <f>IFERROR(IF(compras_mes6[[#This Row],[CUIT]]="","-",VLOOKUP(compras_mes6[[#This Row],[CUIT]],Lista_CUIT[#All],4,0)),"CUIT NO CARGADO")</f>
        <v>0</v>
      </c>
    </row>
    <row r="44" spans="2:18" x14ac:dyDescent="0.25">
      <c r="B44" s="207" t="s">
        <v>2513</v>
      </c>
      <c r="C44" s="41">
        <v>1</v>
      </c>
      <c r="D44" s="209">
        <v>7</v>
      </c>
      <c r="E44" s="225">
        <v>117</v>
      </c>
      <c r="F44" s="210">
        <v>30712450408</v>
      </c>
      <c r="G44" s="211" t="str">
        <f>IFERROR(IF(compras_mes6[[#This Row],[CUIT]]="","-",VLOOKUP(compras_mes6[[#This Row],[CUIT]],Lista_CUIT[#All],2,0)),"CUIT NO CARGADO")</f>
        <v>TECNORTH S.A.</v>
      </c>
      <c r="H44" s="212">
        <v>409090.08</v>
      </c>
      <c r="I44" s="213">
        <f>IF(compras_mes6[[#This Row],[NETO GRAVADO]]="","",compras_mes6[[#This Row],[NETO GRAVADO]]*0.21)</f>
        <v>85908.916800000006</v>
      </c>
      <c r="J44" s="213"/>
      <c r="K44" s="213"/>
      <c r="L44" s="213"/>
      <c r="M44" s="213"/>
      <c r="N44" s="213"/>
      <c r="O44" s="213"/>
      <c r="P44" s="214">
        <f>SUM(compras_mes6[[#This Row],[NETO GRAVADO]:[Otros / No Grav.]])</f>
        <v>494998.99680000002</v>
      </c>
      <c r="Q44" s="215" t="str">
        <f>IFERROR(IF(compras_mes6[[#This Row],[CUIT]]="","-",VLOOKUP(compras_mes6[[#This Row],[CUIT]],Lista_CUIT[#All],3,0)),"CUIT NO CARGADO")</f>
        <v>Gastos administrativos</v>
      </c>
      <c r="R44" s="215">
        <f>IFERROR(IF(compras_mes6[[#This Row],[CUIT]]="","-",VLOOKUP(compras_mes6[[#This Row],[CUIT]],Lista_CUIT[#All],4,0)),"CUIT NO CARGADO")</f>
        <v>0</v>
      </c>
    </row>
    <row r="45" spans="2:18" x14ac:dyDescent="0.25">
      <c r="B45" s="207" t="s">
        <v>2497</v>
      </c>
      <c r="C45" s="41">
        <v>3</v>
      </c>
      <c r="D45" s="209">
        <v>5</v>
      </c>
      <c r="E45" s="225">
        <v>2005</v>
      </c>
      <c r="F45" s="210">
        <v>27234805679</v>
      </c>
      <c r="G45" s="211" t="str">
        <f>IFERROR(IF(compras_mes6[[#This Row],[CUIT]]="","-",VLOOKUP(compras_mes6[[#This Row],[CUIT]],Lista_CUIT[#All],2,0)),"CUIT NO CARGADO")</f>
        <v xml:space="preserve">CAMPOY MABEL ALICIA </v>
      </c>
      <c r="H45" s="212">
        <v>-521628.05</v>
      </c>
      <c r="I45" s="85" t="s">
        <v>2411</v>
      </c>
      <c r="J45" s="213"/>
      <c r="K45" s="213">
        <v>-54770.95</v>
      </c>
      <c r="L45" s="213"/>
      <c r="M45" s="213"/>
      <c r="N45" s="213"/>
      <c r="O45" s="213"/>
      <c r="P45" s="214">
        <f>SUM(compras_mes6[[#This Row],[NETO GRAVADO]:[Otros / No Grav.]])</f>
        <v>-576399</v>
      </c>
      <c r="Q45" s="215" t="str">
        <f>IFERROR(IF(compras_mes6[[#This Row],[CUIT]]="","-",VLOOKUP(compras_mes6[[#This Row],[CUIT]],Lista_CUIT[#All],3,0)),"CUIT NO CARGADO")</f>
        <v>Muebles y Utiles</v>
      </c>
      <c r="R45" s="215">
        <f>IFERROR(IF(compras_mes6[[#This Row],[CUIT]]="","-",VLOOKUP(compras_mes6[[#This Row],[CUIT]],Lista_CUIT[#All],4,0)),"CUIT NO CARGADO")</f>
        <v>0</v>
      </c>
    </row>
    <row r="46" spans="2:18" x14ac:dyDescent="0.25">
      <c r="B46" s="207" t="s">
        <v>2507</v>
      </c>
      <c r="C46" s="41">
        <v>3</v>
      </c>
      <c r="D46" s="209">
        <v>32</v>
      </c>
      <c r="E46" s="225">
        <v>20</v>
      </c>
      <c r="F46" s="210">
        <v>30572183668</v>
      </c>
      <c r="G46" s="211" t="str">
        <f>IFERROR(IF(compras_mes6[[#This Row],[CUIT]]="","-",VLOOKUP(compras_mes6[[#This Row],[CUIT]],Lista_CUIT[#All],2,0)),"CUIT NO CARGADO")</f>
        <v>LIBERTADOR MOTORS SOCIEDAD ANONIMA</v>
      </c>
      <c r="H46" s="212">
        <v>-11487603.300000001</v>
      </c>
      <c r="I46" s="213">
        <f>IF(compras_mes6[[#This Row],[NETO GRAVADO]]="","",compras_mes6[[#This Row],[NETO GRAVADO]]*0.21)</f>
        <v>-2412396.693</v>
      </c>
      <c r="J46" s="213"/>
      <c r="K46" s="213"/>
      <c r="L46" s="213"/>
      <c r="M46" s="213">
        <v>-689256.2</v>
      </c>
      <c r="N46" s="213"/>
      <c r="O46" s="213"/>
      <c r="P46" s="214">
        <f>SUM(compras_mes6[[#This Row],[NETO GRAVADO]:[Otros / No Grav.]])</f>
        <v>-14589256.193</v>
      </c>
      <c r="Q46" s="215" t="str">
        <f>IFERROR(IF(compras_mes6[[#This Row],[CUIT]]="","-",VLOOKUP(compras_mes6[[#This Row],[CUIT]],Lista_CUIT[#All],3,0)),"CUIT NO CARGADO")</f>
        <v>Pendiente clasificacion</v>
      </c>
      <c r="R46" s="215">
        <f>IFERROR(IF(compras_mes6[[#This Row],[CUIT]]="","-",VLOOKUP(compras_mes6[[#This Row],[CUIT]],Lista_CUIT[#All],4,0)),"CUIT NO CARGADO")</f>
        <v>0</v>
      </c>
    </row>
    <row r="47" spans="2:18" x14ac:dyDescent="0.25">
      <c r="B47" s="207" t="s">
        <v>2508</v>
      </c>
      <c r="C47" s="41">
        <v>3</v>
      </c>
      <c r="D47" s="209">
        <v>32</v>
      </c>
      <c r="E47" s="225">
        <v>21</v>
      </c>
      <c r="F47" s="210">
        <v>30572183668</v>
      </c>
      <c r="G47" s="211" t="str">
        <f>IFERROR(IF(compras_mes6[[#This Row],[CUIT]]="","-",VLOOKUP(compras_mes6[[#This Row],[CUIT]],Lista_CUIT[#All],2,0)),"CUIT NO CARGADO")</f>
        <v>LIBERTADOR MOTORS SOCIEDAD ANONIMA</v>
      </c>
      <c r="H47" s="212">
        <v>-554545.43999999994</v>
      </c>
      <c r="I47" s="213">
        <f>IF(compras_mes6[[#This Row],[NETO GRAVADO]]="","",compras_mes6[[#This Row],[NETO GRAVADO]]*0.21)</f>
        <v>-116454.54239999999</v>
      </c>
      <c r="J47" s="213"/>
      <c r="K47" s="213"/>
      <c r="L47" s="213"/>
      <c r="M47" s="213">
        <v>-33272.730000000003</v>
      </c>
      <c r="N47" s="213"/>
      <c r="O47" s="213"/>
      <c r="P47" s="214">
        <f>SUM(compras_mes6[[#This Row],[NETO GRAVADO]:[Otros / No Grav.]])</f>
        <v>-704272.71239999996</v>
      </c>
      <c r="Q47" s="215" t="str">
        <f>IFERROR(IF(compras_mes6[[#This Row],[CUIT]]="","-",VLOOKUP(compras_mes6[[#This Row],[CUIT]],Lista_CUIT[#All],3,0)),"CUIT NO CARGADO")</f>
        <v>Pendiente clasificacion</v>
      </c>
      <c r="R47" s="215">
        <f>IFERROR(IF(compras_mes6[[#This Row],[CUIT]]="","-",VLOOKUP(compras_mes6[[#This Row],[CUIT]],Lista_CUIT[#All],4,0)),"CUIT NO CARGADO")</f>
        <v>0</v>
      </c>
    </row>
    <row r="48" spans="2:18" x14ac:dyDescent="0.25">
      <c r="B48" s="207" t="s">
        <v>2513</v>
      </c>
      <c r="C48" s="41">
        <v>1</v>
      </c>
      <c r="D48" s="209">
        <v>11</v>
      </c>
      <c r="E48" s="225">
        <v>1176094</v>
      </c>
      <c r="F48" s="210">
        <v>33709585229</v>
      </c>
      <c r="G48" s="211" t="str">
        <f>IFERROR(IF(compras_mes6[[#This Row],[CUIT]]="","-",VLOOKUP(compras_mes6[[#This Row],[CUIT]],Lista_CUIT[#All],2,0)),"CUIT NO CARGADO")</f>
        <v>GOOGLE ARGENTINA S.R.L.</v>
      </c>
      <c r="H48" s="212">
        <v>126042.8</v>
      </c>
      <c r="I48" s="213">
        <f>IF(compras_mes6[[#This Row],[NETO GRAVADO]]="","",compras_mes6[[#This Row],[NETO GRAVADO]]*0.21)</f>
        <v>26468.988000000001</v>
      </c>
      <c r="J48" s="213"/>
      <c r="K48" s="213"/>
      <c r="L48" s="213"/>
      <c r="M48" s="213">
        <v>34904.42</v>
      </c>
      <c r="N48" s="213"/>
      <c r="O48" s="213">
        <v>3781.28</v>
      </c>
      <c r="P48" s="214">
        <f>SUM(compras_mes6[[#This Row],[NETO GRAVADO]:[Otros / No Grav.]])</f>
        <v>191197.48799999998</v>
      </c>
      <c r="Q48" s="215" t="str">
        <f>IFERROR(IF(compras_mes6[[#This Row],[CUIT]]="","-",VLOOKUP(compras_mes6[[#This Row],[CUIT]],Lista_CUIT[#All],3,0)),"CUIT NO CARGADO")</f>
        <v>Gastos Comercializacion</v>
      </c>
      <c r="R48" s="215">
        <f>IFERROR(IF(compras_mes6[[#This Row],[CUIT]]="","-",VLOOKUP(compras_mes6[[#This Row],[CUIT]],Lista_CUIT[#All],4,0)),"CUIT NO CARGADO")</f>
        <v>0</v>
      </c>
    </row>
    <row r="49" spans="2:18" x14ac:dyDescent="0.25">
      <c r="B49" s="494" t="s">
        <v>2488</v>
      </c>
      <c r="C49" s="495">
        <v>1</v>
      </c>
      <c r="D49" s="496">
        <v>1</v>
      </c>
      <c r="E49" s="493">
        <v>947</v>
      </c>
      <c r="F49" s="497">
        <v>30715889486</v>
      </c>
      <c r="G49" s="498" t="str">
        <f>IFERROR(IF(compras_mes6[[#This Row],[CUIT]]="","-",VLOOKUP(compras_mes6[[#This Row],[CUIT]],Lista_CUIT[#All],2,0)),"CUIT NO CARGADO")</f>
        <v>EXPOESTETICA</v>
      </c>
      <c r="H49" s="499">
        <v>2088000</v>
      </c>
      <c r="I49" s="500">
        <f>IF(compras_mes6[[#This Row],[NETO GRAVADO]]="","",compras_mes6[[#This Row],[NETO GRAVADO]]*0.21)</f>
        <v>438480</v>
      </c>
      <c r="J49" s="500"/>
      <c r="K49" s="500"/>
      <c r="L49" s="500"/>
      <c r="M49" s="500"/>
      <c r="N49" s="500"/>
      <c r="O49" s="500"/>
      <c r="P49" s="501">
        <f>SUM(compras_mes6[[#This Row],[NETO GRAVADO]:[Otros / No Grav.]])</f>
        <v>2526480</v>
      </c>
      <c r="Q49" s="502" t="str">
        <f>IFERROR(IF(compras_mes6[[#This Row],[CUIT]]="","-",VLOOKUP(compras_mes6[[#This Row],[CUIT]],Lista_CUIT[#All],3,0)),"CUIT NO CARGADO")</f>
        <v>Gastos Comercializacion - Feria</v>
      </c>
      <c r="R49" s="502" t="str">
        <f>IFERROR(IF(compras_mes6[[#This Row],[CUIT]]="","-",VLOOKUP(compras_mes6[[#This Row],[CUIT]],Lista_CUIT[#All],4,0)),"CUIT NO CARGADO")</f>
        <v>BUENOS AIRES</v>
      </c>
    </row>
    <row r="50" spans="2:18" x14ac:dyDescent="0.25">
      <c r="B50" s="207" t="s">
        <v>2489</v>
      </c>
      <c r="C50" s="41">
        <v>1</v>
      </c>
      <c r="D50" s="209">
        <v>14</v>
      </c>
      <c r="E50" s="225">
        <v>17499</v>
      </c>
      <c r="F50" s="210">
        <v>30715186256</v>
      </c>
      <c r="G50" s="211" t="str">
        <f>IFERROR(IF(compras_mes6[[#This Row],[CUIT]]="","-",VLOOKUP(compras_mes6[[#This Row],[CUIT]],Lista_CUIT[#All],2,0)),"CUIT NO CARGADO")</f>
        <v>FRIGORIFICO ALIMENTIC</v>
      </c>
      <c r="H50" s="212">
        <v>112083.75</v>
      </c>
      <c r="I50" s="213">
        <v>7978.87</v>
      </c>
      <c r="J50" s="213"/>
      <c r="K50" s="213">
        <v>7779.36</v>
      </c>
      <c r="L50" s="213"/>
      <c r="M50" s="213"/>
      <c r="N50" s="213"/>
      <c r="O50" s="213"/>
      <c r="P50" s="214">
        <f>SUM(compras_mes6[[#This Row],[NETO GRAVADO]:[Otros / No Grav.]])</f>
        <v>127841.98</v>
      </c>
      <c r="Q50" s="215" t="str">
        <f>IFERROR(IF(compras_mes6[[#This Row],[CUIT]]="","-",VLOOKUP(compras_mes6[[#This Row],[CUIT]],Lista_CUIT[#All],3,0)),"CUIT NO CARGADO")</f>
        <v>Gastos Comercializacion - Feria</v>
      </c>
      <c r="R50" s="215">
        <f>IFERROR(IF(compras_mes6[[#This Row],[CUIT]]="","-",VLOOKUP(compras_mes6[[#This Row],[CUIT]],Lista_CUIT[#All],4,0)),"CUIT NO CARGADO")</f>
        <v>0</v>
      </c>
    </row>
    <row r="51" spans="2:18" x14ac:dyDescent="0.25">
      <c r="B51" s="207" t="s">
        <v>2499</v>
      </c>
      <c r="C51" s="41">
        <v>1</v>
      </c>
      <c r="D51" s="209">
        <v>14</v>
      </c>
      <c r="E51" s="225">
        <v>17632</v>
      </c>
      <c r="F51" s="210">
        <v>30715186256</v>
      </c>
      <c r="G51" s="211" t="str">
        <f>IFERROR(IF(compras_mes6[[#This Row],[CUIT]]="","-",VLOOKUP(compras_mes6[[#This Row],[CUIT]],Lista_CUIT[#All],2,0)),"CUIT NO CARGADO")</f>
        <v>FRIGORIFICO ALIMENTIC</v>
      </c>
      <c r="H51" s="212">
        <v>235840.65</v>
      </c>
      <c r="I51" s="213">
        <v>3844.21</v>
      </c>
      <c r="J51" s="213"/>
      <c r="K51" s="213">
        <v>22841.16</v>
      </c>
      <c r="L51" s="213"/>
      <c r="M51" s="213"/>
      <c r="N51" s="213"/>
      <c r="O51" s="213"/>
      <c r="P51" s="214">
        <f>SUM(compras_mes6[[#This Row],[NETO GRAVADO]:[Otros / No Grav.]])</f>
        <v>262526.01999999996</v>
      </c>
      <c r="Q51" s="215" t="str">
        <f>IFERROR(IF(compras_mes6[[#This Row],[CUIT]]="","-",VLOOKUP(compras_mes6[[#This Row],[CUIT]],Lista_CUIT[#All],3,0)),"CUIT NO CARGADO")</f>
        <v>Gastos Comercializacion - Feria</v>
      </c>
      <c r="R51" s="215">
        <f>IFERROR(IF(compras_mes6[[#This Row],[CUIT]]="","-",VLOOKUP(compras_mes6[[#This Row],[CUIT]],Lista_CUIT[#All],4,0)),"CUIT NO CARGADO")</f>
        <v>0</v>
      </c>
    </row>
    <row r="52" spans="2:18" x14ac:dyDescent="0.25">
      <c r="B52" s="494" t="s">
        <v>2503</v>
      </c>
      <c r="C52" s="495">
        <v>1</v>
      </c>
      <c r="D52" s="496">
        <v>1</v>
      </c>
      <c r="E52" s="493">
        <v>963</v>
      </c>
      <c r="F52" s="497">
        <v>30715889486</v>
      </c>
      <c r="G52" s="498" t="str">
        <f>IFERROR(IF(compras_mes6[[#This Row],[CUIT]]="","-",VLOOKUP(compras_mes6[[#This Row],[CUIT]],Lista_CUIT[#All],2,0)),"CUIT NO CARGADO")</f>
        <v>EXPOESTETICA</v>
      </c>
      <c r="H52" s="499">
        <v>225000</v>
      </c>
      <c r="I52" s="500">
        <f>IF(compras_mes6[[#This Row],[NETO GRAVADO]]="","",compras_mes6[[#This Row],[NETO GRAVADO]]*0.21)</f>
        <v>47250</v>
      </c>
      <c r="J52" s="500"/>
      <c r="K52" s="500"/>
      <c r="L52" s="500"/>
      <c r="M52" s="500"/>
      <c r="N52" s="500"/>
      <c r="O52" s="500"/>
      <c r="P52" s="501">
        <f>SUM(compras_mes6[[#This Row],[NETO GRAVADO]:[Otros / No Grav.]])</f>
        <v>272250</v>
      </c>
      <c r="Q52" s="502" t="str">
        <f>IFERROR(IF(compras_mes6[[#This Row],[CUIT]]="","-",VLOOKUP(compras_mes6[[#This Row],[CUIT]],Lista_CUIT[#All],3,0)),"CUIT NO CARGADO")</f>
        <v>Gastos Comercializacion - Feria</v>
      </c>
      <c r="R52" s="502" t="str">
        <f>IFERROR(IF(compras_mes6[[#This Row],[CUIT]]="","-",VLOOKUP(compras_mes6[[#This Row],[CUIT]],Lista_CUIT[#All],4,0)),"CUIT NO CARGADO")</f>
        <v>BUENOS AIRES</v>
      </c>
    </row>
    <row r="53" spans="2:18" x14ac:dyDescent="0.25">
      <c r="B53" s="207" t="s">
        <v>2504</v>
      </c>
      <c r="C53" s="41">
        <v>1</v>
      </c>
      <c r="D53" s="209">
        <v>14</v>
      </c>
      <c r="E53" s="225">
        <v>17688</v>
      </c>
      <c r="F53" s="210">
        <v>30715186256</v>
      </c>
      <c r="G53" s="211" t="str">
        <f>IFERROR(IF(compras_mes6[[#This Row],[CUIT]]="","-",VLOOKUP(compras_mes6[[#This Row],[CUIT]],Lista_CUIT[#All],2,0)),"CUIT NO CARGADO")</f>
        <v>FRIGORIFICO ALIMENTIC</v>
      </c>
      <c r="H53" s="212">
        <v>37549.19</v>
      </c>
      <c r="I53" s="213">
        <v>5576.28</v>
      </c>
      <c r="J53" s="213"/>
      <c r="K53" s="213">
        <v>1154.52</v>
      </c>
      <c r="L53" s="213"/>
      <c r="M53" s="213"/>
      <c r="N53" s="213"/>
      <c r="O53" s="213"/>
      <c r="P53" s="214">
        <f>SUM(compras_mes6[[#This Row],[NETO GRAVADO]:[Otros / No Grav.]])</f>
        <v>44279.99</v>
      </c>
      <c r="Q53" s="215" t="str">
        <f>IFERROR(IF(compras_mes6[[#This Row],[CUIT]]="","-",VLOOKUP(compras_mes6[[#This Row],[CUIT]],Lista_CUIT[#All],3,0)),"CUIT NO CARGADO")</f>
        <v>Gastos Comercializacion - Feria</v>
      </c>
      <c r="R53" s="215">
        <f>IFERROR(IF(compras_mes6[[#This Row],[CUIT]]="","-",VLOOKUP(compras_mes6[[#This Row],[CUIT]],Lista_CUIT[#All],4,0)),"CUIT NO CARGADO")</f>
        <v>0</v>
      </c>
    </row>
    <row r="54" spans="2:18" x14ac:dyDescent="0.25">
      <c r="B54" s="207" t="s">
        <v>2500</v>
      </c>
      <c r="C54" s="41">
        <v>1</v>
      </c>
      <c r="D54" s="209">
        <v>113</v>
      </c>
      <c r="E54" s="225">
        <v>4289992</v>
      </c>
      <c r="F54" s="210">
        <v>30577207190</v>
      </c>
      <c r="G54" s="211" t="str">
        <f>IFERROR(IF(compras_mes6[[#This Row],[CUIT]]="","-",VLOOKUP(compras_mes6[[#This Row],[CUIT]],Lista_CUIT[#All],2,0)),"CUIT NO CARGADO")</f>
        <v>COORDINACION ECOLOGICA AREA METROPOLITANA SOCIEDAD DEL ESTADO</v>
      </c>
      <c r="H54" s="212">
        <v>5950.41</v>
      </c>
      <c r="I54" s="213">
        <f>IF(compras_mes6[[#This Row],[NETO GRAVADO]]="","",compras_mes6[[#This Row],[NETO GRAVADO]]*0.21)</f>
        <v>1249.5861</v>
      </c>
      <c r="J54" s="213"/>
      <c r="K54" s="213"/>
      <c r="L54" s="213">
        <v>178.51</v>
      </c>
      <c r="M54" s="213"/>
      <c r="N54" s="213"/>
      <c r="O54" s="213"/>
      <c r="P54" s="214">
        <f>SUM(compras_mes6[[#This Row],[NETO GRAVADO]:[Otros / No Grav.]])</f>
        <v>7378.5061000000005</v>
      </c>
      <c r="Q54" s="215" t="str">
        <f>IFERROR(IF(compras_mes6[[#This Row],[CUIT]]="","-",VLOOKUP(compras_mes6[[#This Row],[CUIT]],Lista_CUIT[#All],3,0)),"CUIT NO CARGADO")</f>
        <v>Gastos Limpieza</v>
      </c>
      <c r="R54" s="215">
        <f>IFERROR(IF(compras_mes6[[#This Row],[CUIT]]="","-",VLOOKUP(compras_mes6[[#This Row],[CUIT]],Lista_CUIT[#All],4,0)),"CUIT NO CARGADO")</f>
        <v>0</v>
      </c>
    </row>
    <row r="55" spans="2:18" x14ac:dyDescent="0.25">
      <c r="B55" s="207" t="s">
        <v>2513</v>
      </c>
      <c r="C55" s="41">
        <v>1</v>
      </c>
      <c r="D55" s="209">
        <v>126</v>
      </c>
      <c r="E55" s="225">
        <v>2835</v>
      </c>
      <c r="F55" s="210">
        <v>30577207190</v>
      </c>
      <c r="G55" s="211" t="str">
        <f>IFERROR(IF(compras_mes6[[#This Row],[CUIT]]="","-",VLOOKUP(compras_mes6[[#This Row],[CUIT]],Lista_CUIT[#All],2,0)),"CUIT NO CARGADO")</f>
        <v>COORDINACION ECOLOGICA AREA METROPOLITANA SOCIEDAD DEL ESTADO</v>
      </c>
      <c r="H55" s="212">
        <v>4462.8100000000004</v>
      </c>
      <c r="I55" s="213">
        <f>IF(compras_mes6[[#This Row],[NETO GRAVADO]]="","",compras_mes6[[#This Row],[NETO GRAVADO]]*0.21)</f>
        <v>937.19010000000003</v>
      </c>
      <c r="J55" s="213"/>
      <c r="K55" s="213"/>
      <c r="L55" s="213">
        <v>133.88</v>
      </c>
      <c r="M55" s="213"/>
      <c r="N55" s="213"/>
      <c r="O55" s="213"/>
      <c r="P55" s="214">
        <f>SUM(compras_mes6[[#This Row],[NETO GRAVADO]:[Otros / No Grav.]])</f>
        <v>5533.8801000000003</v>
      </c>
      <c r="Q55" s="215" t="str">
        <f>IFERROR(IF(compras_mes6[[#This Row],[CUIT]]="","-",VLOOKUP(compras_mes6[[#This Row],[CUIT]],Lista_CUIT[#All],3,0)),"CUIT NO CARGADO")</f>
        <v>Gastos Limpieza</v>
      </c>
      <c r="R55" s="215">
        <f>IFERROR(IF(compras_mes6[[#This Row],[CUIT]]="","-",VLOOKUP(compras_mes6[[#This Row],[CUIT]],Lista_CUIT[#All],4,0)),"CUIT NO CARGADO")</f>
        <v>0</v>
      </c>
    </row>
    <row r="56" spans="2:18" x14ac:dyDescent="0.25">
      <c r="B56" s="207" t="s">
        <v>2503</v>
      </c>
      <c r="C56" s="41">
        <v>1</v>
      </c>
      <c r="D56" s="209">
        <v>2</v>
      </c>
      <c r="E56" s="225">
        <v>47694</v>
      </c>
      <c r="F56" s="210">
        <v>30717273520</v>
      </c>
      <c r="G56" s="211" t="str">
        <f>IFERROR(IF(compras_mes6[[#This Row],[CUIT]]="","-",VLOOKUP(compras_mes6[[#This Row],[CUIT]],Lista_CUIT[#All],2,0)),"CUIT NO CARGADO")</f>
        <v>SMART IT SOLUTIONS S.R.L</v>
      </c>
      <c r="H56" s="212">
        <v>74125.62</v>
      </c>
      <c r="I56" s="213">
        <f>IF(compras_mes6[[#This Row],[NETO GRAVADO]]="","",compras_mes6[[#This Row],[NETO GRAVADO]]*0.21)</f>
        <v>15566.380199999998</v>
      </c>
      <c r="J56" s="213"/>
      <c r="K56" s="213"/>
      <c r="L56" s="213"/>
      <c r="M56" s="213"/>
      <c r="N56" s="213"/>
      <c r="O56" s="213"/>
      <c r="P56" s="214">
        <f>SUM(compras_mes6[[#This Row],[NETO GRAVADO]:[Otros / No Grav.]])</f>
        <v>89692.000199999995</v>
      </c>
      <c r="Q56" s="215" t="str">
        <f>IFERROR(IF(compras_mes6[[#This Row],[CUIT]]="","-",VLOOKUP(compras_mes6[[#This Row],[CUIT]],Lista_CUIT[#All],3,0)),"CUIT NO CARGADO")</f>
        <v>Gastos Oficina</v>
      </c>
      <c r="R56" s="215">
        <f>IFERROR(IF(compras_mes6[[#This Row],[CUIT]]="","-",VLOOKUP(compras_mes6[[#This Row],[CUIT]],Lista_CUIT[#All],4,0)),"CUIT NO CARGADO")</f>
        <v>0</v>
      </c>
    </row>
    <row r="57" spans="2:18" x14ac:dyDescent="0.25">
      <c r="B57" s="40" t="s">
        <v>2486</v>
      </c>
      <c r="C57" s="41">
        <v>1</v>
      </c>
      <c r="D57" s="42">
        <v>2188</v>
      </c>
      <c r="E57" s="43">
        <v>149783</v>
      </c>
      <c r="F57" s="44">
        <v>30548083156</v>
      </c>
      <c r="G57" s="45" t="str">
        <f>IFERROR(IF(compras_mes6[[#This Row],[CUIT]]="","-",VLOOKUP(compras_mes6[[#This Row],[CUIT]],Lista_CUIT[#All],2,0)),"CUIT NO CARGADO")</f>
        <v>COTO CENTRO INTEGRAL DE COMERCIALIZACION SOCIEDAD ANONIMA</v>
      </c>
      <c r="H57" s="46">
        <v>63921.77</v>
      </c>
      <c r="I57" s="213">
        <v>10696.45</v>
      </c>
      <c r="J57" s="85"/>
      <c r="K57" s="85">
        <v>1363.56</v>
      </c>
      <c r="L57" s="85"/>
      <c r="M57" s="85"/>
      <c r="N57" s="85"/>
      <c r="O57" s="85">
        <v>4941</v>
      </c>
      <c r="P57" s="48">
        <f>SUM(compras_mes6[[#This Row],[NETO GRAVADO]:[Otros / No Grav.]])</f>
        <v>80922.78</v>
      </c>
      <c r="Q57" s="49" t="str">
        <f>IFERROR(IF(compras_mes6[[#This Row],[CUIT]]="","-",VLOOKUP(compras_mes6[[#This Row],[CUIT]],Lista_CUIT[#All],3,0)),"CUIT NO CARGADO")</f>
        <v>Gastos Varios</v>
      </c>
      <c r="R57" s="49">
        <f>IFERROR(IF(compras_mes6[[#This Row],[CUIT]]="","-",VLOOKUP(compras_mes6[[#This Row],[CUIT]],Lista_CUIT[#All],4,0)),"CUIT NO CARGADO")</f>
        <v>0</v>
      </c>
    </row>
    <row r="58" spans="2:18" x14ac:dyDescent="0.25">
      <c r="B58" s="207" t="s">
        <v>2486</v>
      </c>
      <c r="C58" s="41">
        <v>1</v>
      </c>
      <c r="D58" s="209">
        <v>2084</v>
      </c>
      <c r="E58" s="225">
        <v>29506</v>
      </c>
      <c r="F58" s="210">
        <v>30548083156</v>
      </c>
      <c r="G58" s="211" t="str">
        <f>IFERROR(IF(compras_mes6[[#This Row],[CUIT]]="","-",VLOOKUP(compras_mes6[[#This Row],[CUIT]],Lista_CUIT[#All],2,0)),"CUIT NO CARGADO")</f>
        <v>COTO CENTRO INTEGRAL DE COMERCIALIZACION SOCIEDAD ANONIMA</v>
      </c>
      <c r="H58" s="212">
        <v>18140.62</v>
      </c>
      <c r="I58" s="213">
        <v>3495.51</v>
      </c>
      <c r="J58" s="213"/>
      <c r="K58" s="213">
        <v>157.01</v>
      </c>
      <c r="L58" s="213"/>
      <c r="M58" s="213"/>
      <c r="N58" s="213"/>
      <c r="O58" s="213">
        <v>1587.8</v>
      </c>
      <c r="P58" s="214">
        <f>SUM(compras_mes6[[#This Row],[NETO GRAVADO]:[Otros / No Grav.]])</f>
        <v>23380.939999999995</v>
      </c>
      <c r="Q58" s="215" t="str">
        <f>IFERROR(IF(compras_mes6[[#This Row],[CUIT]]="","-",VLOOKUP(compras_mes6[[#This Row],[CUIT]],Lista_CUIT[#All],3,0)),"CUIT NO CARGADO")</f>
        <v>Gastos Varios</v>
      </c>
      <c r="R58" s="215">
        <f>IFERROR(IF(compras_mes6[[#This Row],[CUIT]]="","-",VLOOKUP(compras_mes6[[#This Row],[CUIT]],Lista_CUIT[#All],4,0)),"CUIT NO CARGADO")</f>
        <v>0</v>
      </c>
    </row>
    <row r="59" spans="2:18" x14ac:dyDescent="0.25">
      <c r="B59" s="207" t="s">
        <v>2487</v>
      </c>
      <c r="C59" s="41">
        <v>1</v>
      </c>
      <c r="D59" s="209">
        <v>1676</v>
      </c>
      <c r="E59" s="225">
        <v>28095</v>
      </c>
      <c r="F59" s="210">
        <v>30589621499</v>
      </c>
      <c r="G59" s="211" t="str">
        <f>IFERROR(IF(compras_mes6[[#This Row],[CUIT]]="","-",VLOOKUP(compras_mes6[[#This Row],[CUIT]],Lista_CUIT[#All],2,0)),"CUIT NO CARGADO")</f>
        <v>MAKRO SA</v>
      </c>
      <c r="H59" s="212">
        <v>85558.66</v>
      </c>
      <c r="I59" s="213">
        <f>IF(compras_mes6[[#This Row],[NETO GRAVADO]]="","",compras_mes6[[#This Row],[NETO GRAVADO]]*0.21)</f>
        <v>17967.318599999999</v>
      </c>
      <c r="J59" s="213"/>
      <c r="K59" s="213"/>
      <c r="L59" s="213">
        <v>2566.7600000000002</v>
      </c>
      <c r="M59" s="213"/>
      <c r="N59" s="213">
        <v>5133.5200000000004</v>
      </c>
      <c r="O59" s="213"/>
      <c r="P59" s="214">
        <f>SUM(compras_mes6[[#This Row],[NETO GRAVADO]:[Otros / No Grav.]])</f>
        <v>111226.2586</v>
      </c>
      <c r="Q59" s="215" t="str">
        <f>IFERROR(IF(compras_mes6[[#This Row],[CUIT]]="","-",VLOOKUP(compras_mes6[[#This Row],[CUIT]],Lista_CUIT[#All],3,0)),"CUIT NO CARGADO")</f>
        <v>Gastos Varios</v>
      </c>
      <c r="R59" s="215">
        <f>IFERROR(IF(compras_mes6[[#This Row],[CUIT]]="","-",VLOOKUP(compras_mes6[[#This Row],[CUIT]],Lista_CUIT[#All],4,0)),"CUIT NO CARGADO")</f>
        <v>0</v>
      </c>
    </row>
    <row r="60" spans="2:18" x14ac:dyDescent="0.25">
      <c r="B60" s="207" t="s">
        <v>2490</v>
      </c>
      <c r="C60" s="41">
        <v>1</v>
      </c>
      <c r="D60" s="209">
        <v>2199</v>
      </c>
      <c r="E60" s="225">
        <v>37196</v>
      </c>
      <c r="F60" s="210">
        <v>30548083156</v>
      </c>
      <c r="G60" s="211" t="str">
        <f>IFERROR(IF(compras_mes6[[#This Row],[CUIT]]="","-",VLOOKUP(compras_mes6[[#This Row],[CUIT]],Lista_CUIT[#All],2,0)),"CUIT NO CARGADO")</f>
        <v>COTO CENTRO INTEGRAL DE COMERCIALIZACION SOCIEDAD ANONIMA</v>
      </c>
      <c r="H60" s="212">
        <v>85731</v>
      </c>
      <c r="I60" s="213">
        <v>17876.66</v>
      </c>
      <c r="J60" s="213"/>
      <c r="K60" s="213">
        <v>63.43</v>
      </c>
      <c r="L60" s="213"/>
      <c r="M60" s="213"/>
      <c r="N60" s="213"/>
      <c r="O60" s="213">
        <v>6254.7</v>
      </c>
      <c r="P60" s="214">
        <f>SUM(compras_mes6[[#This Row],[NETO GRAVADO]:[Otros / No Grav.]])</f>
        <v>109925.79</v>
      </c>
      <c r="Q60" s="215" t="str">
        <f>IFERROR(IF(compras_mes6[[#This Row],[CUIT]]="","-",VLOOKUP(compras_mes6[[#This Row],[CUIT]],Lista_CUIT[#All],3,0)),"CUIT NO CARGADO")</f>
        <v>Gastos Varios</v>
      </c>
      <c r="R60" s="215">
        <f>IFERROR(IF(compras_mes6[[#This Row],[CUIT]]="","-",VLOOKUP(compras_mes6[[#This Row],[CUIT]],Lista_CUIT[#All],4,0)),"CUIT NO CARGADO")</f>
        <v>0</v>
      </c>
    </row>
    <row r="61" spans="2:18" x14ac:dyDescent="0.25">
      <c r="B61" s="207" t="s">
        <v>2491</v>
      </c>
      <c r="C61" s="41">
        <v>1</v>
      </c>
      <c r="D61" s="209">
        <v>6</v>
      </c>
      <c r="E61" s="225">
        <v>149</v>
      </c>
      <c r="F61" s="210">
        <v>20269531062</v>
      </c>
      <c r="G61" s="211" t="str">
        <f>IFERROR(IF(compras_mes6[[#This Row],[CUIT]]="","-",VLOOKUP(compras_mes6[[#This Row],[CUIT]],Lista_CUIT[#All],2,0)),"CUIT NO CARGADO")</f>
        <v>PEZZELATTO RICARDO OMAR</v>
      </c>
      <c r="H61" s="212">
        <v>20684.5</v>
      </c>
      <c r="I61" s="213">
        <f>IF(compras_mes6[[#This Row],[NETO GRAVADO]]="","",compras_mes6[[#This Row],[NETO GRAVADO]]*0.21)</f>
        <v>4343.7449999999999</v>
      </c>
      <c r="J61" s="213"/>
      <c r="K61" s="213"/>
      <c r="L61" s="213"/>
      <c r="M61" s="213"/>
      <c r="N61" s="213"/>
      <c r="O61" s="213"/>
      <c r="P61" s="214">
        <f>SUM(compras_mes6[[#This Row],[NETO GRAVADO]:[Otros / No Grav.]])</f>
        <v>25028.244999999999</v>
      </c>
      <c r="Q61" s="215" t="str">
        <f>IFERROR(IF(compras_mes6[[#This Row],[CUIT]]="","-",VLOOKUP(compras_mes6[[#This Row],[CUIT]],Lista_CUIT[#All],3,0)),"CUIT NO CARGADO")</f>
        <v>Gastos Varios</v>
      </c>
      <c r="R61" s="215">
        <f>IFERROR(IF(compras_mes6[[#This Row],[CUIT]]="","-",VLOOKUP(compras_mes6[[#This Row],[CUIT]],Lista_CUIT[#All],4,0)),"CUIT NO CARGADO")</f>
        <v>0</v>
      </c>
    </row>
    <row r="62" spans="2:18" x14ac:dyDescent="0.25">
      <c r="B62" s="494" t="s">
        <v>2492</v>
      </c>
      <c r="C62" s="495">
        <v>1</v>
      </c>
      <c r="D62" s="496">
        <v>2084</v>
      </c>
      <c r="E62" s="493">
        <v>29637</v>
      </c>
      <c r="F62" s="497">
        <v>30548083156</v>
      </c>
      <c r="G62" s="498" t="str">
        <f>IFERROR(IF(compras_mes6[[#This Row],[CUIT]]="","-",VLOOKUP(compras_mes6[[#This Row],[CUIT]],Lista_CUIT[#All],2,0)),"CUIT NO CARGADO")</f>
        <v>COTO CENTRO INTEGRAL DE COMERCIALIZACION SOCIEDAD ANONIMA</v>
      </c>
      <c r="H62" s="499">
        <v>32318.78</v>
      </c>
      <c r="I62" s="500">
        <v>6383.69</v>
      </c>
      <c r="J62" s="500"/>
      <c r="K62" s="500">
        <v>201.63</v>
      </c>
      <c r="L62" s="500"/>
      <c r="M62" s="500"/>
      <c r="N62" s="500"/>
      <c r="O62" s="500">
        <v>2851.09</v>
      </c>
      <c r="P62" s="501">
        <f>SUM(compras_mes6[[#This Row],[NETO GRAVADO]:[Otros / No Grav.]])</f>
        <v>41755.19</v>
      </c>
      <c r="Q62" s="502" t="str">
        <f>IFERROR(IF(compras_mes6[[#This Row],[CUIT]]="","-",VLOOKUP(compras_mes6[[#This Row],[CUIT]],Lista_CUIT[#All],3,0)),"CUIT NO CARGADO")</f>
        <v>Gastos Varios</v>
      </c>
      <c r="R62" s="502">
        <f>IFERROR(IF(compras_mes6[[#This Row],[CUIT]]="","-",VLOOKUP(compras_mes6[[#This Row],[CUIT]],Lista_CUIT[#All],4,0)),"CUIT NO CARGADO")</f>
        <v>0</v>
      </c>
    </row>
    <row r="63" spans="2:18" x14ac:dyDescent="0.25">
      <c r="B63" s="207" t="s">
        <v>2492</v>
      </c>
      <c r="C63" s="41">
        <v>1</v>
      </c>
      <c r="D63" s="209">
        <v>11843</v>
      </c>
      <c r="E63" s="225">
        <v>1734</v>
      </c>
      <c r="F63" s="210">
        <v>30590360763</v>
      </c>
      <c r="G63" s="211" t="str">
        <f>IFERROR(IF(compras_mes6[[#This Row],[CUIT]]="","-",VLOOKUP(compras_mes6[[#This Row],[CUIT]],Lista_CUIT[#All],2,0)),"CUIT NO CARGADO")</f>
        <v>CENCOSUD S.A</v>
      </c>
      <c r="H63" s="212">
        <v>11642.51</v>
      </c>
      <c r="I63" s="213">
        <v>866.03</v>
      </c>
      <c r="J63" s="213"/>
      <c r="K63" s="213">
        <v>789.45</v>
      </c>
      <c r="L63" s="213">
        <v>236.5</v>
      </c>
      <c r="M63" s="213"/>
      <c r="N63" s="213">
        <v>698.55</v>
      </c>
      <c r="O63" s="213"/>
      <c r="P63" s="214">
        <f>SUM(compras_mes6[[#This Row],[NETO GRAVADO]:[Otros / No Grav.]])</f>
        <v>14233.04</v>
      </c>
      <c r="Q63" s="215" t="str">
        <f>IFERROR(IF(compras_mes6[[#This Row],[CUIT]]="","-",VLOOKUP(compras_mes6[[#This Row],[CUIT]],Lista_CUIT[#All],3,0)),"CUIT NO CARGADO")</f>
        <v>Gastos Varios</v>
      </c>
      <c r="R63" s="215">
        <f>IFERROR(IF(compras_mes6[[#This Row],[CUIT]]="","-",VLOOKUP(compras_mes6[[#This Row],[CUIT]],Lista_CUIT[#All],4,0)),"CUIT NO CARGADO")</f>
        <v>0</v>
      </c>
    </row>
    <row r="64" spans="2:18" x14ac:dyDescent="0.25">
      <c r="B64" s="207" t="s">
        <v>2492</v>
      </c>
      <c r="C64" s="41">
        <v>1</v>
      </c>
      <c r="D64" s="209">
        <v>2</v>
      </c>
      <c r="E64" s="225">
        <v>1076</v>
      </c>
      <c r="F64" s="210">
        <v>27317740196</v>
      </c>
      <c r="G64" s="211" t="str">
        <f>IFERROR(IF(compras_mes6[[#This Row],[CUIT]]="","-",VLOOKUP(compras_mes6[[#This Row],[CUIT]],Lista_CUIT[#All],2,0)),"CUIT NO CARGADO")</f>
        <v>HOKAMA ROMINA PAOLA</v>
      </c>
      <c r="H64" s="212">
        <v>30228.12</v>
      </c>
      <c r="I64" s="213">
        <f>IF(compras_mes6[[#This Row],[NETO GRAVADO]]="","",compras_mes6[[#This Row],[NETO GRAVADO]]*0.21)</f>
        <v>6347.9051999999992</v>
      </c>
      <c r="J64" s="213"/>
      <c r="K64" s="213"/>
      <c r="L64" s="213"/>
      <c r="M64" s="213"/>
      <c r="N64" s="213"/>
      <c r="O64" s="213"/>
      <c r="P64" s="214">
        <f>SUM(compras_mes6[[#This Row],[NETO GRAVADO]:[Otros / No Grav.]])</f>
        <v>36576.025199999996</v>
      </c>
      <c r="Q64" s="215" t="str">
        <f>IFERROR(IF(compras_mes6[[#This Row],[CUIT]]="","-",VLOOKUP(compras_mes6[[#This Row],[CUIT]],Lista_CUIT[#All],3,0)),"CUIT NO CARGADO")</f>
        <v>Gastos Varios</v>
      </c>
      <c r="R64" s="215">
        <f>IFERROR(IF(compras_mes6[[#This Row],[CUIT]]="","-",VLOOKUP(compras_mes6[[#This Row],[CUIT]],Lista_CUIT[#All],4,0)),"CUIT NO CARGADO")</f>
        <v>0</v>
      </c>
    </row>
    <row r="65" spans="2:18" x14ac:dyDescent="0.25">
      <c r="B65" s="207" t="s">
        <v>2494</v>
      </c>
      <c r="C65" s="41">
        <v>1</v>
      </c>
      <c r="D65" s="209">
        <v>6</v>
      </c>
      <c r="E65" s="225">
        <v>285</v>
      </c>
      <c r="F65" s="210">
        <v>23234730959</v>
      </c>
      <c r="G65" s="211" t="str">
        <f>IFERROR(IF(compras_mes6[[#This Row],[CUIT]]="","-",VLOOKUP(compras_mes6[[#This Row],[CUIT]],Lista_CUIT[#All],2,0)),"CUIT NO CARGADO")</f>
        <v>RUSCONI GERMAN ADOLFO</v>
      </c>
      <c r="H65" s="212">
        <v>8264.4599999999991</v>
      </c>
      <c r="I65" s="213">
        <f>IF(compras_mes6[[#This Row],[NETO GRAVADO]]="","",compras_mes6[[#This Row],[NETO GRAVADO]]*0.21)</f>
        <v>1735.5365999999997</v>
      </c>
      <c r="J65" s="213"/>
      <c r="K65" s="213"/>
      <c r="L65" s="213"/>
      <c r="M65" s="213"/>
      <c r="N65" s="213"/>
      <c r="O65" s="213"/>
      <c r="P65" s="214">
        <f>SUM(compras_mes6[[#This Row],[NETO GRAVADO]:[Otros / No Grav.]])</f>
        <v>9999.9965999999986</v>
      </c>
      <c r="Q65" s="215" t="str">
        <f>IFERROR(IF(compras_mes6[[#This Row],[CUIT]]="","-",VLOOKUP(compras_mes6[[#This Row],[CUIT]],Lista_CUIT[#All],3,0)),"CUIT NO CARGADO")</f>
        <v>Gastos Varios</v>
      </c>
      <c r="R65" s="215">
        <f>IFERROR(IF(compras_mes6[[#This Row],[CUIT]]="","-",VLOOKUP(compras_mes6[[#This Row],[CUIT]],Lista_CUIT[#All],4,0)),"CUIT NO CARGADO")</f>
        <v>0</v>
      </c>
    </row>
    <row r="66" spans="2:18" x14ac:dyDescent="0.25">
      <c r="B66" s="207" t="s">
        <v>2496</v>
      </c>
      <c r="C66" s="41">
        <v>1</v>
      </c>
      <c r="D66" s="209">
        <v>2188</v>
      </c>
      <c r="E66" s="225">
        <v>150597</v>
      </c>
      <c r="F66" s="210">
        <v>30548083156</v>
      </c>
      <c r="G66" s="211" t="str">
        <f>IFERROR(IF(compras_mes6[[#This Row],[CUIT]]="","-",VLOOKUP(compras_mes6[[#This Row],[CUIT]],Lista_CUIT[#All],2,0)),"CUIT NO CARGADO")</f>
        <v>COTO CENTRO INTEGRAL DE COMERCIALIZACION SOCIEDAD ANONIMA</v>
      </c>
      <c r="H66" s="212">
        <v>93163.57</v>
      </c>
      <c r="I66" s="213">
        <v>11477.67</v>
      </c>
      <c r="J66" s="213"/>
      <c r="K66" s="213">
        <v>4043.34</v>
      </c>
      <c r="L66" s="213"/>
      <c r="M66" s="213"/>
      <c r="N66" s="213"/>
      <c r="O66" s="213">
        <v>6275.37</v>
      </c>
      <c r="P66" s="214">
        <f>SUM(compras_mes6[[#This Row],[NETO GRAVADO]:[Otros / No Grav.]])</f>
        <v>114959.95</v>
      </c>
      <c r="Q66" s="215" t="str">
        <f>IFERROR(IF(compras_mes6[[#This Row],[CUIT]]="","-",VLOOKUP(compras_mes6[[#This Row],[CUIT]],Lista_CUIT[#All],3,0)),"CUIT NO CARGADO")</f>
        <v>Gastos Varios</v>
      </c>
      <c r="R66" s="215">
        <f>IFERROR(IF(compras_mes6[[#This Row],[CUIT]]="","-",VLOOKUP(compras_mes6[[#This Row],[CUIT]],Lista_CUIT[#All],4,0)),"CUIT NO CARGADO")</f>
        <v>0</v>
      </c>
    </row>
    <row r="67" spans="2:18" x14ac:dyDescent="0.25">
      <c r="B67" s="207" t="s">
        <v>2496</v>
      </c>
      <c r="C67" s="41">
        <v>1</v>
      </c>
      <c r="D67" s="209">
        <v>6</v>
      </c>
      <c r="E67" s="225">
        <v>153</v>
      </c>
      <c r="F67" s="210">
        <v>20269531062</v>
      </c>
      <c r="G67" s="211" t="str">
        <f>IFERROR(IF(compras_mes6[[#This Row],[CUIT]]="","-",VLOOKUP(compras_mes6[[#This Row],[CUIT]],Lista_CUIT[#All],2,0)),"CUIT NO CARGADO")</f>
        <v>PEZZELATTO RICARDO OMAR</v>
      </c>
      <c r="H67" s="212">
        <v>38279.51</v>
      </c>
      <c r="I67" s="213">
        <f>IF(compras_mes6[[#This Row],[NETO GRAVADO]]="","",compras_mes6[[#This Row],[NETO GRAVADO]]*0.21)</f>
        <v>8038.6971000000003</v>
      </c>
      <c r="J67" s="213"/>
      <c r="K67" s="213"/>
      <c r="L67" s="213"/>
      <c r="M67" s="213"/>
      <c r="N67" s="213"/>
      <c r="O67" s="213"/>
      <c r="P67" s="214">
        <f>SUM(compras_mes6[[#This Row],[NETO GRAVADO]:[Otros / No Grav.]])</f>
        <v>46318.2071</v>
      </c>
      <c r="Q67" s="215" t="str">
        <f>IFERROR(IF(compras_mes6[[#This Row],[CUIT]]="","-",VLOOKUP(compras_mes6[[#This Row],[CUIT]],Lista_CUIT[#All],3,0)),"CUIT NO CARGADO")</f>
        <v>Gastos Varios</v>
      </c>
      <c r="R67" s="215">
        <f>IFERROR(IF(compras_mes6[[#This Row],[CUIT]]="","-",VLOOKUP(compras_mes6[[#This Row],[CUIT]],Lista_CUIT[#All],4,0)),"CUIT NO CARGADO")</f>
        <v>0</v>
      </c>
    </row>
    <row r="68" spans="2:18" x14ac:dyDescent="0.25">
      <c r="B68" s="207" t="s">
        <v>2498</v>
      </c>
      <c r="C68" s="41">
        <v>1</v>
      </c>
      <c r="D68" s="209">
        <v>13867</v>
      </c>
      <c r="E68" s="225">
        <v>7823</v>
      </c>
      <c r="F68" s="210">
        <v>30590360763</v>
      </c>
      <c r="G68" s="211" t="str">
        <f>IFERROR(IF(compras_mes6[[#This Row],[CUIT]]="","-",VLOOKUP(compras_mes6[[#This Row],[CUIT]],Lista_CUIT[#All],2,0)),"CUIT NO CARGADO")</f>
        <v>CENCOSUD S.A</v>
      </c>
      <c r="H68" s="212">
        <v>47853.31</v>
      </c>
      <c r="I68" s="213">
        <f>IF(compras_mes6[[#This Row],[NETO GRAVADO]]="","",compras_mes6[[#This Row],[NETO GRAVADO]]*0.21)</f>
        <v>10049.195099999999</v>
      </c>
      <c r="J68" s="213"/>
      <c r="K68" s="213"/>
      <c r="L68" s="213">
        <v>1435.6</v>
      </c>
      <c r="M68" s="213">
        <v>2871.2</v>
      </c>
      <c r="N68" s="213"/>
      <c r="O68" s="213"/>
      <c r="P68" s="214">
        <f>SUM(compras_mes6[[#This Row],[NETO GRAVADO]:[Otros / No Grav.]])</f>
        <v>62209.30509999999</v>
      </c>
      <c r="Q68" s="215" t="str">
        <f>IFERROR(IF(compras_mes6[[#This Row],[CUIT]]="","-",VLOOKUP(compras_mes6[[#This Row],[CUIT]],Lista_CUIT[#All],3,0)),"CUIT NO CARGADO")</f>
        <v>Gastos Varios</v>
      </c>
      <c r="R68" s="215">
        <f>IFERROR(IF(compras_mes6[[#This Row],[CUIT]]="","-",VLOOKUP(compras_mes6[[#This Row],[CUIT]],Lista_CUIT[#All],4,0)),"CUIT NO CARGADO")</f>
        <v>0</v>
      </c>
    </row>
    <row r="69" spans="2:18" x14ac:dyDescent="0.25">
      <c r="B69" s="207" t="s">
        <v>2498</v>
      </c>
      <c r="C69" s="41">
        <v>1</v>
      </c>
      <c r="D69" s="209">
        <v>1677</v>
      </c>
      <c r="E69" s="225">
        <v>66836</v>
      </c>
      <c r="F69" s="210">
        <v>30589621499</v>
      </c>
      <c r="G69" s="211" t="str">
        <f>IFERROR(IF(compras_mes6[[#This Row],[CUIT]]="","-",VLOOKUP(compras_mes6[[#This Row],[CUIT]],Lista_CUIT[#All],2,0)),"CUIT NO CARGADO")</f>
        <v>MAKRO SA</v>
      </c>
      <c r="H69" s="212">
        <v>64176.55</v>
      </c>
      <c r="I69" s="213">
        <v>13052.51</v>
      </c>
      <c r="J69" s="213"/>
      <c r="K69" s="213">
        <v>212.28</v>
      </c>
      <c r="L69" s="213">
        <v>1894.9770000000001</v>
      </c>
      <c r="M69" s="213"/>
      <c r="N69" s="213">
        <v>3850.59</v>
      </c>
      <c r="O69" s="213"/>
      <c r="P69" s="214">
        <f>SUM(compras_mes6[[#This Row],[NETO GRAVADO]:[Otros / No Grav.]])</f>
        <v>83186.906999999992</v>
      </c>
      <c r="Q69" s="215" t="str">
        <f>IFERROR(IF(compras_mes6[[#This Row],[CUIT]]="","-",VLOOKUP(compras_mes6[[#This Row],[CUIT]],Lista_CUIT[#All],3,0)),"CUIT NO CARGADO")</f>
        <v>Gastos Varios</v>
      </c>
      <c r="R69" s="215">
        <f>IFERROR(IF(compras_mes6[[#This Row],[CUIT]]="","-",VLOOKUP(compras_mes6[[#This Row],[CUIT]],Lista_CUIT[#All],4,0)),"CUIT NO CARGADO")</f>
        <v>0</v>
      </c>
    </row>
    <row r="70" spans="2:18" x14ac:dyDescent="0.25">
      <c r="B70" s="207" t="s">
        <v>2499</v>
      </c>
      <c r="C70" s="41">
        <v>1</v>
      </c>
      <c r="D70" s="209">
        <v>2199</v>
      </c>
      <c r="E70" s="225">
        <v>37356</v>
      </c>
      <c r="F70" s="210">
        <v>30548083156</v>
      </c>
      <c r="G70" s="211" t="str">
        <f>IFERROR(IF(compras_mes6[[#This Row],[CUIT]]="","-",VLOOKUP(compras_mes6[[#This Row],[CUIT]],Lista_CUIT[#All],2,0)),"CUIT NO CARGADO")</f>
        <v>COTO CENTRO INTEGRAL DE COMERCIALIZACION SOCIEDAD ANONIMA</v>
      </c>
      <c r="H70" s="212">
        <v>97171.26</v>
      </c>
      <c r="I70" s="213">
        <v>16306.1</v>
      </c>
      <c r="J70" s="213"/>
      <c r="K70" s="213">
        <v>2049.9299999999998</v>
      </c>
      <c r="L70" s="213"/>
      <c r="M70" s="213"/>
      <c r="N70" s="213"/>
      <c r="O70" s="213">
        <v>8430.09</v>
      </c>
      <c r="P70" s="214">
        <f>SUM(compras_mes6[[#This Row],[NETO GRAVADO]:[Otros / No Grav.]])</f>
        <v>123957.37999999999</v>
      </c>
      <c r="Q70" s="215" t="str">
        <f>IFERROR(IF(compras_mes6[[#This Row],[CUIT]]="","-",VLOOKUP(compras_mes6[[#This Row],[CUIT]],Lista_CUIT[#All],3,0)),"CUIT NO CARGADO")</f>
        <v>Gastos Varios</v>
      </c>
      <c r="R70" s="215">
        <f>IFERROR(IF(compras_mes6[[#This Row],[CUIT]]="","-",VLOOKUP(compras_mes6[[#This Row],[CUIT]],Lista_CUIT[#All],4,0)),"CUIT NO CARGADO")</f>
        <v>0</v>
      </c>
    </row>
    <row r="71" spans="2:18" x14ac:dyDescent="0.25">
      <c r="B71" s="207" t="s">
        <v>2500</v>
      </c>
      <c r="C71" s="41">
        <v>1</v>
      </c>
      <c r="D71" s="209">
        <v>2</v>
      </c>
      <c r="E71" s="225">
        <v>1135</v>
      </c>
      <c r="F71" s="210">
        <v>27317740196</v>
      </c>
      <c r="G71" s="211" t="str">
        <f>IFERROR(IF(compras_mes6[[#This Row],[CUIT]]="","-",VLOOKUP(compras_mes6[[#This Row],[CUIT]],Lista_CUIT[#All],2,0)),"CUIT NO CARGADO")</f>
        <v>HOKAMA ROMINA PAOLA</v>
      </c>
      <c r="H71" s="212">
        <v>32561.99</v>
      </c>
      <c r="I71" s="213">
        <f>IF(compras_mes6[[#This Row],[NETO GRAVADO]]="","",compras_mes6[[#This Row],[NETO GRAVADO]]*0.21)</f>
        <v>6838.0178999999998</v>
      </c>
      <c r="J71" s="213"/>
      <c r="K71" s="213"/>
      <c r="L71" s="213"/>
      <c r="M71" s="213"/>
      <c r="N71" s="213"/>
      <c r="O71" s="213"/>
      <c r="P71" s="214">
        <f>SUM(compras_mes6[[#This Row],[NETO GRAVADO]:[Otros / No Grav.]])</f>
        <v>39400.007900000004</v>
      </c>
      <c r="Q71" s="215" t="str">
        <f>IFERROR(IF(compras_mes6[[#This Row],[CUIT]]="","-",VLOOKUP(compras_mes6[[#This Row],[CUIT]],Lista_CUIT[#All],3,0)),"CUIT NO CARGADO")</f>
        <v>Gastos Varios</v>
      </c>
      <c r="R71" s="215">
        <f>IFERROR(IF(compras_mes6[[#This Row],[CUIT]]="","-",VLOOKUP(compras_mes6[[#This Row],[CUIT]],Lista_CUIT[#All],4,0)),"CUIT NO CARGADO")</f>
        <v>0</v>
      </c>
    </row>
    <row r="72" spans="2:18" x14ac:dyDescent="0.25">
      <c r="B72" s="207" t="s">
        <v>2502</v>
      </c>
      <c r="C72" s="41">
        <v>1</v>
      </c>
      <c r="D72" s="209">
        <v>9367</v>
      </c>
      <c r="E72" s="225">
        <v>12636</v>
      </c>
      <c r="F72" s="210">
        <v>30590360763</v>
      </c>
      <c r="G72" s="211" t="str">
        <f>IFERROR(IF(compras_mes6[[#This Row],[CUIT]]="","-",VLOOKUP(compras_mes6[[#This Row],[CUIT]],Lista_CUIT[#All],2,0)),"CUIT NO CARGADO")</f>
        <v>CENCOSUD S.A</v>
      </c>
      <c r="H72" s="212">
        <v>17917.36</v>
      </c>
      <c r="I72" s="213">
        <f>IF(compras_mes6[[#This Row],[NETO GRAVADO]]="","",compras_mes6[[#This Row],[NETO GRAVADO]]*0.21)</f>
        <v>3762.6455999999998</v>
      </c>
      <c r="J72" s="213"/>
      <c r="K72" s="213"/>
      <c r="L72" s="213">
        <v>537.52</v>
      </c>
      <c r="M72" s="213"/>
      <c r="N72" s="213">
        <v>1075.04</v>
      </c>
      <c r="O72" s="213"/>
      <c r="P72" s="214">
        <f>SUM(compras_mes6[[#This Row],[NETO GRAVADO]:[Otros / No Grav.]])</f>
        <v>23292.565600000002</v>
      </c>
      <c r="Q72" s="215" t="str">
        <f>IFERROR(IF(compras_mes6[[#This Row],[CUIT]]="","-",VLOOKUP(compras_mes6[[#This Row],[CUIT]],Lista_CUIT[#All],3,0)),"CUIT NO CARGADO")</f>
        <v>Gastos Varios</v>
      </c>
      <c r="R72" s="215">
        <f>IFERROR(IF(compras_mes6[[#This Row],[CUIT]]="","-",VLOOKUP(compras_mes6[[#This Row],[CUIT]],Lista_CUIT[#All],4,0)),"CUIT NO CARGADO")</f>
        <v>0</v>
      </c>
    </row>
    <row r="73" spans="2:18" x14ac:dyDescent="0.25">
      <c r="B73" s="207" t="s">
        <v>2502</v>
      </c>
      <c r="C73" s="41">
        <v>1</v>
      </c>
      <c r="D73" s="209">
        <v>9367</v>
      </c>
      <c r="E73" s="225">
        <v>12643</v>
      </c>
      <c r="F73" s="210">
        <v>30590360763</v>
      </c>
      <c r="G73" s="211" t="str">
        <f>IFERROR(IF(compras_mes6[[#This Row],[CUIT]]="","-",VLOOKUP(compras_mes6[[#This Row],[CUIT]],Lista_CUIT[#All],2,0)),"CUIT NO CARGADO")</f>
        <v>CENCOSUD S.A</v>
      </c>
      <c r="H73" s="212">
        <v>10429.75</v>
      </c>
      <c r="I73" s="213">
        <f>IF(compras_mes6[[#This Row],[NETO GRAVADO]]="","",compras_mes6[[#This Row],[NETO GRAVADO]]*0.21)</f>
        <v>2190.2474999999999</v>
      </c>
      <c r="J73" s="213"/>
      <c r="K73" s="213"/>
      <c r="L73" s="213">
        <v>312.89</v>
      </c>
      <c r="M73" s="213"/>
      <c r="N73" s="213">
        <v>625.79</v>
      </c>
      <c r="O73" s="213"/>
      <c r="P73" s="214">
        <f>SUM(compras_mes6[[#This Row],[NETO GRAVADO]:[Otros / No Grav.]])</f>
        <v>13558.677499999998</v>
      </c>
      <c r="Q73" s="215" t="str">
        <f>IFERROR(IF(compras_mes6[[#This Row],[CUIT]]="","-",VLOOKUP(compras_mes6[[#This Row],[CUIT]],Lista_CUIT[#All],3,0)),"CUIT NO CARGADO")</f>
        <v>Gastos Varios</v>
      </c>
      <c r="R73" s="215">
        <f>IFERROR(IF(compras_mes6[[#This Row],[CUIT]]="","-",VLOOKUP(compras_mes6[[#This Row],[CUIT]],Lista_CUIT[#All],4,0)),"CUIT NO CARGADO")</f>
        <v>0</v>
      </c>
    </row>
    <row r="74" spans="2:18" x14ac:dyDescent="0.25">
      <c r="B74" s="40" t="s">
        <v>2503</v>
      </c>
      <c r="C74" s="41">
        <v>1</v>
      </c>
      <c r="D74" s="42">
        <v>11843</v>
      </c>
      <c r="E74" s="43">
        <v>1751</v>
      </c>
      <c r="F74" s="44">
        <v>30590360763</v>
      </c>
      <c r="G74" s="45" t="str">
        <f>IFERROR(IF(compras_mes6[[#This Row],[CUIT]]="","-",VLOOKUP(compras_mes6[[#This Row],[CUIT]],Lista_CUIT[#All],2,0)),"CUIT NO CARGADO")</f>
        <v>CENCOSUD S.A</v>
      </c>
      <c r="H74" s="46">
        <v>8023.73</v>
      </c>
      <c r="I74" s="85" t="s">
        <v>2411</v>
      </c>
      <c r="J74" s="85"/>
      <c r="K74" s="85">
        <v>842.49</v>
      </c>
      <c r="L74" s="85">
        <v>120.36</v>
      </c>
      <c r="M74" s="85"/>
      <c r="N74" s="85">
        <v>481.42</v>
      </c>
      <c r="O74" s="85"/>
      <c r="P74" s="48">
        <f>SUM(compras_mes6[[#This Row],[NETO GRAVADO]:[Otros / No Grav.]])</f>
        <v>9468</v>
      </c>
      <c r="Q74" s="49" t="str">
        <f>IFERROR(IF(compras_mes6[[#This Row],[CUIT]]="","-",VLOOKUP(compras_mes6[[#This Row],[CUIT]],Lista_CUIT[#All],3,0)),"CUIT NO CARGADO")</f>
        <v>Gastos Varios</v>
      </c>
      <c r="R74" s="49">
        <f>IFERROR(IF(compras_mes6[[#This Row],[CUIT]]="","-",VLOOKUP(compras_mes6[[#This Row],[CUIT]],Lista_CUIT[#All],4,0)),"CUIT NO CARGADO")</f>
        <v>0</v>
      </c>
    </row>
    <row r="75" spans="2:18" x14ac:dyDescent="0.25">
      <c r="B75" s="207" t="s">
        <v>2504</v>
      </c>
      <c r="C75" s="41">
        <v>1</v>
      </c>
      <c r="D75" s="209">
        <v>2</v>
      </c>
      <c r="E75" s="225">
        <v>418</v>
      </c>
      <c r="F75" s="210">
        <v>30717924548</v>
      </c>
      <c r="G75" s="211" t="str">
        <f>IFERROR(IF(compras_mes6[[#This Row],[CUIT]]="","-",VLOOKUP(compras_mes6[[#This Row],[CUIT]],Lista_CUIT[#All],2,0)),"CUIT NO CARGADO")</f>
        <v>GRUPO LEDUFT SA</v>
      </c>
      <c r="H75" s="212">
        <v>62799.17</v>
      </c>
      <c r="I75" s="213">
        <f>IF(compras_mes6[[#This Row],[NETO GRAVADO]]="","",compras_mes6[[#This Row],[NETO GRAVADO]]*0.21)</f>
        <v>13187.825699999999</v>
      </c>
      <c r="J75" s="213"/>
      <c r="K75" s="213"/>
      <c r="L75" s="213"/>
      <c r="M75" s="213"/>
      <c r="N75" s="213"/>
      <c r="O75" s="213"/>
      <c r="P75" s="214">
        <f>SUM(compras_mes6[[#This Row],[NETO GRAVADO]:[Otros / No Grav.]])</f>
        <v>75986.995699999999</v>
      </c>
      <c r="Q75" s="215" t="str">
        <f>IFERROR(IF(compras_mes6[[#This Row],[CUIT]]="","-",VLOOKUP(compras_mes6[[#This Row],[CUIT]],Lista_CUIT[#All],3,0)),"CUIT NO CARGADO")</f>
        <v>Gastos Varios</v>
      </c>
      <c r="R75" s="215">
        <f>IFERROR(IF(compras_mes6[[#This Row],[CUIT]]="","-",VLOOKUP(compras_mes6[[#This Row],[CUIT]],Lista_CUIT[#All],4,0)),"CUIT NO CARGADO")</f>
        <v>0</v>
      </c>
    </row>
    <row r="76" spans="2:18" x14ac:dyDescent="0.25">
      <c r="B76" s="40" t="s">
        <v>2505</v>
      </c>
      <c r="C76" s="41">
        <v>1</v>
      </c>
      <c r="D76" s="42">
        <v>2084</v>
      </c>
      <c r="E76" s="43">
        <v>29913</v>
      </c>
      <c r="F76" s="44">
        <v>30548083156</v>
      </c>
      <c r="G76" s="45" t="str">
        <f>IFERROR(IF(compras_mes6[[#This Row],[CUIT]]="","-",VLOOKUP(compras_mes6[[#This Row],[CUIT]],Lista_CUIT[#All],2,0)),"CUIT NO CARGADO")</f>
        <v>COTO CENTRO INTEGRAL DE COMERCIALIZACION SOCIEDAD ANONIMA</v>
      </c>
      <c r="H76" s="46">
        <v>37706.959999999999</v>
      </c>
      <c r="I76" s="85">
        <f>IF(compras_mes6[[#This Row],[NETO GRAVADO]]="","",compras_mes6[[#This Row],[NETO GRAVADO]]*0.21)</f>
        <v>7918.4615999999996</v>
      </c>
      <c r="J76" s="85"/>
      <c r="K76" s="85"/>
      <c r="L76" s="85"/>
      <c r="M76" s="85"/>
      <c r="N76" s="85"/>
      <c r="O76" s="85">
        <v>3237.48</v>
      </c>
      <c r="P76" s="48">
        <f>SUM(compras_mes6[[#This Row],[NETO GRAVADO]:[Otros / No Grav.]])</f>
        <v>48862.901600000005</v>
      </c>
      <c r="Q76" s="49" t="str">
        <f>IFERROR(IF(compras_mes6[[#This Row],[CUIT]]="","-",VLOOKUP(compras_mes6[[#This Row],[CUIT]],Lista_CUIT[#All],3,0)),"CUIT NO CARGADO")</f>
        <v>Gastos Varios</v>
      </c>
      <c r="R76" s="49">
        <f>IFERROR(IF(compras_mes6[[#This Row],[CUIT]]="","-",VLOOKUP(compras_mes6[[#This Row],[CUIT]],Lista_CUIT[#All],4,0)),"CUIT NO CARGADO")</f>
        <v>0</v>
      </c>
    </row>
    <row r="77" spans="2:18" x14ac:dyDescent="0.25">
      <c r="B77" s="207" t="s">
        <v>2505</v>
      </c>
      <c r="C77" s="41">
        <v>1</v>
      </c>
      <c r="D77" s="209">
        <v>2199</v>
      </c>
      <c r="E77" s="225">
        <v>37457</v>
      </c>
      <c r="F77" s="210">
        <v>30548083156</v>
      </c>
      <c r="G77" s="211" t="str">
        <f>IFERROR(IF(compras_mes6[[#This Row],[CUIT]]="","-",VLOOKUP(compras_mes6[[#This Row],[CUIT]],Lista_CUIT[#All],2,0)),"CUIT NO CARGADO")</f>
        <v>COTO CENTRO INTEGRAL DE COMERCIALIZACION SOCIEDAD ANONIMA</v>
      </c>
      <c r="H77" s="212">
        <v>62046.879999999997</v>
      </c>
      <c r="I77" s="213">
        <v>11533.05</v>
      </c>
      <c r="J77" s="213"/>
      <c r="K77" s="213">
        <v>748.4</v>
      </c>
      <c r="L77" s="213"/>
      <c r="M77" s="213"/>
      <c r="N77" s="213"/>
      <c r="O77" s="213">
        <v>5075.13</v>
      </c>
      <c r="P77" s="214">
        <f>SUM(compras_mes6[[#This Row],[NETO GRAVADO]:[Otros / No Grav.]])</f>
        <v>79403.459999999992</v>
      </c>
      <c r="Q77" s="215" t="str">
        <f>IFERROR(IF(compras_mes6[[#This Row],[CUIT]]="","-",VLOOKUP(compras_mes6[[#This Row],[CUIT]],Lista_CUIT[#All],3,0)),"CUIT NO CARGADO")</f>
        <v>Gastos Varios</v>
      </c>
      <c r="R77" s="215">
        <f>IFERROR(IF(compras_mes6[[#This Row],[CUIT]]="","-",VLOOKUP(compras_mes6[[#This Row],[CUIT]],Lista_CUIT[#All],4,0)),"CUIT NO CARGADO")</f>
        <v>0</v>
      </c>
    </row>
    <row r="78" spans="2:18" x14ac:dyDescent="0.25">
      <c r="B78" s="207" t="s">
        <v>2506</v>
      </c>
      <c r="C78" s="41">
        <v>1</v>
      </c>
      <c r="D78" s="209">
        <v>11841</v>
      </c>
      <c r="E78" s="225">
        <v>1845</v>
      </c>
      <c r="F78" s="210">
        <v>30590360763</v>
      </c>
      <c r="G78" s="211" t="str">
        <f>IFERROR(IF(compras_mes6[[#This Row],[CUIT]]="","-",VLOOKUP(compras_mes6[[#This Row],[CUIT]],Lista_CUIT[#All],2,0)),"CUIT NO CARGADO")</f>
        <v>CENCOSUD S.A</v>
      </c>
      <c r="H78" s="212">
        <v>15277.85</v>
      </c>
      <c r="I78" s="213">
        <v>679.16</v>
      </c>
      <c r="J78" s="213"/>
      <c r="K78" s="213">
        <v>1264.5999999999999</v>
      </c>
      <c r="L78" s="213">
        <v>277.68</v>
      </c>
      <c r="M78" s="213"/>
      <c r="N78" s="213">
        <v>916.67</v>
      </c>
      <c r="O78" s="213"/>
      <c r="P78" s="214">
        <f>SUM(compras_mes6[[#This Row],[NETO GRAVADO]:[Otros / No Grav.]])</f>
        <v>18415.96</v>
      </c>
      <c r="Q78" s="215" t="str">
        <f>IFERROR(IF(compras_mes6[[#This Row],[CUIT]]="","-",VLOOKUP(compras_mes6[[#This Row],[CUIT]],Lista_CUIT[#All],3,0)),"CUIT NO CARGADO")</f>
        <v>Gastos Varios</v>
      </c>
      <c r="R78" s="215">
        <f>IFERROR(IF(compras_mes6[[#This Row],[CUIT]]="","-",VLOOKUP(compras_mes6[[#This Row],[CUIT]],Lista_CUIT[#All],4,0)),"CUIT NO CARGADO")</f>
        <v>0</v>
      </c>
    </row>
    <row r="79" spans="2:18" x14ac:dyDescent="0.25">
      <c r="B79" s="207" t="s">
        <v>2507</v>
      </c>
      <c r="C79" s="41">
        <v>1</v>
      </c>
      <c r="D79" s="209">
        <v>45</v>
      </c>
      <c r="E79" s="225">
        <v>161</v>
      </c>
      <c r="F79" s="210">
        <v>30500795804</v>
      </c>
      <c r="G79" s="211" t="str">
        <f>IFERROR(IF(compras_mes6[[#This Row],[CUIT]]="","-",VLOOKUP(compras_mes6[[#This Row],[CUIT]],Lista_CUIT[#All],2,0)),"CUIT NO CARGADO")</f>
        <v>SATURNINO CABEZON S A</v>
      </c>
      <c r="H79" s="212">
        <v>10743.8</v>
      </c>
      <c r="I79" s="213">
        <f>IF(compras_mes6[[#This Row],[NETO GRAVADO]]="","",compras_mes6[[#This Row],[NETO GRAVADO]]*0.21)</f>
        <v>2256.1979999999999</v>
      </c>
      <c r="J79" s="213"/>
      <c r="K79" s="213"/>
      <c r="L79" s="213"/>
      <c r="M79" s="213"/>
      <c r="N79" s="213"/>
      <c r="O79" s="213"/>
      <c r="P79" s="214">
        <f>SUM(compras_mes6[[#This Row],[NETO GRAVADO]:[Otros / No Grav.]])</f>
        <v>12999.998</v>
      </c>
      <c r="Q79" s="215" t="str">
        <f>IFERROR(IF(compras_mes6[[#This Row],[CUIT]]="","-",VLOOKUP(compras_mes6[[#This Row],[CUIT]],Lista_CUIT[#All],3,0)),"CUIT NO CARGADO")</f>
        <v>Gastos Varios</v>
      </c>
      <c r="R79" s="215">
        <f>IFERROR(IF(compras_mes6[[#This Row],[CUIT]]="","-",VLOOKUP(compras_mes6[[#This Row],[CUIT]],Lista_CUIT[#All],4,0)),"CUIT NO CARGADO")</f>
        <v>0</v>
      </c>
    </row>
    <row r="80" spans="2:18" x14ac:dyDescent="0.25">
      <c r="B80" s="207" t="s">
        <v>2508</v>
      </c>
      <c r="C80" s="41">
        <v>1</v>
      </c>
      <c r="D80" s="209">
        <v>6</v>
      </c>
      <c r="E80" s="225">
        <v>158</v>
      </c>
      <c r="F80" s="210">
        <v>20269531062</v>
      </c>
      <c r="G80" s="211" t="str">
        <f>IFERROR(IF(compras_mes6[[#This Row],[CUIT]]="","-",VLOOKUP(compras_mes6[[#This Row],[CUIT]],Lista_CUIT[#All],2,0)),"CUIT NO CARGADO")</f>
        <v>PEZZELATTO RICARDO OMAR</v>
      </c>
      <c r="H80" s="212">
        <v>14428.93</v>
      </c>
      <c r="I80" s="213">
        <f>IF(compras_mes6[[#This Row],[NETO GRAVADO]]="","",compras_mes6[[#This Row],[NETO GRAVADO]]*0.21)</f>
        <v>3030.0753</v>
      </c>
      <c r="J80" s="213"/>
      <c r="K80" s="213"/>
      <c r="L80" s="213"/>
      <c r="M80" s="213"/>
      <c r="N80" s="213"/>
      <c r="O80" s="213"/>
      <c r="P80" s="214">
        <f>SUM(compras_mes6[[#This Row],[NETO GRAVADO]:[Otros / No Grav.]])</f>
        <v>17459.005300000001</v>
      </c>
      <c r="Q80" s="215" t="str">
        <f>IFERROR(IF(compras_mes6[[#This Row],[CUIT]]="","-",VLOOKUP(compras_mes6[[#This Row],[CUIT]],Lista_CUIT[#All],3,0)),"CUIT NO CARGADO")</f>
        <v>Gastos Varios</v>
      </c>
      <c r="R80" s="215">
        <f>IFERROR(IF(compras_mes6[[#This Row],[CUIT]]="","-",VLOOKUP(compras_mes6[[#This Row],[CUIT]],Lista_CUIT[#All],4,0)),"CUIT NO CARGADO")</f>
        <v>0</v>
      </c>
    </row>
    <row r="81" spans="2:18" x14ac:dyDescent="0.25">
      <c r="B81" s="40" t="s">
        <v>2508</v>
      </c>
      <c r="C81" s="41">
        <v>1</v>
      </c>
      <c r="D81" s="42">
        <v>4</v>
      </c>
      <c r="E81" s="43">
        <v>299</v>
      </c>
      <c r="F81" s="44">
        <v>27317740196</v>
      </c>
      <c r="G81" s="45" t="str">
        <f>IFERROR(IF(compras_mes6[[#This Row],[CUIT]]="","-",VLOOKUP(compras_mes6[[#This Row],[CUIT]],Lista_CUIT[#All],2,0)),"CUIT NO CARGADO")</f>
        <v>HOKAMA ROMINA PAOLA</v>
      </c>
      <c r="H81" s="46">
        <v>35735.54</v>
      </c>
      <c r="I81" s="85">
        <f>IF(compras_mes6[[#This Row],[NETO GRAVADO]]="","",compras_mes6[[#This Row],[NETO GRAVADO]]*0.21)</f>
        <v>7504.4633999999996</v>
      </c>
      <c r="J81" s="85"/>
      <c r="K81" s="85"/>
      <c r="L81" s="85"/>
      <c r="M81" s="85"/>
      <c r="N81" s="85"/>
      <c r="O81" s="85"/>
      <c r="P81" s="48">
        <f>SUM(compras_mes6[[#This Row],[NETO GRAVADO]:[Otros / No Grav.]])</f>
        <v>43240.003400000001</v>
      </c>
      <c r="Q81" s="49" t="str">
        <f>IFERROR(IF(compras_mes6[[#This Row],[CUIT]]="","-",VLOOKUP(compras_mes6[[#This Row],[CUIT]],Lista_CUIT[#All],3,0)),"CUIT NO CARGADO")</f>
        <v>Gastos Varios</v>
      </c>
      <c r="R81" s="49">
        <f>IFERROR(IF(compras_mes6[[#This Row],[CUIT]]="","-",VLOOKUP(compras_mes6[[#This Row],[CUIT]],Lista_CUIT[#All],4,0)),"CUIT NO CARGADO")</f>
        <v>0</v>
      </c>
    </row>
    <row r="82" spans="2:18" x14ac:dyDescent="0.25">
      <c r="B82" s="207" t="s">
        <v>2510</v>
      </c>
      <c r="C82" s="41">
        <v>1</v>
      </c>
      <c r="D82" s="209">
        <v>51</v>
      </c>
      <c r="E82" s="225">
        <v>196</v>
      </c>
      <c r="F82" s="210">
        <v>30677372717</v>
      </c>
      <c r="G82" s="211" t="str">
        <f>IFERROR(IF(compras_mes6[[#This Row],[CUIT]]="","-",VLOOKUP(compras_mes6[[#This Row],[CUIT]],Lista_CUIT[#All],2,0)),"CUIT NO CARGADO")</f>
        <v>HIJOS DE ADOLFO KIRCHUK SRL</v>
      </c>
      <c r="H82" s="212">
        <v>40471.08</v>
      </c>
      <c r="I82" s="213">
        <f>IF(compras_mes6[[#This Row],[NETO GRAVADO]]="","",compras_mes6[[#This Row],[NETO GRAVADO]]*0.21)</f>
        <v>8498.9267999999993</v>
      </c>
      <c r="J82" s="213"/>
      <c r="K82" s="213"/>
      <c r="L82" s="213"/>
      <c r="M82" s="213"/>
      <c r="N82" s="213"/>
      <c r="O82" s="213"/>
      <c r="P82" s="214">
        <f>SUM(compras_mes6[[#This Row],[NETO GRAVADO]:[Otros / No Grav.]])</f>
        <v>48970.006800000003</v>
      </c>
      <c r="Q82" s="215" t="str">
        <f>IFERROR(IF(compras_mes6[[#This Row],[CUIT]]="","-",VLOOKUP(compras_mes6[[#This Row],[CUIT]],Lista_CUIT[#All],3,0)),"CUIT NO CARGADO")</f>
        <v>Gastos Varios</v>
      </c>
      <c r="R82" s="215">
        <f>IFERROR(IF(compras_mes6[[#This Row],[CUIT]]="","-",VLOOKUP(compras_mes6[[#This Row],[CUIT]],Lista_CUIT[#All],4,0)),"CUIT NO CARGADO")</f>
        <v>0</v>
      </c>
    </row>
    <row r="83" spans="2:18" x14ac:dyDescent="0.25">
      <c r="B83" s="207" t="s">
        <v>2510</v>
      </c>
      <c r="C83" s="41">
        <v>1</v>
      </c>
      <c r="D83" s="209">
        <v>2188</v>
      </c>
      <c r="E83" s="225">
        <v>151783</v>
      </c>
      <c r="F83" s="210">
        <v>30548083156</v>
      </c>
      <c r="G83" s="211" t="str">
        <f>IFERROR(IF(compras_mes6[[#This Row],[CUIT]]="","-",VLOOKUP(compras_mes6[[#This Row],[CUIT]],Lista_CUIT[#All],2,0)),"CUIT NO CARGADO")</f>
        <v>COTO CENTRO INTEGRAL DE COMERCIALIZACION SOCIEDAD ANONIMA</v>
      </c>
      <c r="H83" s="212">
        <v>117233.72</v>
      </c>
      <c r="I83" s="213">
        <v>16021.95</v>
      </c>
      <c r="J83" s="213"/>
      <c r="K83" s="213">
        <v>4298.57</v>
      </c>
      <c r="L83" s="213"/>
      <c r="M83" s="213"/>
      <c r="N83" s="213"/>
      <c r="O83" s="213">
        <v>8215.6</v>
      </c>
      <c r="P83" s="214">
        <f>SUM(compras_mes6[[#This Row],[NETO GRAVADO]:[Otros / No Grav.]])</f>
        <v>145769.84000000003</v>
      </c>
      <c r="Q83" s="215" t="str">
        <f>IFERROR(IF(compras_mes6[[#This Row],[CUIT]]="","-",VLOOKUP(compras_mes6[[#This Row],[CUIT]],Lista_CUIT[#All],3,0)),"CUIT NO CARGADO")</f>
        <v>Gastos Varios</v>
      </c>
      <c r="R83" s="215">
        <f>IFERROR(IF(compras_mes6[[#This Row],[CUIT]]="","-",VLOOKUP(compras_mes6[[#This Row],[CUIT]],Lista_CUIT[#All],4,0)),"CUIT NO CARGADO")</f>
        <v>0</v>
      </c>
    </row>
    <row r="84" spans="2:18" x14ac:dyDescent="0.25">
      <c r="B84" s="207" t="s">
        <v>2511</v>
      </c>
      <c r="C84" s="41">
        <v>1</v>
      </c>
      <c r="D84" s="209">
        <v>1678</v>
      </c>
      <c r="E84" s="225">
        <v>58869</v>
      </c>
      <c r="F84" s="210">
        <v>30589621499</v>
      </c>
      <c r="G84" s="211" t="str">
        <f>IFERROR(IF(compras_mes6[[#This Row],[CUIT]]="","-",VLOOKUP(compras_mes6[[#This Row],[CUIT]],Lista_CUIT[#All],2,0)),"CUIT NO CARGADO")</f>
        <v>MAKRO SA</v>
      </c>
      <c r="H84" s="212">
        <v>137930.04999999999</v>
      </c>
      <c r="I84" s="213">
        <f>IF(compras_mes6[[#This Row],[NETO GRAVADO]]="","",compras_mes6[[#This Row],[NETO GRAVADO]]*0.21)</f>
        <v>28965.310499999996</v>
      </c>
      <c r="J84" s="213"/>
      <c r="K84" s="213"/>
      <c r="L84" s="213">
        <v>4137.8999999999996</v>
      </c>
      <c r="M84" s="213"/>
      <c r="N84" s="213">
        <v>8275.7999999999993</v>
      </c>
      <c r="O84" s="213"/>
      <c r="P84" s="214">
        <f>SUM(compras_mes6[[#This Row],[NETO GRAVADO]:[Otros / No Grav.]])</f>
        <v>179309.06049999996</v>
      </c>
      <c r="Q84" s="215" t="str">
        <f>IFERROR(IF(compras_mes6[[#This Row],[CUIT]]="","-",VLOOKUP(compras_mes6[[#This Row],[CUIT]],Lista_CUIT[#All],3,0)),"CUIT NO CARGADO")</f>
        <v>Gastos Varios</v>
      </c>
      <c r="R84" s="215">
        <f>IFERROR(IF(compras_mes6[[#This Row],[CUIT]]="","-",VLOOKUP(compras_mes6[[#This Row],[CUIT]],Lista_CUIT[#All],4,0)),"CUIT NO CARGADO")</f>
        <v>0</v>
      </c>
    </row>
    <row r="85" spans="2:18" x14ac:dyDescent="0.25">
      <c r="B85" s="40" t="s">
        <v>2512</v>
      </c>
      <c r="C85" s="41">
        <v>1</v>
      </c>
      <c r="D85" s="42">
        <v>2199</v>
      </c>
      <c r="E85" s="43">
        <v>37642</v>
      </c>
      <c r="F85" s="44">
        <v>30548083156</v>
      </c>
      <c r="G85" s="45" t="str">
        <f>IFERROR(IF(compras_mes6[[#This Row],[CUIT]]="","-",VLOOKUP(compras_mes6[[#This Row],[CUIT]],Lista_CUIT[#All],2,0)),"CUIT NO CARGADO")</f>
        <v>COTO CENTRO INTEGRAL DE COMERCIALIZACION SOCIEDAD ANONIMA</v>
      </c>
      <c r="H85" s="46">
        <v>59275.87</v>
      </c>
      <c r="I85" s="85">
        <v>9494.85</v>
      </c>
      <c r="J85" s="85"/>
      <c r="K85" s="85">
        <v>1476.54</v>
      </c>
      <c r="L85" s="85"/>
      <c r="M85" s="85"/>
      <c r="N85" s="85"/>
      <c r="O85" s="85">
        <v>5008.32</v>
      </c>
      <c r="P85" s="48">
        <f>SUM(compras_mes6[[#This Row],[NETO GRAVADO]:[Otros / No Grav.]])</f>
        <v>75255.579999999987</v>
      </c>
      <c r="Q85" s="49" t="str">
        <f>IFERROR(IF(compras_mes6[[#This Row],[CUIT]]="","-",VLOOKUP(compras_mes6[[#This Row],[CUIT]],Lista_CUIT[#All],3,0)),"CUIT NO CARGADO")</f>
        <v>Gastos Varios</v>
      </c>
      <c r="R85" s="49">
        <f>IFERROR(IF(compras_mes6[[#This Row],[CUIT]]="","-",VLOOKUP(compras_mes6[[#This Row],[CUIT]],Lista_CUIT[#All],4,0)),"CUIT NO CARGADO")</f>
        <v>0</v>
      </c>
    </row>
    <row r="86" spans="2:18" x14ac:dyDescent="0.25">
      <c r="B86" s="207" t="s">
        <v>2512</v>
      </c>
      <c r="C86" s="41">
        <v>1</v>
      </c>
      <c r="D86" s="209">
        <v>2084</v>
      </c>
      <c r="E86" s="225">
        <v>30112</v>
      </c>
      <c r="F86" s="210">
        <v>30548083156</v>
      </c>
      <c r="G86" s="211" t="str">
        <f>IFERROR(IF(compras_mes6[[#This Row],[CUIT]]="","-",VLOOKUP(compras_mes6[[#This Row],[CUIT]],Lista_CUIT[#All],2,0)),"CUIT NO CARGADO")</f>
        <v>COTO CENTRO INTEGRAL DE COMERCIALIZACION SOCIEDAD ANONIMA</v>
      </c>
      <c r="H86" s="212">
        <v>72252.02</v>
      </c>
      <c r="I86" s="213">
        <v>7727.94</v>
      </c>
      <c r="J86" s="213"/>
      <c r="K86" s="213">
        <v>3722.49</v>
      </c>
      <c r="L86" s="213"/>
      <c r="M86" s="213"/>
      <c r="N86" s="213"/>
      <c r="O86" s="213">
        <v>4173.0600000000004</v>
      </c>
      <c r="P86" s="214">
        <f>SUM(compras_mes6[[#This Row],[NETO GRAVADO]:[Otros / No Grav.]])</f>
        <v>87875.510000000009</v>
      </c>
      <c r="Q86" s="215" t="str">
        <f>IFERROR(IF(compras_mes6[[#This Row],[CUIT]]="","-",VLOOKUP(compras_mes6[[#This Row],[CUIT]],Lista_CUIT[#All],3,0)),"CUIT NO CARGADO")</f>
        <v>Gastos Varios</v>
      </c>
      <c r="R86" s="215">
        <f>IFERROR(IF(compras_mes6[[#This Row],[CUIT]]="","-",VLOOKUP(compras_mes6[[#This Row],[CUIT]],Lista_CUIT[#All],4,0)),"CUIT NO CARGADO")</f>
        <v>0</v>
      </c>
    </row>
    <row r="87" spans="2:18" x14ac:dyDescent="0.25">
      <c r="B87" s="207" t="s">
        <v>2512</v>
      </c>
      <c r="C87" s="41">
        <v>1</v>
      </c>
      <c r="D87" s="209">
        <v>22</v>
      </c>
      <c r="E87" s="225">
        <v>3169303</v>
      </c>
      <c r="F87" s="210">
        <v>30703088534</v>
      </c>
      <c r="G87" s="211" t="str">
        <f>IFERROR(IF(compras_mes6[[#This Row],[CUIT]]="","-",VLOOKUP(compras_mes6[[#This Row],[CUIT]],Lista_CUIT[#All],2,0)),"CUIT NO CARGADO")</f>
        <v>MERCADO LIBRE SRL</v>
      </c>
      <c r="H87" s="212">
        <v>1755248.07</v>
      </c>
      <c r="I87" s="213">
        <f>IF(compras_mes6[[#This Row],[NETO GRAVADO]]="","",compras_mes6[[#This Row],[NETO GRAVADO]]*0.21)</f>
        <v>368602.09470000002</v>
      </c>
      <c r="J87" s="213"/>
      <c r="K87" s="213"/>
      <c r="L87" s="213"/>
      <c r="M87" s="213"/>
      <c r="N87" s="213"/>
      <c r="O87" s="213">
        <v>175524.83</v>
      </c>
      <c r="P87" s="214">
        <f>SUM(compras_mes6[[#This Row],[NETO GRAVADO]:[Otros / No Grav.]])</f>
        <v>2299374.9947000002</v>
      </c>
      <c r="Q87" s="215" t="str">
        <f>IFERROR(IF(compras_mes6[[#This Row],[CUIT]]="","-",VLOOKUP(compras_mes6[[#This Row],[CUIT]],Lista_CUIT[#All],3,0)),"CUIT NO CARGADO")</f>
        <v>Gastos Varios</v>
      </c>
      <c r="R87" s="215" t="str">
        <f>IFERROR(IF(compras_mes6[[#This Row],[CUIT]]="","-",VLOOKUP(compras_mes6[[#This Row],[CUIT]],Lista_CUIT[#All],4,0)),"CUIT NO CARGADO")</f>
        <v>CABA</v>
      </c>
    </row>
    <row r="88" spans="2:18" x14ac:dyDescent="0.25">
      <c r="B88" s="207" t="s">
        <v>2504</v>
      </c>
      <c r="C88" s="41">
        <v>1</v>
      </c>
      <c r="D88" s="209">
        <v>15</v>
      </c>
      <c r="E88" s="225">
        <v>36733</v>
      </c>
      <c r="F88" s="210">
        <v>30714120405</v>
      </c>
      <c r="G88" s="211" t="str">
        <f>IFERROR(IF(compras_mes6[[#This Row],[CUIT]]="","-",VLOOKUP(compras_mes6[[#This Row],[CUIT]],Lista_CUIT[#All],2,0)),"CUIT NO CARGADO")</f>
        <v>WITPEL S.R.L.</v>
      </c>
      <c r="H88" s="212">
        <v>51652.89</v>
      </c>
      <c r="I88" s="213">
        <f>IF(compras_mes6[[#This Row],[NETO GRAVADO]]="","",compras_mes6[[#This Row],[NETO GRAVADO]]*0.21)</f>
        <v>10847.106899999999</v>
      </c>
      <c r="J88" s="213"/>
      <c r="K88" s="213"/>
      <c r="L88" s="213"/>
      <c r="M88" s="213"/>
      <c r="N88" s="213"/>
      <c r="O88" s="213"/>
      <c r="P88" s="214">
        <f>SUM(compras_mes6[[#This Row],[NETO GRAVADO]:[Otros / No Grav.]])</f>
        <v>62499.996899999998</v>
      </c>
      <c r="Q88" s="215" t="str">
        <f>IFERROR(IF(compras_mes6[[#This Row],[CUIT]]="","-",VLOOKUP(compras_mes6[[#This Row],[CUIT]],Lista_CUIT[#All],3,0)),"CUIT NO CARGADO")</f>
        <v>LIBRERÍA</v>
      </c>
      <c r="R88" s="215">
        <f>IFERROR(IF(compras_mes6[[#This Row],[CUIT]]="","-",VLOOKUP(compras_mes6[[#This Row],[CUIT]],Lista_CUIT[#All],4,0)),"CUIT NO CARGADO")</f>
        <v>0</v>
      </c>
    </row>
    <row r="89" spans="2:18" x14ac:dyDescent="0.25">
      <c r="B89" s="207" t="s">
        <v>2504</v>
      </c>
      <c r="C89" s="41">
        <v>1</v>
      </c>
      <c r="D89" s="209">
        <v>15</v>
      </c>
      <c r="E89" s="225">
        <v>36734</v>
      </c>
      <c r="F89" s="210">
        <v>30714120405</v>
      </c>
      <c r="G89" s="211" t="str">
        <f>IFERROR(IF(compras_mes6[[#This Row],[CUIT]]="","-",VLOOKUP(compras_mes6[[#This Row],[CUIT]],Lista_CUIT[#All],2,0)),"CUIT NO CARGADO")</f>
        <v>WITPEL S.R.L.</v>
      </c>
      <c r="H89" s="212">
        <v>51652.89</v>
      </c>
      <c r="I89" s="213">
        <f>IF(compras_mes6[[#This Row],[NETO GRAVADO]]="","",compras_mes6[[#This Row],[NETO GRAVADO]]*0.21)</f>
        <v>10847.106899999999</v>
      </c>
      <c r="J89" s="213"/>
      <c r="K89" s="213"/>
      <c r="L89" s="213"/>
      <c r="M89" s="213"/>
      <c r="N89" s="213"/>
      <c r="O89" s="213"/>
      <c r="P89" s="214">
        <f>SUM(compras_mes6[[#This Row],[NETO GRAVADO]:[Otros / No Grav.]])</f>
        <v>62499.996899999998</v>
      </c>
      <c r="Q89" s="215" t="str">
        <f>IFERROR(IF(compras_mes6[[#This Row],[CUIT]]="","-",VLOOKUP(compras_mes6[[#This Row],[CUIT]],Lista_CUIT[#All],3,0)),"CUIT NO CARGADO")</f>
        <v>LIBRERÍA</v>
      </c>
      <c r="R89" s="215">
        <f>IFERROR(IF(compras_mes6[[#This Row],[CUIT]]="","-",VLOOKUP(compras_mes6[[#This Row],[CUIT]],Lista_CUIT[#All],4,0)),"CUIT NO CARGADO")</f>
        <v>0</v>
      </c>
    </row>
    <row r="90" spans="2:18" x14ac:dyDescent="0.25">
      <c r="B90" s="494" t="s">
        <v>2506</v>
      </c>
      <c r="C90" s="495">
        <v>1</v>
      </c>
      <c r="D90" s="496">
        <v>4</v>
      </c>
      <c r="E90" s="493">
        <v>11227</v>
      </c>
      <c r="F90" s="497">
        <v>30694547903</v>
      </c>
      <c r="G90" s="498" t="str">
        <f>IFERROR(IF(compras_mes6[[#This Row],[CUIT]]="","-",VLOOKUP(compras_mes6[[#This Row],[CUIT]],Lista_CUIT[#All],2,0)),"CUIT NO CARGADO")</f>
        <v>MULTICAJAS S A</v>
      </c>
      <c r="H90" s="499">
        <v>2528620</v>
      </c>
      <c r="I90" s="500">
        <f>IF(compras_mes6[[#This Row],[NETO GRAVADO]]="","",compras_mes6[[#This Row],[NETO GRAVADO]]*0.21)</f>
        <v>531010.19999999995</v>
      </c>
      <c r="J90" s="500"/>
      <c r="K90" s="500"/>
      <c r="L90" s="500"/>
      <c r="M90" s="500"/>
      <c r="N90" s="500"/>
      <c r="O90" s="500"/>
      <c r="P90" s="501">
        <f>SUM(compras_mes6[[#This Row],[NETO GRAVADO]:[Otros / No Grav.]])</f>
        <v>3059630.2</v>
      </c>
      <c r="Q90" s="502" t="str">
        <f>IFERROR(IF(compras_mes6[[#This Row],[CUIT]]="","-",VLOOKUP(compras_mes6[[#This Row],[CUIT]],Lista_CUIT[#All],3,0)),"CUIT NO CARGADO")</f>
        <v>LIBRERÍA</v>
      </c>
      <c r="R90" s="502">
        <f>IFERROR(IF(compras_mes6[[#This Row],[CUIT]]="","-",VLOOKUP(compras_mes6[[#This Row],[CUIT]],Lista_CUIT[#All],4,0)),"CUIT NO CARGADO")</f>
        <v>0</v>
      </c>
    </row>
    <row r="91" spans="2:18" x14ac:dyDescent="0.25">
      <c r="B91" s="207" t="s">
        <v>2509</v>
      </c>
      <c r="C91" s="41">
        <v>1</v>
      </c>
      <c r="D91" s="209">
        <v>4</v>
      </c>
      <c r="E91" s="225">
        <v>11239</v>
      </c>
      <c r="F91" s="210">
        <v>30694547903</v>
      </c>
      <c r="G91" s="211" t="str">
        <f>IFERROR(IF(compras_mes6[[#This Row],[CUIT]]="","-",VLOOKUP(compras_mes6[[#This Row],[CUIT]],Lista_CUIT[#All],2,0)),"CUIT NO CARGADO")</f>
        <v>MULTICAJAS S A</v>
      </c>
      <c r="H91" s="212">
        <v>2583684</v>
      </c>
      <c r="I91" s="213">
        <f>IF(compras_mes6[[#This Row],[NETO GRAVADO]]="","",compras_mes6[[#This Row],[NETO GRAVADO]]*0.21)</f>
        <v>542573.64</v>
      </c>
      <c r="J91" s="213"/>
      <c r="K91" s="213"/>
      <c r="L91" s="213"/>
      <c r="M91" s="213"/>
      <c r="N91" s="213"/>
      <c r="O91" s="213"/>
      <c r="P91" s="214">
        <f>SUM(compras_mes6[[#This Row],[NETO GRAVADO]:[Otros / No Grav.]])</f>
        <v>3126257.64</v>
      </c>
      <c r="Q91" s="215" t="str">
        <f>IFERROR(IF(compras_mes6[[#This Row],[CUIT]]="","-",VLOOKUP(compras_mes6[[#This Row],[CUIT]],Lista_CUIT[#All],3,0)),"CUIT NO CARGADO")</f>
        <v>LIBRERÍA</v>
      </c>
      <c r="R91" s="215">
        <f>IFERROR(IF(compras_mes6[[#This Row],[CUIT]]="","-",VLOOKUP(compras_mes6[[#This Row],[CUIT]],Lista_CUIT[#All],4,0)),"CUIT NO CARGADO")</f>
        <v>0</v>
      </c>
    </row>
    <row r="92" spans="2:18" x14ac:dyDescent="0.25">
      <c r="B92" s="207" t="s">
        <v>2513</v>
      </c>
      <c r="C92" s="41">
        <v>1</v>
      </c>
      <c r="D92" s="209">
        <v>4</v>
      </c>
      <c r="E92" s="225">
        <v>7136</v>
      </c>
      <c r="F92" s="210">
        <v>30718201760</v>
      </c>
      <c r="G92" s="211" t="str">
        <f>IFERROR(IF(compras_mes6[[#This Row],[CUIT]]="","-",VLOOKUP(compras_mes6[[#This Row],[CUIT]],Lista_CUIT[#All],2,0)),"CUIT NO CARGADO")</f>
        <v>JM FACTIRY S.R.L.</v>
      </c>
      <c r="H92" s="212">
        <v>37817.68</v>
      </c>
      <c r="I92" s="213">
        <f>IF(compras_mes6[[#This Row],[NETO GRAVADO]]="","",compras_mes6[[#This Row],[NETO GRAVADO]]*0.21)</f>
        <v>7941.7127999999993</v>
      </c>
      <c r="J92" s="213"/>
      <c r="K92" s="213"/>
      <c r="L92" s="213"/>
      <c r="M92" s="213"/>
      <c r="N92" s="213"/>
      <c r="O92" s="213"/>
      <c r="P92" s="214">
        <f>SUM(compras_mes6[[#This Row],[NETO GRAVADO]:[Otros / No Grav.]])</f>
        <v>45759.392800000001</v>
      </c>
      <c r="Q92" s="215" t="str">
        <f>IFERROR(IF(compras_mes6[[#This Row],[CUIT]]="","-",VLOOKUP(compras_mes6[[#This Row],[CUIT]],Lista_CUIT[#All],3,0)),"CUIT NO CARGADO")</f>
        <v>LIBRERÍA</v>
      </c>
      <c r="R92" s="215">
        <f>IFERROR(IF(compras_mes6[[#This Row],[CUIT]]="","-",VLOOKUP(compras_mes6[[#This Row],[CUIT]],Lista_CUIT[#All],4,0)),"CUIT NO CARGADO")</f>
        <v>0</v>
      </c>
    </row>
    <row r="93" spans="2:18" x14ac:dyDescent="0.25">
      <c r="B93" s="40" t="s">
        <v>2513</v>
      </c>
      <c r="C93" s="41">
        <v>1</v>
      </c>
      <c r="D93" s="42">
        <v>4</v>
      </c>
      <c r="E93" s="43">
        <v>7137</v>
      </c>
      <c r="F93" s="44">
        <v>30718201760</v>
      </c>
      <c r="G93" s="45" t="str">
        <f>IFERROR(IF(compras_mes6[[#This Row],[CUIT]]="","-",VLOOKUP(compras_mes6[[#This Row],[CUIT]],Lista_CUIT[#All],2,0)),"CUIT NO CARGADO")</f>
        <v>JM FACTIRY S.R.L.</v>
      </c>
      <c r="H93" s="46">
        <v>40126</v>
      </c>
      <c r="I93" s="85">
        <f>IF(compras_mes6[[#This Row],[NETO GRAVADO]]="","",compras_mes6[[#This Row],[NETO GRAVADO]]*0.21)</f>
        <v>8426.4599999999991</v>
      </c>
      <c r="J93" s="85"/>
      <c r="K93" s="85"/>
      <c r="L93" s="85"/>
      <c r="M93" s="85"/>
      <c r="N93" s="85"/>
      <c r="O93" s="85"/>
      <c r="P93" s="48">
        <f>SUM(compras_mes6[[#This Row],[NETO GRAVADO]:[Otros / No Grav.]])</f>
        <v>48552.46</v>
      </c>
      <c r="Q93" s="49" t="str">
        <f>IFERROR(IF(compras_mes6[[#This Row],[CUIT]]="","-",VLOOKUP(compras_mes6[[#This Row],[CUIT]],Lista_CUIT[#All],3,0)),"CUIT NO CARGADO")</f>
        <v>LIBRERÍA</v>
      </c>
      <c r="R93" s="49">
        <f>IFERROR(IF(compras_mes6[[#This Row],[CUIT]]="","-",VLOOKUP(compras_mes6[[#This Row],[CUIT]],Lista_CUIT[#All],4,0)),"CUIT NO CARGADO")</f>
        <v>0</v>
      </c>
    </row>
    <row r="94" spans="2:18" x14ac:dyDescent="0.25">
      <c r="B94" s="207" t="s">
        <v>2490</v>
      </c>
      <c r="C94" s="41">
        <v>1</v>
      </c>
      <c r="D94" s="209">
        <v>1</v>
      </c>
      <c r="E94" s="225">
        <v>49</v>
      </c>
      <c r="F94" s="210">
        <v>30717504824</v>
      </c>
      <c r="G94" s="211" t="str">
        <f>IFERROR(IF(compras_mes6[[#This Row],[CUIT]]="","-",VLOOKUP(compras_mes6[[#This Row],[CUIT]],Lista_CUIT[#All],2,0)),"CUIT NO CARGADO")</f>
        <v>FIDEICOMISO MAMBA</v>
      </c>
      <c r="H94" s="212">
        <v>3053393.71</v>
      </c>
      <c r="I94" s="85" t="s">
        <v>2411</v>
      </c>
      <c r="J94" s="213"/>
      <c r="K94" s="213">
        <v>320606.34000000003</v>
      </c>
      <c r="L94" s="213"/>
      <c r="M94" s="213"/>
      <c r="N94" s="213"/>
      <c r="O94" s="213"/>
      <c r="P94" s="214">
        <f>SUM(compras_mes6[[#This Row],[NETO GRAVADO]:[Otros / No Grav.]])</f>
        <v>3374000.05</v>
      </c>
      <c r="Q94" s="215" t="str">
        <f>IFERROR(IF(compras_mes6[[#This Row],[CUIT]]="","-",VLOOKUP(compras_mes6[[#This Row],[CUIT]],Lista_CUIT[#All],3,0)),"CUIT NO CARGADO")</f>
        <v>MANTENIMIENTO</v>
      </c>
      <c r="R94" s="215">
        <f>IFERROR(IF(compras_mes6[[#This Row],[CUIT]]="","-",VLOOKUP(compras_mes6[[#This Row],[CUIT]],Lista_CUIT[#All],4,0)),"CUIT NO CARGADO")</f>
        <v>0</v>
      </c>
    </row>
    <row r="95" spans="2:18" x14ac:dyDescent="0.25">
      <c r="B95" s="207">
        <v>45814</v>
      </c>
      <c r="C95" s="41">
        <v>1</v>
      </c>
      <c r="D95" s="209">
        <v>32</v>
      </c>
      <c r="E95" s="225">
        <v>3179</v>
      </c>
      <c r="F95" s="210">
        <v>30696106068</v>
      </c>
      <c r="G95" s="211" t="str">
        <f>IFERROR(IF(compras_mes6[[#This Row],[CUIT]]="","-",VLOOKUP(compras_mes6[[#This Row],[CUIT]],Lista_CUIT[#All],2,0)),"CUIT NO CARGADO")</f>
        <v>PINTURERIAS LIBERATO SRL</v>
      </c>
      <c r="H95" s="212">
        <v>29742.1</v>
      </c>
      <c r="I95" s="213">
        <f>IF(compras_mes6[[#This Row],[NETO GRAVADO]]="","",compras_mes6[[#This Row],[NETO GRAVADO]]*0.21)</f>
        <v>6245.8409999999994</v>
      </c>
      <c r="J95" s="213"/>
      <c r="K95" s="213"/>
      <c r="L95" s="213"/>
      <c r="M95" s="213"/>
      <c r="N95" s="213"/>
      <c r="O95" s="213"/>
      <c r="P95" s="214">
        <f>SUM(compras_mes6[[#This Row],[NETO GRAVADO]:[Otros / No Grav.]])</f>
        <v>35987.940999999999</v>
      </c>
      <c r="Q95" s="215" t="str">
        <f>IFERROR(IF(compras_mes6[[#This Row],[CUIT]]="","-",VLOOKUP(compras_mes6[[#This Row],[CUIT]],Lista_CUIT[#All],3,0)),"CUIT NO CARGADO")</f>
        <v>Mantenimiento Locales</v>
      </c>
      <c r="R95" s="215">
        <f>IFERROR(IF(compras_mes6[[#This Row],[CUIT]]="","-",VLOOKUP(compras_mes6[[#This Row],[CUIT]],Lista_CUIT[#All],4,0)),"CUIT NO CARGADO")</f>
        <v>0</v>
      </c>
    </row>
    <row r="96" spans="2:18" x14ac:dyDescent="0.25">
      <c r="B96" s="207" t="s">
        <v>2489</v>
      </c>
      <c r="C96" s="41">
        <v>1</v>
      </c>
      <c r="D96" s="209">
        <v>14</v>
      </c>
      <c r="E96" s="225">
        <v>8122</v>
      </c>
      <c r="F96" s="210">
        <v>30708456329</v>
      </c>
      <c r="G96" s="211" t="str">
        <f>IFERROR(IF(compras_mes6[[#This Row],[CUIT]]="","-",VLOOKUP(compras_mes6[[#This Row],[CUIT]],Lista_CUIT[#All],2,0)),"CUIT NO CARGADO")</f>
        <v>MOVIL GAS S.A.</v>
      </c>
      <c r="H96" s="212">
        <v>16528.93</v>
      </c>
      <c r="I96" s="213">
        <f>IF(compras_mes6[[#This Row],[NETO GRAVADO]]="","",compras_mes6[[#This Row],[NETO GRAVADO]]*0.21)</f>
        <v>3471.0753</v>
      </c>
      <c r="J96" s="213"/>
      <c r="K96" s="213"/>
      <c r="L96" s="213"/>
      <c r="M96" s="213"/>
      <c r="N96" s="213"/>
      <c r="O96" s="213"/>
      <c r="P96" s="214">
        <f>SUM(compras_mes6[[#This Row],[NETO GRAVADO]:[Otros / No Grav.]])</f>
        <v>20000.005300000001</v>
      </c>
      <c r="Q96" s="215" t="str">
        <f>IFERROR(IF(compras_mes6[[#This Row],[CUIT]]="","-",VLOOKUP(compras_mes6[[#This Row],[CUIT]],Lista_CUIT[#All],3,0)),"CUIT NO CARGADO")</f>
        <v>Mantenimiento Rodado</v>
      </c>
      <c r="R96" s="215">
        <f>IFERROR(IF(compras_mes6[[#This Row],[CUIT]]="","-",VLOOKUP(compras_mes6[[#This Row],[CUIT]],Lista_CUIT[#All],4,0)),"CUIT NO CARGADO")</f>
        <v>0</v>
      </c>
    </row>
    <row r="97" spans="2:18" x14ac:dyDescent="0.25">
      <c r="B97" s="207" t="s">
        <v>2490</v>
      </c>
      <c r="C97" s="41">
        <v>1</v>
      </c>
      <c r="D97" s="209">
        <v>14</v>
      </c>
      <c r="E97" s="225">
        <v>8127</v>
      </c>
      <c r="F97" s="210">
        <v>30708456329</v>
      </c>
      <c r="G97" s="211" t="str">
        <f>IFERROR(IF(compras_mes6[[#This Row],[CUIT]]="","-",VLOOKUP(compras_mes6[[#This Row],[CUIT]],Lista_CUIT[#All],2,0)),"CUIT NO CARGADO")</f>
        <v>MOVIL GAS S.A.</v>
      </c>
      <c r="H97" s="212">
        <v>24793.39</v>
      </c>
      <c r="I97" s="213">
        <f>IF(compras_mes6[[#This Row],[NETO GRAVADO]]="","",compras_mes6[[#This Row],[NETO GRAVADO]]*0.21)</f>
        <v>5206.6118999999999</v>
      </c>
      <c r="J97" s="213"/>
      <c r="K97" s="213"/>
      <c r="L97" s="213"/>
      <c r="M97" s="213"/>
      <c r="N97" s="213"/>
      <c r="O97" s="213"/>
      <c r="P97" s="214">
        <f>SUM(compras_mes6[[#This Row],[NETO GRAVADO]:[Otros / No Grav.]])</f>
        <v>30000.001899999999</v>
      </c>
      <c r="Q97" s="215" t="str">
        <f>IFERROR(IF(compras_mes6[[#This Row],[CUIT]]="","-",VLOOKUP(compras_mes6[[#This Row],[CUIT]],Lista_CUIT[#All],3,0)),"CUIT NO CARGADO")</f>
        <v>Mantenimiento Rodado</v>
      </c>
      <c r="R97" s="215">
        <f>IFERROR(IF(compras_mes6[[#This Row],[CUIT]]="","-",VLOOKUP(compras_mes6[[#This Row],[CUIT]],Lista_CUIT[#All],4,0)),"CUIT NO CARGADO")</f>
        <v>0</v>
      </c>
    </row>
    <row r="98" spans="2:18" x14ac:dyDescent="0.25">
      <c r="B98" s="207" t="s">
        <v>2507</v>
      </c>
      <c r="C98" s="41">
        <v>1</v>
      </c>
      <c r="D98" s="209">
        <v>14</v>
      </c>
      <c r="E98" s="225">
        <v>8165</v>
      </c>
      <c r="F98" s="210">
        <v>30708456329</v>
      </c>
      <c r="G98" s="211" t="str">
        <f>IFERROR(IF(compras_mes6[[#This Row],[CUIT]]="","-",VLOOKUP(compras_mes6[[#This Row],[CUIT]],Lista_CUIT[#All],2,0)),"CUIT NO CARGADO")</f>
        <v>MOVIL GAS S.A.</v>
      </c>
      <c r="H98" s="212">
        <v>24793.39</v>
      </c>
      <c r="I98" s="213">
        <f>IF(compras_mes6[[#This Row],[NETO GRAVADO]]="","",compras_mes6[[#This Row],[NETO GRAVADO]]*0.21)</f>
        <v>5206.6118999999999</v>
      </c>
      <c r="J98" s="213"/>
      <c r="K98" s="213"/>
      <c r="L98" s="213"/>
      <c r="M98" s="213"/>
      <c r="N98" s="213"/>
      <c r="O98" s="213"/>
      <c r="P98" s="214">
        <f>SUM(compras_mes6[[#This Row],[NETO GRAVADO]:[Otros / No Grav.]])</f>
        <v>30000.001899999999</v>
      </c>
      <c r="Q98" s="215" t="str">
        <f>IFERROR(IF(compras_mes6[[#This Row],[CUIT]]="","-",VLOOKUP(compras_mes6[[#This Row],[CUIT]],Lista_CUIT[#All],3,0)),"CUIT NO CARGADO")</f>
        <v>Mantenimiento Rodado</v>
      </c>
      <c r="R98" s="215">
        <f>IFERROR(IF(compras_mes6[[#This Row],[CUIT]]="","-",VLOOKUP(compras_mes6[[#This Row],[CUIT]],Lista_CUIT[#All],4,0)),"CUIT NO CARGADO")</f>
        <v>0</v>
      </c>
    </row>
    <row r="99" spans="2:18" x14ac:dyDescent="0.25">
      <c r="B99" s="207" t="s">
        <v>2504</v>
      </c>
      <c r="C99" s="41">
        <v>1</v>
      </c>
      <c r="D99" s="209">
        <v>11</v>
      </c>
      <c r="E99" s="225">
        <v>87791</v>
      </c>
      <c r="F99" s="210">
        <v>30534051049</v>
      </c>
      <c r="G99" s="211" t="str">
        <f>IFERROR(IF(compras_mes6[[#This Row],[CUIT]]="","-",VLOOKUP(compras_mes6[[#This Row],[CUIT]],Lista_CUIT[#All],2,0)),"CUIT NO CARGADO")</f>
        <v>PLIN METAL S A</v>
      </c>
      <c r="H99" s="212">
        <v>66322.17</v>
      </c>
      <c r="I99" s="213">
        <f>IF(compras_mes6[[#This Row],[NETO GRAVADO]]="","",compras_mes6[[#This Row],[NETO GRAVADO]]*0.21)</f>
        <v>13927.655699999999</v>
      </c>
      <c r="J99" s="213"/>
      <c r="K99" s="213"/>
      <c r="L99" s="213"/>
      <c r="M99" s="213"/>
      <c r="N99" s="213"/>
      <c r="O99" s="213">
        <v>3979.33</v>
      </c>
      <c r="P99" s="214">
        <f>SUM(compras_mes6[[#This Row],[NETO GRAVADO]:[Otros / No Grav.]])</f>
        <v>84229.155700000003</v>
      </c>
      <c r="Q99" s="215" t="str">
        <f>IFERROR(IF(compras_mes6[[#This Row],[CUIT]]="","-",VLOOKUP(compras_mes6[[#This Row],[CUIT]],Lista_CUIT[#All],3,0)),"CUIT NO CARGADO")</f>
        <v>Materia Prima</v>
      </c>
      <c r="R99" s="215">
        <f>IFERROR(IF(compras_mes6[[#This Row],[CUIT]]="","-",VLOOKUP(compras_mes6[[#This Row],[CUIT]],Lista_CUIT[#All],4,0)),"CUIT NO CARGADO")</f>
        <v>0</v>
      </c>
    </row>
    <row r="100" spans="2:18" x14ac:dyDescent="0.25">
      <c r="B100" s="494" t="s">
        <v>2504</v>
      </c>
      <c r="C100" s="495">
        <v>1</v>
      </c>
      <c r="D100" s="496">
        <v>4</v>
      </c>
      <c r="E100" s="493">
        <v>50071</v>
      </c>
      <c r="F100" s="497">
        <v>30709863076</v>
      </c>
      <c r="G100" s="498" t="str">
        <f>IFERROR(IF(compras_mes6[[#This Row],[CUIT]]="","-",VLOOKUP(compras_mes6[[#This Row],[CUIT]],Lista_CUIT[#All],2,0)),"CUIT NO CARGADO")</f>
        <v>INDUSTRIAS PLASTICOS SALTA S.R.L.</v>
      </c>
      <c r="H100" s="499">
        <v>381074.38</v>
      </c>
      <c r="I100" s="500">
        <f>IF(compras_mes6[[#This Row],[NETO GRAVADO]]="","",compras_mes6[[#This Row],[NETO GRAVADO]]*0.21)</f>
        <v>80025.6198</v>
      </c>
      <c r="J100" s="500"/>
      <c r="K100" s="500"/>
      <c r="L100" s="500"/>
      <c r="M100" s="500"/>
      <c r="N100" s="500"/>
      <c r="O100" s="500"/>
      <c r="P100" s="501">
        <f>SUM(compras_mes6[[#This Row],[NETO GRAVADO]:[Otros / No Grav.]])</f>
        <v>461099.99979999999</v>
      </c>
      <c r="Q100" s="502" t="str">
        <f>IFERROR(IF(compras_mes6[[#This Row],[CUIT]]="","-",VLOOKUP(compras_mes6[[#This Row],[CUIT]],Lista_CUIT[#All],3,0)),"CUIT NO CARGADO")</f>
        <v>Materia Prima</v>
      </c>
      <c r="R100" s="502">
        <f>IFERROR(IF(compras_mes6[[#This Row],[CUIT]]="","-",VLOOKUP(compras_mes6[[#This Row],[CUIT]],Lista_CUIT[#All],4,0)),"CUIT NO CARGADO")</f>
        <v>0</v>
      </c>
    </row>
    <row r="101" spans="2:18" x14ac:dyDescent="0.25">
      <c r="B101" s="494" t="s">
        <v>2507</v>
      </c>
      <c r="C101" s="495">
        <v>1</v>
      </c>
      <c r="D101" s="496">
        <v>2</v>
      </c>
      <c r="E101" s="493">
        <v>896</v>
      </c>
      <c r="F101" s="497">
        <v>20103069832</v>
      </c>
      <c r="G101" s="498" t="str">
        <f>IFERROR(IF(compras_mes6[[#This Row],[CUIT]]="","-",VLOOKUP(compras_mes6[[#This Row],[CUIT]],Lista_CUIT[#All],2,0)),"CUIT NO CARGADO")</f>
        <v>DE LUCA HECTOR RAFAEL FRANCI</v>
      </c>
      <c r="H101" s="499">
        <v>2292320</v>
      </c>
      <c r="I101" s="500">
        <f>IF(compras_mes6[[#This Row],[NETO GRAVADO]]="","",compras_mes6[[#This Row],[NETO GRAVADO]]*0.21)</f>
        <v>481387.19999999995</v>
      </c>
      <c r="J101" s="500"/>
      <c r="K101" s="500"/>
      <c r="L101" s="500"/>
      <c r="M101" s="500"/>
      <c r="N101" s="500"/>
      <c r="O101" s="500"/>
      <c r="P101" s="501">
        <f>SUM(compras_mes6[[#This Row],[NETO GRAVADO]:[Otros / No Grav.]])</f>
        <v>2773707.2</v>
      </c>
      <c r="Q101" s="502" t="str">
        <f>IFERROR(IF(compras_mes6[[#This Row],[CUIT]]="","-",VLOOKUP(compras_mes6[[#This Row],[CUIT]],Lista_CUIT[#All],3,0)),"CUIT NO CARGADO")</f>
        <v>Material de Empaque</v>
      </c>
      <c r="R101" s="502">
        <f>IFERROR(IF(compras_mes6[[#This Row],[CUIT]]="","-",VLOOKUP(compras_mes6[[#This Row],[CUIT]],Lista_CUIT[#All],4,0)),"CUIT NO CARGADO")</f>
        <v>0</v>
      </c>
    </row>
    <row r="102" spans="2:18" x14ac:dyDescent="0.25">
      <c r="B102" s="494" t="s">
        <v>2508</v>
      </c>
      <c r="C102" s="495">
        <v>1</v>
      </c>
      <c r="D102" s="496">
        <v>4</v>
      </c>
      <c r="E102" s="493">
        <v>47556</v>
      </c>
      <c r="F102" s="497">
        <v>30585948817</v>
      </c>
      <c r="G102" s="498" t="str">
        <f>IFERROR(IF(compras_mes6[[#This Row],[CUIT]]="","-",VLOOKUP(compras_mes6[[#This Row],[CUIT]],Lista_CUIT[#All],2,0)),"CUIT NO CARGADO")</f>
        <v xml:space="preserve">GLASCAR </v>
      </c>
      <c r="H102" s="499">
        <v>798021</v>
      </c>
      <c r="I102" s="500">
        <f>IF(compras_mes6[[#This Row],[NETO GRAVADO]]="","",compras_mes6[[#This Row],[NETO GRAVADO]]*0.21)</f>
        <v>167584.41</v>
      </c>
      <c r="J102" s="500"/>
      <c r="K102" s="500"/>
      <c r="L102" s="500"/>
      <c r="M102" s="500">
        <v>47881.26</v>
      </c>
      <c r="N102" s="500"/>
      <c r="O102" s="503"/>
      <c r="P102" s="501">
        <f>SUM(compras_mes6[[#This Row],[NETO GRAVADO]:[Otros / No Grav.]])</f>
        <v>1013486.67</v>
      </c>
      <c r="Q102" s="502" t="str">
        <f>IFERROR(IF(compras_mes6[[#This Row],[CUIT]]="","-",VLOOKUP(compras_mes6[[#This Row],[CUIT]],Lista_CUIT[#All],3,0)),"CUIT NO CARGADO")</f>
        <v>Material de Empaque</v>
      </c>
      <c r="R102" s="502">
        <f>IFERROR(IF(compras_mes6[[#This Row],[CUIT]]="","-",VLOOKUP(compras_mes6[[#This Row],[CUIT]],Lista_CUIT[#All],4,0)),"CUIT NO CARGADO")</f>
        <v>0</v>
      </c>
    </row>
    <row r="103" spans="2:18" x14ac:dyDescent="0.25">
      <c r="B103" s="40" t="s">
        <v>2494</v>
      </c>
      <c r="C103" s="41">
        <v>1</v>
      </c>
      <c r="D103" s="42">
        <v>3034</v>
      </c>
      <c r="E103" s="43">
        <v>8629166</v>
      </c>
      <c r="F103" s="44">
        <v>30708574836</v>
      </c>
      <c r="G103" s="45" t="str">
        <f>IFERROR(IF(compras_mes6[[#This Row],[CUIT]]="","-",VLOOKUP(compras_mes6[[#This Row],[CUIT]],Lista_CUIT[#All],2,0)),"CUIT NO CARGADO")</f>
        <v>CORREO OFICIAL DE LA REPUBLICA ARGENTINA SOCIEDAD ANONIMA</v>
      </c>
      <c r="H103" s="46">
        <v>6699.17</v>
      </c>
      <c r="I103" s="85">
        <f>IF(compras_mes6[[#This Row],[NETO GRAVADO]]="","",compras_mes6[[#This Row],[NETO GRAVADO]]*0.21)</f>
        <v>1406.8256999999999</v>
      </c>
      <c r="J103" s="85"/>
      <c r="K103" s="85"/>
      <c r="L103" s="85"/>
      <c r="M103" s="85"/>
      <c r="N103" s="85"/>
      <c r="O103" s="85"/>
      <c r="P103" s="48">
        <f>SUM(compras_mes6[[#This Row],[NETO GRAVADO]:[Otros / No Grav.]])</f>
        <v>8105.9956999999995</v>
      </c>
      <c r="Q103" s="49" t="str">
        <f>IFERROR(IF(compras_mes6[[#This Row],[CUIT]]="","-",VLOOKUP(compras_mes6[[#This Row],[CUIT]],Lista_CUIT[#All],3,0)),"CUIT NO CARGADO")</f>
        <v>MESAJERIA</v>
      </c>
      <c r="R103" s="49">
        <f>IFERROR(IF(compras_mes6[[#This Row],[CUIT]]="","-",VLOOKUP(compras_mes6[[#This Row],[CUIT]],Lista_CUIT[#All],4,0)),"CUIT NO CARGADO")</f>
        <v>0</v>
      </c>
    </row>
    <row r="104" spans="2:18" x14ac:dyDescent="0.25">
      <c r="B104" s="207" t="s">
        <v>2502</v>
      </c>
      <c r="C104" s="41">
        <v>1</v>
      </c>
      <c r="D104" s="209">
        <v>3034</v>
      </c>
      <c r="E104" s="225">
        <v>8682330</v>
      </c>
      <c r="F104" s="210">
        <v>30708574836</v>
      </c>
      <c r="G104" s="211" t="str">
        <f>IFERROR(IF(compras_mes6[[#This Row],[CUIT]]="","-",VLOOKUP(compras_mes6[[#This Row],[CUIT]],Lista_CUIT[#All],2,0)),"CUIT NO CARGADO")</f>
        <v>CORREO OFICIAL DE LA REPUBLICA ARGENTINA SOCIEDAD ANONIMA</v>
      </c>
      <c r="H104" s="212">
        <v>7738.84</v>
      </c>
      <c r="I104" s="213">
        <f>IF(compras_mes6[[#This Row],[NETO GRAVADO]]="","",compras_mes6[[#This Row],[NETO GRAVADO]]*0.21)</f>
        <v>1625.1564000000001</v>
      </c>
      <c r="J104" s="213"/>
      <c r="K104" s="213"/>
      <c r="L104" s="213"/>
      <c r="M104" s="213"/>
      <c r="N104" s="213"/>
      <c r="O104" s="213"/>
      <c r="P104" s="214">
        <f>SUM(compras_mes6[[#This Row],[NETO GRAVADO]:[Otros / No Grav.]])</f>
        <v>9363.9964</v>
      </c>
      <c r="Q104" s="215" t="str">
        <f>IFERROR(IF(compras_mes6[[#This Row],[CUIT]]="","-",VLOOKUP(compras_mes6[[#This Row],[CUIT]],Lista_CUIT[#All],3,0)),"CUIT NO CARGADO")</f>
        <v>MESAJERIA</v>
      </c>
      <c r="R104" s="215">
        <f>IFERROR(IF(compras_mes6[[#This Row],[CUIT]]="","-",VLOOKUP(compras_mes6[[#This Row],[CUIT]],Lista_CUIT[#All],4,0)),"CUIT NO CARGADO")</f>
        <v>0</v>
      </c>
    </row>
    <row r="105" spans="2:18" x14ac:dyDescent="0.25">
      <c r="B105" s="207" t="s">
        <v>2486</v>
      </c>
      <c r="C105" s="41">
        <v>1</v>
      </c>
      <c r="D105" s="209">
        <v>629</v>
      </c>
      <c r="E105" s="225">
        <v>6156488</v>
      </c>
      <c r="F105" s="210">
        <v>30663498513</v>
      </c>
      <c r="G105" s="211" t="str">
        <f>IFERROR(IF(compras_mes6[[#This Row],[CUIT]]="","-",VLOOKUP(compras_mes6[[#This Row],[CUIT]],Lista_CUIT[#All],2,0)),"CUIT NO CARGADO")</f>
        <v>GRUPO CONCES. DEL OESTE SA</v>
      </c>
      <c r="H105" s="212">
        <v>35706.269999999997</v>
      </c>
      <c r="I105" s="213">
        <f>IF(compras_mes6[[#This Row],[NETO GRAVADO]]="","",compras_mes6[[#This Row],[NETO GRAVADO]]*0.21)</f>
        <v>7498.3166999999994</v>
      </c>
      <c r="J105" s="213"/>
      <c r="K105" s="213"/>
      <c r="L105" s="213"/>
      <c r="M105" s="213"/>
      <c r="N105" s="213"/>
      <c r="O105" s="213"/>
      <c r="P105" s="214">
        <f>SUM(compras_mes6[[#This Row],[NETO GRAVADO]:[Otros / No Grav.]])</f>
        <v>43204.5867</v>
      </c>
      <c r="Q105" s="215" t="str">
        <f>IFERROR(IF(compras_mes6[[#This Row],[CUIT]]="","-",VLOOKUP(compras_mes6[[#This Row],[CUIT]],Lista_CUIT[#All],3,0)),"CUIT NO CARGADO")</f>
        <v>Peajes</v>
      </c>
      <c r="R105" s="215">
        <f>IFERROR(IF(compras_mes6[[#This Row],[CUIT]]="","-",VLOOKUP(compras_mes6[[#This Row],[CUIT]],Lista_CUIT[#All],4,0)),"CUIT NO CARGADO")</f>
        <v>0</v>
      </c>
    </row>
    <row r="106" spans="2:18" x14ac:dyDescent="0.25">
      <c r="B106" s="207" t="s">
        <v>2486</v>
      </c>
      <c r="C106" s="41">
        <v>1</v>
      </c>
      <c r="D106" s="209">
        <v>711</v>
      </c>
      <c r="E106" s="225">
        <v>7183136</v>
      </c>
      <c r="F106" s="210">
        <v>30677237119</v>
      </c>
      <c r="G106" s="211" t="str">
        <f>IFERROR(IF(compras_mes6[[#This Row],[CUIT]]="","-",VLOOKUP(compras_mes6[[#This Row],[CUIT]],Lista_CUIT[#All],2,0)),"CUIT NO CARGADO")</f>
        <v>AUTOPISTAS DEL SOL S A</v>
      </c>
      <c r="H106" s="212">
        <v>16293.03</v>
      </c>
      <c r="I106" s="213">
        <f>IF(compras_mes6[[#This Row],[NETO GRAVADO]]="","",compras_mes6[[#This Row],[NETO GRAVADO]]*0.21)</f>
        <v>3421.5363000000002</v>
      </c>
      <c r="J106" s="213"/>
      <c r="K106" s="213"/>
      <c r="L106" s="213">
        <v>488.79</v>
      </c>
      <c r="M106" s="213"/>
      <c r="N106" s="213"/>
      <c r="O106" s="213">
        <v>488.79</v>
      </c>
      <c r="P106" s="214">
        <f>SUM(compras_mes6[[#This Row],[NETO GRAVADO]:[Otros / No Grav.]])</f>
        <v>20692.146300000004</v>
      </c>
      <c r="Q106" s="215" t="str">
        <f>IFERROR(IF(compras_mes6[[#This Row],[CUIT]]="","-",VLOOKUP(compras_mes6[[#This Row],[CUIT]],Lista_CUIT[#All],3,0)),"CUIT NO CARGADO")</f>
        <v>Peajes</v>
      </c>
      <c r="R106" s="215">
        <f>IFERROR(IF(compras_mes6[[#This Row],[CUIT]]="","-",VLOOKUP(compras_mes6[[#This Row],[CUIT]],Lista_CUIT[#All],4,0)),"CUIT NO CARGADO")</f>
        <v>0</v>
      </c>
    </row>
    <row r="107" spans="2:18" x14ac:dyDescent="0.25">
      <c r="B107" s="207" t="s">
        <v>2491</v>
      </c>
      <c r="C107" s="41">
        <v>1</v>
      </c>
      <c r="D107" s="209">
        <v>700</v>
      </c>
      <c r="E107" s="225">
        <v>2503705</v>
      </c>
      <c r="F107" s="210">
        <v>30715804812</v>
      </c>
      <c r="G107" s="211" t="str">
        <f>IFERROR(IF(compras_mes6[[#This Row],[CUIT]]="","-",VLOOKUP(compras_mes6[[#This Row],[CUIT]],Lista_CUIT[#All],2,0)),"CUIT NO CARGADO")</f>
        <v>CORREDORES VIALES SOCIEDAD ANONIMA</v>
      </c>
      <c r="H107" s="212">
        <v>2911.95</v>
      </c>
      <c r="I107" s="213">
        <f>IF(compras_mes6[[#This Row],[NETO GRAVADO]]="","",compras_mes6[[#This Row],[NETO GRAVADO]]*0.21)</f>
        <v>611.50949999999989</v>
      </c>
      <c r="J107" s="213"/>
      <c r="K107" s="213"/>
      <c r="L107" s="213"/>
      <c r="M107" s="213"/>
      <c r="N107" s="213"/>
      <c r="O107" s="213"/>
      <c r="P107" s="214">
        <f>SUM(compras_mes6[[#This Row],[NETO GRAVADO]:[Otros / No Grav.]])</f>
        <v>3523.4594999999999</v>
      </c>
      <c r="Q107" s="215" t="str">
        <f>IFERROR(IF(compras_mes6[[#This Row],[CUIT]]="","-",VLOOKUP(compras_mes6[[#This Row],[CUIT]],Lista_CUIT[#All],3,0)),"CUIT NO CARGADO")</f>
        <v>Peajes</v>
      </c>
      <c r="R107" s="215">
        <f>IFERROR(IF(compras_mes6[[#This Row],[CUIT]]="","-",VLOOKUP(compras_mes6[[#This Row],[CUIT]],Lista_CUIT[#All],4,0)),"CUIT NO CARGADO")</f>
        <v>0</v>
      </c>
    </row>
    <row r="108" spans="2:18" x14ac:dyDescent="0.25">
      <c r="B108" s="207" t="s">
        <v>2493</v>
      </c>
      <c r="C108" s="41">
        <v>1</v>
      </c>
      <c r="D108" s="209">
        <v>5015</v>
      </c>
      <c r="E108" s="225">
        <v>879872</v>
      </c>
      <c r="F108" s="210">
        <v>30574876474</v>
      </c>
      <c r="G108" s="211" t="str">
        <f>IFERROR(IF(compras_mes6[[#This Row],[CUIT]]="","-",VLOOKUP(compras_mes6[[#This Row],[CUIT]],Lista_CUIT[#All],2,0)),"CUIT NO CARGADO")</f>
        <v>AUTOPISTAS URBANAS S A</v>
      </c>
      <c r="H108" s="212">
        <v>136379.01</v>
      </c>
      <c r="I108" s="213">
        <f>IF(compras_mes6[[#This Row],[NETO GRAVADO]]="","",compras_mes6[[#This Row],[NETO GRAVADO]]*0.21)</f>
        <v>28639.592100000002</v>
      </c>
      <c r="J108" s="213"/>
      <c r="K108" s="213"/>
      <c r="L108" s="213"/>
      <c r="M108" s="213"/>
      <c r="N108" s="213"/>
      <c r="O108" s="213">
        <v>17729.240000000002</v>
      </c>
      <c r="P108" s="214">
        <f>SUM(compras_mes6[[#This Row],[NETO GRAVADO]:[Otros / No Grav.]])</f>
        <v>182747.84210000001</v>
      </c>
      <c r="Q108" s="215" t="str">
        <f>IFERROR(IF(compras_mes6[[#This Row],[CUIT]]="","-",VLOOKUP(compras_mes6[[#This Row],[CUIT]],Lista_CUIT[#All],3,0)),"CUIT NO CARGADO")</f>
        <v>Peajes</v>
      </c>
      <c r="R108" s="215">
        <f>IFERROR(IF(compras_mes6[[#This Row],[CUIT]]="","-",VLOOKUP(compras_mes6[[#This Row],[CUIT]],Lista_CUIT[#All],4,0)),"CUIT NO CARGADO")</f>
        <v>0</v>
      </c>
    </row>
    <row r="109" spans="2:18" x14ac:dyDescent="0.25">
      <c r="B109" s="207" t="s">
        <v>2500</v>
      </c>
      <c r="C109" s="41">
        <v>1</v>
      </c>
      <c r="D109" s="209">
        <v>50</v>
      </c>
      <c r="E109" s="225">
        <v>4409243</v>
      </c>
      <c r="F109" s="210">
        <v>30714112836</v>
      </c>
      <c r="G109" s="211" t="str">
        <f>IFERROR(IF(compras_mes6[[#This Row],[CUIT]]="","-",VLOOKUP(compras_mes6[[#This Row],[CUIT]],Lista_CUIT[#All],2,0)),"CUIT NO CARGADO")</f>
        <v>AUTOPISTAS DE BS AS</v>
      </c>
      <c r="H109" s="212">
        <v>49037.61</v>
      </c>
      <c r="I109" s="213">
        <f>IF(compras_mes6[[#This Row],[NETO GRAVADO]]="","",compras_mes6[[#This Row],[NETO GRAVADO]]*0.21)</f>
        <v>10297.8981</v>
      </c>
      <c r="J109" s="213"/>
      <c r="K109" s="213"/>
      <c r="L109" s="213">
        <v>1471.13</v>
      </c>
      <c r="M109" s="213"/>
      <c r="N109" s="213"/>
      <c r="O109" s="213"/>
      <c r="P109" s="214">
        <f>SUM(compras_mes6[[#This Row],[NETO GRAVADO]:[Otros / No Grav.]])</f>
        <v>60806.638099999996</v>
      </c>
      <c r="Q109" s="215" t="str">
        <f>IFERROR(IF(compras_mes6[[#This Row],[CUIT]]="","-",VLOOKUP(compras_mes6[[#This Row],[CUIT]],Lista_CUIT[#All],3,0)),"CUIT NO CARGADO")</f>
        <v>Peajes</v>
      </c>
      <c r="R109" s="215">
        <f>IFERROR(IF(compras_mes6[[#This Row],[CUIT]]="","-",VLOOKUP(compras_mes6[[#This Row],[CUIT]],Lista_CUIT[#All],4,0)),"CUIT NO CARGADO")</f>
        <v>0</v>
      </c>
    </row>
    <row r="110" spans="2:18" x14ac:dyDescent="0.25">
      <c r="B110" s="40" t="s">
        <v>2500</v>
      </c>
      <c r="C110" s="41">
        <v>1</v>
      </c>
      <c r="D110" s="42">
        <v>5015</v>
      </c>
      <c r="E110" s="43">
        <v>889758</v>
      </c>
      <c r="F110" s="44">
        <v>30574876474</v>
      </c>
      <c r="G110" s="45" t="str">
        <f>IFERROR(IF(compras_mes6[[#This Row],[CUIT]]="","-",VLOOKUP(compras_mes6[[#This Row],[CUIT]],Lista_CUIT[#All],2,0)),"CUIT NO CARGADO")</f>
        <v>AUTOPISTAS URBANAS S A</v>
      </c>
      <c r="H110" s="46">
        <v>119395.15</v>
      </c>
      <c r="I110" s="85">
        <f>IF(compras_mes6[[#This Row],[NETO GRAVADO]]="","",compras_mes6[[#This Row],[NETO GRAVADO]]*0.21)</f>
        <v>25072.981499999998</v>
      </c>
      <c r="J110" s="85"/>
      <c r="K110" s="85"/>
      <c r="L110" s="85"/>
      <c r="M110" s="85"/>
      <c r="N110" s="85"/>
      <c r="O110" s="85">
        <v>15521.33</v>
      </c>
      <c r="P110" s="48">
        <f>SUM(compras_mes6[[#This Row],[NETO GRAVADO]:[Otros / No Grav.]])</f>
        <v>159989.46149999998</v>
      </c>
      <c r="Q110" s="49" t="str">
        <f>IFERROR(IF(compras_mes6[[#This Row],[CUIT]]="","-",VLOOKUP(compras_mes6[[#This Row],[CUIT]],Lista_CUIT[#All],3,0)),"CUIT NO CARGADO")</f>
        <v>Peajes</v>
      </c>
      <c r="R110" s="49">
        <f>IFERROR(IF(compras_mes6[[#This Row],[CUIT]]="","-",VLOOKUP(compras_mes6[[#This Row],[CUIT]],Lista_CUIT[#All],4,0)),"CUIT NO CARGADO")</f>
        <v>0</v>
      </c>
    </row>
    <row r="111" spans="2:18" x14ac:dyDescent="0.25">
      <c r="B111" s="207" t="s">
        <v>2501</v>
      </c>
      <c r="C111" s="41">
        <v>1</v>
      </c>
      <c r="D111" s="209">
        <v>711</v>
      </c>
      <c r="E111" s="225">
        <v>7243041</v>
      </c>
      <c r="F111" s="210">
        <v>30677237119</v>
      </c>
      <c r="G111" s="211" t="str">
        <f>IFERROR(IF(compras_mes6[[#This Row],[CUIT]]="","-",VLOOKUP(compras_mes6[[#This Row],[CUIT]],Lista_CUIT[#All],2,0)),"CUIT NO CARGADO")</f>
        <v>AUTOPISTAS DEL SOL S A</v>
      </c>
      <c r="H111" s="212">
        <v>17968.53</v>
      </c>
      <c r="I111" s="213">
        <f>IF(compras_mes6[[#This Row],[NETO GRAVADO]]="","",compras_mes6[[#This Row],[NETO GRAVADO]]*0.21)</f>
        <v>3773.3912999999998</v>
      </c>
      <c r="J111" s="213"/>
      <c r="K111" s="213"/>
      <c r="L111" s="213">
        <v>539.05999999999995</v>
      </c>
      <c r="M111" s="213"/>
      <c r="N111" s="213"/>
      <c r="O111" s="213">
        <v>539.05999999999995</v>
      </c>
      <c r="P111" s="214">
        <f>SUM(compras_mes6[[#This Row],[NETO GRAVADO]:[Otros / No Grav.]])</f>
        <v>22820.041300000001</v>
      </c>
      <c r="Q111" s="215" t="str">
        <f>IFERROR(IF(compras_mes6[[#This Row],[CUIT]]="","-",VLOOKUP(compras_mes6[[#This Row],[CUIT]],Lista_CUIT[#All],3,0)),"CUIT NO CARGADO")</f>
        <v>Peajes</v>
      </c>
      <c r="R111" s="215">
        <f>IFERROR(IF(compras_mes6[[#This Row],[CUIT]]="","-",VLOOKUP(compras_mes6[[#This Row],[CUIT]],Lista_CUIT[#All],4,0)),"CUIT NO CARGADO")</f>
        <v>0</v>
      </c>
    </row>
    <row r="112" spans="2:18" x14ac:dyDescent="0.25">
      <c r="B112" s="207" t="s">
        <v>2501</v>
      </c>
      <c r="C112" s="41">
        <v>1</v>
      </c>
      <c r="D112" s="209">
        <v>629</v>
      </c>
      <c r="E112" s="225">
        <v>6198442</v>
      </c>
      <c r="F112" s="210">
        <v>30663498513</v>
      </c>
      <c r="G112" s="211" t="str">
        <f>IFERROR(IF(compras_mes6[[#This Row],[CUIT]]="","-",VLOOKUP(compras_mes6[[#This Row],[CUIT]],Lista_CUIT[#All],2,0)),"CUIT NO CARGADO")</f>
        <v>GRUPO CONCES. DEL OESTE SA</v>
      </c>
      <c r="H112" s="212">
        <v>27501.79</v>
      </c>
      <c r="I112" s="213">
        <f>IF(compras_mes6[[#This Row],[NETO GRAVADO]]="","",compras_mes6[[#This Row],[NETO GRAVADO]]*0.21)</f>
        <v>5775.3759</v>
      </c>
      <c r="J112" s="213"/>
      <c r="K112" s="213"/>
      <c r="L112" s="213"/>
      <c r="M112" s="213"/>
      <c r="N112" s="213"/>
      <c r="O112" s="213"/>
      <c r="P112" s="214">
        <f>SUM(compras_mes6[[#This Row],[NETO GRAVADO]:[Otros / No Grav.]])</f>
        <v>33277.1659</v>
      </c>
      <c r="Q112" s="215" t="str">
        <f>IFERROR(IF(compras_mes6[[#This Row],[CUIT]]="","-",VLOOKUP(compras_mes6[[#This Row],[CUIT]],Lista_CUIT[#All],3,0)),"CUIT NO CARGADO")</f>
        <v>Peajes</v>
      </c>
      <c r="R112" s="215">
        <f>IFERROR(IF(compras_mes6[[#This Row],[CUIT]]="","-",VLOOKUP(compras_mes6[[#This Row],[CUIT]],Lista_CUIT[#All],4,0)),"CUIT NO CARGADO")</f>
        <v>0</v>
      </c>
    </row>
    <row r="113" spans="2:18" x14ac:dyDescent="0.25">
      <c r="B113" s="207" t="s">
        <v>2506</v>
      </c>
      <c r="C113" s="41">
        <v>1</v>
      </c>
      <c r="D113" s="209">
        <v>5015</v>
      </c>
      <c r="E113" s="225">
        <v>896636</v>
      </c>
      <c r="F113" s="210">
        <v>30574876474</v>
      </c>
      <c r="G113" s="211" t="str">
        <f>IFERROR(IF(compras_mes6[[#This Row],[CUIT]]="","-",VLOOKUP(compras_mes6[[#This Row],[CUIT]],Lista_CUIT[#All],2,0)),"CUIT NO CARGADO")</f>
        <v>AUTOPISTAS URBANAS S A</v>
      </c>
      <c r="H113" s="212">
        <v>73965.350000000006</v>
      </c>
      <c r="I113" s="213">
        <f>IF(compras_mes6[[#This Row],[NETO GRAVADO]]="","",compras_mes6[[#This Row],[NETO GRAVADO]]*0.21)</f>
        <v>15532.7235</v>
      </c>
      <c r="J113" s="213"/>
      <c r="K113" s="213"/>
      <c r="L113" s="213"/>
      <c r="M113" s="213"/>
      <c r="N113" s="213"/>
      <c r="O113" s="213">
        <v>9615.4699999999993</v>
      </c>
      <c r="P113" s="214">
        <f>SUM(compras_mes6[[#This Row],[NETO GRAVADO]:[Otros / No Grav.]])</f>
        <v>99113.5435</v>
      </c>
      <c r="Q113" s="215" t="str">
        <f>IFERROR(IF(compras_mes6[[#This Row],[CUIT]]="","-",VLOOKUP(compras_mes6[[#This Row],[CUIT]],Lista_CUIT[#All],3,0)),"CUIT NO CARGADO")</f>
        <v>Peajes</v>
      </c>
      <c r="R113" s="215">
        <f>IFERROR(IF(compras_mes6[[#This Row],[CUIT]]="","-",VLOOKUP(compras_mes6[[#This Row],[CUIT]],Lista_CUIT[#All],4,0)),"CUIT NO CARGADO")</f>
        <v>0</v>
      </c>
    </row>
    <row r="114" spans="2:18" x14ac:dyDescent="0.25">
      <c r="B114" s="207" t="s">
        <v>2507</v>
      </c>
      <c r="C114" s="41">
        <v>1</v>
      </c>
      <c r="D114" s="209">
        <v>700</v>
      </c>
      <c r="E114" s="225">
        <v>2530163</v>
      </c>
      <c r="F114" s="210">
        <v>30715804812</v>
      </c>
      <c r="G114" s="211" t="str">
        <f>IFERROR(IF(compras_mes6[[#This Row],[CUIT]]="","-",VLOOKUP(compras_mes6[[#This Row],[CUIT]],Lista_CUIT[#All],2,0)),"CUIT NO CARGADO")</f>
        <v>CORREDORES VIALES SOCIEDAD ANONIMA</v>
      </c>
      <c r="H114" s="212">
        <v>2079.9699999999998</v>
      </c>
      <c r="I114" s="213">
        <f>IF(compras_mes6[[#This Row],[NETO GRAVADO]]="","",compras_mes6[[#This Row],[NETO GRAVADO]]*0.21)</f>
        <v>436.79369999999994</v>
      </c>
      <c r="J114" s="213"/>
      <c r="K114" s="213"/>
      <c r="L114" s="213"/>
      <c r="M114" s="213"/>
      <c r="N114" s="213"/>
      <c r="O114" s="213"/>
      <c r="P114" s="214">
        <f>SUM(compras_mes6[[#This Row],[NETO GRAVADO]:[Otros / No Grav.]])</f>
        <v>2516.7636999999995</v>
      </c>
      <c r="Q114" s="215" t="str">
        <f>IFERROR(IF(compras_mes6[[#This Row],[CUIT]]="","-",VLOOKUP(compras_mes6[[#This Row],[CUIT]],Lista_CUIT[#All],3,0)),"CUIT NO CARGADO")</f>
        <v>Peajes</v>
      </c>
      <c r="R114" s="215">
        <f>IFERROR(IF(compras_mes6[[#This Row],[CUIT]]="","-",VLOOKUP(compras_mes6[[#This Row],[CUIT]],Lista_CUIT[#All],4,0)),"CUIT NO CARGADO")</f>
        <v>0</v>
      </c>
    </row>
    <row r="115" spans="2:18" x14ac:dyDescent="0.25">
      <c r="B115" s="207" t="s">
        <v>2512</v>
      </c>
      <c r="C115" s="41">
        <v>1</v>
      </c>
      <c r="D115" s="209">
        <v>104</v>
      </c>
      <c r="E115" s="225">
        <v>9711199</v>
      </c>
      <c r="F115" s="210">
        <v>30715804812</v>
      </c>
      <c r="G115" s="211" t="str">
        <f>IFERROR(IF(compras_mes6[[#This Row],[CUIT]]="","-",VLOOKUP(compras_mes6[[#This Row],[CUIT]],Lista_CUIT[#All],2,0)),"CUIT NO CARGADO")</f>
        <v>CORREDORES VIALES SOCIEDAD ANONIMA</v>
      </c>
      <c r="H115" s="212">
        <v>1039.98</v>
      </c>
      <c r="I115" s="213">
        <f>IF(compras_mes6[[#This Row],[NETO GRAVADO]]="","",compras_mes6[[#This Row],[NETO GRAVADO]]*0.21)</f>
        <v>218.39580000000001</v>
      </c>
      <c r="J115" s="213"/>
      <c r="K115" s="213"/>
      <c r="L115" s="213"/>
      <c r="M115" s="213"/>
      <c r="N115" s="213">
        <v>62.4</v>
      </c>
      <c r="O115" s="213"/>
      <c r="P115" s="214">
        <f>SUM(compras_mes6[[#This Row],[NETO GRAVADO]:[Otros / No Grav.]])</f>
        <v>1320.7758000000001</v>
      </c>
      <c r="Q115" s="215" t="str">
        <f>IFERROR(IF(compras_mes6[[#This Row],[CUIT]]="","-",VLOOKUP(compras_mes6[[#This Row],[CUIT]],Lista_CUIT[#All],3,0)),"CUIT NO CARGADO")</f>
        <v>Peajes</v>
      </c>
      <c r="R115" s="215">
        <f>IFERROR(IF(compras_mes6[[#This Row],[CUIT]]="","-",VLOOKUP(compras_mes6[[#This Row],[CUIT]],Lista_CUIT[#All],4,0)),"CUIT NO CARGADO")</f>
        <v>0</v>
      </c>
    </row>
    <row r="116" spans="2:18" x14ac:dyDescent="0.25">
      <c r="B116" s="207" t="s">
        <v>2513</v>
      </c>
      <c r="C116" s="41">
        <v>1</v>
      </c>
      <c r="D116" s="209">
        <v>5015</v>
      </c>
      <c r="E116" s="225">
        <v>907240</v>
      </c>
      <c r="F116" s="210">
        <v>30574876474</v>
      </c>
      <c r="G116" s="211" t="str">
        <f>IFERROR(IF(compras_mes6[[#This Row],[CUIT]]="","-",VLOOKUP(compras_mes6[[#This Row],[CUIT]],Lista_CUIT[#All],2,0)),"CUIT NO CARGADO")</f>
        <v>AUTOPISTAS URBANAS S A</v>
      </c>
      <c r="H116" s="212">
        <v>133549.54999999999</v>
      </c>
      <c r="I116" s="213">
        <f>IF(compras_mes6[[#This Row],[NETO GRAVADO]]="","",compras_mes6[[#This Row],[NETO GRAVADO]]*0.21)</f>
        <v>28045.405499999997</v>
      </c>
      <c r="J116" s="213"/>
      <c r="K116" s="213"/>
      <c r="L116" s="213"/>
      <c r="M116" s="213"/>
      <c r="N116" s="213"/>
      <c r="O116" s="213">
        <v>17361.39</v>
      </c>
      <c r="P116" s="214">
        <f>SUM(compras_mes6[[#This Row],[NETO GRAVADO]:[Otros / No Grav.]])</f>
        <v>178956.3455</v>
      </c>
      <c r="Q116" s="215" t="str">
        <f>IFERROR(IF(compras_mes6[[#This Row],[CUIT]]="","-",VLOOKUP(compras_mes6[[#This Row],[CUIT]],Lista_CUIT[#All],3,0)),"CUIT NO CARGADO")</f>
        <v>Peajes</v>
      </c>
      <c r="R116" s="215">
        <f>IFERROR(IF(compras_mes6[[#This Row],[CUIT]]="","-",VLOOKUP(compras_mes6[[#This Row],[CUIT]],Lista_CUIT[#All],4,0)),"CUIT NO CARGADO")</f>
        <v>0</v>
      </c>
    </row>
    <row r="117" spans="2:18" x14ac:dyDescent="0.25">
      <c r="B117" s="207" t="s">
        <v>2513</v>
      </c>
      <c r="C117" s="41">
        <v>1</v>
      </c>
      <c r="D117" s="209">
        <v>50</v>
      </c>
      <c r="E117" s="225">
        <v>4442465</v>
      </c>
      <c r="F117" s="210">
        <v>30714112836</v>
      </c>
      <c r="G117" s="211" t="str">
        <f>IFERROR(IF(compras_mes6[[#This Row],[CUIT]]="","-",VLOOKUP(compras_mes6[[#This Row],[CUIT]],Lista_CUIT[#All],2,0)),"CUIT NO CARGADO")</f>
        <v>AUTOPISTAS DE BS AS</v>
      </c>
      <c r="H117" s="212">
        <v>74581.11</v>
      </c>
      <c r="I117" s="213">
        <f>IF(compras_mes6[[#This Row],[NETO GRAVADO]]="","",compras_mes6[[#This Row],[NETO GRAVADO]]*0.21)</f>
        <v>15662.033099999999</v>
      </c>
      <c r="J117" s="213"/>
      <c r="K117" s="213"/>
      <c r="L117" s="213">
        <v>2237.4299999999998</v>
      </c>
      <c r="M117" s="213"/>
      <c r="N117" s="213"/>
      <c r="O117" s="213"/>
      <c r="P117" s="214">
        <f>SUM(compras_mes6[[#This Row],[NETO GRAVADO]:[Otros / No Grav.]])</f>
        <v>92480.573099999994</v>
      </c>
      <c r="Q117" s="215" t="str">
        <f>IFERROR(IF(compras_mes6[[#This Row],[CUIT]]="","-",VLOOKUP(compras_mes6[[#This Row],[CUIT]],Lista_CUIT[#All],3,0)),"CUIT NO CARGADO")</f>
        <v>Peajes</v>
      </c>
      <c r="R117" s="215">
        <f>IFERROR(IF(compras_mes6[[#This Row],[CUIT]]="","-",VLOOKUP(compras_mes6[[#This Row],[CUIT]],Lista_CUIT[#All],4,0)),"CUIT NO CARGADO")</f>
        <v>0</v>
      </c>
    </row>
    <row r="118" spans="2:18" x14ac:dyDescent="0.25">
      <c r="B118" s="494" t="s">
        <v>2487</v>
      </c>
      <c r="C118" s="495">
        <v>1</v>
      </c>
      <c r="D118" s="496">
        <v>6</v>
      </c>
      <c r="E118" s="493">
        <v>3547</v>
      </c>
      <c r="F118" s="497">
        <v>30574603788</v>
      </c>
      <c r="G118" s="498" t="str">
        <f>IFERROR(IF(compras_mes6[[#This Row],[CUIT]]="","-",VLOOKUP(compras_mes6[[#This Row],[CUIT]],Lista_CUIT[#All],2,0)),"CUIT NO CARGADO")</f>
        <v>CODAC SRL</v>
      </c>
      <c r="H118" s="499">
        <v>7968985</v>
      </c>
      <c r="I118" s="500">
        <f>IF(compras_mes6[[#This Row],[NETO GRAVADO]]="","",compras_mes6[[#This Row],[NETO GRAVADO]]*0.21)</f>
        <v>1673486.8499999999</v>
      </c>
      <c r="J118" s="500"/>
      <c r="K118" s="500"/>
      <c r="L118" s="500"/>
      <c r="M118" s="500"/>
      <c r="N118" s="500"/>
      <c r="O118" s="500"/>
      <c r="P118" s="501">
        <f>SUM(compras_mes6[[#This Row],[NETO GRAVADO]:[Otros / No Grav.]])</f>
        <v>9642471.8499999996</v>
      </c>
      <c r="Q118" s="502" t="str">
        <f>IFERROR(IF(compras_mes6[[#This Row],[CUIT]]="","-",VLOOKUP(compras_mes6[[#This Row],[CUIT]],Lista_CUIT[#All],3,0)),"CUIT NO CARGADO")</f>
        <v>Productos Venta</v>
      </c>
      <c r="R118" s="502" t="str">
        <f>IFERROR(IF(compras_mes6[[#This Row],[CUIT]]="","-",VLOOKUP(compras_mes6[[#This Row],[CUIT]],Lista_CUIT[#All],4,0)),"CUIT NO CARGADO")</f>
        <v>BUENOS AIRES</v>
      </c>
    </row>
    <row r="119" spans="2:18" x14ac:dyDescent="0.25">
      <c r="B119" s="494" t="s">
        <v>2487</v>
      </c>
      <c r="C119" s="495">
        <v>1</v>
      </c>
      <c r="D119" s="496">
        <v>2</v>
      </c>
      <c r="E119" s="493">
        <v>4072</v>
      </c>
      <c r="F119" s="497">
        <v>30629863571</v>
      </c>
      <c r="G119" s="498" t="str">
        <f>IFERROR(IF(compras_mes6[[#This Row],[CUIT]]="","-",VLOOKUP(compras_mes6[[#This Row],[CUIT]],Lista_CUIT[#All],2,0)),"CUIT NO CARGADO")</f>
        <v>TECNIMAR S R L</v>
      </c>
      <c r="H119" s="499">
        <v>4665256</v>
      </c>
      <c r="I119" s="500">
        <f>IF(compras_mes6[[#This Row],[NETO GRAVADO]]="","",compras_mes6[[#This Row],[NETO GRAVADO]]*0.21)</f>
        <v>979703.76</v>
      </c>
      <c r="J119" s="500"/>
      <c r="K119" s="500"/>
      <c r="L119" s="500"/>
      <c r="M119" s="500"/>
      <c r="N119" s="500"/>
      <c r="O119" s="500"/>
      <c r="P119" s="501">
        <f>SUM(compras_mes6[[#This Row],[NETO GRAVADO]:[Otros / No Grav.]])</f>
        <v>5644959.7599999998</v>
      </c>
      <c r="Q119" s="502" t="str">
        <f>IFERROR(IF(compras_mes6[[#This Row],[CUIT]]="","-",VLOOKUP(compras_mes6[[#This Row],[CUIT]],Lista_CUIT[#All],3,0)),"CUIT NO CARGADO")</f>
        <v>Productos Venta</v>
      </c>
      <c r="R119" s="502">
        <f>IFERROR(IF(compras_mes6[[#This Row],[CUIT]]="","-",VLOOKUP(compras_mes6[[#This Row],[CUIT]],Lista_CUIT[#All],4,0)),"CUIT NO CARGADO")</f>
        <v>0</v>
      </c>
    </row>
    <row r="120" spans="2:18" x14ac:dyDescent="0.25">
      <c r="B120" s="494" t="s">
        <v>2488</v>
      </c>
      <c r="C120" s="495">
        <v>1</v>
      </c>
      <c r="D120" s="496">
        <v>2</v>
      </c>
      <c r="E120" s="493">
        <v>4073</v>
      </c>
      <c r="F120" s="497">
        <v>30629863571</v>
      </c>
      <c r="G120" s="498" t="str">
        <f>IFERROR(IF(compras_mes6[[#This Row],[CUIT]]="","-",VLOOKUP(compras_mes6[[#This Row],[CUIT]],Lista_CUIT[#All],2,0)),"CUIT NO CARGADO")</f>
        <v>TECNIMAR S R L</v>
      </c>
      <c r="H120" s="499">
        <v>1904700</v>
      </c>
      <c r="I120" s="500">
        <f>IF(compras_mes6[[#This Row],[NETO GRAVADO]]="","",compras_mes6[[#This Row],[NETO GRAVADO]]*0.21)</f>
        <v>399987</v>
      </c>
      <c r="J120" s="500"/>
      <c r="K120" s="500"/>
      <c r="L120" s="500"/>
      <c r="M120" s="500"/>
      <c r="N120" s="500"/>
      <c r="O120" s="500"/>
      <c r="P120" s="501">
        <f>SUM(compras_mes6[[#This Row],[NETO GRAVADO]:[Otros / No Grav.]])</f>
        <v>2304687</v>
      </c>
      <c r="Q120" s="502" t="str">
        <f>IFERROR(IF(compras_mes6[[#This Row],[CUIT]]="","-",VLOOKUP(compras_mes6[[#This Row],[CUIT]],Lista_CUIT[#All],3,0)),"CUIT NO CARGADO")</f>
        <v>Productos Venta</v>
      </c>
      <c r="R120" s="502">
        <f>IFERROR(IF(compras_mes6[[#This Row],[CUIT]]="","-",VLOOKUP(compras_mes6[[#This Row],[CUIT]],Lista_CUIT[#All],4,0)),"CUIT NO CARGADO")</f>
        <v>0</v>
      </c>
    </row>
    <row r="121" spans="2:18" x14ac:dyDescent="0.25">
      <c r="B121" s="494" t="s">
        <v>2489</v>
      </c>
      <c r="C121" s="495">
        <v>1</v>
      </c>
      <c r="D121" s="496">
        <v>2</v>
      </c>
      <c r="E121" s="493">
        <v>4074</v>
      </c>
      <c r="F121" s="497">
        <v>30629863571</v>
      </c>
      <c r="G121" s="498" t="str">
        <f>IFERROR(IF(compras_mes6[[#This Row],[CUIT]]="","-",VLOOKUP(compras_mes6[[#This Row],[CUIT]],Lista_CUIT[#All],2,0)),"CUIT NO CARGADO")</f>
        <v>TECNIMAR S R L</v>
      </c>
      <c r="H121" s="499">
        <v>1585444</v>
      </c>
      <c r="I121" s="500">
        <f>IF(compras_mes6[[#This Row],[NETO GRAVADO]]="","",compras_mes6[[#This Row],[NETO GRAVADO]]*0.21)</f>
        <v>332943.24</v>
      </c>
      <c r="J121" s="500"/>
      <c r="K121" s="500"/>
      <c r="L121" s="500"/>
      <c r="M121" s="500"/>
      <c r="N121" s="500"/>
      <c r="O121" s="500"/>
      <c r="P121" s="501">
        <f>SUM(compras_mes6[[#This Row],[NETO GRAVADO]:[Otros / No Grav.]])</f>
        <v>1918387.24</v>
      </c>
      <c r="Q121" s="502" t="str">
        <f>IFERROR(IF(compras_mes6[[#This Row],[CUIT]]="","-",VLOOKUP(compras_mes6[[#This Row],[CUIT]],Lista_CUIT[#All],3,0)),"CUIT NO CARGADO")</f>
        <v>Productos Venta</v>
      </c>
      <c r="R121" s="502">
        <f>IFERROR(IF(compras_mes6[[#This Row],[CUIT]]="","-",VLOOKUP(compras_mes6[[#This Row],[CUIT]],Lista_CUIT[#All],4,0)),"CUIT NO CARGADO")</f>
        <v>0</v>
      </c>
    </row>
    <row r="122" spans="2:18" x14ac:dyDescent="0.25">
      <c r="B122" s="494" t="s">
        <v>2490</v>
      </c>
      <c r="C122" s="495">
        <v>1</v>
      </c>
      <c r="D122" s="496">
        <v>2</v>
      </c>
      <c r="E122" s="493">
        <v>4075</v>
      </c>
      <c r="F122" s="497">
        <v>30629863571</v>
      </c>
      <c r="G122" s="498" t="str">
        <f>IFERROR(IF(compras_mes6[[#This Row],[CUIT]]="","-",VLOOKUP(compras_mes6[[#This Row],[CUIT]],Lista_CUIT[#All],2,0)),"CUIT NO CARGADO")</f>
        <v>TECNIMAR S R L</v>
      </c>
      <c r="H122" s="499">
        <v>1384060</v>
      </c>
      <c r="I122" s="500">
        <f>IF(compras_mes6[[#This Row],[NETO GRAVADO]]="","",compras_mes6[[#This Row],[NETO GRAVADO]]*0.21)</f>
        <v>290652.59999999998</v>
      </c>
      <c r="J122" s="500"/>
      <c r="K122" s="500"/>
      <c r="L122" s="500"/>
      <c r="M122" s="500"/>
      <c r="N122" s="500"/>
      <c r="O122" s="500"/>
      <c r="P122" s="501">
        <f>SUM(compras_mes6[[#This Row],[NETO GRAVADO]:[Otros / No Grav.]])</f>
        <v>1674712.6</v>
      </c>
      <c r="Q122" s="502" t="str">
        <f>IFERROR(IF(compras_mes6[[#This Row],[CUIT]]="","-",VLOOKUP(compras_mes6[[#This Row],[CUIT]],Lista_CUIT[#All],3,0)),"CUIT NO CARGADO")</f>
        <v>Productos Venta</v>
      </c>
      <c r="R122" s="502">
        <f>IFERROR(IF(compras_mes6[[#This Row],[CUIT]]="","-",VLOOKUP(compras_mes6[[#This Row],[CUIT]],Lista_CUIT[#All],4,0)),"CUIT NO CARGADO")</f>
        <v>0</v>
      </c>
    </row>
    <row r="123" spans="2:18" x14ac:dyDescent="0.25">
      <c r="B123" s="494" t="s">
        <v>2494</v>
      </c>
      <c r="C123" s="495">
        <v>1</v>
      </c>
      <c r="D123" s="496">
        <v>2</v>
      </c>
      <c r="E123" s="493">
        <v>4079</v>
      </c>
      <c r="F123" s="497">
        <v>30629863571</v>
      </c>
      <c r="G123" s="498" t="str">
        <f>IFERROR(IF(compras_mes6[[#This Row],[CUIT]]="","-",VLOOKUP(compras_mes6[[#This Row],[CUIT]],Lista_CUIT[#All],2,0)),"CUIT NO CARGADO")</f>
        <v>TECNIMAR S R L</v>
      </c>
      <c r="H123" s="499">
        <v>926880</v>
      </c>
      <c r="I123" s="500">
        <f>IF(compras_mes6[[#This Row],[NETO GRAVADO]]="","",compras_mes6[[#This Row],[NETO GRAVADO]]*0.21)</f>
        <v>194644.8</v>
      </c>
      <c r="J123" s="500"/>
      <c r="K123" s="500"/>
      <c r="L123" s="500"/>
      <c r="M123" s="500"/>
      <c r="N123" s="500"/>
      <c r="O123" s="500"/>
      <c r="P123" s="501">
        <f>SUM(compras_mes6[[#This Row],[NETO GRAVADO]:[Otros / No Grav.]])</f>
        <v>1121524.8</v>
      </c>
      <c r="Q123" s="502" t="str">
        <f>IFERROR(IF(compras_mes6[[#This Row],[CUIT]]="","-",VLOOKUP(compras_mes6[[#This Row],[CUIT]],Lista_CUIT[#All],3,0)),"CUIT NO CARGADO")</f>
        <v>Productos Venta</v>
      </c>
      <c r="R123" s="502">
        <f>IFERROR(IF(compras_mes6[[#This Row],[CUIT]]="","-",VLOOKUP(compras_mes6[[#This Row],[CUIT]],Lista_CUIT[#All],4,0)),"CUIT NO CARGADO")</f>
        <v>0</v>
      </c>
    </row>
    <row r="124" spans="2:18" x14ac:dyDescent="0.25">
      <c r="B124" s="494" t="s">
        <v>2498</v>
      </c>
      <c r="C124" s="495">
        <v>1</v>
      </c>
      <c r="D124" s="496">
        <v>2</v>
      </c>
      <c r="E124" s="493">
        <v>4084</v>
      </c>
      <c r="F124" s="497">
        <v>30629863571</v>
      </c>
      <c r="G124" s="498" t="str">
        <f>IFERROR(IF(compras_mes6[[#This Row],[CUIT]]="","-",VLOOKUP(compras_mes6[[#This Row],[CUIT]],Lista_CUIT[#All],2,0)),"CUIT NO CARGADO")</f>
        <v>TECNIMAR S R L</v>
      </c>
      <c r="H124" s="499">
        <v>2714695</v>
      </c>
      <c r="I124" s="500">
        <f>IF(compras_mes6[[#This Row],[NETO GRAVADO]]="","",compras_mes6[[#This Row],[NETO GRAVADO]]*0.21)</f>
        <v>570085.94999999995</v>
      </c>
      <c r="J124" s="500"/>
      <c r="K124" s="500"/>
      <c r="L124" s="500"/>
      <c r="M124" s="500"/>
      <c r="N124" s="500"/>
      <c r="O124" s="500"/>
      <c r="P124" s="501">
        <f>SUM(compras_mes6[[#This Row],[NETO GRAVADO]:[Otros / No Grav.]])</f>
        <v>3284780.95</v>
      </c>
      <c r="Q124" s="502" t="str">
        <f>IFERROR(IF(compras_mes6[[#This Row],[CUIT]]="","-",VLOOKUP(compras_mes6[[#This Row],[CUIT]],Lista_CUIT[#All],3,0)),"CUIT NO CARGADO")</f>
        <v>Productos Venta</v>
      </c>
      <c r="R124" s="502">
        <f>IFERROR(IF(compras_mes6[[#This Row],[CUIT]]="","-",VLOOKUP(compras_mes6[[#This Row],[CUIT]],Lista_CUIT[#All],4,0)),"CUIT NO CARGADO")</f>
        <v>0</v>
      </c>
    </row>
    <row r="125" spans="2:18" x14ac:dyDescent="0.25">
      <c r="B125" s="40" t="s">
        <v>2503</v>
      </c>
      <c r="C125" s="41">
        <v>1</v>
      </c>
      <c r="D125" s="42">
        <v>5</v>
      </c>
      <c r="E125" s="43">
        <v>22763</v>
      </c>
      <c r="F125" s="44">
        <v>30616146447</v>
      </c>
      <c r="G125" s="45" t="str">
        <f>IFERROR(IF(compras_mes6[[#This Row],[CUIT]]="","-",VLOOKUP(compras_mes6[[#This Row],[CUIT]],Lista_CUIT[#All],2,0)),"CUIT NO CARGADO")</f>
        <v>EGEO SOCIEDAD DE RESPONSABILIDAD LIMITADA</v>
      </c>
      <c r="H125" s="46">
        <v>650000</v>
      </c>
      <c r="I125" s="85">
        <f>IF(compras_mes6[[#This Row],[NETO GRAVADO]]="","",compras_mes6[[#This Row],[NETO GRAVADO]]*0.21)</f>
        <v>136500</v>
      </c>
      <c r="J125" s="85"/>
      <c r="K125" s="85"/>
      <c r="L125" s="85"/>
      <c r="M125" s="85"/>
      <c r="N125" s="85"/>
      <c r="O125" s="85"/>
      <c r="P125" s="48">
        <f>SUM(compras_mes6[[#This Row],[NETO GRAVADO]:[Otros / No Grav.]])</f>
        <v>786500</v>
      </c>
      <c r="Q125" s="49" t="str">
        <f>IFERROR(IF(compras_mes6[[#This Row],[CUIT]]="","-",VLOOKUP(compras_mes6[[#This Row],[CUIT]],Lista_CUIT[#All],3,0)),"CUIT NO CARGADO")</f>
        <v>Productos Venta</v>
      </c>
      <c r="R125" s="49">
        <f>IFERROR(IF(compras_mes6[[#This Row],[CUIT]]="","-",VLOOKUP(compras_mes6[[#This Row],[CUIT]],Lista_CUIT[#All],4,0)),"CUIT NO CARGADO")</f>
        <v>0</v>
      </c>
    </row>
    <row r="126" spans="2:18" x14ac:dyDescent="0.25">
      <c r="B126" s="494" t="s">
        <v>2503</v>
      </c>
      <c r="C126" s="495">
        <v>1</v>
      </c>
      <c r="D126" s="496">
        <v>2</v>
      </c>
      <c r="E126" s="493">
        <v>4088</v>
      </c>
      <c r="F126" s="497">
        <v>30629863571</v>
      </c>
      <c r="G126" s="498" t="str">
        <f>IFERROR(IF(compras_mes6[[#This Row],[CUIT]]="","-",VLOOKUP(compras_mes6[[#This Row],[CUIT]],Lista_CUIT[#All],2,0)),"CUIT NO CARGADO")</f>
        <v>TECNIMAR S R L</v>
      </c>
      <c r="H126" s="499">
        <v>849696</v>
      </c>
      <c r="I126" s="500">
        <f>IF(compras_mes6[[#This Row],[NETO GRAVADO]]="","",compras_mes6[[#This Row],[NETO GRAVADO]]*0.21)</f>
        <v>178436.16</v>
      </c>
      <c r="J126" s="500"/>
      <c r="K126" s="500"/>
      <c r="L126" s="500"/>
      <c r="M126" s="500"/>
      <c r="N126" s="500"/>
      <c r="O126" s="500"/>
      <c r="P126" s="501">
        <f>SUM(compras_mes6[[#This Row],[NETO GRAVADO]:[Otros / No Grav.]])</f>
        <v>1028132.16</v>
      </c>
      <c r="Q126" s="502" t="str">
        <f>IFERROR(IF(compras_mes6[[#This Row],[CUIT]]="","-",VLOOKUP(compras_mes6[[#This Row],[CUIT]],Lista_CUIT[#All],3,0)),"CUIT NO CARGADO")</f>
        <v>Productos Venta</v>
      </c>
      <c r="R126" s="502">
        <f>IFERROR(IF(compras_mes6[[#This Row],[CUIT]]="","-",VLOOKUP(compras_mes6[[#This Row],[CUIT]],Lista_CUIT[#All],4,0)),"CUIT NO CARGADO")</f>
        <v>0</v>
      </c>
    </row>
    <row r="127" spans="2:18" x14ac:dyDescent="0.25">
      <c r="B127" s="494" t="s">
        <v>2504</v>
      </c>
      <c r="C127" s="495">
        <v>1</v>
      </c>
      <c r="D127" s="496">
        <v>2</v>
      </c>
      <c r="E127" s="493">
        <v>4090</v>
      </c>
      <c r="F127" s="497">
        <v>30629863571</v>
      </c>
      <c r="G127" s="498" t="str">
        <f>IFERROR(IF(compras_mes6[[#This Row],[CUIT]]="","-",VLOOKUP(compras_mes6[[#This Row],[CUIT]],Lista_CUIT[#All],2,0)),"CUIT NO CARGADO")</f>
        <v>TECNIMAR S R L</v>
      </c>
      <c r="H127" s="499">
        <v>1112280</v>
      </c>
      <c r="I127" s="500">
        <f>IF(compras_mes6[[#This Row],[NETO GRAVADO]]="","",compras_mes6[[#This Row],[NETO GRAVADO]]*0.21)</f>
        <v>233578.8</v>
      </c>
      <c r="J127" s="500"/>
      <c r="K127" s="500"/>
      <c r="L127" s="500"/>
      <c r="M127" s="500"/>
      <c r="N127" s="500"/>
      <c r="O127" s="500"/>
      <c r="P127" s="501">
        <f>SUM(compras_mes6[[#This Row],[NETO GRAVADO]:[Otros / No Grav.]])</f>
        <v>1345858.8</v>
      </c>
      <c r="Q127" s="502" t="str">
        <f>IFERROR(IF(compras_mes6[[#This Row],[CUIT]]="","-",VLOOKUP(compras_mes6[[#This Row],[CUIT]],Lista_CUIT[#All],3,0)),"CUIT NO CARGADO")</f>
        <v>Productos Venta</v>
      </c>
      <c r="R127" s="502">
        <f>IFERROR(IF(compras_mes6[[#This Row],[CUIT]]="","-",VLOOKUP(compras_mes6[[#This Row],[CUIT]],Lista_CUIT[#All],4,0)),"CUIT NO CARGADO")</f>
        <v>0</v>
      </c>
    </row>
    <row r="128" spans="2:18" s="56" customFormat="1" ht="18.600000000000001" customHeight="1" x14ac:dyDescent="0.25">
      <c r="B128" s="494" t="s">
        <v>2508</v>
      </c>
      <c r="C128" s="495">
        <v>1</v>
      </c>
      <c r="D128" s="496">
        <v>2</v>
      </c>
      <c r="E128" s="493">
        <v>4093</v>
      </c>
      <c r="F128" s="497">
        <v>30629863571</v>
      </c>
      <c r="G128" s="498" t="str">
        <f>IFERROR(IF(compras_mes6[[#This Row],[CUIT]]="","-",VLOOKUP(compras_mes6[[#This Row],[CUIT]],Lista_CUIT[#All],2,0)),"CUIT NO CARGADO")</f>
        <v>TECNIMAR S R L</v>
      </c>
      <c r="H128" s="499">
        <v>3594800</v>
      </c>
      <c r="I128" s="500">
        <f>IF(compras_mes6[[#This Row],[NETO GRAVADO]]="","",compras_mes6[[#This Row],[NETO GRAVADO]]*0.21)</f>
        <v>754908</v>
      </c>
      <c r="J128" s="500"/>
      <c r="K128" s="500"/>
      <c r="L128" s="500"/>
      <c r="M128" s="500"/>
      <c r="N128" s="500"/>
      <c r="O128" s="500"/>
      <c r="P128" s="501">
        <f>SUM(compras_mes6[[#This Row],[NETO GRAVADO]:[Otros / No Grav.]])</f>
        <v>4349708</v>
      </c>
      <c r="Q128" s="502" t="str">
        <f>IFERROR(IF(compras_mes6[[#This Row],[CUIT]]="","-",VLOOKUP(compras_mes6[[#This Row],[CUIT]],Lista_CUIT[#All],3,0)),"CUIT NO CARGADO")</f>
        <v>Productos Venta</v>
      </c>
      <c r="R128" s="502">
        <f>IFERROR(IF(compras_mes6[[#This Row],[CUIT]]="","-",VLOOKUP(compras_mes6[[#This Row],[CUIT]],Lista_CUIT[#All],4,0)),"CUIT NO CARGADO")</f>
        <v>0</v>
      </c>
    </row>
    <row r="129" spans="2:18" x14ac:dyDescent="0.25">
      <c r="B129" s="207" t="s">
        <v>2488</v>
      </c>
      <c r="C129" s="41">
        <v>1</v>
      </c>
      <c r="D129" s="209">
        <v>3</v>
      </c>
      <c r="E129" s="225">
        <v>33561</v>
      </c>
      <c r="F129" s="210">
        <v>33707953549</v>
      </c>
      <c r="G129" s="211" t="str">
        <f>IFERROR(IF(compras_mes6[[#This Row],[CUIT]]="","-",VLOOKUP(compras_mes6[[#This Row],[CUIT]],Lista_CUIT[#All],2,0)),"CUIT NO CARGADO")</f>
        <v>TELESMART</v>
      </c>
      <c r="H129" s="212">
        <v>25000</v>
      </c>
      <c r="I129" s="213">
        <f>IF(compras_mes6[[#This Row],[NETO GRAVADO]]="","",compras_mes6[[#This Row],[NETO GRAVADO]]*0.21)</f>
        <v>5250</v>
      </c>
      <c r="J129" s="213"/>
      <c r="K129" s="213"/>
      <c r="L129" s="213"/>
      <c r="M129" s="213"/>
      <c r="N129" s="213"/>
      <c r="O129" s="213"/>
      <c r="P129" s="214">
        <f>SUM(compras_mes6[[#This Row],[NETO GRAVADO]:[Otros / No Grav.]])</f>
        <v>30250</v>
      </c>
      <c r="Q129" s="215" t="str">
        <f>IFERROR(IF(compras_mes6[[#This Row],[CUIT]]="","-",VLOOKUP(compras_mes6[[#This Row],[CUIT]],Lista_CUIT[#All],3,0)),"CUIT NO CARGADO")</f>
        <v>Servicios Gas, Luz, etc.</v>
      </c>
      <c r="R129" s="215">
        <f>IFERROR(IF(compras_mes6[[#This Row],[CUIT]]="","-",VLOOKUP(compras_mes6[[#This Row],[CUIT]],Lista_CUIT[#All],4,0)),"CUIT NO CARGADO")</f>
        <v>0</v>
      </c>
    </row>
    <row r="130" spans="2:18" x14ac:dyDescent="0.25">
      <c r="B130" s="494" t="s">
        <v>2488</v>
      </c>
      <c r="C130" s="495">
        <v>1</v>
      </c>
      <c r="D130" s="496">
        <v>3099</v>
      </c>
      <c r="E130" s="493">
        <v>478105</v>
      </c>
      <c r="F130" s="497">
        <v>30678814357</v>
      </c>
      <c r="G130" s="498" t="str">
        <f>IFERROR(IF(compras_mes6[[#This Row],[CUIT]]="","-",VLOOKUP(compras_mes6[[#This Row],[CUIT]],Lista_CUIT[#All],2,0)),"CUIT NO CARGADO")</f>
        <v>TELEFONICA MOVILES ARG</v>
      </c>
      <c r="H130" s="499">
        <v>38268</v>
      </c>
      <c r="I130" s="500"/>
      <c r="J130" s="500">
        <v>10332.36</v>
      </c>
      <c r="K130" s="500"/>
      <c r="L130" s="500">
        <v>1148.04</v>
      </c>
      <c r="M130" s="500"/>
      <c r="N130" s="500">
        <v>2296.08</v>
      </c>
      <c r="O130" s="500"/>
      <c r="P130" s="501">
        <f>SUM(compras_mes6[[#This Row],[NETO GRAVADO]:[Otros / No Grav.]])</f>
        <v>52044.480000000003</v>
      </c>
      <c r="Q130" s="502" t="str">
        <f>IFERROR(IF(compras_mes6[[#This Row],[CUIT]]="","-",VLOOKUP(compras_mes6[[#This Row],[CUIT]],Lista_CUIT[#All],3,0)),"CUIT NO CARGADO")</f>
        <v>Servicios Gas, Luz, etc.</v>
      </c>
      <c r="R130" s="502">
        <f>IFERROR(IF(compras_mes6[[#This Row],[CUIT]]="","-",VLOOKUP(compras_mes6[[#This Row],[CUIT]],Lista_CUIT[#All],4,0)),"CUIT NO CARGADO")</f>
        <v>0</v>
      </c>
    </row>
    <row r="131" spans="2:18" ht="14.45" customHeight="1" x14ac:dyDescent="0.25">
      <c r="B131" s="494" t="s">
        <v>2489</v>
      </c>
      <c r="C131" s="495">
        <v>1</v>
      </c>
      <c r="D131" s="496">
        <v>63</v>
      </c>
      <c r="E131" s="493">
        <v>3334929</v>
      </c>
      <c r="F131" s="497">
        <v>30640897267</v>
      </c>
      <c r="G131" s="498" t="str">
        <f>IFERROR(IF(compras_mes6[[#This Row],[CUIT]]="","-",VLOOKUP(compras_mes6[[#This Row],[CUIT]],Lista_CUIT[#All],2,0)),"CUIT NO CARGADO")</f>
        <v>TELECENTRO S.A.</v>
      </c>
      <c r="H131" s="499">
        <v>36639.5</v>
      </c>
      <c r="I131" s="500">
        <f>IF(compras_mes6[[#This Row],[NETO GRAVADO]]="","",compras_mes6[[#This Row],[NETO GRAVADO]]*0.21)</f>
        <v>7694.2950000000001</v>
      </c>
      <c r="J131" s="500"/>
      <c r="K131" s="500"/>
      <c r="L131" s="500">
        <v>1099.19</v>
      </c>
      <c r="M131" s="500"/>
      <c r="N131" s="500">
        <v>2198.37</v>
      </c>
      <c r="O131" s="500"/>
      <c r="P131" s="501">
        <f>SUM(compras_mes6[[#This Row],[NETO GRAVADO]:[Otros / No Grav.]])</f>
        <v>47631.355000000003</v>
      </c>
      <c r="Q131" s="502" t="str">
        <f>IFERROR(IF(compras_mes6[[#This Row],[CUIT]]="","-",VLOOKUP(compras_mes6[[#This Row],[CUIT]],Lista_CUIT[#All],3,0)),"CUIT NO CARGADO")</f>
        <v>Servicios Gas, Luz, etc.</v>
      </c>
      <c r="R131" s="502">
        <f>IFERROR(IF(compras_mes6[[#This Row],[CUIT]]="","-",VLOOKUP(compras_mes6[[#This Row],[CUIT]],Lista_CUIT[#All],4,0)),"CUIT NO CARGADO")</f>
        <v>0</v>
      </c>
    </row>
    <row r="132" spans="2:18" ht="15" customHeight="1" x14ac:dyDescent="0.25">
      <c r="B132" s="494" t="s">
        <v>2489</v>
      </c>
      <c r="C132" s="495">
        <v>1</v>
      </c>
      <c r="D132" s="496">
        <v>63</v>
      </c>
      <c r="E132" s="493">
        <v>3336087</v>
      </c>
      <c r="F132" s="497">
        <v>30640897267</v>
      </c>
      <c r="G132" s="498" t="str">
        <f>IFERROR(IF(compras_mes6[[#This Row],[CUIT]]="","-",VLOOKUP(compras_mes6[[#This Row],[CUIT]],Lista_CUIT[#All],2,0)),"CUIT NO CARGADO")</f>
        <v>TELECENTRO S.A.</v>
      </c>
      <c r="H132" s="499">
        <v>36639.5</v>
      </c>
      <c r="I132" s="500">
        <f>IF(compras_mes6[[#This Row],[NETO GRAVADO]]="","",compras_mes6[[#This Row],[NETO GRAVADO]]*0.21)</f>
        <v>7694.2950000000001</v>
      </c>
      <c r="J132" s="500"/>
      <c r="K132" s="500"/>
      <c r="L132" s="500">
        <v>1099.19</v>
      </c>
      <c r="M132" s="500"/>
      <c r="N132" s="500">
        <v>2198.6999999999998</v>
      </c>
      <c r="O132" s="500"/>
      <c r="P132" s="501">
        <f>SUM(compras_mes6[[#This Row],[NETO GRAVADO]:[Otros / No Grav.]])</f>
        <v>47631.684999999998</v>
      </c>
      <c r="Q132" s="502" t="str">
        <f>IFERROR(IF(compras_mes6[[#This Row],[CUIT]]="","-",VLOOKUP(compras_mes6[[#This Row],[CUIT]],Lista_CUIT[#All],3,0)),"CUIT NO CARGADO")</f>
        <v>Servicios Gas, Luz, etc.</v>
      </c>
      <c r="R132" s="502">
        <f>IFERROR(IF(compras_mes6[[#This Row],[CUIT]]="","-",VLOOKUP(compras_mes6[[#This Row],[CUIT]],Lista_CUIT[#All],4,0)),"CUIT NO CARGADO")</f>
        <v>0</v>
      </c>
    </row>
    <row r="133" spans="2:18" ht="15" customHeight="1" x14ac:dyDescent="0.25">
      <c r="B133" s="494" t="s">
        <v>2494</v>
      </c>
      <c r="C133" s="495">
        <v>1</v>
      </c>
      <c r="D133" s="496">
        <v>3101</v>
      </c>
      <c r="E133" s="493">
        <v>320332</v>
      </c>
      <c r="F133" s="497">
        <v>30678814357</v>
      </c>
      <c r="G133" s="498" t="str">
        <f>IFERROR(IF(compras_mes6[[#This Row],[CUIT]]="","-",VLOOKUP(compras_mes6[[#This Row],[CUIT]],Lista_CUIT[#All],2,0)),"CUIT NO CARGADO")</f>
        <v>TELEFONICA MOVILES ARG</v>
      </c>
      <c r="H133" s="499">
        <v>17620.900000000001</v>
      </c>
      <c r="I133" s="504" t="s">
        <v>2411</v>
      </c>
      <c r="J133" s="500">
        <v>4757.6400000000003</v>
      </c>
      <c r="K133" s="500"/>
      <c r="L133" s="500">
        <v>528.63</v>
      </c>
      <c r="M133" s="500"/>
      <c r="N133" s="500">
        <v>1057.25</v>
      </c>
      <c r="O133" s="500"/>
      <c r="P133" s="501">
        <f>SUM(compras_mes6[[#This Row],[NETO GRAVADO]:[Otros / No Grav.]])</f>
        <v>23964.420000000002</v>
      </c>
      <c r="Q133" s="502" t="str">
        <f>IFERROR(IF(compras_mes6[[#This Row],[CUIT]]="","-",VLOOKUP(compras_mes6[[#This Row],[CUIT]],Lista_CUIT[#All],3,0)),"CUIT NO CARGADO")</f>
        <v>Servicios Gas, Luz, etc.</v>
      </c>
      <c r="R133" s="502">
        <f>IFERROR(IF(compras_mes6[[#This Row],[CUIT]]="","-",VLOOKUP(compras_mes6[[#This Row],[CUIT]],Lista_CUIT[#All],4,0)),"CUIT NO CARGADO")</f>
        <v>0</v>
      </c>
    </row>
    <row r="134" spans="2:18" ht="14.45" customHeight="1" x14ac:dyDescent="0.25">
      <c r="B134" s="494" t="s">
        <v>2495</v>
      </c>
      <c r="C134" s="495">
        <v>1</v>
      </c>
      <c r="D134" s="496">
        <v>6364</v>
      </c>
      <c r="E134" s="493">
        <v>9145631</v>
      </c>
      <c r="F134" s="497">
        <v>30639453738</v>
      </c>
      <c r="G134" s="498" t="str">
        <f>IFERROR(IF(compras_mes6[[#This Row],[CUIT]]="","-",VLOOKUP(compras_mes6[[#This Row],[CUIT]],Lista_CUIT[#All],2,0)),"CUIT NO CARGADO")</f>
        <v>TELECOM ARG SA</v>
      </c>
      <c r="H134" s="499">
        <v>302105.89</v>
      </c>
      <c r="I134" s="500">
        <v>63273.19</v>
      </c>
      <c r="J134" s="500">
        <v>217.35</v>
      </c>
      <c r="K134" s="500"/>
      <c r="L134" s="500"/>
      <c r="M134" s="500">
        <v>17176.759999999998</v>
      </c>
      <c r="N134" s="500"/>
      <c r="O134" s="500">
        <v>9137.56</v>
      </c>
      <c r="P134" s="501">
        <f>SUM(compras_mes6[[#This Row],[NETO GRAVADO]:[Otros / No Grav.]])</f>
        <v>391910.75</v>
      </c>
      <c r="Q134" s="502" t="str">
        <f>IFERROR(IF(compras_mes6[[#This Row],[CUIT]]="","-",VLOOKUP(compras_mes6[[#This Row],[CUIT]],Lista_CUIT[#All],3,0)),"CUIT NO CARGADO")</f>
        <v>Servicios Gas, Luz, etc.</v>
      </c>
      <c r="R134" s="502">
        <f>IFERROR(IF(compras_mes6[[#This Row],[CUIT]]="","-",VLOOKUP(compras_mes6[[#This Row],[CUIT]],Lista_CUIT[#All],4,0)),"CUIT NO CARGADO")</f>
        <v>0</v>
      </c>
    </row>
    <row r="135" spans="2:18" ht="14.45" customHeight="1" x14ac:dyDescent="0.25">
      <c r="B135" s="207" t="s">
        <v>2503</v>
      </c>
      <c r="C135" s="41">
        <v>1</v>
      </c>
      <c r="D135" s="209">
        <v>4264</v>
      </c>
      <c r="E135" s="225">
        <v>5541680</v>
      </c>
      <c r="F135" s="210">
        <v>30639453738</v>
      </c>
      <c r="G135" s="211" t="str">
        <f>IFERROR(IF(compras_mes6[[#This Row],[CUIT]]="","-",VLOOKUP(compras_mes6[[#This Row],[CUIT]],Lista_CUIT[#All],2,0)),"CUIT NO CARGADO")</f>
        <v>TELECOM ARG SA</v>
      </c>
      <c r="H135" s="212">
        <v>28760</v>
      </c>
      <c r="I135" s="213">
        <f>IF(compras_mes6[[#This Row],[NETO GRAVADO]]="","",compras_mes6[[#This Row],[NETO GRAVADO]]*0.21)</f>
        <v>6039.5999999999995</v>
      </c>
      <c r="J135" s="213"/>
      <c r="K135" s="213"/>
      <c r="L135" s="213"/>
      <c r="M135" s="213">
        <v>2588.4</v>
      </c>
      <c r="N135" s="213"/>
      <c r="O135" s="213"/>
      <c r="P135" s="214">
        <f>SUM(compras_mes6[[#This Row],[NETO GRAVADO]:[Otros / No Grav.]])</f>
        <v>37388</v>
      </c>
      <c r="Q135" s="215" t="str">
        <f>IFERROR(IF(compras_mes6[[#This Row],[CUIT]]="","-",VLOOKUP(compras_mes6[[#This Row],[CUIT]],Lista_CUIT[#All],3,0)),"CUIT NO CARGADO")</f>
        <v>Servicios Gas, Luz, etc.</v>
      </c>
      <c r="R135" s="215">
        <f>IFERROR(IF(compras_mes6[[#This Row],[CUIT]]="","-",VLOOKUP(compras_mes6[[#This Row],[CUIT]],Lista_CUIT[#All],4,0)),"CUIT NO CARGADO")</f>
        <v>0</v>
      </c>
    </row>
    <row r="136" spans="2:18" ht="15" customHeight="1" x14ac:dyDescent="0.25">
      <c r="B136" s="207" t="s">
        <v>2503</v>
      </c>
      <c r="C136" s="41">
        <v>1</v>
      </c>
      <c r="D136" s="209">
        <v>4264</v>
      </c>
      <c r="E136" s="225">
        <v>5507429</v>
      </c>
      <c r="F136" s="210">
        <v>30639453738</v>
      </c>
      <c r="G136" s="211" t="str">
        <f>IFERROR(IF(compras_mes6[[#This Row],[CUIT]]="","-",VLOOKUP(compras_mes6[[#This Row],[CUIT]],Lista_CUIT[#All],2,0)),"CUIT NO CARGADO")</f>
        <v>TELECOM ARG SA</v>
      </c>
      <c r="H136" s="212">
        <v>19010</v>
      </c>
      <c r="I136" s="213">
        <f>IF(compras_mes6[[#This Row],[NETO GRAVADO]]="","",compras_mes6[[#This Row],[NETO GRAVADO]]*0.21)</f>
        <v>3992.1</v>
      </c>
      <c r="J136" s="213"/>
      <c r="K136" s="213"/>
      <c r="L136" s="213"/>
      <c r="M136" s="213">
        <v>570.29999999999995</v>
      </c>
      <c r="N136" s="213"/>
      <c r="O136" s="213"/>
      <c r="P136" s="214">
        <f>SUM(compras_mes6[[#This Row],[NETO GRAVADO]:[Otros / No Grav.]])</f>
        <v>23572.399999999998</v>
      </c>
      <c r="Q136" s="215" t="str">
        <f>IFERROR(IF(compras_mes6[[#This Row],[CUIT]]="","-",VLOOKUP(compras_mes6[[#This Row],[CUIT]],Lista_CUIT[#All],3,0)),"CUIT NO CARGADO")</f>
        <v>Servicios Gas, Luz, etc.</v>
      </c>
      <c r="R136" s="215">
        <f>IFERROR(IF(compras_mes6[[#This Row],[CUIT]]="","-",VLOOKUP(compras_mes6[[#This Row],[CUIT]],Lista_CUIT[#All],4,0)),"CUIT NO CARGADO")</f>
        <v>0</v>
      </c>
    </row>
    <row r="137" spans="2:18" ht="15" customHeight="1" x14ac:dyDescent="0.25">
      <c r="B137" s="207" t="s">
        <v>2506</v>
      </c>
      <c r="C137" s="41">
        <v>1</v>
      </c>
      <c r="D137" s="209">
        <v>5</v>
      </c>
      <c r="E137" s="225">
        <v>3319300</v>
      </c>
      <c r="F137" s="210">
        <v>30702652975</v>
      </c>
      <c r="G137" s="211" t="str">
        <f>IFERROR(IF(compras_mes6[[#This Row],[CUIT]]="","-",VLOOKUP(compras_mes6[[#This Row],[CUIT]],Lista_CUIT[#All],2,0)),"CUIT NO CARGADO")</f>
        <v>NSS SA</v>
      </c>
      <c r="H137" s="212">
        <v>34438.46</v>
      </c>
      <c r="I137" s="213">
        <f>IF(compras_mes6[[#This Row],[NETO GRAVADO]]="","",compras_mes6[[#This Row],[NETO GRAVADO]]*0.21)</f>
        <v>7232.0765999999994</v>
      </c>
      <c r="J137" s="213"/>
      <c r="K137" s="213"/>
      <c r="L137" s="213"/>
      <c r="M137" s="213">
        <v>2066.31</v>
      </c>
      <c r="N137" s="213"/>
      <c r="O137" s="213"/>
      <c r="P137" s="214">
        <f>SUM(compras_mes6[[#This Row],[NETO GRAVADO]:[Otros / No Grav.]])</f>
        <v>43736.846599999997</v>
      </c>
      <c r="Q137" s="215" t="str">
        <f>IFERROR(IF(compras_mes6[[#This Row],[CUIT]]="","-",VLOOKUP(compras_mes6[[#This Row],[CUIT]],Lista_CUIT[#All],3,0)),"CUIT NO CARGADO")</f>
        <v>Servicios Gas, Luz, etc.</v>
      </c>
      <c r="R137" s="215">
        <f>IFERROR(IF(compras_mes6[[#This Row],[CUIT]]="","-",VLOOKUP(compras_mes6[[#This Row],[CUIT]],Lista_CUIT[#All],4,0)),"CUIT NO CARGADO")</f>
        <v>0</v>
      </c>
    </row>
    <row r="138" spans="2:18" ht="15" customHeight="1" x14ac:dyDescent="0.25">
      <c r="B138" s="207" t="s">
        <v>2487</v>
      </c>
      <c r="C138" s="41">
        <v>1</v>
      </c>
      <c r="D138" s="209">
        <v>5</v>
      </c>
      <c r="E138" s="225">
        <v>3397</v>
      </c>
      <c r="F138" s="210">
        <v>30711651779</v>
      </c>
      <c r="G138" s="211" t="str">
        <f>IFERROR(IF(compras_mes6[[#This Row],[CUIT]]="","-",VLOOKUP(compras_mes6[[#This Row],[CUIT]],Lista_CUIT[#All],2,0)),"CUIT NO CARGADO")</f>
        <v>INFOSOL BUENOS AIRES S.R.L.</v>
      </c>
      <c r="H138" s="212">
        <v>82644.63</v>
      </c>
      <c r="I138" s="213">
        <f>IF(compras_mes6[[#This Row],[NETO GRAVADO]]="","",compras_mes6[[#This Row],[NETO GRAVADO]]*0.21)</f>
        <v>17355.372299999999</v>
      </c>
      <c r="J138" s="213"/>
      <c r="K138" s="213"/>
      <c r="L138" s="213"/>
      <c r="M138" s="213"/>
      <c r="N138" s="213"/>
      <c r="O138" s="213"/>
      <c r="P138" s="214">
        <f>SUM(compras_mes6[[#This Row],[NETO GRAVADO]:[Otros / No Grav.]])</f>
        <v>100000.00230000001</v>
      </c>
      <c r="Q138" s="215" t="str">
        <f>IFERROR(IF(compras_mes6[[#This Row],[CUIT]]="","-",VLOOKUP(compras_mes6[[#This Row],[CUIT]],Lista_CUIT[#All],3,0)),"CUIT NO CARGADO")</f>
        <v>Servicios Informatica</v>
      </c>
      <c r="R138" s="215">
        <f>IFERROR(IF(compras_mes6[[#This Row],[CUIT]]="","-",VLOOKUP(compras_mes6[[#This Row],[CUIT]],Lista_CUIT[#All],4,0)),"CUIT NO CARGADO")</f>
        <v>0</v>
      </c>
    </row>
    <row r="139" spans="2:18" ht="15" customHeight="1" x14ac:dyDescent="0.25">
      <c r="B139" s="207" t="s">
        <v>2503</v>
      </c>
      <c r="C139" s="41">
        <v>1</v>
      </c>
      <c r="D139" s="209">
        <v>5</v>
      </c>
      <c r="E139" s="225">
        <v>3440</v>
      </c>
      <c r="F139" s="210">
        <v>30711651779</v>
      </c>
      <c r="G139" s="211" t="str">
        <f>IFERROR(IF(compras_mes6[[#This Row],[CUIT]]="","-",VLOOKUP(compras_mes6[[#This Row],[CUIT]],Lista_CUIT[#All],2,0)),"CUIT NO CARGADO")</f>
        <v>INFOSOL BUENOS AIRES S.R.L.</v>
      </c>
      <c r="H139" s="212">
        <v>74380.17</v>
      </c>
      <c r="I139" s="213">
        <f>IF(compras_mes6[[#This Row],[NETO GRAVADO]]="","",compras_mes6[[#This Row],[NETO GRAVADO]]*0.21)</f>
        <v>15619.8357</v>
      </c>
      <c r="J139" s="213"/>
      <c r="K139" s="213"/>
      <c r="L139" s="213"/>
      <c r="M139" s="213"/>
      <c r="N139" s="213"/>
      <c r="O139" s="213"/>
      <c r="P139" s="214">
        <f>SUM(compras_mes6[[#This Row],[NETO GRAVADO]:[Otros / No Grav.]])</f>
        <v>90000.005699999994</v>
      </c>
      <c r="Q139" s="215" t="str">
        <f>IFERROR(IF(compras_mes6[[#This Row],[CUIT]]="","-",VLOOKUP(compras_mes6[[#This Row],[CUIT]],Lista_CUIT[#All],3,0)),"CUIT NO CARGADO")</f>
        <v>Servicios Informatica</v>
      </c>
      <c r="R139" s="215">
        <f>IFERROR(IF(compras_mes6[[#This Row],[CUIT]]="","-",VLOOKUP(compras_mes6[[#This Row],[CUIT]],Lista_CUIT[#All],4,0)),"CUIT NO CARGADO")</f>
        <v>0</v>
      </c>
    </row>
    <row r="140" spans="2:18" ht="15" customHeight="1" x14ac:dyDescent="0.25">
      <c r="B140" s="207" t="s">
        <v>2513</v>
      </c>
      <c r="C140" s="41">
        <v>1</v>
      </c>
      <c r="D140" s="209">
        <v>5</v>
      </c>
      <c r="E140" s="225">
        <v>3468</v>
      </c>
      <c r="F140" s="210">
        <v>30711651779</v>
      </c>
      <c r="G140" s="211" t="str">
        <f>IFERROR(IF(compras_mes6[[#This Row],[CUIT]]="","-",VLOOKUP(compras_mes6[[#This Row],[CUIT]],Lista_CUIT[#All],2,0)),"CUIT NO CARGADO")</f>
        <v>INFOSOL BUENOS AIRES S.R.L.</v>
      </c>
      <c r="H140" s="212">
        <v>57851.24</v>
      </c>
      <c r="I140" s="213">
        <f>IF(compras_mes6[[#This Row],[NETO GRAVADO]]="","",compras_mes6[[#This Row],[NETO GRAVADO]]*0.21)</f>
        <v>12148.760399999999</v>
      </c>
      <c r="J140" s="213"/>
      <c r="K140" s="213"/>
      <c r="L140" s="213"/>
      <c r="M140" s="213"/>
      <c r="N140" s="213"/>
      <c r="O140" s="213"/>
      <c r="P140" s="214">
        <f>SUM(compras_mes6[[#This Row],[NETO GRAVADO]:[Otros / No Grav.]])</f>
        <v>70000.00039999999</v>
      </c>
      <c r="Q140" s="215" t="str">
        <f>IFERROR(IF(compras_mes6[[#This Row],[CUIT]]="","-",VLOOKUP(compras_mes6[[#This Row],[CUIT]],Lista_CUIT[#All],3,0)),"CUIT NO CARGADO")</f>
        <v>Servicios Informatica</v>
      </c>
      <c r="R140" s="215">
        <f>IFERROR(IF(compras_mes6[[#This Row],[CUIT]]="","-",VLOOKUP(compras_mes6[[#This Row],[CUIT]],Lista_CUIT[#All],4,0)),"CUIT NO CARGADO")</f>
        <v>0</v>
      </c>
    </row>
    <row r="141" spans="2:18" x14ac:dyDescent="0.25">
      <c r="B141" s="207" t="s">
        <v>2502</v>
      </c>
      <c r="C141" s="41">
        <v>1</v>
      </c>
      <c r="D141" s="209">
        <v>3</v>
      </c>
      <c r="E141" s="225">
        <v>10535</v>
      </c>
      <c r="F141" s="210">
        <v>27412102431</v>
      </c>
      <c r="G141" s="211" t="str">
        <f>IFERROR(IF(compras_mes6[[#This Row],[CUIT]]="","-",VLOOKUP(compras_mes6[[#This Row],[CUIT]],Lista_CUIT[#All],2,0)),"CUIT NO CARGADO")</f>
        <v>ALVEZ ARIANA SOL</v>
      </c>
      <c r="H141" s="212">
        <v>75289.240000000005</v>
      </c>
      <c r="I141" s="213">
        <f>IF(compras_mes6[[#This Row],[NETO GRAVADO]]="","",compras_mes6[[#This Row],[NETO GRAVADO]]*0.21)</f>
        <v>15810.740400000001</v>
      </c>
      <c r="J141" s="213"/>
      <c r="K141" s="213"/>
      <c r="L141" s="213"/>
      <c r="M141" s="213"/>
      <c r="N141" s="213"/>
      <c r="O141" s="213"/>
      <c r="P141" s="214">
        <f>SUM(compras_mes6[[#This Row],[NETO GRAVADO]:[Otros / No Grav.]])</f>
        <v>91099.9804</v>
      </c>
      <c r="Q141" s="215" t="str">
        <f>IFERROR(IF(compras_mes6[[#This Row],[CUIT]]="","-",VLOOKUP(compras_mes6[[#This Row],[CUIT]],Lista_CUIT[#All],3,0)),"CUIT NO CARGADO")</f>
        <v>Software Mantenimiento</v>
      </c>
      <c r="R141" s="215">
        <f>IFERROR(IF(compras_mes6[[#This Row],[CUIT]]="","-",VLOOKUP(compras_mes6[[#This Row],[CUIT]],Lista_CUIT[#All],4,0)),"CUIT NO CARGADO")</f>
        <v>0</v>
      </c>
    </row>
    <row r="142" spans="2:18" ht="14.25" customHeight="1" x14ac:dyDescent="0.25">
      <c r="B142" s="95" t="s">
        <v>103</v>
      </c>
      <c r="C142" s="95"/>
      <c r="D142" s="95"/>
      <c r="E142" s="95"/>
      <c r="F142" s="95"/>
      <c r="G142" s="96"/>
      <c r="H142" s="97">
        <f>SUBTOTAL(109,compras_mes6[NETO GRAVADO])</f>
        <v>60032148.530000009</v>
      </c>
      <c r="I142" s="97">
        <f>SUBTOTAL(109,compras_mes6[IVA 21 %])</f>
        <v>11819704.481199998</v>
      </c>
      <c r="J142" s="97">
        <f>SUBTOTAL(109,compras_mes6[IVA 27%])</f>
        <v>15307.35</v>
      </c>
      <c r="K142" s="97">
        <f>SUBTOTAL(109,compras_mes6[IVA 10,5%])</f>
        <v>387570.49</v>
      </c>
      <c r="L142" s="97">
        <f>SUBTOTAL(109,compras_mes6[PERC. IVA])</f>
        <v>20444.036999999997</v>
      </c>
      <c r="M142" s="97">
        <f>SUBTOTAL(109,compras_mes6[PERC IIBB 
BS AS])</f>
        <v>-576860.91999999981</v>
      </c>
      <c r="N142" s="97">
        <f>SUBTOTAL(109,compras_mes6[PERC. IIBB CABA])</f>
        <v>28870.18</v>
      </c>
      <c r="O142" s="97">
        <f>SUBTOTAL(109,compras_mes6[Otros / No Grav.])</f>
        <v>373504.82999999996</v>
      </c>
      <c r="P142" s="97">
        <f>SUBTOTAL(109,compras_mes6[TOTAL])</f>
        <v>72100688.978200018</v>
      </c>
      <c r="Q142" s="95"/>
      <c r="R142" s="95"/>
    </row>
    <row r="143" spans="2:18" ht="14.25" customHeight="1" x14ac:dyDescent="0.25">
      <c r="B143" s="95"/>
      <c r="C143" s="95"/>
      <c r="D143" s="95"/>
      <c r="E143" s="95"/>
      <c r="F143" s="95"/>
      <c r="G143" s="96"/>
      <c r="H143" s="97"/>
      <c r="I143" s="97"/>
      <c r="J143" s="97"/>
      <c r="K143" s="97"/>
      <c r="L143" s="97"/>
      <c r="M143" s="97"/>
      <c r="N143" s="97"/>
      <c r="O143" s="97"/>
      <c r="P143" s="97"/>
      <c r="Q143" s="95"/>
      <c r="R143" s="95"/>
    </row>
    <row r="144" spans="2:18" x14ac:dyDescent="0.25">
      <c r="B144" s="40"/>
      <c r="C144" s="41"/>
      <c r="D144" s="42"/>
      <c r="E144" s="43"/>
      <c r="F144" s="44"/>
      <c r="G144" s="45"/>
      <c r="H144" s="46">
        <f>H153*100/21</f>
        <v>3966.94</v>
      </c>
      <c r="I144" s="47">
        <f>I153*100/10.5</f>
        <v>324.25</v>
      </c>
      <c r="J144" s="47"/>
      <c r="K144" s="47"/>
      <c r="L144" s="47"/>
      <c r="M144" s="47"/>
      <c r="N144" s="47"/>
      <c r="O144" s="47"/>
      <c r="P144" s="48"/>
      <c r="Q144" s="49"/>
      <c r="R144" s="49"/>
    </row>
    <row r="145" spans="4:16" ht="21" x14ac:dyDescent="0.25">
      <c r="D145" s="581" t="s">
        <v>15</v>
      </c>
      <c r="E145" s="581"/>
      <c r="F145" s="581"/>
      <c r="G145" s="581"/>
      <c r="H145" s="581"/>
      <c r="I145" s="581"/>
      <c r="J145" s="581"/>
      <c r="K145" s="581"/>
      <c r="L145" s="581"/>
      <c r="P145" s="33">
        <f>-compras_mes6[[#Totals],[Otros / No Grav.]]-compras_mes6[[#Totals],[NETO GRAVADO]]</f>
        <v>-60405653.360000007</v>
      </c>
    </row>
    <row r="146" spans="4:16" ht="15.75" x14ac:dyDescent="0.25">
      <c r="D146" s="73" t="s">
        <v>0</v>
      </c>
      <c r="E146" s="74" t="s">
        <v>26</v>
      </c>
      <c r="F146" s="74" t="s">
        <v>16</v>
      </c>
      <c r="G146" s="74" t="s">
        <v>5</v>
      </c>
      <c r="H146" s="74" t="s">
        <v>17</v>
      </c>
      <c r="I146" s="74" t="s">
        <v>7</v>
      </c>
      <c r="J146" s="75" t="s">
        <v>18</v>
      </c>
      <c r="K146" s="75" t="s">
        <v>19</v>
      </c>
      <c r="L146" s="76" t="s">
        <v>20</v>
      </c>
      <c r="M146" s="239" t="s">
        <v>10</v>
      </c>
      <c r="P146" s="274">
        <v>39108764.619999997</v>
      </c>
    </row>
    <row r="147" spans="4:16" x14ac:dyDescent="0.25">
      <c r="D147" s="221"/>
      <c r="E147" s="224"/>
      <c r="F147" s="80" t="s">
        <v>2514</v>
      </c>
      <c r="G147" s="222">
        <f>extracto_banco_mes6[[#This Row],[IVA 21%]]*100/21</f>
        <v>1880342.857142857</v>
      </c>
      <c r="H147" s="222">
        <v>394872</v>
      </c>
      <c r="I147" s="222"/>
      <c r="J147" s="222">
        <v>1772502</v>
      </c>
      <c r="K147" s="222"/>
      <c r="L147" s="222">
        <v>134066</v>
      </c>
      <c r="M147" s="354">
        <f>SUM(extracto_banco_mes6[[#This Row],[NETO]:[PERC IIBB]])</f>
        <v>4181782.8571428573</v>
      </c>
      <c r="P147" s="274">
        <f>SUM(I159:I160)</f>
        <v>1187204</v>
      </c>
    </row>
    <row r="148" spans="4:16" x14ac:dyDescent="0.25">
      <c r="D148" s="221"/>
      <c r="E148" s="224"/>
      <c r="F148" s="80" t="s">
        <v>2515</v>
      </c>
      <c r="G148" s="222">
        <f>extracto_banco_mes6[[#This Row],[IVA 21%]]*100/21</f>
        <v>369223.80952380953</v>
      </c>
      <c r="H148" s="222">
        <v>77537</v>
      </c>
      <c r="I148" s="222"/>
      <c r="J148" s="222">
        <v>448003</v>
      </c>
      <c r="K148" s="222"/>
      <c r="L148" s="222">
        <v>5328</v>
      </c>
      <c r="M148" s="354">
        <f>SUM(extracto_banco_mes6[[#This Row],[NETO]:[PERC IIBB]])</f>
        <v>900091.80952380947</v>
      </c>
      <c r="O148" s="186">
        <f>SUM(compras_mes6[[#Totals],[IVA 10,5%]]+extracto_banco_mes6[[#Totals],[IVA 10,5%]])</f>
        <v>391870.3702</v>
      </c>
    </row>
    <row r="149" spans="4:16" x14ac:dyDescent="0.25">
      <c r="D149" s="221"/>
      <c r="E149" s="224"/>
      <c r="F149" s="80" t="s">
        <v>2517</v>
      </c>
      <c r="G149" s="222">
        <v>163466.68</v>
      </c>
      <c r="H149" s="222">
        <v>33932.409</v>
      </c>
      <c r="I149" s="222">
        <v>197.79689999999999</v>
      </c>
      <c r="J149" s="222">
        <v>11293.5</v>
      </c>
      <c r="K149" s="222">
        <v>4847.25</v>
      </c>
      <c r="L149" s="222"/>
      <c r="M149" s="354">
        <f>SUM(extracto_banco_mes6[[#This Row],[NETO]:[PERC IIBB]])</f>
        <v>213737.63589999996</v>
      </c>
      <c r="O149" s="186">
        <f>O148*100/10.5</f>
        <v>3732098.763809524</v>
      </c>
    </row>
    <row r="150" spans="4:16" x14ac:dyDescent="0.25">
      <c r="D150" s="221"/>
      <c r="E150" s="224"/>
      <c r="F150" s="80" t="s">
        <v>2311</v>
      </c>
      <c r="G150" s="222">
        <v>6611.57</v>
      </c>
      <c r="H150" s="222">
        <f>extracto_banco_mes6[[#This Row],[NETO]]*0.21</f>
        <v>1388.4296999999999</v>
      </c>
      <c r="I150" s="222"/>
      <c r="J150" s="222">
        <v>52.18</v>
      </c>
      <c r="K150" s="222">
        <v>198.35</v>
      </c>
      <c r="L150" s="222"/>
      <c r="M150" s="354">
        <f>SUM(extracto_banco_mes6[[#This Row],[NETO]:[PERC IIBB]])</f>
        <v>8250.5296999999991</v>
      </c>
    </row>
    <row r="151" spans="4:16" ht="18" customHeight="1" x14ac:dyDescent="0.25">
      <c r="D151" s="221"/>
      <c r="E151" s="224"/>
      <c r="F151" s="80" t="s">
        <v>2375</v>
      </c>
      <c r="G151" s="222">
        <v>48143.21</v>
      </c>
      <c r="H151" s="222">
        <v>10080</v>
      </c>
      <c r="I151" s="222">
        <v>15.037050000000001</v>
      </c>
      <c r="J151" s="222">
        <v>2880</v>
      </c>
      <c r="K151" s="222">
        <v>1440</v>
      </c>
      <c r="L151" s="222"/>
      <c r="M151" s="354">
        <f>SUM(extracto_banco_mes6[[#This Row],[NETO]:[PERC IIBB]])</f>
        <v>62558.247049999998</v>
      </c>
      <c r="O151" s="33">
        <f>SUM(compras_mes6[[#Totals],[IVA 21 %]]+extracto_banco_mes6[[#Totals],[IVA 21%]])</f>
        <v>12361270.977299998</v>
      </c>
    </row>
    <row r="152" spans="4:16" x14ac:dyDescent="0.25">
      <c r="D152" s="221"/>
      <c r="E152" s="224"/>
      <c r="F152" s="80" t="s">
        <v>2377</v>
      </c>
      <c r="G152" s="222">
        <v>147760</v>
      </c>
      <c r="H152" s="222">
        <v>22923.599999999999</v>
      </c>
      <c r="I152" s="222">
        <v>4053</v>
      </c>
      <c r="J152" s="222">
        <v>8703.01</v>
      </c>
      <c r="K152" s="222">
        <v>3772.5</v>
      </c>
      <c r="L152" s="222"/>
      <c r="M152" s="354">
        <f>SUM(extracto_banco_mes6[[#This Row],[NETO]:[PERC IIBB]])</f>
        <v>187212.11000000002</v>
      </c>
      <c r="O152" s="186">
        <f>O151*100/21</f>
        <v>58863195.129999988</v>
      </c>
    </row>
    <row r="153" spans="4:16" x14ac:dyDescent="0.25">
      <c r="D153" s="221"/>
      <c r="E153" s="224"/>
      <c r="F153" s="80" t="s">
        <v>2448</v>
      </c>
      <c r="G153" s="222">
        <v>4291.1900000000005</v>
      </c>
      <c r="H153" s="222">
        <v>833.05740000000003</v>
      </c>
      <c r="I153" s="222">
        <v>34.046250000000001</v>
      </c>
      <c r="J153" s="222">
        <v>7577.91</v>
      </c>
      <c r="K153" s="222">
        <v>119.01</v>
      </c>
      <c r="L153" s="222"/>
      <c r="M153" s="354">
        <f>SUM(extracto_banco_mes6[[#This Row],[NETO]:[PERC IIBB]])</f>
        <v>12855.21365</v>
      </c>
    </row>
    <row r="154" spans="4:16" ht="18" customHeight="1" x14ac:dyDescent="0.25">
      <c r="D154" s="221"/>
      <c r="E154" s="224"/>
      <c r="F154" s="223"/>
      <c r="G154" s="222"/>
      <c r="H154" s="222">
        <f>extracto_banco_mes6[[#This Row],[NETO]]*0.21</f>
        <v>0</v>
      </c>
      <c r="I154" s="222"/>
      <c r="J154" s="222"/>
      <c r="K154" s="222"/>
      <c r="L154" s="222"/>
      <c r="M154" s="354">
        <f>SUM(extracto_banco_mes6[[#This Row],[NETO]:[PERC IIBB]])</f>
        <v>0</v>
      </c>
      <c r="O154" s="33">
        <f>compras_mes6[[#Totals],[IVA 27%]]</f>
        <v>15307.35</v>
      </c>
    </row>
    <row r="155" spans="4:16" x14ac:dyDescent="0.25">
      <c r="D155" s="82" t="s">
        <v>103</v>
      </c>
      <c r="E155" s="80"/>
      <c r="F155" s="80"/>
      <c r="G155" s="83">
        <f>SUBTOTAL(109,extracto_banco_mes6[NETO])</f>
        <v>2619839.3166666664</v>
      </c>
      <c r="H155" s="83">
        <f>SUBTOTAL(109,extracto_banco_mes6[IVA 21%])</f>
        <v>541566.49609999999</v>
      </c>
      <c r="I155" s="83">
        <f>SUBTOTAL(109,extracto_banco_mes6[IVA 10,5%])</f>
        <v>4299.8802000000005</v>
      </c>
      <c r="J155" s="83">
        <f>SUBTOTAL(109,extracto_banco_mes6[RET IIBB CABA])</f>
        <v>2251011.6</v>
      </c>
      <c r="K155" s="83">
        <f>SUBTOTAL(109,extracto_banco_mes6[PERC IVA])</f>
        <v>10377.11</v>
      </c>
      <c r="L155" s="83">
        <f>SUBTOTAL(109,extracto_banco_mes6[PERC IIBB])</f>
        <v>139394</v>
      </c>
      <c r="M155" s="228"/>
      <c r="O155" s="186">
        <f>O154*100/27</f>
        <v>56693.888888888891</v>
      </c>
    </row>
    <row r="156" spans="4:16" ht="18" customHeight="1" x14ac:dyDescent="0.25"/>
    <row r="157" spans="4:16" ht="21" x14ac:dyDescent="0.25">
      <c r="D157" s="581" t="s">
        <v>25</v>
      </c>
      <c r="E157" s="581"/>
      <c r="F157" s="581"/>
      <c r="G157" s="581"/>
      <c r="H157" s="581"/>
      <c r="I157" s="581"/>
      <c r="J157" s="581"/>
      <c r="K157" s="581"/>
    </row>
    <row r="158" spans="4:16" x14ac:dyDescent="0.25">
      <c r="D158" s="51" t="s">
        <v>0</v>
      </c>
      <c r="E158" s="51" t="s">
        <v>2</v>
      </c>
      <c r="F158" s="51" t="s">
        <v>74</v>
      </c>
      <c r="G158" s="51" t="s">
        <v>3</v>
      </c>
      <c r="H158" s="51" t="s">
        <v>4</v>
      </c>
      <c r="I158" s="52" t="s">
        <v>10</v>
      </c>
      <c r="J158" s="51" t="s">
        <v>13</v>
      </c>
      <c r="K158" s="51" t="s">
        <v>38</v>
      </c>
    </row>
    <row r="159" spans="4:16" x14ac:dyDescent="0.25">
      <c r="D159" s="207" t="s">
        <v>2499</v>
      </c>
      <c r="E159" s="321">
        <v>1</v>
      </c>
      <c r="F159" s="321">
        <v>125</v>
      </c>
      <c r="G159" s="322">
        <v>20299505430</v>
      </c>
      <c r="H159" s="323" t="str">
        <f>IFERROR(IF(factura_c_mes6[[#This Row],[CUIT]]="","-",VLOOKUP(factura_c_mes6[[#This Row],[CUIT]],Lista_CUIT[#All],2,0)),"CUIT NO CARGADO")</f>
        <v>PRADO EMILIANO HERNAN</v>
      </c>
      <c r="I159" s="324">
        <v>319800</v>
      </c>
      <c r="J159" s="325" t="str">
        <f>IFERROR(IF(factura_c_mes6[[#This Row],[CUIT]]="","-",VLOOKUP(factura_c_mes6[[#This Row],[CUIT]],Lista_CUIT[#All],3,0)),"CUIT NO CARGADO")</f>
        <v>Material de Empaque</v>
      </c>
      <c r="K159" s="325">
        <f>IFERROR(IF(factura_c_mes6[[#This Row],[CUIT]]="","-",VLOOKUP(factura_c_mes6[[#This Row],[CUIT]],Lista_CUIT[#All],4,0)),"CUIT NO CARGADO")</f>
        <v>0</v>
      </c>
    </row>
    <row r="160" spans="4:16" x14ac:dyDescent="0.25">
      <c r="D160" s="207" t="s">
        <v>2504</v>
      </c>
      <c r="E160" s="321">
        <v>1</v>
      </c>
      <c r="F160" s="321">
        <v>127</v>
      </c>
      <c r="G160" s="322">
        <v>20299505430</v>
      </c>
      <c r="H160" s="323" t="str">
        <f>IFERROR(IF(factura_c_mes6[[#This Row],[CUIT]]="","-",VLOOKUP(factura_c_mes6[[#This Row],[CUIT]],Lista_CUIT[#All],2,0)),"CUIT NO CARGADO")</f>
        <v>PRADO EMILIANO HERNAN</v>
      </c>
      <c r="I160" s="324">
        <v>867404</v>
      </c>
      <c r="J160" s="325" t="str">
        <f>IFERROR(IF(factura_c_mes6[[#This Row],[CUIT]]="","-",VLOOKUP(factura_c_mes6[[#This Row],[CUIT]],Lista_CUIT[#All],3,0)),"CUIT NO CARGADO")</f>
        <v>Material de Empaque</v>
      </c>
      <c r="K160" s="325">
        <f>IFERROR(IF(factura_c_mes6[[#This Row],[CUIT]]="","-",VLOOKUP(factura_c_mes6[[#This Row],[CUIT]],Lista_CUIT[#All],4,0)),"CUIT NO CARGADO")</f>
        <v>0</v>
      </c>
    </row>
    <row r="161" spans="4:11" x14ac:dyDescent="0.25">
      <c r="D161" s="207" t="s">
        <v>2510</v>
      </c>
      <c r="E161" s="321">
        <v>1</v>
      </c>
      <c r="F161" s="321">
        <v>112</v>
      </c>
      <c r="G161" s="322">
        <v>20176922363</v>
      </c>
      <c r="H161" s="323" t="str">
        <f>IFERROR(IF(factura_c_mes6[[#This Row],[CUIT]]="","-",VLOOKUP(factura_c_mes6[[#This Row],[CUIT]],Lista_CUIT[#All],2,0)),"CUIT NO CARGADO")</f>
        <v>CASTILLO JUAN RAMON</v>
      </c>
      <c r="I161" s="324">
        <v>800000</v>
      </c>
      <c r="J161" s="325" t="str">
        <f>IFERROR(IF(factura_c_mes6[[#This Row],[CUIT]]="","-",VLOOKUP(factura_c_mes6[[#This Row],[CUIT]],Lista_CUIT[#All],3,0)),"CUIT NO CARGADO")</f>
        <v>Honorarios Profesionales</v>
      </c>
      <c r="K161" s="325">
        <f>IFERROR(IF(factura_c_mes6[[#This Row],[CUIT]]="","-",VLOOKUP(factura_c_mes6[[#This Row],[CUIT]],Lista_CUIT[#All],4,0)),"CUIT NO CARGADO")</f>
        <v>0</v>
      </c>
    </row>
    <row r="162" spans="4:11" x14ac:dyDescent="0.25">
      <c r="D162" s="207" t="s">
        <v>2513</v>
      </c>
      <c r="E162" s="321">
        <v>2</v>
      </c>
      <c r="F162" s="321">
        <v>777</v>
      </c>
      <c r="G162" s="322">
        <v>27218690160</v>
      </c>
      <c r="H162" s="323" t="str">
        <f>IFERROR(IF(factura_c_mes6[[#This Row],[CUIT]]="","-",VLOOKUP(factura_c_mes6[[#This Row],[CUIT]],Lista_CUIT[#All],2,0)),"CUIT NO CARGADO")</f>
        <v>RAMIREZ LAURA VERONICA</v>
      </c>
      <c r="I162" s="324">
        <v>28500</v>
      </c>
      <c r="J162" s="325" t="str">
        <f>IFERROR(IF(factura_c_mes6[[#This Row],[CUIT]]="","-",VLOOKUP(factura_c_mes6[[#This Row],[CUIT]],Lista_CUIT[#All],3,0)),"CUIT NO CARGADO")</f>
        <v>Honorarios Profesionales</v>
      </c>
      <c r="K162" s="325">
        <f>IFERROR(IF(factura_c_mes6[[#This Row],[CUIT]]="","-",VLOOKUP(factura_c_mes6[[#This Row],[CUIT]],Lista_CUIT[#All],4,0)),"CUIT NO CARGADO")</f>
        <v>0</v>
      </c>
    </row>
    <row r="163" spans="4:11" x14ac:dyDescent="0.25">
      <c r="D163" s="207" t="s">
        <v>2513</v>
      </c>
      <c r="E163" s="321">
        <v>2</v>
      </c>
      <c r="F163" s="321">
        <v>778</v>
      </c>
      <c r="G163" s="322">
        <v>27218690160</v>
      </c>
      <c r="H163" s="323" t="str">
        <f>IFERROR(IF(factura_c_mes6[[#This Row],[CUIT]]="","-",VLOOKUP(factura_c_mes6[[#This Row],[CUIT]],Lista_CUIT[#All],2,0)),"CUIT NO CARGADO")</f>
        <v>RAMIREZ LAURA VERONICA</v>
      </c>
      <c r="I163" s="324">
        <v>28500</v>
      </c>
      <c r="J163" s="325" t="str">
        <f>IFERROR(IF(factura_c_mes6[[#This Row],[CUIT]]="","-",VLOOKUP(factura_c_mes6[[#This Row],[CUIT]],Lista_CUIT[#All],3,0)),"CUIT NO CARGADO")</f>
        <v>Honorarios Profesionales</v>
      </c>
      <c r="K163" s="325">
        <f>IFERROR(IF(factura_c_mes6[[#This Row],[CUIT]]="","-",VLOOKUP(factura_c_mes6[[#This Row],[CUIT]],Lista_CUIT[#All],4,0)),"CUIT NO CARGADO")</f>
        <v>0</v>
      </c>
    </row>
    <row r="164" spans="4:11" x14ac:dyDescent="0.25">
      <c r="D164" s="207" t="s">
        <v>2487</v>
      </c>
      <c r="E164" s="216">
        <v>4</v>
      </c>
      <c r="F164" s="216">
        <v>23</v>
      </c>
      <c r="G164" s="217">
        <v>20086277523</v>
      </c>
      <c r="H164" s="218" t="str">
        <f>IFERROR(IF(factura_c_mes6[[#This Row],[CUIT]]="","-",VLOOKUP(factura_c_mes6[[#This Row],[CUIT]],Lista_CUIT[#All],2,0)),"CUIT NO CARGADO")</f>
        <v>BOTINDARI JUAN CARLOS</v>
      </c>
      <c r="I164" s="219">
        <v>300000</v>
      </c>
      <c r="J164" s="220" t="str">
        <f>IFERROR(IF(factura_c_mes6[[#This Row],[CUIT]]="","-",VLOOKUP(factura_c_mes6[[#This Row],[CUIT]],Lista_CUIT[#All],3,0)),"CUIT NO CARGADO")</f>
        <v>Honorarios Contables</v>
      </c>
      <c r="K164" s="220">
        <f>IFERROR(IF(factura_c_mes6[[#This Row],[CUIT]]="","-",VLOOKUP(factura_c_mes6[[#This Row],[CUIT]],Lista_CUIT[#All],4,0)),"CUIT NO CARGADO")</f>
        <v>0</v>
      </c>
    </row>
    <row r="165" spans="4:11" x14ac:dyDescent="0.25">
      <c r="D165" s="207" t="s">
        <v>2487</v>
      </c>
      <c r="E165" s="216">
        <v>2</v>
      </c>
      <c r="F165" s="216">
        <v>388</v>
      </c>
      <c r="G165" s="217">
        <v>27206941419</v>
      </c>
      <c r="H165" s="218" t="str">
        <f>IFERROR(IF(factura_c_mes6[[#This Row],[CUIT]]="","-",VLOOKUP(factura_c_mes6[[#This Row],[CUIT]],Lista_CUIT[#All],2,0)),"CUIT NO CARGADO")</f>
        <v>DOBARRO PAULA MARCELA</v>
      </c>
      <c r="I165" s="219">
        <v>150000</v>
      </c>
      <c r="J165" s="220" t="str">
        <f>IFERROR(IF(factura_c_mes6[[#This Row],[CUIT]]="","-",VLOOKUP(factura_c_mes6[[#This Row],[CUIT]],Lista_CUIT[#All],3,0)),"CUIT NO CARGADO")</f>
        <v>Honorarios Contables</v>
      </c>
      <c r="K165" s="220">
        <f>IFERROR(IF(factura_c_mes6[[#This Row],[CUIT]]="","-",VLOOKUP(factura_c_mes6[[#This Row],[CUIT]],Lista_CUIT[#All],4,0)),"CUIT NO CARGADO")</f>
        <v>0</v>
      </c>
    </row>
    <row r="166" spans="4:11" x14ac:dyDescent="0.25">
      <c r="D166" s="207" t="s">
        <v>2491</v>
      </c>
      <c r="E166" s="216">
        <v>2</v>
      </c>
      <c r="F166" s="216">
        <v>341</v>
      </c>
      <c r="G166" s="217">
        <v>23319210954</v>
      </c>
      <c r="H166" s="218" t="str">
        <f>IFERROR(IF(factura_c_mes6[[#This Row],[CUIT]]="","-",VLOOKUP(factura_c_mes6[[#This Row],[CUIT]],Lista_CUIT[#All],2,0)),"CUIT NO CARGADO")</f>
        <v>CAFFARATTI ROMINA PAOLA</v>
      </c>
      <c r="I166" s="219">
        <v>327300</v>
      </c>
      <c r="J166" s="220" t="str">
        <f>IFERROR(IF(factura_c_mes6[[#This Row],[CUIT]]="","-",VLOOKUP(factura_c_mes6[[#This Row],[CUIT]],Lista_CUIT[#All],3,0)),"CUIT NO CARGADO")</f>
        <v>Honorarios Contables</v>
      </c>
      <c r="K166" s="220">
        <f>IFERROR(IF(factura_c_mes6[[#This Row],[CUIT]]="","-",VLOOKUP(factura_c_mes6[[#This Row],[CUIT]],Lista_CUIT[#All],4,0)),"CUIT NO CARGADO")</f>
        <v>0</v>
      </c>
    </row>
    <row r="167" spans="4:11" x14ac:dyDescent="0.25">
      <c r="D167" s="207" t="s">
        <v>2489</v>
      </c>
      <c r="E167" s="216">
        <v>1</v>
      </c>
      <c r="F167" s="216">
        <v>16</v>
      </c>
      <c r="G167" s="217">
        <v>27309116343</v>
      </c>
      <c r="H167" s="218" t="str">
        <f>IFERROR(IF(factura_c_mes6[[#This Row],[CUIT]]="","-",VLOOKUP(factura_c_mes6[[#This Row],[CUIT]],Lista_CUIT[#All],2,0)),"CUIT NO CARGADO")</f>
        <v>FERNANDEZ DANIELA NATALIA</v>
      </c>
      <c r="I167" s="219">
        <v>133000</v>
      </c>
      <c r="J167" s="220" t="str">
        <f>IFERROR(IF(factura_c_mes6[[#This Row],[CUIT]]="","-",VLOOKUP(factura_c_mes6[[#This Row],[CUIT]],Lista_CUIT[#All],3,0)),"CUIT NO CARGADO")</f>
        <v>Honorarios Administrativos</v>
      </c>
      <c r="K167" s="220">
        <f>IFERROR(IF(factura_c_mes6[[#This Row],[CUIT]]="","-",VLOOKUP(factura_c_mes6[[#This Row],[CUIT]],Lista_CUIT[#All],4,0)),"CUIT NO CARGADO")</f>
        <v>0</v>
      </c>
    </row>
    <row r="168" spans="4:11" x14ac:dyDescent="0.25">
      <c r="D168" s="207" t="s">
        <v>2489</v>
      </c>
      <c r="E168" s="216">
        <v>1</v>
      </c>
      <c r="F168" s="216">
        <v>21</v>
      </c>
      <c r="G168" s="217">
        <v>20420115882</v>
      </c>
      <c r="H168" s="218" t="str">
        <f>IFERROR(IF(factura_c_mes6[[#This Row],[CUIT]]="","-",VLOOKUP(factura_c_mes6[[#This Row],[CUIT]],Lista_CUIT[#All],2,0)),"CUIT NO CARGADO")</f>
        <v>CASTILLO MARIANO JAVIER</v>
      </c>
      <c r="I168" s="219">
        <v>754000</v>
      </c>
      <c r="J168" s="220" t="str">
        <f>IFERROR(IF(factura_c_mes6[[#This Row],[CUIT]]="","-",VLOOKUP(factura_c_mes6[[#This Row],[CUIT]],Lista_CUIT[#All],3,0)),"CUIT NO CARGADO")</f>
        <v>Honorarios Administrativos</v>
      </c>
      <c r="K168" s="220">
        <f>IFERROR(IF(factura_c_mes6[[#This Row],[CUIT]]="","-",VLOOKUP(factura_c_mes6[[#This Row],[CUIT]],Lista_CUIT[#All],4,0)),"CUIT NO CARGADO")</f>
        <v>0</v>
      </c>
    </row>
    <row r="169" spans="4:11" x14ac:dyDescent="0.25">
      <c r="D169" s="207" t="s">
        <v>2495</v>
      </c>
      <c r="E169" s="216">
        <v>1</v>
      </c>
      <c r="F169" s="216">
        <v>17</v>
      </c>
      <c r="G169" s="217">
        <v>27309116343</v>
      </c>
      <c r="H169" s="218" t="str">
        <f>IFERROR(IF(factura_c_mes6[[#This Row],[CUIT]]="","-",VLOOKUP(factura_c_mes6[[#This Row],[CUIT]],Lista_CUIT[#All],2,0)),"CUIT NO CARGADO")</f>
        <v>FERNANDEZ DANIELA NATALIA</v>
      </c>
      <c r="I169" s="219">
        <v>132000</v>
      </c>
      <c r="J169" s="220" t="str">
        <f>IFERROR(IF(factura_c_mes6[[#This Row],[CUIT]]="","-",VLOOKUP(factura_c_mes6[[#This Row],[CUIT]],Lista_CUIT[#All],3,0)),"CUIT NO CARGADO")</f>
        <v>Honorarios Administrativos</v>
      </c>
      <c r="K169" s="220">
        <f>IFERROR(IF(factura_c_mes6[[#This Row],[CUIT]]="","-",VLOOKUP(factura_c_mes6[[#This Row],[CUIT]],Lista_CUIT[#All],4,0)),"CUIT NO CARGADO")</f>
        <v>0</v>
      </c>
    </row>
    <row r="170" spans="4:11" x14ac:dyDescent="0.25">
      <c r="D170" s="207" t="s">
        <v>2495</v>
      </c>
      <c r="E170" s="321">
        <v>2</v>
      </c>
      <c r="F170" s="321">
        <v>21</v>
      </c>
      <c r="G170" s="322">
        <v>27226409799</v>
      </c>
      <c r="H170" s="323" t="str">
        <f>IFERROR(IF(factura_c_mes6[[#This Row],[CUIT]]="","-",VLOOKUP(factura_c_mes6[[#This Row],[CUIT]],Lista_CUIT[#All],2,0)),"CUIT NO CARGADO")</f>
        <v>CASTILLO BERTA YOLANDA</v>
      </c>
      <c r="I170" s="324">
        <v>1500000</v>
      </c>
      <c r="J170" s="325" t="str">
        <f>IFERROR(IF(factura_c_mes6[[#This Row],[CUIT]]="","-",VLOOKUP(factura_c_mes6[[#This Row],[CUIT]],Lista_CUIT[#All],3,0)),"CUIT NO CARGADO")</f>
        <v>Honorarios Administrativos</v>
      </c>
      <c r="K170" s="325">
        <f>IFERROR(IF(factura_c_mes6[[#This Row],[CUIT]]="","-",VLOOKUP(factura_c_mes6[[#This Row],[CUIT]],Lista_CUIT[#All],4,0)),"CUIT NO CARGADO")</f>
        <v>0</v>
      </c>
    </row>
    <row r="171" spans="4:11" x14ac:dyDescent="0.25">
      <c r="D171" s="207" t="s">
        <v>2489</v>
      </c>
      <c r="E171" s="216">
        <v>2</v>
      </c>
      <c r="F171" s="216">
        <v>5374</v>
      </c>
      <c r="G171" s="217">
        <v>20136536320</v>
      </c>
      <c r="H171" s="218" t="str">
        <f>IFERROR(IF(factura_c_mes6[[#This Row],[CUIT]]="","-",VLOOKUP(factura_c_mes6[[#This Row],[CUIT]],Lista_CUIT[#All],2,0)),"CUIT NO CARGADO")</f>
        <v>FONTENLA ERNESTO MARIO</v>
      </c>
      <c r="I171" s="219">
        <v>3800</v>
      </c>
      <c r="J171" s="220" t="str">
        <f>IFERROR(IF(factura_c_mes6[[#This Row],[CUIT]]="","-",VLOOKUP(factura_c_mes6[[#This Row],[CUIT]],Lista_CUIT[#All],3,0)),"CUIT NO CARGADO")</f>
        <v>Gastos Varios</v>
      </c>
      <c r="K171" s="220" t="str">
        <f>IFERROR(IF(factura_c_mes6[[#This Row],[CUIT]]="","-",VLOOKUP(factura_c_mes6[[#This Row],[CUIT]],Lista_CUIT[#All],4,0)),"CUIT NO CARGADO")</f>
        <v>CABA</v>
      </c>
    </row>
    <row r="172" spans="4:11" x14ac:dyDescent="0.25">
      <c r="D172" s="207" t="s">
        <v>2491</v>
      </c>
      <c r="E172" s="216">
        <v>2</v>
      </c>
      <c r="F172" s="216">
        <v>5382</v>
      </c>
      <c r="G172" s="217">
        <v>20136536320</v>
      </c>
      <c r="H172" s="218" t="str">
        <f>IFERROR(IF(factura_c_mes6[[#This Row],[CUIT]]="","-",VLOOKUP(factura_c_mes6[[#This Row],[CUIT]],Lista_CUIT[#All],2,0)),"CUIT NO CARGADO")</f>
        <v>FONTENLA ERNESTO MARIO</v>
      </c>
      <c r="I172" s="219">
        <v>6200</v>
      </c>
      <c r="J172" s="220" t="str">
        <f>IFERROR(IF(factura_c_mes6[[#This Row],[CUIT]]="","-",VLOOKUP(factura_c_mes6[[#This Row],[CUIT]],Lista_CUIT[#All],3,0)),"CUIT NO CARGADO")</f>
        <v>Gastos Varios</v>
      </c>
      <c r="K172" s="220" t="str">
        <f>IFERROR(IF(factura_c_mes6[[#This Row],[CUIT]]="","-",VLOOKUP(factura_c_mes6[[#This Row],[CUIT]],Lista_CUIT[#All],4,0)),"CUIT NO CARGADO")</f>
        <v>CABA</v>
      </c>
    </row>
    <row r="173" spans="4:11" x14ac:dyDescent="0.25">
      <c r="D173" s="207" t="s">
        <v>2492</v>
      </c>
      <c r="E173" s="216">
        <v>2</v>
      </c>
      <c r="F173" s="216">
        <v>5384</v>
      </c>
      <c r="G173" s="217">
        <v>20136536320</v>
      </c>
      <c r="H173" s="218" t="str">
        <f>IFERROR(IF(factura_c_mes6[[#This Row],[CUIT]]="","-",VLOOKUP(factura_c_mes6[[#This Row],[CUIT]],Lista_CUIT[#All],2,0)),"CUIT NO CARGADO")</f>
        <v>FONTENLA ERNESTO MARIO</v>
      </c>
      <c r="I173" s="219">
        <v>4000</v>
      </c>
      <c r="J173" s="220" t="str">
        <f>IFERROR(IF(factura_c_mes6[[#This Row],[CUIT]]="","-",VLOOKUP(factura_c_mes6[[#This Row],[CUIT]],Lista_CUIT[#All],3,0)),"CUIT NO CARGADO")</f>
        <v>Gastos Varios</v>
      </c>
      <c r="K173" s="220" t="str">
        <f>IFERROR(IF(factura_c_mes6[[#This Row],[CUIT]]="","-",VLOOKUP(factura_c_mes6[[#This Row],[CUIT]],Lista_CUIT[#All],4,0)),"CUIT NO CARGADO")</f>
        <v>CABA</v>
      </c>
    </row>
    <row r="174" spans="4:11" x14ac:dyDescent="0.25">
      <c r="D174" s="207" t="s">
        <v>2497</v>
      </c>
      <c r="E174" s="321">
        <v>2</v>
      </c>
      <c r="F174" s="321">
        <v>5422</v>
      </c>
      <c r="G174" s="322">
        <v>20136536320</v>
      </c>
      <c r="H174" s="323" t="str">
        <f>IFERROR(IF(factura_c_mes6[[#This Row],[CUIT]]="","-",VLOOKUP(factura_c_mes6[[#This Row],[CUIT]],Lista_CUIT[#All],2,0)),"CUIT NO CARGADO")</f>
        <v>FONTENLA ERNESTO MARIO</v>
      </c>
      <c r="I174" s="324">
        <v>14300</v>
      </c>
      <c r="J174" s="325" t="str">
        <f>IFERROR(IF(factura_c_mes6[[#This Row],[CUIT]]="","-",VLOOKUP(factura_c_mes6[[#This Row],[CUIT]],Lista_CUIT[#All],3,0)),"CUIT NO CARGADO")</f>
        <v>Gastos Varios</v>
      </c>
      <c r="K174" s="325" t="str">
        <f>IFERROR(IF(factura_c_mes6[[#This Row],[CUIT]]="","-",VLOOKUP(factura_c_mes6[[#This Row],[CUIT]],Lista_CUIT[#All],4,0)),"CUIT NO CARGADO")</f>
        <v>CABA</v>
      </c>
    </row>
    <row r="175" spans="4:11" x14ac:dyDescent="0.25">
      <c r="D175" s="207" t="s">
        <v>2500</v>
      </c>
      <c r="E175" s="321">
        <v>3</v>
      </c>
      <c r="F175" s="321">
        <v>1840</v>
      </c>
      <c r="G175" s="322">
        <v>20173025557</v>
      </c>
      <c r="H175" s="323" t="str">
        <f>IFERROR(IF(factura_c_mes6[[#This Row],[CUIT]]="","-",VLOOKUP(factura_c_mes6[[#This Row],[CUIT]],Lista_CUIT[#All],2,0)),"CUIT NO CARGADO")</f>
        <v>MARAUDA HECTOR</v>
      </c>
      <c r="I175" s="324">
        <v>8000</v>
      </c>
      <c r="J175" s="325" t="str">
        <f>IFERROR(IF(factura_c_mes6[[#This Row],[CUIT]]="","-",VLOOKUP(factura_c_mes6[[#This Row],[CUIT]],Lista_CUIT[#All],3,0)),"CUIT NO CARGADO")</f>
        <v>Gastos Varios</v>
      </c>
      <c r="K175" s="325">
        <f>IFERROR(IF(factura_c_mes6[[#This Row],[CUIT]]="","-",VLOOKUP(factura_c_mes6[[#This Row],[CUIT]],Lista_CUIT[#All],4,0)),"CUIT NO CARGADO")</f>
        <v>0</v>
      </c>
    </row>
    <row r="176" spans="4:11" x14ac:dyDescent="0.25">
      <c r="D176" s="207" t="s">
        <v>2502</v>
      </c>
      <c r="E176" s="321">
        <v>2</v>
      </c>
      <c r="F176" s="321">
        <v>5427</v>
      </c>
      <c r="G176" s="322">
        <v>20136536320</v>
      </c>
      <c r="H176" s="323" t="str">
        <f>IFERROR(IF(factura_c_mes6[[#This Row],[CUIT]]="","-",VLOOKUP(factura_c_mes6[[#This Row],[CUIT]],Lista_CUIT[#All],2,0)),"CUIT NO CARGADO")</f>
        <v>FONTENLA ERNESTO MARIO</v>
      </c>
      <c r="I176" s="324">
        <v>17100</v>
      </c>
      <c r="J176" s="325" t="str">
        <f>IFERROR(IF(factura_c_mes6[[#This Row],[CUIT]]="","-",VLOOKUP(factura_c_mes6[[#This Row],[CUIT]],Lista_CUIT[#All],3,0)),"CUIT NO CARGADO")</f>
        <v>Gastos Varios</v>
      </c>
      <c r="K176" s="325" t="str">
        <f>IFERROR(IF(factura_c_mes6[[#This Row],[CUIT]]="","-",VLOOKUP(factura_c_mes6[[#This Row],[CUIT]],Lista_CUIT[#All],4,0)),"CUIT NO CARGADO")</f>
        <v>CABA</v>
      </c>
    </row>
    <row r="177" spans="2:18" x14ac:dyDescent="0.25">
      <c r="D177" s="207" t="s">
        <v>2503</v>
      </c>
      <c r="E177" s="321">
        <v>2</v>
      </c>
      <c r="F177" s="321">
        <v>5435</v>
      </c>
      <c r="G177" s="322">
        <v>20136536320</v>
      </c>
      <c r="H177" s="323" t="str">
        <f>IFERROR(IF(factura_c_mes6[[#This Row],[CUIT]]="","-",VLOOKUP(factura_c_mes6[[#This Row],[CUIT]],Lista_CUIT[#All],2,0)),"CUIT NO CARGADO")</f>
        <v>FONTENLA ERNESTO MARIO</v>
      </c>
      <c r="I177" s="324">
        <v>10200</v>
      </c>
      <c r="J177" s="325" t="str">
        <f>IFERROR(IF(factura_c_mes6[[#This Row],[CUIT]]="","-",VLOOKUP(factura_c_mes6[[#This Row],[CUIT]],Lista_CUIT[#All],3,0)),"CUIT NO CARGADO")</f>
        <v>Gastos Varios</v>
      </c>
      <c r="K177" s="325" t="str">
        <f>IFERROR(IF(factura_c_mes6[[#This Row],[CUIT]]="","-",VLOOKUP(factura_c_mes6[[#This Row],[CUIT]],Lista_CUIT[#All],4,0)),"CUIT NO CARGADO")</f>
        <v>CABA</v>
      </c>
    </row>
    <row r="178" spans="2:18" x14ac:dyDescent="0.25">
      <c r="D178" s="207" t="s">
        <v>2504</v>
      </c>
      <c r="E178" s="321">
        <v>10</v>
      </c>
      <c r="F178" s="321">
        <v>271</v>
      </c>
      <c r="G178" s="322">
        <v>20302234389</v>
      </c>
      <c r="H178" s="323" t="str">
        <f>IFERROR(IF(factura_c_mes6[[#This Row],[CUIT]]="","-",VLOOKUP(factura_c_mes6[[#This Row],[CUIT]],Lista_CUIT[#All],2,0)),"CUIT NO CARGADO")</f>
        <v>VIGORELLI GUILLERMO DANIEL</v>
      </c>
      <c r="I178" s="324">
        <v>300000</v>
      </c>
      <c r="J178" s="325" t="str">
        <f>IFERROR(IF(factura_c_mes6[[#This Row],[CUIT]]="","-",VLOOKUP(factura_c_mes6[[#This Row],[CUIT]],Lista_CUIT[#All],3,0)),"CUIT NO CARGADO")</f>
        <v>Gastos Varios</v>
      </c>
      <c r="K178" s="325">
        <f>IFERROR(IF(factura_c_mes6[[#This Row],[CUIT]]="","-",VLOOKUP(factura_c_mes6[[#This Row],[CUIT]],Lista_CUIT[#All],4,0)),"CUIT NO CARGADO")</f>
        <v>0</v>
      </c>
    </row>
    <row r="179" spans="2:18" x14ac:dyDescent="0.25">
      <c r="D179" s="207" t="s">
        <v>2487</v>
      </c>
      <c r="E179" s="216">
        <v>1</v>
      </c>
      <c r="F179" s="216">
        <v>7</v>
      </c>
      <c r="G179" s="217">
        <v>27250242536</v>
      </c>
      <c r="H179" s="218" t="str">
        <f>IFERROR(IF(factura_c_mes6[[#This Row],[CUIT]]="","-",VLOOKUP(factura_c_mes6[[#This Row],[CUIT]],Lista_CUIT[#All],2,0)),"CUIT NO CARGADO")</f>
        <v>TUNDIS AIDA ESPERANZA</v>
      </c>
      <c r="I179" s="219">
        <v>57000</v>
      </c>
      <c r="J179" s="220" t="str">
        <f>IFERROR(IF(factura_c_mes6[[#This Row],[CUIT]]="","-",VLOOKUP(factura_c_mes6[[#This Row],[CUIT]],Lista_CUIT[#All],3,0)),"CUIT NO CARGADO")</f>
        <v>Gtos. Administrativos</v>
      </c>
      <c r="K179" s="220">
        <f>IFERROR(IF(factura_c_mes6[[#This Row],[CUIT]]="","-",VLOOKUP(factura_c_mes6[[#This Row],[CUIT]],Lista_CUIT[#All],4,0)),"CUIT NO CARGADO")</f>
        <v>0</v>
      </c>
    </row>
    <row r="180" spans="2:18" x14ac:dyDescent="0.25">
      <c r="D180" s="207" t="s">
        <v>2489</v>
      </c>
      <c r="E180" s="216">
        <v>1</v>
      </c>
      <c r="F180" s="216">
        <v>4</v>
      </c>
      <c r="G180" s="217">
        <v>20465838060</v>
      </c>
      <c r="H180" s="218" t="str">
        <f>IFERROR(IF(factura_c_mes6[[#This Row],[CUIT]]="","-",VLOOKUP(factura_c_mes6[[#This Row],[CUIT]],Lista_CUIT[#All],2,0)),"CUIT NO CARGADO")</f>
        <v>BARUCCO FABRICIO</v>
      </c>
      <c r="I180" s="219">
        <v>249000</v>
      </c>
      <c r="J180" s="220" t="str">
        <f>IFERROR(IF(factura_c_mes6[[#This Row],[CUIT]]="","-",VLOOKUP(factura_c_mes6[[#This Row],[CUIT]],Lista_CUIT[#All],3,0)),"CUIT NO CARGADO")</f>
        <v>Gtos. Administrativos</v>
      </c>
      <c r="K180" s="220">
        <f>IFERROR(IF(factura_c_mes6[[#This Row],[CUIT]]="","-",VLOOKUP(factura_c_mes6[[#This Row],[CUIT]],Lista_CUIT[#All],4,0)),"CUIT NO CARGADO")</f>
        <v>0</v>
      </c>
    </row>
    <row r="181" spans="2:18" ht="17.25" customHeight="1" x14ac:dyDescent="0.25">
      <c r="D181" s="207" t="s">
        <v>2504</v>
      </c>
      <c r="E181" s="321">
        <v>3</v>
      </c>
      <c r="F181" s="321">
        <v>848</v>
      </c>
      <c r="G181" s="322">
        <v>20935406979</v>
      </c>
      <c r="H181" s="323" t="str">
        <f>IFERROR(IF(factura_c_mes6[[#This Row],[CUIT]]="","-",VLOOKUP(factura_c_mes6[[#This Row],[CUIT]],Lista_CUIT[#All],2,0)),"CUIT NO CARGADO")</f>
        <v>BONIFACE VICENTE</v>
      </c>
      <c r="I181" s="324">
        <v>15700</v>
      </c>
      <c r="J181" s="325" t="str">
        <f>IFERROR(IF(factura_c_mes6[[#This Row],[CUIT]]="","-",VLOOKUP(factura_c_mes6[[#This Row],[CUIT]],Lista_CUIT[#All],3,0)),"CUIT NO CARGADO")</f>
        <v>Ferreteria</v>
      </c>
      <c r="K181" s="325">
        <f>IFERROR(IF(factura_c_mes6[[#This Row],[CUIT]]="","-",VLOOKUP(factura_c_mes6[[#This Row],[CUIT]],Lista_CUIT[#All],4,0)),"CUIT NO CARGADO")</f>
        <v>0</v>
      </c>
    </row>
    <row r="182" spans="2:18" ht="15.75" customHeight="1" x14ac:dyDescent="0.25">
      <c r="D182" s="207" t="s">
        <v>2507</v>
      </c>
      <c r="E182" s="321">
        <v>1</v>
      </c>
      <c r="F182" s="321">
        <v>271</v>
      </c>
      <c r="G182" s="322">
        <v>20405405262</v>
      </c>
      <c r="H182" s="323" t="str">
        <f>IFERROR(IF(factura_c_mes6[[#This Row],[CUIT]]="","-",VLOOKUP(factura_c_mes6[[#This Row],[CUIT]],Lista_CUIT[#All],2,0)),"CUIT NO CARGADO")</f>
        <v>CUIT NO CARGADO</v>
      </c>
      <c r="I182" s="324">
        <v>54800</v>
      </c>
      <c r="J182" s="325" t="s">
        <v>79</v>
      </c>
      <c r="K182" s="325" t="str">
        <f>IFERROR(IF(factura_c_mes6[[#This Row],[CUIT]]="","-",VLOOKUP(factura_c_mes6[[#This Row],[CUIT]],Lista_CUIT[#All],4,0)),"CUIT NO CARGADO")</f>
        <v>CUIT NO CARGADO</v>
      </c>
    </row>
    <row r="183" spans="2:18" x14ac:dyDescent="0.25">
      <c r="D183" s="207" t="s">
        <v>2487</v>
      </c>
      <c r="E183" s="216">
        <v>9</v>
      </c>
      <c r="F183" s="216">
        <v>5255057</v>
      </c>
      <c r="G183" s="217">
        <v>33715179119</v>
      </c>
      <c r="H183" s="218" t="str">
        <f>IFERROR(IF(factura_c_mes6[[#This Row],[CUIT]]="","-",VLOOKUP(factura_c_mes6[[#This Row],[CUIT]],Lista_CUIT[#All],2,0)),"CUIT NO CARGADO")</f>
        <v>FONDO DE COOPERACION TECNICA Y FINANCIERA - CECBA - SL Y T - LEY 23.412</v>
      </c>
      <c r="I183" s="219">
        <v>8500</v>
      </c>
      <c r="J183" s="220" t="str">
        <f>IFERROR(IF(factura_c_mes6[[#This Row],[CUIT]]="","-",VLOOKUP(factura_c_mes6[[#This Row],[CUIT]],Lista_CUIT[#All],3,0)),"CUIT NO CARGADO")</f>
        <v>Gastos Varios</v>
      </c>
      <c r="K183" s="220">
        <f>IFERROR(IF(factura_c_mes6[[#This Row],[CUIT]]="","-",VLOOKUP(factura_c_mes6[[#This Row],[CUIT]],Lista_CUIT[#All],4,0)),"CUIT NO CARGADO")</f>
        <v>0</v>
      </c>
    </row>
    <row r="184" spans="2:18" ht="19.149999999999999" customHeight="1" x14ac:dyDescent="0.25">
      <c r="D184" s="55" t="s">
        <v>103</v>
      </c>
      <c r="E184" s="55"/>
      <c r="F184" s="55"/>
      <c r="G184" s="55"/>
      <c r="H184" s="57"/>
      <c r="I184" s="58">
        <f>SUBTOTAL(109,factura_c_mes6[TOTAL])</f>
        <v>6089104</v>
      </c>
      <c r="J184" s="55"/>
      <c r="K184" s="55"/>
    </row>
    <row r="185" spans="2:18" ht="18" customHeight="1" x14ac:dyDescent="0.25">
      <c r="B185" s="56"/>
      <c r="C185" s="56"/>
      <c r="L185" s="56"/>
      <c r="M185" s="56"/>
      <c r="N185" s="56"/>
      <c r="O185" s="56"/>
      <c r="P185" s="56"/>
      <c r="Q185" s="56"/>
      <c r="R185" s="56"/>
    </row>
    <row r="190" spans="2:18" ht="26.25" x14ac:dyDescent="0.25">
      <c r="B190" s="592" t="s">
        <v>29</v>
      </c>
      <c r="C190" s="592"/>
      <c r="D190" s="592"/>
      <c r="E190" s="592"/>
      <c r="F190" s="592"/>
      <c r="G190" s="592"/>
      <c r="H190" s="592"/>
      <c r="I190" s="592"/>
      <c r="J190" s="592"/>
      <c r="K190" s="593">
        <f>N1</f>
        <v>45809</v>
      </c>
      <c r="L190" s="593"/>
      <c r="M190" s="593"/>
    </row>
    <row r="192" spans="2:18" ht="21" x14ac:dyDescent="0.25">
      <c r="B192" s="594" t="s">
        <v>30</v>
      </c>
      <c r="C192" s="594"/>
    </row>
    <row r="193" spans="2:13" ht="31.5" x14ac:dyDescent="0.25">
      <c r="B193" s="60" t="s">
        <v>0</v>
      </c>
      <c r="C193" s="61" t="s">
        <v>1</v>
      </c>
      <c r="D193" s="61" t="s">
        <v>21</v>
      </c>
      <c r="E193" s="61" t="s">
        <v>22</v>
      </c>
      <c r="F193" s="61" t="s">
        <v>3</v>
      </c>
      <c r="G193" s="61" t="s">
        <v>4</v>
      </c>
      <c r="H193" s="61" t="s">
        <v>23</v>
      </c>
      <c r="I193" s="61" t="s">
        <v>17</v>
      </c>
      <c r="J193" s="61" t="s">
        <v>7</v>
      </c>
      <c r="K193" s="61" t="s">
        <v>24</v>
      </c>
      <c r="L193" s="61" t="s">
        <v>10</v>
      </c>
      <c r="M193" s="62" t="s">
        <v>38</v>
      </c>
    </row>
    <row r="194" spans="2:13" x14ac:dyDescent="0.25">
      <c r="B194" s="40"/>
      <c r="C194" s="41"/>
      <c r="D194" s="42"/>
      <c r="E194" s="43"/>
      <c r="F194" s="44"/>
      <c r="G194" s="98" t="str">
        <f>IFERROR(IF(venta_a_mes6[[#This Row],[CUIT]]="","-",VLOOKUP(venta_a_mes6[[#This Row],[CUIT]],Lista_CUIT[#All],2,0)),"CUIT NO CARGADO")</f>
        <v>-</v>
      </c>
      <c r="H194" s="99"/>
      <c r="I194" s="100">
        <f>venta_a_mes6[[#This Row],[IMPORTE NETO]]*0.21</f>
        <v>0</v>
      </c>
      <c r="J194" s="65"/>
      <c r="K194" s="65"/>
      <c r="L194" s="65">
        <f>SUM(venta_a_mes6[[#This Row],[IMPORTE NETO]:[EXENTO]])</f>
        <v>0</v>
      </c>
      <c r="M194" s="59"/>
    </row>
    <row r="195" spans="2:13" x14ac:dyDescent="0.25">
      <c r="B195" s="40"/>
      <c r="C195" s="41"/>
      <c r="D195" s="42"/>
      <c r="E195" s="43"/>
      <c r="F195" s="44"/>
      <c r="G195" s="98" t="str">
        <f>IFERROR(IF(venta_a_mes6[[#This Row],[CUIT]]="","-",VLOOKUP(venta_a_mes6[[#This Row],[CUIT]],Lista_CUIT[#All],2,0)),"CUIT NO CARGADO")</f>
        <v>-</v>
      </c>
      <c r="H195" s="99"/>
      <c r="I195" s="100">
        <f>venta_a_mes6[[#This Row],[IMPORTE NETO]]*0.21</f>
        <v>0</v>
      </c>
      <c r="J195" s="65"/>
      <c r="K195" s="65"/>
      <c r="L195" s="65">
        <f>SUM(venta_a_mes6[[#This Row],[IMPORTE NETO]:[EXENTO]])</f>
        <v>0</v>
      </c>
      <c r="M195" s="59"/>
    </row>
    <row r="196" spans="2:13" x14ac:dyDescent="0.25">
      <c r="B196" s="40"/>
      <c r="C196" s="41"/>
      <c r="D196" s="42"/>
      <c r="E196" s="43"/>
      <c r="F196" s="44"/>
      <c r="G196" s="98" t="str">
        <f>IFERROR(IF(venta_a_mes6[[#This Row],[CUIT]]="","-",VLOOKUP(venta_a_mes6[[#This Row],[CUIT]],Lista_CUIT[#All],2,0)),"CUIT NO CARGADO")</f>
        <v>-</v>
      </c>
      <c r="H196" s="99"/>
      <c r="I196" s="100">
        <f>venta_a_mes6[[#This Row],[IMPORTE NETO]]*0.21</f>
        <v>0</v>
      </c>
      <c r="J196" s="65"/>
      <c r="K196" s="65"/>
      <c r="L196" s="65">
        <f>SUM(venta_a_mes6[[#This Row],[IMPORTE NETO]:[EXENTO]])</f>
        <v>0</v>
      </c>
      <c r="M196" s="59"/>
    </row>
    <row r="197" spans="2:13" x14ac:dyDescent="0.25">
      <c r="B197" s="40"/>
      <c r="C197" s="41"/>
      <c r="D197" s="42"/>
      <c r="E197" s="43"/>
      <c r="F197" s="44"/>
      <c r="G197" s="98" t="str">
        <f>IFERROR(IF(venta_a_mes6[[#This Row],[CUIT]]="","-",VLOOKUP(venta_a_mes6[[#This Row],[CUIT]],Lista_CUIT[#All],2,0)),"CUIT NO CARGADO")</f>
        <v>-</v>
      </c>
      <c r="H197" s="99"/>
      <c r="I197" s="100">
        <f>venta_a_mes6[[#This Row],[IMPORTE NETO]]*0.21</f>
        <v>0</v>
      </c>
      <c r="J197" s="65"/>
      <c r="K197" s="65"/>
      <c r="L197" s="65">
        <f>SUM(venta_a_mes6[[#This Row],[IMPORTE NETO]:[EXENTO]])</f>
        <v>0</v>
      </c>
      <c r="M197" s="59"/>
    </row>
    <row r="198" spans="2:13" x14ac:dyDescent="0.25">
      <c r="B198" s="40"/>
      <c r="C198" s="41"/>
      <c r="D198" s="42"/>
      <c r="E198" s="43"/>
      <c r="F198" s="44"/>
      <c r="G198" s="98" t="str">
        <f>IFERROR(IF(venta_a_mes6[[#This Row],[CUIT]]="","-",VLOOKUP(venta_a_mes6[[#This Row],[CUIT]],Lista_CUIT[#All],2,0)),"CUIT NO CARGADO")</f>
        <v>-</v>
      </c>
      <c r="H198" s="99"/>
      <c r="I198" s="100">
        <f>venta_a_mes6[[#This Row],[IMPORTE NETO]]*0.21</f>
        <v>0</v>
      </c>
      <c r="J198" s="65"/>
      <c r="K198" s="65"/>
      <c r="L198" s="65">
        <f>SUM(venta_a_mes6[[#This Row],[IMPORTE NETO]:[EXENTO]])</f>
        <v>0</v>
      </c>
      <c r="M198" s="59"/>
    </row>
    <row r="199" spans="2:13" x14ac:dyDescent="0.25">
      <c r="B199" s="40"/>
      <c r="C199" s="41"/>
      <c r="D199" s="42"/>
      <c r="E199" s="43"/>
      <c r="F199" s="44"/>
      <c r="G199" s="98" t="str">
        <f>IFERROR(IF(venta_a_mes6[[#This Row],[CUIT]]="","-",VLOOKUP(venta_a_mes6[[#This Row],[CUIT]],Lista_CUIT[#All],2,0)),"CUIT NO CARGADO")</f>
        <v>-</v>
      </c>
      <c r="H199" s="99"/>
      <c r="I199" s="100">
        <f>venta_a_mes6[[#This Row],[IMPORTE NETO]]*0.21</f>
        <v>0</v>
      </c>
      <c r="J199" s="65"/>
      <c r="K199" s="65"/>
      <c r="L199" s="65">
        <f>SUM(venta_a_mes6[[#This Row],[IMPORTE NETO]:[EXENTO]])</f>
        <v>0</v>
      </c>
      <c r="M199" s="59"/>
    </row>
    <row r="200" spans="2:13" x14ac:dyDescent="0.25">
      <c r="B200" s="40"/>
      <c r="C200" s="41"/>
      <c r="D200" s="42"/>
      <c r="E200" s="43"/>
      <c r="F200" s="44"/>
      <c r="G200" s="98" t="str">
        <f>IFERROR(IF(venta_a_mes6[[#This Row],[CUIT]]="","-",VLOOKUP(venta_a_mes6[[#This Row],[CUIT]],Lista_CUIT[#All],2,0)),"CUIT NO CARGADO")</f>
        <v>-</v>
      </c>
      <c r="H200" s="99"/>
      <c r="I200" s="100">
        <f>venta_a_mes6[[#This Row],[IMPORTE NETO]]*0.21</f>
        <v>0</v>
      </c>
      <c r="J200" s="65"/>
      <c r="K200" s="65"/>
      <c r="L200" s="65">
        <f>SUM(venta_a_mes6[[#This Row],[IMPORTE NETO]:[EXENTO]])</f>
        <v>0</v>
      </c>
      <c r="M200" s="59"/>
    </row>
    <row r="201" spans="2:13" x14ac:dyDescent="0.25">
      <c r="B201" s="40"/>
      <c r="C201" s="41"/>
      <c r="D201" s="42"/>
      <c r="E201" s="43"/>
      <c r="F201" s="44"/>
      <c r="G201" s="98" t="str">
        <f>IFERROR(IF(venta_a_mes6[[#This Row],[CUIT]]="","-",VLOOKUP(venta_a_mes6[[#This Row],[CUIT]],Lista_CUIT[#All],2,0)),"CUIT NO CARGADO")</f>
        <v>-</v>
      </c>
      <c r="H201" s="99"/>
      <c r="I201" s="100">
        <f>venta_a_mes6[[#This Row],[IMPORTE NETO]]*0.21</f>
        <v>0</v>
      </c>
      <c r="J201" s="65"/>
      <c r="K201" s="65"/>
      <c r="L201" s="65">
        <f>SUM(venta_a_mes6[[#This Row],[IMPORTE NETO]:[EXENTO]])</f>
        <v>0</v>
      </c>
      <c r="M201" s="59"/>
    </row>
    <row r="202" spans="2:13" x14ac:dyDescent="0.25">
      <c r="B202" s="40"/>
      <c r="C202" s="41"/>
      <c r="D202" s="42"/>
      <c r="E202" s="43"/>
      <c r="F202" s="44"/>
      <c r="G202" s="98" t="str">
        <f>IFERROR(IF(venta_a_mes6[[#This Row],[CUIT]]="","-",VLOOKUP(venta_a_mes6[[#This Row],[CUIT]],Lista_CUIT[#All],2,0)),"CUIT NO CARGADO")</f>
        <v>-</v>
      </c>
      <c r="H202" s="99"/>
      <c r="I202" s="100">
        <f>venta_a_mes6[[#This Row],[IMPORTE NETO]]*0.21</f>
        <v>0</v>
      </c>
      <c r="J202" s="65"/>
      <c r="K202" s="65"/>
      <c r="L202" s="65">
        <f>SUM(venta_a_mes6[[#This Row],[IMPORTE NETO]:[EXENTO]])</f>
        <v>0</v>
      </c>
      <c r="M202" s="59"/>
    </row>
    <row r="203" spans="2:13" x14ac:dyDescent="0.25">
      <c r="B203" s="40"/>
      <c r="C203" s="41"/>
      <c r="D203" s="42"/>
      <c r="E203" s="43"/>
      <c r="F203" s="44"/>
      <c r="G203" s="98" t="str">
        <f>IFERROR(IF(venta_a_mes6[[#This Row],[CUIT]]="","-",VLOOKUP(venta_a_mes6[[#This Row],[CUIT]],Lista_CUIT[#All],2,0)),"CUIT NO CARGADO")</f>
        <v>-</v>
      </c>
      <c r="H203" s="99"/>
      <c r="I203" s="100">
        <f>venta_a_mes6[[#This Row],[IMPORTE NETO]]*0.21</f>
        <v>0</v>
      </c>
      <c r="J203" s="65"/>
      <c r="K203" s="65"/>
      <c r="L203" s="65">
        <f>SUM(venta_a_mes6[[#This Row],[IMPORTE NETO]:[EXENTO]])</f>
        <v>0</v>
      </c>
      <c r="M203" s="59"/>
    </row>
    <row r="204" spans="2:13" x14ac:dyDescent="0.25">
      <c r="B204" s="40"/>
      <c r="C204" s="41"/>
      <c r="D204" s="42"/>
      <c r="E204" s="43"/>
      <c r="F204" s="44"/>
      <c r="G204" s="98" t="str">
        <f>IFERROR(IF(venta_a_mes6[[#This Row],[CUIT]]="","-",VLOOKUP(venta_a_mes6[[#This Row],[CUIT]],Lista_CUIT[#All],2,0)),"CUIT NO CARGADO")</f>
        <v>-</v>
      </c>
      <c r="H204" s="99"/>
      <c r="I204" s="100">
        <f>venta_a_mes6[[#This Row],[IMPORTE NETO]]*0.21</f>
        <v>0</v>
      </c>
      <c r="J204" s="65"/>
      <c r="K204" s="65"/>
      <c r="L204" s="65">
        <f>SUM(venta_a_mes6[[#This Row],[IMPORTE NETO]:[EXENTO]])</f>
        <v>0</v>
      </c>
      <c r="M204" s="59"/>
    </row>
    <row r="205" spans="2:13" x14ac:dyDescent="0.25">
      <c r="B205" s="40"/>
      <c r="C205" s="41"/>
      <c r="D205" s="42"/>
      <c r="E205" s="43"/>
      <c r="F205" s="44"/>
      <c r="G205" s="98" t="str">
        <f>IFERROR(IF(venta_a_mes6[[#This Row],[CUIT]]="","-",VLOOKUP(venta_a_mes6[[#This Row],[CUIT]],Lista_CUIT[#All],2,0)),"CUIT NO CARGADO")</f>
        <v>-</v>
      </c>
      <c r="H205" s="99"/>
      <c r="I205" s="100">
        <f>venta_a_mes6[[#This Row],[IMPORTE NETO]]*0.21</f>
        <v>0</v>
      </c>
      <c r="J205" s="65"/>
      <c r="K205" s="65"/>
      <c r="L205" s="65">
        <f>SUM(venta_a_mes6[[#This Row],[IMPORTE NETO]:[EXENTO]])</f>
        <v>0</v>
      </c>
      <c r="M205" s="59"/>
    </row>
    <row r="206" spans="2:13" x14ac:dyDescent="0.25">
      <c r="B206" s="40"/>
      <c r="C206" s="41"/>
      <c r="D206" s="42"/>
      <c r="E206" s="43"/>
      <c r="F206" s="44"/>
      <c r="G206" s="98" t="str">
        <f>IFERROR(IF(venta_a_mes6[[#This Row],[CUIT]]="","-",VLOOKUP(venta_a_mes6[[#This Row],[CUIT]],Lista_CUIT[#All],2,0)),"CUIT NO CARGADO")</f>
        <v>-</v>
      </c>
      <c r="H206" s="99"/>
      <c r="I206" s="100">
        <f>venta_a_mes6[[#This Row],[IMPORTE NETO]]*0.21</f>
        <v>0</v>
      </c>
      <c r="J206" s="65"/>
      <c r="K206" s="65"/>
      <c r="L206" s="65">
        <f>SUM(venta_a_mes6[[#This Row],[IMPORTE NETO]:[EXENTO]])</f>
        <v>0</v>
      </c>
      <c r="M206" s="59"/>
    </row>
    <row r="207" spans="2:13" x14ac:dyDescent="0.25">
      <c r="B207" s="40"/>
      <c r="C207" s="41"/>
      <c r="D207" s="42"/>
      <c r="E207" s="43"/>
      <c r="F207" s="44"/>
      <c r="G207" s="98" t="str">
        <f>IFERROR(IF(venta_a_mes6[[#This Row],[CUIT]]="","-",VLOOKUP(venta_a_mes6[[#This Row],[CUIT]],Lista_CUIT[#All],2,0)),"CUIT NO CARGADO")</f>
        <v>-</v>
      </c>
      <c r="H207" s="99"/>
      <c r="I207" s="100">
        <f>venta_a_mes6[[#This Row],[IMPORTE NETO]]*0.21</f>
        <v>0</v>
      </c>
      <c r="J207" s="65"/>
      <c r="K207" s="65"/>
      <c r="L207" s="65">
        <f>SUM(venta_a_mes6[[#This Row],[IMPORTE NETO]:[EXENTO]])</f>
        <v>0</v>
      </c>
      <c r="M207" s="59"/>
    </row>
    <row r="208" spans="2:13" x14ac:dyDescent="0.25">
      <c r="B208" s="40"/>
      <c r="C208" s="41"/>
      <c r="D208" s="42"/>
      <c r="E208" s="43"/>
      <c r="F208" s="44"/>
      <c r="G208" s="98" t="str">
        <f>IFERROR(IF(venta_a_mes6[[#This Row],[CUIT]]="","-",VLOOKUP(venta_a_mes6[[#This Row],[CUIT]],Lista_CUIT[#All],2,0)),"CUIT NO CARGADO")</f>
        <v>-</v>
      </c>
      <c r="H208" s="99"/>
      <c r="I208" s="100">
        <f>venta_a_mes6[[#This Row],[IMPORTE NETO]]*0.21</f>
        <v>0</v>
      </c>
      <c r="J208" s="65"/>
      <c r="K208" s="65"/>
      <c r="L208" s="65">
        <f>SUM(venta_a_mes6[[#This Row],[IMPORTE NETO]:[EXENTO]])</f>
        <v>0</v>
      </c>
      <c r="M208" s="59"/>
    </row>
    <row r="209" spans="2:13" x14ac:dyDescent="0.25">
      <c r="B209" s="40"/>
      <c r="C209" s="41"/>
      <c r="D209" s="42"/>
      <c r="E209" s="43"/>
      <c r="F209" s="44"/>
      <c r="G209" s="98" t="str">
        <f>IFERROR(IF(venta_a_mes6[[#This Row],[CUIT]]="","-",VLOOKUP(venta_a_mes6[[#This Row],[CUIT]],Lista_CUIT[#All],2,0)),"CUIT NO CARGADO")</f>
        <v>-</v>
      </c>
      <c r="H209" s="99"/>
      <c r="I209" s="100">
        <f>venta_a_mes6[[#This Row],[IMPORTE NETO]]*0.21</f>
        <v>0</v>
      </c>
      <c r="J209" s="65"/>
      <c r="K209" s="65"/>
      <c r="L209" s="65">
        <f>SUM(venta_a_mes6[[#This Row],[IMPORTE NETO]:[EXENTO]])</f>
        <v>0</v>
      </c>
      <c r="M209" s="59"/>
    </row>
    <row r="210" spans="2:13" x14ac:dyDescent="0.25">
      <c r="B210" s="40"/>
      <c r="C210" s="41"/>
      <c r="D210" s="42"/>
      <c r="E210" s="43"/>
      <c r="F210" s="44"/>
      <c r="G210" s="98" t="str">
        <f>IFERROR(IF(venta_a_mes6[[#This Row],[CUIT]]="","-",VLOOKUP(venta_a_mes6[[#This Row],[CUIT]],Lista_CUIT[#All],2,0)),"CUIT NO CARGADO")</f>
        <v>-</v>
      </c>
      <c r="H210" s="99"/>
      <c r="I210" s="100">
        <f>venta_a_mes6[[#This Row],[IMPORTE NETO]]*0.21</f>
        <v>0</v>
      </c>
      <c r="J210" s="65"/>
      <c r="K210" s="65"/>
      <c r="L210" s="65">
        <f>SUM(venta_a_mes6[[#This Row],[IMPORTE NETO]:[EXENTO]])</f>
        <v>0</v>
      </c>
      <c r="M210" s="59"/>
    </row>
    <row r="211" spans="2:13" x14ac:dyDescent="0.25">
      <c r="B211" s="40"/>
      <c r="C211" s="41"/>
      <c r="D211" s="42"/>
      <c r="E211" s="43"/>
      <c r="F211" s="44"/>
      <c r="G211" s="98" t="str">
        <f>IFERROR(IF(venta_a_mes6[[#This Row],[CUIT]]="","-",VLOOKUP(venta_a_mes6[[#This Row],[CUIT]],Lista_CUIT[#All],2,0)),"CUIT NO CARGADO")</f>
        <v>-</v>
      </c>
      <c r="H211" s="99"/>
      <c r="I211" s="100">
        <f>venta_a_mes6[[#This Row],[IMPORTE NETO]]*0.21</f>
        <v>0</v>
      </c>
      <c r="J211" s="65"/>
      <c r="K211" s="65"/>
      <c r="L211" s="65">
        <f>SUM(venta_a_mes6[[#This Row],[IMPORTE NETO]:[EXENTO]])</f>
        <v>0</v>
      </c>
      <c r="M211" s="59"/>
    </row>
    <row r="212" spans="2:13" x14ac:dyDescent="0.25">
      <c r="B212" s="40"/>
      <c r="C212" s="41"/>
      <c r="D212" s="42"/>
      <c r="E212" s="43"/>
      <c r="F212" s="44"/>
      <c r="G212" s="98" t="str">
        <f>IFERROR(IF(venta_a_mes6[[#This Row],[CUIT]]="","-",VLOOKUP(venta_a_mes6[[#This Row],[CUIT]],Lista_CUIT[#All],2,0)),"CUIT NO CARGADO")</f>
        <v>-</v>
      </c>
      <c r="H212" s="99"/>
      <c r="I212" s="100">
        <f>venta_a_mes6[[#This Row],[IMPORTE NETO]]*0.21</f>
        <v>0</v>
      </c>
      <c r="J212" s="65"/>
      <c r="K212" s="65"/>
      <c r="L212" s="65">
        <f>SUM(venta_a_mes6[[#This Row],[IMPORTE NETO]:[EXENTO]])</f>
        <v>0</v>
      </c>
      <c r="M212" s="59"/>
    </row>
    <row r="213" spans="2:13" x14ac:dyDescent="0.25">
      <c r="B213" s="40"/>
      <c r="C213" s="41"/>
      <c r="D213" s="42"/>
      <c r="E213" s="43"/>
      <c r="F213" s="44"/>
      <c r="G213" s="98" t="str">
        <f>IFERROR(IF(venta_a_mes6[[#This Row],[CUIT]]="","-",VLOOKUP(venta_a_mes6[[#This Row],[CUIT]],Lista_CUIT[#All],2,0)),"CUIT NO CARGADO")</f>
        <v>-</v>
      </c>
      <c r="H213" s="99"/>
      <c r="I213" s="100">
        <f>venta_a_mes6[[#This Row],[IMPORTE NETO]]*0.21</f>
        <v>0</v>
      </c>
      <c r="J213" s="65"/>
      <c r="K213" s="65"/>
      <c r="L213" s="65">
        <f>SUM(venta_a_mes6[[#This Row],[IMPORTE NETO]:[EXENTO]])</f>
        <v>0</v>
      </c>
      <c r="M213" s="59"/>
    </row>
    <row r="214" spans="2:13" x14ac:dyDescent="0.25">
      <c r="B214" s="40"/>
      <c r="C214" s="41"/>
      <c r="D214" s="42"/>
      <c r="E214" s="43"/>
      <c r="F214" s="44"/>
      <c r="G214" s="98" t="str">
        <f>IFERROR(IF(venta_a_mes6[[#This Row],[CUIT]]="","-",VLOOKUP(venta_a_mes6[[#This Row],[CUIT]],Lista_CUIT[#All],2,0)),"CUIT NO CARGADO")</f>
        <v>-</v>
      </c>
      <c r="H214" s="99"/>
      <c r="I214" s="100">
        <f>venta_a_mes6[[#This Row],[IMPORTE NETO]]*0.21</f>
        <v>0</v>
      </c>
      <c r="J214" s="65"/>
      <c r="K214" s="65"/>
      <c r="L214" s="65">
        <f>SUM(venta_a_mes6[[#This Row],[IMPORTE NETO]:[EXENTO]])</f>
        <v>0</v>
      </c>
      <c r="M214" s="59"/>
    </row>
    <row r="215" spans="2:13" x14ac:dyDescent="0.25">
      <c r="B215" s="40"/>
      <c r="C215" s="41"/>
      <c r="D215" s="42"/>
      <c r="E215" s="43"/>
      <c r="F215" s="44"/>
      <c r="G215" s="98" t="str">
        <f>IFERROR(IF(venta_a_mes6[[#This Row],[CUIT]]="","-",VLOOKUP(venta_a_mes6[[#This Row],[CUIT]],Lista_CUIT[#All],2,0)),"CUIT NO CARGADO")</f>
        <v>-</v>
      </c>
      <c r="H215" s="99"/>
      <c r="I215" s="100">
        <f>venta_a_mes6[[#This Row],[IMPORTE NETO]]*0.21</f>
        <v>0</v>
      </c>
      <c r="J215" s="65"/>
      <c r="K215" s="65"/>
      <c r="L215" s="65">
        <f>SUM(venta_a_mes6[[#This Row],[IMPORTE NETO]:[EXENTO]])</f>
        <v>0</v>
      </c>
      <c r="M215" s="59"/>
    </row>
    <row r="216" spans="2:13" x14ac:dyDescent="0.25">
      <c r="B216" s="40"/>
      <c r="C216" s="41"/>
      <c r="D216" s="42"/>
      <c r="E216" s="43"/>
      <c r="F216" s="44"/>
      <c r="G216" s="98" t="str">
        <f>IFERROR(IF(venta_a_mes6[[#This Row],[CUIT]]="","-",VLOOKUP(venta_a_mes6[[#This Row],[CUIT]],Lista_CUIT[#All],2,0)),"CUIT NO CARGADO")</f>
        <v>-</v>
      </c>
      <c r="H216" s="99"/>
      <c r="I216" s="100">
        <f>venta_a_mes6[[#This Row],[IMPORTE NETO]]*0.21</f>
        <v>0</v>
      </c>
      <c r="J216" s="65"/>
      <c r="K216" s="65"/>
      <c r="L216" s="65">
        <f>SUM(venta_a_mes6[[#This Row],[IMPORTE NETO]:[EXENTO]])</f>
        <v>0</v>
      </c>
      <c r="M216" s="59"/>
    </row>
    <row r="217" spans="2:13" x14ac:dyDescent="0.25">
      <c r="B217" s="40"/>
      <c r="C217" s="41"/>
      <c r="D217" s="42"/>
      <c r="E217" s="43"/>
      <c r="F217" s="44"/>
      <c r="G217" s="98" t="str">
        <f>IFERROR(IF(venta_a_mes6[[#This Row],[CUIT]]="","-",VLOOKUP(venta_a_mes6[[#This Row],[CUIT]],Lista_CUIT[#All],2,0)),"CUIT NO CARGADO")</f>
        <v>-</v>
      </c>
      <c r="H217" s="99"/>
      <c r="I217" s="100">
        <f>venta_a_mes6[[#This Row],[IMPORTE NETO]]*0.21</f>
        <v>0</v>
      </c>
      <c r="J217" s="65"/>
      <c r="K217" s="65"/>
      <c r="L217" s="65">
        <f>SUM(venta_a_mes6[[#This Row],[IMPORTE NETO]:[EXENTO]])</f>
        <v>0</v>
      </c>
      <c r="M217" s="59"/>
    </row>
    <row r="218" spans="2:13" x14ac:dyDescent="0.25">
      <c r="B218" s="40"/>
      <c r="C218" s="41"/>
      <c r="D218" s="42"/>
      <c r="E218" s="43"/>
      <c r="F218" s="44"/>
      <c r="G218" s="98" t="str">
        <f>IFERROR(IF(venta_a_mes6[[#This Row],[CUIT]]="","-",VLOOKUP(venta_a_mes6[[#This Row],[CUIT]],Lista_CUIT[#All],2,0)),"CUIT NO CARGADO")</f>
        <v>-</v>
      </c>
      <c r="H218" s="99"/>
      <c r="I218" s="100">
        <f>venta_a_mes6[[#This Row],[IMPORTE NETO]]*0.21</f>
        <v>0</v>
      </c>
      <c r="J218" s="65"/>
      <c r="K218" s="65"/>
      <c r="L218" s="65">
        <f>SUM(venta_a_mes6[[#This Row],[IMPORTE NETO]:[EXENTO]])</f>
        <v>0</v>
      </c>
      <c r="M218" s="59"/>
    </row>
    <row r="219" spans="2:13" x14ac:dyDescent="0.25">
      <c r="B219" s="40"/>
      <c r="C219" s="41"/>
      <c r="D219" s="42"/>
      <c r="E219" s="43"/>
      <c r="F219" s="44"/>
      <c r="G219" s="98" t="str">
        <f>IFERROR(IF(venta_a_mes6[[#This Row],[CUIT]]="","-",VLOOKUP(venta_a_mes6[[#This Row],[CUIT]],Lista_CUIT[#All],2,0)),"CUIT NO CARGADO")</f>
        <v>-</v>
      </c>
      <c r="H219" s="99"/>
      <c r="I219" s="100">
        <f>venta_a_mes6[[#This Row],[IMPORTE NETO]]*0.21</f>
        <v>0</v>
      </c>
      <c r="J219" s="65"/>
      <c r="K219" s="65"/>
      <c r="L219" s="65">
        <f>SUM(venta_a_mes6[[#This Row],[IMPORTE NETO]:[EXENTO]])</f>
        <v>0</v>
      </c>
      <c r="M219" s="59"/>
    </row>
    <row r="220" spans="2:13" x14ac:dyDescent="0.25">
      <c r="B220" s="40"/>
      <c r="C220" s="41"/>
      <c r="D220" s="42"/>
      <c r="E220" s="43"/>
      <c r="F220" s="44"/>
      <c r="G220" s="98" t="str">
        <f>IFERROR(IF(venta_a_mes6[[#This Row],[CUIT]]="","-",VLOOKUP(venta_a_mes6[[#This Row],[CUIT]],Lista_CUIT[#All],2,0)),"CUIT NO CARGADO")</f>
        <v>-</v>
      </c>
      <c r="H220" s="99"/>
      <c r="I220" s="100">
        <f>venta_a_mes6[[#This Row],[IMPORTE NETO]]*0.21</f>
        <v>0</v>
      </c>
      <c r="J220" s="65"/>
      <c r="K220" s="65"/>
      <c r="L220" s="65">
        <f>SUM(venta_a_mes6[[#This Row],[IMPORTE NETO]:[EXENTO]])</f>
        <v>0</v>
      </c>
      <c r="M220" s="59"/>
    </row>
    <row r="221" spans="2:13" x14ac:dyDescent="0.25">
      <c r="B221" s="40"/>
      <c r="C221" s="41"/>
      <c r="D221" s="42"/>
      <c r="E221" s="43"/>
      <c r="F221" s="44"/>
      <c r="G221" s="98" t="str">
        <f>IFERROR(IF(venta_a_mes6[[#This Row],[CUIT]]="","-",VLOOKUP(venta_a_mes6[[#This Row],[CUIT]],Lista_CUIT[#All],2,0)),"CUIT NO CARGADO")</f>
        <v>-</v>
      </c>
      <c r="H221" s="99"/>
      <c r="I221" s="100">
        <f>venta_a_mes6[[#This Row],[IMPORTE NETO]]*0.21</f>
        <v>0</v>
      </c>
      <c r="J221" s="65"/>
      <c r="K221" s="65"/>
      <c r="L221" s="65">
        <f>SUM(venta_a_mes6[[#This Row],[IMPORTE NETO]:[EXENTO]])</f>
        <v>0</v>
      </c>
      <c r="M221" s="59"/>
    </row>
    <row r="222" spans="2:13" x14ac:dyDescent="0.25">
      <c r="B222" s="40"/>
      <c r="C222" s="41"/>
      <c r="D222" s="42"/>
      <c r="E222" s="43"/>
      <c r="F222" s="44"/>
      <c r="G222" s="98" t="str">
        <f>IFERROR(IF(venta_a_mes6[[#This Row],[CUIT]]="","-",VLOOKUP(venta_a_mes6[[#This Row],[CUIT]],Lista_CUIT[#All],2,0)),"CUIT NO CARGADO")</f>
        <v>-</v>
      </c>
      <c r="H222" s="99"/>
      <c r="I222" s="100">
        <f>venta_a_mes6[[#This Row],[IMPORTE NETO]]*0.21</f>
        <v>0</v>
      </c>
      <c r="J222" s="65"/>
      <c r="K222" s="65"/>
      <c r="L222" s="65">
        <f>SUM(venta_a_mes6[[#This Row],[IMPORTE NETO]:[EXENTO]])</f>
        <v>0</v>
      </c>
      <c r="M222" s="59"/>
    </row>
    <row r="223" spans="2:13" x14ac:dyDescent="0.25">
      <c r="B223" s="40"/>
      <c r="C223" s="41"/>
      <c r="D223" s="42"/>
      <c r="E223" s="43"/>
      <c r="F223" s="44"/>
      <c r="G223" s="98" t="str">
        <f>IFERROR(IF(venta_a_mes6[[#This Row],[CUIT]]="","-",VLOOKUP(venta_a_mes6[[#This Row],[CUIT]],Lista_CUIT[#All],2,0)),"CUIT NO CARGADO")</f>
        <v>-</v>
      </c>
      <c r="H223" s="99"/>
      <c r="I223" s="100">
        <f>venta_a_mes6[[#This Row],[IMPORTE NETO]]*0.21</f>
        <v>0</v>
      </c>
      <c r="J223" s="65"/>
      <c r="K223" s="65"/>
      <c r="L223" s="65">
        <f>SUM(venta_a_mes6[[#This Row],[IMPORTE NETO]:[EXENTO]])</f>
        <v>0</v>
      </c>
      <c r="M223" s="59"/>
    </row>
    <row r="224" spans="2:13" x14ac:dyDescent="0.25">
      <c r="B224" s="40"/>
      <c r="C224" s="41"/>
      <c r="D224" s="42"/>
      <c r="E224" s="43"/>
      <c r="F224" s="44"/>
      <c r="G224" s="98" t="str">
        <f>IFERROR(IF(venta_a_mes6[[#This Row],[CUIT]]="","-",VLOOKUP(venta_a_mes6[[#This Row],[CUIT]],Lista_CUIT[#All],2,0)),"CUIT NO CARGADO")</f>
        <v>-</v>
      </c>
      <c r="H224" s="99"/>
      <c r="I224" s="100">
        <f>venta_a_mes6[[#This Row],[IMPORTE NETO]]*0.21</f>
        <v>0</v>
      </c>
      <c r="J224" s="65"/>
      <c r="K224" s="65"/>
      <c r="L224" s="65">
        <f>SUM(venta_a_mes6[[#This Row],[IMPORTE NETO]:[EXENTO]])</f>
        <v>0</v>
      </c>
      <c r="M224" s="59"/>
    </row>
    <row r="225" spans="2:13" x14ac:dyDescent="0.25">
      <c r="B225" s="40"/>
      <c r="C225" s="41"/>
      <c r="D225" s="42"/>
      <c r="E225" s="43"/>
      <c r="F225" s="44"/>
      <c r="G225" s="98" t="str">
        <f>IFERROR(IF(venta_a_mes6[[#This Row],[CUIT]]="","-",VLOOKUP(venta_a_mes6[[#This Row],[CUIT]],Lista_CUIT[#All],2,0)),"CUIT NO CARGADO")</f>
        <v>-</v>
      </c>
      <c r="H225" s="99"/>
      <c r="I225" s="100">
        <f>venta_a_mes6[[#This Row],[IMPORTE NETO]]*0.21</f>
        <v>0</v>
      </c>
      <c r="J225" s="65"/>
      <c r="K225" s="65"/>
      <c r="L225" s="65">
        <f>SUM(venta_a_mes6[[#This Row],[IMPORTE NETO]:[EXENTO]])</f>
        <v>0</v>
      </c>
      <c r="M225" s="59"/>
    </row>
    <row r="226" spans="2:13" x14ac:dyDescent="0.25">
      <c r="B226" s="40"/>
      <c r="C226" s="41"/>
      <c r="D226" s="42"/>
      <c r="E226" s="43"/>
      <c r="F226" s="44"/>
      <c r="G226" s="98" t="str">
        <f>IFERROR(IF(venta_a_mes6[[#This Row],[CUIT]]="","-",VLOOKUP(venta_a_mes6[[#This Row],[CUIT]],Lista_CUIT[#All],2,0)),"CUIT NO CARGADO")</f>
        <v>-</v>
      </c>
      <c r="H226" s="99"/>
      <c r="I226" s="100">
        <f>venta_a_mes6[[#This Row],[IMPORTE NETO]]*0.21</f>
        <v>0</v>
      </c>
      <c r="J226" s="65"/>
      <c r="K226" s="65"/>
      <c r="L226" s="65">
        <f>SUM(venta_a_mes6[[#This Row],[IMPORTE NETO]:[EXENTO]])</f>
        <v>0</v>
      </c>
      <c r="M226" s="59"/>
    </row>
    <row r="227" spans="2:13" x14ac:dyDescent="0.25">
      <c r="B227" s="40"/>
      <c r="C227" s="41"/>
      <c r="D227" s="42"/>
      <c r="E227" s="43"/>
      <c r="F227" s="44"/>
      <c r="G227" s="98" t="str">
        <f>IFERROR(IF(venta_a_mes6[[#This Row],[CUIT]]="","-",VLOOKUP(venta_a_mes6[[#This Row],[CUIT]],Lista_CUIT[#All],2,0)),"CUIT NO CARGADO")</f>
        <v>-</v>
      </c>
      <c r="H227" s="99"/>
      <c r="I227" s="100">
        <f>venta_a_mes6[[#This Row],[IMPORTE NETO]]*0.21</f>
        <v>0</v>
      </c>
      <c r="J227" s="65"/>
      <c r="K227" s="65"/>
      <c r="L227" s="65">
        <f>SUM(venta_a_mes6[[#This Row],[IMPORTE NETO]:[EXENTO]])</f>
        <v>0</v>
      </c>
      <c r="M227" s="59"/>
    </row>
    <row r="228" spans="2:13" x14ac:dyDescent="0.25">
      <c r="B228" s="40"/>
      <c r="C228" s="41"/>
      <c r="D228" s="42"/>
      <c r="E228" s="43"/>
      <c r="F228" s="44"/>
      <c r="G228" s="98" t="str">
        <f>IFERROR(IF(venta_a_mes6[[#This Row],[CUIT]]="","-",VLOOKUP(venta_a_mes6[[#This Row],[CUIT]],Lista_CUIT[#All],2,0)),"CUIT NO CARGADO")</f>
        <v>-</v>
      </c>
      <c r="H228" s="99"/>
      <c r="I228" s="100">
        <f>venta_a_mes6[[#This Row],[IMPORTE NETO]]*0.21</f>
        <v>0</v>
      </c>
      <c r="J228" s="65"/>
      <c r="K228" s="65"/>
      <c r="L228" s="65">
        <f>SUM(venta_a_mes6[[#This Row],[IMPORTE NETO]:[EXENTO]])</f>
        <v>0</v>
      </c>
      <c r="M228" s="59"/>
    </row>
    <row r="229" spans="2:13" x14ac:dyDescent="0.25">
      <c r="B229" s="40"/>
      <c r="C229" s="41"/>
      <c r="D229" s="42"/>
      <c r="E229" s="43"/>
      <c r="F229" s="44"/>
      <c r="G229" s="98" t="str">
        <f>IFERROR(IF(venta_a_mes6[[#This Row],[CUIT]]="","-",VLOOKUP(venta_a_mes6[[#This Row],[CUIT]],Lista_CUIT[#All],2,0)),"CUIT NO CARGADO")</f>
        <v>-</v>
      </c>
      <c r="H229" s="99"/>
      <c r="I229" s="100">
        <f>venta_a_mes6[[#This Row],[IMPORTE NETO]]*0.21</f>
        <v>0</v>
      </c>
      <c r="J229" s="65"/>
      <c r="K229" s="65"/>
      <c r="L229" s="65">
        <f>SUM(venta_a_mes6[[#This Row],[IMPORTE NETO]:[EXENTO]])</f>
        <v>0</v>
      </c>
      <c r="M229" s="59"/>
    </row>
    <row r="230" spans="2:13" x14ac:dyDescent="0.25">
      <c r="B230" s="40"/>
      <c r="C230" s="41"/>
      <c r="D230" s="42"/>
      <c r="E230" s="43"/>
      <c r="F230" s="44"/>
      <c r="G230" s="98" t="str">
        <f>IFERROR(IF(venta_a_mes6[[#This Row],[CUIT]]="","-",VLOOKUP(venta_a_mes6[[#This Row],[CUIT]],Lista_CUIT[#All],2,0)),"CUIT NO CARGADO")</f>
        <v>-</v>
      </c>
      <c r="H230" s="99"/>
      <c r="I230" s="100">
        <f>venta_a_mes6[[#This Row],[IMPORTE NETO]]*0.21</f>
        <v>0</v>
      </c>
      <c r="J230" s="65"/>
      <c r="K230" s="65"/>
      <c r="L230" s="65">
        <f>SUM(venta_a_mes6[[#This Row],[IMPORTE NETO]:[EXENTO]])</f>
        <v>0</v>
      </c>
      <c r="M230" s="59"/>
    </row>
    <row r="231" spans="2:13" x14ac:dyDescent="0.25">
      <c r="B231" s="40"/>
      <c r="C231" s="41"/>
      <c r="D231" s="42"/>
      <c r="E231" s="43"/>
      <c r="F231" s="44"/>
      <c r="G231" s="98" t="str">
        <f>IFERROR(IF(venta_a_mes6[[#This Row],[CUIT]]="","-",VLOOKUP(venta_a_mes6[[#This Row],[CUIT]],Lista_CUIT[#All],2,0)),"CUIT NO CARGADO")</f>
        <v>-</v>
      </c>
      <c r="H231" s="99"/>
      <c r="I231" s="100">
        <f>venta_a_mes6[[#This Row],[IMPORTE NETO]]*0.21</f>
        <v>0</v>
      </c>
      <c r="J231" s="65"/>
      <c r="K231" s="65"/>
      <c r="L231" s="65">
        <f>SUM(venta_a_mes6[[#This Row],[IMPORTE NETO]:[EXENTO]])</f>
        <v>0</v>
      </c>
      <c r="M231" s="59"/>
    </row>
    <row r="232" spans="2:13" x14ac:dyDescent="0.25">
      <c r="B232" s="40"/>
      <c r="C232" s="41"/>
      <c r="D232" s="42"/>
      <c r="E232" s="43"/>
      <c r="F232" s="44"/>
      <c r="G232" s="98" t="str">
        <f>IFERROR(IF(venta_a_mes6[[#This Row],[CUIT]]="","-",VLOOKUP(venta_a_mes6[[#This Row],[CUIT]],Lista_CUIT[#All],2,0)),"CUIT NO CARGADO")</f>
        <v>-</v>
      </c>
      <c r="H232" s="99"/>
      <c r="I232" s="100">
        <f>venta_a_mes6[[#This Row],[IMPORTE NETO]]*0.21</f>
        <v>0</v>
      </c>
      <c r="J232" s="65"/>
      <c r="K232" s="65"/>
      <c r="L232" s="65">
        <f>SUM(venta_a_mes6[[#This Row],[IMPORTE NETO]:[EXENTO]])</f>
        <v>0</v>
      </c>
      <c r="M232" s="59"/>
    </row>
    <row r="233" spans="2:13" x14ac:dyDescent="0.25">
      <c r="B233" s="40"/>
      <c r="C233" s="41"/>
      <c r="D233" s="42"/>
      <c r="E233" s="43"/>
      <c r="F233" s="44"/>
      <c r="G233" s="98" t="str">
        <f>IFERROR(IF(venta_a_mes6[[#This Row],[CUIT]]="","-",VLOOKUP(venta_a_mes6[[#This Row],[CUIT]],Lista_CUIT[#All],2,0)),"CUIT NO CARGADO")</f>
        <v>-</v>
      </c>
      <c r="H233" s="99"/>
      <c r="I233" s="100">
        <f>venta_a_mes6[[#This Row],[IMPORTE NETO]]*0.21</f>
        <v>0</v>
      </c>
      <c r="J233" s="65"/>
      <c r="K233" s="65"/>
      <c r="L233" s="65">
        <f>SUM(venta_a_mes6[[#This Row],[IMPORTE NETO]:[EXENTO]])</f>
        <v>0</v>
      </c>
      <c r="M233" s="59"/>
    </row>
    <row r="234" spans="2:13" x14ac:dyDescent="0.25">
      <c r="B234" s="40"/>
      <c r="C234" s="41"/>
      <c r="D234" s="42"/>
      <c r="E234" s="43"/>
      <c r="F234" s="44"/>
      <c r="G234" s="98" t="str">
        <f>IFERROR(IF(venta_a_mes6[[#This Row],[CUIT]]="","-",VLOOKUP(venta_a_mes6[[#This Row],[CUIT]],Lista_CUIT[#All],2,0)),"CUIT NO CARGADO")</f>
        <v>-</v>
      </c>
      <c r="H234" s="99"/>
      <c r="I234" s="100">
        <f>venta_a_mes6[[#This Row],[IMPORTE NETO]]*0.21</f>
        <v>0</v>
      </c>
      <c r="J234" s="65"/>
      <c r="K234" s="65"/>
      <c r="L234" s="65">
        <f>SUM(venta_a_mes6[[#This Row],[IMPORTE NETO]:[EXENTO]])</f>
        <v>0</v>
      </c>
      <c r="M234" s="59"/>
    </row>
    <row r="235" spans="2:13" x14ac:dyDescent="0.25">
      <c r="B235" s="40"/>
      <c r="C235" s="41"/>
      <c r="D235" s="42"/>
      <c r="E235" s="43"/>
      <c r="F235" s="44"/>
      <c r="G235" s="98" t="str">
        <f>IFERROR(IF(venta_a_mes6[[#This Row],[CUIT]]="","-",VLOOKUP(venta_a_mes6[[#This Row],[CUIT]],Lista_CUIT[#All],2,0)),"CUIT NO CARGADO")</f>
        <v>-</v>
      </c>
      <c r="H235" s="99"/>
      <c r="I235" s="100">
        <f>venta_a_mes6[[#This Row],[IMPORTE NETO]]*0.21</f>
        <v>0</v>
      </c>
      <c r="J235" s="65"/>
      <c r="K235" s="65"/>
      <c r="L235" s="65">
        <f>SUM(venta_a_mes6[[#This Row],[IMPORTE NETO]:[EXENTO]])</f>
        <v>0</v>
      </c>
      <c r="M235" s="59"/>
    </row>
    <row r="236" spans="2:13" x14ac:dyDescent="0.25">
      <c r="B236" s="40"/>
      <c r="C236" s="41"/>
      <c r="D236" s="42"/>
      <c r="E236" s="43"/>
      <c r="F236" s="44"/>
      <c r="G236" s="98" t="str">
        <f>IFERROR(IF(venta_a_mes6[[#This Row],[CUIT]]="","-",VLOOKUP(venta_a_mes6[[#This Row],[CUIT]],Lista_CUIT[#All],2,0)),"CUIT NO CARGADO")</f>
        <v>-</v>
      </c>
      <c r="H236" s="99"/>
      <c r="I236" s="100">
        <f>venta_a_mes6[[#This Row],[IMPORTE NETO]]*0.21</f>
        <v>0</v>
      </c>
      <c r="J236" s="65"/>
      <c r="K236" s="65"/>
      <c r="L236" s="65">
        <f>SUM(venta_a_mes6[[#This Row],[IMPORTE NETO]:[EXENTO]])</f>
        <v>0</v>
      </c>
      <c r="M236" s="59"/>
    </row>
    <row r="237" spans="2:13" x14ac:dyDescent="0.25">
      <c r="B237" s="40"/>
      <c r="C237" s="41"/>
      <c r="D237" s="42"/>
      <c r="E237" s="43"/>
      <c r="F237" s="44"/>
      <c r="G237" s="98" t="str">
        <f>IFERROR(IF(venta_a_mes6[[#This Row],[CUIT]]="","-",VLOOKUP(venta_a_mes6[[#This Row],[CUIT]],Lista_CUIT[#All],2,0)),"CUIT NO CARGADO")</f>
        <v>-</v>
      </c>
      <c r="H237" s="99"/>
      <c r="I237" s="100">
        <f>venta_a_mes6[[#This Row],[IMPORTE NETO]]*0.21</f>
        <v>0</v>
      </c>
      <c r="J237" s="65"/>
      <c r="K237" s="65"/>
      <c r="L237" s="65">
        <f>SUM(venta_a_mes6[[#This Row],[IMPORTE NETO]:[EXENTO]])</f>
        <v>0</v>
      </c>
      <c r="M237" s="59"/>
    </row>
    <row r="238" spans="2:13" x14ac:dyDescent="0.25">
      <c r="B238" s="40"/>
      <c r="C238" s="41"/>
      <c r="D238" s="42"/>
      <c r="E238" s="43"/>
      <c r="F238" s="44"/>
      <c r="G238" s="98" t="str">
        <f>IFERROR(IF(venta_a_mes6[[#This Row],[CUIT]]="","-",VLOOKUP(venta_a_mes6[[#This Row],[CUIT]],Lista_CUIT[#All],2,0)),"CUIT NO CARGADO")</f>
        <v>-</v>
      </c>
      <c r="H238" s="99"/>
      <c r="I238" s="100">
        <f>venta_a_mes6[[#This Row],[IMPORTE NETO]]*0.21</f>
        <v>0</v>
      </c>
      <c r="J238" s="65"/>
      <c r="K238" s="65"/>
      <c r="L238" s="65">
        <f>SUM(venta_a_mes6[[#This Row],[IMPORTE NETO]:[EXENTO]])</f>
        <v>0</v>
      </c>
      <c r="M238" s="59"/>
    </row>
    <row r="239" spans="2:13" x14ac:dyDescent="0.25">
      <c r="B239" s="40"/>
      <c r="C239" s="41"/>
      <c r="D239" s="42"/>
      <c r="E239" s="43"/>
      <c r="F239" s="44"/>
      <c r="G239" s="98" t="str">
        <f>IFERROR(IF(venta_a_mes6[[#This Row],[CUIT]]="","-",VLOOKUP(venta_a_mes6[[#This Row],[CUIT]],Lista_CUIT[#All],2,0)),"CUIT NO CARGADO")</f>
        <v>-</v>
      </c>
      <c r="H239" s="99"/>
      <c r="I239" s="100">
        <f>venta_a_mes6[[#This Row],[IMPORTE NETO]]*0.21</f>
        <v>0</v>
      </c>
      <c r="J239" s="65"/>
      <c r="K239" s="65"/>
      <c r="L239" s="65">
        <f>SUM(venta_a_mes6[[#This Row],[IMPORTE NETO]:[EXENTO]])</f>
        <v>0</v>
      </c>
      <c r="M239" s="59"/>
    </row>
    <row r="240" spans="2:13" x14ac:dyDescent="0.25">
      <c r="B240" s="40"/>
      <c r="C240" s="41"/>
      <c r="D240" s="42"/>
      <c r="E240" s="43"/>
      <c r="F240" s="44"/>
      <c r="G240" s="98" t="str">
        <f>IFERROR(IF(venta_a_mes6[[#This Row],[CUIT]]="","-",VLOOKUP(venta_a_mes6[[#This Row],[CUIT]],Lista_CUIT[#All],2,0)),"CUIT NO CARGADO")</f>
        <v>-</v>
      </c>
      <c r="H240" s="99"/>
      <c r="I240" s="100">
        <f>venta_a_mes6[[#This Row],[IMPORTE NETO]]*0.21</f>
        <v>0</v>
      </c>
      <c r="J240" s="65"/>
      <c r="K240" s="65"/>
      <c r="L240" s="65">
        <f>SUM(venta_a_mes6[[#This Row],[IMPORTE NETO]:[EXENTO]])</f>
        <v>0</v>
      </c>
      <c r="M240" s="59"/>
    </row>
    <row r="241" spans="2:13" x14ac:dyDescent="0.25">
      <c r="B241" s="40"/>
      <c r="C241" s="41"/>
      <c r="D241" s="42"/>
      <c r="E241" s="43"/>
      <c r="F241" s="44"/>
      <c r="G241" s="98" t="str">
        <f>IFERROR(IF(venta_a_mes6[[#This Row],[CUIT]]="","-",VLOOKUP(venta_a_mes6[[#This Row],[CUIT]],Lista_CUIT[#All],2,0)),"CUIT NO CARGADO")</f>
        <v>-</v>
      </c>
      <c r="H241" s="99"/>
      <c r="I241" s="100">
        <f>venta_a_mes6[[#This Row],[IMPORTE NETO]]*0.21</f>
        <v>0</v>
      </c>
      <c r="J241" s="65"/>
      <c r="K241" s="65"/>
      <c r="L241" s="65">
        <f>SUM(venta_a_mes6[[#This Row],[IMPORTE NETO]:[EXENTO]])</f>
        <v>0</v>
      </c>
      <c r="M241" s="59"/>
    </row>
    <row r="242" spans="2:13" x14ac:dyDescent="0.25">
      <c r="B242" s="40"/>
      <c r="C242" s="41"/>
      <c r="D242" s="42"/>
      <c r="E242" s="43"/>
      <c r="F242" s="44"/>
      <c r="G242" s="98" t="str">
        <f>IFERROR(IF(venta_a_mes6[[#This Row],[CUIT]]="","-",VLOOKUP(venta_a_mes6[[#This Row],[CUIT]],Lista_CUIT[#All],2,0)),"CUIT NO CARGADO")</f>
        <v>-</v>
      </c>
      <c r="H242" s="99"/>
      <c r="I242" s="100">
        <f>venta_a_mes6[[#This Row],[IMPORTE NETO]]*0.21</f>
        <v>0</v>
      </c>
      <c r="J242" s="65"/>
      <c r="K242" s="65"/>
      <c r="L242" s="65">
        <f>SUM(venta_a_mes6[[#This Row],[IMPORTE NETO]:[EXENTO]])</f>
        <v>0</v>
      </c>
      <c r="M242" s="59"/>
    </row>
    <row r="243" spans="2:13" x14ac:dyDescent="0.25">
      <c r="B243" s="40"/>
      <c r="C243" s="41"/>
      <c r="D243" s="42"/>
      <c r="E243" s="43"/>
      <c r="F243" s="44"/>
      <c r="G243" s="98" t="str">
        <f>IFERROR(IF(venta_a_mes6[[#This Row],[CUIT]]="","-",VLOOKUP(venta_a_mes6[[#This Row],[CUIT]],Lista_CUIT[#All],2,0)),"CUIT NO CARGADO")</f>
        <v>-</v>
      </c>
      <c r="H243" s="99"/>
      <c r="I243" s="100">
        <f>venta_a_mes6[[#This Row],[IMPORTE NETO]]*0.21</f>
        <v>0</v>
      </c>
      <c r="J243" s="65"/>
      <c r="K243" s="65"/>
      <c r="L243" s="65">
        <f>SUM(venta_a_mes6[[#This Row],[IMPORTE NETO]:[EXENTO]])</f>
        <v>0</v>
      </c>
      <c r="M243" s="59"/>
    </row>
    <row r="244" spans="2:13" x14ac:dyDescent="0.25">
      <c r="B244" s="40"/>
      <c r="C244" s="41"/>
      <c r="D244" s="42"/>
      <c r="E244" s="43"/>
      <c r="F244" s="44"/>
      <c r="G244" s="98" t="str">
        <f>IFERROR(IF(venta_a_mes6[[#This Row],[CUIT]]="","-",VLOOKUP(venta_a_mes6[[#This Row],[CUIT]],Lista_CUIT[#All],2,0)),"CUIT NO CARGADO")</f>
        <v>-</v>
      </c>
      <c r="H244" s="99"/>
      <c r="I244" s="100">
        <f>venta_a_mes6[[#This Row],[IMPORTE NETO]]*0.21</f>
        <v>0</v>
      </c>
      <c r="J244" s="65"/>
      <c r="K244" s="65"/>
      <c r="L244" s="65">
        <f>SUM(venta_a_mes6[[#This Row],[IMPORTE NETO]:[EXENTO]])</f>
        <v>0</v>
      </c>
      <c r="M244" s="59"/>
    </row>
    <row r="245" spans="2:13" x14ac:dyDescent="0.25">
      <c r="B245" s="40"/>
      <c r="C245" s="41"/>
      <c r="D245" s="42"/>
      <c r="E245" s="43"/>
      <c r="F245" s="44"/>
      <c r="G245" s="98" t="str">
        <f>IFERROR(IF(venta_a_mes6[[#This Row],[CUIT]]="","-",VLOOKUP(venta_a_mes6[[#This Row],[CUIT]],Lista_CUIT[#All],2,0)),"CUIT NO CARGADO")</f>
        <v>-</v>
      </c>
      <c r="H245" s="99"/>
      <c r="I245" s="100">
        <f>venta_a_mes6[[#This Row],[IMPORTE NETO]]*0.21</f>
        <v>0</v>
      </c>
      <c r="J245" s="65"/>
      <c r="K245" s="65"/>
      <c r="L245" s="65">
        <f>SUM(venta_a_mes6[[#This Row],[IMPORTE NETO]:[EXENTO]])</f>
        <v>0</v>
      </c>
      <c r="M245" s="59"/>
    </row>
    <row r="246" spans="2:13" x14ac:dyDescent="0.25">
      <c r="B246" s="40"/>
      <c r="C246" s="41"/>
      <c r="D246" s="42"/>
      <c r="E246" s="43"/>
      <c r="F246" s="44"/>
      <c r="G246" s="98" t="str">
        <f>IFERROR(IF(venta_a_mes6[[#This Row],[CUIT]]="","-",VLOOKUP(venta_a_mes6[[#This Row],[CUIT]],Lista_CUIT[#All],2,0)),"CUIT NO CARGADO")</f>
        <v>-</v>
      </c>
      <c r="H246" s="99"/>
      <c r="I246" s="100">
        <f>venta_a_mes6[[#This Row],[IMPORTE NETO]]*0.21</f>
        <v>0</v>
      </c>
      <c r="J246" s="65"/>
      <c r="K246" s="65"/>
      <c r="L246" s="65">
        <f>SUM(venta_a_mes6[[#This Row],[IMPORTE NETO]:[EXENTO]])</f>
        <v>0</v>
      </c>
      <c r="M246" s="59"/>
    </row>
    <row r="247" spans="2:13" x14ac:dyDescent="0.25">
      <c r="B247" s="40"/>
      <c r="C247" s="41"/>
      <c r="D247" s="42"/>
      <c r="E247" s="43"/>
      <c r="F247" s="44"/>
      <c r="G247" s="98" t="str">
        <f>IFERROR(IF(venta_a_mes6[[#This Row],[CUIT]]="","-",VLOOKUP(venta_a_mes6[[#This Row],[CUIT]],Lista_CUIT[#All],2,0)),"CUIT NO CARGADO")</f>
        <v>-</v>
      </c>
      <c r="H247" s="99"/>
      <c r="I247" s="100">
        <f>venta_a_mes6[[#This Row],[IMPORTE NETO]]*0.21</f>
        <v>0</v>
      </c>
      <c r="J247" s="65"/>
      <c r="K247" s="65"/>
      <c r="L247" s="65">
        <f>SUM(venta_a_mes6[[#This Row],[IMPORTE NETO]:[EXENTO]])</f>
        <v>0</v>
      </c>
      <c r="M247" s="59"/>
    </row>
    <row r="248" spans="2:13" x14ac:dyDescent="0.25">
      <c r="B248" s="40"/>
      <c r="C248" s="41"/>
      <c r="D248" s="42"/>
      <c r="E248" s="43"/>
      <c r="F248" s="44"/>
      <c r="G248" s="98" t="str">
        <f>IFERROR(IF(venta_a_mes6[[#This Row],[CUIT]]="","-",VLOOKUP(venta_a_mes6[[#This Row],[CUIT]],Lista_CUIT[#All],2,0)),"CUIT NO CARGADO")</f>
        <v>-</v>
      </c>
      <c r="H248" s="99"/>
      <c r="I248" s="100">
        <f>venta_a_mes6[[#This Row],[IMPORTE NETO]]*0.21</f>
        <v>0</v>
      </c>
      <c r="J248" s="65"/>
      <c r="K248" s="65"/>
      <c r="L248" s="65">
        <f>SUM(venta_a_mes6[[#This Row],[IMPORTE NETO]:[EXENTO]])</f>
        <v>0</v>
      </c>
      <c r="M248" s="59"/>
    </row>
    <row r="249" spans="2:13" x14ac:dyDescent="0.25">
      <c r="B249" s="40"/>
      <c r="C249" s="41"/>
      <c r="D249" s="42"/>
      <c r="E249" s="43"/>
      <c r="F249" s="44"/>
      <c r="G249" s="98" t="str">
        <f>IFERROR(IF(venta_a_mes6[[#This Row],[CUIT]]="","-",VLOOKUP(venta_a_mes6[[#This Row],[CUIT]],Lista_CUIT[#All],2,0)),"CUIT NO CARGADO")</f>
        <v>-</v>
      </c>
      <c r="H249" s="99"/>
      <c r="I249" s="100">
        <f>venta_a_mes6[[#This Row],[IMPORTE NETO]]*0.21</f>
        <v>0</v>
      </c>
      <c r="J249" s="65"/>
      <c r="K249" s="65"/>
      <c r="L249" s="65">
        <f>SUM(venta_a_mes6[[#This Row],[IMPORTE NETO]:[EXENTO]])</f>
        <v>0</v>
      </c>
      <c r="M249" s="59"/>
    </row>
    <row r="250" spans="2:13" x14ac:dyDescent="0.25">
      <c r="B250" s="40"/>
      <c r="C250" s="41"/>
      <c r="D250" s="42"/>
      <c r="E250" s="43"/>
      <c r="F250" s="44"/>
      <c r="G250" s="98" t="str">
        <f>IFERROR(IF(venta_a_mes6[[#This Row],[CUIT]]="","-",VLOOKUP(venta_a_mes6[[#This Row],[CUIT]],Lista_CUIT[#All],2,0)),"CUIT NO CARGADO")</f>
        <v>-</v>
      </c>
      <c r="H250" s="99"/>
      <c r="I250" s="100">
        <f>venta_a_mes6[[#This Row],[IMPORTE NETO]]*0.21</f>
        <v>0</v>
      </c>
      <c r="J250" s="65"/>
      <c r="K250" s="65"/>
      <c r="L250" s="65">
        <f>SUM(venta_a_mes6[[#This Row],[IMPORTE NETO]:[EXENTO]])</f>
        <v>0</v>
      </c>
      <c r="M250" s="59"/>
    </row>
    <row r="251" spans="2:13" x14ac:dyDescent="0.25">
      <c r="B251" s="40"/>
      <c r="C251" s="41"/>
      <c r="D251" s="42"/>
      <c r="E251" s="43"/>
      <c r="F251" s="44"/>
      <c r="G251" s="98" t="str">
        <f>IFERROR(IF(venta_a_mes6[[#This Row],[CUIT]]="","-",VLOOKUP(venta_a_mes6[[#This Row],[CUIT]],Lista_CUIT[#All],2,0)),"CUIT NO CARGADO")</f>
        <v>-</v>
      </c>
      <c r="H251" s="99"/>
      <c r="I251" s="100">
        <f>venta_a_mes6[[#This Row],[IMPORTE NETO]]*0.21</f>
        <v>0</v>
      </c>
      <c r="J251" s="65"/>
      <c r="K251" s="65"/>
      <c r="L251" s="65">
        <f>SUM(venta_a_mes6[[#This Row],[IMPORTE NETO]:[EXENTO]])</f>
        <v>0</v>
      </c>
      <c r="M251" s="59"/>
    </row>
    <row r="252" spans="2:13" x14ac:dyDescent="0.25">
      <c r="B252" s="40"/>
      <c r="C252" s="41"/>
      <c r="D252" s="42"/>
      <c r="E252" s="43"/>
      <c r="F252" s="44"/>
      <c r="G252" s="98" t="str">
        <f>IFERROR(IF(venta_a_mes6[[#This Row],[CUIT]]="","-",VLOOKUP(venta_a_mes6[[#This Row],[CUIT]],Lista_CUIT[#All],2,0)),"CUIT NO CARGADO")</f>
        <v>-</v>
      </c>
      <c r="H252" s="99"/>
      <c r="I252" s="100">
        <f>venta_a_mes6[[#This Row],[IMPORTE NETO]]*0.21</f>
        <v>0</v>
      </c>
      <c r="J252" s="65"/>
      <c r="K252" s="65"/>
      <c r="L252" s="65">
        <f>SUM(venta_a_mes6[[#This Row],[IMPORTE NETO]:[EXENTO]])</f>
        <v>0</v>
      </c>
      <c r="M252" s="59"/>
    </row>
    <row r="253" spans="2:13" x14ac:dyDescent="0.25">
      <c r="B253" s="40"/>
      <c r="C253" s="41"/>
      <c r="D253" s="42"/>
      <c r="E253" s="43"/>
      <c r="F253" s="44"/>
      <c r="G253" s="98" t="str">
        <f>IFERROR(IF(venta_a_mes6[[#This Row],[CUIT]]="","-",VLOOKUP(venta_a_mes6[[#This Row],[CUIT]],Lista_CUIT[#All],2,0)),"CUIT NO CARGADO")</f>
        <v>-</v>
      </c>
      <c r="H253" s="99"/>
      <c r="I253" s="100">
        <f>venta_a_mes6[[#This Row],[IMPORTE NETO]]*0.21</f>
        <v>0</v>
      </c>
      <c r="J253" s="65"/>
      <c r="K253" s="65"/>
      <c r="L253" s="65">
        <f>SUM(venta_a_mes6[[#This Row],[IMPORTE NETO]:[EXENTO]])</f>
        <v>0</v>
      </c>
      <c r="M253" s="59"/>
    </row>
    <row r="254" spans="2:13" x14ac:dyDescent="0.25">
      <c r="B254" s="40"/>
      <c r="C254" s="41"/>
      <c r="D254" s="42"/>
      <c r="E254" s="43"/>
      <c r="F254" s="44"/>
      <c r="G254" s="98" t="str">
        <f>IFERROR(IF(venta_a_mes6[[#This Row],[CUIT]]="","-",VLOOKUP(venta_a_mes6[[#This Row],[CUIT]],Lista_CUIT[#All],2,0)),"CUIT NO CARGADO")</f>
        <v>-</v>
      </c>
      <c r="H254" s="99"/>
      <c r="I254" s="100">
        <f>venta_a_mes6[[#This Row],[IMPORTE NETO]]*0.21</f>
        <v>0</v>
      </c>
      <c r="J254" s="65"/>
      <c r="K254" s="65"/>
      <c r="L254" s="65">
        <f>SUM(venta_a_mes6[[#This Row],[IMPORTE NETO]:[EXENTO]])</f>
        <v>0</v>
      </c>
      <c r="M254" s="59"/>
    </row>
    <row r="255" spans="2:13" x14ac:dyDescent="0.25">
      <c r="B255" s="40"/>
      <c r="C255" s="41"/>
      <c r="D255" s="42"/>
      <c r="E255" s="43"/>
      <c r="F255" s="44"/>
      <c r="G255" s="98" t="str">
        <f>IFERROR(IF(venta_a_mes6[[#This Row],[CUIT]]="","-",VLOOKUP(venta_a_mes6[[#This Row],[CUIT]],Lista_CUIT[#All],2,0)),"CUIT NO CARGADO")</f>
        <v>-</v>
      </c>
      <c r="H255" s="99"/>
      <c r="I255" s="100">
        <f>venta_a_mes6[[#This Row],[IMPORTE NETO]]*0.21</f>
        <v>0</v>
      </c>
      <c r="J255" s="65"/>
      <c r="K255" s="65"/>
      <c r="L255" s="65">
        <f>SUM(venta_a_mes6[[#This Row],[IMPORTE NETO]:[EXENTO]])</f>
        <v>0</v>
      </c>
      <c r="M255" s="59"/>
    </row>
    <row r="256" spans="2:13" x14ac:dyDescent="0.25">
      <c r="B256" s="40"/>
      <c r="C256" s="41"/>
      <c r="D256" s="42"/>
      <c r="E256" s="43"/>
      <c r="F256" s="44"/>
      <c r="G256" s="98" t="str">
        <f>IFERROR(IF(venta_a_mes6[[#This Row],[CUIT]]="","-",VLOOKUP(venta_a_mes6[[#This Row],[CUIT]],Lista_CUIT[#All],2,0)),"CUIT NO CARGADO")</f>
        <v>-</v>
      </c>
      <c r="H256" s="99"/>
      <c r="I256" s="100">
        <f>venta_a_mes6[[#This Row],[IMPORTE NETO]]*0.21</f>
        <v>0</v>
      </c>
      <c r="J256" s="65"/>
      <c r="K256" s="65"/>
      <c r="L256" s="65">
        <f>SUM(venta_a_mes6[[#This Row],[IMPORTE NETO]:[EXENTO]])</f>
        <v>0</v>
      </c>
      <c r="M256" s="59"/>
    </row>
    <row r="257" spans="2:13" x14ac:dyDescent="0.25">
      <c r="B257" s="40"/>
      <c r="C257" s="41"/>
      <c r="D257" s="42"/>
      <c r="E257" s="43"/>
      <c r="F257" s="44"/>
      <c r="G257" s="98" t="str">
        <f>IFERROR(IF(venta_a_mes6[[#This Row],[CUIT]]="","-",VLOOKUP(venta_a_mes6[[#This Row],[CUIT]],Lista_CUIT[#All],2,0)),"CUIT NO CARGADO")</f>
        <v>-</v>
      </c>
      <c r="H257" s="99"/>
      <c r="I257" s="100">
        <f>venta_a_mes6[[#This Row],[IMPORTE NETO]]*0.21</f>
        <v>0</v>
      </c>
      <c r="J257" s="65"/>
      <c r="K257" s="65"/>
      <c r="L257" s="65">
        <f>SUM(venta_a_mes6[[#This Row],[IMPORTE NETO]:[EXENTO]])</f>
        <v>0</v>
      </c>
      <c r="M257" s="59"/>
    </row>
    <row r="258" spans="2:13" x14ac:dyDescent="0.25">
      <c r="B258" s="40"/>
      <c r="C258" s="41"/>
      <c r="D258" s="42"/>
      <c r="E258" s="43"/>
      <c r="F258" s="44"/>
      <c r="G258" s="98" t="str">
        <f>IFERROR(IF(venta_a_mes6[[#This Row],[CUIT]]="","-",VLOOKUP(venta_a_mes6[[#This Row],[CUIT]],Lista_CUIT[#All],2,0)),"CUIT NO CARGADO")</f>
        <v>-</v>
      </c>
      <c r="H258" s="99"/>
      <c r="I258" s="100">
        <f>venta_a_mes6[[#This Row],[IMPORTE NETO]]*0.21</f>
        <v>0</v>
      </c>
      <c r="J258" s="65"/>
      <c r="K258" s="65"/>
      <c r="L258" s="65">
        <f>SUM(venta_a_mes6[[#This Row],[IMPORTE NETO]:[EXENTO]])</f>
        <v>0</v>
      </c>
      <c r="M258" s="59"/>
    </row>
    <row r="259" spans="2:13" x14ac:dyDescent="0.25">
      <c r="B259" s="40"/>
      <c r="C259" s="41"/>
      <c r="D259" s="42"/>
      <c r="E259" s="43"/>
      <c r="F259" s="44"/>
      <c r="G259" s="98" t="str">
        <f>IFERROR(IF(venta_a_mes6[[#This Row],[CUIT]]="","-",VLOOKUP(venta_a_mes6[[#This Row],[CUIT]],Lista_CUIT[#All],2,0)),"CUIT NO CARGADO")</f>
        <v>-</v>
      </c>
      <c r="H259" s="99"/>
      <c r="I259" s="100">
        <f>venta_a_mes6[[#This Row],[IMPORTE NETO]]*0.21</f>
        <v>0</v>
      </c>
      <c r="J259" s="65"/>
      <c r="K259" s="65"/>
      <c r="L259" s="65">
        <f>SUM(venta_a_mes6[[#This Row],[IMPORTE NETO]:[EXENTO]])</f>
        <v>0</v>
      </c>
      <c r="M259" s="59"/>
    </row>
    <row r="260" spans="2:13" x14ac:dyDescent="0.25">
      <c r="B260" s="40"/>
      <c r="C260" s="41"/>
      <c r="D260" s="42"/>
      <c r="E260" s="43"/>
      <c r="F260" s="44"/>
      <c r="G260" s="98" t="str">
        <f>IFERROR(IF(venta_a_mes6[[#This Row],[CUIT]]="","-",VLOOKUP(venta_a_mes6[[#This Row],[CUIT]],Lista_CUIT[#All],2,0)),"CUIT NO CARGADO")</f>
        <v>-</v>
      </c>
      <c r="H260" s="99"/>
      <c r="I260" s="100">
        <f>venta_a_mes6[[#This Row],[IMPORTE NETO]]*0.21</f>
        <v>0</v>
      </c>
      <c r="J260" s="65"/>
      <c r="K260" s="65"/>
      <c r="L260" s="65">
        <f>SUM(venta_a_mes6[[#This Row],[IMPORTE NETO]:[EXENTO]])</f>
        <v>0</v>
      </c>
      <c r="M260" s="59"/>
    </row>
    <row r="261" spans="2:13" x14ac:dyDescent="0.25">
      <c r="B261" s="40"/>
      <c r="C261" s="41"/>
      <c r="D261" s="42"/>
      <c r="E261" s="43"/>
      <c r="F261" s="44"/>
      <c r="G261" s="98" t="str">
        <f>IFERROR(IF(venta_a_mes6[[#This Row],[CUIT]]="","-",VLOOKUP(venta_a_mes6[[#This Row],[CUIT]],Lista_CUIT[#All],2,0)),"CUIT NO CARGADO")</f>
        <v>-</v>
      </c>
      <c r="H261" s="99"/>
      <c r="I261" s="100">
        <f>venta_a_mes6[[#This Row],[IMPORTE NETO]]*0.21</f>
        <v>0</v>
      </c>
      <c r="J261" s="65"/>
      <c r="K261" s="65"/>
      <c r="L261" s="65">
        <f>SUM(venta_a_mes6[[#This Row],[IMPORTE NETO]:[EXENTO]])</f>
        <v>0</v>
      </c>
      <c r="M261" s="59"/>
    </row>
    <row r="262" spans="2:13" x14ac:dyDescent="0.25">
      <c r="B262" s="40"/>
      <c r="C262" s="41"/>
      <c r="D262" s="42"/>
      <c r="E262" s="43"/>
      <c r="F262" s="44"/>
      <c r="G262" s="98" t="str">
        <f>IFERROR(IF(venta_a_mes6[[#This Row],[CUIT]]="","-",VLOOKUP(venta_a_mes6[[#This Row],[CUIT]],Lista_CUIT[#All],2,0)),"CUIT NO CARGADO")</f>
        <v>-</v>
      </c>
      <c r="H262" s="99"/>
      <c r="I262" s="100">
        <f>venta_a_mes6[[#This Row],[IMPORTE NETO]]*0.21</f>
        <v>0</v>
      </c>
      <c r="J262" s="65"/>
      <c r="K262" s="65"/>
      <c r="L262" s="65">
        <f>SUM(venta_a_mes6[[#This Row],[IMPORTE NETO]:[EXENTO]])</f>
        <v>0</v>
      </c>
      <c r="M262" s="59"/>
    </row>
    <row r="263" spans="2:13" x14ac:dyDescent="0.25">
      <c r="B263" s="40"/>
      <c r="C263" s="41"/>
      <c r="D263" s="42"/>
      <c r="E263" s="43"/>
      <c r="F263" s="44"/>
      <c r="G263" s="98" t="str">
        <f>IFERROR(IF(venta_a_mes6[[#This Row],[CUIT]]="","-",VLOOKUP(venta_a_mes6[[#This Row],[CUIT]],Lista_CUIT[#All],2,0)),"CUIT NO CARGADO")</f>
        <v>-</v>
      </c>
      <c r="H263" s="99"/>
      <c r="I263" s="100">
        <f>venta_a_mes6[[#This Row],[IMPORTE NETO]]*0.21</f>
        <v>0</v>
      </c>
      <c r="J263" s="65"/>
      <c r="K263" s="65"/>
      <c r="L263" s="65">
        <f>SUM(venta_a_mes6[[#This Row],[IMPORTE NETO]:[EXENTO]])</f>
        <v>0</v>
      </c>
      <c r="M263" s="59"/>
    </row>
    <row r="264" spans="2:13" x14ac:dyDescent="0.25">
      <c r="B264" s="40"/>
      <c r="C264" s="41"/>
      <c r="D264" s="42"/>
      <c r="E264" s="43"/>
      <c r="F264" s="44"/>
      <c r="G264" s="98" t="str">
        <f>IFERROR(IF(venta_a_mes6[[#This Row],[CUIT]]="","-",VLOOKUP(venta_a_mes6[[#This Row],[CUIT]],Lista_CUIT[#All],2,0)),"CUIT NO CARGADO")</f>
        <v>-</v>
      </c>
      <c r="H264" s="99"/>
      <c r="I264" s="100">
        <f>venta_a_mes6[[#This Row],[IMPORTE NETO]]*0.21</f>
        <v>0</v>
      </c>
      <c r="J264" s="65"/>
      <c r="K264" s="65"/>
      <c r="L264" s="65">
        <f>SUM(venta_a_mes6[[#This Row],[IMPORTE NETO]:[EXENTO]])</f>
        <v>0</v>
      </c>
      <c r="M264" s="59"/>
    </row>
    <row r="265" spans="2:13" x14ac:dyDescent="0.25">
      <c r="B265" s="40"/>
      <c r="C265" s="41"/>
      <c r="D265" s="42"/>
      <c r="E265" s="43"/>
      <c r="F265" s="44"/>
      <c r="G265" s="98" t="str">
        <f>IFERROR(IF(venta_a_mes6[[#This Row],[CUIT]]="","-",VLOOKUP(venta_a_mes6[[#This Row],[CUIT]],Lista_CUIT[#All],2,0)),"CUIT NO CARGADO")</f>
        <v>-</v>
      </c>
      <c r="H265" s="99"/>
      <c r="I265" s="100">
        <f>venta_a_mes6[[#This Row],[IMPORTE NETO]]*0.21</f>
        <v>0</v>
      </c>
      <c r="J265" s="65"/>
      <c r="K265" s="65"/>
      <c r="L265" s="65">
        <f>SUM(venta_a_mes6[[#This Row],[IMPORTE NETO]:[EXENTO]])</f>
        <v>0</v>
      </c>
      <c r="M265" s="59"/>
    </row>
    <row r="266" spans="2:13" x14ac:dyDescent="0.25">
      <c r="B266" s="40"/>
      <c r="C266" s="41"/>
      <c r="D266" s="42"/>
      <c r="E266" s="43"/>
      <c r="F266" s="44"/>
      <c r="G266" s="98" t="str">
        <f>IFERROR(IF(venta_a_mes6[[#This Row],[CUIT]]="","-",VLOOKUP(venta_a_mes6[[#This Row],[CUIT]],Lista_CUIT[#All],2,0)),"CUIT NO CARGADO")</f>
        <v>-</v>
      </c>
      <c r="H266" s="99"/>
      <c r="I266" s="100">
        <f>venta_a_mes6[[#This Row],[IMPORTE NETO]]*0.21</f>
        <v>0</v>
      </c>
      <c r="J266" s="65"/>
      <c r="K266" s="65"/>
      <c r="L266" s="65">
        <f>SUM(venta_a_mes6[[#This Row],[IMPORTE NETO]:[EXENTO]])</f>
        <v>0</v>
      </c>
      <c r="M266" s="59"/>
    </row>
    <row r="267" spans="2:13" x14ac:dyDescent="0.25">
      <c r="B267" s="40"/>
      <c r="C267" s="41"/>
      <c r="D267" s="42"/>
      <c r="E267" s="43"/>
      <c r="F267" s="44"/>
      <c r="G267" s="98" t="str">
        <f>IFERROR(IF(venta_a_mes6[[#This Row],[CUIT]]="","-",VLOOKUP(venta_a_mes6[[#This Row],[CUIT]],Lista_CUIT[#All],2,0)),"CUIT NO CARGADO")</f>
        <v>-</v>
      </c>
      <c r="H267" s="99"/>
      <c r="I267" s="100">
        <f>venta_a_mes6[[#This Row],[IMPORTE NETO]]*0.21</f>
        <v>0</v>
      </c>
      <c r="J267" s="65"/>
      <c r="K267" s="65"/>
      <c r="L267" s="65">
        <f>SUM(venta_a_mes6[[#This Row],[IMPORTE NETO]:[EXENTO]])</f>
        <v>0</v>
      </c>
      <c r="M267" s="59"/>
    </row>
    <row r="268" spans="2:13" x14ac:dyDescent="0.25">
      <c r="B268" s="40"/>
      <c r="C268" s="41"/>
      <c r="D268" s="42"/>
      <c r="E268" s="43"/>
      <c r="F268" s="44"/>
      <c r="G268" s="98" t="str">
        <f>IFERROR(IF(venta_a_mes6[[#This Row],[CUIT]]="","-",VLOOKUP(venta_a_mes6[[#This Row],[CUIT]],Lista_CUIT[#All],2,0)),"CUIT NO CARGADO")</f>
        <v>-</v>
      </c>
      <c r="H268" s="99"/>
      <c r="I268" s="100">
        <f>venta_a_mes6[[#This Row],[IMPORTE NETO]]*0.21</f>
        <v>0</v>
      </c>
      <c r="J268" s="65"/>
      <c r="K268" s="65"/>
      <c r="L268" s="65">
        <f>SUM(venta_a_mes6[[#This Row],[IMPORTE NETO]:[EXENTO]])</f>
        <v>0</v>
      </c>
      <c r="M268" s="59"/>
    </row>
    <row r="269" spans="2:13" x14ac:dyDescent="0.25">
      <c r="B269" s="40"/>
      <c r="C269" s="41"/>
      <c r="D269" s="42"/>
      <c r="E269" s="43"/>
      <c r="F269" s="44"/>
      <c r="G269" s="98" t="str">
        <f>IFERROR(IF(venta_a_mes6[[#This Row],[CUIT]]="","-",VLOOKUP(venta_a_mes6[[#This Row],[CUIT]],Lista_CUIT[#All],2,0)),"CUIT NO CARGADO")</f>
        <v>-</v>
      </c>
      <c r="H269" s="99"/>
      <c r="I269" s="100">
        <f>venta_a_mes6[[#This Row],[IMPORTE NETO]]*0.21</f>
        <v>0</v>
      </c>
      <c r="J269" s="65"/>
      <c r="K269" s="65"/>
      <c r="L269" s="65">
        <f>SUM(venta_a_mes6[[#This Row],[IMPORTE NETO]:[EXENTO]])</f>
        <v>0</v>
      </c>
      <c r="M269" s="59"/>
    </row>
    <row r="270" spans="2:13" x14ac:dyDescent="0.25">
      <c r="B270" s="40"/>
      <c r="C270" s="41"/>
      <c r="D270" s="42"/>
      <c r="E270" s="43"/>
      <c r="F270" s="44"/>
      <c r="G270" s="98" t="str">
        <f>IFERROR(IF(venta_a_mes6[[#This Row],[CUIT]]="","-",VLOOKUP(venta_a_mes6[[#This Row],[CUIT]],Lista_CUIT[#All],2,0)),"CUIT NO CARGADO")</f>
        <v>-</v>
      </c>
      <c r="H270" s="99"/>
      <c r="I270" s="100">
        <f>venta_a_mes6[[#This Row],[IMPORTE NETO]]*0.21</f>
        <v>0</v>
      </c>
      <c r="J270" s="65"/>
      <c r="K270" s="65"/>
      <c r="L270" s="65">
        <f>SUM(venta_a_mes6[[#This Row],[IMPORTE NETO]:[EXENTO]])</f>
        <v>0</v>
      </c>
      <c r="M270" s="59"/>
    </row>
    <row r="271" spans="2:13" x14ac:dyDescent="0.25">
      <c r="B271" s="40"/>
      <c r="C271" s="41"/>
      <c r="D271" s="42"/>
      <c r="E271" s="43"/>
      <c r="F271" s="44"/>
      <c r="G271" s="98" t="str">
        <f>IFERROR(IF(venta_a_mes6[[#This Row],[CUIT]]="","-",VLOOKUP(venta_a_mes6[[#This Row],[CUIT]],Lista_CUIT[#All],2,0)),"CUIT NO CARGADO")</f>
        <v>-</v>
      </c>
      <c r="H271" s="99"/>
      <c r="I271" s="100">
        <f>venta_a_mes6[[#This Row],[IMPORTE NETO]]*0.21</f>
        <v>0</v>
      </c>
      <c r="J271" s="65"/>
      <c r="K271" s="65"/>
      <c r="L271" s="65">
        <f>SUM(venta_a_mes6[[#This Row],[IMPORTE NETO]:[EXENTO]])</f>
        <v>0</v>
      </c>
      <c r="M271" s="59"/>
    </row>
    <row r="272" spans="2:13" x14ac:dyDescent="0.25">
      <c r="B272" s="40"/>
      <c r="C272" s="41"/>
      <c r="D272" s="42"/>
      <c r="E272" s="43"/>
      <c r="F272" s="44"/>
      <c r="G272" s="98" t="str">
        <f>IFERROR(IF(venta_a_mes6[[#This Row],[CUIT]]="","-",VLOOKUP(venta_a_mes6[[#This Row],[CUIT]],Lista_CUIT[#All],2,0)),"CUIT NO CARGADO")</f>
        <v>-</v>
      </c>
      <c r="H272" s="99"/>
      <c r="I272" s="100">
        <f>venta_a_mes6[[#This Row],[IMPORTE NETO]]*0.21</f>
        <v>0</v>
      </c>
      <c r="J272" s="65"/>
      <c r="K272" s="65"/>
      <c r="L272" s="65">
        <f>SUM(venta_a_mes6[[#This Row],[IMPORTE NETO]:[EXENTO]])</f>
        <v>0</v>
      </c>
      <c r="M272" s="59"/>
    </row>
    <row r="273" spans="2:13" x14ac:dyDescent="0.25">
      <c r="B273" s="40"/>
      <c r="C273" s="41"/>
      <c r="D273" s="42"/>
      <c r="E273" s="43"/>
      <c r="F273" s="44"/>
      <c r="G273" s="98" t="str">
        <f>IFERROR(IF(venta_a_mes6[[#This Row],[CUIT]]="","-",VLOOKUP(venta_a_mes6[[#This Row],[CUIT]],Lista_CUIT[#All],2,0)),"CUIT NO CARGADO")</f>
        <v>-</v>
      </c>
      <c r="H273" s="99"/>
      <c r="I273" s="100">
        <f>venta_a_mes6[[#This Row],[IMPORTE NETO]]*0.21</f>
        <v>0</v>
      </c>
      <c r="J273" s="65"/>
      <c r="K273" s="65"/>
      <c r="L273" s="65">
        <f>SUM(venta_a_mes6[[#This Row],[IMPORTE NETO]:[EXENTO]])</f>
        <v>0</v>
      </c>
      <c r="M273" s="59"/>
    </row>
    <row r="274" spans="2:13" x14ac:dyDescent="0.25">
      <c r="B274" s="40"/>
      <c r="C274" s="41"/>
      <c r="D274" s="42"/>
      <c r="E274" s="43"/>
      <c r="F274" s="44"/>
      <c r="G274" s="98" t="str">
        <f>IFERROR(IF(venta_a_mes6[[#This Row],[CUIT]]="","-",VLOOKUP(venta_a_mes6[[#This Row],[CUIT]],Lista_CUIT[#All],2,0)),"CUIT NO CARGADO")</f>
        <v>-</v>
      </c>
      <c r="H274" s="99"/>
      <c r="I274" s="100">
        <f>venta_a_mes6[[#This Row],[IMPORTE NETO]]*0.21</f>
        <v>0</v>
      </c>
      <c r="J274" s="65"/>
      <c r="K274" s="65"/>
      <c r="L274" s="65">
        <f>SUM(venta_a_mes6[[#This Row],[IMPORTE NETO]:[EXENTO]])</f>
        <v>0</v>
      </c>
      <c r="M274" s="59"/>
    </row>
    <row r="275" spans="2:13" x14ac:dyDescent="0.25">
      <c r="B275" s="40"/>
      <c r="C275" s="41"/>
      <c r="D275" s="42"/>
      <c r="E275" s="43"/>
      <c r="F275" s="44"/>
      <c r="G275" s="98" t="str">
        <f>IFERROR(IF(venta_a_mes6[[#This Row],[CUIT]]="","-",VLOOKUP(venta_a_mes6[[#This Row],[CUIT]],Lista_CUIT[#All],2,0)),"CUIT NO CARGADO")</f>
        <v>-</v>
      </c>
      <c r="H275" s="99"/>
      <c r="I275" s="100">
        <f>venta_a_mes6[[#This Row],[IMPORTE NETO]]*0.21</f>
        <v>0</v>
      </c>
      <c r="J275" s="65"/>
      <c r="K275" s="65"/>
      <c r="L275" s="65">
        <f>SUM(venta_a_mes6[[#This Row],[IMPORTE NETO]:[EXENTO]])</f>
        <v>0</v>
      </c>
      <c r="M275" s="59"/>
    </row>
    <row r="276" spans="2:13" x14ac:dyDescent="0.25">
      <c r="B276" s="40"/>
      <c r="C276" s="41"/>
      <c r="D276" s="42"/>
      <c r="E276" s="43"/>
      <c r="F276" s="44"/>
      <c r="G276" s="98" t="str">
        <f>IFERROR(IF(venta_a_mes6[[#This Row],[CUIT]]="","-",VLOOKUP(venta_a_mes6[[#This Row],[CUIT]],Lista_CUIT[#All],2,0)),"CUIT NO CARGADO")</f>
        <v>-</v>
      </c>
      <c r="H276" s="99"/>
      <c r="I276" s="100">
        <f>venta_a_mes6[[#This Row],[IMPORTE NETO]]*0.21</f>
        <v>0</v>
      </c>
      <c r="J276" s="65"/>
      <c r="K276" s="65"/>
      <c r="L276" s="65">
        <f>SUM(venta_a_mes6[[#This Row],[IMPORTE NETO]:[EXENTO]])</f>
        <v>0</v>
      </c>
      <c r="M276" s="59"/>
    </row>
    <row r="277" spans="2:13" x14ac:dyDescent="0.25">
      <c r="B277" s="40"/>
      <c r="C277" s="41"/>
      <c r="D277" s="42"/>
      <c r="E277" s="43"/>
      <c r="F277" s="44"/>
      <c r="G277" s="98" t="str">
        <f>IFERROR(IF(venta_a_mes6[[#This Row],[CUIT]]="","-",VLOOKUP(venta_a_mes6[[#This Row],[CUIT]],Lista_CUIT[#All],2,0)),"CUIT NO CARGADO")</f>
        <v>-</v>
      </c>
      <c r="H277" s="99"/>
      <c r="I277" s="100">
        <f>venta_a_mes6[[#This Row],[IMPORTE NETO]]*0.21</f>
        <v>0</v>
      </c>
      <c r="J277" s="65"/>
      <c r="K277" s="65"/>
      <c r="L277" s="65">
        <f>SUM(venta_a_mes6[[#This Row],[IMPORTE NETO]:[EXENTO]])</f>
        <v>0</v>
      </c>
      <c r="M277" s="59"/>
    </row>
    <row r="278" spans="2:13" x14ac:dyDescent="0.25">
      <c r="B278" s="40"/>
      <c r="C278" s="41"/>
      <c r="D278" s="42"/>
      <c r="E278" s="43"/>
      <c r="F278" s="44"/>
      <c r="G278" s="98" t="str">
        <f>IFERROR(IF(venta_a_mes6[[#This Row],[CUIT]]="","-",VLOOKUP(venta_a_mes6[[#This Row],[CUIT]],Lista_CUIT[#All],2,0)),"CUIT NO CARGADO")</f>
        <v>-</v>
      </c>
      <c r="H278" s="99"/>
      <c r="I278" s="100">
        <f>venta_a_mes6[[#This Row],[IMPORTE NETO]]*0.21</f>
        <v>0</v>
      </c>
      <c r="J278" s="65"/>
      <c r="K278" s="65"/>
      <c r="L278" s="65">
        <f>SUM(venta_a_mes6[[#This Row],[IMPORTE NETO]:[EXENTO]])</f>
        <v>0</v>
      </c>
      <c r="M278" s="59"/>
    </row>
    <row r="279" spans="2:13" x14ac:dyDescent="0.25">
      <c r="B279" s="40"/>
      <c r="C279" s="41"/>
      <c r="D279" s="42"/>
      <c r="E279" s="43"/>
      <c r="F279" s="44"/>
      <c r="G279" s="98" t="str">
        <f>IFERROR(IF(venta_a_mes6[[#This Row],[CUIT]]="","-",VLOOKUP(venta_a_mes6[[#This Row],[CUIT]],Lista_CUIT[#All],2,0)),"CUIT NO CARGADO")</f>
        <v>-</v>
      </c>
      <c r="H279" s="99"/>
      <c r="I279" s="100">
        <f>venta_a_mes6[[#This Row],[IMPORTE NETO]]*0.21</f>
        <v>0</v>
      </c>
      <c r="J279" s="65"/>
      <c r="K279" s="65"/>
      <c r="L279" s="65">
        <f>SUM(venta_a_mes6[[#This Row],[IMPORTE NETO]:[EXENTO]])</f>
        <v>0</v>
      </c>
      <c r="M279" s="59"/>
    </row>
    <row r="280" spans="2:13" x14ac:dyDescent="0.25">
      <c r="B280" s="40"/>
      <c r="C280" s="41"/>
      <c r="D280" s="42"/>
      <c r="E280" s="43"/>
      <c r="F280" s="44"/>
      <c r="G280" s="98" t="str">
        <f>IFERROR(IF(venta_a_mes6[[#This Row],[CUIT]]="","-",VLOOKUP(venta_a_mes6[[#This Row],[CUIT]],Lista_CUIT[#All],2,0)),"CUIT NO CARGADO")</f>
        <v>-</v>
      </c>
      <c r="H280" s="99"/>
      <c r="I280" s="100">
        <f>venta_a_mes6[[#This Row],[IMPORTE NETO]]*0.21</f>
        <v>0</v>
      </c>
      <c r="J280" s="65"/>
      <c r="K280" s="65"/>
      <c r="L280" s="65">
        <f>SUM(venta_a_mes6[[#This Row],[IMPORTE NETO]:[EXENTO]])</f>
        <v>0</v>
      </c>
      <c r="M280" s="59"/>
    </row>
    <row r="281" spans="2:13" x14ac:dyDescent="0.25">
      <c r="B281" s="40"/>
      <c r="C281" s="41"/>
      <c r="D281" s="42"/>
      <c r="E281" s="43"/>
      <c r="F281" s="44"/>
      <c r="G281" s="98" t="str">
        <f>IFERROR(IF(venta_a_mes6[[#This Row],[CUIT]]="","-",VLOOKUP(venta_a_mes6[[#This Row],[CUIT]],Lista_CUIT[#All],2,0)),"CUIT NO CARGADO")</f>
        <v>-</v>
      </c>
      <c r="H281" s="99"/>
      <c r="I281" s="100">
        <f>venta_a_mes6[[#This Row],[IMPORTE NETO]]*0.21</f>
        <v>0</v>
      </c>
      <c r="J281" s="65"/>
      <c r="K281" s="65"/>
      <c r="L281" s="65">
        <f>SUM(venta_a_mes6[[#This Row],[IMPORTE NETO]:[EXENTO]])</f>
        <v>0</v>
      </c>
      <c r="M281" s="59"/>
    </row>
    <row r="282" spans="2:13" x14ac:dyDescent="0.25">
      <c r="B282" s="40"/>
      <c r="C282" s="41"/>
      <c r="D282" s="42"/>
      <c r="E282" s="43"/>
      <c r="F282" s="44"/>
      <c r="G282" s="98" t="str">
        <f>IFERROR(IF(venta_a_mes6[[#This Row],[CUIT]]="","-",VLOOKUP(venta_a_mes6[[#This Row],[CUIT]],Lista_CUIT[#All],2,0)),"CUIT NO CARGADO")</f>
        <v>-</v>
      </c>
      <c r="H282" s="99"/>
      <c r="I282" s="100">
        <f>venta_a_mes6[[#This Row],[IMPORTE NETO]]*0.21</f>
        <v>0</v>
      </c>
      <c r="J282" s="65"/>
      <c r="K282" s="65"/>
      <c r="L282" s="65">
        <f>SUM(venta_a_mes6[[#This Row],[IMPORTE NETO]:[EXENTO]])</f>
        <v>0</v>
      </c>
      <c r="M282" s="59"/>
    </row>
    <row r="283" spans="2:13" x14ac:dyDescent="0.25">
      <c r="B283" s="40"/>
      <c r="C283" s="41"/>
      <c r="D283" s="42"/>
      <c r="E283" s="43"/>
      <c r="F283" s="44"/>
      <c r="G283" s="98" t="str">
        <f>IFERROR(IF(venta_a_mes6[[#This Row],[CUIT]]="","-",VLOOKUP(venta_a_mes6[[#This Row],[CUIT]],Lista_CUIT[#All],2,0)),"CUIT NO CARGADO")</f>
        <v>-</v>
      </c>
      <c r="H283" s="99"/>
      <c r="I283" s="100">
        <f>venta_a_mes6[[#This Row],[IMPORTE NETO]]*0.21</f>
        <v>0</v>
      </c>
      <c r="J283" s="65"/>
      <c r="K283" s="65"/>
      <c r="L283" s="65">
        <f>SUM(venta_a_mes6[[#This Row],[IMPORTE NETO]:[EXENTO]])</f>
        <v>0</v>
      </c>
      <c r="M283" s="59"/>
    </row>
    <row r="284" spans="2:13" x14ac:dyDescent="0.25">
      <c r="B284" s="40"/>
      <c r="C284" s="41"/>
      <c r="D284" s="42"/>
      <c r="E284" s="43"/>
      <c r="F284" s="44"/>
      <c r="G284" s="98" t="str">
        <f>IFERROR(IF(venta_a_mes6[[#This Row],[CUIT]]="","-",VLOOKUP(venta_a_mes6[[#This Row],[CUIT]],Lista_CUIT[#All],2,0)),"CUIT NO CARGADO")</f>
        <v>-</v>
      </c>
      <c r="H284" s="99"/>
      <c r="I284" s="100">
        <f>venta_a_mes6[[#This Row],[IMPORTE NETO]]*0.21</f>
        <v>0</v>
      </c>
      <c r="J284" s="65"/>
      <c r="K284" s="65"/>
      <c r="L284" s="65">
        <f>SUM(venta_a_mes6[[#This Row],[IMPORTE NETO]:[EXENTO]])</f>
        <v>0</v>
      </c>
      <c r="M284" s="59"/>
    </row>
    <row r="285" spans="2:13" x14ac:dyDescent="0.25">
      <c r="B285" s="40"/>
      <c r="C285" s="41"/>
      <c r="D285" s="42"/>
      <c r="E285" s="43"/>
      <c r="F285" s="44"/>
      <c r="G285" s="98" t="str">
        <f>IFERROR(IF(venta_a_mes6[[#This Row],[CUIT]]="","-",VLOOKUP(venta_a_mes6[[#This Row],[CUIT]],Lista_CUIT[#All],2,0)),"CUIT NO CARGADO")</f>
        <v>-</v>
      </c>
      <c r="H285" s="99"/>
      <c r="I285" s="100">
        <f>venta_a_mes6[[#This Row],[IMPORTE NETO]]*0.21</f>
        <v>0</v>
      </c>
      <c r="J285" s="65"/>
      <c r="K285" s="65"/>
      <c r="L285" s="65">
        <f>SUM(venta_a_mes6[[#This Row],[IMPORTE NETO]:[EXENTO]])</f>
        <v>0</v>
      </c>
      <c r="M285" s="59"/>
    </row>
    <row r="286" spans="2:13" x14ac:dyDescent="0.25">
      <c r="B286" s="40"/>
      <c r="C286" s="41"/>
      <c r="D286" s="42"/>
      <c r="E286" s="43"/>
      <c r="F286" s="44"/>
      <c r="G286" s="98" t="str">
        <f>IFERROR(IF(venta_a_mes6[[#This Row],[CUIT]]="","-",VLOOKUP(venta_a_mes6[[#This Row],[CUIT]],Lista_CUIT[#All],2,0)),"CUIT NO CARGADO")</f>
        <v>-</v>
      </c>
      <c r="H286" s="99"/>
      <c r="I286" s="100">
        <f>venta_a_mes6[[#This Row],[IMPORTE NETO]]*0.21</f>
        <v>0</v>
      </c>
      <c r="J286" s="65"/>
      <c r="K286" s="65"/>
      <c r="L286" s="65">
        <f>SUM(venta_a_mes6[[#This Row],[IMPORTE NETO]:[EXENTO]])</f>
        <v>0</v>
      </c>
      <c r="M286" s="59"/>
    </row>
    <row r="287" spans="2:13" x14ac:dyDescent="0.25">
      <c r="B287" s="40"/>
      <c r="C287" s="41"/>
      <c r="D287" s="42"/>
      <c r="E287" s="43"/>
      <c r="F287" s="44"/>
      <c r="G287" s="98" t="str">
        <f>IFERROR(IF(venta_a_mes6[[#This Row],[CUIT]]="","-",VLOOKUP(venta_a_mes6[[#This Row],[CUIT]],Lista_CUIT[#All],2,0)),"CUIT NO CARGADO")</f>
        <v>-</v>
      </c>
      <c r="H287" s="99"/>
      <c r="I287" s="100">
        <f>venta_a_mes6[[#This Row],[IMPORTE NETO]]*0.21</f>
        <v>0</v>
      </c>
      <c r="J287" s="65"/>
      <c r="K287" s="65"/>
      <c r="L287" s="65">
        <f>SUM(venta_a_mes6[[#This Row],[IMPORTE NETO]:[EXENTO]])</f>
        <v>0</v>
      </c>
      <c r="M287" s="59"/>
    </row>
    <row r="288" spans="2:13" x14ac:dyDescent="0.25">
      <c r="B288" s="40"/>
      <c r="C288" s="41"/>
      <c r="D288" s="42"/>
      <c r="E288" s="43"/>
      <c r="F288" s="44"/>
      <c r="G288" s="98" t="str">
        <f>IFERROR(IF(venta_a_mes6[[#This Row],[CUIT]]="","-",VLOOKUP(venta_a_mes6[[#This Row],[CUIT]],Lista_CUIT[#All],2,0)),"CUIT NO CARGADO")</f>
        <v>-</v>
      </c>
      <c r="H288" s="99"/>
      <c r="I288" s="100">
        <f>venta_a_mes6[[#This Row],[IMPORTE NETO]]*0.21</f>
        <v>0</v>
      </c>
      <c r="J288" s="65"/>
      <c r="K288" s="65"/>
      <c r="L288" s="65">
        <f>SUM(venta_a_mes6[[#This Row],[IMPORTE NETO]:[EXENTO]])</f>
        <v>0</v>
      </c>
      <c r="M288" s="59"/>
    </row>
    <row r="289" spans="2:13" x14ac:dyDescent="0.25">
      <c r="B289" s="40"/>
      <c r="C289" s="41"/>
      <c r="D289" s="42"/>
      <c r="E289" s="43"/>
      <c r="F289" s="44"/>
      <c r="G289" s="98" t="str">
        <f>IFERROR(IF(venta_a_mes6[[#This Row],[CUIT]]="","-",VLOOKUP(venta_a_mes6[[#This Row],[CUIT]],Lista_CUIT[#All],2,0)),"CUIT NO CARGADO")</f>
        <v>-</v>
      </c>
      <c r="H289" s="99"/>
      <c r="I289" s="100">
        <f>venta_a_mes6[[#This Row],[IMPORTE NETO]]*0.21</f>
        <v>0</v>
      </c>
      <c r="J289" s="65"/>
      <c r="K289" s="65"/>
      <c r="L289" s="65">
        <f>SUM(venta_a_mes6[[#This Row],[IMPORTE NETO]:[EXENTO]])</f>
        <v>0</v>
      </c>
      <c r="M289" s="59"/>
    </row>
    <row r="290" spans="2:13" x14ac:dyDescent="0.25">
      <c r="B290" s="40"/>
      <c r="C290" s="41"/>
      <c r="D290" s="42"/>
      <c r="E290" s="43"/>
      <c r="F290" s="44"/>
      <c r="G290" s="98" t="str">
        <f>IFERROR(IF(venta_a_mes6[[#This Row],[CUIT]]="","-",VLOOKUP(venta_a_mes6[[#This Row],[CUIT]],Lista_CUIT[#All],2,0)),"CUIT NO CARGADO")</f>
        <v>-</v>
      </c>
      <c r="H290" s="99"/>
      <c r="I290" s="100">
        <f>venta_a_mes6[[#This Row],[IMPORTE NETO]]*0.21</f>
        <v>0</v>
      </c>
      <c r="J290" s="65"/>
      <c r="K290" s="65"/>
      <c r="L290" s="65">
        <f>SUM(venta_a_mes6[[#This Row],[IMPORTE NETO]:[EXENTO]])</f>
        <v>0</v>
      </c>
      <c r="M290" s="59"/>
    </row>
    <row r="291" spans="2:13" x14ac:dyDescent="0.25">
      <c r="B291" s="40"/>
      <c r="C291" s="41"/>
      <c r="D291" s="42"/>
      <c r="E291" s="43"/>
      <c r="F291" s="44"/>
      <c r="G291" s="98" t="str">
        <f>IFERROR(IF(venta_a_mes6[[#This Row],[CUIT]]="","-",VLOOKUP(venta_a_mes6[[#This Row],[CUIT]],Lista_CUIT[#All],2,0)),"CUIT NO CARGADO")</f>
        <v>-</v>
      </c>
      <c r="H291" s="99"/>
      <c r="I291" s="100">
        <f>venta_a_mes6[[#This Row],[IMPORTE NETO]]*0.21</f>
        <v>0</v>
      </c>
      <c r="J291" s="65"/>
      <c r="K291" s="65"/>
      <c r="L291" s="65">
        <f>SUM(venta_a_mes6[[#This Row],[IMPORTE NETO]:[EXENTO]])</f>
        <v>0</v>
      </c>
      <c r="M291" s="59"/>
    </row>
    <row r="292" spans="2:13" x14ac:dyDescent="0.25">
      <c r="B292" s="40"/>
      <c r="C292" s="41"/>
      <c r="D292" s="42"/>
      <c r="E292" s="43"/>
      <c r="F292" s="44"/>
      <c r="G292" s="98" t="str">
        <f>IFERROR(IF(venta_a_mes6[[#This Row],[CUIT]]="","-",VLOOKUP(venta_a_mes6[[#This Row],[CUIT]],Lista_CUIT[#All],2,0)),"CUIT NO CARGADO")</f>
        <v>-</v>
      </c>
      <c r="H292" s="99"/>
      <c r="I292" s="100">
        <f>venta_a_mes6[[#This Row],[IMPORTE NETO]]*0.21</f>
        <v>0</v>
      </c>
      <c r="J292" s="65"/>
      <c r="K292" s="65"/>
      <c r="L292" s="65">
        <f>SUM(venta_a_mes6[[#This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IFERROR(IF(venta_a_mes6[[#This Row],[CUIT]]="","-",VLOOKUP(venta_a_mes6[[#This Row],[CUIT]],Lista_CUIT[#All],2,0)),"CUIT NO CARGADO")</f>
        <v>-</v>
      </c>
      <c r="H293" s="99"/>
      <c r="I293" s="100">
        <f>venta_a_mes6[[#This Row],[IMPORTE NETO]]*0.21</f>
        <v>0</v>
      </c>
      <c r="J293" s="65"/>
      <c r="K293" s="65"/>
      <c r="L293" s="65">
        <f>SUM(venta_a_mes6[[#This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IFERROR(IF(venta_a_mes6[[#This Row],[CUIT]]="","-",VLOOKUP(venta_a_mes6[[#This Row],[CUIT]],Lista_CUIT[#All],2,0)),"CUIT NO CARGADO")</f>
        <v>-</v>
      </c>
      <c r="H294" s="99"/>
      <c r="I294" s="100">
        <f>venta_a_mes6[[#This Row],[IMPORTE NETO]]*0.21</f>
        <v>0</v>
      </c>
      <c r="J294" s="65"/>
      <c r="K294" s="65"/>
      <c r="L294" s="65">
        <f>SUM(venta_a_mes6[[#This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IFERROR(IF(venta_a_mes6[[#This Row],[CUIT]]="","-",VLOOKUP(venta_a_mes6[[#This Row],[CUIT]],Lista_CUIT[#All],2,0)),"CUIT NO CARGADO")</f>
        <v>-</v>
      </c>
      <c r="H295" s="99"/>
      <c r="I295" s="100">
        <f>venta_a_mes6[[#This Row],[IMPORTE NETO]]*0.21</f>
        <v>0</v>
      </c>
      <c r="J295" s="65"/>
      <c r="K295" s="65"/>
      <c r="L295" s="65">
        <f>SUM(venta_a_mes6[[#This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IFERROR(IF(venta_a_mes6[[#This Row],[CUIT]]="","-",VLOOKUP(venta_a_mes6[[#This Row],[CUIT]],Lista_CUIT[#All],2,0)),"CUIT NO CARGADO")</f>
        <v>-</v>
      </c>
      <c r="H296" s="99"/>
      <c r="I296" s="100">
        <f>venta_a_mes6[[#This Row],[IMPORTE NETO]]*0.21</f>
        <v>0</v>
      </c>
      <c r="J296" s="65"/>
      <c r="K296" s="65"/>
      <c r="L296" s="65">
        <f>SUM(venta_a_mes6[[#This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IFERROR(IF(venta_a_mes6[[#This Row],[CUIT]]="","-",VLOOKUP(venta_a_mes6[[#This Row],[CUIT]],Lista_CUIT[#All],2,0)),"CUIT NO CARGADO")</f>
        <v>-</v>
      </c>
      <c r="H297" s="99"/>
      <c r="I297" s="100">
        <f>venta_a_mes6[[#This Row],[IMPORTE NETO]]*0.21</f>
        <v>0</v>
      </c>
      <c r="J297" s="65"/>
      <c r="K297" s="65"/>
      <c r="L297" s="65">
        <f>SUM(venta_a_mes6[[#This Row],[IMPORTE NETO]:[EXENTO]])</f>
        <v>0</v>
      </c>
      <c r="M297" s="59"/>
    </row>
    <row r="298" spans="2:13" x14ac:dyDescent="0.25">
      <c r="B298" s="40"/>
      <c r="C298" s="41"/>
      <c r="D298" s="42"/>
      <c r="E298" s="43"/>
      <c r="F298" s="44"/>
      <c r="G298" s="98" t="str">
        <f>IFERROR(IF(venta_a_mes6[[#This Row],[CUIT]]="","-",VLOOKUP(venta_a_mes6[[#This Row],[CUIT]],Lista_CUIT[#All],2,0)),"CUIT NO CARGADO")</f>
        <v>-</v>
      </c>
      <c r="H298" s="99"/>
      <c r="I298" s="100">
        <f>venta_a_mes6[[#This Row],[IMPORTE NETO]]*0.21</f>
        <v>0</v>
      </c>
      <c r="J298" s="65"/>
      <c r="K298" s="65"/>
      <c r="L298" s="65">
        <f>SUM(venta_a_mes6[[#This Row],[IMPORTE NETO]:[EXENTO]])</f>
        <v>0</v>
      </c>
      <c r="M298" s="59"/>
    </row>
    <row r="299" spans="2:13" x14ac:dyDescent="0.25">
      <c r="B299" s="40"/>
      <c r="C299" s="41"/>
      <c r="D299" s="42"/>
      <c r="E299" s="43"/>
      <c r="F299" s="44"/>
      <c r="G299" s="98" t="str">
        <f>IFERROR(IF(venta_a_mes6[[#This Row],[CUIT]]="","-",VLOOKUP(venta_a_mes6[[#This Row],[CUIT]],Lista_CUIT[#All],2,0)),"CUIT NO CARGADO")</f>
        <v>-</v>
      </c>
      <c r="H299" s="99"/>
      <c r="I299" s="100">
        <f>venta_a_mes6[[#This Row],[IMPORTE NETO]]*0.21</f>
        <v>0</v>
      </c>
      <c r="J299" s="65"/>
      <c r="K299" s="65"/>
      <c r="L299" s="65">
        <f>SUM(venta_a_mes6[[#This Row],[IMPORTE NETO]:[EXENTO]])</f>
        <v>0</v>
      </c>
      <c r="M299" s="59"/>
    </row>
    <row r="300" spans="2:13" x14ac:dyDescent="0.25">
      <c r="B300" s="40"/>
      <c r="C300" s="41"/>
      <c r="D300" s="42"/>
      <c r="E300" s="43"/>
      <c r="F300" s="44"/>
      <c r="G300" s="98" t="str">
        <f>IFERROR(IF(venta_a_mes6[[#This Row],[CUIT]]="","-",VLOOKUP(venta_a_mes6[[#This Row],[CUIT]],Lista_CUIT[#All],2,0)),"CUIT NO CARGADO")</f>
        <v>-</v>
      </c>
      <c r="H300" s="99"/>
      <c r="I300" s="100">
        <f>venta_a_mes6[[#This Row],[IMPORTE NETO]]*0.21</f>
        <v>0</v>
      </c>
      <c r="J300" s="65"/>
      <c r="K300" s="65"/>
      <c r="L300" s="65">
        <f>SUM(venta_a_mes6[[#This Row],[IMPORTE NETO]:[EXENTO]])</f>
        <v>0</v>
      </c>
      <c r="M300" s="59"/>
    </row>
    <row r="301" spans="2:13" x14ac:dyDescent="0.25">
      <c r="B301" s="40"/>
      <c r="C301" s="41"/>
      <c r="D301" s="42"/>
      <c r="E301" s="43"/>
      <c r="F301" s="44"/>
      <c r="G301" s="98" t="str">
        <f>IFERROR(IF(venta_a_mes6[[#This Row],[CUIT]]="","-",VLOOKUP(venta_a_mes6[[#This Row],[CUIT]],Lista_CUIT[#All],2,0)),"CUIT NO CARGADO")</f>
        <v>-</v>
      </c>
      <c r="H301" s="99"/>
      <c r="I301" s="100">
        <f>venta_a_mes6[[#This Row],[IMPORTE NETO]]*0.21</f>
        <v>0</v>
      </c>
      <c r="J301" s="65"/>
      <c r="K301" s="65"/>
      <c r="L301" s="65">
        <f>SUM(venta_a_mes6[[#This Row],[IMPORTE NETO]:[EXENTO]])</f>
        <v>0</v>
      </c>
      <c r="M301" s="59"/>
    </row>
    <row r="302" spans="2:13" x14ac:dyDescent="0.25">
      <c r="B302" s="40"/>
      <c r="C302" s="41"/>
      <c r="D302" s="42"/>
      <c r="E302" s="43"/>
      <c r="F302" s="44"/>
      <c r="G302" s="98" t="str">
        <f>IFERROR(IF(venta_a_mes6[[#This Row],[CUIT]]="","-",VLOOKUP(venta_a_mes6[[#This Row],[CUIT]],Lista_CUIT[#All],2,0)),"CUIT NO CARGADO")</f>
        <v>-</v>
      </c>
      <c r="H302" s="99"/>
      <c r="I302" s="100">
        <f>venta_a_mes6[[#This Row],[IMPORTE NETO]]*0.21</f>
        <v>0</v>
      </c>
      <c r="J302" s="65"/>
      <c r="K302" s="65"/>
      <c r="L302" s="65">
        <f>SUM(venta_a_mes6[[#This Row],[IMPORTE NETO]:[EXENTO]])</f>
        <v>0</v>
      </c>
      <c r="M302" s="59"/>
    </row>
    <row r="303" spans="2:13" x14ac:dyDescent="0.25">
      <c r="B303" s="40"/>
      <c r="C303" s="41"/>
      <c r="D303" s="42"/>
      <c r="E303" s="43"/>
      <c r="F303" s="44"/>
      <c r="G303" s="98" t="str">
        <f>IFERROR(IF(venta_a_mes6[[#This Row],[CUIT]]="","-",VLOOKUP(venta_a_mes6[[#This Row],[CUIT]],Lista_CUIT[#All],2,0)),"CUIT NO CARGADO")</f>
        <v>-</v>
      </c>
      <c r="H303" s="99"/>
      <c r="I303" s="100">
        <f>venta_a_mes6[[#This Row],[IMPORTE NETO]]*0.21</f>
        <v>0</v>
      </c>
      <c r="J303" s="65"/>
      <c r="K303" s="65"/>
      <c r="L303" s="65">
        <f>SUM(venta_a_mes6[[#This Row],[IMPORTE NETO]:[EXENTO]])</f>
        <v>0</v>
      </c>
      <c r="M303" s="59"/>
    </row>
    <row r="304" spans="2:13" x14ac:dyDescent="0.25">
      <c r="B304" s="40"/>
      <c r="C304" s="41"/>
      <c r="D304" s="42"/>
      <c r="E304" s="43"/>
      <c r="F304" s="44"/>
      <c r="G304" s="98" t="str">
        <f>IFERROR(IF(venta_a_mes6[[#This Row],[CUIT]]="","-",VLOOKUP(venta_a_mes6[[#This Row],[CUIT]],Lista_CUIT[#All],2,0)),"CUIT NO CARGADO")</f>
        <v>-</v>
      </c>
      <c r="H304" s="99"/>
      <c r="I304" s="100">
        <f>venta_a_mes6[[#This Row],[IMPORTE NETO]]*0.21</f>
        <v>0</v>
      </c>
      <c r="J304" s="65"/>
      <c r="K304" s="65"/>
      <c r="L304" s="65">
        <f>SUM(venta_a_mes6[[#This Row],[IMPORTE NETO]:[EXENTO]])</f>
        <v>0</v>
      </c>
      <c r="M304" s="59"/>
    </row>
    <row r="305" spans="2:13" x14ac:dyDescent="0.25">
      <c r="B305" s="40"/>
      <c r="C305" s="41"/>
      <c r="D305" s="42"/>
      <c r="E305" s="43"/>
      <c r="F305" s="44"/>
      <c r="G305" s="98" t="str">
        <f>IFERROR(IF(venta_a_mes6[[#This Row],[CUIT]]="","-",VLOOKUP(venta_a_mes6[[#This Row],[CUIT]],Lista_CUIT[#All],2,0)),"CUIT NO CARGADO")</f>
        <v>-</v>
      </c>
      <c r="H305" s="99"/>
      <c r="I305" s="100">
        <f>venta_a_mes6[[#This Row],[IMPORTE NETO]]*0.21</f>
        <v>0</v>
      </c>
      <c r="J305" s="65"/>
      <c r="K305" s="65"/>
      <c r="L305" s="65">
        <f>SUM(venta_a_mes6[[#This Row],[IMPORTE NETO]:[EXENTO]])</f>
        <v>0</v>
      </c>
      <c r="M305" s="59"/>
    </row>
    <row r="306" spans="2:13" x14ac:dyDescent="0.25">
      <c r="B306" s="40"/>
      <c r="C306" s="41"/>
      <c r="D306" s="42"/>
      <c r="E306" s="43"/>
      <c r="F306" s="44"/>
      <c r="G306" s="98" t="str">
        <f>IFERROR(IF(venta_a_mes6[[#This Row],[CUIT]]="","-",VLOOKUP(venta_a_mes6[[#This Row],[CUIT]],Lista_CUIT[#All],2,0)),"CUIT NO CARGADO")</f>
        <v>-</v>
      </c>
      <c r="H306" s="99"/>
      <c r="I306" s="100">
        <f>venta_a_mes6[[#This Row],[IMPORTE NETO]]*0.21</f>
        <v>0</v>
      </c>
      <c r="J306" s="65"/>
      <c r="K306" s="65"/>
      <c r="L306" s="65">
        <f>SUM(venta_a_mes6[[#This Row],[IMPORTE NETO]:[EXENTO]])</f>
        <v>0</v>
      </c>
      <c r="M306" s="59"/>
    </row>
    <row r="307" spans="2:13" x14ac:dyDescent="0.25">
      <c r="B307" s="40"/>
      <c r="C307" s="41"/>
      <c r="D307" s="42"/>
      <c r="E307" s="43"/>
      <c r="F307" s="44"/>
      <c r="G307" s="98" t="str">
        <f>IFERROR(IF(venta_a_mes6[[#This Row],[CUIT]]="","-",VLOOKUP(venta_a_mes6[[#This Row],[CUIT]],Lista_CUIT[#All],2,0)),"CUIT NO CARGADO")</f>
        <v>-</v>
      </c>
      <c r="H307" s="99"/>
      <c r="I307" s="100">
        <f>venta_a_mes6[[#This Row],[IMPORTE NETO]]*0.21</f>
        <v>0</v>
      </c>
      <c r="J307" s="65"/>
      <c r="K307" s="65"/>
      <c r="L307" s="65">
        <f>SUM(venta_a_mes6[[#This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98" t="str">
        <f>IFERROR(IF(venta_a_mes6[[#This Row],[CUIT]]="","-",VLOOKUP(venta_a_mes6[[#This Row],[CUIT]],Lista_CUIT[#All],2,0)),"CUIT NO CARGADO")</f>
        <v>-</v>
      </c>
      <c r="H308" s="99"/>
      <c r="I308" s="100">
        <f>venta_a_mes6[[#This Row],[IMPORTE NETO]]*0.21</f>
        <v>0</v>
      </c>
      <c r="J308" s="65"/>
      <c r="K308" s="65"/>
      <c r="L308" s="65">
        <f>SUM(venta_a_mes6[[#This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98" t="str">
        <f>IFERROR(IF(venta_a_mes6[[#This Row],[CUIT]]="","-",VLOOKUP(venta_a_mes6[[#This Row],[CUIT]],Lista_CUIT[#All],2,0)),"CUIT NO CARGADO")</f>
        <v>-</v>
      </c>
      <c r="H309" s="99"/>
      <c r="I309" s="100">
        <f>venta_a_mes6[[#This Row],[IMPORTE NETO]]*0.21</f>
        <v>0</v>
      </c>
      <c r="J309" s="65"/>
      <c r="K309" s="65"/>
      <c r="L309" s="65">
        <f>SUM(venta_a_mes6[[#This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98" t="str">
        <f>IFERROR(IF(venta_a_mes6[[#This Row],[CUIT]]="","-",VLOOKUP(venta_a_mes6[[#This Row],[CUIT]],Lista_CUIT[#All],2,0)),"CUIT NO CARGADO")</f>
        <v>-</v>
      </c>
      <c r="H310" s="99"/>
      <c r="I310" s="100">
        <f>venta_a_mes6[[#This Row],[IMPORTE NETO]]*0.21</f>
        <v>0</v>
      </c>
      <c r="J310" s="65"/>
      <c r="K310" s="65"/>
      <c r="L310" s="65">
        <f>SUM(venta_a_mes6[[#This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98" t="str">
        <f>IFERROR(IF(venta_a_mes6[[#This Row],[CUIT]]="","-",VLOOKUP(venta_a_mes6[[#This Row],[CUIT]],Lista_CUIT[#All],2,0)),"CUIT NO CARGADO")</f>
        <v>-</v>
      </c>
      <c r="H311" s="99"/>
      <c r="I311" s="100">
        <f>venta_a_mes6[[#This Row],[IMPORTE NETO]]*0.21</f>
        <v>0</v>
      </c>
      <c r="J311" s="65"/>
      <c r="K311" s="65"/>
      <c r="L311" s="65">
        <f>SUM(venta_a_mes6[[#This Row],[IMPORTE NETO]:[EXENTO]])</f>
        <v>0</v>
      </c>
      <c r="M311" s="59"/>
    </row>
    <row r="312" spans="2:13" x14ac:dyDescent="0.25">
      <c r="B312" s="40"/>
      <c r="C312" s="41"/>
      <c r="D312" s="42"/>
      <c r="E312" s="43"/>
      <c r="F312" s="44"/>
      <c r="G312" s="98" t="str">
        <f>IFERROR(IF(venta_a_mes6[[#This Row],[CUIT]]="","-",VLOOKUP(venta_a_mes6[[#This Row],[CUIT]],Lista_CUIT[#All],2,0)),"CUIT NO CARGADO")</f>
        <v>-</v>
      </c>
      <c r="H312" s="99"/>
      <c r="I312" s="100">
        <f>venta_a_mes6[[#This Row],[IMPORTE NETO]]*0.21</f>
        <v>0</v>
      </c>
      <c r="J312" s="65"/>
      <c r="K312" s="65"/>
      <c r="L312" s="65">
        <f>SUM(venta_a_mes6[[#This Row],[IMPORTE NETO]:[EXENTO]])</f>
        <v>0</v>
      </c>
      <c r="M312" s="59"/>
    </row>
    <row r="313" spans="2:13" x14ac:dyDescent="0.25">
      <c r="B313" s="40"/>
      <c r="C313" s="41"/>
      <c r="D313" s="42"/>
      <c r="E313" s="43"/>
      <c r="F313" s="44"/>
      <c r="G313" s="98" t="str">
        <f>IFERROR(IF(venta_a_mes6[[#This Row],[CUIT]]="","-",VLOOKUP(venta_a_mes6[[#This Row],[CUIT]],Lista_CUIT[#All],2,0)),"CUIT NO CARGADO")</f>
        <v>-</v>
      </c>
      <c r="H313" s="99"/>
      <c r="I313" s="100">
        <f>venta_a_mes6[[#This Row],[IMPORTE NETO]]*0.21</f>
        <v>0</v>
      </c>
      <c r="J313" s="65"/>
      <c r="K313" s="65"/>
      <c r="L313" s="65">
        <f>SUM(venta_a_mes6[[#This Row],[IMPORTE NETO]:[EXENTO]])</f>
        <v>0</v>
      </c>
      <c r="M313" s="59"/>
    </row>
    <row r="314" spans="2:13" x14ac:dyDescent="0.25">
      <c r="B314" s="40"/>
      <c r="C314" s="41"/>
      <c r="D314" s="42"/>
      <c r="E314" s="43"/>
      <c r="F314" s="44"/>
      <c r="G314" s="98" t="str">
        <f>IFERROR(IF(venta_a_mes6[[#This Row],[CUIT]]="","-",VLOOKUP(venta_a_mes6[[#This Row],[CUIT]],Lista_CUIT[#All],2,0)),"CUIT NO CARGADO")</f>
        <v>-</v>
      </c>
      <c r="H314" s="99"/>
      <c r="I314" s="100">
        <f>venta_a_mes6[[#This Row],[IMPORTE NETO]]*0.21</f>
        <v>0</v>
      </c>
      <c r="J314" s="65"/>
      <c r="K314" s="65"/>
      <c r="L314" s="65">
        <f>SUM(venta_a_mes6[[#This Row],[IMPORTE NETO]:[EXENTO]])</f>
        <v>0</v>
      </c>
      <c r="M314" s="59"/>
    </row>
    <row r="315" spans="2:13" x14ac:dyDescent="0.25">
      <c r="B315" s="40"/>
      <c r="C315" s="41"/>
      <c r="D315" s="42"/>
      <c r="E315" s="43"/>
      <c r="F315" s="44"/>
      <c r="G315" s="98" t="str">
        <f>IFERROR(IF(venta_a_mes6[[#This Row],[CUIT]]="","-",VLOOKUP(venta_a_mes6[[#This Row],[CUIT]],Lista_CUIT[#All],2,0)),"CUIT NO CARGADO")</f>
        <v>-</v>
      </c>
      <c r="H315" s="99"/>
      <c r="I315" s="100">
        <f>venta_a_mes6[[#This Row],[IMPORTE NETO]]*0.21</f>
        <v>0</v>
      </c>
      <c r="J315" s="65"/>
      <c r="K315" s="65"/>
      <c r="L315" s="65">
        <f>SUM(venta_a_mes6[[#This Row],[IMPORTE NETO]:[EXENTO]])</f>
        <v>0</v>
      </c>
      <c r="M315" s="59"/>
    </row>
    <row r="316" spans="2:13" x14ac:dyDescent="0.25">
      <c r="B316" s="40"/>
      <c r="C316" s="41"/>
      <c r="D316" s="42"/>
      <c r="E316" s="43"/>
      <c r="F316" s="44"/>
      <c r="G316" s="98" t="str">
        <f>IFERROR(IF(venta_a_mes6[[#This Row],[CUIT]]="","-",VLOOKUP(venta_a_mes6[[#This Row],[CUIT]],Lista_CUIT[#All],2,0)),"CUIT NO CARGADO")</f>
        <v>-</v>
      </c>
      <c r="H316" s="99"/>
      <c r="I316" s="100">
        <f>venta_a_mes6[[#This Row],[IMPORTE NETO]]*0.21</f>
        <v>0</v>
      </c>
      <c r="J316" s="65"/>
      <c r="K316" s="65"/>
      <c r="L316" s="65">
        <f>SUM(venta_a_mes6[[#This Row],[IMPORTE NETO]:[EXENTO]])</f>
        <v>0</v>
      </c>
      <c r="M316" s="59"/>
    </row>
    <row r="317" spans="2:13" x14ac:dyDescent="0.25">
      <c r="B317" s="40"/>
      <c r="C317" s="41"/>
      <c r="D317" s="42"/>
      <c r="E317" s="43"/>
      <c r="F317" s="44"/>
      <c r="G317" s="98" t="str">
        <f>IFERROR(IF(venta_a_mes6[[#This Row],[CUIT]]="","-",VLOOKUP(venta_a_mes6[[#This Row],[CUIT]],Lista_CUIT[#All],2,0)),"CUIT NO CARGADO")</f>
        <v>-</v>
      </c>
      <c r="H317" s="99"/>
      <c r="I317" s="100">
        <f>venta_a_mes6[[#This Row],[IMPORTE NETO]]*0.21</f>
        <v>0</v>
      </c>
      <c r="J317" s="65"/>
      <c r="K317" s="65"/>
      <c r="L317" s="65">
        <f>SUM(venta_a_mes6[[#This Row],[IMPORTE NETO]:[EXENTO]])</f>
        <v>0</v>
      </c>
      <c r="M317" s="59"/>
    </row>
    <row r="318" spans="2:13" x14ac:dyDescent="0.25">
      <c r="B318" s="40"/>
      <c r="C318" s="41"/>
      <c r="D318" s="42"/>
      <c r="E318" s="43"/>
      <c r="F318" s="44"/>
      <c r="G318" s="98" t="str">
        <f>IFERROR(IF(venta_a_mes6[[#This Row],[CUIT]]="","-",VLOOKUP(venta_a_mes6[[#This Row],[CUIT]],Lista_CUIT[#All],2,0)),"CUIT NO CARGADO")</f>
        <v>-</v>
      </c>
      <c r="H318" s="99"/>
      <c r="I318" s="100">
        <f>venta_a_mes6[[#This Row],[IMPORTE NETO]]*0.21</f>
        <v>0</v>
      </c>
      <c r="J318" s="65"/>
      <c r="K318" s="65"/>
      <c r="L318" s="65">
        <f>SUM(venta_a_mes6[[#This Row],[IMPORTE NETO]:[EXENTO]])</f>
        <v>0</v>
      </c>
      <c r="M318" s="59"/>
    </row>
    <row r="319" spans="2:13" x14ac:dyDescent="0.25">
      <c r="B319" s="40"/>
      <c r="C319" s="41"/>
      <c r="D319" s="42"/>
      <c r="E319" s="43"/>
      <c r="F319" s="44"/>
      <c r="G319" s="98" t="str">
        <f>IFERROR(IF(venta_a_mes6[[#This Row],[CUIT]]="","-",VLOOKUP(venta_a_mes6[[#This Row],[CUIT]],Lista_CUIT[#All],2,0)),"CUIT NO CARGADO")</f>
        <v>-</v>
      </c>
      <c r="H319" s="99"/>
      <c r="I319" s="100">
        <f>venta_a_mes6[[#This Row],[IMPORTE NETO]]*0.21</f>
        <v>0</v>
      </c>
      <c r="J319" s="65"/>
      <c r="K319" s="65"/>
      <c r="L319" s="65">
        <f>SUM(venta_a_mes6[[#This Row],[IMPORTE NETO]:[EXENTO]])</f>
        <v>0</v>
      </c>
      <c r="M319" s="59"/>
    </row>
    <row r="320" spans="2:13" x14ac:dyDescent="0.25">
      <c r="B320" s="40"/>
      <c r="C320" s="41"/>
      <c r="D320" s="42"/>
      <c r="E320" s="43"/>
      <c r="F320" s="44"/>
      <c r="G320" s="98" t="str">
        <f>IFERROR(IF(venta_a_mes6[[#This Row],[CUIT]]="","-",VLOOKUP(venta_a_mes6[[#This Row],[CUIT]],Lista_CUIT[#All],2,0)),"CUIT NO CARGADO")</f>
        <v>-</v>
      </c>
      <c r="H320" s="99"/>
      <c r="I320" s="100">
        <f>venta_a_mes6[[#This Row],[IMPORTE NETO]]*0.21</f>
        <v>0</v>
      </c>
      <c r="J320" s="65"/>
      <c r="K320" s="65"/>
      <c r="L320" s="65">
        <f>SUM(venta_a_mes6[[#This Row],[IMPORTE NETO]:[EXENTO]])</f>
        <v>0</v>
      </c>
      <c r="M320" s="59"/>
    </row>
    <row r="321" spans="2:13" x14ac:dyDescent="0.25">
      <c r="B321" s="40"/>
      <c r="C321" s="41"/>
      <c r="D321" s="42"/>
      <c r="E321" s="43"/>
      <c r="F321" s="44"/>
      <c r="G321" s="98" t="str">
        <f>IFERROR(IF(venta_a_mes6[[#This Row],[CUIT]]="","-",VLOOKUP(venta_a_mes6[[#This Row],[CUIT]],Lista_CUIT[#All],2,0)),"CUIT NO CARGADO")</f>
        <v>-</v>
      </c>
      <c r="H321" s="99"/>
      <c r="I321" s="100">
        <f>venta_a_mes6[[#This Row],[IMPORTE NETO]]*0.21</f>
        <v>0</v>
      </c>
      <c r="J321" s="65"/>
      <c r="K321" s="65"/>
      <c r="L321" s="65">
        <f>SUM(venta_a_mes6[[#This Row],[IMPORTE NETO]:[EXENTO]])</f>
        <v>0</v>
      </c>
      <c r="M321" s="59"/>
    </row>
    <row r="322" spans="2:13" x14ac:dyDescent="0.25">
      <c r="B322" s="40"/>
      <c r="C322" s="41"/>
      <c r="D322" s="42"/>
      <c r="E322" s="43"/>
      <c r="F322" s="44"/>
      <c r="G322" s="98" t="str">
        <f>IFERROR(IF(venta_a_mes6[[#This Row],[CUIT]]="","-",VLOOKUP(venta_a_mes6[[#This Row],[CUIT]],Lista_CUIT[#All],2,0)),"CUIT NO CARGADO")</f>
        <v>-</v>
      </c>
      <c r="H322" s="99"/>
      <c r="I322" s="100">
        <f>venta_a_mes6[[#This Row],[IMPORTE NETO]]*0.21</f>
        <v>0</v>
      </c>
      <c r="J322" s="65"/>
      <c r="K322" s="65"/>
      <c r="L322" s="65">
        <f>SUM(venta_a_mes6[[#This Row],[IMPORTE NETO]:[EXENTO]])</f>
        <v>0</v>
      </c>
      <c r="M322" s="59"/>
    </row>
    <row r="323" spans="2:13" x14ac:dyDescent="0.25">
      <c r="B323" s="40"/>
      <c r="C323" s="41"/>
      <c r="D323" s="42"/>
      <c r="E323" s="43"/>
      <c r="F323" s="44"/>
      <c r="G323" s="98" t="str">
        <f>IFERROR(IF(venta_a_mes6[[#This Row],[CUIT]]="","-",VLOOKUP(venta_a_mes6[[#This Row],[CUIT]],Lista_CUIT[#All],2,0)),"CUIT NO CARGADO")</f>
        <v>-</v>
      </c>
      <c r="H323" s="99"/>
      <c r="I323" s="100">
        <f>venta_a_mes6[[#This Row],[IMPORTE NETO]]*0.21</f>
        <v>0</v>
      </c>
      <c r="J323" s="65"/>
      <c r="K323" s="65"/>
      <c r="L323" s="65">
        <f>SUM(venta_a_mes6[[#This Row],[IMPORTE NETO]:[EXENTO]])</f>
        <v>0</v>
      </c>
      <c r="M323" s="59"/>
    </row>
    <row r="324" spans="2:13" x14ac:dyDescent="0.25">
      <c r="B324" s="40"/>
      <c r="C324" s="41"/>
      <c r="D324" s="42"/>
      <c r="E324" s="43"/>
      <c r="F324" s="44"/>
      <c r="G324" s="98" t="str">
        <f>IFERROR(IF(venta_a_mes6[[#This Row],[CUIT]]="","-",VLOOKUP(venta_a_mes6[[#This Row],[CUIT]],Lista_CUIT[#All],2,0)),"CUIT NO CARGADO")</f>
        <v>-</v>
      </c>
      <c r="H324" s="99"/>
      <c r="I324" s="100">
        <f>venta_a_mes6[[#This Row],[IMPORTE NETO]]*0.21</f>
        <v>0</v>
      </c>
      <c r="J324" s="65"/>
      <c r="K324" s="65"/>
      <c r="L324" s="65">
        <f>SUM(venta_a_mes6[[#This Row],[IMPORTE NETO]:[EXENTO]])</f>
        <v>0</v>
      </c>
      <c r="M324" s="59"/>
    </row>
    <row r="325" spans="2:13" x14ac:dyDescent="0.25">
      <c r="B325" s="40"/>
      <c r="C325" s="41"/>
      <c r="D325" s="42"/>
      <c r="E325" s="43"/>
      <c r="F325" s="44"/>
      <c r="G325" s="98" t="str">
        <f>IFERROR(IF(venta_a_mes6[[#This Row],[CUIT]]="","-",VLOOKUP(venta_a_mes6[[#This Row],[CUIT]],Lista_CUIT[#All],2,0)),"CUIT NO CARGADO")</f>
        <v>-</v>
      </c>
      <c r="H325" s="99"/>
      <c r="I325" s="100">
        <f>venta_a_mes6[[#This Row],[IMPORTE NETO]]*0.21</f>
        <v>0</v>
      </c>
      <c r="J325" s="65"/>
      <c r="K325" s="65"/>
      <c r="L325" s="65">
        <f>SUM(venta_a_mes6[[#This Row],[IMPORTE NETO]:[EXENTO]])</f>
        <v>0</v>
      </c>
      <c r="M325" s="59"/>
    </row>
    <row r="326" spans="2:13" x14ac:dyDescent="0.25">
      <c r="B326" s="40"/>
      <c r="C326" s="41"/>
      <c r="D326" s="42"/>
      <c r="E326" s="43"/>
      <c r="F326" s="44"/>
      <c r="G326" s="98" t="str">
        <f>IFERROR(IF(venta_a_mes6[[#This Row],[CUIT]]="","-",VLOOKUP(venta_a_mes6[[#This Row],[CUIT]],Lista_CUIT[#All],2,0)),"CUIT NO CARGADO")</f>
        <v>-</v>
      </c>
      <c r="H326" s="99"/>
      <c r="I326" s="100">
        <f>venta_a_mes6[[#This Row],[IMPORTE NETO]]*0.21</f>
        <v>0</v>
      </c>
      <c r="J326" s="65"/>
      <c r="K326" s="65"/>
      <c r="L326" s="65">
        <f>SUM(venta_a_mes6[[#This Row],[IMPORTE NETO]:[EXENTO]])</f>
        <v>0</v>
      </c>
      <c r="M326" s="59"/>
    </row>
    <row r="327" spans="2:13" x14ac:dyDescent="0.25">
      <c r="B327" s="40"/>
      <c r="C327" s="41"/>
      <c r="D327" s="42"/>
      <c r="E327" s="43"/>
      <c r="F327" s="44"/>
      <c r="G327" s="98" t="str">
        <f>IFERROR(IF(venta_a_mes6[[#This Row],[CUIT]]="","-",VLOOKUP(venta_a_mes6[[#This Row],[CUIT]],Lista_CUIT[#All],2,0)),"CUIT NO CARGADO")</f>
        <v>-</v>
      </c>
      <c r="H327" s="99"/>
      <c r="I327" s="100">
        <f>venta_a_mes6[[#This Row],[IMPORTE NETO]]*0.21</f>
        <v>0</v>
      </c>
      <c r="J327" s="65"/>
      <c r="K327" s="65"/>
      <c r="L327" s="65">
        <f>SUM(venta_a_mes6[[#This Row],[IMPORTE NETO]:[EXENTO]])</f>
        <v>0</v>
      </c>
      <c r="M327" s="59"/>
    </row>
    <row r="328" spans="2:13" x14ac:dyDescent="0.25">
      <c r="B328" s="40"/>
      <c r="C328" s="41"/>
      <c r="D328" s="42"/>
      <c r="E328" s="43"/>
      <c r="F328" s="44"/>
      <c r="G328" s="98" t="str">
        <f>IFERROR(IF(venta_a_mes6[[#This Row],[CUIT]]="","-",VLOOKUP(venta_a_mes6[[#This Row],[CUIT]],Lista_CUIT[#All],2,0)),"CUIT NO CARGADO")</f>
        <v>-</v>
      </c>
      <c r="H328" s="99"/>
      <c r="I328" s="100">
        <f>venta_a_mes6[[#This Row],[IMPORTE NETO]]*0.21</f>
        <v>0</v>
      </c>
      <c r="J328" s="65"/>
      <c r="K328" s="65"/>
      <c r="L328" s="65">
        <f>SUM(venta_a_mes6[[#This Row],[IMPORTE NETO]:[EXENTO]])</f>
        <v>0</v>
      </c>
      <c r="M328" s="59"/>
    </row>
    <row r="329" spans="2:13" x14ac:dyDescent="0.25">
      <c r="B329" s="40"/>
      <c r="C329" s="41"/>
      <c r="D329" s="42"/>
      <c r="E329" s="43"/>
      <c r="F329" s="44"/>
      <c r="G329" s="98" t="str">
        <f>IFERROR(IF(venta_a_mes6[[#This Row],[CUIT]]="","-",VLOOKUP(venta_a_mes6[[#This Row],[CUIT]],Lista_CUIT[#All],2,0)),"CUIT NO CARGADO")</f>
        <v>-</v>
      </c>
      <c r="H329" s="99"/>
      <c r="I329" s="100">
        <f>venta_a_mes6[[#This Row],[IMPORTE NETO]]*0.21</f>
        <v>0</v>
      </c>
      <c r="J329" s="65"/>
      <c r="K329" s="65"/>
      <c r="L329" s="65">
        <f>SUM(venta_a_mes6[[#This Row],[IMPORTE NETO]:[EXENTO]])</f>
        <v>0</v>
      </c>
      <c r="M329" s="59"/>
    </row>
    <row r="330" spans="2:13" x14ac:dyDescent="0.25">
      <c r="B330" s="40"/>
      <c r="C330" s="41"/>
      <c r="D330" s="42"/>
      <c r="E330" s="43"/>
      <c r="F330" s="44"/>
      <c r="G330" s="98" t="str">
        <f>IFERROR(IF(venta_a_mes6[[#This Row],[CUIT]]="","-",VLOOKUP(venta_a_mes6[[#This Row],[CUIT]],Lista_CUIT[#All],2,0)),"CUIT NO CARGADO")</f>
        <v>-</v>
      </c>
      <c r="H330" s="99"/>
      <c r="I330" s="100">
        <f>venta_a_mes6[[#This Row],[IMPORTE NETO]]*0.21</f>
        <v>0</v>
      </c>
      <c r="J330" s="65"/>
      <c r="K330" s="65"/>
      <c r="L330" s="65">
        <f>SUM(venta_a_mes6[[#This Row],[IMPORTE NETO]:[EXENTO]])</f>
        <v>0</v>
      </c>
      <c r="M330" s="59"/>
    </row>
    <row r="331" spans="2:13" x14ac:dyDescent="0.25">
      <c r="B331" s="40"/>
      <c r="C331" s="41"/>
      <c r="D331" s="42"/>
      <c r="E331" s="43"/>
      <c r="F331" s="44"/>
      <c r="G331" s="98" t="str">
        <f>IFERROR(IF(venta_a_mes6[[#This Row],[CUIT]]="","-",VLOOKUP(venta_a_mes6[[#This Row],[CUIT]],Lista_CUIT[#All],2,0)),"CUIT NO CARGADO")</f>
        <v>-</v>
      </c>
      <c r="H331" s="99"/>
      <c r="I331" s="100">
        <f>venta_a_mes6[[#This Row],[IMPORTE NETO]]*0.21</f>
        <v>0</v>
      </c>
      <c r="J331" s="65"/>
      <c r="K331" s="65"/>
      <c r="L331" s="65">
        <f>SUM(venta_a_mes6[[#This Row],[IMPORTE NETO]:[EXENTO]])</f>
        <v>0</v>
      </c>
      <c r="M331" s="59"/>
    </row>
    <row r="332" spans="2:13" x14ac:dyDescent="0.25">
      <c r="B332" s="40"/>
      <c r="C332" s="41"/>
      <c r="D332" s="42"/>
      <c r="E332" s="43"/>
      <c r="F332" s="44"/>
      <c r="G332" s="98" t="str">
        <f>IFERROR(IF(venta_a_mes6[[#This Row],[CUIT]]="","-",VLOOKUP(venta_a_mes6[[#This Row],[CUIT]],Lista_CUIT[#All],2,0)),"CUIT NO CARGADO")</f>
        <v>-</v>
      </c>
      <c r="H332" s="99"/>
      <c r="I332" s="100">
        <f>venta_a_mes6[[#This Row],[IMPORTE NETO]]*0.21</f>
        <v>0</v>
      </c>
      <c r="J332" s="65"/>
      <c r="K332" s="65"/>
      <c r="L332" s="65">
        <f>SUM(venta_a_mes6[[#This Row],[IMPORTE NETO]:[EXENTO]])</f>
        <v>0</v>
      </c>
      <c r="M332" s="59"/>
    </row>
    <row r="333" spans="2:13" x14ac:dyDescent="0.25">
      <c r="B333" s="40"/>
      <c r="C333" s="41"/>
      <c r="D333" s="42"/>
      <c r="E333" s="43"/>
      <c r="F333" s="44"/>
      <c r="G333" s="98" t="str">
        <f>IFERROR(IF(venta_a_mes6[[#This Row],[CUIT]]="","-",VLOOKUP(venta_a_mes6[[#This Row],[CUIT]],Lista_CUIT[#All],2,0)),"CUIT NO CARGADO")</f>
        <v>-</v>
      </c>
      <c r="H333" s="99"/>
      <c r="I333" s="100">
        <f>venta_a_mes6[[#This Row],[IMPORTE NETO]]*0.21</f>
        <v>0</v>
      </c>
      <c r="J333" s="65"/>
      <c r="K333" s="65"/>
      <c r="L333" s="65">
        <f>SUM(venta_a_mes6[[#This Row],[IMPORTE NETO]:[EXENTO]])</f>
        <v>0</v>
      </c>
      <c r="M333" s="59"/>
    </row>
    <row r="334" spans="2:13" x14ac:dyDescent="0.25">
      <c r="B334" s="40"/>
      <c r="C334" s="41"/>
      <c r="D334" s="42"/>
      <c r="E334" s="43"/>
      <c r="F334" s="44"/>
      <c r="G334" s="98" t="str">
        <f>IFERROR(IF(venta_a_mes6[[#This Row],[CUIT]]="","-",VLOOKUP(venta_a_mes6[[#This Row],[CUIT]],Lista_CUIT[#All],2,0)),"CUIT NO CARGADO")</f>
        <v>-</v>
      </c>
      <c r="H334" s="99"/>
      <c r="I334" s="100">
        <f>venta_a_mes6[[#This Row],[IMPORTE NETO]]*0.21</f>
        <v>0</v>
      </c>
      <c r="J334" s="65"/>
      <c r="K334" s="65"/>
      <c r="L334" s="65">
        <f>SUM(venta_a_mes6[[#This Row],[IMPORTE NETO]:[EXENTO]])</f>
        <v>0</v>
      </c>
      <c r="M334" s="59"/>
    </row>
    <row r="335" spans="2:13" x14ac:dyDescent="0.25">
      <c r="B335" s="40"/>
      <c r="C335" s="41"/>
      <c r="D335" s="42"/>
      <c r="E335" s="43"/>
      <c r="F335" s="44"/>
      <c r="G335" s="98" t="str">
        <f>IFERROR(IF(venta_a_mes6[[#This Row],[CUIT]]="","-",VLOOKUP(venta_a_mes6[[#This Row],[CUIT]],Lista_CUIT[#All],2,0)),"CUIT NO CARGADO")</f>
        <v>-</v>
      </c>
      <c r="H335" s="99"/>
      <c r="I335" s="100">
        <f>venta_a_mes6[[#This Row],[IMPORTE NETO]]*0.21</f>
        <v>0</v>
      </c>
      <c r="J335" s="65"/>
      <c r="K335" s="65"/>
      <c r="L335" s="65">
        <f>SUM(venta_a_mes6[[#This Row],[IMPORTE NETO]:[EXENTO]])</f>
        <v>0</v>
      </c>
      <c r="M335" s="59"/>
    </row>
    <row r="336" spans="2:13" x14ac:dyDescent="0.25">
      <c r="B336" s="40"/>
      <c r="C336" s="41"/>
      <c r="D336" s="42"/>
      <c r="E336" s="43"/>
      <c r="F336" s="44"/>
      <c r="G336" s="98" t="str">
        <f>IFERROR(IF(venta_a_mes6[[#This Row],[CUIT]]="","-",VLOOKUP(venta_a_mes6[[#This Row],[CUIT]],Lista_CUIT[#All],2,0)),"CUIT NO CARGADO")</f>
        <v>-</v>
      </c>
      <c r="H336" s="99"/>
      <c r="I336" s="100">
        <f>venta_a_mes6[[#This Row],[IMPORTE NETO]]*0.21</f>
        <v>0</v>
      </c>
      <c r="J336" s="65"/>
      <c r="K336" s="65"/>
      <c r="L336" s="65">
        <f>SUM(venta_a_mes6[[#This Row],[IMPORTE NETO]:[EXENTO]])</f>
        <v>0</v>
      </c>
      <c r="M336" s="59"/>
    </row>
    <row r="337" spans="2:13" x14ac:dyDescent="0.25">
      <c r="B337" s="40"/>
      <c r="C337" s="41"/>
      <c r="D337" s="42"/>
      <c r="E337" s="43"/>
      <c r="F337" s="44"/>
      <c r="G337" s="98" t="str">
        <f>IFERROR(IF(venta_a_mes6[[#This Row],[CUIT]]="","-",VLOOKUP(venta_a_mes6[[#This Row],[CUIT]],Lista_CUIT[#All],2,0)),"CUIT NO CARGADO")</f>
        <v>-</v>
      </c>
      <c r="H337" s="99"/>
      <c r="I337" s="100">
        <f>venta_a_mes6[[#This Row],[IMPORTE NETO]]*0.21</f>
        <v>0</v>
      </c>
      <c r="J337" s="65"/>
      <c r="K337" s="65"/>
      <c r="L337" s="65">
        <f>SUM(venta_a_mes6[[#This Row],[IMPORTE NETO]:[EXENTO]])</f>
        <v>0</v>
      </c>
      <c r="M337" s="59"/>
    </row>
    <row r="338" spans="2:13" x14ac:dyDescent="0.25">
      <c r="B338" s="40"/>
      <c r="C338" s="41"/>
      <c r="D338" s="42"/>
      <c r="E338" s="43"/>
      <c r="F338" s="44"/>
      <c r="G338" s="98" t="str">
        <f>IFERROR(IF(venta_a_mes6[[#This Row],[CUIT]]="","-",VLOOKUP(venta_a_mes6[[#This Row],[CUIT]],Lista_CUIT[#All],2,0)),"CUIT NO CARGADO")</f>
        <v>-</v>
      </c>
      <c r="H338" s="99"/>
      <c r="I338" s="100">
        <f>venta_a_mes6[[#This Row],[IMPORTE NETO]]*0.21</f>
        <v>0</v>
      </c>
      <c r="J338" s="65"/>
      <c r="K338" s="65"/>
      <c r="L338" s="65">
        <f>SUM(venta_a_mes6[[#This Row],[IMPORTE NETO]:[EXENTO]])</f>
        <v>0</v>
      </c>
      <c r="M338" s="63"/>
    </row>
    <row r="339" spans="2:13" x14ac:dyDescent="0.25">
      <c r="B339" s="101"/>
      <c r="C339" s="102"/>
      <c r="D339" s="103"/>
      <c r="E339" s="104"/>
      <c r="F339" s="105"/>
      <c r="G339" s="98" t="str">
        <f>IFERROR(IF(venta_a_mes6[[#This Row],[CUIT]]="","-",VLOOKUP(venta_a_mes6[[#This Row],[CUIT]],Lista_CUIT[#All],2,0)),"CUIT NO CARGADO")</f>
        <v>-</v>
      </c>
      <c r="H339" s="106"/>
      <c r="I339" s="107">
        <f>venta_a_mes6[[#This Row],[IMPORTE NETO]]*0.21</f>
        <v>0</v>
      </c>
      <c r="J339" s="72"/>
      <c r="K339" s="72"/>
      <c r="L339" s="72">
        <f>SUM(venta_a_mes6[[#This Row],[IMPORTE NETO]:[EXENTO]])</f>
        <v>0</v>
      </c>
      <c r="M339" s="63"/>
    </row>
    <row r="340" spans="2:13" x14ac:dyDescent="0.25">
      <c r="B340" s="108"/>
      <c r="C340" s="109"/>
      <c r="D340" s="110"/>
      <c r="E340" s="111"/>
      <c r="F340" s="112"/>
      <c r="G340" s="98" t="str">
        <f>IFERROR(IF(venta_a_mes6[[#This Row],[CUIT]]="","-",VLOOKUP(venta_a_mes6[[#This Row],[CUIT]],Lista_CUIT[#All],2,0)),"CUIT NO CARGADO")</f>
        <v>-</v>
      </c>
      <c r="H340" s="99"/>
      <c r="I340" s="100">
        <f>venta_a_mes6[[#This Row],[IMPORTE NETO]]*0.21</f>
        <v>0</v>
      </c>
      <c r="J340" s="65"/>
      <c r="K340" s="65"/>
      <c r="L340" s="65">
        <f>SUM(venta_a_mes6[[#This Row],[IMPORTE NETO]:[EXENTO]])</f>
        <v>0</v>
      </c>
      <c r="M340" s="59"/>
    </row>
    <row r="341" spans="2:13" x14ac:dyDescent="0.25">
      <c r="B341" s="66" t="s">
        <v>103</v>
      </c>
      <c r="C341" s="67"/>
      <c r="D341" s="67"/>
      <c r="E341" s="67"/>
      <c r="F341" s="67"/>
      <c r="G341" s="67"/>
      <c r="H341" s="69">
        <f>SUBTOTAL(109,venta_a_mes6[IMPORTE NETO])</f>
        <v>0</v>
      </c>
      <c r="I341" s="70">
        <f>SUBTOTAL(109,venta_a_mes6[IVA 21%])</f>
        <v>0</v>
      </c>
      <c r="J341" s="71">
        <f>SUBTOTAL(109,venta_a_mes6[IVA 10,5%])</f>
        <v>0</v>
      </c>
      <c r="K341" s="71">
        <f>SUBTOTAL(109,venta_a_mes6[EXENTO])</f>
        <v>0</v>
      </c>
      <c r="L341" s="71">
        <f>SUBTOTAL(109,venta_a_mes6[TOTAL])</f>
        <v>0</v>
      </c>
      <c r="M341" s="68">
        <f>SUBTOTAL(103,venta_a_mes6[Provincia])</f>
        <v>0</v>
      </c>
    </row>
    <row r="344" spans="2:13" ht="21" x14ac:dyDescent="0.25">
      <c r="B344" s="594" t="s">
        <v>1860</v>
      </c>
      <c r="C344" s="594"/>
    </row>
    <row r="345" spans="2:13" ht="31.5" x14ac:dyDescent="0.25">
      <c r="B345" s="60" t="s">
        <v>0</v>
      </c>
      <c r="C345" s="61" t="s">
        <v>1</v>
      </c>
      <c r="D345" s="61" t="s">
        <v>21</v>
      </c>
      <c r="E345" s="61" t="s">
        <v>22</v>
      </c>
      <c r="F345" s="61" t="s">
        <v>3</v>
      </c>
      <c r="G345" s="61" t="s">
        <v>4</v>
      </c>
      <c r="H345" s="61" t="s">
        <v>23</v>
      </c>
      <c r="I345" s="61" t="s">
        <v>17</v>
      </c>
      <c r="J345" s="61" t="s">
        <v>7</v>
      </c>
      <c r="K345" s="61" t="s">
        <v>24</v>
      </c>
      <c r="L345" s="61" t="s">
        <v>10</v>
      </c>
      <c r="M345" s="62" t="s">
        <v>38</v>
      </c>
    </row>
    <row r="346" spans="2:13" x14ac:dyDescent="0.25">
      <c r="B346" s="40"/>
      <c r="C346" s="41"/>
      <c r="D346" s="42"/>
      <c r="E346" s="43"/>
      <c r="F346" s="44"/>
      <c r="G346" s="1" t="str">
        <f>IFERROR(IF(ventas_b_mes6[[#This Row],[CUIT]]="","-",VLOOKUP(ventas_b_mes6[[#This Row],[CUIT]],Lista_CUIT[#All],2,0)),"CUIT NO CARGADO")</f>
        <v>-</v>
      </c>
      <c r="H346" s="64"/>
      <c r="I346" s="64"/>
      <c r="J346" s="64"/>
      <c r="K346" s="64"/>
      <c r="L346" s="64">
        <f>SUM(ventas_b_mes6[[#This Row],[IMPORTE NETO]:[EXENTO]])</f>
        <v>0</v>
      </c>
      <c r="M346" s="59"/>
    </row>
    <row r="347" spans="2:13" x14ac:dyDescent="0.25">
      <c r="B347" s="40"/>
      <c r="C347" s="41"/>
      <c r="D347" s="42"/>
      <c r="E347" s="43"/>
      <c r="F347" s="44"/>
      <c r="G347" s="1" t="str">
        <f>IFERROR(IF(ventas_b_mes6[[#This Row],[CUIT]]="","-",VLOOKUP(ventas_b_mes6[[#This Row],[CUIT]],Lista_CUIT[#All],2,0)),"CUIT NO CARGADO")</f>
        <v>-</v>
      </c>
      <c r="H347" s="64"/>
      <c r="I347" s="64"/>
      <c r="J347" s="64"/>
      <c r="K347" s="64"/>
      <c r="L347" s="64">
        <f>SUM(ventas_b_mes6[[#This Row],[IMPORTE NETO]:[EXENTO]])</f>
        <v>0</v>
      </c>
      <c r="M347" s="59"/>
    </row>
    <row r="348" spans="2:13" x14ac:dyDescent="0.25">
      <c r="B348" s="40"/>
      <c r="C348" s="41">
        <v>6</v>
      </c>
      <c r="D348" s="42"/>
      <c r="E348" s="43"/>
      <c r="F348" s="44"/>
      <c r="G348" s="1" t="str">
        <f>IFERROR(IF(ventas_b_mes6[[#This Row],[CUIT]]="","-",VLOOKUP(ventas_b_mes6[[#This Row],[CUIT]],Lista_CUIT[#All],2,0)),"CUIT NO CARGADO")</f>
        <v>-</v>
      </c>
      <c r="H348" s="64"/>
      <c r="I348" s="64"/>
      <c r="J348" s="64"/>
      <c r="K348" s="64"/>
      <c r="L348" s="64">
        <f>SUM(ventas_b_mes6[[#This Row],[IMPORTE NETO]:[EXENTO]])</f>
        <v>0</v>
      </c>
      <c r="M348" s="59"/>
    </row>
    <row r="349" spans="2:13" x14ac:dyDescent="0.25">
      <c r="B349" s="40"/>
      <c r="C349" s="41"/>
      <c r="D349" s="42"/>
      <c r="E349" s="43"/>
      <c r="F349" s="44"/>
      <c r="G349" s="1" t="str">
        <f>IFERROR(IF(ventas_b_mes6[[#This Row],[CUIT]]="","-",VLOOKUP(ventas_b_mes6[[#This Row],[CUIT]],Lista_CUIT[#All],2,0)),"CUIT NO CARGADO")</f>
        <v>-</v>
      </c>
      <c r="H349" s="64"/>
      <c r="I349" s="64"/>
      <c r="J349" s="64"/>
      <c r="K349" s="64"/>
      <c r="L349" s="64">
        <f>SUM(ventas_b_mes6[[#This Row],[IMPORTE NETO]:[EXENTO]])</f>
        <v>0</v>
      </c>
      <c r="M349" s="59"/>
    </row>
    <row r="350" spans="2:13" x14ac:dyDescent="0.25">
      <c r="B350" s="40"/>
      <c r="C350" s="41"/>
      <c r="D350" s="42"/>
      <c r="E350" s="43"/>
      <c r="F350" s="44"/>
      <c r="G350" s="1" t="str">
        <f>IFERROR(IF(ventas_b_mes6[[#This Row],[CUIT]]="","-",VLOOKUP(ventas_b_mes6[[#This Row],[CUIT]],Lista_CUIT[#All],2,0)),"CUIT NO CARGADO")</f>
        <v>-</v>
      </c>
      <c r="H350" s="64"/>
      <c r="I350" s="64"/>
      <c r="J350" s="64"/>
      <c r="K350" s="64"/>
      <c r="L350" s="64">
        <f>SUM(ventas_b_mes6[[#This Row],[IMPORTE NETO]:[EXENTO]])</f>
        <v>0</v>
      </c>
      <c r="M350" s="59"/>
    </row>
    <row r="351" spans="2:13" x14ac:dyDescent="0.25">
      <c r="B351" s="40"/>
      <c r="C351" s="41"/>
      <c r="D351" s="42"/>
      <c r="E351" s="43"/>
      <c r="F351" s="44"/>
      <c r="G351" s="1" t="str">
        <f>IFERROR(IF(ventas_b_mes6[[#This Row],[CUIT]]="","-",VLOOKUP(ventas_b_mes6[[#This Row],[CUIT]],Lista_CUIT[#All],2,0)),"CUIT NO CARGADO")</f>
        <v>-</v>
      </c>
      <c r="H351" s="64"/>
      <c r="I351" s="64"/>
      <c r="J351" s="64"/>
      <c r="K351" s="64"/>
      <c r="L351" s="64">
        <f>SUM(ventas_b_mes6[[#This Row],[IMPORTE NETO]:[EXENTO]])</f>
        <v>0</v>
      </c>
      <c r="M351" s="59"/>
    </row>
    <row r="352" spans="2:13" x14ac:dyDescent="0.25">
      <c r="B352" s="66" t="s">
        <v>103</v>
      </c>
      <c r="C352" s="67"/>
      <c r="D352" s="67"/>
      <c r="E352" s="67"/>
      <c r="F352" s="67"/>
      <c r="G352" s="67"/>
      <c r="H352" s="77">
        <f>SUBTOTAL(109,ventas_b_mes6[IMPORTE NETO])</f>
        <v>0</v>
      </c>
      <c r="I352" s="77">
        <f>SUBTOTAL(109,ventas_b_mes6[IVA 21%])</f>
        <v>0</v>
      </c>
      <c r="J352" s="78">
        <f>SUBTOTAL(109,ventas_b_mes6[IVA 10,5%])</f>
        <v>0</v>
      </c>
      <c r="K352" s="78">
        <f>SUBTOTAL(109,ventas_b_mes6[EXENTO])</f>
        <v>0</v>
      </c>
      <c r="L352" s="78">
        <f>SUBTOTAL(109,ventas_b_mes6[TOTAL])</f>
        <v>0</v>
      </c>
      <c r="M352" s="68">
        <f>SUBTOTAL(103,ventas_b_mes6[Provincia])</f>
        <v>0</v>
      </c>
    </row>
    <row r="354" spans="2:13" ht="21" x14ac:dyDescent="0.25">
      <c r="B354" s="594" t="s">
        <v>31</v>
      </c>
      <c r="C354" s="594"/>
    </row>
    <row r="355" spans="2:13" ht="31.5" x14ac:dyDescent="0.25">
      <c r="B355" s="60" t="s">
        <v>0</v>
      </c>
      <c r="C355" s="61" t="s">
        <v>1</v>
      </c>
      <c r="D355" s="61" t="s">
        <v>21</v>
      </c>
      <c r="E355" s="61" t="s">
        <v>22</v>
      </c>
      <c r="F355" s="61" t="s">
        <v>3</v>
      </c>
      <c r="G355" s="61" t="s">
        <v>4</v>
      </c>
      <c r="H355" s="61" t="s">
        <v>23</v>
      </c>
      <c r="I355" s="61" t="s">
        <v>17</v>
      </c>
      <c r="J355" s="61" t="s">
        <v>7</v>
      </c>
      <c r="K355" s="61" t="s">
        <v>24</v>
      </c>
      <c r="L355" s="61" t="s">
        <v>10</v>
      </c>
      <c r="M355" s="62" t="s">
        <v>38</v>
      </c>
    </row>
    <row r="356" spans="2:13" x14ac:dyDescent="0.25">
      <c r="B356" s="40"/>
      <c r="C356" s="41"/>
      <c r="D356" s="42"/>
      <c r="E356" s="43"/>
      <c r="F356" s="44"/>
      <c r="G356" s="1" t="str">
        <f>IFERROR(IF(ventas_b_mes684[[#This Row],[CUIT]]="","-",VLOOKUP(ventas_b_mes684[[#This Row],[CUIT]],Lista_CUIT[#All],2,0)),"CUIT NO CARGADO")</f>
        <v>-</v>
      </c>
      <c r="H356" s="64"/>
      <c r="I356" s="64">
        <f>ventas_b_mes684[[#This Row],[IMPORTE NETO]]*0.21</f>
        <v>0</v>
      </c>
      <c r="J356" s="64"/>
      <c r="K356" s="64"/>
      <c r="L356" s="64">
        <f>SUM(ventas_b_mes684[[#This Row],[IMPORTE NETO]:[EXENTO]])</f>
        <v>0</v>
      </c>
      <c r="M356" s="59"/>
    </row>
    <row r="357" spans="2:13" x14ac:dyDescent="0.25">
      <c r="B357" s="40"/>
      <c r="C357" s="41"/>
      <c r="D357" s="42"/>
      <c r="E357" s="43"/>
      <c r="F357" s="44"/>
      <c r="G357" s="1" t="str">
        <f>IFERROR(IF(ventas_b_mes684[[#This Row],[CUIT]]="","-",VLOOKUP(ventas_b_mes684[[#This Row],[CUIT]],Lista_CUIT[#All],2,0)),"CUIT NO CARGADO")</f>
        <v>-</v>
      </c>
      <c r="H357" s="64"/>
      <c r="I357" s="64">
        <f>ventas_b_mes684[[#This Row],[IMPORTE NETO]]*0.21</f>
        <v>0</v>
      </c>
      <c r="J357" s="64"/>
      <c r="K357" s="64"/>
      <c r="L357" s="64">
        <f>SUM(ventas_b_mes684[[#This Row],[IMPORTE NETO]:[EXENTO]])</f>
        <v>0</v>
      </c>
      <c r="M357" s="59"/>
    </row>
    <row r="358" spans="2:13" x14ac:dyDescent="0.25">
      <c r="B358" s="40"/>
      <c r="C358" s="41"/>
      <c r="D358" s="42"/>
      <c r="E358" s="43"/>
      <c r="F358" s="44"/>
      <c r="G358" s="1" t="str">
        <f>IFERROR(IF(ventas_b_mes684[[#This Row],[CUIT]]="","-",VLOOKUP(ventas_b_mes684[[#This Row],[CUIT]],Lista_CUIT[#All],2,0)),"CUIT NO CARGADO")</f>
        <v>-</v>
      </c>
      <c r="H358" s="64"/>
      <c r="I358" s="64">
        <f>ventas_b_mes684[[#This Row],[IMPORTE NETO]]*0.21</f>
        <v>0</v>
      </c>
      <c r="J358" s="64"/>
      <c r="K358" s="64"/>
      <c r="L358" s="64">
        <f>SUM(ventas_b_mes684[[#This Row],[IMPORTE NETO]:[EXENTO]])</f>
        <v>0</v>
      </c>
      <c r="M358" s="59"/>
    </row>
    <row r="359" spans="2:13" x14ac:dyDescent="0.25">
      <c r="B359" s="40"/>
      <c r="C359" s="41"/>
      <c r="D359" s="42"/>
      <c r="E359" s="43"/>
      <c r="F359" s="44"/>
      <c r="G359" s="1" t="str">
        <f>IFERROR(IF(ventas_b_mes684[[#This Row],[CUIT]]="","-",VLOOKUP(ventas_b_mes684[[#This Row],[CUIT]],Lista_CUIT[#All],2,0)),"CUIT NO CARGADO")</f>
        <v>-</v>
      </c>
      <c r="H359" s="64"/>
      <c r="I359" s="64">
        <f>ventas_b_mes684[[#This Row],[IMPORTE NETO]]*0.21</f>
        <v>0</v>
      </c>
      <c r="J359" s="64"/>
      <c r="K359" s="64"/>
      <c r="L359" s="64">
        <f>SUM(ventas_b_mes684[[#This Row],[IMPORTE NETO]:[EXENTO]])</f>
        <v>0</v>
      </c>
      <c r="M359" s="59"/>
    </row>
    <row r="360" spans="2:13" x14ac:dyDescent="0.25">
      <c r="B360" s="40"/>
      <c r="C360" s="41"/>
      <c r="D360" s="42"/>
      <c r="E360" s="43"/>
      <c r="F360" s="44"/>
      <c r="G360" s="1" t="str">
        <f>IFERROR(IF(ventas_b_mes684[[#This Row],[CUIT]]="","-",VLOOKUP(ventas_b_mes684[[#This Row],[CUIT]],Lista_CUIT[#All],2,0)),"CUIT NO CARGADO")</f>
        <v>-</v>
      </c>
      <c r="H360" s="64"/>
      <c r="I360" s="64">
        <f>ventas_b_mes684[[#This Row],[IMPORTE NETO]]*0.21</f>
        <v>0</v>
      </c>
      <c r="J360" s="64"/>
      <c r="K360" s="64"/>
      <c r="L360" s="64">
        <f>SUM(ventas_b_mes684[[#This Row],[IMPORTE NETO]:[EXENTO]])</f>
        <v>0</v>
      </c>
      <c r="M360" s="59"/>
    </row>
    <row r="361" spans="2:13" x14ac:dyDescent="0.25">
      <c r="B361" s="40"/>
      <c r="C361" s="41"/>
      <c r="D361" s="42"/>
      <c r="E361" s="43"/>
      <c r="F361" s="44"/>
      <c r="G361" s="1" t="str">
        <f>IFERROR(IF(ventas_b_mes684[[#This Row],[CUIT]]="","-",VLOOKUP(ventas_b_mes684[[#This Row],[CUIT]],Lista_CUIT[#All],2,0)),"CUIT NO CARGADO")</f>
        <v>-</v>
      </c>
      <c r="H361" s="64"/>
      <c r="I361" s="64">
        <f>ventas_b_mes684[[#This Row],[IMPORTE NETO]]*0.21</f>
        <v>0</v>
      </c>
      <c r="J361" s="64"/>
      <c r="K361" s="64"/>
      <c r="L361" s="64">
        <f>SUM(ventas_b_mes684[[#This Row],[IMPORTE NETO]:[EXENTO]])</f>
        <v>0</v>
      </c>
      <c r="M361" s="59"/>
    </row>
    <row r="362" spans="2:13" x14ac:dyDescent="0.25">
      <c r="B362" s="40"/>
      <c r="C362" s="41"/>
      <c r="D362" s="42"/>
      <c r="E362" s="43"/>
      <c r="F362" s="44"/>
      <c r="G362" s="1" t="str">
        <f>IFERROR(IF(ventas_b_mes684[[#This Row],[CUIT]]="","-",VLOOKUP(ventas_b_mes684[[#This Row],[CUIT]],Lista_CUIT[#All],2,0)),"CUIT NO CARGADO")</f>
        <v>-</v>
      </c>
      <c r="H362" s="64"/>
      <c r="I362" s="64">
        <f>ventas_b_mes684[[#This Row],[IMPORTE NETO]]*0.21</f>
        <v>0</v>
      </c>
      <c r="J362" s="64"/>
      <c r="K362" s="64"/>
      <c r="L362" s="64">
        <f>SUM(ventas_b_mes684[[#This Row],[IMPORTE NETO]:[EXENTO]])</f>
        <v>0</v>
      </c>
      <c r="M362" s="59"/>
    </row>
    <row r="363" spans="2:13" x14ac:dyDescent="0.25">
      <c r="B363" s="40"/>
      <c r="C363" s="41"/>
      <c r="D363" s="42"/>
      <c r="E363" s="43"/>
      <c r="F363" s="44"/>
      <c r="G363" s="1" t="str">
        <f>IFERROR(IF(ventas_b_mes684[[#This Row],[CUIT]]="","-",VLOOKUP(ventas_b_mes684[[#This Row],[CUIT]],Lista_CUIT[#All],2,0)),"CUIT NO CARGADO")</f>
        <v>-</v>
      </c>
      <c r="H363" s="64"/>
      <c r="I363" s="64">
        <f>ventas_b_mes684[[#This Row],[IMPORTE NETO]]*0.21</f>
        <v>0</v>
      </c>
      <c r="J363" s="64"/>
      <c r="K363" s="64"/>
      <c r="L363" s="64">
        <f>SUM(ventas_b_mes684[[#This Row],[IMPORTE NETO]:[EXENTO]])</f>
        <v>0</v>
      </c>
      <c r="M363" s="59"/>
    </row>
    <row r="364" spans="2:13" x14ac:dyDescent="0.25">
      <c r="B364" s="40"/>
      <c r="C364" s="41"/>
      <c r="D364" s="42"/>
      <c r="E364" s="43"/>
      <c r="F364" s="44"/>
      <c r="G364" s="1" t="str">
        <f>IFERROR(IF(ventas_b_mes684[[#This Row],[CUIT]]="","-",VLOOKUP(ventas_b_mes684[[#This Row],[CUIT]],Lista_CUIT[#All],2,0)),"CUIT NO CARGADO")</f>
        <v>-</v>
      </c>
      <c r="H364" s="64"/>
      <c r="I364" s="64">
        <f>ventas_b_mes684[[#This Row],[IMPORTE NETO]]*0.21</f>
        <v>0</v>
      </c>
      <c r="J364" s="64"/>
      <c r="K364" s="64"/>
      <c r="L364" s="64">
        <f>SUM(ventas_b_mes684[[#This Row],[IMPORTE NETO]:[EXENTO]])</f>
        <v>0</v>
      </c>
      <c r="M364" s="59"/>
    </row>
    <row r="365" spans="2:13" x14ac:dyDescent="0.25">
      <c r="B365" s="40"/>
      <c r="C365" s="41"/>
      <c r="D365" s="42"/>
      <c r="E365" s="43"/>
      <c r="F365" s="44"/>
      <c r="G365" s="1" t="str">
        <f>IFERROR(IF(ventas_b_mes684[[#This Row],[CUIT]]="","-",VLOOKUP(ventas_b_mes684[[#This Row],[CUIT]],Lista_CUIT[#All],2,0)),"CUIT NO CARGADO")</f>
        <v>-</v>
      </c>
      <c r="H365" s="64"/>
      <c r="I365" s="64">
        <f>ventas_b_mes684[[#This Row],[IMPORTE NETO]]*0.21</f>
        <v>0</v>
      </c>
      <c r="J365" s="64"/>
      <c r="K365" s="64"/>
      <c r="L365" s="64">
        <f>SUM(ventas_b_mes684[[#This Row],[IMPORTE NETO]:[EXENTO]])</f>
        <v>0</v>
      </c>
      <c r="M365" s="59"/>
    </row>
    <row r="366" spans="2:13" x14ac:dyDescent="0.25">
      <c r="B366" s="40"/>
      <c r="C366" s="41"/>
      <c r="D366" s="42"/>
      <c r="E366" s="43"/>
      <c r="F366" s="44"/>
      <c r="G366" s="1" t="str">
        <f>IFERROR(IF(ventas_b_mes684[[#This Row],[CUIT]]="","-",VLOOKUP(ventas_b_mes684[[#This Row],[CUIT]],Lista_CUIT[#All],2,0)),"CUIT NO CARGADO")</f>
        <v>-</v>
      </c>
      <c r="H366" s="64"/>
      <c r="I366" s="64">
        <f>ventas_b_mes684[[#This Row],[IMPORTE NETO]]*0.21</f>
        <v>0</v>
      </c>
      <c r="J366" s="64"/>
      <c r="K366" s="64"/>
      <c r="L366" s="64">
        <f>SUM(ventas_b_mes684[[#This Row],[IMPORTE NETO]:[EXENTO]])</f>
        <v>0</v>
      </c>
      <c r="M366" s="59"/>
    </row>
    <row r="367" spans="2:13" x14ac:dyDescent="0.25">
      <c r="B367" s="40"/>
      <c r="C367" s="41"/>
      <c r="D367" s="42"/>
      <c r="E367" s="43"/>
      <c r="F367" s="44"/>
      <c r="G367" s="1" t="str">
        <f>IFERROR(IF(ventas_b_mes684[[#This Row],[CUIT]]="","-",VLOOKUP(ventas_b_mes684[[#This Row],[CUIT]],Lista_CUIT[#All],2,0)),"CUIT NO CARGADO")</f>
        <v>-</v>
      </c>
      <c r="H367" s="64"/>
      <c r="I367" s="64">
        <f>ventas_b_mes684[[#This Row],[IMPORTE NETO]]*0.21</f>
        <v>0</v>
      </c>
      <c r="J367" s="64"/>
      <c r="K367" s="64"/>
      <c r="L367" s="64">
        <f>SUM(ventas_b_mes684[[#This Row],[IMPORTE NETO]:[EXENTO]])</f>
        <v>0</v>
      </c>
      <c r="M367" s="59"/>
    </row>
    <row r="368" spans="2:13" x14ac:dyDescent="0.25">
      <c r="B368" s="40"/>
      <c r="C368" s="41"/>
      <c r="D368" s="42"/>
      <c r="E368" s="43"/>
      <c r="F368" s="44"/>
      <c r="G368" s="1" t="str">
        <f>IFERROR(IF(ventas_b_mes684[[#This Row],[CUIT]]="","-",VLOOKUP(ventas_b_mes684[[#This Row],[CUIT]],Lista_CUIT[#All],2,0)),"CUIT NO CARGADO")</f>
        <v>-</v>
      </c>
      <c r="H368" s="64"/>
      <c r="I368" s="64">
        <f>ventas_b_mes684[[#This Row],[IMPORTE NETO]]*0.21</f>
        <v>0</v>
      </c>
      <c r="J368" s="64"/>
      <c r="K368" s="64"/>
      <c r="L368" s="64">
        <f>SUM(ventas_b_mes684[[#This Row],[IMPORTE NETO]:[EXENTO]])</f>
        <v>0</v>
      </c>
      <c r="M368" s="59"/>
    </row>
    <row r="369" spans="2:13" x14ac:dyDescent="0.25">
      <c r="B369" s="40"/>
      <c r="C369" s="41"/>
      <c r="D369" s="42"/>
      <c r="E369" s="43"/>
      <c r="F369" s="44"/>
      <c r="G369" s="1" t="str">
        <f>IFERROR(IF(ventas_b_mes684[[#This Row],[CUIT]]="","-",VLOOKUP(ventas_b_mes684[[#This Row],[CUIT]],Lista_CUIT[#All],2,0)),"CUIT NO CARGADO")</f>
        <v>-</v>
      </c>
      <c r="H369" s="64"/>
      <c r="I369" s="64">
        <f>ventas_b_mes684[[#This Row],[IMPORTE NETO]]*0.21</f>
        <v>0</v>
      </c>
      <c r="J369" s="64"/>
      <c r="K369" s="64"/>
      <c r="L369" s="64">
        <f>SUM(ventas_b_mes684[[#This Row],[IMPORTE NETO]:[EXENTO]])</f>
        <v>0</v>
      </c>
      <c r="M369" s="59"/>
    </row>
    <row r="370" spans="2:13" x14ac:dyDescent="0.25">
      <c r="B370" s="40"/>
      <c r="C370" s="41"/>
      <c r="D370" s="42"/>
      <c r="E370" s="43"/>
      <c r="F370" s="44"/>
      <c r="G370" s="1" t="str">
        <f>IFERROR(IF(ventas_b_mes684[[#This Row],[CUIT]]="","-",VLOOKUP(ventas_b_mes684[[#This Row],[CUIT]],Lista_CUIT[#All],2,0)),"CUIT NO CARGADO")</f>
        <v>-</v>
      </c>
      <c r="H370" s="64"/>
      <c r="I370" s="64">
        <f>ventas_b_mes684[[#This Row],[IMPORTE NETO]]*0.21</f>
        <v>0</v>
      </c>
      <c r="J370" s="64"/>
      <c r="K370" s="64"/>
      <c r="L370" s="64">
        <f>SUM(ventas_b_mes684[[#This Row],[IMPORTE NETO]:[EXENTO]])</f>
        <v>0</v>
      </c>
      <c r="M370" s="59"/>
    </row>
    <row r="371" spans="2:13" x14ac:dyDescent="0.25">
      <c r="B371" s="40"/>
      <c r="C371" s="41"/>
      <c r="D371" s="42"/>
      <c r="E371" s="43"/>
      <c r="F371" s="44"/>
      <c r="G371" s="1" t="str">
        <f>IFERROR(IF(ventas_b_mes684[[#This Row],[CUIT]]="","-",VLOOKUP(ventas_b_mes684[[#This Row],[CUIT]],Lista_CUIT[#All],2,0)),"CUIT NO CARGADO")</f>
        <v>-</v>
      </c>
      <c r="H371" s="64"/>
      <c r="I371" s="64">
        <f>ventas_b_mes684[[#This Row],[IMPORTE NETO]]*0.21</f>
        <v>0</v>
      </c>
      <c r="J371" s="64"/>
      <c r="K371" s="64"/>
      <c r="L371" s="64">
        <f>SUM(ventas_b_mes684[[#This Row],[IMPORTE NETO]:[EXENTO]])</f>
        <v>0</v>
      </c>
      <c r="M371" s="59"/>
    </row>
    <row r="372" spans="2:13" x14ac:dyDescent="0.25">
      <c r="B372" s="40"/>
      <c r="C372" s="41"/>
      <c r="D372" s="42"/>
      <c r="E372" s="43"/>
      <c r="F372" s="44"/>
      <c r="G372" s="1" t="str">
        <f>IFERROR(IF(ventas_b_mes684[[#This Row],[CUIT]]="","-",VLOOKUP(ventas_b_mes684[[#This Row],[CUIT]],Lista_CUIT[#All],2,0)),"CUIT NO CARGADO")</f>
        <v>-</v>
      </c>
      <c r="H372" s="64"/>
      <c r="I372" s="64">
        <f>ventas_b_mes684[[#This Row],[IMPORTE NETO]]*0.21</f>
        <v>0</v>
      </c>
      <c r="J372" s="64"/>
      <c r="K372" s="64"/>
      <c r="L372" s="64">
        <f>SUM(ventas_b_mes684[[#This Row],[IMPORTE NETO]:[EXENTO]])</f>
        <v>0</v>
      </c>
      <c r="M372" s="59"/>
    </row>
    <row r="373" spans="2:13" x14ac:dyDescent="0.25">
      <c r="B373" s="40"/>
      <c r="C373" s="41"/>
      <c r="D373" s="42"/>
      <c r="E373" s="43"/>
      <c r="F373" s="44"/>
      <c r="G373" s="1" t="str">
        <f>IFERROR(IF(ventas_b_mes684[[#This Row],[CUIT]]="","-",VLOOKUP(ventas_b_mes684[[#This Row],[CUIT]],Lista_CUIT[#All],2,0)),"CUIT NO CARGADO")</f>
        <v>-</v>
      </c>
      <c r="H373" s="64"/>
      <c r="I373" s="64">
        <f>ventas_b_mes684[[#This Row],[IMPORTE NETO]]*0.21</f>
        <v>0</v>
      </c>
      <c r="J373" s="64"/>
      <c r="K373" s="64"/>
      <c r="L373" s="64">
        <f>SUM(ventas_b_mes684[[#This Row],[IMPORTE NETO]:[EXENTO]])</f>
        <v>0</v>
      </c>
      <c r="M373" s="59"/>
    </row>
    <row r="374" spans="2:13" x14ac:dyDescent="0.25">
      <c r="B374" s="40"/>
      <c r="C374" s="41"/>
      <c r="D374" s="42"/>
      <c r="E374" s="43"/>
      <c r="F374" s="44"/>
      <c r="G374" s="1" t="str">
        <f>IFERROR(IF(ventas_b_mes684[[#This Row],[CUIT]]="","-",VLOOKUP(ventas_b_mes684[[#This Row],[CUIT]],Lista_CUIT[#All],2,0)),"CUIT NO CARGADO")</f>
        <v>-</v>
      </c>
      <c r="H374" s="64"/>
      <c r="I374" s="64">
        <f>ventas_b_mes684[[#This Row],[IMPORTE NETO]]*0.21</f>
        <v>0</v>
      </c>
      <c r="J374" s="64"/>
      <c r="K374" s="64"/>
      <c r="L374" s="64">
        <f>SUM(ventas_b_mes684[[#This Row],[IMPORTE NETO]:[EXENTO]])</f>
        <v>0</v>
      </c>
      <c r="M374" s="59"/>
    </row>
    <row r="375" spans="2:13" x14ac:dyDescent="0.25">
      <c r="B375" s="40"/>
      <c r="C375" s="41"/>
      <c r="D375" s="42"/>
      <c r="E375" s="43"/>
      <c r="F375" s="44"/>
      <c r="G375" s="1" t="str">
        <f>IFERROR(IF(ventas_b_mes684[[#This Row],[CUIT]]="","-",VLOOKUP(ventas_b_mes684[[#This Row],[CUIT]],Lista_CUIT[#All],2,0)),"CUIT NO CARGADO")</f>
        <v>-</v>
      </c>
      <c r="H375" s="64"/>
      <c r="I375" s="64">
        <f>ventas_b_mes684[[#This Row],[IMPORTE NETO]]*0.21</f>
        <v>0</v>
      </c>
      <c r="J375" s="64"/>
      <c r="K375" s="64"/>
      <c r="L375" s="64">
        <f>SUM(ventas_b_mes684[[#This Row],[IMPORTE NETO]:[EXENTO]])</f>
        <v>0</v>
      </c>
      <c r="M375" s="59"/>
    </row>
    <row r="376" spans="2:13" x14ac:dyDescent="0.25">
      <c r="B376" s="40"/>
      <c r="C376" s="41"/>
      <c r="D376" s="42"/>
      <c r="E376" s="43"/>
      <c r="F376" s="44"/>
      <c r="G376" s="1" t="str">
        <f>IFERROR(IF(ventas_b_mes684[[#This Row],[CUIT]]="","-",VLOOKUP(ventas_b_mes684[[#This Row],[CUIT]],Lista_CUIT[#All],2,0)),"CUIT NO CARGADO")</f>
        <v>-</v>
      </c>
      <c r="H376" s="64"/>
      <c r="I376" s="64">
        <f>ventas_b_mes684[[#This Row],[IMPORTE NETO]]*0.21</f>
        <v>0</v>
      </c>
      <c r="J376" s="64"/>
      <c r="K376" s="64"/>
      <c r="L376" s="64">
        <f>SUM(ventas_b_mes684[[#This Row],[IMPORTE NETO]:[EXENTO]])</f>
        <v>0</v>
      </c>
      <c r="M376" s="59"/>
    </row>
    <row r="377" spans="2:13" x14ac:dyDescent="0.25">
      <c r="B377" s="40"/>
      <c r="C377" s="41"/>
      <c r="D377" s="42"/>
      <c r="E377" s="43"/>
      <c r="F377" s="44"/>
      <c r="G377" s="1" t="str">
        <f>IFERROR(IF(ventas_b_mes684[[#This Row],[CUIT]]="","-",VLOOKUP(ventas_b_mes684[[#This Row],[CUIT]],Lista_CUIT[#All],2,0)),"CUIT NO CARGADO")</f>
        <v>-</v>
      </c>
      <c r="H377" s="64"/>
      <c r="I377" s="64">
        <f>ventas_b_mes684[[#This Row],[IMPORTE NETO]]*0.21</f>
        <v>0</v>
      </c>
      <c r="J377" s="64"/>
      <c r="K377" s="64"/>
      <c r="L377" s="64">
        <f>SUM(ventas_b_mes684[[#This Row],[IMPORTE NETO]:[EXENTO]])</f>
        <v>0</v>
      </c>
      <c r="M377" s="59"/>
    </row>
    <row r="378" spans="2:13" x14ac:dyDescent="0.25">
      <c r="B378" s="40"/>
      <c r="C378" s="41"/>
      <c r="D378" s="42"/>
      <c r="E378" s="43"/>
      <c r="F378" s="44"/>
      <c r="G378" s="1" t="str">
        <f>IFERROR(IF(ventas_b_mes684[[#This Row],[CUIT]]="","-",VLOOKUP(ventas_b_mes684[[#This Row],[CUIT]],Lista_CUIT[#All],2,0)),"CUIT NO CARGADO")</f>
        <v>-</v>
      </c>
      <c r="H378" s="64"/>
      <c r="I378" s="64">
        <f>ventas_b_mes684[[#This Row],[IMPORTE NETO]]*0.21</f>
        <v>0</v>
      </c>
      <c r="J378" s="64"/>
      <c r="K378" s="64"/>
      <c r="L378" s="64">
        <f>SUM(ventas_b_mes684[[#This Row],[IMPORTE NETO]:[EXENTO]])</f>
        <v>0</v>
      </c>
      <c r="M378" s="59"/>
    </row>
    <row r="379" spans="2:13" x14ac:dyDescent="0.25">
      <c r="B379" s="40"/>
      <c r="C379" s="41"/>
      <c r="D379" s="42"/>
      <c r="E379" s="43"/>
      <c r="F379" s="44"/>
      <c r="G379" s="1" t="str">
        <f>IFERROR(IF(ventas_b_mes684[[#This Row],[CUIT]]="","-",VLOOKUP(ventas_b_mes684[[#This Row],[CUIT]],Lista_CUIT[#All],2,0)),"CUIT NO CARGADO")</f>
        <v>-</v>
      </c>
      <c r="H379" s="64"/>
      <c r="I379" s="64">
        <f>ventas_b_mes684[[#This Row],[IMPORTE NETO]]*0.21</f>
        <v>0</v>
      </c>
      <c r="J379" s="64"/>
      <c r="K379" s="64"/>
      <c r="L379" s="64">
        <f>SUM(ventas_b_mes684[[#This Row],[IMPORTE NETO]:[EXENTO]])</f>
        <v>0</v>
      </c>
      <c r="M379" s="59"/>
    </row>
    <row r="380" spans="2:13" x14ac:dyDescent="0.25">
      <c r="B380" s="40"/>
      <c r="C380" s="41"/>
      <c r="D380" s="42"/>
      <c r="E380" s="43"/>
      <c r="F380" s="44"/>
      <c r="G380" s="1" t="str">
        <f>IFERROR(IF(ventas_b_mes684[[#This Row],[CUIT]]="","-",VLOOKUP(ventas_b_mes684[[#This Row],[CUIT]],Lista_CUIT[#All],2,0)),"CUIT NO CARGADO")</f>
        <v>-</v>
      </c>
      <c r="H380" s="64"/>
      <c r="I380" s="64">
        <f>ventas_b_mes684[[#This Row],[IMPORTE NETO]]*0.21</f>
        <v>0</v>
      </c>
      <c r="J380" s="64"/>
      <c r="K380" s="64"/>
      <c r="L380" s="64">
        <f>SUM(ventas_b_mes684[[#This Row],[IMPORTE NETO]:[EXENTO]])</f>
        <v>0</v>
      </c>
      <c r="M380" s="59"/>
    </row>
    <row r="381" spans="2:13" x14ac:dyDescent="0.25">
      <c r="B381" s="40"/>
      <c r="C381" s="41"/>
      <c r="D381" s="42"/>
      <c r="E381" s="43"/>
      <c r="F381" s="44"/>
      <c r="G381" s="1" t="str">
        <f>IFERROR(IF(ventas_b_mes684[[#This Row],[CUIT]]="","-",VLOOKUP(ventas_b_mes684[[#This Row],[CUIT]],Lista_CUIT[#All],2,0)),"CUIT NO CARGADO")</f>
        <v>-</v>
      </c>
      <c r="H381" s="64"/>
      <c r="I381" s="64">
        <f>ventas_b_mes684[[#This Row],[IMPORTE NETO]]*0.21</f>
        <v>0</v>
      </c>
      <c r="J381" s="64"/>
      <c r="K381" s="64"/>
      <c r="L381" s="64">
        <f>SUM(ventas_b_mes684[[#This Row],[IMPORTE NETO]:[EXENTO]])</f>
        <v>0</v>
      </c>
      <c r="M381" s="59"/>
    </row>
    <row r="382" spans="2:13" x14ac:dyDescent="0.25">
      <c r="B382" s="40"/>
      <c r="C382" s="41"/>
      <c r="D382" s="42"/>
      <c r="E382" s="43"/>
      <c r="F382" s="44"/>
      <c r="G382" s="1" t="str">
        <f>IFERROR(IF(ventas_b_mes684[[#This Row],[CUIT]]="","-",VLOOKUP(ventas_b_mes684[[#This Row],[CUIT]],Lista_CUIT[#All],2,0)),"CUIT NO CARGADO")</f>
        <v>-</v>
      </c>
      <c r="H382" s="64"/>
      <c r="I382" s="64">
        <f>ventas_b_mes684[[#This Row],[IMPORTE NETO]]*0.21</f>
        <v>0</v>
      </c>
      <c r="J382" s="64"/>
      <c r="K382" s="64"/>
      <c r="L382" s="64">
        <f>SUM(ventas_b_mes684[[#This Row],[IMPORTE NETO]:[EXENTO]])</f>
        <v>0</v>
      </c>
      <c r="M382" s="59"/>
    </row>
    <row r="383" spans="2:13" x14ac:dyDescent="0.25">
      <c r="B383" s="40"/>
      <c r="C383" s="41"/>
      <c r="D383" s="42"/>
      <c r="E383" s="43"/>
      <c r="F383" s="44"/>
      <c r="G383" s="1" t="str">
        <f>IFERROR(IF(ventas_b_mes684[[#This Row],[CUIT]]="","-",VLOOKUP(ventas_b_mes684[[#This Row],[CUIT]],Lista_CUIT[#All],2,0)),"CUIT NO CARGADO")</f>
        <v>-</v>
      </c>
      <c r="H383" s="64"/>
      <c r="I383" s="64">
        <f>ventas_b_mes684[[#This Row],[IMPORTE NETO]]*0.21</f>
        <v>0</v>
      </c>
      <c r="J383" s="64"/>
      <c r="K383" s="64"/>
      <c r="L383" s="64">
        <f>SUM(ventas_b_mes684[[#This Row],[IMPORTE NETO]:[EXENTO]])</f>
        <v>0</v>
      </c>
      <c r="M383" s="59"/>
    </row>
    <row r="384" spans="2:13" x14ac:dyDescent="0.25">
      <c r="B384" s="40"/>
      <c r="C384" s="41"/>
      <c r="D384" s="42"/>
      <c r="E384" s="43"/>
      <c r="F384" s="44"/>
      <c r="G384" s="1" t="str">
        <f>IFERROR(IF(ventas_b_mes684[[#This Row],[CUIT]]="","-",VLOOKUP(ventas_b_mes684[[#This Row],[CUIT]],Lista_CUIT[#All],2,0)),"CUIT NO CARGADO")</f>
        <v>-</v>
      </c>
      <c r="H384" s="64"/>
      <c r="I384" s="64">
        <f>ventas_b_mes684[[#This Row],[IMPORTE NETO]]*0.21</f>
        <v>0</v>
      </c>
      <c r="J384" s="64"/>
      <c r="K384" s="64"/>
      <c r="L384" s="64">
        <f>SUM(ventas_b_mes684[[#This Row],[IMPORTE NETO]:[EXENTO]])</f>
        <v>0</v>
      </c>
      <c r="M384" s="59"/>
    </row>
    <row r="385" spans="2:13" x14ac:dyDescent="0.25">
      <c r="B385" s="40"/>
      <c r="C385" s="41"/>
      <c r="D385" s="42"/>
      <c r="E385" s="43"/>
      <c r="F385" s="44"/>
      <c r="G385" s="1" t="str">
        <f>IFERROR(IF(ventas_b_mes684[[#This Row],[CUIT]]="","-",VLOOKUP(ventas_b_mes684[[#This Row],[CUIT]],Lista_CUIT[#All],2,0)),"CUIT NO CARGADO")</f>
        <v>-</v>
      </c>
      <c r="H385" s="64"/>
      <c r="I385" s="64">
        <f>ventas_b_mes684[[#This Row],[IMPORTE NETO]]*0.21</f>
        <v>0</v>
      </c>
      <c r="J385" s="64"/>
      <c r="K385" s="64"/>
      <c r="L385" s="64">
        <f>SUM(ventas_b_mes684[[#This Row],[IMPORTE NETO]:[EXENTO]])</f>
        <v>0</v>
      </c>
      <c r="M385" s="59"/>
    </row>
    <row r="386" spans="2:13" x14ac:dyDescent="0.25">
      <c r="B386" s="40"/>
      <c r="C386" s="41"/>
      <c r="D386" s="42"/>
      <c r="E386" s="43"/>
      <c r="F386" s="44"/>
      <c r="G386" s="1" t="str">
        <f>IFERROR(IF(ventas_b_mes684[[#This Row],[CUIT]]="","-",VLOOKUP(ventas_b_mes684[[#This Row],[CUIT]],Lista_CUIT[#All],2,0)),"CUIT NO CARGADO")</f>
        <v>-</v>
      </c>
      <c r="H386" s="64"/>
      <c r="I386" s="64">
        <f>ventas_b_mes684[[#This Row],[IMPORTE NETO]]*0.21</f>
        <v>0</v>
      </c>
      <c r="J386" s="64"/>
      <c r="K386" s="64"/>
      <c r="L386" s="64">
        <f>SUM(ventas_b_mes684[[#This Row],[IMPORTE NETO]:[EXENTO]])</f>
        <v>0</v>
      </c>
      <c r="M386" s="59"/>
    </row>
    <row r="387" spans="2:13" x14ac:dyDescent="0.25">
      <c r="B387" s="40"/>
      <c r="C387" s="41"/>
      <c r="D387" s="42"/>
      <c r="E387" s="43"/>
      <c r="F387" s="44"/>
      <c r="G387" s="1" t="str">
        <f>IFERROR(IF(ventas_b_mes684[[#This Row],[CUIT]]="","-",VLOOKUP(ventas_b_mes684[[#This Row],[CUIT]],Lista_CUIT[#All],2,0)),"CUIT NO CARGADO")</f>
        <v>-</v>
      </c>
      <c r="H387" s="64"/>
      <c r="I387" s="64">
        <f>ventas_b_mes684[[#This Row],[IMPORTE NETO]]*0.21</f>
        <v>0</v>
      </c>
      <c r="J387" s="64"/>
      <c r="K387" s="64"/>
      <c r="L387" s="64">
        <f>SUM(ventas_b_mes684[[#This Row],[IMPORTE NETO]:[EXENTO]])</f>
        <v>0</v>
      </c>
      <c r="M387" s="59"/>
    </row>
    <row r="388" spans="2:13" x14ac:dyDescent="0.25">
      <c r="B388" s="40"/>
      <c r="C388" s="41"/>
      <c r="D388" s="42"/>
      <c r="E388" s="43"/>
      <c r="F388" s="44"/>
      <c r="G388" s="1" t="str">
        <f>IFERROR(IF(ventas_b_mes684[[#This Row],[CUIT]]="","-",VLOOKUP(ventas_b_mes684[[#This Row],[CUIT]],Lista_CUIT[#All],2,0)),"CUIT NO CARGADO")</f>
        <v>-</v>
      </c>
      <c r="H388" s="64"/>
      <c r="I388" s="64">
        <f>ventas_b_mes684[[#This Row],[IMPORTE NETO]]*0.21</f>
        <v>0</v>
      </c>
      <c r="J388" s="64"/>
      <c r="K388" s="64"/>
      <c r="L388" s="64">
        <f>SUM(ventas_b_mes684[[#This Row],[IMPORTE NETO]:[EXENTO]])</f>
        <v>0</v>
      </c>
      <c r="M388" s="59"/>
    </row>
    <row r="389" spans="2:13" x14ac:dyDescent="0.25">
      <c r="B389" s="40"/>
      <c r="C389" s="41"/>
      <c r="D389" s="42"/>
      <c r="E389" s="43"/>
      <c r="F389" s="44"/>
      <c r="G389" s="1" t="str">
        <f>IFERROR(IF(ventas_b_mes684[[#This Row],[CUIT]]="","-",VLOOKUP(ventas_b_mes684[[#This Row],[CUIT]],Lista_CUIT[#All],2,0)),"CUIT NO CARGADO")</f>
        <v>-</v>
      </c>
      <c r="H389" s="64"/>
      <c r="I389" s="64">
        <f>ventas_b_mes684[[#This Row],[IMPORTE NETO]]*0.21</f>
        <v>0</v>
      </c>
      <c r="J389" s="64"/>
      <c r="K389" s="64"/>
      <c r="L389" s="64">
        <f>SUM(ventas_b_mes684[[#This Row],[IMPORTE NETO]:[EXENTO]])</f>
        <v>0</v>
      </c>
      <c r="M389" s="59"/>
    </row>
    <row r="390" spans="2:13" x14ac:dyDescent="0.25">
      <c r="B390" s="40"/>
      <c r="C390" s="41"/>
      <c r="D390" s="42"/>
      <c r="E390" s="43"/>
      <c r="F390" s="44"/>
      <c r="G390" s="1" t="str">
        <f>IFERROR(IF(ventas_b_mes684[[#This Row],[CUIT]]="","-",VLOOKUP(ventas_b_mes684[[#This Row],[CUIT]],Lista_CUIT[#All],2,0)),"CUIT NO CARGADO")</f>
        <v>-</v>
      </c>
      <c r="H390" s="64"/>
      <c r="I390" s="64">
        <f>ventas_b_mes684[[#This Row],[IMPORTE NETO]]*0.21</f>
        <v>0</v>
      </c>
      <c r="J390" s="64"/>
      <c r="K390" s="64"/>
      <c r="L390" s="64">
        <f>SUM(ventas_b_mes684[[#This Row],[IMPORTE NETO]:[EXENTO]])</f>
        <v>0</v>
      </c>
      <c r="M390" s="59"/>
    </row>
    <row r="391" spans="2:13" x14ac:dyDescent="0.25">
      <c r="B391" s="40"/>
      <c r="C391" s="41"/>
      <c r="D391" s="42"/>
      <c r="E391" s="43"/>
      <c r="F391" s="44"/>
      <c r="G391" s="1" t="str">
        <f>IFERROR(IF(ventas_b_mes684[[#This Row],[CUIT]]="","-",VLOOKUP(ventas_b_mes684[[#This Row],[CUIT]],Lista_CUIT[#All],2,0)),"CUIT NO CARGADO")</f>
        <v>-</v>
      </c>
      <c r="H391" s="64"/>
      <c r="I391" s="64">
        <f>ventas_b_mes684[[#This Row],[IMPORTE NETO]]*0.21</f>
        <v>0</v>
      </c>
      <c r="J391" s="64"/>
      <c r="K391" s="64"/>
      <c r="L391" s="64">
        <f>SUM(ventas_b_mes684[[#This Row],[IMPORTE NETO]:[EXENTO]])</f>
        <v>0</v>
      </c>
      <c r="M391" s="59"/>
    </row>
    <row r="392" spans="2:13" x14ac:dyDescent="0.25">
      <c r="B392" s="40"/>
      <c r="C392" s="41"/>
      <c r="D392" s="42"/>
      <c r="E392" s="43"/>
      <c r="F392" s="44"/>
      <c r="G392" s="1" t="str">
        <f>IFERROR(IF(ventas_b_mes684[[#This Row],[CUIT]]="","-",VLOOKUP(ventas_b_mes684[[#This Row],[CUIT]],Lista_CUIT[#All],2,0)),"CUIT NO CARGADO")</f>
        <v>-</v>
      </c>
      <c r="H392" s="64"/>
      <c r="I392" s="64">
        <f>ventas_b_mes684[[#This Row],[IMPORTE NETO]]*0.21</f>
        <v>0</v>
      </c>
      <c r="J392" s="64"/>
      <c r="K392" s="64"/>
      <c r="L392" s="64">
        <f>SUM(ventas_b_mes684[[#This Row],[IMPORTE NETO]:[EXENTO]])</f>
        <v>0</v>
      </c>
      <c r="M392" s="59"/>
    </row>
    <row r="393" spans="2:13" x14ac:dyDescent="0.25">
      <c r="B393" s="40"/>
      <c r="C393" s="41"/>
      <c r="D393" s="42"/>
      <c r="E393" s="43"/>
      <c r="F393" s="44"/>
      <c r="G393" s="1" t="str">
        <f>IFERROR(IF(ventas_b_mes684[[#This Row],[CUIT]]="","-",VLOOKUP(ventas_b_mes684[[#This Row],[CUIT]],Lista_CUIT[#All],2,0)),"CUIT NO CARGADO")</f>
        <v>-</v>
      </c>
      <c r="H393" s="64"/>
      <c r="I393" s="64">
        <f>ventas_b_mes684[[#This Row],[IMPORTE NETO]]*0.21</f>
        <v>0</v>
      </c>
      <c r="J393" s="64"/>
      <c r="K393" s="64"/>
      <c r="L393" s="64">
        <f>SUM(ventas_b_mes684[[#This Row],[IMPORTE NETO]:[EXENTO]])</f>
        <v>0</v>
      </c>
      <c r="M393" s="59"/>
    </row>
    <row r="394" spans="2:13" x14ac:dyDescent="0.25">
      <c r="B394" s="40"/>
      <c r="C394" s="41"/>
      <c r="D394" s="42"/>
      <c r="E394" s="43"/>
      <c r="F394" s="44"/>
      <c r="G394" s="1" t="str">
        <f>IFERROR(IF(ventas_b_mes684[[#This Row],[CUIT]]="","-",VLOOKUP(ventas_b_mes684[[#This Row],[CUIT]],Lista_CUIT[#All],2,0)),"CUIT NO CARGADO")</f>
        <v>-</v>
      </c>
      <c r="H394" s="64"/>
      <c r="I394" s="64">
        <f>ventas_b_mes684[[#This Row],[IMPORTE NETO]]*0.21</f>
        <v>0</v>
      </c>
      <c r="J394" s="64"/>
      <c r="K394" s="64"/>
      <c r="L394" s="64">
        <f>SUM(ventas_b_mes684[[#This Row],[IMPORTE NETO]:[EXENTO]])</f>
        <v>0</v>
      </c>
      <c r="M394" s="59"/>
    </row>
    <row r="395" spans="2:13" x14ac:dyDescent="0.25">
      <c r="B395" s="40"/>
      <c r="C395" s="41"/>
      <c r="D395" s="42"/>
      <c r="E395" s="43"/>
      <c r="F395" s="44"/>
      <c r="G395" s="1" t="str">
        <f>IFERROR(IF(ventas_b_mes684[[#This Row],[CUIT]]="","-",VLOOKUP(ventas_b_mes684[[#This Row],[CUIT]],Lista_CUIT[#All],2,0)),"CUIT NO CARGADO")</f>
        <v>-</v>
      </c>
      <c r="H395" s="64"/>
      <c r="I395" s="64">
        <f>ventas_b_mes684[[#This Row],[IMPORTE NETO]]*0.21</f>
        <v>0</v>
      </c>
      <c r="J395" s="64"/>
      <c r="K395" s="64"/>
      <c r="L395" s="64">
        <f>SUM(ventas_b_mes684[[#This Row],[IMPORTE NETO]:[EXENTO]])</f>
        <v>0</v>
      </c>
      <c r="M395" s="59"/>
    </row>
    <row r="396" spans="2:13" x14ac:dyDescent="0.25">
      <c r="B396" s="40"/>
      <c r="C396" s="41"/>
      <c r="D396" s="42"/>
      <c r="E396" s="43"/>
      <c r="F396" s="44"/>
      <c r="G396" s="1" t="str">
        <f>IFERROR(IF(ventas_b_mes684[[#This Row],[CUIT]]="","-",VLOOKUP(ventas_b_mes684[[#This Row],[CUIT]],Lista_CUIT[#All],2,0)),"CUIT NO CARGADO")</f>
        <v>-</v>
      </c>
      <c r="H396" s="64"/>
      <c r="I396" s="64">
        <f>ventas_b_mes684[[#This Row],[IMPORTE NETO]]*0.21</f>
        <v>0</v>
      </c>
      <c r="J396" s="64"/>
      <c r="K396" s="64"/>
      <c r="L396" s="64">
        <f>SUM(ventas_b_mes684[[#This Row],[IMPORTE NETO]:[EXENTO]])</f>
        <v>0</v>
      </c>
      <c r="M396" s="59"/>
    </row>
    <row r="397" spans="2:13" x14ac:dyDescent="0.25">
      <c r="B397" s="40"/>
      <c r="C397" s="41"/>
      <c r="D397" s="42"/>
      <c r="E397" s="43"/>
      <c r="F397" s="44"/>
      <c r="G397" s="1" t="str">
        <f>IFERROR(IF(ventas_b_mes684[[#This Row],[CUIT]]="","-",VLOOKUP(ventas_b_mes684[[#This Row],[CUIT]],Lista_CUIT[#All],2,0)),"CUIT NO CARGADO")</f>
        <v>-</v>
      </c>
      <c r="H397" s="64"/>
      <c r="I397" s="64">
        <f>ventas_b_mes684[[#This Row],[IMPORTE NETO]]*0.21</f>
        <v>0</v>
      </c>
      <c r="J397" s="64"/>
      <c r="K397" s="64"/>
      <c r="L397" s="64">
        <f>SUM(ventas_b_mes684[[#This Row],[IMPORTE NETO]:[EXENTO]])</f>
        <v>0</v>
      </c>
      <c r="M397" s="59"/>
    </row>
    <row r="398" spans="2:13" x14ac:dyDescent="0.25">
      <c r="B398" s="40"/>
      <c r="C398" s="41"/>
      <c r="D398" s="42"/>
      <c r="E398" s="43"/>
      <c r="F398" s="44"/>
      <c r="G398" s="1" t="str">
        <f>IFERROR(IF(ventas_b_mes684[[#This Row],[CUIT]]="","-",VLOOKUP(ventas_b_mes684[[#This Row],[CUIT]],Lista_CUIT[#All],2,0)),"CUIT NO CARGADO")</f>
        <v>-</v>
      </c>
      <c r="H398" s="64"/>
      <c r="I398" s="64">
        <f>ventas_b_mes684[[#This Row],[IMPORTE NETO]]*0.21</f>
        <v>0</v>
      </c>
      <c r="J398" s="64"/>
      <c r="K398" s="64"/>
      <c r="L398" s="64">
        <f>SUM(ventas_b_mes684[[#This Row],[IMPORTE NETO]:[EXENTO]])</f>
        <v>0</v>
      </c>
      <c r="M398" s="59"/>
    </row>
    <row r="399" spans="2:13" x14ac:dyDescent="0.25">
      <c r="B399" s="40"/>
      <c r="C399" s="41"/>
      <c r="D399" s="42"/>
      <c r="E399" s="43"/>
      <c r="F399" s="44"/>
      <c r="G399" s="1" t="str">
        <f>IFERROR(IF(ventas_b_mes684[[#This Row],[CUIT]]="","-",VLOOKUP(ventas_b_mes684[[#This Row],[CUIT]],Lista_CUIT[#All],2,0)),"CUIT NO CARGADO")</f>
        <v>-</v>
      </c>
      <c r="H399" s="64"/>
      <c r="I399" s="64">
        <f>ventas_b_mes684[[#This Row],[IMPORTE NETO]]*0.21</f>
        <v>0</v>
      </c>
      <c r="J399" s="64"/>
      <c r="K399" s="64"/>
      <c r="L399" s="64">
        <f>SUM(ventas_b_mes684[[#This Row],[IMPORTE NETO]:[EXENTO]])</f>
        <v>0</v>
      </c>
      <c r="M399" s="59"/>
    </row>
    <row r="400" spans="2:13" x14ac:dyDescent="0.25">
      <c r="B400" s="40"/>
      <c r="C400" s="41"/>
      <c r="D400" s="42"/>
      <c r="E400" s="43"/>
      <c r="F400" s="44"/>
      <c r="G400" s="1" t="str">
        <f>IFERROR(IF(ventas_b_mes684[[#This Row],[CUIT]]="","-",VLOOKUP(ventas_b_mes684[[#This Row],[CUIT]],Lista_CUIT[#All],2,0)),"CUIT NO CARGADO")</f>
        <v>-</v>
      </c>
      <c r="H400" s="64"/>
      <c r="I400" s="64">
        <f>ventas_b_mes684[[#This Row],[IMPORTE NETO]]*0.21</f>
        <v>0</v>
      </c>
      <c r="J400" s="64"/>
      <c r="K400" s="64"/>
      <c r="L400" s="64">
        <f>SUM(ventas_b_mes684[[#This Row],[IMPORTE NETO]:[EXENTO]])</f>
        <v>0</v>
      </c>
      <c r="M400" s="59"/>
    </row>
    <row r="401" spans="2:13" x14ac:dyDescent="0.25">
      <c r="B401" s="40"/>
      <c r="C401" s="41"/>
      <c r="D401" s="42"/>
      <c r="E401" s="43"/>
      <c r="F401" s="44"/>
      <c r="G401" s="1" t="str">
        <f>IFERROR(IF(ventas_b_mes684[[#This Row],[CUIT]]="","-",VLOOKUP(ventas_b_mes684[[#This Row],[CUIT]],Lista_CUIT[#All],2,0)),"CUIT NO CARGADO")</f>
        <v>-</v>
      </c>
      <c r="H401" s="64"/>
      <c r="I401" s="64">
        <f>ventas_b_mes684[[#This Row],[IMPORTE NETO]]*0.21</f>
        <v>0</v>
      </c>
      <c r="J401" s="64"/>
      <c r="K401" s="64"/>
      <c r="L401" s="64">
        <f>SUM(ventas_b_mes684[[#This Row],[IMPORTE NETO]:[EXENTO]])</f>
        <v>0</v>
      </c>
      <c r="M401" s="59"/>
    </row>
    <row r="402" spans="2:13" x14ac:dyDescent="0.25">
      <c r="B402" s="40"/>
      <c r="C402" s="41"/>
      <c r="D402" s="42"/>
      <c r="E402" s="43"/>
      <c r="F402" s="44"/>
      <c r="G402" s="1" t="str">
        <f>IFERROR(IF(ventas_b_mes684[[#This Row],[CUIT]]="","-",VLOOKUP(ventas_b_mes684[[#This Row],[CUIT]],Lista_CUIT[#All],2,0)),"CUIT NO CARGADO")</f>
        <v>-</v>
      </c>
      <c r="H402" s="64"/>
      <c r="I402" s="64">
        <f>ventas_b_mes684[[#This Row],[IMPORTE NETO]]*0.21</f>
        <v>0</v>
      </c>
      <c r="J402" s="64"/>
      <c r="K402" s="64"/>
      <c r="L402" s="64">
        <f>SUM(ventas_b_mes684[[#This Row],[IMPORTE NETO]:[EXENTO]])</f>
        <v>0</v>
      </c>
      <c r="M402" s="59"/>
    </row>
    <row r="403" spans="2:13" x14ac:dyDescent="0.25">
      <c r="B403" s="40"/>
      <c r="C403" s="41"/>
      <c r="D403" s="42"/>
      <c r="E403" s="43"/>
      <c r="F403" s="44"/>
      <c r="G403" s="1" t="str">
        <f>IFERROR(IF(ventas_b_mes684[[#This Row],[CUIT]]="","-",VLOOKUP(ventas_b_mes684[[#This Row],[CUIT]],Lista_CUIT[#All],2,0)),"CUIT NO CARGADO")</f>
        <v>-</v>
      </c>
      <c r="H403" s="64"/>
      <c r="I403" s="64">
        <f>ventas_b_mes684[[#This Row],[IMPORTE NETO]]*0.21</f>
        <v>0</v>
      </c>
      <c r="J403" s="64"/>
      <c r="K403" s="64"/>
      <c r="L403" s="64">
        <f>SUM(ventas_b_mes684[[#This Row],[IMPORTE NETO]:[EXENTO]])</f>
        <v>0</v>
      </c>
      <c r="M403" s="59"/>
    </row>
    <row r="404" spans="2:13" x14ac:dyDescent="0.25">
      <c r="B404" s="40"/>
      <c r="C404" s="41"/>
      <c r="D404" s="42"/>
      <c r="E404" s="43"/>
      <c r="F404" s="44"/>
      <c r="G404" s="1" t="str">
        <f>IFERROR(IF(ventas_b_mes684[[#This Row],[CUIT]]="","-",VLOOKUP(ventas_b_mes684[[#This Row],[CUIT]],Lista_CUIT[#All],2,0)),"CUIT NO CARGADO")</f>
        <v>-</v>
      </c>
      <c r="H404" s="64"/>
      <c r="I404" s="64">
        <f>ventas_b_mes684[[#This Row],[IMPORTE NETO]]*0.21</f>
        <v>0</v>
      </c>
      <c r="J404" s="64"/>
      <c r="K404" s="64"/>
      <c r="L404" s="64">
        <f>SUM(ventas_b_mes684[[#This Row],[IMPORTE NETO]:[EXENTO]])</f>
        <v>0</v>
      </c>
      <c r="M404" s="59"/>
    </row>
    <row r="405" spans="2:13" x14ac:dyDescent="0.25">
      <c r="B405" s="40"/>
      <c r="C405" s="41"/>
      <c r="D405" s="42"/>
      <c r="E405" s="43"/>
      <c r="F405" s="44"/>
      <c r="G405" s="1" t="str">
        <f>IFERROR(IF(ventas_b_mes684[[#This Row],[CUIT]]="","-",VLOOKUP(ventas_b_mes684[[#This Row],[CUIT]],Lista_CUIT[#All],2,0)),"CUIT NO CARGADO")</f>
        <v>-</v>
      </c>
      <c r="H405" s="64"/>
      <c r="I405" s="64">
        <f>ventas_b_mes684[[#This Row],[IMPORTE NETO]]*0.21</f>
        <v>0</v>
      </c>
      <c r="J405" s="64"/>
      <c r="K405" s="64"/>
      <c r="L405" s="64">
        <f>SUM(ventas_b_mes684[[#This Row],[IMPORTE NETO]:[EXENTO]])</f>
        <v>0</v>
      </c>
      <c r="M405" s="59"/>
    </row>
    <row r="406" spans="2:13" x14ac:dyDescent="0.25">
      <c r="B406" s="40"/>
      <c r="C406" s="41"/>
      <c r="D406" s="42"/>
      <c r="E406" s="43"/>
      <c r="F406" s="44"/>
      <c r="G406" s="1" t="str">
        <f>IFERROR(IF(ventas_b_mes684[[#This Row],[CUIT]]="","-",VLOOKUP(ventas_b_mes684[[#This Row],[CUIT]],Lista_CUIT[#All],2,0)),"CUIT NO CARGADO")</f>
        <v>-</v>
      </c>
      <c r="H406" s="64"/>
      <c r="I406" s="64">
        <f>ventas_b_mes684[[#This Row],[IMPORTE NETO]]*0.21</f>
        <v>0</v>
      </c>
      <c r="J406" s="64"/>
      <c r="K406" s="64"/>
      <c r="L406" s="64">
        <f>SUM(ventas_b_mes684[[#This Row],[IMPORTE NETO]:[EXENTO]])</f>
        <v>0</v>
      </c>
      <c r="M406" s="59"/>
    </row>
    <row r="407" spans="2:13" x14ac:dyDescent="0.25">
      <c r="B407" s="40"/>
      <c r="C407" s="41"/>
      <c r="D407" s="42"/>
      <c r="E407" s="43"/>
      <c r="F407" s="44"/>
      <c r="G407" s="1" t="str">
        <f>IFERROR(IF(ventas_b_mes684[[#This Row],[CUIT]]="","-",VLOOKUP(ventas_b_mes684[[#This Row],[CUIT]],Lista_CUIT[#All],2,0)),"CUIT NO CARGADO")</f>
        <v>-</v>
      </c>
      <c r="H407" s="64"/>
      <c r="I407" s="64">
        <f>ventas_b_mes684[[#This Row],[IMPORTE NETO]]*0.21</f>
        <v>0</v>
      </c>
      <c r="J407" s="64"/>
      <c r="K407" s="64"/>
      <c r="L407" s="64">
        <f>SUM(ventas_b_mes684[[#This Row],[IMPORTE NETO]:[EXENTO]])</f>
        <v>0</v>
      </c>
      <c r="M407" s="59"/>
    </row>
    <row r="408" spans="2:13" x14ac:dyDescent="0.25">
      <c r="B408" s="40"/>
      <c r="C408" s="41"/>
      <c r="D408" s="42"/>
      <c r="E408" s="43"/>
      <c r="F408" s="44"/>
      <c r="G408" s="1" t="str">
        <f>IFERROR(IF(ventas_b_mes684[[#This Row],[CUIT]]="","-",VLOOKUP(ventas_b_mes684[[#This Row],[CUIT]],Lista_CUIT[#All],2,0)),"CUIT NO CARGADO")</f>
        <v>-</v>
      </c>
      <c r="H408" s="64"/>
      <c r="I408" s="64">
        <f>ventas_b_mes684[[#This Row],[IMPORTE NETO]]*0.21</f>
        <v>0</v>
      </c>
      <c r="J408" s="64"/>
      <c r="K408" s="64"/>
      <c r="L408" s="64">
        <f>SUM(ventas_b_mes684[[#This Row],[IMPORTE NETO]:[EXENTO]])</f>
        <v>0</v>
      </c>
      <c r="M408" s="59"/>
    </row>
    <row r="409" spans="2:13" x14ac:dyDescent="0.25">
      <c r="B409" s="40"/>
      <c r="C409" s="41"/>
      <c r="D409" s="42"/>
      <c r="E409" s="43"/>
      <c r="F409" s="44"/>
      <c r="G409" s="1" t="str">
        <f>IFERROR(IF(ventas_b_mes684[[#This Row],[CUIT]]="","-",VLOOKUP(ventas_b_mes684[[#This Row],[CUIT]],Lista_CUIT[#All],2,0)),"CUIT NO CARGADO")</f>
        <v>-</v>
      </c>
      <c r="H409" s="64"/>
      <c r="I409" s="64">
        <f>ventas_b_mes684[[#This Row],[IMPORTE NETO]]*0.21</f>
        <v>0</v>
      </c>
      <c r="J409" s="64"/>
      <c r="K409" s="64"/>
      <c r="L409" s="64">
        <f>SUM(ventas_b_mes684[[#This Row],[IMPORTE NETO]:[EXENTO]])</f>
        <v>0</v>
      </c>
      <c r="M409" s="59"/>
    </row>
    <row r="410" spans="2:13" x14ac:dyDescent="0.25">
      <c r="B410" s="40"/>
      <c r="C410" s="41"/>
      <c r="D410" s="42"/>
      <c r="E410" s="43"/>
      <c r="F410" s="44"/>
      <c r="G410" s="1" t="str">
        <f>IFERROR(IF(ventas_b_mes684[[#This Row],[CUIT]]="","-",VLOOKUP(ventas_b_mes684[[#This Row],[CUIT]],Lista_CUIT[#All],2,0)),"CUIT NO CARGADO")</f>
        <v>-</v>
      </c>
      <c r="H410" s="64"/>
      <c r="I410" s="64">
        <f>ventas_b_mes684[[#This Row],[IMPORTE NETO]]*0.21</f>
        <v>0</v>
      </c>
      <c r="J410" s="64"/>
      <c r="K410" s="64"/>
      <c r="L410" s="64">
        <f>SUM(ventas_b_mes684[[#This Row],[IMPORTE NETO]:[EXENTO]])</f>
        <v>0</v>
      </c>
      <c r="M410" s="59"/>
    </row>
    <row r="411" spans="2:13" x14ac:dyDescent="0.25">
      <c r="B411" s="40"/>
      <c r="C411" s="41"/>
      <c r="D411" s="42"/>
      <c r="E411" s="43"/>
      <c r="F411" s="44"/>
      <c r="G411" s="1" t="str">
        <f>IFERROR(IF(ventas_b_mes684[[#This Row],[CUIT]]="","-",VLOOKUP(ventas_b_mes684[[#This Row],[CUIT]],Lista_CUIT[#All],2,0)),"CUIT NO CARGADO")</f>
        <v>-</v>
      </c>
      <c r="H411" s="64"/>
      <c r="I411" s="64">
        <f>ventas_b_mes684[[#This Row],[IMPORTE NETO]]*0.21</f>
        <v>0</v>
      </c>
      <c r="J411" s="64"/>
      <c r="K411" s="64"/>
      <c r="L411" s="64">
        <f>SUM(ventas_b_mes684[[#This Row],[IMPORTE NETO]:[EXENTO]])</f>
        <v>0</v>
      </c>
      <c r="M411" s="59"/>
    </row>
    <row r="412" spans="2:13" x14ac:dyDescent="0.25">
      <c r="B412" s="40"/>
      <c r="C412" s="41"/>
      <c r="D412" s="42"/>
      <c r="E412" s="43"/>
      <c r="F412" s="44"/>
      <c r="G412" s="1" t="str">
        <f>IFERROR(IF(ventas_b_mes684[[#This Row],[CUIT]]="","-",VLOOKUP(ventas_b_mes684[[#This Row],[CUIT]],Lista_CUIT[#All],2,0)),"CUIT NO CARGADO")</f>
        <v>-</v>
      </c>
      <c r="H412" s="64"/>
      <c r="I412" s="64">
        <f>ventas_b_mes684[[#This Row],[IMPORTE NETO]]*0.21</f>
        <v>0</v>
      </c>
      <c r="J412" s="64"/>
      <c r="K412" s="64"/>
      <c r="L412" s="64">
        <f>SUM(ventas_b_mes684[[#This Row],[IMPORTE NETO]:[EXENTO]])</f>
        <v>0</v>
      </c>
      <c r="M412" s="59"/>
    </row>
    <row r="413" spans="2:13" x14ac:dyDescent="0.25">
      <c r="B413" s="40"/>
      <c r="C413" s="41"/>
      <c r="D413" s="42"/>
      <c r="E413" s="43"/>
      <c r="F413" s="44"/>
      <c r="G413" s="1" t="str">
        <f>IFERROR(IF(ventas_b_mes684[[#This Row],[CUIT]]="","-",VLOOKUP(ventas_b_mes684[[#This Row],[CUIT]],Lista_CUIT[#All],2,0)),"CUIT NO CARGADO")</f>
        <v>-</v>
      </c>
      <c r="H413" s="64"/>
      <c r="I413" s="64">
        <f>ventas_b_mes684[[#This Row],[IMPORTE NETO]]*0.21</f>
        <v>0</v>
      </c>
      <c r="J413" s="64"/>
      <c r="K413" s="64"/>
      <c r="L413" s="64">
        <f>SUM(ventas_b_mes684[[#This Row],[IMPORTE NETO]:[EXENTO]])</f>
        <v>0</v>
      </c>
      <c r="M413" s="59"/>
    </row>
    <row r="414" spans="2:13" x14ac:dyDescent="0.25">
      <c r="B414" s="40"/>
      <c r="C414" s="41"/>
      <c r="D414" s="42"/>
      <c r="E414" s="43"/>
      <c r="F414" s="44"/>
      <c r="G414" s="1" t="str">
        <f>IFERROR(IF(ventas_b_mes684[[#This Row],[CUIT]]="","-",VLOOKUP(ventas_b_mes684[[#This Row],[CUIT]],Lista_CUIT[#All],2,0)),"CUIT NO CARGADO")</f>
        <v>-</v>
      </c>
      <c r="H414" s="64"/>
      <c r="I414" s="64">
        <f>ventas_b_mes684[[#This Row],[IMPORTE NETO]]*0.21</f>
        <v>0</v>
      </c>
      <c r="J414" s="64"/>
      <c r="K414" s="64"/>
      <c r="L414" s="64">
        <f>SUM(ventas_b_mes684[[#This Row],[IMPORTE NETO]:[EXENTO]])</f>
        <v>0</v>
      </c>
      <c r="M414" s="59"/>
    </row>
    <row r="415" spans="2:13" x14ac:dyDescent="0.25">
      <c r="B415" s="40"/>
      <c r="C415" s="41"/>
      <c r="D415" s="42"/>
      <c r="E415" s="43"/>
      <c r="F415" s="44"/>
      <c r="G415" s="1" t="str">
        <f>IFERROR(IF(ventas_b_mes684[[#This Row],[CUIT]]="","-",VLOOKUP(ventas_b_mes684[[#This Row],[CUIT]],Lista_CUIT[#All],2,0)),"CUIT NO CARGADO")</f>
        <v>-</v>
      </c>
      <c r="H415" s="64"/>
      <c r="I415" s="64">
        <f>ventas_b_mes684[[#This Row],[IMPORTE NETO]]*0.21</f>
        <v>0</v>
      </c>
      <c r="J415" s="64"/>
      <c r="K415" s="64"/>
      <c r="L415" s="64">
        <f>SUM(ventas_b_mes684[[#This Row],[IMPORTE NETO]:[EXENTO]])</f>
        <v>0</v>
      </c>
      <c r="M415" s="59"/>
    </row>
    <row r="416" spans="2:13" x14ac:dyDescent="0.25">
      <c r="B416" s="40"/>
      <c r="C416" s="41"/>
      <c r="D416" s="42"/>
      <c r="E416" s="43"/>
      <c r="F416" s="44"/>
      <c r="G416" s="1" t="str">
        <f>IFERROR(IF(ventas_b_mes684[[#This Row],[CUIT]]="","-",VLOOKUP(ventas_b_mes684[[#This Row],[CUIT]],Lista_CUIT[#All],2,0)),"CUIT NO CARGADO")</f>
        <v>-</v>
      </c>
      <c r="H416" s="64"/>
      <c r="I416" s="64">
        <f>ventas_b_mes684[[#This Row],[IMPORTE NETO]]*0.21</f>
        <v>0</v>
      </c>
      <c r="J416" s="64"/>
      <c r="K416" s="64"/>
      <c r="L416" s="64">
        <f>SUM(ventas_b_mes684[[#This Row],[IMPORTE NETO]:[EXENTO]])</f>
        <v>0</v>
      </c>
      <c r="M416" s="59"/>
    </row>
    <row r="417" spans="2:13" x14ac:dyDescent="0.25">
      <c r="B417" s="40"/>
      <c r="C417" s="41"/>
      <c r="D417" s="42"/>
      <c r="E417" s="43"/>
      <c r="F417" s="44"/>
      <c r="G417" s="1" t="str">
        <f>IFERROR(IF(ventas_b_mes684[[#This Row],[CUIT]]="","-",VLOOKUP(ventas_b_mes684[[#This Row],[CUIT]],Lista_CUIT[#All],2,0)),"CUIT NO CARGADO")</f>
        <v>-</v>
      </c>
      <c r="H417" s="64"/>
      <c r="I417" s="64">
        <f>ventas_b_mes684[[#This Row],[IMPORTE NETO]]*0.21</f>
        <v>0</v>
      </c>
      <c r="J417" s="64"/>
      <c r="K417" s="64"/>
      <c r="L417" s="64">
        <f>SUM(ventas_b_mes684[[#This Row],[IMPORTE NETO]:[EXENTO]])</f>
        <v>0</v>
      </c>
      <c r="M417" s="59"/>
    </row>
    <row r="418" spans="2:13" x14ac:dyDescent="0.25">
      <c r="B418" s="40"/>
      <c r="C418" s="41"/>
      <c r="D418" s="42"/>
      <c r="E418" s="43"/>
      <c r="F418" s="44"/>
      <c r="G418" s="1" t="str">
        <f>IFERROR(IF(ventas_b_mes684[[#This Row],[CUIT]]="","-",VLOOKUP(ventas_b_mes684[[#This Row],[CUIT]],Lista_CUIT[#All],2,0)),"CUIT NO CARGADO")</f>
        <v>-</v>
      </c>
      <c r="H418" s="64"/>
      <c r="I418" s="64">
        <f>ventas_b_mes684[[#This Row],[IMPORTE NETO]]*0.21</f>
        <v>0</v>
      </c>
      <c r="J418" s="64"/>
      <c r="K418" s="64"/>
      <c r="L418" s="64">
        <f>SUM(ventas_b_mes684[[#This Row],[IMPORTE NETO]:[EXENTO]])</f>
        <v>0</v>
      </c>
      <c r="M418" s="59"/>
    </row>
    <row r="419" spans="2:13" x14ac:dyDescent="0.25">
      <c r="B419" s="40"/>
      <c r="C419" s="41"/>
      <c r="D419" s="42"/>
      <c r="E419" s="43"/>
      <c r="F419" s="44"/>
      <c r="G419" s="1" t="str">
        <f>IFERROR(IF(ventas_b_mes684[[#This Row],[CUIT]]="","-",VLOOKUP(ventas_b_mes684[[#This Row],[CUIT]],Lista_CUIT[#All],2,0)),"CUIT NO CARGADO")</f>
        <v>-</v>
      </c>
      <c r="H419" s="64"/>
      <c r="I419" s="64">
        <f>ventas_b_mes684[[#This Row],[IMPORTE NETO]]*0.21</f>
        <v>0</v>
      </c>
      <c r="J419" s="64"/>
      <c r="K419" s="64"/>
      <c r="L419" s="64">
        <f>SUM(ventas_b_mes684[[#This Row],[IMPORTE NETO]:[EXENTO]])</f>
        <v>0</v>
      </c>
      <c r="M419" s="59"/>
    </row>
    <row r="420" spans="2:13" x14ac:dyDescent="0.25">
      <c r="B420" s="40"/>
      <c r="C420" s="41"/>
      <c r="D420" s="42"/>
      <c r="E420" s="43"/>
      <c r="F420" s="44"/>
      <c r="G420" s="1" t="str">
        <f>IFERROR(IF(ventas_b_mes684[[#This Row],[CUIT]]="","-",VLOOKUP(ventas_b_mes684[[#This Row],[CUIT]],Lista_CUIT[#All],2,0)),"CUIT NO CARGADO")</f>
        <v>-</v>
      </c>
      <c r="H420" s="64"/>
      <c r="I420" s="64">
        <f>ventas_b_mes684[[#This Row],[IMPORTE NETO]]*0.21</f>
        <v>0</v>
      </c>
      <c r="J420" s="64"/>
      <c r="K420" s="64"/>
      <c r="L420" s="64">
        <f>SUM(ventas_b_mes684[[#This Row],[IMPORTE NETO]:[EXENTO]])</f>
        <v>0</v>
      </c>
      <c r="M420" s="59"/>
    </row>
    <row r="421" spans="2:13" x14ac:dyDescent="0.25">
      <c r="B421" s="40"/>
      <c r="C421" s="41"/>
      <c r="D421" s="42"/>
      <c r="E421" s="43"/>
      <c r="F421" s="44"/>
      <c r="G421" s="1" t="str">
        <f>IFERROR(IF(ventas_b_mes684[[#This Row],[CUIT]]="","-",VLOOKUP(ventas_b_mes684[[#This Row],[CUIT]],Lista_CUIT[#All],2,0)),"CUIT NO CARGADO")</f>
        <v>-</v>
      </c>
      <c r="H421" s="64"/>
      <c r="I421" s="64">
        <f>ventas_b_mes684[[#This Row],[IMPORTE NETO]]*0.21</f>
        <v>0</v>
      </c>
      <c r="J421" s="64"/>
      <c r="K421" s="64"/>
      <c r="L421" s="64">
        <f>SUM(ventas_b_mes684[[#This Row],[IMPORTE NETO]:[EXENTO]])</f>
        <v>0</v>
      </c>
      <c r="M421" s="59"/>
    </row>
    <row r="422" spans="2:13" x14ac:dyDescent="0.25">
      <c r="B422" s="40"/>
      <c r="C422" s="41"/>
      <c r="D422" s="42"/>
      <c r="E422" s="43"/>
      <c r="F422" s="44"/>
      <c r="G422" s="1" t="str">
        <f>IFERROR(IF(ventas_b_mes684[[#This Row],[CUIT]]="","-",VLOOKUP(ventas_b_mes684[[#This Row],[CUIT]],Lista_CUIT[#All],2,0)),"CUIT NO CARGADO")</f>
        <v>-</v>
      </c>
      <c r="H422" s="64"/>
      <c r="I422" s="64">
        <f>ventas_b_mes684[[#This Row],[IMPORTE NETO]]*0.21</f>
        <v>0</v>
      </c>
      <c r="J422" s="64"/>
      <c r="K422" s="64"/>
      <c r="L422" s="64">
        <f>SUM(ventas_b_mes684[[#This Row],[IMPORTE NETO]:[EXENTO]])</f>
        <v>0</v>
      </c>
      <c r="M422" s="59"/>
    </row>
    <row r="423" spans="2:13" x14ac:dyDescent="0.25">
      <c r="B423" s="40"/>
      <c r="C423" s="41"/>
      <c r="D423" s="42"/>
      <c r="E423" s="43"/>
      <c r="F423" s="44"/>
      <c r="G423" s="1" t="str">
        <f>IFERROR(IF(ventas_b_mes684[[#This Row],[CUIT]]="","-",VLOOKUP(ventas_b_mes684[[#This Row],[CUIT]],Lista_CUIT[#All],2,0)),"CUIT NO CARGADO")</f>
        <v>-</v>
      </c>
      <c r="H423" s="64"/>
      <c r="I423" s="64">
        <f>ventas_b_mes684[[#This Row],[IMPORTE NETO]]*0.21</f>
        <v>0</v>
      </c>
      <c r="J423" s="64"/>
      <c r="K423" s="64"/>
      <c r="L423" s="64">
        <f>SUM(ventas_b_mes684[[#This Row],[IMPORTE NETO]:[EXENTO]])</f>
        <v>0</v>
      </c>
      <c r="M423" s="59"/>
    </row>
    <row r="424" spans="2:13" x14ac:dyDescent="0.25">
      <c r="B424" s="40"/>
      <c r="C424" s="41"/>
      <c r="D424" s="42"/>
      <c r="E424" s="43"/>
      <c r="F424" s="44"/>
      <c r="G424" s="1" t="str">
        <f>IFERROR(IF(ventas_b_mes684[[#This Row],[CUIT]]="","-",VLOOKUP(ventas_b_mes684[[#This Row],[CUIT]],Lista_CUIT[#All],2,0)),"CUIT NO CARGADO")</f>
        <v>-</v>
      </c>
      <c r="H424" s="64"/>
      <c r="I424" s="64">
        <f>ventas_b_mes684[[#This Row],[IMPORTE NETO]]*0.21</f>
        <v>0</v>
      </c>
      <c r="J424" s="64"/>
      <c r="K424" s="64"/>
      <c r="L424" s="64">
        <f>SUM(ventas_b_mes684[[#This Row],[IMPORTE NETO]:[EXENTO]])</f>
        <v>0</v>
      </c>
      <c r="M424" s="59"/>
    </row>
    <row r="425" spans="2:13" x14ac:dyDescent="0.25">
      <c r="B425" s="40"/>
      <c r="C425" s="41"/>
      <c r="D425" s="42"/>
      <c r="E425" s="43"/>
      <c r="F425" s="44"/>
      <c r="G425" s="1" t="str">
        <f>IFERROR(IF(ventas_b_mes684[[#This Row],[CUIT]]="","-",VLOOKUP(ventas_b_mes684[[#This Row],[CUIT]],Lista_CUIT[#All],2,0)),"CUIT NO CARGADO")</f>
        <v>-</v>
      </c>
      <c r="H425" s="64"/>
      <c r="I425" s="64">
        <f>ventas_b_mes684[[#This Row],[IMPORTE NETO]]*0.21</f>
        <v>0</v>
      </c>
      <c r="J425" s="64"/>
      <c r="K425" s="64"/>
      <c r="L425" s="64">
        <f>SUM(ventas_b_mes684[[#This Row],[IMPORTE NETO]:[EXENTO]])</f>
        <v>0</v>
      </c>
      <c r="M425" s="59"/>
    </row>
    <row r="426" spans="2:13" x14ac:dyDescent="0.25">
      <c r="B426" s="40"/>
      <c r="C426" s="41"/>
      <c r="D426" s="42"/>
      <c r="E426" s="43"/>
      <c r="F426" s="44"/>
      <c r="G426" s="1" t="str">
        <f>IFERROR(IF(ventas_b_mes684[[#This Row],[CUIT]]="","-",VLOOKUP(ventas_b_mes684[[#This Row],[CUIT]],Lista_CUIT[#All],2,0)),"CUIT NO CARGADO")</f>
        <v>-</v>
      </c>
      <c r="H426" s="64"/>
      <c r="I426" s="64">
        <f>ventas_b_mes684[[#This Row],[IMPORTE NETO]]*0.21</f>
        <v>0</v>
      </c>
      <c r="J426" s="64"/>
      <c r="K426" s="64"/>
      <c r="L426" s="64">
        <f>SUM(ventas_b_mes684[[#This Row],[IMPORTE NETO]:[EXENTO]])</f>
        <v>0</v>
      </c>
      <c r="M426" s="59"/>
    </row>
    <row r="427" spans="2:13" x14ac:dyDescent="0.25">
      <c r="B427" s="40"/>
      <c r="C427" s="41"/>
      <c r="D427" s="42"/>
      <c r="E427" s="43"/>
      <c r="F427" s="44"/>
      <c r="G427" s="1" t="str">
        <f>IFERROR(IF(ventas_b_mes684[[#This Row],[CUIT]]="","-",VLOOKUP(ventas_b_mes684[[#This Row],[CUIT]],Lista_CUIT[#All],2,0)),"CUIT NO CARGADO")</f>
        <v>-</v>
      </c>
      <c r="H427" s="64"/>
      <c r="I427" s="64">
        <f>ventas_b_mes684[[#This Row],[IMPORTE NETO]]*0.21</f>
        <v>0</v>
      </c>
      <c r="J427" s="64"/>
      <c r="K427" s="64"/>
      <c r="L427" s="64">
        <f>SUM(ventas_b_mes684[[#This Row],[IMPORTE NETO]:[EXENTO]])</f>
        <v>0</v>
      </c>
      <c r="M427" s="59"/>
    </row>
    <row r="428" spans="2:13" x14ac:dyDescent="0.25">
      <c r="B428" s="40"/>
      <c r="C428" s="41"/>
      <c r="D428" s="42"/>
      <c r="E428" s="43"/>
      <c r="F428" s="44"/>
      <c r="G428" s="1" t="str">
        <f>IFERROR(IF(ventas_b_mes684[[#This Row],[CUIT]]="","-",VLOOKUP(ventas_b_mes684[[#This Row],[CUIT]],Lista_CUIT[#All],2,0)),"CUIT NO CARGADO")</f>
        <v>-</v>
      </c>
      <c r="H428" s="64"/>
      <c r="I428" s="64">
        <f>ventas_b_mes684[[#This Row],[IMPORTE NETO]]*0.21</f>
        <v>0</v>
      </c>
      <c r="J428" s="64"/>
      <c r="K428" s="64"/>
      <c r="L428" s="64">
        <f>SUM(ventas_b_mes684[[#This Row],[IMPORTE NETO]:[EXENTO]])</f>
        <v>0</v>
      </c>
      <c r="M428" s="59"/>
    </row>
    <row r="429" spans="2:13" x14ac:dyDescent="0.25">
      <c r="B429" s="40"/>
      <c r="C429" s="41"/>
      <c r="D429" s="42"/>
      <c r="E429" s="43"/>
      <c r="F429" s="44"/>
      <c r="G429" s="1" t="str">
        <f>IFERROR(IF(ventas_b_mes684[[#This Row],[CUIT]]="","-",VLOOKUP(ventas_b_mes684[[#This Row],[CUIT]],Lista_CUIT[#All],2,0)),"CUIT NO CARGADO")</f>
        <v>-</v>
      </c>
      <c r="H429" s="64"/>
      <c r="I429" s="64">
        <f>ventas_b_mes684[[#This Row],[IMPORTE NETO]]*0.21</f>
        <v>0</v>
      </c>
      <c r="J429" s="64"/>
      <c r="K429" s="64"/>
      <c r="L429" s="64">
        <f>SUM(ventas_b_mes684[[#This Row],[IMPORTE NETO]:[EXENTO]])</f>
        <v>0</v>
      </c>
      <c r="M429" s="59"/>
    </row>
    <row r="430" spans="2:13" x14ac:dyDescent="0.25">
      <c r="B430" s="40"/>
      <c r="C430" s="41"/>
      <c r="D430" s="42"/>
      <c r="E430" s="43"/>
      <c r="F430" s="44"/>
      <c r="G430" s="1" t="str">
        <f>IFERROR(IF(ventas_b_mes684[[#This Row],[CUIT]]="","-",VLOOKUP(ventas_b_mes684[[#This Row],[CUIT]],Lista_CUIT[#All],2,0)),"CUIT NO CARGADO")</f>
        <v>-</v>
      </c>
      <c r="H430" s="64"/>
      <c r="I430" s="64">
        <f>ventas_b_mes684[[#This Row],[IMPORTE NETO]]*0.21</f>
        <v>0</v>
      </c>
      <c r="J430" s="64"/>
      <c r="K430" s="64"/>
      <c r="L430" s="64">
        <f>SUM(ventas_b_mes684[[#This Row],[IMPORTE NETO]:[EXENTO]])</f>
        <v>0</v>
      </c>
      <c r="M430" s="59"/>
    </row>
    <row r="431" spans="2:13" x14ac:dyDescent="0.25">
      <c r="B431" s="40"/>
      <c r="C431" s="41"/>
      <c r="D431" s="42"/>
      <c r="E431" s="43"/>
      <c r="F431" s="44"/>
      <c r="G431" s="1" t="str">
        <f>IFERROR(IF(ventas_b_mes684[[#This Row],[CUIT]]="","-",VLOOKUP(ventas_b_mes684[[#This Row],[CUIT]],Lista_CUIT[#All],2,0)),"CUIT NO CARGADO")</f>
        <v>-</v>
      </c>
      <c r="H431" s="64"/>
      <c r="I431" s="64">
        <f>ventas_b_mes684[[#This Row],[IMPORTE NETO]]*0.21</f>
        <v>0</v>
      </c>
      <c r="J431" s="64"/>
      <c r="K431" s="64"/>
      <c r="L431" s="64">
        <f>SUM(ventas_b_mes684[[#This Row],[IMPORTE NETO]:[EXENTO]])</f>
        <v>0</v>
      </c>
      <c r="M431" s="59"/>
    </row>
    <row r="432" spans="2:13" x14ac:dyDescent="0.25">
      <c r="B432" s="40"/>
      <c r="C432" s="41"/>
      <c r="D432" s="42"/>
      <c r="E432" s="43"/>
      <c r="F432" s="44"/>
      <c r="G432" s="1" t="str">
        <f>IFERROR(IF(ventas_b_mes684[[#This Row],[CUIT]]="","-",VLOOKUP(ventas_b_mes684[[#This Row],[CUIT]],Lista_CUIT[#All],2,0)),"CUIT NO CARGADO")</f>
        <v>-</v>
      </c>
      <c r="H432" s="64"/>
      <c r="I432" s="64">
        <f>ventas_b_mes684[[#This Row],[IMPORTE NETO]]*0.21</f>
        <v>0</v>
      </c>
      <c r="J432" s="64"/>
      <c r="K432" s="64"/>
      <c r="L432" s="64">
        <f>SUM(ventas_b_mes684[[#This Row],[IMPORTE NETO]:[EXENTO]])</f>
        <v>0</v>
      </c>
      <c r="M432" s="59"/>
    </row>
    <row r="433" spans="2:13" x14ac:dyDescent="0.25">
      <c r="B433" s="40"/>
      <c r="C433" s="41"/>
      <c r="D433" s="42"/>
      <c r="E433" s="43"/>
      <c r="F433" s="44"/>
      <c r="G433" s="1" t="str">
        <f>IFERROR(IF(ventas_b_mes684[[#This Row],[CUIT]]="","-",VLOOKUP(ventas_b_mes684[[#This Row],[CUIT]],Lista_CUIT[#All],2,0)),"CUIT NO CARGADO")</f>
        <v>-</v>
      </c>
      <c r="H433" s="64"/>
      <c r="I433" s="64">
        <f>ventas_b_mes684[[#This Row],[IMPORTE NETO]]*0.21</f>
        <v>0</v>
      </c>
      <c r="J433" s="64"/>
      <c r="K433" s="64"/>
      <c r="L433" s="64">
        <f>SUM(ventas_b_mes684[[#This Row],[IMPORTE NETO]:[EXENTO]])</f>
        <v>0</v>
      </c>
      <c r="M433" s="59"/>
    </row>
    <row r="434" spans="2:13" x14ac:dyDescent="0.25">
      <c r="B434" s="40"/>
      <c r="C434" s="41"/>
      <c r="D434" s="42"/>
      <c r="E434" s="43"/>
      <c r="F434" s="44"/>
      <c r="G434" s="1" t="str">
        <f>IFERROR(IF(ventas_b_mes684[[#This Row],[CUIT]]="","-",VLOOKUP(ventas_b_mes684[[#This Row],[CUIT]],Lista_CUIT[#All],2,0)),"CUIT NO CARGADO")</f>
        <v>-</v>
      </c>
      <c r="H434" s="64"/>
      <c r="I434" s="64">
        <f>ventas_b_mes684[[#This Row],[IMPORTE NETO]]*0.21</f>
        <v>0</v>
      </c>
      <c r="J434" s="64"/>
      <c r="K434" s="64"/>
      <c r="L434" s="64">
        <f>SUM(ventas_b_mes684[[#This Row],[IMPORTE NETO]:[EXENTO]])</f>
        <v>0</v>
      </c>
      <c r="M434" s="59"/>
    </row>
    <row r="435" spans="2:13" x14ac:dyDescent="0.25">
      <c r="B435" s="40"/>
      <c r="C435" s="41"/>
      <c r="D435" s="42"/>
      <c r="E435" s="43"/>
      <c r="F435" s="44"/>
      <c r="G435" s="1" t="str">
        <f>IFERROR(IF(ventas_b_mes684[[#This Row],[CUIT]]="","-",VLOOKUP(ventas_b_mes684[[#This Row],[CUIT]],Lista_CUIT[#All],2,0)),"CUIT NO CARGADO")</f>
        <v>-</v>
      </c>
      <c r="H435" s="64"/>
      <c r="I435" s="64">
        <f>ventas_b_mes684[[#This Row],[IMPORTE NETO]]*0.21</f>
        <v>0</v>
      </c>
      <c r="J435" s="64"/>
      <c r="K435" s="64"/>
      <c r="L435" s="64">
        <f>SUM(ventas_b_mes684[[#This Row],[IMPORTE NETO]:[EXENTO]])</f>
        <v>0</v>
      </c>
      <c r="M435" s="59"/>
    </row>
    <row r="436" spans="2:13" x14ac:dyDescent="0.25">
      <c r="B436" s="40"/>
      <c r="C436" s="41"/>
      <c r="D436" s="42"/>
      <c r="E436" s="43"/>
      <c r="F436" s="44"/>
      <c r="G436" s="1" t="str">
        <f>IFERROR(IF(ventas_b_mes684[[#This Row],[CUIT]]="","-",VLOOKUP(ventas_b_mes684[[#This Row],[CUIT]],Lista_CUIT[#All],2,0)),"CUIT NO CARGADO")</f>
        <v>-</v>
      </c>
      <c r="H436" s="64"/>
      <c r="I436" s="64">
        <f>ventas_b_mes684[[#This Row],[IMPORTE NETO]]*0.21</f>
        <v>0</v>
      </c>
      <c r="J436" s="64"/>
      <c r="K436" s="64"/>
      <c r="L436" s="64">
        <f>SUM(ventas_b_mes684[[#This Row],[IMPORTE NETO]:[EXENTO]])</f>
        <v>0</v>
      </c>
      <c r="M436" s="59"/>
    </row>
    <row r="437" spans="2:13" x14ac:dyDescent="0.25">
      <c r="B437" s="40"/>
      <c r="C437" s="41"/>
      <c r="D437" s="42"/>
      <c r="E437" s="43"/>
      <c r="F437" s="44"/>
      <c r="G437" s="1" t="str">
        <f>IFERROR(IF(ventas_b_mes684[[#This Row],[CUIT]]="","-",VLOOKUP(ventas_b_mes684[[#This Row],[CUIT]],Lista_CUIT[#All],2,0)),"CUIT NO CARGADO")</f>
        <v>-</v>
      </c>
      <c r="H437" s="64"/>
      <c r="I437" s="64">
        <f>ventas_b_mes684[[#This Row],[IMPORTE NETO]]*0.21</f>
        <v>0</v>
      </c>
      <c r="J437" s="64"/>
      <c r="K437" s="64"/>
      <c r="L437" s="64">
        <f>SUM(ventas_b_mes684[[#This Row],[IMPORTE NETO]:[EXENTO]])</f>
        <v>0</v>
      </c>
      <c r="M437" s="59"/>
    </row>
    <row r="438" spans="2:13" x14ac:dyDescent="0.25">
      <c r="B438" s="40"/>
      <c r="C438" s="41"/>
      <c r="D438" s="42"/>
      <c r="E438" s="43"/>
      <c r="F438" s="44"/>
      <c r="G438" s="1" t="str">
        <f>IFERROR(IF(ventas_b_mes684[[#This Row],[CUIT]]="","-",VLOOKUP(ventas_b_mes684[[#This Row],[CUIT]],Lista_CUIT[#All],2,0)),"CUIT NO CARGADO")</f>
        <v>-</v>
      </c>
      <c r="H438" s="64"/>
      <c r="I438" s="64">
        <f>ventas_b_mes684[[#This Row],[IMPORTE NETO]]*0.21</f>
        <v>0</v>
      </c>
      <c r="J438" s="64"/>
      <c r="K438" s="64"/>
      <c r="L438" s="64">
        <f>SUM(ventas_b_mes684[[#This Row],[IMPORTE NETO]:[EXENTO]])</f>
        <v>0</v>
      </c>
      <c r="M438" s="59"/>
    </row>
    <row r="439" spans="2:13" x14ac:dyDescent="0.25">
      <c r="B439" s="40"/>
      <c r="C439" s="41"/>
      <c r="D439" s="42"/>
      <c r="E439" s="43"/>
      <c r="F439" s="44"/>
      <c r="G439" s="1" t="str">
        <f>IFERROR(IF(ventas_b_mes684[[#This Row],[CUIT]]="","-",VLOOKUP(ventas_b_mes684[[#This Row],[CUIT]],Lista_CUIT[#All],2,0)),"CUIT NO CARGADO")</f>
        <v>-</v>
      </c>
      <c r="H439" s="64"/>
      <c r="I439" s="64">
        <f>ventas_b_mes684[[#This Row],[IMPORTE NETO]]*0.21</f>
        <v>0</v>
      </c>
      <c r="J439" s="64"/>
      <c r="K439" s="64"/>
      <c r="L439" s="64">
        <f>SUM(ventas_b_mes684[[#This Row],[IMPORTE NETO]:[EXENTO]])</f>
        <v>0</v>
      </c>
      <c r="M439" s="59"/>
    </row>
    <row r="440" spans="2:13" x14ac:dyDescent="0.25">
      <c r="B440" s="40"/>
      <c r="C440" s="41"/>
      <c r="D440" s="42"/>
      <c r="E440" s="43"/>
      <c r="F440" s="44"/>
      <c r="G440" s="1" t="str">
        <f>IFERROR(IF(ventas_b_mes684[[#This Row],[CUIT]]="","-",VLOOKUP(ventas_b_mes684[[#This Row],[CUIT]],Lista_CUIT[#All],2,0)),"CUIT NO CARGADO")</f>
        <v>-</v>
      </c>
      <c r="H440" s="64"/>
      <c r="I440" s="64">
        <f>ventas_b_mes684[[#This Row],[IMPORTE NETO]]*0.21</f>
        <v>0</v>
      </c>
      <c r="J440" s="64"/>
      <c r="K440" s="64"/>
      <c r="L440" s="64">
        <f>SUM(ventas_b_mes684[[#This Row],[IMPORTE NETO]:[EXENTO]])</f>
        <v>0</v>
      </c>
      <c r="M440" s="59"/>
    </row>
    <row r="441" spans="2:13" x14ac:dyDescent="0.25">
      <c r="B441" s="40"/>
      <c r="C441" s="41"/>
      <c r="D441" s="42"/>
      <c r="E441" s="43"/>
      <c r="F441" s="44"/>
      <c r="G441" s="1" t="str">
        <f>IFERROR(IF(ventas_b_mes684[[#This Row],[CUIT]]="","-",VLOOKUP(ventas_b_mes684[[#This Row],[CUIT]],Lista_CUIT[#All],2,0)),"CUIT NO CARGADO")</f>
        <v>-</v>
      </c>
      <c r="H441" s="64"/>
      <c r="I441" s="64">
        <f>ventas_b_mes684[[#This Row],[IMPORTE NETO]]*0.21</f>
        <v>0</v>
      </c>
      <c r="J441" s="64"/>
      <c r="K441" s="64"/>
      <c r="L441" s="64">
        <f>SUM(ventas_b_mes684[[#This Row],[IMPORTE NETO]:[EXENTO]])</f>
        <v>0</v>
      </c>
      <c r="M441" s="59"/>
    </row>
    <row r="442" spans="2:13" x14ac:dyDescent="0.25">
      <c r="B442" s="40"/>
      <c r="C442" s="41"/>
      <c r="D442" s="42"/>
      <c r="E442" s="43"/>
      <c r="F442" s="44"/>
      <c r="G442" s="1" t="str">
        <f>IFERROR(IF(ventas_b_mes684[[#This Row],[CUIT]]="","-",VLOOKUP(ventas_b_mes684[[#This Row],[CUIT]],Lista_CUIT[#All],2,0)),"CUIT NO CARGADO")</f>
        <v>-</v>
      </c>
      <c r="H442" s="64"/>
      <c r="I442" s="64">
        <f>ventas_b_mes684[[#This Row],[IMPORTE NETO]]*0.21</f>
        <v>0</v>
      </c>
      <c r="J442" s="64"/>
      <c r="K442" s="64"/>
      <c r="L442" s="64">
        <f>SUM(ventas_b_mes684[[#This Row],[IMPORTE NETO]:[EXENTO]])</f>
        <v>0</v>
      </c>
      <c r="M442" s="59"/>
    </row>
    <row r="443" spans="2:13" x14ac:dyDescent="0.25">
      <c r="B443" s="40"/>
      <c r="C443" s="41"/>
      <c r="D443" s="42"/>
      <c r="E443" s="43"/>
      <c r="F443" s="44"/>
      <c r="G443" s="1" t="str">
        <f>IFERROR(IF(ventas_b_mes684[[#This Row],[CUIT]]="","-",VLOOKUP(ventas_b_mes684[[#This Row],[CUIT]],Lista_CUIT[#All],2,0)),"CUIT NO CARGADO")</f>
        <v>-</v>
      </c>
      <c r="H443" s="64"/>
      <c r="I443" s="64">
        <f>ventas_b_mes684[[#This Row],[IMPORTE NETO]]*0.21</f>
        <v>0</v>
      </c>
      <c r="J443" s="64"/>
      <c r="K443" s="64"/>
      <c r="L443" s="64">
        <f>SUM(ventas_b_mes684[[#This Row],[IMPORTE NETO]:[EXENTO]])</f>
        <v>0</v>
      </c>
      <c r="M443" s="59"/>
    </row>
    <row r="444" spans="2:13" x14ac:dyDescent="0.25">
      <c r="B444" s="40"/>
      <c r="C444" s="41"/>
      <c r="D444" s="42"/>
      <c r="E444" s="43"/>
      <c r="F444" s="44"/>
      <c r="G444" s="1" t="str">
        <f>IFERROR(IF(ventas_b_mes684[[#This Row],[CUIT]]="","-",VLOOKUP(ventas_b_mes684[[#This Row],[CUIT]],Lista_CUIT[#All],2,0)),"CUIT NO CARGADO")</f>
        <v>-</v>
      </c>
      <c r="H444" s="64"/>
      <c r="I444" s="64">
        <f>ventas_b_mes684[[#This Row],[IMPORTE NETO]]*0.21</f>
        <v>0</v>
      </c>
      <c r="J444" s="64"/>
      <c r="K444" s="64"/>
      <c r="L444" s="64">
        <f>SUM(ventas_b_mes684[[#This Row],[IMPORTE NETO]:[EXENTO]])</f>
        <v>0</v>
      </c>
      <c r="M444" s="59"/>
    </row>
    <row r="445" spans="2:13" x14ac:dyDescent="0.25">
      <c r="B445" s="40"/>
      <c r="C445" s="41"/>
      <c r="D445" s="42"/>
      <c r="E445" s="43"/>
      <c r="F445" s="44"/>
      <c r="G445" s="1" t="str">
        <f>IFERROR(IF(ventas_b_mes684[[#This Row],[CUIT]]="","-",VLOOKUP(ventas_b_mes684[[#This Row],[CUIT]],Lista_CUIT[#All],2,0)),"CUIT NO CARGADO")</f>
        <v>-</v>
      </c>
      <c r="H445" s="64"/>
      <c r="I445" s="64">
        <f>ventas_b_mes684[[#This Row],[IMPORTE NETO]]*0.21</f>
        <v>0</v>
      </c>
      <c r="J445" s="64"/>
      <c r="K445" s="64"/>
      <c r="L445" s="64">
        <f>SUM(ventas_b_mes684[[#This Row],[IMPORTE NETO]:[EXENTO]])</f>
        <v>0</v>
      </c>
      <c r="M445" s="59"/>
    </row>
    <row r="446" spans="2:13" x14ac:dyDescent="0.25">
      <c r="B446" s="40"/>
      <c r="C446" s="41"/>
      <c r="D446" s="42"/>
      <c r="E446" s="43"/>
      <c r="F446" s="44"/>
      <c r="G446" s="1" t="str">
        <f>IFERROR(IF(ventas_b_mes684[[#This Row],[CUIT]]="","-",VLOOKUP(ventas_b_mes684[[#This Row],[CUIT]],Lista_CUIT[#All],2,0)),"CUIT NO CARGADO")</f>
        <v>-</v>
      </c>
      <c r="H446" s="64"/>
      <c r="I446" s="64">
        <f>ventas_b_mes684[[#This Row],[IMPORTE NETO]]*0.21</f>
        <v>0</v>
      </c>
      <c r="J446" s="64"/>
      <c r="K446" s="64"/>
      <c r="L446" s="64">
        <f>SUM(ventas_b_mes684[[#This Row],[IMPORTE NETO]:[EXENTO]])</f>
        <v>0</v>
      </c>
      <c r="M446" s="59"/>
    </row>
    <row r="447" spans="2:13" x14ac:dyDescent="0.25">
      <c r="B447" s="40"/>
      <c r="C447" s="41"/>
      <c r="D447" s="42"/>
      <c r="E447" s="43"/>
      <c r="F447" s="44"/>
      <c r="G447" s="1" t="str">
        <f>IFERROR(IF(ventas_b_mes684[[#This Row],[CUIT]]="","-",VLOOKUP(ventas_b_mes684[[#This Row],[CUIT]],Lista_CUIT[#All],2,0)),"CUIT NO CARGADO")</f>
        <v>-</v>
      </c>
      <c r="H447" s="64"/>
      <c r="I447" s="64">
        <f>ventas_b_mes684[[#This Row],[IMPORTE NETO]]*0.21</f>
        <v>0</v>
      </c>
      <c r="J447" s="64"/>
      <c r="K447" s="64"/>
      <c r="L447" s="64">
        <f>SUM(ventas_b_mes684[[#This Row],[IMPORTE NETO]:[EXENTO]])</f>
        <v>0</v>
      </c>
      <c r="M447" s="59"/>
    </row>
    <row r="448" spans="2:13" x14ac:dyDescent="0.25">
      <c r="B448" s="40"/>
      <c r="C448" s="41"/>
      <c r="D448" s="42"/>
      <c r="E448" s="43"/>
      <c r="F448" s="44"/>
      <c r="G448" s="1" t="str">
        <f>IFERROR(IF(ventas_b_mes684[[#This Row],[CUIT]]="","-",VLOOKUP(ventas_b_mes684[[#This Row],[CUIT]],Lista_CUIT[#All],2,0)),"CUIT NO CARGADO")</f>
        <v>-</v>
      </c>
      <c r="H448" s="64"/>
      <c r="I448" s="64">
        <f>ventas_b_mes684[[#This Row],[IMPORTE NETO]]*0.21</f>
        <v>0</v>
      </c>
      <c r="J448" s="64"/>
      <c r="K448" s="64"/>
      <c r="L448" s="64">
        <f>SUM(ventas_b_mes684[[#This Row],[IMPORTE NETO]:[EXENTO]])</f>
        <v>0</v>
      </c>
      <c r="M448" s="59"/>
    </row>
    <row r="449" spans="2:13" x14ac:dyDescent="0.25">
      <c r="B449" s="40"/>
      <c r="C449" s="41"/>
      <c r="D449" s="42"/>
      <c r="E449" s="43"/>
      <c r="F449" s="44"/>
      <c r="G449" s="1" t="str">
        <f>IFERROR(IF(ventas_b_mes684[[#This Row],[CUIT]]="","-",VLOOKUP(ventas_b_mes684[[#This Row],[CUIT]],Lista_CUIT[#All],2,0)),"CUIT NO CARGADO")</f>
        <v>-</v>
      </c>
      <c r="H449" s="64"/>
      <c r="I449" s="64">
        <f>ventas_b_mes684[[#This Row],[IMPORTE NETO]]*0.21</f>
        <v>0</v>
      </c>
      <c r="J449" s="64"/>
      <c r="K449" s="64"/>
      <c r="L449" s="64">
        <f>SUM(ventas_b_mes684[[#This Row],[IMPORTE NETO]:[EXENTO]])</f>
        <v>0</v>
      </c>
      <c r="M449" s="59"/>
    </row>
    <row r="450" spans="2:13" x14ac:dyDescent="0.25">
      <c r="B450" s="40"/>
      <c r="C450" s="41"/>
      <c r="D450" s="42"/>
      <c r="E450" s="43"/>
      <c r="F450" s="44"/>
      <c r="G450" s="1" t="str">
        <f>IFERROR(IF(ventas_b_mes684[[#This Row],[CUIT]]="","-",VLOOKUP(ventas_b_mes684[[#This Row],[CUIT]],Lista_CUIT[#All],2,0)),"CUIT NO CARGADO")</f>
        <v>-</v>
      </c>
      <c r="H450" s="64"/>
      <c r="I450" s="64">
        <f>ventas_b_mes684[[#This Row],[IMPORTE NETO]]*0.21</f>
        <v>0</v>
      </c>
      <c r="J450" s="64"/>
      <c r="K450" s="64"/>
      <c r="L450" s="64">
        <f>SUM(ventas_b_mes684[[#This Row],[IMPORTE NETO]:[EXENTO]])</f>
        <v>0</v>
      </c>
      <c r="M450" s="59"/>
    </row>
    <row r="451" spans="2:13" x14ac:dyDescent="0.25">
      <c r="B451" s="40"/>
      <c r="C451" s="41"/>
      <c r="D451" s="42"/>
      <c r="E451" s="43"/>
      <c r="F451" s="44"/>
      <c r="G451" s="1" t="str">
        <f>IFERROR(IF(ventas_b_mes684[[#This Row],[CUIT]]="","-",VLOOKUP(ventas_b_mes684[[#This Row],[CUIT]],Lista_CUIT[#All],2,0)),"CUIT NO CARGADO")</f>
        <v>-</v>
      </c>
      <c r="H451" s="64"/>
      <c r="I451" s="64">
        <f>ventas_b_mes684[[#This Row],[IMPORTE NETO]]*0.21</f>
        <v>0</v>
      </c>
      <c r="J451" s="64"/>
      <c r="K451" s="64"/>
      <c r="L451" s="64">
        <f>SUM(ventas_b_mes684[[#This Row],[IMPORTE NETO]:[EXENTO]])</f>
        <v>0</v>
      </c>
      <c r="M451" s="59"/>
    </row>
    <row r="452" spans="2:13" x14ac:dyDescent="0.25">
      <c r="B452" s="40"/>
      <c r="C452" s="41"/>
      <c r="D452" s="42"/>
      <c r="E452" s="43"/>
      <c r="F452" s="44"/>
      <c r="G452" s="1" t="str">
        <f>IFERROR(IF(ventas_b_mes684[[#This Row],[CUIT]]="","-",VLOOKUP(ventas_b_mes684[[#This Row],[CUIT]],Lista_CUIT[#All],2,0)),"CUIT NO CARGADO")</f>
        <v>-</v>
      </c>
      <c r="H452" s="64"/>
      <c r="I452" s="64">
        <f>ventas_b_mes684[[#This Row],[IMPORTE NETO]]*0.21</f>
        <v>0</v>
      </c>
      <c r="J452" s="64"/>
      <c r="K452" s="64"/>
      <c r="L452" s="64">
        <f>SUM(ventas_b_mes684[[#This Row],[IMPORTE NETO]:[EXENTO]])</f>
        <v>0</v>
      </c>
      <c r="M452" s="59"/>
    </row>
    <row r="453" spans="2:13" x14ac:dyDescent="0.25">
      <c r="B453" s="40"/>
      <c r="C453" s="41"/>
      <c r="D453" s="42"/>
      <c r="E453" s="43"/>
      <c r="F453" s="44"/>
      <c r="G453" s="1" t="str">
        <f>IFERROR(IF(ventas_b_mes684[[#This Row],[CUIT]]="","-",VLOOKUP(ventas_b_mes684[[#This Row],[CUIT]],Lista_CUIT[#All],2,0)),"CUIT NO CARGADO")</f>
        <v>-</v>
      </c>
      <c r="H453" s="64"/>
      <c r="I453" s="64">
        <f>ventas_b_mes684[[#This Row],[IMPORTE NETO]]*0.21</f>
        <v>0</v>
      </c>
      <c r="J453" s="64"/>
      <c r="K453" s="64"/>
      <c r="L453" s="64">
        <f>SUM(ventas_b_mes684[[#This Row],[IMPORTE NETO]:[EXENTO]])</f>
        <v>0</v>
      </c>
      <c r="M453" s="59"/>
    </row>
    <row r="454" spans="2:13" x14ac:dyDescent="0.25">
      <c r="B454" s="40"/>
      <c r="C454" s="41"/>
      <c r="D454" s="42"/>
      <c r="E454" s="43"/>
      <c r="F454" s="44"/>
      <c r="G454" s="1" t="str">
        <f>IFERROR(IF(ventas_b_mes684[[#This Row],[CUIT]]="","-",VLOOKUP(ventas_b_mes684[[#This Row],[CUIT]],Lista_CUIT[#All],2,0)),"CUIT NO CARGADO")</f>
        <v>-</v>
      </c>
      <c r="H454" s="64"/>
      <c r="I454" s="64">
        <f>ventas_b_mes684[[#This Row],[IMPORTE NETO]]*0.21</f>
        <v>0</v>
      </c>
      <c r="J454" s="64"/>
      <c r="K454" s="64"/>
      <c r="L454" s="64">
        <f>SUM(ventas_b_mes684[[#This Row],[IMPORTE NETO]:[EXENTO]])</f>
        <v>0</v>
      </c>
      <c r="M454" s="59"/>
    </row>
    <row r="455" spans="2:13" x14ac:dyDescent="0.25">
      <c r="B455" s="40"/>
      <c r="C455" s="41"/>
      <c r="D455" s="42"/>
      <c r="E455" s="43"/>
      <c r="F455" s="44"/>
      <c r="G455" s="1" t="str">
        <f>IFERROR(IF(ventas_b_mes684[[#This Row],[CUIT]]="","-",VLOOKUP(ventas_b_mes684[[#This Row],[CUIT]],Lista_CUIT[#All],2,0)),"CUIT NO CARGADO")</f>
        <v>-</v>
      </c>
      <c r="H455" s="64"/>
      <c r="I455" s="64">
        <f>ventas_b_mes684[[#This Row],[IMPORTE NETO]]*0.21</f>
        <v>0</v>
      </c>
      <c r="J455" s="64"/>
      <c r="K455" s="64"/>
      <c r="L455" s="64">
        <f>SUM(ventas_b_mes684[[#This Row],[IMPORTE NETO]:[EXENTO]])</f>
        <v>0</v>
      </c>
      <c r="M455" s="59"/>
    </row>
    <row r="456" spans="2:13" x14ac:dyDescent="0.25">
      <c r="B456" s="40"/>
      <c r="C456" s="41"/>
      <c r="D456" s="42"/>
      <c r="E456" s="43"/>
      <c r="F456" s="44"/>
      <c r="G456" s="1" t="str">
        <f>IFERROR(IF(ventas_b_mes684[[#This Row],[CUIT]]="","-",VLOOKUP(ventas_b_mes684[[#This Row],[CUIT]],Lista_CUIT[#All],2,0)),"CUIT NO CARGADO")</f>
        <v>-</v>
      </c>
      <c r="H456" s="64"/>
      <c r="I456" s="64">
        <f>ventas_b_mes684[[#This Row],[IMPORTE NETO]]*0.21</f>
        <v>0</v>
      </c>
      <c r="J456" s="64"/>
      <c r="K456" s="64"/>
      <c r="L456" s="64">
        <f>SUM(ventas_b_mes684[[#This Row],[IMPORTE NETO]:[EXENTO]])</f>
        <v>0</v>
      </c>
      <c r="M456" s="59"/>
    </row>
    <row r="457" spans="2:13" x14ac:dyDescent="0.25">
      <c r="B457" s="40"/>
      <c r="C457" s="41"/>
      <c r="D457" s="42"/>
      <c r="E457" s="43"/>
      <c r="F457" s="44"/>
      <c r="G457" s="1" t="str">
        <f>IFERROR(IF(ventas_b_mes684[[#This Row],[CUIT]]="","-",VLOOKUP(ventas_b_mes684[[#This Row],[CUIT]],Lista_CUIT[#All],2,0)),"CUIT NO CARGADO")</f>
        <v>-</v>
      </c>
      <c r="H457" s="64"/>
      <c r="I457" s="64">
        <f>ventas_b_mes684[[#This Row],[IMPORTE NETO]]*0.21</f>
        <v>0</v>
      </c>
      <c r="J457" s="64"/>
      <c r="K457" s="64"/>
      <c r="L457" s="64">
        <f>SUM(ventas_b_mes684[[#This Row],[IMPORTE NETO]:[EXENTO]])</f>
        <v>0</v>
      </c>
      <c r="M457" s="59"/>
    </row>
    <row r="458" spans="2:13" x14ac:dyDescent="0.25">
      <c r="B458" s="40"/>
      <c r="C458" s="41"/>
      <c r="D458" s="42"/>
      <c r="E458" s="43"/>
      <c r="F458" s="44"/>
      <c r="G458" s="1" t="str">
        <f>IFERROR(IF(ventas_b_mes684[[#This Row],[CUIT]]="","-",VLOOKUP(ventas_b_mes684[[#This Row],[CUIT]],Lista_CUIT[#All],2,0)),"CUIT NO CARGADO")</f>
        <v>-</v>
      </c>
      <c r="H458" s="64"/>
      <c r="I458" s="64">
        <f>ventas_b_mes684[[#This Row],[IMPORTE NETO]]*0.21</f>
        <v>0</v>
      </c>
      <c r="J458" s="64"/>
      <c r="K458" s="64"/>
      <c r="L458" s="64">
        <f>SUM(ventas_b_mes684[[#This Row],[IMPORTE NETO]:[EXENTO]])</f>
        <v>0</v>
      </c>
      <c r="M458" s="59"/>
    </row>
    <row r="459" spans="2:13" x14ac:dyDescent="0.25">
      <c r="B459" s="40"/>
      <c r="C459" s="41"/>
      <c r="D459" s="42"/>
      <c r="E459" s="43"/>
      <c r="F459" s="44"/>
      <c r="G459" s="1" t="str">
        <f>IFERROR(IF(ventas_b_mes684[[#This Row],[CUIT]]="","-",VLOOKUP(ventas_b_mes684[[#This Row],[CUIT]],Lista_CUIT[#All],2,0)),"CUIT NO CARGADO")</f>
        <v>-</v>
      </c>
      <c r="H459" s="64"/>
      <c r="I459" s="64">
        <f>ventas_b_mes684[[#This Row],[IMPORTE NETO]]*0.21</f>
        <v>0</v>
      </c>
      <c r="J459" s="64"/>
      <c r="K459" s="64"/>
      <c r="L459" s="64">
        <f>SUM(ventas_b_mes684[[#This Row],[IMPORTE NETO]:[EXENTO]])</f>
        <v>0</v>
      </c>
      <c r="M459" s="59"/>
    </row>
    <row r="460" spans="2:13" x14ac:dyDescent="0.25">
      <c r="B460" s="40"/>
      <c r="C460" s="41"/>
      <c r="D460" s="42"/>
      <c r="E460" s="43"/>
      <c r="F460" s="44"/>
      <c r="G460" s="1" t="str">
        <f>IFERROR(IF(ventas_b_mes684[[#This Row],[CUIT]]="","-",VLOOKUP(ventas_b_mes684[[#This Row],[CUIT]],Lista_CUIT[#All],2,0)),"CUIT NO CARGADO")</f>
        <v>-</v>
      </c>
      <c r="H460" s="64"/>
      <c r="I460" s="64">
        <f>ventas_b_mes684[[#This Row],[IMPORTE NETO]]*0.21</f>
        <v>0</v>
      </c>
      <c r="J460" s="64"/>
      <c r="K460" s="64"/>
      <c r="L460" s="64">
        <f>SUM(ventas_b_mes684[[#This Row],[IMPORTE NETO]:[EXENTO]])</f>
        <v>0</v>
      </c>
      <c r="M460" s="59"/>
    </row>
    <row r="461" spans="2:13" x14ac:dyDescent="0.25">
      <c r="B461" s="40"/>
      <c r="C461" s="41"/>
      <c r="D461" s="42"/>
      <c r="E461" s="43"/>
      <c r="F461" s="44"/>
      <c r="G461" s="1" t="str">
        <f>IFERROR(IF(ventas_b_mes684[[#This Row],[CUIT]]="","-",VLOOKUP(ventas_b_mes684[[#This Row],[CUIT]],Lista_CUIT[#All],2,0)),"CUIT NO CARGADO")</f>
        <v>-</v>
      </c>
      <c r="H461" s="64"/>
      <c r="I461" s="64">
        <f>ventas_b_mes684[[#This Row],[IMPORTE NETO]]*0.21</f>
        <v>0</v>
      </c>
      <c r="J461" s="64"/>
      <c r="K461" s="64"/>
      <c r="L461" s="64">
        <f>SUM(ventas_b_mes684[[#This Row],[IMPORTE NETO]:[EXENTO]])</f>
        <v>0</v>
      </c>
      <c r="M461" s="59"/>
    </row>
    <row r="462" spans="2:13" x14ac:dyDescent="0.25">
      <c r="B462" s="40"/>
      <c r="C462" s="41"/>
      <c r="D462" s="42"/>
      <c r="E462" s="43"/>
      <c r="F462" s="44"/>
      <c r="G462" s="1" t="str">
        <f>IFERROR(IF(ventas_b_mes684[[#This Row],[CUIT]]="","-",VLOOKUP(ventas_b_mes684[[#This Row],[CUIT]],Lista_CUIT[#All],2,0)),"CUIT NO CARGADO")</f>
        <v>-</v>
      </c>
      <c r="H462" s="64"/>
      <c r="I462" s="64">
        <f>ventas_b_mes684[[#This Row],[IMPORTE NETO]]*0.21</f>
        <v>0</v>
      </c>
      <c r="J462" s="64"/>
      <c r="K462" s="64"/>
      <c r="L462" s="64">
        <f>SUM(ventas_b_mes684[[#This Row],[IMPORTE NETO]:[EXENTO]])</f>
        <v>0</v>
      </c>
      <c r="M462" s="59"/>
    </row>
    <row r="463" spans="2:13" x14ac:dyDescent="0.25">
      <c r="B463" s="40"/>
      <c r="C463" s="41"/>
      <c r="D463" s="42"/>
      <c r="E463" s="43"/>
      <c r="F463" s="44"/>
      <c r="G463" s="1" t="str">
        <f>IFERROR(IF(ventas_b_mes684[[#This Row],[CUIT]]="","-",VLOOKUP(ventas_b_mes684[[#This Row],[CUIT]],Lista_CUIT[#All],2,0)),"CUIT NO CARGADO")</f>
        <v>-</v>
      </c>
      <c r="H463" s="64"/>
      <c r="I463" s="64">
        <f>ventas_b_mes684[[#This Row],[IMPORTE NETO]]*0.21</f>
        <v>0</v>
      </c>
      <c r="J463" s="64"/>
      <c r="K463" s="64"/>
      <c r="L463" s="64">
        <f>SUM(ventas_b_mes684[[#This Row],[IMPORTE NETO]:[EXENTO]])</f>
        <v>0</v>
      </c>
      <c r="M463" s="59"/>
    </row>
    <row r="464" spans="2:13" x14ac:dyDescent="0.25">
      <c r="B464" s="40"/>
      <c r="C464" s="41"/>
      <c r="D464" s="42"/>
      <c r="E464" s="43"/>
      <c r="F464" s="44"/>
      <c r="G464" s="1" t="str">
        <f>IFERROR(IF(ventas_b_mes684[[#This Row],[CUIT]]="","-",VLOOKUP(ventas_b_mes684[[#This Row],[CUIT]],Lista_CUIT[#All],2,0)),"CUIT NO CARGADO")</f>
        <v>-</v>
      </c>
      <c r="H464" s="64"/>
      <c r="I464" s="64">
        <f>ventas_b_mes684[[#This Row],[IMPORTE NETO]]*0.21</f>
        <v>0</v>
      </c>
      <c r="J464" s="64"/>
      <c r="K464" s="64"/>
      <c r="L464" s="64">
        <f>SUM(ventas_b_mes684[[#This Row],[IMPORTE NETO]:[EXENTO]])</f>
        <v>0</v>
      </c>
      <c r="M464" s="59"/>
    </row>
    <row r="465" spans="2:13" x14ac:dyDescent="0.25">
      <c r="B465" s="40"/>
      <c r="C465" s="41"/>
      <c r="D465" s="42"/>
      <c r="E465" s="43"/>
      <c r="F465" s="44"/>
      <c r="G465" s="1" t="str">
        <f>IFERROR(IF(ventas_b_mes684[[#This Row],[CUIT]]="","-",VLOOKUP(ventas_b_mes684[[#This Row],[CUIT]],Lista_CUIT[#All],2,0)),"CUIT NO CARGADO")</f>
        <v>-</v>
      </c>
      <c r="H465" s="64"/>
      <c r="I465" s="64">
        <f>ventas_b_mes684[[#This Row],[IMPORTE NETO]]*0.21</f>
        <v>0</v>
      </c>
      <c r="J465" s="64"/>
      <c r="K465" s="64"/>
      <c r="L465" s="64">
        <f>SUM(ventas_b_mes684[[#This Row],[IMPORTE NETO]:[EXENTO]])</f>
        <v>0</v>
      </c>
      <c r="M465" s="59"/>
    </row>
    <row r="466" spans="2:13" x14ac:dyDescent="0.25">
      <c r="B466" s="40"/>
      <c r="C466" s="41"/>
      <c r="D466" s="42"/>
      <c r="E466" s="43"/>
      <c r="F466" s="44"/>
      <c r="G466" s="1" t="str">
        <f>IFERROR(IF(ventas_b_mes684[[#This Row],[CUIT]]="","-",VLOOKUP(ventas_b_mes684[[#This Row],[CUIT]],Lista_CUIT[#All],2,0)),"CUIT NO CARGADO")</f>
        <v>-</v>
      </c>
      <c r="H466" s="64"/>
      <c r="I466" s="64">
        <f>ventas_b_mes684[[#This Row],[IMPORTE NETO]]*0.21</f>
        <v>0</v>
      </c>
      <c r="J466" s="64"/>
      <c r="K466" s="64"/>
      <c r="L466" s="64">
        <f>SUM(ventas_b_mes684[[#This Row],[IMPORTE NETO]:[EXENTO]])</f>
        <v>0</v>
      </c>
      <c r="M466" s="59"/>
    </row>
    <row r="467" spans="2:13" x14ac:dyDescent="0.25">
      <c r="B467" s="40"/>
      <c r="C467" s="41"/>
      <c r="D467" s="42"/>
      <c r="E467" s="43"/>
      <c r="F467" s="44"/>
      <c r="G467" s="1" t="str">
        <f>IFERROR(IF(ventas_b_mes684[[#This Row],[CUIT]]="","-",VLOOKUP(ventas_b_mes684[[#This Row],[CUIT]],Lista_CUIT[#All],2,0)),"CUIT NO CARGADO")</f>
        <v>-</v>
      </c>
      <c r="H467" s="64"/>
      <c r="I467" s="64">
        <f>ventas_b_mes684[[#This Row],[IMPORTE NETO]]*0.21</f>
        <v>0</v>
      </c>
      <c r="J467" s="64"/>
      <c r="K467" s="64"/>
      <c r="L467" s="64">
        <f>SUM(ventas_b_mes684[[#This Row],[IMPORTE NETO]:[EXENTO]])</f>
        <v>0</v>
      </c>
      <c r="M467" s="59"/>
    </row>
    <row r="468" spans="2:13" x14ac:dyDescent="0.25">
      <c r="B468" s="40"/>
      <c r="C468" s="41"/>
      <c r="D468" s="42"/>
      <c r="E468" s="43"/>
      <c r="F468" s="44"/>
      <c r="G468" s="1" t="str">
        <f>IFERROR(IF(ventas_b_mes684[[#This Row],[CUIT]]="","-",VLOOKUP(ventas_b_mes684[[#This Row],[CUIT]],Lista_CUIT[#All],2,0)),"CUIT NO CARGADO")</f>
        <v>-</v>
      </c>
      <c r="H468" s="64"/>
      <c r="I468" s="64">
        <f>ventas_b_mes684[[#This Row],[IMPORTE NETO]]*0.21</f>
        <v>0</v>
      </c>
      <c r="J468" s="64"/>
      <c r="K468" s="64"/>
      <c r="L468" s="64">
        <f>SUM(ventas_b_mes684[[#This Row],[IMPORTE NETO]:[EXENTO]])</f>
        <v>0</v>
      </c>
      <c r="M468" s="59"/>
    </row>
    <row r="469" spans="2:13" x14ac:dyDescent="0.25">
      <c r="B469" s="40"/>
      <c r="C469" s="41"/>
      <c r="D469" s="42"/>
      <c r="E469" s="43"/>
      <c r="F469" s="44"/>
      <c r="G469" s="1" t="str">
        <f>IFERROR(IF(ventas_b_mes684[[#This Row],[CUIT]]="","-",VLOOKUP(ventas_b_mes684[[#This Row],[CUIT]],Lista_CUIT[#All],2,0)),"CUIT NO CARGADO")</f>
        <v>-</v>
      </c>
      <c r="H469" s="64"/>
      <c r="I469" s="64">
        <f>ventas_b_mes684[[#This Row],[IMPORTE NETO]]*0.21</f>
        <v>0</v>
      </c>
      <c r="J469" s="64"/>
      <c r="K469" s="64"/>
      <c r="L469" s="64">
        <f>SUM(ventas_b_mes684[[#This Row],[IMPORTE NETO]:[EXENTO]])</f>
        <v>0</v>
      </c>
      <c r="M469" s="59"/>
    </row>
    <row r="470" spans="2:13" x14ac:dyDescent="0.25">
      <c r="B470" s="40"/>
      <c r="C470" s="41"/>
      <c r="D470" s="42"/>
      <c r="E470" s="43"/>
      <c r="F470" s="44"/>
      <c r="G470" s="1" t="str">
        <f>IFERROR(IF(ventas_b_mes684[[#This Row],[CUIT]]="","-",VLOOKUP(ventas_b_mes684[[#This Row],[CUIT]],Lista_CUIT[#All],2,0)),"CUIT NO CARGADO")</f>
        <v>-</v>
      </c>
      <c r="H470" s="64"/>
      <c r="I470" s="64">
        <f>ventas_b_mes684[[#This Row],[IMPORTE NETO]]*0.21</f>
        <v>0</v>
      </c>
      <c r="J470" s="64"/>
      <c r="K470" s="64"/>
      <c r="L470" s="64">
        <f>SUM(ventas_b_mes684[[#This Row],[IMPORTE NETO]:[EXENTO]])</f>
        <v>0</v>
      </c>
      <c r="M470" s="59"/>
    </row>
    <row r="471" spans="2:13" x14ac:dyDescent="0.25">
      <c r="B471" s="40"/>
      <c r="C471" s="41"/>
      <c r="D471" s="42"/>
      <c r="E471" s="43"/>
      <c r="F471" s="44"/>
      <c r="G471" s="1" t="str">
        <f>IFERROR(IF(ventas_b_mes684[[#This Row],[CUIT]]="","-",VLOOKUP(ventas_b_mes684[[#This Row],[CUIT]],Lista_CUIT[#All],2,0)),"CUIT NO CARGADO")</f>
        <v>-</v>
      </c>
      <c r="H471" s="64"/>
      <c r="I471" s="64">
        <f>ventas_b_mes684[[#This Row],[IMPORTE NETO]]*0.21</f>
        <v>0</v>
      </c>
      <c r="J471" s="64"/>
      <c r="K471" s="64"/>
      <c r="L471" s="64">
        <f>SUM(ventas_b_mes684[[#This Row],[IMPORTE NETO]:[EXENTO]])</f>
        <v>0</v>
      </c>
      <c r="M471" s="59"/>
    </row>
    <row r="472" spans="2:13" x14ac:dyDescent="0.25">
      <c r="B472" s="40"/>
      <c r="C472" s="41"/>
      <c r="D472" s="42"/>
      <c r="E472" s="43"/>
      <c r="F472" s="44"/>
      <c r="G472" s="1" t="str">
        <f>IFERROR(IF(ventas_b_mes684[[#This Row],[CUIT]]="","-",VLOOKUP(ventas_b_mes684[[#This Row],[CUIT]],Lista_CUIT[#All],2,0)),"CUIT NO CARGADO")</f>
        <v>-</v>
      </c>
      <c r="H472" s="64"/>
      <c r="I472" s="64">
        <f>ventas_b_mes684[[#This Row],[IMPORTE NETO]]*0.21</f>
        <v>0</v>
      </c>
      <c r="J472" s="64"/>
      <c r="K472" s="64"/>
      <c r="L472" s="64">
        <f>SUM(ventas_b_mes684[[#This Row],[IMPORTE NETO]:[EXENTO]])</f>
        <v>0</v>
      </c>
      <c r="M472" s="59"/>
    </row>
    <row r="473" spans="2:13" x14ac:dyDescent="0.25">
      <c r="B473" s="40"/>
      <c r="C473" s="41"/>
      <c r="D473" s="42"/>
      <c r="E473" s="43"/>
      <c r="F473" s="44"/>
      <c r="G473" s="1" t="str">
        <f>IFERROR(IF(ventas_b_mes684[[#This Row],[CUIT]]="","-",VLOOKUP(ventas_b_mes684[[#This Row],[CUIT]],Lista_CUIT[#All],2,0)),"CUIT NO CARGADO")</f>
        <v>-</v>
      </c>
      <c r="H473" s="64"/>
      <c r="I473" s="64">
        <f>ventas_b_mes684[[#This Row],[IMPORTE NETO]]*0.21</f>
        <v>0</v>
      </c>
      <c r="J473" s="64"/>
      <c r="K473" s="64"/>
      <c r="L473" s="64">
        <f>SUM(ventas_b_mes684[[#This Row],[IMPORTE NETO]:[EXENTO]])</f>
        <v>0</v>
      </c>
      <c r="M473" s="59"/>
    </row>
    <row r="474" spans="2:13" x14ac:dyDescent="0.25">
      <c r="B474" s="40"/>
      <c r="C474" s="41"/>
      <c r="D474" s="42"/>
      <c r="E474" s="43"/>
      <c r="F474" s="44"/>
      <c r="G474" s="1" t="str">
        <f>IFERROR(IF(ventas_b_mes684[[#This Row],[CUIT]]="","-",VLOOKUP(ventas_b_mes684[[#This Row],[CUIT]],Lista_CUIT[#All],2,0)),"CUIT NO CARGADO")</f>
        <v>-</v>
      </c>
      <c r="H474" s="64"/>
      <c r="I474" s="64">
        <f>ventas_b_mes684[[#This Row],[IMPORTE NETO]]*0.21</f>
        <v>0</v>
      </c>
      <c r="J474" s="64"/>
      <c r="K474" s="64"/>
      <c r="L474" s="64">
        <f>SUM(ventas_b_mes684[[#This Row],[IMPORTE NETO]:[EXENTO]])</f>
        <v>0</v>
      </c>
      <c r="M474" s="59"/>
    </row>
    <row r="475" spans="2:13" x14ac:dyDescent="0.25">
      <c r="B475" s="40"/>
      <c r="C475" s="41"/>
      <c r="D475" s="42"/>
      <c r="E475" s="43"/>
      <c r="F475" s="44"/>
      <c r="G475" s="1" t="str">
        <f>IFERROR(IF(ventas_b_mes684[[#This Row],[CUIT]]="","-",VLOOKUP(ventas_b_mes684[[#This Row],[CUIT]],Lista_CUIT[#All],2,0)),"CUIT NO CARGADO")</f>
        <v>-</v>
      </c>
      <c r="H475" s="64"/>
      <c r="I475" s="64">
        <f>ventas_b_mes684[[#This Row],[IMPORTE NETO]]*0.21</f>
        <v>0</v>
      </c>
      <c r="J475" s="64"/>
      <c r="K475" s="64"/>
      <c r="L475" s="64">
        <f>SUM(ventas_b_mes684[[#This Row],[IMPORTE NETO]:[EXENTO]])</f>
        <v>0</v>
      </c>
      <c r="M475" s="59"/>
    </row>
    <row r="476" spans="2:13" x14ac:dyDescent="0.25">
      <c r="B476" s="40"/>
      <c r="C476" s="41"/>
      <c r="D476" s="42"/>
      <c r="E476" s="43"/>
      <c r="F476" s="44"/>
      <c r="G476" s="1" t="str">
        <f>IFERROR(IF(ventas_b_mes684[[#This Row],[CUIT]]="","-",VLOOKUP(ventas_b_mes684[[#This Row],[CUIT]],Lista_CUIT[#All],2,0)),"CUIT NO CARGADO")</f>
        <v>-</v>
      </c>
      <c r="H476" s="64"/>
      <c r="I476" s="64">
        <f>ventas_b_mes684[[#This Row],[IMPORTE NETO]]*0.21</f>
        <v>0</v>
      </c>
      <c r="J476" s="64"/>
      <c r="K476" s="64"/>
      <c r="L476" s="64">
        <f>SUM(ventas_b_mes684[[#This Row],[IMPORTE NETO]:[EXENTO]])</f>
        <v>0</v>
      </c>
      <c r="M476" s="59"/>
    </row>
    <row r="477" spans="2:13" x14ac:dyDescent="0.25">
      <c r="B477" s="40"/>
      <c r="C477" s="41"/>
      <c r="D477" s="42"/>
      <c r="E477" s="43"/>
      <c r="F477" s="44"/>
      <c r="G477" s="1" t="str">
        <f>IFERROR(IF(ventas_b_mes684[[#This Row],[CUIT]]="","-",VLOOKUP(ventas_b_mes684[[#This Row],[CUIT]],Lista_CUIT[#All],2,0)),"CUIT NO CARGADO")</f>
        <v>-</v>
      </c>
      <c r="H477" s="64"/>
      <c r="I477" s="64">
        <f>ventas_b_mes684[[#This Row],[IMPORTE NETO]]*0.21</f>
        <v>0</v>
      </c>
      <c r="J477" s="64"/>
      <c r="K477" s="64"/>
      <c r="L477" s="64">
        <f>SUM(ventas_b_mes684[[#This Row],[IMPORTE NETO]:[EXENTO]])</f>
        <v>0</v>
      </c>
      <c r="M477" s="59"/>
    </row>
    <row r="478" spans="2:13" x14ac:dyDescent="0.25">
      <c r="B478" s="40"/>
      <c r="C478" s="41"/>
      <c r="D478" s="42"/>
      <c r="E478" s="43"/>
      <c r="F478" s="44"/>
      <c r="G478" s="1" t="str">
        <f>IFERROR(IF(ventas_b_mes684[[#This Row],[CUIT]]="","-",VLOOKUP(ventas_b_mes684[[#This Row],[CUIT]],Lista_CUIT[#All],2,0)),"CUIT NO CARGADO")</f>
        <v>-</v>
      </c>
      <c r="H478" s="64"/>
      <c r="I478" s="64">
        <f>ventas_b_mes684[[#This Row],[IMPORTE NETO]]*0.21</f>
        <v>0</v>
      </c>
      <c r="J478" s="64"/>
      <c r="K478" s="64"/>
      <c r="L478" s="64">
        <f>SUM(ventas_b_mes684[[#This Row],[IMPORTE NETO]:[EXENTO]])</f>
        <v>0</v>
      </c>
      <c r="M478" s="59"/>
    </row>
    <row r="479" spans="2:13" x14ac:dyDescent="0.25">
      <c r="B479" s="40"/>
      <c r="C479" s="41"/>
      <c r="D479" s="42"/>
      <c r="E479" s="43"/>
      <c r="F479" s="44"/>
      <c r="G479" s="1" t="str">
        <f>IFERROR(IF(ventas_b_mes684[[#This Row],[CUIT]]="","-",VLOOKUP(ventas_b_mes684[[#This Row],[CUIT]],Lista_CUIT[#All],2,0)),"CUIT NO CARGADO")</f>
        <v>-</v>
      </c>
      <c r="H479" s="64"/>
      <c r="I479" s="64">
        <f>ventas_b_mes684[[#This Row],[IMPORTE NETO]]*0.21</f>
        <v>0</v>
      </c>
      <c r="J479" s="64"/>
      <c r="K479" s="64"/>
      <c r="L479" s="64">
        <f>SUM(ventas_b_mes684[[#This Row],[IMPORTE NETO]:[EXENTO]])</f>
        <v>0</v>
      </c>
      <c r="M479" s="59"/>
    </row>
    <row r="480" spans="2:13" x14ac:dyDescent="0.25">
      <c r="B480" s="40"/>
      <c r="C480" s="41"/>
      <c r="D480" s="42"/>
      <c r="E480" s="43"/>
      <c r="F480" s="44"/>
      <c r="G480" s="1" t="str">
        <f>IFERROR(IF(ventas_b_mes684[[#This Row],[CUIT]]="","-",VLOOKUP(ventas_b_mes684[[#This Row],[CUIT]],Lista_CUIT[#All],2,0)),"CUIT NO CARGADO")</f>
        <v>-</v>
      </c>
      <c r="H480" s="64"/>
      <c r="I480" s="64">
        <f>ventas_b_mes684[[#This Row],[IMPORTE NETO]]*0.21</f>
        <v>0</v>
      </c>
      <c r="J480" s="64"/>
      <c r="K480" s="64"/>
      <c r="L480" s="64">
        <f>SUM(ventas_b_mes684[[#This Row],[IMPORTE NETO]:[EXENTO]])</f>
        <v>0</v>
      </c>
      <c r="M480" s="59"/>
    </row>
    <row r="481" spans="2:13" x14ac:dyDescent="0.25">
      <c r="B481" s="40"/>
      <c r="C481" s="41"/>
      <c r="D481" s="42"/>
      <c r="E481" s="43"/>
      <c r="F481" s="44"/>
      <c r="G481" s="1" t="str">
        <f>IFERROR(IF(ventas_b_mes684[[#This Row],[CUIT]]="","-",VLOOKUP(ventas_b_mes684[[#This Row],[CUIT]],Lista_CUIT[#All],2,0)),"CUIT NO CARGADO")</f>
        <v>-</v>
      </c>
      <c r="H481" s="64"/>
      <c r="I481" s="64">
        <f>ventas_b_mes684[[#This Row],[IMPORTE NETO]]*0.21</f>
        <v>0</v>
      </c>
      <c r="J481" s="64"/>
      <c r="K481" s="64"/>
      <c r="L481" s="64">
        <f>SUM(ventas_b_mes684[[#This Row],[IMPORTE NETO]:[EXENTO]])</f>
        <v>0</v>
      </c>
      <c r="M481" s="59"/>
    </row>
    <row r="482" spans="2:13" x14ac:dyDescent="0.25">
      <c r="B482" s="40"/>
      <c r="C482" s="41"/>
      <c r="D482" s="42"/>
      <c r="E482" s="43"/>
      <c r="F482" s="44"/>
      <c r="G482" s="1" t="str">
        <f>IFERROR(IF(ventas_b_mes684[[#This Row],[CUIT]]="","-",VLOOKUP(ventas_b_mes684[[#This Row],[CUIT]],Lista_CUIT[#All],2,0)),"CUIT NO CARGADO")</f>
        <v>-</v>
      </c>
      <c r="H482" s="64"/>
      <c r="I482" s="64">
        <f>ventas_b_mes684[[#This Row],[IMPORTE NETO]]*0.21</f>
        <v>0</v>
      </c>
      <c r="J482" s="64"/>
      <c r="K482" s="64"/>
      <c r="L482" s="64">
        <f>SUM(ventas_b_mes684[[#This Row],[IMPORTE NETO]:[EXENTO]])</f>
        <v>0</v>
      </c>
      <c r="M482" s="59"/>
    </row>
    <row r="483" spans="2:13" x14ac:dyDescent="0.25">
      <c r="B483" s="40"/>
      <c r="C483" s="41"/>
      <c r="D483" s="42"/>
      <c r="E483" s="43"/>
      <c r="F483" s="44"/>
      <c r="G483" s="1" t="str">
        <f>IFERROR(IF(ventas_b_mes684[[#This Row],[CUIT]]="","-",VLOOKUP(ventas_b_mes684[[#This Row],[CUIT]],Lista_CUIT[#All],2,0)),"CUIT NO CARGADO")</f>
        <v>-</v>
      </c>
      <c r="H483" s="64"/>
      <c r="I483" s="64">
        <f>ventas_b_mes684[[#This Row],[IMPORTE NETO]]*0.21</f>
        <v>0</v>
      </c>
      <c r="J483" s="64"/>
      <c r="K483" s="64"/>
      <c r="L483" s="64">
        <f>SUM(ventas_b_mes684[[#This Row],[IMPORTE NETO]:[EXENTO]])</f>
        <v>0</v>
      </c>
      <c r="M483" s="59"/>
    </row>
    <row r="484" spans="2:13" x14ac:dyDescent="0.25">
      <c r="B484" s="40"/>
      <c r="C484" s="41"/>
      <c r="D484" s="42"/>
      <c r="E484" s="43"/>
      <c r="F484" s="44"/>
      <c r="G484" s="1" t="str">
        <f>IFERROR(IF(ventas_b_mes684[[#This Row],[CUIT]]="","-",VLOOKUP(ventas_b_mes684[[#This Row],[CUIT]],Lista_CUIT[#All],2,0)),"CUIT NO CARGADO")</f>
        <v>-</v>
      </c>
      <c r="H484" s="64"/>
      <c r="I484" s="64">
        <f>ventas_b_mes684[[#This Row],[IMPORTE NETO]]*0.21</f>
        <v>0</v>
      </c>
      <c r="J484" s="64"/>
      <c r="K484" s="64"/>
      <c r="L484" s="64">
        <f>SUM(ventas_b_mes684[[#This Row],[IMPORTE NETO]:[EXENTO]])</f>
        <v>0</v>
      </c>
      <c r="M484" s="59"/>
    </row>
    <row r="485" spans="2:13" x14ac:dyDescent="0.25">
      <c r="B485" s="40"/>
      <c r="C485" s="41"/>
      <c r="D485" s="42"/>
      <c r="E485" s="43"/>
      <c r="F485" s="44"/>
      <c r="G485" s="1" t="str">
        <f>IFERROR(IF(ventas_b_mes684[[#This Row],[CUIT]]="","-",VLOOKUP(ventas_b_mes684[[#This Row],[CUIT]],Lista_CUIT[#All],2,0)),"CUIT NO CARGADO")</f>
        <v>-</v>
      </c>
      <c r="H485" s="64"/>
      <c r="I485" s="64">
        <f>ventas_b_mes684[[#This Row],[IMPORTE NETO]]*0.21</f>
        <v>0</v>
      </c>
      <c r="J485" s="64"/>
      <c r="K485" s="64"/>
      <c r="L485" s="64">
        <f>SUM(ventas_b_mes684[[#This Row],[IMPORTE NETO]:[EXENTO]])</f>
        <v>0</v>
      </c>
      <c r="M485" s="59"/>
    </row>
    <row r="486" spans="2:13" x14ac:dyDescent="0.25">
      <c r="B486" s="40"/>
      <c r="C486" s="41"/>
      <c r="D486" s="42"/>
      <c r="E486" s="43"/>
      <c r="F486" s="44"/>
      <c r="G486" s="1" t="str">
        <f>IFERROR(IF(ventas_b_mes684[[#This Row],[CUIT]]="","-",VLOOKUP(ventas_b_mes684[[#This Row],[CUIT]],Lista_CUIT[#All],2,0)),"CUIT NO CARGADO")</f>
        <v>-</v>
      </c>
      <c r="H486" s="64"/>
      <c r="I486" s="64">
        <f>ventas_b_mes684[[#This Row],[IMPORTE NETO]]*0.21</f>
        <v>0</v>
      </c>
      <c r="J486" s="64"/>
      <c r="K486" s="64"/>
      <c r="L486" s="64">
        <f>SUM(ventas_b_mes684[[#This Row],[IMPORTE NETO]:[EXENTO]])</f>
        <v>0</v>
      </c>
      <c r="M486" s="59"/>
    </row>
    <row r="487" spans="2:13" x14ac:dyDescent="0.25">
      <c r="B487" s="40"/>
      <c r="C487" s="41"/>
      <c r="D487" s="42"/>
      <c r="E487" s="43"/>
      <c r="F487" s="44"/>
      <c r="G487" s="1" t="str">
        <f>IFERROR(IF(ventas_b_mes684[[#This Row],[CUIT]]="","-",VLOOKUP(ventas_b_mes684[[#This Row],[CUIT]],Lista_CUIT[#All],2,0)),"CUIT NO CARGADO")</f>
        <v>-</v>
      </c>
      <c r="H487" s="64"/>
      <c r="I487" s="64">
        <f>ventas_b_mes684[[#This Row],[IMPORTE NETO]]*0.21</f>
        <v>0</v>
      </c>
      <c r="J487" s="64"/>
      <c r="K487" s="64"/>
      <c r="L487" s="64">
        <f>SUM(ventas_b_mes684[[#This Row],[IMPORTE NETO]:[EXENTO]])</f>
        <v>0</v>
      </c>
      <c r="M487" s="59"/>
    </row>
    <row r="488" spans="2:13" x14ac:dyDescent="0.25">
      <c r="B488" s="40"/>
      <c r="C488" s="41"/>
      <c r="D488" s="42"/>
      <c r="E488" s="43"/>
      <c r="F488" s="44"/>
      <c r="G488" s="1" t="str">
        <f>IFERROR(IF(ventas_b_mes684[[#This Row],[CUIT]]="","-",VLOOKUP(ventas_b_mes684[[#This Row],[CUIT]],Lista_CUIT[#All],2,0)),"CUIT NO CARGADO")</f>
        <v>-</v>
      </c>
      <c r="H488" s="64"/>
      <c r="I488" s="64">
        <f>ventas_b_mes684[[#This Row],[IMPORTE NETO]]*0.21</f>
        <v>0</v>
      </c>
      <c r="J488" s="64"/>
      <c r="K488" s="64"/>
      <c r="L488" s="64">
        <f>SUM(ventas_b_mes684[[#This Row],[IMPORTE NETO]:[EXENTO]])</f>
        <v>0</v>
      </c>
      <c r="M488" s="59"/>
    </row>
    <row r="489" spans="2:13" x14ac:dyDescent="0.25">
      <c r="B489" s="40"/>
      <c r="C489" s="41"/>
      <c r="D489" s="42"/>
      <c r="E489" s="43"/>
      <c r="F489" s="44"/>
      <c r="G489" s="1" t="str">
        <f>IFERROR(IF(ventas_b_mes684[[#This Row],[CUIT]]="","-",VLOOKUP(ventas_b_mes684[[#This Row],[CUIT]],Lista_CUIT[#All],2,0)),"CUIT NO CARGADO")</f>
        <v>-</v>
      </c>
      <c r="H489" s="64"/>
      <c r="I489" s="64">
        <f>ventas_b_mes684[[#This Row],[IMPORTE NETO]]*0.21</f>
        <v>0</v>
      </c>
      <c r="J489" s="64"/>
      <c r="K489" s="64"/>
      <c r="L489" s="64">
        <f>SUM(ventas_b_mes684[[#This Row],[IMPORTE NETO]:[EXENTO]])</f>
        <v>0</v>
      </c>
      <c r="M489" s="59"/>
    </row>
    <row r="490" spans="2:13" x14ac:dyDescent="0.25">
      <c r="B490" s="40"/>
      <c r="C490" s="41"/>
      <c r="D490" s="42"/>
      <c r="E490" s="43"/>
      <c r="F490" s="44"/>
      <c r="G490" s="1" t="str">
        <f>IFERROR(IF(ventas_b_mes684[[#This Row],[CUIT]]="","-",VLOOKUP(ventas_b_mes684[[#This Row],[CUIT]],Lista_CUIT[#All],2,0)),"CUIT NO CARGADO")</f>
        <v>-</v>
      </c>
      <c r="H490" s="64"/>
      <c r="I490" s="64">
        <f>ventas_b_mes684[[#This Row],[IMPORTE NETO]]*0.21</f>
        <v>0</v>
      </c>
      <c r="J490" s="64"/>
      <c r="K490" s="64"/>
      <c r="L490" s="64">
        <f>SUM(ventas_b_mes684[[#This Row],[IMPORTE NETO]:[EXENTO]])</f>
        <v>0</v>
      </c>
      <c r="M490" s="59"/>
    </row>
    <row r="491" spans="2:13" x14ac:dyDescent="0.25">
      <c r="B491" s="40"/>
      <c r="C491" s="41"/>
      <c r="D491" s="42"/>
      <c r="E491" s="43"/>
      <c r="F491" s="44"/>
      <c r="G491" s="1" t="str">
        <f>IFERROR(IF(ventas_b_mes684[[#This Row],[CUIT]]="","-",VLOOKUP(ventas_b_mes684[[#This Row],[CUIT]],Lista_CUIT[#All],2,0)),"CUIT NO CARGADO")</f>
        <v>-</v>
      </c>
      <c r="H491" s="64"/>
      <c r="I491" s="64">
        <f>ventas_b_mes684[[#This Row],[IMPORTE NETO]]*0.21</f>
        <v>0</v>
      </c>
      <c r="J491" s="64"/>
      <c r="K491" s="64"/>
      <c r="L491" s="64">
        <f>SUM(ventas_b_mes684[[#This Row],[IMPORTE NETO]:[EXENTO]])</f>
        <v>0</v>
      </c>
      <c r="M491" s="59"/>
    </row>
    <row r="492" spans="2:13" x14ac:dyDescent="0.25">
      <c r="B492" s="40"/>
      <c r="C492" s="41"/>
      <c r="D492" s="42"/>
      <c r="E492" s="43"/>
      <c r="F492" s="44"/>
      <c r="G492" s="1" t="str">
        <f>IFERROR(IF(ventas_b_mes684[[#This Row],[CUIT]]="","-",VLOOKUP(ventas_b_mes684[[#This Row],[CUIT]],Lista_CUIT[#All],2,0)),"CUIT NO CARGADO")</f>
        <v>-</v>
      </c>
      <c r="H492" s="64"/>
      <c r="I492" s="64">
        <f>ventas_b_mes684[[#This Row],[IMPORTE NETO]]*0.21</f>
        <v>0</v>
      </c>
      <c r="J492" s="64"/>
      <c r="K492" s="64"/>
      <c r="L492" s="64">
        <f>SUM(ventas_b_mes684[[#This Row],[IMPORTE NETO]:[EXENTO]])</f>
        <v>0</v>
      </c>
      <c r="M492" s="59"/>
    </row>
    <row r="493" spans="2:13" x14ac:dyDescent="0.25">
      <c r="B493" s="40"/>
      <c r="C493" s="41"/>
      <c r="D493" s="42"/>
      <c r="E493" s="43"/>
      <c r="F493" s="44"/>
      <c r="G493" s="1" t="str">
        <f>IFERROR(IF(ventas_b_mes684[[#This Row],[CUIT]]="","-",VLOOKUP(ventas_b_mes684[[#This Row],[CUIT]],Lista_CUIT[#All],2,0)),"CUIT NO CARGADO")</f>
        <v>-</v>
      </c>
      <c r="H493" s="64"/>
      <c r="I493" s="64">
        <f>ventas_b_mes684[[#This Row],[IMPORTE NETO]]*0.21</f>
        <v>0</v>
      </c>
      <c r="J493" s="64"/>
      <c r="K493" s="64"/>
      <c r="L493" s="64">
        <f>SUM(ventas_b_mes684[[#This Row],[IMPORTE NETO]:[EXENTO]])</f>
        <v>0</v>
      </c>
      <c r="M493" s="59"/>
    </row>
    <row r="494" spans="2:13" x14ac:dyDescent="0.25">
      <c r="B494" s="40"/>
      <c r="C494" s="41"/>
      <c r="D494" s="42"/>
      <c r="E494" s="43"/>
      <c r="F494" s="44"/>
      <c r="G494" s="1" t="str">
        <f>IFERROR(IF(ventas_b_mes684[[#This Row],[CUIT]]="","-",VLOOKUP(ventas_b_mes684[[#This Row],[CUIT]],Lista_CUIT[#All],2,0)),"CUIT NO CARGADO")</f>
        <v>-</v>
      </c>
      <c r="H494" s="64"/>
      <c r="I494" s="64">
        <f>ventas_b_mes684[[#This Row],[IMPORTE NETO]]*0.21</f>
        <v>0</v>
      </c>
      <c r="J494" s="64"/>
      <c r="K494" s="64"/>
      <c r="L494" s="64">
        <f>SUM(ventas_b_mes684[[#This Row],[IMPORTE NETO]:[EXENTO]])</f>
        <v>0</v>
      </c>
      <c r="M494" s="59"/>
    </row>
    <row r="495" spans="2:13" x14ac:dyDescent="0.25">
      <c r="B495" s="40"/>
      <c r="C495" s="41"/>
      <c r="D495" s="42"/>
      <c r="E495" s="43"/>
      <c r="F495" s="44"/>
      <c r="G495" s="1" t="str">
        <f>IFERROR(IF(ventas_b_mes684[[#This Row],[CUIT]]="","-",VLOOKUP(ventas_b_mes684[[#This Row],[CUIT]],Lista_CUIT[#All],2,0)),"CUIT NO CARGADO")</f>
        <v>-</v>
      </c>
      <c r="H495" s="64"/>
      <c r="I495" s="64">
        <f>ventas_b_mes684[[#This Row],[IMPORTE NETO]]*0.21</f>
        <v>0</v>
      </c>
      <c r="J495" s="64"/>
      <c r="K495" s="64"/>
      <c r="L495" s="64">
        <f>SUM(ventas_b_mes684[[#This Row],[IMPORTE NETO]:[EXENTO]])</f>
        <v>0</v>
      </c>
      <c r="M495" s="59"/>
    </row>
    <row r="496" spans="2:13" x14ac:dyDescent="0.25">
      <c r="B496" s="40"/>
      <c r="C496" s="41"/>
      <c r="D496" s="42"/>
      <c r="E496" s="43"/>
      <c r="F496" s="44"/>
      <c r="G496" s="1" t="str">
        <f>IFERROR(IF(ventas_b_mes684[[#This Row],[CUIT]]="","-",VLOOKUP(ventas_b_mes684[[#This Row],[CUIT]],Lista_CUIT[#All],2,0)),"CUIT NO CARGADO")</f>
        <v>-</v>
      </c>
      <c r="H496" s="64"/>
      <c r="I496" s="64">
        <f>ventas_b_mes684[[#This Row],[IMPORTE NETO]]*0.21</f>
        <v>0</v>
      </c>
      <c r="J496" s="64"/>
      <c r="K496" s="64"/>
      <c r="L496" s="64">
        <f>SUM(ventas_b_mes684[[#This Row],[IMPORTE NETO]:[EXENTO]])</f>
        <v>0</v>
      </c>
      <c r="M496" s="59"/>
    </row>
    <row r="497" spans="2:13" x14ac:dyDescent="0.25">
      <c r="B497" s="40"/>
      <c r="C497" s="41"/>
      <c r="D497" s="42"/>
      <c r="E497" s="43"/>
      <c r="F497" s="44"/>
      <c r="G497" s="1" t="str">
        <f>IFERROR(IF(ventas_b_mes684[[#This Row],[CUIT]]="","-",VLOOKUP(ventas_b_mes684[[#This Row],[CUIT]],Lista_CUIT[#All],2,0)),"CUIT NO CARGADO")</f>
        <v>-</v>
      </c>
      <c r="H497" s="64"/>
      <c r="I497" s="64">
        <f>ventas_b_mes684[[#This Row],[IMPORTE NETO]]*0.21</f>
        <v>0</v>
      </c>
      <c r="J497" s="64"/>
      <c r="K497" s="64"/>
      <c r="L497" s="64">
        <f>SUM(ventas_b_mes684[[#This Row],[IMPORTE NETO]:[EXENTO]])</f>
        <v>0</v>
      </c>
      <c r="M497" s="59"/>
    </row>
    <row r="498" spans="2:13" x14ac:dyDescent="0.25">
      <c r="B498" s="40"/>
      <c r="C498" s="41"/>
      <c r="D498" s="42"/>
      <c r="E498" s="43"/>
      <c r="F498" s="44"/>
      <c r="G498" s="1" t="str">
        <f>IFERROR(IF(ventas_b_mes684[[#This Row],[CUIT]]="","-",VLOOKUP(ventas_b_mes684[[#This Row],[CUIT]],Lista_CUIT[#All],2,0)),"CUIT NO CARGADO")</f>
        <v>-</v>
      </c>
      <c r="H498" s="64"/>
      <c r="I498" s="64">
        <f>ventas_b_mes684[[#This Row],[IMPORTE NETO]]*0.21</f>
        <v>0</v>
      </c>
      <c r="J498" s="64"/>
      <c r="K498" s="64"/>
      <c r="L498" s="64">
        <f>SUM(ventas_b_mes684[[#This Row],[IMPORTE NETO]:[EXENTO]])</f>
        <v>0</v>
      </c>
      <c r="M498" s="59"/>
    </row>
    <row r="499" spans="2:13" x14ac:dyDescent="0.25">
      <c r="B499" s="40"/>
      <c r="C499" s="41"/>
      <c r="D499" s="42"/>
      <c r="E499" s="43"/>
      <c r="F499" s="44"/>
      <c r="G499" s="1" t="str">
        <f>IFERROR(IF(ventas_b_mes684[[#This Row],[CUIT]]="","-",VLOOKUP(ventas_b_mes684[[#This Row],[CUIT]],Lista_CUIT[#All],2,0)),"CUIT NO CARGADO")</f>
        <v>-</v>
      </c>
      <c r="H499" s="64"/>
      <c r="I499" s="64">
        <f>ventas_b_mes684[[#This Row],[IMPORTE NETO]]*0.21</f>
        <v>0</v>
      </c>
      <c r="J499" s="64"/>
      <c r="K499" s="64"/>
      <c r="L499" s="64">
        <f>SUM(ventas_b_mes684[[#This Row],[IMPORTE NETO]:[EXENTO]])</f>
        <v>0</v>
      </c>
      <c r="M499" s="59"/>
    </row>
    <row r="500" spans="2:13" x14ac:dyDescent="0.25">
      <c r="B500" s="40"/>
      <c r="C500" s="41"/>
      <c r="D500" s="42"/>
      <c r="E500" s="43"/>
      <c r="F500" s="44"/>
      <c r="G500" s="1" t="str">
        <f>IFERROR(IF(ventas_b_mes684[[#This Row],[CUIT]]="","-",VLOOKUP(ventas_b_mes684[[#This Row],[CUIT]],Lista_CUIT[#All],2,0)),"CUIT NO CARGADO")</f>
        <v>-</v>
      </c>
      <c r="H500" s="64"/>
      <c r="I500" s="64">
        <f>ventas_b_mes684[[#This Row],[IMPORTE NETO]]*0.21</f>
        <v>0</v>
      </c>
      <c r="J500" s="64"/>
      <c r="K500" s="64"/>
      <c r="L500" s="64">
        <f>SUM(ventas_b_mes684[[#This Row],[IMPORTE NETO]:[EXENTO]])</f>
        <v>0</v>
      </c>
      <c r="M500" s="59"/>
    </row>
    <row r="501" spans="2:13" x14ac:dyDescent="0.25">
      <c r="B501" s="40"/>
      <c r="C501" s="41"/>
      <c r="D501" s="42"/>
      <c r="E501" s="43"/>
      <c r="F501" s="44"/>
      <c r="G501" s="1" t="str">
        <f>IFERROR(IF(ventas_b_mes684[[#This Row],[CUIT]]="","-",VLOOKUP(ventas_b_mes684[[#This Row],[CUIT]],Lista_CUIT[#All],2,0)),"CUIT NO CARGADO")</f>
        <v>-</v>
      </c>
      <c r="H501" s="64"/>
      <c r="I501" s="64">
        <f>ventas_b_mes684[[#This Row],[IMPORTE NETO]]*0.21</f>
        <v>0</v>
      </c>
      <c r="J501" s="64"/>
      <c r="K501" s="64"/>
      <c r="L501" s="64">
        <f>SUM(ventas_b_mes684[[#This Row],[IMPORTE NETO]:[EXENTO]])</f>
        <v>0</v>
      </c>
      <c r="M501" s="59"/>
    </row>
    <row r="502" spans="2:13" x14ac:dyDescent="0.25">
      <c r="B502" s="40"/>
      <c r="C502" s="41"/>
      <c r="D502" s="42"/>
      <c r="E502" s="43"/>
      <c r="F502" s="44"/>
      <c r="G502" s="1" t="str">
        <f>IFERROR(IF(ventas_b_mes684[[#This Row],[CUIT]]="","-",VLOOKUP(ventas_b_mes684[[#This Row],[CUIT]],Lista_CUIT[#All],2,0)),"CUIT NO CARGADO")</f>
        <v>-</v>
      </c>
      <c r="H502" s="64"/>
      <c r="I502" s="64">
        <f>ventas_b_mes684[[#This Row],[IMPORTE NETO]]*0.21</f>
        <v>0</v>
      </c>
      <c r="J502" s="64"/>
      <c r="K502" s="64"/>
      <c r="L502" s="64">
        <f>SUM(ventas_b_mes684[[#This Row],[IMPORTE NETO]:[EXENTO]])</f>
        <v>0</v>
      </c>
      <c r="M502" s="59"/>
    </row>
    <row r="503" spans="2:13" x14ac:dyDescent="0.25">
      <c r="B503" s="40"/>
      <c r="C503" s="41"/>
      <c r="D503" s="42"/>
      <c r="E503" s="43"/>
      <c r="F503" s="44"/>
      <c r="G503" s="1" t="str">
        <f>IFERROR(IF(ventas_b_mes684[[#This Row],[CUIT]]="","-",VLOOKUP(ventas_b_mes684[[#This Row],[CUIT]],Lista_CUIT[#All],2,0)),"CUIT NO CARGADO")</f>
        <v>-</v>
      </c>
      <c r="H503" s="64"/>
      <c r="I503" s="64">
        <f>ventas_b_mes684[[#This Row],[IMPORTE NETO]]*0.21</f>
        <v>0</v>
      </c>
      <c r="J503" s="64"/>
      <c r="K503" s="64"/>
      <c r="L503" s="64">
        <f>SUM(ventas_b_mes684[[#This Row],[IMPORTE NETO]:[EXENTO]])</f>
        <v>0</v>
      </c>
      <c r="M503" s="59"/>
    </row>
    <row r="504" spans="2:13" x14ac:dyDescent="0.25">
      <c r="B504" s="40"/>
      <c r="C504" s="41"/>
      <c r="D504" s="42"/>
      <c r="E504" s="43"/>
      <c r="F504" s="44"/>
      <c r="G504" s="1" t="str">
        <f>IFERROR(IF(ventas_b_mes684[[#This Row],[CUIT]]="","-",VLOOKUP(ventas_b_mes684[[#This Row],[CUIT]],Lista_CUIT[#All],2,0)),"CUIT NO CARGADO")</f>
        <v>-</v>
      </c>
      <c r="H504" s="64"/>
      <c r="I504" s="64">
        <f>ventas_b_mes684[[#This Row],[IMPORTE NETO]]*0.21</f>
        <v>0</v>
      </c>
      <c r="J504" s="64"/>
      <c r="K504" s="64"/>
      <c r="L504" s="64">
        <f>SUM(ventas_b_mes684[[#This Row],[IMPORTE NETO]:[EXENTO]])</f>
        <v>0</v>
      </c>
      <c r="M504" s="59"/>
    </row>
    <row r="505" spans="2:13" x14ac:dyDescent="0.25">
      <c r="B505" s="40"/>
      <c r="C505" s="41"/>
      <c r="D505" s="42"/>
      <c r="E505" s="43"/>
      <c r="F505" s="44"/>
      <c r="G505" s="1" t="str">
        <f>IFERROR(IF(ventas_b_mes684[[#This Row],[CUIT]]="","-",VLOOKUP(ventas_b_mes684[[#This Row],[CUIT]],Lista_CUIT[#All],2,0)),"CUIT NO CARGADO")</f>
        <v>-</v>
      </c>
      <c r="H505" s="64"/>
      <c r="I505" s="64">
        <f>ventas_b_mes684[[#This Row],[IMPORTE NETO]]*0.21</f>
        <v>0</v>
      </c>
      <c r="J505" s="64"/>
      <c r="K505" s="64"/>
      <c r="L505" s="64">
        <f>SUM(ventas_b_mes684[[#This Row],[IMPORTE NETO]:[EXENTO]])</f>
        <v>0</v>
      </c>
      <c r="M505" s="59"/>
    </row>
    <row r="506" spans="2:13" x14ac:dyDescent="0.25">
      <c r="B506" s="40"/>
      <c r="C506" s="41"/>
      <c r="D506" s="42"/>
      <c r="E506" s="43"/>
      <c r="F506" s="44"/>
      <c r="G506" s="1" t="str">
        <f>IFERROR(IF(ventas_b_mes684[[#This Row],[CUIT]]="","-",VLOOKUP(ventas_b_mes684[[#This Row],[CUIT]],Lista_CUIT[#All],2,0)),"CUIT NO CARGADO")</f>
        <v>-</v>
      </c>
      <c r="H506" s="64"/>
      <c r="I506" s="64">
        <f>ventas_b_mes684[[#This Row],[IMPORTE NETO]]*0.21</f>
        <v>0</v>
      </c>
      <c r="J506" s="64"/>
      <c r="K506" s="64"/>
      <c r="L506" s="64">
        <f>SUM(ventas_b_mes684[[#This Row],[IMPORTE NETO]:[EXENTO]])</f>
        <v>0</v>
      </c>
      <c r="M506" s="59"/>
    </row>
    <row r="507" spans="2:13" x14ac:dyDescent="0.25">
      <c r="B507" s="40"/>
      <c r="C507" s="41"/>
      <c r="D507" s="42"/>
      <c r="E507" s="43"/>
      <c r="F507" s="44"/>
      <c r="G507" s="1" t="str">
        <f>IFERROR(IF(ventas_b_mes684[[#This Row],[CUIT]]="","-",VLOOKUP(ventas_b_mes684[[#This Row],[CUIT]],Lista_CUIT[#All],2,0)),"CUIT NO CARGADO")</f>
        <v>-</v>
      </c>
      <c r="H507" s="64"/>
      <c r="I507" s="64">
        <f>ventas_b_mes684[[#This Row],[IMPORTE NETO]]*0.21</f>
        <v>0</v>
      </c>
      <c r="J507" s="64"/>
      <c r="K507" s="64"/>
      <c r="L507" s="64">
        <f>SUM(ventas_b_mes684[[#This Row],[IMPORTE NETO]:[EXENTO]])</f>
        <v>0</v>
      </c>
      <c r="M507" s="59"/>
    </row>
    <row r="508" spans="2:13" x14ac:dyDescent="0.25">
      <c r="B508" s="40"/>
      <c r="C508" s="41"/>
      <c r="D508" s="42"/>
      <c r="E508" s="43"/>
      <c r="F508" s="44"/>
      <c r="G508" s="1" t="str">
        <f>IFERROR(IF(ventas_b_mes684[[#This Row],[CUIT]]="","-",VLOOKUP(ventas_b_mes684[[#This Row],[CUIT]],Lista_CUIT[#All],2,0)),"CUIT NO CARGADO")</f>
        <v>-</v>
      </c>
      <c r="H508" s="64"/>
      <c r="I508" s="64">
        <f>ventas_b_mes684[[#This Row],[IMPORTE NETO]]*0.21</f>
        <v>0</v>
      </c>
      <c r="J508" s="64"/>
      <c r="K508" s="64"/>
      <c r="L508" s="64">
        <f>SUM(ventas_b_mes684[[#This Row],[IMPORTE NETO]:[EXENTO]])</f>
        <v>0</v>
      </c>
      <c r="M508" s="59"/>
    </row>
    <row r="509" spans="2:13" x14ac:dyDescent="0.25">
      <c r="B509" s="40"/>
      <c r="C509" s="41"/>
      <c r="D509" s="42"/>
      <c r="E509" s="43"/>
      <c r="F509" s="44"/>
      <c r="G509" s="1" t="str">
        <f>IFERROR(IF(ventas_b_mes684[[#This Row],[CUIT]]="","-",VLOOKUP(ventas_b_mes684[[#This Row],[CUIT]],Lista_CUIT[#All],2,0)),"CUIT NO CARGADO")</f>
        <v>-</v>
      </c>
      <c r="H509" s="64"/>
      <c r="I509" s="64">
        <f>ventas_b_mes684[[#This Row],[IMPORTE NETO]]*0.21</f>
        <v>0</v>
      </c>
      <c r="J509" s="64"/>
      <c r="K509" s="64"/>
      <c r="L509" s="64">
        <f>SUM(ventas_b_mes684[[#This Row],[IMPORTE NETO]:[EXENTO]])</f>
        <v>0</v>
      </c>
      <c r="M509" s="59"/>
    </row>
    <row r="510" spans="2:13" x14ac:dyDescent="0.25">
      <c r="B510" s="40"/>
      <c r="C510" s="41"/>
      <c r="D510" s="42"/>
      <c r="E510" s="43"/>
      <c r="F510" s="44"/>
      <c r="G510" s="1" t="str">
        <f>IFERROR(IF(ventas_b_mes684[[#This Row],[CUIT]]="","-",VLOOKUP(ventas_b_mes684[[#This Row],[CUIT]],Lista_CUIT[#All],2,0)),"CUIT NO CARGADO")</f>
        <v>-</v>
      </c>
      <c r="H510" s="64"/>
      <c r="I510" s="64">
        <f>ventas_b_mes684[[#This Row],[IMPORTE NETO]]*0.21</f>
        <v>0</v>
      </c>
      <c r="J510" s="64"/>
      <c r="K510" s="64"/>
      <c r="L510" s="64">
        <f>SUM(ventas_b_mes684[[#This Row],[IMPORTE NETO]:[EXENTO]])</f>
        <v>0</v>
      </c>
      <c r="M510" s="59"/>
    </row>
    <row r="511" spans="2:13" x14ac:dyDescent="0.25">
      <c r="B511" s="40"/>
      <c r="C511" s="41"/>
      <c r="D511" s="42"/>
      <c r="E511" s="43"/>
      <c r="F511" s="44"/>
      <c r="G511" s="1" t="str">
        <f>IFERROR(IF(ventas_b_mes684[[#This Row],[CUIT]]="","-",VLOOKUP(ventas_b_mes684[[#This Row],[CUIT]],Lista_CUIT[#All],2,0)),"CUIT NO CARGADO")</f>
        <v>-</v>
      </c>
      <c r="H511" s="64"/>
      <c r="I511" s="64">
        <f>ventas_b_mes684[[#This Row],[IMPORTE NETO]]*0.21</f>
        <v>0</v>
      </c>
      <c r="J511" s="64"/>
      <c r="K511" s="64"/>
      <c r="L511" s="64">
        <f>SUM(ventas_b_mes684[[#This Row],[IMPORTE NETO]:[EXENTO]])</f>
        <v>0</v>
      </c>
      <c r="M511" s="59"/>
    </row>
    <row r="512" spans="2:13" x14ac:dyDescent="0.25">
      <c r="B512" s="40"/>
      <c r="C512" s="41"/>
      <c r="D512" s="42"/>
      <c r="E512" s="43"/>
      <c r="F512" s="44"/>
      <c r="G512" s="1" t="str">
        <f>IFERROR(IF(ventas_b_mes684[[#This Row],[CUIT]]="","-",VLOOKUP(ventas_b_mes684[[#This Row],[CUIT]],Lista_CUIT[#All],2,0)),"CUIT NO CARGADO")</f>
        <v>-</v>
      </c>
      <c r="H512" s="64"/>
      <c r="I512" s="64">
        <f>ventas_b_mes684[[#This Row],[IMPORTE NETO]]*0.21</f>
        <v>0</v>
      </c>
      <c r="J512" s="64"/>
      <c r="K512" s="64"/>
      <c r="L512" s="64">
        <f>SUM(ventas_b_mes684[[#This Row],[IMPORTE NETO]:[EXENTO]])</f>
        <v>0</v>
      </c>
      <c r="M512" s="59"/>
    </row>
    <row r="513" spans="2:13" x14ac:dyDescent="0.25">
      <c r="B513" s="40"/>
      <c r="C513" s="41"/>
      <c r="D513" s="42"/>
      <c r="E513" s="43"/>
      <c r="F513" s="44"/>
      <c r="G513" s="1" t="str">
        <f>IFERROR(IF(ventas_b_mes684[[#This Row],[CUIT]]="","-",VLOOKUP(ventas_b_mes684[[#This Row],[CUIT]],Lista_CUIT[#All],2,0)),"CUIT NO CARGADO")</f>
        <v>-</v>
      </c>
      <c r="H513" s="64"/>
      <c r="I513" s="64">
        <f>ventas_b_mes684[[#This Row],[IMPORTE NETO]]*0.21</f>
        <v>0</v>
      </c>
      <c r="J513" s="64"/>
      <c r="K513" s="64"/>
      <c r="L513" s="64">
        <f>SUM(ventas_b_mes684[[#This Row],[IMPORTE NETO]:[EXENTO]])</f>
        <v>0</v>
      </c>
      <c r="M513" s="59"/>
    </row>
    <row r="514" spans="2:13" x14ac:dyDescent="0.25">
      <c r="B514" s="40"/>
      <c r="C514" s="41"/>
      <c r="D514" s="42"/>
      <c r="E514" s="43"/>
      <c r="F514" s="44"/>
      <c r="G514" s="1" t="str">
        <f>IFERROR(IF(ventas_b_mes684[[#This Row],[CUIT]]="","-",VLOOKUP(ventas_b_mes684[[#This Row],[CUIT]],Lista_CUIT[#All],2,0)),"CUIT NO CARGADO")</f>
        <v>-</v>
      </c>
      <c r="H514" s="64"/>
      <c r="I514" s="64">
        <f>ventas_b_mes684[[#This Row],[IMPORTE NETO]]*0.21</f>
        <v>0</v>
      </c>
      <c r="J514" s="64"/>
      <c r="K514" s="64"/>
      <c r="L514" s="64">
        <f>SUM(ventas_b_mes684[[#This Row],[IMPORTE NETO]:[EXENTO]])</f>
        <v>0</v>
      </c>
      <c r="M514" s="59"/>
    </row>
    <row r="515" spans="2:13" x14ac:dyDescent="0.25">
      <c r="B515" s="40"/>
      <c r="C515" s="41"/>
      <c r="D515" s="42"/>
      <c r="E515" s="43"/>
      <c r="F515" s="44"/>
      <c r="G515" s="1" t="str">
        <f>IFERROR(IF(ventas_b_mes684[[#This Row],[CUIT]]="","-",VLOOKUP(ventas_b_mes684[[#This Row],[CUIT]],Lista_CUIT[#All],2,0)),"CUIT NO CARGADO")</f>
        <v>-</v>
      </c>
      <c r="H515" s="64"/>
      <c r="I515" s="64">
        <f>ventas_b_mes684[[#This Row],[IMPORTE NETO]]*0.21</f>
        <v>0</v>
      </c>
      <c r="J515" s="64"/>
      <c r="K515" s="64"/>
      <c r="L515" s="64">
        <f>SUM(ventas_b_mes684[[#This Row],[IMPORTE NETO]:[EXENTO]])</f>
        <v>0</v>
      </c>
      <c r="M515" s="59"/>
    </row>
    <row r="516" spans="2:13" x14ac:dyDescent="0.25">
      <c r="B516" s="40"/>
      <c r="C516" s="41"/>
      <c r="D516" s="42"/>
      <c r="E516" s="43"/>
      <c r="F516" s="44"/>
      <c r="G516" s="1" t="str">
        <f>IFERROR(IF(ventas_b_mes684[[#This Row],[CUIT]]="","-",VLOOKUP(ventas_b_mes684[[#This Row],[CUIT]],Lista_CUIT[#All],2,0)),"CUIT NO CARGADO")</f>
        <v>-</v>
      </c>
      <c r="H516" s="64"/>
      <c r="I516" s="64">
        <f>ventas_b_mes684[[#This Row],[IMPORTE NETO]]*0.21</f>
        <v>0</v>
      </c>
      <c r="J516" s="64"/>
      <c r="K516" s="64"/>
      <c r="L516" s="64">
        <f>SUM(ventas_b_mes684[[#This Row],[IMPORTE NETO]:[EXENTO]])</f>
        <v>0</v>
      </c>
      <c r="M516" s="59"/>
    </row>
    <row r="517" spans="2:13" x14ac:dyDescent="0.25">
      <c r="B517" s="40"/>
      <c r="C517" s="41"/>
      <c r="D517" s="42"/>
      <c r="E517" s="43"/>
      <c r="F517" s="44"/>
      <c r="G517" s="1" t="str">
        <f>IFERROR(IF(ventas_b_mes684[[#This Row],[CUIT]]="","-",VLOOKUP(ventas_b_mes684[[#This Row],[CUIT]],Lista_CUIT[#All],2,0)),"CUIT NO CARGADO")</f>
        <v>-</v>
      </c>
      <c r="H517" s="64"/>
      <c r="I517" s="64">
        <f>ventas_b_mes684[[#This Row],[IMPORTE NETO]]*0.21</f>
        <v>0</v>
      </c>
      <c r="J517" s="64"/>
      <c r="K517" s="64"/>
      <c r="L517" s="64">
        <f>SUM(ventas_b_mes684[[#This Row],[IMPORTE NETO]:[EXENTO]])</f>
        <v>0</v>
      </c>
      <c r="M517" s="59"/>
    </row>
    <row r="518" spans="2:13" x14ac:dyDescent="0.25">
      <c r="B518" s="40"/>
      <c r="C518" s="41"/>
      <c r="D518" s="42"/>
      <c r="E518" s="43"/>
      <c r="F518" s="44"/>
      <c r="G518" s="1" t="str">
        <f>IFERROR(IF(ventas_b_mes684[[#This Row],[CUIT]]="","-",VLOOKUP(ventas_b_mes684[[#This Row],[CUIT]],Lista_CUIT[#All],2,0)),"CUIT NO CARGADO")</f>
        <v>-</v>
      </c>
      <c r="H518" s="64"/>
      <c r="I518" s="64">
        <f>ventas_b_mes684[[#This Row],[IMPORTE NETO]]*0.21</f>
        <v>0</v>
      </c>
      <c r="J518" s="64"/>
      <c r="K518" s="64"/>
      <c r="L518" s="64">
        <f>SUM(ventas_b_mes684[[#This Row],[IMPORTE NETO]:[EXENTO]])</f>
        <v>0</v>
      </c>
      <c r="M518" s="59"/>
    </row>
    <row r="519" spans="2:13" x14ac:dyDescent="0.25">
      <c r="B519" s="40"/>
      <c r="C519" s="41"/>
      <c r="D519" s="42"/>
      <c r="E519" s="43"/>
      <c r="F519" s="44"/>
      <c r="G519" s="1" t="str">
        <f>IFERROR(IF(ventas_b_mes684[[#This Row],[CUIT]]="","-",VLOOKUP(ventas_b_mes684[[#This Row],[CUIT]],Lista_CUIT[#All],2,0)),"CUIT NO CARGADO")</f>
        <v>-</v>
      </c>
      <c r="H519" s="64"/>
      <c r="I519" s="64">
        <f>ventas_b_mes684[[#This Row],[IMPORTE NETO]]*0.21</f>
        <v>0</v>
      </c>
      <c r="J519" s="64"/>
      <c r="K519" s="64"/>
      <c r="L519" s="64">
        <f>SUM(ventas_b_mes684[[#This Row],[IMPORTE NETO]:[EXENTO]])</f>
        <v>0</v>
      </c>
      <c r="M519" s="59"/>
    </row>
    <row r="520" spans="2:13" x14ac:dyDescent="0.25">
      <c r="B520" s="40"/>
      <c r="C520" s="41"/>
      <c r="D520" s="42"/>
      <c r="E520" s="43"/>
      <c r="F520" s="44"/>
      <c r="G520" s="1" t="str">
        <f>IFERROR(IF(ventas_b_mes684[[#This Row],[CUIT]]="","-",VLOOKUP(ventas_b_mes684[[#This Row],[CUIT]],Lista_CUIT[#All],2,0)),"CUIT NO CARGADO")</f>
        <v>-</v>
      </c>
      <c r="H520" s="64"/>
      <c r="I520" s="64">
        <f>ventas_b_mes684[[#This Row],[IMPORTE NETO]]*0.21</f>
        <v>0</v>
      </c>
      <c r="J520" s="64"/>
      <c r="K520" s="64"/>
      <c r="L520" s="64">
        <f>SUM(ventas_b_mes684[[#This Row],[IMPORTE NETO]:[EXENTO]])</f>
        <v>0</v>
      </c>
      <c r="M520" s="59"/>
    </row>
    <row r="521" spans="2:13" x14ac:dyDescent="0.25">
      <c r="B521" s="40"/>
      <c r="C521" s="41"/>
      <c r="D521" s="42"/>
      <c r="E521" s="43"/>
      <c r="F521" s="44"/>
      <c r="G521" s="1" t="str">
        <f>IFERROR(IF(ventas_b_mes684[[#This Row],[CUIT]]="","-",VLOOKUP(ventas_b_mes684[[#This Row],[CUIT]],Lista_CUIT[#All],2,0)),"CUIT NO CARGADO")</f>
        <v>-</v>
      </c>
      <c r="H521" s="64"/>
      <c r="I521" s="64">
        <f>ventas_b_mes684[[#This Row],[IMPORTE NETO]]*0.21</f>
        <v>0</v>
      </c>
      <c r="J521" s="64"/>
      <c r="K521" s="64"/>
      <c r="L521" s="64">
        <f>SUM(ventas_b_mes684[[#This Row],[IMPORTE NETO]:[EXENTO]])</f>
        <v>0</v>
      </c>
      <c r="M521" s="59"/>
    </row>
    <row r="522" spans="2:13" x14ac:dyDescent="0.25">
      <c r="B522" s="40"/>
      <c r="C522" s="41"/>
      <c r="D522" s="42"/>
      <c r="E522" s="43"/>
      <c r="F522" s="44"/>
      <c r="G522" s="1" t="str">
        <f>IFERROR(IF(ventas_b_mes684[[#This Row],[CUIT]]="","-",VLOOKUP(ventas_b_mes684[[#This Row],[CUIT]],Lista_CUIT[#All],2,0)),"CUIT NO CARGADO")</f>
        <v>-</v>
      </c>
      <c r="H522" s="64"/>
      <c r="I522" s="64">
        <f>ventas_b_mes684[[#This Row],[IMPORTE NETO]]*0.21</f>
        <v>0</v>
      </c>
      <c r="J522" s="64"/>
      <c r="K522" s="64"/>
      <c r="L522" s="64">
        <f>SUM(ventas_b_mes684[[#This Row],[IMPORTE NETO]:[EXENTO]])</f>
        <v>0</v>
      </c>
      <c r="M522" s="59"/>
    </row>
    <row r="523" spans="2:13" x14ac:dyDescent="0.25">
      <c r="B523" s="40"/>
      <c r="C523" s="41"/>
      <c r="D523" s="42"/>
      <c r="E523" s="43"/>
      <c r="F523" s="44"/>
      <c r="G523" s="1" t="str">
        <f>IFERROR(IF(ventas_b_mes684[[#This Row],[CUIT]]="","-",VLOOKUP(ventas_b_mes684[[#This Row],[CUIT]],Lista_CUIT[#All],2,0)),"CUIT NO CARGADO")</f>
        <v>-</v>
      </c>
      <c r="H523" s="64"/>
      <c r="I523" s="64">
        <f>ventas_b_mes684[[#This Row],[IMPORTE NETO]]*0.21</f>
        <v>0</v>
      </c>
      <c r="J523" s="64"/>
      <c r="K523" s="64"/>
      <c r="L523" s="64">
        <f>SUM(ventas_b_mes684[[#This Row],[IMPORTE NETO]:[EXENTO]])</f>
        <v>0</v>
      </c>
      <c r="M523" s="59"/>
    </row>
    <row r="524" spans="2:13" x14ac:dyDescent="0.25">
      <c r="B524" s="40"/>
      <c r="C524" s="41"/>
      <c r="D524" s="42"/>
      <c r="E524" s="43"/>
      <c r="F524" s="44"/>
      <c r="G524" s="1" t="str">
        <f>IFERROR(IF(ventas_b_mes684[[#This Row],[CUIT]]="","-",VLOOKUP(ventas_b_mes684[[#This Row],[CUIT]],Lista_CUIT[#All],2,0)),"CUIT NO CARGADO")</f>
        <v>-</v>
      </c>
      <c r="H524" s="64"/>
      <c r="I524" s="64">
        <f>ventas_b_mes684[[#This Row],[IMPORTE NETO]]*0.21</f>
        <v>0</v>
      </c>
      <c r="J524" s="64"/>
      <c r="K524" s="64"/>
      <c r="L524" s="64">
        <f>SUM(ventas_b_mes684[[#This Row],[IMPORTE NETO]:[EXENTO]])</f>
        <v>0</v>
      </c>
      <c r="M524" s="59"/>
    </row>
    <row r="525" spans="2:13" x14ac:dyDescent="0.25">
      <c r="B525" s="40"/>
      <c r="C525" s="41"/>
      <c r="D525" s="42"/>
      <c r="E525" s="43"/>
      <c r="F525" s="44"/>
      <c r="G525" s="1" t="str">
        <f>IFERROR(IF(ventas_b_mes684[[#This Row],[CUIT]]="","-",VLOOKUP(ventas_b_mes684[[#This Row],[CUIT]],Lista_CUIT[#All],2,0)),"CUIT NO CARGADO")</f>
        <v>-</v>
      </c>
      <c r="H525" s="64"/>
      <c r="I525" s="64">
        <f>ventas_b_mes684[[#This Row],[IMPORTE NETO]]*0.21</f>
        <v>0</v>
      </c>
      <c r="J525" s="64"/>
      <c r="K525" s="64"/>
      <c r="L525" s="64">
        <f>SUM(ventas_b_mes684[[#This Row],[IMPORTE NETO]:[EXENTO]])</f>
        <v>0</v>
      </c>
      <c r="M525" s="59"/>
    </row>
    <row r="526" spans="2:13" x14ac:dyDescent="0.25">
      <c r="B526" s="40"/>
      <c r="C526" s="41"/>
      <c r="D526" s="42"/>
      <c r="E526" s="43"/>
      <c r="F526" s="44"/>
      <c r="G526" s="1" t="str">
        <f>IFERROR(IF(ventas_b_mes684[[#This Row],[CUIT]]="","-",VLOOKUP(ventas_b_mes684[[#This Row],[CUIT]],Lista_CUIT[#All],2,0)),"CUIT NO CARGADO")</f>
        <v>-</v>
      </c>
      <c r="H526" s="64"/>
      <c r="I526" s="64">
        <f>ventas_b_mes684[[#This Row],[IMPORTE NETO]]*0.21</f>
        <v>0</v>
      </c>
      <c r="J526" s="64"/>
      <c r="K526" s="64"/>
      <c r="L526" s="64">
        <f>SUM(ventas_b_mes684[[#This Row],[IMPORTE NETO]:[EXENTO]])</f>
        <v>0</v>
      </c>
      <c r="M526" s="59"/>
    </row>
    <row r="527" spans="2:13" x14ac:dyDescent="0.25">
      <c r="B527" s="40"/>
      <c r="C527" s="41"/>
      <c r="D527" s="42"/>
      <c r="E527" s="43"/>
      <c r="F527" s="44"/>
      <c r="G527" s="1" t="str">
        <f>IFERROR(IF(ventas_b_mes684[[#This Row],[CUIT]]="","-",VLOOKUP(ventas_b_mes684[[#This Row],[CUIT]],Lista_CUIT[#All],2,0)),"CUIT NO CARGADO")</f>
        <v>-</v>
      </c>
      <c r="H527" s="64"/>
      <c r="I527" s="64">
        <f>ventas_b_mes684[[#This Row],[IMPORTE NETO]]*0.21</f>
        <v>0</v>
      </c>
      <c r="J527" s="64"/>
      <c r="K527" s="64"/>
      <c r="L527" s="64">
        <f>SUM(ventas_b_mes684[[#This Row],[IMPORTE NETO]:[EXENTO]])</f>
        <v>0</v>
      </c>
      <c r="M527" s="59"/>
    </row>
    <row r="528" spans="2:13" x14ac:dyDescent="0.25">
      <c r="B528" s="40"/>
      <c r="C528" s="41"/>
      <c r="D528" s="42"/>
      <c r="E528" s="43"/>
      <c r="F528" s="44"/>
      <c r="G528" s="1" t="str">
        <f>IFERROR(IF(ventas_b_mes684[[#This Row],[CUIT]]="","-",VLOOKUP(ventas_b_mes684[[#This Row],[CUIT]],Lista_CUIT[#All],2,0)),"CUIT NO CARGADO")</f>
        <v>-</v>
      </c>
      <c r="H528" s="64"/>
      <c r="I528" s="64">
        <f>ventas_b_mes684[[#This Row],[IMPORTE NETO]]*0.21</f>
        <v>0</v>
      </c>
      <c r="J528" s="64"/>
      <c r="K528" s="64"/>
      <c r="L528" s="64">
        <f>SUM(ventas_b_mes684[[#This Row],[IMPORTE NETO]:[EXENTO]])</f>
        <v>0</v>
      </c>
      <c r="M528" s="59"/>
    </row>
    <row r="529" spans="2:13" x14ac:dyDescent="0.25">
      <c r="B529" s="40"/>
      <c r="C529" s="41"/>
      <c r="D529" s="42"/>
      <c r="E529" s="43"/>
      <c r="F529" s="44"/>
      <c r="G529" s="1" t="str">
        <f>IFERROR(IF(ventas_b_mes684[[#This Row],[CUIT]]="","-",VLOOKUP(ventas_b_mes684[[#This Row],[CUIT]],Lista_CUIT[#All],2,0)),"CUIT NO CARGADO")</f>
        <v>-</v>
      </c>
      <c r="H529" s="64"/>
      <c r="I529" s="64">
        <f>ventas_b_mes684[[#This Row],[IMPORTE NETO]]*0.21</f>
        <v>0</v>
      </c>
      <c r="J529" s="64"/>
      <c r="K529" s="64"/>
      <c r="L529" s="64">
        <f>SUM(ventas_b_mes684[[#This Row],[IMPORTE NETO]:[EXENTO]])</f>
        <v>0</v>
      </c>
      <c r="M529" s="59"/>
    </row>
    <row r="530" spans="2:13" x14ac:dyDescent="0.25">
      <c r="B530" s="40"/>
      <c r="C530" s="41"/>
      <c r="D530" s="42"/>
      <c r="E530" s="43"/>
      <c r="F530" s="44"/>
      <c r="G530" s="1" t="str">
        <f>IFERROR(IF(ventas_b_mes684[[#This Row],[CUIT]]="","-",VLOOKUP(ventas_b_mes684[[#This Row],[CUIT]],Lista_CUIT[#All],2,0)),"CUIT NO CARGADO")</f>
        <v>-</v>
      </c>
      <c r="H530" s="64"/>
      <c r="I530" s="64">
        <f>ventas_b_mes684[[#This Row],[IMPORTE NETO]]*0.21</f>
        <v>0</v>
      </c>
      <c r="J530" s="64"/>
      <c r="K530" s="64"/>
      <c r="L530" s="64">
        <f>SUM(ventas_b_mes684[[#This Row],[IMPORTE NETO]:[EXENTO]])</f>
        <v>0</v>
      </c>
      <c r="M530" s="59"/>
    </row>
    <row r="531" spans="2:13" x14ac:dyDescent="0.25">
      <c r="B531" s="40"/>
      <c r="C531" s="41"/>
      <c r="D531" s="42"/>
      <c r="E531" s="43"/>
      <c r="F531" s="44"/>
      <c r="G531" s="1" t="str">
        <f>IFERROR(IF(ventas_b_mes684[[#This Row],[CUIT]]="","-",VLOOKUP(ventas_b_mes684[[#This Row],[CUIT]],Lista_CUIT[#All],2,0)),"CUIT NO CARGADO")</f>
        <v>-</v>
      </c>
      <c r="H531" s="64"/>
      <c r="I531" s="64">
        <f>ventas_b_mes684[[#This Row],[IMPORTE NETO]]*0.21</f>
        <v>0</v>
      </c>
      <c r="J531" s="64"/>
      <c r="K531" s="64"/>
      <c r="L531" s="64">
        <f>SUM(ventas_b_mes684[[#This Row],[IMPORTE NETO]:[EXENTO]])</f>
        <v>0</v>
      </c>
      <c r="M531" s="59"/>
    </row>
    <row r="532" spans="2:13" x14ac:dyDescent="0.25">
      <c r="B532" s="40"/>
      <c r="C532" s="41"/>
      <c r="D532" s="42"/>
      <c r="E532" s="43"/>
      <c r="F532" s="44"/>
      <c r="G532" s="1" t="str">
        <f>IFERROR(IF(ventas_b_mes684[[#This Row],[CUIT]]="","-",VLOOKUP(ventas_b_mes684[[#This Row],[CUIT]],Lista_CUIT[#All],2,0)),"CUIT NO CARGADO")</f>
        <v>-</v>
      </c>
      <c r="H532" s="64"/>
      <c r="I532" s="64">
        <f>ventas_b_mes684[[#This Row],[IMPORTE NETO]]*0.21</f>
        <v>0</v>
      </c>
      <c r="J532" s="64"/>
      <c r="K532" s="64"/>
      <c r="L532" s="64">
        <f>SUM(ventas_b_mes684[[#This Row],[IMPORTE NETO]:[EXENTO]])</f>
        <v>0</v>
      </c>
      <c r="M532" s="59"/>
    </row>
    <row r="533" spans="2:13" x14ac:dyDescent="0.25">
      <c r="B533" s="40"/>
      <c r="C533" s="41"/>
      <c r="D533" s="42"/>
      <c r="E533" s="43"/>
      <c r="F533" s="44"/>
      <c r="G533" s="1" t="str">
        <f>IFERROR(IF(ventas_b_mes684[[#This Row],[CUIT]]="","-",VLOOKUP(ventas_b_mes684[[#This Row],[CUIT]],Lista_CUIT[#All],2,0)),"CUIT NO CARGADO")</f>
        <v>-</v>
      </c>
      <c r="H533" s="64"/>
      <c r="I533" s="64">
        <f>ventas_b_mes684[[#This Row],[IMPORTE NETO]]*0.21</f>
        <v>0</v>
      </c>
      <c r="J533" s="64"/>
      <c r="K533" s="64"/>
      <c r="L533" s="64">
        <f>SUM(ventas_b_mes684[[#This Row],[IMPORTE NETO]:[EXENTO]])</f>
        <v>0</v>
      </c>
      <c r="M533" s="59"/>
    </row>
    <row r="534" spans="2:13" x14ac:dyDescent="0.25">
      <c r="B534" s="40"/>
      <c r="C534" s="41"/>
      <c r="D534" s="42"/>
      <c r="E534" s="43"/>
      <c r="F534" s="44"/>
      <c r="G534" s="1" t="str">
        <f>IFERROR(IF(ventas_b_mes684[[#This Row],[CUIT]]="","-",VLOOKUP(ventas_b_mes684[[#This Row],[CUIT]],Lista_CUIT[#All],2,0)),"CUIT NO CARGADO")</f>
        <v>-</v>
      </c>
      <c r="H534" s="64"/>
      <c r="I534" s="64">
        <f>ventas_b_mes684[[#This Row],[IMPORTE NETO]]*0.21</f>
        <v>0</v>
      </c>
      <c r="J534" s="64"/>
      <c r="K534" s="64"/>
      <c r="L534" s="64">
        <f>SUM(ventas_b_mes684[[#This Row],[IMPORTE NETO]:[EXENTO]])</f>
        <v>0</v>
      </c>
      <c r="M534" s="59"/>
    </row>
    <row r="535" spans="2:13" x14ac:dyDescent="0.25">
      <c r="B535" s="40"/>
      <c r="C535" s="41"/>
      <c r="D535" s="42"/>
      <c r="E535" s="43"/>
      <c r="F535" s="44"/>
      <c r="G535" s="1" t="str">
        <f>IFERROR(IF(ventas_b_mes684[[#This Row],[CUIT]]="","-",VLOOKUP(ventas_b_mes684[[#This Row],[CUIT]],Lista_CUIT[#All],2,0)),"CUIT NO CARGADO")</f>
        <v>-</v>
      </c>
      <c r="H535" s="64"/>
      <c r="I535" s="64">
        <f>ventas_b_mes684[[#This Row],[IMPORTE NETO]]*0.21</f>
        <v>0</v>
      </c>
      <c r="J535" s="64"/>
      <c r="K535" s="64"/>
      <c r="L535" s="64">
        <f>SUM(ventas_b_mes684[[#This Row],[IMPORTE NETO]:[EXENTO]])</f>
        <v>0</v>
      </c>
      <c r="M535" s="59"/>
    </row>
    <row r="536" spans="2:13" x14ac:dyDescent="0.25">
      <c r="B536" s="40"/>
      <c r="C536" s="41"/>
      <c r="D536" s="42"/>
      <c r="E536" s="43"/>
      <c r="F536" s="44"/>
      <c r="G536" s="1" t="str">
        <f>IFERROR(IF(ventas_b_mes684[[#This Row],[CUIT]]="","-",VLOOKUP(ventas_b_mes684[[#This Row],[CUIT]],Lista_CUIT[#All],2,0)),"CUIT NO CARGADO")</f>
        <v>-</v>
      </c>
      <c r="H536" s="64"/>
      <c r="I536" s="64">
        <f>ventas_b_mes684[[#This Row],[IMPORTE NETO]]*0.21</f>
        <v>0</v>
      </c>
      <c r="J536" s="64"/>
      <c r="K536" s="64"/>
      <c r="L536" s="64">
        <f>SUM(ventas_b_mes684[[#This Row],[IMPORTE NETO]:[EXENTO]])</f>
        <v>0</v>
      </c>
      <c r="M536" s="59"/>
    </row>
    <row r="537" spans="2:13" x14ac:dyDescent="0.25">
      <c r="B537" s="40"/>
      <c r="C537" s="41"/>
      <c r="D537" s="42"/>
      <c r="E537" s="43"/>
      <c r="F537" s="44"/>
      <c r="G537" s="1" t="str">
        <f>IFERROR(IF(ventas_b_mes684[[#This Row],[CUIT]]="","-",VLOOKUP(ventas_b_mes684[[#This Row],[CUIT]],Lista_CUIT[#All],2,0)),"CUIT NO CARGADO")</f>
        <v>-</v>
      </c>
      <c r="H537" s="64"/>
      <c r="I537" s="64">
        <f>ventas_b_mes684[[#This Row],[IMPORTE NETO]]*0.21</f>
        <v>0</v>
      </c>
      <c r="J537" s="64"/>
      <c r="K537" s="64"/>
      <c r="L537" s="64">
        <f>SUM(ventas_b_mes684[[#This Row],[IMPORTE NETO]:[EXENTO]])</f>
        <v>0</v>
      </c>
      <c r="M537" s="59"/>
    </row>
    <row r="538" spans="2:13" x14ac:dyDescent="0.25">
      <c r="B538" s="40"/>
      <c r="C538" s="41"/>
      <c r="D538" s="42"/>
      <c r="E538" s="43"/>
      <c r="F538" s="44"/>
      <c r="G538" s="1" t="str">
        <f>IFERROR(IF(ventas_b_mes684[[#This Row],[CUIT]]="","-",VLOOKUP(ventas_b_mes684[[#This Row],[CUIT]],Lista_CUIT[#All],2,0)),"CUIT NO CARGADO")</f>
        <v>-</v>
      </c>
      <c r="H538" s="64"/>
      <c r="I538" s="64">
        <f>ventas_b_mes684[[#This Row],[IMPORTE NETO]]*0.21</f>
        <v>0</v>
      </c>
      <c r="J538" s="64"/>
      <c r="K538" s="64"/>
      <c r="L538" s="64">
        <f>SUM(ventas_b_mes684[[#This Row],[IMPORTE NETO]:[EXENTO]])</f>
        <v>0</v>
      </c>
      <c r="M538" s="59"/>
    </row>
    <row r="539" spans="2:13" x14ac:dyDescent="0.25">
      <c r="B539" s="40"/>
      <c r="C539" s="41"/>
      <c r="D539" s="42"/>
      <c r="E539" s="43"/>
      <c r="F539" s="44"/>
      <c r="G539" s="1" t="str">
        <f>IFERROR(IF(ventas_b_mes684[[#This Row],[CUIT]]="","-",VLOOKUP(ventas_b_mes684[[#This Row],[CUIT]],Lista_CUIT[#All],2,0)),"CUIT NO CARGADO")</f>
        <v>-</v>
      </c>
      <c r="H539" s="64"/>
      <c r="I539" s="64">
        <f>ventas_b_mes684[[#This Row],[IMPORTE NETO]]*0.21</f>
        <v>0</v>
      </c>
      <c r="J539" s="64"/>
      <c r="K539" s="64"/>
      <c r="L539" s="64">
        <f>SUM(ventas_b_mes684[[#This Row],[IMPORTE NETO]:[EXENTO]])</f>
        <v>0</v>
      </c>
      <c r="M539" s="59"/>
    </row>
    <row r="540" spans="2:13" x14ac:dyDescent="0.25">
      <c r="B540" s="40"/>
      <c r="C540" s="41"/>
      <c r="D540" s="42"/>
      <c r="E540" s="43"/>
      <c r="F540" s="44"/>
      <c r="G540" s="1" t="str">
        <f>IFERROR(IF(ventas_b_mes684[[#This Row],[CUIT]]="","-",VLOOKUP(ventas_b_mes684[[#This Row],[CUIT]],Lista_CUIT[#All],2,0)),"CUIT NO CARGADO")</f>
        <v>-</v>
      </c>
      <c r="H540" s="64"/>
      <c r="I540" s="64">
        <f>ventas_b_mes684[[#This Row],[IMPORTE NETO]]*0.21</f>
        <v>0</v>
      </c>
      <c r="J540" s="64"/>
      <c r="K540" s="64"/>
      <c r="L540" s="64">
        <f>SUM(ventas_b_mes684[[#This Row],[IMPORTE NETO]:[EXENTO]])</f>
        <v>0</v>
      </c>
      <c r="M540" s="59"/>
    </row>
    <row r="541" spans="2:13" x14ac:dyDescent="0.25">
      <c r="B541" s="40"/>
      <c r="C541" s="41"/>
      <c r="D541" s="42"/>
      <c r="E541" s="43"/>
      <c r="F541" s="44"/>
      <c r="G541" s="1" t="str">
        <f>IFERROR(IF(ventas_b_mes684[[#This Row],[CUIT]]="","-",VLOOKUP(ventas_b_mes684[[#This Row],[CUIT]],Lista_CUIT[#All],2,0)),"CUIT NO CARGADO")</f>
        <v>-</v>
      </c>
      <c r="H541" s="64"/>
      <c r="I541" s="64">
        <f>ventas_b_mes684[[#This Row],[IMPORTE NETO]]*0.21</f>
        <v>0</v>
      </c>
      <c r="J541" s="64"/>
      <c r="K541" s="64"/>
      <c r="L541" s="64">
        <f>SUM(ventas_b_mes684[[#This Row],[IMPORTE NETO]:[EXENTO]])</f>
        <v>0</v>
      </c>
      <c r="M541" s="59"/>
    </row>
    <row r="542" spans="2:13" x14ac:dyDescent="0.25">
      <c r="B542" s="40"/>
      <c r="C542" s="41"/>
      <c r="D542" s="42"/>
      <c r="E542" s="43"/>
      <c r="F542" s="44"/>
      <c r="G542" s="1" t="str">
        <f>IFERROR(IF(ventas_b_mes684[[#This Row],[CUIT]]="","-",VLOOKUP(ventas_b_mes684[[#This Row],[CUIT]],Lista_CUIT[#All],2,0)),"CUIT NO CARGADO")</f>
        <v>-</v>
      </c>
      <c r="H542" s="64"/>
      <c r="I542" s="64">
        <f>ventas_b_mes684[[#This Row],[IMPORTE NETO]]*0.21</f>
        <v>0</v>
      </c>
      <c r="J542" s="64"/>
      <c r="K542" s="64"/>
      <c r="L542" s="64">
        <f>SUM(ventas_b_mes684[[#This Row],[IMPORTE NETO]:[EXENTO]])</f>
        <v>0</v>
      </c>
      <c r="M542" s="59"/>
    </row>
    <row r="543" spans="2:13" x14ac:dyDescent="0.25">
      <c r="B543" s="40"/>
      <c r="C543" s="41"/>
      <c r="D543" s="42"/>
      <c r="E543" s="43"/>
      <c r="F543" s="44"/>
      <c r="G543" s="1" t="str">
        <f>IFERROR(IF(ventas_b_mes684[[#This Row],[CUIT]]="","-",VLOOKUP(ventas_b_mes684[[#This Row],[CUIT]],Lista_CUIT[#All],2,0)),"CUIT NO CARGADO")</f>
        <v>-</v>
      </c>
      <c r="H543" s="64"/>
      <c r="I543" s="64">
        <f>ventas_b_mes684[[#This Row],[IMPORTE NETO]]*0.21</f>
        <v>0</v>
      </c>
      <c r="J543" s="64"/>
      <c r="K543" s="64"/>
      <c r="L543" s="64">
        <f>SUM(ventas_b_mes684[[#This Row],[IMPORTE NETO]:[EXENTO]])</f>
        <v>0</v>
      </c>
      <c r="M543" s="59"/>
    </row>
    <row r="544" spans="2:13" x14ac:dyDescent="0.25">
      <c r="B544" s="40"/>
      <c r="C544" s="41"/>
      <c r="D544" s="42"/>
      <c r="E544" s="43"/>
      <c r="F544" s="44"/>
      <c r="G544" s="1" t="str">
        <f>IFERROR(IF(ventas_b_mes684[[#This Row],[CUIT]]="","-",VLOOKUP(ventas_b_mes684[[#This Row],[CUIT]],Lista_CUIT[#All],2,0)),"CUIT NO CARGADO")</f>
        <v>-</v>
      </c>
      <c r="H544" s="64"/>
      <c r="I544" s="64">
        <f>ventas_b_mes684[[#This Row],[IMPORTE NETO]]*0.21</f>
        <v>0</v>
      </c>
      <c r="J544" s="64"/>
      <c r="K544" s="64"/>
      <c r="L544" s="64">
        <f>SUM(ventas_b_mes684[[#This Row],[IMPORTE NETO]:[EXENTO]])</f>
        <v>0</v>
      </c>
      <c r="M544" s="59"/>
    </row>
    <row r="545" spans="2:13" x14ac:dyDescent="0.25">
      <c r="B545" s="40"/>
      <c r="C545" s="41"/>
      <c r="D545" s="42"/>
      <c r="E545" s="43"/>
      <c r="F545" s="44"/>
      <c r="G545" s="1" t="str">
        <f>IFERROR(IF(ventas_b_mes684[[#This Row],[CUIT]]="","-",VLOOKUP(ventas_b_mes684[[#This Row],[CUIT]],Lista_CUIT[#All],2,0)),"CUIT NO CARGADO")</f>
        <v>-</v>
      </c>
      <c r="H545" s="64"/>
      <c r="I545" s="64">
        <f>ventas_b_mes684[[#This Row],[IMPORTE NETO]]*0.21</f>
        <v>0</v>
      </c>
      <c r="J545" s="64"/>
      <c r="K545" s="64"/>
      <c r="L545" s="64">
        <f>SUM(ventas_b_mes684[[#This Row],[IMPORTE NETO]:[EXENTO]])</f>
        <v>0</v>
      </c>
      <c r="M545" s="59"/>
    </row>
    <row r="546" spans="2:13" x14ac:dyDescent="0.25">
      <c r="B546" s="40"/>
      <c r="C546" s="41"/>
      <c r="D546" s="42"/>
      <c r="E546" s="43"/>
      <c r="F546" s="44"/>
      <c r="G546" s="1" t="str">
        <f>IFERROR(IF(ventas_b_mes684[[#This Row],[CUIT]]="","-",VLOOKUP(ventas_b_mes684[[#This Row],[CUIT]],Lista_CUIT[#All],2,0)),"CUIT NO CARGADO")</f>
        <v>-</v>
      </c>
      <c r="H546" s="64"/>
      <c r="I546" s="64">
        <f>ventas_b_mes684[[#This Row],[IMPORTE NETO]]*0.21</f>
        <v>0</v>
      </c>
      <c r="J546" s="64"/>
      <c r="K546" s="64"/>
      <c r="L546" s="64">
        <f>SUM(ventas_b_mes684[[#This Row],[IMPORTE NETO]:[EXENTO]])</f>
        <v>0</v>
      </c>
      <c r="M546" s="59"/>
    </row>
    <row r="547" spans="2:13" x14ac:dyDescent="0.25">
      <c r="B547" s="40"/>
      <c r="C547" s="41"/>
      <c r="D547" s="42"/>
      <c r="E547" s="43"/>
      <c r="F547" s="44"/>
      <c r="G547" s="1" t="str">
        <f>IFERROR(IF(ventas_b_mes684[[#This Row],[CUIT]]="","-",VLOOKUP(ventas_b_mes684[[#This Row],[CUIT]],Lista_CUIT[#All],2,0)),"CUIT NO CARGADO")</f>
        <v>-</v>
      </c>
      <c r="H547" s="64"/>
      <c r="I547" s="64">
        <f>ventas_b_mes684[[#This Row],[IMPORTE NETO]]*0.21</f>
        <v>0</v>
      </c>
      <c r="J547" s="64"/>
      <c r="K547" s="64"/>
      <c r="L547" s="64">
        <f>SUM(ventas_b_mes684[[#This Row],[IMPORTE NETO]:[EXENTO]])</f>
        <v>0</v>
      </c>
      <c r="M547" s="59"/>
    </row>
    <row r="548" spans="2:13" x14ac:dyDescent="0.25">
      <c r="B548" s="40"/>
      <c r="C548" s="41"/>
      <c r="D548" s="42"/>
      <c r="E548" s="43"/>
      <c r="F548" s="44"/>
      <c r="G548" s="1" t="str">
        <f>IFERROR(IF(ventas_b_mes684[[#This Row],[CUIT]]="","-",VLOOKUP(ventas_b_mes684[[#This Row],[CUIT]],Lista_CUIT[#All],2,0)),"CUIT NO CARGADO")</f>
        <v>-</v>
      </c>
      <c r="H548" s="64"/>
      <c r="I548" s="64">
        <f>ventas_b_mes684[[#This Row],[IMPORTE NETO]]*0.21</f>
        <v>0</v>
      </c>
      <c r="J548" s="64"/>
      <c r="K548" s="64"/>
      <c r="L548" s="64">
        <f>SUM(ventas_b_mes684[[#This Row],[IMPORTE NETO]:[EXENTO]])</f>
        <v>0</v>
      </c>
      <c r="M548" s="59"/>
    </row>
    <row r="549" spans="2:13" x14ac:dyDescent="0.25">
      <c r="B549" s="40"/>
      <c r="C549" s="41"/>
      <c r="D549" s="42"/>
      <c r="E549" s="43"/>
      <c r="F549" s="44"/>
      <c r="G549" s="1" t="str">
        <f>IFERROR(IF(ventas_b_mes684[[#This Row],[CUIT]]="","-",VLOOKUP(ventas_b_mes684[[#This Row],[CUIT]],Lista_CUIT[#All],2,0)),"CUIT NO CARGADO")</f>
        <v>-</v>
      </c>
      <c r="H549" s="64"/>
      <c r="I549" s="64">
        <f>ventas_b_mes684[[#This Row],[IMPORTE NETO]]*0.21</f>
        <v>0</v>
      </c>
      <c r="J549" s="64"/>
      <c r="K549" s="64"/>
      <c r="L549" s="64">
        <f>SUM(ventas_b_mes684[[#This Row],[IMPORTE NETO]:[EXENTO]])</f>
        <v>0</v>
      </c>
      <c r="M549" s="59"/>
    </row>
    <row r="550" spans="2:13" x14ac:dyDescent="0.25">
      <c r="B550" s="40"/>
      <c r="C550" s="41"/>
      <c r="D550" s="42"/>
      <c r="E550" s="43"/>
      <c r="F550" s="44"/>
      <c r="G550" s="1" t="str">
        <f>IFERROR(IF(ventas_b_mes684[[#This Row],[CUIT]]="","-",VLOOKUP(ventas_b_mes684[[#This Row],[CUIT]],Lista_CUIT[#All],2,0)),"CUIT NO CARGADO")</f>
        <v>-</v>
      </c>
      <c r="H550" s="64"/>
      <c r="I550" s="64">
        <f>ventas_b_mes684[[#This Row],[IMPORTE NETO]]*0.21</f>
        <v>0</v>
      </c>
      <c r="J550" s="64"/>
      <c r="K550" s="64"/>
      <c r="L550" s="64">
        <f>SUM(ventas_b_mes684[[#This Row],[IMPORTE NETO]:[EXENTO]])</f>
        <v>0</v>
      </c>
      <c r="M550" s="59"/>
    </row>
    <row r="551" spans="2:13" x14ac:dyDescent="0.25">
      <c r="B551" s="40"/>
      <c r="C551" s="41"/>
      <c r="D551" s="42"/>
      <c r="E551" s="43"/>
      <c r="F551" s="44"/>
      <c r="G551" s="1" t="str">
        <f>IFERROR(IF(ventas_b_mes684[[#This Row],[CUIT]]="","-",VLOOKUP(ventas_b_mes684[[#This Row],[CUIT]],Lista_CUIT[#All],2,0)),"CUIT NO CARGADO")</f>
        <v>-</v>
      </c>
      <c r="H551" s="64"/>
      <c r="I551" s="64">
        <f>ventas_b_mes684[[#This Row],[IMPORTE NETO]]*0.21</f>
        <v>0</v>
      </c>
      <c r="J551" s="64"/>
      <c r="K551" s="64"/>
      <c r="L551" s="64">
        <f>SUM(ventas_b_mes684[[#This Row],[IMPORTE NETO]:[EXENTO]])</f>
        <v>0</v>
      </c>
      <c r="M551" s="59"/>
    </row>
    <row r="552" spans="2:13" x14ac:dyDescent="0.25">
      <c r="B552" s="40"/>
      <c r="C552" s="41"/>
      <c r="D552" s="42"/>
      <c r="E552" s="43"/>
      <c r="F552" s="44"/>
      <c r="G552" s="1" t="str">
        <f>IFERROR(IF(ventas_b_mes684[[#This Row],[CUIT]]="","-",VLOOKUP(ventas_b_mes684[[#This Row],[CUIT]],Lista_CUIT[#All],2,0)),"CUIT NO CARGADO")</f>
        <v>-</v>
      </c>
      <c r="H552" s="64"/>
      <c r="I552" s="64">
        <f>ventas_b_mes684[[#This Row],[IMPORTE NETO]]*0.21</f>
        <v>0</v>
      </c>
      <c r="J552" s="64"/>
      <c r="K552" s="64"/>
      <c r="L552" s="64">
        <f>SUM(ventas_b_mes684[[#This Row],[IMPORTE NETO]:[EXENTO]])</f>
        <v>0</v>
      </c>
      <c r="M552" s="59"/>
    </row>
    <row r="553" spans="2:13" x14ac:dyDescent="0.25">
      <c r="B553" s="40"/>
      <c r="C553" s="41"/>
      <c r="D553" s="42"/>
      <c r="E553" s="43"/>
      <c r="F553" s="44"/>
      <c r="G553" s="1" t="str">
        <f>IFERROR(IF(ventas_b_mes684[[#This Row],[CUIT]]="","-",VLOOKUP(ventas_b_mes684[[#This Row],[CUIT]],Lista_CUIT[#All],2,0)),"CUIT NO CARGADO")</f>
        <v>-</v>
      </c>
      <c r="H553" s="64"/>
      <c r="I553" s="64">
        <f>ventas_b_mes684[[#This Row],[IMPORTE NETO]]*0.21</f>
        <v>0</v>
      </c>
      <c r="J553" s="64"/>
      <c r="K553" s="64"/>
      <c r="L553" s="64">
        <f>SUM(ventas_b_mes684[[#This Row],[IMPORTE NETO]:[EXENTO]])</f>
        <v>0</v>
      </c>
      <c r="M553" s="59"/>
    </row>
    <row r="554" spans="2:13" x14ac:dyDescent="0.25">
      <c r="B554" s="40"/>
      <c r="C554" s="41"/>
      <c r="D554" s="42"/>
      <c r="E554" s="43"/>
      <c r="F554" s="44"/>
      <c r="G554" s="1" t="str">
        <f>IFERROR(IF(ventas_b_mes684[[#This Row],[CUIT]]="","-",VLOOKUP(ventas_b_mes684[[#This Row],[CUIT]],Lista_CUIT[#All],2,0)),"CUIT NO CARGADO")</f>
        <v>-</v>
      </c>
      <c r="H554" s="64"/>
      <c r="I554" s="64">
        <f>ventas_b_mes684[[#This Row],[IMPORTE NETO]]*0.21</f>
        <v>0</v>
      </c>
      <c r="J554" s="64"/>
      <c r="K554" s="64"/>
      <c r="L554" s="64">
        <f>SUM(ventas_b_mes684[[#This Row],[IMPORTE NETO]:[EXENTO]])</f>
        <v>0</v>
      </c>
      <c r="M554" s="59"/>
    </row>
    <row r="555" spans="2:13" x14ac:dyDescent="0.25">
      <c r="B555" s="40"/>
      <c r="C555" s="41"/>
      <c r="D555" s="42"/>
      <c r="E555" s="43"/>
      <c r="F555" s="44"/>
      <c r="G555" s="1" t="str">
        <f>IFERROR(IF(ventas_b_mes684[[#This Row],[CUIT]]="","-",VLOOKUP(ventas_b_mes684[[#This Row],[CUIT]],Lista_CUIT[#All],2,0)),"CUIT NO CARGADO")</f>
        <v>-</v>
      </c>
      <c r="H555" s="64"/>
      <c r="I555" s="64">
        <f>ventas_b_mes684[[#This Row],[IMPORTE NETO]]*0.21</f>
        <v>0</v>
      </c>
      <c r="J555" s="64"/>
      <c r="K555" s="64"/>
      <c r="L555" s="64">
        <f>SUM(ventas_b_mes684[[#This Row],[IMPORTE NETO]:[EXENTO]])</f>
        <v>0</v>
      </c>
      <c r="M555" s="59"/>
    </row>
    <row r="556" spans="2:13" x14ac:dyDescent="0.25">
      <c r="B556" s="40"/>
      <c r="C556" s="41"/>
      <c r="D556" s="42"/>
      <c r="E556" s="43"/>
      <c r="F556" s="44"/>
      <c r="G556" s="1" t="str">
        <f>IFERROR(IF(ventas_b_mes684[[#This Row],[CUIT]]="","-",VLOOKUP(ventas_b_mes684[[#This Row],[CUIT]],Lista_CUIT[#All],2,0)),"CUIT NO CARGADO")</f>
        <v>-</v>
      </c>
      <c r="H556" s="64"/>
      <c r="I556" s="64">
        <f>ventas_b_mes684[[#This Row],[IMPORTE NETO]]*0.21</f>
        <v>0</v>
      </c>
      <c r="J556" s="64"/>
      <c r="K556" s="64"/>
      <c r="L556" s="64">
        <f>SUM(ventas_b_mes684[[#This Row],[IMPORTE NETO]:[EXENTO]])</f>
        <v>0</v>
      </c>
      <c r="M556" s="59"/>
    </row>
    <row r="557" spans="2:13" x14ac:dyDescent="0.25">
      <c r="B557" s="40"/>
      <c r="C557" s="41"/>
      <c r="D557" s="42"/>
      <c r="E557" s="43"/>
      <c r="F557" s="44"/>
      <c r="G557" s="1" t="str">
        <f>IFERROR(IF(ventas_b_mes684[[#This Row],[CUIT]]="","-",VLOOKUP(ventas_b_mes684[[#This Row],[CUIT]],Lista_CUIT[#All],2,0)),"CUIT NO CARGADO")</f>
        <v>-</v>
      </c>
      <c r="H557" s="64"/>
      <c r="I557" s="64">
        <f>ventas_b_mes684[[#This Row],[IMPORTE NETO]]*0.21</f>
        <v>0</v>
      </c>
      <c r="J557" s="64"/>
      <c r="K557" s="64"/>
      <c r="L557" s="64">
        <f>SUM(ventas_b_mes684[[#This Row],[IMPORTE NETO]:[EXENTO]])</f>
        <v>0</v>
      </c>
      <c r="M557" s="59"/>
    </row>
    <row r="558" spans="2:13" x14ac:dyDescent="0.25">
      <c r="B558" s="40"/>
      <c r="C558" s="41"/>
      <c r="D558" s="42"/>
      <c r="E558" s="43"/>
      <c r="F558" s="44"/>
      <c r="G558" s="1" t="str">
        <f>IFERROR(IF(ventas_b_mes684[[#This Row],[CUIT]]="","-",VLOOKUP(ventas_b_mes684[[#This Row],[CUIT]],Lista_CUIT[#All],2,0)),"CUIT NO CARGADO")</f>
        <v>-</v>
      </c>
      <c r="H558" s="64"/>
      <c r="I558" s="64">
        <f>ventas_b_mes684[[#This Row],[IMPORTE NETO]]*0.21</f>
        <v>0</v>
      </c>
      <c r="J558" s="64"/>
      <c r="K558" s="64"/>
      <c r="L558" s="64">
        <f>SUM(ventas_b_mes684[[#This Row],[IMPORTE NETO]:[EXENTO]])</f>
        <v>0</v>
      </c>
      <c r="M558" s="59"/>
    </row>
    <row r="559" spans="2:13" x14ac:dyDescent="0.25">
      <c r="B559" s="40"/>
      <c r="C559" s="41"/>
      <c r="D559" s="42"/>
      <c r="E559" s="43"/>
      <c r="F559" s="44"/>
      <c r="G559" s="1" t="str">
        <f>IFERROR(IF(ventas_b_mes684[[#This Row],[CUIT]]="","-",VLOOKUP(ventas_b_mes684[[#This Row],[CUIT]],Lista_CUIT[#All],2,0)),"CUIT NO CARGADO")</f>
        <v>-</v>
      </c>
      <c r="H559" s="64"/>
      <c r="I559" s="64">
        <f>ventas_b_mes684[[#This Row],[IMPORTE NETO]]*0.21</f>
        <v>0</v>
      </c>
      <c r="J559" s="64"/>
      <c r="K559" s="64"/>
      <c r="L559" s="64">
        <f>SUM(ventas_b_mes684[[#This Row],[IMPORTE NETO]:[EXENTO]])</f>
        <v>0</v>
      </c>
      <c r="M559" s="59"/>
    </row>
    <row r="560" spans="2:13" x14ac:dyDescent="0.25">
      <c r="B560" s="40"/>
      <c r="C560" s="41"/>
      <c r="D560" s="42"/>
      <c r="E560" s="43"/>
      <c r="F560" s="44"/>
      <c r="G560" s="1" t="str">
        <f>IFERROR(IF(ventas_b_mes684[[#This Row],[CUIT]]="","-",VLOOKUP(ventas_b_mes684[[#This Row],[CUIT]],Lista_CUIT[#All],2,0)),"CUIT NO CARGADO")</f>
        <v>-</v>
      </c>
      <c r="H560" s="64"/>
      <c r="I560" s="64">
        <f>ventas_b_mes684[[#This Row],[IMPORTE NETO]]*0.21</f>
        <v>0</v>
      </c>
      <c r="J560" s="64"/>
      <c r="K560" s="64"/>
      <c r="L560" s="64">
        <f>SUM(ventas_b_mes684[[#This Row],[IMPORTE NETO]:[EXENTO]])</f>
        <v>0</v>
      </c>
      <c r="M560" s="59"/>
    </row>
    <row r="561" spans="2:13" x14ac:dyDescent="0.25">
      <c r="B561" s="40"/>
      <c r="C561" s="41"/>
      <c r="D561" s="42"/>
      <c r="E561" s="43"/>
      <c r="F561" s="44"/>
      <c r="G561" s="1" t="str">
        <f>IFERROR(IF(ventas_b_mes684[[#This Row],[CUIT]]="","-",VLOOKUP(ventas_b_mes684[[#This Row],[CUIT]],Lista_CUIT[#All],2,0)),"CUIT NO CARGADO")</f>
        <v>-</v>
      </c>
      <c r="H561" s="64"/>
      <c r="I561" s="64">
        <f>ventas_b_mes684[[#This Row],[IMPORTE NETO]]*0.21</f>
        <v>0</v>
      </c>
      <c r="J561" s="64"/>
      <c r="K561" s="64"/>
      <c r="L561" s="64">
        <f>SUM(ventas_b_mes684[[#This Row],[IMPORTE NETO]:[EXENTO]])</f>
        <v>0</v>
      </c>
      <c r="M561" s="59"/>
    </row>
    <row r="562" spans="2:13" x14ac:dyDescent="0.25">
      <c r="B562" s="40"/>
      <c r="C562" s="41"/>
      <c r="D562" s="42"/>
      <c r="E562" s="43"/>
      <c r="F562" s="44"/>
      <c r="G562" s="1" t="str">
        <f>IFERROR(IF(ventas_b_mes684[[#This Row],[CUIT]]="","-",VLOOKUP(ventas_b_mes684[[#This Row],[CUIT]],Lista_CUIT[#All],2,0)),"CUIT NO CARGADO")</f>
        <v>-</v>
      </c>
      <c r="H562" s="64"/>
      <c r="I562" s="64">
        <f>ventas_b_mes684[[#This Row],[IMPORTE NETO]]*0.21</f>
        <v>0</v>
      </c>
      <c r="J562" s="64"/>
      <c r="K562" s="64"/>
      <c r="L562" s="64">
        <f>SUM(ventas_b_mes684[[#This Row],[IMPORTE NETO]:[EXENTO]])</f>
        <v>0</v>
      </c>
      <c r="M562" s="59"/>
    </row>
    <row r="563" spans="2:13" x14ac:dyDescent="0.25">
      <c r="B563" s="40"/>
      <c r="C563" s="41"/>
      <c r="D563" s="42"/>
      <c r="E563" s="43"/>
      <c r="F563" s="44"/>
      <c r="G563" s="1" t="str">
        <f>IFERROR(IF(ventas_b_mes684[[#This Row],[CUIT]]="","-",VLOOKUP(ventas_b_mes684[[#This Row],[CUIT]],Lista_CUIT[#All],2,0)),"CUIT NO CARGADO")</f>
        <v>-</v>
      </c>
      <c r="H563" s="64"/>
      <c r="I563" s="64">
        <f>ventas_b_mes684[[#This Row],[IMPORTE NETO]]*0.21</f>
        <v>0</v>
      </c>
      <c r="J563" s="64"/>
      <c r="K563" s="64"/>
      <c r="L563" s="64">
        <f>SUM(ventas_b_mes684[[#This Row],[IMPORTE NETO]:[EXENTO]])</f>
        <v>0</v>
      </c>
      <c r="M563" s="59"/>
    </row>
    <row r="564" spans="2:13" x14ac:dyDescent="0.25">
      <c r="B564" s="40"/>
      <c r="C564" s="41"/>
      <c r="D564" s="42"/>
      <c r="E564" s="43"/>
      <c r="F564" s="44"/>
      <c r="G564" s="1" t="str">
        <f>IFERROR(IF(ventas_b_mes684[[#This Row],[CUIT]]="","-",VLOOKUP(ventas_b_mes684[[#This Row],[CUIT]],Lista_CUIT[#All],2,0)),"CUIT NO CARGADO")</f>
        <v>-</v>
      </c>
      <c r="H564" s="64"/>
      <c r="I564" s="64">
        <f>ventas_b_mes684[[#This Row],[IMPORTE NETO]]*0.21</f>
        <v>0</v>
      </c>
      <c r="J564" s="64"/>
      <c r="K564" s="64"/>
      <c r="L564" s="64">
        <f>SUM(ventas_b_mes684[[#This Row],[IMPORTE NETO]:[EXENTO]])</f>
        <v>0</v>
      </c>
      <c r="M564" s="59"/>
    </row>
    <row r="565" spans="2:13" x14ac:dyDescent="0.25">
      <c r="B565" s="40"/>
      <c r="C565" s="41"/>
      <c r="D565" s="42"/>
      <c r="E565" s="43"/>
      <c r="F565" s="44"/>
      <c r="G565" s="1" t="str">
        <f>IFERROR(IF(ventas_b_mes684[[#This Row],[CUIT]]="","-",VLOOKUP(ventas_b_mes684[[#This Row],[CUIT]],Lista_CUIT[#All],2,0)),"CUIT NO CARGADO")</f>
        <v>-</v>
      </c>
      <c r="H565" s="64"/>
      <c r="I565" s="64">
        <f>ventas_b_mes684[[#This Row],[IMPORTE NETO]]*0.21</f>
        <v>0</v>
      </c>
      <c r="J565" s="64"/>
      <c r="K565" s="64"/>
      <c r="L565" s="64">
        <f>SUM(ventas_b_mes684[[#This Row],[IMPORTE NETO]:[EXENTO]])</f>
        <v>0</v>
      </c>
      <c r="M565" s="59"/>
    </row>
    <row r="566" spans="2:13" x14ac:dyDescent="0.25">
      <c r="B566" s="40"/>
      <c r="C566" s="41"/>
      <c r="D566" s="42"/>
      <c r="E566" s="43"/>
      <c r="F566" s="44"/>
      <c r="G566" s="1" t="str">
        <f>IFERROR(IF(ventas_b_mes684[[#This Row],[CUIT]]="","-",VLOOKUP(ventas_b_mes684[[#This Row],[CUIT]],Lista_CUIT[#All],2,0)),"CUIT NO CARGADO")</f>
        <v>-</v>
      </c>
      <c r="H566" s="64"/>
      <c r="I566" s="64">
        <f>ventas_b_mes684[[#This Row],[IMPORTE NETO]]*0.21</f>
        <v>0</v>
      </c>
      <c r="J566" s="64"/>
      <c r="K566" s="64"/>
      <c r="L566" s="64">
        <f>SUM(ventas_b_mes684[[#This Row],[IMPORTE NETO]:[EXENTO]])</f>
        <v>0</v>
      </c>
      <c r="M566" s="59"/>
    </row>
    <row r="567" spans="2:13" x14ac:dyDescent="0.25">
      <c r="B567" s="40"/>
      <c r="C567" s="41"/>
      <c r="D567" s="42"/>
      <c r="E567" s="43"/>
      <c r="F567" s="44"/>
      <c r="G567" s="1" t="str">
        <f>IFERROR(IF(ventas_b_mes684[[#This Row],[CUIT]]="","-",VLOOKUP(ventas_b_mes684[[#This Row],[CUIT]],Lista_CUIT[#All],2,0)),"CUIT NO CARGADO")</f>
        <v>-</v>
      </c>
      <c r="H567" s="64"/>
      <c r="I567" s="64">
        <f>ventas_b_mes684[[#This Row],[IMPORTE NETO]]*0.21</f>
        <v>0</v>
      </c>
      <c r="J567" s="64"/>
      <c r="K567" s="64"/>
      <c r="L567" s="64">
        <f>SUM(ventas_b_mes684[[#This Row],[IMPORTE NETO]:[EXENTO]])</f>
        <v>0</v>
      </c>
      <c r="M567" s="59"/>
    </row>
    <row r="568" spans="2:13" x14ac:dyDescent="0.25">
      <c r="B568" s="40"/>
      <c r="C568" s="41"/>
      <c r="D568" s="42"/>
      <c r="E568" s="43"/>
      <c r="F568" s="44"/>
      <c r="G568" s="1" t="str">
        <f>IFERROR(IF(ventas_b_mes684[[#This Row],[CUIT]]="","-",VLOOKUP(ventas_b_mes684[[#This Row],[CUIT]],Lista_CUIT[#All],2,0)),"CUIT NO CARGADO")</f>
        <v>-</v>
      </c>
      <c r="H568" s="64"/>
      <c r="I568" s="64">
        <f>ventas_b_mes684[[#This Row],[IMPORTE NETO]]*0.21</f>
        <v>0</v>
      </c>
      <c r="J568" s="64"/>
      <c r="K568" s="64"/>
      <c r="L568" s="64">
        <f>SUM(ventas_b_mes684[[#This Row],[IMPORTE NETO]:[EXENTO]])</f>
        <v>0</v>
      </c>
      <c r="M568" s="59"/>
    </row>
    <row r="569" spans="2:13" x14ac:dyDescent="0.25">
      <c r="B569" s="40"/>
      <c r="C569" s="41"/>
      <c r="D569" s="42"/>
      <c r="E569" s="43"/>
      <c r="F569" s="44"/>
      <c r="G569" s="1" t="str">
        <f>IFERROR(IF(ventas_b_mes684[[#This Row],[CUIT]]="","-",VLOOKUP(ventas_b_mes684[[#This Row],[CUIT]],Lista_CUIT[#All],2,0)),"CUIT NO CARGADO")</f>
        <v>-</v>
      </c>
      <c r="H569" s="64"/>
      <c r="I569" s="64">
        <f>ventas_b_mes684[[#This Row],[IMPORTE NETO]]*0.21</f>
        <v>0</v>
      </c>
      <c r="J569" s="64"/>
      <c r="K569" s="64"/>
      <c r="L569" s="64">
        <f>SUM(ventas_b_mes684[[#This Row],[IMPORTE NETO]:[EXENTO]])</f>
        <v>0</v>
      </c>
      <c r="M569" s="59"/>
    </row>
    <row r="570" spans="2:13" x14ac:dyDescent="0.25">
      <c r="B570" s="40"/>
      <c r="C570" s="41"/>
      <c r="D570" s="42"/>
      <c r="E570" s="43"/>
      <c r="F570" s="44"/>
      <c r="G570" s="1" t="str">
        <f>IFERROR(IF(ventas_b_mes684[[#This Row],[CUIT]]="","-",VLOOKUP(ventas_b_mes684[[#This Row],[CUIT]],Lista_CUIT[#All],2,0)),"CUIT NO CARGADO")</f>
        <v>-</v>
      </c>
      <c r="H570" s="64"/>
      <c r="I570" s="64">
        <f>ventas_b_mes684[[#This Row],[IMPORTE NETO]]*0.21</f>
        <v>0</v>
      </c>
      <c r="J570" s="64"/>
      <c r="K570" s="64"/>
      <c r="L570" s="64">
        <f>SUM(ventas_b_mes684[[#This Row],[IMPORTE NETO]:[EXENTO]])</f>
        <v>0</v>
      </c>
      <c r="M570" s="59"/>
    </row>
    <row r="571" spans="2:13" x14ac:dyDescent="0.25">
      <c r="B571" s="40"/>
      <c r="C571" s="41"/>
      <c r="D571" s="42"/>
      <c r="E571" s="43"/>
      <c r="F571" s="44"/>
      <c r="G571" s="1" t="str">
        <f>IFERROR(IF(ventas_b_mes684[[#This Row],[CUIT]]="","-",VLOOKUP(ventas_b_mes684[[#This Row],[CUIT]],Lista_CUIT[#All],2,0)),"CUIT NO CARGADO")</f>
        <v>-</v>
      </c>
      <c r="H571" s="64"/>
      <c r="I571" s="64">
        <f>ventas_b_mes684[[#This Row],[IMPORTE NETO]]*0.21</f>
        <v>0</v>
      </c>
      <c r="J571" s="64"/>
      <c r="K571" s="64"/>
      <c r="L571" s="64">
        <f>SUM(ventas_b_mes684[[#This Row],[IMPORTE NETO]:[EXENTO]])</f>
        <v>0</v>
      </c>
      <c r="M571" s="59"/>
    </row>
    <row r="572" spans="2:13" x14ac:dyDescent="0.25">
      <c r="B572" s="40"/>
      <c r="C572" s="41"/>
      <c r="D572" s="42"/>
      <c r="E572" s="43"/>
      <c r="F572" s="44"/>
      <c r="G572" s="1" t="str">
        <f>IFERROR(IF(ventas_b_mes684[[#This Row],[CUIT]]="","-",VLOOKUP(ventas_b_mes684[[#This Row],[CUIT]],Lista_CUIT[#All],2,0)),"CUIT NO CARGADO")</f>
        <v>-</v>
      </c>
      <c r="H572" s="64"/>
      <c r="I572" s="64">
        <f>ventas_b_mes684[[#This Row],[IMPORTE NETO]]*0.21</f>
        <v>0</v>
      </c>
      <c r="J572" s="64"/>
      <c r="K572" s="64"/>
      <c r="L572" s="64">
        <f>SUM(ventas_b_mes684[[#This Row],[IMPORTE NETO]:[EXENTO]])</f>
        <v>0</v>
      </c>
      <c r="M572" s="59"/>
    </row>
    <row r="573" spans="2:13" x14ac:dyDescent="0.25">
      <c r="B573" s="40"/>
      <c r="C573" s="41"/>
      <c r="D573" s="42"/>
      <c r="E573" s="43"/>
      <c r="F573" s="44"/>
      <c r="G573" s="1" t="str">
        <f>IFERROR(IF(ventas_b_mes684[[#This Row],[CUIT]]="","-",VLOOKUP(ventas_b_mes684[[#This Row],[CUIT]],Lista_CUIT[#All],2,0)),"CUIT NO CARGADO")</f>
        <v>-</v>
      </c>
      <c r="H573" s="64"/>
      <c r="I573" s="64">
        <f>ventas_b_mes684[[#This Row],[IMPORTE NETO]]*0.21</f>
        <v>0</v>
      </c>
      <c r="J573" s="64"/>
      <c r="K573" s="64"/>
      <c r="L573" s="64">
        <f>SUM(ventas_b_mes684[[#This Row],[IMPORTE NETO]:[EXENTO]])</f>
        <v>0</v>
      </c>
      <c r="M573" s="59"/>
    </row>
    <row r="574" spans="2:13" x14ac:dyDescent="0.25">
      <c r="B574" s="40"/>
      <c r="C574" s="41"/>
      <c r="D574" s="42"/>
      <c r="E574" s="43"/>
      <c r="F574" s="44"/>
      <c r="G574" s="1" t="str">
        <f>IFERROR(IF(ventas_b_mes684[[#This Row],[CUIT]]="","-",VLOOKUP(ventas_b_mes684[[#This Row],[CUIT]],Lista_CUIT[#All],2,0)),"CUIT NO CARGADO")</f>
        <v>-</v>
      </c>
      <c r="H574" s="64"/>
      <c r="I574" s="64">
        <f>ventas_b_mes684[[#This Row],[IMPORTE NETO]]*0.21</f>
        <v>0</v>
      </c>
      <c r="J574" s="64"/>
      <c r="K574" s="64"/>
      <c r="L574" s="64">
        <f>SUM(ventas_b_mes684[[#This Row],[IMPORTE NETO]:[EXENTO]])</f>
        <v>0</v>
      </c>
      <c r="M574" s="59"/>
    </row>
    <row r="575" spans="2:13" x14ac:dyDescent="0.25">
      <c r="B575" s="40"/>
      <c r="C575" s="41"/>
      <c r="D575" s="42"/>
      <c r="E575" s="43"/>
      <c r="F575" s="44"/>
      <c r="G575" s="1" t="str">
        <f>IFERROR(IF(ventas_b_mes684[[#This Row],[CUIT]]="","-",VLOOKUP(ventas_b_mes684[[#This Row],[CUIT]],Lista_CUIT[#All],2,0)),"CUIT NO CARGADO")</f>
        <v>-</v>
      </c>
      <c r="H575" s="64"/>
      <c r="I575" s="64">
        <f>ventas_b_mes684[[#This Row],[IMPORTE NETO]]*0.21</f>
        <v>0</v>
      </c>
      <c r="J575" s="64"/>
      <c r="K575" s="64"/>
      <c r="L575" s="64">
        <f>SUM(ventas_b_mes684[[#This Row],[IMPORTE NETO]:[EXENTO]])</f>
        <v>0</v>
      </c>
      <c r="M575" s="59"/>
    </row>
    <row r="576" spans="2:13" x14ac:dyDescent="0.25">
      <c r="B576" s="40"/>
      <c r="C576" s="41"/>
      <c r="D576" s="42"/>
      <c r="E576" s="43"/>
      <c r="F576" s="44"/>
      <c r="G576" s="1" t="str">
        <f>IFERROR(IF(ventas_b_mes684[[#This Row],[CUIT]]="","-",VLOOKUP(ventas_b_mes684[[#This Row],[CUIT]],Lista_CUIT[#All],2,0)),"CUIT NO CARGADO")</f>
        <v>-</v>
      </c>
      <c r="H576" s="64"/>
      <c r="I576" s="64">
        <f>ventas_b_mes684[[#This Row],[IMPORTE NETO]]*0.21</f>
        <v>0</v>
      </c>
      <c r="J576" s="64"/>
      <c r="K576" s="64"/>
      <c r="L576" s="64">
        <f>SUM(ventas_b_mes684[[#This Row],[IMPORTE NETO]:[EXENTO]])</f>
        <v>0</v>
      </c>
      <c r="M576" s="59"/>
    </row>
    <row r="577" spans="2:13" x14ac:dyDescent="0.25">
      <c r="B577" s="40"/>
      <c r="C577" s="41"/>
      <c r="D577" s="42"/>
      <c r="E577" s="43"/>
      <c r="F577" s="44"/>
      <c r="G577" s="1" t="str">
        <f>IFERROR(IF(ventas_b_mes684[[#This Row],[CUIT]]="","-",VLOOKUP(ventas_b_mes684[[#This Row],[CUIT]],Lista_CUIT[#All],2,0)),"CUIT NO CARGADO")</f>
        <v>-</v>
      </c>
      <c r="H577" s="64"/>
      <c r="I577" s="64">
        <f>ventas_b_mes684[[#This Row],[IMPORTE NETO]]*0.21</f>
        <v>0</v>
      </c>
      <c r="J577" s="64"/>
      <c r="K577" s="64"/>
      <c r="L577" s="64">
        <f>SUM(ventas_b_mes684[[#This Row],[IMPORTE NETO]:[EXENTO]])</f>
        <v>0</v>
      </c>
      <c r="M577" s="59"/>
    </row>
    <row r="578" spans="2:13" x14ac:dyDescent="0.25">
      <c r="B578" s="40"/>
      <c r="C578" s="41"/>
      <c r="D578" s="42"/>
      <c r="E578" s="43"/>
      <c r="F578" s="44"/>
      <c r="G578" s="1" t="str">
        <f>IFERROR(IF(ventas_b_mes684[[#This Row],[CUIT]]="","-",VLOOKUP(ventas_b_mes684[[#This Row],[CUIT]],Lista_CUIT[#All],2,0)),"CUIT NO CARGADO")</f>
        <v>-</v>
      </c>
      <c r="H578" s="64"/>
      <c r="I578" s="64">
        <f>ventas_b_mes684[[#This Row],[IMPORTE NETO]]*0.21</f>
        <v>0</v>
      </c>
      <c r="J578" s="64"/>
      <c r="K578" s="64"/>
      <c r="L578" s="64">
        <f>SUM(ventas_b_mes684[[#This Row],[IMPORTE NETO]:[EXENTO]])</f>
        <v>0</v>
      </c>
      <c r="M578" s="59"/>
    </row>
    <row r="579" spans="2:13" x14ac:dyDescent="0.25">
      <c r="B579" s="40"/>
      <c r="C579" s="41"/>
      <c r="D579" s="42"/>
      <c r="E579" s="43"/>
      <c r="F579" s="44"/>
      <c r="G579" s="1" t="str">
        <f>IFERROR(IF(ventas_b_mes684[[#This Row],[CUIT]]="","-",VLOOKUP(ventas_b_mes684[[#This Row],[CUIT]],Lista_CUIT[#All],2,0)),"CUIT NO CARGADO")</f>
        <v>-</v>
      </c>
      <c r="H579" s="64"/>
      <c r="I579" s="64">
        <f>ventas_b_mes684[[#This Row],[IMPORTE NETO]]*0.21</f>
        <v>0</v>
      </c>
      <c r="J579" s="64"/>
      <c r="K579" s="64"/>
      <c r="L579" s="64">
        <f>SUM(ventas_b_mes684[[#This Row],[IMPORTE NETO]:[EXENTO]])</f>
        <v>0</v>
      </c>
      <c r="M579" s="59"/>
    </row>
    <row r="580" spans="2:13" x14ac:dyDescent="0.25">
      <c r="B580" s="40"/>
      <c r="C580" s="41"/>
      <c r="D580" s="42"/>
      <c r="E580" s="43"/>
      <c r="F580" s="44"/>
      <c r="G580" s="1" t="str">
        <f>IFERROR(IF(ventas_b_mes684[[#This Row],[CUIT]]="","-",VLOOKUP(ventas_b_mes684[[#This Row],[CUIT]],Lista_CUIT[#All],2,0)),"CUIT NO CARGADO")</f>
        <v>-</v>
      </c>
      <c r="H580" s="64"/>
      <c r="I580" s="64">
        <f>ventas_b_mes684[[#This Row],[IMPORTE NETO]]*0.21</f>
        <v>0</v>
      </c>
      <c r="J580" s="64"/>
      <c r="K580" s="64"/>
      <c r="L580" s="64">
        <f>SUM(ventas_b_mes684[[#This Row],[IMPORTE NETO]:[EXENTO]])</f>
        <v>0</v>
      </c>
      <c r="M580" s="59"/>
    </row>
    <row r="581" spans="2:13" x14ac:dyDescent="0.25">
      <c r="B581" s="40"/>
      <c r="C581" s="41"/>
      <c r="D581" s="42"/>
      <c r="E581" s="43"/>
      <c r="F581" s="44"/>
      <c r="G581" s="1" t="str">
        <f>IFERROR(IF(ventas_b_mes684[[#This Row],[CUIT]]="","-",VLOOKUP(ventas_b_mes684[[#This Row],[CUIT]],Lista_CUIT[#All],2,0)),"CUIT NO CARGADO")</f>
        <v>-</v>
      </c>
      <c r="H581" s="64"/>
      <c r="I581" s="64">
        <f>ventas_b_mes684[[#This Row],[IMPORTE NETO]]*0.21</f>
        <v>0</v>
      </c>
      <c r="J581" s="64"/>
      <c r="K581" s="64"/>
      <c r="L581" s="64">
        <f>SUM(ventas_b_mes684[[#This Row],[IMPORTE NETO]:[EXENTO]])</f>
        <v>0</v>
      </c>
      <c r="M581" s="59"/>
    </row>
    <row r="582" spans="2:13" x14ac:dyDescent="0.25">
      <c r="B582" s="40"/>
      <c r="C582" s="41"/>
      <c r="D582" s="42"/>
      <c r="E582" s="43"/>
      <c r="F582" s="44"/>
      <c r="G582" s="1" t="str">
        <f>IFERROR(IF(ventas_b_mes684[[#This Row],[CUIT]]="","-",VLOOKUP(ventas_b_mes684[[#This Row],[CUIT]],Lista_CUIT[#All],2,0)),"CUIT NO CARGADO")</f>
        <v>-</v>
      </c>
      <c r="H582" s="64"/>
      <c r="I582" s="64">
        <f>ventas_b_mes684[[#This Row],[IMPORTE NETO]]*0.21</f>
        <v>0</v>
      </c>
      <c r="J582" s="64"/>
      <c r="K582" s="64"/>
      <c r="L582" s="64">
        <f>SUM(ventas_b_mes684[[#This Row],[IMPORTE NETO]:[EXENTO]])</f>
        <v>0</v>
      </c>
      <c r="M582" s="59"/>
    </row>
    <row r="583" spans="2:13" x14ac:dyDescent="0.25">
      <c r="B583" s="40"/>
      <c r="C583" s="41"/>
      <c r="D583" s="42"/>
      <c r="E583" s="43"/>
      <c r="F583" s="44"/>
      <c r="G583" s="1" t="str">
        <f>IFERROR(IF(ventas_b_mes684[[#This Row],[CUIT]]="","-",VLOOKUP(ventas_b_mes684[[#This Row],[CUIT]],Lista_CUIT[#All],2,0)),"CUIT NO CARGADO")</f>
        <v>-</v>
      </c>
      <c r="H583" s="64"/>
      <c r="I583" s="64">
        <f>ventas_b_mes684[[#This Row],[IMPORTE NETO]]*0.21</f>
        <v>0</v>
      </c>
      <c r="J583" s="64"/>
      <c r="K583" s="64"/>
      <c r="L583" s="64">
        <f>SUM(ventas_b_mes684[[#This Row],[IMPORTE NETO]:[EXENTO]])</f>
        <v>0</v>
      </c>
      <c r="M583" s="59"/>
    </row>
    <row r="584" spans="2:13" x14ac:dyDescent="0.25">
      <c r="B584" s="40"/>
      <c r="C584" s="41"/>
      <c r="D584" s="42"/>
      <c r="E584" s="43"/>
      <c r="F584" s="44"/>
      <c r="G584" s="1" t="str">
        <f>IFERROR(IF(ventas_b_mes684[[#This Row],[CUIT]]="","-",VLOOKUP(ventas_b_mes684[[#This Row],[CUIT]],Lista_CUIT[#All],2,0)),"CUIT NO CARGADO")</f>
        <v>-</v>
      </c>
      <c r="H584" s="64"/>
      <c r="I584" s="64">
        <f>ventas_b_mes684[[#This Row],[IMPORTE NETO]]*0.21</f>
        <v>0</v>
      </c>
      <c r="J584" s="64"/>
      <c r="K584" s="64"/>
      <c r="L584" s="64">
        <f>SUM(ventas_b_mes684[[#This Row],[IMPORTE NETO]:[EXENTO]])</f>
        <v>0</v>
      </c>
      <c r="M584" s="59"/>
    </row>
    <row r="585" spans="2:13" x14ac:dyDescent="0.25">
      <c r="B585" s="40"/>
      <c r="C585" s="41"/>
      <c r="D585" s="42"/>
      <c r="E585" s="43"/>
      <c r="F585" s="44"/>
      <c r="G585" s="1" t="str">
        <f>IFERROR(IF(ventas_b_mes684[[#This Row],[CUIT]]="","-",VLOOKUP(ventas_b_mes684[[#This Row],[CUIT]],Lista_CUIT[#All],2,0)),"CUIT NO CARGADO")</f>
        <v>-</v>
      </c>
      <c r="H585" s="64"/>
      <c r="I585" s="64">
        <f>ventas_b_mes684[[#This Row],[IMPORTE NETO]]*0.21</f>
        <v>0</v>
      </c>
      <c r="J585" s="64"/>
      <c r="K585" s="64"/>
      <c r="L585" s="64">
        <f>SUM(ventas_b_mes684[[#This Row],[IMPORTE NETO]:[EXENTO]])</f>
        <v>0</v>
      </c>
      <c r="M585" s="59"/>
    </row>
    <row r="586" spans="2:13" x14ac:dyDescent="0.25">
      <c r="B586" s="40"/>
      <c r="C586" s="41"/>
      <c r="D586" s="42"/>
      <c r="E586" s="43"/>
      <c r="F586" s="44"/>
      <c r="G586" s="1" t="str">
        <f>IFERROR(IF(ventas_b_mes684[[#This Row],[CUIT]]="","-",VLOOKUP(ventas_b_mes684[[#This Row],[CUIT]],Lista_CUIT[#All],2,0)),"CUIT NO CARGADO")</f>
        <v>-</v>
      </c>
      <c r="H586" s="64"/>
      <c r="I586" s="64">
        <f>ventas_b_mes684[[#This Row],[IMPORTE NETO]]*0.21</f>
        <v>0</v>
      </c>
      <c r="J586" s="64"/>
      <c r="K586" s="64"/>
      <c r="L586" s="64">
        <f>SUM(ventas_b_mes684[[#This Row],[IMPORTE NETO]:[EXENTO]])</f>
        <v>0</v>
      </c>
      <c r="M586" s="59"/>
    </row>
    <row r="587" spans="2:13" x14ac:dyDescent="0.25">
      <c r="B587" s="40"/>
      <c r="C587" s="41"/>
      <c r="D587" s="42"/>
      <c r="E587" s="43"/>
      <c r="F587" s="44"/>
      <c r="G587" s="1" t="str">
        <f>IFERROR(IF(ventas_b_mes684[[#This Row],[CUIT]]="","-",VLOOKUP(ventas_b_mes684[[#This Row],[CUIT]],Lista_CUIT[#All],2,0)),"CUIT NO CARGADO")</f>
        <v>-</v>
      </c>
      <c r="H587" s="64"/>
      <c r="I587" s="64">
        <f>ventas_b_mes684[[#This Row],[IMPORTE NETO]]*0.21</f>
        <v>0</v>
      </c>
      <c r="J587" s="64"/>
      <c r="K587" s="64"/>
      <c r="L587" s="64">
        <f>SUM(ventas_b_mes684[[#This Row],[IMPORTE NETO]:[EXENTO]])</f>
        <v>0</v>
      </c>
      <c r="M587" s="59"/>
    </row>
    <row r="588" spans="2:13" x14ac:dyDescent="0.25">
      <c r="B588" s="40"/>
      <c r="C588" s="41"/>
      <c r="D588" s="42"/>
      <c r="E588" s="43"/>
      <c r="F588" s="44"/>
      <c r="G588" s="1" t="str">
        <f>IFERROR(IF(ventas_b_mes684[[#This Row],[CUIT]]="","-",VLOOKUP(ventas_b_mes684[[#This Row],[CUIT]],Lista_CUIT[#All],2,0)),"CUIT NO CARGADO")</f>
        <v>-</v>
      </c>
      <c r="H588" s="64"/>
      <c r="I588" s="64">
        <f>ventas_b_mes684[[#This Row],[IMPORTE NETO]]*0.21</f>
        <v>0</v>
      </c>
      <c r="J588" s="64"/>
      <c r="K588" s="64"/>
      <c r="L588" s="64">
        <f>SUM(ventas_b_mes684[[#This Row],[IMPORTE NETO]:[EXENTO]])</f>
        <v>0</v>
      </c>
      <c r="M588" s="59"/>
    </row>
    <row r="589" spans="2:13" x14ac:dyDescent="0.25">
      <c r="B589" s="40"/>
      <c r="C589" s="41"/>
      <c r="D589" s="42"/>
      <c r="E589" s="43"/>
      <c r="F589" s="44"/>
      <c r="G589" s="1" t="str">
        <f>IFERROR(IF(ventas_b_mes684[[#This Row],[CUIT]]="","-",VLOOKUP(ventas_b_mes684[[#This Row],[CUIT]],Lista_CUIT[#All],2,0)),"CUIT NO CARGADO")</f>
        <v>-</v>
      </c>
      <c r="H589" s="64"/>
      <c r="I589" s="64">
        <f>ventas_b_mes684[[#This Row],[IMPORTE NETO]]*0.21</f>
        <v>0</v>
      </c>
      <c r="J589" s="64"/>
      <c r="K589" s="64"/>
      <c r="L589" s="64">
        <f>SUM(ventas_b_mes684[[#This Row],[IMPORTE NETO]:[EXENTO]])</f>
        <v>0</v>
      </c>
      <c r="M589" s="59"/>
    </row>
    <row r="590" spans="2:13" x14ac:dyDescent="0.25">
      <c r="B590" s="40"/>
      <c r="C590" s="41"/>
      <c r="D590" s="42"/>
      <c r="E590" s="43"/>
      <c r="F590" s="44"/>
      <c r="G590" s="1" t="str">
        <f>IFERROR(IF(ventas_b_mes684[[#This Row],[CUIT]]="","-",VLOOKUP(ventas_b_mes684[[#This Row],[CUIT]],Lista_CUIT[#All],2,0)),"CUIT NO CARGADO")</f>
        <v>-</v>
      </c>
      <c r="H590" s="64"/>
      <c r="I590" s="64">
        <f>ventas_b_mes684[[#This Row],[IMPORTE NETO]]*0.21</f>
        <v>0</v>
      </c>
      <c r="J590" s="64"/>
      <c r="K590" s="64"/>
      <c r="L590" s="64">
        <f>SUM(ventas_b_mes684[[#This Row],[IMPORTE NETO]:[EXENTO]])</f>
        <v>0</v>
      </c>
      <c r="M590" s="59"/>
    </row>
    <row r="591" spans="2:13" x14ac:dyDescent="0.25">
      <c r="B591" s="40"/>
      <c r="C591" s="41"/>
      <c r="D591" s="42"/>
      <c r="E591" s="43"/>
      <c r="F591" s="44"/>
      <c r="G591" s="1" t="str">
        <f>IFERROR(IF(ventas_b_mes684[[#This Row],[CUIT]]="","-",VLOOKUP(ventas_b_mes684[[#This Row],[CUIT]],Lista_CUIT[#All],2,0)),"CUIT NO CARGADO")</f>
        <v>-</v>
      </c>
      <c r="H591" s="64"/>
      <c r="I591" s="64">
        <f>ventas_b_mes684[[#This Row],[IMPORTE NETO]]*0.21</f>
        <v>0</v>
      </c>
      <c r="J591" s="64"/>
      <c r="K591" s="64"/>
      <c r="L591" s="64">
        <f>SUM(ventas_b_mes684[[#This Row],[IMPORTE NETO]:[EXENTO]])</f>
        <v>0</v>
      </c>
      <c r="M591" s="59"/>
    </row>
    <row r="592" spans="2:13" x14ac:dyDescent="0.25">
      <c r="B592" s="40"/>
      <c r="C592" s="41"/>
      <c r="D592" s="42"/>
      <c r="E592" s="43"/>
      <c r="F592" s="44"/>
      <c r="G592" s="1" t="str">
        <f>IFERROR(IF(ventas_b_mes684[[#This Row],[CUIT]]="","-",VLOOKUP(ventas_b_mes684[[#This Row],[CUIT]],Lista_CUIT[#All],2,0)),"CUIT NO CARGADO")</f>
        <v>-</v>
      </c>
      <c r="H592" s="64"/>
      <c r="I592" s="64">
        <f>ventas_b_mes684[[#This Row],[IMPORTE NETO]]*0.21</f>
        <v>0</v>
      </c>
      <c r="J592" s="64"/>
      <c r="K592" s="64"/>
      <c r="L592" s="64">
        <f>SUM(ventas_b_mes684[[#This Row],[IMPORTE NETO]:[EXENTO]])</f>
        <v>0</v>
      </c>
      <c r="M592" s="59"/>
    </row>
    <row r="593" spans="2:13" x14ac:dyDescent="0.25">
      <c r="B593" s="40"/>
      <c r="C593" s="41"/>
      <c r="D593" s="42"/>
      <c r="E593" s="43"/>
      <c r="F593" s="44"/>
      <c r="G593" s="1" t="str">
        <f>IFERROR(IF(ventas_b_mes684[[#This Row],[CUIT]]="","-",VLOOKUP(ventas_b_mes684[[#This Row],[CUIT]],Lista_CUIT[#All],2,0)),"CUIT NO CARGADO")</f>
        <v>-</v>
      </c>
      <c r="H593" s="64"/>
      <c r="I593" s="64">
        <f>ventas_b_mes684[[#This Row],[IMPORTE NETO]]*0.21</f>
        <v>0</v>
      </c>
      <c r="J593" s="64"/>
      <c r="K593" s="64"/>
      <c r="L593" s="64">
        <f>SUM(ventas_b_mes684[[#This Row],[IMPORTE NETO]:[EXENTO]])</f>
        <v>0</v>
      </c>
      <c r="M593" s="59"/>
    </row>
    <row r="594" spans="2:13" x14ac:dyDescent="0.25">
      <c r="B594" s="40"/>
      <c r="C594" s="41"/>
      <c r="D594" s="42"/>
      <c r="E594" s="43"/>
      <c r="F594" s="44"/>
      <c r="G594" s="1" t="str">
        <f>IFERROR(IF(ventas_b_mes684[[#This Row],[CUIT]]="","-",VLOOKUP(ventas_b_mes684[[#This Row],[CUIT]],Lista_CUIT[#All],2,0)),"CUIT NO CARGADO")</f>
        <v>-</v>
      </c>
      <c r="H594" s="64"/>
      <c r="I594" s="64">
        <f>ventas_b_mes684[[#This Row],[IMPORTE NETO]]*0.21</f>
        <v>0</v>
      </c>
      <c r="J594" s="64"/>
      <c r="K594" s="64"/>
      <c r="L594" s="64">
        <f>SUM(ventas_b_mes684[[#This Row],[IMPORTE NETO]:[EXENTO]])</f>
        <v>0</v>
      </c>
      <c r="M594" s="59"/>
    </row>
    <row r="595" spans="2:13" x14ac:dyDescent="0.25">
      <c r="B595" s="40"/>
      <c r="C595" s="41"/>
      <c r="D595" s="42"/>
      <c r="E595" s="43"/>
      <c r="F595" s="44"/>
      <c r="G595" s="1" t="str">
        <f>IFERROR(IF(ventas_b_mes684[[#This Row],[CUIT]]="","-",VLOOKUP(ventas_b_mes684[[#This Row],[CUIT]],Lista_CUIT[#All],2,0)),"CUIT NO CARGADO")</f>
        <v>-</v>
      </c>
      <c r="H595" s="64"/>
      <c r="I595" s="64">
        <f>ventas_b_mes684[[#This Row],[IMPORTE NETO]]*0.21</f>
        <v>0</v>
      </c>
      <c r="J595" s="64"/>
      <c r="K595" s="64"/>
      <c r="L595" s="64">
        <f>SUM(ventas_b_mes684[[#This Row],[IMPORTE NETO]:[EXENTO]])</f>
        <v>0</v>
      </c>
      <c r="M595" s="59"/>
    </row>
    <row r="596" spans="2:13" x14ac:dyDescent="0.25">
      <c r="B596" s="40"/>
      <c r="C596" s="41"/>
      <c r="D596" s="42"/>
      <c r="E596" s="43"/>
      <c r="F596" s="44"/>
      <c r="G596" s="1" t="str">
        <f>IFERROR(IF(ventas_b_mes684[[#This Row],[CUIT]]="","-",VLOOKUP(ventas_b_mes684[[#This Row],[CUIT]],Lista_CUIT[#All],2,0)),"CUIT NO CARGADO")</f>
        <v>-</v>
      </c>
      <c r="H596" s="64"/>
      <c r="I596" s="64">
        <f>ventas_b_mes684[[#This Row],[IMPORTE NETO]]*0.21</f>
        <v>0</v>
      </c>
      <c r="J596" s="64"/>
      <c r="K596" s="64"/>
      <c r="L596" s="64">
        <f>SUM(ventas_b_mes684[[#This Row],[IMPORTE NETO]:[EXENTO]])</f>
        <v>0</v>
      </c>
      <c r="M596" s="59"/>
    </row>
    <row r="597" spans="2:13" x14ac:dyDescent="0.25">
      <c r="B597" s="40"/>
      <c r="C597" s="41"/>
      <c r="D597" s="42"/>
      <c r="E597" s="43"/>
      <c r="F597" s="44"/>
      <c r="G597" s="1" t="str">
        <f>IFERROR(IF(ventas_b_mes684[[#This Row],[CUIT]]="","-",VLOOKUP(ventas_b_mes684[[#This Row],[CUIT]],Lista_CUIT[#All],2,0)),"CUIT NO CARGADO")</f>
        <v>-</v>
      </c>
      <c r="H597" s="64"/>
      <c r="I597" s="64">
        <f>ventas_b_mes684[[#This Row],[IMPORTE NETO]]*0.21</f>
        <v>0</v>
      </c>
      <c r="J597" s="64"/>
      <c r="K597" s="64"/>
      <c r="L597" s="64">
        <f>SUM(ventas_b_mes684[[#This Row],[IMPORTE NETO]:[EXENTO]])</f>
        <v>0</v>
      </c>
      <c r="M597" s="59"/>
    </row>
    <row r="598" spans="2:13" x14ac:dyDescent="0.25">
      <c r="B598" s="40"/>
      <c r="C598" s="41"/>
      <c r="D598" s="42"/>
      <c r="E598" s="43"/>
      <c r="F598" s="44"/>
      <c r="G598" s="1" t="str">
        <f>IFERROR(IF(ventas_b_mes684[[#This Row],[CUIT]]="","-",VLOOKUP(ventas_b_mes684[[#This Row],[CUIT]],Lista_CUIT[#All],2,0)),"CUIT NO CARGADO")</f>
        <v>-</v>
      </c>
      <c r="H598" s="64"/>
      <c r="I598" s="64">
        <f>ventas_b_mes684[[#This Row],[IMPORTE NETO]]*0.21</f>
        <v>0</v>
      </c>
      <c r="J598" s="64"/>
      <c r="K598" s="64"/>
      <c r="L598" s="64">
        <f>SUM(ventas_b_mes684[[#This Row],[IMPORTE NETO]:[EXENTO]])</f>
        <v>0</v>
      </c>
      <c r="M598" s="59"/>
    </row>
    <row r="599" spans="2:13" x14ac:dyDescent="0.25">
      <c r="B599" s="40"/>
      <c r="C599" s="41"/>
      <c r="D599" s="42"/>
      <c r="E599" s="43"/>
      <c r="F599" s="44"/>
      <c r="G599" s="1" t="str">
        <f>IFERROR(IF(ventas_b_mes684[[#This Row],[CUIT]]="","-",VLOOKUP(ventas_b_mes684[[#This Row],[CUIT]],Lista_CUIT[#All],2,0)),"CUIT NO CARGADO")</f>
        <v>-</v>
      </c>
      <c r="H599" s="64"/>
      <c r="I599" s="64">
        <f>ventas_b_mes684[[#This Row],[IMPORTE NETO]]*0.21</f>
        <v>0</v>
      </c>
      <c r="J599" s="64"/>
      <c r="K599" s="64"/>
      <c r="L599" s="64">
        <f>SUM(ventas_b_mes684[[#This Row],[IMPORTE NETO]:[EXENTO]])</f>
        <v>0</v>
      </c>
      <c r="M599" s="59"/>
    </row>
    <row r="600" spans="2:13" x14ac:dyDescent="0.25">
      <c r="B600" s="40"/>
      <c r="C600" s="41"/>
      <c r="D600" s="42"/>
      <c r="E600" s="43"/>
      <c r="F600" s="44"/>
      <c r="G600" s="1" t="str">
        <f>IFERROR(IF(ventas_b_mes684[[#This Row],[CUIT]]="","-",VLOOKUP(ventas_b_mes684[[#This Row],[CUIT]],Lista_CUIT[#All],2,0)),"CUIT NO CARGADO")</f>
        <v>-</v>
      </c>
      <c r="H600" s="64"/>
      <c r="I600" s="64">
        <f>ventas_b_mes684[[#This Row],[IMPORTE NETO]]*0.21</f>
        <v>0</v>
      </c>
      <c r="J600" s="64"/>
      <c r="K600" s="64"/>
      <c r="L600" s="64">
        <f>SUM(ventas_b_mes684[[#This Row],[IMPORTE NETO]:[EXENTO]])</f>
        <v>0</v>
      </c>
      <c r="M600" s="59"/>
    </row>
    <row r="601" spans="2:13" x14ac:dyDescent="0.25">
      <c r="B601" s="40"/>
      <c r="C601" s="41"/>
      <c r="D601" s="42"/>
      <c r="E601" s="43"/>
      <c r="F601" s="44"/>
      <c r="G601" s="1" t="str">
        <f>IFERROR(IF(ventas_b_mes684[[#This Row],[CUIT]]="","-",VLOOKUP(ventas_b_mes684[[#This Row],[CUIT]],Lista_CUIT[#All],2,0)),"CUIT NO CARGADO")</f>
        <v>-</v>
      </c>
      <c r="H601" s="64"/>
      <c r="I601" s="64">
        <f>ventas_b_mes684[[#This Row],[IMPORTE NETO]]*0.21</f>
        <v>0</v>
      </c>
      <c r="J601" s="64"/>
      <c r="K601" s="64"/>
      <c r="L601" s="64">
        <f>SUM(ventas_b_mes684[[#This Row],[IMPORTE NETO]:[EXENTO]])</f>
        <v>0</v>
      </c>
      <c r="M601" s="59"/>
    </row>
    <row r="602" spans="2:13" x14ac:dyDescent="0.25">
      <c r="B602" s="40"/>
      <c r="C602" s="41"/>
      <c r="D602" s="42"/>
      <c r="E602" s="43"/>
      <c r="F602" s="44"/>
      <c r="G602" s="1" t="str">
        <f>IFERROR(IF(ventas_b_mes684[[#This Row],[CUIT]]="","-",VLOOKUP(ventas_b_mes684[[#This Row],[CUIT]],Lista_CUIT[#All],2,0)),"CUIT NO CARGADO")</f>
        <v>-</v>
      </c>
      <c r="H602" s="64"/>
      <c r="I602" s="64">
        <f>ventas_b_mes684[[#This Row],[IMPORTE NETO]]*0.21</f>
        <v>0</v>
      </c>
      <c r="J602" s="64"/>
      <c r="K602" s="64"/>
      <c r="L602" s="64">
        <f>SUM(ventas_b_mes684[[#This Row],[IMPORTE NETO]:[EXENTO]])</f>
        <v>0</v>
      </c>
      <c r="M602" s="59"/>
    </row>
    <row r="603" spans="2:13" x14ac:dyDescent="0.25">
      <c r="B603" s="40"/>
      <c r="C603" s="41"/>
      <c r="D603" s="42"/>
      <c r="E603" s="43"/>
      <c r="F603" s="44"/>
      <c r="G603" s="1" t="str">
        <f>IFERROR(IF(ventas_b_mes684[[#This Row],[CUIT]]="","-",VLOOKUP(ventas_b_mes684[[#This Row],[CUIT]],Lista_CUIT[#All],2,0)),"CUIT NO CARGADO")</f>
        <v>-</v>
      </c>
      <c r="H603" s="64"/>
      <c r="I603" s="64">
        <f>ventas_b_mes684[[#This Row],[IMPORTE NETO]]*0.21</f>
        <v>0</v>
      </c>
      <c r="J603" s="64"/>
      <c r="K603" s="64"/>
      <c r="L603" s="64">
        <f>SUM(ventas_b_mes684[[#This Row],[IMPORTE NETO]:[EXENTO]])</f>
        <v>0</v>
      </c>
      <c r="M603" s="59"/>
    </row>
    <row r="604" spans="2:13" x14ac:dyDescent="0.25">
      <c r="B604" s="40"/>
      <c r="C604" s="41"/>
      <c r="D604" s="42"/>
      <c r="E604" s="43"/>
      <c r="F604" s="44"/>
      <c r="G604" s="1" t="str">
        <f>IFERROR(IF(ventas_b_mes684[[#This Row],[CUIT]]="","-",VLOOKUP(ventas_b_mes684[[#This Row],[CUIT]],Lista_CUIT[#All],2,0)),"CUIT NO CARGADO")</f>
        <v>-</v>
      </c>
      <c r="H604" s="64"/>
      <c r="I604" s="64">
        <f>ventas_b_mes684[[#This Row],[IMPORTE NETO]]*0.21</f>
        <v>0</v>
      </c>
      <c r="J604" s="64"/>
      <c r="K604" s="64"/>
      <c r="L604" s="64">
        <f>SUM(ventas_b_mes684[[#This Row],[IMPORTE NETO]:[EXENTO]])</f>
        <v>0</v>
      </c>
      <c r="M604" s="59"/>
    </row>
    <row r="605" spans="2:13" x14ac:dyDescent="0.25">
      <c r="B605" s="40"/>
      <c r="C605" s="41"/>
      <c r="D605" s="42"/>
      <c r="E605" s="43"/>
      <c r="F605" s="44"/>
      <c r="G605" s="1" t="str">
        <f>IFERROR(IF(ventas_b_mes684[[#This Row],[CUIT]]="","-",VLOOKUP(ventas_b_mes684[[#This Row],[CUIT]],Lista_CUIT[#All],2,0)),"CUIT NO CARGADO")</f>
        <v>-</v>
      </c>
      <c r="H605" s="64"/>
      <c r="I605" s="64">
        <f>ventas_b_mes684[[#This Row],[IMPORTE NETO]]*0.21</f>
        <v>0</v>
      </c>
      <c r="J605" s="64"/>
      <c r="K605" s="64"/>
      <c r="L605" s="64">
        <f>SUM(ventas_b_mes684[[#This Row],[IMPORTE NETO]:[EXENTO]])</f>
        <v>0</v>
      </c>
      <c r="M605" s="59"/>
    </row>
    <row r="606" spans="2:13" x14ac:dyDescent="0.25">
      <c r="B606" s="40"/>
      <c r="C606" s="41"/>
      <c r="D606" s="42"/>
      <c r="E606" s="43"/>
      <c r="F606" s="44"/>
      <c r="G606" s="1" t="str">
        <f>IFERROR(IF(ventas_b_mes684[[#This Row],[CUIT]]="","-",VLOOKUP(ventas_b_mes684[[#This Row],[CUIT]],Lista_CUIT[#All],2,0)),"CUIT NO CARGADO")</f>
        <v>-</v>
      </c>
      <c r="H606" s="64"/>
      <c r="I606" s="64">
        <f>ventas_b_mes684[[#This Row],[IMPORTE NETO]]*0.21</f>
        <v>0</v>
      </c>
      <c r="J606" s="64"/>
      <c r="K606" s="64"/>
      <c r="L606" s="64">
        <f>SUM(ventas_b_mes684[[#This Row],[IMPORTE NETO]:[EXENTO]])</f>
        <v>0</v>
      </c>
      <c r="M606" s="59"/>
    </row>
    <row r="607" spans="2:13" x14ac:dyDescent="0.25">
      <c r="B607" s="40"/>
      <c r="C607" s="41"/>
      <c r="D607" s="42"/>
      <c r="E607" s="43"/>
      <c r="F607" s="44"/>
      <c r="G607" s="1" t="str">
        <f>IFERROR(IF(ventas_b_mes684[[#This Row],[CUIT]]="","-",VLOOKUP(ventas_b_mes684[[#This Row],[CUIT]],Lista_CUIT[#All],2,0)),"CUIT NO CARGADO")</f>
        <v>-</v>
      </c>
      <c r="H607" s="64"/>
      <c r="I607" s="64">
        <f>ventas_b_mes684[[#This Row],[IMPORTE NETO]]*0.21</f>
        <v>0</v>
      </c>
      <c r="J607" s="64"/>
      <c r="K607" s="64"/>
      <c r="L607" s="64">
        <f>SUM(ventas_b_mes684[[#This Row],[IMPORTE NETO]:[EXENTO]])</f>
        <v>0</v>
      </c>
      <c r="M607" s="59"/>
    </row>
    <row r="608" spans="2:13" x14ac:dyDescent="0.25">
      <c r="B608" s="40"/>
      <c r="C608" s="41"/>
      <c r="D608" s="42"/>
      <c r="E608" s="43"/>
      <c r="F608" s="44"/>
      <c r="G608" s="1" t="str">
        <f>IFERROR(IF(ventas_b_mes684[[#This Row],[CUIT]]="","-",VLOOKUP(ventas_b_mes684[[#This Row],[CUIT]],Lista_CUIT[#All],2,0)),"CUIT NO CARGADO")</f>
        <v>-</v>
      </c>
      <c r="H608" s="64"/>
      <c r="I608" s="64">
        <f>ventas_b_mes684[[#This Row],[IMPORTE NETO]]*0.21</f>
        <v>0</v>
      </c>
      <c r="J608" s="64"/>
      <c r="K608" s="64"/>
      <c r="L608" s="64">
        <f>SUM(ventas_b_mes684[[#This Row],[IMPORTE NETO]:[EXENTO]])</f>
        <v>0</v>
      </c>
      <c r="M608" s="59"/>
    </row>
    <row r="609" spans="2:13" x14ac:dyDescent="0.25">
      <c r="B609" s="40"/>
      <c r="C609" s="41"/>
      <c r="D609" s="42"/>
      <c r="E609" s="43"/>
      <c r="F609" s="44"/>
      <c r="G609" s="1" t="str">
        <f>IFERROR(IF(ventas_b_mes684[[#This Row],[CUIT]]="","-",VLOOKUP(ventas_b_mes684[[#This Row],[CUIT]],Lista_CUIT[#All],2,0)),"CUIT NO CARGADO")</f>
        <v>-</v>
      </c>
      <c r="H609" s="64"/>
      <c r="I609" s="64">
        <f>ventas_b_mes684[[#This Row],[IMPORTE NETO]]*0.21</f>
        <v>0</v>
      </c>
      <c r="J609" s="64"/>
      <c r="K609" s="64"/>
      <c r="L609" s="64">
        <f>SUM(ventas_b_mes684[[#This Row],[IMPORTE NETO]:[EXENTO]])</f>
        <v>0</v>
      </c>
      <c r="M609" s="59"/>
    </row>
    <row r="610" spans="2:13" x14ac:dyDescent="0.25">
      <c r="B610" s="40"/>
      <c r="C610" s="41"/>
      <c r="D610" s="42"/>
      <c r="E610" s="43"/>
      <c r="F610" s="44"/>
      <c r="G610" s="1" t="str">
        <f>IFERROR(IF(ventas_b_mes684[[#This Row],[CUIT]]="","-",VLOOKUP(ventas_b_mes684[[#This Row],[CUIT]],Lista_CUIT[#All],2,0)),"CUIT NO CARGADO")</f>
        <v>-</v>
      </c>
      <c r="H610" s="64"/>
      <c r="I610" s="64">
        <f>ventas_b_mes684[[#This Row],[IMPORTE NETO]]*0.21</f>
        <v>0</v>
      </c>
      <c r="J610" s="64"/>
      <c r="K610" s="64"/>
      <c r="L610" s="64">
        <f>SUM(ventas_b_mes684[[#This Row],[IMPORTE NETO]:[EXENTO]])</f>
        <v>0</v>
      </c>
      <c r="M610" s="59"/>
    </row>
    <row r="611" spans="2:13" x14ac:dyDescent="0.25">
      <c r="B611" s="40"/>
      <c r="C611" s="41"/>
      <c r="D611" s="42"/>
      <c r="E611" s="43"/>
      <c r="F611" s="44"/>
      <c r="G611" s="1" t="str">
        <f>IFERROR(IF(ventas_b_mes684[[#This Row],[CUIT]]="","-",VLOOKUP(ventas_b_mes684[[#This Row],[CUIT]],Lista_CUIT[#All],2,0)),"CUIT NO CARGADO")</f>
        <v>-</v>
      </c>
      <c r="H611" s="64"/>
      <c r="I611" s="64">
        <f>ventas_b_mes684[[#This Row],[IMPORTE NETO]]*0.21</f>
        <v>0</v>
      </c>
      <c r="J611" s="64"/>
      <c r="K611" s="64"/>
      <c r="L611" s="64">
        <f>SUM(ventas_b_mes684[[#This Row],[IMPORTE NETO]:[EXENTO]])</f>
        <v>0</v>
      </c>
      <c r="M611" s="59"/>
    </row>
    <row r="612" spans="2:13" x14ac:dyDescent="0.25">
      <c r="B612" s="40"/>
      <c r="C612" s="41"/>
      <c r="D612" s="42"/>
      <c r="E612" s="43"/>
      <c r="F612" s="44"/>
      <c r="G612" s="1" t="str">
        <f>IFERROR(IF(ventas_b_mes684[[#This Row],[CUIT]]="","-",VLOOKUP(ventas_b_mes684[[#This Row],[CUIT]],Lista_CUIT[#All],2,0)),"CUIT NO CARGADO")</f>
        <v>-</v>
      </c>
      <c r="H612" s="64"/>
      <c r="I612" s="64">
        <f>ventas_b_mes684[[#This Row],[IMPORTE NETO]]*0.21</f>
        <v>0</v>
      </c>
      <c r="J612" s="64"/>
      <c r="K612" s="64"/>
      <c r="L612" s="64">
        <f>SUM(ventas_b_mes684[[#This Row],[IMPORTE NETO]:[EXENTO]])</f>
        <v>0</v>
      </c>
      <c r="M612" s="59"/>
    </row>
    <row r="613" spans="2:13" x14ac:dyDescent="0.25">
      <c r="B613" s="40"/>
      <c r="C613" s="41"/>
      <c r="D613" s="42"/>
      <c r="E613" s="43"/>
      <c r="F613" s="44"/>
      <c r="G613" s="1" t="str">
        <f>IFERROR(IF(ventas_b_mes684[[#This Row],[CUIT]]="","-",VLOOKUP(ventas_b_mes684[[#This Row],[CUIT]],Lista_CUIT[#All],2,0)),"CUIT NO CARGADO")</f>
        <v>-</v>
      </c>
      <c r="H613" s="64"/>
      <c r="I613" s="64">
        <f>ventas_b_mes684[[#This Row],[IMPORTE NETO]]*0.21</f>
        <v>0</v>
      </c>
      <c r="J613" s="64"/>
      <c r="K613" s="64"/>
      <c r="L613" s="64">
        <f>SUM(ventas_b_mes684[[#This Row],[IMPORTE NETO]:[EXENTO]])</f>
        <v>0</v>
      </c>
      <c r="M613" s="59"/>
    </row>
    <row r="614" spans="2:13" x14ac:dyDescent="0.25">
      <c r="B614" s="40"/>
      <c r="C614" s="41"/>
      <c r="D614" s="42"/>
      <c r="E614" s="43"/>
      <c r="F614" s="44"/>
      <c r="G614" s="1" t="str">
        <f>IFERROR(IF(ventas_b_mes684[[#This Row],[CUIT]]="","-",VLOOKUP(ventas_b_mes684[[#This Row],[CUIT]],Lista_CUIT[#All],2,0)),"CUIT NO CARGADO")</f>
        <v>-</v>
      </c>
      <c r="H614" s="64"/>
      <c r="I614" s="64">
        <f>ventas_b_mes684[[#This Row],[IMPORTE NETO]]*0.21</f>
        <v>0</v>
      </c>
      <c r="J614" s="64"/>
      <c r="K614" s="64"/>
      <c r="L614" s="64">
        <f>SUM(ventas_b_mes684[[#This Row],[IMPORTE NETO]:[EXENTO]])</f>
        <v>0</v>
      </c>
      <c r="M614" s="59"/>
    </row>
    <row r="615" spans="2:13" x14ac:dyDescent="0.25">
      <c r="B615" s="40"/>
      <c r="C615" s="41"/>
      <c r="D615" s="42"/>
      <c r="E615" s="43"/>
      <c r="F615" s="44"/>
      <c r="G615" s="1" t="str">
        <f>IFERROR(IF(ventas_b_mes684[[#This Row],[CUIT]]="","-",VLOOKUP(ventas_b_mes684[[#This Row],[CUIT]],Lista_CUIT[#All],2,0)),"CUIT NO CARGADO")</f>
        <v>-</v>
      </c>
      <c r="H615" s="64"/>
      <c r="I615" s="64">
        <f>ventas_b_mes684[[#This Row],[IMPORTE NETO]]*0.21</f>
        <v>0</v>
      </c>
      <c r="J615" s="64"/>
      <c r="K615" s="64"/>
      <c r="L615" s="64">
        <f>SUM(ventas_b_mes684[[#This Row],[IMPORTE NETO]:[EXENTO]])</f>
        <v>0</v>
      </c>
      <c r="M615" s="59"/>
    </row>
    <row r="616" spans="2:13" x14ac:dyDescent="0.25">
      <c r="B616" s="40"/>
      <c r="C616" s="41"/>
      <c r="D616" s="42"/>
      <c r="E616" s="43"/>
      <c r="F616" s="44"/>
      <c r="G616" s="1" t="str">
        <f>IFERROR(IF(ventas_b_mes684[[#This Row],[CUIT]]="","-",VLOOKUP(ventas_b_mes684[[#This Row],[CUIT]],Lista_CUIT[#All],2,0)),"CUIT NO CARGADO")</f>
        <v>-</v>
      </c>
      <c r="H616" s="64"/>
      <c r="I616" s="64">
        <f>ventas_b_mes684[[#This Row],[IMPORTE NETO]]*0.21</f>
        <v>0</v>
      </c>
      <c r="J616" s="64"/>
      <c r="K616" s="64"/>
      <c r="L616" s="64">
        <f>SUM(ventas_b_mes684[[#This Row],[IMPORTE NETO]:[EXENTO]])</f>
        <v>0</v>
      </c>
      <c r="M616" s="59"/>
    </row>
    <row r="617" spans="2:13" x14ac:dyDescent="0.25">
      <c r="B617" s="40"/>
      <c r="C617" s="41"/>
      <c r="D617" s="42"/>
      <c r="E617" s="43"/>
      <c r="F617" s="44"/>
      <c r="G617" s="1" t="str">
        <f>IFERROR(IF(ventas_b_mes684[[#This Row],[CUIT]]="","-",VLOOKUP(ventas_b_mes684[[#This Row],[CUIT]],Lista_CUIT[#All],2,0)),"CUIT NO CARGADO")</f>
        <v>-</v>
      </c>
      <c r="H617" s="64"/>
      <c r="I617" s="64">
        <f>ventas_b_mes684[[#This Row],[IMPORTE NETO]]*0.21</f>
        <v>0</v>
      </c>
      <c r="J617" s="64"/>
      <c r="K617" s="64"/>
      <c r="L617" s="64">
        <f>SUM(ventas_b_mes684[[#This Row],[IMPORTE NETO]:[EXENTO]])</f>
        <v>0</v>
      </c>
      <c r="M617" s="59"/>
    </row>
    <row r="618" spans="2:13" x14ac:dyDescent="0.25">
      <c r="B618" s="40"/>
      <c r="C618" s="41"/>
      <c r="D618" s="42"/>
      <c r="E618" s="43"/>
      <c r="F618" s="44"/>
      <c r="G618" s="1" t="str">
        <f>IFERROR(IF(ventas_b_mes684[[#This Row],[CUIT]]="","-",VLOOKUP(ventas_b_mes684[[#This Row],[CUIT]],Lista_CUIT[#All],2,0)),"CUIT NO CARGADO")</f>
        <v>-</v>
      </c>
      <c r="H618" s="64"/>
      <c r="I618" s="64">
        <f>ventas_b_mes684[[#This Row],[IMPORTE NETO]]*0.21</f>
        <v>0</v>
      </c>
      <c r="J618" s="64"/>
      <c r="K618" s="64"/>
      <c r="L618" s="64">
        <f>SUM(ventas_b_mes684[[#This Row],[IMPORTE NETO]:[EXENTO]])</f>
        <v>0</v>
      </c>
      <c r="M618" s="59"/>
    </row>
    <row r="619" spans="2:13" x14ac:dyDescent="0.25">
      <c r="B619" s="40"/>
      <c r="C619" s="41"/>
      <c r="D619" s="42"/>
      <c r="E619" s="43"/>
      <c r="F619" s="44"/>
      <c r="G619" s="1" t="str">
        <f>IFERROR(IF(ventas_b_mes684[[#This Row],[CUIT]]="","-",VLOOKUP(ventas_b_mes684[[#This Row],[CUIT]],Lista_CUIT[#All],2,0)),"CUIT NO CARGADO")</f>
        <v>-</v>
      </c>
      <c r="H619" s="64"/>
      <c r="I619" s="64">
        <f>ventas_b_mes684[[#This Row],[IMPORTE NETO]]*0.21</f>
        <v>0</v>
      </c>
      <c r="J619" s="64"/>
      <c r="K619" s="64"/>
      <c r="L619" s="64">
        <f>SUM(ventas_b_mes684[[#This Row],[IMPORTE NETO]:[EXENTO]])</f>
        <v>0</v>
      </c>
      <c r="M619" s="59"/>
    </row>
    <row r="620" spans="2:13" x14ac:dyDescent="0.25">
      <c r="B620" s="40"/>
      <c r="C620" s="41"/>
      <c r="D620" s="42"/>
      <c r="E620" s="43"/>
      <c r="F620" s="44"/>
      <c r="G620" s="1" t="str">
        <f>IFERROR(IF(ventas_b_mes684[[#This Row],[CUIT]]="","-",VLOOKUP(ventas_b_mes684[[#This Row],[CUIT]],Lista_CUIT[#All],2,0)),"CUIT NO CARGADO")</f>
        <v>-</v>
      </c>
      <c r="H620" s="64"/>
      <c r="I620" s="64">
        <f>ventas_b_mes684[[#This Row],[IMPORTE NETO]]*0.21</f>
        <v>0</v>
      </c>
      <c r="J620" s="64"/>
      <c r="K620" s="64"/>
      <c r="L620" s="64">
        <f>SUM(ventas_b_mes684[[#This Row],[IMPORTE NETO]:[EXENTO]])</f>
        <v>0</v>
      </c>
      <c r="M620" s="59"/>
    </row>
    <row r="621" spans="2:13" x14ac:dyDescent="0.25">
      <c r="B621" s="40"/>
      <c r="C621" s="41"/>
      <c r="D621" s="42"/>
      <c r="E621" s="43"/>
      <c r="F621" s="44"/>
      <c r="G621" s="1" t="str">
        <f>IFERROR(IF(ventas_b_mes684[[#This Row],[CUIT]]="","-",VLOOKUP(ventas_b_mes684[[#This Row],[CUIT]],Lista_CUIT[#All],2,0)),"CUIT NO CARGADO")</f>
        <v>-</v>
      </c>
      <c r="H621" s="64"/>
      <c r="I621" s="64">
        <f>ventas_b_mes684[[#This Row],[IMPORTE NETO]]*0.21</f>
        <v>0</v>
      </c>
      <c r="J621" s="64"/>
      <c r="K621" s="64"/>
      <c r="L621" s="64">
        <f>SUM(ventas_b_mes684[[#This Row],[IMPORTE NETO]:[EXENTO]])</f>
        <v>0</v>
      </c>
      <c r="M621" s="59"/>
    </row>
    <row r="622" spans="2:13" x14ac:dyDescent="0.25">
      <c r="B622" s="40"/>
      <c r="C622" s="41"/>
      <c r="D622" s="42"/>
      <c r="E622" s="43"/>
      <c r="F622" s="44"/>
      <c r="G622" s="1" t="str">
        <f>IFERROR(IF(ventas_b_mes684[[#This Row],[CUIT]]="","-",VLOOKUP(ventas_b_mes684[[#This Row],[CUIT]],Lista_CUIT[#All],2,0)),"CUIT NO CARGADO")</f>
        <v>-</v>
      </c>
      <c r="H622" s="64"/>
      <c r="I622" s="64">
        <f>ventas_b_mes684[[#This Row],[IMPORTE NETO]]*0.21</f>
        <v>0</v>
      </c>
      <c r="J622" s="64"/>
      <c r="K622" s="64"/>
      <c r="L622" s="64">
        <f>SUM(ventas_b_mes684[[#This Row],[IMPORTE NETO]:[EXENTO]])</f>
        <v>0</v>
      </c>
      <c r="M622" s="59"/>
    </row>
    <row r="623" spans="2:13" x14ac:dyDescent="0.25">
      <c r="B623" s="40"/>
      <c r="C623" s="41"/>
      <c r="D623" s="42"/>
      <c r="E623" s="43"/>
      <c r="F623" s="44"/>
      <c r="G623" s="1" t="str">
        <f>IFERROR(IF(ventas_b_mes684[[#This Row],[CUIT]]="","-",VLOOKUP(ventas_b_mes684[[#This Row],[CUIT]],Lista_CUIT[#All],2,0)),"CUIT NO CARGADO")</f>
        <v>-</v>
      </c>
      <c r="H623" s="64"/>
      <c r="I623" s="64">
        <f>ventas_b_mes684[[#This Row],[IMPORTE NETO]]*0.21</f>
        <v>0</v>
      </c>
      <c r="J623" s="64"/>
      <c r="K623" s="64"/>
      <c r="L623" s="64">
        <f>SUM(ventas_b_mes684[[#This Row],[IMPORTE NETO]:[EXENTO]])</f>
        <v>0</v>
      </c>
      <c r="M623" s="59"/>
    </row>
    <row r="624" spans="2:13" x14ac:dyDescent="0.25">
      <c r="B624" s="40"/>
      <c r="C624" s="41"/>
      <c r="D624" s="42"/>
      <c r="E624" s="43"/>
      <c r="F624" s="44"/>
      <c r="G624" s="1" t="str">
        <f>IFERROR(IF(ventas_b_mes684[[#This Row],[CUIT]]="","-",VLOOKUP(ventas_b_mes684[[#This Row],[CUIT]],Lista_CUIT[#All],2,0)),"CUIT NO CARGADO")</f>
        <v>-</v>
      </c>
      <c r="H624" s="64"/>
      <c r="I624" s="64">
        <f>ventas_b_mes684[[#This Row],[IMPORTE NETO]]*0.21</f>
        <v>0</v>
      </c>
      <c r="J624" s="64"/>
      <c r="K624" s="64"/>
      <c r="L624" s="64">
        <f>SUM(ventas_b_mes684[[#This Row],[IMPORTE NETO]:[EXENTO]])</f>
        <v>0</v>
      </c>
      <c r="M624" s="59"/>
    </row>
    <row r="625" spans="2:13" x14ac:dyDescent="0.25">
      <c r="B625" s="40"/>
      <c r="C625" s="41"/>
      <c r="D625" s="42"/>
      <c r="E625" s="43"/>
      <c r="F625" s="44"/>
      <c r="G625" s="1" t="str">
        <f>IFERROR(IF(ventas_b_mes684[[#This Row],[CUIT]]="","-",VLOOKUP(ventas_b_mes684[[#This Row],[CUIT]],Lista_CUIT[#All],2,0)),"CUIT NO CARGADO")</f>
        <v>-</v>
      </c>
      <c r="H625" s="64"/>
      <c r="I625" s="64">
        <f>ventas_b_mes684[[#This Row],[IMPORTE NETO]]*0.21</f>
        <v>0</v>
      </c>
      <c r="J625" s="64"/>
      <c r="K625" s="64"/>
      <c r="L625" s="64">
        <f>SUM(ventas_b_mes684[[#This Row],[IMPORTE NETO]:[EXENTO]])</f>
        <v>0</v>
      </c>
      <c r="M625" s="59"/>
    </row>
    <row r="626" spans="2:13" x14ac:dyDescent="0.25">
      <c r="B626" s="40"/>
      <c r="C626" s="41"/>
      <c r="D626" s="42"/>
      <c r="E626" s="43"/>
      <c r="F626" s="44"/>
      <c r="G626" s="1" t="str">
        <f>IFERROR(IF(ventas_b_mes684[[#This Row],[CUIT]]="","-",VLOOKUP(ventas_b_mes684[[#This Row],[CUIT]],Lista_CUIT[#All],2,0)),"CUIT NO CARGADO")</f>
        <v>-</v>
      </c>
      <c r="H626" s="64"/>
      <c r="I626" s="64">
        <f>ventas_b_mes684[[#This Row],[IMPORTE NETO]]*0.21</f>
        <v>0</v>
      </c>
      <c r="J626" s="64"/>
      <c r="K626" s="64"/>
      <c r="L626" s="64">
        <f>SUM(ventas_b_mes684[[#This Row],[IMPORTE NETO]:[EXENTO]])</f>
        <v>0</v>
      </c>
      <c r="M626" s="59"/>
    </row>
    <row r="627" spans="2:13" x14ac:dyDescent="0.25">
      <c r="B627" s="40"/>
      <c r="C627" s="41"/>
      <c r="D627" s="42"/>
      <c r="E627" s="43"/>
      <c r="F627" s="44"/>
      <c r="G627" s="1" t="str">
        <f>IFERROR(IF(ventas_b_mes684[[#This Row],[CUIT]]="","-",VLOOKUP(ventas_b_mes684[[#This Row],[CUIT]],Lista_CUIT[#All],2,0)),"CUIT NO CARGADO")</f>
        <v>-</v>
      </c>
      <c r="H627" s="64"/>
      <c r="I627" s="64">
        <f>ventas_b_mes684[[#This Row],[IMPORTE NETO]]*0.21</f>
        <v>0</v>
      </c>
      <c r="J627" s="64"/>
      <c r="K627" s="64"/>
      <c r="L627" s="64">
        <f>SUM(ventas_b_mes684[[#This Row],[IMPORTE NETO]:[EXENTO]])</f>
        <v>0</v>
      </c>
      <c r="M627" s="59"/>
    </row>
    <row r="628" spans="2:13" x14ac:dyDescent="0.25">
      <c r="B628" s="40"/>
      <c r="C628" s="41"/>
      <c r="D628" s="42"/>
      <c r="E628" s="43"/>
      <c r="F628" s="44"/>
      <c r="G628" s="1" t="str">
        <f>IFERROR(IF(ventas_b_mes684[[#This Row],[CUIT]]="","-",VLOOKUP(ventas_b_mes684[[#This Row],[CUIT]],Lista_CUIT[#All],2,0)),"CUIT NO CARGADO")</f>
        <v>-</v>
      </c>
      <c r="H628" s="64"/>
      <c r="I628" s="64">
        <f>ventas_b_mes684[[#This Row],[IMPORTE NETO]]*0.21</f>
        <v>0</v>
      </c>
      <c r="J628" s="64"/>
      <c r="K628" s="64"/>
      <c r="L628" s="64">
        <f>SUM(ventas_b_mes684[[#This Row],[IMPORTE NETO]:[EXENTO]])</f>
        <v>0</v>
      </c>
      <c r="M628" s="59"/>
    </row>
    <row r="629" spans="2:13" x14ac:dyDescent="0.25">
      <c r="B629" s="40"/>
      <c r="C629" s="41"/>
      <c r="D629" s="42"/>
      <c r="E629" s="43"/>
      <c r="F629" s="44"/>
      <c r="G629" s="1" t="str">
        <f>IFERROR(IF(ventas_b_mes684[[#This Row],[CUIT]]="","-",VLOOKUP(ventas_b_mes684[[#This Row],[CUIT]],Lista_CUIT[#All],2,0)),"CUIT NO CARGADO")</f>
        <v>-</v>
      </c>
      <c r="H629" s="64"/>
      <c r="I629" s="64">
        <f>ventas_b_mes684[[#This Row],[IMPORTE NETO]]*0.21</f>
        <v>0</v>
      </c>
      <c r="J629" s="64"/>
      <c r="K629" s="64"/>
      <c r="L629" s="64">
        <f>SUM(ventas_b_mes684[[#This Row],[IMPORTE NETO]:[EXENTO]])</f>
        <v>0</v>
      </c>
      <c r="M629" s="59"/>
    </row>
    <row r="630" spans="2:13" x14ac:dyDescent="0.25">
      <c r="B630" s="40"/>
      <c r="C630" s="41"/>
      <c r="D630" s="42"/>
      <c r="E630" s="43"/>
      <c r="F630" s="44"/>
      <c r="G630" s="1" t="str">
        <f>IFERROR(IF(ventas_b_mes684[[#This Row],[CUIT]]="","-",VLOOKUP(ventas_b_mes684[[#This Row],[CUIT]],Lista_CUIT[#All],2,0)),"CUIT NO CARGADO")</f>
        <v>-</v>
      </c>
      <c r="H630" s="64"/>
      <c r="I630" s="64">
        <f>ventas_b_mes684[[#This Row],[IMPORTE NETO]]*0.21</f>
        <v>0</v>
      </c>
      <c r="J630" s="64"/>
      <c r="K630" s="64"/>
      <c r="L630" s="64">
        <f>SUM(ventas_b_mes684[[#This Row],[IMPORTE NETO]:[EXENTO]])</f>
        <v>0</v>
      </c>
      <c r="M630" s="59"/>
    </row>
    <row r="631" spans="2:13" x14ac:dyDescent="0.25">
      <c r="B631" s="40"/>
      <c r="C631" s="41"/>
      <c r="D631" s="42"/>
      <c r="E631" s="43"/>
      <c r="F631" s="44"/>
      <c r="G631" s="1" t="str">
        <f>IFERROR(IF(ventas_b_mes684[[#This Row],[CUIT]]="","-",VLOOKUP(ventas_b_mes684[[#This Row],[CUIT]],Lista_CUIT[#All],2,0)),"CUIT NO CARGADO")</f>
        <v>-</v>
      </c>
      <c r="H631" s="64"/>
      <c r="I631" s="64">
        <f>ventas_b_mes684[[#This Row],[IMPORTE NETO]]*0.21</f>
        <v>0</v>
      </c>
      <c r="J631" s="64"/>
      <c r="K631" s="64"/>
      <c r="L631" s="64">
        <f>SUM(ventas_b_mes684[[#This Row],[IMPORTE NETO]:[EXENTO]])</f>
        <v>0</v>
      </c>
      <c r="M631" s="59"/>
    </row>
    <row r="632" spans="2:13" x14ac:dyDescent="0.25">
      <c r="B632" s="40"/>
      <c r="C632" s="41"/>
      <c r="D632" s="42"/>
      <c r="E632" s="43"/>
      <c r="F632" s="44"/>
      <c r="G632" s="1" t="str">
        <f>IFERROR(IF(ventas_b_mes684[[#This Row],[CUIT]]="","-",VLOOKUP(ventas_b_mes684[[#This Row],[CUIT]],Lista_CUIT[#All],2,0)),"CUIT NO CARGADO")</f>
        <v>-</v>
      </c>
      <c r="H632" s="64"/>
      <c r="I632" s="64">
        <f>ventas_b_mes684[[#This Row],[IMPORTE NETO]]*0.21</f>
        <v>0</v>
      </c>
      <c r="J632" s="64"/>
      <c r="K632" s="64"/>
      <c r="L632" s="64">
        <f>SUM(ventas_b_mes684[[#This Row],[IMPORTE NETO]:[EXENTO]])</f>
        <v>0</v>
      </c>
      <c r="M632" s="59"/>
    </row>
    <row r="633" spans="2:13" x14ac:dyDescent="0.25">
      <c r="B633" s="40"/>
      <c r="C633" s="41"/>
      <c r="D633" s="42"/>
      <c r="E633" s="43"/>
      <c r="F633" s="44"/>
      <c r="G633" s="1" t="str">
        <f>IFERROR(IF(ventas_b_mes684[[#This Row],[CUIT]]="","-",VLOOKUP(ventas_b_mes684[[#This Row],[CUIT]],Lista_CUIT[#All],2,0)),"CUIT NO CARGADO")</f>
        <v>-</v>
      </c>
      <c r="H633" s="64"/>
      <c r="I633" s="64">
        <f>ventas_b_mes684[[#This Row],[IMPORTE NETO]]*0.21</f>
        <v>0</v>
      </c>
      <c r="J633" s="64"/>
      <c r="K633" s="64"/>
      <c r="L633" s="64">
        <f>SUM(ventas_b_mes684[[#This Row],[IMPORTE NETO]:[EXENTO]])</f>
        <v>0</v>
      </c>
      <c r="M633" s="59"/>
    </row>
    <row r="634" spans="2:13" x14ac:dyDescent="0.25">
      <c r="B634" s="40"/>
      <c r="C634" s="41"/>
      <c r="D634" s="42"/>
      <c r="E634" s="43"/>
      <c r="F634" s="44"/>
      <c r="G634" s="1" t="str">
        <f>IFERROR(IF(ventas_b_mes684[[#This Row],[CUIT]]="","-",VLOOKUP(ventas_b_mes684[[#This Row],[CUIT]],Lista_CUIT[#All],2,0)),"CUIT NO CARGADO")</f>
        <v>-</v>
      </c>
      <c r="H634" s="64"/>
      <c r="I634" s="64">
        <f>ventas_b_mes684[[#This Row],[IMPORTE NETO]]*0.21</f>
        <v>0</v>
      </c>
      <c r="J634" s="64"/>
      <c r="K634" s="64"/>
      <c r="L634" s="64">
        <f>SUM(ventas_b_mes684[[#This Row],[IMPORTE NETO]:[EXENTO]])</f>
        <v>0</v>
      </c>
      <c r="M634" s="59"/>
    </row>
    <row r="635" spans="2:13" x14ac:dyDescent="0.25">
      <c r="B635" s="40"/>
      <c r="C635" s="41"/>
      <c r="D635" s="42"/>
      <c r="E635" s="43"/>
      <c r="F635" s="44"/>
      <c r="G635" s="1" t="str">
        <f>IFERROR(IF(ventas_b_mes684[[#This Row],[CUIT]]="","-",VLOOKUP(ventas_b_mes684[[#This Row],[CUIT]],Lista_CUIT[#All],2,0)),"CUIT NO CARGADO")</f>
        <v>-</v>
      </c>
      <c r="H635" s="64"/>
      <c r="I635" s="64">
        <f>ventas_b_mes684[[#This Row],[IMPORTE NETO]]*0.21</f>
        <v>0</v>
      </c>
      <c r="J635" s="64"/>
      <c r="K635" s="64"/>
      <c r="L635" s="64">
        <f>SUM(ventas_b_mes684[[#This Row],[IMPORTE NETO]:[EXENTO]])</f>
        <v>0</v>
      </c>
      <c r="M635" s="59"/>
    </row>
    <row r="636" spans="2:13" x14ac:dyDescent="0.25">
      <c r="B636" s="40"/>
      <c r="C636" s="41"/>
      <c r="D636" s="42"/>
      <c r="E636" s="43"/>
      <c r="F636" s="44"/>
      <c r="G636" s="1" t="str">
        <f>IFERROR(IF(ventas_b_mes684[[#This Row],[CUIT]]="","-",VLOOKUP(ventas_b_mes684[[#This Row],[CUIT]],Lista_CUIT[#All],2,0)),"CUIT NO CARGADO")</f>
        <v>-</v>
      </c>
      <c r="H636" s="64"/>
      <c r="I636" s="64">
        <f>ventas_b_mes684[[#This Row],[IMPORTE NETO]]*0.21</f>
        <v>0</v>
      </c>
      <c r="J636" s="64"/>
      <c r="K636" s="64"/>
      <c r="L636" s="64">
        <f>SUM(ventas_b_mes684[[#This Row],[IMPORTE NETO]:[EXENTO]])</f>
        <v>0</v>
      </c>
      <c r="M636" s="59"/>
    </row>
    <row r="637" spans="2:13" x14ac:dyDescent="0.25">
      <c r="B637" s="40"/>
      <c r="C637" s="41"/>
      <c r="D637" s="42"/>
      <c r="E637" s="43"/>
      <c r="F637" s="44"/>
      <c r="G637" s="1" t="str">
        <f>IFERROR(IF(ventas_b_mes684[[#This Row],[CUIT]]="","-",VLOOKUP(ventas_b_mes684[[#This Row],[CUIT]],Lista_CUIT[#All],2,0)),"CUIT NO CARGADO")</f>
        <v>-</v>
      </c>
      <c r="H637" s="64"/>
      <c r="I637" s="64">
        <f>ventas_b_mes684[[#This Row],[IMPORTE NETO]]*0.21</f>
        <v>0</v>
      </c>
      <c r="J637" s="64"/>
      <c r="K637" s="64"/>
      <c r="L637" s="64">
        <f>SUM(ventas_b_mes684[[#This Row],[IMPORTE NETO]:[EXENTO]])</f>
        <v>0</v>
      </c>
      <c r="M637" s="59"/>
    </row>
    <row r="638" spans="2:13" x14ac:dyDescent="0.25">
      <c r="B638" s="40"/>
      <c r="C638" s="41"/>
      <c r="D638" s="42"/>
      <c r="E638" s="43"/>
      <c r="F638" s="44"/>
      <c r="G638" s="1" t="str">
        <f>IFERROR(IF(ventas_b_mes684[[#This Row],[CUIT]]="","-",VLOOKUP(ventas_b_mes684[[#This Row],[CUIT]],Lista_CUIT[#All],2,0)),"CUIT NO CARGADO")</f>
        <v>-</v>
      </c>
      <c r="H638" s="64"/>
      <c r="I638" s="64">
        <f>ventas_b_mes684[[#This Row],[IMPORTE NETO]]*0.21</f>
        <v>0</v>
      </c>
      <c r="J638" s="64"/>
      <c r="K638" s="64"/>
      <c r="L638" s="64">
        <f>SUM(ventas_b_mes684[[#This Row],[IMPORTE NETO]:[EXENTO]])</f>
        <v>0</v>
      </c>
      <c r="M638" s="59"/>
    </row>
    <row r="639" spans="2:13" x14ac:dyDescent="0.25">
      <c r="B639" s="40"/>
      <c r="C639" s="41"/>
      <c r="D639" s="42"/>
      <c r="E639" s="43"/>
      <c r="F639" s="44"/>
      <c r="G639" s="1" t="str">
        <f>IFERROR(IF(ventas_b_mes684[[#This Row],[CUIT]]="","-",VLOOKUP(ventas_b_mes684[[#This Row],[CUIT]],Lista_CUIT[#All],2,0)),"CUIT NO CARGADO")</f>
        <v>-</v>
      </c>
      <c r="H639" s="64"/>
      <c r="I639" s="64">
        <f>ventas_b_mes684[[#This Row],[IMPORTE NETO]]*0.21</f>
        <v>0</v>
      </c>
      <c r="J639" s="64"/>
      <c r="K639" s="64"/>
      <c r="L639" s="64">
        <f>SUM(ventas_b_mes684[[#This Row],[IMPORTE NETO]:[EXENTO]])</f>
        <v>0</v>
      </c>
      <c r="M639" s="59"/>
    </row>
    <row r="640" spans="2:13" x14ac:dyDescent="0.25">
      <c r="B640" s="40"/>
      <c r="C640" s="41"/>
      <c r="D640" s="42"/>
      <c r="E640" s="43"/>
      <c r="F640" s="44"/>
      <c r="G640" s="1" t="str">
        <f>IFERROR(IF(ventas_b_mes684[[#This Row],[CUIT]]="","-",VLOOKUP(ventas_b_mes684[[#This Row],[CUIT]],Lista_CUIT[#All],2,0)),"CUIT NO CARGADO")</f>
        <v>-</v>
      </c>
      <c r="H640" s="64"/>
      <c r="I640" s="64">
        <f>ventas_b_mes684[[#This Row],[IMPORTE NETO]]*0.21</f>
        <v>0</v>
      </c>
      <c r="J640" s="64"/>
      <c r="K640" s="64"/>
      <c r="L640" s="64">
        <f>SUM(ventas_b_mes684[[#This Row],[IMPORTE NETO]:[EXENTO]])</f>
        <v>0</v>
      </c>
      <c r="M640" s="59"/>
    </row>
    <row r="641" spans="2:13" x14ac:dyDescent="0.25">
      <c r="B641" s="40"/>
      <c r="C641" s="41"/>
      <c r="D641" s="42"/>
      <c r="E641" s="43"/>
      <c r="F641" s="44"/>
      <c r="G641" s="1" t="str">
        <f>IFERROR(IF(ventas_b_mes684[[#This Row],[CUIT]]="","-",VLOOKUP(ventas_b_mes684[[#This Row],[CUIT]],Lista_CUIT[#All],2,0)),"CUIT NO CARGADO")</f>
        <v>-</v>
      </c>
      <c r="H641" s="64"/>
      <c r="I641" s="64">
        <f>ventas_b_mes684[[#This Row],[IMPORTE NETO]]*0.21</f>
        <v>0</v>
      </c>
      <c r="J641" s="64"/>
      <c r="K641" s="64"/>
      <c r="L641" s="64">
        <f>SUM(ventas_b_mes684[[#This Row],[IMPORTE NETO]:[EXENTO]])</f>
        <v>0</v>
      </c>
      <c r="M641" s="59"/>
    </row>
    <row r="642" spans="2:13" x14ac:dyDescent="0.25">
      <c r="B642" s="40"/>
      <c r="C642" s="41"/>
      <c r="D642" s="42"/>
      <c r="E642" s="43"/>
      <c r="F642" s="44"/>
      <c r="G642" s="1" t="str">
        <f>IFERROR(IF(ventas_b_mes684[[#This Row],[CUIT]]="","-",VLOOKUP(ventas_b_mes684[[#This Row],[CUIT]],Lista_CUIT[#All],2,0)),"CUIT NO CARGADO")</f>
        <v>-</v>
      </c>
      <c r="H642" s="64"/>
      <c r="I642" s="64">
        <f>ventas_b_mes684[[#This Row],[IMPORTE NETO]]*0.21</f>
        <v>0</v>
      </c>
      <c r="J642" s="64"/>
      <c r="K642" s="64"/>
      <c r="L642" s="64">
        <f>SUM(ventas_b_mes684[[#This Row],[IMPORTE NETO]:[EXENTO]])</f>
        <v>0</v>
      </c>
      <c r="M642" s="59"/>
    </row>
    <row r="643" spans="2:13" x14ac:dyDescent="0.25">
      <c r="B643" s="40"/>
      <c r="C643" s="41"/>
      <c r="D643" s="42"/>
      <c r="E643" s="43"/>
      <c r="F643" s="44"/>
      <c r="G643" s="1" t="str">
        <f>IFERROR(IF(ventas_b_mes684[[#This Row],[CUIT]]="","-",VLOOKUP(ventas_b_mes684[[#This Row],[CUIT]],Lista_CUIT[#All],2,0)),"CUIT NO CARGADO")</f>
        <v>-</v>
      </c>
      <c r="H643" s="64"/>
      <c r="I643" s="64">
        <f>ventas_b_mes684[[#This Row],[IMPORTE NETO]]*0.21</f>
        <v>0</v>
      </c>
      <c r="J643" s="64"/>
      <c r="K643" s="64"/>
      <c r="L643" s="64">
        <f>SUM(ventas_b_mes684[[#This Row],[IMPORTE NETO]:[EXENTO]])</f>
        <v>0</v>
      </c>
      <c r="M643" s="59"/>
    </row>
    <row r="644" spans="2:13" x14ac:dyDescent="0.25">
      <c r="B644" s="40"/>
      <c r="C644" s="41"/>
      <c r="D644" s="42"/>
      <c r="E644" s="43"/>
      <c r="F644" s="44"/>
      <c r="G644" s="1" t="str">
        <f>IFERROR(IF(ventas_b_mes684[[#This Row],[CUIT]]="","-",VLOOKUP(ventas_b_mes684[[#This Row],[CUIT]],Lista_CUIT[#All],2,0)),"CUIT NO CARGADO")</f>
        <v>-</v>
      </c>
      <c r="H644" s="64"/>
      <c r="I644" s="64">
        <f>ventas_b_mes684[[#This Row],[IMPORTE NETO]]*0.21</f>
        <v>0</v>
      </c>
      <c r="J644" s="64"/>
      <c r="K644" s="64"/>
      <c r="L644" s="64">
        <f>SUM(ventas_b_mes684[[#This Row],[IMPORTE NETO]:[EXENTO]])</f>
        <v>0</v>
      </c>
      <c r="M644" s="59"/>
    </row>
    <row r="645" spans="2:13" x14ac:dyDescent="0.25">
      <c r="B645" s="40"/>
      <c r="C645" s="41"/>
      <c r="D645" s="42"/>
      <c r="E645" s="43"/>
      <c r="F645" s="44"/>
      <c r="G645" s="1" t="str">
        <f>IFERROR(IF(ventas_b_mes684[[#This Row],[CUIT]]="","-",VLOOKUP(ventas_b_mes684[[#This Row],[CUIT]],Lista_CUIT[#All],2,0)),"CUIT NO CARGADO")</f>
        <v>-</v>
      </c>
      <c r="H645" s="64"/>
      <c r="I645" s="64">
        <f>ventas_b_mes684[[#This Row],[IMPORTE NETO]]*0.21</f>
        <v>0</v>
      </c>
      <c r="J645" s="64"/>
      <c r="K645" s="64"/>
      <c r="L645" s="64">
        <f>SUM(ventas_b_mes684[[#This Row],[IMPORTE NETO]:[EXENTO]])</f>
        <v>0</v>
      </c>
      <c r="M645" s="59"/>
    </row>
    <row r="646" spans="2:13" x14ac:dyDescent="0.25">
      <c r="B646" s="40"/>
      <c r="C646" s="41"/>
      <c r="D646" s="42"/>
      <c r="E646" s="43"/>
      <c r="F646" s="44"/>
      <c r="G646" s="1" t="str">
        <f>IFERROR(IF(ventas_b_mes684[[#This Row],[CUIT]]="","-",VLOOKUP(ventas_b_mes684[[#This Row],[CUIT]],Lista_CUIT[#All],2,0)),"CUIT NO CARGADO")</f>
        <v>-</v>
      </c>
      <c r="H646" s="64"/>
      <c r="I646" s="64">
        <f>ventas_b_mes684[[#This Row],[IMPORTE NETO]]*0.21</f>
        <v>0</v>
      </c>
      <c r="J646" s="64"/>
      <c r="K646" s="64"/>
      <c r="L646" s="64">
        <f>SUM(ventas_b_mes684[[#This Row],[IMPORTE NETO]:[EXENTO]])</f>
        <v>0</v>
      </c>
      <c r="M646" s="59"/>
    </row>
    <row r="647" spans="2:13" x14ac:dyDescent="0.25">
      <c r="B647" s="40"/>
      <c r="C647" s="41"/>
      <c r="D647" s="42"/>
      <c r="E647" s="43"/>
      <c r="F647" s="44"/>
      <c r="G647" s="1" t="str">
        <f>IFERROR(IF(ventas_b_mes684[[#This Row],[CUIT]]="","-",VLOOKUP(ventas_b_mes684[[#This Row],[CUIT]],Lista_CUIT[#All],2,0)),"CUIT NO CARGADO")</f>
        <v>-</v>
      </c>
      <c r="H647" s="64"/>
      <c r="I647" s="64">
        <f>ventas_b_mes684[[#This Row],[IMPORTE NETO]]*0.21</f>
        <v>0</v>
      </c>
      <c r="J647" s="64"/>
      <c r="K647" s="64"/>
      <c r="L647" s="64">
        <f>SUM(ventas_b_mes684[[#This Row],[IMPORTE NETO]:[EXENTO]])</f>
        <v>0</v>
      </c>
      <c r="M647" s="59"/>
    </row>
    <row r="648" spans="2:13" x14ac:dyDescent="0.25">
      <c r="B648" s="40"/>
      <c r="C648" s="41"/>
      <c r="D648" s="42"/>
      <c r="E648" s="43"/>
      <c r="F648" s="44"/>
      <c r="G648" s="1" t="str">
        <f>IFERROR(IF(ventas_b_mes684[[#This Row],[CUIT]]="","-",VLOOKUP(ventas_b_mes684[[#This Row],[CUIT]],Lista_CUIT[#All],2,0)),"CUIT NO CARGADO")</f>
        <v>-</v>
      </c>
      <c r="H648" s="64"/>
      <c r="I648" s="64">
        <f>ventas_b_mes684[[#This Row],[IMPORTE NETO]]*0.21</f>
        <v>0</v>
      </c>
      <c r="J648" s="64"/>
      <c r="K648" s="64"/>
      <c r="L648" s="64">
        <f>SUM(ventas_b_mes684[[#This Row],[IMPORTE NETO]:[EXENTO]])</f>
        <v>0</v>
      </c>
      <c r="M648" s="59"/>
    </row>
    <row r="649" spans="2:13" x14ac:dyDescent="0.25">
      <c r="B649" s="40"/>
      <c r="C649" s="41"/>
      <c r="D649" s="42"/>
      <c r="E649" s="43"/>
      <c r="F649" s="44"/>
      <c r="G649" s="1" t="str">
        <f>IFERROR(IF(ventas_b_mes684[[#This Row],[CUIT]]="","-",VLOOKUP(ventas_b_mes684[[#This Row],[CUIT]],Lista_CUIT[#All],2,0)),"CUIT NO CARGADO")</f>
        <v>-</v>
      </c>
      <c r="H649" s="64"/>
      <c r="I649" s="64">
        <f>ventas_b_mes684[[#This Row],[IMPORTE NETO]]*0.21</f>
        <v>0</v>
      </c>
      <c r="J649" s="64"/>
      <c r="K649" s="64"/>
      <c r="L649" s="64">
        <f>SUM(ventas_b_mes684[[#This Row],[IMPORTE NETO]:[EXENTO]])</f>
        <v>0</v>
      </c>
      <c r="M649" s="59"/>
    </row>
    <row r="650" spans="2:13" x14ac:dyDescent="0.25">
      <c r="B650" s="40"/>
      <c r="C650" s="41"/>
      <c r="D650" s="42"/>
      <c r="E650" s="43"/>
      <c r="F650" s="44"/>
      <c r="G650" s="1" t="str">
        <f>IFERROR(IF(ventas_b_mes684[[#This Row],[CUIT]]="","-",VLOOKUP(ventas_b_mes684[[#This Row],[CUIT]],Lista_CUIT[#All],2,0)),"CUIT NO CARGADO")</f>
        <v>-</v>
      </c>
      <c r="H650" s="64"/>
      <c r="I650" s="64">
        <f>ventas_b_mes684[[#This Row],[IMPORTE NETO]]*0.21</f>
        <v>0</v>
      </c>
      <c r="J650" s="64"/>
      <c r="K650" s="64"/>
      <c r="L650" s="64">
        <f>SUM(ventas_b_mes684[[#This Row],[IMPORTE NETO]:[EXENTO]])</f>
        <v>0</v>
      </c>
      <c r="M650" s="59"/>
    </row>
    <row r="651" spans="2:13" x14ac:dyDescent="0.25">
      <c r="B651" s="40"/>
      <c r="C651" s="41"/>
      <c r="D651" s="42"/>
      <c r="E651" s="43"/>
      <c r="F651" s="44"/>
      <c r="G651" s="1" t="str">
        <f>IFERROR(IF(ventas_b_mes684[[#This Row],[CUIT]]="","-",VLOOKUP(ventas_b_mes684[[#This Row],[CUIT]],Lista_CUIT[#All],2,0)),"CUIT NO CARGADO")</f>
        <v>-</v>
      </c>
      <c r="H651" s="64"/>
      <c r="I651" s="64">
        <f>ventas_b_mes684[[#This Row],[IMPORTE NETO]]*0.21</f>
        <v>0</v>
      </c>
      <c r="J651" s="64"/>
      <c r="K651" s="64"/>
      <c r="L651" s="64">
        <f>SUM(ventas_b_mes684[[#This Row],[IMPORTE NETO]:[EXENTO]])</f>
        <v>0</v>
      </c>
      <c r="M651" s="59"/>
    </row>
    <row r="652" spans="2:13" x14ac:dyDescent="0.25">
      <c r="B652" s="40"/>
      <c r="C652" s="41"/>
      <c r="D652" s="42"/>
      <c r="E652" s="43"/>
      <c r="F652" s="44"/>
      <c r="G652" s="1" t="str">
        <f>IFERROR(IF(ventas_b_mes684[[#This Row],[CUIT]]="","-",VLOOKUP(ventas_b_mes684[[#This Row],[CUIT]],Lista_CUIT[#All],2,0)),"CUIT NO CARGADO")</f>
        <v>-</v>
      </c>
      <c r="H652" s="64"/>
      <c r="I652" s="64">
        <f>ventas_b_mes684[[#This Row],[IMPORTE NETO]]*0.21</f>
        <v>0</v>
      </c>
      <c r="J652" s="64"/>
      <c r="K652" s="64"/>
      <c r="L652" s="64">
        <f>SUM(ventas_b_mes684[[#This Row],[IMPORTE NETO]:[EXENTO]])</f>
        <v>0</v>
      </c>
      <c r="M652" s="59"/>
    </row>
    <row r="653" spans="2:13" x14ac:dyDescent="0.25">
      <c r="B653" s="40"/>
      <c r="C653" s="41"/>
      <c r="D653" s="42"/>
      <c r="E653" s="43"/>
      <c r="F653" s="44"/>
      <c r="G653" s="1" t="str">
        <f>IFERROR(IF(ventas_b_mes684[[#This Row],[CUIT]]="","-",VLOOKUP(ventas_b_mes684[[#This Row],[CUIT]],Lista_CUIT[#All],2,0)),"CUIT NO CARGADO")</f>
        <v>-</v>
      </c>
      <c r="H653" s="64"/>
      <c r="I653" s="64">
        <f>ventas_b_mes684[[#This Row],[IMPORTE NETO]]*0.21</f>
        <v>0</v>
      </c>
      <c r="J653" s="64"/>
      <c r="K653" s="64"/>
      <c r="L653" s="64">
        <f>SUM(ventas_b_mes684[[#This Row],[IMPORTE NETO]:[EXENTO]])</f>
        <v>0</v>
      </c>
      <c r="M653" s="59"/>
    </row>
    <row r="654" spans="2:13" x14ac:dyDescent="0.25">
      <c r="B654" s="40"/>
      <c r="C654" s="41"/>
      <c r="D654" s="42"/>
      <c r="E654" s="43"/>
      <c r="F654" s="44"/>
      <c r="G654" s="1" t="str">
        <f>IFERROR(IF(ventas_b_mes684[[#This Row],[CUIT]]="","-",VLOOKUP(ventas_b_mes684[[#This Row],[CUIT]],Lista_CUIT[#All],2,0)),"CUIT NO CARGADO")</f>
        <v>-</v>
      </c>
      <c r="H654" s="64"/>
      <c r="I654" s="64">
        <f>ventas_b_mes684[[#This Row],[IMPORTE NETO]]*0.21</f>
        <v>0</v>
      </c>
      <c r="J654" s="64"/>
      <c r="K654" s="64"/>
      <c r="L654" s="64">
        <f>SUM(ventas_b_mes684[[#This Row],[IMPORTE NETO]:[EXENTO]])</f>
        <v>0</v>
      </c>
      <c r="M654" s="59"/>
    </row>
    <row r="655" spans="2:13" x14ac:dyDescent="0.25">
      <c r="B655" s="40"/>
      <c r="C655" s="41"/>
      <c r="D655" s="42"/>
      <c r="E655" s="43"/>
      <c r="F655" s="44"/>
      <c r="G655" s="1" t="str">
        <f>IFERROR(IF(ventas_b_mes684[[#This Row],[CUIT]]="","-",VLOOKUP(ventas_b_mes684[[#This Row],[CUIT]],Lista_CUIT[#All],2,0)),"CUIT NO CARGADO")</f>
        <v>-</v>
      </c>
      <c r="H655" s="64"/>
      <c r="I655" s="64">
        <f>ventas_b_mes684[[#This Row],[IMPORTE NETO]]*0.21</f>
        <v>0</v>
      </c>
      <c r="J655" s="64"/>
      <c r="K655" s="64"/>
      <c r="L655" s="64">
        <f>SUM(ventas_b_mes684[[#This Row],[IMPORTE NETO]:[EXENTO]])</f>
        <v>0</v>
      </c>
      <c r="M655" s="59"/>
    </row>
    <row r="656" spans="2:13" x14ac:dyDescent="0.25">
      <c r="B656" s="40"/>
      <c r="C656" s="41"/>
      <c r="D656" s="42"/>
      <c r="E656" s="43"/>
      <c r="F656" s="44"/>
      <c r="G656" s="1" t="str">
        <f>IFERROR(IF(ventas_b_mes684[[#This Row],[CUIT]]="","-",VLOOKUP(ventas_b_mes684[[#This Row],[CUIT]],Lista_CUIT[#All],2,0)),"CUIT NO CARGADO")</f>
        <v>-</v>
      </c>
      <c r="H656" s="64"/>
      <c r="I656" s="64">
        <f>ventas_b_mes684[[#This Row],[IMPORTE NETO]]*0.21</f>
        <v>0</v>
      </c>
      <c r="J656" s="64"/>
      <c r="K656" s="64"/>
      <c r="L656" s="64">
        <f>SUM(ventas_b_mes684[[#This Row],[IMPORTE NETO]:[EXENTO]])</f>
        <v>0</v>
      </c>
      <c r="M656" s="59"/>
    </row>
    <row r="657" spans="2:13" x14ac:dyDescent="0.25">
      <c r="B657" s="40"/>
      <c r="C657" s="41"/>
      <c r="D657" s="42"/>
      <c r="E657" s="43"/>
      <c r="F657" s="44"/>
      <c r="G657" s="1" t="str">
        <f>IFERROR(IF(ventas_b_mes684[[#This Row],[CUIT]]="","-",VLOOKUP(ventas_b_mes684[[#This Row],[CUIT]],Lista_CUIT[#All],2,0)),"CUIT NO CARGADO")</f>
        <v>-</v>
      </c>
      <c r="H657" s="64"/>
      <c r="I657" s="64">
        <f>ventas_b_mes684[[#This Row],[IMPORTE NETO]]*0.21</f>
        <v>0</v>
      </c>
      <c r="J657" s="64"/>
      <c r="K657" s="64"/>
      <c r="L657" s="64">
        <f>SUM(ventas_b_mes684[[#This Row],[IMPORTE NETO]:[EXENTO]])</f>
        <v>0</v>
      </c>
      <c r="M657" s="59"/>
    </row>
    <row r="658" spans="2:13" x14ac:dyDescent="0.25">
      <c r="B658" s="40"/>
      <c r="C658" s="41"/>
      <c r="D658" s="42"/>
      <c r="E658" s="43"/>
      <c r="F658" s="44"/>
      <c r="G658" s="1" t="str">
        <f>IFERROR(IF(ventas_b_mes684[[#This Row],[CUIT]]="","-",VLOOKUP(ventas_b_mes684[[#This Row],[CUIT]],Lista_CUIT[#All],2,0)),"CUIT NO CARGADO")</f>
        <v>-</v>
      </c>
      <c r="H658" s="64"/>
      <c r="I658" s="64">
        <f>ventas_b_mes684[[#This Row],[IMPORTE NETO]]*0.21</f>
        <v>0</v>
      </c>
      <c r="J658" s="64"/>
      <c r="K658" s="64"/>
      <c r="L658" s="64">
        <f>SUM(ventas_b_mes684[[#This Row],[IMPORTE NETO]:[EXENTO]])</f>
        <v>0</v>
      </c>
      <c r="M658" s="59"/>
    </row>
    <row r="659" spans="2:13" x14ac:dyDescent="0.25">
      <c r="B659" s="40"/>
      <c r="C659" s="41"/>
      <c r="D659" s="42"/>
      <c r="E659" s="43"/>
      <c r="F659" s="44"/>
      <c r="G659" s="1" t="str">
        <f>IFERROR(IF(ventas_b_mes684[[#This Row],[CUIT]]="","-",VLOOKUP(ventas_b_mes684[[#This Row],[CUIT]],Lista_CUIT[#All],2,0)),"CUIT NO CARGADO")</f>
        <v>-</v>
      </c>
      <c r="H659" s="64"/>
      <c r="I659" s="64">
        <f>ventas_b_mes684[[#This Row],[IMPORTE NETO]]*0.21</f>
        <v>0</v>
      </c>
      <c r="J659" s="64"/>
      <c r="K659" s="64"/>
      <c r="L659" s="64">
        <f>SUM(ventas_b_mes684[[#This Row],[IMPORTE NETO]:[EXENTO]])</f>
        <v>0</v>
      </c>
      <c r="M659" s="59"/>
    </row>
    <row r="660" spans="2:13" x14ac:dyDescent="0.25">
      <c r="B660" s="40"/>
      <c r="C660" s="41"/>
      <c r="D660" s="42"/>
      <c r="E660" s="43"/>
      <c r="F660" s="44"/>
      <c r="G660" s="1" t="str">
        <f>IFERROR(IF(ventas_b_mes684[[#This Row],[CUIT]]="","-",VLOOKUP(ventas_b_mes684[[#This Row],[CUIT]],Lista_CUIT[#All],2,0)),"CUIT NO CARGADO")</f>
        <v>-</v>
      </c>
      <c r="H660" s="64"/>
      <c r="I660" s="64">
        <f>ventas_b_mes684[[#This Row],[IMPORTE NETO]]*0.21</f>
        <v>0</v>
      </c>
      <c r="J660" s="64"/>
      <c r="K660" s="64"/>
      <c r="L660" s="64">
        <f>SUM(ventas_b_mes684[[#This Row],[IMPORTE NETO]:[EXENTO]])</f>
        <v>0</v>
      </c>
      <c r="M660" s="59"/>
    </row>
    <row r="661" spans="2:13" x14ac:dyDescent="0.25">
      <c r="B661" s="40"/>
      <c r="C661" s="41"/>
      <c r="D661" s="42"/>
      <c r="E661" s="43"/>
      <c r="F661" s="44"/>
      <c r="G661" s="1" t="str">
        <f>IFERROR(IF(ventas_b_mes684[[#This Row],[CUIT]]="","-",VLOOKUP(ventas_b_mes684[[#This Row],[CUIT]],Lista_CUIT[#All],2,0)),"CUIT NO CARGADO")</f>
        <v>-</v>
      </c>
      <c r="H661" s="64"/>
      <c r="I661" s="64">
        <f>ventas_b_mes684[[#This Row],[IMPORTE NETO]]*0.21</f>
        <v>0</v>
      </c>
      <c r="J661" s="64"/>
      <c r="K661" s="64"/>
      <c r="L661" s="64">
        <f>SUM(ventas_b_mes684[[#This Row],[IMPORTE NETO]:[EXENTO]])</f>
        <v>0</v>
      </c>
      <c r="M661" s="59"/>
    </row>
    <row r="662" spans="2:13" x14ac:dyDescent="0.25">
      <c r="B662" s="40"/>
      <c r="C662" s="41"/>
      <c r="D662" s="42"/>
      <c r="E662" s="43"/>
      <c r="F662" s="44"/>
      <c r="G662" s="1" t="str">
        <f>IFERROR(IF(ventas_b_mes684[[#This Row],[CUIT]]="","-",VLOOKUP(ventas_b_mes684[[#This Row],[CUIT]],Lista_CUIT[#All],2,0)),"CUIT NO CARGADO")</f>
        <v>-</v>
      </c>
      <c r="H662" s="64"/>
      <c r="I662" s="64">
        <f>ventas_b_mes684[[#This Row],[IMPORTE NETO]]*0.21</f>
        <v>0</v>
      </c>
      <c r="J662" s="64"/>
      <c r="K662" s="64"/>
      <c r="L662" s="64">
        <f>SUM(ventas_b_mes684[[#This Row],[IMPORTE NETO]:[EXENTO]])</f>
        <v>0</v>
      </c>
      <c r="M662" s="59"/>
    </row>
    <row r="663" spans="2:13" x14ac:dyDescent="0.25">
      <c r="B663" s="40"/>
      <c r="C663" s="41"/>
      <c r="D663" s="42"/>
      <c r="E663" s="43"/>
      <c r="F663" s="44"/>
      <c r="G663" s="1" t="str">
        <f>IFERROR(IF(ventas_b_mes684[[#This Row],[CUIT]]="","-",VLOOKUP(ventas_b_mes684[[#This Row],[CUIT]],Lista_CUIT[#All],2,0)),"CUIT NO CARGADO")</f>
        <v>-</v>
      </c>
      <c r="H663" s="64"/>
      <c r="I663" s="64">
        <f>ventas_b_mes684[[#This Row],[IMPORTE NETO]]*0.21</f>
        <v>0</v>
      </c>
      <c r="J663" s="64"/>
      <c r="K663" s="64"/>
      <c r="L663" s="64">
        <f>SUM(ventas_b_mes684[[#This Row],[IMPORTE NETO]:[EXENTO]])</f>
        <v>0</v>
      </c>
      <c r="M663" s="59"/>
    </row>
    <row r="664" spans="2:13" x14ac:dyDescent="0.25">
      <c r="B664" s="40"/>
      <c r="C664" s="41"/>
      <c r="D664" s="42"/>
      <c r="E664" s="43"/>
      <c r="F664" s="44"/>
      <c r="G664" s="1" t="str">
        <f>IFERROR(IF(ventas_b_mes684[[#This Row],[CUIT]]="","-",VLOOKUP(ventas_b_mes684[[#This Row],[CUIT]],Lista_CUIT[#All],2,0)),"CUIT NO CARGADO")</f>
        <v>-</v>
      </c>
      <c r="H664" s="64"/>
      <c r="I664" s="64">
        <f>ventas_b_mes684[[#This Row],[IMPORTE NETO]]*0.21</f>
        <v>0</v>
      </c>
      <c r="J664" s="64"/>
      <c r="K664" s="64"/>
      <c r="L664" s="64">
        <f>SUM(ventas_b_mes684[[#This Row],[IMPORTE NETO]:[EXENTO]])</f>
        <v>0</v>
      </c>
      <c r="M664" s="59"/>
    </row>
    <row r="665" spans="2:13" x14ac:dyDescent="0.25">
      <c r="B665" s="40"/>
      <c r="C665" s="41"/>
      <c r="D665" s="42"/>
      <c r="E665" s="43"/>
      <c r="F665" s="44"/>
      <c r="G665" s="1" t="str">
        <f>IFERROR(IF(ventas_b_mes684[[#This Row],[CUIT]]="","-",VLOOKUP(ventas_b_mes684[[#This Row],[CUIT]],Lista_CUIT[#All],2,0)),"CUIT NO CARGADO")</f>
        <v>-</v>
      </c>
      <c r="H665" s="64"/>
      <c r="I665" s="64">
        <f>ventas_b_mes684[[#This Row],[IMPORTE NETO]]*0.21</f>
        <v>0</v>
      </c>
      <c r="J665" s="64"/>
      <c r="K665" s="64"/>
      <c r="L665" s="64">
        <f>SUM(ventas_b_mes684[[#This Row],[IMPORTE NETO]:[EXENTO]])</f>
        <v>0</v>
      </c>
      <c r="M665" s="59"/>
    </row>
    <row r="666" spans="2:13" x14ac:dyDescent="0.25">
      <c r="B666" s="40"/>
      <c r="C666" s="41"/>
      <c r="D666" s="42"/>
      <c r="E666" s="43"/>
      <c r="F666" s="44"/>
      <c r="G666" s="1" t="str">
        <f>IFERROR(IF(ventas_b_mes684[[#This Row],[CUIT]]="","-",VLOOKUP(ventas_b_mes684[[#This Row],[CUIT]],Lista_CUIT[#All],2,0)),"CUIT NO CARGADO")</f>
        <v>-</v>
      </c>
      <c r="H666" s="64"/>
      <c r="I666" s="64">
        <f>ventas_b_mes684[[#This Row],[IMPORTE NETO]]*0.21</f>
        <v>0</v>
      </c>
      <c r="J666" s="64"/>
      <c r="K666" s="64"/>
      <c r="L666" s="64">
        <f>SUM(ventas_b_mes684[[#This Row],[IMPORTE NETO]:[EXENTO]])</f>
        <v>0</v>
      </c>
      <c r="M666" s="59"/>
    </row>
    <row r="667" spans="2:13" x14ac:dyDescent="0.25">
      <c r="B667" s="40"/>
      <c r="C667" s="41"/>
      <c r="D667" s="42"/>
      <c r="E667" s="43"/>
      <c r="F667" s="44"/>
      <c r="G667" s="1" t="str">
        <f>IFERROR(IF(ventas_b_mes684[[#This Row],[CUIT]]="","-",VLOOKUP(ventas_b_mes684[[#This Row],[CUIT]],Lista_CUIT[#All],2,0)),"CUIT NO CARGADO")</f>
        <v>-</v>
      </c>
      <c r="H667" s="64"/>
      <c r="I667" s="64">
        <f>ventas_b_mes684[[#This Row],[IMPORTE NETO]]*0.21</f>
        <v>0</v>
      </c>
      <c r="J667" s="64"/>
      <c r="K667" s="64"/>
      <c r="L667" s="64">
        <f>SUM(ventas_b_mes684[[#This Row],[IMPORTE NETO]:[EXENTO]])</f>
        <v>0</v>
      </c>
      <c r="M667" s="59"/>
    </row>
    <row r="668" spans="2:13" x14ac:dyDescent="0.25">
      <c r="B668" s="40"/>
      <c r="C668" s="41"/>
      <c r="D668" s="42"/>
      <c r="E668" s="43"/>
      <c r="F668" s="44"/>
      <c r="G668" s="1" t="str">
        <f>IFERROR(IF(ventas_b_mes684[[#This Row],[CUIT]]="","-",VLOOKUP(ventas_b_mes684[[#This Row],[CUIT]],Lista_CUIT[#All],2,0)),"CUIT NO CARGADO")</f>
        <v>-</v>
      </c>
      <c r="H668" s="64"/>
      <c r="I668" s="64">
        <f>ventas_b_mes684[[#This Row],[IMPORTE NETO]]*0.21</f>
        <v>0</v>
      </c>
      <c r="J668" s="64"/>
      <c r="K668" s="64"/>
      <c r="L668" s="64">
        <f>SUM(ventas_b_mes684[[#This Row],[IMPORTE NETO]:[EXENTO]])</f>
        <v>0</v>
      </c>
      <c r="M668" s="59"/>
    </row>
    <row r="669" spans="2:13" x14ac:dyDescent="0.25">
      <c r="B669" s="40"/>
      <c r="C669" s="41"/>
      <c r="D669" s="42"/>
      <c r="E669" s="43"/>
      <c r="F669" s="44"/>
      <c r="G669" s="1" t="str">
        <f>IFERROR(IF(ventas_b_mes684[[#This Row],[CUIT]]="","-",VLOOKUP(ventas_b_mes684[[#This Row],[CUIT]],Lista_CUIT[#All],2,0)),"CUIT NO CARGADO")</f>
        <v>-</v>
      </c>
      <c r="H669" s="64"/>
      <c r="I669" s="64">
        <f>ventas_b_mes684[[#This Row],[IMPORTE NETO]]*0.21</f>
        <v>0</v>
      </c>
      <c r="J669" s="64"/>
      <c r="K669" s="64"/>
      <c r="L669" s="64">
        <f>SUM(ventas_b_mes684[[#This Row],[IMPORTE NETO]:[EXENTO]])</f>
        <v>0</v>
      </c>
      <c r="M669" s="59"/>
    </row>
    <row r="670" spans="2:13" x14ac:dyDescent="0.25">
      <c r="B670" s="40"/>
      <c r="C670" s="41"/>
      <c r="D670" s="42"/>
      <c r="E670" s="43"/>
      <c r="F670" s="44"/>
      <c r="G670" s="1" t="str">
        <f>IFERROR(IF(ventas_b_mes684[[#This Row],[CUIT]]="","-",VLOOKUP(ventas_b_mes684[[#This Row],[CUIT]],Lista_CUIT[#All],2,0)),"CUIT NO CARGADO")</f>
        <v>-</v>
      </c>
      <c r="H670" s="64"/>
      <c r="I670" s="64">
        <f>ventas_b_mes684[[#This Row],[IMPORTE NETO]]*0.21</f>
        <v>0</v>
      </c>
      <c r="J670" s="64"/>
      <c r="K670" s="64"/>
      <c r="L670" s="64">
        <f>SUM(ventas_b_mes684[[#This Row],[IMPORTE NETO]:[EXENTO]])</f>
        <v>0</v>
      </c>
      <c r="M670" s="59"/>
    </row>
    <row r="671" spans="2:13" x14ac:dyDescent="0.25">
      <c r="B671" s="40"/>
      <c r="C671" s="41"/>
      <c r="D671" s="42"/>
      <c r="E671" s="43"/>
      <c r="F671" s="44"/>
      <c r="G671" s="1" t="str">
        <f>IFERROR(IF(ventas_b_mes684[[#This Row],[CUIT]]="","-",VLOOKUP(ventas_b_mes684[[#This Row],[CUIT]],Lista_CUIT[#All],2,0)),"CUIT NO CARGADO")</f>
        <v>-</v>
      </c>
      <c r="H671" s="64"/>
      <c r="I671" s="64">
        <f>ventas_b_mes684[[#This Row],[IMPORTE NETO]]*0.21</f>
        <v>0</v>
      </c>
      <c r="J671" s="64"/>
      <c r="K671" s="64"/>
      <c r="L671" s="64">
        <f>SUM(ventas_b_mes684[[#This Row],[IMPORTE NETO]:[EXENTO]])</f>
        <v>0</v>
      </c>
      <c r="M671" s="59"/>
    </row>
    <row r="672" spans="2:13" x14ac:dyDescent="0.25">
      <c r="B672" s="40"/>
      <c r="C672" s="41"/>
      <c r="D672" s="42"/>
      <c r="E672" s="43"/>
      <c r="F672" s="44"/>
      <c r="G672" s="1" t="str">
        <f>IFERROR(IF(ventas_b_mes684[[#This Row],[CUIT]]="","-",VLOOKUP(ventas_b_mes684[[#This Row],[CUIT]],Lista_CUIT[#All],2,0)),"CUIT NO CARGADO")</f>
        <v>-</v>
      </c>
      <c r="H672" s="64"/>
      <c r="I672" s="64">
        <f>ventas_b_mes684[[#This Row],[IMPORTE NETO]]*0.21</f>
        <v>0</v>
      </c>
      <c r="J672" s="64"/>
      <c r="K672" s="64"/>
      <c r="L672" s="64">
        <f>SUM(ventas_b_mes684[[#This Row],[IMPORTE NETO]:[EXENTO]])</f>
        <v>0</v>
      </c>
      <c r="M672" s="59"/>
    </row>
    <row r="673" spans="2:13" x14ac:dyDescent="0.25">
      <c r="B673" s="40"/>
      <c r="C673" s="41"/>
      <c r="D673" s="42"/>
      <c r="E673" s="43"/>
      <c r="F673" s="44"/>
      <c r="G673" s="1" t="str">
        <f>IFERROR(IF(ventas_b_mes684[[#This Row],[CUIT]]="","-",VLOOKUP(ventas_b_mes684[[#This Row],[CUIT]],Lista_CUIT[#All],2,0)),"CUIT NO CARGADO")</f>
        <v>-</v>
      </c>
      <c r="H673" s="64"/>
      <c r="I673" s="64">
        <f>ventas_b_mes684[[#This Row],[IMPORTE NETO]]*0.21</f>
        <v>0</v>
      </c>
      <c r="J673" s="64"/>
      <c r="K673" s="64"/>
      <c r="L673" s="64">
        <f>SUM(ventas_b_mes684[[#This Row],[IMPORTE NETO]:[EXENTO]])</f>
        <v>0</v>
      </c>
      <c r="M673" s="59"/>
    </row>
    <row r="674" spans="2:13" x14ac:dyDescent="0.25">
      <c r="B674" s="40"/>
      <c r="C674" s="41"/>
      <c r="D674" s="42"/>
      <c r="E674" s="43"/>
      <c r="F674" s="44"/>
      <c r="G674" s="1" t="str">
        <f>IFERROR(IF(ventas_b_mes684[[#This Row],[CUIT]]="","-",VLOOKUP(ventas_b_mes684[[#This Row],[CUIT]],Lista_CUIT[#All],2,0)),"CUIT NO CARGADO")</f>
        <v>-</v>
      </c>
      <c r="H674" s="64"/>
      <c r="I674" s="64">
        <f>ventas_b_mes684[[#This Row],[IMPORTE NETO]]*0.21</f>
        <v>0</v>
      </c>
      <c r="J674" s="64"/>
      <c r="K674" s="64"/>
      <c r="L674" s="64">
        <f>SUM(ventas_b_mes684[[#This Row],[IMPORTE NETO]:[EXENTO]])</f>
        <v>0</v>
      </c>
      <c r="M674" s="59"/>
    </row>
    <row r="675" spans="2:13" x14ac:dyDescent="0.25">
      <c r="B675" s="40"/>
      <c r="C675" s="41"/>
      <c r="D675" s="42"/>
      <c r="E675" s="43"/>
      <c r="F675" s="44"/>
      <c r="G675" s="1" t="str">
        <f>IFERROR(IF(ventas_b_mes684[[#This Row],[CUIT]]="","-",VLOOKUP(ventas_b_mes684[[#This Row],[CUIT]],Lista_CUIT[#All],2,0)),"CUIT NO CARGADO")</f>
        <v>-</v>
      </c>
      <c r="H675" s="64"/>
      <c r="I675" s="64">
        <f>ventas_b_mes684[[#This Row],[IMPORTE NETO]]*0.21</f>
        <v>0</v>
      </c>
      <c r="J675" s="64"/>
      <c r="K675" s="64"/>
      <c r="L675" s="64">
        <f>SUM(ventas_b_mes684[[#This Row],[IMPORTE NETO]:[EXENTO]])</f>
        <v>0</v>
      </c>
      <c r="M675" s="59"/>
    </row>
    <row r="676" spans="2:13" x14ac:dyDescent="0.25">
      <c r="B676" s="40"/>
      <c r="C676" s="41"/>
      <c r="D676" s="42"/>
      <c r="E676" s="43"/>
      <c r="F676" s="44"/>
      <c r="G676" s="1" t="str">
        <f>IFERROR(IF(ventas_b_mes684[[#This Row],[CUIT]]="","-",VLOOKUP(ventas_b_mes684[[#This Row],[CUIT]],Lista_CUIT[#All],2,0)),"CUIT NO CARGADO")</f>
        <v>-</v>
      </c>
      <c r="H676" s="64"/>
      <c r="I676" s="64">
        <f>ventas_b_mes684[[#This Row],[IMPORTE NETO]]*0.21</f>
        <v>0</v>
      </c>
      <c r="J676" s="64"/>
      <c r="K676" s="64"/>
      <c r="L676" s="64">
        <f>SUM(ventas_b_mes684[[#This Row],[IMPORTE NETO]:[EXENTO]])</f>
        <v>0</v>
      </c>
      <c r="M676" s="59"/>
    </row>
    <row r="677" spans="2:13" x14ac:dyDescent="0.25">
      <c r="B677" s="40"/>
      <c r="C677" s="41"/>
      <c r="D677" s="42"/>
      <c r="E677" s="43"/>
      <c r="F677" s="44"/>
      <c r="G677" s="1" t="str">
        <f>IFERROR(IF(ventas_b_mes684[[#This Row],[CUIT]]="","-",VLOOKUP(ventas_b_mes684[[#This Row],[CUIT]],Lista_CUIT[#All],2,0)),"CUIT NO CARGADO")</f>
        <v>-</v>
      </c>
      <c r="H677" s="64"/>
      <c r="I677" s="64">
        <f>ventas_b_mes684[[#This Row],[IMPORTE NETO]]*0.21</f>
        <v>0</v>
      </c>
      <c r="J677" s="64"/>
      <c r="K677" s="64"/>
      <c r="L677" s="64">
        <f>SUM(ventas_b_mes684[[#This Row],[IMPORTE NETO]:[EXENTO]])</f>
        <v>0</v>
      </c>
      <c r="M677" s="59"/>
    </row>
    <row r="678" spans="2:13" x14ac:dyDescent="0.25">
      <c r="B678" s="40"/>
      <c r="C678" s="41"/>
      <c r="D678" s="42"/>
      <c r="E678" s="43"/>
      <c r="F678" s="44"/>
      <c r="G678" s="1" t="str">
        <f>IFERROR(IF(ventas_b_mes684[[#This Row],[CUIT]]="","-",VLOOKUP(ventas_b_mes684[[#This Row],[CUIT]],Lista_CUIT[#All],2,0)),"CUIT NO CARGADO")</f>
        <v>-</v>
      </c>
      <c r="H678" s="64"/>
      <c r="I678" s="64">
        <f>ventas_b_mes684[[#This Row],[IMPORTE NETO]]*0.21</f>
        <v>0</v>
      </c>
      <c r="J678" s="64"/>
      <c r="K678" s="64"/>
      <c r="L678" s="64">
        <f>SUM(ventas_b_mes684[[#This Row],[IMPORTE NETO]:[EXENTO]])</f>
        <v>0</v>
      </c>
      <c r="M678" s="59"/>
    </row>
    <row r="679" spans="2:13" x14ac:dyDescent="0.25">
      <c r="B679" s="40"/>
      <c r="C679" s="41"/>
      <c r="D679" s="42"/>
      <c r="E679" s="43"/>
      <c r="F679" s="44"/>
      <c r="G679" s="1" t="str">
        <f>IFERROR(IF(ventas_b_mes684[[#This Row],[CUIT]]="","-",VLOOKUP(ventas_b_mes684[[#This Row],[CUIT]],Lista_CUIT[#All],2,0)),"CUIT NO CARGADO")</f>
        <v>-</v>
      </c>
      <c r="H679" s="64"/>
      <c r="I679" s="64">
        <f>ventas_b_mes684[[#This Row],[IMPORTE NETO]]*0.21</f>
        <v>0</v>
      </c>
      <c r="J679" s="64"/>
      <c r="K679" s="64"/>
      <c r="L679" s="64">
        <f>SUM(ventas_b_mes684[[#This Row],[IMPORTE NETO]:[EXENTO]])</f>
        <v>0</v>
      </c>
      <c r="M679" s="59"/>
    </row>
    <row r="680" spans="2:13" x14ac:dyDescent="0.25">
      <c r="B680" s="40"/>
      <c r="C680" s="41"/>
      <c r="D680" s="42"/>
      <c r="E680" s="43"/>
      <c r="F680" s="44"/>
      <c r="G680" s="1" t="str">
        <f>IFERROR(IF(ventas_b_mes684[[#This Row],[CUIT]]="","-",VLOOKUP(ventas_b_mes684[[#This Row],[CUIT]],Lista_CUIT[#All],2,0)),"CUIT NO CARGADO")</f>
        <v>-</v>
      </c>
      <c r="H680" s="64"/>
      <c r="I680" s="64">
        <f>ventas_b_mes684[[#This Row],[IMPORTE NETO]]*0.21</f>
        <v>0</v>
      </c>
      <c r="J680" s="64"/>
      <c r="K680" s="64"/>
      <c r="L680" s="64">
        <f>SUM(ventas_b_mes684[[#This Row],[IMPORTE NETO]:[EXENTO]])</f>
        <v>0</v>
      </c>
      <c r="M680" s="59"/>
    </row>
    <row r="681" spans="2:13" x14ac:dyDescent="0.25">
      <c r="B681" s="40"/>
      <c r="C681" s="41"/>
      <c r="D681" s="42"/>
      <c r="E681" s="43"/>
      <c r="F681" s="44"/>
      <c r="G681" s="1" t="str">
        <f>IFERROR(IF(ventas_b_mes684[[#This Row],[CUIT]]="","-",VLOOKUP(ventas_b_mes684[[#This Row],[CUIT]],Lista_CUIT[#All],2,0)),"CUIT NO CARGADO")</f>
        <v>-</v>
      </c>
      <c r="H681" s="64"/>
      <c r="I681" s="64">
        <f>ventas_b_mes684[[#This Row],[IMPORTE NETO]]*0.21</f>
        <v>0</v>
      </c>
      <c r="J681" s="64"/>
      <c r="K681" s="64"/>
      <c r="L681" s="64">
        <f>SUM(ventas_b_mes684[[#This Row],[IMPORTE NETO]:[EXENTO]])</f>
        <v>0</v>
      </c>
      <c r="M681" s="59"/>
    </row>
    <row r="682" spans="2:13" x14ac:dyDescent="0.25">
      <c r="B682" s="40"/>
      <c r="C682" s="41"/>
      <c r="D682" s="42"/>
      <c r="E682" s="43"/>
      <c r="F682" s="44"/>
      <c r="G682" s="1" t="str">
        <f>IFERROR(IF(ventas_b_mes684[[#This Row],[CUIT]]="","-",VLOOKUP(ventas_b_mes684[[#This Row],[CUIT]],Lista_CUIT[#All],2,0)),"CUIT NO CARGADO")</f>
        <v>-</v>
      </c>
      <c r="H682" s="64"/>
      <c r="I682" s="64">
        <f>ventas_b_mes684[[#This Row],[IMPORTE NETO]]*0.21</f>
        <v>0</v>
      </c>
      <c r="J682" s="64"/>
      <c r="K682" s="64"/>
      <c r="L682" s="64">
        <f>SUM(ventas_b_mes684[[#This Row],[IMPORTE NETO]:[EXENTO]])</f>
        <v>0</v>
      </c>
      <c r="M682" s="59"/>
    </row>
    <row r="683" spans="2:13" x14ac:dyDescent="0.25">
      <c r="B683" s="40"/>
      <c r="C683" s="41"/>
      <c r="D683" s="42"/>
      <c r="E683" s="43"/>
      <c r="F683" s="44"/>
      <c r="G683" s="1" t="str">
        <f>IFERROR(IF(ventas_b_mes684[[#This Row],[CUIT]]="","-",VLOOKUP(ventas_b_mes684[[#This Row],[CUIT]],Lista_CUIT[#All],2,0)),"CUIT NO CARGADO")</f>
        <v>-</v>
      </c>
      <c r="H683" s="64"/>
      <c r="I683" s="64">
        <f>ventas_b_mes684[[#This Row],[IMPORTE NETO]]*0.21</f>
        <v>0</v>
      </c>
      <c r="J683" s="64"/>
      <c r="K683" s="64"/>
      <c r="L683" s="64">
        <f>SUM(ventas_b_mes684[[#This Row],[IMPORTE NETO]:[EXENTO]])</f>
        <v>0</v>
      </c>
      <c r="M683" s="59"/>
    </row>
    <row r="684" spans="2:13" x14ac:dyDescent="0.25">
      <c r="B684" s="40"/>
      <c r="C684" s="41"/>
      <c r="D684" s="42"/>
      <c r="E684" s="43"/>
      <c r="F684" s="44"/>
      <c r="G684" s="1" t="str">
        <f>IFERROR(IF(ventas_b_mes684[[#This Row],[CUIT]]="","-",VLOOKUP(ventas_b_mes684[[#This Row],[CUIT]],Lista_CUIT[#All],2,0)),"CUIT NO CARGADO")</f>
        <v>-</v>
      </c>
      <c r="H684" s="64"/>
      <c r="I684" s="64">
        <f>ventas_b_mes684[[#This Row],[IMPORTE NETO]]*0.21</f>
        <v>0</v>
      </c>
      <c r="J684" s="64"/>
      <c r="K684" s="64"/>
      <c r="L684" s="64">
        <f>SUM(ventas_b_mes684[[#This Row],[IMPORTE NETO]:[EXENTO]])</f>
        <v>0</v>
      </c>
      <c r="M684" s="59"/>
    </row>
    <row r="685" spans="2:13" x14ac:dyDescent="0.25">
      <c r="B685" s="40"/>
      <c r="C685" s="41"/>
      <c r="D685" s="42"/>
      <c r="E685" s="43"/>
      <c r="F685" s="44"/>
      <c r="G685" s="1" t="str">
        <f>IFERROR(IF(ventas_b_mes684[[#This Row],[CUIT]]="","-",VLOOKUP(ventas_b_mes684[[#This Row],[CUIT]],Lista_CUIT[#All],2,0)),"CUIT NO CARGADO")</f>
        <v>-</v>
      </c>
      <c r="H685" s="64"/>
      <c r="I685" s="64">
        <f>ventas_b_mes684[[#This Row],[IMPORTE NETO]]*0.21</f>
        <v>0</v>
      </c>
      <c r="J685" s="64"/>
      <c r="K685" s="64"/>
      <c r="L685" s="64">
        <f>SUM(ventas_b_mes684[[#This Row],[IMPORTE NETO]:[EXENTO]])</f>
        <v>0</v>
      </c>
      <c r="M685" s="59"/>
    </row>
    <row r="686" spans="2:13" x14ac:dyDescent="0.25">
      <c r="B686" s="40"/>
      <c r="C686" s="41"/>
      <c r="D686" s="42"/>
      <c r="E686" s="43"/>
      <c r="F686" s="44"/>
      <c r="G686" s="1" t="str">
        <f>IFERROR(IF(ventas_b_mes684[[#This Row],[CUIT]]="","-",VLOOKUP(ventas_b_mes684[[#This Row],[CUIT]],Lista_CUIT[#All],2,0)),"CUIT NO CARGADO")</f>
        <v>-</v>
      </c>
      <c r="H686" s="64"/>
      <c r="I686" s="64">
        <f>ventas_b_mes684[[#This Row],[IMPORTE NETO]]*0.21</f>
        <v>0</v>
      </c>
      <c r="J686" s="64"/>
      <c r="K686" s="64"/>
      <c r="L686" s="64">
        <f>SUM(ventas_b_mes684[[#This Row],[IMPORTE NETO]:[EXENTO]])</f>
        <v>0</v>
      </c>
      <c r="M686" s="59"/>
    </row>
    <row r="687" spans="2:13" x14ac:dyDescent="0.25">
      <c r="B687" s="40"/>
      <c r="C687" s="41"/>
      <c r="D687" s="42"/>
      <c r="E687" s="43"/>
      <c r="F687" s="44"/>
      <c r="G687" s="1" t="str">
        <f>IFERROR(IF(ventas_b_mes684[[#This Row],[CUIT]]="","-",VLOOKUP(ventas_b_mes684[[#This Row],[CUIT]],Lista_CUIT[#All],2,0)),"CUIT NO CARGADO")</f>
        <v>-</v>
      </c>
      <c r="H687" s="64"/>
      <c r="I687" s="64">
        <f>ventas_b_mes684[[#This Row],[IMPORTE NETO]]*0.21</f>
        <v>0</v>
      </c>
      <c r="J687" s="64"/>
      <c r="K687" s="64"/>
      <c r="L687" s="64">
        <f>SUM(ventas_b_mes684[[#This Row],[IMPORTE NETO]:[EXENTO]])</f>
        <v>0</v>
      </c>
      <c r="M687" s="59"/>
    </row>
    <row r="688" spans="2:13" x14ac:dyDescent="0.25">
      <c r="B688" s="40"/>
      <c r="C688" s="41"/>
      <c r="D688" s="42"/>
      <c r="E688" s="43"/>
      <c r="F688" s="44"/>
      <c r="G688" s="1" t="str">
        <f>IFERROR(IF(ventas_b_mes684[[#This Row],[CUIT]]="","-",VLOOKUP(ventas_b_mes684[[#This Row],[CUIT]],Lista_CUIT[#All],2,0)),"CUIT NO CARGADO")</f>
        <v>-</v>
      </c>
      <c r="H688" s="64"/>
      <c r="I688" s="64">
        <f>ventas_b_mes684[[#This Row],[IMPORTE NETO]]*0.21</f>
        <v>0</v>
      </c>
      <c r="J688" s="64"/>
      <c r="K688" s="64"/>
      <c r="L688" s="64">
        <f>SUM(ventas_b_mes684[[#This Row],[IMPORTE NETO]:[EXENTO]])</f>
        <v>0</v>
      </c>
      <c r="M688" s="59"/>
    </row>
    <row r="689" spans="2:13" x14ac:dyDescent="0.25">
      <c r="B689" s="40"/>
      <c r="C689" s="41"/>
      <c r="D689" s="42"/>
      <c r="E689" s="43"/>
      <c r="F689" s="44"/>
      <c r="G689" s="1" t="str">
        <f>IFERROR(IF(ventas_b_mes684[[#This Row],[CUIT]]="","-",VLOOKUP(ventas_b_mes684[[#This Row],[CUIT]],Lista_CUIT[#All],2,0)),"CUIT NO CARGADO")</f>
        <v>-</v>
      </c>
      <c r="H689" s="64"/>
      <c r="I689" s="64">
        <f>ventas_b_mes684[[#This Row],[IMPORTE NETO]]*0.21</f>
        <v>0</v>
      </c>
      <c r="J689" s="64"/>
      <c r="K689" s="64"/>
      <c r="L689" s="64">
        <f>SUM(ventas_b_mes684[[#This Row],[IMPORTE NETO]:[EXENTO]])</f>
        <v>0</v>
      </c>
      <c r="M689" s="59"/>
    </row>
    <row r="690" spans="2:13" x14ac:dyDescent="0.25">
      <c r="B690" s="40"/>
      <c r="C690" s="41"/>
      <c r="D690" s="42"/>
      <c r="E690" s="43"/>
      <c r="F690" s="44"/>
      <c r="G690" s="1" t="str">
        <f>IFERROR(IF(ventas_b_mes684[[#This Row],[CUIT]]="","-",VLOOKUP(ventas_b_mes684[[#This Row],[CUIT]],Lista_CUIT[#All],2,0)),"CUIT NO CARGADO")</f>
        <v>-</v>
      </c>
      <c r="H690" s="64"/>
      <c r="I690" s="64">
        <f>ventas_b_mes684[[#This Row],[IMPORTE NETO]]*0.21</f>
        <v>0</v>
      </c>
      <c r="J690" s="64"/>
      <c r="K690" s="64"/>
      <c r="L690" s="64">
        <f>SUM(ventas_b_mes684[[#This Row],[IMPORTE NETO]:[EXENTO]])</f>
        <v>0</v>
      </c>
      <c r="M690" s="59"/>
    </row>
    <row r="691" spans="2:13" x14ac:dyDescent="0.25">
      <c r="B691" s="40"/>
      <c r="C691" s="41"/>
      <c r="D691" s="42"/>
      <c r="E691" s="43"/>
      <c r="F691" s="44"/>
      <c r="G691" s="1" t="str">
        <f>IFERROR(IF(ventas_b_mes684[[#This Row],[CUIT]]="","-",VLOOKUP(ventas_b_mes684[[#This Row],[CUIT]],Lista_CUIT[#All],2,0)),"CUIT NO CARGADO")</f>
        <v>-</v>
      </c>
      <c r="H691" s="64"/>
      <c r="I691" s="64">
        <f>ventas_b_mes684[[#This Row],[IMPORTE NETO]]*0.21</f>
        <v>0</v>
      </c>
      <c r="J691" s="64"/>
      <c r="K691" s="64"/>
      <c r="L691" s="64">
        <f>SUM(ventas_b_mes684[[#This Row],[IMPORTE NETO]:[EXENTO]])</f>
        <v>0</v>
      </c>
      <c r="M691" s="59"/>
    </row>
    <row r="692" spans="2:13" x14ac:dyDescent="0.25">
      <c r="B692" s="40"/>
      <c r="C692" s="41"/>
      <c r="D692" s="42"/>
      <c r="E692" s="43"/>
      <c r="F692" s="44"/>
      <c r="G692" s="1" t="str">
        <f>IFERROR(IF(ventas_b_mes684[[#This Row],[CUIT]]="","-",VLOOKUP(ventas_b_mes684[[#This Row],[CUIT]],Lista_CUIT[#All],2,0)),"CUIT NO CARGADO")</f>
        <v>-</v>
      </c>
      <c r="H692" s="64"/>
      <c r="I692" s="64">
        <f>ventas_b_mes684[[#This Row],[IMPORTE NETO]]*0.21</f>
        <v>0</v>
      </c>
      <c r="J692" s="64"/>
      <c r="K692" s="64"/>
      <c r="L692" s="64">
        <f>SUM(ventas_b_mes684[[#This Row],[IMPORTE NETO]:[EXENTO]])</f>
        <v>0</v>
      </c>
      <c r="M692" s="59"/>
    </row>
    <row r="693" spans="2:13" x14ac:dyDescent="0.25">
      <c r="B693" s="40"/>
      <c r="C693" s="41"/>
      <c r="D693" s="42"/>
      <c r="E693" s="43"/>
      <c r="F693" s="44"/>
      <c r="G693" s="1" t="str">
        <f>IFERROR(IF(ventas_b_mes684[[#This Row],[CUIT]]="","-",VLOOKUP(ventas_b_mes684[[#This Row],[CUIT]],Lista_CUIT[#All],2,0)),"CUIT NO CARGADO")</f>
        <v>-</v>
      </c>
      <c r="H693" s="64"/>
      <c r="I693" s="64">
        <f>ventas_b_mes684[[#This Row],[IMPORTE NETO]]*0.21</f>
        <v>0</v>
      </c>
      <c r="J693" s="64"/>
      <c r="K693" s="64"/>
      <c r="L693" s="64">
        <f>SUM(ventas_b_mes684[[#This Row],[IMPORTE NETO]:[EXENTO]])</f>
        <v>0</v>
      </c>
      <c r="M693" s="59"/>
    </row>
    <row r="694" spans="2:13" x14ac:dyDescent="0.25">
      <c r="B694" s="40"/>
      <c r="C694" s="41"/>
      <c r="D694" s="42"/>
      <c r="E694" s="43"/>
      <c r="F694" s="44"/>
      <c r="G694" s="1" t="str">
        <f>IFERROR(IF(ventas_b_mes684[[#This Row],[CUIT]]="","-",VLOOKUP(ventas_b_mes684[[#This Row],[CUIT]],Lista_CUIT[#All],2,0)),"CUIT NO CARGADO")</f>
        <v>-</v>
      </c>
      <c r="H694" s="64"/>
      <c r="I694" s="64">
        <f>ventas_b_mes684[[#This Row],[IMPORTE NETO]]*0.21</f>
        <v>0</v>
      </c>
      <c r="J694" s="64"/>
      <c r="K694" s="64"/>
      <c r="L694" s="64">
        <f>SUM(ventas_b_mes684[[#This Row],[IMPORTE NETO]:[EXENTO]])</f>
        <v>0</v>
      </c>
      <c r="M694" s="59"/>
    </row>
    <row r="695" spans="2:13" x14ac:dyDescent="0.25">
      <c r="B695" s="40"/>
      <c r="C695" s="41"/>
      <c r="D695" s="42"/>
      <c r="E695" s="43"/>
      <c r="F695" s="44"/>
      <c r="G695" s="1" t="str">
        <f>IFERROR(IF(ventas_b_mes684[[#This Row],[CUIT]]="","-",VLOOKUP(ventas_b_mes684[[#This Row],[CUIT]],Lista_CUIT[#All],2,0)),"CUIT NO CARGADO")</f>
        <v>-</v>
      </c>
      <c r="H695" s="64"/>
      <c r="I695" s="64">
        <f>ventas_b_mes684[[#This Row],[IMPORTE NETO]]*0.21</f>
        <v>0</v>
      </c>
      <c r="J695" s="64"/>
      <c r="K695" s="64"/>
      <c r="L695" s="64">
        <f>SUM(ventas_b_mes684[[#This Row],[IMPORTE NETO]:[EXENTO]])</f>
        <v>0</v>
      </c>
      <c r="M695" s="59"/>
    </row>
    <row r="696" spans="2:13" x14ac:dyDescent="0.25">
      <c r="B696" s="40"/>
      <c r="C696" s="41"/>
      <c r="D696" s="42"/>
      <c r="E696" s="43"/>
      <c r="F696" s="44"/>
      <c r="G696" s="1" t="str">
        <f>IFERROR(IF(ventas_b_mes684[[#This Row],[CUIT]]="","-",VLOOKUP(ventas_b_mes684[[#This Row],[CUIT]],Lista_CUIT[#All],2,0)),"CUIT NO CARGADO")</f>
        <v>-</v>
      </c>
      <c r="H696" s="64"/>
      <c r="I696" s="64">
        <f>ventas_b_mes684[[#This Row],[IMPORTE NETO]]*0.21</f>
        <v>0</v>
      </c>
      <c r="J696" s="64"/>
      <c r="K696" s="64"/>
      <c r="L696" s="64">
        <f>SUM(ventas_b_mes684[[#This Row],[IMPORTE NETO]:[EXENTO]])</f>
        <v>0</v>
      </c>
      <c r="M696" s="59"/>
    </row>
    <row r="697" spans="2:13" x14ac:dyDescent="0.25">
      <c r="B697" s="40"/>
      <c r="C697" s="41"/>
      <c r="D697" s="42"/>
      <c r="E697" s="43"/>
      <c r="F697" s="44"/>
      <c r="G697" s="1" t="str">
        <f>IFERROR(IF(ventas_b_mes684[[#This Row],[CUIT]]="","-",VLOOKUP(ventas_b_mes684[[#This Row],[CUIT]],Lista_CUIT[#All],2,0)),"CUIT NO CARGADO")</f>
        <v>-</v>
      </c>
      <c r="H697" s="64"/>
      <c r="I697" s="64">
        <f>ventas_b_mes684[[#This Row],[IMPORTE NETO]]*0.21</f>
        <v>0</v>
      </c>
      <c r="J697" s="64"/>
      <c r="K697" s="64"/>
      <c r="L697" s="64">
        <f>SUM(ventas_b_mes684[[#This Row],[IMPORTE NETO]:[EXENTO]])</f>
        <v>0</v>
      </c>
      <c r="M697" s="59"/>
    </row>
    <row r="698" spans="2:13" x14ac:dyDescent="0.25">
      <c r="B698" s="40"/>
      <c r="C698" s="41"/>
      <c r="D698" s="42"/>
      <c r="E698" s="43"/>
      <c r="F698" s="44"/>
      <c r="G698" s="1" t="str">
        <f>IFERROR(IF(ventas_b_mes684[[#This Row],[CUIT]]="","-",VLOOKUP(ventas_b_mes684[[#This Row],[CUIT]],Lista_CUIT[#All],2,0)),"CUIT NO CARGADO")</f>
        <v>-</v>
      </c>
      <c r="H698" s="64"/>
      <c r="I698" s="64">
        <f>ventas_b_mes684[[#This Row],[IMPORTE NETO]]*0.21</f>
        <v>0</v>
      </c>
      <c r="J698" s="64"/>
      <c r="K698" s="64"/>
      <c r="L698" s="64">
        <f>SUM(ventas_b_mes684[[#This Row],[IMPORTE NETO]:[EXENTO]])</f>
        <v>0</v>
      </c>
      <c r="M698" s="59"/>
    </row>
    <row r="699" spans="2:13" x14ac:dyDescent="0.25">
      <c r="B699" s="40"/>
      <c r="C699" s="41"/>
      <c r="D699" s="42"/>
      <c r="E699" s="43"/>
      <c r="F699" s="44"/>
      <c r="G699" s="1" t="str">
        <f>IFERROR(IF(ventas_b_mes684[[#This Row],[CUIT]]="","-",VLOOKUP(ventas_b_mes684[[#This Row],[CUIT]],Lista_CUIT[#All],2,0)),"CUIT NO CARGADO")</f>
        <v>-</v>
      </c>
      <c r="H699" s="64"/>
      <c r="I699" s="64">
        <f>ventas_b_mes684[[#This Row],[IMPORTE NETO]]*0.21</f>
        <v>0</v>
      </c>
      <c r="J699" s="64"/>
      <c r="K699" s="64"/>
      <c r="L699" s="64">
        <f>SUM(ventas_b_mes684[[#This Row],[IMPORTE NETO]:[EXENTO]])</f>
        <v>0</v>
      </c>
      <c r="M699" s="59"/>
    </row>
    <row r="700" spans="2:13" x14ac:dyDescent="0.25">
      <c r="B700" s="40"/>
      <c r="C700" s="41"/>
      <c r="D700" s="42"/>
      <c r="E700" s="43"/>
      <c r="F700" s="44"/>
      <c r="G700" s="1" t="str">
        <f>IFERROR(IF(ventas_b_mes684[[#This Row],[CUIT]]="","-",VLOOKUP(ventas_b_mes684[[#This Row],[CUIT]],Lista_CUIT[#All],2,0)),"CUIT NO CARGADO")</f>
        <v>-</v>
      </c>
      <c r="H700" s="64"/>
      <c r="I700" s="64">
        <f>ventas_b_mes684[[#This Row],[IMPORTE NETO]]*0.21</f>
        <v>0</v>
      </c>
      <c r="J700" s="64"/>
      <c r="K700" s="64"/>
      <c r="L700" s="64">
        <f>SUM(ventas_b_mes684[[#This Row],[IMPORTE NETO]:[EXENTO]])</f>
        <v>0</v>
      </c>
      <c r="M700" s="59"/>
    </row>
    <row r="701" spans="2:13" x14ac:dyDescent="0.25">
      <c r="B701" s="40"/>
      <c r="C701" s="41"/>
      <c r="D701" s="42"/>
      <c r="E701" s="43"/>
      <c r="F701" s="44"/>
      <c r="G701" s="1" t="str">
        <f>IFERROR(IF(ventas_b_mes684[[#This Row],[CUIT]]="","-",VLOOKUP(ventas_b_mes684[[#This Row],[CUIT]],Lista_CUIT[#All],2,0)),"CUIT NO CARGADO")</f>
        <v>-</v>
      </c>
      <c r="H701" s="64"/>
      <c r="I701" s="64">
        <f>ventas_b_mes684[[#This Row],[IMPORTE NETO]]*0.21</f>
        <v>0</v>
      </c>
      <c r="J701" s="64"/>
      <c r="K701" s="64"/>
      <c r="L701" s="64">
        <f>SUM(ventas_b_mes684[[#This Row],[IMPORTE NETO]:[EXENTO]])</f>
        <v>0</v>
      </c>
      <c r="M701" s="59"/>
    </row>
    <row r="702" spans="2:13" x14ac:dyDescent="0.25">
      <c r="B702" s="40"/>
      <c r="C702" s="41"/>
      <c r="D702" s="42"/>
      <c r="E702" s="43"/>
      <c r="F702" s="44"/>
      <c r="G702" s="1" t="str">
        <f>IFERROR(IF(ventas_b_mes684[[#This Row],[CUIT]]="","-",VLOOKUP(ventas_b_mes684[[#This Row],[CUIT]],Lista_CUIT[#All],2,0)),"CUIT NO CARGADO")</f>
        <v>-</v>
      </c>
      <c r="H702" s="64"/>
      <c r="I702" s="64">
        <f>ventas_b_mes684[[#This Row],[IMPORTE NETO]]*0.21</f>
        <v>0</v>
      </c>
      <c r="J702" s="64"/>
      <c r="K702" s="64"/>
      <c r="L702" s="64">
        <f>SUM(ventas_b_mes684[[#This Row],[IMPORTE NETO]:[EXENTO]])</f>
        <v>0</v>
      </c>
      <c r="M702" s="59"/>
    </row>
    <row r="703" spans="2:13" x14ac:dyDescent="0.25">
      <c r="B703" s="40"/>
      <c r="C703" s="41"/>
      <c r="D703" s="42"/>
      <c r="E703" s="43"/>
      <c r="F703" s="44"/>
      <c r="G703" s="1" t="str">
        <f>IFERROR(IF(ventas_b_mes684[[#This Row],[CUIT]]="","-",VLOOKUP(ventas_b_mes684[[#This Row],[CUIT]],Lista_CUIT[#All],2,0)),"CUIT NO CARGADO")</f>
        <v>-</v>
      </c>
      <c r="H703" s="64"/>
      <c r="I703" s="64">
        <f>ventas_b_mes684[[#This Row],[IMPORTE NETO]]*0.21</f>
        <v>0</v>
      </c>
      <c r="J703" s="64"/>
      <c r="K703" s="64"/>
      <c r="L703" s="64">
        <f>SUM(ventas_b_mes684[[#This Row],[IMPORTE NETO]:[EXENTO]])</f>
        <v>0</v>
      </c>
      <c r="M703" s="59"/>
    </row>
    <row r="704" spans="2:13" x14ac:dyDescent="0.25">
      <c r="B704" s="40"/>
      <c r="C704" s="41"/>
      <c r="D704" s="42"/>
      <c r="E704" s="43"/>
      <c r="F704" s="44"/>
      <c r="G704" s="1" t="str">
        <f>IFERROR(IF(ventas_b_mes684[[#This Row],[CUIT]]="","-",VLOOKUP(ventas_b_mes684[[#This Row],[CUIT]],Lista_CUIT[#All],2,0)),"CUIT NO CARGADO")</f>
        <v>-</v>
      </c>
      <c r="H704" s="64"/>
      <c r="I704" s="64">
        <f>ventas_b_mes684[[#This Row],[IMPORTE NETO]]*0.21</f>
        <v>0</v>
      </c>
      <c r="J704" s="64"/>
      <c r="K704" s="64"/>
      <c r="L704" s="64">
        <f>SUM(ventas_b_mes684[[#This Row],[IMPORTE NETO]:[EXENTO]])</f>
        <v>0</v>
      </c>
      <c r="M704" s="59"/>
    </row>
    <row r="705" spans="2:13" x14ac:dyDescent="0.25">
      <c r="B705" s="40"/>
      <c r="C705" s="41"/>
      <c r="D705" s="42"/>
      <c r="E705" s="43"/>
      <c r="F705" s="44"/>
      <c r="G705" s="1" t="str">
        <f>IFERROR(IF(ventas_b_mes684[[#This Row],[CUIT]]="","-",VLOOKUP(ventas_b_mes684[[#This Row],[CUIT]],Lista_CUIT[#All],2,0)),"CUIT NO CARGADO")</f>
        <v>-</v>
      </c>
      <c r="H705" s="64"/>
      <c r="I705" s="64">
        <f>ventas_b_mes684[[#This Row],[IMPORTE NETO]]*0.21</f>
        <v>0</v>
      </c>
      <c r="J705" s="64"/>
      <c r="K705" s="64"/>
      <c r="L705" s="64">
        <f>SUM(ventas_b_mes684[[#This Row],[IMPORTE NETO]:[EXENTO]])</f>
        <v>0</v>
      </c>
      <c r="M705" s="59"/>
    </row>
    <row r="706" spans="2:13" x14ac:dyDescent="0.25">
      <c r="B706" s="40"/>
      <c r="C706" s="41"/>
      <c r="D706" s="42"/>
      <c r="E706" s="43"/>
      <c r="F706" s="44"/>
      <c r="G706" s="1" t="str">
        <f>IFERROR(IF(ventas_b_mes684[[#This Row],[CUIT]]="","-",VLOOKUP(ventas_b_mes684[[#This Row],[CUIT]],Lista_CUIT[#All],2,0)),"CUIT NO CARGADO")</f>
        <v>-</v>
      </c>
      <c r="H706" s="64"/>
      <c r="I706" s="64">
        <f>ventas_b_mes684[[#This Row],[IMPORTE NETO]]*0.21</f>
        <v>0</v>
      </c>
      <c r="J706" s="64"/>
      <c r="K706" s="64"/>
      <c r="L706" s="64">
        <f>SUM(ventas_b_mes684[[#This Row],[IMPORTE NETO]:[EXENTO]])</f>
        <v>0</v>
      </c>
      <c r="M706" s="59"/>
    </row>
    <row r="707" spans="2:13" x14ac:dyDescent="0.25">
      <c r="B707" s="40"/>
      <c r="C707" s="41"/>
      <c r="D707" s="42"/>
      <c r="E707" s="43"/>
      <c r="F707" s="44"/>
      <c r="G707" s="1" t="str">
        <f>IFERROR(IF(ventas_b_mes684[[#This Row],[CUIT]]="","-",VLOOKUP(ventas_b_mes684[[#This Row],[CUIT]],Lista_CUIT[#All],2,0)),"CUIT NO CARGADO")</f>
        <v>-</v>
      </c>
      <c r="H707" s="64"/>
      <c r="I707" s="64">
        <f>ventas_b_mes684[[#This Row],[IMPORTE NETO]]*0.21</f>
        <v>0</v>
      </c>
      <c r="J707" s="64"/>
      <c r="K707" s="64"/>
      <c r="L707" s="64">
        <f>SUM(ventas_b_mes684[[#This Row],[IMPORTE NETO]:[EXENTO]])</f>
        <v>0</v>
      </c>
      <c r="M707" s="59"/>
    </row>
    <row r="708" spans="2:13" x14ac:dyDescent="0.25">
      <c r="B708" s="40"/>
      <c r="C708" s="41"/>
      <c r="D708" s="42"/>
      <c r="E708" s="43"/>
      <c r="F708" s="44"/>
      <c r="G708" s="1" t="str">
        <f>IFERROR(IF(ventas_b_mes684[[#This Row],[CUIT]]="","-",VLOOKUP(ventas_b_mes684[[#This Row],[CUIT]],Lista_CUIT[#All],2,0)),"CUIT NO CARGADO")</f>
        <v>-</v>
      </c>
      <c r="H708" s="64"/>
      <c r="I708" s="64">
        <f>ventas_b_mes684[[#This Row],[IMPORTE NETO]]*0.21</f>
        <v>0</v>
      </c>
      <c r="J708" s="64"/>
      <c r="K708" s="64"/>
      <c r="L708" s="64">
        <f>SUM(ventas_b_mes684[[#This Row],[IMPORTE NETO]:[EXENTO]])</f>
        <v>0</v>
      </c>
      <c r="M708" s="59"/>
    </row>
    <row r="709" spans="2:13" x14ac:dyDescent="0.25">
      <c r="B709" s="40"/>
      <c r="C709" s="41"/>
      <c r="D709" s="42"/>
      <c r="E709" s="43"/>
      <c r="F709" s="44"/>
      <c r="G709" s="1" t="str">
        <f>IFERROR(IF(ventas_b_mes684[[#This Row],[CUIT]]="","-",VLOOKUP(ventas_b_mes684[[#This Row],[CUIT]],Lista_CUIT[#All],2,0)),"CUIT NO CARGADO")</f>
        <v>-</v>
      </c>
      <c r="H709" s="64"/>
      <c r="I709" s="64">
        <f>ventas_b_mes684[[#This Row],[IMPORTE NETO]]*0.21</f>
        <v>0</v>
      </c>
      <c r="J709" s="64"/>
      <c r="K709" s="64"/>
      <c r="L709" s="64">
        <f>SUM(ventas_b_mes684[[#This Row],[IMPORTE NETO]:[EXENTO]])</f>
        <v>0</v>
      </c>
      <c r="M709" s="59"/>
    </row>
    <row r="710" spans="2:13" x14ac:dyDescent="0.25">
      <c r="B710" s="40"/>
      <c r="C710" s="41"/>
      <c r="D710" s="42"/>
      <c r="E710" s="43"/>
      <c r="F710" s="44"/>
      <c r="G710" s="1" t="str">
        <f>IFERROR(IF(ventas_b_mes684[[#This Row],[CUIT]]="","-",VLOOKUP(ventas_b_mes684[[#This Row],[CUIT]],Lista_CUIT[#All],2,0)),"CUIT NO CARGADO")</f>
        <v>-</v>
      </c>
      <c r="H710" s="64"/>
      <c r="I710" s="64">
        <f>ventas_b_mes684[[#This Row],[IMPORTE NETO]]*0.21</f>
        <v>0</v>
      </c>
      <c r="J710" s="64"/>
      <c r="K710" s="64"/>
      <c r="L710" s="64">
        <f>SUM(ventas_b_mes684[[#This Row],[IMPORTE NETO]:[EXENTO]])</f>
        <v>0</v>
      </c>
      <c r="M710" s="59"/>
    </row>
    <row r="711" spans="2:13" x14ac:dyDescent="0.25">
      <c r="B711" s="40"/>
      <c r="C711" s="41"/>
      <c r="D711" s="42"/>
      <c r="E711" s="43"/>
      <c r="F711" s="44"/>
      <c r="G711" s="1" t="str">
        <f>IFERROR(IF(ventas_b_mes684[[#This Row],[CUIT]]="","-",VLOOKUP(ventas_b_mes684[[#This Row],[CUIT]],Lista_CUIT[#All],2,0)),"CUIT NO CARGADO")</f>
        <v>-</v>
      </c>
      <c r="H711" s="64"/>
      <c r="I711" s="64">
        <f>ventas_b_mes684[[#This Row],[IMPORTE NETO]]*0.21</f>
        <v>0</v>
      </c>
      <c r="J711" s="64"/>
      <c r="K711" s="64"/>
      <c r="L711" s="64">
        <f>SUM(ventas_b_mes684[[#This Row],[IMPORTE NETO]:[EXENTO]])</f>
        <v>0</v>
      </c>
      <c r="M711" s="59"/>
    </row>
    <row r="712" spans="2:13" x14ac:dyDescent="0.25">
      <c r="B712" s="40"/>
      <c r="C712" s="41"/>
      <c r="D712" s="42"/>
      <c r="E712" s="43"/>
      <c r="F712" s="44"/>
      <c r="G712" s="1" t="str">
        <f>IFERROR(IF(ventas_b_mes684[[#This Row],[CUIT]]="","-",VLOOKUP(ventas_b_mes684[[#This Row],[CUIT]],Lista_CUIT[#All],2,0)),"CUIT NO CARGADO")</f>
        <v>-</v>
      </c>
      <c r="H712" s="64"/>
      <c r="I712" s="64">
        <f>ventas_b_mes684[[#This Row],[IMPORTE NETO]]*0.21</f>
        <v>0</v>
      </c>
      <c r="J712" s="64"/>
      <c r="K712" s="64"/>
      <c r="L712" s="64">
        <f>SUM(ventas_b_mes684[[#This Row],[IMPORTE NETO]:[EXENTO]])</f>
        <v>0</v>
      </c>
      <c r="M712" s="59"/>
    </row>
    <row r="713" spans="2:13" x14ac:dyDescent="0.25">
      <c r="B713" s="40"/>
      <c r="C713" s="41"/>
      <c r="D713" s="42"/>
      <c r="E713" s="43"/>
      <c r="F713" s="44"/>
      <c r="G713" s="1" t="str">
        <f>IFERROR(IF(ventas_b_mes684[[#This Row],[CUIT]]="","-",VLOOKUP(ventas_b_mes684[[#This Row],[CUIT]],Lista_CUIT[#All],2,0)),"CUIT NO CARGADO")</f>
        <v>-</v>
      </c>
      <c r="H713" s="64"/>
      <c r="I713" s="64">
        <f>ventas_b_mes684[[#This Row],[IMPORTE NETO]]*0.21</f>
        <v>0</v>
      </c>
      <c r="J713" s="64"/>
      <c r="K713" s="64"/>
      <c r="L713" s="64">
        <f>SUM(ventas_b_mes684[[#This Row],[IMPORTE NETO]:[EXENTO]])</f>
        <v>0</v>
      </c>
      <c r="M713" s="59"/>
    </row>
    <row r="714" spans="2:13" x14ac:dyDescent="0.25">
      <c r="B714" s="40"/>
      <c r="C714" s="41"/>
      <c r="D714" s="42"/>
      <c r="E714" s="43"/>
      <c r="F714" s="44"/>
      <c r="G714" s="1" t="str">
        <f>IFERROR(IF(ventas_b_mes684[[#This Row],[CUIT]]="","-",VLOOKUP(ventas_b_mes684[[#This Row],[CUIT]],Lista_CUIT[#All],2,0)),"CUIT NO CARGADO")</f>
        <v>-</v>
      </c>
      <c r="H714" s="64"/>
      <c r="I714" s="64">
        <f>ventas_b_mes684[[#This Row],[IMPORTE NETO]]*0.21</f>
        <v>0</v>
      </c>
      <c r="J714" s="64"/>
      <c r="K714" s="64"/>
      <c r="L714" s="64">
        <f>SUM(ventas_b_mes684[[#This Row],[IMPORTE NETO]:[EXENTO]])</f>
        <v>0</v>
      </c>
      <c r="M714" s="59"/>
    </row>
    <row r="715" spans="2:13" x14ac:dyDescent="0.25">
      <c r="B715" s="40"/>
      <c r="C715" s="41"/>
      <c r="D715" s="42"/>
      <c r="E715" s="43"/>
      <c r="F715" s="44"/>
      <c r="G715" s="1" t="str">
        <f>IFERROR(IF(ventas_b_mes684[[#This Row],[CUIT]]="","-",VLOOKUP(ventas_b_mes684[[#This Row],[CUIT]],Lista_CUIT[#All],2,0)),"CUIT NO CARGADO")</f>
        <v>-</v>
      </c>
      <c r="H715" s="64"/>
      <c r="I715" s="64">
        <f>ventas_b_mes684[[#This Row],[IMPORTE NETO]]*0.21</f>
        <v>0</v>
      </c>
      <c r="J715" s="64"/>
      <c r="K715" s="64"/>
      <c r="L715" s="64">
        <f>SUM(ventas_b_mes684[[#This Row],[IMPORTE NETO]:[EXENTO]])</f>
        <v>0</v>
      </c>
      <c r="M715" s="59"/>
    </row>
    <row r="716" spans="2:13" x14ac:dyDescent="0.25">
      <c r="B716" s="40"/>
      <c r="C716" s="41"/>
      <c r="D716" s="42"/>
      <c r="E716" s="43"/>
      <c r="F716" s="44"/>
      <c r="G716" s="1" t="str">
        <f>IFERROR(IF(ventas_b_mes684[[#This Row],[CUIT]]="","-",VLOOKUP(ventas_b_mes684[[#This Row],[CUIT]],Lista_CUIT[#All],2,0)),"CUIT NO CARGADO")</f>
        <v>-</v>
      </c>
      <c r="H716" s="64"/>
      <c r="I716" s="64">
        <f>ventas_b_mes684[[#This Row],[IMPORTE NETO]]*0.21</f>
        <v>0</v>
      </c>
      <c r="J716" s="64"/>
      <c r="K716" s="64"/>
      <c r="L716" s="64">
        <f>SUM(ventas_b_mes684[[#This Row],[IMPORTE NETO]:[EXENTO]])</f>
        <v>0</v>
      </c>
      <c r="M716" s="59"/>
    </row>
    <row r="717" spans="2:13" x14ac:dyDescent="0.25">
      <c r="B717" s="40"/>
      <c r="C717" s="41"/>
      <c r="D717" s="42"/>
      <c r="E717" s="43"/>
      <c r="F717" s="44"/>
      <c r="G717" s="1" t="str">
        <f>IFERROR(IF(ventas_b_mes684[[#This Row],[CUIT]]="","-",VLOOKUP(ventas_b_mes684[[#This Row],[CUIT]],Lista_CUIT[#All],2,0)),"CUIT NO CARGADO")</f>
        <v>-</v>
      </c>
      <c r="H717" s="64"/>
      <c r="I717" s="64">
        <f>ventas_b_mes684[[#This Row],[IMPORTE NETO]]*0.21</f>
        <v>0</v>
      </c>
      <c r="J717" s="64"/>
      <c r="K717" s="64"/>
      <c r="L717" s="64">
        <f>SUM(ventas_b_mes684[[#This Row],[IMPORTE NETO]:[EXENTO]])</f>
        <v>0</v>
      </c>
      <c r="M717" s="59"/>
    </row>
    <row r="718" spans="2:13" x14ac:dyDescent="0.25">
      <c r="B718" s="40"/>
      <c r="C718" s="41"/>
      <c r="D718" s="42"/>
      <c r="E718" s="43"/>
      <c r="F718" s="44"/>
      <c r="G718" s="1" t="str">
        <f>IFERROR(IF(ventas_b_mes684[[#This Row],[CUIT]]="","-",VLOOKUP(ventas_b_mes684[[#This Row],[CUIT]],Lista_CUIT[#All],2,0)),"CUIT NO CARGADO")</f>
        <v>-</v>
      </c>
      <c r="H718" s="64"/>
      <c r="I718" s="64">
        <f>ventas_b_mes684[[#This Row],[IMPORTE NETO]]*0.21</f>
        <v>0</v>
      </c>
      <c r="J718" s="64"/>
      <c r="K718" s="64"/>
      <c r="L718" s="64">
        <f>SUM(ventas_b_mes684[[#This Row],[IMPORTE NETO]:[EXENTO]])</f>
        <v>0</v>
      </c>
      <c r="M718" s="59"/>
    </row>
    <row r="719" spans="2:13" x14ac:dyDescent="0.25">
      <c r="B719" s="40"/>
      <c r="C719" s="41"/>
      <c r="D719" s="42"/>
      <c r="E719" s="43"/>
      <c r="F719" s="44"/>
      <c r="G719" s="1" t="str">
        <f>IFERROR(IF(ventas_b_mes684[[#This Row],[CUIT]]="","-",VLOOKUP(ventas_b_mes684[[#This Row],[CUIT]],Lista_CUIT[#All],2,0)),"CUIT NO CARGADO")</f>
        <v>-</v>
      </c>
      <c r="H719" s="64"/>
      <c r="I719" s="64">
        <f>ventas_b_mes684[[#This Row],[IMPORTE NETO]]*0.21</f>
        <v>0</v>
      </c>
      <c r="J719" s="64"/>
      <c r="K719" s="64"/>
      <c r="L719" s="64">
        <f>SUM(ventas_b_mes684[[#This Row],[IMPORTE NETO]:[EXENTO]])</f>
        <v>0</v>
      </c>
      <c r="M719" s="59"/>
    </row>
    <row r="720" spans="2:13" x14ac:dyDescent="0.25">
      <c r="B720" s="40"/>
      <c r="C720" s="41"/>
      <c r="D720" s="42"/>
      <c r="E720" s="43"/>
      <c r="F720" s="44"/>
      <c r="G720" s="1" t="str">
        <f>IFERROR(IF(ventas_b_mes684[[#This Row],[CUIT]]="","-",VLOOKUP(ventas_b_mes684[[#This Row],[CUIT]],Lista_CUIT[#All],2,0)),"CUIT NO CARGADO")</f>
        <v>-</v>
      </c>
      <c r="H720" s="64"/>
      <c r="I720" s="64">
        <f>ventas_b_mes684[[#This Row],[IMPORTE NETO]]*0.21</f>
        <v>0</v>
      </c>
      <c r="J720" s="64"/>
      <c r="K720" s="64"/>
      <c r="L720" s="64">
        <f>SUM(ventas_b_mes684[[#This Row],[IMPORTE NETO]:[EXENTO]])</f>
        <v>0</v>
      </c>
      <c r="M720" s="59"/>
    </row>
    <row r="721" spans="2:13" x14ac:dyDescent="0.25">
      <c r="B721" s="40"/>
      <c r="C721" s="41"/>
      <c r="D721" s="42"/>
      <c r="E721" s="43"/>
      <c r="F721" s="44"/>
      <c r="G721" s="1" t="str">
        <f>IFERROR(IF(ventas_b_mes684[[#This Row],[CUIT]]="","-",VLOOKUP(ventas_b_mes684[[#This Row],[CUIT]],Lista_CUIT[#All],2,0)),"CUIT NO CARGADO")</f>
        <v>-</v>
      </c>
      <c r="H721" s="64"/>
      <c r="I721" s="64">
        <f>ventas_b_mes684[[#This Row],[IMPORTE NETO]]*0.21</f>
        <v>0</v>
      </c>
      <c r="J721" s="64"/>
      <c r="K721" s="64"/>
      <c r="L721" s="64">
        <f>SUM(ventas_b_mes684[[#This Row],[IMPORTE NETO]:[EXENTO]])</f>
        <v>0</v>
      </c>
      <c r="M721" s="59"/>
    </row>
    <row r="722" spans="2:13" x14ac:dyDescent="0.25">
      <c r="B722" s="40"/>
      <c r="C722" s="41"/>
      <c r="D722" s="42"/>
      <c r="E722" s="43"/>
      <c r="F722" s="44"/>
      <c r="G722" s="1" t="str">
        <f>IFERROR(IF(ventas_b_mes684[[#This Row],[CUIT]]="","-",VLOOKUP(ventas_b_mes684[[#This Row],[CUIT]],Lista_CUIT[#All],2,0)),"CUIT NO CARGADO")</f>
        <v>-</v>
      </c>
      <c r="H722" s="64"/>
      <c r="I722" s="64">
        <f>ventas_b_mes684[[#This Row],[IMPORTE NETO]]*0.21</f>
        <v>0</v>
      </c>
      <c r="J722" s="64"/>
      <c r="K722" s="64"/>
      <c r="L722" s="64">
        <f>SUM(ventas_b_mes684[[#This Row],[IMPORTE NETO]:[EXENTO]])</f>
        <v>0</v>
      </c>
      <c r="M722" s="59"/>
    </row>
    <row r="723" spans="2:13" x14ac:dyDescent="0.25">
      <c r="B723" s="40"/>
      <c r="C723" s="41"/>
      <c r="D723" s="42"/>
      <c r="E723" s="43"/>
      <c r="F723" s="44"/>
      <c r="G723" s="1" t="str">
        <f>IFERROR(IF(ventas_b_mes684[[#This Row],[CUIT]]="","-",VLOOKUP(ventas_b_mes684[[#This Row],[CUIT]],Lista_CUIT[#All],2,0)),"CUIT NO CARGADO")</f>
        <v>-</v>
      </c>
      <c r="H723" s="64"/>
      <c r="I723" s="64">
        <f>ventas_b_mes684[[#This Row],[IMPORTE NETO]]*0.21</f>
        <v>0</v>
      </c>
      <c r="J723" s="64"/>
      <c r="K723" s="64"/>
      <c r="L723" s="64">
        <f>SUM(ventas_b_mes684[[#This Row],[IMPORTE NETO]:[EXENTO]])</f>
        <v>0</v>
      </c>
      <c r="M723" s="59"/>
    </row>
    <row r="724" spans="2:13" x14ac:dyDescent="0.25">
      <c r="B724" s="40"/>
      <c r="C724" s="41"/>
      <c r="D724" s="42"/>
      <c r="E724" s="43"/>
      <c r="F724" s="44"/>
      <c r="G724" s="1" t="str">
        <f>IFERROR(IF(ventas_b_mes684[[#This Row],[CUIT]]="","-",VLOOKUP(ventas_b_mes684[[#This Row],[CUIT]],Lista_CUIT[#All],2,0)),"CUIT NO CARGADO")</f>
        <v>-</v>
      </c>
      <c r="H724" s="64"/>
      <c r="I724" s="64">
        <f>ventas_b_mes684[[#This Row],[IMPORTE NETO]]*0.21</f>
        <v>0</v>
      </c>
      <c r="J724" s="64"/>
      <c r="K724" s="64"/>
      <c r="L724" s="64">
        <f>SUM(ventas_b_mes684[[#This Row],[IMPORTE NETO]:[EXENTO]])</f>
        <v>0</v>
      </c>
      <c r="M724" s="59"/>
    </row>
    <row r="725" spans="2:13" x14ac:dyDescent="0.25">
      <c r="B725" s="40"/>
      <c r="C725" s="41"/>
      <c r="D725" s="42"/>
      <c r="E725" s="43"/>
      <c r="F725" s="44"/>
      <c r="G725" s="1" t="str">
        <f>IFERROR(IF(ventas_b_mes684[[#This Row],[CUIT]]="","-",VLOOKUP(ventas_b_mes684[[#This Row],[CUIT]],Lista_CUIT[#All],2,0)),"CUIT NO CARGADO")</f>
        <v>-</v>
      </c>
      <c r="H725" s="64"/>
      <c r="I725" s="64">
        <f>ventas_b_mes684[[#This Row],[IMPORTE NETO]]*0.21</f>
        <v>0</v>
      </c>
      <c r="J725" s="64"/>
      <c r="K725" s="64"/>
      <c r="L725" s="64">
        <f>SUM(ventas_b_mes684[[#This Row],[IMPORTE NETO]:[EXENTO]])</f>
        <v>0</v>
      </c>
      <c r="M725" s="59"/>
    </row>
    <row r="726" spans="2:13" x14ac:dyDescent="0.25">
      <c r="B726" s="40"/>
      <c r="C726" s="41"/>
      <c r="D726" s="42"/>
      <c r="E726" s="43"/>
      <c r="F726" s="44"/>
      <c r="G726" s="1" t="str">
        <f>IFERROR(IF(ventas_b_mes684[[#This Row],[CUIT]]="","-",VLOOKUP(ventas_b_mes684[[#This Row],[CUIT]],Lista_CUIT[#All],2,0)),"CUIT NO CARGADO")</f>
        <v>-</v>
      </c>
      <c r="H726" s="64"/>
      <c r="I726" s="64">
        <f>ventas_b_mes684[[#This Row],[IMPORTE NETO]]*0.21</f>
        <v>0</v>
      </c>
      <c r="J726" s="64"/>
      <c r="K726" s="64"/>
      <c r="L726" s="64">
        <f>SUM(ventas_b_mes684[[#This Row],[IMPORTE NETO]:[EXENTO]])</f>
        <v>0</v>
      </c>
      <c r="M726" s="59"/>
    </row>
    <row r="727" spans="2:13" x14ac:dyDescent="0.25">
      <c r="B727" s="40"/>
      <c r="C727" s="41"/>
      <c r="D727" s="42"/>
      <c r="E727" s="43"/>
      <c r="F727" s="44"/>
      <c r="G727" s="1" t="str">
        <f>IFERROR(IF(ventas_b_mes684[[#This Row],[CUIT]]="","-",VLOOKUP(ventas_b_mes684[[#This Row],[CUIT]],Lista_CUIT[#All],2,0)),"CUIT NO CARGADO")</f>
        <v>-</v>
      </c>
      <c r="H727" s="64"/>
      <c r="I727" s="64">
        <f>ventas_b_mes684[[#This Row],[IMPORTE NETO]]*0.21</f>
        <v>0</v>
      </c>
      <c r="J727" s="64"/>
      <c r="K727" s="64"/>
      <c r="L727" s="64">
        <f>SUM(ventas_b_mes684[[#This Row],[IMPORTE NETO]:[EXENTO]])</f>
        <v>0</v>
      </c>
      <c r="M727" s="59"/>
    </row>
    <row r="728" spans="2:13" x14ac:dyDescent="0.25">
      <c r="B728" s="40"/>
      <c r="C728" s="41"/>
      <c r="D728" s="42"/>
      <c r="E728" s="43"/>
      <c r="F728" s="44"/>
      <c r="G728" s="1" t="str">
        <f>IFERROR(IF(ventas_b_mes684[[#This Row],[CUIT]]="","-",VLOOKUP(ventas_b_mes684[[#This Row],[CUIT]],Lista_CUIT[#All],2,0)),"CUIT NO CARGADO")</f>
        <v>-</v>
      </c>
      <c r="H728" s="64"/>
      <c r="I728" s="64">
        <f>ventas_b_mes684[[#This Row],[IMPORTE NETO]]*0.21</f>
        <v>0</v>
      </c>
      <c r="J728" s="64"/>
      <c r="K728" s="64"/>
      <c r="L728" s="64">
        <f>SUM(ventas_b_mes684[[#This Row],[IMPORTE NETO]:[EXENTO]])</f>
        <v>0</v>
      </c>
      <c r="M728" s="59"/>
    </row>
    <row r="729" spans="2:13" x14ac:dyDescent="0.25">
      <c r="B729" s="40"/>
      <c r="C729" s="41"/>
      <c r="D729" s="42"/>
      <c r="E729" s="43"/>
      <c r="F729" s="44"/>
      <c r="G729" s="1" t="str">
        <f>IFERROR(IF(ventas_b_mes684[[#This Row],[CUIT]]="","-",VLOOKUP(ventas_b_mes684[[#This Row],[CUIT]],Lista_CUIT[#All],2,0)),"CUIT NO CARGADO")</f>
        <v>-</v>
      </c>
      <c r="H729" s="64"/>
      <c r="I729" s="64">
        <f>ventas_b_mes684[[#This Row],[IMPORTE NETO]]*0.21</f>
        <v>0</v>
      </c>
      <c r="J729" s="64"/>
      <c r="K729" s="64"/>
      <c r="L729" s="64">
        <f>SUM(ventas_b_mes684[[#This Row],[IMPORTE NETO]:[EXENTO]])</f>
        <v>0</v>
      </c>
      <c r="M729" s="59"/>
    </row>
    <row r="730" spans="2:13" x14ac:dyDescent="0.25">
      <c r="B730" s="40"/>
      <c r="C730" s="41"/>
      <c r="D730" s="42"/>
      <c r="E730" s="43"/>
      <c r="F730" s="44"/>
      <c r="G730" s="1" t="str">
        <f>IFERROR(IF(ventas_b_mes684[[#This Row],[CUIT]]="","-",VLOOKUP(ventas_b_mes684[[#This Row],[CUIT]],Lista_CUIT[#All],2,0)),"CUIT NO CARGADO")</f>
        <v>-</v>
      </c>
      <c r="H730" s="64"/>
      <c r="I730" s="64">
        <f>ventas_b_mes684[[#This Row],[IMPORTE NETO]]*0.21</f>
        <v>0</v>
      </c>
      <c r="J730" s="64"/>
      <c r="K730" s="64"/>
      <c r="L730" s="64">
        <f>SUM(ventas_b_mes684[[#This Row],[IMPORTE NETO]:[EXENTO]])</f>
        <v>0</v>
      </c>
      <c r="M730" s="59"/>
    </row>
    <row r="731" spans="2:13" x14ac:dyDescent="0.25">
      <c r="B731" s="40"/>
      <c r="C731" s="41"/>
      <c r="D731" s="42"/>
      <c r="E731" s="43"/>
      <c r="F731" s="44"/>
      <c r="G731" s="1" t="str">
        <f>IFERROR(IF(ventas_b_mes684[[#This Row],[CUIT]]="","-",VLOOKUP(ventas_b_mes684[[#This Row],[CUIT]],Lista_CUIT[#All],2,0)),"CUIT NO CARGADO")</f>
        <v>-</v>
      </c>
      <c r="H731" s="64"/>
      <c r="I731" s="64">
        <f>ventas_b_mes684[[#This Row],[IMPORTE NETO]]*0.21</f>
        <v>0</v>
      </c>
      <c r="J731" s="64"/>
      <c r="K731" s="64"/>
      <c r="L731" s="64">
        <f>SUM(ventas_b_mes684[[#This Row],[IMPORTE NETO]:[EXENTO]])</f>
        <v>0</v>
      </c>
      <c r="M731" s="59"/>
    </row>
    <row r="732" spans="2:13" x14ac:dyDescent="0.25">
      <c r="B732" s="40"/>
      <c r="C732" s="41"/>
      <c r="D732" s="42"/>
      <c r="E732" s="43"/>
      <c r="F732" s="44"/>
      <c r="G732" s="1" t="str">
        <f>IFERROR(IF(ventas_b_mes684[[#This Row],[CUIT]]="","-",VLOOKUP(ventas_b_mes684[[#This Row],[CUIT]],Lista_CUIT[#All],2,0)),"CUIT NO CARGADO")</f>
        <v>-</v>
      </c>
      <c r="H732" s="64"/>
      <c r="I732" s="64">
        <f>ventas_b_mes684[[#This Row],[IMPORTE NETO]]*0.21</f>
        <v>0</v>
      </c>
      <c r="J732" s="64"/>
      <c r="K732" s="64"/>
      <c r="L732" s="64">
        <f>SUM(ventas_b_mes684[[#This Row],[IMPORTE NETO]:[EXENTO]])</f>
        <v>0</v>
      </c>
      <c r="M732" s="59"/>
    </row>
    <row r="733" spans="2:13" x14ac:dyDescent="0.25">
      <c r="B733" s="40"/>
      <c r="C733" s="41"/>
      <c r="D733" s="42"/>
      <c r="E733" s="43"/>
      <c r="F733" s="44"/>
      <c r="G733" s="1" t="str">
        <f>IFERROR(IF(ventas_b_mes684[[#This Row],[CUIT]]="","-",VLOOKUP(ventas_b_mes684[[#This Row],[CUIT]],Lista_CUIT[#All],2,0)),"CUIT NO CARGADO")</f>
        <v>-</v>
      </c>
      <c r="H733" s="64"/>
      <c r="I733" s="64">
        <f>ventas_b_mes684[[#This Row],[IMPORTE NETO]]*0.21</f>
        <v>0</v>
      </c>
      <c r="J733" s="64"/>
      <c r="K733" s="64"/>
      <c r="L733" s="64">
        <f>SUM(ventas_b_mes684[[#This Row],[IMPORTE NETO]:[EXENTO]])</f>
        <v>0</v>
      </c>
      <c r="M733" s="59"/>
    </row>
    <row r="734" spans="2:13" x14ac:dyDescent="0.25">
      <c r="B734" s="40"/>
      <c r="C734" s="41"/>
      <c r="D734" s="42"/>
      <c r="E734" s="43"/>
      <c r="F734" s="44"/>
      <c r="G734" s="1" t="str">
        <f>IFERROR(IF(ventas_b_mes684[[#This Row],[CUIT]]="","-",VLOOKUP(ventas_b_mes684[[#This Row],[CUIT]],Lista_CUIT[#All],2,0)),"CUIT NO CARGADO")</f>
        <v>-</v>
      </c>
      <c r="H734" s="64"/>
      <c r="I734" s="64">
        <f>ventas_b_mes684[[#This Row],[IMPORTE NETO]]*0.21</f>
        <v>0</v>
      </c>
      <c r="J734" s="64"/>
      <c r="K734" s="64"/>
      <c r="L734" s="64">
        <f>SUM(ventas_b_mes684[[#This Row],[IMPORTE NETO]:[EXENTO]])</f>
        <v>0</v>
      </c>
      <c r="M734" s="59"/>
    </row>
    <row r="735" spans="2:13" x14ac:dyDescent="0.25">
      <c r="B735" s="40"/>
      <c r="C735" s="41"/>
      <c r="D735" s="42"/>
      <c r="E735" s="43"/>
      <c r="F735" s="44"/>
      <c r="G735" s="1" t="str">
        <f>IFERROR(IF(ventas_b_mes684[[#This Row],[CUIT]]="","-",VLOOKUP(ventas_b_mes684[[#This Row],[CUIT]],Lista_CUIT[#All],2,0)),"CUIT NO CARGADO")</f>
        <v>-</v>
      </c>
      <c r="H735" s="64"/>
      <c r="I735" s="64">
        <f>ventas_b_mes684[[#This Row],[IMPORTE NETO]]*0.21</f>
        <v>0</v>
      </c>
      <c r="J735" s="64"/>
      <c r="K735" s="64"/>
      <c r="L735" s="64">
        <f>SUM(ventas_b_mes684[[#This Row],[IMPORTE NETO]:[EXENTO]])</f>
        <v>0</v>
      </c>
      <c r="M735" s="59"/>
    </row>
    <row r="736" spans="2:13" x14ac:dyDescent="0.25">
      <c r="B736" s="40"/>
      <c r="C736" s="41"/>
      <c r="D736" s="42"/>
      <c r="E736" s="43"/>
      <c r="F736" s="44"/>
      <c r="G736" s="1" t="str">
        <f>IFERROR(IF(ventas_b_mes684[[#This Row],[CUIT]]="","-",VLOOKUP(ventas_b_mes684[[#This Row],[CUIT]],Lista_CUIT[#All],2,0)),"CUIT NO CARGADO")</f>
        <v>-</v>
      </c>
      <c r="H736" s="64"/>
      <c r="I736" s="64">
        <f>ventas_b_mes684[[#This Row],[IMPORTE NETO]]*0.21</f>
        <v>0</v>
      </c>
      <c r="J736" s="64"/>
      <c r="K736" s="64"/>
      <c r="L736" s="64">
        <f>SUM(ventas_b_mes684[[#This Row],[IMPORTE NETO]:[EXENTO]])</f>
        <v>0</v>
      </c>
      <c r="M736" s="59"/>
    </row>
    <row r="737" spans="2:13" x14ac:dyDescent="0.25">
      <c r="B737" s="40"/>
      <c r="C737" s="41"/>
      <c r="D737" s="42"/>
      <c r="E737" s="43"/>
      <c r="F737" s="44"/>
      <c r="G737" s="1" t="str">
        <f>IFERROR(IF(ventas_b_mes684[[#This Row],[CUIT]]="","-",VLOOKUP(ventas_b_mes684[[#This Row],[CUIT]],Lista_CUIT[#All],2,0)),"CUIT NO CARGADO")</f>
        <v>-</v>
      </c>
      <c r="H737" s="64"/>
      <c r="I737" s="64">
        <f>ventas_b_mes684[[#This Row],[IMPORTE NETO]]*0.21</f>
        <v>0</v>
      </c>
      <c r="J737" s="64"/>
      <c r="K737" s="64"/>
      <c r="L737" s="64">
        <f>SUM(ventas_b_mes684[[#This Row],[IMPORTE NETO]:[EXENTO]])</f>
        <v>0</v>
      </c>
      <c r="M737" s="59"/>
    </row>
    <row r="738" spans="2:13" x14ac:dyDescent="0.25">
      <c r="B738" s="40"/>
      <c r="C738" s="41"/>
      <c r="D738" s="42"/>
      <c r="E738" s="43"/>
      <c r="F738" s="44"/>
      <c r="G738" s="1" t="str">
        <f>IFERROR(IF(ventas_b_mes684[[#This Row],[CUIT]]="","-",VLOOKUP(ventas_b_mes684[[#This Row],[CUIT]],Lista_CUIT[#All],2,0)),"CUIT NO CARGADO")</f>
        <v>-</v>
      </c>
      <c r="H738" s="64"/>
      <c r="I738" s="64">
        <f>ventas_b_mes684[[#This Row],[IMPORTE NETO]]*0.21</f>
        <v>0</v>
      </c>
      <c r="J738" s="64"/>
      <c r="K738" s="64"/>
      <c r="L738" s="64">
        <f>SUM(ventas_b_mes684[[#This Row],[IMPORTE NETO]:[EXENTO]])</f>
        <v>0</v>
      </c>
      <c r="M738" s="59"/>
    </row>
    <row r="739" spans="2:13" x14ac:dyDescent="0.25">
      <c r="B739" s="40"/>
      <c r="C739" s="41"/>
      <c r="D739" s="42"/>
      <c r="E739" s="43"/>
      <c r="F739" s="44"/>
      <c r="G739" s="1" t="str">
        <f>IFERROR(IF(ventas_b_mes684[[#This Row],[CUIT]]="","-",VLOOKUP(ventas_b_mes684[[#This Row],[CUIT]],Lista_CUIT[#All],2,0)),"CUIT NO CARGADO")</f>
        <v>-</v>
      </c>
      <c r="H739" s="64"/>
      <c r="I739" s="64">
        <f>ventas_b_mes684[[#This Row],[IMPORTE NETO]]*0.21</f>
        <v>0</v>
      </c>
      <c r="J739" s="64"/>
      <c r="K739" s="64"/>
      <c r="L739" s="64">
        <f>SUM(ventas_b_mes684[[#This Row],[IMPORTE NETO]:[EXENTO]])</f>
        <v>0</v>
      </c>
      <c r="M739" s="59"/>
    </row>
    <row r="740" spans="2:13" x14ac:dyDescent="0.25">
      <c r="B740" s="40"/>
      <c r="C740" s="41"/>
      <c r="D740" s="42"/>
      <c r="E740" s="43"/>
      <c r="F740" s="44"/>
      <c r="G740" s="1" t="str">
        <f>IFERROR(IF(ventas_b_mes684[[#This Row],[CUIT]]="","-",VLOOKUP(ventas_b_mes684[[#This Row],[CUIT]],Lista_CUIT[#All],2,0)),"CUIT NO CARGADO")</f>
        <v>-</v>
      </c>
      <c r="H740" s="64"/>
      <c r="I740" s="64">
        <f>ventas_b_mes684[[#This Row],[IMPORTE NETO]]*0.21</f>
        <v>0</v>
      </c>
      <c r="J740" s="64"/>
      <c r="K740" s="64"/>
      <c r="L740" s="64">
        <f>SUM(ventas_b_mes684[[#This Row],[IMPORTE NETO]:[EXENTO]])</f>
        <v>0</v>
      </c>
      <c r="M740" s="59"/>
    </row>
    <row r="741" spans="2:13" x14ac:dyDescent="0.25">
      <c r="B741" s="40"/>
      <c r="C741" s="41"/>
      <c r="D741" s="42"/>
      <c r="E741" s="43"/>
      <c r="F741" s="44"/>
      <c r="G741" s="1" t="str">
        <f>IFERROR(IF(ventas_b_mes684[[#This Row],[CUIT]]="","-",VLOOKUP(ventas_b_mes684[[#This Row],[CUIT]],Lista_CUIT[#All],2,0)),"CUIT NO CARGADO")</f>
        <v>-</v>
      </c>
      <c r="H741" s="64"/>
      <c r="I741" s="64">
        <f>ventas_b_mes684[[#This Row],[IMPORTE NETO]]*0.21</f>
        <v>0</v>
      </c>
      <c r="J741" s="64"/>
      <c r="K741" s="64"/>
      <c r="L741" s="64">
        <f>SUM(ventas_b_mes684[[#This Row],[IMPORTE NETO]:[EXENTO]])</f>
        <v>0</v>
      </c>
      <c r="M741" s="59"/>
    </row>
    <row r="742" spans="2:13" x14ac:dyDescent="0.25">
      <c r="B742" s="40"/>
      <c r="C742" s="41"/>
      <c r="D742" s="42"/>
      <c r="E742" s="43"/>
      <c r="F742" s="44"/>
      <c r="G742" s="1" t="str">
        <f>IFERROR(IF(ventas_b_mes684[[#This Row],[CUIT]]="","-",VLOOKUP(ventas_b_mes684[[#This Row],[CUIT]],Lista_CUIT[#All],2,0)),"CUIT NO CARGADO")</f>
        <v>-</v>
      </c>
      <c r="H742" s="64"/>
      <c r="I742" s="64">
        <f>ventas_b_mes684[[#This Row],[IMPORTE NETO]]*0.21</f>
        <v>0</v>
      </c>
      <c r="J742" s="64"/>
      <c r="K742" s="64"/>
      <c r="L742" s="64">
        <f>SUM(ventas_b_mes684[[#This Row],[IMPORTE NETO]:[EXENTO]])</f>
        <v>0</v>
      </c>
      <c r="M742" s="59"/>
    </row>
    <row r="743" spans="2:13" x14ac:dyDescent="0.25">
      <c r="B743" s="40"/>
      <c r="C743" s="41"/>
      <c r="D743" s="42"/>
      <c r="E743" s="43"/>
      <c r="F743" s="44"/>
      <c r="G743" s="1" t="str">
        <f>IFERROR(IF(ventas_b_mes684[[#This Row],[CUIT]]="","-",VLOOKUP(ventas_b_mes684[[#This Row],[CUIT]],Lista_CUIT[#All],2,0)),"CUIT NO CARGADO")</f>
        <v>-</v>
      </c>
      <c r="H743" s="64"/>
      <c r="I743" s="64">
        <f>ventas_b_mes684[[#This Row],[IMPORTE NETO]]*0.21</f>
        <v>0</v>
      </c>
      <c r="J743" s="64"/>
      <c r="K743" s="64"/>
      <c r="L743" s="64">
        <f>SUM(ventas_b_mes684[[#This Row],[IMPORTE NETO]:[EXENTO]])</f>
        <v>0</v>
      </c>
      <c r="M743" s="59"/>
    </row>
    <row r="744" spans="2:13" x14ac:dyDescent="0.25">
      <c r="B744" s="40"/>
      <c r="C744" s="41"/>
      <c r="D744" s="42"/>
      <c r="E744" s="43"/>
      <c r="F744" s="44"/>
      <c r="G744" s="1" t="str">
        <f>IFERROR(IF(ventas_b_mes684[[#This Row],[CUIT]]="","-",VLOOKUP(ventas_b_mes684[[#This Row],[CUIT]],Lista_CUIT[#All],2,0)),"CUIT NO CARGADO")</f>
        <v>-</v>
      </c>
      <c r="H744" s="64"/>
      <c r="I744" s="64">
        <f>ventas_b_mes684[[#This Row],[IMPORTE NETO]]*0.21</f>
        <v>0</v>
      </c>
      <c r="J744" s="64"/>
      <c r="K744" s="64"/>
      <c r="L744" s="64">
        <f>SUM(ventas_b_mes684[[#This Row],[IMPORTE NETO]:[EXENTO]])</f>
        <v>0</v>
      </c>
      <c r="M744" s="59"/>
    </row>
    <row r="745" spans="2:13" x14ac:dyDescent="0.25">
      <c r="B745" s="40"/>
      <c r="C745" s="41"/>
      <c r="D745" s="42"/>
      <c r="E745" s="43"/>
      <c r="F745" s="44"/>
      <c r="G745" s="1" t="str">
        <f>IFERROR(IF(ventas_b_mes684[[#This Row],[CUIT]]="","-",VLOOKUP(ventas_b_mes684[[#This Row],[CUIT]],Lista_CUIT[#All],2,0)),"CUIT NO CARGADO")</f>
        <v>-</v>
      </c>
      <c r="H745" s="64"/>
      <c r="I745" s="64">
        <f>ventas_b_mes684[[#This Row],[IMPORTE NETO]]*0.21</f>
        <v>0</v>
      </c>
      <c r="J745" s="64"/>
      <c r="K745" s="64"/>
      <c r="L745" s="64">
        <f>SUM(ventas_b_mes684[[#This Row],[IMPORTE NETO]:[EXENTO]])</f>
        <v>0</v>
      </c>
      <c r="M745" s="59"/>
    </row>
    <row r="746" spans="2:13" x14ac:dyDescent="0.25">
      <c r="B746" s="40"/>
      <c r="C746" s="41"/>
      <c r="D746" s="42"/>
      <c r="E746" s="43"/>
      <c r="F746" s="44"/>
      <c r="G746" s="1" t="str">
        <f>IFERROR(IF(ventas_b_mes684[[#This Row],[CUIT]]="","-",VLOOKUP(ventas_b_mes684[[#This Row],[CUIT]],Lista_CUIT[#All],2,0)),"CUIT NO CARGADO")</f>
        <v>-</v>
      </c>
      <c r="H746" s="64"/>
      <c r="I746" s="64">
        <f>ventas_b_mes684[[#This Row],[IMPORTE NETO]]*0.21</f>
        <v>0</v>
      </c>
      <c r="J746" s="64"/>
      <c r="K746" s="64"/>
      <c r="L746" s="64">
        <f>SUM(ventas_b_mes684[[#This Row],[IMPORTE NETO]:[EXENTO]])</f>
        <v>0</v>
      </c>
      <c r="M746" s="59"/>
    </row>
    <row r="747" spans="2:13" x14ac:dyDescent="0.25">
      <c r="B747" s="40"/>
      <c r="C747" s="41"/>
      <c r="D747" s="42"/>
      <c r="E747" s="43"/>
      <c r="F747" s="44"/>
      <c r="G747" s="1" t="str">
        <f>IFERROR(IF(ventas_b_mes684[[#This Row],[CUIT]]="","-",VLOOKUP(ventas_b_mes684[[#This Row],[CUIT]],Lista_CUIT[#All],2,0)),"CUIT NO CARGADO")</f>
        <v>-</v>
      </c>
      <c r="H747" s="64"/>
      <c r="I747" s="64">
        <f>ventas_b_mes684[[#This Row],[IMPORTE NETO]]*0.21</f>
        <v>0</v>
      </c>
      <c r="J747" s="64"/>
      <c r="K747" s="64"/>
      <c r="L747" s="64">
        <f>SUM(ventas_b_mes684[[#This Row],[IMPORTE NETO]:[EXENTO]])</f>
        <v>0</v>
      </c>
      <c r="M747" s="59"/>
    </row>
    <row r="748" spans="2:13" x14ac:dyDescent="0.25">
      <c r="B748" s="40"/>
      <c r="C748" s="41"/>
      <c r="D748" s="42"/>
      <c r="E748" s="43"/>
      <c r="F748" s="44"/>
      <c r="G748" s="1" t="str">
        <f>IFERROR(IF(ventas_b_mes684[[#This Row],[CUIT]]="","-",VLOOKUP(ventas_b_mes684[[#This Row],[CUIT]],Lista_CUIT[#All],2,0)),"CUIT NO CARGADO")</f>
        <v>-</v>
      </c>
      <c r="H748" s="64"/>
      <c r="I748" s="64">
        <f>ventas_b_mes684[[#This Row],[IMPORTE NETO]]*0.21</f>
        <v>0</v>
      </c>
      <c r="J748" s="64"/>
      <c r="K748" s="64"/>
      <c r="L748" s="64">
        <f>SUM(ventas_b_mes684[[#This Row],[IMPORTE NETO]:[EXENTO]])</f>
        <v>0</v>
      </c>
      <c r="M748" s="59"/>
    </row>
    <row r="749" spans="2:13" x14ac:dyDescent="0.25">
      <c r="B749" s="40"/>
      <c r="C749" s="41"/>
      <c r="D749" s="42"/>
      <c r="E749" s="43"/>
      <c r="F749" s="44"/>
      <c r="G749" s="1" t="str">
        <f>IFERROR(IF(ventas_b_mes684[[#This Row],[CUIT]]="","-",VLOOKUP(ventas_b_mes684[[#This Row],[CUIT]],Lista_CUIT[#All],2,0)),"CUIT NO CARGADO")</f>
        <v>-</v>
      </c>
      <c r="H749" s="64"/>
      <c r="I749" s="64">
        <f>ventas_b_mes684[[#This Row],[IMPORTE NETO]]*0.21</f>
        <v>0</v>
      </c>
      <c r="J749" s="64"/>
      <c r="K749" s="64"/>
      <c r="L749" s="64">
        <f>SUM(ventas_b_mes684[[#This Row],[IMPORTE NETO]:[EXENTO]])</f>
        <v>0</v>
      </c>
      <c r="M749" s="59"/>
    </row>
    <row r="750" spans="2:13" x14ac:dyDescent="0.25">
      <c r="B750" s="40"/>
      <c r="C750" s="41"/>
      <c r="D750" s="42"/>
      <c r="E750" s="43"/>
      <c r="F750" s="44"/>
      <c r="G750" s="1" t="str">
        <f>IFERROR(IF(ventas_b_mes684[[#This Row],[CUIT]]="","-",VLOOKUP(ventas_b_mes684[[#This Row],[CUIT]],Lista_CUIT[#All],2,0)),"CUIT NO CARGADO")</f>
        <v>-</v>
      </c>
      <c r="H750" s="64"/>
      <c r="I750" s="64">
        <f>ventas_b_mes684[[#This Row],[IMPORTE NETO]]*0.21</f>
        <v>0</v>
      </c>
      <c r="J750" s="64"/>
      <c r="K750" s="64"/>
      <c r="L750" s="64">
        <f>SUM(ventas_b_mes684[[#This Row],[IMPORTE NETO]:[EXENTO]])</f>
        <v>0</v>
      </c>
      <c r="M750" s="59"/>
    </row>
    <row r="751" spans="2:13" x14ac:dyDescent="0.25">
      <c r="B751" s="40"/>
      <c r="C751" s="41"/>
      <c r="D751" s="42"/>
      <c r="E751" s="43"/>
      <c r="F751" s="44"/>
      <c r="G751" s="1" t="str">
        <f>IFERROR(IF(ventas_b_mes684[[#This Row],[CUIT]]="","-",VLOOKUP(ventas_b_mes684[[#This Row],[CUIT]],Lista_CUIT[#All],2,0)),"CUIT NO CARGADO")</f>
        <v>-</v>
      </c>
      <c r="H751" s="64"/>
      <c r="I751" s="64">
        <f>ventas_b_mes684[[#This Row],[IMPORTE NETO]]*0.21</f>
        <v>0</v>
      </c>
      <c r="J751" s="64"/>
      <c r="K751" s="64"/>
      <c r="L751" s="64">
        <f>SUM(ventas_b_mes684[[#This Row],[IMPORTE NETO]:[EXENTO]])</f>
        <v>0</v>
      </c>
      <c r="M751" s="59"/>
    </row>
    <row r="752" spans="2:13" x14ac:dyDescent="0.25">
      <c r="B752" s="40"/>
      <c r="C752" s="41"/>
      <c r="D752" s="42"/>
      <c r="E752" s="43"/>
      <c r="F752" s="44"/>
      <c r="G752" s="1" t="str">
        <f>IFERROR(IF(ventas_b_mes684[[#This Row],[CUIT]]="","-",VLOOKUP(ventas_b_mes684[[#This Row],[CUIT]],Lista_CUIT[#All],2,0)),"CUIT NO CARGADO")</f>
        <v>-</v>
      </c>
      <c r="H752" s="64"/>
      <c r="I752" s="64">
        <f>ventas_b_mes684[[#This Row],[IMPORTE NETO]]*0.21</f>
        <v>0</v>
      </c>
      <c r="J752" s="64"/>
      <c r="K752" s="64"/>
      <c r="L752" s="64">
        <f>SUM(ventas_b_mes684[[#This Row],[IMPORTE NETO]:[EXENTO]])</f>
        <v>0</v>
      </c>
      <c r="M752" s="59"/>
    </row>
    <row r="753" spans="2:13" x14ac:dyDescent="0.25">
      <c r="B753" s="40"/>
      <c r="C753" s="41"/>
      <c r="D753" s="42"/>
      <c r="E753" s="43"/>
      <c r="F753" s="44"/>
      <c r="G753" s="1" t="str">
        <f>IFERROR(IF(ventas_b_mes684[[#This Row],[CUIT]]="","-",VLOOKUP(ventas_b_mes684[[#This Row],[CUIT]],Lista_CUIT[#All],2,0)),"CUIT NO CARGADO")</f>
        <v>-</v>
      </c>
      <c r="H753" s="64"/>
      <c r="I753" s="64">
        <f>ventas_b_mes684[[#This Row],[IMPORTE NETO]]*0.21</f>
        <v>0</v>
      </c>
      <c r="J753" s="64"/>
      <c r="K753" s="64"/>
      <c r="L753" s="64">
        <f>SUM(ventas_b_mes684[[#This Row],[IMPORTE NETO]:[EXENTO]])</f>
        <v>0</v>
      </c>
      <c r="M753" s="59"/>
    </row>
    <row r="754" spans="2:13" x14ac:dyDescent="0.25">
      <c r="B754" s="40"/>
      <c r="C754" s="41"/>
      <c r="D754" s="42"/>
      <c r="E754" s="43"/>
      <c r="F754" s="44"/>
      <c r="G754" s="1" t="str">
        <f>IFERROR(IF(ventas_b_mes684[[#This Row],[CUIT]]="","-",VLOOKUP(ventas_b_mes684[[#This Row],[CUIT]],Lista_CUIT[#All],2,0)),"CUIT NO CARGADO")</f>
        <v>-</v>
      </c>
      <c r="H754" s="64"/>
      <c r="I754" s="64">
        <f>ventas_b_mes684[[#This Row],[IMPORTE NETO]]*0.21</f>
        <v>0</v>
      </c>
      <c r="J754" s="64"/>
      <c r="K754" s="64"/>
      <c r="L754" s="64">
        <f>SUM(ventas_b_mes684[[#This Row],[IMPORTE NETO]:[EXENTO]])</f>
        <v>0</v>
      </c>
      <c r="M754" s="59"/>
    </row>
    <row r="755" spans="2:13" x14ac:dyDescent="0.25">
      <c r="B755" s="40"/>
      <c r="C755" s="41"/>
      <c r="D755" s="42"/>
      <c r="E755" s="43"/>
      <c r="F755" s="44"/>
      <c r="G755" s="1" t="str">
        <f>IFERROR(IF(ventas_b_mes684[[#This Row],[CUIT]]="","-",VLOOKUP(ventas_b_mes684[[#This Row],[CUIT]],Lista_CUIT[#All],2,0)),"CUIT NO CARGADO")</f>
        <v>-</v>
      </c>
      <c r="H755" s="64"/>
      <c r="I755" s="64">
        <f>ventas_b_mes684[[#This Row],[IMPORTE NETO]]*0.21</f>
        <v>0</v>
      </c>
      <c r="J755" s="64"/>
      <c r="K755" s="64"/>
      <c r="L755" s="64">
        <f>SUM(ventas_b_mes684[[#This Row],[IMPORTE NETO]:[EXENTO]])</f>
        <v>0</v>
      </c>
      <c r="M755" s="59"/>
    </row>
    <row r="756" spans="2:13" x14ac:dyDescent="0.25">
      <c r="B756" s="40"/>
      <c r="C756" s="41"/>
      <c r="D756" s="42"/>
      <c r="E756" s="43"/>
      <c r="F756" s="44"/>
      <c r="G756" s="1" t="str">
        <f>IFERROR(IF(ventas_b_mes684[[#This Row],[CUIT]]="","-",VLOOKUP(ventas_b_mes684[[#This Row],[CUIT]],Lista_CUIT[#All],2,0)),"CUIT NO CARGADO")</f>
        <v>-</v>
      </c>
      <c r="H756" s="64"/>
      <c r="I756" s="64">
        <f>ventas_b_mes684[[#This Row],[IMPORTE NETO]]*0.21</f>
        <v>0</v>
      </c>
      <c r="J756" s="64"/>
      <c r="K756" s="64"/>
      <c r="L756" s="64">
        <f>SUM(ventas_b_mes684[[#This Row],[IMPORTE NETO]:[EXENTO]])</f>
        <v>0</v>
      </c>
      <c r="M756" s="59"/>
    </row>
    <row r="757" spans="2:13" x14ac:dyDescent="0.25">
      <c r="B757" s="40"/>
      <c r="C757" s="41"/>
      <c r="D757" s="42"/>
      <c r="E757" s="43"/>
      <c r="F757" s="44"/>
      <c r="G757" s="1" t="str">
        <f>IFERROR(IF(ventas_b_mes684[[#This Row],[CUIT]]="","-",VLOOKUP(ventas_b_mes684[[#This Row],[CUIT]],Lista_CUIT[#All],2,0)),"CUIT NO CARGADO")</f>
        <v>-</v>
      </c>
      <c r="H757" s="64"/>
      <c r="I757" s="64">
        <f>ventas_b_mes684[[#This Row],[IMPORTE NETO]]*0.21</f>
        <v>0</v>
      </c>
      <c r="J757" s="64"/>
      <c r="K757" s="64"/>
      <c r="L757" s="64">
        <f>SUM(ventas_b_mes684[[#This Row],[IMPORTE NETO]:[EXENTO]])</f>
        <v>0</v>
      </c>
      <c r="M757" s="59"/>
    </row>
    <row r="758" spans="2:13" x14ac:dyDescent="0.25">
      <c r="B758" s="40"/>
      <c r="C758" s="41"/>
      <c r="D758" s="42"/>
      <c r="E758" s="43"/>
      <c r="F758" s="44"/>
      <c r="G758" s="1" t="str">
        <f>IFERROR(IF(ventas_b_mes684[[#This Row],[CUIT]]="","-",VLOOKUP(ventas_b_mes684[[#This Row],[CUIT]],Lista_CUIT[#All],2,0)),"CUIT NO CARGADO")</f>
        <v>-</v>
      </c>
      <c r="H758" s="64"/>
      <c r="I758" s="64">
        <f>ventas_b_mes684[[#This Row],[IMPORTE NETO]]*0.21</f>
        <v>0</v>
      </c>
      <c r="J758" s="64"/>
      <c r="K758" s="64"/>
      <c r="L758" s="64">
        <f>SUM(ventas_b_mes684[[#This Row],[IMPORTE NETO]:[EXENTO]])</f>
        <v>0</v>
      </c>
      <c r="M758" s="59"/>
    </row>
    <row r="759" spans="2:13" x14ac:dyDescent="0.25">
      <c r="B759" s="40"/>
      <c r="C759" s="41"/>
      <c r="D759" s="42"/>
      <c r="E759" s="43"/>
      <c r="F759" s="44"/>
      <c r="G759" s="1" t="str">
        <f>IFERROR(IF(ventas_b_mes684[[#This Row],[CUIT]]="","-",VLOOKUP(ventas_b_mes684[[#This Row],[CUIT]],Lista_CUIT[#All],2,0)),"CUIT NO CARGADO")</f>
        <v>-</v>
      </c>
      <c r="H759" s="64"/>
      <c r="I759" s="64">
        <f>ventas_b_mes684[[#This Row],[IMPORTE NETO]]*0.21</f>
        <v>0</v>
      </c>
      <c r="J759" s="64"/>
      <c r="K759" s="64"/>
      <c r="L759" s="64">
        <f>SUM(ventas_b_mes684[[#This Row],[IMPORTE NETO]:[EXENTO]])</f>
        <v>0</v>
      </c>
      <c r="M759" s="59"/>
    </row>
    <row r="760" spans="2:13" x14ac:dyDescent="0.25">
      <c r="B760" s="40"/>
      <c r="C760" s="41"/>
      <c r="D760" s="42"/>
      <c r="E760" s="43"/>
      <c r="F760" s="44"/>
      <c r="G760" s="1" t="str">
        <f>IFERROR(IF(ventas_b_mes684[[#This Row],[CUIT]]="","-",VLOOKUP(ventas_b_mes684[[#This Row],[CUIT]],Lista_CUIT[#All],2,0)),"CUIT NO CARGADO")</f>
        <v>-</v>
      </c>
      <c r="H760" s="64"/>
      <c r="I760" s="64">
        <f>ventas_b_mes684[[#This Row],[IMPORTE NETO]]*0.21</f>
        <v>0</v>
      </c>
      <c r="J760" s="64"/>
      <c r="K760" s="64"/>
      <c r="L760" s="64">
        <f>SUM(ventas_b_mes684[[#This Row],[IMPORTE NETO]:[EXENTO]])</f>
        <v>0</v>
      </c>
      <c r="M760" s="59"/>
    </row>
    <row r="761" spans="2:13" x14ac:dyDescent="0.25">
      <c r="B761" s="40"/>
      <c r="C761" s="41"/>
      <c r="D761" s="42"/>
      <c r="E761" s="43"/>
      <c r="F761" s="44"/>
      <c r="G761" s="1" t="str">
        <f>IFERROR(IF(ventas_b_mes684[[#This Row],[CUIT]]="","-",VLOOKUP(ventas_b_mes684[[#This Row],[CUIT]],Lista_CUIT[#All],2,0)),"CUIT NO CARGADO")</f>
        <v>-</v>
      </c>
      <c r="H761" s="64"/>
      <c r="I761" s="64">
        <f>ventas_b_mes684[[#This Row],[IMPORTE NETO]]*0.21</f>
        <v>0</v>
      </c>
      <c r="J761" s="64"/>
      <c r="K761" s="64"/>
      <c r="L761" s="64">
        <f>SUM(ventas_b_mes684[[#This Row],[IMPORTE NETO]:[EXENTO]])</f>
        <v>0</v>
      </c>
      <c r="M761" s="59"/>
    </row>
    <row r="762" spans="2:13" x14ac:dyDescent="0.25">
      <c r="B762" s="40"/>
      <c r="C762" s="41"/>
      <c r="D762" s="42"/>
      <c r="E762" s="43"/>
      <c r="F762" s="44"/>
      <c r="G762" s="1" t="str">
        <f>IFERROR(IF(ventas_b_mes684[[#This Row],[CUIT]]="","-",VLOOKUP(ventas_b_mes684[[#This Row],[CUIT]],Lista_CUIT[#All],2,0)),"CUIT NO CARGADO")</f>
        <v>-</v>
      </c>
      <c r="H762" s="64"/>
      <c r="I762" s="64">
        <f>ventas_b_mes684[[#This Row],[IMPORTE NETO]]*0.21</f>
        <v>0</v>
      </c>
      <c r="J762" s="64"/>
      <c r="K762" s="64"/>
      <c r="L762" s="64">
        <f>SUM(ventas_b_mes684[[#This Row],[IMPORTE NETO]:[EXENTO]])</f>
        <v>0</v>
      </c>
      <c r="M762" s="59"/>
    </row>
    <row r="763" spans="2:13" x14ac:dyDescent="0.25">
      <c r="B763" s="40"/>
      <c r="C763" s="41"/>
      <c r="D763" s="42"/>
      <c r="E763" s="43"/>
      <c r="F763" s="44"/>
      <c r="G763" s="1" t="str">
        <f>IFERROR(IF(ventas_b_mes684[[#This Row],[CUIT]]="","-",VLOOKUP(ventas_b_mes684[[#This Row],[CUIT]],Lista_CUIT[#All],2,0)),"CUIT NO CARGADO")</f>
        <v>-</v>
      </c>
      <c r="H763" s="64"/>
      <c r="I763" s="64">
        <f>ventas_b_mes684[[#This Row],[IMPORTE NETO]]*0.21</f>
        <v>0</v>
      </c>
      <c r="J763" s="64"/>
      <c r="K763" s="64"/>
      <c r="L763" s="64">
        <f>SUM(ventas_b_mes684[[#This Row],[IMPORTE NETO]:[EXENTO]])</f>
        <v>0</v>
      </c>
      <c r="M763" s="59"/>
    </row>
    <row r="764" spans="2:13" x14ac:dyDescent="0.25">
      <c r="B764" s="40"/>
      <c r="C764" s="41"/>
      <c r="D764" s="42"/>
      <c r="E764" s="43"/>
      <c r="F764" s="44"/>
      <c r="G764" s="1" t="str">
        <f>IFERROR(IF(ventas_b_mes684[[#This Row],[CUIT]]="","-",VLOOKUP(ventas_b_mes684[[#This Row],[CUIT]],Lista_CUIT[#All],2,0)),"CUIT NO CARGADO")</f>
        <v>-</v>
      </c>
      <c r="H764" s="64"/>
      <c r="I764" s="64">
        <f>ventas_b_mes684[[#This Row],[IMPORTE NETO]]*0.21</f>
        <v>0</v>
      </c>
      <c r="J764" s="64"/>
      <c r="K764" s="64"/>
      <c r="L764" s="64">
        <f>SUM(ventas_b_mes684[[#This Row],[IMPORTE NETO]:[EXENTO]])</f>
        <v>0</v>
      </c>
      <c r="M764" s="59"/>
    </row>
    <row r="765" spans="2:13" x14ac:dyDescent="0.25">
      <c r="B765" s="40"/>
      <c r="C765" s="41"/>
      <c r="D765" s="42"/>
      <c r="E765" s="43"/>
      <c r="F765" s="44"/>
      <c r="G765" s="1" t="str">
        <f>IFERROR(IF(ventas_b_mes684[[#This Row],[CUIT]]="","-",VLOOKUP(ventas_b_mes684[[#This Row],[CUIT]],Lista_CUIT[#All],2,0)),"CUIT NO CARGADO")</f>
        <v>-</v>
      </c>
      <c r="H765" s="64"/>
      <c r="I765" s="64">
        <f>ventas_b_mes684[[#This Row],[IMPORTE NETO]]*0.21</f>
        <v>0</v>
      </c>
      <c r="J765" s="64"/>
      <c r="K765" s="64"/>
      <c r="L765" s="64">
        <f>SUM(ventas_b_mes684[[#This Row],[IMPORTE NETO]:[EXENTO]])</f>
        <v>0</v>
      </c>
      <c r="M765" s="59"/>
    </row>
    <row r="766" spans="2:13" x14ac:dyDescent="0.25">
      <c r="B766" s="40"/>
      <c r="C766" s="41"/>
      <c r="D766" s="42"/>
      <c r="E766" s="43"/>
      <c r="F766" s="44"/>
      <c r="G766" s="1" t="str">
        <f>IFERROR(IF(ventas_b_mes684[[#This Row],[CUIT]]="","-",VLOOKUP(ventas_b_mes684[[#This Row],[CUIT]],Lista_CUIT[#All],2,0)),"CUIT NO CARGADO")</f>
        <v>-</v>
      </c>
      <c r="H766" s="64"/>
      <c r="I766" s="64">
        <f>ventas_b_mes684[[#This Row],[IMPORTE NETO]]*0.21</f>
        <v>0</v>
      </c>
      <c r="J766" s="64"/>
      <c r="K766" s="64"/>
      <c r="L766" s="64">
        <f>SUM(ventas_b_mes684[[#This Row],[IMPORTE NETO]:[EXENTO]])</f>
        <v>0</v>
      </c>
      <c r="M766" s="59"/>
    </row>
    <row r="767" spans="2:13" x14ac:dyDescent="0.25">
      <c r="B767" s="40"/>
      <c r="C767" s="41"/>
      <c r="D767" s="42"/>
      <c r="E767" s="43"/>
      <c r="F767" s="44"/>
      <c r="G767" s="1" t="str">
        <f>IFERROR(IF(ventas_b_mes684[[#This Row],[CUIT]]="","-",VLOOKUP(ventas_b_mes684[[#This Row],[CUIT]],Lista_CUIT[#All],2,0)),"CUIT NO CARGADO")</f>
        <v>-</v>
      </c>
      <c r="H767" s="64"/>
      <c r="I767" s="64">
        <f>ventas_b_mes684[[#This Row],[IMPORTE NETO]]*0.21</f>
        <v>0</v>
      </c>
      <c r="J767" s="64"/>
      <c r="K767" s="64"/>
      <c r="L767" s="64">
        <f>SUM(ventas_b_mes684[[#This Row],[IMPORTE NETO]:[EXENTO]])</f>
        <v>0</v>
      </c>
      <c r="M767" s="59"/>
    </row>
    <row r="768" spans="2:13" x14ac:dyDescent="0.25">
      <c r="B768" s="40"/>
      <c r="C768" s="41"/>
      <c r="D768" s="42"/>
      <c r="E768" s="43"/>
      <c r="F768" s="44"/>
      <c r="G768" s="1" t="str">
        <f>IFERROR(IF(ventas_b_mes684[[#This Row],[CUIT]]="","-",VLOOKUP(ventas_b_mes684[[#This Row],[CUIT]],Lista_CUIT[#All],2,0)),"CUIT NO CARGADO")</f>
        <v>-</v>
      </c>
      <c r="H768" s="64"/>
      <c r="I768" s="64">
        <f>ventas_b_mes684[[#This Row],[IMPORTE NETO]]*0.21</f>
        <v>0</v>
      </c>
      <c r="J768" s="64"/>
      <c r="K768" s="64"/>
      <c r="L768" s="64">
        <f>SUM(ventas_b_mes684[[#This Row],[IMPORTE NETO]:[EXENTO]])</f>
        <v>0</v>
      </c>
      <c r="M768" s="59"/>
    </row>
    <row r="769" spans="2:13" x14ac:dyDescent="0.25">
      <c r="B769" s="40"/>
      <c r="C769" s="41"/>
      <c r="D769" s="42"/>
      <c r="E769" s="43"/>
      <c r="F769" s="44"/>
      <c r="G769" s="1" t="str">
        <f>IFERROR(IF(ventas_b_mes684[[#This Row],[CUIT]]="","-",VLOOKUP(ventas_b_mes684[[#This Row],[CUIT]],Lista_CUIT[#All],2,0)),"CUIT NO CARGADO")</f>
        <v>-</v>
      </c>
      <c r="H769" s="64"/>
      <c r="I769" s="64">
        <f>ventas_b_mes684[[#This Row],[IMPORTE NETO]]*0.21</f>
        <v>0</v>
      </c>
      <c r="J769" s="64"/>
      <c r="K769" s="64"/>
      <c r="L769" s="64">
        <f>SUM(ventas_b_mes684[[#This Row],[IMPORTE NETO]:[EXENTO]])</f>
        <v>0</v>
      </c>
      <c r="M769" s="59"/>
    </row>
    <row r="770" spans="2:13" x14ac:dyDescent="0.25">
      <c r="B770" s="40"/>
      <c r="C770" s="41"/>
      <c r="D770" s="42"/>
      <c r="E770" s="43"/>
      <c r="F770" s="44"/>
      <c r="G770" s="1" t="str">
        <f>IFERROR(IF(ventas_b_mes684[[#This Row],[CUIT]]="","-",VLOOKUP(ventas_b_mes684[[#This Row],[CUIT]],Lista_CUIT[#All],2,0)),"CUIT NO CARGADO")</f>
        <v>-</v>
      </c>
      <c r="H770" s="64"/>
      <c r="I770" s="64">
        <f>ventas_b_mes684[[#This Row],[IMPORTE NETO]]*0.21</f>
        <v>0</v>
      </c>
      <c r="J770" s="64"/>
      <c r="K770" s="64"/>
      <c r="L770" s="64">
        <f>SUM(ventas_b_mes684[[#This Row],[IMPORTE NETO]:[EXENTO]])</f>
        <v>0</v>
      </c>
      <c r="M770" s="59"/>
    </row>
    <row r="771" spans="2:13" x14ac:dyDescent="0.25">
      <c r="B771" s="40"/>
      <c r="C771" s="41"/>
      <c r="D771" s="42"/>
      <c r="E771" s="43"/>
      <c r="F771" s="44"/>
      <c r="G771" s="1" t="str">
        <f>IFERROR(IF(ventas_b_mes684[[#This Row],[CUIT]]="","-",VLOOKUP(ventas_b_mes684[[#This Row],[CUIT]],Lista_CUIT[#All],2,0)),"CUIT NO CARGADO")</f>
        <v>-</v>
      </c>
      <c r="H771" s="64"/>
      <c r="I771" s="64">
        <f>ventas_b_mes684[[#This Row],[IMPORTE NETO]]*0.21</f>
        <v>0</v>
      </c>
      <c r="J771" s="64"/>
      <c r="K771" s="64"/>
      <c r="L771" s="64">
        <f>SUM(ventas_b_mes684[[#This Row],[IMPORTE NETO]:[EXENTO]])</f>
        <v>0</v>
      </c>
      <c r="M771" s="59"/>
    </row>
    <row r="772" spans="2:13" x14ac:dyDescent="0.25">
      <c r="B772" s="40"/>
      <c r="C772" s="41"/>
      <c r="D772" s="42"/>
      <c r="E772" s="43"/>
      <c r="F772" s="44"/>
      <c r="G772" s="1" t="str">
        <f>IFERROR(IF(ventas_b_mes684[[#This Row],[CUIT]]="","-",VLOOKUP(ventas_b_mes684[[#This Row],[CUIT]],Lista_CUIT[#All],2,0)),"CUIT NO CARGADO")</f>
        <v>-</v>
      </c>
      <c r="H772" s="64"/>
      <c r="I772" s="64">
        <f>ventas_b_mes684[[#This Row],[IMPORTE NETO]]*0.21</f>
        <v>0</v>
      </c>
      <c r="J772" s="64"/>
      <c r="K772" s="64"/>
      <c r="L772" s="64">
        <f>SUM(ventas_b_mes684[[#This Row],[IMPORTE NETO]:[EXENTO]])</f>
        <v>0</v>
      </c>
      <c r="M772" s="59"/>
    </row>
    <row r="773" spans="2:13" x14ac:dyDescent="0.25">
      <c r="B773" s="40"/>
      <c r="C773" s="41"/>
      <c r="D773" s="42"/>
      <c r="E773" s="43"/>
      <c r="F773" s="44"/>
      <c r="G773" s="1" t="str">
        <f>IFERROR(IF(ventas_b_mes684[[#This Row],[CUIT]]="","-",VLOOKUP(ventas_b_mes684[[#This Row],[CUIT]],Lista_CUIT[#All],2,0)),"CUIT NO CARGADO")</f>
        <v>-</v>
      </c>
      <c r="H773" s="64"/>
      <c r="I773" s="64">
        <f>ventas_b_mes684[[#This Row],[IMPORTE NETO]]*0.21</f>
        <v>0</v>
      </c>
      <c r="J773" s="64"/>
      <c r="K773" s="64"/>
      <c r="L773" s="64">
        <f>SUM(ventas_b_mes684[[#This Row],[IMPORTE NETO]:[EXENTO]])</f>
        <v>0</v>
      </c>
      <c r="M773" s="59"/>
    </row>
    <row r="774" spans="2:13" x14ac:dyDescent="0.25">
      <c r="B774" s="40"/>
      <c r="C774" s="41"/>
      <c r="D774" s="42"/>
      <c r="E774" s="43"/>
      <c r="F774" s="44"/>
      <c r="G774" s="1" t="str">
        <f>IFERROR(IF(ventas_b_mes684[[#This Row],[CUIT]]="","-",VLOOKUP(ventas_b_mes684[[#This Row],[CUIT]],Lista_CUIT[#All],2,0)),"CUIT NO CARGADO")</f>
        <v>-</v>
      </c>
      <c r="H774" s="64"/>
      <c r="I774" s="64">
        <f>ventas_b_mes684[[#This Row],[IMPORTE NETO]]*0.21</f>
        <v>0</v>
      </c>
      <c r="J774" s="64"/>
      <c r="K774" s="64"/>
      <c r="L774" s="64">
        <f>SUM(ventas_b_mes684[[#This Row],[IMPORTE NETO]:[EXENTO]])</f>
        <v>0</v>
      </c>
      <c r="M774" s="59"/>
    </row>
    <row r="775" spans="2:13" x14ac:dyDescent="0.25">
      <c r="B775" s="40"/>
      <c r="C775" s="41"/>
      <c r="D775" s="42"/>
      <c r="E775" s="43"/>
      <c r="F775" s="44"/>
      <c r="G775" s="1" t="str">
        <f>IFERROR(IF(ventas_b_mes684[[#This Row],[CUIT]]="","-",VLOOKUP(ventas_b_mes684[[#This Row],[CUIT]],Lista_CUIT[#All],2,0)),"CUIT NO CARGADO")</f>
        <v>-</v>
      </c>
      <c r="H775" s="64"/>
      <c r="I775" s="64">
        <f>ventas_b_mes684[[#This Row],[IMPORTE NETO]]*0.21</f>
        <v>0</v>
      </c>
      <c r="J775" s="64"/>
      <c r="K775" s="64"/>
      <c r="L775" s="64">
        <f>SUM(ventas_b_mes684[[#This Row],[IMPORTE NETO]:[EXENTO]])</f>
        <v>0</v>
      </c>
      <c r="M775" s="59"/>
    </row>
    <row r="776" spans="2:13" x14ac:dyDescent="0.25">
      <c r="B776" s="40"/>
      <c r="C776" s="41"/>
      <c r="D776" s="42"/>
      <c r="E776" s="43"/>
      <c r="F776" s="44"/>
      <c r="G776" s="1" t="str">
        <f>IFERROR(IF(ventas_b_mes684[[#This Row],[CUIT]]="","-",VLOOKUP(ventas_b_mes684[[#This Row],[CUIT]],Lista_CUIT[#All],2,0)),"CUIT NO CARGADO")</f>
        <v>-</v>
      </c>
      <c r="H776" s="64"/>
      <c r="I776" s="64">
        <f>ventas_b_mes684[[#This Row],[IMPORTE NETO]]*0.21</f>
        <v>0</v>
      </c>
      <c r="J776" s="64"/>
      <c r="K776" s="64"/>
      <c r="L776" s="64">
        <f>SUM(ventas_b_mes684[[#This Row],[IMPORTE NETO]:[EXENTO]])</f>
        <v>0</v>
      </c>
      <c r="M776" s="59"/>
    </row>
    <row r="777" spans="2:13" x14ac:dyDescent="0.25">
      <c r="B777" s="40"/>
      <c r="C777" s="41"/>
      <c r="D777" s="42"/>
      <c r="E777" s="43"/>
      <c r="F777" s="44"/>
      <c r="G777" s="1" t="str">
        <f>IFERROR(IF(ventas_b_mes684[[#This Row],[CUIT]]="","-",VLOOKUP(ventas_b_mes684[[#This Row],[CUIT]],Lista_CUIT[#All],2,0)),"CUIT NO CARGADO")</f>
        <v>-</v>
      </c>
      <c r="H777" s="64"/>
      <c r="I777" s="64">
        <f>ventas_b_mes684[[#This Row],[IMPORTE NETO]]*0.21</f>
        <v>0</v>
      </c>
      <c r="J777" s="64"/>
      <c r="K777" s="64"/>
      <c r="L777" s="64">
        <f>SUM(ventas_b_mes684[[#This Row],[IMPORTE NETO]:[EXENTO]])</f>
        <v>0</v>
      </c>
      <c r="M777" s="59"/>
    </row>
    <row r="778" spans="2:13" x14ac:dyDescent="0.25">
      <c r="B778" s="40"/>
      <c r="C778" s="41"/>
      <c r="D778" s="42"/>
      <c r="E778" s="43"/>
      <c r="F778" s="44"/>
      <c r="G778" s="1" t="str">
        <f>IFERROR(IF(ventas_b_mes684[[#This Row],[CUIT]]="","-",VLOOKUP(ventas_b_mes684[[#This Row],[CUIT]],Lista_CUIT[#All],2,0)),"CUIT NO CARGADO")</f>
        <v>-</v>
      </c>
      <c r="H778" s="64"/>
      <c r="I778" s="64">
        <f>ventas_b_mes684[[#This Row],[IMPORTE NETO]]*0.21</f>
        <v>0</v>
      </c>
      <c r="J778" s="64"/>
      <c r="K778" s="64"/>
      <c r="L778" s="64">
        <f>SUM(ventas_b_mes684[[#This Row],[IMPORTE NETO]:[EXENTO]])</f>
        <v>0</v>
      </c>
      <c r="M778" s="59"/>
    </row>
    <row r="779" spans="2:13" x14ac:dyDescent="0.25">
      <c r="B779" s="40"/>
      <c r="C779" s="41"/>
      <c r="D779" s="42"/>
      <c r="E779" s="43"/>
      <c r="F779" s="44"/>
      <c r="G779" s="1" t="str">
        <f>IFERROR(IF(ventas_b_mes684[[#This Row],[CUIT]]="","-",VLOOKUP(ventas_b_mes684[[#This Row],[CUIT]],Lista_CUIT[#All],2,0)),"CUIT NO CARGADO")</f>
        <v>-</v>
      </c>
      <c r="H779" s="64"/>
      <c r="I779" s="64">
        <f>ventas_b_mes684[[#This Row],[IMPORTE NETO]]*0.21</f>
        <v>0</v>
      </c>
      <c r="J779" s="64"/>
      <c r="K779" s="64"/>
      <c r="L779" s="64">
        <f>SUM(ventas_b_mes684[[#This Row],[IMPORTE NETO]:[EXENTO]])</f>
        <v>0</v>
      </c>
      <c r="M779" s="59"/>
    </row>
    <row r="780" spans="2:13" x14ac:dyDescent="0.25">
      <c r="B780" s="40"/>
      <c r="C780" s="41"/>
      <c r="D780" s="42"/>
      <c r="E780" s="43"/>
      <c r="F780" s="44"/>
      <c r="G780" s="1" t="str">
        <f>IFERROR(IF(ventas_b_mes684[[#This Row],[CUIT]]="","-",VLOOKUP(ventas_b_mes684[[#This Row],[CUIT]],Lista_CUIT[#All],2,0)),"CUIT NO CARGADO")</f>
        <v>-</v>
      </c>
      <c r="H780" s="64"/>
      <c r="I780" s="64">
        <f>ventas_b_mes684[[#This Row],[IMPORTE NETO]]*0.21</f>
        <v>0</v>
      </c>
      <c r="J780" s="64"/>
      <c r="K780" s="64"/>
      <c r="L780" s="64">
        <f>SUM(ventas_b_mes684[[#This Row],[IMPORTE NETO]:[EXENTO]])</f>
        <v>0</v>
      </c>
      <c r="M780" s="59"/>
    </row>
    <row r="781" spans="2:13" x14ac:dyDescent="0.25">
      <c r="B781" s="40"/>
      <c r="C781" s="41"/>
      <c r="D781" s="42"/>
      <c r="E781" s="43"/>
      <c r="F781" s="44"/>
      <c r="G781" s="1" t="str">
        <f>IFERROR(IF(ventas_b_mes684[[#This Row],[CUIT]]="","-",VLOOKUP(ventas_b_mes684[[#This Row],[CUIT]],Lista_CUIT[#All],2,0)),"CUIT NO CARGADO")</f>
        <v>-</v>
      </c>
      <c r="H781" s="64"/>
      <c r="I781" s="64">
        <f>ventas_b_mes684[[#This Row],[IMPORTE NETO]]*0.21</f>
        <v>0</v>
      </c>
      <c r="J781" s="64"/>
      <c r="K781" s="64"/>
      <c r="L781" s="64">
        <f>SUM(ventas_b_mes684[[#This Row],[IMPORTE NETO]:[EXENTO]])</f>
        <v>0</v>
      </c>
      <c r="M781" s="59"/>
    </row>
    <row r="782" spans="2:13" x14ac:dyDescent="0.25">
      <c r="B782" s="40"/>
      <c r="C782" s="41"/>
      <c r="D782" s="42"/>
      <c r="E782" s="43"/>
      <c r="F782" s="44"/>
      <c r="G782" s="1" t="str">
        <f>IFERROR(IF(ventas_b_mes684[[#This Row],[CUIT]]="","-",VLOOKUP(ventas_b_mes684[[#This Row],[CUIT]],Lista_CUIT[#All],2,0)),"CUIT NO CARGADO")</f>
        <v>-</v>
      </c>
      <c r="H782" s="64"/>
      <c r="I782" s="64">
        <f>ventas_b_mes684[[#This Row],[IMPORTE NETO]]*0.21</f>
        <v>0</v>
      </c>
      <c r="J782" s="64"/>
      <c r="K782" s="64"/>
      <c r="L782" s="64">
        <f>SUM(ventas_b_mes684[[#This Row],[IMPORTE NETO]:[EXENTO]])</f>
        <v>0</v>
      </c>
      <c r="M782" s="59"/>
    </row>
    <row r="783" spans="2:13" x14ac:dyDescent="0.25">
      <c r="B783" s="40"/>
      <c r="C783" s="41"/>
      <c r="D783" s="42"/>
      <c r="E783" s="43"/>
      <c r="F783" s="44"/>
      <c r="G783" s="1" t="str">
        <f>IFERROR(IF(ventas_b_mes684[[#This Row],[CUIT]]="","-",VLOOKUP(ventas_b_mes684[[#This Row],[CUIT]],Lista_CUIT[#All],2,0)),"CUIT NO CARGADO")</f>
        <v>-</v>
      </c>
      <c r="H783" s="64"/>
      <c r="I783" s="64">
        <f>ventas_b_mes684[[#This Row],[IMPORTE NETO]]*0.21</f>
        <v>0</v>
      </c>
      <c r="J783" s="64"/>
      <c r="K783" s="64"/>
      <c r="L783" s="64">
        <f>SUM(ventas_b_mes684[[#This Row],[IMPORTE NETO]:[EXENTO]])</f>
        <v>0</v>
      </c>
      <c r="M783" s="59"/>
    </row>
    <row r="784" spans="2:13" x14ac:dyDescent="0.25">
      <c r="B784" s="40"/>
      <c r="C784" s="41"/>
      <c r="D784" s="42"/>
      <c r="E784" s="43"/>
      <c r="F784" s="44"/>
      <c r="G784" s="1" t="str">
        <f>IFERROR(IF(ventas_b_mes684[[#This Row],[CUIT]]="","-",VLOOKUP(ventas_b_mes684[[#This Row],[CUIT]],Lista_CUIT[#All],2,0)),"CUIT NO CARGADO")</f>
        <v>-</v>
      </c>
      <c r="H784" s="64"/>
      <c r="I784" s="64">
        <f>ventas_b_mes684[[#This Row],[IMPORTE NETO]]*0.21</f>
        <v>0</v>
      </c>
      <c r="J784" s="64"/>
      <c r="K784" s="64"/>
      <c r="L784" s="64">
        <f>SUM(ventas_b_mes684[[#This Row],[IMPORTE NETO]:[EXENTO]])</f>
        <v>0</v>
      </c>
      <c r="M784" s="59"/>
    </row>
    <row r="785" spans="2:13" x14ac:dyDescent="0.25">
      <c r="B785" s="40"/>
      <c r="C785" s="41"/>
      <c r="D785" s="42"/>
      <c r="E785" s="43"/>
      <c r="F785" s="44"/>
      <c r="G785" s="1" t="str">
        <f>IFERROR(IF(ventas_b_mes684[[#This Row],[CUIT]]="","-",VLOOKUP(ventas_b_mes684[[#This Row],[CUIT]],Lista_CUIT[#All],2,0)),"CUIT NO CARGADO")</f>
        <v>-</v>
      </c>
      <c r="H785" s="64"/>
      <c r="I785" s="64">
        <f>ventas_b_mes684[[#This Row],[IMPORTE NETO]]*0.21</f>
        <v>0</v>
      </c>
      <c r="J785" s="64"/>
      <c r="K785" s="64"/>
      <c r="L785" s="64">
        <f>SUM(ventas_b_mes684[[#This Row],[IMPORTE NETO]:[EXENTO]])</f>
        <v>0</v>
      </c>
      <c r="M785" s="59"/>
    </row>
    <row r="786" spans="2:13" x14ac:dyDescent="0.25">
      <c r="B786" s="40"/>
      <c r="C786" s="41"/>
      <c r="D786" s="42"/>
      <c r="E786" s="43"/>
      <c r="F786" s="44"/>
      <c r="G786" s="1" t="str">
        <f>IFERROR(IF(ventas_b_mes684[[#This Row],[CUIT]]="","-",VLOOKUP(ventas_b_mes684[[#This Row],[CUIT]],Lista_CUIT[#All],2,0)),"CUIT NO CARGADO")</f>
        <v>-</v>
      </c>
      <c r="H786" s="64"/>
      <c r="I786" s="64">
        <f>ventas_b_mes684[[#This Row],[IMPORTE NETO]]*0.21</f>
        <v>0</v>
      </c>
      <c r="J786" s="64"/>
      <c r="K786" s="64"/>
      <c r="L786" s="64">
        <f>SUM(ventas_b_mes684[[#This Row],[IMPORTE NETO]:[EXENTO]])</f>
        <v>0</v>
      </c>
      <c r="M786" s="59"/>
    </row>
    <row r="787" spans="2:13" x14ac:dyDescent="0.25">
      <c r="B787" s="40"/>
      <c r="C787" s="41"/>
      <c r="D787" s="42"/>
      <c r="E787" s="43"/>
      <c r="F787" s="44"/>
      <c r="G787" s="1" t="str">
        <f>IFERROR(IF(ventas_b_mes684[[#This Row],[CUIT]]="","-",VLOOKUP(ventas_b_mes684[[#This Row],[CUIT]],Lista_CUIT[#All],2,0)),"CUIT NO CARGADO")</f>
        <v>-</v>
      </c>
      <c r="H787" s="64"/>
      <c r="I787" s="64">
        <f>ventas_b_mes684[[#This Row],[IMPORTE NETO]]*0.21</f>
        <v>0</v>
      </c>
      <c r="J787" s="64"/>
      <c r="K787" s="64"/>
      <c r="L787" s="64">
        <f>SUM(ventas_b_mes684[[#This Row],[IMPORTE NETO]:[EXENTO]])</f>
        <v>0</v>
      </c>
      <c r="M787" s="59"/>
    </row>
    <row r="788" spans="2:13" x14ac:dyDescent="0.25">
      <c r="B788" s="40"/>
      <c r="C788" s="41"/>
      <c r="D788" s="42"/>
      <c r="E788" s="43"/>
      <c r="F788" s="44"/>
      <c r="G788" s="1" t="str">
        <f>IFERROR(IF(ventas_b_mes684[[#This Row],[CUIT]]="","-",VLOOKUP(ventas_b_mes684[[#This Row],[CUIT]],Lista_CUIT[#All],2,0)),"CUIT NO CARGADO")</f>
        <v>-</v>
      </c>
      <c r="H788" s="64"/>
      <c r="I788" s="64">
        <f>ventas_b_mes684[[#This Row],[IMPORTE NETO]]*0.21</f>
        <v>0</v>
      </c>
      <c r="J788" s="64"/>
      <c r="K788" s="64"/>
      <c r="L788" s="64">
        <f>SUM(ventas_b_mes684[[#This Row],[IMPORTE NETO]:[EXENTO]])</f>
        <v>0</v>
      </c>
      <c r="M788" s="59"/>
    </row>
    <row r="789" spans="2:13" x14ac:dyDescent="0.25">
      <c r="B789" s="40"/>
      <c r="C789" s="41"/>
      <c r="D789" s="42"/>
      <c r="E789" s="43"/>
      <c r="F789" s="44"/>
      <c r="G789" s="1" t="str">
        <f>IFERROR(IF(ventas_b_mes684[[#This Row],[CUIT]]="","-",VLOOKUP(ventas_b_mes684[[#This Row],[CUIT]],Lista_CUIT[#All],2,0)),"CUIT NO CARGADO")</f>
        <v>-</v>
      </c>
      <c r="H789" s="64"/>
      <c r="I789" s="64">
        <f>ventas_b_mes684[[#This Row],[IMPORTE NETO]]*0.21</f>
        <v>0</v>
      </c>
      <c r="J789" s="64"/>
      <c r="K789" s="64"/>
      <c r="L789" s="64">
        <f>SUM(ventas_b_mes684[[#This Row],[IMPORTE NETO]:[EXENTO]])</f>
        <v>0</v>
      </c>
      <c r="M789" s="59"/>
    </row>
    <row r="790" spans="2:13" x14ac:dyDescent="0.25">
      <c r="B790" s="40"/>
      <c r="C790" s="41"/>
      <c r="D790" s="42"/>
      <c r="E790" s="43"/>
      <c r="F790" s="44"/>
      <c r="G790" s="1" t="str">
        <f>IFERROR(IF(ventas_b_mes684[[#This Row],[CUIT]]="","-",VLOOKUP(ventas_b_mes684[[#This Row],[CUIT]],Lista_CUIT[#All],2,0)),"CUIT NO CARGADO")</f>
        <v>-</v>
      </c>
      <c r="H790" s="64"/>
      <c r="I790" s="64">
        <f>ventas_b_mes684[[#This Row],[IMPORTE NETO]]*0.21</f>
        <v>0</v>
      </c>
      <c r="J790" s="64"/>
      <c r="K790" s="64"/>
      <c r="L790" s="64">
        <f>SUM(ventas_b_mes684[[#This Row],[IMPORTE NETO]:[EXENTO]])</f>
        <v>0</v>
      </c>
      <c r="M790" s="59"/>
    </row>
    <row r="791" spans="2:13" x14ac:dyDescent="0.25">
      <c r="B791" s="40"/>
      <c r="C791" s="41"/>
      <c r="D791" s="42"/>
      <c r="E791" s="43"/>
      <c r="F791" s="44"/>
      <c r="G791" s="1" t="str">
        <f>IFERROR(IF(ventas_b_mes684[[#This Row],[CUIT]]="","-",VLOOKUP(ventas_b_mes684[[#This Row],[CUIT]],Lista_CUIT[#All],2,0)),"CUIT NO CARGADO")</f>
        <v>-</v>
      </c>
      <c r="H791" s="64"/>
      <c r="I791" s="64">
        <f>ventas_b_mes684[[#This Row],[IMPORTE NETO]]*0.21</f>
        <v>0</v>
      </c>
      <c r="J791" s="64"/>
      <c r="K791" s="64"/>
      <c r="L791" s="64">
        <f>SUM(ventas_b_mes684[[#This Row],[IMPORTE NETO]:[EXENTO]])</f>
        <v>0</v>
      </c>
      <c r="M791" s="59"/>
    </row>
    <row r="792" spans="2:13" x14ac:dyDescent="0.25">
      <c r="B792" s="40"/>
      <c r="C792" s="41"/>
      <c r="D792" s="42"/>
      <c r="E792" s="43"/>
      <c r="F792" s="44"/>
      <c r="G792" s="1" t="str">
        <f>IFERROR(IF(ventas_b_mes684[[#This Row],[CUIT]]="","-",VLOOKUP(ventas_b_mes684[[#This Row],[CUIT]],Lista_CUIT[#All],2,0)),"CUIT NO CARGADO")</f>
        <v>-</v>
      </c>
      <c r="H792" s="64"/>
      <c r="I792" s="64">
        <f>ventas_b_mes684[[#This Row],[IMPORTE NETO]]*0.21</f>
        <v>0</v>
      </c>
      <c r="J792" s="64"/>
      <c r="K792" s="64"/>
      <c r="L792" s="64">
        <f>SUM(ventas_b_mes684[[#This Row],[IMPORTE NETO]:[EXENTO]])</f>
        <v>0</v>
      </c>
      <c r="M792" s="59"/>
    </row>
    <row r="793" spans="2:13" x14ac:dyDescent="0.25">
      <c r="B793" s="40"/>
      <c r="C793" s="41"/>
      <c r="D793" s="42"/>
      <c r="E793" s="43"/>
      <c r="F793" s="44"/>
      <c r="G793" s="1" t="str">
        <f>IFERROR(IF(ventas_b_mes684[[#This Row],[CUIT]]="","-",VLOOKUP(ventas_b_mes684[[#This Row],[CUIT]],Lista_CUIT[#All],2,0)),"CUIT NO CARGADO")</f>
        <v>-</v>
      </c>
      <c r="H793" s="64"/>
      <c r="I793" s="64">
        <f>ventas_b_mes684[[#This Row],[IMPORTE NETO]]*0.21</f>
        <v>0</v>
      </c>
      <c r="J793" s="64"/>
      <c r="K793" s="64"/>
      <c r="L793" s="64">
        <f>SUM(ventas_b_mes684[[#This Row],[IMPORTE NETO]:[EXENTO]])</f>
        <v>0</v>
      </c>
      <c r="M793" s="59"/>
    </row>
    <row r="794" spans="2:13" x14ac:dyDescent="0.25">
      <c r="B794" s="40"/>
      <c r="C794" s="41"/>
      <c r="D794" s="42"/>
      <c r="E794" s="43"/>
      <c r="F794" s="44"/>
      <c r="G794" s="1" t="str">
        <f>IFERROR(IF(ventas_b_mes684[[#This Row],[CUIT]]="","-",VLOOKUP(ventas_b_mes684[[#This Row],[CUIT]],Lista_CUIT[#All],2,0)),"CUIT NO CARGADO")</f>
        <v>-</v>
      </c>
      <c r="H794" s="64"/>
      <c r="I794" s="64">
        <f>ventas_b_mes684[[#This Row],[IMPORTE NETO]]*0.21</f>
        <v>0</v>
      </c>
      <c r="J794" s="64"/>
      <c r="K794" s="64"/>
      <c r="L794" s="64">
        <f>SUM(ventas_b_mes684[[#This Row],[IMPORTE NETO]:[EXENTO]])</f>
        <v>0</v>
      </c>
      <c r="M794" s="59"/>
    </row>
    <row r="795" spans="2:13" x14ac:dyDescent="0.25">
      <c r="B795" s="40"/>
      <c r="C795" s="41"/>
      <c r="D795" s="42"/>
      <c r="E795" s="43"/>
      <c r="F795" s="44"/>
      <c r="G795" s="1" t="str">
        <f>IFERROR(IF(ventas_b_mes684[[#This Row],[CUIT]]="","-",VLOOKUP(ventas_b_mes684[[#This Row],[CUIT]],Lista_CUIT[#All],2,0)),"CUIT NO CARGADO")</f>
        <v>-</v>
      </c>
      <c r="H795" s="64"/>
      <c r="I795" s="64">
        <f>ventas_b_mes684[[#This Row],[IMPORTE NETO]]*0.21</f>
        <v>0</v>
      </c>
      <c r="J795" s="64"/>
      <c r="K795" s="64"/>
      <c r="L795" s="64">
        <f>SUM(ventas_b_mes684[[#This Row],[IMPORTE NETO]:[EXENTO]])</f>
        <v>0</v>
      </c>
      <c r="M795" s="59"/>
    </row>
    <row r="796" spans="2:13" x14ac:dyDescent="0.25">
      <c r="B796" s="40"/>
      <c r="C796" s="41"/>
      <c r="D796" s="42"/>
      <c r="E796" s="43"/>
      <c r="F796" s="44"/>
      <c r="G796" s="1" t="str">
        <f>IFERROR(IF(ventas_b_mes684[[#This Row],[CUIT]]="","-",VLOOKUP(ventas_b_mes684[[#This Row],[CUIT]],Lista_CUIT[#All],2,0)),"CUIT NO CARGADO")</f>
        <v>-</v>
      </c>
      <c r="H796" s="64"/>
      <c r="I796" s="64">
        <f>ventas_b_mes684[[#This Row],[IMPORTE NETO]]*0.21</f>
        <v>0</v>
      </c>
      <c r="J796" s="64"/>
      <c r="K796" s="64"/>
      <c r="L796" s="64">
        <f>SUM(ventas_b_mes684[[#This Row],[IMPORTE NETO]:[EXENTO]])</f>
        <v>0</v>
      </c>
      <c r="M796" s="59"/>
    </row>
    <row r="797" spans="2:13" x14ac:dyDescent="0.25">
      <c r="B797" s="40"/>
      <c r="C797" s="41"/>
      <c r="D797" s="42"/>
      <c r="E797" s="43"/>
      <c r="F797" s="44"/>
      <c r="G797" s="1" t="str">
        <f>IFERROR(IF(ventas_b_mes684[[#This Row],[CUIT]]="","-",VLOOKUP(ventas_b_mes684[[#This Row],[CUIT]],Lista_CUIT[#All],2,0)),"CUIT NO CARGADO")</f>
        <v>-</v>
      </c>
      <c r="H797" s="64"/>
      <c r="I797" s="64">
        <f>ventas_b_mes684[[#This Row],[IMPORTE NETO]]*0.21</f>
        <v>0</v>
      </c>
      <c r="J797" s="64"/>
      <c r="K797" s="64"/>
      <c r="L797" s="64">
        <f>SUM(ventas_b_mes684[[#This Row],[IMPORTE NETO]:[EXENTO]])</f>
        <v>0</v>
      </c>
      <c r="M797" s="59"/>
    </row>
    <row r="798" spans="2:13" x14ac:dyDescent="0.25">
      <c r="B798" s="40"/>
      <c r="C798" s="41"/>
      <c r="D798" s="42"/>
      <c r="E798" s="43"/>
      <c r="F798" s="44"/>
      <c r="G798" s="1" t="str">
        <f>IFERROR(IF(ventas_b_mes684[[#This Row],[CUIT]]="","-",VLOOKUP(ventas_b_mes684[[#This Row],[CUIT]],Lista_CUIT[#All],2,0)),"CUIT NO CARGADO")</f>
        <v>-</v>
      </c>
      <c r="H798" s="64"/>
      <c r="I798" s="64">
        <f>ventas_b_mes684[[#This Row],[IMPORTE NETO]]*0.21</f>
        <v>0</v>
      </c>
      <c r="J798" s="64"/>
      <c r="K798" s="64"/>
      <c r="L798" s="64">
        <f>SUM(ventas_b_mes684[[#This Row],[IMPORTE NETO]:[EXENTO]])</f>
        <v>0</v>
      </c>
      <c r="M798" s="59"/>
    </row>
    <row r="799" spans="2:13" x14ac:dyDescent="0.25">
      <c r="B799" s="40"/>
      <c r="C799" s="41"/>
      <c r="D799" s="42"/>
      <c r="E799" s="43"/>
      <c r="F799" s="44"/>
      <c r="G799" s="1" t="str">
        <f>IFERROR(IF(ventas_b_mes684[[#This Row],[CUIT]]="","-",VLOOKUP(ventas_b_mes684[[#This Row],[CUIT]],Lista_CUIT[#All],2,0)),"CUIT NO CARGADO")</f>
        <v>-</v>
      </c>
      <c r="H799" s="64"/>
      <c r="I799" s="64">
        <f>ventas_b_mes684[[#This Row],[IMPORTE NETO]]*0.21</f>
        <v>0</v>
      </c>
      <c r="J799" s="64"/>
      <c r="K799" s="64"/>
      <c r="L799" s="64">
        <f>SUM(ventas_b_mes684[[#This Row],[IMPORTE NETO]:[EXENTO]])</f>
        <v>0</v>
      </c>
      <c r="M799" s="59"/>
    </row>
    <row r="800" spans="2:13" x14ac:dyDescent="0.25">
      <c r="B800" s="40"/>
      <c r="C800" s="41"/>
      <c r="D800" s="42"/>
      <c r="E800" s="43"/>
      <c r="F800" s="44"/>
      <c r="G800" s="1" t="str">
        <f>IFERROR(IF(ventas_b_mes684[[#This Row],[CUIT]]="","-",VLOOKUP(ventas_b_mes684[[#This Row],[CUIT]],Lista_CUIT[#All],2,0)),"CUIT NO CARGADO")</f>
        <v>-</v>
      </c>
      <c r="H800" s="64"/>
      <c r="I800" s="64">
        <f>ventas_b_mes684[[#This Row],[IMPORTE NETO]]*0.21</f>
        <v>0</v>
      </c>
      <c r="J800" s="64"/>
      <c r="K800" s="64"/>
      <c r="L800" s="64">
        <f>SUM(ventas_b_mes684[[#This Row],[IMPORTE NETO]:[EXENTO]])</f>
        <v>0</v>
      </c>
      <c r="M800" s="59"/>
    </row>
    <row r="801" spans="2:13" x14ac:dyDescent="0.25">
      <c r="B801" s="40"/>
      <c r="C801" s="41"/>
      <c r="D801" s="42"/>
      <c r="E801" s="43"/>
      <c r="F801" s="44"/>
      <c r="G801" s="1" t="str">
        <f>IFERROR(IF(ventas_b_mes684[[#This Row],[CUIT]]="","-",VLOOKUP(ventas_b_mes684[[#This Row],[CUIT]],Lista_CUIT[#All],2,0)),"CUIT NO CARGADO")</f>
        <v>-</v>
      </c>
      <c r="H801" s="64"/>
      <c r="I801" s="64">
        <f>ventas_b_mes684[[#This Row],[IMPORTE NETO]]*0.21</f>
        <v>0</v>
      </c>
      <c r="J801" s="64"/>
      <c r="K801" s="64"/>
      <c r="L801" s="64">
        <f>SUM(ventas_b_mes684[[#This Row],[IMPORTE NETO]:[EXENTO]])</f>
        <v>0</v>
      </c>
      <c r="M801" s="59"/>
    </row>
    <row r="802" spans="2:13" x14ac:dyDescent="0.25">
      <c r="B802" s="40"/>
      <c r="C802" s="41"/>
      <c r="D802" s="42"/>
      <c r="E802" s="43"/>
      <c r="F802" s="44"/>
      <c r="G802" s="1" t="str">
        <f>IFERROR(IF(ventas_b_mes684[[#This Row],[CUIT]]="","-",VLOOKUP(ventas_b_mes684[[#This Row],[CUIT]],Lista_CUIT[#All],2,0)),"CUIT NO CARGADO")</f>
        <v>-</v>
      </c>
      <c r="H802" s="64"/>
      <c r="I802" s="64">
        <f>ventas_b_mes684[[#This Row],[IMPORTE NETO]]*0.21</f>
        <v>0</v>
      </c>
      <c r="J802" s="64"/>
      <c r="K802" s="64"/>
      <c r="L802" s="64">
        <f>SUM(ventas_b_mes684[[#This Row],[IMPORTE NETO]:[EXENTO]])</f>
        <v>0</v>
      </c>
      <c r="M802" s="59"/>
    </row>
    <row r="803" spans="2:13" x14ac:dyDescent="0.25">
      <c r="B803" s="40"/>
      <c r="C803" s="41"/>
      <c r="D803" s="42"/>
      <c r="E803" s="43"/>
      <c r="F803" s="44"/>
      <c r="G803" s="1" t="str">
        <f>IFERROR(IF(ventas_b_mes684[[#This Row],[CUIT]]="","-",VLOOKUP(ventas_b_mes684[[#This Row],[CUIT]],Lista_CUIT[#All],2,0)),"CUIT NO CARGADO")</f>
        <v>-</v>
      </c>
      <c r="H803" s="64"/>
      <c r="I803" s="64">
        <f>ventas_b_mes684[[#This Row],[IMPORTE NETO]]*0.21</f>
        <v>0</v>
      </c>
      <c r="J803" s="64"/>
      <c r="K803" s="64"/>
      <c r="L803" s="64">
        <f>SUM(ventas_b_mes684[[#This Row],[IMPORTE NETO]:[EXENTO]])</f>
        <v>0</v>
      </c>
      <c r="M803" s="59"/>
    </row>
    <row r="804" spans="2:13" x14ac:dyDescent="0.25">
      <c r="B804" s="40"/>
      <c r="C804" s="41"/>
      <c r="D804" s="42"/>
      <c r="E804" s="43"/>
      <c r="F804" s="44"/>
      <c r="G804" s="1" t="str">
        <f>IFERROR(IF(ventas_b_mes684[[#This Row],[CUIT]]="","-",VLOOKUP(ventas_b_mes684[[#This Row],[CUIT]],Lista_CUIT[#All],2,0)),"CUIT NO CARGADO")</f>
        <v>-</v>
      </c>
      <c r="H804" s="64"/>
      <c r="I804" s="64">
        <f>ventas_b_mes684[[#This Row],[IMPORTE NETO]]*0.21</f>
        <v>0</v>
      </c>
      <c r="J804" s="64"/>
      <c r="K804" s="64"/>
      <c r="L804" s="64">
        <f>SUM(ventas_b_mes684[[#This Row],[IMPORTE NETO]:[EXENTO]])</f>
        <v>0</v>
      </c>
      <c r="M804" s="59"/>
    </row>
    <row r="805" spans="2:13" x14ac:dyDescent="0.25">
      <c r="B805" s="40"/>
      <c r="C805" s="41"/>
      <c r="D805" s="42"/>
      <c r="E805" s="43"/>
      <c r="F805" s="44"/>
      <c r="G805" s="1" t="str">
        <f>IFERROR(IF(ventas_b_mes684[[#This Row],[CUIT]]="","-",VLOOKUP(ventas_b_mes684[[#This Row],[CUIT]],Lista_CUIT[#All],2,0)),"CUIT NO CARGADO")</f>
        <v>-</v>
      </c>
      <c r="H805" s="64"/>
      <c r="I805" s="64">
        <f>ventas_b_mes684[[#This Row],[IMPORTE NETO]]*0.21</f>
        <v>0</v>
      </c>
      <c r="J805" s="64"/>
      <c r="K805" s="64"/>
      <c r="L805" s="64">
        <f>SUM(ventas_b_mes684[[#This Row],[IMPORTE NETO]:[EXENTO]])</f>
        <v>0</v>
      </c>
      <c r="M805" s="59"/>
    </row>
    <row r="806" spans="2:13" x14ac:dyDescent="0.25">
      <c r="B806" s="40"/>
      <c r="C806" s="41"/>
      <c r="D806" s="42"/>
      <c r="E806" s="43"/>
      <c r="F806" s="44"/>
      <c r="G806" s="1" t="str">
        <f>IFERROR(IF(ventas_b_mes684[[#This Row],[CUIT]]="","-",VLOOKUP(ventas_b_mes684[[#This Row],[CUIT]],Lista_CUIT[#All],2,0)),"CUIT NO CARGADO")</f>
        <v>-</v>
      </c>
      <c r="H806" s="64"/>
      <c r="I806" s="64">
        <f>ventas_b_mes684[[#This Row],[IMPORTE NETO]]*0.21</f>
        <v>0</v>
      </c>
      <c r="J806" s="64"/>
      <c r="K806" s="64"/>
      <c r="L806" s="64">
        <f>SUM(ventas_b_mes684[[#This Row],[IMPORTE NETO]:[EXENTO]])</f>
        <v>0</v>
      </c>
      <c r="M806" s="59"/>
    </row>
    <row r="807" spans="2:13" x14ac:dyDescent="0.25">
      <c r="B807" s="40"/>
      <c r="C807" s="41"/>
      <c r="D807" s="42"/>
      <c r="E807" s="43"/>
      <c r="F807" s="44"/>
      <c r="G807" s="1" t="str">
        <f>IFERROR(IF(ventas_b_mes684[[#This Row],[CUIT]]="","-",VLOOKUP(ventas_b_mes684[[#This Row],[CUIT]],Lista_CUIT[#All],2,0)),"CUIT NO CARGADO")</f>
        <v>-</v>
      </c>
      <c r="H807" s="64"/>
      <c r="I807" s="64">
        <f>ventas_b_mes684[[#This Row],[IMPORTE NETO]]*0.21</f>
        <v>0</v>
      </c>
      <c r="J807" s="64"/>
      <c r="K807" s="64"/>
      <c r="L807" s="64">
        <f>SUM(ventas_b_mes684[[#This Row],[IMPORTE NETO]:[EXENTO]])</f>
        <v>0</v>
      </c>
      <c r="M807" s="59"/>
    </row>
    <row r="808" spans="2:13" x14ac:dyDescent="0.25">
      <c r="B808" s="40"/>
      <c r="C808" s="41"/>
      <c r="D808" s="42"/>
      <c r="E808" s="43"/>
      <c r="F808" s="44"/>
      <c r="G808" s="1" t="str">
        <f>IFERROR(IF(ventas_b_mes684[[#This Row],[CUIT]]="","-",VLOOKUP(ventas_b_mes684[[#This Row],[CUIT]],Lista_CUIT[#All],2,0)),"CUIT NO CARGADO")</f>
        <v>-</v>
      </c>
      <c r="H808" s="64"/>
      <c r="I808" s="64">
        <f>ventas_b_mes684[[#This Row],[IMPORTE NETO]]*0.21</f>
        <v>0</v>
      </c>
      <c r="J808" s="64"/>
      <c r="K808" s="64"/>
      <c r="L808" s="64">
        <f>SUM(ventas_b_mes684[[#This Row],[IMPORTE NETO]:[EXENTO]])</f>
        <v>0</v>
      </c>
      <c r="M808" s="59"/>
    </row>
    <row r="809" spans="2:13" x14ac:dyDescent="0.25">
      <c r="B809" s="40"/>
      <c r="C809" s="41"/>
      <c r="D809" s="42"/>
      <c r="E809" s="43"/>
      <c r="F809" s="44"/>
      <c r="G809" s="1" t="str">
        <f>IFERROR(IF(ventas_b_mes684[[#This Row],[CUIT]]="","-",VLOOKUP(ventas_b_mes684[[#This Row],[CUIT]],Lista_CUIT[#All],2,0)),"CUIT NO CARGADO")</f>
        <v>-</v>
      </c>
      <c r="H809" s="64"/>
      <c r="I809" s="64">
        <f>ventas_b_mes684[[#This Row],[IMPORTE NETO]]*0.21</f>
        <v>0</v>
      </c>
      <c r="J809" s="64"/>
      <c r="K809" s="64"/>
      <c r="L809" s="64">
        <f>SUM(ventas_b_mes684[[#This Row],[IMPORTE NETO]:[EXENTO]])</f>
        <v>0</v>
      </c>
      <c r="M809" s="59"/>
    </row>
    <row r="810" spans="2:13" x14ac:dyDescent="0.25">
      <c r="B810" s="40"/>
      <c r="C810" s="41"/>
      <c r="D810" s="42"/>
      <c r="E810" s="43"/>
      <c r="F810" s="44"/>
      <c r="G810" s="1" t="str">
        <f>IFERROR(IF(ventas_b_mes684[[#This Row],[CUIT]]="","-",VLOOKUP(ventas_b_mes684[[#This Row],[CUIT]],Lista_CUIT[#All],2,0)),"CUIT NO CARGADO")</f>
        <v>-</v>
      </c>
      <c r="H810" s="64"/>
      <c r="I810" s="64">
        <f>ventas_b_mes684[[#This Row],[IMPORTE NETO]]*0.21</f>
        <v>0</v>
      </c>
      <c r="J810" s="64"/>
      <c r="K810" s="64"/>
      <c r="L810" s="64">
        <f>SUM(ventas_b_mes684[[#This Row],[IMPORTE NETO]:[EXENTO]])</f>
        <v>0</v>
      </c>
      <c r="M810" s="59"/>
    </row>
    <row r="811" spans="2:13" x14ac:dyDescent="0.25">
      <c r="B811" s="40"/>
      <c r="C811" s="41"/>
      <c r="D811" s="42"/>
      <c r="E811" s="43"/>
      <c r="F811" s="44"/>
      <c r="G811" s="1" t="str">
        <f>IFERROR(IF(ventas_b_mes684[[#This Row],[CUIT]]="","-",VLOOKUP(ventas_b_mes684[[#This Row],[CUIT]],Lista_CUIT[#All],2,0)),"CUIT NO CARGADO")</f>
        <v>-</v>
      </c>
      <c r="H811" s="64"/>
      <c r="I811" s="64">
        <f>ventas_b_mes684[[#This Row],[IMPORTE NETO]]*0.21</f>
        <v>0</v>
      </c>
      <c r="J811" s="64"/>
      <c r="K811" s="64"/>
      <c r="L811" s="64">
        <f>SUM(ventas_b_mes684[[#This Row],[IMPORTE NETO]:[EXENTO]])</f>
        <v>0</v>
      </c>
      <c r="M811" s="59"/>
    </row>
    <row r="812" spans="2:13" x14ac:dyDescent="0.25">
      <c r="B812" s="40"/>
      <c r="C812" s="41"/>
      <c r="D812" s="42"/>
      <c r="E812" s="43"/>
      <c r="F812" s="44"/>
      <c r="G812" s="1" t="str">
        <f>IFERROR(IF(ventas_b_mes684[[#This Row],[CUIT]]="","-",VLOOKUP(ventas_b_mes684[[#This Row],[CUIT]],Lista_CUIT[#All],2,0)),"CUIT NO CARGADO")</f>
        <v>-</v>
      </c>
      <c r="H812" s="64"/>
      <c r="I812" s="64">
        <f>ventas_b_mes684[[#This Row],[IMPORTE NETO]]*0.21</f>
        <v>0</v>
      </c>
      <c r="J812" s="64"/>
      <c r="K812" s="64"/>
      <c r="L812" s="64">
        <f>SUM(ventas_b_mes684[[#This Row],[IMPORTE NETO]:[EXENTO]])</f>
        <v>0</v>
      </c>
      <c r="M812" s="59"/>
    </row>
    <row r="813" spans="2:13" x14ac:dyDescent="0.25">
      <c r="B813" s="40"/>
      <c r="C813" s="41"/>
      <c r="D813" s="42"/>
      <c r="E813" s="43"/>
      <c r="F813" s="44"/>
      <c r="G813" s="1" t="str">
        <f>IFERROR(IF(ventas_b_mes684[[#This Row],[CUIT]]="","-",VLOOKUP(ventas_b_mes684[[#This Row],[CUIT]],Lista_CUIT[#All],2,0)),"CUIT NO CARGADO")</f>
        <v>-</v>
      </c>
      <c r="H813" s="64"/>
      <c r="I813" s="64">
        <f>ventas_b_mes684[[#This Row],[IMPORTE NETO]]*0.21</f>
        <v>0</v>
      </c>
      <c r="J813" s="64"/>
      <c r="K813" s="64"/>
      <c r="L813" s="64">
        <f>SUM(ventas_b_mes684[[#This Row],[IMPORTE NETO]:[EXENTO]])</f>
        <v>0</v>
      </c>
      <c r="M813" s="59"/>
    </row>
    <row r="814" spans="2:13" x14ac:dyDescent="0.25">
      <c r="B814" s="40"/>
      <c r="C814" s="41"/>
      <c r="D814" s="42"/>
      <c r="E814" s="43"/>
      <c r="F814" s="44"/>
      <c r="G814" s="1" t="str">
        <f>IFERROR(IF(ventas_b_mes684[[#This Row],[CUIT]]="","-",VLOOKUP(ventas_b_mes684[[#This Row],[CUIT]],Lista_CUIT[#All],2,0)),"CUIT NO CARGADO")</f>
        <v>-</v>
      </c>
      <c r="H814" s="64"/>
      <c r="I814" s="64">
        <f>ventas_b_mes684[[#This Row],[IMPORTE NETO]]*0.21</f>
        <v>0</v>
      </c>
      <c r="J814" s="64"/>
      <c r="K814" s="64"/>
      <c r="L814" s="64">
        <f>SUM(ventas_b_mes684[[#This Row],[IMPORTE NETO]:[EXENTO]])</f>
        <v>0</v>
      </c>
      <c r="M814" s="59"/>
    </row>
    <row r="815" spans="2:13" x14ac:dyDescent="0.25">
      <c r="B815" s="40"/>
      <c r="C815" s="41"/>
      <c r="D815" s="42"/>
      <c r="E815" s="43"/>
      <c r="F815" s="44"/>
      <c r="G815" s="1" t="str">
        <f>IFERROR(IF(ventas_b_mes684[[#This Row],[CUIT]]="","-",VLOOKUP(ventas_b_mes684[[#This Row],[CUIT]],Lista_CUIT[#All],2,0)),"CUIT NO CARGADO")</f>
        <v>-</v>
      </c>
      <c r="H815" s="64"/>
      <c r="I815" s="64">
        <f>ventas_b_mes684[[#This Row],[IMPORTE NETO]]*0.21</f>
        <v>0</v>
      </c>
      <c r="J815" s="64"/>
      <c r="K815" s="64"/>
      <c r="L815" s="64">
        <f>SUM(ventas_b_mes684[[#This Row],[IMPORTE NETO]:[EXENTO]])</f>
        <v>0</v>
      </c>
      <c r="M815" s="59"/>
    </row>
    <row r="816" spans="2:13" x14ac:dyDescent="0.25">
      <c r="B816" s="40"/>
      <c r="C816" s="41"/>
      <c r="D816" s="42"/>
      <c r="E816" s="43"/>
      <c r="F816" s="44"/>
      <c r="G816" s="1" t="str">
        <f>IFERROR(IF(ventas_b_mes684[[#This Row],[CUIT]]="","-",VLOOKUP(ventas_b_mes684[[#This Row],[CUIT]],Lista_CUIT[#All],2,0)),"CUIT NO CARGADO")</f>
        <v>-</v>
      </c>
      <c r="H816" s="64"/>
      <c r="I816" s="64">
        <f>ventas_b_mes684[[#This Row],[IMPORTE NETO]]*0.21</f>
        <v>0</v>
      </c>
      <c r="J816" s="64"/>
      <c r="K816" s="64"/>
      <c r="L816" s="64">
        <f>SUM(ventas_b_mes684[[#This Row],[IMPORTE NETO]:[EXENTO]])</f>
        <v>0</v>
      </c>
      <c r="M816" s="59"/>
    </row>
    <row r="817" spans="2:13" x14ac:dyDescent="0.25">
      <c r="B817" s="40"/>
      <c r="C817" s="41"/>
      <c r="D817" s="42"/>
      <c r="E817" s="43"/>
      <c r="F817" s="44"/>
      <c r="G817" s="1" t="str">
        <f>IFERROR(IF(ventas_b_mes684[[#This Row],[CUIT]]="","-",VLOOKUP(ventas_b_mes684[[#This Row],[CUIT]],Lista_CUIT[#All],2,0)),"CUIT NO CARGADO")</f>
        <v>-</v>
      </c>
      <c r="H817" s="64"/>
      <c r="I817" s="64">
        <f>ventas_b_mes684[[#This Row],[IMPORTE NETO]]*0.21</f>
        <v>0</v>
      </c>
      <c r="J817" s="64"/>
      <c r="K817" s="64"/>
      <c r="L817" s="64">
        <f>SUM(ventas_b_mes684[[#This Row],[IMPORTE NETO]:[EXENTO]])</f>
        <v>0</v>
      </c>
      <c r="M817" s="59"/>
    </row>
    <row r="818" spans="2:13" x14ac:dyDescent="0.25">
      <c r="B818" s="40"/>
      <c r="C818" s="41"/>
      <c r="D818" s="42"/>
      <c r="E818" s="43"/>
      <c r="F818" s="44"/>
      <c r="G818" s="1" t="str">
        <f>IFERROR(IF(ventas_b_mes684[[#This Row],[CUIT]]="","-",VLOOKUP(ventas_b_mes684[[#This Row],[CUIT]],Lista_CUIT[#All],2,0)),"CUIT NO CARGADO")</f>
        <v>-</v>
      </c>
      <c r="H818" s="64"/>
      <c r="I818" s="64">
        <f>ventas_b_mes684[[#This Row],[IMPORTE NETO]]*0.21</f>
        <v>0</v>
      </c>
      <c r="J818" s="64"/>
      <c r="K818" s="64"/>
      <c r="L818" s="64">
        <f>SUM(ventas_b_mes684[[#This Row],[IMPORTE NETO]:[EXENTO]])</f>
        <v>0</v>
      </c>
      <c r="M818" s="59"/>
    </row>
    <row r="819" spans="2:13" x14ac:dyDescent="0.25">
      <c r="B819" s="40"/>
      <c r="C819" s="41"/>
      <c r="D819" s="42"/>
      <c r="E819" s="43"/>
      <c r="F819" s="44"/>
      <c r="G819" s="1" t="str">
        <f>IFERROR(IF(ventas_b_mes684[[#This Row],[CUIT]]="","-",VLOOKUP(ventas_b_mes684[[#This Row],[CUIT]],Lista_CUIT[#All],2,0)),"CUIT NO CARGADO")</f>
        <v>-</v>
      </c>
      <c r="H819" s="64"/>
      <c r="I819" s="64">
        <f>ventas_b_mes684[[#This Row],[IMPORTE NETO]]*0.21</f>
        <v>0</v>
      </c>
      <c r="J819" s="64"/>
      <c r="K819" s="64"/>
      <c r="L819" s="64">
        <f>SUM(ventas_b_mes684[[#This Row],[IMPORTE NETO]:[EXENTO]])</f>
        <v>0</v>
      </c>
      <c r="M819" s="59"/>
    </row>
    <row r="820" spans="2:13" x14ac:dyDescent="0.25">
      <c r="B820" s="40"/>
      <c r="C820" s="41"/>
      <c r="D820" s="42"/>
      <c r="E820" s="43"/>
      <c r="F820" s="44"/>
      <c r="G820" s="1" t="str">
        <f>IFERROR(IF(ventas_b_mes684[[#This Row],[CUIT]]="","-",VLOOKUP(ventas_b_mes684[[#This Row],[CUIT]],Lista_CUIT[#All],2,0)),"CUIT NO CARGADO")</f>
        <v>-</v>
      </c>
      <c r="H820" s="64"/>
      <c r="I820" s="64">
        <f>ventas_b_mes684[[#This Row],[IMPORTE NETO]]*0.21</f>
        <v>0</v>
      </c>
      <c r="J820" s="64"/>
      <c r="K820" s="64"/>
      <c r="L820" s="64">
        <f>SUM(ventas_b_mes684[[#This Row],[IMPORTE NETO]:[EXENTO]])</f>
        <v>0</v>
      </c>
      <c r="M820" s="59"/>
    </row>
    <row r="821" spans="2:13" x14ac:dyDescent="0.25">
      <c r="B821" s="40"/>
      <c r="C821" s="41"/>
      <c r="D821" s="42"/>
      <c r="E821" s="43"/>
      <c r="F821" s="44"/>
      <c r="G821" s="1" t="str">
        <f>IFERROR(IF(ventas_b_mes684[[#This Row],[CUIT]]="","-",VLOOKUP(ventas_b_mes684[[#This Row],[CUIT]],Lista_CUIT[#All],2,0)),"CUIT NO CARGADO")</f>
        <v>-</v>
      </c>
      <c r="H821" s="64"/>
      <c r="I821" s="64">
        <f>ventas_b_mes684[[#This Row],[IMPORTE NETO]]*0.21</f>
        <v>0</v>
      </c>
      <c r="J821" s="64"/>
      <c r="K821" s="64"/>
      <c r="L821" s="64">
        <f>SUM(ventas_b_mes684[[#This Row],[IMPORTE NETO]:[EXENTO]])</f>
        <v>0</v>
      </c>
      <c r="M821" s="59"/>
    </row>
    <row r="822" spans="2:13" x14ac:dyDescent="0.25">
      <c r="B822" s="40"/>
      <c r="C822" s="41"/>
      <c r="D822" s="42"/>
      <c r="E822" s="43"/>
      <c r="F822" s="44"/>
      <c r="G822" s="1" t="str">
        <f>IFERROR(IF(ventas_b_mes684[[#This Row],[CUIT]]="","-",VLOOKUP(ventas_b_mes684[[#This Row],[CUIT]],Lista_CUIT[#All],2,0)),"CUIT NO CARGADO")</f>
        <v>-</v>
      </c>
      <c r="H822" s="64"/>
      <c r="I822" s="64">
        <f>ventas_b_mes684[[#This Row],[IMPORTE NETO]]*0.21</f>
        <v>0</v>
      </c>
      <c r="J822" s="64"/>
      <c r="K822" s="64"/>
      <c r="L822" s="64">
        <f>SUM(ventas_b_mes684[[#This Row],[IMPORTE NETO]:[EXENTO]])</f>
        <v>0</v>
      </c>
      <c r="M822" s="59"/>
    </row>
    <row r="823" spans="2:13" x14ac:dyDescent="0.25">
      <c r="B823" s="40"/>
      <c r="C823" s="41"/>
      <c r="D823" s="42"/>
      <c r="E823" s="43"/>
      <c r="F823" s="44"/>
      <c r="G823" s="1" t="str">
        <f>IFERROR(IF(ventas_b_mes684[[#This Row],[CUIT]]="","-",VLOOKUP(ventas_b_mes684[[#This Row],[CUIT]],Lista_CUIT[#All],2,0)),"CUIT NO CARGADO")</f>
        <v>-</v>
      </c>
      <c r="H823" s="64"/>
      <c r="I823" s="64">
        <f>ventas_b_mes684[[#This Row],[IMPORTE NETO]]*0.21</f>
        <v>0</v>
      </c>
      <c r="J823" s="64"/>
      <c r="K823" s="64"/>
      <c r="L823" s="64">
        <f>SUM(ventas_b_mes684[[#This Row],[IMPORTE NETO]:[EXENTO]])</f>
        <v>0</v>
      </c>
      <c r="M823" s="59"/>
    </row>
    <row r="824" spans="2:13" x14ac:dyDescent="0.25">
      <c r="B824" s="40"/>
      <c r="C824" s="41"/>
      <c r="D824" s="42"/>
      <c r="E824" s="43"/>
      <c r="F824" s="44"/>
      <c r="G824" s="1" t="str">
        <f>IFERROR(IF(ventas_b_mes684[[#This Row],[CUIT]]="","-",VLOOKUP(ventas_b_mes684[[#This Row],[CUIT]],Lista_CUIT[#All],2,0)),"CUIT NO CARGADO")</f>
        <v>-</v>
      </c>
      <c r="H824" s="64"/>
      <c r="I824" s="64">
        <f>ventas_b_mes684[[#This Row],[IMPORTE NETO]]*0.21</f>
        <v>0</v>
      </c>
      <c r="J824" s="64"/>
      <c r="K824" s="64"/>
      <c r="L824" s="64">
        <f>SUM(ventas_b_mes684[[#This Row],[IMPORTE NETO]:[EXENTO]])</f>
        <v>0</v>
      </c>
      <c r="M824" s="59"/>
    </row>
    <row r="825" spans="2:13" x14ac:dyDescent="0.25">
      <c r="B825" s="40"/>
      <c r="C825" s="41"/>
      <c r="D825" s="42"/>
      <c r="E825" s="43"/>
      <c r="F825" s="44"/>
      <c r="G825" s="1" t="str">
        <f>IFERROR(IF(ventas_b_mes684[[#This Row],[CUIT]]="","-",VLOOKUP(ventas_b_mes684[[#This Row],[CUIT]],Lista_CUIT[#All],2,0)),"CUIT NO CARGADO")</f>
        <v>-</v>
      </c>
      <c r="H825" s="64"/>
      <c r="I825" s="64">
        <f>ventas_b_mes684[[#This Row],[IMPORTE NETO]]*0.21</f>
        <v>0</v>
      </c>
      <c r="J825" s="64"/>
      <c r="K825" s="64"/>
      <c r="L825" s="64">
        <f>SUM(ventas_b_mes684[[#This Row],[IMPORTE NETO]:[EXENTO]])</f>
        <v>0</v>
      </c>
      <c r="M825" s="59"/>
    </row>
    <row r="826" spans="2:13" x14ac:dyDescent="0.25">
      <c r="B826" s="40"/>
      <c r="C826" s="41"/>
      <c r="D826" s="42"/>
      <c r="E826" s="43"/>
      <c r="F826" s="44"/>
      <c r="G826" s="1" t="str">
        <f>IFERROR(IF(ventas_b_mes684[[#This Row],[CUIT]]="","-",VLOOKUP(ventas_b_mes684[[#This Row],[CUIT]],Lista_CUIT[#All],2,0)),"CUIT NO CARGADO")</f>
        <v>-</v>
      </c>
      <c r="H826" s="64"/>
      <c r="I826" s="64">
        <f>ventas_b_mes684[[#This Row],[IMPORTE NETO]]*0.21</f>
        <v>0</v>
      </c>
      <c r="J826" s="64"/>
      <c r="K826" s="64"/>
      <c r="L826" s="64">
        <f>SUM(ventas_b_mes684[[#This Row],[IMPORTE NETO]:[EXENTO]])</f>
        <v>0</v>
      </c>
      <c r="M826" s="59"/>
    </row>
    <row r="827" spans="2:13" x14ac:dyDescent="0.25">
      <c r="B827" s="40"/>
      <c r="C827" s="41"/>
      <c r="D827" s="42"/>
      <c r="E827" s="43"/>
      <c r="F827" s="44"/>
      <c r="G827" s="1" t="str">
        <f>IFERROR(IF(ventas_b_mes684[[#This Row],[CUIT]]="","-",VLOOKUP(ventas_b_mes684[[#This Row],[CUIT]],Lista_CUIT[#All],2,0)),"CUIT NO CARGADO")</f>
        <v>-</v>
      </c>
      <c r="H827" s="64"/>
      <c r="I827" s="64">
        <f>ventas_b_mes684[[#This Row],[IMPORTE NETO]]*0.21</f>
        <v>0</v>
      </c>
      <c r="J827" s="64"/>
      <c r="K827" s="64"/>
      <c r="L827" s="64">
        <f>SUM(ventas_b_mes684[[#This Row],[IMPORTE NETO]:[EXENTO]])</f>
        <v>0</v>
      </c>
      <c r="M827" s="59"/>
    </row>
    <row r="828" spans="2:13" x14ac:dyDescent="0.25">
      <c r="B828" s="40"/>
      <c r="C828" s="41"/>
      <c r="D828" s="42"/>
      <c r="E828" s="43"/>
      <c r="F828" s="44"/>
      <c r="G828" s="1" t="str">
        <f>IFERROR(IF(ventas_b_mes684[[#This Row],[CUIT]]="","-",VLOOKUP(ventas_b_mes684[[#This Row],[CUIT]],Lista_CUIT[#All],2,0)),"CUIT NO CARGADO")</f>
        <v>-</v>
      </c>
      <c r="H828" s="64"/>
      <c r="I828" s="64">
        <f>ventas_b_mes684[[#This Row],[IMPORTE NETO]]*0.21</f>
        <v>0</v>
      </c>
      <c r="J828" s="64"/>
      <c r="K828" s="64"/>
      <c r="L828" s="64">
        <f>SUM(ventas_b_mes684[[#This Row],[IMPORTE NETO]:[EXENTO]])</f>
        <v>0</v>
      </c>
      <c r="M828" s="59"/>
    </row>
    <row r="829" spans="2:13" x14ac:dyDescent="0.25">
      <c r="B829" s="40"/>
      <c r="C829" s="41"/>
      <c r="D829" s="42"/>
      <c r="E829" s="43"/>
      <c r="F829" s="44"/>
      <c r="G829" s="1" t="str">
        <f>IFERROR(IF(ventas_b_mes684[[#This Row],[CUIT]]="","-",VLOOKUP(ventas_b_mes684[[#This Row],[CUIT]],Lista_CUIT[#All],2,0)),"CUIT NO CARGADO")</f>
        <v>-</v>
      </c>
      <c r="H829" s="64"/>
      <c r="I829" s="64">
        <f>ventas_b_mes684[[#This Row],[IMPORTE NETO]]*0.21</f>
        <v>0</v>
      </c>
      <c r="J829" s="64"/>
      <c r="K829" s="64"/>
      <c r="L829" s="64">
        <f>SUM(ventas_b_mes684[[#This Row],[IMPORTE NETO]:[EXENTO]])</f>
        <v>0</v>
      </c>
      <c r="M829" s="59"/>
    </row>
    <row r="830" spans="2:13" x14ac:dyDescent="0.25">
      <c r="B830" s="40"/>
      <c r="C830" s="41"/>
      <c r="D830" s="42"/>
      <c r="E830" s="43"/>
      <c r="F830" s="44"/>
      <c r="G830" s="1" t="str">
        <f>IFERROR(IF(ventas_b_mes684[[#This Row],[CUIT]]="","-",VLOOKUP(ventas_b_mes684[[#This Row],[CUIT]],Lista_CUIT[#All],2,0)),"CUIT NO CARGADO")</f>
        <v>-</v>
      </c>
      <c r="H830" s="64"/>
      <c r="I830" s="64">
        <f>ventas_b_mes684[[#This Row],[IMPORTE NETO]]*0.21</f>
        <v>0</v>
      </c>
      <c r="J830" s="64"/>
      <c r="K830" s="64"/>
      <c r="L830" s="64">
        <f>SUM(ventas_b_mes684[[#This Row],[IMPORTE NETO]:[EXENTO]])</f>
        <v>0</v>
      </c>
      <c r="M830" s="59"/>
    </row>
    <row r="831" spans="2:13" x14ac:dyDescent="0.25">
      <c r="B831" s="40"/>
      <c r="C831" s="41"/>
      <c r="D831" s="42"/>
      <c r="E831" s="43"/>
      <c r="F831" s="44"/>
      <c r="G831" s="1" t="str">
        <f>IFERROR(IF(ventas_b_mes684[[#This Row],[CUIT]]="","-",VLOOKUP(ventas_b_mes684[[#This Row],[CUIT]],Lista_CUIT[#All],2,0)),"CUIT NO CARGADO")</f>
        <v>-</v>
      </c>
      <c r="H831" s="64"/>
      <c r="I831" s="64">
        <f>ventas_b_mes684[[#This Row],[IMPORTE NETO]]*0.21</f>
        <v>0</v>
      </c>
      <c r="J831" s="64"/>
      <c r="K831" s="64"/>
      <c r="L831" s="64">
        <f>SUM(ventas_b_mes684[[#This Row],[IMPORTE NETO]:[EXENTO]])</f>
        <v>0</v>
      </c>
      <c r="M831" s="59"/>
    </row>
    <row r="832" spans="2:13" x14ac:dyDescent="0.25">
      <c r="B832" s="40"/>
      <c r="C832" s="41"/>
      <c r="D832" s="42"/>
      <c r="E832" s="43"/>
      <c r="F832" s="44"/>
      <c r="G832" s="1" t="str">
        <f>IFERROR(IF(ventas_b_mes684[[#This Row],[CUIT]]="","-",VLOOKUP(ventas_b_mes684[[#This Row],[CUIT]],Lista_CUIT[#All],2,0)),"CUIT NO CARGADO")</f>
        <v>-</v>
      </c>
      <c r="H832" s="64"/>
      <c r="I832" s="64">
        <f>ventas_b_mes684[[#This Row],[IMPORTE NETO]]*0.21</f>
        <v>0</v>
      </c>
      <c r="J832" s="64"/>
      <c r="K832" s="64"/>
      <c r="L832" s="64">
        <f>SUM(ventas_b_mes684[[#This Row],[IMPORTE NETO]:[EXENTO]])</f>
        <v>0</v>
      </c>
      <c r="M832" s="59"/>
    </row>
    <row r="833" spans="2:13" x14ac:dyDescent="0.25">
      <c r="B833" s="40"/>
      <c r="C833" s="41"/>
      <c r="D833" s="42"/>
      <c r="E833" s="43"/>
      <c r="F833" s="44"/>
      <c r="G833" s="1" t="str">
        <f>IFERROR(IF(ventas_b_mes684[[#This Row],[CUIT]]="","-",VLOOKUP(ventas_b_mes684[[#This Row],[CUIT]],Lista_CUIT[#All],2,0)),"CUIT NO CARGADO")</f>
        <v>-</v>
      </c>
      <c r="H833" s="64"/>
      <c r="I833" s="64">
        <f>ventas_b_mes684[[#This Row],[IMPORTE NETO]]*0.21</f>
        <v>0</v>
      </c>
      <c r="J833" s="64"/>
      <c r="K833" s="64"/>
      <c r="L833" s="64">
        <f>SUM(ventas_b_mes684[[#This Row],[IMPORTE NETO]:[EXENTO]])</f>
        <v>0</v>
      </c>
      <c r="M833" s="59"/>
    </row>
    <row r="834" spans="2:13" x14ac:dyDescent="0.25">
      <c r="B834" s="40"/>
      <c r="C834" s="41"/>
      <c r="D834" s="42"/>
      <c r="E834" s="43"/>
      <c r="F834" s="44"/>
      <c r="G834" s="1" t="str">
        <f>IFERROR(IF(ventas_b_mes684[[#This Row],[CUIT]]="","-",VLOOKUP(ventas_b_mes684[[#This Row],[CUIT]],Lista_CUIT[#All],2,0)),"CUIT NO CARGADO")</f>
        <v>-</v>
      </c>
      <c r="H834" s="64"/>
      <c r="I834" s="64">
        <f>ventas_b_mes684[[#This Row],[IMPORTE NETO]]*0.21</f>
        <v>0</v>
      </c>
      <c r="J834" s="64"/>
      <c r="K834" s="64"/>
      <c r="L834" s="64">
        <f>SUM(ventas_b_mes684[[#This Row],[IMPORTE NETO]:[EXENTO]])</f>
        <v>0</v>
      </c>
      <c r="M834" s="59"/>
    </row>
    <row r="835" spans="2:13" x14ac:dyDescent="0.25">
      <c r="B835" s="40"/>
      <c r="C835" s="41"/>
      <c r="D835" s="42"/>
      <c r="E835" s="43"/>
      <c r="F835" s="44"/>
      <c r="G835" s="1" t="str">
        <f>IFERROR(IF(ventas_b_mes684[[#This Row],[CUIT]]="","-",VLOOKUP(ventas_b_mes684[[#This Row],[CUIT]],Lista_CUIT[#All],2,0)),"CUIT NO CARGADO")</f>
        <v>-</v>
      </c>
      <c r="H835" s="64"/>
      <c r="I835" s="64">
        <f>ventas_b_mes684[[#This Row],[IMPORTE NETO]]*0.21</f>
        <v>0</v>
      </c>
      <c r="J835" s="64"/>
      <c r="K835" s="64"/>
      <c r="L835" s="64">
        <f>SUM(ventas_b_mes684[[#This Row],[IMPORTE NETO]:[EXENTO]])</f>
        <v>0</v>
      </c>
      <c r="M835" s="59"/>
    </row>
    <row r="836" spans="2:13" x14ac:dyDescent="0.25">
      <c r="B836" s="40"/>
      <c r="C836" s="41"/>
      <c r="D836" s="42"/>
      <c r="E836" s="43"/>
      <c r="F836" s="44"/>
      <c r="G836" s="1" t="str">
        <f>IFERROR(IF(ventas_b_mes684[[#This Row],[CUIT]]="","-",VLOOKUP(ventas_b_mes684[[#This Row],[CUIT]],Lista_CUIT[#All],2,0)),"CUIT NO CARGADO")</f>
        <v>-</v>
      </c>
      <c r="H836" s="64"/>
      <c r="I836" s="64">
        <f>ventas_b_mes684[[#This Row],[IMPORTE NETO]]*0.21</f>
        <v>0</v>
      </c>
      <c r="J836" s="64"/>
      <c r="K836" s="64"/>
      <c r="L836" s="64">
        <f>SUM(ventas_b_mes684[[#This Row],[IMPORTE NETO]:[EXENTO]])</f>
        <v>0</v>
      </c>
      <c r="M836" s="59"/>
    </row>
    <row r="837" spans="2:13" x14ac:dyDescent="0.25">
      <c r="B837" s="40"/>
      <c r="C837" s="41"/>
      <c r="D837" s="42"/>
      <c r="E837" s="43"/>
      <c r="F837" s="44"/>
      <c r="G837" s="1" t="str">
        <f>IFERROR(IF(ventas_b_mes684[[#This Row],[CUIT]]="","-",VLOOKUP(ventas_b_mes684[[#This Row],[CUIT]],Lista_CUIT[#All],2,0)),"CUIT NO CARGADO")</f>
        <v>-</v>
      </c>
      <c r="H837" s="64"/>
      <c r="I837" s="64">
        <f>ventas_b_mes684[[#This Row],[IMPORTE NETO]]*0.21</f>
        <v>0</v>
      </c>
      <c r="J837" s="64"/>
      <c r="K837" s="64"/>
      <c r="L837" s="64">
        <f>SUM(ventas_b_mes684[[#This Row],[IMPORTE NETO]:[EXENTO]])</f>
        <v>0</v>
      </c>
      <c r="M837" s="59"/>
    </row>
    <row r="838" spans="2:13" x14ac:dyDescent="0.25">
      <c r="B838" s="40"/>
      <c r="C838" s="41"/>
      <c r="D838" s="42"/>
      <c r="E838" s="43"/>
      <c r="F838" s="44"/>
      <c r="G838" s="1" t="str">
        <f>IFERROR(IF(ventas_b_mes684[[#This Row],[CUIT]]="","-",VLOOKUP(ventas_b_mes684[[#This Row],[CUIT]],Lista_CUIT[#All],2,0)),"CUIT NO CARGADO")</f>
        <v>-</v>
      </c>
      <c r="H838" s="64"/>
      <c r="I838" s="64">
        <f>ventas_b_mes684[[#This Row],[IMPORTE NETO]]*0.21</f>
        <v>0</v>
      </c>
      <c r="J838" s="64"/>
      <c r="K838" s="64"/>
      <c r="L838" s="64">
        <f>SUM(ventas_b_mes684[[#This Row],[IMPORTE NETO]:[EXENTO]])</f>
        <v>0</v>
      </c>
      <c r="M838" s="59"/>
    </row>
    <row r="839" spans="2:13" x14ac:dyDescent="0.25">
      <c r="B839" s="40"/>
      <c r="C839" s="41"/>
      <c r="D839" s="42"/>
      <c r="E839" s="43"/>
      <c r="F839" s="44"/>
      <c r="G839" s="1" t="str">
        <f>IFERROR(IF(ventas_b_mes684[[#This Row],[CUIT]]="","-",VLOOKUP(ventas_b_mes684[[#This Row],[CUIT]],Lista_CUIT[#All],2,0)),"CUIT NO CARGADO")</f>
        <v>-</v>
      </c>
      <c r="H839" s="64"/>
      <c r="I839" s="64">
        <f>ventas_b_mes684[[#This Row],[IMPORTE NETO]]*0.21</f>
        <v>0</v>
      </c>
      <c r="J839" s="64"/>
      <c r="K839" s="64"/>
      <c r="L839" s="64">
        <f>SUM(ventas_b_mes684[[#This Row],[IMPORTE NETO]:[EXENTO]])</f>
        <v>0</v>
      </c>
      <c r="M839" s="59"/>
    </row>
    <row r="840" spans="2:13" x14ac:dyDescent="0.25">
      <c r="B840" s="40"/>
      <c r="C840" s="41"/>
      <c r="D840" s="42"/>
      <c r="E840" s="43"/>
      <c r="F840" s="44"/>
      <c r="G840" s="1" t="str">
        <f>IFERROR(IF(ventas_b_mes684[[#This Row],[CUIT]]="","-",VLOOKUP(ventas_b_mes684[[#This Row],[CUIT]],Lista_CUIT[#All],2,0)),"CUIT NO CARGADO")</f>
        <v>-</v>
      </c>
      <c r="H840" s="64"/>
      <c r="I840" s="64">
        <f>ventas_b_mes684[[#This Row],[IMPORTE NETO]]*0.21</f>
        <v>0</v>
      </c>
      <c r="J840" s="64"/>
      <c r="K840" s="64"/>
      <c r="L840" s="361">
        <f>SUM(ventas_b_mes684[[#This Row],[IMPORTE NETO]:[EXENTO]])</f>
        <v>0</v>
      </c>
      <c r="M840" s="59"/>
    </row>
    <row r="841" spans="2:13" x14ac:dyDescent="0.25">
      <c r="B841" s="40"/>
      <c r="C841" s="41"/>
      <c r="D841" s="42"/>
      <c r="E841" s="43"/>
      <c r="F841" s="44"/>
      <c r="G841" s="1" t="str">
        <f>IFERROR(IF(ventas_b_mes684[[#This Row],[CUIT]]="","-",VLOOKUP(ventas_b_mes684[[#This Row],[CUIT]],Lista_CUIT[#All],2,0)),"CUIT NO CARGADO")</f>
        <v>-</v>
      </c>
      <c r="H841" s="64"/>
      <c r="I841" s="64">
        <f>ventas_b_mes684[[#This Row],[IMPORTE NETO]]*0.21</f>
        <v>0</v>
      </c>
      <c r="J841" s="64"/>
      <c r="K841" s="64"/>
      <c r="L841" s="64">
        <f>SUM(ventas_b_mes684[[#This Row],[IMPORTE NETO]:[EXENTO]])</f>
        <v>0</v>
      </c>
      <c r="M841" s="59"/>
    </row>
    <row r="842" spans="2:13" x14ac:dyDescent="0.25">
      <c r="B842" s="40"/>
      <c r="C842" s="41"/>
      <c r="D842" s="42"/>
      <c r="E842" s="43"/>
      <c r="F842" s="44"/>
      <c r="G842" s="1" t="str">
        <f>IFERROR(IF(ventas_b_mes684[[#This Row],[CUIT]]="","-",VLOOKUP(ventas_b_mes684[[#This Row],[CUIT]],Lista_CUIT[#All],2,0)),"CUIT NO CARGADO")</f>
        <v>-</v>
      </c>
      <c r="H842" s="64"/>
      <c r="I842" s="64">
        <f>ventas_b_mes684[[#This Row],[IMPORTE NETO]]*0.21</f>
        <v>0</v>
      </c>
      <c r="J842" s="64"/>
      <c r="K842" s="64"/>
      <c r="L842" s="64">
        <f>SUM(ventas_b_mes684[[#This Row],[IMPORTE NETO]:[EXENTO]])</f>
        <v>0</v>
      </c>
      <c r="M842" s="59"/>
    </row>
    <row r="843" spans="2:13" x14ac:dyDescent="0.25">
      <c r="B843" s="40"/>
      <c r="C843" s="41"/>
      <c r="D843" s="42"/>
      <c r="E843" s="43"/>
      <c r="F843" s="44"/>
      <c r="G843" s="1" t="str">
        <f>IFERROR(IF(ventas_b_mes684[[#This Row],[CUIT]]="","-",VLOOKUP(ventas_b_mes684[[#This Row],[CUIT]],Lista_CUIT[#All],2,0)),"CUIT NO CARGADO")</f>
        <v>-</v>
      </c>
      <c r="H843" s="64"/>
      <c r="I843" s="64">
        <f>ventas_b_mes684[[#This Row],[IMPORTE NETO]]*0.21</f>
        <v>0</v>
      </c>
      <c r="J843" s="64"/>
      <c r="K843" s="64"/>
      <c r="L843" s="64">
        <f>SUM(ventas_b_mes684[[#This Row],[IMPORTE NETO]:[EXENTO]])</f>
        <v>0</v>
      </c>
      <c r="M843" s="59"/>
    </row>
    <row r="844" spans="2:13" x14ac:dyDescent="0.25">
      <c r="B844" s="40"/>
      <c r="C844" s="41"/>
      <c r="D844" s="42"/>
      <c r="E844" s="43"/>
      <c r="F844" s="44"/>
      <c r="G844" s="1" t="str">
        <f>IFERROR(IF(ventas_b_mes684[[#This Row],[CUIT]]="","-",VLOOKUP(ventas_b_mes684[[#This Row],[CUIT]],Lista_CUIT[#All],2,0)),"CUIT NO CARGADO")</f>
        <v>-</v>
      </c>
      <c r="H844" s="64"/>
      <c r="I844" s="64">
        <f>ventas_b_mes684[[#This Row],[IMPORTE NETO]]*0.21</f>
        <v>0</v>
      </c>
      <c r="J844" s="64"/>
      <c r="K844" s="64"/>
      <c r="L844" s="64">
        <f>SUM(ventas_b_mes684[[#This Row],[IMPORTE NETO]:[EXENTO]])</f>
        <v>0</v>
      </c>
      <c r="M844" s="59"/>
    </row>
    <row r="845" spans="2:13" x14ac:dyDescent="0.25">
      <c r="B845" s="40"/>
      <c r="C845" s="41"/>
      <c r="D845" s="42"/>
      <c r="E845" s="43"/>
      <c r="F845" s="44"/>
      <c r="G845" s="1" t="str">
        <f>IFERROR(IF(ventas_b_mes684[[#This Row],[CUIT]]="","-",VLOOKUP(ventas_b_mes684[[#This Row],[CUIT]],Lista_CUIT[#All],2,0)),"CUIT NO CARGADO")</f>
        <v>-</v>
      </c>
      <c r="H845" s="64"/>
      <c r="I845" s="64">
        <f>ventas_b_mes684[[#This Row],[IMPORTE NETO]]*0.21</f>
        <v>0</v>
      </c>
      <c r="J845" s="64"/>
      <c r="K845" s="64"/>
      <c r="L845" s="64">
        <f>SUM(ventas_b_mes684[[#This Row],[IMPORTE NETO]:[EXENTO]])</f>
        <v>0</v>
      </c>
      <c r="M845" s="59"/>
    </row>
    <row r="846" spans="2:13" x14ac:dyDescent="0.25">
      <c r="B846" s="40"/>
      <c r="C846" s="41"/>
      <c r="D846" s="42"/>
      <c r="E846" s="43"/>
      <c r="F846" s="44"/>
      <c r="G846" s="1" t="str">
        <f>IFERROR(IF(ventas_b_mes684[[#This Row],[CUIT]]="","-",VLOOKUP(ventas_b_mes684[[#This Row],[CUIT]],Lista_CUIT[#All],2,0)),"CUIT NO CARGADO")</f>
        <v>-</v>
      </c>
      <c r="H846" s="64"/>
      <c r="I846" s="64">
        <f>ventas_b_mes684[[#This Row],[IMPORTE NETO]]*0.21</f>
        <v>0</v>
      </c>
      <c r="J846" s="64"/>
      <c r="K846" s="64"/>
      <c r="L846" s="64">
        <f>SUM(ventas_b_mes684[[#This Row],[IMPORTE NETO]:[EXENTO]])</f>
        <v>0</v>
      </c>
      <c r="M846" s="59"/>
    </row>
    <row r="847" spans="2:13" x14ac:dyDescent="0.25">
      <c r="B847" s="40"/>
      <c r="C847" s="41"/>
      <c r="D847" s="42"/>
      <c r="E847" s="43"/>
      <c r="F847" s="44"/>
      <c r="G847" s="1" t="str">
        <f>IFERROR(IF(ventas_b_mes684[[#This Row],[CUIT]]="","-",VLOOKUP(ventas_b_mes684[[#This Row],[CUIT]],Lista_CUIT[#All],2,0)),"CUIT NO CARGADO")</f>
        <v>-</v>
      </c>
      <c r="H847" s="64"/>
      <c r="I847" s="64">
        <f>ventas_b_mes684[[#This Row],[IMPORTE NETO]]*0.21</f>
        <v>0</v>
      </c>
      <c r="J847" s="64"/>
      <c r="K847" s="64"/>
      <c r="L847" s="64">
        <f>SUM(ventas_b_mes684[[#This Row],[IMPORTE NETO]:[EXENTO]])</f>
        <v>0</v>
      </c>
      <c r="M847" s="59"/>
    </row>
    <row r="848" spans="2:13" x14ac:dyDescent="0.25">
      <c r="B848" s="40"/>
      <c r="C848" s="41"/>
      <c r="D848" s="42"/>
      <c r="E848" s="43"/>
      <c r="F848" s="44"/>
      <c r="G848" s="1" t="str">
        <f>IFERROR(IF(ventas_b_mes684[[#This Row],[CUIT]]="","-",VLOOKUP(ventas_b_mes684[[#This Row],[CUIT]],Lista_CUIT[#All],2,0)),"CUIT NO CARGADO")</f>
        <v>-</v>
      </c>
      <c r="H848" s="64"/>
      <c r="I848" s="64">
        <f>ventas_b_mes684[[#This Row],[IMPORTE NETO]]*0.21</f>
        <v>0</v>
      </c>
      <c r="J848" s="64"/>
      <c r="K848" s="64"/>
      <c r="L848" s="64">
        <f>SUM(ventas_b_mes684[[#This Row],[IMPORTE NETO]:[EXENTO]])</f>
        <v>0</v>
      </c>
      <c r="M848" s="59"/>
    </row>
    <row r="849" spans="2:13" x14ac:dyDescent="0.25">
      <c r="B849" s="40"/>
      <c r="C849" s="41"/>
      <c r="D849" s="42"/>
      <c r="E849" s="43"/>
      <c r="F849" s="44"/>
      <c r="G849" s="1" t="str">
        <f>IFERROR(IF(ventas_b_mes684[[#This Row],[CUIT]]="","-",VLOOKUP(ventas_b_mes684[[#This Row],[CUIT]],Lista_CUIT[#All],2,0)),"CUIT NO CARGADO")</f>
        <v>-</v>
      </c>
      <c r="H849" s="64"/>
      <c r="I849" s="64">
        <f>ventas_b_mes684[[#This Row],[IMPORTE NETO]]*0.21</f>
        <v>0</v>
      </c>
      <c r="J849" s="64"/>
      <c r="K849" s="64"/>
      <c r="L849" s="64">
        <f>SUM(ventas_b_mes684[[#This Row],[IMPORTE NETO]:[EXENTO]])</f>
        <v>0</v>
      </c>
      <c r="M849" s="59"/>
    </row>
    <row r="850" spans="2:13" x14ac:dyDescent="0.25">
      <c r="B850" s="40"/>
      <c r="C850" s="41"/>
      <c r="D850" s="42"/>
      <c r="E850" s="43"/>
      <c r="F850" s="44"/>
      <c r="G850" s="1" t="str">
        <f>IFERROR(IF(ventas_b_mes684[[#This Row],[CUIT]]="","-",VLOOKUP(ventas_b_mes684[[#This Row],[CUIT]],Lista_CUIT[#All],2,0)),"CUIT NO CARGADO")</f>
        <v>-</v>
      </c>
      <c r="H850" s="64"/>
      <c r="I850" s="64">
        <f>ventas_b_mes684[[#This Row],[IMPORTE NETO]]*0.21</f>
        <v>0</v>
      </c>
      <c r="J850" s="64"/>
      <c r="K850" s="64"/>
      <c r="L850" s="64">
        <f>SUM(ventas_b_mes684[[#This Row],[IMPORTE NETO]:[EXENTO]])</f>
        <v>0</v>
      </c>
      <c r="M850" s="59"/>
    </row>
    <row r="851" spans="2:13" x14ac:dyDescent="0.25">
      <c r="B851" s="40"/>
      <c r="C851" s="41"/>
      <c r="D851" s="42"/>
      <c r="E851" s="43"/>
      <c r="F851" s="44"/>
      <c r="G851" s="1" t="str">
        <f>IFERROR(IF(ventas_b_mes684[[#This Row],[CUIT]]="","-",VLOOKUP(ventas_b_mes684[[#This Row],[CUIT]],Lista_CUIT[#All],2,0)),"CUIT NO CARGADO")</f>
        <v>-</v>
      </c>
      <c r="H851" s="64"/>
      <c r="I851" s="64">
        <f>ventas_b_mes684[[#This Row],[IMPORTE NETO]]*0.21</f>
        <v>0</v>
      </c>
      <c r="J851" s="64"/>
      <c r="K851" s="64"/>
      <c r="L851" s="64">
        <f>SUM(ventas_b_mes684[[#This Row],[IMPORTE NETO]:[EXENTO]])</f>
        <v>0</v>
      </c>
      <c r="M851" s="59"/>
    </row>
    <row r="852" spans="2:13" x14ac:dyDescent="0.25">
      <c r="B852" s="40"/>
      <c r="C852" s="41"/>
      <c r="D852" s="42"/>
      <c r="E852" s="43"/>
      <c r="F852" s="44"/>
      <c r="G852" s="1" t="str">
        <f>IFERROR(IF(ventas_b_mes684[[#This Row],[CUIT]]="","-",VLOOKUP(ventas_b_mes684[[#This Row],[CUIT]],Lista_CUIT[#All],2,0)),"CUIT NO CARGADO")</f>
        <v>-</v>
      </c>
      <c r="H852" s="64"/>
      <c r="I852" s="64">
        <f>ventas_b_mes684[[#This Row],[IMPORTE NETO]]*0.21</f>
        <v>0</v>
      </c>
      <c r="J852" s="64"/>
      <c r="K852" s="64"/>
      <c r="L852" s="64">
        <f>SUM(ventas_b_mes684[[#This Row],[IMPORTE NETO]:[EXENTO]])</f>
        <v>0</v>
      </c>
      <c r="M852" s="59"/>
    </row>
    <row r="853" spans="2:13" x14ac:dyDescent="0.25">
      <c r="B853" s="40"/>
      <c r="C853" s="41"/>
      <c r="D853" s="42"/>
      <c r="E853" s="43"/>
      <c r="F853" s="44"/>
      <c r="G853" s="1" t="str">
        <f>IFERROR(IF(ventas_b_mes684[[#This Row],[CUIT]]="","-",VLOOKUP(ventas_b_mes684[[#This Row],[CUIT]],Lista_CUIT[#All],2,0)),"CUIT NO CARGADO")</f>
        <v>-</v>
      </c>
      <c r="H853" s="64"/>
      <c r="I853" s="64">
        <f>ventas_b_mes684[[#This Row],[IMPORTE NETO]]*0.21</f>
        <v>0</v>
      </c>
      <c r="J853" s="64"/>
      <c r="K853" s="64"/>
      <c r="L853" s="64">
        <f>SUM(ventas_b_mes684[[#This Row],[IMPORTE NETO]:[EXENTO]])</f>
        <v>0</v>
      </c>
      <c r="M853" s="59"/>
    </row>
    <row r="854" spans="2:13" x14ac:dyDescent="0.25">
      <c r="B854" s="40"/>
      <c r="C854" s="41"/>
      <c r="D854" s="42"/>
      <c r="E854" s="43"/>
      <c r="F854" s="44"/>
      <c r="G854" s="1" t="str">
        <f>IFERROR(IF(ventas_b_mes684[[#This Row],[CUIT]]="","-",VLOOKUP(ventas_b_mes684[[#This Row],[CUIT]],Lista_CUIT[#All],2,0)),"CUIT NO CARGADO")</f>
        <v>-</v>
      </c>
      <c r="H854" s="64"/>
      <c r="I854" s="64">
        <f>ventas_b_mes684[[#This Row],[IMPORTE NETO]]*0.21</f>
        <v>0</v>
      </c>
      <c r="J854" s="64"/>
      <c r="K854" s="64"/>
      <c r="L854" s="64">
        <f>SUM(ventas_b_mes684[[#This Row],[IMPORTE NETO]:[EXENTO]])</f>
        <v>0</v>
      </c>
      <c r="M854" s="59"/>
    </row>
    <row r="855" spans="2:13" x14ac:dyDescent="0.25">
      <c r="B855" s="40"/>
      <c r="C855" s="41"/>
      <c r="D855" s="42"/>
      <c r="E855" s="43"/>
      <c r="F855" s="44"/>
      <c r="G855" s="1" t="str">
        <f>IFERROR(IF(ventas_b_mes684[[#This Row],[CUIT]]="","-",VLOOKUP(ventas_b_mes684[[#This Row],[CUIT]],Lista_CUIT[#All],2,0)),"CUIT NO CARGADO")</f>
        <v>-</v>
      </c>
      <c r="H855" s="64"/>
      <c r="I855" s="64">
        <f>ventas_b_mes684[[#This Row],[IMPORTE NETO]]*0.21</f>
        <v>0</v>
      </c>
      <c r="J855" s="64"/>
      <c r="K855" s="64"/>
      <c r="L855" s="64">
        <f>SUM(ventas_b_mes684[[#This Row],[IMPORTE NETO]:[EXENTO]])</f>
        <v>0</v>
      </c>
      <c r="M855" s="59"/>
    </row>
    <row r="856" spans="2:13" x14ac:dyDescent="0.25">
      <c r="B856" s="40"/>
      <c r="C856" s="41"/>
      <c r="D856" s="42"/>
      <c r="E856" s="43"/>
      <c r="F856" s="44"/>
      <c r="G856" s="1" t="str">
        <f>IFERROR(IF(ventas_b_mes684[[#This Row],[CUIT]]="","-",VLOOKUP(ventas_b_mes684[[#This Row],[CUIT]],Lista_CUIT[#All],2,0)),"CUIT NO CARGADO")</f>
        <v>-</v>
      </c>
      <c r="H856" s="64"/>
      <c r="I856" s="64">
        <f>ventas_b_mes684[[#This Row],[IMPORTE NETO]]*0.21</f>
        <v>0</v>
      </c>
      <c r="J856" s="64"/>
      <c r="K856" s="64"/>
      <c r="L856" s="64">
        <f>SUM(ventas_b_mes684[[#This Row],[IMPORTE NETO]:[EXENTO]])</f>
        <v>0</v>
      </c>
      <c r="M856" s="59"/>
    </row>
    <row r="857" spans="2:13" x14ac:dyDescent="0.25">
      <c r="B857" s="40"/>
      <c r="C857" s="41"/>
      <c r="D857" s="42"/>
      <c r="E857" s="43"/>
      <c r="F857" s="44"/>
      <c r="G857" s="1" t="str">
        <f>IFERROR(IF(ventas_b_mes684[[#This Row],[CUIT]]="","-",VLOOKUP(ventas_b_mes684[[#This Row],[CUIT]],Lista_CUIT[#All],2,0)),"CUIT NO CARGADO")</f>
        <v>-</v>
      </c>
      <c r="H857" s="64"/>
      <c r="I857" s="64">
        <f>ventas_b_mes684[[#This Row],[IMPORTE NETO]]*0.21</f>
        <v>0</v>
      </c>
      <c r="J857" s="64"/>
      <c r="K857" s="64"/>
      <c r="L857" s="64">
        <f>SUM(ventas_b_mes684[[#This Row],[IMPORTE NETO]:[EXENTO]])</f>
        <v>0</v>
      </c>
      <c r="M857" s="59"/>
    </row>
    <row r="858" spans="2:13" x14ac:dyDescent="0.25">
      <c r="B858" s="40"/>
      <c r="C858" s="41"/>
      <c r="D858" s="42"/>
      <c r="E858" s="43"/>
      <c r="F858" s="44"/>
      <c r="G858" s="1" t="str">
        <f>IFERROR(IF(ventas_b_mes684[[#This Row],[CUIT]]="","-",VLOOKUP(ventas_b_mes684[[#This Row],[CUIT]],Lista_CUIT[#All],2,0)),"CUIT NO CARGADO")</f>
        <v>-</v>
      </c>
      <c r="H858" s="64"/>
      <c r="I858" s="64">
        <f>ventas_b_mes684[[#This Row],[IMPORTE NETO]]*0.21</f>
        <v>0</v>
      </c>
      <c r="J858" s="64"/>
      <c r="K858" s="64"/>
      <c r="L858" s="64">
        <f>SUM(ventas_b_mes684[[#This Row],[IMPORTE NETO]:[EXENTO]])</f>
        <v>0</v>
      </c>
      <c r="M858" s="59"/>
    </row>
    <row r="859" spans="2:13" x14ac:dyDescent="0.25">
      <c r="B859" s="40"/>
      <c r="C859" s="41"/>
      <c r="D859" s="42"/>
      <c r="E859" s="43"/>
      <c r="F859" s="44"/>
      <c r="G859" s="1" t="str">
        <f>IFERROR(IF(ventas_b_mes684[[#This Row],[CUIT]]="","-",VLOOKUP(ventas_b_mes684[[#This Row],[CUIT]],Lista_CUIT[#All],2,0)),"CUIT NO CARGADO")</f>
        <v>-</v>
      </c>
      <c r="H859" s="64"/>
      <c r="I859" s="64">
        <f>ventas_b_mes684[[#This Row],[IMPORTE NETO]]*0.21</f>
        <v>0</v>
      </c>
      <c r="J859" s="64"/>
      <c r="K859" s="64"/>
      <c r="L859" s="64">
        <f>SUM(ventas_b_mes684[[#This Row],[IMPORTE NETO]:[EXENTO]])</f>
        <v>0</v>
      </c>
      <c r="M859" s="59"/>
    </row>
    <row r="860" spans="2:13" x14ac:dyDescent="0.25">
      <c r="B860" s="40"/>
      <c r="C860" s="41"/>
      <c r="D860" s="42"/>
      <c r="E860" s="43"/>
      <c r="F860" s="44"/>
      <c r="G860" s="1" t="str">
        <f>IFERROR(IF(ventas_b_mes684[[#This Row],[CUIT]]="","-",VLOOKUP(ventas_b_mes684[[#This Row],[CUIT]],Lista_CUIT[#All],2,0)),"CUIT NO CARGADO")</f>
        <v>-</v>
      </c>
      <c r="H860" s="64"/>
      <c r="I860" s="64">
        <f>ventas_b_mes684[[#This Row],[IMPORTE NETO]]*0.21</f>
        <v>0</v>
      </c>
      <c r="J860" s="64"/>
      <c r="K860" s="64"/>
      <c r="L860" s="64">
        <f>SUM(ventas_b_mes684[[#This Row],[IMPORTE NETO]:[EXENTO]])</f>
        <v>0</v>
      </c>
      <c r="M860" s="59"/>
    </row>
    <row r="861" spans="2:13" x14ac:dyDescent="0.25">
      <c r="B861" s="40"/>
      <c r="C861" s="41"/>
      <c r="D861" s="42"/>
      <c r="E861" s="43"/>
      <c r="F861" s="44"/>
      <c r="G861" s="1" t="str">
        <f>IFERROR(IF(ventas_b_mes684[[#This Row],[CUIT]]="","-",VLOOKUP(ventas_b_mes684[[#This Row],[CUIT]],Lista_CUIT[#All],2,0)),"CUIT NO CARGADO")</f>
        <v>-</v>
      </c>
      <c r="H861" s="64"/>
      <c r="I861" s="64">
        <f>ventas_b_mes684[[#This Row],[IMPORTE NETO]]*0.21</f>
        <v>0</v>
      </c>
      <c r="J861" s="64"/>
      <c r="K861" s="64"/>
      <c r="L861" s="64">
        <f>SUM(ventas_b_mes684[[#This Row],[IMPORTE NETO]:[EXENTO]])</f>
        <v>0</v>
      </c>
      <c r="M861" s="59"/>
    </row>
    <row r="862" spans="2:13" x14ac:dyDescent="0.25">
      <c r="B862" s="40"/>
      <c r="C862" s="41"/>
      <c r="D862" s="42"/>
      <c r="E862" s="43"/>
      <c r="F862" s="44"/>
      <c r="G862" s="1" t="str">
        <f>IFERROR(IF(ventas_b_mes684[[#This Row],[CUIT]]="","-",VLOOKUP(ventas_b_mes684[[#This Row],[CUIT]],Lista_CUIT[#All],2,0)),"CUIT NO CARGADO")</f>
        <v>-</v>
      </c>
      <c r="H862" s="64"/>
      <c r="I862" s="64">
        <f>ventas_b_mes684[[#This Row],[IMPORTE NETO]]*0.21</f>
        <v>0</v>
      </c>
      <c r="J862" s="64"/>
      <c r="K862" s="64"/>
      <c r="L862" s="64">
        <f>SUM(ventas_b_mes684[[#This Row],[IMPORTE NETO]:[EXENTO]])</f>
        <v>0</v>
      </c>
      <c r="M862" s="59"/>
    </row>
    <row r="863" spans="2:13" x14ac:dyDescent="0.25">
      <c r="B863" s="40"/>
      <c r="C863" s="41"/>
      <c r="D863" s="42"/>
      <c r="E863" s="43"/>
      <c r="F863" s="44"/>
      <c r="G863" s="1" t="str">
        <f>IFERROR(IF(ventas_b_mes684[[#This Row],[CUIT]]="","-",VLOOKUP(ventas_b_mes684[[#This Row],[CUIT]],Lista_CUIT[#All],2,0)),"CUIT NO CARGADO")</f>
        <v>-</v>
      </c>
      <c r="H863" s="64"/>
      <c r="I863" s="64">
        <f>ventas_b_mes684[[#This Row],[IMPORTE NETO]]*0.21</f>
        <v>0</v>
      </c>
      <c r="J863" s="64"/>
      <c r="K863" s="64"/>
      <c r="L863" s="64">
        <f>SUM(ventas_b_mes684[[#This Row],[IMPORTE NETO]:[EXENTO]])</f>
        <v>0</v>
      </c>
      <c r="M863" s="59"/>
    </row>
    <row r="864" spans="2:13" x14ac:dyDescent="0.25">
      <c r="B864" s="40"/>
      <c r="C864" s="41"/>
      <c r="D864" s="42"/>
      <c r="E864" s="43"/>
      <c r="F864" s="44"/>
      <c r="G864" s="1" t="str">
        <f>IFERROR(IF(ventas_b_mes684[[#This Row],[CUIT]]="","-",VLOOKUP(ventas_b_mes684[[#This Row],[CUIT]],Lista_CUIT[#All],2,0)),"CUIT NO CARGADO")</f>
        <v>-</v>
      </c>
      <c r="H864" s="64"/>
      <c r="I864" s="64">
        <f>ventas_b_mes684[[#This Row],[IMPORTE NETO]]*0.21</f>
        <v>0</v>
      </c>
      <c r="J864" s="64"/>
      <c r="K864" s="64"/>
      <c r="L864" s="64">
        <f>SUM(ventas_b_mes684[[#This Row],[IMPORTE NETO]:[EXENTO]])</f>
        <v>0</v>
      </c>
      <c r="M864" s="59"/>
    </row>
    <row r="865" spans="2:13" x14ac:dyDescent="0.25">
      <c r="B865" s="40"/>
      <c r="C865" s="41"/>
      <c r="D865" s="42"/>
      <c r="E865" s="43"/>
      <c r="F865" s="44"/>
      <c r="G865" s="1" t="str">
        <f>IFERROR(IF(ventas_b_mes684[[#This Row],[CUIT]]="","-",VLOOKUP(ventas_b_mes684[[#This Row],[CUIT]],Lista_CUIT[#All],2,0)),"CUIT NO CARGADO")</f>
        <v>-</v>
      </c>
      <c r="H865" s="64"/>
      <c r="I865" s="64">
        <f>ventas_b_mes684[[#This Row],[IMPORTE NETO]]*0.21</f>
        <v>0</v>
      </c>
      <c r="J865" s="64"/>
      <c r="K865" s="64"/>
      <c r="L865" s="64">
        <f>SUM(ventas_b_mes684[[#This Row],[IMPORTE NETO]:[EXENTO]])</f>
        <v>0</v>
      </c>
      <c r="M865" s="59"/>
    </row>
    <row r="866" spans="2:13" x14ac:dyDescent="0.25">
      <c r="B866" s="40"/>
      <c r="C866" s="41"/>
      <c r="D866" s="42"/>
      <c r="E866" s="43"/>
      <c r="F866" s="44"/>
      <c r="G866" s="1" t="str">
        <f>IFERROR(IF(ventas_b_mes684[[#This Row],[CUIT]]="","-",VLOOKUP(ventas_b_mes684[[#This Row],[CUIT]],Lista_CUIT[#All],2,0)),"CUIT NO CARGADO")</f>
        <v>-</v>
      </c>
      <c r="H866" s="64"/>
      <c r="I866" s="64">
        <f>ventas_b_mes684[[#This Row],[IMPORTE NETO]]*0.21</f>
        <v>0</v>
      </c>
      <c r="J866" s="64"/>
      <c r="K866" s="64"/>
      <c r="L866" s="64">
        <f>SUM(ventas_b_mes684[[#This Row],[IMPORTE NETO]:[EXENTO]])</f>
        <v>0</v>
      </c>
      <c r="M866" s="59"/>
    </row>
    <row r="867" spans="2:13" x14ac:dyDescent="0.25">
      <c r="B867" s="40"/>
      <c r="C867" s="41"/>
      <c r="D867" s="42"/>
      <c r="E867" s="43"/>
      <c r="F867" s="44"/>
      <c r="G867" s="1" t="str">
        <f>IFERROR(IF(ventas_b_mes684[[#This Row],[CUIT]]="","-",VLOOKUP(ventas_b_mes684[[#This Row],[CUIT]],Lista_CUIT[#All],2,0)),"CUIT NO CARGADO")</f>
        <v>-</v>
      </c>
      <c r="H867" s="64"/>
      <c r="I867" s="64">
        <f>ventas_b_mes684[[#This Row],[IMPORTE NETO]]*0.21</f>
        <v>0</v>
      </c>
      <c r="J867" s="64"/>
      <c r="K867" s="64"/>
      <c r="L867" s="64">
        <f>SUM(ventas_b_mes684[[#This Row],[IMPORTE NETO]:[EXENTO]])</f>
        <v>0</v>
      </c>
      <c r="M867" s="59"/>
    </row>
    <row r="868" spans="2:13" x14ac:dyDescent="0.25">
      <c r="B868" s="40"/>
      <c r="C868" s="41"/>
      <c r="D868" s="42"/>
      <c r="E868" s="43"/>
      <c r="F868" s="44"/>
      <c r="G868" s="1" t="str">
        <f>IFERROR(IF(ventas_b_mes684[[#This Row],[CUIT]]="","-",VLOOKUP(ventas_b_mes684[[#This Row],[CUIT]],Lista_CUIT[#All],2,0)),"CUIT NO CARGADO")</f>
        <v>-</v>
      </c>
      <c r="H868" s="64"/>
      <c r="I868" s="64">
        <f>ventas_b_mes684[[#This Row],[IMPORTE NETO]]*0.21</f>
        <v>0</v>
      </c>
      <c r="J868" s="64"/>
      <c r="K868" s="64"/>
      <c r="L868" s="64">
        <f>SUM(ventas_b_mes684[[#This Row],[IMPORTE NETO]:[EXENTO]])</f>
        <v>0</v>
      </c>
      <c r="M868" s="59"/>
    </row>
    <row r="869" spans="2:13" x14ac:dyDescent="0.25">
      <c r="B869" s="40"/>
      <c r="C869" s="41"/>
      <c r="D869" s="42"/>
      <c r="E869" s="43"/>
      <c r="F869" s="44"/>
      <c r="G869" s="1" t="str">
        <f>IFERROR(IF(ventas_b_mes684[[#This Row],[CUIT]]="","-",VLOOKUP(ventas_b_mes684[[#This Row],[CUIT]],Lista_CUIT[#All],2,0)),"CUIT NO CARGADO")</f>
        <v>-</v>
      </c>
      <c r="H869" s="64"/>
      <c r="I869" s="64">
        <f>ventas_b_mes684[[#This Row],[IMPORTE NETO]]*0.21</f>
        <v>0</v>
      </c>
      <c r="J869" s="64"/>
      <c r="K869" s="64"/>
      <c r="L869" s="64">
        <f>SUM(ventas_b_mes684[[#This Row],[IMPORTE NETO]:[EXENTO]])</f>
        <v>0</v>
      </c>
      <c r="M869" s="59"/>
    </row>
    <row r="870" spans="2:13" x14ac:dyDescent="0.25">
      <c r="B870" s="40"/>
      <c r="C870" s="41"/>
      <c r="D870" s="42"/>
      <c r="E870" s="43"/>
      <c r="F870" s="44"/>
      <c r="G870" s="1" t="str">
        <f>IFERROR(IF(ventas_b_mes684[[#This Row],[CUIT]]="","-",VLOOKUP(ventas_b_mes684[[#This Row],[CUIT]],Lista_CUIT[#All],2,0)),"CUIT NO CARGADO")</f>
        <v>-</v>
      </c>
      <c r="H870" s="64"/>
      <c r="I870" s="64">
        <f>ventas_b_mes684[[#This Row],[IMPORTE NETO]]*0.21</f>
        <v>0</v>
      </c>
      <c r="J870" s="64"/>
      <c r="K870" s="64"/>
      <c r="L870" s="64">
        <f>SUM(ventas_b_mes684[[#This Row],[IMPORTE NETO]:[EXENTO]])</f>
        <v>0</v>
      </c>
      <c r="M870" s="59"/>
    </row>
    <row r="871" spans="2:13" x14ac:dyDescent="0.25">
      <c r="B871" s="40"/>
      <c r="C871" s="41"/>
      <c r="D871" s="42"/>
      <c r="E871" s="43"/>
      <c r="F871" s="44"/>
      <c r="G871" s="1" t="str">
        <f>IFERROR(IF(ventas_b_mes684[[#This Row],[CUIT]]="","-",VLOOKUP(ventas_b_mes684[[#This Row],[CUIT]],Lista_CUIT[#All],2,0)),"CUIT NO CARGADO")</f>
        <v>-</v>
      </c>
      <c r="H871" s="64"/>
      <c r="I871" s="64">
        <f>ventas_b_mes684[[#This Row],[IMPORTE NETO]]*0.21</f>
        <v>0</v>
      </c>
      <c r="J871" s="64"/>
      <c r="K871" s="64"/>
      <c r="L871" s="64">
        <f>SUM(ventas_b_mes684[[#This Row],[IMPORTE NETO]:[EXENTO]])</f>
        <v>0</v>
      </c>
      <c r="M871" s="59"/>
    </row>
    <row r="872" spans="2:13" x14ac:dyDescent="0.25">
      <c r="B872" s="40"/>
      <c r="C872" s="41"/>
      <c r="D872" s="42"/>
      <c r="E872" s="43"/>
      <c r="F872" s="44"/>
      <c r="G872" s="1" t="str">
        <f>IFERROR(IF(ventas_b_mes684[[#This Row],[CUIT]]="","-",VLOOKUP(ventas_b_mes684[[#This Row],[CUIT]],Lista_CUIT[#All],2,0)),"CUIT NO CARGADO")</f>
        <v>-</v>
      </c>
      <c r="H872" s="64"/>
      <c r="I872" s="64">
        <f>ventas_b_mes684[[#This Row],[IMPORTE NETO]]*0.21</f>
        <v>0</v>
      </c>
      <c r="J872" s="64"/>
      <c r="K872" s="64"/>
      <c r="L872" s="64">
        <f>SUM(ventas_b_mes684[[#This Row],[IMPORTE NETO]:[EXENTO]])</f>
        <v>0</v>
      </c>
      <c r="M872" s="59"/>
    </row>
    <row r="873" spans="2:13" x14ac:dyDescent="0.25">
      <c r="B873" s="40"/>
      <c r="C873" s="41"/>
      <c r="D873" s="42"/>
      <c r="E873" s="43"/>
      <c r="F873" s="44"/>
      <c r="G873" s="1" t="str">
        <f>IFERROR(IF(ventas_b_mes684[[#This Row],[CUIT]]="","-",VLOOKUP(ventas_b_mes684[[#This Row],[CUIT]],Lista_CUIT[#All],2,0)),"CUIT NO CARGADO")</f>
        <v>-</v>
      </c>
      <c r="H873" s="64"/>
      <c r="I873" s="64">
        <f>ventas_b_mes684[[#This Row],[IMPORTE NETO]]*0.21</f>
        <v>0</v>
      </c>
      <c r="J873" s="64"/>
      <c r="K873" s="64"/>
      <c r="L873" s="64">
        <f>SUM(ventas_b_mes684[[#This Row],[IMPORTE NETO]:[EXENTO]])</f>
        <v>0</v>
      </c>
      <c r="M873" s="59"/>
    </row>
    <row r="874" spans="2:13" x14ac:dyDescent="0.25">
      <c r="B874" s="40"/>
      <c r="C874" s="41"/>
      <c r="D874" s="42"/>
      <c r="E874" s="43"/>
      <c r="F874" s="44"/>
      <c r="G874" s="1" t="str">
        <f>IFERROR(IF(ventas_b_mes684[[#This Row],[CUIT]]="","-",VLOOKUP(ventas_b_mes684[[#This Row],[CUIT]],Lista_CUIT[#All],2,0)),"CUIT NO CARGADO")</f>
        <v>-</v>
      </c>
      <c r="H874" s="64"/>
      <c r="I874" s="64">
        <f>ventas_b_mes684[[#This Row],[IMPORTE NETO]]*0.21</f>
        <v>0</v>
      </c>
      <c r="J874" s="64"/>
      <c r="K874" s="64"/>
      <c r="L874" s="64">
        <f>SUM(ventas_b_mes684[[#This Row],[IMPORTE NETO]:[EXENTO]])</f>
        <v>0</v>
      </c>
      <c r="M874" s="59"/>
    </row>
    <row r="875" spans="2:13" x14ac:dyDescent="0.25">
      <c r="B875" s="40"/>
      <c r="C875" s="41"/>
      <c r="D875" s="42"/>
      <c r="E875" s="43"/>
      <c r="F875" s="44"/>
      <c r="G875" s="1" t="str">
        <f>IFERROR(IF(ventas_b_mes684[[#This Row],[CUIT]]="","-",VLOOKUP(ventas_b_mes684[[#This Row],[CUIT]],Lista_CUIT[#All],2,0)),"CUIT NO CARGADO")</f>
        <v>-</v>
      </c>
      <c r="H875" s="64"/>
      <c r="I875" s="64">
        <f>ventas_b_mes684[[#This Row],[IMPORTE NETO]]*0.21</f>
        <v>0</v>
      </c>
      <c r="J875" s="64"/>
      <c r="K875" s="64"/>
      <c r="L875" s="64">
        <f>SUM(ventas_b_mes684[[#This Row],[IMPORTE NETO]:[EXENTO]])</f>
        <v>0</v>
      </c>
      <c r="M875" s="59"/>
    </row>
    <row r="876" spans="2:13" x14ac:dyDescent="0.25">
      <c r="B876" s="40"/>
      <c r="C876" s="41"/>
      <c r="D876" s="42"/>
      <c r="E876" s="43"/>
      <c r="F876" s="44"/>
      <c r="G876" s="1" t="str">
        <f>IFERROR(IF(ventas_b_mes684[[#This Row],[CUIT]]="","-",VLOOKUP(ventas_b_mes684[[#This Row],[CUIT]],Lista_CUIT[#All],2,0)),"CUIT NO CARGADO")</f>
        <v>-</v>
      </c>
      <c r="H876" s="64"/>
      <c r="I876" s="64">
        <f>ventas_b_mes684[[#This Row],[IMPORTE NETO]]*0.21</f>
        <v>0</v>
      </c>
      <c r="J876" s="64"/>
      <c r="K876" s="64"/>
      <c r="L876" s="64">
        <f>SUM(ventas_b_mes684[[#This Row],[IMPORTE NETO]:[EXENTO]])</f>
        <v>0</v>
      </c>
      <c r="M876" s="59"/>
    </row>
    <row r="877" spans="2:13" x14ac:dyDescent="0.25">
      <c r="B877" s="40"/>
      <c r="C877" s="41"/>
      <c r="D877" s="42"/>
      <c r="E877" s="43"/>
      <c r="F877" s="44"/>
      <c r="G877" s="1" t="str">
        <f>IFERROR(IF(ventas_b_mes684[[#This Row],[CUIT]]="","-",VLOOKUP(ventas_b_mes684[[#This Row],[CUIT]],Lista_CUIT[#All],2,0)),"CUIT NO CARGADO")</f>
        <v>-</v>
      </c>
      <c r="H877" s="64"/>
      <c r="I877" s="64">
        <f>ventas_b_mes684[[#This Row],[IMPORTE NETO]]*0.21</f>
        <v>0</v>
      </c>
      <c r="J877" s="64"/>
      <c r="K877" s="64"/>
      <c r="L877" s="64">
        <f>SUM(ventas_b_mes684[[#This Row],[IMPORTE NETO]:[EXENTO]])</f>
        <v>0</v>
      </c>
      <c r="M877" s="59"/>
    </row>
    <row r="878" spans="2:13" x14ac:dyDescent="0.25">
      <c r="B878" s="40"/>
      <c r="C878" s="41"/>
      <c r="D878" s="42"/>
      <c r="E878" s="43"/>
      <c r="F878" s="44"/>
      <c r="G878" s="1" t="str">
        <f>IFERROR(IF(ventas_b_mes684[[#This Row],[CUIT]]="","-",VLOOKUP(ventas_b_mes684[[#This Row],[CUIT]],Lista_CUIT[#All],2,0)),"CUIT NO CARGADO")</f>
        <v>-</v>
      </c>
      <c r="H878" s="64"/>
      <c r="I878" s="64">
        <f>ventas_b_mes684[[#This Row],[IMPORTE NETO]]*0.21</f>
        <v>0</v>
      </c>
      <c r="J878" s="64"/>
      <c r="K878" s="64"/>
      <c r="L878" s="64">
        <f>SUM(ventas_b_mes684[[#This Row],[IMPORTE NETO]:[EXENTO]])</f>
        <v>0</v>
      </c>
      <c r="M878" s="59"/>
    </row>
    <row r="879" spans="2:13" x14ac:dyDescent="0.25">
      <c r="B879" s="40"/>
      <c r="C879" s="41"/>
      <c r="D879" s="42"/>
      <c r="E879" s="43"/>
      <c r="F879" s="44"/>
      <c r="G879" s="1" t="str">
        <f>IFERROR(IF(ventas_b_mes684[[#This Row],[CUIT]]="","-",VLOOKUP(ventas_b_mes684[[#This Row],[CUIT]],Lista_CUIT[#All],2,0)),"CUIT NO CARGADO")</f>
        <v>-</v>
      </c>
      <c r="H879" s="64"/>
      <c r="I879" s="64">
        <f>ventas_b_mes684[[#This Row],[IMPORTE NETO]]*0.21</f>
        <v>0</v>
      </c>
      <c r="J879" s="64"/>
      <c r="K879" s="64"/>
      <c r="L879" s="64">
        <f>SUM(ventas_b_mes684[[#This Row],[IMPORTE NETO]:[EXENTO]])</f>
        <v>0</v>
      </c>
      <c r="M879" s="59"/>
    </row>
    <row r="880" spans="2:13" x14ac:dyDescent="0.25">
      <c r="B880" s="40"/>
      <c r="C880" s="41"/>
      <c r="D880" s="42"/>
      <c r="E880" s="43"/>
      <c r="F880" s="44"/>
      <c r="G880" s="1" t="str">
        <f>IFERROR(IF(ventas_b_mes684[[#This Row],[CUIT]]="","-",VLOOKUP(ventas_b_mes684[[#This Row],[CUIT]],Lista_CUIT[#All],2,0)),"CUIT NO CARGADO")</f>
        <v>-</v>
      </c>
      <c r="H880" s="64"/>
      <c r="I880" s="64">
        <f>ventas_b_mes684[[#This Row],[IMPORTE NETO]]*0.21</f>
        <v>0</v>
      </c>
      <c r="J880" s="64"/>
      <c r="K880" s="64"/>
      <c r="L880" s="64">
        <f>SUM(ventas_b_mes684[[#This Row],[IMPORTE NETO]:[EXENTO]])</f>
        <v>0</v>
      </c>
      <c r="M880" s="59"/>
    </row>
    <row r="881" spans="2:13" x14ac:dyDescent="0.25">
      <c r="B881" s="40"/>
      <c r="C881" s="41"/>
      <c r="D881" s="42"/>
      <c r="E881" s="43"/>
      <c r="F881" s="44"/>
      <c r="G881" s="1" t="str">
        <f>IFERROR(IF(ventas_b_mes684[[#This Row],[CUIT]]="","-",VLOOKUP(ventas_b_mes684[[#This Row],[CUIT]],Lista_CUIT[#All],2,0)),"CUIT NO CARGADO")</f>
        <v>-</v>
      </c>
      <c r="H881" s="64"/>
      <c r="I881" s="64">
        <f>ventas_b_mes684[[#This Row],[IMPORTE NETO]]*0.21</f>
        <v>0</v>
      </c>
      <c r="J881" s="64"/>
      <c r="K881" s="64"/>
      <c r="L881" s="64">
        <f>SUM(ventas_b_mes684[[#This Row],[IMPORTE NETO]:[EXENTO]])</f>
        <v>0</v>
      </c>
      <c r="M881" s="59"/>
    </row>
    <row r="882" spans="2:13" x14ac:dyDescent="0.25">
      <c r="B882" s="40"/>
      <c r="C882" s="41"/>
      <c r="D882" s="42"/>
      <c r="E882" s="43"/>
      <c r="F882" s="44"/>
      <c r="G882" s="1" t="str">
        <f>IFERROR(IF(ventas_b_mes684[[#This Row],[CUIT]]="","-",VLOOKUP(ventas_b_mes684[[#This Row],[CUIT]],Lista_CUIT[#All],2,0)),"CUIT NO CARGADO")</f>
        <v>-</v>
      </c>
      <c r="H882" s="64"/>
      <c r="I882" s="64">
        <f>ventas_b_mes684[[#This Row],[IMPORTE NETO]]*0.21</f>
        <v>0</v>
      </c>
      <c r="J882" s="64"/>
      <c r="K882" s="64"/>
      <c r="L882" s="64">
        <f>SUM(ventas_b_mes684[[#This Row],[IMPORTE NETO]:[EXENTO]])</f>
        <v>0</v>
      </c>
      <c r="M882" s="59"/>
    </row>
    <row r="883" spans="2:13" x14ac:dyDescent="0.25">
      <c r="B883" s="40"/>
      <c r="C883" s="41"/>
      <c r="D883" s="42"/>
      <c r="E883" s="43"/>
      <c r="F883" s="44"/>
      <c r="G883" s="1" t="str">
        <f>IFERROR(IF(ventas_b_mes684[[#This Row],[CUIT]]="","-",VLOOKUP(ventas_b_mes684[[#This Row],[CUIT]],Lista_CUIT[#All],2,0)),"CUIT NO CARGADO")</f>
        <v>-</v>
      </c>
      <c r="H883" s="64"/>
      <c r="I883" s="64">
        <f>ventas_b_mes684[[#This Row],[IMPORTE NETO]]*0.21</f>
        <v>0</v>
      </c>
      <c r="J883" s="64"/>
      <c r="K883" s="64"/>
      <c r="L883" s="64">
        <f>SUM(ventas_b_mes684[[#This Row],[IMPORTE NETO]:[EXENTO]])</f>
        <v>0</v>
      </c>
      <c r="M883" s="59"/>
    </row>
    <row r="884" spans="2:13" x14ac:dyDescent="0.25">
      <c r="B884" s="40"/>
      <c r="C884" s="41"/>
      <c r="D884" s="42"/>
      <c r="E884" s="43"/>
      <c r="F884" s="44"/>
      <c r="G884" s="1" t="str">
        <f>IFERROR(IF(ventas_b_mes684[[#This Row],[CUIT]]="","-",VLOOKUP(ventas_b_mes684[[#This Row],[CUIT]],Lista_CUIT[#All],2,0)),"CUIT NO CARGADO")</f>
        <v>-</v>
      </c>
      <c r="H884" s="64"/>
      <c r="I884" s="64">
        <f>ventas_b_mes684[[#This Row],[IMPORTE NETO]]*0.21</f>
        <v>0</v>
      </c>
      <c r="J884" s="64"/>
      <c r="K884" s="64"/>
      <c r="L884" s="64">
        <f>SUM(ventas_b_mes684[[#This Row],[IMPORTE NETO]:[EXENTO]])</f>
        <v>0</v>
      </c>
      <c r="M884" s="59"/>
    </row>
    <row r="885" spans="2:13" x14ac:dyDescent="0.25">
      <c r="B885" s="40"/>
      <c r="C885" s="41"/>
      <c r="D885" s="42"/>
      <c r="E885" s="43"/>
      <c r="F885" s="44"/>
      <c r="G885" s="1" t="str">
        <f>IFERROR(IF(ventas_b_mes684[[#This Row],[CUIT]]="","-",VLOOKUP(ventas_b_mes684[[#This Row],[CUIT]],Lista_CUIT[#All],2,0)),"CUIT NO CARGADO")</f>
        <v>-</v>
      </c>
      <c r="H885" s="64"/>
      <c r="I885" s="64">
        <f>ventas_b_mes684[[#This Row],[IMPORTE NETO]]*0.21</f>
        <v>0</v>
      </c>
      <c r="J885" s="64"/>
      <c r="K885" s="64"/>
      <c r="L885" s="64">
        <f>SUM(ventas_b_mes684[[#This Row],[IMPORTE NETO]:[EXENTO]])</f>
        <v>0</v>
      </c>
      <c r="M885" s="59"/>
    </row>
    <row r="886" spans="2:13" x14ac:dyDescent="0.25">
      <c r="B886" s="40"/>
      <c r="C886" s="41"/>
      <c r="D886" s="42"/>
      <c r="E886" s="43"/>
      <c r="F886" s="44"/>
      <c r="G886" s="1" t="str">
        <f>IFERROR(IF(ventas_b_mes684[[#This Row],[CUIT]]="","-",VLOOKUP(ventas_b_mes684[[#This Row],[CUIT]],Lista_CUIT[#All],2,0)),"CUIT NO CARGADO")</f>
        <v>-</v>
      </c>
      <c r="H886" s="64"/>
      <c r="I886" s="64">
        <f>ventas_b_mes684[[#This Row],[IMPORTE NETO]]*0.21</f>
        <v>0</v>
      </c>
      <c r="J886" s="64"/>
      <c r="K886" s="64"/>
      <c r="L886" s="64">
        <f>SUM(ventas_b_mes684[[#This Row],[IMPORTE NETO]:[EXENTO]])</f>
        <v>0</v>
      </c>
      <c r="M886" s="59"/>
    </row>
    <row r="887" spans="2:13" x14ac:dyDescent="0.25">
      <c r="B887" s="40"/>
      <c r="C887" s="41"/>
      <c r="D887" s="42"/>
      <c r="E887" s="43"/>
      <c r="F887" s="44"/>
      <c r="G887" s="1" t="str">
        <f>IFERROR(IF(ventas_b_mes684[[#This Row],[CUIT]]="","-",VLOOKUP(ventas_b_mes684[[#This Row],[CUIT]],Lista_CUIT[#All],2,0)),"CUIT NO CARGADO")</f>
        <v>-</v>
      </c>
      <c r="H887" s="64"/>
      <c r="I887" s="64">
        <f>ventas_b_mes684[[#This Row],[IMPORTE NETO]]*0.21</f>
        <v>0</v>
      </c>
      <c r="J887" s="64"/>
      <c r="K887" s="64"/>
      <c r="L887" s="64">
        <f>SUM(ventas_b_mes684[[#This Row],[IMPORTE NETO]:[EXENTO]])</f>
        <v>0</v>
      </c>
      <c r="M887" s="59"/>
    </row>
    <row r="888" spans="2:13" x14ac:dyDescent="0.25">
      <c r="B888" s="40"/>
      <c r="C888" s="41"/>
      <c r="D888" s="42"/>
      <c r="E888" s="43"/>
      <c r="F888" s="44"/>
      <c r="G888" s="1" t="str">
        <f>IFERROR(IF(ventas_b_mes684[[#This Row],[CUIT]]="","-",VLOOKUP(ventas_b_mes684[[#This Row],[CUIT]],Lista_CUIT[#All],2,0)),"CUIT NO CARGADO")</f>
        <v>-</v>
      </c>
      <c r="H888" s="64"/>
      <c r="I888" s="64">
        <f>ventas_b_mes684[[#This Row],[IMPORTE NETO]]*0.21</f>
        <v>0</v>
      </c>
      <c r="J888" s="64"/>
      <c r="K888" s="64"/>
      <c r="L888" s="64">
        <f>SUM(ventas_b_mes684[[#This Row],[IMPORTE NETO]:[EXENTO]])</f>
        <v>0</v>
      </c>
      <c r="M888" s="59"/>
    </row>
    <row r="889" spans="2:13" x14ac:dyDescent="0.25">
      <c r="B889" s="40"/>
      <c r="C889" s="41"/>
      <c r="D889" s="42"/>
      <c r="E889" s="43"/>
      <c r="F889" s="44"/>
      <c r="G889" s="1" t="str">
        <f>IFERROR(IF(ventas_b_mes684[[#This Row],[CUIT]]="","-",VLOOKUP(ventas_b_mes684[[#This Row],[CUIT]],Lista_CUIT[#All],2,0)),"CUIT NO CARGADO")</f>
        <v>-</v>
      </c>
      <c r="H889" s="64"/>
      <c r="I889" s="64">
        <f>ventas_b_mes684[[#This Row],[IMPORTE NETO]]*0.21</f>
        <v>0</v>
      </c>
      <c r="J889" s="64"/>
      <c r="K889" s="64"/>
      <c r="L889" s="64">
        <f>SUM(ventas_b_mes684[[#This Row],[IMPORTE NETO]:[EXENTO]])</f>
        <v>0</v>
      </c>
      <c r="M889" s="59"/>
    </row>
    <row r="890" spans="2:13" x14ac:dyDescent="0.25">
      <c r="B890" s="40"/>
      <c r="C890" s="41"/>
      <c r="D890" s="42"/>
      <c r="E890" s="43"/>
      <c r="F890" s="44"/>
      <c r="G890" s="1" t="str">
        <f>IFERROR(IF(ventas_b_mes684[[#This Row],[CUIT]]="","-",VLOOKUP(ventas_b_mes684[[#This Row],[CUIT]],Lista_CUIT[#All],2,0)),"CUIT NO CARGADO")</f>
        <v>-</v>
      </c>
      <c r="H890" s="64"/>
      <c r="I890" s="64">
        <f>ventas_b_mes684[[#This Row],[IMPORTE NETO]]*0.21</f>
        <v>0</v>
      </c>
      <c r="J890" s="64"/>
      <c r="K890" s="64"/>
      <c r="L890" s="64">
        <f>SUM(ventas_b_mes684[[#This Row],[IMPORTE NETO]:[EXENTO]])</f>
        <v>0</v>
      </c>
      <c r="M890" s="59"/>
    </row>
    <row r="891" spans="2:13" x14ac:dyDescent="0.25">
      <c r="B891" s="40"/>
      <c r="C891" s="41"/>
      <c r="D891" s="42"/>
      <c r="E891" s="43"/>
      <c r="F891" s="44"/>
      <c r="G891" s="1" t="str">
        <f>IFERROR(IF(ventas_b_mes684[[#This Row],[CUIT]]="","-",VLOOKUP(ventas_b_mes684[[#This Row],[CUIT]],Lista_CUIT[#All],2,0)),"CUIT NO CARGADO")</f>
        <v>-</v>
      </c>
      <c r="H891" s="64"/>
      <c r="I891" s="64">
        <f>ventas_b_mes684[[#This Row],[IMPORTE NETO]]*0.21</f>
        <v>0</v>
      </c>
      <c r="J891" s="64"/>
      <c r="K891" s="64"/>
      <c r="L891" s="64">
        <f>SUM(ventas_b_mes684[[#This Row],[IMPORTE NETO]:[EXENTO]])</f>
        <v>0</v>
      </c>
      <c r="M891" s="59"/>
    </row>
    <row r="892" spans="2:13" x14ac:dyDescent="0.25">
      <c r="B892" s="40"/>
      <c r="C892" s="41"/>
      <c r="D892" s="42"/>
      <c r="E892" s="43"/>
      <c r="F892" s="44"/>
      <c r="G892" s="1" t="str">
        <f>IFERROR(IF(ventas_b_mes684[[#This Row],[CUIT]]="","-",VLOOKUP(ventas_b_mes684[[#This Row],[CUIT]],Lista_CUIT[#All],2,0)),"CUIT NO CARGADO")</f>
        <v>-</v>
      </c>
      <c r="H892" s="64"/>
      <c r="I892" s="64">
        <f>ventas_b_mes684[[#This Row],[IMPORTE NETO]]*0.21</f>
        <v>0</v>
      </c>
      <c r="J892" s="64"/>
      <c r="K892" s="64"/>
      <c r="L892" s="64">
        <f>SUM(ventas_b_mes684[[#This Row],[IMPORTE NETO]:[EXENTO]])</f>
        <v>0</v>
      </c>
      <c r="M892" s="59"/>
    </row>
    <row r="893" spans="2:13" x14ac:dyDescent="0.25">
      <c r="B893" s="40"/>
      <c r="C893" s="41"/>
      <c r="D893" s="42"/>
      <c r="E893" s="43"/>
      <c r="F893" s="44"/>
      <c r="G893" s="1" t="str">
        <f>IFERROR(IF(ventas_b_mes684[[#This Row],[CUIT]]="","-",VLOOKUP(ventas_b_mes684[[#This Row],[CUIT]],Lista_CUIT[#All],2,0)),"CUIT NO CARGADO")</f>
        <v>-</v>
      </c>
      <c r="H893" s="64"/>
      <c r="I893" s="64">
        <f>ventas_b_mes684[[#This Row],[IMPORTE NETO]]*0.21</f>
        <v>0</v>
      </c>
      <c r="J893" s="64"/>
      <c r="K893" s="64"/>
      <c r="L893" s="64">
        <f>SUM(ventas_b_mes684[[#This Row],[IMPORTE NETO]:[EXENTO]])</f>
        <v>0</v>
      </c>
      <c r="M893" s="59"/>
    </row>
    <row r="894" spans="2:13" x14ac:dyDescent="0.25">
      <c r="B894" s="40"/>
      <c r="C894" s="41"/>
      <c r="D894" s="42"/>
      <c r="E894" s="43"/>
      <c r="F894" s="44"/>
      <c r="G894" s="1" t="str">
        <f>IFERROR(IF(ventas_b_mes684[[#This Row],[CUIT]]="","-",VLOOKUP(ventas_b_mes684[[#This Row],[CUIT]],Lista_CUIT[#All],2,0)),"CUIT NO CARGADO")</f>
        <v>-</v>
      </c>
      <c r="H894" s="64"/>
      <c r="I894" s="64">
        <f>ventas_b_mes684[[#This Row],[IMPORTE NETO]]*0.21</f>
        <v>0</v>
      </c>
      <c r="J894" s="64"/>
      <c r="K894" s="64"/>
      <c r="L894" s="64">
        <f>SUM(ventas_b_mes684[[#This Row],[IMPORTE NETO]:[EXENTO]])</f>
        <v>0</v>
      </c>
      <c r="M894" s="59"/>
    </row>
    <row r="895" spans="2:13" x14ac:dyDescent="0.25">
      <c r="B895" s="40"/>
      <c r="C895" s="41"/>
      <c r="D895" s="42"/>
      <c r="E895" s="43"/>
      <c r="F895" s="44"/>
      <c r="G895" s="1" t="str">
        <f>IFERROR(IF(ventas_b_mes684[[#This Row],[CUIT]]="","-",VLOOKUP(ventas_b_mes684[[#This Row],[CUIT]],Lista_CUIT[#All],2,0)),"CUIT NO CARGADO")</f>
        <v>-</v>
      </c>
      <c r="H895" s="64"/>
      <c r="I895" s="64">
        <f>ventas_b_mes684[[#This Row],[IMPORTE NETO]]*0.21</f>
        <v>0</v>
      </c>
      <c r="J895" s="64"/>
      <c r="K895" s="64"/>
      <c r="L895" s="64">
        <f>SUM(ventas_b_mes684[[#This Row],[IMPORTE NETO]:[EXENTO]])</f>
        <v>0</v>
      </c>
      <c r="M895" s="59"/>
    </row>
    <row r="896" spans="2:13" x14ac:dyDescent="0.25">
      <c r="B896" s="40"/>
      <c r="C896" s="41"/>
      <c r="D896" s="42"/>
      <c r="E896" s="43"/>
      <c r="F896" s="44"/>
      <c r="G896" s="1" t="str">
        <f>IFERROR(IF(ventas_b_mes684[[#This Row],[CUIT]]="","-",VLOOKUP(ventas_b_mes684[[#This Row],[CUIT]],Lista_CUIT[#All],2,0)),"CUIT NO CARGADO")</f>
        <v>-</v>
      </c>
      <c r="H896" s="64"/>
      <c r="I896" s="64">
        <f>ventas_b_mes684[[#This Row],[IMPORTE NETO]]*0.21</f>
        <v>0</v>
      </c>
      <c r="J896" s="64"/>
      <c r="K896" s="64"/>
      <c r="L896" s="64">
        <f>SUM(ventas_b_mes684[[#This Row],[IMPORTE NETO]:[EXENTO]])</f>
        <v>0</v>
      </c>
      <c r="M896" s="59"/>
    </row>
    <row r="897" spans="2:13" x14ac:dyDescent="0.25">
      <c r="B897" s="40"/>
      <c r="C897" s="41"/>
      <c r="D897" s="42"/>
      <c r="E897" s="43"/>
      <c r="F897" s="44"/>
      <c r="G897" s="1" t="str">
        <f>IFERROR(IF(ventas_b_mes684[[#This Row],[CUIT]]="","-",VLOOKUP(ventas_b_mes684[[#This Row],[CUIT]],Lista_CUIT[#All],2,0)),"CUIT NO CARGADO")</f>
        <v>-</v>
      </c>
      <c r="H897" s="64"/>
      <c r="I897" s="64">
        <f>ventas_b_mes684[[#This Row],[IMPORTE NETO]]*0.21</f>
        <v>0</v>
      </c>
      <c r="J897" s="64"/>
      <c r="K897" s="64"/>
      <c r="L897" s="64">
        <f>SUM(ventas_b_mes684[[#This Row],[IMPORTE NETO]:[EXENTO]])</f>
        <v>0</v>
      </c>
      <c r="M897" s="59"/>
    </row>
    <row r="898" spans="2:13" x14ac:dyDescent="0.25">
      <c r="B898" s="40"/>
      <c r="C898" s="41"/>
      <c r="D898" s="42"/>
      <c r="E898" s="43"/>
      <c r="F898" s="44"/>
      <c r="G898" s="1" t="str">
        <f>IFERROR(IF(ventas_b_mes684[[#This Row],[CUIT]]="","-",VLOOKUP(ventas_b_mes684[[#This Row],[CUIT]],Lista_CUIT[#All],2,0)),"CUIT NO CARGADO")</f>
        <v>-</v>
      </c>
      <c r="H898" s="64"/>
      <c r="I898" s="64">
        <f>ventas_b_mes684[[#This Row],[IMPORTE NETO]]*0.21</f>
        <v>0</v>
      </c>
      <c r="J898" s="64"/>
      <c r="K898" s="64"/>
      <c r="L898" s="64">
        <f>SUM(ventas_b_mes684[[#This Row],[IMPORTE NETO]:[EXENTO]])</f>
        <v>0</v>
      </c>
      <c r="M898" s="59"/>
    </row>
    <row r="899" spans="2:13" x14ac:dyDescent="0.25">
      <c r="B899" s="40"/>
      <c r="C899" s="41"/>
      <c r="D899" s="42"/>
      <c r="E899" s="43"/>
      <c r="F899" s="44"/>
      <c r="G899" s="1" t="str">
        <f>IFERROR(IF(ventas_b_mes684[[#This Row],[CUIT]]="","-",VLOOKUP(ventas_b_mes684[[#This Row],[CUIT]],Lista_CUIT[#All],2,0)),"CUIT NO CARGADO")</f>
        <v>-</v>
      </c>
      <c r="H899" s="64"/>
      <c r="I899" s="64">
        <f>ventas_b_mes684[[#This Row],[IMPORTE NETO]]*0.21</f>
        <v>0</v>
      </c>
      <c r="J899" s="64"/>
      <c r="K899" s="64"/>
      <c r="L899" s="64">
        <f>SUM(ventas_b_mes684[[#This Row],[IMPORTE NETO]:[EXENTO]])</f>
        <v>0</v>
      </c>
      <c r="M899" s="59"/>
    </row>
    <row r="900" spans="2:13" x14ac:dyDescent="0.25">
      <c r="B900" s="40"/>
      <c r="C900" s="41"/>
      <c r="D900" s="42"/>
      <c r="E900" s="43"/>
      <c r="F900" s="44"/>
      <c r="G900" s="1" t="str">
        <f>IFERROR(IF(ventas_b_mes684[[#This Row],[CUIT]]="","-",VLOOKUP(ventas_b_mes684[[#This Row],[CUIT]],Lista_CUIT[#All],2,0)),"CUIT NO CARGADO")</f>
        <v>-</v>
      </c>
      <c r="H900" s="64"/>
      <c r="I900" s="64">
        <f>ventas_b_mes684[[#This Row],[IMPORTE NETO]]*0.21</f>
        <v>0</v>
      </c>
      <c r="J900" s="64"/>
      <c r="K900" s="64"/>
      <c r="L900" s="64">
        <f>SUM(ventas_b_mes684[[#This Row],[IMPORTE NETO]:[EXENTO]])</f>
        <v>0</v>
      </c>
      <c r="M900" s="59"/>
    </row>
    <row r="901" spans="2:13" x14ac:dyDescent="0.25">
      <c r="B901" s="40"/>
      <c r="C901" s="41"/>
      <c r="D901" s="42"/>
      <c r="E901" s="43"/>
      <c r="F901" s="44"/>
      <c r="G901" s="1" t="str">
        <f>IFERROR(IF(ventas_b_mes684[[#This Row],[CUIT]]="","-",VLOOKUP(ventas_b_mes684[[#This Row],[CUIT]],Lista_CUIT[#All],2,0)),"CUIT NO CARGADO")</f>
        <v>-</v>
      </c>
      <c r="H901" s="64"/>
      <c r="I901" s="64">
        <f>ventas_b_mes684[[#This Row],[IMPORTE NETO]]*0.21</f>
        <v>0</v>
      </c>
      <c r="J901" s="64"/>
      <c r="K901" s="64"/>
      <c r="L901" s="64">
        <f>SUM(ventas_b_mes684[[#This Row],[IMPORTE NETO]:[EXENTO]])</f>
        <v>0</v>
      </c>
      <c r="M901" s="59"/>
    </row>
    <row r="902" spans="2:13" x14ac:dyDescent="0.25">
      <c r="B902" s="40"/>
      <c r="C902" s="41"/>
      <c r="D902" s="42"/>
      <c r="E902" s="43"/>
      <c r="F902" s="44"/>
      <c r="G902" s="1" t="str">
        <f>IFERROR(IF(ventas_b_mes684[[#This Row],[CUIT]]="","-",VLOOKUP(ventas_b_mes684[[#This Row],[CUIT]],Lista_CUIT[#All],2,0)),"CUIT NO CARGADO")</f>
        <v>-</v>
      </c>
      <c r="H902" s="64"/>
      <c r="I902" s="64">
        <f>ventas_b_mes684[[#This Row],[IMPORTE NETO]]*0.21</f>
        <v>0</v>
      </c>
      <c r="J902" s="64"/>
      <c r="K902" s="64"/>
      <c r="L902" s="64">
        <f>SUM(ventas_b_mes684[[#This Row],[IMPORTE NETO]:[EXENTO]])</f>
        <v>0</v>
      </c>
      <c r="M902" s="59"/>
    </row>
    <row r="903" spans="2:13" x14ac:dyDescent="0.25">
      <c r="B903" s="40"/>
      <c r="C903" s="41"/>
      <c r="D903" s="42"/>
      <c r="E903" s="43"/>
      <c r="F903" s="44"/>
      <c r="G903" s="1" t="str">
        <f>IFERROR(IF(ventas_b_mes684[[#This Row],[CUIT]]="","-",VLOOKUP(ventas_b_mes684[[#This Row],[CUIT]],Lista_CUIT[#All],2,0)),"CUIT NO CARGADO")</f>
        <v>-</v>
      </c>
      <c r="H903" s="64"/>
      <c r="I903" s="64">
        <f>ventas_b_mes684[[#This Row],[IMPORTE NETO]]*0.21</f>
        <v>0</v>
      </c>
      <c r="J903" s="64"/>
      <c r="K903" s="64"/>
      <c r="L903" s="64">
        <f>SUM(ventas_b_mes684[[#This Row],[IMPORTE NETO]:[EXENTO]])</f>
        <v>0</v>
      </c>
      <c r="M903" s="59"/>
    </row>
    <row r="904" spans="2:13" x14ac:dyDescent="0.25">
      <c r="B904" s="40"/>
      <c r="C904" s="41"/>
      <c r="D904" s="42"/>
      <c r="E904" s="43"/>
      <c r="F904" s="44"/>
      <c r="G904" s="1" t="str">
        <f>IFERROR(IF(ventas_b_mes684[[#This Row],[CUIT]]="","-",VLOOKUP(ventas_b_mes684[[#This Row],[CUIT]],Lista_CUIT[#All],2,0)),"CUIT NO CARGADO")</f>
        <v>-</v>
      </c>
      <c r="H904" s="64"/>
      <c r="I904" s="64">
        <f>ventas_b_mes684[[#This Row],[IMPORTE NETO]]*0.21</f>
        <v>0</v>
      </c>
      <c r="J904" s="64"/>
      <c r="K904" s="64"/>
      <c r="L904" s="64">
        <f>SUM(ventas_b_mes684[[#This Row],[IMPORTE NETO]:[EXENTO]])</f>
        <v>0</v>
      </c>
      <c r="M904" s="59"/>
    </row>
    <row r="905" spans="2:13" x14ac:dyDescent="0.25">
      <c r="B905" s="40"/>
      <c r="C905" s="41"/>
      <c r="D905" s="42"/>
      <c r="E905" s="43"/>
      <c r="F905" s="44"/>
      <c r="G905" s="1" t="str">
        <f>IFERROR(IF(ventas_b_mes684[[#This Row],[CUIT]]="","-",VLOOKUP(ventas_b_mes684[[#This Row],[CUIT]],Lista_CUIT[#All],2,0)),"CUIT NO CARGADO")</f>
        <v>-</v>
      </c>
      <c r="H905" s="64"/>
      <c r="I905" s="64">
        <f>ventas_b_mes684[[#This Row],[IMPORTE NETO]]*0.21</f>
        <v>0</v>
      </c>
      <c r="J905" s="64"/>
      <c r="K905" s="64"/>
      <c r="L905" s="64">
        <f>SUM(ventas_b_mes684[[#This Row],[IMPORTE NETO]:[EXENTO]])</f>
        <v>0</v>
      </c>
      <c r="M905" s="59"/>
    </row>
    <row r="906" spans="2:13" x14ac:dyDescent="0.25">
      <c r="B906" s="40"/>
      <c r="C906" s="41"/>
      <c r="D906" s="42"/>
      <c r="E906" s="43"/>
      <c r="F906" s="44"/>
      <c r="G906" s="1" t="str">
        <f>IFERROR(IF(ventas_b_mes684[[#This Row],[CUIT]]="","-",VLOOKUP(ventas_b_mes684[[#This Row],[CUIT]],Lista_CUIT[#All],2,0)),"CUIT NO CARGADO")</f>
        <v>-</v>
      </c>
      <c r="H906" s="64"/>
      <c r="I906" s="64">
        <f>ventas_b_mes684[[#This Row],[IMPORTE NETO]]*0.21</f>
        <v>0</v>
      </c>
      <c r="J906" s="64"/>
      <c r="K906" s="64"/>
      <c r="L906" s="64">
        <f>SUM(ventas_b_mes684[[#This Row],[IMPORTE NETO]:[EXENTO]])</f>
        <v>0</v>
      </c>
      <c r="M906" s="59"/>
    </row>
    <row r="907" spans="2:13" x14ac:dyDescent="0.25">
      <c r="B907" s="40"/>
      <c r="C907" s="41"/>
      <c r="D907" s="42"/>
      <c r="E907" s="43"/>
      <c r="F907" s="44"/>
      <c r="G907" s="1" t="str">
        <f>IFERROR(IF(ventas_b_mes684[[#This Row],[CUIT]]="","-",VLOOKUP(ventas_b_mes684[[#This Row],[CUIT]],Lista_CUIT[#All],2,0)),"CUIT NO CARGADO")</f>
        <v>-</v>
      </c>
      <c r="H907" s="64"/>
      <c r="I907" s="64">
        <f>ventas_b_mes684[[#This Row],[IMPORTE NETO]]*0.21</f>
        <v>0</v>
      </c>
      <c r="J907" s="64"/>
      <c r="K907" s="64"/>
      <c r="L907" s="64">
        <f>SUM(ventas_b_mes684[[#This Row],[IMPORTE NETO]:[EXENTO]])</f>
        <v>0</v>
      </c>
      <c r="M907" s="59"/>
    </row>
    <row r="908" spans="2:13" x14ac:dyDescent="0.25">
      <c r="B908" s="40"/>
      <c r="C908" s="41"/>
      <c r="D908" s="42"/>
      <c r="E908" s="43"/>
      <c r="F908" s="44"/>
      <c r="G908" s="1" t="str">
        <f>IFERROR(IF(ventas_b_mes684[[#This Row],[CUIT]]="","-",VLOOKUP(ventas_b_mes684[[#This Row],[CUIT]],Lista_CUIT[#All],2,0)),"CUIT NO CARGADO")</f>
        <v>-</v>
      </c>
      <c r="H908" s="64"/>
      <c r="I908" s="64">
        <f>ventas_b_mes684[[#This Row],[IMPORTE NETO]]*0.21</f>
        <v>0</v>
      </c>
      <c r="J908" s="64"/>
      <c r="K908" s="64"/>
      <c r="L908" s="64">
        <f>SUM(ventas_b_mes684[[#This Row],[IMPORTE NETO]:[EXENTO]])</f>
        <v>0</v>
      </c>
      <c r="M908" s="59"/>
    </row>
    <row r="909" spans="2:13" x14ac:dyDescent="0.25">
      <c r="B909" s="40"/>
      <c r="C909" s="41"/>
      <c r="D909" s="42"/>
      <c r="E909" s="43"/>
      <c r="F909" s="44"/>
      <c r="G909" s="1" t="str">
        <f>IFERROR(IF(ventas_b_mes684[[#This Row],[CUIT]]="","-",VLOOKUP(ventas_b_mes684[[#This Row],[CUIT]],Lista_CUIT[#All],2,0)),"CUIT NO CARGADO")</f>
        <v>-</v>
      </c>
      <c r="H909" s="64"/>
      <c r="I909" s="64">
        <f>ventas_b_mes684[[#This Row],[IMPORTE NETO]]*0.21</f>
        <v>0</v>
      </c>
      <c r="J909" s="64"/>
      <c r="K909" s="64"/>
      <c r="L909" s="64">
        <f>SUM(ventas_b_mes684[[#This Row],[IMPORTE NETO]:[EXENTO]])</f>
        <v>0</v>
      </c>
      <c r="M909" s="59"/>
    </row>
    <row r="910" spans="2:13" x14ac:dyDescent="0.25">
      <c r="B910" s="40"/>
      <c r="C910" s="41"/>
      <c r="D910" s="42"/>
      <c r="E910" s="43"/>
      <c r="F910" s="44"/>
      <c r="G910" s="1" t="str">
        <f>IFERROR(IF(ventas_b_mes684[[#This Row],[CUIT]]="","-",VLOOKUP(ventas_b_mes684[[#This Row],[CUIT]],Lista_CUIT[#All],2,0)),"CUIT NO CARGADO")</f>
        <v>-</v>
      </c>
      <c r="H910" s="64"/>
      <c r="I910" s="64">
        <f>ventas_b_mes684[[#This Row],[IMPORTE NETO]]*0.21</f>
        <v>0</v>
      </c>
      <c r="J910" s="64"/>
      <c r="K910" s="64"/>
      <c r="L910" s="64">
        <f>SUM(ventas_b_mes684[[#This Row],[IMPORTE NETO]:[EXENTO]])</f>
        <v>0</v>
      </c>
      <c r="M910" s="59"/>
    </row>
    <row r="911" spans="2:13" x14ac:dyDescent="0.25">
      <c r="B911" s="40"/>
      <c r="C911" s="41"/>
      <c r="D911" s="42"/>
      <c r="E911" s="43"/>
      <c r="F911" s="44"/>
      <c r="G911" s="1" t="str">
        <f>IFERROR(IF(ventas_b_mes684[[#This Row],[CUIT]]="","-",VLOOKUP(ventas_b_mes684[[#This Row],[CUIT]],Lista_CUIT[#All],2,0)),"CUIT NO CARGADO")</f>
        <v>-</v>
      </c>
      <c r="H911" s="64"/>
      <c r="I911" s="64">
        <f>ventas_b_mes684[[#This Row],[IMPORTE NETO]]*0.21</f>
        <v>0</v>
      </c>
      <c r="J911" s="64"/>
      <c r="K911" s="64"/>
      <c r="L911" s="64">
        <f>SUM(ventas_b_mes684[[#This Row],[IMPORTE NETO]:[EXENTO]])</f>
        <v>0</v>
      </c>
      <c r="M911" s="59"/>
    </row>
    <row r="912" spans="2:13" x14ac:dyDescent="0.25">
      <c r="B912" s="40"/>
      <c r="C912" s="41"/>
      <c r="D912" s="42"/>
      <c r="E912" s="43"/>
      <c r="F912" s="44"/>
      <c r="G912" s="1" t="str">
        <f>IFERROR(IF(ventas_b_mes684[[#This Row],[CUIT]]="","-",VLOOKUP(ventas_b_mes684[[#This Row],[CUIT]],Lista_CUIT[#All],2,0)),"CUIT NO CARGADO")</f>
        <v>-</v>
      </c>
      <c r="H912" s="64"/>
      <c r="I912" s="64">
        <f>ventas_b_mes684[[#This Row],[IMPORTE NETO]]*0.21</f>
        <v>0</v>
      </c>
      <c r="J912" s="64"/>
      <c r="K912" s="64"/>
      <c r="L912" s="64">
        <f>SUM(ventas_b_mes684[[#This Row],[IMPORTE NETO]:[EXENTO]])</f>
        <v>0</v>
      </c>
      <c r="M912" s="59"/>
    </row>
    <row r="913" spans="2:13" x14ac:dyDescent="0.25">
      <c r="B913" s="40"/>
      <c r="C913" s="41"/>
      <c r="D913" s="42"/>
      <c r="E913" s="43"/>
      <c r="F913" s="44"/>
      <c r="G913" s="1" t="str">
        <f>IFERROR(IF(ventas_b_mes684[[#This Row],[CUIT]]="","-",VLOOKUP(ventas_b_mes684[[#This Row],[CUIT]],Lista_CUIT[#All],2,0)),"CUIT NO CARGADO")</f>
        <v>-</v>
      </c>
      <c r="H913" s="64"/>
      <c r="I913" s="64">
        <f>ventas_b_mes684[[#This Row],[IMPORTE NETO]]*0.21</f>
        <v>0</v>
      </c>
      <c r="J913" s="64"/>
      <c r="K913" s="64"/>
      <c r="L913" s="64">
        <f>SUM(ventas_b_mes684[[#This Row],[IMPORTE NETO]:[EXENTO]])</f>
        <v>0</v>
      </c>
      <c r="M913" s="59"/>
    </row>
    <row r="914" spans="2:13" x14ac:dyDescent="0.25">
      <c r="B914" s="40"/>
      <c r="C914" s="41"/>
      <c r="D914" s="42"/>
      <c r="E914" s="43"/>
      <c r="F914" s="44"/>
      <c r="G914" s="1" t="str">
        <f>IFERROR(IF(ventas_b_mes684[[#This Row],[CUIT]]="","-",VLOOKUP(ventas_b_mes684[[#This Row],[CUIT]],Lista_CUIT[#All],2,0)),"CUIT NO CARGADO")</f>
        <v>-</v>
      </c>
      <c r="H914" s="64"/>
      <c r="I914" s="64">
        <f>ventas_b_mes684[[#This Row],[IMPORTE NETO]]*0.21</f>
        <v>0</v>
      </c>
      <c r="J914" s="64"/>
      <c r="K914" s="64"/>
      <c r="L914" s="64">
        <f>SUM(ventas_b_mes684[[#This Row],[IMPORTE NETO]:[EXENTO]])</f>
        <v>0</v>
      </c>
      <c r="M914" s="59"/>
    </row>
    <row r="915" spans="2:13" x14ac:dyDescent="0.25">
      <c r="B915" s="40"/>
      <c r="C915" s="41"/>
      <c r="D915" s="42"/>
      <c r="E915" s="43"/>
      <c r="F915" s="44"/>
      <c r="G915" s="1" t="str">
        <f>IFERROR(IF(ventas_b_mes684[[#This Row],[CUIT]]="","-",VLOOKUP(ventas_b_mes684[[#This Row],[CUIT]],Lista_CUIT[#All],2,0)),"CUIT NO CARGADO")</f>
        <v>-</v>
      </c>
      <c r="H915" s="64"/>
      <c r="I915" s="64">
        <f>ventas_b_mes684[[#This Row],[IMPORTE NETO]]*0.21</f>
        <v>0</v>
      </c>
      <c r="J915" s="64"/>
      <c r="K915" s="64"/>
      <c r="L915" s="64">
        <f>SUM(ventas_b_mes684[[#This Row],[IMPORTE NETO]:[EXENTO]])</f>
        <v>0</v>
      </c>
      <c r="M915" s="59"/>
    </row>
    <row r="916" spans="2:13" x14ac:dyDescent="0.25">
      <c r="B916" s="40"/>
      <c r="C916" s="41"/>
      <c r="D916" s="42"/>
      <c r="E916" s="43"/>
      <c r="F916" s="44"/>
      <c r="G916" s="1" t="str">
        <f>IFERROR(IF(ventas_b_mes684[[#This Row],[CUIT]]="","-",VLOOKUP(ventas_b_mes684[[#This Row],[CUIT]],Lista_CUIT[#All],2,0)),"CUIT NO CARGADO")</f>
        <v>-</v>
      </c>
      <c r="H916" s="64"/>
      <c r="I916" s="64">
        <f>ventas_b_mes684[[#This Row],[IMPORTE NETO]]*0.21</f>
        <v>0</v>
      </c>
      <c r="J916" s="64"/>
      <c r="K916" s="64"/>
      <c r="L916" s="64">
        <f>SUM(ventas_b_mes684[[#This Row],[IMPORTE NETO]:[EXENTO]])</f>
        <v>0</v>
      </c>
      <c r="M916" s="59"/>
    </row>
    <row r="917" spans="2:13" x14ac:dyDescent="0.25">
      <c r="B917" s="40"/>
      <c r="C917" s="41"/>
      <c r="D917" s="42"/>
      <c r="E917" s="43"/>
      <c r="F917" s="44"/>
      <c r="G917" s="1" t="str">
        <f>IFERROR(IF(ventas_b_mes684[[#This Row],[CUIT]]="","-",VLOOKUP(ventas_b_mes684[[#This Row],[CUIT]],Lista_CUIT[#All],2,0)),"CUIT NO CARGADO")</f>
        <v>-</v>
      </c>
      <c r="H917" s="64"/>
      <c r="I917" s="64">
        <f>ventas_b_mes684[[#This Row],[IMPORTE NETO]]*0.21</f>
        <v>0</v>
      </c>
      <c r="J917" s="64"/>
      <c r="K917" s="64"/>
      <c r="L917" s="64">
        <f>SUM(ventas_b_mes684[[#This Row],[IMPORTE NETO]:[EXENTO]])</f>
        <v>0</v>
      </c>
      <c r="M917" s="59"/>
    </row>
    <row r="918" spans="2:13" x14ac:dyDescent="0.25">
      <c r="B918" s="40"/>
      <c r="C918" s="41"/>
      <c r="D918" s="42"/>
      <c r="E918" s="43"/>
      <c r="F918" s="44"/>
      <c r="G918" s="1" t="str">
        <f>IFERROR(IF(ventas_b_mes684[[#This Row],[CUIT]]="","-",VLOOKUP(ventas_b_mes684[[#This Row],[CUIT]],Lista_CUIT[#All],2,0)),"CUIT NO CARGADO")</f>
        <v>-</v>
      </c>
      <c r="H918" s="64"/>
      <c r="I918" s="64">
        <f>ventas_b_mes684[[#This Row],[IMPORTE NETO]]*0.21</f>
        <v>0</v>
      </c>
      <c r="J918" s="64"/>
      <c r="K918" s="64"/>
      <c r="L918" s="64">
        <f>SUM(ventas_b_mes684[[#This Row],[IMPORTE NETO]:[EXENTO]])</f>
        <v>0</v>
      </c>
      <c r="M918" s="59"/>
    </row>
    <row r="919" spans="2:13" x14ac:dyDescent="0.25">
      <c r="B919" s="40"/>
      <c r="C919" s="41"/>
      <c r="D919" s="42"/>
      <c r="E919" s="43"/>
      <c r="F919" s="44"/>
      <c r="G919" s="1" t="str">
        <f>IFERROR(IF(ventas_b_mes684[[#This Row],[CUIT]]="","-",VLOOKUP(ventas_b_mes684[[#This Row],[CUIT]],Lista_CUIT[#All],2,0)),"CUIT NO CARGADO")</f>
        <v>-</v>
      </c>
      <c r="H919" s="64"/>
      <c r="I919" s="64">
        <f>ventas_b_mes684[[#This Row],[IMPORTE NETO]]*0.21</f>
        <v>0</v>
      </c>
      <c r="J919" s="64"/>
      <c r="K919" s="64"/>
      <c r="L919" s="64">
        <f>SUM(ventas_b_mes684[[#This Row],[IMPORTE NETO]:[EXENTO]])</f>
        <v>0</v>
      </c>
      <c r="M919" s="59"/>
    </row>
    <row r="920" spans="2:13" x14ac:dyDescent="0.25">
      <c r="B920" s="40"/>
      <c r="C920" s="41"/>
      <c r="D920" s="42"/>
      <c r="E920" s="43"/>
      <c r="F920" s="44"/>
      <c r="G920" s="1" t="str">
        <f>IFERROR(IF(ventas_b_mes684[[#This Row],[CUIT]]="","-",VLOOKUP(ventas_b_mes684[[#This Row],[CUIT]],Lista_CUIT[#All],2,0)),"CUIT NO CARGADO")</f>
        <v>-</v>
      </c>
      <c r="H920" s="64"/>
      <c r="I920" s="64">
        <f>ventas_b_mes684[[#This Row],[IMPORTE NETO]]*0.21</f>
        <v>0</v>
      </c>
      <c r="J920" s="64"/>
      <c r="K920" s="64"/>
      <c r="L920" s="64">
        <f>SUM(ventas_b_mes684[[#This Row],[IMPORTE NETO]:[EXENTO]])</f>
        <v>0</v>
      </c>
      <c r="M920" s="59"/>
    </row>
    <row r="921" spans="2:13" x14ac:dyDescent="0.25">
      <c r="B921" s="40"/>
      <c r="C921" s="41"/>
      <c r="D921" s="42"/>
      <c r="E921" s="43"/>
      <c r="F921" s="44"/>
      <c r="G921" s="1" t="str">
        <f>IFERROR(IF(ventas_b_mes684[[#This Row],[CUIT]]="","-",VLOOKUP(ventas_b_mes684[[#This Row],[CUIT]],Lista_CUIT[#All],2,0)),"CUIT NO CARGADO")</f>
        <v>-</v>
      </c>
      <c r="H921" s="64"/>
      <c r="I921" s="64">
        <f>ventas_b_mes684[[#This Row],[IMPORTE NETO]]*0.21</f>
        <v>0</v>
      </c>
      <c r="J921" s="64"/>
      <c r="K921" s="64"/>
      <c r="L921" s="64">
        <f>SUM(ventas_b_mes684[[#This Row],[IMPORTE NETO]:[EXENTO]])</f>
        <v>0</v>
      </c>
      <c r="M921" s="59"/>
    </row>
    <row r="922" spans="2:13" x14ac:dyDescent="0.25">
      <c r="B922" s="40"/>
      <c r="C922" s="41"/>
      <c r="D922" s="42"/>
      <c r="E922" s="43"/>
      <c r="F922" s="44"/>
      <c r="G922" s="1" t="str">
        <f>IFERROR(IF(ventas_b_mes684[[#This Row],[CUIT]]="","-",VLOOKUP(ventas_b_mes684[[#This Row],[CUIT]],Lista_CUIT[#All],2,0)),"CUIT NO CARGADO")</f>
        <v>-</v>
      </c>
      <c r="H922" s="64"/>
      <c r="I922" s="64">
        <f>ventas_b_mes684[[#This Row],[IMPORTE NETO]]*0.21</f>
        <v>0</v>
      </c>
      <c r="J922" s="64"/>
      <c r="K922" s="64"/>
      <c r="L922" s="64">
        <f>SUM(ventas_b_mes684[[#This Row],[IMPORTE NETO]:[EXENTO]])</f>
        <v>0</v>
      </c>
      <c r="M922" s="59"/>
    </row>
    <row r="923" spans="2:13" x14ac:dyDescent="0.25">
      <c r="B923" s="40"/>
      <c r="C923" s="41"/>
      <c r="D923" s="42"/>
      <c r="E923" s="43"/>
      <c r="F923" s="44"/>
      <c r="G923" s="1" t="str">
        <f>IFERROR(IF(ventas_b_mes684[[#This Row],[CUIT]]="","-",VLOOKUP(ventas_b_mes684[[#This Row],[CUIT]],Lista_CUIT[#All],2,0)),"CUIT NO CARGADO")</f>
        <v>-</v>
      </c>
      <c r="H923" s="64"/>
      <c r="I923" s="64">
        <f>ventas_b_mes684[[#This Row],[IMPORTE NETO]]*0.21</f>
        <v>0</v>
      </c>
      <c r="J923" s="64"/>
      <c r="K923" s="64"/>
      <c r="L923" s="64">
        <f>SUM(ventas_b_mes684[[#This Row],[IMPORTE NETO]:[EXENTO]])</f>
        <v>0</v>
      </c>
      <c r="M923" s="59"/>
    </row>
    <row r="924" spans="2:13" x14ac:dyDescent="0.25">
      <c r="B924" s="40"/>
      <c r="C924" s="41"/>
      <c r="D924" s="42"/>
      <c r="E924" s="43"/>
      <c r="F924" s="44"/>
      <c r="G924" s="1" t="str">
        <f>IFERROR(IF(ventas_b_mes684[[#This Row],[CUIT]]="","-",VLOOKUP(ventas_b_mes684[[#This Row],[CUIT]],Lista_CUIT[#All],2,0)),"CUIT NO CARGADO")</f>
        <v>-</v>
      </c>
      <c r="H924" s="64"/>
      <c r="I924" s="64">
        <f>ventas_b_mes684[[#This Row],[IMPORTE NETO]]*0.21</f>
        <v>0</v>
      </c>
      <c r="J924" s="64"/>
      <c r="K924" s="64"/>
      <c r="L924" s="64">
        <f>SUM(ventas_b_mes684[[#This Row],[IMPORTE NETO]:[EXENTO]])</f>
        <v>0</v>
      </c>
      <c r="M924" s="59"/>
    </row>
    <row r="925" spans="2:13" x14ac:dyDescent="0.25">
      <c r="B925" s="40"/>
      <c r="C925" s="41"/>
      <c r="D925" s="42"/>
      <c r="E925" s="43"/>
      <c r="F925" s="44"/>
      <c r="G925" s="1" t="str">
        <f>IFERROR(IF(ventas_b_mes684[[#This Row],[CUIT]]="","-",VLOOKUP(ventas_b_mes684[[#This Row],[CUIT]],Lista_CUIT[#All],2,0)),"CUIT NO CARGADO")</f>
        <v>-</v>
      </c>
      <c r="H925" s="64"/>
      <c r="I925" s="64">
        <f>ventas_b_mes684[[#This Row],[IMPORTE NETO]]*0.21</f>
        <v>0</v>
      </c>
      <c r="J925" s="64"/>
      <c r="K925" s="64"/>
      <c r="L925" s="64">
        <f>SUM(ventas_b_mes684[[#This Row],[IMPORTE NETO]:[EXENTO]])</f>
        <v>0</v>
      </c>
      <c r="M925" s="59"/>
    </row>
    <row r="926" spans="2:13" x14ac:dyDescent="0.25">
      <c r="B926" s="40"/>
      <c r="C926" s="41"/>
      <c r="D926" s="42"/>
      <c r="E926" s="43"/>
      <c r="F926" s="44"/>
      <c r="G926" s="1" t="str">
        <f>IFERROR(IF(ventas_b_mes684[[#This Row],[CUIT]]="","-",VLOOKUP(ventas_b_mes684[[#This Row],[CUIT]],Lista_CUIT[#All],2,0)),"CUIT NO CARGADO")</f>
        <v>-</v>
      </c>
      <c r="H926" s="64"/>
      <c r="I926" s="64">
        <f>ventas_b_mes684[[#This Row],[IMPORTE NETO]]*0.21</f>
        <v>0</v>
      </c>
      <c r="J926" s="64"/>
      <c r="K926" s="64"/>
      <c r="L926" s="64">
        <f>SUM(ventas_b_mes684[[#This Row],[IMPORTE NETO]:[EXENTO]])</f>
        <v>0</v>
      </c>
      <c r="M926" s="59"/>
    </row>
    <row r="927" spans="2:13" x14ac:dyDescent="0.25">
      <c r="B927" s="40"/>
      <c r="C927" s="41"/>
      <c r="D927" s="42"/>
      <c r="E927" s="43"/>
      <c r="F927" s="44"/>
      <c r="G927" s="1" t="str">
        <f>IFERROR(IF(ventas_b_mes684[[#This Row],[CUIT]]="","-",VLOOKUP(ventas_b_mes684[[#This Row],[CUIT]],Lista_CUIT[#All],2,0)),"CUIT NO CARGADO")</f>
        <v>-</v>
      </c>
      <c r="H927" s="64"/>
      <c r="I927" s="64">
        <f>ventas_b_mes684[[#This Row],[IMPORTE NETO]]*0.21</f>
        <v>0</v>
      </c>
      <c r="J927" s="64"/>
      <c r="K927" s="64"/>
      <c r="L927" s="64">
        <f>SUM(ventas_b_mes684[[#This Row],[IMPORTE NETO]:[EXENTO]])</f>
        <v>0</v>
      </c>
      <c r="M927" s="59"/>
    </row>
    <row r="928" spans="2:13" x14ac:dyDescent="0.25">
      <c r="B928" s="40"/>
      <c r="C928" s="41"/>
      <c r="D928" s="42"/>
      <c r="E928" s="43"/>
      <c r="F928" s="44"/>
      <c r="G928" s="1" t="str">
        <f>IFERROR(IF(ventas_b_mes684[[#This Row],[CUIT]]="","-",VLOOKUP(ventas_b_mes684[[#This Row],[CUIT]],Lista_CUIT[#All],2,0)),"CUIT NO CARGADO")</f>
        <v>-</v>
      </c>
      <c r="H928" s="64"/>
      <c r="I928" s="64">
        <f>ventas_b_mes684[[#This Row],[IMPORTE NETO]]*0.21</f>
        <v>0</v>
      </c>
      <c r="J928" s="64"/>
      <c r="K928" s="64"/>
      <c r="L928" s="64">
        <f>SUM(ventas_b_mes684[[#This Row],[IMPORTE NETO]:[EXENTO]])</f>
        <v>0</v>
      </c>
      <c r="M928" s="59"/>
    </row>
    <row r="929" spans="2:13" x14ac:dyDescent="0.25">
      <c r="B929" s="40"/>
      <c r="C929" s="41"/>
      <c r="D929" s="42"/>
      <c r="E929" s="43"/>
      <c r="F929" s="44"/>
      <c r="G929" s="1" t="str">
        <f>IFERROR(IF(ventas_b_mes684[[#This Row],[CUIT]]="","-",VLOOKUP(ventas_b_mes684[[#This Row],[CUIT]],Lista_CUIT[#All],2,0)),"CUIT NO CARGADO")</f>
        <v>-</v>
      </c>
      <c r="H929" s="64"/>
      <c r="I929" s="64">
        <f>ventas_b_mes684[[#This Row],[IMPORTE NETO]]*0.21</f>
        <v>0</v>
      </c>
      <c r="J929" s="64"/>
      <c r="K929" s="64"/>
      <c r="L929" s="64">
        <f>SUM(ventas_b_mes684[[#This Row],[IMPORTE NETO]:[EXENTO]])</f>
        <v>0</v>
      </c>
      <c r="M929" s="59"/>
    </row>
    <row r="930" spans="2:13" x14ac:dyDescent="0.25">
      <c r="B930" s="40"/>
      <c r="C930" s="41"/>
      <c r="D930" s="42"/>
      <c r="E930" s="43"/>
      <c r="F930" s="44"/>
      <c r="G930" s="1" t="str">
        <f>IFERROR(IF(ventas_b_mes684[[#This Row],[CUIT]]="","-",VLOOKUP(ventas_b_mes684[[#This Row],[CUIT]],Lista_CUIT[#All],2,0)),"CUIT NO CARGADO")</f>
        <v>-</v>
      </c>
      <c r="H930" s="64"/>
      <c r="I930" s="64">
        <f>ventas_b_mes684[[#This Row],[IMPORTE NETO]]*0.21</f>
        <v>0</v>
      </c>
      <c r="J930" s="64"/>
      <c r="K930" s="64"/>
      <c r="L930" s="64">
        <f>SUM(ventas_b_mes684[[#This Row],[IMPORTE NETO]:[EXENTO]])</f>
        <v>0</v>
      </c>
      <c r="M930" s="59"/>
    </row>
    <row r="931" spans="2:13" x14ac:dyDescent="0.25">
      <c r="B931" s="40"/>
      <c r="C931" s="41"/>
      <c r="D931" s="42"/>
      <c r="E931" s="43"/>
      <c r="F931" s="44"/>
      <c r="G931" s="1" t="str">
        <f>IFERROR(IF(ventas_b_mes684[[#This Row],[CUIT]]="","-",VLOOKUP(ventas_b_mes684[[#This Row],[CUIT]],Lista_CUIT[#All],2,0)),"CUIT NO CARGADO")</f>
        <v>-</v>
      </c>
      <c r="H931" s="64"/>
      <c r="I931" s="64">
        <f>ventas_b_mes684[[#This Row],[IMPORTE NETO]]*0.21</f>
        <v>0</v>
      </c>
      <c r="J931" s="64"/>
      <c r="K931" s="64"/>
      <c r="L931" s="64">
        <f>SUM(ventas_b_mes684[[#This Row],[IMPORTE NETO]:[EXENTO]])</f>
        <v>0</v>
      </c>
      <c r="M931" s="59"/>
    </row>
    <row r="932" spans="2:13" x14ac:dyDescent="0.25">
      <c r="B932" s="40"/>
      <c r="C932" s="41"/>
      <c r="D932" s="42"/>
      <c r="E932" s="43"/>
      <c r="F932" s="44"/>
      <c r="G932" s="1" t="str">
        <f>IFERROR(IF(ventas_b_mes684[[#This Row],[CUIT]]="","-",VLOOKUP(ventas_b_mes684[[#This Row],[CUIT]],Lista_CUIT[#All],2,0)),"CUIT NO CARGADO")</f>
        <v>-</v>
      </c>
      <c r="H932" s="64"/>
      <c r="I932" s="64">
        <f>ventas_b_mes684[[#This Row],[IMPORTE NETO]]*0.21</f>
        <v>0</v>
      </c>
      <c r="J932" s="64"/>
      <c r="K932" s="64"/>
      <c r="L932" s="64">
        <f>SUM(ventas_b_mes684[[#This Row],[IMPORTE NETO]:[EXENTO]])</f>
        <v>0</v>
      </c>
      <c r="M932" s="59"/>
    </row>
    <row r="933" spans="2:13" x14ac:dyDescent="0.25">
      <c r="B933" s="40"/>
      <c r="C933" s="41"/>
      <c r="D933" s="42"/>
      <c r="E933" s="43"/>
      <c r="F933" s="44"/>
      <c r="G933" s="1" t="str">
        <f>IFERROR(IF(ventas_b_mes684[[#This Row],[CUIT]]="","-",VLOOKUP(ventas_b_mes684[[#This Row],[CUIT]],Lista_CUIT[#All],2,0)),"CUIT NO CARGADO")</f>
        <v>-</v>
      </c>
      <c r="H933" s="64"/>
      <c r="I933" s="64">
        <f>ventas_b_mes684[[#This Row],[IMPORTE NETO]]*0.21</f>
        <v>0</v>
      </c>
      <c r="J933" s="64"/>
      <c r="K933" s="64"/>
      <c r="L933" s="64">
        <f>SUM(ventas_b_mes684[[#This Row],[IMPORTE NETO]:[EXENTO]])</f>
        <v>0</v>
      </c>
      <c r="M933" s="59"/>
    </row>
    <row r="934" spans="2:13" x14ac:dyDescent="0.25">
      <c r="B934" s="40"/>
      <c r="C934" s="41"/>
      <c r="D934" s="42"/>
      <c r="E934" s="43"/>
      <c r="F934" s="44"/>
      <c r="G934" s="1" t="str">
        <f>IFERROR(IF(ventas_b_mes684[[#This Row],[CUIT]]="","-",VLOOKUP(ventas_b_mes684[[#This Row],[CUIT]],Lista_CUIT[#All],2,0)),"CUIT NO CARGADO")</f>
        <v>-</v>
      </c>
      <c r="H934" s="64"/>
      <c r="I934" s="64">
        <f>ventas_b_mes684[[#This Row],[IMPORTE NETO]]*0.21</f>
        <v>0</v>
      </c>
      <c r="J934" s="64"/>
      <c r="K934" s="64"/>
      <c r="L934" s="64">
        <f>SUM(ventas_b_mes684[[#This Row],[IMPORTE NETO]:[EXENTO]])</f>
        <v>0</v>
      </c>
      <c r="M934" s="59"/>
    </row>
    <row r="935" spans="2:13" x14ac:dyDescent="0.25">
      <c r="B935" s="40"/>
      <c r="C935" s="41"/>
      <c r="D935" s="42"/>
      <c r="E935" s="43"/>
      <c r="F935" s="44"/>
      <c r="G935" s="1" t="str">
        <f>IFERROR(IF(ventas_b_mes684[[#This Row],[CUIT]]="","-",VLOOKUP(ventas_b_mes684[[#This Row],[CUIT]],Lista_CUIT[#All],2,0)),"CUIT NO CARGADO")</f>
        <v>-</v>
      </c>
      <c r="H935" s="64"/>
      <c r="I935" s="64">
        <f>ventas_b_mes684[[#This Row],[IMPORTE NETO]]*0.21</f>
        <v>0</v>
      </c>
      <c r="J935" s="64"/>
      <c r="K935" s="64"/>
      <c r="L935" s="64">
        <f>SUM(ventas_b_mes684[[#This Row],[IMPORTE NETO]:[EXENTO]])</f>
        <v>0</v>
      </c>
      <c r="M935" s="59"/>
    </row>
    <row r="936" spans="2:13" x14ac:dyDescent="0.25">
      <c r="B936" s="40"/>
      <c r="C936" s="41"/>
      <c r="D936" s="42"/>
      <c r="E936" s="43"/>
      <c r="F936" s="44"/>
      <c r="G936" s="1" t="str">
        <f>IFERROR(IF(ventas_b_mes684[[#This Row],[CUIT]]="","-",VLOOKUP(ventas_b_mes684[[#This Row],[CUIT]],Lista_CUIT[#All],2,0)),"CUIT NO CARGADO")</f>
        <v>-</v>
      </c>
      <c r="H936" s="64"/>
      <c r="I936" s="64">
        <f>ventas_b_mes684[[#This Row],[IMPORTE NETO]]*0.21</f>
        <v>0</v>
      </c>
      <c r="J936" s="64"/>
      <c r="K936" s="64"/>
      <c r="L936" s="64">
        <f>SUM(ventas_b_mes684[[#This Row],[IMPORTE NETO]:[EXENTO]])</f>
        <v>0</v>
      </c>
      <c r="M936" s="59"/>
    </row>
    <row r="937" spans="2:13" x14ac:dyDescent="0.25">
      <c r="B937" s="40"/>
      <c r="C937" s="41"/>
      <c r="D937" s="42"/>
      <c r="E937" s="43"/>
      <c r="F937" s="44"/>
      <c r="G937" s="1" t="str">
        <f>IFERROR(IF(ventas_b_mes684[[#This Row],[CUIT]]="","-",VLOOKUP(ventas_b_mes684[[#This Row],[CUIT]],Lista_CUIT[#All],2,0)),"CUIT NO CARGADO")</f>
        <v>-</v>
      </c>
      <c r="H937" s="64"/>
      <c r="I937" s="64">
        <f>ventas_b_mes684[[#This Row],[IMPORTE NETO]]*0.21</f>
        <v>0</v>
      </c>
      <c r="J937" s="64"/>
      <c r="K937" s="64"/>
      <c r="L937" s="64">
        <f>SUM(ventas_b_mes684[[#This Row],[IMPORTE NETO]:[EXENTO]])</f>
        <v>0</v>
      </c>
      <c r="M937" s="59"/>
    </row>
    <row r="938" spans="2:13" x14ac:dyDescent="0.25">
      <c r="B938" s="40"/>
      <c r="C938" s="41"/>
      <c r="D938" s="42"/>
      <c r="E938" s="43"/>
      <c r="F938" s="44"/>
      <c r="G938" s="1" t="str">
        <f>IFERROR(IF(ventas_b_mes684[[#This Row],[CUIT]]="","-",VLOOKUP(ventas_b_mes684[[#This Row],[CUIT]],Lista_CUIT[#All],2,0)),"CUIT NO CARGADO")</f>
        <v>-</v>
      </c>
      <c r="H938" s="64"/>
      <c r="I938" s="64">
        <f>ventas_b_mes684[[#This Row],[IMPORTE NETO]]*0.21</f>
        <v>0</v>
      </c>
      <c r="J938" s="64"/>
      <c r="K938" s="64"/>
      <c r="L938" s="64">
        <f>SUM(ventas_b_mes684[[#This Row],[IMPORTE NETO]:[EXENTO]])</f>
        <v>0</v>
      </c>
      <c r="M938" s="59"/>
    </row>
    <row r="939" spans="2:13" x14ac:dyDescent="0.25">
      <c r="B939" s="40"/>
      <c r="C939" s="41"/>
      <c r="D939" s="42"/>
      <c r="E939" s="43"/>
      <c r="F939" s="44"/>
      <c r="G939" s="1" t="str">
        <f>IFERROR(IF(ventas_b_mes684[[#This Row],[CUIT]]="","-",VLOOKUP(ventas_b_mes684[[#This Row],[CUIT]],Lista_CUIT[#All],2,0)),"CUIT NO CARGADO")</f>
        <v>-</v>
      </c>
      <c r="H939" s="64"/>
      <c r="I939" s="64">
        <f>ventas_b_mes684[[#This Row],[IMPORTE NETO]]*0.21</f>
        <v>0</v>
      </c>
      <c r="J939" s="64"/>
      <c r="K939" s="64"/>
      <c r="L939" s="64">
        <f>SUM(ventas_b_mes684[[#This Row],[IMPORTE NETO]:[EXENTO]])</f>
        <v>0</v>
      </c>
      <c r="M939" s="59"/>
    </row>
    <row r="940" spans="2:13" x14ac:dyDescent="0.25">
      <c r="B940" s="40"/>
      <c r="C940" s="41"/>
      <c r="D940" s="42"/>
      <c r="E940" s="43"/>
      <c r="F940" s="44"/>
      <c r="G940" s="1" t="str">
        <f>IFERROR(IF(ventas_b_mes684[[#This Row],[CUIT]]="","-",VLOOKUP(ventas_b_mes684[[#This Row],[CUIT]],Lista_CUIT[#All],2,0)),"CUIT NO CARGADO")</f>
        <v>-</v>
      </c>
      <c r="H940" s="64"/>
      <c r="I940" s="64">
        <f>ventas_b_mes684[[#This Row],[IMPORTE NETO]]*0.21</f>
        <v>0</v>
      </c>
      <c r="J940" s="64"/>
      <c r="K940" s="64"/>
      <c r="L940" s="64">
        <f>SUM(ventas_b_mes684[[#This Row],[IMPORTE NETO]:[EXENTO]])</f>
        <v>0</v>
      </c>
      <c r="M940" s="59"/>
    </row>
    <row r="941" spans="2:13" x14ac:dyDescent="0.25">
      <c r="B941" s="40"/>
      <c r="C941" s="41"/>
      <c r="D941" s="42"/>
      <c r="E941" s="43"/>
      <c r="F941" s="44"/>
      <c r="G941" s="1" t="str">
        <f>IFERROR(IF(ventas_b_mes684[[#This Row],[CUIT]]="","-",VLOOKUP(ventas_b_mes684[[#This Row],[CUIT]],Lista_CUIT[#All],2,0)),"CUIT NO CARGADO")</f>
        <v>-</v>
      </c>
      <c r="H941" s="64"/>
      <c r="I941" s="64">
        <f>ventas_b_mes684[[#This Row],[IMPORTE NETO]]*0.21</f>
        <v>0</v>
      </c>
      <c r="J941" s="64"/>
      <c r="K941" s="64"/>
      <c r="L941" s="64">
        <f>SUM(ventas_b_mes684[[#This Row],[IMPORTE NETO]:[EXENTO]])</f>
        <v>0</v>
      </c>
      <c r="M941" s="59"/>
    </row>
    <row r="942" spans="2:13" x14ac:dyDescent="0.25">
      <c r="B942" s="40"/>
      <c r="C942" s="41"/>
      <c r="D942" s="42"/>
      <c r="E942" s="43"/>
      <c r="F942" s="44"/>
      <c r="G942" s="1" t="str">
        <f>IFERROR(IF(ventas_b_mes684[[#This Row],[CUIT]]="","-",VLOOKUP(ventas_b_mes684[[#This Row],[CUIT]],Lista_CUIT[#All],2,0)),"CUIT NO CARGADO")</f>
        <v>-</v>
      </c>
      <c r="H942" s="64"/>
      <c r="I942" s="64">
        <f>ventas_b_mes684[[#This Row],[IMPORTE NETO]]*0.21</f>
        <v>0</v>
      </c>
      <c r="J942" s="64"/>
      <c r="K942" s="64"/>
      <c r="L942" s="64">
        <f>SUM(ventas_b_mes684[[#This Row],[IMPORTE NETO]:[EXENTO]])</f>
        <v>0</v>
      </c>
      <c r="M942" s="59"/>
    </row>
    <row r="943" spans="2:13" x14ac:dyDescent="0.25">
      <c r="B943" s="40"/>
      <c r="C943" s="41"/>
      <c r="D943" s="42"/>
      <c r="E943" s="43"/>
      <c r="F943" s="44"/>
      <c r="G943" s="1" t="str">
        <f>IFERROR(IF(ventas_b_mes684[[#This Row],[CUIT]]="","-",VLOOKUP(ventas_b_mes684[[#This Row],[CUIT]],Lista_CUIT[#All],2,0)),"CUIT NO CARGADO")</f>
        <v>-</v>
      </c>
      <c r="H943" s="64"/>
      <c r="I943" s="64">
        <f>ventas_b_mes684[[#This Row],[IMPORTE NETO]]*0.21</f>
        <v>0</v>
      </c>
      <c r="J943" s="64"/>
      <c r="K943" s="64"/>
      <c r="L943" s="64">
        <f>SUM(ventas_b_mes684[[#This Row],[IMPORTE NETO]:[EXENTO]])</f>
        <v>0</v>
      </c>
      <c r="M943" s="59"/>
    </row>
    <row r="944" spans="2:13" x14ac:dyDescent="0.25">
      <c r="B944" s="40"/>
      <c r="C944" s="41"/>
      <c r="D944" s="42"/>
      <c r="E944" s="43"/>
      <c r="F944" s="44"/>
      <c r="G944" s="1" t="str">
        <f>IFERROR(IF(ventas_b_mes684[[#This Row],[CUIT]]="","-",VLOOKUP(ventas_b_mes684[[#This Row],[CUIT]],Lista_CUIT[#All],2,0)),"CUIT NO CARGADO")</f>
        <v>-</v>
      </c>
      <c r="H944" s="64"/>
      <c r="I944" s="64">
        <f>ventas_b_mes684[[#This Row],[IMPORTE NETO]]*0.21</f>
        <v>0</v>
      </c>
      <c r="J944" s="64"/>
      <c r="K944" s="64"/>
      <c r="L944" s="64">
        <f>SUM(ventas_b_mes684[[#This Row],[IMPORTE NETO]:[EXENTO]])</f>
        <v>0</v>
      </c>
      <c r="M944" s="59"/>
    </row>
    <row r="945" spans="2:13" x14ac:dyDescent="0.25">
      <c r="B945" s="40"/>
      <c r="C945" s="41"/>
      <c r="D945" s="42"/>
      <c r="E945" s="43"/>
      <c r="F945" s="44"/>
      <c r="G945" s="1" t="str">
        <f>IFERROR(IF(ventas_b_mes684[[#This Row],[CUIT]]="","-",VLOOKUP(ventas_b_mes684[[#This Row],[CUIT]],Lista_CUIT[#All],2,0)),"CUIT NO CARGADO")</f>
        <v>-</v>
      </c>
      <c r="H945" s="64"/>
      <c r="I945" s="64">
        <f>ventas_b_mes684[[#This Row],[IMPORTE NETO]]*0.21</f>
        <v>0</v>
      </c>
      <c r="J945" s="64"/>
      <c r="K945" s="64"/>
      <c r="L945" s="64">
        <f>SUM(ventas_b_mes684[[#This Row],[IMPORTE NETO]:[EXENTO]])</f>
        <v>0</v>
      </c>
      <c r="M945" s="59"/>
    </row>
    <row r="946" spans="2:13" x14ac:dyDescent="0.25">
      <c r="B946" s="40"/>
      <c r="C946" s="41"/>
      <c r="D946" s="42"/>
      <c r="E946" s="43"/>
      <c r="F946" s="44"/>
      <c r="G946" s="1" t="str">
        <f>IFERROR(IF(ventas_b_mes684[[#This Row],[CUIT]]="","-",VLOOKUP(ventas_b_mes684[[#This Row],[CUIT]],Lista_CUIT[#All],2,0)),"CUIT NO CARGADO")</f>
        <v>-</v>
      </c>
      <c r="H946" s="64"/>
      <c r="I946" s="64">
        <f>ventas_b_mes684[[#This Row],[IMPORTE NETO]]*0.21</f>
        <v>0</v>
      </c>
      <c r="J946" s="64"/>
      <c r="K946" s="64"/>
      <c r="L946" s="64">
        <f>SUM(ventas_b_mes684[[#This Row],[IMPORTE NETO]:[EXENTO]])</f>
        <v>0</v>
      </c>
      <c r="M946" s="59"/>
    </row>
    <row r="947" spans="2:13" x14ac:dyDescent="0.25">
      <c r="B947" s="40"/>
      <c r="C947" s="41"/>
      <c r="D947" s="42"/>
      <c r="E947" s="43"/>
      <c r="F947" s="44"/>
      <c r="G947" s="1" t="str">
        <f>IFERROR(IF(ventas_b_mes684[[#This Row],[CUIT]]="","-",VLOOKUP(ventas_b_mes684[[#This Row],[CUIT]],Lista_CUIT[#All],2,0)),"CUIT NO CARGADO")</f>
        <v>-</v>
      </c>
      <c r="H947" s="64"/>
      <c r="I947" s="64">
        <f>ventas_b_mes684[[#This Row],[IMPORTE NETO]]*0.21</f>
        <v>0</v>
      </c>
      <c r="J947" s="64"/>
      <c r="K947" s="64"/>
      <c r="L947" s="64">
        <f>SUM(ventas_b_mes684[[#This Row],[IMPORTE NETO]:[EXENTO]])</f>
        <v>0</v>
      </c>
      <c r="M947" s="59"/>
    </row>
    <row r="948" spans="2:13" x14ac:dyDescent="0.25">
      <c r="B948" s="40"/>
      <c r="C948" s="41"/>
      <c r="D948" s="42"/>
      <c r="E948" s="43"/>
      <c r="F948" s="44"/>
      <c r="G948" s="1" t="str">
        <f>IFERROR(IF(ventas_b_mes684[[#This Row],[CUIT]]="","-",VLOOKUP(ventas_b_mes684[[#This Row],[CUIT]],Lista_CUIT[#All],2,0)),"CUIT NO CARGADO")</f>
        <v>-</v>
      </c>
      <c r="H948" s="64"/>
      <c r="I948" s="64">
        <f>ventas_b_mes684[[#This Row],[IMPORTE NETO]]*0.21</f>
        <v>0</v>
      </c>
      <c r="J948" s="64"/>
      <c r="K948" s="64"/>
      <c r="L948" s="64">
        <f>SUM(ventas_b_mes684[[#This Row],[IMPORTE NETO]:[EXENTO]])</f>
        <v>0</v>
      </c>
      <c r="M948" s="59"/>
    </row>
    <row r="949" spans="2:13" x14ac:dyDescent="0.25">
      <c r="B949" s="40"/>
      <c r="C949" s="41"/>
      <c r="D949" s="42"/>
      <c r="E949" s="43"/>
      <c r="F949" s="44"/>
      <c r="G949" s="1" t="str">
        <f>IFERROR(IF(ventas_b_mes684[[#This Row],[CUIT]]="","-",VLOOKUP(ventas_b_mes684[[#This Row],[CUIT]],Lista_CUIT[#All],2,0)),"CUIT NO CARGADO")</f>
        <v>-</v>
      </c>
      <c r="H949" s="64"/>
      <c r="I949" s="64">
        <f>ventas_b_mes684[[#This Row],[IMPORTE NETO]]*0.21</f>
        <v>0</v>
      </c>
      <c r="J949" s="64"/>
      <c r="K949" s="64"/>
      <c r="L949" s="64">
        <f>SUM(ventas_b_mes684[[#This Row],[IMPORTE NETO]:[EXENTO]])</f>
        <v>0</v>
      </c>
      <c r="M949" s="59"/>
    </row>
    <row r="950" spans="2:13" x14ac:dyDescent="0.25">
      <c r="B950" s="40"/>
      <c r="C950" s="41"/>
      <c r="D950" s="42"/>
      <c r="E950" s="43"/>
      <c r="F950" s="44"/>
      <c r="G950" s="1" t="str">
        <f>IFERROR(IF(ventas_b_mes684[[#This Row],[CUIT]]="","-",VLOOKUP(ventas_b_mes684[[#This Row],[CUIT]],Lista_CUIT[#All],2,0)),"CUIT NO CARGADO")</f>
        <v>-</v>
      </c>
      <c r="H950" s="64"/>
      <c r="I950" s="64">
        <f>ventas_b_mes684[[#This Row],[IMPORTE NETO]]*0.21</f>
        <v>0</v>
      </c>
      <c r="J950" s="64"/>
      <c r="K950" s="64"/>
      <c r="L950" s="64">
        <f>SUM(ventas_b_mes684[[#This Row],[IMPORTE NETO]:[EXENTO]])</f>
        <v>0</v>
      </c>
      <c r="M950" s="59"/>
    </row>
    <row r="951" spans="2:13" x14ac:dyDescent="0.25">
      <c r="B951" s="40"/>
      <c r="C951" s="41"/>
      <c r="D951" s="42"/>
      <c r="E951" s="43"/>
      <c r="F951" s="44"/>
      <c r="G951" s="1" t="str">
        <f>IFERROR(IF(ventas_b_mes684[[#This Row],[CUIT]]="","-",VLOOKUP(ventas_b_mes684[[#This Row],[CUIT]],Lista_CUIT[#All],2,0)),"CUIT NO CARGADO")</f>
        <v>-</v>
      </c>
      <c r="H951" s="64"/>
      <c r="I951" s="64">
        <f>ventas_b_mes684[[#This Row],[IMPORTE NETO]]*0.21</f>
        <v>0</v>
      </c>
      <c r="J951" s="64"/>
      <c r="K951" s="64"/>
      <c r="L951" s="64">
        <f>SUM(ventas_b_mes684[[#This Row],[IMPORTE NETO]:[EXENTO]])</f>
        <v>0</v>
      </c>
      <c r="M951" s="59"/>
    </row>
    <row r="952" spans="2:13" x14ac:dyDescent="0.25">
      <c r="B952" s="40"/>
      <c r="C952" s="41"/>
      <c r="D952" s="42"/>
      <c r="E952" s="43"/>
      <c r="F952" s="44"/>
      <c r="G952" s="1" t="str">
        <f>IFERROR(IF(ventas_b_mes684[[#This Row],[CUIT]]="","-",VLOOKUP(ventas_b_mes684[[#This Row],[CUIT]],Lista_CUIT[#All],2,0)),"CUIT NO CARGADO")</f>
        <v>-</v>
      </c>
      <c r="H952" s="64"/>
      <c r="I952" s="64">
        <f>ventas_b_mes684[[#This Row],[IMPORTE NETO]]*0.21</f>
        <v>0</v>
      </c>
      <c r="J952" s="64"/>
      <c r="K952" s="64"/>
      <c r="L952" s="64">
        <f>SUM(ventas_b_mes684[[#This Row],[IMPORTE NETO]:[EXENTO]])</f>
        <v>0</v>
      </c>
      <c r="M952" s="59"/>
    </row>
    <row r="953" spans="2:13" x14ac:dyDescent="0.25">
      <c r="B953" s="40"/>
      <c r="C953" s="41"/>
      <c r="D953" s="42"/>
      <c r="E953" s="43"/>
      <c r="F953" s="44"/>
      <c r="G953" s="1" t="str">
        <f>IFERROR(IF(ventas_b_mes684[[#This Row],[CUIT]]="","-",VLOOKUP(ventas_b_mes684[[#This Row],[CUIT]],Lista_CUIT[#All],2,0)),"CUIT NO CARGADO")</f>
        <v>-</v>
      </c>
      <c r="H953" s="64"/>
      <c r="I953" s="64">
        <f>ventas_b_mes684[[#This Row],[IMPORTE NETO]]*0.21</f>
        <v>0</v>
      </c>
      <c r="J953" s="64"/>
      <c r="K953" s="64"/>
      <c r="L953" s="64">
        <f>SUM(ventas_b_mes684[[#This Row],[IMPORTE NETO]:[EXENTO]])</f>
        <v>0</v>
      </c>
      <c r="M953" s="59"/>
    </row>
    <row r="954" spans="2:13" x14ac:dyDescent="0.25">
      <c r="B954" s="40"/>
      <c r="C954" s="41"/>
      <c r="D954" s="42"/>
      <c r="E954" s="43"/>
      <c r="F954" s="44"/>
      <c r="G954" s="1" t="str">
        <f>IFERROR(IF(ventas_b_mes684[[#This Row],[CUIT]]="","-",VLOOKUP(ventas_b_mes684[[#This Row],[CUIT]],Lista_CUIT[#All],2,0)),"CUIT NO CARGADO")</f>
        <v>-</v>
      </c>
      <c r="H954" s="64"/>
      <c r="I954" s="64">
        <f>ventas_b_mes684[[#This Row],[IMPORTE NETO]]*0.21</f>
        <v>0</v>
      </c>
      <c r="J954" s="64"/>
      <c r="K954" s="64"/>
      <c r="L954" s="64">
        <f>SUM(ventas_b_mes684[[#This Row],[IMPORTE NETO]:[EXENTO]])</f>
        <v>0</v>
      </c>
      <c r="M954" s="59"/>
    </row>
    <row r="955" spans="2:13" x14ac:dyDescent="0.25">
      <c r="B955" s="40"/>
      <c r="C955" s="41"/>
      <c r="D955" s="42"/>
      <c r="E955" s="43"/>
      <c r="F955" s="44"/>
      <c r="G955" s="1" t="str">
        <f>IFERROR(IF(ventas_b_mes684[[#This Row],[CUIT]]="","-",VLOOKUP(ventas_b_mes684[[#This Row],[CUIT]],Lista_CUIT[#All],2,0)),"CUIT NO CARGADO")</f>
        <v>-</v>
      </c>
      <c r="H955" s="64"/>
      <c r="I955" s="64">
        <f>ventas_b_mes684[[#This Row],[IMPORTE NETO]]*0.21</f>
        <v>0</v>
      </c>
      <c r="J955" s="64"/>
      <c r="K955" s="64"/>
      <c r="L955" s="64">
        <f>SUM(ventas_b_mes684[[#This Row],[IMPORTE NETO]:[EXENTO]])</f>
        <v>0</v>
      </c>
      <c r="M955" s="59"/>
    </row>
    <row r="956" spans="2:13" x14ac:dyDescent="0.25">
      <c r="B956" s="40"/>
      <c r="C956" s="41"/>
      <c r="D956" s="42"/>
      <c r="E956" s="43"/>
      <c r="F956" s="44"/>
      <c r="G956" s="1" t="str">
        <f>IFERROR(IF(ventas_b_mes684[[#This Row],[CUIT]]="","-",VLOOKUP(ventas_b_mes684[[#This Row],[CUIT]],Lista_CUIT[#All],2,0)),"CUIT NO CARGADO")</f>
        <v>-</v>
      </c>
      <c r="H956" s="64"/>
      <c r="I956" s="64">
        <f>ventas_b_mes684[[#This Row],[IMPORTE NETO]]*0.21</f>
        <v>0</v>
      </c>
      <c r="J956" s="64"/>
      <c r="K956" s="64"/>
      <c r="L956" s="64">
        <f>SUM(ventas_b_mes684[[#This Row],[IMPORTE NETO]:[EXENTO]])</f>
        <v>0</v>
      </c>
      <c r="M956" s="59"/>
    </row>
    <row r="957" spans="2:13" x14ac:dyDescent="0.25">
      <c r="B957" s="40"/>
      <c r="C957" s="41"/>
      <c r="D957" s="42"/>
      <c r="E957" s="43"/>
      <c r="F957" s="44"/>
      <c r="G957" s="1" t="str">
        <f>IFERROR(IF(ventas_b_mes684[[#This Row],[CUIT]]="","-",VLOOKUP(ventas_b_mes684[[#This Row],[CUIT]],Lista_CUIT[#All],2,0)),"CUIT NO CARGADO")</f>
        <v>-</v>
      </c>
      <c r="H957" s="64"/>
      <c r="I957" s="64">
        <f>ventas_b_mes684[[#This Row],[IMPORTE NETO]]*0.21</f>
        <v>0</v>
      </c>
      <c r="J957" s="64"/>
      <c r="K957" s="64"/>
      <c r="L957" s="64">
        <f>SUM(ventas_b_mes684[[#This Row],[IMPORTE NETO]:[EXENTO]])</f>
        <v>0</v>
      </c>
      <c r="M957" s="59"/>
    </row>
    <row r="958" spans="2:13" x14ac:dyDescent="0.25">
      <c r="B958" s="40"/>
      <c r="C958" s="41"/>
      <c r="D958" s="42"/>
      <c r="E958" s="43"/>
      <c r="F958" s="44"/>
      <c r="G958" s="1" t="str">
        <f>IFERROR(IF(ventas_b_mes684[[#This Row],[CUIT]]="","-",VLOOKUP(ventas_b_mes684[[#This Row],[CUIT]],Lista_CUIT[#All],2,0)),"CUIT NO CARGADO")</f>
        <v>-</v>
      </c>
      <c r="H958" s="64"/>
      <c r="I958" s="64">
        <f>ventas_b_mes684[[#This Row],[IMPORTE NETO]]*0.21</f>
        <v>0</v>
      </c>
      <c r="J958" s="64"/>
      <c r="K958" s="64"/>
      <c r="L958" s="64">
        <f>SUM(ventas_b_mes684[[#This Row],[IMPORTE NETO]:[EXENTO]])</f>
        <v>0</v>
      </c>
      <c r="M958" s="59"/>
    </row>
    <row r="959" spans="2:13" x14ac:dyDescent="0.25">
      <c r="B959" s="40"/>
      <c r="C959" s="41"/>
      <c r="D959" s="42"/>
      <c r="E959" s="43"/>
      <c r="F959" s="44"/>
      <c r="G959" s="1" t="str">
        <f>IFERROR(IF(ventas_b_mes684[[#This Row],[CUIT]]="","-",VLOOKUP(ventas_b_mes684[[#This Row],[CUIT]],Lista_CUIT[#All],2,0)),"CUIT NO CARGADO")</f>
        <v>-</v>
      </c>
      <c r="H959" s="64"/>
      <c r="I959" s="64">
        <f>ventas_b_mes684[[#This Row],[IMPORTE NETO]]*0.21</f>
        <v>0</v>
      </c>
      <c r="J959" s="64"/>
      <c r="K959" s="64"/>
      <c r="L959" s="64">
        <f>SUM(ventas_b_mes684[[#This Row],[IMPORTE NETO]:[EXENTO]])</f>
        <v>0</v>
      </c>
      <c r="M959" s="59"/>
    </row>
    <row r="960" spans="2:13" x14ac:dyDescent="0.25">
      <c r="B960" s="40"/>
      <c r="C960" s="41"/>
      <c r="D960" s="42"/>
      <c r="E960" s="43"/>
      <c r="F960" s="44"/>
      <c r="G960" s="1" t="str">
        <f>IFERROR(IF(ventas_b_mes684[[#This Row],[CUIT]]="","-",VLOOKUP(ventas_b_mes684[[#This Row],[CUIT]],Lista_CUIT[#All],2,0)),"CUIT NO CARGADO")</f>
        <v>-</v>
      </c>
      <c r="H960" s="64"/>
      <c r="I960" s="64">
        <f>ventas_b_mes684[[#This Row],[IMPORTE NETO]]*0.21</f>
        <v>0</v>
      </c>
      <c r="J960" s="64"/>
      <c r="K960" s="64"/>
      <c r="L960" s="64">
        <f>SUM(ventas_b_mes684[[#This Row],[IMPORTE NETO]:[EXENTO]])</f>
        <v>0</v>
      </c>
      <c r="M960" s="59"/>
    </row>
    <row r="961" spans="2:13" x14ac:dyDescent="0.25">
      <c r="B961" s="40"/>
      <c r="C961" s="41"/>
      <c r="D961" s="42"/>
      <c r="E961" s="43"/>
      <c r="F961" s="44"/>
      <c r="G961" s="1" t="str">
        <f>IFERROR(IF(ventas_b_mes684[[#This Row],[CUIT]]="","-",VLOOKUP(ventas_b_mes684[[#This Row],[CUIT]],Lista_CUIT[#All],2,0)),"CUIT NO CARGADO")</f>
        <v>-</v>
      </c>
      <c r="H961" s="64"/>
      <c r="I961" s="64">
        <f>ventas_b_mes684[[#This Row],[IMPORTE NETO]]*0.21</f>
        <v>0</v>
      </c>
      <c r="J961" s="64"/>
      <c r="K961" s="64"/>
      <c r="L961" s="64">
        <f>SUM(ventas_b_mes684[[#This Row],[IMPORTE NETO]:[EXENTO]])</f>
        <v>0</v>
      </c>
      <c r="M961" s="59"/>
    </row>
    <row r="962" spans="2:13" x14ac:dyDescent="0.25">
      <c r="B962" s="40"/>
      <c r="C962" s="41"/>
      <c r="D962" s="42"/>
      <c r="E962" s="43"/>
      <c r="F962" s="44"/>
      <c r="G962" s="1" t="str">
        <f>IFERROR(IF(ventas_b_mes684[[#This Row],[CUIT]]="","-",VLOOKUP(ventas_b_mes684[[#This Row],[CUIT]],Lista_CUIT[#All],2,0)),"CUIT NO CARGADO")</f>
        <v>-</v>
      </c>
      <c r="H962" s="64"/>
      <c r="I962" s="64">
        <f>ventas_b_mes684[[#This Row],[IMPORTE NETO]]*0.21</f>
        <v>0</v>
      </c>
      <c r="J962" s="64"/>
      <c r="K962" s="64"/>
      <c r="L962" s="64">
        <f>SUM(ventas_b_mes684[[#This Row],[IMPORTE NETO]:[EXENTO]])</f>
        <v>0</v>
      </c>
      <c r="M962" s="59"/>
    </row>
    <row r="963" spans="2:13" x14ac:dyDescent="0.25">
      <c r="B963" s="40"/>
      <c r="C963" s="41"/>
      <c r="D963" s="42"/>
      <c r="E963" s="43"/>
      <c r="F963" s="44"/>
      <c r="G963" s="1" t="str">
        <f>IFERROR(IF(ventas_b_mes684[[#This Row],[CUIT]]="","-",VLOOKUP(ventas_b_mes684[[#This Row],[CUIT]],Lista_CUIT[#All],2,0)),"CUIT NO CARGADO")</f>
        <v>-</v>
      </c>
      <c r="H963" s="64"/>
      <c r="I963" s="64">
        <f>ventas_b_mes684[[#This Row],[IMPORTE NETO]]*0.21</f>
        <v>0</v>
      </c>
      <c r="J963" s="64"/>
      <c r="K963" s="64"/>
      <c r="L963" s="64">
        <f>SUM(ventas_b_mes684[[#This Row],[IMPORTE NETO]:[EXENTO]])</f>
        <v>0</v>
      </c>
      <c r="M963" s="59"/>
    </row>
    <row r="964" spans="2:13" x14ac:dyDescent="0.25">
      <c r="B964" s="40"/>
      <c r="C964" s="41"/>
      <c r="D964" s="42"/>
      <c r="E964" s="43"/>
      <c r="F964" s="44"/>
      <c r="G964" s="1" t="str">
        <f>IFERROR(IF(ventas_b_mes684[[#This Row],[CUIT]]="","-",VLOOKUP(ventas_b_mes684[[#This Row],[CUIT]],Lista_CUIT[#All],2,0)),"CUIT NO CARGADO")</f>
        <v>-</v>
      </c>
      <c r="H964" s="64"/>
      <c r="I964" s="64">
        <f>ventas_b_mes684[[#This Row],[IMPORTE NETO]]*0.21</f>
        <v>0</v>
      </c>
      <c r="J964" s="64"/>
      <c r="K964" s="64"/>
      <c r="L964" s="64">
        <f>SUM(ventas_b_mes684[[#This Row],[IMPORTE NETO]:[EXENTO]])</f>
        <v>0</v>
      </c>
      <c r="M964" s="59"/>
    </row>
    <row r="965" spans="2:13" x14ac:dyDescent="0.25">
      <c r="B965" s="40"/>
      <c r="C965" s="41"/>
      <c r="D965" s="42"/>
      <c r="E965" s="43"/>
      <c r="F965" s="44"/>
      <c r="G965" s="1" t="str">
        <f>IFERROR(IF(ventas_b_mes684[[#This Row],[CUIT]]="","-",VLOOKUP(ventas_b_mes684[[#This Row],[CUIT]],Lista_CUIT[#All],2,0)),"CUIT NO CARGADO")</f>
        <v>-</v>
      </c>
      <c r="H965" s="64"/>
      <c r="I965" s="64">
        <f>ventas_b_mes684[[#This Row],[IMPORTE NETO]]*0.21</f>
        <v>0</v>
      </c>
      <c r="J965" s="64"/>
      <c r="K965" s="64"/>
      <c r="L965" s="64">
        <f>SUM(ventas_b_mes684[[#This Row],[IMPORTE NETO]:[EXENTO]])</f>
        <v>0</v>
      </c>
      <c r="M965" s="59"/>
    </row>
    <row r="966" spans="2:13" x14ac:dyDescent="0.25">
      <c r="B966" s="40"/>
      <c r="C966" s="41"/>
      <c r="D966" s="42"/>
      <c r="E966" s="43"/>
      <c r="F966" s="44"/>
      <c r="G966" s="1" t="str">
        <f>IFERROR(IF(ventas_b_mes684[[#This Row],[CUIT]]="","-",VLOOKUP(ventas_b_mes684[[#This Row],[CUIT]],Lista_CUIT[#All],2,0)),"CUIT NO CARGADO")</f>
        <v>-</v>
      </c>
      <c r="H966" s="64"/>
      <c r="I966" s="64">
        <f>ventas_b_mes684[[#This Row],[IMPORTE NETO]]*0.21</f>
        <v>0</v>
      </c>
      <c r="J966" s="64"/>
      <c r="K966" s="64"/>
      <c r="L966" s="64">
        <f>SUM(ventas_b_mes684[[#This Row],[IMPORTE NETO]:[EXENTO]])</f>
        <v>0</v>
      </c>
      <c r="M966" s="59"/>
    </row>
    <row r="967" spans="2:13" x14ac:dyDescent="0.25">
      <c r="B967" s="40"/>
      <c r="C967" s="41"/>
      <c r="D967" s="42"/>
      <c r="E967" s="43"/>
      <c r="F967" s="44"/>
      <c r="G967" s="1" t="str">
        <f>IFERROR(IF(ventas_b_mes684[[#This Row],[CUIT]]="","-",VLOOKUP(ventas_b_mes684[[#This Row],[CUIT]],Lista_CUIT[#All],2,0)),"CUIT NO CARGADO")</f>
        <v>-</v>
      </c>
      <c r="H967" s="64"/>
      <c r="I967" s="64">
        <f>ventas_b_mes684[[#This Row],[IMPORTE NETO]]*0.21</f>
        <v>0</v>
      </c>
      <c r="J967" s="64"/>
      <c r="K967" s="64"/>
      <c r="L967" s="64">
        <f>SUM(ventas_b_mes684[[#This Row],[IMPORTE NETO]:[EXENTO]])</f>
        <v>0</v>
      </c>
      <c r="M967" s="59"/>
    </row>
    <row r="968" spans="2:13" x14ac:dyDescent="0.25">
      <c r="B968" s="40"/>
      <c r="C968" s="41"/>
      <c r="D968" s="42"/>
      <c r="E968" s="43"/>
      <c r="F968" s="44"/>
      <c r="G968" s="1" t="str">
        <f>IFERROR(IF(ventas_b_mes684[[#This Row],[CUIT]]="","-",VLOOKUP(ventas_b_mes684[[#This Row],[CUIT]],Lista_CUIT[#All],2,0)),"CUIT NO CARGADO")</f>
        <v>-</v>
      </c>
      <c r="H968" s="64"/>
      <c r="I968" s="64">
        <f>ventas_b_mes684[[#This Row],[IMPORTE NETO]]*0.21</f>
        <v>0</v>
      </c>
      <c r="J968" s="64"/>
      <c r="K968" s="64"/>
      <c r="L968" s="64">
        <f>SUM(ventas_b_mes684[[#This Row],[IMPORTE NETO]:[EXENTO]])</f>
        <v>0</v>
      </c>
      <c r="M968" s="59"/>
    </row>
    <row r="969" spans="2:13" x14ac:dyDescent="0.25">
      <c r="B969" s="40"/>
      <c r="C969" s="41"/>
      <c r="D969" s="42"/>
      <c r="E969" s="43"/>
      <c r="F969" s="44"/>
      <c r="G969" s="1" t="str">
        <f>IFERROR(IF(ventas_b_mes684[[#This Row],[CUIT]]="","-",VLOOKUP(ventas_b_mes684[[#This Row],[CUIT]],Lista_CUIT[#All],2,0)),"CUIT NO CARGADO")</f>
        <v>-</v>
      </c>
      <c r="H969" s="64"/>
      <c r="I969" s="64">
        <f>ventas_b_mes684[[#This Row],[IMPORTE NETO]]*0.21</f>
        <v>0</v>
      </c>
      <c r="J969" s="64"/>
      <c r="K969" s="64"/>
      <c r="L969" s="64">
        <f>SUM(ventas_b_mes684[[#This Row],[IMPORTE NETO]:[EXENTO]])</f>
        <v>0</v>
      </c>
      <c r="M969" s="59"/>
    </row>
    <row r="970" spans="2:13" x14ac:dyDescent="0.25">
      <c r="B970" s="40"/>
      <c r="C970" s="41"/>
      <c r="D970" s="42"/>
      <c r="E970" s="43"/>
      <c r="F970" s="44"/>
      <c r="G970" s="1" t="str">
        <f>IFERROR(IF(ventas_b_mes684[[#This Row],[CUIT]]="","-",VLOOKUP(ventas_b_mes684[[#This Row],[CUIT]],Lista_CUIT[#All],2,0)),"CUIT NO CARGADO")</f>
        <v>-</v>
      </c>
      <c r="H970" s="64"/>
      <c r="I970" s="64">
        <f>ventas_b_mes684[[#This Row],[IMPORTE NETO]]*0.21</f>
        <v>0</v>
      </c>
      <c r="J970" s="64"/>
      <c r="K970" s="64"/>
      <c r="L970" s="64">
        <f>SUM(ventas_b_mes684[[#This Row],[IMPORTE NETO]:[EXENTO]])</f>
        <v>0</v>
      </c>
      <c r="M970" s="59"/>
    </row>
    <row r="971" spans="2:13" x14ac:dyDescent="0.25">
      <c r="B971" s="40"/>
      <c r="C971" s="41"/>
      <c r="D971" s="42"/>
      <c r="E971" s="43"/>
      <c r="F971" s="44"/>
      <c r="G971" s="1" t="str">
        <f>IFERROR(IF(ventas_b_mes684[[#This Row],[CUIT]]="","-",VLOOKUP(ventas_b_mes684[[#This Row],[CUIT]],Lista_CUIT[#All],2,0)),"CUIT NO CARGADO")</f>
        <v>-</v>
      </c>
      <c r="H971" s="64"/>
      <c r="I971" s="64">
        <f>ventas_b_mes684[[#This Row],[IMPORTE NETO]]*0.21</f>
        <v>0</v>
      </c>
      <c r="J971" s="64"/>
      <c r="K971" s="64"/>
      <c r="L971" s="64">
        <f>SUM(ventas_b_mes684[[#This Row],[IMPORTE NETO]:[EXENTO]])</f>
        <v>0</v>
      </c>
      <c r="M971" s="59"/>
    </row>
    <row r="972" spans="2:13" x14ac:dyDescent="0.25">
      <c r="B972" s="40"/>
      <c r="C972" s="41"/>
      <c r="D972" s="42"/>
      <c r="E972" s="43"/>
      <c r="F972" s="44"/>
      <c r="G972" s="1" t="str">
        <f>IFERROR(IF(ventas_b_mes684[[#This Row],[CUIT]]="","-",VLOOKUP(ventas_b_mes684[[#This Row],[CUIT]],Lista_CUIT[#All],2,0)),"CUIT NO CARGADO")</f>
        <v>-</v>
      </c>
      <c r="H972" s="64"/>
      <c r="I972" s="64">
        <f>ventas_b_mes684[[#This Row],[IMPORTE NETO]]*0.21</f>
        <v>0</v>
      </c>
      <c r="J972" s="64"/>
      <c r="K972" s="64"/>
      <c r="L972" s="64">
        <f>SUM(ventas_b_mes684[[#This Row],[IMPORTE NETO]:[EXENTO]])</f>
        <v>0</v>
      </c>
      <c r="M972" s="59"/>
    </row>
    <row r="973" spans="2:13" x14ac:dyDescent="0.25">
      <c r="B973" s="40"/>
      <c r="C973" s="41"/>
      <c r="D973" s="42"/>
      <c r="E973" s="43"/>
      <c r="F973" s="44"/>
      <c r="G973" s="1" t="str">
        <f>IFERROR(IF(ventas_b_mes684[[#This Row],[CUIT]]="","-",VLOOKUP(ventas_b_mes684[[#This Row],[CUIT]],Lista_CUIT[#All],2,0)),"CUIT NO CARGADO")</f>
        <v>-</v>
      </c>
      <c r="H973" s="64"/>
      <c r="I973" s="64">
        <f>ventas_b_mes684[[#This Row],[IMPORTE NETO]]*0.21</f>
        <v>0</v>
      </c>
      <c r="J973" s="64"/>
      <c r="K973" s="64"/>
      <c r="L973" s="64">
        <f>SUM(ventas_b_mes684[[#This Row],[IMPORTE NETO]:[EXENTO]])</f>
        <v>0</v>
      </c>
      <c r="M973" s="59"/>
    </row>
    <row r="974" spans="2:13" x14ac:dyDescent="0.25">
      <c r="B974" s="40"/>
      <c r="C974" s="41"/>
      <c r="D974" s="42"/>
      <c r="E974" s="43"/>
      <c r="F974" s="44"/>
      <c r="G974" s="1" t="str">
        <f>IFERROR(IF(ventas_b_mes684[[#This Row],[CUIT]]="","-",VLOOKUP(ventas_b_mes684[[#This Row],[CUIT]],Lista_CUIT[#All],2,0)),"CUIT NO CARGADO")</f>
        <v>-</v>
      </c>
      <c r="H974" s="64"/>
      <c r="I974" s="64">
        <f>ventas_b_mes684[[#This Row],[IMPORTE NETO]]*0.21</f>
        <v>0</v>
      </c>
      <c r="J974" s="64"/>
      <c r="K974" s="64"/>
      <c r="L974" s="64">
        <f>SUM(ventas_b_mes684[[#This Row],[IMPORTE NETO]:[EXENTO]])</f>
        <v>0</v>
      </c>
      <c r="M974" s="59"/>
    </row>
    <row r="975" spans="2:13" x14ac:dyDescent="0.25">
      <c r="B975" s="40"/>
      <c r="C975" s="41"/>
      <c r="D975" s="42"/>
      <c r="E975" s="43"/>
      <c r="F975" s="44"/>
      <c r="G975" s="1" t="str">
        <f>IFERROR(IF(ventas_b_mes684[[#This Row],[CUIT]]="","-",VLOOKUP(ventas_b_mes684[[#This Row],[CUIT]],Lista_CUIT[#All],2,0)),"CUIT NO CARGADO")</f>
        <v>-</v>
      </c>
      <c r="H975" s="64"/>
      <c r="I975" s="64">
        <f>ventas_b_mes684[[#This Row],[IMPORTE NETO]]*0.21</f>
        <v>0</v>
      </c>
      <c r="J975" s="64"/>
      <c r="K975" s="64"/>
      <c r="L975" s="64">
        <f>SUM(ventas_b_mes684[[#This Row],[IMPORTE NETO]:[EXENTO]])</f>
        <v>0</v>
      </c>
      <c r="M975" s="59"/>
    </row>
    <row r="976" spans="2:13" x14ac:dyDescent="0.25">
      <c r="B976" s="40"/>
      <c r="C976" s="41"/>
      <c r="D976" s="42"/>
      <c r="E976" s="43"/>
      <c r="F976" s="44"/>
      <c r="G976" s="1" t="str">
        <f>IFERROR(IF(ventas_b_mes684[[#This Row],[CUIT]]="","-",VLOOKUP(ventas_b_mes684[[#This Row],[CUIT]],Lista_CUIT[#All],2,0)),"CUIT NO CARGADO")</f>
        <v>-</v>
      </c>
      <c r="H976" s="64"/>
      <c r="I976" s="64">
        <f>ventas_b_mes684[[#This Row],[IMPORTE NETO]]*0.21</f>
        <v>0</v>
      </c>
      <c r="J976" s="64"/>
      <c r="K976" s="64"/>
      <c r="L976" s="64">
        <f>SUM(ventas_b_mes684[[#This Row],[IMPORTE NETO]:[EXENTO]])</f>
        <v>0</v>
      </c>
      <c r="M976" s="59"/>
    </row>
    <row r="977" spans="2:13" x14ac:dyDescent="0.25">
      <c r="B977" s="40"/>
      <c r="C977" s="41"/>
      <c r="D977" s="42"/>
      <c r="E977" s="43"/>
      <c r="F977" s="44"/>
      <c r="G977" s="1" t="str">
        <f>IFERROR(IF(ventas_b_mes684[[#This Row],[CUIT]]="","-",VLOOKUP(ventas_b_mes684[[#This Row],[CUIT]],Lista_CUIT[#All],2,0)),"CUIT NO CARGADO")</f>
        <v>-</v>
      </c>
      <c r="H977" s="64"/>
      <c r="I977" s="64">
        <f>ventas_b_mes684[[#This Row],[IMPORTE NETO]]*0.21</f>
        <v>0</v>
      </c>
      <c r="J977" s="64"/>
      <c r="K977" s="64"/>
      <c r="L977" s="64">
        <f>SUM(ventas_b_mes684[[#This Row],[IMPORTE NETO]:[EXENTO]])</f>
        <v>0</v>
      </c>
      <c r="M977" s="59"/>
    </row>
    <row r="978" spans="2:13" x14ac:dyDescent="0.25">
      <c r="B978" s="40"/>
      <c r="C978" s="41"/>
      <c r="D978" s="42"/>
      <c r="E978" s="43"/>
      <c r="F978" s="44"/>
      <c r="G978" s="1" t="str">
        <f>IFERROR(IF(ventas_b_mes684[[#This Row],[CUIT]]="","-",VLOOKUP(ventas_b_mes684[[#This Row],[CUIT]],Lista_CUIT[#All],2,0)),"CUIT NO CARGADO")</f>
        <v>-</v>
      </c>
      <c r="H978" s="64"/>
      <c r="I978" s="64">
        <f>ventas_b_mes684[[#This Row],[IMPORTE NETO]]*0.21</f>
        <v>0</v>
      </c>
      <c r="J978" s="64"/>
      <c r="K978" s="64"/>
      <c r="L978" s="64">
        <f>SUM(ventas_b_mes684[[#This Row],[IMPORTE NETO]:[EXENTO]])</f>
        <v>0</v>
      </c>
      <c r="M978" s="59"/>
    </row>
    <row r="979" spans="2:13" x14ac:dyDescent="0.25">
      <c r="B979" s="40"/>
      <c r="C979" s="41"/>
      <c r="D979" s="42"/>
      <c r="E979" s="43"/>
      <c r="F979" s="44"/>
      <c r="G979" s="1" t="str">
        <f>IFERROR(IF(ventas_b_mes684[[#This Row],[CUIT]]="","-",VLOOKUP(ventas_b_mes684[[#This Row],[CUIT]],Lista_CUIT[#All],2,0)),"CUIT NO CARGADO")</f>
        <v>-</v>
      </c>
      <c r="H979" s="64"/>
      <c r="I979" s="64">
        <f>ventas_b_mes684[[#This Row],[IMPORTE NETO]]*0.21</f>
        <v>0</v>
      </c>
      <c r="J979" s="64"/>
      <c r="K979" s="64"/>
      <c r="L979" s="64">
        <f>SUM(ventas_b_mes684[[#This Row],[IMPORTE NETO]:[EXENTO]])</f>
        <v>0</v>
      </c>
      <c r="M979" s="59"/>
    </row>
    <row r="980" spans="2:13" x14ac:dyDescent="0.25">
      <c r="B980" s="40"/>
      <c r="C980" s="41"/>
      <c r="D980" s="42"/>
      <c r="E980" s="43"/>
      <c r="F980" s="44"/>
      <c r="G980" s="1" t="str">
        <f>IFERROR(IF(ventas_b_mes684[[#This Row],[CUIT]]="","-",VLOOKUP(ventas_b_mes684[[#This Row],[CUIT]],Lista_CUIT[#All],2,0)),"CUIT NO CARGADO")</f>
        <v>-</v>
      </c>
      <c r="H980" s="64"/>
      <c r="I980" s="64">
        <f>ventas_b_mes684[[#This Row],[IMPORTE NETO]]*0.21</f>
        <v>0</v>
      </c>
      <c r="J980" s="64"/>
      <c r="K980" s="64"/>
      <c r="L980" s="64">
        <f>SUM(ventas_b_mes684[[#This Row],[IMPORTE NETO]:[EXENTO]])</f>
        <v>0</v>
      </c>
      <c r="M980" s="59"/>
    </row>
    <row r="981" spans="2:13" x14ac:dyDescent="0.25">
      <c r="B981" s="40"/>
      <c r="C981" s="41"/>
      <c r="D981" s="42"/>
      <c r="E981" s="43"/>
      <c r="F981" s="44"/>
      <c r="G981" s="1" t="str">
        <f>IFERROR(IF(ventas_b_mes684[[#This Row],[CUIT]]="","-",VLOOKUP(ventas_b_mes684[[#This Row],[CUIT]],Lista_CUIT[#All],2,0)),"CUIT NO CARGADO")</f>
        <v>-</v>
      </c>
      <c r="H981" s="64"/>
      <c r="I981" s="64">
        <f>ventas_b_mes684[[#This Row],[IMPORTE NETO]]*0.21</f>
        <v>0</v>
      </c>
      <c r="J981" s="64"/>
      <c r="K981" s="64"/>
      <c r="L981" s="64">
        <f>SUM(ventas_b_mes684[[#This Row],[IMPORTE NETO]:[EXENTO]])</f>
        <v>0</v>
      </c>
      <c r="M981" s="59"/>
    </row>
    <row r="982" spans="2:13" x14ac:dyDescent="0.25">
      <c r="B982" s="40"/>
      <c r="C982" s="41"/>
      <c r="D982" s="42"/>
      <c r="E982" s="43"/>
      <c r="F982" s="44"/>
      <c r="G982" s="1" t="str">
        <f>IFERROR(IF(ventas_b_mes684[[#This Row],[CUIT]]="","-",VLOOKUP(ventas_b_mes684[[#This Row],[CUIT]],Lista_CUIT[#All],2,0)),"CUIT NO CARGADO")</f>
        <v>-</v>
      </c>
      <c r="H982" s="64"/>
      <c r="I982" s="64">
        <f>ventas_b_mes684[[#This Row],[IMPORTE NETO]]*0.21</f>
        <v>0</v>
      </c>
      <c r="J982" s="64"/>
      <c r="K982" s="64"/>
      <c r="L982" s="64">
        <f>SUM(ventas_b_mes684[[#This Row],[IMPORTE NETO]:[EXENTO]])</f>
        <v>0</v>
      </c>
      <c r="M982" s="59"/>
    </row>
    <row r="983" spans="2:13" x14ac:dyDescent="0.25">
      <c r="B983" s="40"/>
      <c r="C983" s="41"/>
      <c r="D983" s="42"/>
      <c r="E983" s="43"/>
      <c r="F983" s="44"/>
      <c r="G983" s="1" t="str">
        <f>IFERROR(IF(ventas_b_mes684[[#This Row],[CUIT]]="","-",VLOOKUP(ventas_b_mes684[[#This Row],[CUIT]],Lista_CUIT[#All],2,0)),"CUIT NO CARGADO")</f>
        <v>-</v>
      </c>
      <c r="H983" s="64"/>
      <c r="I983" s="64">
        <f>ventas_b_mes684[[#This Row],[IMPORTE NETO]]*0.21</f>
        <v>0</v>
      </c>
      <c r="J983" s="64"/>
      <c r="K983" s="64"/>
      <c r="L983" s="64">
        <f>SUM(ventas_b_mes684[[#This Row],[IMPORTE NETO]:[EXENTO]])</f>
        <v>0</v>
      </c>
      <c r="M983" s="59"/>
    </row>
    <row r="984" spans="2:13" x14ac:dyDescent="0.25">
      <c r="B984" s="40"/>
      <c r="C984" s="41"/>
      <c r="D984" s="42"/>
      <c r="E984" s="43"/>
      <c r="F984" s="44"/>
      <c r="G984" s="1" t="str">
        <f>IFERROR(IF(ventas_b_mes684[[#This Row],[CUIT]]="","-",VLOOKUP(ventas_b_mes684[[#This Row],[CUIT]],Lista_CUIT[#All],2,0)),"CUIT NO CARGADO")</f>
        <v>-</v>
      </c>
      <c r="H984" s="64"/>
      <c r="I984" s="64">
        <f>ventas_b_mes684[[#This Row],[IMPORTE NETO]]*0.21</f>
        <v>0</v>
      </c>
      <c r="J984" s="64"/>
      <c r="K984" s="64"/>
      <c r="L984" s="64">
        <f>SUM(ventas_b_mes684[[#This Row],[IMPORTE NETO]:[EXENTO]])</f>
        <v>0</v>
      </c>
      <c r="M984" s="59"/>
    </row>
    <row r="985" spans="2:13" x14ac:dyDescent="0.25">
      <c r="B985" s="40"/>
      <c r="C985" s="41"/>
      <c r="D985" s="42"/>
      <c r="E985" s="43"/>
      <c r="F985" s="44"/>
      <c r="G985" s="1" t="str">
        <f>IFERROR(IF(ventas_b_mes684[[#This Row],[CUIT]]="","-",VLOOKUP(ventas_b_mes684[[#This Row],[CUIT]],Lista_CUIT[#All],2,0)),"CUIT NO CARGADO")</f>
        <v>-</v>
      </c>
      <c r="H985" s="64"/>
      <c r="I985" s="64">
        <f>ventas_b_mes684[[#This Row],[IMPORTE NETO]]*0.21</f>
        <v>0</v>
      </c>
      <c r="J985" s="64"/>
      <c r="K985" s="64"/>
      <c r="L985" s="64">
        <f>SUM(ventas_b_mes684[[#This Row],[IMPORTE NETO]:[EXENTO]])</f>
        <v>0</v>
      </c>
      <c r="M985" s="59"/>
    </row>
    <row r="986" spans="2:13" x14ac:dyDescent="0.25">
      <c r="B986" s="40"/>
      <c r="C986" s="41"/>
      <c r="D986" s="42"/>
      <c r="E986" s="43"/>
      <c r="F986" s="44"/>
      <c r="G986" s="1" t="str">
        <f>IFERROR(IF(ventas_b_mes684[[#This Row],[CUIT]]="","-",VLOOKUP(ventas_b_mes684[[#This Row],[CUIT]],Lista_CUIT[#All],2,0)),"CUIT NO CARGADO")</f>
        <v>-</v>
      </c>
      <c r="H986" s="64"/>
      <c r="I986" s="64">
        <f>ventas_b_mes684[[#This Row],[IMPORTE NETO]]*0.21</f>
        <v>0</v>
      </c>
      <c r="J986" s="64"/>
      <c r="K986" s="64"/>
      <c r="L986" s="64">
        <f>SUM(ventas_b_mes684[[#This Row],[IMPORTE NETO]:[EXENTO]])</f>
        <v>0</v>
      </c>
      <c r="M986" s="59"/>
    </row>
    <row r="987" spans="2:13" x14ac:dyDescent="0.25">
      <c r="B987" s="40"/>
      <c r="C987" s="41"/>
      <c r="D987" s="42"/>
      <c r="E987" s="43"/>
      <c r="F987" s="44"/>
      <c r="G987" s="1" t="str">
        <f>IFERROR(IF(ventas_b_mes684[[#This Row],[CUIT]]="","-",VLOOKUP(ventas_b_mes684[[#This Row],[CUIT]],Lista_CUIT[#All],2,0)),"CUIT NO CARGADO")</f>
        <v>-</v>
      </c>
      <c r="H987" s="64"/>
      <c r="I987" s="64">
        <f>ventas_b_mes684[[#This Row],[IMPORTE NETO]]*0.21</f>
        <v>0</v>
      </c>
      <c r="J987" s="64"/>
      <c r="K987" s="64"/>
      <c r="L987" s="64">
        <f>SUM(ventas_b_mes684[[#This Row],[IMPORTE NETO]:[EXENTO]])</f>
        <v>0</v>
      </c>
      <c r="M987" s="59"/>
    </row>
    <row r="988" spans="2:13" x14ac:dyDescent="0.25">
      <c r="B988" s="40"/>
      <c r="C988" s="41"/>
      <c r="D988" s="42"/>
      <c r="E988" s="43"/>
      <c r="F988" s="44"/>
      <c r="G988" s="1" t="str">
        <f>IFERROR(IF(ventas_b_mes684[[#This Row],[CUIT]]="","-",VLOOKUP(ventas_b_mes684[[#This Row],[CUIT]],Lista_CUIT[#All],2,0)),"CUIT NO CARGADO")</f>
        <v>-</v>
      </c>
      <c r="H988" s="64"/>
      <c r="I988" s="64">
        <f>ventas_b_mes684[[#This Row],[IMPORTE NETO]]*0.21</f>
        <v>0</v>
      </c>
      <c r="J988" s="64"/>
      <c r="K988" s="64"/>
      <c r="L988" s="64">
        <f>SUM(ventas_b_mes684[[#This Row],[IMPORTE NETO]:[EXENTO]])</f>
        <v>0</v>
      </c>
      <c r="M988" s="59"/>
    </row>
    <row r="989" spans="2:13" x14ac:dyDescent="0.25">
      <c r="B989" s="40"/>
      <c r="C989" s="41"/>
      <c r="D989" s="42"/>
      <c r="E989" s="43"/>
      <c r="F989" s="44"/>
      <c r="G989" s="1" t="str">
        <f>IFERROR(IF(ventas_b_mes684[[#This Row],[CUIT]]="","-",VLOOKUP(ventas_b_mes684[[#This Row],[CUIT]],Lista_CUIT[#All],2,0)),"CUIT NO CARGADO")</f>
        <v>-</v>
      </c>
      <c r="H989" s="64"/>
      <c r="I989" s="64">
        <f>ventas_b_mes684[[#This Row],[IMPORTE NETO]]*0.21</f>
        <v>0</v>
      </c>
      <c r="J989" s="64"/>
      <c r="K989" s="64"/>
      <c r="L989" s="64">
        <f>SUM(ventas_b_mes684[[#This Row],[IMPORTE NETO]:[EXENTO]])</f>
        <v>0</v>
      </c>
      <c r="M989" s="59"/>
    </row>
    <row r="990" spans="2:13" x14ac:dyDescent="0.25">
      <c r="B990" s="40"/>
      <c r="C990" s="41"/>
      <c r="D990" s="42"/>
      <c r="E990" s="43"/>
      <c r="F990" s="44"/>
      <c r="G990" s="1" t="str">
        <f>IFERROR(IF(ventas_b_mes684[[#This Row],[CUIT]]="","-",VLOOKUP(ventas_b_mes684[[#This Row],[CUIT]],Lista_CUIT[#All],2,0)),"CUIT NO CARGADO")</f>
        <v>-</v>
      </c>
      <c r="H990" s="64"/>
      <c r="I990" s="64">
        <f>ventas_b_mes684[[#This Row],[IMPORTE NETO]]*0.21</f>
        <v>0</v>
      </c>
      <c r="J990" s="64"/>
      <c r="K990" s="64"/>
      <c r="L990" s="64">
        <f>SUM(ventas_b_mes684[[#This Row],[IMPORTE NETO]:[EXENTO]])</f>
        <v>0</v>
      </c>
      <c r="M990" s="59"/>
    </row>
    <row r="991" spans="2:13" x14ac:dyDescent="0.25">
      <c r="B991" s="40"/>
      <c r="C991" s="41"/>
      <c r="D991" s="42"/>
      <c r="E991" s="43"/>
      <c r="F991" s="44"/>
      <c r="G991" s="1" t="str">
        <f>IFERROR(IF(ventas_b_mes684[[#This Row],[CUIT]]="","-",VLOOKUP(ventas_b_mes684[[#This Row],[CUIT]],Lista_CUIT[#All],2,0)),"CUIT NO CARGADO")</f>
        <v>-</v>
      </c>
      <c r="H991" s="64"/>
      <c r="I991" s="64">
        <f>ventas_b_mes684[[#This Row],[IMPORTE NETO]]*0.21</f>
        <v>0</v>
      </c>
      <c r="J991" s="64"/>
      <c r="K991" s="64"/>
      <c r="L991" s="64">
        <f>SUM(ventas_b_mes684[[#This Row],[IMPORTE NETO]:[EXENTO]])</f>
        <v>0</v>
      </c>
      <c r="M991" s="59"/>
    </row>
    <row r="992" spans="2:13" x14ac:dyDescent="0.25">
      <c r="B992" s="40"/>
      <c r="C992" s="41"/>
      <c r="D992" s="42"/>
      <c r="E992" s="43"/>
      <c r="F992" s="44"/>
      <c r="G992" s="1" t="str">
        <f>IFERROR(IF(ventas_b_mes684[[#This Row],[CUIT]]="","-",VLOOKUP(ventas_b_mes684[[#This Row],[CUIT]],Lista_CUIT[#All],2,0)),"CUIT NO CARGADO")</f>
        <v>-</v>
      </c>
      <c r="H992" s="64"/>
      <c r="I992" s="64">
        <f>ventas_b_mes684[[#This Row],[IMPORTE NETO]]*0.21</f>
        <v>0</v>
      </c>
      <c r="J992" s="64"/>
      <c r="K992" s="64"/>
      <c r="L992" s="64">
        <f>SUM(ventas_b_mes684[[#This Row],[IMPORTE NETO]:[EXENTO]])</f>
        <v>0</v>
      </c>
      <c r="M992" s="59"/>
    </row>
    <row r="993" spans="2:13" x14ac:dyDescent="0.25">
      <c r="B993" s="40"/>
      <c r="C993" s="41"/>
      <c r="D993" s="42"/>
      <c r="E993" s="43"/>
      <c r="F993" s="44"/>
      <c r="G993" s="1" t="str">
        <f>IFERROR(IF(ventas_b_mes684[[#This Row],[CUIT]]="","-",VLOOKUP(ventas_b_mes684[[#This Row],[CUIT]],Lista_CUIT[#All],2,0)),"CUIT NO CARGADO")</f>
        <v>-</v>
      </c>
      <c r="H993" s="64"/>
      <c r="I993" s="64">
        <f>ventas_b_mes684[[#This Row],[IMPORTE NETO]]*0.21</f>
        <v>0</v>
      </c>
      <c r="J993" s="64"/>
      <c r="K993" s="64"/>
      <c r="L993" s="64">
        <f>SUM(ventas_b_mes684[[#This Row],[IMPORTE NETO]:[EXENTO]])</f>
        <v>0</v>
      </c>
      <c r="M993" s="59"/>
    </row>
    <row r="994" spans="2:13" x14ac:dyDescent="0.25">
      <c r="B994" s="40"/>
      <c r="C994" s="41"/>
      <c r="D994" s="42"/>
      <c r="E994" s="43"/>
      <c r="F994" s="44"/>
      <c r="G994" s="1" t="str">
        <f>IFERROR(IF(ventas_b_mes684[[#This Row],[CUIT]]="","-",VLOOKUP(ventas_b_mes684[[#This Row],[CUIT]],Lista_CUIT[#All],2,0)),"CUIT NO CARGADO")</f>
        <v>-</v>
      </c>
      <c r="H994" s="64"/>
      <c r="I994" s="64">
        <f>ventas_b_mes684[[#This Row],[IMPORTE NETO]]*0.21</f>
        <v>0</v>
      </c>
      <c r="J994" s="64"/>
      <c r="K994" s="64"/>
      <c r="L994" s="64">
        <f>SUM(ventas_b_mes684[[#This Row],[IMPORTE NETO]:[EXENTO]])</f>
        <v>0</v>
      </c>
      <c r="M994" s="59"/>
    </row>
    <row r="995" spans="2:13" x14ac:dyDescent="0.25">
      <c r="B995" s="40"/>
      <c r="C995" s="41"/>
      <c r="D995" s="42"/>
      <c r="E995" s="43"/>
      <c r="F995" s="44"/>
      <c r="G995" s="1" t="str">
        <f>IFERROR(IF(ventas_b_mes684[[#This Row],[CUIT]]="","-",VLOOKUP(ventas_b_mes684[[#This Row],[CUIT]],Lista_CUIT[#All],2,0)),"CUIT NO CARGADO")</f>
        <v>-</v>
      </c>
      <c r="H995" s="64"/>
      <c r="I995" s="64">
        <f>ventas_b_mes684[[#This Row],[IMPORTE NETO]]*0.21</f>
        <v>0</v>
      </c>
      <c r="J995" s="64"/>
      <c r="K995" s="64"/>
      <c r="L995" s="64">
        <f>SUM(ventas_b_mes684[[#This Row],[IMPORTE NETO]:[EXENTO]])</f>
        <v>0</v>
      </c>
      <c r="M995" s="59"/>
    </row>
    <row r="996" spans="2:13" x14ac:dyDescent="0.25">
      <c r="B996" s="40"/>
      <c r="C996" s="41"/>
      <c r="D996" s="42"/>
      <c r="E996" s="43"/>
      <c r="F996" s="44"/>
      <c r="G996" s="1" t="str">
        <f>IFERROR(IF(ventas_b_mes684[[#This Row],[CUIT]]="","-",VLOOKUP(ventas_b_mes684[[#This Row],[CUIT]],Lista_CUIT[#All],2,0)),"CUIT NO CARGADO")</f>
        <v>-</v>
      </c>
      <c r="H996" s="64"/>
      <c r="I996" s="64">
        <f>ventas_b_mes684[[#This Row],[IMPORTE NETO]]*0.21</f>
        <v>0</v>
      </c>
      <c r="J996" s="64"/>
      <c r="K996" s="64"/>
      <c r="L996" s="64">
        <f>SUM(ventas_b_mes684[[#This Row],[IMPORTE NETO]:[EXENTO]])</f>
        <v>0</v>
      </c>
      <c r="M996" s="59"/>
    </row>
    <row r="997" spans="2:13" x14ac:dyDescent="0.25">
      <c r="B997" s="40"/>
      <c r="C997" s="41"/>
      <c r="D997" s="42"/>
      <c r="E997" s="43"/>
      <c r="F997" s="44"/>
      <c r="G997" s="1" t="str">
        <f>IFERROR(IF(ventas_b_mes684[[#This Row],[CUIT]]="","-",VLOOKUP(ventas_b_mes684[[#This Row],[CUIT]],Lista_CUIT[#All],2,0)),"CUIT NO CARGADO")</f>
        <v>-</v>
      </c>
      <c r="H997" s="64"/>
      <c r="I997" s="64">
        <f>ventas_b_mes684[[#This Row],[IMPORTE NETO]]*0.21</f>
        <v>0</v>
      </c>
      <c r="J997" s="64"/>
      <c r="K997" s="64"/>
      <c r="L997" s="64">
        <f>SUM(ventas_b_mes684[[#This Row],[IMPORTE NETO]:[EXENTO]])</f>
        <v>0</v>
      </c>
      <c r="M997" s="59"/>
    </row>
    <row r="998" spans="2:13" x14ac:dyDescent="0.25">
      <c r="B998" s="40"/>
      <c r="C998" s="41"/>
      <c r="D998" s="42"/>
      <c r="E998" s="43"/>
      <c r="F998" s="44"/>
      <c r="G998" s="1" t="str">
        <f>IFERROR(IF(ventas_b_mes684[[#This Row],[CUIT]]="","-",VLOOKUP(ventas_b_mes684[[#This Row],[CUIT]],Lista_CUIT[#All],2,0)),"CUIT NO CARGADO")</f>
        <v>-</v>
      </c>
      <c r="H998" s="64"/>
      <c r="I998" s="64">
        <f>ventas_b_mes684[[#This Row],[IMPORTE NETO]]*0.21</f>
        <v>0</v>
      </c>
      <c r="J998" s="64"/>
      <c r="K998" s="64"/>
      <c r="L998" s="64">
        <f>SUM(ventas_b_mes684[[#This Row],[IMPORTE NETO]:[EXENTO]])</f>
        <v>0</v>
      </c>
      <c r="M998" s="59"/>
    </row>
    <row r="999" spans="2:13" x14ac:dyDescent="0.25">
      <c r="B999" s="40"/>
      <c r="C999" s="41"/>
      <c r="D999" s="42"/>
      <c r="E999" s="43"/>
      <c r="F999" s="44"/>
      <c r="G999" s="1" t="str">
        <f>IFERROR(IF(ventas_b_mes684[[#This Row],[CUIT]]="","-",VLOOKUP(ventas_b_mes684[[#This Row],[CUIT]],Lista_CUIT[#All],2,0)),"CUIT NO CARGADO")</f>
        <v>-</v>
      </c>
      <c r="H999" s="64"/>
      <c r="I999" s="64">
        <f>ventas_b_mes684[[#This Row],[IMPORTE NETO]]*0.21</f>
        <v>0</v>
      </c>
      <c r="J999" s="64"/>
      <c r="K999" s="64"/>
      <c r="L999" s="64">
        <f>SUM(ventas_b_mes684[[#This Row],[IMPORTE NETO]:[EXENTO]])</f>
        <v>0</v>
      </c>
      <c r="M999" s="59"/>
    </row>
    <row r="1000" spans="2:13" x14ac:dyDescent="0.25">
      <c r="B1000" s="40"/>
      <c r="C1000" s="41"/>
      <c r="D1000" s="42"/>
      <c r="E1000" s="43"/>
      <c r="F1000" s="44"/>
      <c r="G1000" s="1" t="str">
        <f>IFERROR(IF(ventas_b_mes684[[#This Row],[CUIT]]="","-",VLOOKUP(ventas_b_mes684[[#This Row],[CUIT]],Lista_CUIT[#All],2,0)),"CUIT NO CARGADO")</f>
        <v>-</v>
      </c>
      <c r="H1000" s="64"/>
      <c r="I1000" s="64">
        <f>ventas_b_mes684[[#This Row],[IMPORTE NETO]]*0.21</f>
        <v>0</v>
      </c>
      <c r="J1000" s="64"/>
      <c r="K1000" s="64"/>
      <c r="L1000" s="64">
        <f>SUM(ventas_b_mes684[[#This Row],[IMPORTE NETO]:[EXENTO]])</f>
        <v>0</v>
      </c>
      <c r="M1000" s="59"/>
    </row>
    <row r="1001" spans="2:13" x14ac:dyDescent="0.25">
      <c r="B1001" s="40"/>
      <c r="C1001" s="41"/>
      <c r="D1001" s="42"/>
      <c r="E1001" s="43"/>
      <c r="F1001" s="44"/>
      <c r="G1001" s="1" t="str">
        <f>IFERROR(IF(ventas_b_mes684[[#This Row],[CUIT]]="","-",VLOOKUP(ventas_b_mes684[[#This Row],[CUIT]],Lista_CUIT[#All],2,0)),"CUIT NO CARGADO")</f>
        <v>-</v>
      </c>
      <c r="H1001" s="64"/>
      <c r="I1001" s="64">
        <f>ventas_b_mes684[[#This Row],[IMPORTE NETO]]*0.21</f>
        <v>0</v>
      </c>
      <c r="J1001" s="64"/>
      <c r="K1001" s="64"/>
      <c r="L1001" s="64">
        <f>SUM(ventas_b_mes684[[#This Row],[IMPORTE NETO]:[EXENTO]])</f>
        <v>0</v>
      </c>
      <c r="M1001" s="59"/>
    </row>
    <row r="1002" spans="2:13" x14ac:dyDescent="0.25">
      <c r="B1002" s="40"/>
      <c r="C1002" s="41"/>
      <c r="D1002" s="42"/>
      <c r="E1002" s="43"/>
      <c r="F1002" s="44"/>
      <c r="G1002" s="1" t="str">
        <f>IFERROR(IF(ventas_b_mes684[[#This Row],[CUIT]]="","-",VLOOKUP(ventas_b_mes684[[#This Row],[CUIT]],Lista_CUIT[#All],2,0)),"CUIT NO CARGADO")</f>
        <v>-</v>
      </c>
      <c r="H1002" s="64"/>
      <c r="I1002" s="64">
        <f>ventas_b_mes684[[#This Row],[IMPORTE NETO]]*0.21</f>
        <v>0</v>
      </c>
      <c r="J1002" s="64"/>
      <c r="K1002" s="64"/>
      <c r="L1002" s="64">
        <f>SUM(ventas_b_mes684[[#This Row],[IMPORTE NETO]:[EXENTO]])</f>
        <v>0</v>
      </c>
      <c r="M1002" s="59"/>
    </row>
    <row r="1003" spans="2:13" x14ac:dyDescent="0.25">
      <c r="B1003" s="40"/>
      <c r="C1003" s="41"/>
      <c r="D1003" s="42"/>
      <c r="E1003" s="43"/>
      <c r="F1003" s="44"/>
      <c r="G1003" s="1" t="str">
        <f>IFERROR(IF(ventas_b_mes684[[#This Row],[CUIT]]="","-",VLOOKUP(ventas_b_mes684[[#This Row],[CUIT]],Lista_CUIT[#All],2,0)),"CUIT NO CARGADO")</f>
        <v>-</v>
      </c>
      <c r="H1003" s="64"/>
      <c r="I1003" s="64">
        <f>ventas_b_mes684[[#This Row],[IMPORTE NETO]]*0.21</f>
        <v>0</v>
      </c>
      <c r="J1003" s="64"/>
      <c r="K1003" s="64"/>
      <c r="L1003" s="64">
        <f>SUM(ventas_b_mes684[[#This Row],[IMPORTE NETO]:[EXENTO]])</f>
        <v>0</v>
      </c>
      <c r="M1003" s="59"/>
    </row>
    <row r="1004" spans="2:13" x14ac:dyDescent="0.25">
      <c r="B1004" s="40"/>
      <c r="C1004" s="41"/>
      <c r="D1004" s="42"/>
      <c r="E1004" s="43"/>
      <c r="F1004" s="44"/>
      <c r="G1004" s="1" t="str">
        <f>IFERROR(IF(ventas_b_mes684[[#This Row],[CUIT]]="","-",VLOOKUP(ventas_b_mes684[[#This Row],[CUIT]],Lista_CUIT[#All],2,0)),"CUIT NO CARGADO")</f>
        <v>-</v>
      </c>
      <c r="H1004" s="64"/>
      <c r="I1004" s="64">
        <f>ventas_b_mes684[[#This Row],[IMPORTE NETO]]*0.21</f>
        <v>0</v>
      </c>
      <c r="J1004" s="64"/>
      <c r="K1004" s="64"/>
      <c r="L1004" s="64">
        <f>SUM(ventas_b_mes684[[#This Row],[IMPORTE NETO]:[EXENTO]])</f>
        <v>0</v>
      </c>
      <c r="M1004" s="59"/>
    </row>
    <row r="1005" spans="2:13" x14ac:dyDescent="0.25">
      <c r="B1005" s="40"/>
      <c r="C1005" s="41"/>
      <c r="D1005" s="42"/>
      <c r="E1005" s="43"/>
      <c r="F1005" s="44"/>
      <c r="G1005" s="1" t="str">
        <f>IFERROR(IF(ventas_b_mes684[[#This Row],[CUIT]]="","-",VLOOKUP(ventas_b_mes684[[#This Row],[CUIT]],Lista_CUIT[#All],2,0)),"CUIT NO CARGADO")</f>
        <v>-</v>
      </c>
      <c r="H1005" s="64"/>
      <c r="I1005" s="64">
        <f>ventas_b_mes684[[#This Row],[IMPORTE NETO]]*0.21</f>
        <v>0</v>
      </c>
      <c r="J1005" s="64"/>
      <c r="K1005" s="64"/>
      <c r="L1005" s="64">
        <f>SUM(ventas_b_mes684[[#This Row],[IMPORTE NETO]:[EXENTO]])</f>
        <v>0</v>
      </c>
      <c r="M1005" s="59"/>
    </row>
    <row r="1006" spans="2:13" x14ac:dyDescent="0.25">
      <c r="B1006" s="40"/>
      <c r="C1006" s="41"/>
      <c r="D1006" s="42"/>
      <c r="E1006" s="43"/>
      <c r="F1006" s="44"/>
      <c r="G1006" s="1" t="str">
        <f>IFERROR(IF(ventas_b_mes684[[#This Row],[CUIT]]="","-",VLOOKUP(ventas_b_mes684[[#This Row],[CUIT]],Lista_CUIT[#All],2,0)),"CUIT NO CARGADO")</f>
        <v>-</v>
      </c>
      <c r="H1006" s="64"/>
      <c r="I1006" s="64">
        <f>ventas_b_mes684[[#This Row],[IMPORTE NETO]]*0.21</f>
        <v>0</v>
      </c>
      <c r="J1006" s="64"/>
      <c r="K1006" s="64"/>
      <c r="L1006" s="64">
        <f>SUM(ventas_b_mes684[[#This Row],[IMPORTE NETO]:[EXENTO]])</f>
        <v>0</v>
      </c>
      <c r="M1006" s="59"/>
    </row>
    <row r="1007" spans="2:13" x14ac:dyDescent="0.25">
      <c r="B1007" s="40"/>
      <c r="C1007" s="41"/>
      <c r="D1007" s="42"/>
      <c r="E1007" s="43"/>
      <c r="F1007" s="44"/>
      <c r="G1007" s="1" t="str">
        <f>IFERROR(IF(ventas_b_mes684[[#This Row],[CUIT]]="","-",VLOOKUP(ventas_b_mes684[[#This Row],[CUIT]],Lista_CUIT[#All],2,0)),"CUIT NO CARGADO")</f>
        <v>-</v>
      </c>
      <c r="H1007" s="64"/>
      <c r="I1007" s="64">
        <f>ventas_b_mes684[[#This Row],[IMPORTE NETO]]*0.21</f>
        <v>0</v>
      </c>
      <c r="J1007" s="64"/>
      <c r="K1007" s="64"/>
      <c r="L1007" s="64">
        <f>SUM(ventas_b_mes684[[#This Row],[IMPORTE NETO]:[EXENTO]])</f>
        <v>0</v>
      </c>
      <c r="M1007" s="59"/>
    </row>
    <row r="1008" spans="2:13" x14ac:dyDescent="0.25">
      <c r="B1008" s="40"/>
      <c r="C1008" s="41"/>
      <c r="D1008" s="42"/>
      <c r="E1008" s="43"/>
      <c r="F1008" s="44"/>
      <c r="G1008" s="1" t="str">
        <f>IFERROR(IF(ventas_b_mes684[[#This Row],[CUIT]]="","-",VLOOKUP(ventas_b_mes684[[#This Row],[CUIT]],Lista_CUIT[#All],2,0)),"CUIT NO CARGADO")</f>
        <v>-</v>
      </c>
      <c r="H1008" s="64"/>
      <c r="I1008" s="64">
        <f>ventas_b_mes684[[#This Row],[IMPORTE NETO]]*0.21</f>
        <v>0</v>
      </c>
      <c r="J1008" s="64"/>
      <c r="K1008" s="64"/>
      <c r="L1008" s="64">
        <f>SUM(ventas_b_mes684[[#This Row],[IMPORTE NETO]:[EXENTO]])</f>
        <v>0</v>
      </c>
      <c r="M1008" s="59"/>
    </row>
    <row r="1009" spans="2:13" x14ac:dyDescent="0.25">
      <c r="B1009" s="40"/>
      <c r="C1009" s="41"/>
      <c r="D1009" s="42"/>
      <c r="E1009" s="43"/>
      <c r="F1009" s="44"/>
      <c r="G1009" s="1" t="str">
        <f>IFERROR(IF(ventas_b_mes684[[#This Row],[CUIT]]="","-",VLOOKUP(ventas_b_mes684[[#This Row],[CUIT]],Lista_CUIT[#All],2,0)),"CUIT NO CARGADO")</f>
        <v>-</v>
      </c>
      <c r="H1009" s="64"/>
      <c r="I1009" s="64">
        <f>ventas_b_mes684[[#This Row],[IMPORTE NETO]]*0.21</f>
        <v>0</v>
      </c>
      <c r="J1009" s="64"/>
      <c r="K1009" s="64"/>
      <c r="L1009" s="64">
        <f>SUM(ventas_b_mes684[[#This Row],[IMPORTE NETO]:[EXENTO]])</f>
        <v>0</v>
      </c>
      <c r="M1009" s="59"/>
    </row>
    <row r="1010" spans="2:13" x14ac:dyDescent="0.25">
      <c r="B1010" s="40"/>
      <c r="C1010" s="41"/>
      <c r="D1010" s="42"/>
      <c r="E1010" s="43"/>
      <c r="F1010" s="44"/>
      <c r="G1010" s="1" t="str">
        <f>IFERROR(IF(ventas_b_mes684[[#This Row],[CUIT]]="","-",VLOOKUP(ventas_b_mes684[[#This Row],[CUIT]],Lista_CUIT[#All],2,0)),"CUIT NO CARGADO")</f>
        <v>-</v>
      </c>
      <c r="H1010" s="64"/>
      <c r="I1010" s="64">
        <f>ventas_b_mes684[[#This Row],[IMPORTE NETO]]*0.21</f>
        <v>0</v>
      </c>
      <c r="J1010" s="64"/>
      <c r="K1010" s="64"/>
      <c r="L1010" s="64">
        <f>SUM(ventas_b_mes684[[#This Row],[IMPORTE NETO]:[EXENTO]])</f>
        <v>0</v>
      </c>
      <c r="M1010" s="59"/>
    </row>
    <row r="1011" spans="2:13" x14ac:dyDescent="0.25">
      <c r="B1011" s="40"/>
      <c r="C1011" s="41"/>
      <c r="D1011" s="42"/>
      <c r="E1011" s="43"/>
      <c r="F1011" s="44"/>
      <c r="G1011" s="1" t="str">
        <f>IFERROR(IF(ventas_b_mes684[[#This Row],[CUIT]]="","-",VLOOKUP(ventas_b_mes684[[#This Row],[CUIT]],Lista_CUIT[#All],2,0)),"CUIT NO CARGADO")</f>
        <v>-</v>
      </c>
      <c r="H1011" s="64"/>
      <c r="I1011" s="64">
        <f>ventas_b_mes684[[#This Row],[IMPORTE NETO]]*0.21</f>
        <v>0</v>
      </c>
      <c r="J1011" s="64"/>
      <c r="K1011" s="64"/>
      <c r="L1011" s="64">
        <f>SUM(ventas_b_mes684[[#This Row],[IMPORTE NETO]:[EXENTO]])</f>
        <v>0</v>
      </c>
      <c r="M1011" s="59"/>
    </row>
    <row r="1012" spans="2:13" x14ac:dyDescent="0.25">
      <c r="B1012" s="40"/>
      <c r="C1012" s="41"/>
      <c r="D1012" s="42"/>
      <c r="E1012" s="43"/>
      <c r="F1012" s="44"/>
      <c r="G1012" s="1" t="str">
        <f>IFERROR(IF(ventas_b_mes684[[#This Row],[CUIT]]="","-",VLOOKUP(ventas_b_mes684[[#This Row],[CUIT]],Lista_CUIT[#All],2,0)),"CUIT NO CARGADO")</f>
        <v>-</v>
      </c>
      <c r="H1012" s="64"/>
      <c r="I1012" s="64">
        <f>ventas_b_mes684[[#This Row],[IMPORTE NETO]]*0.21</f>
        <v>0</v>
      </c>
      <c r="J1012" s="64"/>
      <c r="K1012" s="64"/>
      <c r="L1012" s="64">
        <f>SUM(ventas_b_mes684[[#This Row],[IMPORTE NETO]:[EXENTO]])</f>
        <v>0</v>
      </c>
      <c r="M1012" s="59"/>
    </row>
    <row r="1013" spans="2:13" x14ac:dyDescent="0.25">
      <c r="B1013" s="40"/>
      <c r="C1013" s="41"/>
      <c r="D1013" s="42"/>
      <c r="E1013" s="43"/>
      <c r="F1013" s="44"/>
      <c r="G1013" s="1" t="str">
        <f>IFERROR(IF(ventas_b_mes684[[#This Row],[CUIT]]="","-",VLOOKUP(ventas_b_mes684[[#This Row],[CUIT]],Lista_CUIT[#All],2,0)),"CUIT NO CARGADO")</f>
        <v>-</v>
      </c>
      <c r="H1013" s="64"/>
      <c r="I1013" s="64">
        <f>ventas_b_mes684[[#This Row],[IMPORTE NETO]]*0.21</f>
        <v>0</v>
      </c>
      <c r="J1013" s="64"/>
      <c r="K1013" s="64"/>
      <c r="L1013" s="64">
        <f>SUM(ventas_b_mes684[[#This Row],[IMPORTE NETO]:[EXENTO]])</f>
        <v>0</v>
      </c>
      <c r="M1013" s="59"/>
    </row>
    <row r="1014" spans="2:13" x14ac:dyDescent="0.25">
      <c r="B1014" s="40"/>
      <c r="C1014" s="41"/>
      <c r="D1014" s="42"/>
      <c r="E1014" s="43"/>
      <c r="F1014" s="44"/>
      <c r="G1014" s="1" t="str">
        <f>IFERROR(IF(ventas_b_mes684[[#This Row],[CUIT]]="","-",VLOOKUP(ventas_b_mes684[[#This Row],[CUIT]],Lista_CUIT[#All],2,0)),"CUIT NO CARGADO")</f>
        <v>-</v>
      </c>
      <c r="H1014" s="64"/>
      <c r="I1014" s="64">
        <f>ventas_b_mes684[[#This Row],[IMPORTE NETO]]*0.21</f>
        <v>0</v>
      </c>
      <c r="J1014" s="64"/>
      <c r="K1014" s="64"/>
      <c r="L1014" s="64">
        <f>SUM(ventas_b_mes684[[#This Row],[IMPORTE NETO]:[EXENTO]])</f>
        <v>0</v>
      </c>
      <c r="M1014" s="59"/>
    </row>
    <row r="1015" spans="2:13" x14ac:dyDescent="0.25">
      <c r="B1015" s="40"/>
      <c r="C1015" s="41"/>
      <c r="D1015" s="42"/>
      <c r="E1015" s="43"/>
      <c r="F1015" s="44"/>
      <c r="G1015" s="1" t="str">
        <f>IFERROR(IF(ventas_b_mes684[[#This Row],[CUIT]]="","-",VLOOKUP(ventas_b_mes684[[#This Row],[CUIT]],Lista_CUIT[#All],2,0)),"CUIT NO CARGADO")</f>
        <v>-</v>
      </c>
      <c r="H1015" s="64"/>
      <c r="I1015" s="64">
        <f>ventas_b_mes684[[#This Row],[IMPORTE NETO]]*0.21</f>
        <v>0</v>
      </c>
      <c r="J1015" s="64"/>
      <c r="K1015" s="64"/>
      <c r="L1015" s="64">
        <f>SUM(ventas_b_mes684[[#This Row],[IMPORTE NETO]:[EXENTO]])</f>
        <v>0</v>
      </c>
      <c r="M1015" s="59"/>
    </row>
    <row r="1016" spans="2:13" x14ac:dyDescent="0.25">
      <c r="B1016" s="40"/>
      <c r="C1016" s="41"/>
      <c r="D1016" s="42"/>
      <c r="E1016" s="43"/>
      <c r="F1016" s="44"/>
      <c r="G1016" s="1" t="str">
        <f>IFERROR(IF(ventas_b_mes684[[#This Row],[CUIT]]="","-",VLOOKUP(ventas_b_mes684[[#This Row],[CUIT]],Lista_CUIT[#All],2,0)),"CUIT NO CARGADO")</f>
        <v>-</v>
      </c>
      <c r="H1016" s="64"/>
      <c r="I1016" s="64">
        <f>ventas_b_mes684[[#This Row],[IMPORTE NETO]]*0.21</f>
        <v>0</v>
      </c>
      <c r="J1016" s="64"/>
      <c r="K1016" s="64"/>
      <c r="L1016" s="64">
        <f>SUM(ventas_b_mes684[[#This Row],[IMPORTE NETO]:[EXENTO]])</f>
        <v>0</v>
      </c>
      <c r="M1016" s="59"/>
    </row>
    <row r="1017" spans="2:13" x14ac:dyDescent="0.25">
      <c r="B1017" s="40"/>
      <c r="C1017" s="41"/>
      <c r="D1017" s="42"/>
      <c r="E1017" s="43"/>
      <c r="F1017" s="44"/>
      <c r="G1017" s="1" t="str">
        <f>IFERROR(IF(ventas_b_mes684[[#This Row],[CUIT]]="","-",VLOOKUP(ventas_b_mes684[[#This Row],[CUIT]],Lista_CUIT[#All],2,0)),"CUIT NO CARGADO")</f>
        <v>-</v>
      </c>
      <c r="H1017" s="64"/>
      <c r="I1017" s="64">
        <f>ventas_b_mes684[[#This Row],[IMPORTE NETO]]*0.21</f>
        <v>0</v>
      </c>
      <c r="J1017" s="64"/>
      <c r="K1017" s="64"/>
      <c r="L1017" s="64">
        <f>SUM(ventas_b_mes684[[#This Row],[IMPORTE NETO]:[EXENTO]])</f>
        <v>0</v>
      </c>
      <c r="M1017" s="59"/>
    </row>
    <row r="1018" spans="2:13" x14ac:dyDescent="0.25">
      <c r="B1018" s="40"/>
      <c r="C1018" s="41"/>
      <c r="D1018" s="42"/>
      <c r="E1018" s="43"/>
      <c r="F1018" s="44"/>
      <c r="G1018" s="1" t="str">
        <f>IFERROR(IF(ventas_b_mes684[[#This Row],[CUIT]]="","-",VLOOKUP(ventas_b_mes684[[#This Row],[CUIT]],Lista_CUIT[#All],2,0)),"CUIT NO CARGADO")</f>
        <v>-</v>
      </c>
      <c r="H1018" s="64"/>
      <c r="I1018" s="64">
        <f>ventas_b_mes684[[#This Row],[IMPORTE NETO]]*0.21</f>
        <v>0</v>
      </c>
      <c r="J1018" s="64"/>
      <c r="K1018" s="64"/>
      <c r="L1018" s="64">
        <f>SUM(ventas_b_mes684[[#This Row],[IMPORTE NETO]:[EXENTO]])</f>
        <v>0</v>
      </c>
      <c r="M1018" s="59"/>
    </row>
    <row r="1019" spans="2:13" x14ac:dyDescent="0.25">
      <c r="B1019" s="40"/>
      <c r="C1019" s="41"/>
      <c r="D1019" s="42"/>
      <c r="E1019" s="43"/>
      <c r="F1019" s="44"/>
      <c r="G1019" s="1" t="str">
        <f>IFERROR(IF(ventas_b_mes684[[#This Row],[CUIT]]="","-",VLOOKUP(ventas_b_mes684[[#This Row],[CUIT]],Lista_CUIT[#All],2,0)),"CUIT NO CARGADO")</f>
        <v>-</v>
      </c>
      <c r="H1019" s="64"/>
      <c r="I1019" s="64">
        <f>ventas_b_mes684[[#This Row],[IMPORTE NETO]]*0.21</f>
        <v>0</v>
      </c>
      <c r="J1019" s="64"/>
      <c r="K1019" s="64"/>
      <c r="L1019" s="64">
        <f>SUM(ventas_b_mes684[[#This Row],[IMPORTE NETO]:[EXENTO]])</f>
        <v>0</v>
      </c>
      <c r="M1019" s="59"/>
    </row>
    <row r="1020" spans="2:13" x14ac:dyDescent="0.25">
      <c r="B1020" s="40"/>
      <c r="C1020" s="41"/>
      <c r="D1020" s="42"/>
      <c r="E1020" s="43"/>
      <c r="F1020" s="44"/>
      <c r="G1020" s="1" t="str">
        <f>IFERROR(IF(ventas_b_mes684[[#This Row],[CUIT]]="","-",VLOOKUP(ventas_b_mes684[[#This Row],[CUIT]],Lista_CUIT[#All],2,0)),"CUIT NO CARGADO")</f>
        <v>-</v>
      </c>
      <c r="H1020" s="64"/>
      <c r="I1020" s="64">
        <f>ventas_b_mes684[[#This Row],[IMPORTE NETO]]*0.21</f>
        <v>0</v>
      </c>
      <c r="J1020" s="64"/>
      <c r="K1020" s="64"/>
      <c r="L1020" s="64">
        <f>SUM(ventas_b_mes684[[#This Row],[IMPORTE NETO]:[EXENTO]])</f>
        <v>0</v>
      </c>
      <c r="M1020" s="59"/>
    </row>
    <row r="1021" spans="2:13" x14ac:dyDescent="0.25">
      <c r="B1021" s="40"/>
      <c r="C1021" s="41"/>
      <c r="D1021" s="42"/>
      <c r="E1021" s="43"/>
      <c r="F1021" s="44"/>
      <c r="G1021" s="1" t="str">
        <f>IFERROR(IF(ventas_b_mes684[[#This Row],[CUIT]]="","-",VLOOKUP(ventas_b_mes684[[#This Row],[CUIT]],Lista_CUIT[#All],2,0)),"CUIT NO CARGADO")</f>
        <v>-</v>
      </c>
      <c r="H1021" s="64"/>
      <c r="I1021" s="64">
        <f>ventas_b_mes684[[#This Row],[IMPORTE NETO]]*0.21</f>
        <v>0</v>
      </c>
      <c r="J1021" s="64"/>
      <c r="K1021" s="64"/>
      <c r="L1021" s="64">
        <f>SUM(ventas_b_mes684[[#This Row],[IMPORTE NETO]:[EXENTO]])</f>
        <v>0</v>
      </c>
      <c r="M1021" s="59"/>
    </row>
    <row r="1022" spans="2:13" x14ac:dyDescent="0.25">
      <c r="B1022" s="40"/>
      <c r="C1022" s="41"/>
      <c r="D1022" s="42"/>
      <c r="E1022" s="43"/>
      <c r="F1022" s="44"/>
      <c r="G1022" s="1" t="str">
        <f>IFERROR(IF(ventas_b_mes684[[#This Row],[CUIT]]="","-",VLOOKUP(ventas_b_mes684[[#This Row],[CUIT]],Lista_CUIT[#All],2,0)),"CUIT NO CARGADO")</f>
        <v>-</v>
      </c>
      <c r="H1022" s="64"/>
      <c r="I1022" s="64">
        <f>ventas_b_mes684[[#This Row],[IMPORTE NETO]]*0.21</f>
        <v>0</v>
      </c>
      <c r="J1022" s="64"/>
      <c r="K1022" s="64"/>
      <c r="L1022" s="64">
        <f>SUM(ventas_b_mes684[[#This Row],[IMPORTE NETO]:[EXENTO]])</f>
        <v>0</v>
      </c>
      <c r="M1022" s="59"/>
    </row>
    <row r="1023" spans="2:13" x14ac:dyDescent="0.25">
      <c r="B1023" s="40"/>
      <c r="C1023" s="41"/>
      <c r="D1023" s="42"/>
      <c r="E1023" s="43"/>
      <c r="F1023" s="44"/>
      <c r="G1023" s="1" t="str">
        <f>IFERROR(IF(ventas_b_mes684[[#This Row],[CUIT]]="","-",VLOOKUP(ventas_b_mes684[[#This Row],[CUIT]],Lista_CUIT[#All],2,0)),"CUIT NO CARGADO")</f>
        <v>-</v>
      </c>
      <c r="H1023" s="64"/>
      <c r="I1023" s="64">
        <f>ventas_b_mes684[[#This Row],[IMPORTE NETO]]*0.21</f>
        <v>0</v>
      </c>
      <c r="J1023" s="64"/>
      <c r="K1023" s="64"/>
      <c r="L1023" s="64">
        <f>SUM(ventas_b_mes684[[#This Row],[IMPORTE NETO]:[EXENTO]])</f>
        <v>0</v>
      </c>
      <c r="M1023" s="59"/>
    </row>
    <row r="1024" spans="2:13" x14ac:dyDescent="0.25">
      <c r="B1024" s="40"/>
      <c r="C1024" s="41"/>
      <c r="D1024" s="42"/>
      <c r="E1024" s="43"/>
      <c r="F1024" s="44"/>
      <c r="G1024" s="1" t="str">
        <f>IFERROR(IF(ventas_b_mes684[[#This Row],[CUIT]]="","-",VLOOKUP(ventas_b_mes684[[#This Row],[CUIT]],Lista_CUIT[#All],2,0)),"CUIT NO CARGADO")</f>
        <v>-</v>
      </c>
      <c r="H1024" s="64"/>
      <c r="I1024" s="64">
        <f>ventas_b_mes684[[#This Row],[IMPORTE NETO]]*0.21</f>
        <v>0</v>
      </c>
      <c r="J1024" s="64"/>
      <c r="K1024" s="64"/>
      <c r="L1024" s="64">
        <f>SUM(ventas_b_mes684[[#This Row],[IMPORTE NETO]:[EXENTO]])</f>
        <v>0</v>
      </c>
      <c r="M1024" s="59"/>
    </row>
    <row r="1025" spans="2:13" x14ac:dyDescent="0.25">
      <c r="B1025" s="40"/>
      <c r="C1025" s="41"/>
      <c r="D1025" s="42"/>
      <c r="E1025" s="43"/>
      <c r="F1025" s="44"/>
      <c r="G1025" s="1" t="str">
        <f>IFERROR(IF(ventas_b_mes684[[#This Row],[CUIT]]="","-",VLOOKUP(ventas_b_mes684[[#This Row],[CUIT]],Lista_CUIT[#All],2,0)),"CUIT NO CARGADO")</f>
        <v>-</v>
      </c>
      <c r="H1025" s="64"/>
      <c r="I1025" s="64">
        <f>ventas_b_mes684[[#This Row],[IMPORTE NETO]]*0.21</f>
        <v>0</v>
      </c>
      <c r="J1025" s="64"/>
      <c r="K1025" s="64"/>
      <c r="L1025" s="64">
        <f>SUM(ventas_b_mes684[[#This Row],[IMPORTE NETO]:[EXENTO]])</f>
        <v>0</v>
      </c>
      <c r="M1025" s="59"/>
    </row>
    <row r="1026" spans="2:13" x14ac:dyDescent="0.25">
      <c r="B1026" s="40"/>
      <c r="C1026" s="41"/>
      <c r="D1026" s="42"/>
      <c r="E1026" s="43"/>
      <c r="F1026" s="44"/>
      <c r="G1026" s="1" t="str">
        <f>IFERROR(IF(ventas_b_mes684[[#This Row],[CUIT]]="","-",VLOOKUP(ventas_b_mes684[[#This Row],[CUIT]],Lista_CUIT[#All],2,0)),"CUIT NO CARGADO")</f>
        <v>-</v>
      </c>
      <c r="H1026" s="64"/>
      <c r="I1026" s="64">
        <f>ventas_b_mes684[[#This Row],[IMPORTE NETO]]*0.21</f>
        <v>0</v>
      </c>
      <c r="J1026" s="64"/>
      <c r="K1026" s="64"/>
      <c r="L1026" s="64">
        <f>SUM(ventas_b_mes684[[#This Row],[IMPORTE NETO]:[EXENTO]])</f>
        <v>0</v>
      </c>
      <c r="M1026" s="59"/>
    </row>
    <row r="1027" spans="2:13" x14ac:dyDescent="0.25">
      <c r="B1027" s="40"/>
      <c r="C1027" s="41"/>
      <c r="D1027" s="42"/>
      <c r="E1027" s="43"/>
      <c r="F1027" s="44"/>
      <c r="G1027" s="1" t="str">
        <f>IFERROR(IF(ventas_b_mes684[[#This Row],[CUIT]]="","-",VLOOKUP(ventas_b_mes684[[#This Row],[CUIT]],Lista_CUIT[#All],2,0)),"CUIT NO CARGADO")</f>
        <v>-</v>
      </c>
      <c r="H1027" s="64"/>
      <c r="I1027" s="64">
        <f>ventas_b_mes684[[#This Row],[IMPORTE NETO]]*0.21</f>
        <v>0</v>
      </c>
      <c r="J1027" s="64"/>
      <c r="K1027" s="64"/>
      <c r="L1027" s="64">
        <f>SUM(ventas_b_mes684[[#This Row],[IMPORTE NETO]:[EXENTO]])</f>
        <v>0</v>
      </c>
      <c r="M1027" s="59"/>
    </row>
    <row r="1028" spans="2:13" x14ac:dyDescent="0.25">
      <c r="B1028" s="40"/>
      <c r="C1028" s="41"/>
      <c r="D1028" s="42"/>
      <c r="E1028" s="43"/>
      <c r="F1028" s="44"/>
      <c r="G1028" s="1" t="str">
        <f>IFERROR(IF(ventas_b_mes684[[#This Row],[CUIT]]="","-",VLOOKUP(ventas_b_mes684[[#This Row],[CUIT]],Lista_CUIT[#All],2,0)),"CUIT NO CARGADO")</f>
        <v>-</v>
      </c>
      <c r="H1028" s="64"/>
      <c r="I1028" s="64">
        <f>ventas_b_mes684[[#This Row],[IMPORTE NETO]]*0.21</f>
        <v>0</v>
      </c>
      <c r="J1028" s="64"/>
      <c r="K1028" s="64"/>
      <c r="L1028" s="64">
        <f>SUM(ventas_b_mes684[[#This Row],[IMPORTE NETO]:[EXENTO]])</f>
        <v>0</v>
      </c>
      <c r="M1028" s="59"/>
    </row>
    <row r="1029" spans="2:13" x14ac:dyDescent="0.25">
      <c r="B1029" s="40"/>
      <c r="C1029" s="41"/>
      <c r="D1029" s="42"/>
      <c r="E1029" s="43"/>
      <c r="F1029" s="44"/>
      <c r="G1029" s="1" t="str">
        <f>IFERROR(IF(ventas_b_mes684[[#This Row],[CUIT]]="","-",VLOOKUP(ventas_b_mes684[[#This Row],[CUIT]],Lista_CUIT[#All],2,0)),"CUIT NO CARGADO")</f>
        <v>-</v>
      </c>
      <c r="H1029" s="64"/>
      <c r="I1029" s="64">
        <f>ventas_b_mes684[[#This Row],[IMPORTE NETO]]*0.21</f>
        <v>0</v>
      </c>
      <c r="J1029" s="64"/>
      <c r="K1029" s="64"/>
      <c r="L1029" s="64">
        <f>SUM(ventas_b_mes684[[#This Row],[IMPORTE NETO]:[EXENTO]])</f>
        <v>0</v>
      </c>
      <c r="M1029" s="59"/>
    </row>
    <row r="1030" spans="2:13" x14ac:dyDescent="0.25">
      <c r="B1030" s="40"/>
      <c r="C1030" s="41"/>
      <c r="D1030" s="42"/>
      <c r="E1030" s="43"/>
      <c r="F1030" s="44"/>
      <c r="G1030" s="1" t="str">
        <f>IFERROR(IF(ventas_b_mes684[[#This Row],[CUIT]]="","-",VLOOKUP(ventas_b_mes684[[#This Row],[CUIT]],Lista_CUIT[#All],2,0)),"CUIT NO CARGADO")</f>
        <v>-</v>
      </c>
      <c r="H1030" s="64"/>
      <c r="I1030" s="64">
        <f>ventas_b_mes684[[#This Row],[IMPORTE NETO]]*0.21</f>
        <v>0</v>
      </c>
      <c r="J1030" s="64"/>
      <c r="K1030" s="64"/>
      <c r="L1030" s="64">
        <f>SUM(ventas_b_mes684[[#This Row],[IMPORTE NETO]:[EXENTO]])</f>
        <v>0</v>
      </c>
      <c r="M1030" s="59"/>
    </row>
    <row r="1031" spans="2:13" x14ac:dyDescent="0.25">
      <c r="B1031" s="40"/>
      <c r="C1031" s="41"/>
      <c r="D1031" s="42"/>
      <c r="E1031" s="43"/>
      <c r="F1031" s="44"/>
      <c r="G1031" s="1" t="str">
        <f>IFERROR(IF(ventas_b_mes684[[#This Row],[CUIT]]="","-",VLOOKUP(ventas_b_mes684[[#This Row],[CUIT]],Lista_CUIT[#All],2,0)),"CUIT NO CARGADO")</f>
        <v>-</v>
      </c>
      <c r="H1031" s="64"/>
      <c r="I1031" s="64">
        <f>ventas_b_mes684[[#This Row],[IMPORTE NETO]]*0.21</f>
        <v>0</v>
      </c>
      <c r="J1031" s="64"/>
      <c r="K1031" s="64"/>
      <c r="L1031" s="64">
        <f>SUM(ventas_b_mes684[[#This Row],[IMPORTE NETO]:[EXENTO]])</f>
        <v>0</v>
      </c>
      <c r="M1031" s="59"/>
    </row>
    <row r="1032" spans="2:13" x14ac:dyDescent="0.25">
      <c r="B1032" s="40"/>
      <c r="C1032" s="41"/>
      <c r="D1032" s="42"/>
      <c r="E1032" s="43"/>
      <c r="F1032" s="44"/>
      <c r="G1032" s="1" t="str">
        <f>IFERROR(IF(ventas_b_mes684[[#This Row],[CUIT]]="","-",VLOOKUP(ventas_b_mes684[[#This Row],[CUIT]],Lista_CUIT[#All],2,0)),"CUIT NO CARGADO")</f>
        <v>-</v>
      </c>
      <c r="H1032" s="64"/>
      <c r="I1032" s="64">
        <f>ventas_b_mes684[[#This Row],[IMPORTE NETO]]*0.21</f>
        <v>0</v>
      </c>
      <c r="J1032" s="64"/>
      <c r="K1032" s="64"/>
      <c r="L1032" s="64">
        <f>SUM(ventas_b_mes684[[#This Row],[IMPORTE NETO]:[EXENTO]])</f>
        <v>0</v>
      </c>
      <c r="M1032" s="59"/>
    </row>
    <row r="1033" spans="2:13" x14ac:dyDescent="0.25">
      <c r="B1033" s="40"/>
      <c r="C1033" s="41"/>
      <c r="D1033" s="42"/>
      <c r="E1033" s="43"/>
      <c r="F1033" s="44"/>
      <c r="G1033" s="1" t="str">
        <f>IFERROR(IF(ventas_b_mes684[[#This Row],[CUIT]]="","-",VLOOKUP(ventas_b_mes684[[#This Row],[CUIT]],Lista_CUIT[#All],2,0)),"CUIT NO CARGADO")</f>
        <v>-</v>
      </c>
      <c r="H1033" s="64"/>
      <c r="I1033" s="64">
        <f>ventas_b_mes684[[#This Row],[IMPORTE NETO]]*0.21</f>
        <v>0</v>
      </c>
      <c r="J1033" s="64"/>
      <c r="K1033" s="64"/>
      <c r="L1033" s="64">
        <f>SUM(ventas_b_mes684[[#This Row],[IMPORTE NETO]:[EXENTO]])</f>
        <v>0</v>
      </c>
      <c r="M1033" s="59"/>
    </row>
    <row r="1034" spans="2:13" x14ac:dyDescent="0.25">
      <c r="B1034" s="40"/>
      <c r="C1034" s="41"/>
      <c r="D1034" s="42"/>
      <c r="E1034" s="43"/>
      <c r="F1034" s="44"/>
      <c r="G1034" s="1" t="str">
        <f>IFERROR(IF(ventas_b_mes684[[#This Row],[CUIT]]="","-",VLOOKUP(ventas_b_mes684[[#This Row],[CUIT]],Lista_CUIT[#All],2,0)),"CUIT NO CARGADO")</f>
        <v>-</v>
      </c>
      <c r="H1034" s="64"/>
      <c r="I1034" s="64">
        <f>ventas_b_mes684[[#This Row],[IMPORTE NETO]]*0.21</f>
        <v>0</v>
      </c>
      <c r="J1034" s="64"/>
      <c r="K1034" s="64"/>
      <c r="L1034" s="64">
        <f>SUM(ventas_b_mes684[[#This Row],[IMPORTE NETO]:[EXENTO]])</f>
        <v>0</v>
      </c>
      <c r="M1034" s="59"/>
    </row>
    <row r="1035" spans="2:13" x14ac:dyDescent="0.25">
      <c r="B1035" s="40"/>
      <c r="C1035" s="41"/>
      <c r="D1035" s="42"/>
      <c r="E1035" s="43"/>
      <c r="F1035" s="44"/>
      <c r="G1035" s="1" t="str">
        <f>IFERROR(IF(ventas_b_mes684[[#This Row],[CUIT]]="","-",VLOOKUP(ventas_b_mes684[[#This Row],[CUIT]],Lista_CUIT[#All],2,0)),"CUIT NO CARGADO")</f>
        <v>-</v>
      </c>
      <c r="H1035" s="64"/>
      <c r="I1035" s="64">
        <f>ventas_b_mes684[[#This Row],[IMPORTE NETO]]*0.21</f>
        <v>0</v>
      </c>
      <c r="J1035" s="64"/>
      <c r="K1035" s="64"/>
      <c r="L1035" s="64">
        <f>SUM(ventas_b_mes684[[#This Row],[IMPORTE NETO]:[EXENTO]])</f>
        <v>0</v>
      </c>
      <c r="M1035" s="59"/>
    </row>
    <row r="1036" spans="2:13" x14ac:dyDescent="0.25">
      <c r="B1036" s="40"/>
      <c r="C1036" s="41"/>
      <c r="D1036" s="42"/>
      <c r="E1036" s="43"/>
      <c r="F1036" s="44"/>
      <c r="G1036" s="1" t="str">
        <f>IFERROR(IF(ventas_b_mes684[[#This Row],[CUIT]]="","-",VLOOKUP(ventas_b_mes684[[#This Row],[CUIT]],Lista_CUIT[#All],2,0)),"CUIT NO CARGADO")</f>
        <v>-</v>
      </c>
      <c r="H1036" s="64"/>
      <c r="I1036" s="64">
        <f>ventas_b_mes684[[#This Row],[IMPORTE NETO]]*0.21</f>
        <v>0</v>
      </c>
      <c r="J1036" s="64"/>
      <c r="K1036" s="64"/>
      <c r="L1036" s="64">
        <f>SUM(ventas_b_mes684[[#This Row],[IMPORTE NETO]:[EXENTO]])</f>
        <v>0</v>
      </c>
      <c r="M1036" s="59"/>
    </row>
    <row r="1037" spans="2:13" x14ac:dyDescent="0.25">
      <c r="B1037" s="40"/>
      <c r="C1037" s="41"/>
      <c r="D1037" s="42"/>
      <c r="E1037" s="43"/>
      <c r="F1037" s="44"/>
      <c r="G1037" s="1" t="str">
        <f>IFERROR(IF(ventas_b_mes684[[#This Row],[CUIT]]="","-",VLOOKUP(ventas_b_mes684[[#This Row],[CUIT]],Lista_CUIT[#All],2,0)),"CUIT NO CARGADO")</f>
        <v>-</v>
      </c>
      <c r="H1037" s="64"/>
      <c r="I1037" s="64">
        <f>ventas_b_mes684[[#This Row],[IMPORTE NETO]]*0.21</f>
        <v>0</v>
      </c>
      <c r="J1037" s="64"/>
      <c r="K1037" s="64"/>
      <c r="L1037" s="64">
        <f>SUM(ventas_b_mes684[[#This Row],[IMPORTE NETO]:[EXENTO]])</f>
        <v>0</v>
      </c>
      <c r="M1037" s="59"/>
    </row>
    <row r="1038" spans="2:13" x14ac:dyDescent="0.25">
      <c r="B1038" s="40"/>
      <c r="C1038" s="41"/>
      <c r="D1038" s="42"/>
      <c r="E1038" s="43"/>
      <c r="F1038" s="44"/>
      <c r="G1038" s="1" t="str">
        <f>IFERROR(IF(ventas_b_mes684[[#This Row],[CUIT]]="","-",VLOOKUP(ventas_b_mes684[[#This Row],[CUIT]],Lista_CUIT[#All],2,0)),"CUIT NO CARGADO")</f>
        <v>-</v>
      </c>
      <c r="H1038" s="64"/>
      <c r="I1038" s="64">
        <f>ventas_b_mes684[[#This Row],[IMPORTE NETO]]*0.21</f>
        <v>0</v>
      </c>
      <c r="J1038" s="64"/>
      <c r="K1038" s="64"/>
      <c r="L1038" s="64">
        <f>SUM(ventas_b_mes684[[#This Row],[IMPORTE NETO]:[EXENTO]])</f>
        <v>0</v>
      </c>
      <c r="M1038" s="59"/>
    </row>
    <row r="1039" spans="2:13" x14ac:dyDescent="0.25">
      <c r="B1039" s="40"/>
      <c r="C1039" s="41"/>
      <c r="D1039" s="42"/>
      <c r="E1039" s="43"/>
      <c r="F1039" s="44"/>
      <c r="G1039" s="1" t="str">
        <f>IFERROR(IF(ventas_b_mes684[[#This Row],[CUIT]]="","-",VLOOKUP(ventas_b_mes684[[#This Row],[CUIT]],Lista_CUIT[#All],2,0)),"CUIT NO CARGADO")</f>
        <v>-</v>
      </c>
      <c r="H1039" s="64"/>
      <c r="I1039" s="64">
        <f>ventas_b_mes684[[#This Row],[IMPORTE NETO]]*0.21</f>
        <v>0</v>
      </c>
      <c r="J1039" s="64"/>
      <c r="K1039" s="64"/>
      <c r="L1039" s="64">
        <f>SUM(ventas_b_mes684[[#This Row],[IMPORTE NETO]:[EXENTO]])</f>
        <v>0</v>
      </c>
      <c r="M1039" s="59"/>
    </row>
    <row r="1040" spans="2:13" x14ac:dyDescent="0.25">
      <c r="B1040" s="40"/>
      <c r="C1040" s="41"/>
      <c r="D1040" s="42"/>
      <c r="E1040" s="43"/>
      <c r="F1040" s="44"/>
      <c r="G1040" s="1" t="str">
        <f>IFERROR(IF(ventas_b_mes684[[#This Row],[CUIT]]="","-",VLOOKUP(ventas_b_mes684[[#This Row],[CUIT]],Lista_CUIT[#All],2,0)),"CUIT NO CARGADO")</f>
        <v>-</v>
      </c>
      <c r="H1040" s="64"/>
      <c r="I1040" s="64">
        <f>ventas_b_mes684[[#This Row],[IMPORTE NETO]]*0.21</f>
        <v>0</v>
      </c>
      <c r="J1040" s="64"/>
      <c r="K1040" s="64"/>
      <c r="L1040" s="64">
        <f>SUM(ventas_b_mes684[[#This Row],[IMPORTE NETO]:[EXENTO]])</f>
        <v>0</v>
      </c>
      <c r="M1040" s="59"/>
    </row>
    <row r="1041" spans="2:13" x14ac:dyDescent="0.25">
      <c r="B1041" s="40"/>
      <c r="C1041" s="41"/>
      <c r="D1041" s="42"/>
      <c r="E1041" s="43"/>
      <c r="F1041" s="44"/>
      <c r="G1041" s="1" t="str">
        <f>IFERROR(IF(ventas_b_mes684[[#This Row],[CUIT]]="","-",VLOOKUP(ventas_b_mes684[[#This Row],[CUIT]],Lista_CUIT[#All],2,0)),"CUIT NO CARGADO")</f>
        <v>-</v>
      </c>
      <c r="H1041" s="64"/>
      <c r="I1041" s="64">
        <f>ventas_b_mes684[[#This Row],[IMPORTE NETO]]*0.21</f>
        <v>0</v>
      </c>
      <c r="J1041" s="64"/>
      <c r="K1041" s="64"/>
      <c r="L1041" s="64">
        <f>SUM(ventas_b_mes684[[#This Row],[IMPORTE NETO]:[EXENTO]])</f>
        <v>0</v>
      </c>
      <c r="M1041" s="59"/>
    </row>
    <row r="1042" spans="2:13" x14ac:dyDescent="0.25">
      <c r="B1042" s="40"/>
      <c r="C1042" s="41"/>
      <c r="D1042" s="42"/>
      <c r="E1042" s="43"/>
      <c r="F1042" s="44"/>
      <c r="G1042" s="1" t="str">
        <f>IFERROR(IF(ventas_b_mes684[[#This Row],[CUIT]]="","-",VLOOKUP(ventas_b_mes684[[#This Row],[CUIT]],Lista_CUIT[#All],2,0)),"CUIT NO CARGADO")</f>
        <v>-</v>
      </c>
      <c r="H1042" s="64"/>
      <c r="I1042" s="64">
        <f>ventas_b_mes684[[#This Row],[IMPORTE NETO]]*0.21</f>
        <v>0</v>
      </c>
      <c r="J1042" s="64"/>
      <c r="K1042" s="64"/>
      <c r="L1042" s="64">
        <f>SUM(ventas_b_mes684[[#This Row],[IMPORTE NETO]:[EXENTO]])</f>
        <v>0</v>
      </c>
      <c r="M1042" s="59"/>
    </row>
    <row r="1043" spans="2:13" x14ac:dyDescent="0.25">
      <c r="B1043" s="40"/>
      <c r="C1043" s="41"/>
      <c r="D1043" s="42"/>
      <c r="E1043" s="43"/>
      <c r="F1043" s="44"/>
      <c r="G1043" s="1" t="str">
        <f>IFERROR(IF(ventas_b_mes684[[#This Row],[CUIT]]="","-",VLOOKUP(ventas_b_mes684[[#This Row],[CUIT]],Lista_CUIT[#All],2,0)),"CUIT NO CARGADO")</f>
        <v>-</v>
      </c>
      <c r="H1043" s="64"/>
      <c r="I1043" s="64">
        <f>ventas_b_mes684[[#This Row],[IMPORTE NETO]]*0.21</f>
        <v>0</v>
      </c>
      <c r="J1043" s="64"/>
      <c r="K1043" s="64"/>
      <c r="L1043" s="64">
        <f>SUM(ventas_b_mes684[[#This Row],[IMPORTE NETO]:[EXENTO]])</f>
        <v>0</v>
      </c>
      <c r="M1043" s="59"/>
    </row>
    <row r="1044" spans="2:13" x14ac:dyDescent="0.25">
      <c r="B1044" s="40"/>
      <c r="C1044" s="41"/>
      <c r="D1044" s="42"/>
      <c r="E1044" s="43"/>
      <c r="F1044" s="44"/>
      <c r="G1044" s="1" t="str">
        <f>IFERROR(IF(ventas_b_mes684[[#This Row],[CUIT]]="","-",VLOOKUP(ventas_b_mes684[[#This Row],[CUIT]],Lista_CUIT[#All],2,0)),"CUIT NO CARGADO")</f>
        <v>-</v>
      </c>
      <c r="H1044" s="64"/>
      <c r="I1044" s="64">
        <f>ventas_b_mes684[[#This Row],[IMPORTE NETO]]*0.21</f>
        <v>0</v>
      </c>
      <c r="J1044" s="64"/>
      <c r="K1044" s="64"/>
      <c r="L1044" s="64">
        <f>SUM(ventas_b_mes684[[#This Row],[IMPORTE NETO]:[EXENTO]])</f>
        <v>0</v>
      </c>
      <c r="M1044" s="59"/>
    </row>
    <row r="1045" spans="2:13" x14ac:dyDescent="0.25">
      <c r="B1045" s="40"/>
      <c r="C1045" s="41"/>
      <c r="D1045" s="42"/>
      <c r="E1045" s="43"/>
      <c r="F1045" s="44"/>
      <c r="G1045" s="1" t="str">
        <f>IFERROR(IF(ventas_b_mes684[[#This Row],[CUIT]]="","-",VLOOKUP(ventas_b_mes684[[#This Row],[CUIT]],Lista_CUIT[#All],2,0)),"CUIT NO CARGADO")</f>
        <v>-</v>
      </c>
      <c r="H1045" s="64"/>
      <c r="I1045" s="64">
        <f>ventas_b_mes684[[#This Row],[IMPORTE NETO]]*0.21</f>
        <v>0</v>
      </c>
      <c r="J1045" s="64"/>
      <c r="K1045" s="64"/>
      <c r="L1045" s="64">
        <f>SUM(ventas_b_mes684[[#This Row],[IMPORTE NETO]:[EXENTO]])</f>
        <v>0</v>
      </c>
      <c r="M1045" s="59"/>
    </row>
    <row r="1046" spans="2:13" x14ac:dyDescent="0.25">
      <c r="B1046" s="40"/>
      <c r="C1046" s="41"/>
      <c r="D1046" s="42"/>
      <c r="E1046" s="43"/>
      <c r="F1046" s="44"/>
      <c r="G1046" s="1" t="str">
        <f>IFERROR(IF(ventas_b_mes684[[#This Row],[CUIT]]="","-",VLOOKUP(ventas_b_mes684[[#This Row],[CUIT]],Lista_CUIT[#All],2,0)),"CUIT NO CARGADO")</f>
        <v>-</v>
      </c>
      <c r="H1046" s="64"/>
      <c r="I1046" s="64">
        <f>ventas_b_mes684[[#This Row],[IMPORTE NETO]]*0.21</f>
        <v>0</v>
      </c>
      <c r="J1046" s="64"/>
      <c r="K1046" s="64"/>
      <c r="L1046" s="64">
        <f>SUM(ventas_b_mes684[[#This Row],[IMPORTE NETO]:[EXENTO]])</f>
        <v>0</v>
      </c>
      <c r="M1046" s="59"/>
    </row>
    <row r="1047" spans="2:13" x14ac:dyDescent="0.25">
      <c r="B1047" s="40"/>
      <c r="C1047" s="41"/>
      <c r="D1047" s="42"/>
      <c r="E1047" s="43"/>
      <c r="F1047" s="44"/>
      <c r="G1047" s="1" t="str">
        <f>IFERROR(IF(ventas_b_mes684[[#This Row],[CUIT]]="","-",VLOOKUP(ventas_b_mes684[[#This Row],[CUIT]],Lista_CUIT[#All],2,0)),"CUIT NO CARGADO")</f>
        <v>-</v>
      </c>
      <c r="H1047" s="64"/>
      <c r="I1047" s="64">
        <f>ventas_b_mes684[[#This Row],[IMPORTE NETO]]*0.21</f>
        <v>0</v>
      </c>
      <c r="J1047" s="64"/>
      <c r="K1047" s="64"/>
      <c r="L1047" s="64">
        <f>SUM(ventas_b_mes684[[#This Row],[IMPORTE NETO]:[EXENTO]])</f>
        <v>0</v>
      </c>
      <c r="M1047" s="59"/>
    </row>
    <row r="1048" spans="2:13" x14ac:dyDescent="0.25">
      <c r="B1048" s="40"/>
      <c r="C1048" s="41"/>
      <c r="D1048" s="42"/>
      <c r="E1048" s="43"/>
      <c r="F1048" s="44"/>
      <c r="G1048" s="1" t="str">
        <f>IFERROR(IF(ventas_b_mes684[[#This Row],[CUIT]]="","-",VLOOKUP(ventas_b_mes684[[#This Row],[CUIT]],Lista_CUIT[#All],2,0)),"CUIT NO CARGADO")</f>
        <v>-</v>
      </c>
      <c r="H1048" s="64"/>
      <c r="I1048" s="64">
        <f>ventas_b_mes684[[#This Row],[IMPORTE NETO]]*0.21</f>
        <v>0</v>
      </c>
      <c r="J1048" s="64"/>
      <c r="K1048" s="64"/>
      <c r="L1048" s="64">
        <f>SUM(ventas_b_mes684[[#This Row],[IMPORTE NETO]:[EXENTO]])</f>
        <v>0</v>
      </c>
      <c r="M1048" s="59"/>
    </row>
    <row r="1049" spans="2:13" x14ac:dyDescent="0.25">
      <c r="B1049" s="40"/>
      <c r="C1049" s="41"/>
      <c r="D1049" s="42"/>
      <c r="E1049" s="43"/>
      <c r="F1049" s="44"/>
      <c r="G1049" s="1" t="str">
        <f>IFERROR(IF(ventas_b_mes684[[#This Row],[CUIT]]="","-",VLOOKUP(ventas_b_mes684[[#This Row],[CUIT]],Lista_CUIT[#All],2,0)),"CUIT NO CARGADO")</f>
        <v>-</v>
      </c>
      <c r="H1049" s="64"/>
      <c r="I1049" s="64">
        <f>ventas_b_mes684[[#This Row],[IMPORTE NETO]]*0.21</f>
        <v>0</v>
      </c>
      <c r="J1049" s="64"/>
      <c r="K1049" s="64"/>
      <c r="L1049" s="64">
        <f>SUM(ventas_b_mes684[[#This Row],[IMPORTE NETO]:[EXENTO]])</f>
        <v>0</v>
      </c>
      <c r="M1049" s="59"/>
    </row>
    <row r="1050" spans="2:13" x14ac:dyDescent="0.25">
      <c r="B1050" s="40"/>
      <c r="C1050" s="41"/>
      <c r="D1050" s="42"/>
      <c r="E1050" s="43"/>
      <c r="F1050" s="44"/>
      <c r="G1050" s="1" t="str">
        <f>IFERROR(IF(ventas_b_mes684[[#This Row],[CUIT]]="","-",VLOOKUP(ventas_b_mes684[[#This Row],[CUIT]],Lista_CUIT[#All],2,0)),"CUIT NO CARGADO")</f>
        <v>-</v>
      </c>
      <c r="H1050" s="64"/>
      <c r="I1050" s="64">
        <f>ventas_b_mes684[[#This Row],[IMPORTE NETO]]*0.21</f>
        <v>0</v>
      </c>
      <c r="J1050" s="64"/>
      <c r="K1050" s="64"/>
      <c r="L1050" s="64">
        <f>SUM(ventas_b_mes684[[#This Row],[IMPORTE NETO]:[EXENTO]])</f>
        <v>0</v>
      </c>
      <c r="M1050" s="59"/>
    </row>
    <row r="1051" spans="2:13" x14ac:dyDescent="0.25">
      <c r="B1051" s="40"/>
      <c r="C1051" s="41"/>
      <c r="D1051" s="42"/>
      <c r="E1051" s="43"/>
      <c r="F1051" s="44"/>
      <c r="G1051" s="1" t="str">
        <f>IFERROR(IF(ventas_b_mes684[[#This Row],[CUIT]]="","-",VLOOKUP(ventas_b_mes684[[#This Row],[CUIT]],Lista_CUIT[#All],2,0)),"CUIT NO CARGADO")</f>
        <v>-</v>
      </c>
      <c r="H1051" s="64"/>
      <c r="I1051" s="64">
        <f>ventas_b_mes684[[#This Row],[IMPORTE NETO]]*0.21</f>
        <v>0</v>
      </c>
      <c r="J1051" s="64"/>
      <c r="K1051" s="64"/>
      <c r="L1051" s="64">
        <f>SUM(ventas_b_mes684[[#This Row],[IMPORTE NETO]:[EXENTO]])</f>
        <v>0</v>
      </c>
      <c r="M1051" s="59"/>
    </row>
    <row r="1052" spans="2:13" x14ac:dyDescent="0.25">
      <c r="B1052" s="40"/>
      <c r="C1052" s="41"/>
      <c r="D1052" s="42"/>
      <c r="E1052" s="43"/>
      <c r="F1052" s="44"/>
      <c r="G1052" s="1" t="str">
        <f>IFERROR(IF(ventas_b_mes684[[#This Row],[CUIT]]="","-",VLOOKUP(ventas_b_mes684[[#This Row],[CUIT]],Lista_CUIT[#All],2,0)),"CUIT NO CARGADO")</f>
        <v>-</v>
      </c>
      <c r="H1052" s="64"/>
      <c r="I1052" s="64">
        <f>ventas_b_mes684[[#This Row],[IMPORTE NETO]]*0.21</f>
        <v>0</v>
      </c>
      <c r="J1052" s="64"/>
      <c r="K1052" s="64"/>
      <c r="L1052" s="64">
        <f>SUM(ventas_b_mes684[[#This Row],[IMPORTE NETO]:[EXENTO]])</f>
        <v>0</v>
      </c>
      <c r="M1052" s="59"/>
    </row>
    <row r="1053" spans="2:13" x14ac:dyDescent="0.25">
      <c r="B1053" s="40"/>
      <c r="C1053" s="41"/>
      <c r="D1053" s="42"/>
      <c r="E1053" s="43"/>
      <c r="F1053" s="44"/>
      <c r="G1053" s="1" t="str">
        <f>IFERROR(IF(ventas_b_mes684[[#This Row],[CUIT]]="","-",VLOOKUP(ventas_b_mes684[[#This Row],[CUIT]],Lista_CUIT[#All],2,0)),"CUIT NO CARGADO")</f>
        <v>-</v>
      </c>
      <c r="H1053" s="64"/>
      <c r="I1053" s="64">
        <f>ventas_b_mes684[[#This Row],[IMPORTE NETO]]*0.21</f>
        <v>0</v>
      </c>
      <c r="J1053" s="64"/>
      <c r="K1053" s="64"/>
      <c r="L1053" s="64">
        <f>SUM(ventas_b_mes684[[#This Row],[IMPORTE NETO]:[EXENTO]])</f>
        <v>0</v>
      </c>
      <c r="M1053" s="59"/>
    </row>
    <row r="1054" spans="2:13" x14ac:dyDescent="0.25">
      <c r="B1054" s="40"/>
      <c r="C1054" s="41"/>
      <c r="D1054" s="42"/>
      <c r="E1054" s="43"/>
      <c r="F1054" s="44"/>
      <c r="G1054" s="1" t="str">
        <f>IFERROR(IF(ventas_b_mes684[[#This Row],[CUIT]]="","-",VLOOKUP(ventas_b_mes684[[#This Row],[CUIT]],Lista_CUIT[#All],2,0)),"CUIT NO CARGADO")</f>
        <v>-</v>
      </c>
      <c r="H1054" s="64"/>
      <c r="I1054" s="64">
        <f>ventas_b_mes684[[#This Row],[IMPORTE NETO]]*0.21</f>
        <v>0</v>
      </c>
      <c r="J1054" s="64"/>
      <c r="K1054" s="64"/>
      <c r="L1054" s="64">
        <f>SUM(ventas_b_mes684[[#This Row],[IMPORTE NETO]:[EXENTO]])</f>
        <v>0</v>
      </c>
      <c r="M1054" s="59"/>
    </row>
    <row r="1055" spans="2:13" x14ac:dyDescent="0.25">
      <c r="B1055" s="40"/>
      <c r="C1055" s="41"/>
      <c r="D1055" s="42"/>
      <c r="E1055" s="43"/>
      <c r="F1055" s="44"/>
      <c r="G1055" s="1" t="str">
        <f>IFERROR(IF(ventas_b_mes684[[#This Row],[CUIT]]="","-",VLOOKUP(ventas_b_mes684[[#This Row],[CUIT]],Lista_CUIT[#All],2,0)),"CUIT NO CARGADO")</f>
        <v>-</v>
      </c>
      <c r="H1055" s="64"/>
      <c r="I1055" s="64">
        <f>ventas_b_mes684[[#This Row],[IMPORTE NETO]]*0.21</f>
        <v>0</v>
      </c>
      <c r="J1055" s="64"/>
      <c r="K1055" s="64"/>
      <c r="L1055" s="64">
        <f>SUM(ventas_b_mes684[[#This Row],[IMPORTE NETO]:[EXENTO]])</f>
        <v>0</v>
      </c>
      <c r="M1055" s="59"/>
    </row>
    <row r="1056" spans="2:13" x14ac:dyDescent="0.25">
      <c r="B1056" s="40"/>
      <c r="C1056" s="41"/>
      <c r="D1056" s="42"/>
      <c r="E1056" s="43"/>
      <c r="F1056" s="44"/>
      <c r="G1056" s="1" t="str">
        <f>IFERROR(IF(ventas_b_mes684[[#This Row],[CUIT]]="","-",VLOOKUP(ventas_b_mes684[[#This Row],[CUIT]],Lista_CUIT[#All],2,0)),"CUIT NO CARGADO")</f>
        <v>-</v>
      </c>
      <c r="H1056" s="64"/>
      <c r="I1056" s="64">
        <f>ventas_b_mes684[[#This Row],[IMPORTE NETO]]*0.21</f>
        <v>0</v>
      </c>
      <c r="J1056" s="64"/>
      <c r="K1056" s="64"/>
      <c r="L1056" s="64">
        <f>SUM(ventas_b_mes684[[#This Row],[IMPORTE NETO]:[EXENTO]])</f>
        <v>0</v>
      </c>
      <c r="M1056" s="59"/>
    </row>
    <row r="1057" spans="2:13" x14ac:dyDescent="0.25">
      <c r="B1057" s="40"/>
      <c r="C1057" s="41"/>
      <c r="D1057" s="42"/>
      <c r="E1057" s="43"/>
      <c r="F1057" s="44"/>
      <c r="G1057" s="1" t="str">
        <f>IFERROR(IF(ventas_b_mes684[[#This Row],[CUIT]]="","-",VLOOKUP(ventas_b_mes684[[#This Row],[CUIT]],Lista_CUIT[#All],2,0)),"CUIT NO CARGADO")</f>
        <v>-</v>
      </c>
      <c r="H1057" s="64"/>
      <c r="I1057" s="64">
        <f>ventas_b_mes684[[#This Row],[IMPORTE NETO]]*0.21</f>
        <v>0</v>
      </c>
      <c r="J1057" s="64"/>
      <c r="K1057" s="64"/>
      <c r="L1057" s="64">
        <f>SUM(ventas_b_mes684[[#This Row],[IMPORTE NETO]:[EXENTO]])</f>
        <v>0</v>
      </c>
      <c r="M1057" s="59"/>
    </row>
    <row r="1058" spans="2:13" x14ac:dyDescent="0.25">
      <c r="B1058" s="40"/>
      <c r="C1058" s="41"/>
      <c r="D1058" s="42"/>
      <c r="E1058" s="43"/>
      <c r="F1058" s="44"/>
      <c r="G1058" s="1" t="str">
        <f>IFERROR(IF(ventas_b_mes684[[#This Row],[CUIT]]="","-",VLOOKUP(ventas_b_mes684[[#This Row],[CUIT]],Lista_CUIT[#All],2,0)),"CUIT NO CARGADO")</f>
        <v>-</v>
      </c>
      <c r="H1058" s="64"/>
      <c r="I1058" s="64">
        <f>ventas_b_mes684[[#This Row],[IMPORTE NETO]]*0.21</f>
        <v>0</v>
      </c>
      <c r="J1058" s="64"/>
      <c r="K1058" s="64"/>
      <c r="L1058" s="64">
        <f>SUM(ventas_b_mes684[[#This Row],[IMPORTE NETO]:[EXENTO]])</f>
        <v>0</v>
      </c>
      <c r="M1058" s="59"/>
    </row>
    <row r="1059" spans="2:13" x14ac:dyDescent="0.25">
      <c r="B1059" s="40"/>
      <c r="C1059" s="41"/>
      <c r="D1059" s="42"/>
      <c r="E1059" s="43"/>
      <c r="F1059" s="44"/>
      <c r="G1059" s="1" t="str">
        <f>IFERROR(IF(ventas_b_mes684[[#This Row],[CUIT]]="","-",VLOOKUP(ventas_b_mes684[[#This Row],[CUIT]],Lista_CUIT[#All],2,0)),"CUIT NO CARGADO")</f>
        <v>-</v>
      </c>
      <c r="H1059" s="64"/>
      <c r="I1059" s="64">
        <f>ventas_b_mes684[[#This Row],[IMPORTE NETO]]*0.21</f>
        <v>0</v>
      </c>
      <c r="J1059" s="64"/>
      <c r="K1059" s="64"/>
      <c r="L1059" s="64">
        <f>SUM(ventas_b_mes684[[#This Row],[IMPORTE NETO]:[EXENTO]])</f>
        <v>0</v>
      </c>
      <c r="M1059" s="59"/>
    </row>
    <row r="1060" spans="2:13" x14ac:dyDescent="0.25">
      <c r="B1060" s="40"/>
      <c r="C1060" s="41"/>
      <c r="D1060" s="42"/>
      <c r="E1060" s="43"/>
      <c r="F1060" s="44"/>
      <c r="G1060" s="1" t="str">
        <f>IFERROR(IF(ventas_b_mes684[[#This Row],[CUIT]]="","-",VLOOKUP(ventas_b_mes684[[#This Row],[CUIT]],Lista_CUIT[#All],2,0)),"CUIT NO CARGADO")</f>
        <v>-</v>
      </c>
      <c r="H1060" s="64"/>
      <c r="I1060" s="64">
        <f>ventas_b_mes684[[#This Row],[IMPORTE NETO]]*0.21</f>
        <v>0</v>
      </c>
      <c r="J1060" s="64"/>
      <c r="K1060" s="64"/>
      <c r="L1060" s="64">
        <f>SUM(ventas_b_mes684[[#This Row],[IMPORTE NETO]:[EXENTO]])</f>
        <v>0</v>
      </c>
      <c r="M1060" s="59"/>
    </row>
    <row r="1061" spans="2:13" x14ac:dyDescent="0.25">
      <c r="B1061" s="40"/>
      <c r="C1061" s="41"/>
      <c r="D1061" s="42"/>
      <c r="E1061" s="43"/>
      <c r="F1061" s="44"/>
      <c r="G1061" s="1" t="str">
        <f>IFERROR(IF(ventas_b_mes684[[#This Row],[CUIT]]="","-",VLOOKUP(ventas_b_mes684[[#This Row],[CUIT]],Lista_CUIT[#All],2,0)),"CUIT NO CARGADO")</f>
        <v>-</v>
      </c>
      <c r="H1061" s="64"/>
      <c r="I1061" s="64">
        <f>ventas_b_mes684[[#This Row],[IMPORTE NETO]]*0.21</f>
        <v>0</v>
      </c>
      <c r="J1061" s="64"/>
      <c r="K1061" s="64"/>
      <c r="L1061" s="64">
        <f>SUM(ventas_b_mes684[[#This Row],[IMPORTE NETO]:[EXENTO]])</f>
        <v>0</v>
      </c>
      <c r="M1061" s="59"/>
    </row>
    <row r="1062" spans="2:13" x14ac:dyDescent="0.25">
      <c r="B1062" s="40"/>
      <c r="C1062" s="41"/>
      <c r="D1062" s="42"/>
      <c r="E1062" s="43"/>
      <c r="F1062" s="44"/>
      <c r="G1062" s="1" t="str">
        <f>IFERROR(IF(ventas_b_mes684[[#This Row],[CUIT]]="","-",VLOOKUP(ventas_b_mes684[[#This Row],[CUIT]],Lista_CUIT[#All],2,0)),"CUIT NO CARGADO")</f>
        <v>-</v>
      </c>
      <c r="H1062" s="64"/>
      <c r="I1062" s="64">
        <f>ventas_b_mes684[[#This Row],[IMPORTE NETO]]*0.21</f>
        <v>0</v>
      </c>
      <c r="J1062" s="64"/>
      <c r="K1062" s="64"/>
      <c r="L1062" s="64">
        <f>SUM(ventas_b_mes684[[#This Row],[IMPORTE NETO]:[EXENTO]])</f>
        <v>0</v>
      </c>
      <c r="M1062" s="59"/>
    </row>
    <row r="1063" spans="2:13" x14ac:dyDescent="0.25">
      <c r="B1063" s="40"/>
      <c r="C1063" s="41"/>
      <c r="D1063" s="42"/>
      <c r="E1063" s="43"/>
      <c r="F1063" s="44"/>
      <c r="G1063" s="1" t="str">
        <f>IFERROR(IF(ventas_b_mes684[[#This Row],[CUIT]]="","-",VLOOKUP(ventas_b_mes684[[#This Row],[CUIT]],Lista_CUIT[#All],2,0)),"CUIT NO CARGADO")</f>
        <v>-</v>
      </c>
      <c r="H1063" s="64"/>
      <c r="I1063" s="64">
        <f>ventas_b_mes684[[#This Row],[IMPORTE NETO]]*0.21</f>
        <v>0</v>
      </c>
      <c r="J1063" s="64"/>
      <c r="K1063" s="64"/>
      <c r="L1063" s="64">
        <f>SUM(ventas_b_mes684[[#This Row],[IMPORTE NETO]:[EXENTO]])</f>
        <v>0</v>
      </c>
      <c r="M1063" s="59"/>
    </row>
    <row r="1064" spans="2:13" x14ac:dyDescent="0.25">
      <c r="B1064" s="40"/>
      <c r="C1064" s="41"/>
      <c r="D1064" s="42"/>
      <c r="E1064" s="43"/>
      <c r="F1064" s="44"/>
      <c r="G1064" s="1" t="str">
        <f>IFERROR(IF(ventas_b_mes684[[#This Row],[CUIT]]="","-",VLOOKUP(ventas_b_mes684[[#This Row],[CUIT]],Lista_CUIT[#All],2,0)),"CUIT NO CARGADO")</f>
        <v>-</v>
      </c>
      <c r="H1064" s="64"/>
      <c r="I1064" s="64">
        <f>ventas_b_mes684[[#This Row],[IMPORTE NETO]]*0.21</f>
        <v>0</v>
      </c>
      <c r="J1064" s="64"/>
      <c r="K1064" s="64"/>
      <c r="L1064" s="64">
        <f>SUM(ventas_b_mes684[[#This Row],[IMPORTE NETO]:[EXENTO]])</f>
        <v>0</v>
      </c>
      <c r="M1064" s="59"/>
    </row>
    <row r="1065" spans="2:13" x14ac:dyDescent="0.25">
      <c r="B1065" s="40"/>
      <c r="C1065" s="41"/>
      <c r="D1065" s="42"/>
      <c r="E1065" s="43"/>
      <c r="F1065" s="44"/>
      <c r="G1065" s="1" t="str">
        <f>IFERROR(IF(ventas_b_mes684[[#This Row],[CUIT]]="","-",VLOOKUP(ventas_b_mes684[[#This Row],[CUIT]],Lista_CUIT[#All],2,0)),"CUIT NO CARGADO")</f>
        <v>-</v>
      </c>
      <c r="H1065" s="64"/>
      <c r="I1065" s="64">
        <f>ventas_b_mes684[[#This Row],[IMPORTE NETO]]*0.21</f>
        <v>0</v>
      </c>
      <c r="J1065" s="64"/>
      <c r="K1065" s="64"/>
      <c r="L1065" s="64">
        <f>SUM(ventas_b_mes684[[#This Row],[IMPORTE NETO]:[EXENTO]])</f>
        <v>0</v>
      </c>
      <c r="M1065" s="59"/>
    </row>
    <row r="1066" spans="2:13" x14ac:dyDescent="0.25">
      <c r="B1066" s="40"/>
      <c r="C1066" s="41"/>
      <c r="D1066" s="42"/>
      <c r="E1066" s="43"/>
      <c r="F1066" s="44"/>
      <c r="G1066" s="1" t="str">
        <f>IFERROR(IF(ventas_b_mes684[[#This Row],[CUIT]]="","-",VLOOKUP(ventas_b_mes684[[#This Row],[CUIT]],Lista_CUIT[#All],2,0)),"CUIT NO CARGADO")</f>
        <v>-</v>
      </c>
      <c r="H1066" s="64"/>
      <c r="I1066" s="64">
        <f>ventas_b_mes684[[#This Row],[IMPORTE NETO]]*0.21</f>
        <v>0</v>
      </c>
      <c r="J1066" s="64"/>
      <c r="K1066" s="64"/>
      <c r="L1066" s="64">
        <f>SUM(ventas_b_mes684[[#This Row],[IMPORTE NETO]:[EXENTO]])</f>
        <v>0</v>
      </c>
      <c r="M1066" s="59"/>
    </row>
    <row r="1067" spans="2:13" x14ac:dyDescent="0.25">
      <c r="B1067" s="40"/>
      <c r="C1067" s="41"/>
      <c r="D1067" s="42"/>
      <c r="E1067" s="43"/>
      <c r="F1067" s="44"/>
      <c r="G1067" s="1" t="str">
        <f>IFERROR(IF(ventas_b_mes684[[#This Row],[CUIT]]="","-",VLOOKUP(ventas_b_mes684[[#This Row],[CUIT]],Lista_CUIT[#All],2,0)),"CUIT NO CARGADO")</f>
        <v>-</v>
      </c>
      <c r="H1067" s="64"/>
      <c r="I1067" s="64">
        <f>ventas_b_mes684[[#This Row],[IMPORTE NETO]]*0.21</f>
        <v>0</v>
      </c>
      <c r="J1067" s="64"/>
      <c r="K1067" s="64"/>
      <c r="L1067" s="64">
        <f>SUM(ventas_b_mes684[[#This Row],[IMPORTE NETO]:[EXENTO]])</f>
        <v>0</v>
      </c>
      <c r="M1067" s="59"/>
    </row>
    <row r="1068" spans="2:13" x14ac:dyDescent="0.25">
      <c r="B1068" s="40"/>
      <c r="C1068" s="41"/>
      <c r="D1068" s="42"/>
      <c r="E1068" s="43"/>
      <c r="F1068" s="44"/>
      <c r="G1068" s="1" t="str">
        <f>IFERROR(IF(ventas_b_mes684[[#This Row],[CUIT]]="","-",VLOOKUP(ventas_b_mes684[[#This Row],[CUIT]],Lista_CUIT[#All],2,0)),"CUIT NO CARGADO")</f>
        <v>-</v>
      </c>
      <c r="H1068" s="64"/>
      <c r="I1068" s="64">
        <f>ventas_b_mes684[[#This Row],[IMPORTE NETO]]*0.21</f>
        <v>0</v>
      </c>
      <c r="J1068" s="64"/>
      <c r="K1068" s="64"/>
      <c r="L1068" s="64">
        <f>SUM(ventas_b_mes684[[#This Row],[IMPORTE NETO]:[EXENTO]])</f>
        <v>0</v>
      </c>
      <c r="M1068" s="59"/>
    </row>
    <row r="1069" spans="2:13" x14ac:dyDescent="0.25">
      <c r="B1069" s="40"/>
      <c r="C1069" s="41"/>
      <c r="D1069" s="42"/>
      <c r="E1069" s="43"/>
      <c r="F1069" s="44"/>
      <c r="G1069" s="1" t="str">
        <f>IFERROR(IF(ventas_b_mes684[[#This Row],[CUIT]]="","-",VLOOKUP(ventas_b_mes684[[#This Row],[CUIT]],Lista_CUIT[#All],2,0)),"CUIT NO CARGADO")</f>
        <v>-</v>
      </c>
      <c r="H1069" s="64"/>
      <c r="I1069" s="64">
        <f>ventas_b_mes684[[#This Row],[IMPORTE NETO]]*0.21</f>
        <v>0</v>
      </c>
      <c r="J1069" s="64"/>
      <c r="K1069" s="64"/>
      <c r="L1069" s="64">
        <f>SUM(ventas_b_mes684[[#This Row],[IMPORTE NETO]:[EXENTO]])</f>
        <v>0</v>
      </c>
      <c r="M1069" s="59"/>
    </row>
    <row r="1070" spans="2:13" x14ac:dyDescent="0.25">
      <c r="B1070" s="40"/>
      <c r="C1070" s="41"/>
      <c r="D1070" s="42"/>
      <c r="E1070" s="43"/>
      <c r="F1070" s="44"/>
      <c r="G1070" s="1" t="str">
        <f>IFERROR(IF(ventas_b_mes684[[#This Row],[CUIT]]="","-",VLOOKUP(ventas_b_mes684[[#This Row],[CUIT]],Lista_CUIT[#All],2,0)),"CUIT NO CARGADO")</f>
        <v>-</v>
      </c>
      <c r="H1070" s="64"/>
      <c r="I1070" s="64">
        <f>ventas_b_mes684[[#This Row],[IMPORTE NETO]]*0.21</f>
        <v>0</v>
      </c>
      <c r="J1070" s="64"/>
      <c r="K1070" s="64"/>
      <c r="L1070" s="64">
        <f>SUM(ventas_b_mes684[[#This Row],[IMPORTE NETO]:[EXENTO]])</f>
        <v>0</v>
      </c>
      <c r="M1070" s="59"/>
    </row>
    <row r="1071" spans="2:13" x14ac:dyDescent="0.25">
      <c r="B1071" s="40"/>
      <c r="C1071" s="41"/>
      <c r="D1071" s="42"/>
      <c r="E1071" s="43"/>
      <c r="F1071" s="44"/>
      <c r="G1071" s="1" t="str">
        <f>IFERROR(IF(ventas_b_mes684[[#This Row],[CUIT]]="","-",VLOOKUP(ventas_b_mes684[[#This Row],[CUIT]],Lista_CUIT[#All],2,0)),"CUIT NO CARGADO")</f>
        <v>-</v>
      </c>
      <c r="H1071" s="64"/>
      <c r="I1071" s="64">
        <f>ventas_b_mes684[[#This Row],[IMPORTE NETO]]*0.21</f>
        <v>0</v>
      </c>
      <c r="J1071" s="64"/>
      <c r="K1071" s="64"/>
      <c r="L1071" s="64">
        <f>SUM(ventas_b_mes684[[#This Row],[IMPORTE NETO]:[EXENTO]])</f>
        <v>0</v>
      </c>
      <c r="M1071" s="59"/>
    </row>
    <row r="1072" spans="2:13" x14ac:dyDescent="0.25">
      <c r="B1072" s="40"/>
      <c r="C1072" s="41"/>
      <c r="D1072" s="42"/>
      <c r="E1072" s="43"/>
      <c r="F1072" s="44"/>
      <c r="G1072" s="1" t="str">
        <f>IFERROR(IF(ventas_b_mes684[[#This Row],[CUIT]]="","-",VLOOKUP(ventas_b_mes684[[#This Row],[CUIT]],Lista_CUIT[#All],2,0)),"CUIT NO CARGADO")</f>
        <v>-</v>
      </c>
      <c r="H1072" s="64"/>
      <c r="I1072" s="64">
        <f>ventas_b_mes684[[#This Row],[IMPORTE NETO]]*0.21</f>
        <v>0</v>
      </c>
      <c r="J1072" s="64"/>
      <c r="K1072" s="64"/>
      <c r="L1072" s="64">
        <f>SUM(ventas_b_mes684[[#This Row],[IMPORTE NETO]:[EXENTO]])</f>
        <v>0</v>
      </c>
      <c r="M1072" s="59"/>
    </row>
    <row r="1073" spans="2:13" x14ac:dyDescent="0.25">
      <c r="B1073" s="40"/>
      <c r="C1073" s="41"/>
      <c r="D1073" s="42"/>
      <c r="E1073" s="43"/>
      <c r="F1073" s="44"/>
      <c r="G1073" s="1" t="str">
        <f>IFERROR(IF(ventas_b_mes684[[#This Row],[CUIT]]="","-",VLOOKUP(ventas_b_mes684[[#This Row],[CUIT]],Lista_CUIT[#All],2,0)),"CUIT NO CARGADO")</f>
        <v>-</v>
      </c>
      <c r="H1073" s="64"/>
      <c r="I1073" s="64">
        <f>ventas_b_mes684[[#This Row],[IMPORTE NETO]]*0.21</f>
        <v>0</v>
      </c>
      <c r="J1073" s="64"/>
      <c r="K1073" s="64"/>
      <c r="L1073" s="64">
        <f>SUM(ventas_b_mes684[[#This Row],[IMPORTE NETO]:[EXENTO]])</f>
        <v>0</v>
      </c>
      <c r="M1073" s="59"/>
    </row>
    <row r="1074" spans="2:13" x14ac:dyDescent="0.25">
      <c r="B1074" s="40"/>
      <c r="C1074" s="41"/>
      <c r="D1074" s="42"/>
      <c r="E1074" s="43"/>
      <c r="F1074" s="44"/>
      <c r="G1074" s="1" t="str">
        <f>IFERROR(IF(ventas_b_mes684[[#This Row],[CUIT]]="","-",VLOOKUP(ventas_b_mes684[[#This Row],[CUIT]],Lista_CUIT[#All],2,0)),"CUIT NO CARGADO")</f>
        <v>-</v>
      </c>
      <c r="H1074" s="64"/>
      <c r="I1074" s="64">
        <f>ventas_b_mes684[[#This Row],[IMPORTE NETO]]*0.21</f>
        <v>0</v>
      </c>
      <c r="J1074" s="64"/>
      <c r="K1074" s="64"/>
      <c r="L1074" s="64">
        <f>SUM(ventas_b_mes684[[#This Row],[IMPORTE NETO]:[EXENTO]])</f>
        <v>0</v>
      </c>
      <c r="M1074" s="59"/>
    </row>
    <row r="1075" spans="2:13" x14ac:dyDescent="0.25">
      <c r="B1075" s="40"/>
      <c r="C1075" s="41"/>
      <c r="D1075" s="42"/>
      <c r="E1075" s="43"/>
      <c r="F1075" s="44"/>
      <c r="G1075" s="1" t="str">
        <f>IFERROR(IF(ventas_b_mes684[[#This Row],[CUIT]]="","-",VLOOKUP(ventas_b_mes684[[#This Row],[CUIT]],Lista_CUIT[#All],2,0)),"CUIT NO CARGADO")</f>
        <v>-</v>
      </c>
      <c r="H1075" s="64"/>
      <c r="I1075" s="64">
        <f>ventas_b_mes684[[#This Row],[IMPORTE NETO]]*0.21</f>
        <v>0</v>
      </c>
      <c r="J1075" s="64"/>
      <c r="K1075" s="64"/>
      <c r="L1075" s="64">
        <f>SUM(ventas_b_mes684[[#This Row],[IMPORTE NETO]:[EXENTO]])</f>
        <v>0</v>
      </c>
      <c r="M1075" s="59"/>
    </row>
    <row r="1076" spans="2:13" x14ac:dyDescent="0.25">
      <c r="B1076" s="40"/>
      <c r="C1076" s="41"/>
      <c r="D1076" s="42"/>
      <c r="E1076" s="43"/>
      <c r="F1076" s="44"/>
      <c r="G1076" s="1" t="str">
        <f>IFERROR(IF(ventas_b_mes684[[#This Row],[CUIT]]="","-",VLOOKUP(ventas_b_mes684[[#This Row],[CUIT]],Lista_CUIT[#All],2,0)),"CUIT NO CARGADO")</f>
        <v>-</v>
      </c>
      <c r="H1076" s="64"/>
      <c r="I1076" s="64">
        <f>ventas_b_mes684[[#This Row],[IMPORTE NETO]]*0.21</f>
        <v>0</v>
      </c>
      <c r="J1076" s="64"/>
      <c r="K1076" s="64"/>
      <c r="L1076" s="64">
        <f>SUM(ventas_b_mes684[[#This Row],[IMPORTE NETO]:[EXENTO]])</f>
        <v>0</v>
      </c>
      <c r="M1076" s="59"/>
    </row>
    <row r="1077" spans="2:13" x14ac:dyDescent="0.25">
      <c r="B1077" s="40"/>
      <c r="C1077" s="41"/>
      <c r="D1077" s="42"/>
      <c r="E1077" s="43"/>
      <c r="F1077" s="44"/>
      <c r="G1077" s="1" t="str">
        <f>IFERROR(IF(ventas_b_mes684[[#This Row],[CUIT]]="","-",VLOOKUP(ventas_b_mes684[[#This Row],[CUIT]],Lista_CUIT[#All],2,0)),"CUIT NO CARGADO")</f>
        <v>-</v>
      </c>
      <c r="H1077" s="64"/>
      <c r="I1077" s="64">
        <f>ventas_b_mes684[[#This Row],[IMPORTE NETO]]*0.21</f>
        <v>0</v>
      </c>
      <c r="J1077" s="64"/>
      <c r="K1077" s="64"/>
      <c r="L1077" s="64">
        <f>SUM(ventas_b_mes684[[#This Row],[IMPORTE NETO]:[EXENTO]])</f>
        <v>0</v>
      </c>
      <c r="M1077" s="59"/>
    </row>
    <row r="1078" spans="2:13" x14ac:dyDescent="0.25">
      <c r="B1078" s="40"/>
      <c r="C1078" s="41"/>
      <c r="D1078" s="42"/>
      <c r="E1078" s="43"/>
      <c r="F1078" s="44"/>
      <c r="G1078" s="1" t="str">
        <f>IFERROR(IF(ventas_b_mes684[[#This Row],[CUIT]]="","-",VLOOKUP(ventas_b_mes684[[#This Row],[CUIT]],Lista_CUIT[#All],2,0)),"CUIT NO CARGADO")</f>
        <v>-</v>
      </c>
      <c r="H1078" s="64"/>
      <c r="I1078" s="64">
        <f>ventas_b_mes684[[#This Row],[IMPORTE NETO]]*0.21</f>
        <v>0</v>
      </c>
      <c r="J1078" s="64"/>
      <c r="K1078" s="64"/>
      <c r="L1078" s="64">
        <f>SUM(ventas_b_mes684[[#This Row],[IMPORTE NETO]:[EXENTO]])</f>
        <v>0</v>
      </c>
      <c r="M1078" s="59"/>
    </row>
    <row r="1079" spans="2:13" x14ac:dyDescent="0.25">
      <c r="B1079" s="40"/>
      <c r="C1079" s="41"/>
      <c r="D1079" s="42"/>
      <c r="E1079" s="43"/>
      <c r="F1079" s="44"/>
      <c r="G1079" s="1" t="str">
        <f>IFERROR(IF(ventas_b_mes684[[#This Row],[CUIT]]="","-",VLOOKUP(ventas_b_mes684[[#This Row],[CUIT]],Lista_CUIT[#All],2,0)),"CUIT NO CARGADO")</f>
        <v>-</v>
      </c>
      <c r="H1079" s="64"/>
      <c r="I1079" s="64">
        <f>ventas_b_mes684[[#This Row],[IMPORTE NETO]]*0.21</f>
        <v>0</v>
      </c>
      <c r="J1079" s="64"/>
      <c r="K1079" s="64"/>
      <c r="L1079" s="64">
        <f>SUM(ventas_b_mes684[[#This Row],[IMPORTE NETO]:[EXENTO]])</f>
        <v>0</v>
      </c>
      <c r="M1079" s="59"/>
    </row>
    <row r="1080" spans="2:13" x14ac:dyDescent="0.25">
      <c r="B1080" s="40"/>
      <c r="C1080" s="41"/>
      <c r="D1080" s="42"/>
      <c r="E1080" s="43"/>
      <c r="F1080" s="44"/>
      <c r="G1080" s="1" t="str">
        <f>IFERROR(IF(ventas_b_mes684[[#This Row],[CUIT]]="","-",VLOOKUP(ventas_b_mes684[[#This Row],[CUIT]],Lista_CUIT[#All],2,0)),"CUIT NO CARGADO")</f>
        <v>-</v>
      </c>
      <c r="H1080" s="64"/>
      <c r="I1080" s="64">
        <f>ventas_b_mes684[[#This Row],[IMPORTE NETO]]*0.21</f>
        <v>0</v>
      </c>
      <c r="J1080" s="64"/>
      <c r="K1080" s="64"/>
      <c r="L1080" s="64">
        <f>SUM(ventas_b_mes684[[#This Row],[IMPORTE NETO]:[EXENTO]])</f>
        <v>0</v>
      </c>
      <c r="M1080" s="59"/>
    </row>
    <row r="1081" spans="2:13" x14ac:dyDescent="0.25">
      <c r="B1081" s="40"/>
      <c r="C1081" s="41"/>
      <c r="D1081" s="42"/>
      <c r="E1081" s="43"/>
      <c r="F1081" s="44"/>
      <c r="G1081" s="1" t="str">
        <f>IFERROR(IF(ventas_b_mes684[[#This Row],[CUIT]]="","-",VLOOKUP(ventas_b_mes684[[#This Row],[CUIT]],Lista_CUIT[#All],2,0)),"CUIT NO CARGADO")</f>
        <v>-</v>
      </c>
      <c r="H1081" s="64"/>
      <c r="I1081" s="64">
        <f>ventas_b_mes684[[#This Row],[IMPORTE NETO]]*0.21</f>
        <v>0</v>
      </c>
      <c r="J1081" s="64"/>
      <c r="K1081" s="64"/>
      <c r="L1081" s="64">
        <f>SUM(ventas_b_mes684[[#This Row],[IMPORTE NETO]:[EXENTO]])</f>
        <v>0</v>
      </c>
      <c r="M1081" s="59"/>
    </row>
    <row r="1082" spans="2:13" x14ac:dyDescent="0.25">
      <c r="B1082" s="40"/>
      <c r="C1082" s="41"/>
      <c r="D1082" s="42"/>
      <c r="E1082" s="43"/>
      <c r="F1082" s="44"/>
      <c r="G1082" s="1" t="str">
        <f>IFERROR(IF(ventas_b_mes684[[#This Row],[CUIT]]="","-",VLOOKUP(ventas_b_mes684[[#This Row],[CUIT]],Lista_CUIT[#All],2,0)),"CUIT NO CARGADO")</f>
        <v>-</v>
      </c>
      <c r="H1082" s="64"/>
      <c r="I1082" s="64">
        <f>ventas_b_mes684[[#This Row],[IMPORTE NETO]]*0.21</f>
        <v>0</v>
      </c>
      <c r="J1082" s="64"/>
      <c r="K1082" s="64"/>
      <c r="L1082" s="64">
        <f>SUM(ventas_b_mes684[[#This Row],[IMPORTE NETO]:[EXENTO]])</f>
        <v>0</v>
      </c>
      <c r="M1082" s="59"/>
    </row>
    <row r="1083" spans="2:13" x14ac:dyDescent="0.25">
      <c r="B1083" s="40"/>
      <c r="C1083" s="41"/>
      <c r="D1083" s="42"/>
      <c r="E1083" s="43"/>
      <c r="F1083" s="44"/>
      <c r="G1083" s="1" t="str">
        <f>IFERROR(IF(ventas_b_mes684[[#This Row],[CUIT]]="","-",VLOOKUP(ventas_b_mes684[[#This Row],[CUIT]],Lista_CUIT[#All],2,0)),"CUIT NO CARGADO")</f>
        <v>-</v>
      </c>
      <c r="H1083" s="64"/>
      <c r="I1083" s="64">
        <f>ventas_b_mes684[[#This Row],[IMPORTE NETO]]*0.21</f>
        <v>0</v>
      </c>
      <c r="J1083" s="64"/>
      <c r="K1083" s="64"/>
      <c r="L1083" s="64">
        <f>SUM(ventas_b_mes684[[#This Row],[IMPORTE NETO]:[EXENTO]])</f>
        <v>0</v>
      </c>
      <c r="M1083" s="59"/>
    </row>
    <row r="1084" spans="2:13" x14ac:dyDescent="0.25">
      <c r="B1084" s="40"/>
      <c r="C1084" s="41"/>
      <c r="D1084" s="42"/>
      <c r="E1084" s="43"/>
      <c r="F1084" s="44"/>
      <c r="G1084" s="1" t="str">
        <f>IFERROR(IF(ventas_b_mes684[[#This Row],[CUIT]]="","-",VLOOKUP(ventas_b_mes684[[#This Row],[CUIT]],Lista_CUIT[#All],2,0)),"CUIT NO CARGADO")</f>
        <v>-</v>
      </c>
      <c r="H1084" s="64"/>
      <c r="I1084" s="64">
        <f>ventas_b_mes684[[#This Row],[IMPORTE NETO]]*0.21</f>
        <v>0</v>
      </c>
      <c r="J1084" s="64"/>
      <c r="K1084" s="64"/>
      <c r="L1084" s="64">
        <f>SUM(ventas_b_mes684[[#This Row],[IMPORTE NETO]:[EXENTO]])</f>
        <v>0</v>
      </c>
      <c r="M1084" s="59"/>
    </row>
    <row r="1085" spans="2:13" x14ac:dyDescent="0.25">
      <c r="B1085" s="40"/>
      <c r="C1085" s="41"/>
      <c r="D1085" s="42"/>
      <c r="E1085" s="43"/>
      <c r="F1085" s="44"/>
      <c r="G1085" s="1" t="str">
        <f>IFERROR(IF(ventas_b_mes684[[#This Row],[CUIT]]="","-",VLOOKUP(ventas_b_mes684[[#This Row],[CUIT]],Lista_CUIT[#All],2,0)),"CUIT NO CARGADO")</f>
        <v>-</v>
      </c>
      <c r="H1085" s="64"/>
      <c r="I1085" s="64">
        <f>ventas_b_mes684[[#This Row],[IMPORTE NETO]]*0.21</f>
        <v>0</v>
      </c>
      <c r="J1085" s="64"/>
      <c r="K1085" s="64"/>
      <c r="L1085" s="64">
        <f>SUM(ventas_b_mes684[[#This Row],[IMPORTE NETO]:[EXENTO]])</f>
        <v>0</v>
      </c>
      <c r="M1085" s="59"/>
    </row>
    <row r="1086" spans="2:13" x14ac:dyDescent="0.25">
      <c r="B1086" s="40"/>
      <c r="C1086" s="41"/>
      <c r="D1086" s="42"/>
      <c r="E1086" s="43"/>
      <c r="F1086" s="44"/>
      <c r="G1086" s="1" t="str">
        <f>IFERROR(IF(ventas_b_mes684[[#This Row],[CUIT]]="","-",VLOOKUP(ventas_b_mes684[[#This Row],[CUIT]],Lista_CUIT[#All],2,0)),"CUIT NO CARGADO")</f>
        <v>-</v>
      </c>
      <c r="H1086" s="64"/>
      <c r="I1086" s="64">
        <f>ventas_b_mes684[[#This Row],[IMPORTE NETO]]*0.21</f>
        <v>0</v>
      </c>
      <c r="J1086" s="64"/>
      <c r="K1086" s="64"/>
      <c r="L1086" s="64">
        <f>SUM(ventas_b_mes684[[#This Row],[IMPORTE NETO]:[EXENTO]])</f>
        <v>0</v>
      </c>
      <c r="M1086" s="59"/>
    </row>
    <row r="1087" spans="2:13" x14ac:dyDescent="0.25">
      <c r="B1087" s="40"/>
      <c r="C1087" s="41"/>
      <c r="D1087" s="42"/>
      <c r="E1087" s="43"/>
      <c r="F1087" s="44"/>
      <c r="G1087" s="1" t="str">
        <f>IFERROR(IF(ventas_b_mes684[[#This Row],[CUIT]]="","-",VLOOKUP(ventas_b_mes684[[#This Row],[CUIT]],Lista_CUIT[#All],2,0)),"CUIT NO CARGADO")</f>
        <v>-</v>
      </c>
      <c r="H1087" s="64"/>
      <c r="I1087" s="64">
        <f>ventas_b_mes684[[#This Row],[IMPORTE NETO]]*0.21</f>
        <v>0</v>
      </c>
      <c r="J1087" s="64"/>
      <c r="K1087" s="64"/>
      <c r="L1087" s="64">
        <f>SUM(ventas_b_mes684[[#This Row],[IMPORTE NETO]:[EXENTO]])</f>
        <v>0</v>
      </c>
      <c r="M1087" s="59"/>
    </row>
    <row r="1088" spans="2:13" x14ac:dyDescent="0.25">
      <c r="B1088" s="40"/>
      <c r="C1088" s="41"/>
      <c r="D1088" s="42"/>
      <c r="E1088" s="43"/>
      <c r="F1088" s="44"/>
      <c r="G1088" s="1" t="str">
        <f>IFERROR(IF(ventas_b_mes684[[#This Row],[CUIT]]="","-",VLOOKUP(ventas_b_mes684[[#This Row],[CUIT]],Lista_CUIT[#All],2,0)),"CUIT NO CARGADO")</f>
        <v>-</v>
      </c>
      <c r="H1088" s="64"/>
      <c r="I1088" s="64">
        <f>ventas_b_mes684[[#This Row],[IMPORTE NETO]]*0.21</f>
        <v>0</v>
      </c>
      <c r="J1088" s="64"/>
      <c r="K1088" s="64"/>
      <c r="L1088" s="64">
        <f>SUM(ventas_b_mes684[[#This Row],[IMPORTE NETO]:[EXENTO]])</f>
        <v>0</v>
      </c>
      <c r="M1088" s="59"/>
    </row>
    <row r="1089" spans="2:13" x14ac:dyDescent="0.25">
      <c r="B1089" s="40"/>
      <c r="C1089" s="41"/>
      <c r="D1089" s="42"/>
      <c r="E1089" s="43"/>
      <c r="F1089" s="44"/>
      <c r="G1089" s="1" t="str">
        <f>IFERROR(IF(ventas_b_mes684[[#This Row],[CUIT]]="","-",VLOOKUP(ventas_b_mes684[[#This Row],[CUIT]],Lista_CUIT[#All],2,0)),"CUIT NO CARGADO")</f>
        <v>-</v>
      </c>
      <c r="H1089" s="64"/>
      <c r="I1089" s="64">
        <f>ventas_b_mes684[[#This Row],[IMPORTE NETO]]*0.21</f>
        <v>0</v>
      </c>
      <c r="J1089" s="64"/>
      <c r="K1089" s="64"/>
      <c r="L1089" s="64">
        <f>SUM(ventas_b_mes684[[#This Row],[IMPORTE NETO]:[EXENTO]])</f>
        <v>0</v>
      </c>
      <c r="M1089" s="59"/>
    </row>
    <row r="1090" spans="2:13" x14ac:dyDescent="0.25">
      <c r="B1090" s="40"/>
      <c r="C1090" s="41"/>
      <c r="D1090" s="42"/>
      <c r="E1090" s="43"/>
      <c r="F1090" s="44"/>
      <c r="G1090" s="1" t="str">
        <f>IFERROR(IF(ventas_b_mes684[[#This Row],[CUIT]]="","-",VLOOKUP(ventas_b_mes684[[#This Row],[CUIT]],Lista_CUIT[#All],2,0)),"CUIT NO CARGADO")</f>
        <v>-</v>
      </c>
      <c r="H1090" s="64"/>
      <c r="I1090" s="64">
        <f>ventas_b_mes684[[#This Row],[IMPORTE NETO]]*0.21</f>
        <v>0</v>
      </c>
      <c r="J1090" s="64"/>
      <c r="K1090" s="64"/>
      <c r="L1090" s="64">
        <f>SUM(ventas_b_mes684[[#This Row],[IMPORTE NETO]:[EXENTO]])</f>
        <v>0</v>
      </c>
      <c r="M1090" s="59"/>
    </row>
    <row r="1091" spans="2:13" x14ac:dyDescent="0.25">
      <c r="B1091" s="40"/>
      <c r="C1091" s="41"/>
      <c r="D1091" s="42"/>
      <c r="E1091" s="43"/>
      <c r="F1091" s="44"/>
      <c r="G1091" s="1" t="str">
        <f>IFERROR(IF(ventas_b_mes684[[#This Row],[CUIT]]="","-",VLOOKUP(ventas_b_mes684[[#This Row],[CUIT]],Lista_CUIT[#All],2,0)),"CUIT NO CARGADO")</f>
        <v>-</v>
      </c>
      <c r="H1091" s="64"/>
      <c r="I1091" s="64">
        <f>ventas_b_mes684[[#This Row],[IMPORTE NETO]]*0.21</f>
        <v>0</v>
      </c>
      <c r="J1091" s="64"/>
      <c r="K1091" s="64"/>
      <c r="L1091" s="64">
        <f>SUM(ventas_b_mes684[[#This Row],[IMPORTE NETO]:[EXENTO]])</f>
        <v>0</v>
      </c>
      <c r="M1091" s="59"/>
    </row>
    <row r="1092" spans="2:13" x14ac:dyDescent="0.25">
      <c r="B1092" s="40"/>
      <c r="C1092" s="41"/>
      <c r="D1092" s="42"/>
      <c r="E1092" s="43"/>
      <c r="F1092" s="44"/>
      <c r="G1092" s="1" t="str">
        <f>IFERROR(IF(ventas_b_mes684[[#This Row],[CUIT]]="","-",VLOOKUP(ventas_b_mes684[[#This Row],[CUIT]],Lista_CUIT[#All],2,0)),"CUIT NO CARGADO")</f>
        <v>-</v>
      </c>
      <c r="H1092" s="64"/>
      <c r="I1092" s="64">
        <f>ventas_b_mes684[[#This Row],[IMPORTE NETO]]*0.21</f>
        <v>0</v>
      </c>
      <c r="J1092" s="64"/>
      <c r="K1092" s="64"/>
      <c r="L1092" s="64">
        <f>SUM(ventas_b_mes684[[#This Row],[IMPORTE NETO]:[EXENTO]])</f>
        <v>0</v>
      </c>
      <c r="M1092" s="59"/>
    </row>
    <row r="1093" spans="2:13" x14ac:dyDescent="0.25">
      <c r="B1093" s="40"/>
      <c r="C1093" s="41"/>
      <c r="D1093" s="42"/>
      <c r="E1093" s="43"/>
      <c r="F1093" s="44"/>
      <c r="G1093" s="1" t="str">
        <f>IFERROR(IF(ventas_b_mes684[[#This Row],[CUIT]]="","-",VLOOKUP(ventas_b_mes684[[#This Row],[CUIT]],Lista_CUIT[#All],2,0)),"CUIT NO CARGADO")</f>
        <v>-</v>
      </c>
      <c r="H1093" s="64"/>
      <c r="I1093" s="64">
        <f>ventas_b_mes684[[#This Row],[IMPORTE NETO]]*0.21</f>
        <v>0</v>
      </c>
      <c r="J1093" s="64"/>
      <c r="K1093" s="64"/>
      <c r="L1093" s="64">
        <f>SUM(ventas_b_mes684[[#This Row],[IMPORTE NETO]:[EXENTO]])</f>
        <v>0</v>
      </c>
      <c r="M1093" s="59"/>
    </row>
    <row r="1094" spans="2:13" x14ac:dyDescent="0.25">
      <c r="B1094" s="40"/>
      <c r="C1094" s="41"/>
      <c r="D1094" s="42"/>
      <c r="E1094" s="43"/>
      <c r="F1094" s="44"/>
      <c r="G1094" s="1" t="str">
        <f>IFERROR(IF(ventas_b_mes684[[#This Row],[CUIT]]="","-",VLOOKUP(ventas_b_mes684[[#This Row],[CUIT]],Lista_CUIT[#All],2,0)),"CUIT NO CARGADO")</f>
        <v>-</v>
      </c>
      <c r="H1094" s="64"/>
      <c r="I1094" s="64">
        <f>ventas_b_mes684[[#This Row],[IMPORTE NETO]]*0.21</f>
        <v>0</v>
      </c>
      <c r="J1094" s="64"/>
      <c r="K1094" s="64"/>
      <c r="L1094" s="64">
        <f>SUM(ventas_b_mes684[[#This Row],[IMPORTE NETO]:[EXENTO]])</f>
        <v>0</v>
      </c>
      <c r="M1094" s="59"/>
    </row>
    <row r="1095" spans="2:13" x14ac:dyDescent="0.25">
      <c r="B1095" s="40"/>
      <c r="C1095" s="41"/>
      <c r="D1095" s="42"/>
      <c r="E1095" s="43"/>
      <c r="F1095" s="44"/>
      <c r="G1095" s="1" t="str">
        <f>IFERROR(IF(ventas_b_mes684[[#This Row],[CUIT]]="","-",VLOOKUP(ventas_b_mes684[[#This Row],[CUIT]],Lista_CUIT[#All],2,0)),"CUIT NO CARGADO")</f>
        <v>-</v>
      </c>
      <c r="H1095" s="64"/>
      <c r="I1095" s="64">
        <f>ventas_b_mes684[[#This Row],[IMPORTE NETO]]*0.21</f>
        <v>0</v>
      </c>
      <c r="J1095" s="64"/>
      <c r="K1095" s="64"/>
      <c r="L1095" s="64">
        <f>SUM(ventas_b_mes684[[#This Row],[IMPORTE NETO]:[EXENTO]])</f>
        <v>0</v>
      </c>
      <c r="M1095" s="59"/>
    </row>
    <row r="1096" spans="2:13" x14ac:dyDescent="0.25">
      <c r="B1096" s="40"/>
      <c r="C1096" s="41"/>
      <c r="D1096" s="42"/>
      <c r="E1096" s="43"/>
      <c r="F1096" s="44"/>
      <c r="G1096" s="1" t="str">
        <f>IFERROR(IF(ventas_b_mes684[[#This Row],[CUIT]]="","-",VLOOKUP(ventas_b_mes684[[#This Row],[CUIT]],Lista_CUIT[#All],2,0)),"CUIT NO CARGADO")</f>
        <v>-</v>
      </c>
      <c r="H1096" s="64"/>
      <c r="I1096" s="64">
        <f>ventas_b_mes684[[#This Row],[IMPORTE NETO]]*0.21</f>
        <v>0</v>
      </c>
      <c r="J1096" s="64"/>
      <c r="K1096" s="64"/>
      <c r="L1096" s="64">
        <f>SUM(ventas_b_mes684[[#This Row],[IMPORTE NETO]:[EXENTO]])</f>
        <v>0</v>
      </c>
      <c r="M1096" s="59"/>
    </row>
    <row r="1097" spans="2:13" x14ac:dyDescent="0.25">
      <c r="B1097" s="40"/>
      <c r="C1097" s="41"/>
      <c r="D1097" s="42"/>
      <c r="E1097" s="43"/>
      <c r="F1097" s="44"/>
      <c r="G1097" s="1" t="str">
        <f>IFERROR(IF(ventas_b_mes684[[#This Row],[CUIT]]="","-",VLOOKUP(ventas_b_mes684[[#This Row],[CUIT]],Lista_CUIT[#All],2,0)),"CUIT NO CARGADO")</f>
        <v>-</v>
      </c>
      <c r="H1097" s="64"/>
      <c r="I1097" s="64">
        <f>ventas_b_mes684[[#This Row],[IMPORTE NETO]]*0.21</f>
        <v>0</v>
      </c>
      <c r="J1097" s="64"/>
      <c r="K1097" s="64"/>
      <c r="L1097" s="64">
        <f>SUM(ventas_b_mes684[[#This Row],[IMPORTE NETO]:[EXENTO]])</f>
        <v>0</v>
      </c>
      <c r="M1097" s="59"/>
    </row>
    <row r="1098" spans="2:13" x14ac:dyDescent="0.25">
      <c r="B1098" s="40"/>
      <c r="C1098" s="41"/>
      <c r="D1098" s="42"/>
      <c r="E1098" s="43"/>
      <c r="F1098" s="44"/>
      <c r="G1098" s="1" t="str">
        <f>IFERROR(IF(ventas_b_mes684[[#This Row],[CUIT]]="","-",VLOOKUP(ventas_b_mes684[[#This Row],[CUIT]],Lista_CUIT[#All],2,0)),"CUIT NO CARGADO")</f>
        <v>-</v>
      </c>
      <c r="H1098" s="64"/>
      <c r="I1098" s="64">
        <f>ventas_b_mes684[[#This Row],[IMPORTE NETO]]*0.21</f>
        <v>0</v>
      </c>
      <c r="J1098" s="64"/>
      <c r="K1098" s="64"/>
      <c r="L1098" s="64">
        <f>SUM(ventas_b_mes684[[#This Row],[IMPORTE NETO]:[EXENTO]])</f>
        <v>0</v>
      </c>
      <c r="M1098" s="59"/>
    </row>
    <row r="1099" spans="2:13" x14ac:dyDescent="0.25">
      <c r="B1099" s="40"/>
      <c r="C1099" s="41"/>
      <c r="D1099" s="42"/>
      <c r="E1099" s="43"/>
      <c r="F1099" s="44"/>
      <c r="G1099" s="1" t="str">
        <f>IFERROR(IF(ventas_b_mes684[[#This Row],[CUIT]]="","-",VLOOKUP(ventas_b_mes684[[#This Row],[CUIT]],Lista_CUIT[#All],2,0)),"CUIT NO CARGADO")</f>
        <v>-</v>
      </c>
      <c r="H1099" s="64"/>
      <c r="I1099" s="64">
        <f>ventas_b_mes684[[#This Row],[IMPORTE NETO]]*0.21</f>
        <v>0</v>
      </c>
      <c r="J1099" s="64"/>
      <c r="K1099" s="64"/>
      <c r="L1099" s="64">
        <f>SUM(ventas_b_mes684[[#This Row],[IMPORTE NETO]:[EXENTO]])</f>
        <v>0</v>
      </c>
      <c r="M1099" s="59"/>
    </row>
    <row r="1100" spans="2:13" x14ac:dyDescent="0.25">
      <c r="B1100" s="40"/>
      <c r="C1100" s="41"/>
      <c r="D1100" s="42"/>
      <c r="E1100" s="43"/>
      <c r="F1100" s="44"/>
      <c r="G1100" s="1" t="str">
        <f>IFERROR(IF(ventas_b_mes684[[#This Row],[CUIT]]="","-",VLOOKUP(ventas_b_mes684[[#This Row],[CUIT]],Lista_CUIT[#All],2,0)),"CUIT NO CARGADO")</f>
        <v>-</v>
      </c>
      <c r="H1100" s="64"/>
      <c r="I1100" s="64">
        <f>ventas_b_mes684[[#This Row],[IMPORTE NETO]]*0.21</f>
        <v>0</v>
      </c>
      <c r="J1100" s="64"/>
      <c r="K1100" s="64"/>
      <c r="L1100" s="64">
        <f>SUM(ventas_b_mes684[[#This Row],[IMPORTE NETO]:[EXENTO]])</f>
        <v>0</v>
      </c>
      <c r="M1100" s="59"/>
    </row>
    <row r="1101" spans="2:13" x14ac:dyDescent="0.25">
      <c r="B1101" s="40"/>
      <c r="C1101" s="41"/>
      <c r="D1101" s="42"/>
      <c r="E1101" s="43"/>
      <c r="F1101" s="44"/>
      <c r="G1101" s="1" t="str">
        <f>IFERROR(IF(ventas_b_mes684[[#This Row],[CUIT]]="","-",VLOOKUP(ventas_b_mes684[[#This Row],[CUIT]],Lista_CUIT[#All],2,0)),"CUIT NO CARGADO")</f>
        <v>-</v>
      </c>
      <c r="H1101" s="64"/>
      <c r="I1101" s="64">
        <f>ventas_b_mes684[[#This Row],[IMPORTE NETO]]*0.21</f>
        <v>0</v>
      </c>
      <c r="J1101" s="64"/>
      <c r="K1101" s="64"/>
      <c r="L1101" s="64">
        <f>SUM(ventas_b_mes684[[#This Row],[IMPORTE NETO]:[EXENTO]])</f>
        <v>0</v>
      </c>
      <c r="M1101" s="59"/>
    </row>
    <row r="1102" spans="2:13" x14ac:dyDescent="0.25">
      <c r="B1102" s="40"/>
      <c r="C1102" s="41"/>
      <c r="D1102" s="42"/>
      <c r="E1102" s="43"/>
      <c r="F1102" s="44"/>
      <c r="G1102" s="1" t="str">
        <f>IFERROR(IF(ventas_b_mes684[[#This Row],[CUIT]]="","-",VLOOKUP(ventas_b_mes684[[#This Row],[CUIT]],Lista_CUIT[#All],2,0)),"CUIT NO CARGADO")</f>
        <v>-</v>
      </c>
      <c r="H1102" s="64"/>
      <c r="I1102" s="64">
        <f>ventas_b_mes684[[#This Row],[IMPORTE NETO]]*0.21</f>
        <v>0</v>
      </c>
      <c r="J1102" s="64"/>
      <c r="K1102" s="64"/>
      <c r="L1102" s="64">
        <f>SUM(ventas_b_mes684[[#This Row],[IMPORTE NETO]:[EXENTO]])</f>
        <v>0</v>
      </c>
      <c r="M1102" s="59"/>
    </row>
    <row r="1103" spans="2:13" x14ac:dyDescent="0.25">
      <c r="B1103" s="40"/>
      <c r="C1103" s="41"/>
      <c r="D1103" s="42"/>
      <c r="E1103" s="43"/>
      <c r="F1103" s="44"/>
      <c r="G1103" s="1" t="str">
        <f>IFERROR(IF(ventas_b_mes684[[#This Row],[CUIT]]="","-",VLOOKUP(ventas_b_mes684[[#This Row],[CUIT]],Lista_CUIT[#All],2,0)),"CUIT NO CARGADO")</f>
        <v>-</v>
      </c>
      <c r="H1103" s="64"/>
      <c r="I1103" s="64">
        <f>ventas_b_mes684[[#This Row],[IMPORTE NETO]]*0.21</f>
        <v>0</v>
      </c>
      <c r="J1103" s="64"/>
      <c r="K1103" s="64"/>
      <c r="L1103" s="64">
        <f>SUM(ventas_b_mes684[[#This Row],[IMPORTE NETO]:[EXENTO]])</f>
        <v>0</v>
      </c>
      <c r="M1103" s="59"/>
    </row>
    <row r="1104" spans="2:13" x14ac:dyDescent="0.25">
      <c r="B1104" s="40"/>
      <c r="C1104" s="41"/>
      <c r="D1104" s="42"/>
      <c r="E1104" s="43"/>
      <c r="F1104" s="44"/>
      <c r="G1104" s="1" t="str">
        <f>IFERROR(IF(ventas_b_mes684[[#This Row],[CUIT]]="","-",VLOOKUP(ventas_b_mes684[[#This Row],[CUIT]],Lista_CUIT[#All],2,0)),"CUIT NO CARGADO")</f>
        <v>-</v>
      </c>
      <c r="H1104" s="64"/>
      <c r="I1104" s="64">
        <f>ventas_b_mes684[[#This Row],[IMPORTE NETO]]*0.21</f>
        <v>0</v>
      </c>
      <c r="J1104" s="64"/>
      <c r="K1104" s="64"/>
      <c r="L1104" s="64">
        <f>SUM(ventas_b_mes684[[#This Row],[IMPORTE NETO]:[EXENTO]])</f>
        <v>0</v>
      </c>
      <c r="M1104" s="59"/>
    </row>
    <row r="1105" spans="2:13" x14ac:dyDescent="0.25">
      <c r="B1105" s="40"/>
      <c r="C1105" s="41"/>
      <c r="D1105" s="42"/>
      <c r="E1105" s="43"/>
      <c r="F1105" s="44"/>
      <c r="G1105" s="1" t="str">
        <f>IFERROR(IF(ventas_b_mes684[[#This Row],[CUIT]]="","-",VLOOKUP(ventas_b_mes684[[#This Row],[CUIT]],Lista_CUIT[#All],2,0)),"CUIT NO CARGADO")</f>
        <v>-</v>
      </c>
      <c r="H1105" s="64"/>
      <c r="I1105" s="64">
        <f>ventas_b_mes684[[#This Row],[IMPORTE NETO]]*0.21</f>
        <v>0</v>
      </c>
      <c r="J1105" s="64"/>
      <c r="K1105" s="64"/>
      <c r="L1105" s="64">
        <f>SUM(ventas_b_mes684[[#This Row],[IMPORTE NETO]:[EXENTO]])</f>
        <v>0</v>
      </c>
      <c r="M1105" s="59"/>
    </row>
    <row r="1106" spans="2:13" x14ac:dyDescent="0.25">
      <c r="B1106" s="40"/>
      <c r="C1106" s="41"/>
      <c r="D1106" s="42"/>
      <c r="E1106" s="43"/>
      <c r="F1106" s="44"/>
      <c r="G1106" s="1" t="str">
        <f>IFERROR(IF(ventas_b_mes684[[#This Row],[CUIT]]="","-",VLOOKUP(ventas_b_mes684[[#This Row],[CUIT]],Lista_CUIT[#All],2,0)),"CUIT NO CARGADO")</f>
        <v>-</v>
      </c>
      <c r="H1106" s="64"/>
      <c r="I1106" s="64">
        <f>ventas_b_mes684[[#This Row],[IMPORTE NETO]]*0.21</f>
        <v>0</v>
      </c>
      <c r="J1106" s="64"/>
      <c r="K1106" s="64"/>
      <c r="L1106" s="64">
        <f>SUM(ventas_b_mes684[[#This Row],[IMPORTE NETO]:[EXENTO]])</f>
        <v>0</v>
      </c>
      <c r="M1106" s="59"/>
    </row>
    <row r="1107" spans="2:13" x14ac:dyDescent="0.25">
      <c r="B1107" s="40"/>
      <c r="C1107" s="41"/>
      <c r="D1107" s="42"/>
      <c r="E1107" s="43"/>
      <c r="F1107" s="44"/>
      <c r="G1107" s="1" t="str">
        <f>IFERROR(IF(ventas_b_mes684[[#This Row],[CUIT]]="","-",VLOOKUP(ventas_b_mes684[[#This Row],[CUIT]],Lista_CUIT[#All],2,0)),"CUIT NO CARGADO")</f>
        <v>-</v>
      </c>
      <c r="H1107" s="64"/>
      <c r="I1107" s="64">
        <f>ventas_b_mes684[[#This Row],[IMPORTE NETO]]*0.21</f>
        <v>0</v>
      </c>
      <c r="J1107" s="64"/>
      <c r="K1107" s="64"/>
      <c r="L1107" s="64">
        <f>SUM(ventas_b_mes684[[#This Row],[IMPORTE NETO]:[EXENTO]])</f>
        <v>0</v>
      </c>
      <c r="M1107" s="59"/>
    </row>
    <row r="1108" spans="2:13" x14ac:dyDescent="0.25">
      <c r="B1108" s="40"/>
      <c r="C1108" s="41"/>
      <c r="D1108" s="42"/>
      <c r="E1108" s="43"/>
      <c r="F1108" s="44"/>
      <c r="G1108" s="1" t="str">
        <f>IFERROR(IF(ventas_b_mes684[[#This Row],[CUIT]]="","-",VLOOKUP(ventas_b_mes684[[#This Row],[CUIT]],Lista_CUIT[#All],2,0)),"CUIT NO CARGADO")</f>
        <v>-</v>
      </c>
      <c r="H1108" s="64"/>
      <c r="I1108" s="64">
        <f>ventas_b_mes684[[#This Row],[IMPORTE NETO]]*0.21</f>
        <v>0</v>
      </c>
      <c r="J1108" s="64"/>
      <c r="K1108" s="64"/>
      <c r="L1108" s="64">
        <f>SUM(ventas_b_mes684[[#This Row],[IMPORTE NETO]:[EXENTO]])</f>
        <v>0</v>
      </c>
      <c r="M1108" s="59"/>
    </row>
    <row r="1109" spans="2:13" x14ac:dyDescent="0.25">
      <c r="B1109" s="40"/>
      <c r="C1109" s="41"/>
      <c r="D1109" s="42"/>
      <c r="E1109" s="43"/>
      <c r="F1109" s="44"/>
      <c r="G1109" s="1" t="str">
        <f>IFERROR(IF(ventas_b_mes684[[#This Row],[CUIT]]="","-",VLOOKUP(ventas_b_mes684[[#This Row],[CUIT]],Lista_CUIT[#All],2,0)),"CUIT NO CARGADO")</f>
        <v>-</v>
      </c>
      <c r="H1109" s="64"/>
      <c r="I1109" s="64">
        <f>ventas_b_mes684[[#This Row],[IMPORTE NETO]]*0.21</f>
        <v>0</v>
      </c>
      <c r="J1109" s="64"/>
      <c r="K1109" s="64"/>
      <c r="L1109" s="64">
        <f>SUM(ventas_b_mes684[[#This Row],[IMPORTE NETO]:[EXENTO]])</f>
        <v>0</v>
      </c>
      <c r="M1109" s="59"/>
    </row>
    <row r="1110" spans="2:13" x14ac:dyDescent="0.25">
      <c r="B1110" s="40"/>
      <c r="C1110" s="41"/>
      <c r="D1110" s="42"/>
      <c r="E1110" s="43"/>
      <c r="F1110" s="44"/>
      <c r="G1110" s="1" t="str">
        <f>IFERROR(IF(ventas_b_mes684[[#This Row],[CUIT]]="","-",VLOOKUP(ventas_b_mes684[[#This Row],[CUIT]],Lista_CUIT[#All],2,0)),"CUIT NO CARGADO")</f>
        <v>-</v>
      </c>
      <c r="H1110" s="64"/>
      <c r="I1110" s="64">
        <f>ventas_b_mes684[[#This Row],[IMPORTE NETO]]*0.21</f>
        <v>0</v>
      </c>
      <c r="J1110" s="64"/>
      <c r="K1110" s="64"/>
      <c r="L1110" s="64">
        <f>SUM(ventas_b_mes684[[#This Row],[IMPORTE NETO]:[EXENTO]])</f>
        <v>0</v>
      </c>
      <c r="M1110" s="59"/>
    </row>
    <row r="1111" spans="2:13" x14ac:dyDescent="0.25">
      <c r="B1111" s="40"/>
      <c r="C1111" s="41"/>
      <c r="D1111" s="42"/>
      <c r="E1111" s="43"/>
      <c r="F1111" s="44"/>
      <c r="G1111" s="1" t="str">
        <f>IFERROR(IF(ventas_b_mes684[[#This Row],[CUIT]]="","-",VLOOKUP(ventas_b_mes684[[#This Row],[CUIT]],Lista_CUIT[#All],2,0)),"CUIT NO CARGADO")</f>
        <v>-</v>
      </c>
      <c r="H1111" s="64"/>
      <c r="I1111" s="64">
        <f>ventas_b_mes684[[#This Row],[IMPORTE NETO]]*0.21</f>
        <v>0</v>
      </c>
      <c r="J1111" s="64"/>
      <c r="K1111" s="64"/>
      <c r="L1111" s="64">
        <f>SUM(ventas_b_mes684[[#This Row],[IMPORTE NETO]:[EXENTO]])</f>
        <v>0</v>
      </c>
      <c r="M1111" s="59"/>
    </row>
    <row r="1112" spans="2:13" x14ac:dyDescent="0.25">
      <c r="B1112" s="40"/>
      <c r="C1112" s="41"/>
      <c r="D1112" s="42"/>
      <c r="E1112" s="43"/>
      <c r="F1112" s="44"/>
      <c r="G1112" s="1" t="str">
        <f>IFERROR(IF(ventas_b_mes684[[#This Row],[CUIT]]="","-",VLOOKUP(ventas_b_mes684[[#This Row],[CUIT]],Lista_CUIT[#All],2,0)),"CUIT NO CARGADO")</f>
        <v>-</v>
      </c>
      <c r="H1112" s="64"/>
      <c r="I1112" s="64">
        <f>ventas_b_mes684[[#This Row],[IMPORTE NETO]]*0.21</f>
        <v>0</v>
      </c>
      <c r="J1112" s="64"/>
      <c r="K1112" s="64"/>
      <c r="L1112" s="64">
        <f>SUM(ventas_b_mes684[[#This Row],[IMPORTE NETO]:[EXENTO]])</f>
        <v>0</v>
      </c>
      <c r="M1112" s="59"/>
    </row>
    <row r="1113" spans="2:13" x14ac:dyDescent="0.25">
      <c r="B1113" s="40"/>
      <c r="C1113" s="41"/>
      <c r="D1113" s="42"/>
      <c r="E1113" s="43"/>
      <c r="F1113" s="44"/>
      <c r="G1113" s="1" t="str">
        <f>IFERROR(IF(ventas_b_mes684[[#This Row],[CUIT]]="","-",VLOOKUP(ventas_b_mes684[[#This Row],[CUIT]],Lista_CUIT[#All],2,0)),"CUIT NO CARGADO")</f>
        <v>-</v>
      </c>
      <c r="H1113" s="64"/>
      <c r="I1113" s="64">
        <f>ventas_b_mes684[[#This Row],[IMPORTE NETO]]*0.21</f>
        <v>0</v>
      </c>
      <c r="J1113" s="64"/>
      <c r="K1113" s="64"/>
      <c r="L1113" s="64">
        <f>SUM(ventas_b_mes684[[#This Row],[IMPORTE NETO]:[EXENTO]])</f>
        <v>0</v>
      </c>
      <c r="M1113" s="59"/>
    </row>
    <row r="1114" spans="2:13" x14ac:dyDescent="0.25">
      <c r="B1114" s="40"/>
      <c r="C1114" s="41"/>
      <c r="D1114" s="42"/>
      <c r="E1114" s="43"/>
      <c r="F1114" s="44"/>
      <c r="G1114" s="1" t="str">
        <f>IFERROR(IF(ventas_b_mes684[[#This Row],[CUIT]]="","-",VLOOKUP(ventas_b_mes684[[#This Row],[CUIT]],Lista_CUIT[#All],2,0)),"CUIT NO CARGADO")</f>
        <v>-</v>
      </c>
      <c r="H1114" s="64"/>
      <c r="I1114" s="64">
        <f>ventas_b_mes684[[#This Row],[IMPORTE NETO]]*0.21</f>
        <v>0</v>
      </c>
      <c r="J1114" s="64"/>
      <c r="K1114" s="64"/>
      <c r="L1114" s="64">
        <f>SUM(ventas_b_mes684[[#This Row],[IMPORTE NETO]:[EXENTO]])</f>
        <v>0</v>
      </c>
      <c r="M1114" s="59"/>
    </row>
    <row r="1115" spans="2:13" x14ac:dyDescent="0.25">
      <c r="B1115" s="40"/>
      <c r="C1115" s="41"/>
      <c r="D1115" s="42"/>
      <c r="E1115" s="43"/>
      <c r="F1115" s="44"/>
      <c r="G1115" s="1" t="str">
        <f>IFERROR(IF(ventas_b_mes684[[#This Row],[CUIT]]="","-",VLOOKUP(ventas_b_mes684[[#This Row],[CUIT]],Lista_CUIT[#All],2,0)),"CUIT NO CARGADO")</f>
        <v>-</v>
      </c>
      <c r="H1115" s="64"/>
      <c r="I1115" s="64">
        <f>ventas_b_mes684[[#This Row],[IMPORTE NETO]]*0.21</f>
        <v>0</v>
      </c>
      <c r="J1115" s="64"/>
      <c r="K1115" s="64"/>
      <c r="L1115" s="64">
        <f>SUM(ventas_b_mes684[[#This Row],[IMPORTE NETO]:[EXENTO]])</f>
        <v>0</v>
      </c>
      <c r="M1115" s="59"/>
    </row>
    <row r="1116" spans="2:13" x14ac:dyDescent="0.25">
      <c r="B1116" s="40"/>
      <c r="C1116" s="41"/>
      <c r="D1116" s="42"/>
      <c r="E1116" s="43"/>
      <c r="F1116" s="44"/>
      <c r="G1116" s="1" t="str">
        <f>IFERROR(IF(ventas_b_mes684[[#This Row],[CUIT]]="","-",VLOOKUP(ventas_b_mes684[[#This Row],[CUIT]],Lista_CUIT[#All],2,0)),"CUIT NO CARGADO")</f>
        <v>-</v>
      </c>
      <c r="H1116" s="64"/>
      <c r="I1116" s="64">
        <f>ventas_b_mes684[[#This Row],[IMPORTE NETO]]*0.21</f>
        <v>0</v>
      </c>
      <c r="J1116" s="64"/>
      <c r="K1116" s="64"/>
      <c r="L1116" s="64">
        <f>SUM(ventas_b_mes684[[#This Row],[IMPORTE NETO]:[EXENTO]])</f>
        <v>0</v>
      </c>
      <c r="M1116" s="59"/>
    </row>
    <row r="1117" spans="2:13" x14ac:dyDescent="0.25">
      <c r="B1117" s="40"/>
      <c r="C1117" s="41"/>
      <c r="D1117" s="42"/>
      <c r="E1117" s="43"/>
      <c r="F1117" s="44"/>
      <c r="G1117" s="1" t="str">
        <f>IFERROR(IF(ventas_b_mes684[[#This Row],[CUIT]]="","-",VLOOKUP(ventas_b_mes684[[#This Row],[CUIT]],Lista_CUIT[#All],2,0)),"CUIT NO CARGADO")</f>
        <v>-</v>
      </c>
      <c r="H1117" s="64"/>
      <c r="I1117" s="64">
        <f>ventas_b_mes684[[#This Row],[IMPORTE NETO]]*0.21</f>
        <v>0</v>
      </c>
      <c r="J1117" s="64"/>
      <c r="K1117" s="64"/>
      <c r="L1117" s="64">
        <f>SUM(ventas_b_mes684[[#This Row],[IMPORTE NETO]:[EXENTO]])</f>
        <v>0</v>
      </c>
      <c r="M1117" s="59"/>
    </row>
    <row r="1118" spans="2:13" x14ac:dyDescent="0.25">
      <c r="B1118" s="40"/>
      <c r="C1118" s="41"/>
      <c r="D1118" s="42"/>
      <c r="E1118" s="43"/>
      <c r="F1118" s="44"/>
      <c r="G1118" s="1" t="str">
        <f>IFERROR(IF(ventas_b_mes684[[#This Row],[CUIT]]="","-",VLOOKUP(ventas_b_mes684[[#This Row],[CUIT]],Lista_CUIT[#All],2,0)),"CUIT NO CARGADO")</f>
        <v>-</v>
      </c>
      <c r="H1118" s="64"/>
      <c r="I1118" s="64">
        <f>ventas_b_mes684[[#This Row],[IMPORTE NETO]]*0.21</f>
        <v>0</v>
      </c>
      <c r="J1118" s="64"/>
      <c r="K1118" s="64"/>
      <c r="L1118" s="64">
        <f>SUM(ventas_b_mes684[[#This Row],[IMPORTE NETO]:[EXENTO]])</f>
        <v>0</v>
      </c>
      <c r="M1118" s="59"/>
    </row>
    <row r="1119" spans="2:13" x14ac:dyDescent="0.25">
      <c r="B1119" s="40"/>
      <c r="C1119" s="41"/>
      <c r="D1119" s="42"/>
      <c r="E1119" s="43"/>
      <c r="F1119" s="44"/>
      <c r="G1119" s="1" t="str">
        <f>IFERROR(IF(ventas_b_mes684[[#This Row],[CUIT]]="","-",VLOOKUP(ventas_b_mes684[[#This Row],[CUIT]],Lista_CUIT[#All],2,0)),"CUIT NO CARGADO")</f>
        <v>-</v>
      </c>
      <c r="H1119" s="64"/>
      <c r="I1119" s="64">
        <f>ventas_b_mes684[[#This Row],[IMPORTE NETO]]*0.21</f>
        <v>0</v>
      </c>
      <c r="J1119" s="64"/>
      <c r="K1119" s="64"/>
      <c r="L1119" s="64">
        <f>SUM(ventas_b_mes684[[#This Row],[IMPORTE NETO]:[EXENTO]])</f>
        <v>0</v>
      </c>
      <c r="M1119" s="59"/>
    </row>
    <row r="1120" spans="2:13" x14ac:dyDescent="0.25">
      <c r="B1120" s="40"/>
      <c r="C1120" s="41"/>
      <c r="D1120" s="42"/>
      <c r="E1120" s="43"/>
      <c r="F1120" s="44"/>
      <c r="G1120" s="1" t="str">
        <f>IFERROR(IF(ventas_b_mes684[[#This Row],[CUIT]]="","-",VLOOKUP(ventas_b_mes684[[#This Row],[CUIT]],Lista_CUIT[#All],2,0)),"CUIT NO CARGADO")</f>
        <v>-</v>
      </c>
      <c r="H1120" s="64"/>
      <c r="I1120" s="64">
        <f>ventas_b_mes684[[#This Row],[IMPORTE NETO]]*0.21</f>
        <v>0</v>
      </c>
      <c r="J1120" s="64"/>
      <c r="K1120" s="64"/>
      <c r="L1120" s="64">
        <f>SUM(ventas_b_mes684[[#This Row],[IMPORTE NETO]:[EXENTO]])</f>
        <v>0</v>
      </c>
      <c r="M1120" s="59"/>
    </row>
    <row r="1121" spans="2:13" x14ac:dyDescent="0.25">
      <c r="B1121" s="40"/>
      <c r="C1121" s="41"/>
      <c r="D1121" s="42"/>
      <c r="E1121" s="43"/>
      <c r="F1121" s="44"/>
      <c r="G1121" s="1" t="str">
        <f>IFERROR(IF(ventas_b_mes684[[#This Row],[CUIT]]="","-",VLOOKUP(ventas_b_mes684[[#This Row],[CUIT]],Lista_CUIT[#All],2,0)),"CUIT NO CARGADO")</f>
        <v>-</v>
      </c>
      <c r="H1121" s="64"/>
      <c r="I1121" s="64">
        <f>ventas_b_mes684[[#This Row],[IMPORTE NETO]]*0.21</f>
        <v>0</v>
      </c>
      <c r="J1121" s="64"/>
      <c r="K1121" s="64"/>
      <c r="L1121" s="64">
        <f>SUM(ventas_b_mes684[[#This Row],[IMPORTE NETO]:[EXENTO]])</f>
        <v>0</v>
      </c>
      <c r="M1121" s="59"/>
    </row>
    <row r="1122" spans="2:13" x14ac:dyDescent="0.25">
      <c r="B1122" s="40"/>
      <c r="C1122" s="41"/>
      <c r="D1122" s="42"/>
      <c r="E1122" s="43"/>
      <c r="F1122" s="44"/>
      <c r="G1122" s="1" t="str">
        <f>IFERROR(IF(ventas_b_mes684[[#This Row],[CUIT]]="","-",VLOOKUP(ventas_b_mes684[[#This Row],[CUIT]],Lista_CUIT[#All],2,0)),"CUIT NO CARGADO")</f>
        <v>-</v>
      </c>
      <c r="H1122" s="64"/>
      <c r="I1122" s="64">
        <f>ventas_b_mes684[[#This Row],[IMPORTE NETO]]*0.21</f>
        <v>0</v>
      </c>
      <c r="J1122" s="64"/>
      <c r="K1122" s="64"/>
      <c r="L1122" s="64">
        <f>SUM(ventas_b_mes684[[#This Row],[IMPORTE NETO]:[EXENTO]])</f>
        <v>0</v>
      </c>
      <c r="M1122" s="59"/>
    </row>
    <row r="1123" spans="2:13" x14ac:dyDescent="0.25">
      <c r="B1123" s="40"/>
      <c r="C1123" s="41"/>
      <c r="D1123" s="42"/>
      <c r="E1123" s="43"/>
      <c r="F1123" s="44"/>
      <c r="G1123" s="1" t="str">
        <f>IFERROR(IF(ventas_b_mes684[[#This Row],[CUIT]]="","-",VLOOKUP(ventas_b_mes684[[#This Row],[CUIT]],Lista_CUIT[#All],2,0)),"CUIT NO CARGADO")</f>
        <v>-</v>
      </c>
      <c r="H1123" s="64"/>
      <c r="I1123" s="64">
        <f>ventas_b_mes684[[#This Row],[IMPORTE NETO]]*0.21</f>
        <v>0</v>
      </c>
      <c r="J1123" s="64"/>
      <c r="K1123" s="64"/>
      <c r="L1123" s="64">
        <f>SUM(ventas_b_mes684[[#This Row],[IMPORTE NETO]:[EXENTO]])</f>
        <v>0</v>
      </c>
      <c r="M1123" s="59"/>
    </row>
    <row r="1124" spans="2:13" x14ac:dyDescent="0.25">
      <c r="B1124" s="40"/>
      <c r="C1124" s="41"/>
      <c r="D1124" s="42"/>
      <c r="E1124" s="43"/>
      <c r="F1124" s="44"/>
      <c r="G1124" s="1" t="str">
        <f>IFERROR(IF(ventas_b_mes684[[#This Row],[CUIT]]="","-",VLOOKUP(ventas_b_mes684[[#This Row],[CUIT]],Lista_CUIT[#All],2,0)),"CUIT NO CARGADO")</f>
        <v>-</v>
      </c>
      <c r="H1124" s="64"/>
      <c r="I1124" s="64">
        <f>ventas_b_mes684[[#This Row],[IMPORTE NETO]]*0.21</f>
        <v>0</v>
      </c>
      <c r="J1124" s="64"/>
      <c r="K1124" s="64"/>
      <c r="L1124" s="64">
        <f>SUM(ventas_b_mes684[[#This Row],[IMPORTE NETO]:[EXENTO]])</f>
        <v>0</v>
      </c>
      <c r="M1124" s="59"/>
    </row>
    <row r="1125" spans="2:13" x14ac:dyDescent="0.25">
      <c r="B1125" s="40"/>
      <c r="C1125" s="41"/>
      <c r="D1125" s="42"/>
      <c r="E1125" s="43"/>
      <c r="F1125" s="44"/>
      <c r="G1125" s="1" t="str">
        <f>IFERROR(IF(ventas_b_mes684[[#This Row],[CUIT]]="","-",VLOOKUP(ventas_b_mes684[[#This Row],[CUIT]],Lista_CUIT[#All],2,0)),"CUIT NO CARGADO")</f>
        <v>-</v>
      </c>
      <c r="H1125" s="64"/>
      <c r="I1125" s="64">
        <f>ventas_b_mes684[[#This Row],[IMPORTE NETO]]*0.21</f>
        <v>0</v>
      </c>
      <c r="J1125" s="64"/>
      <c r="K1125" s="64"/>
      <c r="L1125" s="64">
        <f>SUM(ventas_b_mes684[[#This Row],[IMPORTE NETO]:[EXENTO]])</f>
        <v>0</v>
      </c>
      <c r="M1125" s="59"/>
    </row>
    <row r="1126" spans="2:13" x14ac:dyDescent="0.25">
      <c r="B1126" s="40"/>
      <c r="C1126" s="41"/>
      <c r="D1126" s="42"/>
      <c r="E1126" s="43"/>
      <c r="F1126" s="44"/>
      <c r="G1126" s="1" t="str">
        <f>IFERROR(IF(ventas_b_mes684[[#This Row],[CUIT]]="","-",VLOOKUP(ventas_b_mes684[[#This Row],[CUIT]],Lista_CUIT[#All],2,0)),"CUIT NO CARGADO")</f>
        <v>-</v>
      </c>
      <c r="H1126" s="64"/>
      <c r="I1126" s="64">
        <f>ventas_b_mes684[[#This Row],[IMPORTE NETO]]*0.21</f>
        <v>0</v>
      </c>
      <c r="J1126" s="64"/>
      <c r="K1126" s="64"/>
      <c r="L1126" s="64">
        <f>SUM(ventas_b_mes684[[#This Row],[IMPORTE NETO]:[EXENTO]])</f>
        <v>0</v>
      </c>
      <c r="M1126" s="59"/>
    </row>
    <row r="1127" spans="2:13" x14ac:dyDescent="0.25">
      <c r="B1127" s="40"/>
      <c r="C1127" s="41"/>
      <c r="D1127" s="42"/>
      <c r="E1127" s="43"/>
      <c r="F1127" s="44"/>
      <c r="G1127" s="1" t="str">
        <f>IFERROR(IF(ventas_b_mes684[[#This Row],[CUIT]]="","-",VLOOKUP(ventas_b_mes684[[#This Row],[CUIT]],Lista_CUIT[#All],2,0)),"CUIT NO CARGADO")</f>
        <v>-</v>
      </c>
      <c r="H1127" s="64"/>
      <c r="I1127" s="64">
        <f>ventas_b_mes684[[#This Row],[IMPORTE NETO]]*0.21</f>
        <v>0</v>
      </c>
      <c r="J1127" s="64"/>
      <c r="K1127" s="64"/>
      <c r="L1127" s="64">
        <f>SUM(ventas_b_mes684[[#This Row],[IMPORTE NETO]:[EXENTO]])</f>
        <v>0</v>
      </c>
      <c r="M1127" s="59"/>
    </row>
    <row r="1128" spans="2:13" x14ac:dyDescent="0.25">
      <c r="B1128" s="40"/>
      <c r="C1128" s="41"/>
      <c r="D1128" s="42"/>
      <c r="E1128" s="43"/>
      <c r="F1128" s="44"/>
      <c r="G1128" s="1" t="str">
        <f>IFERROR(IF(ventas_b_mes684[[#This Row],[CUIT]]="","-",VLOOKUP(ventas_b_mes684[[#This Row],[CUIT]],Lista_CUIT[#All],2,0)),"CUIT NO CARGADO")</f>
        <v>-</v>
      </c>
      <c r="H1128" s="64"/>
      <c r="I1128" s="64">
        <f>ventas_b_mes684[[#This Row],[IMPORTE NETO]]*0.21</f>
        <v>0</v>
      </c>
      <c r="J1128" s="64"/>
      <c r="K1128" s="64"/>
      <c r="L1128" s="64">
        <f>SUM(ventas_b_mes684[[#This Row],[IMPORTE NETO]:[EXENTO]])</f>
        <v>0</v>
      </c>
      <c r="M1128" s="59"/>
    </row>
    <row r="1129" spans="2:13" x14ac:dyDescent="0.25">
      <c r="B1129" s="40"/>
      <c r="C1129" s="41"/>
      <c r="D1129" s="42"/>
      <c r="E1129" s="43"/>
      <c r="F1129" s="44"/>
      <c r="G1129" s="1" t="str">
        <f>IFERROR(IF(ventas_b_mes684[[#This Row],[CUIT]]="","-",VLOOKUP(ventas_b_mes684[[#This Row],[CUIT]],Lista_CUIT[#All],2,0)),"CUIT NO CARGADO")</f>
        <v>-</v>
      </c>
      <c r="H1129" s="64"/>
      <c r="I1129" s="64">
        <f>ventas_b_mes684[[#This Row],[IMPORTE NETO]]*0.21</f>
        <v>0</v>
      </c>
      <c r="J1129" s="64"/>
      <c r="K1129" s="64"/>
      <c r="L1129" s="64">
        <f>SUM(ventas_b_mes684[[#This Row],[IMPORTE NETO]:[EXENTO]])</f>
        <v>0</v>
      </c>
      <c r="M1129" s="59"/>
    </row>
    <row r="1130" spans="2:13" x14ac:dyDescent="0.25">
      <c r="B1130" s="40"/>
      <c r="C1130" s="41"/>
      <c r="D1130" s="42"/>
      <c r="E1130" s="43"/>
      <c r="F1130" s="44"/>
      <c r="G1130" s="1" t="str">
        <f>IFERROR(IF(ventas_b_mes684[[#This Row],[CUIT]]="","-",VLOOKUP(ventas_b_mes684[[#This Row],[CUIT]],Lista_CUIT[#All],2,0)),"CUIT NO CARGADO")</f>
        <v>-</v>
      </c>
      <c r="H1130" s="64"/>
      <c r="I1130" s="64">
        <f>ventas_b_mes684[[#This Row],[IMPORTE NETO]]*0.21</f>
        <v>0</v>
      </c>
      <c r="J1130" s="64"/>
      <c r="K1130" s="64"/>
      <c r="L1130" s="64">
        <f>SUM(ventas_b_mes684[[#This Row],[IMPORTE NETO]:[EXENTO]])</f>
        <v>0</v>
      </c>
      <c r="M1130" s="59"/>
    </row>
    <row r="1131" spans="2:13" x14ac:dyDescent="0.25">
      <c r="B1131" s="40"/>
      <c r="C1131" s="41"/>
      <c r="D1131" s="42"/>
      <c r="E1131" s="43"/>
      <c r="F1131" s="44"/>
      <c r="G1131" s="1" t="str">
        <f>IFERROR(IF(ventas_b_mes684[[#This Row],[CUIT]]="","-",VLOOKUP(ventas_b_mes684[[#This Row],[CUIT]],Lista_CUIT[#All],2,0)),"CUIT NO CARGADO")</f>
        <v>-</v>
      </c>
      <c r="H1131" s="64"/>
      <c r="I1131" s="64">
        <f>ventas_b_mes684[[#This Row],[IMPORTE NETO]]*0.21</f>
        <v>0</v>
      </c>
      <c r="J1131" s="64"/>
      <c r="K1131" s="64"/>
      <c r="L1131" s="64">
        <f>SUM(ventas_b_mes684[[#This Row],[IMPORTE NETO]:[EXENTO]])</f>
        <v>0</v>
      </c>
      <c r="M1131" s="59"/>
    </row>
    <row r="1132" spans="2:13" x14ac:dyDescent="0.25">
      <c r="B1132" s="40"/>
      <c r="C1132" s="41"/>
      <c r="D1132" s="42"/>
      <c r="E1132" s="43"/>
      <c r="F1132" s="44"/>
      <c r="G1132" s="1" t="str">
        <f>IFERROR(IF(ventas_b_mes684[[#This Row],[CUIT]]="","-",VLOOKUP(ventas_b_mes684[[#This Row],[CUIT]],Lista_CUIT[#All],2,0)),"CUIT NO CARGADO")</f>
        <v>-</v>
      </c>
      <c r="H1132" s="64"/>
      <c r="I1132" s="64">
        <f>ventas_b_mes684[[#This Row],[IMPORTE NETO]]*0.21</f>
        <v>0</v>
      </c>
      <c r="J1132" s="64"/>
      <c r="K1132" s="64"/>
      <c r="L1132" s="64">
        <f>SUM(ventas_b_mes684[[#This Row],[IMPORTE NETO]:[EXENTO]])</f>
        <v>0</v>
      </c>
      <c r="M1132" s="59"/>
    </row>
    <row r="1133" spans="2:13" x14ac:dyDescent="0.25">
      <c r="B1133" s="40"/>
      <c r="C1133" s="41"/>
      <c r="D1133" s="42"/>
      <c r="E1133" s="43"/>
      <c r="F1133" s="44"/>
      <c r="G1133" s="1" t="str">
        <f>IFERROR(IF(ventas_b_mes684[[#This Row],[CUIT]]="","-",VLOOKUP(ventas_b_mes684[[#This Row],[CUIT]],Lista_CUIT[#All],2,0)),"CUIT NO CARGADO")</f>
        <v>-</v>
      </c>
      <c r="H1133" s="64"/>
      <c r="I1133" s="64">
        <f>ventas_b_mes684[[#This Row],[IMPORTE NETO]]*0.21</f>
        <v>0</v>
      </c>
      <c r="J1133" s="64"/>
      <c r="K1133" s="64"/>
      <c r="L1133" s="64">
        <f>SUM(ventas_b_mes684[[#This Row],[IMPORTE NETO]:[EXENTO]])</f>
        <v>0</v>
      </c>
      <c r="M1133" s="59"/>
    </row>
    <row r="1134" spans="2:13" x14ac:dyDescent="0.25">
      <c r="B1134" s="40"/>
      <c r="C1134" s="41"/>
      <c r="D1134" s="42"/>
      <c r="E1134" s="43"/>
      <c r="F1134" s="44"/>
      <c r="G1134" s="1" t="str">
        <f>IFERROR(IF(ventas_b_mes684[[#This Row],[CUIT]]="","-",VLOOKUP(ventas_b_mes684[[#This Row],[CUIT]],Lista_CUIT[#All],2,0)),"CUIT NO CARGADO")</f>
        <v>-</v>
      </c>
      <c r="H1134" s="64"/>
      <c r="I1134" s="64">
        <f>ventas_b_mes684[[#This Row],[IMPORTE NETO]]*0.21</f>
        <v>0</v>
      </c>
      <c r="J1134" s="64"/>
      <c r="K1134" s="64"/>
      <c r="L1134" s="64">
        <f>SUM(ventas_b_mes684[[#This Row],[IMPORTE NETO]:[EXENTO]])</f>
        <v>0</v>
      </c>
      <c r="M1134" s="59"/>
    </row>
    <row r="1135" spans="2:13" x14ac:dyDescent="0.25">
      <c r="B1135" s="40"/>
      <c r="C1135" s="41"/>
      <c r="D1135" s="42"/>
      <c r="E1135" s="43"/>
      <c r="F1135" s="44"/>
      <c r="G1135" s="1" t="str">
        <f>IFERROR(IF(ventas_b_mes684[[#This Row],[CUIT]]="","-",VLOOKUP(ventas_b_mes684[[#This Row],[CUIT]],Lista_CUIT[#All],2,0)),"CUIT NO CARGADO")</f>
        <v>-</v>
      </c>
      <c r="H1135" s="64"/>
      <c r="I1135" s="64">
        <f>ventas_b_mes684[[#This Row],[IMPORTE NETO]]*0.21</f>
        <v>0</v>
      </c>
      <c r="J1135" s="64"/>
      <c r="K1135" s="64"/>
      <c r="L1135" s="64">
        <f>SUM(ventas_b_mes684[[#This Row],[IMPORTE NETO]:[EXENTO]])</f>
        <v>0</v>
      </c>
      <c r="M1135" s="59"/>
    </row>
    <row r="1136" spans="2:13" x14ac:dyDescent="0.25">
      <c r="B1136" s="40"/>
      <c r="C1136" s="41"/>
      <c r="D1136" s="42"/>
      <c r="E1136" s="43"/>
      <c r="F1136" s="44"/>
      <c r="G1136" s="1" t="str">
        <f>IFERROR(IF(ventas_b_mes684[[#This Row],[CUIT]]="","-",VLOOKUP(ventas_b_mes684[[#This Row],[CUIT]],Lista_CUIT[#All],2,0)),"CUIT NO CARGADO")</f>
        <v>-</v>
      </c>
      <c r="H1136" s="64"/>
      <c r="I1136" s="64">
        <f>ventas_b_mes684[[#This Row],[IMPORTE NETO]]*0.21</f>
        <v>0</v>
      </c>
      <c r="J1136" s="64"/>
      <c r="K1136" s="64"/>
      <c r="L1136" s="64">
        <f>SUM(ventas_b_mes684[[#This Row],[IMPORTE NETO]:[EXENTO]])</f>
        <v>0</v>
      </c>
      <c r="M1136" s="59"/>
    </row>
    <row r="1137" spans="2:13" x14ac:dyDescent="0.25">
      <c r="B1137" s="40"/>
      <c r="C1137" s="41"/>
      <c r="D1137" s="42"/>
      <c r="E1137" s="43"/>
      <c r="F1137" s="44"/>
      <c r="G1137" s="1" t="str">
        <f>IFERROR(IF(ventas_b_mes684[[#This Row],[CUIT]]="","-",VLOOKUP(ventas_b_mes684[[#This Row],[CUIT]],Lista_CUIT[#All],2,0)),"CUIT NO CARGADO")</f>
        <v>-</v>
      </c>
      <c r="H1137" s="64"/>
      <c r="I1137" s="64">
        <f>ventas_b_mes684[[#This Row],[IMPORTE NETO]]*0.21</f>
        <v>0</v>
      </c>
      <c r="J1137" s="64"/>
      <c r="K1137" s="64"/>
      <c r="L1137" s="64">
        <f>SUM(ventas_b_mes684[[#This Row],[IMPORTE NETO]:[EXENTO]])</f>
        <v>0</v>
      </c>
      <c r="M1137" s="59"/>
    </row>
    <row r="1138" spans="2:13" x14ac:dyDescent="0.25">
      <c r="B1138" s="40"/>
      <c r="C1138" s="41"/>
      <c r="D1138" s="42"/>
      <c r="E1138" s="43"/>
      <c r="F1138" s="44"/>
      <c r="G1138" s="1" t="str">
        <f>IFERROR(IF(ventas_b_mes684[[#This Row],[CUIT]]="","-",VLOOKUP(ventas_b_mes684[[#This Row],[CUIT]],Lista_CUIT[#All],2,0)),"CUIT NO CARGADO")</f>
        <v>-</v>
      </c>
      <c r="H1138" s="64"/>
      <c r="I1138" s="64">
        <f>ventas_b_mes684[[#This Row],[IMPORTE NETO]]*0.21</f>
        <v>0</v>
      </c>
      <c r="J1138" s="64"/>
      <c r="K1138" s="64"/>
      <c r="L1138" s="64">
        <f>SUM(ventas_b_mes684[[#This Row],[IMPORTE NETO]:[EXENTO]])</f>
        <v>0</v>
      </c>
      <c r="M1138" s="59"/>
    </row>
    <row r="1139" spans="2:13" x14ac:dyDescent="0.25">
      <c r="B1139" s="40"/>
      <c r="C1139" s="41"/>
      <c r="D1139" s="42"/>
      <c r="E1139" s="43"/>
      <c r="F1139" s="44"/>
      <c r="G1139" s="1" t="str">
        <f>IFERROR(IF(ventas_b_mes684[[#This Row],[CUIT]]="","-",VLOOKUP(ventas_b_mes684[[#This Row],[CUIT]],Lista_CUIT[#All],2,0)),"CUIT NO CARGADO")</f>
        <v>-</v>
      </c>
      <c r="H1139" s="64"/>
      <c r="I1139" s="64">
        <f>ventas_b_mes684[[#This Row],[IMPORTE NETO]]*0.21</f>
        <v>0</v>
      </c>
      <c r="J1139" s="64"/>
      <c r="K1139" s="64"/>
      <c r="L1139" s="64">
        <f>SUM(ventas_b_mes684[[#This Row],[IMPORTE NETO]:[EXENTO]])</f>
        <v>0</v>
      </c>
      <c r="M1139" s="59"/>
    </row>
    <row r="1140" spans="2:13" x14ac:dyDescent="0.25">
      <c r="B1140" s="40"/>
      <c r="C1140" s="41"/>
      <c r="D1140" s="42"/>
      <c r="E1140" s="43"/>
      <c r="F1140" s="44"/>
      <c r="G1140" s="1" t="str">
        <f>IFERROR(IF(ventas_b_mes684[[#This Row],[CUIT]]="","-",VLOOKUP(ventas_b_mes684[[#This Row],[CUIT]],Lista_CUIT[#All],2,0)),"CUIT NO CARGADO")</f>
        <v>-</v>
      </c>
      <c r="H1140" s="64"/>
      <c r="I1140" s="64">
        <f>ventas_b_mes684[[#This Row],[IMPORTE NETO]]*0.21</f>
        <v>0</v>
      </c>
      <c r="J1140" s="64"/>
      <c r="K1140" s="64"/>
      <c r="L1140" s="64">
        <f>SUM(ventas_b_mes684[[#This Row],[IMPORTE NETO]:[EXENTO]])</f>
        <v>0</v>
      </c>
      <c r="M1140" s="59"/>
    </row>
    <row r="1141" spans="2:13" x14ac:dyDescent="0.25">
      <c r="B1141" s="40"/>
      <c r="C1141" s="41"/>
      <c r="D1141" s="42"/>
      <c r="E1141" s="43"/>
      <c r="F1141" s="44"/>
      <c r="G1141" s="1" t="str">
        <f>IFERROR(IF(ventas_b_mes684[[#This Row],[CUIT]]="","-",VLOOKUP(ventas_b_mes684[[#This Row],[CUIT]],Lista_CUIT[#All],2,0)),"CUIT NO CARGADO")</f>
        <v>-</v>
      </c>
      <c r="H1141" s="64"/>
      <c r="I1141" s="64">
        <f>ventas_b_mes684[[#This Row],[IMPORTE NETO]]*0.21</f>
        <v>0</v>
      </c>
      <c r="J1141" s="64"/>
      <c r="K1141" s="64"/>
      <c r="L1141" s="64">
        <f>SUM(ventas_b_mes684[[#This Row],[IMPORTE NETO]:[EXENTO]])</f>
        <v>0</v>
      </c>
      <c r="M1141" s="59"/>
    </row>
    <row r="1142" spans="2:13" x14ac:dyDescent="0.25">
      <c r="B1142" s="40"/>
      <c r="C1142" s="41"/>
      <c r="D1142" s="42"/>
      <c r="E1142" s="43"/>
      <c r="F1142" s="44"/>
      <c r="G1142" s="1" t="str">
        <f>IFERROR(IF(ventas_b_mes684[[#This Row],[CUIT]]="","-",VLOOKUP(ventas_b_mes684[[#This Row],[CUIT]],Lista_CUIT[#All],2,0)),"CUIT NO CARGADO")</f>
        <v>-</v>
      </c>
      <c r="H1142" s="64"/>
      <c r="I1142" s="64">
        <f>ventas_b_mes684[[#This Row],[IMPORTE NETO]]*0.21</f>
        <v>0</v>
      </c>
      <c r="J1142" s="64"/>
      <c r="K1142" s="64"/>
      <c r="L1142" s="64">
        <f>SUM(ventas_b_mes684[[#This Row],[IMPORTE NETO]:[EXENTO]])</f>
        <v>0</v>
      </c>
      <c r="M1142" s="59"/>
    </row>
    <row r="1143" spans="2:13" x14ac:dyDescent="0.25">
      <c r="B1143" s="40"/>
      <c r="C1143" s="41"/>
      <c r="D1143" s="42"/>
      <c r="E1143" s="43"/>
      <c r="F1143" s="44"/>
      <c r="G1143" s="1" t="str">
        <f>IFERROR(IF(ventas_b_mes684[[#This Row],[CUIT]]="","-",VLOOKUP(ventas_b_mes684[[#This Row],[CUIT]],Lista_CUIT[#All],2,0)),"CUIT NO CARGADO")</f>
        <v>-</v>
      </c>
      <c r="H1143" s="64"/>
      <c r="I1143" s="64">
        <f>ventas_b_mes684[[#This Row],[IMPORTE NETO]]*0.21</f>
        <v>0</v>
      </c>
      <c r="J1143" s="64"/>
      <c r="K1143" s="64"/>
      <c r="L1143" s="64">
        <f>SUM(ventas_b_mes684[[#This Row],[IMPORTE NETO]:[EXENTO]])</f>
        <v>0</v>
      </c>
      <c r="M1143" s="59"/>
    </row>
    <row r="1144" spans="2:13" x14ac:dyDescent="0.25">
      <c r="B1144" s="40"/>
      <c r="C1144" s="41"/>
      <c r="D1144" s="42"/>
      <c r="E1144" s="43"/>
      <c r="F1144" s="44"/>
      <c r="G1144" s="1" t="str">
        <f>IFERROR(IF(ventas_b_mes684[[#This Row],[CUIT]]="","-",VLOOKUP(ventas_b_mes684[[#This Row],[CUIT]],Lista_CUIT[#All],2,0)),"CUIT NO CARGADO")</f>
        <v>-</v>
      </c>
      <c r="H1144" s="64"/>
      <c r="I1144" s="64">
        <f>ventas_b_mes684[[#This Row],[IMPORTE NETO]]*0.21</f>
        <v>0</v>
      </c>
      <c r="J1144" s="64"/>
      <c r="K1144" s="64"/>
      <c r="L1144" s="64">
        <f>SUM(ventas_b_mes684[[#This Row],[IMPORTE NETO]:[EXENTO]])</f>
        <v>0</v>
      </c>
      <c r="M1144" s="59"/>
    </row>
    <row r="1145" spans="2:13" x14ac:dyDescent="0.25">
      <c r="B1145" s="40"/>
      <c r="C1145" s="41"/>
      <c r="D1145" s="42"/>
      <c r="E1145" s="43"/>
      <c r="F1145" s="44"/>
      <c r="G1145" s="1" t="str">
        <f>IFERROR(IF(ventas_b_mes684[[#This Row],[CUIT]]="","-",VLOOKUP(ventas_b_mes684[[#This Row],[CUIT]],Lista_CUIT[#All],2,0)),"CUIT NO CARGADO")</f>
        <v>-</v>
      </c>
      <c r="H1145" s="64"/>
      <c r="I1145" s="64">
        <f>ventas_b_mes684[[#This Row],[IMPORTE NETO]]*0.21</f>
        <v>0</v>
      </c>
      <c r="J1145" s="64"/>
      <c r="K1145" s="64"/>
      <c r="L1145" s="64">
        <f>SUM(ventas_b_mes684[[#This Row],[IMPORTE NETO]:[EXENTO]])</f>
        <v>0</v>
      </c>
      <c r="M1145" s="59"/>
    </row>
    <row r="1146" spans="2:13" x14ac:dyDescent="0.25">
      <c r="B1146" s="40"/>
      <c r="C1146" s="41"/>
      <c r="D1146" s="42"/>
      <c r="E1146" s="43"/>
      <c r="F1146" s="44"/>
      <c r="G1146" s="1" t="str">
        <f>IFERROR(IF(ventas_b_mes684[[#This Row],[CUIT]]="","-",VLOOKUP(ventas_b_mes684[[#This Row],[CUIT]],Lista_CUIT[#All],2,0)),"CUIT NO CARGADO")</f>
        <v>-</v>
      </c>
      <c r="H1146" s="64"/>
      <c r="I1146" s="64">
        <f>ventas_b_mes684[[#This Row],[IMPORTE NETO]]*0.21</f>
        <v>0</v>
      </c>
      <c r="J1146" s="64"/>
      <c r="K1146" s="64"/>
      <c r="L1146" s="64">
        <f>SUM(ventas_b_mes684[[#This Row],[IMPORTE NETO]:[EXENTO]])</f>
        <v>0</v>
      </c>
      <c r="M1146" s="59"/>
    </row>
    <row r="1147" spans="2:13" x14ac:dyDescent="0.25">
      <c r="B1147" s="40"/>
      <c r="C1147" s="41"/>
      <c r="D1147" s="42"/>
      <c r="E1147" s="43"/>
      <c r="F1147" s="44"/>
      <c r="G1147" s="1" t="str">
        <f>IFERROR(IF(ventas_b_mes684[[#This Row],[CUIT]]="","-",VLOOKUP(ventas_b_mes684[[#This Row],[CUIT]],Lista_CUIT[#All],2,0)),"CUIT NO CARGADO")</f>
        <v>-</v>
      </c>
      <c r="H1147" s="64"/>
      <c r="I1147" s="64">
        <f>ventas_b_mes684[[#This Row],[IMPORTE NETO]]*0.21</f>
        <v>0</v>
      </c>
      <c r="J1147" s="64"/>
      <c r="K1147" s="64"/>
      <c r="L1147" s="64">
        <f>SUM(ventas_b_mes684[[#This Row],[IMPORTE NETO]:[EXENTO]])</f>
        <v>0</v>
      </c>
      <c r="M1147" s="59"/>
    </row>
    <row r="1148" spans="2:13" x14ac:dyDescent="0.25">
      <c r="B1148" s="40"/>
      <c r="C1148" s="41"/>
      <c r="D1148" s="42"/>
      <c r="E1148" s="43"/>
      <c r="F1148" s="44"/>
      <c r="G1148" s="1" t="str">
        <f>IFERROR(IF(ventas_b_mes684[[#This Row],[CUIT]]="","-",VLOOKUP(ventas_b_mes684[[#This Row],[CUIT]],Lista_CUIT[#All],2,0)),"CUIT NO CARGADO")</f>
        <v>-</v>
      </c>
      <c r="H1148" s="64"/>
      <c r="I1148" s="64">
        <f>ventas_b_mes684[[#This Row],[IMPORTE NETO]]*0.21</f>
        <v>0</v>
      </c>
      <c r="J1148" s="64"/>
      <c r="K1148" s="64"/>
      <c r="L1148" s="64">
        <f>SUM(ventas_b_mes684[[#This Row],[IMPORTE NETO]:[EXENTO]])</f>
        <v>0</v>
      </c>
      <c r="M1148" s="59"/>
    </row>
    <row r="1149" spans="2:13" x14ac:dyDescent="0.25">
      <c r="B1149" s="40"/>
      <c r="C1149" s="41"/>
      <c r="D1149" s="42"/>
      <c r="E1149" s="43"/>
      <c r="F1149" s="44"/>
      <c r="G1149" s="1" t="str">
        <f>IFERROR(IF(ventas_b_mes684[[#This Row],[CUIT]]="","-",VLOOKUP(ventas_b_mes684[[#This Row],[CUIT]],Lista_CUIT[#All],2,0)),"CUIT NO CARGADO")</f>
        <v>-</v>
      </c>
      <c r="H1149" s="64"/>
      <c r="I1149" s="64">
        <f>ventas_b_mes684[[#This Row],[IMPORTE NETO]]*0.21</f>
        <v>0</v>
      </c>
      <c r="J1149" s="64"/>
      <c r="K1149" s="64"/>
      <c r="L1149" s="64">
        <f>SUM(ventas_b_mes684[[#This Row],[IMPORTE NETO]:[EXENTO]])</f>
        <v>0</v>
      </c>
      <c r="M1149" s="59"/>
    </row>
    <row r="1150" spans="2:13" x14ac:dyDescent="0.25">
      <c r="B1150" s="40"/>
      <c r="C1150" s="41"/>
      <c r="D1150" s="42"/>
      <c r="E1150" s="43"/>
      <c r="F1150" s="44"/>
      <c r="G1150" s="1" t="str">
        <f>IFERROR(IF(ventas_b_mes684[[#This Row],[CUIT]]="","-",VLOOKUP(ventas_b_mes684[[#This Row],[CUIT]],Lista_CUIT[#All],2,0)),"CUIT NO CARGADO")</f>
        <v>-</v>
      </c>
      <c r="H1150" s="64"/>
      <c r="I1150" s="64">
        <f>ventas_b_mes684[[#This Row],[IMPORTE NETO]]*0.21</f>
        <v>0</v>
      </c>
      <c r="J1150" s="64"/>
      <c r="K1150" s="64"/>
      <c r="L1150" s="64">
        <f>SUM(ventas_b_mes684[[#This Row],[IMPORTE NETO]:[EXENTO]])</f>
        <v>0</v>
      </c>
      <c r="M1150" s="59"/>
    </row>
    <row r="1151" spans="2:13" x14ac:dyDescent="0.25">
      <c r="B1151" s="40"/>
      <c r="C1151" s="41"/>
      <c r="D1151" s="42"/>
      <c r="E1151" s="43"/>
      <c r="F1151" s="44"/>
      <c r="G1151" s="1" t="str">
        <f>IFERROR(IF(ventas_b_mes684[[#This Row],[CUIT]]="","-",VLOOKUP(ventas_b_mes684[[#This Row],[CUIT]],Lista_CUIT[#All],2,0)),"CUIT NO CARGADO")</f>
        <v>-</v>
      </c>
      <c r="H1151" s="64"/>
      <c r="I1151" s="64">
        <f>ventas_b_mes684[[#This Row],[IMPORTE NETO]]*0.21</f>
        <v>0</v>
      </c>
      <c r="J1151" s="64"/>
      <c r="K1151" s="64"/>
      <c r="L1151" s="64">
        <f>SUM(ventas_b_mes684[[#This Row],[IMPORTE NETO]:[EXENTO]])</f>
        <v>0</v>
      </c>
      <c r="M1151" s="59"/>
    </row>
    <row r="1152" spans="2:13" x14ac:dyDescent="0.25">
      <c r="B1152" s="40"/>
      <c r="C1152" s="41"/>
      <c r="D1152" s="42"/>
      <c r="E1152" s="43"/>
      <c r="F1152" s="44"/>
      <c r="G1152" s="1" t="str">
        <f>IFERROR(IF(ventas_b_mes684[[#This Row],[CUIT]]="","-",VLOOKUP(ventas_b_mes684[[#This Row],[CUIT]],Lista_CUIT[#All],2,0)),"CUIT NO CARGADO")</f>
        <v>-</v>
      </c>
      <c r="H1152" s="64"/>
      <c r="I1152" s="64">
        <f>ventas_b_mes684[[#This Row],[IMPORTE NETO]]*0.21</f>
        <v>0</v>
      </c>
      <c r="J1152" s="64"/>
      <c r="K1152" s="64"/>
      <c r="L1152" s="64">
        <f>SUM(ventas_b_mes684[[#This Row],[IMPORTE NETO]:[EXENTO]])</f>
        <v>0</v>
      </c>
      <c r="M1152" s="59"/>
    </row>
    <row r="1153" spans="2:13" x14ac:dyDescent="0.25">
      <c r="B1153" s="40"/>
      <c r="C1153" s="41"/>
      <c r="D1153" s="42"/>
      <c r="E1153" s="43"/>
      <c r="F1153" s="44"/>
      <c r="G1153" s="1" t="str">
        <f>IFERROR(IF(ventas_b_mes684[[#This Row],[CUIT]]="","-",VLOOKUP(ventas_b_mes684[[#This Row],[CUIT]],Lista_CUIT[#All],2,0)),"CUIT NO CARGADO")</f>
        <v>-</v>
      </c>
      <c r="H1153" s="64"/>
      <c r="I1153" s="64">
        <f>ventas_b_mes684[[#This Row],[IMPORTE NETO]]*0.21</f>
        <v>0</v>
      </c>
      <c r="J1153" s="64"/>
      <c r="K1153" s="64"/>
      <c r="L1153" s="64">
        <f>SUM(ventas_b_mes684[[#This Row],[IMPORTE NETO]:[EXENTO]])</f>
        <v>0</v>
      </c>
      <c r="M1153" s="59"/>
    </row>
    <row r="1154" spans="2:13" x14ac:dyDescent="0.25">
      <c r="B1154" s="40"/>
      <c r="C1154" s="41"/>
      <c r="D1154" s="42"/>
      <c r="E1154" s="43"/>
      <c r="F1154" s="44"/>
      <c r="G1154" s="1" t="str">
        <f>IFERROR(IF(ventas_b_mes684[[#This Row],[CUIT]]="","-",VLOOKUP(ventas_b_mes684[[#This Row],[CUIT]],Lista_CUIT[#All],2,0)),"CUIT NO CARGADO")</f>
        <v>-</v>
      </c>
      <c r="H1154" s="64"/>
      <c r="I1154" s="64">
        <f>ventas_b_mes684[[#This Row],[IMPORTE NETO]]*0.21</f>
        <v>0</v>
      </c>
      <c r="J1154" s="64"/>
      <c r="K1154" s="64"/>
      <c r="L1154" s="64">
        <f>SUM(ventas_b_mes684[[#This Row],[IMPORTE NETO]:[EXENTO]])</f>
        <v>0</v>
      </c>
      <c r="M1154" s="59"/>
    </row>
    <row r="1155" spans="2:13" x14ac:dyDescent="0.25">
      <c r="B1155" s="40"/>
      <c r="C1155" s="41"/>
      <c r="D1155" s="42"/>
      <c r="E1155" s="43"/>
      <c r="F1155" s="44"/>
      <c r="G1155" s="1" t="str">
        <f>IFERROR(IF(ventas_b_mes684[[#This Row],[CUIT]]="","-",VLOOKUP(ventas_b_mes684[[#This Row],[CUIT]],Lista_CUIT[#All],2,0)),"CUIT NO CARGADO")</f>
        <v>-</v>
      </c>
      <c r="H1155" s="64"/>
      <c r="I1155" s="64">
        <f>ventas_b_mes684[[#This Row],[IMPORTE NETO]]*0.21</f>
        <v>0</v>
      </c>
      <c r="J1155" s="64"/>
      <c r="K1155" s="64"/>
      <c r="L1155" s="64">
        <f>SUM(ventas_b_mes684[[#This Row],[IMPORTE NETO]:[EXENTO]])</f>
        <v>0</v>
      </c>
      <c r="M1155" s="59"/>
    </row>
    <row r="1156" spans="2:13" x14ac:dyDescent="0.25">
      <c r="B1156" s="40"/>
      <c r="C1156" s="41"/>
      <c r="D1156" s="42"/>
      <c r="E1156" s="43"/>
      <c r="F1156" s="44"/>
      <c r="G1156" s="1" t="str">
        <f>IFERROR(IF(ventas_b_mes684[[#This Row],[CUIT]]="","-",VLOOKUP(ventas_b_mes684[[#This Row],[CUIT]],Lista_CUIT[#All],2,0)),"CUIT NO CARGADO")</f>
        <v>-</v>
      </c>
      <c r="H1156" s="64"/>
      <c r="I1156" s="64">
        <f>ventas_b_mes684[[#This Row],[IMPORTE NETO]]*0.21</f>
        <v>0</v>
      </c>
      <c r="J1156" s="64"/>
      <c r="K1156" s="64"/>
      <c r="L1156" s="64">
        <f>SUM(ventas_b_mes684[[#This Row],[IMPORTE NETO]:[EXENTO]])</f>
        <v>0</v>
      </c>
      <c r="M1156" s="59"/>
    </row>
    <row r="1157" spans="2:13" x14ac:dyDescent="0.25">
      <c r="B1157" s="40"/>
      <c r="C1157" s="41"/>
      <c r="D1157" s="42"/>
      <c r="E1157" s="43"/>
      <c r="F1157" s="44"/>
      <c r="G1157" s="1" t="str">
        <f>IFERROR(IF(ventas_b_mes684[[#This Row],[CUIT]]="","-",VLOOKUP(ventas_b_mes684[[#This Row],[CUIT]],Lista_CUIT[#All],2,0)),"CUIT NO CARGADO")</f>
        <v>-</v>
      </c>
      <c r="H1157" s="64"/>
      <c r="I1157" s="64">
        <f>ventas_b_mes684[[#This Row],[IMPORTE NETO]]*0.21</f>
        <v>0</v>
      </c>
      <c r="J1157" s="64"/>
      <c r="K1157" s="64"/>
      <c r="L1157" s="64">
        <f>SUM(ventas_b_mes684[[#This Row],[IMPORTE NETO]:[EXENTO]])</f>
        <v>0</v>
      </c>
      <c r="M1157" s="59"/>
    </row>
    <row r="1158" spans="2:13" x14ac:dyDescent="0.25">
      <c r="B1158" s="40"/>
      <c r="C1158" s="41"/>
      <c r="D1158" s="42"/>
      <c r="E1158" s="43"/>
      <c r="F1158" s="44"/>
      <c r="G1158" s="1" t="str">
        <f>IFERROR(IF(ventas_b_mes684[[#This Row],[CUIT]]="","-",VLOOKUP(ventas_b_mes684[[#This Row],[CUIT]],Lista_CUIT[#All],2,0)),"CUIT NO CARGADO")</f>
        <v>-</v>
      </c>
      <c r="H1158" s="64"/>
      <c r="I1158" s="64">
        <f>ventas_b_mes684[[#This Row],[IMPORTE NETO]]*0.21</f>
        <v>0</v>
      </c>
      <c r="J1158" s="64"/>
      <c r="K1158" s="64"/>
      <c r="L1158" s="64">
        <f>SUM(ventas_b_mes684[[#This Row],[IMPORTE NETO]:[EXENTO]])</f>
        <v>0</v>
      </c>
      <c r="M1158" s="59"/>
    </row>
    <row r="1159" spans="2:13" x14ac:dyDescent="0.25">
      <c r="B1159" s="40"/>
      <c r="C1159" s="41"/>
      <c r="D1159" s="42"/>
      <c r="E1159" s="43"/>
      <c r="F1159" s="44"/>
      <c r="G1159" s="1" t="str">
        <f>IFERROR(IF(ventas_b_mes684[[#This Row],[CUIT]]="","-",VLOOKUP(ventas_b_mes684[[#This Row],[CUIT]],Lista_CUIT[#All],2,0)),"CUIT NO CARGADO")</f>
        <v>-</v>
      </c>
      <c r="H1159" s="64"/>
      <c r="I1159" s="64">
        <f>ventas_b_mes684[[#This Row],[IMPORTE NETO]]*0.21</f>
        <v>0</v>
      </c>
      <c r="J1159" s="64"/>
      <c r="K1159" s="64"/>
      <c r="L1159" s="64">
        <f>SUM(ventas_b_mes684[[#This Row],[IMPORTE NETO]:[EXENTO]])</f>
        <v>0</v>
      </c>
      <c r="M1159" s="59"/>
    </row>
    <row r="1160" spans="2:13" x14ac:dyDescent="0.25">
      <c r="B1160" s="40"/>
      <c r="C1160" s="41"/>
      <c r="D1160" s="42"/>
      <c r="E1160" s="43"/>
      <c r="F1160" s="44"/>
      <c r="G1160" s="1" t="str">
        <f>IFERROR(IF(ventas_b_mes684[[#This Row],[CUIT]]="","-",VLOOKUP(ventas_b_mes684[[#This Row],[CUIT]],Lista_CUIT[#All],2,0)),"CUIT NO CARGADO")</f>
        <v>-</v>
      </c>
      <c r="H1160" s="64"/>
      <c r="I1160" s="64">
        <f>ventas_b_mes684[[#This Row],[IMPORTE NETO]]*0.21</f>
        <v>0</v>
      </c>
      <c r="J1160" s="64"/>
      <c r="K1160" s="64"/>
      <c r="L1160" s="64">
        <f>SUM(ventas_b_mes684[[#This Row],[IMPORTE NETO]:[EXENTO]])</f>
        <v>0</v>
      </c>
      <c r="M1160" s="59"/>
    </row>
    <row r="1161" spans="2:13" x14ac:dyDescent="0.25">
      <c r="B1161" s="40"/>
      <c r="C1161" s="41"/>
      <c r="D1161" s="42"/>
      <c r="E1161" s="43"/>
      <c r="F1161" s="44"/>
      <c r="G1161" s="1" t="str">
        <f>IFERROR(IF(ventas_b_mes684[[#This Row],[CUIT]]="","-",VLOOKUP(ventas_b_mes684[[#This Row],[CUIT]],Lista_CUIT[#All],2,0)),"CUIT NO CARGADO")</f>
        <v>-</v>
      </c>
      <c r="H1161" s="64"/>
      <c r="I1161" s="64">
        <f>ventas_b_mes684[[#This Row],[IMPORTE NETO]]*0.21</f>
        <v>0</v>
      </c>
      <c r="J1161" s="64"/>
      <c r="K1161" s="64"/>
      <c r="L1161" s="64">
        <f>SUM(ventas_b_mes684[[#This Row],[IMPORTE NETO]:[EXENTO]])</f>
        <v>0</v>
      </c>
      <c r="M1161" s="59"/>
    </row>
    <row r="1162" spans="2:13" x14ac:dyDescent="0.25">
      <c r="B1162" s="40"/>
      <c r="C1162" s="41"/>
      <c r="D1162" s="42"/>
      <c r="E1162" s="43"/>
      <c r="F1162" s="44"/>
      <c r="G1162" s="1" t="str">
        <f>IFERROR(IF(ventas_b_mes684[[#This Row],[CUIT]]="","-",VLOOKUP(ventas_b_mes684[[#This Row],[CUIT]],Lista_CUIT[#All],2,0)),"CUIT NO CARGADO")</f>
        <v>-</v>
      </c>
      <c r="H1162" s="64"/>
      <c r="I1162" s="64">
        <f>ventas_b_mes684[[#This Row],[IMPORTE NETO]]*0.21</f>
        <v>0</v>
      </c>
      <c r="J1162" s="64"/>
      <c r="K1162" s="64"/>
      <c r="L1162" s="64">
        <f>SUM(ventas_b_mes684[[#This Row],[IMPORTE NETO]:[EXENTO]])</f>
        <v>0</v>
      </c>
      <c r="M1162" s="59"/>
    </row>
    <row r="1163" spans="2:13" x14ac:dyDescent="0.25">
      <c r="B1163" s="40"/>
      <c r="C1163" s="41"/>
      <c r="D1163" s="42"/>
      <c r="E1163" s="43"/>
      <c r="F1163" s="44"/>
      <c r="G1163" s="1" t="str">
        <f>IFERROR(IF(ventas_b_mes684[[#This Row],[CUIT]]="","-",VLOOKUP(ventas_b_mes684[[#This Row],[CUIT]],Lista_CUIT[#All],2,0)),"CUIT NO CARGADO")</f>
        <v>-</v>
      </c>
      <c r="H1163" s="64"/>
      <c r="I1163" s="64">
        <f>ventas_b_mes684[[#This Row],[IMPORTE NETO]]*0.21</f>
        <v>0</v>
      </c>
      <c r="J1163" s="64"/>
      <c r="K1163" s="64"/>
      <c r="L1163" s="64">
        <f>SUM(ventas_b_mes684[[#This Row],[IMPORTE NETO]:[EXENTO]])</f>
        <v>0</v>
      </c>
      <c r="M1163" s="59"/>
    </row>
    <row r="1164" spans="2:13" x14ac:dyDescent="0.25">
      <c r="B1164" s="40"/>
      <c r="C1164" s="41"/>
      <c r="D1164" s="42"/>
      <c r="E1164" s="43"/>
      <c r="F1164" s="44"/>
      <c r="G1164" s="1" t="str">
        <f>IFERROR(IF(ventas_b_mes684[[#This Row],[CUIT]]="","-",VLOOKUP(ventas_b_mes684[[#This Row],[CUIT]],Lista_CUIT[#All],2,0)),"CUIT NO CARGADO")</f>
        <v>-</v>
      </c>
      <c r="H1164" s="64"/>
      <c r="I1164" s="64">
        <f>ventas_b_mes684[[#This Row],[IMPORTE NETO]]*0.21</f>
        <v>0</v>
      </c>
      <c r="J1164" s="64"/>
      <c r="K1164" s="64"/>
      <c r="L1164" s="64">
        <f>SUM(ventas_b_mes684[[#This Row],[IMPORTE NETO]:[EXENTO]])</f>
        <v>0</v>
      </c>
      <c r="M1164" s="59"/>
    </row>
    <row r="1165" spans="2:13" x14ac:dyDescent="0.25">
      <c r="B1165" s="40"/>
      <c r="C1165" s="41"/>
      <c r="D1165" s="42"/>
      <c r="E1165" s="43"/>
      <c r="F1165" s="44"/>
      <c r="G1165" s="1" t="str">
        <f>IFERROR(IF(ventas_b_mes684[[#This Row],[CUIT]]="","-",VLOOKUP(ventas_b_mes684[[#This Row],[CUIT]],Lista_CUIT[#All],2,0)),"CUIT NO CARGADO")</f>
        <v>-</v>
      </c>
      <c r="H1165" s="64"/>
      <c r="I1165" s="64">
        <f>ventas_b_mes684[[#This Row],[IMPORTE NETO]]*0.21</f>
        <v>0</v>
      </c>
      <c r="J1165" s="64"/>
      <c r="K1165" s="64"/>
      <c r="L1165" s="64">
        <f>SUM(ventas_b_mes684[[#This Row],[IMPORTE NETO]:[EXENTO]])</f>
        <v>0</v>
      </c>
      <c r="M1165" s="59"/>
    </row>
    <row r="1166" spans="2:13" x14ac:dyDescent="0.25">
      <c r="B1166" s="40"/>
      <c r="C1166" s="41"/>
      <c r="D1166" s="42"/>
      <c r="E1166" s="43"/>
      <c r="F1166" s="44"/>
      <c r="G1166" s="1" t="str">
        <f>IFERROR(IF(ventas_b_mes684[[#This Row],[CUIT]]="","-",VLOOKUP(ventas_b_mes684[[#This Row],[CUIT]],Lista_CUIT[#All],2,0)),"CUIT NO CARGADO")</f>
        <v>-</v>
      </c>
      <c r="H1166" s="64"/>
      <c r="I1166" s="64">
        <f>ventas_b_mes684[[#This Row],[IMPORTE NETO]]*0.21</f>
        <v>0</v>
      </c>
      <c r="J1166" s="64"/>
      <c r="K1166" s="64"/>
      <c r="L1166" s="64">
        <f>SUM(ventas_b_mes684[[#This Row],[IMPORTE NETO]:[EXENTO]])</f>
        <v>0</v>
      </c>
      <c r="M1166" s="59"/>
    </row>
    <row r="1167" spans="2:13" x14ac:dyDescent="0.25">
      <c r="B1167" s="40"/>
      <c r="C1167" s="41"/>
      <c r="D1167" s="42"/>
      <c r="E1167" s="43"/>
      <c r="F1167" s="44"/>
      <c r="G1167" s="1" t="str">
        <f>IFERROR(IF(ventas_b_mes684[[#This Row],[CUIT]]="","-",VLOOKUP(ventas_b_mes684[[#This Row],[CUIT]],Lista_CUIT[#All],2,0)),"CUIT NO CARGADO")</f>
        <v>-</v>
      </c>
      <c r="H1167" s="64"/>
      <c r="I1167" s="64">
        <f>ventas_b_mes684[[#This Row],[IMPORTE NETO]]*0.21</f>
        <v>0</v>
      </c>
      <c r="J1167" s="64"/>
      <c r="K1167" s="64"/>
      <c r="L1167" s="64">
        <f>SUM(ventas_b_mes684[[#This Row],[IMPORTE NETO]:[EXENTO]])</f>
        <v>0</v>
      </c>
      <c r="M1167" s="59"/>
    </row>
    <row r="1168" spans="2:13" x14ac:dyDescent="0.25">
      <c r="B1168" s="40"/>
      <c r="C1168" s="41"/>
      <c r="D1168" s="42"/>
      <c r="E1168" s="43"/>
      <c r="F1168" s="44"/>
      <c r="G1168" s="1" t="str">
        <f>IFERROR(IF(ventas_b_mes684[[#This Row],[CUIT]]="","-",VLOOKUP(ventas_b_mes684[[#This Row],[CUIT]],Lista_CUIT[#All],2,0)),"CUIT NO CARGADO")</f>
        <v>-</v>
      </c>
      <c r="H1168" s="64"/>
      <c r="I1168" s="64">
        <f>ventas_b_mes684[[#This Row],[IMPORTE NETO]]*0.21</f>
        <v>0</v>
      </c>
      <c r="J1168" s="64"/>
      <c r="K1168" s="64"/>
      <c r="L1168" s="64">
        <f>SUM(ventas_b_mes684[[#This Row],[IMPORTE NETO]:[EXENTO]])</f>
        <v>0</v>
      </c>
      <c r="M1168" s="59"/>
    </row>
    <row r="1169" spans="2:13" x14ac:dyDescent="0.25">
      <c r="B1169" s="40"/>
      <c r="C1169" s="41"/>
      <c r="D1169" s="42"/>
      <c r="E1169" s="43"/>
      <c r="F1169" s="44"/>
      <c r="G1169" s="1" t="str">
        <f>IFERROR(IF(ventas_b_mes684[[#This Row],[CUIT]]="","-",VLOOKUP(ventas_b_mes684[[#This Row],[CUIT]],Lista_CUIT[#All],2,0)),"CUIT NO CARGADO")</f>
        <v>-</v>
      </c>
      <c r="H1169" s="64"/>
      <c r="I1169" s="64">
        <f>ventas_b_mes684[[#This Row],[IMPORTE NETO]]*0.21</f>
        <v>0</v>
      </c>
      <c r="J1169" s="64"/>
      <c r="K1169" s="64"/>
      <c r="L1169" s="64">
        <f>SUM(ventas_b_mes684[[#This Row],[IMPORTE NETO]:[EXENTO]])</f>
        <v>0</v>
      </c>
      <c r="M1169" s="59"/>
    </row>
    <row r="1170" spans="2:13" x14ac:dyDescent="0.25">
      <c r="B1170" s="40"/>
      <c r="C1170" s="41"/>
      <c r="D1170" s="42"/>
      <c r="E1170" s="43"/>
      <c r="F1170" s="44"/>
      <c r="G1170" s="1" t="str">
        <f>IFERROR(IF(ventas_b_mes684[[#This Row],[CUIT]]="","-",VLOOKUP(ventas_b_mes684[[#This Row],[CUIT]],Lista_CUIT[#All],2,0)),"CUIT NO CARGADO")</f>
        <v>-</v>
      </c>
      <c r="H1170" s="64"/>
      <c r="I1170" s="64">
        <f>ventas_b_mes684[[#This Row],[IMPORTE NETO]]*0.21</f>
        <v>0</v>
      </c>
      <c r="J1170" s="64"/>
      <c r="K1170" s="64"/>
      <c r="L1170" s="64">
        <f>SUM(ventas_b_mes684[[#This Row],[IMPORTE NETO]:[EXENTO]])</f>
        <v>0</v>
      </c>
      <c r="M1170" s="59"/>
    </row>
    <row r="1171" spans="2:13" x14ac:dyDescent="0.25">
      <c r="B1171" s="40"/>
      <c r="C1171" s="41"/>
      <c r="D1171" s="42"/>
      <c r="E1171" s="43"/>
      <c r="F1171" s="44"/>
      <c r="G1171" s="1" t="str">
        <f>IFERROR(IF(ventas_b_mes684[[#This Row],[CUIT]]="","-",VLOOKUP(ventas_b_mes684[[#This Row],[CUIT]],Lista_CUIT[#All],2,0)),"CUIT NO CARGADO")</f>
        <v>-</v>
      </c>
      <c r="H1171" s="64"/>
      <c r="I1171" s="64">
        <f>ventas_b_mes684[[#This Row],[IMPORTE NETO]]*0.21</f>
        <v>0</v>
      </c>
      <c r="J1171" s="64"/>
      <c r="K1171" s="64"/>
      <c r="L1171" s="64">
        <f>SUM(ventas_b_mes684[[#This Row],[IMPORTE NETO]:[EXENTO]])</f>
        <v>0</v>
      </c>
      <c r="M1171" s="59"/>
    </row>
    <row r="1172" spans="2:13" x14ac:dyDescent="0.25">
      <c r="B1172" s="40"/>
      <c r="C1172" s="41"/>
      <c r="D1172" s="42"/>
      <c r="E1172" s="43"/>
      <c r="F1172" s="44"/>
      <c r="G1172" s="1" t="str">
        <f>IFERROR(IF(ventas_b_mes684[[#This Row],[CUIT]]="","-",VLOOKUP(ventas_b_mes684[[#This Row],[CUIT]],Lista_CUIT[#All],2,0)),"CUIT NO CARGADO")</f>
        <v>-</v>
      </c>
      <c r="H1172" s="64"/>
      <c r="I1172" s="64">
        <f>ventas_b_mes684[[#This Row],[IMPORTE NETO]]*0.21</f>
        <v>0</v>
      </c>
      <c r="J1172" s="64"/>
      <c r="K1172" s="64"/>
      <c r="L1172" s="64">
        <f>SUM(ventas_b_mes684[[#This Row],[IMPORTE NETO]:[EXENTO]])</f>
        <v>0</v>
      </c>
      <c r="M1172" s="59"/>
    </row>
    <row r="1173" spans="2:13" x14ac:dyDescent="0.25">
      <c r="B1173" s="40"/>
      <c r="C1173" s="41"/>
      <c r="D1173" s="42"/>
      <c r="E1173" s="43"/>
      <c r="F1173" s="44"/>
      <c r="G1173" s="1" t="str">
        <f>IFERROR(IF(ventas_b_mes684[[#This Row],[CUIT]]="","-",VLOOKUP(ventas_b_mes684[[#This Row],[CUIT]],Lista_CUIT[#All],2,0)),"CUIT NO CARGADO")</f>
        <v>-</v>
      </c>
      <c r="H1173" s="64"/>
      <c r="I1173" s="64">
        <f>ventas_b_mes684[[#This Row],[IMPORTE NETO]]*0.21</f>
        <v>0</v>
      </c>
      <c r="J1173" s="64"/>
      <c r="K1173" s="64"/>
      <c r="L1173" s="64">
        <f>SUM(ventas_b_mes684[[#This Row],[IMPORTE NETO]:[EXENTO]])</f>
        <v>0</v>
      </c>
      <c r="M1173" s="59"/>
    </row>
    <row r="1174" spans="2:13" x14ac:dyDescent="0.25">
      <c r="B1174" s="40"/>
      <c r="C1174" s="41"/>
      <c r="D1174" s="42"/>
      <c r="E1174" s="43"/>
      <c r="F1174" s="44"/>
      <c r="G1174" s="1" t="str">
        <f>IFERROR(IF(ventas_b_mes684[[#This Row],[CUIT]]="","-",VLOOKUP(ventas_b_mes684[[#This Row],[CUIT]],Lista_CUIT[#All],2,0)),"CUIT NO CARGADO")</f>
        <v>-</v>
      </c>
      <c r="H1174" s="64"/>
      <c r="I1174" s="64">
        <f>ventas_b_mes684[[#This Row],[IMPORTE NETO]]*0.21</f>
        <v>0</v>
      </c>
      <c r="J1174" s="64"/>
      <c r="K1174" s="64"/>
      <c r="L1174" s="64">
        <f>SUM(ventas_b_mes684[[#This Row],[IMPORTE NETO]:[EXENTO]])</f>
        <v>0</v>
      </c>
      <c r="M1174" s="59"/>
    </row>
    <row r="1175" spans="2:13" x14ac:dyDescent="0.25">
      <c r="B1175" s="40"/>
      <c r="C1175" s="41"/>
      <c r="D1175" s="42"/>
      <c r="E1175" s="43"/>
      <c r="F1175" s="44"/>
      <c r="G1175" s="1" t="str">
        <f>IFERROR(IF(ventas_b_mes684[[#This Row],[CUIT]]="","-",VLOOKUP(ventas_b_mes684[[#This Row],[CUIT]],Lista_CUIT[#All],2,0)),"CUIT NO CARGADO")</f>
        <v>-</v>
      </c>
      <c r="H1175" s="64"/>
      <c r="I1175" s="64">
        <f>ventas_b_mes684[[#This Row],[IMPORTE NETO]]*0.21</f>
        <v>0</v>
      </c>
      <c r="J1175" s="64"/>
      <c r="K1175" s="64"/>
      <c r="L1175" s="64">
        <f>SUM(ventas_b_mes684[[#This Row],[IMPORTE NETO]:[EXENTO]])</f>
        <v>0</v>
      </c>
      <c r="M1175" s="59"/>
    </row>
    <row r="1176" spans="2:13" x14ac:dyDescent="0.25">
      <c r="B1176" s="40"/>
      <c r="C1176" s="41"/>
      <c r="D1176" s="42"/>
      <c r="E1176" s="43"/>
      <c r="F1176" s="44"/>
      <c r="G1176" s="1" t="str">
        <f>IFERROR(IF(ventas_b_mes684[[#This Row],[CUIT]]="","-",VLOOKUP(ventas_b_mes684[[#This Row],[CUIT]],Lista_CUIT[#All],2,0)),"CUIT NO CARGADO")</f>
        <v>-</v>
      </c>
      <c r="H1176" s="64"/>
      <c r="I1176" s="64">
        <f>ventas_b_mes684[[#This Row],[IMPORTE NETO]]*0.21</f>
        <v>0</v>
      </c>
      <c r="J1176" s="64"/>
      <c r="K1176" s="64"/>
      <c r="L1176" s="64">
        <f>SUM(ventas_b_mes684[[#This Row],[IMPORTE NETO]:[EXENTO]])</f>
        <v>0</v>
      </c>
      <c r="M1176" s="59"/>
    </row>
    <row r="1177" spans="2:13" x14ac:dyDescent="0.25">
      <c r="B1177" s="40"/>
      <c r="C1177" s="41"/>
      <c r="D1177" s="42"/>
      <c r="E1177" s="43"/>
      <c r="F1177" s="44"/>
      <c r="G1177" s="1" t="str">
        <f>IFERROR(IF(ventas_b_mes684[[#This Row],[CUIT]]="","-",VLOOKUP(ventas_b_mes684[[#This Row],[CUIT]],Lista_CUIT[#All],2,0)),"CUIT NO CARGADO")</f>
        <v>-</v>
      </c>
      <c r="H1177" s="64"/>
      <c r="I1177" s="64">
        <f>ventas_b_mes684[[#This Row],[IMPORTE NETO]]*0.21</f>
        <v>0</v>
      </c>
      <c r="J1177" s="64"/>
      <c r="K1177" s="64"/>
      <c r="L1177" s="64">
        <f>SUM(ventas_b_mes684[[#This Row],[IMPORTE NETO]:[EXENTO]])</f>
        <v>0</v>
      </c>
      <c r="M1177" s="59"/>
    </row>
    <row r="1178" spans="2:13" x14ac:dyDescent="0.25">
      <c r="B1178" s="40"/>
      <c r="C1178" s="41"/>
      <c r="D1178" s="42"/>
      <c r="E1178" s="43"/>
      <c r="F1178" s="44"/>
      <c r="G1178" s="1" t="str">
        <f>IFERROR(IF(ventas_b_mes684[[#This Row],[CUIT]]="","-",VLOOKUP(ventas_b_mes684[[#This Row],[CUIT]],Lista_CUIT[#All],2,0)),"CUIT NO CARGADO")</f>
        <v>-</v>
      </c>
      <c r="H1178" s="64"/>
      <c r="I1178" s="64">
        <f>ventas_b_mes684[[#This Row],[IMPORTE NETO]]*0.21</f>
        <v>0</v>
      </c>
      <c r="J1178" s="64"/>
      <c r="K1178" s="64"/>
      <c r="L1178" s="64">
        <f>SUM(ventas_b_mes684[[#This Row],[IMPORTE NETO]:[EXENTO]])</f>
        <v>0</v>
      </c>
      <c r="M1178" s="59"/>
    </row>
    <row r="1179" spans="2:13" x14ac:dyDescent="0.25">
      <c r="B1179" s="40"/>
      <c r="C1179" s="41"/>
      <c r="D1179" s="42"/>
      <c r="E1179" s="43"/>
      <c r="F1179" s="44"/>
      <c r="G1179" s="1" t="str">
        <f>IFERROR(IF(ventas_b_mes684[[#This Row],[CUIT]]="","-",VLOOKUP(ventas_b_mes684[[#This Row],[CUIT]],Lista_CUIT[#All],2,0)),"CUIT NO CARGADO")</f>
        <v>-</v>
      </c>
      <c r="H1179" s="64"/>
      <c r="I1179" s="64">
        <f>ventas_b_mes684[[#This Row],[IMPORTE NETO]]*0.21</f>
        <v>0</v>
      </c>
      <c r="J1179" s="64"/>
      <c r="K1179" s="64"/>
      <c r="L1179" s="64">
        <f>SUM(ventas_b_mes684[[#This Row],[IMPORTE NETO]:[EXENTO]])</f>
        <v>0</v>
      </c>
      <c r="M1179" s="59"/>
    </row>
    <row r="1180" spans="2:13" x14ac:dyDescent="0.25">
      <c r="B1180" s="40"/>
      <c r="C1180" s="41"/>
      <c r="D1180" s="42"/>
      <c r="E1180" s="43"/>
      <c r="F1180" s="44"/>
      <c r="G1180" s="1" t="str">
        <f>IFERROR(IF(ventas_b_mes684[[#This Row],[CUIT]]="","-",VLOOKUP(ventas_b_mes684[[#This Row],[CUIT]],Lista_CUIT[#All],2,0)),"CUIT NO CARGADO")</f>
        <v>-</v>
      </c>
      <c r="H1180" s="64"/>
      <c r="I1180" s="64">
        <f>ventas_b_mes684[[#This Row],[IMPORTE NETO]]*0.21</f>
        <v>0</v>
      </c>
      <c r="J1180" s="64"/>
      <c r="K1180" s="64"/>
      <c r="L1180" s="64">
        <f>SUM(ventas_b_mes684[[#This Row],[IMPORTE NETO]:[EXENTO]])</f>
        <v>0</v>
      </c>
      <c r="M1180" s="59"/>
    </row>
    <row r="1181" spans="2:13" x14ac:dyDescent="0.25">
      <c r="B1181" s="40"/>
      <c r="C1181" s="41"/>
      <c r="D1181" s="42"/>
      <c r="E1181" s="43"/>
      <c r="F1181" s="44"/>
      <c r="G1181" s="1" t="str">
        <f>IFERROR(IF(ventas_b_mes684[[#This Row],[CUIT]]="","-",VLOOKUP(ventas_b_mes684[[#This Row],[CUIT]],Lista_CUIT[#All],2,0)),"CUIT NO CARGADO")</f>
        <v>-</v>
      </c>
      <c r="H1181" s="64"/>
      <c r="I1181" s="64">
        <f>ventas_b_mes684[[#This Row],[IMPORTE NETO]]*0.21</f>
        <v>0</v>
      </c>
      <c r="J1181" s="64"/>
      <c r="K1181" s="64"/>
      <c r="L1181" s="64">
        <f>SUM(ventas_b_mes684[[#This Row],[IMPORTE NETO]:[EXENTO]])</f>
        <v>0</v>
      </c>
      <c r="M1181" s="59"/>
    </row>
    <row r="1182" spans="2:13" x14ac:dyDescent="0.25">
      <c r="B1182" s="40"/>
      <c r="C1182" s="41"/>
      <c r="D1182" s="42"/>
      <c r="E1182" s="43"/>
      <c r="F1182" s="44"/>
      <c r="G1182" s="1" t="str">
        <f>IFERROR(IF(ventas_b_mes684[[#This Row],[CUIT]]="","-",VLOOKUP(ventas_b_mes684[[#This Row],[CUIT]],Lista_CUIT[#All],2,0)),"CUIT NO CARGADO")</f>
        <v>-</v>
      </c>
      <c r="H1182" s="64"/>
      <c r="I1182" s="64">
        <f>ventas_b_mes684[[#This Row],[IMPORTE NETO]]*0.21</f>
        <v>0</v>
      </c>
      <c r="J1182" s="64"/>
      <c r="K1182" s="64"/>
      <c r="L1182" s="64">
        <f>SUM(ventas_b_mes684[[#This Row],[IMPORTE NETO]:[EXENTO]])</f>
        <v>0</v>
      </c>
      <c r="M1182" s="59"/>
    </row>
    <row r="1183" spans="2:13" x14ac:dyDescent="0.25">
      <c r="B1183" s="40"/>
      <c r="C1183" s="41"/>
      <c r="D1183" s="42"/>
      <c r="E1183" s="43"/>
      <c r="F1183" s="44"/>
      <c r="G1183" s="1" t="str">
        <f>IFERROR(IF(ventas_b_mes684[[#This Row],[CUIT]]="","-",VLOOKUP(ventas_b_mes684[[#This Row],[CUIT]],Lista_CUIT[#All],2,0)),"CUIT NO CARGADO")</f>
        <v>-</v>
      </c>
      <c r="H1183" s="64"/>
      <c r="I1183" s="64">
        <f>ventas_b_mes684[[#This Row],[IMPORTE NETO]]*0.21</f>
        <v>0</v>
      </c>
      <c r="J1183" s="64"/>
      <c r="K1183" s="64"/>
      <c r="L1183" s="64">
        <f>SUM(ventas_b_mes684[[#This Row],[IMPORTE NETO]:[EXENTO]])</f>
        <v>0</v>
      </c>
      <c r="M1183" s="59"/>
    </row>
    <row r="1184" spans="2:13" x14ac:dyDescent="0.25">
      <c r="B1184" s="40"/>
      <c r="C1184" s="41"/>
      <c r="D1184" s="42"/>
      <c r="E1184" s="43"/>
      <c r="F1184" s="44"/>
      <c r="G1184" s="1" t="str">
        <f>IFERROR(IF(ventas_b_mes684[[#This Row],[CUIT]]="","-",VLOOKUP(ventas_b_mes684[[#This Row],[CUIT]],Lista_CUIT[#All],2,0)),"CUIT NO CARGADO")</f>
        <v>-</v>
      </c>
      <c r="H1184" s="64"/>
      <c r="I1184" s="64">
        <f>ventas_b_mes684[[#This Row],[IMPORTE NETO]]*0.21</f>
        <v>0</v>
      </c>
      <c r="J1184" s="64"/>
      <c r="K1184" s="64"/>
      <c r="L1184" s="64">
        <f>SUM(ventas_b_mes684[[#This Row],[IMPORTE NETO]:[EXENTO]])</f>
        <v>0</v>
      </c>
      <c r="M1184" s="59"/>
    </row>
    <row r="1185" spans="2:13" x14ac:dyDescent="0.25">
      <c r="B1185" s="40"/>
      <c r="C1185" s="41"/>
      <c r="D1185" s="42"/>
      <c r="E1185" s="43"/>
      <c r="F1185" s="44"/>
      <c r="G1185" s="1" t="str">
        <f>IFERROR(IF(ventas_b_mes684[[#This Row],[CUIT]]="","-",VLOOKUP(ventas_b_mes684[[#This Row],[CUIT]],Lista_CUIT[#All],2,0)),"CUIT NO CARGADO")</f>
        <v>-</v>
      </c>
      <c r="H1185" s="64"/>
      <c r="I1185" s="64">
        <f>ventas_b_mes684[[#This Row],[IMPORTE NETO]]*0.21</f>
        <v>0</v>
      </c>
      <c r="J1185" s="64"/>
      <c r="K1185" s="64"/>
      <c r="L1185" s="64">
        <f>SUM(ventas_b_mes684[[#This Row],[IMPORTE NETO]:[EXENTO]])</f>
        <v>0</v>
      </c>
      <c r="M1185" s="59"/>
    </row>
    <row r="1186" spans="2:13" x14ac:dyDescent="0.25">
      <c r="B1186" s="40"/>
      <c r="C1186" s="41"/>
      <c r="D1186" s="42"/>
      <c r="E1186" s="43"/>
      <c r="F1186" s="44"/>
      <c r="G1186" s="1" t="str">
        <f>IFERROR(IF(ventas_b_mes684[[#This Row],[CUIT]]="","-",VLOOKUP(ventas_b_mes684[[#This Row],[CUIT]],Lista_CUIT[#All],2,0)),"CUIT NO CARGADO")</f>
        <v>-</v>
      </c>
      <c r="H1186" s="64"/>
      <c r="I1186" s="64">
        <f>ventas_b_mes684[[#This Row],[IMPORTE NETO]]*0.21</f>
        <v>0</v>
      </c>
      <c r="J1186" s="64"/>
      <c r="K1186" s="64"/>
      <c r="L1186" s="64">
        <f>SUM(ventas_b_mes684[[#This Row],[IMPORTE NETO]:[EXENTO]])</f>
        <v>0</v>
      </c>
      <c r="M1186" s="59"/>
    </row>
    <row r="1187" spans="2:13" x14ac:dyDescent="0.25">
      <c r="B1187" s="40"/>
      <c r="C1187" s="41"/>
      <c r="D1187" s="42"/>
      <c r="E1187" s="43"/>
      <c r="F1187" s="44"/>
      <c r="G1187" s="1" t="str">
        <f>IFERROR(IF(ventas_b_mes684[[#This Row],[CUIT]]="","-",VLOOKUP(ventas_b_mes684[[#This Row],[CUIT]],Lista_CUIT[#All],2,0)),"CUIT NO CARGADO")</f>
        <v>-</v>
      </c>
      <c r="H1187" s="64"/>
      <c r="I1187" s="64">
        <f>ventas_b_mes684[[#This Row],[IMPORTE NETO]]*0.21</f>
        <v>0</v>
      </c>
      <c r="J1187" s="64"/>
      <c r="K1187" s="64"/>
      <c r="L1187" s="64">
        <f>SUM(ventas_b_mes684[[#This Row],[IMPORTE NETO]:[EXENTO]])</f>
        <v>0</v>
      </c>
      <c r="M1187" s="59"/>
    </row>
    <row r="1188" spans="2:13" x14ac:dyDescent="0.25">
      <c r="B1188" s="40"/>
      <c r="C1188" s="41"/>
      <c r="D1188" s="42"/>
      <c r="E1188" s="43"/>
      <c r="F1188" s="44"/>
      <c r="G1188" s="1" t="str">
        <f>IFERROR(IF(ventas_b_mes684[[#This Row],[CUIT]]="","-",VLOOKUP(ventas_b_mes684[[#This Row],[CUIT]],Lista_CUIT[#All],2,0)),"CUIT NO CARGADO")</f>
        <v>-</v>
      </c>
      <c r="H1188" s="64"/>
      <c r="I1188" s="64">
        <f>ventas_b_mes684[[#This Row],[IMPORTE NETO]]*0.21</f>
        <v>0</v>
      </c>
      <c r="J1188" s="64"/>
      <c r="K1188" s="64"/>
      <c r="L1188" s="64">
        <f>SUM(ventas_b_mes684[[#This Row],[IMPORTE NETO]:[EXENTO]])</f>
        <v>0</v>
      </c>
      <c r="M1188" s="59"/>
    </row>
    <row r="1189" spans="2:13" x14ac:dyDescent="0.25">
      <c r="B1189" s="40"/>
      <c r="C1189" s="41"/>
      <c r="D1189" s="42"/>
      <c r="E1189" s="43"/>
      <c r="F1189" s="44"/>
      <c r="G1189" s="1" t="str">
        <f>IFERROR(IF(ventas_b_mes684[[#This Row],[CUIT]]="","-",VLOOKUP(ventas_b_mes684[[#This Row],[CUIT]],Lista_CUIT[#All],2,0)),"CUIT NO CARGADO")</f>
        <v>-</v>
      </c>
      <c r="H1189" s="64"/>
      <c r="I1189" s="64">
        <f>ventas_b_mes684[[#This Row],[IMPORTE NETO]]*0.21</f>
        <v>0</v>
      </c>
      <c r="J1189" s="64"/>
      <c r="K1189" s="64"/>
      <c r="L1189" s="64">
        <f>SUM(ventas_b_mes684[[#This Row],[IMPORTE NETO]:[EXENTO]])</f>
        <v>0</v>
      </c>
      <c r="M1189" s="59"/>
    </row>
    <row r="1190" spans="2:13" x14ac:dyDescent="0.25">
      <c r="B1190" s="40"/>
      <c r="C1190" s="41"/>
      <c r="D1190" s="42"/>
      <c r="E1190" s="43"/>
      <c r="F1190" s="44"/>
      <c r="G1190" s="1" t="str">
        <f>IFERROR(IF(ventas_b_mes684[[#This Row],[CUIT]]="","-",VLOOKUP(ventas_b_mes684[[#This Row],[CUIT]],Lista_CUIT[#All],2,0)),"CUIT NO CARGADO")</f>
        <v>-</v>
      </c>
      <c r="H1190" s="64"/>
      <c r="I1190" s="64">
        <f>ventas_b_mes684[[#This Row],[IMPORTE NETO]]*0.21</f>
        <v>0</v>
      </c>
      <c r="J1190" s="64"/>
      <c r="K1190" s="64"/>
      <c r="L1190" s="64">
        <f>SUM(ventas_b_mes684[[#This Row],[IMPORTE NETO]:[EXENTO]])</f>
        <v>0</v>
      </c>
      <c r="M1190" s="59"/>
    </row>
    <row r="1191" spans="2:13" x14ac:dyDescent="0.25">
      <c r="B1191" s="40"/>
      <c r="C1191" s="41"/>
      <c r="D1191" s="42"/>
      <c r="E1191" s="43"/>
      <c r="F1191" s="44"/>
      <c r="G1191" s="1" t="str">
        <f>IFERROR(IF(ventas_b_mes684[[#This Row],[CUIT]]="","-",VLOOKUP(ventas_b_mes684[[#This Row],[CUIT]],Lista_CUIT[#All],2,0)),"CUIT NO CARGADO")</f>
        <v>-</v>
      </c>
      <c r="H1191" s="64"/>
      <c r="I1191" s="64">
        <f>ventas_b_mes684[[#This Row],[IMPORTE NETO]]*0.21</f>
        <v>0</v>
      </c>
      <c r="J1191" s="64"/>
      <c r="K1191" s="64"/>
      <c r="L1191" s="64">
        <f>SUM(ventas_b_mes684[[#This Row],[IMPORTE NETO]:[EXENTO]])</f>
        <v>0</v>
      </c>
      <c r="M1191" s="59"/>
    </row>
    <row r="1192" spans="2:13" x14ac:dyDescent="0.25">
      <c r="B1192" s="40"/>
      <c r="C1192" s="41"/>
      <c r="D1192" s="42"/>
      <c r="E1192" s="43"/>
      <c r="F1192" s="44"/>
      <c r="G1192" s="1" t="str">
        <f>IFERROR(IF(ventas_b_mes684[[#This Row],[CUIT]]="","-",VLOOKUP(ventas_b_mes684[[#This Row],[CUIT]],Lista_CUIT[#All],2,0)),"CUIT NO CARGADO")</f>
        <v>-</v>
      </c>
      <c r="H1192" s="64"/>
      <c r="I1192" s="64">
        <f>ventas_b_mes684[[#This Row],[IMPORTE NETO]]*0.21</f>
        <v>0</v>
      </c>
      <c r="J1192" s="64"/>
      <c r="K1192" s="64"/>
      <c r="L1192" s="64">
        <f>SUM(ventas_b_mes684[[#This Row],[IMPORTE NETO]:[EXENTO]])</f>
        <v>0</v>
      </c>
      <c r="M1192" s="59"/>
    </row>
    <row r="1193" spans="2:13" x14ac:dyDescent="0.25">
      <c r="B1193" s="40"/>
      <c r="C1193" s="41"/>
      <c r="D1193" s="42"/>
      <c r="E1193" s="43"/>
      <c r="F1193" s="44"/>
      <c r="G1193" s="1" t="str">
        <f>IFERROR(IF(ventas_b_mes684[[#This Row],[CUIT]]="","-",VLOOKUP(ventas_b_mes684[[#This Row],[CUIT]],Lista_CUIT[#All],2,0)),"CUIT NO CARGADO")</f>
        <v>-</v>
      </c>
      <c r="H1193" s="64"/>
      <c r="I1193" s="64">
        <f>ventas_b_mes684[[#This Row],[IMPORTE NETO]]*0.21</f>
        <v>0</v>
      </c>
      <c r="J1193" s="64"/>
      <c r="K1193" s="64"/>
      <c r="L1193" s="64">
        <f>SUM(ventas_b_mes684[[#This Row],[IMPORTE NETO]:[EXENTO]])</f>
        <v>0</v>
      </c>
      <c r="M1193" s="59"/>
    </row>
    <row r="1194" spans="2:13" x14ac:dyDescent="0.25">
      <c r="B1194" s="40"/>
      <c r="C1194" s="41"/>
      <c r="D1194" s="42"/>
      <c r="E1194" s="43"/>
      <c r="F1194" s="44"/>
      <c r="G1194" s="1" t="str">
        <f>IFERROR(IF(ventas_b_mes684[[#This Row],[CUIT]]="","-",VLOOKUP(ventas_b_mes684[[#This Row],[CUIT]],Lista_CUIT[#All],2,0)),"CUIT NO CARGADO")</f>
        <v>-</v>
      </c>
      <c r="H1194" s="64"/>
      <c r="I1194" s="64">
        <f>ventas_b_mes684[[#This Row],[IMPORTE NETO]]*0.21</f>
        <v>0</v>
      </c>
      <c r="J1194" s="64"/>
      <c r="K1194" s="64"/>
      <c r="L1194" s="64">
        <f>SUM(ventas_b_mes684[[#This Row],[IMPORTE NETO]:[EXENTO]])</f>
        <v>0</v>
      </c>
      <c r="M1194" s="59"/>
    </row>
    <row r="1195" spans="2:13" x14ac:dyDescent="0.25">
      <c r="B1195" s="40"/>
      <c r="C1195" s="41"/>
      <c r="D1195" s="42"/>
      <c r="E1195" s="43"/>
      <c r="F1195" s="44"/>
      <c r="G1195" s="1" t="str">
        <f>IFERROR(IF(ventas_b_mes684[[#This Row],[CUIT]]="","-",VLOOKUP(ventas_b_mes684[[#This Row],[CUIT]],Lista_CUIT[#All],2,0)),"CUIT NO CARGADO")</f>
        <v>-</v>
      </c>
      <c r="H1195" s="64"/>
      <c r="I1195" s="64">
        <f>ventas_b_mes684[[#This Row],[IMPORTE NETO]]*0.21</f>
        <v>0</v>
      </c>
      <c r="J1195" s="64"/>
      <c r="K1195" s="64"/>
      <c r="L1195" s="64">
        <f>SUM(ventas_b_mes684[[#This Row],[IMPORTE NETO]:[EXENTO]])</f>
        <v>0</v>
      </c>
      <c r="M1195" s="59"/>
    </row>
    <row r="1196" spans="2:13" x14ac:dyDescent="0.25">
      <c r="B1196" s="40"/>
      <c r="C1196" s="41"/>
      <c r="D1196" s="42"/>
      <c r="E1196" s="43"/>
      <c r="F1196" s="44"/>
      <c r="G1196" s="1" t="str">
        <f>IFERROR(IF(ventas_b_mes684[[#This Row],[CUIT]]="","-",VLOOKUP(ventas_b_mes684[[#This Row],[CUIT]],Lista_CUIT[#All],2,0)),"CUIT NO CARGADO")</f>
        <v>-</v>
      </c>
      <c r="H1196" s="64"/>
      <c r="I1196" s="64">
        <f>ventas_b_mes684[[#This Row],[IMPORTE NETO]]*0.21</f>
        <v>0</v>
      </c>
      <c r="J1196" s="64"/>
      <c r="K1196" s="64"/>
      <c r="L1196" s="64">
        <f>SUM(ventas_b_mes684[[#This Row],[IMPORTE NETO]:[EXENTO]])</f>
        <v>0</v>
      </c>
      <c r="M1196" s="59"/>
    </row>
    <row r="1197" spans="2:13" x14ac:dyDescent="0.25">
      <c r="B1197" s="40"/>
      <c r="C1197" s="41"/>
      <c r="D1197" s="42"/>
      <c r="E1197" s="43"/>
      <c r="F1197" s="44"/>
      <c r="G1197" s="1" t="str">
        <f>IFERROR(IF(ventas_b_mes684[[#This Row],[CUIT]]="","-",VLOOKUP(ventas_b_mes684[[#This Row],[CUIT]],Lista_CUIT[#All],2,0)),"CUIT NO CARGADO")</f>
        <v>-</v>
      </c>
      <c r="H1197" s="64"/>
      <c r="I1197" s="64">
        <f>ventas_b_mes684[[#This Row],[IMPORTE NETO]]*0.21</f>
        <v>0</v>
      </c>
      <c r="J1197" s="64"/>
      <c r="K1197" s="64"/>
      <c r="L1197" s="64">
        <f>SUM(ventas_b_mes684[[#This Row],[IMPORTE NETO]:[EXENTO]])</f>
        <v>0</v>
      </c>
      <c r="M1197" s="59"/>
    </row>
    <row r="1198" spans="2:13" x14ac:dyDescent="0.25">
      <c r="B1198" s="40"/>
      <c r="C1198" s="41"/>
      <c r="D1198" s="42"/>
      <c r="E1198" s="43"/>
      <c r="F1198" s="44"/>
      <c r="G1198" s="1" t="str">
        <f>IFERROR(IF(ventas_b_mes684[[#This Row],[CUIT]]="","-",VLOOKUP(ventas_b_mes684[[#This Row],[CUIT]],Lista_CUIT[#All],2,0)),"CUIT NO CARGADO")</f>
        <v>-</v>
      </c>
      <c r="H1198" s="64"/>
      <c r="I1198" s="64">
        <f>ventas_b_mes684[[#This Row],[IMPORTE NETO]]*0.21</f>
        <v>0</v>
      </c>
      <c r="J1198" s="64"/>
      <c r="K1198" s="64"/>
      <c r="L1198" s="64">
        <f>SUM(ventas_b_mes684[[#This Row],[IMPORTE NETO]:[EXENTO]])</f>
        <v>0</v>
      </c>
      <c r="M1198" s="59"/>
    </row>
    <row r="1199" spans="2:13" x14ac:dyDescent="0.25">
      <c r="B1199" s="40"/>
      <c r="C1199" s="41"/>
      <c r="D1199" s="42"/>
      <c r="E1199" s="43"/>
      <c r="F1199" s="44"/>
      <c r="G1199" s="1" t="str">
        <f>IFERROR(IF(ventas_b_mes684[[#This Row],[CUIT]]="","-",VLOOKUP(ventas_b_mes684[[#This Row],[CUIT]],Lista_CUIT[#All],2,0)),"CUIT NO CARGADO")</f>
        <v>-</v>
      </c>
      <c r="H1199" s="64"/>
      <c r="I1199" s="64">
        <f>ventas_b_mes684[[#This Row],[IMPORTE NETO]]*0.21</f>
        <v>0</v>
      </c>
      <c r="J1199" s="64"/>
      <c r="K1199" s="64"/>
      <c r="L1199" s="64">
        <f>SUM(ventas_b_mes684[[#This Row],[IMPORTE NETO]:[EXENTO]])</f>
        <v>0</v>
      </c>
      <c r="M1199" s="59"/>
    </row>
    <row r="1200" spans="2:13" x14ac:dyDescent="0.25">
      <c r="B1200" s="40"/>
      <c r="C1200" s="41"/>
      <c r="D1200" s="42"/>
      <c r="E1200" s="43"/>
      <c r="F1200" s="44"/>
      <c r="G1200" s="1" t="str">
        <f>IFERROR(IF(ventas_b_mes684[[#This Row],[CUIT]]="","-",VLOOKUP(ventas_b_mes684[[#This Row],[CUIT]],Lista_CUIT[#All],2,0)),"CUIT NO CARGADO")</f>
        <v>-</v>
      </c>
      <c r="H1200" s="64"/>
      <c r="I1200" s="64">
        <f>ventas_b_mes684[[#This Row],[IMPORTE NETO]]*0.21</f>
        <v>0</v>
      </c>
      <c r="J1200" s="64"/>
      <c r="K1200" s="64"/>
      <c r="L1200" s="64">
        <f>SUM(ventas_b_mes684[[#This Row],[IMPORTE NETO]:[EXENTO]])</f>
        <v>0</v>
      </c>
      <c r="M1200" s="59"/>
    </row>
    <row r="1201" spans="2:13" x14ac:dyDescent="0.25">
      <c r="B1201" s="40"/>
      <c r="C1201" s="41"/>
      <c r="D1201" s="42"/>
      <c r="E1201" s="43"/>
      <c r="F1201" s="44"/>
      <c r="G1201" s="1" t="str">
        <f>IFERROR(IF(ventas_b_mes684[[#This Row],[CUIT]]="","-",VLOOKUP(ventas_b_mes684[[#This Row],[CUIT]],Lista_CUIT[#All],2,0)),"CUIT NO CARGADO")</f>
        <v>-</v>
      </c>
      <c r="H1201" s="64"/>
      <c r="I1201" s="64">
        <f>ventas_b_mes684[[#This Row],[IMPORTE NETO]]*0.21</f>
        <v>0</v>
      </c>
      <c r="J1201" s="64"/>
      <c r="K1201" s="64"/>
      <c r="L1201" s="64">
        <f>SUM(ventas_b_mes684[[#This Row],[IMPORTE NETO]:[EXENTO]])</f>
        <v>0</v>
      </c>
      <c r="M1201" s="59"/>
    </row>
    <row r="1202" spans="2:13" x14ac:dyDescent="0.25">
      <c r="B1202" s="40"/>
      <c r="C1202" s="41"/>
      <c r="D1202" s="42"/>
      <c r="E1202" s="43"/>
      <c r="F1202" s="44"/>
      <c r="G1202" s="1" t="str">
        <f>IFERROR(IF(ventas_b_mes684[[#This Row],[CUIT]]="","-",VLOOKUP(ventas_b_mes684[[#This Row],[CUIT]],Lista_CUIT[#All],2,0)),"CUIT NO CARGADO")</f>
        <v>-</v>
      </c>
      <c r="H1202" s="64"/>
      <c r="I1202" s="64">
        <f>ventas_b_mes684[[#This Row],[IMPORTE NETO]]*0.21</f>
        <v>0</v>
      </c>
      <c r="J1202" s="64"/>
      <c r="K1202" s="64"/>
      <c r="L1202" s="64">
        <f>SUM(ventas_b_mes684[[#This Row],[IMPORTE NETO]:[EXENTO]])</f>
        <v>0</v>
      </c>
      <c r="M1202" s="59"/>
    </row>
    <row r="1203" spans="2:13" x14ac:dyDescent="0.25">
      <c r="B1203" s="40"/>
      <c r="C1203" s="41"/>
      <c r="D1203" s="42"/>
      <c r="E1203" s="43"/>
      <c r="F1203" s="44"/>
      <c r="G1203" s="1" t="str">
        <f>IFERROR(IF(ventas_b_mes684[[#This Row],[CUIT]]="","-",VLOOKUP(ventas_b_mes684[[#This Row],[CUIT]],Lista_CUIT[#All],2,0)),"CUIT NO CARGADO")</f>
        <v>-</v>
      </c>
      <c r="H1203" s="64"/>
      <c r="I1203" s="64">
        <f>ventas_b_mes684[[#This Row],[IMPORTE NETO]]*0.21</f>
        <v>0</v>
      </c>
      <c r="J1203" s="64"/>
      <c r="K1203" s="64"/>
      <c r="L1203" s="64">
        <f>SUM(ventas_b_mes684[[#This Row],[IMPORTE NETO]:[EXENTO]])</f>
        <v>0</v>
      </c>
      <c r="M1203" s="59"/>
    </row>
    <row r="1204" spans="2:13" x14ac:dyDescent="0.25">
      <c r="B1204" s="40"/>
      <c r="C1204" s="41"/>
      <c r="D1204" s="42"/>
      <c r="E1204" s="43"/>
      <c r="F1204" s="44"/>
      <c r="G1204" s="1" t="str">
        <f>IFERROR(IF(ventas_b_mes684[[#This Row],[CUIT]]="","-",VLOOKUP(ventas_b_mes684[[#This Row],[CUIT]],Lista_CUIT[#All],2,0)),"CUIT NO CARGADO")</f>
        <v>-</v>
      </c>
      <c r="H1204" s="64"/>
      <c r="I1204" s="64">
        <f>ventas_b_mes684[[#This Row],[IMPORTE NETO]]*0.21</f>
        <v>0</v>
      </c>
      <c r="J1204" s="64"/>
      <c r="K1204" s="64"/>
      <c r="L1204" s="64">
        <f>SUM(ventas_b_mes684[[#This Row],[IMPORTE NETO]:[EXENTO]])</f>
        <v>0</v>
      </c>
      <c r="M1204" s="59"/>
    </row>
    <row r="1205" spans="2:13" x14ac:dyDescent="0.25">
      <c r="B1205" s="40"/>
      <c r="C1205" s="41"/>
      <c r="D1205" s="42"/>
      <c r="E1205" s="43"/>
      <c r="F1205" s="44"/>
      <c r="G1205" s="1" t="str">
        <f>IFERROR(IF(ventas_b_mes684[[#This Row],[CUIT]]="","-",VLOOKUP(ventas_b_mes684[[#This Row],[CUIT]],Lista_CUIT[#All],2,0)),"CUIT NO CARGADO")</f>
        <v>-</v>
      </c>
      <c r="H1205" s="64"/>
      <c r="I1205" s="64">
        <f>ventas_b_mes684[[#This Row],[IMPORTE NETO]]*0.21</f>
        <v>0</v>
      </c>
      <c r="J1205" s="64"/>
      <c r="K1205" s="64"/>
      <c r="L1205" s="64">
        <f>SUM(ventas_b_mes684[[#This Row],[IMPORTE NETO]:[EXENTO]])</f>
        <v>0</v>
      </c>
      <c r="M1205" s="59"/>
    </row>
    <row r="1206" spans="2:13" x14ac:dyDescent="0.25">
      <c r="B1206" s="40"/>
      <c r="C1206" s="41"/>
      <c r="D1206" s="42"/>
      <c r="E1206" s="43"/>
      <c r="F1206" s="44"/>
      <c r="G1206" s="1" t="str">
        <f>IFERROR(IF(ventas_b_mes684[[#This Row],[CUIT]]="","-",VLOOKUP(ventas_b_mes684[[#This Row],[CUIT]],Lista_CUIT[#All],2,0)),"CUIT NO CARGADO")</f>
        <v>-</v>
      </c>
      <c r="H1206" s="64"/>
      <c r="I1206" s="64">
        <f>ventas_b_mes684[[#This Row],[IMPORTE NETO]]*0.21</f>
        <v>0</v>
      </c>
      <c r="J1206" s="64"/>
      <c r="K1206" s="64"/>
      <c r="L1206" s="64">
        <f>SUM(ventas_b_mes684[[#This Row],[IMPORTE NETO]:[EXENTO]])</f>
        <v>0</v>
      </c>
      <c r="M1206" s="59"/>
    </row>
    <row r="1207" spans="2:13" x14ac:dyDescent="0.25">
      <c r="B1207" s="40"/>
      <c r="C1207" s="41"/>
      <c r="D1207" s="42"/>
      <c r="E1207" s="43"/>
      <c r="F1207" s="44"/>
      <c r="G1207" s="1" t="str">
        <f>IFERROR(IF(ventas_b_mes684[[#This Row],[CUIT]]="","-",VLOOKUP(ventas_b_mes684[[#This Row],[CUIT]],Lista_CUIT[#All],2,0)),"CUIT NO CARGADO")</f>
        <v>-</v>
      </c>
      <c r="H1207" s="64"/>
      <c r="I1207" s="64">
        <f>ventas_b_mes684[[#This Row],[IMPORTE NETO]]*0.21</f>
        <v>0</v>
      </c>
      <c r="J1207" s="64"/>
      <c r="K1207" s="64"/>
      <c r="L1207" s="64">
        <f>SUM(ventas_b_mes684[[#This Row],[IMPORTE NETO]:[EXENTO]])</f>
        <v>0</v>
      </c>
      <c r="M1207" s="59"/>
    </row>
    <row r="1208" spans="2:13" x14ac:dyDescent="0.25">
      <c r="B1208" s="40"/>
      <c r="C1208" s="41"/>
      <c r="D1208" s="42"/>
      <c r="E1208" s="43"/>
      <c r="F1208" s="44"/>
      <c r="G1208" s="1" t="str">
        <f>IFERROR(IF(ventas_b_mes684[[#This Row],[CUIT]]="","-",VLOOKUP(ventas_b_mes684[[#This Row],[CUIT]],Lista_CUIT[#All],2,0)),"CUIT NO CARGADO")</f>
        <v>-</v>
      </c>
      <c r="H1208" s="64"/>
      <c r="I1208" s="64">
        <f>ventas_b_mes684[[#This Row],[IMPORTE NETO]]*0.21</f>
        <v>0</v>
      </c>
      <c r="J1208" s="64"/>
      <c r="K1208" s="64"/>
      <c r="L1208" s="64">
        <f>SUM(ventas_b_mes684[[#This Row],[IMPORTE NETO]:[EXENTO]])</f>
        <v>0</v>
      </c>
      <c r="M1208" s="59"/>
    </row>
    <row r="1209" spans="2:13" x14ac:dyDescent="0.25">
      <c r="B1209" s="40"/>
      <c r="C1209" s="41"/>
      <c r="D1209" s="42"/>
      <c r="E1209" s="43"/>
      <c r="F1209" s="44"/>
      <c r="G1209" s="1" t="str">
        <f>IFERROR(IF(ventas_b_mes684[[#This Row],[CUIT]]="","-",VLOOKUP(ventas_b_mes684[[#This Row],[CUIT]],Lista_CUIT[#All],2,0)),"CUIT NO CARGADO")</f>
        <v>-</v>
      </c>
      <c r="H1209" s="64"/>
      <c r="I1209" s="64">
        <f>ventas_b_mes684[[#This Row],[IMPORTE NETO]]*0.21</f>
        <v>0</v>
      </c>
      <c r="J1209" s="64"/>
      <c r="K1209" s="64"/>
      <c r="L1209" s="64">
        <f>SUM(ventas_b_mes684[[#This Row],[IMPORTE NETO]:[EXENTO]])</f>
        <v>0</v>
      </c>
      <c r="M1209" s="59"/>
    </row>
    <row r="1210" spans="2:13" x14ac:dyDescent="0.25">
      <c r="B1210" s="40"/>
      <c r="C1210" s="41"/>
      <c r="D1210" s="42"/>
      <c r="E1210" s="43"/>
      <c r="F1210" s="44"/>
      <c r="G1210" s="1" t="str">
        <f>IFERROR(IF(ventas_b_mes684[[#This Row],[CUIT]]="","-",VLOOKUP(ventas_b_mes684[[#This Row],[CUIT]],Lista_CUIT[#All],2,0)),"CUIT NO CARGADO")</f>
        <v>-</v>
      </c>
      <c r="H1210" s="64"/>
      <c r="I1210" s="64">
        <f>ventas_b_mes684[[#This Row],[IMPORTE NETO]]*0.21</f>
        <v>0</v>
      </c>
      <c r="J1210" s="64"/>
      <c r="K1210" s="64"/>
      <c r="L1210" s="64">
        <f>SUM(ventas_b_mes684[[#This Row],[IMPORTE NETO]:[EXENTO]])</f>
        <v>0</v>
      </c>
      <c r="M1210" s="59"/>
    </row>
    <row r="1211" spans="2:13" x14ac:dyDescent="0.25">
      <c r="B1211" s="40"/>
      <c r="C1211" s="41"/>
      <c r="D1211" s="42"/>
      <c r="E1211" s="43"/>
      <c r="F1211" s="44"/>
      <c r="G1211" s="1" t="str">
        <f>IFERROR(IF(ventas_b_mes684[[#This Row],[CUIT]]="","-",VLOOKUP(ventas_b_mes684[[#This Row],[CUIT]],Lista_CUIT[#All],2,0)),"CUIT NO CARGADO")</f>
        <v>-</v>
      </c>
      <c r="H1211" s="64"/>
      <c r="I1211" s="64">
        <f>ventas_b_mes684[[#This Row],[IMPORTE NETO]]*0.21</f>
        <v>0</v>
      </c>
      <c r="J1211" s="64"/>
      <c r="K1211" s="64"/>
      <c r="L1211" s="64">
        <f>SUM(ventas_b_mes684[[#This Row],[IMPORTE NETO]:[EXENTO]])</f>
        <v>0</v>
      </c>
      <c r="M1211" s="59"/>
    </row>
    <row r="1212" spans="2:13" x14ac:dyDescent="0.25">
      <c r="B1212" s="40"/>
      <c r="C1212" s="41"/>
      <c r="D1212" s="42"/>
      <c r="E1212" s="43"/>
      <c r="F1212" s="44"/>
      <c r="G1212" s="1" t="str">
        <f>IFERROR(IF(ventas_b_mes684[[#This Row],[CUIT]]="","-",VLOOKUP(ventas_b_mes684[[#This Row],[CUIT]],Lista_CUIT[#All],2,0)),"CUIT NO CARGADO")</f>
        <v>-</v>
      </c>
      <c r="H1212" s="64"/>
      <c r="I1212" s="64">
        <f>ventas_b_mes684[[#This Row],[IMPORTE NETO]]*0.21</f>
        <v>0</v>
      </c>
      <c r="J1212" s="64"/>
      <c r="K1212" s="64"/>
      <c r="L1212" s="64">
        <f>SUM(ventas_b_mes684[[#This Row],[IMPORTE NETO]:[EXENTO]])</f>
        <v>0</v>
      </c>
      <c r="M1212" s="59"/>
    </row>
    <row r="1213" spans="2:13" x14ac:dyDescent="0.25">
      <c r="B1213" s="40"/>
      <c r="C1213" s="41"/>
      <c r="D1213" s="42"/>
      <c r="E1213" s="43"/>
      <c r="F1213" s="44"/>
      <c r="G1213" s="1" t="str">
        <f>IFERROR(IF(ventas_b_mes684[[#This Row],[CUIT]]="","-",VLOOKUP(ventas_b_mes684[[#This Row],[CUIT]],Lista_CUIT[#All],2,0)),"CUIT NO CARGADO")</f>
        <v>-</v>
      </c>
      <c r="H1213" s="64"/>
      <c r="I1213" s="64">
        <f>ventas_b_mes684[[#This Row],[IMPORTE NETO]]*0.21</f>
        <v>0</v>
      </c>
      <c r="J1213" s="64"/>
      <c r="K1213" s="64"/>
      <c r="L1213" s="64">
        <f>SUM(ventas_b_mes684[[#This Row],[IMPORTE NETO]:[EXENTO]])</f>
        <v>0</v>
      </c>
      <c r="M1213" s="59"/>
    </row>
    <row r="1214" spans="2:13" x14ac:dyDescent="0.25">
      <c r="B1214" s="40"/>
      <c r="C1214" s="41"/>
      <c r="D1214" s="42"/>
      <c r="E1214" s="43"/>
      <c r="F1214" s="44"/>
      <c r="G1214" s="1" t="str">
        <f>IFERROR(IF(ventas_b_mes684[[#This Row],[CUIT]]="","-",VLOOKUP(ventas_b_mes684[[#This Row],[CUIT]],Lista_CUIT[#All],2,0)),"CUIT NO CARGADO")</f>
        <v>-</v>
      </c>
      <c r="H1214" s="64"/>
      <c r="I1214" s="64">
        <f>ventas_b_mes684[[#This Row],[IMPORTE NETO]]*0.21</f>
        <v>0</v>
      </c>
      <c r="J1214" s="64"/>
      <c r="K1214" s="64"/>
      <c r="L1214" s="64">
        <f>SUM(ventas_b_mes684[[#This Row],[IMPORTE NETO]:[EXENTO]])</f>
        <v>0</v>
      </c>
      <c r="M1214" s="59"/>
    </row>
    <row r="1215" spans="2:13" x14ac:dyDescent="0.25">
      <c r="B1215" s="40"/>
      <c r="C1215" s="41"/>
      <c r="D1215" s="42"/>
      <c r="E1215" s="43"/>
      <c r="F1215" s="44"/>
      <c r="G1215" s="1" t="str">
        <f>IFERROR(IF(ventas_b_mes684[[#This Row],[CUIT]]="","-",VLOOKUP(ventas_b_mes684[[#This Row],[CUIT]],Lista_CUIT[#All],2,0)),"CUIT NO CARGADO")</f>
        <v>-</v>
      </c>
      <c r="H1215" s="64"/>
      <c r="I1215" s="64">
        <f>ventas_b_mes684[[#This Row],[IMPORTE NETO]]*0.21</f>
        <v>0</v>
      </c>
      <c r="J1215" s="64"/>
      <c r="K1215" s="64"/>
      <c r="L1215" s="64">
        <f>SUM(ventas_b_mes684[[#This Row],[IMPORTE NETO]:[EXENTO]])</f>
        <v>0</v>
      </c>
      <c r="M1215" s="59"/>
    </row>
    <row r="1216" spans="2:13" x14ac:dyDescent="0.25">
      <c r="B1216" s="40"/>
      <c r="C1216" s="41"/>
      <c r="D1216" s="42"/>
      <c r="E1216" s="43"/>
      <c r="F1216" s="44"/>
      <c r="G1216" s="1" t="str">
        <f>IFERROR(IF(ventas_b_mes684[[#This Row],[CUIT]]="","-",VLOOKUP(ventas_b_mes684[[#This Row],[CUIT]],Lista_CUIT[#All],2,0)),"CUIT NO CARGADO")</f>
        <v>-</v>
      </c>
      <c r="H1216" s="64"/>
      <c r="I1216" s="64">
        <f>ventas_b_mes684[[#This Row],[IMPORTE NETO]]*0.21</f>
        <v>0</v>
      </c>
      <c r="J1216" s="64"/>
      <c r="K1216" s="64"/>
      <c r="L1216" s="64">
        <f>SUM(ventas_b_mes684[[#This Row],[IMPORTE NETO]:[EXENTO]])</f>
        <v>0</v>
      </c>
      <c r="M1216" s="59"/>
    </row>
    <row r="1217" spans="2:13" x14ac:dyDescent="0.25">
      <c r="B1217" s="40"/>
      <c r="C1217" s="41"/>
      <c r="D1217" s="42"/>
      <c r="E1217" s="43"/>
      <c r="F1217" s="44"/>
      <c r="G1217" s="1" t="str">
        <f>IFERROR(IF(ventas_b_mes684[[#This Row],[CUIT]]="","-",VLOOKUP(ventas_b_mes684[[#This Row],[CUIT]],Lista_CUIT[#All],2,0)),"CUIT NO CARGADO")</f>
        <v>-</v>
      </c>
      <c r="H1217" s="64"/>
      <c r="I1217" s="64">
        <f>ventas_b_mes684[[#This Row],[IMPORTE NETO]]*0.21</f>
        <v>0</v>
      </c>
      <c r="J1217" s="64"/>
      <c r="K1217" s="64"/>
      <c r="L1217" s="64">
        <f>SUM(ventas_b_mes684[[#This Row],[IMPORTE NETO]:[EXENTO]])</f>
        <v>0</v>
      </c>
      <c r="M1217" s="59"/>
    </row>
    <row r="1218" spans="2:13" x14ac:dyDescent="0.25">
      <c r="B1218" s="40"/>
      <c r="C1218" s="41"/>
      <c r="D1218" s="42"/>
      <c r="E1218" s="43"/>
      <c r="F1218" s="44"/>
      <c r="G1218" s="1" t="str">
        <f>IFERROR(IF(ventas_b_mes684[[#This Row],[CUIT]]="","-",VLOOKUP(ventas_b_mes684[[#This Row],[CUIT]],Lista_CUIT[#All],2,0)),"CUIT NO CARGADO")</f>
        <v>-</v>
      </c>
      <c r="H1218" s="64"/>
      <c r="I1218" s="64">
        <f>ventas_b_mes684[[#This Row],[IMPORTE NETO]]*0.21</f>
        <v>0</v>
      </c>
      <c r="J1218" s="64"/>
      <c r="K1218" s="64"/>
      <c r="L1218" s="64">
        <f>SUM(ventas_b_mes684[[#This Row],[IMPORTE NETO]:[EXENTO]])</f>
        <v>0</v>
      </c>
      <c r="M1218" s="59"/>
    </row>
    <row r="1219" spans="2:13" x14ac:dyDescent="0.25">
      <c r="B1219" s="40"/>
      <c r="C1219" s="41"/>
      <c r="D1219" s="42"/>
      <c r="E1219" s="43"/>
      <c r="F1219" s="44"/>
      <c r="G1219" s="1" t="str">
        <f>IFERROR(IF(ventas_b_mes684[[#This Row],[CUIT]]="","-",VLOOKUP(ventas_b_mes684[[#This Row],[CUIT]],Lista_CUIT[#All],2,0)),"CUIT NO CARGADO")</f>
        <v>-</v>
      </c>
      <c r="H1219" s="64"/>
      <c r="I1219" s="64">
        <f>ventas_b_mes684[[#This Row],[IMPORTE NETO]]*0.21</f>
        <v>0</v>
      </c>
      <c r="J1219" s="64"/>
      <c r="K1219" s="64"/>
      <c r="L1219" s="64">
        <f>SUM(ventas_b_mes684[[#This Row],[IMPORTE NETO]:[EXENTO]])</f>
        <v>0</v>
      </c>
      <c r="M1219" s="59"/>
    </row>
    <row r="1220" spans="2:13" x14ac:dyDescent="0.25">
      <c r="B1220" s="40"/>
      <c r="C1220" s="41"/>
      <c r="D1220" s="42"/>
      <c r="E1220" s="43"/>
      <c r="F1220" s="44"/>
      <c r="G1220" s="1" t="str">
        <f>IFERROR(IF(ventas_b_mes684[[#This Row],[CUIT]]="","-",VLOOKUP(ventas_b_mes684[[#This Row],[CUIT]],Lista_CUIT[#All],2,0)),"CUIT NO CARGADO")</f>
        <v>-</v>
      </c>
      <c r="H1220" s="64"/>
      <c r="I1220" s="64">
        <f>ventas_b_mes684[[#This Row],[IMPORTE NETO]]*0.21</f>
        <v>0</v>
      </c>
      <c r="J1220" s="64"/>
      <c r="K1220" s="64"/>
      <c r="L1220" s="64">
        <f>SUM(ventas_b_mes684[[#This Row],[IMPORTE NETO]:[EXENTO]])</f>
        <v>0</v>
      </c>
      <c r="M1220" s="59"/>
    </row>
    <row r="1221" spans="2:13" x14ac:dyDescent="0.25">
      <c r="B1221" s="40"/>
      <c r="C1221" s="41"/>
      <c r="D1221" s="42"/>
      <c r="E1221" s="43"/>
      <c r="F1221" s="44"/>
      <c r="G1221" s="1" t="str">
        <f>IFERROR(IF(ventas_b_mes684[[#This Row],[CUIT]]="","-",VLOOKUP(ventas_b_mes684[[#This Row],[CUIT]],Lista_CUIT[#All],2,0)),"CUIT NO CARGADO")</f>
        <v>-</v>
      </c>
      <c r="H1221" s="64"/>
      <c r="I1221" s="64">
        <f>ventas_b_mes684[[#This Row],[IMPORTE NETO]]*0.21</f>
        <v>0</v>
      </c>
      <c r="J1221" s="64"/>
      <c r="K1221" s="64"/>
      <c r="L1221" s="64">
        <f>SUM(ventas_b_mes684[[#This Row],[IMPORTE NETO]:[EXENTO]])</f>
        <v>0</v>
      </c>
      <c r="M1221" s="59"/>
    </row>
    <row r="1222" spans="2:13" x14ac:dyDescent="0.25">
      <c r="B1222" s="40"/>
      <c r="C1222" s="41"/>
      <c r="D1222" s="42"/>
      <c r="E1222" s="43"/>
      <c r="F1222" s="44"/>
      <c r="G1222" s="1" t="str">
        <f>IFERROR(IF(ventas_b_mes684[[#This Row],[CUIT]]="","-",VLOOKUP(ventas_b_mes684[[#This Row],[CUIT]],Lista_CUIT[#All],2,0)),"CUIT NO CARGADO")</f>
        <v>-</v>
      </c>
      <c r="H1222" s="64"/>
      <c r="I1222" s="64">
        <f>ventas_b_mes684[[#This Row],[IMPORTE NETO]]*0.21</f>
        <v>0</v>
      </c>
      <c r="J1222" s="64"/>
      <c r="K1222" s="64"/>
      <c r="L1222" s="64">
        <f>SUM(ventas_b_mes684[[#This Row],[IMPORTE NETO]:[EXENTO]])</f>
        <v>0</v>
      </c>
      <c r="M1222" s="59"/>
    </row>
    <row r="1223" spans="2:13" x14ac:dyDescent="0.25">
      <c r="B1223" s="40"/>
      <c r="C1223" s="41"/>
      <c r="D1223" s="42"/>
      <c r="E1223" s="43"/>
      <c r="F1223" s="44"/>
      <c r="G1223" s="1" t="str">
        <f>IFERROR(IF(ventas_b_mes684[[#This Row],[CUIT]]="","-",VLOOKUP(ventas_b_mes684[[#This Row],[CUIT]],Lista_CUIT[#All],2,0)),"CUIT NO CARGADO")</f>
        <v>-</v>
      </c>
      <c r="H1223" s="64"/>
      <c r="I1223" s="64">
        <f>ventas_b_mes684[[#This Row],[IMPORTE NETO]]*0.21</f>
        <v>0</v>
      </c>
      <c r="J1223" s="64"/>
      <c r="K1223" s="64"/>
      <c r="L1223" s="64">
        <f>SUM(ventas_b_mes684[[#This Row],[IMPORTE NETO]:[EXENTO]])</f>
        <v>0</v>
      </c>
      <c r="M1223" s="59"/>
    </row>
    <row r="1224" spans="2:13" x14ac:dyDescent="0.25">
      <c r="B1224" s="40"/>
      <c r="C1224" s="41"/>
      <c r="D1224" s="42"/>
      <c r="E1224" s="43"/>
      <c r="F1224" s="44"/>
      <c r="G1224" s="1" t="str">
        <f>IFERROR(IF(ventas_b_mes684[[#This Row],[CUIT]]="","-",VLOOKUP(ventas_b_mes684[[#This Row],[CUIT]],Lista_CUIT[#All],2,0)),"CUIT NO CARGADO")</f>
        <v>-</v>
      </c>
      <c r="H1224" s="64"/>
      <c r="I1224" s="64">
        <f>ventas_b_mes684[[#This Row],[IMPORTE NETO]]*0.21</f>
        <v>0</v>
      </c>
      <c r="J1224" s="64"/>
      <c r="K1224" s="64"/>
      <c r="L1224" s="64">
        <f>SUM(ventas_b_mes684[[#This Row],[IMPORTE NETO]:[EXENTO]])</f>
        <v>0</v>
      </c>
      <c r="M1224" s="59"/>
    </row>
    <row r="1225" spans="2:13" x14ac:dyDescent="0.25">
      <c r="B1225" s="40"/>
      <c r="C1225" s="41"/>
      <c r="D1225" s="42"/>
      <c r="E1225" s="43"/>
      <c r="F1225" s="44"/>
      <c r="G1225" s="1" t="str">
        <f>IFERROR(IF(ventas_b_mes684[[#This Row],[CUIT]]="","-",VLOOKUP(ventas_b_mes684[[#This Row],[CUIT]],Lista_CUIT[#All],2,0)),"CUIT NO CARGADO")</f>
        <v>-</v>
      </c>
      <c r="H1225" s="64"/>
      <c r="I1225" s="64">
        <f>ventas_b_mes684[[#This Row],[IMPORTE NETO]]*0.21</f>
        <v>0</v>
      </c>
      <c r="J1225" s="64"/>
      <c r="K1225" s="64"/>
      <c r="L1225" s="64">
        <f>SUM(ventas_b_mes684[[#This Row],[IMPORTE NETO]:[EXENTO]])</f>
        <v>0</v>
      </c>
      <c r="M1225" s="59"/>
    </row>
    <row r="1226" spans="2:13" x14ac:dyDescent="0.25">
      <c r="B1226" s="40"/>
      <c r="C1226" s="41"/>
      <c r="D1226" s="42"/>
      <c r="E1226" s="43"/>
      <c r="F1226" s="44"/>
      <c r="G1226" s="1" t="str">
        <f>IFERROR(IF(ventas_b_mes684[[#This Row],[CUIT]]="","-",VLOOKUP(ventas_b_mes684[[#This Row],[CUIT]],Lista_CUIT[#All],2,0)),"CUIT NO CARGADO")</f>
        <v>-</v>
      </c>
      <c r="H1226" s="64"/>
      <c r="I1226" s="64">
        <f>ventas_b_mes684[[#This Row],[IMPORTE NETO]]*0.21</f>
        <v>0</v>
      </c>
      <c r="J1226" s="64"/>
      <c r="K1226" s="64"/>
      <c r="L1226" s="64">
        <f>SUM(ventas_b_mes684[[#This Row],[IMPORTE NETO]:[EXENTO]])</f>
        <v>0</v>
      </c>
      <c r="M1226" s="59"/>
    </row>
    <row r="1227" spans="2:13" x14ac:dyDescent="0.25">
      <c r="B1227" s="40"/>
      <c r="C1227" s="41"/>
      <c r="D1227" s="42"/>
      <c r="E1227" s="43"/>
      <c r="F1227" s="44"/>
      <c r="G1227" s="1" t="str">
        <f>IFERROR(IF(ventas_b_mes684[[#This Row],[CUIT]]="","-",VLOOKUP(ventas_b_mes684[[#This Row],[CUIT]],Lista_CUIT[#All],2,0)),"CUIT NO CARGADO")</f>
        <v>-</v>
      </c>
      <c r="H1227" s="64"/>
      <c r="I1227" s="64">
        <f>ventas_b_mes684[[#This Row],[IMPORTE NETO]]*0.21</f>
        <v>0</v>
      </c>
      <c r="J1227" s="64"/>
      <c r="K1227" s="64"/>
      <c r="L1227" s="64">
        <f>SUM(ventas_b_mes684[[#This Row],[IMPORTE NETO]:[EXENTO]])</f>
        <v>0</v>
      </c>
      <c r="M1227" s="59"/>
    </row>
    <row r="1228" spans="2:13" x14ac:dyDescent="0.25">
      <c r="B1228" s="40"/>
      <c r="C1228" s="41"/>
      <c r="D1228" s="42"/>
      <c r="E1228" s="43"/>
      <c r="F1228" s="44"/>
      <c r="G1228" s="1" t="str">
        <f>IFERROR(IF(ventas_b_mes684[[#This Row],[CUIT]]="","-",VLOOKUP(ventas_b_mes684[[#This Row],[CUIT]],Lista_CUIT[#All],2,0)),"CUIT NO CARGADO")</f>
        <v>-</v>
      </c>
      <c r="H1228" s="64"/>
      <c r="I1228" s="64">
        <f>ventas_b_mes684[[#This Row],[IMPORTE NETO]]*0.21</f>
        <v>0</v>
      </c>
      <c r="J1228" s="64"/>
      <c r="K1228" s="64"/>
      <c r="L1228" s="64">
        <f>SUM(ventas_b_mes684[[#This Row],[IMPORTE NETO]:[EXENTO]])</f>
        <v>0</v>
      </c>
      <c r="M1228" s="59"/>
    </row>
    <row r="1229" spans="2:13" x14ac:dyDescent="0.25">
      <c r="B1229" s="40"/>
      <c r="C1229" s="41"/>
      <c r="D1229" s="42"/>
      <c r="E1229" s="43"/>
      <c r="F1229" s="44"/>
      <c r="G1229" s="1" t="str">
        <f>IFERROR(IF(ventas_b_mes684[[#This Row],[CUIT]]="","-",VLOOKUP(ventas_b_mes684[[#This Row],[CUIT]],Lista_CUIT[#All],2,0)),"CUIT NO CARGADO")</f>
        <v>-</v>
      </c>
      <c r="H1229" s="64"/>
      <c r="I1229" s="64">
        <f>ventas_b_mes684[[#This Row],[IMPORTE NETO]]*0.21</f>
        <v>0</v>
      </c>
      <c r="J1229" s="64"/>
      <c r="K1229" s="64"/>
      <c r="L1229" s="64">
        <f>SUM(ventas_b_mes684[[#This Row],[IMPORTE NETO]:[EXENTO]])</f>
        <v>0</v>
      </c>
      <c r="M1229" s="59"/>
    </row>
    <row r="1230" spans="2:13" x14ac:dyDescent="0.25">
      <c r="B1230" s="40"/>
      <c r="C1230" s="41"/>
      <c r="D1230" s="42"/>
      <c r="E1230" s="43"/>
      <c r="F1230" s="44"/>
      <c r="G1230" s="1" t="str">
        <f>IFERROR(IF(ventas_b_mes684[[#This Row],[CUIT]]="","-",VLOOKUP(ventas_b_mes684[[#This Row],[CUIT]],Lista_CUIT[#All],2,0)),"CUIT NO CARGADO")</f>
        <v>-</v>
      </c>
      <c r="H1230" s="64"/>
      <c r="I1230" s="64">
        <f>ventas_b_mes684[[#This Row],[IMPORTE NETO]]*0.21</f>
        <v>0</v>
      </c>
      <c r="J1230" s="64"/>
      <c r="K1230" s="64"/>
      <c r="L1230" s="64">
        <f>SUM(ventas_b_mes684[[#This Row],[IMPORTE NETO]:[EXENTO]])</f>
        <v>0</v>
      </c>
      <c r="M1230" s="59"/>
    </row>
    <row r="1231" spans="2:13" x14ac:dyDescent="0.25">
      <c r="B1231" s="40"/>
      <c r="C1231" s="41"/>
      <c r="D1231" s="42"/>
      <c r="E1231" s="43"/>
      <c r="F1231" s="44"/>
      <c r="G1231" s="1" t="str">
        <f>IFERROR(IF(ventas_b_mes684[[#This Row],[CUIT]]="","-",VLOOKUP(ventas_b_mes684[[#This Row],[CUIT]],Lista_CUIT[#All],2,0)),"CUIT NO CARGADO")</f>
        <v>-</v>
      </c>
      <c r="H1231" s="64"/>
      <c r="I1231" s="64">
        <f>ventas_b_mes684[[#This Row],[IMPORTE NETO]]*0.21</f>
        <v>0</v>
      </c>
      <c r="J1231" s="64"/>
      <c r="K1231" s="64"/>
      <c r="L1231" s="64">
        <f>SUM(ventas_b_mes684[[#This Row],[IMPORTE NETO]:[EXENTO]])</f>
        <v>0</v>
      </c>
      <c r="M1231" s="59"/>
    </row>
    <row r="1232" spans="2:13" x14ac:dyDescent="0.25">
      <c r="B1232" s="40"/>
      <c r="C1232" s="41"/>
      <c r="D1232" s="42"/>
      <c r="E1232" s="43"/>
      <c r="F1232" s="44"/>
      <c r="G1232" s="1" t="str">
        <f>IFERROR(IF(ventas_b_mes684[[#This Row],[CUIT]]="","-",VLOOKUP(ventas_b_mes684[[#This Row],[CUIT]],Lista_CUIT[#All],2,0)),"CUIT NO CARGADO")</f>
        <v>-</v>
      </c>
      <c r="H1232" s="64"/>
      <c r="I1232" s="64">
        <f>ventas_b_mes684[[#This Row],[IMPORTE NETO]]*0.21</f>
        <v>0</v>
      </c>
      <c r="J1232" s="64"/>
      <c r="K1232" s="64"/>
      <c r="L1232" s="64">
        <f>SUM(ventas_b_mes684[[#This Row],[IMPORTE NETO]:[EXENTO]])</f>
        <v>0</v>
      </c>
      <c r="M1232" s="59"/>
    </row>
    <row r="1233" spans="2:13" x14ac:dyDescent="0.25">
      <c r="B1233" s="40"/>
      <c r="C1233" s="41"/>
      <c r="D1233" s="42"/>
      <c r="E1233" s="43"/>
      <c r="F1233" s="44"/>
      <c r="G1233" s="1" t="str">
        <f>IFERROR(IF(ventas_b_mes684[[#This Row],[CUIT]]="","-",VLOOKUP(ventas_b_mes684[[#This Row],[CUIT]],Lista_CUIT[#All],2,0)),"CUIT NO CARGADO")</f>
        <v>-</v>
      </c>
      <c r="H1233" s="64"/>
      <c r="I1233" s="64">
        <f>ventas_b_mes684[[#This Row],[IMPORTE NETO]]*0.21</f>
        <v>0</v>
      </c>
      <c r="J1233" s="64"/>
      <c r="K1233" s="64"/>
      <c r="L1233" s="64">
        <f>SUM(ventas_b_mes684[[#This Row],[IMPORTE NETO]:[EXENTO]])</f>
        <v>0</v>
      </c>
      <c r="M1233" s="59"/>
    </row>
    <row r="1234" spans="2:13" x14ac:dyDescent="0.25">
      <c r="B1234" s="40"/>
      <c r="C1234" s="41"/>
      <c r="D1234" s="42"/>
      <c r="E1234" s="43"/>
      <c r="F1234" s="44"/>
      <c r="G1234" s="1" t="str">
        <f>IFERROR(IF(ventas_b_mes684[[#This Row],[CUIT]]="","-",VLOOKUP(ventas_b_mes684[[#This Row],[CUIT]],Lista_CUIT[#All],2,0)),"CUIT NO CARGADO")</f>
        <v>-</v>
      </c>
      <c r="H1234" s="64"/>
      <c r="I1234" s="64">
        <f>ventas_b_mes684[[#This Row],[IMPORTE NETO]]*0.21</f>
        <v>0</v>
      </c>
      <c r="J1234" s="64"/>
      <c r="K1234" s="64"/>
      <c r="L1234" s="64">
        <f>SUM(ventas_b_mes684[[#This Row],[IMPORTE NETO]:[EXENTO]])</f>
        <v>0</v>
      </c>
      <c r="M1234" s="59"/>
    </row>
    <row r="1235" spans="2:13" x14ac:dyDescent="0.25">
      <c r="B1235" s="40"/>
      <c r="C1235" s="41"/>
      <c r="D1235" s="42"/>
      <c r="E1235" s="43"/>
      <c r="F1235" s="44"/>
      <c r="G1235" s="1" t="str">
        <f>IFERROR(IF(ventas_b_mes684[[#This Row],[CUIT]]="","-",VLOOKUP(ventas_b_mes684[[#This Row],[CUIT]],Lista_CUIT[#All],2,0)),"CUIT NO CARGADO")</f>
        <v>-</v>
      </c>
      <c r="H1235" s="64"/>
      <c r="I1235" s="64">
        <f>ventas_b_mes684[[#This Row],[IMPORTE NETO]]*0.21</f>
        <v>0</v>
      </c>
      <c r="J1235" s="64"/>
      <c r="K1235" s="64"/>
      <c r="L1235" s="64">
        <f>SUM(ventas_b_mes684[[#This Row],[IMPORTE NETO]:[EXENTO]])</f>
        <v>0</v>
      </c>
      <c r="M1235" s="59"/>
    </row>
    <row r="1236" spans="2:13" x14ac:dyDescent="0.25">
      <c r="B1236" s="40"/>
      <c r="C1236" s="41"/>
      <c r="D1236" s="42"/>
      <c r="E1236" s="43"/>
      <c r="F1236" s="44"/>
      <c r="G1236" s="1" t="str">
        <f>IFERROR(IF(ventas_b_mes684[[#This Row],[CUIT]]="","-",VLOOKUP(ventas_b_mes684[[#This Row],[CUIT]],Lista_CUIT[#All],2,0)),"CUIT NO CARGADO")</f>
        <v>-</v>
      </c>
      <c r="H1236" s="64"/>
      <c r="I1236" s="64">
        <f>ventas_b_mes684[[#This Row],[IMPORTE NETO]]*0.21</f>
        <v>0</v>
      </c>
      <c r="J1236" s="64"/>
      <c r="K1236" s="64"/>
      <c r="L1236" s="64">
        <f>SUM(ventas_b_mes684[[#This Row],[IMPORTE NETO]:[EXENTO]])</f>
        <v>0</v>
      </c>
      <c r="M1236" s="59"/>
    </row>
    <row r="1237" spans="2:13" x14ac:dyDescent="0.25">
      <c r="B1237" s="40"/>
      <c r="C1237" s="41"/>
      <c r="D1237" s="42"/>
      <c r="E1237" s="43"/>
      <c r="F1237" s="44"/>
      <c r="G1237" s="1" t="str">
        <f>IFERROR(IF(ventas_b_mes684[[#This Row],[CUIT]]="","-",VLOOKUP(ventas_b_mes684[[#This Row],[CUIT]],Lista_CUIT[#All],2,0)),"CUIT NO CARGADO")</f>
        <v>-</v>
      </c>
      <c r="H1237" s="64"/>
      <c r="I1237" s="64">
        <f>ventas_b_mes684[[#This Row],[IMPORTE NETO]]*0.21</f>
        <v>0</v>
      </c>
      <c r="J1237" s="64"/>
      <c r="K1237" s="64"/>
      <c r="L1237" s="64">
        <f>SUM(ventas_b_mes684[[#This Row],[IMPORTE NETO]:[EXENTO]])</f>
        <v>0</v>
      </c>
      <c r="M1237" s="59"/>
    </row>
    <row r="1238" spans="2:13" x14ac:dyDescent="0.25">
      <c r="B1238" s="40"/>
      <c r="C1238" s="41"/>
      <c r="D1238" s="42"/>
      <c r="E1238" s="43"/>
      <c r="F1238" s="44"/>
      <c r="G1238" s="1" t="str">
        <f>IFERROR(IF(ventas_b_mes684[[#This Row],[CUIT]]="","-",VLOOKUP(ventas_b_mes684[[#This Row],[CUIT]],Lista_CUIT[#All],2,0)),"CUIT NO CARGADO")</f>
        <v>-</v>
      </c>
      <c r="H1238" s="64"/>
      <c r="I1238" s="64">
        <f>ventas_b_mes684[[#This Row],[IMPORTE NETO]]*0.21</f>
        <v>0</v>
      </c>
      <c r="J1238" s="64"/>
      <c r="K1238" s="64"/>
      <c r="L1238" s="64">
        <f>SUM(ventas_b_mes684[[#This Row],[IMPORTE NETO]:[EXENTO]])</f>
        <v>0</v>
      </c>
      <c r="M1238" s="59"/>
    </row>
    <row r="1239" spans="2:13" x14ac:dyDescent="0.25">
      <c r="B1239" s="40"/>
      <c r="C1239" s="41"/>
      <c r="D1239" s="42"/>
      <c r="E1239" s="43"/>
      <c r="F1239" s="44"/>
      <c r="G1239" s="1" t="str">
        <f>IFERROR(IF(ventas_b_mes684[[#This Row],[CUIT]]="","-",VLOOKUP(ventas_b_mes684[[#This Row],[CUIT]],Lista_CUIT[#All],2,0)),"CUIT NO CARGADO")</f>
        <v>-</v>
      </c>
      <c r="H1239" s="64"/>
      <c r="I1239" s="64">
        <f>ventas_b_mes684[[#This Row],[IMPORTE NETO]]*0.21</f>
        <v>0</v>
      </c>
      <c r="J1239" s="64"/>
      <c r="K1239" s="64"/>
      <c r="L1239" s="64">
        <f>SUM(ventas_b_mes684[[#This Row],[IMPORTE NETO]:[EXENTO]])</f>
        <v>0</v>
      </c>
      <c r="M1239" s="59"/>
    </row>
    <row r="1240" spans="2:13" x14ac:dyDescent="0.25">
      <c r="B1240" s="40"/>
      <c r="C1240" s="41"/>
      <c r="D1240" s="42"/>
      <c r="E1240" s="43"/>
      <c r="F1240" s="44"/>
      <c r="G1240" s="1" t="str">
        <f>IFERROR(IF(ventas_b_mes684[[#This Row],[CUIT]]="","-",VLOOKUP(ventas_b_mes684[[#This Row],[CUIT]],Lista_CUIT[#All],2,0)),"CUIT NO CARGADO")</f>
        <v>-</v>
      </c>
      <c r="H1240" s="64"/>
      <c r="I1240" s="64">
        <f>ventas_b_mes684[[#This Row],[IMPORTE NETO]]*0.21</f>
        <v>0</v>
      </c>
      <c r="J1240" s="64"/>
      <c r="K1240" s="64"/>
      <c r="L1240" s="64">
        <f>SUM(ventas_b_mes684[[#This Row],[IMPORTE NETO]:[EXENTO]])</f>
        <v>0</v>
      </c>
      <c r="M1240" s="59"/>
    </row>
    <row r="1241" spans="2:13" x14ac:dyDescent="0.25">
      <c r="B1241" s="40"/>
      <c r="C1241" s="41"/>
      <c r="D1241" s="42"/>
      <c r="E1241" s="43"/>
      <c r="F1241" s="44"/>
      <c r="G1241" s="1" t="str">
        <f>IFERROR(IF(ventas_b_mes684[[#This Row],[CUIT]]="","-",VLOOKUP(ventas_b_mes684[[#This Row],[CUIT]],Lista_CUIT[#All],2,0)),"CUIT NO CARGADO")</f>
        <v>-</v>
      </c>
      <c r="H1241" s="64"/>
      <c r="I1241" s="64">
        <f>ventas_b_mes684[[#This Row],[IMPORTE NETO]]*0.21</f>
        <v>0</v>
      </c>
      <c r="J1241" s="64"/>
      <c r="K1241" s="64"/>
      <c r="L1241" s="64">
        <f>SUM(ventas_b_mes684[[#This Row],[IMPORTE NETO]:[EXENTO]])</f>
        <v>0</v>
      </c>
      <c r="M1241" s="59"/>
    </row>
    <row r="1242" spans="2:13" x14ac:dyDescent="0.25">
      <c r="B1242" s="40"/>
      <c r="C1242" s="41"/>
      <c r="D1242" s="42"/>
      <c r="E1242" s="43"/>
      <c r="F1242" s="44"/>
      <c r="G1242" s="1" t="str">
        <f>IFERROR(IF(ventas_b_mes684[[#This Row],[CUIT]]="","-",VLOOKUP(ventas_b_mes684[[#This Row],[CUIT]],Lista_CUIT[#All],2,0)),"CUIT NO CARGADO")</f>
        <v>-</v>
      </c>
      <c r="H1242" s="64"/>
      <c r="I1242" s="64">
        <f>ventas_b_mes684[[#This Row],[IMPORTE NETO]]*0.21</f>
        <v>0</v>
      </c>
      <c r="J1242" s="64"/>
      <c r="K1242" s="64"/>
      <c r="L1242" s="64">
        <f>SUM(ventas_b_mes684[[#This Row],[IMPORTE NETO]:[EXENTO]])</f>
        <v>0</v>
      </c>
      <c r="M1242" s="59"/>
    </row>
    <row r="1243" spans="2:13" x14ac:dyDescent="0.25">
      <c r="B1243" s="40"/>
      <c r="C1243" s="41"/>
      <c r="D1243" s="42"/>
      <c r="E1243" s="43"/>
      <c r="F1243" s="44"/>
      <c r="G1243" s="1" t="str">
        <f>IFERROR(IF(ventas_b_mes684[[#This Row],[CUIT]]="","-",VLOOKUP(ventas_b_mes684[[#This Row],[CUIT]],Lista_CUIT[#All],2,0)),"CUIT NO CARGADO")</f>
        <v>-</v>
      </c>
      <c r="H1243" s="64"/>
      <c r="I1243" s="64">
        <f>ventas_b_mes684[[#This Row],[IMPORTE NETO]]*0.21</f>
        <v>0</v>
      </c>
      <c r="J1243" s="64"/>
      <c r="K1243" s="64"/>
      <c r="L1243" s="64">
        <f>SUM(ventas_b_mes684[[#This Row],[IMPORTE NETO]:[EXENTO]])</f>
        <v>0</v>
      </c>
      <c r="M1243" s="59"/>
    </row>
    <row r="1244" spans="2:13" x14ac:dyDescent="0.25">
      <c r="B1244" s="40"/>
      <c r="C1244" s="41"/>
      <c r="D1244" s="42"/>
      <c r="E1244" s="43"/>
      <c r="F1244" s="44"/>
      <c r="G1244" s="1" t="str">
        <f>IFERROR(IF(ventas_b_mes684[[#This Row],[CUIT]]="","-",VLOOKUP(ventas_b_mes684[[#This Row],[CUIT]],Lista_CUIT[#All],2,0)),"CUIT NO CARGADO")</f>
        <v>-</v>
      </c>
      <c r="H1244" s="64"/>
      <c r="I1244" s="64">
        <f>ventas_b_mes684[[#This Row],[IMPORTE NETO]]*0.21</f>
        <v>0</v>
      </c>
      <c r="J1244" s="64"/>
      <c r="K1244" s="64"/>
      <c r="L1244" s="64">
        <f>SUM(ventas_b_mes684[[#This Row],[IMPORTE NETO]:[EXENTO]])</f>
        <v>0</v>
      </c>
      <c r="M1244" s="59"/>
    </row>
    <row r="1245" spans="2:13" x14ac:dyDescent="0.25">
      <c r="B1245" s="40"/>
      <c r="C1245" s="41"/>
      <c r="D1245" s="42"/>
      <c r="E1245" s="43"/>
      <c r="F1245" s="44"/>
      <c r="G1245" s="1" t="str">
        <f>IFERROR(IF(ventas_b_mes684[[#This Row],[CUIT]]="","-",VLOOKUP(ventas_b_mes684[[#This Row],[CUIT]],Lista_CUIT[#All],2,0)),"CUIT NO CARGADO")</f>
        <v>-</v>
      </c>
      <c r="H1245" s="64"/>
      <c r="I1245" s="64">
        <f>ventas_b_mes684[[#This Row],[IMPORTE NETO]]*0.21</f>
        <v>0</v>
      </c>
      <c r="J1245" s="64"/>
      <c r="K1245" s="64"/>
      <c r="L1245" s="64">
        <f>SUM(ventas_b_mes684[[#This Row],[IMPORTE NETO]:[EXENTO]])</f>
        <v>0</v>
      </c>
      <c r="M1245" s="59"/>
    </row>
    <row r="1246" spans="2:13" x14ac:dyDescent="0.25">
      <c r="B1246" s="40"/>
      <c r="C1246" s="41"/>
      <c r="D1246" s="42"/>
      <c r="E1246" s="43"/>
      <c r="F1246" s="44"/>
      <c r="G1246" s="1" t="str">
        <f>IFERROR(IF(ventas_b_mes684[[#This Row],[CUIT]]="","-",VLOOKUP(ventas_b_mes684[[#This Row],[CUIT]],Lista_CUIT[#All],2,0)),"CUIT NO CARGADO")</f>
        <v>-</v>
      </c>
      <c r="H1246" s="64"/>
      <c r="I1246" s="64">
        <f>ventas_b_mes684[[#This Row],[IMPORTE NETO]]*0.21</f>
        <v>0</v>
      </c>
      <c r="J1246" s="64"/>
      <c r="K1246" s="64"/>
      <c r="L1246" s="64">
        <f>SUM(ventas_b_mes684[[#This Row],[IMPORTE NETO]:[EXENTO]])</f>
        <v>0</v>
      </c>
      <c r="M1246" s="59"/>
    </row>
    <row r="1247" spans="2:13" x14ac:dyDescent="0.25">
      <c r="B1247" s="40"/>
      <c r="C1247" s="41"/>
      <c r="D1247" s="42"/>
      <c r="E1247" s="43"/>
      <c r="F1247" s="44"/>
      <c r="G1247" s="1" t="str">
        <f>IFERROR(IF(ventas_b_mes684[[#This Row],[CUIT]]="","-",VLOOKUP(ventas_b_mes684[[#This Row],[CUIT]],Lista_CUIT[#All],2,0)),"CUIT NO CARGADO")</f>
        <v>-</v>
      </c>
      <c r="H1247" s="64"/>
      <c r="I1247" s="64">
        <f>ventas_b_mes684[[#This Row],[IMPORTE NETO]]*0.21</f>
        <v>0</v>
      </c>
      <c r="J1247" s="64"/>
      <c r="K1247" s="64"/>
      <c r="L1247" s="64">
        <f>SUM(ventas_b_mes684[[#This Row],[IMPORTE NETO]:[EXENTO]])</f>
        <v>0</v>
      </c>
      <c r="M1247" s="59"/>
    </row>
    <row r="1248" spans="2:13" x14ac:dyDescent="0.25">
      <c r="B1248" s="40"/>
      <c r="C1248" s="41"/>
      <c r="D1248" s="42"/>
      <c r="E1248" s="43"/>
      <c r="F1248" s="44"/>
      <c r="G1248" s="1" t="str">
        <f>IFERROR(IF(ventas_b_mes684[[#This Row],[CUIT]]="","-",VLOOKUP(ventas_b_mes684[[#This Row],[CUIT]],Lista_CUIT[#All],2,0)),"CUIT NO CARGADO")</f>
        <v>-</v>
      </c>
      <c r="H1248" s="64"/>
      <c r="I1248" s="64">
        <f>ventas_b_mes684[[#This Row],[IMPORTE NETO]]*0.21</f>
        <v>0</v>
      </c>
      <c r="J1248" s="64"/>
      <c r="K1248" s="64"/>
      <c r="L1248" s="64">
        <f>SUM(ventas_b_mes684[[#This Row],[IMPORTE NETO]:[EXENTO]])</f>
        <v>0</v>
      </c>
      <c r="M1248" s="59"/>
    </row>
    <row r="1249" spans="2:13" x14ac:dyDescent="0.25">
      <c r="B1249" s="40"/>
      <c r="C1249" s="41"/>
      <c r="D1249" s="42"/>
      <c r="E1249" s="43"/>
      <c r="F1249" s="44"/>
      <c r="G1249" s="1" t="str">
        <f>IFERROR(IF(ventas_b_mes684[[#This Row],[CUIT]]="","-",VLOOKUP(ventas_b_mes684[[#This Row],[CUIT]],Lista_CUIT[#All],2,0)),"CUIT NO CARGADO")</f>
        <v>-</v>
      </c>
      <c r="H1249" s="64"/>
      <c r="I1249" s="64">
        <f>ventas_b_mes684[[#This Row],[IMPORTE NETO]]*0.21</f>
        <v>0</v>
      </c>
      <c r="J1249" s="64"/>
      <c r="K1249" s="64"/>
      <c r="L1249" s="64">
        <f>SUM(ventas_b_mes684[[#This Row],[IMPORTE NETO]:[EXENTO]])</f>
        <v>0</v>
      </c>
      <c r="M1249" s="59"/>
    </row>
    <row r="1250" spans="2:13" x14ac:dyDescent="0.25">
      <c r="B1250" s="40"/>
      <c r="C1250" s="41"/>
      <c r="D1250" s="42"/>
      <c r="E1250" s="43"/>
      <c r="F1250" s="44"/>
      <c r="G1250" s="1" t="str">
        <f>IFERROR(IF(ventas_b_mes684[[#This Row],[CUIT]]="","-",VLOOKUP(ventas_b_mes684[[#This Row],[CUIT]],Lista_CUIT[#All],2,0)),"CUIT NO CARGADO")</f>
        <v>-</v>
      </c>
      <c r="H1250" s="64"/>
      <c r="I1250" s="64">
        <f>ventas_b_mes684[[#This Row],[IMPORTE NETO]]*0.21</f>
        <v>0</v>
      </c>
      <c r="J1250" s="64"/>
      <c r="K1250" s="64"/>
      <c r="L1250" s="64">
        <f>SUM(ventas_b_mes684[[#This Row],[IMPORTE NETO]:[EXENTO]])</f>
        <v>0</v>
      </c>
      <c r="M1250" s="59"/>
    </row>
    <row r="1251" spans="2:13" x14ac:dyDescent="0.25">
      <c r="B1251" s="40"/>
      <c r="C1251" s="41"/>
      <c r="D1251" s="42"/>
      <c r="E1251" s="43"/>
      <c r="F1251" s="44"/>
      <c r="G1251" s="1" t="str">
        <f>IFERROR(IF(ventas_b_mes684[[#This Row],[CUIT]]="","-",VLOOKUP(ventas_b_mes684[[#This Row],[CUIT]],Lista_CUIT[#All],2,0)),"CUIT NO CARGADO")</f>
        <v>-</v>
      </c>
      <c r="H1251" s="64"/>
      <c r="I1251" s="64">
        <f>ventas_b_mes684[[#This Row],[IMPORTE NETO]]*0.21</f>
        <v>0</v>
      </c>
      <c r="J1251" s="64"/>
      <c r="K1251" s="64"/>
      <c r="L1251" s="64">
        <f>SUM(ventas_b_mes684[[#This Row],[IMPORTE NETO]:[EXENTO]])</f>
        <v>0</v>
      </c>
      <c r="M1251" s="59"/>
    </row>
    <row r="1252" spans="2:13" x14ac:dyDescent="0.25">
      <c r="B1252" s="40"/>
      <c r="C1252" s="41"/>
      <c r="D1252" s="42"/>
      <c r="E1252" s="43"/>
      <c r="F1252" s="44"/>
      <c r="G1252" s="1" t="str">
        <f>IFERROR(IF(ventas_b_mes684[[#This Row],[CUIT]]="","-",VLOOKUP(ventas_b_mes684[[#This Row],[CUIT]],Lista_CUIT[#All],2,0)),"CUIT NO CARGADO")</f>
        <v>-</v>
      </c>
      <c r="H1252" s="64"/>
      <c r="I1252" s="64">
        <f>ventas_b_mes684[[#This Row],[IMPORTE NETO]]*0.21</f>
        <v>0</v>
      </c>
      <c r="J1252" s="64"/>
      <c r="K1252" s="64"/>
      <c r="L1252" s="64">
        <f>SUM(ventas_b_mes684[[#This Row],[IMPORTE NETO]:[EXENTO]])</f>
        <v>0</v>
      </c>
      <c r="M1252" s="59"/>
    </row>
    <row r="1253" spans="2:13" x14ac:dyDescent="0.25">
      <c r="B1253" s="40"/>
      <c r="C1253" s="41"/>
      <c r="D1253" s="42"/>
      <c r="E1253" s="43"/>
      <c r="F1253" s="44"/>
      <c r="G1253" s="1" t="str">
        <f>IFERROR(IF(ventas_b_mes684[[#This Row],[CUIT]]="","-",VLOOKUP(ventas_b_mes684[[#This Row],[CUIT]],Lista_CUIT[#All],2,0)),"CUIT NO CARGADO")</f>
        <v>-</v>
      </c>
      <c r="H1253" s="64"/>
      <c r="I1253" s="64">
        <f>ventas_b_mes684[[#This Row],[IMPORTE NETO]]*0.21</f>
        <v>0</v>
      </c>
      <c r="J1253" s="64"/>
      <c r="K1253" s="64"/>
      <c r="L1253" s="64">
        <f>SUM(ventas_b_mes684[[#This Row],[IMPORTE NETO]:[EXENTO]])</f>
        <v>0</v>
      </c>
      <c r="M1253" s="59"/>
    </row>
    <row r="1254" spans="2:13" x14ac:dyDescent="0.25">
      <c r="B1254" s="40"/>
      <c r="C1254" s="41"/>
      <c r="D1254" s="42"/>
      <c r="E1254" s="43"/>
      <c r="F1254" s="44"/>
      <c r="G1254" s="1" t="str">
        <f>IFERROR(IF(ventas_b_mes684[[#This Row],[CUIT]]="","-",VLOOKUP(ventas_b_mes684[[#This Row],[CUIT]],Lista_CUIT[#All],2,0)),"CUIT NO CARGADO")</f>
        <v>-</v>
      </c>
      <c r="H1254" s="64"/>
      <c r="I1254" s="64">
        <f>ventas_b_mes684[[#This Row],[IMPORTE NETO]]*0.21</f>
        <v>0</v>
      </c>
      <c r="J1254" s="64"/>
      <c r="K1254" s="64"/>
      <c r="L1254" s="64">
        <f>SUM(ventas_b_mes684[[#This Row],[IMPORTE NETO]:[EXENTO]])</f>
        <v>0</v>
      </c>
      <c r="M1254" s="59"/>
    </row>
    <row r="1255" spans="2:13" x14ac:dyDescent="0.25">
      <c r="B1255" s="40"/>
      <c r="C1255" s="41"/>
      <c r="D1255" s="42"/>
      <c r="E1255" s="43"/>
      <c r="F1255" s="44"/>
      <c r="G1255" s="1" t="str">
        <f>IFERROR(IF(ventas_b_mes684[[#This Row],[CUIT]]="","-",VLOOKUP(ventas_b_mes684[[#This Row],[CUIT]],Lista_CUIT[#All],2,0)),"CUIT NO CARGADO")</f>
        <v>-</v>
      </c>
      <c r="H1255" s="64"/>
      <c r="I1255" s="64">
        <f>ventas_b_mes684[[#This Row],[IMPORTE NETO]]*0.21</f>
        <v>0</v>
      </c>
      <c r="J1255" s="64"/>
      <c r="K1255" s="64"/>
      <c r="L1255" s="64">
        <f>SUM(ventas_b_mes684[[#This Row],[IMPORTE NETO]:[EXENTO]])</f>
        <v>0</v>
      </c>
      <c r="M1255" s="59"/>
    </row>
    <row r="1256" spans="2:13" x14ac:dyDescent="0.25">
      <c r="B1256" s="40"/>
      <c r="C1256" s="41"/>
      <c r="D1256" s="42"/>
      <c r="E1256" s="43"/>
      <c r="F1256" s="44"/>
      <c r="G1256" s="1" t="str">
        <f>IFERROR(IF(ventas_b_mes684[[#This Row],[CUIT]]="","-",VLOOKUP(ventas_b_mes684[[#This Row],[CUIT]],Lista_CUIT[#All],2,0)),"CUIT NO CARGADO")</f>
        <v>-</v>
      </c>
      <c r="H1256" s="64"/>
      <c r="I1256" s="64">
        <f>ventas_b_mes684[[#This Row],[IMPORTE NETO]]*0.21</f>
        <v>0</v>
      </c>
      <c r="J1256" s="64"/>
      <c r="K1256" s="64"/>
      <c r="L1256" s="64">
        <f>SUM(ventas_b_mes684[[#This Row],[IMPORTE NETO]:[EXENTO]])</f>
        <v>0</v>
      </c>
      <c r="M1256" s="59"/>
    </row>
    <row r="1257" spans="2:13" x14ac:dyDescent="0.25">
      <c r="B1257" s="40"/>
      <c r="C1257" s="41"/>
      <c r="D1257" s="42"/>
      <c r="E1257" s="43"/>
      <c r="F1257" s="44"/>
      <c r="G1257" s="1" t="str">
        <f>IFERROR(IF(ventas_b_mes684[[#This Row],[CUIT]]="","-",VLOOKUP(ventas_b_mes684[[#This Row],[CUIT]],Lista_CUIT[#All],2,0)),"CUIT NO CARGADO")</f>
        <v>-</v>
      </c>
      <c r="H1257" s="64"/>
      <c r="I1257" s="64">
        <f>ventas_b_mes684[[#This Row],[IMPORTE NETO]]*0.21</f>
        <v>0</v>
      </c>
      <c r="J1257" s="64"/>
      <c r="K1257" s="64"/>
      <c r="L1257" s="64">
        <f>SUM(ventas_b_mes684[[#This Row],[IMPORTE NETO]:[EXENTO]])</f>
        <v>0</v>
      </c>
      <c r="M1257" s="59"/>
    </row>
    <row r="1258" spans="2:13" x14ac:dyDescent="0.25">
      <c r="B1258" s="40"/>
      <c r="C1258" s="41"/>
      <c r="D1258" s="42"/>
      <c r="E1258" s="43"/>
      <c r="F1258" s="44"/>
      <c r="G1258" s="1" t="str">
        <f>IFERROR(IF(ventas_b_mes684[[#This Row],[CUIT]]="","-",VLOOKUP(ventas_b_mes684[[#This Row],[CUIT]],Lista_CUIT[#All],2,0)),"CUIT NO CARGADO")</f>
        <v>-</v>
      </c>
      <c r="H1258" s="64"/>
      <c r="I1258" s="64">
        <f>ventas_b_mes684[[#This Row],[IMPORTE NETO]]*0.21</f>
        <v>0</v>
      </c>
      <c r="J1258" s="64"/>
      <c r="K1258" s="64"/>
      <c r="L1258" s="64">
        <f>SUM(ventas_b_mes684[[#This Row],[IMPORTE NETO]:[EXENTO]])</f>
        <v>0</v>
      </c>
      <c r="M1258" s="59"/>
    </row>
    <row r="1259" spans="2:13" x14ac:dyDescent="0.25">
      <c r="B1259" s="40"/>
      <c r="C1259" s="41"/>
      <c r="D1259" s="42"/>
      <c r="E1259" s="43"/>
      <c r="F1259" s="44"/>
      <c r="G1259" s="1" t="str">
        <f>IFERROR(IF(ventas_b_mes684[[#This Row],[CUIT]]="","-",VLOOKUP(ventas_b_mes684[[#This Row],[CUIT]],Lista_CUIT[#All],2,0)),"CUIT NO CARGADO")</f>
        <v>-</v>
      </c>
      <c r="H1259" s="64"/>
      <c r="I1259" s="64">
        <f>ventas_b_mes684[[#This Row],[IMPORTE NETO]]*0.21</f>
        <v>0</v>
      </c>
      <c r="J1259" s="64"/>
      <c r="K1259" s="64"/>
      <c r="L1259" s="64">
        <f>SUM(ventas_b_mes684[[#This Row],[IMPORTE NETO]:[EXENTO]])</f>
        <v>0</v>
      </c>
      <c r="M1259" s="59"/>
    </row>
    <row r="1260" spans="2:13" x14ac:dyDescent="0.25">
      <c r="B1260" s="40"/>
      <c r="C1260" s="41"/>
      <c r="D1260" s="42"/>
      <c r="E1260" s="43"/>
      <c r="F1260" s="44"/>
      <c r="G1260" s="1" t="str">
        <f>IFERROR(IF(ventas_b_mes684[[#This Row],[CUIT]]="","-",VLOOKUP(ventas_b_mes684[[#This Row],[CUIT]],Lista_CUIT[#All],2,0)),"CUIT NO CARGADO")</f>
        <v>-</v>
      </c>
      <c r="H1260" s="64"/>
      <c r="I1260" s="64">
        <f>ventas_b_mes684[[#This Row],[IMPORTE NETO]]*0.21</f>
        <v>0</v>
      </c>
      <c r="J1260" s="64"/>
      <c r="K1260" s="64"/>
      <c r="L1260" s="64">
        <f>SUM(ventas_b_mes684[[#This Row],[IMPORTE NETO]:[EXENTO]])</f>
        <v>0</v>
      </c>
      <c r="M1260" s="59"/>
    </row>
    <row r="1261" spans="2:13" x14ac:dyDescent="0.25">
      <c r="B1261" s="40"/>
      <c r="C1261" s="41"/>
      <c r="D1261" s="42"/>
      <c r="E1261" s="43"/>
      <c r="F1261" s="44"/>
      <c r="G1261" s="1" t="str">
        <f>IFERROR(IF(ventas_b_mes684[[#This Row],[CUIT]]="","-",VLOOKUP(ventas_b_mes684[[#This Row],[CUIT]],Lista_CUIT[#All],2,0)),"CUIT NO CARGADO")</f>
        <v>-</v>
      </c>
      <c r="H1261" s="64"/>
      <c r="I1261" s="64">
        <f>ventas_b_mes684[[#This Row],[IMPORTE NETO]]*0.21</f>
        <v>0</v>
      </c>
      <c r="J1261" s="64"/>
      <c r="K1261" s="64"/>
      <c r="L1261" s="64">
        <f>SUM(ventas_b_mes684[[#This Row],[IMPORTE NETO]:[EXENTO]])</f>
        <v>0</v>
      </c>
      <c r="M1261" s="59"/>
    </row>
    <row r="1262" spans="2:13" x14ac:dyDescent="0.25">
      <c r="B1262" s="40"/>
      <c r="C1262" s="41"/>
      <c r="D1262" s="42"/>
      <c r="E1262" s="43"/>
      <c r="F1262" s="44"/>
      <c r="G1262" s="1" t="str">
        <f>IFERROR(IF(ventas_b_mes684[[#This Row],[CUIT]]="","-",VLOOKUP(ventas_b_mes684[[#This Row],[CUIT]],Lista_CUIT[#All],2,0)),"CUIT NO CARGADO")</f>
        <v>-</v>
      </c>
      <c r="H1262" s="64"/>
      <c r="I1262" s="64">
        <f>ventas_b_mes684[[#This Row],[IMPORTE NETO]]*0.21</f>
        <v>0</v>
      </c>
      <c r="J1262" s="64"/>
      <c r="K1262" s="64"/>
      <c r="L1262" s="64">
        <f>SUM(ventas_b_mes684[[#This Row],[IMPORTE NETO]:[EXENTO]])</f>
        <v>0</v>
      </c>
      <c r="M1262" s="59"/>
    </row>
    <row r="1263" spans="2:13" x14ac:dyDescent="0.25">
      <c r="B1263" s="40"/>
      <c r="C1263" s="41"/>
      <c r="D1263" s="42"/>
      <c r="E1263" s="43"/>
      <c r="F1263" s="44"/>
      <c r="G1263" s="1" t="str">
        <f>IFERROR(IF(ventas_b_mes684[[#This Row],[CUIT]]="","-",VLOOKUP(ventas_b_mes684[[#This Row],[CUIT]],Lista_CUIT[#All],2,0)),"CUIT NO CARGADO")</f>
        <v>-</v>
      </c>
      <c r="H1263" s="64"/>
      <c r="I1263" s="64">
        <f>ventas_b_mes684[[#This Row],[IMPORTE NETO]]*0.21</f>
        <v>0</v>
      </c>
      <c r="J1263" s="64"/>
      <c r="K1263" s="64"/>
      <c r="L1263" s="64">
        <f>SUM(ventas_b_mes684[[#This Row],[IMPORTE NETO]:[EXENTO]])</f>
        <v>0</v>
      </c>
      <c r="M1263" s="59"/>
    </row>
    <row r="1264" spans="2:13" x14ac:dyDescent="0.25">
      <c r="B1264" s="40"/>
      <c r="C1264" s="41"/>
      <c r="D1264" s="42"/>
      <c r="E1264" s="43"/>
      <c r="F1264" s="44"/>
      <c r="G1264" s="1" t="str">
        <f>IFERROR(IF(ventas_b_mes684[[#This Row],[CUIT]]="","-",VLOOKUP(ventas_b_mes684[[#This Row],[CUIT]],Lista_CUIT[#All],2,0)),"CUIT NO CARGADO")</f>
        <v>-</v>
      </c>
      <c r="H1264" s="64"/>
      <c r="I1264" s="64">
        <f>ventas_b_mes684[[#This Row],[IMPORTE NETO]]*0.21</f>
        <v>0</v>
      </c>
      <c r="J1264" s="64"/>
      <c r="K1264" s="64"/>
      <c r="L1264" s="64">
        <f>SUM(ventas_b_mes684[[#This Row],[IMPORTE NETO]:[EXENTO]])</f>
        <v>0</v>
      </c>
      <c r="M1264" s="59"/>
    </row>
    <row r="1265" spans="2:13" x14ac:dyDescent="0.25">
      <c r="B1265" s="40"/>
      <c r="C1265" s="41"/>
      <c r="D1265" s="42"/>
      <c r="E1265" s="43"/>
      <c r="F1265" s="44"/>
      <c r="G1265" s="1" t="str">
        <f>IFERROR(IF(ventas_b_mes684[[#This Row],[CUIT]]="","-",VLOOKUP(ventas_b_mes684[[#This Row],[CUIT]],Lista_CUIT[#All],2,0)),"CUIT NO CARGADO")</f>
        <v>-</v>
      </c>
      <c r="H1265" s="64"/>
      <c r="I1265" s="64">
        <f>ventas_b_mes684[[#This Row],[IMPORTE NETO]]*0.21</f>
        <v>0</v>
      </c>
      <c r="J1265" s="64"/>
      <c r="K1265" s="64"/>
      <c r="L1265" s="64">
        <f>SUM(ventas_b_mes684[[#This Row],[IMPORTE NETO]:[EXENTO]])</f>
        <v>0</v>
      </c>
      <c r="M1265" s="59"/>
    </row>
    <row r="1266" spans="2:13" x14ac:dyDescent="0.25">
      <c r="B1266" s="40"/>
      <c r="C1266" s="41"/>
      <c r="D1266" s="42"/>
      <c r="E1266" s="43"/>
      <c r="F1266" s="44"/>
      <c r="G1266" s="1" t="str">
        <f>IFERROR(IF(ventas_b_mes684[[#This Row],[CUIT]]="","-",VLOOKUP(ventas_b_mes684[[#This Row],[CUIT]],Lista_CUIT[#All],2,0)),"CUIT NO CARGADO")</f>
        <v>-</v>
      </c>
      <c r="H1266" s="64"/>
      <c r="I1266" s="64">
        <f>ventas_b_mes684[[#This Row],[IMPORTE NETO]]*0.21</f>
        <v>0</v>
      </c>
      <c r="J1266" s="64"/>
      <c r="K1266" s="64"/>
      <c r="L1266" s="64">
        <f>SUM(ventas_b_mes684[[#This Row],[IMPORTE NETO]:[EXENTO]])</f>
        <v>0</v>
      </c>
      <c r="M1266" s="59"/>
    </row>
    <row r="1267" spans="2:13" x14ac:dyDescent="0.25">
      <c r="B1267" s="40"/>
      <c r="C1267" s="41"/>
      <c r="D1267" s="42"/>
      <c r="E1267" s="43"/>
      <c r="F1267" s="44"/>
      <c r="G1267" s="1" t="str">
        <f>IFERROR(IF(ventas_b_mes684[[#This Row],[CUIT]]="","-",VLOOKUP(ventas_b_mes684[[#This Row],[CUIT]],Lista_CUIT[#All],2,0)),"CUIT NO CARGADO")</f>
        <v>-</v>
      </c>
      <c r="H1267" s="64"/>
      <c r="I1267" s="64">
        <f>ventas_b_mes684[[#This Row],[IMPORTE NETO]]*0.21</f>
        <v>0</v>
      </c>
      <c r="J1267" s="64"/>
      <c r="K1267" s="64"/>
      <c r="L1267" s="64">
        <f>SUM(ventas_b_mes684[[#This Row],[IMPORTE NETO]:[EXENTO]])</f>
        <v>0</v>
      </c>
      <c r="M1267" s="59"/>
    </row>
    <row r="1268" spans="2:13" x14ac:dyDescent="0.25">
      <c r="B1268" s="40"/>
      <c r="C1268" s="41"/>
      <c r="D1268" s="42"/>
      <c r="E1268" s="43"/>
      <c r="F1268" s="44"/>
      <c r="G1268" s="1" t="str">
        <f>IFERROR(IF(ventas_b_mes684[[#This Row],[CUIT]]="","-",VLOOKUP(ventas_b_mes684[[#This Row],[CUIT]],Lista_CUIT[#All],2,0)),"CUIT NO CARGADO")</f>
        <v>-</v>
      </c>
      <c r="H1268" s="64"/>
      <c r="I1268" s="64">
        <f>ventas_b_mes684[[#This Row],[IMPORTE NETO]]*0.21</f>
        <v>0</v>
      </c>
      <c r="J1268" s="64"/>
      <c r="K1268" s="64"/>
      <c r="L1268" s="64">
        <f>SUM(ventas_b_mes684[[#This Row],[IMPORTE NETO]:[EXENTO]])</f>
        <v>0</v>
      </c>
      <c r="M1268" s="59"/>
    </row>
    <row r="1269" spans="2:13" x14ac:dyDescent="0.25">
      <c r="B1269" s="40"/>
      <c r="C1269" s="41"/>
      <c r="D1269" s="42"/>
      <c r="E1269" s="43"/>
      <c r="F1269" s="44"/>
      <c r="G1269" s="1" t="str">
        <f>IFERROR(IF(ventas_b_mes684[[#This Row],[CUIT]]="","-",VLOOKUP(ventas_b_mes684[[#This Row],[CUIT]],Lista_CUIT[#All],2,0)),"CUIT NO CARGADO")</f>
        <v>-</v>
      </c>
      <c r="H1269" s="64"/>
      <c r="I1269" s="64">
        <f>ventas_b_mes684[[#This Row],[IMPORTE NETO]]*0.21</f>
        <v>0</v>
      </c>
      <c r="J1269" s="64"/>
      <c r="K1269" s="64"/>
      <c r="L1269" s="64">
        <f>SUM(ventas_b_mes684[[#This Row],[IMPORTE NETO]:[EXENTO]])</f>
        <v>0</v>
      </c>
      <c r="M1269" s="59"/>
    </row>
    <row r="1270" spans="2:13" x14ac:dyDescent="0.25">
      <c r="B1270" s="40"/>
      <c r="C1270" s="41"/>
      <c r="D1270" s="42"/>
      <c r="E1270" s="43"/>
      <c r="F1270" s="44"/>
      <c r="G1270" s="1" t="str">
        <f>IFERROR(IF(ventas_b_mes684[[#This Row],[CUIT]]="","-",VLOOKUP(ventas_b_mes684[[#This Row],[CUIT]],Lista_CUIT[#All],2,0)),"CUIT NO CARGADO")</f>
        <v>-</v>
      </c>
      <c r="H1270" s="64"/>
      <c r="I1270" s="64">
        <f>ventas_b_mes684[[#This Row],[IMPORTE NETO]]*0.21</f>
        <v>0</v>
      </c>
      <c r="J1270" s="64"/>
      <c r="K1270" s="64"/>
      <c r="L1270" s="64">
        <f>SUM(ventas_b_mes684[[#This Row],[IMPORTE NETO]:[EXENTO]])</f>
        <v>0</v>
      </c>
      <c r="M1270" s="59"/>
    </row>
    <row r="1271" spans="2:13" x14ac:dyDescent="0.25">
      <c r="B1271" s="40"/>
      <c r="C1271" s="41"/>
      <c r="D1271" s="42"/>
      <c r="E1271" s="43"/>
      <c r="F1271" s="44"/>
      <c r="G1271" s="1" t="str">
        <f>IFERROR(IF(ventas_b_mes684[[#This Row],[CUIT]]="","-",VLOOKUP(ventas_b_mes684[[#This Row],[CUIT]],Lista_CUIT[#All],2,0)),"CUIT NO CARGADO")</f>
        <v>-</v>
      </c>
      <c r="H1271" s="64"/>
      <c r="I1271" s="64">
        <f>ventas_b_mes684[[#This Row],[IMPORTE NETO]]*0.21</f>
        <v>0</v>
      </c>
      <c r="J1271" s="64"/>
      <c r="K1271" s="64"/>
      <c r="L1271" s="64">
        <f>SUM(ventas_b_mes684[[#This Row],[IMPORTE NETO]:[EXENTO]])</f>
        <v>0</v>
      </c>
      <c r="M1271" s="59"/>
    </row>
    <row r="1272" spans="2:13" x14ac:dyDescent="0.25">
      <c r="B1272" s="40"/>
      <c r="C1272" s="41"/>
      <c r="D1272" s="42"/>
      <c r="E1272" s="43"/>
      <c r="F1272" s="44"/>
      <c r="G1272" s="1" t="str">
        <f>IFERROR(IF(ventas_b_mes684[[#This Row],[CUIT]]="","-",VLOOKUP(ventas_b_mes684[[#This Row],[CUIT]],Lista_CUIT[#All],2,0)),"CUIT NO CARGADO")</f>
        <v>-</v>
      </c>
      <c r="H1272" s="64"/>
      <c r="I1272" s="64">
        <f>ventas_b_mes684[[#This Row],[IMPORTE NETO]]*0.21</f>
        <v>0</v>
      </c>
      <c r="J1272" s="64"/>
      <c r="K1272" s="64"/>
      <c r="L1272" s="64">
        <f>SUM(ventas_b_mes684[[#This Row],[IMPORTE NETO]:[EXENTO]])</f>
        <v>0</v>
      </c>
      <c r="M1272" s="59"/>
    </row>
    <row r="1273" spans="2:13" x14ac:dyDescent="0.25">
      <c r="B1273" s="40"/>
      <c r="C1273" s="41"/>
      <c r="D1273" s="42"/>
      <c r="E1273" s="43"/>
      <c r="F1273" s="44"/>
      <c r="G1273" s="1" t="str">
        <f>IFERROR(IF(ventas_b_mes684[[#This Row],[CUIT]]="","-",VLOOKUP(ventas_b_mes684[[#This Row],[CUIT]],Lista_CUIT[#All],2,0)),"CUIT NO CARGADO")</f>
        <v>-</v>
      </c>
      <c r="H1273" s="64"/>
      <c r="I1273" s="64">
        <f>ventas_b_mes684[[#This Row],[IMPORTE NETO]]*0.21</f>
        <v>0</v>
      </c>
      <c r="J1273" s="64"/>
      <c r="K1273" s="64"/>
      <c r="L1273" s="64">
        <f>SUM(ventas_b_mes684[[#This Row],[IMPORTE NETO]:[EXENTO]])</f>
        <v>0</v>
      </c>
      <c r="M1273" s="59"/>
    </row>
    <row r="1274" spans="2:13" x14ac:dyDescent="0.25">
      <c r="B1274" s="40"/>
      <c r="C1274" s="41"/>
      <c r="D1274" s="42"/>
      <c r="E1274" s="43"/>
      <c r="F1274" s="44"/>
      <c r="G1274" s="1" t="str">
        <f>IFERROR(IF(ventas_b_mes684[[#This Row],[CUIT]]="","-",VLOOKUP(ventas_b_mes684[[#This Row],[CUIT]],Lista_CUIT[#All],2,0)),"CUIT NO CARGADO")</f>
        <v>-</v>
      </c>
      <c r="H1274" s="64"/>
      <c r="I1274" s="64">
        <f>ventas_b_mes684[[#This Row],[IMPORTE NETO]]*0.21</f>
        <v>0</v>
      </c>
      <c r="J1274" s="64"/>
      <c r="K1274" s="64"/>
      <c r="L1274" s="64">
        <f>SUM(ventas_b_mes684[[#This Row],[IMPORTE NETO]:[EXENTO]])</f>
        <v>0</v>
      </c>
      <c r="M1274" s="59"/>
    </row>
    <row r="1275" spans="2:13" x14ac:dyDescent="0.25">
      <c r="B1275" s="40"/>
      <c r="C1275" s="41"/>
      <c r="D1275" s="42"/>
      <c r="E1275" s="43"/>
      <c r="F1275" s="44"/>
      <c r="G1275" s="1" t="str">
        <f>IFERROR(IF(ventas_b_mes684[[#This Row],[CUIT]]="","-",VLOOKUP(ventas_b_mes684[[#This Row],[CUIT]],Lista_CUIT[#All],2,0)),"CUIT NO CARGADO")</f>
        <v>-</v>
      </c>
      <c r="H1275" s="64"/>
      <c r="I1275" s="64">
        <f>ventas_b_mes684[[#This Row],[IMPORTE NETO]]*0.21</f>
        <v>0</v>
      </c>
      <c r="J1275" s="64"/>
      <c r="K1275" s="64"/>
      <c r="L1275" s="64">
        <f>SUM(ventas_b_mes684[[#This Row],[IMPORTE NETO]:[EXENTO]])</f>
        <v>0</v>
      </c>
      <c r="M1275" s="59"/>
    </row>
    <row r="1276" spans="2:13" x14ac:dyDescent="0.25">
      <c r="B1276" s="40"/>
      <c r="C1276" s="41"/>
      <c r="D1276" s="42"/>
      <c r="E1276" s="43"/>
      <c r="F1276" s="44"/>
      <c r="G1276" s="1" t="str">
        <f>IFERROR(IF(ventas_b_mes684[[#This Row],[CUIT]]="","-",VLOOKUP(ventas_b_mes684[[#This Row],[CUIT]],Lista_CUIT[#All],2,0)),"CUIT NO CARGADO")</f>
        <v>-</v>
      </c>
      <c r="H1276" s="64"/>
      <c r="I1276" s="64">
        <f>ventas_b_mes684[[#This Row],[IMPORTE NETO]]*0.21</f>
        <v>0</v>
      </c>
      <c r="J1276" s="64"/>
      <c r="K1276" s="64"/>
      <c r="L1276" s="64">
        <f>SUM(ventas_b_mes684[[#This Row],[IMPORTE NETO]:[EXENTO]])</f>
        <v>0</v>
      </c>
      <c r="M1276" s="59"/>
    </row>
    <row r="1277" spans="2:13" x14ac:dyDescent="0.25">
      <c r="B1277" s="40"/>
      <c r="C1277" s="41"/>
      <c r="D1277" s="42"/>
      <c r="E1277" s="43"/>
      <c r="F1277" s="44"/>
      <c r="G1277" s="1" t="str">
        <f>IFERROR(IF(ventas_b_mes684[[#This Row],[CUIT]]="","-",VLOOKUP(ventas_b_mes684[[#This Row],[CUIT]],Lista_CUIT[#All],2,0)),"CUIT NO CARGADO")</f>
        <v>-</v>
      </c>
      <c r="H1277" s="64"/>
      <c r="I1277" s="64">
        <f>ventas_b_mes684[[#This Row],[IMPORTE NETO]]*0.21</f>
        <v>0</v>
      </c>
      <c r="J1277" s="64"/>
      <c r="K1277" s="64"/>
      <c r="L1277" s="64">
        <f>SUM(ventas_b_mes684[[#This Row],[IMPORTE NETO]:[EXENTO]])</f>
        <v>0</v>
      </c>
      <c r="M1277" s="59"/>
    </row>
    <row r="1278" spans="2:13" x14ac:dyDescent="0.25">
      <c r="B1278" s="40"/>
      <c r="C1278" s="41"/>
      <c r="D1278" s="42"/>
      <c r="E1278" s="43"/>
      <c r="F1278" s="44"/>
      <c r="G1278" s="1" t="str">
        <f>IFERROR(IF(ventas_b_mes684[[#This Row],[CUIT]]="","-",VLOOKUP(ventas_b_mes684[[#This Row],[CUIT]],Lista_CUIT[#All],2,0)),"CUIT NO CARGADO")</f>
        <v>-</v>
      </c>
      <c r="H1278" s="64"/>
      <c r="I1278" s="64">
        <f>ventas_b_mes684[[#This Row],[IMPORTE NETO]]*0.21</f>
        <v>0</v>
      </c>
      <c r="J1278" s="64"/>
      <c r="K1278" s="64"/>
      <c r="L1278" s="64">
        <f>SUM(ventas_b_mes684[[#This Row],[IMPORTE NETO]:[EXENTO]])</f>
        <v>0</v>
      </c>
      <c r="M1278" s="59"/>
    </row>
    <row r="1279" spans="2:13" x14ac:dyDescent="0.25">
      <c r="B1279" s="40"/>
      <c r="C1279" s="41"/>
      <c r="D1279" s="42"/>
      <c r="E1279" s="43"/>
      <c r="F1279" s="44"/>
      <c r="G1279" s="1" t="str">
        <f>IFERROR(IF(ventas_b_mes684[[#This Row],[CUIT]]="","-",VLOOKUP(ventas_b_mes684[[#This Row],[CUIT]],Lista_CUIT[#All],2,0)),"CUIT NO CARGADO")</f>
        <v>-</v>
      </c>
      <c r="H1279" s="64"/>
      <c r="I1279" s="64">
        <f>ventas_b_mes684[[#This Row],[IMPORTE NETO]]*0.21</f>
        <v>0</v>
      </c>
      <c r="J1279" s="64"/>
      <c r="K1279" s="64"/>
      <c r="L1279" s="64">
        <f>SUM(ventas_b_mes684[[#This Row],[IMPORTE NETO]:[EXENTO]])</f>
        <v>0</v>
      </c>
      <c r="M1279" s="59"/>
    </row>
    <row r="1280" spans="2:13" x14ac:dyDescent="0.25">
      <c r="B1280" s="40"/>
      <c r="C1280" s="41"/>
      <c r="D1280" s="42"/>
      <c r="E1280" s="43"/>
      <c r="F1280" s="44"/>
      <c r="G1280" s="1" t="str">
        <f>IFERROR(IF(ventas_b_mes684[[#This Row],[CUIT]]="","-",VLOOKUP(ventas_b_mes684[[#This Row],[CUIT]],Lista_CUIT[#All],2,0)),"CUIT NO CARGADO")</f>
        <v>-</v>
      </c>
      <c r="H1280" s="64"/>
      <c r="I1280" s="64">
        <f>ventas_b_mes684[[#This Row],[IMPORTE NETO]]*0.21</f>
        <v>0</v>
      </c>
      <c r="J1280" s="64"/>
      <c r="K1280" s="64"/>
      <c r="L1280" s="64">
        <f>SUM(ventas_b_mes684[[#This Row],[IMPORTE NETO]:[EXENTO]])</f>
        <v>0</v>
      </c>
      <c r="M1280" s="59"/>
    </row>
    <row r="1281" spans="2:13" x14ac:dyDescent="0.25">
      <c r="B1281" s="40"/>
      <c r="C1281" s="41"/>
      <c r="D1281" s="42"/>
      <c r="E1281" s="43"/>
      <c r="F1281" s="44"/>
      <c r="G1281" s="1" t="str">
        <f>IFERROR(IF(ventas_b_mes684[[#This Row],[CUIT]]="","-",VLOOKUP(ventas_b_mes684[[#This Row],[CUIT]],Lista_CUIT[#All],2,0)),"CUIT NO CARGADO")</f>
        <v>-</v>
      </c>
      <c r="H1281" s="64"/>
      <c r="I1281" s="64">
        <f>ventas_b_mes684[[#This Row],[IMPORTE NETO]]*0.21</f>
        <v>0</v>
      </c>
      <c r="J1281" s="64"/>
      <c r="K1281" s="64"/>
      <c r="L1281" s="64">
        <f>SUM(ventas_b_mes684[[#This Row],[IMPORTE NETO]:[EXENTO]])</f>
        <v>0</v>
      </c>
      <c r="M1281" s="59"/>
    </row>
    <row r="1282" spans="2:13" x14ac:dyDescent="0.25">
      <c r="B1282" s="40"/>
      <c r="C1282" s="41"/>
      <c r="D1282" s="42"/>
      <c r="E1282" s="43"/>
      <c r="F1282" s="44"/>
      <c r="G1282" s="1" t="str">
        <f>IFERROR(IF(ventas_b_mes684[[#This Row],[CUIT]]="","-",VLOOKUP(ventas_b_mes684[[#This Row],[CUIT]],Lista_CUIT[#All],2,0)),"CUIT NO CARGADO")</f>
        <v>-</v>
      </c>
      <c r="H1282" s="64"/>
      <c r="I1282" s="64">
        <f>ventas_b_mes684[[#This Row],[IMPORTE NETO]]*0.21</f>
        <v>0</v>
      </c>
      <c r="J1282" s="64"/>
      <c r="K1282" s="64"/>
      <c r="L1282" s="64">
        <f>SUM(ventas_b_mes684[[#This Row],[IMPORTE NETO]:[EXENTO]])</f>
        <v>0</v>
      </c>
      <c r="M1282" s="59"/>
    </row>
    <row r="1283" spans="2:13" x14ac:dyDescent="0.25">
      <c r="B1283" s="40"/>
      <c r="C1283" s="41"/>
      <c r="D1283" s="42"/>
      <c r="E1283" s="43"/>
      <c r="F1283" s="44"/>
      <c r="G1283" s="1" t="str">
        <f>IFERROR(IF(ventas_b_mes684[[#This Row],[CUIT]]="","-",VLOOKUP(ventas_b_mes684[[#This Row],[CUIT]],Lista_CUIT[#All],2,0)),"CUIT NO CARGADO")</f>
        <v>-</v>
      </c>
      <c r="H1283" s="64"/>
      <c r="I1283" s="64">
        <f>ventas_b_mes684[[#This Row],[IMPORTE NETO]]*0.21</f>
        <v>0</v>
      </c>
      <c r="J1283" s="64"/>
      <c r="K1283" s="64"/>
      <c r="L1283" s="64">
        <f>SUM(ventas_b_mes684[[#This Row],[IMPORTE NETO]:[EXENTO]])</f>
        <v>0</v>
      </c>
      <c r="M1283" s="59"/>
    </row>
    <row r="1284" spans="2:13" x14ac:dyDescent="0.25">
      <c r="B1284" s="40"/>
      <c r="C1284" s="41"/>
      <c r="D1284" s="42"/>
      <c r="E1284" s="43"/>
      <c r="F1284" s="44"/>
      <c r="G1284" s="1" t="str">
        <f>IFERROR(IF(ventas_b_mes684[[#This Row],[CUIT]]="","-",VLOOKUP(ventas_b_mes684[[#This Row],[CUIT]],Lista_CUIT[#All],2,0)),"CUIT NO CARGADO")</f>
        <v>-</v>
      </c>
      <c r="H1284" s="64"/>
      <c r="I1284" s="64">
        <f>ventas_b_mes684[[#This Row],[IMPORTE NETO]]*0.21</f>
        <v>0</v>
      </c>
      <c r="J1284" s="64"/>
      <c r="K1284" s="64"/>
      <c r="L1284" s="64">
        <f>SUM(ventas_b_mes684[[#This Row],[IMPORTE NETO]:[EXENTO]])</f>
        <v>0</v>
      </c>
      <c r="M1284" s="59"/>
    </row>
    <row r="1285" spans="2:13" x14ac:dyDescent="0.25">
      <c r="B1285" s="40"/>
      <c r="C1285" s="41"/>
      <c r="D1285" s="42"/>
      <c r="E1285" s="43"/>
      <c r="F1285" s="44"/>
      <c r="G1285" s="1" t="str">
        <f>IFERROR(IF(ventas_b_mes684[[#This Row],[CUIT]]="","-",VLOOKUP(ventas_b_mes684[[#This Row],[CUIT]],Lista_CUIT[#All],2,0)),"CUIT NO CARGADO")</f>
        <v>-</v>
      </c>
      <c r="H1285" s="64"/>
      <c r="I1285" s="64">
        <f>ventas_b_mes684[[#This Row],[IMPORTE NETO]]*0.21</f>
        <v>0</v>
      </c>
      <c r="J1285" s="64"/>
      <c r="K1285" s="64"/>
      <c r="L1285" s="64">
        <f>SUM(ventas_b_mes684[[#This Row],[IMPORTE NETO]:[EXENTO]])</f>
        <v>0</v>
      </c>
      <c r="M1285" s="59"/>
    </row>
    <row r="1286" spans="2:13" x14ac:dyDescent="0.25">
      <c r="B1286" s="40"/>
      <c r="C1286" s="41"/>
      <c r="D1286" s="42"/>
      <c r="E1286" s="43"/>
      <c r="F1286" s="44"/>
      <c r="G1286" s="1" t="str">
        <f>IFERROR(IF(ventas_b_mes684[[#This Row],[CUIT]]="","-",VLOOKUP(ventas_b_mes684[[#This Row],[CUIT]],Lista_CUIT[#All],2,0)),"CUIT NO CARGADO")</f>
        <v>-</v>
      </c>
      <c r="H1286" s="64"/>
      <c r="I1286" s="64">
        <f>ventas_b_mes684[[#This Row],[IMPORTE NETO]]*0.21</f>
        <v>0</v>
      </c>
      <c r="J1286" s="64"/>
      <c r="K1286" s="64"/>
      <c r="L1286" s="64">
        <f>SUM(ventas_b_mes684[[#This Row],[IMPORTE NETO]:[EXENTO]])</f>
        <v>0</v>
      </c>
      <c r="M1286" s="59"/>
    </row>
    <row r="1287" spans="2:13" x14ac:dyDescent="0.25">
      <c r="B1287" s="40"/>
      <c r="C1287" s="41"/>
      <c r="D1287" s="42"/>
      <c r="E1287" s="43"/>
      <c r="F1287" s="44"/>
      <c r="G1287" s="1" t="str">
        <f>IFERROR(IF(ventas_b_mes684[[#This Row],[CUIT]]="","-",VLOOKUP(ventas_b_mes684[[#This Row],[CUIT]],Lista_CUIT[#All],2,0)),"CUIT NO CARGADO")</f>
        <v>-</v>
      </c>
      <c r="H1287" s="64"/>
      <c r="I1287" s="64">
        <f>ventas_b_mes684[[#This Row],[IMPORTE NETO]]*0.21</f>
        <v>0</v>
      </c>
      <c r="J1287" s="64"/>
      <c r="K1287" s="64"/>
      <c r="L1287" s="64">
        <f>SUM(ventas_b_mes684[[#This Row],[IMPORTE NETO]:[EXENTO]])</f>
        <v>0</v>
      </c>
      <c r="M1287" s="59"/>
    </row>
    <row r="1288" spans="2:13" x14ac:dyDescent="0.25">
      <c r="B1288" s="40"/>
      <c r="C1288" s="41"/>
      <c r="D1288" s="42"/>
      <c r="E1288" s="43"/>
      <c r="F1288" s="44"/>
      <c r="G1288" s="1" t="str">
        <f>IFERROR(IF(ventas_b_mes684[[#This Row],[CUIT]]="","-",VLOOKUP(ventas_b_mes684[[#This Row],[CUIT]],Lista_CUIT[#All],2,0)),"CUIT NO CARGADO")</f>
        <v>-</v>
      </c>
      <c r="H1288" s="64"/>
      <c r="I1288" s="64">
        <f>ventas_b_mes684[[#This Row],[IMPORTE NETO]]*0.21</f>
        <v>0</v>
      </c>
      <c r="J1288" s="64"/>
      <c r="K1288" s="64"/>
      <c r="L1288" s="64">
        <f>SUM(ventas_b_mes684[[#This Row],[IMPORTE NETO]:[EXENTO]])</f>
        <v>0</v>
      </c>
      <c r="M1288" s="59"/>
    </row>
    <row r="1289" spans="2:13" x14ac:dyDescent="0.25">
      <c r="B1289" s="40"/>
      <c r="C1289" s="41"/>
      <c r="D1289" s="42"/>
      <c r="E1289" s="43"/>
      <c r="F1289" s="44"/>
      <c r="G1289" s="1" t="str">
        <f>IFERROR(IF(ventas_b_mes684[[#This Row],[CUIT]]="","-",VLOOKUP(ventas_b_mes684[[#This Row],[CUIT]],Lista_CUIT[#All],2,0)),"CUIT NO CARGADO")</f>
        <v>-</v>
      </c>
      <c r="H1289" s="64"/>
      <c r="I1289" s="64">
        <f>ventas_b_mes684[[#This Row],[IMPORTE NETO]]*0.21</f>
        <v>0</v>
      </c>
      <c r="J1289" s="64"/>
      <c r="K1289" s="64"/>
      <c r="L1289" s="64">
        <f>SUM(ventas_b_mes684[[#This Row],[IMPORTE NETO]:[EXENTO]])</f>
        <v>0</v>
      </c>
      <c r="M1289" s="59"/>
    </row>
    <row r="1290" spans="2:13" x14ac:dyDescent="0.25">
      <c r="B1290" s="40"/>
      <c r="C1290" s="41"/>
      <c r="D1290" s="42"/>
      <c r="E1290" s="43"/>
      <c r="F1290" s="44"/>
      <c r="G1290" s="1" t="str">
        <f>IFERROR(IF(ventas_b_mes684[[#This Row],[CUIT]]="","-",VLOOKUP(ventas_b_mes684[[#This Row],[CUIT]],Lista_CUIT[#All],2,0)),"CUIT NO CARGADO")</f>
        <v>-</v>
      </c>
      <c r="H1290" s="64"/>
      <c r="I1290" s="64">
        <f>ventas_b_mes684[[#This Row],[IMPORTE NETO]]*0.21</f>
        <v>0</v>
      </c>
      <c r="J1290" s="64"/>
      <c r="K1290" s="64"/>
      <c r="L1290" s="64">
        <f>SUM(ventas_b_mes684[[#This Row],[IMPORTE NETO]:[EXENTO]])</f>
        <v>0</v>
      </c>
      <c r="M1290" s="59"/>
    </row>
    <row r="1291" spans="2:13" x14ac:dyDescent="0.25">
      <c r="B1291" s="40"/>
      <c r="C1291" s="41"/>
      <c r="D1291" s="42"/>
      <c r="E1291" s="43"/>
      <c r="F1291" s="44"/>
      <c r="G1291" s="1" t="str">
        <f>IFERROR(IF(ventas_b_mes684[[#This Row],[CUIT]]="","-",VLOOKUP(ventas_b_mes684[[#This Row],[CUIT]],Lista_CUIT[#All],2,0)),"CUIT NO CARGADO")</f>
        <v>-</v>
      </c>
      <c r="H1291" s="64"/>
      <c r="I1291" s="64">
        <f>ventas_b_mes684[[#This Row],[IMPORTE NETO]]*0.21</f>
        <v>0</v>
      </c>
      <c r="J1291" s="64"/>
      <c r="K1291" s="64"/>
      <c r="L1291" s="64">
        <f>SUM(ventas_b_mes684[[#This Row],[IMPORTE NETO]:[EXENTO]])</f>
        <v>0</v>
      </c>
      <c r="M1291" s="59"/>
    </row>
    <row r="1292" spans="2:13" x14ac:dyDescent="0.25">
      <c r="B1292" s="40"/>
      <c r="C1292" s="41"/>
      <c r="D1292" s="42"/>
      <c r="E1292" s="43"/>
      <c r="F1292" s="44"/>
      <c r="G1292" s="1" t="str">
        <f>IFERROR(IF(ventas_b_mes684[[#This Row],[CUIT]]="","-",VLOOKUP(ventas_b_mes684[[#This Row],[CUIT]],Lista_CUIT[#All],2,0)),"CUIT NO CARGADO")</f>
        <v>-</v>
      </c>
      <c r="H1292" s="64"/>
      <c r="I1292" s="64">
        <f>ventas_b_mes684[[#This Row],[IMPORTE NETO]]*0.21</f>
        <v>0</v>
      </c>
      <c r="J1292" s="64"/>
      <c r="K1292" s="64"/>
      <c r="L1292" s="64">
        <f>SUM(ventas_b_mes684[[#This Row],[IMPORTE NETO]:[EXENTO]])</f>
        <v>0</v>
      </c>
      <c r="M1292" s="59"/>
    </row>
    <row r="1293" spans="2:13" x14ac:dyDescent="0.25">
      <c r="B1293" s="40"/>
      <c r="C1293" s="41"/>
      <c r="D1293" s="42"/>
      <c r="E1293" s="43"/>
      <c r="F1293" s="44"/>
      <c r="G1293" s="1" t="str">
        <f>IFERROR(IF(ventas_b_mes684[[#This Row],[CUIT]]="","-",VLOOKUP(ventas_b_mes684[[#This Row],[CUIT]],Lista_CUIT[#All],2,0)),"CUIT NO CARGADO")</f>
        <v>-</v>
      </c>
      <c r="H1293" s="64"/>
      <c r="I1293" s="64">
        <f>ventas_b_mes684[[#This Row],[IMPORTE NETO]]*0.21</f>
        <v>0</v>
      </c>
      <c r="J1293" s="64"/>
      <c r="K1293" s="64"/>
      <c r="L1293" s="64">
        <f>SUM(ventas_b_mes684[[#This Row],[IMPORTE NETO]:[EXENTO]])</f>
        <v>0</v>
      </c>
      <c r="M1293" s="59"/>
    </row>
    <row r="1294" spans="2:13" x14ac:dyDescent="0.25">
      <c r="B1294" s="40"/>
      <c r="C1294" s="41"/>
      <c r="D1294" s="42"/>
      <c r="E1294" s="43"/>
      <c r="F1294" s="44"/>
      <c r="G1294" s="1" t="str">
        <f>IFERROR(IF(ventas_b_mes684[[#This Row],[CUIT]]="","-",VLOOKUP(ventas_b_mes684[[#This Row],[CUIT]],Lista_CUIT[#All],2,0)),"CUIT NO CARGADO")</f>
        <v>-</v>
      </c>
      <c r="H1294" s="64"/>
      <c r="I1294" s="64">
        <f>ventas_b_mes684[[#This Row],[IMPORTE NETO]]*0.21</f>
        <v>0</v>
      </c>
      <c r="J1294" s="64"/>
      <c r="K1294" s="64"/>
      <c r="L1294" s="64">
        <f>SUM(ventas_b_mes684[[#This Row],[IMPORTE NETO]:[EXENTO]])</f>
        <v>0</v>
      </c>
      <c r="M1294" s="59"/>
    </row>
    <row r="1295" spans="2:13" x14ac:dyDescent="0.25">
      <c r="B1295" s="40"/>
      <c r="C1295" s="41"/>
      <c r="D1295" s="42"/>
      <c r="E1295" s="43"/>
      <c r="F1295" s="44"/>
      <c r="G1295" s="1" t="str">
        <f>IFERROR(IF(ventas_b_mes684[[#This Row],[CUIT]]="","-",VLOOKUP(ventas_b_mes684[[#This Row],[CUIT]],Lista_CUIT[#All],2,0)),"CUIT NO CARGADO")</f>
        <v>-</v>
      </c>
      <c r="H1295" s="64"/>
      <c r="I1295" s="64">
        <f>ventas_b_mes684[[#This Row],[IMPORTE NETO]]*0.21</f>
        <v>0</v>
      </c>
      <c r="J1295" s="64"/>
      <c r="K1295" s="64"/>
      <c r="L1295" s="64">
        <f>SUM(ventas_b_mes684[[#This Row],[IMPORTE NETO]:[EXENTO]])</f>
        <v>0</v>
      </c>
      <c r="M1295" s="59"/>
    </row>
    <row r="1296" spans="2:13" x14ac:dyDescent="0.25">
      <c r="B1296" s="40"/>
      <c r="C1296" s="41"/>
      <c r="D1296" s="42"/>
      <c r="E1296" s="43"/>
      <c r="F1296" s="44"/>
      <c r="G1296" s="1" t="str">
        <f>IFERROR(IF(ventas_b_mes684[[#This Row],[CUIT]]="","-",VLOOKUP(ventas_b_mes684[[#This Row],[CUIT]],Lista_CUIT[#All],2,0)),"CUIT NO CARGADO")</f>
        <v>-</v>
      </c>
      <c r="H1296" s="64"/>
      <c r="I1296" s="64">
        <f>ventas_b_mes684[[#This Row],[IMPORTE NETO]]*0.21</f>
        <v>0</v>
      </c>
      <c r="J1296" s="64"/>
      <c r="K1296" s="64"/>
      <c r="L1296" s="64">
        <f>SUM(ventas_b_mes684[[#This Row],[IMPORTE NETO]:[EXENTO]])</f>
        <v>0</v>
      </c>
      <c r="M1296" s="59"/>
    </row>
    <row r="1297" spans="2:13" x14ac:dyDescent="0.25">
      <c r="B1297" s="40"/>
      <c r="C1297" s="41"/>
      <c r="D1297" s="42"/>
      <c r="E1297" s="43"/>
      <c r="F1297" s="44"/>
      <c r="G1297" s="1" t="str">
        <f>IFERROR(IF(ventas_b_mes684[[#This Row],[CUIT]]="","-",VLOOKUP(ventas_b_mes684[[#This Row],[CUIT]],Lista_CUIT[#All],2,0)),"CUIT NO CARGADO")</f>
        <v>-</v>
      </c>
      <c r="H1297" s="64"/>
      <c r="I1297" s="64">
        <f>ventas_b_mes684[[#This Row],[IMPORTE NETO]]*0.21</f>
        <v>0</v>
      </c>
      <c r="J1297" s="64"/>
      <c r="K1297" s="64"/>
      <c r="L1297" s="64">
        <f>SUM(ventas_b_mes684[[#This Row],[IMPORTE NETO]:[EXENTO]])</f>
        <v>0</v>
      </c>
      <c r="M1297" s="59"/>
    </row>
    <row r="1298" spans="2:13" x14ac:dyDescent="0.25">
      <c r="B1298" s="40"/>
      <c r="C1298" s="41"/>
      <c r="D1298" s="42"/>
      <c r="E1298" s="43"/>
      <c r="F1298" s="44"/>
      <c r="G1298" s="1" t="str">
        <f>IFERROR(IF(ventas_b_mes684[[#This Row],[CUIT]]="","-",VLOOKUP(ventas_b_mes684[[#This Row],[CUIT]],Lista_CUIT[#All],2,0)),"CUIT NO CARGADO")</f>
        <v>-</v>
      </c>
      <c r="H1298" s="64"/>
      <c r="I1298" s="64">
        <f>ventas_b_mes684[[#This Row],[IMPORTE NETO]]*0.21</f>
        <v>0</v>
      </c>
      <c r="J1298" s="64"/>
      <c r="K1298" s="64"/>
      <c r="L1298" s="64">
        <f>SUM(ventas_b_mes684[[#This Row],[IMPORTE NETO]:[EXENTO]])</f>
        <v>0</v>
      </c>
      <c r="M1298" s="59"/>
    </row>
    <row r="1299" spans="2:13" x14ac:dyDescent="0.25">
      <c r="B1299" s="40"/>
      <c r="C1299" s="41"/>
      <c r="D1299" s="42"/>
      <c r="E1299" s="43"/>
      <c r="F1299" s="44"/>
      <c r="G1299" s="1" t="str">
        <f>IFERROR(IF(ventas_b_mes684[[#This Row],[CUIT]]="","-",VLOOKUP(ventas_b_mes684[[#This Row],[CUIT]],Lista_CUIT[#All],2,0)),"CUIT NO CARGADO")</f>
        <v>-</v>
      </c>
      <c r="H1299" s="64"/>
      <c r="I1299" s="64">
        <f>ventas_b_mes684[[#This Row],[IMPORTE NETO]]*0.21</f>
        <v>0</v>
      </c>
      <c r="J1299" s="64"/>
      <c r="K1299" s="64"/>
      <c r="L1299" s="64">
        <f>SUM(ventas_b_mes684[[#This Row],[IMPORTE NETO]:[EXENTO]])</f>
        <v>0</v>
      </c>
      <c r="M1299" s="59"/>
    </row>
    <row r="1300" spans="2:13" x14ac:dyDescent="0.25">
      <c r="B1300" s="40"/>
      <c r="C1300" s="41"/>
      <c r="D1300" s="42"/>
      <c r="E1300" s="43"/>
      <c r="F1300" s="44"/>
      <c r="G1300" s="1" t="str">
        <f>IFERROR(IF(ventas_b_mes684[[#This Row],[CUIT]]="","-",VLOOKUP(ventas_b_mes684[[#This Row],[CUIT]],Lista_CUIT[#All],2,0)),"CUIT NO CARGADO")</f>
        <v>-</v>
      </c>
      <c r="H1300" s="64"/>
      <c r="I1300" s="64">
        <f>ventas_b_mes684[[#This Row],[IMPORTE NETO]]*0.21</f>
        <v>0</v>
      </c>
      <c r="J1300" s="64"/>
      <c r="K1300" s="64"/>
      <c r="L1300" s="64">
        <f>SUM(ventas_b_mes684[[#This Row],[IMPORTE NETO]:[EXENTO]])</f>
        <v>0</v>
      </c>
      <c r="M1300" s="59"/>
    </row>
    <row r="1301" spans="2:13" x14ac:dyDescent="0.25">
      <c r="B1301" s="40"/>
      <c r="C1301" s="41"/>
      <c r="D1301" s="42"/>
      <c r="E1301" s="43"/>
      <c r="F1301" s="44"/>
      <c r="G1301" s="1" t="str">
        <f>IFERROR(IF(ventas_b_mes684[[#This Row],[CUIT]]="","-",VLOOKUP(ventas_b_mes684[[#This Row],[CUIT]],Lista_CUIT[#All],2,0)),"CUIT NO CARGADO")</f>
        <v>-</v>
      </c>
      <c r="H1301" s="64"/>
      <c r="I1301" s="64">
        <f>ventas_b_mes684[[#This Row],[IMPORTE NETO]]*0.21</f>
        <v>0</v>
      </c>
      <c r="J1301" s="64"/>
      <c r="K1301" s="64"/>
      <c r="L1301" s="64">
        <f>SUM(ventas_b_mes684[[#This Row],[IMPORTE NETO]:[EXENTO]])</f>
        <v>0</v>
      </c>
      <c r="M1301" s="59"/>
    </row>
    <row r="1302" spans="2:13" x14ac:dyDescent="0.25">
      <c r="B1302" s="40"/>
      <c r="C1302" s="41"/>
      <c r="D1302" s="42"/>
      <c r="E1302" s="43"/>
      <c r="F1302" s="44"/>
      <c r="G1302" s="1" t="str">
        <f>IFERROR(IF(ventas_b_mes684[[#This Row],[CUIT]]="","-",VLOOKUP(ventas_b_mes684[[#This Row],[CUIT]],Lista_CUIT[#All],2,0)),"CUIT NO CARGADO")</f>
        <v>-</v>
      </c>
      <c r="H1302" s="64"/>
      <c r="I1302" s="64">
        <f>ventas_b_mes684[[#This Row],[IMPORTE NETO]]*0.21</f>
        <v>0</v>
      </c>
      <c r="J1302" s="64"/>
      <c r="K1302" s="64"/>
      <c r="L1302" s="64">
        <f>SUM(ventas_b_mes684[[#This Row],[IMPORTE NETO]:[EXENTO]])</f>
        <v>0</v>
      </c>
      <c r="M1302" s="59"/>
    </row>
    <row r="1303" spans="2:13" x14ac:dyDescent="0.25">
      <c r="B1303" s="40"/>
      <c r="C1303" s="41"/>
      <c r="D1303" s="42"/>
      <c r="E1303" s="43"/>
      <c r="F1303" s="44"/>
      <c r="G1303" s="1" t="str">
        <f>IFERROR(IF(ventas_b_mes684[[#This Row],[CUIT]]="","-",VLOOKUP(ventas_b_mes684[[#This Row],[CUIT]],Lista_CUIT[#All],2,0)),"CUIT NO CARGADO")</f>
        <v>-</v>
      </c>
      <c r="H1303" s="64"/>
      <c r="I1303" s="64">
        <f>ventas_b_mes684[[#This Row],[IMPORTE NETO]]*0.21</f>
        <v>0</v>
      </c>
      <c r="J1303" s="64"/>
      <c r="K1303" s="64"/>
      <c r="L1303" s="64">
        <f>SUM(ventas_b_mes684[[#This Row],[IMPORTE NETO]:[EXENTO]])</f>
        <v>0</v>
      </c>
      <c r="M1303" s="59"/>
    </row>
    <row r="1304" spans="2:13" x14ac:dyDescent="0.25">
      <c r="B1304" s="40"/>
      <c r="C1304" s="41"/>
      <c r="D1304" s="42"/>
      <c r="E1304" s="43"/>
      <c r="F1304" s="44"/>
      <c r="G1304" s="1" t="str">
        <f>IFERROR(IF(ventas_b_mes684[[#This Row],[CUIT]]="","-",VLOOKUP(ventas_b_mes684[[#This Row],[CUIT]],Lista_CUIT[#All],2,0)),"CUIT NO CARGADO")</f>
        <v>-</v>
      </c>
      <c r="H1304" s="64"/>
      <c r="I1304" s="64">
        <f>ventas_b_mes684[[#This Row],[IMPORTE NETO]]*0.21</f>
        <v>0</v>
      </c>
      <c r="J1304" s="64"/>
      <c r="K1304" s="64"/>
      <c r="L1304" s="64">
        <f>SUM(ventas_b_mes684[[#This Row],[IMPORTE NETO]:[EXENTO]])</f>
        <v>0</v>
      </c>
      <c r="M1304" s="59"/>
    </row>
    <row r="1305" spans="2:13" x14ac:dyDescent="0.25">
      <c r="B1305" s="40"/>
      <c r="C1305" s="41"/>
      <c r="D1305" s="42"/>
      <c r="E1305" s="43"/>
      <c r="F1305" s="44"/>
      <c r="G1305" s="1" t="str">
        <f>IFERROR(IF(ventas_b_mes684[[#This Row],[CUIT]]="","-",VLOOKUP(ventas_b_mes684[[#This Row],[CUIT]],Lista_CUIT[#All],2,0)),"CUIT NO CARGADO")</f>
        <v>-</v>
      </c>
      <c r="H1305" s="64"/>
      <c r="I1305" s="64">
        <f>ventas_b_mes684[[#This Row],[IMPORTE NETO]]*0.21</f>
        <v>0</v>
      </c>
      <c r="J1305" s="64"/>
      <c r="K1305" s="64"/>
      <c r="L1305" s="64">
        <f>SUM(ventas_b_mes684[[#This Row],[IMPORTE NETO]:[EXENTO]])</f>
        <v>0</v>
      </c>
      <c r="M1305" s="59"/>
    </row>
    <row r="1306" spans="2:13" x14ac:dyDescent="0.25">
      <c r="B1306" s="40"/>
      <c r="C1306" s="41"/>
      <c r="D1306" s="42"/>
      <c r="E1306" s="43"/>
      <c r="F1306" s="44"/>
      <c r="G1306" s="1" t="str">
        <f>IFERROR(IF(ventas_b_mes684[[#This Row],[CUIT]]="","-",VLOOKUP(ventas_b_mes684[[#This Row],[CUIT]],Lista_CUIT[#All],2,0)),"CUIT NO CARGADO")</f>
        <v>-</v>
      </c>
      <c r="H1306" s="64"/>
      <c r="I1306" s="64">
        <f>ventas_b_mes684[[#This Row],[IMPORTE NETO]]*0.21</f>
        <v>0</v>
      </c>
      <c r="J1306" s="64"/>
      <c r="K1306" s="64"/>
      <c r="L1306" s="64">
        <f>SUM(ventas_b_mes684[[#This Row],[IMPORTE NETO]:[EXENTO]])</f>
        <v>0</v>
      </c>
      <c r="M1306" s="59"/>
    </row>
    <row r="1307" spans="2:13" x14ac:dyDescent="0.25">
      <c r="B1307" s="40"/>
      <c r="C1307" s="41"/>
      <c r="D1307" s="42"/>
      <c r="E1307" s="43"/>
      <c r="F1307" s="44"/>
      <c r="G1307" s="1" t="str">
        <f>IFERROR(IF(ventas_b_mes684[[#This Row],[CUIT]]="","-",VLOOKUP(ventas_b_mes684[[#This Row],[CUIT]],Lista_CUIT[#All],2,0)),"CUIT NO CARGADO")</f>
        <v>-</v>
      </c>
      <c r="H1307" s="64"/>
      <c r="I1307" s="64">
        <f>ventas_b_mes684[[#This Row],[IMPORTE NETO]]*0.21</f>
        <v>0</v>
      </c>
      <c r="J1307" s="64"/>
      <c r="K1307" s="64"/>
      <c r="L1307" s="64">
        <f>SUM(ventas_b_mes684[[#This Row],[IMPORTE NETO]:[EXENTO]])</f>
        <v>0</v>
      </c>
      <c r="M1307" s="59"/>
    </row>
    <row r="1308" spans="2:13" x14ac:dyDescent="0.25">
      <c r="B1308" s="40"/>
      <c r="C1308" s="41"/>
      <c r="D1308" s="42"/>
      <c r="E1308" s="43"/>
      <c r="F1308" s="44"/>
      <c r="G1308" s="1" t="str">
        <f>IFERROR(IF(ventas_b_mes684[[#This Row],[CUIT]]="","-",VLOOKUP(ventas_b_mes684[[#This Row],[CUIT]],Lista_CUIT[#All],2,0)),"CUIT NO CARGADO")</f>
        <v>-</v>
      </c>
      <c r="H1308" s="64"/>
      <c r="I1308" s="64">
        <f>ventas_b_mes684[[#This Row],[IMPORTE NETO]]*0.21</f>
        <v>0</v>
      </c>
      <c r="J1308" s="64"/>
      <c r="K1308" s="64"/>
      <c r="L1308" s="64">
        <f>SUM(ventas_b_mes684[[#This Row],[IMPORTE NETO]:[EXENTO]])</f>
        <v>0</v>
      </c>
      <c r="M1308" s="59"/>
    </row>
    <row r="1309" spans="2:13" x14ac:dyDescent="0.25">
      <c r="B1309" s="40"/>
      <c r="C1309" s="41"/>
      <c r="D1309" s="42"/>
      <c r="E1309" s="43"/>
      <c r="F1309" s="44"/>
      <c r="G1309" s="1" t="str">
        <f>IFERROR(IF(ventas_b_mes684[[#This Row],[CUIT]]="","-",VLOOKUP(ventas_b_mes684[[#This Row],[CUIT]],Lista_CUIT[#All],2,0)),"CUIT NO CARGADO")</f>
        <v>-</v>
      </c>
      <c r="H1309" s="64"/>
      <c r="I1309" s="64">
        <f>ventas_b_mes684[[#This Row],[IMPORTE NETO]]*0.21</f>
        <v>0</v>
      </c>
      <c r="J1309" s="64"/>
      <c r="K1309" s="64"/>
      <c r="L1309" s="64">
        <f>SUM(ventas_b_mes684[[#This Row],[IMPORTE NETO]:[EXENTO]])</f>
        <v>0</v>
      </c>
      <c r="M1309" s="59"/>
    </row>
    <row r="1310" spans="2:13" x14ac:dyDescent="0.25">
      <c r="B1310" s="40"/>
      <c r="C1310" s="41"/>
      <c r="D1310" s="42"/>
      <c r="E1310" s="43"/>
      <c r="F1310" s="44"/>
      <c r="G1310" s="1" t="str">
        <f>IFERROR(IF(ventas_b_mes684[[#This Row],[CUIT]]="","-",VLOOKUP(ventas_b_mes684[[#This Row],[CUIT]],Lista_CUIT[#All],2,0)),"CUIT NO CARGADO")</f>
        <v>-</v>
      </c>
      <c r="H1310" s="64"/>
      <c r="I1310" s="64">
        <f>ventas_b_mes684[[#This Row],[IMPORTE NETO]]*0.21</f>
        <v>0</v>
      </c>
      <c r="J1310" s="64"/>
      <c r="K1310" s="64"/>
      <c r="L1310" s="64">
        <f>SUM(ventas_b_mes684[[#This Row],[IMPORTE NETO]:[EXENTO]])</f>
        <v>0</v>
      </c>
      <c r="M1310" s="59"/>
    </row>
    <row r="1311" spans="2:13" x14ac:dyDescent="0.25">
      <c r="B1311" s="40"/>
      <c r="C1311" s="41"/>
      <c r="D1311" s="42"/>
      <c r="E1311" s="43"/>
      <c r="F1311" s="44"/>
      <c r="G1311" s="1" t="str">
        <f>IFERROR(IF(ventas_b_mes684[[#This Row],[CUIT]]="","-",VLOOKUP(ventas_b_mes684[[#This Row],[CUIT]],Lista_CUIT[#All],2,0)),"CUIT NO CARGADO")</f>
        <v>-</v>
      </c>
      <c r="H1311" s="64"/>
      <c r="I1311" s="64">
        <f>ventas_b_mes684[[#This Row],[IMPORTE NETO]]*0.21</f>
        <v>0</v>
      </c>
      <c r="J1311" s="64"/>
      <c r="K1311" s="64"/>
      <c r="L1311" s="64">
        <f>SUM(ventas_b_mes684[[#This Row],[IMPORTE NETO]:[EXENTO]])</f>
        <v>0</v>
      </c>
      <c r="M1311" s="59"/>
    </row>
    <row r="1312" spans="2:13" x14ac:dyDescent="0.25">
      <c r="B1312" s="40"/>
      <c r="C1312" s="41"/>
      <c r="D1312" s="42"/>
      <c r="E1312" s="43"/>
      <c r="F1312" s="44"/>
      <c r="G1312" s="1" t="str">
        <f>IFERROR(IF(ventas_b_mes684[[#This Row],[CUIT]]="","-",VLOOKUP(ventas_b_mes684[[#This Row],[CUIT]],Lista_CUIT[#All],2,0)),"CUIT NO CARGADO")</f>
        <v>-</v>
      </c>
      <c r="H1312" s="64"/>
      <c r="I1312" s="64">
        <f>ventas_b_mes684[[#This Row],[IMPORTE NETO]]*0.21</f>
        <v>0</v>
      </c>
      <c r="J1312" s="64"/>
      <c r="K1312" s="64"/>
      <c r="L1312" s="64">
        <f>SUM(ventas_b_mes684[[#This Row],[IMPORTE NETO]:[EXENTO]])</f>
        <v>0</v>
      </c>
      <c r="M1312" s="59"/>
    </row>
    <row r="1313" spans="2:13" x14ac:dyDescent="0.25">
      <c r="B1313" s="40"/>
      <c r="C1313" s="41"/>
      <c r="D1313" s="42"/>
      <c r="E1313" s="43"/>
      <c r="F1313" s="44"/>
      <c r="G1313" s="1" t="str">
        <f>IFERROR(IF(ventas_b_mes684[[#This Row],[CUIT]]="","-",VLOOKUP(ventas_b_mes684[[#This Row],[CUIT]],Lista_CUIT[#All],2,0)),"CUIT NO CARGADO")</f>
        <v>-</v>
      </c>
      <c r="H1313" s="64"/>
      <c r="I1313" s="64">
        <f>ventas_b_mes684[[#This Row],[IMPORTE NETO]]*0.21</f>
        <v>0</v>
      </c>
      <c r="J1313" s="64"/>
      <c r="K1313" s="64"/>
      <c r="L1313" s="64">
        <f>SUM(ventas_b_mes684[[#This Row],[IMPORTE NETO]:[EXENTO]])</f>
        <v>0</v>
      </c>
      <c r="M1313" s="59"/>
    </row>
    <row r="1314" spans="2:13" x14ac:dyDescent="0.25">
      <c r="B1314" s="40"/>
      <c r="C1314" s="41"/>
      <c r="D1314" s="42"/>
      <c r="E1314" s="43"/>
      <c r="F1314" s="44"/>
      <c r="G1314" s="1" t="str">
        <f>IFERROR(IF(ventas_b_mes684[[#This Row],[CUIT]]="","-",VLOOKUP(ventas_b_mes684[[#This Row],[CUIT]],Lista_CUIT[#All],2,0)),"CUIT NO CARGADO")</f>
        <v>-</v>
      </c>
      <c r="H1314" s="64"/>
      <c r="I1314" s="64">
        <f>ventas_b_mes684[[#This Row],[IMPORTE NETO]]*0.21</f>
        <v>0</v>
      </c>
      <c r="J1314" s="64"/>
      <c r="K1314" s="64"/>
      <c r="L1314" s="64">
        <f>SUM(ventas_b_mes684[[#This Row],[IMPORTE NETO]:[EXENTO]])</f>
        <v>0</v>
      </c>
      <c r="M1314" s="59"/>
    </row>
    <row r="1315" spans="2:13" x14ac:dyDescent="0.25">
      <c r="B1315" s="40"/>
      <c r="C1315" s="41"/>
      <c r="D1315" s="42"/>
      <c r="E1315" s="43"/>
      <c r="F1315" s="44"/>
      <c r="G1315" s="1" t="str">
        <f>IFERROR(IF(ventas_b_mes684[[#This Row],[CUIT]]="","-",VLOOKUP(ventas_b_mes684[[#This Row],[CUIT]],Lista_CUIT[#All],2,0)),"CUIT NO CARGADO")</f>
        <v>-</v>
      </c>
      <c r="H1315" s="64"/>
      <c r="I1315" s="64">
        <f>ventas_b_mes684[[#This Row],[IMPORTE NETO]]*0.21</f>
        <v>0</v>
      </c>
      <c r="J1315" s="64"/>
      <c r="K1315" s="64"/>
      <c r="L1315" s="64">
        <f>SUM(ventas_b_mes684[[#This Row],[IMPORTE NETO]:[EXENTO]])</f>
        <v>0</v>
      </c>
      <c r="M1315" s="59"/>
    </row>
    <row r="1316" spans="2:13" x14ac:dyDescent="0.25">
      <c r="B1316" s="40"/>
      <c r="C1316" s="41"/>
      <c r="D1316" s="42"/>
      <c r="E1316" s="43"/>
      <c r="F1316" s="44"/>
      <c r="G1316" s="1" t="str">
        <f>IFERROR(IF(ventas_b_mes684[[#This Row],[CUIT]]="","-",VLOOKUP(ventas_b_mes684[[#This Row],[CUIT]],Lista_CUIT[#All],2,0)),"CUIT NO CARGADO")</f>
        <v>-</v>
      </c>
      <c r="H1316" s="64"/>
      <c r="I1316" s="64">
        <f>ventas_b_mes684[[#This Row],[IMPORTE NETO]]*0.21</f>
        <v>0</v>
      </c>
      <c r="J1316" s="64"/>
      <c r="K1316" s="64"/>
      <c r="L1316" s="64">
        <f>SUM(ventas_b_mes684[[#This Row],[IMPORTE NETO]:[EXENTO]])</f>
        <v>0</v>
      </c>
      <c r="M1316" s="59"/>
    </row>
    <row r="1317" spans="2:13" x14ac:dyDescent="0.25">
      <c r="B1317" s="40"/>
      <c r="C1317" s="41"/>
      <c r="D1317" s="42"/>
      <c r="E1317" s="43"/>
      <c r="F1317" s="44"/>
      <c r="G1317" s="1" t="str">
        <f>IFERROR(IF(ventas_b_mes684[[#This Row],[CUIT]]="","-",VLOOKUP(ventas_b_mes684[[#This Row],[CUIT]],Lista_CUIT[#All],2,0)),"CUIT NO CARGADO")</f>
        <v>-</v>
      </c>
      <c r="H1317" s="64"/>
      <c r="I1317" s="64">
        <f>ventas_b_mes684[[#This Row],[IMPORTE NETO]]*0.21</f>
        <v>0</v>
      </c>
      <c r="J1317" s="64"/>
      <c r="K1317" s="64"/>
      <c r="L1317" s="64">
        <f>SUM(ventas_b_mes684[[#This Row],[IMPORTE NETO]:[EXENTO]])</f>
        <v>0</v>
      </c>
      <c r="M1317" s="59"/>
    </row>
    <row r="1318" spans="2:13" x14ac:dyDescent="0.25">
      <c r="B1318" s="40"/>
      <c r="C1318" s="41"/>
      <c r="D1318" s="42"/>
      <c r="E1318" s="43"/>
      <c r="F1318" s="44"/>
      <c r="G1318" s="1" t="str">
        <f>IFERROR(IF(ventas_b_mes684[[#This Row],[CUIT]]="","-",VLOOKUP(ventas_b_mes684[[#This Row],[CUIT]],Lista_CUIT[#All],2,0)),"CUIT NO CARGADO")</f>
        <v>-</v>
      </c>
      <c r="H1318" s="64"/>
      <c r="I1318" s="64">
        <f>ventas_b_mes684[[#This Row],[IMPORTE NETO]]*0.21</f>
        <v>0</v>
      </c>
      <c r="J1318" s="64"/>
      <c r="K1318" s="64"/>
      <c r="L1318" s="64">
        <f>SUM(ventas_b_mes684[[#This Row],[IMPORTE NETO]:[EXENTO]])</f>
        <v>0</v>
      </c>
      <c r="M1318" s="59"/>
    </row>
    <row r="1319" spans="2:13" x14ac:dyDescent="0.25">
      <c r="B1319" s="40"/>
      <c r="C1319" s="41"/>
      <c r="D1319" s="42"/>
      <c r="E1319" s="43"/>
      <c r="F1319" s="44"/>
      <c r="G1319" s="1" t="str">
        <f>IFERROR(IF(ventas_b_mes684[[#This Row],[CUIT]]="","-",VLOOKUP(ventas_b_mes684[[#This Row],[CUIT]],Lista_CUIT[#All],2,0)),"CUIT NO CARGADO")</f>
        <v>-</v>
      </c>
      <c r="H1319" s="64"/>
      <c r="I1319" s="64">
        <f>ventas_b_mes684[[#This Row],[IMPORTE NETO]]*0.21</f>
        <v>0</v>
      </c>
      <c r="J1319" s="64"/>
      <c r="K1319" s="64"/>
      <c r="L1319" s="64">
        <f>SUM(ventas_b_mes684[[#This Row],[IMPORTE NETO]:[EXENTO]])</f>
        <v>0</v>
      </c>
      <c r="M1319" s="59"/>
    </row>
    <row r="1320" spans="2:13" x14ac:dyDescent="0.25">
      <c r="B1320" s="40"/>
      <c r="C1320" s="41"/>
      <c r="D1320" s="42"/>
      <c r="E1320" s="43"/>
      <c r="F1320" s="44"/>
      <c r="G1320" s="1" t="str">
        <f>IFERROR(IF(ventas_b_mes684[[#This Row],[CUIT]]="","-",VLOOKUP(ventas_b_mes684[[#This Row],[CUIT]],Lista_CUIT[#All],2,0)),"CUIT NO CARGADO")</f>
        <v>-</v>
      </c>
      <c r="H1320" s="64"/>
      <c r="I1320" s="64">
        <f>ventas_b_mes684[[#This Row],[IMPORTE NETO]]*0.21</f>
        <v>0</v>
      </c>
      <c r="J1320" s="64"/>
      <c r="K1320" s="64"/>
      <c r="L1320" s="64">
        <f>SUM(ventas_b_mes684[[#This Row],[IMPORTE NETO]:[EXENTO]])</f>
        <v>0</v>
      </c>
      <c r="M1320" s="59"/>
    </row>
    <row r="1321" spans="2:13" x14ac:dyDescent="0.25">
      <c r="B1321" s="40"/>
      <c r="C1321" s="41"/>
      <c r="D1321" s="42"/>
      <c r="E1321" s="43"/>
      <c r="F1321" s="44"/>
      <c r="G1321" s="1" t="str">
        <f>IFERROR(IF(ventas_b_mes684[[#This Row],[CUIT]]="","-",VLOOKUP(ventas_b_mes684[[#This Row],[CUIT]],Lista_CUIT[#All],2,0)),"CUIT NO CARGADO")</f>
        <v>-</v>
      </c>
      <c r="H1321" s="64"/>
      <c r="I1321" s="64">
        <f>ventas_b_mes684[[#This Row],[IMPORTE NETO]]*0.21</f>
        <v>0</v>
      </c>
      <c r="J1321" s="64"/>
      <c r="K1321" s="64"/>
      <c r="L1321" s="64">
        <f>SUM(ventas_b_mes684[[#This Row],[IMPORTE NETO]:[EXENTO]])</f>
        <v>0</v>
      </c>
      <c r="M1321" s="59"/>
    </row>
    <row r="1322" spans="2:13" x14ac:dyDescent="0.25">
      <c r="B1322" s="40"/>
      <c r="C1322" s="41"/>
      <c r="D1322" s="42"/>
      <c r="E1322" s="43"/>
      <c r="F1322" s="44"/>
      <c r="G1322" s="1" t="str">
        <f>IFERROR(IF(ventas_b_mes684[[#This Row],[CUIT]]="","-",VLOOKUP(ventas_b_mes684[[#This Row],[CUIT]],Lista_CUIT[#All],2,0)),"CUIT NO CARGADO")</f>
        <v>-</v>
      </c>
      <c r="H1322" s="64"/>
      <c r="I1322" s="64">
        <f>ventas_b_mes684[[#This Row],[IMPORTE NETO]]*0.21</f>
        <v>0</v>
      </c>
      <c r="J1322" s="64"/>
      <c r="K1322" s="64"/>
      <c r="L1322" s="64">
        <f>SUM(ventas_b_mes684[[#This Row],[IMPORTE NETO]:[EXENTO]])</f>
        <v>0</v>
      </c>
      <c r="M1322" s="59"/>
    </row>
    <row r="1323" spans="2:13" x14ac:dyDescent="0.25">
      <c r="B1323" s="40"/>
      <c r="C1323" s="41"/>
      <c r="D1323" s="42"/>
      <c r="E1323" s="43"/>
      <c r="F1323" s="44"/>
      <c r="G1323" s="1" t="str">
        <f>IFERROR(IF(ventas_b_mes684[[#This Row],[CUIT]]="","-",VLOOKUP(ventas_b_mes684[[#This Row],[CUIT]],Lista_CUIT[#All],2,0)),"CUIT NO CARGADO")</f>
        <v>-</v>
      </c>
      <c r="H1323" s="64"/>
      <c r="I1323" s="64">
        <f>ventas_b_mes684[[#This Row],[IMPORTE NETO]]*0.21</f>
        <v>0</v>
      </c>
      <c r="J1323" s="64"/>
      <c r="K1323" s="64"/>
      <c r="L1323" s="64">
        <f>SUM(ventas_b_mes684[[#This Row],[IMPORTE NETO]:[EXENTO]])</f>
        <v>0</v>
      </c>
      <c r="M1323" s="59"/>
    </row>
    <row r="1324" spans="2:13" x14ac:dyDescent="0.25">
      <c r="B1324" s="40"/>
      <c r="C1324" s="41"/>
      <c r="D1324" s="42"/>
      <c r="E1324" s="43"/>
      <c r="F1324" s="44"/>
      <c r="G1324" s="1" t="str">
        <f>IFERROR(IF(ventas_b_mes684[[#This Row],[CUIT]]="","-",VLOOKUP(ventas_b_mes684[[#This Row],[CUIT]],Lista_CUIT[#All],2,0)),"CUIT NO CARGADO")</f>
        <v>-</v>
      </c>
      <c r="H1324" s="64"/>
      <c r="I1324" s="64">
        <f>ventas_b_mes684[[#This Row],[IMPORTE NETO]]*0.21</f>
        <v>0</v>
      </c>
      <c r="J1324" s="64"/>
      <c r="K1324" s="64"/>
      <c r="L1324" s="64">
        <f>SUM(ventas_b_mes684[[#This Row],[IMPORTE NETO]:[EXENTO]])</f>
        <v>0</v>
      </c>
      <c r="M1324" s="59"/>
    </row>
    <row r="1325" spans="2:13" x14ac:dyDescent="0.25">
      <c r="B1325" s="40"/>
      <c r="C1325" s="41"/>
      <c r="D1325" s="42"/>
      <c r="E1325" s="43"/>
      <c r="F1325" s="44"/>
      <c r="G1325" s="1" t="str">
        <f>IFERROR(IF(ventas_b_mes684[[#This Row],[CUIT]]="","-",VLOOKUP(ventas_b_mes684[[#This Row],[CUIT]],Lista_CUIT[#All],2,0)),"CUIT NO CARGADO")</f>
        <v>-</v>
      </c>
      <c r="H1325" s="64"/>
      <c r="I1325" s="64">
        <f>ventas_b_mes684[[#This Row],[IMPORTE NETO]]*0.21</f>
        <v>0</v>
      </c>
      <c r="J1325" s="64"/>
      <c r="K1325" s="64"/>
      <c r="L1325" s="64">
        <f>SUM(ventas_b_mes684[[#This Row],[IMPORTE NETO]:[EXENTO]])</f>
        <v>0</v>
      </c>
      <c r="M1325" s="59"/>
    </row>
    <row r="1326" spans="2:13" x14ac:dyDescent="0.25">
      <c r="B1326" s="40"/>
      <c r="C1326" s="41"/>
      <c r="D1326" s="42"/>
      <c r="E1326" s="43"/>
      <c r="F1326" s="44"/>
      <c r="G1326" s="1" t="str">
        <f>IFERROR(IF(ventas_b_mes684[[#This Row],[CUIT]]="","-",VLOOKUP(ventas_b_mes684[[#This Row],[CUIT]],Lista_CUIT[#All],2,0)),"CUIT NO CARGADO")</f>
        <v>-</v>
      </c>
      <c r="H1326" s="64"/>
      <c r="I1326" s="64">
        <f>ventas_b_mes684[[#This Row],[IMPORTE NETO]]*0.21</f>
        <v>0</v>
      </c>
      <c r="J1326" s="64"/>
      <c r="K1326" s="64"/>
      <c r="L1326" s="64">
        <f>SUM(ventas_b_mes684[[#This Row],[IMPORTE NETO]:[EXENTO]])</f>
        <v>0</v>
      </c>
      <c r="M1326" s="59"/>
    </row>
    <row r="1327" spans="2:13" x14ac:dyDescent="0.25">
      <c r="B1327" s="40"/>
      <c r="C1327" s="41"/>
      <c r="D1327" s="42"/>
      <c r="E1327" s="43"/>
      <c r="F1327" s="44"/>
      <c r="G1327" s="1" t="str">
        <f>IFERROR(IF(ventas_b_mes684[[#This Row],[CUIT]]="","-",VLOOKUP(ventas_b_mes684[[#This Row],[CUIT]],Lista_CUIT[#All],2,0)),"CUIT NO CARGADO")</f>
        <v>-</v>
      </c>
      <c r="H1327" s="64"/>
      <c r="I1327" s="64">
        <f>ventas_b_mes684[[#This Row],[IMPORTE NETO]]*0.21</f>
        <v>0</v>
      </c>
      <c r="J1327" s="64"/>
      <c r="K1327" s="64"/>
      <c r="L1327" s="64">
        <f>SUM(ventas_b_mes684[[#This Row],[IMPORTE NETO]:[EXENTO]])</f>
        <v>0</v>
      </c>
      <c r="M1327" s="59"/>
    </row>
    <row r="1328" spans="2:13" x14ac:dyDescent="0.25">
      <c r="B1328" s="40"/>
      <c r="C1328" s="41"/>
      <c r="D1328" s="42"/>
      <c r="E1328" s="43"/>
      <c r="F1328" s="44"/>
      <c r="G1328" s="1" t="str">
        <f>IFERROR(IF(ventas_b_mes684[[#This Row],[CUIT]]="","-",VLOOKUP(ventas_b_mes684[[#This Row],[CUIT]],Lista_CUIT[#All],2,0)),"CUIT NO CARGADO")</f>
        <v>-</v>
      </c>
      <c r="H1328" s="64"/>
      <c r="I1328" s="64">
        <f>ventas_b_mes684[[#This Row],[IMPORTE NETO]]*0.21</f>
        <v>0</v>
      </c>
      <c r="J1328" s="64"/>
      <c r="K1328" s="64"/>
      <c r="L1328" s="64">
        <f>SUM(ventas_b_mes684[[#This Row],[IMPORTE NETO]:[EXENTO]])</f>
        <v>0</v>
      </c>
      <c r="M1328" s="59"/>
    </row>
    <row r="1329" spans="2:13" x14ac:dyDescent="0.25">
      <c r="B1329" s="40"/>
      <c r="C1329" s="41"/>
      <c r="D1329" s="42"/>
      <c r="E1329" s="43"/>
      <c r="F1329" s="44"/>
      <c r="G1329" s="1" t="str">
        <f>IFERROR(IF(ventas_b_mes684[[#This Row],[CUIT]]="","-",VLOOKUP(ventas_b_mes684[[#This Row],[CUIT]],Lista_CUIT[#All],2,0)),"CUIT NO CARGADO")</f>
        <v>-</v>
      </c>
      <c r="H1329" s="64"/>
      <c r="I1329" s="64">
        <f>ventas_b_mes684[[#This Row],[IMPORTE NETO]]*0.21</f>
        <v>0</v>
      </c>
      <c r="J1329" s="64"/>
      <c r="K1329" s="64"/>
      <c r="L1329" s="64">
        <f>SUM(ventas_b_mes684[[#This Row],[IMPORTE NETO]:[EXENTO]])</f>
        <v>0</v>
      </c>
      <c r="M1329" s="59"/>
    </row>
    <row r="1330" spans="2:13" x14ac:dyDescent="0.25">
      <c r="B1330" s="40"/>
      <c r="C1330" s="41"/>
      <c r="D1330" s="42"/>
      <c r="E1330" s="43"/>
      <c r="F1330" s="44"/>
      <c r="G1330" s="1" t="str">
        <f>IFERROR(IF(ventas_b_mes684[[#This Row],[CUIT]]="","-",VLOOKUP(ventas_b_mes684[[#This Row],[CUIT]],Lista_CUIT[#All],2,0)),"CUIT NO CARGADO")</f>
        <v>-</v>
      </c>
      <c r="H1330" s="64"/>
      <c r="I1330" s="64">
        <f>ventas_b_mes684[[#This Row],[IMPORTE NETO]]*0.21</f>
        <v>0</v>
      </c>
      <c r="J1330" s="64"/>
      <c r="K1330" s="64"/>
      <c r="L1330" s="64">
        <f>SUM(ventas_b_mes684[[#This Row],[IMPORTE NETO]:[EXENTO]])</f>
        <v>0</v>
      </c>
      <c r="M1330" s="59"/>
    </row>
    <row r="1331" spans="2:13" x14ac:dyDescent="0.25">
      <c r="B1331" s="40"/>
      <c r="C1331" s="41"/>
      <c r="D1331" s="42"/>
      <c r="E1331" s="43"/>
      <c r="F1331" s="44"/>
      <c r="G1331" s="1" t="str">
        <f>IFERROR(IF(ventas_b_mes684[[#This Row],[CUIT]]="","-",VLOOKUP(ventas_b_mes684[[#This Row],[CUIT]],Lista_CUIT[#All],2,0)),"CUIT NO CARGADO")</f>
        <v>-</v>
      </c>
      <c r="H1331" s="64"/>
      <c r="I1331" s="64">
        <f>ventas_b_mes684[[#This Row],[IMPORTE NETO]]*0.21</f>
        <v>0</v>
      </c>
      <c r="J1331" s="64"/>
      <c r="K1331" s="64"/>
      <c r="L1331" s="64">
        <f>SUM(ventas_b_mes684[[#This Row],[IMPORTE NETO]:[EXENTO]])</f>
        <v>0</v>
      </c>
      <c r="M1331" s="59"/>
    </row>
    <row r="1332" spans="2:13" x14ac:dyDescent="0.25">
      <c r="B1332" s="40"/>
      <c r="C1332" s="41"/>
      <c r="D1332" s="42"/>
      <c r="E1332" s="43"/>
      <c r="F1332" s="44"/>
      <c r="G1332" s="1" t="str">
        <f>IFERROR(IF(ventas_b_mes684[[#This Row],[CUIT]]="","-",VLOOKUP(ventas_b_mes684[[#This Row],[CUIT]],Lista_CUIT[#All],2,0)),"CUIT NO CARGADO")</f>
        <v>-</v>
      </c>
      <c r="H1332" s="64"/>
      <c r="I1332" s="64">
        <f>ventas_b_mes684[[#This Row],[IMPORTE NETO]]*0.21</f>
        <v>0</v>
      </c>
      <c r="J1332" s="64"/>
      <c r="K1332" s="64"/>
      <c r="L1332" s="64">
        <f>SUM(ventas_b_mes684[[#This Row],[IMPORTE NETO]:[EXENTO]])</f>
        <v>0</v>
      </c>
      <c r="M1332" s="59"/>
    </row>
    <row r="1333" spans="2:13" x14ac:dyDescent="0.25">
      <c r="B1333" s="40"/>
      <c r="C1333" s="41"/>
      <c r="D1333" s="42"/>
      <c r="E1333" s="43"/>
      <c r="F1333" s="44"/>
      <c r="G1333" s="1" t="str">
        <f>IFERROR(IF(ventas_b_mes684[[#This Row],[CUIT]]="","-",VLOOKUP(ventas_b_mes684[[#This Row],[CUIT]],Lista_CUIT[#All],2,0)),"CUIT NO CARGADO")</f>
        <v>-</v>
      </c>
      <c r="H1333" s="64"/>
      <c r="I1333" s="64">
        <f>ventas_b_mes684[[#This Row],[IMPORTE NETO]]*0.21</f>
        <v>0</v>
      </c>
      <c r="J1333" s="64"/>
      <c r="K1333" s="64"/>
      <c r="L1333" s="64">
        <f>SUM(ventas_b_mes684[[#This Row],[IMPORTE NETO]:[EXENTO]])</f>
        <v>0</v>
      </c>
      <c r="M1333" s="59"/>
    </row>
    <row r="1334" spans="2:13" x14ac:dyDescent="0.25">
      <c r="B1334" s="40"/>
      <c r="C1334" s="41"/>
      <c r="D1334" s="42"/>
      <c r="E1334" s="43"/>
      <c r="F1334" s="44"/>
      <c r="G1334" s="1" t="str">
        <f>IFERROR(IF(ventas_b_mes684[[#This Row],[CUIT]]="","-",VLOOKUP(ventas_b_mes684[[#This Row],[CUIT]],Lista_CUIT[#All],2,0)),"CUIT NO CARGADO")</f>
        <v>-</v>
      </c>
      <c r="H1334" s="64"/>
      <c r="I1334" s="64">
        <f>ventas_b_mes684[[#This Row],[IMPORTE NETO]]*0.21</f>
        <v>0</v>
      </c>
      <c r="J1334" s="64"/>
      <c r="K1334" s="64"/>
      <c r="L1334" s="64">
        <f>SUM(ventas_b_mes684[[#This Row],[IMPORTE NETO]:[EXENTO]])</f>
        <v>0</v>
      </c>
      <c r="M1334" s="59"/>
    </row>
    <row r="1335" spans="2:13" x14ac:dyDescent="0.25">
      <c r="B1335" s="40"/>
      <c r="C1335" s="41"/>
      <c r="D1335" s="42"/>
      <c r="E1335" s="43"/>
      <c r="F1335" s="44"/>
      <c r="G1335" s="1" t="str">
        <f>IFERROR(IF(ventas_b_mes684[[#This Row],[CUIT]]="","-",VLOOKUP(ventas_b_mes684[[#This Row],[CUIT]],Lista_CUIT[#All],2,0)),"CUIT NO CARGADO")</f>
        <v>-</v>
      </c>
      <c r="H1335" s="64"/>
      <c r="I1335" s="64">
        <f>ventas_b_mes684[[#This Row],[IMPORTE NETO]]*0.21</f>
        <v>0</v>
      </c>
      <c r="J1335" s="64"/>
      <c r="K1335" s="64"/>
      <c r="L1335" s="64">
        <f>SUM(ventas_b_mes684[[#This Row],[IMPORTE NETO]:[EXENTO]])</f>
        <v>0</v>
      </c>
      <c r="M1335" s="59"/>
    </row>
    <row r="1336" spans="2:13" x14ac:dyDescent="0.25">
      <c r="B1336" s="40"/>
      <c r="C1336" s="41"/>
      <c r="D1336" s="42"/>
      <c r="E1336" s="43"/>
      <c r="F1336" s="44"/>
      <c r="G1336" s="1" t="str">
        <f>IFERROR(IF(ventas_b_mes684[[#This Row],[CUIT]]="","-",VLOOKUP(ventas_b_mes684[[#This Row],[CUIT]],Lista_CUIT[#All],2,0)),"CUIT NO CARGADO")</f>
        <v>-</v>
      </c>
      <c r="H1336" s="64"/>
      <c r="I1336" s="64">
        <f>ventas_b_mes684[[#This Row],[IMPORTE NETO]]*0.21</f>
        <v>0</v>
      </c>
      <c r="J1336" s="64"/>
      <c r="K1336" s="64"/>
      <c r="L1336" s="64">
        <f>SUM(ventas_b_mes684[[#This Row],[IMPORTE NETO]:[EXENTO]])</f>
        <v>0</v>
      </c>
      <c r="M1336" s="59"/>
    </row>
    <row r="1337" spans="2:13" x14ac:dyDescent="0.25">
      <c r="B1337" s="40"/>
      <c r="C1337" s="41"/>
      <c r="D1337" s="42"/>
      <c r="E1337" s="43"/>
      <c r="F1337" s="44"/>
      <c r="G1337" s="1" t="str">
        <f>IFERROR(IF(ventas_b_mes684[[#This Row],[CUIT]]="","-",VLOOKUP(ventas_b_mes684[[#This Row],[CUIT]],Lista_CUIT[#All],2,0)),"CUIT NO CARGADO")</f>
        <v>-</v>
      </c>
      <c r="H1337" s="64"/>
      <c r="I1337" s="64">
        <f>ventas_b_mes684[[#This Row],[IMPORTE NETO]]*0.21</f>
        <v>0</v>
      </c>
      <c r="J1337" s="64"/>
      <c r="K1337" s="64"/>
      <c r="L1337" s="64">
        <f>SUM(ventas_b_mes684[[#This Row],[IMPORTE NETO]:[EXENTO]])</f>
        <v>0</v>
      </c>
      <c r="M1337" s="59"/>
    </row>
    <row r="1338" spans="2:13" x14ac:dyDescent="0.25">
      <c r="B1338" s="40"/>
      <c r="C1338" s="41"/>
      <c r="D1338" s="42"/>
      <c r="E1338" s="43"/>
      <c r="F1338" s="44"/>
      <c r="G1338" s="1" t="str">
        <f>IFERROR(IF(ventas_b_mes684[[#This Row],[CUIT]]="","-",VLOOKUP(ventas_b_mes684[[#This Row],[CUIT]],Lista_CUIT[#All],2,0)),"CUIT NO CARGADO")</f>
        <v>-</v>
      </c>
      <c r="H1338" s="64"/>
      <c r="I1338" s="64">
        <f>ventas_b_mes684[[#This Row],[IMPORTE NETO]]*0.21</f>
        <v>0</v>
      </c>
      <c r="J1338" s="64"/>
      <c r="K1338" s="64"/>
      <c r="L1338" s="64">
        <f>SUM(ventas_b_mes684[[#This Row],[IMPORTE NETO]:[EXENTO]])</f>
        <v>0</v>
      </c>
      <c r="M1338" s="59"/>
    </row>
    <row r="1339" spans="2:13" x14ac:dyDescent="0.25">
      <c r="B1339" s="40"/>
      <c r="C1339" s="41"/>
      <c r="D1339" s="42"/>
      <c r="E1339" s="43"/>
      <c r="F1339" s="44"/>
      <c r="G1339" s="1" t="str">
        <f>IFERROR(IF(ventas_b_mes684[[#This Row],[CUIT]]="","-",VLOOKUP(ventas_b_mes684[[#This Row],[CUIT]],Lista_CUIT[#All],2,0)),"CUIT NO CARGADO")</f>
        <v>-</v>
      </c>
      <c r="H1339" s="64"/>
      <c r="I1339" s="64">
        <f>ventas_b_mes684[[#This Row],[IMPORTE NETO]]*0.21</f>
        <v>0</v>
      </c>
      <c r="J1339" s="64"/>
      <c r="K1339" s="64"/>
      <c r="L1339" s="64">
        <f>SUM(ventas_b_mes684[[#This Row],[IMPORTE NETO]:[EXENTO]])</f>
        <v>0</v>
      </c>
      <c r="M1339" s="59"/>
    </row>
    <row r="1340" spans="2:13" x14ac:dyDescent="0.25">
      <c r="B1340" s="40"/>
      <c r="C1340" s="41"/>
      <c r="D1340" s="42"/>
      <c r="E1340" s="43"/>
      <c r="F1340" s="44"/>
      <c r="G1340" s="1" t="str">
        <f>IFERROR(IF(ventas_b_mes684[[#This Row],[CUIT]]="","-",VLOOKUP(ventas_b_mes684[[#This Row],[CUIT]],Lista_CUIT[#All],2,0)),"CUIT NO CARGADO")</f>
        <v>-</v>
      </c>
      <c r="H1340" s="64"/>
      <c r="I1340" s="64">
        <f>ventas_b_mes684[[#This Row],[IMPORTE NETO]]*0.21</f>
        <v>0</v>
      </c>
      <c r="J1340" s="64"/>
      <c r="K1340" s="64"/>
      <c r="L1340" s="64">
        <f>SUM(ventas_b_mes684[[#This Row],[IMPORTE NETO]:[EXENTO]])</f>
        <v>0</v>
      </c>
      <c r="M1340" s="59"/>
    </row>
    <row r="1341" spans="2:13" x14ac:dyDescent="0.25">
      <c r="B1341" s="40"/>
      <c r="C1341" s="41"/>
      <c r="D1341" s="42"/>
      <c r="E1341" s="43"/>
      <c r="F1341" s="44"/>
      <c r="G1341" s="1" t="str">
        <f>IFERROR(IF(ventas_b_mes684[[#This Row],[CUIT]]="","-",VLOOKUP(ventas_b_mes684[[#This Row],[CUIT]],Lista_CUIT[#All],2,0)),"CUIT NO CARGADO")</f>
        <v>-</v>
      </c>
      <c r="H1341" s="64"/>
      <c r="I1341" s="64">
        <f>ventas_b_mes684[[#This Row],[IMPORTE NETO]]*0.21</f>
        <v>0</v>
      </c>
      <c r="J1341" s="64"/>
      <c r="K1341" s="64"/>
      <c r="L1341" s="64">
        <f>SUM(ventas_b_mes684[[#This Row],[IMPORTE NETO]:[EXENTO]])</f>
        <v>0</v>
      </c>
      <c r="M1341" s="59"/>
    </row>
    <row r="1342" spans="2:13" x14ac:dyDescent="0.25">
      <c r="B1342" s="40"/>
      <c r="C1342" s="41"/>
      <c r="D1342" s="42"/>
      <c r="E1342" s="43"/>
      <c r="F1342" s="44"/>
      <c r="G1342" s="1" t="str">
        <f>IFERROR(IF(ventas_b_mes684[[#This Row],[CUIT]]="","-",VLOOKUP(ventas_b_mes684[[#This Row],[CUIT]],Lista_CUIT[#All],2,0)),"CUIT NO CARGADO")</f>
        <v>-</v>
      </c>
      <c r="H1342" s="64"/>
      <c r="I1342" s="64">
        <f>ventas_b_mes684[[#This Row],[IMPORTE NETO]]*0.21</f>
        <v>0</v>
      </c>
      <c r="J1342" s="64"/>
      <c r="K1342" s="64"/>
      <c r="L1342" s="64">
        <f>SUM(ventas_b_mes684[[#This Row],[IMPORTE NETO]:[EXENTO]])</f>
        <v>0</v>
      </c>
      <c r="M1342" s="59"/>
    </row>
    <row r="1343" spans="2:13" x14ac:dyDescent="0.25">
      <c r="B1343" s="40"/>
      <c r="C1343" s="41"/>
      <c r="D1343" s="42"/>
      <c r="E1343" s="43"/>
      <c r="F1343" s="44"/>
      <c r="G1343" s="1" t="str">
        <f>IFERROR(IF(ventas_b_mes684[[#This Row],[CUIT]]="","-",VLOOKUP(ventas_b_mes684[[#This Row],[CUIT]],Lista_CUIT[#All],2,0)),"CUIT NO CARGADO")</f>
        <v>-</v>
      </c>
      <c r="H1343" s="64"/>
      <c r="I1343" s="64">
        <f>ventas_b_mes684[[#This Row],[IMPORTE NETO]]*0.21</f>
        <v>0</v>
      </c>
      <c r="J1343" s="64"/>
      <c r="K1343" s="64"/>
      <c r="L1343" s="64">
        <f>SUM(ventas_b_mes684[[#This Row],[IMPORTE NETO]:[EXENTO]])</f>
        <v>0</v>
      </c>
      <c r="M1343" s="59"/>
    </row>
    <row r="1344" spans="2:13" x14ac:dyDescent="0.25">
      <c r="B1344" s="40"/>
      <c r="C1344" s="41"/>
      <c r="D1344" s="42"/>
      <c r="E1344" s="43"/>
      <c r="F1344" s="44"/>
      <c r="G1344" s="1" t="str">
        <f>IFERROR(IF(ventas_b_mes684[[#This Row],[CUIT]]="","-",VLOOKUP(ventas_b_mes684[[#This Row],[CUIT]],Lista_CUIT[#All],2,0)),"CUIT NO CARGADO")</f>
        <v>-</v>
      </c>
      <c r="H1344" s="64"/>
      <c r="I1344" s="64">
        <f>ventas_b_mes684[[#This Row],[IMPORTE NETO]]*0.21</f>
        <v>0</v>
      </c>
      <c r="J1344" s="64"/>
      <c r="K1344" s="64"/>
      <c r="L1344" s="64">
        <f>SUM(ventas_b_mes684[[#This Row],[IMPORTE NETO]:[EXENTO]])</f>
        <v>0</v>
      </c>
      <c r="M1344" s="59"/>
    </row>
    <row r="1345" spans="2:13" x14ac:dyDescent="0.25">
      <c r="B1345" s="40"/>
      <c r="C1345" s="41"/>
      <c r="D1345" s="42"/>
      <c r="E1345" s="43"/>
      <c r="F1345" s="44"/>
      <c r="G1345" s="1" t="str">
        <f>IFERROR(IF(ventas_b_mes684[[#This Row],[CUIT]]="","-",VLOOKUP(ventas_b_mes684[[#This Row],[CUIT]],Lista_CUIT[#All],2,0)),"CUIT NO CARGADO")</f>
        <v>-</v>
      </c>
      <c r="H1345" s="64"/>
      <c r="I1345" s="64">
        <f>ventas_b_mes684[[#This Row],[IMPORTE NETO]]*0.21</f>
        <v>0</v>
      </c>
      <c r="J1345" s="64"/>
      <c r="K1345" s="64"/>
      <c r="L1345" s="64">
        <f>SUM(ventas_b_mes684[[#This Row],[IMPORTE NETO]:[EXENTO]])</f>
        <v>0</v>
      </c>
      <c r="M1345" s="59"/>
    </row>
    <row r="1346" spans="2:13" x14ac:dyDescent="0.25">
      <c r="B1346" s="40"/>
      <c r="C1346" s="41"/>
      <c r="D1346" s="42"/>
      <c r="E1346" s="43"/>
      <c r="F1346" s="44"/>
      <c r="G1346" s="1" t="str">
        <f>IFERROR(IF(ventas_b_mes684[[#This Row],[CUIT]]="","-",VLOOKUP(ventas_b_mes684[[#This Row],[CUIT]],Lista_CUIT[#All],2,0)),"CUIT NO CARGADO")</f>
        <v>-</v>
      </c>
      <c r="H1346" s="64"/>
      <c r="I1346" s="64">
        <f>ventas_b_mes684[[#This Row],[IMPORTE NETO]]*0.21</f>
        <v>0</v>
      </c>
      <c r="J1346" s="64"/>
      <c r="K1346" s="64"/>
      <c r="L1346" s="64">
        <f>SUM(ventas_b_mes684[[#This Row],[IMPORTE NETO]:[EXENTO]])</f>
        <v>0</v>
      </c>
      <c r="M1346" s="59"/>
    </row>
    <row r="1347" spans="2:13" x14ac:dyDescent="0.25">
      <c r="B1347" s="40"/>
      <c r="C1347" s="41"/>
      <c r="D1347" s="42"/>
      <c r="E1347" s="43"/>
      <c r="F1347" s="44"/>
      <c r="G1347" s="1" t="str">
        <f>IFERROR(IF(ventas_b_mes684[[#This Row],[CUIT]]="","-",VLOOKUP(ventas_b_mes684[[#This Row],[CUIT]],Lista_CUIT[#All],2,0)),"CUIT NO CARGADO")</f>
        <v>-</v>
      </c>
      <c r="H1347" s="64"/>
      <c r="I1347" s="64">
        <f>ventas_b_mes684[[#This Row],[IMPORTE NETO]]*0.21</f>
        <v>0</v>
      </c>
      <c r="J1347" s="64"/>
      <c r="K1347" s="64"/>
      <c r="L1347" s="64">
        <f>SUM(ventas_b_mes684[[#This Row],[IMPORTE NETO]:[EXENTO]])</f>
        <v>0</v>
      </c>
      <c r="M1347" s="59"/>
    </row>
    <row r="1348" spans="2:13" x14ac:dyDescent="0.25">
      <c r="B1348" s="40"/>
      <c r="C1348" s="41"/>
      <c r="D1348" s="42"/>
      <c r="E1348" s="43"/>
      <c r="F1348" s="44"/>
      <c r="G1348" s="1" t="str">
        <f>IFERROR(IF(ventas_b_mes684[[#This Row],[CUIT]]="","-",VLOOKUP(ventas_b_mes684[[#This Row],[CUIT]],Lista_CUIT[#All],2,0)),"CUIT NO CARGADO")</f>
        <v>-</v>
      </c>
      <c r="H1348" s="64"/>
      <c r="I1348" s="64">
        <f>ventas_b_mes684[[#This Row],[IMPORTE NETO]]*0.21</f>
        <v>0</v>
      </c>
      <c r="J1348" s="64"/>
      <c r="K1348" s="64"/>
      <c r="L1348" s="64">
        <f>SUM(ventas_b_mes684[[#This Row],[IMPORTE NETO]:[EXENTO]])</f>
        <v>0</v>
      </c>
      <c r="M1348" s="59"/>
    </row>
    <row r="1349" spans="2:13" x14ac:dyDescent="0.25">
      <c r="B1349" s="40"/>
      <c r="C1349" s="41"/>
      <c r="D1349" s="42"/>
      <c r="E1349" s="43"/>
      <c r="F1349" s="44"/>
      <c r="G1349" s="1" t="str">
        <f>IFERROR(IF(ventas_b_mes684[[#This Row],[CUIT]]="","-",VLOOKUP(ventas_b_mes684[[#This Row],[CUIT]],Lista_CUIT[#All],2,0)),"CUIT NO CARGADO")</f>
        <v>-</v>
      </c>
      <c r="H1349" s="64"/>
      <c r="I1349" s="64">
        <f>ventas_b_mes684[[#This Row],[IMPORTE NETO]]*0.21</f>
        <v>0</v>
      </c>
      <c r="J1349" s="64"/>
      <c r="K1349" s="64"/>
      <c r="L1349" s="64">
        <f>SUM(ventas_b_mes684[[#This Row],[IMPORTE NETO]:[EXENTO]])</f>
        <v>0</v>
      </c>
      <c r="M1349" s="59"/>
    </row>
    <row r="1350" spans="2:13" x14ac:dyDescent="0.25">
      <c r="B1350" s="40"/>
      <c r="C1350" s="41"/>
      <c r="D1350" s="42"/>
      <c r="E1350" s="43"/>
      <c r="F1350" s="44"/>
      <c r="G1350" s="1" t="str">
        <f>IFERROR(IF(ventas_b_mes684[[#This Row],[CUIT]]="","-",VLOOKUP(ventas_b_mes684[[#This Row],[CUIT]],Lista_CUIT[#All],2,0)),"CUIT NO CARGADO")</f>
        <v>-</v>
      </c>
      <c r="H1350" s="64"/>
      <c r="I1350" s="64">
        <f>ventas_b_mes684[[#This Row],[IMPORTE NETO]]*0.21</f>
        <v>0</v>
      </c>
      <c r="J1350" s="64"/>
      <c r="K1350" s="64"/>
      <c r="L1350" s="64">
        <f>SUM(ventas_b_mes684[[#This Row],[IMPORTE NETO]:[EXENTO]])</f>
        <v>0</v>
      </c>
      <c r="M1350" s="59"/>
    </row>
    <row r="1351" spans="2:13" x14ac:dyDescent="0.25">
      <c r="B1351" s="40"/>
      <c r="C1351" s="41"/>
      <c r="D1351" s="42"/>
      <c r="E1351" s="43"/>
      <c r="F1351" s="44"/>
      <c r="G1351" s="1" t="str">
        <f>IFERROR(IF(ventas_b_mes684[[#This Row],[CUIT]]="","-",VLOOKUP(ventas_b_mes684[[#This Row],[CUIT]],Lista_CUIT[#All],2,0)),"CUIT NO CARGADO")</f>
        <v>-</v>
      </c>
      <c r="H1351" s="64"/>
      <c r="I1351" s="64">
        <f>ventas_b_mes684[[#This Row],[IMPORTE NETO]]*0.21</f>
        <v>0</v>
      </c>
      <c r="J1351" s="64"/>
      <c r="K1351" s="64"/>
      <c r="L1351" s="64">
        <f>SUM(ventas_b_mes684[[#This Row],[IMPORTE NETO]:[EXENTO]])</f>
        <v>0</v>
      </c>
      <c r="M1351" s="59"/>
    </row>
    <row r="1352" spans="2:13" x14ac:dyDescent="0.25">
      <c r="B1352" s="40"/>
      <c r="C1352" s="41"/>
      <c r="D1352" s="42"/>
      <c r="E1352" s="43"/>
      <c r="F1352" s="44"/>
      <c r="G1352" s="1" t="str">
        <f>IFERROR(IF(ventas_b_mes684[[#This Row],[CUIT]]="","-",VLOOKUP(ventas_b_mes684[[#This Row],[CUIT]],Lista_CUIT[#All],2,0)),"CUIT NO CARGADO")</f>
        <v>-</v>
      </c>
      <c r="H1352" s="64"/>
      <c r="I1352" s="64">
        <f>ventas_b_mes684[[#This Row],[IMPORTE NETO]]*0.21</f>
        <v>0</v>
      </c>
      <c r="J1352" s="64"/>
      <c r="K1352" s="64"/>
      <c r="L1352" s="64">
        <f>SUM(ventas_b_mes684[[#This Row],[IMPORTE NETO]:[EXENTO]])</f>
        <v>0</v>
      </c>
      <c r="M1352" s="59"/>
    </row>
    <row r="1353" spans="2:13" x14ac:dyDescent="0.25">
      <c r="B1353" s="40"/>
      <c r="C1353" s="41"/>
      <c r="D1353" s="42"/>
      <c r="E1353" s="43"/>
      <c r="F1353" s="44"/>
      <c r="G1353" s="1" t="str">
        <f>IFERROR(IF(ventas_b_mes684[[#This Row],[CUIT]]="","-",VLOOKUP(ventas_b_mes684[[#This Row],[CUIT]],Lista_CUIT[#All],2,0)),"CUIT NO CARGADO")</f>
        <v>-</v>
      </c>
      <c r="H1353" s="64"/>
      <c r="I1353" s="64">
        <f>ventas_b_mes684[[#This Row],[IMPORTE NETO]]*0.21</f>
        <v>0</v>
      </c>
      <c r="J1353" s="64"/>
      <c r="K1353" s="64"/>
      <c r="L1353" s="64">
        <f>SUM(ventas_b_mes684[[#This Row],[IMPORTE NETO]:[EXENTO]])</f>
        <v>0</v>
      </c>
      <c r="M1353" s="59"/>
    </row>
    <row r="1354" spans="2:13" x14ac:dyDescent="0.25">
      <c r="B1354" s="40"/>
      <c r="C1354" s="41"/>
      <c r="D1354" s="42"/>
      <c r="E1354" s="43"/>
      <c r="F1354" s="44"/>
      <c r="G1354" s="1" t="str">
        <f>IFERROR(IF(ventas_b_mes684[[#This Row],[CUIT]]="","-",VLOOKUP(ventas_b_mes684[[#This Row],[CUIT]],Lista_CUIT[#All],2,0)),"CUIT NO CARGADO")</f>
        <v>-</v>
      </c>
      <c r="H1354" s="64"/>
      <c r="I1354" s="64">
        <f>ventas_b_mes684[[#This Row],[IMPORTE NETO]]*0.21</f>
        <v>0</v>
      </c>
      <c r="J1354" s="64"/>
      <c r="K1354" s="64"/>
      <c r="L1354" s="64">
        <f>SUM(ventas_b_mes684[[#This Row],[IMPORTE NETO]:[EXENTO]])</f>
        <v>0</v>
      </c>
      <c r="M1354" s="59"/>
    </row>
    <row r="1355" spans="2:13" x14ac:dyDescent="0.25">
      <c r="B1355" s="40"/>
      <c r="C1355" s="41"/>
      <c r="D1355" s="42"/>
      <c r="E1355" s="43"/>
      <c r="F1355" s="44"/>
      <c r="G1355" s="1" t="str">
        <f>IFERROR(IF(ventas_b_mes684[[#This Row],[CUIT]]="","-",VLOOKUP(ventas_b_mes684[[#This Row],[CUIT]],Lista_CUIT[#All],2,0)),"CUIT NO CARGADO")</f>
        <v>-</v>
      </c>
      <c r="H1355" s="64"/>
      <c r="I1355" s="64">
        <f>ventas_b_mes684[[#This Row],[IMPORTE NETO]]*0.21</f>
        <v>0</v>
      </c>
      <c r="J1355" s="64"/>
      <c r="K1355" s="64"/>
      <c r="L1355" s="64">
        <f>SUM(ventas_b_mes684[[#This Row],[IMPORTE NETO]:[EXENTO]])</f>
        <v>0</v>
      </c>
      <c r="M1355" s="59"/>
    </row>
    <row r="1356" spans="2:13" x14ac:dyDescent="0.25">
      <c r="B1356" s="40"/>
      <c r="C1356" s="41"/>
      <c r="D1356" s="42"/>
      <c r="E1356" s="43"/>
      <c r="F1356" s="44"/>
      <c r="G1356" s="1" t="str">
        <f>IFERROR(IF(ventas_b_mes684[[#This Row],[CUIT]]="","-",VLOOKUP(ventas_b_mes684[[#This Row],[CUIT]],Lista_CUIT[#All],2,0)),"CUIT NO CARGADO")</f>
        <v>-</v>
      </c>
      <c r="H1356" s="64"/>
      <c r="I1356" s="64">
        <f>ventas_b_mes684[[#This Row],[IMPORTE NETO]]*0.21</f>
        <v>0</v>
      </c>
      <c r="J1356" s="64"/>
      <c r="K1356" s="64"/>
      <c r="L1356" s="64">
        <f>SUM(ventas_b_mes684[[#This Row],[IMPORTE NETO]:[EXENTO]])</f>
        <v>0</v>
      </c>
      <c r="M1356" s="59"/>
    </row>
    <row r="1357" spans="2:13" x14ac:dyDescent="0.25">
      <c r="B1357" s="40"/>
      <c r="C1357" s="41"/>
      <c r="D1357" s="42"/>
      <c r="E1357" s="43"/>
      <c r="F1357" s="44"/>
      <c r="G1357" s="1" t="str">
        <f>IFERROR(IF(ventas_b_mes684[[#This Row],[CUIT]]="","-",VLOOKUP(ventas_b_mes684[[#This Row],[CUIT]],Lista_CUIT[#All],2,0)),"CUIT NO CARGADO")</f>
        <v>-</v>
      </c>
      <c r="H1357" s="64"/>
      <c r="I1357" s="64">
        <f>ventas_b_mes684[[#This Row],[IMPORTE NETO]]*0.21</f>
        <v>0</v>
      </c>
      <c r="J1357" s="64"/>
      <c r="K1357" s="64"/>
      <c r="L1357" s="64">
        <f>SUM(ventas_b_mes684[[#This Row],[IMPORTE NETO]:[EXENTO]])</f>
        <v>0</v>
      </c>
      <c r="M1357" s="59"/>
    </row>
    <row r="1358" spans="2:13" x14ac:dyDescent="0.25">
      <c r="B1358" s="40"/>
      <c r="C1358" s="41"/>
      <c r="D1358" s="42"/>
      <c r="E1358" s="43"/>
      <c r="F1358" s="44"/>
      <c r="G1358" s="1" t="str">
        <f>IFERROR(IF(ventas_b_mes684[[#This Row],[CUIT]]="","-",VLOOKUP(ventas_b_mes684[[#This Row],[CUIT]],Lista_CUIT[#All],2,0)),"CUIT NO CARGADO")</f>
        <v>-</v>
      </c>
      <c r="H1358" s="64"/>
      <c r="I1358" s="64">
        <f>ventas_b_mes684[[#This Row],[IMPORTE NETO]]*0.21</f>
        <v>0</v>
      </c>
      <c r="J1358" s="64"/>
      <c r="K1358" s="64"/>
      <c r="L1358" s="64">
        <f>SUM(ventas_b_mes684[[#This Row],[IMPORTE NETO]:[EXENTO]])</f>
        <v>0</v>
      </c>
      <c r="M1358" s="59"/>
    </row>
    <row r="1359" spans="2:13" x14ac:dyDescent="0.25">
      <c r="B1359" s="40"/>
      <c r="C1359" s="41"/>
      <c r="D1359" s="42"/>
      <c r="E1359" s="43"/>
      <c r="F1359" s="44"/>
      <c r="G1359" s="1" t="str">
        <f>IFERROR(IF(ventas_b_mes684[[#This Row],[CUIT]]="","-",VLOOKUP(ventas_b_mes684[[#This Row],[CUIT]],Lista_CUIT[#All],2,0)),"CUIT NO CARGADO")</f>
        <v>-</v>
      </c>
      <c r="H1359" s="64"/>
      <c r="I1359" s="64">
        <f>ventas_b_mes684[[#This Row],[IMPORTE NETO]]*0.21</f>
        <v>0</v>
      </c>
      <c r="J1359" s="64"/>
      <c r="K1359" s="64"/>
      <c r="L1359" s="64">
        <f>SUM(ventas_b_mes684[[#This Row],[IMPORTE NETO]:[EXENTO]])</f>
        <v>0</v>
      </c>
      <c r="M1359" s="59"/>
    </row>
    <row r="1360" spans="2:13" x14ac:dyDescent="0.25">
      <c r="B1360" s="40"/>
      <c r="C1360" s="41"/>
      <c r="D1360" s="42"/>
      <c r="E1360" s="43"/>
      <c r="F1360" s="44"/>
      <c r="G1360" s="1" t="str">
        <f>IFERROR(IF(ventas_b_mes684[[#This Row],[CUIT]]="","-",VLOOKUP(ventas_b_mes684[[#This Row],[CUIT]],Lista_CUIT[#All],2,0)),"CUIT NO CARGADO")</f>
        <v>-</v>
      </c>
      <c r="H1360" s="64"/>
      <c r="I1360" s="64">
        <f>ventas_b_mes684[[#This Row],[IMPORTE NETO]]*0.21</f>
        <v>0</v>
      </c>
      <c r="J1360" s="64"/>
      <c r="K1360" s="64"/>
      <c r="L1360" s="64">
        <f>SUM(ventas_b_mes684[[#This Row],[IMPORTE NETO]:[EXENTO]])</f>
        <v>0</v>
      </c>
      <c r="M1360" s="59"/>
    </row>
    <row r="1361" spans="2:13" x14ac:dyDescent="0.25">
      <c r="B1361" s="40"/>
      <c r="C1361" s="41"/>
      <c r="D1361" s="42"/>
      <c r="E1361" s="43"/>
      <c r="F1361" s="44"/>
      <c r="G1361" s="1" t="str">
        <f>IFERROR(IF(ventas_b_mes684[[#This Row],[CUIT]]="","-",VLOOKUP(ventas_b_mes684[[#This Row],[CUIT]],Lista_CUIT[#All],2,0)),"CUIT NO CARGADO")</f>
        <v>-</v>
      </c>
      <c r="H1361" s="64"/>
      <c r="I1361" s="64">
        <f>ventas_b_mes684[[#This Row],[IMPORTE NETO]]*0.21</f>
        <v>0</v>
      </c>
      <c r="J1361" s="64"/>
      <c r="K1361" s="64"/>
      <c r="L1361" s="64">
        <f>SUM(ventas_b_mes684[[#This Row],[IMPORTE NETO]:[EXENTO]])</f>
        <v>0</v>
      </c>
      <c r="M1361" s="59"/>
    </row>
    <row r="1362" spans="2:13" x14ac:dyDescent="0.25">
      <c r="B1362" s="40"/>
      <c r="C1362" s="41"/>
      <c r="D1362" s="42"/>
      <c r="E1362" s="43"/>
      <c r="F1362" s="44"/>
      <c r="G1362" s="1" t="str">
        <f>IFERROR(IF(ventas_b_mes684[[#This Row],[CUIT]]="","-",VLOOKUP(ventas_b_mes684[[#This Row],[CUIT]],Lista_CUIT[#All],2,0)),"CUIT NO CARGADO")</f>
        <v>-</v>
      </c>
      <c r="H1362" s="64"/>
      <c r="I1362" s="64">
        <f>ventas_b_mes684[[#This Row],[IMPORTE NETO]]*0.21</f>
        <v>0</v>
      </c>
      <c r="J1362" s="64"/>
      <c r="K1362" s="64"/>
      <c r="L1362" s="64">
        <f>SUM(ventas_b_mes684[[#This Row],[IMPORTE NETO]:[EXENTO]])</f>
        <v>0</v>
      </c>
      <c r="M1362" s="59"/>
    </row>
    <row r="1363" spans="2:13" x14ac:dyDescent="0.25">
      <c r="B1363" s="40"/>
      <c r="C1363" s="41"/>
      <c r="D1363" s="42"/>
      <c r="E1363" s="43"/>
      <c r="F1363" s="44"/>
      <c r="G1363" s="1" t="str">
        <f>IFERROR(IF(ventas_b_mes684[[#This Row],[CUIT]]="","-",VLOOKUP(ventas_b_mes684[[#This Row],[CUIT]],Lista_CUIT[#All],2,0)),"CUIT NO CARGADO")</f>
        <v>-</v>
      </c>
      <c r="H1363" s="64"/>
      <c r="I1363" s="64">
        <f>ventas_b_mes684[[#This Row],[IMPORTE NETO]]*0.21</f>
        <v>0</v>
      </c>
      <c r="J1363" s="64"/>
      <c r="K1363" s="64"/>
      <c r="L1363" s="64">
        <f>SUM(ventas_b_mes684[[#This Row],[IMPORTE NETO]:[EXENTO]])</f>
        <v>0</v>
      </c>
      <c r="M1363" s="59"/>
    </row>
    <row r="1364" spans="2:13" x14ac:dyDescent="0.25">
      <c r="B1364" s="40"/>
      <c r="C1364" s="41"/>
      <c r="D1364" s="42"/>
      <c r="E1364" s="43"/>
      <c r="F1364" s="44"/>
      <c r="G1364" s="1" t="str">
        <f>IFERROR(IF(ventas_b_mes684[[#This Row],[CUIT]]="","-",VLOOKUP(ventas_b_mes684[[#This Row],[CUIT]],Lista_CUIT[#All],2,0)),"CUIT NO CARGADO")</f>
        <v>-</v>
      </c>
      <c r="H1364" s="64"/>
      <c r="I1364" s="64">
        <f>ventas_b_mes684[[#This Row],[IMPORTE NETO]]*0.21</f>
        <v>0</v>
      </c>
      <c r="J1364" s="64"/>
      <c r="K1364" s="64"/>
      <c r="L1364" s="64">
        <f>SUM(ventas_b_mes684[[#This Row],[IMPORTE NETO]:[EXENTO]])</f>
        <v>0</v>
      </c>
      <c r="M1364" s="59"/>
    </row>
    <row r="1365" spans="2:13" x14ac:dyDescent="0.25">
      <c r="B1365" s="40"/>
      <c r="C1365" s="41"/>
      <c r="D1365" s="42"/>
      <c r="E1365" s="43"/>
      <c r="F1365" s="44"/>
      <c r="G1365" s="1" t="str">
        <f>IFERROR(IF(ventas_b_mes684[[#This Row],[CUIT]]="","-",VLOOKUP(ventas_b_mes684[[#This Row],[CUIT]],Lista_CUIT[#All],2,0)),"CUIT NO CARGADO")</f>
        <v>-</v>
      </c>
      <c r="H1365" s="64"/>
      <c r="I1365" s="64">
        <f>ventas_b_mes684[[#This Row],[IMPORTE NETO]]*0.21</f>
        <v>0</v>
      </c>
      <c r="J1365" s="64"/>
      <c r="K1365" s="64"/>
      <c r="L1365" s="64">
        <f>SUM(ventas_b_mes684[[#This Row],[IMPORTE NETO]:[EXENTO]])</f>
        <v>0</v>
      </c>
      <c r="M1365" s="59"/>
    </row>
    <row r="1366" spans="2:13" x14ac:dyDescent="0.25">
      <c r="B1366" s="40"/>
      <c r="C1366" s="41"/>
      <c r="D1366" s="42"/>
      <c r="E1366" s="43"/>
      <c r="F1366" s="44"/>
      <c r="G1366" s="1" t="str">
        <f>IFERROR(IF(ventas_b_mes684[[#This Row],[CUIT]]="","-",VLOOKUP(ventas_b_mes684[[#This Row],[CUIT]],Lista_CUIT[#All],2,0)),"CUIT NO CARGADO")</f>
        <v>-</v>
      </c>
      <c r="H1366" s="64"/>
      <c r="I1366" s="64">
        <f>ventas_b_mes684[[#This Row],[IMPORTE NETO]]*0.21</f>
        <v>0</v>
      </c>
      <c r="J1366" s="64"/>
      <c r="K1366" s="64"/>
      <c r="L1366" s="64">
        <f>SUM(ventas_b_mes684[[#This Row],[IMPORTE NETO]:[EXENTO]])</f>
        <v>0</v>
      </c>
      <c r="M1366" s="59"/>
    </row>
    <row r="1367" spans="2:13" x14ac:dyDescent="0.25">
      <c r="B1367" s="40"/>
      <c r="C1367" s="41"/>
      <c r="D1367" s="42"/>
      <c r="E1367" s="43"/>
      <c r="F1367" s="44"/>
      <c r="G1367" s="1" t="str">
        <f>IFERROR(IF(ventas_b_mes684[[#This Row],[CUIT]]="","-",VLOOKUP(ventas_b_mes684[[#This Row],[CUIT]],Lista_CUIT[#All],2,0)),"CUIT NO CARGADO")</f>
        <v>-</v>
      </c>
      <c r="H1367" s="64"/>
      <c r="I1367" s="64">
        <f>ventas_b_mes684[[#This Row],[IMPORTE NETO]]*0.21</f>
        <v>0</v>
      </c>
      <c r="J1367" s="64"/>
      <c r="K1367" s="64"/>
      <c r="L1367" s="64">
        <f>SUM(ventas_b_mes684[[#This Row],[IMPORTE NETO]:[EXENTO]])</f>
        <v>0</v>
      </c>
      <c r="M1367" s="59"/>
    </row>
    <row r="1368" spans="2:13" x14ac:dyDescent="0.25">
      <c r="B1368" s="40"/>
      <c r="C1368" s="41"/>
      <c r="D1368" s="42"/>
      <c r="E1368" s="43"/>
      <c r="F1368" s="44"/>
      <c r="G1368" s="1" t="str">
        <f>IFERROR(IF(ventas_b_mes684[[#This Row],[CUIT]]="","-",VLOOKUP(ventas_b_mes684[[#This Row],[CUIT]],Lista_CUIT[#All],2,0)),"CUIT NO CARGADO")</f>
        <v>-</v>
      </c>
      <c r="H1368" s="64"/>
      <c r="I1368" s="64">
        <f>ventas_b_mes684[[#This Row],[IMPORTE NETO]]*0.21</f>
        <v>0</v>
      </c>
      <c r="J1368" s="64"/>
      <c r="K1368" s="64"/>
      <c r="L1368" s="64">
        <f>SUM(ventas_b_mes684[[#This Row],[IMPORTE NETO]:[EXENTO]])</f>
        <v>0</v>
      </c>
      <c r="M1368" s="59"/>
    </row>
    <row r="1369" spans="2:13" x14ac:dyDescent="0.25">
      <c r="B1369" s="40"/>
      <c r="C1369" s="41"/>
      <c r="D1369" s="42"/>
      <c r="E1369" s="43"/>
      <c r="F1369" s="44"/>
      <c r="G1369" s="1" t="str">
        <f>IFERROR(IF(ventas_b_mes684[[#This Row],[CUIT]]="","-",VLOOKUP(ventas_b_mes684[[#This Row],[CUIT]],Lista_CUIT[#All],2,0)),"CUIT NO CARGADO")</f>
        <v>-</v>
      </c>
      <c r="H1369" s="64"/>
      <c r="I1369" s="64">
        <f>ventas_b_mes684[[#This Row],[IMPORTE NETO]]*0.21</f>
        <v>0</v>
      </c>
      <c r="J1369" s="64"/>
      <c r="K1369" s="64"/>
      <c r="L1369" s="64">
        <f>SUM(ventas_b_mes684[[#This Row],[IMPORTE NETO]:[EXENTO]])</f>
        <v>0</v>
      </c>
      <c r="M1369" s="59"/>
    </row>
    <row r="1370" spans="2:13" x14ac:dyDescent="0.25">
      <c r="B1370" s="40"/>
      <c r="C1370" s="41"/>
      <c r="D1370" s="42"/>
      <c r="E1370" s="43"/>
      <c r="F1370" s="44"/>
      <c r="G1370" s="1" t="str">
        <f>IFERROR(IF(ventas_b_mes684[[#This Row],[CUIT]]="","-",VLOOKUP(ventas_b_mes684[[#This Row],[CUIT]],Lista_CUIT[#All],2,0)),"CUIT NO CARGADO")</f>
        <v>-</v>
      </c>
      <c r="H1370" s="64"/>
      <c r="I1370" s="64">
        <f>ventas_b_mes684[[#This Row],[IMPORTE NETO]]*0.21</f>
        <v>0</v>
      </c>
      <c r="J1370" s="64"/>
      <c r="K1370" s="64"/>
      <c r="L1370" s="64">
        <f>SUM(ventas_b_mes684[[#This Row],[IMPORTE NETO]:[EXENTO]])</f>
        <v>0</v>
      </c>
      <c r="M1370" s="59"/>
    </row>
    <row r="1371" spans="2:13" x14ac:dyDescent="0.25">
      <c r="B1371" s="40"/>
      <c r="C1371" s="41"/>
      <c r="D1371" s="42"/>
      <c r="E1371" s="43"/>
      <c r="F1371" s="44"/>
      <c r="G1371" s="1" t="str">
        <f>IFERROR(IF(ventas_b_mes684[[#This Row],[CUIT]]="","-",VLOOKUP(ventas_b_mes684[[#This Row],[CUIT]],Lista_CUIT[#All],2,0)),"CUIT NO CARGADO")</f>
        <v>-</v>
      </c>
      <c r="H1371" s="64"/>
      <c r="I1371" s="64">
        <f>ventas_b_mes684[[#This Row],[IMPORTE NETO]]*0.21</f>
        <v>0</v>
      </c>
      <c r="J1371" s="64"/>
      <c r="K1371" s="64"/>
      <c r="L1371" s="64">
        <f>SUM(ventas_b_mes684[[#This Row],[IMPORTE NETO]:[EXENTO]])</f>
        <v>0</v>
      </c>
      <c r="M1371" s="59"/>
    </row>
    <row r="1372" spans="2:13" x14ac:dyDescent="0.25">
      <c r="B1372" s="40"/>
      <c r="C1372" s="41"/>
      <c r="D1372" s="42"/>
      <c r="E1372" s="43"/>
      <c r="F1372" s="44"/>
      <c r="G1372" s="1" t="str">
        <f>IFERROR(IF(ventas_b_mes684[[#This Row],[CUIT]]="","-",VLOOKUP(ventas_b_mes684[[#This Row],[CUIT]],Lista_CUIT[#All],2,0)),"CUIT NO CARGADO")</f>
        <v>-</v>
      </c>
      <c r="H1372" s="64"/>
      <c r="I1372" s="64">
        <f>ventas_b_mes684[[#This Row],[IMPORTE NETO]]*0.21</f>
        <v>0</v>
      </c>
      <c r="J1372" s="64"/>
      <c r="K1372" s="64"/>
      <c r="L1372" s="64">
        <f>SUM(ventas_b_mes684[[#This Row],[IMPORTE NETO]:[EXENTO]])</f>
        <v>0</v>
      </c>
      <c r="M1372" s="59"/>
    </row>
    <row r="1373" spans="2:13" x14ac:dyDescent="0.25">
      <c r="B1373" s="40"/>
      <c r="C1373" s="41"/>
      <c r="D1373" s="42"/>
      <c r="E1373" s="43"/>
      <c r="F1373" s="44"/>
      <c r="G1373" s="1" t="str">
        <f>IFERROR(IF(ventas_b_mes684[[#This Row],[CUIT]]="","-",VLOOKUP(ventas_b_mes684[[#This Row],[CUIT]],Lista_CUIT[#All],2,0)),"CUIT NO CARGADO")</f>
        <v>-</v>
      </c>
      <c r="H1373" s="64"/>
      <c r="I1373" s="64">
        <f>ventas_b_mes684[[#This Row],[IMPORTE NETO]]*0.21</f>
        <v>0</v>
      </c>
      <c r="J1373" s="64"/>
      <c r="K1373" s="64"/>
      <c r="L1373" s="64">
        <f>SUM(ventas_b_mes684[[#This Row],[IMPORTE NETO]:[EXENTO]])</f>
        <v>0</v>
      </c>
      <c r="M1373" s="59"/>
    </row>
    <row r="1374" spans="2:13" x14ac:dyDescent="0.25">
      <c r="B1374" s="40"/>
      <c r="C1374" s="41"/>
      <c r="D1374" s="42"/>
      <c r="E1374" s="43"/>
      <c r="F1374" s="44"/>
      <c r="G1374" s="1" t="str">
        <f>IFERROR(IF(ventas_b_mes684[[#This Row],[CUIT]]="","-",VLOOKUP(ventas_b_mes684[[#This Row],[CUIT]],Lista_CUIT[#All],2,0)),"CUIT NO CARGADO")</f>
        <v>-</v>
      </c>
      <c r="H1374" s="64"/>
      <c r="I1374" s="64">
        <f>ventas_b_mes684[[#This Row],[IMPORTE NETO]]*0.21</f>
        <v>0</v>
      </c>
      <c r="J1374" s="64"/>
      <c r="K1374" s="64"/>
      <c r="L1374" s="64">
        <f>SUM(ventas_b_mes684[[#This Row],[IMPORTE NETO]:[EXENTO]])</f>
        <v>0</v>
      </c>
      <c r="M1374" s="59"/>
    </row>
    <row r="1375" spans="2:13" x14ac:dyDescent="0.25">
      <c r="B1375" s="40"/>
      <c r="C1375" s="41"/>
      <c r="D1375" s="42"/>
      <c r="E1375" s="43"/>
      <c r="F1375" s="44"/>
      <c r="G1375" s="1" t="str">
        <f>IFERROR(IF(ventas_b_mes684[[#This Row],[CUIT]]="","-",VLOOKUP(ventas_b_mes684[[#This Row],[CUIT]],Lista_CUIT[#All],2,0)),"CUIT NO CARGADO")</f>
        <v>-</v>
      </c>
      <c r="H1375" s="64"/>
      <c r="I1375" s="64">
        <f>ventas_b_mes684[[#This Row],[IMPORTE NETO]]*0.21</f>
        <v>0</v>
      </c>
      <c r="J1375" s="64"/>
      <c r="K1375" s="64"/>
      <c r="L1375" s="64">
        <f>SUM(ventas_b_mes684[[#This Row],[IMPORTE NETO]:[EXENTO]])</f>
        <v>0</v>
      </c>
      <c r="M1375" s="59"/>
    </row>
    <row r="1376" spans="2:13" x14ac:dyDescent="0.25">
      <c r="B1376" s="40"/>
      <c r="C1376" s="41"/>
      <c r="D1376" s="42"/>
      <c r="E1376" s="43"/>
      <c r="F1376" s="44"/>
      <c r="G1376" s="1" t="str">
        <f>IFERROR(IF(ventas_b_mes684[[#This Row],[CUIT]]="","-",VLOOKUP(ventas_b_mes684[[#This Row],[CUIT]],Lista_CUIT[#All],2,0)),"CUIT NO CARGADO")</f>
        <v>-</v>
      </c>
      <c r="H1376" s="64"/>
      <c r="I1376" s="64">
        <f>ventas_b_mes684[[#This Row],[IMPORTE NETO]]*0.21</f>
        <v>0</v>
      </c>
      <c r="J1376" s="64"/>
      <c r="K1376" s="64"/>
      <c r="L1376" s="64">
        <f>SUM(ventas_b_mes684[[#This Row],[IMPORTE NETO]:[EXENTO]])</f>
        <v>0</v>
      </c>
      <c r="M1376" s="59"/>
    </row>
    <row r="1377" spans="2:13" x14ac:dyDescent="0.25">
      <c r="B1377" s="40"/>
      <c r="C1377" s="41"/>
      <c r="D1377" s="42"/>
      <c r="E1377" s="43"/>
      <c r="F1377" s="44"/>
      <c r="G1377" s="1" t="str">
        <f>IFERROR(IF(ventas_b_mes684[[#This Row],[CUIT]]="","-",VLOOKUP(ventas_b_mes684[[#This Row],[CUIT]],Lista_CUIT[#All],2,0)),"CUIT NO CARGADO")</f>
        <v>-</v>
      </c>
      <c r="H1377" s="64"/>
      <c r="I1377" s="64">
        <f>ventas_b_mes684[[#This Row],[IMPORTE NETO]]*0.21</f>
        <v>0</v>
      </c>
      <c r="J1377" s="64"/>
      <c r="K1377" s="64"/>
      <c r="L1377" s="64">
        <f>SUM(ventas_b_mes684[[#This Row],[IMPORTE NETO]:[EXENTO]])</f>
        <v>0</v>
      </c>
      <c r="M1377" s="59"/>
    </row>
    <row r="1378" spans="2:13" x14ac:dyDescent="0.25">
      <c r="B1378" s="40"/>
      <c r="C1378" s="41"/>
      <c r="D1378" s="42"/>
      <c r="E1378" s="43"/>
      <c r="F1378" s="44"/>
      <c r="G1378" s="1" t="str">
        <f>IFERROR(IF(ventas_b_mes684[[#This Row],[CUIT]]="","-",VLOOKUP(ventas_b_mes684[[#This Row],[CUIT]],Lista_CUIT[#All],2,0)),"CUIT NO CARGADO")</f>
        <v>-</v>
      </c>
      <c r="H1378" s="64"/>
      <c r="I1378" s="64">
        <f>ventas_b_mes684[[#This Row],[IMPORTE NETO]]*0.21</f>
        <v>0</v>
      </c>
      <c r="J1378" s="64"/>
      <c r="K1378" s="64"/>
      <c r="L1378" s="64">
        <f>SUM(ventas_b_mes684[[#This Row],[IMPORTE NETO]:[EXENTO]])</f>
        <v>0</v>
      </c>
      <c r="M1378" s="59"/>
    </row>
    <row r="1379" spans="2:13" x14ac:dyDescent="0.25">
      <c r="B1379" s="40"/>
      <c r="C1379" s="41"/>
      <c r="D1379" s="42"/>
      <c r="E1379" s="43"/>
      <c r="F1379" s="44"/>
      <c r="G1379" s="1" t="str">
        <f>IFERROR(IF(ventas_b_mes684[[#This Row],[CUIT]]="","-",VLOOKUP(ventas_b_mes684[[#This Row],[CUIT]],Lista_CUIT[#All],2,0)),"CUIT NO CARGADO")</f>
        <v>-</v>
      </c>
      <c r="H1379" s="64"/>
      <c r="I1379" s="64">
        <f>ventas_b_mes684[[#This Row],[IMPORTE NETO]]*0.21</f>
        <v>0</v>
      </c>
      <c r="J1379" s="64"/>
      <c r="K1379" s="64"/>
      <c r="L1379" s="64">
        <f>SUM(ventas_b_mes684[[#This Row],[IMPORTE NETO]:[EXENTO]])</f>
        <v>0</v>
      </c>
      <c r="M1379" s="59"/>
    </row>
    <row r="1380" spans="2:13" x14ac:dyDescent="0.25">
      <c r="B1380" s="40"/>
      <c r="C1380" s="41"/>
      <c r="D1380" s="42"/>
      <c r="E1380" s="43"/>
      <c r="F1380" s="44"/>
      <c r="G1380" s="1" t="str">
        <f>IFERROR(IF(ventas_b_mes684[[#This Row],[CUIT]]="","-",VLOOKUP(ventas_b_mes684[[#This Row],[CUIT]],Lista_CUIT[#All],2,0)),"CUIT NO CARGADO")</f>
        <v>-</v>
      </c>
      <c r="H1380" s="64"/>
      <c r="I1380" s="64">
        <f>ventas_b_mes684[[#This Row],[IMPORTE NETO]]*0.21</f>
        <v>0</v>
      </c>
      <c r="J1380" s="64"/>
      <c r="K1380" s="64"/>
      <c r="L1380" s="64">
        <f>SUM(ventas_b_mes684[[#This Row],[IMPORTE NETO]:[EXENTO]])</f>
        <v>0</v>
      </c>
      <c r="M1380" s="59"/>
    </row>
    <row r="1381" spans="2:13" x14ac:dyDescent="0.25">
      <c r="B1381" s="40"/>
      <c r="C1381" s="41"/>
      <c r="D1381" s="42"/>
      <c r="E1381" s="43"/>
      <c r="F1381" s="44"/>
      <c r="G1381" s="1" t="str">
        <f>IFERROR(IF(ventas_b_mes684[[#This Row],[CUIT]]="","-",VLOOKUP(ventas_b_mes684[[#This Row],[CUIT]],Lista_CUIT[#All],2,0)),"CUIT NO CARGADO")</f>
        <v>-</v>
      </c>
      <c r="H1381" s="64"/>
      <c r="I1381" s="64">
        <f>ventas_b_mes684[[#This Row],[IMPORTE NETO]]*0.21</f>
        <v>0</v>
      </c>
      <c r="J1381" s="64"/>
      <c r="K1381" s="64"/>
      <c r="L1381" s="64">
        <f>SUM(ventas_b_mes684[[#This Row],[IMPORTE NETO]:[EXENTO]])</f>
        <v>0</v>
      </c>
      <c r="M1381" s="59"/>
    </row>
    <row r="1382" spans="2:13" x14ac:dyDescent="0.25">
      <c r="B1382" s="40"/>
      <c r="C1382" s="41"/>
      <c r="D1382" s="42"/>
      <c r="E1382" s="43"/>
      <c r="F1382" s="44"/>
      <c r="G1382" s="1" t="str">
        <f>IFERROR(IF(ventas_b_mes684[[#This Row],[CUIT]]="","-",VLOOKUP(ventas_b_mes684[[#This Row],[CUIT]],Lista_CUIT[#All],2,0)),"CUIT NO CARGADO")</f>
        <v>-</v>
      </c>
      <c r="H1382" s="64"/>
      <c r="I1382" s="64">
        <f>ventas_b_mes684[[#This Row],[IMPORTE NETO]]*0.21</f>
        <v>0</v>
      </c>
      <c r="J1382" s="64"/>
      <c r="K1382" s="64"/>
      <c r="L1382" s="64">
        <f>SUM(ventas_b_mes684[[#This Row],[IMPORTE NETO]:[EXENTO]])</f>
        <v>0</v>
      </c>
      <c r="M1382" s="59"/>
    </row>
    <row r="1383" spans="2:13" x14ac:dyDescent="0.25">
      <c r="B1383" s="40"/>
      <c r="C1383" s="41"/>
      <c r="D1383" s="42"/>
      <c r="E1383" s="43"/>
      <c r="F1383" s="44"/>
      <c r="G1383" s="1" t="str">
        <f>IFERROR(IF(ventas_b_mes684[[#This Row],[CUIT]]="","-",VLOOKUP(ventas_b_mes684[[#This Row],[CUIT]],Lista_CUIT[#All],2,0)),"CUIT NO CARGADO")</f>
        <v>-</v>
      </c>
      <c r="H1383" s="64"/>
      <c r="I1383" s="64">
        <f>ventas_b_mes684[[#This Row],[IMPORTE NETO]]*0.21</f>
        <v>0</v>
      </c>
      <c r="J1383" s="64"/>
      <c r="K1383" s="64"/>
      <c r="L1383" s="64">
        <f>SUM(ventas_b_mes684[[#This Row],[IMPORTE NETO]:[EXENTO]])</f>
        <v>0</v>
      </c>
      <c r="M1383" s="59"/>
    </row>
    <row r="1384" spans="2:13" x14ac:dyDescent="0.25">
      <c r="B1384" s="40"/>
      <c r="C1384" s="41"/>
      <c r="D1384" s="42"/>
      <c r="E1384" s="43"/>
      <c r="F1384" s="44"/>
      <c r="G1384" s="1" t="str">
        <f>IFERROR(IF(ventas_b_mes684[[#This Row],[CUIT]]="","-",VLOOKUP(ventas_b_mes684[[#This Row],[CUIT]],Lista_CUIT[#All],2,0)),"CUIT NO CARGADO")</f>
        <v>-</v>
      </c>
      <c r="H1384" s="64"/>
      <c r="I1384" s="64">
        <f>ventas_b_mes684[[#This Row],[IMPORTE NETO]]*0.21</f>
        <v>0</v>
      </c>
      <c r="J1384" s="64"/>
      <c r="K1384" s="64"/>
      <c r="L1384" s="64">
        <f>SUM(ventas_b_mes684[[#This Row],[IMPORTE NETO]:[EXENTO]])</f>
        <v>0</v>
      </c>
      <c r="M1384" s="59"/>
    </row>
    <row r="1385" spans="2:13" x14ac:dyDescent="0.25">
      <c r="B1385" s="40"/>
      <c r="C1385" s="41"/>
      <c r="D1385" s="42"/>
      <c r="E1385" s="43"/>
      <c r="F1385" s="44"/>
      <c r="G1385" s="1" t="str">
        <f>IFERROR(IF(ventas_b_mes684[[#This Row],[CUIT]]="","-",VLOOKUP(ventas_b_mes684[[#This Row],[CUIT]],Lista_CUIT[#All],2,0)),"CUIT NO CARGADO")</f>
        <v>-</v>
      </c>
      <c r="H1385" s="64"/>
      <c r="I1385" s="64">
        <f>ventas_b_mes684[[#This Row],[IMPORTE NETO]]*0.21</f>
        <v>0</v>
      </c>
      <c r="J1385" s="64"/>
      <c r="K1385" s="64"/>
      <c r="L1385" s="64">
        <f>SUM(ventas_b_mes684[[#This Row],[IMPORTE NETO]:[EXENTO]])</f>
        <v>0</v>
      </c>
      <c r="M1385" s="59"/>
    </row>
    <row r="1386" spans="2:13" x14ac:dyDescent="0.25">
      <c r="B1386" s="40"/>
      <c r="C1386" s="41"/>
      <c r="D1386" s="42"/>
      <c r="E1386" s="43"/>
      <c r="F1386" s="44"/>
      <c r="G1386" s="1" t="str">
        <f>IFERROR(IF(ventas_b_mes684[[#This Row],[CUIT]]="","-",VLOOKUP(ventas_b_mes684[[#This Row],[CUIT]],Lista_CUIT[#All],2,0)),"CUIT NO CARGADO")</f>
        <v>-</v>
      </c>
      <c r="H1386" s="64"/>
      <c r="I1386" s="64">
        <f>ventas_b_mes684[[#This Row],[IMPORTE NETO]]*0.21</f>
        <v>0</v>
      </c>
      <c r="J1386" s="64"/>
      <c r="K1386" s="64"/>
      <c r="L1386" s="64">
        <f>SUM(ventas_b_mes684[[#This Row],[IMPORTE NETO]:[EXENTO]])</f>
        <v>0</v>
      </c>
      <c r="M1386" s="59"/>
    </row>
    <row r="1387" spans="2:13" x14ac:dyDescent="0.25">
      <c r="B1387" s="40"/>
      <c r="C1387" s="41"/>
      <c r="D1387" s="42"/>
      <c r="E1387" s="43"/>
      <c r="F1387" s="44"/>
      <c r="G1387" s="1" t="str">
        <f>IFERROR(IF(ventas_b_mes684[[#This Row],[CUIT]]="","-",VLOOKUP(ventas_b_mes684[[#This Row],[CUIT]],Lista_CUIT[#All],2,0)),"CUIT NO CARGADO")</f>
        <v>-</v>
      </c>
      <c r="H1387" s="64"/>
      <c r="I1387" s="64">
        <f>ventas_b_mes684[[#This Row],[IMPORTE NETO]]*0.21</f>
        <v>0</v>
      </c>
      <c r="J1387" s="64"/>
      <c r="K1387" s="64"/>
      <c r="L1387" s="64">
        <f>SUM(ventas_b_mes684[[#This Row],[IMPORTE NETO]:[EXENTO]])</f>
        <v>0</v>
      </c>
      <c r="M1387" s="59"/>
    </row>
    <row r="1388" spans="2:13" x14ac:dyDescent="0.25">
      <c r="B1388" s="40"/>
      <c r="C1388" s="41"/>
      <c r="D1388" s="42"/>
      <c r="E1388" s="43"/>
      <c r="F1388" s="44"/>
      <c r="G1388" s="1" t="str">
        <f>IFERROR(IF(ventas_b_mes684[[#This Row],[CUIT]]="","-",VLOOKUP(ventas_b_mes684[[#This Row],[CUIT]],Lista_CUIT[#All],2,0)),"CUIT NO CARGADO")</f>
        <v>-</v>
      </c>
      <c r="H1388" s="64"/>
      <c r="I1388" s="64">
        <f>ventas_b_mes684[[#This Row],[IMPORTE NETO]]*0.21</f>
        <v>0</v>
      </c>
      <c r="J1388" s="64"/>
      <c r="K1388" s="64"/>
      <c r="L1388" s="64">
        <f>SUM(ventas_b_mes684[[#This Row],[IMPORTE NETO]:[EXENTO]])</f>
        <v>0</v>
      </c>
      <c r="M1388" s="59"/>
    </row>
    <row r="1389" spans="2:13" x14ac:dyDescent="0.25">
      <c r="B1389" s="40"/>
      <c r="C1389" s="41"/>
      <c r="D1389" s="42"/>
      <c r="E1389" s="43"/>
      <c r="F1389" s="44"/>
      <c r="G1389" s="1" t="str">
        <f>IFERROR(IF(ventas_b_mes684[[#This Row],[CUIT]]="","-",VLOOKUP(ventas_b_mes684[[#This Row],[CUIT]],Lista_CUIT[#All],2,0)),"CUIT NO CARGADO")</f>
        <v>-</v>
      </c>
      <c r="H1389" s="64"/>
      <c r="I1389" s="64">
        <f>ventas_b_mes684[[#This Row],[IMPORTE NETO]]*0.21</f>
        <v>0</v>
      </c>
      <c r="J1389" s="64"/>
      <c r="K1389" s="64"/>
      <c r="L1389" s="64">
        <f>SUM(ventas_b_mes684[[#This Row],[IMPORTE NETO]:[EXENTO]])</f>
        <v>0</v>
      </c>
      <c r="M1389" s="59"/>
    </row>
    <row r="1390" spans="2:13" x14ac:dyDescent="0.25">
      <c r="B1390" s="40"/>
      <c r="C1390" s="41"/>
      <c r="D1390" s="42"/>
      <c r="E1390" s="43"/>
      <c r="F1390" s="44"/>
      <c r="G1390" s="1" t="str">
        <f>IFERROR(IF(ventas_b_mes684[[#This Row],[CUIT]]="","-",VLOOKUP(ventas_b_mes684[[#This Row],[CUIT]],Lista_CUIT[#All],2,0)),"CUIT NO CARGADO")</f>
        <v>-</v>
      </c>
      <c r="H1390" s="64"/>
      <c r="I1390" s="64">
        <f>ventas_b_mes684[[#This Row],[IMPORTE NETO]]*0.21</f>
        <v>0</v>
      </c>
      <c r="J1390" s="64"/>
      <c r="K1390" s="64"/>
      <c r="L1390" s="64">
        <f>SUM(ventas_b_mes684[[#This Row],[IMPORTE NETO]:[EXENTO]])</f>
        <v>0</v>
      </c>
      <c r="M1390" s="59"/>
    </row>
    <row r="1391" spans="2:13" x14ac:dyDescent="0.25">
      <c r="B1391" s="40"/>
      <c r="C1391" s="41"/>
      <c r="D1391" s="42"/>
      <c r="E1391" s="43"/>
      <c r="F1391" s="44"/>
      <c r="G1391" s="1" t="str">
        <f>IFERROR(IF(ventas_b_mes684[[#This Row],[CUIT]]="","-",VLOOKUP(ventas_b_mes684[[#This Row],[CUIT]],Lista_CUIT[#All],2,0)),"CUIT NO CARGADO")</f>
        <v>-</v>
      </c>
      <c r="H1391" s="64"/>
      <c r="I1391" s="64">
        <f>ventas_b_mes684[[#This Row],[IMPORTE NETO]]*0.21</f>
        <v>0</v>
      </c>
      <c r="J1391" s="64"/>
      <c r="K1391" s="64"/>
      <c r="L1391" s="64">
        <f>SUM(ventas_b_mes684[[#This Row],[IMPORTE NETO]:[EXENTO]])</f>
        <v>0</v>
      </c>
      <c r="M1391" s="59"/>
    </row>
    <row r="1392" spans="2:13" x14ac:dyDescent="0.25">
      <c r="B1392" s="40"/>
      <c r="C1392" s="41"/>
      <c r="D1392" s="42"/>
      <c r="E1392" s="43"/>
      <c r="F1392" s="44"/>
      <c r="G1392" s="1" t="str">
        <f>IFERROR(IF(ventas_b_mes684[[#This Row],[CUIT]]="","-",VLOOKUP(ventas_b_mes684[[#This Row],[CUIT]],Lista_CUIT[#All],2,0)),"CUIT NO CARGADO")</f>
        <v>-</v>
      </c>
      <c r="H1392" s="64"/>
      <c r="I1392" s="64">
        <f>ventas_b_mes684[[#This Row],[IMPORTE NETO]]*0.21</f>
        <v>0</v>
      </c>
      <c r="J1392" s="64"/>
      <c r="K1392" s="64"/>
      <c r="L1392" s="64">
        <f>SUM(ventas_b_mes684[[#This Row],[IMPORTE NETO]:[EXENTO]])</f>
        <v>0</v>
      </c>
      <c r="M1392" s="59"/>
    </row>
    <row r="1393" spans="2:13" x14ac:dyDescent="0.25">
      <c r="B1393" s="40"/>
      <c r="C1393" s="41"/>
      <c r="D1393" s="42"/>
      <c r="E1393" s="43"/>
      <c r="F1393" s="44"/>
      <c r="G1393" s="1" t="str">
        <f>IFERROR(IF(ventas_b_mes684[[#This Row],[CUIT]]="","-",VLOOKUP(ventas_b_mes684[[#This Row],[CUIT]],Lista_CUIT[#All],2,0)),"CUIT NO CARGADO")</f>
        <v>-</v>
      </c>
      <c r="H1393" s="64"/>
      <c r="I1393" s="64">
        <f>ventas_b_mes684[[#This Row],[IMPORTE NETO]]*0.21</f>
        <v>0</v>
      </c>
      <c r="J1393" s="64"/>
      <c r="K1393" s="64"/>
      <c r="L1393" s="64">
        <f>SUM(ventas_b_mes684[[#This Row],[IMPORTE NETO]:[EXENTO]])</f>
        <v>0</v>
      </c>
      <c r="M1393" s="59"/>
    </row>
    <row r="1394" spans="2:13" x14ac:dyDescent="0.25">
      <c r="B1394" s="40"/>
      <c r="C1394" s="41"/>
      <c r="D1394" s="42"/>
      <c r="E1394" s="43"/>
      <c r="F1394" s="44"/>
      <c r="G1394" s="1" t="str">
        <f>IFERROR(IF(ventas_b_mes684[[#This Row],[CUIT]]="","-",VLOOKUP(ventas_b_mes684[[#This Row],[CUIT]],Lista_CUIT[#All],2,0)),"CUIT NO CARGADO")</f>
        <v>-</v>
      </c>
      <c r="H1394" s="64"/>
      <c r="I1394" s="64">
        <f>ventas_b_mes684[[#This Row],[IMPORTE NETO]]*0.21</f>
        <v>0</v>
      </c>
      <c r="J1394" s="64"/>
      <c r="K1394" s="64"/>
      <c r="L1394" s="64">
        <f>SUM(ventas_b_mes684[[#This Row],[IMPORTE NETO]:[EXENTO]])</f>
        <v>0</v>
      </c>
      <c r="M1394" s="59"/>
    </row>
    <row r="1395" spans="2:13" x14ac:dyDescent="0.25">
      <c r="B1395" s="40"/>
      <c r="C1395" s="41"/>
      <c r="D1395" s="42"/>
      <c r="E1395" s="43"/>
      <c r="F1395" s="44"/>
      <c r="G1395" s="1" t="str">
        <f>IFERROR(IF(ventas_b_mes684[[#This Row],[CUIT]]="","-",VLOOKUP(ventas_b_mes684[[#This Row],[CUIT]],Lista_CUIT[#All],2,0)),"CUIT NO CARGADO")</f>
        <v>-</v>
      </c>
      <c r="H1395" s="64"/>
      <c r="I1395" s="64">
        <f>ventas_b_mes684[[#This Row],[IMPORTE NETO]]*0.21</f>
        <v>0</v>
      </c>
      <c r="J1395" s="64"/>
      <c r="K1395" s="64"/>
      <c r="L1395" s="64">
        <f>SUM(ventas_b_mes684[[#This Row],[IMPORTE NETO]:[EXENTO]])</f>
        <v>0</v>
      </c>
      <c r="M1395" s="59"/>
    </row>
    <row r="1396" spans="2:13" x14ac:dyDescent="0.25">
      <c r="B1396" s="40"/>
      <c r="C1396" s="41"/>
      <c r="D1396" s="42"/>
      <c r="E1396" s="43"/>
      <c r="F1396" s="44"/>
      <c r="G1396" s="1" t="str">
        <f>IFERROR(IF(ventas_b_mes684[[#This Row],[CUIT]]="","-",VLOOKUP(ventas_b_mes684[[#This Row],[CUIT]],Lista_CUIT[#All],2,0)),"CUIT NO CARGADO")</f>
        <v>-</v>
      </c>
      <c r="H1396" s="64"/>
      <c r="I1396" s="64">
        <f>ventas_b_mes684[[#This Row],[IMPORTE NETO]]*0.21</f>
        <v>0</v>
      </c>
      <c r="J1396" s="64"/>
      <c r="K1396" s="64"/>
      <c r="L1396" s="64">
        <f>SUM(ventas_b_mes684[[#This Row],[IMPORTE NETO]:[EXENTO]])</f>
        <v>0</v>
      </c>
      <c r="M1396" s="59"/>
    </row>
    <row r="1397" spans="2:13" x14ac:dyDescent="0.25">
      <c r="B1397" s="40"/>
      <c r="C1397" s="41"/>
      <c r="D1397" s="42"/>
      <c r="E1397" s="43"/>
      <c r="F1397" s="44"/>
      <c r="G1397" s="1" t="str">
        <f>IFERROR(IF(ventas_b_mes684[[#This Row],[CUIT]]="","-",VLOOKUP(ventas_b_mes684[[#This Row],[CUIT]],Lista_CUIT[#All],2,0)),"CUIT NO CARGADO")</f>
        <v>-</v>
      </c>
      <c r="H1397" s="64"/>
      <c r="I1397" s="64">
        <f>ventas_b_mes684[[#This Row],[IMPORTE NETO]]*0.21</f>
        <v>0</v>
      </c>
      <c r="J1397" s="64"/>
      <c r="K1397" s="64"/>
      <c r="L1397" s="64">
        <f>SUM(ventas_b_mes684[[#This Row],[IMPORTE NETO]:[EXENTO]])</f>
        <v>0</v>
      </c>
      <c r="M1397" s="59"/>
    </row>
    <row r="1398" spans="2:13" x14ac:dyDescent="0.25">
      <c r="B1398" s="40"/>
      <c r="C1398" s="41"/>
      <c r="D1398" s="42"/>
      <c r="E1398" s="43"/>
      <c r="F1398" s="44"/>
      <c r="G1398" s="1" t="str">
        <f>IFERROR(IF(ventas_b_mes684[[#This Row],[CUIT]]="","-",VLOOKUP(ventas_b_mes684[[#This Row],[CUIT]],Lista_CUIT[#All],2,0)),"CUIT NO CARGADO")</f>
        <v>-</v>
      </c>
      <c r="H1398" s="64"/>
      <c r="I1398" s="64">
        <f>ventas_b_mes684[[#This Row],[IMPORTE NETO]]*0.21</f>
        <v>0</v>
      </c>
      <c r="J1398" s="64"/>
      <c r="K1398" s="64"/>
      <c r="L1398" s="64">
        <f>SUM(ventas_b_mes684[[#This Row],[IMPORTE NETO]:[EXENTO]])</f>
        <v>0</v>
      </c>
      <c r="M1398" s="59"/>
    </row>
    <row r="1399" spans="2:13" x14ac:dyDescent="0.25">
      <c r="B1399" s="40"/>
      <c r="C1399" s="41"/>
      <c r="D1399" s="42"/>
      <c r="E1399" s="43"/>
      <c r="F1399" s="44"/>
      <c r="G1399" s="1" t="str">
        <f>IFERROR(IF(ventas_b_mes684[[#This Row],[CUIT]]="","-",VLOOKUP(ventas_b_mes684[[#This Row],[CUIT]],Lista_CUIT[#All],2,0)),"CUIT NO CARGADO")</f>
        <v>-</v>
      </c>
      <c r="H1399" s="64"/>
      <c r="I1399" s="64">
        <f>ventas_b_mes684[[#This Row],[IMPORTE NETO]]*0.21</f>
        <v>0</v>
      </c>
      <c r="J1399" s="64"/>
      <c r="K1399" s="64"/>
      <c r="L1399" s="64">
        <f>SUM(ventas_b_mes684[[#This Row],[IMPORTE NETO]:[EXENTO]])</f>
        <v>0</v>
      </c>
      <c r="M1399" s="59"/>
    </row>
    <row r="1400" spans="2:13" x14ac:dyDescent="0.25">
      <c r="B1400" s="40"/>
      <c r="C1400" s="41"/>
      <c r="D1400" s="42"/>
      <c r="E1400" s="43"/>
      <c r="F1400" s="44"/>
      <c r="G1400" s="1" t="str">
        <f>IFERROR(IF(ventas_b_mes684[[#This Row],[CUIT]]="","-",VLOOKUP(ventas_b_mes684[[#This Row],[CUIT]],Lista_CUIT[#All],2,0)),"CUIT NO CARGADO")</f>
        <v>-</v>
      </c>
      <c r="H1400" s="64"/>
      <c r="I1400" s="64">
        <f>ventas_b_mes684[[#This Row],[IMPORTE NETO]]*0.21</f>
        <v>0</v>
      </c>
      <c r="J1400" s="64"/>
      <c r="K1400" s="64"/>
      <c r="L1400" s="64">
        <f>SUM(ventas_b_mes684[[#This Row],[IMPORTE NETO]:[EXENTO]])</f>
        <v>0</v>
      </c>
      <c r="M1400" s="59"/>
    </row>
    <row r="1401" spans="2:13" x14ac:dyDescent="0.25">
      <c r="B1401" s="40"/>
      <c r="C1401" s="41"/>
      <c r="D1401" s="42"/>
      <c r="E1401" s="43"/>
      <c r="F1401" s="44"/>
      <c r="G1401" s="1" t="str">
        <f>IFERROR(IF(ventas_b_mes684[[#This Row],[CUIT]]="","-",VLOOKUP(ventas_b_mes684[[#This Row],[CUIT]],Lista_CUIT[#All],2,0)),"CUIT NO CARGADO")</f>
        <v>-</v>
      </c>
      <c r="H1401" s="64"/>
      <c r="I1401" s="64">
        <f>ventas_b_mes684[[#This Row],[IMPORTE NETO]]*0.21</f>
        <v>0</v>
      </c>
      <c r="J1401" s="64"/>
      <c r="K1401" s="64"/>
      <c r="L1401" s="64">
        <f>SUM(ventas_b_mes684[[#This Row],[IMPORTE NETO]:[EXENTO]])</f>
        <v>0</v>
      </c>
      <c r="M1401" s="59"/>
    </row>
    <row r="1402" spans="2:13" x14ac:dyDescent="0.25">
      <c r="B1402" s="40"/>
      <c r="C1402" s="41"/>
      <c r="D1402" s="42"/>
      <c r="E1402" s="43"/>
      <c r="F1402" s="44"/>
      <c r="G1402" s="1" t="str">
        <f>IFERROR(IF(ventas_b_mes684[[#This Row],[CUIT]]="","-",VLOOKUP(ventas_b_mes684[[#This Row],[CUIT]],Lista_CUIT[#All],2,0)),"CUIT NO CARGADO")</f>
        <v>-</v>
      </c>
      <c r="H1402" s="64"/>
      <c r="I1402" s="64">
        <f>ventas_b_mes684[[#This Row],[IMPORTE NETO]]*0.21</f>
        <v>0</v>
      </c>
      <c r="J1402" s="64"/>
      <c r="K1402" s="64"/>
      <c r="L1402" s="64">
        <f>SUM(ventas_b_mes684[[#This Row],[IMPORTE NETO]:[EXENTO]])</f>
        <v>0</v>
      </c>
      <c r="M1402" s="59"/>
    </row>
    <row r="1403" spans="2:13" x14ac:dyDescent="0.25">
      <c r="B1403" s="40"/>
      <c r="C1403" s="41"/>
      <c r="D1403" s="42"/>
      <c r="E1403" s="43"/>
      <c r="F1403" s="44"/>
      <c r="G1403" s="1" t="str">
        <f>IFERROR(IF(ventas_b_mes684[[#This Row],[CUIT]]="","-",VLOOKUP(ventas_b_mes684[[#This Row],[CUIT]],Lista_CUIT[#All],2,0)),"CUIT NO CARGADO")</f>
        <v>-</v>
      </c>
      <c r="H1403" s="64"/>
      <c r="I1403" s="64">
        <f>ventas_b_mes684[[#This Row],[IMPORTE NETO]]*0.21</f>
        <v>0</v>
      </c>
      <c r="J1403" s="64"/>
      <c r="K1403" s="64"/>
      <c r="L1403" s="64">
        <f>SUM(ventas_b_mes684[[#This Row],[IMPORTE NETO]:[EXENTO]])</f>
        <v>0</v>
      </c>
      <c r="M1403" s="59"/>
    </row>
    <row r="1404" spans="2:13" x14ac:dyDescent="0.25">
      <c r="B1404" s="40"/>
      <c r="C1404" s="41"/>
      <c r="D1404" s="42"/>
      <c r="E1404" s="43"/>
      <c r="F1404" s="44"/>
      <c r="G1404" s="1" t="str">
        <f>IFERROR(IF(ventas_b_mes684[[#This Row],[CUIT]]="","-",VLOOKUP(ventas_b_mes684[[#This Row],[CUIT]],Lista_CUIT[#All],2,0)),"CUIT NO CARGADO")</f>
        <v>-</v>
      </c>
      <c r="H1404" s="64"/>
      <c r="I1404" s="64">
        <f>ventas_b_mes684[[#This Row],[IMPORTE NETO]]*0.21</f>
        <v>0</v>
      </c>
      <c r="J1404" s="64"/>
      <c r="K1404" s="64"/>
      <c r="L1404" s="64">
        <f>SUM(ventas_b_mes684[[#This Row],[IMPORTE NETO]:[EXENTO]])</f>
        <v>0</v>
      </c>
      <c r="M1404" s="59"/>
    </row>
    <row r="1405" spans="2:13" x14ac:dyDescent="0.25">
      <c r="B1405" s="40"/>
      <c r="C1405" s="41"/>
      <c r="D1405" s="42"/>
      <c r="E1405" s="43"/>
      <c r="F1405" s="44"/>
      <c r="G1405" s="1" t="str">
        <f>IFERROR(IF(ventas_b_mes684[[#This Row],[CUIT]]="","-",VLOOKUP(ventas_b_mes684[[#This Row],[CUIT]],Lista_CUIT[#All],2,0)),"CUIT NO CARGADO")</f>
        <v>-</v>
      </c>
      <c r="H1405" s="64"/>
      <c r="I1405" s="64">
        <f>ventas_b_mes684[[#This Row],[IMPORTE NETO]]*0.21</f>
        <v>0</v>
      </c>
      <c r="J1405" s="64"/>
      <c r="K1405" s="64"/>
      <c r="L1405" s="64">
        <f>SUM(ventas_b_mes684[[#This Row],[IMPORTE NETO]:[EXENTO]])</f>
        <v>0</v>
      </c>
      <c r="M1405" s="59"/>
    </row>
    <row r="1406" spans="2:13" x14ac:dyDescent="0.25">
      <c r="B1406" s="40"/>
      <c r="C1406" s="41"/>
      <c r="D1406" s="42"/>
      <c r="E1406" s="43"/>
      <c r="F1406" s="44"/>
      <c r="G1406" s="1" t="str">
        <f>IFERROR(IF(ventas_b_mes684[[#This Row],[CUIT]]="","-",VLOOKUP(ventas_b_mes684[[#This Row],[CUIT]],Lista_CUIT[#All],2,0)),"CUIT NO CARGADO")</f>
        <v>-</v>
      </c>
      <c r="H1406" s="64"/>
      <c r="I1406" s="64">
        <f>ventas_b_mes684[[#This Row],[IMPORTE NETO]]*0.21</f>
        <v>0</v>
      </c>
      <c r="J1406" s="64"/>
      <c r="K1406" s="64"/>
      <c r="L1406" s="64">
        <f>SUM(ventas_b_mes684[[#This Row],[IMPORTE NETO]:[EXENTO]])</f>
        <v>0</v>
      </c>
      <c r="M1406" s="59"/>
    </row>
    <row r="1407" spans="2:13" x14ac:dyDescent="0.25">
      <c r="B1407" s="40"/>
      <c r="C1407" s="41"/>
      <c r="D1407" s="42"/>
      <c r="E1407" s="43"/>
      <c r="F1407" s="44"/>
      <c r="G1407" s="1" t="str">
        <f>IFERROR(IF(ventas_b_mes684[[#This Row],[CUIT]]="","-",VLOOKUP(ventas_b_mes684[[#This Row],[CUIT]],Lista_CUIT[#All],2,0)),"CUIT NO CARGADO")</f>
        <v>-</v>
      </c>
      <c r="H1407" s="64"/>
      <c r="I1407" s="64">
        <f>ventas_b_mes684[[#This Row],[IMPORTE NETO]]*0.21</f>
        <v>0</v>
      </c>
      <c r="J1407" s="64"/>
      <c r="K1407" s="64"/>
      <c r="L1407" s="64">
        <f>SUM(ventas_b_mes684[[#This Row],[IMPORTE NETO]:[EXENTO]])</f>
        <v>0</v>
      </c>
      <c r="M1407" s="59"/>
    </row>
    <row r="1408" spans="2:13" x14ac:dyDescent="0.25">
      <c r="B1408" s="40"/>
      <c r="C1408" s="41"/>
      <c r="D1408" s="42"/>
      <c r="E1408" s="43"/>
      <c r="F1408" s="44"/>
      <c r="G1408" s="1" t="str">
        <f>IFERROR(IF(ventas_b_mes684[[#This Row],[CUIT]]="","-",VLOOKUP(ventas_b_mes684[[#This Row],[CUIT]],Lista_CUIT[#All],2,0)),"CUIT NO CARGADO")</f>
        <v>-</v>
      </c>
      <c r="H1408" s="64"/>
      <c r="I1408" s="64">
        <f>ventas_b_mes684[[#This Row],[IMPORTE NETO]]*0.21</f>
        <v>0</v>
      </c>
      <c r="J1408" s="64"/>
      <c r="K1408" s="64"/>
      <c r="L1408" s="64">
        <f>SUM(ventas_b_mes684[[#This Row],[IMPORTE NETO]:[EXENTO]])</f>
        <v>0</v>
      </c>
      <c r="M1408" s="59"/>
    </row>
    <row r="1409" spans="2:13" x14ac:dyDescent="0.25">
      <c r="B1409" s="40"/>
      <c r="C1409" s="41"/>
      <c r="D1409" s="42"/>
      <c r="E1409" s="43"/>
      <c r="F1409" s="44"/>
      <c r="G1409" s="1" t="str">
        <f>IFERROR(IF(ventas_b_mes684[[#This Row],[CUIT]]="","-",VLOOKUP(ventas_b_mes684[[#This Row],[CUIT]],Lista_CUIT[#All],2,0)),"CUIT NO CARGADO")</f>
        <v>-</v>
      </c>
      <c r="H1409" s="64"/>
      <c r="I1409" s="64">
        <f>ventas_b_mes684[[#This Row],[IMPORTE NETO]]*0.21</f>
        <v>0</v>
      </c>
      <c r="J1409" s="64"/>
      <c r="K1409" s="64"/>
      <c r="L1409" s="64">
        <f>SUM(ventas_b_mes684[[#This Row],[IMPORTE NETO]:[EXENTO]])</f>
        <v>0</v>
      </c>
      <c r="M1409" s="59"/>
    </row>
    <row r="1410" spans="2:13" x14ac:dyDescent="0.25">
      <c r="B1410" s="40"/>
      <c r="C1410" s="41"/>
      <c r="D1410" s="42"/>
      <c r="E1410" s="43"/>
      <c r="F1410" s="44"/>
      <c r="G1410" s="1" t="str">
        <f>IFERROR(IF(ventas_b_mes684[[#This Row],[CUIT]]="","-",VLOOKUP(ventas_b_mes684[[#This Row],[CUIT]],Lista_CUIT[#All],2,0)),"CUIT NO CARGADO")</f>
        <v>-</v>
      </c>
      <c r="H1410" s="64"/>
      <c r="I1410" s="64">
        <f>ventas_b_mes684[[#This Row],[IMPORTE NETO]]*0.21</f>
        <v>0</v>
      </c>
      <c r="J1410" s="64"/>
      <c r="K1410" s="64"/>
      <c r="L1410" s="64">
        <f>SUM(ventas_b_mes684[[#This Row],[IMPORTE NETO]:[EXENTO]])</f>
        <v>0</v>
      </c>
      <c r="M1410" s="59"/>
    </row>
    <row r="1411" spans="2:13" x14ac:dyDescent="0.25">
      <c r="B1411" s="40"/>
      <c r="C1411" s="41"/>
      <c r="D1411" s="42"/>
      <c r="E1411" s="43"/>
      <c r="F1411" s="44"/>
      <c r="G1411" s="1" t="str">
        <f>IFERROR(IF(ventas_b_mes684[[#This Row],[CUIT]]="","-",VLOOKUP(ventas_b_mes684[[#This Row],[CUIT]],Lista_CUIT[#All],2,0)),"CUIT NO CARGADO")</f>
        <v>-</v>
      </c>
      <c r="H1411" s="64"/>
      <c r="I1411" s="64">
        <f>ventas_b_mes684[[#This Row],[IMPORTE NETO]]*0.21</f>
        <v>0</v>
      </c>
      <c r="J1411" s="64"/>
      <c r="K1411" s="64"/>
      <c r="L1411" s="64">
        <f>SUM(ventas_b_mes684[[#This Row],[IMPORTE NETO]:[EXENTO]])</f>
        <v>0</v>
      </c>
      <c r="M1411" s="59"/>
    </row>
    <row r="1412" spans="2:13" x14ac:dyDescent="0.25">
      <c r="B1412" s="40"/>
      <c r="C1412" s="41"/>
      <c r="D1412" s="42"/>
      <c r="E1412" s="43"/>
      <c r="F1412" s="44"/>
      <c r="G1412" s="1" t="str">
        <f>IFERROR(IF(ventas_b_mes684[[#This Row],[CUIT]]="","-",VLOOKUP(ventas_b_mes684[[#This Row],[CUIT]],Lista_CUIT[#All],2,0)),"CUIT NO CARGADO")</f>
        <v>-</v>
      </c>
      <c r="H1412" s="64"/>
      <c r="I1412" s="64">
        <f>ventas_b_mes684[[#This Row],[IMPORTE NETO]]*0.21</f>
        <v>0</v>
      </c>
      <c r="J1412" s="64"/>
      <c r="K1412" s="64"/>
      <c r="L1412" s="64">
        <f>SUM(ventas_b_mes684[[#This Row],[IMPORTE NETO]:[EXENTO]])</f>
        <v>0</v>
      </c>
      <c r="M1412" s="59"/>
    </row>
    <row r="1413" spans="2:13" x14ac:dyDescent="0.25">
      <c r="B1413" s="40"/>
      <c r="C1413" s="41"/>
      <c r="D1413" s="42"/>
      <c r="E1413" s="43"/>
      <c r="F1413" s="44"/>
      <c r="G1413" s="1" t="str">
        <f>IFERROR(IF(ventas_b_mes684[[#This Row],[CUIT]]="","-",VLOOKUP(ventas_b_mes684[[#This Row],[CUIT]],Lista_CUIT[#All],2,0)),"CUIT NO CARGADO")</f>
        <v>-</v>
      </c>
      <c r="H1413" s="64"/>
      <c r="I1413" s="64">
        <f>ventas_b_mes684[[#This Row],[IMPORTE NETO]]*0.21</f>
        <v>0</v>
      </c>
      <c r="J1413" s="64"/>
      <c r="K1413" s="64"/>
      <c r="L1413" s="64">
        <f>SUM(ventas_b_mes684[[#This Row],[IMPORTE NETO]:[EXENTO]])</f>
        <v>0</v>
      </c>
      <c r="M1413" s="59"/>
    </row>
    <row r="1414" spans="2:13" x14ac:dyDescent="0.25">
      <c r="B1414" s="40"/>
      <c r="C1414" s="41"/>
      <c r="D1414" s="42"/>
      <c r="E1414" s="43"/>
      <c r="F1414" s="44"/>
      <c r="G1414" s="1" t="str">
        <f>IFERROR(IF(ventas_b_mes684[[#This Row],[CUIT]]="","-",VLOOKUP(ventas_b_mes684[[#This Row],[CUIT]],Lista_CUIT[#All],2,0)),"CUIT NO CARGADO")</f>
        <v>-</v>
      </c>
      <c r="H1414" s="64"/>
      <c r="I1414" s="64">
        <f>ventas_b_mes684[[#This Row],[IMPORTE NETO]]*0.21</f>
        <v>0</v>
      </c>
      <c r="J1414" s="64"/>
      <c r="K1414" s="64"/>
      <c r="L1414" s="64">
        <f>SUM(ventas_b_mes684[[#This Row],[IMPORTE NETO]:[EXENTO]])</f>
        <v>0</v>
      </c>
      <c r="M1414" s="59"/>
    </row>
    <row r="1415" spans="2:13" x14ac:dyDescent="0.25">
      <c r="B1415" s="40"/>
      <c r="C1415" s="41"/>
      <c r="D1415" s="42"/>
      <c r="E1415" s="43"/>
      <c r="F1415" s="44"/>
      <c r="G1415" s="1" t="str">
        <f>IFERROR(IF(ventas_b_mes684[[#This Row],[CUIT]]="","-",VLOOKUP(ventas_b_mes684[[#This Row],[CUIT]],Lista_CUIT[#All],2,0)),"CUIT NO CARGADO")</f>
        <v>-</v>
      </c>
      <c r="H1415" s="64"/>
      <c r="I1415" s="64">
        <f>ventas_b_mes684[[#This Row],[IMPORTE NETO]]*0.21</f>
        <v>0</v>
      </c>
      <c r="J1415" s="64"/>
      <c r="K1415" s="64"/>
      <c r="L1415" s="64">
        <f>SUM(ventas_b_mes684[[#This Row],[IMPORTE NETO]:[EXENTO]])</f>
        <v>0</v>
      </c>
      <c r="M1415" s="59"/>
    </row>
    <row r="1416" spans="2:13" x14ac:dyDescent="0.25">
      <c r="B1416" s="40"/>
      <c r="C1416" s="41"/>
      <c r="D1416" s="42"/>
      <c r="E1416" s="43"/>
      <c r="F1416" s="44"/>
      <c r="G1416" s="1" t="str">
        <f>IFERROR(IF(ventas_b_mes684[[#This Row],[CUIT]]="","-",VLOOKUP(ventas_b_mes684[[#This Row],[CUIT]],Lista_CUIT[#All],2,0)),"CUIT NO CARGADO")</f>
        <v>-</v>
      </c>
      <c r="H1416" s="64"/>
      <c r="I1416" s="64">
        <f>ventas_b_mes684[[#This Row],[IMPORTE NETO]]*0.21</f>
        <v>0</v>
      </c>
      <c r="J1416" s="64"/>
      <c r="K1416" s="64"/>
      <c r="L1416" s="64">
        <f>SUM(ventas_b_mes684[[#This Row],[IMPORTE NETO]:[EXENTO]])</f>
        <v>0</v>
      </c>
      <c r="M1416" s="59"/>
    </row>
    <row r="1417" spans="2:13" x14ac:dyDescent="0.25">
      <c r="B1417" s="40"/>
      <c r="C1417" s="41"/>
      <c r="D1417" s="42"/>
      <c r="E1417" s="43"/>
      <c r="F1417" s="44"/>
      <c r="G1417" s="1" t="str">
        <f>IFERROR(IF(ventas_b_mes684[[#This Row],[CUIT]]="","-",VLOOKUP(ventas_b_mes684[[#This Row],[CUIT]],Lista_CUIT[#All],2,0)),"CUIT NO CARGADO")</f>
        <v>-</v>
      </c>
      <c r="H1417" s="64"/>
      <c r="I1417" s="64">
        <f>ventas_b_mes684[[#This Row],[IMPORTE NETO]]*0.21</f>
        <v>0</v>
      </c>
      <c r="J1417" s="64"/>
      <c r="K1417" s="64"/>
      <c r="L1417" s="64">
        <f>SUM(ventas_b_mes684[[#This Row],[IMPORTE NETO]:[EXENTO]])</f>
        <v>0</v>
      </c>
      <c r="M1417" s="59"/>
    </row>
    <row r="1418" spans="2:13" x14ac:dyDescent="0.25">
      <c r="B1418" s="40"/>
      <c r="C1418" s="41"/>
      <c r="D1418" s="42"/>
      <c r="E1418" s="43"/>
      <c r="F1418" s="44"/>
      <c r="G1418" s="1" t="str">
        <f>IFERROR(IF(ventas_b_mes684[[#This Row],[CUIT]]="","-",VLOOKUP(ventas_b_mes684[[#This Row],[CUIT]],Lista_CUIT[#All],2,0)),"CUIT NO CARGADO")</f>
        <v>-</v>
      </c>
      <c r="H1418" s="64"/>
      <c r="I1418" s="64">
        <f>ventas_b_mes684[[#This Row],[IMPORTE NETO]]*0.21</f>
        <v>0</v>
      </c>
      <c r="J1418" s="64"/>
      <c r="K1418" s="64"/>
      <c r="L1418" s="64">
        <f>SUM(ventas_b_mes684[[#This Row],[IMPORTE NETO]:[EXENTO]])</f>
        <v>0</v>
      </c>
      <c r="M1418" s="59"/>
    </row>
    <row r="1419" spans="2:13" x14ac:dyDescent="0.25">
      <c r="B1419" s="40"/>
      <c r="C1419" s="41"/>
      <c r="D1419" s="42"/>
      <c r="E1419" s="43"/>
      <c r="F1419" s="44"/>
      <c r="G1419" s="1" t="str">
        <f>IFERROR(IF(ventas_b_mes684[[#This Row],[CUIT]]="","-",VLOOKUP(ventas_b_mes684[[#This Row],[CUIT]],Lista_CUIT[#All],2,0)),"CUIT NO CARGADO")</f>
        <v>-</v>
      </c>
      <c r="H1419" s="64"/>
      <c r="I1419" s="64">
        <f>ventas_b_mes684[[#This Row],[IMPORTE NETO]]*0.21</f>
        <v>0</v>
      </c>
      <c r="J1419" s="64"/>
      <c r="K1419" s="64"/>
      <c r="L1419" s="64">
        <f>SUM(ventas_b_mes684[[#This Row],[IMPORTE NETO]:[EXENTO]])</f>
        <v>0</v>
      </c>
      <c r="M1419" s="59"/>
    </row>
    <row r="1420" spans="2:13" x14ac:dyDescent="0.25">
      <c r="B1420" s="40"/>
      <c r="C1420" s="41"/>
      <c r="D1420" s="42"/>
      <c r="E1420" s="43"/>
      <c r="F1420" s="44"/>
      <c r="G1420" s="1" t="str">
        <f>IFERROR(IF(ventas_b_mes684[[#This Row],[CUIT]]="","-",VLOOKUP(ventas_b_mes684[[#This Row],[CUIT]],Lista_CUIT[#All],2,0)),"CUIT NO CARGADO")</f>
        <v>-</v>
      </c>
      <c r="H1420" s="64"/>
      <c r="I1420" s="64">
        <f>ventas_b_mes684[[#This Row],[IMPORTE NETO]]*0.21</f>
        <v>0</v>
      </c>
      <c r="J1420" s="64"/>
      <c r="K1420" s="64"/>
      <c r="L1420" s="64">
        <f>SUM(ventas_b_mes684[[#This Row],[IMPORTE NETO]:[EXENTO]])</f>
        <v>0</v>
      </c>
      <c r="M1420" s="59"/>
    </row>
    <row r="1421" spans="2:13" x14ac:dyDescent="0.25">
      <c r="B1421" s="40"/>
      <c r="C1421" s="41"/>
      <c r="D1421" s="42"/>
      <c r="E1421" s="43"/>
      <c r="F1421" s="44"/>
      <c r="G1421" s="1" t="str">
        <f>IFERROR(IF(ventas_b_mes684[[#This Row],[CUIT]]="","-",VLOOKUP(ventas_b_mes684[[#This Row],[CUIT]],Lista_CUIT[#All],2,0)),"CUIT NO CARGADO")</f>
        <v>-</v>
      </c>
      <c r="H1421" s="64"/>
      <c r="I1421" s="64">
        <f>ventas_b_mes684[[#This Row],[IMPORTE NETO]]*0.21</f>
        <v>0</v>
      </c>
      <c r="J1421" s="64"/>
      <c r="K1421" s="64"/>
      <c r="L1421" s="64">
        <f>SUM(ventas_b_mes684[[#This Row],[IMPORTE NETO]:[EXENTO]])</f>
        <v>0</v>
      </c>
      <c r="M1421" s="59"/>
    </row>
    <row r="1422" spans="2:13" x14ac:dyDescent="0.25">
      <c r="B1422" s="40"/>
      <c r="C1422" s="41"/>
      <c r="D1422" s="42"/>
      <c r="E1422" s="43"/>
      <c r="F1422" s="44"/>
      <c r="G1422" s="1" t="str">
        <f>IFERROR(IF(ventas_b_mes684[[#This Row],[CUIT]]="","-",VLOOKUP(ventas_b_mes684[[#This Row],[CUIT]],Lista_CUIT[#All],2,0)),"CUIT NO CARGADO")</f>
        <v>-</v>
      </c>
      <c r="H1422" s="64"/>
      <c r="I1422" s="64">
        <f>ventas_b_mes684[[#This Row],[IMPORTE NETO]]*0.21</f>
        <v>0</v>
      </c>
      <c r="J1422" s="64"/>
      <c r="K1422" s="64"/>
      <c r="L1422" s="64">
        <f>SUM(ventas_b_mes684[[#This Row],[IMPORTE NETO]:[EXENTO]])</f>
        <v>0</v>
      </c>
      <c r="M1422" s="59"/>
    </row>
    <row r="1423" spans="2:13" x14ac:dyDescent="0.25">
      <c r="B1423" s="40"/>
      <c r="C1423" s="41"/>
      <c r="D1423" s="42"/>
      <c r="E1423" s="43"/>
      <c r="F1423" s="44"/>
      <c r="G1423" s="1" t="str">
        <f>IFERROR(IF(ventas_b_mes684[[#This Row],[CUIT]]="","-",VLOOKUP(ventas_b_mes684[[#This Row],[CUIT]],Lista_CUIT[#All],2,0)),"CUIT NO CARGADO")</f>
        <v>-</v>
      </c>
      <c r="H1423" s="64"/>
      <c r="I1423" s="64">
        <f>ventas_b_mes684[[#This Row],[IMPORTE NETO]]*0.21</f>
        <v>0</v>
      </c>
      <c r="J1423" s="64"/>
      <c r="K1423" s="64"/>
      <c r="L1423" s="64">
        <f>SUM(ventas_b_mes684[[#This Row],[IMPORTE NETO]:[EXENTO]])</f>
        <v>0</v>
      </c>
      <c r="M1423" s="59"/>
    </row>
    <row r="1424" spans="2:13" x14ac:dyDescent="0.25">
      <c r="B1424" s="40"/>
      <c r="C1424" s="41"/>
      <c r="D1424" s="42"/>
      <c r="E1424" s="43"/>
      <c r="F1424" s="44"/>
      <c r="G1424" s="1" t="str">
        <f>IFERROR(IF(ventas_b_mes684[[#This Row],[CUIT]]="","-",VLOOKUP(ventas_b_mes684[[#This Row],[CUIT]],Lista_CUIT[#All],2,0)),"CUIT NO CARGADO")</f>
        <v>-</v>
      </c>
      <c r="H1424" s="64"/>
      <c r="I1424" s="64">
        <f>ventas_b_mes684[[#This Row],[IMPORTE NETO]]*0.21</f>
        <v>0</v>
      </c>
      <c r="J1424" s="64"/>
      <c r="K1424" s="64"/>
      <c r="L1424" s="64">
        <f>SUM(ventas_b_mes684[[#This Row],[IMPORTE NETO]:[EXENTO]])</f>
        <v>0</v>
      </c>
      <c r="M1424" s="59"/>
    </row>
    <row r="1425" spans="2:13" x14ac:dyDescent="0.25">
      <c r="B1425" s="40"/>
      <c r="C1425" s="41"/>
      <c r="D1425" s="42"/>
      <c r="E1425" s="43"/>
      <c r="F1425" s="44"/>
      <c r="G1425" s="1" t="str">
        <f>IFERROR(IF(ventas_b_mes684[[#This Row],[CUIT]]="","-",VLOOKUP(ventas_b_mes684[[#This Row],[CUIT]],Lista_CUIT[#All],2,0)),"CUIT NO CARGADO")</f>
        <v>-</v>
      </c>
      <c r="H1425" s="64"/>
      <c r="I1425" s="64">
        <f>ventas_b_mes684[[#This Row],[IMPORTE NETO]]*0.21</f>
        <v>0</v>
      </c>
      <c r="J1425" s="64"/>
      <c r="K1425" s="64"/>
      <c r="L1425" s="64">
        <f>SUM(ventas_b_mes684[[#This Row],[IMPORTE NETO]:[EXENTO]])</f>
        <v>0</v>
      </c>
      <c r="M1425" s="59"/>
    </row>
    <row r="1426" spans="2:13" x14ac:dyDescent="0.25">
      <c r="B1426" s="40"/>
      <c r="C1426" s="41"/>
      <c r="D1426" s="42"/>
      <c r="E1426" s="43"/>
      <c r="F1426" s="44"/>
      <c r="G1426" s="1" t="str">
        <f>IFERROR(IF(ventas_b_mes684[[#This Row],[CUIT]]="","-",VLOOKUP(ventas_b_mes684[[#This Row],[CUIT]],Lista_CUIT[#All],2,0)),"CUIT NO CARGADO")</f>
        <v>-</v>
      </c>
      <c r="H1426" s="64"/>
      <c r="I1426" s="64">
        <f>ventas_b_mes684[[#This Row],[IMPORTE NETO]]*0.21</f>
        <v>0</v>
      </c>
      <c r="J1426" s="64"/>
      <c r="K1426" s="64"/>
      <c r="L1426" s="64">
        <f>SUM(ventas_b_mes684[[#This Row],[IMPORTE NETO]:[EXENTO]])</f>
        <v>0</v>
      </c>
      <c r="M1426" s="59"/>
    </row>
    <row r="1427" spans="2:13" x14ac:dyDescent="0.25">
      <c r="B1427" s="40"/>
      <c r="C1427" s="41"/>
      <c r="D1427" s="42"/>
      <c r="E1427" s="43"/>
      <c r="F1427" s="44"/>
      <c r="G1427" s="1" t="str">
        <f>IFERROR(IF(ventas_b_mes684[[#This Row],[CUIT]]="","-",VLOOKUP(ventas_b_mes684[[#This Row],[CUIT]],Lista_CUIT[#All],2,0)),"CUIT NO CARGADO")</f>
        <v>-</v>
      </c>
      <c r="H1427" s="64"/>
      <c r="I1427" s="64">
        <f>ventas_b_mes684[[#This Row],[IMPORTE NETO]]*0.21</f>
        <v>0</v>
      </c>
      <c r="J1427" s="64"/>
      <c r="K1427" s="64"/>
      <c r="L1427" s="64">
        <f>SUM(ventas_b_mes684[[#This Row],[IMPORTE NETO]:[EXENTO]])</f>
        <v>0</v>
      </c>
      <c r="M1427" s="59"/>
    </row>
    <row r="1428" spans="2:13" x14ac:dyDescent="0.25">
      <c r="B1428" s="40"/>
      <c r="C1428" s="41"/>
      <c r="D1428" s="42"/>
      <c r="E1428" s="43"/>
      <c r="F1428" s="44"/>
      <c r="G1428" s="1" t="str">
        <f>IFERROR(IF(ventas_b_mes684[[#This Row],[CUIT]]="","-",VLOOKUP(ventas_b_mes684[[#This Row],[CUIT]],Lista_CUIT[#All],2,0)),"CUIT NO CARGADO")</f>
        <v>-</v>
      </c>
      <c r="H1428" s="64"/>
      <c r="I1428" s="64">
        <f>ventas_b_mes684[[#This Row],[IMPORTE NETO]]*0.21</f>
        <v>0</v>
      </c>
      <c r="J1428" s="64"/>
      <c r="K1428" s="64"/>
      <c r="L1428" s="64">
        <f>SUM(ventas_b_mes684[[#This Row],[IMPORTE NETO]:[EXENTO]])</f>
        <v>0</v>
      </c>
      <c r="M1428" s="59"/>
    </row>
    <row r="1429" spans="2:13" x14ac:dyDescent="0.25">
      <c r="B1429" s="40"/>
      <c r="C1429" s="41"/>
      <c r="D1429" s="42"/>
      <c r="E1429" s="43"/>
      <c r="F1429" s="44"/>
      <c r="G1429" s="1" t="str">
        <f>IFERROR(IF(ventas_b_mes684[[#This Row],[CUIT]]="","-",VLOOKUP(ventas_b_mes684[[#This Row],[CUIT]],Lista_CUIT[#All],2,0)),"CUIT NO CARGADO")</f>
        <v>-</v>
      </c>
      <c r="H1429" s="64"/>
      <c r="I1429" s="64">
        <f>ventas_b_mes684[[#This Row],[IMPORTE NETO]]*0.21</f>
        <v>0</v>
      </c>
      <c r="J1429" s="64"/>
      <c r="K1429" s="64"/>
      <c r="L1429" s="64">
        <f>SUM(ventas_b_mes684[[#This Row],[IMPORTE NETO]:[EXENTO]])</f>
        <v>0</v>
      </c>
      <c r="M1429" s="59"/>
    </row>
    <row r="1430" spans="2:13" x14ac:dyDescent="0.25">
      <c r="B1430" s="40"/>
      <c r="C1430" s="41"/>
      <c r="D1430" s="42"/>
      <c r="E1430" s="43"/>
      <c r="F1430" s="44"/>
      <c r="G1430" s="1" t="str">
        <f>IFERROR(IF(ventas_b_mes684[[#This Row],[CUIT]]="","-",VLOOKUP(ventas_b_mes684[[#This Row],[CUIT]],Lista_CUIT[#All],2,0)),"CUIT NO CARGADO")</f>
        <v>-</v>
      </c>
      <c r="H1430" s="64"/>
      <c r="I1430" s="64">
        <f>ventas_b_mes684[[#This Row],[IMPORTE NETO]]*0.21</f>
        <v>0</v>
      </c>
      <c r="J1430" s="64"/>
      <c r="K1430" s="64"/>
      <c r="L1430" s="64">
        <f>SUM(ventas_b_mes684[[#This Row],[IMPORTE NETO]:[EXENTO]])</f>
        <v>0</v>
      </c>
      <c r="M1430" s="59"/>
    </row>
    <row r="1431" spans="2:13" x14ac:dyDescent="0.25">
      <c r="B1431" s="40"/>
      <c r="C1431" s="41"/>
      <c r="D1431" s="42"/>
      <c r="E1431" s="43"/>
      <c r="F1431" s="44"/>
      <c r="G1431" s="1" t="str">
        <f>IFERROR(IF(ventas_b_mes684[[#This Row],[CUIT]]="","-",VLOOKUP(ventas_b_mes684[[#This Row],[CUIT]],Lista_CUIT[#All],2,0)),"CUIT NO CARGADO")</f>
        <v>-</v>
      </c>
      <c r="H1431" s="64"/>
      <c r="I1431" s="64">
        <f>ventas_b_mes684[[#This Row],[IMPORTE NETO]]*0.21</f>
        <v>0</v>
      </c>
      <c r="J1431" s="64"/>
      <c r="K1431" s="64"/>
      <c r="L1431" s="64">
        <f>SUM(ventas_b_mes684[[#This Row],[IMPORTE NETO]:[EXENTO]])</f>
        <v>0</v>
      </c>
      <c r="M1431" s="59"/>
    </row>
    <row r="1432" spans="2:13" x14ac:dyDescent="0.25">
      <c r="B1432" s="40"/>
      <c r="C1432" s="41"/>
      <c r="D1432" s="42"/>
      <c r="E1432" s="43"/>
      <c r="F1432" s="44"/>
      <c r="G1432" s="1" t="str">
        <f>IFERROR(IF(ventas_b_mes684[[#This Row],[CUIT]]="","-",VLOOKUP(ventas_b_mes684[[#This Row],[CUIT]],Lista_CUIT[#All],2,0)),"CUIT NO CARGADO")</f>
        <v>-</v>
      </c>
      <c r="H1432" s="64"/>
      <c r="I1432" s="64">
        <f>ventas_b_mes684[[#This Row],[IMPORTE NETO]]*0.21</f>
        <v>0</v>
      </c>
      <c r="J1432" s="64"/>
      <c r="K1432" s="64"/>
      <c r="L1432" s="64">
        <f>SUM(ventas_b_mes684[[#This Row],[IMPORTE NETO]:[EXENTO]])</f>
        <v>0</v>
      </c>
      <c r="M1432" s="59"/>
    </row>
    <row r="1433" spans="2:13" x14ac:dyDescent="0.25">
      <c r="B1433" s="40"/>
      <c r="C1433" s="41"/>
      <c r="D1433" s="42"/>
      <c r="E1433" s="43"/>
      <c r="F1433" s="44"/>
      <c r="G1433" s="1" t="str">
        <f>IFERROR(IF(ventas_b_mes684[[#This Row],[CUIT]]="","-",VLOOKUP(ventas_b_mes684[[#This Row],[CUIT]],Lista_CUIT[#All],2,0)),"CUIT NO CARGADO")</f>
        <v>-</v>
      </c>
      <c r="H1433" s="64"/>
      <c r="I1433" s="64">
        <f>ventas_b_mes684[[#This Row],[IMPORTE NETO]]*0.21</f>
        <v>0</v>
      </c>
      <c r="J1433" s="64"/>
      <c r="K1433" s="64"/>
      <c r="L1433" s="64">
        <f>SUM(ventas_b_mes684[[#This Row],[IMPORTE NETO]:[EXENTO]])</f>
        <v>0</v>
      </c>
      <c r="M1433" s="59"/>
    </row>
    <row r="1434" spans="2:13" x14ac:dyDescent="0.25">
      <c r="B1434" s="40"/>
      <c r="C1434" s="41"/>
      <c r="D1434" s="42"/>
      <c r="E1434" s="43"/>
      <c r="F1434" s="44"/>
      <c r="G1434" s="1" t="str">
        <f>IFERROR(IF(ventas_b_mes684[[#This Row],[CUIT]]="","-",VLOOKUP(ventas_b_mes684[[#This Row],[CUIT]],Lista_CUIT[#All],2,0)),"CUIT NO CARGADO")</f>
        <v>-</v>
      </c>
      <c r="H1434" s="64"/>
      <c r="I1434" s="64">
        <f>ventas_b_mes684[[#This Row],[IMPORTE NETO]]*0.21</f>
        <v>0</v>
      </c>
      <c r="J1434" s="64"/>
      <c r="K1434" s="64"/>
      <c r="L1434" s="64">
        <f>SUM(ventas_b_mes684[[#This Row],[IMPORTE NETO]:[EXENTO]])</f>
        <v>0</v>
      </c>
      <c r="M1434" s="59"/>
    </row>
    <row r="1435" spans="2:13" x14ac:dyDescent="0.25">
      <c r="B1435" s="40"/>
      <c r="C1435" s="41"/>
      <c r="D1435" s="42"/>
      <c r="E1435" s="43"/>
      <c r="F1435" s="44"/>
      <c r="G1435" s="1" t="str">
        <f>IFERROR(IF(ventas_b_mes684[[#This Row],[CUIT]]="","-",VLOOKUP(ventas_b_mes684[[#This Row],[CUIT]],Lista_CUIT[#All],2,0)),"CUIT NO CARGADO")</f>
        <v>-</v>
      </c>
      <c r="H1435" s="64"/>
      <c r="I1435" s="64">
        <f>ventas_b_mes684[[#This Row],[IMPORTE NETO]]*0.21</f>
        <v>0</v>
      </c>
      <c r="J1435" s="64"/>
      <c r="K1435" s="64"/>
      <c r="L1435" s="64">
        <f>SUM(ventas_b_mes684[[#This Row],[IMPORTE NETO]:[EXENTO]])</f>
        <v>0</v>
      </c>
      <c r="M1435" s="59"/>
    </row>
    <row r="1436" spans="2:13" x14ac:dyDescent="0.25">
      <c r="B1436" s="40"/>
      <c r="C1436" s="41"/>
      <c r="D1436" s="42"/>
      <c r="E1436" s="43"/>
      <c r="F1436" s="44"/>
      <c r="G1436" s="1" t="str">
        <f>IFERROR(IF(ventas_b_mes684[[#This Row],[CUIT]]="","-",VLOOKUP(ventas_b_mes684[[#This Row],[CUIT]],Lista_CUIT[#All],2,0)),"CUIT NO CARGADO")</f>
        <v>-</v>
      </c>
      <c r="H1436" s="64"/>
      <c r="I1436" s="64">
        <f>ventas_b_mes684[[#This Row],[IMPORTE NETO]]*0.21</f>
        <v>0</v>
      </c>
      <c r="J1436" s="64"/>
      <c r="K1436" s="64"/>
      <c r="L1436" s="64">
        <f>SUM(ventas_b_mes684[[#This Row],[IMPORTE NETO]:[EXENTO]])</f>
        <v>0</v>
      </c>
      <c r="M1436" s="59"/>
    </row>
    <row r="1437" spans="2:13" x14ac:dyDescent="0.25">
      <c r="B1437" s="40"/>
      <c r="C1437" s="41"/>
      <c r="D1437" s="42"/>
      <c r="E1437" s="43"/>
      <c r="F1437" s="44"/>
      <c r="G1437" s="1" t="str">
        <f>IFERROR(IF(ventas_b_mes684[[#This Row],[CUIT]]="","-",VLOOKUP(ventas_b_mes684[[#This Row],[CUIT]],Lista_CUIT[#All],2,0)),"CUIT NO CARGADO")</f>
        <v>-</v>
      </c>
      <c r="H1437" s="64"/>
      <c r="I1437" s="64">
        <f>ventas_b_mes684[[#This Row],[IMPORTE NETO]]*0.21</f>
        <v>0</v>
      </c>
      <c r="J1437" s="64"/>
      <c r="K1437" s="64"/>
      <c r="L1437" s="64">
        <f>SUM(ventas_b_mes684[[#This Row],[IMPORTE NETO]:[EXENTO]])</f>
        <v>0</v>
      </c>
      <c r="M1437" s="59"/>
    </row>
    <row r="1438" spans="2:13" x14ac:dyDescent="0.25">
      <c r="B1438" s="40"/>
      <c r="C1438" s="41"/>
      <c r="D1438" s="42"/>
      <c r="E1438" s="43"/>
      <c r="F1438" s="44"/>
      <c r="G1438" s="1" t="str">
        <f>IFERROR(IF(ventas_b_mes684[[#This Row],[CUIT]]="","-",VLOOKUP(ventas_b_mes684[[#This Row],[CUIT]],Lista_CUIT[#All],2,0)),"CUIT NO CARGADO")</f>
        <v>-</v>
      </c>
      <c r="H1438" s="64"/>
      <c r="I1438" s="64">
        <f>ventas_b_mes684[[#This Row],[IMPORTE NETO]]*0.21</f>
        <v>0</v>
      </c>
      <c r="J1438" s="64"/>
      <c r="K1438" s="64"/>
      <c r="L1438" s="64">
        <f>SUM(ventas_b_mes684[[#This Row],[IMPORTE NETO]:[EXENTO]])</f>
        <v>0</v>
      </c>
      <c r="M1438" s="59"/>
    </row>
    <row r="1439" spans="2:13" x14ac:dyDescent="0.25">
      <c r="B1439" s="40"/>
      <c r="C1439" s="41"/>
      <c r="D1439" s="42"/>
      <c r="E1439" s="43"/>
      <c r="F1439" s="44"/>
      <c r="G1439" s="1" t="str">
        <f>IFERROR(IF(ventas_b_mes684[[#This Row],[CUIT]]="","-",VLOOKUP(ventas_b_mes684[[#This Row],[CUIT]],Lista_CUIT[#All],2,0)),"CUIT NO CARGADO")</f>
        <v>-</v>
      </c>
      <c r="H1439" s="64"/>
      <c r="I1439" s="64">
        <f>ventas_b_mes684[[#This Row],[IMPORTE NETO]]*0.21</f>
        <v>0</v>
      </c>
      <c r="J1439" s="64"/>
      <c r="K1439" s="64"/>
      <c r="L1439" s="64">
        <f>SUM(ventas_b_mes684[[#This Row],[IMPORTE NETO]:[EXENTO]])</f>
        <v>0</v>
      </c>
      <c r="M1439" s="59"/>
    </row>
    <row r="1440" spans="2:13" x14ac:dyDescent="0.25">
      <c r="B1440" s="40"/>
      <c r="C1440" s="41"/>
      <c r="D1440" s="42"/>
      <c r="E1440" s="43"/>
      <c r="F1440" s="44"/>
      <c r="G1440" s="1" t="str">
        <f>IFERROR(IF(ventas_b_mes684[[#This Row],[CUIT]]="","-",VLOOKUP(ventas_b_mes684[[#This Row],[CUIT]],Lista_CUIT[#All],2,0)),"CUIT NO CARGADO")</f>
        <v>-</v>
      </c>
      <c r="H1440" s="64"/>
      <c r="I1440" s="64">
        <f>ventas_b_mes684[[#This Row],[IMPORTE NETO]]*0.21</f>
        <v>0</v>
      </c>
      <c r="J1440" s="64"/>
      <c r="K1440" s="64"/>
      <c r="L1440" s="64">
        <f>SUM(ventas_b_mes684[[#This Row],[IMPORTE NETO]:[EXENTO]])</f>
        <v>0</v>
      </c>
      <c r="M1440" s="59"/>
    </row>
    <row r="1441" spans="2:13" x14ac:dyDescent="0.25">
      <c r="B1441" s="40"/>
      <c r="C1441" s="41"/>
      <c r="D1441" s="42"/>
      <c r="E1441" s="43"/>
      <c r="F1441" s="44"/>
      <c r="G1441" s="1" t="str">
        <f>IFERROR(IF(ventas_b_mes684[[#This Row],[CUIT]]="","-",VLOOKUP(ventas_b_mes684[[#This Row],[CUIT]],Lista_CUIT[#All],2,0)),"CUIT NO CARGADO")</f>
        <v>-</v>
      </c>
      <c r="H1441" s="64"/>
      <c r="I1441" s="64">
        <f>ventas_b_mes684[[#This Row],[IMPORTE NETO]]*0.21</f>
        <v>0</v>
      </c>
      <c r="J1441" s="64"/>
      <c r="K1441" s="64"/>
      <c r="L1441" s="64">
        <f>SUM(ventas_b_mes684[[#This Row],[IMPORTE NETO]:[EXENTO]])</f>
        <v>0</v>
      </c>
      <c r="M1441" s="59"/>
    </row>
    <row r="1442" spans="2:13" x14ac:dyDescent="0.25">
      <c r="B1442" s="40"/>
      <c r="C1442" s="41"/>
      <c r="D1442" s="42"/>
      <c r="E1442" s="43"/>
      <c r="F1442" s="44"/>
      <c r="G1442" s="1" t="str">
        <f>IFERROR(IF(ventas_b_mes684[[#This Row],[CUIT]]="","-",VLOOKUP(ventas_b_mes684[[#This Row],[CUIT]],Lista_CUIT[#All],2,0)),"CUIT NO CARGADO")</f>
        <v>-</v>
      </c>
      <c r="H1442" s="64"/>
      <c r="I1442" s="64">
        <f>ventas_b_mes684[[#This Row],[IMPORTE NETO]]*0.21</f>
        <v>0</v>
      </c>
      <c r="J1442" s="64"/>
      <c r="K1442" s="64"/>
      <c r="L1442" s="64">
        <f>SUM(ventas_b_mes684[[#This Row],[IMPORTE NETO]:[EXENTO]])</f>
        <v>0</v>
      </c>
      <c r="M1442" s="59"/>
    </row>
    <row r="1443" spans="2:13" x14ac:dyDescent="0.25">
      <c r="B1443" s="40"/>
      <c r="C1443" s="41"/>
      <c r="D1443" s="42"/>
      <c r="E1443" s="43"/>
      <c r="F1443" s="44"/>
      <c r="G1443" s="1" t="str">
        <f>IFERROR(IF(ventas_b_mes684[[#This Row],[CUIT]]="","-",VLOOKUP(ventas_b_mes684[[#This Row],[CUIT]],Lista_CUIT[#All],2,0)),"CUIT NO CARGADO")</f>
        <v>-</v>
      </c>
      <c r="H1443" s="64"/>
      <c r="I1443" s="64">
        <f>ventas_b_mes684[[#This Row],[IMPORTE NETO]]*0.21</f>
        <v>0</v>
      </c>
      <c r="J1443" s="64"/>
      <c r="K1443" s="64"/>
      <c r="L1443" s="64">
        <f>SUM(ventas_b_mes684[[#This Row],[IMPORTE NETO]:[EXENTO]])</f>
        <v>0</v>
      </c>
      <c r="M1443" s="59"/>
    </row>
    <row r="1444" spans="2:13" x14ac:dyDescent="0.25">
      <c r="B1444" s="40"/>
      <c r="C1444" s="41"/>
      <c r="D1444" s="42"/>
      <c r="E1444" s="43"/>
      <c r="F1444" s="44"/>
      <c r="G1444" s="1" t="str">
        <f>IFERROR(IF(ventas_b_mes684[[#This Row],[CUIT]]="","-",VLOOKUP(ventas_b_mes684[[#This Row],[CUIT]],Lista_CUIT[#All],2,0)),"CUIT NO CARGADO")</f>
        <v>-</v>
      </c>
      <c r="H1444" s="64"/>
      <c r="I1444" s="64">
        <f>ventas_b_mes684[[#This Row],[IMPORTE NETO]]*0.21</f>
        <v>0</v>
      </c>
      <c r="J1444" s="64"/>
      <c r="K1444" s="64"/>
      <c r="L1444" s="64">
        <f>SUM(ventas_b_mes684[[#This Row],[IMPORTE NETO]:[EXENTO]])</f>
        <v>0</v>
      </c>
      <c r="M1444" s="59"/>
    </row>
    <row r="1445" spans="2:13" x14ac:dyDescent="0.25">
      <c r="B1445" s="40"/>
      <c r="C1445" s="41"/>
      <c r="D1445" s="42"/>
      <c r="E1445" s="43"/>
      <c r="F1445" s="44"/>
      <c r="G1445" s="1" t="str">
        <f>IFERROR(IF(ventas_b_mes684[[#This Row],[CUIT]]="","-",VLOOKUP(ventas_b_mes684[[#This Row],[CUIT]],Lista_CUIT[#All],2,0)),"CUIT NO CARGADO")</f>
        <v>-</v>
      </c>
      <c r="H1445" s="64"/>
      <c r="I1445" s="64">
        <f>ventas_b_mes684[[#This Row],[IMPORTE NETO]]*0.21</f>
        <v>0</v>
      </c>
      <c r="J1445" s="64"/>
      <c r="K1445" s="64"/>
      <c r="L1445" s="64">
        <f>SUM(ventas_b_mes684[[#This Row],[IMPORTE NETO]:[EXENTO]])</f>
        <v>0</v>
      </c>
      <c r="M1445" s="59"/>
    </row>
    <row r="1446" spans="2:13" x14ac:dyDescent="0.25">
      <c r="B1446" s="40"/>
      <c r="C1446" s="41"/>
      <c r="D1446" s="42"/>
      <c r="E1446" s="43"/>
      <c r="F1446" s="44"/>
      <c r="G1446" s="1" t="str">
        <f>IFERROR(IF(ventas_b_mes684[[#This Row],[CUIT]]="","-",VLOOKUP(ventas_b_mes684[[#This Row],[CUIT]],Lista_CUIT[#All],2,0)),"CUIT NO CARGADO")</f>
        <v>-</v>
      </c>
      <c r="H1446" s="64"/>
      <c r="I1446" s="64">
        <f>ventas_b_mes684[[#This Row],[IMPORTE NETO]]*0.21</f>
        <v>0</v>
      </c>
      <c r="J1446" s="64"/>
      <c r="K1446" s="64"/>
      <c r="L1446" s="64">
        <f>SUM(ventas_b_mes684[[#This Row],[IMPORTE NETO]:[EXENTO]])</f>
        <v>0</v>
      </c>
      <c r="M1446" s="59"/>
    </row>
    <row r="1447" spans="2:13" x14ac:dyDescent="0.25">
      <c r="B1447" s="40"/>
      <c r="C1447" s="41"/>
      <c r="D1447" s="42"/>
      <c r="E1447" s="43"/>
      <c r="F1447" s="44"/>
      <c r="G1447" s="1" t="str">
        <f>IFERROR(IF(ventas_b_mes684[[#This Row],[CUIT]]="","-",VLOOKUP(ventas_b_mes684[[#This Row],[CUIT]],Lista_CUIT[#All],2,0)),"CUIT NO CARGADO")</f>
        <v>-</v>
      </c>
      <c r="H1447" s="64"/>
      <c r="I1447" s="64">
        <f>ventas_b_mes684[[#This Row],[IMPORTE NETO]]*0.21</f>
        <v>0</v>
      </c>
      <c r="J1447" s="64"/>
      <c r="K1447" s="64"/>
      <c r="L1447" s="64">
        <f>SUM(ventas_b_mes684[[#This Row],[IMPORTE NETO]:[EXENTO]])</f>
        <v>0</v>
      </c>
      <c r="M1447" s="59"/>
    </row>
    <row r="1448" spans="2:13" x14ac:dyDescent="0.25">
      <c r="B1448" s="40"/>
      <c r="C1448" s="41"/>
      <c r="D1448" s="42"/>
      <c r="E1448" s="43"/>
      <c r="F1448" s="44"/>
      <c r="G1448" s="1" t="str">
        <f>IFERROR(IF(ventas_b_mes684[[#This Row],[CUIT]]="","-",VLOOKUP(ventas_b_mes684[[#This Row],[CUIT]],Lista_CUIT[#All],2,0)),"CUIT NO CARGADO")</f>
        <v>-</v>
      </c>
      <c r="H1448" s="64"/>
      <c r="I1448" s="64">
        <f>ventas_b_mes684[[#This Row],[IMPORTE NETO]]*0.21</f>
        <v>0</v>
      </c>
      <c r="J1448" s="64"/>
      <c r="K1448" s="64"/>
      <c r="L1448" s="64">
        <f>SUM(ventas_b_mes684[[#This Row],[IMPORTE NETO]:[EXENTO]])</f>
        <v>0</v>
      </c>
      <c r="M1448" s="59"/>
    </row>
    <row r="1449" spans="2:13" x14ac:dyDescent="0.25">
      <c r="B1449" s="40"/>
      <c r="C1449" s="41"/>
      <c r="D1449" s="42"/>
      <c r="E1449" s="43"/>
      <c r="F1449" s="44"/>
      <c r="G1449" s="1" t="str">
        <f>IFERROR(IF(ventas_b_mes684[[#This Row],[CUIT]]="","-",VLOOKUP(ventas_b_mes684[[#This Row],[CUIT]],Lista_CUIT[#All],2,0)),"CUIT NO CARGADO")</f>
        <v>-</v>
      </c>
      <c r="H1449" s="64"/>
      <c r="I1449" s="64">
        <f>ventas_b_mes684[[#This Row],[IMPORTE NETO]]*0.21</f>
        <v>0</v>
      </c>
      <c r="J1449" s="64"/>
      <c r="K1449" s="64"/>
      <c r="L1449" s="64">
        <f>SUM(ventas_b_mes684[[#This Row],[IMPORTE NETO]:[EXENTO]])</f>
        <v>0</v>
      </c>
      <c r="M1449" s="59"/>
    </row>
    <row r="1450" spans="2:13" x14ac:dyDescent="0.25">
      <c r="B1450" s="40"/>
      <c r="C1450" s="41"/>
      <c r="D1450" s="42"/>
      <c r="E1450" s="43"/>
      <c r="F1450" s="44"/>
      <c r="G1450" s="1" t="str">
        <f>IFERROR(IF(ventas_b_mes684[[#This Row],[CUIT]]="","-",VLOOKUP(ventas_b_mes684[[#This Row],[CUIT]],Lista_CUIT[#All],2,0)),"CUIT NO CARGADO")</f>
        <v>-</v>
      </c>
      <c r="H1450" s="64"/>
      <c r="I1450" s="64">
        <f>ventas_b_mes684[[#This Row],[IMPORTE NETO]]*0.21</f>
        <v>0</v>
      </c>
      <c r="J1450" s="64"/>
      <c r="K1450" s="64"/>
      <c r="L1450" s="64">
        <f>SUM(ventas_b_mes684[[#This Row],[IMPORTE NETO]:[EXENTO]])</f>
        <v>0</v>
      </c>
      <c r="M1450" s="59"/>
    </row>
    <row r="1451" spans="2:13" x14ac:dyDescent="0.25">
      <c r="B1451" s="40"/>
      <c r="C1451" s="41"/>
      <c r="D1451" s="42"/>
      <c r="E1451" s="43"/>
      <c r="F1451" s="44"/>
      <c r="G1451" s="1" t="str">
        <f>IFERROR(IF(ventas_b_mes684[[#This Row],[CUIT]]="","-",VLOOKUP(ventas_b_mes684[[#This Row],[CUIT]],Lista_CUIT[#All],2,0)),"CUIT NO CARGADO")</f>
        <v>-</v>
      </c>
      <c r="H1451" s="64"/>
      <c r="I1451" s="64">
        <f>ventas_b_mes684[[#This Row],[IMPORTE NETO]]*0.21</f>
        <v>0</v>
      </c>
      <c r="J1451" s="64"/>
      <c r="K1451" s="64"/>
      <c r="L1451" s="64">
        <f>SUM(ventas_b_mes684[[#This Row],[IMPORTE NETO]:[EXENTO]])</f>
        <v>0</v>
      </c>
      <c r="M1451" s="59"/>
    </row>
    <row r="1452" spans="2:13" x14ac:dyDescent="0.25">
      <c r="B1452" s="40"/>
      <c r="C1452" s="41"/>
      <c r="D1452" s="42"/>
      <c r="E1452" s="43"/>
      <c r="F1452" s="44"/>
      <c r="G1452" s="1" t="str">
        <f>IFERROR(IF(ventas_b_mes684[[#This Row],[CUIT]]="","-",VLOOKUP(ventas_b_mes684[[#This Row],[CUIT]],Lista_CUIT[#All],2,0)),"CUIT NO CARGADO")</f>
        <v>-</v>
      </c>
      <c r="H1452" s="64"/>
      <c r="I1452" s="64">
        <f>ventas_b_mes684[[#This Row],[IMPORTE NETO]]*0.21</f>
        <v>0</v>
      </c>
      <c r="J1452" s="64"/>
      <c r="K1452" s="64"/>
      <c r="L1452" s="64">
        <f>SUM(ventas_b_mes684[[#This Row],[IMPORTE NETO]:[EXENTO]])</f>
        <v>0</v>
      </c>
      <c r="M1452" s="59"/>
    </row>
    <row r="1453" spans="2:13" x14ac:dyDescent="0.25">
      <c r="B1453" s="40"/>
      <c r="C1453" s="41"/>
      <c r="D1453" s="42"/>
      <c r="E1453" s="43"/>
      <c r="F1453" s="44"/>
      <c r="G1453" s="1" t="str">
        <f>IFERROR(IF(ventas_b_mes684[[#This Row],[CUIT]]="","-",VLOOKUP(ventas_b_mes684[[#This Row],[CUIT]],Lista_CUIT[#All],2,0)),"CUIT NO CARGADO")</f>
        <v>-</v>
      </c>
      <c r="H1453" s="64"/>
      <c r="I1453" s="64">
        <f>ventas_b_mes684[[#This Row],[IMPORTE NETO]]*0.21</f>
        <v>0</v>
      </c>
      <c r="J1453" s="64"/>
      <c r="K1453" s="64"/>
      <c r="L1453" s="64">
        <f>SUM(ventas_b_mes684[[#This Row],[IMPORTE NETO]:[EXENTO]])</f>
        <v>0</v>
      </c>
      <c r="M1453" s="59"/>
    </row>
    <row r="1454" spans="2:13" x14ac:dyDescent="0.25">
      <c r="B1454" s="40"/>
      <c r="C1454" s="41"/>
      <c r="D1454" s="42"/>
      <c r="E1454" s="43"/>
      <c r="F1454" s="44"/>
      <c r="G1454" s="1" t="str">
        <f>IFERROR(IF(ventas_b_mes684[[#This Row],[CUIT]]="","-",VLOOKUP(ventas_b_mes684[[#This Row],[CUIT]],Lista_CUIT[#All],2,0)),"CUIT NO CARGADO")</f>
        <v>-</v>
      </c>
      <c r="H1454" s="64"/>
      <c r="I1454" s="64">
        <f>ventas_b_mes684[[#This Row],[IMPORTE NETO]]*0.21</f>
        <v>0</v>
      </c>
      <c r="J1454" s="64"/>
      <c r="K1454" s="64"/>
      <c r="L1454" s="64">
        <f>SUM(ventas_b_mes684[[#This Row],[IMPORTE NETO]:[EXENTO]])</f>
        <v>0</v>
      </c>
      <c r="M1454" s="59"/>
    </row>
    <row r="1455" spans="2:13" x14ac:dyDescent="0.25">
      <c r="B1455" s="40"/>
      <c r="C1455" s="41"/>
      <c r="D1455" s="42"/>
      <c r="E1455" s="43"/>
      <c r="F1455" s="44"/>
      <c r="G1455" s="1" t="str">
        <f>IFERROR(IF(ventas_b_mes684[[#This Row],[CUIT]]="","-",VLOOKUP(ventas_b_mes684[[#This Row],[CUIT]],Lista_CUIT[#All],2,0)),"CUIT NO CARGADO")</f>
        <v>-</v>
      </c>
      <c r="H1455" s="64"/>
      <c r="I1455" s="64">
        <f>ventas_b_mes684[[#This Row],[IMPORTE NETO]]*0.21</f>
        <v>0</v>
      </c>
      <c r="J1455" s="64"/>
      <c r="K1455" s="64"/>
      <c r="L1455" s="64">
        <f>SUM(ventas_b_mes684[[#This Row],[IMPORTE NETO]:[EXENTO]])</f>
        <v>0</v>
      </c>
      <c r="M1455" s="59"/>
    </row>
    <row r="1456" spans="2:13" x14ac:dyDescent="0.25">
      <c r="B1456" s="40"/>
      <c r="C1456" s="41"/>
      <c r="D1456" s="42"/>
      <c r="E1456" s="43"/>
      <c r="F1456" s="44"/>
      <c r="G1456" s="1" t="str">
        <f>IFERROR(IF(ventas_b_mes684[[#This Row],[CUIT]]="","-",VLOOKUP(ventas_b_mes684[[#This Row],[CUIT]],Lista_CUIT[#All],2,0)),"CUIT NO CARGADO")</f>
        <v>-</v>
      </c>
      <c r="H1456" s="64"/>
      <c r="I1456" s="64">
        <f>ventas_b_mes684[[#This Row],[IMPORTE NETO]]*0.21</f>
        <v>0</v>
      </c>
      <c r="J1456" s="64"/>
      <c r="K1456" s="64"/>
      <c r="L1456" s="64">
        <f>SUM(ventas_b_mes684[[#This Row],[IMPORTE NETO]:[EXENTO]])</f>
        <v>0</v>
      </c>
      <c r="M1456" s="59"/>
    </row>
    <row r="1457" spans="2:13" x14ac:dyDescent="0.25">
      <c r="B1457" s="40"/>
      <c r="C1457" s="41"/>
      <c r="D1457" s="42"/>
      <c r="E1457" s="43"/>
      <c r="F1457" s="44"/>
      <c r="G1457" s="1" t="str">
        <f>IFERROR(IF(ventas_b_mes684[[#This Row],[CUIT]]="","-",VLOOKUP(ventas_b_mes684[[#This Row],[CUIT]],Lista_CUIT[#All],2,0)),"CUIT NO CARGADO")</f>
        <v>-</v>
      </c>
      <c r="H1457" s="64"/>
      <c r="I1457" s="64">
        <f>ventas_b_mes684[[#This Row],[IMPORTE NETO]]*0.21</f>
        <v>0</v>
      </c>
      <c r="J1457" s="64"/>
      <c r="K1457" s="64"/>
      <c r="L1457" s="64">
        <f>SUM(ventas_b_mes684[[#This Row],[IMPORTE NETO]:[EXENTO]])</f>
        <v>0</v>
      </c>
      <c r="M1457" s="59"/>
    </row>
    <row r="1458" spans="2:13" x14ac:dyDescent="0.25">
      <c r="B1458" s="40"/>
      <c r="C1458" s="41"/>
      <c r="D1458" s="42"/>
      <c r="E1458" s="43"/>
      <c r="F1458" s="44"/>
      <c r="G1458" s="1" t="str">
        <f>IFERROR(IF(ventas_b_mes684[[#This Row],[CUIT]]="","-",VLOOKUP(ventas_b_mes684[[#This Row],[CUIT]],Lista_CUIT[#All],2,0)),"CUIT NO CARGADO")</f>
        <v>-</v>
      </c>
      <c r="H1458" s="64"/>
      <c r="I1458" s="64">
        <f>ventas_b_mes684[[#This Row],[IMPORTE NETO]]*0.21</f>
        <v>0</v>
      </c>
      <c r="J1458" s="64"/>
      <c r="K1458" s="64"/>
      <c r="L1458" s="64">
        <f>SUM(ventas_b_mes684[[#This Row],[IMPORTE NETO]:[EXENTO]])</f>
        <v>0</v>
      </c>
      <c r="M1458" s="59"/>
    </row>
    <row r="1459" spans="2:13" x14ac:dyDescent="0.25">
      <c r="B1459" s="40"/>
      <c r="C1459" s="41"/>
      <c r="D1459" s="42"/>
      <c r="E1459" s="43"/>
      <c r="F1459" s="44"/>
      <c r="G1459" s="1" t="str">
        <f>IFERROR(IF(ventas_b_mes684[[#This Row],[CUIT]]="","-",VLOOKUP(ventas_b_mes684[[#This Row],[CUIT]],Lista_CUIT[#All],2,0)),"CUIT NO CARGADO")</f>
        <v>-</v>
      </c>
      <c r="H1459" s="64"/>
      <c r="I1459" s="64">
        <f>ventas_b_mes684[[#This Row],[IMPORTE NETO]]*0.21</f>
        <v>0</v>
      </c>
      <c r="J1459" s="64"/>
      <c r="K1459" s="64"/>
      <c r="L1459" s="64">
        <f>SUM(ventas_b_mes684[[#This Row],[IMPORTE NETO]:[EXENTO]])</f>
        <v>0</v>
      </c>
      <c r="M1459" s="59"/>
    </row>
    <row r="1460" spans="2:13" x14ac:dyDescent="0.25">
      <c r="B1460" s="40"/>
      <c r="C1460" s="41"/>
      <c r="D1460" s="42"/>
      <c r="E1460" s="43"/>
      <c r="F1460" s="44"/>
      <c r="G1460" s="1" t="str">
        <f>IFERROR(IF(ventas_b_mes684[[#This Row],[CUIT]]="","-",VLOOKUP(ventas_b_mes684[[#This Row],[CUIT]],Lista_CUIT[#All],2,0)),"CUIT NO CARGADO")</f>
        <v>-</v>
      </c>
      <c r="H1460" s="64"/>
      <c r="I1460" s="64">
        <f>ventas_b_mes684[[#This Row],[IMPORTE NETO]]*0.21</f>
        <v>0</v>
      </c>
      <c r="J1460" s="64"/>
      <c r="K1460" s="64"/>
      <c r="L1460" s="64">
        <f>SUM(ventas_b_mes684[[#This Row],[IMPORTE NETO]:[EXENTO]])</f>
        <v>0</v>
      </c>
      <c r="M1460" s="59"/>
    </row>
    <row r="1461" spans="2:13" x14ac:dyDescent="0.25">
      <c r="B1461" s="40"/>
      <c r="C1461" s="41"/>
      <c r="D1461" s="42"/>
      <c r="E1461" s="43"/>
      <c r="F1461" s="44"/>
      <c r="G1461" s="1" t="str">
        <f>IFERROR(IF(ventas_b_mes684[[#This Row],[CUIT]]="","-",VLOOKUP(ventas_b_mes684[[#This Row],[CUIT]],Lista_CUIT[#All],2,0)),"CUIT NO CARGADO")</f>
        <v>-</v>
      </c>
      <c r="H1461" s="64"/>
      <c r="I1461" s="64">
        <f>ventas_b_mes684[[#This Row],[IMPORTE NETO]]*0.21</f>
        <v>0</v>
      </c>
      <c r="J1461" s="64"/>
      <c r="K1461" s="64"/>
      <c r="L1461" s="64">
        <f>SUM(ventas_b_mes684[[#This Row],[IMPORTE NETO]:[EXENTO]])</f>
        <v>0</v>
      </c>
      <c r="M1461" s="59"/>
    </row>
    <row r="1462" spans="2:13" x14ac:dyDescent="0.25">
      <c r="B1462" s="40"/>
      <c r="C1462" s="41"/>
      <c r="D1462" s="42"/>
      <c r="E1462" s="43"/>
      <c r="F1462" s="44"/>
      <c r="G1462" s="1" t="str">
        <f>IFERROR(IF(ventas_b_mes684[[#This Row],[CUIT]]="","-",VLOOKUP(ventas_b_mes684[[#This Row],[CUIT]],Lista_CUIT[#All],2,0)),"CUIT NO CARGADO")</f>
        <v>-</v>
      </c>
      <c r="H1462" s="64"/>
      <c r="I1462" s="64">
        <f>ventas_b_mes684[[#This Row],[IMPORTE NETO]]*0.21</f>
        <v>0</v>
      </c>
      <c r="J1462" s="64"/>
      <c r="K1462" s="64"/>
      <c r="L1462" s="64">
        <f>SUM(ventas_b_mes684[[#This Row],[IMPORTE NETO]:[EXENTO]])</f>
        <v>0</v>
      </c>
      <c r="M1462" s="59"/>
    </row>
    <row r="1463" spans="2:13" x14ac:dyDescent="0.25">
      <c r="B1463" s="40"/>
      <c r="C1463" s="41"/>
      <c r="D1463" s="42"/>
      <c r="E1463" s="43"/>
      <c r="F1463" s="44"/>
      <c r="G1463" s="1" t="str">
        <f>IFERROR(IF(ventas_b_mes684[[#This Row],[CUIT]]="","-",VLOOKUP(ventas_b_mes684[[#This Row],[CUIT]],Lista_CUIT[#All],2,0)),"CUIT NO CARGADO")</f>
        <v>-</v>
      </c>
      <c r="H1463" s="64"/>
      <c r="I1463" s="64">
        <f>ventas_b_mes684[[#This Row],[IMPORTE NETO]]*0.21</f>
        <v>0</v>
      </c>
      <c r="J1463" s="64"/>
      <c r="K1463" s="64"/>
      <c r="L1463" s="64">
        <f>SUM(ventas_b_mes684[[#This Row],[IMPORTE NETO]:[EXENTO]])</f>
        <v>0</v>
      </c>
      <c r="M1463" s="59"/>
    </row>
    <row r="1464" spans="2:13" x14ac:dyDescent="0.25">
      <c r="B1464" s="40"/>
      <c r="C1464" s="41"/>
      <c r="D1464" s="42"/>
      <c r="E1464" s="43"/>
      <c r="F1464" s="44"/>
      <c r="G1464" s="1" t="str">
        <f>IFERROR(IF(ventas_b_mes684[[#This Row],[CUIT]]="","-",VLOOKUP(ventas_b_mes684[[#This Row],[CUIT]],Lista_CUIT[#All],2,0)),"CUIT NO CARGADO")</f>
        <v>-</v>
      </c>
      <c r="H1464" s="64"/>
      <c r="I1464" s="64">
        <f>ventas_b_mes684[[#This Row],[IMPORTE NETO]]*0.21</f>
        <v>0</v>
      </c>
      <c r="J1464" s="64"/>
      <c r="K1464" s="64"/>
      <c r="L1464" s="64">
        <f>SUM(ventas_b_mes684[[#This Row],[IMPORTE NETO]:[EXENTO]])</f>
        <v>0</v>
      </c>
      <c r="M1464" s="59"/>
    </row>
    <row r="1465" spans="2:13" x14ac:dyDescent="0.25">
      <c r="B1465" s="40"/>
      <c r="C1465" s="41"/>
      <c r="D1465" s="42"/>
      <c r="E1465" s="43"/>
      <c r="F1465" s="44"/>
      <c r="G1465" s="1" t="str">
        <f>IFERROR(IF(ventas_b_mes684[[#This Row],[CUIT]]="","-",VLOOKUP(ventas_b_mes684[[#This Row],[CUIT]],Lista_CUIT[#All],2,0)),"CUIT NO CARGADO")</f>
        <v>-</v>
      </c>
      <c r="H1465" s="64"/>
      <c r="I1465" s="64">
        <f>ventas_b_mes684[[#This Row],[IMPORTE NETO]]*0.21</f>
        <v>0</v>
      </c>
      <c r="J1465" s="64"/>
      <c r="K1465" s="64"/>
      <c r="L1465" s="64">
        <f>SUM(ventas_b_mes684[[#This Row],[IMPORTE NETO]:[EXENTO]])</f>
        <v>0</v>
      </c>
      <c r="M1465" s="59"/>
    </row>
    <row r="1466" spans="2:13" x14ac:dyDescent="0.25">
      <c r="B1466" s="40"/>
      <c r="C1466" s="41"/>
      <c r="D1466" s="42"/>
      <c r="E1466" s="43"/>
      <c r="F1466" s="44"/>
      <c r="G1466" s="1" t="str">
        <f>IFERROR(IF(ventas_b_mes684[[#This Row],[CUIT]]="","-",VLOOKUP(ventas_b_mes684[[#This Row],[CUIT]],Lista_CUIT[#All],2,0)),"CUIT NO CARGADO")</f>
        <v>-</v>
      </c>
      <c r="H1466" s="64"/>
      <c r="I1466" s="64">
        <f>ventas_b_mes684[[#This Row],[IMPORTE NETO]]*0.21</f>
        <v>0</v>
      </c>
      <c r="J1466" s="64"/>
      <c r="K1466" s="64"/>
      <c r="L1466" s="64">
        <f>SUM(ventas_b_mes684[[#This Row],[IMPORTE NETO]:[EXENTO]])</f>
        <v>0</v>
      </c>
      <c r="M1466" s="59"/>
    </row>
    <row r="1467" spans="2:13" x14ac:dyDescent="0.25">
      <c r="B1467" s="40"/>
      <c r="C1467" s="41"/>
      <c r="D1467" s="42"/>
      <c r="E1467" s="43"/>
      <c r="F1467" s="44"/>
      <c r="G1467" s="1" t="str">
        <f>IFERROR(IF(ventas_b_mes684[[#This Row],[CUIT]]="","-",VLOOKUP(ventas_b_mes684[[#This Row],[CUIT]],Lista_CUIT[#All],2,0)),"CUIT NO CARGADO")</f>
        <v>-</v>
      </c>
      <c r="H1467" s="64"/>
      <c r="I1467" s="64">
        <f>ventas_b_mes684[[#This Row],[IMPORTE NETO]]*0.21</f>
        <v>0</v>
      </c>
      <c r="J1467" s="64"/>
      <c r="K1467" s="64"/>
      <c r="L1467" s="64">
        <f>SUM(ventas_b_mes684[[#This Row],[IMPORTE NETO]:[EXENTO]])</f>
        <v>0</v>
      </c>
      <c r="M1467" s="59"/>
    </row>
    <row r="1468" spans="2:13" x14ac:dyDescent="0.25">
      <c r="B1468" s="40"/>
      <c r="C1468" s="41"/>
      <c r="D1468" s="42"/>
      <c r="E1468" s="43"/>
      <c r="F1468" s="44"/>
      <c r="G1468" s="1" t="str">
        <f>IFERROR(IF(ventas_b_mes684[[#This Row],[CUIT]]="","-",VLOOKUP(ventas_b_mes684[[#This Row],[CUIT]],Lista_CUIT[#All],2,0)),"CUIT NO CARGADO")</f>
        <v>-</v>
      </c>
      <c r="H1468" s="64"/>
      <c r="I1468" s="64">
        <f>ventas_b_mes684[[#This Row],[IMPORTE NETO]]*0.21</f>
        <v>0</v>
      </c>
      <c r="J1468" s="64"/>
      <c r="K1468" s="64"/>
      <c r="L1468" s="64">
        <f>SUM(ventas_b_mes684[[#This Row],[IMPORTE NETO]:[EXENTO]])</f>
        <v>0</v>
      </c>
      <c r="M1468" s="59"/>
    </row>
    <row r="1469" spans="2:13" x14ac:dyDescent="0.25">
      <c r="B1469" s="40"/>
      <c r="C1469" s="41"/>
      <c r="D1469" s="42"/>
      <c r="E1469" s="43"/>
      <c r="F1469" s="44"/>
      <c r="G1469" s="1" t="str">
        <f>IFERROR(IF(ventas_b_mes684[[#This Row],[CUIT]]="","-",VLOOKUP(ventas_b_mes684[[#This Row],[CUIT]],Lista_CUIT[#All],2,0)),"CUIT NO CARGADO")</f>
        <v>-</v>
      </c>
      <c r="H1469" s="64"/>
      <c r="I1469" s="64">
        <f>ventas_b_mes684[[#This Row],[IMPORTE NETO]]*0.21</f>
        <v>0</v>
      </c>
      <c r="J1469" s="64"/>
      <c r="K1469" s="64"/>
      <c r="L1469" s="64">
        <f>SUM(ventas_b_mes684[[#This Row],[IMPORTE NETO]:[EXENTO]])</f>
        <v>0</v>
      </c>
      <c r="M1469" s="59"/>
    </row>
    <row r="1470" spans="2:13" x14ac:dyDescent="0.25">
      <c r="B1470" s="40"/>
      <c r="C1470" s="41"/>
      <c r="D1470" s="42"/>
      <c r="E1470" s="43"/>
      <c r="F1470" s="44"/>
      <c r="G1470" s="1" t="str">
        <f>IFERROR(IF(ventas_b_mes684[[#This Row],[CUIT]]="","-",VLOOKUP(ventas_b_mes684[[#This Row],[CUIT]],Lista_CUIT[#All],2,0)),"CUIT NO CARGADO")</f>
        <v>-</v>
      </c>
      <c r="H1470" s="64"/>
      <c r="I1470" s="64">
        <f>ventas_b_mes684[[#This Row],[IMPORTE NETO]]*0.21</f>
        <v>0</v>
      </c>
      <c r="J1470" s="64"/>
      <c r="K1470" s="64"/>
      <c r="L1470" s="64">
        <f>SUM(ventas_b_mes684[[#This Row],[IMPORTE NETO]:[EXENTO]])</f>
        <v>0</v>
      </c>
      <c r="M1470" s="59"/>
    </row>
    <row r="1471" spans="2:13" x14ac:dyDescent="0.25">
      <c r="B1471" s="40"/>
      <c r="C1471" s="41"/>
      <c r="D1471" s="42"/>
      <c r="E1471" s="43"/>
      <c r="F1471" s="44"/>
      <c r="G1471" s="1" t="str">
        <f>IFERROR(IF(ventas_b_mes684[[#This Row],[CUIT]]="","-",VLOOKUP(ventas_b_mes684[[#This Row],[CUIT]],Lista_CUIT[#All],2,0)),"CUIT NO CARGADO")</f>
        <v>-</v>
      </c>
      <c r="H1471" s="64"/>
      <c r="I1471" s="64">
        <f>ventas_b_mes684[[#This Row],[IMPORTE NETO]]*0.21</f>
        <v>0</v>
      </c>
      <c r="J1471" s="64"/>
      <c r="K1471" s="64"/>
      <c r="L1471" s="64">
        <f>SUM(ventas_b_mes684[[#This Row],[IMPORTE NETO]:[EXENTO]])</f>
        <v>0</v>
      </c>
      <c r="M1471" s="59"/>
    </row>
    <row r="1472" spans="2:13" x14ac:dyDescent="0.25">
      <c r="B1472" s="40"/>
      <c r="C1472" s="41"/>
      <c r="D1472" s="42"/>
      <c r="E1472" s="43"/>
      <c r="F1472" s="44"/>
      <c r="G1472" s="1" t="str">
        <f>IFERROR(IF(ventas_b_mes684[[#This Row],[CUIT]]="","-",VLOOKUP(ventas_b_mes684[[#This Row],[CUIT]],Lista_CUIT[#All],2,0)),"CUIT NO CARGADO")</f>
        <v>-</v>
      </c>
      <c r="H1472" s="64"/>
      <c r="I1472" s="64">
        <f>ventas_b_mes684[[#This Row],[IMPORTE NETO]]*0.21</f>
        <v>0</v>
      </c>
      <c r="J1472" s="64"/>
      <c r="K1472" s="64"/>
      <c r="L1472" s="64">
        <f>SUM(ventas_b_mes684[[#This Row],[IMPORTE NETO]:[EXENTO]])</f>
        <v>0</v>
      </c>
      <c r="M1472" s="59"/>
    </row>
    <row r="1473" spans="2:13" x14ac:dyDescent="0.25">
      <c r="B1473" s="40"/>
      <c r="C1473" s="41"/>
      <c r="D1473" s="42"/>
      <c r="E1473" s="43"/>
      <c r="F1473" s="44"/>
      <c r="G1473" s="1" t="str">
        <f>IFERROR(IF(ventas_b_mes684[[#This Row],[CUIT]]="","-",VLOOKUP(ventas_b_mes684[[#This Row],[CUIT]],Lista_CUIT[#All],2,0)),"CUIT NO CARGADO")</f>
        <v>-</v>
      </c>
      <c r="H1473" s="64"/>
      <c r="I1473" s="64">
        <f>ventas_b_mes684[[#This Row],[IMPORTE NETO]]*0.21</f>
        <v>0</v>
      </c>
      <c r="J1473" s="64"/>
      <c r="K1473" s="64"/>
      <c r="L1473" s="64">
        <f>SUM(ventas_b_mes684[[#This Row],[IMPORTE NETO]:[EXENTO]])</f>
        <v>0</v>
      </c>
      <c r="M1473" s="59"/>
    </row>
    <row r="1474" spans="2:13" x14ac:dyDescent="0.25">
      <c r="B1474" s="40"/>
      <c r="C1474" s="41"/>
      <c r="D1474" s="42"/>
      <c r="E1474" s="43"/>
      <c r="F1474" s="44"/>
      <c r="G1474" s="1" t="str">
        <f>IFERROR(IF(ventas_b_mes684[[#This Row],[CUIT]]="","-",VLOOKUP(ventas_b_mes684[[#This Row],[CUIT]],Lista_CUIT[#All],2,0)),"CUIT NO CARGADO")</f>
        <v>-</v>
      </c>
      <c r="H1474" s="64"/>
      <c r="I1474" s="64">
        <f>ventas_b_mes684[[#This Row],[IMPORTE NETO]]*0.21</f>
        <v>0</v>
      </c>
      <c r="J1474" s="64"/>
      <c r="K1474" s="64"/>
      <c r="L1474" s="64">
        <f>SUM(ventas_b_mes684[[#This Row],[IMPORTE NETO]:[EXENTO]])</f>
        <v>0</v>
      </c>
      <c r="M1474" s="59"/>
    </row>
    <row r="1475" spans="2:13" x14ac:dyDescent="0.25">
      <c r="B1475" s="40"/>
      <c r="C1475" s="41"/>
      <c r="D1475" s="42"/>
      <c r="E1475" s="43"/>
      <c r="F1475" s="44"/>
      <c r="G1475" s="1" t="str">
        <f>IFERROR(IF(ventas_b_mes684[[#This Row],[CUIT]]="","-",VLOOKUP(ventas_b_mes684[[#This Row],[CUIT]],Lista_CUIT[#All],2,0)),"CUIT NO CARGADO")</f>
        <v>-</v>
      </c>
      <c r="H1475" s="64"/>
      <c r="I1475" s="64">
        <f>ventas_b_mes684[[#This Row],[IMPORTE NETO]]*0.21</f>
        <v>0</v>
      </c>
      <c r="J1475" s="64"/>
      <c r="K1475" s="64"/>
      <c r="L1475" s="64">
        <f>SUM(ventas_b_mes684[[#This Row],[IMPORTE NETO]:[EXENTO]])</f>
        <v>0</v>
      </c>
      <c r="M1475" s="59"/>
    </row>
    <row r="1476" spans="2:13" x14ac:dyDescent="0.25">
      <c r="B1476" s="40"/>
      <c r="C1476" s="41"/>
      <c r="D1476" s="42"/>
      <c r="E1476" s="43"/>
      <c r="F1476" s="44"/>
      <c r="G1476" s="1" t="str">
        <f>IFERROR(IF(ventas_b_mes684[[#This Row],[CUIT]]="","-",VLOOKUP(ventas_b_mes684[[#This Row],[CUIT]],Lista_CUIT[#All],2,0)),"CUIT NO CARGADO")</f>
        <v>-</v>
      </c>
      <c r="H1476" s="64"/>
      <c r="I1476" s="64">
        <f>ventas_b_mes684[[#This Row],[IMPORTE NETO]]*0.21</f>
        <v>0</v>
      </c>
      <c r="J1476" s="64"/>
      <c r="K1476" s="64"/>
      <c r="L1476" s="64">
        <f>SUM(ventas_b_mes684[[#This Row],[IMPORTE NETO]:[EXENTO]])</f>
        <v>0</v>
      </c>
      <c r="M1476" s="59"/>
    </row>
    <row r="1477" spans="2:13" x14ac:dyDescent="0.25">
      <c r="B1477" s="40"/>
      <c r="C1477" s="41"/>
      <c r="D1477" s="42"/>
      <c r="E1477" s="43"/>
      <c r="F1477" s="44"/>
      <c r="G1477" s="1" t="str">
        <f>IFERROR(IF(ventas_b_mes684[[#This Row],[CUIT]]="","-",VLOOKUP(ventas_b_mes684[[#This Row],[CUIT]],Lista_CUIT[#All],2,0)),"CUIT NO CARGADO")</f>
        <v>-</v>
      </c>
      <c r="H1477" s="64"/>
      <c r="I1477" s="64">
        <f>ventas_b_mes684[[#This Row],[IMPORTE NETO]]*0.21</f>
        <v>0</v>
      </c>
      <c r="J1477" s="64"/>
      <c r="K1477" s="64"/>
      <c r="L1477" s="64">
        <f>SUM(ventas_b_mes684[[#This Row],[IMPORTE NETO]:[EXENTO]])</f>
        <v>0</v>
      </c>
      <c r="M1477" s="59"/>
    </row>
    <row r="1478" spans="2:13" x14ac:dyDescent="0.25">
      <c r="B1478" s="40"/>
      <c r="C1478" s="41"/>
      <c r="D1478" s="42"/>
      <c r="E1478" s="43"/>
      <c r="F1478" s="44"/>
      <c r="G1478" s="1" t="str">
        <f>IFERROR(IF(ventas_b_mes684[[#This Row],[CUIT]]="","-",VLOOKUP(ventas_b_mes684[[#This Row],[CUIT]],Lista_CUIT[#All],2,0)),"CUIT NO CARGADO")</f>
        <v>-</v>
      </c>
      <c r="H1478" s="64"/>
      <c r="I1478" s="64">
        <f>ventas_b_mes684[[#This Row],[IMPORTE NETO]]*0.21</f>
        <v>0</v>
      </c>
      <c r="J1478" s="64"/>
      <c r="K1478" s="64"/>
      <c r="L1478" s="64">
        <f>SUM(ventas_b_mes684[[#This Row],[IMPORTE NETO]:[EXENTO]])</f>
        <v>0</v>
      </c>
      <c r="M1478" s="59"/>
    </row>
    <row r="1479" spans="2:13" x14ac:dyDescent="0.25">
      <c r="B1479" s="40"/>
      <c r="C1479" s="41"/>
      <c r="D1479" s="42"/>
      <c r="E1479" s="43"/>
      <c r="F1479" s="44"/>
      <c r="G1479" s="1" t="str">
        <f>IFERROR(IF(ventas_b_mes684[[#This Row],[CUIT]]="","-",VLOOKUP(ventas_b_mes684[[#This Row],[CUIT]],Lista_CUIT[#All],2,0)),"CUIT NO CARGADO")</f>
        <v>-</v>
      </c>
      <c r="H1479" s="64"/>
      <c r="I1479" s="64">
        <f>ventas_b_mes684[[#This Row],[IMPORTE NETO]]*0.21</f>
        <v>0</v>
      </c>
      <c r="J1479" s="64"/>
      <c r="K1479" s="64"/>
      <c r="L1479" s="64">
        <f>SUM(ventas_b_mes684[[#This Row],[IMPORTE NETO]:[EXENTO]])</f>
        <v>0</v>
      </c>
      <c r="M1479" s="59"/>
    </row>
    <row r="1480" spans="2:13" x14ac:dyDescent="0.25">
      <c r="B1480" s="40"/>
      <c r="C1480" s="41"/>
      <c r="D1480" s="42"/>
      <c r="E1480" s="43"/>
      <c r="F1480" s="44"/>
      <c r="G1480" s="1" t="str">
        <f>IFERROR(IF(ventas_b_mes684[[#This Row],[CUIT]]="","-",VLOOKUP(ventas_b_mes684[[#This Row],[CUIT]],Lista_CUIT[#All],2,0)),"CUIT NO CARGADO")</f>
        <v>-</v>
      </c>
      <c r="H1480" s="64"/>
      <c r="I1480" s="64">
        <f>ventas_b_mes684[[#This Row],[IMPORTE NETO]]*0.21</f>
        <v>0</v>
      </c>
      <c r="J1480" s="64"/>
      <c r="K1480" s="64"/>
      <c r="L1480" s="64">
        <f>SUM(ventas_b_mes684[[#This Row],[IMPORTE NETO]:[EXENTO]])</f>
        <v>0</v>
      </c>
      <c r="M1480" s="59"/>
    </row>
    <row r="1481" spans="2:13" x14ac:dyDescent="0.25">
      <c r="B1481" s="40"/>
      <c r="C1481" s="41"/>
      <c r="D1481" s="42"/>
      <c r="E1481" s="43"/>
      <c r="F1481" s="44"/>
      <c r="G1481" s="1" t="str">
        <f>IFERROR(IF(ventas_b_mes684[[#This Row],[CUIT]]="","-",VLOOKUP(ventas_b_mes684[[#This Row],[CUIT]],Lista_CUIT[#All],2,0)),"CUIT NO CARGADO")</f>
        <v>-</v>
      </c>
      <c r="H1481" s="64"/>
      <c r="I1481" s="64">
        <f>ventas_b_mes684[[#This Row],[IMPORTE NETO]]*0.21</f>
        <v>0</v>
      </c>
      <c r="J1481" s="64"/>
      <c r="K1481" s="64"/>
      <c r="L1481" s="64">
        <f>SUM(ventas_b_mes684[[#This Row],[IMPORTE NETO]:[EXENTO]])</f>
        <v>0</v>
      </c>
      <c r="M1481" s="59"/>
    </row>
    <row r="1482" spans="2:13" x14ac:dyDescent="0.25">
      <c r="B1482" s="40"/>
      <c r="C1482" s="41"/>
      <c r="D1482" s="42"/>
      <c r="E1482" s="43"/>
      <c r="F1482" s="44"/>
      <c r="G1482" s="1" t="str">
        <f>IFERROR(IF(ventas_b_mes684[[#This Row],[CUIT]]="","-",VLOOKUP(ventas_b_mes684[[#This Row],[CUIT]],Lista_CUIT[#All],2,0)),"CUIT NO CARGADO")</f>
        <v>-</v>
      </c>
      <c r="H1482" s="64"/>
      <c r="I1482" s="64">
        <f>ventas_b_mes684[[#This Row],[IMPORTE NETO]]*0.21</f>
        <v>0</v>
      </c>
      <c r="J1482" s="64"/>
      <c r="K1482" s="64"/>
      <c r="L1482" s="64">
        <f>SUM(ventas_b_mes684[[#This Row],[IMPORTE NETO]:[EXENTO]])</f>
        <v>0</v>
      </c>
      <c r="M1482" s="59"/>
    </row>
    <row r="1483" spans="2:13" x14ac:dyDescent="0.25">
      <c r="B1483" s="40"/>
      <c r="C1483" s="41"/>
      <c r="D1483" s="42"/>
      <c r="E1483" s="43"/>
      <c r="F1483" s="44"/>
      <c r="G1483" s="1" t="str">
        <f>IFERROR(IF(ventas_b_mes684[[#This Row],[CUIT]]="","-",VLOOKUP(ventas_b_mes684[[#This Row],[CUIT]],Lista_CUIT[#All],2,0)),"CUIT NO CARGADO")</f>
        <v>-</v>
      </c>
      <c r="H1483" s="64"/>
      <c r="I1483" s="64">
        <f>ventas_b_mes684[[#This Row],[IMPORTE NETO]]*0.21</f>
        <v>0</v>
      </c>
      <c r="J1483" s="64"/>
      <c r="K1483" s="64"/>
      <c r="L1483" s="64">
        <f>SUM(ventas_b_mes684[[#This Row],[IMPORTE NETO]:[EXENTO]])</f>
        <v>0</v>
      </c>
      <c r="M1483" s="59"/>
    </row>
    <row r="1484" spans="2:13" x14ac:dyDescent="0.25">
      <c r="B1484" s="40"/>
      <c r="C1484" s="41"/>
      <c r="D1484" s="42"/>
      <c r="E1484" s="43"/>
      <c r="F1484" s="44"/>
      <c r="G1484" s="1" t="str">
        <f>IFERROR(IF(ventas_b_mes684[[#This Row],[CUIT]]="","-",VLOOKUP(ventas_b_mes684[[#This Row],[CUIT]],Lista_CUIT[#All],2,0)),"CUIT NO CARGADO")</f>
        <v>-</v>
      </c>
      <c r="H1484" s="64"/>
      <c r="I1484" s="64">
        <f>ventas_b_mes684[[#This Row],[IMPORTE NETO]]*0.21</f>
        <v>0</v>
      </c>
      <c r="J1484" s="64"/>
      <c r="K1484" s="64"/>
      <c r="L1484" s="64">
        <f>SUM(ventas_b_mes684[[#This Row],[IMPORTE NETO]:[EXENTO]])</f>
        <v>0</v>
      </c>
      <c r="M1484" s="59"/>
    </row>
    <row r="1485" spans="2:13" x14ac:dyDescent="0.25">
      <c r="B1485" s="40"/>
      <c r="C1485" s="41"/>
      <c r="D1485" s="42"/>
      <c r="E1485" s="43"/>
      <c r="F1485" s="44"/>
      <c r="G1485" s="1" t="str">
        <f>IFERROR(IF(ventas_b_mes684[[#This Row],[CUIT]]="","-",VLOOKUP(ventas_b_mes684[[#This Row],[CUIT]],Lista_CUIT[#All],2,0)),"CUIT NO CARGADO")</f>
        <v>-</v>
      </c>
      <c r="H1485" s="64"/>
      <c r="I1485" s="64">
        <f>ventas_b_mes684[[#This Row],[IMPORTE NETO]]*0.21</f>
        <v>0</v>
      </c>
      <c r="J1485" s="64"/>
      <c r="K1485" s="64"/>
      <c r="L1485" s="64">
        <f>SUM(ventas_b_mes684[[#This Row],[IMPORTE NETO]:[EXENTO]])</f>
        <v>0</v>
      </c>
      <c r="M1485" s="59"/>
    </row>
    <row r="1486" spans="2:13" x14ac:dyDescent="0.25">
      <c r="B1486" s="40"/>
      <c r="C1486" s="41"/>
      <c r="D1486" s="42"/>
      <c r="E1486" s="43"/>
      <c r="F1486" s="44"/>
      <c r="G1486" s="1" t="str">
        <f>IFERROR(IF(ventas_b_mes684[[#This Row],[CUIT]]="","-",VLOOKUP(ventas_b_mes684[[#This Row],[CUIT]],Lista_CUIT[#All],2,0)),"CUIT NO CARGADO")</f>
        <v>-</v>
      </c>
      <c r="H1486" s="64"/>
      <c r="I1486" s="64">
        <f>ventas_b_mes684[[#This Row],[IMPORTE NETO]]*0.21</f>
        <v>0</v>
      </c>
      <c r="J1486" s="64"/>
      <c r="K1486" s="64"/>
      <c r="L1486" s="64">
        <f>SUM(ventas_b_mes684[[#This Row],[IMPORTE NETO]:[EXENTO]])</f>
        <v>0</v>
      </c>
      <c r="M1486" s="59"/>
    </row>
    <row r="1487" spans="2:13" x14ac:dyDescent="0.25">
      <c r="B1487" s="40"/>
      <c r="C1487" s="41"/>
      <c r="D1487" s="42"/>
      <c r="E1487" s="43"/>
      <c r="F1487" s="44"/>
      <c r="G1487" s="1" t="str">
        <f>IFERROR(IF(ventas_b_mes684[[#This Row],[CUIT]]="","-",VLOOKUP(ventas_b_mes684[[#This Row],[CUIT]],Lista_CUIT[#All],2,0)),"CUIT NO CARGADO")</f>
        <v>-</v>
      </c>
      <c r="H1487" s="64"/>
      <c r="I1487" s="64">
        <f>ventas_b_mes684[[#This Row],[IMPORTE NETO]]*0.21</f>
        <v>0</v>
      </c>
      <c r="J1487" s="64"/>
      <c r="K1487" s="64"/>
      <c r="L1487" s="64">
        <f>SUM(ventas_b_mes684[[#This Row],[IMPORTE NETO]:[EXENTO]])</f>
        <v>0</v>
      </c>
      <c r="M1487" s="59"/>
    </row>
    <row r="1488" spans="2:13" x14ac:dyDescent="0.25">
      <c r="B1488" s="40"/>
      <c r="C1488" s="41"/>
      <c r="D1488" s="42"/>
      <c r="E1488" s="43"/>
      <c r="F1488" s="44"/>
      <c r="G1488" s="1" t="str">
        <f>IFERROR(IF(ventas_b_mes684[[#This Row],[CUIT]]="","-",VLOOKUP(ventas_b_mes684[[#This Row],[CUIT]],Lista_CUIT[#All],2,0)),"CUIT NO CARGADO")</f>
        <v>-</v>
      </c>
      <c r="H1488" s="64"/>
      <c r="I1488" s="64">
        <f>ventas_b_mes684[[#This Row],[IMPORTE NETO]]*0.21</f>
        <v>0</v>
      </c>
      <c r="J1488" s="64"/>
      <c r="K1488" s="64"/>
      <c r="L1488" s="64">
        <f>SUM(ventas_b_mes684[[#This Row],[IMPORTE NETO]:[EXENTO]])</f>
        <v>0</v>
      </c>
      <c r="M1488" s="59"/>
    </row>
    <row r="1489" spans="2:13" x14ac:dyDescent="0.25">
      <c r="B1489" s="40"/>
      <c r="C1489" s="41"/>
      <c r="D1489" s="42"/>
      <c r="E1489" s="43"/>
      <c r="F1489" s="44"/>
      <c r="G1489" s="1" t="str">
        <f>IFERROR(IF(ventas_b_mes684[[#This Row],[CUIT]]="","-",VLOOKUP(ventas_b_mes684[[#This Row],[CUIT]],Lista_CUIT[#All],2,0)),"CUIT NO CARGADO")</f>
        <v>-</v>
      </c>
      <c r="H1489" s="64"/>
      <c r="I1489" s="64">
        <f>ventas_b_mes684[[#This Row],[IMPORTE NETO]]*0.21</f>
        <v>0</v>
      </c>
      <c r="J1489" s="64"/>
      <c r="K1489" s="64"/>
      <c r="L1489" s="64">
        <f>SUM(ventas_b_mes684[[#This Row],[IMPORTE NETO]:[EXENTO]])</f>
        <v>0</v>
      </c>
      <c r="M1489" s="59"/>
    </row>
    <row r="1490" spans="2:13" x14ac:dyDescent="0.25">
      <c r="B1490" s="40"/>
      <c r="C1490" s="41"/>
      <c r="D1490" s="42"/>
      <c r="E1490" s="43"/>
      <c r="F1490" s="44"/>
      <c r="G1490" s="1" t="str">
        <f>IFERROR(IF(ventas_b_mes684[[#This Row],[CUIT]]="","-",VLOOKUP(ventas_b_mes684[[#This Row],[CUIT]],Lista_CUIT[#All],2,0)),"CUIT NO CARGADO")</f>
        <v>-</v>
      </c>
      <c r="H1490" s="64"/>
      <c r="I1490" s="64">
        <f>ventas_b_mes684[[#This Row],[IMPORTE NETO]]*0.21</f>
        <v>0</v>
      </c>
      <c r="J1490" s="64"/>
      <c r="K1490" s="64"/>
      <c r="L1490" s="64">
        <f>SUM(ventas_b_mes684[[#This Row],[IMPORTE NETO]:[EXENTO]])</f>
        <v>0</v>
      </c>
      <c r="M1490" s="59"/>
    </row>
    <row r="1491" spans="2:13" x14ac:dyDescent="0.25">
      <c r="B1491" s="40"/>
      <c r="C1491" s="41"/>
      <c r="D1491" s="42"/>
      <c r="E1491" s="43"/>
      <c r="F1491" s="44"/>
      <c r="G1491" s="1" t="str">
        <f>IFERROR(IF(ventas_b_mes684[[#This Row],[CUIT]]="","-",VLOOKUP(ventas_b_mes684[[#This Row],[CUIT]],Lista_CUIT[#All],2,0)),"CUIT NO CARGADO")</f>
        <v>-</v>
      </c>
      <c r="H1491" s="64"/>
      <c r="I1491" s="64">
        <f>ventas_b_mes684[[#This Row],[IMPORTE NETO]]*0.21</f>
        <v>0</v>
      </c>
      <c r="J1491" s="64"/>
      <c r="K1491" s="64"/>
      <c r="L1491" s="64">
        <f>SUM(ventas_b_mes684[[#This Row],[IMPORTE NETO]:[EXENTO]])</f>
        <v>0</v>
      </c>
      <c r="M1491" s="59"/>
    </row>
    <row r="1492" spans="2:13" x14ac:dyDescent="0.25">
      <c r="B1492" s="40"/>
      <c r="C1492" s="41"/>
      <c r="D1492" s="42"/>
      <c r="E1492" s="43"/>
      <c r="F1492" s="44"/>
      <c r="G1492" s="1" t="str">
        <f>IFERROR(IF(ventas_b_mes684[[#This Row],[CUIT]]="","-",VLOOKUP(ventas_b_mes684[[#This Row],[CUIT]],Lista_CUIT[#All],2,0)),"CUIT NO CARGADO")</f>
        <v>-</v>
      </c>
      <c r="H1492" s="64"/>
      <c r="I1492" s="64">
        <f>ventas_b_mes684[[#This Row],[IMPORTE NETO]]*0.21</f>
        <v>0</v>
      </c>
      <c r="J1492" s="64"/>
      <c r="K1492" s="64"/>
      <c r="L1492" s="64">
        <f>SUM(ventas_b_mes684[[#This Row],[IMPORTE NETO]:[EXENTO]])</f>
        <v>0</v>
      </c>
      <c r="M1492" s="59"/>
    </row>
    <row r="1493" spans="2:13" x14ac:dyDescent="0.25">
      <c r="B1493" s="40"/>
      <c r="C1493" s="41"/>
      <c r="D1493" s="42"/>
      <c r="E1493" s="43"/>
      <c r="F1493" s="44"/>
      <c r="G1493" s="1" t="str">
        <f>IFERROR(IF(ventas_b_mes684[[#This Row],[CUIT]]="","-",VLOOKUP(ventas_b_mes684[[#This Row],[CUIT]],Lista_CUIT[#All],2,0)),"CUIT NO CARGADO")</f>
        <v>-</v>
      </c>
      <c r="H1493" s="64"/>
      <c r="I1493" s="64">
        <f>ventas_b_mes684[[#This Row],[IMPORTE NETO]]*0.21</f>
        <v>0</v>
      </c>
      <c r="J1493" s="64"/>
      <c r="K1493" s="64"/>
      <c r="L1493" s="64">
        <f>SUM(ventas_b_mes684[[#This Row],[IMPORTE NETO]:[EXENTO]])</f>
        <v>0</v>
      </c>
      <c r="M1493" s="59"/>
    </row>
    <row r="1494" spans="2:13" x14ac:dyDescent="0.25">
      <c r="B1494" s="40"/>
      <c r="C1494" s="41"/>
      <c r="D1494" s="42"/>
      <c r="E1494" s="43"/>
      <c r="F1494" s="44"/>
      <c r="G1494" s="1" t="str">
        <f>IFERROR(IF(ventas_b_mes684[[#This Row],[CUIT]]="","-",VLOOKUP(ventas_b_mes684[[#This Row],[CUIT]],Lista_CUIT[#All],2,0)),"CUIT NO CARGADO")</f>
        <v>-</v>
      </c>
      <c r="H1494" s="64"/>
      <c r="I1494" s="64">
        <f>ventas_b_mes684[[#This Row],[IMPORTE NETO]]*0.21</f>
        <v>0</v>
      </c>
      <c r="J1494" s="64"/>
      <c r="K1494" s="64"/>
      <c r="L1494" s="64">
        <f>SUM(ventas_b_mes684[[#This Row],[IMPORTE NETO]:[EXENTO]])</f>
        <v>0</v>
      </c>
      <c r="M1494" s="59"/>
    </row>
    <row r="1495" spans="2:13" x14ac:dyDescent="0.25">
      <c r="B1495" s="40"/>
      <c r="C1495" s="41"/>
      <c r="D1495" s="42"/>
      <c r="E1495" s="43"/>
      <c r="F1495" s="44"/>
      <c r="G1495" s="1" t="str">
        <f>IFERROR(IF(ventas_b_mes684[[#This Row],[CUIT]]="","-",VLOOKUP(ventas_b_mes684[[#This Row],[CUIT]],Lista_CUIT[#All],2,0)),"CUIT NO CARGADO")</f>
        <v>-</v>
      </c>
      <c r="H1495" s="64"/>
      <c r="I1495" s="64">
        <f>ventas_b_mes684[[#This Row],[IMPORTE NETO]]*0.21</f>
        <v>0</v>
      </c>
      <c r="J1495" s="64"/>
      <c r="K1495" s="64"/>
      <c r="L1495" s="64">
        <f>SUM(ventas_b_mes684[[#This Row],[IMPORTE NETO]:[EXENTO]])</f>
        <v>0</v>
      </c>
      <c r="M1495" s="59"/>
    </row>
    <row r="1496" spans="2:13" x14ac:dyDescent="0.25">
      <c r="B1496" s="40"/>
      <c r="C1496" s="41"/>
      <c r="D1496" s="42"/>
      <c r="E1496" s="43"/>
      <c r="F1496" s="44"/>
      <c r="G1496" s="1" t="str">
        <f>IFERROR(IF(ventas_b_mes684[[#This Row],[CUIT]]="","-",VLOOKUP(ventas_b_mes684[[#This Row],[CUIT]],Lista_CUIT[#All],2,0)),"CUIT NO CARGADO")</f>
        <v>-</v>
      </c>
      <c r="H1496" s="64"/>
      <c r="I1496" s="64">
        <f>ventas_b_mes684[[#This Row],[IMPORTE NETO]]*0.21</f>
        <v>0</v>
      </c>
      <c r="J1496" s="64"/>
      <c r="K1496" s="64"/>
      <c r="L1496" s="64">
        <f>SUM(ventas_b_mes684[[#This Row],[IMPORTE NETO]:[EXENTO]])</f>
        <v>0</v>
      </c>
      <c r="M1496" s="59"/>
    </row>
    <row r="1497" spans="2:13" x14ac:dyDescent="0.25">
      <c r="B1497" s="40"/>
      <c r="C1497" s="41"/>
      <c r="D1497" s="42"/>
      <c r="E1497" s="43"/>
      <c r="F1497" s="44"/>
      <c r="G1497" s="1" t="str">
        <f>IFERROR(IF(ventas_b_mes684[[#This Row],[CUIT]]="","-",VLOOKUP(ventas_b_mes684[[#This Row],[CUIT]],Lista_CUIT[#All],2,0)),"CUIT NO CARGADO")</f>
        <v>-</v>
      </c>
      <c r="H1497" s="64"/>
      <c r="I1497" s="64">
        <f>ventas_b_mes684[[#This Row],[IMPORTE NETO]]*0.21</f>
        <v>0</v>
      </c>
      <c r="J1497" s="64"/>
      <c r="K1497" s="64"/>
      <c r="L1497" s="64">
        <f>SUM(ventas_b_mes684[[#This Row],[IMPORTE NETO]:[EXENTO]])</f>
        <v>0</v>
      </c>
      <c r="M1497" s="59"/>
    </row>
    <row r="1498" spans="2:13" x14ac:dyDescent="0.25">
      <c r="B1498" s="40"/>
      <c r="C1498" s="41"/>
      <c r="D1498" s="42"/>
      <c r="E1498" s="43"/>
      <c r="F1498" s="44"/>
      <c r="G1498" s="1" t="str">
        <f>IFERROR(IF(ventas_b_mes684[[#This Row],[CUIT]]="","-",VLOOKUP(ventas_b_mes684[[#This Row],[CUIT]],Lista_CUIT[#All],2,0)),"CUIT NO CARGADO")</f>
        <v>-</v>
      </c>
      <c r="H1498" s="64"/>
      <c r="I1498" s="64">
        <f>ventas_b_mes684[[#This Row],[IMPORTE NETO]]*0.21</f>
        <v>0</v>
      </c>
      <c r="J1498" s="64"/>
      <c r="K1498" s="64"/>
      <c r="L1498" s="64">
        <f>SUM(ventas_b_mes684[[#This Row],[IMPORTE NETO]:[EXENTO]])</f>
        <v>0</v>
      </c>
      <c r="M1498" s="59"/>
    </row>
    <row r="1499" spans="2:13" x14ac:dyDescent="0.25">
      <c r="B1499" s="40"/>
      <c r="C1499" s="41"/>
      <c r="D1499" s="42"/>
      <c r="E1499" s="43"/>
      <c r="F1499" s="44"/>
      <c r="G1499" s="1" t="str">
        <f>IFERROR(IF(ventas_b_mes684[[#This Row],[CUIT]]="","-",VLOOKUP(ventas_b_mes684[[#This Row],[CUIT]],Lista_CUIT[#All],2,0)),"CUIT NO CARGADO")</f>
        <v>-</v>
      </c>
      <c r="H1499" s="64"/>
      <c r="I1499" s="64">
        <f>ventas_b_mes684[[#This Row],[IMPORTE NETO]]*0.21</f>
        <v>0</v>
      </c>
      <c r="J1499" s="64"/>
      <c r="K1499" s="64"/>
      <c r="L1499" s="64">
        <f>SUM(ventas_b_mes684[[#This Row],[IMPORTE NETO]:[EXENTO]])</f>
        <v>0</v>
      </c>
      <c r="M1499" s="59"/>
    </row>
    <row r="1500" spans="2:13" x14ac:dyDescent="0.25">
      <c r="B1500" s="40"/>
      <c r="C1500" s="41"/>
      <c r="D1500" s="42"/>
      <c r="E1500" s="43"/>
      <c r="F1500" s="44"/>
      <c r="G1500" s="1" t="str">
        <f>IFERROR(IF(ventas_b_mes684[[#This Row],[CUIT]]="","-",VLOOKUP(ventas_b_mes684[[#This Row],[CUIT]],Lista_CUIT[#All],2,0)),"CUIT NO CARGADO")</f>
        <v>-</v>
      </c>
      <c r="H1500" s="64"/>
      <c r="I1500" s="64">
        <f>ventas_b_mes684[[#This Row],[IMPORTE NETO]]*0.21</f>
        <v>0</v>
      </c>
      <c r="J1500" s="64"/>
      <c r="K1500" s="64"/>
      <c r="L1500" s="64">
        <f>SUM(ventas_b_mes684[[#This Row],[IMPORTE NETO]:[EXENTO]])</f>
        <v>0</v>
      </c>
      <c r="M1500" s="59"/>
    </row>
    <row r="1501" spans="2:13" x14ac:dyDescent="0.25">
      <c r="B1501" s="40"/>
      <c r="C1501" s="41"/>
      <c r="D1501" s="42"/>
      <c r="E1501" s="43"/>
      <c r="F1501" s="44"/>
      <c r="G1501" s="1" t="str">
        <f>IFERROR(IF(ventas_b_mes684[[#This Row],[CUIT]]="","-",VLOOKUP(ventas_b_mes684[[#This Row],[CUIT]],Lista_CUIT[#All],2,0)),"CUIT NO CARGADO")</f>
        <v>-</v>
      </c>
      <c r="H1501" s="64"/>
      <c r="I1501" s="64">
        <f>ventas_b_mes684[[#This Row],[IMPORTE NETO]]*0.21</f>
        <v>0</v>
      </c>
      <c r="J1501" s="64"/>
      <c r="K1501" s="64"/>
      <c r="L1501" s="64">
        <f>SUM(ventas_b_mes684[[#This Row],[IMPORTE NETO]:[EXENTO]])</f>
        <v>0</v>
      </c>
      <c r="M1501" s="59"/>
    </row>
    <row r="1502" spans="2:13" x14ac:dyDescent="0.25">
      <c r="B1502" s="40"/>
      <c r="C1502" s="41"/>
      <c r="D1502" s="42"/>
      <c r="E1502" s="43"/>
      <c r="F1502" s="44"/>
      <c r="G1502" s="1" t="str">
        <f>IFERROR(IF(ventas_b_mes684[[#This Row],[CUIT]]="","-",VLOOKUP(ventas_b_mes684[[#This Row],[CUIT]],Lista_CUIT[#All],2,0)),"CUIT NO CARGADO")</f>
        <v>-</v>
      </c>
      <c r="H1502" s="64"/>
      <c r="I1502" s="64">
        <f>ventas_b_mes684[[#This Row],[IMPORTE NETO]]*0.21</f>
        <v>0</v>
      </c>
      <c r="J1502" s="64"/>
      <c r="K1502" s="64"/>
      <c r="L1502" s="64">
        <f>SUM(ventas_b_mes684[[#This Row],[IMPORTE NETO]:[EXENTO]])</f>
        <v>0</v>
      </c>
      <c r="M1502" s="59"/>
    </row>
    <row r="1503" spans="2:13" x14ac:dyDescent="0.25">
      <c r="B1503" s="40"/>
      <c r="C1503" s="41"/>
      <c r="D1503" s="42"/>
      <c r="E1503" s="43"/>
      <c r="F1503" s="44"/>
      <c r="G1503" s="1" t="str">
        <f>IFERROR(IF(ventas_b_mes684[[#This Row],[CUIT]]="","-",VLOOKUP(ventas_b_mes684[[#This Row],[CUIT]],Lista_CUIT[#All],2,0)),"CUIT NO CARGADO")</f>
        <v>-</v>
      </c>
      <c r="H1503" s="64"/>
      <c r="I1503" s="64">
        <f>ventas_b_mes684[[#This Row],[IMPORTE NETO]]*0.21</f>
        <v>0</v>
      </c>
      <c r="J1503" s="64"/>
      <c r="K1503" s="64"/>
      <c r="L1503" s="64">
        <f>SUM(ventas_b_mes684[[#This Row],[IMPORTE NETO]:[EXENTO]])</f>
        <v>0</v>
      </c>
      <c r="M1503" s="59"/>
    </row>
    <row r="1504" spans="2:13" x14ac:dyDescent="0.25">
      <c r="B1504" s="40"/>
      <c r="C1504" s="41"/>
      <c r="D1504" s="42"/>
      <c r="E1504" s="43"/>
      <c r="F1504" s="44"/>
      <c r="G1504" s="1" t="str">
        <f>IFERROR(IF(ventas_b_mes684[[#This Row],[CUIT]]="","-",VLOOKUP(ventas_b_mes684[[#This Row],[CUIT]],Lista_CUIT[#All],2,0)),"CUIT NO CARGADO")</f>
        <v>-</v>
      </c>
      <c r="H1504" s="64"/>
      <c r="I1504" s="64">
        <f>ventas_b_mes684[[#This Row],[IMPORTE NETO]]*0.21</f>
        <v>0</v>
      </c>
      <c r="J1504" s="64"/>
      <c r="K1504" s="64"/>
      <c r="L1504" s="64">
        <f>SUM(ventas_b_mes684[[#This Row],[IMPORTE NETO]:[EXENTO]])</f>
        <v>0</v>
      </c>
      <c r="M1504" s="59"/>
    </row>
    <row r="1505" spans="2:13" x14ac:dyDescent="0.25">
      <c r="B1505" s="40"/>
      <c r="C1505" s="41"/>
      <c r="D1505" s="42"/>
      <c r="E1505" s="43"/>
      <c r="F1505" s="44"/>
      <c r="G1505" s="1" t="str">
        <f>IFERROR(IF(ventas_b_mes684[[#This Row],[CUIT]]="","-",VLOOKUP(ventas_b_mes684[[#This Row],[CUIT]],Lista_CUIT[#All],2,0)),"CUIT NO CARGADO")</f>
        <v>-</v>
      </c>
      <c r="H1505" s="64"/>
      <c r="I1505" s="64">
        <f>ventas_b_mes684[[#This Row],[IMPORTE NETO]]*0.21</f>
        <v>0</v>
      </c>
      <c r="J1505" s="64"/>
      <c r="K1505" s="64"/>
      <c r="L1505" s="64">
        <f>SUM(ventas_b_mes684[[#This Row],[IMPORTE NETO]:[EXENTO]])</f>
        <v>0</v>
      </c>
      <c r="M1505" s="59"/>
    </row>
    <row r="1506" spans="2:13" x14ac:dyDescent="0.25">
      <c r="B1506" s="40"/>
      <c r="C1506" s="41"/>
      <c r="D1506" s="42"/>
      <c r="E1506" s="43"/>
      <c r="F1506" s="44"/>
      <c r="G1506" s="1" t="str">
        <f>IFERROR(IF(ventas_b_mes684[[#This Row],[CUIT]]="","-",VLOOKUP(ventas_b_mes684[[#This Row],[CUIT]],Lista_CUIT[#All],2,0)),"CUIT NO CARGADO")</f>
        <v>-</v>
      </c>
      <c r="H1506" s="64"/>
      <c r="I1506" s="64">
        <f>ventas_b_mes684[[#This Row],[IMPORTE NETO]]*0.21</f>
        <v>0</v>
      </c>
      <c r="J1506" s="64"/>
      <c r="K1506" s="64"/>
      <c r="L1506" s="64">
        <f>SUM(ventas_b_mes684[[#This Row],[IMPORTE NETO]:[EXENTO]])</f>
        <v>0</v>
      </c>
      <c r="M1506" s="59"/>
    </row>
    <row r="1507" spans="2:13" x14ac:dyDescent="0.25">
      <c r="B1507" s="40"/>
      <c r="C1507" s="41"/>
      <c r="D1507" s="42"/>
      <c r="E1507" s="43"/>
      <c r="F1507" s="44"/>
      <c r="G1507" s="1" t="str">
        <f>IFERROR(IF(ventas_b_mes684[[#This Row],[CUIT]]="","-",VLOOKUP(ventas_b_mes684[[#This Row],[CUIT]],Lista_CUIT[#All],2,0)),"CUIT NO CARGADO")</f>
        <v>-</v>
      </c>
      <c r="H1507" s="64"/>
      <c r="I1507" s="64">
        <f>ventas_b_mes684[[#This Row],[IMPORTE NETO]]*0.21</f>
        <v>0</v>
      </c>
      <c r="J1507" s="64"/>
      <c r="K1507" s="64"/>
      <c r="L1507" s="64">
        <f>SUM(ventas_b_mes684[[#This Row],[IMPORTE NETO]:[EXENTO]])</f>
        <v>0</v>
      </c>
      <c r="M1507" s="59"/>
    </row>
    <row r="1508" spans="2:13" x14ac:dyDescent="0.25">
      <c r="B1508" s="40"/>
      <c r="C1508" s="41"/>
      <c r="D1508" s="42"/>
      <c r="E1508" s="43"/>
      <c r="F1508" s="44"/>
      <c r="G1508" s="1" t="str">
        <f>IFERROR(IF(ventas_b_mes684[[#This Row],[CUIT]]="","-",VLOOKUP(ventas_b_mes684[[#This Row],[CUIT]],Lista_CUIT[#All],2,0)),"CUIT NO CARGADO")</f>
        <v>-</v>
      </c>
      <c r="H1508" s="64"/>
      <c r="I1508" s="64">
        <f>ventas_b_mes684[[#This Row],[IMPORTE NETO]]*0.21</f>
        <v>0</v>
      </c>
      <c r="J1508" s="64"/>
      <c r="K1508" s="64"/>
      <c r="L1508" s="64">
        <f>SUM(ventas_b_mes684[[#This Row],[IMPORTE NETO]:[EXENTO]])</f>
        <v>0</v>
      </c>
      <c r="M1508" s="59"/>
    </row>
    <row r="1509" spans="2:13" x14ac:dyDescent="0.25">
      <c r="B1509" s="40"/>
      <c r="C1509" s="41"/>
      <c r="D1509" s="42"/>
      <c r="E1509" s="43"/>
      <c r="F1509" s="44"/>
      <c r="G1509" s="1" t="str">
        <f>IFERROR(IF(ventas_b_mes684[[#This Row],[CUIT]]="","-",VLOOKUP(ventas_b_mes684[[#This Row],[CUIT]],Lista_CUIT[#All],2,0)),"CUIT NO CARGADO")</f>
        <v>-</v>
      </c>
      <c r="H1509" s="64"/>
      <c r="I1509" s="64">
        <f>ventas_b_mes684[[#This Row],[IMPORTE NETO]]*0.21</f>
        <v>0</v>
      </c>
      <c r="J1509" s="64"/>
      <c r="K1509" s="64"/>
      <c r="L1509" s="64">
        <f>SUM(ventas_b_mes684[[#This Row],[IMPORTE NETO]:[EXENTO]])</f>
        <v>0</v>
      </c>
      <c r="M1509" s="59"/>
    </row>
    <row r="1510" spans="2:13" x14ac:dyDescent="0.25">
      <c r="B1510" s="40"/>
      <c r="C1510" s="41"/>
      <c r="D1510" s="42"/>
      <c r="E1510" s="43"/>
      <c r="F1510" s="44"/>
      <c r="G1510" s="1" t="str">
        <f>IFERROR(IF(ventas_b_mes684[[#This Row],[CUIT]]="","-",VLOOKUP(ventas_b_mes684[[#This Row],[CUIT]],Lista_CUIT[#All],2,0)),"CUIT NO CARGADO")</f>
        <v>-</v>
      </c>
      <c r="H1510" s="64"/>
      <c r="I1510" s="64">
        <f>ventas_b_mes684[[#This Row],[IMPORTE NETO]]*0.21</f>
        <v>0</v>
      </c>
      <c r="J1510" s="64"/>
      <c r="K1510" s="64"/>
      <c r="L1510" s="64">
        <f>SUM(ventas_b_mes684[[#This Row],[IMPORTE NETO]:[EXENTO]])</f>
        <v>0</v>
      </c>
      <c r="M1510" s="59"/>
    </row>
    <row r="1511" spans="2:13" x14ac:dyDescent="0.25">
      <c r="B1511" s="40"/>
      <c r="C1511" s="41"/>
      <c r="D1511" s="42"/>
      <c r="E1511" s="43"/>
      <c r="F1511" s="44"/>
      <c r="G1511" s="1" t="str">
        <f>IFERROR(IF(ventas_b_mes684[[#This Row],[CUIT]]="","-",VLOOKUP(ventas_b_mes684[[#This Row],[CUIT]],Lista_CUIT[#All],2,0)),"CUIT NO CARGADO")</f>
        <v>-</v>
      </c>
      <c r="H1511" s="64"/>
      <c r="I1511" s="64">
        <f>ventas_b_mes684[[#This Row],[IMPORTE NETO]]*0.21</f>
        <v>0</v>
      </c>
      <c r="J1511" s="64"/>
      <c r="K1511" s="64"/>
      <c r="L1511" s="64">
        <f>SUM(ventas_b_mes684[[#This Row],[IMPORTE NETO]:[EXENTO]])</f>
        <v>0</v>
      </c>
      <c r="M1511" s="59"/>
    </row>
    <row r="1512" spans="2:13" x14ac:dyDescent="0.25">
      <c r="B1512" s="40"/>
      <c r="C1512" s="41"/>
      <c r="D1512" s="42"/>
      <c r="E1512" s="43"/>
      <c r="F1512" s="44"/>
      <c r="G1512" s="1" t="str">
        <f>IFERROR(IF(ventas_b_mes684[[#This Row],[CUIT]]="","-",VLOOKUP(ventas_b_mes684[[#This Row],[CUIT]],Lista_CUIT[#All],2,0)),"CUIT NO CARGADO")</f>
        <v>-</v>
      </c>
      <c r="H1512" s="64"/>
      <c r="I1512" s="64">
        <f>ventas_b_mes684[[#This Row],[IMPORTE NETO]]*0.21</f>
        <v>0</v>
      </c>
      <c r="J1512" s="64"/>
      <c r="K1512" s="64"/>
      <c r="L1512" s="64">
        <f>SUM(ventas_b_mes684[[#This Row],[IMPORTE NETO]:[EXENTO]])</f>
        <v>0</v>
      </c>
      <c r="M1512" s="59"/>
    </row>
    <row r="1513" spans="2:13" x14ac:dyDescent="0.25">
      <c r="B1513" s="40"/>
      <c r="C1513" s="41"/>
      <c r="D1513" s="42"/>
      <c r="E1513" s="43"/>
      <c r="F1513" s="44"/>
      <c r="G1513" s="1" t="str">
        <f>IFERROR(IF(ventas_b_mes684[[#This Row],[CUIT]]="","-",VLOOKUP(ventas_b_mes684[[#This Row],[CUIT]],Lista_CUIT[#All],2,0)),"CUIT NO CARGADO")</f>
        <v>-</v>
      </c>
      <c r="H1513" s="64"/>
      <c r="I1513" s="64">
        <f>ventas_b_mes684[[#This Row],[IMPORTE NETO]]*0.21</f>
        <v>0</v>
      </c>
      <c r="J1513" s="64"/>
      <c r="K1513" s="64"/>
      <c r="L1513" s="64">
        <f>SUM(ventas_b_mes684[[#This Row],[IMPORTE NETO]:[EXENTO]])</f>
        <v>0</v>
      </c>
      <c r="M1513" s="59"/>
    </row>
    <row r="1514" spans="2:13" x14ac:dyDescent="0.25">
      <c r="B1514" s="40"/>
      <c r="C1514" s="41"/>
      <c r="D1514" s="42"/>
      <c r="E1514" s="43"/>
      <c r="F1514" s="44"/>
      <c r="G1514" s="1" t="str">
        <f>IFERROR(IF(ventas_b_mes684[[#This Row],[CUIT]]="","-",VLOOKUP(ventas_b_mes684[[#This Row],[CUIT]],Lista_CUIT[#All],2,0)),"CUIT NO CARGADO")</f>
        <v>-</v>
      </c>
      <c r="H1514" s="64"/>
      <c r="I1514" s="64">
        <f>ventas_b_mes684[[#This Row],[IMPORTE NETO]]*0.21</f>
        <v>0</v>
      </c>
      <c r="J1514" s="64"/>
      <c r="K1514" s="64"/>
      <c r="L1514" s="64">
        <f>SUM(ventas_b_mes684[[#This Row],[IMPORTE NETO]:[EXENTO]])</f>
        <v>0</v>
      </c>
      <c r="M1514" s="59"/>
    </row>
    <row r="1515" spans="2:13" x14ac:dyDescent="0.25">
      <c r="B1515" s="40"/>
      <c r="C1515" s="41"/>
      <c r="D1515" s="42"/>
      <c r="E1515" s="43"/>
      <c r="F1515" s="44"/>
      <c r="G1515" s="1" t="str">
        <f>IFERROR(IF(ventas_b_mes684[[#This Row],[CUIT]]="","-",VLOOKUP(ventas_b_mes684[[#This Row],[CUIT]],Lista_CUIT[#All],2,0)),"CUIT NO CARGADO")</f>
        <v>-</v>
      </c>
      <c r="H1515" s="64"/>
      <c r="I1515" s="64">
        <f>ventas_b_mes684[[#This Row],[IMPORTE NETO]]*0.21</f>
        <v>0</v>
      </c>
      <c r="J1515" s="64"/>
      <c r="K1515" s="64"/>
      <c r="L1515" s="64">
        <f>SUM(ventas_b_mes684[[#This Row],[IMPORTE NETO]:[EXENTO]])</f>
        <v>0</v>
      </c>
      <c r="M1515" s="59"/>
    </row>
    <row r="1516" spans="2:13" x14ac:dyDescent="0.25">
      <c r="B1516" s="40"/>
      <c r="C1516" s="41"/>
      <c r="D1516" s="42"/>
      <c r="E1516" s="43"/>
      <c r="F1516" s="44"/>
      <c r="G1516" s="1" t="str">
        <f>IFERROR(IF(ventas_b_mes684[[#This Row],[CUIT]]="","-",VLOOKUP(ventas_b_mes684[[#This Row],[CUIT]],Lista_CUIT[#All],2,0)),"CUIT NO CARGADO")</f>
        <v>-</v>
      </c>
      <c r="H1516" s="64"/>
      <c r="I1516" s="64">
        <f>ventas_b_mes684[[#This Row],[IMPORTE NETO]]*0.21</f>
        <v>0</v>
      </c>
      <c r="J1516" s="64"/>
      <c r="K1516" s="64"/>
      <c r="L1516" s="64">
        <f>SUM(ventas_b_mes684[[#This Row],[IMPORTE NETO]:[EXENTO]])</f>
        <v>0</v>
      </c>
      <c r="M1516" s="59"/>
    </row>
    <row r="1517" spans="2:13" x14ac:dyDescent="0.25">
      <c r="B1517" s="40"/>
      <c r="C1517" s="41"/>
      <c r="D1517" s="42"/>
      <c r="E1517" s="43"/>
      <c r="F1517" s="44"/>
      <c r="G1517" s="1" t="str">
        <f>IFERROR(IF(ventas_b_mes684[[#This Row],[CUIT]]="","-",VLOOKUP(ventas_b_mes684[[#This Row],[CUIT]],Lista_CUIT[#All],2,0)),"CUIT NO CARGADO")</f>
        <v>-</v>
      </c>
      <c r="H1517" s="64"/>
      <c r="I1517" s="64">
        <f>ventas_b_mes684[[#This Row],[IMPORTE NETO]]*0.21</f>
        <v>0</v>
      </c>
      <c r="J1517" s="64"/>
      <c r="K1517" s="64"/>
      <c r="L1517" s="64">
        <f>SUM(ventas_b_mes684[[#This Row],[IMPORTE NETO]:[EXENTO]])</f>
        <v>0</v>
      </c>
      <c r="M1517" s="59"/>
    </row>
    <row r="1518" spans="2:13" x14ac:dyDescent="0.25">
      <c r="B1518" s="40"/>
      <c r="C1518" s="41"/>
      <c r="D1518" s="42"/>
      <c r="E1518" s="43"/>
      <c r="F1518" s="44"/>
      <c r="G1518" s="1" t="str">
        <f>IFERROR(IF(ventas_b_mes684[[#This Row],[CUIT]]="","-",VLOOKUP(ventas_b_mes684[[#This Row],[CUIT]],Lista_CUIT[#All],2,0)),"CUIT NO CARGADO")</f>
        <v>-</v>
      </c>
      <c r="H1518" s="64"/>
      <c r="I1518" s="64">
        <f>ventas_b_mes684[[#This Row],[IMPORTE NETO]]*0.21</f>
        <v>0</v>
      </c>
      <c r="J1518" s="64"/>
      <c r="K1518" s="64"/>
      <c r="L1518" s="64">
        <f>SUM(ventas_b_mes684[[#This Row],[IMPORTE NETO]:[EXENTO]])</f>
        <v>0</v>
      </c>
      <c r="M1518" s="59"/>
    </row>
    <row r="1519" spans="2:13" x14ac:dyDescent="0.25">
      <c r="B1519" s="40"/>
      <c r="C1519" s="41"/>
      <c r="D1519" s="42"/>
      <c r="E1519" s="43"/>
      <c r="F1519" s="44"/>
      <c r="G1519" s="1" t="str">
        <f>IFERROR(IF(ventas_b_mes684[[#This Row],[CUIT]]="","-",VLOOKUP(ventas_b_mes684[[#This Row],[CUIT]],Lista_CUIT[#All],2,0)),"CUIT NO CARGADO")</f>
        <v>-</v>
      </c>
      <c r="H1519" s="64"/>
      <c r="I1519" s="64">
        <f>ventas_b_mes684[[#This Row],[IMPORTE NETO]]*0.21</f>
        <v>0</v>
      </c>
      <c r="J1519" s="64"/>
      <c r="K1519" s="64"/>
      <c r="L1519" s="64">
        <f>SUM(ventas_b_mes684[[#This Row],[IMPORTE NETO]:[EXENTO]])</f>
        <v>0</v>
      </c>
      <c r="M1519" s="59"/>
    </row>
    <row r="1520" spans="2:13" x14ac:dyDescent="0.25">
      <c r="B1520" s="40"/>
      <c r="C1520" s="41"/>
      <c r="D1520" s="42"/>
      <c r="E1520" s="43"/>
      <c r="F1520" s="44"/>
      <c r="G1520" s="1" t="str">
        <f>IFERROR(IF(ventas_b_mes684[[#This Row],[CUIT]]="","-",VLOOKUP(ventas_b_mes684[[#This Row],[CUIT]],Lista_CUIT[#All],2,0)),"CUIT NO CARGADO")</f>
        <v>-</v>
      </c>
      <c r="H1520" s="64"/>
      <c r="I1520" s="64">
        <f>ventas_b_mes684[[#This Row],[IMPORTE NETO]]*0.21</f>
        <v>0</v>
      </c>
      <c r="J1520" s="64"/>
      <c r="K1520" s="64"/>
      <c r="L1520" s="64">
        <f>SUM(ventas_b_mes684[[#This Row],[IMPORTE NETO]:[EXENTO]])</f>
        <v>0</v>
      </c>
      <c r="M1520" s="59"/>
    </row>
    <row r="1521" spans="2:13" x14ac:dyDescent="0.25">
      <c r="B1521" s="40"/>
      <c r="C1521" s="41"/>
      <c r="D1521" s="42"/>
      <c r="E1521" s="43"/>
      <c r="F1521" s="44"/>
      <c r="G1521" s="1" t="str">
        <f>IFERROR(IF(ventas_b_mes684[[#This Row],[CUIT]]="","-",VLOOKUP(ventas_b_mes684[[#This Row],[CUIT]],Lista_CUIT[#All],2,0)),"CUIT NO CARGADO")</f>
        <v>-</v>
      </c>
      <c r="H1521" s="64"/>
      <c r="I1521" s="64">
        <f>ventas_b_mes684[[#This Row],[IMPORTE NETO]]*0.21</f>
        <v>0</v>
      </c>
      <c r="J1521" s="64"/>
      <c r="K1521" s="64"/>
      <c r="L1521" s="64">
        <f>SUM(ventas_b_mes684[[#This Row],[IMPORTE NETO]:[EXENTO]])</f>
        <v>0</v>
      </c>
      <c r="M1521" s="59"/>
    </row>
    <row r="1522" spans="2:13" x14ac:dyDescent="0.25">
      <c r="B1522" s="40"/>
      <c r="C1522" s="41"/>
      <c r="D1522" s="42"/>
      <c r="E1522" s="43"/>
      <c r="F1522" s="44"/>
      <c r="G1522" s="1" t="str">
        <f>IFERROR(IF(ventas_b_mes684[[#This Row],[CUIT]]="","-",VLOOKUP(ventas_b_mes684[[#This Row],[CUIT]],Lista_CUIT[#All],2,0)),"CUIT NO CARGADO")</f>
        <v>-</v>
      </c>
      <c r="H1522" s="64"/>
      <c r="I1522" s="64">
        <f>ventas_b_mes684[[#This Row],[IMPORTE NETO]]*0.21</f>
        <v>0</v>
      </c>
      <c r="J1522" s="64"/>
      <c r="K1522" s="64"/>
      <c r="L1522" s="64">
        <f>SUM(ventas_b_mes684[[#This Row],[IMPORTE NETO]:[EXENTO]])</f>
        <v>0</v>
      </c>
      <c r="M1522" s="59"/>
    </row>
    <row r="1523" spans="2:13" x14ac:dyDescent="0.25">
      <c r="B1523" s="40"/>
      <c r="C1523" s="41"/>
      <c r="D1523" s="42"/>
      <c r="E1523" s="43"/>
      <c r="F1523" s="44"/>
      <c r="G1523" s="1" t="str">
        <f>IFERROR(IF(ventas_b_mes684[[#This Row],[CUIT]]="","-",VLOOKUP(ventas_b_mes684[[#This Row],[CUIT]],Lista_CUIT[#All],2,0)),"CUIT NO CARGADO")</f>
        <v>-</v>
      </c>
      <c r="H1523" s="64"/>
      <c r="I1523" s="64">
        <f>ventas_b_mes684[[#This Row],[IMPORTE NETO]]*0.21</f>
        <v>0</v>
      </c>
      <c r="J1523" s="64"/>
      <c r="K1523" s="64"/>
      <c r="L1523" s="64">
        <f>SUM(ventas_b_mes684[[#This Row],[IMPORTE NETO]:[EXENTO]])</f>
        <v>0</v>
      </c>
      <c r="M1523" s="59"/>
    </row>
    <row r="1524" spans="2:13" x14ac:dyDescent="0.25">
      <c r="B1524" s="40"/>
      <c r="C1524" s="41"/>
      <c r="D1524" s="42"/>
      <c r="E1524" s="43"/>
      <c r="F1524" s="44"/>
      <c r="G1524" s="1" t="str">
        <f>IFERROR(IF(ventas_b_mes684[[#This Row],[CUIT]]="","-",VLOOKUP(ventas_b_mes684[[#This Row],[CUIT]],Lista_CUIT[#All],2,0)),"CUIT NO CARGADO")</f>
        <v>-</v>
      </c>
      <c r="H1524" s="64"/>
      <c r="I1524" s="64">
        <f>ventas_b_mes684[[#This Row],[IMPORTE NETO]]*0.21</f>
        <v>0</v>
      </c>
      <c r="J1524" s="64"/>
      <c r="K1524" s="64"/>
      <c r="L1524" s="64">
        <f>SUM(ventas_b_mes684[[#This Row],[IMPORTE NETO]:[EXENTO]])</f>
        <v>0</v>
      </c>
      <c r="M1524" s="59"/>
    </row>
    <row r="1525" spans="2:13" x14ac:dyDescent="0.25">
      <c r="B1525" s="40"/>
      <c r="C1525" s="41"/>
      <c r="D1525" s="42"/>
      <c r="E1525" s="43"/>
      <c r="F1525" s="44"/>
      <c r="G1525" s="1" t="str">
        <f>IFERROR(IF(ventas_b_mes684[[#This Row],[CUIT]]="","-",VLOOKUP(ventas_b_mes684[[#This Row],[CUIT]],Lista_CUIT[#All],2,0)),"CUIT NO CARGADO")</f>
        <v>-</v>
      </c>
      <c r="H1525" s="64"/>
      <c r="I1525" s="64">
        <f>ventas_b_mes684[[#This Row],[IMPORTE NETO]]*0.21</f>
        <v>0</v>
      </c>
      <c r="J1525" s="64"/>
      <c r="K1525" s="64"/>
      <c r="L1525" s="64">
        <f>SUM(ventas_b_mes684[[#This Row],[IMPORTE NETO]:[EXENTO]])</f>
        <v>0</v>
      </c>
      <c r="M1525" s="59"/>
    </row>
    <row r="1526" spans="2:13" x14ac:dyDescent="0.25">
      <c r="B1526" s="40"/>
      <c r="C1526" s="41"/>
      <c r="D1526" s="42"/>
      <c r="E1526" s="43"/>
      <c r="F1526" s="44"/>
      <c r="G1526" s="1" t="str">
        <f>IFERROR(IF(ventas_b_mes684[[#This Row],[CUIT]]="","-",VLOOKUP(ventas_b_mes684[[#This Row],[CUIT]],Lista_CUIT[#All],2,0)),"CUIT NO CARGADO")</f>
        <v>-</v>
      </c>
      <c r="H1526" s="64"/>
      <c r="I1526" s="64">
        <f>ventas_b_mes684[[#This Row],[IMPORTE NETO]]*0.21</f>
        <v>0</v>
      </c>
      <c r="J1526" s="64"/>
      <c r="K1526" s="64"/>
      <c r="L1526" s="64">
        <f>SUM(ventas_b_mes684[[#This Row],[IMPORTE NETO]:[EXENTO]])</f>
        <v>0</v>
      </c>
      <c r="M1526" s="59"/>
    </row>
    <row r="1527" spans="2:13" x14ac:dyDescent="0.25">
      <c r="B1527" s="40"/>
      <c r="C1527" s="41"/>
      <c r="D1527" s="42"/>
      <c r="E1527" s="43"/>
      <c r="F1527" s="44"/>
      <c r="G1527" s="1" t="str">
        <f>IFERROR(IF(ventas_b_mes684[[#This Row],[CUIT]]="","-",VLOOKUP(ventas_b_mes684[[#This Row],[CUIT]],Lista_CUIT[#All],2,0)),"CUIT NO CARGADO")</f>
        <v>-</v>
      </c>
      <c r="H1527" s="64"/>
      <c r="I1527" s="64">
        <f>ventas_b_mes684[[#This Row],[IMPORTE NETO]]*0.21</f>
        <v>0</v>
      </c>
      <c r="J1527" s="64"/>
      <c r="K1527" s="64"/>
      <c r="L1527" s="64">
        <f>SUM(ventas_b_mes684[[#This Row],[IMPORTE NETO]:[EXENTO]])</f>
        <v>0</v>
      </c>
      <c r="M1527" s="59"/>
    </row>
    <row r="1528" spans="2:13" x14ac:dyDescent="0.25">
      <c r="B1528" s="40"/>
      <c r="C1528" s="41"/>
      <c r="D1528" s="42"/>
      <c r="E1528" s="43"/>
      <c r="F1528" s="44"/>
      <c r="G1528" s="1" t="str">
        <f>IFERROR(IF(ventas_b_mes684[[#This Row],[CUIT]]="","-",VLOOKUP(ventas_b_mes684[[#This Row],[CUIT]],Lista_CUIT[#All],2,0)),"CUIT NO CARGADO")</f>
        <v>-</v>
      </c>
      <c r="H1528" s="64"/>
      <c r="I1528" s="64">
        <f>ventas_b_mes684[[#This Row],[IMPORTE NETO]]*0.21</f>
        <v>0</v>
      </c>
      <c r="J1528" s="64"/>
      <c r="K1528" s="64"/>
      <c r="L1528" s="64">
        <f>SUM(ventas_b_mes684[[#This Row],[IMPORTE NETO]:[EXENTO]])</f>
        <v>0</v>
      </c>
      <c r="M1528" s="59"/>
    </row>
    <row r="1529" spans="2:13" x14ac:dyDescent="0.25">
      <c r="B1529" s="40"/>
      <c r="C1529" s="41"/>
      <c r="D1529" s="42"/>
      <c r="E1529" s="43"/>
      <c r="F1529" s="44"/>
      <c r="G1529" s="1" t="str">
        <f>IFERROR(IF(ventas_b_mes684[[#This Row],[CUIT]]="","-",VLOOKUP(ventas_b_mes684[[#This Row],[CUIT]],Lista_CUIT[#All],2,0)),"CUIT NO CARGADO")</f>
        <v>-</v>
      </c>
      <c r="H1529" s="64"/>
      <c r="I1529" s="64">
        <f>ventas_b_mes684[[#This Row],[IMPORTE NETO]]*0.21</f>
        <v>0</v>
      </c>
      <c r="J1529" s="64"/>
      <c r="K1529" s="64"/>
      <c r="L1529" s="64">
        <f>SUM(ventas_b_mes684[[#This Row],[IMPORTE NETO]:[EXENTO]])</f>
        <v>0</v>
      </c>
      <c r="M1529" s="59"/>
    </row>
    <row r="1530" spans="2:13" x14ac:dyDescent="0.25">
      <c r="B1530" s="40"/>
      <c r="C1530" s="41"/>
      <c r="D1530" s="42"/>
      <c r="E1530" s="43"/>
      <c r="F1530" s="44"/>
      <c r="G1530" s="1" t="str">
        <f>IFERROR(IF(ventas_b_mes684[[#This Row],[CUIT]]="","-",VLOOKUP(ventas_b_mes684[[#This Row],[CUIT]],Lista_CUIT[#All],2,0)),"CUIT NO CARGADO")</f>
        <v>-</v>
      </c>
      <c r="H1530" s="64"/>
      <c r="I1530" s="64">
        <f>ventas_b_mes684[[#This Row],[IMPORTE NETO]]*0.21</f>
        <v>0</v>
      </c>
      <c r="J1530" s="64"/>
      <c r="K1530" s="64"/>
      <c r="L1530" s="64">
        <f>SUM(ventas_b_mes684[[#This Row],[IMPORTE NETO]:[EXENTO]])</f>
        <v>0</v>
      </c>
      <c r="M1530" s="59"/>
    </row>
    <row r="1531" spans="2:13" x14ac:dyDescent="0.25">
      <c r="B1531" s="40"/>
      <c r="C1531" s="41"/>
      <c r="D1531" s="42"/>
      <c r="E1531" s="43"/>
      <c r="F1531" s="44"/>
      <c r="G1531" s="1" t="str">
        <f>IFERROR(IF(ventas_b_mes684[[#This Row],[CUIT]]="","-",VLOOKUP(ventas_b_mes684[[#This Row],[CUIT]],Lista_CUIT[#All],2,0)),"CUIT NO CARGADO")</f>
        <v>-</v>
      </c>
      <c r="H1531" s="64"/>
      <c r="I1531" s="64">
        <f>ventas_b_mes684[[#This Row],[IMPORTE NETO]]*0.21</f>
        <v>0</v>
      </c>
      <c r="J1531" s="64"/>
      <c r="K1531" s="64"/>
      <c r="L1531" s="64">
        <f>SUM(ventas_b_mes684[[#This Row],[IMPORTE NETO]:[EXENTO]])</f>
        <v>0</v>
      </c>
      <c r="M1531" s="59"/>
    </row>
    <row r="1532" spans="2:13" x14ac:dyDescent="0.25">
      <c r="B1532" s="40"/>
      <c r="C1532" s="41"/>
      <c r="D1532" s="42"/>
      <c r="E1532" s="43"/>
      <c r="F1532" s="44"/>
      <c r="G1532" s="1" t="str">
        <f>IFERROR(IF(ventas_b_mes684[[#This Row],[CUIT]]="","-",VLOOKUP(ventas_b_mes684[[#This Row],[CUIT]],Lista_CUIT[#All],2,0)),"CUIT NO CARGADO")</f>
        <v>-</v>
      </c>
      <c r="H1532" s="64"/>
      <c r="I1532" s="64">
        <f>ventas_b_mes684[[#This Row],[IMPORTE NETO]]*0.21</f>
        <v>0</v>
      </c>
      <c r="J1532" s="64"/>
      <c r="K1532" s="64"/>
      <c r="L1532" s="64">
        <f>SUM(ventas_b_mes684[[#This Row],[IMPORTE NETO]:[EXENTO]])</f>
        <v>0</v>
      </c>
      <c r="M1532" s="59"/>
    </row>
    <row r="1533" spans="2:13" x14ac:dyDescent="0.25">
      <c r="B1533" s="40"/>
      <c r="C1533" s="41"/>
      <c r="D1533" s="42"/>
      <c r="E1533" s="43"/>
      <c r="F1533" s="44"/>
      <c r="G1533" s="1" t="str">
        <f>IFERROR(IF(ventas_b_mes684[[#This Row],[CUIT]]="","-",VLOOKUP(ventas_b_mes684[[#This Row],[CUIT]],Lista_CUIT[#All],2,0)),"CUIT NO CARGADO")</f>
        <v>-</v>
      </c>
      <c r="H1533" s="64"/>
      <c r="I1533" s="64">
        <f>ventas_b_mes684[[#This Row],[IMPORTE NETO]]*0.21</f>
        <v>0</v>
      </c>
      <c r="J1533" s="64"/>
      <c r="K1533" s="64"/>
      <c r="L1533" s="64">
        <f>SUM(ventas_b_mes684[[#This Row],[IMPORTE NETO]:[EXENTO]])</f>
        <v>0</v>
      </c>
      <c r="M1533" s="59"/>
    </row>
    <row r="1534" spans="2:13" x14ac:dyDescent="0.25">
      <c r="B1534" s="40"/>
      <c r="C1534" s="41"/>
      <c r="D1534" s="42"/>
      <c r="E1534" s="43"/>
      <c r="F1534" s="44"/>
      <c r="G1534" s="1" t="str">
        <f>IFERROR(IF(ventas_b_mes684[[#This Row],[CUIT]]="","-",VLOOKUP(ventas_b_mes684[[#This Row],[CUIT]],Lista_CUIT[#All],2,0)),"CUIT NO CARGADO")</f>
        <v>-</v>
      </c>
      <c r="H1534" s="64"/>
      <c r="I1534" s="64">
        <f>ventas_b_mes684[[#This Row],[IMPORTE NETO]]*0.21</f>
        <v>0</v>
      </c>
      <c r="J1534" s="64"/>
      <c r="K1534" s="64"/>
      <c r="L1534" s="64">
        <f>SUM(ventas_b_mes684[[#This Row],[IMPORTE NETO]:[EXENTO]])</f>
        <v>0</v>
      </c>
      <c r="M1534" s="59"/>
    </row>
    <row r="1535" spans="2:13" x14ac:dyDescent="0.25">
      <c r="B1535" s="40"/>
      <c r="C1535" s="41"/>
      <c r="D1535" s="42"/>
      <c r="E1535" s="43"/>
      <c r="F1535" s="44"/>
      <c r="G1535" s="1" t="str">
        <f>IFERROR(IF(ventas_b_mes684[[#This Row],[CUIT]]="","-",VLOOKUP(ventas_b_mes684[[#This Row],[CUIT]],Lista_CUIT[#All],2,0)),"CUIT NO CARGADO")</f>
        <v>-</v>
      </c>
      <c r="H1535" s="64"/>
      <c r="I1535" s="64">
        <f>ventas_b_mes684[[#This Row],[IMPORTE NETO]]*0.21</f>
        <v>0</v>
      </c>
      <c r="J1535" s="64"/>
      <c r="K1535" s="64"/>
      <c r="L1535" s="64">
        <f>SUM(ventas_b_mes684[[#This Row],[IMPORTE NETO]:[EXENTO]])</f>
        <v>0</v>
      </c>
      <c r="M1535" s="59"/>
    </row>
    <row r="1536" spans="2:13" x14ac:dyDescent="0.25">
      <c r="B1536" s="40"/>
      <c r="C1536" s="41"/>
      <c r="D1536" s="42"/>
      <c r="E1536" s="43"/>
      <c r="F1536" s="44"/>
      <c r="G1536" s="1" t="str">
        <f>IFERROR(IF(ventas_b_mes684[[#This Row],[CUIT]]="","-",VLOOKUP(ventas_b_mes684[[#This Row],[CUIT]],Lista_CUIT[#All],2,0)),"CUIT NO CARGADO")</f>
        <v>-</v>
      </c>
      <c r="H1536" s="64"/>
      <c r="I1536" s="64">
        <f>ventas_b_mes684[[#This Row],[IMPORTE NETO]]*0.21</f>
        <v>0</v>
      </c>
      <c r="J1536" s="64"/>
      <c r="K1536" s="64"/>
      <c r="L1536" s="64">
        <f>SUM(ventas_b_mes684[[#This Row],[IMPORTE NETO]:[EXENTO]])</f>
        <v>0</v>
      </c>
      <c r="M1536" s="59"/>
    </row>
    <row r="1537" spans="2:13" x14ac:dyDescent="0.25">
      <c r="B1537" s="40"/>
      <c r="C1537" s="41"/>
      <c r="D1537" s="42"/>
      <c r="E1537" s="43"/>
      <c r="F1537" s="44"/>
      <c r="G1537" s="1" t="str">
        <f>IFERROR(IF(ventas_b_mes684[[#This Row],[CUIT]]="","-",VLOOKUP(ventas_b_mes684[[#This Row],[CUIT]],Lista_CUIT[#All],2,0)),"CUIT NO CARGADO")</f>
        <v>-</v>
      </c>
      <c r="H1537" s="64"/>
      <c r="I1537" s="64">
        <f>ventas_b_mes684[[#This Row],[IMPORTE NETO]]*0.21</f>
        <v>0</v>
      </c>
      <c r="J1537" s="64"/>
      <c r="K1537" s="64"/>
      <c r="L1537" s="64">
        <f>SUM(ventas_b_mes684[[#This Row],[IMPORTE NETO]:[EXENTO]])</f>
        <v>0</v>
      </c>
      <c r="M1537" s="59"/>
    </row>
    <row r="1538" spans="2:13" x14ac:dyDescent="0.25">
      <c r="B1538" s="40"/>
      <c r="C1538" s="41"/>
      <c r="D1538" s="42"/>
      <c r="E1538" s="43"/>
      <c r="F1538" s="44"/>
      <c r="G1538" s="1" t="str">
        <f>IFERROR(IF(ventas_b_mes684[[#This Row],[CUIT]]="","-",VLOOKUP(ventas_b_mes684[[#This Row],[CUIT]],Lista_CUIT[#All],2,0)),"CUIT NO CARGADO")</f>
        <v>-</v>
      </c>
      <c r="H1538" s="64"/>
      <c r="I1538" s="64">
        <f>ventas_b_mes684[[#This Row],[IMPORTE NETO]]*0.21</f>
        <v>0</v>
      </c>
      <c r="J1538" s="64"/>
      <c r="K1538" s="64"/>
      <c r="L1538" s="64">
        <f>SUM(ventas_b_mes684[[#This Row],[IMPORTE NETO]:[EXENTO]])</f>
        <v>0</v>
      </c>
      <c r="M1538" s="59"/>
    </row>
    <row r="1539" spans="2:13" x14ac:dyDescent="0.25">
      <c r="B1539" s="40"/>
      <c r="C1539" s="41"/>
      <c r="D1539" s="42"/>
      <c r="E1539" s="43"/>
      <c r="F1539" s="44"/>
      <c r="G1539" s="1" t="str">
        <f>IFERROR(IF(ventas_b_mes684[[#This Row],[CUIT]]="","-",VLOOKUP(ventas_b_mes684[[#This Row],[CUIT]],Lista_CUIT[#All],2,0)),"CUIT NO CARGADO")</f>
        <v>-</v>
      </c>
      <c r="H1539" s="64"/>
      <c r="I1539" s="64">
        <f>ventas_b_mes684[[#This Row],[IMPORTE NETO]]*0.21</f>
        <v>0</v>
      </c>
      <c r="J1539" s="64"/>
      <c r="K1539" s="64"/>
      <c r="L1539" s="64">
        <f>SUM(ventas_b_mes684[[#This Row],[IMPORTE NETO]:[EXENTO]])</f>
        <v>0</v>
      </c>
      <c r="M1539" s="59"/>
    </row>
    <row r="1540" spans="2:13" x14ac:dyDescent="0.25">
      <c r="B1540" s="40"/>
      <c r="C1540" s="41"/>
      <c r="D1540" s="42"/>
      <c r="E1540" s="43"/>
      <c r="F1540" s="44"/>
      <c r="G1540" s="1" t="str">
        <f>IFERROR(IF(ventas_b_mes684[[#This Row],[CUIT]]="","-",VLOOKUP(ventas_b_mes684[[#This Row],[CUIT]],Lista_CUIT[#All],2,0)),"CUIT NO CARGADO")</f>
        <v>-</v>
      </c>
      <c r="H1540" s="64"/>
      <c r="I1540" s="64">
        <f>ventas_b_mes684[[#This Row],[IMPORTE NETO]]*0.21</f>
        <v>0</v>
      </c>
      <c r="J1540" s="64"/>
      <c r="K1540" s="64"/>
      <c r="L1540" s="64">
        <f>SUM(ventas_b_mes684[[#This Row],[IMPORTE NETO]:[EXENTO]])</f>
        <v>0</v>
      </c>
      <c r="M1540" s="59"/>
    </row>
    <row r="1541" spans="2:13" x14ac:dyDescent="0.25">
      <c r="B1541" s="40"/>
      <c r="C1541" s="41"/>
      <c r="D1541" s="42"/>
      <c r="E1541" s="43"/>
      <c r="F1541" s="44"/>
      <c r="G1541" s="1" t="str">
        <f>IFERROR(IF(ventas_b_mes684[[#This Row],[CUIT]]="","-",VLOOKUP(ventas_b_mes684[[#This Row],[CUIT]],Lista_CUIT[#All],2,0)),"CUIT NO CARGADO")</f>
        <v>-</v>
      </c>
      <c r="H1541" s="64"/>
      <c r="I1541" s="64">
        <f>ventas_b_mes684[[#This Row],[IMPORTE NETO]]*0.21</f>
        <v>0</v>
      </c>
      <c r="J1541" s="64"/>
      <c r="K1541" s="64"/>
      <c r="L1541" s="64">
        <f>SUM(ventas_b_mes684[[#This Row],[IMPORTE NETO]:[EXENTO]])</f>
        <v>0</v>
      </c>
      <c r="M1541" s="59"/>
    </row>
    <row r="1542" spans="2:13" x14ac:dyDescent="0.25">
      <c r="B1542" s="40"/>
      <c r="C1542" s="41"/>
      <c r="D1542" s="42"/>
      <c r="E1542" s="43"/>
      <c r="F1542" s="44"/>
      <c r="G1542" s="1" t="str">
        <f>IFERROR(IF(ventas_b_mes684[[#This Row],[CUIT]]="","-",VLOOKUP(ventas_b_mes684[[#This Row],[CUIT]],Lista_CUIT[#All],2,0)),"CUIT NO CARGADO")</f>
        <v>-</v>
      </c>
      <c r="H1542" s="64"/>
      <c r="I1542" s="64">
        <f>ventas_b_mes684[[#This Row],[IMPORTE NETO]]*0.21</f>
        <v>0</v>
      </c>
      <c r="J1542" s="64"/>
      <c r="K1542" s="64"/>
      <c r="L1542" s="64">
        <f>SUM(ventas_b_mes684[[#This Row],[IMPORTE NETO]:[EXENTO]])</f>
        <v>0</v>
      </c>
      <c r="M1542" s="59"/>
    </row>
    <row r="1543" spans="2:13" x14ac:dyDescent="0.25">
      <c r="B1543" s="40"/>
      <c r="C1543" s="41"/>
      <c r="D1543" s="42"/>
      <c r="E1543" s="43"/>
      <c r="F1543" s="44"/>
      <c r="G1543" s="1" t="str">
        <f>IFERROR(IF(ventas_b_mes684[[#This Row],[CUIT]]="","-",VLOOKUP(ventas_b_mes684[[#This Row],[CUIT]],Lista_CUIT[#All],2,0)),"CUIT NO CARGADO")</f>
        <v>-</v>
      </c>
      <c r="H1543" s="64"/>
      <c r="I1543" s="64">
        <f>ventas_b_mes684[[#This Row],[IMPORTE NETO]]*0.21</f>
        <v>0</v>
      </c>
      <c r="J1543" s="64"/>
      <c r="K1543" s="64"/>
      <c r="L1543" s="64">
        <f>SUM(ventas_b_mes684[[#This Row],[IMPORTE NETO]:[EXENTO]])</f>
        <v>0</v>
      </c>
      <c r="M1543" s="59"/>
    </row>
    <row r="1544" spans="2:13" x14ac:dyDescent="0.25">
      <c r="B1544" s="40"/>
      <c r="C1544" s="41"/>
      <c r="D1544" s="42"/>
      <c r="E1544" s="43"/>
      <c r="F1544" s="44"/>
      <c r="G1544" s="1" t="str">
        <f>IFERROR(IF(ventas_b_mes684[[#This Row],[CUIT]]="","-",VLOOKUP(ventas_b_mes684[[#This Row],[CUIT]],Lista_CUIT[#All],2,0)),"CUIT NO CARGADO")</f>
        <v>-</v>
      </c>
      <c r="H1544" s="64"/>
      <c r="I1544" s="64">
        <f>ventas_b_mes684[[#This Row],[IMPORTE NETO]]*0.21</f>
        <v>0</v>
      </c>
      <c r="J1544" s="64"/>
      <c r="K1544" s="64"/>
      <c r="L1544" s="64">
        <f>SUM(ventas_b_mes684[[#This Row],[IMPORTE NETO]:[EXENTO]])</f>
        <v>0</v>
      </c>
      <c r="M1544" s="59"/>
    </row>
    <row r="1545" spans="2:13" x14ac:dyDescent="0.25">
      <c r="B1545" s="40"/>
      <c r="C1545" s="41"/>
      <c r="D1545" s="42"/>
      <c r="E1545" s="43"/>
      <c r="F1545" s="44"/>
      <c r="G1545" s="1" t="str">
        <f>IFERROR(IF(ventas_b_mes684[[#This Row],[CUIT]]="","-",VLOOKUP(ventas_b_mes684[[#This Row],[CUIT]],Lista_CUIT[#All],2,0)),"CUIT NO CARGADO")</f>
        <v>-</v>
      </c>
      <c r="H1545" s="64"/>
      <c r="I1545" s="64">
        <f>ventas_b_mes684[[#This Row],[IMPORTE NETO]]*0.21</f>
        <v>0</v>
      </c>
      <c r="J1545" s="64"/>
      <c r="K1545" s="64"/>
      <c r="L1545" s="64">
        <f>SUM(ventas_b_mes684[[#This Row],[IMPORTE NETO]:[EXENTO]])</f>
        <v>0</v>
      </c>
      <c r="M1545" s="59"/>
    </row>
    <row r="1546" spans="2:13" x14ac:dyDescent="0.25">
      <c r="B1546" s="40"/>
      <c r="C1546" s="41"/>
      <c r="D1546" s="42"/>
      <c r="E1546" s="43"/>
      <c r="F1546" s="44"/>
      <c r="G1546" s="1" t="str">
        <f>IFERROR(IF(ventas_b_mes684[[#This Row],[CUIT]]="","-",VLOOKUP(ventas_b_mes684[[#This Row],[CUIT]],Lista_CUIT[#All],2,0)),"CUIT NO CARGADO")</f>
        <v>-</v>
      </c>
      <c r="H1546" s="64"/>
      <c r="I1546" s="64">
        <f>ventas_b_mes684[[#This Row],[IMPORTE NETO]]*0.21</f>
        <v>0</v>
      </c>
      <c r="J1546" s="64"/>
      <c r="K1546" s="64"/>
      <c r="L1546" s="64">
        <f>SUM(ventas_b_mes684[[#This Row],[IMPORTE NETO]:[EXENTO]])</f>
        <v>0</v>
      </c>
      <c r="M1546" s="59"/>
    </row>
    <row r="1547" spans="2:13" x14ac:dyDescent="0.25">
      <c r="B1547" s="40"/>
      <c r="C1547" s="41"/>
      <c r="D1547" s="42"/>
      <c r="E1547" s="43"/>
      <c r="F1547" s="44"/>
      <c r="G1547" s="1" t="str">
        <f>IFERROR(IF(ventas_b_mes684[[#This Row],[CUIT]]="","-",VLOOKUP(ventas_b_mes684[[#This Row],[CUIT]],Lista_CUIT[#All],2,0)),"CUIT NO CARGADO")</f>
        <v>-</v>
      </c>
      <c r="H1547" s="64"/>
      <c r="I1547" s="64">
        <f>ventas_b_mes684[[#This Row],[IMPORTE NETO]]*0.21</f>
        <v>0</v>
      </c>
      <c r="J1547" s="64"/>
      <c r="K1547" s="64"/>
      <c r="L1547" s="64">
        <f>SUM(ventas_b_mes684[[#This Row],[IMPORTE NETO]:[EXENTO]])</f>
        <v>0</v>
      </c>
      <c r="M1547" s="59"/>
    </row>
    <row r="1548" spans="2:13" x14ac:dyDescent="0.25">
      <c r="B1548" s="40"/>
      <c r="C1548" s="41"/>
      <c r="D1548" s="42"/>
      <c r="E1548" s="43"/>
      <c r="F1548" s="44"/>
      <c r="G1548" s="1" t="str">
        <f>IFERROR(IF(ventas_b_mes684[[#This Row],[CUIT]]="","-",VLOOKUP(ventas_b_mes684[[#This Row],[CUIT]],Lista_CUIT[#All],2,0)),"CUIT NO CARGADO")</f>
        <v>-</v>
      </c>
      <c r="H1548" s="64"/>
      <c r="I1548" s="64">
        <f>ventas_b_mes684[[#This Row],[IMPORTE NETO]]*0.21</f>
        <v>0</v>
      </c>
      <c r="J1548" s="64"/>
      <c r="K1548" s="64"/>
      <c r="L1548" s="64">
        <f>SUM(ventas_b_mes684[[#This Row],[IMPORTE NETO]:[EXENTO]])</f>
        <v>0</v>
      </c>
      <c r="M1548" s="59"/>
    </row>
    <row r="1549" spans="2:13" x14ac:dyDescent="0.25">
      <c r="B1549" s="40"/>
      <c r="C1549" s="41"/>
      <c r="D1549" s="42"/>
      <c r="E1549" s="43"/>
      <c r="F1549" s="44"/>
      <c r="G1549" s="1" t="str">
        <f>IFERROR(IF(ventas_b_mes684[[#This Row],[CUIT]]="","-",VLOOKUP(ventas_b_mes684[[#This Row],[CUIT]],Lista_CUIT[#All],2,0)),"CUIT NO CARGADO")</f>
        <v>-</v>
      </c>
      <c r="H1549" s="64"/>
      <c r="I1549" s="64">
        <f>ventas_b_mes684[[#This Row],[IMPORTE NETO]]*0.21</f>
        <v>0</v>
      </c>
      <c r="J1549" s="64"/>
      <c r="K1549" s="64"/>
      <c r="L1549" s="64">
        <f>SUM(ventas_b_mes684[[#This Row],[IMPORTE NETO]:[EXENTO]])</f>
        <v>0</v>
      </c>
      <c r="M1549" s="59"/>
    </row>
    <row r="1550" spans="2:13" x14ac:dyDescent="0.25">
      <c r="B1550" s="40"/>
      <c r="C1550" s="41"/>
      <c r="D1550" s="42"/>
      <c r="E1550" s="43"/>
      <c r="F1550" s="44"/>
      <c r="G1550" s="1" t="str">
        <f>IFERROR(IF(ventas_b_mes684[[#This Row],[CUIT]]="","-",VLOOKUP(ventas_b_mes684[[#This Row],[CUIT]],Lista_CUIT[#All],2,0)),"CUIT NO CARGADO")</f>
        <v>-</v>
      </c>
      <c r="H1550" s="64"/>
      <c r="I1550" s="64">
        <f>ventas_b_mes684[[#This Row],[IMPORTE NETO]]*0.21</f>
        <v>0</v>
      </c>
      <c r="J1550" s="64"/>
      <c r="K1550" s="64"/>
      <c r="L1550" s="64">
        <f>SUM(ventas_b_mes684[[#This Row],[IMPORTE NETO]:[EXENTO]])</f>
        <v>0</v>
      </c>
      <c r="M1550" s="59"/>
    </row>
    <row r="1551" spans="2:13" x14ac:dyDescent="0.25">
      <c r="B1551" s="40"/>
      <c r="C1551" s="41"/>
      <c r="D1551" s="42"/>
      <c r="E1551" s="43"/>
      <c r="F1551" s="44"/>
      <c r="G1551" s="1" t="str">
        <f>IFERROR(IF(ventas_b_mes684[[#This Row],[CUIT]]="","-",VLOOKUP(ventas_b_mes684[[#This Row],[CUIT]],Lista_CUIT[#All],2,0)),"CUIT NO CARGADO")</f>
        <v>-</v>
      </c>
      <c r="H1551" s="64"/>
      <c r="I1551" s="64">
        <f>ventas_b_mes684[[#This Row],[IMPORTE NETO]]*0.21</f>
        <v>0</v>
      </c>
      <c r="J1551" s="64"/>
      <c r="K1551" s="64"/>
      <c r="L1551" s="64">
        <f>SUM(ventas_b_mes684[[#This Row],[IMPORTE NETO]:[EXENTO]])</f>
        <v>0</v>
      </c>
      <c r="M1551" s="59"/>
    </row>
    <row r="1552" spans="2:13" x14ac:dyDescent="0.25">
      <c r="B1552" s="40"/>
      <c r="C1552" s="41"/>
      <c r="D1552" s="42"/>
      <c r="E1552" s="43"/>
      <c r="F1552" s="44"/>
      <c r="G1552" s="1" t="str">
        <f>IFERROR(IF(ventas_b_mes684[[#This Row],[CUIT]]="","-",VLOOKUP(ventas_b_mes684[[#This Row],[CUIT]],Lista_CUIT[#All],2,0)),"CUIT NO CARGADO")</f>
        <v>-</v>
      </c>
      <c r="H1552" s="64"/>
      <c r="I1552" s="64">
        <f>ventas_b_mes684[[#This Row],[IMPORTE NETO]]*0.21</f>
        <v>0</v>
      </c>
      <c r="J1552" s="64"/>
      <c r="K1552" s="64"/>
      <c r="L1552" s="64">
        <f>SUM(ventas_b_mes684[[#This Row],[IMPORTE NETO]:[EXENTO]])</f>
        <v>0</v>
      </c>
      <c r="M1552" s="59"/>
    </row>
    <row r="1553" spans="2:13" x14ac:dyDescent="0.25">
      <c r="B1553" s="40"/>
      <c r="C1553" s="41"/>
      <c r="D1553" s="42"/>
      <c r="E1553" s="43"/>
      <c r="F1553" s="44"/>
      <c r="G1553" s="1" t="str">
        <f>IFERROR(IF(ventas_b_mes684[[#This Row],[CUIT]]="","-",VLOOKUP(ventas_b_mes684[[#This Row],[CUIT]],Lista_CUIT[#All],2,0)),"CUIT NO CARGADO")</f>
        <v>-</v>
      </c>
      <c r="H1553" s="64"/>
      <c r="I1553" s="64">
        <f>ventas_b_mes684[[#This Row],[IMPORTE NETO]]*0.21</f>
        <v>0</v>
      </c>
      <c r="J1553" s="64"/>
      <c r="K1553" s="64"/>
      <c r="L1553" s="64">
        <f>SUM(ventas_b_mes684[[#This Row],[IMPORTE NETO]:[EXENTO]])</f>
        <v>0</v>
      </c>
      <c r="M1553" s="59"/>
    </row>
    <row r="1554" spans="2:13" x14ac:dyDescent="0.25">
      <c r="B1554" s="40"/>
      <c r="C1554" s="41"/>
      <c r="D1554" s="42"/>
      <c r="E1554" s="43"/>
      <c r="F1554" s="44"/>
      <c r="G1554" s="1" t="str">
        <f>IFERROR(IF(ventas_b_mes684[[#This Row],[CUIT]]="","-",VLOOKUP(ventas_b_mes684[[#This Row],[CUIT]],Lista_CUIT[#All],2,0)),"CUIT NO CARGADO")</f>
        <v>-</v>
      </c>
      <c r="H1554" s="64"/>
      <c r="I1554" s="64">
        <f>ventas_b_mes684[[#This Row],[IMPORTE NETO]]*0.21</f>
        <v>0</v>
      </c>
      <c r="J1554" s="64"/>
      <c r="K1554" s="64"/>
      <c r="L1554" s="64">
        <f>SUM(ventas_b_mes684[[#This Row],[IMPORTE NETO]:[EXENTO]])</f>
        <v>0</v>
      </c>
      <c r="M1554" s="59"/>
    </row>
    <row r="1555" spans="2:13" x14ac:dyDescent="0.25">
      <c r="B1555" s="40"/>
      <c r="C1555" s="41"/>
      <c r="D1555" s="42"/>
      <c r="E1555" s="43"/>
      <c r="F1555" s="44"/>
      <c r="G1555" s="1" t="str">
        <f>IFERROR(IF(ventas_b_mes684[[#This Row],[CUIT]]="","-",VLOOKUP(ventas_b_mes684[[#This Row],[CUIT]],Lista_CUIT[#All],2,0)),"CUIT NO CARGADO")</f>
        <v>-</v>
      </c>
      <c r="H1555" s="64"/>
      <c r="I1555" s="64">
        <f>ventas_b_mes684[[#This Row],[IMPORTE NETO]]*0.21</f>
        <v>0</v>
      </c>
      <c r="J1555" s="64"/>
      <c r="K1555" s="64"/>
      <c r="L1555" s="64">
        <f>SUM(ventas_b_mes684[[#This Row],[IMPORTE NETO]:[EXENTO]])</f>
        <v>0</v>
      </c>
      <c r="M1555" s="59"/>
    </row>
    <row r="1556" spans="2:13" x14ac:dyDescent="0.25">
      <c r="B1556" s="40"/>
      <c r="C1556" s="41"/>
      <c r="D1556" s="42"/>
      <c r="E1556" s="43"/>
      <c r="F1556" s="44"/>
      <c r="G1556" s="1" t="str">
        <f>IFERROR(IF(ventas_b_mes684[[#This Row],[CUIT]]="","-",VLOOKUP(ventas_b_mes684[[#This Row],[CUIT]],Lista_CUIT[#All],2,0)),"CUIT NO CARGADO")</f>
        <v>-</v>
      </c>
      <c r="H1556" s="64"/>
      <c r="I1556" s="64">
        <f>ventas_b_mes684[[#This Row],[IMPORTE NETO]]*0.21</f>
        <v>0</v>
      </c>
      <c r="J1556" s="64"/>
      <c r="K1556" s="64"/>
      <c r="L1556" s="64">
        <f>SUM(ventas_b_mes684[[#This Row],[IMPORTE NETO]:[EXENTO]])</f>
        <v>0</v>
      </c>
      <c r="M1556" s="59"/>
    </row>
    <row r="1557" spans="2:13" x14ac:dyDescent="0.25">
      <c r="B1557" s="40"/>
      <c r="C1557" s="41"/>
      <c r="D1557" s="42"/>
      <c r="E1557" s="43"/>
      <c r="F1557" s="44"/>
      <c r="G1557" s="1" t="str">
        <f>IFERROR(IF(ventas_b_mes684[[#This Row],[CUIT]]="","-",VLOOKUP(ventas_b_mes684[[#This Row],[CUIT]],Lista_CUIT[#All],2,0)),"CUIT NO CARGADO")</f>
        <v>-</v>
      </c>
      <c r="H1557" s="64"/>
      <c r="I1557" s="64">
        <f>ventas_b_mes684[[#This Row],[IMPORTE NETO]]*0.21</f>
        <v>0</v>
      </c>
      <c r="J1557" s="64"/>
      <c r="K1557" s="64"/>
      <c r="L1557" s="64">
        <f>SUM(ventas_b_mes684[[#This Row],[IMPORTE NETO]:[EXENTO]])</f>
        <v>0</v>
      </c>
      <c r="M1557" s="59"/>
    </row>
    <row r="1558" spans="2:13" x14ac:dyDescent="0.25">
      <c r="B1558" s="40"/>
      <c r="C1558" s="41"/>
      <c r="D1558" s="42"/>
      <c r="E1558" s="43"/>
      <c r="F1558" s="44"/>
      <c r="G1558" s="1" t="str">
        <f>IFERROR(IF(ventas_b_mes684[[#This Row],[CUIT]]="","-",VLOOKUP(ventas_b_mes684[[#This Row],[CUIT]],Lista_CUIT[#All],2,0)),"CUIT NO CARGADO")</f>
        <v>-</v>
      </c>
      <c r="H1558" s="64"/>
      <c r="I1558" s="64">
        <f>ventas_b_mes684[[#This Row],[IMPORTE NETO]]*0.21</f>
        <v>0</v>
      </c>
      <c r="J1558" s="64"/>
      <c r="K1558" s="64"/>
      <c r="L1558" s="64">
        <f>SUM(ventas_b_mes684[[#This Row],[IMPORTE NETO]:[EXENTO]])</f>
        <v>0</v>
      </c>
      <c r="M1558" s="59"/>
    </row>
    <row r="1559" spans="2:13" x14ac:dyDescent="0.25">
      <c r="B1559" s="40"/>
      <c r="C1559" s="41"/>
      <c r="D1559" s="42"/>
      <c r="E1559" s="43"/>
      <c r="F1559" s="44"/>
      <c r="G1559" s="1" t="str">
        <f>IFERROR(IF(ventas_b_mes684[[#This Row],[CUIT]]="","-",VLOOKUP(ventas_b_mes684[[#This Row],[CUIT]],Lista_CUIT[#All],2,0)),"CUIT NO CARGADO")</f>
        <v>-</v>
      </c>
      <c r="H1559" s="64"/>
      <c r="I1559" s="64">
        <f>ventas_b_mes684[[#This Row],[IMPORTE NETO]]*0.21</f>
        <v>0</v>
      </c>
      <c r="J1559" s="64"/>
      <c r="K1559" s="64"/>
      <c r="L1559" s="64">
        <f>SUM(ventas_b_mes684[[#This Row],[IMPORTE NETO]:[EXENTO]])</f>
        <v>0</v>
      </c>
      <c r="M1559" s="59"/>
    </row>
    <row r="1560" spans="2:13" x14ac:dyDescent="0.25">
      <c r="B1560" s="40"/>
      <c r="C1560" s="41"/>
      <c r="D1560" s="42"/>
      <c r="E1560" s="43"/>
      <c r="F1560" s="44"/>
      <c r="G1560" s="1" t="str">
        <f>IFERROR(IF(ventas_b_mes684[[#This Row],[CUIT]]="","-",VLOOKUP(ventas_b_mes684[[#This Row],[CUIT]],Lista_CUIT[#All],2,0)),"CUIT NO CARGADO")</f>
        <v>-</v>
      </c>
      <c r="H1560" s="64"/>
      <c r="I1560" s="64">
        <f>ventas_b_mes684[[#This Row],[IMPORTE NETO]]*0.21</f>
        <v>0</v>
      </c>
      <c r="J1560" s="64"/>
      <c r="K1560" s="64"/>
      <c r="L1560" s="64">
        <f>SUM(ventas_b_mes684[[#This Row],[IMPORTE NETO]:[EXENTO]])</f>
        <v>0</v>
      </c>
      <c r="M1560" s="59"/>
    </row>
    <row r="1561" spans="2:13" x14ac:dyDescent="0.25">
      <c r="B1561" s="40"/>
      <c r="C1561" s="41"/>
      <c r="D1561" s="42"/>
      <c r="E1561" s="43"/>
      <c r="F1561" s="44"/>
      <c r="G1561" s="1" t="str">
        <f>IFERROR(IF(ventas_b_mes684[[#This Row],[CUIT]]="","-",VLOOKUP(ventas_b_mes684[[#This Row],[CUIT]],Lista_CUIT[#All],2,0)),"CUIT NO CARGADO")</f>
        <v>-</v>
      </c>
      <c r="H1561" s="64"/>
      <c r="I1561" s="64">
        <f>ventas_b_mes684[[#This Row],[IMPORTE NETO]]*0.21</f>
        <v>0</v>
      </c>
      <c r="J1561" s="64"/>
      <c r="K1561" s="64"/>
      <c r="L1561" s="64">
        <f>SUM(ventas_b_mes684[[#This Row],[IMPORTE NETO]:[EXENTO]])</f>
        <v>0</v>
      </c>
      <c r="M1561" s="59"/>
    </row>
    <row r="1562" spans="2:13" x14ac:dyDescent="0.25">
      <c r="B1562" s="40"/>
      <c r="C1562" s="41"/>
      <c r="D1562" s="42"/>
      <c r="E1562" s="43"/>
      <c r="F1562" s="44"/>
      <c r="G1562" s="1" t="str">
        <f>IFERROR(IF(ventas_b_mes684[[#This Row],[CUIT]]="","-",VLOOKUP(ventas_b_mes684[[#This Row],[CUIT]],Lista_CUIT[#All],2,0)),"CUIT NO CARGADO")</f>
        <v>-</v>
      </c>
      <c r="H1562" s="64"/>
      <c r="I1562" s="64">
        <f>ventas_b_mes684[[#This Row],[IMPORTE NETO]]*0.21</f>
        <v>0</v>
      </c>
      <c r="J1562" s="64"/>
      <c r="K1562" s="64"/>
      <c r="L1562" s="64">
        <f>SUM(ventas_b_mes684[[#This Row],[IMPORTE NETO]:[EXENTO]])</f>
        <v>0</v>
      </c>
      <c r="M1562" s="59"/>
    </row>
    <row r="1563" spans="2:13" x14ac:dyDescent="0.25">
      <c r="B1563" s="40"/>
      <c r="C1563" s="41"/>
      <c r="D1563" s="42"/>
      <c r="E1563" s="43"/>
      <c r="F1563" s="44"/>
      <c r="G1563" s="1" t="str">
        <f>IFERROR(IF(ventas_b_mes684[[#This Row],[CUIT]]="","-",VLOOKUP(ventas_b_mes684[[#This Row],[CUIT]],Lista_CUIT[#All],2,0)),"CUIT NO CARGADO")</f>
        <v>-</v>
      </c>
      <c r="H1563" s="64"/>
      <c r="I1563" s="64">
        <f>ventas_b_mes684[[#This Row],[IMPORTE NETO]]*0.21</f>
        <v>0</v>
      </c>
      <c r="J1563" s="64"/>
      <c r="K1563" s="64"/>
      <c r="L1563" s="64">
        <f>SUM(ventas_b_mes684[[#This Row],[IMPORTE NETO]:[EXENTO]])</f>
        <v>0</v>
      </c>
      <c r="M1563" s="59"/>
    </row>
    <row r="1564" spans="2:13" x14ac:dyDescent="0.25">
      <c r="B1564" s="40"/>
      <c r="C1564" s="41"/>
      <c r="D1564" s="42"/>
      <c r="E1564" s="43"/>
      <c r="F1564" s="44"/>
      <c r="G1564" s="1" t="str">
        <f>IFERROR(IF(ventas_b_mes684[[#This Row],[CUIT]]="","-",VLOOKUP(ventas_b_mes684[[#This Row],[CUIT]],Lista_CUIT[#All],2,0)),"CUIT NO CARGADO")</f>
        <v>-</v>
      </c>
      <c r="H1564" s="64"/>
      <c r="I1564" s="64">
        <f>ventas_b_mes684[[#This Row],[IMPORTE NETO]]*0.21</f>
        <v>0</v>
      </c>
      <c r="J1564" s="64"/>
      <c r="K1564" s="64"/>
      <c r="L1564" s="64">
        <f>SUM(ventas_b_mes684[[#This Row],[IMPORTE NETO]:[EXENTO]])</f>
        <v>0</v>
      </c>
      <c r="M1564" s="59"/>
    </row>
    <row r="1565" spans="2:13" x14ac:dyDescent="0.25">
      <c r="B1565" s="40"/>
      <c r="C1565" s="41"/>
      <c r="D1565" s="42"/>
      <c r="E1565" s="43"/>
      <c r="F1565" s="44"/>
      <c r="G1565" s="1" t="str">
        <f>IFERROR(IF(ventas_b_mes684[[#This Row],[CUIT]]="","-",VLOOKUP(ventas_b_mes684[[#This Row],[CUIT]],Lista_CUIT[#All],2,0)),"CUIT NO CARGADO")</f>
        <v>-</v>
      </c>
      <c r="H1565" s="64"/>
      <c r="I1565" s="64">
        <f>ventas_b_mes684[[#This Row],[IMPORTE NETO]]*0.21</f>
        <v>0</v>
      </c>
      <c r="J1565" s="64"/>
      <c r="K1565" s="64"/>
      <c r="L1565" s="64">
        <f>SUM(ventas_b_mes684[[#This Row],[IMPORTE NETO]:[EXENTO]])</f>
        <v>0</v>
      </c>
      <c r="M1565" s="59"/>
    </row>
    <row r="1566" spans="2:13" x14ac:dyDescent="0.25">
      <c r="B1566" s="40"/>
      <c r="C1566" s="41"/>
      <c r="D1566" s="42"/>
      <c r="E1566" s="43"/>
      <c r="F1566" s="44"/>
      <c r="G1566" s="1" t="str">
        <f>IFERROR(IF(ventas_b_mes684[[#This Row],[CUIT]]="","-",VLOOKUP(ventas_b_mes684[[#This Row],[CUIT]],Lista_CUIT[#All],2,0)),"CUIT NO CARGADO")</f>
        <v>-</v>
      </c>
      <c r="H1566" s="64"/>
      <c r="I1566" s="64">
        <f>ventas_b_mes684[[#This Row],[IMPORTE NETO]]*0.21</f>
        <v>0</v>
      </c>
      <c r="J1566" s="64"/>
      <c r="K1566" s="64"/>
      <c r="L1566" s="64">
        <f>SUM(ventas_b_mes684[[#This Row],[IMPORTE NETO]:[EXENTO]])</f>
        <v>0</v>
      </c>
      <c r="M1566" s="59"/>
    </row>
    <row r="1567" spans="2:13" x14ac:dyDescent="0.25">
      <c r="B1567" s="40"/>
      <c r="C1567" s="41"/>
      <c r="D1567" s="42"/>
      <c r="E1567" s="43"/>
      <c r="F1567" s="44"/>
      <c r="G1567" s="1" t="str">
        <f>IFERROR(IF(ventas_b_mes684[[#This Row],[CUIT]]="","-",VLOOKUP(ventas_b_mes684[[#This Row],[CUIT]],Lista_CUIT[#All],2,0)),"CUIT NO CARGADO")</f>
        <v>-</v>
      </c>
      <c r="H1567" s="64"/>
      <c r="I1567" s="64">
        <f>ventas_b_mes684[[#This Row],[IMPORTE NETO]]*0.21</f>
        <v>0</v>
      </c>
      <c r="J1567" s="64"/>
      <c r="K1567" s="64"/>
      <c r="L1567" s="64">
        <f>SUM(ventas_b_mes684[[#This Row],[IMPORTE NETO]:[EXENTO]])</f>
        <v>0</v>
      </c>
      <c r="M1567" s="59"/>
    </row>
    <row r="1568" spans="2:13" x14ac:dyDescent="0.25">
      <c r="B1568" s="40"/>
      <c r="C1568" s="41"/>
      <c r="D1568" s="42"/>
      <c r="E1568" s="43"/>
      <c r="F1568" s="44"/>
      <c r="G1568" s="1" t="str">
        <f>IFERROR(IF(ventas_b_mes684[[#This Row],[CUIT]]="","-",VLOOKUP(ventas_b_mes684[[#This Row],[CUIT]],Lista_CUIT[#All],2,0)),"CUIT NO CARGADO")</f>
        <v>-</v>
      </c>
      <c r="H1568" s="64"/>
      <c r="I1568" s="64">
        <f>ventas_b_mes684[[#This Row],[IMPORTE NETO]]*0.21</f>
        <v>0</v>
      </c>
      <c r="J1568" s="64"/>
      <c r="K1568" s="64"/>
      <c r="L1568" s="64">
        <f>SUM(ventas_b_mes684[[#This Row],[IMPORTE NETO]:[EXENTO]])</f>
        <v>0</v>
      </c>
      <c r="M1568" s="59"/>
    </row>
    <row r="1569" spans="2:13" x14ac:dyDescent="0.25">
      <c r="B1569" s="40"/>
      <c r="C1569" s="41"/>
      <c r="D1569" s="42"/>
      <c r="E1569" s="43"/>
      <c r="F1569" s="44"/>
      <c r="G1569" s="1" t="str">
        <f>IFERROR(IF(ventas_b_mes684[[#This Row],[CUIT]]="","-",VLOOKUP(ventas_b_mes684[[#This Row],[CUIT]],Lista_CUIT[#All],2,0)),"CUIT NO CARGADO")</f>
        <v>-</v>
      </c>
      <c r="H1569" s="64"/>
      <c r="I1569" s="64">
        <f>ventas_b_mes684[[#This Row],[IMPORTE NETO]]*0.21</f>
        <v>0</v>
      </c>
      <c r="J1569" s="64"/>
      <c r="K1569" s="64"/>
      <c r="L1569" s="64">
        <f>SUM(ventas_b_mes684[[#This Row],[IMPORTE NETO]:[EXENTO]])</f>
        <v>0</v>
      </c>
      <c r="M1569" s="59"/>
    </row>
    <row r="1570" spans="2:13" x14ac:dyDescent="0.25">
      <c r="B1570" s="40"/>
      <c r="C1570" s="41"/>
      <c r="D1570" s="42"/>
      <c r="E1570" s="43"/>
      <c r="F1570" s="44"/>
      <c r="G1570" s="1" t="str">
        <f>IFERROR(IF(ventas_b_mes684[[#This Row],[CUIT]]="","-",VLOOKUP(ventas_b_mes684[[#This Row],[CUIT]],Lista_CUIT[#All],2,0)),"CUIT NO CARGADO")</f>
        <v>-</v>
      </c>
      <c r="H1570" s="64"/>
      <c r="I1570" s="64">
        <f>ventas_b_mes684[[#This Row],[IMPORTE NETO]]*0.21</f>
        <v>0</v>
      </c>
      <c r="J1570" s="64"/>
      <c r="K1570" s="64"/>
      <c r="L1570" s="64">
        <f>SUM(ventas_b_mes684[[#This Row],[IMPORTE NETO]:[EXENTO]])</f>
        <v>0</v>
      </c>
      <c r="M1570" s="59"/>
    </row>
    <row r="1571" spans="2:13" x14ac:dyDescent="0.25">
      <c r="B1571" s="40"/>
      <c r="C1571" s="41"/>
      <c r="D1571" s="42"/>
      <c r="E1571" s="43"/>
      <c r="F1571" s="44"/>
      <c r="G1571" s="1" t="str">
        <f>IFERROR(IF(ventas_b_mes684[[#This Row],[CUIT]]="","-",VLOOKUP(ventas_b_mes684[[#This Row],[CUIT]],Lista_CUIT[#All],2,0)),"CUIT NO CARGADO")</f>
        <v>-</v>
      </c>
      <c r="H1571" s="64"/>
      <c r="I1571" s="64">
        <f>ventas_b_mes684[[#This Row],[IMPORTE NETO]]*0.21</f>
        <v>0</v>
      </c>
      <c r="J1571" s="64"/>
      <c r="K1571" s="64"/>
      <c r="L1571" s="64">
        <f>SUM(ventas_b_mes684[[#This Row],[IMPORTE NETO]:[EXENTO]])</f>
        <v>0</v>
      </c>
      <c r="M1571" s="59"/>
    </row>
    <row r="1572" spans="2:13" x14ac:dyDescent="0.25">
      <c r="B1572" s="40"/>
      <c r="C1572" s="41"/>
      <c r="D1572" s="42"/>
      <c r="E1572" s="43"/>
      <c r="F1572" s="44"/>
      <c r="G1572" s="1" t="str">
        <f>IFERROR(IF(ventas_b_mes684[[#This Row],[CUIT]]="","-",VLOOKUP(ventas_b_mes684[[#This Row],[CUIT]],Lista_CUIT[#All],2,0)),"CUIT NO CARGADO")</f>
        <v>-</v>
      </c>
      <c r="H1572" s="64"/>
      <c r="I1572" s="64">
        <f>ventas_b_mes684[[#This Row],[IMPORTE NETO]]*0.21</f>
        <v>0</v>
      </c>
      <c r="J1572" s="64"/>
      <c r="K1572" s="64"/>
      <c r="L1572" s="64">
        <f>SUM(ventas_b_mes684[[#This Row],[IMPORTE NETO]:[EXENTO]])</f>
        <v>0</v>
      </c>
      <c r="M1572" s="59"/>
    </row>
    <row r="1573" spans="2:13" x14ac:dyDescent="0.25">
      <c r="B1573" s="40"/>
      <c r="C1573" s="41"/>
      <c r="D1573" s="42"/>
      <c r="E1573" s="43"/>
      <c r="F1573" s="44"/>
      <c r="G1573" s="1" t="str">
        <f>IFERROR(IF(ventas_b_mes684[[#This Row],[CUIT]]="","-",VLOOKUP(ventas_b_mes684[[#This Row],[CUIT]],Lista_CUIT[#All],2,0)),"CUIT NO CARGADO")</f>
        <v>-</v>
      </c>
      <c r="H1573" s="64"/>
      <c r="I1573" s="64">
        <f>ventas_b_mes684[[#This Row],[IMPORTE NETO]]*0.21</f>
        <v>0</v>
      </c>
      <c r="J1573" s="64"/>
      <c r="K1573" s="64"/>
      <c r="L1573" s="64">
        <f>SUM(ventas_b_mes684[[#This Row],[IMPORTE NETO]:[EXENTO]])</f>
        <v>0</v>
      </c>
      <c r="M1573" s="59"/>
    </row>
    <row r="1574" spans="2:13" x14ac:dyDescent="0.25">
      <c r="B1574" s="40"/>
      <c r="C1574" s="41"/>
      <c r="D1574" s="42"/>
      <c r="E1574" s="43"/>
      <c r="F1574" s="44"/>
      <c r="G1574" s="1" t="str">
        <f>IFERROR(IF(ventas_b_mes684[[#This Row],[CUIT]]="","-",VLOOKUP(ventas_b_mes684[[#This Row],[CUIT]],Lista_CUIT[#All],2,0)),"CUIT NO CARGADO")</f>
        <v>-</v>
      </c>
      <c r="H1574" s="64"/>
      <c r="I1574" s="64">
        <f>ventas_b_mes684[[#This Row],[IMPORTE NETO]]*0.21</f>
        <v>0</v>
      </c>
      <c r="J1574" s="64"/>
      <c r="K1574" s="64"/>
      <c r="L1574" s="64">
        <f>SUM(ventas_b_mes684[[#This Row],[IMPORTE NETO]:[EXENTO]])</f>
        <v>0</v>
      </c>
      <c r="M1574" s="59"/>
    </row>
    <row r="1575" spans="2:13" x14ac:dyDescent="0.25">
      <c r="B1575" s="40"/>
      <c r="C1575" s="41"/>
      <c r="D1575" s="42"/>
      <c r="E1575" s="43"/>
      <c r="F1575" s="44"/>
      <c r="G1575" s="1" t="str">
        <f>IFERROR(IF(ventas_b_mes684[[#This Row],[CUIT]]="","-",VLOOKUP(ventas_b_mes684[[#This Row],[CUIT]],Lista_CUIT[#All],2,0)),"CUIT NO CARGADO")</f>
        <v>-</v>
      </c>
      <c r="H1575" s="64"/>
      <c r="I1575" s="64">
        <f>ventas_b_mes684[[#This Row],[IMPORTE NETO]]*0.21</f>
        <v>0</v>
      </c>
      <c r="J1575" s="64"/>
      <c r="K1575" s="64"/>
      <c r="L1575" s="64">
        <f>SUM(ventas_b_mes684[[#This Row],[IMPORTE NETO]:[EXENTO]])</f>
        <v>0</v>
      </c>
      <c r="M1575" s="59"/>
    </row>
    <row r="1576" spans="2:13" x14ac:dyDescent="0.25">
      <c r="B1576" s="40"/>
      <c r="C1576" s="41"/>
      <c r="D1576" s="42"/>
      <c r="E1576" s="43"/>
      <c r="F1576" s="44"/>
      <c r="G1576" s="1" t="str">
        <f>IFERROR(IF(ventas_b_mes684[[#This Row],[CUIT]]="","-",VLOOKUP(ventas_b_mes684[[#This Row],[CUIT]],Lista_CUIT[#All],2,0)),"CUIT NO CARGADO")</f>
        <v>-</v>
      </c>
      <c r="H1576" s="64"/>
      <c r="I1576" s="64">
        <f>ventas_b_mes684[[#This Row],[IMPORTE NETO]]*0.21</f>
        <v>0</v>
      </c>
      <c r="J1576" s="64"/>
      <c r="K1576" s="64"/>
      <c r="L1576" s="64">
        <f>SUM(ventas_b_mes684[[#This Row],[IMPORTE NETO]:[EXENTO]])</f>
        <v>0</v>
      </c>
      <c r="M1576" s="59"/>
    </row>
    <row r="1577" spans="2:13" x14ac:dyDescent="0.25">
      <c r="B1577" s="40"/>
      <c r="C1577" s="41"/>
      <c r="D1577" s="42"/>
      <c r="E1577" s="43"/>
      <c r="F1577" s="44"/>
      <c r="G1577" s="1" t="str">
        <f>IFERROR(IF(ventas_b_mes684[[#This Row],[CUIT]]="","-",VLOOKUP(ventas_b_mes684[[#This Row],[CUIT]],Lista_CUIT[#All],2,0)),"CUIT NO CARGADO")</f>
        <v>-</v>
      </c>
      <c r="H1577" s="64"/>
      <c r="I1577" s="64">
        <f>ventas_b_mes684[[#This Row],[IMPORTE NETO]]*0.21</f>
        <v>0</v>
      </c>
      <c r="J1577" s="64"/>
      <c r="K1577" s="64"/>
      <c r="L1577" s="64">
        <f>SUM(ventas_b_mes684[[#This Row],[IMPORTE NETO]:[EXENTO]])</f>
        <v>0</v>
      </c>
      <c r="M1577" s="59"/>
    </row>
    <row r="1578" spans="2:13" x14ac:dyDescent="0.25">
      <c r="B1578" s="40"/>
      <c r="C1578" s="41"/>
      <c r="D1578" s="42"/>
      <c r="E1578" s="43"/>
      <c r="F1578" s="44"/>
      <c r="G1578" s="1" t="str">
        <f>IFERROR(IF(ventas_b_mes684[[#This Row],[CUIT]]="","-",VLOOKUP(ventas_b_mes684[[#This Row],[CUIT]],Lista_CUIT[#All],2,0)),"CUIT NO CARGADO")</f>
        <v>-</v>
      </c>
      <c r="H1578" s="64"/>
      <c r="I1578" s="64">
        <f>ventas_b_mes684[[#This Row],[IMPORTE NETO]]*0.21</f>
        <v>0</v>
      </c>
      <c r="J1578" s="64"/>
      <c r="K1578" s="64"/>
      <c r="L1578" s="64">
        <f>SUM(ventas_b_mes684[[#This Row],[IMPORTE NETO]:[EXENTO]])</f>
        <v>0</v>
      </c>
      <c r="M1578" s="59"/>
    </row>
    <row r="1579" spans="2:13" x14ac:dyDescent="0.25">
      <c r="B1579" s="40"/>
      <c r="C1579" s="41"/>
      <c r="D1579" s="42"/>
      <c r="E1579" s="43"/>
      <c r="F1579" s="44"/>
      <c r="G1579" s="1" t="str">
        <f>IFERROR(IF(ventas_b_mes684[[#This Row],[CUIT]]="","-",VLOOKUP(ventas_b_mes684[[#This Row],[CUIT]],Lista_CUIT[#All],2,0)),"CUIT NO CARGADO")</f>
        <v>-</v>
      </c>
      <c r="H1579" s="64"/>
      <c r="I1579" s="64">
        <f>ventas_b_mes684[[#This Row],[IMPORTE NETO]]*0.21</f>
        <v>0</v>
      </c>
      <c r="J1579" s="64"/>
      <c r="K1579" s="64"/>
      <c r="L1579" s="64">
        <f>SUM(ventas_b_mes684[[#This Row],[IMPORTE NETO]:[EXENTO]])</f>
        <v>0</v>
      </c>
      <c r="M1579" s="59"/>
    </row>
    <row r="1580" spans="2:13" x14ac:dyDescent="0.25">
      <c r="B1580" s="40"/>
      <c r="C1580" s="41"/>
      <c r="D1580" s="42"/>
      <c r="E1580" s="43"/>
      <c r="F1580" s="44"/>
      <c r="G1580" s="1" t="str">
        <f>IFERROR(IF(ventas_b_mes684[[#This Row],[CUIT]]="","-",VLOOKUP(ventas_b_mes684[[#This Row],[CUIT]],Lista_CUIT[#All],2,0)),"CUIT NO CARGADO")</f>
        <v>-</v>
      </c>
      <c r="H1580" s="64"/>
      <c r="I1580" s="64">
        <f>ventas_b_mes684[[#This Row],[IMPORTE NETO]]*0.21</f>
        <v>0</v>
      </c>
      <c r="J1580" s="64"/>
      <c r="K1580" s="64"/>
      <c r="L1580" s="64">
        <f>SUM(ventas_b_mes684[[#This Row],[IMPORTE NETO]:[EXENTO]])</f>
        <v>0</v>
      </c>
      <c r="M1580" s="59"/>
    </row>
    <row r="1581" spans="2:13" x14ac:dyDescent="0.25">
      <c r="B1581" s="40"/>
      <c r="C1581" s="41"/>
      <c r="D1581" s="42"/>
      <c r="E1581" s="43"/>
      <c r="F1581" s="44"/>
      <c r="G1581" s="1" t="str">
        <f>IFERROR(IF(ventas_b_mes684[[#This Row],[CUIT]]="","-",VLOOKUP(ventas_b_mes684[[#This Row],[CUIT]],Lista_CUIT[#All],2,0)),"CUIT NO CARGADO")</f>
        <v>-</v>
      </c>
      <c r="H1581" s="64"/>
      <c r="I1581" s="64">
        <f>ventas_b_mes684[[#This Row],[IMPORTE NETO]]*0.21</f>
        <v>0</v>
      </c>
      <c r="J1581" s="64"/>
      <c r="K1581" s="64"/>
      <c r="L1581" s="64">
        <f>SUM(ventas_b_mes684[[#This Row],[IMPORTE NETO]:[EXENTO]])</f>
        <v>0</v>
      </c>
      <c r="M1581" s="59"/>
    </row>
    <row r="1582" spans="2:13" x14ac:dyDescent="0.25">
      <c r="B1582" s="40"/>
      <c r="C1582" s="41"/>
      <c r="D1582" s="42"/>
      <c r="E1582" s="43"/>
      <c r="F1582" s="44"/>
      <c r="G1582" s="1" t="str">
        <f>IFERROR(IF(ventas_b_mes684[[#This Row],[CUIT]]="","-",VLOOKUP(ventas_b_mes684[[#This Row],[CUIT]],Lista_CUIT[#All],2,0)),"CUIT NO CARGADO")</f>
        <v>-</v>
      </c>
      <c r="H1582" s="64"/>
      <c r="I1582" s="64">
        <f>ventas_b_mes684[[#This Row],[IMPORTE NETO]]*0.21</f>
        <v>0</v>
      </c>
      <c r="J1582" s="64"/>
      <c r="K1582" s="64"/>
      <c r="L1582" s="64">
        <f>SUM(ventas_b_mes684[[#This Row],[IMPORTE NETO]:[EXENTO]])</f>
        <v>0</v>
      </c>
      <c r="M1582" s="59"/>
    </row>
    <row r="1583" spans="2:13" x14ac:dyDescent="0.25">
      <c r="B1583" s="40"/>
      <c r="C1583" s="41"/>
      <c r="D1583" s="42"/>
      <c r="E1583" s="43"/>
      <c r="F1583" s="44"/>
      <c r="G1583" s="1" t="str">
        <f>IFERROR(IF(ventas_b_mes684[[#This Row],[CUIT]]="","-",VLOOKUP(ventas_b_mes684[[#This Row],[CUIT]],Lista_CUIT[#All],2,0)),"CUIT NO CARGADO")</f>
        <v>-</v>
      </c>
      <c r="H1583" s="64"/>
      <c r="I1583" s="64">
        <f>ventas_b_mes684[[#This Row],[IMPORTE NETO]]*0.21</f>
        <v>0</v>
      </c>
      <c r="J1583" s="64"/>
      <c r="K1583" s="64"/>
      <c r="L1583" s="64">
        <f>SUM(ventas_b_mes684[[#This Row],[IMPORTE NETO]:[EXENTO]])</f>
        <v>0</v>
      </c>
      <c r="M1583" s="59"/>
    </row>
    <row r="1584" spans="2:13" x14ac:dyDescent="0.25">
      <c r="B1584" s="40"/>
      <c r="C1584" s="41"/>
      <c r="D1584" s="42"/>
      <c r="E1584" s="43"/>
      <c r="F1584" s="44"/>
      <c r="G1584" s="1" t="str">
        <f>IFERROR(IF(ventas_b_mes684[[#This Row],[CUIT]]="","-",VLOOKUP(ventas_b_mes684[[#This Row],[CUIT]],Lista_CUIT[#All],2,0)),"CUIT NO CARGADO")</f>
        <v>-</v>
      </c>
      <c r="H1584" s="64"/>
      <c r="I1584" s="64">
        <f>ventas_b_mes684[[#This Row],[IMPORTE NETO]]*0.21</f>
        <v>0</v>
      </c>
      <c r="J1584" s="64"/>
      <c r="K1584" s="64"/>
      <c r="L1584" s="64">
        <f>SUM(ventas_b_mes684[[#This Row],[IMPORTE NETO]:[EXENTO]])</f>
        <v>0</v>
      </c>
      <c r="M1584" s="59"/>
    </row>
    <row r="1585" spans="2:13" x14ac:dyDescent="0.25">
      <c r="B1585" s="40"/>
      <c r="C1585" s="41"/>
      <c r="D1585" s="42"/>
      <c r="E1585" s="43"/>
      <c r="F1585" s="44"/>
      <c r="G1585" s="1" t="str">
        <f>IFERROR(IF(ventas_b_mes684[[#This Row],[CUIT]]="","-",VLOOKUP(ventas_b_mes684[[#This Row],[CUIT]],Lista_CUIT[#All],2,0)),"CUIT NO CARGADO")</f>
        <v>-</v>
      </c>
      <c r="H1585" s="64"/>
      <c r="I1585" s="64">
        <f>ventas_b_mes684[[#This Row],[IMPORTE NETO]]*0.21</f>
        <v>0</v>
      </c>
      <c r="J1585" s="64"/>
      <c r="K1585" s="64"/>
      <c r="L1585" s="64">
        <f>SUM(ventas_b_mes684[[#This Row],[IMPORTE NETO]:[EXENTO]])</f>
        <v>0</v>
      </c>
      <c r="M1585" s="59"/>
    </row>
    <row r="1586" spans="2:13" x14ac:dyDescent="0.25">
      <c r="B1586" s="40"/>
      <c r="C1586" s="41"/>
      <c r="D1586" s="42"/>
      <c r="E1586" s="43"/>
      <c r="F1586" s="44"/>
      <c r="G1586" s="1" t="str">
        <f>IFERROR(IF(ventas_b_mes684[[#This Row],[CUIT]]="","-",VLOOKUP(ventas_b_mes684[[#This Row],[CUIT]],Lista_CUIT[#All],2,0)),"CUIT NO CARGADO")</f>
        <v>-</v>
      </c>
      <c r="H1586" s="64"/>
      <c r="I1586" s="64">
        <f>ventas_b_mes684[[#This Row],[IMPORTE NETO]]*0.21</f>
        <v>0</v>
      </c>
      <c r="J1586" s="64"/>
      <c r="K1586" s="64"/>
      <c r="L1586" s="64">
        <f>SUM(ventas_b_mes684[[#This Row],[IMPORTE NETO]:[EXENTO]])</f>
        <v>0</v>
      </c>
      <c r="M1586" s="59"/>
    </row>
    <row r="1587" spans="2:13" x14ac:dyDescent="0.25">
      <c r="B1587" s="40"/>
      <c r="C1587" s="41"/>
      <c r="D1587" s="42"/>
      <c r="E1587" s="43"/>
      <c r="F1587" s="44"/>
      <c r="G1587" s="1" t="str">
        <f>IFERROR(IF(ventas_b_mes684[[#This Row],[CUIT]]="","-",VLOOKUP(ventas_b_mes684[[#This Row],[CUIT]],Lista_CUIT[#All],2,0)),"CUIT NO CARGADO")</f>
        <v>-</v>
      </c>
      <c r="H1587" s="64"/>
      <c r="I1587" s="64">
        <f>ventas_b_mes684[[#This Row],[IMPORTE NETO]]*0.21</f>
        <v>0</v>
      </c>
      <c r="J1587" s="64"/>
      <c r="K1587" s="64"/>
      <c r="L1587" s="64">
        <f>SUM(ventas_b_mes684[[#This Row],[IMPORTE NETO]:[EXENTO]])</f>
        <v>0</v>
      </c>
      <c r="M1587" s="59"/>
    </row>
    <row r="1588" spans="2:13" x14ac:dyDescent="0.25">
      <c r="B1588" s="40"/>
      <c r="C1588" s="41"/>
      <c r="D1588" s="42"/>
      <c r="E1588" s="43"/>
      <c r="F1588" s="44"/>
      <c r="G1588" s="1" t="str">
        <f>IFERROR(IF(ventas_b_mes684[[#This Row],[CUIT]]="","-",VLOOKUP(ventas_b_mes684[[#This Row],[CUIT]],Lista_CUIT[#All],2,0)),"CUIT NO CARGADO")</f>
        <v>-</v>
      </c>
      <c r="H1588" s="64"/>
      <c r="I1588" s="64">
        <f>ventas_b_mes684[[#This Row],[IMPORTE NETO]]*0.21</f>
        <v>0</v>
      </c>
      <c r="J1588" s="64"/>
      <c r="K1588" s="64"/>
      <c r="L1588" s="64">
        <f>SUM(ventas_b_mes684[[#This Row],[IMPORTE NETO]:[EXENTO]])</f>
        <v>0</v>
      </c>
      <c r="M1588" s="59"/>
    </row>
    <row r="1589" spans="2:13" x14ac:dyDescent="0.25">
      <c r="B1589" s="40"/>
      <c r="C1589" s="41"/>
      <c r="D1589" s="42"/>
      <c r="E1589" s="43"/>
      <c r="F1589" s="44"/>
      <c r="G1589" s="1" t="str">
        <f>IFERROR(IF(ventas_b_mes684[[#This Row],[CUIT]]="","-",VLOOKUP(ventas_b_mes684[[#This Row],[CUIT]],Lista_CUIT[#All],2,0)),"CUIT NO CARGADO")</f>
        <v>-</v>
      </c>
      <c r="H1589" s="64"/>
      <c r="I1589" s="64">
        <f>ventas_b_mes684[[#This Row],[IMPORTE NETO]]*0.21</f>
        <v>0</v>
      </c>
      <c r="J1589" s="64"/>
      <c r="K1589" s="64"/>
      <c r="L1589" s="64">
        <f>SUM(ventas_b_mes684[[#This Row],[IMPORTE NETO]:[EXENTO]])</f>
        <v>0</v>
      </c>
      <c r="M1589" s="59"/>
    </row>
    <row r="1590" spans="2:13" x14ac:dyDescent="0.25">
      <c r="B1590" s="40"/>
      <c r="C1590" s="41"/>
      <c r="D1590" s="42"/>
      <c r="E1590" s="43"/>
      <c r="F1590" s="44"/>
      <c r="G1590" s="1" t="str">
        <f>IFERROR(IF(ventas_b_mes684[[#This Row],[CUIT]]="","-",VLOOKUP(ventas_b_mes684[[#This Row],[CUIT]],Lista_CUIT[#All],2,0)),"CUIT NO CARGADO")</f>
        <v>-</v>
      </c>
      <c r="H1590" s="64"/>
      <c r="I1590" s="64">
        <f>ventas_b_mes684[[#This Row],[IMPORTE NETO]]*0.21</f>
        <v>0</v>
      </c>
      <c r="J1590" s="64"/>
      <c r="K1590" s="64"/>
      <c r="L1590" s="64">
        <f>SUM(ventas_b_mes684[[#This Row],[IMPORTE NETO]:[EXENTO]])</f>
        <v>0</v>
      </c>
      <c r="M1590" s="59"/>
    </row>
    <row r="1591" spans="2:13" x14ac:dyDescent="0.25">
      <c r="B1591" s="40"/>
      <c r="C1591" s="41"/>
      <c r="D1591" s="42"/>
      <c r="E1591" s="43"/>
      <c r="F1591" s="44"/>
      <c r="G1591" s="1" t="str">
        <f>IFERROR(IF(ventas_b_mes684[[#This Row],[CUIT]]="","-",VLOOKUP(ventas_b_mes684[[#This Row],[CUIT]],Lista_CUIT[#All],2,0)),"CUIT NO CARGADO")</f>
        <v>-</v>
      </c>
      <c r="H1591" s="64"/>
      <c r="I1591" s="64">
        <f>ventas_b_mes684[[#This Row],[IMPORTE NETO]]*0.21</f>
        <v>0</v>
      </c>
      <c r="J1591" s="64"/>
      <c r="K1591" s="64"/>
      <c r="L1591" s="64">
        <f>SUM(ventas_b_mes684[[#This Row],[IMPORTE NETO]:[EXENTO]])</f>
        <v>0</v>
      </c>
      <c r="M1591" s="59"/>
    </row>
    <row r="1592" spans="2:13" x14ac:dyDescent="0.25">
      <c r="B1592" s="40"/>
      <c r="C1592" s="41"/>
      <c r="D1592" s="42"/>
      <c r="E1592" s="43"/>
      <c r="F1592" s="44"/>
      <c r="G1592" s="1" t="str">
        <f>IFERROR(IF(ventas_b_mes684[[#This Row],[CUIT]]="","-",VLOOKUP(ventas_b_mes684[[#This Row],[CUIT]],Lista_CUIT[#All],2,0)),"CUIT NO CARGADO")</f>
        <v>-</v>
      </c>
      <c r="H1592" s="64"/>
      <c r="I1592" s="64">
        <f>ventas_b_mes684[[#This Row],[IMPORTE NETO]]*0.21</f>
        <v>0</v>
      </c>
      <c r="J1592" s="64"/>
      <c r="K1592" s="64"/>
      <c r="L1592" s="64">
        <f>SUM(ventas_b_mes684[[#This Row],[IMPORTE NETO]:[EXENTO]])</f>
        <v>0</v>
      </c>
      <c r="M1592" s="59"/>
    </row>
    <row r="1593" spans="2:13" x14ac:dyDescent="0.25">
      <c r="B1593" s="40"/>
      <c r="C1593" s="41"/>
      <c r="D1593" s="42"/>
      <c r="E1593" s="43"/>
      <c r="F1593" s="44"/>
      <c r="G1593" s="1" t="str">
        <f>IFERROR(IF(ventas_b_mes684[[#This Row],[CUIT]]="","-",VLOOKUP(ventas_b_mes684[[#This Row],[CUIT]],Lista_CUIT[#All],2,0)),"CUIT NO CARGADO")</f>
        <v>-</v>
      </c>
      <c r="H1593" s="64"/>
      <c r="I1593" s="64">
        <f>ventas_b_mes684[[#This Row],[IMPORTE NETO]]*0.21</f>
        <v>0</v>
      </c>
      <c r="J1593" s="64"/>
      <c r="K1593" s="64"/>
      <c r="L1593" s="64">
        <f>SUM(ventas_b_mes684[[#This Row],[IMPORTE NETO]:[EXENTO]])</f>
        <v>0</v>
      </c>
      <c r="M1593" s="59"/>
    </row>
    <row r="1594" spans="2:13" x14ac:dyDescent="0.25">
      <c r="B1594" s="40"/>
      <c r="C1594" s="41"/>
      <c r="D1594" s="42"/>
      <c r="E1594" s="43"/>
      <c r="F1594" s="44"/>
      <c r="G1594" s="1" t="str">
        <f>IFERROR(IF(ventas_b_mes684[[#This Row],[CUIT]]="","-",VLOOKUP(ventas_b_mes684[[#This Row],[CUIT]],Lista_CUIT[#All],2,0)),"CUIT NO CARGADO")</f>
        <v>-</v>
      </c>
      <c r="H1594" s="64"/>
      <c r="I1594" s="64">
        <f>ventas_b_mes684[[#This Row],[IMPORTE NETO]]*0.21</f>
        <v>0</v>
      </c>
      <c r="J1594" s="64"/>
      <c r="K1594" s="64"/>
      <c r="L1594" s="64">
        <f>SUM(ventas_b_mes684[[#This Row],[IMPORTE NETO]:[EXENTO]])</f>
        <v>0</v>
      </c>
      <c r="M1594" s="59"/>
    </row>
    <row r="1595" spans="2:13" x14ac:dyDescent="0.25">
      <c r="B1595" s="40"/>
      <c r="C1595" s="41"/>
      <c r="D1595" s="42"/>
      <c r="E1595" s="43"/>
      <c r="F1595" s="44"/>
      <c r="G1595" s="1" t="str">
        <f>IFERROR(IF(ventas_b_mes684[[#This Row],[CUIT]]="","-",VLOOKUP(ventas_b_mes684[[#This Row],[CUIT]],Lista_CUIT[#All],2,0)),"CUIT NO CARGADO")</f>
        <v>-</v>
      </c>
      <c r="H1595" s="64"/>
      <c r="I1595" s="64">
        <f>ventas_b_mes684[[#This Row],[IMPORTE NETO]]*0.21</f>
        <v>0</v>
      </c>
      <c r="J1595" s="64"/>
      <c r="K1595" s="64"/>
      <c r="L1595" s="64">
        <f>SUM(ventas_b_mes684[[#This Row],[IMPORTE NETO]:[EXENTO]])</f>
        <v>0</v>
      </c>
      <c r="M1595" s="59"/>
    </row>
    <row r="1596" spans="2:13" x14ac:dyDescent="0.25">
      <c r="B1596" s="40"/>
      <c r="C1596" s="41"/>
      <c r="D1596" s="42"/>
      <c r="E1596" s="43"/>
      <c r="F1596" s="44"/>
      <c r="G1596" s="1" t="str">
        <f>IFERROR(IF(ventas_b_mes684[[#This Row],[CUIT]]="","-",VLOOKUP(ventas_b_mes684[[#This Row],[CUIT]],Lista_CUIT[#All],2,0)),"CUIT NO CARGADO")</f>
        <v>-</v>
      </c>
      <c r="H1596" s="64"/>
      <c r="I1596" s="64">
        <f>ventas_b_mes684[[#This Row],[IMPORTE NETO]]*0.21</f>
        <v>0</v>
      </c>
      <c r="J1596" s="64"/>
      <c r="K1596" s="64"/>
      <c r="L1596" s="64">
        <f>SUM(ventas_b_mes684[[#This Row],[IMPORTE NETO]:[EXENTO]])</f>
        <v>0</v>
      </c>
      <c r="M1596" s="59"/>
    </row>
    <row r="1597" spans="2:13" x14ac:dyDescent="0.25">
      <c r="B1597" s="40"/>
      <c r="C1597" s="41"/>
      <c r="D1597" s="42"/>
      <c r="E1597" s="43"/>
      <c r="F1597" s="44"/>
      <c r="G1597" s="1" t="str">
        <f>IFERROR(IF(ventas_b_mes684[[#This Row],[CUIT]]="","-",VLOOKUP(ventas_b_mes684[[#This Row],[CUIT]],Lista_CUIT[#All],2,0)),"CUIT NO CARGADO")</f>
        <v>-</v>
      </c>
      <c r="H1597" s="64"/>
      <c r="I1597" s="64">
        <f>ventas_b_mes684[[#This Row],[IMPORTE NETO]]*0.21</f>
        <v>0</v>
      </c>
      <c r="J1597" s="64"/>
      <c r="K1597" s="64"/>
      <c r="L1597" s="64">
        <f>SUM(ventas_b_mes684[[#This Row],[IMPORTE NETO]:[EXENTO]])</f>
        <v>0</v>
      </c>
      <c r="M1597" s="59"/>
    </row>
    <row r="1598" spans="2:13" x14ac:dyDescent="0.25">
      <c r="B1598" s="40"/>
      <c r="C1598" s="41"/>
      <c r="D1598" s="42"/>
      <c r="E1598" s="43"/>
      <c r="F1598" s="44"/>
      <c r="G1598" s="1" t="str">
        <f>IFERROR(IF(ventas_b_mes684[[#This Row],[CUIT]]="","-",VLOOKUP(ventas_b_mes684[[#This Row],[CUIT]],Lista_CUIT[#All],2,0)),"CUIT NO CARGADO")</f>
        <v>-</v>
      </c>
      <c r="H1598" s="64"/>
      <c r="I1598" s="64">
        <f>ventas_b_mes684[[#This Row],[IMPORTE NETO]]*0.21</f>
        <v>0</v>
      </c>
      <c r="J1598" s="64"/>
      <c r="K1598" s="64"/>
      <c r="L1598" s="64">
        <f>SUM(ventas_b_mes684[[#This Row],[IMPORTE NETO]:[EXENTO]])</f>
        <v>0</v>
      </c>
      <c r="M1598" s="59"/>
    </row>
    <row r="1599" spans="2:13" x14ac:dyDescent="0.25">
      <c r="B1599" s="40"/>
      <c r="C1599" s="41"/>
      <c r="D1599" s="42"/>
      <c r="E1599" s="43"/>
      <c r="F1599" s="44"/>
      <c r="G1599" s="1" t="str">
        <f>IFERROR(IF(ventas_b_mes684[[#This Row],[CUIT]]="","-",VLOOKUP(ventas_b_mes684[[#This Row],[CUIT]],Lista_CUIT[#All],2,0)),"CUIT NO CARGADO")</f>
        <v>-</v>
      </c>
      <c r="H1599" s="64"/>
      <c r="I1599" s="64">
        <f>ventas_b_mes684[[#This Row],[IMPORTE NETO]]*0.21</f>
        <v>0</v>
      </c>
      <c r="J1599" s="64"/>
      <c r="K1599" s="64"/>
      <c r="L1599" s="64">
        <f>SUM(ventas_b_mes684[[#This Row],[IMPORTE NETO]:[EXENTO]])</f>
        <v>0</v>
      </c>
      <c r="M1599" s="59"/>
    </row>
    <row r="1600" spans="2:13" x14ac:dyDescent="0.25">
      <c r="B1600" s="40"/>
      <c r="C1600" s="41"/>
      <c r="D1600" s="42"/>
      <c r="E1600" s="43"/>
      <c r="F1600" s="44"/>
      <c r="G1600" s="1" t="str">
        <f>IFERROR(IF(ventas_b_mes684[[#This Row],[CUIT]]="","-",VLOOKUP(ventas_b_mes684[[#This Row],[CUIT]],Lista_CUIT[#All],2,0)),"CUIT NO CARGADO")</f>
        <v>-</v>
      </c>
      <c r="H1600" s="64"/>
      <c r="I1600" s="64">
        <f>ventas_b_mes684[[#This Row],[IMPORTE NETO]]*0.21</f>
        <v>0</v>
      </c>
      <c r="J1600" s="64"/>
      <c r="K1600" s="64"/>
      <c r="L1600" s="64">
        <f>SUM(ventas_b_mes684[[#This Row],[IMPORTE NETO]:[EXENTO]])</f>
        <v>0</v>
      </c>
      <c r="M1600" s="59"/>
    </row>
    <row r="1601" spans="2:13" x14ac:dyDescent="0.25">
      <c r="B1601" s="40"/>
      <c r="C1601" s="41"/>
      <c r="D1601" s="42"/>
      <c r="E1601" s="43"/>
      <c r="F1601" s="44"/>
      <c r="G1601" s="1" t="str">
        <f>IFERROR(IF(ventas_b_mes684[[#This Row],[CUIT]]="","-",VLOOKUP(ventas_b_mes684[[#This Row],[CUIT]],Lista_CUIT[#All],2,0)),"CUIT NO CARGADO")</f>
        <v>-</v>
      </c>
      <c r="H1601" s="64"/>
      <c r="I1601" s="64">
        <f>ventas_b_mes684[[#This Row],[IMPORTE NETO]]*0.21</f>
        <v>0</v>
      </c>
      <c r="J1601" s="64"/>
      <c r="K1601" s="64"/>
      <c r="L1601" s="64">
        <f>SUM(ventas_b_mes684[[#This Row],[IMPORTE NETO]:[EXENTO]])</f>
        <v>0</v>
      </c>
      <c r="M1601" s="59"/>
    </row>
    <row r="1602" spans="2:13" x14ac:dyDescent="0.25">
      <c r="B1602" s="40"/>
      <c r="C1602" s="41"/>
      <c r="D1602" s="42"/>
      <c r="E1602" s="43"/>
      <c r="F1602" s="44"/>
      <c r="G1602" s="1" t="str">
        <f>IFERROR(IF(ventas_b_mes684[[#This Row],[CUIT]]="","-",VLOOKUP(ventas_b_mes684[[#This Row],[CUIT]],Lista_CUIT[#All],2,0)),"CUIT NO CARGADO")</f>
        <v>-</v>
      </c>
      <c r="H1602" s="64"/>
      <c r="I1602" s="64">
        <f>ventas_b_mes684[[#This Row],[IMPORTE NETO]]*0.21</f>
        <v>0</v>
      </c>
      <c r="J1602" s="64"/>
      <c r="K1602" s="64"/>
      <c r="L1602" s="64">
        <f>SUM(ventas_b_mes684[[#This Row],[IMPORTE NETO]:[EXENTO]])</f>
        <v>0</v>
      </c>
      <c r="M1602" s="59"/>
    </row>
    <row r="1603" spans="2:13" x14ac:dyDescent="0.25">
      <c r="B1603" s="40"/>
      <c r="C1603" s="41"/>
      <c r="D1603" s="42"/>
      <c r="E1603" s="43"/>
      <c r="F1603" s="44"/>
      <c r="G1603" s="1" t="str">
        <f>IFERROR(IF(ventas_b_mes684[[#This Row],[CUIT]]="","-",VLOOKUP(ventas_b_mes684[[#This Row],[CUIT]],Lista_CUIT[#All],2,0)),"CUIT NO CARGADO")</f>
        <v>-</v>
      </c>
      <c r="H1603" s="64"/>
      <c r="I1603" s="64">
        <f>ventas_b_mes684[[#This Row],[IMPORTE NETO]]*0.21</f>
        <v>0</v>
      </c>
      <c r="J1603" s="64"/>
      <c r="K1603" s="64"/>
      <c r="L1603" s="64">
        <f>SUM(ventas_b_mes684[[#This Row],[IMPORTE NETO]:[EXENTO]])</f>
        <v>0</v>
      </c>
      <c r="M1603" s="59"/>
    </row>
    <row r="1604" spans="2:13" x14ac:dyDescent="0.25">
      <c r="B1604" s="40"/>
      <c r="C1604" s="41"/>
      <c r="D1604" s="42"/>
      <c r="E1604" s="43"/>
      <c r="F1604" s="44"/>
      <c r="G1604" s="1" t="str">
        <f>IFERROR(IF(ventas_b_mes684[[#This Row],[CUIT]]="","-",VLOOKUP(ventas_b_mes684[[#This Row],[CUIT]],Lista_CUIT[#All],2,0)),"CUIT NO CARGADO")</f>
        <v>-</v>
      </c>
      <c r="H1604" s="64"/>
      <c r="I1604" s="64">
        <f>ventas_b_mes684[[#This Row],[IMPORTE NETO]]*0.21</f>
        <v>0</v>
      </c>
      <c r="J1604" s="64"/>
      <c r="K1604" s="64"/>
      <c r="L1604" s="64">
        <f>SUM(ventas_b_mes684[[#This Row],[IMPORTE NETO]:[EXENTO]])</f>
        <v>0</v>
      </c>
      <c r="M1604" s="59"/>
    </row>
    <row r="1605" spans="2:13" x14ac:dyDescent="0.25">
      <c r="B1605" s="40"/>
      <c r="C1605" s="41"/>
      <c r="D1605" s="42"/>
      <c r="E1605" s="43"/>
      <c r="F1605" s="44"/>
      <c r="G1605" s="1" t="str">
        <f>IFERROR(IF(ventas_b_mes684[[#This Row],[CUIT]]="","-",VLOOKUP(ventas_b_mes684[[#This Row],[CUIT]],Lista_CUIT[#All],2,0)),"CUIT NO CARGADO")</f>
        <v>-</v>
      </c>
      <c r="H1605" s="64"/>
      <c r="I1605" s="64">
        <f>ventas_b_mes684[[#This Row],[IMPORTE NETO]]*0.21</f>
        <v>0</v>
      </c>
      <c r="J1605" s="64"/>
      <c r="K1605" s="64"/>
      <c r="L1605" s="64">
        <f>SUM(ventas_b_mes684[[#This Row],[IMPORTE NETO]:[EXENTO]])</f>
        <v>0</v>
      </c>
      <c r="M1605" s="59"/>
    </row>
    <row r="1606" spans="2:13" x14ac:dyDescent="0.25">
      <c r="B1606" s="40"/>
      <c r="C1606" s="41"/>
      <c r="D1606" s="42"/>
      <c r="E1606" s="43"/>
      <c r="F1606" s="44"/>
      <c r="G1606" s="1" t="str">
        <f>IFERROR(IF(ventas_b_mes684[[#This Row],[CUIT]]="","-",VLOOKUP(ventas_b_mes684[[#This Row],[CUIT]],Lista_CUIT[#All],2,0)),"CUIT NO CARGADO")</f>
        <v>-</v>
      </c>
      <c r="H1606" s="64"/>
      <c r="I1606" s="64">
        <f>ventas_b_mes684[[#This Row],[IMPORTE NETO]]*0.21</f>
        <v>0</v>
      </c>
      <c r="J1606" s="64"/>
      <c r="K1606" s="64"/>
      <c r="L1606" s="64">
        <f>SUM(ventas_b_mes684[[#This Row],[IMPORTE NETO]:[EXENTO]])</f>
        <v>0</v>
      </c>
      <c r="M1606" s="59"/>
    </row>
    <row r="1607" spans="2:13" x14ac:dyDescent="0.25">
      <c r="B1607" s="40"/>
      <c r="C1607" s="41"/>
      <c r="D1607" s="42"/>
      <c r="E1607" s="43"/>
      <c r="F1607" s="44"/>
      <c r="G1607" s="1" t="str">
        <f>IFERROR(IF(ventas_b_mes684[[#This Row],[CUIT]]="","-",VLOOKUP(ventas_b_mes684[[#This Row],[CUIT]],Lista_CUIT[#All],2,0)),"CUIT NO CARGADO")</f>
        <v>-</v>
      </c>
      <c r="H1607" s="64"/>
      <c r="I1607" s="64">
        <f>ventas_b_mes684[[#This Row],[IMPORTE NETO]]*0.21</f>
        <v>0</v>
      </c>
      <c r="J1607" s="64"/>
      <c r="K1607" s="64"/>
      <c r="L1607" s="64">
        <f>SUM(ventas_b_mes684[[#This Row],[IMPORTE NETO]:[EXENTO]])</f>
        <v>0</v>
      </c>
      <c r="M1607" s="59"/>
    </row>
    <row r="1608" spans="2:13" x14ac:dyDescent="0.25">
      <c r="B1608" s="40"/>
      <c r="C1608" s="41"/>
      <c r="D1608" s="42"/>
      <c r="E1608" s="43"/>
      <c r="F1608" s="44"/>
      <c r="G1608" s="1" t="str">
        <f>IFERROR(IF(ventas_b_mes684[[#This Row],[CUIT]]="","-",VLOOKUP(ventas_b_mes684[[#This Row],[CUIT]],Lista_CUIT[#All],2,0)),"CUIT NO CARGADO")</f>
        <v>-</v>
      </c>
      <c r="H1608" s="64"/>
      <c r="I1608" s="64">
        <f>ventas_b_mes684[[#This Row],[IMPORTE NETO]]*0.21</f>
        <v>0</v>
      </c>
      <c r="J1608" s="64"/>
      <c r="K1608" s="64"/>
      <c r="L1608" s="64">
        <f>SUM(ventas_b_mes684[[#This Row],[IMPORTE NETO]:[EXENTO]])</f>
        <v>0</v>
      </c>
      <c r="M1608" s="59"/>
    </row>
    <row r="1609" spans="2:13" x14ac:dyDescent="0.25">
      <c r="B1609" s="40"/>
      <c r="C1609" s="41"/>
      <c r="D1609" s="42"/>
      <c r="E1609" s="43"/>
      <c r="F1609" s="44"/>
      <c r="G1609" s="1" t="str">
        <f>IFERROR(IF(ventas_b_mes684[[#This Row],[CUIT]]="","-",VLOOKUP(ventas_b_mes684[[#This Row],[CUIT]],Lista_CUIT[#All],2,0)),"CUIT NO CARGADO")</f>
        <v>-</v>
      </c>
      <c r="H1609" s="64"/>
      <c r="I1609" s="64">
        <f>ventas_b_mes684[[#This Row],[IMPORTE NETO]]*0.21</f>
        <v>0</v>
      </c>
      <c r="J1609" s="64"/>
      <c r="K1609" s="64"/>
      <c r="L1609" s="64">
        <f>SUM(ventas_b_mes684[[#This Row],[IMPORTE NETO]:[EXENTO]])</f>
        <v>0</v>
      </c>
      <c r="M1609" s="59"/>
    </row>
    <row r="1610" spans="2:13" x14ac:dyDescent="0.25">
      <c r="B1610" s="40"/>
      <c r="C1610" s="41"/>
      <c r="D1610" s="42"/>
      <c r="E1610" s="43"/>
      <c r="F1610" s="44"/>
      <c r="G1610" s="1" t="str">
        <f>IFERROR(IF(ventas_b_mes684[[#This Row],[CUIT]]="","-",VLOOKUP(ventas_b_mes684[[#This Row],[CUIT]],Lista_CUIT[#All],2,0)),"CUIT NO CARGADO")</f>
        <v>-</v>
      </c>
      <c r="H1610" s="64"/>
      <c r="I1610" s="64">
        <f>ventas_b_mes684[[#This Row],[IMPORTE NETO]]*0.21</f>
        <v>0</v>
      </c>
      <c r="J1610" s="64"/>
      <c r="K1610" s="64"/>
      <c r="L1610" s="64">
        <f>SUM(ventas_b_mes684[[#This Row],[IMPORTE NETO]:[EXENTO]])</f>
        <v>0</v>
      </c>
      <c r="M1610" s="59"/>
    </row>
    <row r="1611" spans="2:13" x14ac:dyDescent="0.25">
      <c r="B1611" s="40"/>
      <c r="C1611" s="41"/>
      <c r="D1611" s="42"/>
      <c r="E1611" s="43"/>
      <c r="F1611" s="44"/>
      <c r="G1611" s="1" t="str">
        <f>IFERROR(IF(ventas_b_mes684[[#This Row],[CUIT]]="","-",VLOOKUP(ventas_b_mes684[[#This Row],[CUIT]],Lista_CUIT[#All],2,0)),"CUIT NO CARGADO")</f>
        <v>-</v>
      </c>
      <c r="H1611" s="64"/>
      <c r="I1611" s="64">
        <f>ventas_b_mes684[[#This Row],[IMPORTE NETO]]*0.21</f>
        <v>0</v>
      </c>
      <c r="J1611" s="64"/>
      <c r="K1611" s="64"/>
      <c r="L1611" s="64">
        <f>SUM(ventas_b_mes684[[#This Row],[IMPORTE NETO]:[EXENTO]])</f>
        <v>0</v>
      </c>
      <c r="M1611" s="59"/>
    </row>
    <row r="1612" spans="2:13" x14ac:dyDescent="0.25">
      <c r="B1612" s="40"/>
      <c r="C1612" s="41"/>
      <c r="D1612" s="42"/>
      <c r="E1612" s="43"/>
      <c r="F1612" s="44"/>
      <c r="G1612" s="1" t="str">
        <f>IFERROR(IF(ventas_b_mes684[[#This Row],[CUIT]]="","-",VLOOKUP(ventas_b_mes684[[#This Row],[CUIT]],Lista_CUIT[#All],2,0)),"CUIT NO CARGADO")</f>
        <v>-</v>
      </c>
      <c r="H1612" s="64"/>
      <c r="I1612" s="64">
        <f>ventas_b_mes684[[#This Row],[IMPORTE NETO]]*0.21</f>
        <v>0</v>
      </c>
      <c r="J1612" s="64"/>
      <c r="K1612" s="64"/>
      <c r="L1612" s="64">
        <f>SUM(ventas_b_mes684[[#This Row],[IMPORTE NETO]:[EXENTO]])</f>
        <v>0</v>
      </c>
      <c r="M1612" s="59"/>
    </row>
    <row r="1613" spans="2:13" x14ac:dyDescent="0.25">
      <c r="B1613" s="40"/>
      <c r="C1613" s="41"/>
      <c r="D1613" s="42"/>
      <c r="E1613" s="43"/>
      <c r="F1613" s="44"/>
      <c r="G1613" s="1" t="str">
        <f>IFERROR(IF(ventas_b_mes684[[#This Row],[CUIT]]="","-",VLOOKUP(ventas_b_mes684[[#This Row],[CUIT]],Lista_CUIT[#All],2,0)),"CUIT NO CARGADO")</f>
        <v>-</v>
      </c>
      <c r="H1613" s="64"/>
      <c r="I1613" s="64">
        <f>ventas_b_mes684[[#This Row],[IMPORTE NETO]]*0.21</f>
        <v>0</v>
      </c>
      <c r="J1613" s="64"/>
      <c r="K1613" s="64"/>
      <c r="L1613" s="64">
        <f>SUM(ventas_b_mes684[[#This Row],[IMPORTE NETO]:[EXENTO]])</f>
        <v>0</v>
      </c>
      <c r="M1613" s="59"/>
    </row>
    <row r="1614" spans="2:13" x14ac:dyDescent="0.25">
      <c r="B1614" s="40"/>
      <c r="C1614" s="41"/>
      <c r="D1614" s="42"/>
      <c r="E1614" s="43"/>
      <c r="F1614" s="44"/>
      <c r="G1614" s="1" t="str">
        <f>IFERROR(IF(ventas_b_mes684[[#This Row],[CUIT]]="","-",VLOOKUP(ventas_b_mes684[[#This Row],[CUIT]],Lista_CUIT[#All],2,0)),"CUIT NO CARGADO")</f>
        <v>-</v>
      </c>
      <c r="H1614" s="64"/>
      <c r="I1614" s="64">
        <f>ventas_b_mes684[[#This Row],[IMPORTE NETO]]*0.21</f>
        <v>0</v>
      </c>
      <c r="J1614" s="64"/>
      <c r="K1614" s="64"/>
      <c r="L1614" s="64">
        <f>SUM(ventas_b_mes684[[#This Row],[IMPORTE NETO]:[EXENTO]])</f>
        <v>0</v>
      </c>
      <c r="M1614" s="59"/>
    </row>
    <row r="1615" spans="2:13" x14ac:dyDescent="0.25">
      <c r="B1615" s="40"/>
      <c r="C1615" s="41"/>
      <c r="D1615" s="42"/>
      <c r="E1615" s="43"/>
      <c r="F1615" s="44"/>
      <c r="G1615" s="1" t="str">
        <f>IFERROR(IF(ventas_b_mes684[[#This Row],[CUIT]]="","-",VLOOKUP(ventas_b_mes684[[#This Row],[CUIT]],Lista_CUIT[#All],2,0)),"CUIT NO CARGADO")</f>
        <v>-</v>
      </c>
      <c r="H1615" s="64"/>
      <c r="I1615" s="64">
        <f>ventas_b_mes684[[#This Row],[IMPORTE NETO]]*0.21</f>
        <v>0</v>
      </c>
      <c r="J1615" s="64"/>
      <c r="K1615" s="64"/>
      <c r="L1615" s="64">
        <f>SUM(ventas_b_mes684[[#This Row],[IMPORTE NETO]:[EXENTO]])</f>
        <v>0</v>
      </c>
      <c r="M1615" s="59"/>
    </row>
    <row r="1616" spans="2:13" x14ac:dyDescent="0.25">
      <c r="B1616" s="40"/>
      <c r="C1616" s="41"/>
      <c r="D1616" s="42"/>
      <c r="E1616" s="43"/>
      <c r="F1616" s="44"/>
      <c r="G1616" s="1" t="str">
        <f>IFERROR(IF(ventas_b_mes684[[#This Row],[CUIT]]="","-",VLOOKUP(ventas_b_mes684[[#This Row],[CUIT]],Lista_CUIT[#All],2,0)),"CUIT NO CARGADO")</f>
        <v>-</v>
      </c>
      <c r="H1616" s="64"/>
      <c r="I1616" s="64">
        <f>ventas_b_mes684[[#This Row],[IMPORTE NETO]]*0.21</f>
        <v>0</v>
      </c>
      <c r="J1616" s="64"/>
      <c r="K1616" s="64"/>
      <c r="L1616" s="64">
        <f>SUM(ventas_b_mes684[[#This Row],[IMPORTE NETO]:[EXENTO]])</f>
        <v>0</v>
      </c>
      <c r="M1616" s="59"/>
    </row>
    <row r="1617" spans="2:13" x14ac:dyDescent="0.25">
      <c r="B1617" s="40"/>
      <c r="C1617" s="41"/>
      <c r="D1617" s="42"/>
      <c r="E1617" s="43"/>
      <c r="F1617" s="44"/>
      <c r="G1617" s="1" t="str">
        <f>IFERROR(IF(ventas_b_mes684[[#This Row],[CUIT]]="","-",VLOOKUP(ventas_b_mes684[[#This Row],[CUIT]],Lista_CUIT[#All],2,0)),"CUIT NO CARGADO")</f>
        <v>-</v>
      </c>
      <c r="H1617" s="64"/>
      <c r="I1617" s="64">
        <f>ventas_b_mes684[[#This Row],[IMPORTE NETO]]*0.21</f>
        <v>0</v>
      </c>
      <c r="J1617" s="64"/>
      <c r="K1617" s="64"/>
      <c r="L1617" s="64">
        <f>SUM(ventas_b_mes684[[#This Row],[IMPORTE NETO]:[EXENTO]])</f>
        <v>0</v>
      </c>
      <c r="M1617" s="59"/>
    </row>
    <row r="1618" spans="2:13" x14ac:dyDescent="0.25">
      <c r="B1618" s="40"/>
      <c r="C1618" s="41"/>
      <c r="D1618" s="42"/>
      <c r="E1618" s="43"/>
      <c r="F1618" s="44"/>
      <c r="G1618" s="1" t="str">
        <f>IFERROR(IF(ventas_b_mes684[[#This Row],[CUIT]]="","-",VLOOKUP(ventas_b_mes684[[#This Row],[CUIT]],Lista_CUIT[#All],2,0)),"CUIT NO CARGADO")</f>
        <v>-</v>
      </c>
      <c r="H1618" s="64"/>
      <c r="I1618" s="64">
        <f>ventas_b_mes684[[#This Row],[IMPORTE NETO]]*0.21</f>
        <v>0</v>
      </c>
      <c r="J1618" s="64"/>
      <c r="K1618" s="64"/>
      <c r="L1618" s="64">
        <f>SUM(ventas_b_mes684[[#This Row],[IMPORTE NETO]:[EXENTO]])</f>
        <v>0</v>
      </c>
      <c r="M1618" s="59"/>
    </row>
    <row r="1619" spans="2:13" x14ac:dyDescent="0.25">
      <c r="B1619" s="40"/>
      <c r="C1619" s="41"/>
      <c r="D1619" s="42"/>
      <c r="E1619" s="43"/>
      <c r="F1619" s="44"/>
      <c r="G1619" s="1" t="str">
        <f>IFERROR(IF(ventas_b_mes684[[#This Row],[CUIT]]="","-",VLOOKUP(ventas_b_mes684[[#This Row],[CUIT]],Lista_CUIT[#All],2,0)),"CUIT NO CARGADO")</f>
        <v>-</v>
      </c>
      <c r="H1619" s="64"/>
      <c r="I1619" s="64">
        <f>ventas_b_mes684[[#This Row],[IMPORTE NETO]]*0.21</f>
        <v>0</v>
      </c>
      <c r="J1619" s="64"/>
      <c r="K1619" s="64"/>
      <c r="L1619" s="64">
        <f>SUM(ventas_b_mes684[[#This Row],[IMPORTE NETO]:[EXENTO]])</f>
        <v>0</v>
      </c>
      <c r="M1619" s="59"/>
    </row>
    <row r="1620" spans="2:13" x14ac:dyDescent="0.25">
      <c r="B1620" s="40"/>
      <c r="C1620" s="41"/>
      <c r="D1620" s="42"/>
      <c r="E1620" s="43"/>
      <c r="F1620" s="44"/>
      <c r="G1620" s="1" t="str">
        <f>IFERROR(IF(ventas_b_mes684[[#This Row],[CUIT]]="","-",VLOOKUP(ventas_b_mes684[[#This Row],[CUIT]],Lista_CUIT[#All],2,0)),"CUIT NO CARGADO")</f>
        <v>-</v>
      </c>
      <c r="H1620" s="64"/>
      <c r="I1620" s="64">
        <f>ventas_b_mes684[[#This Row],[IMPORTE NETO]]*0.21</f>
        <v>0</v>
      </c>
      <c r="J1620" s="64"/>
      <c r="K1620" s="64"/>
      <c r="L1620" s="64">
        <f>SUM(ventas_b_mes684[[#This Row],[IMPORTE NETO]:[EXENTO]])</f>
        <v>0</v>
      </c>
      <c r="M1620" s="59"/>
    </row>
    <row r="1621" spans="2:13" x14ac:dyDescent="0.25">
      <c r="B1621" s="40"/>
      <c r="C1621" s="41"/>
      <c r="D1621" s="42"/>
      <c r="E1621" s="43"/>
      <c r="F1621" s="44"/>
      <c r="G1621" s="1" t="str">
        <f>IFERROR(IF(ventas_b_mes684[[#This Row],[CUIT]]="","-",VLOOKUP(ventas_b_mes684[[#This Row],[CUIT]],Lista_CUIT[#All],2,0)),"CUIT NO CARGADO")</f>
        <v>-</v>
      </c>
      <c r="H1621" s="64"/>
      <c r="I1621" s="64">
        <f>ventas_b_mes684[[#This Row],[IMPORTE NETO]]*0.21</f>
        <v>0</v>
      </c>
      <c r="J1621" s="64"/>
      <c r="K1621" s="64"/>
      <c r="L1621" s="64">
        <f>SUM(ventas_b_mes684[[#This Row],[IMPORTE NETO]:[EXENTO]])</f>
        <v>0</v>
      </c>
      <c r="M1621" s="59"/>
    </row>
    <row r="1622" spans="2:13" x14ac:dyDescent="0.25">
      <c r="B1622" s="40"/>
      <c r="C1622" s="41"/>
      <c r="D1622" s="42"/>
      <c r="E1622" s="43"/>
      <c r="F1622" s="44"/>
      <c r="G1622" s="1" t="str">
        <f>IFERROR(IF(ventas_b_mes684[[#This Row],[CUIT]]="","-",VLOOKUP(ventas_b_mes684[[#This Row],[CUIT]],Lista_CUIT[#All],2,0)),"CUIT NO CARGADO")</f>
        <v>-</v>
      </c>
      <c r="H1622" s="64"/>
      <c r="I1622" s="64">
        <f>ventas_b_mes684[[#This Row],[IMPORTE NETO]]*0.21</f>
        <v>0</v>
      </c>
      <c r="J1622" s="64"/>
      <c r="K1622" s="64"/>
      <c r="L1622" s="64">
        <f>SUM(ventas_b_mes684[[#This Row],[IMPORTE NETO]:[EXENTO]])</f>
        <v>0</v>
      </c>
      <c r="M1622" s="59"/>
    </row>
    <row r="1623" spans="2:13" x14ac:dyDescent="0.25">
      <c r="B1623" s="40"/>
      <c r="C1623" s="41"/>
      <c r="D1623" s="42"/>
      <c r="E1623" s="43"/>
      <c r="F1623" s="44"/>
      <c r="G1623" s="1" t="str">
        <f>IFERROR(IF(ventas_b_mes684[[#This Row],[CUIT]]="","-",VLOOKUP(ventas_b_mes684[[#This Row],[CUIT]],Lista_CUIT[#All],2,0)),"CUIT NO CARGADO")</f>
        <v>-</v>
      </c>
      <c r="H1623" s="64"/>
      <c r="I1623" s="64">
        <f>ventas_b_mes684[[#This Row],[IMPORTE NETO]]*0.21</f>
        <v>0</v>
      </c>
      <c r="J1623" s="64"/>
      <c r="K1623" s="64"/>
      <c r="L1623" s="64">
        <f>SUM(ventas_b_mes684[[#This Row],[IMPORTE NETO]:[EXENTO]])</f>
        <v>0</v>
      </c>
      <c r="M1623" s="59"/>
    </row>
    <row r="1624" spans="2:13" x14ac:dyDescent="0.25">
      <c r="B1624" s="40"/>
      <c r="C1624" s="41"/>
      <c r="D1624" s="42"/>
      <c r="E1624" s="43"/>
      <c r="F1624" s="44"/>
      <c r="G1624" s="1" t="str">
        <f>IFERROR(IF(ventas_b_mes684[[#This Row],[CUIT]]="","-",VLOOKUP(ventas_b_mes684[[#This Row],[CUIT]],Lista_CUIT[#All],2,0)),"CUIT NO CARGADO")</f>
        <v>-</v>
      </c>
      <c r="H1624" s="64"/>
      <c r="I1624" s="64">
        <f>ventas_b_mes684[[#This Row],[IMPORTE NETO]]*0.21</f>
        <v>0</v>
      </c>
      <c r="J1624" s="64"/>
      <c r="K1624" s="64"/>
      <c r="L1624" s="64">
        <f>SUM(ventas_b_mes684[[#This Row],[IMPORTE NETO]:[EXENTO]])</f>
        <v>0</v>
      </c>
      <c r="M1624" s="59"/>
    </row>
    <row r="1625" spans="2:13" x14ac:dyDescent="0.25">
      <c r="B1625" s="40"/>
      <c r="C1625" s="41"/>
      <c r="D1625" s="42"/>
      <c r="E1625" s="43"/>
      <c r="F1625" s="44"/>
      <c r="G1625" s="1" t="str">
        <f>IFERROR(IF(ventas_b_mes684[[#This Row],[CUIT]]="","-",VLOOKUP(ventas_b_mes684[[#This Row],[CUIT]],Lista_CUIT[#All],2,0)),"CUIT NO CARGADO")</f>
        <v>-</v>
      </c>
      <c r="H1625" s="64"/>
      <c r="I1625" s="64">
        <f>ventas_b_mes684[[#This Row],[IMPORTE NETO]]*0.21</f>
        <v>0</v>
      </c>
      <c r="J1625" s="64"/>
      <c r="K1625" s="64"/>
      <c r="L1625" s="64">
        <f>SUM(ventas_b_mes684[[#This Row],[IMPORTE NETO]:[EXENTO]])</f>
        <v>0</v>
      </c>
      <c r="M1625" s="59"/>
    </row>
    <row r="1626" spans="2:13" x14ac:dyDescent="0.25">
      <c r="B1626" s="40"/>
      <c r="C1626" s="41"/>
      <c r="D1626" s="42"/>
      <c r="E1626" s="43"/>
      <c r="F1626" s="44"/>
      <c r="G1626" s="1" t="str">
        <f>IFERROR(IF(ventas_b_mes684[[#This Row],[CUIT]]="","-",VLOOKUP(ventas_b_mes684[[#This Row],[CUIT]],Lista_CUIT[#All],2,0)),"CUIT NO CARGADO")</f>
        <v>-</v>
      </c>
      <c r="H1626" s="64"/>
      <c r="I1626" s="64">
        <f>ventas_b_mes684[[#This Row],[IMPORTE NETO]]*0.21</f>
        <v>0</v>
      </c>
      <c r="J1626" s="64"/>
      <c r="K1626" s="64"/>
      <c r="L1626" s="64">
        <f>SUM(ventas_b_mes684[[#This Row],[IMPORTE NETO]:[EXENTO]])</f>
        <v>0</v>
      </c>
      <c r="M1626" s="59"/>
    </row>
    <row r="1627" spans="2:13" x14ac:dyDescent="0.25">
      <c r="B1627" s="40"/>
      <c r="C1627" s="41"/>
      <c r="D1627" s="42"/>
      <c r="E1627" s="43"/>
      <c r="F1627" s="44"/>
      <c r="G1627" s="1" t="str">
        <f>IFERROR(IF(ventas_b_mes684[[#This Row],[CUIT]]="","-",VLOOKUP(ventas_b_mes684[[#This Row],[CUIT]],Lista_CUIT[#All],2,0)),"CUIT NO CARGADO")</f>
        <v>-</v>
      </c>
      <c r="H1627" s="64"/>
      <c r="I1627" s="64">
        <f>ventas_b_mes684[[#This Row],[IMPORTE NETO]]*0.21</f>
        <v>0</v>
      </c>
      <c r="J1627" s="64"/>
      <c r="K1627" s="64"/>
      <c r="L1627" s="64">
        <f>SUM(ventas_b_mes684[[#This Row],[IMPORTE NETO]:[EXENTO]])</f>
        <v>0</v>
      </c>
      <c r="M1627" s="59"/>
    </row>
    <row r="1628" spans="2:13" x14ac:dyDescent="0.25">
      <c r="B1628" s="40"/>
      <c r="C1628" s="41"/>
      <c r="D1628" s="42"/>
      <c r="E1628" s="43"/>
      <c r="F1628" s="44"/>
      <c r="G1628" s="1" t="str">
        <f>IFERROR(IF(ventas_b_mes684[[#This Row],[CUIT]]="","-",VLOOKUP(ventas_b_mes684[[#This Row],[CUIT]],Lista_CUIT[#All],2,0)),"CUIT NO CARGADO")</f>
        <v>-</v>
      </c>
      <c r="H1628" s="64"/>
      <c r="I1628" s="64">
        <f>ventas_b_mes684[[#This Row],[IMPORTE NETO]]*0.21</f>
        <v>0</v>
      </c>
      <c r="J1628" s="64"/>
      <c r="K1628" s="64"/>
      <c r="L1628" s="64">
        <f>SUM(ventas_b_mes684[[#This Row],[IMPORTE NETO]:[EXENTO]])</f>
        <v>0</v>
      </c>
      <c r="M1628" s="59"/>
    </row>
    <row r="1629" spans="2:13" x14ac:dyDescent="0.25">
      <c r="B1629" s="40"/>
      <c r="C1629" s="41"/>
      <c r="D1629" s="42"/>
      <c r="E1629" s="43"/>
      <c r="F1629" s="44"/>
      <c r="G1629" s="1" t="str">
        <f>IFERROR(IF(ventas_b_mes684[[#This Row],[CUIT]]="","-",VLOOKUP(ventas_b_mes684[[#This Row],[CUIT]],Lista_CUIT[#All],2,0)),"CUIT NO CARGADO")</f>
        <v>-</v>
      </c>
      <c r="H1629" s="64"/>
      <c r="I1629" s="64">
        <f>ventas_b_mes684[[#This Row],[IMPORTE NETO]]*0.21</f>
        <v>0</v>
      </c>
      <c r="J1629" s="64"/>
      <c r="K1629" s="64"/>
      <c r="L1629" s="64">
        <f>SUM(ventas_b_mes684[[#This Row],[IMPORTE NETO]:[EXENTO]])</f>
        <v>0</v>
      </c>
      <c r="M1629" s="59"/>
    </row>
    <row r="1630" spans="2:13" x14ac:dyDescent="0.25">
      <c r="B1630" s="40"/>
      <c r="C1630" s="41"/>
      <c r="D1630" s="42"/>
      <c r="E1630" s="43"/>
      <c r="F1630" s="44"/>
      <c r="G1630" s="1" t="str">
        <f>IFERROR(IF(ventas_b_mes684[[#This Row],[CUIT]]="","-",VLOOKUP(ventas_b_mes684[[#This Row],[CUIT]],Lista_CUIT[#All],2,0)),"CUIT NO CARGADO")</f>
        <v>-</v>
      </c>
      <c r="H1630" s="64"/>
      <c r="I1630" s="64">
        <f>ventas_b_mes684[[#This Row],[IMPORTE NETO]]*0.21</f>
        <v>0</v>
      </c>
      <c r="J1630" s="64"/>
      <c r="K1630" s="64"/>
      <c r="L1630" s="64">
        <f>SUM(ventas_b_mes684[[#This Row],[IMPORTE NETO]:[EXENTO]])</f>
        <v>0</v>
      </c>
      <c r="M1630" s="59"/>
    </row>
    <row r="1631" spans="2:13" x14ac:dyDescent="0.25">
      <c r="B1631" s="40"/>
      <c r="C1631" s="41"/>
      <c r="D1631" s="42"/>
      <c r="E1631" s="43"/>
      <c r="F1631" s="44"/>
      <c r="G1631" s="1" t="str">
        <f>IFERROR(IF(ventas_b_mes684[[#This Row],[CUIT]]="","-",VLOOKUP(ventas_b_mes684[[#This Row],[CUIT]],Lista_CUIT[#All],2,0)),"CUIT NO CARGADO")</f>
        <v>-</v>
      </c>
      <c r="H1631" s="64"/>
      <c r="I1631" s="64">
        <f>ventas_b_mes684[[#This Row],[IMPORTE NETO]]*0.21</f>
        <v>0</v>
      </c>
      <c r="J1631" s="64"/>
      <c r="K1631" s="64"/>
      <c r="L1631" s="64">
        <f>SUM(ventas_b_mes684[[#This Row],[IMPORTE NETO]:[EXENTO]])</f>
        <v>0</v>
      </c>
      <c r="M1631" s="59"/>
    </row>
    <row r="1632" spans="2:13" x14ac:dyDescent="0.25">
      <c r="B1632" s="40"/>
      <c r="C1632" s="41"/>
      <c r="D1632" s="42"/>
      <c r="E1632" s="43"/>
      <c r="F1632" s="44"/>
      <c r="G1632" s="1" t="str">
        <f>IFERROR(IF(ventas_b_mes684[[#This Row],[CUIT]]="","-",VLOOKUP(ventas_b_mes684[[#This Row],[CUIT]],Lista_CUIT[#All],2,0)),"CUIT NO CARGADO")</f>
        <v>-</v>
      </c>
      <c r="H1632" s="64"/>
      <c r="I1632" s="64">
        <f>ventas_b_mes684[[#This Row],[IMPORTE NETO]]*0.21</f>
        <v>0</v>
      </c>
      <c r="J1632" s="64"/>
      <c r="K1632" s="64"/>
      <c r="L1632" s="64">
        <f>SUM(ventas_b_mes684[[#This Row],[IMPORTE NETO]:[EXENTO]])</f>
        <v>0</v>
      </c>
      <c r="M1632" s="59"/>
    </row>
    <row r="1633" spans="2:13" x14ac:dyDescent="0.25">
      <c r="B1633" s="40"/>
      <c r="C1633" s="41"/>
      <c r="D1633" s="42"/>
      <c r="E1633" s="43"/>
      <c r="F1633" s="44"/>
      <c r="G1633" s="1" t="str">
        <f>IFERROR(IF(ventas_b_mes684[[#This Row],[CUIT]]="","-",VLOOKUP(ventas_b_mes684[[#This Row],[CUIT]],Lista_CUIT[#All],2,0)),"CUIT NO CARGADO")</f>
        <v>-</v>
      </c>
      <c r="H1633" s="64"/>
      <c r="I1633" s="64">
        <f>ventas_b_mes684[[#This Row],[IMPORTE NETO]]*0.21</f>
        <v>0</v>
      </c>
      <c r="J1633" s="64"/>
      <c r="K1633" s="64"/>
      <c r="L1633" s="64">
        <f>SUM(ventas_b_mes684[[#This Row],[IMPORTE NETO]:[EXENTO]])</f>
        <v>0</v>
      </c>
      <c r="M1633" s="59"/>
    </row>
    <row r="1634" spans="2:13" x14ac:dyDescent="0.25">
      <c r="B1634" s="40"/>
      <c r="C1634" s="41"/>
      <c r="D1634" s="42"/>
      <c r="E1634" s="43"/>
      <c r="F1634" s="44"/>
      <c r="G1634" s="1" t="str">
        <f>IFERROR(IF(ventas_b_mes684[[#This Row],[CUIT]]="","-",VLOOKUP(ventas_b_mes684[[#This Row],[CUIT]],Lista_CUIT[#All],2,0)),"CUIT NO CARGADO")</f>
        <v>-</v>
      </c>
      <c r="H1634" s="64"/>
      <c r="I1634" s="64">
        <f>ventas_b_mes684[[#This Row],[IMPORTE NETO]]*0.21</f>
        <v>0</v>
      </c>
      <c r="J1634" s="64"/>
      <c r="K1634" s="64"/>
      <c r="L1634" s="64">
        <f>SUM(ventas_b_mes684[[#This Row],[IMPORTE NETO]:[EXENTO]])</f>
        <v>0</v>
      </c>
      <c r="M1634" s="59"/>
    </row>
    <row r="1635" spans="2:13" x14ac:dyDescent="0.25">
      <c r="B1635" s="40"/>
      <c r="C1635" s="41"/>
      <c r="D1635" s="42"/>
      <c r="E1635" s="43"/>
      <c r="F1635" s="44"/>
      <c r="G1635" s="1" t="str">
        <f>IFERROR(IF(ventas_b_mes684[[#This Row],[CUIT]]="","-",VLOOKUP(ventas_b_mes684[[#This Row],[CUIT]],Lista_CUIT[#All],2,0)),"CUIT NO CARGADO")</f>
        <v>-</v>
      </c>
      <c r="H1635" s="64"/>
      <c r="I1635" s="64">
        <f>ventas_b_mes684[[#This Row],[IMPORTE NETO]]*0.21</f>
        <v>0</v>
      </c>
      <c r="J1635" s="64"/>
      <c r="K1635" s="64"/>
      <c r="L1635" s="64">
        <f>SUM(ventas_b_mes684[[#This Row],[IMPORTE NETO]:[EXENTO]])</f>
        <v>0</v>
      </c>
      <c r="M1635" s="59"/>
    </row>
    <row r="1636" spans="2:13" x14ac:dyDescent="0.25">
      <c r="B1636" s="40"/>
      <c r="C1636" s="41"/>
      <c r="D1636" s="42"/>
      <c r="E1636" s="43"/>
      <c r="F1636" s="44"/>
      <c r="G1636" s="1" t="str">
        <f>IFERROR(IF(ventas_b_mes684[[#This Row],[CUIT]]="","-",VLOOKUP(ventas_b_mes684[[#This Row],[CUIT]],Lista_CUIT[#All],2,0)),"CUIT NO CARGADO")</f>
        <v>-</v>
      </c>
      <c r="H1636" s="64"/>
      <c r="I1636" s="64">
        <f>ventas_b_mes684[[#This Row],[IMPORTE NETO]]*0.21</f>
        <v>0</v>
      </c>
      <c r="J1636" s="64"/>
      <c r="K1636" s="64"/>
      <c r="L1636" s="64">
        <f>SUM(ventas_b_mes684[[#This Row],[IMPORTE NETO]:[EXENTO]])</f>
        <v>0</v>
      </c>
      <c r="M1636" s="59"/>
    </row>
    <row r="1637" spans="2:13" x14ac:dyDescent="0.25">
      <c r="B1637" s="40"/>
      <c r="C1637" s="41"/>
      <c r="D1637" s="42"/>
      <c r="E1637" s="43"/>
      <c r="F1637" s="44"/>
      <c r="G1637" s="1" t="str">
        <f>IFERROR(IF(ventas_b_mes684[[#This Row],[CUIT]]="","-",VLOOKUP(ventas_b_mes684[[#This Row],[CUIT]],Lista_CUIT[#All],2,0)),"CUIT NO CARGADO")</f>
        <v>-</v>
      </c>
      <c r="H1637" s="64"/>
      <c r="I1637" s="64">
        <f>ventas_b_mes684[[#This Row],[IMPORTE NETO]]*0.21</f>
        <v>0</v>
      </c>
      <c r="J1637" s="64"/>
      <c r="K1637" s="64"/>
      <c r="L1637" s="64">
        <f>SUM(ventas_b_mes684[[#This Row],[IMPORTE NETO]:[EXENTO]])</f>
        <v>0</v>
      </c>
      <c r="M1637" s="59"/>
    </row>
    <row r="1638" spans="2:13" x14ac:dyDescent="0.25">
      <c r="B1638" s="40"/>
      <c r="C1638" s="41"/>
      <c r="D1638" s="42"/>
      <c r="E1638" s="43"/>
      <c r="F1638" s="44"/>
      <c r="G1638" s="1" t="str">
        <f>IFERROR(IF(ventas_b_mes684[[#This Row],[CUIT]]="","-",VLOOKUP(ventas_b_mes684[[#This Row],[CUIT]],Lista_CUIT[#All],2,0)),"CUIT NO CARGADO")</f>
        <v>-</v>
      </c>
      <c r="H1638" s="64"/>
      <c r="I1638" s="64">
        <f>ventas_b_mes684[[#This Row],[IMPORTE NETO]]*0.21</f>
        <v>0</v>
      </c>
      <c r="J1638" s="64"/>
      <c r="K1638" s="64"/>
      <c r="L1638" s="64">
        <f>SUM(ventas_b_mes684[[#This Row],[IMPORTE NETO]:[EXENTO]])</f>
        <v>0</v>
      </c>
      <c r="M1638" s="59"/>
    </row>
    <row r="1639" spans="2:13" x14ac:dyDescent="0.25">
      <c r="B1639" s="40"/>
      <c r="C1639" s="41"/>
      <c r="D1639" s="42"/>
      <c r="E1639" s="43"/>
      <c r="F1639" s="44"/>
      <c r="G1639" s="1" t="str">
        <f>IFERROR(IF(ventas_b_mes684[[#This Row],[CUIT]]="","-",VLOOKUP(ventas_b_mes684[[#This Row],[CUIT]],Lista_CUIT[#All],2,0)),"CUIT NO CARGADO")</f>
        <v>-</v>
      </c>
      <c r="H1639" s="64"/>
      <c r="I1639" s="64">
        <f>ventas_b_mes684[[#This Row],[IMPORTE NETO]]*0.21</f>
        <v>0</v>
      </c>
      <c r="J1639" s="64"/>
      <c r="K1639" s="64"/>
      <c r="L1639" s="64">
        <f>SUM(ventas_b_mes684[[#This Row],[IMPORTE NETO]:[EXENTO]])</f>
        <v>0</v>
      </c>
      <c r="M1639" s="59"/>
    </row>
    <row r="1640" spans="2:13" x14ac:dyDescent="0.25">
      <c r="B1640" s="40"/>
      <c r="C1640" s="41"/>
      <c r="D1640" s="42"/>
      <c r="E1640" s="43"/>
      <c r="F1640" s="44"/>
      <c r="G1640" s="1" t="str">
        <f>IFERROR(IF(ventas_b_mes684[[#This Row],[CUIT]]="","-",VLOOKUP(ventas_b_mes684[[#This Row],[CUIT]],Lista_CUIT[#All],2,0)),"CUIT NO CARGADO")</f>
        <v>-</v>
      </c>
      <c r="H1640" s="64"/>
      <c r="I1640" s="64">
        <f>ventas_b_mes684[[#This Row],[IMPORTE NETO]]*0.21</f>
        <v>0</v>
      </c>
      <c r="J1640" s="64"/>
      <c r="K1640" s="64"/>
      <c r="L1640" s="64">
        <f>SUM(ventas_b_mes684[[#This Row],[IMPORTE NETO]:[EXENTO]])</f>
        <v>0</v>
      </c>
      <c r="M1640" s="59"/>
    </row>
    <row r="1641" spans="2:13" x14ac:dyDescent="0.25">
      <c r="B1641" s="40"/>
      <c r="C1641" s="41"/>
      <c r="D1641" s="42"/>
      <c r="E1641" s="43"/>
      <c r="F1641" s="44"/>
      <c r="G1641" s="1" t="str">
        <f>IFERROR(IF(ventas_b_mes684[[#This Row],[CUIT]]="","-",VLOOKUP(ventas_b_mes684[[#This Row],[CUIT]],Lista_CUIT[#All],2,0)),"CUIT NO CARGADO")</f>
        <v>-</v>
      </c>
      <c r="H1641" s="64"/>
      <c r="I1641" s="64">
        <f>ventas_b_mes684[[#This Row],[IMPORTE NETO]]*0.21</f>
        <v>0</v>
      </c>
      <c r="J1641" s="64"/>
      <c r="K1641" s="64"/>
      <c r="L1641" s="64">
        <f>SUM(ventas_b_mes684[[#This Row],[IMPORTE NETO]:[EXENTO]])</f>
        <v>0</v>
      </c>
      <c r="M1641" s="59"/>
    </row>
    <row r="1642" spans="2:13" x14ac:dyDescent="0.25">
      <c r="B1642" s="40"/>
      <c r="C1642" s="41"/>
      <c r="D1642" s="42"/>
      <c r="E1642" s="43"/>
      <c r="F1642" s="44"/>
      <c r="G1642" s="1" t="str">
        <f>IFERROR(IF(ventas_b_mes684[[#This Row],[CUIT]]="","-",VLOOKUP(ventas_b_mes684[[#This Row],[CUIT]],Lista_CUIT[#All],2,0)),"CUIT NO CARGADO")</f>
        <v>-</v>
      </c>
      <c r="H1642" s="64"/>
      <c r="I1642" s="64">
        <f>ventas_b_mes684[[#This Row],[IMPORTE NETO]]*0.21</f>
        <v>0</v>
      </c>
      <c r="J1642" s="64"/>
      <c r="K1642" s="64"/>
      <c r="L1642" s="64">
        <f>SUM(ventas_b_mes684[[#This Row],[IMPORTE NETO]:[EXENTO]])</f>
        <v>0</v>
      </c>
      <c r="M1642" s="59"/>
    </row>
    <row r="1643" spans="2:13" x14ac:dyDescent="0.25">
      <c r="B1643" s="40"/>
      <c r="C1643" s="41"/>
      <c r="D1643" s="42"/>
      <c r="E1643" s="43"/>
      <c r="F1643" s="44"/>
      <c r="G1643" s="1" t="str">
        <f>IFERROR(IF(ventas_b_mes684[[#This Row],[CUIT]]="","-",VLOOKUP(ventas_b_mes684[[#This Row],[CUIT]],Lista_CUIT[#All],2,0)),"CUIT NO CARGADO")</f>
        <v>-</v>
      </c>
      <c r="H1643" s="64"/>
      <c r="I1643" s="64">
        <f>ventas_b_mes684[[#This Row],[IMPORTE NETO]]*0.21</f>
        <v>0</v>
      </c>
      <c r="J1643" s="64"/>
      <c r="K1643" s="64"/>
      <c r="L1643" s="64">
        <f>SUM(ventas_b_mes684[[#This Row],[IMPORTE NETO]:[EXENTO]])</f>
        <v>0</v>
      </c>
      <c r="M1643" s="59"/>
    </row>
    <row r="1644" spans="2:13" x14ac:dyDescent="0.25">
      <c r="B1644" s="40"/>
      <c r="C1644" s="41"/>
      <c r="D1644" s="42"/>
      <c r="E1644" s="43"/>
      <c r="F1644" s="44"/>
      <c r="G1644" s="1" t="str">
        <f>IFERROR(IF(ventas_b_mes684[[#This Row],[CUIT]]="","-",VLOOKUP(ventas_b_mes684[[#This Row],[CUIT]],Lista_CUIT[#All],2,0)),"CUIT NO CARGADO")</f>
        <v>-</v>
      </c>
      <c r="H1644" s="64"/>
      <c r="I1644" s="64">
        <f>ventas_b_mes684[[#This Row],[IMPORTE NETO]]*0.21</f>
        <v>0</v>
      </c>
      <c r="J1644" s="64"/>
      <c r="K1644" s="64"/>
      <c r="L1644" s="64">
        <f>SUM(ventas_b_mes684[[#This Row],[IMPORTE NETO]:[EXENTO]])</f>
        <v>0</v>
      </c>
      <c r="M1644" s="59"/>
    </row>
    <row r="1645" spans="2:13" x14ac:dyDescent="0.25">
      <c r="B1645" s="40"/>
      <c r="C1645" s="41"/>
      <c r="D1645" s="42"/>
      <c r="E1645" s="43"/>
      <c r="F1645" s="44"/>
      <c r="G1645" s="1" t="str">
        <f>IFERROR(IF(ventas_b_mes684[[#This Row],[CUIT]]="","-",VLOOKUP(ventas_b_mes684[[#This Row],[CUIT]],Lista_CUIT[#All],2,0)),"CUIT NO CARGADO")</f>
        <v>-</v>
      </c>
      <c r="H1645" s="64"/>
      <c r="I1645" s="64">
        <f>ventas_b_mes684[[#This Row],[IMPORTE NETO]]*0.21</f>
        <v>0</v>
      </c>
      <c r="J1645" s="64"/>
      <c r="K1645" s="64"/>
      <c r="L1645" s="64">
        <f>SUM(ventas_b_mes684[[#This Row],[IMPORTE NETO]:[EXENTO]])</f>
        <v>0</v>
      </c>
      <c r="M1645" s="59"/>
    </row>
    <row r="1646" spans="2:13" x14ac:dyDescent="0.25">
      <c r="B1646" s="40"/>
      <c r="C1646" s="41"/>
      <c r="D1646" s="42"/>
      <c r="E1646" s="43"/>
      <c r="F1646" s="44"/>
      <c r="G1646" s="1" t="str">
        <f>IFERROR(IF(ventas_b_mes684[[#This Row],[CUIT]]="","-",VLOOKUP(ventas_b_mes684[[#This Row],[CUIT]],Lista_CUIT[#All],2,0)),"CUIT NO CARGADO")</f>
        <v>-</v>
      </c>
      <c r="H1646" s="64"/>
      <c r="I1646" s="64">
        <f>ventas_b_mes684[[#This Row],[IMPORTE NETO]]*0.21</f>
        <v>0</v>
      </c>
      <c r="J1646" s="64"/>
      <c r="K1646" s="64"/>
      <c r="L1646" s="64">
        <f>SUM(ventas_b_mes684[[#This Row],[IMPORTE NETO]:[EXENTO]])</f>
        <v>0</v>
      </c>
      <c r="M1646" s="59"/>
    </row>
    <row r="1647" spans="2:13" x14ac:dyDescent="0.25">
      <c r="B1647" s="40"/>
      <c r="C1647" s="41"/>
      <c r="D1647" s="42"/>
      <c r="E1647" s="43"/>
      <c r="F1647" s="44"/>
      <c r="G1647" s="1" t="str">
        <f>IFERROR(IF(ventas_b_mes684[[#This Row],[CUIT]]="","-",VLOOKUP(ventas_b_mes684[[#This Row],[CUIT]],Lista_CUIT[#All],2,0)),"CUIT NO CARGADO")</f>
        <v>-</v>
      </c>
      <c r="H1647" s="64"/>
      <c r="I1647" s="64">
        <f>ventas_b_mes684[[#This Row],[IMPORTE NETO]]*0.21</f>
        <v>0</v>
      </c>
      <c r="J1647" s="64"/>
      <c r="K1647" s="64"/>
      <c r="L1647" s="64">
        <f>SUM(ventas_b_mes684[[#This Row],[IMPORTE NETO]:[EXENTO]])</f>
        <v>0</v>
      </c>
      <c r="M1647" s="59"/>
    </row>
    <row r="1648" spans="2:13" x14ac:dyDescent="0.25">
      <c r="B1648" s="40"/>
      <c r="C1648" s="41"/>
      <c r="D1648" s="42"/>
      <c r="E1648" s="43"/>
      <c r="F1648" s="44"/>
      <c r="G1648" s="1" t="str">
        <f>IFERROR(IF(ventas_b_mes684[[#This Row],[CUIT]]="","-",VLOOKUP(ventas_b_mes684[[#This Row],[CUIT]],Lista_CUIT[#All],2,0)),"CUIT NO CARGADO")</f>
        <v>-</v>
      </c>
      <c r="H1648" s="64"/>
      <c r="I1648" s="64">
        <f>ventas_b_mes684[[#This Row],[IMPORTE NETO]]*0.21</f>
        <v>0</v>
      </c>
      <c r="J1648" s="64"/>
      <c r="K1648" s="64"/>
      <c r="L1648" s="64">
        <f>SUM(ventas_b_mes684[[#This Row],[IMPORTE NETO]:[EXENTO]])</f>
        <v>0</v>
      </c>
      <c r="M1648" s="59"/>
    </row>
    <row r="1649" spans="2:13" x14ac:dyDescent="0.25">
      <c r="B1649" s="40"/>
      <c r="C1649" s="41"/>
      <c r="D1649" s="42"/>
      <c r="E1649" s="43"/>
      <c r="F1649" s="44"/>
      <c r="G1649" s="1" t="str">
        <f>IFERROR(IF(ventas_b_mes684[[#This Row],[CUIT]]="","-",VLOOKUP(ventas_b_mes684[[#This Row],[CUIT]],Lista_CUIT[#All],2,0)),"CUIT NO CARGADO")</f>
        <v>-</v>
      </c>
      <c r="H1649" s="64"/>
      <c r="I1649" s="64">
        <f>ventas_b_mes684[[#This Row],[IMPORTE NETO]]*0.21</f>
        <v>0</v>
      </c>
      <c r="J1649" s="64"/>
      <c r="K1649" s="64"/>
      <c r="L1649" s="64">
        <f>SUM(ventas_b_mes684[[#This Row],[IMPORTE NETO]:[EXENTO]])</f>
        <v>0</v>
      </c>
      <c r="M1649" s="59"/>
    </row>
    <row r="1650" spans="2:13" x14ac:dyDescent="0.25">
      <c r="B1650" s="40"/>
      <c r="C1650" s="41"/>
      <c r="D1650" s="42"/>
      <c r="E1650" s="43"/>
      <c r="F1650" s="44"/>
      <c r="G1650" s="1" t="str">
        <f>IFERROR(IF(ventas_b_mes684[[#This Row],[CUIT]]="","-",VLOOKUP(ventas_b_mes684[[#This Row],[CUIT]],Lista_CUIT[#All],2,0)),"CUIT NO CARGADO")</f>
        <v>-</v>
      </c>
      <c r="H1650" s="64"/>
      <c r="I1650" s="64">
        <f>ventas_b_mes684[[#This Row],[IMPORTE NETO]]*0.21</f>
        <v>0</v>
      </c>
      <c r="J1650" s="64"/>
      <c r="K1650" s="64"/>
      <c r="L1650" s="64">
        <f>SUM(ventas_b_mes684[[#This Row],[IMPORTE NETO]:[EXENTO]])</f>
        <v>0</v>
      </c>
      <c r="M1650" s="59"/>
    </row>
    <row r="1651" spans="2:13" x14ac:dyDescent="0.25">
      <c r="B1651" s="40"/>
      <c r="C1651" s="41"/>
      <c r="D1651" s="42"/>
      <c r="E1651" s="43"/>
      <c r="F1651" s="44"/>
      <c r="G1651" s="1" t="str">
        <f>IFERROR(IF(ventas_b_mes684[[#This Row],[CUIT]]="","-",VLOOKUP(ventas_b_mes684[[#This Row],[CUIT]],Lista_CUIT[#All],2,0)),"CUIT NO CARGADO")</f>
        <v>-</v>
      </c>
      <c r="H1651" s="64"/>
      <c r="I1651" s="64">
        <f>ventas_b_mes684[[#This Row],[IMPORTE NETO]]*0.21</f>
        <v>0</v>
      </c>
      <c r="J1651" s="64"/>
      <c r="K1651" s="64"/>
      <c r="L1651" s="64">
        <f>SUM(ventas_b_mes684[[#This Row],[IMPORTE NETO]:[EXENTO]])</f>
        <v>0</v>
      </c>
      <c r="M1651" s="59"/>
    </row>
    <row r="1652" spans="2:13" x14ac:dyDescent="0.25">
      <c r="B1652" s="40"/>
      <c r="C1652" s="41"/>
      <c r="D1652" s="42"/>
      <c r="E1652" s="43"/>
      <c r="F1652" s="44"/>
      <c r="G1652" s="1" t="str">
        <f>IFERROR(IF(ventas_b_mes684[[#This Row],[CUIT]]="","-",VLOOKUP(ventas_b_mes684[[#This Row],[CUIT]],Lista_CUIT[#All],2,0)),"CUIT NO CARGADO")</f>
        <v>-</v>
      </c>
      <c r="H1652" s="64"/>
      <c r="I1652" s="64">
        <f>ventas_b_mes684[[#This Row],[IMPORTE NETO]]*0.21</f>
        <v>0</v>
      </c>
      <c r="J1652" s="64"/>
      <c r="K1652" s="64"/>
      <c r="L1652" s="64">
        <f>SUM(ventas_b_mes684[[#This Row],[IMPORTE NETO]:[EXENTO]])</f>
        <v>0</v>
      </c>
      <c r="M1652" s="59"/>
    </row>
    <row r="1653" spans="2:13" x14ac:dyDescent="0.25">
      <c r="B1653" s="40"/>
      <c r="C1653" s="41"/>
      <c r="D1653" s="42"/>
      <c r="E1653" s="43"/>
      <c r="F1653" s="44"/>
      <c r="G1653" s="1" t="str">
        <f>IFERROR(IF(ventas_b_mes684[[#This Row],[CUIT]]="","-",VLOOKUP(ventas_b_mes684[[#This Row],[CUIT]],Lista_CUIT[#All],2,0)),"CUIT NO CARGADO")</f>
        <v>-</v>
      </c>
      <c r="H1653" s="64"/>
      <c r="I1653" s="64">
        <f>ventas_b_mes684[[#This Row],[IMPORTE NETO]]*0.21</f>
        <v>0</v>
      </c>
      <c r="J1653" s="64"/>
      <c r="K1653" s="64"/>
      <c r="L1653" s="64">
        <f>SUM(ventas_b_mes684[[#This Row],[IMPORTE NETO]:[EXENTO]])</f>
        <v>0</v>
      </c>
      <c r="M1653" s="59"/>
    </row>
    <row r="1654" spans="2:13" x14ac:dyDescent="0.25">
      <c r="B1654" s="40"/>
      <c r="C1654" s="41"/>
      <c r="D1654" s="42"/>
      <c r="E1654" s="43"/>
      <c r="F1654" s="44"/>
      <c r="G1654" s="1" t="str">
        <f>IFERROR(IF(ventas_b_mes684[[#This Row],[CUIT]]="","-",VLOOKUP(ventas_b_mes684[[#This Row],[CUIT]],Lista_CUIT[#All],2,0)),"CUIT NO CARGADO")</f>
        <v>-</v>
      </c>
      <c r="H1654" s="64"/>
      <c r="I1654" s="64">
        <f>ventas_b_mes684[[#This Row],[IMPORTE NETO]]*0.21</f>
        <v>0</v>
      </c>
      <c r="J1654" s="64"/>
      <c r="K1654" s="64"/>
      <c r="L1654" s="64">
        <f>SUM(ventas_b_mes684[[#This Row],[IMPORTE NETO]:[EXENTO]])</f>
        <v>0</v>
      </c>
      <c r="M1654" s="59"/>
    </row>
    <row r="1655" spans="2:13" x14ac:dyDescent="0.25">
      <c r="B1655" s="40"/>
      <c r="C1655" s="41"/>
      <c r="D1655" s="42"/>
      <c r="E1655" s="43"/>
      <c r="F1655" s="44"/>
      <c r="G1655" s="1" t="str">
        <f>IFERROR(IF(ventas_b_mes684[[#This Row],[CUIT]]="","-",VLOOKUP(ventas_b_mes684[[#This Row],[CUIT]],Lista_CUIT[#All],2,0)),"CUIT NO CARGADO")</f>
        <v>-</v>
      </c>
      <c r="H1655" s="64"/>
      <c r="I1655" s="64">
        <f>ventas_b_mes684[[#This Row],[IMPORTE NETO]]*0.21</f>
        <v>0</v>
      </c>
      <c r="J1655" s="64"/>
      <c r="K1655" s="64"/>
      <c r="L1655" s="64">
        <f>SUM(ventas_b_mes684[[#This Row],[IMPORTE NETO]:[EXENTO]])</f>
        <v>0</v>
      </c>
      <c r="M1655" s="59"/>
    </row>
    <row r="1656" spans="2:13" x14ac:dyDescent="0.25">
      <c r="B1656" s="40"/>
      <c r="C1656" s="41"/>
      <c r="D1656" s="42"/>
      <c r="E1656" s="43"/>
      <c r="F1656" s="44"/>
      <c r="G1656" s="1" t="str">
        <f>IFERROR(IF(ventas_b_mes684[[#This Row],[CUIT]]="","-",VLOOKUP(ventas_b_mes684[[#This Row],[CUIT]],Lista_CUIT[#All],2,0)),"CUIT NO CARGADO")</f>
        <v>-</v>
      </c>
      <c r="H1656" s="64"/>
      <c r="I1656" s="64">
        <f>ventas_b_mes684[[#This Row],[IMPORTE NETO]]*0.21</f>
        <v>0</v>
      </c>
      <c r="J1656" s="64"/>
      <c r="K1656" s="64"/>
      <c r="L1656" s="64">
        <f>SUM(ventas_b_mes684[[#This Row],[IMPORTE NETO]:[EXENTO]])</f>
        <v>0</v>
      </c>
      <c r="M1656" s="59"/>
    </row>
    <row r="1657" spans="2:13" x14ac:dyDescent="0.25">
      <c r="B1657" s="40"/>
      <c r="C1657" s="41"/>
      <c r="D1657" s="42"/>
      <c r="E1657" s="43"/>
      <c r="F1657" s="44"/>
      <c r="G1657" s="1" t="str">
        <f>IFERROR(IF(ventas_b_mes684[[#This Row],[CUIT]]="","-",VLOOKUP(ventas_b_mes684[[#This Row],[CUIT]],Lista_CUIT[#All],2,0)),"CUIT NO CARGADO")</f>
        <v>-</v>
      </c>
      <c r="H1657" s="64"/>
      <c r="I1657" s="64">
        <f>ventas_b_mes684[[#This Row],[IMPORTE NETO]]*0.21</f>
        <v>0</v>
      </c>
      <c r="J1657" s="64"/>
      <c r="K1657" s="64"/>
      <c r="L1657" s="64">
        <f>SUM(ventas_b_mes684[[#This Row],[IMPORTE NETO]:[EXENTO]])</f>
        <v>0</v>
      </c>
      <c r="M1657" s="59"/>
    </row>
    <row r="1658" spans="2:13" x14ac:dyDescent="0.25">
      <c r="B1658" s="40"/>
      <c r="C1658" s="41"/>
      <c r="D1658" s="42"/>
      <c r="E1658" s="43"/>
      <c r="F1658" s="44"/>
      <c r="G1658" s="1" t="str">
        <f>IFERROR(IF(ventas_b_mes684[[#This Row],[CUIT]]="","-",VLOOKUP(ventas_b_mes684[[#This Row],[CUIT]],Lista_CUIT[#All],2,0)),"CUIT NO CARGADO")</f>
        <v>-</v>
      </c>
      <c r="H1658" s="64"/>
      <c r="I1658" s="64">
        <f>ventas_b_mes684[[#This Row],[IMPORTE NETO]]*0.21</f>
        <v>0</v>
      </c>
      <c r="J1658" s="64"/>
      <c r="K1658" s="64"/>
      <c r="L1658" s="64">
        <f>SUM(ventas_b_mes684[[#This Row],[IMPORTE NETO]:[EXENTO]])</f>
        <v>0</v>
      </c>
      <c r="M1658" s="59"/>
    </row>
    <row r="1659" spans="2:13" x14ac:dyDescent="0.25">
      <c r="B1659" s="40"/>
      <c r="C1659" s="41"/>
      <c r="D1659" s="42"/>
      <c r="E1659" s="43"/>
      <c r="F1659" s="44"/>
      <c r="G1659" s="1" t="str">
        <f>IFERROR(IF(ventas_b_mes684[[#This Row],[CUIT]]="","-",VLOOKUP(ventas_b_mes684[[#This Row],[CUIT]],Lista_CUIT[#All],2,0)),"CUIT NO CARGADO")</f>
        <v>-</v>
      </c>
      <c r="H1659" s="64"/>
      <c r="I1659" s="64">
        <f>ventas_b_mes684[[#This Row],[IMPORTE NETO]]*0.21</f>
        <v>0</v>
      </c>
      <c r="J1659" s="64"/>
      <c r="K1659" s="64"/>
      <c r="L1659" s="64">
        <f>SUM(ventas_b_mes684[[#This Row],[IMPORTE NETO]:[EXENTO]])</f>
        <v>0</v>
      </c>
      <c r="M1659" s="59"/>
    </row>
    <row r="1660" spans="2:13" x14ac:dyDescent="0.25">
      <c r="B1660" s="40"/>
      <c r="C1660" s="41"/>
      <c r="D1660" s="42"/>
      <c r="E1660" s="43"/>
      <c r="F1660" s="44"/>
      <c r="G1660" s="1" t="str">
        <f>IFERROR(IF(ventas_b_mes684[[#This Row],[CUIT]]="","-",VLOOKUP(ventas_b_mes684[[#This Row],[CUIT]],Lista_CUIT[#All],2,0)),"CUIT NO CARGADO")</f>
        <v>-</v>
      </c>
      <c r="H1660" s="64"/>
      <c r="I1660" s="64">
        <f>ventas_b_mes684[[#This Row],[IMPORTE NETO]]*0.21</f>
        <v>0</v>
      </c>
      <c r="J1660" s="64"/>
      <c r="K1660" s="64"/>
      <c r="L1660" s="64">
        <f>SUM(ventas_b_mes684[[#This Row],[IMPORTE NETO]:[EXENTO]])</f>
        <v>0</v>
      </c>
      <c r="M1660" s="59"/>
    </row>
    <row r="1661" spans="2:13" x14ac:dyDescent="0.25">
      <c r="B1661" s="40"/>
      <c r="C1661" s="41"/>
      <c r="D1661" s="42"/>
      <c r="E1661" s="43"/>
      <c r="F1661" s="44"/>
      <c r="G1661" s="1" t="str">
        <f>IFERROR(IF(ventas_b_mes684[[#This Row],[CUIT]]="","-",VLOOKUP(ventas_b_mes684[[#This Row],[CUIT]],Lista_CUIT[#All],2,0)),"CUIT NO CARGADO")</f>
        <v>-</v>
      </c>
      <c r="H1661" s="64"/>
      <c r="I1661" s="64">
        <f>ventas_b_mes684[[#This Row],[IMPORTE NETO]]*0.21</f>
        <v>0</v>
      </c>
      <c r="J1661" s="64"/>
      <c r="K1661" s="64"/>
      <c r="L1661" s="64">
        <f>SUM(ventas_b_mes684[[#This Row],[IMPORTE NETO]:[EXENTO]])</f>
        <v>0</v>
      </c>
      <c r="M1661" s="59"/>
    </row>
    <row r="1662" spans="2:13" x14ac:dyDescent="0.25">
      <c r="B1662" s="40"/>
      <c r="C1662" s="41"/>
      <c r="D1662" s="42"/>
      <c r="E1662" s="43"/>
      <c r="F1662" s="44"/>
      <c r="G1662" s="1" t="str">
        <f>IFERROR(IF(ventas_b_mes684[[#This Row],[CUIT]]="","-",VLOOKUP(ventas_b_mes684[[#This Row],[CUIT]],Lista_CUIT[#All],2,0)),"CUIT NO CARGADO")</f>
        <v>-</v>
      </c>
      <c r="H1662" s="64"/>
      <c r="I1662" s="64">
        <f>ventas_b_mes684[[#This Row],[IMPORTE NETO]]*0.21</f>
        <v>0</v>
      </c>
      <c r="J1662" s="64"/>
      <c r="K1662" s="64"/>
      <c r="L1662" s="64">
        <f>SUM(ventas_b_mes684[[#This Row],[IMPORTE NETO]:[EXENTO]])</f>
        <v>0</v>
      </c>
      <c r="M1662" s="59"/>
    </row>
    <row r="1663" spans="2:13" x14ac:dyDescent="0.25">
      <c r="B1663" s="40"/>
      <c r="C1663" s="41"/>
      <c r="D1663" s="42"/>
      <c r="E1663" s="43"/>
      <c r="F1663" s="44"/>
      <c r="G1663" s="1" t="str">
        <f>IFERROR(IF(ventas_b_mes684[[#This Row],[CUIT]]="","-",VLOOKUP(ventas_b_mes684[[#This Row],[CUIT]],Lista_CUIT[#All],2,0)),"CUIT NO CARGADO")</f>
        <v>-</v>
      </c>
      <c r="H1663" s="64"/>
      <c r="I1663" s="64">
        <f>ventas_b_mes684[[#This Row],[IMPORTE NETO]]*0.21</f>
        <v>0</v>
      </c>
      <c r="J1663" s="64"/>
      <c r="K1663" s="64"/>
      <c r="L1663" s="64">
        <f>SUM(ventas_b_mes684[[#This Row],[IMPORTE NETO]:[EXENTO]])</f>
        <v>0</v>
      </c>
      <c r="M1663" s="59"/>
    </row>
    <row r="1664" spans="2:13" x14ac:dyDescent="0.25">
      <c r="B1664" s="40"/>
      <c r="C1664" s="41"/>
      <c r="D1664" s="42"/>
      <c r="E1664" s="43"/>
      <c r="F1664" s="44"/>
      <c r="G1664" s="1" t="str">
        <f>IFERROR(IF(ventas_b_mes684[[#This Row],[CUIT]]="","-",VLOOKUP(ventas_b_mes684[[#This Row],[CUIT]],Lista_CUIT[#All],2,0)),"CUIT NO CARGADO")</f>
        <v>-</v>
      </c>
      <c r="H1664" s="64"/>
      <c r="I1664" s="64">
        <f>ventas_b_mes684[[#This Row],[IMPORTE NETO]]*0.21</f>
        <v>0</v>
      </c>
      <c r="J1664" s="64"/>
      <c r="K1664" s="64"/>
      <c r="L1664" s="64">
        <f>SUM(ventas_b_mes684[[#This Row],[IMPORTE NETO]:[EXENTO]])</f>
        <v>0</v>
      </c>
      <c r="M1664" s="59"/>
    </row>
    <row r="1665" spans="2:13" x14ac:dyDescent="0.25">
      <c r="B1665" s="40"/>
      <c r="C1665" s="41"/>
      <c r="D1665" s="42"/>
      <c r="E1665" s="43"/>
      <c r="F1665" s="44"/>
      <c r="G1665" s="1" t="str">
        <f>IFERROR(IF(ventas_b_mes684[[#This Row],[CUIT]]="","-",VLOOKUP(ventas_b_mes684[[#This Row],[CUIT]],Lista_CUIT[#All],2,0)),"CUIT NO CARGADO")</f>
        <v>-</v>
      </c>
      <c r="H1665" s="64"/>
      <c r="I1665" s="64">
        <f>ventas_b_mes684[[#This Row],[IMPORTE NETO]]*0.21</f>
        <v>0</v>
      </c>
      <c r="J1665" s="64"/>
      <c r="K1665" s="64"/>
      <c r="L1665" s="64">
        <f>SUM(ventas_b_mes684[[#This Row],[IMPORTE NETO]:[EXENTO]])</f>
        <v>0</v>
      </c>
      <c r="M1665" s="59"/>
    </row>
    <row r="1666" spans="2:13" x14ac:dyDescent="0.25">
      <c r="B1666" s="40"/>
      <c r="C1666" s="41"/>
      <c r="D1666" s="42"/>
      <c r="E1666" s="43"/>
      <c r="F1666" s="44"/>
      <c r="G1666" s="1" t="str">
        <f>IFERROR(IF(ventas_b_mes684[[#This Row],[CUIT]]="","-",VLOOKUP(ventas_b_mes684[[#This Row],[CUIT]],Lista_CUIT[#All],2,0)),"CUIT NO CARGADO")</f>
        <v>-</v>
      </c>
      <c r="H1666" s="64"/>
      <c r="I1666" s="64">
        <f>ventas_b_mes684[[#This Row],[IMPORTE NETO]]*0.21</f>
        <v>0</v>
      </c>
      <c r="J1666" s="64"/>
      <c r="K1666" s="64"/>
      <c r="L1666" s="64">
        <f>SUM(ventas_b_mes684[[#This Row],[IMPORTE NETO]:[EXENTO]])</f>
        <v>0</v>
      </c>
      <c r="M1666" s="59"/>
    </row>
    <row r="1667" spans="2:13" x14ac:dyDescent="0.25">
      <c r="B1667" s="40"/>
      <c r="C1667" s="41"/>
      <c r="D1667" s="42"/>
      <c r="E1667" s="43"/>
      <c r="F1667" s="44"/>
      <c r="G1667" s="1" t="str">
        <f>IFERROR(IF(ventas_b_mes684[[#This Row],[CUIT]]="","-",VLOOKUP(ventas_b_mes684[[#This Row],[CUIT]],Lista_CUIT[#All],2,0)),"CUIT NO CARGADO")</f>
        <v>-</v>
      </c>
      <c r="H1667" s="64"/>
      <c r="I1667" s="64">
        <f>ventas_b_mes684[[#This Row],[IMPORTE NETO]]*0.21</f>
        <v>0</v>
      </c>
      <c r="J1667" s="64"/>
      <c r="K1667" s="64"/>
      <c r="L1667" s="64">
        <f>SUM(ventas_b_mes684[[#This Row],[IMPORTE NETO]:[EXENTO]])</f>
        <v>0</v>
      </c>
      <c r="M1667" s="59"/>
    </row>
    <row r="1668" spans="2:13" x14ac:dyDescent="0.25">
      <c r="B1668" s="40"/>
      <c r="C1668" s="41"/>
      <c r="D1668" s="42"/>
      <c r="E1668" s="43"/>
      <c r="F1668" s="44"/>
      <c r="G1668" s="1" t="str">
        <f>IFERROR(IF(ventas_b_mes684[[#This Row],[CUIT]]="","-",VLOOKUP(ventas_b_mes684[[#This Row],[CUIT]],Lista_CUIT[#All],2,0)),"CUIT NO CARGADO")</f>
        <v>-</v>
      </c>
      <c r="H1668" s="64"/>
      <c r="I1668" s="64">
        <f>ventas_b_mes684[[#This Row],[IMPORTE NETO]]*0.21</f>
        <v>0</v>
      </c>
      <c r="J1668" s="64"/>
      <c r="K1668" s="64"/>
      <c r="L1668" s="64">
        <f>SUM(ventas_b_mes684[[#This Row],[IMPORTE NETO]:[EXENTO]])</f>
        <v>0</v>
      </c>
      <c r="M1668" s="59"/>
    </row>
    <row r="1669" spans="2:13" x14ac:dyDescent="0.25">
      <c r="B1669" s="40"/>
      <c r="C1669" s="41"/>
      <c r="D1669" s="42"/>
      <c r="E1669" s="43"/>
      <c r="F1669" s="44"/>
      <c r="G1669" s="1" t="str">
        <f>IFERROR(IF(ventas_b_mes684[[#This Row],[CUIT]]="","-",VLOOKUP(ventas_b_mes684[[#This Row],[CUIT]],Lista_CUIT[#All],2,0)),"CUIT NO CARGADO")</f>
        <v>-</v>
      </c>
      <c r="H1669" s="64"/>
      <c r="I1669" s="64">
        <f>ventas_b_mes684[[#This Row],[IMPORTE NETO]]*0.21</f>
        <v>0</v>
      </c>
      <c r="J1669" s="64"/>
      <c r="K1669" s="64"/>
      <c r="L1669" s="64">
        <f>SUM(ventas_b_mes684[[#This Row],[IMPORTE NETO]:[EXENTO]])</f>
        <v>0</v>
      </c>
      <c r="M1669" s="59"/>
    </row>
    <row r="1670" spans="2:13" x14ac:dyDescent="0.25">
      <c r="B1670" s="40"/>
      <c r="C1670" s="41"/>
      <c r="D1670" s="42"/>
      <c r="E1670" s="43"/>
      <c r="F1670" s="44"/>
      <c r="G1670" s="1" t="str">
        <f>IFERROR(IF(ventas_b_mes684[[#This Row],[CUIT]]="","-",VLOOKUP(ventas_b_mes684[[#This Row],[CUIT]],Lista_CUIT[#All],2,0)),"CUIT NO CARGADO")</f>
        <v>-</v>
      </c>
      <c r="H1670" s="64"/>
      <c r="I1670" s="64">
        <f>ventas_b_mes684[[#This Row],[IMPORTE NETO]]*0.21</f>
        <v>0</v>
      </c>
      <c r="J1670" s="64"/>
      <c r="K1670" s="64"/>
      <c r="L1670" s="64">
        <f>SUM(ventas_b_mes684[[#This Row],[IMPORTE NETO]:[EXENTO]])</f>
        <v>0</v>
      </c>
      <c r="M1670" s="59"/>
    </row>
    <row r="1671" spans="2:13" x14ac:dyDescent="0.25">
      <c r="B1671" s="40"/>
      <c r="C1671" s="41"/>
      <c r="D1671" s="42"/>
      <c r="E1671" s="43"/>
      <c r="F1671" s="44"/>
      <c r="G1671" s="1" t="str">
        <f>IFERROR(IF(ventas_b_mes684[[#This Row],[CUIT]]="","-",VLOOKUP(ventas_b_mes684[[#This Row],[CUIT]],Lista_CUIT[#All],2,0)),"CUIT NO CARGADO")</f>
        <v>-</v>
      </c>
      <c r="H1671" s="64"/>
      <c r="I1671" s="64">
        <f>ventas_b_mes684[[#This Row],[IMPORTE NETO]]*0.21</f>
        <v>0</v>
      </c>
      <c r="J1671" s="64"/>
      <c r="K1671" s="64"/>
      <c r="L1671" s="64">
        <f>SUM(ventas_b_mes684[[#This Row],[IMPORTE NETO]:[EXENTO]])</f>
        <v>0</v>
      </c>
      <c r="M1671" s="59"/>
    </row>
    <row r="1672" spans="2:13" x14ac:dyDescent="0.25">
      <c r="B1672" s="40"/>
      <c r="C1672" s="41"/>
      <c r="D1672" s="42"/>
      <c r="E1672" s="43"/>
      <c r="F1672" s="44"/>
      <c r="G1672" s="1" t="str">
        <f>IFERROR(IF(ventas_b_mes684[[#This Row],[CUIT]]="","-",VLOOKUP(ventas_b_mes684[[#This Row],[CUIT]],Lista_CUIT[#All],2,0)),"CUIT NO CARGADO")</f>
        <v>-</v>
      </c>
      <c r="H1672" s="64"/>
      <c r="I1672" s="64">
        <f>ventas_b_mes684[[#This Row],[IMPORTE NETO]]*0.21</f>
        <v>0</v>
      </c>
      <c r="J1672" s="64"/>
      <c r="K1672" s="64"/>
      <c r="L1672" s="64">
        <f>SUM(ventas_b_mes684[[#This Row],[IMPORTE NETO]:[EXENTO]])</f>
        <v>0</v>
      </c>
      <c r="M1672" s="59"/>
    </row>
    <row r="1673" spans="2:13" x14ac:dyDescent="0.25">
      <c r="B1673" s="40"/>
      <c r="C1673" s="41"/>
      <c r="D1673" s="42"/>
      <c r="E1673" s="43"/>
      <c r="F1673" s="44"/>
      <c r="G1673" s="1" t="str">
        <f>IFERROR(IF(ventas_b_mes684[[#This Row],[CUIT]]="","-",VLOOKUP(ventas_b_mes684[[#This Row],[CUIT]],Lista_CUIT[#All],2,0)),"CUIT NO CARGADO")</f>
        <v>-</v>
      </c>
      <c r="H1673" s="64"/>
      <c r="I1673" s="64">
        <f>ventas_b_mes684[[#This Row],[IMPORTE NETO]]*0.21</f>
        <v>0</v>
      </c>
      <c r="J1673" s="64"/>
      <c r="K1673" s="64"/>
      <c r="L1673" s="64">
        <f>SUM(ventas_b_mes684[[#This Row],[IMPORTE NETO]:[EXENTO]])</f>
        <v>0</v>
      </c>
      <c r="M1673" s="59"/>
    </row>
    <row r="1674" spans="2:13" x14ac:dyDescent="0.25">
      <c r="B1674" s="40"/>
      <c r="C1674" s="41"/>
      <c r="D1674" s="42"/>
      <c r="E1674" s="43"/>
      <c r="F1674" s="44"/>
      <c r="G1674" s="1" t="str">
        <f>IFERROR(IF(ventas_b_mes684[[#This Row],[CUIT]]="","-",VLOOKUP(ventas_b_mes684[[#This Row],[CUIT]],Lista_CUIT[#All],2,0)),"CUIT NO CARGADO")</f>
        <v>-</v>
      </c>
      <c r="H1674" s="64"/>
      <c r="I1674" s="64">
        <f>ventas_b_mes684[[#This Row],[IMPORTE NETO]]*0.21</f>
        <v>0</v>
      </c>
      <c r="J1674" s="64"/>
      <c r="K1674" s="64"/>
      <c r="L1674" s="64">
        <f>SUM(ventas_b_mes684[[#This Row],[IMPORTE NETO]:[EXENTO]])</f>
        <v>0</v>
      </c>
      <c r="M1674" s="59"/>
    </row>
    <row r="1675" spans="2:13" x14ac:dyDescent="0.25">
      <c r="B1675" s="40"/>
      <c r="C1675" s="41"/>
      <c r="D1675" s="42"/>
      <c r="E1675" s="43"/>
      <c r="F1675" s="44"/>
      <c r="G1675" s="1" t="str">
        <f>IFERROR(IF(ventas_b_mes684[[#This Row],[CUIT]]="","-",VLOOKUP(ventas_b_mes684[[#This Row],[CUIT]],Lista_CUIT[#All],2,0)),"CUIT NO CARGADO")</f>
        <v>-</v>
      </c>
      <c r="H1675" s="64"/>
      <c r="I1675" s="64">
        <f>ventas_b_mes684[[#This Row],[IMPORTE NETO]]*0.21</f>
        <v>0</v>
      </c>
      <c r="J1675" s="64"/>
      <c r="K1675" s="64"/>
      <c r="L1675" s="64">
        <f>SUM(ventas_b_mes684[[#This Row],[IMPORTE NETO]:[EXENTO]])</f>
        <v>0</v>
      </c>
      <c r="M1675" s="59"/>
    </row>
    <row r="1676" spans="2:13" x14ac:dyDescent="0.25">
      <c r="B1676" s="40"/>
      <c r="C1676" s="41"/>
      <c r="D1676" s="42"/>
      <c r="E1676" s="43"/>
      <c r="F1676" s="44"/>
      <c r="G1676" s="1" t="str">
        <f>IFERROR(IF(ventas_b_mes684[[#This Row],[CUIT]]="","-",VLOOKUP(ventas_b_mes684[[#This Row],[CUIT]],Lista_CUIT[#All],2,0)),"CUIT NO CARGADO")</f>
        <v>-</v>
      </c>
      <c r="H1676" s="64"/>
      <c r="I1676" s="64">
        <f>ventas_b_mes684[[#This Row],[IMPORTE NETO]]*0.21</f>
        <v>0</v>
      </c>
      <c r="J1676" s="64"/>
      <c r="K1676" s="64"/>
      <c r="L1676" s="64">
        <f>SUM(ventas_b_mes684[[#This Row],[IMPORTE NETO]:[EXENTO]])</f>
        <v>0</v>
      </c>
      <c r="M1676" s="59"/>
    </row>
    <row r="1677" spans="2:13" x14ac:dyDescent="0.25">
      <c r="B1677" s="40"/>
      <c r="C1677" s="41"/>
      <c r="D1677" s="42"/>
      <c r="E1677" s="43"/>
      <c r="F1677" s="44"/>
      <c r="G1677" s="1" t="str">
        <f>IFERROR(IF(ventas_b_mes684[[#This Row],[CUIT]]="","-",VLOOKUP(ventas_b_mes684[[#This Row],[CUIT]],Lista_CUIT[#All],2,0)),"CUIT NO CARGADO")</f>
        <v>-</v>
      </c>
      <c r="H1677" s="64"/>
      <c r="I1677" s="64">
        <f>ventas_b_mes684[[#This Row],[IMPORTE NETO]]*0.21</f>
        <v>0</v>
      </c>
      <c r="J1677" s="64"/>
      <c r="K1677" s="64"/>
      <c r="L1677" s="64">
        <f>SUM(ventas_b_mes684[[#This Row],[IMPORTE NETO]:[EXENTO]])</f>
        <v>0</v>
      </c>
      <c r="M1677" s="59"/>
    </row>
    <row r="1678" spans="2:13" x14ac:dyDescent="0.25">
      <c r="B1678" s="40"/>
      <c r="C1678" s="41"/>
      <c r="D1678" s="42"/>
      <c r="E1678" s="43"/>
      <c r="F1678" s="44"/>
      <c r="G1678" s="1" t="str">
        <f>IFERROR(IF(ventas_b_mes684[[#This Row],[CUIT]]="","-",VLOOKUP(ventas_b_mes684[[#This Row],[CUIT]],Lista_CUIT[#All],2,0)),"CUIT NO CARGADO")</f>
        <v>-</v>
      </c>
      <c r="H1678" s="64"/>
      <c r="I1678" s="64">
        <f>ventas_b_mes684[[#This Row],[IMPORTE NETO]]*0.21</f>
        <v>0</v>
      </c>
      <c r="J1678" s="64"/>
      <c r="K1678" s="64"/>
      <c r="L1678" s="64">
        <f>SUM(ventas_b_mes684[[#This Row],[IMPORTE NETO]:[EXENTO]])</f>
        <v>0</v>
      </c>
      <c r="M1678" s="59"/>
    </row>
    <row r="1679" spans="2:13" x14ac:dyDescent="0.25">
      <c r="B1679" s="40"/>
      <c r="C1679" s="41"/>
      <c r="D1679" s="42"/>
      <c r="E1679" s="43"/>
      <c r="F1679" s="44"/>
      <c r="G1679" s="1" t="str">
        <f>IFERROR(IF(ventas_b_mes684[[#This Row],[CUIT]]="","-",VLOOKUP(ventas_b_mes684[[#This Row],[CUIT]],Lista_CUIT[#All],2,0)),"CUIT NO CARGADO")</f>
        <v>-</v>
      </c>
      <c r="H1679" s="64"/>
      <c r="I1679" s="64">
        <f>ventas_b_mes684[[#This Row],[IMPORTE NETO]]*0.21</f>
        <v>0</v>
      </c>
      <c r="J1679" s="64"/>
      <c r="K1679" s="64"/>
      <c r="L1679" s="64">
        <f>SUM(ventas_b_mes684[[#This Row],[IMPORTE NETO]:[EXENTO]])</f>
        <v>0</v>
      </c>
      <c r="M1679" s="59"/>
    </row>
    <row r="1680" spans="2:13" x14ac:dyDescent="0.25">
      <c r="B1680" s="40"/>
      <c r="C1680" s="41"/>
      <c r="D1680" s="42"/>
      <c r="E1680" s="43"/>
      <c r="F1680" s="44"/>
      <c r="G1680" s="1" t="str">
        <f>IFERROR(IF(ventas_b_mes684[[#This Row],[CUIT]]="","-",VLOOKUP(ventas_b_mes684[[#This Row],[CUIT]],Lista_CUIT[#All],2,0)),"CUIT NO CARGADO")</f>
        <v>-</v>
      </c>
      <c r="H1680" s="64"/>
      <c r="I1680" s="64">
        <f>ventas_b_mes684[[#This Row],[IMPORTE NETO]]*0.21</f>
        <v>0</v>
      </c>
      <c r="J1680" s="64"/>
      <c r="K1680" s="64"/>
      <c r="L1680" s="64">
        <f>SUM(ventas_b_mes684[[#This Row],[IMPORTE NETO]:[EXENTO]])</f>
        <v>0</v>
      </c>
      <c r="M1680" s="59"/>
    </row>
    <row r="1681" spans="2:13" x14ac:dyDescent="0.25">
      <c r="B1681" s="40"/>
      <c r="C1681" s="41"/>
      <c r="D1681" s="42"/>
      <c r="E1681" s="43"/>
      <c r="F1681" s="44"/>
      <c r="G1681" s="1" t="str">
        <f>IFERROR(IF(ventas_b_mes684[[#This Row],[CUIT]]="","-",VLOOKUP(ventas_b_mes684[[#This Row],[CUIT]],Lista_CUIT[#All],2,0)),"CUIT NO CARGADO")</f>
        <v>-</v>
      </c>
      <c r="H1681" s="64"/>
      <c r="I1681" s="64">
        <f>ventas_b_mes684[[#This Row],[IMPORTE NETO]]*0.21</f>
        <v>0</v>
      </c>
      <c r="J1681" s="64"/>
      <c r="K1681" s="64"/>
      <c r="L1681" s="64">
        <f>SUM(ventas_b_mes684[[#This Row],[IMPORTE NETO]:[EXENTO]])</f>
        <v>0</v>
      </c>
      <c r="M1681" s="59"/>
    </row>
    <row r="1682" spans="2:13" x14ac:dyDescent="0.25">
      <c r="B1682" s="40"/>
      <c r="C1682" s="41"/>
      <c r="D1682" s="42"/>
      <c r="E1682" s="43"/>
      <c r="F1682" s="44"/>
      <c r="G1682" s="1" t="str">
        <f>IFERROR(IF(ventas_b_mes684[[#This Row],[CUIT]]="","-",VLOOKUP(ventas_b_mes684[[#This Row],[CUIT]],Lista_CUIT[#All],2,0)),"CUIT NO CARGADO")</f>
        <v>-</v>
      </c>
      <c r="H1682" s="64"/>
      <c r="I1682" s="64">
        <f>ventas_b_mes684[[#This Row],[IMPORTE NETO]]*0.21</f>
        <v>0</v>
      </c>
      <c r="J1682" s="64"/>
      <c r="K1682" s="64"/>
      <c r="L1682" s="64">
        <f>SUM(ventas_b_mes684[[#This Row],[IMPORTE NETO]:[EXENTO]])</f>
        <v>0</v>
      </c>
      <c r="M1682" s="59"/>
    </row>
    <row r="1683" spans="2:13" x14ac:dyDescent="0.25">
      <c r="B1683" s="40"/>
      <c r="C1683" s="41"/>
      <c r="D1683" s="42"/>
      <c r="E1683" s="43"/>
      <c r="F1683" s="44"/>
      <c r="G1683" s="1" t="str">
        <f>IFERROR(IF(ventas_b_mes684[[#This Row],[CUIT]]="","-",VLOOKUP(ventas_b_mes684[[#This Row],[CUIT]],Lista_CUIT[#All],2,0)),"CUIT NO CARGADO")</f>
        <v>-</v>
      </c>
      <c r="H1683" s="64"/>
      <c r="I1683" s="64">
        <f>ventas_b_mes684[[#This Row],[IMPORTE NETO]]*0.21</f>
        <v>0</v>
      </c>
      <c r="J1683" s="64"/>
      <c r="K1683" s="64"/>
      <c r="L1683" s="64">
        <f>SUM(ventas_b_mes684[[#This Row],[IMPORTE NETO]:[EXENTO]])</f>
        <v>0</v>
      </c>
      <c r="M1683" s="59"/>
    </row>
    <row r="1684" spans="2:13" x14ac:dyDescent="0.25">
      <c r="B1684" s="40"/>
      <c r="C1684" s="41"/>
      <c r="D1684" s="42"/>
      <c r="E1684" s="43"/>
      <c r="F1684" s="44"/>
      <c r="G1684" s="1" t="str">
        <f>IFERROR(IF(ventas_b_mes684[[#This Row],[CUIT]]="","-",VLOOKUP(ventas_b_mes684[[#This Row],[CUIT]],Lista_CUIT[#All],2,0)),"CUIT NO CARGADO")</f>
        <v>-</v>
      </c>
      <c r="H1684" s="64"/>
      <c r="I1684" s="64">
        <f>ventas_b_mes684[[#This Row],[IMPORTE NETO]]*0.21</f>
        <v>0</v>
      </c>
      <c r="J1684" s="64"/>
      <c r="K1684" s="64"/>
      <c r="L1684" s="64">
        <f>SUM(ventas_b_mes684[[#This Row],[IMPORTE NETO]:[EXENTO]])</f>
        <v>0</v>
      </c>
      <c r="M1684" s="59"/>
    </row>
    <row r="1685" spans="2:13" x14ac:dyDescent="0.25">
      <c r="B1685" s="40"/>
      <c r="C1685" s="41"/>
      <c r="D1685" s="42"/>
      <c r="E1685" s="43"/>
      <c r="F1685" s="44"/>
      <c r="G1685" s="1" t="str">
        <f>IFERROR(IF(ventas_b_mes684[[#This Row],[CUIT]]="","-",VLOOKUP(ventas_b_mes684[[#This Row],[CUIT]],Lista_CUIT[#All],2,0)),"CUIT NO CARGADO")</f>
        <v>-</v>
      </c>
      <c r="H1685" s="64"/>
      <c r="I1685" s="64">
        <f>ventas_b_mes684[[#This Row],[IMPORTE NETO]]*0.21</f>
        <v>0</v>
      </c>
      <c r="J1685" s="64"/>
      <c r="K1685" s="64"/>
      <c r="L1685" s="64">
        <f>SUM(ventas_b_mes684[[#This Row],[IMPORTE NETO]:[EXENTO]])</f>
        <v>0</v>
      </c>
      <c r="M1685" s="59"/>
    </row>
    <row r="1686" spans="2:13" x14ac:dyDescent="0.25">
      <c r="B1686" s="40"/>
      <c r="C1686" s="41"/>
      <c r="D1686" s="42"/>
      <c r="E1686" s="43"/>
      <c r="F1686" s="44"/>
      <c r="G1686" s="1" t="str">
        <f>IFERROR(IF(ventas_b_mes684[[#This Row],[CUIT]]="","-",VLOOKUP(ventas_b_mes684[[#This Row],[CUIT]],Lista_CUIT[#All],2,0)),"CUIT NO CARGADO")</f>
        <v>-</v>
      </c>
      <c r="H1686" s="64"/>
      <c r="I1686" s="64">
        <f>ventas_b_mes684[[#This Row],[IMPORTE NETO]]*0.21</f>
        <v>0</v>
      </c>
      <c r="J1686" s="64"/>
      <c r="K1686" s="64"/>
      <c r="L1686" s="64">
        <f>SUM(ventas_b_mes684[[#This Row],[IMPORTE NETO]:[EXENTO]])</f>
        <v>0</v>
      </c>
      <c r="M1686" s="59"/>
    </row>
    <row r="1687" spans="2:13" x14ac:dyDescent="0.25">
      <c r="B1687" s="40"/>
      <c r="C1687" s="41"/>
      <c r="D1687" s="42"/>
      <c r="E1687" s="43"/>
      <c r="F1687" s="44"/>
      <c r="G1687" s="1" t="str">
        <f>IFERROR(IF(ventas_b_mes684[[#This Row],[CUIT]]="","-",VLOOKUP(ventas_b_mes684[[#This Row],[CUIT]],Lista_CUIT[#All],2,0)),"CUIT NO CARGADO")</f>
        <v>-</v>
      </c>
      <c r="H1687" s="64"/>
      <c r="I1687" s="64">
        <f>ventas_b_mes684[[#This Row],[IMPORTE NETO]]*0.21</f>
        <v>0</v>
      </c>
      <c r="J1687" s="64"/>
      <c r="K1687" s="64"/>
      <c r="L1687" s="64">
        <f>SUM(ventas_b_mes684[[#This Row],[IMPORTE NETO]:[EXENTO]])</f>
        <v>0</v>
      </c>
      <c r="M1687" s="59"/>
    </row>
    <row r="1688" spans="2:13" x14ac:dyDescent="0.25">
      <c r="B1688" s="40"/>
      <c r="C1688" s="41"/>
      <c r="D1688" s="42"/>
      <c r="E1688" s="43"/>
      <c r="F1688" s="44"/>
      <c r="G1688" s="1" t="str">
        <f>IFERROR(IF(ventas_b_mes684[[#This Row],[CUIT]]="","-",VLOOKUP(ventas_b_mes684[[#This Row],[CUIT]],Lista_CUIT[#All],2,0)),"CUIT NO CARGADO")</f>
        <v>-</v>
      </c>
      <c r="H1688" s="64"/>
      <c r="I1688" s="64">
        <f>ventas_b_mes684[[#This Row],[IMPORTE NETO]]*0.21</f>
        <v>0</v>
      </c>
      <c r="J1688" s="64"/>
      <c r="K1688" s="64"/>
      <c r="L1688" s="64">
        <f>SUM(ventas_b_mes684[[#This Row],[IMPORTE NETO]:[EXENTO]])</f>
        <v>0</v>
      </c>
      <c r="M1688" s="59"/>
    </row>
    <row r="1689" spans="2:13" x14ac:dyDescent="0.25">
      <c r="B1689" s="40"/>
      <c r="C1689" s="41"/>
      <c r="D1689" s="42"/>
      <c r="E1689" s="43"/>
      <c r="F1689" s="44"/>
      <c r="G1689" s="1" t="str">
        <f>IFERROR(IF(ventas_b_mes684[[#This Row],[CUIT]]="","-",VLOOKUP(ventas_b_mes684[[#This Row],[CUIT]],Lista_CUIT[#All],2,0)),"CUIT NO CARGADO")</f>
        <v>-</v>
      </c>
      <c r="H1689" s="64"/>
      <c r="I1689" s="64">
        <f>ventas_b_mes684[[#This Row],[IMPORTE NETO]]*0.21</f>
        <v>0</v>
      </c>
      <c r="J1689" s="64"/>
      <c r="K1689" s="64"/>
      <c r="L1689" s="64">
        <f>SUM(ventas_b_mes684[[#This Row],[IMPORTE NETO]:[EXENTO]])</f>
        <v>0</v>
      </c>
      <c r="M1689" s="59"/>
    </row>
    <row r="1690" spans="2:13" x14ac:dyDescent="0.25">
      <c r="B1690" s="40"/>
      <c r="C1690" s="41"/>
      <c r="D1690" s="42"/>
      <c r="E1690" s="43"/>
      <c r="F1690" s="44"/>
      <c r="G1690" s="1" t="str">
        <f>IFERROR(IF(ventas_b_mes684[[#This Row],[CUIT]]="","-",VLOOKUP(ventas_b_mes684[[#This Row],[CUIT]],Lista_CUIT[#All],2,0)),"CUIT NO CARGADO")</f>
        <v>-</v>
      </c>
      <c r="H1690" s="64"/>
      <c r="I1690" s="64">
        <f>ventas_b_mes684[[#This Row],[IMPORTE NETO]]*0.21</f>
        <v>0</v>
      </c>
      <c r="J1690" s="64"/>
      <c r="K1690" s="64"/>
      <c r="L1690" s="64">
        <f>SUM(ventas_b_mes684[[#This Row],[IMPORTE NETO]:[EXENTO]])</f>
        <v>0</v>
      </c>
      <c r="M1690" s="59"/>
    </row>
    <row r="1691" spans="2:13" x14ac:dyDescent="0.25">
      <c r="B1691" s="40"/>
      <c r="C1691" s="41"/>
      <c r="D1691" s="42"/>
      <c r="E1691" s="43"/>
      <c r="F1691" s="44"/>
      <c r="G1691" s="1" t="str">
        <f>IFERROR(IF(ventas_b_mes684[[#This Row],[CUIT]]="","-",VLOOKUP(ventas_b_mes684[[#This Row],[CUIT]],Lista_CUIT[#All],2,0)),"CUIT NO CARGADO")</f>
        <v>-</v>
      </c>
      <c r="H1691" s="64"/>
      <c r="I1691" s="64">
        <f>ventas_b_mes684[[#This Row],[IMPORTE NETO]]*0.21</f>
        <v>0</v>
      </c>
      <c r="J1691" s="64"/>
      <c r="K1691" s="64"/>
      <c r="L1691" s="64">
        <f>SUM(ventas_b_mes684[[#This Row],[IMPORTE NETO]:[EXENTO]])</f>
        <v>0</v>
      </c>
      <c r="M1691" s="59"/>
    </row>
    <row r="1692" spans="2:13" x14ac:dyDescent="0.25">
      <c r="B1692" s="40"/>
      <c r="C1692" s="41"/>
      <c r="D1692" s="42"/>
      <c r="E1692" s="43"/>
      <c r="F1692" s="44"/>
      <c r="G1692" s="1" t="str">
        <f>IFERROR(IF(ventas_b_mes684[[#This Row],[CUIT]]="","-",VLOOKUP(ventas_b_mes684[[#This Row],[CUIT]],Lista_CUIT[#All],2,0)),"CUIT NO CARGADO")</f>
        <v>-</v>
      </c>
      <c r="H1692" s="64"/>
      <c r="I1692" s="64">
        <f>ventas_b_mes684[[#This Row],[IMPORTE NETO]]*0.21</f>
        <v>0</v>
      </c>
      <c r="J1692" s="64"/>
      <c r="K1692" s="64"/>
      <c r="L1692" s="64">
        <f>SUM(ventas_b_mes684[[#This Row],[IMPORTE NETO]:[EXENTO]])</f>
        <v>0</v>
      </c>
      <c r="M1692" s="59"/>
    </row>
    <row r="1693" spans="2:13" x14ac:dyDescent="0.25">
      <c r="B1693" s="40"/>
      <c r="C1693" s="41"/>
      <c r="D1693" s="42"/>
      <c r="E1693" s="43"/>
      <c r="F1693" s="44"/>
      <c r="G1693" s="1" t="str">
        <f>IFERROR(IF(ventas_b_mes684[[#This Row],[CUIT]]="","-",VLOOKUP(ventas_b_mes684[[#This Row],[CUIT]],Lista_CUIT[#All],2,0)),"CUIT NO CARGADO")</f>
        <v>-</v>
      </c>
      <c r="H1693" s="64"/>
      <c r="I1693" s="64">
        <f>ventas_b_mes684[[#This Row],[IMPORTE NETO]]*0.21</f>
        <v>0</v>
      </c>
      <c r="J1693" s="64"/>
      <c r="K1693" s="64"/>
      <c r="L1693" s="64">
        <f>SUM(ventas_b_mes684[[#This Row],[IMPORTE NETO]:[EXENTO]])</f>
        <v>0</v>
      </c>
      <c r="M1693" s="59"/>
    </row>
    <row r="1694" spans="2:13" x14ac:dyDescent="0.25">
      <c r="B1694" s="40"/>
      <c r="C1694" s="41"/>
      <c r="D1694" s="42"/>
      <c r="E1694" s="43"/>
      <c r="F1694" s="44"/>
      <c r="G1694" s="1" t="str">
        <f>IFERROR(IF(ventas_b_mes684[[#This Row],[CUIT]]="","-",VLOOKUP(ventas_b_mes684[[#This Row],[CUIT]],Lista_CUIT[#All],2,0)),"CUIT NO CARGADO")</f>
        <v>-</v>
      </c>
      <c r="H1694" s="64"/>
      <c r="I1694" s="64">
        <f>ventas_b_mes684[[#This Row],[IMPORTE NETO]]*0.21</f>
        <v>0</v>
      </c>
      <c r="J1694" s="64"/>
      <c r="K1694" s="64"/>
      <c r="L1694" s="64">
        <f>SUM(ventas_b_mes684[[#This Row],[IMPORTE NETO]:[EXENTO]])</f>
        <v>0</v>
      </c>
      <c r="M1694" s="59"/>
    </row>
    <row r="1695" spans="2:13" x14ac:dyDescent="0.25">
      <c r="B1695" s="40"/>
      <c r="C1695" s="41"/>
      <c r="D1695" s="42"/>
      <c r="E1695" s="43"/>
      <c r="F1695" s="44"/>
      <c r="G1695" s="1" t="str">
        <f>IFERROR(IF(ventas_b_mes684[[#This Row],[CUIT]]="","-",VLOOKUP(ventas_b_mes684[[#This Row],[CUIT]],Lista_CUIT[#All],2,0)),"CUIT NO CARGADO")</f>
        <v>-</v>
      </c>
      <c r="H1695" s="64"/>
      <c r="I1695" s="64">
        <f>ventas_b_mes684[[#This Row],[IMPORTE NETO]]*0.21</f>
        <v>0</v>
      </c>
      <c r="J1695" s="64"/>
      <c r="K1695" s="64"/>
      <c r="L1695" s="64">
        <f>SUM(ventas_b_mes684[[#This Row],[IMPORTE NETO]:[EXENTO]])</f>
        <v>0</v>
      </c>
      <c r="M1695" s="59"/>
    </row>
    <row r="1696" spans="2:13" x14ac:dyDescent="0.25">
      <c r="B1696" s="40"/>
      <c r="C1696" s="41"/>
      <c r="D1696" s="42"/>
      <c r="E1696" s="43"/>
      <c r="F1696" s="44"/>
      <c r="G1696" s="1" t="str">
        <f>IFERROR(IF(ventas_b_mes684[[#This Row],[CUIT]]="","-",VLOOKUP(ventas_b_mes684[[#This Row],[CUIT]],Lista_CUIT[#All],2,0)),"CUIT NO CARGADO")</f>
        <v>-</v>
      </c>
      <c r="H1696" s="64"/>
      <c r="I1696" s="64">
        <f>ventas_b_mes684[[#This Row],[IMPORTE NETO]]*0.21</f>
        <v>0</v>
      </c>
      <c r="J1696" s="64"/>
      <c r="K1696" s="64"/>
      <c r="L1696" s="64">
        <f>SUM(ventas_b_mes684[[#This Row],[IMPORTE NETO]:[EXENTO]])</f>
        <v>0</v>
      </c>
      <c r="M1696" s="59"/>
    </row>
    <row r="1697" spans="2:13" x14ac:dyDescent="0.25">
      <c r="B1697" s="40"/>
      <c r="C1697" s="41"/>
      <c r="D1697" s="42"/>
      <c r="E1697" s="43"/>
      <c r="F1697" s="44"/>
      <c r="G1697" s="1" t="str">
        <f>IFERROR(IF(ventas_b_mes684[[#This Row],[CUIT]]="","-",VLOOKUP(ventas_b_mes684[[#This Row],[CUIT]],Lista_CUIT[#All],2,0)),"CUIT NO CARGADO")</f>
        <v>-</v>
      </c>
      <c r="H1697" s="64"/>
      <c r="I1697" s="64">
        <f>ventas_b_mes684[[#This Row],[IMPORTE NETO]]*0.21</f>
        <v>0</v>
      </c>
      <c r="J1697" s="64"/>
      <c r="K1697" s="64"/>
      <c r="L1697" s="64">
        <f>SUM(ventas_b_mes684[[#This Row],[IMPORTE NETO]:[EXENTO]])</f>
        <v>0</v>
      </c>
      <c r="M1697" s="59"/>
    </row>
    <row r="1698" spans="2:13" x14ac:dyDescent="0.25">
      <c r="B1698" s="40"/>
      <c r="C1698" s="41"/>
      <c r="D1698" s="42"/>
      <c r="E1698" s="43"/>
      <c r="F1698" s="44"/>
      <c r="G1698" s="1" t="str">
        <f>IFERROR(IF(ventas_b_mes684[[#This Row],[CUIT]]="","-",VLOOKUP(ventas_b_mes684[[#This Row],[CUIT]],Lista_CUIT[#All],2,0)),"CUIT NO CARGADO")</f>
        <v>-</v>
      </c>
      <c r="H1698" s="64"/>
      <c r="I1698" s="64">
        <f>ventas_b_mes684[[#This Row],[IMPORTE NETO]]*0.21</f>
        <v>0</v>
      </c>
      <c r="J1698" s="64"/>
      <c r="K1698" s="64"/>
      <c r="L1698" s="64">
        <f>SUM(ventas_b_mes684[[#This Row],[IMPORTE NETO]:[EXENTO]])</f>
        <v>0</v>
      </c>
      <c r="M1698" s="59"/>
    </row>
    <row r="1699" spans="2:13" x14ac:dyDescent="0.25">
      <c r="B1699" s="40"/>
      <c r="C1699" s="41"/>
      <c r="D1699" s="42"/>
      <c r="E1699" s="43"/>
      <c r="F1699" s="44"/>
      <c r="G1699" s="1" t="str">
        <f>IFERROR(IF(ventas_b_mes684[[#This Row],[CUIT]]="","-",VLOOKUP(ventas_b_mes684[[#This Row],[CUIT]],Lista_CUIT[#All],2,0)),"CUIT NO CARGADO")</f>
        <v>-</v>
      </c>
      <c r="H1699" s="64"/>
      <c r="I1699" s="64">
        <f>ventas_b_mes684[[#This Row],[IMPORTE NETO]]*0.21</f>
        <v>0</v>
      </c>
      <c r="J1699" s="64"/>
      <c r="K1699" s="64"/>
      <c r="L1699" s="64">
        <f>SUM(ventas_b_mes684[[#This Row],[IMPORTE NETO]:[EXENTO]])</f>
        <v>0</v>
      </c>
      <c r="M1699" s="59"/>
    </row>
    <row r="1700" spans="2:13" x14ac:dyDescent="0.25">
      <c r="B1700" s="40"/>
      <c r="C1700" s="41"/>
      <c r="D1700" s="42"/>
      <c r="E1700" s="43"/>
      <c r="F1700" s="44"/>
      <c r="G1700" s="1" t="str">
        <f>IFERROR(IF(ventas_b_mes684[[#This Row],[CUIT]]="","-",VLOOKUP(ventas_b_mes684[[#This Row],[CUIT]],Lista_CUIT[#All],2,0)),"CUIT NO CARGADO")</f>
        <v>-</v>
      </c>
      <c r="H1700" s="64"/>
      <c r="I1700" s="64">
        <f>ventas_b_mes684[[#This Row],[IMPORTE NETO]]*0.21</f>
        <v>0</v>
      </c>
      <c r="J1700" s="64"/>
      <c r="K1700" s="64"/>
      <c r="L1700" s="64">
        <f>SUM(ventas_b_mes684[[#This Row],[IMPORTE NETO]:[EXENTO]])</f>
        <v>0</v>
      </c>
      <c r="M1700" s="59"/>
    </row>
    <row r="1701" spans="2:13" x14ac:dyDescent="0.25">
      <c r="B1701" s="40"/>
      <c r="C1701" s="41"/>
      <c r="D1701" s="42"/>
      <c r="E1701" s="43"/>
      <c r="F1701" s="44"/>
      <c r="G1701" s="1" t="str">
        <f>IFERROR(IF(ventas_b_mes684[[#This Row],[CUIT]]="","-",VLOOKUP(ventas_b_mes684[[#This Row],[CUIT]],Lista_CUIT[#All],2,0)),"CUIT NO CARGADO")</f>
        <v>-</v>
      </c>
      <c r="H1701" s="64"/>
      <c r="I1701" s="64">
        <f>ventas_b_mes684[[#This Row],[IMPORTE NETO]]*0.21</f>
        <v>0</v>
      </c>
      <c r="J1701" s="64"/>
      <c r="K1701" s="64"/>
      <c r="L1701" s="64">
        <f>SUM(ventas_b_mes684[[#This Row],[IMPORTE NETO]:[EXENTO]])</f>
        <v>0</v>
      </c>
      <c r="M1701" s="59"/>
    </row>
    <row r="1702" spans="2:13" x14ac:dyDescent="0.25">
      <c r="B1702" s="40"/>
      <c r="C1702" s="41"/>
      <c r="D1702" s="42"/>
      <c r="E1702" s="43"/>
      <c r="F1702" s="44"/>
      <c r="G1702" s="1" t="str">
        <f>IFERROR(IF(ventas_b_mes684[[#This Row],[CUIT]]="","-",VLOOKUP(ventas_b_mes684[[#This Row],[CUIT]],Lista_CUIT[#All],2,0)),"CUIT NO CARGADO")</f>
        <v>-</v>
      </c>
      <c r="H1702" s="64"/>
      <c r="I1702" s="64">
        <f>ventas_b_mes684[[#This Row],[IMPORTE NETO]]*0.21</f>
        <v>0</v>
      </c>
      <c r="J1702" s="64"/>
      <c r="K1702" s="64"/>
      <c r="L1702" s="64">
        <f>SUM(ventas_b_mes684[[#This Row],[IMPORTE NETO]:[EXENTO]])</f>
        <v>0</v>
      </c>
      <c r="M1702" s="59"/>
    </row>
    <row r="1703" spans="2:13" x14ac:dyDescent="0.25">
      <c r="B1703" s="40"/>
      <c r="C1703" s="41"/>
      <c r="D1703" s="42"/>
      <c r="E1703" s="43"/>
      <c r="F1703" s="44"/>
      <c r="G1703" s="1" t="str">
        <f>IFERROR(IF(ventas_b_mes684[[#This Row],[CUIT]]="","-",VLOOKUP(ventas_b_mes684[[#This Row],[CUIT]],Lista_CUIT[#All],2,0)),"CUIT NO CARGADO")</f>
        <v>-</v>
      </c>
      <c r="H1703" s="64"/>
      <c r="I1703" s="64">
        <f>ventas_b_mes684[[#This Row],[IMPORTE NETO]]*0.21</f>
        <v>0</v>
      </c>
      <c r="J1703" s="64"/>
      <c r="K1703" s="64"/>
      <c r="L1703" s="64">
        <f>SUM(ventas_b_mes684[[#This Row],[IMPORTE NETO]:[EXENTO]])</f>
        <v>0</v>
      </c>
      <c r="M1703" s="59"/>
    </row>
    <row r="1704" spans="2:13" x14ac:dyDescent="0.25">
      <c r="B1704" s="40"/>
      <c r="C1704" s="41"/>
      <c r="D1704" s="42"/>
      <c r="E1704" s="43"/>
      <c r="F1704" s="44"/>
      <c r="G1704" s="1" t="str">
        <f>IFERROR(IF(ventas_b_mes684[[#This Row],[CUIT]]="","-",VLOOKUP(ventas_b_mes684[[#This Row],[CUIT]],Lista_CUIT[#All],2,0)),"CUIT NO CARGADO")</f>
        <v>-</v>
      </c>
      <c r="H1704" s="64"/>
      <c r="I1704" s="64">
        <f>ventas_b_mes684[[#This Row],[IMPORTE NETO]]*0.21</f>
        <v>0</v>
      </c>
      <c r="J1704" s="64"/>
      <c r="K1704" s="64"/>
      <c r="L1704" s="64">
        <f>SUM(ventas_b_mes684[[#This Row],[IMPORTE NETO]:[EXENTO]])</f>
        <v>0</v>
      </c>
      <c r="M1704" s="59"/>
    </row>
    <row r="1705" spans="2:13" x14ac:dyDescent="0.25">
      <c r="B1705" s="40"/>
      <c r="C1705" s="41"/>
      <c r="D1705" s="42"/>
      <c r="E1705" s="43"/>
      <c r="F1705" s="44"/>
      <c r="G1705" s="1" t="str">
        <f>IFERROR(IF(ventas_b_mes684[[#This Row],[CUIT]]="","-",VLOOKUP(ventas_b_mes684[[#This Row],[CUIT]],Lista_CUIT[#All],2,0)),"CUIT NO CARGADO")</f>
        <v>-</v>
      </c>
      <c r="H1705" s="64"/>
      <c r="I1705" s="64">
        <f>ventas_b_mes684[[#This Row],[IMPORTE NETO]]*0.21</f>
        <v>0</v>
      </c>
      <c r="J1705" s="64"/>
      <c r="K1705" s="64"/>
      <c r="L1705" s="64">
        <f>SUM(ventas_b_mes684[[#This Row],[IMPORTE NETO]:[EXENTO]])</f>
        <v>0</v>
      </c>
      <c r="M1705" s="59"/>
    </row>
    <row r="1706" spans="2:13" x14ac:dyDescent="0.25">
      <c r="B1706" s="40"/>
      <c r="C1706" s="41"/>
      <c r="D1706" s="42"/>
      <c r="E1706" s="43"/>
      <c r="F1706" s="44"/>
      <c r="G1706" s="1" t="str">
        <f>IFERROR(IF(ventas_b_mes684[[#This Row],[CUIT]]="","-",VLOOKUP(ventas_b_mes684[[#This Row],[CUIT]],Lista_CUIT[#All],2,0)),"CUIT NO CARGADO")</f>
        <v>-</v>
      </c>
      <c r="H1706" s="64"/>
      <c r="I1706" s="64">
        <f>ventas_b_mes684[[#This Row],[IMPORTE NETO]]*0.21</f>
        <v>0</v>
      </c>
      <c r="J1706" s="64"/>
      <c r="K1706" s="64"/>
      <c r="L1706" s="64">
        <f>SUM(ventas_b_mes684[[#This Row],[IMPORTE NETO]:[EXENTO]])</f>
        <v>0</v>
      </c>
      <c r="M1706" s="59"/>
    </row>
    <row r="1707" spans="2:13" x14ac:dyDescent="0.25">
      <c r="B1707" s="40"/>
      <c r="C1707" s="41"/>
      <c r="D1707" s="42"/>
      <c r="E1707" s="43"/>
      <c r="F1707" s="44"/>
      <c r="G1707" s="1" t="str">
        <f>IFERROR(IF(ventas_b_mes684[[#This Row],[CUIT]]="","-",VLOOKUP(ventas_b_mes684[[#This Row],[CUIT]],Lista_CUIT[#All],2,0)),"CUIT NO CARGADO")</f>
        <v>-</v>
      </c>
      <c r="H1707" s="64"/>
      <c r="I1707" s="64">
        <f>ventas_b_mes684[[#This Row],[IMPORTE NETO]]*0.21</f>
        <v>0</v>
      </c>
      <c r="J1707" s="64"/>
      <c r="K1707" s="64"/>
      <c r="L1707" s="64">
        <f>SUM(ventas_b_mes684[[#This Row],[IMPORTE NETO]:[EXENTO]])</f>
        <v>0</v>
      </c>
      <c r="M1707" s="59"/>
    </row>
    <row r="1708" spans="2:13" x14ac:dyDescent="0.25">
      <c r="B1708" s="40"/>
      <c r="C1708" s="41"/>
      <c r="D1708" s="42"/>
      <c r="E1708" s="43"/>
      <c r="F1708" s="44"/>
      <c r="G1708" s="1" t="str">
        <f>IFERROR(IF(ventas_b_mes684[[#This Row],[CUIT]]="","-",VLOOKUP(ventas_b_mes684[[#This Row],[CUIT]],Lista_CUIT[#All],2,0)),"CUIT NO CARGADO")</f>
        <v>-</v>
      </c>
      <c r="H1708" s="64"/>
      <c r="I1708" s="64">
        <f>ventas_b_mes684[[#This Row],[IMPORTE NETO]]*0.21</f>
        <v>0</v>
      </c>
      <c r="J1708" s="64"/>
      <c r="K1708" s="64"/>
      <c r="L1708" s="64">
        <f>SUM(ventas_b_mes684[[#This Row],[IMPORTE NETO]:[EXENTO]])</f>
        <v>0</v>
      </c>
      <c r="M1708" s="59"/>
    </row>
    <row r="1709" spans="2:13" x14ac:dyDescent="0.25">
      <c r="B1709" s="40"/>
      <c r="C1709" s="41"/>
      <c r="D1709" s="42"/>
      <c r="E1709" s="43"/>
      <c r="F1709" s="44"/>
      <c r="G1709" s="1" t="str">
        <f>IFERROR(IF(ventas_b_mes684[[#This Row],[CUIT]]="","-",VLOOKUP(ventas_b_mes684[[#This Row],[CUIT]],Lista_CUIT[#All],2,0)),"CUIT NO CARGADO")</f>
        <v>-</v>
      </c>
      <c r="H1709" s="64"/>
      <c r="I1709" s="64">
        <f>ventas_b_mes684[[#This Row],[IMPORTE NETO]]*0.21</f>
        <v>0</v>
      </c>
      <c r="J1709" s="64"/>
      <c r="K1709" s="64"/>
      <c r="L1709" s="64">
        <f>SUM(ventas_b_mes684[[#This Row],[IMPORTE NETO]:[EXENTO]])</f>
        <v>0</v>
      </c>
      <c r="M1709" s="59"/>
    </row>
    <row r="1710" spans="2:13" x14ac:dyDescent="0.25">
      <c r="B1710" s="40"/>
      <c r="C1710" s="41"/>
      <c r="D1710" s="42"/>
      <c r="E1710" s="43"/>
      <c r="F1710" s="44"/>
      <c r="G1710" s="1" t="str">
        <f>IFERROR(IF(ventas_b_mes684[[#This Row],[CUIT]]="","-",VLOOKUP(ventas_b_mes684[[#This Row],[CUIT]],Lista_CUIT[#All],2,0)),"CUIT NO CARGADO")</f>
        <v>-</v>
      </c>
      <c r="H1710" s="64"/>
      <c r="I1710" s="64">
        <f>ventas_b_mes684[[#This Row],[IMPORTE NETO]]*0.21</f>
        <v>0</v>
      </c>
      <c r="J1710" s="64"/>
      <c r="K1710" s="64"/>
      <c r="L1710" s="64">
        <f>SUM(ventas_b_mes684[[#This Row],[IMPORTE NETO]:[EXENTO]])</f>
        <v>0</v>
      </c>
      <c r="M1710" s="59"/>
    </row>
    <row r="1711" spans="2:13" x14ac:dyDescent="0.25">
      <c r="B1711" s="40"/>
      <c r="C1711" s="41"/>
      <c r="D1711" s="42"/>
      <c r="E1711" s="43"/>
      <c r="F1711" s="44"/>
      <c r="G1711" s="1" t="str">
        <f>IFERROR(IF(ventas_b_mes684[[#This Row],[CUIT]]="","-",VLOOKUP(ventas_b_mes684[[#This Row],[CUIT]],Lista_CUIT[#All],2,0)),"CUIT NO CARGADO")</f>
        <v>-</v>
      </c>
      <c r="H1711" s="64"/>
      <c r="I1711" s="64">
        <f>ventas_b_mes684[[#This Row],[IMPORTE NETO]]*0.21</f>
        <v>0</v>
      </c>
      <c r="J1711" s="64"/>
      <c r="K1711" s="64"/>
      <c r="L1711" s="64">
        <f>SUM(ventas_b_mes684[[#This Row],[IMPORTE NETO]:[EXENTO]])</f>
        <v>0</v>
      </c>
      <c r="M1711" s="59"/>
    </row>
    <row r="1712" spans="2:13" x14ac:dyDescent="0.25">
      <c r="B1712" s="40"/>
      <c r="C1712" s="41"/>
      <c r="D1712" s="42"/>
      <c r="E1712" s="43"/>
      <c r="F1712" s="44"/>
      <c r="G1712" s="1" t="str">
        <f>IFERROR(IF(ventas_b_mes684[[#This Row],[CUIT]]="","-",VLOOKUP(ventas_b_mes684[[#This Row],[CUIT]],Lista_CUIT[#All],2,0)),"CUIT NO CARGADO")</f>
        <v>-</v>
      </c>
      <c r="H1712" s="64"/>
      <c r="I1712" s="64">
        <f>ventas_b_mes684[[#This Row],[IMPORTE NETO]]*0.21</f>
        <v>0</v>
      </c>
      <c r="J1712" s="64"/>
      <c r="K1712" s="64"/>
      <c r="L1712" s="64">
        <f>SUM(ventas_b_mes684[[#This Row],[IMPORTE NETO]:[EXENTO]])</f>
        <v>0</v>
      </c>
      <c r="M1712" s="59"/>
    </row>
    <row r="1713" spans="2:13" x14ac:dyDescent="0.25">
      <c r="B1713" s="40"/>
      <c r="C1713" s="41"/>
      <c r="D1713" s="42"/>
      <c r="E1713" s="43"/>
      <c r="F1713" s="44"/>
      <c r="G1713" s="1" t="str">
        <f>IFERROR(IF(ventas_b_mes684[[#This Row],[CUIT]]="","-",VLOOKUP(ventas_b_mes684[[#This Row],[CUIT]],Lista_CUIT[#All],2,0)),"CUIT NO CARGADO")</f>
        <v>-</v>
      </c>
      <c r="H1713" s="64"/>
      <c r="I1713" s="64">
        <f>ventas_b_mes684[[#This Row],[IMPORTE NETO]]*0.21</f>
        <v>0</v>
      </c>
      <c r="J1713" s="64"/>
      <c r="K1713" s="64"/>
      <c r="L1713" s="64">
        <f>SUM(ventas_b_mes684[[#This Row],[IMPORTE NETO]:[EXENTO]])</f>
        <v>0</v>
      </c>
      <c r="M1713" s="59"/>
    </row>
    <row r="1714" spans="2:13" x14ac:dyDescent="0.25">
      <c r="B1714" s="40"/>
      <c r="C1714" s="41"/>
      <c r="D1714" s="42"/>
      <c r="E1714" s="43"/>
      <c r="F1714" s="44"/>
      <c r="G1714" s="1" t="str">
        <f>IFERROR(IF(ventas_b_mes684[[#This Row],[CUIT]]="","-",VLOOKUP(ventas_b_mes684[[#This Row],[CUIT]],Lista_CUIT[#All],2,0)),"CUIT NO CARGADO")</f>
        <v>-</v>
      </c>
      <c r="H1714" s="64"/>
      <c r="I1714" s="64">
        <f>ventas_b_mes684[[#This Row],[IMPORTE NETO]]*0.21</f>
        <v>0</v>
      </c>
      <c r="J1714" s="64"/>
      <c r="K1714" s="64"/>
      <c r="L1714" s="64">
        <f>SUM(ventas_b_mes684[[#This Row],[IMPORTE NETO]:[EXENTO]])</f>
        <v>0</v>
      </c>
      <c r="M1714" s="59"/>
    </row>
    <row r="1715" spans="2:13" x14ac:dyDescent="0.25">
      <c r="B1715" s="40"/>
      <c r="C1715" s="41"/>
      <c r="D1715" s="42"/>
      <c r="E1715" s="43"/>
      <c r="F1715" s="44"/>
      <c r="G1715" s="1" t="str">
        <f>IFERROR(IF(ventas_b_mes684[[#This Row],[CUIT]]="","-",VLOOKUP(ventas_b_mes684[[#This Row],[CUIT]],Lista_CUIT[#All],2,0)),"CUIT NO CARGADO")</f>
        <v>-</v>
      </c>
      <c r="H1715" s="64"/>
      <c r="I1715" s="64">
        <f>ventas_b_mes684[[#This Row],[IMPORTE NETO]]*0.21</f>
        <v>0</v>
      </c>
      <c r="J1715" s="64"/>
      <c r="K1715" s="64"/>
      <c r="L1715" s="64">
        <f>SUM(ventas_b_mes684[[#This Row],[IMPORTE NETO]:[EXENTO]])</f>
        <v>0</v>
      </c>
      <c r="M1715" s="59"/>
    </row>
    <row r="1716" spans="2:13" x14ac:dyDescent="0.25">
      <c r="B1716" s="40"/>
      <c r="C1716" s="41"/>
      <c r="D1716" s="42"/>
      <c r="E1716" s="43"/>
      <c r="F1716" s="44"/>
      <c r="G1716" s="1" t="str">
        <f>IFERROR(IF(ventas_b_mes684[[#This Row],[CUIT]]="","-",VLOOKUP(ventas_b_mes684[[#This Row],[CUIT]],Lista_CUIT[#All],2,0)),"CUIT NO CARGADO")</f>
        <v>-</v>
      </c>
      <c r="H1716" s="64"/>
      <c r="I1716" s="64">
        <f>ventas_b_mes684[[#This Row],[IMPORTE NETO]]*0.21</f>
        <v>0</v>
      </c>
      <c r="J1716" s="64"/>
      <c r="K1716" s="64"/>
      <c r="L1716" s="64">
        <f>SUM(ventas_b_mes684[[#This Row],[IMPORTE NETO]:[EXENTO]])</f>
        <v>0</v>
      </c>
      <c r="M1716" s="59"/>
    </row>
    <row r="1717" spans="2:13" x14ac:dyDescent="0.25">
      <c r="B1717" s="40"/>
      <c r="C1717" s="41"/>
      <c r="D1717" s="42"/>
      <c r="E1717" s="43"/>
      <c r="F1717" s="44"/>
      <c r="G1717" s="1" t="str">
        <f>IFERROR(IF(ventas_b_mes684[[#This Row],[CUIT]]="","-",VLOOKUP(ventas_b_mes684[[#This Row],[CUIT]],Lista_CUIT[#All],2,0)),"CUIT NO CARGADO")</f>
        <v>-</v>
      </c>
      <c r="H1717" s="64"/>
      <c r="I1717" s="64">
        <f>ventas_b_mes684[[#This Row],[IMPORTE NETO]]*0.21</f>
        <v>0</v>
      </c>
      <c r="J1717" s="64"/>
      <c r="K1717" s="64"/>
      <c r="L1717" s="64">
        <f>SUM(ventas_b_mes684[[#This Row],[IMPORTE NETO]:[EXENTO]])</f>
        <v>0</v>
      </c>
      <c r="M1717" s="59"/>
    </row>
    <row r="1718" spans="2:13" x14ac:dyDescent="0.25">
      <c r="B1718" s="40"/>
      <c r="C1718" s="41"/>
      <c r="D1718" s="42"/>
      <c r="E1718" s="43"/>
      <c r="F1718" s="44"/>
      <c r="G1718" s="1" t="str">
        <f>IFERROR(IF(ventas_b_mes684[[#This Row],[CUIT]]="","-",VLOOKUP(ventas_b_mes684[[#This Row],[CUIT]],Lista_CUIT[#All],2,0)),"CUIT NO CARGADO")</f>
        <v>-</v>
      </c>
      <c r="H1718" s="64"/>
      <c r="I1718" s="64">
        <f>ventas_b_mes684[[#This Row],[IMPORTE NETO]]*0.21</f>
        <v>0</v>
      </c>
      <c r="J1718" s="64"/>
      <c r="K1718" s="64"/>
      <c r="L1718" s="64">
        <f>SUM(ventas_b_mes684[[#This Row],[IMPORTE NETO]:[EXENTO]])</f>
        <v>0</v>
      </c>
      <c r="M1718" s="59"/>
    </row>
    <row r="1719" spans="2:13" x14ac:dyDescent="0.25">
      <c r="B1719" s="40"/>
      <c r="C1719" s="41"/>
      <c r="D1719" s="42"/>
      <c r="E1719" s="43"/>
      <c r="F1719" s="44"/>
      <c r="G1719" s="1" t="str">
        <f>IFERROR(IF(ventas_b_mes684[[#This Row],[CUIT]]="","-",VLOOKUP(ventas_b_mes684[[#This Row],[CUIT]],Lista_CUIT[#All],2,0)),"CUIT NO CARGADO")</f>
        <v>-</v>
      </c>
      <c r="H1719" s="64"/>
      <c r="I1719" s="64">
        <f>ventas_b_mes684[[#This Row],[IMPORTE NETO]]*0.21</f>
        <v>0</v>
      </c>
      <c r="J1719" s="64"/>
      <c r="K1719" s="64"/>
      <c r="L1719" s="64">
        <f>SUM(ventas_b_mes684[[#This Row],[IMPORTE NETO]:[EXENTO]])</f>
        <v>0</v>
      </c>
      <c r="M1719" s="59"/>
    </row>
    <row r="1720" spans="2:13" x14ac:dyDescent="0.25">
      <c r="B1720" s="40"/>
      <c r="C1720" s="41"/>
      <c r="D1720" s="42"/>
      <c r="E1720" s="43"/>
      <c r="F1720" s="44"/>
      <c r="G1720" s="1" t="str">
        <f>IFERROR(IF(ventas_b_mes684[[#This Row],[CUIT]]="","-",VLOOKUP(ventas_b_mes684[[#This Row],[CUIT]],Lista_CUIT[#All],2,0)),"CUIT NO CARGADO")</f>
        <v>-</v>
      </c>
      <c r="H1720" s="64"/>
      <c r="I1720" s="64">
        <f>ventas_b_mes684[[#This Row],[IMPORTE NETO]]*0.21</f>
        <v>0</v>
      </c>
      <c r="J1720" s="64"/>
      <c r="K1720" s="64"/>
      <c r="L1720" s="64">
        <f>SUM(ventas_b_mes684[[#This Row],[IMPORTE NETO]:[EXENTO]])</f>
        <v>0</v>
      </c>
      <c r="M1720" s="59"/>
    </row>
    <row r="1721" spans="2:13" x14ac:dyDescent="0.25">
      <c r="B1721" s="40"/>
      <c r="C1721" s="41"/>
      <c r="D1721" s="42"/>
      <c r="E1721" s="43"/>
      <c r="F1721" s="44"/>
      <c r="G1721" s="1" t="str">
        <f>IFERROR(IF(ventas_b_mes684[[#This Row],[CUIT]]="","-",VLOOKUP(ventas_b_mes684[[#This Row],[CUIT]],Lista_CUIT[#All],2,0)),"CUIT NO CARGADO")</f>
        <v>-</v>
      </c>
      <c r="H1721" s="64"/>
      <c r="I1721" s="64">
        <f>ventas_b_mes684[[#This Row],[IMPORTE NETO]]*0.21</f>
        <v>0</v>
      </c>
      <c r="J1721" s="64"/>
      <c r="K1721" s="64"/>
      <c r="L1721" s="64">
        <f>SUM(ventas_b_mes684[[#This Row],[IMPORTE NETO]:[EXENTO]])</f>
        <v>0</v>
      </c>
      <c r="M1721" s="59"/>
    </row>
    <row r="1722" spans="2:13" x14ac:dyDescent="0.25">
      <c r="B1722" s="40"/>
      <c r="C1722" s="41"/>
      <c r="D1722" s="42"/>
      <c r="E1722" s="43"/>
      <c r="F1722" s="44"/>
      <c r="G1722" s="1" t="str">
        <f>IFERROR(IF(ventas_b_mes684[[#This Row],[CUIT]]="","-",VLOOKUP(ventas_b_mes684[[#This Row],[CUIT]],Lista_CUIT[#All],2,0)),"CUIT NO CARGADO")</f>
        <v>-</v>
      </c>
      <c r="H1722" s="64"/>
      <c r="I1722" s="64">
        <f>ventas_b_mes684[[#This Row],[IMPORTE NETO]]*0.21</f>
        <v>0</v>
      </c>
      <c r="J1722" s="64"/>
      <c r="K1722" s="64"/>
      <c r="L1722" s="64">
        <f>SUM(ventas_b_mes684[[#This Row],[IMPORTE NETO]:[EXENTO]])</f>
        <v>0</v>
      </c>
      <c r="M1722" s="59"/>
    </row>
    <row r="1723" spans="2:13" x14ac:dyDescent="0.25">
      <c r="B1723" s="40"/>
      <c r="C1723" s="41"/>
      <c r="D1723" s="42"/>
      <c r="E1723" s="43"/>
      <c r="F1723" s="44"/>
      <c r="G1723" s="1" t="str">
        <f>IFERROR(IF(ventas_b_mes684[[#This Row],[CUIT]]="","-",VLOOKUP(ventas_b_mes684[[#This Row],[CUIT]],Lista_CUIT[#All],2,0)),"CUIT NO CARGADO")</f>
        <v>-</v>
      </c>
      <c r="H1723" s="64"/>
      <c r="I1723" s="64">
        <f>ventas_b_mes684[[#This Row],[IMPORTE NETO]]*0.21</f>
        <v>0</v>
      </c>
      <c r="J1723" s="64"/>
      <c r="K1723" s="64"/>
      <c r="L1723" s="64">
        <f>SUM(ventas_b_mes684[[#This Row],[IMPORTE NETO]:[EXENTO]])</f>
        <v>0</v>
      </c>
      <c r="M1723" s="59"/>
    </row>
    <row r="1724" spans="2:13" x14ac:dyDescent="0.25">
      <c r="B1724" s="40"/>
      <c r="C1724" s="41"/>
      <c r="D1724" s="42"/>
      <c r="E1724" s="43"/>
      <c r="F1724" s="44"/>
      <c r="G1724" s="1" t="str">
        <f>IFERROR(IF(ventas_b_mes684[[#This Row],[CUIT]]="","-",VLOOKUP(ventas_b_mes684[[#This Row],[CUIT]],Lista_CUIT[#All],2,0)),"CUIT NO CARGADO")</f>
        <v>-</v>
      </c>
      <c r="H1724" s="64"/>
      <c r="I1724" s="64">
        <f>ventas_b_mes684[[#This Row],[IMPORTE NETO]]*0.21</f>
        <v>0</v>
      </c>
      <c r="J1724" s="64"/>
      <c r="K1724" s="64"/>
      <c r="L1724" s="64">
        <f>SUM(ventas_b_mes684[[#This Row],[IMPORTE NETO]:[EXENTO]])</f>
        <v>0</v>
      </c>
      <c r="M1724" s="59"/>
    </row>
    <row r="1725" spans="2:13" x14ac:dyDescent="0.25">
      <c r="B1725" s="40"/>
      <c r="C1725" s="41"/>
      <c r="D1725" s="42"/>
      <c r="E1725" s="43"/>
      <c r="F1725" s="44"/>
      <c r="G1725" s="1" t="str">
        <f>IFERROR(IF(ventas_b_mes684[[#This Row],[CUIT]]="","-",VLOOKUP(ventas_b_mes684[[#This Row],[CUIT]],Lista_CUIT[#All],2,0)),"CUIT NO CARGADO")</f>
        <v>-</v>
      </c>
      <c r="H1725" s="64"/>
      <c r="I1725" s="64">
        <f>ventas_b_mes684[[#This Row],[IMPORTE NETO]]*0.21</f>
        <v>0</v>
      </c>
      <c r="J1725" s="64"/>
      <c r="K1725" s="64"/>
      <c r="L1725" s="64">
        <f>SUM(ventas_b_mes684[[#This Row],[IMPORTE NETO]:[EXENTO]])</f>
        <v>0</v>
      </c>
      <c r="M1725" s="59"/>
    </row>
    <row r="1726" spans="2:13" x14ac:dyDescent="0.25">
      <c r="B1726" s="40"/>
      <c r="C1726" s="41"/>
      <c r="D1726" s="42"/>
      <c r="E1726" s="43"/>
      <c r="F1726" s="44"/>
      <c r="G1726" s="1" t="str">
        <f>IFERROR(IF(ventas_b_mes684[[#This Row],[CUIT]]="","-",VLOOKUP(ventas_b_mes684[[#This Row],[CUIT]],Lista_CUIT[#All],2,0)),"CUIT NO CARGADO")</f>
        <v>-</v>
      </c>
      <c r="H1726" s="64"/>
      <c r="I1726" s="64">
        <f>ventas_b_mes684[[#This Row],[IMPORTE NETO]]*0.21</f>
        <v>0</v>
      </c>
      <c r="J1726" s="64"/>
      <c r="K1726" s="64"/>
      <c r="L1726" s="64">
        <f>SUM(ventas_b_mes684[[#This Row],[IMPORTE NETO]:[EXENTO]])</f>
        <v>0</v>
      </c>
      <c r="M1726" s="59"/>
    </row>
    <row r="1727" spans="2:13" x14ac:dyDescent="0.25">
      <c r="B1727" s="40"/>
      <c r="C1727" s="41"/>
      <c r="D1727" s="42"/>
      <c r="E1727" s="43"/>
      <c r="F1727" s="44"/>
      <c r="G1727" s="1" t="str">
        <f>IFERROR(IF(ventas_b_mes684[[#This Row],[CUIT]]="","-",VLOOKUP(ventas_b_mes684[[#This Row],[CUIT]],Lista_CUIT[#All],2,0)),"CUIT NO CARGADO")</f>
        <v>-</v>
      </c>
      <c r="H1727" s="64"/>
      <c r="I1727" s="64">
        <f>ventas_b_mes684[[#This Row],[IMPORTE NETO]]*0.21</f>
        <v>0</v>
      </c>
      <c r="J1727" s="64"/>
      <c r="K1727" s="64"/>
      <c r="L1727" s="64">
        <f>SUM(ventas_b_mes684[[#This Row],[IMPORTE NETO]:[EXENTO]])</f>
        <v>0</v>
      </c>
      <c r="M1727" s="59"/>
    </row>
    <row r="1728" spans="2:13" x14ac:dyDescent="0.25">
      <c r="B1728" s="40"/>
      <c r="C1728" s="41"/>
      <c r="D1728" s="42"/>
      <c r="E1728" s="43"/>
      <c r="F1728" s="44"/>
      <c r="G1728" s="1" t="str">
        <f>IFERROR(IF(ventas_b_mes684[[#This Row],[CUIT]]="","-",VLOOKUP(ventas_b_mes684[[#This Row],[CUIT]],Lista_CUIT[#All],2,0)),"CUIT NO CARGADO")</f>
        <v>-</v>
      </c>
      <c r="H1728" s="64"/>
      <c r="I1728" s="64">
        <f>ventas_b_mes684[[#This Row],[IMPORTE NETO]]*0.21</f>
        <v>0</v>
      </c>
      <c r="J1728" s="64"/>
      <c r="K1728" s="64"/>
      <c r="L1728" s="64">
        <f>SUM(ventas_b_mes684[[#This Row],[IMPORTE NETO]:[EXENTO]])</f>
        <v>0</v>
      </c>
      <c r="M1728" s="59"/>
    </row>
    <row r="1729" spans="2:13" x14ac:dyDescent="0.25">
      <c r="B1729" s="40"/>
      <c r="C1729" s="41"/>
      <c r="D1729" s="42"/>
      <c r="E1729" s="43"/>
      <c r="F1729" s="44"/>
      <c r="G1729" s="1" t="str">
        <f>IFERROR(IF(ventas_b_mes684[[#This Row],[CUIT]]="","-",VLOOKUP(ventas_b_mes684[[#This Row],[CUIT]],Lista_CUIT[#All],2,0)),"CUIT NO CARGADO")</f>
        <v>-</v>
      </c>
      <c r="H1729" s="64"/>
      <c r="I1729" s="64">
        <f>ventas_b_mes684[[#This Row],[IMPORTE NETO]]*0.21</f>
        <v>0</v>
      </c>
      <c r="J1729" s="64"/>
      <c r="K1729" s="64"/>
      <c r="L1729" s="64">
        <f>SUM(ventas_b_mes684[[#This Row],[IMPORTE NETO]:[EXENTO]])</f>
        <v>0</v>
      </c>
      <c r="M1729" s="59"/>
    </row>
    <row r="1730" spans="2:13" x14ac:dyDescent="0.25">
      <c r="B1730" s="40"/>
      <c r="C1730" s="41"/>
      <c r="D1730" s="42"/>
      <c r="E1730" s="43"/>
      <c r="F1730" s="44"/>
      <c r="G1730" s="1" t="str">
        <f>IFERROR(IF(ventas_b_mes684[[#This Row],[CUIT]]="","-",VLOOKUP(ventas_b_mes684[[#This Row],[CUIT]],Lista_CUIT[#All],2,0)),"CUIT NO CARGADO")</f>
        <v>-</v>
      </c>
      <c r="H1730" s="64"/>
      <c r="I1730" s="64">
        <f>ventas_b_mes684[[#This Row],[IMPORTE NETO]]*0.21</f>
        <v>0</v>
      </c>
      <c r="J1730" s="64"/>
      <c r="K1730" s="64"/>
      <c r="L1730" s="64">
        <f>SUM(ventas_b_mes684[[#This Row],[IMPORTE NETO]:[EXENTO]])</f>
        <v>0</v>
      </c>
      <c r="M1730" s="59"/>
    </row>
    <row r="1731" spans="2:13" x14ac:dyDescent="0.25">
      <c r="B1731" s="40"/>
      <c r="C1731" s="41"/>
      <c r="D1731" s="42"/>
      <c r="E1731" s="43"/>
      <c r="F1731" s="44"/>
      <c r="G1731" s="1" t="str">
        <f>IFERROR(IF(ventas_b_mes684[[#This Row],[CUIT]]="","-",VLOOKUP(ventas_b_mes684[[#This Row],[CUIT]],Lista_CUIT[#All],2,0)),"CUIT NO CARGADO")</f>
        <v>-</v>
      </c>
      <c r="H1731" s="64"/>
      <c r="I1731" s="64">
        <f>ventas_b_mes684[[#This Row],[IMPORTE NETO]]*0.21</f>
        <v>0</v>
      </c>
      <c r="J1731" s="64"/>
      <c r="K1731" s="64"/>
      <c r="L1731" s="64">
        <f>SUM(ventas_b_mes684[[#This Row],[IMPORTE NETO]:[EXENTO]])</f>
        <v>0</v>
      </c>
      <c r="M1731" s="59"/>
    </row>
    <row r="1732" spans="2:13" x14ac:dyDescent="0.25">
      <c r="B1732" s="40"/>
      <c r="C1732" s="41"/>
      <c r="D1732" s="42"/>
      <c r="E1732" s="43"/>
      <c r="F1732" s="44"/>
      <c r="G1732" s="1" t="str">
        <f>IFERROR(IF(ventas_b_mes684[[#This Row],[CUIT]]="","-",VLOOKUP(ventas_b_mes684[[#This Row],[CUIT]],Lista_CUIT[#All],2,0)),"CUIT NO CARGADO")</f>
        <v>-</v>
      </c>
      <c r="H1732" s="64"/>
      <c r="I1732" s="64">
        <f>ventas_b_mes684[[#This Row],[IMPORTE NETO]]*0.21</f>
        <v>0</v>
      </c>
      <c r="J1732" s="64"/>
      <c r="K1732" s="64"/>
      <c r="L1732" s="64">
        <f>SUM(ventas_b_mes684[[#This Row],[IMPORTE NETO]:[EXENTO]])</f>
        <v>0</v>
      </c>
      <c r="M1732" s="59"/>
    </row>
    <row r="1733" spans="2:13" x14ac:dyDescent="0.25">
      <c r="B1733" s="40"/>
      <c r="C1733" s="41"/>
      <c r="D1733" s="42"/>
      <c r="E1733" s="43"/>
      <c r="F1733" s="44"/>
      <c r="G1733" s="1" t="str">
        <f>IFERROR(IF(ventas_b_mes684[[#This Row],[CUIT]]="","-",VLOOKUP(ventas_b_mes684[[#This Row],[CUIT]],Lista_CUIT[#All],2,0)),"CUIT NO CARGADO")</f>
        <v>-</v>
      </c>
      <c r="H1733" s="64"/>
      <c r="I1733" s="64">
        <f>ventas_b_mes684[[#This Row],[IMPORTE NETO]]*0.21</f>
        <v>0</v>
      </c>
      <c r="J1733" s="64"/>
      <c r="K1733" s="64"/>
      <c r="L1733" s="64">
        <f>SUM(ventas_b_mes684[[#This Row],[IMPORTE NETO]:[EXENTO]])</f>
        <v>0</v>
      </c>
      <c r="M1733" s="59"/>
    </row>
    <row r="1734" spans="2:13" x14ac:dyDescent="0.25">
      <c r="B1734" s="40"/>
      <c r="C1734" s="41"/>
      <c r="D1734" s="42"/>
      <c r="E1734" s="43"/>
      <c r="F1734" s="44"/>
      <c r="G1734" s="1" t="str">
        <f>IFERROR(IF(ventas_b_mes684[[#This Row],[CUIT]]="","-",VLOOKUP(ventas_b_mes684[[#This Row],[CUIT]],Lista_CUIT[#All],2,0)),"CUIT NO CARGADO")</f>
        <v>-</v>
      </c>
      <c r="H1734" s="64"/>
      <c r="I1734" s="64">
        <f>ventas_b_mes684[[#This Row],[IMPORTE NETO]]*0.21</f>
        <v>0</v>
      </c>
      <c r="J1734" s="64"/>
      <c r="K1734" s="64"/>
      <c r="L1734" s="64">
        <f>SUM(ventas_b_mes684[[#This Row],[IMPORTE NETO]:[EXENTO]])</f>
        <v>0</v>
      </c>
      <c r="M1734" s="59"/>
    </row>
    <row r="1735" spans="2:13" x14ac:dyDescent="0.25">
      <c r="B1735" s="40"/>
      <c r="C1735" s="41"/>
      <c r="D1735" s="42"/>
      <c r="E1735" s="43"/>
      <c r="F1735" s="44"/>
      <c r="G1735" s="1" t="str">
        <f>IFERROR(IF(ventas_b_mes684[[#This Row],[CUIT]]="","-",VLOOKUP(ventas_b_mes684[[#This Row],[CUIT]],Lista_CUIT[#All],2,0)),"CUIT NO CARGADO")</f>
        <v>-</v>
      </c>
      <c r="H1735" s="64"/>
      <c r="I1735" s="64">
        <f>ventas_b_mes684[[#This Row],[IMPORTE NETO]]*0.21</f>
        <v>0</v>
      </c>
      <c r="J1735" s="64"/>
      <c r="K1735" s="64"/>
      <c r="L1735" s="64">
        <f>SUM(ventas_b_mes684[[#This Row],[IMPORTE NETO]:[EXENTO]])</f>
        <v>0</v>
      </c>
      <c r="M1735" s="59"/>
    </row>
    <row r="1736" spans="2:13" x14ac:dyDescent="0.25">
      <c r="B1736" s="40"/>
      <c r="C1736" s="41"/>
      <c r="D1736" s="42"/>
      <c r="E1736" s="43"/>
      <c r="F1736" s="44"/>
      <c r="G1736" s="1" t="str">
        <f>IFERROR(IF(ventas_b_mes684[[#This Row],[CUIT]]="","-",VLOOKUP(ventas_b_mes684[[#This Row],[CUIT]],Lista_CUIT[#All],2,0)),"CUIT NO CARGADO")</f>
        <v>-</v>
      </c>
      <c r="H1736" s="64"/>
      <c r="I1736" s="64">
        <f>ventas_b_mes684[[#This Row],[IMPORTE NETO]]*0.21</f>
        <v>0</v>
      </c>
      <c r="J1736" s="64"/>
      <c r="K1736" s="64"/>
      <c r="L1736" s="64">
        <f>SUM(ventas_b_mes684[[#This Row],[IMPORTE NETO]:[EXENTO]])</f>
        <v>0</v>
      </c>
      <c r="M1736" s="59"/>
    </row>
    <row r="1737" spans="2:13" x14ac:dyDescent="0.25">
      <c r="B1737" s="40"/>
      <c r="C1737" s="41"/>
      <c r="D1737" s="42"/>
      <c r="E1737" s="43"/>
      <c r="F1737" s="44"/>
      <c r="G1737" s="1" t="str">
        <f>IFERROR(IF(ventas_b_mes684[[#This Row],[CUIT]]="","-",VLOOKUP(ventas_b_mes684[[#This Row],[CUIT]],Lista_CUIT[#All],2,0)),"CUIT NO CARGADO")</f>
        <v>-</v>
      </c>
      <c r="H1737" s="64"/>
      <c r="I1737" s="64">
        <f>ventas_b_mes684[[#This Row],[IMPORTE NETO]]*0.21</f>
        <v>0</v>
      </c>
      <c r="J1737" s="64"/>
      <c r="K1737" s="64"/>
      <c r="L1737" s="64">
        <f>SUM(ventas_b_mes684[[#This Row],[IMPORTE NETO]:[EXENTO]])</f>
        <v>0</v>
      </c>
      <c r="M1737" s="59"/>
    </row>
    <row r="1738" spans="2:13" x14ac:dyDescent="0.25">
      <c r="B1738" s="40"/>
      <c r="C1738" s="41"/>
      <c r="D1738" s="42"/>
      <c r="E1738" s="43"/>
      <c r="F1738" s="44"/>
      <c r="G1738" s="1" t="str">
        <f>IFERROR(IF(ventas_b_mes684[[#This Row],[CUIT]]="","-",VLOOKUP(ventas_b_mes684[[#This Row],[CUIT]],Lista_CUIT[#All],2,0)),"CUIT NO CARGADO")</f>
        <v>-</v>
      </c>
      <c r="H1738" s="64"/>
      <c r="I1738" s="64">
        <f>ventas_b_mes684[[#This Row],[IMPORTE NETO]]*0.21</f>
        <v>0</v>
      </c>
      <c r="J1738" s="64"/>
      <c r="K1738" s="64"/>
      <c r="L1738" s="64">
        <f>SUM(ventas_b_mes684[[#This Row],[IMPORTE NETO]:[EXENTO]])</f>
        <v>0</v>
      </c>
      <c r="M1738" s="59"/>
    </row>
    <row r="1739" spans="2:13" x14ac:dyDescent="0.25">
      <c r="B1739" s="40"/>
      <c r="C1739" s="41"/>
      <c r="D1739" s="42"/>
      <c r="E1739" s="43"/>
      <c r="F1739" s="44"/>
      <c r="G1739" s="1" t="str">
        <f>IFERROR(IF(ventas_b_mes684[[#This Row],[CUIT]]="","-",VLOOKUP(ventas_b_mes684[[#This Row],[CUIT]],Lista_CUIT[#All],2,0)),"CUIT NO CARGADO")</f>
        <v>-</v>
      </c>
      <c r="H1739" s="64"/>
      <c r="I1739" s="64">
        <f>ventas_b_mes684[[#This Row],[IMPORTE NETO]]*0.21</f>
        <v>0</v>
      </c>
      <c r="J1739" s="64"/>
      <c r="K1739" s="64"/>
      <c r="L1739" s="64">
        <f>SUM(ventas_b_mes684[[#This Row],[IMPORTE NETO]:[EXENTO]])</f>
        <v>0</v>
      </c>
      <c r="M1739" s="59"/>
    </row>
    <row r="1740" spans="2:13" x14ac:dyDescent="0.25">
      <c r="B1740" s="40"/>
      <c r="C1740" s="41"/>
      <c r="D1740" s="42"/>
      <c r="E1740" s="43"/>
      <c r="F1740" s="44"/>
      <c r="G1740" s="1" t="str">
        <f>IFERROR(IF(ventas_b_mes684[[#This Row],[CUIT]]="","-",VLOOKUP(ventas_b_mes684[[#This Row],[CUIT]],Lista_CUIT[#All],2,0)),"CUIT NO CARGADO")</f>
        <v>-</v>
      </c>
      <c r="H1740" s="64"/>
      <c r="I1740" s="64">
        <f>ventas_b_mes684[[#This Row],[IMPORTE NETO]]*0.21</f>
        <v>0</v>
      </c>
      <c r="J1740" s="64"/>
      <c r="K1740" s="64"/>
      <c r="L1740" s="64">
        <f>SUM(ventas_b_mes684[[#This Row],[IMPORTE NETO]:[EXENTO]])</f>
        <v>0</v>
      </c>
      <c r="M1740" s="59"/>
    </row>
    <row r="1741" spans="2:13" x14ac:dyDescent="0.25">
      <c r="B1741" s="40"/>
      <c r="C1741" s="41"/>
      <c r="D1741" s="42"/>
      <c r="E1741" s="43"/>
      <c r="F1741" s="44"/>
      <c r="G1741" s="1" t="str">
        <f>IFERROR(IF(ventas_b_mes684[[#This Row],[CUIT]]="","-",VLOOKUP(ventas_b_mes684[[#This Row],[CUIT]],Lista_CUIT[#All],2,0)),"CUIT NO CARGADO")</f>
        <v>-</v>
      </c>
      <c r="H1741" s="64"/>
      <c r="I1741" s="64">
        <f>ventas_b_mes684[[#This Row],[IMPORTE NETO]]*0.21</f>
        <v>0</v>
      </c>
      <c r="J1741" s="64"/>
      <c r="K1741" s="64"/>
      <c r="L1741" s="64">
        <f>SUM(ventas_b_mes684[[#This Row],[IMPORTE NETO]:[EXENTO]])</f>
        <v>0</v>
      </c>
      <c r="M1741" s="59"/>
    </row>
    <row r="1742" spans="2:13" x14ac:dyDescent="0.25">
      <c r="B1742" s="40"/>
      <c r="C1742" s="41"/>
      <c r="D1742" s="42"/>
      <c r="E1742" s="43"/>
      <c r="F1742" s="44"/>
      <c r="G1742" s="1" t="str">
        <f>IFERROR(IF(ventas_b_mes684[[#This Row],[CUIT]]="","-",VLOOKUP(ventas_b_mes684[[#This Row],[CUIT]],Lista_CUIT[#All],2,0)),"CUIT NO CARGADO")</f>
        <v>-</v>
      </c>
      <c r="H1742" s="64"/>
      <c r="I1742" s="64">
        <f>ventas_b_mes684[[#This Row],[IMPORTE NETO]]*0.21</f>
        <v>0</v>
      </c>
      <c r="J1742" s="64"/>
      <c r="K1742" s="64"/>
      <c r="L1742" s="64">
        <f>SUM(ventas_b_mes684[[#This Row],[IMPORTE NETO]:[EXENTO]])</f>
        <v>0</v>
      </c>
      <c r="M1742" s="59"/>
    </row>
    <row r="1743" spans="2:13" x14ac:dyDescent="0.25">
      <c r="B1743" s="40"/>
      <c r="C1743" s="41"/>
      <c r="D1743" s="42"/>
      <c r="E1743" s="43"/>
      <c r="F1743" s="44"/>
      <c r="G1743" s="1" t="str">
        <f>IFERROR(IF(ventas_b_mes684[[#This Row],[CUIT]]="","-",VLOOKUP(ventas_b_mes684[[#This Row],[CUIT]],Lista_CUIT[#All],2,0)),"CUIT NO CARGADO")</f>
        <v>-</v>
      </c>
      <c r="H1743" s="64"/>
      <c r="I1743" s="64">
        <f>ventas_b_mes684[[#This Row],[IMPORTE NETO]]*0.21</f>
        <v>0</v>
      </c>
      <c r="J1743" s="64"/>
      <c r="K1743" s="64"/>
      <c r="L1743" s="64">
        <f>SUM(ventas_b_mes684[[#This Row],[IMPORTE NETO]:[EXENTO]])</f>
        <v>0</v>
      </c>
      <c r="M1743" s="59"/>
    </row>
    <row r="1744" spans="2:13" x14ac:dyDescent="0.25">
      <c r="B1744" s="40"/>
      <c r="C1744" s="41"/>
      <c r="D1744" s="42"/>
      <c r="E1744" s="43"/>
      <c r="F1744" s="44"/>
      <c r="G1744" s="1" t="str">
        <f>IFERROR(IF(ventas_b_mes684[[#This Row],[CUIT]]="","-",VLOOKUP(ventas_b_mes684[[#This Row],[CUIT]],Lista_CUIT[#All],2,0)),"CUIT NO CARGADO")</f>
        <v>-</v>
      </c>
      <c r="H1744" s="64"/>
      <c r="I1744" s="64">
        <f>ventas_b_mes684[[#This Row],[IMPORTE NETO]]*0.21</f>
        <v>0</v>
      </c>
      <c r="J1744" s="64"/>
      <c r="K1744" s="64"/>
      <c r="L1744" s="64">
        <f>SUM(ventas_b_mes684[[#This Row],[IMPORTE NETO]:[EXENTO]])</f>
        <v>0</v>
      </c>
      <c r="M1744" s="59"/>
    </row>
    <row r="1745" spans="2:13" x14ac:dyDescent="0.25">
      <c r="B1745" s="40"/>
      <c r="C1745" s="41"/>
      <c r="D1745" s="42"/>
      <c r="E1745" s="43"/>
      <c r="F1745" s="44"/>
      <c r="G1745" s="1" t="str">
        <f>IFERROR(IF(ventas_b_mes684[[#This Row],[CUIT]]="","-",VLOOKUP(ventas_b_mes684[[#This Row],[CUIT]],Lista_CUIT[#All],2,0)),"CUIT NO CARGADO")</f>
        <v>-</v>
      </c>
      <c r="H1745" s="64"/>
      <c r="I1745" s="64">
        <f>ventas_b_mes684[[#This Row],[IMPORTE NETO]]*0.21</f>
        <v>0</v>
      </c>
      <c r="J1745" s="64"/>
      <c r="K1745" s="64"/>
      <c r="L1745" s="64">
        <f>SUM(ventas_b_mes684[[#This Row],[IMPORTE NETO]:[EXENTO]])</f>
        <v>0</v>
      </c>
      <c r="M1745" s="59"/>
    </row>
    <row r="1746" spans="2:13" x14ac:dyDescent="0.25">
      <c r="B1746" s="40"/>
      <c r="C1746" s="41"/>
      <c r="D1746" s="42"/>
      <c r="E1746" s="43"/>
      <c r="F1746" s="44"/>
      <c r="G1746" s="1" t="str">
        <f>IFERROR(IF(ventas_b_mes684[[#This Row],[CUIT]]="","-",VLOOKUP(ventas_b_mes684[[#This Row],[CUIT]],Lista_CUIT[#All],2,0)),"CUIT NO CARGADO")</f>
        <v>-</v>
      </c>
      <c r="H1746" s="64"/>
      <c r="I1746" s="64">
        <f>ventas_b_mes684[[#This Row],[IMPORTE NETO]]*0.21</f>
        <v>0</v>
      </c>
      <c r="J1746" s="64"/>
      <c r="K1746" s="64"/>
      <c r="L1746" s="64">
        <f>SUM(ventas_b_mes684[[#This Row],[IMPORTE NETO]:[EXENTO]])</f>
        <v>0</v>
      </c>
      <c r="M1746" s="59"/>
    </row>
    <row r="1747" spans="2:13" x14ac:dyDescent="0.25">
      <c r="B1747" s="40"/>
      <c r="C1747" s="41"/>
      <c r="D1747" s="42"/>
      <c r="E1747" s="43"/>
      <c r="F1747" s="44"/>
      <c r="G1747" s="1" t="str">
        <f>IFERROR(IF(ventas_b_mes684[[#This Row],[CUIT]]="","-",VLOOKUP(ventas_b_mes684[[#This Row],[CUIT]],Lista_CUIT[#All],2,0)),"CUIT NO CARGADO")</f>
        <v>-</v>
      </c>
      <c r="H1747" s="64"/>
      <c r="I1747" s="64">
        <f>ventas_b_mes684[[#This Row],[IMPORTE NETO]]*0.21</f>
        <v>0</v>
      </c>
      <c r="J1747" s="64"/>
      <c r="K1747" s="64"/>
      <c r="L1747" s="64">
        <f>SUM(ventas_b_mes684[[#This Row],[IMPORTE NETO]:[EXENTO]])</f>
        <v>0</v>
      </c>
      <c r="M1747" s="59"/>
    </row>
    <row r="1748" spans="2:13" x14ac:dyDescent="0.25">
      <c r="B1748" s="40"/>
      <c r="C1748" s="41"/>
      <c r="D1748" s="42"/>
      <c r="E1748" s="43"/>
      <c r="F1748" s="44"/>
      <c r="G1748" s="1" t="str">
        <f>IFERROR(IF(ventas_b_mes684[[#This Row],[CUIT]]="","-",VLOOKUP(ventas_b_mes684[[#This Row],[CUIT]],Lista_CUIT[#All],2,0)),"CUIT NO CARGADO")</f>
        <v>-</v>
      </c>
      <c r="H1748" s="64"/>
      <c r="I1748" s="64">
        <f>ventas_b_mes684[[#This Row],[IMPORTE NETO]]*0.21</f>
        <v>0</v>
      </c>
      <c r="J1748" s="64"/>
      <c r="K1748" s="64"/>
      <c r="L1748" s="64">
        <f>SUM(ventas_b_mes684[[#This Row],[IMPORTE NETO]:[EXENTO]])</f>
        <v>0</v>
      </c>
      <c r="M1748" s="59"/>
    </row>
    <row r="1749" spans="2:13" x14ac:dyDescent="0.25">
      <c r="B1749" s="40"/>
      <c r="C1749" s="41"/>
      <c r="D1749" s="42"/>
      <c r="E1749" s="43"/>
      <c r="F1749" s="44"/>
      <c r="G1749" s="1" t="str">
        <f>IFERROR(IF(ventas_b_mes684[[#This Row],[CUIT]]="","-",VLOOKUP(ventas_b_mes684[[#This Row],[CUIT]],Lista_CUIT[#All],2,0)),"CUIT NO CARGADO")</f>
        <v>-</v>
      </c>
      <c r="H1749" s="64"/>
      <c r="I1749" s="64">
        <f>ventas_b_mes684[[#This Row],[IMPORTE NETO]]*0.21</f>
        <v>0</v>
      </c>
      <c r="J1749" s="64"/>
      <c r="K1749" s="64"/>
      <c r="L1749" s="64">
        <f>SUM(ventas_b_mes684[[#This Row],[IMPORTE NETO]:[EXENTO]])</f>
        <v>0</v>
      </c>
      <c r="M1749" s="59"/>
    </row>
    <row r="1750" spans="2:13" x14ac:dyDescent="0.25">
      <c r="B1750" s="40"/>
      <c r="C1750" s="41"/>
      <c r="D1750" s="42"/>
      <c r="E1750" s="43"/>
      <c r="F1750" s="44"/>
      <c r="G1750" s="1" t="str">
        <f>IFERROR(IF(ventas_b_mes684[[#This Row],[CUIT]]="","-",VLOOKUP(ventas_b_mes684[[#This Row],[CUIT]],Lista_CUIT[#All],2,0)),"CUIT NO CARGADO")</f>
        <v>-</v>
      </c>
      <c r="H1750" s="64"/>
      <c r="I1750" s="64">
        <f>ventas_b_mes684[[#This Row],[IMPORTE NETO]]*0.21</f>
        <v>0</v>
      </c>
      <c r="J1750" s="64"/>
      <c r="K1750" s="64"/>
      <c r="L1750" s="64">
        <f>SUM(ventas_b_mes684[[#This Row],[IMPORTE NETO]:[EXENTO]])</f>
        <v>0</v>
      </c>
      <c r="M1750" s="59"/>
    </row>
    <row r="1751" spans="2:13" x14ac:dyDescent="0.25">
      <c r="B1751" s="40"/>
      <c r="C1751" s="41"/>
      <c r="D1751" s="42"/>
      <c r="E1751" s="43"/>
      <c r="F1751" s="44"/>
      <c r="G1751" s="1" t="str">
        <f>IFERROR(IF(ventas_b_mes684[[#This Row],[CUIT]]="","-",VLOOKUP(ventas_b_mes684[[#This Row],[CUIT]],Lista_CUIT[#All],2,0)),"CUIT NO CARGADO")</f>
        <v>-</v>
      </c>
      <c r="H1751" s="64"/>
      <c r="I1751" s="64">
        <f>ventas_b_mes684[[#This Row],[IMPORTE NETO]]*0.21</f>
        <v>0</v>
      </c>
      <c r="J1751" s="64"/>
      <c r="K1751" s="64"/>
      <c r="L1751" s="64">
        <f>SUM(ventas_b_mes684[[#This Row],[IMPORTE NETO]:[EXENTO]])</f>
        <v>0</v>
      </c>
      <c r="M1751" s="59"/>
    </row>
    <row r="1752" spans="2:13" x14ac:dyDescent="0.25">
      <c r="B1752" s="40"/>
      <c r="C1752" s="41"/>
      <c r="D1752" s="42"/>
      <c r="E1752" s="43"/>
      <c r="F1752" s="44"/>
      <c r="G1752" s="1" t="str">
        <f>IFERROR(IF(ventas_b_mes684[[#This Row],[CUIT]]="","-",VLOOKUP(ventas_b_mes684[[#This Row],[CUIT]],Lista_CUIT[#All],2,0)),"CUIT NO CARGADO")</f>
        <v>-</v>
      </c>
      <c r="H1752" s="64"/>
      <c r="I1752" s="64">
        <f>ventas_b_mes684[[#This Row],[IMPORTE NETO]]*0.21</f>
        <v>0</v>
      </c>
      <c r="J1752" s="64"/>
      <c r="K1752" s="64"/>
      <c r="L1752" s="64">
        <f>SUM(ventas_b_mes684[[#This Row],[IMPORTE NETO]:[EXENTO]])</f>
        <v>0</v>
      </c>
      <c r="M1752" s="59"/>
    </row>
    <row r="1753" spans="2:13" x14ac:dyDescent="0.25">
      <c r="B1753" s="40"/>
      <c r="C1753" s="41"/>
      <c r="D1753" s="42"/>
      <c r="E1753" s="43"/>
      <c r="F1753" s="44"/>
      <c r="G1753" s="1" t="str">
        <f>IFERROR(IF(ventas_b_mes684[[#This Row],[CUIT]]="","-",VLOOKUP(ventas_b_mes684[[#This Row],[CUIT]],Lista_CUIT[#All],2,0)),"CUIT NO CARGADO")</f>
        <v>-</v>
      </c>
      <c r="H1753" s="64"/>
      <c r="I1753" s="64">
        <f>ventas_b_mes684[[#This Row],[IMPORTE NETO]]*0.21</f>
        <v>0</v>
      </c>
      <c r="J1753" s="64"/>
      <c r="K1753" s="64"/>
      <c r="L1753" s="64">
        <f>SUM(ventas_b_mes684[[#This Row],[IMPORTE NETO]:[EXENTO]])</f>
        <v>0</v>
      </c>
      <c r="M1753" s="59"/>
    </row>
    <row r="1754" spans="2:13" x14ac:dyDescent="0.25">
      <c r="B1754" s="40"/>
      <c r="C1754" s="41"/>
      <c r="D1754" s="42"/>
      <c r="E1754" s="43"/>
      <c r="F1754" s="44"/>
      <c r="G1754" s="1" t="str">
        <f>IFERROR(IF(ventas_b_mes684[[#This Row],[CUIT]]="","-",VLOOKUP(ventas_b_mes684[[#This Row],[CUIT]],Lista_CUIT[#All],2,0)),"CUIT NO CARGADO")</f>
        <v>-</v>
      </c>
      <c r="H1754" s="64"/>
      <c r="I1754" s="64">
        <f>ventas_b_mes684[[#This Row],[IMPORTE NETO]]*0.21</f>
        <v>0</v>
      </c>
      <c r="J1754" s="64"/>
      <c r="K1754" s="64"/>
      <c r="L1754" s="64">
        <f>SUM(ventas_b_mes684[[#This Row],[IMPORTE NETO]:[EXENTO]])</f>
        <v>0</v>
      </c>
      <c r="M1754" s="59"/>
    </row>
    <row r="1755" spans="2:13" x14ac:dyDescent="0.25">
      <c r="B1755" s="40"/>
      <c r="C1755" s="41"/>
      <c r="D1755" s="42"/>
      <c r="E1755" s="43"/>
      <c r="F1755" s="44"/>
      <c r="G1755" s="1" t="str">
        <f>IFERROR(IF(ventas_b_mes684[[#This Row],[CUIT]]="","-",VLOOKUP(ventas_b_mes684[[#This Row],[CUIT]],Lista_CUIT[#All],2,0)),"CUIT NO CARGADO")</f>
        <v>-</v>
      </c>
      <c r="H1755" s="64"/>
      <c r="I1755" s="64">
        <f>ventas_b_mes684[[#This Row],[IMPORTE NETO]]*0.21</f>
        <v>0</v>
      </c>
      <c r="J1755" s="64"/>
      <c r="K1755" s="64"/>
      <c r="L1755" s="64">
        <f>SUM(ventas_b_mes684[[#This Row],[IMPORTE NETO]:[EXENTO]])</f>
        <v>0</v>
      </c>
      <c r="M1755" s="59"/>
    </row>
    <row r="1756" spans="2:13" x14ac:dyDescent="0.25">
      <c r="B1756" s="40"/>
      <c r="C1756" s="41"/>
      <c r="D1756" s="42"/>
      <c r="E1756" s="43"/>
      <c r="F1756" s="44"/>
      <c r="G1756" s="1" t="str">
        <f>IFERROR(IF(ventas_b_mes684[[#This Row],[CUIT]]="","-",VLOOKUP(ventas_b_mes684[[#This Row],[CUIT]],Lista_CUIT[#All],2,0)),"CUIT NO CARGADO")</f>
        <v>-</v>
      </c>
      <c r="H1756" s="64"/>
      <c r="I1756" s="64">
        <f>ventas_b_mes684[[#This Row],[IMPORTE NETO]]*0.21</f>
        <v>0</v>
      </c>
      <c r="J1756" s="64"/>
      <c r="K1756" s="64"/>
      <c r="L1756" s="64">
        <f>SUM(ventas_b_mes684[[#This Row],[IMPORTE NETO]:[EXENTO]])</f>
        <v>0</v>
      </c>
      <c r="M1756" s="59"/>
    </row>
    <row r="1757" spans="2:13" x14ac:dyDescent="0.25">
      <c r="B1757" s="40"/>
      <c r="C1757" s="41"/>
      <c r="D1757" s="42"/>
      <c r="E1757" s="43"/>
      <c r="F1757" s="44"/>
      <c r="G1757" s="1" t="str">
        <f>IFERROR(IF(ventas_b_mes684[[#This Row],[CUIT]]="","-",VLOOKUP(ventas_b_mes684[[#This Row],[CUIT]],Lista_CUIT[#All],2,0)),"CUIT NO CARGADO")</f>
        <v>-</v>
      </c>
      <c r="H1757" s="64"/>
      <c r="I1757" s="64">
        <f>ventas_b_mes684[[#This Row],[IMPORTE NETO]]*0.21</f>
        <v>0</v>
      </c>
      <c r="J1757" s="64"/>
      <c r="K1757" s="64"/>
      <c r="L1757" s="64">
        <f>SUM(ventas_b_mes684[[#This Row],[IMPORTE NETO]:[EXENTO]])</f>
        <v>0</v>
      </c>
      <c r="M1757" s="59"/>
    </row>
    <row r="1758" spans="2:13" x14ac:dyDescent="0.25">
      <c r="B1758" s="40"/>
      <c r="C1758" s="41"/>
      <c r="D1758" s="42"/>
      <c r="E1758" s="43"/>
      <c r="F1758" s="44"/>
      <c r="G1758" s="1" t="str">
        <f>IFERROR(IF(ventas_b_mes684[[#This Row],[CUIT]]="","-",VLOOKUP(ventas_b_mes684[[#This Row],[CUIT]],Lista_CUIT[#All],2,0)),"CUIT NO CARGADO")</f>
        <v>-</v>
      </c>
      <c r="H1758" s="64"/>
      <c r="I1758" s="64">
        <f>ventas_b_mes684[[#This Row],[IMPORTE NETO]]*0.21</f>
        <v>0</v>
      </c>
      <c r="J1758" s="64"/>
      <c r="K1758" s="64"/>
      <c r="L1758" s="64">
        <f>SUM(ventas_b_mes684[[#This Row],[IMPORTE NETO]:[EXENTO]])</f>
        <v>0</v>
      </c>
      <c r="M1758" s="59"/>
    </row>
    <row r="1759" spans="2:13" x14ac:dyDescent="0.25">
      <c r="B1759" s="40"/>
      <c r="C1759" s="41"/>
      <c r="D1759" s="42"/>
      <c r="E1759" s="43"/>
      <c r="F1759" s="44"/>
      <c r="G1759" s="1" t="str">
        <f>IFERROR(IF(ventas_b_mes684[[#This Row],[CUIT]]="","-",VLOOKUP(ventas_b_mes684[[#This Row],[CUIT]],Lista_CUIT[#All],2,0)),"CUIT NO CARGADO")</f>
        <v>-</v>
      </c>
      <c r="H1759" s="64"/>
      <c r="I1759" s="64">
        <f>ventas_b_mes684[[#This Row],[IMPORTE NETO]]*0.21</f>
        <v>0</v>
      </c>
      <c r="J1759" s="64"/>
      <c r="K1759" s="64"/>
      <c r="L1759" s="64">
        <f>SUM(ventas_b_mes684[[#This Row],[IMPORTE NETO]:[EXENTO]])</f>
        <v>0</v>
      </c>
      <c r="M1759" s="59"/>
    </row>
    <row r="1760" spans="2:13" x14ac:dyDescent="0.25">
      <c r="B1760" s="40"/>
      <c r="C1760" s="41"/>
      <c r="D1760" s="42"/>
      <c r="E1760" s="43"/>
      <c r="F1760" s="44"/>
      <c r="G1760" s="1" t="str">
        <f>IFERROR(IF(ventas_b_mes684[[#This Row],[CUIT]]="","-",VLOOKUP(ventas_b_mes684[[#This Row],[CUIT]],Lista_CUIT[#All],2,0)),"CUIT NO CARGADO")</f>
        <v>-</v>
      </c>
      <c r="H1760" s="64"/>
      <c r="I1760" s="64">
        <f>ventas_b_mes684[[#This Row],[IMPORTE NETO]]*0.21</f>
        <v>0</v>
      </c>
      <c r="J1760" s="64"/>
      <c r="K1760" s="64"/>
      <c r="L1760" s="64">
        <f>SUM(ventas_b_mes684[[#This Row],[IMPORTE NETO]:[EXENTO]])</f>
        <v>0</v>
      </c>
      <c r="M1760" s="59"/>
    </row>
    <row r="1761" spans="2:13" x14ac:dyDescent="0.25">
      <c r="B1761" s="40"/>
      <c r="C1761" s="41"/>
      <c r="D1761" s="42"/>
      <c r="E1761" s="43"/>
      <c r="F1761" s="44"/>
      <c r="G1761" s="1" t="str">
        <f>IFERROR(IF(ventas_b_mes684[[#This Row],[CUIT]]="","-",VLOOKUP(ventas_b_mes684[[#This Row],[CUIT]],Lista_CUIT[#All],2,0)),"CUIT NO CARGADO")</f>
        <v>-</v>
      </c>
      <c r="H1761" s="64"/>
      <c r="I1761" s="64">
        <f>ventas_b_mes684[[#This Row],[IMPORTE NETO]]*0.21</f>
        <v>0</v>
      </c>
      <c r="J1761" s="64"/>
      <c r="K1761" s="64"/>
      <c r="L1761" s="64">
        <f>SUM(ventas_b_mes684[[#This Row],[IMPORTE NETO]:[EXENTO]])</f>
        <v>0</v>
      </c>
      <c r="M1761" s="59"/>
    </row>
    <row r="1762" spans="2:13" x14ac:dyDescent="0.25">
      <c r="B1762" s="40"/>
      <c r="C1762" s="41"/>
      <c r="D1762" s="42"/>
      <c r="E1762" s="43"/>
      <c r="F1762" s="44"/>
      <c r="G1762" s="1" t="str">
        <f>IFERROR(IF(ventas_b_mes684[[#This Row],[CUIT]]="","-",VLOOKUP(ventas_b_mes684[[#This Row],[CUIT]],Lista_CUIT[#All],2,0)),"CUIT NO CARGADO")</f>
        <v>-</v>
      </c>
      <c r="H1762" s="64"/>
      <c r="I1762" s="64">
        <f>ventas_b_mes684[[#This Row],[IMPORTE NETO]]*0.21</f>
        <v>0</v>
      </c>
      <c r="J1762" s="64"/>
      <c r="K1762" s="64"/>
      <c r="L1762" s="64">
        <f>SUM(ventas_b_mes684[[#This Row],[IMPORTE NETO]:[EXENTO]])</f>
        <v>0</v>
      </c>
      <c r="M1762" s="59"/>
    </row>
    <row r="1763" spans="2:13" x14ac:dyDescent="0.25">
      <c r="B1763" s="40"/>
      <c r="C1763" s="41"/>
      <c r="D1763" s="42"/>
      <c r="E1763" s="43"/>
      <c r="F1763" s="44"/>
      <c r="G1763" s="1" t="str">
        <f>IFERROR(IF(ventas_b_mes684[[#This Row],[CUIT]]="","-",VLOOKUP(ventas_b_mes684[[#This Row],[CUIT]],Lista_CUIT[#All],2,0)),"CUIT NO CARGADO")</f>
        <v>-</v>
      </c>
      <c r="H1763" s="64"/>
      <c r="I1763" s="64">
        <f>ventas_b_mes684[[#This Row],[IMPORTE NETO]]*0.21</f>
        <v>0</v>
      </c>
      <c r="J1763" s="64"/>
      <c r="K1763" s="64"/>
      <c r="L1763" s="64">
        <f>SUM(ventas_b_mes684[[#This Row],[IMPORTE NETO]:[EXENTO]])</f>
        <v>0</v>
      </c>
      <c r="M1763" s="59"/>
    </row>
    <row r="1764" spans="2:13" x14ac:dyDescent="0.25">
      <c r="B1764" s="40"/>
      <c r="C1764" s="41"/>
      <c r="D1764" s="42"/>
      <c r="E1764" s="43"/>
      <c r="F1764" s="44"/>
      <c r="G1764" s="1" t="str">
        <f>IFERROR(IF(ventas_b_mes684[[#This Row],[CUIT]]="","-",VLOOKUP(ventas_b_mes684[[#This Row],[CUIT]],Lista_CUIT[#All],2,0)),"CUIT NO CARGADO")</f>
        <v>-</v>
      </c>
      <c r="H1764" s="64"/>
      <c r="I1764" s="64">
        <f>ventas_b_mes684[[#This Row],[IMPORTE NETO]]*0.21</f>
        <v>0</v>
      </c>
      <c r="J1764" s="64"/>
      <c r="K1764" s="64"/>
      <c r="L1764" s="64">
        <f>SUM(ventas_b_mes684[[#This Row],[IMPORTE NETO]:[EXENTO]])</f>
        <v>0</v>
      </c>
      <c r="M1764" s="59"/>
    </row>
    <row r="1765" spans="2:13" x14ac:dyDescent="0.25">
      <c r="B1765" s="40"/>
      <c r="C1765" s="41"/>
      <c r="D1765" s="42"/>
      <c r="E1765" s="43"/>
      <c r="F1765" s="44"/>
      <c r="G1765" s="1" t="str">
        <f>IFERROR(IF(ventas_b_mes684[[#This Row],[CUIT]]="","-",VLOOKUP(ventas_b_mes684[[#This Row],[CUIT]],Lista_CUIT[#All],2,0)),"CUIT NO CARGADO")</f>
        <v>-</v>
      </c>
      <c r="H1765" s="64"/>
      <c r="I1765" s="64">
        <f>ventas_b_mes684[[#This Row],[IMPORTE NETO]]*0.21</f>
        <v>0</v>
      </c>
      <c r="J1765" s="64"/>
      <c r="K1765" s="64"/>
      <c r="L1765" s="64">
        <f>SUM(ventas_b_mes684[[#This Row],[IMPORTE NETO]:[EXENTO]])</f>
        <v>0</v>
      </c>
      <c r="M1765" s="59"/>
    </row>
    <row r="1766" spans="2:13" x14ac:dyDescent="0.25">
      <c r="B1766" s="40"/>
      <c r="C1766" s="41"/>
      <c r="D1766" s="42"/>
      <c r="E1766" s="43"/>
      <c r="F1766" s="44"/>
      <c r="G1766" s="1" t="str">
        <f>IFERROR(IF(ventas_b_mes684[[#This Row],[CUIT]]="","-",VLOOKUP(ventas_b_mes684[[#This Row],[CUIT]],Lista_CUIT[#All],2,0)),"CUIT NO CARGADO")</f>
        <v>-</v>
      </c>
      <c r="H1766" s="64"/>
      <c r="I1766" s="64">
        <f>ventas_b_mes684[[#This Row],[IMPORTE NETO]]*0.21</f>
        <v>0</v>
      </c>
      <c r="J1766" s="64"/>
      <c r="K1766" s="64"/>
      <c r="L1766" s="64">
        <f>SUM(ventas_b_mes684[[#This Row],[IMPORTE NETO]:[EXENTO]])</f>
        <v>0</v>
      </c>
      <c r="M1766" s="59"/>
    </row>
    <row r="1767" spans="2:13" x14ac:dyDescent="0.25">
      <c r="B1767" s="40"/>
      <c r="C1767" s="41"/>
      <c r="D1767" s="42"/>
      <c r="E1767" s="43"/>
      <c r="F1767" s="44"/>
      <c r="G1767" s="1" t="str">
        <f>IFERROR(IF(ventas_b_mes684[[#This Row],[CUIT]]="","-",VLOOKUP(ventas_b_mes684[[#This Row],[CUIT]],Lista_CUIT[#All],2,0)),"CUIT NO CARGADO")</f>
        <v>-</v>
      </c>
      <c r="H1767" s="64"/>
      <c r="I1767" s="64">
        <f>ventas_b_mes684[[#This Row],[IMPORTE NETO]]*0.21</f>
        <v>0</v>
      </c>
      <c r="J1767" s="64"/>
      <c r="K1767" s="64"/>
      <c r="L1767" s="64">
        <f>SUM(ventas_b_mes684[[#This Row],[IMPORTE NETO]:[EXENTO]])</f>
        <v>0</v>
      </c>
      <c r="M1767" s="59"/>
    </row>
    <row r="1768" spans="2:13" x14ac:dyDescent="0.25">
      <c r="B1768" s="40"/>
      <c r="C1768" s="41"/>
      <c r="D1768" s="42"/>
      <c r="E1768" s="43"/>
      <c r="F1768" s="44"/>
      <c r="G1768" s="1" t="str">
        <f>IFERROR(IF(ventas_b_mes684[[#This Row],[CUIT]]="","-",VLOOKUP(ventas_b_mes684[[#This Row],[CUIT]],Lista_CUIT[#All],2,0)),"CUIT NO CARGADO")</f>
        <v>-</v>
      </c>
      <c r="H1768" s="64"/>
      <c r="I1768" s="64">
        <f>ventas_b_mes684[[#This Row],[IMPORTE NETO]]*0.21</f>
        <v>0</v>
      </c>
      <c r="J1768" s="64"/>
      <c r="K1768" s="64"/>
      <c r="L1768" s="64">
        <f>SUM(ventas_b_mes684[[#This Row],[IMPORTE NETO]:[EXENTO]])</f>
        <v>0</v>
      </c>
      <c r="M1768" s="59"/>
    </row>
    <row r="1769" spans="2:13" x14ac:dyDescent="0.25">
      <c r="B1769" s="40"/>
      <c r="C1769" s="41"/>
      <c r="D1769" s="42"/>
      <c r="E1769" s="43"/>
      <c r="F1769" s="44"/>
      <c r="G1769" s="1" t="str">
        <f>IFERROR(IF(ventas_b_mes684[[#This Row],[CUIT]]="","-",VLOOKUP(ventas_b_mes684[[#This Row],[CUIT]],Lista_CUIT[#All],2,0)),"CUIT NO CARGADO")</f>
        <v>-</v>
      </c>
      <c r="H1769" s="64"/>
      <c r="I1769" s="64">
        <f>ventas_b_mes684[[#This Row],[IMPORTE NETO]]*0.21</f>
        <v>0</v>
      </c>
      <c r="J1769" s="64"/>
      <c r="K1769" s="64"/>
      <c r="L1769" s="64">
        <f>SUM(ventas_b_mes684[[#This Row],[IMPORTE NETO]:[EXENTO]])</f>
        <v>0</v>
      </c>
      <c r="M1769" s="59"/>
    </row>
    <row r="1770" spans="2:13" x14ac:dyDescent="0.25">
      <c r="B1770" s="40"/>
      <c r="C1770" s="41"/>
      <c r="D1770" s="42"/>
      <c r="E1770" s="43"/>
      <c r="F1770" s="44"/>
      <c r="G1770" s="1" t="str">
        <f>IFERROR(IF(ventas_b_mes684[[#This Row],[CUIT]]="","-",VLOOKUP(ventas_b_mes684[[#This Row],[CUIT]],Lista_CUIT[#All],2,0)),"CUIT NO CARGADO")</f>
        <v>-</v>
      </c>
      <c r="H1770" s="64"/>
      <c r="I1770" s="64">
        <f>ventas_b_mes684[[#This Row],[IMPORTE NETO]]*0.21</f>
        <v>0</v>
      </c>
      <c r="J1770" s="64"/>
      <c r="K1770" s="64"/>
      <c r="L1770" s="64">
        <f>SUM(ventas_b_mes684[[#This Row],[IMPORTE NETO]:[EXENTO]])</f>
        <v>0</v>
      </c>
      <c r="M1770" s="59"/>
    </row>
    <row r="1771" spans="2:13" x14ac:dyDescent="0.25">
      <c r="B1771" s="40"/>
      <c r="C1771" s="41"/>
      <c r="D1771" s="42"/>
      <c r="E1771" s="43"/>
      <c r="F1771" s="44"/>
      <c r="G1771" s="1" t="str">
        <f>IFERROR(IF(ventas_b_mes684[[#This Row],[CUIT]]="","-",VLOOKUP(ventas_b_mes684[[#This Row],[CUIT]],Lista_CUIT[#All],2,0)),"CUIT NO CARGADO")</f>
        <v>-</v>
      </c>
      <c r="H1771" s="64"/>
      <c r="I1771" s="64">
        <f>ventas_b_mes684[[#This Row],[IMPORTE NETO]]*0.21</f>
        <v>0</v>
      </c>
      <c r="J1771" s="64"/>
      <c r="K1771" s="64"/>
      <c r="L1771" s="64">
        <f>SUM(ventas_b_mes684[[#This Row],[IMPORTE NETO]:[EXENTO]])</f>
        <v>0</v>
      </c>
      <c r="M1771" s="59"/>
    </row>
    <row r="1772" spans="2:13" x14ac:dyDescent="0.25">
      <c r="B1772" s="40"/>
      <c r="C1772" s="41"/>
      <c r="D1772" s="42"/>
      <c r="E1772" s="43"/>
      <c r="F1772" s="44"/>
      <c r="G1772" s="1" t="str">
        <f>IFERROR(IF(ventas_b_mes684[[#This Row],[CUIT]]="","-",VLOOKUP(ventas_b_mes684[[#This Row],[CUIT]],Lista_CUIT[#All],2,0)),"CUIT NO CARGADO")</f>
        <v>-</v>
      </c>
      <c r="H1772" s="64"/>
      <c r="I1772" s="64">
        <f>ventas_b_mes684[[#This Row],[IMPORTE NETO]]*0.21</f>
        <v>0</v>
      </c>
      <c r="J1772" s="64"/>
      <c r="K1772" s="64"/>
      <c r="L1772" s="64">
        <f>SUM(ventas_b_mes684[[#This Row],[IMPORTE NETO]:[EXENTO]])</f>
        <v>0</v>
      </c>
      <c r="M1772" s="59"/>
    </row>
    <row r="1773" spans="2:13" x14ac:dyDescent="0.25">
      <c r="B1773" s="40"/>
      <c r="C1773" s="41"/>
      <c r="D1773" s="42"/>
      <c r="E1773" s="43"/>
      <c r="F1773" s="44"/>
      <c r="G1773" s="1" t="str">
        <f>IFERROR(IF(ventas_b_mes684[[#This Row],[CUIT]]="","-",VLOOKUP(ventas_b_mes684[[#This Row],[CUIT]],Lista_CUIT[#All],2,0)),"CUIT NO CARGADO")</f>
        <v>-</v>
      </c>
      <c r="H1773" s="64"/>
      <c r="I1773" s="64">
        <f>ventas_b_mes684[[#This Row],[IMPORTE NETO]]*0.21</f>
        <v>0</v>
      </c>
      <c r="J1773" s="64"/>
      <c r="K1773" s="64"/>
      <c r="L1773" s="64">
        <f>SUM(ventas_b_mes684[[#This Row],[IMPORTE NETO]:[EXENTO]])</f>
        <v>0</v>
      </c>
      <c r="M1773" s="59"/>
    </row>
    <row r="1774" spans="2:13" x14ac:dyDescent="0.25">
      <c r="B1774" s="40"/>
      <c r="C1774" s="41"/>
      <c r="D1774" s="42"/>
      <c r="E1774" s="43"/>
      <c r="F1774" s="44"/>
      <c r="G1774" s="1" t="str">
        <f>IFERROR(IF(ventas_b_mes684[[#This Row],[CUIT]]="","-",VLOOKUP(ventas_b_mes684[[#This Row],[CUIT]],Lista_CUIT[#All],2,0)),"CUIT NO CARGADO")</f>
        <v>-</v>
      </c>
      <c r="H1774" s="64"/>
      <c r="I1774" s="64">
        <f>ventas_b_mes684[[#This Row],[IMPORTE NETO]]*0.21</f>
        <v>0</v>
      </c>
      <c r="J1774" s="64"/>
      <c r="K1774" s="64"/>
      <c r="L1774" s="64">
        <f>SUM(ventas_b_mes684[[#This Row],[IMPORTE NETO]:[EXENTO]])</f>
        <v>0</v>
      </c>
      <c r="M1774" s="59"/>
    </row>
    <row r="1775" spans="2:13" x14ac:dyDescent="0.25">
      <c r="B1775" s="40"/>
      <c r="C1775" s="41"/>
      <c r="D1775" s="42"/>
      <c r="E1775" s="43"/>
      <c r="F1775" s="44"/>
      <c r="G1775" s="1" t="str">
        <f>IFERROR(IF(ventas_b_mes684[[#This Row],[CUIT]]="","-",VLOOKUP(ventas_b_mes684[[#This Row],[CUIT]],Lista_CUIT[#All],2,0)),"CUIT NO CARGADO")</f>
        <v>-</v>
      </c>
      <c r="H1775" s="64"/>
      <c r="I1775" s="64">
        <f>ventas_b_mes684[[#This Row],[IMPORTE NETO]]*0.21</f>
        <v>0</v>
      </c>
      <c r="J1775" s="64"/>
      <c r="K1775" s="64"/>
      <c r="L1775" s="64">
        <f>SUM(ventas_b_mes684[[#This Row],[IMPORTE NETO]:[EXENTO]])</f>
        <v>0</v>
      </c>
      <c r="M1775" s="59"/>
    </row>
    <row r="1776" spans="2:13" x14ac:dyDescent="0.25">
      <c r="B1776" s="40"/>
      <c r="C1776" s="41"/>
      <c r="D1776" s="42"/>
      <c r="E1776" s="43"/>
      <c r="F1776" s="44"/>
      <c r="G1776" s="1" t="str">
        <f>IFERROR(IF(ventas_b_mes684[[#This Row],[CUIT]]="","-",VLOOKUP(ventas_b_mes684[[#This Row],[CUIT]],Lista_CUIT[#All],2,0)),"CUIT NO CARGADO")</f>
        <v>-</v>
      </c>
      <c r="H1776" s="64"/>
      <c r="I1776" s="64">
        <f>ventas_b_mes684[[#This Row],[IMPORTE NETO]]*0.21</f>
        <v>0</v>
      </c>
      <c r="J1776" s="64"/>
      <c r="K1776" s="64"/>
      <c r="L1776" s="64">
        <f>SUM(ventas_b_mes684[[#This Row],[IMPORTE NETO]:[EXENTO]])</f>
        <v>0</v>
      </c>
      <c r="M1776" s="59"/>
    </row>
    <row r="1777" spans="2:13" x14ac:dyDescent="0.25">
      <c r="B1777" s="40"/>
      <c r="C1777" s="41"/>
      <c r="D1777" s="42"/>
      <c r="E1777" s="43"/>
      <c r="F1777" s="44"/>
      <c r="G1777" s="1" t="str">
        <f>IFERROR(IF(ventas_b_mes684[[#This Row],[CUIT]]="","-",VLOOKUP(ventas_b_mes684[[#This Row],[CUIT]],Lista_CUIT[#All],2,0)),"CUIT NO CARGADO")</f>
        <v>-</v>
      </c>
      <c r="H1777" s="64"/>
      <c r="I1777" s="64">
        <f>ventas_b_mes684[[#This Row],[IMPORTE NETO]]*0.21</f>
        <v>0</v>
      </c>
      <c r="J1777" s="64"/>
      <c r="K1777" s="64"/>
      <c r="L1777" s="64">
        <f>SUM(ventas_b_mes684[[#This Row],[IMPORTE NETO]:[EXENTO]])</f>
        <v>0</v>
      </c>
      <c r="M1777" s="59"/>
    </row>
    <row r="1778" spans="2:13" x14ac:dyDescent="0.25">
      <c r="B1778" s="40"/>
      <c r="C1778" s="41"/>
      <c r="D1778" s="42"/>
      <c r="E1778" s="43"/>
      <c r="F1778" s="44"/>
      <c r="G1778" s="1" t="str">
        <f>IFERROR(IF(ventas_b_mes684[[#This Row],[CUIT]]="","-",VLOOKUP(ventas_b_mes684[[#This Row],[CUIT]],Lista_CUIT[#All],2,0)),"CUIT NO CARGADO")</f>
        <v>-</v>
      </c>
      <c r="H1778" s="64"/>
      <c r="I1778" s="64">
        <f>ventas_b_mes684[[#This Row],[IMPORTE NETO]]*0.21</f>
        <v>0</v>
      </c>
      <c r="J1778" s="64"/>
      <c r="K1778" s="64"/>
      <c r="L1778" s="64">
        <f>SUM(ventas_b_mes684[[#This Row],[IMPORTE NETO]:[EXENTO]])</f>
        <v>0</v>
      </c>
      <c r="M1778" s="59"/>
    </row>
    <row r="1779" spans="2:13" x14ac:dyDescent="0.25">
      <c r="B1779" s="40"/>
      <c r="C1779" s="41"/>
      <c r="D1779" s="42"/>
      <c r="E1779" s="43"/>
      <c r="F1779" s="44"/>
      <c r="G1779" s="1" t="str">
        <f>IFERROR(IF(ventas_b_mes684[[#This Row],[CUIT]]="","-",VLOOKUP(ventas_b_mes684[[#This Row],[CUIT]],Lista_CUIT[#All],2,0)),"CUIT NO CARGADO")</f>
        <v>-</v>
      </c>
      <c r="H1779" s="64"/>
      <c r="I1779" s="64">
        <f>ventas_b_mes684[[#This Row],[IMPORTE NETO]]*0.21</f>
        <v>0</v>
      </c>
      <c r="J1779" s="64"/>
      <c r="K1779" s="64"/>
      <c r="L1779" s="64">
        <f>SUM(ventas_b_mes684[[#This Row],[IMPORTE NETO]:[EXENTO]])</f>
        <v>0</v>
      </c>
      <c r="M1779" s="59"/>
    </row>
    <row r="1780" spans="2:13" x14ac:dyDescent="0.25">
      <c r="B1780" s="40"/>
      <c r="C1780" s="41"/>
      <c r="D1780" s="42"/>
      <c r="E1780" s="43"/>
      <c r="F1780" s="44"/>
      <c r="G1780" s="1" t="str">
        <f>IFERROR(IF(ventas_b_mes684[[#This Row],[CUIT]]="","-",VLOOKUP(ventas_b_mes684[[#This Row],[CUIT]],Lista_CUIT[#All],2,0)),"CUIT NO CARGADO")</f>
        <v>-</v>
      </c>
      <c r="H1780" s="64"/>
      <c r="I1780" s="64">
        <f>ventas_b_mes684[[#This Row],[IMPORTE NETO]]*0.21</f>
        <v>0</v>
      </c>
      <c r="J1780" s="64"/>
      <c r="K1780" s="64"/>
      <c r="L1780" s="64">
        <f>SUM(ventas_b_mes684[[#This Row],[IMPORTE NETO]:[EXENTO]])</f>
        <v>0</v>
      </c>
      <c r="M1780" s="59"/>
    </row>
    <row r="1781" spans="2:13" x14ac:dyDescent="0.25">
      <c r="B1781" s="40"/>
      <c r="C1781" s="41"/>
      <c r="D1781" s="42"/>
      <c r="E1781" s="43"/>
      <c r="F1781" s="44"/>
      <c r="G1781" s="1" t="str">
        <f>IFERROR(IF(ventas_b_mes684[[#This Row],[CUIT]]="","-",VLOOKUP(ventas_b_mes684[[#This Row],[CUIT]],Lista_CUIT[#All],2,0)),"CUIT NO CARGADO")</f>
        <v>-</v>
      </c>
      <c r="H1781" s="64"/>
      <c r="I1781" s="64">
        <f>ventas_b_mes684[[#This Row],[IMPORTE NETO]]*0.21</f>
        <v>0</v>
      </c>
      <c r="J1781" s="64"/>
      <c r="K1781" s="64"/>
      <c r="L1781" s="64">
        <f>SUM(ventas_b_mes684[[#This Row],[IMPORTE NETO]:[EXENTO]])</f>
        <v>0</v>
      </c>
      <c r="M1781" s="59"/>
    </row>
    <row r="1782" spans="2:13" x14ac:dyDescent="0.25">
      <c r="B1782" s="40"/>
      <c r="C1782" s="41"/>
      <c r="D1782" s="42"/>
      <c r="E1782" s="43"/>
      <c r="F1782" s="44"/>
      <c r="G1782" s="1" t="str">
        <f>IFERROR(IF(ventas_b_mes684[[#This Row],[CUIT]]="","-",VLOOKUP(ventas_b_mes684[[#This Row],[CUIT]],Lista_CUIT[#All],2,0)),"CUIT NO CARGADO")</f>
        <v>-</v>
      </c>
      <c r="H1782" s="64"/>
      <c r="I1782" s="64">
        <f>ventas_b_mes684[[#This Row],[IMPORTE NETO]]*0.21</f>
        <v>0</v>
      </c>
      <c r="J1782" s="64"/>
      <c r="K1782" s="64"/>
      <c r="L1782" s="64">
        <f>SUM(ventas_b_mes684[[#This Row],[IMPORTE NETO]:[EXENTO]])</f>
        <v>0</v>
      </c>
      <c r="M1782" s="59"/>
    </row>
    <row r="1783" spans="2:13" x14ac:dyDescent="0.25">
      <c r="B1783" s="40"/>
      <c r="C1783" s="41"/>
      <c r="D1783" s="42"/>
      <c r="E1783" s="43"/>
      <c r="F1783" s="44"/>
      <c r="G1783" s="1" t="str">
        <f>IFERROR(IF(ventas_b_mes684[[#This Row],[CUIT]]="","-",VLOOKUP(ventas_b_mes684[[#This Row],[CUIT]],Lista_CUIT[#All],2,0)),"CUIT NO CARGADO")</f>
        <v>-</v>
      </c>
      <c r="H1783" s="64"/>
      <c r="I1783" s="64">
        <f>ventas_b_mes684[[#This Row],[IMPORTE NETO]]*0.21</f>
        <v>0</v>
      </c>
      <c r="J1783" s="64"/>
      <c r="K1783" s="64"/>
      <c r="L1783" s="64">
        <f>SUM(ventas_b_mes684[[#This Row],[IMPORTE NETO]:[EXENTO]])</f>
        <v>0</v>
      </c>
      <c r="M1783" s="59"/>
    </row>
    <row r="1784" spans="2:13" x14ac:dyDescent="0.25">
      <c r="B1784" s="40"/>
      <c r="C1784" s="41"/>
      <c r="D1784" s="42"/>
      <c r="E1784" s="43"/>
      <c r="F1784" s="44"/>
      <c r="G1784" s="1" t="str">
        <f>IFERROR(IF(ventas_b_mes684[[#This Row],[CUIT]]="","-",VLOOKUP(ventas_b_mes684[[#This Row],[CUIT]],Lista_CUIT[#All],2,0)),"CUIT NO CARGADO")</f>
        <v>-</v>
      </c>
      <c r="H1784" s="64"/>
      <c r="I1784" s="64">
        <f>ventas_b_mes684[[#This Row],[IMPORTE NETO]]*0.21</f>
        <v>0</v>
      </c>
      <c r="J1784" s="64"/>
      <c r="K1784" s="64"/>
      <c r="L1784" s="64">
        <f>SUM(ventas_b_mes684[[#This Row],[IMPORTE NETO]:[EXENTO]])</f>
        <v>0</v>
      </c>
      <c r="M1784" s="59"/>
    </row>
    <row r="1785" spans="2:13" x14ac:dyDescent="0.25">
      <c r="B1785" s="40"/>
      <c r="C1785" s="41"/>
      <c r="D1785" s="42"/>
      <c r="E1785" s="43"/>
      <c r="F1785" s="44"/>
      <c r="G1785" s="1" t="str">
        <f>IFERROR(IF(ventas_b_mes684[[#This Row],[CUIT]]="","-",VLOOKUP(ventas_b_mes684[[#This Row],[CUIT]],Lista_CUIT[#All],2,0)),"CUIT NO CARGADO")</f>
        <v>-</v>
      </c>
      <c r="H1785" s="64"/>
      <c r="I1785" s="64">
        <f>ventas_b_mes684[[#This Row],[IMPORTE NETO]]*0.21</f>
        <v>0</v>
      </c>
      <c r="J1785" s="64"/>
      <c r="K1785" s="64"/>
      <c r="L1785" s="64">
        <f>SUM(ventas_b_mes684[[#This Row],[IMPORTE NETO]:[EXENTO]])</f>
        <v>0</v>
      </c>
      <c r="M1785" s="59"/>
    </row>
    <row r="1786" spans="2:13" x14ac:dyDescent="0.25">
      <c r="B1786" s="40"/>
      <c r="C1786" s="41"/>
      <c r="D1786" s="42"/>
      <c r="E1786" s="43"/>
      <c r="F1786" s="44"/>
      <c r="G1786" s="1" t="str">
        <f>IFERROR(IF(ventas_b_mes684[[#This Row],[CUIT]]="","-",VLOOKUP(ventas_b_mes684[[#This Row],[CUIT]],Lista_CUIT[#All],2,0)),"CUIT NO CARGADO")</f>
        <v>-</v>
      </c>
      <c r="H1786" s="64"/>
      <c r="I1786" s="64">
        <f>ventas_b_mes684[[#This Row],[IMPORTE NETO]]*0.21</f>
        <v>0</v>
      </c>
      <c r="J1786" s="64"/>
      <c r="K1786" s="64"/>
      <c r="L1786" s="64">
        <f>SUM(ventas_b_mes684[[#This Row],[IMPORTE NETO]:[EXENTO]])</f>
        <v>0</v>
      </c>
      <c r="M1786" s="59"/>
    </row>
    <row r="1787" spans="2:13" x14ac:dyDescent="0.25">
      <c r="B1787" s="40"/>
      <c r="C1787" s="41"/>
      <c r="D1787" s="42"/>
      <c r="E1787" s="43"/>
      <c r="F1787" s="44"/>
      <c r="G1787" s="1" t="str">
        <f>IFERROR(IF(ventas_b_mes684[[#This Row],[CUIT]]="","-",VLOOKUP(ventas_b_mes684[[#This Row],[CUIT]],Lista_CUIT[#All],2,0)),"CUIT NO CARGADO")</f>
        <v>-</v>
      </c>
      <c r="H1787" s="64"/>
      <c r="I1787" s="64">
        <f>ventas_b_mes684[[#This Row],[IMPORTE NETO]]*0.21</f>
        <v>0</v>
      </c>
      <c r="J1787" s="64"/>
      <c r="K1787" s="64"/>
      <c r="L1787" s="64">
        <f>SUM(ventas_b_mes684[[#This Row],[IMPORTE NETO]:[EXENTO]])</f>
        <v>0</v>
      </c>
      <c r="M1787" s="59"/>
    </row>
    <row r="1788" spans="2:13" x14ac:dyDescent="0.25">
      <c r="B1788" s="40"/>
      <c r="C1788" s="41"/>
      <c r="D1788" s="42"/>
      <c r="E1788" s="43"/>
      <c r="F1788" s="44"/>
      <c r="G1788" s="1" t="str">
        <f>IFERROR(IF(ventas_b_mes684[[#This Row],[CUIT]]="","-",VLOOKUP(ventas_b_mes684[[#This Row],[CUIT]],Lista_CUIT[#All],2,0)),"CUIT NO CARGADO")</f>
        <v>-</v>
      </c>
      <c r="H1788" s="64"/>
      <c r="I1788" s="64">
        <f>ventas_b_mes684[[#This Row],[IMPORTE NETO]]*0.21</f>
        <v>0</v>
      </c>
      <c r="J1788" s="64"/>
      <c r="K1788" s="64"/>
      <c r="L1788" s="64">
        <f>SUM(ventas_b_mes684[[#This Row],[IMPORTE NETO]:[EXENTO]])</f>
        <v>0</v>
      </c>
      <c r="M1788" s="59"/>
    </row>
    <row r="1789" spans="2:13" x14ac:dyDescent="0.25">
      <c r="B1789" s="40"/>
      <c r="C1789" s="41"/>
      <c r="D1789" s="42"/>
      <c r="E1789" s="43"/>
      <c r="F1789" s="44"/>
      <c r="G1789" s="1" t="str">
        <f>IFERROR(IF(ventas_b_mes684[[#This Row],[CUIT]]="","-",VLOOKUP(ventas_b_mes684[[#This Row],[CUIT]],Lista_CUIT[#All],2,0)),"CUIT NO CARGADO")</f>
        <v>-</v>
      </c>
      <c r="H1789" s="64"/>
      <c r="I1789" s="64">
        <f>ventas_b_mes684[[#This Row],[IMPORTE NETO]]*0.21</f>
        <v>0</v>
      </c>
      <c r="J1789" s="64"/>
      <c r="K1789" s="64"/>
      <c r="L1789" s="64">
        <f>SUM(ventas_b_mes684[[#This Row],[IMPORTE NETO]:[EXENTO]])</f>
        <v>0</v>
      </c>
      <c r="M1789" s="59"/>
    </row>
    <row r="1790" spans="2:13" x14ac:dyDescent="0.25">
      <c r="B1790" s="40"/>
      <c r="C1790" s="41"/>
      <c r="D1790" s="42"/>
      <c r="E1790" s="43"/>
      <c r="F1790" s="44"/>
      <c r="G1790" s="1" t="str">
        <f>IFERROR(IF(ventas_b_mes684[[#This Row],[CUIT]]="","-",VLOOKUP(ventas_b_mes684[[#This Row],[CUIT]],Lista_CUIT[#All],2,0)),"CUIT NO CARGADO")</f>
        <v>-</v>
      </c>
      <c r="H1790" s="64"/>
      <c r="I1790" s="64">
        <f>ventas_b_mes684[[#This Row],[IMPORTE NETO]]*0.21</f>
        <v>0</v>
      </c>
      <c r="J1790" s="64"/>
      <c r="K1790" s="64"/>
      <c r="L1790" s="64">
        <f>SUM(ventas_b_mes684[[#This Row],[IMPORTE NETO]:[EXENTO]])</f>
        <v>0</v>
      </c>
      <c r="M1790" s="59"/>
    </row>
    <row r="1791" spans="2:13" x14ac:dyDescent="0.25">
      <c r="B1791" s="40"/>
      <c r="C1791" s="41"/>
      <c r="D1791" s="42"/>
      <c r="E1791" s="43"/>
      <c r="F1791" s="44"/>
      <c r="G1791" s="1" t="str">
        <f>IFERROR(IF(ventas_b_mes684[[#This Row],[CUIT]]="","-",VLOOKUP(ventas_b_mes684[[#This Row],[CUIT]],Lista_CUIT[#All],2,0)),"CUIT NO CARGADO")</f>
        <v>-</v>
      </c>
      <c r="H1791" s="64"/>
      <c r="I1791" s="64">
        <f>ventas_b_mes684[[#This Row],[IMPORTE NETO]]*0.21</f>
        <v>0</v>
      </c>
      <c r="J1791" s="64"/>
      <c r="K1791" s="64"/>
      <c r="L1791" s="64">
        <f>SUM(ventas_b_mes684[[#This Row],[IMPORTE NETO]:[EXENTO]])</f>
        <v>0</v>
      </c>
      <c r="M1791" s="59"/>
    </row>
    <row r="1792" spans="2:13" x14ac:dyDescent="0.25">
      <c r="B1792" s="40"/>
      <c r="C1792" s="41"/>
      <c r="D1792" s="42"/>
      <c r="E1792" s="43"/>
      <c r="F1792" s="44"/>
      <c r="G1792" s="1" t="str">
        <f>IFERROR(IF(ventas_b_mes684[[#This Row],[CUIT]]="","-",VLOOKUP(ventas_b_mes684[[#This Row],[CUIT]],Lista_CUIT[#All],2,0)),"CUIT NO CARGADO")</f>
        <v>-</v>
      </c>
      <c r="H1792" s="64"/>
      <c r="I1792" s="64">
        <f>ventas_b_mes684[[#This Row],[IMPORTE NETO]]*0.21</f>
        <v>0</v>
      </c>
      <c r="J1792" s="64"/>
      <c r="K1792" s="64"/>
      <c r="L1792" s="64">
        <f>SUM(ventas_b_mes684[[#This Row],[IMPORTE NETO]:[EXENTO]])</f>
        <v>0</v>
      </c>
      <c r="M1792" s="59"/>
    </row>
    <row r="1793" spans="2:13" x14ac:dyDescent="0.25">
      <c r="B1793" s="40"/>
      <c r="C1793" s="41"/>
      <c r="D1793" s="42"/>
      <c r="E1793" s="43"/>
      <c r="F1793" s="44"/>
      <c r="G1793" s="1" t="str">
        <f>IFERROR(IF(ventas_b_mes684[[#This Row],[CUIT]]="","-",VLOOKUP(ventas_b_mes684[[#This Row],[CUIT]],Lista_CUIT[#All],2,0)),"CUIT NO CARGADO")</f>
        <v>-</v>
      </c>
      <c r="H1793" s="64"/>
      <c r="I1793" s="64">
        <f>ventas_b_mes684[[#This Row],[IMPORTE NETO]]*0.21</f>
        <v>0</v>
      </c>
      <c r="J1793" s="64"/>
      <c r="K1793" s="64"/>
      <c r="L1793" s="64">
        <f>SUM(ventas_b_mes684[[#This Row],[IMPORTE NETO]:[EXENTO]])</f>
        <v>0</v>
      </c>
      <c r="M1793" s="59"/>
    </row>
    <row r="1794" spans="2:13" x14ac:dyDescent="0.25">
      <c r="B1794" s="40"/>
      <c r="C1794" s="41"/>
      <c r="D1794" s="42"/>
      <c r="E1794" s="43"/>
      <c r="F1794" s="44"/>
      <c r="G1794" s="1" t="str">
        <f>IFERROR(IF(ventas_b_mes684[[#This Row],[CUIT]]="","-",VLOOKUP(ventas_b_mes684[[#This Row],[CUIT]],Lista_CUIT[#All],2,0)),"CUIT NO CARGADO")</f>
        <v>-</v>
      </c>
      <c r="H1794" s="64"/>
      <c r="I1794" s="64">
        <f>ventas_b_mes684[[#This Row],[IMPORTE NETO]]*0.21</f>
        <v>0</v>
      </c>
      <c r="J1794" s="64"/>
      <c r="K1794" s="64"/>
      <c r="L1794" s="64">
        <f>SUM(ventas_b_mes684[[#This Row],[IMPORTE NETO]:[EXENTO]])</f>
        <v>0</v>
      </c>
      <c r="M1794" s="59"/>
    </row>
    <row r="1795" spans="2:13" x14ac:dyDescent="0.25">
      <c r="B1795" s="40"/>
      <c r="C1795" s="41"/>
      <c r="D1795" s="42"/>
      <c r="E1795" s="43"/>
      <c r="F1795" s="44"/>
      <c r="G1795" s="1" t="str">
        <f>IFERROR(IF(ventas_b_mes684[[#This Row],[CUIT]]="","-",VLOOKUP(ventas_b_mes684[[#This Row],[CUIT]],Lista_CUIT[#All],2,0)),"CUIT NO CARGADO")</f>
        <v>-</v>
      </c>
      <c r="H1795" s="64"/>
      <c r="I1795" s="64">
        <f>ventas_b_mes684[[#This Row],[IMPORTE NETO]]*0.21</f>
        <v>0</v>
      </c>
      <c r="J1795" s="64"/>
      <c r="K1795" s="64"/>
      <c r="L1795" s="64">
        <f>SUM(ventas_b_mes684[[#This Row],[IMPORTE NETO]:[EXENTO]])</f>
        <v>0</v>
      </c>
      <c r="M1795" s="59"/>
    </row>
    <row r="1796" spans="2:13" x14ac:dyDescent="0.25">
      <c r="B1796" s="40"/>
      <c r="C1796" s="41"/>
      <c r="D1796" s="42"/>
      <c r="E1796" s="43"/>
      <c r="F1796" s="44"/>
      <c r="G1796" s="1" t="str">
        <f>IFERROR(IF(ventas_b_mes684[[#This Row],[CUIT]]="","-",VLOOKUP(ventas_b_mes684[[#This Row],[CUIT]],Lista_CUIT[#All],2,0)),"CUIT NO CARGADO")</f>
        <v>-</v>
      </c>
      <c r="H1796" s="64"/>
      <c r="I1796" s="64">
        <f>ventas_b_mes684[[#This Row],[IMPORTE NETO]]*0.21</f>
        <v>0</v>
      </c>
      <c r="J1796" s="64"/>
      <c r="K1796" s="64"/>
      <c r="L1796" s="64">
        <f>SUM(ventas_b_mes684[[#This Row],[IMPORTE NETO]:[EXENTO]])</f>
        <v>0</v>
      </c>
      <c r="M1796" s="59"/>
    </row>
    <row r="1797" spans="2:13" x14ac:dyDescent="0.25">
      <c r="B1797" s="40"/>
      <c r="C1797" s="41"/>
      <c r="D1797" s="42"/>
      <c r="E1797" s="43"/>
      <c r="F1797" s="44"/>
      <c r="G1797" s="1" t="str">
        <f>IFERROR(IF(ventas_b_mes684[[#This Row],[CUIT]]="","-",VLOOKUP(ventas_b_mes684[[#This Row],[CUIT]],Lista_CUIT[#All],2,0)),"CUIT NO CARGADO")</f>
        <v>-</v>
      </c>
      <c r="H1797" s="64"/>
      <c r="I1797" s="64">
        <f>ventas_b_mes684[[#This Row],[IMPORTE NETO]]*0.21</f>
        <v>0</v>
      </c>
      <c r="J1797" s="64"/>
      <c r="K1797" s="64"/>
      <c r="L1797" s="64">
        <f>SUM(ventas_b_mes684[[#This Row],[IMPORTE NETO]:[EXENTO]])</f>
        <v>0</v>
      </c>
      <c r="M1797" s="59"/>
    </row>
    <row r="1798" spans="2:13" x14ac:dyDescent="0.25">
      <c r="B1798" s="40"/>
      <c r="C1798" s="41"/>
      <c r="D1798" s="42"/>
      <c r="E1798" s="43"/>
      <c r="F1798" s="44"/>
      <c r="G1798" s="1" t="str">
        <f>IFERROR(IF(ventas_b_mes684[[#This Row],[CUIT]]="","-",VLOOKUP(ventas_b_mes684[[#This Row],[CUIT]],Lista_CUIT[#All],2,0)),"CUIT NO CARGADO")</f>
        <v>-</v>
      </c>
      <c r="H1798" s="64"/>
      <c r="I1798" s="64">
        <f>ventas_b_mes684[[#This Row],[IMPORTE NETO]]*0.21</f>
        <v>0</v>
      </c>
      <c r="J1798" s="64"/>
      <c r="K1798" s="64"/>
      <c r="L1798" s="64">
        <f>SUM(ventas_b_mes684[[#This Row],[IMPORTE NETO]:[EXENTO]])</f>
        <v>0</v>
      </c>
      <c r="M1798" s="59"/>
    </row>
    <row r="1799" spans="2:13" x14ac:dyDescent="0.25">
      <c r="B1799" s="40"/>
      <c r="C1799" s="41"/>
      <c r="D1799" s="42"/>
      <c r="E1799" s="43"/>
      <c r="F1799" s="44"/>
      <c r="G1799" s="1" t="str">
        <f>IFERROR(IF(ventas_b_mes684[[#This Row],[CUIT]]="","-",VLOOKUP(ventas_b_mes684[[#This Row],[CUIT]],Lista_CUIT[#All],2,0)),"CUIT NO CARGADO")</f>
        <v>-</v>
      </c>
      <c r="H1799" s="64"/>
      <c r="I1799" s="64">
        <f>ventas_b_mes684[[#This Row],[IMPORTE NETO]]*0.21</f>
        <v>0</v>
      </c>
      <c r="J1799" s="64"/>
      <c r="K1799" s="64"/>
      <c r="L1799" s="64">
        <f>SUM(ventas_b_mes684[[#This Row],[IMPORTE NETO]:[EXENTO]])</f>
        <v>0</v>
      </c>
      <c r="M1799" s="59"/>
    </row>
    <row r="1800" spans="2:13" x14ac:dyDescent="0.25">
      <c r="B1800" s="40"/>
      <c r="C1800" s="41"/>
      <c r="D1800" s="42"/>
      <c r="E1800" s="43"/>
      <c r="F1800" s="44"/>
      <c r="G1800" s="1" t="str">
        <f>IFERROR(IF(ventas_b_mes684[[#This Row],[CUIT]]="","-",VLOOKUP(ventas_b_mes684[[#This Row],[CUIT]],Lista_CUIT[#All],2,0)),"CUIT NO CARGADO")</f>
        <v>-</v>
      </c>
      <c r="H1800" s="64"/>
      <c r="I1800" s="64">
        <f>ventas_b_mes684[[#This Row],[IMPORTE NETO]]*0.21</f>
        <v>0</v>
      </c>
      <c r="J1800" s="64"/>
      <c r="K1800" s="64"/>
      <c r="L1800" s="64">
        <f>SUM(ventas_b_mes684[[#This Row],[IMPORTE NETO]:[EXENTO]])</f>
        <v>0</v>
      </c>
      <c r="M1800" s="59"/>
    </row>
    <row r="1801" spans="2:13" x14ac:dyDescent="0.25">
      <c r="B1801" s="40"/>
      <c r="C1801" s="41"/>
      <c r="D1801" s="42"/>
      <c r="E1801" s="43"/>
      <c r="F1801" s="44"/>
      <c r="G1801" s="1" t="str">
        <f>IFERROR(IF(ventas_b_mes684[[#This Row],[CUIT]]="","-",VLOOKUP(ventas_b_mes684[[#This Row],[CUIT]],Lista_CUIT[#All],2,0)),"CUIT NO CARGADO")</f>
        <v>-</v>
      </c>
      <c r="H1801" s="64"/>
      <c r="I1801" s="64">
        <f>ventas_b_mes684[[#This Row],[IMPORTE NETO]]*0.21</f>
        <v>0</v>
      </c>
      <c r="J1801" s="64"/>
      <c r="K1801" s="64"/>
      <c r="L1801" s="64">
        <f>SUM(ventas_b_mes684[[#This Row],[IMPORTE NETO]:[EXENTO]])</f>
        <v>0</v>
      </c>
      <c r="M1801" s="59"/>
    </row>
    <row r="1802" spans="2:13" x14ac:dyDescent="0.25">
      <c r="B1802" s="40"/>
      <c r="C1802" s="41"/>
      <c r="D1802" s="42"/>
      <c r="E1802" s="43"/>
      <c r="F1802" s="44"/>
      <c r="G1802" s="1" t="str">
        <f>IFERROR(IF(ventas_b_mes684[[#This Row],[CUIT]]="","-",VLOOKUP(ventas_b_mes684[[#This Row],[CUIT]],Lista_CUIT[#All],2,0)),"CUIT NO CARGADO")</f>
        <v>-</v>
      </c>
      <c r="H1802" s="64"/>
      <c r="I1802" s="64">
        <f>ventas_b_mes684[[#This Row],[IMPORTE NETO]]*0.21</f>
        <v>0</v>
      </c>
      <c r="J1802" s="64"/>
      <c r="K1802" s="64"/>
      <c r="L1802" s="64">
        <f>SUM(ventas_b_mes684[[#This Row],[IMPORTE NETO]:[EXENTO]])</f>
        <v>0</v>
      </c>
      <c r="M1802" s="59"/>
    </row>
    <row r="1803" spans="2:13" x14ac:dyDescent="0.25">
      <c r="B1803" s="40"/>
      <c r="C1803" s="41"/>
      <c r="D1803" s="42"/>
      <c r="E1803" s="43"/>
      <c r="F1803" s="44"/>
      <c r="G1803" s="1" t="str">
        <f>IFERROR(IF(ventas_b_mes684[[#This Row],[CUIT]]="","-",VLOOKUP(ventas_b_mes684[[#This Row],[CUIT]],Lista_CUIT[#All],2,0)),"CUIT NO CARGADO")</f>
        <v>-</v>
      </c>
      <c r="H1803" s="64"/>
      <c r="I1803" s="64">
        <f>ventas_b_mes684[[#This Row],[IMPORTE NETO]]*0.21</f>
        <v>0</v>
      </c>
      <c r="J1803" s="64"/>
      <c r="K1803" s="64"/>
      <c r="L1803" s="64">
        <f>SUM(ventas_b_mes684[[#This Row],[IMPORTE NETO]:[EXENTO]])</f>
        <v>0</v>
      </c>
      <c r="M1803" s="59"/>
    </row>
    <row r="1804" spans="2:13" x14ac:dyDescent="0.25">
      <c r="B1804" s="40"/>
      <c r="C1804" s="41"/>
      <c r="D1804" s="42"/>
      <c r="E1804" s="43"/>
      <c r="F1804" s="44"/>
      <c r="G1804" s="1" t="str">
        <f>IFERROR(IF(ventas_b_mes684[[#This Row],[CUIT]]="","-",VLOOKUP(ventas_b_mes684[[#This Row],[CUIT]],Lista_CUIT[#All],2,0)),"CUIT NO CARGADO")</f>
        <v>-</v>
      </c>
      <c r="H1804" s="64"/>
      <c r="I1804" s="64">
        <f>ventas_b_mes684[[#This Row],[IMPORTE NETO]]*0.21</f>
        <v>0</v>
      </c>
      <c r="J1804" s="64"/>
      <c r="K1804" s="64"/>
      <c r="L1804" s="64">
        <f>SUM(ventas_b_mes684[[#This Row],[IMPORTE NETO]:[EXENTO]])</f>
        <v>0</v>
      </c>
      <c r="M1804" s="59"/>
    </row>
    <row r="1805" spans="2:13" x14ac:dyDescent="0.25">
      <c r="B1805" s="40"/>
      <c r="C1805" s="41"/>
      <c r="D1805" s="42"/>
      <c r="E1805" s="43"/>
      <c r="F1805" s="44"/>
      <c r="G1805" s="1" t="str">
        <f>IFERROR(IF(ventas_b_mes684[[#This Row],[CUIT]]="","-",VLOOKUP(ventas_b_mes684[[#This Row],[CUIT]],Lista_CUIT[#All],2,0)),"CUIT NO CARGADO")</f>
        <v>-</v>
      </c>
      <c r="H1805" s="64"/>
      <c r="I1805" s="64">
        <f>ventas_b_mes684[[#This Row],[IMPORTE NETO]]*0.21</f>
        <v>0</v>
      </c>
      <c r="J1805" s="64"/>
      <c r="K1805" s="64"/>
      <c r="L1805" s="64">
        <f>SUM(ventas_b_mes684[[#This Row],[IMPORTE NETO]:[EXENTO]])</f>
        <v>0</v>
      </c>
      <c r="M1805" s="59"/>
    </row>
    <row r="1806" spans="2:13" x14ac:dyDescent="0.25">
      <c r="B1806" s="40"/>
      <c r="C1806" s="41"/>
      <c r="D1806" s="42"/>
      <c r="E1806" s="43"/>
      <c r="F1806" s="44"/>
      <c r="G1806" s="1" t="str">
        <f>IFERROR(IF(ventas_b_mes684[[#This Row],[CUIT]]="","-",VLOOKUP(ventas_b_mes684[[#This Row],[CUIT]],Lista_CUIT[#All],2,0)),"CUIT NO CARGADO")</f>
        <v>-</v>
      </c>
      <c r="H1806" s="64"/>
      <c r="I1806" s="64">
        <f>ventas_b_mes684[[#This Row],[IMPORTE NETO]]*0.21</f>
        <v>0</v>
      </c>
      <c r="J1806" s="64"/>
      <c r="K1806" s="64"/>
      <c r="L1806" s="64">
        <f>SUM(ventas_b_mes684[[#This Row],[IMPORTE NETO]:[EXENTO]])</f>
        <v>0</v>
      </c>
      <c r="M1806" s="59"/>
    </row>
    <row r="1807" spans="2:13" x14ac:dyDescent="0.25">
      <c r="B1807" s="40"/>
      <c r="C1807" s="41"/>
      <c r="D1807" s="42"/>
      <c r="E1807" s="43"/>
      <c r="F1807" s="44"/>
      <c r="G1807" s="1" t="str">
        <f>IFERROR(IF(ventas_b_mes684[[#This Row],[CUIT]]="","-",VLOOKUP(ventas_b_mes684[[#This Row],[CUIT]],Lista_CUIT[#All],2,0)),"CUIT NO CARGADO")</f>
        <v>-</v>
      </c>
      <c r="H1807" s="64"/>
      <c r="I1807" s="64">
        <f>ventas_b_mes684[[#This Row],[IMPORTE NETO]]*0.21</f>
        <v>0</v>
      </c>
      <c r="J1807" s="64"/>
      <c r="K1807" s="64"/>
      <c r="L1807" s="64">
        <f>SUM(ventas_b_mes684[[#This Row],[IMPORTE NETO]:[EXENTO]])</f>
        <v>0</v>
      </c>
      <c r="M1807" s="59"/>
    </row>
    <row r="1808" spans="2:13" x14ac:dyDescent="0.25">
      <c r="B1808" s="40"/>
      <c r="C1808" s="41"/>
      <c r="D1808" s="42"/>
      <c r="E1808" s="43"/>
      <c r="F1808" s="44"/>
      <c r="G1808" s="1" t="str">
        <f>IFERROR(IF(ventas_b_mes684[[#This Row],[CUIT]]="","-",VLOOKUP(ventas_b_mes684[[#This Row],[CUIT]],Lista_CUIT[#All],2,0)),"CUIT NO CARGADO")</f>
        <v>-</v>
      </c>
      <c r="H1808" s="64"/>
      <c r="I1808" s="64">
        <f>ventas_b_mes684[[#This Row],[IMPORTE NETO]]*0.21</f>
        <v>0</v>
      </c>
      <c r="J1808" s="64"/>
      <c r="K1808" s="64"/>
      <c r="L1808" s="64">
        <f>SUM(ventas_b_mes684[[#This Row],[IMPORTE NETO]:[EXENTO]])</f>
        <v>0</v>
      </c>
      <c r="M1808" s="59"/>
    </row>
    <row r="1809" spans="2:13" x14ac:dyDescent="0.25">
      <c r="B1809" s="40"/>
      <c r="C1809" s="41"/>
      <c r="D1809" s="42"/>
      <c r="E1809" s="43"/>
      <c r="F1809" s="44"/>
      <c r="G1809" s="1" t="str">
        <f>IFERROR(IF(ventas_b_mes684[[#This Row],[CUIT]]="","-",VLOOKUP(ventas_b_mes684[[#This Row],[CUIT]],Lista_CUIT[#All],2,0)),"CUIT NO CARGADO")</f>
        <v>-</v>
      </c>
      <c r="H1809" s="64"/>
      <c r="I1809" s="64">
        <f>ventas_b_mes684[[#This Row],[IMPORTE NETO]]*0.21</f>
        <v>0</v>
      </c>
      <c r="J1809" s="64"/>
      <c r="K1809" s="64"/>
      <c r="L1809" s="64">
        <f>SUM(ventas_b_mes684[[#This Row],[IMPORTE NETO]:[EXENTO]])</f>
        <v>0</v>
      </c>
      <c r="M1809" s="59"/>
    </row>
    <row r="1810" spans="2:13" x14ac:dyDescent="0.25">
      <c r="B1810" s="40"/>
      <c r="C1810" s="41"/>
      <c r="D1810" s="42"/>
      <c r="E1810" s="43"/>
      <c r="F1810" s="44"/>
      <c r="G1810" s="1" t="str">
        <f>IFERROR(IF(ventas_b_mes684[[#This Row],[CUIT]]="","-",VLOOKUP(ventas_b_mes684[[#This Row],[CUIT]],Lista_CUIT[#All],2,0)),"CUIT NO CARGADO")</f>
        <v>-</v>
      </c>
      <c r="H1810" s="64"/>
      <c r="I1810" s="64">
        <f>ventas_b_mes684[[#This Row],[IMPORTE NETO]]*0.21</f>
        <v>0</v>
      </c>
      <c r="J1810" s="64"/>
      <c r="K1810" s="64"/>
      <c r="L1810" s="64">
        <f>SUM(ventas_b_mes684[[#This Row],[IMPORTE NETO]:[EXENTO]])</f>
        <v>0</v>
      </c>
      <c r="M1810" s="59"/>
    </row>
    <row r="1811" spans="2:13" x14ac:dyDescent="0.25">
      <c r="B1811" s="40"/>
      <c r="C1811" s="41"/>
      <c r="D1811" s="42"/>
      <c r="E1811" s="43"/>
      <c r="F1811" s="44"/>
      <c r="G1811" s="1" t="str">
        <f>IFERROR(IF(ventas_b_mes684[[#This Row],[CUIT]]="","-",VLOOKUP(ventas_b_mes684[[#This Row],[CUIT]],Lista_CUIT[#All],2,0)),"CUIT NO CARGADO")</f>
        <v>-</v>
      </c>
      <c r="H1811" s="64"/>
      <c r="I1811" s="64">
        <f>ventas_b_mes684[[#This Row],[IMPORTE NETO]]*0.21</f>
        <v>0</v>
      </c>
      <c r="J1811" s="64"/>
      <c r="K1811" s="64"/>
      <c r="L1811" s="64">
        <f>SUM(ventas_b_mes684[[#This Row],[IMPORTE NETO]:[EXENTO]])</f>
        <v>0</v>
      </c>
      <c r="M1811" s="59"/>
    </row>
    <row r="1812" spans="2:13" x14ac:dyDescent="0.25">
      <c r="B1812" s="40"/>
      <c r="C1812" s="41"/>
      <c r="D1812" s="42"/>
      <c r="E1812" s="43"/>
      <c r="F1812" s="44"/>
      <c r="G1812" s="1" t="str">
        <f>IFERROR(IF(ventas_b_mes684[[#This Row],[CUIT]]="","-",VLOOKUP(ventas_b_mes684[[#This Row],[CUIT]],Lista_CUIT[#All],2,0)),"CUIT NO CARGADO")</f>
        <v>-</v>
      </c>
      <c r="H1812" s="64"/>
      <c r="I1812" s="64">
        <f>ventas_b_mes684[[#This Row],[IMPORTE NETO]]*0.21</f>
        <v>0</v>
      </c>
      <c r="J1812" s="64"/>
      <c r="K1812" s="64"/>
      <c r="L1812" s="64">
        <f>SUM(ventas_b_mes684[[#This Row],[IMPORTE NETO]:[EXENTO]])</f>
        <v>0</v>
      </c>
      <c r="M1812" s="59"/>
    </row>
    <row r="1813" spans="2:13" x14ac:dyDescent="0.25">
      <c r="B1813" s="40"/>
      <c r="C1813" s="41"/>
      <c r="D1813" s="42"/>
      <c r="E1813" s="43"/>
      <c r="F1813" s="44"/>
      <c r="G1813" s="1" t="str">
        <f>IFERROR(IF(ventas_b_mes684[[#This Row],[CUIT]]="","-",VLOOKUP(ventas_b_mes684[[#This Row],[CUIT]],Lista_CUIT[#All],2,0)),"CUIT NO CARGADO")</f>
        <v>-</v>
      </c>
      <c r="H1813" s="64"/>
      <c r="I1813" s="64">
        <f>ventas_b_mes684[[#This Row],[IMPORTE NETO]]*0.21</f>
        <v>0</v>
      </c>
      <c r="J1813" s="64"/>
      <c r="K1813" s="64"/>
      <c r="L1813" s="64">
        <f>SUM(ventas_b_mes684[[#This Row],[IMPORTE NETO]:[EXENTO]])</f>
        <v>0</v>
      </c>
      <c r="M1813" s="59"/>
    </row>
    <row r="1814" spans="2:13" x14ac:dyDescent="0.25">
      <c r="B1814" s="40"/>
      <c r="C1814" s="41"/>
      <c r="D1814" s="42"/>
      <c r="E1814" s="43"/>
      <c r="F1814" s="44"/>
      <c r="G1814" s="1" t="str">
        <f>IFERROR(IF(ventas_b_mes684[[#This Row],[CUIT]]="","-",VLOOKUP(ventas_b_mes684[[#This Row],[CUIT]],Lista_CUIT[#All],2,0)),"CUIT NO CARGADO")</f>
        <v>-</v>
      </c>
      <c r="H1814" s="64"/>
      <c r="I1814" s="64">
        <f>ventas_b_mes684[[#This Row],[IMPORTE NETO]]*0.21</f>
        <v>0</v>
      </c>
      <c r="J1814" s="64"/>
      <c r="K1814" s="64"/>
      <c r="L1814" s="64">
        <f>SUM(ventas_b_mes684[[#This Row],[IMPORTE NETO]:[EXENTO]])</f>
        <v>0</v>
      </c>
      <c r="M1814" s="59"/>
    </row>
    <row r="1815" spans="2:13" x14ac:dyDescent="0.25">
      <c r="B1815" s="40"/>
      <c r="C1815" s="41"/>
      <c r="D1815" s="42"/>
      <c r="E1815" s="43"/>
      <c r="F1815" s="44"/>
      <c r="G1815" s="1" t="str">
        <f>IFERROR(IF(ventas_b_mes684[[#This Row],[CUIT]]="","-",VLOOKUP(ventas_b_mes684[[#This Row],[CUIT]],Lista_CUIT[#All],2,0)),"CUIT NO CARGADO")</f>
        <v>-</v>
      </c>
      <c r="H1815" s="64"/>
      <c r="I1815" s="64">
        <f>ventas_b_mes684[[#This Row],[IMPORTE NETO]]*0.21</f>
        <v>0</v>
      </c>
      <c r="J1815" s="64"/>
      <c r="K1815" s="64"/>
      <c r="L1815" s="64">
        <f>SUM(ventas_b_mes684[[#This Row],[IMPORTE NETO]:[EXENTO]])</f>
        <v>0</v>
      </c>
      <c r="M1815" s="59"/>
    </row>
    <row r="1816" spans="2:13" x14ac:dyDescent="0.25">
      <c r="B1816" s="40"/>
      <c r="C1816" s="41"/>
      <c r="D1816" s="42"/>
      <c r="E1816" s="43"/>
      <c r="F1816" s="44"/>
      <c r="G1816" s="1" t="str">
        <f>IFERROR(IF(ventas_b_mes684[[#This Row],[CUIT]]="","-",VLOOKUP(ventas_b_mes684[[#This Row],[CUIT]],Lista_CUIT[#All],2,0)),"CUIT NO CARGADO")</f>
        <v>-</v>
      </c>
      <c r="H1816" s="64"/>
      <c r="I1816" s="64">
        <f>ventas_b_mes684[[#This Row],[IMPORTE NETO]]*0.21</f>
        <v>0</v>
      </c>
      <c r="J1816" s="64"/>
      <c r="K1816" s="64"/>
      <c r="L1816" s="64">
        <f>SUM(ventas_b_mes684[[#This Row],[IMPORTE NETO]:[EXENTO]])</f>
        <v>0</v>
      </c>
      <c r="M1816" s="59"/>
    </row>
    <row r="1817" spans="2:13" x14ac:dyDescent="0.25">
      <c r="B1817" s="40"/>
      <c r="C1817" s="41"/>
      <c r="D1817" s="42"/>
      <c r="E1817" s="43"/>
      <c r="F1817" s="44"/>
      <c r="G1817" s="1" t="str">
        <f>IFERROR(IF(ventas_b_mes684[[#This Row],[CUIT]]="","-",VLOOKUP(ventas_b_mes684[[#This Row],[CUIT]],Lista_CUIT[#All],2,0)),"CUIT NO CARGADO")</f>
        <v>-</v>
      </c>
      <c r="H1817" s="64"/>
      <c r="I1817" s="64">
        <f>ventas_b_mes684[[#This Row],[IMPORTE NETO]]*0.21</f>
        <v>0</v>
      </c>
      <c r="J1817" s="64"/>
      <c r="K1817" s="64"/>
      <c r="L1817" s="64">
        <f>SUM(ventas_b_mes684[[#This Row],[IMPORTE NETO]:[EXENTO]])</f>
        <v>0</v>
      </c>
      <c r="M1817" s="59"/>
    </row>
    <row r="1818" spans="2:13" x14ac:dyDescent="0.25">
      <c r="B1818" s="40"/>
      <c r="C1818" s="41"/>
      <c r="D1818" s="42"/>
      <c r="E1818" s="43"/>
      <c r="F1818" s="44"/>
      <c r="G1818" s="1" t="str">
        <f>IFERROR(IF(ventas_b_mes684[[#This Row],[CUIT]]="","-",VLOOKUP(ventas_b_mes684[[#This Row],[CUIT]],Lista_CUIT[#All],2,0)),"CUIT NO CARGADO")</f>
        <v>-</v>
      </c>
      <c r="H1818" s="64"/>
      <c r="I1818" s="64">
        <f>ventas_b_mes684[[#This Row],[IMPORTE NETO]]*0.21</f>
        <v>0</v>
      </c>
      <c r="J1818" s="64"/>
      <c r="K1818" s="64"/>
      <c r="L1818" s="64">
        <f>SUM(ventas_b_mes684[[#This Row],[IMPORTE NETO]:[EXENTO]])</f>
        <v>0</v>
      </c>
      <c r="M1818" s="59"/>
    </row>
    <row r="1819" spans="2:13" x14ac:dyDescent="0.25">
      <c r="B1819" s="40"/>
      <c r="C1819" s="41"/>
      <c r="D1819" s="42"/>
      <c r="E1819" s="43"/>
      <c r="F1819" s="44"/>
      <c r="G1819" s="1" t="str">
        <f>IFERROR(IF(ventas_b_mes684[[#This Row],[CUIT]]="","-",VLOOKUP(ventas_b_mes684[[#This Row],[CUIT]],Lista_CUIT[#All],2,0)),"CUIT NO CARGADO")</f>
        <v>-</v>
      </c>
      <c r="H1819" s="64"/>
      <c r="I1819" s="64">
        <f>ventas_b_mes684[[#This Row],[IMPORTE NETO]]*0.21</f>
        <v>0</v>
      </c>
      <c r="J1819" s="64"/>
      <c r="K1819" s="64"/>
      <c r="L1819" s="64">
        <f>SUM(ventas_b_mes684[[#This Row],[IMPORTE NETO]:[EXENTO]])</f>
        <v>0</v>
      </c>
      <c r="M1819" s="59"/>
    </row>
    <row r="1820" spans="2:13" x14ac:dyDescent="0.25">
      <c r="B1820" s="40"/>
      <c r="C1820" s="41"/>
      <c r="D1820" s="42"/>
      <c r="E1820" s="43"/>
      <c r="F1820" s="44"/>
      <c r="G1820" s="1" t="str">
        <f>IFERROR(IF(ventas_b_mes684[[#This Row],[CUIT]]="","-",VLOOKUP(ventas_b_mes684[[#This Row],[CUIT]],Lista_CUIT[#All],2,0)),"CUIT NO CARGADO")</f>
        <v>-</v>
      </c>
      <c r="H1820" s="64"/>
      <c r="I1820" s="64">
        <f>ventas_b_mes684[[#This Row],[IMPORTE NETO]]*0.21</f>
        <v>0</v>
      </c>
      <c r="J1820" s="64"/>
      <c r="K1820" s="64"/>
      <c r="L1820" s="64">
        <f>SUM(ventas_b_mes684[[#This Row],[IMPORTE NETO]:[EXENTO]])</f>
        <v>0</v>
      </c>
      <c r="M1820" s="59"/>
    </row>
    <row r="1821" spans="2:13" x14ac:dyDescent="0.25">
      <c r="B1821" s="40"/>
      <c r="C1821" s="41"/>
      <c r="D1821" s="42"/>
      <c r="E1821" s="43"/>
      <c r="F1821" s="44"/>
      <c r="G1821" s="1" t="str">
        <f>IFERROR(IF(ventas_b_mes684[[#This Row],[CUIT]]="","-",VLOOKUP(ventas_b_mes684[[#This Row],[CUIT]],Lista_CUIT[#All],2,0)),"CUIT NO CARGADO")</f>
        <v>-</v>
      </c>
      <c r="H1821" s="64"/>
      <c r="I1821" s="64">
        <f>ventas_b_mes684[[#This Row],[IMPORTE NETO]]*0.21</f>
        <v>0</v>
      </c>
      <c r="J1821" s="64"/>
      <c r="K1821" s="64"/>
      <c r="L1821" s="64">
        <f>SUM(ventas_b_mes684[[#This Row],[IMPORTE NETO]:[EXENTO]])</f>
        <v>0</v>
      </c>
      <c r="M1821" s="59"/>
    </row>
    <row r="1822" spans="2:13" x14ac:dyDescent="0.25">
      <c r="B1822" s="40"/>
      <c r="C1822" s="41"/>
      <c r="D1822" s="42"/>
      <c r="E1822" s="43"/>
      <c r="F1822" s="44"/>
      <c r="G1822" s="1" t="str">
        <f>IFERROR(IF(ventas_b_mes684[[#This Row],[CUIT]]="","-",VLOOKUP(ventas_b_mes684[[#This Row],[CUIT]],Lista_CUIT[#All],2,0)),"CUIT NO CARGADO")</f>
        <v>-</v>
      </c>
      <c r="H1822" s="64"/>
      <c r="I1822" s="64">
        <f>ventas_b_mes684[[#This Row],[IMPORTE NETO]]*0.21</f>
        <v>0</v>
      </c>
      <c r="J1822" s="64"/>
      <c r="K1822" s="64"/>
      <c r="L1822" s="64">
        <f>SUM(ventas_b_mes684[[#This Row],[IMPORTE NETO]:[EXENTO]])</f>
        <v>0</v>
      </c>
      <c r="M1822" s="59"/>
    </row>
    <row r="1823" spans="2:13" x14ac:dyDescent="0.25">
      <c r="B1823" s="40"/>
      <c r="C1823" s="41"/>
      <c r="D1823" s="42"/>
      <c r="E1823" s="43"/>
      <c r="F1823" s="44"/>
      <c r="G1823" s="1" t="str">
        <f>IFERROR(IF(ventas_b_mes684[[#This Row],[CUIT]]="","-",VLOOKUP(ventas_b_mes684[[#This Row],[CUIT]],Lista_CUIT[#All],2,0)),"CUIT NO CARGADO")</f>
        <v>-</v>
      </c>
      <c r="H1823" s="64"/>
      <c r="I1823" s="64">
        <f>ventas_b_mes684[[#This Row],[IMPORTE NETO]]*0.21</f>
        <v>0</v>
      </c>
      <c r="J1823" s="64"/>
      <c r="K1823" s="64"/>
      <c r="L1823" s="64">
        <f>SUM(ventas_b_mes684[[#This Row],[IMPORTE NETO]:[EXENTO]])</f>
        <v>0</v>
      </c>
      <c r="M1823" s="59"/>
    </row>
    <row r="1824" spans="2:13" x14ac:dyDescent="0.25">
      <c r="B1824" s="40"/>
      <c r="C1824" s="41"/>
      <c r="D1824" s="42"/>
      <c r="E1824" s="43"/>
      <c r="F1824" s="44"/>
      <c r="G1824" s="1" t="str">
        <f>IFERROR(IF(ventas_b_mes684[[#This Row],[CUIT]]="","-",VLOOKUP(ventas_b_mes684[[#This Row],[CUIT]],Lista_CUIT[#All],2,0)),"CUIT NO CARGADO")</f>
        <v>-</v>
      </c>
      <c r="H1824" s="64"/>
      <c r="I1824" s="64">
        <f>ventas_b_mes684[[#This Row],[IMPORTE NETO]]*0.21</f>
        <v>0</v>
      </c>
      <c r="J1824" s="64"/>
      <c r="K1824" s="64"/>
      <c r="L1824" s="64">
        <f>SUM(ventas_b_mes684[[#This Row],[IMPORTE NETO]:[EXENTO]])</f>
        <v>0</v>
      </c>
      <c r="M1824" s="59"/>
    </row>
    <row r="1825" spans="2:13" x14ac:dyDescent="0.25">
      <c r="B1825" s="40"/>
      <c r="C1825" s="41"/>
      <c r="D1825" s="42"/>
      <c r="E1825" s="43"/>
      <c r="F1825" s="44"/>
      <c r="G1825" s="1" t="str">
        <f>IFERROR(IF(ventas_b_mes684[[#This Row],[CUIT]]="","-",VLOOKUP(ventas_b_mes684[[#This Row],[CUIT]],Lista_CUIT[#All],2,0)),"CUIT NO CARGADO")</f>
        <v>-</v>
      </c>
      <c r="H1825" s="64"/>
      <c r="I1825" s="64">
        <f>ventas_b_mes684[[#This Row],[IMPORTE NETO]]*0.21</f>
        <v>0</v>
      </c>
      <c r="J1825" s="64"/>
      <c r="K1825" s="64"/>
      <c r="L1825" s="64">
        <f>SUM(ventas_b_mes684[[#This Row],[IMPORTE NETO]:[EXENTO]])</f>
        <v>0</v>
      </c>
      <c r="M1825" s="59"/>
    </row>
    <row r="1826" spans="2:13" x14ac:dyDescent="0.25">
      <c r="B1826" s="40"/>
      <c r="C1826" s="41"/>
      <c r="D1826" s="42"/>
      <c r="E1826" s="43"/>
      <c r="F1826" s="44"/>
      <c r="G1826" s="1" t="str">
        <f>IFERROR(IF(ventas_b_mes684[[#This Row],[CUIT]]="","-",VLOOKUP(ventas_b_mes684[[#This Row],[CUIT]],Lista_CUIT[#All],2,0)),"CUIT NO CARGADO")</f>
        <v>-</v>
      </c>
      <c r="H1826" s="64"/>
      <c r="I1826" s="64">
        <f>ventas_b_mes684[[#This Row],[IMPORTE NETO]]*0.21</f>
        <v>0</v>
      </c>
      <c r="J1826" s="64"/>
      <c r="K1826" s="64"/>
      <c r="L1826" s="64">
        <f>SUM(ventas_b_mes684[[#This Row],[IMPORTE NETO]:[EXENTO]])</f>
        <v>0</v>
      </c>
      <c r="M1826" s="59"/>
    </row>
    <row r="1827" spans="2:13" x14ac:dyDescent="0.25">
      <c r="B1827" s="40"/>
      <c r="C1827" s="41"/>
      <c r="D1827" s="42"/>
      <c r="E1827" s="43"/>
      <c r="F1827" s="44"/>
      <c r="G1827" s="1" t="str">
        <f>IFERROR(IF(ventas_b_mes684[[#This Row],[CUIT]]="","-",VLOOKUP(ventas_b_mes684[[#This Row],[CUIT]],Lista_CUIT[#All],2,0)),"CUIT NO CARGADO")</f>
        <v>-</v>
      </c>
      <c r="H1827" s="64"/>
      <c r="I1827" s="64">
        <f>ventas_b_mes684[[#This Row],[IMPORTE NETO]]*0.21</f>
        <v>0</v>
      </c>
      <c r="J1827" s="64"/>
      <c r="K1827" s="64"/>
      <c r="L1827" s="64">
        <f>SUM(ventas_b_mes684[[#This Row],[IMPORTE NETO]:[EXENTO]])</f>
        <v>0</v>
      </c>
      <c r="M1827" s="59"/>
    </row>
    <row r="1828" spans="2:13" x14ac:dyDescent="0.25">
      <c r="B1828" s="40"/>
      <c r="C1828" s="41"/>
      <c r="D1828" s="42"/>
      <c r="E1828" s="43"/>
      <c r="F1828" s="44"/>
      <c r="G1828" s="1" t="str">
        <f>IFERROR(IF(ventas_b_mes684[[#This Row],[CUIT]]="","-",VLOOKUP(ventas_b_mes684[[#This Row],[CUIT]],Lista_CUIT[#All],2,0)),"CUIT NO CARGADO")</f>
        <v>-</v>
      </c>
      <c r="H1828" s="64"/>
      <c r="I1828" s="64">
        <f>ventas_b_mes684[[#This Row],[IMPORTE NETO]]*0.21</f>
        <v>0</v>
      </c>
      <c r="J1828" s="64"/>
      <c r="K1828" s="64"/>
      <c r="L1828" s="64">
        <f>SUM(ventas_b_mes684[[#This Row],[IMPORTE NETO]:[EXENTO]])</f>
        <v>0</v>
      </c>
      <c r="M1828" s="59"/>
    </row>
    <row r="1829" spans="2:13" x14ac:dyDescent="0.25">
      <c r="B1829" s="40"/>
      <c r="C1829" s="41"/>
      <c r="D1829" s="42"/>
      <c r="E1829" s="43"/>
      <c r="F1829" s="44"/>
      <c r="G1829" s="1" t="str">
        <f>IFERROR(IF(ventas_b_mes684[[#This Row],[CUIT]]="","-",VLOOKUP(ventas_b_mes684[[#This Row],[CUIT]],Lista_CUIT[#All],2,0)),"CUIT NO CARGADO")</f>
        <v>-</v>
      </c>
      <c r="H1829" s="64"/>
      <c r="I1829" s="64">
        <f>ventas_b_mes684[[#This Row],[IMPORTE NETO]]*0.21</f>
        <v>0</v>
      </c>
      <c r="J1829" s="64"/>
      <c r="K1829" s="64"/>
      <c r="L1829" s="64">
        <f>SUM(ventas_b_mes684[[#This Row],[IMPORTE NETO]:[EXENTO]])</f>
        <v>0</v>
      </c>
      <c r="M1829" s="59"/>
    </row>
    <row r="1830" spans="2:13" x14ac:dyDescent="0.25">
      <c r="B1830" s="40"/>
      <c r="C1830" s="41"/>
      <c r="D1830" s="42"/>
      <c r="E1830" s="43"/>
      <c r="F1830" s="44"/>
      <c r="G1830" s="1" t="str">
        <f>IFERROR(IF(ventas_b_mes684[[#This Row],[CUIT]]="","-",VLOOKUP(ventas_b_mes684[[#This Row],[CUIT]],Lista_CUIT[#All],2,0)),"CUIT NO CARGADO")</f>
        <v>-</v>
      </c>
      <c r="H1830" s="64"/>
      <c r="I1830" s="64">
        <f>ventas_b_mes684[[#This Row],[IMPORTE NETO]]*0.21</f>
        <v>0</v>
      </c>
      <c r="J1830" s="64"/>
      <c r="K1830" s="64"/>
      <c r="L1830" s="64">
        <f>SUM(ventas_b_mes684[[#This Row],[IMPORTE NETO]:[EXENTO]])</f>
        <v>0</v>
      </c>
      <c r="M1830" s="59"/>
    </row>
    <row r="1831" spans="2:13" x14ac:dyDescent="0.25">
      <c r="B1831" s="40"/>
      <c r="C1831" s="41"/>
      <c r="D1831" s="42"/>
      <c r="E1831" s="43"/>
      <c r="F1831" s="44"/>
      <c r="G1831" s="1" t="str">
        <f>IFERROR(IF(ventas_b_mes684[[#This Row],[CUIT]]="","-",VLOOKUP(ventas_b_mes684[[#This Row],[CUIT]],Lista_CUIT[#All],2,0)),"CUIT NO CARGADO")</f>
        <v>-</v>
      </c>
      <c r="H1831" s="64"/>
      <c r="I1831" s="64">
        <f>ventas_b_mes684[[#This Row],[IMPORTE NETO]]*0.21</f>
        <v>0</v>
      </c>
      <c r="J1831" s="64"/>
      <c r="K1831" s="64"/>
      <c r="L1831" s="64">
        <f>SUM(ventas_b_mes684[[#This Row],[IMPORTE NETO]:[EXENTO]])</f>
        <v>0</v>
      </c>
      <c r="M1831" s="59"/>
    </row>
    <row r="1832" spans="2:13" x14ac:dyDescent="0.25">
      <c r="B1832" s="40"/>
      <c r="C1832" s="41"/>
      <c r="D1832" s="42"/>
      <c r="E1832" s="43"/>
      <c r="F1832" s="44"/>
      <c r="G1832" s="1" t="str">
        <f>IFERROR(IF(ventas_b_mes684[[#This Row],[CUIT]]="","-",VLOOKUP(ventas_b_mes684[[#This Row],[CUIT]],Lista_CUIT[#All],2,0)),"CUIT NO CARGADO")</f>
        <v>-</v>
      </c>
      <c r="H1832" s="64"/>
      <c r="I1832" s="64">
        <f>ventas_b_mes684[[#This Row],[IMPORTE NETO]]*0.21</f>
        <v>0</v>
      </c>
      <c r="J1832" s="64"/>
      <c r="K1832" s="64"/>
      <c r="L1832" s="64">
        <f>SUM(ventas_b_mes684[[#This Row],[IMPORTE NETO]:[EXENTO]])</f>
        <v>0</v>
      </c>
      <c r="M1832" s="59"/>
    </row>
    <row r="1833" spans="2:13" x14ac:dyDescent="0.25">
      <c r="B1833" s="40"/>
      <c r="C1833" s="41"/>
      <c r="D1833" s="42"/>
      <c r="E1833" s="43"/>
      <c r="F1833" s="44"/>
      <c r="G1833" s="1" t="str">
        <f>IFERROR(IF(ventas_b_mes684[[#This Row],[CUIT]]="","-",VLOOKUP(ventas_b_mes684[[#This Row],[CUIT]],Lista_CUIT[#All],2,0)),"CUIT NO CARGADO")</f>
        <v>-</v>
      </c>
      <c r="H1833" s="64"/>
      <c r="I1833" s="64">
        <f>ventas_b_mes684[[#This Row],[IMPORTE NETO]]*0.21</f>
        <v>0</v>
      </c>
      <c r="J1833" s="64"/>
      <c r="K1833" s="64"/>
      <c r="L1833" s="64">
        <f>SUM(ventas_b_mes684[[#This Row],[IMPORTE NETO]:[EXENTO]])</f>
        <v>0</v>
      </c>
      <c r="M1833" s="59"/>
    </row>
    <row r="1834" spans="2:13" x14ac:dyDescent="0.25">
      <c r="B1834" s="40"/>
      <c r="C1834" s="41"/>
      <c r="D1834" s="42"/>
      <c r="E1834" s="43"/>
      <c r="F1834" s="44"/>
      <c r="G1834" s="1" t="str">
        <f>IFERROR(IF(ventas_b_mes684[[#This Row],[CUIT]]="","-",VLOOKUP(ventas_b_mes684[[#This Row],[CUIT]],Lista_CUIT[#All],2,0)),"CUIT NO CARGADO")</f>
        <v>-</v>
      </c>
      <c r="H1834" s="64"/>
      <c r="I1834" s="64">
        <f>ventas_b_mes684[[#This Row],[IMPORTE NETO]]*0.21</f>
        <v>0</v>
      </c>
      <c r="J1834" s="64"/>
      <c r="K1834" s="64"/>
      <c r="L1834" s="64">
        <f>SUM(ventas_b_mes684[[#This Row],[IMPORTE NETO]:[EXENTO]])</f>
        <v>0</v>
      </c>
      <c r="M1834" s="59"/>
    </row>
    <row r="1835" spans="2:13" x14ac:dyDescent="0.25">
      <c r="B1835" s="40"/>
      <c r="C1835" s="41"/>
      <c r="D1835" s="42"/>
      <c r="E1835" s="43"/>
      <c r="F1835" s="44"/>
      <c r="G1835" s="1" t="str">
        <f>IFERROR(IF(ventas_b_mes684[[#This Row],[CUIT]]="","-",VLOOKUP(ventas_b_mes684[[#This Row],[CUIT]],Lista_CUIT[#All],2,0)),"CUIT NO CARGADO")</f>
        <v>-</v>
      </c>
      <c r="H1835" s="64"/>
      <c r="I1835" s="64">
        <f>ventas_b_mes684[[#This Row],[IMPORTE NETO]]*0.21</f>
        <v>0</v>
      </c>
      <c r="J1835" s="64"/>
      <c r="K1835" s="64"/>
      <c r="L1835" s="64">
        <f>SUM(ventas_b_mes684[[#This Row],[IMPORTE NETO]:[EXENTO]])</f>
        <v>0</v>
      </c>
      <c r="M1835" s="59"/>
    </row>
    <row r="1836" spans="2:13" x14ac:dyDescent="0.25">
      <c r="B1836" s="40"/>
      <c r="C1836" s="41"/>
      <c r="D1836" s="42"/>
      <c r="E1836" s="43"/>
      <c r="F1836" s="44"/>
      <c r="G1836" s="1" t="str">
        <f>IFERROR(IF(ventas_b_mes684[[#This Row],[CUIT]]="","-",VLOOKUP(ventas_b_mes684[[#This Row],[CUIT]],Lista_CUIT[#All],2,0)),"CUIT NO CARGADO")</f>
        <v>-</v>
      </c>
      <c r="H1836" s="64"/>
      <c r="I1836" s="64">
        <f>ventas_b_mes684[[#This Row],[IMPORTE NETO]]*0.21</f>
        <v>0</v>
      </c>
      <c r="J1836" s="64"/>
      <c r="K1836" s="64"/>
      <c r="L1836" s="64">
        <f>SUM(ventas_b_mes684[[#This Row],[IMPORTE NETO]:[EXENTO]])</f>
        <v>0</v>
      </c>
      <c r="M1836" s="59"/>
    </row>
    <row r="1837" spans="2:13" x14ac:dyDescent="0.25">
      <c r="B1837" s="40"/>
      <c r="C1837" s="41"/>
      <c r="D1837" s="42"/>
      <c r="E1837" s="43"/>
      <c r="F1837" s="44"/>
      <c r="G1837" s="1" t="str">
        <f>IFERROR(IF(ventas_b_mes684[[#This Row],[CUIT]]="","-",VLOOKUP(ventas_b_mes684[[#This Row],[CUIT]],Lista_CUIT[#All],2,0)),"CUIT NO CARGADO")</f>
        <v>-</v>
      </c>
      <c r="H1837" s="64"/>
      <c r="I1837" s="64">
        <f>ventas_b_mes684[[#This Row],[IMPORTE NETO]]*0.21</f>
        <v>0</v>
      </c>
      <c r="J1837" s="64"/>
      <c r="K1837" s="64"/>
      <c r="L1837" s="64">
        <f>SUM(ventas_b_mes684[[#This Row],[IMPORTE NETO]:[EXENTO]])</f>
        <v>0</v>
      </c>
      <c r="M1837" s="59"/>
    </row>
    <row r="1838" spans="2:13" x14ac:dyDescent="0.25">
      <c r="B1838" s="40"/>
      <c r="C1838" s="41"/>
      <c r="D1838" s="42"/>
      <c r="E1838" s="43"/>
      <c r="F1838" s="44"/>
      <c r="G1838" s="1" t="str">
        <f>IFERROR(IF(ventas_b_mes684[[#This Row],[CUIT]]="","-",VLOOKUP(ventas_b_mes684[[#This Row],[CUIT]],Lista_CUIT[#All],2,0)),"CUIT NO CARGADO")</f>
        <v>-</v>
      </c>
      <c r="H1838" s="64"/>
      <c r="I1838" s="64">
        <f>ventas_b_mes684[[#This Row],[IMPORTE NETO]]*0.21</f>
        <v>0</v>
      </c>
      <c r="J1838" s="64"/>
      <c r="K1838" s="64"/>
      <c r="L1838" s="64">
        <f>SUM(ventas_b_mes684[[#This Row],[IMPORTE NETO]:[EXENTO]])</f>
        <v>0</v>
      </c>
      <c r="M1838" s="59"/>
    </row>
    <row r="1839" spans="2:13" x14ac:dyDescent="0.25">
      <c r="B1839" s="40"/>
      <c r="C1839" s="41"/>
      <c r="D1839" s="42"/>
      <c r="E1839" s="43"/>
      <c r="F1839" s="44"/>
      <c r="G1839" s="1" t="str">
        <f>IFERROR(IF(ventas_b_mes684[[#This Row],[CUIT]]="","-",VLOOKUP(ventas_b_mes684[[#This Row],[CUIT]],Lista_CUIT[#All],2,0)),"CUIT NO CARGADO")</f>
        <v>-</v>
      </c>
      <c r="H1839" s="64"/>
      <c r="I1839" s="64">
        <f>ventas_b_mes684[[#This Row],[IMPORTE NETO]]*0.21</f>
        <v>0</v>
      </c>
      <c r="J1839" s="64"/>
      <c r="K1839" s="64"/>
      <c r="L1839" s="64">
        <f>SUM(ventas_b_mes684[[#This Row],[IMPORTE NETO]:[EXENTO]])</f>
        <v>0</v>
      </c>
      <c r="M1839" s="59"/>
    </row>
    <row r="1840" spans="2:13" x14ac:dyDescent="0.25">
      <c r="B1840" s="40"/>
      <c r="C1840" s="41"/>
      <c r="D1840" s="42"/>
      <c r="E1840" s="43"/>
      <c r="F1840" s="44"/>
      <c r="G1840" s="1" t="str">
        <f>IFERROR(IF(ventas_b_mes684[[#This Row],[CUIT]]="","-",VLOOKUP(ventas_b_mes684[[#This Row],[CUIT]],Lista_CUIT[#All],2,0)),"CUIT NO CARGADO")</f>
        <v>-</v>
      </c>
      <c r="H1840" s="64"/>
      <c r="I1840" s="64">
        <f>ventas_b_mes684[[#This Row],[IMPORTE NETO]]*0.21</f>
        <v>0</v>
      </c>
      <c r="J1840" s="64"/>
      <c r="K1840" s="64"/>
      <c r="L1840" s="64">
        <f>SUM(ventas_b_mes684[[#This Row],[IMPORTE NETO]:[EXENTO]])</f>
        <v>0</v>
      </c>
      <c r="M1840" s="59"/>
    </row>
    <row r="1841" spans="2:13" x14ac:dyDescent="0.25">
      <c r="B1841" s="40"/>
      <c r="C1841" s="41"/>
      <c r="D1841" s="42"/>
      <c r="E1841" s="43"/>
      <c r="F1841" s="44"/>
      <c r="G1841" s="1" t="str">
        <f>IFERROR(IF(ventas_b_mes684[[#This Row],[CUIT]]="","-",VLOOKUP(ventas_b_mes684[[#This Row],[CUIT]],Lista_CUIT[#All],2,0)),"CUIT NO CARGADO")</f>
        <v>-</v>
      </c>
      <c r="H1841" s="64"/>
      <c r="I1841" s="64">
        <f>ventas_b_mes684[[#This Row],[IMPORTE NETO]]*0.21</f>
        <v>0</v>
      </c>
      <c r="J1841" s="64"/>
      <c r="K1841" s="64"/>
      <c r="L1841" s="64">
        <f>SUM(ventas_b_mes684[[#This Row],[IMPORTE NETO]:[EXENTO]])</f>
        <v>0</v>
      </c>
      <c r="M1841" s="59"/>
    </row>
    <row r="1842" spans="2:13" x14ac:dyDescent="0.25">
      <c r="B1842" s="40"/>
      <c r="C1842" s="41"/>
      <c r="D1842" s="42"/>
      <c r="E1842" s="43"/>
      <c r="F1842" s="44"/>
      <c r="G1842" s="1" t="str">
        <f>IFERROR(IF(ventas_b_mes684[[#This Row],[CUIT]]="","-",VLOOKUP(ventas_b_mes684[[#This Row],[CUIT]],Lista_CUIT[#All],2,0)),"CUIT NO CARGADO")</f>
        <v>-</v>
      </c>
      <c r="H1842" s="64"/>
      <c r="I1842" s="64">
        <f>ventas_b_mes684[[#This Row],[IMPORTE NETO]]*0.21</f>
        <v>0</v>
      </c>
      <c r="J1842" s="64"/>
      <c r="K1842" s="64"/>
      <c r="L1842" s="64">
        <f>SUM(ventas_b_mes684[[#This Row],[IMPORTE NETO]:[EXENTO]])</f>
        <v>0</v>
      </c>
      <c r="M1842" s="59"/>
    </row>
    <row r="1843" spans="2:13" x14ac:dyDescent="0.25">
      <c r="B1843" s="40"/>
      <c r="C1843" s="41"/>
      <c r="D1843" s="42"/>
      <c r="E1843" s="43"/>
      <c r="F1843" s="44"/>
      <c r="G1843" s="1" t="str">
        <f>IFERROR(IF(ventas_b_mes684[[#This Row],[CUIT]]="","-",VLOOKUP(ventas_b_mes684[[#This Row],[CUIT]],Lista_CUIT[#All],2,0)),"CUIT NO CARGADO")</f>
        <v>-</v>
      </c>
      <c r="H1843" s="64"/>
      <c r="I1843" s="64">
        <f>ventas_b_mes684[[#This Row],[IMPORTE NETO]]*0.21</f>
        <v>0</v>
      </c>
      <c r="J1843" s="64"/>
      <c r="K1843" s="64"/>
      <c r="L1843" s="64">
        <f>SUM(ventas_b_mes684[[#This Row],[IMPORTE NETO]:[EXENTO]])</f>
        <v>0</v>
      </c>
      <c r="M1843" s="59"/>
    </row>
    <row r="1844" spans="2:13" x14ac:dyDescent="0.25">
      <c r="B1844" s="40"/>
      <c r="C1844" s="41"/>
      <c r="D1844" s="42"/>
      <c r="E1844" s="43"/>
      <c r="F1844" s="44"/>
      <c r="G1844" s="1" t="str">
        <f>IFERROR(IF(ventas_b_mes684[[#This Row],[CUIT]]="","-",VLOOKUP(ventas_b_mes684[[#This Row],[CUIT]],Lista_CUIT[#All],2,0)),"CUIT NO CARGADO")</f>
        <v>-</v>
      </c>
      <c r="H1844" s="64"/>
      <c r="I1844" s="64">
        <f>ventas_b_mes684[[#This Row],[IMPORTE NETO]]*0.21</f>
        <v>0</v>
      </c>
      <c r="J1844" s="64"/>
      <c r="K1844" s="64"/>
      <c r="L1844" s="64">
        <f>SUM(ventas_b_mes684[[#This Row],[IMPORTE NETO]:[EXENTO]])</f>
        <v>0</v>
      </c>
      <c r="M1844" s="59"/>
    </row>
    <row r="1845" spans="2:13" x14ac:dyDescent="0.25">
      <c r="B1845" s="40"/>
      <c r="C1845" s="41"/>
      <c r="D1845" s="42"/>
      <c r="E1845" s="43"/>
      <c r="F1845" s="44"/>
      <c r="G1845" s="1" t="str">
        <f>IFERROR(IF(ventas_b_mes684[[#This Row],[CUIT]]="","-",VLOOKUP(ventas_b_mes684[[#This Row],[CUIT]],Lista_CUIT[#All],2,0)),"CUIT NO CARGADO")</f>
        <v>-</v>
      </c>
      <c r="H1845" s="64"/>
      <c r="I1845" s="64">
        <f>ventas_b_mes684[[#This Row],[IMPORTE NETO]]*0.21</f>
        <v>0</v>
      </c>
      <c r="J1845" s="64"/>
      <c r="K1845" s="64"/>
      <c r="L1845" s="64">
        <f>SUM(ventas_b_mes684[[#This Row],[IMPORTE NETO]:[EXENTO]])</f>
        <v>0</v>
      </c>
      <c r="M1845" s="59"/>
    </row>
    <row r="1846" spans="2:13" x14ac:dyDescent="0.25">
      <c r="B1846" s="40"/>
      <c r="C1846" s="41"/>
      <c r="D1846" s="42"/>
      <c r="E1846" s="43"/>
      <c r="F1846" s="44"/>
      <c r="G1846" s="1" t="str">
        <f>IFERROR(IF(ventas_b_mes684[[#This Row],[CUIT]]="","-",VLOOKUP(ventas_b_mes684[[#This Row],[CUIT]],Lista_CUIT[#All],2,0)),"CUIT NO CARGADO")</f>
        <v>-</v>
      </c>
      <c r="H1846" s="64"/>
      <c r="I1846" s="64">
        <f>ventas_b_mes684[[#This Row],[IMPORTE NETO]]*0.21</f>
        <v>0</v>
      </c>
      <c r="J1846" s="64"/>
      <c r="K1846" s="64"/>
      <c r="L1846" s="64">
        <f>SUM(ventas_b_mes684[[#This Row],[IMPORTE NETO]:[EXENTO]])</f>
        <v>0</v>
      </c>
      <c r="M1846" s="59"/>
    </row>
    <row r="1847" spans="2:13" x14ac:dyDescent="0.25">
      <c r="B1847" s="40"/>
      <c r="C1847" s="41"/>
      <c r="D1847" s="42"/>
      <c r="E1847" s="43"/>
      <c r="F1847" s="44"/>
      <c r="G1847" s="1" t="str">
        <f>IFERROR(IF(ventas_b_mes684[[#This Row],[CUIT]]="","-",VLOOKUP(ventas_b_mes684[[#This Row],[CUIT]],Lista_CUIT[#All],2,0)),"CUIT NO CARGADO")</f>
        <v>-</v>
      </c>
      <c r="H1847" s="64"/>
      <c r="I1847" s="64">
        <f>ventas_b_mes684[[#This Row],[IMPORTE NETO]]*0.21</f>
        <v>0</v>
      </c>
      <c r="J1847" s="64"/>
      <c r="K1847" s="64"/>
      <c r="L1847" s="64">
        <f>SUM(ventas_b_mes684[[#This Row],[IMPORTE NETO]:[EXENTO]])</f>
        <v>0</v>
      </c>
      <c r="M1847" s="59"/>
    </row>
    <row r="1848" spans="2:13" x14ac:dyDescent="0.25">
      <c r="B1848" s="40"/>
      <c r="C1848" s="41"/>
      <c r="D1848" s="42"/>
      <c r="E1848" s="43"/>
      <c r="F1848" s="44"/>
      <c r="G1848" s="1" t="str">
        <f>IFERROR(IF(ventas_b_mes684[[#This Row],[CUIT]]="","-",VLOOKUP(ventas_b_mes684[[#This Row],[CUIT]],Lista_CUIT[#All],2,0)),"CUIT NO CARGADO")</f>
        <v>-</v>
      </c>
      <c r="H1848" s="64"/>
      <c r="I1848" s="64">
        <f>ventas_b_mes684[[#This Row],[IMPORTE NETO]]*0.21</f>
        <v>0</v>
      </c>
      <c r="J1848" s="64"/>
      <c r="K1848" s="64"/>
      <c r="L1848" s="64">
        <f>SUM(ventas_b_mes684[[#This Row],[IMPORTE NETO]:[EXENTO]])</f>
        <v>0</v>
      </c>
      <c r="M1848" s="59"/>
    </row>
    <row r="1849" spans="2:13" x14ac:dyDescent="0.25">
      <c r="B1849" s="40"/>
      <c r="C1849" s="41"/>
      <c r="D1849" s="42"/>
      <c r="E1849" s="43"/>
      <c r="F1849" s="44"/>
      <c r="G1849" s="1" t="str">
        <f>IFERROR(IF(ventas_b_mes684[[#This Row],[CUIT]]="","-",VLOOKUP(ventas_b_mes684[[#This Row],[CUIT]],Lista_CUIT[#All],2,0)),"CUIT NO CARGADO")</f>
        <v>-</v>
      </c>
      <c r="H1849" s="64"/>
      <c r="I1849" s="64">
        <f>ventas_b_mes684[[#This Row],[IMPORTE NETO]]*0.21</f>
        <v>0</v>
      </c>
      <c r="J1849" s="64"/>
      <c r="K1849" s="64"/>
      <c r="L1849" s="64">
        <f>SUM(ventas_b_mes684[[#This Row],[IMPORTE NETO]:[EXENTO]])</f>
        <v>0</v>
      </c>
      <c r="M1849" s="59"/>
    </row>
    <row r="1850" spans="2:13" x14ac:dyDescent="0.25">
      <c r="B1850" s="40"/>
      <c r="C1850" s="41"/>
      <c r="D1850" s="42"/>
      <c r="E1850" s="43"/>
      <c r="F1850" s="44"/>
      <c r="G1850" s="1" t="str">
        <f>IFERROR(IF(ventas_b_mes684[[#This Row],[CUIT]]="","-",VLOOKUP(ventas_b_mes684[[#This Row],[CUIT]],Lista_CUIT[#All],2,0)),"CUIT NO CARGADO")</f>
        <v>-</v>
      </c>
      <c r="H1850" s="64"/>
      <c r="I1850" s="64">
        <f>ventas_b_mes684[[#This Row],[IMPORTE NETO]]*0.21</f>
        <v>0</v>
      </c>
      <c r="J1850" s="64"/>
      <c r="K1850" s="64"/>
      <c r="L1850" s="64">
        <f>SUM(ventas_b_mes684[[#This Row],[IMPORTE NETO]:[EXENTO]])</f>
        <v>0</v>
      </c>
      <c r="M1850" s="59"/>
    </row>
    <row r="1851" spans="2:13" x14ac:dyDescent="0.25">
      <c r="B1851" s="40"/>
      <c r="C1851" s="41"/>
      <c r="D1851" s="42"/>
      <c r="E1851" s="43"/>
      <c r="F1851" s="44"/>
      <c r="G1851" s="1" t="str">
        <f>IFERROR(IF(ventas_b_mes684[[#This Row],[CUIT]]="","-",VLOOKUP(ventas_b_mes684[[#This Row],[CUIT]],Lista_CUIT[#All],2,0)),"CUIT NO CARGADO")</f>
        <v>-</v>
      </c>
      <c r="H1851" s="64"/>
      <c r="I1851" s="64">
        <f>ventas_b_mes684[[#This Row],[IMPORTE NETO]]*0.21</f>
        <v>0</v>
      </c>
      <c r="J1851" s="64"/>
      <c r="K1851" s="64"/>
      <c r="L1851" s="64">
        <f>SUM(ventas_b_mes684[[#This Row],[IMPORTE NETO]:[EXENTO]])</f>
        <v>0</v>
      </c>
      <c r="M1851" s="59"/>
    </row>
    <row r="1852" spans="2:13" x14ac:dyDescent="0.25">
      <c r="B1852" s="40"/>
      <c r="C1852" s="41"/>
      <c r="D1852" s="42"/>
      <c r="E1852" s="43"/>
      <c r="F1852" s="44"/>
      <c r="G1852" s="1" t="str">
        <f>IFERROR(IF(ventas_b_mes684[[#This Row],[CUIT]]="","-",VLOOKUP(ventas_b_mes684[[#This Row],[CUIT]],Lista_CUIT[#All],2,0)),"CUIT NO CARGADO")</f>
        <v>-</v>
      </c>
      <c r="H1852" s="64"/>
      <c r="I1852" s="64">
        <f>ventas_b_mes684[[#This Row],[IMPORTE NETO]]*0.21</f>
        <v>0</v>
      </c>
      <c r="J1852" s="64"/>
      <c r="K1852" s="64"/>
      <c r="L1852" s="64">
        <f>SUM(ventas_b_mes684[[#This Row],[IMPORTE NETO]:[EXENTO]])</f>
        <v>0</v>
      </c>
      <c r="M1852" s="59"/>
    </row>
    <row r="1853" spans="2:13" x14ac:dyDescent="0.25">
      <c r="B1853" s="40"/>
      <c r="C1853" s="41"/>
      <c r="D1853" s="42"/>
      <c r="E1853" s="43"/>
      <c r="F1853" s="44"/>
      <c r="G1853" s="1" t="str">
        <f>IFERROR(IF(ventas_b_mes684[[#This Row],[CUIT]]="","-",VLOOKUP(ventas_b_mes684[[#This Row],[CUIT]],Lista_CUIT[#All],2,0)),"CUIT NO CARGADO")</f>
        <v>-</v>
      </c>
      <c r="H1853" s="64"/>
      <c r="I1853" s="64">
        <f>ventas_b_mes684[[#This Row],[IMPORTE NETO]]*0.21</f>
        <v>0</v>
      </c>
      <c r="J1853" s="64"/>
      <c r="K1853" s="64"/>
      <c r="L1853" s="64">
        <f>SUM(ventas_b_mes684[[#This Row],[IMPORTE NETO]:[EXENTO]])</f>
        <v>0</v>
      </c>
      <c r="M1853" s="59"/>
    </row>
    <row r="1854" spans="2:13" x14ac:dyDescent="0.25">
      <c r="B1854" s="40"/>
      <c r="C1854" s="41"/>
      <c r="D1854" s="42"/>
      <c r="E1854" s="43"/>
      <c r="F1854" s="44"/>
      <c r="G1854" s="1" t="str">
        <f>IFERROR(IF(ventas_b_mes684[[#This Row],[CUIT]]="","-",VLOOKUP(ventas_b_mes684[[#This Row],[CUIT]],Lista_CUIT[#All],2,0)),"CUIT NO CARGADO")</f>
        <v>-</v>
      </c>
      <c r="H1854" s="64"/>
      <c r="I1854" s="64">
        <f>ventas_b_mes684[[#This Row],[IMPORTE NETO]]*0.21</f>
        <v>0</v>
      </c>
      <c r="J1854" s="64"/>
      <c r="K1854" s="64"/>
      <c r="L1854" s="64">
        <f>SUM(ventas_b_mes684[[#This Row],[IMPORTE NETO]:[EXENTO]])</f>
        <v>0</v>
      </c>
      <c r="M1854" s="59"/>
    </row>
    <row r="1855" spans="2:13" x14ac:dyDescent="0.25">
      <c r="B1855" s="40"/>
      <c r="C1855" s="41"/>
      <c r="D1855" s="42"/>
      <c r="E1855" s="43"/>
      <c r="F1855" s="44"/>
      <c r="G1855" s="1" t="str">
        <f>IFERROR(IF(ventas_b_mes684[[#This Row],[CUIT]]="","-",VLOOKUP(ventas_b_mes684[[#This Row],[CUIT]],Lista_CUIT[#All],2,0)),"CUIT NO CARGADO")</f>
        <v>-</v>
      </c>
      <c r="H1855" s="64"/>
      <c r="I1855" s="64">
        <f>ventas_b_mes684[[#This Row],[IMPORTE NETO]]*0.21</f>
        <v>0</v>
      </c>
      <c r="J1855" s="64"/>
      <c r="K1855" s="64"/>
      <c r="L1855" s="64">
        <f>SUM(ventas_b_mes684[[#This Row],[IMPORTE NETO]:[EXENTO]])</f>
        <v>0</v>
      </c>
      <c r="M1855" s="59"/>
    </row>
    <row r="1856" spans="2:13" x14ac:dyDescent="0.25">
      <c r="B1856" s="40"/>
      <c r="C1856" s="41"/>
      <c r="D1856" s="42"/>
      <c r="E1856" s="43"/>
      <c r="F1856" s="44"/>
      <c r="G1856" s="1" t="str">
        <f>IFERROR(IF(ventas_b_mes684[[#This Row],[CUIT]]="","-",VLOOKUP(ventas_b_mes684[[#This Row],[CUIT]],Lista_CUIT[#All],2,0)),"CUIT NO CARGADO")</f>
        <v>-</v>
      </c>
      <c r="H1856" s="64"/>
      <c r="I1856" s="64">
        <f>ventas_b_mes684[[#This Row],[IMPORTE NETO]]*0.21</f>
        <v>0</v>
      </c>
      <c r="J1856" s="64"/>
      <c r="K1856" s="64"/>
      <c r="L1856" s="64">
        <f>SUM(ventas_b_mes684[[#This Row],[IMPORTE NETO]:[EXENTO]])</f>
        <v>0</v>
      </c>
      <c r="M1856" s="59"/>
    </row>
    <row r="1857" spans="2:13" x14ac:dyDescent="0.25">
      <c r="B1857" s="40"/>
      <c r="C1857" s="41"/>
      <c r="D1857" s="42"/>
      <c r="E1857" s="43"/>
      <c r="F1857" s="44"/>
      <c r="G1857" s="1" t="str">
        <f>IFERROR(IF(ventas_b_mes684[[#This Row],[CUIT]]="","-",VLOOKUP(ventas_b_mes684[[#This Row],[CUIT]],Lista_CUIT[#All],2,0)),"CUIT NO CARGADO")</f>
        <v>-</v>
      </c>
      <c r="H1857" s="64"/>
      <c r="I1857" s="64">
        <f>ventas_b_mes684[[#This Row],[IMPORTE NETO]]*0.21</f>
        <v>0</v>
      </c>
      <c r="J1857" s="64"/>
      <c r="K1857" s="64"/>
      <c r="L1857" s="64">
        <f>SUM(ventas_b_mes684[[#This Row],[IMPORTE NETO]:[EXENTO]])</f>
        <v>0</v>
      </c>
      <c r="M1857" s="59"/>
    </row>
    <row r="1858" spans="2:13" x14ac:dyDescent="0.25">
      <c r="B1858" s="40"/>
      <c r="C1858" s="41"/>
      <c r="D1858" s="42"/>
      <c r="E1858" s="43"/>
      <c r="F1858" s="44"/>
      <c r="G1858" s="1" t="str">
        <f>IFERROR(IF(ventas_b_mes684[[#This Row],[CUIT]]="","-",VLOOKUP(ventas_b_mes684[[#This Row],[CUIT]],Lista_CUIT[#All],2,0)),"CUIT NO CARGADO")</f>
        <v>-</v>
      </c>
      <c r="H1858" s="64"/>
      <c r="I1858" s="64">
        <f>ventas_b_mes684[[#This Row],[IMPORTE NETO]]*0.21</f>
        <v>0</v>
      </c>
      <c r="J1858" s="64"/>
      <c r="K1858" s="64"/>
      <c r="L1858" s="64">
        <f>SUM(ventas_b_mes684[[#This Row],[IMPORTE NETO]:[EXENTO]])</f>
        <v>0</v>
      </c>
      <c r="M1858" s="59"/>
    </row>
    <row r="1859" spans="2:13" x14ac:dyDescent="0.25">
      <c r="B1859" s="40"/>
      <c r="C1859" s="41"/>
      <c r="D1859" s="42"/>
      <c r="E1859" s="43"/>
      <c r="F1859" s="44"/>
      <c r="G1859" s="1" t="str">
        <f>IFERROR(IF(ventas_b_mes684[[#This Row],[CUIT]]="","-",VLOOKUP(ventas_b_mes684[[#This Row],[CUIT]],Lista_CUIT[#All],2,0)),"CUIT NO CARGADO")</f>
        <v>-</v>
      </c>
      <c r="H1859" s="64"/>
      <c r="I1859" s="64">
        <f>ventas_b_mes684[[#This Row],[IMPORTE NETO]]*0.21</f>
        <v>0</v>
      </c>
      <c r="J1859" s="64"/>
      <c r="K1859" s="64"/>
      <c r="L1859" s="64">
        <f>SUM(ventas_b_mes684[[#This Row],[IMPORTE NETO]:[EXENTO]])</f>
        <v>0</v>
      </c>
      <c r="M1859" s="59"/>
    </row>
    <row r="1860" spans="2:13" x14ac:dyDescent="0.25">
      <c r="B1860" s="40"/>
      <c r="C1860" s="41"/>
      <c r="D1860" s="42"/>
      <c r="E1860" s="43"/>
      <c r="F1860" s="44"/>
      <c r="G1860" s="1" t="str">
        <f>IFERROR(IF(ventas_b_mes684[[#This Row],[CUIT]]="","-",VLOOKUP(ventas_b_mes684[[#This Row],[CUIT]],Lista_CUIT[#All],2,0)),"CUIT NO CARGADO")</f>
        <v>-</v>
      </c>
      <c r="H1860" s="64"/>
      <c r="I1860" s="64">
        <f>ventas_b_mes684[[#This Row],[IMPORTE NETO]]*0.21</f>
        <v>0</v>
      </c>
      <c r="J1860" s="64"/>
      <c r="K1860" s="64"/>
      <c r="L1860" s="64">
        <f>SUM(ventas_b_mes684[[#This Row],[IMPORTE NETO]:[EXENTO]])</f>
        <v>0</v>
      </c>
      <c r="M1860" s="59"/>
    </row>
    <row r="1861" spans="2:13" x14ac:dyDescent="0.25">
      <c r="B1861" s="40"/>
      <c r="C1861" s="41"/>
      <c r="D1861" s="42"/>
      <c r="E1861" s="43"/>
      <c r="F1861" s="44"/>
      <c r="G1861" s="1" t="str">
        <f>IFERROR(IF(ventas_b_mes684[[#This Row],[CUIT]]="","-",VLOOKUP(ventas_b_mes684[[#This Row],[CUIT]],Lista_CUIT[#All],2,0)),"CUIT NO CARGADO")</f>
        <v>-</v>
      </c>
      <c r="H1861" s="64"/>
      <c r="I1861" s="64">
        <f>ventas_b_mes684[[#This Row],[IMPORTE NETO]]*0.21</f>
        <v>0</v>
      </c>
      <c r="J1861" s="64"/>
      <c r="K1861" s="64"/>
      <c r="L1861" s="64">
        <f>SUM(ventas_b_mes684[[#This Row],[IMPORTE NETO]:[EXENTO]])</f>
        <v>0</v>
      </c>
      <c r="M1861" s="59"/>
    </row>
    <row r="1862" spans="2:13" x14ac:dyDescent="0.25">
      <c r="B1862" s="40"/>
      <c r="C1862" s="41"/>
      <c r="D1862" s="42"/>
      <c r="E1862" s="43"/>
      <c r="F1862" s="44"/>
      <c r="G1862" s="1" t="str">
        <f>IFERROR(IF(ventas_b_mes684[[#This Row],[CUIT]]="","-",VLOOKUP(ventas_b_mes684[[#This Row],[CUIT]],Lista_CUIT[#All],2,0)),"CUIT NO CARGADO")</f>
        <v>-</v>
      </c>
      <c r="H1862" s="64"/>
      <c r="I1862" s="64">
        <f>ventas_b_mes684[[#This Row],[IMPORTE NETO]]*0.21</f>
        <v>0</v>
      </c>
      <c r="J1862" s="64"/>
      <c r="K1862" s="64"/>
      <c r="L1862" s="64">
        <f>SUM(ventas_b_mes684[[#This Row],[IMPORTE NETO]:[EXENTO]])</f>
        <v>0</v>
      </c>
      <c r="M1862" s="59"/>
    </row>
    <row r="1863" spans="2:13" x14ac:dyDescent="0.25">
      <c r="B1863" s="40"/>
      <c r="C1863" s="41"/>
      <c r="D1863" s="42"/>
      <c r="E1863" s="43"/>
      <c r="F1863" s="44"/>
      <c r="G1863" s="1" t="str">
        <f>IFERROR(IF(ventas_b_mes684[[#This Row],[CUIT]]="","-",VLOOKUP(ventas_b_mes684[[#This Row],[CUIT]],Lista_CUIT[#All],2,0)),"CUIT NO CARGADO")</f>
        <v>-</v>
      </c>
      <c r="H1863" s="64"/>
      <c r="I1863" s="64">
        <f>ventas_b_mes684[[#This Row],[IMPORTE NETO]]*0.21</f>
        <v>0</v>
      </c>
      <c r="J1863" s="64"/>
      <c r="K1863" s="64"/>
      <c r="L1863" s="64">
        <f>SUM(ventas_b_mes684[[#This Row],[IMPORTE NETO]:[EXENTO]])</f>
        <v>0</v>
      </c>
      <c r="M1863" s="59"/>
    </row>
    <row r="1864" spans="2:13" x14ac:dyDescent="0.25">
      <c r="B1864" s="40"/>
      <c r="C1864" s="41"/>
      <c r="D1864" s="42"/>
      <c r="E1864" s="43"/>
      <c r="F1864" s="44"/>
      <c r="G1864" s="1" t="str">
        <f>IFERROR(IF(ventas_b_mes684[[#This Row],[CUIT]]="","-",VLOOKUP(ventas_b_mes684[[#This Row],[CUIT]],Lista_CUIT[#All],2,0)),"CUIT NO CARGADO")</f>
        <v>-</v>
      </c>
      <c r="H1864" s="64"/>
      <c r="I1864" s="64">
        <f>ventas_b_mes684[[#This Row],[IMPORTE NETO]]*0.21</f>
        <v>0</v>
      </c>
      <c r="J1864" s="64"/>
      <c r="K1864" s="64"/>
      <c r="L1864" s="64">
        <f>SUM(ventas_b_mes684[[#This Row],[IMPORTE NETO]:[EXENTO]])</f>
        <v>0</v>
      </c>
      <c r="M1864" s="59"/>
    </row>
    <row r="1865" spans="2:13" x14ac:dyDescent="0.25">
      <c r="B1865" s="40"/>
      <c r="C1865" s="41"/>
      <c r="D1865" s="42"/>
      <c r="E1865" s="43"/>
      <c r="F1865" s="44"/>
      <c r="G1865" s="1" t="str">
        <f>IFERROR(IF(ventas_b_mes684[[#This Row],[CUIT]]="","-",VLOOKUP(ventas_b_mes684[[#This Row],[CUIT]],Lista_CUIT[#All],2,0)),"CUIT NO CARGADO")</f>
        <v>-</v>
      </c>
      <c r="H1865" s="64"/>
      <c r="I1865" s="64">
        <f>ventas_b_mes684[[#This Row],[IMPORTE NETO]]*0.21</f>
        <v>0</v>
      </c>
      <c r="J1865" s="64"/>
      <c r="K1865" s="64"/>
      <c r="L1865" s="64">
        <f>SUM(ventas_b_mes684[[#This Row],[IMPORTE NETO]:[EXENTO]])</f>
        <v>0</v>
      </c>
      <c r="M1865" s="59"/>
    </row>
    <row r="1866" spans="2:13" x14ac:dyDescent="0.25">
      <c r="B1866" s="40"/>
      <c r="C1866" s="41"/>
      <c r="D1866" s="42"/>
      <c r="E1866" s="43"/>
      <c r="F1866" s="44"/>
      <c r="G1866" s="1" t="str">
        <f>IFERROR(IF(ventas_b_mes684[[#This Row],[CUIT]]="","-",VLOOKUP(ventas_b_mes684[[#This Row],[CUIT]],Lista_CUIT[#All],2,0)),"CUIT NO CARGADO")</f>
        <v>-</v>
      </c>
      <c r="H1866" s="64"/>
      <c r="I1866" s="64">
        <f>ventas_b_mes684[[#This Row],[IMPORTE NETO]]*0.21</f>
        <v>0</v>
      </c>
      <c r="J1866" s="64"/>
      <c r="K1866" s="64"/>
      <c r="L1866" s="64">
        <f>SUM(ventas_b_mes684[[#This Row],[IMPORTE NETO]:[EXENTO]])</f>
        <v>0</v>
      </c>
      <c r="M1866" s="59"/>
    </row>
    <row r="1867" spans="2:13" x14ac:dyDescent="0.25">
      <c r="B1867" s="40"/>
      <c r="C1867" s="41"/>
      <c r="D1867" s="42"/>
      <c r="E1867" s="43"/>
      <c r="F1867" s="44"/>
      <c r="G1867" s="1" t="str">
        <f>IFERROR(IF(ventas_b_mes684[[#This Row],[CUIT]]="","-",VLOOKUP(ventas_b_mes684[[#This Row],[CUIT]],Lista_CUIT[#All],2,0)),"CUIT NO CARGADO")</f>
        <v>-</v>
      </c>
      <c r="H1867" s="64"/>
      <c r="I1867" s="64">
        <f>ventas_b_mes684[[#This Row],[IMPORTE NETO]]*0.21</f>
        <v>0</v>
      </c>
      <c r="J1867" s="64"/>
      <c r="K1867" s="64"/>
      <c r="L1867" s="64">
        <f>SUM(ventas_b_mes684[[#This Row],[IMPORTE NETO]:[EXENTO]])</f>
        <v>0</v>
      </c>
      <c r="M1867" s="59"/>
    </row>
    <row r="1868" spans="2:13" x14ac:dyDescent="0.25">
      <c r="B1868" s="40"/>
      <c r="C1868" s="41"/>
      <c r="D1868" s="42"/>
      <c r="E1868" s="43"/>
      <c r="F1868" s="44"/>
      <c r="G1868" s="1" t="str">
        <f>IFERROR(IF(ventas_b_mes684[[#This Row],[CUIT]]="","-",VLOOKUP(ventas_b_mes684[[#This Row],[CUIT]],Lista_CUIT[#All],2,0)),"CUIT NO CARGADO")</f>
        <v>-</v>
      </c>
      <c r="H1868" s="64"/>
      <c r="I1868" s="64">
        <f>ventas_b_mes684[[#This Row],[IMPORTE NETO]]*0.21</f>
        <v>0</v>
      </c>
      <c r="J1868" s="64"/>
      <c r="K1868" s="64"/>
      <c r="L1868" s="64">
        <f>SUM(ventas_b_mes684[[#This Row],[IMPORTE NETO]:[EXENTO]])</f>
        <v>0</v>
      </c>
      <c r="M1868" s="59"/>
    </row>
    <row r="1869" spans="2:13" x14ac:dyDescent="0.25">
      <c r="B1869" s="40"/>
      <c r="C1869" s="41"/>
      <c r="D1869" s="42"/>
      <c r="E1869" s="43"/>
      <c r="F1869" s="44"/>
      <c r="G1869" s="1" t="str">
        <f>IFERROR(IF(ventas_b_mes684[[#This Row],[CUIT]]="","-",VLOOKUP(ventas_b_mes684[[#This Row],[CUIT]],Lista_CUIT[#All],2,0)),"CUIT NO CARGADO")</f>
        <v>-</v>
      </c>
      <c r="H1869" s="64"/>
      <c r="I1869" s="64">
        <f>ventas_b_mes684[[#This Row],[IMPORTE NETO]]*0.21</f>
        <v>0</v>
      </c>
      <c r="J1869" s="64"/>
      <c r="K1869" s="64"/>
      <c r="L1869" s="64">
        <f>SUM(ventas_b_mes684[[#This Row],[IMPORTE NETO]:[EXENTO]])</f>
        <v>0</v>
      </c>
      <c r="M1869" s="59"/>
    </row>
    <row r="1870" spans="2:13" x14ac:dyDescent="0.25">
      <c r="B1870" s="40"/>
      <c r="C1870" s="41"/>
      <c r="D1870" s="42"/>
      <c r="E1870" s="43"/>
      <c r="F1870" s="44"/>
      <c r="G1870" s="1" t="str">
        <f>IFERROR(IF(ventas_b_mes684[[#This Row],[CUIT]]="","-",VLOOKUP(ventas_b_mes684[[#This Row],[CUIT]],Lista_CUIT[#All],2,0)),"CUIT NO CARGADO")</f>
        <v>-</v>
      </c>
      <c r="H1870" s="64"/>
      <c r="I1870" s="64">
        <f>ventas_b_mes684[[#This Row],[IMPORTE NETO]]*0.21</f>
        <v>0</v>
      </c>
      <c r="J1870" s="64"/>
      <c r="K1870" s="64"/>
      <c r="L1870" s="64">
        <f>SUM(ventas_b_mes684[[#This Row],[IMPORTE NETO]:[EXENTO]])</f>
        <v>0</v>
      </c>
      <c r="M1870" s="59"/>
    </row>
    <row r="1871" spans="2:13" x14ac:dyDescent="0.25">
      <c r="B1871" s="40"/>
      <c r="C1871" s="41"/>
      <c r="D1871" s="42"/>
      <c r="E1871" s="43"/>
      <c r="F1871" s="44"/>
      <c r="G1871" s="1" t="str">
        <f>IFERROR(IF(ventas_b_mes684[[#This Row],[CUIT]]="","-",VLOOKUP(ventas_b_mes684[[#This Row],[CUIT]],Lista_CUIT[#All],2,0)),"CUIT NO CARGADO")</f>
        <v>-</v>
      </c>
      <c r="H1871" s="64"/>
      <c r="I1871" s="64">
        <f>ventas_b_mes684[[#This Row],[IMPORTE NETO]]*0.21</f>
        <v>0</v>
      </c>
      <c r="J1871" s="64"/>
      <c r="K1871" s="64"/>
      <c r="L1871" s="64">
        <f>SUM(ventas_b_mes684[[#This Row],[IMPORTE NETO]:[EXENTO]])</f>
        <v>0</v>
      </c>
      <c r="M1871" s="59"/>
    </row>
    <row r="1872" spans="2:13" x14ac:dyDescent="0.25">
      <c r="B1872" s="40"/>
      <c r="C1872" s="41"/>
      <c r="D1872" s="42"/>
      <c r="E1872" s="43"/>
      <c r="F1872" s="44"/>
      <c r="G1872" s="1" t="str">
        <f>IFERROR(IF(ventas_b_mes684[[#This Row],[CUIT]]="","-",VLOOKUP(ventas_b_mes684[[#This Row],[CUIT]],Lista_CUIT[#All],2,0)),"CUIT NO CARGADO")</f>
        <v>-</v>
      </c>
      <c r="H1872" s="64"/>
      <c r="I1872" s="64">
        <f>ventas_b_mes684[[#This Row],[IMPORTE NETO]]*0.21</f>
        <v>0</v>
      </c>
      <c r="J1872" s="64"/>
      <c r="K1872" s="64"/>
      <c r="L1872" s="64">
        <f>SUM(ventas_b_mes684[[#This Row],[IMPORTE NETO]:[EXENTO]])</f>
        <v>0</v>
      </c>
      <c r="M1872" s="59"/>
    </row>
    <row r="1873" spans="2:13" x14ac:dyDescent="0.25">
      <c r="B1873" s="40"/>
      <c r="C1873" s="41"/>
      <c r="D1873" s="42"/>
      <c r="E1873" s="43"/>
      <c r="F1873" s="44"/>
      <c r="G1873" s="1" t="str">
        <f>IFERROR(IF(ventas_b_mes684[[#This Row],[CUIT]]="","-",VLOOKUP(ventas_b_mes684[[#This Row],[CUIT]],Lista_CUIT[#All],2,0)),"CUIT NO CARGADO")</f>
        <v>-</v>
      </c>
      <c r="H1873" s="64"/>
      <c r="I1873" s="64">
        <f>ventas_b_mes684[[#This Row],[IMPORTE NETO]]*0.21</f>
        <v>0</v>
      </c>
      <c r="J1873" s="64"/>
      <c r="K1873" s="64"/>
      <c r="L1873" s="64">
        <f>SUM(ventas_b_mes684[[#This Row],[IMPORTE NETO]:[EXENTO]])</f>
        <v>0</v>
      </c>
      <c r="M1873" s="59"/>
    </row>
    <row r="1874" spans="2:13" x14ac:dyDescent="0.25">
      <c r="B1874" s="40"/>
      <c r="C1874" s="41"/>
      <c r="D1874" s="42"/>
      <c r="E1874" s="43"/>
      <c r="F1874" s="44"/>
      <c r="G1874" s="1" t="str">
        <f>IFERROR(IF(ventas_b_mes684[[#This Row],[CUIT]]="","-",VLOOKUP(ventas_b_mes684[[#This Row],[CUIT]],Lista_CUIT[#All],2,0)),"CUIT NO CARGADO")</f>
        <v>-</v>
      </c>
      <c r="H1874" s="64"/>
      <c r="I1874" s="64">
        <f>ventas_b_mes684[[#This Row],[IMPORTE NETO]]*0.21</f>
        <v>0</v>
      </c>
      <c r="J1874" s="64"/>
      <c r="K1874" s="64"/>
      <c r="L1874" s="64">
        <f>SUM(ventas_b_mes684[[#This Row],[IMPORTE NETO]:[EXENTO]])</f>
        <v>0</v>
      </c>
      <c r="M1874" s="59"/>
    </row>
    <row r="1875" spans="2:13" x14ac:dyDescent="0.25">
      <c r="B1875" s="40"/>
      <c r="C1875" s="41"/>
      <c r="D1875" s="42"/>
      <c r="E1875" s="43"/>
      <c r="F1875" s="44"/>
      <c r="G1875" s="1" t="str">
        <f>IFERROR(IF(ventas_b_mes684[[#This Row],[CUIT]]="","-",VLOOKUP(ventas_b_mes684[[#This Row],[CUIT]],Lista_CUIT[#All],2,0)),"CUIT NO CARGADO")</f>
        <v>-</v>
      </c>
      <c r="H1875" s="64"/>
      <c r="I1875" s="64">
        <f>ventas_b_mes684[[#This Row],[IMPORTE NETO]]*0.21</f>
        <v>0</v>
      </c>
      <c r="J1875" s="64"/>
      <c r="K1875" s="64"/>
      <c r="L1875" s="64">
        <f>SUM(ventas_b_mes684[[#This Row],[IMPORTE NETO]:[EXENTO]])</f>
        <v>0</v>
      </c>
      <c r="M1875" s="59"/>
    </row>
    <row r="1876" spans="2:13" x14ac:dyDescent="0.25">
      <c r="B1876" s="40"/>
      <c r="C1876" s="41"/>
      <c r="D1876" s="42"/>
      <c r="E1876" s="43"/>
      <c r="F1876" s="44"/>
      <c r="G1876" s="1" t="str">
        <f>IFERROR(IF(ventas_b_mes684[[#This Row],[CUIT]]="","-",VLOOKUP(ventas_b_mes684[[#This Row],[CUIT]],Lista_CUIT[#All],2,0)),"CUIT NO CARGADO")</f>
        <v>-</v>
      </c>
      <c r="H1876" s="64"/>
      <c r="I1876" s="64">
        <f>ventas_b_mes684[[#This Row],[IMPORTE NETO]]*0.21</f>
        <v>0</v>
      </c>
      <c r="J1876" s="64"/>
      <c r="K1876" s="64"/>
      <c r="L1876" s="64">
        <f>SUM(ventas_b_mes684[[#This Row],[IMPORTE NETO]:[EXENTO]])</f>
        <v>0</v>
      </c>
      <c r="M1876" s="59"/>
    </row>
    <row r="1877" spans="2:13" x14ac:dyDescent="0.25">
      <c r="B1877" s="40"/>
      <c r="C1877" s="41"/>
      <c r="D1877" s="42"/>
      <c r="E1877" s="43"/>
      <c r="F1877" s="44"/>
      <c r="G1877" s="1" t="str">
        <f>IFERROR(IF(ventas_b_mes684[[#This Row],[CUIT]]="","-",VLOOKUP(ventas_b_mes684[[#This Row],[CUIT]],Lista_CUIT[#All],2,0)),"CUIT NO CARGADO")</f>
        <v>-</v>
      </c>
      <c r="H1877" s="64"/>
      <c r="I1877" s="64">
        <f>ventas_b_mes684[[#This Row],[IMPORTE NETO]]*0.21</f>
        <v>0</v>
      </c>
      <c r="J1877" s="64"/>
      <c r="K1877" s="64"/>
      <c r="L1877" s="64">
        <f>SUM(ventas_b_mes684[[#This Row],[IMPORTE NETO]:[EXENTO]])</f>
        <v>0</v>
      </c>
      <c r="M1877" s="59"/>
    </row>
    <row r="1878" spans="2:13" x14ac:dyDescent="0.25">
      <c r="B1878" s="40"/>
      <c r="C1878" s="41"/>
      <c r="D1878" s="42"/>
      <c r="E1878" s="43"/>
      <c r="F1878" s="44"/>
      <c r="G1878" s="1" t="str">
        <f>IFERROR(IF(ventas_b_mes684[[#This Row],[CUIT]]="","-",VLOOKUP(ventas_b_mes684[[#This Row],[CUIT]],Lista_CUIT[#All],2,0)),"CUIT NO CARGADO")</f>
        <v>-</v>
      </c>
      <c r="H1878" s="64"/>
      <c r="I1878" s="64">
        <f>ventas_b_mes684[[#This Row],[IMPORTE NETO]]*0.21</f>
        <v>0</v>
      </c>
      <c r="J1878" s="64"/>
      <c r="K1878" s="64"/>
      <c r="L1878" s="64">
        <f>SUM(ventas_b_mes684[[#This Row],[IMPORTE NETO]:[EXENTO]])</f>
        <v>0</v>
      </c>
      <c r="M1878" s="59"/>
    </row>
    <row r="1879" spans="2:13" x14ac:dyDescent="0.25">
      <c r="B1879" s="40"/>
      <c r="C1879" s="41"/>
      <c r="D1879" s="42"/>
      <c r="E1879" s="43"/>
      <c r="F1879" s="44"/>
      <c r="G1879" s="1" t="str">
        <f>IFERROR(IF(ventas_b_mes684[[#This Row],[CUIT]]="","-",VLOOKUP(ventas_b_mes684[[#This Row],[CUIT]],Lista_CUIT[#All],2,0)),"CUIT NO CARGADO")</f>
        <v>-</v>
      </c>
      <c r="H1879" s="64"/>
      <c r="I1879" s="64">
        <f>ventas_b_mes684[[#This Row],[IMPORTE NETO]]*0.21</f>
        <v>0</v>
      </c>
      <c r="J1879" s="64"/>
      <c r="K1879" s="64"/>
      <c r="L1879" s="64">
        <f>SUM(ventas_b_mes684[[#This Row],[IMPORTE NETO]:[EXENTO]])</f>
        <v>0</v>
      </c>
      <c r="M1879" s="59"/>
    </row>
    <row r="1880" spans="2:13" x14ac:dyDescent="0.25">
      <c r="B1880" s="40"/>
      <c r="C1880" s="41"/>
      <c r="D1880" s="42"/>
      <c r="E1880" s="43"/>
      <c r="F1880" s="44"/>
      <c r="G1880" s="1" t="str">
        <f>IFERROR(IF(ventas_b_mes684[[#This Row],[CUIT]]="","-",VLOOKUP(ventas_b_mes684[[#This Row],[CUIT]],Lista_CUIT[#All],2,0)),"CUIT NO CARGADO")</f>
        <v>-</v>
      </c>
      <c r="H1880" s="64"/>
      <c r="I1880" s="64">
        <f>ventas_b_mes684[[#This Row],[IMPORTE NETO]]*0.21</f>
        <v>0</v>
      </c>
      <c r="J1880" s="64"/>
      <c r="K1880" s="64"/>
      <c r="L1880" s="64">
        <f>SUM(ventas_b_mes684[[#This Row],[IMPORTE NETO]:[EXENTO]])</f>
        <v>0</v>
      </c>
      <c r="M1880" s="59"/>
    </row>
    <row r="1881" spans="2:13" x14ac:dyDescent="0.25">
      <c r="B1881" s="40"/>
      <c r="C1881" s="41"/>
      <c r="D1881" s="42"/>
      <c r="E1881" s="43"/>
      <c r="F1881" s="44"/>
      <c r="G1881" s="1" t="str">
        <f>IFERROR(IF(ventas_b_mes684[[#This Row],[CUIT]]="","-",VLOOKUP(ventas_b_mes684[[#This Row],[CUIT]],Lista_CUIT[#All],2,0)),"CUIT NO CARGADO")</f>
        <v>-</v>
      </c>
      <c r="H1881" s="64"/>
      <c r="I1881" s="64">
        <f>ventas_b_mes684[[#This Row],[IMPORTE NETO]]*0.21</f>
        <v>0</v>
      </c>
      <c r="J1881" s="64"/>
      <c r="K1881" s="64"/>
      <c r="L1881" s="64">
        <f>SUM(ventas_b_mes684[[#This Row],[IMPORTE NETO]:[EXENTO]])</f>
        <v>0</v>
      </c>
      <c r="M1881" s="59"/>
    </row>
    <row r="1882" spans="2:13" x14ac:dyDescent="0.25">
      <c r="B1882" s="40"/>
      <c r="C1882" s="41"/>
      <c r="D1882" s="42"/>
      <c r="E1882" s="43"/>
      <c r="F1882" s="44"/>
      <c r="G1882" s="1" t="str">
        <f>IFERROR(IF(ventas_b_mes684[[#This Row],[CUIT]]="","-",VLOOKUP(ventas_b_mes684[[#This Row],[CUIT]],Lista_CUIT[#All],2,0)),"CUIT NO CARGADO")</f>
        <v>-</v>
      </c>
      <c r="H1882" s="64"/>
      <c r="I1882" s="64">
        <f>ventas_b_mes684[[#This Row],[IMPORTE NETO]]*0.21</f>
        <v>0</v>
      </c>
      <c r="J1882" s="64"/>
      <c r="K1882" s="64"/>
      <c r="L1882" s="64">
        <f>SUM(ventas_b_mes684[[#This Row],[IMPORTE NETO]:[EXENTO]])</f>
        <v>0</v>
      </c>
      <c r="M1882" s="59"/>
    </row>
    <row r="1883" spans="2:13" x14ac:dyDescent="0.25">
      <c r="B1883" s="40"/>
      <c r="C1883" s="41"/>
      <c r="D1883" s="42"/>
      <c r="E1883" s="43"/>
      <c r="F1883" s="44"/>
      <c r="G1883" s="1" t="str">
        <f>IFERROR(IF(ventas_b_mes684[[#This Row],[CUIT]]="","-",VLOOKUP(ventas_b_mes684[[#This Row],[CUIT]],Lista_CUIT[#All],2,0)),"CUIT NO CARGADO")</f>
        <v>-</v>
      </c>
      <c r="H1883" s="64"/>
      <c r="I1883" s="64">
        <f>ventas_b_mes684[[#This Row],[IMPORTE NETO]]*0.21</f>
        <v>0</v>
      </c>
      <c r="J1883" s="64"/>
      <c r="K1883" s="64"/>
      <c r="L1883" s="64">
        <f>SUM(ventas_b_mes684[[#This Row],[IMPORTE NETO]:[EXENTO]])</f>
        <v>0</v>
      </c>
      <c r="M1883" s="59"/>
    </row>
    <row r="1884" spans="2:13" x14ac:dyDescent="0.25">
      <c r="B1884" s="40"/>
      <c r="C1884" s="41"/>
      <c r="D1884" s="42"/>
      <c r="E1884" s="43"/>
      <c r="F1884" s="44"/>
      <c r="G1884" s="1" t="str">
        <f>IFERROR(IF(ventas_b_mes684[[#This Row],[CUIT]]="","-",VLOOKUP(ventas_b_mes684[[#This Row],[CUIT]],Lista_CUIT[#All],2,0)),"CUIT NO CARGADO")</f>
        <v>-</v>
      </c>
      <c r="H1884" s="64"/>
      <c r="I1884" s="64">
        <f>ventas_b_mes684[[#This Row],[IMPORTE NETO]]*0.21</f>
        <v>0</v>
      </c>
      <c r="J1884" s="64"/>
      <c r="K1884" s="64"/>
      <c r="L1884" s="64">
        <f>SUM(ventas_b_mes684[[#This Row],[IMPORTE NETO]:[EXENTO]])</f>
        <v>0</v>
      </c>
      <c r="M1884" s="59"/>
    </row>
    <row r="1885" spans="2:13" x14ac:dyDescent="0.25">
      <c r="B1885" s="40"/>
      <c r="C1885" s="41"/>
      <c r="D1885" s="42"/>
      <c r="E1885" s="43"/>
      <c r="F1885" s="44"/>
      <c r="G1885" s="1" t="str">
        <f>IFERROR(IF(ventas_b_mes684[[#This Row],[CUIT]]="","-",VLOOKUP(ventas_b_mes684[[#This Row],[CUIT]],Lista_CUIT[#All],2,0)),"CUIT NO CARGADO")</f>
        <v>-</v>
      </c>
      <c r="H1885" s="64"/>
      <c r="I1885" s="64">
        <f>ventas_b_mes684[[#This Row],[IMPORTE NETO]]*0.21</f>
        <v>0</v>
      </c>
      <c r="J1885" s="64"/>
      <c r="K1885" s="64"/>
      <c r="L1885" s="64">
        <f>SUM(ventas_b_mes684[[#This Row],[IMPORTE NETO]:[EXENTO]])</f>
        <v>0</v>
      </c>
      <c r="M1885" s="59"/>
    </row>
    <row r="1886" spans="2:13" x14ac:dyDescent="0.25">
      <c r="B1886" s="40"/>
      <c r="C1886" s="41"/>
      <c r="D1886" s="42"/>
      <c r="E1886" s="43"/>
      <c r="F1886" s="44"/>
      <c r="G1886" s="1" t="str">
        <f>IFERROR(IF(ventas_b_mes684[[#This Row],[CUIT]]="","-",VLOOKUP(ventas_b_mes684[[#This Row],[CUIT]],Lista_CUIT[#All],2,0)),"CUIT NO CARGADO")</f>
        <v>-</v>
      </c>
      <c r="H1886" s="64"/>
      <c r="I1886" s="64">
        <f>ventas_b_mes684[[#This Row],[IMPORTE NETO]]*0.21</f>
        <v>0</v>
      </c>
      <c r="J1886" s="64"/>
      <c r="K1886" s="64"/>
      <c r="L1886" s="64">
        <f>SUM(ventas_b_mes684[[#This Row],[IMPORTE NETO]:[EXENTO]])</f>
        <v>0</v>
      </c>
      <c r="M1886" s="59"/>
    </row>
    <row r="1887" spans="2:13" x14ac:dyDescent="0.25">
      <c r="B1887" s="40"/>
      <c r="C1887" s="41"/>
      <c r="D1887" s="42"/>
      <c r="E1887" s="43"/>
      <c r="F1887" s="44"/>
      <c r="G1887" s="1" t="str">
        <f>IFERROR(IF(ventas_b_mes684[[#This Row],[CUIT]]="","-",VLOOKUP(ventas_b_mes684[[#This Row],[CUIT]],Lista_CUIT[#All],2,0)),"CUIT NO CARGADO")</f>
        <v>-</v>
      </c>
      <c r="H1887" s="64"/>
      <c r="I1887" s="64">
        <f>ventas_b_mes684[[#This Row],[IMPORTE NETO]]*0.21</f>
        <v>0</v>
      </c>
      <c r="J1887" s="64"/>
      <c r="K1887" s="64"/>
      <c r="L1887" s="64">
        <f>SUM(ventas_b_mes684[[#This Row],[IMPORTE NETO]:[EXENTO]])</f>
        <v>0</v>
      </c>
      <c r="M1887" s="59"/>
    </row>
    <row r="1888" spans="2:13" x14ac:dyDescent="0.25">
      <c r="B1888" s="40"/>
      <c r="C1888" s="41"/>
      <c r="D1888" s="42"/>
      <c r="E1888" s="43"/>
      <c r="F1888" s="44"/>
      <c r="G1888" s="1" t="str">
        <f>IFERROR(IF(ventas_b_mes684[[#This Row],[CUIT]]="","-",VLOOKUP(ventas_b_mes684[[#This Row],[CUIT]],Lista_CUIT[#All],2,0)),"CUIT NO CARGADO")</f>
        <v>-</v>
      </c>
      <c r="H1888" s="64"/>
      <c r="I1888" s="64">
        <f>ventas_b_mes684[[#This Row],[IMPORTE NETO]]*0.21</f>
        <v>0</v>
      </c>
      <c r="J1888" s="64"/>
      <c r="K1888" s="64"/>
      <c r="L1888" s="64">
        <f>SUM(ventas_b_mes684[[#This Row],[IMPORTE NETO]:[EXENTO]])</f>
        <v>0</v>
      </c>
      <c r="M1888" s="59"/>
    </row>
    <row r="1889" spans="2:13" x14ac:dyDescent="0.25">
      <c r="B1889" s="40"/>
      <c r="C1889" s="41"/>
      <c r="D1889" s="42"/>
      <c r="E1889" s="43"/>
      <c r="F1889" s="44"/>
      <c r="G1889" s="1" t="str">
        <f>IFERROR(IF(ventas_b_mes684[[#This Row],[CUIT]]="","-",VLOOKUP(ventas_b_mes684[[#This Row],[CUIT]],Lista_CUIT[#All],2,0)),"CUIT NO CARGADO")</f>
        <v>-</v>
      </c>
      <c r="H1889" s="64"/>
      <c r="I1889" s="64">
        <f>ventas_b_mes684[[#This Row],[IMPORTE NETO]]*0.21</f>
        <v>0</v>
      </c>
      <c r="J1889" s="64"/>
      <c r="K1889" s="64"/>
      <c r="L1889" s="64">
        <f>SUM(ventas_b_mes684[[#This Row],[IMPORTE NETO]:[EXENTO]])</f>
        <v>0</v>
      </c>
      <c r="M1889" s="59"/>
    </row>
    <row r="1890" spans="2:13" x14ac:dyDescent="0.25">
      <c r="B1890" s="40"/>
      <c r="C1890" s="41"/>
      <c r="D1890" s="42"/>
      <c r="E1890" s="43"/>
      <c r="F1890" s="44"/>
      <c r="G1890" s="1" t="str">
        <f>IFERROR(IF(ventas_b_mes684[[#This Row],[CUIT]]="","-",VLOOKUP(ventas_b_mes684[[#This Row],[CUIT]],Lista_CUIT[#All],2,0)),"CUIT NO CARGADO")</f>
        <v>-</v>
      </c>
      <c r="H1890" s="64"/>
      <c r="I1890" s="64">
        <f>ventas_b_mes684[[#This Row],[IMPORTE NETO]]*0.21</f>
        <v>0</v>
      </c>
      <c r="J1890" s="64"/>
      <c r="K1890" s="64"/>
      <c r="L1890" s="64">
        <f>SUM(ventas_b_mes684[[#This Row],[IMPORTE NETO]:[EXENTO]])</f>
        <v>0</v>
      </c>
      <c r="M1890" s="59"/>
    </row>
    <row r="1891" spans="2:13" x14ac:dyDescent="0.25">
      <c r="B1891" s="40"/>
      <c r="C1891" s="41"/>
      <c r="D1891" s="42"/>
      <c r="E1891" s="43"/>
      <c r="F1891" s="44"/>
      <c r="G1891" s="1" t="str">
        <f>IFERROR(IF(ventas_b_mes684[[#This Row],[CUIT]]="","-",VLOOKUP(ventas_b_mes684[[#This Row],[CUIT]],Lista_CUIT[#All],2,0)),"CUIT NO CARGADO")</f>
        <v>-</v>
      </c>
      <c r="H1891" s="64"/>
      <c r="I1891" s="64">
        <f>ventas_b_mes684[[#This Row],[IMPORTE NETO]]*0.21</f>
        <v>0</v>
      </c>
      <c r="J1891" s="64"/>
      <c r="K1891" s="64"/>
      <c r="L1891" s="64">
        <f>SUM(ventas_b_mes684[[#This Row],[IMPORTE NETO]:[EXENTO]])</f>
        <v>0</v>
      </c>
      <c r="M1891" s="59"/>
    </row>
    <row r="1892" spans="2:13" x14ac:dyDescent="0.25">
      <c r="B1892" s="40"/>
      <c r="C1892" s="41"/>
      <c r="D1892" s="42"/>
      <c r="E1892" s="43"/>
      <c r="F1892" s="44"/>
      <c r="G1892" s="1" t="str">
        <f>IFERROR(IF(ventas_b_mes684[[#This Row],[CUIT]]="","-",VLOOKUP(ventas_b_mes684[[#This Row],[CUIT]],Lista_CUIT[#All],2,0)),"CUIT NO CARGADO")</f>
        <v>-</v>
      </c>
      <c r="H1892" s="64"/>
      <c r="I1892" s="64">
        <f>ventas_b_mes684[[#This Row],[IMPORTE NETO]]*0.21</f>
        <v>0</v>
      </c>
      <c r="J1892" s="64"/>
      <c r="K1892" s="64"/>
      <c r="L1892" s="64">
        <f>SUM(ventas_b_mes684[[#This Row],[IMPORTE NETO]:[EXENTO]])</f>
        <v>0</v>
      </c>
      <c r="M1892" s="59"/>
    </row>
    <row r="1893" spans="2:13" x14ac:dyDescent="0.25">
      <c r="B1893" s="40"/>
      <c r="C1893" s="41"/>
      <c r="D1893" s="42"/>
      <c r="E1893" s="43"/>
      <c r="F1893" s="44"/>
      <c r="G1893" s="1" t="str">
        <f>IFERROR(IF(ventas_b_mes684[[#This Row],[CUIT]]="","-",VLOOKUP(ventas_b_mes684[[#This Row],[CUIT]],Lista_CUIT[#All],2,0)),"CUIT NO CARGADO")</f>
        <v>-</v>
      </c>
      <c r="H1893" s="64"/>
      <c r="I1893" s="64">
        <f>ventas_b_mes684[[#This Row],[IMPORTE NETO]]*0.21</f>
        <v>0</v>
      </c>
      <c r="J1893" s="64"/>
      <c r="K1893" s="64"/>
      <c r="L1893" s="64">
        <f>SUM(ventas_b_mes684[[#This Row],[IMPORTE NETO]:[EXENTO]])</f>
        <v>0</v>
      </c>
      <c r="M1893" s="59"/>
    </row>
    <row r="1894" spans="2:13" x14ac:dyDescent="0.25">
      <c r="B1894" s="40"/>
      <c r="C1894" s="41"/>
      <c r="D1894" s="42"/>
      <c r="E1894" s="43"/>
      <c r="F1894" s="44"/>
      <c r="G1894" s="1" t="str">
        <f>IFERROR(IF(ventas_b_mes684[[#This Row],[CUIT]]="","-",VLOOKUP(ventas_b_mes684[[#This Row],[CUIT]],Lista_CUIT[#All],2,0)),"CUIT NO CARGADO")</f>
        <v>-</v>
      </c>
      <c r="H1894" s="64"/>
      <c r="I1894" s="64">
        <f>ventas_b_mes684[[#This Row],[IMPORTE NETO]]*0.21</f>
        <v>0</v>
      </c>
      <c r="J1894" s="64"/>
      <c r="K1894" s="64"/>
      <c r="L1894" s="64">
        <f>SUM(ventas_b_mes684[[#This Row],[IMPORTE NETO]:[EXENTO]])</f>
        <v>0</v>
      </c>
      <c r="M1894" s="59"/>
    </row>
    <row r="1895" spans="2:13" x14ac:dyDescent="0.25">
      <c r="B1895" s="40"/>
      <c r="C1895" s="41"/>
      <c r="D1895" s="42"/>
      <c r="E1895" s="43"/>
      <c r="F1895" s="44"/>
      <c r="G1895" s="1" t="str">
        <f>IFERROR(IF(ventas_b_mes684[[#This Row],[CUIT]]="","-",VLOOKUP(ventas_b_mes684[[#This Row],[CUIT]],Lista_CUIT[#All],2,0)),"CUIT NO CARGADO")</f>
        <v>-</v>
      </c>
      <c r="H1895" s="64"/>
      <c r="I1895" s="64">
        <f>ventas_b_mes684[[#This Row],[IMPORTE NETO]]*0.21</f>
        <v>0</v>
      </c>
      <c r="J1895" s="64"/>
      <c r="K1895" s="64"/>
      <c r="L1895" s="64">
        <f>SUM(ventas_b_mes684[[#This Row],[IMPORTE NETO]:[EXENTO]])</f>
        <v>0</v>
      </c>
      <c r="M1895" s="59"/>
    </row>
    <row r="1896" spans="2:13" x14ac:dyDescent="0.25">
      <c r="B1896" s="40"/>
      <c r="C1896" s="41"/>
      <c r="D1896" s="42"/>
      <c r="E1896" s="43"/>
      <c r="F1896" s="44"/>
      <c r="G1896" s="1" t="str">
        <f>IFERROR(IF(ventas_b_mes684[[#This Row],[CUIT]]="","-",VLOOKUP(ventas_b_mes684[[#This Row],[CUIT]],Lista_CUIT[#All],2,0)),"CUIT NO CARGADO")</f>
        <v>-</v>
      </c>
      <c r="H1896" s="64"/>
      <c r="I1896" s="64">
        <f>ventas_b_mes684[[#This Row],[IMPORTE NETO]]*0.21</f>
        <v>0</v>
      </c>
      <c r="J1896" s="64"/>
      <c r="K1896" s="64"/>
      <c r="L1896" s="64">
        <f>SUM(ventas_b_mes684[[#This Row],[IMPORTE NETO]:[EXENTO]])</f>
        <v>0</v>
      </c>
      <c r="M1896" s="59"/>
    </row>
    <row r="1897" spans="2:13" x14ac:dyDescent="0.25">
      <c r="B1897" s="40"/>
      <c r="C1897" s="41"/>
      <c r="D1897" s="42"/>
      <c r="E1897" s="43"/>
      <c r="F1897" s="44"/>
      <c r="G1897" s="1" t="str">
        <f>IFERROR(IF(ventas_b_mes684[[#This Row],[CUIT]]="","-",VLOOKUP(ventas_b_mes684[[#This Row],[CUIT]],Lista_CUIT[#All],2,0)),"CUIT NO CARGADO")</f>
        <v>-</v>
      </c>
      <c r="H1897" s="64"/>
      <c r="I1897" s="64">
        <f>ventas_b_mes684[[#This Row],[IMPORTE NETO]]*0.21</f>
        <v>0</v>
      </c>
      <c r="J1897" s="64"/>
      <c r="K1897" s="64"/>
      <c r="L1897" s="64">
        <f>SUM(ventas_b_mes684[[#This Row],[IMPORTE NETO]:[EXENTO]])</f>
        <v>0</v>
      </c>
      <c r="M1897" s="59"/>
    </row>
    <row r="1898" spans="2:13" x14ac:dyDescent="0.25">
      <c r="B1898" s="40"/>
      <c r="C1898" s="41"/>
      <c r="D1898" s="42"/>
      <c r="E1898" s="43"/>
      <c r="F1898" s="44"/>
      <c r="G1898" s="1" t="str">
        <f>IFERROR(IF(ventas_b_mes684[[#This Row],[CUIT]]="","-",VLOOKUP(ventas_b_mes684[[#This Row],[CUIT]],Lista_CUIT[#All],2,0)),"CUIT NO CARGADO")</f>
        <v>-</v>
      </c>
      <c r="H1898" s="64"/>
      <c r="I1898" s="64">
        <f>ventas_b_mes684[[#This Row],[IMPORTE NETO]]*0.21</f>
        <v>0</v>
      </c>
      <c r="J1898" s="64"/>
      <c r="K1898" s="64"/>
      <c r="L1898" s="64">
        <f>SUM(ventas_b_mes684[[#This Row],[IMPORTE NETO]:[EXENTO]])</f>
        <v>0</v>
      </c>
      <c r="M1898" s="59"/>
    </row>
    <row r="1899" spans="2:13" x14ac:dyDescent="0.25">
      <c r="B1899" s="40"/>
      <c r="C1899" s="41"/>
      <c r="D1899" s="42"/>
      <c r="E1899" s="43"/>
      <c r="F1899" s="44"/>
      <c r="G1899" s="1" t="str">
        <f>IFERROR(IF(ventas_b_mes684[[#This Row],[CUIT]]="","-",VLOOKUP(ventas_b_mes684[[#This Row],[CUIT]],Lista_CUIT[#All],2,0)),"CUIT NO CARGADO")</f>
        <v>-</v>
      </c>
      <c r="H1899" s="64"/>
      <c r="I1899" s="64">
        <f>ventas_b_mes684[[#This Row],[IMPORTE NETO]]*0.21</f>
        <v>0</v>
      </c>
      <c r="J1899" s="64"/>
      <c r="K1899" s="64"/>
      <c r="L1899" s="64">
        <f>SUM(ventas_b_mes684[[#This Row],[IMPORTE NETO]:[EXENTO]])</f>
        <v>0</v>
      </c>
      <c r="M1899" s="59"/>
    </row>
    <row r="1900" spans="2:13" x14ac:dyDescent="0.25">
      <c r="B1900" s="40"/>
      <c r="C1900" s="41"/>
      <c r="D1900" s="42"/>
      <c r="E1900" s="43"/>
      <c r="F1900" s="44"/>
      <c r="G1900" s="1" t="str">
        <f>IFERROR(IF(ventas_b_mes684[[#This Row],[CUIT]]="","-",VLOOKUP(ventas_b_mes684[[#This Row],[CUIT]],Lista_CUIT[#All],2,0)),"CUIT NO CARGADO")</f>
        <v>-</v>
      </c>
      <c r="H1900" s="64"/>
      <c r="I1900" s="64">
        <f>ventas_b_mes684[[#This Row],[IMPORTE NETO]]*0.21</f>
        <v>0</v>
      </c>
      <c r="J1900" s="64"/>
      <c r="K1900" s="64"/>
      <c r="L1900" s="64">
        <f>SUM(ventas_b_mes684[[#This Row],[IMPORTE NETO]:[EXENTO]])</f>
        <v>0</v>
      </c>
      <c r="M1900" s="59"/>
    </row>
    <row r="1901" spans="2:13" x14ac:dyDescent="0.25">
      <c r="B1901" s="40"/>
      <c r="C1901" s="41"/>
      <c r="D1901" s="42"/>
      <c r="E1901" s="43"/>
      <c r="F1901" s="44"/>
      <c r="G1901" s="1" t="str">
        <f>IFERROR(IF(ventas_b_mes684[[#This Row],[CUIT]]="","-",VLOOKUP(ventas_b_mes684[[#This Row],[CUIT]],Lista_CUIT[#All],2,0)),"CUIT NO CARGADO")</f>
        <v>-</v>
      </c>
      <c r="H1901" s="64"/>
      <c r="I1901" s="64">
        <f>ventas_b_mes684[[#This Row],[IMPORTE NETO]]*0.21</f>
        <v>0</v>
      </c>
      <c r="J1901" s="64"/>
      <c r="K1901" s="64"/>
      <c r="L1901" s="64">
        <f>SUM(ventas_b_mes684[[#This Row],[IMPORTE NETO]:[EXENTO]])</f>
        <v>0</v>
      </c>
      <c r="M1901" s="59"/>
    </row>
    <row r="1902" spans="2:13" x14ac:dyDescent="0.25">
      <c r="B1902" s="40"/>
      <c r="C1902" s="41"/>
      <c r="D1902" s="42"/>
      <c r="E1902" s="43"/>
      <c r="F1902" s="44"/>
      <c r="G1902" s="1" t="str">
        <f>IFERROR(IF(ventas_b_mes684[[#This Row],[CUIT]]="","-",VLOOKUP(ventas_b_mes684[[#This Row],[CUIT]],Lista_CUIT[#All],2,0)),"CUIT NO CARGADO")</f>
        <v>-</v>
      </c>
      <c r="H1902" s="64"/>
      <c r="I1902" s="64">
        <f>ventas_b_mes684[[#This Row],[IMPORTE NETO]]*0.21</f>
        <v>0</v>
      </c>
      <c r="J1902" s="64"/>
      <c r="K1902" s="64"/>
      <c r="L1902" s="64">
        <f>SUM(ventas_b_mes684[[#This Row],[IMPORTE NETO]:[EXENTO]])</f>
        <v>0</v>
      </c>
      <c r="M1902" s="59"/>
    </row>
    <row r="1903" spans="2:13" x14ac:dyDescent="0.25">
      <c r="B1903" s="40"/>
      <c r="C1903" s="41"/>
      <c r="D1903" s="42"/>
      <c r="E1903" s="43"/>
      <c r="F1903" s="44"/>
      <c r="G1903" s="1" t="str">
        <f>IFERROR(IF(ventas_b_mes684[[#This Row],[CUIT]]="","-",VLOOKUP(ventas_b_mes684[[#This Row],[CUIT]],Lista_CUIT[#All],2,0)),"CUIT NO CARGADO")</f>
        <v>-</v>
      </c>
      <c r="H1903" s="64"/>
      <c r="I1903" s="64">
        <f>ventas_b_mes684[[#This Row],[IMPORTE NETO]]*0.21</f>
        <v>0</v>
      </c>
      <c r="J1903" s="64"/>
      <c r="K1903" s="64"/>
      <c r="L1903" s="64">
        <f>SUM(ventas_b_mes684[[#This Row],[IMPORTE NETO]:[EXENTO]])</f>
        <v>0</v>
      </c>
      <c r="M1903" s="59"/>
    </row>
    <row r="1904" spans="2:13" x14ac:dyDescent="0.25">
      <c r="B1904" s="40"/>
      <c r="C1904" s="41"/>
      <c r="D1904" s="42"/>
      <c r="E1904" s="43"/>
      <c r="F1904" s="44"/>
      <c r="G1904" s="1" t="str">
        <f>IFERROR(IF(ventas_b_mes684[[#This Row],[CUIT]]="","-",VLOOKUP(ventas_b_mes684[[#This Row],[CUIT]],Lista_CUIT[#All],2,0)),"CUIT NO CARGADO")</f>
        <v>-</v>
      </c>
      <c r="H1904" s="64"/>
      <c r="I1904" s="64">
        <f>ventas_b_mes684[[#This Row],[IMPORTE NETO]]*0.21</f>
        <v>0</v>
      </c>
      <c r="J1904" s="64"/>
      <c r="K1904" s="64"/>
      <c r="L1904" s="64">
        <f>SUM(ventas_b_mes684[[#This Row],[IMPORTE NETO]:[EXENTO]])</f>
        <v>0</v>
      </c>
      <c r="M1904" s="59"/>
    </row>
    <row r="1905" spans="2:13" x14ac:dyDescent="0.25">
      <c r="B1905" s="40"/>
      <c r="C1905" s="41"/>
      <c r="D1905" s="42"/>
      <c r="E1905" s="43"/>
      <c r="F1905" s="44"/>
      <c r="G1905" s="1" t="str">
        <f>IFERROR(IF(ventas_b_mes684[[#This Row],[CUIT]]="","-",VLOOKUP(ventas_b_mes684[[#This Row],[CUIT]],Lista_CUIT[#All],2,0)),"CUIT NO CARGADO")</f>
        <v>-</v>
      </c>
      <c r="H1905" s="64"/>
      <c r="I1905" s="64">
        <f>ventas_b_mes684[[#This Row],[IMPORTE NETO]]*0.21</f>
        <v>0</v>
      </c>
      <c r="J1905" s="64"/>
      <c r="K1905" s="64"/>
      <c r="L1905" s="64">
        <f>SUM(ventas_b_mes684[[#This Row],[IMPORTE NETO]:[EXENTO]])</f>
        <v>0</v>
      </c>
      <c r="M1905" s="59"/>
    </row>
    <row r="1906" spans="2:13" x14ac:dyDescent="0.25">
      <c r="B1906" s="40"/>
      <c r="C1906" s="41"/>
      <c r="D1906" s="42"/>
      <c r="E1906" s="43"/>
      <c r="F1906" s="44"/>
      <c r="G1906" s="1" t="str">
        <f>IFERROR(IF(ventas_b_mes684[[#This Row],[CUIT]]="","-",VLOOKUP(ventas_b_mes684[[#This Row],[CUIT]],Lista_CUIT[#All],2,0)),"CUIT NO CARGADO")</f>
        <v>-</v>
      </c>
      <c r="H1906" s="64"/>
      <c r="I1906" s="64">
        <f>ventas_b_mes684[[#This Row],[IMPORTE NETO]]*0.21</f>
        <v>0</v>
      </c>
      <c r="J1906" s="64"/>
      <c r="K1906" s="64"/>
      <c r="L1906" s="64">
        <f>SUM(ventas_b_mes684[[#This Row],[IMPORTE NETO]:[EXENTO]])</f>
        <v>0</v>
      </c>
      <c r="M1906" s="59"/>
    </row>
    <row r="1907" spans="2:13" x14ac:dyDescent="0.25">
      <c r="B1907" s="40"/>
      <c r="C1907" s="41"/>
      <c r="D1907" s="42"/>
      <c r="E1907" s="43"/>
      <c r="F1907" s="44"/>
      <c r="G1907" s="1" t="str">
        <f>IFERROR(IF(ventas_b_mes684[[#This Row],[CUIT]]="","-",VLOOKUP(ventas_b_mes684[[#This Row],[CUIT]],Lista_CUIT[#All],2,0)),"CUIT NO CARGADO")</f>
        <v>-</v>
      </c>
      <c r="H1907" s="64"/>
      <c r="I1907" s="64">
        <f>ventas_b_mes684[[#This Row],[IMPORTE NETO]]*0.21</f>
        <v>0</v>
      </c>
      <c r="J1907" s="64"/>
      <c r="K1907" s="64"/>
      <c r="L1907" s="64">
        <f>SUM(ventas_b_mes684[[#This Row],[IMPORTE NETO]:[EXENTO]])</f>
        <v>0</v>
      </c>
      <c r="M1907" s="59"/>
    </row>
    <row r="1908" spans="2:13" x14ac:dyDescent="0.25">
      <c r="B1908" s="40"/>
      <c r="C1908" s="41"/>
      <c r="D1908" s="42"/>
      <c r="E1908" s="43"/>
      <c r="F1908" s="44"/>
      <c r="G1908" s="1" t="str">
        <f>IFERROR(IF(ventas_b_mes684[[#This Row],[CUIT]]="","-",VLOOKUP(ventas_b_mes684[[#This Row],[CUIT]],Lista_CUIT[#All],2,0)),"CUIT NO CARGADO")</f>
        <v>-</v>
      </c>
      <c r="H1908" s="64"/>
      <c r="I1908" s="64">
        <f>ventas_b_mes684[[#This Row],[IMPORTE NETO]]*0.21</f>
        <v>0</v>
      </c>
      <c r="J1908" s="64"/>
      <c r="K1908" s="64"/>
      <c r="L1908" s="64">
        <f>SUM(ventas_b_mes684[[#This Row],[IMPORTE NETO]:[EXENTO]])</f>
        <v>0</v>
      </c>
      <c r="M1908" s="59"/>
    </row>
    <row r="1909" spans="2:13" x14ac:dyDescent="0.25">
      <c r="B1909" s="40"/>
      <c r="C1909" s="41"/>
      <c r="D1909" s="42"/>
      <c r="E1909" s="43"/>
      <c r="F1909" s="44"/>
      <c r="G1909" s="1" t="str">
        <f>IFERROR(IF(ventas_b_mes684[[#This Row],[CUIT]]="","-",VLOOKUP(ventas_b_mes684[[#This Row],[CUIT]],Lista_CUIT[#All],2,0)),"CUIT NO CARGADO")</f>
        <v>-</v>
      </c>
      <c r="H1909" s="64"/>
      <c r="I1909" s="64">
        <f>ventas_b_mes684[[#This Row],[IMPORTE NETO]]*0.21</f>
        <v>0</v>
      </c>
      <c r="J1909" s="64"/>
      <c r="K1909" s="64"/>
      <c r="L1909" s="64">
        <f>SUM(ventas_b_mes684[[#This Row],[IMPORTE NETO]:[EXENTO]])</f>
        <v>0</v>
      </c>
      <c r="M1909" s="59"/>
    </row>
    <row r="1910" spans="2:13" x14ac:dyDescent="0.25">
      <c r="B1910" s="40"/>
      <c r="C1910" s="41"/>
      <c r="D1910" s="42"/>
      <c r="E1910" s="43"/>
      <c r="F1910" s="44"/>
      <c r="G1910" s="1" t="str">
        <f>IFERROR(IF(ventas_b_mes684[[#This Row],[CUIT]]="","-",VLOOKUP(ventas_b_mes684[[#This Row],[CUIT]],Lista_CUIT[#All],2,0)),"CUIT NO CARGADO")</f>
        <v>-</v>
      </c>
      <c r="H1910" s="64"/>
      <c r="I1910" s="64">
        <f>ventas_b_mes684[[#This Row],[IMPORTE NETO]]*0.21</f>
        <v>0</v>
      </c>
      <c r="J1910" s="64"/>
      <c r="K1910" s="64"/>
      <c r="L1910" s="64">
        <f>SUM(ventas_b_mes684[[#This Row],[IMPORTE NETO]:[EXENTO]])</f>
        <v>0</v>
      </c>
      <c r="M1910" s="59"/>
    </row>
    <row r="1911" spans="2:13" x14ac:dyDescent="0.25">
      <c r="B1911" s="40"/>
      <c r="C1911" s="41"/>
      <c r="D1911" s="42"/>
      <c r="E1911" s="43"/>
      <c r="F1911" s="44"/>
      <c r="G1911" s="1" t="str">
        <f>IFERROR(IF(ventas_b_mes684[[#This Row],[CUIT]]="","-",VLOOKUP(ventas_b_mes684[[#This Row],[CUIT]],Lista_CUIT[#All],2,0)),"CUIT NO CARGADO")</f>
        <v>-</v>
      </c>
      <c r="H1911" s="64"/>
      <c r="I1911" s="64">
        <f>ventas_b_mes684[[#This Row],[IMPORTE NETO]]*0.21</f>
        <v>0</v>
      </c>
      <c r="J1911" s="64"/>
      <c r="K1911" s="64"/>
      <c r="L1911" s="64">
        <f>SUM(ventas_b_mes684[[#This Row],[IMPORTE NETO]:[EXENTO]])</f>
        <v>0</v>
      </c>
      <c r="M1911" s="59"/>
    </row>
    <row r="1912" spans="2:13" x14ac:dyDescent="0.25">
      <c r="B1912" s="40"/>
      <c r="C1912" s="41"/>
      <c r="D1912" s="42"/>
      <c r="E1912" s="43"/>
      <c r="F1912" s="44"/>
      <c r="G1912" s="1" t="str">
        <f>IFERROR(IF(ventas_b_mes684[[#This Row],[CUIT]]="","-",VLOOKUP(ventas_b_mes684[[#This Row],[CUIT]],Lista_CUIT[#All],2,0)),"CUIT NO CARGADO")</f>
        <v>-</v>
      </c>
      <c r="H1912" s="64"/>
      <c r="I1912" s="64">
        <f>ventas_b_mes684[[#This Row],[IMPORTE NETO]]*0.21</f>
        <v>0</v>
      </c>
      <c r="J1912" s="64"/>
      <c r="K1912" s="64"/>
      <c r="L1912" s="64">
        <f>SUM(ventas_b_mes684[[#This Row],[IMPORTE NETO]:[EXENTO]])</f>
        <v>0</v>
      </c>
      <c r="M1912" s="59"/>
    </row>
    <row r="1913" spans="2:13" x14ac:dyDescent="0.25">
      <c r="B1913" s="40"/>
      <c r="C1913" s="41"/>
      <c r="D1913" s="42"/>
      <c r="E1913" s="43"/>
      <c r="F1913" s="44"/>
      <c r="G1913" s="1" t="str">
        <f>IFERROR(IF(ventas_b_mes684[[#This Row],[CUIT]]="","-",VLOOKUP(ventas_b_mes684[[#This Row],[CUIT]],Lista_CUIT[#All],2,0)),"CUIT NO CARGADO")</f>
        <v>-</v>
      </c>
      <c r="H1913" s="64"/>
      <c r="I1913" s="64">
        <f>ventas_b_mes684[[#This Row],[IMPORTE NETO]]*0.21</f>
        <v>0</v>
      </c>
      <c r="J1913" s="64"/>
      <c r="K1913" s="64"/>
      <c r="L1913" s="64">
        <f>SUM(ventas_b_mes684[[#This Row],[IMPORTE NETO]:[EXENTO]])</f>
        <v>0</v>
      </c>
      <c r="M1913" s="59"/>
    </row>
    <row r="1914" spans="2:13" x14ac:dyDescent="0.25">
      <c r="B1914" s="40"/>
      <c r="C1914" s="41"/>
      <c r="D1914" s="42"/>
      <c r="E1914" s="43"/>
      <c r="F1914" s="44"/>
      <c r="G1914" s="1" t="str">
        <f>IFERROR(IF(ventas_b_mes684[[#This Row],[CUIT]]="","-",VLOOKUP(ventas_b_mes684[[#This Row],[CUIT]],Lista_CUIT[#All],2,0)),"CUIT NO CARGADO")</f>
        <v>-</v>
      </c>
      <c r="H1914" s="64"/>
      <c r="I1914" s="64">
        <f>ventas_b_mes684[[#This Row],[IMPORTE NETO]]*0.21</f>
        <v>0</v>
      </c>
      <c r="J1914" s="64"/>
      <c r="K1914" s="64"/>
      <c r="L1914" s="64">
        <f>SUM(ventas_b_mes684[[#This Row],[IMPORTE NETO]:[EXENTO]])</f>
        <v>0</v>
      </c>
      <c r="M1914" s="59"/>
    </row>
    <row r="1915" spans="2:13" x14ac:dyDescent="0.25">
      <c r="B1915" s="40"/>
      <c r="C1915" s="41"/>
      <c r="D1915" s="42"/>
      <c r="E1915" s="43"/>
      <c r="F1915" s="44"/>
      <c r="G1915" s="1" t="str">
        <f>IFERROR(IF(ventas_b_mes684[[#This Row],[CUIT]]="","-",VLOOKUP(ventas_b_mes684[[#This Row],[CUIT]],Lista_CUIT[#All],2,0)),"CUIT NO CARGADO")</f>
        <v>-</v>
      </c>
      <c r="H1915" s="64"/>
      <c r="I1915" s="64">
        <f>ventas_b_mes684[[#This Row],[IMPORTE NETO]]*0.21</f>
        <v>0</v>
      </c>
      <c r="J1915" s="64"/>
      <c r="K1915" s="64"/>
      <c r="L1915" s="64">
        <f>SUM(ventas_b_mes684[[#This Row],[IMPORTE NETO]:[EXENTO]])</f>
        <v>0</v>
      </c>
      <c r="M1915" s="59"/>
    </row>
    <row r="1916" spans="2:13" x14ac:dyDescent="0.25">
      <c r="B1916" s="40"/>
      <c r="C1916" s="41"/>
      <c r="D1916" s="42"/>
      <c r="E1916" s="43"/>
      <c r="F1916" s="44"/>
      <c r="G1916" s="1" t="str">
        <f>IFERROR(IF(ventas_b_mes684[[#This Row],[CUIT]]="","-",VLOOKUP(ventas_b_mes684[[#This Row],[CUIT]],Lista_CUIT[#All],2,0)),"CUIT NO CARGADO")</f>
        <v>-</v>
      </c>
      <c r="H1916" s="64"/>
      <c r="I1916" s="64">
        <f>ventas_b_mes684[[#This Row],[IMPORTE NETO]]*0.21</f>
        <v>0</v>
      </c>
      <c r="J1916" s="64"/>
      <c r="K1916" s="64"/>
      <c r="L1916" s="64">
        <f>SUM(ventas_b_mes684[[#This Row],[IMPORTE NETO]:[EXENTO]])</f>
        <v>0</v>
      </c>
      <c r="M1916" s="59"/>
    </row>
    <row r="1917" spans="2:13" x14ac:dyDescent="0.25">
      <c r="B1917" s="40"/>
      <c r="C1917" s="41"/>
      <c r="D1917" s="42"/>
      <c r="E1917" s="43"/>
      <c r="F1917" s="44"/>
      <c r="G1917" s="1" t="str">
        <f>IFERROR(IF(ventas_b_mes684[[#This Row],[CUIT]]="","-",VLOOKUP(ventas_b_mes684[[#This Row],[CUIT]],Lista_CUIT[#All],2,0)),"CUIT NO CARGADO")</f>
        <v>-</v>
      </c>
      <c r="H1917" s="64"/>
      <c r="I1917" s="64">
        <f>ventas_b_mes684[[#This Row],[IMPORTE NETO]]*0.21</f>
        <v>0</v>
      </c>
      <c r="J1917" s="64"/>
      <c r="K1917" s="64"/>
      <c r="L1917" s="64">
        <f>SUM(ventas_b_mes684[[#This Row],[IMPORTE NETO]:[EXENTO]])</f>
        <v>0</v>
      </c>
      <c r="M1917" s="59"/>
    </row>
    <row r="1918" spans="2:13" x14ac:dyDescent="0.25">
      <c r="B1918" s="40"/>
      <c r="C1918" s="41"/>
      <c r="D1918" s="42"/>
      <c r="E1918" s="43"/>
      <c r="F1918" s="44"/>
      <c r="G1918" s="1" t="str">
        <f>IFERROR(IF(ventas_b_mes684[[#This Row],[CUIT]]="","-",VLOOKUP(ventas_b_mes684[[#This Row],[CUIT]],Lista_CUIT[#All],2,0)),"CUIT NO CARGADO")</f>
        <v>-</v>
      </c>
      <c r="H1918" s="64"/>
      <c r="I1918" s="64">
        <f>ventas_b_mes684[[#This Row],[IMPORTE NETO]]*0.21</f>
        <v>0</v>
      </c>
      <c r="J1918" s="64"/>
      <c r="K1918" s="64"/>
      <c r="L1918" s="64">
        <f>SUM(ventas_b_mes684[[#This Row],[IMPORTE NETO]:[EXENTO]])</f>
        <v>0</v>
      </c>
      <c r="M1918" s="59"/>
    </row>
    <row r="1919" spans="2:13" x14ac:dyDescent="0.25">
      <c r="B1919" s="40"/>
      <c r="C1919" s="41"/>
      <c r="D1919" s="42"/>
      <c r="E1919" s="43"/>
      <c r="F1919" s="44"/>
      <c r="G1919" s="1" t="str">
        <f>IFERROR(IF(ventas_b_mes684[[#This Row],[CUIT]]="","-",VLOOKUP(ventas_b_mes684[[#This Row],[CUIT]],Lista_CUIT[#All],2,0)),"CUIT NO CARGADO")</f>
        <v>-</v>
      </c>
      <c r="H1919" s="64"/>
      <c r="I1919" s="64">
        <f>ventas_b_mes684[[#This Row],[IMPORTE NETO]]*0.21</f>
        <v>0</v>
      </c>
      <c r="J1919" s="64"/>
      <c r="K1919" s="64"/>
      <c r="L1919" s="64">
        <f>SUM(ventas_b_mes684[[#This Row],[IMPORTE NETO]:[EXENTO]])</f>
        <v>0</v>
      </c>
      <c r="M1919" s="59"/>
    </row>
    <row r="1920" spans="2:13" x14ac:dyDescent="0.25">
      <c r="B1920" s="40"/>
      <c r="C1920" s="41"/>
      <c r="D1920" s="42"/>
      <c r="E1920" s="43"/>
      <c r="F1920" s="44"/>
      <c r="G1920" s="1" t="str">
        <f>IFERROR(IF(ventas_b_mes684[[#This Row],[CUIT]]="","-",VLOOKUP(ventas_b_mes684[[#This Row],[CUIT]],Lista_CUIT[#All],2,0)),"CUIT NO CARGADO")</f>
        <v>-</v>
      </c>
      <c r="H1920" s="64"/>
      <c r="I1920" s="64">
        <f>ventas_b_mes684[[#This Row],[IMPORTE NETO]]*0.21</f>
        <v>0</v>
      </c>
      <c r="J1920" s="64"/>
      <c r="K1920" s="64"/>
      <c r="L1920" s="64">
        <f>SUM(ventas_b_mes684[[#This Row],[IMPORTE NETO]:[EXENTO]])</f>
        <v>0</v>
      </c>
      <c r="M1920" s="59"/>
    </row>
    <row r="1921" spans="2:13" x14ac:dyDescent="0.25">
      <c r="B1921" s="40"/>
      <c r="C1921" s="41"/>
      <c r="D1921" s="42"/>
      <c r="E1921" s="43"/>
      <c r="F1921" s="44"/>
      <c r="G1921" s="1" t="str">
        <f>IFERROR(IF(ventas_b_mes684[[#This Row],[CUIT]]="","-",VLOOKUP(ventas_b_mes684[[#This Row],[CUIT]],Lista_CUIT[#All],2,0)),"CUIT NO CARGADO")</f>
        <v>-</v>
      </c>
      <c r="H1921" s="64"/>
      <c r="I1921" s="64">
        <f>ventas_b_mes684[[#This Row],[IMPORTE NETO]]*0.21</f>
        <v>0</v>
      </c>
      <c r="J1921" s="64"/>
      <c r="K1921" s="64"/>
      <c r="L1921" s="64">
        <f>SUM(ventas_b_mes684[[#This Row],[IMPORTE NETO]:[EXENTO]])</f>
        <v>0</v>
      </c>
      <c r="M1921" s="59"/>
    </row>
    <row r="1922" spans="2:13" x14ac:dyDescent="0.25">
      <c r="B1922" s="40"/>
      <c r="C1922" s="41"/>
      <c r="D1922" s="42"/>
      <c r="E1922" s="43"/>
      <c r="F1922" s="44"/>
      <c r="G1922" s="1" t="str">
        <f>IFERROR(IF(ventas_b_mes684[[#This Row],[CUIT]]="","-",VLOOKUP(ventas_b_mes684[[#This Row],[CUIT]],Lista_CUIT[#All],2,0)),"CUIT NO CARGADO")</f>
        <v>-</v>
      </c>
      <c r="H1922" s="64"/>
      <c r="I1922" s="64">
        <f>ventas_b_mes684[[#This Row],[IMPORTE NETO]]*0.21</f>
        <v>0</v>
      </c>
      <c r="J1922" s="64"/>
      <c r="K1922" s="64"/>
      <c r="L1922" s="64">
        <f>SUM(ventas_b_mes684[[#This Row],[IMPORTE NETO]:[EXENTO]])</f>
        <v>0</v>
      </c>
      <c r="M1922" s="59"/>
    </row>
    <row r="1923" spans="2:13" x14ac:dyDescent="0.25">
      <c r="B1923" s="40"/>
      <c r="C1923" s="41"/>
      <c r="D1923" s="42"/>
      <c r="E1923" s="43"/>
      <c r="F1923" s="44"/>
      <c r="G1923" s="1" t="str">
        <f>IFERROR(IF(ventas_b_mes684[[#This Row],[CUIT]]="","-",VLOOKUP(ventas_b_mes684[[#This Row],[CUIT]],Lista_CUIT[#All],2,0)),"CUIT NO CARGADO")</f>
        <v>-</v>
      </c>
      <c r="H1923" s="64"/>
      <c r="I1923" s="64">
        <f>ventas_b_mes684[[#This Row],[IMPORTE NETO]]*0.21</f>
        <v>0</v>
      </c>
      <c r="J1923" s="64"/>
      <c r="K1923" s="64"/>
      <c r="L1923" s="64">
        <f>SUM(ventas_b_mes684[[#This Row],[IMPORTE NETO]:[EXENTO]])</f>
        <v>0</v>
      </c>
      <c r="M1923" s="59"/>
    </row>
    <row r="1924" spans="2:13" x14ac:dyDescent="0.25">
      <c r="B1924" s="40"/>
      <c r="C1924" s="41"/>
      <c r="D1924" s="42"/>
      <c r="E1924" s="43"/>
      <c r="F1924" s="44"/>
      <c r="G1924" s="1" t="str">
        <f>IFERROR(IF(ventas_b_mes684[[#This Row],[CUIT]]="","-",VLOOKUP(ventas_b_mes684[[#This Row],[CUIT]],Lista_CUIT[#All],2,0)),"CUIT NO CARGADO")</f>
        <v>-</v>
      </c>
      <c r="H1924" s="64"/>
      <c r="I1924" s="64">
        <f>ventas_b_mes684[[#This Row],[IMPORTE NETO]]*0.21</f>
        <v>0</v>
      </c>
      <c r="J1924" s="64"/>
      <c r="K1924" s="64"/>
      <c r="L1924" s="64">
        <f>SUM(ventas_b_mes684[[#This Row],[IMPORTE NETO]:[EXENTO]])</f>
        <v>0</v>
      </c>
      <c r="M1924" s="59"/>
    </row>
    <row r="1925" spans="2:13" x14ac:dyDescent="0.25">
      <c r="B1925" s="40"/>
      <c r="C1925" s="41"/>
      <c r="D1925" s="42"/>
      <c r="E1925" s="43"/>
      <c r="F1925" s="44"/>
      <c r="G1925" s="1" t="str">
        <f>IFERROR(IF(ventas_b_mes684[[#This Row],[CUIT]]="","-",VLOOKUP(ventas_b_mes684[[#This Row],[CUIT]],Lista_CUIT[#All],2,0)),"CUIT NO CARGADO")</f>
        <v>-</v>
      </c>
      <c r="H1925" s="64"/>
      <c r="I1925" s="64">
        <f>ventas_b_mes684[[#This Row],[IMPORTE NETO]]*0.21</f>
        <v>0</v>
      </c>
      <c r="J1925" s="64"/>
      <c r="K1925" s="64"/>
      <c r="L1925" s="64">
        <f>SUM(ventas_b_mes684[[#This Row],[IMPORTE NETO]:[EXENTO]])</f>
        <v>0</v>
      </c>
      <c r="M1925" s="59"/>
    </row>
    <row r="1926" spans="2:13" x14ac:dyDescent="0.25">
      <c r="B1926" s="40"/>
      <c r="C1926" s="41"/>
      <c r="D1926" s="42"/>
      <c r="E1926" s="43"/>
      <c r="F1926" s="44"/>
      <c r="G1926" s="1" t="str">
        <f>IFERROR(IF(ventas_b_mes684[[#This Row],[CUIT]]="","-",VLOOKUP(ventas_b_mes684[[#This Row],[CUIT]],Lista_CUIT[#All],2,0)),"CUIT NO CARGADO")</f>
        <v>-</v>
      </c>
      <c r="H1926" s="64"/>
      <c r="I1926" s="64">
        <f>ventas_b_mes684[[#This Row],[IMPORTE NETO]]*0.21</f>
        <v>0</v>
      </c>
      <c r="J1926" s="64"/>
      <c r="K1926" s="64"/>
      <c r="L1926" s="64">
        <f>SUM(ventas_b_mes684[[#This Row],[IMPORTE NETO]:[EXENTO]])</f>
        <v>0</v>
      </c>
      <c r="M1926" s="59"/>
    </row>
    <row r="1927" spans="2:13" x14ac:dyDescent="0.25">
      <c r="B1927" s="40"/>
      <c r="C1927" s="41"/>
      <c r="D1927" s="42"/>
      <c r="E1927" s="43"/>
      <c r="F1927" s="44"/>
      <c r="G1927" s="1" t="str">
        <f>IFERROR(IF(ventas_b_mes684[[#This Row],[CUIT]]="","-",VLOOKUP(ventas_b_mes684[[#This Row],[CUIT]],Lista_CUIT[#All],2,0)),"CUIT NO CARGADO")</f>
        <v>-</v>
      </c>
      <c r="H1927" s="64"/>
      <c r="I1927" s="64">
        <f>ventas_b_mes684[[#This Row],[IMPORTE NETO]]*0.21</f>
        <v>0</v>
      </c>
      <c r="J1927" s="64"/>
      <c r="K1927" s="64"/>
      <c r="L1927" s="64">
        <f>SUM(ventas_b_mes684[[#This Row],[IMPORTE NETO]:[EXENTO]])</f>
        <v>0</v>
      </c>
      <c r="M1927" s="59"/>
    </row>
    <row r="1928" spans="2:13" x14ac:dyDescent="0.25">
      <c r="B1928" s="40"/>
      <c r="C1928" s="41"/>
      <c r="D1928" s="42"/>
      <c r="E1928" s="43"/>
      <c r="F1928" s="44"/>
      <c r="G1928" s="1" t="str">
        <f>IFERROR(IF(ventas_b_mes684[[#This Row],[CUIT]]="","-",VLOOKUP(ventas_b_mes684[[#This Row],[CUIT]],Lista_CUIT[#All],2,0)),"CUIT NO CARGADO")</f>
        <v>-</v>
      </c>
      <c r="H1928" s="64"/>
      <c r="I1928" s="64">
        <f>ventas_b_mes684[[#This Row],[IMPORTE NETO]]*0.21</f>
        <v>0</v>
      </c>
      <c r="J1928" s="64"/>
      <c r="K1928" s="64"/>
      <c r="L1928" s="64">
        <f>SUM(ventas_b_mes684[[#This Row],[IMPORTE NETO]:[EXENTO]])</f>
        <v>0</v>
      </c>
      <c r="M1928" s="59"/>
    </row>
    <row r="1929" spans="2:13" x14ac:dyDescent="0.25">
      <c r="B1929" s="40"/>
      <c r="C1929" s="41"/>
      <c r="D1929" s="42"/>
      <c r="E1929" s="43"/>
      <c r="F1929" s="44"/>
      <c r="G1929" s="1" t="str">
        <f>IFERROR(IF(ventas_b_mes684[[#This Row],[CUIT]]="","-",VLOOKUP(ventas_b_mes684[[#This Row],[CUIT]],Lista_CUIT[#All],2,0)),"CUIT NO CARGADO")</f>
        <v>-</v>
      </c>
      <c r="H1929" s="64"/>
      <c r="I1929" s="64">
        <f>ventas_b_mes684[[#This Row],[IMPORTE NETO]]*0.21</f>
        <v>0</v>
      </c>
      <c r="J1929" s="64"/>
      <c r="K1929" s="64"/>
      <c r="L1929" s="64">
        <f>SUM(ventas_b_mes684[[#This Row],[IMPORTE NETO]:[EXENTO]])</f>
        <v>0</v>
      </c>
      <c r="M1929" s="59"/>
    </row>
    <row r="1930" spans="2:13" x14ac:dyDescent="0.25">
      <c r="B1930" s="40"/>
      <c r="C1930" s="41"/>
      <c r="D1930" s="42"/>
      <c r="E1930" s="43"/>
      <c r="F1930" s="44"/>
      <c r="G1930" s="1" t="str">
        <f>IFERROR(IF(ventas_b_mes684[[#This Row],[CUIT]]="","-",VLOOKUP(ventas_b_mes684[[#This Row],[CUIT]],Lista_CUIT[#All],2,0)),"CUIT NO CARGADO")</f>
        <v>-</v>
      </c>
      <c r="H1930" s="64"/>
      <c r="I1930" s="64">
        <f>ventas_b_mes684[[#This Row],[IMPORTE NETO]]*0.21</f>
        <v>0</v>
      </c>
      <c r="J1930" s="64"/>
      <c r="K1930" s="64"/>
      <c r="L1930" s="64">
        <f>SUM(ventas_b_mes684[[#This Row],[IMPORTE NETO]:[EXENTO]])</f>
        <v>0</v>
      </c>
      <c r="M1930" s="59"/>
    </row>
    <row r="1931" spans="2:13" x14ac:dyDescent="0.25">
      <c r="B1931" s="40"/>
      <c r="C1931" s="41"/>
      <c r="D1931" s="42"/>
      <c r="E1931" s="43"/>
      <c r="F1931" s="44"/>
      <c r="G1931" s="1" t="str">
        <f>IFERROR(IF(ventas_b_mes684[[#This Row],[CUIT]]="","-",VLOOKUP(ventas_b_mes684[[#This Row],[CUIT]],Lista_CUIT[#All],2,0)),"CUIT NO CARGADO")</f>
        <v>-</v>
      </c>
      <c r="H1931" s="64"/>
      <c r="I1931" s="64">
        <f>ventas_b_mes684[[#This Row],[IMPORTE NETO]]*0.21</f>
        <v>0</v>
      </c>
      <c r="J1931" s="64"/>
      <c r="K1931" s="64"/>
      <c r="L1931" s="64">
        <f>SUM(ventas_b_mes684[[#This Row],[IMPORTE NETO]:[EXENTO]])</f>
        <v>0</v>
      </c>
      <c r="M1931" s="59"/>
    </row>
    <row r="1932" spans="2:13" x14ac:dyDescent="0.25">
      <c r="B1932" s="40"/>
      <c r="C1932" s="41"/>
      <c r="D1932" s="42"/>
      <c r="E1932" s="43"/>
      <c r="F1932" s="44"/>
      <c r="G1932" s="1" t="str">
        <f>IFERROR(IF(ventas_b_mes684[[#This Row],[CUIT]]="","-",VLOOKUP(ventas_b_mes684[[#This Row],[CUIT]],Lista_CUIT[#All],2,0)),"CUIT NO CARGADO")</f>
        <v>-</v>
      </c>
      <c r="H1932" s="64"/>
      <c r="I1932" s="64">
        <f>ventas_b_mes684[[#This Row],[IMPORTE NETO]]*0.21</f>
        <v>0</v>
      </c>
      <c r="J1932" s="64"/>
      <c r="K1932" s="64"/>
      <c r="L1932" s="64">
        <f>SUM(ventas_b_mes684[[#This Row],[IMPORTE NETO]:[EXENTO]])</f>
        <v>0</v>
      </c>
      <c r="M1932" s="59"/>
    </row>
    <row r="1933" spans="2:13" x14ac:dyDescent="0.25">
      <c r="B1933" s="40"/>
      <c r="C1933" s="41"/>
      <c r="D1933" s="42"/>
      <c r="E1933" s="43"/>
      <c r="F1933" s="44"/>
      <c r="G1933" s="1" t="str">
        <f>IFERROR(IF(ventas_b_mes684[[#This Row],[CUIT]]="","-",VLOOKUP(ventas_b_mes684[[#This Row],[CUIT]],Lista_CUIT[#All],2,0)),"CUIT NO CARGADO")</f>
        <v>-</v>
      </c>
      <c r="H1933" s="64"/>
      <c r="I1933" s="64">
        <f>ventas_b_mes684[[#This Row],[IMPORTE NETO]]*0.21</f>
        <v>0</v>
      </c>
      <c r="J1933" s="64"/>
      <c r="K1933" s="64"/>
      <c r="L1933" s="64">
        <f>SUM(ventas_b_mes684[[#This Row],[IMPORTE NETO]:[EXENTO]])</f>
        <v>0</v>
      </c>
      <c r="M1933" s="59"/>
    </row>
    <row r="1934" spans="2:13" x14ac:dyDescent="0.25">
      <c r="B1934" s="40"/>
      <c r="C1934" s="41"/>
      <c r="D1934" s="42"/>
      <c r="E1934" s="43"/>
      <c r="F1934" s="44"/>
      <c r="G1934" s="1" t="str">
        <f>IFERROR(IF(ventas_b_mes684[[#This Row],[CUIT]]="","-",VLOOKUP(ventas_b_mes684[[#This Row],[CUIT]],Lista_CUIT[#All],2,0)),"CUIT NO CARGADO")</f>
        <v>-</v>
      </c>
      <c r="H1934" s="64"/>
      <c r="I1934" s="64">
        <f>ventas_b_mes684[[#This Row],[IMPORTE NETO]]*0.21</f>
        <v>0</v>
      </c>
      <c r="J1934" s="64"/>
      <c r="K1934" s="64"/>
      <c r="L1934" s="64">
        <f>SUM(ventas_b_mes684[[#This Row],[IMPORTE NETO]:[EXENTO]])</f>
        <v>0</v>
      </c>
      <c r="M1934" s="59"/>
    </row>
    <row r="1935" spans="2:13" x14ac:dyDescent="0.25">
      <c r="B1935" s="40"/>
      <c r="C1935" s="41"/>
      <c r="D1935" s="42"/>
      <c r="E1935" s="43"/>
      <c r="F1935" s="44"/>
      <c r="G1935" s="1" t="str">
        <f>IFERROR(IF(ventas_b_mes684[[#This Row],[CUIT]]="","-",VLOOKUP(ventas_b_mes684[[#This Row],[CUIT]],Lista_CUIT[#All],2,0)),"CUIT NO CARGADO")</f>
        <v>-</v>
      </c>
      <c r="H1935" s="64"/>
      <c r="I1935" s="64">
        <f>ventas_b_mes684[[#This Row],[IMPORTE NETO]]*0.21</f>
        <v>0</v>
      </c>
      <c r="J1935" s="64"/>
      <c r="K1935" s="64"/>
      <c r="L1935" s="64">
        <f>SUM(ventas_b_mes684[[#This Row],[IMPORTE NETO]:[EXENTO]])</f>
        <v>0</v>
      </c>
      <c r="M1935" s="59"/>
    </row>
    <row r="1936" spans="2:13" x14ac:dyDescent="0.25">
      <c r="B1936" s="40"/>
      <c r="C1936" s="41"/>
      <c r="D1936" s="42"/>
      <c r="E1936" s="43"/>
      <c r="F1936" s="44"/>
      <c r="G1936" s="1" t="str">
        <f>IFERROR(IF(ventas_b_mes684[[#This Row],[CUIT]]="","-",VLOOKUP(ventas_b_mes684[[#This Row],[CUIT]],Lista_CUIT[#All],2,0)),"CUIT NO CARGADO")</f>
        <v>-</v>
      </c>
      <c r="H1936" s="64"/>
      <c r="I1936" s="64">
        <f>ventas_b_mes684[[#This Row],[IMPORTE NETO]]*0.21</f>
        <v>0</v>
      </c>
      <c r="J1936" s="64"/>
      <c r="K1936" s="64"/>
      <c r="L1936" s="64">
        <f>SUM(ventas_b_mes684[[#This Row],[IMPORTE NETO]:[EXENTO]])</f>
        <v>0</v>
      </c>
      <c r="M1936" s="59"/>
    </row>
    <row r="1937" spans="2:13" x14ac:dyDescent="0.25">
      <c r="B1937" s="40"/>
      <c r="C1937" s="41"/>
      <c r="D1937" s="42"/>
      <c r="E1937" s="43"/>
      <c r="F1937" s="44"/>
      <c r="G1937" s="1" t="str">
        <f>IFERROR(IF(ventas_b_mes684[[#This Row],[CUIT]]="","-",VLOOKUP(ventas_b_mes684[[#This Row],[CUIT]],Lista_CUIT[#All],2,0)),"CUIT NO CARGADO")</f>
        <v>-</v>
      </c>
      <c r="H1937" s="64"/>
      <c r="I1937" s="64">
        <f>ventas_b_mes684[[#This Row],[IMPORTE NETO]]*0.21</f>
        <v>0</v>
      </c>
      <c r="J1937" s="64"/>
      <c r="K1937" s="64"/>
      <c r="L1937" s="64">
        <f>SUM(ventas_b_mes684[[#This Row],[IMPORTE NETO]:[EXENTO]])</f>
        <v>0</v>
      </c>
      <c r="M1937" s="59"/>
    </row>
    <row r="1938" spans="2:13" x14ac:dyDescent="0.25">
      <c r="B1938" s="40"/>
      <c r="C1938" s="41"/>
      <c r="D1938" s="42"/>
      <c r="E1938" s="43"/>
      <c r="F1938" s="44"/>
      <c r="G1938" s="1" t="str">
        <f>IFERROR(IF(ventas_b_mes684[[#This Row],[CUIT]]="","-",VLOOKUP(ventas_b_mes684[[#This Row],[CUIT]],Lista_CUIT[#All],2,0)),"CUIT NO CARGADO")</f>
        <v>-</v>
      </c>
      <c r="H1938" s="64"/>
      <c r="I1938" s="64">
        <f>ventas_b_mes684[[#This Row],[IMPORTE NETO]]*0.21</f>
        <v>0</v>
      </c>
      <c r="J1938" s="64"/>
      <c r="K1938" s="64"/>
      <c r="L1938" s="64">
        <f>SUM(ventas_b_mes684[[#This Row],[IMPORTE NETO]:[EXENTO]])</f>
        <v>0</v>
      </c>
      <c r="M1938" s="59"/>
    </row>
    <row r="1939" spans="2:13" x14ac:dyDescent="0.25">
      <c r="B1939" s="40"/>
      <c r="C1939" s="41"/>
      <c r="D1939" s="42"/>
      <c r="E1939" s="43"/>
      <c r="F1939" s="44"/>
      <c r="G1939" s="1" t="str">
        <f>IFERROR(IF(ventas_b_mes684[[#This Row],[CUIT]]="","-",VLOOKUP(ventas_b_mes684[[#This Row],[CUIT]],Lista_CUIT[#All],2,0)),"CUIT NO CARGADO")</f>
        <v>-</v>
      </c>
      <c r="H1939" s="64"/>
      <c r="I1939" s="64">
        <f>ventas_b_mes684[[#This Row],[IMPORTE NETO]]*0.21</f>
        <v>0</v>
      </c>
      <c r="J1939" s="64"/>
      <c r="K1939" s="64"/>
      <c r="L1939" s="64">
        <f>SUM(ventas_b_mes684[[#This Row],[IMPORTE NETO]:[EXENTO]])</f>
        <v>0</v>
      </c>
      <c r="M1939" s="59"/>
    </row>
    <row r="1940" spans="2:13" x14ac:dyDescent="0.25">
      <c r="B1940" s="40"/>
      <c r="C1940" s="41"/>
      <c r="D1940" s="42"/>
      <c r="E1940" s="43"/>
      <c r="F1940" s="44"/>
      <c r="G1940" s="1" t="str">
        <f>IFERROR(IF(ventas_b_mes684[[#This Row],[CUIT]]="","-",VLOOKUP(ventas_b_mes684[[#This Row],[CUIT]],Lista_CUIT[#All],2,0)),"CUIT NO CARGADO")</f>
        <v>-</v>
      </c>
      <c r="H1940" s="64"/>
      <c r="I1940" s="64">
        <f>ventas_b_mes684[[#This Row],[IMPORTE NETO]]*0.21</f>
        <v>0</v>
      </c>
      <c r="J1940" s="64"/>
      <c r="K1940" s="64"/>
      <c r="L1940" s="64">
        <f>SUM(ventas_b_mes684[[#This Row],[IMPORTE NETO]:[EXENTO]])</f>
        <v>0</v>
      </c>
      <c r="M1940" s="59"/>
    </row>
    <row r="1941" spans="2:13" x14ac:dyDescent="0.25">
      <c r="B1941" s="40"/>
      <c r="C1941" s="41"/>
      <c r="D1941" s="42"/>
      <c r="E1941" s="43"/>
      <c r="F1941" s="44"/>
      <c r="G1941" s="1" t="str">
        <f>IFERROR(IF(ventas_b_mes684[[#This Row],[CUIT]]="","-",VLOOKUP(ventas_b_mes684[[#This Row],[CUIT]],Lista_CUIT[#All],2,0)),"CUIT NO CARGADO")</f>
        <v>-</v>
      </c>
      <c r="H1941" s="64"/>
      <c r="I1941" s="64">
        <f>ventas_b_mes684[[#This Row],[IMPORTE NETO]]*0.21</f>
        <v>0</v>
      </c>
      <c r="J1941" s="64"/>
      <c r="K1941" s="64"/>
      <c r="L1941" s="64">
        <f>SUM(ventas_b_mes684[[#This Row],[IMPORTE NETO]:[EXENTO]])</f>
        <v>0</v>
      </c>
      <c r="M1941" s="59"/>
    </row>
    <row r="1942" spans="2:13" x14ac:dyDescent="0.25">
      <c r="B1942" s="40"/>
      <c r="C1942" s="41"/>
      <c r="D1942" s="42"/>
      <c r="E1942" s="43"/>
      <c r="F1942" s="44"/>
      <c r="G1942" s="1" t="str">
        <f>IFERROR(IF(ventas_b_mes684[[#This Row],[CUIT]]="","-",VLOOKUP(ventas_b_mes684[[#This Row],[CUIT]],Lista_CUIT[#All],2,0)),"CUIT NO CARGADO")</f>
        <v>-</v>
      </c>
      <c r="H1942" s="64"/>
      <c r="I1942" s="64">
        <f>ventas_b_mes684[[#This Row],[IMPORTE NETO]]*0.21</f>
        <v>0</v>
      </c>
      <c r="J1942" s="64"/>
      <c r="K1942" s="64"/>
      <c r="L1942" s="64">
        <f>SUM(ventas_b_mes684[[#This Row],[IMPORTE NETO]:[EXENTO]])</f>
        <v>0</v>
      </c>
      <c r="M1942" s="59"/>
    </row>
    <row r="1943" spans="2:13" x14ac:dyDescent="0.25">
      <c r="B1943" s="40"/>
      <c r="C1943" s="41"/>
      <c r="D1943" s="42"/>
      <c r="E1943" s="43"/>
      <c r="F1943" s="44"/>
      <c r="G1943" s="1" t="str">
        <f>IFERROR(IF(ventas_b_mes684[[#This Row],[CUIT]]="","-",VLOOKUP(ventas_b_mes684[[#This Row],[CUIT]],Lista_CUIT[#All],2,0)),"CUIT NO CARGADO")</f>
        <v>-</v>
      </c>
      <c r="H1943" s="64"/>
      <c r="I1943" s="64">
        <f>ventas_b_mes684[[#This Row],[IMPORTE NETO]]*0.21</f>
        <v>0</v>
      </c>
      <c r="J1943" s="64"/>
      <c r="K1943" s="64"/>
      <c r="L1943" s="64">
        <f>SUM(ventas_b_mes684[[#This Row],[IMPORTE NETO]:[EXENTO]])</f>
        <v>0</v>
      </c>
      <c r="M1943" s="59"/>
    </row>
    <row r="1944" spans="2:13" x14ac:dyDescent="0.25">
      <c r="B1944" s="40"/>
      <c r="C1944" s="41"/>
      <c r="D1944" s="42"/>
      <c r="E1944" s="43"/>
      <c r="F1944" s="44"/>
      <c r="G1944" s="1" t="str">
        <f>IFERROR(IF(ventas_b_mes684[[#This Row],[CUIT]]="","-",VLOOKUP(ventas_b_mes684[[#This Row],[CUIT]],Lista_CUIT[#All],2,0)),"CUIT NO CARGADO")</f>
        <v>-</v>
      </c>
      <c r="H1944" s="64"/>
      <c r="I1944" s="64">
        <f>ventas_b_mes684[[#This Row],[IMPORTE NETO]]*0.21</f>
        <v>0</v>
      </c>
      <c r="J1944" s="64"/>
      <c r="K1944" s="64"/>
      <c r="L1944" s="64">
        <f>SUM(ventas_b_mes684[[#This Row],[IMPORTE NETO]:[EXENTO]])</f>
        <v>0</v>
      </c>
      <c r="M1944" s="59"/>
    </row>
    <row r="1945" spans="2:13" x14ac:dyDescent="0.25">
      <c r="B1945" s="40"/>
      <c r="C1945" s="41"/>
      <c r="D1945" s="42"/>
      <c r="E1945" s="43"/>
      <c r="F1945" s="44"/>
      <c r="G1945" s="1" t="str">
        <f>IFERROR(IF(ventas_b_mes684[[#This Row],[CUIT]]="","-",VLOOKUP(ventas_b_mes684[[#This Row],[CUIT]],Lista_CUIT[#All],2,0)),"CUIT NO CARGADO")</f>
        <v>-</v>
      </c>
      <c r="H1945" s="64"/>
      <c r="I1945" s="64">
        <f>ventas_b_mes684[[#This Row],[IMPORTE NETO]]*0.21</f>
        <v>0</v>
      </c>
      <c r="J1945" s="64"/>
      <c r="K1945" s="64"/>
      <c r="L1945" s="64">
        <f>SUM(ventas_b_mes684[[#This Row],[IMPORTE NETO]:[EXENTO]])</f>
        <v>0</v>
      </c>
      <c r="M1945" s="59"/>
    </row>
    <row r="1946" spans="2:13" x14ac:dyDescent="0.25">
      <c r="B1946" s="40"/>
      <c r="C1946" s="41"/>
      <c r="D1946" s="42"/>
      <c r="E1946" s="43"/>
      <c r="F1946" s="44"/>
      <c r="G1946" s="1" t="str">
        <f>IFERROR(IF(ventas_b_mes684[[#This Row],[CUIT]]="","-",VLOOKUP(ventas_b_mes684[[#This Row],[CUIT]],Lista_CUIT[#All],2,0)),"CUIT NO CARGADO")</f>
        <v>-</v>
      </c>
      <c r="H1946" s="64"/>
      <c r="I1946" s="64">
        <f>ventas_b_mes684[[#This Row],[IMPORTE NETO]]*0.21</f>
        <v>0</v>
      </c>
      <c r="J1946" s="64"/>
      <c r="K1946" s="64"/>
      <c r="L1946" s="64">
        <f>SUM(ventas_b_mes684[[#This Row],[IMPORTE NETO]:[EXENTO]])</f>
        <v>0</v>
      </c>
      <c r="M1946" s="59"/>
    </row>
    <row r="1947" spans="2:13" x14ac:dyDescent="0.25">
      <c r="B1947" s="40"/>
      <c r="C1947" s="41"/>
      <c r="D1947" s="42"/>
      <c r="E1947" s="43"/>
      <c r="F1947" s="44"/>
      <c r="G1947" s="1" t="str">
        <f>IFERROR(IF(ventas_b_mes684[[#This Row],[CUIT]]="","-",VLOOKUP(ventas_b_mes684[[#This Row],[CUIT]],Lista_CUIT[#All],2,0)),"CUIT NO CARGADO")</f>
        <v>-</v>
      </c>
      <c r="H1947" s="64"/>
      <c r="I1947" s="64">
        <f>ventas_b_mes684[[#This Row],[IMPORTE NETO]]*0.21</f>
        <v>0</v>
      </c>
      <c r="J1947" s="64"/>
      <c r="K1947" s="64"/>
      <c r="L1947" s="64">
        <f>SUM(ventas_b_mes684[[#This Row],[IMPORTE NETO]:[EXENTO]])</f>
        <v>0</v>
      </c>
      <c r="M1947" s="59"/>
    </row>
    <row r="1948" spans="2:13" x14ac:dyDescent="0.25">
      <c r="B1948" s="40"/>
      <c r="C1948" s="41"/>
      <c r="D1948" s="42"/>
      <c r="E1948" s="43"/>
      <c r="F1948" s="44"/>
      <c r="G1948" s="1" t="str">
        <f>IFERROR(IF(ventas_b_mes684[[#This Row],[CUIT]]="","-",VLOOKUP(ventas_b_mes684[[#This Row],[CUIT]],Lista_CUIT[#All],2,0)),"CUIT NO CARGADO")</f>
        <v>-</v>
      </c>
      <c r="H1948" s="64"/>
      <c r="I1948" s="64">
        <f>ventas_b_mes684[[#This Row],[IMPORTE NETO]]*0.21</f>
        <v>0</v>
      </c>
      <c r="J1948" s="64"/>
      <c r="K1948" s="64"/>
      <c r="L1948" s="64">
        <f>SUM(ventas_b_mes684[[#This Row],[IMPORTE NETO]:[EXENTO]])</f>
        <v>0</v>
      </c>
      <c r="M1948" s="59"/>
    </row>
    <row r="1949" spans="2:13" x14ac:dyDescent="0.25">
      <c r="B1949" s="40"/>
      <c r="C1949" s="41"/>
      <c r="D1949" s="42"/>
      <c r="E1949" s="43"/>
      <c r="F1949" s="44"/>
      <c r="G1949" s="1" t="str">
        <f>IFERROR(IF(ventas_b_mes684[[#This Row],[CUIT]]="","-",VLOOKUP(ventas_b_mes684[[#This Row],[CUIT]],Lista_CUIT[#All],2,0)),"CUIT NO CARGADO")</f>
        <v>-</v>
      </c>
      <c r="H1949" s="64"/>
      <c r="I1949" s="64">
        <f>ventas_b_mes684[[#This Row],[IMPORTE NETO]]*0.21</f>
        <v>0</v>
      </c>
      <c r="J1949" s="64"/>
      <c r="K1949" s="64"/>
      <c r="L1949" s="64">
        <f>SUM(ventas_b_mes684[[#This Row],[IMPORTE NETO]:[EXENTO]])</f>
        <v>0</v>
      </c>
      <c r="M1949" s="59"/>
    </row>
    <row r="1950" spans="2:13" x14ac:dyDescent="0.25">
      <c r="B1950" s="40"/>
      <c r="C1950" s="41"/>
      <c r="D1950" s="42"/>
      <c r="E1950" s="43"/>
      <c r="F1950" s="44"/>
      <c r="G1950" s="1" t="str">
        <f>IFERROR(IF(ventas_b_mes684[[#This Row],[CUIT]]="","-",VLOOKUP(ventas_b_mes684[[#This Row],[CUIT]],Lista_CUIT[#All],2,0)),"CUIT NO CARGADO")</f>
        <v>-</v>
      </c>
      <c r="H1950" s="64"/>
      <c r="I1950" s="64">
        <f>ventas_b_mes684[[#This Row],[IMPORTE NETO]]*0.21</f>
        <v>0</v>
      </c>
      <c r="J1950" s="64"/>
      <c r="K1950" s="64"/>
      <c r="L1950" s="64">
        <f>SUM(ventas_b_mes684[[#This Row],[IMPORTE NETO]:[EXENTO]])</f>
        <v>0</v>
      </c>
      <c r="M1950" s="59"/>
    </row>
    <row r="1951" spans="2:13" x14ac:dyDescent="0.25">
      <c r="B1951" s="40"/>
      <c r="C1951" s="41"/>
      <c r="D1951" s="42"/>
      <c r="E1951" s="43"/>
      <c r="F1951" s="44"/>
      <c r="G1951" s="1" t="str">
        <f>IFERROR(IF(ventas_b_mes684[[#This Row],[CUIT]]="","-",VLOOKUP(ventas_b_mes684[[#This Row],[CUIT]],Lista_CUIT[#All],2,0)),"CUIT NO CARGADO")</f>
        <v>-</v>
      </c>
      <c r="H1951" s="64"/>
      <c r="I1951" s="64">
        <f>ventas_b_mes684[[#This Row],[IMPORTE NETO]]*0.21</f>
        <v>0</v>
      </c>
      <c r="J1951" s="64"/>
      <c r="K1951" s="64"/>
      <c r="L1951" s="64">
        <f>SUM(ventas_b_mes684[[#This Row],[IMPORTE NETO]:[EXENTO]])</f>
        <v>0</v>
      </c>
      <c r="M1951" s="59"/>
    </row>
    <row r="1952" spans="2:13" x14ac:dyDescent="0.25">
      <c r="B1952" s="40"/>
      <c r="C1952" s="41"/>
      <c r="D1952" s="42"/>
      <c r="E1952" s="43"/>
      <c r="F1952" s="44"/>
      <c r="G1952" s="1" t="str">
        <f>IFERROR(IF(ventas_b_mes684[[#This Row],[CUIT]]="","-",VLOOKUP(ventas_b_mes684[[#This Row],[CUIT]],Lista_CUIT[#All],2,0)),"CUIT NO CARGADO")</f>
        <v>-</v>
      </c>
      <c r="H1952" s="64"/>
      <c r="I1952" s="64">
        <f>ventas_b_mes684[[#This Row],[IMPORTE NETO]]*0.21</f>
        <v>0</v>
      </c>
      <c r="J1952" s="64"/>
      <c r="K1952" s="64"/>
      <c r="L1952" s="64">
        <f>SUM(ventas_b_mes684[[#This Row],[IMPORTE NETO]:[EXENTO]])</f>
        <v>0</v>
      </c>
      <c r="M1952" s="59"/>
    </row>
    <row r="1953" spans="2:13" x14ac:dyDescent="0.25">
      <c r="B1953" s="40"/>
      <c r="C1953" s="41"/>
      <c r="D1953" s="42"/>
      <c r="E1953" s="43"/>
      <c r="F1953" s="44"/>
      <c r="G1953" s="1" t="str">
        <f>IFERROR(IF(ventas_b_mes684[[#This Row],[CUIT]]="","-",VLOOKUP(ventas_b_mes684[[#This Row],[CUIT]],Lista_CUIT[#All],2,0)),"CUIT NO CARGADO")</f>
        <v>-</v>
      </c>
      <c r="H1953" s="64"/>
      <c r="I1953" s="64">
        <f>ventas_b_mes684[[#This Row],[IMPORTE NETO]]*0.21</f>
        <v>0</v>
      </c>
      <c r="J1953" s="64"/>
      <c r="K1953" s="64"/>
      <c r="L1953" s="64">
        <f>SUM(ventas_b_mes684[[#This Row],[IMPORTE NETO]:[EXENTO]])</f>
        <v>0</v>
      </c>
      <c r="M1953" s="59"/>
    </row>
    <row r="1954" spans="2:13" x14ac:dyDescent="0.25">
      <c r="B1954" s="40"/>
      <c r="C1954" s="41"/>
      <c r="D1954" s="42"/>
      <c r="E1954" s="43"/>
      <c r="F1954" s="44"/>
      <c r="G1954" s="1" t="str">
        <f>IFERROR(IF(ventas_b_mes684[[#This Row],[CUIT]]="","-",VLOOKUP(ventas_b_mes684[[#This Row],[CUIT]],Lista_CUIT[#All],2,0)),"CUIT NO CARGADO")</f>
        <v>-</v>
      </c>
      <c r="H1954" s="64"/>
      <c r="I1954" s="64">
        <f>ventas_b_mes684[[#This Row],[IMPORTE NETO]]*0.21</f>
        <v>0</v>
      </c>
      <c r="J1954" s="64"/>
      <c r="K1954" s="64"/>
      <c r="L1954" s="64">
        <f>SUM(ventas_b_mes684[[#This Row],[IMPORTE NETO]:[EXENTO]])</f>
        <v>0</v>
      </c>
      <c r="M1954" s="59"/>
    </row>
    <row r="1955" spans="2:13" x14ac:dyDescent="0.25">
      <c r="B1955" s="40"/>
      <c r="C1955" s="41"/>
      <c r="D1955" s="42"/>
      <c r="E1955" s="43"/>
      <c r="F1955" s="44"/>
      <c r="G1955" s="1" t="str">
        <f>IFERROR(IF(ventas_b_mes684[[#This Row],[CUIT]]="","-",VLOOKUP(ventas_b_mes684[[#This Row],[CUIT]],Lista_CUIT[#All],2,0)),"CUIT NO CARGADO")</f>
        <v>-</v>
      </c>
      <c r="H1955" s="64"/>
      <c r="I1955" s="64">
        <f>ventas_b_mes684[[#This Row],[IMPORTE NETO]]*0.21</f>
        <v>0</v>
      </c>
      <c r="J1955" s="64"/>
      <c r="K1955" s="64"/>
      <c r="L1955" s="64">
        <f>SUM(ventas_b_mes684[[#This Row],[IMPORTE NETO]:[EXENTO]])</f>
        <v>0</v>
      </c>
      <c r="M1955" s="59"/>
    </row>
    <row r="1956" spans="2:13" x14ac:dyDescent="0.25">
      <c r="B1956" s="40"/>
      <c r="C1956" s="41"/>
      <c r="D1956" s="42"/>
      <c r="E1956" s="43"/>
      <c r="F1956" s="44"/>
      <c r="G1956" s="1" t="str">
        <f>IFERROR(IF(ventas_b_mes684[[#This Row],[CUIT]]="","-",VLOOKUP(ventas_b_mes684[[#This Row],[CUIT]],Lista_CUIT[#All],2,0)),"CUIT NO CARGADO")</f>
        <v>-</v>
      </c>
      <c r="H1956" s="64"/>
      <c r="I1956" s="64">
        <f>ventas_b_mes684[[#This Row],[IMPORTE NETO]]*0.21</f>
        <v>0</v>
      </c>
      <c r="J1956" s="64"/>
      <c r="K1956" s="64"/>
      <c r="L1956" s="64">
        <f>SUM(ventas_b_mes684[[#This Row],[IMPORTE NETO]:[EXENTO]])</f>
        <v>0</v>
      </c>
      <c r="M1956" s="59"/>
    </row>
    <row r="1957" spans="2:13" x14ac:dyDescent="0.25">
      <c r="B1957" s="40"/>
      <c r="C1957" s="41"/>
      <c r="D1957" s="42"/>
      <c r="E1957" s="43"/>
      <c r="F1957" s="44"/>
      <c r="G1957" s="1" t="str">
        <f>IFERROR(IF(ventas_b_mes684[[#This Row],[CUIT]]="","-",VLOOKUP(ventas_b_mes684[[#This Row],[CUIT]],Lista_CUIT[#All],2,0)),"CUIT NO CARGADO")</f>
        <v>-</v>
      </c>
      <c r="H1957" s="64"/>
      <c r="I1957" s="64">
        <f>ventas_b_mes684[[#This Row],[IMPORTE NETO]]*0.21</f>
        <v>0</v>
      </c>
      <c r="J1957" s="64"/>
      <c r="K1957" s="64"/>
      <c r="L1957" s="64">
        <f>SUM(ventas_b_mes684[[#This Row],[IMPORTE NETO]:[EXENTO]])</f>
        <v>0</v>
      </c>
      <c r="M1957" s="59"/>
    </row>
    <row r="1958" spans="2:13" x14ac:dyDescent="0.25">
      <c r="B1958" s="40"/>
      <c r="C1958" s="41"/>
      <c r="D1958" s="42"/>
      <c r="E1958" s="43"/>
      <c r="F1958" s="44"/>
      <c r="G1958" s="1" t="str">
        <f>IFERROR(IF(ventas_b_mes684[[#This Row],[CUIT]]="","-",VLOOKUP(ventas_b_mes684[[#This Row],[CUIT]],Lista_CUIT[#All],2,0)),"CUIT NO CARGADO")</f>
        <v>-</v>
      </c>
      <c r="H1958" s="64"/>
      <c r="I1958" s="64">
        <f>ventas_b_mes684[[#This Row],[IMPORTE NETO]]*0.21</f>
        <v>0</v>
      </c>
      <c r="J1958" s="64"/>
      <c r="K1958" s="64"/>
      <c r="L1958" s="64">
        <f>SUM(ventas_b_mes684[[#This Row],[IMPORTE NETO]:[EXENTO]])</f>
        <v>0</v>
      </c>
      <c r="M1958" s="59"/>
    </row>
    <row r="1959" spans="2:13" x14ac:dyDescent="0.25">
      <c r="B1959" s="40"/>
      <c r="C1959" s="41"/>
      <c r="D1959" s="42"/>
      <c r="E1959" s="43"/>
      <c r="F1959" s="44"/>
      <c r="G1959" s="1" t="str">
        <f>IFERROR(IF(ventas_b_mes684[[#This Row],[CUIT]]="","-",VLOOKUP(ventas_b_mes684[[#This Row],[CUIT]],Lista_CUIT[#All],2,0)),"CUIT NO CARGADO")</f>
        <v>-</v>
      </c>
      <c r="H1959" s="64"/>
      <c r="I1959" s="64">
        <f>ventas_b_mes684[[#This Row],[IMPORTE NETO]]*0.21</f>
        <v>0</v>
      </c>
      <c r="J1959" s="64"/>
      <c r="K1959" s="64"/>
      <c r="L1959" s="64">
        <f>SUM(ventas_b_mes684[[#This Row],[IMPORTE NETO]:[EXENTO]])</f>
        <v>0</v>
      </c>
      <c r="M1959" s="59"/>
    </row>
    <row r="1960" spans="2:13" x14ac:dyDescent="0.25">
      <c r="B1960" s="40"/>
      <c r="C1960" s="41"/>
      <c r="D1960" s="42"/>
      <c r="E1960" s="43"/>
      <c r="F1960" s="44"/>
      <c r="G1960" s="1" t="str">
        <f>IFERROR(IF(ventas_b_mes684[[#This Row],[CUIT]]="","-",VLOOKUP(ventas_b_mes684[[#This Row],[CUIT]],Lista_CUIT[#All],2,0)),"CUIT NO CARGADO")</f>
        <v>-</v>
      </c>
      <c r="H1960" s="64"/>
      <c r="I1960" s="64">
        <f>ventas_b_mes684[[#This Row],[IMPORTE NETO]]*0.21</f>
        <v>0</v>
      </c>
      <c r="J1960" s="64"/>
      <c r="K1960" s="64"/>
      <c r="L1960" s="64">
        <f>SUM(ventas_b_mes684[[#This Row],[IMPORTE NETO]:[EXENTO]])</f>
        <v>0</v>
      </c>
      <c r="M1960" s="59"/>
    </row>
    <row r="1961" spans="2:13" x14ac:dyDescent="0.25">
      <c r="B1961" s="40"/>
      <c r="C1961" s="41"/>
      <c r="D1961" s="42"/>
      <c r="E1961" s="43"/>
      <c r="F1961" s="44"/>
      <c r="G1961" s="1" t="str">
        <f>IFERROR(IF(ventas_b_mes684[[#This Row],[CUIT]]="","-",VLOOKUP(ventas_b_mes684[[#This Row],[CUIT]],Lista_CUIT[#All],2,0)),"CUIT NO CARGADO")</f>
        <v>-</v>
      </c>
      <c r="H1961" s="64"/>
      <c r="I1961" s="64">
        <f>ventas_b_mes684[[#This Row],[IMPORTE NETO]]*0.21</f>
        <v>0</v>
      </c>
      <c r="J1961" s="64"/>
      <c r="K1961" s="64"/>
      <c r="L1961" s="64">
        <f>SUM(ventas_b_mes684[[#This Row],[IMPORTE NETO]:[EXENTO]])</f>
        <v>0</v>
      </c>
      <c r="M1961" s="59"/>
    </row>
    <row r="1962" spans="2:13" x14ac:dyDescent="0.25">
      <c r="B1962" s="40"/>
      <c r="C1962" s="41"/>
      <c r="D1962" s="42"/>
      <c r="E1962" s="43"/>
      <c r="F1962" s="44"/>
      <c r="G1962" s="1" t="str">
        <f>IFERROR(IF(ventas_b_mes684[[#This Row],[CUIT]]="","-",VLOOKUP(ventas_b_mes684[[#This Row],[CUIT]],Lista_CUIT[#All],2,0)),"CUIT NO CARGADO")</f>
        <v>-</v>
      </c>
      <c r="H1962" s="64"/>
      <c r="I1962" s="64">
        <f>ventas_b_mes684[[#This Row],[IMPORTE NETO]]*0.21</f>
        <v>0</v>
      </c>
      <c r="J1962" s="64"/>
      <c r="K1962" s="64"/>
      <c r="L1962" s="64">
        <f>SUM(ventas_b_mes684[[#This Row],[IMPORTE NETO]:[EXENTO]])</f>
        <v>0</v>
      </c>
      <c r="M1962" s="59"/>
    </row>
    <row r="1963" spans="2:13" x14ac:dyDescent="0.25">
      <c r="B1963" s="40"/>
      <c r="C1963" s="41"/>
      <c r="D1963" s="42"/>
      <c r="E1963" s="43"/>
      <c r="F1963" s="44"/>
      <c r="G1963" s="1" t="str">
        <f>IFERROR(IF(ventas_b_mes684[[#This Row],[CUIT]]="","-",VLOOKUP(ventas_b_mes684[[#This Row],[CUIT]],Lista_CUIT[#All],2,0)),"CUIT NO CARGADO")</f>
        <v>-</v>
      </c>
      <c r="H1963" s="64"/>
      <c r="I1963" s="64">
        <f>ventas_b_mes684[[#This Row],[IMPORTE NETO]]*0.21</f>
        <v>0</v>
      </c>
      <c r="J1963" s="64"/>
      <c r="K1963" s="64"/>
      <c r="L1963" s="64">
        <f>SUM(ventas_b_mes684[[#This Row],[IMPORTE NETO]:[EXENTO]])</f>
        <v>0</v>
      </c>
      <c r="M1963" s="59"/>
    </row>
    <row r="1964" spans="2:13" x14ac:dyDescent="0.25">
      <c r="B1964" s="40"/>
      <c r="C1964" s="41"/>
      <c r="D1964" s="42"/>
      <c r="E1964" s="43"/>
      <c r="F1964" s="44"/>
      <c r="G1964" s="1" t="str">
        <f>IFERROR(IF(ventas_b_mes684[[#This Row],[CUIT]]="","-",VLOOKUP(ventas_b_mes684[[#This Row],[CUIT]],Lista_CUIT[#All],2,0)),"CUIT NO CARGADO")</f>
        <v>-</v>
      </c>
      <c r="H1964" s="64"/>
      <c r="I1964" s="64">
        <f>ventas_b_mes684[[#This Row],[IMPORTE NETO]]*0.21</f>
        <v>0</v>
      </c>
      <c r="J1964" s="64"/>
      <c r="K1964" s="64"/>
      <c r="L1964" s="64">
        <f>SUM(ventas_b_mes684[[#This Row],[IMPORTE NETO]:[EXENTO]])</f>
        <v>0</v>
      </c>
      <c r="M1964" s="59"/>
    </row>
    <row r="1965" spans="2:13" x14ac:dyDescent="0.25">
      <c r="B1965" s="40"/>
      <c r="C1965" s="41"/>
      <c r="D1965" s="42"/>
      <c r="E1965" s="43"/>
      <c r="F1965" s="44"/>
      <c r="G1965" s="1" t="str">
        <f>IFERROR(IF(ventas_b_mes684[[#This Row],[CUIT]]="","-",VLOOKUP(ventas_b_mes684[[#This Row],[CUIT]],Lista_CUIT[#All],2,0)),"CUIT NO CARGADO")</f>
        <v>-</v>
      </c>
      <c r="H1965" s="64"/>
      <c r="I1965" s="64">
        <f>ventas_b_mes684[[#This Row],[IMPORTE NETO]]*0.21</f>
        <v>0</v>
      </c>
      <c r="J1965" s="64"/>
      <c r="K1965" s="64"/>
      <c r="L1965" s="64">
        <f>SUM(ventas_b_mes684[[#This Row],[IMPORTE NETO]:[EXENTO]])</f>
        <v>0</v>
      </c>
      <c r="M1965" s="59"/>
    </row>
    <row r="1966" spans="2:13" x14ac:dyDescent="0.25">
      <c r="B1966" s="40"/>
      <c r="C1966" s="41"/>
      <c r="D1966" s="42"/>
      <c r="E1966" s="43"/>
      <c r="F1966" s="44"/>
      <c r="G1966" s="1" t="str">
        <f>IFERROR(IF(ventas_b_mes684[[#This Row],[CUIT]]="","-",VLOOKUP(ventas_b_mes684[[#This Row],[CUIT]],Lista_CUIT[#All],2,0)),"CUIT NO CARGADO")</f>
        <v>-</v>
      </c>
      <c r="H1966" s="64"/>
      <c r="I1966" s="64">
        <f>ventas_b_mes684[[#This Row],[IMPORTE NETO]]*0.21</f>
        <v>0</v>
      </c>
      <c r="J1966" s="64"/>
      <c r="K1966" s="64"/>
      <c r="L1966" s="64">
        <f>SUM(ventas_b_mes684[[#This Row],[IMPORTE NETO]:[EXENTO]])</f>
        <v>0</v>
      </c>
      <c r="M1966" s="59"/>
    </row>
    <row r="1967" spans="2:13" x14ac:dyDescent="0.25">
      <c r="B1967" s="40"/>
      <c r="C1967" s="41"/>
      <c r="D1967" s="42"/>
      <c r="E1967" s="43"/>
      <c r="F1967" s="44"/>
      <c r="G1967" s="1" t="str">
        <f>IFERROR(IF(ventas_b_mes684[[#This Row],[CUIT]]="","-",VLOOKUP(ventas_b_mes684[[#This Row],[CUIT]],Lista_CUIT[#All],2,0)),"CUIT NO CARGADO")</f>
        <v>-</v>
      </c>
      <c r="H1967" s="64"/>
      <c r="I1967" s="64">
        <f>ventas_b_mes684[[#This Row],[IMPORTE NETO]]*0.21</f>
        <v>0</v>
      </c>
      <c r="J1967" s="64"/>
      <c r="K1967" s="64"/>
      <c r="L1967" s="64">
        <f>SUM(ventas_b_mes684[[#This Row],[IMPORTE NETO]:[EXENTO]])</f>
        <v>0</v>
      </c>
      <c r="M1967" s="59"/>
    </row>
    <row r="1968" spans="2:13" x14ac:dyDescent="0.25">
      <c r="B1968" s="40"/>
      <c r="C1968" s="41"/>
      <c r="D1968" s="42"/>
      <c r="E1968" s="43"/>
      <c r="F1968" s="44"/>
      <c r="G1968" s="1" t="str">
        <f>IFERROR(IF(ventas_b_mes684[[#This Row],[CUIT]]="","-",VLOOKUP(ventas_b_mes684[[#This Row],[CUIT]],Lista_CUIT[#All],2,0)),"CUIT NO CARGADO")</f>
        <v>-</v>
      </c>
      <c r="H1968" s="64"/>
      <c r="I1968" s="64">
        <f>ventas_b_mes684[[#This Row],[IMPORTE NETO]]*0.21</f>
        <v>0</v>
      </c>
      <c r="J1968" s="64"/>
      <c r="K1968" s="64"/>
      <c r="L1968" s="64">
        <f>SUM(ventas_b_mes684[[#This Row],[IMPORTE NETO]:[EXENTO]])</f>
        <v>0</v>
      </c>
      <c r="M1968" s="59"/>
    </row>
    <row r="1969" spans="2:13" x14ac:dyDescent="0.25">
      <c r="B1969" s="40"/>
      <c r="C1969" s="41"/>
      <c r="D1969" s="42"/>
      <c r="E1969" s="43"/>
      <c r="F1969" s="44"/>
      <c r="G1969" s="1" t="str">
        <f>IFERROR(IF(ventas_b_mes684[[#This Row],[CUIT]]="","-",VLOOKUP(ventas_b_mes684[[#This Row],[CUIT]],Lista_CUIT[#All],2,0)),"CUIT NO CARGADO")</f>
        <v>-</v>
      </c>
      <c r="H1969" s="64"/>
      <c r="I1969" s="64">
        <f>ventas_b_mes684[[#This Row],[IMPORTE NETO]]*0.21</f>
        <v>0</v>
      </c>
      <c r="J1969" s="64"/>
      <c r="K1969" s="64"/>
      <c r="L1969" s="64">
        <f>SUM(ventas_b_mes684[[#This Row],[IMPORTE NETO]:[EXENTO]])</f>
        <v>0</v>
      </c>
      <c r="M1969" s="59"/>
    </row>
    <row r="1970" spans="2:13" x14ac:dyDescent="0.25">
      <c r="B1970" s="40"/>
      <c r="C1970" s="41"/>
      <c r="D1970" s="42"/>
      <c r="E1970" s="43"/>
      <c r="F1970" s="44"/>
      <c r="G1970" s="1" t="str">
        <f>IFERROR(IF(ventas_b_mes684[[#This Row],[CUIT]]="","-",VLOOKUP(ventas_b_mes684[[#This Row],[CUIT]],Lista_CUIT[#All],2,0)),"CUIT NO CARGADO")</f>
        <v>-</v>
      </c>
      <c r="H1970" s="64"/>
      <c r="I1970" s="64">
        <f>ventas_b_mes684[[#This Row],[IMPORTE NETO]]*0.21</f>
        <v>0</v>
      </c>
      <c r="J1970" s="64"/>
      <c r="K1970" s="64"/>
      <c r="L1970" s="64">
        <f>SUM(ventas_b_mes684[[#This Row],[IMPORTE NETO]:[EXENTO]])</f>
        <v>0</v>
      </c>
      <c r="M1970" s="59"/>
    </row>
    <row r="1971" spans="2:13" x14ac:dyDescent="0.25">
      <c r="B1971" s="40"/>
      <c r="C1971" s="41"/>
      <c r="D1971" s="42"/>
      <c r="E1971" s="43"/>
      <c r="F1971" s="44"/>
      <c r="G1971" s="1" t="str">
        <f>IFERROR(IF(ventas_b_mes684[[#This Row],[CUIT]]="","-",VLOOKUP(ventas_b_mes684[[#This Row],[CUIT]],Lista_CUIT[#All],2,0)),"CUIT NO CARGADO")</f>
        <v>-</v>
      </c>
      <c r="H1971" s="64"/>
      <c r="I1971" s="64">
        <f>ventas_b_mes684[[#This Row],[IMPORTE NETO]]*0.21</f>
        <v>0</v>
      </c>
      <c r="J1971" s="64"/>
      <c r="K1971" s="64"/>
      <c r="L1971" s="64">
        <f>SUM(ventas_b_mes684[[#This Row],[IMPORTE NETO]:[EXENTO]])</f>
        <v>0</v>
      </c>
      <c r="M1971" s="59"/>
    </row>
    <row r="1972" spans="2:13" x14ac:dyDescent="0.25">
      <c r="B1972" s="40"/>
      <c r="C1972" s="41"/>
      <c r="D1972" s="42"/>
      <c r="E1972" s="43"/>
      <c r="F1972" s="44"/>
      <c r="G1972" s="1" t="str">
        <f>IFERROR(IF(ventas_b_mes684[[#This Row],[CUIT]]="","-",VLOOKUP(ventas_b_mes684[[#This Row],[CUIT]],Lista_CUIT[#All],2,0)),"CUIT NO CARGADO")</f>
        <v>-</v>
      </c>
      <c r="H1972" s="64"/>
      <c r="I1972" s="64">
        <f>ventas_b_mes684[[#This Row],[IMPORTE NETO]]*0.21</f>
        <v>0</v>
      </c>
      <c r="J1972" s="64"/>
      <c r="K1972" s="64"/>
      <c r="L1972" s="64">
        <f>SUM(ventas_b_mes684[[#This Row],[IMPORTE NETO]:[EXENTO]])</f>
        <v>0</v>
      </c>
      <c r="M1972" s="59"/>
    </row>
    <row r="1973" spans="2:13" x14ac:dyDescent="0.25">
      <c r="B1973" s="40"/>
      <c r="C1973" s="41"/>
      <c r="D1973" s="42"/>
      <c r="E1973" s="43"/>
      <c r="F1973" s="44"/>
      <c r="G1973" s="1" t="str">
        <f>IFERROR(IF(ventas_b_mes684[[#This Row],[CUIT]]="","-",VLOOKUP(ventas_b_mes684[[#This Row],[CUIT]],Lista_CUIT[#All],2,0)),"CUIT NO CARGADO")</f>
        <v>-</v>
      </c>
      <c r="H1973" s="64"/>
      <c r="I1973" s="64">
        <f>ventas_b_mes684[[#This Row],[IMPORTE NETO]]*0.21</f>
        <v>0</v>
      </c>
      <c r="J1973" s="64"/>
      <c r="K1973" s="64"/>
      <c r="L1973" s="64">
        <f>SUM(ventas_b_mes684[[#This Row],[IMPORTE NETO]:[EXENTO]])</f>
        <v>0</v>
      </c>
      <c r="M1973" s="59"/>
    </row>
    <row r="1974" spans="2:13" x14ac:dyDescent="0.25">
      <c r="B1974" s="40"/>
      <c r="C1974" s="41"/>
      <c r="D1974" s="42"/>
      <c r="E1974" s="43"/>
      <c r="F1974" s="44"/>
      <c r="G1974" s="1" t="str">
        <f>IFERROR(IF(ventas_b_mes684[[#This Row],[CUIT]]="","-",VLOOKUP(ventas_b_mes684[[#This Row],[CUIT]],Lista_CUIT[#All],2,0)),"CUIT NO CARGADO")</f>
        <v>-</v>
      </c>
      <c r="H1974" s="64"/>
      <c r="I1974" s="64">
        <f>ventas_b_mes684[[#This Row],[IMPORTE NETO]]*0.21</f>
        <v>0</v>
      </c>
      <c r="J1974" s="64"/>
      <c r="K1974" s="64"/>
      <c r="L1974" s="64">
        <f>SUM(ventas_b_mes684[[#This Row],[IMPORTE NETO]:[EXENTO]])</f>
        <v>0</v>
      </c>
      <c r="M1974" s="59"/>
    </row>
    <row r="1975" spans="2:13" x14ac:dyDescent="0.25">
      <c r="B1975" s="40"/>
      <c r="C1975" s="41"/>
      <c r="D1975" s="42"/>
      <c r="E1975" s="43"/>
      <c r="F1975" s="44"/>
      <c r="G1975" s="1" t="str">
        <f>IFERROR(IF(ventas_b_mes684[[#This Row],[CUIT]]="","-",VLOOKUP(ventas_b_mes684[[#This Row],[CUIT]],Lista_CUIT[#All],2,0)),"CUIT NO CARGADO")</f>
        <v>-</v>
      </c>
      <c r="H1975" s="64"/>
      <c r="I1975" s="64">
        <f>ventas_b_mes684[[#This Row],[IMPORTE NETO]]*0.21</f>
        <v>0</v>
      </c>
      <c r="J1975" s="64"/>
      <c r="K1975" s="64"/>
      <c r="L1975" s="64">
        <f>SUM(ventas_b_mes684[[#This Row],[IMPORTE NETO]:[EXENTO]])</f>
        <v>0</v>
      </c>
      <c r="M1975" s="59"/>
    </row>
    <row r="1976" spans="2:13" x14ac:dyDescent="0.25">
      <c r="B1976" s="40"/>
      <c r="C1976" s="41"/>
      <c r="D1976" s="42"/>
      <c r="E1976" s="43"/>
      <c r="F1976" s="44"/>
      <c r="G1976" s="1" t="str">
        <f>IFERROR(IF(ventas_b_mes684[[#This Row],[CUIT]]="","-",VLOOKUP(ventas_b_mes684[[#This Row],[CUIT]],Lista_CUIT[#All],2,0)),"CUIT NO CARGADO")</f>
        <v>-</v>
      </c>
      <c r="H1976" s="64"/>
      <c r="I1976" s="64">
        <f>ventas_b_mes684[[#This Row],[IMPORTE NETO]]*0.21</f>
        <v>0</v>
      </c>
      <c r="J1976" s="64"/>
      <c r="K1976" s="64"/>
      <c r="L1976" s="64">
        <f>SUM(ventas_b_mes684[[#This Row],[IMPORTE NETO]:[EXENTO]])</f>
        <v>0</v>
      </c>
      <c r="M1976" s="59"/>
    </row>
    <row r="1977" spans="2:13" x14ac:dyDescent="0.25">
      <c r="B1977" s="40"/>
      <c r="C1977" s="41"/>
      <c r="D1977" s="42"/>
      <c r="E1977" s="43"/>
      <c r="F1977" s="44"/>
      <c r="G1977" s="1" t="str">
        <f>IFERROR(IF(ventas_b_mes684[[#This Row],[CUIT]]="","-",VLOOKUP(ventas_b_mes684[[#This Row],[CUIT]],Lista_CUIT[#All],2,0)),"CUIT NO CARGADO")</f>
        <v>-</v>
      </c>
      <c r="H1977" s="64"/>
      <c r="I1977" s="64">
        <f>ventas_b_mes684[[#This Row],[IMPORTE NETO]]*0.21</f>
        <v>0</v>
      </c>
      <c r="J1977" s="64"/>
      <c r="K1977" s="64"/>
      <c r="L1977" s="64">
        <f>SUM(ventas_b_mes684[[#This Row],[IMPORTE NETO]:[EXENTO]])</f>
        <v>0</v>
      </c>
      <c r="M1977" s="59"/>
    </row>
    <row r="1978" spans="2:13" x14ac:dyDescent="0.25">
      <c r="B1978" s="40"/>
      <c r="C1978" s="41"/>
      <c r="D1978" s="42"/>
      <c r="E1978" s="43"/>
      <c r="F1978" s="44"/>
      <c r="G1978" s="1" t="str">
        <f>IFERROR(IF(ventas_b_mes684[[#This Row],[CUIT]]="","-",VLOOKUP(ventas_b_mes684[[#This Row],[CUIT]],Lista_CUIT[#All],2,0)),"CUIT NO CARGADO")</f>
        <v>-</v>
      </c>
      <c r="H1978" s="64"/>
      <c r="I1978" s="64">
        <f>ventas_b_mes684[[#This Row],[IMPORTE NETO]]*0.21</f>
        <v>0</v>
      </c>
      <c r="J1978" s="64"/>
      <c r="K1978" s="64"/>
      <c r="L1978" s="64">
        <f>SUM(ventas_b_mes684[[#This Row],[IMPORTE NETO]:[EXENTO]])</f>
        <v>0</v>
      </c>
      <c r="M1978" s="59"/>
    </row>
    <row r="1979" spans="2:13" x14ac:dyDescent="0.25">
      <c r="B1979" s="40"/>
      <c r="C1979" s="41"/>
      <c r="D1979" s="42"/>
      <c r="E1979" s="43"/>
      <c r="F1979" s="44"/>
      <c r="G1979" s="1" t="str">
        <f>IFERROR(IF(ventas_b_mes684[[#This Row],[CUIT]]="","-",VLOOKUP(ventas_b_mes684[[#This Row],[CUIT]],Lista_CUIT[#All],2,0)),"CUIT NO CARGADO")</f>
        <v>-</v>
      </c>
      <c r="H1979" s="64"/>
      <c r="I1979" s="64">
        <f>ventas_b_mes684[[#This Row],[IMPORTE NETO]]*0.21</f>
        <v>0</v>
      </c>
      <c r="J1979" s="64"/>
      <c r="K1979" s="64"/>
      <c r="L1979" s="64">
        <f>SUM(ventas_b_mes684[[#This Row],[IMPORTE NETO]:[EXENTO]])</f>
        <v>0</v>
      </c>
      <c r="M1979" s="59"/>
    </row>
    <row r="1980" spans="2:13" x14ac:dyDescent="0.25">
      <c r="B1980" s="40"/>
      <c r="C1980" s="41"/>
      <c r="D1980" s="42"/>
      <c r="E1980" s="43"/>
      <c r="F1980" s="44"/>
      <c r="G1980" s="1" t="str">
        <f>IFERROR(IF(ventas_b_mes684[[#This Row],[CUIT]]="","-",VLOOKUP(ventas_b_mes684[[#This Row],[CUIT]],Lista_CUIT[#All],2,0)),"CUIT NO CARGADO")</f>
        <v>-</v>
      </c>
      <c r="H1980" s="64"/>
      <c r="I1980" s="64">
        <f>ventas_b_mes684[[#This Row],[IMPORTE NETO]]*0.21</f>
        <v>0</v>
      </c>
      <c r="J1980" s="64"/>
      <c r="K1980" s="64"/>
      <c r="L1980" s="64">
        <f>SUM(ventas_b_mes684[[#This Row],[IMPORTE NETO]:[EXENTO]])</f>
        <v>0</v>
      </c>
      <c r="M1980" s="59"/>
    </row>
    <row r="1981" spans="2:13" x14ac:dyDescent="0.25">
      <c r="B1981" s="40"/>
      <c r="C1981" s="41"/>
      <c r="D1981" s="42"/>
      <c r="E1981" s="43"/>
      <c r="F1981" s="44"/>
      <c r="G1981" s="1" t="str">
        <f>IFERROR(IF(ventas_b_mes684[[#This Row],[CUIT]]="","-",VLOOKUP(ventas_b_mes684[[#This Row],[CUIT]],Lista_CUIT[#All],2,0)),"CUIT NO CARGADO")</f>
        <v>-</v>
      </c>
      <c r="H1981" s="64"/>
      <c r="I1981" s="64">
        <f>ventas_b_mes684[[#This Row],[IMPORTE NETO]]*0.21</f>
        <v>0</v>
      </c>
      <c r="J1981" s="64"/>
      <c r="K1981" s="64"/>
      <c r="L1981" s="64">
        <f>SUM(ventas_b_mes684[[#This Row],[IMPORTE NETO]:[EXENTO]])</f>
        <v>0</v>
      </c>
      <c r="M1981" s="59"/>
    </row>
    <row r="1982" spans="2:13" x14ac:dyDescent="0.25">
      <c r="B1982" s="40"/>
      <c r="C1982" s="41"/>
      <c r="D1982" s="42"/>
      <c r="E1982" s="43"/>
      <c r="F1982" s="44"/>
      <c r="G1982" s="1" t="str">
        <f>IFERROR(IF(ventas_b_mes684[[#This Row],[CUIT]]="","-",VLOOKUP(ventas_b_mes684[[#This Row],[CUIT]],Lista_CUIT[#All],2,0)),"CUIT NO CARGADO")</f>
        <v>-</v>
      </c>
      <c r="H1982" s="64"/>
      <c r="I1982" s="64">
        <f>ventas_b_mes684[[#This Row],[IMPORTE NETO]]*0.21</f>
        <v>0</v>
      </c>
      <c r="J1982" s="64"/>
      <c r="K1982" s="64"/>
      <c r="L1982" s="64">
        <f>SUM(ventas_b_mes684[[#This Row],[IMPORTE NETO]:[EXENTO]])</f>
        <v>0</v>
      </c>
      <c r="M1982" s="59"/>
    </row>
    <row r="1983" spans="2:13" x14ac:dyDescent="0.25">
      <c r="B1983" s="40"/>
      <c r="C1983" s="41"/>
      <c r="D1983" s="42"/>
      <c r="E1983" s="43"/>
      <c r="F1983" s="44"/>
      <c r="G1983" s="1" t="str">
        <f>IFERROR(IF(ventas_b_mes684[[#This Row],[CUIT]]="","-",VLOOKUP(ventas_b_mes684[[#This Row],[CUIT]],Lista_CUIT[#All],2,0)),"CUIT NO CARGADO")</f>
        <v>-</v>
      </c>
      <c r="H1983" s="64"/>
      <c r="I1983" s="64">
        <f>ventas_b_mes684[[#This Row],[IMPORTE NETO]]*0.21</f>
        <v>0</v>
      </c>
      <c r="J1983" s="64"/>
      <c r="K1983" s="64"/>
      <c r="L1983" s="64">
        <f>SUM(ventas_b_mes684[[#This Row],[IMPORTE NETO]:[EXENTO]])</f>
        <v>0</v>
      </c>
      <c r="M1983" s="59"/>
    </row>
    <row r="1984" spans="2:13" x14ac:dyDescent="0.25">
      <c r="B1984" s="40"/>
      <c r="C1984" s="41"/>
      <c r="D1984" s="42"/>
      <c r="E1984" s="43"/>
      <c r="F1984" s="44"/>
      <c r="G1984" s="1" t="str">
        <f>IFERROR(IF(ventas_b_mes684[[#This Row],[CUIT]]="","-",VLOOKUP(ventas_b_mes684[[#This Row],[CUIT]],Lista_CUIT[#All],2,0)),"CUIT NO CARGADO")</f>
        <v>-</v>
      </c>
      <c r="H1984" s="64"/>
      <c r="I1984" s="64">
        <f>ventas_b_mes684[[#This Row],[IMPORTE NETO]]*0.21</f>
        <v>0</v>
      </c>
      <c r="J1984" s="64"/>
      <c r="K1984" s="64"/>
      <c r="L1984" s="64">
        <f>SUM(ventas_b_mes684[[#This Row],[IMPORTE NETO]:[EXENTO]])</f>
        <v>0</v>
      </c>
      <c r="M1984" s="59"/>
    </row>
    <row r="1985" spans="2:13" x14ac:dyDescent="0.25">
      <c r="B1985" s="40"/>
      <c r="C1985" s="41"/>
      <c r="D1985" s="42"/>
      <c r="E1985" s="43"/>
      <c r="F1985" s="44"/>
      <c r="G1985" s="1" t="str">
        <f>IFERROR(IF(ventas_b_mes684[[#This Row],[CUIT]]="","-",VLOOKUP(ventas_b_mes684[[#This Row],[CUIT]],Lista_CUIT[#All],2,0)),"CUIT NO CARGADO")</f>
        <v>-</v>
      </c>
      <c r="H1985" s="64"/>
      <c r="I1985" s="64">
        <f>ventas_b_mes684[[#This Row],[IMPORTE NETO]]*0.21</f>
        <v>0</v>
      </c>
      <c r="J1985" s="64"/>
      <c r="K1985" s="64"/>
      <c r="L1985" s="64">
        <f>SUM(ventas_b_mes684[[#This Row],[IMPORTE NETO]:[EXENTO]])</f>
        <v>0</v>
      </c>
      <c r="M1985" s="59"/>
    </row>
    <row r="1986" spans="2:13" x14ac:dyDescent="0.25">
      <c r="B1986" s="40"/>
      <c r="C1986" s="41"/>
      <c r="D1986" s="42"/>
      <c r="E1986" s="43"/>
      <c r="F1986" s="44"/>
      <c r="G1986" s="1" t="str">
        <f>IFERROR(IF(ventas_b_mes684[[#This Row],[CUIT]]="","-",VLOOKUP(ventas_b_mes684[[#This Row],[CUIT]],Lista_CUIT[#All],2,0)),"CUIT NO CARGADO")</f>
        <v>-</v>
      </c>
      <c r="H1986" s="64"/>
      <c r="I1986" s="64">
        <f>ventas_b_mes684[[#This Row],[IMPORTE NETO]]*0.21</f>
        <v>0</v>
      </c>
      <c r="J1986" s="64"/>
      <c r="K1986" s="64"/>
      <c r="L1986" s="64">
        <f>SUM(ventas_b_mes684[[#This Row],[IMPORTE NETO]:[EXENTO]])</f>
        <v>0</v>
      </c>
      <c r="M1986" s="59"/>
    </row>
    <row r="1987" spans="2:13" x14ac:dyDescent="0.25">
      <c r="B1987" s="40"/>
      <c r="C1987" s="41"/>
      <c r="D1987" s="42"/>
      <c r="E1987" s="43"/>
      <c r="F1987" s="44"/>
      <c r="G1987" s="1" t="str">
        <f>IFERROR(IF(ventas_b_mes684[[#This Row],[CUIT]]="","-",VLOOKUP(ventas_b_mes684[[#This Row],[CUIT]],Lista_CUIT[#All],2,0)),"CUIT NO CARGADO")</f>
        <v>-</v>
      </c>
      <c r="H1987" s="64"/>
      <c r="I1987" s="64">
        <f>ventas_b_mes684[[#This Row],[IMPORTE NETO]]*0.21</f>
        <v>0</v>
      </c>
      <c r="J1987" s="64"/>
      <c r="K1987" s="64"/>
      <c r="L1987" s="64">
        <f>SUM(ventas_b_mes684[[#This Row],[IMPORTE NETO]:[EXENTO]])</f>
        <v>0</v>
      </c>
      <c r="M1987" s="59"/>
    </row>
    <row r="1988" spans="2:13" x14ac:dyDescent="0.25">
      <c r="B1988" s="40"/>
      <c r="C1988" s="41"/>
      <c r="D1988" s="42"/>
      <c r="E1988" s="43"/>
      <c r="F1988" s="44"/>
      <c r="G1988" s="1" t="str">
        <f>IFERROR(IF(ventas_b_mes684[[#This Row],[CUIT]]="","-",VLOOKUP(ventas_b_mes684[[#This Row],[CUIT]],Lista_CUIT[#All],2,0)),"CUIT NO CARGADO")</f>
        <v>-</v>
      </c>
      <c r="H1988" s="64"/>
      <c r="I1988" s="64">
        <f>ventas_b_mes684[[#This Row],[IMPORTE NETO]]*0.21</f>
        <v>0</v>
      </c>
      <c r="J1988" s="64"/>
      <c r="K1988" s="64"/>
      <c r="L1988" s="64">
        <f>SUM(ventas_b_mes684[[#This Row],[IMPORTE NETO]:[EXENTO]])</f>
        <v>0</v>
      </c>
      <c r="M1988" s="59"/>
    </row>
    <row r="1989" spans="2:13" x14ac:dyDescent="0.25">
      <c r="B1989" s="40"/>
      <c r="C1989" s="41"/>
      <c r="D1989" s="42"/>
      <c r="E1989" s="43"/>
      <c r="F1989" s="44"/>
      <c r="G1989" s="1" t="str">
        <f>IFERROR(IF(ventas_b_mes684[[#This Row],[CUIT]]="","-",VLOOKUP(ventas_b_mes684[[#This Row],[CUIT]],Lista_CUIT[#All],2,0)),"CUIT NO CARGADO")</f>
        <v>-</v>
      </c>
      <c r="H1989" s="64"/>
      <c r="I1989" s="64">
        <f>ventas_b_mes684[[#This Row],[IMPORTE NETO]]*0.21</f>
        <v>0</v>
      </c>
      <c r="J1989" s="64"/>
      <c r="K1989" s="64"/>
      <c r="L1989" s="64">
        <f>SUM(ventas_b_mes684[[#This Row],[IMPORTE NETO]:[EXENTO]])</f>
        <v>0</v>
      </c>
      <c r="M1989" s="59"/>
    </row>
    <row r="1990" spans="2:13" x14ac:dyDescent="0.25">
      <c r="B1990" s="40"/>
      <c r="C1990" s="41"/>
      <c r="D1990" s="42"/>
      <c r="E1990" s="43"/>
      <c r="F1990" s="44"/>
      <c r="G1990" s="1" t="str">
        <f>IFERROR(IF(ventas_b_mes684[[#This Row],[CUIT]]="","-",VLOOKUP(ventas_b_mes684[[#This Row],[CUIT]],Lista_CUIT[#All],2,0)),"CUIT NO CARGADO")</f>
        <v>-</v>
      </c>
      <c r="H1990" s="64"/>
      <c r="I1990" s="64">
        <f>ventas_b_mes684[[#This Row],[IMPORTE NETO]]*0.21</f>
        <v>0</v>
      </c>
      <c r="J1990" s="64"/>
      <c r="K1990" s="64"/>
      <c r="L1990" s="64">
        <f>SUM(ventas_b_mes684[[#This Row],[IMPORTE NETO]:[EXENTO]])</f>
        <v>0</v>
      </c>
      <c r="M1990" s="59"/>
    </row>
    <row r="1991" spans="2:13" x14ac:dyDescent="0.25">
      <c r="B1991" s="40"/>
      <c r="C1991" s="41"/>
      <c r="D1991" s="42"/>
      <c r="E1991" s="43"/>
      <c r="F1991" s="44"/>
      <c r="G1991" s="1" t="str">
        <f>IFERROR(IF(ventas_b_mes684[[#This Row],[CUIT]]="","-",VLOOKUP(ventas_b_mes684[[#This Row],[CUIT]],Lista_CUIT[#All],2,0)),"CUIT NO CARGADO")</f>
        <v>-</v>
      </c>
      <c r="H1991" s="64"/>
      <c r="I1991" s="64">
        <f>ventas_b_mes684[[#This Row],[IMPORTE NETO]]*0.21</f>
        <v>0</v>
      </c>
      <c r="J1991" s="64"/>
      <c r="K1991" s="64"/>
      <c r="L1991" s="64">
        <f>SUM(ventas_b_mes684[[#This Row],[IMPORTE NETO]:[EXENTO]])</f>
        <v>0</v>
      </c>
      <c r="M1991" s="59"/>
    </row>
    <row r="1992" spans="2:13" x14ac:dyDescent="0.25">
      <c r="B1992" s="40"/>
      <c r="C1992" s="41"/>
      <c r="D1992" s="42"/>
      <c r="E1992" s="43"/>
      <c r="F1992" s="44"/>
      <c r="G1992" s="1" t="str">
        <f>IFERROR(IF(ventas_b_mes684[[#This Row],[CUIT]]="","-",VLOOKUP(ventas_b_mes684[[#This Row],[CUIT]],Lista_CUIT[#All],2,0)),"CUIT NO CARGADO")</f>
        <v>-</v>
      </c>
      <c r="H1992" s="64"/>
      <c r="I1992" s="64">
        <f>ventas_b_mes684[[#This Row],[IMPORTE NETO]]*0.21</f>
        <v>0</v>
      </c>
      <c r="J1992" s="64"/>
      <c r="K1992" s="64"/>
      <c r="L1992" s="64">
        <f>SUM(ventas_b_mes684[[#This Row],[IMPORTE NETO]:[EXENTO]])</f>
        <v>0</v>
      </c>
      <c r="M1992" s="59"/>
    </row>
    <row r="1993" spans="2:13" x14ac:dyDescent="0.25">
      <c r="B1993" s="40"/>
      <c r="C1993" s="41"/>
      <c r="D1993" s="42"/>
      <c r="E1993" s="43"/>
      <c r="F1993" s="44"/>
      <c r="G1993" s="1" t="str">
        <f>IFERROR(IF(ventas_b_mes684[[#This Row],[CUIT]]="","-",VLOOKUP(ventas_b_mes684[[#This Row],[CUIT]],Lista_CUIT[#All],2,0)),"CUIT NO CARGADO")</f>
        <v>-</v>
      </c>
      <c r="H1993" s="64"/>
      <c r="I1993" s="64">
        <f>ventas_b_mes684[[#This Row],[IMPORTE NETO]]*0.21</f>
        <v>0</v>
      </c>
      <c r="J1993" s="64"/>
      <c r="K1993" s="64"/>
      <c r="L1993" s="64">
        <f>SUM(ventas_b_mes684[[#This Row],[IMPORTE NETO]:[EXENTO]])</f>
        <v>0</v>
      </c>
      <c r="M1993" s="59"/>
    </row>
    <row r="1994" spans="2:13" x14ac:dyDescent="0.25">
      <c r="B1994" s="40"/>
      <c r="C1994" s="41"/>
      <c r="D1994" s="42"/>
      <c r="E1994" s="43"/>
      <c r="F1994" s="44"/>
      <c r="G1994" s="1" t="str">
        <f>IFERROR(IF(ventas_b_mes684[[#This Row],[CUIT]]="","-",VLOOKUP(ventas_b_mes684[[#This Row],[CUIT]],Lista_CUIT[#All],2,0)),"CUIT NO CARGADO")</f>
        <v>-</v>
      </c>
      <c r="H1994" s="64"/>
      <c r="I1994" s="64">
        <f>ventas_b_mes684[[#This Row],[IMPORTE NETO]]*0.21</f>
        <v>0</v>
      </c>
      <c r="J1994" s="64"/>
      <c r="K1994" s="64"/>
      <c r="L1994" s="64">
        <f>SUM(ventas_b_mes684[[#This Row],[IMPORTE NETO]:[EXENTO]])</f>
        <v>0</v>
      </c>
      <c r="M1994" s="59"/>
    </row>
    <row r="1995" spans="2:13" x14ac:dyDescent="0.25">
      <c r="B1995" s="40"/>
      <c r="C1995" s="41"/>
      <c r="D1995" s="42"/>
      <c r="E1995" s="43"/>
      <c r="F1995" s="44"/>
      <c r="G1995" s="1" t="str">
        <f>IFERROR(IF(ventas_b_mes684[[#This Row],[CUIT]]="","-",VLOOKUP(ventas_b_mes684[[#This Row],[CUIT]],Lista_CUIT[#All],2,0)),"CUIT NO CARGADO")</f>
        <v>-</v>
      </c>
      <c r="H1995" s="64"/>
      <c r="I1995" s="64">
        <f>ventas_b_mes684[[#This Row],[IMPORTE NETO]]*0.21</f>
        <v>0</v>
      </c>
      <c r="J1995" s="64"/>
      <c r="K1995" s="64"/>
      <c r="L1995" s="64">
        <f>SUM(ventas_b_mes684[[#This Row],[IMPORTE NETO]:[EXENTO]])</f>
        <v>0</v>
      </c>
      <c r="M1995" s="59"/>
    </row>
    <row r="1996" spans="2:13" x14ac:dyDescent="0.25">
      <c r="B1996" s="40"/>
      <c r="C1996" s="41"/>
      <c r="D1996" s="42"/>
      <c r="E1996" s="43"/>
      <c r="F1996" s="44"/>
      <c r="G1996" s="1" t="str">
        <f>IFERROR(IF(ventas_b_mes684[[#This Row],[CUIT]]="","-",VLOOKUP(ventas_b_mes684[[#This Row],[CUIT]],Lista_CUIT[#All],2,0)),"CUIT NO CARGADO")</f>
        <v>-</v>
      </c>
      <c r="H1996" s="64"/>
      <c r="I1996" s="64">
        <f>ventas_b_mes684[[#This Row],[IMPORTE NETO]]*0.21</f>
        <v>0</v>
      </c>
      <c r="J1996" s="64"/>
      <c r="K1996" s="64"/>
      <c r="L1996" s="64">
        <f>SUM(ventas_b_mes684[[#This Row],[IMPORTE NETO]:[EXENTO]])</f>
        <v>0</v>
      </c>
      <c r="M1996" s="59"/>
    </row>
    <row r="1997" spans="2:13" x14ac:dyDescent="0.25">
      <c r="B1997" s="40"/>
      <c r="C1997" s="41"/>
      <c r="D1997" s="42"/>
      <c r="E1997" s="43"/>
      <c r="F1997" s="44"/>
      <c r="G1997" s="1" t="str">
        <f>IFERROR(IF(ventas_b_mes684[[#This Row],[CUIT]]="","-",VLOOKUP(ventas_b_mes684[[#This Row],[CUIT]],Lista_CUIT[#All],2,0)),"CUIT NO CARGADO")</f>
        <v>-</v>
      </c>
      <c r="H1997" s="64"/>
      <c r="I1997" s="64">
        <f>ventas_b_mes684[[#This Row],[IMPORTE NETO]]*0.21</f>
        <v>0</v>
      </c>
      <c r="J1997" s="64"/>
      <c r="K1997" s="64"/>
      <c r="L1997" s="64">
        <f>SUM(ventas_b_mes684[[#This Row],[IMPORTE NETO]:[EXENTO]])</f>
        <v>0</v>
      </c>
      <c r="M1997" s="59"/>
    </row>
    <row r="1998" spans="2:13" x14ac:dyDescent="0.25">
      <c r="B1998" s="40"/>
      <c r="C1998" s="41"/>
      <c r="D1998" s="42"/>
      <c r="E1998" s="43"/>
      <c r="F1998" s="44"/>
      <c r="G1998" s="1" t="str">
        <f>IFERROR(IF(ventas_b_mes684[[#This Row],[CUIT]]="","-",VLOOKUP(ventas_b_mes684[[#This Row],[CUIT]],Lista_CUIT[#All],2,0)),"CUIT NO CARGADO")</f>
        <v>-</v>
      </c>
      <c r="H1998" s="64"/>
      <c r="I1998" s="64">
        <f>ventas_b_mes684[[#This Row],[IMPORTE NETO]]*0.21</f>
        <v>0</v>
      </c>
      <c r="J1998" s="64"/>
      <c r="K1998" s="64"/>
      <c r="L1998" s="64">
        <f>SUM(ventas_b_mes684[[#This Row],[IMPORTE NETO]:[EXENTO]])</f>
        <v>0</v>
      </c>
      <c r="M1998" s="59"/>
    </row>
    <row r="1999" spans="2:13" x14ac:dyDescent="0.25">
      <c r="B1999" s="40"/>
      <c r="C1999" s="41"/>
      <c r="D1999" s="42"/>
      <c r="E1999" s="43"/>
      <c r="F1999" s="44"/>
      <c r="G1999" s="1" t="str">
        <f>IFERROR(IF(ventas_b_mes684[[#This Row],[CUIT]]="","-",VLOOKUP(ventas_b_mes684[[#This Row],[CUIT]],Lista_CUIT[#All],2,0)),"CUIT NO CARGADO")</f>
        <v>-</v>
      </c>
      <c r="H1999" s="64"/>
      <c r="I1999" s="64">
        <f>ventas_b_mes684[[#This Row],[IMPORTE NETO]]*0.21</f>
        <v>0</v>
      </c>
      <c r="J1999" s="64"/>
      <c r="K1999" s="64"/>
      <c r="L1999" s="64">
        <f>SUM(ventas_b_mes684[[#This Row],[IMPORTE NETO]:[EXENTO]])</f>
        <v>0</v>
      </c>
      <c r="M1999" s="59"/>
    </row>
    <row r="2000" spans="2:13" x14ac:dyDescent="0.25">
      <c r="B2000" s="40"/>
      <c r="C2000" s="41"/>
      <c r="D2000" s="42"/>
      <c r="E2000" s="43"/>
      <c r="F2000" s="44"/>
      <c r="G2000" s="1" t="str">
        <f>IFERROR(IF(ventas_b_mes684[[#This Row],[CUIT]]="","-",VLOOKUP(ventas_b_mes684[[#This Row],[CUIT]],Lista_CUIT[#All],2,0)),"CUIT NO CARGADO")</f>
        <v>-</v>
      </c>
      <c r="H2000" s="64"/>
      <c r="I2000" s="64">
        <f>ventas_b_mes684[[#This Row],[IMPORTE NETO]]*0.21</f>
        <v>0</v>
      </c>
      <c r="J2000" s="64"/>
      <c r="K2000" s="64"/>
      <c r="L2000" s="64">
        <f>SUM(ventas_b_mes684[[#This Row],[IMPORTE NETO]:[EXENTO]])</f>
        <v>0</v>
      </c>
      <c r="M2000" s="59"/>
    </row>
    <row r="2001" spans="2:13" x14ac:dyDescent="0.25">
      <c r="B2001" s="40"/>
      <c r="C2001" s="41"/>
      <c r="D2001" s="42"/>
      <c r="E2001" s="43"/>
      <c r="F2001" s="44"/>
      <c r="G2001" s="1" t="str">
        <f>IFERROR(IF(ventas_b_mes684[[#This Row],[CUIT]]="","-",VLOOKUP(ventas_b_mes684[[#This Row],[CUIT]],Lista_CUIT[#All],2,0)),"CUIT NO CARGADO")</f>
        <v>-</v>
      </c>
      <c r="H2001" s="64"/>
      <c r="I2001" s="64">
        <f>ventas_b_mes684[[#This Row],[IMPORTE NETO]]*0.21</f>
        <v>0</v>
      </c>
      <c r="J2001" s="64"/>
      <c r="K2001" s="64"/>
      <c r="L2001" s="64">
        <f>SUM(ventas_b_mes684[[#This Row],[IMPORTE NETO]:[EXENTO]])</f>
        <v>0</v>
      </c>
      <c r="M2001" s="59"/>
    </row>
    <row r="2002" spans="2:13" x14ac:dyDescent="0.25">
      <c r="B2002" s="40"/>
      <c r="C2002" s="41"/>
      <c r="D2002" s="42"/>
      <c r="E2002" s="43"/>
      <c r="F2002" s="44"/>
      <c r="G2002" s="1" t="str">
        <f>IFERROR(IF(ventas_b_mes684[[#This Row],[CUIT]]="","-",VLOOKUP(ventas_b_mes684[[#This Row],[CUIT]],Lista_CUIT[#All],2,0)),"CUIT NO CARGADO")</f>
        <v>-</v>
      </c>
      <c r="H2002" s="64"/>
      <c r="I2002" s="64">
        <f>ventas_b_mes684[[#This Row],[IMPORTE NETO]]*0.21</f>
        <v>0</v>
      </c>
      <c r="J2002" s="64"/>
      <c r="K2002" s="64"/>
      <c r="L2002" s="64">
        <f>SUM(ventas_b_mes684[[#This Row],[IMPORTE NETO]:[EXENTO]])</f>
        <v>0</v>
      </c>
      <c r="M2002" s="59"/>
    </row>
    <row r="2003" spans="2:13" x14ac:dyDescent="0.25">
      <c r="B2003" s="40"/>
      <c r="C2003" s="41"/>
      <c r="D2003" s="42"/>
      <c r="E2003" s="43"/>
      <c r="F2003" s="44"/>
      <c r="G2003" s="1" t="str">
        <f>IFERROR(IF(ventas_b_mes684[[#This Row],[CUIT]]="","-",VLOOKUP(ventas_b_mes684[[#This Row],[CUIT]],Lista_CUIT[#All],2,0)),"CUIT NO CARGADO")</f>
        <v>-</v>
      </c>
      <c r="H2003" s="64"/>
      <c r="I2003" s="64">
        <f>ventas_b_mes684[[#This Row],[IMPORTE NETO]]*0.21</f>
        <v>0</v>
      </c>
      <c r="J2003" s="64"/>
      <c r="K2003" s="64"/>
      <c r="L2003" s="64">
        <f>SUM(ventas_b_mes684[[#This Row],[IMPORTE NETO]:[EXENTO]])</f>
        <v>0</v>
      </c>
      <c r="M2003" s="59"/>
    </row>
    <row r="2004" spans="2:13" x14ac:dyDescent="0.25">
      <c r="B2004" s="40"/>
      <c r="C2004" s="41"/>
      <c r="D2004" s="42"/>
      <c r="E2004" s="43"/>
      <c r="F2004" s="44"/>
      <c r="G2004" s="1" t="str">
        <f>IFERROR(IF(ventas_b_mes684[[#This Row],[CUIT]]="","-",VLOOKUP(ventas_b_mes684[[#This Row],[CUIT]],Lista_CUIT[#All],2,0)),"CUIT NO CARGADO")</f>
        <v>-</v>
      </c>
      <c r="H2004" s="64"/>
      <c r="I2004" s="64">
        <f>ventas_b_mes684[[#This Row],[IMPORTE NETO]]*0.21</f>
        <v>0</v>
      </c>
      <c r="J2004" s="64"/>
      <c r="K2004" s="64"/>
      <c r="L2004" s="64">
        <f>SUM(ventas_b_mes684[[#This Row],[IMPORTE NETO]:[EXENTO]])</f>
        <v>0</v>
      </c>
      <c r="M2004" s="59"/>
    </row>
    <row r="2005" spans="2:13" x14ac:dyDescent="0.25">
      <c r="B2005" s="40"/>
      <c r="C2005" s="41"/>
      <c r="D2005" s="42"/>
      <c r="E2005" s="43"/>
      <c r="F2005" s="44"/>
      <c r="G2005" s="1" t="str">
        <f>IFERROR(IF(ventas_b_mes684[[#This Row],[CUIT]]="","-",VLOOKUP(ventas_b_mes684[[#This Row],[CUIT]],Lista_CUIT[#All],2,0)),"CUIT NO CARGADO")</f>
        <v>-</v>
      </c>
      <c r="H2005" s="64"/>
      <c r="I2005" s="64">
        <f>ventas_b_mes684[[#This Row],[IMPORTE NETO]]*0.21</f>
        <v>0</v>
      </c>
      <c r="J2005" s="64"/>
      <c r="K2005" s="64"/>
      <c r="L2005" s="64">
        <f>SUM(ventas_b_mes684[[#This Row],[IMPORTE NETO]:[EXENTO]])</f>
        <v>0</v>
      </c>
      <c r="M2005" s="59"/>
    </row>
    <row r="2006" spans="2:13" x14ac:dyDescent="0.25">
      <c r="B2006" s="40"/>
      <c r="C2006" s="41"/>
      <c r="D2006" s="42"/>
      <c r="E2006" s="43"/>
      <c r="F2006" s="44"/>
      <c r="G2006" s="1" t="str">
        <f>IFERROR(IF(ventas_b_mes684[[#This Row],[CUIT]]="","-",VLOOKUP(ventas_b_mes684[[#This Row],[CUIT]],Lista_CUIT[#All],2,0)),"CUIT NO CARGADO")</f>
        <v>-</v>
      </c>
      <c r="H2006" s="64"/>
      <c r="I2006" s="64">
        <f>ventas_b_mes684[[#This Row],[IMPORTE NETO]]*0.21</f>
        <v>0</v>
      </c>
      <c r="J2006" s="64"/>
      <c r="K2006" s="64"/>
      <c r="L2006" s="64">
        <f>SUM(ventas_b_mes684[[#This Row],[IMPORTE NETO]:[EXENTO]])</f>
        <v>0</v>
      </c>
      <c r="M2006" s="59"/>
    </row>
    <row r="2007" spans="2:13" x14ac:dyDescent="0.25">
      <c r="B2007" s="40"/>
      <c r="C2007" s="41"/>
      <c r="D2007" s="42"/>
      <c r="E2007" s="43"/>
      <c r="F2007" s="44"/>
      <c r="G2007" s="1" t="str">
        <f>IFERROR(IF(ventas_b_mes684[[#This Row],[CUIT]]="","-",VLOOKUP(ventas_b_mes684[[#This Row],[CUIT]],Lista_CUIT[#All],2,0)),"CUIT NO CARGADO")</f>
        <v>-</v>
      </c>
      <c r="H2007" s="64"/>
      <c r="I2007" s="64">
        <f>ventas_b_mes684[[#This Row],[IMPORTE NETO]]*0.21</f>
        <v>0</v>
      </c>
      <c r="J2007" s="64"/>
      <c r="K2007" s="64"/>
      <c r="L2007" s="64">
        <f>SUM(ventas_b_mes684[[#This Row],[IMPORTE NETO]:[EXENTO]])</f>
        <v>0</v>
      </c>
      <c r="M2007" s="59"/>
    </row>
    <row r="2008" spans="2:13" x14ac:dyDescent="0.25">
      <c r="B2008" s="40"/>
      <c r="C2008" s="41"/>
      <c r="D2008" s="42"/>
      <c r="E2008" s="43"/>
      <c r="F2008" s="44"/>
      <c r="G2008" s="1" t="str">
        <f>IFERROR(IF(ventas_b_mes684[[#This Row],[CUIT]]="","-",VLOOKUP(ventas_b_mes684[[#This Row],[CUIT]],Lista_CUIT[#All],2,0)),"CUIT NO CARGADO")</f>
        <v>-</v>
      </c>
      <c r="H2008" s="64"/>
      <c r="I2008" s="64">
        <f>ventas_b_mes684[[#This Row],[IMPORTE NETO]]*0.21</f>
        <v>0</v>
      </c>
      <c r="J2008" s="64"/>
      <c r="K2008" s="64"/>
      <c r="L2008" s="64">
        <f>SUM(ventas_b_mes684[[#This Row],[IMPORTE NETO]:[EXENTO]])</f>
        <v>0</v>
      </c>
      <c r="M2008" s="59"/>
    </row>
    <row r="2009" spans="2:13" x14ac:dyDescent="0.25">
      <c r="B2009" s="40"/>
      <c r="C2009" s="41"/>
      <c r="D2009" s="42"/>
      <c r="E2009" s="43"/>
      <c r="F2009" s="44"/>
      <c r="G2009" s="1" t="str">
        <f>IFERROR(IF(ventas_b_mes684[[#This Row],[CUIT]]="","-",VLOOKUP(ventas_b_mes684[[#This Row],[CUIT]],Lista_CUIT[#All],2,0)),"CUIT NO CARGADO")</f>
        <v>-</v>
      </c>
      <c r="H2009" s="64"/>
      <c r="I2009" s="64">
        <f>ventas_b_mes684[[#This Row],[IMPORTE NETO]]*0.21</f>
        <v>0</v>
      </c>
      <c r="J2009" s="64"/>
      <c r="K2009" s="64"/>
      <c r="L2009" s="64">
        <f>SUM(ventas_b_mes684[[#This Row],[IMPORTE NETO]:[EXENTO]])</f>
        <v>0</v>
      </c>
      <c r="M2009" s="59"/>
    </row>
    <row r="2010" spans="2:13" x14ac:dyDescent="0.25">
      <c r="B2010" s="40"/>
      <c r="C2010" s="41"/>
      <c r="D2010" s="42"/>
      <c r="E2010" s="43"/>
      <c r="F2010" s="44"/>
      <c r="G2010" s="1" t="str">
        <f>IFERROR(IF(ventas_b_mes684[[#This Row],[CUIT]]="","-",VLOOKUP(ventas_b_mes684[[#This Row],[CUIT]],Lista_CUIT[#All],2,0)),"CUIT NO CARGADO")</f>
        <v>-</v>
      </c>
      <c r="H2010" s="64"/>
      <c r="I2010" s="64">
        <f>ventas_b_mes684[[#This Row],[IMPORTE NETO]]*0.21</f>
        <v>0</v>
      </c>
      <c r="J2010" s="64"/>
      <c r="K2010" s="64"/>
      <c r="L2010" s="64">
        <f>SUM(ventas_b_mes684[[#This Row],[IMPORTE NETO]:[EXENTO]])</f>
        <v>0</v>
      </c>
      <c r="M2010" s="59"/>
    </row>
    <row r="2011" spans="2:13" x14ac:dyDescent="0.25">
      <c r="B2011" s="40"/>
      <c r="C2011" s="41"/>
      <c r="D2011" s="42"/>
      <c r="E2011" s="43"/>
      <c r="F2011" s="44"/>
      <c r="G2011" s="1" t="str">
        <f>IFERROR(IF(ventas_b_mes684[[#This Row],[CUIT]]="","-",VLOOKUP(ventas_b_mes684[[#This Row],[CUIT]],Lista_CUIT[#All],2,0)),"CUIT NO CARGADO")</f>
        <v>-</v>
      </c>
      <c r="H2011" s="64"/>
      <c r="I2011" s="64">
        <f>ventas_b_mes684[[#This Row],[IMPORTE NETO]]*0.21</f>
        <v>0</v>
      </c>
      <c r="J2011" s="64"/>
      <c r="K2011" s="64"/>
      <c r="L2011" s="64">
        <f>SUM(ventas_b_mes684[[#This Row],[IMPORTE NETO]:[EXENTO]])</f>
        <v>0</v>
      </c>
      <c r="M2011" s="59"/>
    </row>
    <row r="2012" spans="2:13" x14ac:dyDescent="0.25">
      <c r="B2012" s="40"/>
      <c r="C2012" s="41"/>
      <c r="D2012" s="42"/>
      <c r="E2012" s="43"/>
      <c r="F2012" s="44"/>
      <c r="G2012" s="1" t="str">
        <f>IFERROR(IF(ventas_b_mes684[[#This Row],[CUIT]]="","-",VLOOKUP(ventas_b_mes684[[#This Row],[CUIT]],Lista_CUIT[#All],2,0)),"CUIT NO CARGADO")</f>
        <v>-</v>
      </c>
      <c r="H2012" s="64"/>
      <c r="I2012" s="64">
        <f>ventas_b_mes684[[#This Row],[IMPORTE NETO]]*0.21</f>
        <v>0</v>
      </c>
      <c r="J2012" s="64"/>
      <c r="K2012" s="64"/>
      <c r="L2012" s="64">
        <f>SUM(ventas_b_mes684[[#This Row],[IMPORTE NETO]:[EXENTO]])</f>
        <v>0</v>
      </c>
      <c r="M2012" s="59"/>
    </row>
    <row r="2013" spans="2:13" x14ac:dyDescent="0.25">
      <c r="B2013" s="40"/>
      <c r="C2013" s="41"/>
      <c r="D2013" s="42"/>
      <c r="E2013" s="43"/>
      <c r="F2013" s="44"/>
      <c r="G2013" s="1" t="str">
        <f>IFERROR(IF(ventas_b_mes684[[#This Row],[CUIT]]="","-",VLOOKUP(ventas_b_mes684[[#This Row],[CUIT]],Lista_CUIT[#All],2,0)),"CUIT NO CARGADO")</f>
        <v>-</v>
      </c>
      <c r="H2013" s="64"/>
      <c r="I2013" s="64">
        <f>ventas_b_mes684[[#This Row],[IMPORTE NETO]]*0.21</f>
        <v>0</v>
      </c>
      <c r="J2013" s="64"/>
      <c r="K2013" s="64"/>
      <c r="L2013" s="64">
        <f>SUM(ventas_b_mes684[[#This Row],[IMPORTE NETO]:[EXENTO]])</f>
        <v>0</v>
      </c>
      <c r="M2013" s="59"/>
    </row>
    <row r="2014" spans="2:13" x14ac:dyDescent="0.25">
      <c r="B2014" s="40"/>
      <c r="C2014" s="41"/>
      <c r="D2014" s="42"/>
      <c r="E2014" s="43"/>
      <c r="F2014" s="44"/>
      <c r="G2014" s="1" t="str">
        <f>IFERROR(IF(ventas_b_mes684[[#This Row],[CUIT]]="","-",VLOOKUP(ventas_b_mes684[[#This Row],[CUIT]],Lista_CUIT[#All],2,0)),"CUIT NO CARGADO")</f>
        <v>-</v>
      </c>
      <c r="H2014" s="64"/>
      <c r="I2014" s="64">
        <f>ventas_b_mes684[[#This Row],[IMPORTE NETO]]*0.21</f>
        <v>0</v>
      </c>
      <c r="J2014" s="64"/>
      <c r="K2014" s="64"/>
      <c r="L2014" s="64">
        <f>SUM(ventas_b_mes684[[#This Row],[IMPORTE NETO]:[EXENTO]])</f>
        <v>0</v>
      </c>
      <c r="M2014" s="59"/>
    </row>
    <row r="2015" spans="2:13" x14ac:dyDescent="0.25">
      <c r="B2015" s="40"/>
      <c r="C2015" s="41"/>
      <c r="D2015" s="42"/>
      <c r="E2015" s="43"/>
      <c r="F2015" s="44"/>
      <c r="G2015" s="1" t="str">
        <f>IFERROR(IF(ventas_b_mes684[[#This Row],[CUIT]]="","-",VLOOKUP(ventas_b_mes684[[#This Row],[CUIT]],Lista_CUIT[#All],2,0)),"CUIT NO CARGADO")</f>
        <v>-</v>
      </c>
      <c r="H2015" s="64"/>
      <c r="I2015" s="64">
        <f>ventas_b_mes684[[#This Row],[IMPORTE NETO]]*0.21</f>
        <v>0</v>
      </c>
      <c r="J2015" s="64"/>
      <c r="K2015" s="64"/>
      <c r="L2015" s="64">
        <f>SUM(ventas_b_mes684[[#This Row],[IMPORTE NETO]:[EXENTO]])</f>
        <v>0</v>
      </c>
      <c r="M2015" s="59"/>
    </row>
    <row r="2016" spans="2:13" x14ac:dyDescent="0.25">
      <c r="B2016" s="40"/>
      <c r="C2016" s="41"/>
      <c r="D2016" s="42"/>
      <c r="E2016" s="43"/>
      <c r="F2016" s="44"/>
      <c r="G2016" s="1" t="str">
        <f>IFERROR(IF(ventas_b_mes684[[#This Row],[CUIT]]="","-",VLOOKUP(ventas_b_mes684[[#This Row],[CUIT]],Lista_CUIT[#All],2,0)),"CUIT NO CARGADO")</f>
        <v>-</v>
      </c>
      <c r="H2016" s="64"/>
      <c r="I2016" s="64">
        <f>ventas_b_mes684[[#This Row],[IMPORTE NETO]]*0.21</f>
        <v>0</v>
      </c>
      <c r="J2016" s="64"/>
      <c r="K2016" s="64"/>
      <c r="L2016" s="64">
        <f>SUM(ventas_b_mes684[[#This Row],[IMPORTE NETO]:[EXENTO]])</f>
        <v>0</v>
      </c>
      <c r="M2016" s="59"/>
    </row>
    <row r="2017" spans="2:13" x14ac:dyDescent="0.25">
      <c r="B2017" s="40"/>
      <c r="C2017" s="41"/>
      <c r="D2017" s="42"/>
      <c r="E2017" s="43"/>
      <c r="F2017" s="44"/>
      <c r="G2017" s="1" t="str">
        <f>IFERROR(IF(ventas_b_mes684[[#This Row],[CUIT]]="","-",VLOOKUP(ventas_b_mes684[[#This Row],[CUIT]],Lista_CUIT[#All],2,0)),"CUIT NO CARGADO")</f>
        <v>-</v>
      </c>
      <c r="H2017" s="64"/>
      <c r="I2017" s="64">
        <f>ventas_b_mes684[[#This Row],[IMPORTE NETO]]*0.21</f>
        <v>0</v>
      </c>
      <c r="J2017" s="64"/>
      <c r="K2017" s="64"/>
      <c r="L2017" s="64">
        <f>SUM(ventas_b_mes684[[#This Row],[IMPORTE NETO]:[EXENTO]])</f>
        <v>0</v>
      </c>
      <c r="M2017" s="59"/>
    </row>
    <row r="2018" spans="2:13" x14ac:dyDescent="0.25">
      <c r="B2018" s="40"/>
      <c r="C2018" s="41"/>
      <c r="D2018" s="42"/>
      <c r="E2018" s="43"/>
      <c r="F2018" s="44"/>
      <c r="G2018" s="1" t="str">
        <f>IFERROR(IF(ventas_b_mes684[[#This Row],[CUIT]]="","-",VLOOKUP(ventas_b_mes684[[#This Row],[CUIT]],Lista_CUIT[#All],2,0)),"CUIT NO CARGADO")</f>
        <v>-</v>
      </c>
      <c r="H2018" s="64"/>
      <c r="I2018" s="64">
        <f>ventas_b_mes684[[#This Row],[IMPORTE NETO]]*0.21</f>
        <v>0</v>
      </c>
      <c r="J2018" s="64"/>
      <c r="K2018" s="64"/>
      <c r="L2018" s="64">
        <f>SUM(ventas_b_mes684[[#This Row],[IMPORTE NETO]:[EXENTO]])</f>
        <v>0</v>
      </c>
      <c r="M2018" s="59"/>
    </row>
    <row r="2019" spans="2:13" x14ac:dyDescent="0.25">
      <c r="B2019" s="40"/>
      <c r="C2019" s="41"/>
      <c r="D2019" s="42"/>
      <c r="E2019" s="43"/>
      <c r="F2019" s="44"/>
      <c r="G2019" s="1" t="str">
        <f>IFERROR(IF(ventas_b_mes684[[#This Row],[CUIT]]="","-",VLOOKUP(ventas_b_mes684[[#This Row],[CUIT]],Lista_CUIT[#All],2,0)),"CUIT NO CARGADO")</f>
        <v>-</v>
      </c>
      <c r="H2019" s="64"/>
      <c r="I2019" s="64">
        <f>ventas_b_mes684[[#This Row],[IMPORTE NETO]]*0.21</f>
        <v>0</v>
      </c>
      <c r="J2019" s="64"/>
      <c r="K2019" s="64"/>
      <c r="L2019" s="64">
        <f>SUM(ventas_b_mes684[[#This Row],[IMPORTE NETO]:[EXENTO]])</f>
        <v>0</v>
      </c>
      <c r="M2019" s="59"/>
    </row>
    <row r="2020" spans="2:13" x14ac:dyDescent="0.25">
      <c r="B2020" s="40"/>
      <c r="C2020" s="41"/>
      <c r="D2020" s="42"/>
      <c r="E2020" s="43"/>
      <c r="F2020" s="44"/>
      <c r="G2020" s="1" t="str">
        <f>IFERROR(IF(ventas_b_mes684[[#This Row],[CUIT]]="","-",VLOOKUP(ventas_b_mes684[[#This Row],[CUIT]],Lista_CUIT[#All],2,0)),"CUIT NO CARGADO")</f>
        <v>-</v>
      </c>
      <c r="H2020" s="64"/>
      <c r="I2020" s="64">
        <f>ventas_b_mes684[[#This Row],[IMPORTE NETO]]*0.21</f>
        <v>0</v>
      </c>
      <c r="J2020" s="64"/>
      <c r="K2020" s="64"/>
      <c r="L2020" s="64">
        <f>SUM(ventas_b_mes684[[#This Row],[IMPORTE NETO]:[EXENTO]])</f>
        <v>0</v>
      </c>
      <c r="M2020" s="59"/>
    </row>
    <row r="2021" spans="2:13" x14ac:dyDescent="0.25">
      <c r="B2021" s="40"/>
      <c r="C2021" s="41"/>
      <c r="D2021" s="42"/>
      <c r="E2021" s="43"/>
      <c r="F2021" s="44"/>
      <c r="G2021" s="1" t="str">
        <f>IFERROR(IF(ventas_b_mes684[[#This Row],[CUIT]]="","-",VLOOKUP(ventas_b_mes684[[#This Row],[CUIT]],Lista_CUIT[#All],2,0)),"CUIT NO CARGADO")</f>
        <v>-</v>
      </c>
      <c r="H2021" s="64"/>
      <c r="I2021" s="64">
        <f>ventas_b_mes684[[#This Row],[IMPORTE NETO]]*0.21</f>
        <v>0</v>
      </c>
      <c r="J2021" s="64"/>
      <c r="K2021" s="64"/>
      <c r="L2021" s="64">
        <f>SUM(ventas_b_mes684[[#This Row],[IMPORTE NETO]:[EXENTO]])</f>
        <v>0</v>
      </c>
      <c r="M2021" s="59"/>
    </row>
    <row r="2022" spans="2:13" x14ac:dyDescent="0.25">
      <c r="B2022" s="40"/>
      <c r="C2022" s="41"/>
      <c r="D2022" s="42"/>
      <c r="E2022" s="43"/>
      <c r="F2022" s="44"/>
      <c r="G2022" s="1" t="str">
        <f>IFERROR(IF(ventas_b_mes684[[#This Row],[CUIT]]="","-",VLOOKUP(ventas_b_mes684[[#This Row],[CUIT]],Lista_CUIT[#All],2,0)),"CUIT NO CARGADO")</f>
        <v>-</v>
      </c>
      <c r="H2022" s="64"/>
      <c r="I2022" s="64">
        <f>ventas_b_mes684[[#This Row],[IMPORTE NETO]]*0.21</f>
        <v>0</v>
      </c>
      <c r="J2022" s="64"/>
      <c r="K2022" s="64"/>
      <c r="L2022" s="64">
        <f>SUM(ventas_b_mes684[[#This Row],[IMPORTE NETO]:[EXENTO]])</f>
        <v>0</v>
      </c>
      <c r="M2022" s="59"/>
    </row>
    <row r="2023" spans="2:13" x14ac:dyDescent="0.25">
      <c r="B2023" s="40"/>
      <c r="C2023" s="41"/>
      <c r="D2023" s="42"/>
      <c r="E2023" s="43"/>
      <c r="F2023" s="44"/>
      <c r="G2023" s="1" t="str">
        <f>IFERROR(IF(ventas_b_mes684[[#This Row],[CUIT]]="","-",VLOOKUP(ventas_b_mes684[[#This Row],[CUIT]],Lista_CUIT[#All],2,0)),"CUIT NO CARGADO")</f>
        <v>-</v>
      </c>
      <c r="H2023" s="64"/>
      <c r="I2023" s="64">
        <f>ventas_b_mes684[[#This Row],[IMPORTE NETO]]*0.21</f>
        <v>0</v>
      </c>
      <c r="J2023" s="64"/>
      <c r="K2023" s="64"/>
      <c r="L2023" s="64">
        <f>SUM(ventas_b_mes684[[#This Row],[IMPORTE NETO]:[EXENTO]])</f>
        <v>0</v>
      </c>
      <c r="M2023" s="59"/>
    </row>
    <row r="2024" spans="2:13" x14ac:dyDescent="0.25">
      <c r="B2024" s="40"/>
      <c r="C2024" s="41"/>
      <c r="D2024" s="42"/>
      <c r="E2024" s="43"/>
      <c r="F2024" s="44"/>
      <c r="G2024" s="1" t="str">
        <f>IFERROR(IF(ventas_b_mes684[[#This Row],[CUIT]]="","-",VLOOKUP(ventas_b_mes684[[#This Row],[CUIT]],Lista_CUIT[#All],2,0)),"CUIT NO CARGADO")</f>
        <v>-</v>
      </c>
      <c r="H2024" s="64"/>
      <c r="I2024" s="64">
        <f>ventas_b_mes684[[#This Row],[IMPORTE NETO]]*0.21</f>
        <v>0</v>
      </c>
      <c r="J2024" s="64"/>
      <c r="K2024" s="64"/>
      <c r="L2024" s="64">
        <f>SUM(ventas_b_mes684[[#This Row],[IMPORTE NETO]:[EXENTO]])</f>
        <v>0</v>
      </c>
      <c r="M2024" s="59"/>
    </row>
    <row r="2025" spans="2:13" x14ac:dyDescent="0.25">
      <c r="B2025" s="40"/>
      <c r="C2025" s="41"/>
      <c r="D2025" s="42"/>
      <c r="E2025" s="43"/>
      <c r="F2025" s="44"/>
      <c r="G2025" s="1" t="str">
        <f>IFERROR(IF(ventas_b_mes684[[#This Row],[CUIT]]="","-",VLOOKUP(ventas_b_mes684[[#This Row],[CUIT]],Lista_CUIT[#All],2,0)),"CUIT NO CARGADO")</f>
        <v>-</v>
      </c>
      <c r="H2025" s="64"/>
      <c r="I2025" s="64">
        <f>ventas_b_mes684[[#This Row],[IMPORTE NETO]]*0.21</f>
        <v>0</v>
      </c>
      <c r="J2025" s="64"/>
      <c r="K2025" s="64"/>
      <c r="L2025" s="64">
        <f>SUM(ventas_b_mes684[[#This Row],[IMPORTE NETO]:[EXENTO]])</f>
        <v>0</v>
      </c>
      <c r="M2025" s="59"/>
    </row>
    <row r="2026" spans="2:13" x14ac:dyDescent="0.25">
      <c r="B2026" s="40"/>
      <c r="C2026" s="41"/>
      <c r="D2026" s="42"/>
      <c r="E2026" s="43"/>
      <c r="F2026" s="44"/>
      <c r="G2026" s="1" t="str">
        <f>IFERROR(IF(ventas_b_mes684[[#This Row],[CUIT]]="","-",VLOOKUP(ventas_b_mes684[[#This Row],[CUIT]],Lista_CUIT[#All],2,0)),"CUIT NO CARGADO")</f>
        <v>-</v>
      </c>
      <c r="H2026" s="64"/>
      <c r="I2026" s="64">
        <f>ventas_b_mes684[[#This Row],[IMPORTE NETO]]*0.21</f>
        <v>0</v>
      </c>
      <c r="J2026" s="64"/>
      <c r="K2026" s="64"/>
      <c r="L2026" s="64">
        <f>SUM(ventas_b_mes684[[#This Row],[IMPORTE NETO]:[EXENTO]])</f>
        <v>0</v>
      </c>
      <c r="M2026" s="59"/>
    </row>
    <row r="2027" spans="2:13" x14ac:dyDescent="0.25">
      <c r="B2027" s="40"/>
      <c r="C2027" s="41"/>
      <c r="D2027" s="42"/>
      <c r="E2027" s="43"/>
      <c r="F2027" s="44"/>
      <c r="G2027" s="1" t="str">
        <f>IFERROR(IF(ventas_b_mes684[[#This Row],[CUIT]]="","-",VLOOKUP(ventas_b_mes684[[#This Row],[CUIT]],Lista_CUIT[#All],2,0)),"CUIT NO CARGADO")</f>
        <v>-</v>
      </c>
      <c r="H2027" s="64"/>
      <c r="I2027" s="64">
        <f>ventas_b_mes684[[#This Row],[IMPORTE NETO]]*0.21</f>
        <v>0</v>
      </c>
      <c r="J2027" s="64"/>
      <c r="K2027" s="64"/>
      <c r="L2027" s="64">
        <f>SUM(ventas_b_mes684[[#This Row],[IMPORTE NETO]:[EXENTO]])</f>
        <v>0</v>
      </c>
      <c r="M2027" s="59"/>
    </row>
    <row r="2028" spans="2:13" x14ac:dyDescent="0.25">
      <c r="B2028" s="40"/>
      <c r="C2028" s="41"/>
      <c r="D2028" s="42"/>
      <c r="E2028" s="43"/>
      <c r="F2028" s="44"/>
      <c r="G2028" s="1" t="str">
        <f>IFERROR(IF(ventas_b_mes684[[#This Row],[CUIT]]="","-",VLOOKUP(ventas_b_mes684[[#This Row],[CUIT]],Lista_CUIT[#All],2,0)),"CUIT NO CARGADO")</f>
        <v>-</v>
      </c>
      <c r="H2028" s="64"/>
      <c r="I2028" s="64">
        <f>ventas_b_mes684[[#This Row],[IMPORTE NETO]]*0.21</f>
        <v>0</v>
      </c>
      <c r="J2028" s="64"/>
      <c r="K2028" s="64"/>
      <c r="L2028" s="64">
        <f>SUM(ventas_b_mes684[[#This Row],[IMPORTE NETO]:[EXENTO]])</f>
        <v>0</v>
      </c>
      <c r="M2028" s="59"/>
    </row>
    <row r="2029" spans="2:13" x14ac:dyDescent="0.25">
      <c r="B2029" s="40"/>
      <c r="C2029" s="41"/>
      <c r="D2029" s="42"/>
      <c r="E2029" s="43"/>
      <c r="F2029" s="44"/>
      <c r="G2029" s="1" t="str">
        <f>IFERROR(IF(ventas_b_mes684[[#This Row],[CUIT]]="","-",VLOOKUP(ventas_b_mes684[[#This Row],[CUIT]],Lista_CUIT[#All],2,0)),"CUIT NO CARGADO")</f>
        <v>-</v>
      </c>
      <c r="H2029" s="64"/>
      <c r="I2029" s="64">
        <f>ventas_b_mes684[[#This Row],[IMPORTE NETO]]*0.21</f>
        <v>0</v>
      </c>
      <c r="J2029" s="64"/>
      <c r="K2029" s="64"/>
      <c r="L2029" s="64">
        <f>SUM(ventas_b_mes684[[#This Row],[IMPORTE NETO]:[EXENTO]])</f>
        <v>0</v>
      </c>
      <c r="M2029" s="59"/>
    </row>
    <row r="2030" spans="2:13" x14ac:dyDescent="0.25">
      <c r="B2030" s="40"/>
      <c r="C2030" s="41"/>
      <c r="D2030" s="42"/>
      <c r="E2030" s="43"/>
      <c r="F2030" s="44"/>
      <c r="G2030" s="1" t="str">
        <f>IFERROR(IF(ventas_b_mes684[[#This Row],[CUIT]]="","-",VLOOKUP(ventas_b_mes684[[#This Row],[CUIT]],Lista_CUIT[#All],2,0)),"CUIT NO CARGADO")</f>
        <v>-</v>
      </c>
      <c r="H2030" s="64"/>
      <c r="I2030" s="64">
        <f>ventas_b_mes684[[#This Row],[IMPORTE NETO]]*0.21</f>
        <v>0</v>
      </c>
      <c r="J2030" s="64"/>
      <c r="K2030" s="64"/>
      <c r="L2030" s="64">
        <f>SUM(ventas_b_mes684[[#This Row],[IMPORTE NETO]:[EXENTO]])</f>
        <v>0</v>
      </c>
      <c r="M2030" s="59"/>
    </row>
    <row r="2031" spans="2:13" x14ac:dyDescent="0.25">
      <c r="B2031" s="40"/>
      <c r="C2031" s="41"/>
      <c r="D2031" s="42"/>
      <c r="E2031" s="43"/>
      <c r="F2031" s="44"/>
      <c r="G2031" s="1" t="str">
        <f>IFERROR(IF(ventas_b_mes684[[#This Row],[CUIT]]="","-",VLOOKUP(ventas_b_mes684[[#This Row],[CUIT]],Lista_CUIT[#All],2,0)),"CUIT NO CARGADO")</f>
        <v>-</v>
      </c>
      <c r="H2031" s="64"/>
      <c r="I2031" s="64">
        <f>ventas_b_mes684[[#This Row],[IMPORTE NETO]]*0.21</f>
        <v>0</v>
      </c>
      <c r="J2031" s="64"/>
      <c r="K2031" s="64"/>
      <c r="L2031" s="64">
        <f>SUM(ventas_b_mes684[[#This Row],[IMPORTE NETO]:[EXENTO]])</f>
        <v>0</v>
      </c>
      <c r="M2031" s="59"/>
    </row>
    <row r="2032" spans="2:13" x14ac:dyDescent="0.25">
      <c r="B2032" s="40"/>
      <c r="C2032" s="41"/>
      <c r="D2032" s="42"/>
      <c r="E2032" s="43"/>
      <c r="F2032" s="44"/>
      <c r="G2032" s="1" t="str">
        <f>IFERROR(IF(ventas_b_mes684[[#This Row],[CUIT]]="","-",VLOOKUP(ventas_b_mes684[[#This Row],[CUIT]],Lista_CUIT[#All],2,0)),"CUIT NO CARGADO")</f>
        <v>-</v>
      </c>
      <c r="H2032" s="64"/>
      <c r="I2032" s="64">
        <f>ventas_b_mes684[[#This Row],[IMPORTE NETO]]*0.21</f>
        <v>0</v>
      </c>
      <c r="J2032" s="64"/>
      <c r="K2032" s="64"/>
      <c r="L2032" s="64">
        <f>SUM(ventas_b_mes684[[#This Row],[IMPORTE NETO]:[EXENTO]])</f>
        <v>0</v>
      </c>
      <c r="M2032" s="59"/>
    </row>
    <row r="2033" spans="2:13" x14ac:dyDescent="0.25">
      <c r="B2033" s="40"/>
      <c r="C2033" s="41"/>
      <c r="D2033" s="42"/>
      <c r="E2033" s="43"/>
      <c r="F2033" s="44"/>
      <c r="G2033" s="1" t="str">
        <f>IFERROR(IF(ventas_b_mes684[[#This Row],[CUIT]]="","-",VLOOKUP(ventas_b_mes684[[#This Row],[CUIT]],Lista_CUIT[#All],2,0)),"CUIT NO CARGADO")</f>
        <v>-</v>
      </c>
      <c r="H2033" s="64"/>
      <c r="I2033" s="64">
        <f>ventas_b_mes684[[#This Row],[IMPORTE NETO]]*0.21</f>
        <v>0</v>
      </c>
      <c r="J2033" s="64"/>
      <c r="K2033" s="64"/>
      <c r="L2033" s="64">
        <f>SUM(ventas_b_mes684[[#This Row],[IMPORTE NETO]:[EXENTO]])</f>
        <v>0</v>
      </c>
      <c r="M2033" s="59"/>
    </row>
    <row r="2034" spans="2:13" x14ac:dyDescent="0.25">
      <c r="B2034" s="40"/>
      <c r="C2034" s="41"/>
      <c r="D2034" s="42"/>
      <c r="E2034" s="43"/>
      <c r="F2034" s="44"/>
      <c r="G2034" s="1" t="str">
        <f>IFERROR(IF(ventas_b_mes684[[#This Row],[CUIT]]="","-",VLOOKUP(ventas_b_mes684[[#This Row],[CUIT]],Lista_CUIT[#All],2,0)),"CUIT NO CARGADO")</f>
        <v>-</v>
      </c>
      <c r="H2034" s="64"/>
      <c r="I2034" s="64">
        <f>ventas_b_mes684[[#This Row],[IMPORTE NETO]]*0.21</f>
        <v>0</v>
      </c>
      <c r="J2034" s="64"/>
      <c r="K2034" s="64"/>
      <c r="L2034" s="64">
        <f>SUM(ventas_b_mes684[[#This Row],[IMPORTE NETO]:[EXENTO]])</f>
        <v>0</v>
      </c>
      <c r="M2034" s="59"/>
    </row>
    <row r="2035" spans="2:13" x14ac:dyDescent="0.25">
      <c r="B2035" s="40"/>
      <c r="C2035" s="41"/>
      <c r="D2035" s="42"/>
      <c r="E2035" s="43"/>
      <c r="F2035" s="44"/>
      <c r="G2035" s="1" t="str">
        <f>IFERROR(IF(ventas_b_mes684[[#This Row],[CUIT]]="","-",VLOOKUP(ventas_b_mes684[[#This Row],[CUIT]],Lista_CUIT[#All],2,0)),"CUIT NO CARGADO")</f>
        <v>-</v>
      </c>
      <c r="H2035" s="64"/>
      <c r="I2035" s="64">
        <f>ventas_b_mes684[[#This Row],[IMPORTE NETO]]*0.21</f>
        <v>0</v>
      </c>
      <c r="J2035" s="64"/>
      <c r="K2035" s="64"/>
      <c r="L2035" s="64">
        <f>SUM(ventas_b_mes684[[#This Row],[IMPORTE NETO]:[EXENTO]])</f>
        <v>0</v>
      </c>
      <c r="M2035" s="59"/>
    </row>
    <row r="2036" spans="2:13" x14ac:dyDescent="0.25">
      <c r="B2036" s="40"/>
      <c r="C2036" s="41"/>
      <c r="D2036" s="42"/>
      <c r="E2036" s="43"/>
      <c r="F2036" s="44"/>
      <c r="G2036" s="1" t="str">
        <f>IFERROR(IF(ventas_b_mes684[[#This Row],[CUIT]]="","-",VLOOKUP(ventas_b_mes684[[#This Row],[CUIT]],Lista_CUIT[#All],2,0)),"CUIT NO CARGADO")</f>
        <v>-</v>
      </c>
      <c r="H2036" s="64"/>
      <c r="I2036" s="64">
        <f>ventas_b_mes684[[#This Row],[IMPORTE NETO]]*0.21</f>
        <v>0</v>
      </c>
      <c r="J2036" s="64"/>
      <c r="K2036" s="64"/>
      <c r="L2036" s="64">
        <f>SUM(ventas_b_mes684[[#This Row],[IMPORTE NETO]:[EXENTO]])</f>
        <v>0</v>
      </c>
      <c r="M2036" s="59"/>
    </row>
    <row r="2037" spans="2:13" x14ac:dyDescent="0.25">
      <c r="B2037" s="40"/>
      <c r="C2037" s="41"/>
      <c r="D2037" s="42"/>
      <c r="E2037" s="43"/>
      <c r="F2037" s="44"/>
      <c r="G2037" s="1" t="str">
        <f>IFERROR(IF(ventas_b_mes684[[#This Row],[CUIT]]="","-",VLOOKUP(ventas_b_mes684[[#This Row],[CUIT]],Lista_CUIT[#All],2,0)),"CUIT NO CARGADO")</f>
        <v>-</v>
      </c>
      <c r="H2037" s="64"/>
      <c r="I2037" s="64">
        <f>ventas_b_mes684[[#This Row],[IMPORTE NETO]]*0.21</f>
        <v>0</v>
      </c>
      <c r="J2037" s="64"/>
      <c r="K2037" s="64"/>
      <c r="L2037" s="64">
        <f>SUM(ventas_b_mes684[[#This Row],[IMPORTE NETO]:[EXENTO]])</f>
        <v>0</v>
      </c>
      <c r="M2037" s="59"/>
    </row>
    <row r="2038" spans="2:13" x14ac:dyDescent="0.25">
      <c r="B2038" s="40"/>
      <c r="C2038" s="41"/>
      <c r="D2038" s="42"/>
      <c r="E2038" s="43"/>
      <c r="F2038" s="44"/>
      <c r="G2038" s="1" t="str">
        <f>IFERROR(IF(ventas_b_mes684[[#This Row],[CUIT]]="","-",VLOOKUP(ventas_b_mes684[[#This Row],[CUIT]],Lista_CUIT[#All],2,0)),"CUIT NO CARGADO")</f>
        <v>-</v>
      </c>
      <c r="H2038" s="64"/>
      <c r="I2038" s="64">
        <f>ventas_b_mes684[[#This Row],[IMPORTE NETO]]*0.21</f>
        <v>0</v>
      </c>
      <c r="J2038" s="64"/>
      <c r="K2038" s="64"/>
      <c r="L2038" s="64">
        <f>SUM(ventas_b_mes684[[#This Row],[IMPORTE NETO]:[EXENTO]])</f>
        <v>0</v>
      </c>
      <c r="M2038" s="59"/>
    </row>
    <row r="2039" spans="2:13" x14ac:dyDescent="0.25">
      <c r="B2039" s="40"/>
      <c r="C2039" s="41"/>
      <c r="D2039" s="42"/>
      <c r="E2039" s="43"/>
      <c r="F2039" s="44"/>
      <c r="G2039" s="1" t="str">
        <f>IFERROR(IF(ventas_b_mes684[[#This Row],[CUIT]]="","-",VLOOKUP(ventas_b_mes684[[#This Row],[CUIT]],Lista_CUIT[#All],2,0)),"CUIT NO CARGADO")</f>
        <v>-</v>
      </c>
      <c r="H2039" s="64"/>
      <c r="I2039" s="64">
        <f>ventas_b_mes684[[#This Row],[IMPORTE NETO]]*0.21</f>
        <v>0</v>
      </c>
      <c r="J2039" s="64"/>
      <c r="K2039" s="64"/>
      <c r="L2039" s="64">
        <f>SUM(ventas_b_mes684[[#This Row],[IMPORTE NETO]:[EXENTO]])</f>
        <v>0</v>
      </c>
      <c r="M2039" s="59"/>
    </row>
    <row r="2040" spans="2:13" x14ac:dyDescent="0.25">
      <c r="B2040" s="40"/>
      <c r="C2040" s="41"/>
      <c r="D2040" s="42"/>
      <c r="E2040" s="43"/>
      <c r="F2040" s="44"/>
      <c r="G2040" s="1" t="str">
        <f>IFERROR(IF(ventas_b_mes684[[#This Row],[CUIT]]="","-",VLOOKUP(ventas_b_mes684[[#This Row],[CUIT]],Lista_CUIT[#All],2,0)),"CUIT NO CARGADO")</f>
        <v>-</v>
      </c>
      <c r="H2040" s="64"/>
      <c r="I2040" s="64">
        <f>ventas_b_mes684[[#This Row],[IMPORTE NETO]]*0.21</f>
        <v>0</v>
      </c>
      <c r="J2040" s="64"/>
      <c r="K2040" s="64"/>
      <c r="L2040" s="64">
        <f>SUM(ventas_b_mes684[[#This Row],[IMPORTE NETO]:[EXENTO]])</f>
        <v>0</v>
      </c>
      <c r="M2040" s="59"/>
    </row>
    <row r="2041" spans="2:13" x14ac:dyDescent="0.25">
      <c r="B2041" s="40"/>
      <c r="C2041" s="41"/>
      <c r="D2041" s="42"/>
      <c r="E2041" s="43"/>
      <c r="F2041" s="44"/>
      <c r="G2041" s="1" t="str">
        <f>IFERROR(IF(ventas_b_mes684[[#This Row],[CUIT]]="","-",VLOOKUP(ventas_b_mes684[[#This Row],[CUIT]],Lista_CUIT[#All],2,0)),"CUIT NO CARGADO")</f>
        <v>-</v>
      </c>
      <c r="H2041" s="64"/>
      <c r="I2041" s="64">
        <f>ventas_b_mes684[[#This Row],[IMPORTE NETO]]*0.21</f>
        <v>0</v>
      </c>
      <c r="J2041" s="64"/>
      <c r="K2041" s="64"/>
      <c r="L2041" s="64">
        <f>SUM(ventas_b_mes684[[#This Row],[IMPORTE NETO]:[EXENTO]])</f>
        <v>0</v>
      </c>
      <c r="M2041" s="59"/>
    </row>
    <row r="2042" spans="2:13" x14ac:dyDescent="0.25">
      <c r="B2042" s="40"/>
      <c r="C2042" s="41"/>
      <c r="D2042" s="42"/>
      <c r="E2042" s="43"/>
      <c r="F2042" s="44"/>
      <c r="G2042" s="1" t="str">
        <f>IFERROR(IF(ventas_b_mes684[[#This Row],[CUIT]]="","-",VLOOKUP(ventas_b_mes684[[#This Row],[CUIT]],Lista_CUIT[#All],2,0)),"CUIT NO CARGADO")</f>
        <v>-</v>
      </c>
      <c r="H2042" s="64"/>
      <c r="I2042" s="64">
        <f>ventas_b_mes684[[#This Row],[IMPORTE NETO]]*0.21</f>
        <v>0</v>
      </c>
      <c r="J2042" s="64"/>
      <c r="K2042" s="64"/>
      <c r="L2042" s="64">
        <f>SUM(ventas_b_mes684[[#This Row],[IMPORTE NETO]:[EXENTO]])</f>
        <v>0</v>
      </c>
      <c r="M2042" s="59"/>
    </row>
    <row r="2043" spans="2:13" x14ac:dyDescent="0.25">
      <c r="B2043" s="40"/>
      <c r="C2043" s="41"/>
      <c r="D2043" s="42"/>
      <c r="E2043" s="43"/>
      <c r="F2043" s="44"/>
      <c r="G2043" s="1" t="str">
        <f>IFERROR(IF(ventas_b_mes684[[#This Row],[CUIT]]="","-",VLOOKUP(ventas_b_mes684[[#This Row],[CUIT]],Lista_CUIT[#All],2,0)),"CUIT NO CARGADO")</f>
        <v>-</v>
      </c>
      <c r="H2043" s="64"/>
      <c r="I2043" s="64">
        <f>ventas_b_mes684[[#This Row],[IMPORTE NETO]]*0.21</f>
        <v>0</v>
      </c>
      <c r="J2043" s="64"/>
      <c r="K2043" s="64"/>
      <c r="L2043" s="64">
        <f>SUM(ventas_b_mes684[[#This Row],[IMPORTE NETO]:[EXENTO]])</f>
        <v>0</v>
      </c>
      <c r="M2043" s="59"/>
    </row>
    <row r="2044" spans="2:13" x14ac:dyDescent="0.25">
      <c r="B2044" s="40"/>
      <c r="C2044" s="41"/>
      <c r="D2044" s="42"/>
      <c r="E2044" s="43"/>
      <c r="F2044" s="44"/>
      <c r="G2044" s="1" t="str">
        <f>IFERROR(IF(ventas_b_mes684[[#This Row],[CUIT]]="","-",VLOOKUP(ventas_b_mes684[[#This Row],[CUIT]],Lista_CUIT[#All],2,0)),"CUIT NO CARGADO")</f>
        <v>-</v>
      </c>
      <c r="H2044" s="64"/>
      <c r="I2044" s="64">
        <f>ventas_b_mes684[[#This Row],[IMPORTE NETO]]*0.21</f>
        <v>0</v>
      </c>
      <c r="J2044" s="64"/>
      <c r="K2044" s="64"/>
      <c r="L2044" s="64">
        <f>SUM(ventas_b_mes684[[#This Row],[IMPORTE NETO]:[EXENTO]])</f>
        <v>0</v>
      </c>
      <c r="M2044" s="59"/>
    </row>
    <row r="2045" spans="2:13" x14ac:dyDescent="0.25">
      <c r="B2045" s="40"/>
      <c r="C2045" s="41"/>
      <c r="D2045" s="42"/>
      <c r="E2045" s="43"/>
      <c r="F2045" s="44"/>
      <c r="G2045" s="1" t="str">
        <f>IFERROR(IF(ventas_b_mes684[[#This Row],[CUIT]]="","-",VLOOKUP(ventas_b_mes684[[#This Row],[CUIT]],Lista_CUIT[#All],2,0)),"CUIT NO CARGADO")</f>
        <v>-</v>
      </c>
      <c r="H2045" s="64"/>
      <c r="I2045" s="64">
        <f>ventas_b_mes684[[#This Row],[IMPORTE NETO]]*0.21</f>
        <v>0</v>
      </c>
      <c r="J2045" s="64"/>
      <c r="K2045" s="64"/>
      <c r="L2045" s="64">
        <f>SUM(ventas_b_mes684[[#This Row],[IMPORTE NETO]:[EXENTO]])</f>
        <v>0</v>
      </c>
      <c r="M2045" s="59"/>
    </row>
    <row r="2046" spans="2:13" x14ac:dyDescent="0.25">
      <c r="B2046" s="40"/>
      <c r="C2046" s="41"/>
      <c r="D2046" s="42"/>
      <c r="E2046" s="43"/>
      <c r="F2046" s="44"/>
      <c r="G2046" s="1" t="str">
        <f>IFERROR(IF(ventas_b_mes684[[#This Row],[CUIT]]="","-",VLOOKUP(ventas_b_mes684[[#This Row],[CUIT]],Lista_CUIT[#All],2,0)),"CUIT NO CARGADO")</f>
        <v>-</v>
      </c>
      <c r="H2046" s="64"/>
      <c r="I2046" s="64">
        <f>ventas_b_mes684[[#This Row],[IMPORTE NETO]]*0.21</f>
        <v>0</v>
      </c>
      <c r="J2046" s="64"/>
      <c r="K2046" s="64"/>
      <c r="L2046" s="64">
        <f>SUM(ventas_b_mes684[[#This Row],[IMPORTE NETO]:[EXENTO]])</f>
        <v>0</v>
      </c>
      <c r="M2046" s="59"/>
    </row>
    <row r="2047" spans="2:13" x14ac:dyDescent="0.25">
      <c r="B2047" s="40"/>
      <c r="C2047" s="41"/>
      <c r="D2047" s="42"/>
      <c r="E2047" s="43"/>
      <c r="F2047" s="44"/>
      <c r="G2047" s="1" t="str">
        <f>IFERROR(IF(ventas_b_mes684[[#This Row],[CUIT]]="","-",VLOOKUP(ventas_b_mes684[[#This Row],[CUIT]],Lista_CUIT[#All],2,0)),"CUIT NO CARGADO")</f>
        <v>-</v>
      </c>
      <c r="H2047" s="64"/>
      <c r="I2047" s="64">
        <f>ventas_b_mes684[[#This Row],[IMPORTE NETO]]*0.21</f>
        <v>0</v>
      </c>
      <c r="J2047" s="64"/>
      <c r="K2047" s="64"/>
      <c r="L2047" s="64">
        <f>SUM(ventas_b_mes684[[#This Row],[IMPORTE NETO]:[EXENTO]])</f>
        <v>0</v>
      </c>
      <c r="M2047" s="59"/>
    </row>
    <row r="2048" spans="2:13" x14ac:dyDescent="0.25">
      <c r="B2048" s="40"/>
      <c r="C2048" s="41"/>
      <c r="D2048" s="42"/>
      <c r="E2048" s="43"/>
      <c r="F2048" s="44"/>
      <c r="G2048" s="1" t="str">
        <f>IFERROR(IF(ventas_b_mes684[[#This Row],[CUIT]]="","-",VLOOKUP(ventas_b_mes684[[#This Row],[CUIT]],Lista_CUIT[#All],2,0)),"CUIT NO CARGADO")</f>
        <v>-</v>
      </c>
      <c r="H2048" s="64"/>
      <c r="I2048" s="64">
        <f>ventas_b_mes684[[#This Row],[IMPORTE NETO]]*0.21</f>
        <v>0</v>
      </c>
      <c r="J2048" s="64"/>
      <c r="K2048" s="64"/>
      <c r="L2048" s="64">
        <f>SUM(ventas_b_mes684[[#This Row],[IMPORTE NETO]:[EXENTO]])</f>
        <v>0</v>
      </c>
      <c r="M2048" s="59"/>
    </row>
    <row r="2049" spans="2:13" x14ac:dyDescent="0.25">
      <c r="B2049" s="40"/>
      <c r="C2049" s="41"/>
      <c r="D2049" s="42"/>
      <c r="E2049" s="43"/>
      <c r="F2049" s="44"/>
      <c r="G2049" s="1" t="str">
        <f>IFERROR(IF(ventas_b_mes684[[#This Row],[CUIT]]="","-",VLOOKUP(ventas_b_mes684[[#This Row],[CUIT]],Lista_CUIT[#All],2,0)),"CUIT NO CARGADO")</f>
        <v>-</v>
      </c>
      <c r="H2049" s="64"/>
      <c r="I2049" s="64">
        <f>ventas_b_mes684[[#This Row],[IMPORTE NETO]]*0.21</f>
        <v>0</v>
      </c>
      <c r="J2049" s="64"/>
      <c r="K2049" s="64"/>
      <c r="L2049" s="64">
        <f>SUM(ventas_b_mes684[[#This Row],[IMPORTE NETO]:[EXENTO]])</f>
        <v>0</v>
      </c>
      <c r="M2049" s="59"/>
    </row>
    <row r="2050" spans="2:13" x14ac:dyDescent="0.25">
      <c r="B2050" s="40"/>
      <c r="C2050" s="41"/>
      <c r="D2050" s="42"/>
      <c r="E2050" s="43"/>
      <c r="F2050" s="44"/>
      <c r="G2050" s="1" t="str">
        <f>IFERROR(IF(ventas_b_mes684[[#This Row],[CUIT]]="","-",VLOOKUP(ventas_b_mes684[[#This Row],[CUIT]],Lista_CUIT[#All],2,0)),"CUIT NO CARGADO")</f>
        <v>-</v>
      </c>
      <c r="H2050" s="64"/>
      <c r="I2050" s="64">
        <f>ventas_b_mes684[[#This Row],[IMPORTE NETO]]*0.21</f>
        <v>0</v>
      </c>
      <c r="J2050" s="64"/>
      <c r="K2050" s="64"/>
      <c r="L2050" s="64">
        <f>SUM(ventas_b_mes684[[#This Row],[IMPORTE NETO]:[EXENTO]])</f>
        <v>0</v>
      </c>
      <c r="M2050" s="59"/>
    </row>
    <row r="2051" spans="2:13" x14ac:dyDescent="0.25">
      <c r="B2051" s="40"/>
      <c r="C2051" s="41"/>
      <c r="D2051" s="42"/>
      <c r="E2051" s="43"/>
      <c r="F2051" s="44"/>
      <c r="G2051" s="1" t="str">
        <f>IFERROR(IF(ventas_b_mes684[[#This Row],[CUIT]]="","-",VLOOKUP(ventas_b_mes684[[#This Row],[CUIT]],Lista_CUIT[#All],2,0)),"CUIT NO CARGADO")</f>
        <v>-</v>
      </c>
      <c r="H2051" s="64"/>
      <c r="I2051" s="64">
        <f>ventas_b_mes684[[#This Row],[IMPORTE NETO]]*0.21</f>
        <v>0</v>
      </c>
      <c r="J2051" s="64"/>
      <c r="K2051" s="64"/>
      <c r="L2051" s="64">
        <f>SUM(ventas_b_mes684[[#This Row],[IMPORTE NETO]:[EXENTO]])</f>
        <v>0</v>
      </c>
      <c r="M2051" s="59"/>
    </row>
    <row r="2052" spans="2:13" x14ac:dyDescent="0.25">
      <c r="B2052" s="40"/>
      <c r="C2052" s="41"/>
      <c r="D2052" s="42"/>
      <c r="E2052" s="43"/>
      <c r="F2052" s="44"/>
      <c r="G2052" s="1" t="str">
        <f>IFERROR(IF(ventas_b_mes684[[#This Row],[CUIT]]="","-",VLOOKUP(ventas_b_mes684[[#This Row],[CUIT]],Lista_CUIT[#All],2,0)),"CUIT NO CARGADO")</f>
        <v>-</v>
      </c>
      <c r="H2052" s="64"/>
      <c r="I2052" s="64">
        <f>ventas_b_mes684[[#This Row],[IMPORTE NETO]]*0.21</f>
        <v>0</v>
      </c>
      <c r="J2052" s="64"/>
      <c r="K2052" s="64"/>
      <c r="L2052" s="64">
        <f>SUM(ventas_b_mes684[[#This Row],[IMPORTE NETO]:[EXENTO]])</f>
        <v>0</v>
      </c>
      <c r="M2052" s="59"/>
    </row>
    <row r="2053" spans="2:13" x14ac:dyDescent="0.25">
      <c r="B2053" s="40"/>
      <c r="C2053" s="41"/>
      <c r="D2053" s="42"/>
      <c r="E2053" s="43"/>
      <c r="F2053" s="44"/>
      <c r="G2053" s="1" t="str">
        <f>IFERROR(IF(ventas_b_mes684[[#This Row],[CUIT]]="","-",VLOOKUP(ventas_b_mes684[[#This Row],[CUIT]],Lista_CUIT[#All],2,0)),"CUIT NO CARGADO")</f>
        <v>-</v>
      </c>
      <c r="H2053" s="64"/>
      <c r="I2053" s="64">
        <f>ventas_b_mes684[[#This Row],[IMPORTE NETO]]*0.21</f>
        <v>0</v>
      </c>
      <c r="J2053" s="64"/>
      <c r="K2053" s="64"/>
      <c r="L2053" s="64">
        <f>SUM(ventas_b_mes684[[#This Row],[IMPORTE NETO]:[EXENTO]])</f>
        <v>0</v>
      </c>
      <c r="M2053" s="59"/>
    </row>
    <row r="2054" spans="2:13" x14ac:dyDescent="0.25">
      <c r="B2054" s="40"/>
      <c r="C2054" s="41"/>
      <c r="D2054" s="42"/>
      <c r="E2054" s="43"/>
      <c r="F2054" s="44"/>
      <c r="G2054" s="1" t="str">
        <f>IFERROR(IF(ventas_b_mes684[[#This Row],[CUIT]]="","-",VLOOKUP(ventas_b_mes684[[#This Row],[CUIT]],Lista_CUIT[#All],2,0)),"CUIT NO CARGADO")</f>
        <v>-</v>
      </c>
      <c r="H2054" s="64"/>
      <c r="I2054" s="64">
        <f>ventas_b_mes684[[#This Row],[IMPORTE NETO]]*0.21</f>
        <v>0</v>
      </c>
      <c r="J2054" s="64"/>
      <c r="K2054" s="64"/>
      <c r="L2054" s="64">
        <f>SUM(ventas_b_mes684[[#This Row],[IMPORTE NETO]:[EXENTO]])</f>
        <v>0</v>
      </c>
      <c r="M2054" s="59"/>
    </row>
    <row r="2055" spans="2:13" x14ac:dyDescent="0.25">
      <c r="B2055" s="40"/>
      <c r="C2055" s="41"/>
      <c r="D2055" s="42"/>
      <c r="E2055" s="43"/>
      <c r="F2055" s="44"/>
      <c r="G2055" s="1" t="str">
        <f>IFERROR(IF(ventas_b_mes684[[#This Row],[CUIT]]="","-",VLOOKUP(ventas_b_mes684[[#This Row],[CUIT]],Lista_CUIT[#All],2,0)),"CUIT NO CARGADO")</f>
        <v>-</v>
      </c>
      <c r="H2055" s="64"/>
      <c r="I2055" s="64">
        <f>ventas_b_mes684[[#This Row],[IMPORTE NETO]]*0.21</f>
        <v>0</v>
      </c>
      <c r="J2055" s="64"/>
      <c r="K2055" s="64"/>
      <c r="L2055" s="64">
        <f>SUM(ventas_b_mes684[[#This Row],[IMPORTE NETO]:[EXENTO]])</f>
        <v>0</v>
      </c>
      <c r="M2055" s="59"/>
    </row>
    <row r="2056" spans="2:13" x14ac:dyDescent="0.25">
      <c r="B2056" s="40"/>
      <c r="C2056" s="41"/>
      <c r="D2056" s="42"/>
      <c r="E2056" s="43"/>
      <c r="F2056" s="44"/>
      <c r="G2056" s="1" t="str">
        <f>IFERROR(IF(ventas_b_mes684[[#This Row],[CUIT]]="","-",VLOOKUP(ventas_b_mes684[[#This Row],[CUIT]],Lista_CUIT[#All],2,0)),"CUIT NO CARGADO")</f>
        <v>-</v>
      </c>
      <c r="H2056" s="64"/>
      <c r="I2056" s="64">
        <f>ventas_b_mes684[[#This Row],[IMPORTE NETO]]*0.21</f>
        <v>0</v>
      </c>
      <c r="J2056" s="64"/>
      <c r="K2056" s="64"/>
      <c r="L2056" s="64">
        <f>SUM(ventas_b_mes684[[#This Row],[IMPORTE NETO]:[EXENTO]])</f>
        <v>0</v>
      </c>
      <c r="M2056" s="59"/>
    </row>
    <row r="2057" spans="2:13" x14ac:dyDescent="0.25">
      <c r="B2057" s="40"/>
      <c r="C2057" s="41"/>
      <c r="D2057" s="42"/>
      <c r="E2057" s="43"/>
      <c r="F2057" s="44"/>
      <c r="G2057" s="1" t="str">
        <f>IFERROR(IF(ventas_b_mes684[[#This Row],[CUIT]]="","-",VLOOKUP(ventas_b_mes684[[#This Row],[CUIT]],Lista_CUIT[#All],2,0)),"CUIT NO CARGADO")</f>
        <v>-</v>
      </c>
      <c r="H2057" s="64"/>
      <c r="I2057" s="64">
        <f>ventas_b_mes684[[#This Row],[IMPORTE NETO]]*0.21</f>
        <v>0</v>
      </c>
      <c r="J2057" s="64"/>
      <c r="K2057" s="64"/>
      <c r="L2057" s="64">
        <f>SUM(ventas_b_mes684[[#This Row],[IMPORTE NETO]:[EXENTO]])</f>
        <v>0</v>
      </c>
      <c r="M2057" s="59"/>
    </row>
    <row r="2058" spans="2:13" x14ac:dyDescent="0.25">
      <c r="B2058" s="40"/>
      <c r="C2058" s="41"/>
      <c r="D2058" s="42"/>
      <c r="E2058" s="43"/>
      <c r="F2058" s="44"/>
      <c r="G2058" s="1" t="str">
        <f>IFERROR(IF(ventas_b_mes684[[#This Row],[CUIT]]="","-",VLOOKUP(ventas_b_mes684[[#This Row],[CUIT]],Lista_CUIT[#All],2,0)),"CUIT NO CARGADO")</f>
        <v>-</v>
      </c>
      <c r="H2058" s="64"/>
      <c r="I2058" s="64">
        <f>ventas_b_mes684[[#This Row],[IMPORTE NETO]]*0.21</f>
        <v>0</v>
      </c>
      <c r="J2058" s="64"/>
      <c r="K2058" s="64"/>
      <c r="L2058" s="64">
        <f>SUM(ventas_b_mes684[[#This Row],[IMPORTE NETO]:[EXENTO]])</f>
        <v>0</v>
      </c>
      <c r="M2058" s="59"/>
    </row>
    <row r="2059" spans="2:13" x14ac:dyDescent="0.25">
      <c r="B2059" s="40"/>
      <c r="C2059" s="41"/>
      <c r="D2059" s="42"/>
      <c r="E2059" s="43"/>
      <c r="F2059" s="44"/>
      <c r="G2059" s="1" t="str">
        <f>IFERROR(IF(ventas_b_mes684[[#This Row],[CUIT]]="","-",VLOOKUP(ventas_b_mes684[[#This Row],[CUIT]],Lista_CUIT[#All],2,0)),"CUIT NO CARGADO")</f>
        <v>-</v>
      </c>
      <c r="H2059" s="64"/>
      <c r="I2059" s="64">
        <f>ventas_b_mes684[[#This Row],[IMPORTE NETO]]*0.21</f>
        <v>0</v>
      </c>
      <c r="J2059" s="64"/>
      <c r="K2059" s="64"/>
      <c r="L2059" s="64">
        <f>SUM(ventas_b_mes684[[#This Row],[IMPORTE NETO]:[EXENTO]])</f>
        <v>0</v>
      </c>
      <c r="M2059" s="59"/>
    </row>
    <row r="2060" spans="2:13" x14ac:dyDescent="0.25">
      <c r="B2060" s="40"/>
      <c r="C2060" s="41"/>
      <c r="D2060" s="42"/>
      <c r="E2060" s="43"/>
      <c r="F2060" s="44"/>
      <c r="G2060" s="1" t="str">
        <f>IFERROR(IF(ventas_b_mes684[[#This Row],[CUIT]]="","-",VLOOKUP(ventas_b_mes684[[#This Row],[CUIT]],Lista_CUIT[#All],2,0)),"CUIT NO CARGADO")</f>
        <v>-</v>
      </c>
      <c r="H2060" s="64"/>
      <c r="I2060" s="64">
        <f>ventas_b_mes684[[#This Row],[IMPORTE NETO]]*0.21</f>
        <v>0</v>
      </c>
      <c r="J2060" s="64"/>
      <c r="K2060" s="64"/>
      <c r="L2060" s="64">
        <f>SUM(ventas_b_mes684[[#This Row],[IMPORTE NETO]:[EXENTO]])</f>
        <v>0</v>
      </c>
      <c r="M2060" s="59"/>
    </row>
    <row r="2061" spans="2:13" x14ac:dyDescent="0.25">
      <c r="B2061" s="40"/>
      <c r="C2061" s="41"/>
      <c r="D2061" s="42"/>
      <c r="E2061" s="43"/>
      <c r="F2061" s="44"/>
      <c r="G2061" s="1" t="str">
        <f>IFERROR(IF(ventas_b_mes684[[#This Row],[CUIT]]="","-",VLOOKUP(ventas_b_mes684[[#This Row],[CUIT]],Lista_CUIT[#All],2,0)),"CUIT NO CARGADO")</f>
        <v>-</v>
      </c>
      <c r="H2061" s="64"/>
      <c r="I2061" s="64">
        <f>ventas_b_mes684[[#This Row],[IMPORTE NETO]]*0.21</f>
        <v>0</v>
      </c>
      <c r="J2061" s="64"/>
      <c r="K2061" s="64"/>
      <c r="L2061" s="64">
        <f>SUM(ventas_b_mes684[[#This Row],[IMPORTE NETO]:[EXENTO]])</f>
        <v>0</v>
      </c>
      <c r="M2061" s="59"/>
    </row>
    <row r="2062" spans="2:13" x14ac:dyDescent="0.25">
      <c r="B2062" s="40"/>
      <c r="C2062" s="41"/>
      <c r="D2062" s="42"/>
      <c r="E2062" s="43"/>
      <c r="F2062" s="44"/>
      <c r="G2062" s="1" t="str">
        <f>IFERROR(IF(ventas_b_mes684[[#This Row],[CUIT]]="","-",VLOOKUP(ventas_b_mes684[[#This Row],[CUIT]],Lista_CUIT[#All],2,0)),"CUIT NO CARGADO")</f>
        <v>-</v>
      </c>
      <c r="H2062" s="64"/>
      <c r="I2062" s="64">
        <f>ventas_b_mes684[[#This Row],[IMPORTE NETO]]*0.21</f>
        <v>0</v>
      </c>
      <c r="J2062" s="64"/>
      <c r="K2062" s="64"/>
      <c r="L2062" s="64">
        <f>SUM(ventas_b_mes684[[#This Row],[IMPORTE NETO]:[EXENTO]])</f>
        <v>0</v>
      </c>
      <c r="M2062" s="59"/>
    </row>
    <row r="2063" spans="2:13" x14ac:dyDescent="0.25">
      <c r="B2063" s="40"/>
      <c r="C2063" s="41"/>
      <c r="D2063" s="42"/>
      <c r="E2063" s="43"/>
      <c r="F2063" s="44"/>
      <c r="G2063" s="1" t="str">
        <f>IFERROR(IF(ventas_b_mes684[[#This Row],[CUIT]]="","-",VLOOKUP(ventas_b_mes684[[#This Row],[CUIT]],Lista_CUIT[#All],2,0)),"CUIT NO CARGADO")</f>
        <v>-</v>
      </c>
      <c r="H2063" s="64"/>
      <c r="I2063" s="64">
        <f>ventas_b_mes684[[#This Row],[IMPORTE NETO]]*0.21</f>
        <v>0</v>
      </c>
      <c r="J2063" s="64"/>
      <c r="K2063" s="64"/>
      <c r="L2063" s="64">
        <f>SUM(ventas_b_mes684[[#This Row],[IMPORTE NETO]:[EXENTO]])</f>
        <v>0</v>
      </c>
      <c r="M2063" s="59"/>
    </row>
    <row r="2064" spans="2:13" x14ac:dyDescent="0.25">
      <c r="B2064" s="40"/>
      <c r="C2064" s="41"/>
      <c r="D2064" s="42"/>
      <c r="E2064" s="43"/>
      <c r="F2064" s="44"/>
      <c r="G2064" s="1" t="str">
        <f>IFERROR(IF(ventas_b_mes684[[#This Row],[CUIT]]="","-",VLOOKUP(ventas_b_mes684[[#This Row],[CUIT]],Lista_CUIT[#All],2,0)),"CUIT NO CARGADO")</f>
        <v>-</v>
      </c>
      <c r="H2064" s="64"/>
      <c r="I2064" s="64">
        <f>ventas_b_mes684[[#This Row],[IMPORTE NETO]]*0.21</f>
        <v>0</v>
      </c>
      <c r="J2064" s="64"/>
      <c r="K2064" s="64"/>
      <c r="L2064" s="64">
        <f>SUM(ventas_b_mes684[[#This Row],[IMPORTE NETO]:[EXENTO]])</f>
        <v>0</v>
      </c>
      <c r="M2064" s="59"/>
    </row>
    <row r="2065" spans="2:13" x14ac:dyDescent="0.25">
      <c r="B2065" s="40"/>
      <c r="C2065" s="41"/>
      <c r="D2065" s="42"/>
      <c r="E2065" s="43"/>
      <c r="F2065" s="44"/>
      <c r="G2065" s="1" t="str">
        <f>IFERROR(IF(ventas_b_mes684[[#This Row],[CUIT]]="","-",VLOOKUP(ventas_b_mes684[[#This Row],[CUIT]],Lista_CUIT[#All],2,0)),"CUIT NO CARGADO")</f>
        <v>-</v>
      </c>
      <c r="H2065" s="64"/>
      <c r="I2065" s="64">
        <f>ventas_b_mes684[[#This Row],[IMPORTE NETO]]*0.21</f>
        <v>0</v>
      </c>
      <c r="J2065" s="64"/>
      <c r="K2065" s="64"/>
      <c r="L2065" s="64">
        <f>SUM(ventas_b_mes684[[#This Row],[IMPORTE NETO]:[EXENTO]])</f>
        <v>0</v>
      </c>
      <c r="M2065" s="59"/>
    </row>
    <row r="2066" spans="2:13" x14ac:dyDescent="0.25">
      <c r="B2066" s="40"/>
      <c r="C2066" s="41"/>
      <c r="D2066" s="42"/>
      <c r="E2066" s="43"/>
      <c r="F2066" s="44"/>
      <c r="G2066" s="1" t="str">
        <f>IFERROR(IF(ventas_b_mes684[[#This Row],[CUIT]]="","-",VLOOKUP(ventas_b_mes684[[#This Row],[CUIT]],Lista_CUIT[#All],2,0)),"CUIT NO CARGADO")</f>
        <v>-</v>
      </c>
      <c r="H2066" s="64"/>
      <c r="I2066" s="64">
        <f>ventas_b_mes684[[#This Row],[IMPORTE NETO]]*0.21</f>
        <v>0</v>
      </c>
      <c r="J2066" s="64"/>
      <c r="K2066" s="64"/>
      <c r="L2066" s="64">
        <f>SUM(ventas_b_mes684[[#This Row],[IMPORTE NETO]:[EXENTO]])</f>
        <v>0</v>
      </c>
      <c r="M2066" s="59"/>
    </row>
    <row r="2067" spans="2:13" x14ac:dyDescent="0.25">
      <c r="B2067" s="40"/>
      <c r="C2067" s="41"/>
      <c r="D2067" s="42"/>
      <c r="E2067" s="43"/>
      <c r="F2067" s="44"/>
      <c r="G2067" s="1" t="str">
        <f>IFERROR(IF(ventas_b_mes684[[#This Row],[CUIT]]="","-",VLOOKUP(ventas_b_mes684[[#This Row],[CUIT]],Lista_CUIT[#All],2,0)),"CUIT NO CARGADO")</f>
        <v>-</v>
      </c>
      <c r="H2067" s="64"/>
      <c r="I2067" s="64">
        <f>ventas_b_mes684[[#This Row],[IMPORTE NETO]]*0.21</f>
        <v>0</v>
      </c>
      <c r="J2067" s="64"/>
      <c r="K2067" s="64"/>
      <c r="L2067" s="64">
        <f>SUM(ventas_b_mes684[[#This Row],[IMPORTE NETO]:[EXENTO]])</f>
        <v>0</v>
      </c>
      <c r="M2067" s="59"/>
    </row>
    <row r="2068" spans="2:13" x14ac:dyDescent="0.25">
      <c r="B2068" s="40"/>
      <c r="C2068" s="41"/>
      <c r="D2068" s="42"/>
      <c r="E2068" s="43"/>
      <c r="F2068" s="44"/>
      <c r="G2068" s="1" t="str">
        <f>IFERROR(IF(ventas_b_mes684[[#This Row],[CUIT]]="","-",VLOOKUP(ventas_b_mes684[[#This Row],[CUIT]],Lista_CUIT[#All],2,0)),"CUIT NO CARGADO")</f>
        <v>-</v>
      </c>
      <c r="H2068" s="64"/>
      <c r="I2068" s="64">
        <f>ventas_b_mes684[[#This Row],[IMPORTE NETO]]*0.21</f>
        <v>0</v>
      </c>
      <c r="J2068" s="64"/>
      <c r="K2068" s="64"/>
      <c r="L2068" s="64">
        <f>SUM(ventas_b_mes684[[#This Row],[IMPORTE NETO]:[EXENTO]])</f>
        <v>0</v>
      </c>
      <c r="M2068" s="59"/>
    </row>
    <row r="2069" spans="2:13" x14ac:dyDescent="0.25">
      <c r="B2069" s="40"/>
      <c r="C2069" s="41"/>
      <c r="D2069" s="42"/>
      <c r="E2069" s="43"/>
      <c r="F2069" s="44"/>
      <c r="G2069" s="1" t="str">
        <f>IFERROR(IF(ventas_b_mes684[[#This Row],[CUIT]]="","-",VLOOKUP(ventas_b_mes684[[#This Row],[CUIT]],Lista_CUIT[#All],2,0)),"CUIT NO CARGADO")</f>
        <v>-</v>
      </c>
      <c r="H2069" s="64"/>
      <c r="I2069" s="64">
        <f>ventas_b_mes684[[#This Row],[IMPORTE NETO]]*0.21</f>
        <v>0</v>
      </c>
      <c r="J2069" s="64"/>
      <c r="K2069" s="64"/>
      <c r="L2069" s="64">
        <f>SUM(ventas_b_mes684[[#This Row],[IMPORTE NETO]:[EXENTO]])</f>
        <v>0</v>
      </c>
      <c r="M2069" s="59"/>
    </row>
    <row r="2070" spans="2:13" x14ac:dyDescent="0.25">
      <c r="B2070" s="40"/>
      <c r="C2070" s="41"/>
      <c r="D2070" s="42"/>
      <c r="E2070" s="43"/>
      <c r="F2070" s="44"/>
      <c r="G2070" s="1" t="str">
        <f>IFERROR(IF(ventas_b_mes684[[#This Row],[CUIT]]="","-",VLOOKUP(ventas_b_mes684[[#This Row],[CUIT]],Lista_CUIT[#All],2,0)),"CUIT NO CARGADO")</f>
        <v>-</v>
      </c>
      <c r="H2070" s="64"/>
      <c r="I2070" s="64">
        <f>ventas_b_mes684[[#This Row],[IMPORTE NETO]]*0.21</f>
        <v>0</v>
      </c>
      <c r="J2070" s="64"/>
      <c r="K2070" s="64"/>
      <c r="L2070" s="64">
        <f>SUM(ventas_b_mes684[[#This Row],[IMPORTE NETO]:[EXENTO]])</f>
        <v>0</v>
      </c>
      <c r="M2070" s="59"/>
    </row>
    <row r="2071" spans="2:13" x14ac:dyDescent="0.25">
      <c r="B2071" s="40"/>
      <c r="C2071" s="41"/>
      <c r="D2071" s="42"/>
      <c r="E2071" s="43"/>
      <c r="F2071" s="44"/>
      <c r="G2071" s="1" t="str">
        <f>IFERROR(IF(ventas_b_mes684[[#This Row],[CUIT]]="","-",VLOOKUP(ventas_b_mes684[[#This Row],[CUIT]],Lista_CUIT[#All],2,0)),"CUIT NO CARGADO")</f>
        <v>-</v>
      </c>
      <c r="H2071" s="64"/>
      <c r="I2071" s="64">
        <f>ventas_b_mes684[[#This Row],[IMPORTE NETO]]*0.21</f>
        <v>0</v>
      </c>
      <c r="J2071" s="64"/>
      <c r="K2071" s="64"/>
      <c r="L2071" s="64">
        <f>SUM(ventas_b_mes684[[#This Row],[IMPORTE NETO]:[EXENTO]])</f>
        <v>0</v>
      </c>
      <c r="M2071" s="59"/>
    </row>
    <row r="2072" spans="2:13" x14ac:dyDescent="0.25">
      <c r="B2072" s="40"/>
      <c r="C2072" s="41"/>
      <c r="D2072" s="42"/>
      <c r="E2072" s="43"/>
      <c r="F2072" s="44"/>
      <c r="G2072" s="1" t="str">
        <f>IFERROR(IF(ventas_b_mes684[[#This Row],[CUIT]]="","-",VLOOKUP(ventas_b_mes684[[#This Row],[CUIT]],Lista_CUIT[#All],2,0)),"CUIT NO CARGADO")</f>
        <v>-</v>
      </c>
      <c r="H2072" s="64"/>
      <c r="I2072" s="64">
        <f>ventas_b_mes684[[#This Row],[IMPORTE NETO]]*0.21</f>
        <v>0</v>
      </c>
      <c r="J2072" s="64"/>
      <c r="K2072" s="64"/>
      <c r="L2072" s="64">
        <f>SUM(ventas_b_mes684[[#This Row],[IMPORTE NETO]:[EXENTO]])</f>
        <v>0</v>
      </c>
      <c r="M2072" s="59"/>
    </row>
    <row r="2073" spans="2:13" x14ac:dyDescent="0.25">
      <c r="B2073" s="40"/>
      <c r="C2073" s="41"/>
      <c r="D2073" s="42"/>
      <c r="E2073" s="43"/>
      <c r="F2073" s="44"/>
      <c r="G2073" s="1" t="str">
        <f>IFERROR(IF(ventas_b_mes684[[#This Row],[CUIT]]="","-",VLOOKUP(ventas_b_mes684[[#This Row],[CUIT]],Lista_CUIT[#All],2,0)),"CUIT NO CARGADO")</f>
        <v>-</v>
      </c>
      <c r="H2073" s="64"/>
      <c r="I2073" s="64">
        <f>ventas_b_mes684[[#This Row],[IMPORTE NETO]]*0.21</f>
        <v>0</v>
      </c>
      <c r="J2073" s="64"/>
      <c r="K2073" s="64"/>
      <c r="L2073" s="64">
        <f>SUM(ventas_b_mes684[[#This Row],[IMPORTE NETO]:[EXENTO]])</f>
        <v>0</v>
      </c>
      <c r="M2073" s="59"/>
    </row>
    <row r="2074" spans="2:13" x14ac:dyDescent="0.25">
      <c r="B2074" s="40"/>
      <c r="C2074" s="41"/>
      <c r="D2074" s="42"/>
      <c r="E2074" s="43"/>
      <c r="F2074" s="44"/>
      <c r="G2074" s="1" t="str">
        <f>IFERROR(IF(ventas_b_mes684[[#This Row],[CUIT]]="","-",VLOOKUP(ventas_b_mes684[[#This Row],[CUIT]],Lista_CUIT[#All],2,0)),"CUIT NO CARGADO")</f>
        <v>-</v>
      </c>
      <c r="H2074" s="64"/>
      <c r="I2074" s="64">
        <f>ventas_b_mes684[[#This Row],[IMPORTE NETO]]*0.21</f>
        <v>0</v>
      </c>
      <c r="J2074" s="64"/>
      <c r="K2074" s="64"/>
      <c r="L2074" s="64">
        <f>SUM(ventas_b_mes684[[#This Row],[IMPORTE NETO]:[EXENTO]])</f>
        <v>0</v>
      </c>
      <c r="M2074" s="59"/>
    </row>
    <row r="2075" spans="2:13" x14ac:dyDescent="0.25">
      <c r="B2075" s="40"/>
      <c r="C2075" s="41"/>
      <c r="D2075" s="42"/>
      <c r="E2075" s="43"/>
      <c r="F2075" s="44"/>
      <c r="G2075" s="1" t="str">
        <f>IFERROR(IF(ventas_b_mes684[[#This Row],[CUIT]]="","-",VLOOKUP(ventas_b_mes684[[#This Row],[CUIT]],Lista_CUIT[#All],2,0)),"CUIT NO CARGADO")</f>
        <v>-</v>
      </c>
      <c r="H2075" s="64"/>
      <c r="I2075" s="64">
        <f>ventas_b_mes684[[#This Row],[IMPORTE NETO]]*0.21</f>
        <v>0</v>
      </c>
      <c r="J2075" s="64"/>
      <c r="K2075" s="64"/>
      <c r="L2075" s="64">
        <f>SUM(ventas_b_mes684[[#This Row],[IMPORTE NETO]:[EXENTO]])</f>
        <v>0</v>
      </c>
      <c r="M2075" s="59"/>
    </row>
    <row r="2076" spans="2:13" x14ac:dyDescent="0.25">
      <c r="B2076" s="40"/>
      <c r="C2076" s="41"/>
      <c r="D2076" s="42"/>
      <c r="E2076" s="43"/>
      <c r="F2076" s="44"/>
      <c r="G2076" s="1" t="str">
        <f>IFERROR(IF(ventas_b_mes684[[#This Row],[CUIT]]="","-",VLOOKUP(ventas_b_mes684[[#This Row],[CUIT]],Lista_CUIT[#All],2,0)),"CUIT NO CARGADO")</f>
        <v>-</v>
      </c>
      <c r="H2076" s="64"/>
      <c r="I2076" s="64">
        <f>ventas_b_mes684[[#This Row],[IMPORTE NETO]]*0.21</f>
        <v>0</v>
      </c>
      <c r="J2076" s="64"/>
      <c r="K2076" s="64"/>
      <c r="L2076" s="64">
        <f>SUM(ventas_b_mes684[[#This Row],[IMPORTE NETO]:[EXENTO]])</f>
        <v>0</v>
      </c>
      <c r="M2076" s="59"/>
    </row>
    <row r="2077" spans="2:13" x14ac:dyDescent="0.25">
      <c r="B2077" s="40"/>
      <c r="C2077" s="41"/>
      <c r="D2077" s="42"/>
      <c r="E2077" s="43"/>
      <c r="F2077" s="44"/>
      <c r="G2077" s="1" t="str">
        <f>IFERROR(IF(ventas_b_mes684[[#This Row],[CUIT]]="","-",VLOOKUP(ventas_b_mes684[[#This Row],[CUIT]],Lista_CUIT[#All],2,0)),"CUIT NO CARGADO")</f>
        <v>-</v>
      </c>
      <c r="H2077" s="64"/>
      <c r="I2077" s="64">
        <f>ventas_b_mes684[[#This Row],[IMPORTE NETO]]*0.21</f>
        <v>0</v>
      </c>
      <c r="J2077" s="64"/>
      <c r="K2077" s="64"/>
      <c r="L2077" s="64">
        <f>SUM(ventas_b_mes684[[#This Row],[IMPORTE NETO]:[EXENTO]])</f>
        <v>0</v>
      </c>
      <c r="M2077" s="59"/>
    </row>
    <row r="2078" spans="2:13" x14ac:dyDescent="0.25">
      <c r="B2078" s="40"/>
      <c r="C2078" s="41"/>
      <c r="D2078" s="42"/>
      <c r="E2078" s="43"/>
      <c r="F2078" s="44"/>
      <c r="G2078" s="1" t="str">
        <f>IFERROR(IF(ventas_b_mes684[[#This Row],[CUIT]]="","-",VLOOKUP(ventas_b_mes684[[#This Row],[CUIT]],Lista_CUIT[#All],2,0)),"CUIT NO CARGADO")</f>
        <v>-</v>
      </c>
      <c r="H2078" s="64"/>
      <c r="I2078" s="64">
        <f>ventas_b_mes684[[#This Row],[IMPORTE NETO]]*0.21</f>
        <v>0</v>
      </c>
      <c r="J2078" s="64"/>
      <c r="K2078" s="64"/>
      <c r="L2078" s="64">
        <f>SUM(ventas_b_mes684[[#This Row],[IMPORTE NETO]:[EXENTO]])</f>
        <v>0</v>
      </c>
      <c r="M2078" s="59"/>
    </row>
    <row r="2079" spans="2:13" x14ac:dyDescent="0.25">
      <c r="B2079" s="40"/>
      <c r="C2079" s="41"/>
      <c r="D2079" s="42"/>
      <c r="E2079" s="43"/>
      <c r="F2079" s="44"/>
      <c r="G2079" s="1" t="str">
        <f>IFERROR(IF(ventas_b_mes684[[#This Row],[CUIT]]="","-",VLOOKUP(ventas_b_mes684[[#This Row],[CUIT]],Lista_CUIT[#All],2,0)),"CUIT NO CARGADO")</f>
        <v>-</v>
      </c>
      <c r="H2079" s="64"/>
      <c r="I2079" s="64">
        <f>ventas_b_mes684[[#This Row],[IMPORTE NETO]]*0.21</f>
        <v>0</v>
      </c>
      <c r="J2079" s="64"/>
      <c r="K2079" s="64"/>
      <c r="L2079" s="64">
        <f>SUM(ventas_b_mes684[[#This Row],[IMPORTE NETO]:[EXENTO]])</f>
        <v>0</v>
      </c>
      <c r="M2079" s="59"/>
    </row>
    <row r="2080" spans="2:13" x14ac:dyDescent="0.25">
      <c r="B2080" s="40"/>
      <c r="C2080" s="41"/>
      <c r="D2080" s="42"/>
      <c r="E2080" s="43"/>
      <c r="F2080" s="44"/>
      <c r="G2080" s="1" t="str">
        <f>IFERROR(IF(ventas_b_mes684[[#This Row],[CUIT]]="","-",VLOOKUP(ventas_b_mes684[[#This Row],[CUIT]],Lista_CUIT[#All],2,0)),"CUIT NO CARGADO")</f>
        <v>-</v>
      </c>
      <c r="H2080" s="64"/>
      <c r="I2080" s="64">
        <f>ventas_b_mes684[[#This Row],[IMPORTE NETO]]*0.21</f>
        <v>0</v>
      </c>
      <c r="J2080" s="64"/>
      <c r="K2080" s="64"/>
      <c r="L2080" s="64">
        <f>SUM(ventas_b_mes684[[#This Row],[IMPORTE NETO]:[EXENTO]])</f>
        <v>0</v>
      </c>
      <c r="M2080" s="59"/>
    </row>
    <row r="2081" spans="2:13" x14ac:dyDescent="0.25">
      <c r="B2081" s="40"/>
      <c r="C2081" s="41"/>
      <c r="D2081" s="42"/>
      <c r="E2081" s="43"/>
      <c r="F2081" s="44"/>
      <c r="G2081" s="1" t="str">
        <f>IFERROR(IF(ventas_b_mes684[[#This Row],[CUIT]]="","-",VLOOKUP(ventas_b_mes684[[#This Row],[CUIT]],Lista_CUIT[#All],2,0)),"CUIT NO CARGADO")</f>
        <v>-</v>
      </c>
      <c r="H2081" s="64"/>
      <c r="I2081" s="64">
        <f>ventas_b_mes684[[#This Row],[IMPORTE NETO]]*0.21</f>
        <v>0</v>
      </c>
      <c r="J2081" s="64"/>
      <c r="K2081" s="64"/>
      <c r="L2081" s="64">
        <f>SUM(ventas_b_mes684[[#This Row],[IMPORTE NETO]:[EXENTO]])</f>
        <v>0</v>
      </c>
      <c r="M2081" s="59"/>
    </row>
    <row r="2082" spans="2:13" x14ac:dyDescent="0.25">
      <c r="B2082" s="40"/>
      <c r="C2082" s="41"/>
      <c r="D2082" s="42"/>
      <c r="E2082" s="43"/>
      <c r="F2082" s="44"/>
      <c r="G2082" s="1" t="str">
        <f>IFERROR(IF(ventas_b_mes684[[#This Row],[CUIT]]="","-",VLOOKUP(ventas_b_mes684[[#This Row],[CUIT]],Lista_CUIT[#All],2,0)),"CUIT NO CARGADO")</f>
        <v>-</v>
      </c>
      <c r="H2082" s="64"/>
      <c r="I2082" s="64">
        <f>ventas_b_mes684[[#This Row],[IMPORTE NETO]]*0.21</f>
        <v>0</v>
      </c>
      <c r="J2082" s="64"/>
      <c r="K2082" s="64"/>
      <c r="L2082" s="64">
        <f>SUM(ventas_b_mes684[[#This Row],[IMPORTE NETO]:[EXENTO]])</f>
        <v>0</v>
      </c>
      <c r="M2082" s="59"/>
    </row>
    <row r="2083" spans="2:13" x14ac:dyDescent="0.25">
      <c r="B2083" s="40"/>
      <c r="C2083" s="41"/>
      <c r="D2083" s="42"/>
      <c r="E2083" s="43"/>
      <c r="F2083" s="44"/>
      <c r="G2083" s="1" t="str">
        <f>IFERROR(IF(ventas_b_mes684[[#This Row],[CUIT]]="","-",VLOOKUP(ventas_b_mes684[[#This Row],[CUIT]],Lista_CUIT[#All],2,0)),"CUIT NO CARGADO")</f>
        <v>-</v>
      </c>
      <c r="H2083" s="64"/>
      <c r="I2083" s="64">
        <f>ventas_b_mes684[[#This Row],[IMPORTE NETO]]*0.21</f>
        <v>0</v>
      </c>
      <c r="J2083" s="64"/>
      <c r="K2083" s="64"/>
      <c r="L2083" s="64">
        <f>SUM(ventas_b_mes684[[#This Row],[IMPORTE NETO]:[EXENTO]])</f>
        <v>0</v>
      </c>
      <c r="M2083" s="59"/>
    </row>
    <row r="2084" spans="2:13" x14ac:dyDescent="0.25">
      <c r="B2084" s="40"/>
      <c r="C2084" s="41"/>
      <c r="D2084" s="42"/>
      <c r="E2084" s="43"/>
      <c r="F2084" s="44"/>
      <c r="G2084" s="1" t="str">
        <f>IFERROR(IF(ventas_b_mes684[[#This Row],[CUIT]]="","-",VLOOKUP(ventas_b_mes684[[#This Row],[CUIT]],Lista_CUIT[#All],2,0)),"CUIT NO CARGADO")</f>
        <v>-</v>
      </c>
      <c r="H2084" s="64"/>
      <c r="I2084" s="64">
        <f>ventas_b_mes684[[#This Row],[IMPORTE NETO]]*0.21</f>
        <v>0</v>
      </c>
      <c r="J2084" s="64"/>
      <c r="K2084" s="64"/>
      <c r="L2084" s="64">
        <f>SUM(ventas_b_mes684[[#This Row],[IMPORTE NETO]:[EXENTO]])</f>
        <v>0</v>
      </c>
      <c r="M2084" s="59"/>
    </row>
    <row r="2085" spans="2:13" x14ac:dyDescent="0.25">
      <c r="B2085" s="40"/>
      <c r="C2085" s="41"/>
      <c r="D2085" s="42"/>
      <c r="E2085" s="43"/>
      <c r="F2085" s="44"/>
      <c r="G2085" s="1" t="str">
        <f>IFERROR(IF(ventas_b_mes684[[#This Row],[CUIT]]="","-",VLOOKUP(ventas_b_mes684[[#This Row],[CUIT]],Lista_CUIT[#All],2,0)),"CUIT NO CARGADO")</f>
        <v>-</v>
      </c>
      <c r="H2085" s="64"/>
      <c r="I2085" s="64">
        <f>ventas_b_mes684[[#This Row],[IMPORTE NETO]]*0.21</f>
        <v>0</v>
      </c>
      <c r="J2085" s="64"/>
      <c r="K2085" s="64"/>
      <c r="L2085" s="64">
        <f>SUM(ventas_b_mes684[[#This Row],[IMPORTE NETO]:[EXENTO]])</f>
        <v>0</v>
      </c>
      <c r="M2085" s="59"/>
    </row>
    <row r="2086" spans="2:13" x14ac:dyDescent="0.25">
      <c r="B2086" s="40"/>
      <c r="C2086" s="41"/>
      <c r="D2086" s="42"/>
      <c r="E2086" s="43"/>
      <c r="F2086" s="44"/>
      <c r="G2086" s="1" t="str">
        <f>IFERROR(IF(ventas_b_mes684[[#This Row],[CUIT]]="","-",VLOOKUP(ventas_b_mes684[[#This Row],[CUIT]],Lista_CUIT[#All],2,0)),"CUIT NO CARGADO")</f>
        <v>-</v>
      </c>
      <c r="H2086" s="64"/>
      <c r="I2086" s="64">
        <f>ventas_b_mes684[[#This Row],[IMPORTE NETO]]*0.21</f>
        <v>0</v>
      </c>
      <c r="J2086" s="64"/>
      <c r="K2086" s="64"/>
      <c r="L2086" s="64">
        <f>SUM(ventas_b_mes684[[#This Row],[IMPORTE NETO]:[EXENTO]])</f>
        <v>0</v>
      </c>
      <c r="M2086" s="59"/>
    </row>
    <row r="2087" spans="2:13" x14ac:dyDescent="0.25">
      <c r="B2087" s="40"/>
      <c r="C2087" s="41"/>
      <c r="D2087" s="42"/>
      <c r="E2087" s="43"/>
      <c r="F2087" s="44"/>
      <c r="G2087" s="1" t="str">
        <f>IFERROR(IF(ventas_b_mes684[[#This Row],[CUIT]]="","-",VLOOKUP(ventas_b_mes684[[#This Row],[CUIT]],Lista_CUIT[#All],2,0)),"CUIT NO CARGADO")</f>
        <v>-</v>
      </c>
      <c r="H2087" s="64"/>
      <c r="I2087" s="64">
        <f>ventas_b_mes684[[#This Row],[IMPORTE NETO]]*0.21</f>
        <v>0</v>
      </c>
      <c r="J2087" s="64"/>
      <c r="K2087" s="64"/>
      <c r="L2087" s="64">
        <f>SUM(ventas_b_mes684[[#This Row],[IMPORTE NETO]:[EXENTO]])</f>
        <v>0</v>
      </c>
      <c r="M2087" s="59"/>
    </row>
    <row r="2088" spans="2:13" x14ac:dyDescent="0.25">
      <c r="B2088" s="40"/>
      <c r="C2088" s="41"/>
      <c r="D2088" s="42"/>
      <c r="E2088" s="43"/>
      <c r="F2088" s="44"/>
      <c r="G2088" s="1" t="str">
        <f>IFERROR(IF(ventas_b_mes684[[#This Row],[CUIT]]="","-",VLOOKUP(ventas_b_mes684[[#This Row],[CUIT]],Lista_CUIT[#All],2,0)),"CUIT NO CARGADO")</f>
        <v>-</v>
      </c>
      <c r="H2088" s="64"/>
      <c r="I2088" s="64">
        <f>ventas_b_mes684[[#This Row],[IMPORTE NETO]]*0.21</f>
        <v>0</v>
      </c>
      <c r="J2088" s="64"/>
      <c r="K2088" s="64"/>
      <c r="L2088" s="64">
        <f>SUM(ventas_b_mes684[[#This Row],[IMPORTE NETO]:[EXENTO]])</f>
        <v>0</v>
      </c>
      <c r="M2088" s="59"/>
    </row>
    <row r="2089" spans="2:13" x14ac:dyDescent="0.25">
      <c r="B2089" s="40"/>
      <c r="C2089" s="41"/>
      <c r="D2089" s="42"/>
      <c r="E2089" s="43"/>
      <c r="F2089" s="44"/>
      <c r="G2089" s="1" t="str">
        <f>IFERROR(IF(ventas_b_mes684[[#This Row],[CUIT]]="","-",VLOOKUP(ventas_b_mes684[[#This Row],[CUIT]],Lista_CUIT[#All],2,0)),"CUIT NO CARGADO")</f>
        <v>-</v>
      </c>
      <c r="H2089" s="64"/>
      <c r="I2089" s="64">
        <f>ventas_b_mes684[[#This Row],[IMPORTE NETO]]*0.21</f>
        <v>0</v>
      </c>
      <c r="J2089" s="64"/>
      <c r="K2089" s="64"/>
      <c r="L2089" s="64">
        <f>SUM(ventas_b_mes684[[#This Row],[IMPORTE NETO]:[EXENTO]])</f>
        <v>0</v>
      </c>
      <c r="M2089" s="59"/>
    </row>
    <row r="2090" spans="2:13" x14ac:dyDescent="0.25">
      <c r="B2090" s="40"/>
      <c r="C2090" s="41"/>
      <c r="D2090" s="42"/>
      <c r="E2090" s="43"/>
      <c r="F2090" s="44"/>
      <c r="G2090" s="1" t="str">
        <f>IFERROR(IF(ventas_b_mes684[[#This Row],[CUIT]]="","-",VLOOKUP(ventas_b_mes684[[#This Row],[CUIT]],Lista_CUIT[#All],2,0)),"CUIT NO CARGADO")</f>
        <v>-</v>
      </c>
      <c r="H2090" s="64"/>
      <c r="I2090" s="64">
        <f>ventas_b_mes684[[#This Row],[IMPORTE NETO]]*0.21</f>
        <v>0</v>
      </c>
      <c r="J2090" s="64"/>
      <c r="K2090" s="64"/>
      <c r="L2090" s="64">
        <f>SUM(ventas_b_mes684[[#This Row],[IMPORTE NETO]:[EXENTO]])</f>
        <v>0</v>
      </c>
      <c r="M2090" s="59"/>
    </row>
    <row r="2091" spans="2:13" x14ac:dyDescent="0.25">
      <c r="B2091" s="40"/>
      <c r="C2091" s="41"/>
      <c r="D2091" s="42"/>
      <c r="E2091" s="43"/>
      <c r="F2091" s="44"/>
      <c r="G2091" s="1" t="str">
        <f>IFERROR(IF(ventas_b_mes684[[#This Row],[CUIT]]="","-",VLOOKUP(ventas_b_mes684[[#This Row],[CUIT]],Lista_CUIT[#All],2,0)),"CUIT NO CARGADO")</f>
        <v>-</v>
      </c>
      <c r="H2091" s="64"/>
      <c r="I2091" s="64">
        <f>ventas_b_mes684[[#This Row],[IMPORTE NETO]]*0.21</f>
        <v>0</v>
      </c>
      <c r="J2091" s="64"/>
      <c r="K2091" s="64"/>
      <c r="L2091" s="64">
        <f>SUM(ventas_b_mes684[[#This Row],[IMPORTE NETO]:[EXENTO]])</f>
        <v>0</v>
      </c>
      <c r="M2091" s="59"/>
    </row>
    <row r="2092" spans="2:13" x14ac:dyDescent="0.25">
      <c r="B2092" s="40"/>
      <c r="C2092" s="41"/>
      <c r="D2092" s="42"/>
      <c r="E2092" s="43"/>
      <c r="F2092" s="44"/>
      <c r="G2092" s="1" t="str">
        <f>IFERROR(IF(ventas_b_mes684[[#This Row],[CUIT]]="","-",VLOOKUP(ventas_b_mes684[[#This Row],[CUIT]],Lista_CUIT[#All],2,0)),"CUIT NO CARGADO")</f>
        <v>-</v>
      </c>
      <c r="H2092" s="64"/>
      <c r="I2092" s="64">
        <f>ventas_b_mes684[[#This Row],[IMPORTE NETO]]*0.21</f>
        <v>0</v>
      </c>
      <c r="J2092" s="64"/>
      <c r="K2092" s="64"/>
      <c r="L2092" s="64">
        <f>SUM(ventas_b_mes684[[#This Row],[IMPORTE NETO]:[EXENTO]])</f>
        <v>0</v>
      </c>
      <c r="M2092" s="59"/>
    </row>
    <row r="2093" spans="2:13" x14ac:dyDescent="0.25">
      <c r="B2093" s="40"/>
      <c r="C2093" s="41"/>
      <c r="D2093" s="42"/>
      <c r="E2093" s="43"/>
      <c r="F2093" s="44"/>
      <c r="G2093" s="1" t="str">
        <f>IFERROR(IF(ventas_b_mes684[[#This Row],[CUIT]]="","-",VLOOKUP(ventas_b_mes684[[#This Row],[CUIT]],Lista_CUIT[#All],2,0)),"CUIT NO CARGADO")</f>
        <v>-</v>
      </c>
      <c r="H2093" s="64"/>
      <c r="I2093" s="64">
        <f>ventas_b_mes684[[#This Row],[IMPORTE NETO]]*0.21</f>
        <v>0</v>
      </c>
      <c r="J2093" s="64"/>
      <c r="K2093" s="64"/>
      <c r="L2093" s="64">
        <f>SUM(ventas_b_mes684[[#This Row],[IMPORTE NETO]:[EXENTO]])</f>
        <v>0</v>
      </c>
      <c r="M2093" s="59"/>
    </row>
    <row r="2094" spans="2:13" x14ac:dyDescent="0.25">
      <c r="B2094" s="40"/>
      <c r="C2094" s="41"/>
      <c r="D2094" s="42"/>
      <c r="E2094" s="43"/>
      <c r="F2094" s="44"/>
      <c r="G2094" s="1" t="str">
        <f>IFERROR(IF(ventas_b_mes684[[#This Row],[CUIT]]="","-",VLOOKUP(ventas_b_mes684[[#This Row],[CUIT]],Lista_CUIT[#All],2,0)),"CUIT NO CARGADO")</f>
        <v>-</v>
      </c>
      <c r="H2094" s="64"/>
      <c r="I2094" s="64">
        <f>ventas_b_mes684[[#This Row],[IMPORTE NETO]]*0.21</f>
        <v>0</v>
      </c>
      <c r="J2094" s="64"/>
      <c r="K2094" s="64"/>
      <c r="L2094" s="64">
        <f>SUM(ventas_b_mes684[[#This Row],[IMPORTE NETO]:[EXENTO]])</f>
        <v>0</v>
      </c>
      <c r="M2094" s="59"/>
    </row>
    <row r="2095" spans="2:13" x14ac:dyDescent="0.25">
      <c r="B2095" s="40"/>
      <c r="C2095" s="41"/>
      <c r="D2095" s="42"/>
      <c r="E2095" s="43"/>
      <c r="F2095" s="44"/>
      <c r="G2095" s="1" t="str">
        <f>IFERROR(IF(ventas_b_mes684[[#This Row],[CUIT]]="","-",VLOOKUP(ventas_b_mes684[[#This Row],[CUIT]],Lista_CUIT[#All],2,0)),"CUIT NO CARGADO")</f>
        <v>-</v>
      </c>
      <c r="H2095" s="64"/>
      <c r="I2095" s="64">
        <f>ventas_b_mes684[[#This Row],[IMPORTE NETO]]*0.21</f>
        <v>0</v>
      </c>
      <c r="J2095" s="64"/>
      <c r="K2095" s="64"/>
      <c r="L2095" s="64">
        <f>SUM(ventas_b_mes684[[#This Row],[IMPORTE NETO]:[EXENTO]])</f>
        <v>0</v>
      </c>
      <c r="M2095" s="59"/>
    </row>
    <row r="2096" spans="2:13" x14ac:dyDescent="0.25">
      <c r="B2096" s="40"/>
      <c r="C2096" s="41"/>
      <c r="D2096" s="42"/>
      <c r="E2096" s="43"/>
      <c r="F2096" s="44"/>
      <c r="G2096" s="1" t="str">
        <f>IFERROR(IF(ventas_b_mes684[[#This Row],[CUIT]]="","-",VLOOKUP(ventas_b_mes684[[#This Row],[CUIT]],Lista_CUIT[#All],2,0)),"CUIT NO CARGADO")</f>
        <v>-</v>
      </c>
      <c r="H2096" s="64"/>
      <c r="I2096" s="64">
        <f>ventas_b_mes684[[#This Row],[IMPORTE NETO]]*0.21</f>
        <v>0</v>
      </c>
      <c r="J2096" s="64"/>
      <c r="K2096" s="64"/>
      <c r="L2096" s="64">
        <f>SUM(ventas_b_mes684[[#This Row],[IMPORTE NETO]:[EXENTO]])</f>
        <v>0</v>
      </c>
      <c r="M2096" s="59"/>
    </row>
    <row r="2097" spans="2:13" x14ac:dyDescent="0.25">
      <c r="B2097" s="40"/>
      <c r="C2097" s="41"/>
      <c r="D2097" s="42"/>
      <c r="E2097" s="43"/>
      <c r="F2097" s="44"/>
      <c r="G2097" s="1" t="str">
        <f>IFERROR(IF(ventas_b_mes684[[#This Row],[CUIT]]="","-",VLOOKUP(ventas_b_mes684[[#This Row],[CUIT]],Lista_CUIT[#All],2,0)),"CUIT NO CARGADO")</f>
        <v>-</v>
      </c>
      <c r="H2097" s="64"/>
      <c r="I2097" s="64">
        <f>ventas_b_mes684[[#This Row],[IMPORTE NETO]]*0.21</f>
        <v>0</v>
      </c>
      <c r="J2097" s="64"/>
      <c r="K2097" s="64"/>
      <c r="L2097" s="64">
        <f>SUM(ventas_b_mes684[[#This Row],[IMPORTE NETO]:[EXENTO]])</f>
        <v>0</v>
      </c>
      <c r="M2097" s="59"/>
    </row>
    <row r="2098" spans="2:13" x14ac:dyDescent="0.25">
      <c r="B2098" s="40"/>
      <c r="C2098" s="41"/>
      <c r="D2098" s="42"/>
      <c r="E2098" s="43"/>
      <c r="F2098" s="44"/>
      <c r="G2098" s="1" t="str">
        <f>IFERROR(IF(ventas_b_mes684[[#This Row],[CUIT]]="","-",VLOOKUP(ventas_b_mes684[[#This Row],[CUIT]],Lista_CUIT[#All],2,0)),"CUIT NO CARGADO")</f>
        <v>-</v>
      </c>
      <c r="H2098" s="64"/>
      <c r="I2098" s="64">
        <f>ventas_b_mes684[[#This Row],[IMPORTE NETO]]*0.21</f>
        <v>0</v>
      </c>
      <c r="J2098" s="64"/>
      <c r="K2098" s="64"/>
      <c r="L2098" s="64">
        <f>SUM(ventas_b_mes684[[#This Row],[IMPORTE NETO]:[EXENTO]])</f>
        <v>0</v>
      </c>
      <c r="M2098" s="59"/>
    </row>
    <row r="2099" spans="2:13" x14ac:dyDescent="0.25">
      <c r="B2099" s="40"/>
      <c r="C2099" s="41"/>
      <c r="D2099" s="42"/>
      <c r="E2099" s="43"/>
      <c r="F2099" s="44"/>
      <c r="G2099" s="1" t="str">
        <f>IFERROR(IF(ventas_b_mes684[[#This Row],[CUIT]]="","-",VLOOKUP(ventas_b_mes684[[#This Row],[CUIT]],Lista_CUIT[#All],2,0)),"CUIT NO CARGADO")</f>
        <v>-</v>
      </c>
      <c r="H2099" s="64"/>
      <c r="I2099" s="64">
        <f>ventas_b_mes684[[#This Row],[IMPORTE NETO]]*0.21</f>
        <v>0</v>
      </c>
      <c r="J2099" s="64"/>
      <c r="K2099" s="64"/>
      <c r="L2099" s="64">
        <f>SUM(ventas_b_mes684[[#This Row],[IMPORTE NETO]:[EXENTO]])</f>
        <v>0</v>
      </c>
      <c r="M2099" s="59"/>
    </row>
    <row r="2100" spans="2:13" x14ac:dyDescent="0.25">
      <c r="B2100" s="40"/>
      <c r="C2100" s="41"/>
      <c r="D2100" s="42"/>
      <c r="E2100" s="43"/>
      <c r="F2100" s="44"/>
      <c r="G2100" s="1" t="str">
        <f>IFERROR(IF(ventas_b_mes684[[#This Row],[CUIT]]="","-",VLOOKUP(ventas_b_mes684[[#This Row],[CUIT]],Lista_CUIT[#All],2,0)),"CUIT NO CARGADO")</f>
        <v>-</v>
      </c>
      <c r="H2100" s="64"/>
      <c r="I2100" s="64">
        <f>ventas_b_mes684[[#This Row],[IMPORTE NETO]]*0.21</f>
        <v>0</v>
      </c>
      <c r="J2100" s="64"/>
      <c r="K2100" s="64"/>
      <c r="L2100" s="64">
        <f>SUM(ventas_b_mes684[[#This Row],[IMPORTE NETO]:[EXENTO]])</f>
        <v>0</v>
      </c>
      <c r="M2100" s="59"/>
    </row>
    <row r="2101" spans="2:13" x14ac:dyDescent="0.25">
      <c r="B2101" s="40"/>
      <c r="C2101" s="41"/>
      <c r="D2101" s="42"/>
      <c r="E2101" s="43"/>
      <c r="F2101" s="44"/>
      <c r="G2101" s="1" t="str">
        <f>IFERROR(IF(ventas_b_mes684[[#This Row],[CUIT]]="","-",VLOOKUP(ventas_b_mes684[[#This Row],[CUIT]],Lista_CUIT[#All],2,0)),"CUIT NO CARGADO")</f>
        <v>-</v>
      </c>
      <c r="H2101" s="64"/>
      <c r="I2101" s="64">
        <f>ventas_b_mes684[[#This Row],[IMPORTE NETO]]*0.21</f>
        <v>0</v>
      </c>
      <c r="J2101" s="64"/>
      <c r="K2101" s="64"/>
      <c r="L2101" s="64">
        <f>SUM(ventas_b_mes684[[#This Row],[IMPORTE NETO]:[EXENTO]])</f>
        <v>0</v>
      </c>
      <c r="M2101" s="59"/>
    </row>
    <row r="2102" spans="2:13" x14ac:dyDescent="0.25">
      <c r="B2102" s="40"/>
      <c r="C2102" s="41"/>
      <c r="D2102" s="42"/>
      <c r="E2102" s="43"/>
      <c r="F2102" s="44"/>
      <c r="G2102" s="1" t="str">
        <f>IFERROR(IF(ventas_b_mes684[[#This Row],[CUIT]]="","-",VLOOKUP(ventas_b_mes684[[#This Row],[CUIT]],Lista_CUIT[#All],2,0)),"CUIT NO CARGADO")</f>
        <v>-</v>
      </c>
      <c r="H2102" s="64"/>
      <c r="I2102" s="64">
        <f>ventas_b_mes684[[#This Row],[IMPORTE NETO]]*0.21</f>
        <v>0</v>
      </c>
      <c r="J2102" s="64"/>
      <c r="K2102" s="64"/>
      <c r="L2102" s="64">
        <f>SUM(ventas_b_mes684[[#This Row],[IMPORTE NETO]:[EXENTO]])</f>
        <v>0</v>
      </c>
      <c r="M2102" s="59"/>
    </row>
    <row r="2103" spans="2:13" x14ac:dyDescent="0.25">
      <c r="B2103" s="40"/>
      <c r="C2103" s="41"/>
      <c r="D2103" s="42"/>
      <c r="E2103" s="43"/>
      <c r="F2103" s="44"/>
      <c r="G2103" s="1" t="str">
        <f>IFERROR(IF(ventas_b_mes684[[#This Row],[CUIT]]="","-",VLOOKUP(ventas_b_mes684[[#This Row],[CUIT]],Lista_CUIT[#All],2,0)),"CUIT NO CARGADO")</f>
        <v>-</v>
      </c>
      <c r="H2103" s="64"/>
      <c r="I2103" s="64">
        <f>ventas_b_mes684[[#This Row],[IMPORTE NETO]]*0.21</f>
        <v>0</v>
      </c>
      <c r="J2103" s="64"/>
      <c r="K2103" s="64"/>
      <c r="L2103" s="64">
        <f>SUM(ventas_b_mes684[[#This Row],[IMPORTE NETO]:[EXENTO]])</f>
        <v>0</v>
      </c>
      <c r="M2103" s="59"/>
    </row>
    <row r="2104" spans="2:13" x14ac:dyDescent="0.25">
      <c r="B2104" s="40"/>
      <c r="C2104" s="41"/>
      <c r="D2104" s="42"/>
      <c r="E2104" s="43"/>
      <c r="F2104" s="44"/>
      <c r="G2104" s="1" t="str">
        <f>IFERROR(IF(ventas_b_mes684[[#This Row],[CUIT]]="","-",VLOOKUP(ventas_b_mes684[[#This Row],[CUIT]],Lista_CUIT[#All],2,0)),"CUIT NO CARGADO")</f>
        <v>-</v>
      </c>
      <c r="H2104" s="64"/>
      <c r="I2104" s="64">
        <f>ventas_b_mes684[[#This Row],[IMPORTE NETO]]*0.21</f>
        <v>0</v>
      </c>
      <c r="J2104" s="64"/>
      <c r="K2104" s="64"/>
      <c r="L2104" s="64">
        <f>SUM(ventas_b_mes684[[#This Row],[IMPORTE NETO]:[EXENTO]])</f>
        <v>0</v>
      </c>
      <c r="M2104" s="59"/>
    </row>
    <row r="2105" spans="2:13" x14ac:dyDescent="0.25">
      <c r="B2105" s="40"/>
      <c r="C2105" s="41"/>
      <c r="D2105" s="42"/>
      <c r="E2105" s="43"/>
      <c r="F2105" s="44"/>
      <c r="G2105" s="1" t="str">
        <f>IFERROR(IF(ventas_b_mes684[[#This Row],[CUIT]]="","-",VLOOKUP(ventas_b_mes684[[#This Row],[CUIT]],Lista_CUIT[#All],2,0)),"CUIT NO CARGADO")</f>
        <v>-</v>
      </c>
      <c r="H2105" s="64"/>
      <c r="I2105" s="64">
        <f>ventas_b_mes684[[#This Row],[IMPORTE NETO]]*0.21</f>
        <v>0</v>
      </c>
      <c r="J2105" s="64"/>
      <c r="K2105" s="64"/>
      <c r="L2105" s="64">
        <f>SUM(ventas_b_mes684[[#This Row],[IMPORTE NETO]:[EXENTO]])</f>
        <v>0</v>
      </c>
      <c r="M2105" s="59"/>
    </row>
    <row r="2106" spans="2:13" x14ac:dyDescent="0.25">
      <c r="B2106" s="40"/>
      <c r="C2106" s="41"/>
      <c r="D2106" s="42"/>
      <c r="E2106" s="43"/>
      <c r="F2106" s="44"/>
      <c r="G2106" s="1" t="str">
        <f>IFERROR(IF(ventas_b_mes684[[#This Row],[CUIT]]="","-",VLOOKUP(ventas_b_mes684[[#This Row],[CUIT]],Lista_CUIT[#All],2,0)),"CUIT NO CARGADO")</f>
        <v>-</v>
      </c>
      <c r="H2106" s="64"/>
      <c r="I2106" s="64">
        <f>ventas_b_mes684[[#This Row],[IMPORTE NETO]]*0.21</f>
        <v>0</v>
      </c>
      <c r="J2106" s="64"/>
      <c r="K2106" s="64"/>
      <c r="L2106" s="64">
        <f>SUM(ventas_b_mes684[[#This Row],[IMPORTE NETO]:[EXENTO]])</f>
        <v>0</v>
      </c>
      <c r="M2106" s="59"/>
    </row>
    <row r="2107" spans="2:13" x14ac:dyDescent="0.25">
      <c r="B2107" s="40"/>
      <c r="C2107" s="41"/>
      <c r="D2107" s="42"/>
      <c r="E2107" s="43"/>
      <c r="F2107" s="44"/>
      <c r="G2107" s="1" t="str">
        <f>IFERROR(IF(ventas_b_mes684[[#This Row],[CUIT]]="","-",VLOOKUP(ventas_b_mes684[[#This Row],[CUIT]],Lista_CUIT[#All],2,0)),"CUIT NO CARGADO")</f>
        <v>-</v>
      </c>
      <c r="H2107" s="64"/>
      <c r="I2107" s="64">
        <f>ventas_b_mes684[[#This Row],[IMPORTE NETO]]*0.21</f>
        <v>0</v>
      </c>
      <c r="J2107" s="64"/>
      <c r="K2107" s="64"/>
      <c r="L2107" s="64">
        <f>SUM(ventas_b_mes684[[#This Row],[IMPORTE NETO]:[EXENTO]])</f>
        <v>0</v>
      </c>
      <c r="M2107" s="59"/>
    </row>
    <row r="2108" spans="2:13" x14ac:dyDescent="0.25">
      <c r="B2108" s="40"/>
      <c r="C2108" s="41"/>
      <c r="D2108" s="42"/>
      <c r="E2108" s="43"/>
      <c r="F2108" s="44"/>
      <c r="G2108" s="1" t="str">
        <f>IFERROR(IF(ventas_b_mes684[[#This Row],[CUIT]]="","-",VLOOKUP(ventas_b_mes684[[#This Row],[CUIT]],Lista_CUIT[#All],2,0)),"CUIT NO CARGADO")</f>
        <v>-</v>
      </c>
      <c r="H2108" s="64"/>
      <c r="I2108" s="64">
        <f>ventas_b_mes684[[#This Row],[IMPORTE NETO]]*0.21</f>
        <v>0</v>
      </c>
      <c r="J2108" s="64"/>
      <c r="K2108" s="64"/>
      <c r="L2108" s="64">
        <f>SUM(ventas_b_mes684[[#This Row],[IMPORTE NETO]:[EXENTO]])</f>
        <v>0</v>
      </c>
      <c r="M2108" s="59"/>
    </row>
    <row r="2109" spans="2:13" x14ac:dyDescent="0.25">
      <c r="B2109" s="40"/>
      <c r="C2109" s="41"/>
      <c r="D2109" s="42"/>
      <c r="E2109" s="43"/>
      <c r="F2109" s="44"/>
      <c r="G2109" s="1" t="str">
        <f>IFERROR(IF(ventas_b_mes684[[#This Row],[CUIT]]="","-",VLOOKUP(ventas_b_mes684[[#This Row],[CUIT]],Lista_CUIT[#All],2,0)),"CUIT NO CARGADO")</f>
        <v>-</v>
      </c>
      <c r="H2109" s="64"/>
      <c r="I2109" s="64">
        <f>ventas_b_mes684[[#This Row],[IMPORTE NETO]]*0.21</f>
        <v>0</v>
      </c>
      <c r="J2109" s="64"/>
      <c r="K2109" s="64"/>
      <c r="L2109" s="64">
        <f>SUM(ventas_b_mes684[[#This Row],[IMPORTE NETO]:[EXENTO]])</f>
        <v>0</v>
      </c>
      <c r="M2109" s="59"/>
    </row>
    <row r="2110" spans="2:13" x14ac:dyDescent="0.25">
      <c r="B2110" s="40"/>
      <c r="C2110" s="41"/>
      <c r="D2110" s="42"/>
      <c r="E2110" s="43"/>
      <c r="F2110" s="44"/>
      <c r="G2110" s="1" t="str">
        <f>IFERROR(IF(ventas_b_mes684[[#This Row],[CUIT]]="","-",VLOOKUP(ventas_b_mes684[[#This Row],[CUIT]],Lista_CUIT[#All],2,0)),"CUIT NO CARGADO")</f>
        <v>-</v>
      </c>
      <c r="H2110" s="64"/>
      <c r="I2110" s="64">
        <f>ventas_b_mes684[[#This Row],[IMPORTE NETO]]*0.21</f>
        <v>0</v>
      </c>
      <c r="J2110" s="64"/>
      <c r="K2110" s="64"/>
      <c r="L2110" s="64">
        <f>SUM(ventas_b_mes684[[#This Row],[IMPORTE NETO]:[EXENTO]])</f>
        <v>0</v>
      </c>
      <c r="M2110" s="59"/>
    </row>
    <row r="2111" spans="2:13" x14ac:dyDescent="0.25">
      <c r="B2111" s="40"/>
      <c r="C2111" s="41"/>
      <c r="D2111" s="42"/>
      <c r="E2111" s="43"/>
      <c r="F2111" s="44"/>
      <c r="G2111" s="1" t="str">
        <f>IFERROR(IF(ventas_b_mes684[[#This Row],[CUIT]]="","-",VLOOKUP(ventas_b_mes684[[#This Row],[CUIT]],Lista_CUIT[#All],2,0)),"CUIT NO CARGADO")</f>
        <v>-</v>
      </c>
      <c r="H2111" s="64"/>
      <c r="I2111" s="64">
        <f>ventas_b_mes684[[#This Row],[IMPORTE NETO]]*0.21</f>
        <v>0</v>
      </c>
      <c r="J2111" s="64"/>
      <c r="K2111" s="64"/>
      <c r="L2111" s="64">
        <f>SUM(ventas_b_mes684[[#This Row],[IMPORTE NETO]:[EXENTO]])</f>
        <v>0</v>
      </c>
      <c r="M2111" s="59"/>
    </row>
    <row r="2112" spans="2:13" x14ac:dyDescent="0.25">
      <c r="B2112" s="40"/>
      <c r="C2112" s="41"/>
      <c r="D2112" s="42"/>
      <c r="E2112" s="43"/>
      <c r="F2112" s="44"/>
      <c r="G2112" s="1" t="str">
        <f>IFERROR(IF(ventas_b_mes684[[#This Row],[CUIT]]="","-",VLOOKUP(ventas_b_mes684[[#This Row],[CUIT]],Lista_CUIT[#All],2,0)),"CUIT NO CARGADO")</f>
        <v>-</v>
      </c>
      <c r="H2112" s="64"/>
      <c r="I2112" s="64">
        <f>ventas_b_mes684[[#This Row],[IMPORTE NETO]]*0.21</f>
        <v>0</v>
      </c>
      <c r="J2112" s="64"/>
      <c r="K2112" s="64"/>
      <c r="L2112" s="64">
        <f>SUM(ventas_b_mes684[[#This Row],[IMPORTE NETO]:[EXENTO]])</f>
        <v>0</v>
      </c>
      <c r="M2112" s="59"/>
    </row>
    <row r="2113" spans="2:13" x14ac:dyDescent="0.25">
      <c r="B2113" s="40"/>
      <c r="C2113" s="41"/>
      <c r="D2113" s="42"/>
      <c r="E2113" s="43"/>
      <c r="F2113" s="44"/>
      <c r="G2113" s="1" t="str">
        <f>IFERROR(IF(ventas_b_mes684[[#This Row],[CUIT]]="","-",VLOOKUP(ventas_b_mes684[[#This Row],[CUIT]],Lista_CUIT[#All],2,0)),"CUIT NO CARGADO")</f>
        <v>-</v>
      </c>
      <c r="H2113" s="64"/>
      <c r="I2113" s="64">
        <f>ventas_b_mes684[[#This Row],[IMPORTE NETO]]*0.21</f>
        <v>0</v>
      </c>
      <c r="J2113" s="64"/>
      <c r="K2113" s="64"/>
      <c r="L2113" s="64">
        <f>SUM(ventas_b_mes684[[#This Row],[IMPORTE NETO]:[EXENTO]])</f>
        <v>0</v>
      </c>
      <c r="M2113" s="59"/>
    </row>
    <row r="2114" spans="2:13" x14ac:dyDescent="0.25">
      <c r="B2114" s="40"/>
      <c r="C2114" s="41"/>
      <c r="D2114" s="42"/>
      <c r="E2114" s="43"/>
      <c r="F2114" s="44"/>
      <c r="G2114" s="1" t="str">
        <f>IFERROR(IF(ventas_b_mes684[[#This Row],[CUIT]]="","-",VLOOKUP(ventas_b_mes684[[#This Row],[CUIT]],Lista_CUIT[#All],2,0)),"CUIT NO CARGADO")</f>
        <v>-</v>
      </c>
      <c r="H2114" s="64"/>
      <c r="I2114" s="64">
        <f>ventas_b_mes684[[#This Row],[IMPORTE NETO]]*0.21</f>
        <v>0</v>
      </c>
      <c r="J2114" s="64"/>
      <c r="K2114" s="64"/>
      <c r="L2114" s="64">
        <f>SUM(ventas_b_mes684[[#This Row],[IMPORTE NETO]:[EXENTO]])</f>
        <v>0</v>
      </c>
      <c r="M2114" s="59"/>
    </row>
    <row r="2115" spans="2:13" x14ac:dyDescent="0.25">
      <c r="B2115" s="40"/>
      <c r="C2115" s="41"/>
      <c r="D2115" s="42"/>
      <c r="E2115" s="43"/>
      <c r="F2115" s="44"/>
      <c r="G2115" s="1" t="str">
        <f>IFERROR(IF(ventas_b_mes684[[#This Row],[CUIT]]="","-",VLOOKUP(ventas_b_mes684[[#This Row],[CUIT]],Lista_CUIT[#All],2,0)),"CUIT NO CARGADO")</f>
        <v>-</v>
      </c>
      <c r="H2115" s="64"/>
      <c r="I2115" s="64">
        <f>ventas_b_mes684[[#This Row],[IMPORTE NETO]]*0.21</f>
        <v>0</v>
      </c>
      <c r="J2115" s="64"/>
      <c r="K2115" s="64"/>
      <c r="L2115" s="64">
        <f>SUM(ventas_b_mes684[[#This Row],[IMPORTE NETO]:[EXENTO]])</f>
        <v>0</v>
      </c>
      <c r="M2115" s="59"/>
    </row>
    <row r="2116" spans="2:13" x14ac:dyDescent="0.25">
      <c r="B2116" s="40"/>
      <c r="C2116" s="41"/>
      <c r="D2116" s="42"/>
      <c r="E2116" s="43"/>
      <c r="F2116" s="44"/>
      <c r="G2116" s="1" t="str">
        <f>IFERROR(IF(ventas_b_mes684[[#This Row],[CUIT]]="","-",VLOOKUP(ventas_b_mes684[[#This Row],[CUIT]],Lista_CUIT[#All],2,0)),"CUIT NO CARGADO")</f>
        <v>-</v>
      </c>
      <c r="H2116" s="64"/>
      <c r="I2116" s="64">
        <f>ventas_b_mes684[[#This Row],[IMPORTE NETO]]*0.21</f>
        <v>0</v>
      </c>
      <c r="J2116" s="64"/>
      <c r="K2116" s="64"/>
      <c r="L2116" s="64">
        <f>SUM(ventas_b_mes684[[#This Row],[IMPORTE NETO]:[EXENTO]])</f>
        <v>0</v>
      </c>
      <c r="M2116" s="59"/>
    </row>
    <row r="2117" spans="2:13" x14ac:dyDescent="0.25">
      <c r="B2117" s="40"/>
      <c r="C2117" s="41"/>
      <c r="D2117" s="42"/>
      <c r="E2117" s="43"/>
      <c r="F2117" s="44"/>
      <c r="G2117" s="1" t="str">
        <f>IFERROR(IF(ventas_b_mes684[[#This Row],[CUIT]]="","-",VLOOKUP(ventas_b_mes684[[#This Row],[CUIT]],Lista_CUIT[#All],2,0)),"CUIT NO CARGADO")</f>
        <v>-</v>
      </c>
      <c r="H2117" s="64"/>
      <c r="I2117" s="64">
        <f>ventas_b_mes684[[#This Row],[IMPORTE NETO]]*0.21</f>
        <v>0</v>
      </c>
      <c r="J2117" s="64"/>
      <c r="K2117" s="64"/>
      <c r="L2117" s="64">
        <f>SUM(ventas_b_mes684[[#This Row],[IMPORTE NETO]:[EXENTO]])</f>
        <v>0</v>
      </c>
      <c r="M2117" s="59"/>
    </row>
    <row r="2118" spans="2:13" x14ac:dyDescent="0.25">
      <c r="B2118" s="40"/>
      <c r="C2118" s="41"/>
      <c r="D2118" s="42"/>
      <c r="E2118" s="43"/>
      <c r="F2118" s="44"/>
      <c r="G2118" s="1" t="str">
        <f>IFERROR(IF(ventas_b_mes684[[#This Row],[CUIT]]="","-",VLOOKUP(ventas_b_mes684[[#This Row],[CUIT]],Lista_CUIT[#All],2,0)),"CUIT NO CARGADO")</f>
        <v>-</v>
      </c>
      <c r="H2118" s="64"/>
      <c r="I2118" s="64">
        <f>ventas_b_mes684[[#This Row],[IMPORTE NETO]]*0.21</f>
        <v>0</v>
      </c>
      <c r="J2118" s="64"/>
      <c r="K2118" s="64"/>
      <c r="L2118" s="64">
        <f>SUM(ventas_b_mes684[[#This Row],[IMPORTE NETO]:[EXENTO]])</f>
        <v>0</v>
      </c>
      <c r="M2118" s="59"/>
    </row>
    <row r="2119" spans="2:13" x14ac:dyDescent="0.25">
      <c r="B2119" s="40"/>
      <c r="C2119" s="41"/>
      <c r="D2119" s="42"/>
      <c r="E2119" s="43"/>
      <c r="F2119" s="44"/>
      <c r="G2119" s="1" t="str">
        <f>IFERROR(IF(ventas_b_mes684[[#This Row],[CUIT]]="","-",VLOOKUP(ventas_b_mes684[[#This Row],[CUIT]],Lista_CUIT[#All],2,0)),"CUIT NO CARGADO")</f>
        <v>-</v>
      </c>
      <c r="H2119" s="64"/>
      <c r="I2119" s="64">
        <f>ventas_b_mes684[[#This Row],[IMPORTE NETO]]*0.21</f>
        <v>0</v>
      </c>
      <c r="J2119" s="64"/>
      <c r="K2119" s="64"/>
      <c r="L2119" s="64">
        <f>SUM(ventas_b_mes684[[#This Row],[IMPORTE NETO]:[EXENTO]])</f>
        <v>0</v>
      </c>
      <c r="M2119" s="59"/>
    </row>
    <row r="2120" spans="2:13" x14ac:dyDescent="0.25">
      <c r="B2120" s="40"/>
      <c r="C2120" s="41"/>
      <c r="D2120" s="42"/>
      <c r="E2120" s="43"/>
      <c r="F2120" s="44"/>
      <c r="G2120" s="1" t="str">
        <f>IFERROR(IF(ventas_b_mes684[[#This Row],[CUIT]]="","-",VLOOKUP(ventas_b_mes684[[#This Row],[CUIT]],Lista_CUIT[#All],2,0)),"CUIT NO CARGADO")</f>
        <v>-</v>
      </c>
      <c r="H2120" s="64"/>
      <c r="I2120" s="64">
        <f>ventas_b_mes684[[#This Row],[IMPORTE NETO]]*0.21</f>
        <v>0</v>
      </c>
      <c r="J2120" s="64"/>
      <c r="K2120" s="64"/>
      <c r="L2120" s="64">
        <f>SUM(ventas_b_mes684[[#This Row],[IMPORTE NETO]:[EXENTO]])</f>
        <v>0</v>
      </c>
      <c r="M2120" s="59"/>
    </row>
    <row r="2121" spans="2:13" x14ac:dyDescent="0.25">
      <c r="B2121" s="40"/>
      <c r="C2121" s="41"/>
      <c r="D2121" s="42"/>
      <c r="E2121" s="43"/>
      <c r="F2121" s="44"/>
      <c r="G2121" s="1" t="str">
        <f>IFERROR(IF(ventas_b_mes684[[#This Row],[CUIT]]="","-",VLOOKUP(ventas_b_mes684[[#This Row],[CUIT]],Lista_CUIT[#All],2,0)),"CUIT NO CARGADO")</f>
        <v>-</v>
      </c>
      <c r="H2121" s="64"/>
      <c r="I2121" s="64">
        <f>ventas_b_mes684[[#This Row],[IMPORTE NETO]]*0.21</f>
        <v>0</v>
      </c>
      <c r="J2121" s="64"/>
      <c r="K2121" s="64"/>
      <c r="L2121" s="64">
        <f>SUM(ventas_b_mes684[[#This Row],[IMPORTE NETO]:[EXENTO]])</f>
        <v>0</v>
      </c>
      <c r="M2121" s="59"/>
    </row>
    <row r="2122" spans="2:13" x14ac:dyDescent="0.25">
      <c r="B2122" s="40"/>
      <c r="C2122" s="41"/>
      <c r="D2122" s="42"/>
      <c r="E2122" s="43"/>
      <c r="F2122" s="44"/>
      <c r="G2122" s="1" t="str">
        <f>IFERROR(IF(ventas_b_mes684[[#This Row],[CUIT]]="","-",VLOOKUP(ventas_b_mes684[[#This Row],[CUIT]],Lista_CUIT[#All],2,0)),"CUIT NO CARGADO")</f>
        <v>-</v>
      </c>
      <c r="H2122" s="64"/>
      <c r="I2122" s="64">
        <f>ventas_b_mes684[[#This Row],[IMPORTE NETO]]*0.21</f>
        <v>0</v>
      </c>
      <c r="J2122" s="64"/>
      <c r="K2122" s="64"/>
      <c r="L2122" s="64">
        <f>SUM(ventas_b_mes684[[#This Row],[IMPORTE NETO]:[EXENTO]])</f>
        <v>0</v>
      </c>
      <c r="M2122" s="59"/>
    </row>
    <row r="2123" spans="2:13" x14ac:dyDescent="0.25">
      <c r="B2123" s="40"/>
      <c r="C2123" s="41"/>
      <c r="D2123" s="42"/>
      <c r="E2123" s="43"/>
      <c r="F2123" s="44"/>
      <c r="G2123" s="1" t="str">
        <f>IFERROR(IF(ventas_b_mes684[[#This Row],[CUIT]]="","-",VLOOKUP(ventas_b_mes684[[#This Row],[CUIT]],Lista_CUIT[#All],2,0)),"CUIT NO CARGADO")</f>
        <v>-</v>
      </c>
      <c r="H2123" s="64"/>
      <c r="I2123" s="64">
        <f>ventas_b_mes684[[#This Row],[IMPORTE NETO]]*0.21</f>
        <v>0</v>
      </c>
      <c r="J2123" s="64"/>
      <c r="K2123" s="64"/>
      <c r="L2123" s="64">
        <f>SUM(ventas_b_mes684[[#This Row],[IMPORTE NETO]:[EXENTO]])</f>
        <v>0</v>
      </c>
      <c r="M2123" s="59"/>
    </row>
    <row r="2124" spans="2:13" x14ac:dyDescent="0.25">
      <c r="B2124" s="40"/>
      <c r="C2124" s="41"/>
      <c r="D2124" s="42"/>
      <c r="E2124" s="43"/>
      <c r="F2124" s="44"/>
      <c r="G2124" s="1" t="str">
        <f>IFERROR(IF(ventas_b_mes684[[#This Row],[CUIT]]="","-",VLOOKUP(ventas_b_mes684[[#This Row],[CUIT]],Lista_CUIT[#All],2,0)),"CUIT NO CARGADO")</f>
        <v>-</v>
      </c>
      <c r="H2124" s="64"/>
      <c r="I2124" s="64">
        <f>ventas_b_mes684[[#This Row],[IMPORTE NETO]]*0.21</f>
        <v>0</v>
      </c>
      <c r="J2124" s="64"/>
      <c r="K2124" s="64"/>
      <c r="L2124" s="64">
        <f>SUM(ventas_b_mes684[[#This Row],[IMPORTE NETO]:[EXENTO]])</f>
        <v>0</v>
      </c>
      <c r="M2124" s="59"/>
    </row>
    <row r="2125" spans="2:13" x14ac:dyDescent="0.25">
      <c r="B2125" s="40"/>
      <c r="C2125" s="41"/>
      <c r="D2125" s="42"/>
      <c r="E2125" s="43"/>
      <c r="F2125" s="44"/>
      <c r="G2125" s="1" t="str">
        <f>IFERROR(IF(ventas_b_mes684[[#This Row],[CUIT]]="","-",VLOOKUP(ventas_b_mes684[[#This Row],[CUIT]],Lista_CUIT[#All],2,0)),"CUIT NO CARGADO")</f>
        <v>-</v>
      </c>
      <c r="H2125" s="64"/>
      <c r="I2125" s="64">
        <f>ventas_b_mes684[[#This Row],[IMPORTE NETO]]*0.21</f>
        <v>0</v>
      </c>
      <c r="J2125" s="64"/>
      <c r="K2125" s="64"/>
      <c r="L2125" s="64">
        <f>SUM(ventas_b_mes684[[#This Row],[IMPORTE NETO]:[EXENTO]])</f>
        <v>0</v>
      </c>
      <c r="M2125" s="59"/>
    </row>
    <row r="2126" spans="2:13" x14ac:dyDescent="0.25">
      <c r="B2126" s="40"/>
      <c r="C2126" s="41"/>
      <c r="D2126" s="42"/>
      <c r="E2126" s="43"/>
      <c r="F2126" s="44"/>
      <c r="G2126" s="1" t="str">
        <f>IFERROR(IF(ventas_b_mes684[[#This Row],[CUIT]]="","-",VLOOKUP(ventas_b_mes684[[#This Row],[CUIT]],Lista_CUIT[#All],2,0)),"CUIT NO CARGADO")</f>
        <v>-</v>
      </c>
      <c r="H2126" s="64"/>
      <c r="I2126" s="64">
        <f>ventas_b_mes684[[#This Row],[IMPORTE NETO]]*0.21</f>
        <v>0</v>
      </c>
      <c r="J2126" s="64"/>
      <c r="K2126" s="64"/>
      <c r="L2126" s="64">
        <f>SUM(ventas_b_mes684[[#This Row],[IMPORTE NETO]:[EXENTO]])</f>
        <v>0</v>
      </c>
      <c r="M2126" s="59"/>
    </row>
    <row r="2127" spans="2:13" x14ac:dyDescent="0.25">
      <c r="B2127" s="40"/>
      <c r="C2127" s="41"/>
      <c r="D2127" s="42"/>
      <c r="E2127" s="43"/>
      <c r="F2127" s="44"/>
      <c r="G2127" s="1" t="str">
        <f>IFERROR(IF(ventas_b_mes684[[#This Row],[CUIT]]="","-",VLOOKUP(ventas_b_mes684[[#This Row],[CUIT]],Lista_CUIT[#All],2,0)),"CUIT NO CARGADO")</f>
        <v>-</v>
      </c>
      <c r="H2127" s="64"/>
      <c r="I2127" s="64">
        <f>ventas_b_mes684[[#This Row],[IMPORTE NETO]]*0.21</f>
        <v>0</v>
      </c>
      <c r="J2127" s="64"/>
      <c r="K2127" s="64"/>
      <c r="L2127" s="64">
        <f>SUM(ventas_b_mes684[[#This Row],[IMPORTE NETO]:[EXENTO]])</f>
        <v>0</v>
      </c>
      <c r="M2127" s="59"/>
    </row>
    <row r="2128" spans="2:13" x14ac:dyDescent="0.25">
      <c r="B2128" s="40"/>
      <c r="C2128" s="41"/>
      <c r="D2128" s="42"/>
      <c r="E2128" s="43"/>
      <c r="F2128" s="44"/>
      <c r="G2128" s="1" t="str">
        <f>IFERROR(IF(ventas_b_mes684[[#This Row],[CUIT]]="","-",VLOOKUP(ventas_b_mes684[[#This Row],[CUIT]],Lista_CUIT[#All],2,0)),"CUIT NO CARGADO")</f>
        <v>-</v>
      </c>
      <c r="H2128" s="64"/>
      <c r="I2128" s="64">
        <f>ventas_b_mes684[[#This Row],[IMPORTE NETO]]*0.21</f>
        <v>0</v>
      </c>
      <c r="J2128" s="64"/>
      <c r="K2128" s="64"/>
      <c r="L2128" s="64">
        <f>SUM(ventas_b_mes684[[#This Row],[IMPORTE NETO]:[EXENTO]])</f>
        <v>0</v>
      </c>
      <c r="M2128" s="59"/>
    </row>
    <row r="2129" spans="2:13" x14ac:dyDescent="0.25">
      <c r="B2129" s="40"/>
      <c r="C2129" s="41"/>
      <c r="D2129" s="42"/>
      <c r="E2129" s="43"/>
      <c r="F2129" s="44"/>
      <c r="G2129" s="1" t="str">
        <f>IFERROR(IF(ventas_b_mes684[[#This Row],[CUIT]]="","-",VLOOKUP(ventas_b_mes684[[#This Row],[CUIT]],Lista_CUIT[#All],2,0)),"CUIT NO CARGADO")</f>
        <v>-</v>
      </c>
      <c r="H2129" s="64"/>
      <c r="I2129" s="64">
        <f>ventas_b_mes684[[#This Row],[IMPORTE NETO]]*0.21</f>
        <v>0</v>
      </c>
      <c r="J2129" s="64"/>
      <c r="K2129" s="64"/>
      <c r="L2129" s="64">
        <f>SUM(ventas_b_mes684[[#This Row],[IMPORTE NETO]:[EXENTO]])</f>
        <v>0</v>
      </c>
      <c r="M2129" s="59"/>
    </row>
    <row r="2130" spans="2:13" x14ac:dyDescent="0.25">
      <c r="B2130" s="40"/>
      <c r="C2130" s="41"/>
      <c r="D2130" s="42"/>
      <c r="E2130" s="43"/>
      <c r="F2130" s="44"/>
      <c r="G2130" s="1" t="str">
        <f>IFERROR(IF(ventas_b_mes684[[#This Row],[CUIT]]="","-",VLOOKUP(ventas_b_mes684[[#This Row],[CUIT]],Lista_CUIT[#All],2,0)),"CUIT NO CARGADO")</f>
        <v>-</v>
      </c>
      <c r="H2130" s="64"/>
      <c r="I2130" s="64">
        <f>ventas_b_mes684[[#This Row],[IMPORTE NETO]]*0.21</f>
        <v>0</v>
      </c>
      <c r="J2130" s="64"/>
      <c r="K2130" s="64"/>
      <c r="L2130" s="64">
        <f>SUM(ventas_b_mes684[[#This Row],[IMPORTE NETO]:[EXENTO]])</f>
        <v>0</v>
      </c>
      <c r="M2130" s="59"/>
    </row>
    <row r="2131" spans="2:13" x14ac:dyDescent="0.25">
      <c r="B2131" s="40"/>
      <c r="C2131" s="41"/>
      <c r="D2131" s="42"/>
      <c r="E2131" s="43"/>
      <c r="F2131" s="44"/>
      <c r="G2131" s="1" t="str">
        <f>IFERROR(IF(ventas_b_mes684[[#This Row],[CUIT]]="","-",VLOOKUP(ventas_b_mes684[[#This Row],[CUIT]],Lista_CUIT[#All],2,0)),"CUIT NO CARGADO")</f>
        <v>-</v>
      </c>
      <c r="H2131" s="64"/>
      <c r="I2131" s="64">
        <f>ventas_b_mes684[[#This Row],[IMPORTE NETO]]*0.21</f>
        <v>0</v>
      </c>
      <c r="J2131" s="64"/>
      <c r="K2131" s="64"/>
      <c r="L2131" s="64">
        <f>SUM(ventas_b_mes684[[#This Row],[IMPORTE NETO]:[EXENTO]])</f>
        <v>0</v>
      </c>
      <c r="M2131" s="59"/>
    </row>
    <row r="2132" spans="2:13" x14ac:dyDescent="0.25">
      <c r="B2132" s="40"/>
      <c r="C2132" s="41"/>
      <c r="D2132" s="42"/>
      <c r="E2132" s="43"/>
      <c r="F2132" s="44"/>
      <c r="G2132" s="1" t="str">
        <f>IFERROR(IF(ventas_b_mes684[[#This Row],[CUIT]]="","-",VLOOKUP(ventas_b_mes684[[#This Row],[CUIT]],Lista_CUIT[#All],2,0)),"CUIT NO CARGADO")</f>
        <v>-</v>
      </c>
      <c r="H2132" s="64"/>
      <c r="I2132" s="64">
        <f>ventas_b_mes684[[#This Row],[IMPORTE NETO]]*0.21</f>
        <v>0</v>
      </c>
      <c r="J2132" s="64"/>
      <c r="K2132" s="64"/>
      <c r="L2132" s="64">
        <f>SUM(ventas_b_mes684[[#This Row],[IMPORTE NETO]:[EXENTO]])</f>
        <v>0</v>
      </c>
      <c r="M2132" s="59"/>
    </row>
    <row r="2133" spans="2:13" x14ac:dyDescent="0.25">
      <c r="B2133" s="40"/>
      <c r="C2133" s="41"/>
      <c r="D2133" s="42"/>
      <c r="E2133" s="43"/>
      <c r="F2133" s="44"/>
      <c r="G2133" s="1" t="str">
        <f>IFERROR(IF(ventas_b_mes684[[#This Row],[CUIT]]="","-",VLOOKUP(ventas_b_mes684[[#This Row],[CUIT]],Lista_CUIT[#All],2,0)),"CUIT NO CARGADO")</f>
        <v>-</v>
      </c>
      <c r="H2133" s="64"/>
      <c r="I2133" s="64">
        <f>ventas_b_mes684[[#This Row],[IMPORTE NETO]]*0.21</f>
        <v>0</v>
      </c>
      <c r="J2133" s="64"/>
      <c r="K2133" s="64"/>
      <c r="L2133" s="64">
        <f>SUM(ventas_b_mes684[[#This Row],[IMPORTE NETO]:[EXENTO]])</f>
        <v>0</v>
      </c>
      <c r="M2133" s="59"/>
    </row>
    <row r="2134" spans="2:13" x14ac:dyDescent="0.25">
      <c r="B2134" s="40"/>
      <c r="C2134" s="41"/>
      <c r="D2134" s="42"/>
      <c r="E2134" s="43"/>
      <c r="F2134" s="44"/>
      <c r="G2134" s="1" t="str">
        <f>IFERROR(IF(ventas_b_mes684[[#This Row],[CUIT]]="","-",VLOOKUP(ventas_b_mes684[[#This Row],[CUIT]],Lista_CUIT[#All],2,0)),"CUIT NO CARGADO")</f>
        <v>-</v>
      </c>
      <c r="H2134" s="64"/>
      <c r="I2134" s="64">
        <f>ventas_b_mes684[[#This Row],[IMPORTE NETO]]*0.21</f>
        <v>0</v>
      </c>
      <c r="J2134" s="64"/>
      <c r="K2134" s="64"/>
      <c r="L2134" s="64">
        <f>SUM(ventas_b_mes684[[#This Row],[IMPORTE NETO]:[EXENTO]])</f>
        <v>0</v>
      </c>
      <c r="M2134" s="59"/>
    </row>
    <row r="2135" spans="2:13" x14ac:dyDescent="0.25">
      <c r="B2135" s="40"/>
      <c r="C2135" s="41"/>
      <c r="D2135" s="42"/>
      <c r="E2135" s="43"/>
      <c r="F2135" s="44"/>
      <c r="G2135" s="1" t="str">
        <f>IFERROR(IF(ventas_b_mes684[[#This Row],[CUIT]]="","-",VLOOKUP(ventas_b_mes684[[#This Row],[CUIT]],Lista_CUIT[#All],2,0)),"CUIT NO CARGADO")</f>
        <v>-</v>
      </c>
      <c r="H2135" s="64"/>
      <c r="I2135" s="64">
        <f>ventas_b_mes684[[#This Row],[IMPORTE NETO]]*0.21</f>
        <v>0</v>
      </c>
      <c r="J2135" s="64"/>
      <c r="K2135" s="64"/>
      <c r="L2135" s="64">
        <f>SUM(ventas_b_mes684[[#This Row],[IMPORTE NETO]:[EXENTO]])</f>
        <v>0</v>
      </c>
      <c r="M2135" s="59"/>
    </row>
    <row r="2136" spans="2:13" x14ac:dyDescent="0.25">
      <c r="B2136" s="40"/>
      <c r="C2136" s="41"/>
      <c r="D2136" s="42"/>
      <c r="E2136" s="43"/>
      <c r="F2136" s="44"/>
      <c r="G2136" s="1" t="str">
        <f>IFERROR(IF(ventas_b_mes684[[#This Row],[CUIT]]="","-",VLOOKUP(ventas_b_mes684[[#This Row],[CUIT]],Lista_CUIT[#All],2,0)),"CUIT NO CARGADO")</f>
        <v>-</v>
      </c>
      <c r="H2136" s="64"/>
      <c r="I2136" s="64">
        <f>ventas_b_mes684[[#This Row],[IMPORTE NETO]]*0.21</f>
        <v>0</v>
      </c>
      <c r="J2136" s="64"/>
      <c r="K2136" s="64"/>
      <c r="L2136" s="64">
        <f>SUM(ventas_b_mes684[[#This Row],[IMPORTE NETO]:[EXENTO]])</f>
        <v>0</v>
      </c>
      <c r="M2136" s="59"/>
    </row>
    <row r="2137" spans="2:13" x14ac:dyDescent="0.25">
      <c r="B2137" s="40"/>
      <c r="C2137" s="41"/>
      <c r="D2137" s="42"/>
      <c r="E2137" s="43"/>
      <c r="F2137" s="44"/>
      <c r="G2137" s="1" t="str">
        <f>IFERROR(IF(ventas_b_mes684[[#This Row],[CUIT]]="","-",VLOOKUP(ventas_b_mes684[[#This Row],[CUIT]],Lista_CUIT[#All],2,0)),"CUIT NO CARGADO")</f>
        <v>-</v>
      </c>
      <c r="H2137" s="64"/>
      <c r="I2137" s="64">
        <f>ventas_b_mes684[[#This Row],[IMPORTE NETO]]*0.21</f>
        <v>0</v>
      </c>
      <c r="J2137" s="64"/>
      <c r="K2137" s="64"/>
      <c r="L2137" s="64">
        <f>SUM(ventas_b_mes684[[#This Row],[IMPORTE NETO]:[EXENTO]])</f>
        <v>0</v>
      </c>
      <c r="M2137" s="59"/>
    </row>
    <row r="2138" spans="2:13" x14ac:dyDescent="0.25">
      <c r="B2138" s="40"/>
      <c r="C2138" s="41"/>
      <c r="D2138" s="42"/>
      <c r="E2138" s="43"/>
      <c r="F2138" s="44"/>
      <c r="G2138" s="1" t="str">
        <f>IFERROR(IF(ventas_b_mes684[[#This Row],[CUIT]]="","-",VLOOKUP(ventas_b_mes684[[#This Row],[CUIT]],Lista_CUIT[#All],2,0)),"CUIT NO CARGADO")</f>
        <v>-</v>
      </c>
      <c r="H2138" s="64"/>
      <c r="I2138" s="64">
        <f>ventas_b_mes684[[#This Row],[IMPORTE NETO]]*0.21</f>
        <v>0</v>
      </c>
      <c r="J2138" s="64"/>
      <c r="K2138" s="64"/>
      <c r="L2138" s="64">
        <f>SUM(ventas_b_mes684[[#This Row],[IMPORTE NETO]:[EXENTO]])</f>
        <v>0</v>
      </c>
      <c r="M2138" s="59"/>
    </row>
    <row r="2139" spans="2:13" x14ac:dyDescent="0.25">
      <c r="B2139" s="40"/>
      <c r="C2139" s="41"/>
      <c r="D2139" s="42"/>
      <c r="E2139" s="43"/>
      <c r="F2139" s="44"/>
      <c r="G2139" s="1" t="str">
        <f>IFERROR(IF(ventas_b_mes684[[#This Row],[CUIT]]="","-",VLOOKUP(ventas_b_mes684[[#This Row],[CUIT]],Lista_CUIT[#All],2,0)),"CUIT NO CARGADO")</f>
        <v>-</v>
      </c>
      <c r="H2139" s="64"/>
      <c r="I2139" s="64">
        <f>ventas_b_mes684[[#This Row],[IMPORTE NETO]]*0.21</f>
        <v>0</v>
      </c>
      <c r="J2139" s="64"/>
      <c r="K2139" s="64"/>
      <c r="L2139" s="64">
        <f>SUM(ventas_b_mes684[[#This Row],[IMPORTE NETO]:[EXENTO]])</f>
        <v>0</v>
      </c>
      <c r="M2139" s="59"/>
    </row>
    <row r="2140" spans="2:13" x14ac:dyDescent="0.25">
      <c r="B2140" s="40"/>
      <c r="C2140" s="41"/>
      <c r="D2140" s="42"/>
      <c r="E2140" s="43"/>
      <c r="F2140" s="44"/>
      <c r="G2140" s="1" t="str">
        <f>IFERROR(IF(ventas_b_mes684[[#This Row],[CUIT]]="","-",VLOOKUP(ventas_b_mes684[[#This Row],[CUIT]],Lista_CUIT[#All],2,0)),"CUIT NO CARGADO")</f>
        <v>-</v>
      </c>
      <c r="H2140" s="64"/>
      <c r="I2140" s="64">
        <f>ventas_b_mes684[[#This Row],[IMPORTE NETO]]*0.21</f>
        <v>0</v>
      </c>
      <c r="J2140" s="64"/>
      <c r="K2140" s="64"/>
      <c r="L2140" s="64">
        <f>SUM(ventas_b_mes684[[#This Row],[IMPORTE NETO]:[EXENTO]])</f>
        <v>0</v>
      </c>
      <c r="M2140" s="59"/>
    </row>
    <row r="2141" spans="2:13" x14ac:dyDescent="0.25">
      <c r="B2141" s="40"/>
      <c r="C2141" s="41"/>
      <c r="D2141" s="42"/>
      <c r="E2141" s="43"/>
      <c r="F2141" s="44"/>
      <c r="G2141" s="1" t="str">
        <f>IFERROR(IF(ventas_b_mes684[[#This Row],[CUIT]]="","-",VLOOKUP(ventas_b_mes684[[#This Row],[CUIT]],Lista_CUIT[#All],2,0)),"CUIT NO CARGADO")</f>
        <v>-</v>
      </c>
      <c r="H2141" s="64"/>
      <c r="I2141" s="64">
        <f>ventas_b_mes684[[#This Row],[IMPORTE NETO]]*0.21</f>
        <v>0</v>
      </c>
      <c r="J2141" s="64"/>
      <c r="K2141" s="64"/>
      <c r="L2141" s="64">
        <f>SUM(ventas_b_mes684[[#This Row],[IMPORTE NETO]:[EXENTO]])</f>
        <v>0</v>
      </c>
      <c r="M2141" s="59"/>
    </row>
    <row r="2142" spans="2:13" x14ac:dyDescent="0.25">
      <c r="B2142" s="40"/>
      <c r="C2142" s="41"/>
      <c r="D2142" s="42"/>
      <c r="E2142" s="43"/>
      <c r="F2142" s="44"/>
      <c r="G2142" s="1" t="str">
        <f>IFERROR(IF(ventas_b_mes684[[#This Row],[CUIT]]="","-",VLOOKUP(ventas_b_mes684[[#This Row],[CUIT]],Lista_CUIT[#All],2,0)),"CUIT NO CARGADO")</f>
        <v>-</v>
      </c>
      <c r="H2142" s="64"/>
      <c r="I2142" s="64">
        <f>ventas_b_mes684[[#This Row],[IMPORTE NETO]]*0.21</f>
        <v>0</v>
      </c>
      <c r="J2142" s="64"/>
      <c r="K2142" s="64"/>
      <c r="L2142" s="64">
        <f>SUM(ventas_b_mes684[[#This Row],[IMPORTE NETO]:[EXENTO]])</f>
        <v>0</v>
      </c>
      <c r="M2142" s="59"/>
    </row>
    <row r="2143" spans="2:13" x14ac:dyDescent="0.25">
      <c r="B2143" s="40"/>
      <c r="C2143" s="41"/>
      <c r="D2143" s="42"/>
      <c r="E2143" s="43"/>
      <c r="F2143" s="44"/>
      <c r="G2143" s="1" t="str">
        <f>IFERROR(IF(ventas_b_mes684[[#This Row],[CUIT]]="","-",VLOOKUP(ventas_b_mes684[[#This Row],[CUIT]],Lista_CUIT[#All],2,0)),"CUIT NO CARGADO")</f>
        <v>-</v>
      </c>
      <c r="H2143" s="64"/>
      <c r="I2143" s="64">
        <f>ventas_b_mes684[[#This Row],[IMPORTE NETO]]*0.21</f>
        <v>0</v>
      </c>
      <c r="J2143" s="64"/>
      <c r="K2143" s="64"/>
      <c r="L2143" s="64">
        <f>SUM(ventas_b_mes684[[#This Row],[IMPORTE NETO]:[EXENTO]])</f>
        <v>0</v>
      </c>
      <c r="M2143" s="59"/>
    </row>
    <row r="2144" spans="2:13" x14ac:dyDescent="0.25">
      <c r="B2144" s="40"/>
      <c r="C2144" s="41"/>
      <c r="D2144" s="42"/>
      <c r="E2144" s="43"/>
      <c r="F2144" s="44"/>
      <c r="G2144" s="1" t="str">
        <f>IFERROR(IF(ventas_b_mes684[[#This Row],[CUIT]]="","-",VLOOKUP(ventas_b_mes684[[#This Row],[CUIT]],Lista_CUIT[#All],2,0)),"CUIT NO CARGADO")</f>
        <v>-</v>
      </c>
      <c r="H2144" s="64"/>
      <c r="I2144" s="64">
        <f>ventas_b_mes684[[#This Row],[IMPORTE NETO]]*0.21</f>
        <v>0</v>
      </c>
      <c r="J2144" s="64"/>
      <c r="K2144" s="64"/>
      <c r="L2144" s="64">
        <f>SUM(ventas_b_mes684[[#This Row],[IMPORTE NETO]:[EXENTO]])</f>
        <v>0</v>
      </c>
      <c r="M2144" s="59"/>
    </row>
    <row r="2145" spans="2:13" x14ac:dyDescent="0.25">
      <c r="B2145" s="40"/>
      <c r="C2145" s="41"/>
      <c r="D2145" s="42"/>
      <c r="E2145" s="43"/>
      <c r="F2145" s="44"/>
      <c r="G2145" s="1" t="str">
        <f>IFERROR(IF(ventas_b_mes684[[#This Row],[CUIT]]="","-",VLOOKUP(ventas_b_mes684[[#This Row],[CUIT]],Lista_CUIT[#All],2,0)),"CUIT NO CARGADO")</f>
        <v>-</v>
      </c>
      <c r="H2145" s="64"/>
      <c r="I2145" s="64">
        <f>ventas_b_mes684[[#This Row],[IMPORTE NETO]]*0.21</f>
        <v>0</v>
      </c>
      <c r="J2145" s="64"/>
      <c r="K2145" s="64"/>
      <c r="L2145" s="64">
        <f>SUM(ventas_b_mes684[[#This Row],[IMPORTE NETO]:[EXENTO]])</f>
        <v>0</v>
      </c>
      <c r="M2145" s="59"/>
    </row>
    <row r="2146" spans="2:13" x14ac:dyDescent="0.25">
      <c r="B2146" s="40"/>
      <c r="C2146" s="41"/>
      <c r="D2146" s="42"/>
      <c r="E2146" s="43"/>
      <c r="F2146" s="44"/>
      <c r="G2146" s="1" t="str">
        <f>IFERROR(IF(ventas_b_mes684[[#This Row],[CUIT]]="","-",VLOOKUP(ventas_b_mes684[[#This Row],[CUIT]],Lista_CUIT[#All],2,0)),"CUIT NO CARGADO")</f>
        <v>-</v>
      </c>
      <c r="H2146" s="64"/>
      <c r="I2146" s="64">
        <f>ventas_b_mes684[[#This Row],[IMPORTE NETO]]*0.21</f>
        <v>0</v>
      </c>
      <c r="J2146" s="64"/>
      <c r="K2146" s="64"/>
      <c r="L2146" s="64">
        <f>SUM(ventas_b_mes684[[#This Row],[IMPORTE NETO]:[EXENTO]])</f>
        <v>0</v>
      </c>
      <c r="M2146" s="59"/>
    </row>
    <row r="2147" spans="2:13" x14ac:dyDescent="0.25">
      <c r="B2147" s="40"/>
      <c r="C2147" s="41"/>
      <c r="D2147" s="42"/>
      <c r="E2147" s="43"/>
      <c r="F2147" s="44"/>
      <c r="G2147" s="1" t="str">
        <f>IFERROR(IF(ventas_b_mes684[[#This Row],[CUIT]]="","-",VLOOKUP(ventas_b_mes684[[#This Row],[CUIT]],Lista_CUIT[#All],2,0)),"CUIT NO CARGADO")</f>
        <v>-</v>
      </c>
      <c r="H2147" s="64"/>
      <c r="I2147" s="64">
        <f>ventas_b_mes684[[#This Row],[IMPORTE NETO]]*0.21</f>
        <v>0</v>
      </c>
      <c r="J2147" s="64"/>
      <c r="K2147" s="64"/>
      <c r="L2147" s="64">
        <f>SUM(ventas_b_mes684[[#This Row],[IMPORTE NETO]:[EXENTO]])</f>
        <v>0</v>
      </c>
      <c r="M2147" s="59"/>
    </row>
    <row r="2148" spans="2:13" x14ac:dyDescent="0.25">
      <c r="B2148" s="40"/>
      <c r="C2148" s="41"/>
      <c r="D2148" s="42"/>
      <c r="E2148" s="43"/>
      <c r="F2148" s="44"/>
      <c r="G2148" s="1" t="str">
        <f>IFERROR(IF(ventas_b_mes684[[#This Row],[CUIT]]="","-",VLOOKUP(ventas_b_mes684[[#This Row],[CUIT]],Lista_CUIT[#All],2,0)),"CUIT NO CARGADO")</f>
        <v>-</v>
      </c>
      <c r="H2148" s="64"/>
      <c r="I2148" s="64">
        <f>ventas_b_mes684[[#This Row],[IMPORTE NETO]]*0.21</f>
        <v>0</v>
      </c>
      <c r="J2148" s="64"/>
      <c r="K2148" s="64"/>
      <c r="L2148" s="64">
        <f>SUM(ventas_b_mes684[[#This Row],[IMPORTE NETO]:[EXENTO]])</f>
        <v>0</v>
      </c>
      <c r="M2148" s="59"/>
    </row>
    <row r="2149" spans="2:13" x14ac:dyDescent="0.25">
      <c r="B2149" s="40"/>
      <c r="C2149" s="41"/>
      <c r="D2149" s="42"/>
      <c r="E2149" s="43"/>
      <c r="F2149" s="44"/>
      <c r="G2149" s="1" t="str">
        <f>IFERROR(IF(ventas_b_mes684[[#This Row],[CUIT]]="","-",VLOOKUP(ventas_b_mes684[[#This Row],[CUIT]],Lista_CUIT[#All],2,0)),"CUIT NO CARGADO")</f>
        <v>-</v>
      </c>
      <c r="H2149" s="64"/>
      <c r="I2149" s="64">
        <f>ventas_b_mes684[[#This Row],[IMPORTE NETO]]*0.21</f>
        <v>0</v>
      </c>
      <c r="J2149" s="64"/>
      <c r="K2149" s="64"/>
      <c r="L2149" s="64">
        <f>SUM(ventas_b_mes684[[#This Row],[IMPORTE NETO]:[EXENTO]])</f>
        <v>0</v>
      </c>
      <c r="M2149" s="59"/>
    </row>
    <row r="2150" spans="2:13" x14ac:dyDescent="0.25">
      <c r="B2150" s="40"/>
      <c r="C2150" s="41"/>
      <c r="D2150" s="42"/>
      <c r="E2150" s="43"/>
      <c r="F2150" s="44"/>
      <c r="G2150" s="1" t="str">
        <f>IFERROR(IF(ventas_b_mes684[[#This Row],[CUIT]]="","-",VLOOKUP(ventas_b_mes684[[#This Row],[CUIT]],Lista_CUIT[#All],2,0)),"CUIT NO CARGADO")</f>
        <v>-</v>
      </c>
      <c r="H2150" s="64"/>
      <c r="I2150" s="64">
        <f>ventas_b_mes684[[#This Row],[IMPORTE NETO]]*0.21</f>
        <v>0</v>
      </c>
      <c r="J2150" s="64"/>
      <c r="K2150" s="64"/>
      <c r="L2150" s="64">
        <f>SUM(ventas_b_mes684[[#This Row],[IMPORTE NETO]:[EXENTO]])</f>
        <v>0</v>
      </c>
      <c r="M2150" s="59"/>
    </row>
    <row r="2151" spans="2:13" x14ac:dyDescent="0.25">
      <c r="B2151" s="40"/>
      <c r="C2151" s="41"/>
      <c r="D2151" s="42"/>
      <c r="E2151" s="43"/>
      <c r="F2151" s="44"/>
      <c r="G2151" s="1" t="str">
        <f>IFERROR(IF(ventas_b_mes684[[#This Row],[CUIT]]="","-",VLOOKUP(ventas_b_mes684[[#This Row],[CUIT]],Lista_CUIT[#All],2,0)),"CUIT NO CARGADO")</f>
        <v>-</v>
      </c>
      <c r="H2151" s="64"/>
      <c r="I2151" s="64">
        <f>ventas_b_mes684[[#This Row],[IMPORTE NETO]]*0.21</f>
        <v>0</v>
      </c>
      <c r="J2151" s="64"/>
      <c r="K2151" s="64"/>
      <c r="L2151" s="64">
        <f>SUM(ventas_b_mes684[[#This Row],[IMPORTE NETO]:[EXENTO]])</f>
        <v>0</v>
      </c>
      <c r="M2151" s="59"/>
    </row>
    <row r="2152" spans="2:13" x14ac:dyDescent="0.25">
      <c r="B2152" s="40"/>
      <c r="C2152" s="41"/>
      <c r="D2152" s="42"/>
      <c r="E2152" s="43"/>
      <c r="F2152" s="44"/>
      <c r="G2152" s="1" t="str">
        <f>IFERROR(IF(ventas_b_mes684[[#This Row],[CUIT]]="","-",VLOOKUP(ventas_b_mes684[[#This Row],[CUIT]],Lista_CUIT[#All],2,0)),"CUIT NO CARGADO")</f>
        <v>-</v>
      </c>
      <c r="H2152" s="64"/>
      <c r="I2152" s="64">
        <f>ventas_b_mes684[[#This Row],[IMPORTE NETO]]*0.21</f>
        <v>0</v>
      </c>
      <c r="J2152" s="64"/>
      <c r="K2152" s="64"/>
      <c r="L2152" s="64">
        <f>SUM(ventas_b_mes684[[#This Row],[IMPORTE NETO]:[EXENTO]])</f>
        <v>0</v>
      </c>
      <c r="M2152" s="59"/>
    </row>
    <row r="2153" spans="2:13" x14ac:dyDescent="0.25">
      <c r="B2153" s="40"/>
      <c r="C2153" s="41"/>
      <c r="D2153" s="42"/>
      <c r="E2153" s="43"/>
      <c r="F2153" s="44"/>
      <c r="G2153" s="1" t="str">
        <f>IFERROR(IF(ventas_b_mes684[[#This Row],[CUIT]]="","-",VLOOKUP(ventas_b_mes684[[#This Row],[CUIT]],Lista_CUIT[#All],2,0)),"CUIT NO CARGADO")</f>
        <v>-</v>
      </c>
      <c r="H2153" s="64"/>
      <c r="I2153" s="64">
        <f>ventas_b_mes684[[#This Row],[IMPORTE NETO]]*0.21</f>
        <v>0</v>
      </c>
      <c r="J2153" s="64"/>
      <c r="K2153" s="64"/>
      <c r="L2153" s="64">
        <f>SUM(ventas_b_mes684[[#This Row],[IMPORTE NETO]:[EXENTO]])</f>
        <v>0</v>
      </c>
      <c r="M2153" s="59"/>
    </row>
    <row r="2154" spans="2:13" x14ac:dyDescent="0.25">
      <c r="B2154" s="40"/>
      <c r="C2154" s="41"/>
      <c r="D2154" s="42"/>
      <c r="E2154" s="43"/>
      <c r="F2154" s="44"/>
      <c r="G2154" s="1" t="str">
        <f>IFERROR(IF(ventas_b_mes684[[#This Row],[CUIT]]="","-",VLOOKUP(ventas_b_mes684[[#This Row],[CUIT]],Lista_CUIT[#All],2,0)),"CUIT NO CARGADO")</f>
        <v>-</v>
      </c>
      <c r="H2154" s="64"/>
      <c r="I2154" s="64">
        <f>ventas_b_mes684[[#This Row],[IMPORTE NETO]]*0.21</f>
        <v>0</v>
      </c>
      <c r="J2154" s="64"/>
      <c r="K2154" s="64"/>
      <c r="L2154" s="64">
        <f>SUM(ventas_b_mes684[[#This Row],[IMPORTE NETO]:[EXENTO]])</f>
        <v>0</v>
      </c>
      <c r="M2154" s="59"/>
    </row>
    <row r="2155" spans="2:13" x14ac:dyDescent="0.25">
      <c r="B2155" s="40"/>
      <c r="C2155" s="41"/>
      <c r="D2155" s="42"/>
      <c r="E2155" s="43"/>
      <c r="F2155" s="44"/>
      <c r="G2155" s="1" t="str">
        <f>IFERROR(IF(ventas_b_mes684[[#This Row],[CUIT]]="","-",VLOOKUP(ventas_b_mes684[[#This Row],[CUIT]],Lista_CUIT[#All],2,0)),"CUIT NO CARGADO")</f>
        <v>-</v>
      </c>
      <c r="H2155" s="64"/>
      <c r="I2155" s="64">
        <f>ventas_b_mes684[[#This Row],[IMPORTE NETO]]*0.21</f>
        <v>0</v>
      </c>
      <c r="J2155" s="64"/>
      <c r="K2155" s="64"/>
      <c r="L2155" s="64">
        <f>SUM(ventas_b_mes684[[#This Row],[IMPORTE NETO]:[EXENTO]])</f>
        <v>0</v>
      </c>
      <c r="M2155" s="59"/>
    </row>
    <row r="2156" spans="2:13" x14ac:dyDescent="0.25">
      <c r="B2156" s="40"/>
      <c r="C2156" s="41"/>
      <c r="D2156" s="42"/>
      <c r="E2156" s="43"/>
      <c r="F2156" s="44"/>
      <c r="G2156" s="1" t="str">
        <f>IFERROR(IF(ventas_b_mes684[[#This Row],[CUIT]]="","-",VLOOKUP(ventas_b_mes684[[#This Row],[CUIT]],Lista_CUIT[#All],2,0)),"CUIT NO CARGADO")</f>
        <v>-</v>
      </c>
      <c r="H2156" s="64"/>
      <c r="I2156" s="64">
        <f>ventas_b_mes684[[#This Row],[IMPORTE NETO]]*0.21</f>
        <v>0</v>
      </c>
      <c r="J2156" s="64"/>
      <c r="K2156" s="64"/>
      <c r="L2156" s="64">
        <f>SUM(ventas_b_mes684[[#This Row],[IMPORTE NETO]:[EXENTO]])</f>
        <v>0</v>
      </c>
      <c r="M2156" s="59"/>
    </row>
    <row r="2157" spans="2:13" x14ac:dyDescent="0.25">
      <c r="B2157" s="40"/>
      <c r="C2157" s="41"/>
      <c r="D2157" s="42"/>
      <c r="E2157" s="43"/>
      <c r="F2157" s="44"/>
      <c r="G2157" s="1" t="str">
        <f>IFERROR(IF(ventas_b_mes684[[#This Row],[CUIT]]="","-",VLOOKUP(ventas_b_mes684[[#This Row],[CUIT]],Lista_CUIT[#All],2,0)),"CUIT NO CARGADO")</f>
        <v>-</v>
      </c>
      <c r="H2157" s="64"/>
      <c r="I2157" s="64">
        <f>ventas_b_mes684[[#This Row],[IMPORTE NETO]]*0.21</f>
        <v>0</v>
      </c>
      <c r="J2157" s="64"/>
      <c r="K2157" s="64"/>
      <c r="L2157" s="64">
        <f>SUM(ventas_b_mes684[[#This Row],[IMPORTE NETO]:[EXENTO]])</f>
        <v>0</v>
      </c>
      <c r="M2157" s="59"/>
    </row>
    <row r="2158" spans="2:13" x14ac:dyDescent="0.25">
      <c r="B2158" s="40"/>
      <c r="C2158" s="41"/>
      <c r="D2158" s="42"/>
      <c r="E2158" s="43"/>
      <c r="F2158" s="44"/>
      <c r="G2158" s="1" t="str">
        <f>IFERROR(IF(ventas_b_mes684[[#This Row],[CUIT]]="","-",VLOOKUP(ventas_b_mes684[[#This Row],[CUIT]],Lista_CUIT[#All],2,0)),"CUIT NO CARGADO")</f>
        <v>-</v>
      </c>
      <c r="H2158" s="64"/>
      <c r="I2158" s="64">
        <f>ventas_b_mes684[[#This Row],[IMPORTE NETO]]*0.21</f>
        <v>0</v>
      </c>
      <c r="J2158" s="64"/>
      <c r="K2158" s="64"/>
      <c r="L2158" s="64">
        <f>SUM(ventas_b_mes684[[#This Row],[IMPORTE NETO]:[EXENTO]])</f>
        <v>0</v>
      </c>
      <c r="M2158" s="59"/>
    </row>
    <row r="2159" spans="2:13" x14ac:dyDescent="0.25">
      <c r="B2159" s="40"/>
      <c r="C2159" s="41"/>
      <c r="D2159" s="42"/>
      <c r="E2159" s="43"/>
      <c r="F2159" s="44"/>
      <c r="G2159" s="1" t="str">
        <f>IFERROR(IF(ventas_b_mes684[[#This Row],[CUIT]]="","-",VLOOKUP(ventas_b_mes684[[#This Row],[CUIT]],Lista_CUIT[#All],2,0)),"CUIT NO CARGADO")</f>
        <v>-</v>
      </c>
      <c r="H2159" s="64"/>
      <c r="I2159" s="64">
        <f>ventas_b_mes684[[#This Row],[IMPORTE NETO]]*0.21</f>
        <v>0</v>
      </c>
      <c r="J2159" s="64"/>
      <c r="K2159" s="64"/>
      <c r="L2159" s="64">
        <f>SUM(ventas_b_mes684[[#This Row],[IMPORTE NETO]:[EXENTO]])</f>
        <v>0</v>
      </c>
      <c r="M2159" s="59"/>
    </row>
    <row r="2160" spans="2:13" x14ac:dyDescent="0.25">
      <c r="B2160" s="40"/>
      <c r="C2160" s="41"/>
      <c r="D2160" s="42"/>
      <c r="E2160" s="43"/>
      <c r="F2160" s="44"/>
      <c r="G2160" s="1" t="str">
        <f>IFERROR(IF(ventas_b_mes684[[#This Row],[CUIT]]="","-",VLOOKUP(ventas_b_mes684[[#This Row],[CUIT]],Lista_CUIT[#All],2,0)),"CUIT NO CARGADO")</f>
        <v>-</v>
      </c>
      <c r="H2160" s="64"/>
      <c r="I2160" s="64">
        <f>ventas_b_mes684[[#This Row],[IMPORTE NETO]]*0.21</f>
        <v>0</v>
      </c>
      <c r="J2160" s="64"/>
      <c r="K2160" s="64"/>
      <c r="L2160" s="64">
        <f>SUM(ventas_b_mes684[[#This Row],[IMPORTE NETO]:[EXENTO]])</f>
        <v>0</v>
      </c>
      <c r="M2160" s="59"/>
    </row>
    <row r="2161" spans="2:13" x14ac:dyDescent="0.25">
      <c r="B2161" s="40"/>
      <c r="C2161" s="41"/>
      <c r="D2161" s="42"/>
      <c r="E2161" s="43"/>
      <c r="F2161" s="44"/>
      <c r="G2161" s="1" t="str">
        <f>IFERROR(IF(ventas_b_mes684[[#This Row],[CUIT]]="","-",VLOOKUP(ventas_b_mes684[[#This Row],[CUIT]],Lista_CUIT[#All],2,0)),"CUIT NO CARGADO")</f>
        <v>-</v>
      </c>
      <c r="H2161" s="64"/>
      <c r="I2161" s="64">
        <f>ventas_b_mes684[[#This Row],[IMPORTE NETO]]*0.21</f>
        <v>0</v>
      </c>
      <c r="J2161" s="64"/>
      <c r="K2161" s="64"/>
      <c r="L2161" s="64">
        <f>SUM(ventas_b_mes684[[#This Row],[IMPORTE NETO]:[EXENTO]])</f>
        <v>0</v>
      </c>
      <c r="M2161" s="59"/>
    </row>
    <row r="2162" spans="2:13" x14ac:dyDescent="0.25">
      <c r="B2162" s="40"/>
      <c r="C2162" s="41"/>
      <c r="D2162" s="42"/>
      <c r="E2162" s="43"/>
      <c r="F2162" s="44"/>
      <c r="G2162" s="1" t="str">
        <f>IFERROR(IF(ventas_b_mes684[[#This Row],[CUIT]]="","-",VLOOKUP(ventas_b_mes684[[#This Row],[CUIT]],Lista_CUIT[#All],2,0)),"CUIT NO CARGADO")</f>
        <v>-</v>
      </c>
      <c r="H2162" s="64"/>
      <c r="I2162" s="64">
        <f>ventas_b_mes684[[#This Row],[IMPORTE NETO]]*0.21</f>
        <v>0</v>
      </c>
      <c r="J2162" s="64"/>
      <c r="K2162" s="64"/>
      <c r="L2162" s="64">
        <f>SUM(ventas_b_mes684[[#This Row],[IMPORTE NETO]:[EXENTO]])</f>
        <v>0</v>
      </c>
      <c r="M2162" s="59"/>
    </row>
    <row r="2163" spans="2:13" x14ac:dyDescent="0.25">
      <c r="B2163" s="40"/>
      <c r="C2163" s="41"/>
      <c r="D2163" s="42"/>
      <c r="E2163" s="43"/>
      <c r="F2163" s="44"/>
      <c r="G2163" s="1" t="str">
        <f>IFERROR(IF(ventas_b_mes684[[#This Row],[CUIT]]="","-",VLOOKUP(ventas_b_mes684[[#This Row],[CUIT]],Lista_CUIT[#All],2,0)),"CUIT NO CARGADO")</f>
        <v>-</v>
      </c>
      <c r="H2163" s="64"/>
      <c r="I2163" s="64">
        <f>ventas_b_mes684[[#This Row],[IMPORTE NETO]]*0.21</f>
        <v>0</v>
      </c>
      <c r="J2163" s="64"/>
      <c r="K2163" s="64"/>
      <c r="L2163" s="64">
        <f>SUM(ventas_b_mes684[[#This Row],[IMPORTE NETO]:[EXENTO]])</f>
        <v>0</v>
      </c>
      <c r="M2163" s="59"/>
    </row>
    <row r="2164" spans="2:13" x14ac:dyDescent="0.25">
      <c r="B2164" s="40"/>
      <c r="C2164" s="41"/>
      <c r="D2164" s="357"/>
      <c r="E2164" s="358"/>
      <c r="F2164" s="359"/>
      <c r="G2164" s="360" t="str">
        <f>IFERROR(IF(ventas_b_mes684[[#This Row],[CUIT]]="","-",VLOOKUP(ventas_b_mes684[[#This Row],[CUIT]],Lista_CUIT[#All],2,0)),"CUIT NO CARGADO")</f>
        <v>-</v>
      </c>
      <c r="H2164" s="64"/>
      <c r="I2164" s="350">
        <f>ventas_b_mes684[[#This Row],[IMPORTE NETO]]*0.21</f>
        <v>0</v>
      </c>
      <c r="J2164" s="351"/>
      <c r="K2164" s="351"/>
      <c r="L2164" s="351">
        <f>SUM(ventas_b_mes684[[#This Row],[IMPORTE NETO]:[EXENTO]])</f>
        <v>0</v>
      </c>
      <c r="M2164" s="352"/>
    </row>
    <row r="2165" spans="2:13" x14ac:dyDescent="0.25">
      <c r="B2165" s="40"/>
      <c r="C2165" s="41"/>
      <c r="D2165" s="357"/>
      <c r="E2165" s="358"/>
      <c r="F2165" s="359"/>
      <c r="G2165" s="360" t="str">
        <f>IFERROR(IF(ventas_b_mes684[[#This Row],[CUIT]]="","-",VLOOKUP(ventas_b_mes684[[#This Row],[CUIT]],Lista_CUIT[#All],2,0)),"CUIT NO CARGADO")</f>
        <v>-</v>
      </c>
      <c r="H2165" s="64"/>
      <c r="I2165" s="350">
        <f>ventas_b_mes684[[#This Row],[IMPORTE NETO]]*0.21</f>
        <v>0</v>
      </c>
      <c r="J2165" s="351"/>
      <c r="K2165" s="351"/>
      <c r="L2165" s="351">
        <f>SUM(ventas_b_mes684[[#This Row],[IMPORTE NETO]:[EXENTO]])</f>
        <v>0</v>
      </c>
      <c r="M2165" s="352"/>
    </row>
    <row r="2166" spans="2:13" x14ac:dyDescent="0.25">
      <c r="B2166" s="40"/>
      <c r="C2166" s="41"/>
      <c r="D2166" s="357"/>
      <c r="E2166" s="358"/>
      <c r="F2166" s="359"/>
      <c r="G2166" s="360" t="str">
        <f>IFERROR(IF(ventas_b_mes684[[#This Row],[CUIT]]="","-",VLOOKUP(ventas_b_mes684[[#This Row],[CUIT]],Lista_CUIT[#All],2,0)),"CUIT NO CARGADO")</f>
        <v>-</v>
      </c>
      <c r="H2166" s="64"/>
      <c r="I2166" s="350">
        <f>ventas_b_mes684[[#This Row],[IMPORTE NETO]]*0.21</f>
        <v>0</v>
      </c>
      <c r="J2166" s="351"/>
      <c r="K2166" s="351"/>
      <c r="L2166" s="351">
        <f>SUM(ventas_b_mes684[[#This Row],[IMPORTE NETO]:[EXENTO]])</f>
        <v>0</v>
      </c>
      <c r="M2166" s="352"/>
    </row>
    <row r="2167" spans="2:13" x14ac:dyDescent="0.25">
      <c r="B2167" s="40"/>
      <c r="C2167" s="41"/>
      <c r="D2167" s="357"/>
      <c r="E2167" s="358"/>
      <c r="F2167" s="359"/>
      <c r="G2167" s="360" t="str">
        <f>IFERROR(IF(ventas_b_mes684[[#This Row],[CUIT]]="","-",VLOOKUP(ventas_b_mes684[[#This Row],[CUIT]],Lista_CUIT[#All],2,0)),"CUIT NO CARGADO")</f>
        <v>-</v>
      </c>
      <c r="H2167" s="64"/>
      <c r="I2167" s="350">
        <f>ventas_b_mes684[[#This Row],[IMPORTE NETO]]*0.21</f>
        <v>0</v>
      </c>
      <c r="J2167" s="351"/>
      <c r="K2167" s="351"/>
      <c r="L2167" s="351">
        <f>SUM(ventas_b_mes684[[#This Row],[IMPORTE NETO]:[EXENTO]])</f>
        <v>0</v>
      </c>
      <c r="M2167" s="352"/>
    </row>
    <row r="2168" spans="2:13" x14ac:dyDescent="0.25">
      <c r="B2168" s="40"/>
      <c r="C2168" s="41"/>
      <c r="D2168" s="357"/>
      <c r="E2168" s="358"/>
      <c r="F2168" s="359"/>
      <c r="G2168" s="360" t="str">
        <f>IFERROR(IF(ventas_b_mes684[[#This Row],[CUIT]]="","-",VLOOKUP(ventas_b_mes684[[#This Row],[CUIT]],Lista_CUIT[#All],2,0)),"CUIT NO CARGADO")</f>
        <v>-</v>
      </c>
      <c r="H2168" s="64"/>
      <c r="I2168" s="350">
        <f>ventas_b_mes684[[#This Row],[IMPORTE NETO]]*0.21</f>
        <v>0</v>
      </c>
      <c r="J2168" s="351"/>
      <c r="K2168" s="351"/>
      <c r="L2168" s="351">
        <f>SUM(ventas_b_mes684[[#This Row],[IMPORTE NETO]:[EXENTO]])</f>
        <v>0</v>
      </c>
      <c r="M2168" s="352"/>
    </row>
    <row r="2169" spans="2:13" x14ac:dyDescent="0.25">
      <c r="B2169" s="40"/>
      <c r="C2169" s="41"/>
      <c r="D2169" s="357"/>
      <c r="E2169" s="358"/>
      <c r="F2169" s="359"/>
      <c r="G2169" s="360" t="str">
        <f>IFERROR(IF(ventas_b_mes684[[#This Row],[CUIT]]="","-",VLOOKUP(ventas_b_mes684[[#This Row],[CUIT]],Lista_CUIT[#All],2,0)),"CUIT NO CARGADO")</f>
        <v>-</v>
      </c>
      <c r="H2169" s="64"/>
      <c r="I2169" s="350">
        <f>ventas_b_mes684[[#This Row],[IMPORTE NETO]]*0.21</f>
        <v>0</v>
      </c>
      <c r="J2169" s="351"/>
      <c r="K2169" s="351"/>
      <c r="L2169" s="351">
        <f>SUM(ventas_b_mes684[[#This Row],[IMPORTE NETO]:[EXENTO]])</f>
        <v>0</v>
      </c>
      <c r="M2169" s="352"/>
    </row>
    <row r="2170" spans="2:13" x14ac:dyDescent="0.25">
      <c r="B2170" s="40"/>
      <c r="C2170" s="41"/>
      <c r="D2170" s="357"/>
      <c r="E2170" s="358"/>
      <c r="F2170" s="359"/>
      <c r="G2170" s="360" t="str">
        <f>IFERROR(IF(ventas_b_mes684[[#This Row],[CUIT]]="","-",VLOOKUP(ventas_b_mes684[[#This Row],[CUIT]],Lista_CUIT[#All],2,0)),"CUIT NO CARGADO")</f>
        <v>-</v>
      </c>
      <c r="H2170" s="64"/>
      <c r="I2170" s="350">
        <f>ventas_b_mes684[[#This Row],[IMPORTE NETO]]*0.21</f>
        <v>0</v>
      </c>
      <c r="J2170" s="351"/>
      <c r="K2170" s="351"/>
      <c r="L2170" s="351">
        <f>SUM(ventas_b_mes684[[#This Row],[IMPORTE NETO]:[EXENTO]])</f>
        <v>0</v>
      </c>
      <c r="M2170" s="352"/>
    </row>
    <row r="2171" spans="2:13" x14ac:dyDescent="0.25">
      <c r="B2171" s="40"/>
      <c r="C2171" s="41"/>
      <c r="D2171" s="357"/>
      <c r="E2171" s="358"/>
      <c r="F2171" s="359"/>
      <c r="G2171" s="360" t="str">
        <f>IFERROR(IF(ventas_b_mes684[[#This Row],[CUIT]]="","-",VLOOKUP(ventas_b_mes684[[#This Row],[CUIT]],Lista_CUIT[#All],2,0)),"CUIT NO CARGADO")</f>
        <v>-</v>
      </c>
      <c r="H2171" s="64"/>
      <c r="I2171" s="350">
        <f>ventas_b_mes684[[#This Row],[IMPORTE NETO]]*0.21</f>
        <v>0</v>
      </c>
      <c r="J2171" s="351"/>
      <c r="K2171" s="351"/>
      <c r="L2171" s="351">
        <f>SUM(ventas_b_mes684[[#This Row],[IMPORTE NETO]:[EXENTO]])</f>
        <v>0</v>
      </c>
      <c r="M2171" s="352"/>
    </row>
    <row r="2172" spans="2:13" x14ac:dyDescent="0.25">
      <c r="B2172" s="40"/>
      <c r="C2172" s="41"/>
      <c r="D2172" s="357"/>
      <c r="E2172" s="358"/>
      <c r="F2172" s="359"/>
      <c r="G2172" s="360" t="str">
        <f>IFERROR(IF(ventas_b_mes684[[#This Row],[CUIT]]="","-",VLOOKUP(ventas_b_mes684[[#This Row],[CUIT]],Lista_CUIT[#All],2,0)),"CUIT NO CARGADO")</f>
        <v>-</v>
      </c>
      <c r="H2172" s="64"/>
      <c r="I2172" s="350">
        <f>ventas_b_mes684[[#This Row],[IMPORTE NETO]]*0.21</f>
        <v>0</v>
      </c>
      <c r="J2172" s="351"/>
      <c r="K2172" s="351"/>
      <c r="L2172" s="351">
        <f>SUM(ventas_b_mes684[[#This Row],[IMPORTE NETO]:[EXENTO]])</f>
        <v>0</v>
      </c>
      <c r="M2172" s="352"/>
    </row>
    <row r="2173" spans="2:13" x14ac:dyDescent="0.25">
      <c r="B2173" s="40"/>
      <c r="C2173" s="41"/>
      <c r="D2173" s="357"/>
      <c r="E2173" s="358"/>
      <c r="F2173" s="359"/>
      <c r="G2173" s="360" t="str">
        <f>IFERROR(IF(ventas_b_mes684[[#This Row],[CUIT]]="","-",VLOOKUP(ventas_b_mes684[[#This Row],[CUIT]],Lista_CUIT[#All],2,0)),"CUIT NO CARGADO")</f>
        <v>-</v>
      </c>
      <c r="H2173" s="64"/>
      <c r="I2173" s="350">
        <f>ventas_b_mes684[[#This Row],[IMPORTE NETO]]*0.21</f>
        <v>0</v>
      </c>
      <c r="J2173" s="351"/>
      <c r="K2173" s="351"/>
      <c r="L2173" s="351">
        <f>SUM(ventas_b_mes684[[#This Row],[IMPORTE NETO]:[EXENTO]])</f>
        <v>0</v>
      </c>
      <c r="M2173" s="352"/>
    </row>
    <row r="2174" spans="2:13" x14ac:dyDescent="0.25">
      <c r="B2174" s="40"/>
      <c r="C2174" s="41"/>
      <c r="D2174" s="357"/>
      <c r="E2174" s="358"/>
      <c r="F2174" s="359"/>
      <c r="G2174" s="360" t="str">
        <f>IFERROR(IF(ventas_b_mes684[[#This Row],[CUIT]]="","-",VLOOKUP(ventas_b_mes684[[#This Row],[CUIT]],Lista_CUIT[#All],2,0)),"CUIT NO CARGADO")</f>
        <v>-</v>
      </c>
      <c r="H2174" s="64"/>
      <c r="I2174" s="350">
        <f>ventas_b_mes684[[#This Row],[IMPORTE NETO]]*0.21</f>
        <v>0</v>
      </c>
      <c r="J2174" s="351"/>
      <c r="K2174" s="351"/>
      <c r="L2174" s="351">
        <f>SUM(ventas_b_mes684[[#This Row],[IMPORTE NETO]:[EXENTO]])</f>
        <v>0</v>
      </c>
      <c r="M2174" s="352"/>
    </row>
    <row r="2175" spans="2:13" x14ac:dyDescent="0.25">
      <c r="B2175" s="40"/>
      <c r="C2175" s="41"/>
      <c r="D2175" s="357"/>
      <c r="E2175" s="358"/>
      <c r="F2175" s="359"/>
      <c r="G2175" s="360" t="str">
        <f>IFERROR(IF(ventas_b_mes684[[#This Row],[CUIT]]="","-",VLOOKUP(ventas_b_mes684[[#This Row],[CUIT]],Lista_CUIT[#All],2,0)),"CUIT NO CARGADO")</f>
        <v>-</v>
      </c>
      <c r="H2175" s="64"/>
      <c r="I2175" s="350">
        <f>ventas_b_mes684[[#This Row],[IMPORTE NETO]]*0.21</f>
        <v>0</v>
      </c>
      <c r="J2175" s="351"/>
      <c r="K2175" s="351"/>
      <c r="L2175" s="351">
        <f>SUM(ventas_b_mes684[[#This Row],[IMPORTE NETO]:[EXENTO]])</f>
        <v>0</v>
      </c>
      <c r="M2175" s="352"/>
    </row>
    <row r="2176" spans="2:13" x14ac:dyDescent="0.25">
      <c r="B2176" s="40"/>
      <c r="C2176" s="41"/>
      <c r="D2176" s="357"/>
      <c r="E2176" s="358"/>
      <c r="F2176" s="359"/>
      <c r="G2176" s="360" t="str">
        <f>IFERROR(IF(ventas_b_mes684[[#This Row],[CUIT]]="","-",VLOOKUP(ventas_b_mes684[[#This Row],[CUIT]],Lista_CUIT[#All],2,0)),"CUIT NO CARGADO")</f>
        <v>-</v>
      </c>
      <c r="H2176" s="64"/>
      <c r="I2176" s="350">
        <f>ventas_b_mes684[[#This Row],[IMPORTE NETO]]*0.21</f>
        <v>0</v>
      </c>
      <c r="J2176" s="351"/>
      <c r="K2176" s="351"/>
      <c r="L2176" s="351">
        <f>SUM(ventas_b_mes684[[#This Row],[IMPORTE NETO]:[EXENTO]])</f>
        <v>0</v>
      </c>
      <c r="M2176" s="352"/>
    </row>
    <row r="2177" spans="2:13" x14ac:dyDescent="0.25">
      <c r="B2177" s="40"/>
      <c r="C2177" s="41"/>
      <c r="D2177" s="357"/>
      <c r="E2177" s="358"/>
      <c r="F2177" s="359"/>
      <c r="G2177" s="360" t="str">
        <f>IFERROR(IF(ventas_b_mes684[[#This Row],[CUIT]]="","-",VLOOKUP(ventas_b_mes684[[#This Row],[CUIT]],Lista_CUIT[#All],2,0)),"CUIT NO CARGADO")</f>
        <v>-</v>
      </c>
      <c r="H2177" s="64"/>
      <c r="I2177" s="350">
        <f>ventas_b_mes684[[#This Row],[IMPORTE NETO]]*0.21</f>
        <v>0</v>
      </c>
      <c r="J2177" s="351"/>
      <c r="K2177" s="351"/>
      <c r="L2177" s="351">
        <f>SUM(ventas_b_mes684[[#This Row],[IMPORTE NETO]:[EXENTO]])</f>
        <v>0</v>
      </c>
      <c r="M2177" s="352"/>
    </row>
    <row r="2178" spans="2:13" x14ac:dyDescent="0.25">
      <c r="B2178" s="40"/>
      <c r="C2178" s="41"/>
      <c r="D2178" s="357"/>
      <c r="E2178" s="358"/>
      <c r="F2178" s="359"/>
      <c r="G2178" s="360" t="str">
        <f>IFERROR(IF(ventas_b_mes684[[#This Row],[CUIT]]="","-",VLOOKUP(ventas_b_mes684[[#This Row],[CUIT]],Lista_CUIT[#All],2,0)),"CUIT NO CARGADO")</f>
        <v>-</v>
      </c>
      <c r="H2178" s="64"/>
      <c r="I2178" s="350">
        <f>ventas_b_mes684[[#This Row],[IMPORTE NETO]]*0.21</f>
        <v>0</v>
      </c>
      <c r="J2178" s="351"/>
      <c r="K2178" s="351"/>
      <c r="L2178" s="351">
        <f>SUM(ventas_b_mes684[[#This Row],[IMPORTE NETO]:[EXENTO]])</f>
        <v>0</v>
      </c>
      <c r="M2178" s="352"/>
    </row>
    <row r="2179" spans="2:13" x14ac:dyDescent="0.25">
      <c r="B2179" s="40"/>
      <c r="C2179" s="41"/>
      <c r="D2179" s="357"/>
      <c r="E2179" s="358"/>
      <c r="F2179" s="359"/>
      <c r="G2179" s="360" t="str">
        <f>IFERROR(IF(ventas_b_mes684[[#This Row],[CUIT]]="","-",VLOOKUP(ventas_b_mes684[[#This Row],[CUIT]],Lista_CUIT[#All],2,0)),"CUIT NO CARGADO")</f>
        <v>-</v>
      </c>
      <c r="H2179" s="64"/>
      <c r="I2179" s="350">
        <f>ventas_b_mes684[[#This Row],[IMPORTE NETO]]*0.21</f>
        <v>0</v>
      </c>
      <c r="J2179" s="351"/>
      <c r="K2179" s="351"/>
      <c r="L2179" s="351">
        <f>SUM(ventas_b_mes684[[#This Row],[IMPORTE NETO]:[EXENTO]])</f>
        <v>0</v>
      </c>
      <c r="M2179" s="352"/>
    </row>
    <row r="2180" spans="2:13" x14ac:dyDescent="0.25">
      <c r="B2180" s="40"/>
      <c r="C2180" s="41"/>
      <c r="D2180" s="357"/>
      <c r="E2180" s="358"/>
      <c r="F2180" s="359"/>
      <c r="G2180" s="360" t="str">
        <f>IFERROR(IF(ventas_b_mes684[[#This Row],[CUIT]]="","-",VLOOKUP(ventas_b_mes684[[#This Row],[CUIT]],Lista_CUIT[#All],2,0)),"CUIT NO CARGADO")</f>
        <v>-</v>
      </c>
      <c r="H2180" s="64"/>
      <c r="I2180" s="350">
        <f>ventas_b_mes684[[#This Row],[IMPORTE NETO]]*0.21</f>
        <v>0</v>
      </c>
      <c r="J2180" s="351"/>
      <c r="K2180" s="351"/>
      <c r="L2180" s="351">
        <f>SUM(ventas_b_mes684[[#This Row],[IMPORTE NETO]:[EXENTO]])</f>
        <v>0</v>
      </c>
      <c r="M2180" s="352"/>
    </row>
    <row r="2181" spans="2:13" x14ac:dyDescent="0.25">
      <c r="B2181" s="40"/>
      <c r="C2181" s="41"/>
      <c r="D2181" s="357"/>
      <c r="E2181" s="358"/>
      <c r="F2181" s="359"/>
      <c r="G2181" s="360" t="str">
        <f>IFERROR(IF(ventas_b_mes684[[#This Row],[CUIT]]="","-",VLOOKUP(ventas_b_mes684[[#This Row],[CUIT]],Lista_CUIT[#All],2,0)),"CUIT NO CARGADO")</f>
        <v>-</v>
      </c>
      <c r="H2181" s="64"/>
      <c r="I2181" s="350">
        <f>ventas_b_mes684[[#This Row],[IMPORTE NETO]]*0.21</f>
        <v>0</v>
      </c>
      <c r="J2181" s="351"/>
      <c r="K2181" s="351"/>
      <c r="L2181" s="351">
        <f>SUM(ventas_b_mes684[[#This Row],[IMPORTE NETO]:[EXENTO]])</f>
        <v>0</v>
      </c>
      <c r="M2181" s="352"/>
    </row>
    <row r="2182" spans="2:13" x14ac:dyDescent="0.25">
      <c r="B2182" s="40"/>
      <c r="C2182" s="41"/>
      <c r="D2182" s="357"/>
      <c r="E2182" s="358"/>
      <c r="F2182" s="359"/>
      <c r="G2182" s="360" t="str">
        <f>IFERROR(IF(ventas_b_mes684[[#This Row],[CUIT]]="","-",VLOOKUP(ventas_b_mes684[[#This Row],[CUIT]],Lista_CUIT[#All],2,0)),"CUIT NO CARGADO")</f>
        <v>-</v>
      </c>
      <c r="H2182" s="64"/>
      <c r="I2182" s="350">
        <f>ventas_b_mes684[[#This Row],[IMPORTE NETO]]*0.21</f>
        <v>0</v>
      </c>
      <c r="J2182" s="351"/>
      <c r="K2182" s="351"/>
      <c r="L2182" s="351">
        <f>SUM(ventas_b_mes684[[#This Row],[IMPORTE NETO]:[EXENTO]])</f>
        <v>0</v>
      </c>
      <c r="M2182" s="352"/>
    </row>
    <row r="2183" spans="2:13" x14ac:dyDescent="0.25">
      <c r="B2183" s="40"/>
      <c r="C2183" s="41"/>
      <c r="D2183" s="357"/>
      <c r="E2183" s="358"/>
      <c r="F2183" s="359"/>
      <c r="G2183" s="360" t="str">
        <f>IFERROR(IF(ventas_b_mes684[[#This Row],[CUIT]]="","-",VLOOKUP(ventas_b_mes684[[#This Row],[CUIT]],Lista_CUIT[#All],2,0)),"CUIT NO CARGADO")</f>
        <v>-</v>
      </c>
      <c r="H2183" s="64"/>
      <c r="I2183" s="350">
        <f>ventas_b_mes684[[#This Row],[IMPORTE NETO]]*0.21</f>
        <v>0</v>
      </c>
      <c r="J2183" s="351"/>
      <c r="K2183" s="351"/>
      <c r="L2183" s="351">
        <f>SUM(ventas_b_mes684[[#This Row],[IMPORTE NETO]:[EXENTO]])</f>
        <v>0</v>
      </c>
      <c r="M2183" s="352"/>
    </row>
    <row r="2184" spans="2:13" x14ac:dyDescent="0.25">
      <c r="B2184" s="40"/>
      <c r="C2184" s="41"/>
      <c r="D2184" s="357"/>
      <c r="E2184" s="358"/>
      <c r="F2184" s="359"/>
      <c r="G2184" s="360" t="str">
        <f>IFERROR(IF(ventas_b_mes684[[#This Row],[CUIT]]="","-",VLOOKUP(ventas_b_mes684[[#This Row],[CUIT]],Lista_CUIT[#All],2,0)),"CUIT NO CARGADO")</f>
        <v>-</v>
      </c>
      <c r="H2184" s="64"/>
      <c r="I2184" s="350">
        <f>ventas_b_mes684[[#This Row],[IMPORTE NETO]]*0.21</f>
        <v>0</v>
      </c>
      <c r="J2184" s="351"/>
      <c r="K2184" s="351"/>
      <c r="L2184" s="351">
        <f>SUM(ventas_b_mes684[[#This Row],[IMPORTE NETO]:[EXENTO]])</f>
        <v>0</v>
      </c>
      <c r="M2184" s="352"/>
    </row>
    <row r="2185" spans="2:13" x14ac:dyDescent="0.25">
      <c r="B2185" s="40"/>
      <c r="C2185" s="41"/>
      <c r="D2185" s="357"/>
      <c r="E2185" s="358"/>
      <c r="F2185" s="359"/>
      <c r="G2185" s="360" t="str">
        <f>IFERROR(IF(ventas_b_mes684[[#This Row],[CUIT]]="","-",VLOOKUP(ventas_b_mes684[[#This Row],[CUIT]],Lista_CUIT[#All],2,0)),"CUIT NO CARGADO")</f>
        <v>-</v>
      </c>
      <c r="H2185" s="64"/>
      <c r="I2185" s="350">
        <f>ventas_b_mes684[[#This Row],[IMPORTE NETO]]*0.21</f>
        <v>0</v>
      </c>
      <c r="J2185" s="351"/>
      <c r="K2185" s="351"/>
      <c r="L2185" s="351">
        <f>SUM(ventas_b_mes684[[#This Row],[IMPORTE NETO]:[EXENTO]])</f>
        <v>0</v>
      </c>
      <c r="M2185" s="352"/>
    </row>
    <row r="2186" spans="2:13" x14ac:dyDescent="0.25">
      <c r="B2186" s="40"/>
      <c r="C2186" s="41"/>
      <c r="D2186" s="357"/>
      <c r="E2186" s="358"/>
      <c r="F2186" s="359"/>
      <c r="G2186" s="360" t="str">
        <f>IFERROR(IF(ventas_b_mes684[[#This Row],[CUIT]]="","-",VLOOKUP(ventas_b_mes684[[#This Row],[CUIT]],Lista_CUIT[#All],2,0)),"CUIT NO CARGADO")</f>
        <v>-</v>
      </c>
      <c r="H2186" s="64"/>
      <c r="I2186" s="350">
        <f>ventas_b_mes684[[#This Row],[IMPORTE NETO]]*0.21</f>
        <v>0</v>
      </c>
      <c r="J2186" s="351"/>
      <c r="K2186" s="351"/>
      <c r="L2186" s="351">
        <f>SUM(ventas_b_mes684[[#This Row],[IMPORTE NETO]:[EXENTO]])</f>
        <v>0</v>
      </c>
      <c r="M2186" s="352"/>
    </row>
    <row r="2187" spans="2:13" x14ac:dyDescent="0.25">
      <c r="B2187" s="40"/>
      <c r="C2187" s="41"/>
      <c r="D2187" s="357"/>
      <c r="E2187" s="358"/>
      <c r="F2187" s="359"/>
      <c r="G2187" s="360" t="str">
        <f>IFERROR(IF(ventas_b_mes684[[#This Row],[CUIT]]="","-",VLOOKUP(ventas_b_mes684[[#This Row],[CUIT]],Lista_CUIT[#All],2,0)),"CUIT NO CARGADO")</f>
        <v>-</v>
      </c>
      <c r="H2187" s="64"/>
      <c r="I2187" s="350">
        <f>ventas_b_mes684[[#This Row],[IMPORTE NETO]]*0.21</f>
        <v>0</v>
      </c>
      <c r="J2187" s="351"/>
      <c r="K2187" s="351"/>
      <c r="L2187" s="351">
        <f>SUM(ventas_b_mes684[[#This Row],[IMPORTE NETO]:[EXENTO]])</f>
        <v>0</v>
      </c>
      <c r="M2187" s="352"/>
    </row>
    <row r="2188" spans="2:13" x14ac:dyDescent="0.25">
      <c r="B2188" s="40"/>
      <c r="C2188" s="41"/>
      <c r="D2188" s="357"/>
      <c r="E2188" s="358"/>
      <c r="F2188" s="359"/>
      <c r="G2188" s="360" t="str">
        <f>IFERROR(IF(ventas_b_mes684[[#This Row],[CUIT]]="","-",VLOOKUP(ventas_b_mes684[[#This Row],[CUIT]],Lista_CUIT[#All],2,0)),"CUIT NO CARGADO")</f>
        <v>-</v>
      </c>
      <c r="H2188" s="64"/>
      <c r="I2188" s="350">
        <f>ventas_b_mes684[[#This Row],[IMPORTE NETO]]*0.21</f>
        <v>0</v>
      </c>
      <c r="J2188" s="351"/>
      <c r="K2188" s="351"/>
      <c r="L2188" s="351">
        <f>SUM(ventas_b_mes684[[#This Row],[IMPORTE NETO]:[EXENTO]])</f>
        <v>0</v>
      </c>
      <c r="M2188" s="352"/>
    </row>
    <row r="2189" spans="2:13" x14ac:dyDescent="0.25">
      <c r="B2189" s="40"/>
      <c r="C2189" s="41"/>
      <c r="D2189" s="357"/>
      <c r="E2189" s="358"/>
      <c r="F2189" s="359"/>
      <c r="G2189" s="360" t="str">
        <f>IFERROR(IF(ventas_b_mes684[[#This Row],[CUIT]]="","-",VLOOKUP(ventas_b_mes684[[#This Row],[CUIT]],Lista_CUIT[#All],2,0)),"CUIT NO CARGADO")</f>
        <v>-</v>
      </c>
      <c r="H2189" s="64"/>
      <c r="I2189" s="350">
        <f>ventas_b_mes684[[#This Row],[IMPORTE NETO]]*0.21</f>
        <v>0</v>
      </c>
      <c r="J2189" s="351"/>
      <c r="K2189" s="351"/>
      <c r="L2189" s="351">
        <f>SUM(ventas_b_mes684[[#This Row],[IMPORTE NETO]:[EXENTO]])</f>
        <v>0</v>
      </c>
      <c r="M2189" s="352"/>
    </row>
    <row r="2190" spans="2:13" x14ac:dyDescent="0.25">
      <c r="B2190" s="40"/>
      <c r="C2190" s="41"/>
      <c r="D2190" s="357"/>
      <c r="E2190" s="358"/>
      <c r="F2190" s="359"/>
      <c r="G2190" s="360" t="str">
        <f>IFERROR(IF(ventas_b_mes684[[#This Row],[CUIT]]="","-",VLOOKUP(ventas_b_mes684[[#This Row],[CUIT]],Lista_CUIT[#All],2,0)),"CUIT NO CARGADO")</f>
        <v>-</v>
      </c>
      <c r="H2190" s="64"/>
      <c r="I2190" s="350">
        <f>ventas_b_mes684[[#This Row],[IMPORTE NETO]]*0.21</f>
        <v>0</v>
      </c>
      <c r="J2190" s="351"/>
      <c r="K2190" s="351"/>
      <c r="L2190" s="351">
        <f>SUM(ventas_b_mes684[[#This Row],[IMPORTE NETO]:[EXENTO]])</f>
        <v>0</v>
      </c>
      <c r="M2190" s="352"/>
    </row>
    <row r="2191" spans="2:13" x14ac:dyDescent="0.25">
      <c r="B2191" s="40"/>
      <c r="C2191" s="41"/>
      <c r="D2191" s="357"/>
      <c r="E2191" s="358"/>
      <c r="F2191" s="359"/>
      <c r="G2191" s="360" t="str">
        <f>IFERROR(IF(ventas_b_mes684[[#This Row],[CUIT]]="","-",VLOOKUP(ventas_b_mes684[[#This Row],[CUIT]],Lista_CUIT[#All],2,0)),"CUIT NO CARGADO")</f>
        <v>-</v>
      </c>
      <c r="H2191" s="64"/>
      <c r="I2191" s="350">
        <f>ventas_b_mes684[[#This Row],[IMPORTE NETO]]*0.21</f>
        <v>0</v>
      </c>
      <c r="J2191" s="351"/>
      <c r="K2191" s="351"/>
      <c r="L2191" s="351">
        <f>SUM(ventas_b_mes684[[#This Row],[IMPORTE NETO]:[EXENTO]])</f>
        <v>0</v>
      </c>
      <c r="M2191" s="352"/>
    </row>
    <row r="2192" spans="2:13" x14ac:dyDescent="0.25">
      <c r="B2192" s="40"/>
      <c r="C2192" s="41"/>
      <c r="D2192" s="357"/>
      <c r="E2192" s="358"/>
      <c r="F2192" s="359"/>
      <c r="G2192" s="360" t="str">
        <f>IFERROR(IF(ventas_b_mes684[[#This Row],[CUIT]]="","-",VLOOKUP(ventas_b_mes684[[#This Row],[CUIT]],Lista_CUIT[#All],2,0)),"CUIT NO CARGADO")</f>
        <v>-</v>
      </c>
      <c r="H2192" s="64"/>
      <c r="I2192" s="350">
        <f>ventas_b_mes684[[#This Row],[IMPORTE NETO]]*0.21</f>
        <v>0</v>
      </c>
      <c r="J2192" s="351"/>
      <c r="K2192" s="351"/>
      <c r="L2192" s="351">
        <f>SUM(ventas_b_mes684[[#This Row],[IMPORTE NETO]:[EXENTO]])</f>
        <v>0</v>
      </c>
      <c r="M2192" s="352"/>
    </row>
    <row r="2193" spans="2:13" x14ac:dyDescent="0.25">
      <c r="B2193" s="40"/>
      <c r="C2193" s="41"/>
      <c r="D2193" s="357"/>
      <c r="E2193" s="358"/>
      <c r="F2193" s="359"/>
      <c r="G2193" s="360" t="str">
        <f>IFERROR(IF(ventas_b_mes684[[#This Row],[CUIT]]="","-",VLOOKUP(ventas_b_mes684[[#This Row],[CUIT]],Lista_CUIT[#All],2,0)),"CUIT NO CARGADO")</f>
        <v>-</v>
      </c>
      <c r="H2193" s="64"/>
      <c r="I2193" s="350">
        <f>ventas_b_mes684[[#This Row],[IMPORTE NETO]]*0.21</f>
        <v>0</v>
      </c>
      <c r="J2193" s="351"/>
      <c r="K2193" s="351"/>
      <c r="L2193" s="351">
        <f>SUM(ventas_b_mes684[[#This Row],[IMPORTE NETO]:[EXENTO]])</f>
        <v>0</v>
      </c>
      <c r="M2193" s="352"/>
    </row>
    <row r="2194" spans="2:13" x14ac:dyDescent="0.25">
      <c r="B2194" s="40"/>
      <c r="C2194" s="41"/>
      <c r="D2194" s="357"/>
      <c r="E2194" s="358"/>
      <c r="F2194" s="359"/>
      <c r="G2194" s="360" t="str">
        <f>IFERROR(IF(ventas_b_mes684[[#This Row],[CUIT]]="","-",VLOOKUP(ventas_b_mes684[[#This Row],[CUIT]],Lista_CUIT[#All],2,0)),"CUIT NO CARGADO")</f>
        <v>-</v>
      </c>
      <c r="H2194" s="64"/>
      <c r="I2194" s="350">
        <f>ventas_b_mes684[[#This Row],[IMPORTE NETO]]*0.21</f>
        <v>0</v>
      </c>
      <c r="J2194" s="351"/>
      <c r="K2194" s="351"/>
      <c r="L2194" s="351">
        <f>SUM(ventas_b_mes684[[#This Row],[IMPORTE NETO]:[EXENTO]])</f>
        <v>0</v>
      </c>
      <c r="M2194" s="352"/>
    </row>
    <row r="2195" spans="2:13" x14ac:dyDescent="0.25">
      <c r="B2195" s="40"/>
      <c r="C2195" s="41"/>
      <c r="D2195" s="357"/>
      <c r="E2195" s="358"/>
      <c r="F2195" s="359"/>
      <c r="G2195" s="360" t="str">
        <f>IFERROR(IF(ventas_b_mes684[[#This Row],[CUIT]]="","-",VLOOKUP(ventas_b_mes684[[#This Row],[CUIT]],Lista_CUIT[#All],2,0)),"CUIT NO CARGADO")</f>
        <v>-</v>
      </c>
      <c r="H2195" s="64"/>
      <c r="I2195" s="350">
        <f>ventas_b_mes684[[#This Row],[IMPORTE NETO]]*0.21</f>
        <v>0</v>
      </c>
      <c r="J2195" s="351"/>
      <c r="K2195" s="351"/>
      <c r="L2195" s="351">
        <f>SUM(ventas_b_mes684[[#This Row],[IMPORTE NETO]:[EXENTO]])</f>
        <v>0</v>
      </c>
      <c r="M2195" s="352"/>
    </row>
    <row r="2196" spans="2:13" x14ac:dyDescent="0.25">
      <c r="B2196" s="40"/>
      <c r="C2196" s="41"/>
      <c r="D2196" s="357"/>
      <c r="E2196" s="358"/>
      <c r="F2196" s="359"/>
      <c r="G2196" s="360" t="str">
        <f>IFERROR(IF(ventas_b_mes684[[#This Row],[CUIT]]="","-",VLOOKUP(ventas_b_mes684[[#This Row],[CUIT]],Lista_CUIT[#All],2,0)),"CUIT NO CARGADO")</f>
        <v>-</v>
      </c>
      <c r="H2196" s="64"/>
      <c r="I2196" s="350">
        <f>ventas_b_mes684[[#This Row],[IMPORTE NETO]]*0.21</f>
        <v>0</v>
      </c>
      <c r="J2196" s="351"/>
      <c r="K2196" s="351"/>
      <c r="L2196" s="351">
        <f>SUM(ventas_b_mes684[[#This Row],[IMPORTE NETO]:[EXENTO]])</f>
        <v>0</v>
      </c>
      <c r="M2196" s="352"/>
    </row>
    <row r="2197" spans="2:13" x14ac:dyDescent="0.25">
      <c r="B2197" s="40"/>
      <c r="C2197" s="41"/>
      <c r="D2197" s="357"/>
      <c r="E2197" s="358"/>
      <c r="F2197" s="359"/>
      <c r="G2197" s="360" t="str">
        <f>IFERROR(IF(ventas_b_mes684[[#This Row],[CUIT]]="","-",VLOOKUP(ventas_b_mes684[[#This Row],[CUIT]],Lista_CUIT[#All],2,0)),"CUIT NO CARGADO")</f>
        <v>-</v>
      </c>
      <c r="H2197" s="64"/>
      <c r="I2197" s="350">
        <f>ventas_b_mes684[[#This Row],[IMPORTE NETO]]*0.21</f>
        <v>0</v>
      </c>
      <c r="J2197" s="351"/>
      <c r="K2197" s="351"/>
      <c r="L2197" s="351">
        <f>SUM(ventas_b_mes684[[#This Row],[IMPORTE NETO]:[EXENTO]])</f>
        <v>0</v>
      </c>
      <c r="M2197" s="352"/>
    </row>
    <row r="2198" spans="2:13" x14ac:dyDescent="0.25">
      <c r="B2198" s="40"/>
      <c r="C2198" s="41"/>
      <c r="D2198" s="357"/>
      <c r="E2198" s="358"/>
      <c r="F2198" s="359"/>
      <c r="G2198" s="360" t="str">
        <f>IFERROR(IF(ventas_b_mes684[[#This Row],[CUIT]]="","-",VLOOKUP(ventas_b_mes684[[#This Row],[CUIT]],Lista_CUIT[#All],2,0)),"CUIT NO CARGADO")</f>
        <v>-</v>
      </c>
      <c r="H2198" s="64"/>
      <c r="I2198" s="350">
        <f>ventas_b_mes684[[#This Row],[IMPORTE NETO]]*0.21</f>
        <v>0</v>
      </c>
      <c r="J2198" s="351"/>
      <c r="K2198" s="351"/>
      <c r="L2198" s="351">
        <f>SUM(ventas_b_mes684[[#This Row],[IMPORTE NETO]:[EXENTO]])</f>
        <v>0</v>
      </c>
      <c r="M2198" s="352"/>
    </row>
    <row r="2199" spans="2:13" x14ac:dyDescent="0.25">
      <c r="B2199" s="40"/>
      <c r="C2199" s="41"/>
      <c r="D2199" s="357"/>
      <c r="E2199" s="358"/>
      <c r="F2199" s="359"/>
      <c r="G2199" s="360" t="str">
        <f>IFERROR(IF(ventas_b_mes684[[#This Row],[CUIT]]="","-",VLOOKUP(ventas_b_mes684[[#This Row],[CUIT]],Lista_CUIT[#All],2,0)),"CUIT NO CARGADO")</f>
        <v>-</v>
      </c>
      <c r="H2199" s="64"/>
      <c r="I2199" s="350">
        <f>ventas_b_mes684[[#This Row],[IMPORTE NETO]]*0.21</f>
        <v>0</v>
      </c>
      <c r="J2199" s="351"/>
      <c r="K2199" s="351"/>
      <c r="L2199" s="351">
        <f>SUM(ventas_b_mes684[[#This Row],[IMPORTE NETO]:[EXENTO]])</f>
        <v>0</v>
      </c>
      <c r="M2199" s="352"/>
    </row>
    <row r="2200" spans="2:13" x14ac:dyDescent="0.25">
      <c r="B2200" s="40"/>
      <c r="C2200" s="41"/>
      <c r="D2200" s="357"/>
      <c r="E2200" s="358"/>
      <c r="F2200" s="359"/>
      <c r="G2200" s="360" t="str">
        <f>IFERROR(IF(ventas_b_mes684[[#This Row],[CUIT]]="","-",VLOOKUP(ventas_b_mes684[[#This Row],[CUIT]],Lista_CUIT[#All],2,0)),"CUIT NO CARGADO")</f>
        <v>-</v>
      </c>
      <c r="H2200" s="64"/>
      <c r="I2200" s="350">
        <f>ventas_b_mes684[[#This Row],[IMPORTE NETO]]*0.21</f>
        <v>0</v>
      </c>
      <c r="J2200" s="351"/>
      <c r="K2200" s="351"/>
      <c r="L2200" s="351">
        <f>SUM(ventas_b_mes684[[#This Row],[IMPORTE NETO]:[EXENTO]])</f>
        <v>0</v>
      </c>
      <c r="M2200" s="352"/>
    </row>
    <row r="2201" spans="2:13" x14ac:dyDescent="0.25">
      <c r="B2201" s="40"/>
      <c r="C2201" s="41"/>
      <c r="D2201" s="357"/>
      <c r="E2201" s="358"/>
      <c r="F2201" s="359"/>
      <c r="G2201" s="360" t="str">
        <f>IFERROR(IF(ventas_b_mes684[[#This Row],[CUIT]]="","-",VLOOKUP(ventas_b_mes684[[#This Row],[CUIT]],Lista_CUIT[#All],2,0)),"CUIT NO CARGADO")</f>
        <v>-</v>
      </c>
      <c r="H2201" s="64"/>
      <c r="I2201" s="350">
        <f>ventas_b_mes684[[#This Row],[IMPORTE NETO]]*0.21</f>
        <v>0</v>
      </c>
      <c r="J2201" s="351"/>
      <c r="K2201" s="351"/>
      <c r="L2201" s="351">
        <f>SUM(ventas_b_mes684[[#This Row],[IMPORTE NETO]:[EXENTO]])</f>
        <v>0</v>
      </c>
      <c r="M2201" s="352"/>
    </row>
    <row r="2202" spans="2:13" x14ac:dyDescent="0.25">
      <c r="B2202" s="40"/>
      <c r="C2202" s="41"/>
      <c r="D2202" s="357"/>
      <c r="E2202" s="358"/>
      <c r="F2202" s="359"/>
      <c r="G2202" s="360" t="str">
        <f>IFERROR(IF(ventas_b_mes684[[#This Row],[CUIT]]="","-",VLOOKUP(ventas_b_mes684[[#This Row],[CUIT]],Lista_CUIT[#All],2,0)),"CUIT NO CARGADO")</f>
        <v>-</v>
      </c>
      <c r="H2202" s="64"/>
      <c r="I2202" s="350">
        <f>ventas_b_mes684[[#This Row],[IMPORTE NETO]]*0.21</f>
        <v>0</v>
      </c>
      <c r="J2202" s="351"/>
      <c r="K2202" s="351"/>
      <c r="L2202" s="351">
        <f>SUM(ventas_b_mes684[[#This Row],[IMPORTE NETO]:[EXENTO]])</f>
        <v>0</v>
      </c>
      <c r="M2202" s="352"/>
    </row>
    <row r="2203" spans="2:13" x14ac:dyDescent="0.25">
      <c r="B2203" s="40"/>
      <c r="C2203" s="41"/>
      <c r="D2203" s="357"/>
      <c r="E2203" s="358"/>
      <c r="F2203" s="359"/>
      <c r="G2203" s="360" t="str">
        <f>IFERROR(IF(ventas_b_mes684[[#This Row],[CUIT]]="","-",VLOOKUP(ventas_b_mes684[[#This Row],[CUIT]],Lista_CUIT[#All],2,0)),"CUIT NO CARGADO")</f>
        <v>-</v>
      </c>
      <c r="H2203" s="64"/>
      <c r="I2203" s="350">
        <f>ventas_b_mes684[[#This Row],[IMPORTE NETO]]*0.21</f>
        <v>0</v>
      </c>
      <c r="J2203" s="351"/>
      <c r="K2203" s="351"/>
      <c r="L2203" s="351">
        <f>SUM(ventas_b_mes684[[#This Row],[IMPORTE NETO]:[EXENTO]])</f>
        <v>0</v>
      </c>
      <c r="M2203" s="352"/>
    </row>
    <row r="2204" spans="2:13" x14ac:dyDescent="0.25">
      <c r="B2204" s="40"/>
      <c r="C2204" s="41"/>
      <c r="D2204" s="357"/>
      <c r="E2204" s="358"/>
      <c r="F2204" s="359"/>
      <c r="G2204" s="360" t="str">
        <f>IFERROR(IF(ventas_b_mes684[[#This Row],[CUIT]]="","-",VLOOKUP(ventas_b_mes684[[#This Row],[CUIT]],Lista_CUIT[#All],2,0)),"CUIT NO CARGADO")</f>
        <v>-</v>
      </c>
      <c r="H2204" s="64"/>
      <c r="I2204" s="350">
        <f>ventas_b_mes684[[#This Row],[IMPORTE NETO]]*0.21</f>
        <v>0</v>
      </c>
      <c r="J2204" s="351"/>
      <c r="K2204" s="351"/>
      <c r="L2204" s="351">
        <f>SUM(ventas_b_mes684[[#This Row],[IMPORTE NETO]:[EXENTO]])</f>
        <v>0</v>
      </c>
      <c r="M2204" s="352"/>
    </row>
    <row r="2205" spans="2:13" x14ac:dyDescent="0.25">
      <c r="B2205" s="40"/>
      <c r="C2205" s="41"/>
      <c r="D2205" s="357"/>
      <c r="E2205" s="358"/>
      <c r="F2205" s="359"/>
      <c r="G2205" s="360" t="str">
        <f>IFERROR(IF(ventas_b_mes684[[#This Row],[CUIT]]="","-",VLOOKUP(ventas_b_mes684[[#This Row],[CUIT]],Lista_CUIT[#All],2,0)),"CUIT NO CARGADO")</f>
        <v>-</v>
      </c>
      <c r="H2205" s="64"/>
      <c r="I2205" s="350">
        <f>ventas_b_mes684[[#This Row],[IMPORTE NETO]]*0.21</f>
        <v>0</v>
      </c>
      <c r="J2205" s="351"/>
      <c r="K2205" s="351"/>
      <c r="L2205" s="351">
        <f>SUM(ventas_b_mes684[[#This Row],[IMPORTE NETO]:[EXENTO]])</f>
        <v>0</v>
      </c>
      <c r="M2205" s="352"/>
    </row>
    <row r="2206" spans="2:13" x14ac:dyDescent="0.25">
      <c r="B2206" s="40"/>
      <c r="C2206" s="41"/>
      <c r="D2206" s="357"/>
      <c r="E2206" s="358"/>
      <c r="F2206" s="359"/>
      <c r="G2206" s="360" t="str">
        <f>IFERROR(IF(ventas_b_mes684[[#This Row],[CUIT]]="","-",VLOOKUP(ventas_b_mes684[[#This Row],[CUIT]],Lista_CUIT[#All],2,0)),"CUIT NO CARGADO")</f>
        <v>-</v>
      </c>
      <c r="H2206" s="64"/>
      <c r="I2206" s="350">
        <f>ventas_b_mes684[[#This Row],[IMPORTE NETO]]*0.21</f>
        <v>0</v>
      </c>
      <c r="J2206" s="351"/>
      <c r="K2206" s="351"/>
      <c r="L2206" s="351">
        <f>SUM(ventas_b_mes684[[#This Row],[IMPORTE NETO]:[EXENTO]])</f>
        <v>0</v>
      </c>
      <c r="M2206" s="352"/>
    </row>
    <row r="2207" spans="2:13" x14ac:dyDescent="0.25">
      <c r="B2207" s="40"/>
      <c r="C2207" s="41"/>
      <c r="D2207" s="357"/>
      <c r="E2207" s="358"/>
      <c r="F2207" s="359"/>
      <c r="G2207" s="360" t="str">
        <f>IFERROR(IF(ventas_b_mes684[[#This Row],[CUIT]]="","-",VLOOKUP(ventas_b_mes684[[#This Row],[CUIT]],Lista_CUIT[#All],2,0)),"CUIT NO CARGADO")</f>
        <v>-</v>
      </c>
      <c r="H2207" s="64"/>
      <c r="I2207" s="350">
        <f>ventas_b_mes684[[#This Row],[IMPORTE NETO]]*0.21</f>
        <v>0</v>
      </c>
      <c r="J2207" s="351"/>
      <c r="K2207" s="351"/>
      <c r="L2207" s="351">
        <f>SUM(ventas_b_mes684[[#This Row],[IMPORTE NETO]:[EXENTO]])</f>
        <v>0</v>
      </c>
      <c r="M2207" s="352"/>
    </row>
    <row r="2208" spans="2:13" x14ac:dyDescent="0.25">
      <c r="B2208" s="40"/>
      <c r="C2208" s="41"/>
      <c r="D2208" s="357"/>
      <c r="E2208" s="358"/>
      <c r="F2208" s="359"/>
      <c r="G2208" s="360" t="str">
        <f>IFERROR(IF(ventas_b_mes684[[#This Row],[CUIT]]="","-",VLOOKUP(ventas_b_mes684[[#This Row],[CUIT]],Lista_CUIT[#All],2,0)),"CUIT NO CARGADO")</f>
        <v>-</v>
      </c>
      <c r="H2208" s="64"/>
      <c r="I2208" s="350">
        <f>ventas_b_mes684[[#This Row],[IMPORTE NETO]]*0.21</f>
        <v>0</v>
      </c>
      <c r="J2208" s="351"/>
      <c r="K2208" s="351"/>
      <c r="L2208" s="351">
        <f>SUM(ventas_b_mes684[[#This Row],[IMPORTE NETO]:[EXENTO]])</f>
        <v>0</v>
      </c>
      <c r="M2208" s="352"/>
    </row>
    <row r="2209" spans="2:13" x14ac:dyDescent="0.25">
      <c r="B2209" s="40"/>
      <c r="C2209" s="41"/>
      <c r="D2209" s="357"/>
      <c r="E2209" s="358"/>
      <c r="F2209" s="359"/>
      <c r="G2209" s="360" t="str">
        <f>IFERROR(IF(ventas_b_mes684[[#This Row],[CUIT]]="","-",VLOOKUP(ventas_b_mes684[[#This Row],[CUIT]],Lista_CUIT[#All],2,0)),"CUIT NO CARGADO")</f>
        <v>-</v>
      </c>
      <c r="H2209" s="64"/>
      <c r="I2209" s="350">
        <f>ventas_b_mes684[[#This Row],[IMPORTE NETO]]*0.21</f>
        <v>0</v>
      </c>
      <c r="J2209" s="351"/>
      <c r="K2209" s="351"/>
      <c r="L2209" s="351">
        <f>SUM(ventas_b_mes684[[#This Row],[IMPORTE NETO]:[EXENTO]])</f>
        <v>0</v>
      </c>
      <c r="M2209" s="352"/>
    </row>
    <row r="2210" spans="2:13" x14ac:dyDescent="0.25">
      <c r="B2210" s="40"/>
      <c r="C2210" s="41"/>
      <c r="D2210" s="357"/>
      <c r="E2210" s="358"/>
      <c r="F2210" s="359"/>
      <c r="G2210" s="360" t="str">
        <f>IFERROR(IF(ventas_b_mes684[[#This Row],[CUIT]]="","-",VLOOKUP(ventas_b_mes684[[#This Row],[CUIT]],Lista_CUIT[#All],2,0)),"CUIT NO CARGADO")</f>
        <v>-</v>
      </c>
      <c r="H2210" s="64"/>
      <c r="I2210" s="350">
        <f>ventas_b_mes684[[#This Row],[IMPORTE NETO]]*0.21</f>
        <v>0</v>
      </c>
      <c r="J2210" s="351"/>
      <c r="K2210" s="351"/>
      <c r="L2210" s="351">
        <f>SUM(ventas_b_mes684[[#This Row],[IMPORTE NETO]:[EXENTO]])</f>
        <v>0</v>
      </c>
      <c r="M2210" s="352"/>
    </row>
    <row r="2211" spans="2:13" x14ac:dyDescent="0.25">
      <c r="B2211" s="40"/>
      <c r="C2211" s="41"/>
      <c r="D2211" s="357"/>
      <c r="E2211" s="358"/>
      <c r="F2211" s="359"/>
      <c r="G2211" s="360" t="str">
        <f>IFERROR(IF(ventas_b_mes684[[#This Row],[CUIT]]="","-",VLOOKUP(ventas_b_mes684[[#This Row],[CUIT]],Lista_CUIT[#All],2,0)),"CUIT NO CARGADO")</f>
        <v>-</v>
      </c>
      <c r="H2211" s="64"/>
      <c r="I2211" s="350">
        <f>ventas_b_mes684[[#This Row],[IMPORTE NETO]]*0.21</f>
        <v>0</v>
      </c>
      <c r="J2211" s="351"/>
      <c r="K2211" s="351"/>
      <c r="L2211" s="351">
        <f>SUM(ventas_b_mes684[[#This Row],[IMPORTE NETO]:[EXENTO]])</f>
        <v>0</v>
      </c>
      <c r="M2211" s="352"/>
    </row>
    <row r="2212" spans="2:13" x14ac:dyDescent="0.25">
      <c r="B2212" s="40"/>
      <c r="C2212" s="41"/>
      <c r="D2212" s="357"/>
      <c r="E2212" s="358"/>
      <c r="F2212" s="359"/>
      <c r="G2212" s="360" t="str">
        <f>IFERROR(IF(ventas_b_mes684[[#This Row],[CUIT]]="","-",VLOOKUP(ventas_b_mes684[[#This Row],[CUIT]],Lista_CUIT[#All],2,0)),"CUIT NO CARGADO")</f>
        <v>-</v>
      </c>
      <c r="H2212" s="64"/>
      <c r="I2212" s="350">
        <f>ventas_b_mes684[[#This Row],[IMPORTE NETO]]*0.21</f>
        <v>0</v>
      </c>
      <c r="J2212" s="351"/>
      <c r="K2212" s="351"/>
      <c r="L2212" s="351">
        <f>SUM(ventas_b_mes684[[#This Row],[IMPORTE NETO]:[EXENTO]])</f>
        <v>0</v>
      </c>
      <c r="M2212" s="352"/>
    </row>
    <row r="2213" spans="2:13" x14ac:dyDescent="0.25">
      <c r="B2213" s="40"/>
      <c r="C2213" s="41"/>
      <c r="D2213" s="357"/>
      <c r="E2213" s="358"/>
      <c r="F2213" s="359"/>
      <c r="G2213" s="360" t="str">
        <f>IFERROR(IF(ventas_b_mes684[[#This Row],[CUIT]]="","-",VLOOKUP(ventas_b_mes684[[#This Row],[CUIT]],Lista_CUIT[#All],2,0)),"CUIT NO CARGADO")</f>
        <v>-</v>
      </c>
      <c r="H2213" s="64"/>
      <c r="I2213" s="350">
        <f>ventas_b_mes684[[#This Row],[IMPORTE NETO]]*0.21</f>
        <v>0</v>
      </c>
      <c r="J2213" s="351"/>
      <c r="K2213" s="351"/>
      <c r="L2213" s="351">
        <f>SUM(ventas_b_mes684[[#This Row],[IMPORTE NETO]:[EXENTO]])</f>
        <v>0</v>
      </c>
      <c r="M2213" s="352"/>
    </row>
    <row r="2214" spans="2:13" x14ac:dyDescent="0.25">
      <c r="B2214" s="40"/>
      <c r="C2214" s="41"/>
      <c r="D2214" s="357"/>
      <c r="E2214" s="358"/>
      <c r="F2214" s="359"/>
      <c r="G2214" s="360" t="str">
        <f>IFERROR(IF(ventas_b_mes684[[#This Row],[CUIT]]="","-",VLOOKUP(ventas_b_mes684[[#This Row],[CUIT]],Lista_CUIT[#All],2,0)),"CUIT NO CARGADO")</f>
        <v>-</v>
      </c>
      <c r="H2214" s="64"/>
      <c r="I2214" s="350">
        <f>ventas_b_mes684[[#This Row],[IMPORTE NETO]]*0.21</f>
        <v>0</v>
      </c>
      <c r="J2214" s="351"/>
      <c r="K2214" s="351"/>
      <c r="L2214" s="351">
        <f>SUM(ventas_b_mes684[[#This Row],[IMPORTE NETO]:[EXENTO]])</f>
        <v>0</v>
      </c>
      <c r="M2214" s="352"/>
    </row>
    <row r="2215" spans="2:13" x14ac:dyDescent="0.25">
      <c r="B2215" s="40"/>
      <c r="C2215" s="41"/>
      <c r="D2215" s="357"/>
      <c r="E2215" s="358"/>
      <c r="F2215" s="359"/>
      <c r="G2215" s="360" t="str">
        <f>IFERROR(IF(ventas_b_mes684[[#This Row],[CUIT]]="","-",VLOOKUP(ventas_b_mes684[[#This Row],[CUIT]],Lista_CUIT[#All],2,0)),"CUIT NO CARGADO")</f>
        <v>-</v>
      </c>
      <c r="H2215" s="64"/>
      <c r="I2215" s="350">
        <f>ventas_b_mes684[[#This Row],[IMPORTE NETO]]*0.21</f>
        <v>0</v>
      </c>
      <c r="J2215" s="351"/>
      <c r="K2215" s="351"/>
      <c r="L2215" s="351">
        <f>SUM(ventas_b_mes684[[#This Row],[IMPORTE NETO]:[EXENTO]])</f>
        <v>0</v>
      </c>
      <c r="M2215" s="352"/>
    </row>
    <row r="2216" spans="2:13" x14ac:dyDescent="0.25">
      <c r="B2216" s="40"/>
      <c r="C2216" s="41"/>
      <c r="D2216" s="357"/>
      <c r="E2216" s="358"/>
      <c r="F2216" s="359"/>
      <c r="G2216" s="360" t="str">
        <f>IFERROR(IF(ventas_b_mes684[[#This Row],[CUIT]]="","-",VLOOKUP(ventas_b_mes684[[#This Row],[CUIT]],Lista_CUIT[#All],2,0)),"CUIT NO CARGADO")</f>
        <v>-</v>
      </c>
      <c r="H2216" s="64"/>
      <c r="I2216" s="350">
        <f>ventas_b_mes684[[#This Row],[IMPORTE NETO]]*0.21</f>
        <v>0</v>
      </c>
      <c r="J2216" s="351"/>
      <c r="K2216" s="351"/>
      <c r="L2216" s="351">
        <f>SUM(ventas_b_mes684[[#This Row],[IMPORTE NETO]:[EXENTO]])</f>
        <v>0</v>
      </c>
      <c r="M2216" s="352"/>
    </row>
    <row r="2217" spans="2:13" x14ac:dyDescent="0.25">
      <c r="B2217" s="40"/>
      <c r="C2217" s="41"/>
      <c r="D2217" s="357"/>
      <c r="E2217" s="358"/>
      <c r="F2217" s="359"/>
      <c r="G2217" s="360" t="str">
        <f>IFERROR(IF(ventas_b_mes684[[#This Row],[CUIT]]="","-",VLOOKUP(ventas_b_mes684[[#This Row],[CUIT]],Lista_CUIT[#All],2,0)),"CUIT NO CARGADO")</f>
        <v>-</v>
      </c>
      <c r="H2217" s="64"/>
      <c r="I2217" s="350">
        <f>ventas_b_mes684[[#This Row],[IMPORTE NETO]]*0.21</f>
        <v>0</v>
      </c>
      <c r="J2217" s="351"/>
      <c r="K2217" s="351"/>
      <c r="L2217" s="351">
        <f>SUM(ventas_b_mes684[[#This Row],[IMPORTE NETO]:[EXENTO]])</f>
        <v>0</v>
      </c>
      <c r="M2217" s="352"/>
    </row>
    <row r="2218" spans="2:13" x14ac:dyDescent="0.25">
      <c r="B2218" s="40"/>
      <c r="C2218" s="41"/>
      <c r="D2218" s="357"/>
      <c r="E2218" s="358"/>
      <c r="F2218" s="359"/>
      <c r="G2218" s="360" t="str">
        <f>IFERROR(IF(ventas_b_mes684[[#This Row],[CUIT]]="","-",VLOOKUP(ventas_b_mes684[[#This Row],[CUIT]],Lista_CUIT[#All],2,0)),"CUIT NO CARGADO")</f>
        <v>-</v>
      </c>
      <c r="H2218" s="64"/>
      <c r="I2218" s="350">
        <f>ventas_b_mes684[[#This Row],[IMPORTE NETO]]*0.21</f>
        <v>0</v>
      </c>
      <c r="J2218" s="351"/>
      <c r="K2218" s="351"/>
      <c r="L2218" s="351">
        <f>SUM(ventas_b_mes684[[#This Row],[IMPORTE NETO]:[EXENTO]])</f>
        <v>0</v>
      </c>
      <c r="M2218" s="352"/>
    </row>
    <row r="2219" spans="2:13" x14ac:dyDescent="0.25">
      <c r="B2219" s="40"/>
      <c r="C2219" s="41"/>
      <c r="D2219" s="357"/>
      <c r="E2219" s="358"/>
      <c r="F2219" s="359"/>
      <c r="G2219" s="360" t="str">
        <f>IFERROR(IF(ventas_b_mes684[[#This Row],[CUIT]]="","-",VLOOKUP(ventas_b_mes684[[#This Row],[CUIT]],Lista_CUIT[#All],2,0)),"CUIT NO CARGADO")</f>
        <v>-</v>
      </c>
      <c r="H2219" s="64"/>
      <c r="I2219" s="350">
        <f>ventas_b_mes684[[#This Row],[IMPORTE NETO]]*0.21</f>
        <v>0</v>
      </c>
      <c r="J2219" s="351"/>
      <c r="K2219" s="351"/>
      <c r="L2219" s="351">
        <f>SUM(ventas_b_mes684[[#This Row],[IMPORTE NETO]:[EXENTO]])</f>
        <v>0</v>
      </c>
      <c r="M2219" s="352"/>
    </row>
    <row r="2220" spans="2:13" x14ac:dyDescent="0.25">
      <c r="B2220" s="40"/>
      <c r="C2220" s="41"/>
      <c r="D2220" s="357"/>
      <c r="E2220" s="358"/>
      <c r="F2220" s="359"/>
      <c r="G2220" s="360" t="str">
        <f>IFERROR(IF(ventas_b_mes684[[#This Row],[CUIT]]="","-",VLOOKUP(ventas_b_mes684[[#This Row],[CUIT]],Lista_CUIT[#All],2,0)),"CUIT NO CARGADO")</f>
        <v>-</v>
      </c>
      <c r="H2220" s="64"/>
      <c r="I2220" s="350">
        <f>ventas_b_mes684[[#This Row],[IMPORTE NETO]]*0.21</f>
        <v>0</v>
      </c>
      <c r="J2220" s="351"/>
      <c r="K2220" s="351"/>
      <c r="L2220" s="351">
        <f>SUM(ventas_b_mes684[[#This Row],[IMPORTE NETO]:[EXENTO]])</f>
        <v>0</v>
      </c>
      <c r="M2220" s="352"/>
    </row>
    <row r="2221" spans="2:13" x14ac:dyDescent="0.25">
      <c r="B2221" s="40"/>
      <c r="C2221" s="41"/>
      <c r="D2221" s="357"/>
      <c r="E2221" s="358"/>
      <c r="F2221" s="359"/>
      <c r="G2221" s="360" t="str">
        <f>IFERROR(IF(ventas_b_mes684[[#This Row],[CUIT]]="","-",VLOOKUP(ventas_b_mes684[[#This Row],[CUIT]],Lista_CUIT[#All],2,0)),"CUIT NO CARGADO")</f>
        <v>-</v>
      </c>
      <c r="H2221" s="64"/>
      <c r="I2221" s="350">
        <f>ventas_b_mes684[[#This Row],[IMPORTE NETO]]*0.21</f>
        <v>0</v>
      </c>
      <c r="J2221" s="351"/>
      <c r="K2221" s="351"/>
      <c r="L2221" s="351">
        <f>SUM(ventas_b_mes684[[#This Row],[IMPORTE NETO]:[EXENTO]])</f>
        <v>0</v>
      </c>
      <c r="M2221" s="352"/>
    </row>
    <row r="2222" spans="2:13" x14ac:dyDescent="0.25">
      <c r="B2222" s="40"/>
      <c r="C2222" s="41"/>
      <c r="D2222" s="357"/>
      <c r="E2222" s="358"/>
      <c r="F2222" s="359"/>
      <c r="G2222" s="360" t="str">
        <f>IFERROR(IF(ventas_b_mes684[[#This Row],[CUIT]]="","-",VLOOKUP(ventas_b_mes684[[#This Row],[CUIT]],Lista_CUIT[#All],2,0)),"CUIT NO CARGADO")</f>
        <v>-</v>
      </c>
      <c r="H2222" s="64"/>
      <c r="I2222" s="350">
        <f>ventas_b_mes684[[#This Row],[IMPORTE NETO]]*0.21</f>
        <v>0</v>
      </c>
      <c r="J2222" s="351"/>
      <c r="K2222" s="351"/>
      <c r="L2222" s="351">
        <f>SUM(ventas_b_mes684[[#This Row],[IMPORTE NETO]:[EXENTO]])</f>
        <v>0</v>
      </c>
      <c r="M2222" s="352"/>
    </row>
    <row r="2223" spans="2:13" x14ac:dyDescent="0.25">
      <c r="B2223" s="40"/>
      <c r="C2223" s="41"/>
      <c r="D2223" s="357"/>
      <c r="E2223" s="358"/>
      <c r="F2223" s="359"/>
      <c r="G2223" s="360" t="str">
        <f>IFERROR(IF(ventas_b_mes684[[#This Row],[CUIT]]="","-",VLOOKUP(ventas_b_mes684[[#This Row],[CUIT]],Lista_CUIT[#All],2,0)),"CUIT NO CARGADO")</f>
        <v>-</v>
      </c>
      <c r="H2223" s="64"/>
      <c r="I2223" s="350">
        <f>ventas_b_mes684[[#This Row],[IMPORTE NETO]]*0.21</f>
        <v>0</v>
      </c>
      <c r="J2223" s="351"/>
      <c r="K2223" s="351"/>
      <c r="L2223" s="351">
        <f>SUM(ventas_b_mes684[[#This Row],[IMPORTE NETO]:[EXENTO]])</f>
        <v>0</v>
      </c>
      <c r="M2223" s="352"/>
    </row>
    <row r="2224" spans="2:13" x14ac:dyDescent="0.25">
      <c r="B2224" s="40"/>
      <c r="C2224" s="41"/>
      <c r="D2224" s="357"/>
      <c r="E2224" s="358"/>
      <c r="F2224" s="359"/>
      <c r="G2224" s="360" t="str">
        <f>IFERROR(IF(ventas_b_mes684[[#This Row],[CUIT]]="","-",VLOOKUP(ventas_b_mes684[[#This Row],[CUIT]],Lista_CUIT[#All],2,0)),"CUIT NO CARGADO")</f>
        <v>-</v>
      </c>
      <c r="H2224" s="64"/>
      <c r="I2224" s="350">
        <f>ventas_b_mes684[[#This Row],[IMPORTE NETO]]*0.21</f>
        <v>0</v>
      </c>
      <c r="J2224" s="351"/>
      <c r="K2224" s="351"/>
      <c r="L2224" s="351">
        <f>SUM(ventas_b_mes684[[#This Row],[IMPORTE NETO]:[EXENTO]])</f>
        <v>0</v>
      </c>
      <c r="M2224" s="352"/>
    </row>
    <row r="2225" spans="2:13" x14ac:dyDescent="0.25">
      <c r="B2225" s="40"/>
      <c r="C2225" s="41"/>
      <c r="D2225" s="357"/>
      <c r="E2225" s="358"/>
      <c r="F2225" s="359"/>
      <c r="G2225" s="360" t="str">
        <f>IFERROR(IF(ventas_b_mes684[[#This Row],[CUIT]]="","-",VLOOKUP(ventas_b_mes684[[#This Row],[CUIT]],Lista_CUIT[#All],2,0)),"CUIT NO CARGADO")</f>
        <v>-</v>
      </c>
      <c r="H2225" s="64"/>
      <c r="I2225" s="350">
        <f>ventas_b_mes684[[#This Row],[IMPORTE NETO]]*0.21</f>
        <v>0</v>
      </c>
      <c r="J2225" s="351"/>
      <c r="K2225" s="351"/>
      <c r="L2225" s="351">
        <f>SUM(ventas_b_mes684[[#This Row],[IMPORTE NETO]:[EXENTO]])</f>
        <v>0</v>
      </c>
      <c r="M2225" s="352"/>
    </row>
    <row r="2226" spans="2:13" x14ac:dyDescent="0.25">
      <c r="B2226" s="40"/>
      <c r="C2226" s="41"/>
      <c r="D2226" s="357"/>
      <c r="E2226" s="358"/>
      <c r="F2226" s="359"/>
      <c r="G2226" s="360" t="str">
        <f>IFERROR(IF(ventas_b_mes684[[#This Row],[CUIT]]="","-",VLOOKUP(ventas_b_mes684[[#This Row],[CUIT]],Lista_CUIT[#All],2,0)),"CUIT NO CARGADO")</f>
        <v>-</v>
      </c>
      <c r="H2226" s="64"/>
      <c r="I2226" s="350">
        <f>ventas_b_mes684[[#This Row],[IMPORTE NETO]]*0.21</f>
        <v>0</v>
      </c>
      <c r="J2226" s="351"/>
      <c r="K2226" s="351"/>
      <c r="L2226" s="351">
        <f>SUM(ventas_b_mes684[[#This Row],[IMPORTE NETO]:[EXENTO]])</f>
        <v>0</v>
      </c>
      <c r="M2226" s="352"/>
    </row>
    <row r="2227" spans="2:13" x14ac:dyDescent="0.25">
      <c r="B2227" s="40"/>
      <c r="C2227" s="41"/>
      <c r="D2227" s="357"/>
      <c r="E2227" s="358"/>
      <c r="F2227" s="359"/>
      <c r="G2227" s="360" t="str">
        <f>IFERROR(IF(ventas_b_mes684[[#This Row],[CUIT]]="","-",VLOOKUP(ventas_b_mes684[[#This Row],[CUIT]],Lista_CUIT[#All],2,0)),"CUIT NO CARGADO")</f>
        <v>-</v>
      </c>
      <c r="H2227" s="64"/>
      <c r="I2227" s="350">
        <f>ventas_b_mes684[[#This Row],[IMPORTE NETO]]*0.21</f>
        <v>0</v>
      </c>
      <c r="J2227" s="351"/>
      <c r="K2227" s="351"/>
      <c r="L2227" s="351">
        <f>SUM(ventas_b_mes684[[#This Row],[IMPORTE NETO]:[EXENTO]])</f>
        <v>0</v>
      </c>
      <c r="M2227" s="352"/>
    </row>
    <row r="2228" spans="2:13" x14ac:dyDescent="0.25">
      <c r="B2228" s="40"/>
      <c r="C2228" s="41"/>
      <c r="D2228" s="357"/>
      <c r="E2228" s="358"/>
      <c r="F2228" s="359"/>
      <c r="G2228" s="360" t="str">
        <f>IFERROR(IF(ventas_b_mes684[[#This Row],[CUIT]]="","-",VLOOKUP(ventas_b_mes684[[#This Row],[CUIT]],Lista_CUIT[#All],2,0)),"CUIT NO CARGADO")</f>
        <v>-</v>
      </c>
      <c r="H2228" s="64"/>
      <c r="I2228" s="350">
        <f>ventas_b_mes684[[#This Row],[IMPORTE NETO]]*0.21</f>
        <v>0</v>
      </c>
      <c r="J2228" s="351"/>
      <c r="K2228" s="351"/>
      <c r="L2228" s="351">
        <f>SUM(ventas_b_mes684[[#This Row],[IMPORTE NETO]:[EXENTO]])</f>
        <v>0</v>
      </c>
      <c r="M2228" s="352"/>
    </row>
    <row r="2229" spans="2:13" x14ac:dyDescent="0.25">
      <c r="B2229" s="40"/>
      <c r="C2229" s="41"/>
      <c r="D2229" s="357"/>
      <c r="E2229" s="358"/>
      <c r="F2229" s="359"/>
      <c r="G2229" s="360" t="str">
        <f>IFERROR(IF(ventas_b_mes684[[#This Row],[CUIT]]="","-",VLOOKUP(ventas_b_mes684[[#This Row],[CUIT]],Lista_CUIT[#All],2,0)),"CUIT NO CARGADO")</f>
        <v>-</v>
      </c>
      <c r="H2229" s="64"/>
      <c r="I2229" s="350">
        <f>ventas_b_mes684[[#This Row],[IMPORTE NETO]]*0.21</f>
        <v>0</v>
      </c>
      <c r="J2229" s="351"/>
      <c r="K2229" s="351"/>
      <c r="L2229" s="351">
        <f>SUM(ventas_b_mes684[[#This Row],[IMPORTE NETO]:[EXENTO]])</f>
        <v>0</v>
      </c>
      <c r="M2229" s="352"/>
    </row>
    <row r="2230" spans="2:13" x14ac:dyDescent="0.25">
      <c r="B2230" s="40"/>
      <c r="C2230" s="41"/>
      <c r="D2230" s="357"/>
      <c r="E2230" s="358"/>
      <c r="F2230" s="359"/>
      <c r="G2230" s="360" t="str">
        <f>IFERROR(IF(ventas_b_mes684[[#This Row],[CUIT]]="","-",VLOOKUP(ventas_b_mes684[[#This Row],[CUIT]],Lista_CUIT[#All],2,0)),"CUIT NO CARGADO")</f>
        <v>-</v>
      </c>
      <c r="H2230" s="64"/>
      <c r="I2230" s="350">
        <f>ventas_b_mes684[[#This Row],[IMPORTE NETO]]*0.21</f>
        <v>0</v>
      </c>
      <c r="J2230" s="351"/>
      <c r="K2230" s="351"/>
      <c r="L2230" s="351">
        <f>SUM(ventas_b_mes684[[#This Row],[IMPORTE NETO]:[EXENTO]])</f>
        <v>0</v>
      </c>
      <c r="M2230" s="352"/>
    </row>
    <row r="2231" spans="2:13" x14ac:dyDescent="0.25">
      <c r="B2231" s="40"/>
      <c r="C2231" s="41"/>
      <c r="D2231" s="357"/>
      <c r="E2231" s="358"/>
      <c r="F2231" s="359"/>
      <c r="G2231" s="360" t="str">
        <f>IFERROR(IF(ventas_b_mes684[[#This Row],[CUIT]]="","-",VLOOKUP(ventas_b_mes684[[#This Row],[CUIT]],Lista_CUIT[#All],2,0)),"CUIT NO CARGADO")</f>
        <v>-</v>
      </c>
      <c r="H2231" s="64"/>
      <c r="I2231" s="350">
        <f>ventas_b_mes684[[#This Row],[IMPORTE NETO]]*0.21</f>
        <v>0</v>
      </c>
      <c r="J2231" s="351"/>
      <c r="K2231" s="351"/>
      <c r="L2231" s="351">
        <f>SUM(ventas_b_mes684[[#This Row],[IMPORTE NETO]:[EXENTO]])</f>
        <v>0</v>
      </c>
      <c r="M2231" s="352"/>
    </row>
    <row r="2232" spans="2:13" x14ac:dyDescent="0.25">
      <c r="B2232" s="40"/>
      <c r="C2232" s="41"/>
      <c r="D2232" s="357"/>
      <c r="E2232" s="358"/>
      <c r="F2232" s="359"/>
      <c r="G2232" s="360" t="str">
        <f>IFERROR(IF(ventas_b_mes684[[#This Row],[CUIT]]="","-",VLOOKUP(ventas_b_mes684[[#This Row],[CUIT]],Lista_CUIT[#All],2,0)),"CUIT NO CARGADO")</f>
        <v>-</v>
      </c>
      <c r="H2232" s="64"/>
      <c r="I2232" s="350">
        <f>ventas_b_mes684[[#This Row],[IMPORTE NETO]]*0.21</f>
        <v>0</v>
      </c>
      <c r="J2232" s="351"/>
      <c r="K2232" s="351"/>
      <c r="L2232" s="351">
        <f>SUM(ventas_b_mes684[[#This Row],[IMPORTE NETO]:[EXENTO]])</f>
        <v>0</v>
      </c>
      <c r="M2232" s="352"/>
    </row>
    <row r="2233" spans="2:13" x14ac:dyDescent="0.25">
      <c r="B2233" s="40"/>
      <c r="C2233" s="41"/>
      <c r="D2233" s="357"/>
      <c r="E2233" s="358"/>
      <c r="F2233" s="359"/>
      <c r="G2233" s="360" t="str">
        <f>IFERROR(IF(ventas_b_mes684[[#This Row],[CUIT]]="","-",VLOOKUP(ventas_b_mes684[[#This Row],[CUIT]],Lista_CUIT[#All],2,0)),"CUIT NO CARGADO")</f>
        <v>-</v>
      </c>
      <c r="H2233" s="64"/>
      <c r="I2233" s="350">
        <f>ventas_b_mes684[[#This Row],[IMPORTE NETO]]*0.21</f>
        <v>0</v>
      </c>
      <c r="J2233" s="351"/>
      <c r="K2233" s="351"/>
      <c r="L2233" s="351">
        <f>SUM(ventas_b_mes684[[#This Row],[IMPORTE NETO]:[EXENTO]])</f>
        <v>0</v>
      </c>
      <c r="M2233" s="352"/>
    </row>
    <row r="2234" spans="2:13" x14ac:dyDescent="0.25">
      <c r="B2234" s="40"/>
      <c r="C2234" s="41"/>
      <c r="D2234" s="357"/>
      <c r="E2234" s="358"/>
      <c r="F2234" s="359"/>
      <c r="G2234" s="360" t="str">
        <f>IFERROR(IF(ventas_b_mes684[[#This Row],[CUIT]]="","-",VLOOKUP(ventas_b_mes684[[#This Row],[CUIT]],Lista_CUIT[#All],2,0)),"CUIT NO CARGADO")</f>
        <v>-</v>
      </c>
      <c r="H2234" s="64"/>
      <c r="I2234" s="350">
        <f>ventas_b_mes684[[#This Row],[IMPORTE NETO]]*0.21</f>
        <v>0</v>
      </c>
      <c r="J2234" s="351"/>
      <c r="K2234" s="351"/>
      <c r="L2234" s="351">
        <f>SUM(ventas_b_mes684[[#This Row],[IMPORTE NETO]:[EXENTO]])</f>
        <v>0</v>
      </c>
      <c r="M2234" s="352"/>
    </row>
    <row r="2235" spans="2:13" x14ac:dyDescent="0.25">
      <c r="B2235" s="40"/>
      <c r="C2235" s="41"/>
      <c r="D2235" s="357"/>
      <c r="E2235" s="358"/>
      <c r="F2235" s="359"/>
      <c r="G2235" s="360" t="str">
        <f>IFERROR(IF(ventas_b_mes684[[#This Row],[CUIT]]="","-",VLOOKUP(ventas_b_mes684[[#This Row],[CUIT]],Lista_CUIT[#All],2,0)),"CUIT NO CARGADO")</f>
        <v>-</v>
      </c>
      <c r="H2235" s="64"/>
      <c r="I2235" s="350">
        <f>ventas_b_mes684[[#This Row],[IMPORTE NETO]]*0.21</f>
        <v>0</v>
      </c>
      <c r="J2235" s="351"/>
      <c r="K2235" s="351"/>
      <c r="L2235" s="351">
        <f>SUM(ventas_b_mes684[[#This Row],[IMPORTE NETO]:[EXENTO]])</f>
        <v>0</v>
      </c>
      <c r="M2235" s="352"/>
    </row>
    <row r="2236" spans="2:13" x14ac:dyDescent="0.25">
      <c r="B2236" s="40"/>
      <c r="C2236" s="41"/>
      <c r="D2236" s="357"/>
      <c r="E2236" s="358"/>
      <c r="F2236" s="359"/>
      <c r="G2236" s="360" t="str">
        <f>IFERROR(IF(ventas_b_mes684[[#This Row],[CUIT]]="","-",VLOOKUP(ventas_b_mes684[[#This Row],[CUIT]],Lista_CUIT[#All],2,0)),"CUIT NO CARGADO")</f>
        <v>-</v>
      </c>
      <c r="H2236" s="64"/>
      <c r="I2236" s="350">
        <f>ventas_b_mes684[[#This Row],[IMPORTE NETO]]*0.21</f>
        <v>0</v>
      </c>
      <c r="J2236" s="351"/>
      <c r="K2236" s="351"/>
      <c r="L2236" s="351">
        <f>SUM(ventas_b_mes684[[#This Row],[IMPORTE NETO]:[EXENTO]])</f>
        <v>0</v>
      </c>
      <c r="M2236" s="352"/>
    </row>
    <row r="2237" spans="2:13" x14ac:dyDescent="0.25">
      <c r="B2237" s="40"/>
      <c r="C2237" s="41"/>
      <c r="D2237" s="357"/>
      <c r="E2237" s="358"/>
      <c r="F2237" s="359"/>
      <c r="G2237" s="360" t="str">
        <f>IFERROR(IF(ventas_b_mes684[[#This Row],[CUIT]]="","-",VLOOKUP(ventas_b_mes684[[#This Row],[CUIT]],Lista_CUIT[#All],2,0)),"CUIT NO CARGADO")</f>
        <v>-</v>
      </c>
      <c r="H2237" s="64"/>
      <c r="I2237" s="350">
        <f>ventas_b_mes684[[#This Row],[IMPORTE NETO]]*0.21</f>
        <v>0</v>
      </c>
      <c r="J2237" s="351"/>
      <c r="K2237" s="351"/>
      <c r="L2237" s="351">
        <f>SUM(ventas_b_mes684[[#This Row],[IMPORTE NETO]:[EXENTO]])</f>
        <v>0</v>
      </c>
      <c r="M2237" s="352"/>
    </row>
    <row r="2238" spans="2:13" x14ac:dyDescent="0.25">
      <c r="B2238" s="40"/>
      <c r="C2238" s="41"/>
      <c r="D2238" s="357"/>
      <c r="E2238" s="358"/>
      <c r="F2238" s="359"/>
      <c r="G2238" s="360" t="str">
        <f>IFERROR(IF(ventas_b_mes684[[#This Row],[CUIT]]="","-",VLOOKUP(ventas_b_mes684[[#This Row],[CUIT]],Lista_CUIT[#All],2,0)),"CUIT NO CARGADO")</f>
        <v>-</v>
      </c>
      <c r="H2238" s="64"/>
      <c r="I2238" s="350">
        <f>ventas_b_mes684[[#This Row],[IMPORTE NETO]]*0.21</f>
        <v>0</v>
      </c>
      <c r="J2238" s="351"/>
      <c r="K2238" s="351"/>
      <c r="L2238" s="351">
        <f>SUM(ventas_b_mes684[[#This Row],[IMPORTE NETO]:[EXENTO]])</f>
        <v>0</v>
      </c>
      <c r="M2238" s="352"/>
    </row>
    <row r="2239" spans="2:13" x14ac:dyDescent="0.25">
      <c r="B2239" s="40"/>
      <c r="C2239" s="41"/>
      <c r="D2239" s="357"/>
      <c r="E2239" s="358"/>
      <c r="F2239" s="359"/>
      <c r="G2239" s="360" t="str">
        <f>IFERROR(IF(ventas_b_mes684[[#This Row],[CUIT]]="","-",VLOOKUP(ventas_b_mes684[[#This Row],[CUIT]],Lista_CUIT[#All],2,0)),"CUIT NO CARGADO")</f>
        <v>-</v>
      </c>
      <c r="H2239" s="64"/>
      <c r="I2239" s="350">
        <f>ventas_b_mes684[[#This Row],[IMPORTE NETO]]*0.21</f>
        <v>0</v>
      </c>
      <c r="J2239" s="351"/>
      <c r="K2239" s="351"/>
      <c r="L2239" s="351">
        <f>SUM(ventas_b_mes684[[#This Row],[IMPORTE NETO]:[EXENTO]])</f>
        <v>0</v>
      </c>
      <c r="M2239" s="352"/>
    </row>
    <row r="2240" spans="2:13" x14ac:dyDescent="0.25">
      <c r="B2240" s="40"/>
      <c r="C2240" s="41"/>
      <c r="D2240" s="357"/>
      <c r="E2240" s="358"/>
      <c r="F2240" s="359"/>
      <c r="G2240" s="360" t="str">
        <f>IFERROR(IF(ventas_b_mes684[[#This Row],[CUIT]]="","-",VLOOKUP(ventas_b_mes684[[#This Row],[CUIT]],Lista_CUIT[#All],2,0)),"CUIT NO CARGADO")</f>
        <v>-</v>
      </c>
      <c r="H2240" s="64"/>
      <c r="I2240" s="350">
        <f>ventas_b_mes684[[#This Row],[IMPORTE NETO]]*0.21</f>
        <v>0</v>
      </c>
      <c r="J2240" s="351"/>
      <c r="K2240" s="351"/>
      <c r="L2240" s="351">
        <f>SUM(ventas_b_mes684[[#This Row],[IMPORTE NETO]:[EXENTO]])</f>
        <v>0</v>
      </c>
      <c r="M2240" s="352"/>
    </row>
    <row r="2241" spans="2:13" x14ac:dyDescent="0.25">
      <c r="B2241" s="40"/>
      <c r="C2241" s="41"/>
      <c r="D2241" s="357"/>
      <c r="E2241" s="358"/>
      <c r="F2241" s="359"/>
      <c r="G2241" s="360" t="str">
        <f>IFERROR(IF(ventas_b_mes684[[#This Row],[CUIT]]="","-",VLOOKUP(ventas_b_mes684[[#This Row],[CUIT]],Lista_CUIT[#All],2,0)),"CUIT NO CARGADO")</f>
        <v>-</v>
      </c>
      <c r="H2241" s="64"/>
      <c r="I2241" s="350">
        <f>ventas_b_mes684[[#This Row],[IMPORTE NETO]]*0.21</f>
        <v>0</v>
      </c>
      <c r="J2241" s="351"/>
      <c r="K2241" s="351"/>
      <c r="L2241" s="351">
        <f>SUM(ventas_b_mes684[[#This Row],[IMPORTE NETO]:[EXENTO]])</f>
        <v>0</v>
      </c>
      <c r="M2241" s="352"/>
    </row>
    <row r="2242" spans="2:13" x14ac:dyDescent="0.25">
      <c r="B2242" s="40"/>
      <c r="C2242" s="41"/>
      <c r="D2242" s="357"/>
      <c r="E2242" s="358"/>
      <c r="F2242" s="359"/>
      <c r="G2242" s="360" t="str">
        <f>IFERROR(IF(ventas_b_mes684[[#This Row],[CUIT]]="","-",VLOOKUP(ventas_b_mes684[[#This Row],[CUIT]],Lista_CUIT[#All],2,0)),"CUIT NO CARGADO")</f>
        <v>-</v>
      </c>
      <c r="H2242" s="64"/>
      <c r="I2242" s="350">
        <f>ventas_b_mes684[[#This Row],[IMPORTE NETO]]*0.21</f>
        <v>0</v>
      </c>
      <c r="J2242" s="351"/>
      <c r="K2242" s="351"/>
      <c r="L2242" s="351">
        <f>SUM(ventas_b_mes684[[#This Row],[IMPORTE NETO]:[EXENTO]])</f>
        <v>0</v>
      </c>
      <c r="M2242" s="352"/>
    </row>
    <row r="2243" spans="2:13" x14ac:dyDescent="0.25">
      <c r="B2243" s="40"/>
      <c r="C2243" s="41"/>
      <c r="D2243" s="357"/>
      <c r="E2243" s="358"/>
      <c r="F2243" s="359"/>
      <c r="G2243" s="360" t="str">
        <f>IFERROR(IF(ventas_b_mes684[[#This Row],[CUIT]]="","-",VLOOKUP(ventas_b_mes684[[#This Row],[CUIT]],Lista_CUIT[#All],2,0)),"CUIT NO CARGADO")</f>
        <v>-</v>
      </c>
      <c r="H2243" s="64"/>
      <c r="I2243" s="350">
        <f>ventas_b_mes684[[#This Row],[IMPORTE NETO]]*0.21</f>
        <v>0</v>
      </c>
      <c r="J2243" s="351"/>
      <c r="K2243" s="351"/>
      <c r="L2243" s="351">
        <f>SUM(ventas_b_mes684[[#This Row],[IMPORTE NETO]:[EXENTO]])</f>
        <v>0</v>
      </c>
      <c r="M2243" s="352"/>
    </row>
    <row r="2244" spans="2:13" x14ac:dyDescent="0.25">
      <c r="B2244" s="40"/>
      <c r="C2244" s="41"/>
      <c r="D2244" s="357"/>
      <c r="E2244" s="358"/>
      <c r="F2244" s="359"/>
      <c r="G2244" s="360" t="str">
        <f>IFERROR(IF(ventas_b_mes684[[#This Row],[CUIT]]="","-",VLOOKUP(ventas_b_mes684[[#This Row],[CUIT]],Lista_CUIT[#All],2,0)),"CUIT NO CARGADO")</f>
        <v>-</v>
      </c>
      <c r="H2244" s="64"/>
      <c r="I2244" s="350">
        <f>ventas_b_mes684[[#This Row],[IMPORTE NETO]]*0.21</f>
        <v>0</v>
      </c>
      <c r="J2244" s="351"/>
      <c r="K2244" s="351"/>
      <c r="L2244" s="351">
        <f>SUM(ventas_b_mes684[[#This Row],[IMPORTE NETO]:[EXENTO]])</f>
        <v>0</v>
      </c>
      <c r="M2244" s="352"/>
    </row>
    <row r="2245" spans="2:13" x14ac:dyDescent="0.25">
      <c r="B2245" s="40"/>
      <c r="C2245" s="41"/>
      <c r="D2245" s="357"/>
      <c r="E2245" s="358"/>
      <c r="F2245" s="359"/>
      <c r="G2245" s="360" t="str">
        <f>IFERROR(IF(ventas_b_mes684[[#This Row],[CUIT]]="","-",VLOOKUP(ventas_b_mes684[[#This Row],[CUIT]],Lista_CUIT[#All],2,0)),"CUIT NO CARGADO")</f>
        <v>-</v>
      </c>
      <c r="H2245" s="64"/>
      <c r="I2245" s="350">
        <f>ventas_b_mes684[[#This Row],[IMPORTE NETO]]*0.21</f>
        <v>0</v>
      </c>
      <c r="J2245" s="351"/>
      <c r="K2245" s="351"/>
      <c r="L2245" s="351">
        <f>SUM(ventas_b_mes684[[#This Row],[IMPORTE NETO]:[EXENTO]])</f>
        <v>0</v>
      </c>
      <c r="M2245" s="352"/>
    </row>
    <row r="2246" spans="2:13" x14ac:dyDescent="0.25">
      <c r="B2246" s="40"/>
      <c r="C2246" s="41"/>
      <c r="D2246" s="357"/>
      <c r="E2246" s="358"/>
      <c r="F2246" s="359"/>
      <c r="G2246" s="360" t="str">
        <f>IFERROR(IF(ventas_b_mes684[[#This Row],[CUIT]]="","-",VLOOKUP(ventas_b_mes684[[#This Row],[CUIT]],Lista_CUIT[#All],2,0)),"CUIT NO CARGADO")</f>
        <v>-</v>
      </c>
      <c r="H2246" s="64"/>
      <c r="I2246" s="350">
        <f>ventas_b_mes684[[#This Row],[IMPORTE NETO]]*0.21</f>
        <v>0</v>
      </c>
      <c r="J2246" s="351"/>
      <c r="K2246" s="351"/>
      <c r="L2246" s="351">
        <f>SUM(ventas_b_mes684[[#This Row],[IMPORTE NETO]:[EXENTO]])</f>
        <v>0</v>
      </c>
      <c r="M2246" s="352"/>
    </row>
    <row r="2247" spans="2:13" x14ac:dyDescent="0.25">
      <c r="B2247" s="40"/>
      <c r="C2247" s="41"/>
      <c r="D2247" s="357"/>
      <c r="E2247" s="358"/>
      <c r="F2247" s="359"/>
      <c r="G2247" s="360" t="str">
        <f>IFERROR(IF(ventas_b_mes684[[#This Row],[CUIT]]="","-",VLOOKUP(ventas_b_mes684[[#This Row],[CUIT]],Lista_CUIT[#All],2,0)),"CUIT NO CARGADO")</f>
        <v>-</v>
      </c>
      <c r="H2247" s="64"/>
      <c r="I2247" s="350">
        <f>ventas_b_mes684[[#This Row],[IMPORTE NETO]]*0.21</f>
        <v>0</v>
      </c>
      <c r="J2247" s="351"/>
      <c r="K2247" s="351"/>
      <c r="L2247" s="351">
        <f>SUM(ventas_b_mes684[[#This Row],[IMPORTE NETO]:[EXENTO]])</f>
        <v>0</v>
      </c>
      <c r="M2247" s="352"/>
    </row>
    <row r="2248" spans="2:13" x14ac:dyDescent="0.25">
      <c r="B2248" s="40"/>
      <c r="C2248" s="41"/>
      <c r="D2248" s="357"/>
      <c r="E2248" s="358"/>
      <c r="F2248" s="359"/>
      <c r="G2248" s="360" t="str">
        <f>IFERROR(IF(ventas_b_mes684[[#This Row],[CUIT]]="","-",VLOOKUP(ventas_b_mes684[[#This Row],[CUIT]],Lista_CUIT[#All],2,0)),"CUIT NO CARGADO")</f>
        <v>-</v>
      </c>
      <c r="H2248" s="64"/>
      <c r="I2248" s="350">
        <f>ventas_b_mes684[[#This Row],[IMPORTE NETO]]*0.21</f>
        <v>0</v>
      </c>
      <c r="J2248" s="351"/>
      <c r="K2248" s="351"/>
      <c r="L2248" s="351">
        <f>SUM(ventas_b_mes684[[#This Row],[IMPORTE NETO]:[EXENTO]])</f>
        <v>0</v>
      </c>
      <c r="M2248" s="352"/>
    </row>
    <row r="2249" spans="2:13" x14ac:dyDescent="0.25">
      <c r="B2249" s="40"/>
      <c r="C2249" s="41"/>
      <c r="D2249" s="357"/>
      <c r="E2249" s="358"/>
      <c r="F2249" s="359"/>
      <c r="G2249" s="360" t="str">
        <f>IFERROR(IF(ventas_b_mes684[[#This Row],[CUIT]]="","-",VLOOKUP(ventas_b_mes684[[#This Row],[CUIT]],Lista_CUIT[#All],2,0)),"CUIT NO CARGADO")</f>
        <v>-</v>
      </c>
      <c r="H2249" s="64"/>
      <c r="I2249" s="350">
        <f>ventas_b_mes684[[#This Row],[IMPORTE NETO]]*0.21</f>
        <v>0</v>
      </c>
      <c r="J2249" s="351"/>
      <c r="K2249" s="351"/>
      <c r="L2249" s="351">
        <f>SUM(ventas_b_mes684[[#This Row],[IMPORTE NETO]:[EXENTO]])</f>
        <v>0</v>
      </c>
      <c r="M2249" s="352"/>
    </row>
    <row r="2250" spans="2:13" x14ac:dyDescent="0.25">
      <c r="B2250" s="40"/>
      <c r="C2250" s="41"/>
      <c r="D2250" s="357"/>
      <c r="E2250" s="358"/>
      <c r="F2250" s="359"/>
      <c r="G2250" s="360" t="str">
        <f>IFERROR(IF(ventas_b_mes684[[#This Row],[CUIT]]="","-",VLOOKUP(ventas_b_mes684[[#This Row],[CUIT]],Lista_CUIT[#All],2,0)),"CUIT NO CARGADO")</f>
        <v>-</v>
      </c>
      <c r="H2250" s="64"/>
      <c r="I2250" s="350">
        <f>ventas_b_mes684[[#This Row],[IMPORTE NETO]]*0.21</f>
        <v>0</v>
      </c>
      <c r="J2250" s="351"/>
      <c r="K2250" s="351"/>
      <c r="L2250" s="351">
        <f>SUM(ventas_b_mes684[[#This Row],[IMPORTE NETO]:[EXENTO]])</f>
        <v>0</v>
      </c>
      <c r="M2250" s="352"/>
    </row>
    <row r="2251" spans="2:13" x14ac:dyDescent="0.25">
      <c r="B2251" s="40"/>
      <c r="C2251" s="41"/>
      <c r="D2251" s="357"/>
      <c r="E2251" s="358"/>
      <c r="F2251" s="359"/>
      <c r="G2251" s="360" t="str">
        <f>IFERROR(IF(ventas_b_mes684[[#This Row],[CUIT]]="","-",VLOOKUP(ventas_b_mes684[[#This Row],[CUIT]],Lista_CUIT[#All],2,0)),"CUIT NO CARGADO")</f>
        <v>-</v>
      </c>
      <c r="H2251" s="64"/>
      <c r="I2251" s="350">
        <f>ventas_b_mes684[[#This Row],[IMPORTE NETO]]*0.21</f>
        <v>0</v>
      </c>
      <c r="J2251" s="351"/>
      <c r="K2251" s="351"/>
      <c r="L2251" s="351">
        <f>SUM(ventas_b_mes684[[#This Row],[IMPORTE NETO]:[EXENTO]])</f>
        <v>0</v>
      </c>
      <c r="M2251" s="352"/>
    </row>
    <row r="2252" spans="2:13" x14ac:dyDescent="0.25">
      <c r="B2252" s="40"/>
      <c r="C2252" s="41"/>
      <c r="D2252" s="357"/>
      <c r="E2252" s="358"/>
      <c r="F2252" s="359"/>
      <c r="G2252" s="360" t="str">
        <f>IFERROR(IF(ventas_b_mes684[[#This Row],[CUIT]]="","-",VLOOKUP(ventas_b_mes684[[#This Row],[CUIT]],Lista_CUIT[#All],2,0)),"CUIT NO CARGADO")</f>
        <v>-</v>
      </c>
      <c r="H2252" s="64"/>
      <c r="I2252" s="350">
        <f>ventas_b_mes684[[#This Row],[IMPORTE NETO]]*0.21</f>
        <v>0</v>
      </c>
      <c r="J2252" s="351"/>
      <c r="K2252" s="351"/>
      <c r="L2252" s="351">
        <f>SUM(ventas_b_mes684[[#This Row],[IMPORTE NETO]:[EXENTO]])</f>
        <v>0</v>
      </c>
      <c r="M2252" s="352"/>
    </row>
    <row r="2253" spans="2:13" x14ac:dyDescent="0.25">
      <c r="B2253" s="40"/>
      <c r="C2253" s="41"/>
      <c r="D2253" s="357"/>
      <c r="E2253" s="358"/>
      <c r="F2253" s="359"/>
      <c r="G2253" s="360" t="str">
        <f>IFERROR(IF(ventas_b_mes684[[#This Row],[CUIT]]="","-",VLOOKUP(ventas_b_mes684[[#This Row],[CUIT]],Lista_CUIT[#All],2,0)),"CUIT NO CARGADO")</f>
        <v>-</v>
      </c>
      <c r="H2253" s="64"/>
      <c r="I2253" s="350">
        <f>ventas_b_mes684[[#This Row],[IMPORTE NETO]]*0.21</f>
        <v>0</v>
      </c>
      <c r="J2253" s="351"/>
      <c r="K2253" s="351"/>
      <c r="L2253" s="351">
        <f>SUM(ventas_b_mes684[[#This Row],[IMPORTE NETO]:[EXENTO]])</f>
        <v>0</v>
      </c>
      <c r="M2253" s="352"/>
    </row>
    <row r="2254" spans="2:13" x14ac:dyDescent="0.25">
      <c r="B2254" s="40"/>
      <c r="C2254" s="41"/>
      <c r="D2254" s="357"/>
      <c r="E2254" s="358"/>
      <c r="F2254" s="359"/>
      <c r="G2254" s="360" t="str">
        <f>IFERROR(IF(ventas_b_mes684[[#This Row],[CUIT]]="","-",VLOOKUP(ventas_b_mes684[[#This Row],[CUIT]],Lista_CUIT[#All],2,0)),"CUIT NO CARGADO")</f>
        <v>-</v>
      </c>
      <c r="H2254" s="64"/>
      <c r="I2254" s="350">
        <f>ventas_b_mes684[[#This Row],[IMPORTE NETO]]*0.21</f>
        <v>0</v>
      </c>
      <c r="J2254" s="351"/>
      <c r="K2254" s="351"/>
      <c r="L2254" s="351">
        <f>SUM(ventas_b_mes684[[#This Row],[IMPORTE NETO]:[EXENTO]])</f>
        <v>0</v>
      </c>
      <c r="M2254" s="352"/>
    </row>
    <row r="2255" spans="2:13" x14ac:dyDescent="0.25">
      <c r="B2255" s="40"/>
      <c r="C2255" s="41"/>
      <c r="D2255" s="357"/>
      <c r="E2255" s="358"/>
      <c r="F2255" s="359"/>
      <c r="G2255" s="360" t="str">
        <f>IFERROR(IF(ventas_b_mes684[[#This Row],[CUIT]]="","-",VLOOKUP(ventas_b_mes684[[#This Row],[CUIT]],Lista_CUIT[#All],2,0)),"CUIT NO CARGADO")</f>
        <v>-</v>
      </c>
      <c r="H2255" s="64"/>
      <c r="I2255" s="350">
        <f>ventas_b_mes684[[#This Row],[IMPORTE NETO]]*0.21</f>
        <v>0</v>
      </c>
      <c r="J2255" s="351"/>
      <c r="K2255" s="351"/>
      <c r="L2255" s="351">
        <f>SUM(ventas_b_mes684[[#This Row],[IMPORTE NETO]:[EXENTO]])</f>
        <v>0</v>
      </c>
      <c r="M2255" s="352"/>
    </row>
    <row r="2256" spans="2:13" x14ac:dyDescent="0.25">
      <c r="B2256" s="40"/>
      <c r="C2256" s="41"/>
      <c r="D2256" s="357"/>
      <c r="E2256" s="358"/>
      <c r="F2256" s="359"/>
      <c r="G2256" s="360" t="str">
        <f>IFERROR(IF(ventas_b_mes684[[#This Row],[CUIT]]="","-",VLOOKUP(ventas_b_mes684[[#This Row],[CUIT]],Lista_CUIT[#All],2,0)),"CUIT NO CARGADO")</f>
        <v>-</v>
      </c>
      <c r="H2256" s="64"/>
      <c r="I2256" s="350">
        <f>ventas_b_mes684[[#This Row],[IMPORTE NETO]]*0.21</f>
        <v>0</v>
      </c>
      <c r="J2256" s="351"/>
      <c r="K2256" s="351"/>
      <c r="L2256" s="351">
        <f>SUM(ventas_b_mes684[[#This Row],[IMPORTE NETO]:[EXENTO]])</f>
        <v>0</v>
      </c>
      <c r="M2256" s="352"/>
    </row>
    <row r="2257" spans="2:13" x14ac:dyDescent="0.25">
      <c r="B2257" s="40"/>
      <c r="C2257" s="41"/>
      <c r="D2257" s="357"/>
      <c r="E2257" s="358"/>
      <c r="F2257" s="359"/>
      <c r="G2257" s="360" t="str">
        <f>IFERROR(IF(ventas_b_mes684[[#This Row],[CUIT]]="","-",VLOOKUP(ventas_b_mes684[[#This Row],[CUIT]],Lista_CUIT[#All],2,0)),"CUIT NO CARGADO")</f>
        <v>-</v>
      </c>
      <c r="H2257" s="64"/>
      <c r="I2257" s="350">
        <f>ventas_b_mes684[[#This Row],[IMPORTE NETO]]*0.21</f>
        <v>0</v>
      </c>
      <c r="J2257" s="351"/>
      <c r="K2257" s="351"/>
      <c r="L2257" s="351">
        <f>SUM(ventas_b_mes684[[#This Row],[IMPORTE NETO]:[EXENTO]])</f>
        <v>0</v>
      </c>
      <c r="M2257" s="352"/>
    </row>
    <row r="2258" spans="2:13" x14ac:dyDescent="0.25">
      <c r="B2258" s="40"/>
      <c r="C2258" s="41"/>
      <c r="D2258" s="357"/>
      <c r="E2258" s="358"/>
      <c r="F2258" s="359"/>
      <c r="G2258" s="360" t="str">
        <f>IFERROR(IF(ventas_b_mes684[[#This Row],[CUIT]]="","-",VLOOKUP(ventas_b_mes684[[#This Row],[CUIT]],Lista_CUIT[#All],2,0)),"CUIT NO CARGADO")</f>
        <v>-</v>
      </c>
      <c r="H2258" s="64"/>
      <c r="I2258" s="350">
        <f>ventas_b_mes684[[#This Row],[IMPORTE NETO]]*0.21</f>
        <v>0</v>
      </c>
      <c r="J2258" s="351"/>
      <c r="K2258" s="351"/>
      <c r="L2258" s="351">
        <f>SUM(ventas_b_mes684[[#This Row],[IMPORTE NETO]:[EXENTO]])</f>
        <v>0</v>
      </c>
      <c r="M2258" s="352"/>
    </row>
    <row r="2259" spans="2:13" x14ac:dyDescent="0.25">
      <c r="B2259" s="40"/>
      <c r="C2259" s="41"/>
      <c r="D2259" s="357"/>
      <c r="E2259" s="358"/>
      <c r="F2259" s="359"/>
      <c r="G2259" s="360" t="str">
        <f>IFERROR(IF(ventas_b_mes684[[#This Row],[CUIT]]="","-",VLOOKUP(ventas_b_mes684[[#This Row],[CUIT]],Lista_CUIT[#All],2,0)),"CUIT NO CARGADO")</f>
        <v>-</v>
      </c>
      <c r="H2259" s="64"/>
      <c r="I2259" s="350">
        <f>ventas_b_mes684[[#This Row],[IMPORTE NETO]]*0.21</f>
        <v>0</v>
      </c>
      <c r="J2259" s="351"/>
      <c r="K2259" s="351"/>
      <c r="L2259" s="351">
        <f>SUM(ventas_b_mes684[[#This Row],[IMPORTE NETO]:[EXENTO]])</f>
        <v>0</v>
      </c>
      <c r="M2259" s="352"/>
    </row>
    <row r="2260" spans="2:13" x14ac:dyDescent="0.25">
      <c r="B2260" s="40"/>
      <c r="C2260" s="41"/>
      <c r="D2260" s="357"/>
      <c r="E2260" s="358"/>
      <c r="F2260" s="359"/>
      <c r="G2260" s="360" t="str">
        <f>IFERROR(IF(ventas_b_mes684[[#This Row],[CUIT]]="","-",VLOOKUP(ventas_b_mes684[[#This Row],[CUIT]],Lista_CUIT[#All],2,0)),"CUIT NO CARGADO")</f>
        <v>-</v>
      </c>
      <c r="H2260" s="64"/>
      <c r="I2260" s="350">
        <f>ventas_b_mes684[[#This Row],[IMPORTE NETO]]*0.21</f>
        <v>0</v>
      </c>
      <c r="J2260" s="351"/>
      <c r="K2260" s="351"/>
      <c r="L2260" s="351">
        <f>SUM(ventas_b_mes684[[#This Row],[IMPORTE NETO]:[EXENTO]])</f>
        <v>0</v>
      </c>
      <c r="M2260" s="352"/>
    </row>
    <row r="2261" spans="2:13" x14ac:dyDescent="0.25">
      <c r="B2261" s="40"/>
      <c r="C2261" s="41"/>
      <c r="D2261" s="357"/>
      <c r="E2261" s="358"/>
      <c r="F2261" s="359"/>
      <c r="G2261" s="360" t="str">
        <f>IFERROR(IF(ventas_b_mes684[[#This Row],[CUIT]]="","-",VLOOKUP(ventas_b_mes684[[#This Row],[CUIT]],Lista_CUIT[#All],2,0)),"CUIT NO CARGADO")</f>
        <v>-</v>
      </c>
      <c r="H2261" s="64"/>
      <c r="I2261" s="350">
        <f>ventas_b_mes684[[#This Row],[IMPORTE NETO]]*0.21</f>
        <v>0</v>
      </c>
      <c r="J2261" s="351"/>
      <c r="K2261" s="351"/>
      <c r="L2261" s="351">
        <f>SUM(ventas_b_mes684[[#This Row],[IMPORTE NETO]:[EXENTO]])</f>
        <v>0</v>
      </c>
      <c r="M2261" s="352"/>
    </row>
    <row r="2262" spans="2:13" x14ac:dyDescent="0.25">
      <c r="B2262" s="40"/>
      <c r="C2262" s="41"/>
      <c r="D2262" s="357"/>
      <c r="E2262" s="358"/>
      <c r="F2262" s="359"/>
      <c r="G2262" s="360" t="str">
        <f>IFERROR(IF(ventas_b_mes684[[#This Row],[CUIT]]="","-",VLOOKUP(ventas_b_mes684[[#This Row],[CUIT]],Lista_CUIT[#All],2,0)),"CUIT NO CARGADO")</f>
        <v>-</v>
      </c>
      <c r="H2262" s="64"/>
      <c r="I2262" s="350">
        <f>ventas_b_mes684[[#This Row],[IMPORTE NETO]]*0.21</f>
        <v>0</v>
      </c>
      <c r="J2262" s="351"/>
      <c r="K2262" s="351"/>
      <c r="L2262" s="351">
        <f>SUM(ventas_b_mes684[[#This Row],[IMPORTE NETO]:[EXENTO]])</f>
        <v>0</v>
      </c>
      <c r="M2262" s="352"/>
    </row>
    <row r="2263" spans="2:13" x14ac:dyDescent="0.25">
      <c r="B2263" s="40"/>
      <c r="C2263" s="41"/>
      <c r="D2263" s="357"/>
      <c r="E2263" s="358"/>
      <c r="F2263" s="359"/>
      <c r="G2263" s="360" t="str">
        <f>IFERROR(IF(ventas_b_mes684[[#This Row],[CUIT]]="","-",VLOOKUP(ventas_b_mes684[[#This Row],[CUIT]],Lista_CUIT[#All],2,0)),"CUIT NO CARGADO")</f>
        <v>-</v>
      </c>
      <c r="H2263" s="64"/>
      <c r="I2263" s="350">
        <f>ventas_b_mes684[[#This Row],[IMPORTE NETO]]*0.21</f>
        <v>0</v>
      </c>
      <c r="J2263" s="351"/>
      <c r="K2263" s="351"/>
      <c r="L2263" s="351">
        <f>SUM(ventas_b_mes684[[#This Row],[IMPORTE NETO]:[EXENTO]])</f>
        <v>0</v>
      </c>
      <c r="M2263" s="352"/>
    </row>
    <row r="2264" spans="2:13" x14ac:dyDescent="0.25">
      <c r="B2264" s="40"/>
      <c r="C2264" s="41"/>
      <c r="D2264" s="357"/>
      <c r="E2264" s="358"/>
      <c r="F2264" s="359"/>
      <c r="G2264" s="360" t="str">
        <f>IFERROR(IF(ventas_b_mes684[[#This Row],[CUIT]]="","-",VLOOKUP(ventas_b_mes684[[#This Row],[CUIT]],Lista_CUIT[#All],2,0)),"CUIT NO CARGADO")</f>
        <v>-</v>
      </c>
      <c r="H2264" s="64"/>
      <c r="I2264" s="350">
        <f>ventas_b_mes684[[#This Row],[IMPORTE NETO]]*0.21</f>
        <v>0</v>
      </c>
      <c r="J2264" s="351"/>
      <c r="K2264" s="351"/>
      <c r="L2264" s="351">
        <f>SUM(ventas_b_mes684[[#This Row],[IMPORTE NETO]:[EXENTO]])</f>
        <v>0</v>
      </c>
      <c r="M2264" s="352"/>
    </row>
    <row r="2265" spans="2:13" x14ac:dyDescent="0.25">
      <c r="B2265" s="40"/>
      <c r="C2265" s="41"/>
      <c r="D2265" s="357"/>
      <c r="E2265" s="358"/>
      <c r="F2265" s="359"/>
      <c r="G2265" s="360" t="str">
        <f>IFERROR(IF(ventas_b_mes684[[#This Row],[CUIT]]="","-",VLOOKUP(ventas_b_mes684[[#This Row],[CUIT]],Lista_CUIT[#All],2,0)),"CUIT NO CARGADO")</f>
        <v>-</v>
      </c>
      <c r="H2265" s="64"/>
      <c r="I2265" s="350">
        <f>ventas_b_mes684[[#This Row],[IMPORTE NETO]]*0.21</f>
        <v>0</v>
      </c>
      <c r="J2265" s="351"/>
      <c r="K2265" s="351"/>
      <c r="L2265" s="351">
        <f>SUM(ventas_b_mes684[[#This Row],[IMPORTE NETO]:[EXENTO]])</f>
        <v>0</v>
      </c>
      <c r="M2265" s="352"/>
    </row>
    <row r="2266" spans="2:13" x14ac:dyDescent="0.25">
      <c r="B2266" s="40"/>
      <c r="C2266" s="41"/>
      <c r="D2266" s="357"/>
      <c r="E2266" s="358"/>
      <c r="F2266" s="359"/>
      <c r="G2266" s="360" t="str">
        <f>IFERROR(IF(ventas_b_mes684[[#This Row],[CUIT]]="","-",VLOOKUP(ventas_b_mes684[[#This Row],[CUIT]],Lista_CUIT[#All],2,0)),"CUIT NO CARGADO")</f>
        <v>-</v>
      </c>
      <c r="H2266" s="64"/>
      <c r="I2266" s="350">
        <f>ventas_b_mes684[[#This Row],[IMPORTE NETO]]*0.21</f>
        <v>0</v>
      </c>
      <c r="J2266" s="351"/>
      <c r="K2266" s="351"/>
      <c r="L2266" s="351">
        <f>SUM(ventas_b_mes684[[#This Row],[IMPORTE NETO]:[EXENTO]])</f>
        <v>0</v>
      </c>
      <c r="M2266" s="352"/>
    </row>
    <row r="2267" spans="2:13" x14ac:dyDescent="0.25">
      <c r="B2267" s="40"/>
      <c r="C2267" s="41"/>
      <c r="D2267" s="357"/>
      <c r="E2267" s="358"/>
      <c r="F2267" s="359"/>
      <c r="G2267" s="360" t="str">
        <f>IFERROR(IF(ventas_b_mes684[[#This Row],[CUIT]]="","-",VLOOKUP(ventas_b_mes684[[#This Row],[CUIT]],Lista_CUIT[#All],2,0)),"CUIT NO CARGADO")</f>
        <v>-</v>
      </c>
      <c r="H2267" s="64"/>
      <c r="I2267" s="350">
        <f>ventas_b_mes684[[#This Row],[IMPORTE NETO]]*0.21</f>
        <v>0</v>
      </c>
      <c r="J2267" s="351"/>
      <c r="K2267" s="351"/>
      <c r="L2267" s="351">
        <f>SUM(ventas_b_mes684[[#This Row],[IMPORTE NETO]:[EXENTO]])</f>
        <v>0</v>
      </c>
      <c r="M2267" s="352"/>
    </row>
    <row r="2268" spans="2:13" x14ac:dyDescent="0.25">
      <c r="B2268" s="40"/>
      <c r="C2268" s="41"/>
      <c r="D2268" s="357"/>
      <c r="E2268" s="358"/>
      <c r="F2268" s="359"/>
      <c r="G2268" s="360" t="str">
        <f>IFERROR(IF(ventas_b_mes684[[#This Row],[CUIT]]="","-",VLOOKUP(ventas_b_mes684[[#This Row],[CUIT]],Lista_CUIT[#All],2,0)),"CUIT NO CARGADO")</f>
        <v>-</v>
      </c>
      <c r="H2268" s="64"/>
      <c r="I2268" s="350">
        <f>ventas_b_mes684[[#This Row],[IMPORTE NETO]]*0.21</f>
        <v>0</v>
      </c>
      <c r="J2268" s="351"/>
      <c r="K2268" s="351"/>
      <c r="L2268" s="351">
        <f>SUM(ventas_b_mes684[[#This Row],[IMPORTE NETO]:[EXENTO]])</f>
        <v>0</v>
      </c>
      <c r="M2268" s="352"/>
    </row>
    <row r="2269" spans="2:13" x14ac:dyDescent="0.25">
      <c r="B2269" s="40"/>
      <c r="C2269" s="41"/>
      <c r="D2269" s="357"/>
      <c r="E2269" s="358"/>
      <c r="F2269" s="359"/>
      <c r="G2269" s="360" t="str">
        <f>IFERROR(IF(ventas_b_mes684[[#This Row],[CUIT]]="","-",VLOOKUP(ventas_b_mes684[[#This Row],[CUIT]],Lista_CUIT[#All],2,0)),"CUIT NO CARGADO")</f>
        <v>-</v>
      </c>
      <c r="H2269" s="64"/>
      <c r="I2269" s="350">
        <f>ventas_b_mes684[[#This Row],[IMPORTE NETO]]*0.21</f>
        <v>0</v>
      </c>
      <c r="J2269" s="351"/>
      <c r="K2269" s="351"/>
      <c r="L2269" s="351">
        <f>SUM(ventas_b_mes684[[#This Row],[IMPORTE NETO]:[EXENTO]])</f>
        <v>0</v>
      </c>
      <c r="M2269" s="352"/>
    </row>
    <row r="2270" spans="2:13" x14ac:dyDescent="0.25">
      <c r="B2270" s="40"/>
      <c r="C2270" s="41"/>
      <c r="D2270" s="357"/>
      <c r="E2270" s="358"/>
      <c r="F2270" s="359"/>
      <c r="G2270" s="360" t="str">
        <f>IFERROR(IF(ventas_b_mes684[[#This Row],[CUIT]]="","-",VLOOKUP(ventas_b_mes684[[#This Row],[CUIT]],Lista_CUIT[#All],2,0)),"CUIT NO CARGADO")</f>
        <v>-</v>
      </c>
      <c r="H2270" s="64"/>
      <c r="I2270" s="350">
        <f>ventas_b_mes684[[#This Row],[IMPORTE NETO]]*0.21</f>
        <v>0</v>
      </c>
      <c r="J2270" s="351"/>
      <c r="K2270" s="351"/>
      <c r="L2270" s="351">
        <f>SUM(ventas_b_mes684[[#This Row],[IMPORTE NETO]:[EXENTO]])</f>
        <v>0</v>
      </c>
      <c r="M2270" s="352"/>
    </row>
    <row r="2271" spans="2:13" x14ac:dyDescent="0.25">
      <c r="B2271" s="40"/>
      <c r="C2271" s="41"/>
      <c r="D2271" s="357"/>
      <c r="E2271" s="358"/>
      <c r="F2271" s="359"/>
      <c r="G2271" s="360" t="str">
        <f>IFERROR(IF(ventas_b_mes684[[#This Row],[CUIT]]="","-",VLOOKUP(ventas_b_mes684[[#This Row],[CUIT]],Lista_CUIT[#All],2,0)),"CUIT NO CARGADO")</f>
        <v>-</v>
      </c>
      <c r="H2271" s="64"/>
      <c r="I2271" s="350">
        <f>ventas_b_mes684[[#This Row],[IMPORTE NETO]]*0.21</f>
        <v>0</v>
      </c>
      <c r="J2271" s="351"/>
      <c r="K2271" s="351"/>
      <c r="L2271" s="351">
        <f>SUM(ventas_b_mes684[[#This Row],[IMPORTE NETO]:[EXENTO]])</f>
        <v>0</v>
      </c>
      <c r="M2271" s="352"/>
    </row>
    <row r="2272" spans="2:13" x14ac:dyDescent="0.25">
      <c r="B2272" s="40"/>
      <c r="C2272" s="41"/>
      <c r="D2272" s="357"/>
      <c r="E2272" s="358"/>
      <c r="F2272" s="359"/>
      <c r="G2272" s="360" t="str">
        <f>IFERROR(IF(ventas_b_mes684[[#This Row],[CUIT]]="","-",VLOOKUP(ventas_b_mes684[[#This Row],[CUIT]],Lista_CUIT[#All],2,0)),"CUIT NO CARGADO")</f>
        <v>-</v>
      </c>
      <c r="H2272" s="64"/>
      <c r="I2272" s="350">
        <f>ventas_b_mes684[[#This Row],[IMPORTE NETO]]*0.21</f>
        <v>0</v>
      </c>
      <c r="J2272" s="351"/>
      <c r="K2272" s="351"/>
      <c r="L2272" s="351">
        <f>SUM(ventas_b_mes684[[#This Row],[IMPORTE NETO]:[EXENTO]])</f>
        <v>0</v>
      </c>
      <c r="M2272" s="352"/>
    </row>
    <row r="2273" spans="2:13" x14ac:dyDescent="0.25">
      <c r="B2273" s="40"/>
      <c r="C2273" s="41"/>
      <c r="D2273" s="357"/>
      <c r="E2273" s="358"/>
      <c r="F2273" s="359"/>
      <c r="G2273" s="360" t="str">
        <f>IFERROR(IF(ventas_b_mes684[[#This Row],[CUIT]]="","-",VLOOKUP(ventas_b_mes684[[#This Row],[CUIT]],Lista_CUIT[#All],2,0)),"CUIT NO CARGADO")</f>
        <v>-</v>
      </c>
      <c r="H2273" s="64"/>
      <c r="I2273" s="350">
        <f>ventas_b_mes684[[#This Row],[IMPORTE NETO]]*0.21</f>
        <v>0</v>
      </c>
      <c r="J2273" s="351"/>
      <c r="K2273" s="351"/>
      <c r="L2273" s="351">
        <f>SUM(ventas_b_mes684[[#This Row],[IMPORTE NETO]:[EXENTO]])</f>
        <v>0</v>
      </c>
      <c r="M2273" s="352"/>
    </row>
    <row r="2274" spans="2:13" x14ac:dyDescent="0.25">
      <c r="B2274" s="40"/>
      <c r="C2274" s="41"/>
      <c r="D2274" s="357"/>
      <c r="E2274" s="358"/>
      <c r="F2274" s="359"/>
      <c r="G2274" s="360" t="str">
        <f>IFERROR(IF(ventas_b_mes684[[#This Row],[CUIT]]="","-",VLOOKUP(ventas_b_mes684[[#This Row],[CUIT]],Lista_CUIT[#All],2,0)),"CUIT NO CARGADO")</f>
        <v>-</v>
      </c>
      <c r="H2274" s="64"/>
      <c r="I2274" s="350">
        <f>ventas_b_mes684[[#This Row],[IMPORTE NETO]]*0.21</f>
        <v>0</v>
      </c>
      <c r="J2274" s="351"/>
      <c r="K2274" s="351"/>
      <c r="L2274" s="351">
        <f>SUM(ventas_b_mes684[[#This Row],[IMPORTE NETO]:[EXENTO]])</f>
        <v>0</v>
      </c>
      <c r="M2274" s="352"/>
    </row>
    <row r="2275" spans="2:13" x14ac:dyDescent="0.25">
      <c r="B2275" s="40"/>
      <c r="C2275" s="41"/>
      <c r="D2275" s="357"/>
      <c r="E2275" s="358"/>
      <c r="F2275" s="359"/>
      <c r="G2275" s="360" t="str">
        <f>IFERROR(IF(ventas_b_mes684[[#This Row],[CUIT]]="","-",VLOOKUP(ventas_b_mes684[[#This Row],[CUIT]],Lista_CUIT[#All],2,0)),"CUIT NO CARGADO")</f>
        <v>-</v>
      </c>
      <c r="H2275" s="64"/>
      <c r="I2275" s="350">
        <f>ventas_b_mes684[[#This Row],[IMPORTE NETO]]*0.21</f>
        <v>0</v>
      </c>
      <c r="J2275" s="351"/>
      <c r="K2275" s="351"/>
      <c r="L2275" s="351">
        <f>SUM(ventas_b_mes684[[#This Row],[IMPORTE NETO]:[EXENTO]])</f>
        <v>0</v>
      </c>
      <c r="M2275" s="352"/>
    </row>
    <row r="2276" spans="2:13" x14ac:dyDescent="0.25">
      <c r="B2276" s="40"/>
      <c r="C2276" s="41"/>
      <c r="D2276" s="357"/>
      <c r="E2276" s="358"/>
      <c r="F2276" s="359"/>
      <c r="G2276" s="360" t="str">
        <f>IFERROR(IF(ventas_b_mes684[[#This Row],[CUIT]]="","-",VLOOKUP(ventas_b_mes684[[#This Row],[CUIT]],Lista_CUIT[#All],2,0)),"CUIT NO CARGADO")</f>
        <v>-</v>
      </c>
      <c r="H2276" s="64"/>
      <c r="I2276" s="350">
        <f>ventas_b_mes684[[#This Row],[IMPORTE NETO]]*0.21</f>
        <v>0</v>
      </c>
      <c r="J2276" s="351"/>
      <c r="K2276" s="351"/>
      <c r="L2276" s="351">
        <f>SUM(ventas_b_mes684[[#This Row],[IMPORTE NETO]:[EXENTO]])</f>
        <v>0</v>
      </c>
      <c r="M2276" s="352"/>
    </row>
    <row r="2277" spans="2:13" x14ac:dyDescent="0.25">
      <c r="B2277" s="40"/>
      <c r="C2277" s="41"/>
      <c r="D2277" s="357"/>
      <c r="E2277" s="358"/>
      <c r="F2277" s="359"/>
      <c r="G2277" s="360" t="str">
        <f>IFERROR(IF(ventas_b_mes684[[#This Row],[CUIT]]="","-",VLOOKUP(ventas_b_mes684[[#This Row],[CUIT]],Lista_CUIT[#All],2,0)),"CUIT NO CARGADO")</f>
        <v>-</v>
      </c>
      <c r="H2277" s="64"/>
      <c r="I2277" s="350">
        <f>ventas_b_mes684[[#This Row],[IMPORTE NETO]]*0.21</f>
        <v>0</v>
      </c>
      <c r="J2277" s="351"/>
      <c r="K2277" s="351"/>
      <c r="L2277" s="351">
        <f>SUM(ventas_b_mes684[[#This Row],[IMPORTE NETO]:[EXENTO]])</f>
        <v>0</v>
      </c>
      <c r="M2277" s="352"/>
    </row>
    <row r="2278" spans="2:13" x14ac:dyDescent="0.25">
      <c r="B2278" s="40"/>
      <c r="C2278" s="41"/>
      <c r="D2278" s="357"/>
      <c r="E2278" s="358"/>
      <c r="F2278" s="359"/>
      <c r="G2278" s="360" t="str">
        <f>IFERROR(IF(ventas_b_mes684[[#This Row],[CUIT]]="","-",VLOOKUP(ventas_b_mes684[[#This Row],[CUIT]],Lista_CUIT[#All],2,0)),"CUIT NO CARGADO")</f>
        <v>-</v>
      </c>
      <c r="H2278" s="64"/>
      <c r="I2278" s="350">
        <f>ventas_b_mes684[[#This Row],[IMPORTE NETO]]*0.21</f>
        <v>0</v>
      </c>
      <c r="J2278" s="351"/>
      <c r="K2278" s="351"/>
      <c r="L2278" s="351">
        <f>SUM(ventas_b_mes684[[#This Row],[IMPORTE NETO]:[EXENTO]])</f>
        <v>0</v>
      </c>
      <c r="M2278" s="352"/>
    </row>
    <row r="2279" spans="2:13" x14ac:dyDescent="0.25">
      <c r="B2279" s="40"/>
      <c r="C2279" s="41"/>
      <c r="D2279" s="357"/>
      <c r="E2279" s="358"/>
      <c r="F2279" s="359"/>
      <c r="G2279" s="360" t="str">
        <f>IFERROR(IF(ventas_b_mes684[[#This Row],[CUIT]]="","-",VLOOKUP(ventas_b_mes684[[#This Row],[CUIT]],Lista_CUIT[#All],2,0)),"CUIT NO CARGADO")</f>
        <v>-</v>
      </c>
      <c r="H2279" s="64"/>
      <c r="I2279" s="350">
        <f>ventas_b_mes684[[#This Row],[IMPORTE NETO]]*0.21</f>
        <v>0</v>
      </c>
      <c r="J2279" s="351"/>
      <c r="K2279" s="351"/>
      <c r="L2279" s="351">
        <f>SUM(ventas_b_mes684[[#This Row],[IMPORTE NETO]:[EXENTO]])</f>
        <v>0</v>
      </c>
      <c r="M2279" s="352"/>
    </row>
    <row r="2280" spans="2:13" x14ac:dyDescent="0.25">
      <c r="B2280" s="40"/>
      <c r="C2280" s="41"/>
      <c r="D2280" s="357"/>
      <c r="E2280" s="358"/>
      <c r="F2280" s="359"/>
      <c r="G2280" s="360" t="str">
        <f>IFERROR(IF(ventas_b_mes684[[#This Row],[CUIT]]="","-",VLOOKUP(ventas_b_mes684[[#This Row],[CUIT]],Lista_CUIT[#All],2,0)),"CUIT NO CARGADO")</f>
        <v>-</v>
      </c>
      <c r="H2280" s="64"/>
      <c r="I2280" s="350">
        <f>ventas_b_mes684[[#This Row],[IMPORTE NETO]]*0.21</f>
        <v>0</v>
      </c>
      <c r="J2280" s="351"/>
      <c r="K2280" s="351"/>
      <c r="L2280" s="351">
        <f>SUM(ventas_b_mes684[[#This Row],[IMPORTE NETO]:[EXENTO]])</f>
        <v>0</v>
      </c>
      <c r="M2280" s="352"/>
    </row>
    <row r="2281" spans="2:13" x14ac:dyDescent="0.25">
      <c r="B2281" s="40"/>
      <c r="C2281" s="41"/>
      <c r="D2281" s="357"/>
      <c r="E2281" s="358"/>
      <c r="F2281" s="359"/>
      <c r="G2281" s="360" t="str">
        <f>IFERROR(IF(ventas_b_mes684[[#This Row],[CUIT]]="","-",VLOOKUP(ventas_b_mes684[[#This Row],[CUIT]],Lista_CUIT[#All],2,0)),"CUIT NO CARGADO")</f>
        <v>-</v>
      </c>
      <c r="H2281" s="64"/>
      <c r="I2281" s="350">
        <f>ventas_b_mes684[[#This Row],[IMPORTE NETO]]*0.21</f>
        <v>0</v>
      </c>
      <c r="J2281" s="351"/>
      <c r="K2281" s="351"/>
      <c r="L2281" s="351">
        <f>SUM(ventas_b_mes684[[#This Row],[IMPORTE NETO]:[EXENTO]])</f>
        <v>0</v>
      </c>
      <c r="M2281" s="352"/>
    </row>
    <row r="2282" spans="2:13" x14ac:dyDescent="0.25">
      <c r="B2282" s="40"/>
      <c r="C2282" s="41"/>
      <c r="D2282" s="357"/>
      <c r="E2282" s="358"/>
      <c r="F2282" s="359"/>
      <c r="G2282" s="360" t="str">
        <f>IFERROR(IF(ventas_b_mes684[[#This Row],[CUIT]]="","-",VLOOKUP(ventas_b_mes684[[#This Row],[CUIT]],Lista_CUIT[#All],2,0)),"CUIT NO CARGADO")</f>
        <v>-</v>
      </c>
      <c r="H2282" s="64"/>
      <c r="I2282" s="350">
        <f>ventas_b_mes684[[#This Row],[IMPORTE NETO]]*0.21</f>
        <v>0</v>
      </c>
      <c r="J2282" s="351"/>
      <c r="K2282" s="351"/>
      <c r="L2282" s="351">
        <f>SUM(ventas_b_mes684[[#This Row],[IMPORTE NETO]:[EXENTO]])</f>
        <v>0</v>
      </c>
      <c r="M2282" s="352"/>
    </row>
    <row r="2283" spans="2:13" x14ac:dyDescent="0.25">
      <c r="B2283" s="40"/>
      <c r="C2283" s="41"/>
      <c r="D2283" s="357"/>
      <c r="E2283" s="358"/>
      <c r="F2283" s="359"/>
      <c r="G2283" s="360" t="str">
        <f>IFERROR(IF(ventas_b_mes684[[#This Row],[CUIT]]="","-",VLOOKUP(ventas_b_mes684[[#This Row],[CUIT]],Lista_CUIT[#All],2,0)),"CUIT NO CARGADO")</f>
        <v>-</v>
      </c>
      <c r="H2283" s="64"/>
      <c r="I2283" s="350">
        <f>ventas_b_mes684[[#This Row],[IMPORTE NETO]]*0.21</f>
        <v>0</v>
      </c>
      <c r="J2283" s="351"/>
      <c r="K2283" s="351"/>
      <c r="L2283" s="351">
        <f>SUM(ventas_b_mes684[[#This Row],[IMPORTE NETO]:[EXENTO]])</f>
        <v>0</v>
      </c>
      <c r="M2283" s="352"/>
    </row>
    <row r="2284" spans="2:13" x14ac:dyDescent="0.25">
      <c r="B2284" s="40"/>
      <c r="C2284" s="41"/>
      <c r="D2284" s="357"/>
      <c r="E2284" s="358"/>
      <c r="F2284" s="359"/>
      <c r="G2284" s="360" t="str">
        <f>IFERROR(IF(ventas_b_mes684[[#This Row],[CUIT]]="","-",VLOOKUP(ventas_b_mes684[[#This Row],[CUIT]],Lista_CUIT[#All],2,0)),"CUIT NO CARGADO")</f>
        <v>-</v>
      </c>
      <c r="H2284" s="64"/>
      <c r="I2284" s="350">
        <f>ventas_b_mes684[[#This Row],[IMPORTE NETO]]*0.21</f>
        <v>0</v>
      </c>
      <c r="J2284" s="351"/>
      <c r="K2284" s="351"/>
      <c r="L2284" s="351">
        <f>SUM(ventas_b_mes684[[#This Row],[IMPORTE NETO]:[EXENTO]])</f>
        <v>0</v>
      </c>
      <c r="M2284" s="352"/>
    </row>
    <row r="2285" spans="2:13" x14ac:dyDescent="0.25">
      <c r="B2285" s="40"/>
      <c r="C2285" s="41"/>
      <c r="D2285" s="357"/>
      <c r="E2285" s="358"/>
      <c r="F2285" s="359"/>
      <c r="G2285" s="360" t="str">
        <f>IFERROR(IF(ventas_b_mes684[[#This Row],[CUIT]]="","-",VLOOKUP(ventas_b_mes684[[#This Row],[CUIT]],Lista_CUIT[#All],2,0)),"CUIT NO CARGADO")</f>
        <v>-</v>
      </c>
      <c r="H2285" s="64"/>
      <c r="I2285" s="350">
        <f>ventas_b_mes684[[#This Row],[IMPORTE NETO]]*0.21</f>
        <v>0</v>
      </c>
      <c r="J2285" s="351"/>
      <c r="K2285" s="351"/>
      <c r="L2285" s="351">
        <f>SUM(ventas_b_mes684[[#This Row],[IMPORTE NETO]:[EXENTO]])</f>
        <v>0</v>
      </c>
      <c r="M2285" s="352"/>
    </row>
    <row r="2286" spans="2:13" x14ac:dyDescent="0.25">
      <c r="B2286" s="40"/>
      <c r="C2286" s="41"/>
      <c r="D2286" s="357"/>
      <c r="E2286" s="358"/>
      <c r="F2286" s="359"/>
      <c r="G2286" s="360" t="str">
        <f>IFERROR(IF(ventas_b_mes684[[#This Row],[CUIT]]="","-",VLOOKUP(ventas_b_mes684[[#This Row],[CUIT]],Lista_CUIT[#All],2,0)),"CUIT NO CARGADO")</f>
        <v>-</v>
      </c>
      <c r="H2286" s="64"/>
      <c r="I2286" s="350">
        <f>ventas_b_mes684[[#This Row],[IMPORTE NETO]]*0.21</f>
        <v>0</v>
      </c>
      <c r="J2286" s="351"/>
      <c r="K2286" s="351"/>
      <c r="L2286" s="351">
        <f>SUM(ventas_b_mes684[[#This Row],[IMPORTE NETO]:[EXENTO]])</f>
        <v>0</v>
      </c>
      <c r="M2286" s="352"/>
    </row>
    <row r="2287" spans="2:13" x14ac:dyDescent="0.25">
      <c r="B2287" s="40"/>
      <c r="C2287" s="41"/>
      <c r="D2287" s="357"/>
      <c r="E2287" s="358"/>
      <c r="F2287" s="359"/>
      <c r="G2287" s="360" t="str">
        <f>IFERROR(IF(ventas_b_mes684[[#This Row],[CUIT]]="","-",VLOOKUP(ventas_b_mes684[[#This Row],[CUIT]],Lista_CUIT[#All],2,0)),"CUIT NO CARGADO")</f>
        <v>-</v>
      </c>
      <c r="H2287" s="64"/>
      <c r="I2287" s="350">
        <f>ventas_b_mes684[[#This Row],[IMPORTE NETO]]*0.21</f>
        <v>0</v>
      </c>
      <c r="J2287" s="351"/>
      <c r="K2287" s="351"/>
      <c r="L2287" s="351">
        <f>SUM(ventas_b_mes684[[#This Row],[IMPORTE NETO]:[EXENTO]])</f>
        <v>0</v>
      </c>
      <c r="M2287" s="352"/>
    </row>
    <row r="2288" spans="2:13" x14ac:dyDescent="0.25">
      <c r="B2288" s="40"/>
      <c r="C2288" s="41"/>
      <c r="D2288" s="357"/>
      <c r="E2288" s="358"/>
      <c r="F2288" s="359"/>
      <c r="G2288" s="360" t="str">
        <f>IFERROR(IF(ventas_b_mes684[[#This Row],[CUIT]]="","-",VLOOKUP(ventas_b_mes684[[#This Row],[CUIT]],Lista_CUIT[#All],2,0)),"CUIT NO CARGADO")</f>
        <v>-</v>
      </c>
      <c r="H2288" s="64"/>
      <c r="I2288" s="350">
        <f>ventas_b_mes684[[#This Row],[IMPORTE NETO]]*0.21</f>
        <v>0</v>
      </c>
      <c r="J2288" s="351"/>
      <c r="K2288" s="351"/>
      <c r="L2288" s="351">
        <f>SUM(ventas_b_mes684[[#This Row],[IMPORTE NETO]:[EXENTO]])</f>
        <v>0</v>
      </c>
      <c r="M2288" s="352"/>
    </row>
    <row r="2289" spans="2:13" x14ac:dyDescent="0.25">
      <c r="B2289" s="40"/>
      <c r="C2289" s="41"/>
      <c r="D2289" s="357"/>
      <c r="E2289" s="358"/>
      <c r="F2289" s="359"/>
      <c r="G2289" s="360" t="str">
        <f>IFERROR(IF(ventas_b_mes684[[#This Row],[CUIT]]="","-",VLOOKUP(ventas_b_mes684[[#This Row],[CUIT]],Lista_CUIT[#All],2,0)),"CUIT NO CARGADO")</f>
        <v>-</v>
      </c>
      <c r="H2289" s="64"/>
      <c r="I2289" s="350">
        <f>ventas_b_mes684[[#This Row],[IMPORTE NETO]]*0.21</f>
        <v>0</v>
      </c>
      <c r="J2289" s="351"/>
      <c r="K2289" s="351"/>
      <c r="L2289" s="351">
        <f>SUM(ventas_b_mes684[[#This Row],[IMPORTE NETO]:[EXENTO]])</f>
        <v>0</v>
      </c>
      <c r="M2289" s="352"/>
    </row>
    <row r="2290" spans="2:13" x14ac:dyDescent="0.25">
      <c r="B2290" s="40"/>
      <c r="C2290" s="41"/>
      <c r="D2290" s="357"/>
      <c r="E2290" s="358"/>
      <c r="F2290" s="359"/>
      <c r="G2290" s="360" t="str">
        <f>IFERROR(IF(ventas_b_mes684[[#This Row],[CUIT]]="","-",VLOOKUP(ventas_b_mes684[[#This Row],[CUIT]],Lista_CUIT[#All],2,0)),"CUIT NO CARGADO")</f>
        <v>-</v>
      </c>
      <c r="H2290" s="64"/>
      <c r="I2290" s="350">
        <f>ventas_b_mes684[[#This Row],[IMPORTE NETO]]*0.21</f>
        <v>0</v>
      </c>
      <c r="J2290" s="351"/>
      <c r="K2290" s="351"/>
      <c r="L2290" s="351">
        <f>SUM(ventas_b_mes684[[#This Row],[IMPORTE NETO]:[EXENTO]])</f>
        <v>0</v>
      </c>
      <c r="M2290" s="352"/>
    </row>
    <row r="2291" spans="2:13" x14ac:dyDescent="0.25">
      <c r="B2291" s="40"/>
      <c r="C2291" s="41"/>
      <c r="D2291" s="357"/>
      <c r="E2291" s="358"/>
      <c r="F2291" s="359"/>
      <c r="G2291" s="360" t="str">
        <f>IFERROR(IF(ventas_b_mes684[[#This Row],[CUIT]]="","-",VLOOKUP(ventas_b_mes684[[#This Row],[CUIT]],Lista_CUIT[#All],2,0)),"CUIT NO CARGADO")</f>
        <v>-</v>
      </c>
      <c r="H2291" s="64"/>
      <c r="I2291" s="350">
        <f>ventas_b_mes684[[#This Row],[IMPORTE NETO]]*0.21</f>
        <v>0</v>
      </c>
      <c r="J2291" s="351"/>
      <c r="K2291" s="351"/>
      <c r="L2291" s="351">
        <f>SUM(ventas_b_mes684[[#This Row],[IMPORTE NETO]:[EXENTO]])</f>
        <v>0</v>
      </c>
      <c r="M2291" s="352"/>
    </row>
    <row r="2292" spans="2:13" x14ac:dyDescent="0.25">
      <c r="B2292" s="40"/>
      <c r="C2292" s="41"/>
      <c r="D2292" s="357"/>
      <c r="E2292" s="358"/>
      <c r="F2292" s="359"/>
      <c r="G2292" s="360" t="str">
        <f>IFERROR(IF(ventas_b_mes684[[#This Row],[CUIT]]="","-",VLOOKUP(ventas_b_mes684[[#This Row],[CUIT]],Lista_CUIT[#All],2,0)),"CUIT NO CARGADO")</f>
        <v>-</v>
      </c>
      <c r="H2292" s="64"/>
      <c r="I2292" s="350">
        <f>ventas_b_mes684[[#This Row],[IMPORTE NETO]]*0.21</f>
        <v>0</v>
      </c>
      <c r="J2292" s="351"/>
      <c r="K2292" s="351"/>
      <c r="L2292" s="351">
        <f>SUM(ventas_b_mes684[[#This Row],[IMPORTE NETO]:[EXENTO]])</f>
        <v>0</v>
      </c>
      <c r="M2292" s="352"/>
    </row>
    <row r="2293" spans="2:13" x14ac:dyDescent="0.25">
      <c r="B2293" s="40"/>
      <c r="C2293" s="41"/>
      <c r="D2293" s="357"/>
      <c r="E2293" s="358"/>
      <c r="F2293" s="359"/>
      <c r="G2293" s="360" t="str">
        <f>IFERROR(IF(ventas_b_mes684[[#This Row],[CUIT]]="","-",VLOOKUP(ventas_b_mes684[[#This Row],[CUIT]],Lista_CUIT[#All],2,0)),"CUIT NO CARGADO")</f>
        <v>-</v>
      </c>
      <c r="H2293" s="64"/>
      <c r="I2293" s="350">
        <f>ventas_b_mes684[[#This Row],[IMPORTE NETO]]*0.21</f>
        <v>0</v>
      </c>
      <c r="J2293" s="351"/>
      <c r="K2293" s="351"/>
      <c r="L2293" s="351">
        <f>SUM(ventas_b_mes684[[#This Row],[IMPORTE NETO]:[EXENTO]])</f>
        <v>0</v>
      </c>
      <c r="M2293" s="352"/>
    </row>
    <row r="2294" spans="2:13" x14ac:dyDescent="0.25">
      <c r="B2294" s="40"/>
      <c r="C2294" s="41"/>
      <c r="D2294" s="357"/>
      <c r="E2294" s="358"/>
      <c r="F2294" s="359"/>
      <c r="G2294" s="360" t="str">
        <f>IFERROR(IF(ventas_b_mes684[[#This Row],[CUIT]]="","-",VLOOKUP(ventas_b_mes684[[#This Row],[CUIT]],Lista_CUIT[#All],2,0)),"CUIT NO CARGADO")</f>
        <v>-</v>
      </c>
      <c r="H2294" s="64"/>
      <c r="I2294" s="350">
        <f>ventas_b_mes684[[#This Row],[IMPORTE NETO]]*0.21</f>
        <v>0</v>
      </c>
      <c r="J2294" s="351"/>
      <c r="K2294" s="351"/>
      <c r="L2294" s="351">
        <f>SUM(ventas_b_mes684[[#This Row],[IMPORTE NETO]:[EXENTO]])</f>
        <v>0</v>
      </c>
      <c r="M2294" s="352"/>
    </row>
    <row r="2295" spans="2:13" x14ac:dyDescent="0.25">
      <c r="B2295" s="40"/>
      <c r="C2295" s="41"/>
      <c r="D2295" s="357"/>
      <c r="E2295" s="358"/>
      <c r="F2295" s="359"/>
      <c r="G2295" s="360" t="str">
        <f>IFERROR(IF(ventas_b_mes684[[#This Row],[CUIT]]="","-",VLOOKUP(ventas_b_mes684[[#This Row],[CUIT]],Lista_CUIT[#All],2,0)),"CUIT NO CARGADO")</f>
        <v>-</v>
      </c>
      <c r="H2295" s="64"/>
      <c r="I2295" s="350">
        <f>ventas_b_mes684[[#This Row],[IMPORTE NETO]]*0.21</f>
        <v>0</v>
      </c>
      <c r="J2295" s="351"/>
      <c r="K2295" s="351"/>
      <c r="L2295" s="351">
        <f>SUM(ventas_b_mes684[[#This Row],[IMPORTE NETO]:[EXENTO]])</f>
        <v>0</v>
      </c>
      <c r="M2295" s="352"/>
    </row>
    <row r="2296" spans="2:13" x14ac:dyDescent="0.25">
      <c r="B2296" s="40"/>
      <c r="C2296" s="41"/>
      <c r="D2296" s="357"/>
      <c r="E2296" s="358"/>
      <c r="F2296" s="359"/>
      <c r="G2296" s="360" t="str">
        <f>IFERROR(IF(ventas_b_mes684[[#This Row],[CUIT]]="","-",VLOOKUP(ventas_b_mes684[[#This Row],[CUIT]],Lista_CUIT[#All],2,0)),"CUIT NO CARGADO")</f>
        <v>-</v>
      </c>
      <c r="H2296" s="64"/>
      <c r="I2296" s="350">
        <f>ventas_b_mes684[[#This Row],[IMPORTE NETO]]*0.21</f>
        <v>0</v>
      </c>
      <c r="J2296" s="351"/>
      <c r="K2296" s="351"/>
      <c r="L2296" s="351">
        <f>SUM(ventas_b_mes684[[#This Row],[IMPORTE NETO]:[EXENTO]])</f>
        <v>0</v>
      </c>
      <c r="M2296" s="352"/>
    </row>
    <row r="2297" spans="2:13" x14ac:dyDescent="0.25">
      <c r="B2297" s="40"/>
      <c r="C2297" s="41"/>
      <c r="D2297" s="357"/>
      <c r="E2297" s="358"/>
      <c r="F2297" s="359"/>
      <c r="G2297" s="360" t="str">
        <f>IFERROR(IF(ventas_b_mes684[[#This Row],[CUIT]]="","-",VLOOKUP(ventas_b_mes684[[#This Row],[CUIT]],Lista_CUIT[#All],2,0)),"CUIT NO CARGADO")</f>
        <v>-</v>
      </c>
      <c r="H2297" s="64"/>
      <c r="I2297" s="350">
        <f>ventas_b_mes684[[#This Row],[IMPORTE NETO]]*0.21</f>
        <v>0</v>
      </c>
      <c r="J2297" s="351"/>
      <c r="K2297" s="351"/>
      <c r="L2297" s="351">
        <f>SUM(ventas_b_mes684[[#This Row],[IMPORTE NETO]:[EXENTO]])</f>
        <v>0</v>
      </c>
      <c r="M2297" s="352"/>
    </row>
    <row r="2298" spans="2:13" x14ac:dyDescent="0.25">
      <c r="B2298" s="40"/>
      <c r="C2298" s="41"/>
      <c r="D2298" s="357"/>
      <c r="E2298" s="358"/>
      <c r="F2298" s="359"/>
      <c r="G2298" s="360" t="str">
        <f>IFERROR(IF(ventas_b_mes684[[#This Row],[CUIT]]="","-",VLOOKUP(ventas_b_mes684[[#This Row],[CUIT]],Lista_CUIT[#All],2,0)),"CUIT NO CARGADO")</f>
        <v>-</v>
      </c>
      <c r="H2298" s="64"/>
      <c r="I2298" s="350">
        <f>ventas_b_mes684[[#This Row],[IMPORTE NETO]]*0.21</f>
        <v>0</v>
      </c>
      <c r="J2298" s="351"/>
      <c r="K2298" s="351"/>
      <c r="L2298" s="351">
        <f>SUM(ventas_b_mes684[[#This Row],[IMPORTE NETO]:[EXENTO]])</f>
        <v>0</v>
      </c>
      <c r="M2298" s="352"/>
    </row>
    <row r="2299" spans="2:13" x14ac:dyDescent="0.25">
      <c r="B2299" s="40"/>
      <c r="C2299" s="41"/>
      <c r="D2299" s="357"/>
      <c r="E2299" s="358"/>
      <c r="F2299" s="359"/>
      <c r="G2299" s="360" t="str">
        <f>IFERROR(IF(ventas_b_mes684[[#This Row],[CUIT]]="","-",VLOOKUP(ventas_b_mes684[[#This Row],[CUIT]],Lista_CUIT[#All],2,0)),"CUIT NO CARGADO")</f>
        <v>-</v>
      </c>
      <c r="H2299" s="64"/>
      <c r="I2299" s="350">
        <f>ventas_b_mes684[[#This Row],[IMPORTE NETO]]*0.21</f>
        <v>0</v>
      </c>
      <c r="J2299" s="351"/>
      <c r="K2299" s="351"/>
      <c r="L2299" s="351">
        <f>SUM(ventas_b_mes684[[#This Row],[IMPORTE NETO]:[EXENTO]])</f>
        <v>0</v>
      </c>
      <c r="M2299" s="352"/>
    </row>
    <row r="2300" spans="2:13" x14ac:dyDescent="0.25">
      <c r="B2300" s="40"/>
      <c r="C2300" s="41"/>
      <c r="D2300" s="357"/>
      <c r="E2300" s="358"/>
      <c r="F2300" s="359"/>
      <c r="G2300" s="360" t="str">
        <f>IFERROR(IF(ventas_b_mes684[[#This Row],[CUIT]]="","-",VLOOKUP(ventas_b_mes684[[#This Row],[CUIT]],Lista_CUIT[#All],2,0)),"CUIT NO CARGADO")</f>
        <v>-</v>
      </c>
      <c r="H2300" s="64"/>
      <c r="I2300" s="350">
        <f>ventas_b_mes684[[#This Row],[IMPORTE NETO]]*0.21</f>
        <v>0</v>
      </c>
      <c r="J2300" s="351"/>
      <c r="K2300" s="351"/>
      <c r="L2300" s="351">
        <f>SUM(ventas_b_mes684[[#This Row],[IMPORTE NETO]:[EXENTO]])</f>
        <v>0</v>
      </c>
      <c r="M2300" s="352"/>
    </row>
    <row r="2301" spans="2:13" x14ac:dyDescent="0.25">
      <c r="B2301" s="40"/>
      <c r="C2301" s="41"/>
      <c r="D2301" s="357"/>
      <c r="E2301" s="358"/>
      <c r="F2301" s="359"/>
      <c r="G2301" s="360" t="str">
        <f>IFERROR(IF(ventas_b_mes684[[#This Row],[CUIT]]="","-",VLOOKUP(ventas_b_mes684[[#This Row],[CUIT]],Lista_CUIT[#All],2,0)),"CUIT NO CARGADO")</f>
        <v>-</v>
      </c>
      <c r="H2301" s="64"/>
      <c r="I2301" s="350">
        <f>ventas_b_mes684[[#This Row],[IMPORTE NETO]]*0.21</f>
        <v>0</v>
      </c>
      <c r="J2301" s="351"/>
      <c r="K2301" s="351"/>
      <c r="L2301" s="351">
        <f>SUM(ventas_b_mes684[[#This Row],[IMPORTE NETO]:[EXENTO]])</f>
        <v>0</v>
      </c>
      <c r="M2301" s="352"/>
    </row>
    <row r="2302" spans="2:13" x14ac:dyDescent="0.25">
      <c r="B2302" s="40"/>
      <c r="C2302" s="41"/>
      <c r="D2302" s="357"/>
      <c r="E2302" s="358"/>
      <c r="F2302" s="359"/>
      <c r="G2302" s="360" t="str">
        <f>IFERROR(IF(ventas_b_mes684[[#This Row],[CUIT]]="","-",VLOOKUP(ventas_b_mes684[[#This Row],[CUIT]],Lista_CUIT[#All],2,0)),"CUIT NO CARGADO")</f>
        <v>-</v>
      </c>
      <c r="H2302" s="64"/>
      <c r="I2302" s="350">
        <f>ventas_b_mes684[[#This Row],[IMPORTE NETO]]*0.21</f>
        <v>0</v>
      </c>
      <c r="J2302" s="351"/>
      <c r="K2302" s="351"/>
      <c r="L2302" s="351">
        <f>SUM(ventas_b_mes684[[#This Row],[IMPORTE NETO]:[EXENTO]])</f>
        <v>0</v>
      </c>
      <c r="M2302" s="352"/>
    </row>
    <row r="2303" spans="2:13" x14ac:dyDescent="0.25">
      <c r="B2303" s="40"/>
      <c r="C2303" s="41"/>
      <c r="D2303" s="357"/>
      <c r="E2303" s="358"/>
      <c r="F2303" s="359"/>
      <c r="G2303" s="360" t="str">
        <f>IFERROR(IF(ventas_b_mes684[[#This Row],[CUIT]]="","-",VLOOKUP(ventas_b_mes684[[#This Row],[CUIT]],Lista_CUIT[#All],2,0)),"CUIT NO CARGADO")</f>
        <v>-</v>
      </c>
      <c r="H2303" s="64"/>
      <c r="I2303" s="350">
        <f>ventas_b_mes684[[#This Row],[IMPORTE NETO]]*0.21</f>
        <v>0</v>
      </c>
      <c r="J2303" s="351"/>
      <c r="K2303" s="351"/>
      <c r="L2303" s="351">
        <f>SUM(ventas_b_mes684[[#This Row],[IMPORTE NETO]:[EXENTO]])</f>
        <v>0</v>
      </c>
      <c r="M2303" s="352"/>
    </row>
    <row r="2304" spans="2:13" x14ac:dyDescent="0.25">
      <c r="B2304" s="40"/>
      <c r="C2304" s="41"/>
      <c r="D2304" s="357"/>
      <c r="E2304" s="358"/>
      <c r="F2304" s="359"/>
      <c r="G2304" s="360" t="str">
        <f>IFERROR(IF(ventas_b_mes684[[#This Row],[CUIT]]="","-",VLOOKUP(ventas_b_mes684[[#This Row],[CUIT]],Lista_CUIT[#All],2,0)),"CUIT NO CARGADO")</f>
        <v>-</v>
      </c>
      <c r="H2304" s="64"/>
      <c r="I2304" s="350">
        <f>ventas_b_mes684[[#This Row],[IMPORTE NETO]]*0.21</f>
        <v>0</v>
      </c>
      <c r="J2304" s="351"/>
      <c r="K2304" s="351"/>
      <c r="L2304" s="351">
        <f>SUM(ventas_b_mes684[[#This Row],[IMPORTE NETO]:[EXENTO]])</f>
        <v>0</v>
      </c>
      <c r="M2304" s="352"/>
    </row>
    <row r="2305" spans="2:13" x14ac:dyDescent="0.25">
      <c r="B2305" s="40"/>
      <c r="C2305" s="41"/>
      <c r="D2305" s="357"/>
      <c r="E2305" s="358"/>
      <c r="F2305" s="359"/>
      <c r="G2305" s="360" t="str">
        <f>IFERROR(IF(ventas_b_mes684[[#This Row],[CUIT]]="","-",VLOOKUP(ventas_b_mes684[[#This Row],[CUIT]],Lista_CUIT[#All],2,0)),"CUIT NO CARGADO")</f>
        <v>-</v>
      </c>
      <c r="H2305" s="64"/>
      <c r="I2305" s="350">
        <f>ventas_b_mes684[[#This Row],[IMPORTE NETO]]*0.21</f>
        <v>0</v>
      </c>
      <c r="J2305" s="351"/>
      <c r="K2305" s="351"/>
      <c r="L2305" s="351">
        <f>SUM(ventas_b_mes684[[#This Row],[IMPORTE NETO]:[EXENTO]])</f>
        <v>0</v>
      </c>
      <c r="M2305" s="352"/>
    </row>
    <row r="2306" spans="2:13" x14ac:dyDescent="0.25">
      <c r="B2306" s="40"/>
      <c r="C2306" s="41"/>
      <c r="D2306" s="357"/>
      <c r="E2306" s="358"/>
      <c r="F2306" s="359"/>
      <c r="G2306" s="360" t="str">
        <f>IFERROR(IF(ventas_b_mes684[[#This Row],[CUIT]]="","-",VLOOKUP(ventas_b_mes684[[#This Row],[CUIT]],Lista_CUIT[#All],2,0)),"CUIT NO CARGADO")</f>
        <v>-</v>
      </c>
      <c r="H2306" s="64"/>
      <c r="I2306" s="350">
        <f>ventas_b_mes684[[#This Row],[IMPORTE NETO]]*0.21</f>
        <v>0</v>
      </c>
      <c r="J2306" s="351"/>
      <c r="K2306" s="351"/>
      <c r="L2306" s="351">
        <f>SUM(ventas_b_mes684[[#This Row],[IMPORTE NETO]:[EXENTO]])</f>
        <v>0</v>
      </c>
      <c r="M2306" s="352"/>
    </row>
    <row r="2307" spans="2:13" x14ac:dyDescent="0.25">
      <c r="B2307" s="40"/>
      <c r="C2307" s="41"/>
      <c r="D2307" s="357"/>
      <c r="E2307" s="358"/>
      <c r="F2307" s="359"/>
      <c r="G2307" s="360" t="str">
        <f>IFERROR(IF(ventas_b_mes684[[#This Row],[CUIT]]="","-",VLOOKUP(ventas_b_mes684[[#This Row],[CUIT]],Lista_CUIT[#All],2,0)),"CUIT NO CARGADO")</f>
        <v>-</v>
      </c>
      <c r="H2307" s="64"/>
      <c r="I2307" s="350">
        <f>ventas_b_mes684[[#This Row],[IMPORTE NETO]]*0.21</f>
        <v>0</v>
      </c>
      <c r="J2307" s="351"/>
      <c r="K2307" s="351"/>
      <c r="L2307" s="351">
        <f>SUM(ventas_b_mes684[[#This Row],[IMPORTE NETO]:[EXENTO]])</f>
        <v>0</v>
      </c>
      <c r="M2307" s="352"/>
    </row>
    <row r="2308" spans="2:13" x14ac:dyDescent="0.25">
      <c r="B2308" s="40"/>
      <c r="C2308" s="41"/>
      <c r="D2308" s="357"/>
      <c r="E2308" s="358"/>
      <c r="F2308" s="359"/>
      <c r="G2308" s="360" t="str">
        <f>IFERROR(IF(ventas_b_mes684[[#This Row],[CUIT]]="","-",VLOOKUP(ventas_b_mes684[[#This Row],[CUIT]],Lista_CUIT[#All],2,0)),"CUIT NO CARGADO")</f>
        <v>-</v>
      </c>
      <c r="H2308" s="64"/>
      <c r="I2308" s="350">
        <f>ventas_b_mes684[[#This Row],[IMPORTE NETO]]*0.21</f>
        <v>0</v>
      </c>
      <c r="J2308" s="351"/>
      <c r="K2308" s="351"/>
      <c r="L2308" s="351">
        <f>SUM(ventas_b_mes684[[#This Row],[IMPORTE NETO]:[EXENTO]])</f>
        <v>0</v>
      </c>
      <c r="M2308" s="352"/>
    </row>
    <row r="2309" spans="2:13" x14ac:dyDescent="0.25">
      <c r="B2309" s="40"/>
      <c r="C2309" s="41"/>
      <c r="D2309" s="357"/>
      <c r="E2309" s="358"/>
      <c r="F2309" s="359"/>
      <c r="G2309" s="360" t="str">
        <f>IFERROR(IF(ventas_b_mes684[[#This Row],[CUIT]]="","-",VLOOKUP(ventas_b_mes684[[#This Row],[CUIT]],Lista_CUIT[#All],2,0)),"CUIT NO CARGADO")</f>
        <v>-</v>
      </c>
      <c r="H2309" s="64"/>
      <c r="I2309" s="350">
        <f>ventas_b_mes684[[#This Row],[IMPORTE NETO]]*0.21</f>
        <v>0</v>
      </c>
      <c r="J2309" s="351"/>
      <c r="K2309" s="351"/>
      <c r="L2309" s="351">
        <f>SUM(ventas_b_mes684[[#This Row],[IMPORTE NETO]:[EXENTO]])</f>
        <v>0</v>
      </c>
      <c r="M2309" s="352"/>
    </row>
    <row r="2310" spans="2:13" x14ac:dyDescent="0.25">
      <c r="B2310" s="40"/>
      <c r="C2310" s="41"/>
      <c r="D2310" s="357"/>
      <c r="E2310" s="358"/>
      <c r="F2310" s="359"/>
      <c r="G2310" s="360" t="str">
        <f>IFERROR(IF(ventas_b_mes684[[#This Row],[CUIT]]="","-",VLOOKUP(ventas_b_mes684[[#This Row],[CUIT]],Lista_CUIT[#All],2,0)),"CUIT NO CARGADO")</f>
        <v>-</v>
      </c>
      <c r="H2310" s="64"/>
      <c r="I2310" s="350">
        <f>ventas_b_mes684[[#This Row],[IMPORTE NETO]]*0.21</f>
        <v>0</v>
      </c>
      <c r="J2310" s="351"/>
      <c r="K2310" s="351"/>
      <c r="L2310" s="351">
        <f>SUM(ventas_b_mes684[[#This Row],[IMPORTE NETO]:[EXENTO]])</f>
        <v>0</v>
      </c>
      <c r="M2310" s="352"/>
    </row>
    <row r="2311" spans="2:13" x14ac:dyDescent="0.25">
      <c r="B2311" s="40"/>
      <c r="C2311" s="41"/>
      <c r="D2311" s="357"/>
      <c r="E2311" s="358"/>
      <c r="F2311" s="359"/>
      <c r="G2311" s="360" t="str">
        <f>IFERROR(IF(ventas_b_mes684[[#This Row],[CUIT]]="","-",VLOOKUP(ventas_b_mes684[[#This Row],[CUIT]],Lista_CUIT[#All],2,0)),"CUIT NO CARGADO")</f>
        <v>-</v>
      </c>
      <c r="H2311" s="64"/>
      <c r="I2311" s="350">
        <f>ventas_b_mes684[[#This Row],[IMPORTE NETO]]*0.21</f>
        <v>0</v>
      </c>
      <c r="J2311" s="351"/>
      <c r="K2311" s="351"/>
      <c r="L2311" s="351">
        <f>SUM(ventas_b_mes684[[#This Row],[IMPORTE NETO]:[EXENTO]])</f>
        <v>0</v>
      </c>
      <c r="M2311" s="352"/>
    </row>
    <row r="2312" spans="2:13" x14ac:dyDescent="0.25">
      <c r="B2312" s="40"/>
      <c r="C2312" s="41"/>
      <c r="D2312" s="357"/>
      <c r="E2312" s="358"/>
      <c r="F2312" s="359"/>
      <c r="G2312" s="360" t="str">
        <f>IFERROR(IF(ventas_b_mes684[[#This Row],[CUIT]]="","-",VLOOKUP(ventas_b_mes684[[#This Row],[CUIT]],Lista_CUIT[#All],2,0)),"CUIT NO CARGADO")</f>
        <v>-</v>
      </c>
      <c r="H2312" s="64"/>
      <c r="I2312" s="350">
        <f>ventas_b_mes684[[#This Row],[IMPORTE NETO]]*0.21</f>
        <v>0</v>
      </c>
      <c r="J2312" s="351"/>
      <c r="K2312" s="351"/>
      <c r="L2312" s="351">
        <f>SUM(ventas_b_mes684[[#This Row],[IMPORTE NETO]:[EXENTO]])</f>
        <v>0</v>
      </c>
      <c r="M2312" s="352"/>
    </row>
    <row r="2313" spans="2:13" x14ac:dyDescent="0.25">
      <c r="B2313" s="40"/>
      <c r="C2313" s="41"/>
      <c r="D2313" s="357"/>
      <c r="E2313" s="358"/>
      <c r="F2313" s="359"/>
      <c r="G2313" s="360" t="str">
        <f>IFERROR(IF(ventas_b_mes684[[#This Row],[CUIT]]="","-",VLOOKUP(ventas_b_mes684[[#This Row],[CUIT]],Lista_CUIT[#All],2,0)),"CUIT NO CARGADO")</f>
        <v>-</v>
      </c>
      <c r="H2313" s="64"/>
      <c r="I2313" s="350">
        <f>ventas_b_mes684[[#This Row],[IMPORTE NETO]]*0.21</f>
        <v>0</v>
      </c>
      <c r="J2313" s="351"/>
      <c r="K2313" s="351"/>
      <c r="L2313" s="351">
        <f>SUM(ventas_b_mes684[[#This Row],[IMPORTE NETO]:[EXENTO]])</f>
        <v>0</v>
      </c>
      <c r="M2313" s="352"/>
    </row>
    <row r="2314" spans="2:13" x14ac:dyDescent="0.25">
      <c r="B2314" s="40"/>
      <c r="C2314" s="41"/>
      <c r="D2314" s="357"/>
      <c r="E2314" s="358"/>
      <c r="F2314" s="359"/>
      <c r="G2314" s="360" t="str">
        <f>IFERROR(IF(ventas_b_mes684[[#This Row],[CUIT]]="","-",VLOOKUP(ventas_b_mes684[[#This Row],[CUIT]],Lista_CUIT[#All],2,0)),"CUIT NO CARGADO")</f>
        <v>-</v>
      </c>
      <c r="H2314" s="64"/>
      <c r="I2314" s="350">
        <f>ventas_b_mes684[[#This Row],[IMPORTE NETO]]*0.21</f>
        <v>0</v>
      </c>
      <c r="J2314" s="351"/>
      <c r="K2314" s="351"/>
      <c r="L2314" s="351">
        <f>SUM(ventas_b_mes684[[#This Row],[IMPORTE NETO]:[EXENTO]])</f>
        <v>0</v>
      </c>
      <c r="M2314" s="352"/>
    </row>
    <row r="2315" spans="2:13" x14ac:dyDescent="0.25">
      <c r="B2315" s="40"/>
      <c r="C2315" s="41"/>
      <c r="D2315" s="357"/>
      <c r="E2315" s="358"/>
      <c r="F2315" s="359"/>
      <c r="G2315" s="360" t="str">
        <f>IFERROR(IF(ventas_b_mes684[[#This Row],[CUIT]]="","-",VLOOKUP(ventas_b_mes684[[#This Row],[CUIT]],Lista_CUIT[#All],2,0)),"CUIT NO CARGADO")</f>
        <v>-</v>
      </c>
      <c r="H2315" s="64"/>
      <c r="I2315" s="350">
        <f>ventas_b_mes684[[#This Row],[IMPORTE NETO]]*0.21</f>
        <v>0</v>
      </c>
      <c r="J2315" s="351"/>
      <c r="K2315" s="351"/>
      <c r="L2315" s="351">
        <f>SUM(ventas_b_mes684[[#This Row],[IMPORTE NETO]:[EXENTO]])</f>
        <v>0</v>
      </c>
      <c r="M2315" s="352"/>
    </row>
    <row r="2316" spans="2:13" x14ac:dyDescent="0.25">
      <c r="B2316" s="40"/>
      <c r="C2316" s="41"/>
      <c r="D2316" s="357"/>
      <c r="E2316" s="358"/>
      <c r="F2316" s="359"/>
      <c r="G2316" s="360" t="str">
        <f>IFERROR(IF(ventas_b_mes684[[#This Row],[CUIT]]="","-",VLOOKUP(ventas_b_mes684[[#This Row],[CUIT]],Lista_CUIT[#All],2,0)),"CUIT NO CARGADO")</f>
        <v>-</v>
      </c>
      <c r="H2316" s="64"/>
      <c r="I2316" s="350">
        <f>ventas_b_mes684[[#This Row],[IMPORTE NETO]]*0.21</f>
        <v>0</v>
      </c>
      <c r="J2316" s="351"/>
      <c r="K2316" s="351"/>
      <c r="L2316" s="351">
        <f>SUM(ventas_b_mes684[[#This Row],[IMPORTE NETO]:[EXENTO]])</f>
        <v>0</v>
      </c>
      <c r="M2316" s="352"/>
    </row>
    <row r="2317" spans="2:13" x14ac:dyDescent="0.25">
      <c r="B2317" s="40"/>
      <c r="C2317" s="41"/>
      <c r="D2317" s="357"/>
      <c r="E2317" s="358"/>
      <c r="F2317" s="359"/>
      <c r="G2317" s="360" t="str">
        <f>IFERROR(IF(ventas_b_mes684[[#This Row],[CUIT]]="","-",VLOOKUP(ventas_b_mes684[[#This Row],[CUIT]],Lista_CUIT[#All],2,0)),"CUIT NO CARGADO")</f>
        <v>-</v>
      </c>
      <c r="H2317" s="64"/>
      <c r="I2317" s="350">
        <f>ventas_b_mes684[[#This Row],[IMPORTE NETO]]*0.21</f>
        <v>0</v>
      </c>
      <c r="J2317" s="351"/>
      <c r="K2317" s="351"/>
      <c r="L2317" s="351">
        <f>SUM(ventas_b_mes684[[#This Row],[IMPORTE NETO]:[EXENTO]])</f>
        <v>0</v>
      </c>
      <c r="M2317" s="352"/>
    </row>
    <row r="2318" spans="2:13" x14ac:dyDescent="0.25">
      <c r="B2318" s="40"/>
      <c r="C2318" s="41"/>
      <c r="D2318" s="357"/>
      <c r="E2318" s="358"/>
      <c r="F2318" s="359"/>
      <c r="G2318" s="360" t="str">
        <f>IFERROR(IF(ventas_b_mes684[[#This Row],[CUIT]]="","-",VLOOKUP(ventas_b_mes684[[#This Row],[CUIT]],Lista_CUIT[#All],2,0)),"CUIT NO CARGADO")</f>
        <v>-</v>
      </c>
      <c r="H2318" s="64"/>
      <c r="I2318" s="350">
        <f>ventas_b_mes684[[#This Row],[IMPORTE NETO]]*0.21</f>
        <v>0</v>
      </c>
      <c r="J2318" s="351"/>
      <c r="K2318" s="351"/>
      <c r="L2318" s="351">
        <f>SUM(ventas_b_mes684[[#This Row],[IMPORTE NETO]:[EXENTO]])</f>
        <v>0</v>
      </c>
      <c r="M2318" s="352"/>
    </row>
    <row r="2319" spans="2:13" x14ac:dyDescent="0.25">
      <c r="B2319" s="40"/>
      <c r="C2319" s="41"/>
      <c r="D2319" s="357"/>
      <c r="E2319" s="358"/>
      <c r="F2319" s="359"/>
      <c r="G2319" s="360" t="str">
        <f>IFERROR(IF(ventas_b_mes684[[#This Row],[CUIT]]="","-",VLOOKUP(ventas_b_mes684[[#This Row],[CUIT]],Lista_CUIT[#All],2,0)),"CUIT NO CARGADO")</f>
        <v>-</v>
      </c>
      <c r="H2319" s="64"/>
      <c r="I2319" s="350">
        <f>ventas_b_mes684[[#This Row],[IMPORTE NETO]]*0.21</f>
        <v>0</v>
      </c>
      <c r="J2319" s="351"/>
      <c r="K2319" s="351"/>
      <c r="L2319" s="351">
        <f>SUM(ventas_b_mes684[[#This Row],[IMPORTE NETO]:[EXENTO]])</f>
        <v>0</v>
      </c>
      <c r="M2319" s="352"/>
    </row>
    <row r="2320" spans="2:13" x14ac:dyDescent="0.25">
      <c r="B2320" s="40"/>
      <c r="C2320" s="41"/>
      <c r="D2320" s="357"/>
      <c r="E2320" s="358"/>
      <c r="F2320" s="359"/>
      <c r="G2320" s="360" t="str">
        <f>IFERROR(IF(ventas_b_mes684[[#This Row],[CUIT]]="","-",VLOOKUP(ventas_b_mes684[[#This Row],[CUIT]],Lista_CUIT[#All],2,0)),"CUIT NO CARGADO")</f>
        <v>-</v>
      </c>
      <c r="H2320" s="64"/>
      <c r="I2320" s="350">
        <f>ventas_b_mes684[[#This Row],[IMPORTE NETO]]*0.21</f>
        <v>0</v>
      </c>
      <c r="J2320" s="351"/>
      <c r="K2320" s="351"/>
      <c r="L2320" s="351">
        <f>SUM(ventas_b_mes684[[#This Row],[IMPORTE NETO]:[EXENTO]])</f>
        <v>0</v>
      </c>
      <c r="M2320" s="352"/>
    </row>
    <row r="2321" spans="2:13" x14ac:dyDescent="0.25">
      <c r="B2321" s="40"/>
      <c r="C2321" s="41"/>
      <c r="D2321" s="357"/>
      <c r="E2321" s="358"/>
      <c r="F2321" s="359"/>
      <c r="G2321" s="360" t="str">
        <f>IFERROR(IF(ventas_b_mes684[[#This Row],[CUIT]]="","-",VLOOKUP(ventas_b_mes684[[#This Row],[CUIT]],Lista_CUIT[#All],2,0)),"CUIT NO CARGADO")</f>
        <v>-</v>
      </c>
      <c r="H2321" s="64"/>
      <c r="I2321" s="350">
        <f>ventas_b_mes684[[#This Row],[IMPORTE NETO]]*0.21</f>
        <v>0</v>
      </c>
      <c r="J2321" s="351"/>
      <c r="K2321" s="351"/>
      <c r="L2321" s="351">
        <f>SUM(ventas_b_mes684[[#This Row],[IMPORTE NETO]:[EXENTO]])</f>
        <v>0</v>
      </c>
      <c r="M2321" s="352"/>
    </row>
    <row r="2322" spans="2:13" x14ac:dyDescent="0.25">
      <c r="B2322" s="40"/>
      <c r="C2322" s="41"/>
      <c r="D2322" s="357"/>
      <c r="E2322" s="358"/>
      <c r="F2322" s="359"/>
      <c r="G2322" s="360" t="str">
        <f>IFERROR(IF(ventas_b_mes684[[#This Row],[CUIT]]="","-",VLOOKUP(ventas_b_mes684[[#This Row],[CUIT]],Lista_CUIT[#All],2,0)),"CUIT NO CARGADO")</f>
        <v>-</v>
      </c>
      <c r="H2322" s="64"/>
      <c r="I2322" s="350">
        <f>ventas_b_mes684[[#This Row],[IMPORTE NETO]]*0.21</f>
        <v>0</v>
      </c>
      <c r="J2322" s="351"/>
      <c r="K2322" s="351"/>
      <c r="L2322" s="351">
        <f>SUM(ventas_b_mes684[[#This Row],[IMPORTE NETO]:[EXENTO]])</f>
        <v>0</v>
      </c>
      <c r="M2322" s="352"/>
    </row>
    <row r="2323" spans="2:13" x14ac:dyDescent="0.25">
      <c r="B2323" s="40"/>
      <c r="C2323" s="41"/>
      <c r="D2323" s="357"/>
      <c r="E2323" s="358"/>
      <c r="F2323" s="359"/>
      <c r="G2323" s="360" t="str">
        <f>IFERROR(IF(ventas_b_mes684[[#This Row],[CUIT]]="","-",VLOOKUP(ventas_b_mes684[[#This Row],[CUIT]],Lista_CUIT[#All],2,0)),"CUIT NO CARGADO")</f>
        <v>-</v>
      </c>
      <c r="H2323" s="64"/>
      <c r="I2323" s="350">
        <f>ventas_b_mes684[[#This Row],[IMPORTE NETO]]*0.21</f>
        <v>0</v>
      </c>
      <c r="J2323" s="351"/>
      <c r="K2323" s="351"/>
      <c r="L2323" s="351">
        <f>SUM(ventas_b_mes684[[#This Row],[IMPORTE NETO]:[EXENTO]])</f>
        <v>0</v>
      </c>
      <c r="M2323" s="352"/>
    </row>
    <row r="2324" spans="2:13" x14ac:dyDescent="0.25">
      <c r="B2324" s="40"/>
      <c r="C2324" s="41"/>
      <c r="D2324" s="357"/>
      <c r="E2324" s="358"/>
      <c r="F2324" s="359"/>
      <c r="G2324" s="360" t="str">
        <f>IFERROR(IF(ventas_b_mes684[[#This Row],[CUIT]]="","-",VLOOKUP(ventas_b_mes684[[#This Row],[CUIT]],Lista_CUIT[#All],2,0)),"CUIT NO CARGADO")</f>
        <v>-</v>
      </c>
      <c r="H2324" s="64"/>
      <c r="I2324" s="350">
        <f>ventas_b_mes684[[#This Row],[IMPORTE NETO]]*0.21</f>
        <v>0</v>
      </c>
      <c r="J2324" s="351"/>
      <c r="K2324" s="351"/>
      <c r="L2324" s="351">
        <f>SUM(ventas_b_mes684[[#This Row],[IMPORTE NETO]:[EXENTO]])</f>
        <v>0</v>
      </c>
      <c r="M2324" s="352"/>
    </row>
    <row r="2325" spans="2:13" x14ac:dyDescent="0.25">
      <c r="B2325" s="40"/>
      <c r="C2325" s="41"/>
      <c r="D2325" s="357"/>
      <c r="E2325" s="358"/>
      <c r="F2325" s="359"/>
      <c r="G2325" s="360" t="str">
        <f>IFERROR(IF(ventas_b_mes684[[#This Row],[CUIT]]="","-",VLOOKUP(ventas_b_mes684[[#This Row],[CUIT]],Lista_CUIT[#All],2,0)),"CUIT NO CARGADO")</f>
        <v>-</v>
      </c>
      <c r="H2325" s="64"/>
      <c r="I2325" s="350">
        <f>ventas_b_mes684[[#This Row],[IMPORTE NETO]]*0.21</f>
        <v>0</v>
      </c>
      <c r="J2325" s="351"/>
      <c r="K2325" s="351"/>
      <c r="L2325" s="351">
        <f>SUM(ventas_b_mes684[[#This Row],[IMPORTE NETO]:[EXENTO]])</f>
        <v>0</v>
      </c>
      <c r="M2325" s="352"/>
    </row>
    <row r="2326" spans="2:13" x14ac:dyDescent="0.25">
      <c r="B2326" s="40"/>
      <c r="C2326" s="41"/>
      <c r="D2326" s="357"/>
      <c r="E2326" s="358"/>
      <c r="F2326" s="359"/>
      <c r="G2326" s="360" t="str">
        <f>IFERROR(IF(ventas_b_mes684[[#This Row],[CUIT]]="","-",VLOOKUP(ventas_b_mes684[[#This Row],[CUIT]],Lista_CUIT[#All],2,0)),"CUIT NO CARGADO")</f>
        <v>-</v>
      </c>
      <c r="H2326" s="64"/>
      <c r="I2326" s="350">
        <f>ventas_b_mes684[[#This Row],[IMPORTE NETO]]*0.21</f>
        <v>0</v>
      </c>
      <c r="J2326" s="351"/>
      <c r="K2326" s="351"/>
      <c r="L2326" s="351">
        <f>SUM(ventas_b_mes684[[#This Row],[IMPORTE NETO]:[EXENTO]])</f>
        <v>0</v>
      </c>
      <c r="M2326" s="352"/>
    </row>
    <row r="2327" spans="2:13" x14ac:dyDescent="0.25">
      <c r="B2327" s="40"/>
      <c r="C2327" s="41"/>
      <c r="D2327" s="357"/>
      <c r="E2327" s="358"/>
      <c r="F2327" s="359"/>
      <c r="G2327" s="360" t="str">
        <f>IFERROR(IF(ventas_b_mes684[[#This Row],[CUIT]]="","-",VLOOKUP(ventas_b_mes684[[#This Row],[CUIT]],Lista_CUIT[#All],2,0)),"CUIT NO CARGADO")</f>
        <v>-</v>
      </c>
      <c r="H2327" s="64"/>
      <c r="I2327" s="350">
        <f>ventas_b_mes684[[#This Row],[IMPORTE NETO]]*0.21</f>
        <v>0</v>
      </c>
      <c r="J2327" s="351"/>
      <c r="K2327" s="351"/>
      <c r="L2327" s="351">
        <f>SUM(ventas_b_mes684[[#This Row],[IMPORTE NETO]:[EXENTO]])</f>
        <v>0</v>
      </c>
      <c r="M2327" s="352"/>
    </row>
    <row r="2328" spans="2:13" x14ac:dyDescent="0.25">
      <c r="B2328" s="40"/>
      <c r="C2328" s="41"/>
      <c r="D2328" s="357"/>
      <c r="E2328" s="358"/>
      <c r="F2328" s="359"/>
      <c r="G2328" s="360" t="str">
        <f>IFERROR(IF(ventas_b_mes684[[#This Row],[CUIT]]="","-",VLOOKUP(ventas_b_mes684[[#This Row],[CUIT]],Lista_CUIT[#All],2,0)),"CUIT NO CARGADO")</f>
        <v>-</v>
      </c>
      <c r="H2328" s="64"/>
      <c r="I2328" s="350">
        <f>ventas_b_mes684[[#This Row],[IMPORTE NETO]]*0.21</f>
        <v>0</v>
      </c>
      <c r="J2328" s="351"/>
      <c r="K2328" s="351"/>
      <c r="L2328" s="351">
        <f>SUM(ventas_b_mes684[[#This Row],[IMPORTE NETO]:[EXENTO]])</f>
        <v>0</v>
      </c>
      <c r="M2328" s="352"/>
    </row>
    <row r="2329" spans="2:13" x14ac:dyDescent="0.25">
      <c r="B2329" s="40"/>
      <c r="C2329" s="41"/>
      <c r="D2329" s="357"/>
      <c r="E2329" s="358"/>
      <c r="F2329" s="359"/>
      <c r="G2329" s="360" t="str">
        <f>IFERROR(IF(ventas_b_mes684[[#This Row],[CUIT]]="","-",VLOOKUP(ventas_b_mes684[[#This Row],[CUIT]],Lista_CUIT[#All],2,0)),"CUIT NO CARGADO")</f>
        <v>-</v>
      </c>
      <c r="H2329" s="64"/>
      <c r="I2329" s="350">
        <f>ventas_b_mes684[[#This Row],[IMPORTE NETO]]*0.21</f>
        <v>0</v>
      </c>
      <c r="J2329" s="351"/>
      <c r="K2329" s="351"/>
      <c r="L2329" s="351">
        <f>SUM(ventas_b_mes684[[#This Row],[IMPORTE NETO]:[EXENTO]])</f>
        <v>0</v>
      </c>
      <c r="M2329" s="352"/>
    </row>
    <row r="2330" spans="2:13" x14ac:dyDescent="0.25">
      <c r="B2330" s="40"/>
      <c r="C2330" s="41"/>
      <c r="D2330" s="357"/>
      <c r="E2330" s="358"/>
      <c r="F2330" s="359"/>
      <c r="G2330" s="360" t="str">
        <f>IFERROR(IF(ventas_b_mes684[[#This Row],[CUIT]]="","-",VLOOKUP(ventas_b_mes684[[#This Row],[CUIT]],Lista_CUIT[#All],2,0)),"CUIT NO CARGADO")</f>
        <v>-</v>
      </c>
      <c r="H2330" s="64"/>
      <c r="I2330" s="350">
        <f>ventas_b_mes684[[#This Row],[IMPORTE NETO]]*0.21</f>
        <v>0</v>
      </c>
      <c r="J2330" s="351"/>
      <c r="K2330" s="351"/>
      <c r="L2330" s="351">
        <f>SUM(ventas_b_mes684[[#This Row],[IMPORTE NETO]:[EXENTO]])</f>
        <v>0</v>
      </c>
      <c r="M2330" s="352"/>
    </row>
    <row r="2331" spans="2:13" x14ac:dyDescent="0.25">
      <c r="B2331" s="40"/>
      <c r="C2331" s="41"/>
      <c r="D2331" s="357"/>
      <c r="E2331" s="358"/>
      <c r="F2331" s="359"/>
      <c r="G2331" s="360" t="str">
        <f>IFERROR(IF(ventas_b_mes684[[#This Row],[CUIT]]="","-",VLOOKUP(ventas_b_mes684[[#This Row],[CUIT]],Lista_CUIT[#All],2,0)),"CUIT NO CARGADO")</f>
        <v>-</v>
      </c>
      <c r="H2331" s="64"/>
      <c r="I2331" s="350">
        <f>ventas_b_mes684[[#This Row],[IMPORTE NETO]]*0.21</f>
        <v>0</v>
      </c>
      <c r="J2331" s="351"/>
      <c r="K2331" s="351"/>
      <c r="L2331" s="351">
        <f>SUM(ventas_b_mes684[[#This Row],[IMPORTE NETO]:[EXENTO]])</f>
        <v>0</v>
      </c>
      <c r="M2331" s="352"/>
    </row>
    <row r="2332" spans="2:13" x14ac:dyDescent="0.25">
      <c r="B2332" s="40"/>
      <c r="C2332" s="41"/>
      <c r="D2332" s="357"/>
      <c r="E2332" s="358"/>
      <c r="F2332" s="359"/>
      <c r="G2332" s="360" t="str">
        <f>IFERROR(IF(ventas_b_mes684[[#This Row],[CUIT]]="","-",VLOOKUP(ventas_b_mes684[[#This Row],[CUIT]],Lista_CUIT[#All],2,0)),"CUIT NO CARGADO")</f>
        <v>-</v>
      </c>
      <c r="H2332" s="64"/>
      <c r="I2332" s="350">
        <f>ventas_b_mes684[[#This Row],[IMPORTE NETO]]*0.21</f>
        <v>0</v>
      </c>
      <c r="J2332" s="351"/>
      <c r="K2332" s="351"/>
      <c r="L2332" s="351">
        <f>SUM(ventas_b_mes684[[#This Row],[IMPORTE NETO]:[EXENTO]])</f>
        <v>0</v>
      </c>
      <c r="M2332" s="352"/>
    </row>
    <row r="2333" spans="2:13" x14ac:dyDescent="0.25">
      <c r="B2333" s="40"/>
      <c r="C2333" s="41"/>
      <c r="D2333" s="357"/>
      <c r="E2333" s="358"/>
      <c r="F2333" s="359"/>
      <c r="G2333" s="360" t="str">
        <f>IFERROR(IF(ventas_b_mes684[[#This Row],[CUIT]]="","-",VLOOKUP(ventas_b_mes684[[#This Row],[CUIT]],Lista_CUIT[#All],2,0)),"CUIT NO CARGADO")</f>
        <v>-</v>
      </c>
      <c r="H2333" s="64"/>
      <c r="I2333" s="350">
        <f>ventas_b_mes684[[#This Row],[IMPORTE NETO]]*0.21</f>
        <v>0</v>
      </c>
      <c r="J2333" s="351"/>
      <c r="K2333" s="351"/>
      <c r="L2333" s="351">
        <f>SUM(ventas_b_mes684[[#This Row],[IMPORTE NETO]:[EXENTO]])</f>
        <v>0</v>
      </c>
      <c r="M2333" s="352"/>
    </row>
    <row r="2334" spans="2:13" x14ac:dyDescent="0.25">
      <c r="B2334" s="40"/>
      <c r="C2334" s="41"/>
      <c r="D2334" s="357"/>
      <c r="E2334" s="358"/>
      <c r="F2334" s="359"/>
      <c r="G2334" s="360" t="str">
        <f>IFERROR(IF(ventas_b_mes684[[#This Row],[CUIT]]="","-",VLOOKUP(ventas_b_mes684[[#This Row],[CUIT]],Lista_CUIT[#All],2,0)),"CUIT NO CARGADO")</f>
        <v>-</v>
      </c>
      <c r="H2334" s="64"/>
      <c r="I2334" s="350">
        <f>ventas_b_mes684[[#This Row],[IMPORTE NETO]]*0.21</f>
        <v>0</v>
      </c>
      <c r="J2334" s="351"/>
      <c r="K2334" s="351"/>
      <c r="L2334" s="351">
        <f>SUM(ventas_b_mes684[[#This Row],[IMPORTE NETO]:[EXENTO]])</f>
        <v>0</v>
      </c>
      <c r="M2334" s="352"/>
    </row>
    <row r="2335" spans="2:13" x14ac:dyDescent="0.25">
      <c r="B2335" s="40"/>
      <c r="C2335" s="41"/>
      <c r="D2335" s="357"/>
      <c r="E2335" s="358"/>
      <c r="F2335" s="359"/>
      <c r="G2335" s="360" t="str">
        <f>IFERROR(IF(ventas_b_mes684[[#This Row],[CUIT]]="","-",VLOOKUP(ventas_b_mes684[[#This Row],[CUIT]],Lista_CUIT[#All],2,0)),"CUIT NO CARGADO")</f>
        <v>-</v>
      </c>
      <c r="H2335" s="64"/>
      <c r="I2335" s="350">
        <f>ventas_b_mes684[[#This Row],[IMPORTE NETO]]*0.21</f>
        <v>0</v>
      </c>
      <c r="J2335" s="351"/>
      <c r="K2335" s="351"/>
      <c r="L2335" s="351">
        <f>SUM(ventas_b_mes684[[#This Row],[IMPORTE NETO]:[EXENTO]])</f>
        <v>0</v>
      </c>
      <c r="M2335" s="352"/>
    </row>
    <row r="2336" spans="2:13" x14ac:dyDescent="0.25">
      <c r="B2336" s="40"/>
      <c r="C2336" s="41"/>
      <c r="D2336" s="357"/>
      <c r="E2336" s="358"/>
      <c r="F2336" s="359"/>
      <c r="G2336" s="360" t="str">
        <f>IFERROR(IF(ventas_b_mes684[[#This Row],[CUIT]]="","-",VLOOKUP(ventas_b_mes684[[#This Row],[CUIT]],Lista_CUIT[#All],2,0)),"CUIT NO CARGADO")</f>
        <v>-</v>
      </c>
      <c r="H2336" s="64"/>
      <c r="I2336" s="350">
        <f>ventas_b_mes684[[#This Row],[IMPORTE NETO]]*0.21</f>
        <v>0</v>
      </c>
      <c r="J2336" s="351"/>
      <c r="K2336" s="351"/>
      <c r="L2336" s="351">
        <f>SUM(ventas_b_mes684[[#This Row],[IMPORTE NETO]:[EXENTO]])</f>
        <v>0</v>
      </c>
      <c r="M2336" s="352"/>
    </row>
    <row r="2337" spans="2:13" x14ac:dyDescent="0.25">
      <c r="B2337" s="40"/>
      <c r="C2337" s="41"/>
      <c r="D2337" s="357"/>
      <c r="E2337" s="358"/>
      <c r="F2337" s="359"/>
      <c r="G2337" s="360" t="str">
        <f>IFERROR(IF(ventas_b_mes684[[#This Row],[CUIT]]="","-",VLOOKUP(ventas_b_mes684[[#This Row],[CUIT]],Lista_CUIT[#All],2,0)),"CUIT NO CARGADO")</f>
        <v>-</v>
      </c>
      <c r="H2337" s="64"/>
      <c r="I2337" s="350">
        <f>ventas_b_mes684[[#This Row],[IMPORTE NETO]]*0.21</f>
        <v>0</v>
      </c>
      <c r="J2337" s="351"/>
      <c r="K2337" s="351"/>
      <c r="L2337" s="351">
        <f>SUM(ventas_b_mes684[[#This Row],[IMPORTE NETO]:[EXENTO]])</f>
        <v>0</v>
      </c>
      <c r="M2337" s="352"/>
    </row>
    <row r="2338" spans="2:13" x14ac:dyDescent="0.25">
      <c r="B2338" s="40"/>
      <c r="C2338" s="41"/>
      <c r="D2338" s="357"/>
      <c r="E2338" s="358"/>
      <c r="F2338" s="359"/>
      <c r="G2338" s="360" t="str">
        <f>IFERROR(IF(ventas_b_mes684[[#This Row],[CUIT]]="","-",VLOOKUP(ventas_b_mes684[[#This Row],[CUIT]],Lista_CUIT[#All],2,0)),"CUIT NO CARGADO")</f>
        <v>-</v>
      </c>
      <c r="H2338" s="64"/>
      <c r="I2338" s="350">
        <f>ventas_b_mes684[[#This Row],[IMPORTE NETO]]*0.21</f>
        <v>0</v>
      </c>
      <c r="J2338" s="351"/>
      <c r="K2338" s="351"/>
      <c r="L2338" s="351">
        <f>SUM(ventas_b_mes684[[#This Row],[IMPORTE NETO]:[EXENTO]])</f>
        <v>0</v>
      </c>
      <c r="M2338" s="352"/>
    </row>
    <row r="2339" spans="2:13" x14ac:dyDescent="0.25">
      <c r="B2339" s="40"/>
      <c r="C2339" s="41"/>
      <c r="D2339" s="357"/>
      <c r="E2339" s="358"/>
      <c r="F2339" s="359"/>
      <c r="G2339" s="360" t="str">
        <f>IFERROR(IF(ventas_b_mes684[[#This Row],[CUIT]]="","-",VLOOKUP(ventas_b_mes684[[#This Row],[CUIT]],Lista_CUIT[#All],2,0)),"CUIT NO CARGADO")</f>
        <v>-</v>
      </c>
      <c r="H2339" s="64"/>
      <c r="I2339" s="350">
        <f>ventas_b_mes684[[#This Row],[IMPORTE NETO]]*0.21</f>
        <v>0</v>
      </c>
      <c r="J2339" s="351"/>
      <c r="K2339" s="351"/>
      <c r="L2339" s="351">
        <f>SUM(ventas_b_mes684[[#This Row],[IMPORTE NETO]:[EXENTO]])</f>
        <v>0</v>
      </c>
      <c r="M2339" s="352"/>
    </row>
    <row r="2340" spans="2:13" x14ac:dyDescent="0.25">
      <c r="B2340" s="40"/>
      <c r="C2340" s="41"/>
      <c r="D2340" s="357"/>
      <c r="E2340" s="358"/>
      <c r="F2340" s="359"/>
      <c r="G2340" s="360" t="str">
        <f>IFERROR(IF(ventas_b_mes684[[#This Row],[CUIT]]="","-",VLOOKUP(ventas_b_mes684[[#This Row],[CUIT]],Lista_CUIT[#All],2,0)),"CUIT NO CARGADO")</f>
        <v>-</v>
      </c>
      <c r="H2340" s="64"/>
      <c r="I2340" s="350">
        <f>ventas_b_mes684[[#This Row],[IMPORTE NETO]]*0.21</f>
        <v>0</v>
      </c>
      <c r="J2340" s="351"/>
      <c r="K2340" s="351"/>
      <c r="L2340" s="351">
        <f>SUM(ventas_b_mes684[[#This Row],[IMPORTE NETO]:[EXENTO]])</f>
        <v>0</v>
      </c>
      <c r="M2340" s="352"/>
    </row>
    <row r="2341" spans="2:13" x14ac:dyDescent="0.25">
      <c r="B2341" s="40"/>
      <c r="C2341" s="41"/>
      <c r="D2341" s="357"/>
      <c r="E2341" s="358"/>
      <c r="F2341" s="359"/>
      <c r="G2341" s="360" t="str">
        <f>IFERROR(IF(ventas_b_mes684[[#This Row],[CUIT]]="","-",VLOOKUP(ventas_b_mes684[[#This Row],[CUIT]],Lista_CUIT[#All],2,0)),"CUIT NO CARGADO")</f>
        <v>-</v>
      </c>
      <c r="H2341" s="64"/>
      <c r="I2341" s="350">
        <f>ventas_b_mes684[[#This Row],[IMPORTE NETO]]*0.21</f>
        <v>0</v>
      </c>
      <c r="J2341" s="351"/>
      <c r="K2341" s="351"/>
      <c r="L2341" s="351">
        <f>SUM(ventas_b_mes684[[#This Row],[IMPORTE NETO]:[EXENTO]])</f>
        <v>0</v>
      </c>
      <c r="M2341" s="352"/>
    </row>
    <row r="2342" spans="2:13" x14ac:dyDescent="0.25">
      <c r="B2342" s="40"/>
      <c r="C2342" s="41"/>
      <c r="D2342" s="357"/>
      <c r="E2342" s="358"/>
      <c r="F2342" s="359"/>
      <c r="G2342" s="360" t="str">
        <f>IFERROR(IF(ventas_b_mes684[[#This Row],[CUIT]]="","-",VLOOKUP(ventas_b_mes684[[#This Row],[CUIT]],Lista_CUIT[#All],2,0)),"CUIT NO CARGADO")</f>
        <v>-</v>
      </c>
      <c r="H2342" s="64"/>
      <c r="I2342" s="350">
        <f>ventas_b_mes684[[#This Row],[IMPORTE NETO]]*0.21</f>
        <v>0</v>
      </c>
      <c r="J2342" s="351"/>
      <c r="K2342" s="351"/>
      <c r="L2342" s="351">
        <f>SUM(ventas_b_mes684[[#This Row],[IMPORTE NETO]:[EXENTO]])</f>
        <v>0</v>
      </c>
      <c r="M2342" s="352"/>
    </row>
    <row r="2343" spans="2:13" x14ac:dyDescent="0.25">
      <c r="B2343" s="40"/>
      <c r="C2343" s="41"/>
      <c r="D2343" s="357"/>
      <c r="E2343" s="358"/>
      <c r="F2343" s="359"/>
      <c r="G2343" s="360" t="str">
        <f>IFERROR(IF(ventas_b_mes684[[#This Row],[CUIT]]="","-",VLOOKUP(ventas_b_mes684[[#This Row],[CUIT]],Lista_CUIT[#All],2,0)),"CUIT NO CARGADO")</f>
        <v>-</v>
      </c>
      <c r="H2343" s="64"/>
      <c r="I2343" s="350">
        <f>ventas_b_mes684[[#This Row],[IMPORTE NETO]]*0.21</f>
        <v>0</v>
      </c>
      <c r="J2343" s="351"/>
      <c r="K2343" s="351"/>
      <c r="L2343" s="351">
        <f>SUM(ventas_b_mes684[[#This Row],[IMPORTE NETO]:[EXENTO]])</f>
        <v>0</v>
      </c>
      <c r="M2343" s="352"/>
    </row>
    <row r="2344" spans="2:13" x14ac:dyDescent="0.25">
      <c r="B2344" s="40"/>
      <c r="C2344" s="41"/>
      <c r="D2344" s="357"/>
      <c r="E2344" s="358"/>
      <c r="F2344" s="359"/>
      <c r="G2344" s="360" t="str">
        <f>IFERROR(IF(ventas_b_mes684[[#This Row],[CUIT]]="","-",VLOOKUP(ventas_b_mes684[[#This Row],[CUIT]],Lista_CUIT[#All],2,0)),"CUIT NO CARGADO")</f>
        <v>-</v>
      </c>
      <c r="H2344" s="64"/>
      <c r="I2344" s="350">
        <f>ventas_b_mes684[[#This Row],[IMPORTE NETO]]*0.21</f>
        <v>0</v>
      </c>
      <c r="J2344" s="351"/>
      <c r="K2344" s="351"/>
      <c r="L2344" s="351">
        <f>SUM(ventas_b_mes684[[#This Row],[IMPORTE NETO]:[EXENTO]])</f>
        <v>0</v>
      </c>
      <c r="M2344" s="352"/>
    </row>
    <row r="2345" spans="2:13" x14ac:dyDescent="0.25">
      <c r="B2345" s="40"/>
      <c r="C2345" s="41"/>
      <c r="D2345" s="357"/>
      <c r="E2345" s="358"/>
      <c r="F2345" s="359"/>
      <c r="G2345" s="360" t="str">
        <f>IFERROR(IF(ventas_b_mes684[[#This Row],[CUIT]]="","-",VLOOKUP(ventas_b_mes684[[#This Row],[CUIT]],Lista_CUIT[#All],2,0)),"CUIT NO CARGADO")</f>
        <v>-</v>
      </c>
      <c r="H2345" s="64"/>
      <c r="I2345" s="350">
        <f>ventas_b_mes684[[#This Row],[IMPORTE NETO]]*0.21</f>
        <v>0</v>
      </c>
      <c r="J2345" s="351"/>
      <c r="K2345" s="351"/>
      <c r="L2345" s="351">
        <f>SUM(ventas_b_mes684[[#This Row],[IMPORTE NETO]:[EXENTO]])</f>
        <v>0</v>
      </c>
      <c r="M2345" s="352"/>
    </row>
    <row r="2346" spans="2:13" x14ac:dyDescent="0.25">
      <c r="B2346" s="40"/>
      <c r="C2346" s="41"/>
      <c r="D2346" s="357"/>
      <c r="E2346" s="358"/>
      <c r="F2346" s="359"/>
      <c r="G2346" s="360" t="str">
        <f>IFERROR(IF(ventas_b_mes684[[#This Row],[CUIT]]="","-",VLOOKUP(ventas_b_mes684[[#This Row],[CUIT]],Lista_CUIT[#All],2,0)),"CUIT NO CARGADO")</f>
        <v>-</v>
      </c>
      <c r="H2346" s="64"/>
      <c r="I2346" s="350">
        <f>ventas_b_mes684[[#This Row],[IMPORTE NETO]]*0.21</f>
        <v>0</v>
      </c>
      <c r="J2346" s="351"/>
      <c r="K2346" s="351"/>
      <c r="L2346" s="351">
        <f>SUM(ventas_b_mes684[[#This Row],[IMPORTE NETO]:[EXENTO]])</f>
        <v>0</v>
      </c>
      <c r="M2346" s="352"/>
    </row>
    <row r="2347" spans="2:13" x14ac:dyDescent="0.25">
      <c r="B2347" s="40"/>
      <c r="C2347" s="41"/>
      <c r="D2347" s="357"/>
      <c r="E2347" s="358"/>
      <c r="F2347" s="359"/>
      <c r="G2347" s="360" t="str">
        <f>IFERROR(IF(ventas_b_mes684[[#This Row],[CUIT]]="","-",VLOOKUP(ventas_b_mes684[[#This Row],[CUIT]],Lista_CUIT[#All],2,0)),"CUIT NO CARGADO")</f>
        <v>-</v>
      </c>
      <c r="H2347" s="64"/>
      <c r="I2347" s="350">
        <f>ventas_b_mes684[[#This Row],[IMPORTE NETO]]*0.21</f>
        <v>0</v>
      </c>
      <c r="J2347" s="351"/>
      <c r="K2347" s="351"/>
      <c r="L2347" s="351">
        <f>SUM(ventas_b_mes684[[#This Row],[IMPORTE NETO]:[EXENTO]])</f>
        <v>0</v>
      </c>
      <c r="M2347" s="352"/>
    </row>
    <row r="2348" spans="2:13" x14ac:dyDescent="0.25">
      <c r="B2348" s="40"/>
      <c r="C2348" s="41"/>
      <c r="D2348" s="357"/>
      <c r="E2348" s="358"/>
      <c r="F2348" s="359"/>
      <c r="G2348" s="360" t="str">
        <f>IFERROR(IF(ventas_b_mes684[[#This Row],[CUIT]]="","-",VLOOKUP(ventas_b_mes684[[#This Row],[CUIT]],Lista_CUIT[#All],2,0)),"CUIT NO CARGADO")</f>
        <v>-</v>
      </c>
      <c r="H2348" s="64"/>
      <c r="I2348" s="350">
        <f>ventas_b_mes684[[#This Row],[IMPORTE NETO]]*0.21</f>
        <v>0</v>
      </c>
      <c r="J2348" s="351"/>
      <c r="K2348" s="351"/>
      <c r="L2348" s="351">
        <f>SUM(ventas_b_mes684[[#This Row],[IMPORTE NETO]:[EXENTO]])</f>
        <v>0</v>
      </c>
      <c r="M2348" s="352"/>
    </row>
    <row r="2349" spans="2:13" x14ac:dyDescent="0.25">
      <c r="B2349" s="40"/>
      <c r="C2349" s="41"/>
      <c r="D2349" s="357"/>
      <c r="E2349" s="358"/>
      <c r="F2349" s="359"/>
      <c r="G2349" s="360" t="str">
        <f>IFERROR(IF(ventas_b_mes684[[#This Row],[CUIT]]="","-",VLOOKUP(ventas_b_mes684[[#This Row],[CUIT]],Lista_CUIT[#All],2,0)),"CUIT NO CARGADO")</f>
        <v>-</v>
      </c>
      <c r="H2349" s="64"/>
      <c r="I2349" s="350">
        <f>ventas_b_mes684[[#This Row],[IMPORTE NETO]]*0.21</f>
        <v>0</v>
      </c>
      <c r="J2349" s="351"/>
      <c r="K2349" s="351"/>
      <c r="L2349" s="351">
        <f>SUM(ventas_b_mes684[[#This Row],[IMPORTE NETO]:[EXENTO]])</f>
        <v>0</v>
      </c>
      <c r="M2349" s="352"/>
    </row>
    <row r="2350" spans="2:13" x14ac:dyDescent="0.25">
      <c r="B2350" s="40"/>
      <c r="C2350" s="41"/>
      <c r="D2350" s="357"/>
      <c r="E2350" s="358"/>
      <c r="F2350" s="359"/>
      <c r="G2350" s="360" t="str">
        <f>IFERROR(IF(ventas_b_mes684[[#This Row],[CUIT]]="","-",VLOOKUP(ventas_b_mes684[[#This Row],[CUIT]],Lista_CUIT[#All],2,0)),"CUIT NO CARGADO")</f>
        <v>-</v>
      </c>
      <c r="H2350" s="64"/>
      <c r="I2350" s="350">
        <f>ventas_b_mes684[[#This Row],[IMPORTE NETO]]*0.21</f>
        <v>0</v>
      </c>
      <c r="J2350" s="351"/>
      <c r="K2350" s="351"/>
      <c r="L2350" s="351">
        <f>SUM(ventas_b_mes684[[#This Row],[IMPORTE NETO]:[EXENTO]])</f>
        <v>0</v>
      </c>
      <c r="M2350" s="352"/>
    </row>
    <row r="2351" spans="2:13" x14ac:dyDescent="0.25">
      <c r="B2351" s="40"/>
      <c r="C2351" s="41"/>
      <c r="D2351" s="357"/>
      <c r="E2351" s="358"/>
      <c r="F2351" s="359"/>
      <c r="G2351" s="360" t="str">
        <f>IFERROR(IF(ventas_b_mes684[[#This Row],[CUIT]]="","-",VLOOKUP(ventas_b_mes684[[#This Row],[CUIT]],Lista_CUIT[#All],2,0)),"CUIT NO CARGADO")</f>
        <v>-</v>
      </c>
      <c r="H2351" s="64"/>
      <c r="I2351" s="350">
        <f>ventas_b_mes684[[#This Row],[IMPORTE NETO]]*0.21</f>
        <v>0</v>
      </c>
      <c r="J2351" s="351"/>
      <c r="K2351" s="351"/>
      <c r="L2351" s="351">
        <f>SUM(ventas_b_mes684[[#This Row],[IMPORTE NETO]:[EXENTO]])</f>
        <v>0</v>
      </c>
      <c r="M2351" s="352"/>
    </row>
    <row r="2352" spans="2:13" x14ac:dyDescent="0.25">
      <c r="B2352" s="40"/>
      <c r="C2352" s="41"/>
      <c r="D2352" s="357"/>
      <c r="E2352" s="358"/>
      <c r="F2352" s="359"/>
      <c r="G2352" s="360" t="str">
        <f>IFERROR(IF(ventas_b_mes684[[#This Row],[CUIT]]="","-",VLOOKUP(ventas_b_mes684[[#This Row],[CUIT]],Lista_CUIT[#All],2,0)),"CUIT NO CARGADO")</f>
        <v>-</v>
      </c>
      <c r="H2352" s="64"/>
      <c r="I2352" s="350">
        <f>ventas_b_mes684[[#This Row],[IMPORTE NETO]]*0.21</f>
        <v>0</v>
      </c>
      <c r="J2352" s="351"/>
      <c r="K2352" s="351"/>
      <c r="L2352" s="351">
        <f>SUM(ventas_b_mes684[[#This Row],[IMPORTE NETO]:[EXENTO]])</f>
        <v>0</v>
      </c>
      <c r="M2352" s="352"/>
    </row>
    <row r="2353" spans="2:13" x14ac:dyDescent="0.25">
      <c r="B2353" s="40"/>
      <c r="C2353" s="41"/>
      <c r="D2353" s="357"/>
      <c r="E2353" s="358"/>
      <c r="F2353" s="359"/>
      <c r="G2353" s="360" t="str">
        <f>IFERROR(IF(ventas_b_mes684[[#This Row],[CUIT]]="","-",VLOOKUP(ventas_b_mes684[[#This Row],[CUIT]],Lista_CUIT[#All],2,0)),"CUIT NO CARGADO")</f>
        <v>-</v>
      </c>
      <c r="H2353" s="64"/>
      <c r="I2353" s="350">
        <f>ventas_b_mes684[[#This Row],[IMPORTE NETO]]*0.21</f>
        <v>0</v>
      </c>
      <c r="J2353" s="351"/>
      <c r="K2353" s="351"/>
      <c r="L2353" s="351">
        <f>SUM(ventas_b_mes684[[#This Row],[IMPORTE NETO]:[EXENTO]])</f>
        <v>0</v>
      </c>
      <c r="M2353" s="352"/>
    </row>
    <row r="2354" spans="2:13" x14ac:dyDescent="0.25">
      <c r="B2354" s="40"/>
      <c r="C2354" s="41"/>
      <c r="D2354" s="357"/>
      <c r="E2354" s="358"/>
      <c r="F2354" s="359"/>
      <c r="G2354" s="360" t="str">
        <f>IFERROR(IF(ventas_b_mes684[[#This Row],[CUIT]]="","-",VLOOKUP(ventas_b_mes684[[#This Row],[CUIT]],Lista_CUIT[#All],2,0)),"CUIT NO CARGADO")</f>
        <v>-</v>
      </c>
      <c r="H2354" s="64"/>
      <c r="I2354" s="350">
        <f>ventas_b_mes684[[#This Row],[IMPORTE NETO]]*0.21</f>
        <v>0</v>
      </c>
      <c r="J2354" s="351"/>
      <c r="K2354" s="351"/>
      <c r="L2354" s="351">
        <f>SUM(ventas_b_mes684[[#This Row],[IMPORTE NETO]:[EXENTO]])</f>
        <v>0</v>
      </c>
      <c r="M2354" s="352"/>
    </row>
    <row r="2355" spans="2:13" x14ac:dyDescent="0.25">
      <c r="B2355" s="40"/>
      <c r="C2355" s="41"/>
      <c r="D2355" s="357"/>
      <c r="E2355" s="358"/>
      <c r="F2355" s="359"/>
      <c r="G2355" s="360" t="str">
        <f>IFERROR(IF(ventas_b_mes684[[#This Row],[CUIT]]="","-",VLOOKUP(ventas_b_mes684[[#This Row],[CUIT]],Lista_CUIT[#All],2,0)),"CUIT NO CARGADO")</f>
        <v>-</v>
      </c>
      <c r="H2355" s="64"/>
      <c r="I2355" s="350">
        <f>ventas_b_mes684[[#This Row],[IMPORTE NETO]]*0.21</f>
        <v>0</v>
      </c>
      <c r="J2355" s="351"/>
      <c r="K2355" s="351"/>
      <c r="L2355" s="351">
        <f>SUM(ventas_b_mes684[[#This Row],[IMPORTE NETO]:[EXENTO]])</f>
        <v>0</v>
      </c>
      <c r="M2355" s="352"/>
    </row>
    <row r="2356" spans="2:13" x14ac:dyDescent="0.25">
      <c r="B2356" s="40"/>
      <c r="C2356" s="41"/>
      <c r="D2356" s="357"/>
      <c r="E2356" s="358"/>
      <c r="F2356" s="359"/>
      <c r="G2356" s="360" t="str">
        <f>IFERROR(IF(ventas_b_mes684[[#This Row],[CUIT]]="","-",VLOOKUP(ventas_b_mes684[[#This Row],[CUIT]],Lista_CUIT[#All],2,0)),"CUIT NO CARGADO")</f>
        <v>-</v>
      </c>
      <c r="H2356" s="64"/>
      <c r="I2356" s="350">
        <f>ventas_b_mes684[[#This Row],[IMPORTE NETO]]*0.21</f>
        <v>0</v>
      </c>
      <c r="J2356" s="351"/>
      <c r="K2356" s="351"/>
      <c r="L2356" s="351">
        <f>SUM(ventas_b_mes684[[#This Row],[IMPORTE NETO]:[EXENTO]])</f>
        <v>0</v>
      </c>
      <c r="M2356" s="352"/>
    </row>
    <row r="2357" spans="2:13" x14ac:dyDescent="0.25">
      <c r="B2357" s="40"/>
      <c r="C2357" s="41"/>
      <c r="D2357" s="357"/>
      <c r="E2357" s="358"/>
      <c r="F2357" s="359"/>
      <c r="G2357" s="360" t="str">
        <f>IFERROR(IF(ventas_b_mes684[[#This Row],[CUIT]]="","-",VLOOKUP(ventas_b_mes684[[#This Row],[CUIT]],Lista_CUIT[#All],2,0)),"CUIT NO CARGADO")</f>
        <v>-</v>
      </c>
      <c r="H2357" s="64"/>
      <c r="I2357" s="350">
        <f>ventas_b_mes684[[#This Row],[IMPORTE NETO]]*0.21</f>
        <v>0</v>
      </c>
      <c r="J2357" s="351"/>
      <c r="K2357" s="351"/>
      <c r="L2357" s="351">
        <f>SUM(ventas_b_mes684[[#This Row],[IMPORTE NETO]:[EXENTO]])</f>
        <v>0</v>
      </c>
      <c r="M2357" s="352"/>
    </row>
    <row r="2358" spans="2:13" x14ac:dyDescent="0.25">
      <c r="B2358" s="40"/>
      <c r="C2358" s="41"/>
      <c r="D2358" s="357"/>
      <c r="E2358" s="358"/>
      <c r="F2358" s="359"/>
      <c r="G2358" s="360" t="str">
        <f>IFERROR(IF(ventas_b_mes684[[#This Row],[CUIT]]="","-",VLOOKUP(ventas_b_mes684[[#This Row],[CUIT]],Lista_CUIT[#All],2,0)),"CUIT NO CARGADO")</f>
        <v>-</v>
      </c>
      <c r="H2358" s="64"/>
      <c r="I2358" s="350">
        <f>ventas_b_mes684[[#This Row],[IMPORTE NETO]]*0.21</f>
        <v>0</v>
      </c>
      <c r="J2358" s="351"/>
      <c r="K2358" s="351"/>
      <c r="L2358" s="351">
        <f>SUM(ventas_b_mes684[[#This Row],[IMPORTE NETO]:[EXENTO]])</f>
        <v>0</v>
      </c>
      <c r="M2358" s="352"/>
    </row>
    <row r="2359" spans="2:13" x14ac:dyDescent="0.25">
      <c r="B2359" s="40"/>
      <c r="C2359" s="41"/>
      <c r="D2359" s="357"/>
      <c r="E2359" s="358"/>
      <c r="F2359" s="359"/>
      <c r="G2359" s="360" t="str">
        <f>IFERROR(IF(ventas_b_mes684[[#This Row],[CUIT]]="","-",VLOOKUP(ventas_b_mes684[[#This Row],[CUIT]],Lista_CUIT[#All],2,0)),"CUIT NO CARGADO")</f>
        <v>-</v>
      </c>
      <c r="H2359" s="64"/>
      <c r="I2359" s="350">
        <f>ventas_b_mes684[[#This Row],[IMPORTE NETO]]*0.21</f>
        <v>0</v>
      </c>
      <c r="J2359" s="351"/>
      <c r="K2359" s="351"/>
      <c r="L2359" s="351">
        <f>SUM(ventas_b_mes684[[#This Row],[IMPORTE NETO]:[EXENTO]])</f>
        <v>0</v>
      </c>
      <c r="M2359" s="352"/>
    </row>
    <row r="2360" spans="2:13" x14ac:dyDescent="0.25">
      <c r="B2360" s="40"/>
      <c r="C2360" s="41"/>
      <c r="D2360" s="357"/>
      <c r="E2360" s="358"/>
      <c r="F2360" s="359"/>
      <c r="G2360" s="360" t="str">
        <f>IFERROR(IF(ventas_b_mes684[[#This Row],[CUIT]]="","-",VLOOKUP(ventas_b_mes684[[#This Row],[CUIT]],Lista_CUIT[#All],2,0)),"CUIT NO CARGADO")</f>
        <v>-</v>
      </c>
      <c r="H2360" s="64"/>
      <c r="I2360" s="350">
        <f>ventas_b_mes684[[#This Row],[IMPORTE NETO]]*0.21</f>
        <v>0</v>
      </c>
      <c r="J2360" s="351"/>
      <c r="K2360" s="351"/>
      <c r="L2360" s="351">
        <f>SUM(ventas_b_mes684[[#This Row],[IMPORTE NETO]:[EXENTO]])</f>
        <v>0</v>
      </c>
      <c r="M2360" s="352"/>
    </row>
    <row r="2361" spans="2:13" x14ac:dyDescent="0.25">
      <c r="B2361" s="40"/>
      <c r="C2361" s="41"/>
      <c r="D2361" s="357"/>
      <c r="E2361" s="358"/>
      <c r="F2361" s="359"/>
      <c r="G2361" s="360" t="str">
        <f>IFERROR(IF(ventas_b_mes684[[#This Row],[CUIT]]="","-",VLOOKUP(ventas_b_mes684[[#This Row],[CUIT]],Lista_CUIT[#All],2,0)),"CUIT NO CARGADO")</f>
        <v>-</v>
      </c>
      <c r="H2361" s="64"/>
      <c r="I2361" s="350">
        <f>ventas_b_mes684[[#This Row],[IMPORTE NETO]]*0.21</f>
        <v>0</v>
      </c>
      <c r="J2361" s="351"/>
      <c r="K2361" s="351"/>
      <c r="L2361" s="351">
        <f>SUM(ventas_b_mes684[[#This Row],[IMPORTE NETO]:[EXENTO]])</f>
        <v>0</v>
      </c>
      <c r="M2361" s="352"/>
    </row>
    <row r="2362" spans="2:13" x14ac:dyDescent="0.25">
      <c r="B2362" s="40"/>
      <c r="C2362" s="41"/>
      <c r="D2362" s="357"/>
      <c r="E2362" s="358"/>
      <c r="F2362" s="359"/>
      <c r="G2362" s="360" t="str">
        <f>IFERROR(IF(ventas_b_mes684[[#This Row],[CUIT]]="","-",VLOOKUP(ventas_b_mes684[[#This Row],[CUIT]],Lista_CUIT[#All],2,0)),"CUIT NO CARGADO")</f>
        <v>-</v>
      </c>
      <c r="H2362" s="64"/>
      <c r="I2362" s="350">
        <f>ventas_b_mes684[[#This Row],[IMPORTE NETO]]*0.21</f>
        <v>0</v>
      </c>
      <c r="J2362" s="351"/>
      <c r="K2362" s="351"/>
      <c r="L2362" s="351">
        <f>SUM(ventas_b_mes684[[#This Row],[IMPORTE NETO]:[EXENTO]])</f>
        <v>0</v>
      </c>
      <c r="M2362" s="352"/>
    </row>
    <row r="2363" spans="2:13" x14ac:dyDescent="0.25">
      <c r="B2363" s="40"/>
      <c r="C2363" s="41"/>
      <c r="D2363" s="357"/>
      <c r="E2363" s="358"/>
      <c r="F2363" s="359"/>
      <c r="G2363" s="360" t="str">
        <f>IFERROR(IF(ventas_b_mes684[[#This Row],[CUIT]]="","-",VLOOKUP(ventas_b_mes684[[#This Row],[CUIT]],Lista_CUIT[#All],2,0)),"CUIT NO CARGADO")</f>
        <v>-</v>
      </c>
      <c r="H2363" s="64"/>
      <c r="I2363" s="350">
        <f>ventas_b_mes684[[#This Row],[IMPORTE NETO]]*0.21</f>
        <v>0</v>
      </c>
      <c r="J2363" s="351"/>
      <c r="K2363" s="351"/>
      <c r="L2363" s="351">
        <f>SUM(ventas_b_mes684[[#This Row],[IMPORTE NETO]:[EXENTO]])</f>
        <v>0</v>
      </c>
      <c r="M2363" s="352"/>
    </row>
    <row r="2364" spans="2:13" x14ac:dyDescent="0.25">
      <c r="B2364" s="40"/>
      <c r="C2364" s="41"/>
      <c r="D2364" s="357"/>
      <c r="E2364" s="358"/>
      <c r="F2364" s="359"/>
      <c r="G2364" s="360" t="str">
        <f>IFERROR(IF(ventas_b_mes684[[#This Row],[CUIT]]="","-",VLOOKUP(ventas_b_mes684[[#This Row],[CUIT]],Lista_CUIT[#All],2,0)),"CUIT NO CARGADO")</f>
        <v>-</v>
      </c>
      <c r="H2364" s="64"/>
      <c r="I2364" s="350">
        <f>ventas_b_mes684[[#This Row],[IMPORTE NETO]]*0.21</f>
        <v>0</v>
      </c>
      <c r="J2364" s="351"/>
      <c r="K2364" s="351"/>
      <c r="L2364" s="351">
        <f>SUM(ventas_b_mes684[[#This Row],[IMPORTE NETO]:[EXENTO]])</f>
        <v>0</v>
      </c>
      <c r="M2364" s="352"/>
    </row>
    <row r="2365" spans="2:13" x14ac:dyDescent="0.25">
      <c r="B2365" s="40"/>
      <c r="C2365" s="41"/>
      <c r="D2365" s="357"/>
      <c r="E2365" s="358"/>
      <c r="F2365" s="359"/>
      <c r="G2365" s="360" t="str">
        <f>IFERROR(IF(ventas_b_mes684[[#This Row],[CUIT]]="","-",VLOOKUP(ventas_b_mes684[[#This Row],[CUIT]],Lista_CUIT[#All],2,0)),"CUIT NO CARGADO")</f>
        <v>-</v>
      </c>
      <c r="H2365" s="64"/>
      <c r="I2365" s="350">
        <f>ventas_b_mes684[[#This Row],[IMPORTE NETO]]*0.21</f>
        <v>0</v>
      </c>
      <c r="J2365" s="351"/>
      <c r="K2365" s="351"/>
      <c r="L2365" s="351">
        <f>SUM(ventas_b_mes684[[#This Row],[IMPORTE NETO]:[EXENTO]])</f>
        <v>0</v>
      </c>
      <c r="M2365" s="352"/>
    </row>
    <row r="2366" spans="2:13" x14ac:dyDescent="0.25">
      <c r="B2366" s="40"/>
      <c r="C2366" s="41"/>
      <c r="D2366" s="357"/>
      <c r="E2366" s="358"/>
      <c r="F2366" s="359"/>
      <c r="G2366" s="360" t="str">
        <f>IFERROR(IF(ventas_b_mes684[[#This Row],[CUIT]]="","-",VLOOKUP(ventas_b_mes684[[#This Row],[CUIT]],Lista_CUIT[#All],2,0)),"CUIT NO CARGADO")</f>
        <v>-</v>
      </c>
      <c r="H2366" s="64"/>
      <c r="I2366" s="350">
        <f>ventas_b_mes684[[#This Row],[IMPORTE NETO]]*0.21</f>
        <v>0</v>
      </c>
      <c r="J2366" s="351"/>
      <c r="K2366" s="351"/>
      <c r="L2366" s="351">
        <f>SUM(ventas_b_mes684[[#This Row],[IMPORTE NETO]:[EXENTO]])</f>
        <v>0</v>
      </c>
      <c r="M2366" s="352"/>
    </row>
    <row r="2367" spans="2:13" x14ac:dyDescent="0.25">
      <c r="B2367" s="40"/>
      <c r="C2367" s="41"/>
      <c r="D2367" s="357"/>
      <c r="E2367" s="358"/>
      <c r="F2367" s="359"/>
      <c r="G2367" s="360" t="str">
        <f>IFERROR(IF(ventas_b_mes684[[#This Row],[CUIT]]="","-",VLOOKUP(ventas_b_mes684[[#This Row],[CUIT]],Lista_CUIT[#All],2,0)),"CUIT NO CARGADO")</f>
        <v>-</v>
      </c>
      <c r="H2367" s="64"/>
      <c r="I2367" s="350">
        <f>ventas_b_mes684[[#This Row],[IMPORTE NETO]]*0.21</f>
        <v>0</v>
      </c>
      <c r="J2367" s="351"/>
      <c r="K2367" s="351"/>
      <c r="L2367" s="351">
        <f>SUM(ventas_b_mes684[[#This Row],[IMPORTE NETO]:[EXENTO]])</f>
        <v>0</v>
      </c>
      <c r="M2367" s="352"/>
    </row>
    <row r="2368" spans="2:13" x14ac:dyDescent="0.25">
      <c r="B2368" s="40"/>
      <c r="C2368" s="41"/>
      <c r="D2368" s="357"/>
      <c r="E2368" s="358"/>
      <c r="F2368" s="359"/>
      <c r="G2368" s="360" t="str">
        <f>IFERROR(IF(ventas_b_mes684[[#This Row],[CUIT]]="","-",VLOOKUP(ventas_b_mes684[[#This Row],[CUIT]],Lista_CUIT[#All],2,0)),"CUIT NO CARGADO")</f>
        <v>-</v>
      </c>
      <c r="H2368" s="64"/>
      <c r="I2368" s="350">
        <f>ventas_b_mes684[[#This Row],[IMPORTE NETO]]*0.21</f>
        <v>0</v>
      </c>
      <c r="J2368" s="351"/>
      <c r="K2368" s="351"/>
      <c r="L2368" s="351">
        <f>SUM(ventas_b_mes684[[#This Row],[IMPORTE NETO]:[EXENTO]])</f>
        <v>0</v>
      </c>
      <c r="M2368" s="352"/>
    </row>
    <row r="2369" spans="2:13" x14ac:dyDescent="0.25">
      <c r="B2369" s="40"/>
      <c r="C2369" s="41"/>
      <c r="D2369" s="357"/>
      <c r="E2369" s="358"/>
      <c r="F2369" s="359"/>
      <c r="G2369" s="360" t="str">
        <f>IFERROR(IF(ventas_b_mes684[[#This Row],[CUIT]]="","-",VLOOKUP(ventas_b_mes684[[#This Row],[CUIT]],Lista_CUIT[#All],2,0)),"CUIT NO CARGADO")</f>
        <v>-</v>
      </c>
      <c r="H2369" s="64"/>
      <c r="I2369" s="350">
        <f>ventas_b_mes684[[#This Row],[IMPORTE NETO]]*0.21</f>
        <v>0</v>
      </c>
      <c r="J2369" s="351"/>
      <c r="K2369" s="351"/>
      <c r="L2369" s="351">
        <f>SUM(ventas_b_mes684[[#This Row],[IMPORTE NETO]:[EXENTO]])</f>
        <v>0</v>
      </c>
      <c r="M2369" s="352"/>
    </row>
    <row r="2370" spans="2:13" x14ac:dyDescent="0.25">
      <c r="B2370" s="40"/>
      <c r="C2370" s="41"/>
      <c r="D2370" s="357"/>
      <c r="E2370" s="358"/>
      <c r="F2370" s="359"/>
      <c r="G2370" s="360" t="str">
        <f>IFERROR(IF(ventas_b_mes684[[#This Row],[CUIT]]="","-",VLOOKUP(ventas_b_mes684[[#This Row],[CUIT]],Lista_CUIT[#All],2,0)),"CUIT NO CARGADO")</f>
        <v>-</v>
      </c>
      <c r="H2370" s="64"/>
      <c r="I2370" s="350">
        <f>ventas_b_mes684[[#This Row],[IMPORTE NETO]]*0.21</f>
        <v>0</v>
      </c>
      <c r="J2370" s="351"/>
      <c r="K2370" s="351"/>
      <c r="L2370" s="351">
        <f>SUM(ventas_b_mes684[[#This Row],[IMPORTE NETO]:[EXENTO]])</f>
        <v>0</v>
      </c>
      <c r="M2370" s="352"/>
    </row>
    <row r="2371" spans="2:13" x14ac:dyDescent="0.25">
      <c r="B2371" s="40"/>
      <c r="C2371" s="41"/>
      <c r="D2371" s="357"/>
      <c r="E2371" s="358"/>
      <c r="F2371" s="359"/>
      <c r="G2371" s="360" t="str">
        <f>IFERROR(IF(ventas_b_mes684[[#This Row],[CUIT]]="","-",VLOOKUP(ventas_b_mes684[[#This Row],[CUIT]],Lista_CUIT[#All],2,0)),"CUIT NO CARGADO")</f>
        <v>-</v>
      </c>
      <c r="H2371" s="64"/>
      <c r="I2371" s="350">
        <f>ventas_b_mes684[[#This Row],[IMPORTE NETO]]*0.21</f>
        <v>0</v>
      </c>
      <c r="J2371" s="351"/>
      <c r="K2371" s="351"/>
      <c r="L2371" s="351">
        <f>SUM(ventas_b_mes684[[#This Row],[IMPORTE NETO]:[EXENTO]])</f>
        <v>0</v>
      </c>
      <c r="M2371" s="352"/>
    </row>
    <row r="2372" spans="2:13" x14ac:dyDescent="0.25">
      <c r="B2372" s="40"/>
      <c r="C2372" s="41"/>
      <c r="D2372" s="357"/>
      <c r="E2372" s="358"/>
      <c r="F2372" s="359"/>
      <c r="G2372" s="360" t="str">
        <f>IFERROR(IF(ventas_b_mes684[[#This Row],[CUIT]]="","-",VLOOKUP(ventas_b_mes684[[#This Row],[CUIT]],Lista_CUIT[#All],2,0)),"CUIT NO CARGADO")</f>
        <v>-</v>
      </c>
      <c r="H2372" s="64"/>
      <c r="I2372" s="350">
        <f>ventas_b_mes684[[#This Row],[IMPORTE NETO]]*0.21</f>
        <v>0</v>
      </c>
      <c r="J2372" s="351"/>
      <c r="K2372" s="351"/>
      <c r="L2372" s="351">
        <f>SUM(ventas_b_mes684[[#This Row],[IMPORTE NETO]:[EXENTO]])</f>
        <v>0</v>
      </c>
      <c r="M2372" s="352"/>
    </row>
    <row r="2373" spans="2:13" x14ac:dyDescent="0.25">
      <c r="B2373" s="40"/>
      <c r="C2373" s="41"/>
      <c r="D2373" s="357"/>
      <c r="E2373" s="358"/>
      <c r="F2373" s="359"/>
      <c r="G2373" s="360" t="str">
        <f>IFERROR(IF(ventas_b_mes684[[#This Row],[CUIT]]="","-",VLOOKUP(ventas_b_mes684[[#This Row],[CUIT]],Lista_CUIT[#All],2,0)),"CUIT NO CARGADO")</f>
        <v>-</v>
      </c>
      <c r="H2373" s="64"/>
      <c r="I2373" s="350">
        <f>ventas_b_mes684[[#This Row],[IMPORTE NETO]]*0.21</f>
        <v>0</v>
      </c>
      <c r="J2373" s="351"/>
      <c r="K2373" s="351"/>
      <c r="L2373" s="351">
        <f>SUM(ventas_b_mes684[[#This Row],[IMPORTE NETO]:[EXENTO]])</f>
        <v>0</v>
      </c>
      <c r="M2373" s="352"/>
    </row>
    <row r="2374" spans="2:13" x14ac:dyDescent="0.25">
      <c r="B2374" s="40"/>
      <c r="C2374" s="41"/>
      <c r="D2374" s="357"/>
      <c r="E2374" s="358"/>
      <c r="F2374" s="359"/>
      <c r="G2374" s="360" t="str">
        <f>IFERROR(IF(ventas_b_mes684[[#This Row],[CUIT]]="","-",VLOOKUP(ventas_b_mes684[[#This Row],[CUIT]],Lista_CUIT[#All],2,0)),"CUIT NO CARGADO")</f>
        <v>-</v>
      </c>
      <c r="H2374" s="64"/>
      <c r="I2374" s="350">
        <f>ventas_b_mes684[[#This Row],[IMPORTE NETO]]*0.21</f>
        <v>0</v>
      </c>
      <c r="J2374" s="351"/>
      <c r="K2374" s="351"/>
      <c r="L2374" s="351">
        <f>SUM(ventas_b_mes684[[#This Row],[IMPORTE NETO]:[EXENTO]])</f>
        <v>0</v>
      </c>
      <c r="M2374" s="352"/>
    </row>
    <row r="2375" spans="2:13" x14ac:dyDescent="0.25">
      <c r="B2375" s="40"/>
      <c r="C2375" s="41"/>
      <c r="D2375" s="357"/>
      <c r="E2375" s="358"/>
      <c r="F2375" s="359"/>
      <c r="G2375" s="360" t="str">
        <f>IFERROR(IF(ventas_b_mes684[[#This Row],[CUIT]]="","-",VLOOKUP(ventas_b_mes684[[#This Row],[CUIT]],Lista_CUIT[#All],2,0)),"CUIT NO CARGADO")</f>
        <v>-</v>
      </c>
      <c r="H2375" s="64"/>
      <c r="I2375" s="350">
        <f>ventas_b_mes684[[#This Row],[IMPORTE NETO]]*0.21</f>
        <v>0</v>
      </c>
      <c r="J2375" s="351"/>
      <c r="K2375" s="351"/>
      <c r="L2375" s="351">
        <f>SUM(ventas_b_mes684[[#This Row],[IMPORTE NETO]:[EXENTO]])</f>
        <v>0</v>
      </c>
      <c r="M2375" s="352"/>
    </row>
    <row r="2376" spans="2:13" x14ac:dyDescent="0.25">
      <c r="B2376" s="40"/>
      <c r="C2376" s="41"/>
      <c r="D2376" s="357"/>
      <c r="E2376" s="358"/>
      <c r="F2376" s="359"/>
      <c r="G2376" s="360" t="str">
        <f>IFERROR(IF(ventas_b_mes684[[#This Row],[CUIT]]="","-",VLOOKUP(ventas_b_mes684[[#This Row],[CUIT]],Lista_CUIT[#All],2,0)),"CUIT NO CARGADO")</f>
        <v>-</v>
      </c>
      <c r="H2376" s="64"/>
      <c r="I2376" s="350">
        <f>ventas_b_mes684[[#This Row],[IMPORTE NETO]]*0.21</f>
        <v>0</v>
      </c>
      <c r="J2376" s="351"/>
      <c r="K2376" s="351"/>
      <c r="L2376" s="351">
        <f>SUM(ventas_b_mes684[[#This Row],[IMPORTE NETO]:[EXENTO]])</f>
        <v>0</v>
      </c>
      <c r="M2376" s="352"/>
    </row>
    <row r="2377" spans="2:13" x14ac:dyDescent="0.25">
      <c r="B2377" s="40"/>
      <c r="C2377" s="41"/>
      <c r="D2377" s="357"/>
      <c r="E2377" s="358"/>
      <c r="F2377" s="359"/>
      <c r="G2377" s="360" t="str">
        <f>IFERROR(IF(ventas_b_mes684[[#This Row],[CUIT]]="","-",VLOOKUP(ventas_b_mes684[[#This Row],[CUIT]],Lista_CUIT[#All],2,0)),"CUIT NO CARGADO")</f>
        <v>-</v>
      </c>
      <c r="H2377" s="64"/>
      <c r="I2377" s="350">
        <f>ventas_b_mes684[[#This Row],[IMPORTE NETO]]*0.21</f>
        <v>0</v>
      </c>
      <c r="J2377" s="351"/>
      <c r="K2377" s="351"/>
      <c r="L2377" s="351">
        <f>SUM(ventas_b_mes684[[#This Row],[IMPORTE NETO]:[EXENTO]])</f>
        <v>0</v>
      </c>
      <c r="M2377" s="352"/>
    </row>
    <row r="2378" spans="2:13" x14ac:dyDescent="0.25">
      <c r="B2378" s="40"/>
      <c r="C2378" s="41"/>
      <c r="D2378" s="357"/>
      <c r="E2378" s="358"/>
      <c r="F2378" s="359"/>
      <c r="G2378" s="360" t="str">
        <f>IFERROR(IF(ventas_b_mes684[[#This Row],[CUIT]]="","-",VLOOKUP(ventas_b_mes684[[#This Row],[CUIT]],Lista_CUIT[#All],2,0)),"CUIT NO CARGADO")</f>
        <v>-</v>
      </c>
      <c r="H2378" s="64"/>
      <c r="I2378" s="350">
        <f>ventas_b_mes684[[#This Row],[IMPORTE NETO]]*0.21</f>
        <v>0</v>
      </c>
      <c r="J2378" s="351"/>
      <c r="K2378" s="351"/>
      <c r="L2378" s="351">
        <f>SUM(ventas_b_mes684[[#This Row],[IMPORTE NETO]:[EXENTO]])</f>
        <v>0</v>
      </c>
      <c r="M2378" s="352"/>
    </row>
    <row r="2379" spans="2:13" x14ac:dyDescent="0.25">
      <c r="B2379" s="40"/>
      <c r="C2379" s="41"/>
      <c r="D2379" s="357"/>
      <c r="E2379" s="358"/>
      <c r="F2379" s="359"/>
      <c r="G2379" s="360" t="str">
        <f>IFERROR(IF(ventas_b_mes684[[#This Row],[CUIT]]="","-",VLOOKUP(ventas_b_mes684[[#This Row],[CUIT]],Lista_CUIT[#All],2,0)),"CUIT NO CARGADO")</f>
        <v>-</v>
      </c>
      <c r="H2379" s="64"/>
      <c r="I2379" s="350">
        <f>ventas_b_mes684[[#This Row],[IMPORTE NETO]]*0.21</f>
        <v>0</v>
      </c>
      <c r="J2379" s="351"/>
      <c r="K2379" s="351"/>
      <c r="L2379" s="351">
        <f>SUM(ventas_b_mes684[[#This Row],[IMPORTE NETO]:[EXENTO]])</f>
        <v>0</v>
      </c>
      <c r="M2379" s="352"/>
    </row>
    <row r="2380" spans="2:13" x14ac:dyDescent="0.25">
      <c r="B2380" s="40"/>
      <c r="C2380" s="41"/>
      <c r="D2380" s="357"/>
      <c r="E2380" s="358"/>
      <c r="F2380" s="359"/>
      <c r="G2380" s="360" t="str">
        <f>IFERROR(IF(ventas_b_mes684[[#This Row],[CUIT]]="","-",VLOOKUP(ventas_b_mes684[[#This Row],[CUIT]],Lista_CUIT[#All],2,0)),"CUIT NO CARGADO")</f>
        <v>-</v>
      </c>
      <c r="H2380" s="64"/>
      <c r="I2380" s="350">
        <f>ventas_b_mes684[[#This Row],[IMPORTE NETO]]*0.21</f>
        <v>0</v>
      </c>
      <c r="J2380" s="351"/>
      <c r="K2380" s="351"/>
      <c r="L2380" s="351">
        <f>SUM(ventas_b_mes684[[#This Row],[IMPORTE NETO]:[EXENTO]])</f>
        <v>0</v>
      </c>
      <c r="M2380" s="352"/>
    </row>
    <row r="2381" spans="2:13" x14ac:dyDescent="0.25">
      <c r="B2381" s="40"/>
      <c r="C2381" s="41"/>
      <c r="D2381" s="357"/>
      <c r="E2381" s="358"/>
      <c r="F2381" s="359"/>
      <c r="G2381" s="360" t="str">
        <f>IFERROR(IF(ventas_b_mes684[[#This Row],[CUIT]]="","-",VLOOKUP(ventas_b_mes684[[#This Row],[CUIT]],Lista_CUIT[#All],2,0)),"CUIT NO CARGADO")</f>
        <v>-</v>
      </c>
      <c r="H2381" s="64"/>
      <c r="I2381" s="350">
        <f>ventas_b_mes684[[#This Row],[IMPORTE NETO]]*0.21</f>
        <v>0</v>
      </c>
      <c r="J2381" s="351"/>
      <c r="K2381" s="351"/>
      <c r="L2381" s="351">
        <f>SUM(ventas_b_mes684[[#This Row],[IMPORTE NETO]:[EXENTO]])</f>
        <v>0</v>
      </c>
      <c r="M2381" s="352"/>
    </row>
    <row r="2382" spans="2:13" x14ac:dyDescent="0.25">
      <c r="B2382" s="40"/>
      <c r="C2382" s="41"/>
      <c r="D2382" s="357"/>
      <c r="E2382" s="358"/>
      <c r="F2382" s="359"/>
      <c r="G2382" s="360" t="str">
        <f>IFERROR(IF(ventas_b_mes684[[#This Row],[CUIT]]="","-",VLOOKUP(ventas_b_mes684[[#This Row],[CUIT]],Lista_CUIT[#All],2,0)),"CUIT NO CARGADO")</f>
        <v>-</v>
      </c>
      <c r="H2382" s="64"/>
      <c r="I2382" s="350">
        <f>ventas_b_mes684[[#This Row],[IMPORTE NETO]]*0.21</f>
        <v>0</v>
      </c>
      <c r="J2382" s="351"/>
      <c r="K2382" s="351"/>
      <c r="L2382" s="351">
        <f>SUM(ventas_b_mes684[[#This Row],[IMPORTE NETO]:[EXENTO]])</f>
        <v>0</v>
      </c>
      <c r="M2382" s="352"/>
    </row>
    <row r="2383" spans="2:13" x14ac:dyDescent="0.25">
      <c r="B2383" s="40"/>
      <c r="C2383" s="41"/>
      <c r="D2383" s="357"/>
      <c r="E2383" s="358"/>
      <c r="F2383" s="359"/>
      <c r="G2383" s="360" t="str">
        <f>IFERROR(IF(ventas_b_mes684[[#This Row],[CUIT]]="","-",VLOOKUP(ventas_b_mes684[[#This Row],[CUIT]],Lista_CUIT[#All],2,0)),"CUIT NO CARGADO")</f>
        <v>-</v>
      </c>
      <c r="H2383" s="64"/>
      <c r="I2383" s="350">
        <f>ventas_b_mes684[[#This Row],[IMPORTE NETO]]*0.21</f>
        <v>0</v>
      </c>
      <c r="J2383" s="351"/>
      <c r="K2383" s="351"/>
      <c r="L2383" s="351">
        <f>SUM(ventas_b_mes684[[#This Row],[IMPORTE NETO]:[EXENTO]])</f>
        <v>0</v>
      </c>
      <c r="M2383" s="352"/>
    </row>
    <row r="2384" spans="2:13" x14ac:dyDescent="0.25">
      <c r="B2384" s="40"/>
      <c r="C2384" s="41"/>
      <c r="D2384" s="357"/>
      <c r="E2384" s="358"/>
      <c r="F2384" s="359"/>
      <c r="G2384" s="360" t="str">
        <f>IFERROR(IF(ventas_b_mes684[[#This Row],[CUIT]]="","-",VLOOKUP(ventas_b_mes684[[#This Row],[CUIT]],Lista_CUIT[#All],2,0)),"CUIT NO CARGADO")</f>
        <v>-</v>
      </c>
      <c r="H2384" s="64"/>
      <c r="I2384" s="350">
        <f>ventas_b_mes684[[#This Row],[IMPORTE NETO]]*0.21</f>
        <v>0</v>
      </c>
      <c r="J2384" s="351"/>
      <c r="K2384" s="351"/>
      <c r="L2384" s="351">
        <f>SUM(ventas_b_mes684[[#This Row],[IMPORTE NETO]:[EXENTO]])</f>
        <v>0</v>
      </c>
      <c r="M2384" s="352"/>
    </row>
    <row r="2385" spans="2:13" x14ac:dyDescent="0.25">
      <c r="B2385" s="40"/>
      <c r="C2385" s="41"/>
      <c r="D2385" s="357"/>
      <c r="E2385" s="358"/>
      <c r="F2385" s="359"/>
      <c r="G2385" s="360" t="str">
        <f>IFERROR(IF(ventas_b_mes684[[#This Row],[CUIT]]="","-",VLOOKUP(ventas_b_mes684[[#This Row],[CUIT]],Lista_CUIT[#All],2,0)),"CUIT NO CARGADO")</f>
        <v>-</v>
      </c>
      <c r="H2385" s="64"/>
      <c r="I2385" s="350">
        <f>ventas_b_mes684[[#This Row],[IMPORTE NETO]]*0.21</f>
        <v>0</v>
      </c>
      <c r="J2385" s="351"/>
      <c r="K2385" s="351"/>
      <c r="L2385" s="351">
        <f>SUM(ventas_b_mes684[[#This Row],[IMPORTE NETO]:[EXENTO]])</f>
        <v>0</v>
      </c>
      <c r="M2385" s="352"/>
    </row>
    <row r="2386" spans="2:13" x14ac:dyDescent="0.25">
      <c r="B2386" s="40"/>
      <c r="C2386" s="41"/>
      <c r="D2386" s="357"/>
      <c r="E2386" s="358"/>
      <c r="F2386" s="359"/>
      <c r="G2386" s="360" t="str">
        <f>IFERROR(IF(ventas_b_mes684[[#This Row],[CUIT]]="","-",VLOOKUP(ventas_b_mes684[[#This Row],[CUIT]],Lista_CUIT[#All],2,0)),"CUIT NO CARGADO")</f>
        <v>-</v>
      </c>
      <c r="H2386" s="64"/>
      <c r="I2386" s="350">
        <f>ventas_b_mes684[[#This Row],[IMPORTE NETO]]*0.21</f>
        <v>0</v>
      </c>
      <c r="J2386" s="351"/>
      <c r="K2386" s="351"/>
      <c r="L2386" s="351">
        <f>SUM(ventas_b_mes684[[#This Row],[IMPORTE NETO]:[EXENTO]])</f>
        <v>0</v>
      </c>
      <c r="M2386" s="352"/>
    </row>
    <row r="2387" spans="2:13" x14ac:dyDescent="0.25">
      <c r="B2387" s="40"/>
      <c r="C2387" s="41"/>
      <c r="D2387" s="357"/>
      <c r="E2387" s="358"/>
      <c r="F2387" s="359"/>
      <c r="G2387" s="360" t="str">
        <f>IFERROR(IF(ventas_b_mes684[[#This Row],[CUIT]]="","-",VLOOKUP(ventas_b_mes684[[#This Row],[CUIT]],Lista_CUIT[#All],2,0)),"CUIT NO CARGADO")</f>
        <v>-</v>
      </c>
      <c r="H2387" s="64"/>
      <c r="I2387" s="350">
        <f>ventas_b_mes684[[#This Row],[IMPORTE NETO]]*0.21</f>
        <v>0</v>
      </c>
      <c r="J2387" s="351"/>
      <c r="K2387" s="351"/>
      <c r="L2387" s="351">
        <f>SUM(ventas_b_mes684[[#This Row],[IMPORTE NETO]:[EXENTO]])</f>
        <v>0</v>
      </c>
      <c r="M2387" s="352"/>
    </row>
    <row r="2388" spans="2:13" x14ac:dyDescent="0.25">
      <c r="B2388" s="40"/>
      <c r="C2388" s="41"/>
      <c r="D2388" s="357"/>
      <c r="E2388" s="358"/>
      <c r="F2388" s="359"/>
      <c r="G2388" s="360" t="str">
        <f>IFERROR(IF(ventas_b_mes684[[#This Row],[CUIT]]="","-",VLOOKUP(ventas_b_mes684[[#This Row],[CUIT]],Lista_CUIT[#All],2,0)),"CUIT NO CARGADO")</f>
        <v>-</v>
      </c>
      <c r="H2388" s="64"/>
      <c r="I2388" s="350">
        <f>ventas_b_mes684[[#This Row],[IMPORTE NETO]]*0.21</f>
        <v>0</v>
      </c>
      <c r="J2388" s="351"/>
      <c r="K2388" s="351"/>
      <c r="L2388" s="351">
        <f>SUM(ventas_b_mes684[[#This Row],[IMPORTE NETO]:[EXENTO]])</f>
        <v>0</v>
      </c>
      <c r="M2388" s="352"/>
    </row>
    <row r="2389" spans="2:13" x14ac:dyDescent="0.25">
      <c r="B2389" s="40"/>
      <c r="C2389" s="41"/>
      <c r="D2389" s="357"/>
      <c r="E2389" s="358"/>
      <c r="F2389" s="359"/>
      <c r="G2389" s="360" t="str">
        <f>IFERROR(IF(ventas_b_mes684[[#This Row],[CUIT]]="","-",VLOOKUP(ventas_b_mes684[[#This Row],[CUIT]],Lista_CUIT[#All],2,0)),"CUIT NO CARGADO")</f>
        <v>-</v>
      </c>
      <c r="H2389" s="64"/>
      <c r="I2389" s="350">
        <f>ventas_b_mes684[[#This Row],[IMPORTE NETO]]*0.21</f>
        <v>0</v>
      </c>
      <c r="J2389" s="351"/>
      <c r="K2389" s="351"/>
      <c r="L2389" s="351">
        <f>SUM(ventas_b_mes684[[#This Row],[IMPORTE NETO]:[EXENTO]])</f>
        <v>0</v>
      </c>
      <c r="M2389" s="352"/>
    </row>
    <row r="2390" spans="2:13" x14ac:dyDescent="0.25">
      <c r="B2390" s="40"/>
      <c r="C2390" s="41"/>
      <c r="D2390" s="357"/>
      <c r="E2390" s="358"/>
      <c r="F2390" s="359"/>
      <c r="G2390" s="360" t="str">
        <f>IFERROR(IF(ventas_b_mes684[[#This Row],[CUIT]]="","-",VLOOKUP(ventas_b_mes684[[#This Row],[CUIT]],Lista_CUIT[#All],2,0)),"CUIT NO CARGADO")</f>
        <v>-</v>
      </c>
      <c r="H2390" s="64"/>
      <c r="I2390" s="350">
        <f>ventas_b_mes684[[#This Row],[IMPORTE NETO]]*0.21</f>
        <v>0</v>
      </c>
      <c r="J2390" s="351"/>
      <c r="K2390" s="351"/>
      <c r="L2390" s="351">
        <f>SUM(ventas_b_mes684[[#This Row],[IMPORTE NETO]:[EXENTO]])</f>
        <v>0</v>
      </c>
      <c r="M2390" s="352"/>
    </row>
    <row r="2391" spans="2:13" x14ac:dyDescent="0.25">
      <c r="B2391" s="40"/>
      <c r="C2391" s="41"/>
      <c r="D2391" s="357"/>
      <c r="E2391" s="358"/>
      <c r="F2391" s="359"/>
      <c r="G2391" s="360" t="str">
        <f>IFERROR(IF(ventas_b_mes684[[#This Row],[CUIT]]="","-",VLOOKUP(ventas_b_mes684[[#This Row],[CUIT]],Lista_CUIT[#All],2,0)),"CUIT NO CARGADO")</f>
        <v>-</v>
      </c>
      <c r="H2391" s="64"/>
      <c r="I2391" s="350">
        <f>ventas_b_mes684[[#This Row],[IMPORTE NETO]]*0.21</f>
        <v>0</v>
      </c>
      <c r="J2391" s="351"/>
      <c r="K2391" s="351"/>
      <c r="L2391" s="351">
        <f>SUM(ventas_b_mes684[[#This Row],[IMPORTE NETO]:[EXENTO]])</f>
        <v>0</v>
      </c>
      <c r="M2391" s="352"/>
    </row>
    <row r="2392" spans="2:13" x14ac:dyDescent="0.25">
      <c r="B2392" s="40"/>
      <c r="C2392" s="41"/>
      <c r="D2392" s="357"/>
      <c r="E2392" s="358"/>
      <c r="F2392" s="359"/>
      <c r="G2392" s="360" t="str">
        <f>IFERROR(IF(ventas_b_mes684[[#This Row],[CUIT]]="","-",VLOOKUP(ventas_b_mes684[[#This Row],[CUIT]],Lista_CUIT[#All],2,0)),"CUIT NO CARGADO")</f>
        <v>-</v>
      </c>
      <c r="H2392" s="64"/>
      <c r="I2392" s="350">
        <f>ventas_b_mes684[[#This Row],[IMPORTE NETO]]*0.21</f>
        <v>0</v>
      </c>
      <c r="J2392" s="351"/>
      <c r="K2392" s="351"/>
      <c r="L2392" s="351">
        <f>SUM(ventas_b_mes684[[#This Row],[IMPORTE NETO]:[EXENTO]])</f>
        <v>0</v>
      </c>
      <c r="M2392" s="352"/>
    </row>
    <row r="2393" spans="2:13" x14ac:dyDescent="0.25">
      <c r="B2393" s="40"/>
      <c r="C2393" s="41"/>
      <c r="D2393" s="357"/>
      <c r="E2393" s="358"/>
      <c r="F2393" s="359"/>
      <c r="G2393" s="360" t="str">
        <f>IFERROR(IF(ventas_b_mes684[[#This Row],[CUIT]]="","-",VLOOKUP(ventas_b_mes684[[#This Row],[CUIT]],Lista_CUIT[#All],2,0)),"CUIT NO CARGADO")</f>
        <v>-</v>
      </c>
      <c r="H2393" s="64"/>
      <c r="I2393" s="350">
        <f>ventas_b_mes684[[#This Row],[IMPORTE NETO]]*0.21</f>
        <v>0</v>
      </c>
      <c r="J2393" s="351"/>
      <c r="K2393" s="351"/>
      <c r="L2393" s="351">
        <f>SUM(ventas_b_mes684[[#This Row],[IMPORTE NETO]:[EXENTO]])</f>
        <v>0</v>
      </c>
      <c r="M2393" s="352"/>
    </row>
    <row r="2394" spans="2:13" x14ac:dyDescent="0.25">
      <c r="B2394" s="40"/>
      <c r="C2394" s="41"/>
      <c r="D2394" s="357"/>
      <c r="E2394" s="358"/>
      <c r="F2394" s="359"/>
      <c r="G2394" s="360" t="str">
        <f>IFERROR(IF(ventas_b_mes684[[#This Row],[CUIT]]="","-",VLOOKUP(ventas_b_mes684[[#This Row],[CUIT]],Lista_CUIT[#All],2,0)),"CUIT NO CARGADO")</f>
        <v>-</v>
      </c>
      <c r="H2394" s="64"/>
      <c r="I2394" s="350">
        <f>ventas_b_mes684[[#This Row],[IMPORTE NETO]]*0.21</f>
        <v>0</v>
      </c>
      <c r="J2394" s="351"/>
      <c r="K2394" s="351"/>
      <c r="L2394" s="351">
        <f>SUM(ventas_b_mes684[[#This Row],[IMPORTE NETO]:[EXENTO]])</f>
        <v>0</v>
      </c>
      <c r="M2394" s="352"/>
    </row>
    <row r="2395" spans="2:13" x14ac:dyDescent="0.25">
      <c r="B2395" s="40"/>
      <c r="C2395" s="41"/>
      <c r="D2395" s="357"/>
      <c r="E2395" s="358"/>
      <c r="F2395" s="359"/>
      <c r="G2395" s="360" t="str">
        <f>IFERROR(IF(ventas_b_mes684[[#This Row],[CUIT]]="","-",VLOOKUP(ventas_b_mes684[[#This Row],[CUIT]],Lista_CUIT[#All],2,0)),"CUIT NO CARGADO")</f>
        <v>-</v>
      </c>
      <c r="H2395" s="64"/>
      <c r="I2395" s="350">
        <f>ventas_b_mes684[[#This Row],[IMPORTE NETO]]*0.21</f>
        <v>0</v>
      </c>
      <c r="J2395" s="351"/>
      <c r="K2395" s="351"/>
      <c r="L2395" s="351">
        <f>SUM(ventas_b_mes684[[#This Row],[IMPORTE NETO]:[EXENTO]])</f>
        <v>0</v>
      </c>
      <c r="M2395" s="352"/>
    </row>
    <row r="2396" spans="2:13" x14ac:dyDescent="0.25">
      <c r="B2396" s="40"/>
      <c r="C2396" s="41"/>
      <c r="D2396" s="357"/>
      <c r="E2396" s="358"/>
      <c r="F2396" s="359"/>
      <c r="G2396" s="360" t="str">
        <f>IFERROR(IF(ventas_b_mes684[[#This Row],[CUIT]]="","-",VLOOKUP(ventas_b_mes684[[#This Row],[CUIT]],Lista_CUIT[#All],2,0)),"CUIT NO CARGADO")</f>
        <v>-</v>
      </c>
      <c r="H2396" s="64"/>
      <c r="I2396" s="350">
        <f>ventas_b_mes684[[#This Row],[IMPORTE NETO]]*0.21</f>
        <v>0</v>
      </c>
      <c r="J2396" s="351"/>
      <c r="K2396" s="351"/>
      <c r="L2396" s="351">
        <f>SUM(ventas_b_mes684[[#This Row],[IMPORTE NETO]:[EXENTO]])</f>
        <v>0</v>
      </c>
      <c r="M2396" s="352"/>
    </row>
    <row r="2397" spans="2:13" x14ac:dyDescent="0.25">
      <c r="B2397" s="40"/>
      <c r="C2397" s="41"/>
      <c r="D2397" s="357"/>
      <c r="E2397" s="358"/>
      <c r="F2397" s="359"/>
      <c r="G2397" s="360" t="str">
        <f>IFERROR(IF(ventas_b_mes684[[#This Row],[CUIT]]="","-",VLOOKUP(ventas_b_mes684[[#This Row],[CUIT]],Lista_CUIT[#All],2,0)),"CUIT NO CARGADO")</f>
        <v>-</v>
      </c>
      <c r="H2397" s="64"/>
      <c r="I2397" s="350">
        <f>ventas_b_mes684[[#This Row],[IMPORTE NETO]]*0.21</f>
        <v>0</v>
      </c>
      <c r="J2397" s="351"/>
      <c r="K2397" s="351"/>
      <c r="L2397" s="351">
        <f>SUM(ventas_b_mes684[[#This Row],[IMPORTE NETO]:[EXENTO]])</f>
        <v>0</v>
      </c>
      <c r="M2397" s="352"/>
    </row>
    <row r="2398" spans="2:13" x14ac:dyDescent="0.25">
      <c r="B2398" s="40"/>
      <c r="C2398" s="41"/>
      <c r="D2398" s="357"/>
      <c r="E2398" s="358"/>
      <c r="F2398" s="359"/>
      <c r="G2398" s="360" t="str">
        <f>IFERROR(IF(ventas_b_mes684[[#This Row],[CUIT]]="","-",VLOOKUP(ventas_b_mes684[[#This Row],[CUIT]],Lista_CUIT[#All],2,0)),"CUIT NO CARGADO")</f>
        <v>-</v>
      </c>
      <c r="H2398" s="64"/>
      <c r="I2398" s="350">
        <f>ventas_b_mes684[[#This Row],[IMPORTE NETO]]*0.21</f>
        <v>0</v>
      </c>
      <c r="J2398" s="351"/>
      <c r="K2398" s="351"/>
      <c r="L2398" s="351">
        <f>SUM(ventas_b_mes684[[#This Row],[IMPORTE NETO]:[EXENTO]])</f>
        <v>0</v>
      </c>
      <c r="M2398" s="352"/>
    </row>
    <row r="2399" spans="2:13" x14ac:dyDescent="0.25">
      <c r="B2399" s="40"/>
      <c r="C2399" s="41"/>
      <c r="D2399" s="357"/>
      <c r="E2399" s="358"/>
      <c r="F2399" s="359"/>
      <c r="G2399" s="360" t="str">
        <f>IFERROR(IF(ventas_b_mes684[[#This Row],[CUIT]]="","-",VLOOKUP(ventas_b_mes684[[#This Row],[CUIT]],Lista_CUIT[#All],2,0)),"CUIT NO CARGADO")</f>
        <v>-</v>
      </c>
      <c r="H2399" s="64"/>
      <c r="I2399" s="350">
        <f>ventas_b_mes684[[#This Row],[IMPORTE NETO]]*0.21</f>
        <v>0</v>
      </c>
      <c r="J2399" s="351"/>
      <c r="K2399" s="351"/>
      <c r="L2399" s="351">
        <f>SUM(ventas_b_mes684[[#This Row],[IMPORTE NETO]:[EXENTO]])</f>
        <v>0</v>
      </c>
      <c r="M2399" s="352"/>
    </row>
    <row r="2400" spans="2:13" x14ac:dyDescent="0.25">
      <c r="B2400" s="40"/>
      <c r="C2400" s="41"/>
      <c r="D2400" s="357"/>
      <c r="E2400" s="358"/>
      <c r="F2400" s="359"/>
      <c r="G2400" s="360" t="str">
        <f>IFERROR(IF(ventas_b_mes684[[#This Row],[CUIT]]="","-",VLOOKUP(ventas_b_mes684[[#This Row],[CUIT]],Lista_CUIT[#All],2,0)),"CUIT NO CARGADO")</f>
        <v>-</v>
      </c>
      <c r="H2400" s="64"/>
      <c r="I2400" s="350">
        <f>ventas_b_mes684[[#This Row],[IMPORTE NETO]]*0.21</f>
        <v>0</v>
      </c>
      <c r="J2400" s="351"/>
      <c r="K2400" s="351"/>
      <c r="L2400" s="351">
        <f>SUM(ventas_b_mes684[[#This Row],[IMPORTE NETO]:[EXENTO]])</f>
        <v>0</v>
      </c>
      <c r="M2400" s="352"/>
    </row>
    <row r="2401" spans="2:13" x14ac:dyDescent="0.25">
      <c r="B2401" s="40"/>
      <c r="C2401" s="41"/>
      <c r="D2401" s="357"/>
      <c r="E2401" s="358"/>
      <c r="F2401" s="359"/>
      <c r="G2401" s="360" t="str">
        <f>IFERROR(IF(ventas_b_mes684[[#This Row],[CUIT]]="","-",VLOOKUP(ventas_b_mes684[[#This Row],[CUIT]],Lista_CUIT[#All],2,0)),"CUIT NO CARGADO")</f>
        <v>-</v>
      </c>
      <c r="H2401" s="64"/>
      <c r="I2401" s="350">
        <f>ventas_b_mes684[[#This Row],[IMPORTE NETO]]*0.21</f>
        <v>0</v>
      </c>
      <c r="J2401" s="351"/>
      <c r="K2401" s="351"/>
      <c r="L2401" s="351">
        <f>SUM(ventas_b_mes684[[#This Row],[IMPORTE NETO]:[EXENTO]])</f>
        <v>0</v>
      </c>
      <c r="M2401" s="352"/>
    </row>
    <row r="2402" spans="2:13" x14ac:dyDescent="0.25">
      <c r="B2402" s="40"/>
      <c r="C2402" s="41"/>
      <c r="D2402" s="357"/>
      <c r="E2402" s="358"/>
      <c r="F2402" s="359"/>
      <c r="G2402" s="360" t="str">
        <f>IFERROR(IF(ventas_b_mes684[[#This Row],[CUIT]]="","-",VLOOKUP(ventas_b_mes684[[#This Row],[CUIT]],Lista_CUIT[#All],2,0)),"CUIT NO CARGADO")</f>
        <v>-</v>
      </c>
      <c r="H2402" s="64"/>
      <c r="I2402" s="350">
        <f>ventas_b_mes684[[#This Row],[IMPORTE NETO]]*0.21</f>
        <v>0</v>
      </c>
      <c r="J2402" s="351"/>
      <c r="K2402" s="351"/>
      <c r="L2402" s="351">
        <f>SUM(ventas_b_mes684[[#This Row],[IMPORTE NETO]:[EXENTO]])</f>
        <v>0</v>
      </c>
      <c r="M2402" s="352"/>
    </row>
    <row r="2403" spans="2:13" x14ac:dyDescent="0.25">
      <c r="B2403" s="40"/>
      <c r="C2403" s="41"/>
      <c r="D2403" s="357"/>
      <c r="E2403" s="358"/>
      <c r="F2403" s="359"/>
      <c r="G2403" s="360" t="str">
        <f>IFERROR(IF(ventas_b_mes684[[#This Row],[CUIT]]="","-",VLOOKUP(ventas_b_mes684[[#This Row],[CUIT]],Lista_CUIT[#All],2,0)),"CUIT NO CARGADO")</f>
        <v>-</v>
      </c>
      <c r="H2403" s="64"/>
      <c r="I2403" s="350">
        <f>ventas_b_mes684[[#This Row],[IMPORTE NETO]]*0.21</f>
        <v>0</v>
      </c>
      <c r="J2403" s="351"/>
      <c r="K2403" s="351"/>
      <c r="L2403" s="351">
        <f>SUM(ventas_b_mes684[[#This Row],[IMPORTE NETO]:[EXENTO]])</f>
        <v>0</v>
      </c>
      <c r="M2403" s="352"/>
    </row>
    <row r="2404" spans="2:13" x14ac:dyDescent="0.25">
      <c r="B2404" s="40"/>
      <c r="C2404" s="41"/>
      <c r="D2404" s="357"/>
      <c r="E2404" s="358"/>
      <c r="F2404" s="359"/>
      <c r="G2404" s="360" t="str">
        <f>IFERROR(IF(ventas_b_mes684[[#This Row],[CUIT]]="","-",VLOOKUP(ventas_b_mes684[[#This Row],[CUIT]],Lista_CUIT[#All],2,0)),"CUIT NO CARGADO")</f>
        <v>-</v>
      </c>
      <c r="H2404" s="64"/>
      <c r="I2404" s="350">
        <f>ventas_b_mes684[[#This Row],[IMPORTE NETO]]*0.21</f>
        <v>0</v>
      </c>
      <c r="J2404" s="351"/>
      <c r="K2404" s="351"/>
      <c r="L2404" s="351">
        <f>SUM(ventas_b_mes684[[#This Row],[IMPORTE NETO]:[EXENTO]])</f>
        <v>0</v>
      </c>
      <c r="M2404" s="352"/>
    </row>
    <row r="2405" spans="2:13" x14ac:dyDescent="0.25">
      <c r="B2405" s="40"/>
      <c r="C2405" s="41"/>
      <c r="D2405" s="357"/>
      <c r="E2405" s="358"/>
      <c r="F2405" s="359"/>
      <c r="G2405" s="360" t="str">
        <f>IFERROR(IF(ventas_b_mes684[[#This Row],[CUIT]]="","-",VLOOKUP(ventas_b_mes684[[#This Row],[CUIT]],Lista_CUIT[#All],2,0)),"CUIT NO CARGADO")</f>
        <v>-</v>
      </c>
      <c r="H2405" s="64"/>
      <c r="I2405" s="350">
        <f>ventas_b_mes684[[#This Row],[IMPORTE NETO]]*0.21</f>
        <v>0</v>
      </c>
      <c r="J2405" s="351"/>
      <c r="K2405" s="351"/>
      <c r="L2405" s="351">
        <f>SUM(ventas_b_mes684[[#This Row],[IMPORTE NETO]:[EXENTO]])</f>
        <v>0</v>
      </c>
      <c r="M2405" s="352"/>
    </row>
    <row r="2406" spans="2:13" x14ac:dyDescent="0.25">
      <c r="B2406" s="40"/>
      <c r="C2406" s="41"/>
      <c r="D2406" s="357"/>
      <c r="E2406" s="358"/>
      <c r="F2406" s="359"/>
      <c r="G2406" s="360" t="str">
        <f>IFERROR(IF(ventas_b_mes684[[#This Row],[CUIT]]="","-",VLOOKUP(ventas_b_mes684[[#This Row],[CUIT]],Lista_CUIT[#All],2,0)),"CUIT NO CARGADO")</f>
        <v>-</v>
      </c>
      <c r="H2406" s="64"/>
      <c r="I2406" s="350">
        <f>ventas_b_mes684[[#This Row],[IMPORTE NETO]]*0.21</f>
        <v>0</v>
      </c>
      <c r="J2406" s="351"/>
      <c r="K2406" s="351"/>
      <c r="L2406" s="351">
        <f>SUM(ventas_b_mes684[[#This Row],[IMPORTE NETO]:[EXENTO]])</f>
        <v>0</v>
      </c>
      <c r="M2406" s="352"/>
    </row>
    <row r="2407" spans="2:13" x14ac:dyDescent="0.25">
      <c r="B2407" s="40"/>
      <c r="C2407" s="41"/>
      <c r="D2407" s="357"/>
      <c r="E2407" s="358"/>
      <c r="F2407" s="359"/>
      <c r="G2407" s="360" t="str">
        <f>IFERROR(IF(ventas_b_mes684[[#This Row],[CUIT]]="","-",VLOOKUP(ventas_b_mes684[[#This Row],[CUIT]],Lista_CUIT[#All],2,0)),"CUIT NO CARGADO")</f>
        <v>-</v>
      </c>
      <c r="H2407" s="64"/>
      <c r="I2407" s="350">
        <f>ventas_b_mes684[[#This Row],[IMPORTE NETO]]*0.21</f>
        <v>0</v>
      </c>
      <c r="J2407" s="351"/>
      <c r="K2407" s="351"/>
      <c r="L2407" s="351">
        <f>SUM(ventas_b_mes684[[#This Row],[IMPORTE NETO]:[EXENTO]])</f>
        <v>0</v>
      </c>
      <c r="M2407" s="352"/>
    </row>
    <row r="2408" spans="2:13" x14ac:dyDescent="0.25">
      <c r="B2408" s="40"/>
      <c r="C2408" s="41"/>
      <c r="D2408" s="357"/>
      <c r="E2408" s="358"/>
      <c r="F2408" s="359"/>
      <c r="G2408" s="360" t="str">
        <f>IFERROR(IF(ventas_b_mes684[[#This Row],[CUIT]]="","-",VLOOKUP(ventas_b_mes684[[#This Row],[CUIT]],Lista_CUIT[#All],2,0)),"CUIT NO CARGADO")</f>
        <v>-</v>
      </c>
      <c r="H2408" s="64"/>
      <c r="I2408" s="350">
        <f>ventas_b_mes684[[#This Row],[IMPORTE NETO]]*0.21</f>
        <v>0</v>
      </c>
      <c r="J2408" s="351"/>
      <c r="K2408" s="351"/>
      <c r="L2408" s="351">
        <f>SUM(ventas_b_mes684[[#This Row],[IMPORTE NETO]:[EXENTO]])</f>
        <v>0</v>
      </c>
      <c r="M2408" s="352"/>
    </row>
    <row r="2409" spans="2:13" x14ac:dyDescent="0.25">
      <c r="B2409" s="40"/>
      <c r="C2409" s="41"/>
      <c r="D2409" s="357"/>
      <c r="E2409" s="358"/>
      <c r="F2409" s="359"/>
      <c r="G2409" s="360" t="str">
        <f>IFERROR(IF(ventas_b_mes684[[#This Row],[CUIT]]="","-",VLOOKUP(ventas_b_mes684[[#This Row],[CUIT]],Lista_CUIT[#All],2,0)),"CUIT NO CARGADO")</f>
        <v>-</v>
      </c>
      <c r="H2409" s="64"/>
      <c r="I2409" s="350">
        <f>ventas_b_mes684[[#This Row],[IMPORTE NETO]]*0.21</f>
        <v>0</v>
      </c>
      <c r="J2409" s="351"/>
      <c r="K2409" s="351"/>
      <c r="L2409" s="351">
        <f>SUM(ventas_b_mes684[[#This Row],[IMPORTE NETO]:[EXENTO]])</f>
        <v>0</v>
      </c>
      <c r="M2409" s="352"/>
    </row>
    <row r="2410" spans="2:13" x14ac:dyDescent="0.25">
      <c r="B2410" s="40"/>
      <c r="C2410" s="41"/>
      <c r="D2410" s="357"/>
      <c r="E2410" s="358"/>
      <c r="F2410" s="359"/>
      <c r="G2410" s="360" t="str">
        <f>IFERROR(IF(ventas_b_mes684[[#This Row],[CUIT]]="","-",VLOOKUP(ventas_b_mes684[[#This Row],[CUIT]],Lista_CUIT[#All],2,0)),"CUIT NO CARGADO")</f>
        <v>-</v>
      </c>
      <c r="H2410" s="64"/>
      <c r="I2410" s="350">
        <f>ventas_b_mes684[[#This Row],[IMPORTE NETO]]*0.21</f>
        <v>0</v>
      </c>
      <c r="J2410" s="351"/>
      <c r="K2410" s="351"/>
      <c r="L2410" s="351">
        <f>SUM(ventas_b_mes684[[#This Row],[IMPORTE NETO]:[EXENTO]])</f>
        <v>0</v>
      </c>
      <c r="M2410" s="352"/>
    </row>
    <row r="2411" spans="2:13" x14ac:dyDescent="0.25">
      <c r="B2411" s="40"/>
      <c r="C2411" s="41"/>
      <c r="D2411" s="357"/>
      <c r="E2411" s="358"/>
      <c r="F2411" s="359"/>
      <c r="G2411" s="360" t="str">
        <f>IFERROR(IF(ventas_b_mes684[[#This Row],[CUIT]]="","-",VLOOKUP(ventas_b_mes684[[#This Row],[CUIT]],Lista_CUIT[#All],2,0)),"CUIT NO CARGADO")</f>
        <v>-</v>
      </c>
      <c r="H2411" s="64"/>
      <c r="I2411" s="350">
        <f>ventas_b_mes684[[#This Row],[IMPORTE NETO]]*0.21</f>
        <v>0</v>
      </c>
      <c r="J2411" s="351"/>
      <c r="K2411" s="351"/>
      <c r="L2411" s="351">
        <f>SUM(ventas_b_mes684[[#This Row],[IMPORTE NETO]:[EXENTO]])</f>
        <v>0</v>
      </c>
      <c r="M2411" s="352"/>
    </row>
    <row r="2412" spans="2:13" x14ac:dyDescent="0.25">
      <c r="B2412" s="40"/>
      <c r="C2412" s="41"/>
      <c r="D2412" s="357"/>
      <c r="E2412" s="358"/>
      <c r="F2412" s="359"/>
      <c r="G2412" s="360" t="str">
        <f>IFERROR(IF(ventas_b_mes684[[#This Row],[CUIT]]="","-",VLOOKUP(ventas_b_mes684[[#This Row],[CUIT]],Lista_CUIT[#All],2,0)),"CUIT NO CARGADO")</f>
        <v>-</v>
      </c>
      <c r="H2412" s="64"/>
      <c r="I2412" s="350">
        <f>ventas_b_mes684[[#This Row],[IMPORTE NETO]]*0.21</f>
        <v>0</v>
      </c>
      <c r="J2412" s="351"/>
      <c r="K2412" s="351"/>
      <c r="L2412" s="351">
        <f>SUM(ventas_b_mes684[[#This Row],[IMPORTE NETO]:[EXENTO]])</f>
        <v>0</v>
      </c>
      <c r="M2412" s="352"/>
    </row>
    <row r="2413" spans="2:13" x14ac:dyDescent="0.25">
      <c r="B2413" s="40"/>
      <c r="C2413" s="41"/>
      <c r="D2413" s="357"/>
      <c r="E2413" s="358"/>
      <c r="F2413" s="359"/>
      <c r="G2413" s="360" t="str">
        <f>IFERROR(IF(ventas_b_mes684[[#This Row],[CUIT]]="","-",VLOOKUP(ventas_b_mes684[[#This Row],[CUIT]],Lista_CUIT[#All],2,0)),"CUIT NO CARGADO")</f>
        <v>-</v>
      </c>
      <c r="H2413" s="64"/>
      <c r="I2413" s="350">
        <f>ventas_b_mes684[[#This Row],[IMPORTE NETO]]*0.21</f>
        <v>0</v>
      </c>
      <c r="J2413" s="351"/>
      <c r="K2413" s="351"/>
      <c r="L2413" s="351">
        <f>SUM(ventas_b_mes684[[#This Row],[IMPORTE NETO]:[EXENTO]])</f>
        <v>0</v>
      </c>
      <c r="M2413" s="352"/>
    </row>
    <row r="2414" spans="2:13" x14ac:dyDescent="0.25">
      <c r="B2414" s="40"/>
      <c r="C2414" s="41"/>
      <c r="D2414" s="357"/>
      <c r="E2414" s="358"/>
      <c r="F2414" s="359"/>
      <c r="G2414" s="360" t="str">
        <f>IFERROR(IF(ventas_b_mes684[[#This Row],[CUIT]]="","-",VLOOKUP(ventas_b_mes684[[#This Row],[CUIT]],Lista_CUIT[#All],2,0)),"CUIT NO CARGADO")</f>
        <v>-</v>
      </c>
      <c r="H2414" s="64"/>
      <c r="I2414" s="350">
        <f>ventas_b_mes684[[#This Row],[IMPORTE NETO]]*0.21</f>
        <v>0</v>
      </c>
      <c r="J2414" s="351"/>
      <c r="K2414" s="351"/>
      <c r="L2414" s="351">
        <f>SUM(ventas_b_mes684[[#This Row],[IMPORTE NETO]:[EXENTO]])</f>
        <v>0</v>
      </c>
      <c r="M2414" s="352"/>
    </row>
    <row r="2415" spans="2:13" x14ac:dyDescent="0.25">
      <c r="B2415" s="40"/>
      <c r="C2415" s="41"/>
      <c r="D2415" s="357"/>
      <c r="E2415" s="358"/>
      <c r="F2415" s="359"/>
      <c r="G2415" s="360" t="str">
        <f>IFERROR(IF(ventas_b_mes684[[#This Row],[CUIT]]="","-",VLOOKUP(ventas_b_mes684[[#This Row],[CUIT]],Lista_CUIT[#All],2,0)),"CUIT NO CARGADO")</f>
        <v>-</v>
      </c>
      <c r="H2415" s="64"/>
      <c r="I2415" s="350">
        <f>ventas_b_mes684[[#This Row],[IMPORTE NETO]]*0.21</f>
        <v>0</v>
      </c>
      <c r="J2415" s="351"/>
      <c r="K2415" s="351"/>
      <c r="L2415" s="351">
        <f>SUM(ventas_b_mes684[[#This Row],[IMPORTE NETO]:[EXENTO]])</f>
        <v>0</v>
      </c>
      <c r="M2415" s="352"/>
    </row>
    <row r="2416" spans="2:13" x14ac:dyDescent="0.25">
      <c r="B2416" s="40"/>
      <c r="C2416" s="41"/>
      <c r="D2416" s="357"/>
      <c r="E2416" s="358"/>
      <c r="F2416" s="359"/>
      <c r="G2416" s="360" t="str">
        <f>IFERROR(IF(ventas_b_mes684[[#This Row],[CUIT]]="","-",VLOOKUP(ventas_b_mes684[[#This Row],[CUIT]],Lista_CUIT[#All],2,0)),"CUIT NO CARGADO")</f>
        <v>-</v>
      </c>
      <c r="H2416" s="64"/>
      <c r="I2416" s="350">
        <f>ventas_b_mes684[[#This Row],[IMPORTE NETO]]*0.21</f>
        <v>0</v>
      </c>
      <c r="J2416" s="351"/>
      <c r="K2416" s="351"/>
      <c r="L2416" s="351">
        <f>SUM(ventas_b_mes684[[#This Row],[IMPORTE NETO]:[EXENTO]])</f>
        <v>0</v>
      </c>
      <c r="M2416" s="352"/>
    </row>
    <row r="2417" spans="2:13" x14ac:dyDescent="0.25">
      <c r="B2417" s="40"/>
      <c r="C2417" s="41"/>
      <c r="D2417" s="357"/>
      <c r="E2417" s="358"/>
      <c r="F2417" s="359"/>
      <c r="G2417" s="360" t="str">
        <f>IFERROR(IF(ventas_b_mes684[[#This Row],[CUIT]]="","-",VLOOKUP(ventas_b_mes684[[#This Row],[CUIT]],Lista_CUIT[#All],2,0)),"CUIT NO CARGADO")</f>
        <v>-</v>
      </c>
      <c r="H2417" s="64"/>
      <c r="I2417" s="350">
        <f>ventas_b_mes684[[#This Row],[IMPORTE NETO]]*0.21</f>
        <v>0</v>
      </c>
      <c r="J2417" s="351"/>
      <c r="K2417" s="351"/>
      <c r="L2417" s="351">
        <f>SUM(ventas_b_mes684[[#This Row],[IMPORTE NETO]:[EXENTO]])</f>
        <v>0</v>
      </c>
      <c r="M2417" s="352"/>
    </row>
    <row r="2418" spans="2:13" x14ac:dyDescent="0.25">
      <c r="B2418" s="40"/>
      <c r="C2418" s="41"/>
      <c r="D2418" s="357"/>
      <c r="E2418" s="358"/>
      <c r="F2418" s="359"/>
      <c r="G2418" s="360" t="str">
        <f>IFERROR(IF(ventas_b_mes684[[#This Row],[CUIT]]="","-",VLOOKUP(ventas_b_mes684[[#This Row],[CUIT]],Lista_CUIT[#All],2,0)),"CUIT NO CARGADO")</f>
        <v>-</v>
      </c>
      <c r="H2418" s="64"/>
      <c r="I2418" s="350">
        <f>ventas_b_mes684[[#This Row],[IMPORTE NETO]]*0.21</f>
        <v>0</v>
      </c>
      <c r="J2418" s="351"/>
      <c r="K2418" s="351"/>
      <c r="L2418" s="351">
        <f>SUM(ventas_b_mes684[[#This Row],[IMPORTE NETO]:[EXENTO]])</f>
        <v>0</v>
      </c>
      <c r="M2418" s="352"/>
    </row>
    <row r="2419" spans="2:13" x14ac:dyDescent="0.25">
      <c r="B2419" s="40"/>
      <c r="C2419" s="41"/>
      <c r="D2419" s="357"/>
      <c r="E2419" s="358"/>
      <c r="F2419" s="359"/>
      <c r="G2419" s="360" t="str">
        <f>IFERROR(IF(ventas_b_mes684[[#This Row],[CUIT]]="","-",VLOOKUP(ventas_b_mes684[[#This Row],[CUIT]],Lista_CUIT[#All],2,0)),"CUIT NO CARGADO")</f>
        <v>-</v>
      </c>
      <c r="H2419" s="64"/>
      <c r="I2419" s="350">
        <f>ventas_b_mes684[[#This Row],[IMPORTE NETO]]*0.21</f>
        <v>0</v>
      </c>
      <c r="J2419" s="351"/>
      <c r="K2419" s="351"/>
      <c r="L2419" s="351">
        <f>SUM(ventas_b_mes684[[#This Row],[IMPORTE NETO]:[EXENTO]])</f>
        <v>0</v>
      </c>
      <c r="M2419" s="352"/>
    </row>
    <row r="2420" spans="2:13" x14ac:dyDescent="0.25">
      <c r="B2420" s="40"/>
      <c r="C2420" s="41"/>
      <c r="D2420" s="357"/>
      <c r="E2420" s="358"/>
      <c r="F2420" s="359"/>
      <c r="G2420" s="360" t="str">
        <f>IFERROR(IF(ventas_b_mes684[[#This Row],[CUIT]]="","-",VLOOKUP(ventas_b_mes684[[#This Row],[CUIT]],Lista_CUIT[#All],2,0)),"CUIT NO CARGADO")</f>
        <v>-</v>
      </c>
      <c r="H2420" s="64"/>
      <c r="I2420" s="350">
        <f>ventas_b_mes684[[#This Row],[IMPORTE NETO]]*0.21</f>
        <v>0</v>
      </c>
      <c r="J2420" s="351"/>
      <c r="K2420" s="351"/>
      <c r="L2420" s="351">
        <f>SUM(ventas_b_mes684[[#This Row],[IMPORTE NETO]:[EXENTO]])</f>
        <v>0</v>
      </c>
      <c r="M2420" s="352"/>
    </row>
    <row r="2421" spans="2:13" x14ac:dyDescent="0.25">
      <c r="B2421" s="40"/>
      <c r="C2421" s="41"/>
      <c r="D2421" s="357"/>
      <c r="E2421" s="358"/>
      <c r="F2421" s="359"/>
      <c r="G2421" s="360" t="str">
        <f>IFERROR(IF(ventas_b_mes684[[#This Row],[CUIT]]="","-",VLOOKUP(ventas_b_mes684[[#This Row],[CUIT]],Lista_CUIT[#All],2,0)),"CUIT NO CARGADO")</f>
        <v>-</v>
      </c>
      <c r="H2421" s="64"/>
      <c r="I2421" s="350">
        <f>ventas_b_mes684[[#This Row],[IMPORTE NETO]]*0.21</f>
        <v>0</v>
      </c>
      <c r="J2421" s="351"/>
      <c r="K2421" s="351"/>
      <c r="L2421" s="351">
        <f>SUM(ventas_b_mes684[[#This Row],[IMPORTE NETO]:[EXENTO]])</f>
        <v>0</v>
      </c>
      <c r="M2421" s="352"/>
    </row>
    <row r="2422" spans="2:13" x14ac:dyDescent="0.25">
      <c r="B2422" s="40"/>
      <c r="C2422" s="41"/>
      <c r="D2422" s="357"/>
      <c r="E2422" s="358"/>
      <c r="F2422" s="359"/>
      <c r="G2422" s="360" t="str">
        <f>IFERROR(IF(ventas_b_mes684[[#This Row],[CUIT]]="","-",VLOOKUP(ventas_b_mes684[[#This Row],[CUIT]],Lista_CUIT[#All],2,0)),"CUIT NO CARGADO")</f>
        <v>-</v>
      </c>
      <c r="H2422" s="64"/>
      <c r="I2422" s="350">
        <f>ventas_b_mes684[[#This Row],[IMPORTE NETO]]*0.21</f>
        <v>0</v>
      </c>
      <c r="J2422" s="351"/>
      <c r="K2422" s="351"/>
      <c r="L2422" s="351">
        <f>SUM(ventas_b_mes684[[#This Row],[IMPORTE NETO]:[EXENTO]])</f>
        <v>0</v>
      </c>
      <c r="M2422" s="352"/>
    </row>
    <row r="2423" spans="2:13" x14ac:dyDescent="0.25">
      <c r="B2423" s="40"/>
      <c r="C2423" s="41"/>
      <c r="D2423" s="357"/>
      <c r="E2423" s="358"/>
      <c r="F2423" s="359"/>
      <c r="G2423" s="360" t="str">
        <f>IFERROR(IF(ventas_b_mes684[[#This Row],[CUIT]]="","-",VLOOKUP(ventas_b_mes684[[#This Row],[CUIT]],Lista_CUIT[#All],2,0)),"CUIT NO CARGADO")</f>
        <v>-</v>
      </c>
      <c r="H2423" s="64"/>
      <c r="I2423" s="350">
        <f>ventas_b_mes684[[#This Row],[IMPORTE NETO]]*0.21</f>
        <v>0</v>
      </c>
      <c r="J2423" s="351"/>
      <c r="K2423" s="351"/>
      <c r="L2423" s="351">
        <f>SUM(ventas_b_mes684[[#This Row],[IMPORTE NETO]:[EXENTO]])</f>
        <v>0</v>
      </c>
      <c r="M2423" s="352"/>
    </row>
    <row r="2424" spans="2:13" x14ac:dyDescent="0.25">
      <c r="B2424" s="40"/>
      <c r="C2424" s="41"/>
      <c r="D2424" s="357"/>
      <c r="E2424" s="358"/>
      <c r="F2424" s="359"/>
      <c r="G2424" s="360" t="str">
        <f>IFERROR(IF(ventas_b_mes684[[#This Row],[CUIT]]="","-",VLOOKUP(ventas_b_mes684[[#This Row],[CUIT]],Lista_CUIT[#All],2,0)),"CUIT NO CARGADO")</f>
        <v>-</v>
      </c>
      <c r="H2424" s="64"/>
      <c r="I2424" s="350">
        <f>ventas_b_mes684[[#This Row],[IMPORTE NETO]]*0.21</f>
        <v>0</v>
      </c>
      <c r="J2424" s="351"/>
      <c r="K2424" s="351"/>
      <c r="L2424" s="351">
        <f>SUM(ventas_b_mes684[[#This Row],[IMPORTE NETO]:[EXENTO]])</f>
        <v>0</v>
      </c>
      <c r="M2424" s="352"/>
    </row>
    <row r="2425" spans="2:13" x14ac:dyDescent="0.25">
      <c r="B2425" s="40"/>
      <c r="C2425" s="41"/>
      <c r="D2425" s="357"/>
      <c r="E2425" s="358"/>
      <c r="F2425" s="359"/>
      <c r="G2425" s="360" t="str">
        <f>IFERROR(IF(ventas_b_mes684[[#This Row],[CUIT]]="","-",VLOOKUP(ventas_b_mes684[[#This Row],[CUIT]],Lista_CUIT[#All],2,0)),"CUIT NO CARGADO")</f>
        <v>-</v>
      </c>
      <c r="H2425" s="64"/>
      <c r="I2425" s="350">
        <f>ventas_b_mes684[[#This Row],[IMPORTE NETO]]*0.21</f>
        <v>0</v>
      </c>
      <c r="J2425" s="351"/>
      <c r="K2425" s="351"/>
      <c r="L2425" s="351">
        <f>SUM(ventas_b_mes684[[#This Row],[IMPORTE NETO]:[EXENTO]])</f>
        <v>0</v>
      </c>
      <c r="M2425" s="352"/>
    </row>
    <row r="2426" spans="2:13" x14ac:dyDescent="0.25">
      <c r="B2426" s="40"/>
      <c r="C2426" s="41"/>
      <c r="D2426" s="357"/>
      <c r="E2426" s="358"/>
      <c r="F2426" s="359"/>
      <c r="G2426" s="360" t="str">
        <f>IFERROR(IF(ventas_b_mes684[[#This Row],[CUIT]]="","-",VLOOKUP(ventas_b_mes684[[#This Row],[CUIT]],Lista_CUIT[#All],2,0)),"CUIT NO CARGADO")</f>
        <v>-</v>
      </c>
      <c r="H2426" s="64"/>
      <c r="I2426" s="350">
        <f>ventas_b_mes684[[#This Row],[IMPORTE NETO]]*0.21</f>
        <v>0</v>
      </c>
      <c r="J2426" s="351"/>
      <c r="K2426" s="351"/>
      <c r="L2426" s="351">
        <f>SUM(ventas_b_mes684[[#This Row],[IMPORTE NETO]:[EXENTO]])</f>
        <v>0</v>
      </c>
      <c r="M2426" s="352"/>
    </row>
    <row r="2427" spans="2:13" x14ac:dyDescent="0.25">
      <c r="B2427" s="40"/>
      <c r="C2427" s="41"/>
      <c r="D2427" s="357"/>
      <c r="E2427" s="358"/>
      <c r="F2427" s="359"/>
      <c r="G2427" s="360" t="str">
        <f>IFERROR(IF(ventas_b_mes684[[#This Row],[CUIT]]="","-",VLOOKUP(ventas_b_mes684[[#This Row],[CUIT]],Lista_CUIT[#All],2,0)),"CUIT NO CARGADO")</f>
        <v>-</v>
      </c>
      <c r="H2427" s="64"/>
      <c r="I2427" s="350">
        <f>ventas_b_mes684[[#This Row],[IMPORTE NETO]]*0.21</f>
        <v>0</v>
      </c>
      <c r="J2427" s="351"/>
      <c r="K2427" s="351"/>
      <c r="L2427" s="351">
        <f>SUM(ventas_b_mes684[[#This Row],[IMPORTE NETO]:[EXENTO]])</f>
        <v>0</v>
      </c>
      <c r="M2427" s="352"/>
    </row>
    <row r="2428" spans="2:13" x14ac:dyDescent="0.25">
      <c r="B2428" s="40"/>
      <c r="C2428" s="41"/>
      <c r="D2428" s="357"/>
      <c r="E2428" s="358"/>
      <c r="F2428" s="359"/>
      <c r="G2428" s="360" t="str">
        <f>IFERROR(IF(ventas_b_mes684[[#This Row],[CUIT]]="","-",VLOOKUP(ventas_b_mes684[[#This Row],[CUIT]],Lista_CUIT[#All],2,0)),"CUIT NO CARGADO")</f>
        <v>-</v>
      </c>
      <c r="H2428" s="64"/>
      <c r="I2428" s="350">
        <f>ventas_b_mes684[[#This Row],[IMPORTE NETO]]*0.21</f>
        <v>0</v>
      </c>
      <c r="J2428" s="351"/>
      <c r="K2428" s="351"/>
      <c r="L2428" s="351">
        <f>SUM(ventas_b_mes684[[#This Row],[IMPORTE NETO]:[EXENTO]])</f>
        <v>0</v>
      </c>
      <c r="M2428" s="352"/>
    </row>
    <row r="2429" spans="2:13" x14ac:dyDescent="0.25">
      <c r="B2429" s="40"/>
      <c r="C2429" s="41"/>
      <c r="D2429" s="357"/>
      <c r="E2429" s="358"/>
      <c r="F2429" s="359"/>
      <c r="G2429" s="360" t="str">
        <f>IFERROR(IF(ventas_b_mes684[[#This Row],[CUIT]]="","-",VLOOKUP(ventas_b_mes684[[#This Row],[CUIT]],Lista_CUIT[#All],2,0)),"CUIT NO CARGADO")</f>
        <v>-</v>
      </c>
      <c r="H2429" s="64"/>
      <c r="I2429" s="350">
        <f>ventas_b_mes684[[#This Row],[IMPORTE NETO]]*0.21</f>
        <v>0</v>
      </c>
      <c r="J2429" s="351"/>
      <c r="K2429" s="351"/>
      <c r="L2429" s="351">
        <f>SUM(ventas_b_mes684[[#This Row],[IMPORTE NETO]:[EXENTO]])</f>
        <v>0</v>
      </c>
      <c r="M2429" s="352"/>
    </row>
    <row r="2430" spans="2:13" x14ac:dyDescent="0.25">
      <c r="B2430" s="40"/>
      <c r="C2430" s="41"/>
      <c r="D2430" s="357"/>
      <c r="E2430" s="358"/>
      <c r="F2430" s="359"/>
      <c r="G2430" s="360" t="str">
        <f>IFERROR(IF(ventas_b_mes684[[#This Row],[CUIT]]="","-",VLOOKUP(ventas_b_mes684[[#This Row],[CUIT]],Lista_CUIT[#All],2,0)),"CUIT NO CARGADO")</f>
        <v>-</v>
      </c>
      <c r="H2430" s="64"/>
      <c r="I2430" s="350">
        <f>ventas_b_mes684[[#This Row],[IMPORTE NETO]]*0.21</f>
        <v>0</v>
      </c>
      <c r="J2430" s="351"/>
      <c r="K2430" s="351"/>
      <c r="L2430" s="351">
        <f>SUM(ventas_b_mes684[[#This Row],[IMPORTE NETO]:[EXENTO]])</f>
        <v>0</v>
      </c>
      <c r="M2430" s="352"/>
    </row>
    <row r="2431" spans="2:13" x14ac:dyDescent="0.25">
      <c r="B2431" s="40"/>
      <c r="C2431" s="41"/>
      <c r="D2431" s="357"/>
      <c r="E2431" s="358"/>
      <c r="F2431" s="359"/>
      <c r="G2431" s="360" t="str">
        <f>IFERROR(IF(ventas_b_mes684[[#This Row],[CUIT]]="","-",VLOOKUP(ventas_b_mes684[[#This Row],[CUIT]],Lista_CUIT[#All],2,0)),"CUIT NO CARGADO")</f>
        <v>-</v>
      </c>
      <c r="H2431" s="64"/>
      <c r="I2431" s="350">
        <f>ventas_b_mes684[[#This Row],[IMPORTE NETO]]*0.21</f>
        <v>0</v>
      </c>
      <c r="J2431" s="351"/>
      <c r="K2431" s="351"/>
      <c r="L2431" s="351">
        <f>SUM(ventas_b_mes684[[#This Row],[IMPORTE NETO]:[EXENTO]])</f>
        <v>0</v>
      </c>
      <c r="M2431" s="352"/>
    </row>
    <row r="2432" spans="2:13" x14ac:dyDescent="0.25">
      <c r="B2432" s="40"/>
      <c r="C2432" s="41"/>
      <c r="D2432" s="357"/>
      <c r="E2432" s="358"/>
      <c r="F2432" s="359"/>
      <c r="G2432" s="360" t="str">
        <f>IFERROR(IF(ventas_b_mes684[[#This Row],[CUIT]]="","-",VLOOKUP(ventas_b_mes684[[#This Row],[CUIT]],Lista_CUIT[#All],2,0)),"CUIT NO CARGADO")</f>
        <v>-</v>
      </c>
      <c r="H2432" s="64"/>
      <c r="I2432" s="350">
        <f>ventas_b_mes684[[#This Row],[IMPORTE NETO]]*0.21</f>
        <v>0</v>
      </c>
      <c r="J2432" s="351"/>
      <c r="K2432" s="351"/>
      <c r="L2432" s="351">
        <f>SUM(ventas_b_mes684[[#This Row],[IMPORTE NETO]:[EXENTO]])</f>
        <v>0</v>
      </c>
      <c r="M2432" s="352"/>
    </row>
    <row r="2433" spans="2:13" x14ac:dyDescent="0.25">
      <c r="B2433" s="40"/>
      <c r="C2433" s="41"/>
      <c r="D2433" s="357"/>
      <c r="E2433" s="358"/>
      <c r="F2433" s="359"/>
      <c r="G2433" s="360" t="str">
        <f>IFERROR(IF(ventas_b_mes684[[#This Row],[CUIT]]="","-",VLOOKUP(ventas_b_mes684[[#This Row],[CUIT]],Lista_CUIT[#All],2,0)),"CUIT NO CARGADO")</f>
        <v>-</v>
      </c>
      <c r="H2433" s="64"/>
      <c r="I2433" s="350">
        <f>ventas_b_mes684[[#This Row],[IMPORTE NETO]]*0.21</f>
        <v>0</v>
      </c>
      <c r="J2433" s="351"/>
      <c r="K2433" s="351"/>
      <c r="L2433" s="351">
        <f>SUM(ventas_b_mes684[[#This Row],[IMPORTE NETO]:[EXENTO]])</f>
        <v>0</v>
      </c>
      <c r="M2433" s="352"/>
    </row>
    <row r="2434" spans="2:13" x14ac:dyDescent="0.25">
      <c r="B2434" s="40"/>
      <c r="C2434" s="41"/>
      <c r="D2434" s="357"/>
      <c r="E2434" s="358"/>
      <c r="F2434" s="359"/>
      <c r="G2434" s="360" t="str">
        <f>IFERROR(IF(ventas_b_mes684[[#This Row],[CUIT]]="","-",VLOOKUP(ventas_b_mes684[[#This Row],[CUIT]],Lista_CUIT[#All],2,0)),"CUIT NO CARGADO")</f>
        <v>-</v>
      </c>
      <c r="H2434" s="64"/>
      <c r="I2434" s="350">
        <f>ventas_b_mes684[[#This Row],[IMPORTE NETO]]*0.21</f>
        <v>0</v>
      </c>
      <c r="J2434" s="351"/>
      <c r="K2434" s="351"/>
      <c r="L2434" s="351">
        <f>SUM(ventas_b_mes684[[#This Row],[IMPORTE NETO]:[EXENTO]])</f>
        <v>0</v>
      </c>
      <c r="M2434" s="352"/>
    </row>
    <row r="2435" spans="2:13" x14ac:dyDescent="0.25">
      <c r="B2435" s="40"/>
      <c r="C2435" s="41"/>
      <c r="D2435" s="357"/>
      <c r="E2435" s="358"/>
      <c r="F2435" s="359"/>
      <c r="G2435" s="360" t="str">
        <f>IFERROR(IF(ventas_b_mes684[[#This Row],[CUIT]]="","-",VLOOKUP(ventas_b_mes684[[#This Row],[CUIT]],Lista_CUIT[#All],2,0)),"CUIT NO CARGADO")</f>
        <v>-</v>
      </c>
      <c r="H2435" s="64"/>
      <c r="I2435" s="350">
        <f>ventas_b_mes684[[#This Row],[IMPORTE NETO]]*0.21</f>
        <v>0</v>
      </c>
      <c r="J2435" s="351"/>
      <c r="K2435" s="351"/>
      <c r="L2435" s="351">
        <f>SUM(ventas_b_mes684[[#This Row],[IMPORTE NETO]:[EXENTO]])</f>
        <v>0</v>
      </c>
      <c r="M2435" s="352"/>
    </row>
    <row r="2436" spans="2:13" x14ac:dyDescent="0.25">
      <c r="B2436" s="40"/>
      <c r="C2436" s="41"/>
      <c r="D2436" s="357"/>
      <c r="E2436" s="358"/>
      <c r="F2436" s="359"/>
      <c r="G2436" s="360" t="str">
        <f>IFERROR(IF(ventas_b_mes684[[#This Row],[CUIT]]="","-",VLOOKUP(ventas_b_mes684[[#This Row],[CUIT]],Lista_CUIT[#All],2,0)),"CUIT NO CARGADO")</f>
        <v>-</v>
      </c>
      <c r="H2436" s="64"/>
      <c r="I2436" s="350">
        <f>ventas_b_mes684[[#This Row],[IMPORTE NETO]]*0.21</f>
        <v>0</v>
      </c>
      <c r="J2436" s="351"/>
      <c r="K2436" s="351"/>
      <c r="L2436" s="351">
        <f>SUM(ventas_b_mes684[[#This Row],[IMPORTE NETO]:[EXENTO]])</f>
        <v>0</v>
      </c>
      <c r="M2436" s="352"/>
    </row>
    <row r="2437" spans="2:13" x14ac:dyDescent="0.25">
      <c r="B2437" s="40"/>
      <c r="C2437" s="41"/>
      <c r="D2437" s="357"/>
      <c r="E2437" s="358"/>
      <c r="F2437" s="359"/>
      <c r="G2437" s="360" t="str">
        <f>IFERROR(IF(ventas_b_mes684[[#This Row],[CUIT]]="","-",VLOOKUP(ventas_b_mes684[[#This Row],[CUIT]],Lista_CUIT[#All],2,0)),"CUIT NO CARGADO")</f>
        <v>-</v>
      </c>
      <c r="H2437" s="64"/>
      <c r="I2437" s="350">
        <f>ventas_b_mes684[[#This Row],[IMPORTE NETO]]*0.21</f>
        <v>0</v>
      </c>
      <c r="J2437" s="351"/>
      <c r="K2437" s="351"/>
      <c r="L2437" s="351">
        <f>SUM(ventas_b_mes684[[#This Row],[IMPORTE NETO]:[EXENTO]])</f>
        <v>0</v>
      </c>
      <c r="M2437" s="352"/>
    </row>
    <row r="2438" spans="2:13" x14ac:dyDescent="0.25">
      <c r="B2438" s="40"/>
      <c r="C2438" s="41"/>
      <c r="D2438" s="357"/>
      <c r="E2438" s="358"/>
      <c r="F2438" s="359"/>
      <c r="G2438" s="360" t="str">
        <f>IFERROR(IF(ventas_b_mes684[[#This Row],[CUIT]]="","-",VLOOKUP(ventas_b_mes684[[#This Row],[CUIT]],Lista_CUIT[#All],2,0)),"CUIT NO CARGADO")</f>
        <v>-</v>
      </c>
      <c r="H2438" s="64"/>
      <c r="I2438" s="350">
        <f>ventas_b_mes684[[#This Row],[IMPORTE NETO]]*0.21</f>
        <v>0</v>
      </c>
      <c r="J2438" s="351"/>
      <c r="K2438" s="351"/>
      <c r="L2438" s="351">
        <f>SUM(ventas_b_mes684[[#This Row],[IMPORTE NETO]:[EXENTO]])</f>
        <v>0</v>
      </c>
      <c r="M2438" s="352"/>
    </row>
    <row r="2439" spans="2:13" x14ac:dyDescent="0.25">
      <c r="B2439" s="40"/>
      <c r="C2439" s="41"/>
      <c r="D2439" s="357"/>
      <c r="E2439" s="358"/>
      <c r="F2439" s="359"/>
      <c r="G2439" s="360" t="str">
        <f>IFERROR(IF(ventas_b_mes684[[#This Row],[CUIT]]="","-",VLOOKUP(ventas_b_mes684[[#This Row],[CUIT]],Lista_CUIT[#All],2,0)),"CUIT NO CARGADO")</f>
        <v>-</v>
      </c>
      <c r="H2439" s="64"/>
      <c r="I2439" s="350">
        <f>ventas_b_mes684[[#This Row],[IMPORTE NETO]]*0.21</f>
        <v>0</v>
      </c>
      <c r="J2439" s="351"/>
      <c r="K2439" s="351"/>
      <c r="L2439" s="351">
        <f>SUM(ventas_b_mes684[[#This Row],[IMPORTE NETO]:[EXENTO]])</f>
        <v>0</v>
      </c>
      <c r="M2439" s="352"/>
    </row>
    <row r="2440" spans="2:13" x14ac:dyDescent="0.25">
      <c r="B2440" s="40"/>
      <c r="C2440" s="41"/>
      <c r="D2440" s="357"/>
      <c r="E2440" s="358"/>
      <c r="F2440" s="359"/>
      <c r="G2440" s="360" t="str">
        <f>IFERROR(IF(ventas_b_mes684[[#This Row],[CUIT]]="","-",VLOOKUP(ventas_b_mes684[[#This Row],[CUIT]],Lista_CUIT[#All],2,0)),"CUIT NO CARGADO")</f>
        <v>-</v>
      </c>
      <c r="H2440" s="64"/>
      <c r="I2440" s="350">
        <f>ventas_b_mes684[[#This Row],[IMPORTE NETO]]*0.21</f>
        <v>0</v>
      </c>
      <c r="J2440" s="351"/>
      <c r="K2440" s="351"/>
      <c r="L2440" s="351">
        <f>SUM(ventas_b_mes684[[#This Row],[IMPORTE NETO]:[EXENTO]])</f>
        <v>0</v>
      </c>
      <c r="M2440" s="352"/>
    </row>
    <row r="2441" spans="2:13" x14ac:dyDescent="0.25">
      <c r="B2441" s="40"/>
      <c r="C2441" s="41"/>
      <c r="D2441" s="357"/>
      <c r="E2441" s="358"/>
      <c r="F2441" s="359"/>
      <c r="G2441" s="360" t="str">
        <f>IFERROR(IF(ventas_b_mes684[[#This Row],[CUIT]]="","-",VLOOKUP(ventas_b_mes684[[#This Row],[CUIT]],Lista_CUIT[#All],2,0)),"CUIT NO CARGADO")</f>
        <v>-</v>
      </c>
      <c r="H2441" s="64"/>
      <c r="I2441" s="350">
        <f>ventas_b_mes684[[#This Row],[IMPORTE NETO]]*0.21</f>
        <v>0</v>
      </c>
      <c r="J2441" s="351"/>
      <c r="K2441" s="351"/>
      <c r="L2441" s="351">
        <f>SUM(ventas_b_mes684[[#This Row],[IMPORTE NETO]:[EXENTO]])</f>
        <v>0</v>
      </c>
      <c r="M2441" s="352"/>
    </row>
    <row r="2442" spans="2:13" x14ac:dyDescent="0.25">
      <c r="B2442" s="40"/>
      <c r="C2442" s="41"/>
      <c r="D2442" s="357"/>
      <c r="E2442" s="358"/>
      <c r="F2442" s="359"/>
      <c r="G2442" s="360" t="str">
        <f>IFERROR(IF(ventas_b_mes684[[#This Row],[CUIT]]="","-",VLOOKUP(ventas_b_mes684[[#This Row],[CUIT]],Lista_CUIT[#All],2,0)),"CUIT NO CARGADO")</f>
        <v>-</v>
      </c>
      <c r="H2442" s="64"/>
      <c r="I2442" s="350">
        <f>ventas_b_mes684[[#This Row],[IMPORTE NETO]]*0.21</f>
        <v>0</v>
      </c>
      <c r="J2442" s="351"/>
      <c r="K2442" s="351"/>
      <c r="L2442" s="351">
        <f>SUM(ventas_b_mes684[[#This Row],[IMPORTE NETO]:[EXENTO]])</f>
        <v>0</v>
      </c>
      <c r="M2442" s="352"/>
    </row>
    <row r="2443" spans="2:13" x14ac:dyDescent="0.25">
      <c r="B2443" s="40"/>
      <c r="C2443" s="41"/>
      <c r="D2443" s="357"/>
      <c r="E2443" s="358"/>
      <c r="F2443" s="359"/>
      <c r="G2443" s="360" t="str">
        <f>IFERROR(IF(ventas_b_mes684[[#This Row],[CUIT]]="","-",VLOOKUP(ventas_b_mes684[[#This Row],[CUIT]],Lista_CUIT[#All],2,0)),"CUIT NO CARGADO")</f>
        <v>-</v>
      </c>
      <c r="H2443" s="64"/>
      <c r="I2443" s="350">
        <f>ventas_b_mes684[[#This Row],[IMPORTE NETO]]*0.21</f>
        <v>0</v>
      </c>
      <c r="J2443" s="351"/>
      <c r="K2443" s="351"/>
      <c r="L2443" s="351">
        <f>SUM(ventas_b_mes684[[#This Row],[IMPORTE NETO]:[EXENTO]])</f>
        <v>0</v>
      </c>
      <c r="M2443" s="352"/>
    </row>
    <row r="2444" spans="2:13" x14ac:dyDescent="0.25">
      <c r="B2444" s="40"/>
      <c r="C2444" s="41"/>
      <c r="D2444" s="357"/>
      <c r="E2444" s="358"/>
      <c r="F2444" s="359"/>
      <c r="G2444" s="360" t="str">
        <f>IFERROR(IF(ventas_b_mes684[[#This Row],[CUIT]]="","-",VLOOKUP(ventas_b_mes684[[#This Row],[CUIT]],Lista_CUIT[#All],2,0)),"CUIT NO CARGADO")</f>
        <v>-</v>
      </c>
      <c r="H2444" s="64"/>
      <c r="I2444" s="350">
        <f>ventas_b_mes684[[#This Row],[IMPORTE NETO]]*0.21</f>
        <v>0</v>
      </c>
      <c r="J2444" s="351"/>
      <c r="K2444" s="351"/>
      <c r="L2444" s="351">
        <f>SUM(ventas_b_mes684[[#This Row],[IMPORTE NETO]:[EXENTO]])</f>
        <v>0</v>
      </c>
      <c r="M2444" s="352"/>
    </row>
    <row r="2445" spans="2:13" x14ac:dyDescent="0.25">
      <c r="B2445" s="40"/>
      <c r="C2445" s="41"/>
      <c r="D2445" s="357"/>
      <c r="E2445" s="358"/>
      <c r="F2445" s="359"/>
      <c r="G2445" s="360" t="str">
        <f>IFERROR(IF(ventas_b_mes684[[#This Row],[CUIT]]="","-",VLOOKUP(ventas_b_mes684[[#This Row],[CUIT]],Lista_CUIT[#All],2,0)),"CUIT NO CARGADO")</f>
        <v>-</v>
      </c>
      <c r="H2445" s="64"/>
      <c r="I2445" s="350">
        <f>ventas_b_mes684[[#This Row],[IMPORTE NETO]]*0.21</f>
        <v>0</v>
      </c>
      <c r="J2445" s="351"/>
      <c r="K2445" s="351"/>
      <c r="L2445" s="351">
        <f>SUM(ventas_b_mes684[[#This Row],[IMPORTE NETO]:[EXENTO]])</f>
        <v>0</v>
      </c>
      <c r="M2445" s="352"/>
    </row>
    <row r="2446" spans="2:13" x14ac:dyDescent="0.25">
      <c r="B2446" s="40"/>
      <c r="C2446" s="41"/>
      <c r="D2446" s="357"/>
      <c r="E2446" s="358"/>
      <c r="F2446" s="359"/>
      <c r="G2446" s="360" t="str">
        <f>IFERROR(IF(ventas_b_mes684[[#This Row],[CUIT]]="","-",VLOOKUP(ventas_b_mes684[[#This Row],[CUIT]],Lista_CUIT[#All],2,0)),"CUIT NO CARGADO")</f>
        <v>-</v>
      </c>
      <c r="H2446" s="64"/>
      <c r="I2446" s="350">
        <f>ventas_b_mes684[[#This Row],[IMPORTE NETO]]*0.21</f>
        <v>0</v>
      </c>
      <c r="J2446" s="351"/>
      <c r="K2446" s="351"/>
      <c r="L2446" s="351">
        <f>SUM(ventas_b_mes684[[#This Row],[IMPORTE NETO]:[EXENTO]])</f>
        <v>0</v>
      </c>
      <c r="M2446" s="352"/>
    </row>
    <row r="2447" spans="2:13" x14ac:dyDescent="0.25">
      <c r="B2447" s="40"/>
      <c r="C2447" s="41"/>
      <c r="D2447" s="357"/>
      <c r="E2447" s="358"/>
      <c r="F2447" s="359"/>
      <c r="G2447" s="360" t="str">
        <f>IFERROR(IF(ventas_b_mes684[[#This Row],[CUIT]]="","-",VLOOKUP(ventas_b_mes684[[#This Row],[CUIT]],Lista_CUIT[#All],2,0)),"CUIT NO CARGADO")</f>
        <v>-</v>
      </c>
      <c r="H2447" s="64"/>
      <c r="I2447" s="350">
        <f>ventas_b_mes684[[#This Row],[IMPORTE NETO]]*0.21</f>
        <v>0</v>
      </c>
      <c r="J2447" s="351"/>
      <c r="K2447" s="351"/>
      <c r="L2447" s="351">
        <f>SUM(ventas_b_mes684[[#This Row],[IMPORTE NETO]:[EXENTO]])</f>
        <v>0</v>
      </c>
      <c r="M2447" s="352"/>
    </row>
    <row r="2448" spans="2:13" x14ac:dyDescent="0.25">
      <c r="B2448" s="40"/>
      <c r="C2448" s="41"/>
      <c r="D2448" s="357"/>
      <c r="E2448" s="358"/>
      <c r="F2448" s="359"/>
      <c r="G2448" s="360" t="str">
        <f>IFERROR(IF(ventas_b_mes684[[#This Row],[CUIT]]="","-",VLOOKUP(ventas_b_mes684[[#This Row],[CUIT]],Lista_CUIT[#All],2,0)),"CUIT NO CARGADO")</f>
        <v>-</v>
      </c>
      <c r="H2448" s="64"/>
      <c r="I2448" s="350">
        <f>ventas_b_mes684[[#This Row],[IMPORTE NETO]]*0.21</f>
        <v>0</v>
      </c>
      <c r="J2448" s="351"/>
      <c r="K2448" s="351"/>
      <c r="L2448" s="351">
        <f>SUM(ventas_b_mes684[[#This Row],[IMPORTE NETO]:[EXENTO]])</f>
        <v>0</v>
      </c>
      <c r="M2448" s="352"/>
    </row>
    <row r="2449" spans="2:13" x14ac:dyDescent="0.25">
      <c r="B2449" s="40"/>
      <c r="C2449" s="41"/>
      <c r="D2449" s="357"/>
      <c r="E2449" s="358"/>
      <c r="F2449" s="359"/>
      <c r="G2449" s="360" t="str">
        <f>IFERROR(IF(ventas_b_mes684[[#This Row],[CUIT]]="","-",VLOOKUP(ventas_b_mes684[[#This Row],[CUIT]],Lista_CUIT[#All],2,0)),"CUIT NO CARGADO")</f>
        <v>-</v>
      </c>
      <c r="H2449" s="64"/>
      <c r="I2449" s="350">
        <f>ventas_b_mes684[[#This Row],[IMPORTE NETO]]*0.21</f>
        <v>0</v>
      </c>
      <c r="J2449" s="351"/>
      <c r="K2449" s="351"/>
      <c r="L2449" s="351">
        <f>SUM(ventas_b_mes684[[#This Row],[IMPORTE NETO]:[EXENTO]])</f>
        <v>0</v>
      </c>
      <c r="M2449" s="352"/>
    </row>
    <row r="2450" spans="2:13" x14ac:dyDescent="0.25">
      <c r="B2450" s="40"/>
      <c r="C2450" s="41"/>
      <c r="D2450" s="357"/>
      <c r="E2450" s="358"/>
      <c r="F2450" s="359"/>
      <c r="G2450" s="360" t="str">
        <f>IFERROR(IF(ventas_b_mes684[[#This Row],[CUIT]]="","-",VLOOKUP(ventas_b_mes684[[#This Row],[CUIT]],Lista_CUIT[#All],2,0)),"CUIT NO CARGADO")</f>
        <v>-</v>
      </c>
      <c r="H2450" s="64"/>
      <c r="I2450" s="350">
        <f>ventas_b_mes684[[#This Row],[IMPORTE NETO]]*0.21</f>
        <v>0</v>
      </c>
      <c r="J2450" s="351"/>
      <c r="K2450" s="351"/>
      <c r="L2450" s="351">
        <f>SUM(ventas_b_mes684[[#This Row],[IMPORTE NETO]:[EXENTO]])</f>
        <v>0</v>
      </c>
      <c r="M2450" s="352"/>
    </row>
    <row r="2451" spans="2:13" x14ac:dyDescent="0.25">
      <c r="B2451" s="40"/>
      <c r="C2451" s="41"/>
      <c r="D2451" s="357"/>
      <c r="E2451" s="358"/>
      <c r="F2451" s="359"/>
      <c r="G2451" s="360" t="str">
        <f>IFERROR(IF(ventas_b_mes684[[#This Row],[CUIT]]="","-",VLOOKUP(ventas_b_mes684[[#This Row],[CUIT]],Lista_CUIT[#All],2,0)),"CUIT NO CARGADO")</f>
        <v>-</v>
      </c>
      <c r="H2451" s="64"/>
      <c r="I2451" s="350">
        <f>ventas_b_mes684[[#This Row],[IMPORTE NETO]]*0.21</f>
        <v>0</v>
      </c>
      <c r="J2451" s="351"/>
      <c r="K2451" s="351"/>
      <c r="L2451" s="351">
        <f>SUM(ventas_b_mes684[[#This Row],[IMPORTE NETO]:[EXENTO]])</f>
        <v>0</v>
      </c>
      <c r="M2451" s="352"/>
    </row>
    <row r="2452" spans="2:13" x14ac:dyDescent="0.25">
      <c r="B2452" s="40"/>
      <c r="C2452" s="41"/>
      <c r="D2452" s="357"/>
      <c r="E2452" s="358"/>
      <c r="F2452" s="359"/>
      <c r="G2452" s="360" t="str">
        <f>IFERROR(IF(ventas_b_mes684[[#This Row],[CUIT]]="","-",VLOOKUP(ventas_b_mes684[[#This Row],[CUIT]],Lista_CUIT[#All],2,0)),"CUIT NO CARGADO")</f>
        <v>-</v>
      </c>
      <c r="H2452" s="64"/>
      <c r="I2452" s="350">
        <f>ventas_b_mes684[[#This Row],[IMPORTE NETO]]*0.21</f>
        <v>0</v>
      </c>
      <c r="J2452" s="351"/>
      <c r="K2452" s="351"/>
      <c r="L2452" s="351">
        <f>SUM(ventas_b_mes684[[#This Row],[IMPORTE NETO]:[EXENTO]])</f>
        <v>0</v>
      </c>
      <c r="M2452" s="352"/>
    </row>
    <row r="2453" spans="2:13" x14ac:dyDescent="0.25">
      <c r="B2453" s="40"/>
      <c r="C2453" s="41"/>
      <c r="D2453" s="357"/>
      <c r="E2453" s="358"/>
      <c r="F2453" s="359"/>
      <c r="G2453" s="360" t="str">
        <f>IFERROR(IF(ventas_b_mes684[[#This Row],[CUIT]]="","-",VLOOKUP(ventas_b_mes684[[#This Row],[CUIT]],Lista_CUIT[#All],2,0)),"CUIT NO CARGADO")</f>
        <v>-</v>
      </c>
      <c r="H2453" s="64"/>
      <c r="I2453" s="350">
        <f>ventas_b_mes684[[#This Row],[IMPORTE NETO]]*0.21</f>
        <v>0</v>
      </c>
      <c r="J2453" s="351"/>
      <c r="K2453" s="351"/>
      <c r="L2453" s="351">
        <f>SUM(ventas_b_mes684[[#This Row],[IMPORTE NETO]:[EXENTO]])</f>
        <v>0</v>
      </c>
      <c r="M2453" s="352"/>
    </row>
    <row r="2454" spans="2:13" x14ac:dyDescent="0.25">
      <c r="B2454" s="40"/>
      <c r="C2454" s="41"/>
      <c r="D2454" s="357"/>
      <c r="E2454" s="358"/>
      <c r="F2454" s="359"/>
      <c r="G2454" s="360" t="str">
        <f>IFERROR(IF(ventas_b_mes684[[#This Row],[CUIT]]="","-",VLOOKUP(ventas_b_mes684[[#This Row],[CUIT]],Lista_CUIT[#All],2,0)),"CUIT NO CARGADO")</f>
        <v>-</v>
      </c>
      <c r="H2454" s="64"/>
      <c r="I2454" s="350">
        <f>ventas_b_mes684[[#This Row],[IMPORTE NETO]]*0.21</f>
        <v>0</v>
      </c>
      <c r="J2454" s="351"/>
      <c r="K2454" s="351"/>
      <c r="L2454" s="351">
        <f>SUM(ventas_b_mes684[[#This Row],[IMPORTE NETO]:[EXENTO]])</f>
        <v>0</v>
      </c>
      <c r="M2454" s="352"/>
    </row>
    <row r="2455" spans="2:13" x14ac:dyDescent="0.25">
      <c r="B2455" s="40"/>
      <c r="C2455" s="41"/>
      <c r="D2455" s="357"/>
      <c r="E2455" s="358"/>
      <c r="F2455" s="359"/>
      <c r="G2455" s="360" t="str">
        <f>IFERROR(IF(ventas_b_mes684[[#This Row],[CUIT]]="","-",VLOOKUP(ventas_b_mes684[[#This Row],[CUIT]],Lista_CUIT[#All],2,0)),"CUIT NO CARGADO")</f>
        <v>-</v>
      </c>
      <c r="H2455" s="64"/>
      <c r="I2455" s="350">
        <f>ventas_b_mes684[[#This Row],[IMPORTE NETO]]*0.21</f>
        <v>0</v>
      </c>
      <c r="J2455" s="351"/>
      <c r="K2455" s="351"/>
      <c r="L2455" s="351">
        <f>SUM(ventas_b_mes684[[#This Row],[IMPORTE NETO]:[EXENTO]])</f>
        <v>0</v>
      </c>
      <c r="M2455" s="352"/>
    </row>
    <row r="2456" spans="2:13" x14ac:dyDescent="0.25">
      <c r="B2456" s="40"/>
      <c r="C2456" s="41"/>
      <c r="D2456" s="357"/>
      <c r="E2456" s="358"/>
      <c r="F2456" s="359"/>
      <c r="G2456" s="360" t="str">
        <f>IFERROR(IF(ventas_b_mes684[[#This Row],[CUIT]]="","-",VLOOKUP(ventas_b_mes684[[#This Row],[CUIT]],Lista_CUIT[#All],2,0)),"CUIT NO CARGADO")</f>
        <v>-</v>
      </c>
      <c r="H2456" s="64"/>
      <c r="I2456" s="350">
        <f>ventas_b_mes684[[#This Row],[IMPORTE NETO]]*0.21</f>
        <v>0</v>
      </c>
      <c r="J2456" s="351"/>
      <c r="K2456" s="351"/>
      <c r="L2456" s="351">
        <f>SUM(ventas_b_mes684[[#This Row],[IMPORTE NETO]:[EXENTO]])</f>
        <v>0</v>
      </c>
      <c r="M2456" s="352"/>
    </row>
    <row r="2457" spans="2:13" x14ac:dyDescent="0.25">
      <c r="B2457" s="40"/>
      <c r="C2457" s="41"/>
      <c r="D2457" s="357"/>
      <c r="E2457" s="358"/>
      <c r="F2457" s="359"/>
      <c r="G2457" s="360" t="str">
        <f>IFERROR(IF(ventas_b_mes684[[#This Row],[CUIT]]="","-",VLOOKUP(ventas_b_mes684[[#This Row],[CUIT]],Lista_CUIT[#All],2,0)),"CUIT NO CARGADO")</f>
        <v>-</v>
      </c>
      <c r="H2457" s="64"/>
      <c r="I2457" s="350">
        <f>ventas_b_mes684[[#This Row],[IMPORTE NETO]]*0.21</f>
        <v>0</v>
      </c>
      <c r="J2457" s="351"/>
      <c r="K2457" s="351"/>
      <c r="L2457" s="351">
        <f>SUM(ventas_b_mes684[[#This Row],[IMPORTE NETO]:[EXENTO]])</f>
        <v>0</v>
      </c>
      <c r="M2457" s="352"/>
    </row>
    <row r="2458" spans="2:13" x14ac:dyDescent="0.25">
      <c r="B2458" s="40"/>
      <c r="C2458" s="41"/>
      <c r="D2458" s="357"/>
      <c r="E2458" s="358"/>
      <c r="F2458" s="359"/>
      <c r="G2458" s="360" t="str">
        <f>IFERROR(IF(ventas_b_mes684[[#This Row],[CUIT]]="","-",VLOOKUP(ventas_b_mes684[[#This Row],[CUIT]],Lista_CUIT[#All],2,0)),"CUIT NO CARGADO")</f>
        <v>-</v>
      </c>
      <c r="H2458" s="64"/>
      <c r="I2458" s="350">
        <f>ventas_b_mes684[[#This Row],[IMPORTE NETO]]*0.21</f>
        <v>0</v>
      </c>
      <c r="J2458" s="351"/>
      <c r="K2458" s="351"/>
      <c r="L2458" s="351">
        <f>SUM(ventas_b_mes684[[#This Row],[IMPORTE NETO]:[EXENTO]])</f>
        <v>0</v>
      </c>
      <c r="M2458" s="352"/>
    </row>
    <row r="2459" spans="2:13" x14ac:dyDescent="0.25">
      <c r="B2459" s="40"/>
      <c r="C2459" s="41"/>
      <c r="D2459" s="357"/>
      <c r="E2459" s="358"/>
      <c r="F2459" s="359"/>
      <c r="G2459" s="360" t="str">
        <f>IFERROR(IF(ventas_b_mes684[[#This Row],[CUIT]]="","-",VLOOKUP(ventas_b_mes684[[#This Row],[CUIT]],Lista_CUIT[#All],2,0)),"CUIT NO CARGADO")</f>
        <v>-</v>
      </c>
      <c r="H2459" s="64"/>
      <c r="I2459" s="350">
        <f>ventas_b_mes684[[#This Row],[IMPORTE NETO]]*0.21</f>
        <v>0</v>
      </c>
      <c r="J2459" s="351"/>
      <c r="K2459" s="351"/>
      <c r="L2459" s="351">
        <f>SUM(ventas_b_mes684[[#This Row],[IMPORTE NETO]:[EXENTO]])</f>
        <v>0</v>
      </c>
      <c r="M2459" s="352"/>
    </row>
    <row r="2460" spans="2:13" x14ac:dyDescent="0.25">
      <c r="B2460" s="40"/>
      <c r="C2460" s="41"/>
      <c r="D2460" s="357"/>
      <c r="E2460" s="358"/>
      <c r="F2460" s="359"/>
      <c r="G2460" s="360" t="str">
        <f>IFERROR(IF(ventas_b_mes684[[#This Row],[CUIT]]="","-",VLOOKUP(ventas_b_mes684[[#This Row],[CUIT]],Lista_CUIT[#All],2,0)),"CUIT NO CARGADO")</f>
        <v>-</v>
      </c>
      <c r="H2460" s="64"/>
      <c r="I2460" s="350">
        <f>ventas_b_mes684[[#This Row],[IMPORTE NETO]]*0.21</f>
        <v>0</v>
      </c>
      <c r="J2460" s="351"/>
      <c r="K2460" s="351"/>
      <c r="L2460" s="351">
        <f>SUM(ventas_b_mes684[[#This Row],[IMPORTE NETO]:[EXENTO]])</f>
        <v>0</v>
      </c>
      <c r="M2460" s="352"/>
    </row>
    <row r="2461" spans="2:13" x14ac:dyDescent="0.25">
      <c r="B2461" s="40"/>
      <c r="C2461" s="41"/>
      <c r="D2461" s="357"/>
      <c r="E2461" s="358"/>
      <c r="F2461" s="359"/>
      <c r="G2461" s="360" t="str">
        <f>IFERROR(IF(ventas_b_mes684[[#This Row],[CUIT]]="","-",VLOOKUP(ventas_b_mes684[[#This Row],[CUIT]],Lista_CUIT[#All],2,0)),"CUIT NO CARGADO")</f>
        <v>-</v>
      </c>
      <c r="H2461" s="64"/>
      <c r="I2461" s="350">
        <f>ventas_b_mes684[[#This Row],[IMPORTE NETO]]*0.21</f>
        <v>0</v>
      </c>
      <c r="J2461" s="351"/>
      <c r="K2461" s="351"/>
      <c r="L2461" s="351">
        <f>SUM(ventas_b_mes684[[#This Row],[IMPORTE NETO]:[EXENTO]])</f>
        <v>0</v>
      </c>
      <c r="M2461" s="352"/>
    </row>
    <row r="2462" spans="2:13" x14ac:dyDescent="0.25">
      <c r="B2462" s="40"/>
      <c r="C2462" s="41"/>
      <c r="D2462" s="357"/>
      <c r="E2462" s="358"/>
      <c r="F2462" s="359"/>
      <c r="G2462" s="360" t="str">
        <f>IFERROR(IF(ventas_b_mes684[[#This Row],[CUIT]]="","-",VLOOKUP(ventas_b_mes684[[#This Row],[CUIT]],Lista_CUIT[#All],2,0)),"CUIT NO CARGADO")</f>
        <v>-</v>
      </c>
      <c r="H2462" s="64"/>
      <c r="I2462" s="350">
        <f>ventas_b_mes684[[#This Row],[IMPORTE NETO]]*0.21</f>
        <v>0</v>
      </c>
      <c r="J2462" s="351"/>
      <c r="K2462" s="351"/>
      <c r="L2462" s="351">
        <f>SUM(ventas_b_mes684[[#This Row],[IMPORTE NETO]:[EXENTO]])</f>
        <v>0</v>
      </c>
      <c r="M2462" s="352"/>
    </row>
    <row r="2463" spans="2:13" x14ac:dyDescent="0.25">
      <c r="B2463" s="40"/>
      <c r="C2463" s="41"/>
      <c r="D2463" s="357"/>
      <c r="E2463" s="358"/>
      <c r="F2463" s="359"/>
      <c r="G2463" s="360" t="str">
        <f>IFERROR(IF(ventas_b_mes684[[#This Row],[CUIT]]="","-",VLOOKUP(ventas_b_mes684[[#This Row],[CUIT]],Lista_CUIT[#All],2,0)),"CUIT NO CARGADO")</f>
        <v>-</v>
      </c>
      <c r="H2463" s="64"/>
      <c r="I2463" s="350">
        <f>ventas_b_mes684[[#This Row],[IMPORTE NETO]]*0.21</f>
        <v>0</v>
      </c>
      <c r="J2463" s="351"/>
      <c r="K2463" s="351"/>
      <c r="L2463" s="351">
        <f>SUM(ventas_b_mes684[[#This Row],[IMPORTE NETO]:[EXENTO]])</f>
        <v>0</v>
      </c>
      <c r="M2463" s="352"/>
    </row>
    <row r="2464" spans="2:13" x14ac:dyDescent="0.25">
      <c r="B2464" s="40"/>
      <c r="C2464" s="41"/>
      <c r="D2464" s="357"/>
      <c r="E2464" s="358"/>
      <c r="F2464" s="359"/>
      <c r="G2464" s="360" t="str">
        <f>IFERROR(IF(ventas_b_mes684[[#This Row],[CUIT]]="","-",VLOOKUP(ventas_b_mes684[[#This Row],[CUIT]],Lista_CUIT[#All],2,0)),"CUIT NO CARGADO")</f>
        <v>-</v>
      </c>
      <c r="H2464" s="64"/>
      <c r="I2464" s="350">
        <f>ventas_b_mes684[[#This Row],[IMPORTE NETO]]*0.21</f>
        <v>0</v>
      </c>
      <c r="J2464" s="351"/>
      <c r="K2464" s="351"/>
      <c r="L2464" s="351">
        <f>SUM(ventas_b_mes684[[#This Row],[IMPORTE NETO]:[EXENTO]])</f>
        <v>0</v>
      </c>
      <c r="M2464" s="352"/>
    </row>
    <row r="2465" spans="2:13" x14ac:dyDescent="0.25">
      <c r="B2465" s="40"/>
      <c r="C2465" s="41"/>
      <c r="D2465" s="357"/>
      <c r="E2465" s="358"/>
      <c r="F2465" s="359"/>
      <c r="G2465" s="360" t="str">
        <f>IFERROR(IF(ventas_b_mes684[[#This Row],[CUIT]]="","-",VLOOKUP(ventas_b_mes684[[#This Row],[CUIT]],Lista_CUIT[#All],2,0)),"CUIT NO CARGADO")</f>
        <v>-</v>
      </c>
      <c r="H2465" s="64"/>
      <c r="I2465" s="350">
        <f>ventas_b_mes684[[#This Row],[IMPORTE NETO]]*0.21</f>
        <v>0</v>
      </c>
      <c r="J2465" s="351"/>
      <c r="K2465" s="351"/>
      <c r="L2465" s="351">
        <f>SUM(ventas_b_mes684[[#This Row],[IMPORTE NETO]:[EXENTO]])</f>
        <v>0</v>
      </c>
      <c r="M2465" s="352"/>
    </row>
    <row r="2466" spans="2:13" x14ac:dyDescent="0.25">
      <c r="B2466" s="40"/>
      <c r="C2466" s="41"/>
      <c r="D2466" s="357"/>
      <c r="E2466" s="358"/>
      <c r="F2466" s="359"/>
      <c r="G2466" s="360" t="str">
        <f>IFERROR(IF(ventas_b_mes684[[#This Row],[CUIT]]="","-",VLOOKUP(ventas_b_mes684[[#This Row],[CUIT]],Lista_CUIT[#All],2,0)),"CUIT NO CARGADO")</f>
        <v>-</v>
      </c>
      <c r="H2466" s="64"/>
      <c r="I2466" s="350">
        <f>ventas_b_mes684[[#This Row],[IMPORTE NETO]]*0.21</f>
        <v>0</v>
      </c>
      <c r="J2466" s="351"/>
      <c r="K2466" s="351"/>
      <c r="L2466" s="351">
        <f>SUM(ventas_b_mes684[[#This Row],[IMPORTE NETO]:[EXENTO]])</f>
        <v>0</v>
      </c>
      <c r="M2466" s="352"/>
    </row>
    <row r="2467" spans="2:13" x14ac:dyDescent="0.25">
      <c r="B2467" s="40"/>
      <c r="C2467" s="41"/>
      <c r="D2467" s="357"/>
      <c r="E2467" s="358"/>
      <c r="F2467" s="359"/>
      <c r="G2467" s="360" t="str">
        <f>IFERROR(IF(ventas_b_mes684[[#This Row],[CUIT]]="","-",VLOOKUP(ventas_b_mes684[[#This Row],[CUIT]],Lista_CUIT[#All],2,0)),"CUIT NO CARGADO")</f>
        <v>-</v>
      </c>
      <c r="H2467" s="64"/>
      <c r="I2467" s="350">
        <f>ventas_b_mes684[[#This Row],[IMPORTE NETO]]*0.21</f>
        <v>0</v>
      </c>
      <c r="J2467" s="351"/>
      <c r="K2467" s="351"/>
      <c r="L2467" s="351">
        <f>SUM(ventas_b_mes684[[#This Row],[IMPORTE NETO]:[EXENTO]])</f>
        <v>0</v>
      </c>
      <c r="M2467" s="352"/>
    </row>
    <row r="2468" spans="2:13" x14ac:dyDescent="0.25">
      <c r="B2468" s="40"/>
      <c r="C2468" s="41"/>
      <c r="D2468" s="357"/>
      <c r="E2468" s="358"/>
      <c r="F2468" s="359"/>
      <c r="G2468" s="360" t="str">
        <f>IFERROR(IF(ventas_b_mes684[[#This Row],[CUIT]]="","-",VLOOKUP(ventas_b_mes684[[#This Row],[CUIT]],Lista_CUIT[#All],2,0)),"CUIT NO CARGADO")</f>
        <v>-</v>
      </c>
      <c r="H2468" s="64"/>
      <c r="I2468" s="350">
        <f>ventas_b_mes684[[#This Row],[IMPORTE NETO]]*0.21</f>
        <v>0</v>
      </c>
      <c r="J2468" s="351"/>
      <c r="K2468" s="351"/>
      <c r="L2468" s="351">
        <f>SUM(ventas_b_mes684[[#This Row],[IMPORTE NETO]:[EXENTO]])</f>
        <v>0</v>
      </c>
      <c r="M2468" s="352"/>
    </row>
    <row r="2469" spans="2:13" x14ac:dyDescent="0.25">
      <c r="B2469" s="40"/>
      <c r="C2469" s="41"/>
      <c r="D2469" s="357"/>
      <c r="E2469" s="358"/>
      <c r="F2469" s="359"/>
      <c r="G2469" s="360" t="str">
        <f>IFERROR(IF(ventas_b_mes684[[#This Row],[CUIT]]="","-",VLOOKUP(ventas_b_mes684[[#This Row],[CUIT]],Lista_CUIT[#All],2,0)),"CUIT NO CARGADO")</f>
        <v>-</v>
      </c>
      <c r="H2469" s="64"/>
      <c r="I2469" s="350">
        <f>ventas_b_mes684[[#This Row],[IMPORTE NETO]]*0.21</f>
        <v>0</v>
      </c>
      <c r="J2469" s="351"/>
      <c r="K2469" s="351"/>
      <c r="L2469" s="351">
        <f>SUM(ventas_b_mes684[[#This Row],[IMPORTE NETO]:[EXENTO]])</f>
        <v>0</v>
      </c>
      <c r="M2469" s="352"/>
    </row>
    <row r="2470" spans="2:13" x14ac:dyDescent="0.25">
      <c r="B2470" s="40"/>
      <c r="C2470" s="41"/>
      <c r="D2470" s="357"/>
      <c r="E2470" s="358"/>
      <c r="F2470" s="359"/>
      <c r="G2470" s="360" t="str">
        <f>IFERROR(IF(ventas_b_mes684[[#This Row],[CUIT]]="","-",VLOOKUP(ventas_b_mes684[[#This Row],[CUIT]],Lista_CUIT[#All],2,0)),"CUIT NO CARGADO")</f>
        <v>-</v>
      </c>
      <c r="H2470" s="64"/>
      <c r="I2470" s="350">
        <f>ventas_b_mes684[[#This Row],[IMPORTE NETO]]*0.21</f>
        <v>0</v>
      </c>
      <c r="J2470" s="351"/>
      <c r="K2470" s="351"/>
      <c r="L2470" s="351">
        <f>SUM(ventas_b_mes684[[#This Row],[IMPORTE NETO]:[EXENTO]])</f>
        <v>0</v>
      </c>
      <c r="M2470" s="352"/>
    </row>
    <row r="2471" spans="2:13" x14ac:dyDescent="0.25">
      <c r="B2471" s="40"/>
      <c r="C2471" s="41"/>
      <c r="D2471" s="357"/>
      <c r="E2471" s="358"/>
      <c r="F2471" s="359"/>
      <c r="G2471" s="360" t="str">
        <f>IFERROR(IF(ventas_b_mes684[[#This Row],[CUIT]]="","-",VLOOKUP(ventas_b_mes684[[#This Row],[CUIT]],Lista_CUIT[#All],2,0)),"CUIT NO CARGADO")</f>
        <v>-</v>
      </c>
      <c r="H2471" s="64"/>
      <c r="I2471" s="350">
        <f>ventas_b_mes684[[#This Row],[IMPORTE NETO]]*0.21</f>
        <v>0</v>
      </c>
      <c r="J2471" s="351"/>
      <c r="K2471" s="351"/>
      <c r="L2471" s="351">
        <f>SUM(ventas_b_mes684[[#This Row],[IMPORTE NETO]:[EXENTO]])</f>
        <v>0</v>
      </c>
      <c r="M2471" s="352"/>
    </row>
    <row r="2472" spans="2:13" x14ac:dyDescent="0.25">
      <c r="B2472" s="40"/>
      <c r="C2472" s="41"/>
      <c r="D2472" s="357"/>
      <c r="E2472" s="358"/>
      <c r="F2472" s="359"/>
      <c r="G2472" s="360" t="str">
        <f>IFERROR(IF(ventas_b_mes684[[#This Row],[CUIT]]="","-",VLOOKUP(ventas_b_mes684[[#This Row],[CUIT]],Lista_CUIT[#All],2,0)),"CUIT NO CARGADO")</f>
        <v>-</v>
      </c>
      <c r="H2472" s="64"/>
      <c r="I2472" s="350">
        <f>ventas_b_mes684[[#This Row],[IMPORTE NETO]]*0.21</f>
        <v>0</v>
      </c>
      <c r="J2472" s="351"/>
      <c r="K2472" s="351"/>
      <c r="L2472" s="351">
        <f>SUM(ventas_b_mes684[[#This Row],[IMPORTE NETO]:[EXENTO]])</f>
        <v>0</v>
      </c>
      <c r="M2472" s="352"/>
    </row>
    <row r="2473" spans="2:13" x14ac:dyDescent="0.25">
      <c r="B2473" s="40"/>
      <c r="C2473" s="41"/>
      <c r="D2473" s="357"/>
      <c r="E2473" s="358"/>
      <c r="F2473" s="359"/>
      <c r="G2473" s="360" t="str">
        <f>IFERROR(IF(ventas_b_mes684[[#This Row],[CUIT]]="","-",VLOOKUP(ventas_b_mes684[[#This Row],[CUIT]],Lista_CUIT[#All],2,0)),"CUIT NO CARGADO")</f>
        <v>-</v>
      </c>
      <c r="H2473" s="64"/>
      <c r="I2473" s="350">
        <f>ventas_b_mes684[[#This Row],[IMPORTE NETO]]*0.21</f>
        <v>0</v>
      </c>
      <c r="J2473" s="351"/>
      <c r="K2473" s="351"/>
      <c r="L2473" s="351">
        <f>SUM(ventas_b_mes684[[#This Row],[IMPORTE NETO]:[EXENTO]])</f>
        <v>0</v>
      </c>
      <c r="M2473" s="352"/>
    </row>
    <row r="2474" spans="2:13" x14ac:dyDescent="0.25">
      <c r="B2474" s="40"/>
      <c r="C2474" s="41"/>
      <c r="D2474" s="357"/>
      <c r="E2474" s="358"/>
      <c r="F2474" s="359"/>
      <c r="G2474" s="360" t="str">
        <f>IFERROR(IF(ventas_b_mes684[[#This Row],[CUIT]]="","-",VLOOKUP(ventas_b_mes684[[#This Row],[CUIT]],Lista_CUIT[#All],2,0)),"CUIT NO CARGADO")</f>
        <v>-</v>
      </c>
      <c r="H2474" s="64"/>
      <c r="I2474" s="350">
        <f>ventas_b_mes684[[#This Row],[IMPORTE NETO]]*0.21</f>
        <v>0</v>
      </c>
      <c r="J2474" s="351"/>
      <c r="K2474" s="351"/>
      <c r="L2474" s="351">
        <f>SUM(ventas_b_mes684[[#This Row],[IMPORTE NETO]:[EXENTO]])</f>
        <v>0</v>
      </c>
      <c r="M2474" s="352"/>
    </row>
    <row r="2475" spans="2:13" x14ac:dyDescent="0.25">
      <c r="B2475" s="40"/>
      <c r="C2475" s="41"/>
      <c r="D2475" s="357"/>
      <c r="E2475" s="358"/>
      <c r="F2475" s="359"/>
      <c r="G2475" s="360" t="str">
        <f>IFERROR(IF(ventas_b_mes684[[#This Row],[CUIT]]="","-",VLOOKUP(ventas_b_mes684[[#This Row],[CUIT]],Lista_CUIT[#All],2,0)),"CUIT NO CARGADO")</f>
        <v>-</v>
      </c>
      <c r="H2475" s="64"/>
      <c r="I2475" s="350">
        <f>ventas_b_mes684[[#This Row],[IMPORTE NETO]]*0.21</f>
        <v>0</v>
      </c>
      <c r="J2475" s="351"/>
      <c r="K2475" s="351"/>
      <c r="L2475" s="351">
        <f>SUM(ventas_b_mes684[[#This Row],[IMPORTE NETO]:[EXENTO]])</f>
        <v>0</v>
      </c>
      <c r="M2475" s="352"/>
    </row>
    <row r="2476" spans="2:13" x14ac:dyDescent="0.25">
      <c r="B2476" s="40"/>
      <c r="C2476" s="41"/>
      <c r="D2476" s="357"/>
      <c r="E2476" s="358"/>
      <c r="F2476" s="359"/>
      <c r="G2476" s="360" t="str">
        <f>IFERROR(IF(ventas_b_mes684[[#This Row],[CUIT]]="","-",VLOOKUP(ventas_b_mes684[[#This Row],[CUIT]],Lista_CUIT[#All],2,0)),"CUIT NO CARGADO")</f>
        <v>-</v>
      </c>
      <c r="H2476" s="64"/>
      <c r="I2476" s="350">
        <f>ventas_b_mes684[[#This Row],[IMPORTE NETO]]*0.21</f>
        <v>0</v>
      </c>
      <c r="J2476" s="351"/>
      <c r="K2476" s="351"/>
      <c r="L2476" s="351">
        <f>SUM(ventas_b_mes684[[#This Row],[IMPORTE NETO]:[EXENTO]])</f>
        <v>0</v>
      </c>
      <c r="M2476" s="352"/>
    </row>
    <row r="2477" spans="2:13" x14ac:dyDescent="0.25">
      <c r="B2477" s="40"/>
      <c r="C2477" s="41"/>
      <c r="D2477" s="357"/>
      <c r="E2477" s="358"/>
      <c r="F2477" s="359"/>
      <c r="G2477" s="360" t="str">
        <f>IFERROR(IF(ventas_b_mes684[[#This Row],[CUIT]]="","-",VLOOKUP(ventas_b_mes684[[#This Row],[CUIT]],Lista_CUIT[#All],2,0)),"CUIT NO CARGADO")</f>
        <v>-</v>
      </c>
      <c r="H2477" s="64"/>
      <c r="I2477" s="350">
        <f>ventas_b_mes684[[#This Row],[IMPORTE NETO]]*0.21</f>
        <v>0</v>
      </c>
      <c r="J2477" s="351"/>
      <c r="K2477" s="351"/>
      <c r="L2477" s="351">
        <f>SUM(ventas_b_mes684[[#This Row],[IMPORTE NETO]:[EXENTO]])</f>
        <v>0</v>
      </c>
      <c r="M2477" s="352"/>
    </row>
    <row r="2478" spans="2:13" x14ac:dyDescent="0.25">
      <c r="B2478" s="40"/>
      <c r="C2478" s="41"/>
      <c r="D2478" s="357"/>
      <c r="E2478" s="358"/>
      <c r="F2478" s="359"/>
      <c r="G2478" s="360" t="str">
        <f>IFERROR(IF(ventas_b_mes684[[#This Row],[CUIT]]="","-",VLOOKUP(ventas_b_mes684[[#This Row],[CUIT]],Lista_CUIT[#All],2,0)),"CUIT NO CARGADO")</f>
        <v>-</v>
      </c>
      <c r="H2478" s="64"/>
      <c r="I2478" s="350">
        <f>ventas_b_mes684[[#This Row],[IMPORTE NETO]]*0.21</f>
        <v>0</v>
      </c>
      <c r="J2478" s="351"/>
      <c r="K2478" s="351"/>
      <c r="L2478" s="351">
        <f>SUM(ventas_b_mes684[[#This Row],[IMPORTE NETO]:[EXENTO]])</f>
        <v>0</v>
      </c>
      <c r="M2478" s="352"/>
    </row>
    <row r="2479" spans="2:13" x14ac:dyDescent="0.25">
      <c r="B2479" s="40"/>
      <c r="C2479" s="41"/>
      <c r="D2479" s="357"/>
      <c r="E2479" s="358"/>
      <c r="F2479" s="359"/>
      <c r="G2479" s="360" t="str">
        <f>IFERROR(IF(ventas_b_mes684[[#This Row],[CUIT]]="","-",VLOOKUP(ventas_b_mes684[[#This Row],[CUIT]],Lista_CUIT[#All],2,0)),"CUIT NO CARGADO")</f>
        <v>-</v>
      </c>
      <c r="H2479" s="64"/>
      <c r="I2479" s="350">
        <f>ventas_b_mes684[[#This Row],[IMPORTE NETO]]*0.21</f>
        <v>0</v>
      </c>
      <c r="J2479" s="351"/>
      <c r="K2479" s="351"/>
      <c r="L2479" s="351">
        <f>SUM(ventas_b_mes684[[#This Row],[IMPORTE NETO]:[EXENTO]])</f>
        <v>0</v>
      </c>
      <c r="M2479" s="352"/>
    </row>
    <row r="2480" spans="2:13" x14ac:dyDescent="0.25">
      <c r="B2480" s="40"/>
      <c r="C2480" s="41"/>
      <c r="D2480" s="357"/>
      <c r="E2480" s="358"/>
      <c r="F2480" s="359"/>
      <c r="G2480" s="360" t="str">
        <f>IFERROR(IF(ventas_b_mes684[[#This Row],[CUIT]]="","-",VLOOKUP(ventas_b_mes684[[#This Row],[CUIT]],Lista_CUIT[#All],2,0)),"CUIT NO CARGADO")</f>
        <v>-</v>
      </c>
      <c r="H2480" s="64"/>
      <c r="I2480" s="350">
        <f>ventas_b_mes684[[#This Row],[IMPORTE NETO]]*0.21</f>
        <v>0</v>
      </c>
      <c r="J2480" s="351"/>
      <c r="K2480" s="351"/>
      <c r="L2480" s="351">
        <f>SUM(ventas_b_mes684[[#This Row],[IMPORTE NETO]:[EXENTO]])</f>
        <v>0</v>
      </c>
      <c r="M2480" s="352"/>
    </row>
    <row r="2481" spans="2:13" x14ac:dyDescent="0.25">
      <c r="B2481" s="40"/>
      <c r="C2481" s="41"/>
      <c r="D2481" s="357"/>
      <c r="E2481" s="358"/>
      <c r="F2481" s="359"/>
      <c r="G2481" s="360" t="str">
        <f>IFERROR(IF(ventas_b_mes684[[#This Row],[CUIT]]="","-",VLOOKUP(ventas_b_mes684[[#This Row],[CUIT]],Lista_CUIT[#All],2,0)),"CUIT NO CARGADO")</f>
        <v>-</v>
      </c>
      <c r="H2481" s="64"/>
      <c r="I2481" s="350">
        <f>ventas_b_mes684[[#This Row],[IMPORTE NETO]]*0.21</f>
        <v>0</v>
      </c>
      <c r="J2481" s="351"/>
      <c r="K2481" s="351"/>
      <c r="L2481" s="351">
        <f>SUM(ventas_b_mes684[[#This Row],[IMPORTE NETO]:[EXENTO]])</f>
        <v>0</v>
      </c>
      <c r="M2481" s="352"/>
    </row>
    <row r="2482" spans="2:13" x14ac:dyDescent="0.25">
      <c r="B2482" s="40"/>
      <c r="C2482" s="41"/>
      <c r="D2482" s="357"/>
      <c r="E2482" s="358"/>
      <c r="F2482" s="359"/>
      <c r="G2482" s="360" t="str">
        <f>IFERROR(IF(ventas_b_mes684[[#This Row],[CUIT]]="","-",VLOOKUP(ventas_b_mes684[[#This Row],[CUIT]],Lista_CUIT[#All],2,0)),"CUIT NO CARGADO")</f>
        <v>-</v>
      </c>
      <c r="H2482" s="64"/>
      <c r="I2482" s="350">
        <f>ventas_b_mes684[[#This Row],[IMPORTE NETO]]*0.21</f>
        <v>0</v>
      </c>
      <c r="J2482" s="351"/>
      <c r="K2482" s="351"/>
      <c r="L2482" s="351">
        <f>SUM(ventas_b_mes684[[#This Row],[IMPORTE NETO]:[EXENTO]])</f>
        <v>0</v>
      </c>
      <c r="M2482" s="352"/>
    </row>
    <row r="2483" spans="2:13" x14ac:dyDescent="0.25">
      <c r="B2483" s="40"/>
      <c r="C2483" s="41"/>
      <c r="D2483" s="357"/>
      <c r="E2483" s="358"/>
      <c r="F2483" s="359"/>
      <c r="G2483" s="360" t="str">
        <f>IFERROR(IF(ventas_b_mes684[[#This Row],[CUIT]]="","-",VLOOKUP(ventas_b_mes684[[#This Row],[CUIT]],Lista_CUIT[#All],2,0)),"CUIT NO CARGADO")</f>
        <v>-</v>
      </c>
      <c r="H2483" s="64"/>
      <c r="I2483" s="350">
        <f>ventas_b_mes684[[#This Row],[IMPORTE NETO]]*0.21</f>
        <v>0</v>
      </c>
      <c r="J2483" s="351"/>
      <c r="K2483" s="351"/>
      <c r="L2483" s="351">
        <f>SUM(ventas_b_mes684[[#This Row],[IMPORTE NETO]:[EXENTO]])</f>
        <v>0</v>
      </c>
      <c r="M2483" s="352"/>
    </row>
    <row r="2484" spans="2:13" x14ac:dyDescent="0.25">
      <c r="B2484" s="40"/>
      <c r="C2484" s="41"/>
      <c r="D2484" s="357"/>
      <c r="E2484" s="358"/>
      <c r="F2484" s="359"/>
      <c r="G2484" s="360" t="str">
        <f>IFERROR(IF(ventas_b_mes684[[#This Row],[CUIT]]="","-",VLOOKUP(ventas_b_mes684[[#This Row],[CUIT]],Lista_CUIT[#All],2,0)),"CUIT NO CARGADO")</f>
        <v>-</v>
      </c>
      <c r="H2484" s="64"/>
      <c r="I2484" s="350">
        <f>ventas_b_mes684[[#This Row],[IMPORTE NETO]]*0.21</f>
        <v>0</v>
      </c>
      <c r="J2484" s="351"/>
      <c r="K2484" s="351"/>
      <c r="L2484" s="351">
        <f>SUM(ventas_b_mes684[[#This Row],[IMPORTE NETO]:[EXENTO]])</f>
        <v>0</v>
      </c>
      <c r="M2484" s="352"/>
    </row>
    <row r="2485" spans="2:13" x14ac:dyDescent="0.25">
      <c r="B2485" s="40"/>
      <c r="C2485" s="41"/>
      <c r="D2485" s="357"/>
      <c r="E2485" s="358"/>
      <c r="F2485" s="359"/>
      <c r="G2485" s="360" t="str">
        <f>IFERROR(IF(ventas_b_mes684[[#This Row],[CUIT]]="","-",VLOOKUP(ventas_b_mes684[[#This Row],[CUIT]],Lista_CUIT[#All],2,0)),"CUIT NO CARGADO")</f>
        <v>-</v>
      </c>
      <c r="H2485" s="64"/>
      <c r="I2485" s="350">
        <f>ventas_b_mes684[[#This Row],[IMPORTE NETO]]*0.21</f>
        <v>0</v>
      </c>
      <c r="J2485" s="351"/>
      <c r="K2485" s="351"/>
      <c r="L2485" s="351">
        <f>SUM(ventas_b_mes684[[#This Row],[IMPORTE NETO]:[EXENTO]])</f>
        <v>0</v>
      </c>
      <c r="M2485" s="352"/>
    </row>
    <row r="2486" spans="2:13" x14ac:dyDescent="0.25">
      <c r="B2486" s="40"/>
      <c r="C2486" s="41"/>
      <c r="D2486" s="357"/>
      <c r="E2486" s="358"/>
      <c r="F2486" s="359"/>
      <c r="G2486" s="360" t="str">
        <f>IFERROR(IF(ventas_b_mes684[[#This Row],[CUIT]]="","-",VLOOKUP(ventas_b_mes684[[#This Row],[CUIT]],Lista_CUIT[#All],2,0)),"CUIT NO CARGADO")</f>
        <v>-</v>
      </c>
      <c r="H2486" s="64"/>
      <c r="I2486" s="350">
        <f>ventas_b_mes684[[#This Row],[IMPORTE NETO]]*0.21</f>
        <v>0</v>
      </c>
      <c r="J2486" s="351"/>
      <c r="K2486" s="351"/>
      <c r="L2486" s="351">
        <f>SUM(ventas_b_mes684[[#This Row],[IMPORTE NETO]:[EXENTO]])</f>
        <v>0</v>
      </c>
      <c r="M2486" s="352"/>
    </row>
    <row r="2487" spans="2:13" x14ac:dyDescent="0.25">
      <c r="B2487" s="40"/>
      <c r="C2487" s="41"/>
      <c r="D2487" s="357"/>
      <c r="E2487" s="358"/>
      <c r="F2487" s="359"/>
      <c r="G2487" s="360" t="str">
        <f>IFERROR(IF(ventas_b_mes684[[#This Row],[CUIT]]="","-",VLOOKUP(ventas_b_mes684[[#This Row],[CUIT]],Lista_CUIT[#All],2,0)),"CUIT NO CARGADO")</f>
        <v>-</v>
      </c>
      <c r="H2487" s="64"/>
      <c r="I2487" s="350">
        <f>ventas_b_mes684[[#This Row],[IMPORTE NETO]]*0.21</f>
        <v>0</v>
      </c>
      <c r="J2487" s="351"/>
      <c r="K2487" s="351"/>
      <c r="L2487" s="351">
        <f>SUM(ventas_b_mes684[[#This Row],[IMPORTE NETO]:[EXENTO]])</f>
        <v>0</v>
      </c>
      <c r="M2487" s="352"/>
    </row>
    <row r="2488" spans="2:13" x14ac:dyDescent="0.25">
      <c r="B2488" s="40"/>
      <c r="C2488" s="41"/>
      <c r="D2488" s="357"/>
      <c r="E2488" s="358"/>
      <c r="F2488" s="359"/>
      <c r="G2488" s="360" t="str">
        <f>IFERROR(IF(ventas_b_mes684[[#This Row],[CUIT]]="","-",VLOOKUP(ventas_b_mes684[[#This Row],[CUIT]],Lista_CUIT[#All],2,0)),"CUIT NO CARGADO")</f>
        <v>-</v>
      </c>
      <c r="H2488" s="64"/>
      <c r="I2488" s="350">
        <f>ventas_b_mes684[[#This Row],[IMPORTE NETO]]*0.21</f>
        <v>0</v>
      </c>
      <c r="J2488" s="351"/>
      <c r="K2488" s="351"/>
      <c r="L2488" s="351">
        <f>SUM(ventas_b_mes684[[#This Row],[IMPORTE NETO]:[EXENTO]])</f>
        <v>0</v>
      </c>
      <c r="M2488" s="352"/>
    </row>
    <row r="2489" spans="2:13" x14ac:dyDescent="0.25">
      <c r="B2489" s="40"/>
      <c r="C2489" s="41"/>
      <c r="D2489" s="357"/>
      <c r="E2489" s="358"/>
      <c r="F2489" s="359"/>
      <c r="G2489" s="360" t="str">
        <f>IFERROR(IF(ventas_b_mes684[[#This Row],[CUIT]]="","-",VLOOKUP(ventas_b_mes684[[#This Row],[CUIT]],Lista_CUIT[#All],2,0)),"CUIT NO CARGADO")</f>
        <v>-</v>
      </c>
      <c r="H2489" s="64"/>
      <c r="I2489" s="350">
        <f>ventas_b_mes684[[#This Row],[IMPORTE NETO]]*0.21</f>
        <v>0</v>
      </c>
      <c r="J2489" s="351"/>
      <c r="K2489" s="351"/>
      <c r="L2489" s="351">
        <f>SUM(ventas_b_mes684[[#This Row],[IMPORTE NETO]:[EXENTO]])</f>
        <v>0</v>
      </c>
      <c r="M2489" s="352"/>
    </row>
    <row r="2490" spans="2:13" x14ac:dyDescent="0.25">
      <c r="B2490" s="40"/>
      <c r="C2490" s="41"/>
      <c r="D2490" s="357"/>
      <c r="E2490" s="358"/>
      <c r="F2490" s="359"/>
      <c r="G2490" s="360" t="str">
        <f>IFERROR(IF(ventas_b_mes684[[#This Row],[CUIT]]="","-",VLOOKUP(ventas_b_mes684[[#This Row],[CUIT]],Lista_CUIT[#All],2,0)),"CUIT NO CARGADO")</f>
        <v>-</v>
      </c>
      <c r="H2490" s="64"/>
      <c r="I2490" s="350">
        <f>ventas_b_mes684[[#This Row],[IMPORTE NETO]]*0.21</f>
        <v>0</v>
      </c>
      <c r="J2490" s="351"/>
      <c r="K2490" s="351"/>
      <c r="L2490" s="351">
        <f>SUM(ventas_b_mes684[[#This Row],[IMPORTE NETO]:[EXENTO]])</f>
        <v>0</v>
      </c>
      <c r="M2490" s="352"/>
    </row>
    <row r="2491" spans="2:13" x14ac:dyDescent="0.25">
      <c r="B2491" s="40"/>
      <c r="C2491" s="41"/>
      <c r="D2491" s="357"/>
      <c r="E2491" s="358"/>
      <c r="F2491" s="359"/>
      <c r="G2491" s="360" t="str">
        <f>IFERROR(IF(ventas_b_mes684[[#This Row],[CUIT]]="","-",VLOOKUP(ventas_b_mes684[[#This Row],[CUIT]],Lista_CUIT[#All],2,0)),"CUIT NO CARGADO")</f>
        <v>-</v>
      </c>
      <c r="H2491" s="64"/>
      <c r="I2491" s="350">
        <f>ventas_b_mes684[[#This Row],[IMPORTE NETO]]*0.21</f>
        <v>0</v>
      </c>
      <c r="J2491" s="351"/>
      <c r="K2491" s="351"/>
      <c r="L2491" s="351">
        <f>SUM(ventas_b_mes684[[#This Row],[IMPORTE NETO]:[EXENTO]])</f>
        <v>0</v>
      </c>
      <c r="M2491" s="352"/>
    </row>
    <row r="2492" spans="2:13" x14ac:dyDescent="0.25">
      <c r="B2492" s="40"/>
      <c r="C2492" s="41"/>
      <c r="D2492" s="357"/>
      <c r="E2492" s="358"/>
      <c r="F2492" s="359"/>
      <c r="G2492" s="360" t="str">
        <f>IFERROR(IF(ventas_b_mes684[[#This Row],[CUIT]]="","-",VLOOKUP(ventas_b_mes684[[#This Row],[CUIT]],Lista_CUIT[#All],2,0)),"CUIT NO CARGADO")</f>
        <v>-</v>
      </c>
      <c r="H2492" s="64"/>
      <c r="I2492" s="350">
        <f>ventas_b_mes684[[#This Row],[IMPORTE NETO]]*0.21</f>
        <v>0</v>
      </c>
      <c r="J2492" s="351"/>
      <c r="K2492" s="351"/>
      <c r="L2492" s="351">
        <f>SUM(ventas_b_mes684[[#This Row],[IMPORTE NETO]:[EXENTO]])</f>
        <v>0</v>
      </c>
      <c r="M2492" s="352"/>
    </row>
    <row r="2493" spans="2:13" x14ac:dyDescent="0.25">
      <c r="B2493" s="40"/>
      <c r="C2493" s="41"/>
      <c r="D2493" s="357"/>
      <c r="E2493" s="358"/>
      <c r="F2493" s="359"/>
      <c r="G2493" s="360" t="str">
        <f>IFERROR(IF(ventas_b_mes684[[#This Row],[CUIT]]="","-",VLOOKUP(ventas_b_mes684[[#This Row],[CUIT]],Lista_CUIT[#All],2,0)),"CUIT NO CARGADO")</f>
        <v>-</v>
      </c>
      <c r="H2493" s="64"/>
      <c r="I2493" s="350">
        <f>ventas_b_mes684[[#This Row],[IMPORTE NETO]]*0.21</f>
        <v>0</v>
      </c>
      <c r="J2493" s="351"/>
      <c r="K2493" s="351"/>
      <c r="L2493" s="351">
        <f>SUM(ventas_b_mes684[[#This Row],[IMPORTE NETO]:[EXENTO]])</f>
        <v>0</v>
      </c>
      <c r="M2493" s="352"/>
    </row>
    <row r="2494" spans="2:13" x14ac:dyDescent="0.25">
      <c r="B2494" s="40"/>
      <c r="C2494" s="41"/>
      <c r="D2494" s="357"/>
      <c r="E2494" s="358"/>
      <c r="F2494" s="359"/>
      <c r="G2494" s="360" t="str">
        <f>IFERROR(IF(ventas_b_mes684[[#This Row],[CUIT]]="","-",VLOOKUP(ventas_b_mes684[[#This Row],[CUIT]],Lista_CUIT[#All],2,0)),"CUIT NO CARGADO")</f>
        <v>-</v>
      </c>
      <c r="H2494" s="64"/>
      <c r="I2494" s="350">
        <f>ventas_b_mes684[[#This Row],[IMPORTE NETO]]*0.21</f>
        <v>0</v>
      </c>
      <c r="J2494" s="351"/>
      <c r="K2494" s="351"/>
      <c r="L2494" s="351">
        <f>SUM(ventas_b_mes684[[#This Row],[IMPORTE NETO]:[EXENTO]])</f>
        <v>0</v>
      </c>
      <c r="M2494" s="352"/>
    </row>
    <row r="2495" spans="2:13" x14ac:dyDescent="0.25">
      <c r="B2495" s="40"/>
      <c r="C2495" s="41"/>
      <c r="D2495" s="357"/>
      <c r="E2495" s="358"/>
      <c r="F2495" s="359"/>
      <c r="G2495" s="360" t="str">
        <f>IFERROR(IF(ventas_b_mes684[[#This Row],[CUIT]]="","-",VLOOKUP(ventas_b_mes684[[#This Row],[CUIT]],Lista_CUIT[#All],2,0)),"CUIT NO CARGADO")</f>
        <v>-</v>
      </c>
      <c r="H2495" s="64"/>
      <c r="I2495" s="350">
        <f>ventas_b_mes684[[#This Row],[IMPORTE NETO]]*0.21</f>
        <v>0</v>
      </c>
      <c r="J2495" s="351"/>
      <c r="K2495" s="351"/>
      <c r="L2495" s="351">
        <f>SUM(ventas_b_mes684[[#This Row],[IMPORTE NETO]:[EXENTO]])</f>
        <v>0</v>
      </c>
      <c r="M2495" s="352"/>
    </row>
    <row r="2496" spans="2:13" x14ac:dyDescent="0.25">
      <c r="B2496" s="40"/>
      <c r="C2496" s="41"/>
      <c r="D2496" s="357"/>
      <c r="E2496" s="358"/>
      <c r="F2496" s="359"/>
      <c r="G2496" s="360" t="str">
        <f>IFERROR(IF(ventas_b_mes684[[#This Row],[CUIT]]="","-",VLOOKUP(ventas_b_mes684[[#This Row],[CUIT]],Lista_CUIT[#All],2,0)),"CUIT NO CARGADO")</f>
        <v>-</v>
      </c>
      <c r="H2496" s="64"/>
      <c r="I2496" s="350">
        <f>ventas_b_mes684[[#This Row],[IMPORTE NETO]]*0.21</f>
        <v>0</v>
      </c>
      <c r="J2496" s="351"/>
      <c r="K2496" s="351"/>
      <c r="L2496" s="351">
        <f>SUM(ventas_b_mes684[[#This Row],[IMPORTE NETO]:[EXENTO]])</f>
        <v>0</v>
      </c>
      <c r="M2496" s="352"/>
    </row>
    <row r="2497" spans="2:13" x14ac:dyDescent="0.25">
      <c r="B2497" s="40"/>
      <c r="C2497" s="41"/>
      <c r="D2497" s="357"/>
      <c r="E2497" s="358"/>
      <c r="F2497" s="359"/>
      <c r="G2497" s="360" t="str">
        <f>IFERROR(IF(ventas_b_mes684[[#This Row],[CUIT]]="","-",VLOOKUP(ventas_b_mes684[[#This Row],[CUIT]],Lista_CUIT[#All],2,0)),"CUIT NO CARGADO")</f>
        <v>-</v>
      </c>
      <c r="H2497" s="64"/>
      <c r="I2497" s="350">
        <f>ventas_b_mes684[[#This Row],[IMPORTE NETO]]*0.21</f>
        <v>0</v>
      </c>
      <c r="J2497" s="351"/>
      <c r="K2497" s="351"/>
      <c r="L2497" s="351">
        <f>SUM(ventas_b_mes684[[#This Row],[IMPORTE NETO]:[EXENTO]])</f>
        <v>0</v>
      </c>
      <c r="M2497" s="352"/>
    </row>
    <row r="2498" spans="2:13" x14ac:dyDescent="0.25">
      <c r="B2498" s="40"/>
      <c r="C2498" s="41"/>
      <c r="D2498" s="357"/>
      <c r="E2498" s="358"/>
      <c r="F2498" s="359"/>
      <c r="G2498" s="360" t="str">
        <f>IFERROR(IF(ventas_b_mes684[[#This Row],[CUIT]]="","-",VLOOKUP(ventas_b_mes684[[#This Row],[CUIT]],Lista_CUIT[#All],2,0)),"CUIT NO CARGADO")</f>
        <v>-</v>
      </c>
      <c r="H2498" s="64"/>
      <c r="I2498" s="350">
        <f>ventas_b_mes684[[#This Row],[IMPORTE NETO]]*0.21</f>
        <v>0</v>
      </c>
      <c r="J2498" s="351"/>
      <c r="K2498" s="351"/>
      <c r="L2498" s="351">
        <f>SUM(ventas_b_mes684[[#This Row],[IMPORTE NETO]:[EXENTO]])</f>
        <v>0</v>
      </c>
      <c r="M2498" s="352"/>
    </row>
    <row r="2499" spans="2:13" x14ac:dyDescent="0.25">
      <c r="B2499" s="40"/>
      <c r="C2499" s="41"/>
      <c r="D2499" s="357"/>
      <c r="E2499" s="358"/>
      <c r="F2499" s="359"/>
      <c r="G2499" s="360" t="str">
        <f>IFERROR(IF(ventas_b_mes684[[#This Row],[CUIT]]="","-",VLOOKUP(ventas_b_mes684[[#This Row],[CUIT]],Lista_CUIT[#All],2,0)),"CUIT NO CARGADO")</f>
        <v>-</v>
      </c>
      <c r="H2499" s="64"/>
      <c r="I2499" s="350">
        <f>ventas_b_mes684[[#This Row],[IMPORTE NETO]]*0.21</f>
        <v>0</v>
      </c>
      <c r="J2499" s="351"/>
      <c r="K2499" s="351"/>
      <c r="L2499" s="351">
        <f>SUM(ventas_b_mes684[[#This Row],[IMPORTE NETO]:[EXENTO]])</f>
        <v>0</v>
      </c>
      <c r="M2499" s="352"/>
    </row>
    <row r="2500" spans="2:13" x14ac:dyDescent="0.25">
      <c r="B2500" s="40"/>
      <c r="C2500" s="41"/>
      <c r="D2500" s="357"/>
      <c r="E2500" s="358"/>
      <c r="F2500" s="359"/>
      <c r="G2500" s="360" t="str">
        <f>IFERROR(IF(ventas_b_mes684[[#This Row],[CUIT]]="","-",VLOOKUP(ventas_b_mes684[[#This Row],[CUIT]],Lista_CUIT[#All],2,0)),"CUIT NO CARGADO")</f>
        <v>-</v>
      </c>
      <c r="H2500" s="64"/>
      <c r="I2500" s="350">
        <f>ventas_b_mes684[[#This Row],[IMPORTE NETO]]*0.21</f>
        <v>0</v>
      </c>
      <c r="J2500" s="351"/>
      <c r="K2500" s="351"/>
      <c r="L2500" s="351">
        <f>SUM(ventas_b_mes684[[#This Row],[IMPORTE NETO]:[EXENTO]])</f>
        <v>0</v>
      </c>
      <c r="M2500" s="352"/>
    </row>
    <row r="2501" spans="2:13" x14ac:dyDescent="0.25">
      <c r="B2501" s="40"/>
      <c r="C2501" s="41"/>
      <c r="D2501" s="357"/>
      <c r="E2501" s="358"/>
      <c r="F2501" s="359"/>
      <c r="G2501" s="360" t="str">
        <f>IFERROR(IF(ventas_b_mes684[[#This Row],[CUIT]]="","-",VLOOKUP(ventas_b_mes684[[#This Row],[CUIT]],Lista_CUIT[#All],2,0)),"CUIT NO CARGADO")</f>
        <v>-</v>
      </c>
      <c r="H2501" s="64"/>
      <c r="I2501" s="350">
        <f>ventas_b_mes684[[#This Row],[IMPORTE NETO]]*0.21</f>
        <v>0</v>
      </c>
      <c r="J2501" s="351"/>
      <c r="K2501" s="351"/>
      <c r="L2501" s="351">
        <f>SUM(ventas_b_mes684[[#This Row],[IMPORTE NETO]:[EXENTO]])</f>
        <v>0</v>
      </c>
      <c r="M2501" s="352"/>
    </row>
    <row r="2502" spans="2:13" x14ac:dyDescent="0.25">
      <c r="B2502" s="40"/>
      <c r="C2502" s="41"/>
      <c r="D2502" s="357"/>
      <c r="E2502" s="358"/>
      <c r="F2502" s="359"/>
      <c r="G2502" s="360" t="str">
        <f>IFERROR(IF(ventas_b_mes684[[#This Row],[CUIT]]="","-",VLOOKUP(ventas_b_mes684[[#This Row],[CUIT]],Lista_CUIT[#All],2,0)),"CUIT NO CARGADO")</f>
        <v>-</v>
      </c>
      <c r="H2502" s="64"/>
      <c r="I2502" s="350">
        <f>ventas_b_mes684[[#This Row],[IMPORTE NETO]]*0.21</f>
        <v>0</v>
      </c>
      <c r="J2502" s="351"/>
      <c r="K2502" s="351"/>
      <c r="L2502" s="351">
        <f>SUM(ventas_b_mes684[[#This Row],[IMPORTE NETO]:[EXENTO]])</f>
        <v>0</v>
      </c>
      <c r="M2502" s="352"/>
    </row>
    <row r="2503" spans="2:13" x14ac:dyDescent="0.25">
      <c r="B2503" s="40"/>
      <c r="C2503" s="41"/>
      <c r="D2503" s="357"/>
      <c r="E2503" s="358"/>
      <c r="F2503" s="359"/>
      <c r="G2503" s="360" t="str">
        <f>IFERROR(IF(ventas_b_mes684[[#This Row],[CUIT]]="","-",VLOOKUP(ventas_b_mes684[[#This Row],[CUIT]],Lista_CUIT[#All],2,0)),"CUIT NO CARGADO")</f>
        <v>-</v>
      </c>
      <c r="H2503" s="64"/>
      <c r="I2503" s="350">
        <f>ventas_b_mes684[[#This Row],[IMPORTE NETO]]*0.21</f>
        <v>0</v>
      </c>
      <c r="J2503" s="351"/>
      <c r="K2503" s="351"/>
      <c r="L2503" s="351">
        <f>SUM(ventas_b_mes684[[#This Row],[IMPORTE NETO]:[EXENTO]])</f>
        <v>0</v>
      </c>
      <c r="M2503" s="352"/>
    </row>
    <row r="2504" spans="2:13" x14ac:dyDescent="0.25">
      <c r="B2504" s="40"/>
      <c r="C2504" s="41"/>
      <c r="D2504" s="357"/>
      <c r="E2504" s="358"/>
      <c r="F2504" s="359"/>
      <c r="G2504" s="360" t="str">
        <f>IFERROR(IF(ventas_b_mes684[[#This Row],[CUIT]]="","-",VLOOKUP(ventas_b_mes684[[#This Row],[CUIT]],Lista_CUIT[#All],2,0)),"CUIT NO CARGADO")</f>
        <v>-</v>
      </c>
      <c r="H2504" s="64"/>
      <c r="I2504" s="350">
        <f>ventas_b_mes684[[#This Row],[IMPORTE NETO]]*0.21</f>
        <v>0</v>
      </c>
      <c r="J2504" s="351"/>
      <c r="K2504" s="351"/>
      <c r="L2504" s="351">
        <f>SUM(ventas_b_mes684[[#This Row],[IMPORTE NETO]:[EXENTO]])</f>
        <v>0</v>
      </c>
      <c r="M2504" s="352"/>
    </row>
    <row r="2505" spans="2:13" x14ac:dyDescent="0.25">
      <c r="B2505" s="40"/>
      <c r="C2505" s="41"/>
      <c r="D2505" s="357"/>
      <c r="E2505" s="358"/>
      <c r="F2505" s="359"/>
      <c r="G2505" s="360" t="str">
        <f>IFERROR(IF(ventas_b_mes684[[#This Row],[CUIT]]="","-",VLOOKUP(ventas_b_mes684[[#This Row],[CUIT]],Lista_CUIT[#All],2,0)),"CUIT NO CARGADO")</f>
        <v>-</v>
      </c>
      <c r="H2505" s="64"/>
      <c r="I2505" s="350">
        <f>ventas_b_mes684[[#This Row],[IMPORTE NETO]]*0.21</f>
        <v>0</v>
      </c>
      <c r="J2505" s="351"/>
      <c r="K2505" s="351"/>
      <c r="L2505" s="351">
        <f>SUM(ventas_b_mes684[[#This Row],[IMPORTE NETO]:[EXENTO]])</f>
        <v>0</v>
      </c>
      <c r="M2505" s="352"/>
    </row>
    <row r="2506" spans="2:13" x14ac:dyDescent="0.25">
      <c r="B2506" s="40"/>
      <c r="C2506" s="41"/>
      <c r="D2506" s="357"/>
      <c r="E2506" s="358"/>
      <c r="F2506" s="359"/>
      <c r="G2506" s="360" t="str">
        <f>IFERROR(IF(ventas_b_mes684[[#This Row],[CUIT]]="","-",VLOOKUP(ventas_b_mes684[[#This Row],[CUIT]],Lista_CUIT[#All],2,0)),"CUIT NO CARGADO")</f>
        <v>-</v>
      </c>
      <c r="H2506" s="64"/>
      <c r="I2506" s="350">
        <f>ventas_b_mes684[[#This Row],[IMPORTE NETO]]*0.21</f>
        <v>0</v>
      </c>
      <c r="J2506" s="351"/>
      <c r="K2506" s="351"/>
      <c r="L2506" s="351">
        <f>SUM(ventas_b_mes684[[#This Row],[IMPORTE NETO]:[EXENTO]])</f>
        <v>0</v>
      </c>
      <c r="M2506" s="352"/>
    </row>
    <row r="2507" spans="2:13" x14ac:dyDescent="0.25">
      <c r="B2507" s="40"/>
      <c r="C2507" s="41"/>
      <c r="D2507" s="357"/>
      <c r="E2507" s="358"/>
      <c r="F2507" s="359"/>
      <c r="G2507" s="360" t="str">
        <f>IFERROR(IF(ventas_b_mes684[[#This Row],[CUIT]]="","-",VLOOKUP(ventas_b_mes684[[#This Row],[CUIT]],Lista_CUIT[#All],2,0)),"CUIT NO CARGADO")</f>
        <v>-</v>
      </c>
      <c r="H2507" s="64"/>
      <c r="I2507" s="350">
        <f>ventas_b_mes684[[#This Row],[IMPORTE NETO]]*0.21</f>
        <v>0</v>
      </c>
      <c r="J2507" s="351"/>
      <c r="K2507" s="351"/>
      <c r="L2507" s="351">
        <f>SUM(ventas_b_mes684[[#This Row],[IMPORTE NETO]:[EXENTO]])</f>
        <v>0</v>
      </c>
      <c r="M2507" s="352"/>
    </row>
    <row r="2508" spans="2:13" x14ac:dyDescent="0.25">
      <c r="B2508" s="40"/>
      <c r="C2508" s="41"/>
      <c r="D2508" s="357"/>
      <c r="E2508" s="358"/>
      <c r="F2508" s="359"/>
      <c r="G2508" s="360" t="str">
        <f>IFERROR(IF(ventas_b_mes684[[#This Row],[CUIT]]="","-",VLOOKUP(ventas_b_mes684[[#This Row],[CUIT]],Lista_CUIT[#All],2,0)),"CUIT NO CARGADO")</f>
        <v>-</v>
      </c>
      <c r="H2508" s="64"/>
      <c r="I2508" s="350">
        <f>ventas_b_mes684[[#This Row],[IMPORTE NETO]]*0.21</f>
        <v>0</v>
      </c>
      <c r="J2508" s="351"/>
      <c r="K2508" s="351"/>
      <c r="L2508" s="351">
        <f>SUM(ventas_b_mes684[[#This Row],[IMPORTE NETO]:[EXENTO]])</f>
        <v>0</v>
      </c>
      <c r="M2508" s="352"/>
    </row>
    <row r="2509" spans="2:13" x14ac:dyDescent="0.25">
      <c r="B2509" s="40"/>
      <c r="C2509" s="41"/>
      <c r="D2509" s="357"/>
      <c r="E2509" s="358"/>
      <c r="F2509" s="359"/>
      <c r="G2509" s="360" t="str">
        <f>IFERROR(IF(ventas_b_mes684[[#This Row],[CUIT]]="","-",VLOOKUP(ventas_b_mes684[[#This Row],[CUIT]],Lista_CUIT[#All],2,0)),"CUIT NO CARGADO")</f>
        <v>-</v>
      </c>
      <c r="H2509" s="64"/>
      <c r="I2509" s="350">
        <f>ventas_b_mes684[[#This Row],[IMPORTE NETO]]*0.21</f>
        <v>0</v>
      </c>
      <c r="J2509" s="351"/>
      <c r="K2509" s="351"/>
      <c r="L2509" s="351">
        <f>SUM(ventas_b_mes684[[#This Row],[IMPORTE NETO]:[EXENTO]])</f>
        <v>0</v>
      </c>
      <c r="M2509" s="352"/>
    </row>
    <row r="2510" spans="2:13" x14ac:dyDescent="0.25">
      <c r="B2510" s="40"/>
      <c r="C2510" s="41"/>
      <c r="D2510" s="357"/>
      <c r="E2510" s="358"/>
      <c r="F2510" s="359"/>
      <c r="G2510" s="360" t="str">
        <f>IFERROR(IF(ventas_b_mes684[[#This Row],[CUIT]]="","-",VLOOKUP(ventas_b_mes684[[#This Row],[CUIT]],Lista_CUIT[#All],2,0)),"CUIT NO CARGADO")</f>
        <v>-</v>
      </c>
      <c r="H2510" s="64"/>
      <c r="I2510" s="350">
        <f>ventas_b_mes684[[#This Row],[IMPORTE NETO]]*0.21</f>
        <v>0</v>
      </c>
      <c r="J2510" s="351"/>
      <c r="K2510" s="351"/>
      <c r="L2510" s="351">
        <f>SUM(ventas_b_mes684[[#This Row],[IMPORTE NETO]:[EXENTO]])</f>
        <v>0</v>
      </c>
      <c r="M2510" s="352"/>
    </row>
    <row r="2511" spans="2:13" x14ac:dyDescent="0.25">
      <c r="B2511" s="40"/>
      <c r="C2511" s="41"/>
      <c r="D2511" s="357"/>
      <c r="E2511" s="358"/>
      <c r="F2511" s="359"/>
      <c r="G2511" s="360" t="str">
        <f>IFERROR(IF(ventas_b_mes684[[#This Row],[CUIT]]="","-",VLOOKUP(ventas_b_mes684[[#This Row],[CUIT]],Lista_CUIT[#All],2,0)),"CUIT NO CARGADO")</f>
        <v>-</v>
      </c>
      <c r="H2511" s="64"/>
      <c r="I2511" s="350">
        <f>ventas_b_mes684[[#This Row],[IMPORTE NETO]]*0.21</f>
        <v>0</v>
      </c>
      <c r="J2511" s="351"/>
      <c r="K2511" s="351"/>
      <c r="L2511" s="351">
        <f>SUM(ventas_b_mes684[[#This Row],[IMPORTE NETO]:[EXENTO]])</f>
        <v>0</v>
      </c>
      <c r="M2511" s="352"/>
    </row>
    <row r="2512" spans="2:13" x14ac:dyDescent="0.25">
      <c r="B2512" s="40"/>
      <c r="C2512" s="41"/>
      <c r="D2512" s="357"/>
      <c r="E2512" s="358"/>
      <c r="F2512" s="359"/>
      <c r="G2512" s="360" t="str">
        <f>IFERROR(IF(ventas_b_mes684[[#This Row],[CUIT]]="","-",VLOOKUP(ventas_b_mes684[[#This Row],[CUIT]],Lista_CUIT[#All],2,0)),"CUIT NO CARGADO")</f>
        <v>-</v>
      </c>
      <c r="H2512" s="64"/>
      <c r="I2512" s="350">
        <f>ventas_b_mes684[[#This Row],[IMPORTE NETO]]*0.21</f>
        <v>0</v>
      </c>
      <c r="J2512" s="351"/>
      <c r="K2512" s="351"/>
      <c r="L2512" s="351">
        <f>SUM(ventas_b_mes684[[#This Row],[IMPORTE NETO]:[EXENTO]])</f>
        <v>0</v>
      </c>
      <c r="M2512" s="352"/>
    </row>
    <row r="2513" spans="2:13" x14ac:dyDescent="0.25">
      <c r="B2513" s="40"/>
      <c r="C2513" s="41"/>
      <c r="D2513" s="357"/>
      <c r="E2513" s="358"/>
      <c r="F2513" s="359"/>
      <c r="G2513" s="360" t="str">
        <f>IFERROR(IF(ventas_b_mes684[[#This Row],[CUIT]]="","-",VLOOKUP(ventas_b_mes684[[#This Row],[CUIT]],Lista_CUIT[#All],2,0)),"CUIT NO CARGADO")</f>
        <v>-</v>
      </c>
      <c r="H2513" s="64"/>
      <c r="I2513" s="350">
        <f>ventas_b_mes684[[#This Row],[IMPORTE NETO]]*0.21</f>
        <v>0</v>
      </c>
      <c r="J2513" s="351"/>
      <c r="K2513" s="351"/>
      <c r="L2513" s="351">
        <f>SUM(ventas_b_mes684[[#This Row],[IMPORTE NETO]:[EXENTO]])</f>
        <v>0</v>
      </c>
      <c r="M2513" s="352"/>
    </row>
    <row r="2514" spans="2:13" x14ac:dyDescent="0.25">
      <c r="B2514" s="40"/>
      <c r="C2514" s="41"/>
      <c r="D2514" s="357"/>
      <c r="E2514" s="358"/>
      <c r="F2514" s="359"/>
      <c r="G2514" s="360" t="str">
        <f>IFERROR(IF(ventas_b_mes684[[#This Row],[CUIT]]="","-",VLOOKUP(ventas_b_mes684[[#This Row],[CUIT]],Lista_CUIT[#All],2,0)),"CUIT NO CARGADO")</f>
        <v>-</v>
      </c>
      <c r="H2514" s="64"/>
      <c r="I2514" s="350">
        <f>ventas_b_mes684[[#This Row],[IMPORTE NETO]]*0.21</f>
        <v>0</v>
      </c>
      <c r="J2514" s="351"/>
      <c r="K2514" s="351"/>
      <c r="L2514" s="351">
        <f>SUM(ventas_b_mes684[[#This Row],[IMPORTE NETO]:[EXENTO]])</f>
        <v>0</v>
      </c>
      <c r="M2514" s="352"/>
    </row>
    <row r="2515" spans="2:13" x14ac:dyDescent="0.25">
      <c r="B2515" s="40"/>
      <c r="C2515" s="41"/>
      <c r="D2515" s="357"/>
      <c r="E2515" s="358"/>
      <c r="F2515" s="359"/>
      <c r="G2515" s="360" t="str">
        <f>IFERROR(IF(ventas_b_mes684[[#This Row],[CUIT]]="","-",VLOOKUP(ventas_b_mes684[[#This Row],[CUIT]],Lista_CUIT[#All],2,0)),"CUIT NO CARGADO")</f>
        <v>-</v>
      </c>
      <c r="H2515" s="64"/>
      <c r="I2515" s="350">
        <f>ventas_b_mes684[[#This Row],[IMPORTE NETO]]*0.21</f>
        <v>0</v>
      </c>
      <c r="J2515" s="351"/>
      <c r="K2515" s="351"/>
      <c r="L2515" s="351">
        <f>SUM(ventas_b_mes684[[#This Row],[IMPORTE NETO]:[EXENTO]])</f>
        <v>0</v>
      </c>
      <c r="M2515" s="352"/>
    </row>
    <row r="2516" spans="2:13" x14ac:dyDescent="0.25">
      <c r="B2516" s="40"/>
      <c r="C2516" s="41"/>
      <c r="D2516" s="357"/>
      <c r="E2516" s="358"/>
      <c r="F2516" s="359"/>
      <c r="G2516" s="360" t="str">
        <f>IFERROR(IF(ventas_b_mes684[[#This Row],[CUIT]]="","-",VLOOKUP(ventas_b_mes684[[#This Row],[CUIT]],Lista_CUIT[#All],2,0)),"CUIT NO CARGADO")</f>
        <v>-</v>
      </c>
      <c r="H2516" s="64"/>
      <c r="I2516" s="350">
        <f>ventas_b_mes684[[#This Row],[IMPORTE NETO]]*0.21</f>
        <v>0</v>
      </c>
      <c r="J2516" s="351"/>
      <c r="K2516" s="351"/>
      <c r="L2516" s="351">
        <f>SUM(ventas_b_mes684[[#This Row],[IMPORTE NETO]:[EXENTO]])</f>
        <v>0</v>
      </c>
      <c r="M2516" s="352"/>
    </row>
    <row r="2517" spans="2:13" x14ac:dyDescent="0.25">
      <c r="B2517" s="40"/>
      <c r="C2517" s="41"/>
      <c r="D2517" s="357"/>
      <c r="E2517" s="358"/>
      <c r="F2517" s="359"/>
      <c r="G2517" s="360" t="str">
        <f>IFERROR(IF(ventas_b_mes684[[#This Row],[CUIT]]="","-",VLOOKUP(ventas_b_mes684[[#This Row],[CUIT]],Lista_CUIT[#All],2,0)),"CUIT NO CARGADO")</f>
        <v>-</v>
      </c>
      <c r="H2517" s="64"/>
      <c r="I2517" s="350">
        <f>ventas_b_mes684[[#This Row],[IMPORTE NETO]]*0.21</f>
        <v>0</v>
      </c>
      <c r="J2517" s="351"/>
      <c r="K2517" s="351"/>
      <c r="L2517" s="351">
        <f>SUM(ventas_b_mes684[[#This Row],[IMPORTE NETO]:[EXENTO]])</f>
        <v>0</v>
      </c>
      <c r="M2517" s="352"/>
    </row>
    <row r="2518" spans="2:13" x14ac:dyDescent="0.25">
      <c r="B2518" s="40"/>
      <c r="C2518" s="41"/>
      <c r="D2518" s="357"/>
      <c r="E2518" s="358"/>
      <c r="F2518" s="359"/>
      <c r="G2518" s="360" t="str">
        <f>IFERROR(IF(ventas_b_mes684[[#This Row],[CUIT]]="","-",VLOOKUP(ventas_b_mes684[[#This Row],[CUIT]],Lista_CUIT[#All],2,0)),"CUIT NO CARGADO")</f>
        <v>-</v>
      </c>
      <c r="H2518" s="64"/>
      <c r="I2518" s="350">
        <f>ventas_b_mes684[[#This Row],[IMPORTE NETO]]*0.21</f>
        <v>0</v>
      </c>
      <c r="J2518" s="351"/>
      <c r="K2518" s="351"/>
      <c r="L2518" s="351">
        <f>SUM(ventas_b_mes684[[#This Row],[IMPORTE NETO]:[EXENTO]])</f>
        <v>0</v>
      </c>
      <c r="M2518" s="352"/>
    </row>
    <row r="2519" spans="2:13" x14ac:dyDescent="0.25">
      <c r="B2519" s="40"/>
      <c r="C2519" s="41"/>
      <c r="D2519" s="357"/>
      <c r="E2519" s="358"/>
      <c r="F2519" s="359"/>
      <c r="G2519" s="360" t="str">
        <f>IFERROR(IF(ventas_b_mes684[[#This Row],[CUIT]]="","-",VLOOKUP(ventas_b_mes684[[#This Row],[CUIT]],Lista_CUIT[#All],2,0)),"CUIT NO CARGADO")</f>
        <v>-</v>
      </c>
      <c r="H2519" s="64"/>
      <c r="I2519" s="350">
        <f>ventas_b_mes684[[#This Row],[IMPORTE NETO]]*0.21</f>
        <v>0</v>
      </c>
      <c r="J2519" s="351"/>
      <c r="K2519" s="351"/>
      <c r="L2519" s="351">
        <f>SUM(ventas_b_mes684[[#This Row],[IMPORTE NETO]:[EXENTO]])</f>
        <v>0</v>
      </c>
      <c r="M2519" s="352"/>
    </row>
    <row r="2520" spans="2:13" x14ac:dyDescent="0.25">
      <c r="B2520" s="40"/>
      <c r="C2520" s="41"/>
      <c r="D2520" s="357"/>
      <c r="E2520" s="358"/>
      <c r="F2520" s="359"/>
      <c r="G2520" s="360" t="str">
        <f>IFERROR(IF(ventas_b_mes684[[#This Row],[CUIT]]="","-",VLOOKUP(ventas_b_mes684[[#This Row],[CUIT]],Lista_CUIT[#All],2,0)),"CUIT NO CARGADO")</f>
        <v>-</v>
      </c>
      <c r="H2520" s="64"/>
      <c r="I2520" s="350">
        <f>ventas_b_mes684[[#This Row],[IMPORTE NETO]]*0.21</f>
        <v>0</v>
      </c>
      <c r="J2520" s="351"/>
      <c r="K2520" s="351"/>
      <c r="L2520" s="351">
        <f>SUM(ventas_b_mes684[[#This Row],[IMPORTE NETO]:[EXENTO]])</f>
        <v>0</v>
      </c>
      <c r="M2520" s="352"/>
    </row>
    <row r="2521" spans="2:13" x14ac:dyDescent="0.25">
      <c r="B2521" s="40"/>
      <c r="C2521" s="41"/>
      <c r="D2521" s="357"/>
      <c r="E2521" s="358"/>
      <c r="F2521" s="359"/>
      <c r="G2521" s="360" t="str">
        <f>IFERROR(IF(ventas_b_mes684[[#This Row],[CUIT]]="","-",VLOOKUP(ventas_b_mes684[[#This Row],[CUIT]],Lista_CUIT[#All],2,0)),"CUIT NO CARGADO")</f>
        <v>-</v>
      </c>
      <c r="H2521" s="64"/>
      <c r="I2521" s="350">
        <f>ventas_b_mes684[[#This Row],[IMPORTE NETO]]*0.21</f>
        <v>0</v>
      </c>
      <c r="J2521" s="351"/>
      <c r="K2521" s="351"/>
      <c r="L2521" s="351">
        <f>SUM(ventas_b_mes684[[#This Row],[IMPORTE NETO]:[EXENTO]])</f>
        <v>0</v>
      </c>
      <c r="M2521" s="352"/>
    </row>
    <row r="2522" spans="2:13" x14ac:dyDescent="0.25">
      <c r="B2522" s="40"/>
      <c r="C2522" s="41"/>
      <c r="D2522" s="357"/>
      <c r="E2522" s="358"/>
      <c r="F2522" s="359"/>
      <c r="G2522" s="360" t="str">
        <f>IFERROR(IF(ventas_b_mes684[[#This Row],[CUIT]]="","-",VLOOKUP(ventas_b_mes684[[#This Row],[CUIT]],Lista_CUIT[#All],2,0)),"CUIT NO CARGADO")</f>
        <v>-</v>
      </c>
      <c r="H2522" s="64"/>
      <c r="I2522" s="350">
        <f>ventas_b_mes684[[#This Row],[IMPORTE NETO]]*0.21</f>
        <v>0</v>
      </c>
      <c r="J2522" s="351"/>
      <c r="K2522" s="351"/>
      <c r="L2522" s="351">
        <f>SUM(ventas_b_mes684[[#This Row],[IMPORTE NETO]:[EXENTO]])</f>
        <v>0</v>
      </c>
      <c r="M2522" s="352"/>
    </row>
    <row r="2523" spans="2:13" x14ac:dyDescent="0.25">
      <c r="B2523" s="40"/>
      <c r="C2523" s="41"/>
      <c r="D2523" s="357"/>
      <c r="E2523" s="358"/>
      <c r="F2523" s="359"/>
      <c r="G2523" s="360" t="str">
        <f>IFERROR(IF(ventas_b_mes684[[#This Row],[CUIT]]="","-",VLOOKUP(ventas_b_mes684[[#This Row],[CUIT]],Lista_CUIT[#All],2,0)),"CUIT NO CARGADO")</f>
        <v>-</v>
      </c>
      <c r="H2523" s="64"/>
      <c r="I2523" s="350">
        <f>ventas_b_mes684[[#This Row],[IMPORTE NETO]]*0.21</f>
        <v>0</v>
      </c>
      <c r="J2523" s="351"/>
      <c r="K2523" s="351"/>
      <c r="L2523" s="351">
        <f>SUM(ventas_b_mes684[[#This Row],[IMPORTE NETO]:[EXENTO]])</f>
        <v>0</v>
      </c>
      <c r="M2523" s="352"/>
    </row>
    <row r="2524" spans="2:13" x14ac:dyDescent="0.25">
      <c r="B2524" s="40"/>
      <c r="C2524" s="41"/>
      <c r="D2524" s="357"/>
      <c r="E2524" s="358"/>
      <c r="F2524" s="359"/>
      <c r="G2524" s="360" t="str">
        <f>IFERROR(IF(ventas_b_mes684[[#This Row],[CUIT]]="","-",VLOOKUP(ventas_b_mes684[[#This Row],[CUIT]],Lista_CUIT[#All],2,0)),"CUIT NO CARGADO")</f>
        <v>-</v>
      </c>
      <c r="H2524" s="64"/>
      <c r="I2524" s="350">
        <f>ventas_b_mes684[[#This Row],[IMPORTE NETO]]*0.21</f>
        <v>0</v>
      </c>
      <c r="J2524" s="351"/>
      <c r="K2524" s="351"/>
      <c r="L2524" s="351">
        <f>SUM(ventas_b_mes684[[#This Row],[IMPORTE NETO]:[EXENTO]])</f>
        <v>0</v>
      </c>
      <c r="M2524" s="352"/>
    </row>
    <row r="2525" spans="2:13" x14ac:dyDescent="0.25">
      <c r="B2525" s="40"/>
      <c r="C2525" s="41"/>
      <c r="D2525" s="357"/>
      <c r="E2525" s="358"/>
      <c r="F2525" s="359"/>
      <c r="G2525" s="360" t="str">
        <f>IFERROR(IF(ventas_b_mes684[[#This Row],[CUIT]]="","-",VLOOKUP(ventas_b_mes684[[#This Row],[CUIT]],Lista_CUIT[#All],2,0)),"CUIT NO CARGADO")</f>
        <v>-</v>
      </c>
      <c r="H2525" s="64"/>
      <c r="I2525" s="350">
        <f>ventas_b_mes684[[#This Row],[IMPORTE NETO]]*0.21</f>
        <v>0</v>
      </c>
      <c r="J2525" s="351"/>
      <c r="K2525" s="351"/>
      <c r="L2525" s="351">
        <f>SUM(ventas_b_mes684[[#This Row],[IMPORTE NETO]:[EXENTO]])</f>
        <v>0</v>
      </c>
      <c r="M2525" s="352"/>
    </row>
    <row r="2526" spans="2:13" x14ac:dyDescent="0.25">
      <c r="B2526" s="40"/>
      <c r="C2526" s="41"/>
      <c r="D2526" s="357"/>
      <c r="E2526" s="358"/>
      <c r="F2526" s="359"/>
      <c r="G2526" s="360" t="str">
        <f>IFERROR(IF(ventas_b_mes684[[#This Row],[CUIT]]="","-",VLOOKUP(ventas_b_mes684[[#This Row],[CUIT]],Lista_CUIT[#All],2,0)),"CUIT NO CARGADO")</f>
        <v>-</v>
      </c>
      <c r="H2526" s="64"/>
      <c r="I2526" s="350">
        <f>ventas_b_mes684[[#This Row],[IMPORTE NETO]]*0.21</f>
        <v>0</v>
      </c>
      <c r="J2526" s="351"/>
      <c r="K2526" s="351"/>
      <c r="L2526" s="351">
        <f>SUM(ventas_b_mes684[[#This Row],[IMPORTE NETO]:[EXENTO]])</f>
        <v>0</v>
      </c>
      <c r="M2526" s="352"/>
    </row>
    <row r="2527" spans="2:13" x14ac:dyDescent="0.25">
      <c r="B2527" s="40"/>
      <c r="C2527" s="41"/>
      <c r="D2527" s="357"/>
      <c r="E2527" s="358"/>
      <c r="F2527" s="359"/>
      <c r="G2527" s="360" t="str">
        <f>IFERROR(IF(ventas_b_mes684[[#This Row],[CUIT]]="","-",VLOOKUP(ventas_b_mes684[[#This Row],[CUIT]],Lista_CUIT[#All],2,0)),"CUIT NO CARGADO")</f>
        <v>-</v>
      </c>
      <c r="H2527" s="64"/>
      <c r="I2527" s="350">
        <f>ventas_b_mes684[[#This Row],[IMPORTE NETO]]*0.21</f>
        <v>0</v>
      </c>
      <c r="J2527" s="351"/>
      <c r="K2527" s="351"/>
      <c r="L2527" s="351">
        <f>SUM(ventas_b_mes684[[#This Row],[IMPORTE NETO]:[EXENTO]])</f>
        <v>0</v>
      </c>
      <c r="M2527" s="352"/>
    </row>
    <row r="2528" spans="2:13" x14ac:dyDescent="0.25">
      <c r="B2528" s="40"/>
      <c r="C2528" s="41"/>
      <c r="D2528" s="357"/>
      <c r="E2528" s="358"/>
      <c r="F2528" s="359"/>
      <c r="G2528" s="360" t="str">
        <f>IFERROR(IF(ventas_b_mes684[[#This Row],[CUIT]]="","-",VLOOKUP(ventas_b_mes684[[#This Row],[CUIT]],Lista_CUIT[#All],2,0)),"CUIT NO CARGADO")</f>
        <v>-</v>
      </c>
      <c r="H2528" s="64"/>
      <c r="I2528" s="350">
        <f>ventas_b_mes684[[#This Row],[IMPORTE NETO]]*0.21</f>
        <v>0</v>
      </c>
      <c r="J2528" s="351"/>
      <c r="K2528" s="351"/>
      <c r="L2528" s="351">
        <f>SUM(ventas_b_mes684[[#This Row],[IMPORTE NETO]:[EXENTO]])</f>
        <v>0</v>
      </c>
      <c r="M2528" s="352"/>
    </row>
    <row r="2529" spans="2:13" x14ac:dyDescent="0.25">
      <c r="B2529" s="40"/>
      <c r="C2529" s="41"/>
      <c r="D2529" s="357"/>
      <c r="E2529" s="358"/>
      <c r="F2529" s="359"/>
      <c r="G2529" s="360" t="str">
        <f>IFERROR(IF(ventas_b_mes684[[#This Row],[CUIT]]="","-",VLOOKUP(ventas_b_mes684[[#This Row],[CUIT]],Lista_CUIT[#All],2,0)),"CUIT NO CARGADO")</f>
        <v>-</v>
      </c>
      <c r="H2529" s="64"/>
      <c r="I2529" s="350">
        <f>ventas_b_mes684[[#This Row],[IMPORTE NETO]]*0.21</f>
        <v>0</v>
      </c>
      <c r="J2529" s="351"/>
      <c r="K2529" s="351"/>
      <c r="L2529" s="351">
        <f>SUM(ventas_b_mes684[[#This Row],[IMPORTE NETO]:[EXENTO]])</f>
        <v>0</v>
      </c>
      <c r="M2529" s="352"/>
    </row>
    <row r="2530" spans="2:13" x14ac:dyDescent="0.25">
      <c r="B2530" s="40"/>
      <c r="C2530" s="41"/>
      <c r="D2530" s="357"/>
      <c r="E2530" s="358"/>
      <c r="F2530" s="359"/>
      <c r="G2530" s="360" t="str">
        <f>IFERROR(IF(ventas_b_mes684[[#This Row],[CUIT]]="","-",VLOOKUP(ventas_b_mes684[[#This Row],[CUIT]],Lista_CUIT[#All],2,0)),"CUIT NO CARGADO")</f>
        <v>-</v>
      </c>
      <c r="H2530" s="64"/>
      <c r="I2530" s="350">
        <f>ventas_b_mes684[[#This Row],[IMPORTE NETO]]*0.21</f>
        <v>0</v>
      </c>
      <c r="J2530" s="351"/>
      <c r="K2530" s="351"/>
      <c r="L2530" s="351">
        <f>SUM(ventas_b_mes684[[#This Row],[IMPORTE NETO]:[EXENTO]])</f>
        <v>0</v>
      </c>
      <c r="M2530" s="352"/>
    </row>
    <row r="2531" spans="2:13" x14ac:dyDescent="0.25">
      <c r="B2531" s="40"/>
      <c r="C2531" s="41"/>
      <c r="D2531" s="357"/>
      <c r="E2531" s="358"/>
      <c r="F2531" s="359"/>
      <c r="G2531" s="360" t="str">
        <f>IFERROR(IF(ventas_b_mes684[[#This Row],[CUIT]]="","-",VLOOKUP(ventas_b_mes684[[#This Row],[CUIT]],Lista_CUIT[#All],2,0)),"CUIT NO CARGADO")</f>
        <v>-</v>
      </c>
      <c r="H2531" s="64"/>
      <c r="I2531" s="350">
        <f>ventas_b_mes684[[#This Row],[IMPORTE NETO]]*0.21</f>
        <v>0</v>
      </c>
      <c r="J2531" s="351"/>
      <c r="K2531" s="351"/>
      <c r="L2531" s="351">
        <f>SUM(ventas_b_mes684[[#This Row],[IMPORTE NETO]:[EXENTO]])</f>
        <v>0</v>
      </c>
      <c r="M2531" s="352"/>
    </row>
    <row r="2532" spans="2:13" x14ac:dyDescent="0.25">
      <c r="B2532" s="40"/>
      <c r="C2532" s="41"/>
      <c r="D2532" s="357"/>
      <c r="E2532" s="358"/>
      <c r="F2532" s="359"/>
      <c r="G2532" s="360" t="str">
        <f>IFERROR(IF(ventas_b_mes684[[#This Row],[CUIT]]="","-",VLOOKUP(ventas_b_mes684[[#This Row],[CUIT]],Lista_CUIT[#All],2,0)),"CUIT NO CARGADO")</f>
        <v>-</v>
      </c>
      <c r="H2532" s="64"/>
      <c r="I2532" s="350">
        <f>ventas_b_mes684[[#This Row],[IMPORTE NETO]]*0.21</f>
        <v>0</v>
      </c>
      <c r="J2532" s="351"/>
      <c r="K2532" s="351"/>
      <c r="L2532" s="351">
        <f>SUM(ventas_b_mes684[[#This Row],[IMPORTE NETO]:[EXENTO]])</f>
        <v>0</v>
      </c>
      <c r="M2532" s="352"/>
    </row>
    <row r="2533" spans="2:13" x14ac:dyDescent="0.25">
      <c r="B2533" s="40"/>
      <c r="C2533" s="41"/>
      <c r="D2533" s="357"/>
      <c r="E2533" s="358"/>
      <c r="F2533" s="359"/>
      <c r="G2533" s="360" t="str">
        <f>IFERROR(IF(ventas_b_mes684[[#This Row],[CUIT]]="","-",VLOOKUP(ventas_b_mes684[[#This Row],[CUIT]],Lista_CUIT[#All],2,0)),"CUIT NO CARGADO")</f>
        <v>-</v>
      </c>
      <c r="H2533" s="64"/>
      <c r="I2533" s="350">
        <f>ventas_b_mes684[[#This Row],[IMPORTE NETO]]*0.21</f>
        <v>0</v>
      </c>
      <c r="J2533" s="351"/>
      <c r="K2533" s="351"/>
      <c r="L2533" s="351">
        <f>SUM(ventas_b_mes684[[#This Row],[IMPORTE NETO]:[EXENTO]])</f>
        <v>0</v>
      </c>
      <c r="M2533" s="352"/>
    </row>
    <row r="2534" spans="2:13" x14ac:dyDescent="0.25">
      <c r="B2534" s="40"/>
      <c r="C2534" s="41"/>
      <c r="D2534" s="357"/>
      <c r="E2534" s="358"/>
      <c r="F2534" s="359"/>
      <c r="G2534" s="360" t="str">
        <f>IFERROR(IF(ventas_b_mes684[[#This Row],[CUIT]]="","-",VLOOKUP(ventas_b_mes684[[#This Row],[CUIT]],Lista_CUIT[#All],2,0)),"CUIT NO CARGADO")</f>
        <v>-</v>
      </c>
      <c r="H2534" s="64"/>
      <c r="I2534" s="350">
        <f>ventas_b_mes684[[#This Row],[IMPORTE NETO]]*0.21</f>
        <v>0</v>
      </c>
      <c r="J2534" s="351"/>
      <c r="K2534" s="351"/>
      <c r="L2534" s="351">
        <f>SUM(ventas_b_mes684[[#This Row],[IMPORTE NETO]:[EXENTO]])</f>
        <v>0</v>
      </c>
      <c r="M2534" s="352"/>
    </row>
    <row r="2535" spans="2:13" x14ac:dyDescent="0.25">
      <c r="B2535" s="40"/>
      <c r="C2535" s="41"/>
      <c r="D2535" s="357"/>
      <c r="E2535" s="358"/>
      <c r="F2535" s="359"/>
      <c r="G2535" s="360" t="str">
        <f>IFERROR(IF(ventas_b_mes684[[#This Row],[CUIT]]="","-",VLOOKUP(ventas_b_mes684[[#This Row],[CUIT]],Lista_CUIT[#All],2,0)),"CUIT NO CARGADO")</f>
        <v>-</v>
      </c>
      <c r="H2535" s="64"/>
      <c r="I2535" s="350">
        <f>ventas_b_mes684[[#This Row],[IMPORTE NETO]]*0.21</f>
        <v>0</v>
      </c>
      <c r="J2535" s="351"/>
      <c r="K2535" s="351"/>
      <c r="L2535" s="351">
        <f>SUM(ventas_b_mes684[[#This Row],[IMPORTE NETO]:[EXENTO]])</f>
        <v>0</v>
      </c>
      <c r="M2535" s="352"/>
    </row>
    <row r="2536" spans="2:13" x14ac:dyDescent="0.25">
      <c r="B2536" s="40"/>
      <c r="C2536" s="41"/>
      <c r="D2536" s="357"/>
      <c r="E2536" s="358"/>
      <c r="F2536" s="359"/>
      <c r="G2536" s="360" t="str">
        <f>IFERROR(IF(ventas_b_mes684[[#This Row],[CUIT]]="","-",VLOOKUP(ventas_b_mes684[[#This Row],[CUIT]],Lista_CUIT[#All],2,0)),"CUIT NO CARGADO")</f>
        <v>-</v>
      </c>
      <c r="H2536" s="64"/>
      <c r="I2536" s="350">
        <f>ventas_b_mes684[[#This Row],[IMPORTE NETO]]*0.21</f>
        <v>0</v>
      </c>
      <c r="J2536" s="351"/>
      <c r="K2536" s="351"/>
      <c r="L2536" s="351">
        <f>SUM(ventas_b_mes684[[#This Row],[IMPORTE NETO]:[EXENTO]])</f>
        <v>0</v>
      </c>
      <c r="M2536" s="352"/>
    </row>
    <row r="2537" spans="2:13" x14ac:dyDescent="0.25">
      <c r="B2537" s="40"/>
      <c r="C2537" s="41"/>
      <c r="D2537" s="357"/>
      <c r="E2537" s="358"/>
      <c r="F2537" s="359"/>
      <c r="G2537" s="360" t="str">
        <f>IFERROR(IF(ventas_b_mes684[[#This Row],[CUIT]]="","-",VLOOKUP(ventas_b_mes684[[#This Row],[CUIT]],Lista_CUIT[#All],2,0)),"CUIT NO CARGADO")</f>
        <v>-</v>
      </c>
      <c r="H2537" s="64"/>
      <c r="I2537" s="350">
        <f>ventas_b_mes684[[#This Row],[IMPORTE NETO]]*0.21</f>
        <v>0</v>
      </c>
      <c r="J2537" s="351"/>
      <c r="K2537" s="351"/>
      <c r="L2537" s="351">
        <f>SUM(ventas_b_mes684[[#This Row],[IMPORTE NETO]:[EXENTO]])</f>
        <v>0</v>
      </c>
      <c r="M2537" s="352"/>
    </row>
    <row r="2538" spans="2:13" x14ac:dyDescent="0.25">
      <c r="B2538" s="40"/>
      <c r="C2538" s="41"/>
      <c r="D2538" s="357"/>
      <c r="E2538" s="358"/>
      <c r="F2538" s="359"/>
      <c r="G2538" s="360" t="str">
        <f>IFERROR(IF(ventas_b_mes684[[#This Row],[CUIT]]="","-",VLOOKUP(ventas_b_mes684[[#This Row],[CUIT]],Lista_CUIT[#All],2,0)),"CUIT NO CARGADO")</f>
        <v>-</v>
      </c>
      <c r="H2538" s="64"/>
      <c r="I2538" s="350">
        <f>ventas_b_mes684[[#This Row],[IMPORTE NETO]]*0.21</f>
        <v>0</v>
      </c>
      <c r="J2538" s="351"/>
      <c r="K2538" s="351"/>
      <c r="L2538" s="351">
        <f>SUM(ventas_b_mes684[[#This Row],[IMPORTE NETO]:[EXENTO]])</f>
        <v>0</v>
      </c>
      <c r="M2538" s="352"/>
    </row>
    <row r="2539" spans="2:13" x14ac:dyDescent="0.25">
      <c r="B2539" s="40"/>
      <c r="C2539" s="41"/>
      <c r="D2539" s="357"/>
      <c r="E2539" s="358"/>
      <c r="F2539" s="359"/>
      <c r="G2539" s="360" t="str">
        <f>IFERROR(IF(ventas_b_mes684[[#This Row],[CUIT]]="","-",VLOOKUP(ventas_b_mes684[[#This Row],[CUIT]],Lista_CUIT[#All],2,0)),"CUIT NO CARGADO")</f>
        <v>-</v>
      </c>
      <c r="H2539" s="64"/>
      <c r="I2539" s="350">
        <f>ventas_b_mes684[[#This Row],[IMPORTE NETO]]*0.21</f>
        <v>0</v>
      </c>
      <c r="J2539" s="351"/>
      <c r="K2539" s="351"/>
      <c r="L2539" s="351">
        <f>SUM(ventas_b_mes684[[#This Row],[IMPORTE NETO]:[EXENTO]])</f>
        <v>0</v>
      </c>
      <c r="M2539" s="352"/>
    </row>
    <row r="2540" spans="2:13" x14ac:dyDescent="0.25">
      <c r="B2540" s="40"/>
      <c r="C2540" s="41"/>
      <c r="D2540" s="357"/>
      <c r="E2540" s="358"/>
      <c r="F2540" s="359"/>
      <c r="G2540" s="360" t="str">
        <f>IFERROR(IF(ventas_b_mes684[[#This Row],[CUIT]]="","-",VLOOKUP(ventas_b_mes684[[#This Row],[CUIT]],Lista_CUIT[#All],2,0)),"CUIT NO CARGADO")</f>
        <v>-</v>
      </c>
      <c r="H2540" s="64"/>
      <c r="I2540" s="350">
        <f>ventas_b_mes684[[#This Row],[IMPORTE NETO]]*0.21</f>
        <v>0</v>
      </c>
      <c r="J2540" s="351"/>
      <c r="K2540" s="351"/>
      <c r="L2540" s="351">
        <f>SUM(ventas_b_mes684[[#This Row],[IMPORTE NETO]:[EXENTO]])</f>
        <v>0</v>
      </c>
      <c r="M2540" s="352"/>
    </row>
    <row r="2541" spans="2:13" x14ac:dyDescent="0.25">
      <c r="B2541" s="40"/>
      <c r="C2541" s="41"/>
      <c r="D2541" s="357"/>
      <c r="E2541" s="358"/>
      <c r="F2541" s="359"/>
      <c r="G2541" s="360" t="str">
        <f>IFERROR(IF(ventas_b_mes684[[#This Row],[CUIT]]="","-",VLOOKUP(ventas_b_mes684[[#This Row],[CUIT]],Lista_CUIT[#All],2,0)),"CUIT NO CARGADO")</f>
        <v>-</v>
      </c>
      <c r="H2541" s="64"/>
      <c r="I2541" s="350">
        <f>ventas_b_mes684[[#This Row],[IMPORTE NETO]]*0.21</f>
        <v>0</v>
      </c>
      <c r="J2541" s="351"/>
      <c r="K2541" s="351"/>
      <c r="L2541" s="351">
        <f>SUM(ventas_b_mes684[[#This Row],[IMPORTE NETO]:[EXENTO]])</f>
        <v>0</v>
      </c>
      <c r="M2541" s="352"/>
    </row>
    <row r="2542" spans="2:13" x14ac:dyDescent="0.25">
      <c r="B2542" s="40"/>
      <c r="C2542" s="41"/>
      <c r="D2542" s="357"/>
      <c r="E2542" s="358"/>
      <c r="F2542" s="359"/>
      <c r="G2542" s="360" t="str">
        <f>IFERROR(IF(ventas_b_mes684[[#This Row],[CUIT]]="","-",VLOOKUP(ventas_b_mes684[[#This Row],[CUIT]],Lista_CUIT[#All],2,0)),"CUIT NO CARGADO")</f>
        <v>-</v>
      </c>
      <c r="H2542" s="64"/>
      <c r="I2542" s="350">
        <f>ventas_b_mes684[[#This Row],[IMPORTE NETO]]*0.21</f>
        <v>0</v>
      </c>
      <c r="J2542" s="351"/>
      <c r="K2542" s="351"/>
      <c r="L2542" s="351">
        <f>SUM(ventas_b_mes684[[#This Row],[IMPORTE NETO]:[EXENTO]])</f>
        <v>0</v>
      </c>
      <c r="M2542" s="352"/>
    </row>
    <row r="2543" spans="2:13" x14ac:dyDescent="0.25">
      <c r="B2543" s="40"/>
      <c r="C2543" s="41"/>
      <c r="D2543" s="357"/>
      <c r="E2543" s="358"/>
      <c r="F2543" s="359"/>
      <c r="G2543" s="360" t="str">
        <f>IFERROR(IF(ventas_b_mes684[[#This Row],[CUIT]]="","-",VLOOKUP(ventas_b_mes684[[#This Row],[CUIT]],Lista_CUIT[#All],2,0)),"CUIT NO CARGADO")</f>
        <v>-</v>
      </c>
      <c r="H2543" s="64"/>
      <c r="I2543" s="350">
        <f>ventas_b_mes684[[#This Row],[IMPORTE NETO]]*0.21</f>
        <v>0</v>
      </c>
      <c r="J2543" s="351"/>
      <c r="K2543" s="351"/>
      <c r="L2543" s="351">
        <f>SUM(ventas_b_mes684[[#This Row],[IMPORTE NETO]:[EXENTO]])</f>
        <v>0</v>
      </c>
      <c r="M2543" s="352"/>
    </row>
    <row r="2544" spans="2:13" x14ac:dyDescent="0.25">
      <c r="B2544" s="40"/>
      <c r="C2544" s="41"/>
      <c r="D2544" s="357"/>
      <c r="E2544" s="358"/>
      <c r="F2544" s="359"/>
      <c r="G2544" s="360" t="str">
        <f>IFERROR(IF(ventas_b_mes684[[#This Row],[CUIT]]="","-",VLOOKUP(ventas_b_mes684[[#This Row],[CUIT]],Lista_CUIT[#All],2,0)),"CUIT NO CARGADO")</f>
        <v>-</v>
      </c>
      <c r="H2544" s="64"/>
      <c r="I2544" s="350">
        <f>ventas_b_mes684[[#This Row],[IMPORTE NETO]]*0.21</f>
        <v>0</v>
      </c>
      <c r="J2544" s="351"/>
      <c r="K2544" s="351"/>
      <c r="L2544" s="351">
        <f>SUM(ventas_b_mes684[[#This Row],[IMPORTE NETO]:[EXENTO]])</f>
        <v>0</v>
      </c>
      <c r="M2544" s="352"/>
    </row>
    <row r="2545" spans="2:13" x14ac:dyDescent="0.25">
      <c r="B2545" s="40"/>
      <c r="C2545" s="41"/>
      <c r="D2545" s="357"/>
      <c r="E2545" s="358"/>
      <c r="F2545" s="359"/>
      <c r="G2545" s="360" t="str">
        <f>IFERROR(IF(ventas_b_mes684[[#This Row],[CUIT]]="","-",VLOOKUP(ventas_b_mes684[[#This Row],[CUIT]],Lista_CUIT[#All],2,0)),"CUIT NO CARGADO")</f>
        <v>-</v>
      </c>
      <c r="H2545" s="64"/>
      <c r="I2545" s="350">
        <f>ventas_b_mes684[[#This Row],[IMPORTE NETO]]*0.21</f>
        <v>0</v>
      </c>
      <c r="J2545" s="351"/>
      <c r="K2545" s="351"/>
      <c r="L2545" s="351">
        <f>SUM(ventas_b_mes684[[#This Row],[IMPORTE NETO]:[EXENTO]])</f>
        <v>0</v>
      </c>
      <c r="M2545" s="352"/>
    </row>
    <row r="2546" spans="2:13" x14ac:dyDescent="0.25">
      <c r="B2546" s="40"/>
      <c r="C2546" s="41"/>
      <c r="D2546" s="357"/>
      <c r="E2546" s="358"/>
      <c r="F2546" s="359"/>
      <c r="G2546" s="360" t="str">
        <f>IFERROR(IF(ventas_b_mes684[[#This Row],[CUIT]]="","-",VLOOKUP(ventas_b_mes684[[#This Row],[CUIT]],Lista_CUIT[#All],2,0)),"CUIT NO CARGADO")</f>
        <v>-</v>
      </c>
      <c r="H2546" s="64"/>
      <c r="I2546" s="350">
        <f>ventas_b_mes684[[#This Row],[IMPORTE NETO]]*0.21</f>
        <v>0</v>
      </c>
      <c r="J2546" s="351"/>
      <c r="K2546" s="351"/>
      <c r="L2546" s="351">
        <f>SUM(ventas_b_mes684[[#This Row],[IMPORTE NETO]:[EXENTO]])</f>
        <v>0</v>
      </c>
      <c r="M2546" s="352"/>
    </row>
    <row r="2547" spans="2:13" x14ac:dyDescent="0.25">
      <c r="B2547" s="40"/>
      <c r="C2547" s="41"/>
      <c r="D2547" s="357"/>
      <c r="E2547" s="358"/>
      <c r="F2547" s="359"/>
      <c r="G2547" s="360" t="str">
        <f>IFERROR(IF(ventas_b_mes684[[#This Row],[CUIT]]="","-",VLOOKUP(ventas_b_mes684[[#This Row],[CUIT]],Lista_CUIT[#All],2,0)),"CUIT NO CARGADO")</f>
        <v>-</v>
      </c>
      <c r="H2547" s="64"/>
      <c r="I2547" s="350">
        <f>ventas_b_mes684[[#This Row],[IMPORTE NETO]]*0.21</f>
        <v>0</v>
      </c>
      <c r="J2547" s="351"/>
      <c r="K2547" s="351"/>
      <c r="L2547" s="351">
        <f>SUM(ventas_b_mes684[[#This Row],[IMPORTE NETO]:[EXENTO]])</f>
        <v>0</v>
      </c>
      <c r="M2547" s="352"/>
    </row>
    <row r="2548" spans="2:13" x14ac:dyDescent="0.25">
      <c r="B2548" s="40"/>
      <c r="C2548" s="41"/>
      <c r="D2548" s="357"/>
      <c r="E2548" s="358"/>
      <c r="F2548" s="359"/>
      <c r="G2548" s="360" t="str">
        <f>IFERROR(IF(ventas_b_mes684[[#This Row],[CUIT]]="","-",VLOOKUP(ventas_b_mes684[[#This Row],[CUIT]],Lista_CUIT[#All],2,0)),"CUIT NO CARGADO")</f>
        <v>-</v>
      </c>
      <c r="H2548" s="64"/>
      <c r="I2548" s="350">
        <f>ventas_b_mes684[[#This Row],[IMPORTE NETO]]*0.21</f>
        <v>0</v>
      </c>
      <c r="J2548" s="351"/>
      <c r="K2548" s="351"/>
      <c r="L2548" s="351">
        <f>SUM(ventas_b_mes684[[#This Row],[IMPORTE NETO]:[EXENTO]])</f>
        <v>0</v>
      </c>
      <c r="M2548" s="352"/>
    </row>
    <row r="2549" spans="2:13" x14ac:dyDescent="0.25">
      <c r="B2549" s="40"/>
      <c r="C2549" s="41"/>
      <c r="D2549" s="357"/>
      <c r="E2549" s="358"/>
      <c r="F2549" s="359"/>
      <c r="G2549" s="360" t="str">
        <f>IFERROR(IF(ventas_b_mes684[[#This Row],[CUIT]]="","-",VLOOKUP(ventas_b_mes684[[#This Row],[CUIT]],Lista_CUIT[#All],2,0)),"CUIT NO CARGADO")</f>
        <v>-</v>
      </c>
      <c r="H2549" s="64"/>
      <c r="I2549" s="350">
        <f>ventas_b_mes684[[#This Row],[IMPORTE NETO]]*0.21</f>
        <v>0</v>
      </c>
      <c r="J2549" s="351"/>
      <c r="K2549" s="351"/>
      <c r="L2549" s="351">
        <f>SUM(ventas_b_mes684[[#This Row],[IMPORTE NETO]:[EXENTO]])</f>
        <v>0</v>
      </c>
      <c r="M2549" s="352"/>
    </row>
    <row r="2550" spans="2:13" x14ac:dyDescent="0.25">
      <c r="B2550" s="40"/>
      <c r="C2550" s="41"/>
      <c r="D2550" s="357"/>
      <c r="E2550" s="358"/>
      <c r="F2550" s="359"/>
      <c r="G2550" s="360" t="str">
        <f>IFERROR(IF(ventas_b_mes684[[#This Row],[CUIT]]="","-",VLOOKUP(ventas_b_mes684[[#This Row],[CUIT]],Lista_CUIT[#All],2,0)),"CUIT NO CARGADO")</f>
        <v>-</v>
      </c>
      <c r="H2550" s="64"/>
      <c r="I2550" s="350">
        <f>ventas_b_mes684[[#This Row],[IMPORTE NETO]]*0.21</f>
        <v>0</v>
      </c>
      <c r="J2550" s="351"/>
      <c r="K2550" s="351"/>
      <c r="L2550" s="351">
        <f>SUM(ventas_b_mes684[[#This Row],[IMPORTE NETO]:[EXENTO]])</f>
        <v>0</v>
      </c>
      <c r="M2550" s="352"/>
    </row>
    <row r="2551" spans="2:13" x14ac:dyDescent="0.25">
      <c r="B2551" s="40"/>
      <c r="C2551" s="41"/>
      <c r="D2551" s="357"/>
      <c r="E2551" s="358"/>
      <c r="F2551" s="359"/>
      <c r="G2551" s="360" t="str">
        <f>IFERROR(IF(ventas_b_mes684[[#This Row],[CUIT]]="","-",VLOOKUP(ventas_b_mes684[[#This Row],[CUIT]],Lista_CUIT[#All],2,0)),"CUIT NO CARGADO")</f>
        <v>-</v>
      </c>
      <c r="H2551" s="64"/>
      <c r="I2551" s="350">
        <f>ventas_b_mes684[[#This Row],[IMPORTE NETO]]*0.21</f>
        <v>0</v>
      </c>
      <c r="J2551" s="351"/>
      <c r="K2551" s="351"/>
      <c r="L2551" s="351">
        <f>SUM(ventas_b_mes684[[#This Row],[IMPORTE NETO]:[EXENTO]])</f>
        <v>0</v>
      </c>
      <c r="M2551" s="352"/>
    </row>
    <row r="2552" spans="2:13" x14ac:dyDescent="0.25">
      <c r="B2552" s="40"/>
      <c r="C2552" s="41"/>
      <c r="D2552" s="357"/>
      <c r="E2552" s="358"/>
      <c r="F2552" s="359"/>
      <c r="G2552" s="360" t="str">
        <f>IFERROR(IF(ventas_b_mes684[[#This Row],[CUIT]]="","-",VLOOKUP(ventas_b_mes684[[#This Row],[CUIT]],Lista_CUIT[#All],2,0)),"CUIT NO CARGADO")</f>
        <v>-</v>
      </c>
      <c r="H2552" s="64"/>
      <c r="I2552" s="350">
        <f>ventas_b_mes684[[#This Row],[IMPORTE NETO]]*0.21</f>
        <v>0</v>
      </c>
      <c r="J2552" s="351"/>
      <c r="K2552" s="351"/>
      <c r="L2552" s="351">
        <f>SUM(ventas_b_mes684[[#This Row],[IMPORTE NETO]:[EXENTO]])</f>
        <v>0</v>
      </c>
      <c r="M2552" s="352"/>
    </row>
    <row r="2553" spans="2:13" x14ac:dyDescent="0.25">
      <c r="B2553" s="40"/>
      <c r="C2553" s="41"/>
      <c r="D2553" s="357"/>
      <c r="E2553" s="358"/>
      <c r="F2553" s="359"/>
      <c r="G2553" s="360" t="str">
        <f>IFERROR(IF(ventas_b_mes684[[#This Row],[CUIT]]="","-",VLOOKUP(ventas_b_mes684[[#This Row],[CUIT]],Lista_CUIT[#All],2,0)),"CUIT NO CARGADO")</f>
        <v>-</v>
      </c>
      <c r="H2553" s="64"/>
      <c r="I2553" s="350">
        <f>ventas_b_mes684[[#This Row],[IMPORTE NETO]]*0.21</f>
        <v>0</v>
      </c>
      <c r="J2553" s="351"/>
      <c r="K2553" s="351"/>
      <c r="L2553" s="351">
        <f>SUM(ventas_b_mes684[[#This Row],[IMPORTE NETO]:[EXENTO]])</f>
        <v>0</v>
      </c>
      <c r="M2553" s="352"/>
    </row>
    <row r="2554" spans="2:13" x14ac:dyDescent="0.25">
      <c r="B2554" s="40"/>
      <c r="C2554" s="41"/>
      <c r="D2554" s="357"/>
      <c r="E2554" s="358"/>
      <c r="F2554" s="359"/>
      <c r="G2554" s="360" t="str">
        <f>IFERROR(IF(ventas_b_mes684[[#This Row],[CUIT]]="","-",VLOOKUP(ventas_b_mes684[[#This Row],[CUIT]],Lista_CUIT[#All],2,0)),"CUIT NO CARGADO")</f>
        <v>-</v>
      </c>
      <c r="H2554" s="64"/>
      <c r="I2554" s="350">
        <f>ventas_b_mes684[[#This Row],[IMPORTE NETO]]*0.21</f>
        <v>0</v>
      </c>
      <c r="J2554" s="351"/>
      <c r="K2554" s="351"/>
      <c r="L2554" s="351">
        <f>SUM(ventas_b_mes684[[#This Row],[IMPORTE NETO]:[EXENTO]])</f>
        <v>0</v>
      </c>
      <c r="M2554" s="352"/>
    </row>
    <row r="2555" spans="2:13" x14ac:dyDescent="0.25">
      <c r="B2555" s="40"/>
      <c r="C2555" s="41"/>
      <c r="D2555" s="357"/>
      <c r="E2555" s="358"/>
      <c r="F2555" s="359"/>
      <c r="G2555" s="360" t="str">
        <f>IFERROR(IF(ventas_b_mes684[[#This Row],[CUIT]]="","-",VLOOKUP(ventas_b_mes684[[#This Row],[CUIT]],Lista_CUIT[#All],2,0)),"CUIT NO CARGADO")</f>
        <v>-</v>
      </c>
      <c r="H2555" s="64"/>
      <c r="I2555" s="350">
        <f>ventas_b_mes684[[#This Row],[IMPORTE NETO]]*0.21</f>
        <v>0</v>
      </c>
      <c r="J2555" s="351"/>
      <c r="K2555" s="351"/>
      <c r="L2555" s="351">
        <f>SUM(ventas_b_mes684[[#This Row],[IMPORTE NETO]:[EXENTO]])</f>
        <v>0</v>
      </c>
      <c r="M2555" s="352"/>
    </row>
    <row r="2556" spans="2:13" x14ac:dyDescent="0.25">
      <c r="B2556" s="40"/>
      <c r="C2556" s="41"/>
      <c r="D2556" s="357"/>
      <c r="E2556" s="358"/>
      <c r="F2556" s="359"/>
      <c r="G2556" s="360" t="str">
        <f>IFERROR(IF(ventas_b_mes684[[#This Row],[CUIT]]="","-",VLOOKUP(ventas_b_mes684[[#This Row],[CUIT]],Lista_CUIT[#All],2,0)),"CUIT NO CARGADO")</f>
        <v>-</v>
      </c>
      <c r="H2556" s="64"/>
      <c r="I2556" s="350">
        <f>ventas_b_mes684[[#This Row],[IMPORTE NETO]]*0.21</f>
        <v>0</v>
      </c>
      <c r="J2556" s="351"/>
      <c r="K2556" s="351"/>
      <c r="L2556" s="351">
        <f>SUM(ventas_b_mes684[[#This Row],[IMPORTE NETO]:[EXENTO]])</f>
        <v>0</v>
      </c>
      <c r="M2556" s="352"/>
    </row>
    <row r="2557" spans="2:13" x14ac:dyDescent="0.25">
      <c r="B2557" s="40"/>
      <c r="C2557" s="41"/>
      <c r="D2557" s="357"/>
      <c r="E2557" s="358"/>
      <c r="F2557" s="359"/>
      <c r="G2557" s="360" t="str">
        <f>IFERROR(IF(ventas_b_mes684[[#This Row],[CUIT]]="","-",VLOOKUP(ventas_b_mes684[[#This Row],[CUIT]],Lista_CUIT[#All],2,0)),"CUIT NO CARGADO")</f>
        <v>-</v>
      </c>
      <c r="H2557" s="64"/>
      <c r="I2557" s="350">
        <f>ventas_b_mes684[[#This Row],[IMPORTE NETO]]*0.21</f>
        <v>0</v>
      </c>
      <c r="J2557" s="351"/>
      <c r="K2557" s="351"/>
      <c r="L2557" s="351">
        <f>SUM(ventas_b_mes684[[#This Row],[IMPORTE NETO]:[EXENTO]])</f>
        <v>0</v>
      </c>
      <c r="M2557" s="352"/>
    </row>
    <row r="2558" spans="2:13" x14ac:dyDescent="0.25">
      <c r="B2558" s="40"/>
      <c r="C2558" s="41"/>
      <c r="D2558" s="357"/>
      <c r="E2558" s="358"/>
      <c r="F2558" s="359"/>
      <c r="G2558" s="360" t="str">
        <f>IFERROR(IF(ventas_b_mes684[[#This Row],[CUIT]]="","-",VLOOKUP(ventas_b_mes684[[#This Row],[CUIT]],Lista_CUIT[#All],2,0)),"CUIT NO CARGADO")</f>
        <v>-</v>
      </c>
      <c r="H2558" s="64"/>
      <c r="I2558" s="350">
        <f>ventas_b_mes684[[#This Row],[IMPORTE NETO]]*0.21</f>
        <v>0</v>
      </c>
      <c r="J2558" s="351"/>
      <c r="K2558" s="351"/>
      <c r="L2558" s="351">
        <f>SUM(ventas_b_mes684[[#This Row],[IMPORTE NETO]:[EXENTO]])</f>
        <v>0</v>
      </c>
      <c r="M2558" s="352"/>
    </row>
    <row r="2559" spans="2:13" x14ac:dyDescent="0.25">
      <c r="B2559" s="40"/>
      <c r="C2559" s="41"/>
      <c r="D2559" s="357"/>
      <c r="E2559" s="358"/>
      <c r="F2559" s="359"/>
      <c r="G2559" s="360" t="str">
        <f>IFERROR(IF(ventas_b_mes684[[#This Row],[CUIT]]="","-",VLOOKUP(ventas_b_mes684[[#This Row],[CUIT]],Lista_CUIT[#All],2,0)),"CUIT NO CARGADO")</f>
        <v>-</v>
      </c>
      <c r="H2559" s="64"/>
      <c r="I2559" s="350">
        <f>ventas_b_mes684[[#This Row],[IMPORTE NETO]]*0.21</f>
        <v>0</v>
      </c>
      <c r="J2559" s="351"/>
      <c r="K2559" s="351"/>
      <c r="L2559" s="351">
        <f>SUM(ventas_b_mes684[[#This Row],[IMPORTE NETO]:[EXENTO]])</f>
        <v>0</v>
      </c>
      <c r="M2559" s="352"/>
    </row>
    <row r="2560" spans="2:13" x14ac:dyDescent="0.25">
      <c r="B2560" s="40"/>
      <c r="C2560" s="41"/>
      <c r="D2560" s="357"/>
      <c r="E2560" s="358"/>
      <c r="F2560" s="359"/>
      <c r="G2560" s="360" t="str">
        <f>IFERROR(IF(ventas_b_mes684[[#This Row],[CUIT]]="","-",VLOOKUP(ventas_b_mes684[[#This Row],[CUIT]],Lista_CUIT[#All],2,0)),"CUIT NO CARGADO")</f>
        <v>-</v>
      </c>
      <c r="H2560" s="64"/>
      <c r="I2560" s="350">
        <f>ventas_b_mes684[[#This Row],[IMPORTE NETO]]*0.21</f>
        <v>0</v>
      </c>
      <c r="J2560" s="351"/>
      <c r="K2560" s="351"/>
      <c r="L2560" s="351">
        <f>SUM(ventas_b_mes684[[#This Row],[IMPORTE NETO]:[EXENTO]])</f>
        <v>0</v>
      </c>
      <c r="M2560" s="352"/>
    </row>
    <row r="2561" spans="2:13" x14ac:dyDescent="0.25">
      <c r="B2561" s="40"/>
      <c r="C2561" s="41"/>
      <c r="D2561" s="357"/>
      <c r="E2561" s="358"/>
      <c r="F2561" s="359"/>
      <c r="G2561" s="360" t="str">
        <f>IFERROR(IF(ventas_b_mes684[[#This Row],[CUIT]]="","-",VLOOKUP(ventas_b_mes684[[#This Row],[CUIT]],Lista_CUIT[#All],2,0)),"CUIT NO CARGADO")</f>
        <v>-</v>
      </c>
      <c r="H2561" s="64"/>
      <c r="I2561" s="350">
        <f>ventas_b_mes684[[#This Row],[IMPORTE NETO]]*0.21</f>
        <v>0</v>
      </c>
      <c r="J2561" s="351"/>
      <c r="K2561" s="351"/>
      <c r="L2561" s="351">
        <f>SUM(ventas_b_mes684[[#This Row],[IMPORTE NETO]:[EXENTO]])</f>
        <v>0</v>
      </c>
      <c r="M2561" s="352"/>
    </row>
    <row r="2562" spans="2:13" x14ac:dyDescent="0.25">
      <c r="B2562" s="40"/>
      <c r="C2562" s="41"/>
      <c r="D2562" s="357"/>
      <c r="E2562" s="358"/>
      <c r="F2562" s="359"/>
      <c r="G2562" s="360" t="str">
        <f>IFERROR(IF(ventas_b_mes684[[#This Row],[CUIT]]="","-",VLOOKUP(ventas_b_mes684[[#This Row],[CUIT]],Lista_CUIT[#All],2,0)),"CUIT NO CARGADO")</f>
        <v>-</v>
      </c>
      <c r="H2562" s="64"/>
      <c r="I2562" s="350">
        <f>ventas_b_mes684[[#This Row],[IMPORTE NETO]]*0.21</f>
        <v>0</v>
      </c>
      <c r="J2562" s="351"/>
      <c r="K2562" s="351"/>
      <c r="L2562" s="351">
        <f>SUM(ventas_b_mes684[[#This Row],[IMPORTE NETO]:[EXENTO]])</f>
        <v>0</v>
      </c>
      <c r="M2562" s="352"/>
    </row>
    <row r="2563" spans="2:13" x14ac:dyDescent="0.25">
      <c r="B2563" s="40"/>
      <c r="C2563" s="41"/>
      <c r="D2563" s="357"/>
      <c r="E2563" s="358"/>
      <c r="F2563" s="359"/>
      <c r="G2563" s="360" t="str">
        <f>IFERROR(IF(ventas_b_mes684[[#This Row],[CUIT]]="","-",VLOOKUP(ventas_b_mes684[[#This Row],[CUIT]],Lista_CUIT[#All],2,0)),"CUIT NO CARGADO")</f>
        <v>-</v>
      </c>
      <c r="H2563" s="64"/>
      <c r="I2563" s="350">
        <f>ventas_b_mes684[[#This Row],[IMPORTE NETO]]*0.21</f>
        <v>0</v>
      </c>
      <c r="J2563" s="351"/>
      <c r="K2563" s="351"/>
      <c r="L2563" s="351">
        <f>SUM(ventas_b_mes684[[#This Row],[IMPORTE NETO]:[EXENTO]])</f>
        <v>0</v>
      </c>
      <c r="M2563" s="352"/>
    </row>
    <row r="2564" spans="2:13" x14ac:dyDescent="0.25">
      <c r="B2564" s="40"/>
      <c r="C2564" s="41"/>
      <c r="D2564" s="357"/>
      <c r="E2564" s="358"/>
      <c r="F2564" s="359"/>
      <c r="G2564" s="360" t="str">
        <f>IFERROR(IF(ventas_b_mes684[[#This Row],[CUIT]]="","-",VLOOKUP(ventas_b_mes684[[#This Row],[CUIT]],Lista_CUIT[#All],2,0)),"CUIT NO CARGADO")</f>
        <v>-</v>
      </c>
      <c r="H2564" s="64"/>
      <c r="I2564" s="350">
        <f>ventas_b_mes684[[#This Row],[IMPORTE NETO]]*0.21</f>
        <v>0</v>
      </c>
      <c r="J2564" s="351"/>
      <c r="K2564" s="351"/>
      <c r="L2564" s="351">
        <f>SUM(ventas_b_mes684[[#This Row],[IMPORTE NETO]:[EXENTO]])</f>
        <v>0</v>
      </c>
      <c r="M2564" s="352"/>
    </row>
    <row r="2565" spans="2:13" x14ac:dyDescent="0.25">
      <c r="B2565" s="40"/>
      <c r="C2565" s="41"/>
      <c r="D2565" s="357"/>
      <c r="E2565" s="358"/>
      <c r="F2565" s="359"/>
      <c r="G2565" s="360" t="str">
        <f>IFERROR(IF(ventas_b_mes684[[#This Row],[CUIT]]="","-",VLOOKUP(ventas_b_mes684[[#This Row],[CUIT]],Lista_CUIT[#All],2,0)),"CUIT NO CARGADO")</f>
        <v>-</v>
      </c>
      <c r="H2565" s="64"/>
      <c r="I2565" s="350">
        <f>ventas_b_mes684[[#This Row],[IMPORTE NETO]]*0.21</f>
        <v>0</v>
      </c>
      <c r="J2565" s="351"/>
      <c r="K2565" s="351"/>
      <c r="L2565" s="351">
        <f>SUM(ventas_b_mes684[[#This Row],[IMPORTE NETO]:[EXENTO]])</f>
        <v>0</v>
      </c>
      <c r="M2565" s="352"/>
    </row>
    <row r="2566" spans="2:13" x14ac:dyDescent="0.25">
      <c r="B2566" s="40"/>
      <c r="C2566" s="41"/>
      <c r="D2566" s="357"/>
      <c r="E2566" s="358"/>
      <c r="F2566" s="359"/>
      <c r="G2566" s="360" t="str">
        <f>IFERROR(IF(ventas_b_mes684[[#This Row],[CUIT]]="","-",VLOOKUP(ventas_b_mes684[[#This Row],[CUIT]],Lista_CUIT[#All],2,0)),"CUIT NO CARGADO")</f>
        <v>-</v>
      </c>
      <c r="H2566" s="64"/>
      <c r="I2566" s="350">
        <f>ventas_b_mes684[[#This Row],[IMPORTE NETO]]*0.21</f>
        <v>0</v>
      </c>
      <c r="J2566" s="351"/>
      <c r="K2566" s="351"/>
      <c r="L2566" s="351">
        <f>SUM(ventas_b_mes684[[#This Row],[IMPORTE NETO]:[EXENTO]])</f>
        <v>0</v>
      </c>
      <c r="M2566" s="352"/>
    </row>
    <row r="2567" spans="2:13" x14ac:dyDescent="0.25">
      <c r="B2567" s="40"/>
      <c r="C2567" s="41"/>
      <c r="D2567" s="357"/>
      <c r="E2567" s="358"/>
      <c r="F2567" s="359"/>
      <c r="G2567" s="360" t="str">
        <f>IFERROR(IF(ventas_b_mes684[[#This Row],[CUIT]]="","-",VLOOKUP(ventas_b_mes684[[#This Row],[CUIT]],Lista_CUIT[#All],2,0)),"CUIT NO CARGADO")</f>
        <v>-</v>
      </c>
      <c r="H2567" s="64"/>
      <c r="I2567" s="350">
        <f>ventas_b_mes684[[#This Row],[IMPORTE NETO]]*0.21</f>
        <v>0</v>
      </c>
      <c r="J2567" s="351"/>
      <c r="K2567" s="351"/>
      <c r="L2567" s="351">
        <f>SUM(ventas_b_mes684[[#This Row],[IMPORTE NETO]:[EXENTO]])</f>
        <v>0</v>
      </c>
      <c r="M2567" s="352"/>
    </row>
    <row r="2568" spans="2:13" x14ac:dyDescent="0.25">
      <c r="B2568" s="40"/>
      <c r="C2568" s="41"/>
      <c r="D2568" s="357"/>
      <c r="E2568" s="358"/>
      <c r="F2568" s="359"/>
      <c r="G2568" s="360" t="str">
        <f>IFERROR(IF(ventas_b_mes684[[#This Row],[CUIT]]="","-",VLOOKUP(ventas_b_mes684[[#This Row],[CUIT]],Lista_CUIT[#All],2,0)),"CUIT NO CARGADO")</f>
        <v>-</v>
      </c>
      <c r="H2568" s="64"/>
      <c r="I2568" s="350">
        <f>ventas_b_mes684[[#This Row],[IMPORTE NETO]]*0.21</f>
        <v>0</v>
      </c>
      <c r="J2568" s="351"/>
      <c r="K2568" s="351"/>
      <c r="L2568" s="351">
        <f>SUM(ventas_b_mes684[[#This Row],[IMPORTE NETO]:[EXENTO]])</f>
        <v>0</v>
      </c>
      <c r="M2568" s="352"/>
    </row>
    <row r="2569" spans="2:13" x14ac:dyDescent="0.25">
      <c r="B2569" s="40"/>
      <c r="C2569" s="41"/>
      <c r="D2569" s="357"/>
      <c r="E2569" s="358"/>
      <c r="F2569" s="359"/>
      <c r="G2569" s="360" t="str">
        <f>IFERROR(IF(ventas_b_mes684[[#This Row],[CUIT]]="","-",VLOOKUP(ventas_b_mes684[[#This Row],[CUIT]],Lista_CUIT[#All],2,0)),"CUIT NO CARGADO")</f>
        <v>-</v>
      </c>
      <c r="H2569" s="64"/>
      <c r="I2569" s="350">
        <f>ventas_b_mes684[[#This Row],[IMPORTE NETO]]*0.21</f>
        <v>0</v>
      </c>
      <c r="J2569" s="351"/>
      <c r="K2569" s="351"/>
      <c r="L2569" s="351">
        <f>SUM(ventas_b_mes684[[#This Row],[IMPORTE NETO]:[EXENTO]])</f>
        <v>0</v>
      </c>
      <c r="M2569" s="352"/>
    </row>
    <row r="2570" spans="2:13" x14ac:dyDescent="0.25">
      <c r="B2570" s="40"/>
      <c r="C2570" s="41"/>
      <c r="D2570" s="357"/>
      <c r="E2570" s="358"/>
      <c r="F2570" s="359"/>
      <c r="G2570" s="360" t="str">
        <f>IFERROR(IF(ventas_b_mes684[[#This Row],[CUIT]]="","-",VLOOKUP(ventas_b_mes684[[#This Row],[CUIT]],Lista_CUIT[#All],2,0)),"CUIT NO CARGADO")</f>
        <v>-</v>
      </c>
      <c r="H2570" s="64"/>
      <c r="I2570" s="350">
        <f>ventas_b_mes684[[#This Row],[IMPORTE NETO]]*0.21</f>
        <v>0</v>
      </c>
      <c r="J2570" s="351"/>
      <c r="K2570" s="351"/>
      <c r="L2570" s="351">
        <f>SUM(ventas_b_mes684[[#This Row],[IMPORTE NETO]:[EXENTO]])</f>
        <v>0</v>
      </c>
      <c r="M2570" s="352"/>
    </row>
    <row r="2571" spans="2:13" x14ac:dyDescent="0.25">
      <c r="B2571" s="40"/>
      <c r="C2571" s="41"/>
      <c r="D2571" s="357"/>
      <c r="E2571" s="358"/>
      <c r="F2571" s="359"/>
      <c r="G2571" s="360" t="str">
        <f>IFERROR(IF(ventas_b_mes684[[#This Row],[CUIT]]="","-",VLOOKUP(ventas_b_mes684[[#This Row],[CUIT]],Lista_CUIT[#All],2,0)),"CUIT NO CARGADO")</f>
        <v>-</v>
      </c>
      <c r="H2571" s="64"/>
      <c r="I2571" s="350">
        <f>ventas_b_mes684[[#This Row],[IMPORTE NETO]]*0.21</f>
        <v>0</v>
      </c>
      <c r="J2571" s="351"/>
      <c r="K2571" s="351"/>
      <c r="L2571" s="351">
        <f>SUM(ventas_b_mes684[[#This Row],[IMPORTE NETO]:[EXENTO]])</f>
        <v>0</v>
      </c>
      <c r="M2571" s="352"/>
    </row>
    <row r="2572" spans="2:13" x14ac:dyDescent="0.25">
      <c r="B2572" s="40"/>
      <c r="C2572" s="41"/>
      <c r="D2572" s="357"/>
      <c r="E2572" s="358"/>
      <c r="F2572" s="359"/>
      <c r="G2572" s="360" t="str">
        <f>IFERROR(IF(ventas_b_mes684[[#This Row],[CUIT]]="","-",VLOOKUP(ventas_b_mes684[[#This Row],[CUIT]],Lista_CUIT[#All],2,0)),"CUIT NO CARGADO")</f>
        <v>-</v>
      </c>
      <c r="H2572" s="64"/>
      <c r="I2572" s="350">
        <f>ventas_b_mes684[[#This Row],[IMPORTE NETO]]*0.21</f>
        <v>0</v>
      </c>
      <c r="J2572" s="351"/>
      <c r="K2572" s="351"/>
      <c r="L2572" s="351">
        <f>SUM(ventas_b_mes684[[#This Row],[IMPORTE NETO]:[EXENTO]])</f>
        <v>0</v>
      </c>
      <c r="M2572" s="352"/>
    </row>
    <row r="2573" spans="2:13" x14ac:dyDescent="0.25">
      <c r="B2573" s="40"/>
      <c r="C2573" s="41"/>
      <c r="D2573" s="357"/>
      <c r="E2573" s="358"/>
      <c r="F2573" s="359"/>
      <c r="G2573" s="360" t="str">
        <f>IFERROR(IF(ventas_b_mes684[[#This Row],[CUIT]]="","-",VLOOKUP(ventas_b_mes684[[#This Row],[CUIT]],Lista_CUIT[#All],2,0)),"CUIT NO CARGADO")</f>
        <v>-</v>
      </c>
      <c r="H2573" s="64"/>
      <c r="I2573" s="350">
        <f>ventas_b_mes684[[#This Row],[IMPORTE NETO]]*0.21</f>
        <v>0</v>
      </c>
      <c r="J2573" s="351"/>
      <c r="K2573" s="351"/>
      <c r="L2573" s="351">
        <f>SUM(ventas_b_mes684[[#This Row],[IMPORTE NETO]:[EXENTO]])</f>
        <v>0</v>
      </c>
      <c r="M2573" s="352"/>
    </row>
    <row r="2574" spans="2:13" x14ac:dyDescent="0.25">
      <c r="B2574" s="40"/>
      <c r="C2574" s="41"/>
      <c r="D2574" s="357"/>
      <c r="E2574" s="358"/>
      <c r="F2574" s="359"/>
      <c r="G2574" s="360" t="str">
        <f>IFERROR(IF(ventas_b_mes684[[#This Row],[CUIT]]="","-",VLOOKUP(ventas_b_mes684[[#This Row],[CUIT]],Lista_CUIT[#All],2,0)),"CUIT NO CARGADO")</f>
        <v>-</v>
      </c>
      <c r="H2574" s="64"/>
      <c r="I2574" s="350">
        <f>ventas_b_mes684[[#This Row],[IMPORTE NETO]]*0.21</f>
        <v>0</v>
      </c>
      <c r="J2574" s="351"/>
      <c r="K2574" s="351"/>
      <c r="L2574" s="351">
        <f>SUM(ventas_b_mes684[[#This Row],[IMPORTE NETO]:[EXENTO]])</f>
        <v>0</v>
      </c>
      <c r="M2574" s="352"/>
    </row>
    <row r="2575" spans="2:13" x14ac:dyDescent="0.25">
      <c r="B2575" s="40"/>
      <c r="C2575" s="41"/>
      <c r="D2575" s="357"/>
      <c r="E2575" s="358"/>
      <c r="F2575" s="359"/>
      <c r="G2575" s="360" t="str">
        <f>IFERROR(IF(ventas_b_mes684[[#This Row],[CUIT]]="","-",VLOOKUP(ventas_b_mes684[[#This Row],[CUIT]],Lista_CUIT[#All],2,0)),"CUIT NO CARGADO")</f>
        <v>-</v>
      </c>
      <c r="H2575" s="64"/>
      <c r="I2575" s="350">
        <f>ventas_b_mes684[[#This Row],[IMPORTE NETO]]*0.21</f>
        <v>0</v>
      </c>
      <c r="J2575" s="351"/>
      <c r="K2575" s="351"/>
      <c r="L2575" s="351">
        <f>SUM(ventas_b_mes684[[#This Row],[IMPORTE NETO]:[EXENTO]])</f>
        <v>0</v>
      </c>
      <c r="M2575" s="352"/>
    </row>
    <row r="2576" spans="2:13" x14ac:dyDescent="0.25">
      <c r="B2576" s="40"/>
      <c r="C2576" s="41"/>
      <c r="D2576" s="357"/>
      <c r="E2576" s="358"/>
      <c r="F2576" s="359"/>
      <c r="G2576" s="360" t="str">
        <f>IFERROR(IF(ventas_b_mes684[[#This Row],[CUIT]]="","-",VLOOKUP(ventas_b_mes684[[#This Row],[CUIT]],Lista_CUIT[#All],2,0)),"CUIT NO CARGADO")</f>
        <v>-</v>
      </c>
      <c r="H2576" s="64"/>
      <c r="I2576" s="350">
        <f>ventas_b_mes684[[#This Row],[IMPORTE NETO]]*0.21</f>
        <v>0</v>
      </c>
      <c r="J2576" s="351"/>
      <c r="K2576" s="351"/>
      <c r="L2576" s="351">
        <f>SUM(ventas_b_mes684[[#This Row],[IMPORTE NETO]:[EXENTO]])</f>
        <v>0</v>
      </c>
      <c r="M2576" s="352"/>
    </row>
    <row r="2577" spans="2:13" x14ac:dyDescent="0.25">
      <c r="B2577" s="40"/>
      <c r="C2577" s="41"/>
      <c r="D2577" s="357"/>
      <c r="E2577" s="358"/>
      <c r="F2577" s="359"/>
      <c r="G2577" s="360" t="str">
        <f>IFERROR(IF(ventas_b_mes684[[#This Row],[CUIT]]="","-",VLOOKUP(ventas_b_mes684[[#This Row],[CUIT]],Lista_CUIT[#All],2,0)),"CUIT NO CARGADO")</f>
        <v>-</v>
      </c>
      <c r="H2577" s="64"/>
      <c r="I2577" s="350">
        <f>ventas_b_mes684[[#This Row],[IMPORTE NETO]]*0.21</f>
        <v>0</v>
      </c>
      <c r="J2577" s="351"/>
      <c r="K2577" s="351"/>
      <c r="L2577" s="351">
        <f>SUM(ventas_b_mes684[[#This Row],[IMPORTE NETO]:[EXENTO]])</f>
        <v>0</v>
      </c>
      <c r="M2577" s="352"/>
    </row>
    <row r="2578" spans="2:13" x14ac:dyDescent="0.25">
      <c r="B2578" s="40"/>
      <c r="C2578" s="41"/>
      <c r="D2578" s="357"/>
      <c r="E2578" s="358"/>
      <c r="F2578" s="359"/>
      <c r="G2578" s="360" t="str">
        <f>IFERROR(IF(ventas_b_mes684[[#This Row],[CUIT]]="","-",VLOOKUP(ventas_b_mes684[[#This Row],[CUIT]],Lista_CUIT[#All],2,0)),"CUIT NO CARGADO")</f>
        <v>-</v>
      </c>
      <c r="H2578" s="64"/>
      <c r="I2578" s="350">
        <f>ventas_b_mes684[[#This Row],[IMPORTE NETO]]*0.21</f>
        <v>0</v>
      </c>
      <c r="J2578" s="351"/>
      <c r="K2578" s="351"/>
      <c r="L2578" s="351">
        <f>SUM(ventas_b_mes684[[#This Row],[IMPORTE NETO]:[EXENTO]])</f>
        <v>0</v>
      </c>
      <c r="M2578" s="352"/>
    </row>
    <row r="2579" spans="2:13" x14ac:dyDescent="0.25">
      <c r="B2579" s="40"/>
      <c r="C2579" s="41"/>
      <c r="D2579" s="357"/>
      <c r="E2579" s="358"/>
      <c r="F2579" s="359"/>
      <c r="G2579" s="360" t="str">
        <f>IFERROR(IF(ventas_b_mes684[[#This Row],[CUIT]]="","-",VLOOKUP(ventas_b_mes684[[#This Row],[CUIT]],Lista_CUIT[#All],2,0)),"CUIT NO CARGADO")</f>
        <v>-</v>
      </c>
      <c r="H2579" s="64"/>
      <c r="I2579" s="350">
        <f>ventas_b_mes684[[#This Row],[IMPORTE NETO]]*0.21</f>
        <v>0</v>
      </c>
      <c r="J2579" s="351"/>
      <c r="K2579" s="351"/>
      <c r="L2579" s="351">
        <f>SUM(ventas_b_mes684[[#This Row],[IMPORTE NETO]:[EXENTO]])</f>
        <v>0</v>
      </c>
      <c r="M2579" s="352"/>
    </row>
    <row r="2580" spans="2:13" x14ac:dyDescent="0.25">
      <c r="B2580" s="40"/>
      <c r="C2580" s="41"/>
      <c r="D2580" s="357"/>
      <c r="E2580" s="358"/>
      <c r="F2580" s="359"/>
      <c r="G2580" s="360" t="str">
        <f>IFERROR(IF(ventas_b_mes684[[#This Row],[CUIT]]="","-",VLOOKUP(ventas_b_mes684[[#This Row],[CUIT]],Lista_CUIT[#All],2,0)),"CUIT NO CARGADO")</f>
        <v>-</v>
      </c>
      <c r="H2580" s="64"/>
      <c r="I2580" s="350">
        <f>ventas_b_mes684[[#This Row],[IMPORTE NETO]]*0.21</f>
        <v>0</v>
      </c>
      <c r="J2580" s="351"/>
      <c r="K2580" s="351"/>
      <c r="L2580" s="351">
        <f>SUM(ventas_b_mes684[[#This Row],[IMPORTE NETO]:[EXENTO]])</f>
        <v>0</v>
      </c>
      <c r="M2580" s="352"/>
    </row>
    <row r="2581" spans="2:13" x14ac:dyDescent="0.25">
      <c r="B2581" s="40"/>
      <c r="C2581" s="41"/>
      <c r="D2581" s="357"/>
      <c r="E2581" s="358"/>
      <c r="F2581" s="359"/>
      <c r="G2581" s="360" t="str">
        <f>IFERROR(IF(ventas_b_mes684[[#This Row],[CUIT]]="","-",VLOOKUP(ventas_b_mes684[[#This Row],[CUIT]],Lista_CUIT[#All],2,0)),"CUIT NO CARGADO")</f>
        <v>-</v>
      </c>
      <c r="H2581" s="64"/>
      <c r="I2581" s="350">
        <f>ventas_b_mes684[[#This Row],[IMPORTE NETO]]*0.21</f>
        <v>0</v>
      </c>
      <c r="J2581" s="351"/>
      <c r="K2581" s="351"/>
      <c r="L2581" s="351">
        <f>SUM(ventas_b_mes684[[#This Row],[IMPORTE NETO]:[EXENTO]])</f>
        <v>0</v>
      </c>
      <c r="M2581" s="352"/>
    </row>
    <row r="2582" spans="2:13" x14ac:dyDescent="0.25">
      <c r="B2582" s="40"/>
      <c r="C2582" s="41"/>
      <c r="D2582" s="357"/>
      <c r="E2582" s="358"/>
      <c r="F2582" s="359"/>
      <c r="G2582" s="360" t="str">
        <f>IFERROR(IF(ventas_b_mes684[[#This Row],[CUIT]]="","-",VLOOKUP(ventas_b_mes684[[#This Row],[CUIT]],Lista_CUIT[#All],2,0)),"CUIT NO CARGADO")</f>
        <v>-</v>
      </c>
      <c r="H2582" s="64"/>
      <c r="I2582" s="350">
        <f>ventas_b_mes684[[#This Row],[IMPORTE NETO]]*0.21</f>
        <v>0</v>
      </c>
      <c r="J2582" s="351"/>
      <c r="K2582" s="351"/>
      <c r="L2582" s="351">
        <f>SUM(ventas_b_mes684[[#This Row],[IMPORTE NETO]:[EXENTO]])</f>
        <v>0</v>
      </c>
      <c r="M2582" s="352"/>
    </row>
    <row r="2583" spans="2:13" x14ac:dyDescent="0.25">
      <c r="B2583" s="40"/>
      <c r="C2583" s="41"/>
      <c r="D2583" s="357"/>
      <c r="E2583" s="358"/>
      <c r="F2583" s="359"/>
      <c r="G2583" s="360" t="str">
        <f>IFERROR(IF(ventas_b_mes684[[#This Row],[CUIT]]="","-",VLOOKUP(ventas_b_mes684[[#This Row],[CUIT]],Lista_CUIT[#All],2,0)),"CUIT NO CARGADO")</f>
        <v>-</v>
      </c>
      <c r="H2583" s="64"/>
      <c r="I2583" s="350">
        <f>ventas_b_mes684[[#This Row],[IMPORTE NETO]]*0.21</f>
        <v>0</v>
      </c>
      <c r="J2583" s="351"/>
      <c r="K2583" s="351"/>
      <c r="L2583" s="351">
        <f>SUM(ventas_b_mes684[[#This Row],[IMPORTE NETO]:[EXENTO]])</f>
        <v>0</v>
      </c>
      <c r="M2583" s="352"/>
    </row>
    <row r="2584" spans="2:13" x14ac:dyDescent="0.25">
      <c r="B2584" s="40"/>
      <c r="C2584" s="41"/>
      <c r="D2584" s="357"/>
      <c r="E2584" s="358"/>
      <c r="F2584" s="359"/>
      <c r="G2584" s="360" t="str">
        <f>IFERROR(IF(ventas_b_mes684[[#This Row],[CUIT]]="","-",VLOOKUP(ventas_b_mes684[[#This Row],[CUIT]],Lista_CUIT[#All],2,0)),"CUIT NO CARGADO")</f>
        <v>-</v>
      </c>
      <c r="H2584" s="64"/>
      <c r="I2584" s="350">
        <f>ventas_b_mes684[[#This Row],[IMPORTE NETO]]*0.21</f>
        <v>0</v>
      </c>
      <c r="J2584" s="351"/>
      <c r="K2584" s="351"/>
      <c r="L2584" s="351">
        <f>SUM(ventas_b_mes684[[#This Row],[IMPORTE NETO]:[EXENTO]])</f>
        <v>0</v>
      </c>
      <c r="M2584" s="352"/>
    </row>
    <row r="2585" spans="2:13" x14ac:dyDescent="0.25">
      <c r="B2585" s="40"/>
      <c r="C2585" s="41"/>
      <c r="D2585" s="357"/>
      <c r="E2585" s="358"/>
      <c r="F2585" s="359"/>
      <c r="G2585" s="360" t="str">
        <f>IFERROR(IF(ventas_b_mes684[[#This Row],[CUIT]]="","-",VLOOKUP(ventas_b_mes684[[#This Row],[CUIT]],Lista_CUIT[#All],2,0)),"CUIT NO CARGADO")</f>
        <v>-</v>
      </c>
      <c r="H2585" s="64"/>
      <c r="I2585" s="350">
        <f>ventas_b_mes684[[#This Row],[IMPORTE NETO]]*0.21</f>
        <v>0</v>
      </c>
      <c r="J2585" s="351"/>
      <c r="K2585" s="351"/>
      <c r="L2585" s="351">
        <f>SUM(ventas_b_mes684[[#This Row],[IMPORTE NETO]:[EXENTO]])</f>
        <v>0</v>
      </c>
      <c r="M2585" s="352"/>
    </row>
    <row r="2586" spans="2:13" x14ac:dyDescent="0.25">
      <c r="B2586" s="40"/>
      <c r="C2586" s="41"/>
      <c r="D2586" s="357"/>
      <c r="E2586" s="358"/>
      <c r="F2586" s="359"/>
      <c r="G2586" s="360" t="str">
        <f>IFERROR(IF(ventas_b_mes684[[#This Row],[CUIT]]="","-",VLOOKUP(ventas_b_mes684[[#This Row],[CUIT]],Lista_CUIT[#All],2,0)),"CUIT NO CARGADO")</f>
        <v>-</v>
      </c>
      <c r="H2586" s="64"/>
      <c r="I2586" s="350">
        <f>ventas_b_mes684[[#This Row],[IMPORTE NETO]]*0.21</f>
        <v>0</v>
      </c>
      <c r="J2586" s="351"/>
      <c r="K2586" s="351"/>
      <c r="L2586" s="351">
        <f>SUM(ventas_b_mes684[[#This Row],[IMPORTE NETO]:[EXENTO]])</f>
        <v>0</v>
      </c>
      <c r="M2586" s="352"/>
    </row>
    <row r="2587" spans="2:13" x14ac:dyDescent="0.25">
      <c r="B2587" s="40"/>
      <c r="C2587" s="41"/>
      <c r="D2587" s="357"/>
      <c r="E2587" s="358"/>
      <c r="F2587" s="359"/>
      <c r="G2587" s="360" t="str">
        <f>IFERROR(IF(ventas_b_mes684[[#This Row],[CUIT]]="","-",VLOOKUP(ventas_b_mes684[[#This Row],[CUIT]],Lista_CUIT[#All],2,0)),"CUIT NO CARGADO")</f>
        <v>-</v>
      </c>
      <c r="H2587" s="64"/>
      <c r="I2587" s="350">
        <f>ventas_b_mes684[[#This Row],[IMPORTE NETO]]*0.21</f>
        <v>0</v>
      </c>
      <c r="J2587" s="351"/>
      <c r="K2587" s="351"/>
      <c r="L2587" s="351">
        <f>SUM(ventas_b_mes684[[#This Row],[IMPORTE NETO]:[EXENTO]])</f>
        <v>0</v>
      </c>
      <c r="M2587" s="352"/>
    </row>
    <row r="2588" spans="2:13" x14ac:dyDescent="0.25">
      <c r="B2588" s="40"/>
      <c r="C2588" s="41"/>
      <c r="D2588" s="357"/>
      <c r="E2588" s="358"/>
      <c r="F2588" s="359"/>
      <c r="G2588" s="360" t="str">
        <f>IFERROR(IF(ventas_b_mes684[[#This Row],[CUIT]]="","-",VLOOKUP(ventas_b_mes684[[#This Row],[CUIT]],Lista_CUIT[#All],2,0)),"CUIT NO CARGADO")</f>
        <v>-</v>
      </c>
      <c r="H2588" s="64"/>
      <c r="I2588" s="350">
        <f>ventas_b_mes684[[#This Row],[IMPORTE NETO]]*0.21</f>
        <v>0</v>
      </c>
      <c r="J2588" s="351"/>
      <c r="K2588" s="351"/>
      <c r="L2588" s="351">
        <f>SUM(ventas_b_mes684[[#This Row],[IMPORTE NETO]:[EXENTO]])</f>
        <v>0</v>
      </c>
      <c r="M2588" s="352"/>
    </row>
    <row r="2589" spans="2:13" x14ac:dyDescent="0.25">
      <c r="B2589" s="40"/>
      <c r="C2589" s="41"/>
      <c r="D2589" s="357"/>
      <c r="E2589" s="358"/>
      <c r="F2589" s="359"/>
      <c r="G2589" s="360" t="str">
        <f>IFERROR(IF(ventas_b_mes684[[#This Row],[CUIT]]="","-",VLOOKUP(ventas_b_mes684[[#This Row],[CUIT]],Lista_CUIT[#All],2,0)),"CUIT NO CARGADO")</f>
        <v>-</v>
      </c>
      <c r="H2589" s="64"/>
      <c r="I2589" s="350">
        <f>ventas_b_mes684[[#This Row],[IMPORTE NETO]]*0.21</f>
        <v>0</v>
      </c>
      <c r="J2589" s="351"/>
      <c r="K2589" s="351"/>
      <c r="L2589" s="351">
        <f>SUM(ventas_b_mes684[[#This Row],[IMPORTE NETO]:[EXENTO]])</f>
        <v>0</v>
      </c>
      <c r="M2589" s="352"/>
    </row>
    <row r="2590" spans="2:13" x14ac:dyDescent="0.25">
      <c r="B2590" s="40"/>
      <c r="C2590" s="41"/>
      <c r="D2590" s="357"/>
      <c r="E2590" s="358"/>
      <c r="F2590" s="359"/>
      <c r="G2590" s="360" t="str">
        <f>IFERROR(IF(ventas_b_mes684[[#This Row],[CUIT]]="","-",VLOOKUP(ventas_b_mes684[[#This Row],[CUIT]],Lista_CUIT[#All],2,0)),"CUIT NO CARGADO")</f>
        <v>-</v>
      </c>
      <c r="H2590" s="64"/>
      <c r="I2590" s="350">
        <f>ventas_b_mes684[[#This Row],[IMPORTE NETO]]*0.21</f>
        <v>0</v>
      </c>
      <c r="J2590" s="351"/>
      <c r="K2590" s="351"/>
      <c r="L2590" s="351">
        <f>SUM(ventas_b_mes684[[#This Row],[IMPORTE NETO]:[EXENTO]])</f>
        <v>0</v>
      </c>
      <c r="M2590" s="352"/>
    </row>
    <row r="2591" spans="2:13" x14ac:dyDescent="0.25">
      <c r="B2591" s="40"/>
      <c r="C2591" s="41"/>
      <c r="D2591" s="357"/>
      <c r="E2591" s="358"/>
      <c r="F2591" s="359"/>
      <c r="G2591" s="360" t="str">
        <f>IFERROR(IF(ventas_b_mes684[[#This Row],[CUIT]]="","-",VLOOKUP(ventas_b_mes684[[#This Row],[CUIT]],Lista_CUIT[#All],2,0)),"CUIT NO CARGADO")</f>
        <v>-</v>
      </c>
      <c r="H2591" s="64"/>
      <c r="I2591" s="350">
        <f>ventas_b_mes684[[#This Row],[IMPORTE NETO]]*0.21</f>
        <v>0</v>
      </c>
      <c r="J2591" s="351"/>
      <c r="K2591" s="351"/>
      <c r="L2591" s="351">
        <f>SUM(ventas_b_mes684[[#This Row],[IMPORTE NETO]:[EXENTO]])</f>
        <v>0</v>
      </c>
      <c r="M2591" s="352"/>
    </row>
    <row r="2592" spans="2:13" x14ac:dyDescent="0.25">
      <c r="B2592" s="40"/>
      <c r="C2592" s="41"/>
      <c r="D2592" s="357"/>
      <c r="E2592" s="358"/>
      <c r="F2592" s="359"/>
      <c r="G2592" s="360" t="str">
        <f>IFERROR(IF(ventas_b_mes684[[#This Row],[CUIT]]="","-",VLOOKUP(ventas_b_mes684[[#This Row],[CUIT]],Lista_CUIT[#All],2,0)),"CUIT NO CARGADO")</f>
        <v>-</v>
      </c>
      <c r="H2592" s="64"/>
      <c r="I2592" s="350">
        <f>ventas_b_mes684[[#This Row],[IMPORTE NETO]]*0.21</f>
        <v>0</v>
      </c>
      <c r="J2592" s="351"/>
      <c r="K2592" s="351"/>
      <c r="L2592" s="351">
        <f>SUM(ventas_b_mes684[[#This Row],[IMPORTE NETO]:[EXENTO]])</f>
        <v>0</v>
      </c>
      <c r="M2592" s="352"/>
    </row>
    <row r="2593" spans="2:13" x14ac:dyDescent="0.25">
      <c r="B2593" s="40"/>
      <c r="C2593" s="41"/>
      <c r="D2593" s="357"/>
      <c r="E2593" s="358"/>
      <c r="F2593" s="359"/>
      <c r="G2593" s="360" t="str">
        <f>IFERROR(IF(ventas_b_mes684[[#This Row],[CUIT]]="","-",VLOOKUP(ventas_b_mes684[[#This Row],[CUIT]],Lista_CUIT[#All],2,0)),"CUIT NO CARGADO")</f>
        <v>-</v>
      </c>
      <c r="H2593" s="64"/>
      <c r="I2593" s="350">
        <f>ventas_b_mes684[[#This Row],[IMPORTE NETO]]*0.21</f>
        <v>0</v>
      </c>
      <c r="J2593" s="351"/>
      <c r="K2593" s="351"/>
      <c r="L2593" s="351">
        <f>SUM(ventas_b_mes684[[#This Row],[IMPORTE NETO]:[EXENTO]])</f>
        <v>0</v>
      </c>
      <c r="M2593" s="352"/>
    </row>
    <row r="2594" spans="2:13" x14ac:dyDescent="0.25">
      <c r="B2594" s="40"/>
      <c r="C2594" s="41"/>
      <c r="D2594" s="357"/>
      <c r="E2594" s="358"/>
      <c r="F2594" s="359"/>
      <c r="G2594" s="360" t="str">
        <f>IFERROR(IF(ventas_b_mes684[[#This Row],[CUIT]]="","-",VLOOKUP(ventas_b_mes684[[#This Row],[CUIT]],Lista_CUIT[#All],2,0)),"CUIT NO CARGADO")</f>
        <v>-</v>
      </c>
      <c r="H2594" s="64"/>
      <c r="I2594" s="350">
        <f>ventas_b_mes684[[#This Row],[IMPORTE NETO]]*0.21</f>
        <v>0</v>
      </c>
      <c r="J2594" s="351"/>
      <c r="K2594" s="351"/>
      <c r="L2594" s="351">
        <f>SUM(ventas_b_mes684[[#This Row],[IMPORTE NETO]:[EXENTO]])</f>
        <v>0</v>
      </c>
      <c r="M2594" s="352"/>
    </row>
    <row r="2595" spans="2:13" x14ac:dyDescent="0.25">
      <c r="B2595" s="40"/>
      <c r="C2595" s="41"/>
      <c r="D2595" s="357"/>
      <c r="E2595" s="358"/>
      <c r="F2595" s="359"/>
      <c r="G2595" s="360" t="str">
        <f>IFERROR(IF(ventas_b_mes684[[#This Row],[CUIT]]="","-",VLOOKUP(ventas_b_mes684[[#This Row],[CUIT]],Lista_CUIT[#All],2,0)),"CUIT NO CARGADO")</f>
        <v>-</v>
      </c>
      <c r="H2595" s="64"/>
      <c r="I2595" s="350">
        <f>ventas_b_mes684[[#This Row],[IMPORTE NETO]]*0.21</f>
        <v>0</v>
      </c>
      <c r="J2595" s="351"/>
      <c r="K2595" s="351"/>
      <c r="L2595" s="351">
        <f>SUM(ventas_b_mes684[[#This Row],[IMPORTE NETO]:[EXENTO]])</f>
        <v>0</v>
      </c>
      <c r="M2595" s="352"/>
    </row>
    <row r="2596" spans="2:13" x14ac:dyDescent="0.25">
      <c r="B2596" s="40"/>
      <c r="C2596" s="41"/>
      <c r="D2596" s="357"/>
      <c r="E2596" s="358"/>
      <c r="F2596" s="359"/>
      <c r="G2596" s="360" t="str">
        <f>IFERROR(IF(ventas_b_mes684[[#This Row],[CUIT]]="","-",VLOOKUP(ventas_b_mes684[[#This Row],[CUIT]],Lista_CUIT[#All],2,0)),"CUIT NO CARGADO")</f>
        <v>-</v>
      </c>
      <c r="H2596" s="64"/>
      <c r="I2596" s="350">
        <f>ventas_b_mes684[[#This Row],[IMPORTE NETO]]*0.21</f>
        <v>0</v>
      </c>
      <c r="J2596" s="351"/>
      <c r="K2596" s="351"/>
      <c r="L2596" s="351">
        <f>SUM(ventas_b_mes684[[#This Row],[IMPORTE NETO]:[EXENTO]])</f>
        <v>0</v>
      </c>
      <c r="M2596" s="352"/>
    </row>
    <row r="2597" spans="2:13" x14ac:dyDescent="0.25">
      <c r="B2597" s="40"/>
      <c r="C2597" s="41"/>
      <c r="D2597" s="357"/>
      <c r="E2597" s="358"/>
      <c r="F2597" s="359"/>
      <c r="G2597" s="360" t="str">
        <f>IFERROR(IF(ventas_b_mes684[[#This Row],[CUIT]]="","-",VLOOKUP(ventas_b_mes684[[#This Row],[CUIT]],Lista_CUIT[#All],2,0)),"CUIT NO CARGADO")</f>
        <v>-</v>
      </c>
      <c r="H2597" s="64"/>
      <c r="I2597" s="350">
        <f>ventas_b_mes684[[#This Row],[IMPORTE NETO]]*0.21</f>
        <v>0</v>
      </c>
      <c r="J2597" s="351"/>
      <c r="K2597" s="351"/>
      <c r="L2597" s="351">
        <f>SUM(ventas_b_mes684[[#This Row],[IMPORTE NETO]:[EXENTO]])</f>
        <v>0</v>
      </c>
      <c r="M2597" s="352"/>
    </row>
    <row r="2598" spans="2:13" x14ac:dyDescent="0.25">
      <c r="B2598" s="40"/>
      <c r="C2598" s="41"/>
      <c r="D2598" s="357"/>
      <c r="E2598" s="358"/>
      <c r="F2598" s="359"/>
      <c r="G2598" s="360" t="str">
        <f>IFERROR(IF(ventas_b_mes684[[#This Row],[CUIT]]="","-",VLOOKUP(ventas_b_mes684[[#This Row],[CUIT]],Lista_CUIT[#All],2,0)),"CUIT NO CARGADO")</f>
        <v>-</v>
      </c>
      <c r="H2598" s="64"/>
      <c r="I2598" s="350">
        <f>ventas_b_mes684[[#This Row],[IMPORTE NETO]]*0.21</f>
        <v>0</v>
      </c>
      <c r="J2598" s="351"/>
      <c r="K2598" s="351"/>
      <c r="L2598" s="351">
        <f>SUM(ventas_b_mes684[[#This Row],[IMPORTE NETO]:[EXENTO]])</f>
        <v>0</v>
      </c>
      <c r="M2598" s="352"/>
    </row>
    <row r="2599" spans="2:13" x14ac:dyDescent="0.25">
      <c r="B2599" s="40"/>
      <c r="C2599" s="41"/>
      <c r="D2599" s="357"/>
      <c r="E2599" s="358"/>
      <c r="F2599" s="359"/>
      <c r="G2599" s="360" t="str">
        <f>IFERROR(IF(ventas_b_mes684[[#This Row],[CUIT]]="","-",VLOOKUP(ventas_b_mes684[[#This Row],[CUIT]],Lista_CUIT[#All],2,0)),"CUIT NO CARGADO")</f>
        <v>-</v>
      </c>
      <c r="H2599" s="64"/>
      <c r="I2599" s="350">
        <f>ventas_b_mes684[[#This Row],[IMPORTE NETO]]*0.21</f>
        <v>0</v>
      </c>
      <c r="J2599" s="351"/>
      <c r="K2599" s="351"/>
      <c r="L2599" s="351">
        <f>SUM(ventas_b_mes684[[#This Row],[IMPORTE NETO]:[EXENTO]])</f>
        <v>0</v>
      </c>
      <c r="M2599" s="352"/>
    </row>
    <row r="2600" spans="2:13" x14ac:dyDescent="0.25">
      <c r="B2600" s="40"/>
      <c r="C2600" s="41"/>
      <c r="D2600" s="357"/>
      <c r="E2600" s="358"/>
      <c r="F2600" s="359"/>
      <c r="G2600" s="360" t="str">
        <f>IFERROR(IF(ventas_b_mes684[[#This Row],[CUIT]]="","-",VLOOKUP(ventas_b_mes684[[#This Row],[CUIT]],Lista_CUIT[#All],2,0)),"CUIT NO CARGADO")</f>
        <v>-</v>
      </c>
      <c r="H2600" s="64"/>
      <c r="I2600" s="350">
        <f>ventas_b_mes684[[#This Row],[IMPORTE NETO]]*0.21</f>
        <v>0</v>
      </c>
      <c r="J2600" s="351"/>
      <c r="K2600" s="351"/>
      <c r="L2600" s="351">
        <f>SUM(ventas_b_mes684[[#This Row],[IMPORTE NETO]:[EXENTO]])</f>
        <v>0</v>
      </c>
      <c r="M2600" s="352"/>
    </row>
    <row r="2601" spans="2:13" x14ac:dyDescent="0.25">
      <c r="B2601" s="40"/>
      <c r="C2601" s="41"/>
      <c r="D2601" s="357"/>
      <c r="E2601" s="358"/>
      <c r="F2601" s="359"/>
      <c r="G2601" s="360" t="str">
        <f>IFERROR(IF(ventas_b_mes684[[#This Row],[CUIT]]="","-",VLOOKUP(ventas_b_mes684[[#This Row],[CUIT]],Lista_CUIT[#All],2,0)),"CUIT NO CARGADO")</f>
        <v>-</v>
      </c>
      <c r="H2601" s="64"/>
      <c r="I2601" s="350">
        <f>ventas_b_mes684[[#This Row],[IMPORTE NETO]]*0.21</f>
        <v>0</v>
      </c>
      <c r="J2601" s="351"/>
      <c r="K2601" s="351"/>
      <c r="L2601" s="351">
        <f>SUM(ventas_b_mes684[[#This Row],[IMPORTE NETO]:[EXENTO]])</f>
        <v>0</v>
      </c>
      <c r="M2601" s="352"/>
    </row>
    <row r="2602" spans="2:13" x14ac:dyDescent="0.25">
      <c r="B2602" s="40"/>
      <c r="C2602" s="41"/>
      <c r="D2602" s="357"/>
      <c r="E2602" s="358"/>
      <c r="F2602" s="359"/>
      <c r="G2602" s="360" t="str">
        <f>IFERROR(IF(ventas_b_mes684[[#This Row],[CUIT]]="","-",VLOOKUP(ventas_b_mes684[[#This Row],[CUIT]],Lista_CUIT[#All],2,0)),"CUIT NO CARGADO")</f>
        <v>-</v>
      </c>
      <c r="H2602" s="64"/>
      <c r="I2602" s="350">
        <f>ventas_b_mes684[[#This Row],[IMPORTE NETO]]*0.21</f>
        <v>0</v>
      </c>
      <c r="J2602" s="351"/>
      <c r="K2602" s="351"/>
      <c r="L2602" s="351">
        <f>SUM(ventas_b_mes684[[#This Row],[IMPORTE NETO]:[EXENTO]])</f>
        <v>0</v>
      </c>
      <c r="M2602" s="352"/>
    </row>
    <row r="2603" spans="2:13" x14ac:dyDescent="0.25">
      <c r="B2603" s="40"/>
      <c r="C2603" s="41"/>
      <c r="D2603" s="357"/>
      <c r="E2603" s="358"/>
      <c r="F2603" s="359"/>
      <c r="G2603" s="360" t="str">
        <f>IFERROR(IF(ventas_b_mes684[[#This Row],[CUIT]]="","-",VLOOKUP(ventas_b_mes684[[#This Row],[CUIT]],Lista_CUIT[#All],2,0)),"CUIT NO CARGADO")</f>
        <v>-</v>
      </c>
      <c r="H2603" s="64"/>
      <c r="I2603" s="350">
        <f>ventas_b_mes684[[#This Row],[IMPORTE NETO]]*0.21</f>
        <v>0</v>
      </c>
      <c r="J2603" s="351"/>
      <c r="K2603" s="351"/>
      <c r="L2603" s="351">
        <f>SUM(ventas_b_mes684[[#This Row],[IMPORTE NETO]:[EXENTO]])</f>
        <v>0</v>
      </c>
      <c r="M2603" s="352"/>
    </row>
    <row r="2604" spans="2:13" x14ac:dyDescent="0.25">
      <c r="B2604" s="40"/>
      <c r="C2604" s="41"/>
      <c r="D2604" s="357"/>
      <c r="E2604" s="358"/>
      <c r="F2604" s="359"/>
      <c r="G2604" s="360" t="str">
        <f>IFERROR(IF(ventas_b_mes684[[#This Row],[CUIT]]="","-",VLOOKUP(ventas_b_mes684[[#This Row],[CUIT]],Lista_CUIT[#All],2,0)),"CUIT NO CARGADO")</f>
        <v>-</v>
      </c>
      <c r="H2604" s="64"/>
      <c r="I2604" s="350">
        <f>ventas_b_mes684[[#This Row],[IMPORTE NETO]]*0.21</f>
        <v>0</v>
      </c>
      <c r="J2604" s="351"/>
      <c r="K2604" s="351"/>
      <c r="L2604" s="351">
        <f>SUM(ventas_b_mes684[[#This Row],[IMPORTE NETO]:[EXENTO]])</f>
        <v>0</v>
      </c>
      <c r="M2604" s="352"/>
    </row>
    <row r="2605" spans="2:13" x14ac:dyDescent="0.25">
      <c r="B2605" s="40"/>
      <c r="C2605" s="41"/>
      <c r="D2605" s="357"/>
      <c r="E2605" s="358"/>
      <c r="F2605" s="359"/>
      <c r="G2605" s="360" t="str">
        <f>IFERROR(IF(ventas_b_mes684[[#This Row],[CUIT]]="","-",VLOOKUP(ventas_b_mes684[[#This Row],[CUIT]],Lista_CUIT[#All],2,0)),"CUIT NO CARGADO")</f>
        <v>-</v>
      </c>
      <c r="H2605" s="64"/>
      <c r="I2605" s="350">
        <f>ventas_b_mes684[[#This Row],[IMPORTE NETO]]*0.21</f>
        <v>0</v>
      </c>
      <c r="J2605" s="351"/>
      <c r="K2605" s="351"/>
      <c r="L2605" s="351">
        <f>SUM(ventas_b_mes684[[#This Row],[IMPORTE NETO]:[EXENTO]])</f>
        <v>0</v>
      </c>
      <c r="M2605" s="352"/>
    </row>
    <row r="2606" spans="2:13" x14ac:dyDescent="0.25">
      <c r="B2606" s="40"/>
      <c r="C2606" s="41"/>
      <c r="D2606" s="357"/>
      <c r="E2606" s="358"/>
      <c r="F2606" s="359"/>
      <c r="G2606" s="360" t="str">
        <f>IFERROR(IF(ventas_b_mes684[[#This Row],[CUIT]]="","-",VLOOKUP(ventas_b_mes684[[#This Row],[CUIT]],Lista_CUIT[#All],2,0)),"CUIT NO CARGADO")</f>
        <v>-</v>
      </c>
      <c r="H2606" s="64"/>
      <c r="I2606" s="350">
        <f>ventas_b_mes684[[#This Row],[IMPORTE NETO]]*0.21</f>
        <v>0</v>
      </c>
      <c r="J2606" s="351"/>
      <c r="K2606" s="351"/>
      <c r="L2606" s="351">
        <f>SUM(ventas_b_mes684[[#This Row],[IMPORTE NETO]:[EXENTO]])</f>
        <v>0</v>
      </c>
      <c r="M2606" s="352"/>
    </row>
    <row r="2607" spans="2:13" x14ac:dyDescent="0.25">
      <c r="B2607" s="40"/>
      <c r="C2607" s="41"/>
      <c r="D2607" s="357"/>
      <c r="E2607" s="358"/>
      <c r="F2607" s="359"/>
      <c r="G2607" s="360" t="str">
        <f>IFERROR(IF(ventas_b_mes684[[#This Row],[CUIT]]="","-",VLOOKUP(ventas_b_mes684[[#This Row],[CUIT]],Lista_CUIT[#All],2,0)),"CUIT NO CARGADO")</f>
        <v>-</v>
      </c>
      <c r="H2607" s="64"/>
      <c r="I2607" s="350">
        <f>ventas_b_mes684[[#This Row],[IMPORTE NETO]]*0.21</f>
        <v>0</v>
      </c>
      <c r="J2607" s="351"/>
      <c r="K2607" s="351"/>
      <c r="L2607" s="351">
        <f>SUM(ventas_b_mes684[[#This Row],[IMPORTE NETO]:[EXENTO]])</f>
        <v>0</v>
      </c>
      <c r="M2607" s="352"/>
    </row>
    <row r="2608" spans="2:13" x14ac:dyDescent="0.25">
      <c r="B2608" s="40"/>
      <c r="C2608" s="41"/>
      <c r="D2608" s="357"/>
      <c r="E2608" s="358"/>
      <c r="F2608" s="359"/>
      <c r="G2608" s="360" t="str">
        <f>IFERROR(IF(ventas_b_mes684[[#This Row],[CUIT]]="","-",VLOOKUP(ventas_b_mes684[[#This Row],[CUIT]],Lista_CUIT[#All],2,0)),"CUIT NO CARGADO")</f>
        <v>-</v>
      </c>
      <c r="H2608" s="64"/>
      <c r="I2608" s="350">
        <f>ventas_b_mes684[[#This Row],[IMPORTE NETO]]*0.21</f>
        <v>0</v>
      </c>
      <c r="J2608" s="351"/>
      <c r="K2608" s="351"/>
      <c r="L2608" s="351">
        <f>SUM(ventas_b_mes684[[#This Row],[IMPORTE NETO]:[EXENTO]])</f>
        <v>0</v>
      </c>
      <c r="M2608" s="352"/>
    </row>
    <row r="2609" spans="2:13" x14ac:dyDescent="0.25">
      <c r="B2609" s="40"/>
      <c r="C2609" s="41"/>
      <c r="D2609" s="357"/>
      <c r="E2609" s="358"/>
      <c r="F2609" s="359"/>
      <c r="G2609" s="360" t="str">
        <f>IFERROR(IF(ventas_b_mes684[[#This Row],[CUIT]]="","-",VLOOKUP(ventas_b_mes684[[#This Row],[CUIT]],Lista_CUIT[#All],2,0)),"CUIT NO CARGADO")</f>
        <v>-</v>
      </c>
      <c r="H2609" s="64"/>
      <c r="I2609" s="350">
        <f>ventas_b_mes684[[#This Row],[IMPORTE NETO]]*0.21</f>
        <v>0</v>
      </c>
      <c r="J2609" s="351"/>
      <c r="K2609" s="351"/>
      <c r="L2609" s="351">
        <f>SUM(ventas_b_mes684[[#This Row],[IMPORTE NETO]:[EXENTO]])</f>
        <v>0</v>
      </c>
      <c r="M2609" s="352"/>
    </row>
    <row r="2610" spans="2:13" x14ac:dyDescent="0.25">
      <c r="B2610" s="40"/>
      <c r="C2610" s="41"/>
      <c r="D2610" s="357"/>
      <c r="E2610" s="358"/>
      <c r="F2610" s="359"/>
      <c r="G2610" s="360" t="str">
        <f>IFERROR(IF(ventas_b_mes684[[#This Row],[CUIT]]="","-",VLOOKUP(ventas_b_mes684[[#This Row],[CUIT]],Lista_CUIT[#All],2,0)),"CUIT NO CARGADO")</f>
        <v>-</v>
      </c>
      <c r="H2610" s="64"/>
      <c r="I2610" s="350">
        <f>ventas_b_mes684[[#This Row],[IMPORTE NETO]]*0.21</f>
        <v>0</v>
      </c>
      <c r="J2610" s="351"/>
      <c r="K2610" s="351"/>
      <c r="L2610" s="351">
        <f>SUM(ventas_b_mes684[[#This Row],[IMPORTE NETO]:[EXENTO]])</f>
        <v>0</v>
      </c>
      <c r="M2610" s="352"/>
    </row>
    <row r="2611" spans="2:13" x14ac:dyDescent="0.25">
      <c r="B2611" s="40"/>
      <c r="C2611" s="41"/>
      <c r="D2611" s="357"/>
      <c r="E2611" s="358"/>
      <c r="F2611" s="359"/>
      <c r="G2611" s="360" t="str">
        <f>IFERROR(IF(ventas_b_mes684[[#This Row],[CUIT]]="","-",VLOOKUP(ventas_b_mes684[[#This Row],[CUIT]],Lista_CUIT[#All],2,0)),"CUIT NO CARGADO")</f>
        <v>-</v>
      </c>
      <c r="H2611" s="64"/>
      <c r="I2611" s="350">
        <f>ventas_b_mes684[[#This Row],[IMPORTE NETO]]*0.21</f>
        <v>0</v>
      </c>
      <c r="J2611" s="351"/>
      <c r="K2611" s="351"/>
      <c r="L2611" s="351">
        <f>SUM(ventas_b_mes684[[#This Row],[IMPORTE NETO]:[EXENTO]])</f>
        <v>0</v>
      </c>
      <c r="M2611" s="352"/>
    </row>
    <row r="2612" spans="2:13" x14ac:dyDescent="0.25">
      <c r="B2612" s="40"/>
      <c r="C2612" s="41"/>
      <c r="D2612" s="357"/>
      <c r="E2612" s="358"/>
      <c r="F2612" s="359"/>
      <c r="G2612" s="360" t="str">
        <f>IFERROR(IF(ventas_b_mes684[[#This Row],[CUIT]]="","-",VLOOKUP(ventas_b_mes684[[#This Row],[CUIT]],Lista_CUIT[#All],2,0)),"CUIT NO CARGADO")</f>
        <v>-</v>
      </c>
      <c r="H2612" s="64"/>
      <c r="I2612" s="350">
        <f>ventas_b_mes684[[#This Row],[IMPORTE NETO]]*0.21</f>
        <v>0</v>
      </c>
      <c r="J2612" s="351"/>
      <c r="K2612" s="351"/>
      <c r="L2612" s="351">
        <f>SUM(ventas_b_mes684[[#This Row],[IMPORTE NETO]:[EXENTO]])</f>
        <v>0</v>
      </c>
      <c r="M2612" s="352"/>
    </row>
    <row r="2613" spans="2:13" x14ac:dyDescent="0.25">
      <c r="B2613" s="40"/>
      <c r="C2613" s="41"/>
      <c r="D2613" s="357"/>
      <c r="E2613" s="358"/>
      <c r="F2613" s="359"/>
      <c r="G2613" s="360" t="str">
        <f>IFERROR(IF(ventas_b_mes684[[#This Row],[CUIT]]="","-",VLOOKUP(ventas_b_mes684[[#This Row],[CUIT]],Lista_CUIT[#All],2,0)),"CUIT NO CARGADO")</f>
        <v>-</v>
      </c>
      <c r="H2613" s="64"/>
      <c r="I2613" s="350">
        <f>ventas_b_mes684[[#This Row],[IMPORTE NETO]]*0.21</f>
        <v>0</v>
      </c>
      <c r="J2613" s="351"/>
      <c r="K2613" s="351"/>
      <c r="L2613" s="351">
        <f>SUM(ventas_b_mes684[[#This Row],[IMPORTE NETO]:[EXENTO]])</f>
        <v>0</v>
      </c>
      <c r="M2613" s="352"/>
    </row>
    <row r="2614" spans="2:13" x14ac:dyDescent="0.25">
      <c r="B2614" s="40"/>
      <c r="C2614" s="41"/>
      <c r="D2614" s="357"/>
      <c r="E2614" s="358"/>
      <c r="F2614" s="359"/>
      <c r="G2614" s="360" t="str">
        <f>IFERROR(IF(ventas_b_mes684[[#This Row],[CUIT]]="","-",VLOOKUP(ventas_b_mes684[[#This Row],[CUIT]],Lista_CUIT[#All],2,0)),"CUIT NO CARGADO")</f>
        <v>-</v>
      </c>
      <c r="H2614" s="64"/>
      <c r="I2614" s="350">
        <f>ventas_b_mes684[[#This Row],[IMPORTE NETO]]*0.21</f>
        <v>0</v>
      </c>
      <c r="J2614" s="351"/>
      <c r="K2614" s="351"/>
      <c r="L2614" s="351">
        <f>SUM(ventas_b_mes684[[#This Row],[IMPORTE NETO]:[EXENTO]])</f>
        <v>0</v>
      </c>
      <c r="M2614" s="352"/>
    </row>
    <row r="2615" spans="2:13" x14ac:dyDescent="0.25">
      <c r="B2615" s="40"/>
      <c r="C2615" s="41"/>
      <c r="D2615" s="357"/>
      <c r="E2615" s="358"/>
      <c r="F2615" s="359"/>
      <c r="G2615" s="360" t="str">
        <f>IFERROR(IF(ventas_b_mes684[[#This Row],[CUIT]]="","-",VLOOKUP(ventas_b_mes684[[#This Row],[CUIT]],Lista_CUIT[#All],2,0)),"CUIT NO CARGADO")</f>
        <v>-</v>
      </c>
      <c r="H2615" s="64"/>
      <c r="I2615" s="350">
        <f>ventas_b_mes684[[#This Row],[IMPORTE NETO]]*0.21</f>
        <v>0</v>
      </c>
      <c r="J2615" s="351"/>
      <c r="K2615" s="351"/>
      <c r="L2615" s="351">
        <f>SUM(ventas_b_mes684[[#This Row],[IMPORTE NETO]:[EXENTO]])</f>
        <v>0</v>
      </c>
      <c r="M2615" s="352"/>
    </row>
    <row r="2616" spans="2:13" x14ac:dyDescent="0.25">
      <c r="B2616" s="40"/>
      <c r="C2616" s="41"/>
      <c r="D2616" s="357"/>
      <c r="E2616" s="358"/>
      <c r="F2616" s="359"/>
      <c r="G2616" s="360" t="str">
        <f>IFERROR(IF(ventas_b_mes684[[#This Row],[CUIT]]="","-",VLOOKUP(ventas_b_mes684[[#This Row],[CUIT]],Lista_CUIT[#All],2,0)),"CUIT NO CARGADO")</f>
        <v>-</v>
      </c>
      <c r="H2616" s="64"/>
      <c r="I2616" s="350">
        <f>ventas_b_mes684[[#This Row],[IMPORTE NETO]]*0.21</f>
        <v>0</v>
      </c>
      <c r="J2616" s="351"/>
      <c r="K2616" s="351"/>
      <c r="L2616" s="351">
        <f>SUM(ventas_b_mes684[[#This Row],[IMPORTE NETO]:[EXENTO]])</f>
        <v>0</v>
      </c>
      <c r="M2616" s="352"/>
    </row>
    <row r="2617" spans="2:13" x14ac:dyDescent="0.25">
      <c r="B2617" s="40"/>
      <c r="C2617" s="41"/>
      <c r="D2617" s="357"/>
      <c r="E2617" s="358"/>
      <c r="F2617" s="359"/>
      <c r="G2617" s="360" t="str">
        <f>IFERROR(IF(ventas_b_mes684[[#This Row],[CUIT]]="","-",VLOOKUP(ventas_b_mes684[[#This Row],[CUIT]],Lista_CUIT[#All],2,0)),"CUIT NO CARGADO")</f>
        <v>-</v>
      </c>
      <c r="H2617" s="64"/>
      <c r="I2617" s="350">
        <f>ventas_b_mes684[[#This Row],[IMPORTE NETO]]*0.21</f>
        <v>0</v>
      </c>
      <c r="J2617" s="351"/>
      <c r="K2617" s="351"/>
      <c r="L2617" s="351">
        <f>SUM(ventas_b_mes684[[#This Row],[IMPORTE NETO]:[EXENTO]])</f>
        <v>0</v>
      </c>
      <c r="M2617" s="352"/>
    </row>
    <row r="2618" spans="2:13" x14ac:dyDescent="0.25">
      <c r="B2618" s="40"/>
      <c r="C2618" s="41"/>
      <c r="D2618" s="357"/>
      <c r="E2618" s="358"/>
      <c r="F2618" s="359"/>
      <c r="G2618" s="360" t="str">
        <f>IFERROR(IF(ventas_b_mes684[[#This Row],[CUIT]]="","-",VLOOKUP(ventas_b_mes684[[#This Row],[CUIT]],Lista_CUIT[#All],2,0)),"CUIT NO CARGADO")</f>
        <v>-</v>
      </c>
      <c r="H2618" s="64"/>
      <c r="I2618" s="350">
        <f>ventas_b_mes684[[#This Row],[IMPORTE NETO]]*0.21</f>
        <v>0</v>
      </c>
      <c r="J2618" s="351"/>
      <c r="K2618" s="351"/>
      <c r="L2618" s="351">
        <f>SUM(ventas_b_mes684[[#This Row],[IMPORTE NETO]:[EXENTO]])</f>
        <v>0</v>
      </c>
      <c r="M2618" s="352"/>
    </row>
    <row r="2619" spans="2:13" x14ac:dyDescent="0.25">
      <c r="B2619" s="40"/>
      <c r="C2619" s="41"/>
      <c r="D2619" s="357"/>
      <c r="E2619" s="358"/>
      <c r="F2619" s="359"/>
      <c r="G2619" s="360" t="str">
        <f>IFERROR(IF(ventas_b_mes684[[#This Row],[CUIT]]="","-",VLOOKUP(ventas_b_mes684[[#This Row],[CUIT]],Lista_CUIT[#All],2,0)),"CUIT NO CARGADO")</f>
        <v>-</v>
      </c>
      <c r="H2619" s="64"/>
      <c r="I2619" s="350">
        <f>ventas_b_mes684[[#This Row],[IMPORTE NETO]]*0.21</f>
        <v>0</v>
      </c>
      <c r="J2619" s="351"/>
      <c r="K2619" s="351"/>
      <c r="L2619" s="351">
        <f>SUM(ventas_b_mes684[[#This Row],[IMPORTE NETO]:[EXENTO]])</f>
        <v>0</v>
      </c>
      <c r="M2619" s="352"/>
    </row>
    <row r="2620" spans="2:13" x14ac:dyDescent="0.25">
      <c r="B2620" s="40"/>
      <c r="C2620" s="41"/>
      <c r="D2620" s="357"/>
      <c r="E2620" s="358"/>
      <c r="F2620" s="359"/>
      <c r="G2620" s="360" t="str">
        <f>IFERROR(IF(ventas_b_mes684[[#This Row],[CUIT]]="","-",VLOOKUP(ventas_b_mes684[[#This Row],[CUIT]],Lista_CUIT[#All],2,0)),"CUIT NO CARGADO")</f>
        <v>-</v>
      </c>
      <c r="H2620" s="64"/>
      <c r="I2620" s="350">
        <f>ventas_b_mes684[[#This Row],[IMPORTE NETO]]*0.21</f>
        <v>0</v>
      </c>
      <c r="J2620" s="351"/>
      <c r="K2620" s="351"/>
      <c r="L2620" s="351">
        <f>SUM(ventas_b_mes684[[#This Row],[IMPORTE NETO]:[EXENTO]])</f>
        <v>0</v>
      </c>
      <c r="M2620" s="352"/>
    </row>
    <row r="2621" spans="2:13" x14ac:dyDescent="0.25">
      <c r="B2621" s="40"/>
      <c r="C2621" s="41"/>
      <c r="D2621" s="357"/>
      <c r="E2621" s="358"/>
      <c r="F2621" s="359"/>
      <c r="G2621" s="360" t="str">
        <f>IFERROR(IF(ventas_b_mes684[[#This Row],[CUIT]]="","-",VLOOKUP(ventas_b_mes684[[#This Row],[CUIT]],Lista_CUIT[#All],2,0)),"CUIT NO CARGADO")</f>
        <v>-</v>
      </c>
      <c r="H2621" s="64"/>
      <c r="I2621" s="350">
        <f>ventas_b_mes684[[#This Row],[IMPORTE NETO]]*0.21</f>
        <v>0</v>
      </c>
      <c r="J2621" s="351"/>
      <c r="K2621" s="351"/>
      <c r="L2621" s="351">
        <f>SUM(ventas_b_mes684[[#This Row],[IMPORTE NETO]:[EXENTO]])</f>
        <v>0</v>
      </c>
      <c r="M2621" s="352"/>
    </row>
    <row r="2622" spans="2:13" x14ac:dyDescent="0.25">
      <c r="B2622" s="40"/>
      <c r="C2622" s="41"/>
      <c r="D2622" s="357"/>
      <c r="E2622" s="358"/>
      <c r="F2622" s="359"/>
      <c r="G2622" s="360" t="str">
        <f>IFERROR(IF(ventas_b_mes684[[#This Row],[CUIT]]="","-",VLOOKUP(ventas_b_mes684[[#This Row],[CUIT]],Lista_CUIT[#All],2,0)),"CUIT NO CARGADO")</f>
        <v>-</v>
      </c>
      <c r="H2622" s="64"/>
      <c r="I2622" s="350">
        <f>ventas_b_mes684[[#This Row],[IMPORTE NETO]]*0.21</f>
        <v>0</v>
      </c>
      <c r="J2622" s="351"/>
      <c r="K2622" s="351"/>
      <c r="L2622" s="351">
        <f>SUM(ventas_b_mes684[[#This Row],[IMPORTE NETO]:[EXENTO]])</f>
        <v>0</v>
      </c>
      <c r="M2622" s="352"/>
    </row>
    <row r="2623" spans="2:13" x14ac:dyDescent="0.25">
      <c r="B2623" s="40"/>
      <c r="C2623" s="41"/>
      <c r="D2623" s="357"/>
      <c r="E2623" s="358"/>
      <c r="F2623" s="359"/>
      <c r="G2623" s="360" t="str">
        <f>IFERROR(IF(ventas_b_mes684[[#This Row],[CUIT]]="","-",VLOOKUP(ventas_b_mes684[[#This Row],[CUIT]],Lista_CUIT[#All],2,0)),"CUIT NO CARGADO")</f>
        <v>-</v>
      </c>
      <c r="H2623" s="64"/>
      <c r="I2623" s="350">
        <f>ventas_b_mes684[[#This Row],[IMPORTE NETO]]*0.21</f>
        <v>0</v>
      </c>
      <c r="J2623" s="351"/>
      <c r="K2623" s="351"/>
      <c r="L2623" s="351">
        <f>SUM(ventas_b_mes684[[#This Row],[IMPORTE NETO]:[EXENTO]])</f>
        <v>0</v>
      </c>
      <c r="M2623" s="352"/>
    </row>
    <row r="2624" spans="2:13" x14ac:dyDescent="0.25">
      <c r="B2624" s="40"/>
      <c r="C2624" s="41"/>
      <c r="D2624" s="357"/>
      <c r="E2624" s="358"/>
      <c r="F2624" s="359"/>
      <c r="G2624" s="360" t="str">
        <f>IFERROR(IF(ventas_b_mes684[[#This Row],[CUIT]]="","-",VLOOKUP(ventas_b_mes684[[#This Row],[CUIT]],Lista_CUIT[#All],2,0)),"CUIT NO CARGADO")</f>
        <v>-</v>
      </c>
      <c r="H2624" s="64"/>
      <c r="I2624" s="350">
        <f>ventas_b_mes684[[#This Row],[IMPORTE NETO]]*0.21</f>
        <v>0</v>
      </c>
      <c r="J2624" s="351"/>
      <c r="K2624" s="351"/>
      <c r="L2624" s="351">
        <f>SUM(ventas_b_mes684[[#This Row],[IMPORTE NETO]:[EXENTO]])</f>
        <v>0</v>
      </c>
      <c r="M2624" s="352"/>
    </row>
    <row r="2625" spans="2:13" x14ac:dyDescent="0.25">
      <c r="B2625" s="40"/>
      <c r="C2625" s="41"/>
      <c r="D2625" s="357"/>
      <c r="E2625" s="358"/>
      <c r="F2625" s="359"/>
      <c r="G2625" s="360" t="str">
        <f>IFERROR(IF(ventas_b_mes684[[#This Row],[CUIT]]="","-",VLOOKUP(ventas_b_mes684[[#This Row],[CUIT]],Lista_CUIT[#All],2,0)),"CUIT NO CARGADO")</f>
        <v>-</v>
      </c>
      <c r="H2625" s="64"/>
      <c r="I2625" s="350">
        <f>ventas_b_mes684[[#This Row],[IMPORTE NETO]]*0.21</f>
        <v>0</v>
      </c>
      <c r="J2625" s="351"/>
      <c r="K2625" s="351"/>
      <c r="L2625" s="351">
        <f>SUM(ventas_b_mes684[[#This Row],[IMPORTE NETO]:[EXENTO]])</f>
        <v>0</v>
      </c>
      <c r="M2625" s="352"/>
    </row>
    <row r="2626" spans="2:13" x14ac:dyDescent="0.25">
      <c r="B2626" s="40"/>
      <c r="C2626" s="41"/>
      <c r="D2626" s="357"/>
      <c r="E2626" s="358"/>
      <c r="F2626" s="359"/>
      <c r="G2626" s="360" t="str">
        <f>IFERROR(IF(ventas_b_mes684[[#This Row],[CUIT]]="","-",VLOOKUP(ventas_b_mes684[[#This Row],[CUIT]],Lista_CUIT[#All],2,0)),"CUIT NO CARGADO")</f>
        <v>-</v>
      </c>
      <c r="H2626" s="64"/>
      <c r="I2626" s="350">
        <f>ventas_b_mes684[[#This Row],[IMPORTE NETO]]*0.21</f>
        <v>0</v>
      </c>
      <c r="J2626" s="351"/>
      <c r="K2626" s="351"/>
      <c r="L2626" s="351">
        <f>SUM(ventas_b_mes684[[#This Row],[IMPORTE NETO]:[EXENTO]])</f>
        <v>0</v>
      </c>
      <c r="M2626" s="352"/>
    </row>
    <row r="2627" spans="2:13" x14ac:dyDescent="0.25">
      <c r="B2627" s="40"/>
      <c r="C2627" s="41"/>
      <c r="D2627" s="357"/>
      <c r="E2627" s="358"/>
      <c r="F2627" s="359"/>
      <c r="G2627" s="360" t="str">
        <f>IFERROR(IF(ventas_b_mes684[[#This Row],[CUIT]]="","-",VLOOKUP(ventas_b_mes684[[#This Row],[CUIT]],Lista_CUIT[#All],2,0)),"CUIT NO CARGADO")</f>
        <v>-</v>
      </c>
      <c r="H2627" s="64"/>
      <c r="I2627" s="350">
        <f>ventas_b_mes684[[#This Row],[IMPORTE NETO]]*0.21</f>
        <v>0</v>
      </c>
      <c r="J2627" s="351"/>
      <c r="K2627" s="351"/>
      <c r="L2627" s="351">
        <f>SUM(ventas_b_mes684[[#This Row],[IMPORTE NETO]:[EXENTO]])</f>
        <v>0</v>
      </c>
      <c r="M2627" s="352"/>
    </row>
    <row r="2628" spans="2:13" x14ac:dyDescent="0.25">
      <c r="B2628" s="40"/>
      <c r="C2628" s="41"/>
      <c r="D2628" s="357"/>
      <c r="E2628" s="358"/>
      <c r="F2628" s="359"/>
      <c r="G2628" s="360" t="str">
        <f>IFERROR(IF(ventas_b_mes684[[#This Row],[CUIT]]="","-",VLOOKUP(ventas_b_mes684[[#This Row],[CUIT]],Lista_CUIT[#All],2,0)),"CUIT NO CARGADO")</f>
        <v>-</v>
      </c>
      <c r="H2628" s="64"/>
      <c r="I2628" s="350">
        <f>ventas_b_mes684[[#This Row],[IMPORTE NETO]]*0.21</f>
        <v>0</v>
      </c>
      <c r="J2628" s="351"/>
      <c r="K2628" s="351"/>
      <c r="L2628" s="351">
        <f>SUM(ventas_b_mes684[[#This Row],[IMPORTE NETO]:[EXENTO]])</f>
        <v>0</v>
      </c>
      <c r="M2628" s="352"/>
    </row>
    <row r="2629" spans="2:13" x14ac:dyDescent="0.25">
      <c r="B2629" s="40"/>
      <c r="C2629" s="41"/>
      <c r="D2629" s="357"/>
      <c r="E2629" s="358"/>
      <c r="F2629" s="359"/>
      <c r="G2629" s="360" t="str">
        <f>IFERROR(IF(ventas_b_mes684[[#This Row],[CUIT]]="","-",VLOOKUP(ventas_b_mes684[[#This Row],[CUIT]],Lista_CUIT[#All],2,0)),"CUIT NO CARGADO")</f>
        <v>-</v>
      </c>
      <c r="H2629" s="64"/>
      <c r="I2629" s="350">
        <f>ventas_b_mes684[[#This Row],[IMPORTE NETO]]*0.21</f>
        <v>0</v>
      </c>
      <c r="J2629" s="351"/>
      <c r="K2629" s="351"/>
      <c r="L2629" s="351">
        <f>SUM(ventas_b_mes684[[#This Row],[IMPORTE NETO]:[EXENTO]])</f>
        <v>0</v>
      </c>
      <c r="M2629" s="352"/>
    </row>
    <row r="2630" spans="2:13" x14ac:dyDescent="0.25">
      <c r="B2630" s="40"/>
      <c r="C2630" s="41"/>
      <c r="D2630" s="357"/>
      <c r="E2630" s="358"/>
      <c r="F2630" s="359"/>
      <c r="G2630" s="360" t="str">
        <f>IFERROR(IF(ventas_b_mes684[[#This Row],[CUIT]]="","-",VLOOKUP(ventas_b_mes684[[#This Row],[CUIT]],Lista_CUIT[#All],2,0)),"CUIT NO CARGADO")</f>
        <v>-</v>
      </c>
      <c r="H2630" s="64"/>
      <c r="I2630" s="350">
        <f>ventas_b_mes684[[#This Row],[IMPORTE NETO]]*0.21</f>
        <v>0</v>
      </c>
      <c r="J2630" s="351"/>
      <c r="K2630" s="351"/>
      <c r="L2630" s="351">
        <f>SUM(ventas_b_mes684[[#This Row],[IMPORTE NETO]:[EXENTO]])</f>
        <v>0</v>
      </c>
      <c r="M2630" s="352"/>
    </row>
    <row r="2631" spans="2:13" x14ac:dyDescent="0.25">
      <c r="B2631" s="40"/>
      <c r="C2631" s="41"/>
      <c r="D2631" s="357"/>
      <c r="E2631" s="358"/>
      <c r="F2631" s="359"/>
      <c r="G2631" s="360" t="str">
        <f>IFERROR(IF(ventas_b_mes684[[#This Row],[CUIT]]="","-",VLOOKUP(ventas_b_mes684[[#This Row],[CUIT]],Lista_CUIT[#All],2,0)),"CUIT NO CARGADO")</f>
        <v>-</v>
      </c>
      <c r="H2631" s="64"/>
      <c r="I2631" s="350">
        <f>ventas_b_mes684[[#This Row],[IMPORTE NETO]]*0.21</f>
        <v>0</v>
      </c>
      <c r="J2631" s="351"/>
      <c r="K2631" s="351"/>
      <c r="L2631" s="351">
        <f>SUM(ventas_b_mes684[[#This Row],[IMPORTE NETO]:[EXENTO]])</f>
        <v>0</v>
      </c>
      <c r="M2631" s="352"/>
    </row>
    <row r="2632" spans="2:13" x14ac:dyDescent="0.25">
      <c r="B2632" s="40"/>
      <c r="C2632" s="41"/>
      <c r="D2632" s="357"/>
      <c r="E2632" s="358"/>
      <c r="F2632" s="359"/>
      <c r="G2632" s="360" t="str">
        <f>IFERROR(IF(ventas_b_mes684[[#This Row],[CUIT]]="","-",VLOOKUP(ventas_b_mes684[[#This Row],[CUIT]],Lista_CUIT[#All],2,0)),"CUIT NO CARGADO")</f>
        <v>-</v>
      </c>
      <c r="H2632" s="64"/>
      <c r="I2632" s="350">
        <f>ventas_b_mes684[[#This Row],[IMPORTE NETO]]*0.21</f>
        <v>0</v>
      </c>
      <c r="J2632" s="351"/>
      <c r="K2632" s="351"/>
      <c r="L2632" s="351">
        <f>SUM(ventas_b_mes684[[#This Row],[IMPORTE NETO]:[EXENTO]])</f>
        <v>0</v>
      </c>
      <c r="M2632" s="352"/>
    </row>
    <row r="2633" spans="2:13" x14ac:dyDescent="0.25">
      <c r="B2633" s="40"/>
      <c r="C2633" s="41"/>
      <c r="D2633" s="357"/>
      <c r="E2633" s="358"/>
      <c r="F2633" s="359"/>
      <c r="G2633" s="360" t="str">
        <f>IFERROR(IF(ventas_b_mes684[[#This Row],[CUIT]]="","-",VLOOKUP(ventas_b_mes684[[#This Row],[CUIT]],Lista_CUIT[#All],2,0)),"CUIT NO CARGADO")</f>
        <v>-</v>
      </c>
      <c r="H2633" s="64"/>
      <c r="I2633" s="350">
        <f>ventas_b_mes684[[#This Row],[IMPORTE NETO]]*0.21</f>
        <v>0</v>
      </c>
      <c r="J2633" s="351"/>
      <c r="K2633" s="351"/>
      <c r="L2633" s="351">
        <f>SUM(ventas_b_mes684[[#This Row],[IMPORTE NETO]:[EXENTO]])</f>
        <v>0</v>
      </c>
      <c r="M2633" s="352"/>
    </row>
    <row r="2634" spans="2:13" x14ac:dyDescent="0.25">
      <c r="B2634" s="40"/>
      <c r="C2634" s="41"/>
      <c r="D2634" s="357"/>
      <c r="E2634" s="358"/>
      <c r="F2634" s="359"/>
      <c r="G2634" s="360" t="str">
        <f>IFERROR(IF(ventas_b_mes684[[#This Row],[CUIT]]="","-",VLOOKUP(ventas_b_mes684[[#This Row],[CUIT]],Lista_CUIT[#All],2,0)),"CUIT NO CARGADO")</f>
        <v>-</v>
      </c>
      <c r="H2634" s="64"/>
      <c r="I2634" s="350">
        <f>ventas_b_mes684[[#This Row],[IMPORTE NETO]]*0.21</f>
        <v>0</v>
      </c>
      <c r="J2634" s="351"/>
      <c r="K2634" s="351"/>
      <c r="L2634" s="351">
        <f>SUM(ventas_b_mes684[[#This Row],[IMPORTE NETO]:[EXENTO]])</f>
        <v>0</v>
      </c>
      <c r="M2634" s="352"/>
    </row>
    <row r="2635" spans="2:13" x14ac:dyDescent="0.25">
      <c r="B2635" s="40"/>
      <c r="C2635" s="41"/>
      <c r="D2635" s="357"/>
      <c r="E2635" s="358"/>
      <c r="F2635" s="359"/>
      <c r="G2635" s="360" t="str">
        <f>IFERROR(IF(ventas_b_mes684[[#This Row],[CUIT]]="","-",VLOOKUP(ventas_b_mes684[[#This Row],[CUIT]],Lista_CUIT[#All],2,0)),"CUIT NO CARGADO")</f>
        <v>-</v>
      </c>
      <c r="H2635" s="64"/>
      <c r="I2635" s="350">
        <f>ventas_b_mes684[[#This Row],[IMPORTE NETO]]*0.21</f>
        <v>0</v>
      </c>
      <c r="J2635" s="351"/>
      <c r="K2635" s="351"/>
      <c r="L2635" s="351">
        <f>SUM(ventas_b_mes684[[#This Row],[IMPORTE NETO]:[EXENTO]])</f>
        <v>0</v>
      </c>
      <c r="M2635" s="352"/>
    </row>
    <row r="2636" spans="2:13" x14ac:dyDescent="0.25">
      <c r="B2636" s="40"/>
      <c r="C2636" s="41"/>
      <c r="D2636" s="357"/>
      <c r="E2636" s="358"/>
      <c r="F2636" s="359"/>
      <c r="G2636" s="360" t="str">
        <f>IFERROR(IF(ventas_b_mes684[[#This Row],[CUIT]]="","-",VLOOKUP(ventas_b_mes684[[#This Row],[CUIT]],Lista_CUIT[#All],2,0)),"CUIT NO CARGADO")</f>
        <v>-</v>
      </c>
      <c r="H2636" s="64"/>
      <c r="I2636" s="350">
        <f>ventas_b_mes684[[#This Row],[IMPORTE NETO]]*0.21</f>
        <v>0</v>
      </c>
      <c r="J2636" s="351"/>
      <c r="K2636" s="351"/>
      <c r="L2636" s="351">
        <f>SUM(ventas_b_mes684[[#This Row],[IMPORTE NETO]:[EXENTO]])</f>
        <v>0</v>
      </c>
      <c r="M2636" s="352"/>
    </row>
    <row r="2637" spans="2:13" x14ac:dyDescent="0.25">
      <c r="B2637" s="40"/>
      <c r="C2637" s="41"/>
      <c r="D2637" s="357"/>
      <c r="E2637" s="358"/>
      <c r="F2637" s="359"/>
      <c r="G2637" s="360" t="str">
        <f>IFERROR(IF(ventas_b_mes684[[#This Row],[CUIT]]="","-",VLOOKUP(ventas_b_mes684[[#This Row],[CUIT]],Lista_CUIT[#All],2,0)),"CUIT NO CARGADO")</f>
        <v>-</v>
      </c>
      <c r="H2637" s="64"/>
      <c r="I2637" s="350">
        <f>ventas_b_mes684[[#This Row],[IMPORTE NETO]]*0.21</f>
        <v>0</v>
      </c>
      <c r="J2637" s="351"/>
      <c r="K2637" s="351"/>
      <c r="L2637" s="351">
        <f>SUM(ventas_b_mes684[[#This Row],[IMPORTE NETO]:[EXENTO]])</f>
        <v>0</v>
      </c>
      <c r="M2637" s="352"/>
    </row>
    <row r="2638" spans="2:13" x14ac:dyDescent="0.25">
      <c r="B2638" s="40"/>
      <c r="C2638" s="41"/>
      <c r="D2638" s="357"/>
      <c r="E2638" s="358"/>
      <c r="F2638" s="359"/>
      <c r="G2638" s="360" t="str">
        <f>IFERROR(IF(ventas_b_mes684[[#This Row],[CUIT]]="","-",VLOOKUP(ventas_b_mes684[[#This Row],[CUIT]],Lista_CUIT[#All],2,0)),"CUIT NO CARGADO")</f>
        <v>-</v>
      </c>
      <c r="H2638" s="64"/>
      <c r="I2638" s="350">
        <f>ventas_b_mes684[[#This Row],[IMPORTE NETO]]*0.21</f>
        <v>0</v>
      </c>
      <c r="J2638" s="351"/>
      <c r="K2638" s="351"/>
      <c r="L2638" s="351">
        <f>SUM(ventas_b_mes684[[#This Row],[IMPORTE NETO]:[EXENTO]])</f>
        <v>0</v>
      </c>
      <c r="M2638" s="352"/>
    </row>
    <row r="2639" spans="2:13" x14ac:dyDescent="0.25">
      <c r="B2639" s="40"/>
      <c r="C2639" s="41"/>
      <c r="D2639" s="357"/>
      <c r="E2639" s="358"/>
      <c r="F2639" s="359"/>
      <c r="G2639" s="360" t="str">
        <f>IFERROR(IF(ventas_b_mes684[[#This Row],[CUIT]]="","-",VLOOKUP(ventas_b_mes684[[#This Row],[CUIT]],Lista_CUIT[#All],2,0)),"CUIT NO CARGADO")</f>
        <v>-</v>
      </c>
      <c r="H2639" s="64"/>
      <c r="I2639" s="350">
        <f>ventas_b_mes684[[#This Row],[IMPORTE NETO]]*0.21</f>
        <v>0</v>
      </c>
      <c r="J2639" s="351"/>
      <c r="K2639" s="351"/>
      <c r="L2639" s="351">
        <f>SUM(ventas_b_mes684[[#This Row],[IMPORTE NETO]:[EXENTO]])</f>
        <v>0</v>
      </c>
      <c r="M2639" s="352"/>
    </row>
    <row r="2640" spans="2:13" x14ac:dyDescent="0.25">
      <c r="B2640" s="40"/>
      <c r="C2640" s="41"/>
      <c r="D2640" s="357"/>
      <c r="E2640" s="358"/>
      <c r="F2640" s="359"/>
      <c r="G2640" s="360" t="str">
        <f>IFERROR(IF(ventas_b_mes684[[#This Row],[CUIT]]="","-",VLOOKUP(ventas_b_mes684[[#This Row],[CUIT]],Lista_CUIT[#All],2,0)),"CUIT NO CARGADO")</f>
        <v>-</v>
      </c>
      <c r="H2640" s="64"/>
      <c r="I2640" s="350">
        <f>ventas_b_mes684[[#This Row],[IMPORTE NETO]]*0.21</f>
        <v>0</v>
      </c>
      <c r="J2640" s="351"/>
      <c r="K2640" s="351"/>
      <c r="L2640" s="351">
        <f>SUM(ventas_b_mes684[[#This Row],[IMPORTE NETO]:[EXENTO]])</f>
        <v>0</v>
      </c>
      <c r="M2640" s="352"/>
    </row>
    <row r="2641" spans="2:13" x14ac:dyDescent="0.25">
      <c r="B2641" s="40"/>
      <c r="C2641" s="41"/>
      <c r="D2641" s="357"/>
      <c r="E2641" s="358"/>
      <c r="F2641" s="359"/>
      <c r="G2641" s="360" t="str">
        <f>IFERROR(IF(ventas_b_mes684[[#This Row],[CUIT]]="","-",VLOOKUP(ventas_b_mes684[[#This Row],[CUIT]],Lista_CUIT[#All],2,0)),"CUIT NO CARGADO")</f>
        <v>-</v>
      </c>
      <c r="H2641" s="64"/>
      <c r="I2641" s="350">
        <f>ventas_b_mes684[[#This Row],[IMPORTE NETO]]*0.21</f>
        <v>0</v>
      </c>
      <c r="J2641" s="351"/>
      <c r="K2641" s="351"/>
      <c r="L2641" s="351">
        <f>SUM(ventas_b_mes684[[#This Row],[IMPORTE NETO]:[EXENTO]])</f>
        <v>0</v>
      </c>
      <c r="M2641" s="352"/>
    </row>
    <row r="2642" spans="2:13" x14ac:dyDescent="0.25">
      <c r="B2642" s="40"/>
      <c r="C2642" s="41"/>
      <c r="D2642" s="357"/>
      <c r="E2642" s="358"/>
      <c r="F2642" s="359"/>
      <c r="G2642" s="360" t="str">
        <f>IFERROR(IF(ventas_b_mes684[[#This Row],[CUIT]]="","-",VLOOKUP(ventas_b_mes684[[#This Row],[CUIT]],Lista_CUIT[#All],2,0)),"CUIT NO CARGADO")</f>
        <v>-</v>
      </c>
      <c r="H2642" s="64"/>
      <c r="I2642" s="350">
        <f>ventas_b_mes684[[#This Row],[IMPORTE NETO]]*0.21</f>
        <v>0</v>
      </c>
      <c r="J2642" s="351"/>
      <c r="K2642" s="351"/>
      <c r="L2642" s="351">
        <f>SUM(ventas_b_mes684[[#This Row],[IMPORTE NETO]:[EXENTO]])</f>
        <v>0</v>
      </c>
      <c r="M2642" s="352"/>
    </row>
    <row r="2643" spans="2:13" x14ac:dyDescent="0.25">
      <c r="B2643" s="40"/>
      <c r="C2643" s="41"/>
      <c r="D2643" s="357"/>
      <c r="E2643" s="358"/>
      <c r="F2643" s="359"/>
      <c r="G2643" s="360" t="str">
        <f>IFERROR(IF(ventas_b_mes684[[#This Row],[CUIT]]="","-",VLOOKUP(ventas_b_mes684[[#This Row],[CUIT]],Lista_CUIT[#All],2,0)),"CUIT NO CARGADO")</f>
        <v>-</v>
      </c>
      <c r="H2643" s="64"/>
      <c r="I2643" s="350">
        <f>ventas_b_mes684[[#This Row],[IMPORTE NETO]]*0.21</f>
        <v>0</v>
      </c>
      <c r="J2643" s="351"/>
      <c r="K2643" s="351"/>
      <c r="L2643" s="351">
        <f>SUM(ventas_b_mes684[[#This Row],[IMPORTE NETO]:[EXENTO]])</f>
        <v>0</v>
      </c>
      <c r="M2643" s="352"/>
    </row>
    <row r="2644" spans="2:13" x14ac:dyDescent="0.25">
      <c r="B2644" s="40"/>
      <c r="C2644" s="41"/>
      <c r="D2644" s="357"/>
      <c r="E2644" s="358"/>
      <c r="F2644" s="359"/>
      <c r="G2644" s="360" t="str">
        <f>IFERROR(IF(ventas_b_mes684[[#This Row],[CUIT]]="","-",VLOOKUP(ventas_b_mes684[[#This Row],[CUIT]],Lista_CUIT[#All],2,0)),"CUIT NO CARGADO")</f>
        <v>-</v>
      </c>
      <c r="H2644" s="64"/>
      <c r="I2644" s="350">
        <f>ventas_b_mes684[[#This Row],[IMPORTE NETO]]*0.21</f>
        <v>0</v>
      </c>
      <c r="J2644" s="351"/>
      <c r="K2644" s="351"/>
      <c r="L2644" s="351">
        <f>SUM(ventas_b_mes684[[#This Row],[IMPORTE NETO]:[EXENTO]])</f>
        <v>0</v>
      </c>
      <c r="M2644" s="352"/>
    </row>
    <row r="2645" spans="2:13" x14ac:dyDescent="0.25">
      <c r="B2645" s="40"/>
      <c r="C2645" s="41"/>
      <c r="D2645" s="357"/>
      <c r="E2645" s="358"/>
      <c r="F2645" s="359"/>
      <c r="G2645" s="360" t="str">
        <f>IFERROR(IF(ventas_b_mes684[[#This Row],[CUIT]]="","-",VLOOKUP(ventas_b_mes684[[#This Row],[CUIT]],Lista_CUIT[#All],2,0)),"CUIT NO CARGADO")</f>
        <v>-</v>
      </c>
      <c r="H2645" s="64"/>
      <c r="I2645" s="350">
        <f>ventas_b_mes684[[#This Row],[IMPORTE NETO]]*0.21</f>
        <v>0</v>
      </c>
      <c r="J2645" s="351"/>
      <c r="K2645" s="351"/>
      <c r="L2645" s="351">
        <f>SUM(ventas_b_mes684[[#This Row],[IMPORTE NETO]:[EXENTO]])</f>
        <v>0</v>
      </c>
      <c r="M2645" s="352"/>
    </row>
    <row r="2646" spans="2:13" x14ac:dyDescent="0.25">
      <c r="B2646" s="40"/>
      <c r="C2646" s="41"/>
      <c r="D2646" s="357"/>
      <c r="E2646" s="358"/>
      <c r="F2646" s="359"/>
      <c r="G2646" s="360" t="str">
        <f>IFERROR(IF(ventas_b_mes684[[#This Row],[CUIT]]="","-",VLOOKUP(ventas_b_mes684[[#This Row],[CUIT]],Lista_CUIT[#All],2,0)),"CUIT NO CARGADO")</f>
        <v>-</v>
      </c>
      <c r="H2646" s="64"/>
      <c r="I2646" s="350">
        <f>ventas_b_mes684[[#This Row],[IMPORTE NETO]]*0.21</f>
        <v>0</v>
      </c>
      <c r="J2646" s="351"/>
      <c r="K2646" s="351"/>
      <c r="L2646" s="351">
        <f>SUM(ventas_b_mes684[[#This Row],[IMPORTE NETO]:[EXENTO]])</f>
        <v>0</v>
      </c>
      <c r="M2646" s="352"/>
    </row>
    <row r="2647" spans="2:13" x14ac:dyDescent="0.25">
      <c r="B2647" s="40"/>
      <c r="C2647" s="41"/>
      <c r="D2647" s="357"/>
      <c r="E2647" s="358"/>
      <c r="F2647" s="359"/>
      <c r="G2647" s="360" t="str">
        <f>IFERROR(IF(ventas_b_mes684[[#This Row],[CUIT]]="","-",VLOOKUP(ventas_b_mes684[[#This Row],[CUIT]],Lista_CUIT[#All],2,0)),"CUIT NO CARGADO")</f>
        <v>-</v>
      </c>
      <c r="H2647" s="64"/>
      <c r="I2647" s="350">
        <f>ventas_b_mes684[[#This Row],[IMPORTE NETO]]*0.21</f>
        <v>0</v>
      </c>
      <c r="J2647" s="351"/>
      <c r="K2647" s="351"/>
      <c r="L2647" s="351">
        <f>SUM(ventas_b_mes684[[#This Row],[IMPORTE NETO]:[EXENTO]])</f>
        <v>0</v>
      </c>
      <c r="M2647" s="352"/>
    </row>
    <row r="2648" spans="2:13" x14ac:dyDescent="0.25">
      <c r="B2648" s="40"/>
      <c r="C2648" s="41"/>
      <c r="D2648" s="357"/>
      <c r="E2648" s="358"/>
      <c r="F2648" s="359"/>
      <c r="G2648" s="360" t="str">
        <f>IFERROR(IF(ventas_b_mes684[[#This Row],[CUIT]]="","-",VLOOKUP(ventas_b_mes684[[#This Row],[CUIT]],Lista_CUIT[#All],2,0)),"CUIT NO CARGADO")</f>
        <v>-</v>
      </c>
      <c r="H2648" s="64"/>
      <c r="I2648" s="350">
        <f>ventas_b_mes684[[#This Row],[IMPORTE NETO]]*0.21</f>
        <v>0</v>
      </c>
      <c r="J2648" s="351"/>
      <c r="K2648" s="351"/>
      <c r="L2648" s="351">
        <f>SUM(ventas_b_mes684[[#This Row],[IMPORTE NETO]:[EXENTO]])</f>
        <v>0</v>
      </c>
      <c r="M2648" s="352"/>
    </row>
    <row r="2649" spans="2:13" x14ac:dyDescent="0.25">
      <c r="B2649" s="40"/>
      <c r="C2649" s="41"/>
      <c r="D2649" s="357"/>
      <c r="E2649" s="358"/>
      <c r="F2649" s="359"/>
      <c r="G2649" s="360" t="str">
        <f>IFERROR(IF(ventas_b_mes684[[#This Row],[CUIT]]="","-",VLOOKUP(ventas_b_mes684[[#This Row],[CUIT]],Lista_CUIT[#All],2,0)),"CUIT NO CARGADO")</f>
        <v>-</v>
      </c>
      <c r="H2649" s="64"/>
      <c r="I2649" s="350">
        <f>ventas_b_mes684[[#This Row],[IMPORTE NETO]]*0.21</f>
        <v>0</v>
      </c>
      <c r="J2649" s="351"/>
      <c r="K2649" s="351"/>
      <c r="L2649" s="351">
        <f>SUM(ventas_b_mes684[[#This Row],[IMPORTE NETO]:[EXENTO]])</f>
        <v>0</v>
      </c>
      <c r="M2649" s="352"/>
    </row>
    <row r="2650" spans="2:13" x14ac:dyDescent="0.25">
      <c r="B2650" s="40"/>
      <c r="C2650" s="41"/>
      <c r="D2650" s="357"/>
      <c r="E2650" s="358"/>
      <c r="F2650" s="359"/>
      <c r="G2650" s="360" t="str">
        <f>IFERROR(IF(ventas_b_mes684[[#This Row],[CUIT]]="","-",VLOOKUP(ventas_b_mes684[[#This Row],[CUIT]],Lista_CUIT[#All],2,0)),"CUIT NO CARGADO")</f>
        <v>-</v>
      </c>
      <c r="H2650" s="64"/>
      <c r="I2650" s="350">
        <f>ventas_b_mes684[[#This Row],[IMPORTE NETO]]*0.21</f>
        <v>0</v>
      </c>
      <c r="J2650" s="351"/>
      <c r="K2650" s="351"/>
      <c r="L2650" s="351">
        <f>SUM(ventas_b_mes684[[#This Row],[IMPORTE NETO]:[EXENTO]])</f>
        <v>0</v>
      </c>
      <c r="M2650" s="352"/>
    </row>
    <row r="2651" spans="2:13" x14ac:dyDescent="0.25">
      <c r="B2651" s="40"/>
      <c r="C2651" s="41"/>
      <c r="D2651" s="357"/>
      <c r="E2651" s="358"/>
      <c r="F2651" s="359"/>
      <c r="G2651" s="360" t="str">
        <f>IFERROR(IF(ventas_b_mes684[[#This Row],[CUIT]]="","-",VLOOKUP(ventas_b_mes684[[#This Row],[CUIT]],Lista_CUIT[#All],2,0)),"CUIT NO CARGADO")</f>
        <v>-</v>
      </c>
      <c r="H2651" s="64"/>
      <c r="I2651" s="350">
        <f>ventas_b_mes684[[#This Row],[IMPORTE NETO]]*0.21</f>
        <v>0</v>
      </c>
      <c r="J2651" s="351"/>
      <c r="K2651" s="351"/>
      <c r="L2651" s="351">
        <f>SUM(ventas_b_mes684[[#This Row],[IMPORTE NETO]:[EXENTO]])</f>
        <v>0</v>
      </c>
      <c r="M2651" s="352"/>
    </row>
    <row r="2652" spans="2:13" x14ac:dyDescent="0.25">
      <c r="B2652" s="40"/>
      <c r="C2652" s="41"/>
      <c r="D2652" s="357"/>
      <c r="E2652" s="358"/>
      <c r="F2652" s="359"/>
      <c r="G2652" s="360" t="str">
        <f>IFERROR(IF(ventas_b_mes684[[#This Row],[CUIT]]="","-",VLOOKUP(ventas_b_mes684[[#This Row],[CUIT]],Lista_CUIT[#All],2,0)),"CUIT NO CARGADO")</f>
        <v>-</v>
      </c>
      <c r="H2652" s="64"/>
      <c r="I2652" s="350">
        <f>ventas_b_mes684[[#This Row],[IMPORTE NETO]]*0.21</f>
        <v>0</v>
      </c>
      <c r="J2652" s="351"/>
      <c r="K2652" s="351"/>
      <c r="L2652" s="351">
        <f>SUM(ventas_b_mes684[[#This Row],[IMPORTE NETO]:[EXENTO]])</f>
        <v>0</v>
      </c>
      <c r="M2652" s="352"/>
    </row>
    <row r="2653" spans="2:13" x14ac:dyDescent="0.25">
      <c r="B2653" s="40"/>
      <c r="C2653" s="41"/>
      <c r="D2653" s="357"/>
      <c r="E2653" s="358"/>
      <c r="F2653" s="359"/>
      <c r="G2653" s="360" t="str">
        <f>IFERROR(IF(ventas_b_mes684[[#This Row],[CUIT]]="","-",VLOOKUP(ventas_b_mes684[[#This Row],[CUIT]],Lista_CUIT[#All],2,0)),"CUIT NO CARGADO")</f>
        <v>-</v>
      </c>
      <c r="H2653" s="64"/>
      <c r="I2653" s="350">
        <f>ventas_b_mes684[[#This Row],[IMPORTE NETO]]*0.21</f>
        <v>0</v>
      </c>
      <c r="J2653" s="351"/>
      <c r="K2653" s="351"/>
      <c r="L2653" s="351">
        <f>SUM(ventas_b_mes684[[#This Row],[IMPORTE NETO]:[EXENTO]])</f>
        <v>0</v>
      </c>
      <c r="M2653" s="352"/>
    </row>
    <row r="2654" spans="2:13" x14ac:dyDescent="0.25">
      <c r="B2654" s="40"/>
      <c r="C2654" s="41"/>
      <c r="D2654" s="357"/>
      <c r="E2654" s="358"/>
      <c r="F2654" s="359"/>
      <c r="G2654" s="360" t="str">
        <f>IFERROR(IF(ventas_b_mes684[[#This Row],[CUIT]]="","-",VLOOKUP(ventas_b_mes684[[#This Row],[CUIT]],Lista_CUIT[#All],2,0)),"CUIT NO CARGADO")</f>
        <v>-</v>
      </c>
      <c r="H2654" s="64"/>
      <c r="I2654" s="350">
        <f>ventas_b_mes684[[#This Row],[IMPORTE NETO]]*0.21</f>
        <v>0</v>
      </c>
      <c r="J2654" s="351"/>
      <c r="K2654" s="351"/>
      <c r="L2654" s="351">
        <f>SUM(ventas_b_mes684[[#This Row],[IMPORTE NETO]:[EXENTO]])</f>
        <v>0</v>
      </c>
      <c r="M2654" s="352"/>
    </row>
    <row r="2655" spans="2:13" x14ac:dyDescent="0.25">
      <c r="B2655" s="40"/>
      <c r="C2655" s="41"/>
      <c r="D2655" s="357"/>
      <c r="E2655" s="358"/>
      <c r="F2655" s="359"/>
      <c r="G2655" s="360" t="str">
        <f>IFERROR(IF(ventas_b_mes684[[#This Row],[CUIT]]="","-",VLOOKUP(ventas_b_mes684[[#This Row],[CUIT]],Lista_CUIT[#All],2,0)),"CUIT NO CARGADO")</f>
        <v>-</v>
      </c>
      <c r="H2655" s="64"/>
      <c r="I2655" s="350">
        <f>ventas_b_mes684[[#This Row],[IMPORTE NETO]]*0.21</f>
        <v>0</v>
      </c>
      <c r="J2655" s="351"/>
      <c r="K2655" s="351"/>
      <c r="L2655" s="351">
        <f>SUM(ventas_b_mes684[[#This Row],[IMPORTE NETO]:[EXENTO]])</f>
        <v>0</v>
      </c>
      <c r="M2655" s="352"/>
    </row>
    <row r="2656" spans="2:13" x14ac:dyDescent="0.25">
      <c r="B2656" s="40"/>
      <c r="C2656" s="41"/>
      <c r="D2656" s="357"/>
      <c r="E2656" s="358"/>
      <c r="F2656" s="359"/>
      <c r="G2656" s="360" t="str">
        <f>IFERROR(IF(ventas_b_mes684[[#This Row],[CUIT]]="","-",VLOOKUP(ventas_b_mes684[[#This Row],[CUIT]],Lista_CUIT[#All],2,0)),"CUIT NO CARGADO")</f>
        <v>-</v>
      </c>
      <c r="H2656" s="64"/>
      <c r="I2656" s="350">
        <f>ventas_b_mes684[[#This Row],[IMPORTE NETO]]*0.21</f>
        <v>0</v>
      </c>
      <c r="J2656" s="351"/>
      <c r="K2656" s="351"/>
      <c r="L2656" s="351">
        <f>SUM(ventas_b_mes684[[#This Row],[IMPORTE NETO]:[EXENTO]])</f>
        <v>0</v>
      </c>
      <c r="M2656" s="352"/>
    </row>
    <row r="2657" spans="2:13" x14ac:dyDescent="0.25">
      <c r="B2657" s="40"/>
      <c r="C2657" s="41"/>
      <c r="D2657" s="357"/>
      <c r="E2657" s="358"/>
      <c r="F2657" s="359"/>
      <c r="G2657" s="360" t="str">
        <f>IFERROR(IF(ventas_b_mes684[[#This Row],[CUIT]]="","-",VLOOKUP(ventas_b_mes684[[#This Row],[CUIT]],Lista_CUIT[#All],2,0)),"CUIT NO CARGADO")</f>
        <v>-</v>
      </c>
      <c r="H2657" s="64"/>
      <c r="I2657" s="350">
        <f>ventas_b_mes684[[#This Row],[IMPORTE NETO]]*0.21</f>
        <v>0</v>
      </c>
      <c r="J2657" s="351"/>
      <c r="K2657" s="351"/>
      <c r="L2657" s="351">
        <f>SUM(ventas_b_mes684[[#This Row],[IMPORTE NETO]:[EXENTO]])</f>
        <v>0</v>
      </c>
      <c r="M2657" s="352"/>
    </row>
    <row r="2658" spans="2:13" x14ac:dyDescent="0.25">
      <c r="B2658" s="40"/>
      <c r="C2658" s="41"/>
      <c r="D2658" s="357"/>
      <c r="E2658" s="358"/>
      <c r="F2658" s="359"/>
      <c r="G2658" s="360" t="str">
        <f>IFERROR(IF(ventas_b_mes684[[#This Row],[CUIT]]="","-",VLOOKUP(ventas_b_mes684[[#This Row],[CUIT]],Lista_CUIT[#All],2,0)),"CUIT NO CARGADO")</f>
        <v>-</v>
      </c>
      <c r="H2658" s="64"/>
      <c r="I2658" s="350">
        <f>ventas_b_mes684[[#This Row],[IMPORTE NETO]]*0.21</f>
        <v>0</v>
      </c>
      <c r="J2658" s="351"/>
      <c r="K2658" s="351"/>
      <c r="L2658" s="351">
        <f>SUM(ventas_b_mes684[[#This Row],[IMPORTE NETO]:[EXENTO]])</f>
        <v>0</v>
      </c>
      <c r="M2658" s="352"/>
    </row>
    <row r="2659" spans="2:13" x14ac:dyDescent="0.25">
      <c r="B2659" s="40"/>
      <c r="C2659" s="41"/>
      <c r="D2659" s="357"/>
      <c r="E2659" s="358"/>
      <c r="F2659" s="359"/>
      <c r="G2659" s="360" t="str">
        <f>IFERROR(IF(ventas_b_mes684[[#This Row],[CUIT]]="","-",VLOOKUP(ventas_b_mes684[[#This Row],[CUIT]],Lista_CUIT[#All],2,0)),"CUIT NO CARGADO")</f>
        <v>-</v>
      </c>
      <c r="H2659" s="64"/>
      <c r="I2659" s="350">
        <f>ventas_b_mes684[[#This Row],[IMPORTE NETO]]*0.21</f>
        <v>0</v>
      </c>
      <c r="J2659" s="351"/>
      <c r="K2659" s="351"/>
      <c r="L2659" s="351">
        <f>SUM(ventas_b_mes684[[#This Row],[IMPORTE NETO]:[EXENTO]])</f>
        <v>0</v>
      </c>
      <c r="M2659" s="352"/>
    </row>
    <row r="2660" spans="2:13" x14ac:dyDescent="0.25">
      <c r="B2660" s="40"/>
      <c r="C2660" s="41"/>
      <c r="D2660" s="357"/>
      <c r="E2660" s="358"/>
      <c r="F2660" s="359"/>
      <c r="G2660" s="360" t="str">
        <f>IFERROR(IF(ventas_b_mes684[[#This Row],[CUIT]]="","-",VLOOKUP(ventas_b_mes684[[#This Row],[CUIT]],Lista_CUIT[#All],2,0)),"CUIT NO CARGADO")</f>
        <v>-</v>
      </c>
      <c r="H2660" s="64"/>
      <c r="I2660" s="350">
        <f>ventas_b_mes684[[#This Row],[IMPORTE NETO]]*0.21</f>
        <v>0</v>
      </c>
      <c r="J2660" s="351"/>
      <c r="K2660" s="351"/>
      <c r="L2660" s="351">
        <f>SUM(ventas_b_mes684[[#This Row],[IMPORTE NETO]:[EXENTO]])</f>
        <v>0</v>
      </c>
      <c r="M2660" s="352"/>
    </row>
    <row r="2661" spans="2:13" x14ac:dyDescent="0.25">
      <c r="B2661" s="40"/>
      <c r="C2661" s="41"/>
      <c r="D2661" s="357"/>
      <c r="E2661" s="358"/>
      <c r="F2661" s="359"/>
      <c r="G2661" s="360" t="str">
        <f>IFERROR(IF(ventas_b_mes684[[#This Row],[CUIT]]="","-",VLOOKUP(ventas_b_mes684[[#This Row],[CUIT]],Lista_CUIT[#All],2,0)),"CUIT NO CARGADO")</f>
        <v>-</v>
      </c>
      <c r="H2661" s="64"/>
      <c r="I2661" s="350">
        <f>ventas_b_mes684[[#This Row],[IMPORTE NETO]]*0.21</f>
        <v>0</v>
      </c>
      <c r="J2661" s="351"/>
      <c r="K2661" s="351"/>
      <c r="L2661" s="351">
        <f>SUM(ventas_b_mes684[[#This Row],[IMPORTE NETO]:[EXENTO]])</f>
        <v>0</v>
      </c>
      <c r="M2661" s="352"/>
    </row>
    <row r="2662" spans="2:13" x14ac:dyDescent="0.25">
      <c r="B2662" s="40"/>
      <c r="C2662" s="41"/>
      <c r="D2662" s="357"/>
      <c r="E2662" s="358"/>
      <c r="F2662" s="359"/>
      <c r="G2662" s="360" t="str">
        <f>IFERROR(IF(ventas_b_mes684[[#This Row],[CUIT]]="","-",VLOOKUP(ventas_b_mes684[[#This Row],[CUIT]],Lista_CUIT[#All],2,0)),"CUIT NO CARGADO")</f>
        <v>-</v>
      </c>
      <c r="H2662" s="64"/>
      <c r="I2662" s="350">
        <f>ventas_b_mes684[[#This Row],[IMPORTE NETO]]*0.21</f>
        <v>0</v>
      </c>
      <c r="J2662" s="351"/>
      <c r="K2662" s="351"/>
      <c r="L2662" s="351">
        <f>SUM(ventas_b_mes684[[#This Row],[IMPORTE NETO]:[EXENTO]])</f>
        <v>0</v>
      </c>
      <c r="M2662" s="352"/>
    </row>
    <row r="2663" spans="2:13" x14ac:dyDescent="0.25">
      <c r="B2663" s="40"/>
      <c r="C2663" s="41"/>
      <c r="D2663" s="357"/>
      <c r="E2663" s="358"/>
      <c r="F2663" s="359"/>
      <c r="G2663" s="360" t="str">
        <f>IFERROR(IF(ventas_b_mes684[[#This Row],[CUIT]]="","-",VLOOKUP(ventas_b_mes684[[#This Row],[CUIT]],Lista_CUIT[#All],2,0)),"CUIT NO CARGADO")</f>
        <v>-</v>
      </c>
      <c r="H2663" s="64"/>
      <c r="I2663" s="350">
        <f>ventas_b_mes684[[#This Row],[IMPORTE NETO]]*0.21</f>
        <v>0</v>
      </c>
      <c r="J2663" s="351"/>
      <c r="K2663" s="351"/>
      <c r="L2663" s="351">
        <f>SUM(ventas_b_mes684[[#This Row],[IMPORTE NETO]:[EXENTO]])</f>
        <v>0</v>
      </c>
      <c r="M2663" s="352"/>
    </row>
    <row r="2664" spans="2:13" x14ac:dyDescent="0.25">
      <c r="B2664" s="40"/>
      <c r="C2664" s="41"/>
      <c r="D2664" s="357"/>
      <c r="E2664" s="358"/>
      <c r="F2664" s="359"/>
      <c r="G2664" s="360" t="str">
        <f>IFERROR(IF(ventas_b_mes684[[#This Row],[CUIT]]="","-",VLOOKUP(ventas_b_mes684[[#This Row],[CUIT]],Lista_CUIT[#All],2,0)),"CUIT NO CARGADO")</f>
        <v>-</v>
      </c>
      <c r="H2664" s="64"/>
      <c r="I2664" s="350">
        <f>ventas_b_mes684[[#This Row],[IMPORTE NETO]]*0.21</f>
        <v>0</v>
      </c>
      <c r="J2664" s="351"/>
      <c r="K2664" s="351"/>
      <c r="L2664" s="351">
        <f>SUM(ventas_b_mes684[[#This Row],[IMPORTE NETO]:[EXENTO]])</f>
        <v>0</v>
      </c>
      <c r="M2664" s="352"/>
    </row>
    <row r="2665" spans="2:13" x14ac:dyDescent="0.25">
      <c r="B2665" s="40"/>
      <c r="C2665" s="41"/>
      <c r="D2665" s="357"/>
      <c r="E2665" s="358"/>
      <c r="F2665" s="359"/>
      <c r="G2665" s="360" t="str">
        <f>IFERROR(IF(ventas_b_mes684[[#This Row],[CUIT]]="","-",VLOOKUP(ventas_b_mes684[[#This Row],[CUIT]],Lista_CUIT[#All],2,0)),"CUIT NO CARGADO")</f>
        <v>-</v>
      </c>
      <c r="H2665" s="64"/>
      <c r="I2665" s="350">
        <f>ventas_b_mes684[[#This Row],[IMPORTE NETO]]*0.21</f>
        <v>0</v>
      </c>
      <c r="J2665" s="351"/>
      <c r="K2665" s="351"/>
      <c r="L2665" s="351">
        <f>SUM(ventas_b_mes684[[#This Row],[IMPORTE NETO]:[EXENTO]])</f>
        <v>0</v>
      </c>
      <c r="M2665" s="352"/>
    </row>
    <row r="2666" spans="2:13" x14ac:dyDescent="0.25">
      <c r="B2666" s="40"/>
      <c r="C2666" s="41"/>
      <c r="D2666" s="357"/>
      <c r="E2666" s="358"/>
      <c r="F2666" s="359"/>
      <c r="G2666" s="360" t="str">
        <f>IFERROR(IF(ventas_b_mes684[[#This Row],[CUIT]]="","-",VLOOKUP(ventas_b_mes684[[#This Row],[CUIT]],Lista_CUIT[#All],2,0)),"CUIT NO CARGADO")</f>
        <v>-</v>
      </c>
      <c r="H2666" s="64"/>
      <c r="I2666" s="350">
        <f>ventas_b_mes684[[#This Row],[IMPORTE NETO]]*0.21</f>
        <v>0</v>
      </c>
      <c r="J2666" s="351"/>
      <c r="K2666" s="351"/>
      <c r="L2666" s="351">
        <f>SUM(ventas_b_mes684[[#This Row],[IMPORTE NETO]:[EXENTO]])</f>
        <v>0</v>
      </c>
      <c r="M2666" s="352"/>
    </row>
    <row r="2667" spans="2:13" x14ac:dyDescent="0.25">
      <c r="B2667" s="40"/>
      <c r="C2667" s="41"/>
      <c r="D2667" s="357"/>
      <c r="E2667" s="358"/>
      <c r="F2667" s="359"/>
      <c r="G2667" s="360" t="str">
        <f>IFERROR(IF(ventas_b_mes684[[#This Row],[CUIT]]="","-",VLOOKUP(ventas_b_mes684[[#This Row],[CUIT]],Lista_CUIT[#All],2,0)),"CUIT NO CARGADO")</f>
        <v>-</v>
      </c>
      <c r="H2667" s="64"/>
      <c r="I2667" s="350">
        <f>ventas_b_mes684[[#This Row],[IMPORTE NETO]]*0.21</f>
        <v>0</v>
      </c>
      <c r="J2667" s="351"/>
      <c r="K2667" s="351"/>
      <c r="L2667" s="351">
        <f>SUM(ventas_b_mes684[[#This Row],[IMPORTE NETO]:[EXENTO]])</f>
        <v>0</v>
      </c>
      <c r="M2667" s="352"/>
    </row>
    <row r="2668" spans="2:13" x14ac:dyDescent="0.25">
      <c r="B2668" s="40"/>
      <c r="C2668" s="41"/>
      <c r="D2668" s="357"/>
      <c r="E2668" s="358"/>
      <c r="F2668" s="359"/>
      <c r="G2668" s="360" t="str">
        <f>IFERROR(IF(ventas_b_mes684[[#This Row],[CUIT]]="","-",VLOOKUP(ventas_b_mes684[[#This Row],[CUIT]],Lista_CUIT[#All],2,0)),"CUIT NO CARGADO")</f>
        <v>-</v>
      </c>
      <c r="H2668" s="64"/>
      <c r="I2668" s="350">
        <f>ventas_b_mes684[[#This Row],[IMPORTE NETO]]*0.21</f>
        <v>0</v>
      </c>
      <c r="J2668" s="351"/>
      <c r="K2668" s="351"/>
      <c r="L2668" s="351">
        <f>SUM(ventas_b_mes684[[#This Row],[IMPORTE NETO]:[EXENTO]])</f>
        <v>0</v>
      </c>
      <c r="M2668" s="352"/>
    </row>
    <row r="2669" spans="2:13" x14ac:dyDescent="0.25">
      <c r="B2669" s="40"/>
      <c r="C2669" s="41"/>
      <c r="D2669" s="357"/>
      <c r="E2669" s="358"/>
      <c r="F2669" s="359"/>
      <c r="G2669" s="360" t="str">
        <f>IFERROR(IF(ventas_b_mes684[[#This Row],[CUIT]]="","-",VLOOKUP(ventas_b_mes684[[#This Row],[CUIT]],Lista_CUIT[#All],2,0)),"CUIT NO CARGADO")</f>
        <v>-</v>
      </c>
      <c r="H2669" s="64"/>
      <c r="I2669" s="350">
        <f>ventas_b_mes684[[#This Row],[IMPORTE NETO]]*0.21</f>
        <v>0</v>
      </c>
      <c r="J2669" s="351"/>
      <c r="K2669" s="351"/>
      <c r="L2669" s="351">
        <f>SUM(ventas_b_mes684[[#This Row],[IMPORTE NETO]:[EXENTO]])</f>
        <v>0</v>
      </c>
      <c r="M2669" s="352"/>
    </row>
    <row r="2670" spans="2:13" x14ac:dyDescent="0.25">
      <c r="B2670" s="40"/>
      <c r="C2670" s="41"/>
      <c r="D2670" s="357"/>
      <c r="E2670" s="358"/>
      <c r="F2670" s="359"/>
      <c r="G2670" s="360" t="str">
        <f>IFERROR(IF(ventas_b_mes684[[#This Row],[CUIT]]="","-",VLOOKUP(ventas_b_mes684[[#This Row],[CUIT]],Lista_CUIT[#All],2,0)),"CUIT NO CARGADO")</f>
        <v>-</v>
      </c>
      <c r="H2670" s="64"/>
      <c r="I2670" s="350">
        <f>ventas_b_mes684[[#This Row],[IMPORTE NETO]]*0.21</f>
        <v>0</v>
      </c>
      <c r="J2670" s="351"/>
      <c r="K2670" s="351"/>
      <c r="L2670" s="351">
        <f>SUM(ventas_b_mes684[[#This Row],[IMPORTE NETO]:[EXENTO]])</f>
        <v>0</v>
      </c>
      <c r="M2670" s="352"/>
    </row>
    <row r="2671" spans="2:13" x14ac:dyDescent="0.25">
      <c r="B2671" s="40"/>
      <c r="C2671" s="41"/>
      <c r="D2671" s="357"/>
      <c r="E2671" s="358"/>
      <c r="F2671" s="359"/>
      <c r="G2671" s="360" t="str">
        <f>IFERROR(IF(ventas_b_mes684[[#This Row],[CUIT]]="","-",VLOOKUP(ventas_b_mes684[[#This Row],[CUIT]],Lista_CUIT[#All],2,0)),"CUIT NO CARGADO")</f>
        <v>-</v>
      </c>
      <c r="H2671" s="64"/>
      <c r="I2671" s="350">
        <f>ventas_b_mes684[[#This Row],[IMPORTE NETO]]*0.21</f>
        <v>0</v>
      </c>
      <c r="J2671" s="351"/>
      <c r="K2671" s="351"/>
      <c r="L2671" s="351">
        <f>SUM(ventas_b_mes684[[#This Row],[IMPORTE NETO]:[EXENTO]])</f>
        <v>0</v>
      </c>
      <c r="M2671" s="352"/>
    </row>
    <row r="2672" spans="2:13" x14ac:dyDescent="0.25">
      <c r="B2672" s="40"/>
      <c r="C2672" s="41"/>
      <c r="D2672" s="357"/>
      <c r="E2672" s="358"/>
      <c r="F2672" s="359"/>
      <c r="G2672" s="360" t="str">
        <f>IFERROR(IF(ventas_b_mes684[[#This Row],[CUIT]]="","-",VLOOKUP(ventas_b_mes684[[#This Row],[CUIT]],Lista_CUIT[#All],2,0)),"CUIT NO CARGADO")</f>
        <v>-</v>
      </c>
      <c r="H2672" s="64"/>
      <c r="I2672" s="350">
        <f>ventas_b_mes684[[#This Row],[IMPORTE NETO]]*0.21</f>
        <v>0</v>
      </c>
      <c r="J2672" s="351"/>
      <c r="K2672" s="351"/>
      <c r="L2672" s="351">
        <f>SUM(ventas_b_mes684[[#This Row],[IMPORTE NETO]:[EXENTO]])</f>
        <v>0</v>
      </c>
      <c r="M2672" s="352"/>
    </row>
    <row r="2673" spans="2:13" x14ac:dyDescent="0.25">
      <c r="B2673" s="40"/>
      <c r="C2673" s="41"/>
      <c r="D2673" s="357"/>
      <c r="E2673" s="358"/>
      <c r="F2673" s="359"/>
      <c r="G2673" s="360" t="str">
        <f>IFERROR(IF(ventas_b_mes684[[#This Row],[CUIT]]="","-",VLOOKUP(ventas_b_mes684[[#This Row],[CUIT]],Lista_CUIT[#All],2,0)),"CUIT NO CARGADO")</f>
        <v>-</v>
      </c>
      <c r="H2673" s="64"/>
      <c r="I2673" s="350">
        <f>ventas_b_mes684[[#This Row],[IMPORTE NETO]]*0.21</f>
        <v>0</v>
      </c>
      <c r="J2673" s="351"/>
      <c r="K2673" s="351"/>
      <c r="L2673" s="351">
        <f>SUM(ventas_b_mes684[[#This Row],[IMPORTE NETO]:[EXENTO]])</f>
        <v>0</v>
      </c>
      <c r="M2673" s="352"/>
    </row>
    <row r="2674" spans="2:13" x14ac:dyDescent="0.25">
      <c r="B2674" s="40"/>
      <c r="C2674" s="41"/>
      <c r="D2674" s="357"/>
      <c r="E2674" s="358"/>
      <c r="F2674" s="359"/>
      <c r="G2674" s="360" t="str">
        <f>IFERROR(IF(ventas_b_mes684[[#This Row],[CUIT]]="","-",VLOOKUP(ventas_b_mes684[[#This Row],[CUIT]],Lista_CUIT[#All],2,0)),"CUIT NO CARGADO")</f>
        <v>-</v>
      </c>
      <c r="H2674" s="64"/>
      <c r="I2674" s="350">
        <f>ventas_b_mes684[[#This Row],[IMPORTE NETO]]*0.21</f>
        <v>0</v>
      </c>
      <c r="J2674" s="351"/>
      <c r="K2674" s="351"/>
      <c r="L2674" s="351">
        <f>SUM(ventas_b_mes684[[#This Row],[IMPORTE NETO]:[EXENTO]])</f>
        <v>0</v>
      </c>
      <c r="M2674" s="352"/>
    </row>
    <row r="2675" spans="2:13" x14ac:dyDescent="0.25">
      <c r="B2675" s="40"/>
      <c r="C2675" s="41"/>
      <c r="D2675" s="357"/>
      <c r="E2675" s="358"/>
      <c r="F2675" s="359"/>
      <c r="G2675" s="360" t="str">
        <f>IFERROR(IF(ventas_b_mes684[[#This Row],[CUIT]]="","-",VLOOKUP(ventas_b_mes684[[#This Row],[CUIT]],Lista_CUIT[#All],2,0)),"CUIT NO CARGADO")</f>
        <v>-</v>
      </c>
      <c r="H2675" s="64"/>
      <c r="I2675" s="350">
        <f>ventas_b_mes684[[#This Row],[IMPORTE NETO]]*0.21</f>
        <v>0</v>
      </c>
      <c r="J2675" s="351"/>
      <c r="K2675" s="351"/>
      <c r="L2675" s="351">
        <f>SUM(ventas_b_mes684[[#This Row],[IMPORTE NETO]:[EXENTO]])</f>
        <v>0</v>
      </c>
      <c r="M2675" s="352"/>
    </row>
    <row r="2676" spans="2:13" x14ac:dyDescent="0.25">
      <c r="B2676" s="40"/>
      <c r="C2676" s="41"/>
      <c r="D2676" s="357"/>
      <c r="E2676" s="358"/>
      <c r="F2676" s="359"/>
      <c r="G2676" s="360" t="str">
        <f>IFERROR(IF(ventas_b_mes684[[#This Row],[CUIT]]="","-",VLOOKUP(ventas_b_mes684[[#This Row],[CUIT]],Lista_CUIT[#All],2,0)),"CUIT NO CARGADO")</f>
        <v>-</v>
      </c>
      <c r="H2676" s="64"/>
      <c r="I2676" s="350">
        <f>ventas_b_mes684[[#This Row],[IMPORTE NETO]]*0.21</f>
        <v>0</v>
      </c>
      <c r="J2676" s="351"/>
      <c r="K2676" s="351"/>
      <c r="L2676" s="351">
        <f>SUM(ventas_b_mes684[[#This Row],[IMPORTE NETO]:[EXENTO]])</f>
        <v>0</v>
      </c>
      <c r="M2676" s="352"/>
    </row>
    <row r="2677" spans="2:13" x14ac:dyDescent="0.25">
      <c r="B2677" s="40"/>
      <c r="C2677" s="41"/>
      <c r="D2677" s="357"/>
      <c r="E2677" s="358"/>
      <c r="F2677" s="359"/>
      <c r="G2677" s="360" t="str">
        <f>IFERROR(IF(ventas_b_mes684[[#This Row],[CUIT]]="","-",VLOOKUP(ventas_b_mes684[[#This Row],[CUIT]],Lista_CUIT[#All],2,0)),"CUIT NO CARGADO")</f>
        <v>-</v>
      </c>
      <c r="H2677" s="64"/>
      <c r="I2677" s="350">
        <f>ventas_b_mes684[[#This Row],[IMPORTE NETO]]*0.21</f>
        <v>0</v>
      </c>
      <c r="J2677" s="351"/>
      <c r="K2677" s="351"/>
      <c r="L2677" s="351">
        <f>SUM(ventas_b_mes684[[#This Row],[IMPORTE NETO]:[EXENTO]])</f>
        <v>0</v>
      </c>
      <c r="M2677" s="352"/>
    </row>
    <row r="2678" spans="2:13" x14ac:dyDescent="0.25">
      <c r="B2678" s="40"/>
      <c r="C2678" s="41"/>
      <c r="D2678" s="357"/>
      <c r="E2678" s="358"/>
      <c r="F2678" s="359"/>
      <c r="G2678" s="360" t="str">
        <f>IFERROR(IF(ventas_b_mes684[[#This Row],[CUIT]]="","-",VLOOKUP(ventas_b_mes684[[#This Row],[CUIT]],Lista_CUIT[#All],2,0)),"CUIT NO CARGADO")</f>
        <v>-</v>
      </c>
      <c r="H2678" s="64"/>
      <c r="I2678" s="350">
        <f>ventas_b_mes684[[#This Row],[IMPORTE NETO]]*0.21</f>
        <v>0</v>
      </c>
      <c r="J2678" s="351"/>
      <c r="K2678" s="351"/>
      <c r="L2678" s="351">
        <f>SUM(ventas_b_mes684[[#This Row],[IMPORTE NETO]:[EXENTO]])</f>
        <v>0</v>
      </c>
      <c r="M2678" s="352"/>
    </row>
    <row r="2679" spans="2:13" x14ac:dyDescent="0.25">
      <c r="B2679" s="40"/>
      <c r="C2679" s="41"/>
      <c r="D2679" s="357"/>
      <c r="E2679" s="358"/>
      <c r="F2679" s="359"/>
      <c r="G2679" s="360" t="str">
        <f>IFERROR(IF(ventas_b_mes684[[#This Row],[CUIT]]="","-",VLOOKUP(ventas_b_mes684[[#This Row],[CUIT]],Lista_CUIT[#All],2,0)),"CUIT NO CARGADO")</f>
        <v>-</v>
      </c>
      <c r="H2679" s="64"/>
      <c r="I2679" s="350">
        <f>ventas_b_mes684[[#This Row],[IMPORTE NETO]]*0.21</f>
        <v>0</v>
      </c>
      <c r="J2679" s="351"/>
      <c r="K2679" s="351"/>
      <c r="L2679" s="351">
        <f>SUM(ventas_b_mes684[[#This Row],[IMPORTE NETO]:[EXENTO]])</f>
        <v>0</v>
      </c>
      <c r="M2679" s="352"/>
    </row>
    <row r="2680" spans="2:13" x14ac:dyDescent="0.25">
      <c r="B2680" s="40"/>
      <c r="C2680" s="41"/>
      <c r="D2680" s="357"/>
      <c r="E2680" s="358"/>
      <c r="F2680" s="359"/>
      <c r="G2680" s="360" t="str">
        <f>IFERROR(IF(ventas_b_mes684[[#This Row],[CUIT]]="","-",VLOOKUP(ventas_b_mes684[[#This Row],[CUIT]],Lista_CUIT[#All],2,0)),"CUIT NO CARGADO")</f>
        <v>-</v>
      </c>
      <c r="H2680" s="64"/>
      <c r="I2680" s="350">
        <f>ventas_b_mes684[[#This Row],[IMPORTE NETO]]*0.21</f>
        <v>0</v>
      </c>
      <c r="J2680" s="351"/>
      <c r="K2680" s="351"/>
      <c r="L2680" s="351">
        <f>SUM(ventas_b_mes684[[#This Row],[IMPORTE NETO]:[EXENTO]])</f>
        <v>0</v>
      </c>
      <c r="M2680" s="352"/>
    </row>
    <row r="2681" spans="2:13" x14ac:dyDescent="0.25">
      <c r="B2681" s="40"/>
      <c r="C2681" s="41"/>
      <c r="D2681" s="357"/>
      <c r="E2681" s="358"/>
      <c r="F2681" s="359"/>
      <c r="G2681" s="360" t="str">
        <f>IFERROR(IF(ventas_b_mes684[[#This Row],[CUIT]]="","-",VLOOKUP(ventas_b_mes684[[#This Row],[CUIT]],Lista_CUIT[#All],2,0)),"CUIT NO CARGADO")</f>
        <v>-</v>
      </c>
      <c r="H2681" s="64"/>
      <c r="I2681" s="350">
        <f>ventas_b_mes684[[#This Row],[IMPORTE NETO]]*0.21</f>
        <v>0</v>
      </c>
      <c r="J2681" s="351"/>
      <c r="K2681" s="351"/>
      <c r="L2681" s="351">
        <f>SUM(ventas_b_mes684[[#This Row],[IMPORTE NETO]:[EXENTO]])</f>
        <v>0</v>
      </c>
      <c r="M2681" s="352"/>
    </row>
    <row r="2682" spans="2:13" x14ac:dyDescent="0.25">
      <c r="B2682" s="40"/>
      <c r="C2682" s="41"/>
      <c r="D2682" s="357"/>
      <c r="E2682" s="358"/>
      <c r="F2682" s="359"/>
      <c r="G2682" s="360" t="str">
        <f>IFERROR(IF(ventas_b_mes684[[#This Row],[CUIT]]="","-",VLOOKUP(ventas_b_mes684[[#This Row],[CUIT]],Lista_CUIT[#All],2,0)),"CUIT NO CARGADO")</f>
        <v>-</v>
      </c>
      <c r="H2682" s="64"/>
      <c r="I2682" s="350">
        <f>ventas_b_mes684[[#This Row],[IMPORTE NETO]]*0.21</f>
        <v>0</v>
      </c>
      <c r="J2682" s="351"/>
      <c r="K2682" s="351"/>
      <c r="L2682" s="351">
        <f>SUM(ventas_b_mes684[[#This Row],[IMPORTE NETO]:[EXENTO]])</f>
        <v>0</v>
      </c>
      <c r="M2682" s="352"/>
    </row>
    <row r="2683" spans="2:13" x14ac:dyDescent="0.25">
      <c r="B2683" s="40"/>
      <c r="C2683" s="41"/>
      <c r="D2683" s="357"/>
      <c r="E2683" s="358"/>
      <c r="F2683" s="359"/>
      <c r="G2683" s="360" t="str">
        <f>IFERROR(IF(ventas_b_mes684[[#This Row],[CUIT]]="","-",VLOOKUP(ventas_b_mes684[[#This Row],[CUIT]],Lista_CUIT[#All],2,0)),"CUIT NO CARGADO")</f>
        <v>-</v>
      </c>
      <c r="H2683" s="64"/>
      <c r="I2683" s="350">
        <f>ventas_b_mes684[[#This Row],[IMPORTE NETO]]*0.21</f>
        <v>0</v>
      </c>
      <c r="J2683" s="351"/>
      <c r="K2683" s="351"/>
      <c r="L2683" s="351">
        <f>SUM(ventas_b_mes684[[#This Row],[IMPORTE NETO]:[EXENTO]])</f>
        <v>0</v>
      </c>
      <c r="M2683" s="352"/>
    </row>
    <row r="2684" spans="2:13" x14ac:dyDescent="0.25">
      <c r="B2684" s="40"/>
      <c r="C2684" s="41"/>
      <c r="D2684" s="357"/>
      <c r="E2684" s="358"/>
      <c r="F2684" s="359"/>
      <c r="G2684" s="360" t="str">
        <f>IFERROR(IF(ventas_b_mes684[[#This Row],[CUIT]]="","-",VLOOKUP(ventas_b_mes684[[#This Row],[CUIT]],Lista_CUIT[#All],2,0)),"CUIT NO CARGADO")</f>
        <v>-</v>
      </c>
      <c r="H2684" s="64"/>
      <c r="I2684" s="350">
        <f>ventas_b_mes684[[#This Row],[IMPORTE NETO]]*0.21</f>
        <v>0</v>
      </c>
      <c r="J2684" s="351"/>
      <c r="K2684" s="351"/>
      <c r="L2684" s="351">
        <f>SUM(ventas_b_mes684[[#This Row],[IMPORTE NETO]:[EXENTO]])</f>
        <v>0</v>
      </c>
      <c r="M2684" s="352"/>
    </row>
    <row r="2685" spans="2:13" x14ac:dyDescent="0.25">
      <c r="B2685" s="40"/>
      <c r="C2685" s="41"/>
      <c r="D2685" s="357"/>
      <c r="E2685" s="358"/>
      <c r="F2685" s="359"/>
      <c r="G2685" s="360" t="str">
        <f>IFERROR(IF(ventas_b_mes684[[#This Row],[CUIT]]="","-",VLOOKUP(ventas_b_mes684[[#This Row],[CUIT]],Lista_CUIT[#All],2,0)),"CUIT NO CARGADO")</f>
        <v>-</v>
      </c>
      <c r="H2685" s="64"/>
      <c r="I2685" s="350">
        <f>ventas_b_mes684[[#This Row],[IMPORTE NETO]]*0.21</f>
        <v>0</v>
      </c>
      <c r="J2685" s="351"/>
      <c r="K2685" s="351"/>
      <c r="L2685" s="351">
        <f>SUM(ventas_b_mes684[[#This Row],[IMPORTE NETO]:[EXENTO]])</f>
        <v>0</v>
      </c>
      <c r="M2685" s="352"/>
    </row>
    <row r="2686" spans="2:13" x14ac:dyDescent="0.25">
      <c r="B2686" s="40"/>
      <c r="C2686" s="41"/>
      <c r="D2686" s="357"/>
      <c r="E2686" s="358"/>
      <c r="F2686" s="359"/>
      <c r="G2686" s="360" t="str">
        <f>IFERROR(IF(ventas_b_mes684[[#This Row],[CUIT]]="","-",VLOOKUP(ventas_b_mes684[[#This Row],[CUIT]],Lista_CUIT[#All],2,0)),"CUIT NO CARGADO")</f>
        <v>-</v>
      </c>
      <c r="H2686" s="64"/>
      <c r="I2686" s="350">
        <f>ventas_b_mes684[[#This Row],[IMPORTE NETO]]*0.21</f>
        <v>0</v>
      </c>
      <c r="J2686" s="351"/>
      <c r="K2686" s="351"/>
      <c r="L2686" s="351">
        <f>SUM(ventas_b_mes684[[#This Row],[IMPORTE NETO]:[EXENTO]])</f>
        <v>0</v>
      </c>
      <c r="M2686" s="352"/>
    </row>
    <row r="2687" spans="2:13" x14ac:dyDescent="0.25">
      <c r="B2687" s="40"/>
      <c r="C2687" s="41"/>
      <c r="D2687" s="357"/>
      <c r="E2687" s="358"/>
      <c r="F2687" s="359"/>
      <c r="G2687" s="360" t="str">
        <f>IFERROR(IF(ventas_b_mes684[[#This Row],[CUIT]]="","-",VLOOKUP(ventas_b_mes684[[#This Row],[CUIT]],Lista_CUIT[#All],2,0)),"CUIT NO CARGADO")</f>
        <v>-</v>
      </c>
      <c r="H2687" s="64"/>
      <c r="I2687" s="350">
        <f>ventas_b_mes684[[#This Row],[IMPORTE NETO]]*0.21</f>
        <v>0</v>
      </c>
      <c r="J2687" s="351"/>
      <c r="K2687" s="351"/>
      <c r="L2687" s="351">
        <f>SUM(ventas_b_mes684[[#This Row],[IMPORTE NETO]:[EXENTO]])</f>
        <v>0</v>
      </c>
      <c r="M2687" s="352"/>
    </row>
    <row r="2688" spans="2:13" x14ac:dyDescent="0.25">
      <c r="B2688" s="40"/>
      <c r="C2688" s="41"/>
      <c r="D2688" s="357"/>
      <c r="E2688" s="358"/>
      <c r="F2688" s="359"/>
      <c r="G2688" s="360" t="str">
        <f>IFERROR(IF(ventas_b_mes684[[#This Row],[CUIT]]="","-",VLOOKUP(ventas_b_mes684[[#This Row],[CUIT]],Lista_CUIT[#All],2,0)),"CUIT NO CARGADO")</f>
        <v>-</v>
      </c>
      <c r="H2688" s="64"/>
      <c r="I2688" s="350">
        <f>ventas_b_mes684[[#This Row],[IMPORTE NETO]]*0.21</f>
        <v>0</v>
      </c>
      <c r="J2688" s="351"/>
      <c r="K2688" s="351"/>
      <c r="L2688" s="351">
        <f>SUM(ventas_b_mes684[[#This Row],[IMPORTE NETO]:[EXENTO]])</f>
        <v>0</v>
      </c>
      <c r="M2688" s="352"/>
    </row>
    <row r="2689" spans="2:13" x14ac:dyDescent="0.25">
      <c r="B2689" s="40"/>
      <c r="C2689" s="41"/>
      <c r="D2689" s="357"/>
      <c r="E2689" s="358"/>
      <c r="F2689" s="359"/>
      <c r="G2689" s="360" t="str">
        <f>IFERROR(IF(ventas_b_mes684[[#This Row],[CUIT]]="","-",VLOOKUP(ventas_b_mes684[[#This Row],[CUIT]],Lista_CUIT[#All],2,0)),"CUIT NO CARGADO")</f>
        <v>-</v>
      </c>
      <c r="H2689" s="64"/>
      <c r="I2689" s="350">
        <f>ventas_b_mes684[[#This Row],[IMPORTE NETO]]*0.21</f>
        <v>0</v>
      </c>
      <c r="J2689" s="351"/>
      <c r="K2689" s="351"/>
      <c r="L2689" s="351">
        <f>SUM(ventas_b_mes684[[#This Row],[IMPORTE NETO]:[EXENTO]])</f>
        <v>0</v>
      </c>
      <c r="M2689" s="352"/>
    </row>
    <row r="2690" spans="2:13" x14ac:dyDescent="0.25">
      <c r="B2690" s="40"/>
      <c r="C2690" s="41"/>
      <c r="D2690" s="357"/>
      <c r="E2690" s="358"/>
      <c r="F2690" s="359"/>
      <c r="G2690" s="360" t="str">
        <f>IFERROR(IF(ventas_b_mes684[[#This Row],[CUIT]]="","-",VLOOKUP(ventas_b_mes684[[#This Row],[CUIT]],Lista_CUIT[#All],2,0)),"CUIT NO CARGADO")</f>
        <v>-</v>
      </c>
      <c r="H2690" s="64"/>
      <c r="I2690" s="350">
        <f>ventas_b_mes684[[#This Row],[IMPORTE NETO]]*0.21</f>
        <v>0</v>
      </c>
      <c r="J2690" s="351"/>
      <c r="K2690" s="351"/>
      <c r="L2690" s="351">
        <f>SUM(ventas_b_mes684[[#This Row],[IMPORTE NETO]:[EXENTO]])</f>
        <v>0</v>
      </c>
      <c r="M2690" s="352"/>
    </row>
    <row r="2691" spans="2:13" x14ac:dyDescent="0.25">
      <c r="B2691" s="40"/>
      <c r="C2691" s="41"/>
      <c r="D2691" s="357"/>
      <c r="E2691" s="358"/>
      <c r="F2691" s="359"/>
      <c r="G2691" s="360" t="str">
        <f>IFERROR(IF(ventas_b_mes684[[#This Row],[CUIT]]="","-",VLOOKUP(ventas_b_mes684[[#This Row],[CUIT]],Lista_CUIT[#All],2,0)),"CUIT NO CARGADO")</f>
        <v>-</v>
      </c>
      <c r="H2691" s="64"/>
      <c r="I2691" s="350">
        <f>ventas_b_mes684[[#This Row],[IMPORTE NETO]]*0.21</f>
        <v>0</v>
      </c>
      <c r="J2691" s="351"/>
      <c r="K2691" s="351"/>
      <c r="L2691" s="351">
        <f>SUM(ventas_b_mes684[[#This Row],[IMPORTE NETO]:[EXENTO]])</f>
        <v>0</v>
      </c>
      <c r="M2691" s="352"/>
    </row>
    <row r="2692" spans="2:13" x14ac:dyDescent="0.25">
      <c r="B2692" s="40"/>
      <c r="C2692" s="41"/>
      <c r="D2692" s="357"/>
      <c r="E2692" s="358"/>
      <c r="F2692" s="359"/>
      <c r="G2692" s="360" t="str">
        <f>IFERROR(IF(ventas_b_mes684[[#This Row],[CUIT]]="","-",VLOOKUP(ventas_b_mes684[[#This Row],[CUIT]],Lista_CUIT[#All],2,0)),"CUIT NO CARGADO")</f>
        <v>-</v>
      </c>
      <c r="H2692" s="64"/>
      <c r="I2692" s="350">
        <f>ventas_b_mes684[[#This Row],[IMPORTE NETO]]*0.21</f>
        <v>0</v>
      </c>
      <c r="J2692" s="351"/>
      <c r="K2692" s="351"/>
      <c r="L2692" s="351">
        <f>SUM(ventas_b_mes684[[#This Row],[IMPORTE NETO]:[EXENTO]])</f>
        <v>0</v>
      </c>
      <c r="M2692" s="352"/>
    </row>
    <row r="2693" spans="2:13" x14ac:dyDescent="0.25">
      <c r="B2693" s="40"/>
      <c r="C2693" s="41"/>
      <c r="D2693" s="357"/>
      <c r="E2693" s="358"/>
      <c r="F2693" s="359"/>
      <c r="G2693" s="360" t="str">
        <f>IFERROR(IF(ventas_b_mes684[[#This Row],[CUIT]]="","-",VLOOKUP(ventas_b_mes684[[#This Row],[CUIT]],Lista_CUIT[#All],2,0)),"CUIT NO CARGADO")</f>
        <v>-</v>
      </c>
      <c r="H2693" s="64"/>
      <c r="I2693" s="350">
        <f>ventas_b_mes684[[#This Row],[IMPORTE NETO]]*0.21</f>
        <v>0</v>
      </c>
      <c r="J2693" s="351"/>
      <c r="K2693" s="351"/>
      <c r="L2693" s="351">
        <f>SUM(ventas_b_mes684[[#This Row],[IMPORTE NETO]:[EXENTO]])</f>
        <v>0</v>
      </c>
      <c r="M2693" s="352"/>
    </row>
    <row r="2694" spans="2:13" x14ac:dyDescent="0.25">
      <c r="B2694" s="40"/>
      <c r="C2694" s="41"/>
      <c r="D2694" s="357"/>
      <c r="E2694" s="358"/>
      <c r="F2694" s="359"/>
      <c r="G2694" s="360" t="str">
        <f>IFERROR(IF(ventas_b_mes684[[#This Row],[CUIT]]="","-",VLOOKUP(ventas_b_mes684[[#This Row],[CUIT]],Lista_CUIT[#All],2,0)),"CUIT NO CARGADO")</f>
        <v>-</v>
      </c>
      <c r="H2694" s="64"/>
      <c r="I2694" s="350">
        <f>ventas_b_mes684[[#This Row],[IMPORTE NETO]]*0.21</f>
        <v>0</v>
      </c>
      <c r="J2694" s="351"/>
      <c r="K2694" s="351"/>
      <c r="L2694" s="351">
        <f>SUM(ventas_b_mes684[[#This Row],[IMPORTE NETO]:[EXENTO]])</f>
        <v>0</v>
      </c>
      <c r="M2694" s="352"/>
    </row>
    <row r="2695" spans="2:13" x14ac:dyDescent="0.25">
      <c r="B2695" s="40"/>
      <c r="C2695" s="41"/>
      <c r="D2695" s="357"/>
      <c r="E2695" s="358"/>
      <c r="F2695" s="359"/>
      <c r="G2695" s="360" t="str">
        <f>IFERROR(IF(ventas_b_mes684[[#This Row],[CUIT]]="","-",VLOOKUP(ventas_b_mes684[[#This Row],[CUIT]],Lista_CUIT[#All],2,0)),"CUIT NO CARGADO")</f>
        <v>-</v>
      </c>
      <c r="H2695" s="64"/>
      <c r="I2695" s="350">
        <f>ventas_b_mes684[[#This Row],[IMPORTE NETO]]*0.21</f>
        <v>0</v>
      </c>
      <c r="J2695" s="351"/>
      <c r="K2695" s="351"/>
      <c r="L2695" s="351">
        <f>SUM(ventas_b_mes684[[#This Row],[IMPORTE NETO]:[EXENTO]])</f>
        <v>0</v>
      </c>
      <c r="M2695" s="352"/>
    </row>
    <row r="2696" spans="2:13" x14ac:dyDescent="0.25">
      <c r="B2696" s="40"/>
      <c r="C2696" s="41"/>
      <c r="D2696" s="357"/>
      <c r="E2696" s="358"/>
      <c r="F2696" s="359"/>
      <c r="G2696" s="360" t="str">
        <f>IFERROR(IF(ventas_b_mes684[[#This Row],[CUIT]]="","-",VLOOKUP(ventas_b_mes684[[#This Row],[CUIT]],Lista_CUIT[#All],2,0)),"CUIT NO CARGADO")</f>
        <v>-</v>
      </c>
      <c r="H2696" s="64"/>
      <c r="I2696" s="350">
        <f>ventas_b_mes684[[#This Row],[IMPORTE NETO]]*0.21</f>
        <v>0</v>
      </c>
      <c r="J2696" s="351"/>
      <c r="K2696" s="351"/>
      <c r="L2696" s="351">
        <f>SUM(ventas_b_mes684[[#This Row],[IMPORTE NETO]:[EXENTO]])</f>
        <v>0</v>
      </c>
      <c r="M2696" s="352"/>
    </row>
    <row r="2697" spans="2:13" x14ac:dyDescent="0.25">
      <c r="B2697" s="40"/>
      <c r="C2697" s="41"/>
      <c r="D2697" s="357"/>
      <c r="E2697" s="358"/>
      <c r="F2697" s="359"/>
      <c r="G2697" s="360" t="str">
        <f>IFERROR(IF(ventas_b_mes684[[#This Row],[CUIT]]="","-",VLOOKUP(ventas_b_mes684[[#This Row],[CUIT]],Lista_CUIT[#All],2,0)),"CUIT NO CARGADO")</f>
        <v>-</v>
      </c>
      <c r="H2697" s="64"/>
      <c r="I2697" s="350">
        <f>ventas_b_mes684[[#This Row],[IMPORTE NETO]]*0.21</f>
        <v>0</v>
      </c>
      <c r="J2697" s="351"/>
      <c r="K2697" s="351"/>
      <c r="L2697" s="351">
        <f>SUM(ventas_b_mes684[[#This Row],[IMPORTE NETO]:[EXENTO]])</f>
        <v>0</v>
      </c>
      <c r="M2697" s="352"/>
    </row>
    <row r="2698" spans="2:13" x14ac:dyDescent="0.25">
      <c r="B2698" s="40"/>
      <c r="C2698" s="41"/>
      <c r="D2698" s="357"/>
      <c r="E2698" s="358"/>
      <c r="F2698" s="359"/>
      <c r="G2698" s="360" t="str">
        <f>IFERROR(IF(ventas_b_mes684[[#This Row],[CUIT]]="","-",VLOOKUP(ventas_b_mes684[[#This Row],[CUIT]],Lista_CUIT[#All],2,0)),"CUIT NO CARGADO")</f>
        <v>-</v>
      </c>
      <c r="H2698" s="64"/>
      <c r="I2698" s="350">
        <f>ventas_b_mes684[[#This Row],[IMPORTE NETO]]*0.21</f>
        <v>0</v>
      </c>
      <c r="J2698" s="351"/>
      <c r="K2698" s="351"/>
      <c r="L2698" s="351">
        <f>SUM(ventas_b_mes684[[#This Row],[IMPORTE NETO]:[EXENTO]])</f>
        <v>0</v>
      </c>
      <c r="M2698" s="352"/>
    </row>
    <row r="2699" spans="2:13" x14ac:dyDescent="0.25">
      <c r="B2699" s="40"/>
      <c r="C2699" s="41"/>
      <c r="D2699" s="357"/>
      <c r="E2699" s="358"/>
      <c r="F2699" s="359"/>
      <c r="G2699" s="360" t="str">
        <f>IFERROR(IF(ventas_b_mes684[[#This Row],[CUIT]]="","-",VLOOKUP(ventas_b_mes684[[#This Row],[CUIT]],Lista_CUIT[#All],2,0)),"CUIT NO CARGADO")</f>
        <v>-</v>
      </c>
      <c r="H2699" s="64"/>
      <c r="I2699" s="350">
        <f>ventas_b_mes684[[#This Row],[IMPORTE NETO]]*0.21</f>
        <v>0</v>
      </c>
      <c r="J2699" s="351"/>
      <c r="K2699" s="351"/>
      <c r="L2699" s="351">
        <f>SUM(ventas_b_mes684[[#This Row],[IMPORTE NETO]:[EXENTO]])</f>
        <v>0</v>
      </c>
      <c r="M2699" s="352"/>
    </row>
    <row r="2700" spans="2:13" x14ac:dyDescent="0.25">
      <c r="B2700" s="40"/>
      <c r="C2700" s="41"/>
      <c r="D2700" s="357"/>
      <c r="E2700" s="358"/>
      <c r="F2700" s="359"/>
      <c r="G2700" s="360" t="str">
        <f>IFERROR(IF(ventas_b_mes684[[#This Row],[CUIT]]="","-",VLOOKUP(ventas_b_mes684[[#This Row],[CUIT]],Lista_CUIT[#All],2,0)),"CUIT NO CARGADO")</f>
        <v>-</v>
      </c>
      <c r="H2700" s="64"/>
      <c r="I2700" s="350">
        <f>ventas_b_mes684[[#This Row],[IMPORTE NETO]]*0.21</f>
        <v>0</v>
      </c>
      <c r="J2700" s="351"/>
      <c r="K2700" s="351"/>
      <c r="L2700" s="351">
        <f>SUM(ventas_b_mes684[[#This Row],[IMPORTE NETO]:[EXENTO]])</f>
        <v>0</v>
      </c>
      <c r="M2700" s="352"/>
    </row>
    <row r="2701" spans="2:13" x14ac:dyDescent="0.25">
      <c r="B2701" s="40"/>
      <c r="C2701" s="41"/>
      <c r="D2701" s="357"/>
      <c r="E2701" s="358"/>
      <c r="F2701" s="359"/>
      <c r="G2701" s="360" t="str">
        <f>IFERROR(IF(ventas_b_mes684[[#This Row],[CUIT]]="","-",VLOOKUP(ventas_b_mes684[[#This Row],[CUIT]],Lista_CUIT[#All],2,0)),"CUIT NO CARGADO")</f>
        <v>-</v>
      </c>
      <c r="H2701" s="64"/>
      <c r="I2701" s="350">
        <f>ventas_b_mes684[[#This Row],[IMPORTE NETO]]*0.21</f>
        <v>0</v>
      </c>
      <c r="J2701" s="351"/>
      <c r="K2701" s="351"/>
      <c r="L2701" s="351">
        <f>SUM(ventas_b_mes684[[#This Row],[IMPORTE NETO]:[EXENTO]])</f>
        <v>0</v>
      </c>
      <c r="M2701" s="352"/>
    </row>
    <row r="2702" spans="2:13" x14ac:dyDescent="0.25">
      <c r="B2702" s="40"/>
      <c r="C2702" s="41"/>
      <c r="D2702" s="357"/>
      <c r="E2702" s="358"/>
      <c r="F2702" s="359"/>
      <c r="G2702" s="360" t="str">
        <f>IFERROR(IF(ventas_b_mes684[[#This Row],[CUIT]]="","-",VLOOKUP(ventas_b_mes684[[#This Row],[CUIT]],Lista_CUIT[#All],2,0)),"CUIT NO CARGADO")</f>
        <v>-</v>
      </c>
      <c r="H2702" s="64"/>
      <c r="I2702" s="350">
        <f>ventas_b_mes684[[#This Row],[IMPORTE NETO]]*0.21</f>
        <v>0</v>
      </c>
      <c r="J2702" s="351"/>
      <c r="K2702" s="351"/>
      <c r="L2702" s="351">
        <f>SUM(ventas_b_mes684[[#This Row],[IMPORTE NETO]:[EXENTO]])</f>
        <v>0</v>
      </c>
      <c r="M2702" s="352"/>
    </row>
    <row r="2703" spans="2:13" x14ac:dyDescent="0.25">
      <c r="B2703" s="40"/>
      <c r="C2703" s="41"/>
      <c r="D2703" s="357"/>
      <c r="E2703" s="358"/>
      <c r="F2703" s="359"/>
      <c r="G2703" s="360" t="str">
        <f>IFERROR(IF(ventas_b_mes684[[#This Row],[CUIT]]="","-",VLOOKUP(ventas_b_mes684[[#This Row],[CUIT]],Lista_CUIT[#All],2,0)),"CUIT NO CARGADO")</f>
        <v>-</v>
      </c>
      <c r="H2703" s="64"/>
      <c r="I2703" s="350">
        <f>ventas_b_mes684[[#This Row],[IMPORTE NETO]]*0.21</f>
        <v>0</v>
      </c>
      <c r="J2703" s="351"/>
      <c r="K2703" s="351"/>
      <c r="L2703" s="351">
        <f>SUM(ventas_b_mes684[[#This Row],[IMPORTE NETO]:[EXENTO]])</f>
        <v>0</v>
      </c>
      <c r="M2703" s="352"/>
    </row>
    <row r="2704" spans="2:13" x14ac:dyDescent="0.25">
      <c r="B2704" s="40"/>
      <c r="C2704" s="41"/>
      <c r="D2704" s="357"/>
      <c r="E2704" s="358"/>
      <c r="F2704" s="359"/>
      <c r="G2704" s="360" t="str">
        <f>IFERROR(IF(ventas_b_mes684[[#This Row],[CUIT]]="","-",VLOOKUP(ventas_b_mes684[[#This Row],[CUIT]],Lista_CUIT[#All],2,0)),"CUIT NO CARGADO")</f>
        <v>-</v>
      </c>
      <c r="H2704" s="64"/>
      <c r="I2704" s="350">
        <f>ventas_b_mes684[[#This Row],[IMPORTE NETO]]*0.21</f>
        <v>0</v>
      </c>
      <c r="J2704" s="351"/>
      <c r="K2704" s="351"/>
      <c r="L2704" s="351">
        <f>SUM(ventas_b_mes684[[#This Row],[IMPORTE NETO]:[EXENTO]])</f>
        <v>0</v>
      </c>
      <c r="M2704" s="352"/>
    </row>
    <row r="2705" spans="2:13" x14ac:dyDescent="0.25">
      <c r="B2705" s="40"/>
      <c r="C2705" s="41"/>
      <c r="D2705" s="357"/>
      <c r="E2705" s="358"/>
      <c r="F2705" s="359"/>
      <c r="G2705" s="360" t="str">
        <f>IFERROR(IF(ventas_b_mes684[[#This Row],[CUIT]]="","-",VLOOKUP(ventas_b_mes684[[#This Row],[CUIT]],Lista_CUIT[#All],2,0)),"CUIT NO CARGADO")</f>
        <v>-</v>
      </c>
      <c r="H2705" s="64"/>
      <c r="I2705" s="350">
        <f>ventas_b_mes684[[#This Row],[IMPORTE NETO]]*0.21</f>
        <v>0</v>
      </c>
      <c r="J2705" s="351"/>
      <c r="K2705" s="351"/>
      <c r="L2705" s="351">
        <f>SUM(ventas_b_mes684[[#This Row],[IMPORTE NETO]:[EXENTO]])</f>
        <v>0</v>
      </c>
      <c r="M2705" s="352"/>
    </row>
    <row r="2706" spans="2:13" x14ac:dyDescent="0.25">
      <c r="B2706" s="40"/>
      <c r="C2706" s="41"/>
      <c r="D2706" s="357"/>
      <c r="E2706" s="358"/>
      <c r="F2706" s="359"/>
      <c r="G2706" s="360" t="str">
        <f>IFERROR(IF(ventas_b_mes684[[#This Row],[CUIT]]="","-",VLOOKUP(ventas_b_mes684[[#This Row],[CUIT]],Lista_CUIT[#All],2,0)),"CUIT NO CARGADO")</f>
        <v>-</v>
      </c>
      <c r="H2706" s="64"/>
      <c r="I2706" s="350">
        <f>ventas_b_mes684[[#This Row],[IMPORTE NETO]]*0.21</f>
        <v>0</v>
      </c>
      <c r="J2706" s="351"/>
      <c r="K2706" s="351"/>
      <c r="L2706" s="351">
        <f>SUM(ventas_b_mes684[[#This Row],[IMPORTE NETO]:[EXENTO]])</f>
        <v>0</v>
      </c>
      <c r="M2706" s="352"/>
    </row>
    <row r="2707" spans="2:13" x14ac:dyDescent="0.25">
      <c r="B2707" s="40"/>
      <c r="C2707" s="41"/>
      <c r="D2707" s="357"/>
      <c r="E2707" s="358"/>
      <c r="F2707" s="359"/>
      <c r="G2707" s="360" t="str">
        <f>IFERROR(IF(ventas_b_mes684[[#This Row],[CUIT]]="","-",VLOOKUP(ventas_b_mes684[[#This Row],[CUIT]],Lista_CUIT[#All],2,0)),"CUIT NO CARGADO")</f>
        <v>-</v>
      </c>
      <c r="H2707" s="64"/>
      <c r="I2707" s="350">
        <f>ventas_b_mes684[[#This Row],[IMPORTE NETO]]*0.21</f>
        <v>0</v>
      </c>
      <c r="J2707" s="351"/>
      <c r="K2707" s="351"/>
      <c r="L2707" s="351">
        <f>SUM(ventas_b_mes684[[#This Row],[IMPORTE NETO]:[EXENTO]])</f>
        <v>0</v>
      </c>
      <c r="M2707" s="352"/>
    </row>
    <row r="2708" spans="2:13" x14ac:dyDescent="0.25">
      <c r="B2708" s="40"/>
      <c r="C2708" s="41"/>
      <c r="D2708" s="357"/>
      <c r="E2708" s="358"/>
      <c r="F2708" s="359"/>
      <c r="G2708" s="360" t="str">
        <f>IFERROR(IF(ventas_b_mes684[[#This Row],[CUIT]]="","-",VLOOKUP(ventas_b_mes684[[#This Row],[CUIT]],Lista_CUIT[#All],2,0)),"CUIT NO CARGADO")</f>
        <v>-</v>
      </c>
      <c r="H2708" s="64"/>
      <c r="I2708" s="350">
        <f>ventas_b_mes684[[#This Row],[IMPORTE NETO]]*0.21</f>
        <v>0</v>
      </c>
      <c r="J2708" s="351"/>
      <c r="K2708" s="351"/>
      <c r="L2708" s="351">
        <f>SUM(ventas_b_mes684[[#This Row],[IMPORTE NETO]:[EXENTO]])</f>
        <v>0</v>
      </c>
      <c r="M2708" s="352"/>
    </row>
    <row r="2709" spans="2:13" x14ac:dyDescent="0.25">
      <c r="B2709" s="40"/>
      <c r="C2709" s="41"/>
      <c r="D2709" s="357"/>
      <c r="E2709" s="358"/>
      <c r="F2709" s="359"/>
      <c r="G2709" s="360" t="str">
        <f>IFERROR(IF(ventas_b_mes684[[#This Row],[CUIT]]="","-",VLOOKUP(ventas_b_mes684[[#This Row],[CUIT]],Lista_CUIT[#All],2,0)),"CUIT NO CARGADO")</f>
        <v>-</v>
      </c>
      <c r="H2709" s="64"/>
      <c r="I2709" s="350">
        <f>ventas_b_mes684[[#This Row],[IMPORTE NETO]]*0.21</f>
        <v>0</v>
      </c>
      <c r="J2709" s="351"/>
      <c r="K2709" s="351"/>
      <c r="L2709" s="351">
        <f>SUM(ventas_b_mes684[[#This Row],[IMPORTE NETO]:[EXENTO]])</f>
        <v>0</v>
      </c>
      <c r="M2709" s="352"/>
    </row>
    <row r="2710" spans="2:13" x14ac:dyDescent="0.25">
      <c r="B2710" s="40"/>
      <c r="C2710" s="41"/>
      <c r="D2710" s="357"/>
      <c r="E2710" s="358"/>
      <c r="F2710" s="359"/>
      <c r="G2710" s="360" t="str">
        <f>IFERROR(IF(ventas_b_mes684[[#This Row],[CUIT]]="","-",VLOOKUP(ventas_b_mes684[[#This Row],[CUIT]],Lista_CUIT[#All],2,0)),"CUIT NO CARGADO")</f>
        <v>-</v>
      </c>
      <c r="H2710" s="64"/>
      <c r="I2710" s="350">
        <f>ventas_b_mes684[[#This Row],[IMPORTE NETO]]*0.21</f>
        <v>0</v>
      </c>
      <c r="J2710" s="351"/>
      <c r="K2710" s="351"/>
      <c r="L2710" s="351">
        <f>SUM(ventas_b_mes684[[#This Row],[IMPORTE NETO]:[EXENTO]])</f>
        <v>0</v>
      </c>
      <c r="M2710" s="352"/>
    </row>
    <row r="2711" spans="2:13" x14ac:dyDescent="0.25">
      <c r="B2711" s="40"/>
      <c r="C2711" s="41"/>
      <c r="D2711" s="357"/>
      <c r="E2711" s="358"/>
      <c r="F2711" s="359"/>
      <c r="G2711" s="360" t="str">
        <f>IFERROR(IF(ventas_b_mes684[[#This Row],[CUIT]]="","-",VLOOKUP(ventas_b_mes684[[#This Row],[CUIT]],Lista_CUIT[#All],2,0)),"CUIT NO CARGADO")</f>
        <v>-</v>
      </c>
      <c r="H2711" s="64"/>
      <c r="I2711" s="350">
        <f>ventas_b_mes684[[#This Row],[IMPORTE NETO]]*0.21</f>
        <v>0</v>
      </c>
      <c r="J2711" s="351"/>
      <c r="K2711" s="351"/>
      <c r="L2711" s="351">
        <f>SUM(ventas_b_mes684[[#This Row],[IMPORTE NETO]:[EXENTO]])</f>
        <v>0</v>
      </c>
      <c r="M2711" s="352"/>
    </row>
    <row r="2712" spans="2:13" x14ac:dyDescent="0.25">
      <c r="B2712" s="40"/>
      <c r="C2712" s="41"/>
      <c r="D2712" s="357"/>
      <c r="E2712" s="358"/>
      <c r="F2712" s="359"/>
      <c r="G2712" s="360" t="str">
        <f>IFERROR(IF(ventas_b_mes684[[#This Row],[CUIT]]="","-",VLOOKUP(ventas_b_mes684[[#This Row],[CUIT]],Lista_CUIT[#All],2,0)),"CUIT NO CARGADO")</f>
        <v>-</v>
      </c>
      <c r="H2712" s="64"/>
      <c r="I2712" s="350">
        <f>ventas_b_mes684[[#This Row],[IMPORTE NETO]]*0.21</f>
        <v>0</v>
      </c>
      <c r="J2712" s="351"/>
      <c r="K2712" s="351"/>
      <c r="L2712" s="351">
        <f>SUM(ventas_b_mes684[[#This Row],[IMPORTE NETO]:[EXENTO]])</f>
        <v>0</v>
      </c>
      <c r="M2712" s="352"/>
    </row>
    <row r="2713" spans="2:13" x14ac:dyDescent="0.25">
      <c r="B2713" s="40"/>
      <c r="C2713" s="41"/>
      <c r="D2713" s="357"/>
      <c r="E2713" s="358"/>
      <c r="F2713" s="359"/>
      <c r="G2713" s="360" t="str">
        <f>IFERROR(IF(ventas_b_mes684[[#This Row],[CUIT]]="","-",VLOOKUP(ventas_b_mes684[[#This Row],[CUIT]],Lista_CUIT[#All],2,0)),"CUIT NO CARGADO")</f>
        <v>-</v>
      </c>
      <c r="H2713" s="64"/>
      <c r="I2713" s="350">
        <f>ventas_b_mes684[[#This Row],[IMPORTE NETO]]*0.21</f>
        <v>0</v>
      </c>
      <c r="J2713" s="351"/>
      <c r="K2713" s="351"/>
      <c r="L2713" s="351">
        <f>SUM(ventas_b_mes684[[#This Row],[IMPORTE NETO]:[EXENTO]])</f>
        <v>0</v>
      </c>
      <c r="M2713" s="352"/>
    </row>
    <row r="2714" spans="2:13" x14ac:dyDescent="0.25">
      <c r="B2714" s="40"/>
      <c r="C2714" s="41"/>
      <c r="D2714" s="357"/>
      <c r="E2714" s="358"/>
      <c r="F2714" s="359"/>
      <c r="G2714" s="360" t="str">
        <f>IFERROR(IF(ventas_b_mes684[[#This Row],[CUIT]]="","-",VLOOKUP(ventas_b_mes684[[#This Row],[CUIT]],Lista_CUIT[#All],2,0)),"CUIT NO CARGADO")</f>
        <v>-</v>
      </c>
      <c r="H2714" s="64"/>
      <c r="I2714" s="350">
        <f>ventas_b_mes684[[#This Row],[IMPORTE NETO]]*0.21</f>
        <v>0</v>
      </c>
      <c r="J2714" s="351"/>
      <c r="K2714" s="351"/>
      <c r="L2714" s="351">
        <f>SUM(ventas_b_mes684[[#This Row],[IMPORTE NETO]:[EXENTO]])</f>
        <v>0</v>
      </c>
      <c r="M2714" s="352"/>
    </row>
    <row r="2715" spans="2:13" x14ac:dyDescent="0.25">
      <c r="B2715" s="40"/>
      <c r="C2715" s="41"/>
      <c r="D2715" s="357"/>
      <c r="E2715" s="358"/>
      <c r="F2715" s="359"/>
      <c r="G2715" s="360" t="str">
        <f>IFERROR(IF(ventas_b_mes684[[#This Row],[CUIT]]="","-",VLOOKUP(ventas_b_mes684[[#This Row],[CUIT]],Lista_CUIT[#All],2,0)),"CUIT NO CARGADO")</f>
        <v>-</v>
      </c>
      <c r="H2715" s="64"/>
      <c r="I2715" s="350">
        <f>ventas_b_mes684[[#This Row],[IMPORTE NETO]]*0.21</f>
        <v>0</v>
      </c>
      <c r="J2715" s="351"/>
      <c r="K2715" s="351"/>
      <c r="L2715" s="351">
        <f>SUM(ventas_b_mes684[[#This Row],[IMPORTE NETO]:[EXENTO]])</f>
        <v>0</v>
      </c>
      <c r="M2715" s="352"/>
    </row>
    <row r="2716" spans="2:13" x14ac:dyDescent="0.25">
      <c r="B2716" s="40"/>
      <c r="C2716" s="41"/>
      <c r="D2716" s="357"/>
      <c r="E2716" s="358"/>
      <c r="F2716" s="359"/>
      <c r="G2716" s="360" t="str">
        <f>IFERROR(IF(ventas_b_mes684[[#This Row],[CUIT]]="","-",VLOOKUP(ventas_b_mes684[[#This Row],[CUIT]],Lista_CUIT[#All],2,0)),"CUIT NO CARGADO")</f>
        <v>-</v>
      </c>
      <c r="H2716" s="64"/>
      <c r="I2716" s="350">
        <f>ventas_b_mes684[[#This Row],[IMPORTE NETO]]*0.21</f>
        <v>0</v>
      </c>
      <c r="J2716" s="351"/>
      <c r="K2716" s="351"/>
      <c r="L2716" s="351">
        <f>SUM(ventas_b_mes684[[#This Row],[IMPORTE NETO]:[EXENTO]])</f>
        <v>0</v>
      </c>
      <c r="M2716" s="352"/>
    </row>
    <row r="2717" spans="2:13" x14ac:dyDescent="0.25">
      <c r="B2717" s="40"/>
      <c r="C2717" s="41"/>
      <c r="D2717" s="357"/>
      <c r="E2717" s="358"/>
      <c r="F2717" s="359"/>
      <c r="G2717" s="360" t="str">
        <f>IFERROR(IF(ventas_b_mes684[[#This Row],[CUIT]]="","-",VLOOKUP(ventas_b_mes684[[#This Row],[CUIT]],Lista_CUIT[#All],2,0)),"CUIT NO CARGADO")</f>
        <v>-</v>
      </c>
      <c r="H2717" s="64"/>
      <c r="I2717" s="350">
        <f>ventas_b_mes684[[#This Row],[IMPORTE NETO]]*0.21</f>
        <v>0</v>
      </c>
      <c r="J2717" s="351"/>
      <c r="K2717" s="351"/>
      <c r="L2717" s="351">
        <f>SUM(ventas_b_mes684[[#This Row],[IMPORTE NETO]:[EXENTO]])</f>
        <v>0</v>
      </c>
      <c r="M2717" s="352"/>
    </row>
    <row r="2718" spans="2:13" x14ac:dyDescent="0.25">
      <c r="B2718" s="40"/>
      <c r="C2718" s="41"/>
      <c r="D2718" s="357"/>
      <c r="E2718" s="358"/>
      <c r="F2718" s="359"/>
      <c r="G2718" s="360" t="str">
        <f>IFERROR(IF(ventas_b_mes684[[#This Row],[CUIT]]="","-",VLOOKUP(ventas_b_mes684[[#This Row],[CUIT]],Lista_CUIT[#All],2,0)),"CUIT NO CARGADO")</f>
        <v>-</v>
      </c>
      <c r="H2718" s="64"/>
      <c r="I2718" s="350">
        <f>ventas_b_mes684[[#This Row],[IMPORTE NETO]]*0.21</f>
        <v>0</v>
      </c>
      <c r="J2718" s="351"/>
      <c r="K2718" s="351"/>
      <c r="L2718" s="351">
        <f>SUM(ventas_b_mes684[[#This Row],[IMPORTE NETO]:[EXENTO]])</f>
        <v>0</v>
      </c>
      <c r="M2718" s="352"/>
    </row>
    <row r="2719" spans="2:13" x14ac:dyDescent="0.25">
      <c r="B2719" s="40"/>
      <c r="C2719" s="41"/>
      <c r="D2719" s="357"/>
      <c r="E2719" s="358"/>
      <c r="F2719" s="359"/>
      <c r="G2719" s="360" t="str">
        <f>IFERROR(IF(ventas_b_mes684[[#This Row],[CUIT]]="","-",VLOOKUP(ventas_b_mes684[[#This Row],[CUIT]],Lista_CUIT[#All],2,0)),"CUIT NO CARGADO")</f>
        <v>-</v>
      </c>
      <c r="H2719" s="64"/>
      <c r="I2719" s="350">
        <f>ventas_b_mes684[[#This Row],[IMPORTE NETO]]*0.21</f>
        <v>0</v>
      </c>
      <c r="J2719" s="351"/>
      <c r="K2719" s="351"/>
      <c r="L2719" s="351">
        <f>SUM(ventas_b_mes684[[#This Row],[IMPORTE NETO]:[EXENTO]])</f>
        <v>0</v>
      </c>
      <c r="M2719" s="352"/>
    </row>
    <row r="2720" spans="2:13" x14ac:dyDescent="0.25">
      <c r="B2720" s="40"/>
      <c r="C2720" s="41"/>
      <c r="D2720" s="357"/>
      <c r="E2720" s="358"/>
      <c r="F2720" s="359"/>
      <c r="G2720" s="360" t="str">
        <f>IFERROR(IF(ventas_b_mes684[[#This Row],[CUIT]]="","-",VLOOKUP(ventas_b_mes684[[#This Row],[CUIT]],Lista_CUIT[#All],2,0)),"CUIT NO CARGADO")</f>
        <v>-</v>
      </c>
      <c r="H2720" s="64"/>
      <c r="I2720" s="350">
        <f>ventas_b_mes684[[#This Row],[IMPORTE NETO]]*0.21</f>
        <v>0</v>
      </c>
      <c r="J2720" s="351"/>
      <c r="K2720" s="351"/>
      <c r="L2720" s="351">
        <f>SUM(ventas_b_mes684[[#This Row],[IMPORTE NETO]:[EXENTO]])</f>
        <v>0</v>
      </c>
      <c r="M2720" s="352"/>
    </row>
    <row r="2721" spans="2:13" x14ac:dyDescent="0.25">
      <c r="B2721" s="40"/>
      <c r="C2721" s="41"/>
      <c r="D2721" s="357"/>
      <c r="E2721" s="358"/>
      <c r="F2721" s="359"/>
      <c r="G2721" s="360" t="str">
        <f>IFERROR(IF(ventas_b_mes684[[#This Row],[CUIT]]="","-",VLOOKUP(ventas_b_mes684[[#This Row],[CUIT]],Lista_CUIT[#All],2,0)),"CUIT NO CARGADO")</f>
        <v>-</v>
      </c>
      <c r="H2721" s="64"/>
      <c r="I2721" s="350">
        <f>ventas_b_mes684[[#This Row],[IMPORTE NETO]]*0.21</f>
        <v>0</v>
      </c>
      <c r="J2721" s="351"/>
      <c r="K2721" s="351"/>
      <c r="L2721" s="351">
        <f>SUM(ventas_b_mes684[[#This Row],[IMPORTE NETO]:[EXENTO]])</f>
        <v>0</v>
      </c>
      <c r="M2721" s="352"/>
    </row>
    <row r="2722" spans="2:13" x14ac:dyDescent="0.25">
      <c r="B2722" s="40"/>
      <c r="C2722" s="41"/>
      <c r="D2722" s="357"/>
      <c r="E2722" s="358"/>
      <c r="F2722" s="359"/>
      <c r="G2722" s="360" t="str">
        <f>IFERROR(IF(ventas_b_mes684[[#This Row],[CUIT]]="","-",VLOOKUP(ventas_b_mes684[[#This Row],[CUIT]],Lista_CUIT[#All],2,0)),"CUIT NO CARGADO")</f>
        <v>-</v>
      </c>
      <c r="H2722" s="64"/>
      <c r="I2722" s="350">
        <f>ventas_b_mes684[[#This Row],[IMPORTE NETO]]*0.21</f>
        <v>0</v>
      </c>
      <c r="J2722" s="351"/>
      <c r="K2722" s="351"/>
      <c r="L2722" s="351">
        <f>SUM(ventas_b_mes684[[#This Row],[IMPORTE NETO]:[EXENTO]])</f>
        <v>0</v>
      </c>
      <c r="M2722" s="352"/>
    </row>
    <row r="2723" spans="2:13" x14ac:dyDescent="0.25">
      <c r="B2723" s="40"/>
      <c r="C2723" s="41"/>
      <c r="D2723" s="357"/>
      <c r="E2723" s="358"/>
      <c r="F2723" s="359"/>
      <c r="G2723" s="360" t="str">
        <f>IFERROR(IF(ventas_b_mes684[[#This Row],[CUIT]]="","-",VLOOKUP(ventas_b_mes684[[#This Row],[CUIT]],Lista_CUIT[#All],2,0)),"CUIT NO CARGADO")</f>
        <v>-</v>
      </c>
      <c r="H2723" s="64"/>
      <c r="I2723" s="350">
        <f>ventas_b_mes684[[#This Row],[IMPORTE NETO]]*0.21</f>
        <v>0</v>
      </c>
      <c r="J2723" s="351"/>
      <c r="K2723" s="351"/>
      <c r="L2723" s="351">
        <f>SUM(ventas_b_mes684[[#This Row],[IMPORTE NETO]:[EXENTO]])</f>
        <v>0</v>
      </c>
      <c r="M2723" s="352"/>
    </row>
    <row r="2724" spans="2:13" x14ac:dyDescent="0.25">
      <c r="B2724" s="40"/>
      <c r="C2724" s="41"/>
      <c r="D2724" s="357"/>
      <c r="E2724" s="358"/>
      <c r="F2724" s="359"/>
      <c r="G2724" s="360" t="str">
        <f>IFERROR(IF(ventas_b_mes684[[#This Row],[CUIT]]="","-",VLOOKUP(ventas_b_mes684[[#This Row],[CUIT]],Lista_CUIT[#All],2,0)),"CUIT NO CARGADO")</f>
        <v>-</v>
      </c>
      <c r="H2724" s="64"/>
      <c r="I2724" s="350">
        <f>ventas_b_mes684[[#This Row],[IMPORTE NETO]]*0.21</f>
        <v>0</v>
      </c>
      <c r="J2724" s="351"/>
      <c r="K2724" s="351"/>
      <c r="L2724" s="351">
        <f>SUM(ventas_b_mes684[[#This Row],[IMPORTE NETO]:[EXENTO]])</f>
        <v>0</v>
      </c>
      <c r="M2724" s="352"/>
    </row>
    <row r="2725" spans="2:13" x14ac:dyDescent="0.25">
      <c r="B2725" s="40"/>
      <c r="C2725" s="41"/>
      <c r="D2725" s="357"/>
      <c r="E2725" s="358"/>
      <c r="F2725" s="359"/>
      <c r="G2725" s="360" t="str">
        <f>IFERROR(IF(ventas_b_mes684[[#This Row],[CUIT]]="","-",VLOOKUP(ventas_b_mes684[[#This Row],[CUIT]],Lista_CUIT[#All],2,0)),"CUIT NO CARGADO")</f>
        <v>-</v>
      </c>
      <c r="H2725" s="64"/>
      <c r="I2725" s="350">
        <f>ventas_b_mes684[[#This Row],[IMPORTE NETO]]*0.21</f>
        <v>0</v>
      </c>
      <c r="J2725" s="351"/>
      <c r="K2725" s="351"/>
      <c r="L2725" s="351">
        <f>SUM(ventas_b_mes684[[#This Row],[IMPORTE NETO]:[EXENTO]])</f>
        <v>0</v>
      </c>
      <c r="M2725" s="352"/>
    </row>
    <row r="2726" spans="2:13" x14ac:dyDescent="0.25">
      <c r="B2726" s="40"/>
      <c r="C2726" s="41"/>
      <c r="D2726" s="357"/>
      <c r="E2726" s="358"/>
      <c r="F2726" s="359"/>
      <c r="G2726" s="360" t="str">
        <f>IFERROR(IF(ventas_b_mes684[[#This Row],[CUIT]]="","-",VLOOKUP(ventas_b_mes684[[#This Row],[CUIT]],Lista_CUIT[#All],2,0)),"CUIT NO CARGADO")</f>
        <v>-</v>
      </c>
      <c r="H2726" s="64"/>
      <c r="I2726" s="350">
        <f>ventas_b_mes684[[#This Row],[IMPORTE NETO]]*0.21</f>
        <v>0</v>
      </c>
      <c r="J2726" s="351"/>
      <c r="K2726" s="351"/>
      <c r="L2726" s="351">
        <f>SUM(ventas_b_mes684[[#This Row],[IMPORTE NETO]:[EXENTO]])</f>
        <v>0</v>
      </c>
      <c r="M2726" s="352"/>
    </row>
    <row r="2727" spans="2:13" x14ac:dyDescent="0.25">
      <c r="B2727" s="40"/>
      <c r="C2727" s="41"/>
      <c r="D2727" s="357"/>
      <c r="E2727" s="358"/>
      <c r="F2727" s="359"/>
      <c r="G2727" s="360" t="str">
        <f>IFERROR(IF(ventas_b_mes684[[#This Row],[CUIT]]="","-",VLOOKUP(ventas_b_mes684[[#This Row],[CUIT]],Lista_CUIT[#All],2,0)),"CUIT NO CARGADO")</f>
        <v>-</v>
      </c>
      <c r="H2727" s="64"/>
      <c r="I2727" s="350">
        <f>ventas_b_mes684[[#This Row],[IMPORTE NETO]]*0.21</f>
        <v>0</v>
      </c>
      <c r="J2727" s="351"/>
      <c r="K2727" s="351"/>
      <c r="L2727" s="351">
        <f>SUM(ventas_b_mes684[[#This Row],[IMPORTE NETO]:[EXENTO]])</f>
        <v>0</v>
      </c>
      <c r="M2727" s="352"/>
    </row>
    <row r="2728" spans="2:13" x14ac:dyDescent="0.25">
      <c r="B2728" s="40"/>
      <c r="C2728" s="41"/>
      <c r="D2728" s="357"/>
      <c r="E2728" s="358"/>
      <c r="F2728" s="359"/>
      <c r="G2728" s="360" t="str">
        <f>IFERROR(IF(ventas_b_mes684[[#This Row],[CUIT]]="","-",VLOOKUP(ventas_b_mes684[[#This Row],[CUIT]],Lista_CUIT[#All],2,0)),"CUIT NO CARGADO")</f>
        <v>-</v>
      </c>
      <c r="H2728" s="64"/>
      <c r="I2728" s="350">
        <f>ventas_b_mes684[[#This Row],[IMPORTE NETO]]*0.21</f>
        <v>0</v>
      </c>
      <c r="J2728" s="351"/>
      <c r="K2728" s="351"/>
      <c r="L2728" s="351">
        <f>SUM(ventas_b_mes684[[#This Row],[IMPORTE NETO]:[EXENTO]])</f>
        <v>0</v>
      </c>
      <c r="M2728" s="352"/>
    </row>
    <row r="2729" spans="2:13" x14ac:dyDescent="0.25">
      <c r="B2729" s="40"/>
      <c r="C2729" s="41"/>
      <c r="D2729" s="357"/>
      <c r="E2729" s="358"/>
      <c r="F2729" s="359"/>
      <c r="G2729" s="360" t="str">
        <f>IFERROR(IF(ventas_b_mes684[[#This Row],[CUIT]]="","-",VLOOKUP(ventas_b_mes684[[#This Row],[CUIT]],Lista_CUIT[#All],2,0)),"CUIT NO CARGADO")</f>
        <v>-</v>
      </c>
      <c r="H2729" s="64"/>
      <c r="I2729" s="350">
        <f>ventas_b_mes684[[#This Row],[IMPORTE NETO]]*0.21</f>
        <v>0</v>
      </c>
      <c r="J2729" s="351"/>
      <c r="K2729" s="351"/>
      <c r="L2729" s="351">
        <f>SUM(ventas_b_mes684[[#This Row],[IMPORTE NETO]:[EXENTO]])</f>
        <v>0</v>
      </c>
      <c r="M2729" s="352"/>
    </row>
    <row r="2730" spans="2:13" x14ac:dyDescent="0.25">
      <c r="B2730" s="40"/>
      <c r="C2730" s="41"/>
      <c r="D2730" s="357"/>
      <c r="E2730" s="358"/>
      <c r="F2730" s="359"/>
      <c r="G2730" s="360" t="str">
        <f>IFERROR(IF(ventas_b_mes684[[#This Row],[CUIT]]="","-",VLOOKUP(ventas_b_mes684[[#This Row],[CUIT]],Lista_CUIT[#All],2,0)),"CUIT NO CARGADO")</f>
        <v>-</v>
      </c>
      <c r="H2730" s="64"/>
      <c r="I2730" s="350">
        <f>ventas_b_mes684[[#This Row],[IMPORTE NETO]]*0.21</f>
        <v>0</v>
      </c>
      <c r="J2730" s="351"/>
      <c r="K2730" s="351"/>
      <c r="L2730" s="351">
        <f>SUM(ventas_b_mes684[[#This Row],[IMPORTE NETO]:[EXENTO]])</f>
        <v>0</v>
      </c>
      <c r="M2730" s="352"/>
    </row>
    <row r="2731" spans="2:13" x14ac:dyDescent="0.25">
      <c r="B2731" s="40"/>
      <c r="C2731" s="41"/>
      <c r="D2731" s="357"/>
      <c r="E2731" s="358"/>
      <c r="F2731" s="359"/>
      <c r="G2731" s="360" t="str">
        <f>IFERROR(IF(ventas_b_mes684[[#This Row],[CUIT]]="","-",VLOOKUP(ventas_b_mes684[[#This Row],[CUIT]],Lista_CUIT[#All],2,0)),"CUIT NO CARGADO")</f>
        <v>-</v>
      </c>
      <c r="H2731" s="64"/>
      <c r="I2731" s="350">
        <f>ventas_b_mes684[[#This Row],[IMPORTE NETO]]*0.21</f>
        <v>0</v>
      </c>
      <c r="J2731" s="351"/>
      <c r="K2731" s="351"/>
      <c r="L2731" s="351">
        <f>SUM(ventas_b_mes684[[#This Row],[IMPORTE NETO]:[EXENTO]])</f>
        <v>0</v>
      </c>
      <c r="M2731" s="352"/>
    </row>
    <row r="2732" spans="2:13" ht="15.75" thickBot="1" x14ac:dyDescent="0.3">
      <c r="B2732" s="66" t="s">
        <v>103</v>
      </c>
      <c r="C2732" s="67"/>
      <c r="D2732" s="67"/>
      <c r="E2732" s="67"/>
      <c r="F2732" s="67"/>
      <c r="G2732" s="67"/>
      <c r="H2732" s="77">
        <f>SUBTOTAL(109,ventas_b_mes684[IMPORTE NETO])</f>
        <v>0</v>
      </c>
      <c r="I2732" s="77">
        <f>SUBTOTAL(109,ventas_b_mes684[IVA 21%])</f>
        <v>0</v>
      </c>
      <c r="J2732" s="78">
        <f>SUBTOTAL(109,ventas_b_mes684[IVA 10,5%])</f>
        <v>0</v>
      </c>
      <c r="K2732" s="78">
        <f>SUBTOTAL(109,ventas_b_mes684[EXENTO])</f>
        <v>0</v>
      </c>
      <c r="L2732" s="78">
        <f>SUBTOTAL(109,ventas_b_mes684[TOTAL])</f>
        <v>0</v>
      </c>
      <c r="M2732" s="68">
        <f>SUBTOTAL(103,ventas_b_mes684[Provincia])</f>
        <v>0</v>
      </c>
    </row>
    <row r="2733" spans="2:13" ht="15.75" thickTop="1" x14ac:dyDescent="0.25">
      <c r="C2733" s="596" t="s">
        <v>66</v>
      </c>
      <c r="D2733" s="597"/>
      <c r="E2733" s="597"/>
      <c r="F2733" s="597"/>
      <c r="G2733" s="598"/>
      <c r="H2733" s="32"/>
      <c r="I2733" s="32"/>
      <c r="J2733" s="32"/>
    </row>
    <row r="2734" spans="2:13" ht="15.75" x14ac:dyDescent="0.25">
      <c r="C2734" s="113" t="s">
        <v>67</v>
      </c>
      <c r="D2734" s="114" t="s">
        <v>68</v>
      </c>
      <c r="E2734" s="114" t="s">
        <v>105</v>
      </c>
      <c r="F2734" s="114" t="s">
        <v>3</v>
      </c>
      <c r="G2734" s="114" t="s">
        <v>4</v>
      </c>
      <c r="H2734" s="115" t="s">
        <v>69</v>
      </c>
      <c r="I2734" s="115" t="s">
        <v>70</v>
      </c>
      <c r="J2734" s="115" t="s">
        <v>71</v>
      </c>
      <c r="K2734" s="115" t="s">
        <v>72</v>
      </c>
      <c r="L2734" s="115" t="s">
        <v>73</v>
      </c>
    </row>
    <row r="2735" spans="2:13" x14ac:dyDescent="0.25">
      <c r="C2735" s="116"/>
      <c r="D2735" s="117"/>
      <c r="E2735" s="117"/>
      <c r="F2735" s="118"/>
      <c r="G2735" s="53" t="str">
        <f>IFERROR(IF(Retenciones_mes6[[#This Row],[CUIT]]="","-",VLOOKUP(Retenciones_mes6[[#This Row],[CUIT]],Lista_CUIT[#All],2,0)),"CUIT NO CARGADO")</f>
        <v>-</v>
      </c>
      <c r="H2735" s="119"/>
      <c r="I2735" s="119"/>
      <c r="J2735" s="119"/>
      <c r="K2735" s="119"/>
      <c r="L2735" s="119"/>
    </row>
    <row r="2736" spans="2:13" x14ac:dyDescent="0.25">
      <c r="C2736" s="116"/>
      <c r="D2736" s="117"/>
      <c r="E2736" s="117"/>
      <c r="F2736" s="118"/>
      <c r="G2736" s="53" t="str">
        <f>IFERROR(IF(Retenciones_mes6[[#This Row],[CUIT]]="","-",VLOOKUP(Retenciones_mes6[[#This Row],[CUIT]],Lista_CUIT[#All],2,0)),"CUIT NO CARGADO")</f>
        <v>-</v>
      </c>
      <c r="H2736" s="119"/>
      <c r="I2736" s="119"/>
      <c r="J2736" s="119"/>
      <c r="K2736" s="119"/>
      <c r="L2736" s="119"/>
    </row>
    <row r="2737" spans="3:12" x14ac:dyDescent="0.25">
      <c r="C2737" s="116"/>
      <c r="D2737" s="117"/>
      <c r="E2737" s="117"/>
      <c r="F2737" s="118"/>
      <c r="G2737" s="53" t="str">
        <f>IFERROR(IF(Retenciones_mes6[[#This Row],[CUIT]]="","-",VLOOKUP(Retenciones_mes6[[#This Row],[CUIT]],Lista_CUIT[#All],2,0)),"CUIT NO CARGADO")</f>
        <v>-</v>
      </c>
      <c r="H2737" s="119"/>
      <c r="I2737" s="119"/>
      <c r="J2737" s="119"/>
      <c r="K2737" s="119"/>
      <c r="L2737" s="119"/>
    </row>
    <row r="2738" spans="3:12" x14ac:dyDescent="0.25">
      <c r="C2738" s="116"/>
      <c r="D2738" s="117"/>
      <c r="E2738" s="117"/>
      <c r="F2738" s="118"/>
      <c r="G2738" s="53" t="str">
        <f>IFERROR(IF(Retenciones_mes6[[#This Row],[CUIT]]="","-",VLOOKUP(Retenciones_mes6[[#This Row],[CUIT]],Lista_CUIT[#All],2,0)),"CUIT NO CARGADO")</f>
        <v>-</v>
      </c>
      <c r="H2738" s="119"/>
      <c r="I2738" s="119"/>
      <c r="J2738" s="119"/>
      <c r="K2738" s="119"/>
      <c r="L2738" s="119"/>
    </row>
    <row r="2739" spans="3:12" x14ac:dyDescent="0.25">
      <c r="D2739" s="117"/>
      <c r="E2739" s="117"/>
      <c r="G2739" s="53" t="str">
        <f>IFERROR(IF(Retenciones_mes6[[#This Row],[CUIT]]="","-",VLOOKUP(Retenciones_mes6[[#This Row],[CUIT]],Lista_CUIT[#All],2,0)),"CUIT NO CARGADO")</f>
        <v>-</v>
      </c>
    </row>
    <row r="2740" spans="3:12" x14ac:dyDescent="0.25">
      <c r="C2740" s="33"/>
    </row>
  </sheetData>
  <mergeCells count="21">
    <mergeCell ref="C2733:G2733"/>
    <mergeCell ref="B4:E4"/>
    <mergeCell ref="G4:H4"/>
    <mergeCell ref="J4:K4"/>
    <mergeCell ref="M4:N4"/>
    <mergeCell ref="D157:K157"/>
    <mergeCell ref="B190:J190"/>
    <mergeCell ref="K190:M190"/>
    <mergeCell ref="B192:C192"/>
    <mergeCell ref="B344:C344"/>
    <mergeCell ref="B354:C354"/>
    <mergeCell ref="P4:R4"/>
    <mergeCell ref="D145:L145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28">
    <dataValidation type="whole" allowBlank="1" showInputMessage="1" showErrorMessage="1" sqref="D346:D351 D194:D340 D356:D2731 D9:D141 E159:E183" xr:uid="{00000000-0002-0000-0600-000000000000}">
      <formula1>1</formula1>
      <formula2>9999</formula2>
    </dataValidation>
    <dataValidation type="whole" allowBlank="1" showInputMessage="1" showErrorMessage="1" sqref="E346:E351 E194:E340 E356:E2731 E9:E141 F159:F183" xr:uid="{00000000-0002-0000-0600-000001000000}">
      <formula1>1</formula1>
      <formula2>99999999</formula2>
    </dataValidation>
    <dataValidation type="whole" allowBlank="1" showInputMessage="1" showErrorMessage="1" sqref="F346:F351 F194:F340 F356:F2731 F9:F141 G159:G183" xr:uid="{00000000-0002-0000-0600-000002000000}">
      <formula1>20000000000</formula1>
      <formula2>33999999999</formula2>
    </dataValidation>
    <dataValidation type="date" allowBlank="1" showInputMessage="1" showErrorMessage="1" sqref="B144 B346:B351 D147:D154 B194:B340 B356:B2731 B9:B141 D159:D183" xr:uid="{00000000-0002-0000-0600-000003000000}">
      <formula1>40179</formula1>
      <formula2>TODAY()</formula2>
    </dataValidation>
    <dataValidation type="whole" allowBlank="1" showInputMessage="1" showErrorMessage="1" sqref="C144 C194:C340 C9:C141" xr:uid="{00000000-0002-0000-0600-000004000000}">
      <formula1>1</formula1>
      <formula2>3</formula2>
    </dataValidation>
    <dataValidation type="custom" allowBlank="1" showInputMessage="1" showErrorMessage="1" sqref="H194:K194 H338:K338 H196:K336" xr:uid="{00000000-0002-0000-0600-000005000000}">
      <formula1>IF($C194=3,H194&lt;0,H194&gt;=0)</formula1>
    </dataValidation>
    <dataValidation type="whole" allowBlank="1" showInputMessage="1" showErrorMessage="1" sqref="C346:C351 C356:C2731" xr:uid="{00000000-0002-0000-0600-000006000000}">
      <formula1>6</formula1>
      <formula2>8</formula2>
    </dataValidation>
    <dataValidation type="custom" allowBlank="1" showInputMessage="1" showErrorMessage="1" sqref="H346:L351 H356:L2731" xr:uid="{00000000-0002-0000-0600-000007000000}">
      <formula1>IF($C346=8,H346&lt;0,H346&gt;=0)</formula1>
    </dataValidation>
    <dataValidation type="custom" allowBlank="1" showInputMessage="1" showErrorMessage="1" sqref="L194:L195" xr:uid="{00000000-0002-0000-0600-000008000000}">
      <formula1>IF($C8=3,L8&lt;0,L8&gt;=0)</formula1>
    </dataValidation>
    <dataValidation type="custom" allowBlank="1" showInputMessage="1" showErrorMessage="1" sqref="L337" xr:uid="{00000000-0002-0000-0600-00000A000000}">
      <formula1>IF($C142=3,L142&lt;0,L142&gt;=0)</formula1>
    </dataValidation>
    <dataValidation type="custom" allowBlank="1" showInputMessage="1" showErrorMessage="1" sqref="L338" xr:uid="{00000000-0002-0000-0600-00000B000000}">
      <formula1>IF($C144=3,L144&lt;0,L144&gt;=0)</formula1>
    </dataValidation>
    <dataValidation type="custom" allowBlank="1" showInputMessage="1" showErrorMessage="1" sqref="L330:L335" xr:uid="{00000000-0002-0000-0600-00000C000000}">
      <formula1>IF($C137=3,L137&lt;0,L137&gt;=0)</formula1>
    </dataValidation>
    <dataValidation type="custom" allowBlank="1" showInputMessage="1" showErrorMessage="1" sqref="L336" xr:uid="{00000000-0002-0000-0600-00000D000000}">
      <formula1>IF($C144=3,L144&lt;0,L144&gt;=0)</formula1>
    </dataValidation>
    <dataValidation type="custom" allowBlank="1" showInputMessage="1" showErrorMessage="1" sqref="L311:L316" xr:uid="{00000000-0002-0000-0600-00000E000000}">
      <formula1>IF($C137=3,L137&lt;0,L137&gt;=0)</formula1>
    </dataValidation>
    <dataValidation type="custom" allowBlank="1" showInputMessage="1" showErrorMessage="1" sqref="L317:L329" xr:uid="{00000000-0002-0000-0600-00000F000000}">
      <formula1>IF($C144=3,L144&lt;0,L144&gt;=0)</formula1>
    </dataValidation>
    <dataValidation type="custom" allowBlank="1" showInputMessage="1" showErrorMessage="1" sqref="L292:L297" xr:uid="{00000000-0002-0000-0600-000010000000}">
      <formula1>IF($C137=3,L137&lt;0,L137&gt;=0)</formula1>
    </dataValidation>
    <dataValidation type="custom" allowBlank="1" showInputMessage="1" showErrorMessage="1" sqref="L298:L310" xr:uid="{00000000-0002-0000-0600-000011000000}">
      <formula1>IF($C144=3,L144&lt;0,L144&gt;=0)</formula1>
    </dataValidation>
    <dataValidation type="custom" allowBlank="1" showInputMessage="1" showErrorMessage="1" sqref="L273:L278" xr:uid="{00000000-0002-0000-0600-000012000000}">
      <formula1>IF($C137=3,L137&lt;0,L137&gt;=0)</formula1>
    </dataValidation>
    <dataValidation type="custom" allowBlank="1" showInputMessage="1" showErrorMessage="1" sqref="L279:L291" xr:uid="{00000000-0002-0000-0600-000013000000}">
      <formula1>IF($C144=3,L144&lt;0,L144&gt;=0)</formula1>
    </dataValidation>
    <dataValidation type="custom" allowBlank="1" showInputMessage="1" showErrorMessage="1" sqref="L254:L259" xr:uid="{00000000-0002-0000-0600-000014000000}">
      <formula1>IF($C137=3,L137&lt;0,L137&gt;=0)</formula1>
    </dataValidation>
    <dataValidation type="custom" allowBlank="1" showInputMessage="1" showErrorMessage="1" sqref="L260:L272" xr:uid="{00000000-0002-0000-0600-000015000000}">
      <formula1>IF($C144=3,L144&lt;0,L144&gt;=0)</formula1>
    </dataValidation>
    <dataValidation type="custom" allowBlank="1" showInputMessage="1" showErrorMessage="1" sqref="L235:L240" xr:uid="{00000000-0002-0000-0600-000016000000}">
      <formula1>IF($C137=3,L137&lt;0,L137&gt;=0)</formula1>
    </dataValidation>
    <dataValidation type="custom" allowBlank="1" showInputMessage="1" showErrorMessage="1" sqref="L241:L253" xr:uid="{00000000-0002-0000-0600-000017000000}">
      <formula1>IF($C144=3,L144&lt;0,L144&gt;=0)</formula1>
    </dataValidation>
    <dataValidation type="custom" allowBlank="1" showInputMessage="1" showErrorMessage="1" sqref="L196:L202" xr:uid="{00000000-0002-0000-0600-000018000000}">
      <formula1>IF($C136=3,L136&lt;0,L136&gt;=0)</formula1>
    </dataValidation>
    <dataValidation type="custom" allowBlank="1" showInputMessage="1" showErrorMessage="1" sqref="L203:L215" xr:uid="{00000000-0002-0000-0600-000019000000}">
      <formula1>IF($C144=3,L144&lt;0,L144&gt;=0)</formula1>
    </dataValidation>
    <dataValidation type="custom" allowBlank="1" showInputMessage="1" showErrorMessage="1" sqref="L216:L221" xr:uid="{00000000-0002-0000-0600-00001A000000}">
      <formula1>IF($C137=3,L137&lt;0,L137&gt;=0)</formula1>
    </dataValidation>
    <dataValidation type="custom" allowBlank="1" showInputMessage="1" showErrorMessage="1" sqref="L222:L234" xr:uid="{00000000-0002-0000-0600-00001B000000}">
      <formula1>IF($C144=3,L144&lt;0,L144&gt;=0)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141" xr:uid="{00000000-0002-0000-0600-000009000000}">
      <formula1>IF($C9=3,H9&lt;0,H9&gt;=0)</formula1>
    </dataValidation>
  </dataValidations>
  <pageMargins left="0.7" right="0.7" top="0.75" bottom="0.75" header="0.3" footer="0.3"/>
  <pageSetup paperSize="9" scale="47" fitToHeight="0" orientation="landscape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79998168889431442"/>
  </sheetPr>
  <dimension ref="B1:Z347"/>
  <sheetViews>
    <sheetView showGridLines="0" zoomScale="80" zoomScaleNormal="80" workbookViewId="0">
      <selection activeCell="P166" activeCellId="1" sqref="I213 P166"/>
    </sheetView>
  </sheetViews>
  <sheetFormatPr baseColWidth="10" defaultColWidth="15.7109375" defaultRowHeight="15" x14ac:dyDescent="0.25"/>
  <cols>
    <col min="1" max="1" width="1.7109375" customWidth="1"/>
    <col min="2" max="2" width="13.140625" customWidth="1"/>
    <col min="3" max="3" width="9.5703125" customWidth="1"/>
    <col min="4" max="4" width="13.28515625" customWidth="1"/>
    <col min="5" max="6" width="15.7109375" customWidth="1"/>
    <col min="7" max="7" width="22.7109375" customWidth="1"/>
    <col min="8" max="8" width="15.7109375" customWidth="1"/>
  </cols>
  <sheetData>
    <row r="1" spans="2:26" ht="34.9" customHeight="1" x14ac:dyDescent="0.25">
      <c r="B1" s="582" t="s">
        <v>28</v>
      </c>
      <c r="C1" s="582"/>
      <c r="D1" s="582"/>
      <c r="E1" s="582"/>
      <c r="F1" s="582"/>
      <c r="G1" s="595" t="str">
        <f>'Ene-25'!G1:M1</f>
        <v>EUROARGENTINA</v>
      </c>
      <c r="H1" s="595"/>
      <c r="I1" s="595"/>
      <c r="J1" s="595"/>
      <c r="K1" s="595"/>
      <c r="L1" s="595"/>
      <c r="M1" s="595"/>
      <c r="N1" s="584">
        <f>EDATE('Ene-25'!N1,6)</f>
        <v>45839</v>
      </c>
      <c r="O1" s="584"/>
      <c r="P1" s="584"/>
      <c r="Q1" s="584"/>
      <c r="R1" s="584"/>
    </row>
    <row r="2" spans="2:26" ht="15" customHeight="1" x14ac:dyDescent="0.25"/>
    <row r="3" spans="2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2:26" ht="25.15" customHeight="1" x14ac:dyDescent="0.35">
      <c r="B4" s="589">
        <f>SUM(compras_mes78288[[#Totals],[NETO GRAVADO]])+extracto_banco_mes78691[[#Totals],[NETO]]</f>
        <v>78673070.390952423</v>
      </c>
      <c r="C4" s="589"/>
      <c r="D4" s="589"/>
      <c r="E4" s="589"/>
      <c r="F4" s="39"/>
      <c r="G4" s="590">
        <f>compras_mes78288[[#Totals],[IVA 21 %]]+compras_mes78288[[#Totals],[IVA 27%]]+compras_mes78288[[#Totals],[IVA 10,5%]]+extracto_banco_mes78691[[#Totals],[IVA 21%]]+extracto_banco_mes78691[[#Totals],[IVA 10,5%]]</f>
        <v>15952850.071749998</v>
      </c>
      <c r="H4" s="590"/>
      <c r="I4" s="39"/>
      <c r="J4" s="591"/>
      <c r="K4" s="591"/>
      <c r="L4" s="39"/>
      <c r="M4" s="591"/>
      <c r="N4" s="591"/>
      <c r="O4" s="39"/>
      <c r="P4" s="579">
        <f>G4-M4</f>
        <v>15952850.071749998</v>
      </c>
      <c r="Q4" s="580"/>
      <c r="R4" s="580"/>
    </row>
    <row r="5" spans="2:26" ht="13.15" customHeight="1" x14ac:dyDescent="0.25"/>
    <row r="6" spans="2:26" ht="10.9" customHeight="1" x14ac:dyDescent="0.25">
      <c r="E6" s="127"/>
    </row>
    <row r="7" spans="2:26" s="2" customFormat="1" ht="21" customHeight="1" x14ac:dyDescent="0.25">
      <c r="B7" s="40"/>
      <c r="C7" s="41"/>
      <c r="D7" s="42"/>
      <c r="E7" s="43"/>
      <c r="F7" s="44"/>
      <c r="G7" s="128"/>
      <c r="H7" s="364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2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  <c r="S8" s="366" t="s">
        <v>105</v>
      </c>
      <c r="T8" s="366" t="s">
        <v>2214</v>
      </c>
    </row>
    <row r="9" spans="2:26" x14ac:dyDescent="0.25">
      <c r="B9" s="207" t="s">
        <v>2532</v>
      </c>
      <c r="C9" s="208">
        <v>1</v>
      </c>
      <c r="D9" s="209">
        <v>103</v>
      </c>
      <c r="E9" s="225">
        <v>783635</v>
      </c>
      <c r="F9" s="210">
        <v>30701307115</v>
      </c>
      <c r="G9" s="211" t="str">
        <f>IFERROR(IF(compras_mes78288[[#This Row],[CUIT]]="","-",VLOOKUP(compras_mes78288[[#This Row],[CUIT]],Lista_CUIT[#All],2,0)),"CUIT NO CARGADO")</f>
        <v>DESPEGAR COM AR SA</v>
      </c>
      <c r="H9" s="212">
        <v>95571.28</v>
      </c>
      <c r="I9" s="85" t="s">
        <v>2411</v>
      </c>
      <c r="J9" s="213"/>
      <c r="K9" s="213">
        <f>compras_mes78288[[#This Row],[NETO GRAVADO]]*0.105</f>
        <v>10034.984399999999</v>
      </c>
      <c r="L9" s="213"/>
      <c r="M9" s="213"/>
      <c r="N9" s="213">
        <v>6831.07</v>
      </c>
      <c r="O9" s="213">
        <v>13354.71</v>
      </c>
      <c r="P9" s="214">
        <f>SUM(compras_mes78288[[#This Row],[NETO GRAVADO]:[Otros / No Grav.]])</f>
        <v>125792.04439999998</v>
      </c>
      <c r="Q9" s="215" t="str">
        <f>IFERROR(IF(compras_mes78288[[#This Row],[CUIT]]="","-",VLOOKUP(compras_mes78288[[#This Row],[CUIT]],Lista_CUIT[#All],3,0)),"CUIT NO CARGADO")</f>
        <v>Gastos Varios</v>
      </c>
      <c r="R9" s="215">
        <f>IFERROR(IF(compras_mes78288[[#This Row],[CUIT]]="","-",VLOOKUP(compras_mes78288[[#This Row],[CUIT]],Lista_CUIT[#All],4,0)),"CUIT NO CARGADO")</f>
        <v>0</v>
      </c>
      <c r="S9">
        <v>55660</v>
      </c>
      <c r="T9" s="33">
        <f>compras_mes78288[[#This Row],[TOTAL]]-compras_mes78288[[#This Row],[Columna1]]</f>
        <v>70132.044399999984</v>
      </c>
    </row>
    <row r="10" spans="2:26" x14ac:dyDescent="0.25">
      <c r="B10" s="207" t="s">
        <v>2532</v>
      </c>
      <c r="C10" s="208">
        <v>1</v>
      </c>
      <c r="D10" s="209">
        <v>4</v>
      </c>
      <c r="E10" s="225">
        <v>340</v>
      </c>
      <c r="F10" s="210">
        <v>27317740196</v>
      </c>
      <c r="G10" s="211" t="str">
        <f>IFERROR(IF(compras_mes78288[[#This Row],[CUIT]]="","-",VLOOKUP(compras_mes78288[[#This Row],[CUIT]],Lista_CUIT[#All],2,0)),"CUIT NO CARGADO")</f>
        <v>HOKAMA ROMINA PAOLA</v>
      </c>
      <c r="H10" s="212">
        <v>28045.43</v>
      </c>
      <c r="I10" s="213">
        <f>IF(compras_mes78288[[#This Row],[NETO GRAVADO]]="","",compras_mes78288[[#This Row],[NETO GRAVADO]]*0.21)</f>
        <v>5889.5402999999997</v>
      </c>
      <c r="J10" s="213"/>
      <c r="K10" s="213"/>
      <c r="L10" s="213"/>
      <c r="M10" s="213"/>
      <c r="N10" s="213"/>
      <c r="O10" s="213"/>
      <c r="P10" s="214">
        <f>SUM(compras_mes78288[[#This Row],[NETO GRAVADO]:[Otros / No Grav.]])</f>
        <v>33934.970300000001</v>
      </c>
      <c r="Q10" s="215" t="str">
        <f>IFERROR(IF(compras_mes78288[[#This Row],[CUIT]]="","-",VLOOKUP(compras_mes78288[[#This Row],[CUIT]],Lista_CUIT[#All],3,0)),"CUIT NO CARGADO")</f>
        <v>Gastos Varios</v>
      </c>
      <c r="R10" s="215">
        <f>IFERROR(IF(compras_mes78288[[#This Row],[CUIT]]="","-",VLOOKUP(compras_mes78288[[#This Row],[CUIT]],Lista_CUIT[#All],4,0)),"CUIT NO CARGADO")</f>
        <v>0</v>
      </c>
      <c r="S10">
        <v>665500</v>
      </c>
      <c r="T10" s="33">
        <f>compras_mes78288[[#This Row],[TOTAL]]-compras_mes78288[[#This Row],[Columna1]]</f>
        <v>-631565.02969999996</v>
      </c>
    </row>
    <row r="11" spans="2:26" x14ac:dyDescent="0.25">
      <c r="B11" s="207" t="s">
        <v>2532</v>
      </c>
      <c r="C11" s="208">
        <v>1</v>
      </c>
      <c r="D11" s="209">
        <v>711</v>
      </c>
      <c r="E11" s="225">
        <v>7304169</v>
      </c>
      <c r="F11" s="210">
        <v>30677237119</v>
      </c>
      <c r="G11" s="211" t="str">
        <f>IFERROR(IF(compras_mes78288[[#This Row],[CUIT]]="","-",VLOOKUP(compras_mes78288[[#This Row],[CUIT]],Lista_CUIT[#All],2,0)),"CUIT NO CARGADO")</f>
        <v>AUTOPISTAS DEL SOL S A</v>
      </c>
      <c r="H11" s="212">
        <v>9013.11</v>
      </c>
      <c r="I11" s="213">
        <f>IF(compras_mes78288[[#This Row],[NETO GRAVADO]]="","",compras_mes78288[[#This Row],[NETO GRAVADO]]*0.21)</f>
        <v>1892.7531000000001</v>
      </c>
      <c r="J11" s="213"/>
      <c r="K11" s="213"/>
      <c r="L11" s="213">
        <v>270.39</v>
      </c>
      <c r="M11" s="213"/>
      <c r="N11" s="213"/>
      <c r="O11" s="213">
        <v>270.39</v>
      </c>
      <c r="P11" s="214">
        <f>SUM(compras_mes78288[[#This Row],[NETO GRAVADO]:[Otros / No Grav.]])</f>
        <v>11446.643099999999</v>
      </c>
      <c r="Q11" s="215" t="str">
        <f>IFERROR(IF(compras_mes78288[[#This Row],[CUIT]]="","-",VLOOKUP(compras_mes78288[[#This Row],[CUIT]],Lista_CUIT[#All],3,0)),"CUIT NO CARGADO")</f>
        <v>Peajes</v>
      </c>
      <c r="R11" s="215">
        <f>IFERROR(IF(compras_mes78288[[#This Row],[CUIT]]="","-",VLOOKUP(compras_mes78288[[#This Row],[CUIT]],Lista_CUIT[#All],4,0)),"CUIT NO CARGADO")</f>
        <v>0</v>
      </c>
      <c r="S11">
        <v>856317</v>
      </c>
      <c r="T11" s="33">
        <f>compras_mes78288[[#This Row],[TOTAL]]-compras_mes78288[[#This Row],[Columna1]]</f>
        <v>-844870.35690000001</v>
      </c>
    </row>
    <row r="12" spans="2:26" x14ac:dyDescent="0.25">
      <c r="B12" s="207" t="s">
        <v>2532</v>
      </c>
      <c r="C12" s="208">
        <v>1</v>
      </c>
      <c r="D12" s="209">
        <v>629</v>
      </c>
      <c r="E12" s="225">
        <v>6241511</v>
      </c>
      <c r="F12" s="210">
        <v>30663498513</v>
      </c>
      <c r="G12" s="211" t="str">
        <f>IFERROR(IF(compras_mes78288[[#This Row],[CUIT]]="","-",VLOOKUP(compras_mes78288[[#This Row],[CUIT]],Lista_CUIT[#All],2,0)),"CUIT NO CARGADO")</f>
        <v>GRUPO CONCES. DEL OESTE SA</v>
      </c>
      <c r="H12" s="212">
        <v>27386.22</v>
      </c>
      <c r="I12" s="213">
        <f>IF(compras_mes78288[[#This Row],[NETO GRAVADO]]="","",compras_mes78288[[#This Row],[NETO GRAVADO]]*0.21)</f>
        <v>5751.1062000000002</v>
      </c>
      <c r="J12" s="213"/>
      <c r="K12" s="213"/>
      <c r="L12" s="213"/>
      <c r="M12" s="213"/>
      <c r="N12" s="213"/>
      <c r="O12" s="213"/>
      <c r="P12" s="214">
        <f>SUM(compras_mes78288[[#This Row],[NETO GRAVADO]:[Otros / No Grav.]])</f>
        <v>33137.326200000003</v>
      </c>
      <c r="Q12" s="215" t="str">
        <f>IFERROR(IF(compras_mes78288[[#This Row],[CUIT]]="","-",VLOOKUP(compras_mes78288[[#This Row],[CUIT]],Lista_CUIT[#All],3,0)),"CUIT NO CARGADO")</f>
        <v>Peajes</v>
      </c>
      <c r="R12" s="215">
        <f>IFERROR(IF(compras_mes78288[[#This Row],[CUIT]]="","-",VLOOKUP(compras_mes78288[[#This Row],[CUIT]],Lista_CUIT[#All],4,0)),"CUIT NO CARGADO")</f>
        <v>0</v>
      </c>
      <c r="S12">
        <v>2900</v>
      </c>
      <c r="T12" s="33">
        <f>compras_mes78288[[#This Row],[TOTAL]]-compras_mes78288[[#This Row],[Columna1]]</f>
        <v>30237.326200000003</v>
      </c>
    </row>
    <row r="13" spans="2:26" x14ac:dyDescent="0.25">
      <c r="B13" s="207" t="s">
        <v>2532</v>
      </c>
      <c r="C13" s="208">
        <v>1</v>
      </c>
      <c r="D13" s="209">
        <v>1</v>
      </c>
      <c r="E13" s="225">
        <v>976</v>
      </c>
      <c r="F13" s="210">
        <v>30715889486</v>
      </c>
      <c r="G13" s="211" t="str">
        <f>IFERROR(IF(compras_mes78288[[#This Row],[CUIT]]="","-",VLOOKUP(compras_mes78288[[#This Row],[CUIT]],Lista_CUIT[#All],2,0)),"CUIT NO CARGADO")</f>
        <v>EXPOESTETICA</v>
      </c>
      <c r="H13" s="212">
        <v>2088000</v>
      </c>
      <c r="I13" s="213">
        <f>IF(compras_mes78288[[#This Row],[NETO GRAVADO]]="","",compras_mes78288[[#This Row],[NETO GRAVADO]]*0.21)</f>
        <v>438480</v>
      </c>
      <c r="J13" s="213"/>
      <c r="K13" s="213"/>
      <c r="L13" s="213"/>
      <c r="M13" s="213"/>
      <c r="N13" s="213"/>
      <c r="O13" s="213"/>
      <c r="P13" s="214">
        <f>SUM(compras_mes78288[[#This Row],[NETO GRAVADO]:[Otros / No Grav.]])</f>
        <v>2526480</v>
      </c>
      <c r="Q13" s="215" t="str">
        <f>IFERROR(IF(compras_mes78288[[#This Row],[CUIT]]="","-",VLOOKUP(compras_mes78288[[#This Row],[CUIT]],Lista_CUIT[#All],3,0)),"CUIT NO CARGADO")</f>
        <v>Gastos Comercializacion - Feria</v>
      </c>
      <c r="R13" s="215" t="str">
        <f>IFERROR(IF(compras_mes78288[[#This Row],[CUIT]]="","-",VLOOKUP(compras_mes78288[[#This Row],[CUIT]],Lista_CUIT[#All],4,0)),"CUIT NO CARGADO")</f>
        <v>BUENOS AIRES</v>
      </c>
      <c r="S13">
        <v>4301857.8099999996</v>
      </c>
      <c r="T13" s="33">
        <f>compras_mes78288[[#This Row],[TOTAL]]-compras_mes78288[[#This Row],[Columna1]]</f>
        <v>-1775377.8099999996</v>
      </c>
    </row>
    <row r="14" spans="2:26" x14ac:dyDescent="0.25">
      <c r="B14" s="207" t="s">
        <v>2532</v>
      </c>
      <c r="C14" s="208">
        <v>1</v>
      </c>
      <c r="D14" s="209">
        <v>1</v>
      </c>
      <c r="E14" s="225">
        <v>623</v>
      </c>
      <c r="F14" s="210">
        <v>20131206144</v>
      </c>
      <c r="G14" s="211" t="str">
        <f>IFERROR(IF(compras_mes78288[[#This Row],[CUIT]]="","-",VLOOKUP(compras_mes78288[[#This Row],[CUIT]],Lista_CUIT[#All],2,0)),"CUIT NO CARGADO")</f>
        <v>CHAMORRO MANUEL</v>
      </c>
      <c r="H14" s="212">
        <v>1180956</v>
      </c>
      <c r="I14" s="213">
        <f>IF(compras_mes78288[[#This Row],[NETO GRAVADO]]="","",compras_mes78288[[#This Row],[NETO GRAVADO]]*0.21)</f>
        <v>248000.75999999998</v>
      </c>
      <c r="J14" s="213"/>
      <c r="K14" s="213"/>
      <c r="L14" s="213"/>
      <c r="M14" s="213"/>
      <c r="N14" s="213"/>
      <c r="O14" s="213"/>
      <c r="P14" s="214">
        <f>SUM(compras_mes78288[[#This Row],[NETO GRAVADO]:[Otros / No Grav.]])</f>
        <v>1428956.76</v>
      </c>
      <c r="Q14" s="215" t="str">
        <f>IFERROR(IF(compras_mes78288[[#This Row],[CUIT]]="","-",VLOOKUP(compras_mes78288[[#This Row],[CUIT]],Lista_CUIT[#All],3,0)),"CUIT NO CARGADO")</f>
        <v>Alquiler</v>
      </c>
      <c r="R14" s="215">
        <f>IFERROR(IF(compras_mes78288[[#This Row],[CUIT]]="","-",VLOOKUP(compras_mes78288[[#This Row],[CUIT]],Lista_CUIT[#All],4,0)),"CUIT NO CARGADO")</f>
        <v>0</v>
      </c>
      <c r="S14">
        <v>12747.99</v>
      </c>
      <c r="T14" s="33">
        <f>compras_mes78288[[#This Row],[TOTAL]]-compras_mes78288[[#This Row],[Columna1]]</f>
        <v>1416208.77</v>
      </c>
    </row>
    <row r="15" spans="2:26" x14ac:dyDescent="0.25">
      <c r="B15" s="207" t="s">
        <v>2518</v>
      </c>
      <c r="C15" s="208">
        <v>1</v>
      </c>
      <c r="D15" s="209">
        <v>7</v>
      </c>
      <c r="E15" s="225">
        <v>527</v>
      </c>
      <c r="F15" s="210">
        <v>27136649065</v>
      </c>
      <c r="G15" s="211" t="str">
        <f>IFERROR(IF(compras_mes78288[[#This Row],[CUIT]]="","-",VLOOKUP(compras_mes78288[[#This Row],[CUIT]],Lista_CUIT[#All],2,0)),"CUIT NO CARGADO")</f>
        <v>LIBERTINI LILIANA PATRICIA</v>
      </c>
      <c r="H15" s="212">
        <v>52422.93</v>
      </c>
      <c r="I15" s="213">
        <f>IF(compras_mes78288[[#This Row],[NETO GRAVADO]]="","",compras_mes78288[[#This Row],[NETO GRAVADO]]*0.21)</f>
        <v>11008.8153</v>
      </c>
      <c r="J15" s="213"/>
      <c r="K15" s="213"/>
      <c r="L15" s="213"/>
      <c r="M15" s="213"/>
      <c r="N15" s="213"/>
      <c r="O15" s="213"/>
      <c r="P15" s="214">
        <f>SUM(compras_mes78288[[#This Row],[NETO GRAVADO]:[Otros / No Grav.]])</f>
        <v>63431.745300000002</v>
      </c>
      <c r="Q15" s="215" t="str">
        <f>IFERROR(IF(compras_mes78288[[#This Row],[CUIT]]="","-",VLOOKUP(compras_mes78288[[#This Row],[CUIT]],Lista_CUIT[#All],3,0)),"CUIT NO CARGADO")</f>
        <v>Gastos Varios</v>
      </c>
      <c r="R15" s="215">
        <f>IFERROR(IF(compras_mes78288[[#This Row],[CUIT]]="","-",VLOOKUP(compras_mes78288[[#This Row],[CUIT]],Lista_CUIT[#All],4,0)),"CUIT NO CARGADO")</f>
        <v>0</v>
      </c>
      <c r="S15">
        <v>1514678</v>
      </c>
      <c r="T15" s="33">
        <f>compras_mes78288[[#This Row],[TOTAL]]-compras_mes78288[[#This Row],[Columna1]]</f>
        <v>-1451246.2546999999</v>
      </c>
    </row>
    <row r="16" spans="2:26" x14ac:dyDescent="0.25">
      <c r="B16" s="207" t="s">
        <v>2518</v>
      </c>
      <c r="C16" s="208">
        <v>1</v>
      </c>
      <c r="D16" s="209">
        <v>4</v>
      </c>
      <c r="E16" s="225">
        <v>50188</v>
      </c>
      <c r="F16" s="210">
        <v>30709863076</v>
      </c>
      <c r="G16" s="211" t="str">
        <f>IFERROR(IF(compras_mes78288[[#This Row],[CUIT]]="","-",VLOOKUP(compras_mes78288[[#This Row],[CUIT]],Lista_CUIT[#All],2,0)),"CUIT NO CARGADO")</f>
        <v>INDUSTRIAS PLASTICOS SALTA S.R.L.</v>
      </c>
      <c r="H16" s="212">
        <v>218842.98</v>
      </c>
      <c r="I16" s="213">
        <f>IF(compras_mes78288[[#This Row],[NETO GRAVADO]]="","",compras_mes78288[[#This Row],[NETO GRAVADO]]*0.21)</f>
        <v>45957.025800000003</v>
      </c>
      <c r="J16" s="213"/>
      <c r="K16" s="213"/>
      <c r="L16" s="213"/>
      <c r="M16" s="213"/>
      <c r="N16" s="213"/>
      <c r="O16" s="213"/>
      <c r="P16" s="214">
        <f>SUM(compras_mes78288[[#This Row],[NETO GRAVADO]:[Otros / No Grav.]])</f>
        <v>264800.00580000004</v>
      </c>
      <c r="Q16" s="215" t="str">
        <f>IFERROR(IF(compras_mes78288[[#This Row],[CUIT]]="","-",VLOOKUP(compras_mes78288[[#This Row],[CUIT]],Lista_CUIT[#All],3,0)),"CUIT NO CARGADO")</f>
        <v>Materia Prima</v>
      </c>
      <c r="R16" s="215">
        <f>IFERROR(IF(compras_mes78288[[#This Row],[CUIT]]="","-",VLOOKUP(compras_mes78288[[#This Row],[CUIT]],Lista_CUIT[#All],4,0)),"CUIT NO CARGADO")</f>
        <v>0</v>
      </c>
      <c r="S16">
        <v>61049</v>
      </c>
      <c r="T16" s="33">
        <f>compras_mes78288[[#This Row],[TOTAL]]-compras_mes78288[[#This Row],[Columna1]]</f>
        <v>203751.00580000004</v>
      </c>
    </row>
    <row r="17" spans="2:20" x14ac:dyDescent="0.25">
      <c r="B17" s="207" t="s">
        <v>2518</v>
      </c>
      <c r="C17" s="208">
        <v>1</v>
      </c>
      <c r="D17" s="209">
        <v>9</v>
      </c>
      <c r="E17" s="225">
        <v>53492</v>
      </c>
      <c r="F17" s="210">
        <v>30582170653</v>
      </c>
      <c r="G17" s="211" t="str">
        <f>IFERROR(IF(compras_mes78288[[#This Row],[CUIT]]="","-",VLOOKUP(compras_mes78288[[#This Row],[CUIT]],Lista_CUIT[#All],2,0)),"CUIT NO CARGADO")</f>
        <v>BOLSA DE COMERCIO DE BAHIA BLANCA SOCIEDAD ANONIMA</v>
      </c>
      <c r="H17" s="212">
        <v>130680</v>
      </c>
      <c r="I17" s="213">
        <f>IF(compras_mes78288[[#This Row],[NETO GRAVADO]]="","",compras_mes78288[[#This Row],[NETO GRAVADO]]*0.21)</f>
        <v>27442.799999999999</v>
      </c>
      <c r="J17" s="213"/>
      <c r="K17" s="213"/>
      <c r="L17" s="213"/>
      <c r="M17" s="213">
        <v>7840.8</v>
      </c>
      <c r="N17" s="213"/>
      <c r="O17" s="213"/>
      <c r="P17" s="214">
        <f>SUM(compras_mes78288[[#This Row],[NETO GRAVADO]:[Otros / No Grav.]])</f>
        <v>165963.59999999998</v>
      </c>
      <c r="Q17" s="215" t="str">
        <f>IFERROR(IF(compras_mes78288[[#This Row],[CUIT]]="","-",VLOOKUP(compras_mes78288[[#This Row],[CUIT]],Lista_CUIT[#All],3,0)),"CUIT NO CARGADO")</f>
        <v>Pendiente clasificacion</v>
      </c>
      <c r="R17" s="215">
        <f>IFERROR(IF(compras_mes78288[[#This Row],[CUIT]]="","-",VLOOKUP(compras_mes78288[[#This Row],[CUIT]],Lista_CUIT[#All],4,0)),"CUIT NO CARGADO")</f>
        <v>0</v>
      </c>
      <c r="S17">
        <v>232320</v>
      </c>
      <c r="T17" s="33">
        <f>compras_mes78288[[#This Row],[TOTAL]]-compras_mes78288[[#This Row],[Columna1]]</f>
        <v>-66356.400000000023</v>
      </c>
    </row>
    <row r="18" spans="2:20" x14ac:dyDescent="0.25">
      <c r="B18" s="207" t="s">
        <v>2518</v>
      </c>
      <c r="C18" s="208">
        <v>1</v>
      </c>
      <c r="D18" s="209">
        <v>3</v>
      </c>
      <c r="E18" s="225">
        <v>3359</v>
      </c>
      <c r="F18" s="210">
        <v>30682116028</v>
      </c>
      <c r="G18" s="211" t="str">
        <f>IFERROR(IF(compras_mes78288[[#This Row],[CUIT]]="","-",VLOOKUP(compras_mes78288[[#This Row],[CUIT]],Lista_CUIT[#All],2,0)),"CUIT NO CARGADO")</f>
        <v>BLUE STAR CARGO SRL</v>
      </c>
      <c r="H18" s="212">
        <v>846858.38</v>
      </c>
      <c r="I18" s="213">
        <f>IF(compras_mes78288[[#This Row],[NETO GRAVADO]]="","",compras_mes78288[[#This Row],[NETO GRAVADO]]*0.21)</f>
        <v>177840.2598</v>
      </c>
      <c r="J18" s="213"/>
      <c r="K18" s="213"/>
      <c r="L18" s="213"/>
      <c r="M18" s="213"/>
      <c r="N18" s="213"/>
      <c r="O18" s="213">
        <v>1454095.5</v>
      </c>
      <c r="P18" s="214">
        <f>SUM(compras_mes78288[[#This Row],[NETO GRAVADO]:[Otros / No Grav.]])</f>
        <v>2478794.1398</v>
      </c>
      <c r="Q18" s="215" t="str">
        <f>IFERROR(IF(compras_mes78288[[#This Row],[CUIT]]="","-",VLOOKUP(compras_mes78288[[#This Row],[CUIT]],Lista_CUIT[#All],3,0)),"CUIT NO CARGADO")</f>
        <v>Flete</v>
      </c>
      <c r="R18" s="215">
        <f>IFERROR(IF(compras_mes78288[[#This Row],[CUIT]]="","-",VLOOKUP(compras_mes78288[[#This Row],[CUIT]],Lista_CUIT[#All],4,0)),"CUIT NO CARGADO")</f>
        <v>0</v>
      </c>
      <c r="S18">
        <v>-546242.4</v>
      </c>
      <c r="T18" s="33">
        <f>compras_mes78288[[#This Row],[TOTAL]]-compras_mes78288[[#This Row],[Columna1]]</f>
        <v>3025036.5397999999</v>
      </c>
    </row>
    <row r="19" spans="2:20" x14ac:dyDescent="0.25">
      <c r="B19" s="207" t="s">
        <v>2518</v>
      </c>
      <c r="C19" s="208">
        <v>1</v>
      </c>
      <c r="D19" s="209">
        <v>3</v>
      </c>
      <c r="E19" s="225">
        <v>214</v>
      </c>
      <c r="F19" s="210">
        <v>20120794338</v>
      </c>
      <c r="G19" s="211" t="str">
        <f>IFERROR(IF(compras_mes78288[[#This Row],[CUIT]]="","-",VLOOKUP(compras_mes78288[[#This Row],[CUIT]],Lista_CUIT[#All],2,0)),"CUIT NO CARGADO")</f>
        <v>AINSTEIN MARCELO</v>
      </c>
      <c r="H19" s="212">
        <v>400000</v>
      </c>
      <c r="I19" s="213">
        <f>IF(compras_mes78288[[#This Row],[NETO GRAVADO]]="","",compras_mes78288[[#This Row],[NETO GRAVADO]]*0.21)</f>
        <v>84000</v>
      </c>
      <c r="J19" s="213"/>
      <c r="K19" s="213"/>
      <c r="L19" s="213"/>
      <c r="M19" s="213"/>
      <c r="N19" s="213"/>
      <c r="O19" s="213"/>
      <c r="P19" s="214">
        <f>SUM(compras_mes78288[[#This Row],[NETO GRAVADO]:[Otros / No Grav.]])</f>
        <v>484000</v>
      </c>
      <c r="Q19" s="215" t="str">
        <f>IFERROR(IF(compras_mes78288[[#This Row],[CUIT]]="","-",VLOOKUP(compras_mes78288[[#This Row],[CUIT]],Lista_CUIT[#All],3,0)),"CUIT NO CARGADO")</f>
        <v>Honorarios Legales</v>
      </c>
      <c r="R19" s="215">
        <f>IFERROR(IF(compras_mes78288[[#This Row],[CUIT]]="","-",VLOOKUP(compras_mes78288[[#This Row],[CUIT]],Lista_CUIT[#All],4,0)),"CUIT NO CARGADO")</f>
        <v>0</v>
      </c>
      <c r="S19">
        <v>479160</v>
      </c>
      <c r="T19" s="33">
        <f>compras_mes78288[[#This Row],[TOTAL]]-compras_mes78288[[#This Row],[Columna1]]</f>
        <v>4840</v>
      </c>
    </row>
    <row r="20" spans="2:20" x14ac:dyDescent="0.25">
      <c r="B20" s="207" t="s">
        <v>2519</v>
      </c>
      <c r="C20" s="208">
        <v>1</v>
      </c>
      <c r="D20" s="209">
        <v>6854</v>
      </c>
      <c r="E20" s="225">
        <v>20475</v>
      </c>
      <c r="F20" s="210">
        <v>30678774495</v>
      </c>
      <c r="G20" s="211" t="str">
        <f>IFERROR(IF(compras_mes78288[[#This Row],[CUIT]]="","-",VLOOKUP(compras_mes78288[[#This Row],[CUIT]],Lista_CUIT[#All],2,0)),"CUIT NO CARGADO")</f>
        <v>OPER. DE EST. DE SERV. SA</v>
      </c>
      <c r="H20" s="212">
        <v>8784.4599999999991</v>
      </c>
      <c r="I20" s="213">
        <f>IF(compras_mes78288[[#This Row],[NETO GRAVADO]]="","",compras_mes78288[[#This Row],[NETO GRAVADO]]*0.21)</f>
        <v>1844.7365999999997</v>
      </c>
      <c r="J20" s="213"/>
      <c r="K20" s="213"/>
      <c r="L20" s="213"/>
      <c r="M20" s="213"/>
      <c r="N20" s="213"/>
      <c r="O20" s="213">
        <v>2370.8000000000002</v>
      </c>
      <c r="P20" s="214">
        <f>SUM(compras_mes78288[[#This Row],[NETO GRAVADO]:[Otros / No Grav.]])</f>
        <v>12999.996599999999</v>
      </c>
      <c r="Q20" s="215" t="str">
        <f>IFERROR(IF(compras_mes78288[[#This Row],[CUIT]]="","-",VLOOKUP(compras_mes78288[[#This Row],[CUIT]],Lista_CUIT[#All],3,0)),"CUIT NO CARGADO")</f>
        <v>Combustible</v>
      </c>
      <c r="R20" s="215">
        <f>IFERROR(IF(compras_mes78288[[#This Row],[CUIT]]="","-",VLOOKUP(compras_mes78288[[#This Row],[CUIT]],Lista_CUIT[#All],4,0)),"CUIT NO CARGADO")</f>
        <v>0</v>
      </c>
      <c r="S20">
        <v>147000</v>
      </c>
      <c r="T20" s="33">
        <f>compras_mes78288[[#This Row],[TOTAL]]-compras_mes78288[[#This Row],[Columna1]]</f>
        <v>-134000.00339999999</v>
      </c>
    </row>
    <row r="21" spans="2:20" x14ac:dyDescent="0.25">
      <c r="B21" s="207" t="s">
        <v>2519</v>
      </c>
      <c r="C21" s="208">
        <v>1</v>
      </c>
      <c r="D21" s="209">
        <v>1673</v>
      </c>
      <c r="E21" s="225">
        <v>13956</v>
      </c>
      <c r="F21" s="210">
        <v>30589621499</v>
      </c>
      <c r="G21" s="211" t="str">
        <f>IFERROR(IF(compras_mes78288[[#This Row],[CUIT]]="","-",VLOOKUP(compras_mes78288[[#This Row],[CUIT]],Lista_CUIT[#All],2,0)),"CUIT NO CARGADO")</f>
        <v>MAKRO SA</v>
      </c>
      <c r="H21" s="212">
        <v>84280.41</v>
      </c>
      <c r="I21" s="213">
        <v>17471.02</v>
      </c>
      <c r="J21" s="213"/>
      <c r="K21" s="213">
        <v>113.93</v>
      </c>
      <c r="L21" s="213">
        <v>2512.14</v>
      </c>
      <c r="M21" s="213"/>
      <c r="N21" s="213">
        <v>5056.82</v>
      </c>
      <c r="O21" s="213"/>
      <c r="P21" s="214">
        <f>SUM(compras_mes78288[[#This Row],[NETO GRAVADO]:[Otros / No Grav.]])</f>
        <v>109434.32</v>
      </c>
      <c r="Q21" s="215" t="str">
        <f>IFERROR(IF(compras_mes78288[[#This Row],[CUIT]]="","-",VLOOKUP(compras_mes78288[[#This Row],[CUIT]],Lista_CUIT[#All],3,0)),"CUIT NO CARGADO")</f>
        <v>Gastos Varios</v>
      </c>
      <c r="R21" s="215">
        <f>IFERROR(IF(compras_mes78288[[#This Row],[CUIT]]="","-",VLOOKUP(compras_mes78288[[#This Row],[CUIT]],Lista_CUIT[#All],4,0)),"CUIT NO CARGADO")</f>
        <v>0</v>
      </c>
      <c r="S21">
        <v>6013385.4199999999</v>
      </c>
      <c r="T21" s="33">
        <f>compras_mes78288[[#This Row],[TOTAL]]-compras_mes78288[[#This Row],[Columna1]]</f>
        <v>-5903951.0999999996</v>
      </c>
    </row>
    <row r="22" spans="2:20" x14ac:dyDescent="0.25">
      <c r="B22" s="207" t="s">
        <v>2519</v>
      </c>
      <c r="C22" s="208">
        <v>1</v>
      </c>
      <c r="D22" s="209">
        <v>3</v>
      </c>
      <c r="E22" s="225">
        <v>34515</v>
      </c>
      <c r="F22" s="210">
        <v>33707953549</v>
      </c>
      <c r="G22" s="45" t="str">
        <f>IFERROR(IF(compras_mes78288[[#This Row],[CUIT]]="","-",VLOOKUP(compras_mes78288[[#This Row],[CUIT]],Lista_CUIT[#All],2,0)),"CUIT NO CARGADO")</f>
        <v>TELESMART</v>
      </c>
      <c r="H22" s="212">
        <v>27500</v>
      </c>
      <c r="I22" s="213">
        <f>IF(compras_mes78288[[#This Row],[NETO GRAVADO]]="","",compras_mes78288[[#This Row],[NETO GRAVADO]]*0.21)</f>
        <v>5775</v>
      </c>
      <c r="J22" s="213"/>
      <c r="K22" s="213"/>
      <c r="L22" s="213"/>
      <c r="M22" s="213"/>
      <c r="N22" s="213"/>
      <c r="O22" s="213"/>
      <c r="P22" s="48">
        <f>SUM(compras_mes78288[[#This Row],[NETO GRAVADO]:[Otros / No Grav.]])</f>
        <v>33275</v>
      </c>
      <c r="Q22" s="49" t="str">
        <f>IFERROR(IF(compras_mes78288[[#This Row],[CUIT]]="","-",VLOOKUP(compras_mes78288[[#This Row],[CUIT]],Lista_CUIT[#All],3,0)),"CUIT NO CARGADO")</f>
        <v>Servicios Gas, Luz, etc.</v>
      </c>
      <c r="R22" s="49">
        <f>IFERROR(IF(compras_mes78288[[#This Row],[CUIT]]="","-",VLOOKUP(compras_mes78288[[#This Row],[CUIT]],Lista_CUIT[#All],4,0)),"CUIT NO CARGADO")</f>
        <v>0</v>
      </c>
      <c r="S22">
        <v>66000.009999999995</v>
      </c>
      <c r="T22" s="33">
        <f>compras_mes78288[[#This Row],[TOTAL]]-compras_mes78288[[#This Row],[Columna1]]</f>
        <v>-32725.009999999995</v>
      </c>
    </row>
    <row r="23" spans="2:20" x14ac:dyDescent="0.25">
      <c r="B23" s="207" t="s">
        <v>2519</v>
      </c>
      <c r="C23" s="208">
        <v>1</v>
      </c>
      <c r="D23" s="209">
        <v>3099</v>
      </c>
      <c r="E23" s="225">
        <v>512277</v>
      </c>
      <c r="F23" s="210">
        <v>30678814357</v>
      </c>
      <c r="G23" s="211" t="str">
        <f>IFERROR(IF(compras_mes78288[[#This Row],[CUIT]]="","-",VLOOKUP(compras_mes78288[[#This Row],[CUIT]],Lista_CUIT[#All],2,0)),"CUIT NO CARGADO")</f>
        <v>TELEFONICA MOVILES ARG</v>
      </c>
      <c r="H23" s="212">
        <v>42310.8</v>
      </c>
      <c r="I23" s="85" t="s">
        <v>2411</v>
      </c>
      <c r="J23" s="213">
        <f>compras_mes78288[[#This Row],[NETO GRAVADO]]*0.27</f>
        <v>11423.916000000001</v>
      </c>
      <c r="K23" s="213"/>
      <c r="L23" s="213">
        <v>1269.32</v>
      </c>
      <c r="M23" s="213"/>
      <c r="N23" s="213">
        <v>2538.65</v>
      </c>
      <c r="O23" s="213"/>
      <c r="P23" s="214">
        <f>SUM(compras_mes78288[[#This Row],[NETO GRAVADO]:[Otros / No Grav.]])</f>
        <v>57542.686000000002</v>
      </c>
      <c r="Q23" s="215" t="str">
        <f>IFERROR(IF(compras_mes78288[[#This Row],[CUIT]]="","-",VLOOKUP(compras_mes78288[[#This Row],[CUIT]],Lista_CUIT[#All],3,0)),"CUIT NO CARGADO")</f>
        <v>Servicios Gas, Luz, etc.</v>
      </c>
      <c r="R23" s="215">
        <f>IFERROR(IF(compras_mes78288[[#This Row],[CUIT]]="","-",VLOOKUP(compras_mes78288[[#This Row],[CUIT]],Lista_CUIT[#All],4,0)),"CUIT NO CARGADO")</f>
        <v>0</v>
      </c>
      <c r="S23">
        <v>66000.009999999995</v>
      </c>
      <c r="T23" s="33">
        <f>compras_mes78288[[#This Row],[TOTAL]]-compras_mes78288[[#This Row],[Columna1]]</f>
        <v>-8457.3239999999932</v>
      </c>
    </row>
    <row r="24" spans="2:20" x14ac:dyDescent="0.25">
      <c r="B24" s="207" t="s">
        <v>2519</v>
      </c>
      <c r="C24" s="208">
        <v>1</v>
      </c>
      <c r="D24" s="209">
        <v>2</v>
      </c>
      <c r="E24" s="225">
        <v>313</v>
      </c>
      <c r="F24" s="210">
        <v>27309896063</v>
      </c>
      <c r="G24" s="45" t="str">
        <f>IFERROR(IF(compras_mes78288[[#This Row],[CUIT]]="","-",VLOOKUP(compras_mes78288[[#This Row],[CUIT]],Lista_CUIT[#All],2,0)),"CUIT NO CARGADO")</f>
        <v>BATTELLINI MARIA SOLEDAD</v>
      </c>
      <c r="H24" s="212">
        <v>620000</v>
      </c>
      <c r="I24" s="213">
        <f>IF(compras_mes78288[[#This Row],[NETO GRAVADO]]="","",compras_mes78288[[#This Row],[NETO GRAVADO]]*0.21)</f>
        <v>130200</v>
      </c>
      <c r="J24" s="213"/>
      <c r="K24" s="213"/>
      <c r="L24" s="213"/>
      <c r="M24" s="213"/>
      <c r="N24" s="213"/>
      <c r="O24" s="213"/>
      <c r="P24" s="48">
        <f>SUM(compras_mes78288[[#This Row],[NETO GRAVADO]:[Otros / No Grav.]])</f>
        <v>750200</v>
      </c>
      <c r="Q24" s="49" t="str">
        <f>IFERROR(IF(compras_mes78288[[#This Row],[CUIT]]="","-",VLOOKUP(compras_mes78288[[#This Row],[CUIT]],Lista_CUIT[#All],3,0)),"CUIT NO CARGADO")</f>
        <v>Alquiler</v>
      </c>
      <c r="R24" s="49">
        <f>IFERROR(IF(compras_mes78288[[#This Row],[CUIT]]="","-",VLOOKUP(compras_mes78288[[#This Row],[CUIT]],Lista_CUIT[#All],4,0)),"CUIT NO CARGADO")</f>
        <v>0</v>
      </c>
      <c r="S24">
        <v>66000.009999999995</v>
      </c>
      <c r="T24" s="33">
        <f>compras_mes78288[[#This Row],[TOTAL]]-compras_mes78288[[#This Row],[Columna1]]</f>
        <v>684199.99</v>
      </c>
    </row>
    <row r="25" spans="2:20" x14ac:dyDescent="0.25">
      <c r="B25" s="207" t="s">
        <v>2519</v>
      </c>
      <c r="C25" s="208">
        <v>1</v>
      </c>
      <c r="D25" s="209">
        <v>2</v>
      </c>
      <c r="E25" s="225">
        <v>4096</v>
      </c>
      <c r="F25" s="210">
        <v>30629863571</v>
      </c>
      <c r="G25" s="45" t="str">
        <f>IFERROR(IF(compras_mes78288[[#This Row],[CUIT]]="","-",VLOOKUP(compras_mes78288[[#This Row],[CUIT]],Lista_CUIT[#All],2,0)),"CUIT NO CARGADO")</f>
        <v>TECNIMAR S R L</v>
      </c>
      <c r="H25" s="212">
        <v>1356414</v>
      </c>
      <c r="I25" s="213">
        <f>IF(compras_mes78288[[#This Row],[NETO GRAVADO]]="","",compras_mes78288[[#This Row],[NETO GRAVADO]]*0.21)</f>
        <v>284846.94</v>
      </c>
      <c r="J25" s="213"/>
      <c r="K25" s="213"/>
      <c r="L25" s="213"/>
      <c r="M25" s="213"/>
      <c r="N25" s="213"/>
      <c r="O25" s="213"/>
      <c r="P25" s="48">
        <f>SUM(compras_mes78288[[#This Row],[NETO GRAVADO]:[Otros / No Grav.]])</f>
        <v>1641260.94</v>
      </c>
      <c r="Q25" s="49" t="str">
        <f>IFERROR(IF(compras_mes78288[[#This Row],[CUIT]]="","-",VLOOKUP(compras_mes78288[[#This Row],[CUIT]],Lista_CUIT[#All],3,0)),"CUIT NO CARGADO")</f>
        <v>Productos Venta</v>
      </c>
      <c r="R25" s="49">
        <f>IFERROR(IF(compras_mes78288[[#This Row],[CUIT]]="","-",VLOOKUP(compras_mes78288[[#This Row],[CUIT]],Lista_CUIT[#All],4,0)),"CUIT NO CARGADO")</f>
        <v>0</v>
      </c>
      <c r="S25">
        <v>66000.009999999995</v>
      </c>
      <c r="T25" s="33">
        <f>compras_mes78288[[#This Row],[TOTAL]]-compras_mes78288[[#This Row],[Columna1]]</f>
        <v>1575260.93</v>
      </c>
    </row>
    <row r="26" spans="2:20" x14ac:dyDescent="0.25">
      <c r="B26" s="207" t="s">
        <v>2533</v>
      </c>
      <c r="C26" s="208">
        <v>1</v>
      </c>
      <c r="D26" s="209">
        <v>2</v>
      </c>
      <c r="E26" s="225">
        <v>4100</v>
      </c>
      <c r="F26" s="210">
        <v>30629863571</v>
      </c>
      <c r="G26" s="211" t="str">
        <f>IFERROR(IF(compras_mes78288[[#This Row],[CUIT]]="","-",VLOOKUP(compras_mes78288[[#This Row],[CUIT]],Lista_CUIT[#All],2,0)),"CUIT NO CARGADO")</f>
        <v>TECNIMAR S R L</v>
      </c>
      <c r="H26" s="212">
        <v>731120</v>
      </c>
      <c r="I26" s="213">
        <f>IF(compras_mes78288[[#This Row],[NETO GRAVADO]]="","",compras_mes78288[[#This Row],[NETO GRAVADO]]*0.21)</f>
        <v>153535.19999999998</v>
      </c>
      <c r="J26" s="213"/>
      <c r="K26" s="213"/>
      <c r="L26" s="213"/>
      <c r="M26" s="213"/>
      <c r="N26" s="213"/>
      <c r="O26" s="213"/>
      <c r="P26" s="214">
        <f>SUM(compras_mes78288[[#This Row],[NETO GRAVADO]:[Otros / No Grav.]])</f>
        <v>884655.2</v>
      </c>
      <c r="Q26" s="215" t="str">
        <f>IFERROR(IF(compras_mes78288[[#This Row],[CUIT]]="","-",VLOOKUP(compras_mes78288[[#This Row],[CUIT]],Lista_CUIT[#All],3,0)),"CUIT NO CARGADO")</f>
        <v>Productos Venta</v>
      </c>
      <c r="R26" s="215">
        <f>IFERROR(IF(compras_mes78288[[#This Row],[CUIT]]="","-",VLOOKUP(compras_mes78288[[#This Row],[CUIT]],Lista_CUIT[#All],4,0)),"CUIT NO CARGADO")</f>
        <v>0</v>
      </c>
      <c r="S26">
        <v>66000.009999999995</v>
      </c>
      <c r="T26" s="33">
        <f>compras_mes78288[[#This Row],[TOTAL]]-compras_mes78288[[#This Row],[Columna1]]</f>
        <v>818655.19</v>
      </c>
    </row>
    <row r="27" spans="2:20" x14ac:dyDescent="0.25">
      <c r="B27" s="207" t="s">
        <v>2534</v>
      </c>
      <c r="C27" s="208">
        <v>1</v>
      </c>
      <c r="D27" s="209">
        <v>14</v>
      </c>
      <c r="E27" s="225">
        <v>17901</v>
      </c>
      <c r="F27" s="210">
        <v>30715186256</v>
      </c>
      <c r="G27" s="211" t="str">
        <f>IFERROR(IF(compras_mes78288[[#This Row],[CUIT]]="","-",VLOOKUP(compras_mes78288[[#This Row],[CUIT]],Lista_CUIT[#All],2,0)),"CUIT NO CARGADO")</f>
        <v>FRIGORIFICO ALIMENTIC</v>
      </c>
      <c r="H27" s="212">
        <v>174309.62</v>
      </c>
      <c r="I27" s="213">
        <v>5487.77</v>
      </c>
      <c r="J27" s="213"/>
      <c r="K27" s="213">
        <v>15558.63</v>
      </c>
      <c r="L27" s="213"/>
      <c r="M27" s="213"/>
      <c r="N27" s="213"/>
      <c r="O27" s="213"/>
      <c r="P27" s="214">
        <f>SUM(compras_mes78288[[#This Row],[NETO GRAVADO]:[Otros / No Grav.]])</f>
        <v>195356.02</v>
      </c>
      <c r="Q27" s="215" t="str">
        <f>IFERROR(IF(compras_mes78288[[#This Row],[CUIT]]="","-",VLOOKUP(compras_mes78288[[#This Row],[CUIT]],Lista_CUIT[#All],3,0)),"CUIT NO CARGADO")</f>
        <v>Gastos Comercializacion - Feria</v>
      </c>
      <c r="R27" s="215">
        <f>IFERROR(IF(compras_mes78288[[#This Row],[CUIT]]="","-",VLOOKUP(compras_mes78288[[#This Row],[CUIT]],Lista_CUIT[#All],4,0)),"CUIT NO CARGADO")</f>
        <v>0</v>
      </c>
      <c r="S27">
        <v>-235290.21</v>
      </c>
      <c r="T27" s="33">
        <f>compras_mes78288[[#This Row],[TOTAL]]-compras_mes78288[[#This Row],[Columna1]]</f>
        <v>430646.23</v>
      </c>
    </row>
    <row r="28" spans="2:20" x14ac:dyDescent="0.25">
      <c r="B28" s="207" t="s">
        <v>2534</v>
      </c>
      <c r="C28" s="208">
        <v>1</v>
      </c>
      <c r="D28" s="209">
        <v>2084</v>
      </c>
      <c r="E28" s="225">
        <v>30235</v>
      </c>
      <c r="F28" s="210">
        <v>30548083156</v>
      </c>
      <c r="G28" s="211" t="str">
        <f>IFERROR(IF(compras_mes78288[[#This Row],[CUIT]]="","-",VLOOKUP(compras_mes78288[[#This Row],[CUIT]],Lista_CUIT[#All],2,0)),"CUIT NO CARGADO")</f>
        <v>COTO CENTRO INTEGRAL DE COMERCIALIZACION SOCIEDAD ANONIMA</v>
      </c>
      <c r="H28" s="212">
        <v>76461.72</v>
      </c>
      <c r="I28" s="213">
        <v>9715.0400000000009</v>
      </c>
      <c r="J28" s="213"/>
      <c r="K28" s="213">
        <v>3170.96</v>
      </c>
      <c r="L28" s="213"/>
      <c r="M28" s="213"/>
      <c r="N28" s="213"/>
      <c r="O28" s="213">
        <v>4029.46</v>
      </c>
      <c r="P28" s="214">
        <f>SUM(compras_mes78288[[#This Row],[NETO GRAVADO]:[Otros / No Grav.]])</f>
        <v>93377.180000000022</v>
      </c>
      <c r="Q28" s="215" t="str">
        <f>IFERROR(IF(compras_mes78288[[#This Row],[CUIT]]="","-",VLOOKUP(compras_mes78288[[#This Row],[CUIT]],Lista_CUIT[#All],3,0)),"CUIT NO CARGADO")</f>
        <v>Gastos Varios</v>
      </c>
      <c r="R28" s="215">
        <f>IFERROR(IF(compras_mes78288[[#This Row],[CUIT]]="","-",VLOOKUP(compras_mes78288[[#This Row],[CUIT]],Lista_CUIT[#All],4,0)),"CUIT NO CARGADO")</f>
        <v>0</v>
      </c>
      <c r="S28">
        <v>5511203.9400000004</v>
      </c>
      <c r="T28" s="33">
        <f>compras_mes78288[[#This Row],[TOTAL]]-compras_mes78288[[#This Row],[Columna1]]</f>
        <v>-5417826.7600000007</v>
      </c>
    </row>
    <row r="29" spans="2:20" x14ac:dyDescent="0.25">
      <c r="B29" s="207" t="s">
        <v>2534</v>
      </c>
      <c r="C29" s="208">
        <v>1</v>
      </c>
      <c r="D29" s="209">
        <v>63</v>
      </c>
      <c r="E29" s="225">
        <v>3376276</v>
      </c>
      <c r="F29" s="210">
        <v>30640897267</v>
      </c>
      <c r="G29" s="211" t="str">
        <f>IFERROR(IF(compras_mes78288[[#This Row],[CUIT]]="","-",VLOOKUP(compras_mes78288[[#This Row],[CUIT]],Lista_CUIT[#All],2,0)),"CUIT NO CARGADO")</f>
        <v>TELECENTRO S.A.</v>
      </c>
      <c r="H29" s="212">
        <v>38282.15</v>
      </c>
      <c r="I29" s="213">
        <f>IF(compras_mes78288[[#This Row],[NETO GRAVADO]]="","",compras_mes78288[[#This Row],[NETO GRAVADO]]*0.21)</f>
        <v>8039.2515000000003</v>
      </c>
      <c r="J29" s="213"/>
      <c r="K29" s="213"/>
      <c r="L29" s="213">
        <v>1148.46</v>
      </c>
      <c r="M29" s="213"/>
      <c r="N29" s="213">
        <v>2296.9299999999998</v>
      </c>
      <c r="O29" s="213"/>
      <c r="P29" s="214">
        <f>SUM(compras_mes78288[[#This Row],[NETO GRAVADO]:[Otros / No Grav.]])</f>
        <v>49766.791499999999</v>
      </c>
      <c r="Q29" s="215" t="str">
        <f>IFERROR(IF(compras_mes78288[[#This Row],[CUIT]]="","-",VLOOKUP(compras_mes78288[[#This Row],[CUIT]],Lista_CUIT[#All],3,0)),"CUIT NO CARGADO")</f>
        <v>Servicios Gas, Luz, etc.</v>
      </c>
      <c r="R29" s="215">
        <f>IFERROR(IF(compras_mes78288[[#This Row],[CUIT]]="","-",VLOOKUP(compras_mes78288[[#This Row],[CUIT]],Lista_CUIT[#All],4,0)),"CUIT NO CARGADO")</f>
        <v>0</v>
      </c>
      <c r="S29">
        <v>56659.97</v>
      </c>
      <c r="T29" s="33">
        <f>compras_mes78288[[#This Row],[TOTAL]]-compras_mes78288[[#This Row],[Columna1]]</f>
        <v>-6893.1785000000018</v>
      </c>
    </row>
    <row r="30" spans="2:20" x14ac:dyDescent="0.25">
      <c r="B30" s="207" t="s">
        <v>2534</v>
      </c>
      <c r="C30" s="208">
        <v>1</v>
      </c>
      <c r="D30" s="209">
        <v>63</v>
      </c>
      <c r="E30" s="225">
        <v>3377450</v>
      </c>
      <c r="F30" s="210">
        <v>30640897267</v>
      </c>
      <c r="G30" s="211" t="str">
        <f>IFERROR(IF(compras_mes78288[[#This Row],[CUIT]]="","-",VLOOKUP(compras_mes78288[[#This Row],[CUIT]],Lista_CUIT[#All],2,0)),"CUIT NO CARGADO")</f>
        <v>TELECENTRO S.A.</v>
      </c>
      <c r="H30" s="212">
        <v>38282.15</v>
      </c>
      <c r="I30" s="213">
        <f>IF(compras_mes78288[[#This Row],[NETO GRAVADO]]="","",compras_mes78288[[#This Row],[NETO GRAVADO]]*0.21)</f>
        <v>8039.2515000000003</v>
      </c>
      <c r="J30" s="213"/>
      <c r="K30" s="213"/>
      <c r="L30" s="213">
        <v>1148.46</v>
      </c>
      <c r="M30" s="213"/>
      <c r="N30" s="213">
        <v>2296.9299999999998</v>
      </c>
      <c r="O30" s="213"/>
      <c r="P30" s="214">
        <f>SUM(compras_mes78288[[#This Row],[NETO GRAVADO]:[Otros / No Grav.]])</f>
        <v>49766.791499999999</v>
      </c>
      <c r="Q30" s="215" t="str">
        <f>IFERROR(IF(compras_mes78288[[#This Row],[CUIT]]="","-",VLOOKUP(compras_mes78288[[#This Row],[CUIT]],Lista_CUIT[#All],3,0)),"CUIT NO CARGADO")</f>
        <v>Servicios Gas, Luz, etc.</v>
      </c>
      <c r="R30" s="215">
        <f>IFERROR(IF(compras_mes78288[[#This Row],[CUIT]]="","-",VLOOKUP(compras_mes78288[[#This Row],[CUIT]],Lista_CUIT[#All],4,0)),"CUIT NO CARGADO")</f>
        <v>0</v>
      </c>
      <c r="S30">
        <v>23595</v>
      </c>
      <c r="T30" s="33">
        <f>compras_mes78288[[#This Row],[TOTAL]]-compras_mes78288[[#This Row],[Columna1]]</f>
        <v>26171.791499999999</v>
      </c>
    </row>
    <row r="31" spans="2:20" x14ac:dyDescent="0.25">
      <c r="B31" s="207" t="s">
        <v>2534</v>
      </c>
      <c r="C31" s="208">
        <v>1</v>
      </c>
      <c r="D31" s="209">
        <v>1</v>
      </c>
      <c r="E31" s="225">
        <v>54</v>
      </c>
      <c r="F31" s="210">
        <v>30717504824</v>
      </c>
      <c r="G31" s="211" t="str">
        <f>IFERROR(IF(compras_mes78288[[#This Row],[CUIT]]="","-",VLOOKUP(compras_mes78288[[#This Row],[CUIT]],Lista_CUIT[#All],2,0)),"CUIT NO CARGADO")</f>
        <v>FIDEICOMISO MAMBA</v>
      </c>
      <c r="H31" s="212">
        <v>3192760.19</v>
      </c>
      <c r="I31" s="85" t="s">
        <v>2411</v>
      </c>
      <c r="J31" s="213"/>
      <c r="K31" s="213">
        <f>compras_mes78288[[#This Row],[NETO GRAVADO]]*0.105</f>
        <v>335239.81994999998</v>
      </c>
      <c r="L31" s="213"/>
      <c r="M31" s="213"/>
      <c r="N31" s="213"/>
      <c r="O31" s="213"/>
      <c r="P31" s="214">
        <f>SUM(compras_mes78288[[#This Row],[NETO GRAVADO]:[Otros / No Grav.]])</f>
        <v>3528000.0099499999</v>
      </c>
      <c r="Q31" s="215" t="str">
        <f>IFERROR(IF(compras_mes78288[[#This Row],[CUIT]]="","-",VLOOKUP(compras_mes78288[[#This Row],[CUIT]],Lista_CUIT[#All],3,0)),"CUIT NO CARGADO")</f>
        <v>MANTENIMIENTO</v>
      </c>
      <c r="R31" s="215">
        <f>IFERROR(IF(compras_mes78288[[#This Row],[CUIT]]="","-",VLOOKUP(compras_mes78288[[#This Row],[CUIT]],Lista_CUIT[#All],4,0)),"CUIT NO CARGADO")</f>
        <v>0</v>
      </c>
      <c r="S31">
        <v>154071.67999999999</v>
      </c>
      <c r="T31" s="33">
        <f>compras_mes78288[[#This Row],[TOTAL]]-compras_mes78288[[#This Row],[Columna1]]</f>
        <v>3373928.3299499997</v>
      </c>
    </row>
    <row r="32" spans="2:20" x14ac:dyDescent="0.25">
      <c r="B32" s="207" t="s">
        <v>2534</v>
      </c>
      <c r="C32" s="208">
        <v>1</v>
      </c>
      <c r="D32" s="209">
        <v>6432</v>
      </c>
      <c r="E32" s="225">
        <v>266</v>
      </c>
      <c r="F32" s="210">
        <v>30638485733</v>
      </c>
      <c r="G32" s="211" t="str">
        <f>IFERROR(IF(compras_mes78288[[#This Row],[CUIT]]="","-",VLOOKUP(compras_mes78288[[#This Row],[CUIT]],Lista_CUIT[#All],2,0)),"CUIT NO CARGADO")</f>
        <v>DABRA SOCIEDAD ANONIMA</v>
      </c>
      <c r="H32" s="212">
        <v>57850.43</v>
      </c>
      <c r="I32" s="213">
        <f>IF(compras_mes78288[[#This Row],[NETO GRAVADO]]="","",compras_mes78288[[#This Row],[NETO GRAVADO]]*0.21)</f>
        <v>12148.5903</v>
      </c>
      <c r="J32" s="213"/>
      <c r="K32" s="213"/>
      <c r="L32" s="213"/>
      <c r="M32" s="213">
        <v>3471.02</v>
      </c>
      <c r="N32" s="213"/>
      <c r="O32" s="213"/>
      <c r="P32" s="214">
        <f>SUM(compras_mes78288[[#This Row],[NETO GRAVADO]:[Otros / No Grav.]])</f>
        <v>73470.040300000008</v>
      </c>
      <c r="Q32" s="215" t="str">
        <f>IFERROR(IF(compras_mes78288[[#This Row],[CUIT]]="","-",VLOOKUP(compras_mes78288[[#This Row],[CUIT]],Lista_CUIT[#All],3,0)),"CUIT NO CARGADO")</f>
        <v>Gastos Varios</v>
      </c>
      <c r="R32" s="215">
        <f>IFERROR(IF(compras_mes78288[[#This Row],[CUIT]]="","-",VLOOKUP(compras_mes78288[[#This Row],[CUIT]],Lista_CUIT[#All],4,0)),"CUIT NO CARGADO")</f>
        <v>0</v>
      </c>
      <c r="S32">
        <v>17700</v>
      </c>
      <c r="T32" s="33">
        <f>compras_mes78288[[#This Row],[TOTAL]]-compras_mes78288[[#This Row],[Columna1]]</f>
        <v>55770.040300000008</v>
      </c>
    </row>
    <row r="33" spans="2:20" x14ac:dyDescent="0.25">
      <c r="B33" s="207" t="s">
        <v>2520</v>
      </c>
      <c r="C33" s="208">
        <v>1</v>
      </c>
      <c r="D33" s="209">
        <v>3</v>
      </c>
      <c r="E33" s="225">
        <v>3398</v>
      </c>
      <c r="F33" s="210">
        <v>30715434276</v>
      </c>
      <c r="G33" s="211" t="str">
        <f>IFERROR(IF(compras_mes78288[[#This Row],[CUIT]]="","-",VLOOKUP(compras_mes78288[[#This Row],[CUIT]],Lista_CUIT[#All],2,0)),"CUIT NO CARGADO")</f>
        <v>BRUAYAFA S.A.</v>
      </c>
      <c r="H33" s="212">
        <v>1256310</v>
      </c>
      <c r="I33" s="213">
        <f>IF(compras_mes78288[[#This Row],[NETO GRAVADO]]="","",compras_mes78288[[#This Row],[NETO GRAVADO]]*0.21)</f>
        <v>263825.09999999998</v>
      </c>
      <c r="J33" s="213"/>
      <c r="K33" s="213"/>
      <c r="L33" s="213"/>
      <c r="M33" s="213"/>
      <c r="N33" s="213"/>
      <c r="O33" s="213"/>
      <c r="P33" s="214">
        <f>SUM(compras_mes78288[[#This Row],[NETO GRAVADO]:[Otros / No Grav.]])</f>
        <v>1520135.1</v>
      </c>
      <c r="Q33" s="215" t="str">
        <f>IFERROR(IF(compras_mes78288[[#This Row],[CUIT]]="","-",VLOOKUP(compras_mes78288[[#This Row],[CUIT]],Lista_CUIT[#All],3,0)),"CUIT NO CARGADO")</f>
        <v>Material de Empaque</v>
      </c>
      <c r="R33" s="215">
        <f>IFERROR(IF(compras_mes78288[[#This Row],[CUIT]]="","-",VLOOKUP(compras_mes78288[[#This Row],[CUIT]],Lista_CUIT[#All],4,0)),"CUIT NO CARGADO")</f>
        <v>0</v>
      </c>
      <c r="S33">
        <v>18036.36</v>
      </c>
      <c r="T33" s="33">
        <f>compras_mes78288[[#This Row],[TOTAL]]-compras_mes78288[[#This Row],[Columna1]]</f>
        <v>1502098.74</v>
      </c>
    </row>
    <row r="34" spans="2:20" x14ac:dyDescent="0.25">
      <c r="B34" s="207" t="s">
        <v>2520</v>
      </c>
      <c r="C34" s="208">
        <v>1</v>
      </c>
      <c r="D34" s="209">
        <v>2</v>
      </c>
      <c r="E34" s="225">
        <v>5</v>
      </c>
      <c r="F34" s="210">
        <v>30652412889</v>
      </c>
      <c r="G34" s="211" t="str">
        <f>IFERROR(IF(compras_mes78288[[#This Row],[CUIT]]="","-",VLOOKUP(compras_mes78288[[#This Row],[CUIT]],Lista_CUIT[#All],2,0)),"CUIT NO CARGADO")</f>
        <v>GLOB SRL</v>
      </c>
      <c r="H34" s="212">
        <v>150000</v>
      </c>
      <c r="I34" s="213">
        <f>IF(compras_mes78288[[#This Row],[NETO GRAVADO]]="","",compras_mes78288[[#This Row],[NETO GRAVADO]]*0.21)</f>
        <v>31500</v>
      </c>
      <c r="J34" s="213"/>
      <c r="K34" s="213"/>
      <c r="L34" s="213"/>
      <c r="M34" s="213"/>
      <c r="N34" s="213"/>
      <c r="O34" s="213"/>
      <c r="P34" s="214">
        <f>SUM(compras_mes78288[[#This Row],[NETO GRAVADO]:[Otros / No Grav.]])</f>
        <v>181500</v>
      </c>
      <c r="Q34" s="215" t="str">
        <f>IFERROR(IF(compras_mes78288[[#This Row],[CUIT]]="","-",VLOOKUP(compras_mes78288[[#This Row],[CUIT]],Lista_CUIT[#All],3,0)),"CUIT NO CARGADO")</f>
        <v>Gastos administrativos</v>
      </c>
      <c r="R34" s="215">
        <f>IFERROR(IF(compras_mes78288[[#This Row],[CUIT]]="","-",VLOOKUP(compras_mes78288[[#This Row],[CUIT]],Lista_CUIT[#All],4,0)),"CUIT NO CARGADO")</f>
        <v>0</v>
      </c>
      <c r="S34">
        <v>2836516.15</v>
      </c>
      <c r="T34" s="33">
        <f>compras_mes78288[[#This Row],[TOTAL]]-compras_mes78288[[#This Row],[Columna1]]</f>
        <v>-2655016.15</v>
      </c>
    </row>
    <row r="35" spans="2:20" x14ac:dyDescent="0.25">
      <c r="B35" s="207" t="s">
        <v>2535</v>
      </c>
      <c r="C35" s="208">
        <v>1</v>
      </c>
      <c r="D35" s="209">
        <v>3034</v>
      </c>
      <c r="E35" s="225">
        <v>8823604</v>
      </c>
      <c r="F35" s="210">
        <v>30708574836</v>
      </c>
      <c r="G35" s="211" t="str">
        <f>IFERROR(IF(compras_mes78288[[#This Row],[CUIT]]="","-",VLOOKUP(compras_mes78288[[#This Row],[CUIT]],Lista_CUIT[#All],2,0)),"CUIT NO CARGADO")</f>
        <v>CORREO OFICIAL DE LA REPUBLICA ARGENTINA SOCIEDAD ANONIMA</v>
      </c>
      <c r="H35" s="212">
        <v>6565.29</v>
      </c>
      <c r="I35" s="213">
        <f>IF(compras_mes78288[[#This Row],[NETO GRAVADO]]="","",compras_mes78288[[#This Row],[NETO GRAVADO]]*0.21)</f>
        <v>1378.7109</v>
      </c>
      <c r="J35" s="213"/>
      <c r="K35" s="213"/>
      <c r="L35" s="213"/>
      <c r="M35" s="213"/>
      <c r="N35" s="213"/>
      <c r="O35" s="213"/>
      <c r="P35" s="214">
        <f>SUM(compras_mes78288[[#This Row],[NETO GRAVADO]:[Otros / No Grav.]])</f>
        <v>7944.0009</v>
      </c>
      <c r="Q35" s="215" t="str">
        <f>IFERROR(IF(compras_mes78288[[#This Row],[CUIT]]="","-",VLOOKUP(compras_mes78288[[#This Row],[CUIT]],Lista_CUIT[#All],3,0)),"CUIT NO CARGADO")</f>
        <v>MESAJERIA</v>
      </c>
      <c r="R35" s="215">
        <f>IFERROR(IF(compras_mes78288[[#This Row],[CUIT]]="","-",VLOOKUP(compras_mes78288[[#This Row],[CUIT]],Lista_CUIT[#All],4,0)),"CUIT NO CARGADO")</f>
        <v>0</v>
      </c>
      <c r="S35">
        <v>273460</v>
      </c>
      <c r="T35" s="33">
        <f>compras_mes78288[[#This Row],[TOTAL]]-compras_mes78288[[#This Row],[Columna1]]</f>
        <v>-265515.99910000002</v>
      </c>
    </row>
    <row r="36" spans="2:20" x14ac:dyDescent="0.25">
      <c r="B36" s="207" t="s">
        <v>2535</v>
      </c>
      <c r="C36" s="208">
        <v>1</v>
      </c>
      <c r="D36" s="209">
        <v>5015</v>
      </c>
      <c r="E36" s="225">
        <v>914458</v>
      </c>
      <c r="F36" s="210">
        <v>30574876474</v>
      </c>
      <c r="G36" s="211" t="str">
        <f>IFERROR(IF(compras_mes78288[[#This Row],[CUIT]]="","-",VLOOKUP(compras_mes78288[[#This Row],[CUIT]],Lista_CUIT[#All],2,0)),"CUIT NO CARGADO")</f>
        <v>AUTOPISTAS URBANAS S A</v>
      </c>
      <c r="H36" s="212">
        <v>119856.55</v>
      </c>
      <c r="I36" s="213">
        <f>IF(compras_mes78288[[#This Row],[NETO GRAVADO]]="","",compras_mes78288[[#This Row],[NETO GRAVADO]]*0.21)</f>
        <v>25169.875499999998</v>
      </c>
      <c r="J36" s="213"/>
      <c r="K36" s="213"/>
      <c r="L36" s="213"/>
      <c r="M36" s="213"/>
      <c r="N36" s="213"/>
      <c r="O36" s="213">
        <v>15581.32</v>
      </c>
      <c r="P36" s="214">
        <f>SUM(compras_mes78288[[#This Row],[NETO GRAVADO]:[Otros / No Grav.]])</f>
        <v>160607.74550000002</v>
      </c>
      <c r="Q36" s="215" t="str">
        <f>IFERROR(IF(compras_mes78288[[#This Row],[CUIT]]="","-",VLOOKUP(compras_mes78288[[#This Row],[CUIT]],Lista_CUIT[#All],3,0)),"CUIT NO CARGADO")</f>
        <v>Peajes</v>
      </c>
      <c r="R36" s="215">
        <f>IFERROR(IF(compras_mes78288[[#This Row],[CUIT]]="","-",VLOOKUP(compras_mes78288[[#This Row],[CUIT]],Lista_CUIT[#All],4,0)),"CUIT NO CARGADO")</f>
        <v>0</v>
      </c>
      <c r="S36">
        <v>2616600</v>
      </c>
      <c r="T36" s="33">
        <f>compras_mes78288[[#This Row],[TOTAL]]-compras_mes78288[[#This Row],[Columna1]]</f>
        <v>-2455992.2544999998</v>
      </c>
    </row>
    <row r="37" spans="2:20" x14ac:dyDescent="0.25">
      <c r="B37" s="207" t="s">
        <v>2535</v>
      </c>
      <c r="C37" s="208">
        <v>1</v>
      </c>
      <c r="D37" s="209">
        <v>4</v>
      </c>
      <c r="E37" s="225">
        <v>383</v>
      </c>
      <c r="F37" s="210">
        <v>27317740196</v>
      </c>
      <c r="G37" s="45" t="str">
        <f>IFERROR(IF(compras_mes78288[[#This Row],[CUIT]]="","-",VLOOKUP(compras_mes78288[[#This Row],[CUIT]],Lista_CUIT[#All],2,0)),"CUIT NO CARGADO")</f>
        <v>HOKAMA ROMINA PAOLA</v>
      </c>
      <c r="H37" s="212">
        <v>19523.14</v>
      </c>
      <c r="I37" s="213">
        <f>IF(compras_mes78288[[#This Row],[NETO GRAVADO]]="","",compras_mes78288[[#This Row],[NETO GRAVADO]]*0.21)</f>
        <v>4099.8593999999994</v>
      </c>
      <c r="J37" s="213"/>
      <c r="K37" s="213"/>
      <c r="L37" s="213"/>
      <c r="M37" s="213"/>
      <c r="N37" s="213"/>
      <c r="O37" s="213"/>
      <c r="P37" s="48">
        <f>SUM(compras_mes78288[[#This Row],[NETO GRAVADO]:[Otros / No Grav.]])</f>
        <v>23622.999400000001</v>
      </c>
      <c r="Q37" s="49" t="str">
        <f>IFERROR(IF(compras_mes78288[[#This Row],[CUIT]]="","-",VLOOKUP(compras_mes78288[[#This Row],[CUIT]],Lista_CUIT[#All],3,0)),"CUIT NO CARGADO")</f>
        <v>Gastos Varios</v>
      </c>
      <c r="R37" s="49">
        <f>IFERROR(IF(compras_mes78288[[#This Row],[CUIT]]="","-",VLOOKUP(compras_mes78288[[#This Row],[CUIT]],Lista_CUIT[#All],4,0)),"CUIT NO CARGADO")</f>
        <v>0</v>
      </c>
      <c r="T37" s="33">
        <f>compras_mes78288[[#This Row],[TOTAL]]-compras_mes78288[[#This Row],[Columna1]]</f>
        <v>23622.999400000001</v>
      </c>
    </row>
    <row r="38" spans="2:20" x14ac:dyDescent="0.25">
      <c r="B38" s="207" t="s">
        <v>2535</v>
      </c>
      <c r="C38" s="208">
        <v>1</v>
      </c>
      <c r="D38" s="209">
        <v>700</v>
      </c>
      <c r="E38" s="225">
        <v>2565727</v>
      </c>
      <c r="F38" s="210">
        <v>30715804812</v>
      </c>
      <c r="G38" s="211" t="str">
        <f>IFERROR(IF(compras_mes78288[[#This Row],[CUIT]]="","-",VLOOKUP(compras_mes78288[[#This Row],[CUIT]],Lista_CUIT[#All],2,0)),"CUIT NO CARGADO")</f>
        <v>CORREDORES VIALES SOCIEDAD ANONIMA</v>
      </c>
      <c r="H38" s="212">
        <v>3327.93</v>
      </c>
      <c r="I38" s="213">
        <f>IF(compras_mes78288[[#This Row],[NETO GRAVADO]]="","",compras_mes78288[[#This Row],[NETO GRAVADO]]*0.21)</f>
        <v>698.86529999999993</v>
      </c>
      <c r="J38" s="213"/>
      <c r="K38" s="213"/>
      <c r="L38" s="213"/>
      <c r="M38" s="213"/>
      <c r="N38" s="213"/>
      <c r="O38" s="213"/>
      <c r="P38" s="214">
        <f>SUM(compras_mes78288[[#This Row],[NETO GRAVADO]:[Otros / No Grav.]])</f>
        <v>4026.7952999999998</v>
      </c>
      <c r="Q38" s="215" t="str">
        <f>IFERROR(IF(compras_mes78288[[#This Row],[CUIT]]="","-",VLOOKUP(compras_mes78288[[#This Row],[CUIT]],Lista_CUIT[#All],3,0)),"CUIT NO CARGADO")</f>
        <v>Peajes</v>
      </c>
      <c r="R38" s="215">
        <f>IFERROR(IF(compras_mes78288[[#This Row],[CUIT]]="","-",VLOOKUP(compras_mes78288[[#This Row],[CUIT]],Lista_CUIT[#All],4,0)),"CUIT NO CARGADO")</f>
        <v>0</v>
      </c>
      <c r="S38">
        <v>1700.6</v>
      </c>
      <c r="T38" s="33">
        <f>compras_mes78288[[#This Row],[TOTAL]]-compras_mes78288[[#This Row],[Columna1]]</f>
        <v>2326.1952999999999</v>
      </c>
    </row>
    <row r="39" spans="2:20" x14ac:dyDescent="0.25">
      <c r="B39" s="207" t="s">
        <v>2535</v>
      </c>
      <c r="C39" s="208">
        <v>1</v>
      </c>
      <c r="D39" s="209">
        <v>2</v>
      </c>
      <c r="E39" s="225">
        <v>3721</v>
      </c>
      <c r="F39" s="210">
        <v>33712458599</v>
      </c>
      <c r="G39" s="211" t="str">
        <f>IFERROR(IF(compras_mes78288[[#This Row],[CUIT]]="","-",VLOOKUP(compras_mes78288[[#This Row],[CUIT]],Lista_CUIT[#All],2,0)),"CUIT NO CARGADO")</f>
        <v>Metalurgica Ademar SA</v>
      </c>
      <c r="H39" s="212">
        <v>5842220</v>
      </c>
      <c r="I39" s="213">
        <f>IF(compras_mes78288[[#This Row],[NETO GRAVADO]]="","",compras_mes78288[[#This Row],[NETO GRAVADO]]*0.21)</f>
        <v>1226866.2</v>
      </c>
      <c r="J39" s="213"/>
      <c r="K39" s="213"/>
      <c r="L39" s="213"/>
      <c r="M39" s="213"/>
      <c r="N39" s="213"/>
      <c r="O39" s="213"/>
      <c r="P39" s="214">
        <f>SUM(compras_mes78288[[#This Row],[NETO GRAVADO]:[Otros / No Grav.]])</f>
        <v>7069086.2000000002</v>
      </c>
      <c r="Q39" s="215" t="str">
        <f>IFERROR(IF(compras_mes78288[[#This Row],[CUIT]]="","-",VLOOKUP(compras_mes78288[[#This Row],[CUIT]],Lista_CUIT[#All],3,0)),"CUIT NO CARGADO")</f>
        <v>Muebles y Utiles</v>
      </c>
      <c r="R39" s="215">
        <f>IFERROR(IF(compras_mes78288[[#This Row],[CUIT]]="","-",VLOOKUP(compras_mes78288[[#This Row],[CUIT]],Lista_CUIT[#All],4,0)),"CUIT NO CARGADO")</f>
        <v>0</v>
      </c>
      <c r="S39">
        <v>10002.99</v>
      </c>
      <c r="T39" s="33">
        <f>compras_mes78288[[#This Row],[TOTAL]]-compras_mes78288[[#This Row],[Columna1]]</f>
        <v>7059083.21</v>
      </c>
    </row>
    <row r="40" spans="2:20" x14ac:dyDescent="0.25">
      <c r="B40" s="207" t="s">
        <v>2536</v>
      </c>
      <c r="C40" s="208">
        <v>1</v>
      </c>
      <c r="D40" s="209">
        <v>3101</v>
      </c>
      <c r="E40" s="225">
        <v>334146</v>
      </c>
      <c r="F40" s="210">
        <v>30678814357</v>
      </c>
      <c r="G40" s="211" t="str">
        <f>IFERROR(IF(compras_mes78288[[#This Row],[CUIT]]="","-",VLOOKUP(compras_mes78288[[#This Row],[CUIT]],Lista_CUIT[#All],2,0)),"CUIT NO CARGADO")</f>
        <v>TELEFONICA MOVILES ARG</v>
      </c>
      <c r="H40" s="212">
        <v>18466</v>
      </c>
      <c r="I40" s="85" t="s">
        <v>2411</v>
      </c>
      <c r="J40" s="213">
        <f>compras_mes78288[[#This Row],[NETO GRAVADO]]*0.27</f>
        <v>4985.8200000000006</v>
      </c>
      <c r="K40" s="213"/>
      <c r="L40" s="213">
        <v>553.98</v>
      </c>
      <c r="M40" s="213"/>
      <c r="N40" s="213">
        <v>1107.96</v>
      </c>
      <c r="O40" s="213"/>
      <c r="P40" s="214">
        <f>SUM(compras_mes78288[[#This Row],[NETO GRAVADO]:[Otros / No Grav.]])</f>
        <v>25113.759999999998</v>
      </c>
      <c r="Q40" s="215" t="str">
        <f>IFERROR(IF(compras_mes78288[[#This Row],[CUIT]]="","-",VLOOKUP(compras_mes78288[[#This Row],[CUIT]],Lista_CUIT[#All],3,0)),"CUIT NO CARGADO")</f>
        <v>Servicios Gas, Luz, etc.</v>
      </c>
      <c r="R40" s="215">
        <f>IFERROR(IF(compras_mes78288[[#This Row],[CUIT]]="","-",VLOOKUP(compras_mes78288[[#This Row],[CUIT]],Lista_CUIT[#All],4,0)),"CUIT NO CARGADO")</f>
        <v>0</v>
      </c>
      <c r="S40">
        <v>92961.31</v>
      </c>
      <c r="T40" s="33">
        <f>compras_mes78288[[#This Row],[TOTAL]]-compras_mes78288[[#This Row],[Columna1]]</f>
        <v>-67847.55</v>
      </c>
    </row>
    <row r="41" spans="2:20" x14ac:dyDescent="0.25">
      <c r="B41" s="207" t="s">
        <v>2537</v>
      </c>
      <c r="C41" s="208">
        <v>1</v>
      </c>
      <c r="D41" s="209">
        <v>6364</v>
      </c>
      <c r="E41" s="225">
        <v>9201856</v>
      </c>
      <c r="F41" s="210">
        <v>30639453738</v>
      </c>
      <c r="G41" s="211" t="str">
        <f>IFERROR(IF(compras_mes78288[[#This Row],[CUIT]]="","-",VLOOKUP(compras_mes78288[[#This Row],[CUIT]],Lista_CUIT[#All],2,0)),"CUIT NO CARGADO")</f>
        <v>TELECOM ARG SA</v>
      </c>
      <c r="H41" s="212">
        <v>325237.75</v>
      </c>
      <c r="I41" s="213">
        <v>68130.880000000005</v>
      </c>
      <c r="J41" s="213">
        <v>217.35</v>
      </c>
      <c r="K41" s="213"/>
      <c r="L41" s="213"/>
      <c r="M41" s="213"/>
      <c r="N41" s="213">
        <v>18568.22</v>
      </c>
      <c r="O41" s="85">
        <v>9832.2099999999991</v>
      </c>
      <c r="P41" s="214">
        <f>SUM(compras_mes78288[[#This Row],[NETO GRAVADO]:[Otros / No Grav.]])</f>
        <v>421986.41</v>
      </c>
      <c r="Q41" s="215" t="str">
        <f>IFERROR(IF(compras_mes78288[[#This Row],[CUIT]]="","-",VLOOKUP(compras_mes78288[[#This Row],[CUIT]],Lista_CUIT[#All],3,0)),"CUIT NO CARGADO")</f>
        <v>Servicios Gas, Luz, etc.</v>
      </c>
      <c r="R41" s="215">
        <f>IFERROR(IF(compras_mes78288[[#This Row],[CUIT]]="","-",VLOOKUP(compras_mes78288[[#This Row],[CUIT]],Lista_CUIT[#All],4,0)),"CUIT NO CARGADO")</f>
        <v>0</v>
      </c>
      <c r="S41">
        <v>1800</v>
      </c>
      <c r="T41" s="33">
        <f>compras_mes78288[[#This Row],[TOTAL]]-compras_mes78288[[#This Row],[Columna1]]</f>
        <v>420186.41</v>
      </c>
    </row>
    <row r="42" spans="2:20" x14ac:dyDescent="0.25">
      <c r="B42" s="207" t="s">
        <v>2537</v>
      </c>
      <c r="C42" s="208">
        <v>1</v>
      </c>
      <c r="D42" s="209">
        <v>4</v>
      </c>
      <c r="E42" s="225">
        <v>74</v>
      </c>
      <c r="F42" s="210">
        <v>27406423900</v>
      </c>
      <c r="G42" s="211" t="str">
        <f>IFERROR(IF(compras_mes78288[[#This Row],[CUIT]]="","-",VLOOKUP(compras_mes78288[[#This Row],[CUIT]],Lista_CUIT[#All],2,0)),"CUIT NO CARGADO")</f>
        <v>FRANCO CHURRUARIN NICOLE</v>
      </c>
      <c r="H42" s="212">
        <v>42247.93</v>
      </c>
      <c r="I42" s="213">
        <f>IF(compras_mes78288[[#This Row],[NETO GRAVADO]]="","",compras_mes78288[[#This Row],[NETO GRAVADO]]*0.21)</f>
        <v>8872.0653000000002</v>
      </c>
      <c r="J42" s="213"/>
      <c r="K42" s="213"/>
      <c r="L42" s="213"/>
      <c r="M42" s="213"/>
      <c r="N42" s="213"/>
      <c r="O42" s="213"/>
      <c r="P42" s="214">
        <f>SUM(compras_mes78288[[#This Row],[NETO GRAVADO]:[Otros / No Grav.]])</f>
        <v>51119.995300000002</v>
      </c>
      <c r="Q42" s="215" t="str">
        <f>IFERROR(IF(compras_mes78288[[#This Row],[CUIT]]="","-",VLOOKUP(compras_mes78288[[#This Row],[CUIT]],Lista_CUIT[#All],3,0)),"CUIT NO CARGADO")</f>
        <v>Pendiente clasificacion</v>
      </c>
      <c r="R42" s="215">
        <f>IFERROR(IF(compras_mes78288[[#This Row],[CUIT]]="","-",VLOOKUP(compras_mes78288[[#This Row],[CUIT]],Lista_CUIT[#All],4,0)),"CUIT NO CARGADO")</f>
        <v>0</v>
      </c>
      <c r="S42">
        <v>61324.54</v>
      </c>
      <c r="T42" s="33">
        <f>compras_mes78288[[#This Row],[TOTAL]]-compras_mes78288[[#This Row],[Columna1]]</f>
        <v>-10204.544699999999</v>
      </c>
    </row>
    <row r="43" spans="2:20" x14ac:dyDescent="0.25">
      <c r="B43" s="207" t="s">
        <v>2537</v>
      </c>
      <c r="C43" s="208">
        <v>1</v>
      </c>
      <c r="D43" s="209">
        <v>2</v>
      </c>
      <c r="E43" s="225">
        <v>2424</v>
      </c>
      <c r="F43" s="210">
        <v>20184094526</v>
      </c>
      <c r="G43" s="211" t="str">
        <f>IFERROR(IF(compras_mes78288[[#This Row],[CUIT]]="","-",VLOOKUP(compras_mes78288[[#This Row],[CUIT]],Lista_CUIT[#All],2,0)),"CUIT NO CARGADO")</f>
        <v>Di Blasio Carlos</v>
      </c>
      <c r="H43" s="212">
        <v>44400</v>
      </c>
      <c r="I43" s="213">
        <f>IF(compras_mes78288[[#This Row],[NETO GRAVADO]]="","",compras_mes78288[[#This Row],[NETO GRAVADO]]*0.21)</f>
        <v>9324</v>
      </c>
      <c r="J43" s="213"/>
      <c r="K43" s="213"/>
      <c r="L43" s="213"/>
      <c r="M43" s="213"/>
      <c r="N43" s="213"/>
      <c r="O43" s="213"/>
      <c r="P43" s="214">
        <f>SUM(compras_mes78288[[#This Row],[NETO GRAVADO]:[Otros / No Grav.]])</f>
        <v>53724</v>
      </c>
      <c r="Q43" s="215" t="str">
        <f>IFERROR(IF(compras_mes78288[[#This Row],[CUIT]]="","-",VLOOKUP(compras_mes78288[[#This Row],[CUIT]],Lista_CUIT[#All],3,0)),"CUIT NO CARGADO")</f>
        <v>Gastos Varios</v>
      </c>
      <c r="R43" s="215">
        <f>IFERROR(IF(compras_mes78288[[#This Row],[CUIT]]="","-",VLOOKUP(compras_mes78288[[#This Row],[CUIT]],Lista_CUIT[#All],4,0)),"CUIT NO CARGADO")</f>
        <v>0</v>
      </c>
      <c r="S43">
        <v>61324.54</v>
      </c>
      <c r="T43" s="33">
        <f>compras_mes78288[[#This Row],[TOTAL]]-compras_mes78288[[#This Row],[Columna1]]</f>
        <v>-7600.5400000000009</v>
      </c>
    </row>
    <row r="44" spans="2:20" x14ac:dyDescent="0.25">
      <c r="B44" s="207" t="s">
        <v>2537</v>
      </c>
      <c r="C44" s="208">
        <v>1</v>
      </c>
      <c r="D44" s="209">
        <v>2</v>
      </c>
      <c r="E44" s="225">
        <v>4101</v>
      </c>
      <c r="F44" s="210">
        <v>30629863571</v>
      </c>
      <c r="G44" s="45" t="str">
        <f>IFERROR(IF(compras_mes78288[[#This Row],[CUIT]]="","-",VLOOKUP(compras_mes78288[[#This Row],[CUIT]],Lista_CUIT[#All],2,0)),"CUIT NO CARGADO")</f>
        <v>TECNIMAR S R L</v>
      </c>
      <c r="H44" s="212">
        <v>2238642</v>
      </c>
      <c r="I44" s="213">
        <f>IF(compras_mes78288[[#This Row],[NETO GRAVADO]]="","",compras_mes78288[[#This Row],[NETO GRAVADO]]*0.21)</f>
        <v>470114.82</v>
      </c>
      <c r="J44" s="213"/>
      <c r="K44" s="213"/>
      <c r="L44" s="213"/>
      <c r="M44" s="213"/>
      <c r="N44" s="213"/>
      <c r="O44" s="213"/>
      <c r="P44" s="48">
        <f>SUM(compras_mes78288[[#This Row],[NETO GRAVADO]:[Otros / No Grav.]])</f>
        <v>2708756.82</v>
      </c>
      <c r="Q44" s="49" t="str">
        <f>IFERROR(IF(compras_mes78288[[#This Row],[CUIT]]="","-",VLOOKUP(compras_mes78288[[#This Row],[CUIT]],Lista_CUIT[#All],3,0)),"CUIT NO CARGADO")</f>
        <v>Productos Venta</v>
      </c>
      <c r="R44" s="49">
        <f>IFERROR(IF(compras_mes78288[[#This Row],[CUIT]]="","-",VLOOKUP(compras_mes78288[[#This Row],[CUIT]],Lista_CUIT[#All],4,0)),"CUIT NO CARGADO")</f>
        <v>0</v>
      </c>
      <c r="S44">
        <v>89940</v>
      </c>
      <c r="T44" s="33">
        <f>compras_mes78288[[#This Row],[TOTAL]]-compras_mes78288[[#This Row],[Columna1]]</f>
        <v>2618816.8199999998</v>
      </c>
    </row>
    <row r="45" spans="2:20" x14ac:dyDescent="0.25">
      <c r="B45" s="207" t="s">
        <v>2521</v>
      </c>
      <c r="C45" s="208">
        <v>1</v>
      </c>
      <c r="D45" s="209">
        <v>4</v>
      </c>
      <c r="E45" s="225">
        <v>50289</v>
      </c>
      <c r="F45" s="210">
        <v>30709863076</v>
      </c>
      <c r="G45" s="45" t="str">
        <f>IFERROR(IF(compras_mes78288[[#This Row],[CUIT]]="","-",VLOOKUP(compras_mes78288[[#This Row],[CUIT]],Lista_CUIT[#All],2,0)),"CUIT NO CARGADO")</f>
        <v>INDUSTRIAS PLASTICOS SALTA S.R.L.</v>
      </c>
      <c r="H45" s="212">
        <v>1810052</v>
      </c>
      <c r="I45" s="213">
        <f>IF(compras_mes78288[[#This Row],[NETO GRAVADO]]="","",compras_mes78288[[#This Row],[NETO GRAVADO]]*0.21)</f>
        <v>380110.92</v>
      </c>
      <c r="J45" s="213"/>
      <c r="K45" s="213"/>
      <c r="L45" s="213"/>
      <c r="M45" s="213"/>
      <c r="N45" s="213"/>
      <c r="O45" s="213"/>
      <c r="P45" s="48">
        <f>SUM(compras_mes78288[[#This Row],[NETO GRAVADO]:[Otros / No Grav.]])</f>
        <v>2190162.92</v>
      </c>
      <c r="Q45" s="49" t="str">
        <f>IFERROR(IF(compras_mes78288[[#This Row],[CUIT]]="","-",VLOOKUP(compras_mes78288[[#This Row],[CUIT]],Lista_CUIT[#All],3,0)),"CUIT NO CARGADO")</f>
        <v>Materia Prima</v>
      </c>
      <c r="R45" s="49">
        <f>IFERROR(IF(compras_mes78288[[#This Row],[CUIT]]="","-",VLOOKUP(compras_mes78288[[#This Row],[CUIT]],Lista_CUIT[#All],4,0)),"CUIT NO CARGADO")</f>
        <v>0</v>
      </c>
      <c r="T45" s="33">
        <f>compras_mes78288[[#This Row],[TOTAL]]-compras_mes78288[[#This Row],[Columna1]]</f>
        <v>2190162.92</v>
      </c>
    </row>
    <row r="46" spans="2:20" x14ac:dyDescent="0.25">
      <c r="B46" s="207" t="s">
        <v>2521</v>
      </c>
      <c r="C46" s="208">
        <v>1</v>
      </c>
      <c r="D46" s="209">
        <v>5</v>
      </c>
      <c r="E46" s="225">
        <v>10218</v>
      </c>
      <c r="F46" s="210">
        <v>33715240209</v>
      </c>
      <c r="G46" s="211" t="str">
        <f>IFERROR(IF(compras_mes78288[[#This Row],[CUIT]]="","-",VLOOKUP(compras_mes78288[[#This Row],[CUIT]],Lista_CUIT[#All],2,0)),"CUIT NO CARGADO")</f>
        <v>LIBRERIA TECNICA ARGENTINA S.A.</v>
      </c>
      <c r="H46" s="212">
        <v>53890.91</v>
      </c>
      <c r="I46" s="213">
        <f>IF(compras_mes78288[[#This Row],[NETO GRAVADO]]="","",compras_mes78288[[#This Row],[NETO GRAVADO]]*0.21)</f>
        <v>11317.0911</v>
      </c>
      <c r="J46" s="213"/>
      <c r="K46" s="213"/>
      <c r="L46" s="213"/>
      <c r="M46" s="213"/>
      <c r="N46" s="213"/>
      <c r="O46" s="213"/>
      <c r="P46" s="214">
        <f>SUM(compras_mes78288[[#This Row],[NETO GRAVADO]:[Otros / No Grav.]])</f>
        <v>65208.001100000001</v>
      </c>
      <c r="Q46" s="215" t="str">
        <f>IFERROR(IF(compras_mes78288[[#This Row],[CUIT]]="","-",VLOOKUP(compras_mes78288[[#This Row],[CUIT]],Lista_CUIT[#All],3,0)),"CUIT NO CARGADO")</f>
        <v>Librería</v>
      </c>
      <c r="R46" s="215">
        <f>IFERROR(IF(compras_mes78288[[#This Row],[CUIT]]="","-",VLOOKUP(compras_mes78288[[#This Row],[CUIT]],Lista_CUIT[#All],4,0)),"CUIT NO CARGADO")</f>
        <v>0</v>
      </c>
      <c r="S46">
        <v>72131</v>
      </c>
      <c r="T46" s="33">
        <f>compras_mes78288[[#This Row],[TOTAL]]-compras_mes78288[[#This Row],[Columna1]]</f>
        <v>-6922.9988999999987</v>
      </c>
    </row>
    <row r="47" spans="2:20" x14ac:dyDescent="0.25">
      <c r="B47" s="207" t="s">
        <v>2521</v>
      </c>
      <c r="C47" s="208">
        <v>1</v>
      </c>
      <c r="D47" s="209">
        <v>2188</v>
      </c>
      <c r="E47" s="225">
        <v>152843</v>
      </c>
      <c r="F47" s="210">
        <v>30548083156</v>
      </c>
      <c r="G47" s="211" t="str">
        <f>IFERROR(IF(compras_mes78288[[#This Row],[CUIT]]="","-",VLOOKUP(compras_mes78288[[#This Row],[CUIT]],Lista_CUIT[#All],2,0)),"CUIT NO CARGADO")</f>
        <v>COTO CENTRO INTEGRAL DE COMERCIALIZACION SOCIEDAD ANONIMA</v>
      </c>
      <c r="H47" s="212">
        <v>105972.55</v>
      </c>
      <c r="I47" s="213">
        <v>18482.240000000002</v>
      </c>
      <c r="J47" s="213"/>
      <c r="K47" s="213">
        <v>1886</v>
      </c>
      <c r="L47" s="213"/>
      <c r="M47" s="213"/>
      <c r="N47" s="213"/>
      <c r="O47" s="213">
        <v>8410.76</v>
      </c>
      <c r="P47" s="214">
        <f>SUM(compras_mes78288[[#This Row],[NETO GRAVADO]:[Otros / No Grav.]])</f>
        <v>134751.55000000002</v>
      </c>
      <c r="Q47" s="215" t="str">
        <f>IFERROR(IF(compras_mes78288[[#This Row],[CUIT]]="","-",VLOOKUP(compras_mes78288[[#This Row],[CUIT]],Lista_CUIT[#All],3,0)),"CUIT NO CARGADO")</f>
        <v>Gastos Varios</v>
      </c>
      <c r="R47" s="215">
        <f>IFERROR(IF(compras_mes78288[[#This Row],[CUIT]]="","-",VLOOKUP(compras_mes78288[[#This Row],[CUIT]],Lista_CUIT[#All],4,0)),"CUIT NO CARGADO")</f>
        <v>0</v>
      </c>
      <c r="S47">
        <v>303963.40000000002</v>
      </c>
      <c r="T47" s="33">
        <f>compras_mes78288[[#This Row],[TOTAL]]-compras_mes78288[[#This Row],[Columna1]]</f>
        <v>-169211.85</v>
      </c>
    </row>
    <row r="48" spans="2:20" x14ac:dyDescent="0.25">
      <c r="B48" s="207" t="s">
        <v>2521</v>
      </c>
      <c r="C48" s="208">
        <v>1</v>
      </c>
      <c r="D48" s="209">
        <v>7150</v>
      </c>
      <c r="E48" s="225">
        <v>42977</v>
      </c>
      <c r="F48" s="210">
        <v>30678774495</v>
      </c>
      <c r="G48" s="45" t="str">
        <f>IFERROR(IF(compras_mes78288[[#This Row],[CUIT]]="","-",VLOOKUP(compras_mes78288[[#This Row],[CUIT]],Lista_CUIT[#All],2,0)),"CUIT NO CARGADO")</f>
        <v>OPER. DE EST. DE SERV. SA</v>
      </c>
      <c r="H48" s="212">
        <v>13103.51</v>
      </c>
      <c r="I48" s="213">
        <f>IF(compras_mes78288[[#This Row],[NETO GRAVADO]]="","",compras_mes78288[[#This Row],[NETO GRAVADO]]*0.21)</f>
        <v>2751.7370999999998</v>
      </c>
      <c r="J48" s="213"/>
      <c r="K48" s="213"/>
      <c r="L48" s="213"/>
      <c r="M48" s="213"/>
      <c r="N48" s="213"/>
      <c r="O48" s="213">
        <v>4144.76</v>
      </c>
      <c r="P48" s="48">
        <f>SUM(compras_mes78288[[#This Row],[NETO GRAVADO]:[Otros / No Grav.]])</f>
        <v>20000.007100000003</v>
      </c>
      <c r="Q48" s="49" t="str">
        <f>IFERROR(IF(compras_mes78288[[#This Row],[CUIT]]="","-",VLOOKUP(compras_mes78288[[#This Row],[CUIT]],Lista_CUIT[#All],3,0)),"CUIT NO CARGADO")</f>
        <v>Combustible</v>
      </c>
      <c r="R48" s="49">
        <f>IFERROR(IF(compras_mes78288[[#This Row],[CUIT]]="","-",VLOOKUP(compras_mes78288[[#This Row],[CUIT]],Lista_CUIT[#All],4,0)),"CUIT NO CARGADO")</f>
        <v>0</v>
      </c>
      <c r="S48">
        <v>3737992.5</v>
      </c>
      <c r="T48" s="33">
        <f>compras_mes78288[[#This Row],[TOTAL]]-compras_mes78288[[#This Row],[Columna1]]</f>
        <v>-3717992.4929</v>
      </c>
    </row>
    <row r="49" spans="2:20" x14ac:dyDescent="0.25">
      <c r="B49" s="207" t="s">
        <v>2521</v>
      </c>
      <c r="C49" s="208">
        <v>1</v>
      </c>
      <c r="D49" s="209">
        <v>4</v>
      </c>
      <c r="E49" s="225">
        <v>410</v>
      </c>
      <c r="F49" s="210">
        <v>27317740196</v>
      </c>
      <c r="G49" s="211" t="str">
        <f>IFERROR(IF(compras_mes78288[[#This Row],[CUIT]]="","-",VLOOKUP(compras_mes78288[[#This Row],[CUIT]],Lista_CUIT[#All],2,0)),"CUIT NO CARGADO")</f>
        <v>HOKAMA ROMINA PAOLA</v>
      </c>
      <c r="H49" s="212">
        <v>20785.11</v>
      </c>
      <c r="I49" s="213">
        <f>IF(compras_mes78288[[#This Row],[NETO GRAVADO]]="","",compras_mes78288[[#This Row],[NETO GRAVADO]]*0.21)</f>
        <v>4364.8730999999998</v>
      </c>
      <c r="J49" s="213"/>
      <c r="K49" s="213"/>
      <c r="L49" s="213"/>
      <c r="M49" s="213"/>
      <c r="N49" s="213"/>
      <c r="O49" s="213"/>
      <c r="P49" s="214">
        <f>SUM(compras_mes78288[[#This Row],[NETO GRAVADO]:[Otros / No Grav.]])</f>
        <v>25149.983100000001</v>
      </c>
      <c r="Q49" s="215" t="str">
        <f>IFERROR(IF(compras_mes78288[[#This Row],[CUIT]]="","-",VLOOKUP(compras_mes78288[[#This Row],[CUIT]],Lista_CUIT[#All],3,0)),"CUIT NO CARGADO")</f>
        <v>Gastos Varios</v>
      </c>
      <c r="R49" s="215">
        <f>IFERROR(IF(compras_mes78288[[#This Row],[CUIT]]="","-",VLOOKUP(compras_mes78288[[#This Row],[CUIT]],Lista_CUIT[#All],4,0)),"CUIT NO CARGADO")</f>
        <v>0</v>
      </c>
      <c r="S49">
        <v>33416.99</v>
      </c>
      <c r="T49" s="33">
        <f>compras_mes78288[[#This Row],[TOTAL]]-compras_mes78288[[#This Row],[Columna1]]</f>
        <v>-8267.0068999999967</v>
      </c>
    </row>
    <row r="50" spans="2:20" x14ac:dyDescent="0.25">
      <c r="B50" s="207" t="s">
        <v>2521</v>
      </c>
      <c r="C50" s="208">
        <v>1</v>
      </c>
      <c r="D50" s="209">
        <v>3034</v>
      </c>
      <c r="E50" s="225">
        <v>8847338</v>
      </c>
      <c r="F50" s="210">
        <v>30708574836</v>
      </c>
      <c r="G50" s="211" t="str">
        <f>IFERROR(IF(compras_mes78288[[#This Row],[CUIT]]="","-",VLOOKUP(compras_mes78288[[#This Row],[CUIT]],Lista_CUIT[#All],2,0)),"CUIT NO CARGADO")</f>
        <v>CORREO OFICIAL DE LA REPUBLICA ARGENTINA SOCIEDAD ANONIMA</v>
      </c>
      <c r="H50" s="212">
        <v>20201.650000000001</v>
      </c>
      <c r="I50" s="213">
        <f>IF(compras_mes78288[[#This Row],[NETO GRAVADO]]="","",compras_mes78288[[#This Row],[NETO GRAVADO]]*0.21)</f>
        <v>4242.3465000000006</v>
      </c>
      <c r="J50" s="213"/>
      <c r="K50" s="213"/>
      <c r="L50" s="213"/>
      <c r="M50" s="213"/>
      <c r="N50" s="213"/>
      <c r="O50" s="213"/>
      <c r="P50" s="214">
        <f>SUM(compras_mes78288[[#This Row],[NETO GRAVADO]:[Otros / No Grav.]])</f>
        <v>24443.996500000001</v>
      </c>
      <c r="Q50" s="215" t="str">
        <f>IFERROR(IF(compras_mes78288[[#This Row],[CUIT]]="","-",VLOOKUP(compras_mes78288[[#This Row],[CUIT]],Lista_CUIT[#All],3,0)),"CUIT NO CARGADO")</f>
        <v>MESAJERIA</v>
      </c>
      <c r="R50" s="215">
        <f>IFERROR(IF(compras_mes78288[[#This Row],[CUIT]]="","-",VLOOKUP(compras_mes78288[[#This Row],[CUIT]],Lista_CUIT[#All],4,0)),"CUIT NO CARGADO")</f>
        <v>0</v>
      </c>
      <c r="S50">
        <v>53716.2</v>
      </c>
      <c r="T50" s="33">
        <f>compras_mes78288[[#This Row],[TOTAL]]-compras_mes78288[[#This Row],[Columna1]]</f>
        <v>-29272.203499999996</v>
      </c>
    </row>
    <row r="51" spans="2:20" x14ac:dyDescent="0.25">
      <c r="B51" s="207" t="s">
        <v>2538</v>
      </c>
      <c r="C51" s="208">
        <v>1</v>
      </c>
      <c r="D51" s="209">
        <v>2026</v>
      </c>
      <c r="E51" s="225">
        <v>187350</v>
      </c>
      <c r="F51" s="210">
        <v>30516186670</v>
      </c>
      <c r="G51" s="211" t="str">
        <f>IFERROR(IF(compras_mes78288[[#This Row],[CUIT]]="","-",VLOOKUP(compras_mes78288[[#This Row],[CUIT]],Lista_CUIT[#All],2,0)),"CUIT NO CARGADO")</f>
        <v>DEHEZA S.A.I.C.F. e I.</v>
      </c>
      <c r="H51" s="212">
        <v>10625.05</v>
      </c>
      <c r="I51" s="213">
        <f>IF(compras_mes78288[[#This Row],[NETO GRAVADO]]="","",compras_mes78288[[#This Row],[NETO GRAVADO]]*0.21)</f>
        <v>2231.2604999999999</v>
      </c>
      <c r="J51" s="213"/>
      <c r="K51" s="213"/>
      <c r="L51" s="213">
        <v>318.75</v>
      </c>
      <c r="M51" s="213"/>
      <c r="N51" s="213"/>
      <c r="O51" s="213">
        <v>2909.72</v>
      </c>
      <c r="P51" s="214">
        <f>SUM(compras_mes78288[[#This Row],[NETO GRAVADO]:[Otros / No Grav.]])</f>
        <v>16084.780499999999</v>
      </c>
      <c r="Q51" s="215" t="str">
        <f>IFERROR(IF(compras_mes78288[[#This Row],[CUIT]]="","-",VLOOKUP(compras_mes78288[[#This Row],[CUIT]],Lista_CUIT[#All],3,0)),"CUIT NO CARGADO")</f>
        <v>Combustible</v>
      </c>
      <c r="R51" s="215" t="str">
        <f>IFERROR(IF(compras_mes78288[[#This Row],[CUIT]]="","-",VLOOKUP(compras_mes78288[[#This Row],[CUIT]],Lista_CUIT[#All],4,0)),"CUIT NO CARGADO")</f>
        <v>CABA</v>
      </c>
      <c r="S51">
        <v>45469.83</v>
      </c>
      <c r="T51" s="33">
        <f>compras_mes78288[[#This Row],[TOTAL]]-compras_mes78288[[#This Row],[Columna1]]</f>
        <v>-29385.049500000001</v>
      </c>
    </row>
    <row r="52" spans="2:20" x14ac:dyDescent="0.25">
      <c r="B52" s="207" t="s">
        <v>2538</v>
      </c>
      <c r="C52" s="208">
        <v>1</v>
      </c>
      <c r="D52" s="209">
        <v>11849</v>
      </c>
      <c r="E52" s="225">
        <v>563</v>
      </c>
      <c r="F52" s="210">
        <v>30590360763</v>
      </c>
      <c r="G52" s="211" t="str">
        <f>IFERROR(IF(compras_mes78288[[#This Row],[CUIT]]="","-",VLOOKUP(compras_mes78288[[#This Row],[CUIT]],Lista_CUIT[#All],2,0)),"CUIT NO CARGADO")</f>
        <v>CENCOSUD S.A</v>
      </c>
      <c r="H52" s="212">
        <v>8231.4</v>
      </c>
      <c r="I52" s="213">
        <f>IF(compras_mes78288[[#This Row],[NETO GRAVADO]]="","",compras_mes78288[[#This Row],[NETO GRAVADO]]*0.21)</f>
        <v>1728.5939999999998</v>
      </c>
      <c r="J52" s="213"/>
      <c r="K52" s="213"/>
      <c r="L52" s="213">
        <v>246.94</v>
      </c>
      <c r="M52" s="213"/>
      <c r="N52" s="213">
        <v>493.88</v>
      </c>
      <c r="O52" s="213"/>
      <c r="P52" s="214">
        <f>SUM(compras_mes78288[[#This Row],[NETO GRAVADO]:[Otros / No Grav.]])</f>
        <v>10700.813999999998</v>
      </c>
      <c r="Q52" s="215" t="str">
        <f>IFERROR(IF(compras_mes78288[[#This Row],[CUIT]]="","-",VLOOKUP(compras_mes78288[[#This Row],[CUIT]],Lista_CUIT[#All],3,0)),"CUIT NO CARGADO")</f>
        <v>Gastos Varios</v>
      </c>
      <c r="R52" s="215">
        <f>IFERROR(IF(compras_mes78288[[#This Row],[CUIT]]="","-",VLOOKUP(compras_mes78288[[#This Row],[CUIT]],Lista_CUIT[#All],4,0)),"CUIT NO CARGADO")</f>
        <v>0</v>
      </c>
      <c r="S52">
        <v>132998.17000000001</v>
      </c>
      <c r="T52" s="33">
        <f>compras_mes78288[[#This Row],[TOTAL]]-compras_mes78288[[#This Row],[Columna1]]</f>
        <v>-122297.35600000001</v>
      </c>
    </row>
    <row r="53" spans="2:20" x14ac:dyDescent="0.25">
      <c r="B53" s="207" t="s">
        <v>2522</v>
      </c>
      <c r="C53" s="208">
        <v>1</v>
      </c>
      <c r="D53" s="209">
        <v>104</v>
      </c>
      <c r="E53" s="225">
        <v>9720572</v>
      </c>
      <c r="F53" s="210">
        <v>30715804812</v>
      </c>
      <c r="G53" s="211" t="str">
        <f>IFERROR(IF(compras_mes78288[[#This Row],[CUIT]]="","-",VLOOKUP(compras_mes78288[[#This Row],[CUIT]],Lista_CUIT[#All],2,0)),"CUIT NO CARGADO")</f>
        <v>CORREDORES VIALES SOCIEDAD ANONIMA</v>
      </c>
      <c r="H53" s="212">
        <v>1039.98</v>
      </c>
      <c r="I53" s="213">
        <f>IF(compras_mes78288[[#This Row],[NETO GRAVADO]]="","",compras_mes78288[[#This Row],[NETO GRAVADO]]*0.21)</f>
        <v>218.39580000000001</v>
      </c>
      <c r="J53" s="213"/>
      <c r="K53" s="213"/>
      <c r="L53" s="213"/>
      <c r="M53" s="213">
        <v>62.4</v>
      </c>
      <c r="N53" s="213"/>
      <c r="O53" s="213"/>
      <c r="P53" s="214">
        <f>SUM(compras_mes78288[[#This Row],[NETO GRAVADO]:[Otros / No Grav.]])</f>
        <v>1320.7758000000001</v>
      </c>
      <c r="Q53" s="215" t="str">
        <f>IFERROR(IF(compras_mes78288[[#This Row],[CUIT]]="","-",VLOOKUP(compras_mes78288[[#This Row],[CUIT]],Lista_CUIT[#All],3,0)),"CUIT NO CARGADO")</f>
        <v>Peajes</v>
      </c>
      <c r="R53" s="215">
        <f>IFERROR(IF(compras_mes78288[[#This Row],[CUIT]]="","-",VLOOKUP(compras_mes78288[[#This Row],[CUIT]],Lista_CUIT[#All],4,0)),"CUIT NO CARGADO")</f>
        <v>0</v>
      </c>
      <c r="S53">
        <v>5800.03</v>
      </c>
      <c r="T53" s="33">
        <f>compras_mes78288[[#This Row],[TOTAL]]-compras_mes78288[[#This Row],[Columna1]]</f>
        <v>-4479.2541999999994</v>
      </c>
    </row>
    <row r="54" spans="2:20" x14ac:dyDescent="0.25">
      <c r="B54" s="207" t="s">
        <v>2522</v>
      </c>
      <c r="C54" s="208">
        <v>1</v>
      </c>
      <c r="D54" s="209">
        <v>2</v>
      </c>
      <c r="E54" s="225">
        <v>4103</v>
      </c>
      <c r="F54" s="210">
        <v>30629863571</v>
      </c>
      <c r="G54" s="211" t="str">
        <f>IFERROR(IF(compras_mes78288[[#This Row],[CUIT]]="","-",VLOOKUP(compras_mes78288[[#This Row],[CUIT]],Lista_CUIT[#All],2,0)),"CUIT NO CARGADO")</f>
        <v>TECNIMAR S R L</v>
      </c>
      <c r="H54" s="212">
        <v>2696055</v>
      </c>
      <c r="I54" s="213">
        <f>IF(compras_mes78288[[#This Row],[NETO GRAVADO]]="","",compras_mes78288[[#This Row],[NETO GRAVADO]]*0.21)</f>
        <v>566171.54999999993</v>
      </c>
      <c r="J54" s="213"/>
      <c r="K54" s="213"/>
      <c r="L54" s="213"/>
      <c r="M54" s="213"/>
      <c r="N54" s="213"/>
      <c r="O54" s="213"/>
      <c r="P54" s="214">
        <f>SUM(compras_mes78288[[#This Row],[NETO GRAVADO]:[Otros / No Grav.]])</f>
        <v>3262226.55</v>
      </c>
      <c r="Q54" s="215" t="str">
        <f>IFERROR(IF(compras_mes78288[[#This Row],[CUIT]]="","-",VLOOKUP(compras_mes78288[[#This Row],[CUIT]],Lista_CUIT[#All],3,0)),"CUIT NO CARGADO")</f>
        <v>Productos Venta</v>
      </c>
      <c r="R54" s="215">
        <f>IFERROR(IF(compras_mes78288[[#This Row],[CUIT]]="","-",VLOOKUP(compras_mes78288[[#This Row],[CUIT]],Lista_CUIT[#All],4,0)),"CUIT NO CARGADO")</f>
        <v>0</v>
      </c>
      <c r="S54">
        <v>82780.37</v>
      </c>
      <c r="T54" s="33">
        <f>compras_mes78288[[#This Row],[TOTAL]]-compras_mes78288[[#This Row],[Columna1]]</f>
        <v>3179446.1799999997</v>
      </c>
    </row>
    <row r="55" spans="2:20" x14ac:dyDescent="0.25">
      <c r="B55" s="207" t="s">
        <v>2523</v>
      </c>
      <c r="C55" s="208">
        <v>1</v>
      </c>
      <c r="D55" s="209">
        <v>2199</v>
      </c>
      <c r="E55" s="225">
        <v>37954</v>
      </c>
      <c r="F55" s="210">
        <v>30548083156</v>
      </c>
      <c r="G55" s="211" t="str">
        <f>IFERROR(IF(compras_mes78288[[#This Row],[CUIT]]="","-",VLOOKUP(compras_mes78288[[#This Row],[CUIT]],Lista_CUIT[#All],2,0)),"CUIT NO CARGADO")</f>
        <v>COTO CENTRO INTEGRAL DE COMERCIALIZACION SOCIEDAD ANONIMA</v>
      </c>
      <c r="H55" s="212">
        <v>94308.06</v>
      </c>
      <c r="I55" s="213">
        <v>18556.79</v>
      </c>
      <c r="J55" s="213"/>
      <c r="K55" s="213">
        <v>623.95000000000005</v>
      </c>
      <c r="L55" s="213"/>
      <c r="M55" s="213"/>
      <c r="N55" s="213"/>
      <c r="O55" s="213">
        <v>7631.26</v>
      </c>
      <c r="P55" s="214">
        <f>SUM(compras_mes78288[[#This Row],[NETO GRAVADO]:[Otros / No Grav.]])</f>
        <v>121120.06</v>
      </c>
      <c r="Q55" s="215" t="str">
        <f>IFERROR(IF(compras_mes78288[[#This Row],[CUIT]]="","-",VLOOKUP(compras_mes78288[[#This Row],[CUIT]],Lista_CUIT[#All],3,0)),"CUIT NO CARGADO")</f>
        <v>Gastos Varios</v>
      </c>
      <c r="R55" s="215">
        <f>IFERROR(IF(compras_mes78288[[#This Row],[CUIT]]="","-",VLOOKUP(compras_mes78288[[#This Row],[CUIT]],Lista_CUIT[#All],4,0)),"CUIT NO CARGADO")</f>
        <v>0</v>
      </c>
      <c r="S55">
        <v>-61049</v>
      </c>
      <c r="T55" s="33">
        <f>compras_mes78288[[#This Row],[TOTAL]]-compras_mes78288[[#This Row],[Columna1]]</f>
        <v>182169.06</v>
      </c>
    </row>
    <row r="56" spans="2:20" x14ac:dyDescent="0.25">
      <c r="B56" s="207" t="s">
        <v>2523</v>
      </c>
      <c r="C56" s="208">
        <v>1</v>
      </c>
      <c r="D56" s="209">
        <v>2084</v>
      </c>
      <c r="E56" s="225">
        <v>30423</v>
      </c>
      <c r="F56" s="210">
        <v>30548083156</v>
      </c>
      <c r="G56" s="211" t="str">
        <f>IFERROR(IF(compras_mes78288[[#This Row],[CUIT]]="","-",VLOOKUP(compras_mes78288[[#This Row],[CUIT]],Lista_CUIT[#All],2,0)),"CUIT NO CARGADO")</f>
        <v>COTO CENTRO INTEGRAL DE COMERCIALIZACION SOCIEDAD ANONIMA</v>
      </c>
      <c r="H56" s="212">
        <v>50586.41</v>
      </c>
      <c r="I56" s="213">
        <f>IF(compras_mes78288[[#This Row],[NETO GRAVADO]]="","",compras_mes78288[[#This Row],[NETO GRAVADO]]*0.21)</f>
        <v>10623.1461</v>
      </c>
      <c r="J56" s="213"/>
      <c r="K56" s="213"/>
      <c r="L56" s="213"/>
      <c r="M56" s="213"/>
      <c r="N56" s="213"/>
      <c r="O56" s="213">
        <v>4552.7700000000004</v>
      </c>
      <c r="P56" s="214">
        <f>SUM(compras_mes78288[[#This Row],[NETO GRAVADO]:[Otros / No Grav.]])</f>
        <v>65762.326100000006</v>
      </c>
      <c r="Q56" s="215" t="str">
        <f>IFERROR(IF(compras_mes78288[[#This Row],[CUIT]]="","-",VLOOKUP(compras_mes78288[[#This Row],[CUIT]],Lista_CUIT[#All],3,0)),"CUIT NO CARGADO")</f>
        <v>Gastos Varios</v>
      </c>
      <c r="R56" s="215">
        <f>IFERROR(IF(compras_mes78288[[#This Row],[CUIT]]="","-",VLOOKUP(compras_mes78288[[#This Row],[CUIT]],Lista_CUIT[#All],4,0)),"CUIT NO CARGADO")</f>
        <v>0</v>
      </c>
      <c r="S56">
        <v>1352798.81</v>
      </c>
      <c r="T56" s="33">
        <f>compras_mes78288[[#This Row],[TOTAL]]-compras_mes78288[[#This Row],[Columna1]]</f>
        <v>-1287036.4839000001</v>
      </c>
    </row>
    <row r="57" spans="2:20" x14ac:dyDescent="0.25">
      <c r="B57" s="207" t="s">
        <v>2523</v>
      </c>
      <c r="C57" s="208">
        <v>1</v>
      </c>
      <c r="D57" s="209">
        <v>5015</v>
      </c>
      <c r="E57" s="225">
        <v>924182</v>
      </c>
      <c r="F57" s="210">
        <v>30574876474</v>
      </c>
      <c r="G57" s="45" t="str">
        <f>IFERROR(IF(compras_mes78288[[#This Row],[CUIT]]="","-",VLOOKUP(compras_mes78288[[#This Row],[CUIT]],Lista_CUIT[#All],2,0)),"CUIT NO CARGADO")</f>
        <v>AUTOPISTAS URBANAS S A</v>
      </c>
      <c r="H57" s="212">
        <v>93436.61</v>
      </c>
      <c r="I57" s="213">
        <f>IF(compras_mes78288[[#This Row],[NETO GRAVADO]]="","",compras_mes78288[[#This Row],[NETO GRAVADO]]*0.21)</f>
        <v>19621.688099999999</v>
      </c>
      <c r="J57" s="213"/>
      <c r="K57" s="213"/>
      <c r="L57" s="213"/>
      <c r="M57" s="213"/>
      <c r="N57" s="213"/>
      <c r="O57" s="213">
        <v>12146.71</v>
      </c>
      <c r="P57" s="48">
        <f>SUM(compras_mes78288[[#This Row],[NETO GRAVADO]:[Otros / No Grav.]])</f>
        <v>125205.00810000001</v>
      </c>
      <c r="Q57" s="49" t="str">
        <f>IFERROR(IF(compras_mes78288[[#This Row],[CUIT]]="","-",VLOOKUP(compras_mes78288[[#This Row],[CUIT]],Lista_CUIT[#All],3,0)),"CUIT NO CARGADO")</f>
        <v>Peajes</v>
      </c>
      <c r="R57" s="49">
        <f>IFERROR(IF(compras_mes78288[[#This Row],[CUIT]]="","-",VLOOKUP(compras_mes78288[[#This Row],[CUIT]],Lista_CUIT[#All],4,0)),"CUIT NO CARGADO")</f>
        <v>0</v>
      </c>
      <c r="S57">
        <v>836352</v>
      </c>
      <c r="T57" s="33">
        <f>compras_mes78288[[#This Row],[TOTAL]]-compras_mes78288[[#This Row],[Columna1]]</f>
        <v>-711146.99190000002</v>
      </c>
    </row>
    <row r="58" spans="2:20" x14ac:dyDescent="0.25">
      <c r="B58" s="207" t="s">
        <v>2523</v>
      </c>
      <c r="C58" s="208">
        <v>1</v>
      </c>
      <c r="D58" s="209">
        <v>50</v>
      </c>
      <c r="E58" s="225">
        <v>4472861</v>
      </c>
      <c r="F58" s="210">
        <v>30714112836</v>
      </c>
      <c r="G58" s="211" t="str">
        <f>IFERROR(IF(compras_mes78288[[#This Row],[CUIT]]="","-",VLOOKUP(compras_mes78288[[#This Row],[CUIT]],Lista_CUIT[#All],2,0)),"CUIT NO CARGADO")</f>
        <v>AUTOPISTAS DE BS AS</v>
      </c>
      <c r="H58" s="212">
        <v>75314.080000000002</v>
      </c>
      <c r="I58" s="213">
        <f>IF(compras_mes78288[[#This Row],[NETO GRAVADO]]="","",compras_mes78288[[#This Row],[NETO GRAVADO]]*0.21)</f>
        <v>15815.9568</v>
      </c>
      <c r="J58" s="213"/>
      <c r="K58" s="213"/>
      <c r="L58" s="213">
        <v>2259.42</v>
      </c>
      <c r="M58" s="213"/>
      <c r="N58" s="213"/>
      <c r="O58" s="213"/>
      <c r="P58" s="214">
        <f>SUM(compras_mes78288[[#This Row],[NETO GRAVADO]:[Otros / No Grav.]])</f>
        <v>93389.4568</v>
      </c>
      <c r="Q58" s="215" t="str">
        <f>IFERROR(IF(compras_mes78288[[#This Row],[CUIT]]="","-",VLOOKUP(compras_mes78288[[#This Row],[CUIT]],Lista_CUIT[#All],3,0)),"CUIT NO CARGADO")</f>
        <v>Peajes</v>
      </c>
      <c r="R58" s="215">
        <f>IFERROR(IF(compras_mes78288[[#This Row],[CUIT]]="","-",VLOOKUP(compras_mes78288[[#This Row],[CUIT]],Lista_CUIT[#All],4,0)),"CUIT NO CARGADO")</f>
        <v>0</v>
      </c>
      <c r="S58">
        <v>14999.98</v>
      </c>
      <c r="T58" s="33">
        <f>compras_mes78288[[#This Row],[TOTAL]]-compras_mes78288[[#This Row],[Columna1]]</f>
        <v>78389.476800000004</v>
      </c>
    </row>
    <row r="59" spans="2:20" x14ac:dyDescent="0.25">
      <c r="B59" s="207" t="s">
        <v>2523</v>
      </c>
      <c r="C59" s="208">
        <v>1</v>
      </c>
      <c r="D59" s="209">
        <v>126</v>
      </c>
      <c r="E59" s="225">
        <v>29235</v>
      </c>
      <c r="F59" s="210">
        <v>30577207190</v>
      </c>
      <c r="G59" s="211" t="str">
        <f>IFERROR(IF(compras_mes78288[[#This Row],[CUIT]]="","-",VLOOKUP(compras_mes78288[[#This Row],[CUIT]],Lista_CUIT[#All],2,0)),"CUIT NO CARGADO")</f>
        <v>COORDINACION ECOLOGICA AREA METROPOLITANA SOCIEDAD DEL ESTADO</v>
      </c>
      <c r="H59" s="212">
        <v>7447.93</v>
      </c>
      <c r="I59" s="213">
        <f>IF(compras_mes78288[[#This Row],[NETO GRAVADO]]="","",compras_mes78288[[#This Row],[NETO GRAVADO]]*0.21)</f>
        <v>1564.0653</v>
      </c>
      <c r="J59" s="213"/>
      <c r="K59" s="213"/>
      <c r="L59" s="213">
        <v>223.44</v>
      </c>
      <c r="M59" s="213"/>
      <c r="N59" s="213"/>
      <c r="O59" s="213"/>
      <c r="P59" s="214">
        <f>SUM(compras_mes78288[[#This Row],[NETO GRAVADO]:[Otros / No Grav.]])</f>
        <v>9235.435300000001</v>
      </c>
      <c r="Q59" s="215" t="str">
        <f>IFERROR(IF(compras_mes78288[[#This Row],[CUIT]]="","-",VLOOKUP(compras_mes78288[[#This Row],[CUIT]],Lista_CUIT[#All],3,0)),"CUIT NO CARGADO")</f>
        <v>Gastos Limpieza</v>
      </c>
      <c r="R59" s="215">
        <f>IFERROR(IF(compras_mes78288[[#This Row],[CUIT]]="","-",VLOOKUP(compras_mes78288[[#This Row],[CUIT]],Lista_CUIT[#All],4,0)),"CUIT NO CARGADO")</f>
        <v>0</v>
      </c>
      <c r="S59">
        <v>275252.21000000002</v>
      </c>
      <c r="T59" s="33">
        <f>compras_mes78288[[#This Row],[TOTAL]]-compras_mes78288[[#This Row],[Columna1]]</f>
        <v>-266016.77470000001</v>
      </c>
    </row>
    <row r="60" spans="2:20" x14ac:dyDescent="0.25">
      <c r="B60" s="207" t="s">
        <v>2539</v>
      </c>
      <c r="C60" s="208">
        <v>1</v>
      </c>
      <c r="D60" s="209">
        <v>4</v>
      </c>
      <c r="E60" s="225">
        <v>47790</v>
      </c>
      <c r="F60" s="210">
        <v>30585948817</v>
      </c>
      <c r="G60" s="211" t="str">
        <f>IFERROR(IF(compras_mes78288[[#This Row],[CUIT]]="","-",VLOOKUP(compras_mes78288[[#This Row],[CUIT]],Lista_CUIT[#All],2,0)),"CUIT NO CARGADO")</f>
        <v xml:space="preserve">GLASCAR </v>
      </c>
      <c r="H60" s="212">
        <v>2346608.7999999998</v>
      </c>
      <c r="I60" s="213">
        <f>IF(compras_mes78288[[#This Row],[NETO GRAVADO]]="","",compras_mes78288[[#This Row],[NETO GRAVADO]]*0.21)</f>
        <v>492787.84799999994</v>
      </c>
      <c r="J60" s="213"/>
      <c r="K60" s="213"/>
      <c r="L60" s="213"/>
      <c r="M60" s="213"/>
      <c r="N60" s="213">
        <v>140796.53</v>
      </c>
      <c r="O60" s="213"/>
      <c r="P60" s="214">
        <f>SUM(compras_mes78288[[#This Row],[NETO GRAVADO]:[Otros / No Grav.]])</f>
        <v>2980193.1779999994</v>
      </c>
      <c r="Q60" s="215" t="str">
        <f>IFERROR(IF(compras_mes78288[[#This Row],[CUIT]]="","-",VLOOKUP(compras_mes78288[[#This Row],[CUIT]],Lista_CUIT[#All],3,0)),"CUIT NO CARGADO")</f>
        <v>Material de Empaque</v>
      </c>
      <c r="R60" s="215">
        <f>IFERROR(IF(compras_mes78288[[#This Row],[CUIT]]="","-",VLOOKUP(compras_mes78288[[#This Row],[CUIT]],Lista_CUIT[#All],4,0)),"CUIT NO CARGADO")</f>
        <v>0</v>
      </c>
      <c r="S60">
        <v>31266.9</v>
      </c>
      <c r="T60" s="33">
        <f>compras_mes78288[[#This Row],[TOTAL]]-compras_mes78288[[#This Row],[Columna1]]</f>
        <v>2948926.2779999995</v>
      </c>
    </row>
    <row r="61" spans="2:20" x14ac:dyDescent="0.25">
      <c r="B61" s="207" t="s">
        <v>2539</v>
      </c>
      <c r="C61" s="208">
        <v>1</v>
      </c>
      <c r="D61" s="209">
        <v>15</v>
      </c>
      <c r="E61" s="225">
        <v>105071</v>
      </c>
      <c r="F61" s="210">
        <v>33708907869</v>
      </c>
      <c r="G61" s="211" t="str">
        <f>IFERROR(IF(compras_mes78288[[#This Row],[CUIT]]="","-",VLOOKUP(compras_mes78288[[#This Row],[CUIT]],Lista_CUIT[#All],2,0)),"CUIT NO CARGADO")</f>
        <v>SERCAP INSUMOS SRL</v>
      </c>
      <c r="H61" s="212">
        <v>12533.94</v>
      </c>
      <c r="I61" s="85" t="s">
        <v>2411</v>
      </c>
      <c r="J61" s="213"/>
      <c r="K61" s="213">
        <f>compras_mes78288[[#This Row],[NETO GRAVADO]]*0.105</f>
        <v>1316.0636999999999</v>
      </c>
      <c r="L61" s="213"/>
      <c r="M61" s="213"/>
      <c r="N61" s="213"/>
      <c r="O61" s="213"/>
      <c r="P61" s="214">
        <f>SUM(compras_mes78288[[#This Row],[NETO GRAVADO]:[Otros / No Grav.]])</f>
        <v>13850.003700000001</v>
      </c>
      <c r="Q61" s="215" t="str">
        <f>IFERROR(IF(compras_mes78288[[#This Row],[CUIT]]="","-",VLOOKUP(compras_mes78288[[#This Row],[CUIT]],Lista_CUIT[#All],3,0)),"CUIT NO CARGADO")</f>
        <v>Gastos Varios</v>
      </c>
      <c r="R61" s="215">
        <f>IFERROR(IF(compras_mes78288[[#This Row],[CUIT]]="","-",VLOOKUP(compras_mes78288[[#This Row],[CUIT]],Lista_CUIT[#All],4,0)),"CUIT NO CARGADO")</f>
        <v>0</v>
      </c>
      <c r="S61">
        <v>31266.9</v>
      </c>
      <c r="T61" s="33">
        <f>compras_mes78288[[#This Row],[TOTAL]]-compras_mes78288[[#This Row],[Columna1]]</f>
        <v>-17416.8963</v>
      </c>
    </row>
    <row r="62" spans="2:20" x14ac:dyDescent="0.25">
      <c r="B62" s="207" t="s">
        <v>2539</v>
      </c>
      <c r="C62" s="208">
        <v>1</v>
      </c>
      <c r="D62" s="209">
        <v>3</v>
      </c>
      <c r="E62" s="225">
        <v>15042</v>
      </c>
      <c r="F62" s="210">
        <v>30708232439</v>
      </c>
      <c r="G62" s="45" t="str">
        <f>IFERROR(IF(compras_mes78288[[#This Row],[CUIT]]="","-",VLOOKUP(compras_mes78288[[#This Row],[CUIT]],Lista_CUIT[#All],2,0)),"CUIT NO CARGADO")</f>
        <v>LUMEN GLASS SRL</v>
      </c>
      <c r="H62" s="212">
        <v>4542720</v>
      </c>
      <c r="I62" s="213">
        <f>IF(compras_mes78288[[#This Row],[NETO GRAVADO]]="","",compras_mes78288[[#This Row],[NETO GRAVADO]]*0.21)</f>
        <v>953971.19999999995</v>
      </c>
      <c r="J62" s="213"/>
      <c r="K62" s="213"/>
      <c r="L62" s="213"/>
      <c r="M62" s="213"/>
      <c r="N62" s="213"/>
      <c r="O62" s="213"/>
      <c r="P62" s="48">
        <f>SUM(compras_mes78288[[#This Row],[NETO GRAVADO]:[Otros / No Grav.]])</f>
        <v>5496691.2000000002</v>
      </c>
      <c r="Q62" s="49" t="str">
        <f>IFERROR(IF(compras_mes78288[[#This Row],[CUIT]]="","-",VLOOKUP(compras_mes78288[[#This Row],[CUIT]],Lista_CUIT[#All],3,0)),"CUIT NO CARGADO")</f>
        <v>Envases</v>
      </c>
      <c r="R62" s="49">
        <f>IFERROR(IF(compras_mes78288[[#This Row],[CUIT]]="","-",VLOOKUP(compras_mes78288[[#This Row],[CUIT]],Lista_CUIT[#All],4,0)),"CUIT NO CARGADO")</f>
        <v>0</v>
      </c>
      <c r="S62">
        <v>93800.69</v>
      </c>
      <c r="T62" s="33">
        <f>compras_mes78288[[#This Row],[TOTAL]]-compras_mes78288[[#This Row],[Columna1]]</f>
        <v>5402890.5099999998</v>
      </c>
    </row>
    <row r="63" spans="2:20" x14ac:dyDescent="0.25">
      <c r="B63" s="207" t="s">
        <v>2539</v>
      </c>
      <c r="C63" s="208">
        <v>1</v>
      </c>
      <c r="D63" s="209">
        <v>3</v>
      </c>
      <c r="E63" s="225">
        <v>11695</v>
      </c>
      <c r="F63" s="210">
        <v>30658667374</v>
      </c>
      <c r="G63" s="211" t="str">
        <f>IFERROR(IF(compras_mes78288[[#This Row],[CUIT]]="","-",VLOOKUP(compras_mes78288[[#This Row],[CUIT]],Lista_CUIT[#All],2,0)),"CUIT NO CARGADO")</f>
        <v>SASUAR SRL</v>
      </c>
      <c r="H63" s="212">
        <v>3329280</v>
      </c>
      <c r="I63" s="213">
        <f>IF(compras_mes78288[[#This Row],[NETO GRAVADO]]="","",compras_mes78288[[#This Row],[NETO GRAVADO]]*0.21)</f>
        <v>699148.79999999993</v>
      </c>
      <c r="J63" s="213"/>
      <c r="K63" s="213"/>
      <c r="L63" s="213"/>
      <c r="M63" s="213"/>
      <c r="N63" s="213"/>
      <c r="O63" s="213"/>
      <c r="P63" s="214">
        <f>SUM(compras_mes78288[[#This Row],[NETO GRAVADO]:[Otros / No Grav.]])</f>
        <v>4028428.8</v>
      </c>
      <c r="Q63" s="215" t="str">
        <f>IFERROR(IF(compras_mes78288[[#This Row],[CUIT]]="","-",VLOOKUP(compras_mes78288[[#This Row],[CUIT]],Lista_CUIT[#All],3,0)),"CUIT NO CARGADO")</f>
        <v>Materia Prima</v>
      </c>
      <c r="R63" s="215">
        <f>IFERROR(IF(compras_mes78288[[#This Row],[CUIT]]="","-",VLOOKUP(compras_mes78288[[#This Row],[CUIT]],Lista_CUIT[#All],4,0)),"CUIT NO CARGADO")</f>
        <v>0</v>
      </c>
      <c r="S63">
        <v>31266.9</v>
      </c>
      <c r="T63" s="33">
        <f>compras_mes78288[[#This Row],[TOTAL]]-compras_mes78288[[#This Row],[Columna1]]</f>
        <v>3997161.9</v>
      </c>
    </row>
    <row r="64" spans="2:20" x14ac:dyDescent="0.25">
      <c r="B64" s="207" t="s">
        <v>2539</v>
      </c>
      <c r="C64" s="208">
        <v>1</v>
      </c>
      <c r="D64" s="209">
        <v>5</v>
      </c>
      <c r="E64" s="225">
        <v>50951</v>
      </c>
      <c r="F64" s="210">
        <v>30710804830</v>
      </c>
      <c r="G64" s="211" t="str">
        <f>IFERROR(IF(compras_mes78288[[#This Row],[CUIT]]="","-",VLOOKUP(compras_mes78288[[#This Row],[CUIT]],Lista_CUIT[#All],2,0)),"CUIT NO CARGADO")</f>
        <v>ZG MULTITEC SRL</v>
      </c>
      <c r="H64" s="212">
        <v>55547.51</v>
      </c>
      <c r="I64" s="85" t="s">
        <v>2411</v>
      </c>
      <c r="J64" s="213"/>
      <c r="K64" s="213">
        <f>compras_mes78288[[#This Row],[NETO GRAVADO]]*0.105</f>
        <v>5832.48855</v>
      </c>
      <c r="L64" s="213"/>
      <c r="M64" s="213"/>
      <c r="N64" s="213"/>
      <c r="O64" s="213"/>
      <c r="P64" s="214">
        <f>SUM(compras_mes78288[[#This Row],[NETO GRAVADO]:[Otros / No Grav.]])</f>
        <v>61379.998550000004</v>
      </c>
      <c r="Q64" s="215" t="str">
        <f>IFERROR(IF(compras_mes78288[[#This Row],[CUIT]]="","-",VLOOKUP(compras_mes78288[[#This Row],[CUIT]],Lista_CUIT[#All],3,0)),"CUIT NO CARGADO")</f>
        <v xml:space="preserve">Gastos mantenimiento </v>
      </c>
      <c r="R64" s="215">
        <f>IFERROR(IF(compras_mes78288[[#This Row],[CUIT]]="","-",VLOOKUP(compras_mes78288[[#This Row],[CUIT]],Lista_CUIT[#All],4,0)),"CUIT NO CARGADO")</f>
        <v>0</v>
      </c>
      <c r="S64">
        <v>3236750</v>
      </c>
      <c r="T64" s="33">
        <f>compras_mes78288[[#This Row],[TOTAL]]-compras_mes78288[[#This Row],[Columna1]]</f>
        <v>-3175370.0014499999</v>
      </c>
    </row>
    <row r="65" spans="2:20" x14ac:dyDescent="0.25">
      <c r="B65" s="207" t="s">
        <v>2539</v>
      </c>
      <c r="C65" s="208">
        <v>1</v>
      </c>
      <c r="D65" s="209">
        <v>629</v>
      </c>
      <c r="E65" s="225">
        <v>6282061</v>
      </c>
      <c r="F65" s="210">
        <v>30663498513</v>
      </c>
      <c r="G65" s="45" t="str">
        <f>IFERROR(IF(compras_mes78288[[#This Row],[CUIT]]="","-",VLOOKUP(compras_mes78288[[#This Row],[CUIT]],Lista_CUIT[#All],2,0)),"CUIT NO CARGADO")</f>
        <v>GRUPO CONCES. DEL OESTE SA</v>
      </c>
      <c r="H65" s="212">
        <v>22995.19</v>
      </c>
      <c r="I65" s="213">
        <f>IF(compras_mes78288[[#This Row],[NETO GRAVADO]]="","",compras_mes78288[[#This Row],[NETO GRAVADO]]*0.21)</f>
        <v>4828.9898999999996</v>
      </c>
      <c r="J65" s="213"/>
      <c r="K65" s="213"/>
      <c r="L65" s="213"/>
      <c r="M65" s="213"/>
      <c r="N65" s="213"/>
      <c r="O65" s="213"/>
      <c r="P65" s="48">
        <f>SUM(compras_mes78288[[#This Row],[NETO GRAVADO]:[Otros / No Grav.]])</f>
        <v>27824.179899999999</v>
      </c>
      <c r="Q65" s="49" t="str">
        <f>IFERROR(IF(compras_mes78288[[#This Row],[CUIT]]="","-",VLOOKUP(compras_mes78288[[#This Row],[CUIT]],Lista_CUIT[#All],3,0)),"CUIT NO CARGADO")</f>
        <v>Peajes</v>
      </c>
      <c r="R65" s="49">
        <f>IFERROR(IF(compras_mes78288[[#This Row],[CUIT]]="","-",VLOOKUP(compras_mes78288[[#This Row],[CUIT]],Lista_CUIT[#All],4,0)),"CUIT NO CARGADO")</f>
        <v>0</v>
      </c>
      <c r="S65">
        <v>1670042</v>
      </c>
      <c r="T65" s="33">
        <f>compras_mes78288[[#This Row],[TOTAL]]-compras_mes78288[[#This Row],[Columna1]]</f>
        <v>-1642217.8200999999</v>
      </c>
    </row>
    <row r="66" spans="2:20" x14ac:dyDescent="0.25">
      <c r="B66" s="207" t="s">
        <v>2539</v>
      </c>
      <c r="C66" s="208">
        <v>1</v>
      </c>
      <c r="D66" s="209">
        <v>711</v>
      </c>
      <c r="E66" s="225">
        <v>7363235</v>
      </c>
      <c r="F66" s="210">
        <v>30677237119</v>
      </c>
      <c r="G66" s="211" t="str">
        <f>IFERROR(IF(compras_mes78288[[#This Row],[CUIT]]="","-",VLOOKUP(compras_mes78288[[#This Row],[CUIT]],Lista_CUIT[#All],2,0)),"CUIT NO CARGADO")</f>
        <v>AUTOPISTAS DEL SOL S A</v>
      </c>
      <c r="H66" s="212">
        <v>14270.83</v>
      </c>
      <c r="I66" s="213">
        <f>IF(compras_mes78288[[#This Row],[NETO GRAVADO]]="","",compras_mes78288[[#This Row],[NETO GRAVADO]]*0.21)</f>
        <v>2996.8742999999999</v>
      </c>
      <c r="J66" s="213"/>
      <c r="K66" s="213"/>
      <c r="L66" s="213">
        <v>428.12</v>
      </c>
      <c r="M66" s="213"/>
      <c r="N66" s="213"/>
      <c r="O66" s="213">
        <v>428.12</v>
      </c>
      <c r="P66" s="214">
        <f>SUM(compras_mes78288[[#This Row],[NETO GRAVADO]:[Otros / No Grav.]])</f>
        <v>18123.944299999999</v>
      </c>
      <c r="Q66" s="215" t="str">
        <f>IFERROR(IF(compras_mes78288[[#This Row],[CUIT]]="","-",VLOOKUP(compras_mes78288[[#This Row],[CUIT]],Lista_CUIT[#All],3,0)),"CUIT NO CARGADO")</f>
        <v>Peajes</v>
      </c>
      <c r="R66" s="215">
        <f>IFERROR(IF(compras_mes78288[[#This Row],[CUIT]]="","-",VLOOKUP(compras_mes78288[[#This Row],[CUIT]],Lista_CUIT[#All],4,0)),"CUIT NO CARGADO")</f>
        <v>0</v>
      </c>
      <c r="S66">
        <v>1941324</v>
      </c>
      <c r="T66" s="33">
        <f>compras_mes78288[[#This Row],[TOTAL]]-compras_mes78288[[#This Row],[Columna1]]</f>
        <v>-1923200.0556999999</v>
      </c>
    </row>
    <row r="67" spans="2:20" x14ac:dyDescent="0.25">
      <c r="B67" s="207" t="s">
        <v>2539</v>
      </c>
      <c r="C67" s="208">
        <v>1</v>
      </c>
      <c r="D67" s="209">
        <v>3</v>
      </c>
      <c r="E67" s="225">
        <v>215</v>
      </c>
      <c r="F67" s="210">
        <v>20120794338</v>
      </c>
      <c r="G67" s="211" t="str">
        <f>IFERROR(IF(compras_mes78288[[#This Row],[CUIT]]="","-",VLOOKUP(compras_mes78288[[#This Row],[CUIT]],Lista_CUIT[#All],2,0)),"CUIT NO CARGADO")</f>
        <v>AINSTEIN MARCELO</v>
      </c>
      <c r="H67" s="212">
        <v>400000</v>
      </c>
      <c r="I67" s="213">
        <f>IF(compras_mes78288[[#This Row],[NETO GRAVADO]]="","",compras_mes78288[[#This Row],[NETO GRAVADO]]*0.21)</f>
        <v>84000</v>
      </c>
      <c r="J67" s="213"/>
      <c r="K67" s="213"/>
      <c r="L67" s="213"/>
      <c r="M67" s="213"/>
      <c r="N67" s="213"/>
      <c r="O67" s="213"/>
      <c r="P67" s="214">
        <f>SUM(compras_mes78288[[#This Row],[NETO GRAVADO]:[Otros / No Grav.]])</f>
        <v>484000</v>
      </c>
      <c r="Q67" s="215" t="str">
        <f>IFERROR(IF(compras_mes78288[[#This Row],[CUIT]]="","-",VLOOKUP(compras_mes78288[[#This Row],[CUIT]],Lista_CUIT[#All],3,0)),"CUIT NO CARGADO")</f>
        <v>Honorarios Legales</v>
      </c>
      <c r="R67" s="215">
        <f>IFERROR(IF(compras_mes78288[[#This Row],[CUIT]]="","-",VLOOKUP(compras_mes78288[[#This Row],[CUIT]],Lista_CUIT[#All],4,0)),"CUIT NO CARGADO")</f>
        <v>0</v>
      </c>
      <c r="S67">
        <v>1098806.44</v>
      </c>
      <c r="T67" s="33">
        <f>compras_mes78288[[#This Row],[TOTAL]]-compras_mes78288[[#This Row],[Columna1]]</f>
        <v>-614806.43999999994</v>
      </c>
    </row>
    <row r="68" spans="2:20" x14ac:dyDescent="0.25">
      <c r="B68" s="207" t="s">
        <v>2539</v>
      </c>
      <c r="C68" s="208">
        <v>1</v>
      </c>
      <c r="D68" s="209">
        <v>2</v>
      </c>
      <c r="E68" s="225">
        <v>4106</v>
      </c>
      <c r="F68" s="210">
        <v>30629863571</v>
      </c>
      <c r="G68" s="45" t="str">
        <f>IFERROR(IF(compras_mes78288[[#This Row],[CUIT]]="","-",VLOOKUP(compras_mes78288[[#This Row],[CUIT]],Lista_CUIT[#All],2,0)),"CUIT NO CARGADO")</f>
        <v>TECNIMAR S R L</v>
      </c>
      <c r="H68" s="212">
        <v>449735</v>
      </c>
      <c r="I68" s="213">
        <f>IF(compras_mes78288[[#This Row],[NETO GRAVADO]]="","",compras_mes78288[[#This Row],[NETO GRAVADO]]*0.21)</f>
        <v>94444.349999999991</v>
      </c>
      <c r="J68" s="213"/>
      <c r="K68" s="213"/>
      <c r="L68" s="213"/>
      <c r="M68" s="213"/>
      <c r="N68" s="213"/>
      <c r="O68" s="213"/>
      <c r="P68" s="48">
        <f>SUM(compras_mes78288[[#This Row],[NETO GRAVADO]:[Otros / No Grav.]])</f>
        <v>544179.35</v>
      </c>
      <c r="Q68" s="49" t="str">
        <f>IFERROR(IF(compras_mes78288[[#This Row],[CUIT]]="","-",VLOOKUP(compras_mes78288[[#This Row],[CUIT]],Lista_CUIT[#All],3,0)),"CUIT NO CARGADO")</f>
        <v>Productos Venta</v>
      </c>
      <c r="R68" s="49">
        <f>IFERROR(IF(compras_mes78288[[#This Row],[CUIT]]="","-",VLOOKUP(compras_mes78288[[#This Row],[CUIT]],Lista_CUIT[#All],4,0)),"CUIT NO CARGADO")</f>
        <v>0</v>
      </c>
      <c r="T68" s="33">
        <f>compras_mes78288[[#This Row],[TOTAL]]-compras_mes78288[[#This Row],[Columna1]]</f>
        <v>544179.35</v>
      </c>
    </row>
    <row r="69" spans="2:20" x14ac:dyDescent="0.25">
      <c r="B69" s="207" t="s">
        <v>2524</v>
      </c>
      <c r="C69" s="208">
        <v>1</v>
      </c>
      <c r="D69" s="209">
        <v>14</v>
      </c>
      <c r="E69" s="225">
        <v>193496</v>
      </c>
      <c r="F69" s="210">
        <v>30644997258</v>
      </c>
      <c r="G69" s="211" t="str">
        <f>IFERROR(IF(compras_mes78288[[#This Row],[CUIT]]="","-",VLOOKUP(compras_mes78288[[#This Row],[CUIT]],Lista_CUIT[#All],2,0)),"CUIT NO CARGADO")</f>
        <v>GEMEZ SA</v>
      </c>
      <c r="H69" s="212">
        <v>1024000</v>
      </c>
      <c r="I69" s="213">
        <f>IF(compras_mes78288[[#This Row],[NETO GRAVADO]]="","",compras_mes78288[[#This Row],[NETO GRAVADO]]*0.21)</f>
        <v>215040</v>
      </c>
      <c r="J69" s="213"/>
      <c r="K69" s="213"/>
      <c r="L69" s="213"/>
      <c r="M69" s="213">
        <v>61440</v>
      </c>
      <c r="N69" s="213"/>
      <c r="O69" s="213"/>
      <c r="P69" s="214">
        <f>SUM(compras_mes78288[[#This Row],[NETO GRAVADO]:[Otros / No Grav.]])</f>
        <v>1300480</v>
      </c>
      <c r="Q69" s="215" t="str">
        <f>IFERROR(IF(compras_mes78288[[#This Row],[CUIT]]="","-",VLOOKUP(compras_mes78288[[#This Row],[CUIT]],Lista_CUIT[#All],3,0)),"CUIT NO CARGADO")</f>
        <v>Material de Empaque</v>
      </c>
      <c r="R69" s="215">
        <f>IFERROR(IF(compras_mes78288[[#This Row],[CUIT]]="","-",VLOOKUP(compras_mes78288[[#This Row],[CUIT]],Lista_CUIT[#All],4,0)),"CUIT NO CARGADO")</f>
        <v>0</v>
      </c>
      <c r="S69">
        <v>114047.64</v>
      </c>
      <c r="T69" s="33">
        <f>compras_mes78288[[#This Row],[TOTAL]]-compras_mes78288[[#This Row],[Columna1]]</f>
        <v>1186432.3600000001</v>
      </c>
    </row>
    <row r="70" spans="2:20" x14ac:dyDescent="0.25">
      <c r="B70" s="207" t="s">
        <v>2524</v>
      </c>
      <c r="C70" s="208">
        <v>1</v>
      </c>
      <c r="D70" s="209">
        <v>6854</v>
      </c>
      <c r="E70" s="225">
        <v>20622</v>
      </c>
      <c r="F70" s="210">
        <v>30678774495</v>
      </c>
      <c r="G70" s="211" t="str">
        <f>IFERROR(IF(compras_mes78288[[#This Row],[CUIT]]="","-",VLOOKUP(compras_mes78288[[#This Row],[CUIT]],Lista_CUIT[#All],2,0)),"CUIT NO CARGADO")</f>
        <v>OPER. DE EST. DE SERV. SA</v>
      </c>
      <c r="H70" s="212">
        <v>13961.29</v>
      </c>
      <c r="I70" s="213">
        <f>IF(compras_mes78288[[#This Row],[NETO GRAVADO]]="","",compras_mes78288[[#This Row],[NETO GRAVADO]]*0.21)</f>
        <v>2931.8708999999999</v>
      </c>
      <c r="J70" s="213"/>
      <c r="K70" s="213"/>
      <c r="L70" s="213"/>
      <c r="M70" s="213"/>
      <c r="N70" s="213"/>
      <c r="O70" s="213">
        <v>3106.85</v>
      </c>
      <c r="P70" s="214">
        <f>SUM(compras_mes78288[[#This Row],[NETO GRAVADO]:[Otros / No Grav.]])</f>
        <v>20000.010900000001</v>
      </c>
      <c r="Q70" s="215" t="str">
        <f>IFERROR(IF(compras_mes78288[[#This Row],[CUIT]]="","-",VLOOKUP(compras_mes78288[[#This Row],[CUIT]],Lista_CUIT[#All],3,0)),"CUIT NO CARGADO")</f>
        <v>Combustible</v>
      </c>
      <c r="R70" s="215">
        <f>IFERROR(IF(compras_mes78288[[#This Row],[CUIT]]="","-",VLOOKUP(compras_mes78288[[#This Row],[CUIT]],Lista_CUIT[#All],4,0)),"CUIT NO CARGADO")</f>
        <v>0</v>
      </c>
      <c r="S70">
        <v>76500</v>
      </c>
      <c r="T70" s="33">
        <f>compras_mes78288[[#This Row],[TOTAL]]-compras_mes78288[[#This Row],[Columna1]]</f>
        <v>-56499.989099999999</v>
      </c>
    </row>
    <row r="71" spans="2:20" s="401" customFormat="1" x14ac:dyDescent="0.25">
      <c r="B71" s="207" t="s">
        <v>2524</v>
      </c>
      <c r="C71" s="208">
        <v>1</v>
      </c>
      <c r="D71" s="209">
        <v>4264</v>
      </c>
      <c r="E71" s="225">
        <v>5680225</v>
      </c>
      <c r="F71" s="210">
        <v>30639453738</v>
      </c>
      <c r="G71" s="211" t="str">
        <f>IFERROR(IF(compras_mes78288[[#This Row],[CUIT]]="","-",VLOOKUP(compras_mes78288[[#This Row],[CUIT]],Lista_CUIT[#All],2,0)),"CUIT NO CARGADO")</f>
        <v>TELECOM ARG SA</v>
      </c>
      <c r="H71" s="212">
        <v>205400</v>
      </c>
      <c r="I71" s="213">
        <f>IF(compras_mes78288[[#This Row],[NETO GRAVADO]]="","",compras_mes78288[[#This Row],[NETO GRAVADO]]*0.21)</f>
        <v>43134</v>
      </c>
      <c r="J71" s="213"/>
      <c r="K71" s="213"/>
      <c r="L71" s="213"/>
      <c r="M71" s="213">
        <v>18486</v>
      </c>
      <c r="N71" s="213"/>
      <c r="O71" s="213"/>
      <c r="P71" s="214">
        <f>SUM(compras_mes78288[[#This Row],[NETO GRAVADO]:[Otros / No Grav.]])</f>
        <v>267020</v>
      </c>
      <c r="Q71" s="215" t="str">
        <f>IFERROR(IF(compras_mes78288[[#This Row],[CUIT]]="","-",VLOOKUP(compras_mes78288[[#This Row],[CUIT]],Lista_CUIT[#All],3,0)),"CUIT NO CARGADO")</f>
        <v>Servicios Gas, Luz, etc.</v>
      </c>
      <c r="R71" s="215">
        <f>IFERROR(IF(compras_mes78288[[#This Row],[CUIT]]="","-",VLOOKUP(compras_mes78288[[#This Row],[CUIT]],Lista_CUIT[#All],4,0)),"CUIT NO CARGADO")</f>
        <v>0</v>
      </c>
      <c r="S71">
        <v>96196.32</v>
      </c>
      <c r="T71" s="33">
        <f>compras_mes78288[[#This Row],[TOTAL]]-compras_mes78288[[#This Row],[Columna1]]</f>
        <v>170823.67999999999</v>
      </c>
    </row>
    <row r="72" spans="2:20" x14ac:dyDescent="0.25">
      <c r="B72" s="207" t="s">
        <v>2524</v>
      </c>
      <c r="C72" s="208">
        <v>1</v>
      </c>
      <c r="D72" s="209">
        <v>4264</v>
      </c>
      <c r="E72" s="225">
        <v>5644547</v>
      </c>
      <c r="F72" s="210">
        <v>30639453738</v>
      </c>
      <c r="G72" s="211" t="str">
        <f>IFERROR(IF(compras_mes78288[[#This Row],[CUIT]]="","-",VLOOKUP(compras_mes78288[[#This Row],[CUIT]],Lista_CUIT[#All],2,0)),"CUIT NO CARGADO")</f>
        <v>TELECOM ARG SA</v>
      </c>
      <c r="H72" s="212">
        <v>19062.5</v>
      </c>
      <c r="I72" s="213">
        <f>IF(compras_mes78288[[#This Row],[NETO GRAVADO]]="","",compras_mes78288[[#This Row],[NETO GRAVADO]]*0.21)</f>
        <v>4003.125</v>
      </c>
      <c r="J72" s="213"/>
      <c r="K72" s="213"/>
      <c r="L72" s="213"/>
      <c r="M72" s="213"/>
      <c r="N72" s="213">
        <v>571.88</v>
      </c>
      <c r="O72" s="213"/>
      <c r="P72" s="214">
        <f>SUM(compras_mes78288[[#This Row],[NETO GRAVADO]:[Otros / No Grav.]])</f>
        <v>23637.505000000001</v>
      </c>
      <c r="Q72" s="215" t="str">
        <f>IFERROR(IF(compras_mes78288[[#This Row],[CUIT]]="","-",VLOOKUP(compras_mes78288[[#This Row],[CUIT]],Lista_CUIT[#All],3,0)),"CUIT NO CARGADO")</f>
        <v>Servicios Gas, Luz, etc.</v>
      </c>
      <c r="R72" s="215">
        <f>IFERROR(IF(compras_mes78288[[#This Row],[CUIT]]="","-",VLOOKUP(compras_mes78288[[#This Row],[CUIT]],Lista_CUIT[#All],4,0)),"CUIT NO CARGADO")</f>
        <v>0</v>
      </c>
      <c r="S72">
        <v>47640.95</v>
      </c>
      <c r="T72" s="33">
        <f>compras_mes78288[[#This Row],[TOTAL]]-compras_mes78288[[#This Row],[Columna1]]</f>
        <v>-24003.444999999996</v>
      </c>
    </row>
    <row r="73" spans="2:20" x14ac:dyDescent="0.25">
      <c r="B73" s="207" t="s">
        <v>2524</v>
      </c>
      <c r="C73" s="208">
        <v>1</v>
      </c>
      <c r="D73" s="209">
        <v>3</v>
      </c>
      <c r="E73" s="225">
        <v>245</v>
      </c>
      <c r="F73" s="210">
        <v>20202970940</v>
      </c>
      <c r="G73" s="45" t="str">
        <f>IFERROR(IF(compras_mes78288[[#This Row],[CUIT]]="","-",VLOOKUP(compras_mes78288[[#This Row],[CUIT]],Lista_CUIT[#All],2,0)),"CUIT NO CARGADO")</f>
        <v xml:space="preserve">ALEJANDRO TRAIBER </v>
      </c>
      <c r="H73" s="212">
        <v>1700000</v>
      </c>
      <c r="I73" s="213">
        <f>IF(compras_mes78288[[#This Row],[NETO GRAVADO]]="","",compras_mes78288[[#This Row],[NETO GRAVADO]]*0.21)</f>
        <v>357000</v>
      </c>
      <c r="J73" s="213"/>
      <c r="K73" s="213"/>
      <c r="L73" s="213"/>
      <c r="M73" s="213"/>
      <c r="N73" s="213"/>
      <c r="O73" s="213"/>
      <c r="P73" s="48">
        <f>SUM(compras_mes78288[[#This Row],[NETO GRAVADO]:[Otros / No Grav.]])</f>
        <v>2057000</v>
      </c>
      <c r="Q73" s="49" t="str">
        <f>IFERROR(IF(compras_mes78288[[#This Row],[CUIT]]="","-",VLOOKUP(compras_mes78288[[#This Row],[CUIT]],Lista_CUIT[#All],3,0)),"CUIT NO CARGADO")</f>
        <v>Mercaderia</v>
      </c>
      <c r="R73" s="49">
        <f>IFERROR(IF(compras_mes78288[[#This Row],[CUIT]]="","-",VLOOKUP(compras_mes78288[[#This Row],[CUIT]],Lista_CUIT[#All],4,0)),"CUIT NO CARGADO")</f>
        <v>0</v>
      </c>
      <c r="T73" s="33">
        <f>compras_mes78288[[#This Row],[TOTAL]]-compras_mes78288[[#This Row],[Columna1]]</f>
        <v>2057000</v>
      </c>
    </row>
    <row r="74" spans="2:20" x14ac:dyDescent="0.25">
      <c r="B74" s="207" t="s">
        <v>2525</v>
      </c>
      <c r="C74" s="208">
        <v>1</v>
      </c>
      <c r="D74" s="209">
        <v>4</v>
      </c>
      <c r="E74" s="225">
        <v>30034</v>
      </c>
      <c r="F74" s="210">
        <v>30552433595</v>
      </c>
      <c r="G74" s="211" t="str">
        <f>IFERROR(IF(compras_mes78288[[#This Row],[CUIT]]="","-",VLOOKUP(compras_mes78288[[#This Row],[CUIT]],Lista_CUIT[#All],2,0)),"CUIT NO CARGADO")</f>
        <v>PIROPLAST SRL</v>
      </c>
      <c r="H74" s="212">
        <v>2581386.75</v>
      </c>
      <c r="I74" s="213">
        <f>IF(compras_mes78288[[#This Row],[NETO GRAVADO]]="","",compras_mes78288[[#This Row],[NETO GRAVADO]]*0.21)</f>
        <v>542091.21750000003</v>
      </c>
      <c r="J74" s="213"/>
      <c r="K74" s="213"/>
      <c r="L74" s="213"/>
      <c r="M74" s="213"/>
      <c r="N74" s="213"/>
      <c r="O74" s="213"/>
      <c r="P74" s="214">
        <f>SUM(compras_mes78288[[#This Row],[NETO GRAVADO]:[Otros / No Grav.]])</f>
        <v>3123477.9675000003</v>
      </c>
      <c r="Q74" s="215" t="str">
        <f>IFERROR(IF(compras_mes78288[[#This Row],[CUIT]]="","-",VLOOKUP(compras_mes78288[[#This Row],[CUIT]],Lista_CUIT[#All],3,0)),"CUIT NO CARGADO")</f>
        <v>Material de Empaque</v>
      </c>
      <c r="R74" s="215">
        <f>IFERROR(IF(compras_mes78288[[#This Row],[CUIT]]="","-",VLOOKUP(compras_mes78288[[#This Row],[CUIT]],Lista_CUIT[#All],4,0)),"CUIT NO CARGADO")</f>
        <v>0</v>
      </c>
      <c r="S74">
        <v>29931.06</v>
      </c>
      <c r="T74" s="33">
        <f>compras_mes78288[[#This Row],[TOTAL]]-compras_mes78288[[#This Row],[Columna1]]</f>
        <v>3093546.9075000002</v>
      </c>
    </row>
    <row r="75" spans="2:20" x14ac:dyDescent="0.25">
      <c r="B75" s="207" t="s">
        <v>2525</v>
      </c>
      <c r="C75" s="208">
        <v>1</v>
      </c>
      <c r="D75" s="209">
        <v>2188</v>
      </c>
      <c r="E75" s="225">
        <v>153404</v>
      </c>
      <c r="F75" s="210">
        <v>30548083156</v>
      </c>
      <c r="G75" s="211" t="str">
        <f>IFERROR(IF(compras_mes78288[[#This Row],[CUIT]]="","-",VLOOKUP(compras_mes78288[[#This Row],[CUIT]],Lista_CUIT[#All],2,0)),"CUIT NO CARGADO")</f>
        <v>COTO CENTRO INTEGRAL DE COMERCIALIZACION SOCIEDAD ANONIMA</v>
      </c>
      <c r="H75" s="212">
        <v>183961.8</v>
      </c>
      <c r="I75" s="213">
        <v>33135.589999999997</v>
      </c>
      <c r="J75" s="213"/>
      <c r="K75" s="213">
        <v>2748.19</v>
      </c>
      <c r="L75" s="213"/>
      <c r="M75" s="213"/>
      <c r="N75" s="213"/>
      <c r="O75" s="213">
        <v>13760.42</v>
      </c>
      <c r="P75" s="214">
        <f>SUM(compras_mes78288[[#This Row],[NETO GRAVADO]:[Otros / No Grav.]])</f>
        <v>233606</v>
      </c>
      <c r="Q75" s="215" t="str">
        <f>IFERROR(IF(compras_mes78288[[#This Row],[CUIT]]="","-",VLOOKUP(compras_mes78288[[#This Row],[CUIT]],Lista_CUIT[#All],3,0)),"CUIT NO CARGADO")</f>
        <v>Gastos Varios</v>
      </c>
      <c r="R75" s="215">
        <f>IFERROR(IF(compras_mes78288[[#This Row],[CUIT]]="","-",VLOOKUP(compras_mes78288[[#This Row],[CUIT]],Lista_CUIT[#All],4,0)),"CUIT NO CARGADO")</f>
        <v>0</v>
      </c>
      <c r="S75" s="401">
        <v>66547.05</v>
      </c>
      <c r="T75" s="506">
        <f>compras_mes78288[[#This Row],[TOTAL]]-compras_mes78288[[#This Row],[Columna1]]</f>
        <v>167058.95000000001</v>
      </c>
    </row>
    <row r="76" spans="2:20" x14ac:dyDescent="0.25">
      <c r="B76" s="207" t="s">
        <v>2540</v>
      </c>
      <c r="C76" s="208">
        <v>1</v>
      </c>
      <c r="D76" s="209">
        <v>4</v>
      </c>
      <c r="E76" s="225">
        <v>472</v>
      </c>
      <c r="F76" s="210">
        <v>27317740196</v>
      </c>
      <c r="G76" s="211" t="str">
        <f>IFERROR(IF(compras_mes78288[[#This Row],[CUIT]]="","-",VLOOKUP(compras_mes78288[[#This Row],[CUIT]],Lista_CUIT[#All],2,0)),"CUIT NO CARGADO")</f>
        <v>HOKAMA ROMINA PAOLA</v>
      </c>
      <c r="H76" s="212">
        <v>17424.78</v>
      </c>
      <c r="I76" s="213">
        <f>IF(compras_mes78288[[#This Row],[NETO GRAVADO]]="","",compras_mes78288[[#This Row],[NETO GRAVADO]]*0.21)</f>
        <v>3659.2037999999998</v>
      </c>
      <c r="J76" s="213"/>
      <c r="K76" s="213"/>
      <c r="L76" s="213"/>
      <c r="M76" s="213"/>
      <c r="N76" s="213"/>
      <c r="O76" s="213"/>
      <c r="P76" s="214">
        <f>SUM(compras_mes78288[[#This Row],[NETO GRAVADO]:[Otros / No Grav.]])</f>
        <v>21083.983799999998</v>
      </c>
      <c r="Q76" s="215" t="str">
        <f>IFERROR(IF(compras_mes78288[[#This Row],[CUIT]]="","-",VLOOKUP(compras_mes78288[[#This Row],[CUIT]],Lista_CUIT[#All],3,0)),"CUIT NO CARGADO")</f>
        <v>Gastos Varios</v>
      </c>
      <c r="R76" s="215">
        <f>IFERROR(IF(compras_mes78288[[#This Row],[CUIT]]="","-",VLOOKUP(compras_mes78288[[#This Row],[CUIT]],Lista_CUIT[#All],4,0)),"CUIT NO CARGADO")</f>
        <v>0</v>
      </c>
      <c r="S76">
        <v>1426562.32</v>
      </c>
      <c r="T76" s="33">
        <f>compras_mes78288[[#This Row],[TOTAL]]-compras_mes78288[[#This Row],[Columna1]]</f>
        <v>-1405478.3362</v>
      </c>
    </row>
    <row r="77" spans="2:20" x14ac:dyDescent="0.25">
      <c r="B77" s="207" t="s">
        <v>2541</v>
      </c>
      <c r="C77" s="208">
        <v>1</v>
      </c>
      <c r="D77" s="209">
        <v>14</v>
      </c>
      <c r="E77" s="225">
        <v>18138</v>
      </c>
      <c r="F77" s="210">
        <v>30715186256</v>
      </c>
      <c r="G77" s="45" t="str">
        <f>IFERROR(IF(compras_mes78288[[#This Row],[CUIT]]="","-",VLOOKUP(compras_mes78288[[#This Row],[CUIT]],Lista_CUIT[#All],2,0)),"CUIT NO CARGADO")</f>
        <v>FRIGORIFICO ALIMENTIC</v>
      </c>
      <c r="H77" s="212">
        <v>88217.2</v>
      </c>
      <c r="I77" s="213">
        <v>4066.02</v>
      </c>
      <c r="J77" s="213"/>
      <c r="K77" s="213">
        <v>7229.8</v>
      </c>
      <c r="L77" s="213"/>
      <c r="M77" s="213"/>
      <c r="N77" s="213"/>
      <c r="O77" s="213"/>
      <c r="P77" s="48">
        <f>SUM(compras_mes78288[[#This Row],[NETO GRAVADO]:[Otros / No Grav.]])</f>
        <v>99513.02</v>
      </c>
      <c r="Q77" s="49" t="str">
        <f>IFERROR(IF(compras_mes78288[[#This Row],[CUIT]]="","-",VLOOKUP(compras_mes78288[[#This Row],[CUIT]],Lista_CUIT[#All],3,0)),"CUIT NO CARGADO")</f>
        <v>Gastos Comercializacion - Feria</v>
      </c>
      <c r="R77" s="49">
        <f>IFERROR(IF(compras_mes78288[[#This Row],[CUIT]]="","-",VLOOKUP(compras_mes78288[[#This Row],[CUIT]],Lista_CUIT[#All],4,0)),"CUIT NO CARGADO")</f>
        <v>0</v>
      </c>
      <c r="T77" s="33">
        <f>compras_mes78288[[#This Row],[TOTAL]]-compras_mes78288[[#This Row],[Columna1]]</f>
        <v>99513.02</v>
      </c>
    </row>
    <row r="78" spans="2:20" x14ac:dyDescent="0.25">
      <c r="B78" s="207" t="s">
        <v>2541</v>
      </c>
      <c r="C78" s="208">
        <v>1</v>
      </c>
      <c r="D78" s="209">
        <v>4</v>
      </c>
      <c r="E78" s="225">
        <v>3777</v>
      </c>
      <c r="F78" s="210">
        <v>20132380741</v>
      </c>
      <c r="G78" s="211" t="str">
        <f>IFERROR(IF(compras_mes78288[[#This Row],[CUIT]]="","-",VLOOKUP(compras_mes78288[[#This Row],[CUIT]],Lista_CUIT[#All],2,0)),"CUIT NO CARGADO")</f>
        <v>GERARDO A.S. LARA</v>
      </c>
      <c r="H78" s="212">
        <v>680000</v>
      </c>
      <c r="I78" s="213">
        <f>IF(compras_mes78288[[#This Row],[NETO GRAVADO]]="","",compras_mes78288[[#This Row],[NETO GRAVADO]]*0.21)</f>
        <v>142800</v>
      </c>
      <c r="J78" s="213"/>
      <c r="K78" s="213"/>
      <c r="L78" s="213"/>
      <c r="M78" s="213"/>
      <c r="N78" s="213"/>
      <c r="O78" s="213">
        <v>11259.68</v>
      </c>
      <c r="P78" s="214">
        <f>SUM(compras_mes78288[[#This Row],[NETO GRAVADO]:[Otros / No Grav.]])</f>
        <v>834059.68</v>
      </c>
      <c r="Q78" s="215" t="str">
        <f>IFERROR(IF(compras_mes78288[[#This Row],[CUIT]]="","-",VLOOKUP(compras_mes78288[[#This Row],[CUIT]],Lista_CUIT[#All],3,0)),"CUIT NO CARGADO")</f>
        <v>Flete</v>
      </c>
      <c r="R78" s="215">
        <f>IFERROR(IF(compras_mes78288[[#This Row],[CUIT]]="","-",VLOOKUP(compras_mes78288[[#This Row],[CUIT]],Lista_CUIT[#All],4,0)),"CUIT NO CARGADO")</f>
        <v>0</v>
      </c>
      <c r="S78">
        <v>4505997.6500000004</v>
      </c>
      <c r="T78" s="33">
        <f>compras_mes78288[[#This Row],[TOTAL]]-compras_mes78288[[#This Row],[Columna1]]</f>
        <v>-3671937.97</v>
      </c>
    </row>
    <row r="79" spans="2:20" x14ac:dyDescent="0.25">
      <c r="B79" s="207" t="s">
        <v>2541</v>
      </c>
      <c r="C79" s="208">
        <v>1</v>
      </c>
      <c r="D79" s="209">
        <v>5</v>
      </c>
      <c r="E79" s="225">
        <v>3340717</v>
      </c>
      <c r="F79" s="210">
        <v>30702652975</v>
      </c>
      <c r="G79" s="211" t="str">
        <f>IFERROR(IF(compras_mes78288[[#This Row],[CUIT]]="","-",VLOOKUP(compras_mes78288[[#This Row],[CUIT]],Lista_CUIT[#All],2,0)),"CUIT NO CARGADO")</f>
        <v>NSS SA</v>
      </c>
      <c r="H79" s="212">
        <v>34501.15</v>
      </c>
      <c r="I79" s="213">
        <f>IF(compras_mes78288[[#This Row],[NETO GRAVADO]]="","",compras_mes78288[[#This Row],[NETO GRAVADO]]*0.21)</f>
        <v>7245.2415000000001</v>
      </c>
      <c r="J79" s="213"/>
      <c r="K79" s="213"/>
      <c r="L79" s="213"/>
      <c r="M79" s="213"/>
      <c r="N79" s="213"/>
      <c r="O79" s="213">
        <v>2070.0700000000002</v>
      </c>
      <c r="P79" s="214">
        <f>SUM(compras_mes78288[[#This Row],[NETO GRAVADO]:[Otros / No Grav.]])</f>
        <v>43816.461499999998</v>
      </c>
      <c r="Q79" s="215" t="str">
        <f>IFERROR(IF(compras_mes78288[[#This Row],[CUIT]]="","-",VLOOKUP(compras_mes78288[[#This Row],[CUIT]],Lista_CUIT[#All],3,0)),"CUIT NO CARGADO")</f>
        <v>Servicios Gas, Luz, etc.</v>
      </c>
      <c r="R79" s="215">
        <f>IFERROR(IF(compras_mes78288[[#This Row],[CUIT]]="","-",VLOOKUP(compras_mes78288[[#This Row],[CUIT]],Lista_CUIT[#All],4,0)),"CUIT NO CARGADO")</f>
        <v>0</v>
      </c>
      <c r="S79">
        <v>4203.54</v>
      </c>
      <c r="T79" s="33">
        <f>compras_mes78288[[#This Row],[TOTAL]]-compras_mes78288[[#This Row],[Columna1]]</f>
        <v>39612.921499999997</v>
      </c>
    </row>
    <row r="80" spans="2:20" x14ac:dyDescent="0.25">
      <c r="B80" s="207" t="s">
        <v>2541</v>
      </c>
      <c r="C80" s="208">
        <v>1</v>
      </c>
      <c r="D80" s="209">
        <v>5</v>
      </c>
      <c r="E80" s="225">
        <v>19123</v>
      </c>
      <c r="F80" s="210">
        <v>30717970787</v>
      </c>
      <c r="G80" s="45" t="str">
        <f>IFERROR(IF(compras_mes78288[[#This Row],[CUIT]]="","-",VLOOKUP(compras_mes78288[[#This Row],[CUIT]],Lista_CUIT[#All],2,0)),"CUIT NO CARGADO")</f>
        <v>CIUDAD DE JUEGOS S. R. L.</v>
      </c>
      <c r="H80" s="212">
        <v>523981</v>
      </c>
      <c r="I80" s="85" t="s">
        <v>2411</v>
      </c>
      <c r="J80" s="213"/>
      <c r="K80" s="213">
        <f>compras_mes78288[[#This Row],[NETO GRAVADO]]*0.105</f>
        <v>55018.004999999997</v>
      </c>
      <c r="L80" s="213"/>
      <c r="M80" s="213"/>
      <c r="N80" s="213"/>
      <c r="O80" s="213"/>
      <c r="P80" s="48">
        <f>SUM(compras_mes78288[[#This Row],[NETO GRAVADO]:[Otros / No Grav.]])</f>
        <v>578999.005</v>
      </c>
      <c r="Q80" s="49" t="str">
        <f>IFERROR(IF(compras_mes78288[[#This Row],[CUIT]]="","-",VLOOKUP(compras_mes78288[[#This Row],[CUIT]],Lista_CUIT[#All],3,0)),"CUIT NO CARGADO")</f>
        <v>Gastos Oficina</v>
      </c>
      <c r="R80" s="49">
        <f>IFERROR(IF(compras_mes78288[[#This Row],[CUIT]]="","-",VLOOKUP(compras_mes78288[[#This Row],[CUIT]],Lista_CUIT[#All],4,0)),"CUIT NO CARGADO")</f>
        <v>0</v>
      </c>
      <c r="S80">
        <v>4250.83</v>
      </c>
      <c r="T80" s="33">
        <f>compras_mes78288[[#This Row],[TOTAL]]-compras_mes78288[[#This Row],[Columna1]]</f>
        <v>574748.17500000005</v>
      </c>
    </row>
    <row r="81" spans="2:20" x14ac:dyDescent="0.25">
      <c r="B81" s="207" t="s">
        <v>2541</v>
      </c>
      <c r="C81" s="208">
        <v>1</v>
      </c>
      <c r="D81" s="209">
        <v>2</v>
      </c>
      <c r="E81" s="225">
        <v>906</v>
      </c>
      <c r="F81" s="210">
        <v>20103069832</v>
      </c>
      <c r="G81" s="211" t="str">
        <f>IFERROR(IF(compras_mes78288[[#This Row],[CUIT]]="","-",VLOOKUP(compras_mes78288[[#This Row],[CUIT]],Lista_CUIT[#All],2,0)),"CUIT NO CARGADO")</f>
        <v>DE LUCA HECTOR RAFAEL FRANCI</v>
      </c>
      <c r="H81" s="212">
        <v>1549800</v>
      </c>
      <c r="I81" s="213">
        <f>IF(compras_mes78288[[#This Row],[NETO GRAVADO]]="","",compras_mes78288[[#This Row],[NETO GRAVADO]]*0.21)</f>
        <v>325458</v>
      </c>
      <c r="J81" s="213"/>
      <c r="K81" s="213"/>
      <c r="L81" s="213"/>
      <c r="M81" s="213"/>
      <c r="N81" s="213"/>
      <c r="O81" s="213"/>
      <c r="P81" s="214">
        <f>SUM(compras_mes78288[[#This Row],[NETO GRAVADO]:[Otros / No Grav.]])</f>
        <v>1875258</v>
      </c>
      <c r="Q81" s="215" t="str">
        <f>IFERROR(IF(compras_mes78288[[#This Row],[CUIT]]="","-",VLOOKUP(compras_mes78288[[#This Row],[CUIT]],Lista_CUIT[#All],3,0)),"CUIT NO CARGADO")</f>
        <v>Material de Empaque</v>
      </c>
      <c r="R81" s="215">
        <f>IFERROR(IF(compras_mes78288[[#This Row],[CUIT]]="","-",VLOOKUP(compras_mes78288[[#This Row],[CUIT]],Lista_CUIT[#All],4,0)),"CUIT NO CARGADO")</f>
        <v>0</v>
      </c>
      <c r="S81">
        <v>8210.65</v>
      </c>
      <c r="T81" s="33">
        <f>compras_mes78288[[#This Row],[TOTAL]]-compras_mes78288[[#This Row],[Columna1]]</f>
        <v>1867047.35</v>
      </c>
    </row>
    <row r="82" spans="2:20" x14ac:dyDescent="0.25">
      <c r="B82" s="207" t="s">
        <v>2541</v>
      </c>
      <c r="C82" s="208">
        <v>1</v>
      </c>
      <c r="D82" s="209">
        <v>2</v>
      </c>
      <c r="E82" s="225">
        <v>4109</v>
      </c>
      <c r="F82" s="210">
        <v>30629863571</v>
      </c>
      <c r="G82" s="211" t="str">
        <f>IFERROR(IF(compras_mes78288[[#This Row],[CUIT]]="","-",VLOOKUP(compras_mes78288[[#This Row],[CUIT]],Lista_CUIT[#All],2,0)),"CUIT NO CARGADO")</f>
        <v>TECNIMAR S R L</v>
      </c>
      <c r="H82" s="212">
        <v>917598</v>
      </c>
      <c r="I82" s="213">
        <f>IF(compras_mes78288[[#This Row],[NETO GRAVADO]]="","",compras_mes78288[[#This Row],[NETO GRAVADO]]*0.21)</f>
        <v>192695.58</v>
      </c>
      <c r="J82" s="213"/>
      <c r="K82" s="213"/>
      <c r="L82" s="213"/>
      <c r="M82" s="213"/>
      <c r="N82" s="213"/>
      <c r="O82" s="213"/>
      <c r="P82" s="214">
        <f>SUM(compras_mes78288[[#This Row],[NETO GRAVADO]:[Otros / No Grav.]])</f>
        <v>1110293.58</v>
      </c>
      <c r="Q82" s="215" t="str">
        <f>IFERROR(IF(compras_mes78288[[#This Row],[CUIT]]="","-",VLOOKUP(compras_mes78288[[#This Row],[CUIT]],Lista_CUIT[#All],3,0)),"CUIT NO CARGADO")</f>
        <v>Productos Venta</v>
      </c>
      <c r="R82" s="215">
        <f>IFERROR(IF(compras_mes78288[[#This Row],[CUIT]]="","-",VLOOKUP(compras_mes78288[[#This Row],[CUIT]],Lista_CUIT[#All],4,0)),"CUIT NO CARGADO")</f>
        <v>0</v>
      </c>
      <c r="S82">
        <v>847605</v>
      </c>
      <c r="T82" s="33">
        <f>compras_mes78288[[#This Row],[TOTAL]]-compras_mes78288[[#This Row],[Columna1]]</f>
        <v>262688.58000000007</v>
      </c>
    </row>
    <row r="83" spans="2:20" x14ac:dyDescent="0.25">
      <c r="B83" s="207" t="s">
        <v>2542</v>
      </c>
      <c r="C83" s="208">
        <v>1</v>
      </c>
      <c r="D83" s="209">
        <v>6</v>
      </c>
      <c r="E83" s="225">
        <v>3585</v>
      </c>
      <c r="F83" s="210">
        <v>30574603788</v>
      </c>
      <c r="G83" s="211" t="str">
        <f>IFERROR(IF(compras_mes78288[[#This Row],[CUIT]]="","-",VLOOKUP(compras_mes78288[[#This Row],[CUIT]],Lista_CUIT[#All],2,0)),"CUIT NO CARGADO")</f>
        <v>CODAC SRL</v>
      </c>
      <c r="H83" s="212">
        <v>4134869</v>
      </c>
      <c r="I83" s="213">
        <f>IF(compras_mes78288[[#This Row],[NETO GRAVADO]]="","",compras_mes78288[[#This Row],[NETO GRAVADO]]*0.21)</f>
        <v>868322.49</v>
      </c>
      <c r="J83" s="213"/>
      <c r="K83" s="213"/>
      <c r="L83" s="384"/>
      <c r="M83" s="213"/>
      <c r="N83" s="213"/>
      <c r="O83" s="213"/>
      <c r="P83" s="214">
        <f>SUM(compras_mes78288[[#This Row],[NETO GRAVADO]:[Otros / No Grav.]])</f>
        <v>5003191.49</v>
      </c>
      <c r="Q83" s="215" t="str">
        <f>IFERROR(IF(compras_mes78288[[#This Row],[CUIT]]="","-",VLOOKUP(compras_mes78288[[#This Row],[CUIT]],Lista_CUIT[#All],3,0)),"CUIT NO CARGADO")</f>
        <v>Productos Venta</v>
      </c>
      <c r="R83" s="215" t="str">
        <f>IFERROR(IF(compras_mes78288[[#This Row],[CUIT]]="","-",VLOOKUP(compras_mes78288[[#This Row],[CUIT]],Lista_CUIT[#All],4,0)),"CUIT NO CARGADO")</f>
        <v>BUENOS AIRES</v>
      </c>
      <c r="S83">
        <v>3823600</v>
      </c>
      <c r="T83" s="33">
        <f>compras_mes78288[[#This Row],[TOTAL]]-compras_mes78288[[#This Row],[Columna1]]</f>
        <v>1179591.4900000002</v>
      </c>
    </row>
    <row r="84" spans="2:20" x14ac:dyDescent="0.25">
      <c r="B84" s="207" t="s">
        <v>2542</v>
      </c>
      <c r="C84" s="208">
        <v>1</v>
      </c>
      <c r="D84" s="209">
        <v>4</v>
      </c>
      <c r="E84" s="225">
        <v>502</v>
      </c>
      <c r="F84" s="210">
        <v>27317740196</v>
      </c>
      <c r="G84" s="45" t="str">
        <f>IFERROR(IF(compras_mes78288[[#This Row],[CUIT]]="","-",VLOOKUP(compras_mes78288[[#This Row],[CUIT]],Lista_CUIT[#All],2,0)),"CUIT NO CARGADO")</f>
        <v>HOKAMA ROMINA PAOLA</v>
      </c>
      <c r="H84" s="212">
        <v>23914.07</v>
      </c>
      <c r="I84" s="213">
        <f>IF(compras_mes78288[[#This Row],[NETO GRAVADO]]="","",compras_mes78288[[#This Row],[NETO GRAVADO]]*0.21)</f>
        <v>5021.9546999999993</v>
      </c>
      <c r="J84" s="213"/>
      <c r="K84" s="213"/>
      <c r="L84" s="213"/>
      <c r="M84" s="213"/>
      <c r="N84" s="213"/>
      <c r="O84" s="213"/>
      <c r="P84" s="48">
        <f>SUM(compras_mes78288[[#This Row],[NETO GRAVADO]:[Otros / No Grav.]])</f>
        <v>28936.024699999998</v>
      </c>
      <c r="Q84" s="49" t="str">
        <f>IFERROR(IF(compras_mes78288[[#This Row],[CUIT]]="","-",VLOOKUP(compras_mes78288[[#This Row],[CUIT]],Lista_CUIT[#All],3,0)),"CUIT NO CARGADO")</f>
        <v>Gastos Varios</v>
      </c>
      <c r="R84" s="49">
        <f>IFERROR(IF(compras_mes78288[[#This Row],[CUIT]]="","-",VLOOKUP(compras_mes78288[[#This Row],[CUIT]],Lista_CUIT[#All],4,0)),"CUIT NO CARGADO")</f>
        <v>0</v>
      </c>
      <c r="S84">
        <v>1800177.5</v>
      </c>
      <c r="T84" s="33">
        <f>compras_mes78288[[#This Row],[TOTAL]]-compras_mes78288[[#This Row],[Columna1]]</f>
        <v>-1771241.4753</v>
      </c>
    </row>
    <row r="85" spans="2:20" x14ac:dyDescent="0.25">
      <c r="B85" s="207" t="s">
        <v>2542</v>
      </c>
      <c r="C85" s="208">
        <v>1</v>
      </c>
      <c r="D85" s="209">
        <v>4</v>
      </c>
      <c r="E85" s="225">
        <v>7379</v>
      </c>
      <c r="F85" s="210">
        <v>20204428566</v>
      </c>
      <c r="G85" s="45" t="str">
        <f>IFERROR(IF(compras_mes78288[[#This Row],[CUIT]]="","-",VLOOKUP(compras_mes78288[[#This Row],[CUIT]],Lista_CUIT[#All],2,0)),"CUIT NO CARGADO")</f>
        <v>CORANA HERNAN SILVIO</v>
      </c>
      <c r="H85" s="212">
        <v>467864.25</v>
      </c>
      <c r="I85" s="85" t="s">
        <v>2411</v>
      </c>
      <c r="J85" s="213"/>
      <c r="K85" s="213">
        <f>compras_mes78288[[#This Row],[NETO GRAVADO]]*0.105</f>
        <v>49125.746249999997</v>
      </c>
      <c r="L85" s="213"/>
      <c r="M85" s="213"/>
      <c r="N85" s="213"/>
      <c r="O85" s="213"/>
      <c r="P85" s="48">
        <f>SUM(compras_mes78288[[#This Row],[NETO GRAVADO]:[Otros / No Grav.]])</f>
        <v>516989.99624999997</v>
      </c>
      <c r="Q85" s="49" t="str">
        <f>IFERROR(IF(compras_mes78288[[#This Row],[CUIT]]="","-",VLOOKUP(compras_mes78288[[#This Row],[CUIT]],Lista_CUIT[#All],3,0)),"CUIT NO CARGADO")</f>
        <v>Gastos Oficina</v>
      </c>
      <c r="R85" s="49">
        <f>IFERROR(IF(compras_mes78288[[#This Row],[CUIT]]="","-",VLOOKUP(compras_mes78288[[#This Row],[CUIT]],Lista_CUIT[#All],4,0)),"CUIT NO CARGADO")</f>
        <v>0</v>
      </c>
      <c r="T85" s="33">
        <f>compras_mes78288[[#This Row],[TOTAL]]-compras_mes78288[[#This Row],[Columna1]]</f>
        <v>516989.99624999997</v>
      </c>
    </row>
    <row r="86" spans="2:20" x14ac:dyDescent="0.25">
      <c r="B86" s="207" t="s">
        <v>2542</v>
      </c>
      <c r="C86" s="208">
        <v>1</v>
      </c>
      <c r="D86" s="209">
        <v>700</v>
      </c>
      <c r="E86" s="225">
        <v>2589845</v>
      </c>
      <c r="F86" s="210">
        <v>30715804812</v>
      </c>
      <c r="G86" s="211" t="str">
        <f>IFERROR(IF(compras_mes78288[[#This Row],[CUIT]]="","-",VLOOKUP(compras_mes78288[[#This Row],[CUIT]],Lista_CUIT[#All],2,0)),"CUIT NO CARGADO")</f>
        <v>CORREDORES VIALES SOCIEDAD ANONIMA</v>
      </c>
      <c r="H86" s="212">
        <v>3535.93</v>
      </c>
      <c r="I86" s="213">
        <f>IF(compras_mes78288[[#This Row],[NETO GRAVADO]]="","",compras_mes78288[[#This Row],[NETO GRAVADO]]*0.21)</f>
        <v>742.54529999999988</v>
      </c>
      <c r="J86" s="213"/>
      <c r="K86" s="213"/>
      <c r="L86" s="213"/>
      <c r="M86" s="213"/>
      <c r="N86" s="213"/>
      <c r="O86" s="213"/>
      <c r="P86" s="214">
        <f>SUM(compras_mes78288[[#This Row],[NETO GRAVADO]:[Otros / No Grav.]])</f>
        <v>4278.4753000000001</v>
      </c>
      <c r="Q86" s="215" t="str">
        <f>IFERROR(IF(compras_mes78288[[#This Row],[CUIT]]="","-",VLOOKUP(compras_mes78288[[#This Row],[CUIT]],Lista_CUIT[#All],3,0)),"CUIT NO CARGADO")</f>
        <v>Peajes</v>
      </c>
      <c r="R86" s="215">
        <f>IFERROR(IF(compras_mes78288[[#This Row],[CUIT]]="","-",VLOOKUP(compras_mes78288[[#This Row],[CUIT]],Lista_CUIT[#All],4,0)),"CUIT NO CARGADO")</f>
        <v>0</v>
      </c>
      <c r="S86">
        <v>41026</v>
      </c>
      <c r="T86" s="33">
        <f>compras_mes78288[[#This Row],[TOTAL]]-compras_mes78288[[#This Row],[Columna1]]</f>
        <v>-36747.524700000002</v>
      </c>
    </row>
    <row r="87" spans="2:20" x14ac:dyDescent="0.25">
      <c r="B87" s="207" t="s">
        <v>2542</v>
      </c>
      <c r="C87" s="208">
        <v>1</v>
      </c>
      <c r="D87" s="209">
        <v>2</v>
      </c>
      <c r="E87" s="225">
        <v>4111</v>
      </c>
      <c r="F87" s="210">
        <v>30629863571</v>
      </c>
      <c r="G87" s="211" t="str">
        <f>IFERROR(IF(compras_mes78288[[#This Row],[CUIT]]="","-",VLOOKUP(compras_mes78288[[#This Row],[CUIT]],Lista_CUIT[#All],2,0)),"CUIT NO CARGADO")</f>
        <v>TECNIMAR S R L</v>
      </c>
      <c r="H87" s="212">
        <v>2207980</v>
      </c>
      <c r="I87" s="213">
        <f>IF(compras_mes78288[[#This Row],[NETO GRAVADO]]="","",compras_mes78288[[#This Row],[NETO GRAVADO]]*0.21)</f>
        <v>463675.8</v>
      </c>
      <c r="J87" s="213"/>
      <c r="K87" s="213"/>
      <c r="L87" s="213"/>
      <c r="M87" s="213"/>
      <c r="N87" s="213"/>
      <c r="O87" s="213"/>
      <c r="P87" s="214">
        <f>SUM(compras_mes78288[[#This Row],[NETO GRAVADO]:[Otros / No Grav.]])</f>
        <v>2671655.7999999998</v>
      </c>
      <c r="Q87" s="215" t="str">
        <f>IFERROR(IF(compras_mes78288[[#This Row],[CUIT]]="","-",VLOOKUP(compras_mes78288[[#This Row],[CUIT]],Lista_CUIT[#All],3,0)),"CUIT NO CARGADO")</f>
        <v>Productos Venta</v>
      </c>
      <c r="R87" s="215">
        <f>IFERROR(IF(compras_mes78288[[#This Row],[CUIT]]="","-",VLOOKUP(compras_mes78288[[#This Row],[CUIT]],Lista_CUIT[#All],4,0)),"CUIT NO CARGADO")</f>
        <v>0</v>
      </c>
      <c r="S87">
        <v>71158.399999999994</v>
      </c>
      <c r="T87" s="33">
        <f>compras_mes78288[[#This Row],[TOTAL]]-compras_mes78288[[#This Row],[Columna1]]</f>
        <v>2600497.4</v>
      </c>
    </row>
    <row r="88" spans="2:20" x14ac:dyDescent="0.25">
      <c r="B88" s="207" t="s">
        <v>2543</v>
      </c>
      <c r="C88" s="208">
        <v>1</v>
      </c>
      <c r="D88" s="209">
        <v>4</v>
      </c>
      <c r="E88" s="225">
        <v>50398</v>
      </c>
      <c r="F88" s="210">
        <v>30709863076</v>
      </c>
      <c r="G88" s="211" t="str">
        <f>IFERROR(IF(compras_mes78288[[#This Row],[CUIT]]="","-",VLOOKUP(compras_mes78288[[#This Row],[CUIT]],Lista_CUIT[#All],2,0)),"CUIT NO CARGADO")</f>
        <v>INDUSTRIAS PLASTICOS SALTA S.R.L.</v>
      </c>
      <c r="H88" s="212">
        <v>846300</v>
      </c>
      <c r="I88" s="213">
        <f>IF(compras_mes78288[[#This Row],[NETO GRAVADO]]="","",compras_mes78288[[#This Row],[NETO GRAVADO]]*0.21)</f>
        <v>177723</v>
      </c>
      <c r="J88" s="213"/>
      <c r="K88" s="213"/>
      <c r="L88" s="384"/>
      <c r="M88" s="213"/>
      <c r="N88" s="213"/>
      <c r="O88" s="213"/>
      <c r="P88" s="214">
        <f>SUM(compras_mes78288[[#This Row],[NETO GRAVADO]:[Otros / No Grav.]])</f>
        <v>1024023</v>
      </c>
      <c r="Q88" s="215" t="str">
        <f>IFERROR(IF(compras_mes78288[[#This Row],[CUIT]]="","-",VLOOKUP(compras_mes78288[[#This Row],[CUIT]],Lista_CUIT[#All],3,0)),"CUIT NO CARGADO")</f>
        <v>Materia Prima</v>
      </c>
      <c r="R88" s="215">
        <f>IFERROR(IF(compras_mes78288[[#This Row],[CUIT]]="","-",VLOOKUP(compras_mes78288[[#This Row],[CUIT]],Lista_CUIT[#All],4,0)),"CUIT NO CARGADO")</f>
        <v>0</v>
      </c>
      <c r="S88">
        <v>112999.61</v>
      </c>
      <c r="T88" s="33">
        <f>compras_mes78288[[#This Row],[TOTAL]]-compras_mes78288[[#This Row],[Columna1]]</f>
        <v>911023.39</v>
      </c>
    </row>
    <row r="89" spans="2:20" x14ac:dyDescent="0.25">
      <c r="B89" s="207" t="s">
        <v>2543</v>
      </c>
      <c r="C89" s="208">
        <v>1</v>
      </c>
      <c r="D89" s="209">
        <v>2188</v>
      </c>
      <c r="E89" s="225">
        <v>153694</v>
      </c>
      <c r="F89" s="210">
        <v>30548083156</v>
      </c>
      <c r="G89" s="45" t="str">
        <f>IFERROR(IF(compras_mes78288[[#This Row],[CUIT]]="","-",VLOOKUP(compras_mes78288[[#This Row],[CUIT]],Lista_CUIT[#All],2,0)),"CUIT NO CARGADO")</f>
        <v>COTO CENTRO INTEGRAL DE COMERCIALIZACION SOCIEDAD ANONIMA</v>
      </c>
      <c r="H89" s="212">
        <v>89277.25</v>
      </c>
      <c r="I89" s="213">
        <v>17381.21</v>
      </c>
      <c r="J89" s="213"/>
      <c r="K89" s="213">
        <v>683.5</v>
      </c>
      <c r="L89" s="213"/>
      <c r="M89" s="213"/>
      <c r="N89" s="213"/>
      <c r="O89" s="213">
        <v>7482.49</v>
      </c>
      <c r="P89" s="48">
        <f>SUM(compras_mes78288[[#This Row],[NETO GRAVADO]:[Otros / No Grav.]])</f>
        <v>114824.45</v>
      </c>
      <c r="Q89" s="49" t="str">
        <f>IFERROR(IF(compras_mes78288[[#This Row],[CUIT]]="","-",VLOOKUP(compras_mes78288[[#This Row],[CUIT]],Lista_CUIT[#All],3,0)),"CUIT NO CARGADO")</f>
        <v>Gastos Varios</v>
      </c>
      <c r="R89" s="49">
        <f>IFERROR(IF(compras_mes78288[[#This Row],[CUIT]]="","-",VLOOKUP(compras_mes78288[[#This Row],[CUIT]],Lista_CUIT[#All],4,0)),"CUIT NO CARGADO")</f>
        <v>0</v>
      </c>
      <c r="T89" s="33">
        <f>compras_mes78288[[#This Row],[TOTAL]]-compras_mes78288[[#This Row],[Columna1]]</f>
        <v>114824.45</v>
      </c>
    </row>
    <row r="90" spans="2:20" x14ac:dyDescent="0.25">
      <c r="B90" s="207" t="s">
        <v>2543</v>
      </c>
      <c r="C90" s="208">
        <v>1</v>
      </c>
      <c r="D90" s="209">
        <v>5015</v>
      </c>
      <c r="E90" s="225">
        <v>931226</v>
      </c>
      <c r="F90" s="210">
        <v>30574876474</v>
      </c>
      <c r="G90" s="211" t="str">
        <f>IFERROR(IF(compras_mes78288[[#This Row],[CUIT]]="","-",VLOOKUP(compras_mes78288[[#This Row],[CUIT]],Lista_CUIT[#All],2,0)),"CUIT NO CARGADO")</f>
        <v>AUTOPISTAS URBANAS S A</v>
      </c>
      <c r="H90" s="212">
        <v>100201.33</v>
      </c>
      <c r="I90" s="213">
        <f>IF(compras_mes78288[[#This Row],[NETO GRAVADO]]="","",compras_mes78288[[#This Row],[NETO GRAVADO]]*0.21)</f>
        <v>21042.279299999998</v>
      </c>
      <c r="J90" s="213"/>
      <c r="K90" s="213"/>
      <c r="L90" s="213"/>
      <c r="M90" s="213"/>
      <c r="N90" s="213"/>
      <c r="O90" s="213">
        <v>13026.13</v>
      </c>
      <c r="P90" s="532">
        <f>SUM(compras_mes78288[[#This Row],[NETO GRAVADO]:[Otros / No Grav.]])</f>
        <v>134269.73929999999</v>
      </c>
      <c r="Q90" s="215" t="str">
        <f>IFERROR(IF(compras_mes78288[[#This Row],[CUIT]]="","-",VLOOKUP(compras_mes78288[[#This Row],[CUIT]],Lista_CUIT[#All],3,0)),"CUIT NO CARGADO")</f>
        <v>Peajes</v>
      </c>
      <c r="R90" s="215">
        <f>IFERROR(IF(compras_mes78288[[#This Row],[CUIT]]="","-",VLOOKUP(compras_mes78288[[#This Row],[CUIT]],Lista_CUIT[#All],4,0)),"CUIT NO CARGADO")</f>
        <v>0</v>
      </c>
      <c r="S90">
        <v>110739.2</v>
      </c>
      <c r="T90" s="33">
        <f>compras_mes78288[[#This Row],[TOTAL]]-compras_mes78288[[#This Row],[Columna1]]</f>
        <v>23530.539299999989</v>
      </c>
    </row>
    <row r="91" spans="2:20" x14ac:dyDescent="0.25">
      <c r="B91" s="207" t="s">
        <v>2543</v>
      </c>
      <c r="C91" s="208">
        <v>1</v>
      </c>
      <c r="D91" s="209">
        <v>2</v>
      </c>
      <c r="E91" s="225">
        <v>246</v>
      </c>
      <c r="F91" s="210">
        <v>20250954426</v>
      </c>
      <c r="G91" s="45" t="str">
        <f>IFERROR(IF(compras_mes78288[[#This Row],[CUIT]]="","-",VLOOKUP(compras_mes78288[[#This Row],[CUIT]],Lista_CUIT[#All],2,0)),"CUIT NO CARGADO")</f>
        <v>ALVARIÑAS DIEGO EDUARDO</v>
      </c>
      <c r="H91" s="212">
        <v>2160000</v>
      </c>
      <c r="I91" s="213">
        <f>IF(compras_mes78288[[#This Row],[NETO GRAVADO]]="","",compras_mes78288[[#This Row],[NETO GRAVADO]]*0.21)</f>
        <v>453600</v>
      </c>
      <c r="J91" s="213"/>
      <c r="K91" s="213"/>
      <c r="L91" s="213"/>
      <c r="M91" s="213"/>
      <c r="N91" s="213"/>
      <c r="O91" s="213"/>
      <c r="P91" s="48">
        <f>SUM(compras_mes78288[[#This Row],[NETO GRAVADO]:[Otros / No Grav.]])</f>
        <v>2613600</v>
      </c>
      <c r="Q91" s="49" t="str">
        <f>IFERROR(IF(compras_mes78288[[#This Row],[CUIT]]="","-",VLOOKUP(compras_mes78288[[#This Row],[CUIT]],Lista_CUIT[#All],3,0)),"CUIT NO CARGADO")</f>
        <v>Pendiente clasificacion</v>
      </c>
      <c r="R91" s="49">
        <f>IFERROR(IF(compras_mes78288[[#This Row],[CUIT]]="","-",VLOOKUP(compras_mes78288[[#This Row],[CUIT]],Lista_CUIT[#All],4,0)),"CUIT NO CARGADO")</f>
        <v>0</v>
      </c>
      <c r="S91">
        <v>4431848.97</v>
      </c>
      <c r="T91" s="33">
        <f>compras_mes78288[[#This Row],[TOTAL]]-compras_mes78288[[#This Row],[Columna1]]</f>
        <v>-1818248.9699999997</v>
      </c>
    </row>
    <row r="92" spans="2:20" x14ac:dyDescent="0.25">
      <c r="B92" s="207" t="s">
        <v>2544</v>
      </c>
      <c r="C92" s="208">
        <v>1</v>
      </c>
      <c r="D92" s="209">
        <v>7</v>
      </c>
      <c r="E92" s="225">
        <v>225874</v>
      </c>
      <c r="F92" s="210">
        <v>30716821516</v>
      </c>
      <c r="G92" s="211" t="str">
        <f>IFERROR(IF(compras_mes78288[[#This Row],[CUIT]]="","-",VLOOKUP(compras_mes78288[[#This Row],[CUIT]],Lista_CUIT[#All],2,0)),"CUIT NO CARGADO")</f>
        <v>GETNET ARGENTINA S. A. U.</v>
      </c>
      <c r="H92" s="212">
        <v>0</v>
      </c>
      <c r="I92" s="213">
        <f>IF(compras_mes78288[[#This Row],[NETO GRAVADO]]="","",compras_mes78288[[#This Row],[NETO GRAVADO]]*0.21)</f>
        <v>0</v>
      </c>
      <c r="J92" s="213"/>
      <c r="K92" s="213"/>
      <c r="L92" s="213"/>
      <c r="M92" s="213"/>
      <c r="N92" s="213"/>
      <c r="O92" s="213"/>
      <c r="P92" s="214">
        <f>SUM(compras_mes78288[[#This Row],[NETO GRAVADO]:[Otros / No Grav.]])</f>
        <v>0</v>
      </c>
      <c r="Q92" s="215" t="str">
        <f>IFERROR(IF(compras_mes78288[[#This Row],[CUIT]]="","-",VLOOKUP(compras_mes78288[[#This Row],[CUIT]],Lista_CUIT[#All],3,0)),"CUIT NO CARGADO")</f>
        <v>Gastos administrativos</v>
      </c>
      <c r="R92" s="215">
        <f>IFERROR(IF(compras_mes78288[[#This Row],[CUIT]]="","-",VLOOKUP(compras_mes78288[[#This Row],[CUIT]],Lista_CUIT[#All],4,0)),"CUIT NO CARGADO")</f>
        <v>0</v>
      </c>
      <c r="S92">
        <v>1415700</v>
      </c>
      <c r="T92" s="33">
        <f>compras_mes78288[[#This Row],[TOTAL]]-compras_mes78288[[#This Row],[Columna1]]</f>
        <v>-1415700</v>
      </c>
    </row>
    <row r="93" spans="2:20" x14ac:dyDescent="0.25">
      <c r="B93" s="207" t="s">
        <v>2544</v>
      </c>
      <c r="C93" s="208">
        <v>1</v>
      </c>
      <c r="D93" s="209">
        <v>1678</v>
      </c>
      <c r="E93" s="225">
        <v>59857</v>
      </c>
      <c r="F93" s="210">
        <v>30589621499</v>
      </c>
      <c r="G93" s="45" t="str">
        <f>IFERROR(IF(compras_mes78288[[#This Row],[CUIT]]="","-",VLOOKUP(compras_mes78288[[#This Row],[CUIT]],Lista_CUIT[#All],2,0)),"CUIT NO CARGADO")</f>
        <v>MAKRO SA</v>
      </c>
      <c r="H93" s="212">
        <v>59321.36</v>
      </c>
      <c r="I93" s="213">
        <f>IF(compras_mes78288[[#This Row],[NETO GRAVADO]]="","",compras_mes78288[[#This Row],[NETO GRAVADO]]*0.21)</f>
        <v>12457.4856</v>
      </c>
      <c r="J93" s="213"/>
      <c r="K93" s="213"/>
      <c r="L93" s="213">
        <v>1779.64</v>
      </c>
      <c r="M93" s="213"/>
      <c r="N93" s="213">
        <v>3559.28</v>
      </c>
      <c r="O93" s="213"/>
      <c r="P93" s="48">
        <f>SUM(compras_mes78288[[#This Row],[NETO GRAVADO]:[Otros / No Grav.]])</f>
        <v>77117.765599999999</v>
      </c>
      <c r="Q93" s="49" t="str">
        <f>IFERROR(IF(compras_mes78288[[#This Row],[CUIT]]="","-",VLOOKUP(compras_mes78288[[#This Row],[CUIT]],Lista_CUIT[#All],3,0)),"CUIT NO CARGADO")</f>
        <v>Gastos Varios</v>
      </c>
      <c r="R93" s="49">
        <f>IFERROR(IF(compras_mes78288[[#This Row],[CUIT]]="","-",VLOOKUP(compras_mes78288[[#This Row],[CUIT]],Lista_CUIT[#All],4,0)),"CUIT NO CARGADO")</f>
        <v>0</v>
      </c>
      <c r="T93" s="33">
        <f>compras_mes78288[[#This Row],[TOTAL]]-compras_mes78288[[#This Row],[Columna1]]</f>
        <v>77117.765599999999</v>
      </c>
    </row>
    <row r="94" spans="2:20" x14ac:dyDescent="0.25">
      <c r="B94" s="207" t="s">
        <v>2544</v>
      </c>
      <c r="C94" s="208">
        <v>1</v>
      </c>
      <c r="D94" s="209">
        <v>2</v>
      </c>
      <c r="E94" s="225">
        <v>3381</v>
      </c>
      <c r="F94" s="210">
        <v>20240305128</v>
      </c>
      <c r="G94" s="45" t="str">
        <f>IFERROR(IF(compras_mes78288[[#This Row],[CUIT]]="","-",VLOOKUP(compras_mes78288[[#This Row],[CUIT]],Lista_CUIT[#All],2,0)),"CUIT NO CARGADO")</f>
        <v>Abraldes Diego Roberto</v>
      </c>
      <c r="H94" s="212">
        <v>145507</v>
      </c>
      <c r="I94" s="213">
        <f>IF(compras_mes78288[[#This Row],[NETO GRAVADO]]="","",compras_mes78288[[#This Row],[NETO GRAVADO]]*0.21)</f>
        <v>30556.469999999998</v>
      </c>
      <c r="J94" s="213"/>
      <c r="K94" s="213"/>
      <c r="L94" s="213"/>
      <c r="M94" s="213"/>
      <c r="N94" s="213"/>
      <c r="O94" s="213"/>
      <c r="P94" s="48">
        <f>SUM(compras_mes78288[[#This Row],[NETO GRAVADO]:[Otros / No Grav.]])</f>
        <v>176063.47</v>
      </c>
      <c r="Q94" s="49" t="str">
        <f>IFERROR(IF(compras_mes78288[[#This Row],[CUIT]]="","-",VLOOKUP(compras_mes78288[[#This Row],[CUIT]],Lista_CUIT[#All],3,0)),"CUIT NO CARGADO")</f>
        <v>LIBRERÍA</v>
      </c>
      <c r="R94" s="49">
        <f>IFERROR(IF(compras_mes78288[[#This Row],[CUIT]]="","-",VLOOKUP(compras_mes78288[[#This Row],[CUIT]],Lista_CUIT[#All],4,0)),"CUIT NO CARGADO")</f>
        <v>0</v>
      </c>
      <c r="T94" s="33">
        <f>compras_mes78288[[#This Row],[TOTAL]]-compras_mes78288[[#This Row],[Columna1]]</f>
        <v>176063.47</v>
      </c>
    </row>
    <row r="95" spans="2:20" x14ac:dyDescent="0.25">
      <c r="B95" s="207" t="s">
        <v>2544</v>
      </c>
      <c r="C95" s="208">
        <v>1</v>
      </c>
      <c r="D95" s="209">
        <v>2</v>
      </c>
      <c r="E95" s="225">
        <v>4112</v>
      </c>
      <c r="F95" s="210">
        <v>30629863571</v>
      </c>
      <c r="G95" s="45" t="str">
        <f>IFERROR(IF(compras_mes78288[[#This Row],[CUIT]]="","-",VLOOKUP(compras_mes78288[[#This Row],[CUIT]],Lista_CUIT[#All],2,0)),"CUIT NO CARGADO")</f>
        <v>TECNIMAR S R L</v>
      </c>
      <c r="H95" s="212">
        <v>1098059</v>
      </c>
      <c r="I95" s="213">
        <f>IF(compras_mes78288[[#This Row],[NETO GRAVADO]]="","",compras_mes78288[[#This Row],[NETO GRAVADO]]*0.21)</f>
        <v>230592.38999999998</v>
      </c>
      <c r="J95" s="213"/>
      <c r="K95" s="213"/>
      <c r="L95" s="213"/>
      <c r="M95" s="213"/>
      <c r="N95" s="213"/>
      <c r="O95" s="213"/>
      <c r="P95" s="48">
        <f>SUM(compras_mes78288[[#This Row],[NETO GRAVADO]:[Otros / No Grav.]])</f>
        <v>1328651.3899999999</v>
      </c>
      <c r="Q95" s="49" t="str">
        <f>IFERROR(IF(compras_mes78288[[#This Row],[CUIT]]="","-",VLOOKUP(compras_mes78288[[#This Row],[CUIT]],Lista_CUIT[#All],3,0)),"CUIT NO CARGADO")</f>
        <v>Productos Venta</v>
      </c>
      <c r="R95" s="49">
        <f>IFERROR(IF(compras_mes78288[[#This Row],[CUIT]]="","-",VLOOKUP(compras_mes78288[[#This Row],[CUIT]],Lista_CUIT[#All],4,0)),"CUIT NO CARGADO")</f>
        <v>0</v>
      </c>
      <c r="S95">
        <v>33811.03</v>
      </c>
      <c r="T95" s="33">
        <f>compras_mes78288[[#This Row],[TOTAL]]-compras_mes78288[[#This Row],[Columna1]]</f>
        <v>1294840.3599999999</v>
      </c>
    </row>
    <row r="96" spans="2:20" x14ac:dyDescent="0.25">
      <c r="B96" s="207" t="s">
        <v>2526</v>
      </c>
      <c r="C96" s="208">
        <v>1</v>
      </c>
      <c r="D96" s="209">
        <v>4</v>
      </c>
      <c r="E96" s="225">
        <v>20800</v>
      </c>
      <c r="F96" s="210">
        <v>30710688180</v>
      </c>
      <c r="G96" s="211" t="str">
        <f>IFERROR(IF(compras_mes78288[[#This Row],[CUIT]]="","-",VLOOKUP(compras_mes78288[[#This Row],[CUIT]],Lista_CUIT[#All],2,0)),"CUIT NO CARGADO")</f>
        <v>DALTOSUR S.R.L.</v>
      </c>
      <c r="H96" s="212">
        <v>482724</v>
      </c>
      <c r="I96" s="213">
        <f>IF(compras_mes78288[[#This Row],[NETO GRAVADO]]="","",compras_mes78288[[#This Row],[NETO GRAVADO]]*0.21)</f>
        <v>101372.04</v>
      </c>
      <c r="J96" s="213"/>
      <c r="K96" s="213"/>
      <c r="L96" s="213"/>
      <c r="M96" s="213">
        <v>28963.439999999999</v>
      </c>
      <c r="N96" s="213"/>
      <c r="O96" s="213"/>
      <c r="P96" s="214">
        <f>SUM(compras_mes78288[[#This Row],[NETO GRAVADO]:[Otros / No Grav.]])</f>
        <v>613059.48</v>
      </c>
      <c r="Q96" s="215" t="str">
        <f>IFERROR(IF(compras_mes78288[[#This Row],[CUIT]]="","-",VLOOKUP(compras_mes78288[[#This Row],[CUIT]],Lista_CUIT[#All],3,0)),"CUIT NO CARGADO")</f>
        <v>Insumos</v>
      </c>
      <c r="R96" s="215">
        <f>IFERROR(IF(compras_mes78288[[#This Row],[CUIT]]="","-",VLOOKUP(compras_mes78288[[#This Row],[CUIT]],Lista_CUIT[#All],4,0)),"CUIT NO CARGADO")</f>
        <v>0</v>
      </c>
      <c r="S96">
        <v>93470</v>
      </c>
      <c r="T96" s="33">
        <f>compras_mes78288[[#This Row],[TOTAL]]-compras_mes78288[[#This Row],[Columna1]]</f>
        <v>519589.48</v>
      </c>
    </row>
    <row r="97" spans="2:20" x14ac:dyDescent="0.25">
      <c r="B97" s="207" t="s">
        <v>2526</v>
      </c>
      <c r="C97" s="208">
        <v>1</v>
      </c>
      <c r="D97" s="209">
        <v>72</v>
      </c>
      <c r="E97" s="225">
        <v>319154</v>
      </c>
      <c r="F97" s="210">
        <v>30546741253</v>
      </c>
      <c r="G97" s="211" t="str">
        <f>IFERROR(IF(compras_mes78288[[#This Row],[CUIT]]="","-",VLOOKUP(compras_mes78288[[#This Row],[CUIT]],Lista_CUIT[#All],2,0)),"CUIT NO CARGADO")</f>
        <v>OSDE </v>
      </c>
      <c r="H97" s="212">
        <v>638416.28</v>
      </c>
      <c r="I97" s="85" t="s">
        <v>2411</v>
      </c>
      <c r="J97" s="213"/>
      <c r="K97" s="213">
        <f>compras_mes78288[[#This Row],[NETO GRAVADO]]*0.105</f>
        <v>67033.709400000007</v>
      </c>
      <c r="L97" s="213"/>
      <c r="M97" s="213">
        <v>38304.980000000003</v>
      </c>
      <c r="N97" s="213"/>
      <c r="O97" s="213"/>
      <c r="P97" s="214">
        <f>SUM(compras_mes78288[[#This Row],[NETO GRAVADO]:[Otros / No Grav.]])</f>
        <v>743754.96940000006</v>
      </c>
      <c r="Q97" s="215" t="str">
        <f>IFERROR(IF(compras_mes78288[[#This Row],[CUIT]]="","-",VLOOKUP(compras_mes78288[[#This Row],[CUIT]],Lista_CUIT[#All],3,0)),"CUIT NO CARGADO")</f>
        <v>Prepaga corporativa</v>
      </c>
      <c r="R97" s="215">
        <f>IFERROR(IF(compras_mes78288[[#This Row],[CUIT]]="","-",VLOOKUP(compras_mes78288[[#This Row],[CUIT]],Lista_CUIT[#All],4,0)),"CUIT NO CARGADO")</f>
        <v>0</v>
      </c>
      <c r="S97">
        <v>66216</v>
      </c>
      <c r="T97" s="33">
        <f>compras_mes78288[[#This Row],[TOTAL]]-compras_mes78288[[#This Row],[Columna1]]</f>
        <v>677538.96940000006</v>
      </c>
    </row>
    <row r="98" spans="2:20" x14ac:dyDescent="0.25">
      <c r="B98" s="207" t="s">
        <v>2527</v>
      </c>
      <c r="C98" s="208">
        <v>1</v>
      </c>
      <c r="D98" s="209">
        <v>4</v>
      </c>
      <c r="E98" s="225">
        <v>527</v>
      </c>
      <c r="F98" s="210">
        <v>27317740196</v>
      </c>
      <c r="G98" s="45" t="str">
        <f>IFERROR(IF(compras_mes78288[[#This Row],[CUIT]]="","-",VLOOKUP(compras_mes78288[[#This Row],[CUIT]],Lista_CUIT[#All],2,0)),"CUIT NO CARGADO")</f>
        <v>HOKAMA ROMINA PAOLA</v>
      </c>
      <c r="H98" s="212">
        <v>16609.91</v>
      </c>
      <c r="I98" s="213">
        <f>IF(compras_mes78288[[#This Row],[NETO GRAVADO]]="","",compras_mes78288[[#This Row],[NETO GRAVADO]]*0.21)</f>
        <v>3488.0810999999999</v>
      </c>
      <c r="J98" s="213"/>
      <c r="K98" s="213"/>
      <c r="L98" s="213"/>
      <c r="M98" s="213"/>
      <c r="N98" s="213"/>
      <c r="O98" s="213"/>
      <c r="P98" s="48">
        <f>SUM(compras_mes78288[[#This Row],[NETO GRAVADO]:[Otros / No Grav.]])</f>
        <v>20097.991099999999</v>
      </c>
      <c r="Q98" s="49" t="str">
        <f>IFERROR(IF(compras_mes78288[[#This Row],[CUIT]]="","-",VLOOKUP(compras_mes78288[[#This Row],[CUIT]],Lista_CUIT[#All],3,0)),"CUIT NO CARGADO")</f>
        <v>Gastos Varios</v>
      </c>
      <c r="R98" s="49">
        <f>IFERROR(IF(compras_mes78288[[#This Row],[CUIT]]="","-",VLOOKUP(compras_mes78288[[#This Row],[CUIT]],Lista_CUIT[#All],4,0)),"CUIT NO CARGADO")</f>
        <v>0</v>
      </c>
      <c r="S98">
        <v>186940</v>
      </c>
      <c r="T98" s="33">
        <f>compras_mes78288[[#This Row],[TOTAL]]-compras_mes78288[[#This Row],[Columna1]]</f>
        <v>-166842.00890000002</v>
      </c>
    </row>
    <row r="99" spans="2:20" x14ac:dyDescent="0.25">
      <c r="B99" s="207" t="s">
        <v>2527</v>
      </c>
      <c r="C99" s="208">
        <v>1</v>
      </c>
      <c r="D99" s="209">
        <v>6</v>
      </c>
      <c r="E99" s="225">
        <v>977</v>
      </c>
      <c r="F99" s="210">
        <v>20286871802</v>
      </c>
      <c r="G99" s="211" t="str">
        <f>IFERROR(IF(compras_mes78288[[#This Row],[CUIT]]="","-",VLOOKUP(compras_mes78288[[#This Row],[CUIT]],Lista_CUIT[#All],2,0)),"CUIT NO CARGADO")</f>
        <v>BRUNO PABLO CESAR</v>
      </c>
      <c r="H99" s="212">
        <v>86877.81</v>
      </c>
      <c r="I99" s="85" t="s">
        <v>2411</v>
      </c>
      <c r="J99" s="213"/>
      <c r="K99" s="213">
        <f>compras_mes78288[[#This Row],[NETO GRAVADO]]*0.105</f>
        <v>9122.1700499999988</v>
      </c>
      <c r="L99" s="213"/>
      <c r="M99" s="213"/>
      <c r="N99" s="213"/>
      <c r="O99" s="213"/>
      <c r="P99" s="214">
        <f>SUM(compras_mes78288[[#This Row],[NETO GRAVADO]:[Otros / No Grav.]])</f>
        <v>95999.980049999998</v>
      </c>
      <c r="Q99" s="215" t="str">
        <f>IFERROR(IF(compras_mes78288[[#This Row],[CUIT]]="","-",VLOOKUP(compras_mes78288[[#This Row],[CUIT]],Lista_CUIT[#All],3,0)),"CUIT NO CARGADO")</f>
        <v>Gastos administrativos</v>
      </c>
      <c r="R99" s="215">
        <f>IFERROR(IF(compras_mes78288[[#This Row],[CUIT]]="","-",VLOOKUP(compras_mes78288[[#This Row],[CUIT]],Lista_CUIT[#All],4,0)),"CUIT NO CARGADO")</f>
        <v>0</v>
      </c>
      <c r="S99">
        <v>56405.5</v>
      </c>
      <c r="T99" s="33">
        <f>compras_mes78288[[#This Row],[TOTAL]]-compras_mes78288[[#This Row],[Columna1]]</f>
        <v>39594.480049999998</v>
      </c>
    </row>
    <row r="100" spans="2:20" x14ac:dyDescent="0.25">
      <c r="B100" s="207" t="s">
        <v>2545</v>
      </c>
      <c r="C100" s="208">
        <v>1</v>
      </c>
      <c r="D100" s="209">
        <v>2084</v>
      </c>
      <c r="E100" s="225">
        <v>30669</v>
      </c>
      <c r="F100" s="210">
        <v>30548083156</v>
      </c>
      <c r="G100" s="45" t="str">
        <f>IFERROR(IF(compras_mes78288[[#This Row],[CUIT]]="","-",VLOOKUP(compras_mes78288[[#This Row],[CUIT]],Lista_CUIT[#All],2,0)),"CUIT NO CARGADO")</f>
        <v>COTO CENTRO INTEGRAL DE COMERCIALIZACION SOCIEDAD ANONIMA</v>
      </c>
      <c r="H100" s="212">
        <v>55863.74</v>
      </c>
      <c r="I100" s="213">
        <f>IF(compras_mes78288[[#This Row],[NETO GRAVADO]]="","",compras_mes78288[[#This Row],[NETO GRAVADO]]*0.21)</f>
        <v>11731.385399999999</v>
      </c>
      <c r="J100" s="213"/>
      <c r="K100" s="213"/>
      <c r="L100" s="213"/>
      <c r="M100" s="213"/>
      <c r="N100" s="213"/>
      <c r="O100" s="213">
        <v>5027.7299999999996</v>
      </c>
      <c r="P100" s="48">
        <f>SUM(compras_mes78288[[#This Row],[NETO GRAVADO]:[Otros / No Grav.]])</f>
        <v>72622.855399999986</v>
      </c>
      <c r="Q100" s="49" t="str">
        <f>IFERROR(IF(compras_mes78288[[#This Row],[CUIT]]="","-",VLOOKUP(compras_mes78288[[#This Row],[CUIT]],Lista_CUIT[#All],3,0)),"CUIT NO CARGADO")</f>
        <v>Gastos Varios</v>
      </c>
      <c r="R100" s="49">
        <f>IFERROR(IF(compras_mes78288[[#This Row],[CUIT]]="","-",VLOOKUP(compras_mes78288[[#This Row],[CUIT]],Lista_CUIT[#All],4,0)),"CUIT NO CARGADO")</f>
        <v>0</v>
      </c>
      <c r="S100">
        <v>1007070.9</v>
      </c>
      <c r="T100" s="33">
        <f>compras_mes78288[[#This Row],[TOTAL]]-compras_mes78288[[#This Row],[Columna1]]</f>
        <v>-934448.04460000002</v>
      </c>
    </row>
    <row r="101" spans="2:20" x14ac:dyDescent="0.25">
      <c r="B101" s="207" t="s">
        <v>2528</v>
      </c>
      <c r="C101" s="208">
        <v>1</v>
      </c>
      <c r="D101" s="209">
        <v>7</v>
      </c>
      <c r="E101" s="225">
        <v>2721</v>
      </c>
      <c r="F101" s="210">
        <v>27319349672</v>
      </c>
      <c r="G101" s="211" t="str">
        <f>IFERROR(IF(compras_mes78288[[#This Row],[CUIT]]="","-",VLOOKUP(compras_mes78288[[#This Row],[CUIT]],Lista_CUIT[#All],2,0)),"CUIT NO CARGADO")</f>
        <v>ANDREONE ANDREA FABIANA</v>
      </c>
      <c r="H101" s="212">
        <v>221714.76</v>
      </c>
      <c r="I101" s="213">
        <v>46054.05</v>
      </c>
      <c r="J101" s="213"/>
      <c r="K101" s="213">
        <v>253.02</v>
      </c>
      <c r="L101" s="213"/>
      <c r="M101" s="213"/>
      <c r="N101" s="213"/>
      <c r="O101" s="213"/>
      <c r="P101" s="214">
        <f>SUM(compras_mes78288[[#This Row],[NETO GRAVADO]:[Otros / No Grav.]])</f>
        <v>268021.83</v>
      </c>
      <c r="Q101" s="215" t="str">
        <f>IFERROR(IF(compras_mes78288[[#This Row],[CUIT]]="","-",VLOOKUP(compras_mes78288[[#This Row],[CUIT]],Lista_CUIT[#All],3,0)),"CUIT NO CARGADO")</f>
        <v>Gastos Varios</v>
      </c>
      <c r="R101" s="215">
        <f>IFERROR(IF(compras_mes78288[[#This Row],[CUIT]]="","-",VLOOKUP(compras_mes78288[[#This Row],[CUIT]],Lista_CUIT[#All],4,0)),"CUIT NO CARGADO")</f>
        <v>0</v>
      </c>
      <c r="S101">
        <v>55838.02</v>
      </c>
      <c r="T101" s="33">
        <f>compras_mes78288[[#This Row],[TOTAL]]-compras_mes78288[[#This Row],[Columna1]]</f>
        <v>212183.81000000003</v>
      </c>
    </row>
    <row r="102" spans="2:20" x14ac:dyDescent="0.25">
      <c r="B102" s="207" t="s">
        <v>2528</v>
      </c>
      <c r="C102" s="208">
        <v>1</v>
      </c>
      <c r="D102" s="209">
        <v>6852</v>
      </c>
      <c r="E102" s="225">
        <v>31850</v>
      </c>
      <c r="F102" s="210">
        <v>30678774495</v>
      </c>
      <c r="G102" s="211" t="str">
        <f>IFERROR(IF(compras_mes78288[[#This Row],[CUIT]]="","-",VLOOKUP(compras_mes78288[[#This Row],[CUIT]],Lista_CUIT[#All],2,0)),"CUIT NO CARGADO")</f>
        <v>OPER. DE EST. DE SERV. SA</v>
      </c>
      <c r="H102" s="212">
        <v>9239.39</v>
      </c>
      <c r="I102" s="213">
        <f>IF(compras_mes78288[[#This Row],[NETO GRAVADO]]="","",compras_mes78288[[#This Row],[NETO GRAVADO]]*0.21)</f>
        <v>1940.2718999999997</v>
      </c>
      <c r="J102" s="213"/>
      <c r="K102" s="213"/>
      <c r="L102" s="213"/>
      <c r="M102" s="213"/>
      <c r="N102" s="213"/>
      <c r="O102" s="213">
        <v>2420.34</v>
      </c>
      <c r="P102" s="214">
        <f>SUM(compras_mes78288[[#This Row],[NETO GRAVADO]:[Otros / No Grav.]])</f>
        <v>13600.001899999999</v>
      </c>
      <c r="Q102" s="215" t="str">
        <f>IFERROR(IF(compras_mes78288[[#This Row],[CUIT]]="","-",VLOOKUP(compras_mes78288[[#This Row],[CUIT]],Lista_CUIT[#All],3,0)),"CUIT NO CARGADO")</f>
        <v>Combustible</v>
      </c>
      <c r="R102" s="215">
        <f>IFERROR(IF(compras_mes78288[[#This Row],[CUIT]]="","-",VLOOKUP(compras_mes78288[[#This Row],[CUIT]],Lista_CUIT[#All],4,0)),"CUIT NO CARGADO")</f>
        <v>0</v>
      </c>
      <c r="S102">
        <v>82199.97</v>
      </c>
      <c r="T102" s="33">
        <f>compras_mes78288[[#This Row],[TOTAL]]-compras_mes78288[[#This Row],[Columna1]]</f>
        <v>-68599.968099999998</v>
      </c>
    </row>
    <row r="103" spans="2:20" x14ac:dyDescent="0.25">
      <c r="B103" s="207" t="s">
        <v>2528</v>
      </c>
      <c r="C103" s="208">
        <v>1</v>
      </c>
      <c r="D103" s="209">
        <v>3</v>
      </c>
      <c r="E103" s="225">
        <v>355690</v>
      </c>
      <c r="F103" s="210">
        <v>30709131865</v>
      </c>
      <c r="G103" s="211" t="str">
        <f>IFERROR(IF(compras_mes78288[[#This Row],[CUIT]]="","-",VLOOKUP(compras_mes78288[[#This Row],[CUIT]],Lista_CUIT[#All],2,0)),"CUIT NO CARGADO")</f>
        <v>EMPRENDIMIENTOS SATELITALES SA</v>
      </c>
      <c r="H103" s="212">
        <v>5798</v>
      </c>
      <c r="I103" s="213">
        <f>IF(compras_mes78288[[#This Row],[NETO GRAVADO]]="","",compras_mes78288[[#This Row],[NETO GRAVADO]]*0.21)</f>
        <v>1217.58</v>
      </c>
      <c r="J103" s="213"/>
      <c r="K103" s="213"/>
      <c r="L103" s="213"/>
      <c r="M103" s="213"/>
      <c r="N103" s="213"/>
      <c r="O103" s="213"/>
      <c r="P103" s="214">
        <f>SUM(compras_mes78288[[#This Row],[NETO GRAVADO]:[Otros / No Grav.]])</f>
        <v>7015.58</v>
      </c>
      <c r="Q103" s="215" t="str">
        <f>IFERROR(IF(compras_mes78288[[#This Row],[CUIT]]="","-",VLOOKUP(compras_mes78288[[#This Row],[CUIT]],Lista_CUIT[#All],3,0)),"CUIT NO CARGADO")</f>
        <v>Mantenimiento Rodado</v>
      </c>
      <c r="R103" s="215">
        <f>IFERROR(IF(compras_mes78288[[#This Row],[CUIT]]="","-",VLOOKUP(compras_mes78288[[#This Row],[CUIT]],Lista_CUIT[#All],4,0)),"CUIT NO CARGADO")</f>
        <v>0</v>
      </c>
      <c r="S103">
        <v>57087.02</v>
      </c>
      <c r="T103" s="33">
        <f>compras_mes78288[[#This Row],[TOTAL]]-compras_mes78288[[#This Row],[Columna1]]</f>
        <v>-50071.439999999995</v>
      </c>
    </row>
    <row r="104" spans="2:20" x14ac:dyDescent="0.25">
      <c r="B104" s="207" t="s">
        <v>2528</v>
      </c>
      <c r="C104" s="208">
        <v>1</v>
      </c>
      <c r="D104" s="209">
        <v>2</v>
      </c>
      <c r="E104" s="225">
        <v>10565</v>
      </c>
      <c r="F104" s="210">
        <v>33714677239</v>
      </c>
      <c r="G104" s="45" t="str">
        <f>IFERROR(IF(compras_mes78288[[#This Row],[CUIT]]="","-",VLOOKUP(compras_mes78288[[#This Row],[CUIT]],Lista_CUIT[#All],2,0)),"CUIT NO CARGADO")</f>
        <v xml:space="preserve">BOMBAS VAPORIZADORAS </v>
      </c>
      <c r="H104" s="212">
        <v>3108000</v>
      </c>
      <c r="I104" s="213">
        <f>IF(compras_mes78288[[#This Row],[NETO GRAVADO]]="","",compras_mes78288[[#This Row],[NETO GRAVADO]]*0.21)</f>
        <v>652680</v>
      </c>
      <c r="J104" s="213"/>
      <c r="K104" s="213"/>
      <c r="L104" s="213"/>
      <c r="M104" s="213"/>
      <c r="N104" s="213"/>
      <c r="O104" s="213"/>
      <c r="P104" s="48">
        <f>SUM(compras_mes78288[[#This Row],[NETO GRAVADO]:[Otros / No Grav.]])</f>
        <v>3760680</v>
      </c>
      <c r="Q104" s="49" t="str">
        <f>IFERROR(IF(compras_mes78288[[#This Row],[CUIT]]="","-",VLOOKUP(compras_mes78288[[#This Row],[CUIT]],Lista_CUIT[#All],3,0)),"CUIT NO CARGADO")</f>
        <v>Productos Venta</v>
      </c>
      <c r="R104" s="49">
        <f>IFERROR(IF(compras_mes78288[[#This Row],[CUIT]]="","-",VLOOKUP(compras_mes78288[[#This Row],[CUIT]],Lista_CUIT[#All],4,0)),"CUIT NO CARGADO")</f>
        <v>0</v>
      </c>
      <c r="S104">
        <v>159720</v>
      </c>
      <c r="T104" s="33">
        <f>compras_mes78288[[#This Row],[TOTAL]]-compras_mes78288[[#This Row],[Columna1]]</f>
        <v>3600960</v>
      </c>
    </row>
    <row r="105" spans="2:20" x14ac:dyDescent="0.25">
      <c r="B105" s="207" t="s">
        <v>2528</v>
      </c>
      <c r="C105" s="208">
        <v>1</v>
      </c>
      <c r="D105" s="209">
        <v>2</v>
      </c>
      <c r="E105" s="225">
        <v>4113</v>
      </c>
      <c r="F105" s="210">
        <v>30629863571</v>
      </c>
      <c r="G105" s="211" t="str">
        <f>IFERROR(IF(compras_mes78288[[#This Row],[CUIT]]="","-",VLOOKUP(compras_mes78288[[#This Row],[CUIT]],Lista_CUIT[#All],2,0)),"CUIT NO CARGADO")</f>
        <v>TECNIMAR S R L</v>
      </c>
      <c r="H105" s="212">
        <v>1756004</v>
      </c>
      <c r="I105" s="213">
        <f>IF(compras_mes78288[[#This Row],[NETO GRAVADO]]="","",compras_mes78288[[#This Row],[NETO GRAVADO]]*0.21)</f>
        <v>368760.83999999997</v>
      </c>
      <c r="J105" s="213"/>
      <c r="K105" s="213"/>
      <c r="L105" s="213"/>
      <c r="M105" s="213"/>
      <c r="N105" s="213"/>
      <c r="O105" s="213"/>
      <c r="P105" s="214">
        <f>SUM(compras_mes78288[[#This Row],[NETO GRAVADO]:[Otros / No Grav.]])</f>
        <v>2124764.84</v>
      </c>
      <c r="Q105" s="215" t="str">
        <f>IFERROR(IF(compras_mes78288[[#This Row],[CUIT]]="","-",VLOOKUP(compras_mes78288[[#This Row],[CUIT]],Lista_CUIT[#All],3,0)),"CUIT NO CARGADO")</f>
        <v>Productos Venta</v>
      </c>
      <c r="R105" s="215">
        <f>IFERROR(IF(compras_mes78288[[#This Row],[CUIT]]="","-",VLOOKUP(compras_mes78288[[#This Row],[CUIT]],Lista_CUIT[#All],4,0)),"CUIT NO CARGADO")</f>
        <v>0</v>
      </c>
      <c r="S105">
        <v>54967.26</v>
      </c>
      <c r="T105" s="33">
        <f>compras_mes78288[[#This Row],[TOTAL]]-compras_mes78288[[#This Row],[Columna1]]</f>
        <v>2069797.5799999998</v>
      </c>
    </row>
    <row r="106" spans="2:20" x14ac:dyDescent="0.25">
      <c r="B106" s="207" t="s">
        <v>2529</v>
      </c>
      <c r="C106" s="208">
        <v>1</v>
      </c>
      <c r="D106" s="209">
        <v>104</v>
      </c>
      <c r="E106" s="225">
        <v>10054806</v>
      </c>
      <c r="F106" s="210">
        <v>30715804812</v>
      </c>
      <c r="G106" s="45" t="str">
        <f>IFERROR(IF(compras_mes78288[[#This Row],[CUIT]]="","-",VLOOKUP(compras_mes78288[[#This Row],[CUIT]],Lista_CUIT[#All],2,0)),"CUIT NO CARGADO")</f>
        <v>CORREDORES VIALES SOCIEDAD ANONIMA</v>
      </c>
      <c r="H106" s="212">
        <v>3119.95</v>
      </c>
      <c r="I106" s="213">
        <f>IF(compras_mes78288[[#This Row],[NETO GRAVADO]]="","",compras_mes78288[[#This Row],[NETO GRAVADO]]*0.21)</f>
        <v>655.18949999999995</v>
      </c>
      <c r="J106" s="213"/>
      <c r="K106" s="213"/>
      <c r="L106" s="213"/>
      <c r="M106" s="213">
        <v>187.2</v>
      </c>
      <c r="N106" s="213"/>
      <c r="O106" s="213"/>
      <c r="P106" s="48">
        <f>SUM(compras_mes78288[[#This Row],[NETO GRAVADO]:[Otros / No Grav.]])</f>
        <v>3962.3394999999996</v>
      </c>
      <c r="Q106" s="49" t="str">
        <f>IFERROR(IF(compras_mes78288[[#This Row],[CUIT]]="","-",VLOOKUP(compras_mes78288[[#This Row],[CUIT]],Lista_CUIT[#All],3,0)),"CUIT NO CARGADO")</f>
        <v>Peajes</v>
      </c>
      <c r="R106" s="49">
        <f>IFERROR(IF(compras_mes78288[[#This Row],[CUIT]]="","-",VLOOKUP(compras_mes78288[[#This Row],[CUIT]],Lista_CUIT[#All],4,0)),"CUIT NO CARGADO")</f>
        <v>0</v>
      </c>
      <c r="S106">
        <v>35821.19</v>
      </c>
      <c r="T106" s="33">
        <f>compras_mes78288[[#This Row],[TOTAL]]-compras_mes78288[[#This Row],[Columna1]]</f>
        <v>-31858.850500000004</v>
      </c>
    </row>
    <row r="107" spans="2:20" x14ac:dyDescent="0.25">
      <c r="B107" s="207" t="s">
        <v>2529</v>
      </c>
      <c r="C107" s="208">
        <v>1</v>
      </c>
      <c r="D107" s="209">
        <v>7</v>
      </c>
      <c r="E107" s="225">
        <v>4491</v>
      </c>
      <c r="F107" s="210">
        <v>30716642212</v>
      </c>
      <c r="G107" s="211" t="str">
        <f>IFERROR(IF(compras_mes78288[[#This Row],[CUIT]]="","-",VLOOKUP(compras_mes78288[[#This Row],[CUIT]],Lista_CUIT[#All],2,0)),"CUIT NO CARGADO")</f>
        <v>GRUPO VITTA S.R.L.</v>
      </c>
      <c r="H107" s="212">
        <v>114048.76</v>
      </c>
      <c r="I107" s="213">
        <f>IF(compras_mes78288[[#This Row],[NETO GRAVADO]]="","",compras_mes78288[[#This Row],[NETO GRAVADO]]*0.21)</f>
        <v>23950.239599999997</v>
      </c>
      <c r="J107" s="213"/>
      <c r="K107" s="213"/>
      <c r="L107" s="213"/>
      <c r="M107" s="213"/>
      <c r="N107" s="213"/>
      <c r="O107" s="213"/>
      <c r="P107" s="214">
        <f>SUM(compras_mes78288[[#This Row],[NETO GRAVADO]:[Otros / No Grav.]])</f>
        <v>137998.99959999998</v>
      </c>
      <c r="Q107" s="215" t="str">
        <f>IFERROR(IF(compras_mes78288[[#This Row],[CUIT]]="","-",VLOOKUP(compras_mes78288[[#This Row],[CUIT]],Lista_CUIT[#All],3,0)),"CUIT NO CARGADO")</f>
        <v>Muebles y Utiles</v>
      </c>
      <c r="R107" s="215">
        <f>IFERROR(IF(compras_mes78288[[#This Row],[CUIT]]="","-",VLOOKUP(compras_mes78288[[#This Row],[CUIT]],Lista_CUIT[#All],4,0)),"CUIT NO CARGADO")</f>
        <v>0</v>
      </c>
      <c r="S107">
        <v>12619.3</v>
      </c>
      <c r="T107" s="33">
        <f>compras_mes78288[[#This Row],[TOTAL]]-compras_mes78288[[#This Row],[Columna1]]</f>
        <v>125379.69959999998</v>
      </c>
    </row>
    <row r="108" spans="2:20" x14ac:dyDescent="0.25">
      <c r="B108" s="207" t="s">
        <v>2529</v>
      </c>
      <c r="C108" s="208">
        <v>1</v>
      </c>
      <c r="D108" s="209">
        <v>8</v>
      </c>
      <c r="E108" s="225">
        <v>18417</v>
      </c>
      <c r="F108" s="210">
        <v>20388915413</v>
      </c>
      <c r="G108" s="211" t="str">
        <f>IFERROR(IF(compras_mes78288[[#This Row],[CUIT]]="","-",VLOOKUP(compras_mes78288[[#This Row],[CUIT]],Lista_CUIT[#All],2,0)),"CUIT NO CARGADO")</f>
        <v>GUENZANI GONZALO MARTIN</v>
      </c>
      <c r="H108" s="212">
        <v>38472.730000000003</v>
      </c>
      <c r="I108" s="213">
        <f>IF(compras_mes78288[[#This Row],[NETO GRAVADO]]="","",compras_mes78288[[#This Row],[NETO GRAVADO]]*0.21)</f>
        <v>8079.2733000000007</v>
      </c>
      <c r="J108" s="213"/>
      <c r="K108" s="213"/>
      <c r="L108" s="213"/>
      <c r="M108" s="213"/>
      <c r="N108" s="213"/>
      <c r="O108" s="213"/>
      <c r="P108" s="214">
        <f>SUM(compras_mes78288[[#This Row],[NETO GRAVADO]:[Otros / No Grav.]])</f>
        <v>46552.003300000004</v>
      </c>
      <c r="Q108" s="215" t="str">
        <f>IFERROR(IF(compras_mes78288[[#This Row],[CUIT]]="","-",VLOOKUP(compras_mes78288[[#This Row],[CUIT]],Lista_CUIT[#All],3,0)),"CUIT NO CARGADO")</f>
        <v>Pendiente clasificacion</v>
      </c>
      <c r="R108" s="215">
        <f>IFERROR(IF(compras_mes78288[[#This Row],[CUIT]]="","-",VLOOKUP(compras_mes78288[[#This Row],[CUIT]],Lista_CUIT[#All],4,0)),"CUIT NO CARGADO")</f>
        <v>0</v>
      </c>
      <c r="S108">
        <v>74785.03</v>
      </c>
      <c r="T108" s="33">
        <f>compras_mes78288[[#This Row],[TOTAL]]-compras_mes78288[[#This Row],[Columna1]]</f>
        <v>-28233.026699999995</v>
      </c>
    </row>
    <row r="109" spans="2:20" x14ac:dyDescent="0.25">
      <c r="B109" s="207" t="s">
        <v>2529</v>
      </c>
      <c r="C109" s="208">
        <v>1</v>
      </c>
      <c r="D109" s="209">
        <v>1</v>
      </c>
      <c r="E109" s="225">
        <v>102738</v>
      </c>
      <c r="F109" s="210">
        <v>30714867349</v>
      </c>
      <c r="G109" s="45" t="str">
        <f>IFERROR(IF(compras_mes78288[[#This Row],[CUIT]]="","-",VLOOKUP(compras_mes78288[[#This Row],[CUIT]],Lista_CUIT[#All],2,0)),"CUIT NO CARGADO")</f>
        <v>VTV SUD S.A.</v>
      </c>
      <c r="H109" s="212">
        <v>13920</v>
      </c>
      <c r="I109" s="213">
        <f>IF(compras_mes78288[[#This Row],[NETO GRAVADO]]="","",compras_mes78288[[#This Row],[NETO GRAVADO]]*0.21)</f>
        <v>2923.2</v>
      </c>
      <c r="J109" s="213"/>
      <c r="K109" s="213"/>
      <c r="L109" s="213"/>
      <c r="M109" s="213"/>
      <c r="N109" s="213"/>
      <c r="O109" s="213"/>
      <c r="P109" s="48">
        <f>SUM(compras_mes78288[[#This Row],[NETO GRAVADO]:[Otros / No Grav.]])</f>
        <v>16843.2</v>
      </c>
      <c r="Q109" s="49" t="str">
        <f>IFERROR(IF(compras_mes78288[[#This Row],[CUIT]]="","-",VLOOKUP(compras_mes78288[[#This Row],[CUIT]],Lista_CUIT[#All],3,0)),"CUIT NO CARGADO")</f>
        <v>Mantenimiento Rodado</v>
      </c>
      <c r="R109" s="49">
        <f>IFERROR(IF(compras_mes78288[[#This Row],[CUIT]]="","-",VLOOKUP(compras_mes78288[[#This Row],[CUIT]],Lista_CUIT[#All],4,0)),"CUIT NO CARGADO")</f>
        <v>0</v>
      </c>
      <c r="T109" s="33">
        <f>compras_mes78288[[#This Row],[TOTAL]]-compras_mes78288[[#This Row],[Columna1]]</f>
        <v>16843.2</v>
      </c>
    </row>
    <row r="110" spans="2:20" x14ac:dyDescent="0.25">
      <c r="B110" s="207" t="s">
        <v>2529</v>
      </c>
      <c r="C110" s="208">
        <v>1</v>
      </c>
      <c r="D110" s="209">
        <v>4</v>
      </c>
      <c r="E110" s="225">
        <v>50456</v>
      </c>
      <c r="F110" s="210">
        <v>30709863076</v>
      </c>
      <c r="G110" s="45" t="str">
        <f>IFERROR(IF(compras_mes78288[[#This Row],[CUIT]]="","-",VLOOKUP(compras_mes78288[[#This Row],[CUIT]],Lista_CUIT[#All],2,0)),"CUIT NO CARGADO")</f>
        <v>INDUSTRIAS PLASTICOS SALTA S.R.L.</v>
      </c>
      <c r="H110" s="212">
        <v>635123.97</v>
      </c>
      <c r="I110" s="213">
        <f>IF(compras_mes78288[[#This Row],[NETO GRAVADO]]="","",compras_mes78288[[#This Row],[NETO GRAVADO]]*0.21)</f>
        <v>133376.0337</v>
      </c>
      <c r="J110" s="213"/>
      <c r="K110" s="213"/>
      <c r="L110" s="213"/>
      <c r="M110" s="213"/>
      <c r="N110" s="213"/>
      <c r="O110" s="213"/>
      <c r="P110" s="48">
        <f>SUM(compras_mes78288[[#This Row],[NETO GRAVADO]:[Otros / No Grav.]])</f>
        <v>768500.0037</v>
      </c>
      <c r="Q110" s="49" t="str">
        <f>IFERROR(IF(compras_mes78288[[#This Row],[CUIT]]="","-",VLOOKUP(compras_mes78288[[#This Row],[CUIT]],Lista_CUIT[#All],3,0)),"CUIT NO CARGADO")</f>
        <v>Materia Prima</v>
      </c>
      <c r="R110" s="49">
        <f>IFERROR(IF(compras_mes78288[[#This Row],[CUIT]]="","-",VLOOKUP(compras_mes78288[[#This Row],[CUIT]],Lista_CUIT[#All],4,0)),"CUIT NO CARGADO")</f>
        <v>0</v>
      </c>
      <c r="S110">
        <v>34783.949999999997</v>
      </c>
      <c r="T110" s="33">
        <f>compras_mes78288[[#This Row],[TOTAL]]-compras_mes78288[[#This Row],[Columna1]]</f>
        <v>733716.05370000005</v>
      </c>
    </row>
    <row r="111" spans="2:20" x14ac:dyDescent="0.25">
      <c r="B111" s="207" t="s">
        <v>2529</v>
      </c>
      <c r="C111" s="208">
        <v>1</v>
      </c>
      <c r="D111" s="209">
        <v>76</v>
      </c>
      <c r="E111" s="225">
        <v>342587</v>
      </c>
      <c r="F111" s="210">
        <v>30703088534</v>
      </c>
      <c r="G111" s="211" t="str">
        <f>IFERROR(IF(compras_mes78288[[#This Row],[CUIT]]="","-",VLOOKUP(compras_mes78288[[#This Row],[CUIT]],Lista_CUIT[#All],2,0)),"CUIT NO CARGADO")</f>
        <v>MERCADO LIBRE SRL</v>
      </c>
      <c r="H111" s="212">
        <v>1611640.99</v>
      </c>
      <c r="I111" s="213">
        <f>IF(compras_mes78288[[#This Row],[NETO GRAVADO]]="","",compras_mes78288[[#This Row],[NETO GRAVADO]]*0.21)</f>
        <v>338444.6079</v>
      </c>
      <c r="J111" s="213"/>
      <c r="K111" s="213"/>
      <c r="L111" s="213"/>
      <c r="M111" s="213"/>
      <c r="N111" s="213"/>
      <c r="O111" s="213">
        <v>161164.1</v>
      </c>
      <c r="P111" s="214">
        <f>SUM(compras_mes78288[[#This Row],[NETO GRAVADO]:[Otros / No Grav.]])</f>
        <v>2111249.6979</v>
      </c>
      <c r="Q111" s="215" t="str">
        <f>IFERROR(IF(compras_mes78288[[#This Row],[CUIT]]="","-",VLOOKUP(compras_mes78288[[#This Row],[CUIT]],Lista_CUIT[#All],3,0)),"CUIT NO CARGADO")</f>
        <v>Gastos Varios</v>
      </c>
      <c r="R111" s="215" t="str">
        <f>IFERROR(IF(compras_mes78288[[#This Row],[CUIT]]="","-",VLOOKUP(compras_mes78288[[#This Row],[CUIT]],Lista_CUIT[#All],4,0)),"CUIT NO CARGADO")</f>
        <v>CABA</v>
      </c>
      <c r="S111">
        <v>88084.86</v>
      </c>
      <c r="T111" s="33">
        <f>compras_mes78288[[#This Row],[TOTAL]]-compras_mes78288[[#This Row],[Columna1]]</f>
        <v>2023164.8378999999</v>
      </c>
    </row>
    <row r="112" spans="2:20" x14ac:dyDescent="0.25">
      <c r="B112" s="207" t="s">
        <v>2530</v>
      </c>
      <c r="C112" s="208">
        <v>1</v>
      </c>
      <c r="D112" s="209">
        <v>8</v>
      </c>
      <c r="E112" s="225">
        <v>2837</v>
      </c>
      <c r="F112" s="210">
        <v>20086298539</v>
      </c>
      <c r="G112" s="45" t="str">
        <f>IFERROR(IF(compras_mes78288[[#This Row],[CUIT]]="","-",VLOOKUP(compras_mes78288[[#This Row],[CUIT]],Lista_CUIT[#All],2,0)),"CUIT NO CARGADO")</f>
        <v>PARMO OSCAR DANIEL</v>
      </c>
      <c r="H112" s="212">
        <v>29465.5</v>
      </c>
      <c r="I112" s="213">
        <f>IF(compras_mes78288[[#This Row],[NETO GRAVADO]]="","",compras_mes78288[[#This Row],[NETO GRAVADO]]*0.21)</f>
        <v>6187.7550000000001</v>
      </c>
      <c r="J112" s="213"/>
      <c r="K112" s="213"/>
      <c r="L112" s="213"/>
      <c r="M112" s="213"/>
      <c r="N112" s="213"/>
      <c r="O112" s="213"/>
      <c r="P112" s="48">
        <f>SUM(compras_mes78288[[#This Row],[NETO GRAVADO]:[Otros / No Grav.]])</f>
        <v>35653.254999999997</v>
      </c>
      <c r="Q112" s="49" t="str">
        <f>IFERROR(IF(compras_mes78288[[#This Row],[CUIT]]="","-",VLOOKUP(compras_mes78288[[#This Row],[CUIT]],Lista_CUIT[#All],3,0)),"CUIT NO CARGADO")</f>
        <v>Pendiente clasificacion</v>
      </c>
      <c r="R112" s="49">
        <f>IFERROR(IF(compras_mes78288[[#This Row],[CUIT]]="","-",VLOOKUP(compras_mes78288[[#This Row],[CUIT]],Lista_CUIT[#All],4,0)),"CUIT NO CARGADO")</f>
        <v>0</v>
      </c>
      <c r="S112">
        <v>31900</v>
      </c>
      <c r="T112" s="33">
        <f>compras_mes78288[[#This Row],[TOTAL]]-compras_mes78288[[#This Row],[Columna1]]</f>
        <v>3753.2549999999974</v>
      </c>
    </row>
    <row r="113" spans="2:20" x14ac:dyDescent="0.25">
      <c r="B113" s="207" t="s">
        <v>2530</v>
      </c>
      <c r="C113" s="208">
        <v>1</v>
      </c>
      <c r="D113" s="209">
        <v>4</v>
      </c>
      <c r="E113" s="225">
        <v>3289</v>
      </c>
      <c r="F113" s="210">
        <v>30617209094</v>
      </c>
      <c r="G113" s="211" t="str">
        <f>IFERROR(IF(compras_mes78288[[#This Row],[CUIT]]="","-",VLOOKUP(compras_mes78288[[#This Row],[CUIT]],Lista_CUIT[#All],2,0)),"CUIT NO CARGADO")</f>
        <v>COSMETICA FACECOLOR SA</v>
      </c>
      <c r="H113" s="212">
        <v>0</v>
      </c>
      <c r="I113" s="213">
        <f>IF(compras_mes78288[[#This Row],[NETO GRAVADO]]="","",compras_mes78288[[#This Row],[NETO GRAVADO]]*0.21)</f>
        <v>0</v>
      </c>
      <c r="J113" s="213"/>
      <c r="K113" s="213"/>
      <c r="L113" s="213"/>
      <c r="M113" s="213"/>
      <c r="N113" s="213"/>
      <c r="O113" s="213">
        <v>1501800</v>
      </c>
      <c r="P113" s="214">
        <f>SUM(compras_mes78288[[#This Row],[NETO GRAVADO]:[Otros / No Grav.]])</f>
        <v>1501800</v>
      </c>
      <c r="Q113" s="215" t="str">
        <f>IFERROR(IF(compras_mes78288[[#This Row],[CUIT]]="","-",VLOOKUP(compras_mes78288[[#This Row],[CUIT]],Lista_CUIT[#All],3,0)),"CUIT NO CARGADO")</f>
        <v>Mercaderia</v>
      </c>
      <c r="R113" s="215">
        <f>IFERROR(IF(compras_mes78288[[#This Row],[CUIT]]="","-",VLOOKUP(compras_mes78288[[#This Row],[CUIT]],Lista_CUIT[#All],4,0)),"CUIT NO CARGADO")</f>
        <v>0</v>
      </c>
      <c r="S113">
        <v>57645</v>
      </c>
      <c r="T113" s="33">
        <f>compras_mes78288[[#This Row],[TOTAL]]-compras_mes78288[[#This Row],[Columna1]]</f>
        <v>1444155</v>
      </c>
    </row>
    <row r="114" spans="2:20" x14ac:dyDescent="0.25">
      <c r="B114" s="207" t="s">
        <v>2530</v>
      </c>
      <c r="C114" s="208">
        <v>1</v>
      </c>
      <c r="D114" s="209">
        <v>7</v>
      </c>
      <c r="E114" s="225">
        <v>15459</v>
      </c>
      <c r="F114" s="210">
        <v>30708017759</v>
      </c>
      <c r="G114" s="211" t="str">
        <f>IFERROR(IF(compras_mes78288[[#This Row],[CUIT]]="","-",VLOOKUP(compras_mes78288[[#This Row],[CUIT]],Lista_CUIT[#All],2,0)),"CUIT NO CARGADO")</f>
        <v>NEW  HIGH PACK  SA</v>
      </c>
      <c r="H114" s="212">
        <v>3660800</v>
      </c>
      <c r="I114" s="213">
        <f>IF(compras_mes78288[[#This Row],[NETO GRAVADO]]="","",compras_mes78288[[#This Row],[NETO GRAVADO]]*0.21)</f>
        <v>768768</v>
      </c>
      <c r="J114" s="213"/>
      <c r="K114" s="213"/>
      <c r="L114" s="213"/>
      <c r="M114" s="213">
        <v>219648</v>
      </c>
      <c r="N114" s="213"/>
      <c r="O114" s="213"/>
      <c r="P114" s="214">
        <f>SUM(compras_mes78288[[#This Row],[NETO GRAVADO]:[Otros / No Grav.]])</f>
        <v>4649216</v>
      </c>
      <c r="Q114" s="215" t="str">
        <f>IFERROR(IF(compras_mes78288[[#This Row],[CUIT]]="","-",VLOOKUP(compras_mes78288[[#This Row],[CUIT]],Lista_CUIT[#All],3,0)),"CUIT NO CARGADO")</f>
        <v>Material de Empaque</v>
      </c>
      <c r="R114" s="215">
        <f>IFERROR(IF(compras_mes78288[[#This Row],[CUIT]]="","-",VLOOKUP(compras_mes78288[[#This Row],[CUIT]],Lista_CUIT[#All],4,0)),"CUIT NO CARGADO")</f>
        <v>0</v>
      </c>
      <c r="S114">
        <v>961009.83</v>
      </c>
      <c r="T114" s="33">
        <f>compras_mes78288[[#This Row],[TOTAL]]-compras_mes78288[[#This Row],[Columna1]]</f>
        <v>3688206.17</v>
      </c>
    </row>
    <row r="115" spans="2:20" x14ac:dyDescent="0.25">
      <c r="B115" s="207" t="s">
        <v>2530</v>
      </c>
      <c r="C115" s="208">
        <v>1</v>
      </c>
      <c r="D115" s="209">
        <v>2188</v>
      </c>
      <c r="E115" s="225">
        <v>154132</v>
      </c>
      <c r="F115" s="210">
        <v>30548083156</v>
      </c>
      <c r="G115" s="211" t="str">
        <f>IFERROR(IF(compras_mes78288[[#This Row],[CUIT]]="","-",VLOOKUP(compras_mes78288[[#This Row],[CUIT]],Lista_CUIT[#All],2,0)),"CUIT NO CARGADO")</f>
        <v>COTO CENTRO INTEGRAL DE COMERCIALIZACION SOCIEDAD ANONIMA</v>
      </c>
      <c r="H115" s="212">
        <v>97635.3</v>
      </c>
      <c r="I115" s="213">
        <v>13130.05</v>
      </c>
      <c r="J115" s="213"/>
      <c r="K115" s="213">
        <v>3686.68</v>
      </c>
      <c r="L115" s="213"/>
      <c r="M115" s="213"/>
      <c r="N115" s="213"/>
      <c r="O115" s="213">
        <v>6834.11</v>
      </c>
      <c r="P115" s="214">
        <f>SUM(compras_mes78288[[#This Row],[NETO GRAVADO]:[Otros / No Grav.]])</f>
        <v>121286.14</v>
      </c>
      <c r="Q115" s="215" t="str">
        <f>IFERROR(IF(compras_mes78288[[#This Row],[CUIT]]="","-",VLOOKUP(compras_mes78288[[#This Row],[CUIT]],Lista_CUIT[#All],3,0)),"CUIT NO CARGADO")</f>
        <v>Gastos Varios</v>
      </c>
      <c r="R115" s="215">
        <f>IFERROR(IF(compras_mes78288[[#This Row],[CUIT]]="","-",VLOOKUP(compras_mes78288[[#This Row],[CUIT]],Lista_CUIT[#All],4,0)),"CUIT NO CARGADO")</f>
        <v>0</v>
      </c>
      <c r="S115">
        <v>83126</v>
      </c>
      <c r="T115" s="33">
        <f>compras_mes78288[[#This Row],[TOTAL]]-compras_mes78288[[#This Row],[Columna1]]</f>
        <v>38160.14</v>
      </c>
    </row>
    <row r="116" spans="2:20" x14ac:dyDescent="0.25">
      <c r="B116" s="207" t="s">
        <v>2530</v>
      </c>
      <c r="C116" s="208">
        <v>1</v>
      </c>
      <c r="D116" s="209">
        <v>5</v>
      </c>
      <c r="E116" s="225">
        <v>9754</v>
      </c>
      <c r="F116" s="210">
        <v>30718122577</v>
      </c>
      <c r="G116" s="211" t="str">
        <f>IFERROR(IF(compras_mes78288[[#This Row],[CUIT]]="","-",VLOOKUP(compras_mes78288[[#This Row],[CUIT]],Lista_CUIT[#All],2,0)),"CUIT NO CARGADO")</f>
        <v>PERFECT PRINT S. CAP I SECC IV</v>
      </c>
      <c r="H116" s="212">
        <v>41652.9</v>
      </c>
      <c r="I116" s="213">
        <f>IF(compras_mes78288[[#This Row],[NETO GRAVADO]]="","",compras_mes78288[[#This Row],[NETO GRAVADO]]*0.21)</f>
        <v>8747.1090000000004</v>
      </c>
      <c r="J116" s="213"/>
      <c r="K116" s="213"/>
      <c r="L116" s="213"/>
      <c r="M116" s="213"/>
      <c r="N116" s="213"/>
      <c r="O116" s="213"/>
      <c r="P116" s="214">
        <f>SUM(compras_mes78288[[#This Row],[NETO GRAVADO]:[Otros / No Grav.]])</f>
        <v>50400.009000000005</v>
      </c>
      <c r="Q116" s="215" t="str">
        <f>IFERROR(IF(compras_mes78288[[#This Row],[CUIT]]="","-",VLOOKUP(compras_mes78288[[#This Row],[CUIT]],Lista_CUIT[#All],3,0)),"CUIT NO CARGADO")</f>
        <v>Librería</v>
      </c>
      <c r="R116" s="215">
        <f>IFERROR(IF(compras_mes78288[[#This Row],[CUIT]]="","-",VLOOKUP(compras_mes78288[[#This Row],[CUIT]],Lista_CUIT[#All],4,0)),"CUIT NO CARGADO")</f>
        <v>0</v>
      </c>
      <c r="S116">
        <v>1665.13</v>
      </c>
      <c r="T116" s="33">
        <f>compras_mes78288[[#This Row],[TOTAL]]-compras_mes78288[[#This Row],[Columna1]]</f>
        <v>48734.879000000008</v>
      </c>
    </row>
    <row r="117" spans="2:20" x14ac:dyDescent="0.25">
      <c r="B117" s="207" t="s">
        <v>2530</v>
      </c>
      <c r="C117" s="208">
        <v>1</v>
      </c>
      <c r="D117" s="209">
        <v>2</v>
      </c>
      <c r="E117" s="225">
        <v>4114</v>
      </c>
      <c r="F117" s="210">
        <v>30629863571</v>
      </c>
      <c r="G117" s="211" t="str">
        <f>IFERROR(IF(compras_mes78288[[#This Row],[CUIT]]="","-",VLOOKUP(compras_mes78288[[#This Row],[CUIT]],Lista_CUIT[#All],2,0)),"CUIT NO CARGADO")</f>
        <v>TECNIMAR S R L</v>
      </c>
      <c r="H117" s="212">
        <v>2261322</v>
      </c>
      <c r="I117" s="213">
        <f>IF(compras_mes78288[[#This Row],[NETO GRAVADO]]="","",compras_mes78288[[#This Row],[NETO GRAVADO]]*0.21)</f>
        <v>474877.62</v>
      </c>
      <c r="J117" s="213"/>
      <c r="K117" s="213"/>
      <c r="L117" s="213"/>
      <c r="M117" s="213"/>
      <c r="N117" s="213"/>
      <c r="O117" s="213"/>
      <c r="P117" s="214">
        <f>SUM(compras_mes78288[[#This Row],[NETO GRAVADO]:[Otros / No Grav.]])</f>
        <v>2736199.62</v>
      </c>
      <c r="Q117" s="215" t="str">
        <f>IFERROR(IF(compras_mes78288[[#This Row],[CUIT]]="","-",VLOOKUP(compras_mes78288[[#This Row],[CUIT]],Lista_CUIT[#All],3,0)),"CUIT NO CARGADO")</f>
        <v>Productos Venta</v>
      </c>
      <c r="R117" s="215">
        <f>IFERROR(IF(compras_mes78288[[#This Row],[CUIT]]="","-",VLOOKUP(compras_mes78288[[#This Row],[CUIT]],Lista_CUIT[#All],4,0)),"CUIT NO CARGADO")</f>
        <v>0</v>
      </c>
      <c r="S117">
        <v>36929.24</v>
      </c>
      <c r="T117" s="33">
        <f>compras_mes78288[[#This Row],[TOTAL]]-compras_mes78288[[#This Row],[Columna1]]</f>
        <v>2699270.38</v>
      </c>
    </row>
    <row r="118" spans="2:20" x14ac:dyDescent="0.25">
      <c r="B118" s="207" t="s">
        <v>2531</v>
      </c>
      <c r="C118" s="208">
        <v>1</v>
      </c>
      <c r="D118" s="209">
        <v>3</v>
      </c>
      <c r="E118" s="225">
        <v>13780</v>
      </c>
      <c r="F118" s="210">
        <v>30679163317</v>
      </c>
      <c r="G118" s="45" t="str">
        <f>IFERROR(IF(compras_mes78288[[#This Row],[CUIT]]="","-",VLOOKUP(compras_mes78288[[#This Row],[CUIT]],Lista_CUIT[#All],2,0)),"CUIT NO CARGADO")</f>
        <v>RANKO S R L</v>
      </c>
      <c r="H118" s="212">
        <v>512875.04</v>
      </c>
      <c r="I118" s="213">
        <f>IF(compras_mes78288[[#This Row],[NETO GRAVADO]]="","",compras_mes78288[[#This Row],[NETO GRAVADO]]*0.21)</f>
        <v>107703.75839999999</v>
      </c>
      <c r="J118" s="213"/>
      <c r="K118" s="213"/>
      <c r="L118" s="213"/>
      <c r="M118" s="213"/>
      <c r="N118" s="213"/>
      <c r="O118" s="213"/>
      <c r="P118" s="48">
        <f>SUM(compras_mes78288[[#This Row],[NETO GRAVADO]:[Otros / No Grav.]])</f>
        <v>620578.79839999997</v>
      </c>
      <c r="Q118" s="49" t="str">
        <f>IFERROR(IF(compras_mes78288[[#This Row],[CUIT]]="","-",VLOOKUP(compras_mes78288[[#This Row],[CUIT]],Lista_CUIT[#All],3,0)),"CUIT NO CARGADO")</f>
        <v>Mantenimiento</v>
      </c>
      <c r="R118" s="49">
        <f>IFERROR(IF(compras_mes78288[[#This Row],[CUIT]]="","-",VLOOKUP(compras_mes78288[[#This Row],[CUIT]],Lista_CUIT[#All],4,0)),"CUIT NO CARGADO")</f>
        <v>0</v>
      </c>
      <c r="S118">
        <v>42522.61</v>
      </c>
      <c r="T118" s="33">
        <f>compras_mes78288[[#This Row],[TOTAL]]-compras_mes78288[[#This Row],[Columna1]]</f>
        <v>578056.18839999998</v>
      </c>
    </row>
    <row r="119" spans="2:20" x14ac:dyDescent="0.25">
      <c r="B119" s="207" t="s">
        <v>2531</v>
      </c>
      <c r="C119" s="208">
        <v>1</v>
      </c>
      <c r="D119" s="209">
        <v>7</v>
      </c>
      <c r="E119" s="225">
        <v>2801</v>
      </c>
      <c r="F119" s="210">
        <v>27319349672</v>
      </c>
      <c r="G119" s="211" t="str">
        <f>IFERROR(IF(compras_mes78288[[#This Row],[CUIT]]="","-",VLOOKUP(compras_mes78288[[#This Row],[CUIT]],Lista_CUIT[#All],2,0)),"CUIT NO CARGADO")</f>
        <v>ANDREONE ANDREA FABIANA</v>
      </c>
      <c r="H119" s="212">
        <v>33719.01</v>
      </c>
      <c r="I119" s="213">
        <f>IF(compras_mes78288[[#This Row],[NETO GRAVADO]]="","",compras_mes78288[[#This Row],[NETO GRAVADO]]*0.21)</f>
        <v>7080.9921000000004</v>
      </c>
      <c r="J119" s="213"/>
      <c r="K119" s="213"/>
      <c r="L119" s="213"/>
      <c r="M119" s="213"/>
      <c r="N119" s="213"/>
      <c r="O119" s="213"/>
      <c r="P119" s="214">
        <f>SUM(compras_mes78288[[#This Row],[NETO GRAVADO]:[Otros / No Grav.]])</f>
        <v>40800.002100000005</v>
      </c>
      <c r="Q119" s="215" t="str">
        <f>IFERROR(IF(compras_mes78288[[#This Row],[CUIT]]="","-",VLOOKUP(compras_mes78288[[#This Row],[CUIT]],Lista_CUIT[#All],3,0)),"CUIT NO CARGADO")</f>
        <v>Gastos Varios</v>
      </c>
      <c r="R119" s="215">
        <f>IFERROR(IF(compras_mes78288[[#This Row],[CUIT]]="","-",VLOOKUP(compras_mes78288[[#This Row],[CUIT]],Lista_CUIT[#All],4,0)),"CUIT NO CARGADO")</f>
        <v>0</v>
      </c>
      <c r="S119">
        <v>39000.01</v>
      </c>
      <c r="T119" s="33">
        <f>compras_mes78288[[#This Row],[TOTAL]]-compras_mes78288[[#This Row],[Columna1]]</f>
        <v>1799.9921000000031</v>
      </c>
    </row>
    <row r="120" spans="2:20" x14ac:dyDescent="0.25">
      <c r="B120" s="207" t="s">
        <v>2531</v>
      </c>
      <c r="C120" s="208">
        <v>1</v>
      </c>
      <c r="D120" s="209">
        <v>28</v>
      </c>
      <c r="E120" s="225">
        <v>1923</v>
      </c>
      <c r="F120" s="210">
        <v>20230902780</v>
      </c>
      <c r="G120" s="211" t="str">
        <f>IFERROR(IF(compras_mes78288[[#This Row],[CUIT]]="","-",VLOOKUP(compras_mes78288[[#This Row],[CUIT]],Lista_CUIT[#All],2,0)),"CUIT NO CARGADO")</f>
        <v>SOSA CRISTIAN HERNAN</v>
      </c>
      <c r="H120" s="212">
        <v>194243.8</v>
      </c>
      <c r="I120" s="213">
        <f>IF(compras_mes78288[[#This Row],[NETO GRAVADO]]="","",compras_mes78288[[#This Row],[NETO GRAVADO]]*0.21)</f>
        <v>40791.197999999997</v>
      </c>
      <c r="J120" s="213"/>
      <c r="K120" s="213"/>
      <c r="L120" s="213"/>
      <c r="M120" s="213"/>
      <c r="N120" s="213"/>
      <c r="O120" s="213"/>
      <c r="P120" s="214">
        <f>SUM(compras_mes78288[[#This Row],[NETO GRAVADO]:[Otros / No Grav.]])</f>
        <v>235034.99799999999</v>
      </c>
      <c r="Q120" s="215" t="str">
        <f>IFERROR(IF(compras_mes78288[[#This Row],[CUIT]]="","-",VLOOKUP(compras_mes78288[[#This Row],[CUIT]],Lista_CUIT[#All],3,0)),"CUIT NO CARGADO")</f>
        <v>Pendiente clasificacion</v>
      </c>
      <c r="R120" s="215">
        <f>IFERROR(IF(compras_mes78288[[#This Row],[CUIT]]="","-",VLOOKUP(compras_mes78288[[#This Row],[CUIT]],Lista_CUIT[#All],4,0)),"CUIT NO CARGADO")</f>
        <v>0</v>
      </c>
      <c r="S120">
        <v>329120</v>
      </c>
      <c r="T120" s="33">
        <f>compras_mes78288[[#This Row],[TOTAL]]-compras_mes78288[[#This Row],[Columna1]]</f>
        <v>-94085.002000000008</v>
      </c>
    </row>
    <row r="121" spans="2:20" x14ac:dyDescent="0.25">
      <c r="B121" s="207" t="s">
        <v>2531</v>
      </c>
      <c r="C121" s="208">
        <v>1</v>
      </c>
      <c r="D121" s="209">
        <v>2024</v>
      </c>
      <c r="E121" s="225">
        <v>55052</v>
      </c>
      <c r="F121" s="210">
        <v>30516186670</v>
      </c>
      <c r="G121" s="45" t="str">
        <f>IFERROR(IF(compras_mes78288[[#This Row],[CUIT]]="","-",VLOOKUP(compras_mes78288[[#This Row],[CUIT]],Lista_CUIT[#All],2,0)),"CUIT NO CARGADO")</f>
        <v>DEHEZA S.A.I.C.F. e I.</v>
      </c>
      <c r="H121" s="212">
        <v>10215.93</v>
      </c>
      <c r="I121" s="213">
        <f>IF(compras_mes78288[[#This Row],[NETO GRAVADO]]="","",compras_mes78288[[#This Row],[NETO GRAVADO]]*0.21)</f>
        <v>2145.3453</v>
      </c>
      <c r="J121" s="213"/>
      <c r="K121" s="213"/>
      <c r="L121" s="213">
        <v>306.48</v>
      </c>
      <c r="M121" s="213"/>
      <c r="N121" s="213">
        <v>759.02</v>
      </c>
      <c r="O121" s="213">
        <v>2638.71</v>
      </c>
      <c r="P121" s="48">
        <f>SUM(compras_mes78288[[#This Row],[NETO GRAVADO]:[Otros / No Grav.]])</f>
        <v>16065.4853</v>
      </c>
      <c r="Q121" s="49" t="str">
        <f>IFERROR(IF(compras_mes78288[[#This Row],[CUIT]]="","-",VLOOKUP(compras_mes78288[[#This Row],[CUIT]],Lista_CUIT[#All],3,0)),"CUIT NO CARGADO")</f>
        <v>Combustible</v>
      </c>
      <c r="R121" s="49" t="str">
        <f>IFERROR(IF(compras_mes78288[[#This Row],[CUIT]]="","-",VLOOKUP(compras_mes78288[[#This Row],[CUIT]],Lista_CUIT[#All],4,0)),"CUIT NO CARGADO")</f>
        <v>CABA</v>
      </c>
      <c r="S121">
        <v>10724.32</v>
      </c>
      <c r="T121" s="33">
        <f>compras_mes78288[[#This Row],[TOTAL]]-compras_mes78288[[#This Row],[Columna1]]</f>
        <v>5341.1653000000006</v>
      </c>
    </row>
    <row r="122" spans="2:20" x14ac:dyDescent="0.25">
      <c r="B122" s="207" t="s">
        <v>2531</v>
      </c>
      <c r="C122" s="208">
        <v>1</v>
      </c>
      <c r="D122" s="209">
        <v>4</v>
      </c>
      <c r="E122" s="225">
        <v>7595</v>
      </c>
      <c r="F122" s="210">
        <v>30718201760</v>
      </c>
      <c r="G122" s="45" t="str">
        <f>IFERROR(IF(compras_mes78288[[#This Row],[CUIT]]="","-",VLOOKUP(compras_mes78288[[#This Row],[CUIT]],Lista_CUIT[#All],2,0)),"CUIT NO CARGADO")</f>
        <v>JM FACTIRY S.R.L.</v>
      </c>
      <c r="H122" s="212">
        <v>111068.04</v>
      </c>
      <c r="I122" s="213">
        <f>IF(compras_mes78288[[#This Row],[NETO GRAVADO]]="","",compras_mes78288[[#This Row],[NETO GRAVADO]]*0.21)</f>
        <v>23324.288399999998</v>
      </c>
      <c r="J122" s="213"/>
      <c r="K122" s="213"/>
      <c r="L122" s="213"/>
      <c r="M122" s="213"/>
      <c r="N122" s="213"/>
      <c r="O122" s="213"/>
      <c r="P122" s="48">
        <f>SUM(compras_mes78288[[#This Row],[NETO GRAVADO]:[Otros / No Grav.]])</f>
        <v>134392.3284</v>
      </c>
      <c r="Q122" s="49" t="str">
        <f>IFERROR(IF(compras_mes78288[[#This Row],[CUIT]]="","-",VLOOKUP(compras_mes78288[[#This Row],[CUIT]],Lista_CUIT[#All],3,0)),"CUIT NO CARGADO")</f>
        <v>LIBRERÍA</v>
      </c>
      <c r="R122" s="49">
        <f>IFERROR(IF(compras_mes78288[[#This Row],[CUIT]]="","-",VLOOKUP(compras_mes78288[[#This Row],[CUIT]],Lista_CUIT[#All],4,0)),"CUIT NO CARGADO")</f>
        <v>0</v>
      </c>
      <c r="S122">
        <v>109252.99</v>
      </c>
      <c r="T122" s="33">
        <f>compras_mes78288[[#This Row],[TOTAL]]-compras_mes78288[[#This Row],[Columna1]]</f>
        <v>25139.338399999993</v>
      </c>
    </row>
    <row r="123" spans="2:20" x14ac:dyDescent="0.25">
      <c r="B123" s="207" t="s">
        <v>2531</v>
      </c>
      <c r="C123" s="208">
        <v>1</v>
      </c>
      <c r="D123" s="209">
        <v>4</v>
      </c>
      <c r="E123" s="225">
        <v>7596</v>
      </c>
      <c r="F123" s="210">
        <v>30718201760</v>
      </c>
      <c r="G123" s="211" t="str">
        <f>IFERROR(IF(compras_mes78288[[#This Row],[CUIT]]="","-",VLOOKUP(compras_mes78288[[#This Row],[CUIT]],Lista_CUIT[#All],2,0)),"CUIT NO CARGADO")</f>
        <v>JM FACTIRY S.R.L.</v>
      </c>
      <c r="H123" s="212">
        <v>46327.26</v>
      </c>
      <c r="I123" s="213">
        <f>IF(compras_mes78288[[#This Row],[NETO GRAVADO]]="","",compras_mes78288[[#This Row],[NETO GRAVADO]]*0.21)</f>
        <v>9728.7245999999996</v>
      </c>
      <c r="J123" s="213"/>
      <c r="K123" s="213"/>
      <c r="L123" s="213"/>
      <c r="M123" s="213"/>
      <c r="N123" s="213"/>
      <c r="O123" s="213"/>
      <c r="P123" s="214">
        <f>SUM(compras_mes78288[[#This Row],[NETO GRAVADO]:[Otros / No Grav.]])</f>
        <v>56055.984600000003</v>
      </c>
      <c r="Q123" s="215" t="str">
        <f>IFERROR(IF(compras_mes78288[[#This Row],[CUIT]]="","-",VLOOKUP(compras_mes78288[[#This Row],[CUIT]],Lista_CUIT[#All],3,0)),"CUIT NO CARGADO")</f>
        <v>LIBRERÍA</v>
      </c>
      <c r="R123" s="215">
        <f>IFERROR(IF(compras_mes78288[[#This Row],[CUIT]]="","-",VLOOKUP(compras_mes78288[[#This Row],[CUIT]],Lista_CUIT[#All],4,0)),"CUIT NO CARGADO")</f>
        <v>0</v>
      </c>
      <c r="S123">
        <v>8099.99</v>
      </c>
      <c r="T123" s="33">
        <f>compras_mes78288[[#This Row],[TOTAL]]-compras_mes78288[[#This Row],[Columna1]]</f>
        <v>47955.994600000005</v>
      </c>
    </row>
    <row r="124" spans="2:20" x14ac:dyDescent="0.25">
      <c r="B124" s="207" t="s">
        <v>2531</v>
      </c>
      <c r="C124" s="208">
        <v>1</v>
      </c>
      <c r="D124" s="209">
        <v>2</v>
      </c>
      <c r="E124" s="225">
        <v>25185</v>
      </c>
      <c r="F124" s="210">
        <v>27228930623</v>
      </c>
      <c r="G124" s="45" t="str">
        <f>IFERROR(IF(compras_mes78288[[#This Row],[CUIT]]="","-",VLOOKUP(compras_mes78288[[#This Row],[CUIT]],Lista_CUIT[#All],2,0)),"CUIT NO CARGADO")</f>
        <v>SUAREZ CLAUDIA ELIZABETH</v>
      </c>
      <c r="H124" s="212">
        <v>46709.45</v>
      </c>
      <c r="I124" s="213">
        <f>IF(compras_mes78288[[#This Row],[NETO GRAVADO]]="","",compras_mes78288[[#This Row],[NETO GRAVADO]]*0.21)</f>
        <v>9808.9844999999987</v>
      </c>
      <c r="J124" s="213"/>
      <c r="K124" s="213"/>
      <c r="L124" s="213"/>
      <c r="M124" s="213"/>
      <c r="N124" s="213"/>
      <c r="O124" s="213"/>
      <c r="P124" s="48">
        <f>SUM(compras_mes78288[[#This Row],[NETO GRAVADO]:[Otros / No Grav.]])</f>
        <v>56518.434499999996</v>
      </c>
      <c r="Q124" s="49" t="str">
        <f>IFERROR(IF(compras_mes78288[[#This Row],[CUIT]]="","-",VLOOKUP(compras_mes78288[[#This Row],[CUIT]],Lista_CUIT[#All],3,0)),"CUIT NO CARGADO")</f>
        <v>Gastos Varios</v>
      </c>
      <c r="R124" s="49">
        <f>IFERROR(IF(compras_mes78288[[#This Row],[CUIT]]="","-",VLOOKUP(compras_mes78288[[#This Row],[CUIT]],Lista_CUIT[#All],4,0)),"CUIT NO CARGADO")</f>
        <v>0</v>
      </c>
      <c r="S124">
        <v>720821.2</v>
      </c>
      <c r="T124" s="33">
        <f>compras_mes78288[[#This Row],[TOTAL]]-compras_mes78288[[#This Row],[Columna1]]</f>
        <v>-664302.76549999998</v>
      </c>
    </row>
    <row r="125" spans="2:20" x14ac:dyDescent="0.25">
      <c r="B125" s="207" t="s">
        <v>2531</v>
      </c>
      <c r="C125" s="208">
        <v>1</v>
      </c>
      <c r="D125" s="209">
        <v>11</v>
      </c>
      <c r="E125" s="225">
        <v>1191252</v>
      </c>
      <c r="F125" s="210">
        <v>33709585229</v>
      </c>
      <c r="G125" s="211" t="str">
        <f>IFERROR(IF(compras_mes78288[[#This Row],[CUIT]]="","-",VLOOKUP(compras_mes78288[[#This Row],[CUIT]],Lista_CUIT[#All],2,0)),"CUIT NO CARGADO")</f>
        <v>GOOGLE ARGENTINA S.R.L.</v>
      </c>
      <c r="H125" s="212">
        <v>175728.92</v>
      </c>
      <c r="I125" s="213">
        <f>IF(compras_mes78288[[#This Row],[NETO GRAVADO]]="","",compras_mes78288[[#This Row],[NETO GRAVADO]]*0.21)</f>
        <v>36903.073199999999</v>
      </c>
      <c r="J125" s="213"/>
      <c r="K125" s="213"/>
      <c r="L125" s="213"/>
      <c r="M125" s="213">
        <v>48663.74</v>
      </c>
      <c r="N125" s="213"/>
      <c r="O125" s="213">
        <v>5271.87</v>
      </c>
      <c r="P125" s="214">
        <f>SUM(compras_mes78288[[#This Row],[NETO GRAVADO]:[Otros / No Grav.]])</f>
        <v>266567.60320000001</v>
      </c>
      <c r="Q125" s="215" t="str">
        <f>IFERROR(IF(compras_mes78288[[#This Row],[CUIT]]="","-",VLOOKUP(compras_mes78288[[#This Row],[CUIT]],Lista_CUIT[#All],3,0)),"CUIT NO CARGADO")</f>
        <v>Gastos Comercializacion</v>
      </c>
      <c r="R125" s="215">
        <f>IFERROR(IF(compras_mes78288[[#This Row],[CUIT]]="","-",VLOOKUP(compras_mes78288[[#This Row],[CUIT]],Lista_CUIT[#All],4,0)),"CUIT NO CARGADO")</f>
        <v>0</v>
      </c>
      <c r="S125">
        <v>37056.5</v>
      </c>
      <c r="T125" s="33">
        <f>compras_mes78288[[#This Row],[TOTAL]]-compras_mes78288[[#This Row],[Columna1]]</f>
        <v>229511.10320000001</v>
      </c>
    </row>
    <row r="126" spans="2:20" x14ac:dyDescent="0.25">
      <c r="B126" s="207" t="s">
        <v>2531</v>
      </c>
      <c r="C126" s="208">
        <v>1</v>
      </c>
      <c r="D126" s="209">
        <v>50</v>
      </c>
      <c r="E126" s="225">
        <v>4506668</v>
      </c>
      <c r="F126" s="210">
        <v>30714112836</v>
      </c>
      <c r="G126" s="45" t="str">
        <f>IFERROR(IF(compras_mes78288[[#This Row],[CUIT]]="","-",VLOOKUP(compras_mes78288[[#This Row],[CUIT]],Lista_CUIT[#All],2,0)),"CUIT NO CARGADO")</f>
        <v>AUTOPISTAS DE BS AS</v>
      </c>
      <c r="H126" s="212">
        <v>71429.78</v>
      </c>
      <c r="I126" s="213">
        <f>IF(compras_mes78288[[#This Row],[NETO GRAVADO]]="","",compras_mes78288[[#This Row],[NETO GRAVADO]]*0.21)</f>
        <v>15000.253799999999</v>
      </c>
      <c r="J126" s="213"/>
      <c r="K126" s="213"/>
      <c r="L126" s="213">
        <v>2142.9</v>
      </c>
      <c r="M126" s="213"/>
      <c r="N126" s="213"/>
      <c r="O126" s="213"/>
      <c r="P126" s="48">
        <f>SUM(compras_mes78288[[#This Row],[NETO GRAVADO]:[Otros / No Grav.]])</f>
        <v>88572.933799999999</v>
      </c>
      <c r="Q126" s="49" t="str">
        <f>IFERROR(IF(compras_mes78288[[#This Row],[CUIT]]="","-",VLOOKUP(compras_mes78288[[#This Row],[CUIT]],Lista_CUIT[#All],3,0)),"CUIT NO CARGADO")</f>
        <v>Peajes</v>
      </c>
      <c r="R126" s="49">
        <f>IFERROR(IF(compras_mes78288[[#This Row],[CUIT]]="","-",VLOOKUP(compras_mes78288[[#This Row],[CUIT]],Lista_CUIT[#All],4,0)),"CUIT NO CARGADO")</f>
        <v>0</v>
      </c>
      <c r="S126">
        <v>153700</v>
      </c>
      <c r="T126" s="33">
        <f>compras_mes78288[[#This Row],[TOTAL]]-compras_mes78288[[#This Row],[Columna1]]</f>
        <v>-65127.066200000001</v>
      </c>
    </row>
    <row r="127" spans="2:20" x14ac:dyDescent="0.25">
      <c r="B127" s="207" t="s">
        <v>2531</v>
      </c>
      <c r="C127" s="208">
        <v>1</v>
      </c>
      <c r="D127" s="209">
        <v>5015</v>
      </c>
      <c r="E127" s="225">
        <v>941953</v>
      </c>
      <c r="F127" s="210">
        <v>30574876474</v>
      </c>
      <c r="G127" s="211" t="str">
        <f>IFERROR(IF(compras_mes78288[[#This Row],[CUIT]]="","-",VLOOKUP(compras_mes78288[[#This Row],[CUIT]],Lista_CUIT[#All],2,0)),"CUIT NO CARGADO")</f>
        <v>AUTOPISTAS URBANAS S A</v>
      </c>
      <c r="H127" s="212">
        <v>162139.01</v>
      </c>
      <c r="I127" s="213">
        <f>IF(compras_mes78288[[#This Row],[NETO GRAVADO]]="","",compras_mes78288[[#This Row],[NETO GRAVADO]]*0.21)</f>
        <v>34049.1921</v>
      </c>
      <c r="J127" s="213"/>
      <c r="K127" s="213"/>
      <c r="L127" s="213"/>
      <c r="M127" s="213"/>
      <c r="N127" s="213"/>
      <c r="O127" s="213">
        <v>21078.01</v>
      </c>
      <c r="P127" s="214">
        <f>SUM(compras_mes78288[[#This Row],[NETO GRAVADO]:[Otros / No Grav.]])</f>
        <v>217266.2121</v>
      </c>
      <c r="Q127" s="215" t="str">
        <f>IFERROR(IF(compras_mes78288[[#This Row],[CUIT]]="","-",VLOOKUP(compras_mes78288[[#This Row],[CUIT]],Lista_CUIT[#All],3,0)),"CUIT NO CARGADO")</f>
        <v>Peajes</v>
      </c>
      <c r="R127" s="215">
        <f>IFERROR(IF(compras_mes78288[[#This Row],[CUIT]]="","-",VLOOKUP(compras_mes78288[[#This Row],[CUIT]],Lista_CUIT[#All],4,0)),"CUIT NO CARGADO")</f>
        <v>0</v>
      </c>
      <c r="S127">
        <v>23400</v>
      </c>
      <c r="T127" s="33">
        <f>compras_mes78288[[#This Row],[TOTAL]]-compras_mes78288[[#This Row],[Columna1]]</f>
        <v>193866.2121</v>
      </c>
    </row>
    <row r="128" spans="2:20" x14ac:dyDescent="0.25">
      <c r="B128" s="207" t="s">
        <v>2531</v>
      </c>
      <c r="C128" s="208">
        <v>1</v>
      </c>
      <c r="D128" s="209">
        <v>126</v>
      </c>
      <c r="E128" s="225">
        <v>57538</v>
      </c>
      <c r="F128" s="210">
        <v>30577207190</v>
      </c>
      <c r="G128" s="211" t="str">
        <f>IFERROR(IF(compras_mes78288[[#This Row],[CUIT]]="","-",VLOOKUP(compras_mes78288[[#This Row],[CUIT]],Lista_CUIT[#All],2,0)),"CUIT NO CARGADO")</f>
        <v>COORDINACION ECOLOGICA AREA METROPOLITANA SOCIEDAD DEL ESTADO</v>
      </c>
      <c r="H128" s="212">
        <v>4462.8100000000004</v>
      </c>
      <c r="I128" s="213">
        <f>IF(compras_mes78288[[#This Row],[NETO GRAVADO]]="","",compras_mes78288[[#This Row],[NETO GRAVADO]]*0.21)</f>
        <v>937.19010000000003</v>
      </c>
      <c r="J128" s="213"/>
      <c r="K128" s="213"/>
      <c r="L128" s="213">
        <v>133.88</v>
      </c>
      <c r="M128" s="213"/>
      <c r="N128" s="213"/>
      <c r="O128" s="213"/>
      <c r="P128" s="214">
        <f>SUM(compras_mes78288[[#This Row],[NETO GRAVADO]:[Otros / No Grav.]])</f>
        <v>5533.8801000000003</v>
      </c>
      <c r="Q128" s="215" t="str">
        <f>IFERROR(IF(compras_mes78288[[#This Row],[CUIT]]="","-",VLOOKUP(compras_mes78288[[#This Row],[CUIT]],Lista_CUIT[#All],3,0)),"CUIT NO CARGADO")</f>
        <v>Gastos Limpieza</v>
      </c>
      <c r="R128" s="215">
        <f>IFERROR(IF(compras_mes78288[[#This Row],[CUIT]]="","-",VLOOKUP(compras_mes78288[[#This Row],[CUIT]],Lista_CUIT[#All],4,0)),"CUIT NO CARGADO")</f>
        <v>0</v>
      </c>
      <c r="S128">
        <v>-16750.259999999998</v>
      </c>
      <c r="T128" s="33">
        <f>compras_mes78288[[#This Row],[TOTAL]]-compras_mes78288[[#This Row],[Columna1]]</f>
        <v>22284.140099999997</v>
      </c>
    </row>
    <row r="129" spans="2:20" x14ac:dyDescent="0.25">
      <c r="B129" s="207" t="s">
        <v>2531</v>
      </c>
      <c r="C129" s="208">
        <v>1</v>
      </c>
      <c r="D129" s="209">
        <v>3</v>
      </c>
      <c r="E129" s="225">
        <v>3526</v>
      </c>
      <c r="F129" s="210">
        <v>20160152533</v>
      </c>
      <c r="G129" s="211" t="str">
        <f>IFERROR(IF(compras_mes78288[[#This Row],[CUIT]]="","-",VLOOKUP(compras_mes78288[[#This Row],[CUIT]],Lista_CUIT[#All],2,0)),"CUIT NO CARGADO")</f>
        <v>Marin Jorge Daniel</v>
      </c>
      <c r="H129" s="212">
        <v>39669.43</v>
      </c>
      <c r="I129" s="213">
        <f>IF(compras_mes78288[[#This Row],[NETO GRAVADO]]="","",compras_mes78288[[#This Row],[NETO GRAVADO]]*0.21)</f>
        <v>8330.5802999999996</v>
      </c>
      <c r="J129" s="213"/>
      <c r="K129" s="213"/>
      <c r="L129" s="213"/>
      <c r="M129" s="213"/>
      <c r="N129" s="213"/>
      <c r="O129" s="213"/>
      <c r="P129" s="214">
        <f>SUM(compras_mes78288[[#This Row],[NETO GRAVADO]:[Otros / No Grav.]])</f>
        <v>48000.010300000002</v>
      </c>
      <c r="Q129" s="215" t="str">
        <f>IFERROR(IF(compras_mes78288[[#This Row],[CUIT]]="","-",VLOOKUP(compras_mes78288[[#This Row],[CUIT]],Lista_CUIT[#All],3,0)),"CUIT NO CARGADO")</f>
        <v xml:space="preserve">Gastos comercializacion </v>
      </c>
      <c r="R129" s="215">
        <f>IFERROR(IF(compras_mes78288[[#This Row],[CUIT]]="","-",VLOOKUP(compras_mes78288[[#This Row],[CUIT]],Lista_CUIT[#All],4,0)),"CUIT NO CARGADO")</f>
        <v>0</v>
      </c>
      <c r="S129">
        <v>1815000</v>
      </c>
      <c r="T129" s="33">
        <f>compras_mes78288[[#This Row],[TOTAL]]-compras_mes78288[[#This Row],[Columna1]]</f>
        <v>-1766999.9897</v>
      </c>
    </row>
    <row r="130" spans="2:20" x14ac:dyDescent="0.25">
      <c r="B130" s="207" t="s">
        <v>2531</v>
      </c>
      <c r="C130" s="208">
        <v>1</v>
      </c>
      <c r="D130" s="209">
        <v>2</v>
      </c>
      <c r="E130" s="225">
        <v>10247</v>
      </c>
      <c r="F130" s="210">
        <v>23180288899</v>
      </c>
      <c r="G130" s="211" t="str">
        <f>IFERROR(IF(compras_mes78288[[#This Row],[CUIT]]="","-",VLOOKUP(compras_mes78288[[#This Row],[CUIT]],Lista_CUIT[#All],2,0)),"CUIT NO CARGADO")</f>
        <v>ROMERO EMILIO</v>
      </c>
      <c r="H130" s="212">
        <v>1485000</v>
      </c>
      <c r="I130" s="213">
        <f>IF(compras_mes78288[[#This Row],[NETO GRAVADO]]="","",compras_mes78288[[#This Row],[NETO GRAVADO]]*0.21)</f>
        <v>311850</v>
      </c>
      <c r="J130" s="213"/>
      <c r="K130" s="213"/>
      <c r="L130" s="213"/>
      <c r="M130" s="213"/>
      <c r="N130" s="213"/>
      <c r="O130" s="213"/>
      <c r="P130" s="214">
        <f>SUM(compras_mes78288[[#This Row],[NETO GRAVADO]:[Otros / No Grav.]])</f>
        <v>1796850</v>
      </c>
      <c r="Q130" s="215" t="str">
        <f>IFERROR(IF(compras_mes78288[[#This Row],[CUIT]]="","-",VLOOKUP(compras_mes78288[[#This Row],[CUIT]],Lista_CUIT[#All],3,0)),"CUIT NO CARGADO")</f>
        <v>Gastos Varios</v>
      </c>
      <c r="R130" s="215">
        <f>IFERROR(IF(compras_mes78288[[#This Row],[CUIT]]="","-",VLOOKUP(compras_mes78288[[#This Row],[CUIT]],Lista_CUIT[#All],4,0)),"CUIT NO CARGADO")</f>
        <v>0</v>
      </c>
      <c r="S130">
        <v>87904.26</v>
      </c>
      <c r="T130" s="33">
        <f>compras_mes78288[[#This Row],[TOTAL]]-compras_mes78288[[#This Row],[Columna1]]</f>
        <v>1708945.74</v>
      </c>
    </row>
    <row r="131" spans="2:20" x14ac:dyDescent="0.25">
      <c r="B131" s="207" t="s">
        <v>2531</v>
      </c>
      <c r="C131" s="208">
        <v>1</v>
      </c>
      <c r="D131" s="209">
        <v>2</v>
      </c>
      <c r="E131" s="225">
        <v>10248</v>
      </c>
      <c r="F131" s="210">
        <v>23180288899</v>
      </c>
      <c r="G131" s="211" t="str">
        <f>IFERROR(IF(compras_mes78288[[#This Row],[CUIT]]="","-",VLOOKUP(compras_mes78288[[#This Row],[CUIT]],Lista_CUIT[#All],2,0)),"CUIT NO CARGADO")</f>
        <v>ROMERO EMILIO</v>
      </c>
      <c r="H131" s="212">
        <v>150000</v>
      </c>
      <c r="I131" s="213">
        <f>IF(compras_mes78288[[#This Row],[NETO GRAVADO]]="","",compras_mes78288[[#This Row],[NETO GRAVADO]]*0.21)</f>
        <v>31500</v>
      </c>
      <c r="J131" s="213"/>
      <c r="K131" s="213"/>
      <c r="L131" s="213"/>
      <c r="M131" s="213"/>
      <c r="N131" s="213"/>
      <c r="O131" s="213"/>
      <c r="P131" s="214">
        <f>SUM(compras_mes78288[[#This Row],[NETO GRAVADO]:[Otros / No Grav.]])</f>
        <v>181500</v>
      </c>
      <c r="Q131" s="215" t="str">
        <f>IFERROR(IF(compras_mes78288[[#This Row],[CUIT]]="","-",VLOOKUP(compras_mes78288[[#This Row],[CUIT]],Lista_CUIT[#All],3,0)),"CUIT NO CARGADO")</f>
        <v>Gastos Varios</v>
      </c>
      <c r="R131" s="215">
        <f>IFERROR(IF(compras_mes78288[[#This Row],[CUIT]]="","-",VLOOKUP(compras_mes78288[[#This Row],[CUIT]],Lista_CUIT[#All],4,0)),"CUIT NO CARGADO")</f>
        <v>0</v>
      </c>
      <c r="S131">
        <v>37999</v>
      </c>
      <c r="T131" s="33">
        <f>compras_mes78288[[#This Row],[TOTAL]]-compras_mes78288[[#This Row],[Columna1]]</f>
        <v>143501</v>
      </c>
    </row>
    <row r="132" spans="2:20" x14ac:dyDescent="0.25">
      <c r="B132" s="207" t="s">
        <v>2520</v>
      </c>
      <c r="C132" s="208">
        <v>1</v>
      </c>
      <c r="D132" s="209">
        <v>5</v>
      </c>
      <c r="E132" s="225">
        <v>5303</v>
      </c>
      <c r="F132" s="210">
        <v>30708041722</v>
      </c>
      <c r="G132" s="211" t="str">
        <f>IFERROR(IF(compras_mes78288[[#This Row],[CUIT]]="","-",VLOOKUP(compras_mes78288[[#This Row],[CUIT]],Lista_CUIT[#All],2,0)),"CUIT NO CARGADO")</f>
        <v>QUETZAL QUIMICA S R L</v>
      </c>
      <c r="H132" s="212">
        <v>31343.5</v>
      </c>
      <c r="I132" s="213">
        <f>IF(compras_mes78288[[#This Row],[NETO GRAVADO]]="","",compras_mes78288[[#This Row],[NETO GRAVADO]]*0.21)</f>
        <v>6582.1349999999993</v>
      </c>
      <c r="J132" s="213"/>
      <c r="K132" s="213"/>
      <c r="L132" s="213"/>
      <c r="M132" s="213"/>
      <c r="N132" s="213"/>
      <c r="O132" s="213"/>
      <c r="P132" s="214">
        <f>SUM(compras_mes78288[[#This Row],[NETO GRAVADO]:[Otros / No Grav.]])</f>
        <v>37925.635000000002</v>
      </c>
      <c r="Q132" s="215" t="str">
        <f>IFERROR(IF(compras_mes78288[[#This Row],[CUIT]]="","-",VLOOKUP(compras_mes78288[[#This Row],[CUIT]],Lista_CUIT[#All],3,0)),"CUIT NO CARGADO")</f>
        <v>Materia Prima</v>
      </c>
      <c r="R132" s="215">
        <f>IFERROR(IF(compras_mes78288[[#This Row],[CUIT]]="","-",VLOOKUP(compras_mes78288[[#This Row],[CUIT]],Lista_CUIT[#All],4,0)),"CUIT NO CARGADO")</f>
        <v>0</v>
      </c>
      <c r="S132">
        <v>41903.99</v>
      </c>
      <c r="T132" s="33">
        <f>compras_mes78288[[#This Row],[TOTAL]]-compras_mes78288[[#This Row],[Columna1]]</f>
        <v>-3978.3549999999959</v>
      </c>
    </row>
    <row r="133" spans="2:20" x14ac:dyDescent="0.25">
      <c r="B133" s="207" t="s">
        <v>2539</v>
      </c>
      <c r="C133" s="208">
        <v>3</v>
      </c>
      <c r="D133" s="209">
        <v>3</v>
      </c>
      <c r="E133" s="225">
        <v>4</v>
      </c>
      <c r="F133" s="210">
        <v>20120794338</v>
      </c>
      <c r="G133" s="211" t="str">
        <f>IFERROR(IF(compras_mes78288[[#This Row],[CUIT]]="","-",VLOOKUP(compras_mes78288[[#This Row],[CUIT]],Lista_CUIT[#All],2,0)),"CUIT NO CARGADO")</f>
        <v>AINSTEIN MARCELO</v>
      </c>
      <c r="H133" s="212">
        <v>-400000</v>
      </c>
      <c r="I133" s="213">
        <f>IF(compras_mes78288[[#This Row],[NETO GRAVADO]]="","",compras_mes78288[[#This Row],[NETO GRAVADO]]*0.21)</f>
        <v>-84000</v>
      </c>
      <c r="J133" s="213"/>
      <c r="K133" s="213"/>
      <c r="L133" s="213"/>
      <c r="M133" s="213"/>
      <c r="N133" s="213"/>
      <c r="O133" s="213"/>
      <c r="P133" s="214">
        <f>SUM(compras_mes78288[[#This Row],[NETO GRAVADO]:[Otros / No Grav.]])</f>
        <v>-484000</v>
      </c>
      <c r="Q133" s="215" t="str">
        <f>IFERROR(IF(compras_mes78288[[#This Row],[CUIT]]="","-",VLOOKUP(compras_mes78288[[#This Row],[CUIT]],Lista_CUIT[#All],3,0)),"CUIT NO CARGADO")</f>
        <v>Honorarios Legales</v>
      </c>
      <c r="R133" s="215">
        <f>IFERROR(IF(compras_mes78288[[#This Row],[CUIT]]="","-",VLOOKUP(compras_mes78288[[#This Row],[CUIT]],Lista_CUIT[#All],4,0)),"CUIT NO CARGADO")</f>
        <v>0</v>
      </c>
      <c r="S133">
        <v>87072.75</v>
      </c>
      <c r="T133" s="33">
        <f>compras_mes78288[[#This Row],[TOTAL]]-compras_mes78288[[#This Row],[Columna1]]</f>
        <v>-571072.75</v>
      </c>
    </row>
    <row r="134" spans="2:20" x14ac:dyDescent="0.25">
      <c r="B134" s="207" t="s">
        <v>2531</v>
      </c>
      <c r="C134" s="208">
        <v>3</v>
      </c>
      <c r="D134" s="209">
        <v>11</v>
      </c>
      <c r="E134" s="225">
        <v>850730</v>
      </c>
      <c r="F134" s="210">
        <v>33709585229</v>
      </c>
      <c r="G134" s="211" t="str">
        <f>IFERROR(IF(compras_mes78288[[#This Row],[CUIT]]="","-",VLOOKUP(compras_mes78288[[#This Row],[CUIT]],Lista_CUIT[#All],2,0)),"CUIT NO CARGADO")</f>
        <v>GOOGLE ARGENTINA S.R.L.</v>
      </c>
      <c r="H134" s="212">
        <v>-27.93</v>
      </c>
      <c r="I134" s="213">
        <f>IF(compras_mes78288[[#This Row],[NETO GRAVADO]]="","",compras_mes78288[[#This Row],[NETO GRAVADO]]*0.21)</f>
        <v>-5.8652999999999995</v>
      </c>
      <c r="J134" s="213"/>
      <c r="K134" s="213"/>
      <c r="L134" s="213"/>
      <c r="M134" s="213">
        <v>-4.3899999999999997</v>
      </c>
      <c r="N134" s="213"/>
      <c r="O134" s="213"/>
      <c r="P134" s="214">
        <f>SUM(compras_mes78288[[#This Row],[NETO GRAVADO]:[Otros / No Grav.]])</f>
        <v>-38.185299999999998</v>
      </c>
      <c r="Q134" s="215" t="str">
        <f>IFERROR(IF(compras_mes78288[[#This Row],[CUIT]]="","-",VLOOKUP(compras_mes78288[[#This Row],[CUIT]],Lista_CUIT[#All],3,0)),"CUIT NO CARGADO")</f>
        <v>Gastos Comercializacion</v>
      </c>
      <c r="R134" s="215">
        <f>IFERROR(IF(compras_mes78288[[#This Row],[CUIT]]="","-",VLOOKUP(compras_mes78288[[#This Row],[CUIT]],Lista_CUIT[#All],4,0)),"CUIT NO CARGADO")</f>
        <v>0</v>
      </c>
      <c r="S134">
        <v>9014.8700000000008</v>
      </c>
      <c r="T134" s="33">
        <f>compras_mes78288[[#This Row],[TOTAL]]-compras_mes78288[[#This Row],[Columna1]]</f>
        <v>-9053.0553</v>
      </c>
    </row>
    <row r="135" spans="2:20" x14ac:dyDescent="0.25">
      <c r="B135" s="207" t="s">
        <v>2534</v>
      </c>
      <c r="C135" s="208">
        <v>1</v>
      </c>
      <c r="D135" s="209">
        <v>12</v>
      </c>
      <c r="E135" s="225">
        <v>69004</v>
      </c>
      <c r="F135" s="210">
        <v>30696131003</v>
      </c>
      <c r="G135" s="45" t="str">
        <f>IFERROR(IF(compras_mes78288[[#This Row],[CUIT]]="","-",VLOOKUP(compras_mes78288[[#This Row],[CUIT]],Lista_CUIT[#All],2,0)),"CUIT NO CARGADO")</f>
        <v>Petrolfe S.A.</v>
      </c>
      <c r="H135" s="212">
        <v>210392.67</v>
      </c>
      <c r="I135" s="213">
        <f>IF(compras_mes78288[[#This Row],[NETO GRAVADO]]="","",compras_mes78288[[#This Row],[NETO GRAVADO]]*0.21)</f>
        <v>44182.460700000003</v>
      </c>
      <c r="J135" s="213"/>
      <c r="K135" s="213"/>
      <c r="L135" s="213"/>
      <c r="M135" s="213"/>
      <c r="N135" s="213"/>
      <c r="O135" s="213">
        <v>28081.88</v>
      </c>
      <c r="P135" s="48">
        <f>SUM(compras_mes78288[[#This Row],[NETO GRAVADO]:[Otros / No Grav.]])</f>
        <v>282657.01069999998</v>
      </c>
      <c r="Q135" s="49" t="str">
        <f>IFERROR(IF(compras_mes78288[[#This Row],[CUIT]]="","-",VLOOKUP(compras_mes78288[[#This Row],[CUIT]],Lista_CUIT[#All],3,0)),"CUIT NO CARGADO")</f>
        <v>Combustible</v>
      </c>
      <c r="R135" s="49">
        <f>IFERROR(IF(compras_mes78288[[#This Row],[CUIT]]="","-",VLOOKUP(compras_mes78288[[#This Row],[CUIT]],Lista_CUIT[#All],4,0)),"CUIT NO CARGADO")</f>
        <v>0</v>
      </c>
      <c r="T135" s="33">
        <f>compras_mes78288[[#This Row],[TOTAL]]-compras_mes78288[[#This Row],[Columna1]]</f>
        <v>282657.01069999998</v>
      </c>
    </row>
    <row r="136" spans="2:20" x14ac:dyDescent="0.25">
      <c r="B136" s="207" t="s">
        <v>2534</v>
      </c>
      <c r="C136" s="208">
        <v>1</v>
      </c>
      <c r="D136" s="209">
        <v>17</v>
      </c>
      <c r="E136" s="225">
        <v>23357</v>
      </c>
      <c r="F136" s="210">
        <v>30707841105</v>
      </c>
      <c r="G136" s="45" t="str">
        <f>IFERROR(IF(compras_mes78288[[#This Row],[CUIT]]="","-",VLOOKUP(compras_mes78288[[#This Row],[CUIT]],Lista_CUIT[#All],2,0)),"CUIT NO CARGADO")</f>
        <v>PETRO ARG SRL</v>
      </c>
      <c r="H136" s="212">
        <v>14600.57</v>
      </c>
      <c r="I136" s="213">
        <f>IF(compras_mes78288[[#This Row],[NETO GRAVADO]]="","",compras_mes78288[[#This Row],[NETO GRAVADO]]*0.21)</f>
        <v>3066.1196999999997</v>
      </c>
      <c r="J136" s="213"/>
      <c r="K136" s="213"/>
      <c r="L136" s="213"/>
      <c r="M136" s="213"/>
      <c r="N136" s="213"/>
      <c r="O136" s="213">
        <v>2333.3000000000002</v>
      </c>
      <c r="P136" s="48">
        <f>SUM(compras_mes78288[[#This Row],[NETO GRAVADO]:[Otros / No Grav.]])</f>
        <v>19999.989699999998</v>
      </c>
      <c r="Q136" s="49" t="str">
        <f>IFERROR(IF(compras_mes78288[[#This Row],[CUIT]]="","-",VLOOKUP(compras_mes78288[[#This Row],[CUIT]],Lista_CUIT[#All],3,0)),"CUIT NO CARGADO")</f>
        <v>Combustible</v>
      </c>
      <c r="R136" s="49">
        <f>IFERROR(IF(compras_mes78288[[#This Row],[CUIT]]="","-",VLOOKUP(compras_mes78288[[#This Row],[CUIT]],Lista_CUIT[#All],4,0)),"CUIT NO CARGADO")</f>
        <v>0</v>
      </c>
      <c r="S136">
        <v>36300</v>
      </c>
      <c r="T136" s="33">
        <f>compras_mes78288[[#This Row],[TOTAL]]-compras_mes78288[[#This Row],[Columna1]]</f>
        <v>-16300.010300000002</v>
      </c>
    </row>
    <row r="137" spans="2:20" x14ac:dyDescent="0.25">
      <c r="B137" s="207" t="s">
        <v>2520</v>
      </c>
      <c r="C137" s="208">
        <v>1</v>
      </c>
      <c r="D137" s="209">
        <v>6</v>
      </c>
      <c r="E137" s="225">
        <v>1086</v>
      </c>
      <c r="F137" s="210">
        <v>20218317996</v>
      </c>
      <c r="G137" s="211" t="str">
        <f>IFERROR(IF(compras_mes78288[[#This Row],[CUIT]]="","-",VLOOKUP(compras_mes78288[[#This Row],[CUIT]],Lista_CUIT[#All],2,0)),"CUIT NO CARGADO")</f>
        <v>SEITLER GUSTAVO RUBEN</v>
      </c>
      <c r="H137" s="212">
        <v>30082.67</v>
      </c>
      <c r="I137" s="213">
        <f>IF(compras_mes78288[[#This Row],[NETO GRAVADO]]="","",compras_mes78288[[#This Row],[NETO GRAVADO]]*0.21)</f>
        <v>6317.3606999999993</v>
      </c>
      <c r="J137" s="213"/>
      <c r="K137" s="213"/>
      <c r="L137" s="213"/>
      <c r="M137" s="213"/>
      <c r="N137" s="213"/>
      <c r="O137" s="213"/>
      <c r="P137" s="214">
        <f>SUM(compras_mes78288[[#This Row],[NETO GRAVADO]:[Otros / No Grav.]])</f>
        <v>36400.030699999996</v>
      </c>
      <c r="Q137" s="215" t="str">
        <f>IFERROR(IF(compras_mes78288[[#This Row],[CUIT]]="","-",VLOOKUP(compras_mes78288[[#This Row],[CUIT]],Lista_CUIT[#All],3,0)),"CUIT NO CARGADO")</f>
        <v>Gastos Varios</v>
      </c>
      <c r="R137" s="215">
        <f>IFERROR(IF(compras_mes78288[[#This Row],[CUIT]]="","-",VLOOKUP(compras_mes78288[[#This Row],[CUIT]],Lista_CUIT[#All],4,0)),"CUIT NO CARGADO")</f>
        <v>0</v>
      </c>
      <c r="S137">
        <v>13178.35</v>
      </c>
      <c r="T137" s="33">
        <f>compras_mes78288[[#This Row],[TOTAL]]-compras_mes78288[[#This Row],[Columna1]]</f>
        <v>23221.680699999997</v>
      </c>
    </row>
    <row r="138" spans="2:20" x14ac:dyDescent="0.25">
      <c r="B138" s="207" t="s">
        <v>2546</v>
      </c>
      <c r="C138" s="208">
        <v>1</v>
      </c>
      <c r="D138" s="209">
        <v>12</v>
      </c>
      <c r="E138" s="225">
        <v>69390</v>
      </c>
      <c r="F138" s="210">
        <v>30696131003</v>
      </c>
      <c r="G138" s="211" t="str">
        <f>IFERROR(IF(compras_mes78288[[#This Row],[CUIT]]="","-",VLOOKUP(compras_mes78288[[#This Row],[CUIT]],Lista_CUIT[#All],2,0)),"CUIT NO CARGADO")</f>
        <v>Petrolfe S.A.</v>
      </c>
      <c r="H138" s="212">
        <v>127715.29</v>
      </c>
      <c r="I138" s="213">
        <f>IF(compras_mes78288[[#This Row],[NETO GRAVADO]]="","",compras_mes78288[[#This Row],[NETO GRAVADO]]*0.21)</f>
        <v>26820.210899999998</v>
      </c>
      <c r="J138" s="213"/>
      <c r="K138" s="213"/>
      <c r="L138" s="213"/>
      <c r="M138" s="213"/>
      <c r="N138" s="213"/>
      <c r="O138" s="213">
        <v>21007.599999999999</v>
      </c>
      <c r="P138" s="214">
        <f>SUM(compras_mes78288[[#This Row],[NETO GRAVADO]:[Otros / No Grav.]])</f>
        <v>175543.10089999999</v>
      </c>
      <c r="Q138" s="215" t="str">
        <f>IFERROR(IF(compras_mes78288[[#This Row],[CUIT]]="","-",VLOOKUP(compras_mes78288[[#This Row],[CUIT]],Lista_CUIT[#All],3,0)),"CUIT NO CARGADO")</f>
        <v>Combustible</v>
      </c>
      <c r="R138" s="215">
        <f>IFERROR(IF(compras_mes78288[[#This Row],[CUIT]]="","-",VLOOKUP(compras_mes78288[[#This Row],[CUIT]],Lista_CUIT[#All],4,0)),"CUIT NO CARGADO")</f>
        <v>0</v>
      </c>
      <c r="S138">
        <v>15000.04</v>
      </c>
      <c r="T138" s="33">
        <f>compras_mes78288[[#This Row],[TOTAL]]-compras_mes78288[[#This Row],[Columna1]]</f>
        <v>160543.06089999998</v>
      </c>
    </row>
    <row r="139" spans="2:20" x14ac:dyDescent="0.25">
      <c r="B139" s="207" t="s">
        <v>2540</v>
      </c>
      <c r="C139" s="208">
        <v>1</v>
      </c>
      <c r="D139" s="209">
        <v>12</v>
      </c>
      <c r="E139" s="225">
        <v>69885</v>
      </c>
      <c r="F139" s="210">
        <v>30696131003</v>
      </c>
      <c r="G139" s="45" t="str">
        <f>IFERROR(IF(compras_mes78288[[#This Row],[CUIT]]="","-",VLOOKUP(compras_mes78288[[#This Row],[CUIT]],Lista_CUIT[#All],2,0)),"CUIT NO CARGADO")</f>
        <v>Petrolfe S.A.</v>
      </c>
      <c r="H139" s="212">
        <v>125547.19</v>
      </c>
      <c r="I139" s="213">
        <f>IF(compras_mes78288[[#This Row],[NETO GRAVADO]]="","",compras_mes78288[[#This Row],[NETO GRAVADO]]*0.21)</f>
        <v>26364.909899999999</v>
      </c>
      <c r="J139" s="213"/>
      <c r="K139" s="213"/>
      <c r="L139" s="213"/>
      <c r="M139" s="213"/>
      <c r="N139" s="213"/>
      <c r="O139" s="213">
        <v>20650.97</v>
      </c>
      <c r="P139" s="48">
        <f>SUM(compras_mes78288[[#This Row],[NETO GRAVADO]:[Otros / No Grav.]])</f>
        <v>172563.0699</v>
      </c>
      <c r="Q139" s="49" t="str">
        <f>IFERROR(IF(compras_mes78288[[#This Row],[CUIT]]="","-",VLOOKUP(compras_mes78288[[#This Row],[CUIT]],Lista_CUIT[#All],3,0)),"CUIT NO CARGADO")</f>
        <v>Combustible</v>
      </c>
      <c r="R139" s="49">
        <f>IFERROR(IF(compras_mes78288[[#This Row],[CUIT]]="","-",VLOOKUP(compras_mes78288[[#This Row],[CUIT]],Lista_CUIT[#All],4,0)),"CUIT NO CARGADO")</f>
        <v>0</v>
      </c>
      <c r="S139">
        <v>26620</v>
      </c>
      <c r="T139" s="33">
        <f>compras_mes78288[[#This Row],[TOTAL]]-compras_mes78288[[#This Row],[Columna1]]</f>
        <v>145943.0699</v>
      </c>
    </row>
    <row r="140" spans="2:20" x14ac:dyDescent="0.25">
      <c r="B140" s="207" t="s">
        <v>2541</v>
      </c>
      <c r="C140" s="208">
        <v>1</v>
      </c>
      <c r="D140" s="209">
        <v>12</v>
      </c>
      <c r="E140" s="225">
        <v>69906</v>
      </c>
      <c r="F140" s="210">
        <v>30696131003</v>
      </c>
      <c r="G140" s="45" t="str">
        <f>IFERROR(IF(compras_mes78288[[#This Row],[CUIT]]="","-",VLOOKUP(compras_mes78288[[#This Row],[CUIT]],Lista_CUIT[#All],2,0)),"CUIT NO CARGADO")</f>
        <v>Petrolfe S.A.</v>
      </c>
      <c r="H140" s="212">
        <v>3107.52</v>
      </c>
      <c r="I140" s="213">
        <f>IF(compras_mes78288[[#This Row],[NETO GRAVADO]]="","",compras_mes78288[[#This Row],[NETO GRAVADO]]*0.21)</f>
        <v>652.57920000000001</v>
      </c>
      <c r="J140" s="213"/>
      <c r="K140" s="213"/>
      <c r="L140" s="213"/>
      <c r="M140" s="213"/>
      <c r="N140" s="213"/>
      <c r="O140" s="213">
        <v>497.22</v>
      </c>
      <c r="P140" s="48">
        <f>SUM(compras_mes78288[[#This Row],[NETO GRAVADO]:[Otros / No Grav.]])</f>
        <v>4257.3191999999999</v>
      </c>
      <c r="Q140" s="49" t="str">
        <f>IFERROR(IF(compras_mes78288[[#This Row],[CUIT]]="","-",VLOOKUP(compras_mes78288[[#This Row],[CUIT]],Lista_CUIT[#All],3,0)),"CUIT NO CARGADO")</f>
        <v>Combustible</v>
      </c>
      <c r="R140" s="49">
        <f>IFERROR(IF(compras_mes78288[[#This Row],[CUIT]]="","-",VLOOKUP(compras_mes78288[[#This Row],[CUIT]],Lista_CUIT[#All],4,0)),"CUIT NO CARGADO")</f>
        <v>0</v>
      </c>
      <c r="S140">
        <v>2000</v>
      </c>
      <c r="T140" s="33">
        <f>compras_mes78288[[#This Row],[TOTAL]]-compras_mes78288[[#This Row],[Columna1]]</f>
        <v>2257.3191999999999</v>
      </c>
    </row>
    <row r="141" spans="2:20" x14ac:dyDescent="0.25">
      <c r="B141" s="207" t="s">
        <v>2527</v>
      </c>
      <c r="C141" s="208">
        <v>1</v>
      </c>
      <c r="D141" s="209">
        <v>12</v>
      </c>
      <c r="E141" s="225">
        <v>70314</v>
      </c>
      <c r="F141" s="210">
        <v>30696131003</v>
      </c>
      <c r="G141" s="211" t="str">
        <f>IFERROR(IF(compras_mes78288[[#This Row],[CUIT]]="","-",VLOOKUP(compras_mes78288[[#This Row],[CUIT]],Lista_CUIT[#All],2,0)),"CUIT NO CARGADO")</f>
        <v>Petrolfe S.A.</v>
      </c>
      <c r="H141" s="212">
        <v>227428.43</v>
      </c>
      <c r="I141" s="213">
        <f>IF(compras_mes78288[[#This Row],[NETO GRAVADO]]="","",compras_mes78288[[#This Row],[NETO GRAVADO]]*0.21)</f>
        <v>47759.970299999994</v>
      </c>
      <c r="J141" s="213"/>
      <c r="K141" s="213"/>
      <c r="L141" s="213"/>
      <c r="M141" s="213"/>
      <c r="N141" s="213"/>
      <c r="O141" s="213">
        <v>32422.36</v>
      </c>
      <c r="P141" s="214">
        <f>SUM(compras_mes78288[[#This Row],[NETO GRAVADO]:[Otros / No Grav.]])</f>
        <v>307610.76029999997</v>
      </c>
      <c r="Q141" s="215" t="str">
        <f>IFERROR(IF(compras_mes78288[[#This Row],[CUIT]]="","-",VLOOKUP(compras_mes78288[[#This Row],[CUIT]],Lista_CUIT[#All],3,0)),"CUIT NO CARGADO")</f>
        <v>Combustible</v>
      </c>
      <c r="R141" s="215">
        <f>IFERROR(IF(compras_mes78288[[#This Row],[CUIT]]="","-",VLOOKUP(compras_mes78288[[#This Row],[CUIT]],Lista_CUIT[#All],4,0)),"CUIT NO CARGADO")</f>
        <v>0</v>
      </c>
      <c r="S141">
        <v>7874704.2000000002</v>
      </c>
      <c r="T141" s="33">
        <f>compras_mes78288[[#This Row],[TOTAL]]-compras_mes78288[[#This Row],[Columna1]]</f>
        <v>-7567093.4397</v>
      </c>
    </row>
    <row r="142" spans="2:20" x14ac:dyDescent="0.25">
      <c r="B142" s="207"/>
      <c r="C142" s="208"/>
      <c r="D142" s="209"/>
      <c r="E142" s="225"/>
      <c r="F142" s="210"/>
      <c r="G142" s="45" t="str">
        <f>IFERROR(IF(compras_mes78288[[#This Row],[CUIT]]="","-",VLOOKUP(compras_mes78288[[#This Row],[CUIT]],Lista_CUIT[#All],2,0)),"CUIT NO CARGADO")</f>
        <v>-</v>
      </c>
      <c r="H142" s="212"/>
      <c r="I142" s="213" t="str">
        <f>IF(compras_mes78288[[#This Row],[NETO GRAVADO]]="","",compras_mes78288[[#This Row],[NETO GRAVADO]]*0.21)</f>
        <v/>
      </c>
      <c r="J142" s="213"/>
      <c r="K142" s="213"/>
      <c r="L142" s="213"/>
      <c r="M142" s="213"/>
      <c r="N142" s="213"/>
      <c r="O142" s="213"/>
      <c r="P142" s="48">
        <f>SUM(compras_mes78288[[#This Row],[NETO GRAVADO]:[Otros / No Grav.]])</f>
        <v>0</v>
      </c>
      <c r="Q142" s="49" t="str">
        <f>IFERROR(IF(compras_mes78288[[#This Row],[CUIT]]="","-",VLOOKUP(compras_mes78288[[#This Row],[CUIT]],Lista_CUIT[#All],3,0)),"CUIT NO CARGADO")</f>
        <v>-</v>
      </c>
      <c r="R142" s="49" t="str">
        <f>IFERROR(IF(compras_mes78288[[#This Row],[CUIT]]="","-",VLOOKUP(compras_mes78288[[#This Row],[CUIT]],Lista_CUIT[#All],4,0)),"CUIT NO CARGADO")</f>
        <v>-</v>
      </c>
      <c r="S142">
        <v>28500</v>
      </c>
      <c r="T142" s="33">
        <f>compras_mes78288[[#This Row],[TOTAL]]-compras_mes78288[[#This Row],[Columna1]]</f>
        <v>-28500</v>
      </c>
    </row>
    <row r="143" spans="2:20" x14ac:dyDescent="0.25">
      <c r="B143" s="207"/>
      <c r="C143" s="208"/>
      <c r="D143" s="209"/>
      <c r="E143" s="225"/>
      <c r="F143" s="210"/>
      <c r="G143" s="211" t="str">
        <f>IFERROR(IF(compras_mes78288[[#This Row],[CUIT]]="","-",VLOOKUP(compras_mes78288[[#This Row],[CUIT]],Lista_CUIT[#All],2,0)),"CUIT NO CARGADO")</f>
        <v>-</v>
      </c>
      <c r="H143" s="212"/>
      <c r="I143" s="213" t="str">
        <f>IF(compras_mes78288[[#This Row],[NETO GRAVADO]]="","",compras_mes78288[[#This Row],[NETO GRAVADO]]*0.21)</f>
        <v/>
      </c>
      <c r="J143" s="213"/>
      <c r="K143" s="213"/>
      <c r="L143" s="213"/>
      <c r="M143" s="213"/>
      <c r="N143" s="213"/>
      <c r="O143" s="213"/>
      <c r="P143" s="214">
        <f>SUM(compras_mes78288[[#This Row],[NETO GRAVADO]:[Otros / No Grav.]])</f>
        <v>0</v>
      </c>
      <c r="Q143" s="215" t="str">
        <f>IFERROR(IF(compras_mes78288[[#This Row],[CUIT]]="","-",VLOOKUP(compras_mes78288[[#This Row],[CUIT]],Lista_CUIT[#All],3,0)),"CUIT NO CARGADO")</f>
        <v>-</v>
      </c>
      <c r="R143" s="215" t="str">
        <f>IFERROR(IF(compras_mes78288[[#This Row],[CUIT]]="","-",VLOOKUP(compras_mes78288[[#This Row],[CUIT]],Lista_CUIT[#All],4,0)),"CUIT NO CARGADO")</f>
        <v>-</v>
      </c>
      <c r="S143">
        <v>229983.77</v>
      </c>
      <c r="T143" s="33">
        <f>compras_mes78288[[#This Row],[TOTAL]]-compras_mes78288[[#This Row],[Columna1]]</f>
        <v>-229983.77</v>
      </c>
    </row>
    <row r="144" spans="2:20" x14ac:dyDescent="0.25">
      <c r="B144" s="207"/>
      <c r="C144" s="208"/>
      <c r="D144" s="209"/>
      <c r="E144" s="225"/>
      <c r="F144" s="210"/>
      <c r="G144" s="211" t="str">
        <f>IFERROR(IF(compras_mes78288[[#This Row],[CUIT]]="","-",VLOOKUP(compras_mes78288[[#This Row],[CUIT]],Lista_CUIT[#All],2,0)),"CUIT NO CARGADO")</f>
        <v>-</v>
      </c>
      <c r="H144" s="212"/>
      <c r="I144" s="213" t="str">
        <f>IF(compras_mes78288[[#This Row],[NETO GRAVADO]]="","",compras_mes78288[[#This Row],[NETO GRAVADO]]*0.21)</f>
        <v/>
      </c>
      <c r="J144" s="213"/>
      <c r="K144" s="213"/>
      <c r="L144" s="213"/>
      <c r="M144" s="213"/>
      <c r="N144" s="213"/>
      <c r="O144" s="213"/>
      <c r="P144" s="214">
        <f>SUM(compras_mes78288[[#This Row],[NETO GRAVADO]:[Otros / No Grav.]])</f>
        <v>0</v>
      </c>
      <c r="Q144" s="215" t="str">
        <f>IFERROR(IF(compras_mes78288[[#This Row],[CUIT]]="","-",VLOOKUP(compras_mes78288[[#This Row],[CUIT]],Lista_CUIT[#All],3,0)),"CUIT NO CARGADO")</f>
        <v>-</v>
      </c>
      <c r="R144" s="215" t="str">
        <f>IFERROR(IF(compras_mes78288[[#This Row],[CUIT]]="","-",VLOOKUP(compras_mes78288[[#This Row],[CUIT]],Lista_CUIT[#All],4,0)),"CUIT NO CARGADO")</f>
        <v>-</v>
      </c>
      <c r="S144">
        <v>3043.8</v>
      </c>
      <c r="T144" s="33">
        <f>compras_mes78288[[#This Row],[TOTAL]]-compras_mes78288[[#This Row],[Columna1]]</f>
        <v>-3043.8</v>
      </c>
    </row>
    <row r="145" spans="2:20" x14ac:dyDescent="0.25">
      <c r="B145" s="207"/>
      <c r="C145" s="208"/>
      <c r="D145" s="209"/>
      <c r="E145" s="225"/>
      <c r="F145" s="210"/>
      <c r="G145" s="211" t="str">
        <f>IFERROR(IF(compras_mes78288[[#This Row],[CUIT]]="","-",VLOOKUP(compras_mes78288[[#This Row],[CUIT]],Lista_CUIT[#All],2,0)),"CUIT NO CARGADO")</f>
        <v>-</v>
      </c>
      <c r="H145" s="212"/>
      <c r="I145" s="213" t="str">
        <f>IF(compras_mes78288[[#This Row],[NETO GRAVADO]]="","",compras_mes78288[[#This Row],[NETO GRAVADO]]*0.21)</f>
        <v/>
      </c>
      <c r="J145" s="213"/>
      <c r="K145" s="213"/>
      <c r="L145" s="213"/>
      <c r="M145" s="213"/>
      <c r="N145" s="213"/>
      <c r="O145" s="213"/>
      <c r="P145" s="214">
        <f>SUM(compras_mes78288[[#This Row],[NETO GRAVADO]:[Otros / No Grav.]])</f>
        <v>0</v>
      </c>
      <c r="Q145" s="215" t="str">
        <f>IFERROR(IF(compras_mes78288[[#This Row],[CUIT]]="","-",VLOOKUP(compras_mes78288[[#This Row],[CUIT]],Lista_CUIT[#All],3,0)),"CUIT NO CARGADO")</f>
        <v>-</v>
      </c>
      <c r="R145" s="215" t="str">
        <f>IFERROR(IF(compras_mes78288[[#This Row],[CUIT]]="","-",VLOOKUP(compras_mes78288[[#This Row],[CUIT]],Lista_CUIT[#All],4,0)),"CUIT NO CARGADO")</f>
        <v>-</v>
      </c>
      <c r="S145">
        <v>1391286.52</v>
      </c>
      <c r="T145" s="33">
        <f>compras_mes78288[[#This Row],[TOTAL]]-compras_mes78288[[#This Row],[Columna1]]</f>
        <v>-1391286.52</v>
      </c>
    </row>
    <row r="146" spans="2:20" x14ac:dyDescent="0.25">
      <c r="B146" s="207"/>
      <c r="C146" s="208"/>
      <c r="D146" s="209"/>
      <c r="E146" s="225"/>
      <c r="F146" s="210"/>
      <c r="G146" s="45" t="str">
        <f>IFERROR(IF(compras_mes78288[[#This Row],[CUIT]]="","-",VLOOKUP(compras_mes78288[[#This Row],[CUIT]],Lista_CUIT[#All],2,0)),"CUIT NO CARGADO")</f>
        <v>-</v>
      </c>
      <c r="H146" s="212"/>
      <c r="I146" s="213" t="str">
        <f>IF(compras_mes78288[[#This Row],[NETO GRAVADO]]="","",compras_mes78288[[#This Row],[NETO GRAVADO]]*0.21)</f>
        <v/>
      </c>
      <c r="J146" s="213"/>
      <c r="K146" s="213"/>
      <c r="L146" s="213"/>
      <c r="M146" s="213"/>
      <c r="N146" s="213"/>
      <c r="O146" s="213"/>
      <c r="P146" s="48">
        <f>SUM(compras_mes78288[[#This Row],[NETO GRAVADO]:[Otros / No Grav.]])</f>
        <v>0</v>
      </c>
      <c r="Q146" s="49" t="str">
        <f>IFERROR(IF(compras_mes78288[[#This Row],[CUIT]]="","-",VLOOKUP(compras_mes78288[[#This Row],[CUIT]],Lista_CUIT[#All],3,0)),"CUIT NO CARGADO")</f>
        <v>-</v>
      </c>
      <c r="R146" s="49" t="str">
        <f>IFERROR(IF(compras_mes78288[[#This Row],[CUIT]]="","-",VLOOKUP(compras_mes78288[[#This Row],[CUIT]],Lista_CUIT[#All],4,0)),"CUIT NO CARGADO")</f>
        <v>-</v>
      </c>
      <c r="T146" s="33">
        <f>compras_mes78288[[#This Row],[TOTAL]]-compras_mes78288[[#This Row],[Columna1]]</f>
        <v>0</v>
      </c>
    </row>
    <row r="147" spans="2:20" x14ac:dyDescent="0.25">
      <c r="B147" s="207"/>
      <c r="C147" s="208"/>
      <c r="D147" s="209"/>
      <c r="E147" s="225"/>
      <c r="F147" s="210"/>
      <c r="G147" s="211" t="str">
        <f>IFERROR(IF(compras_mes78288[[#This Row],[CUIT]]="","-",VLOOKUP(compras_mes78288[[#This Row],[CUIT]],Lista_CUIT[#All],2,0)),"CUIT NO CARGADO")</f>
        <v>-</v>
      </c>
      <c r="H147" s="212"/>
      <c r="I147" s="213" t="str">
        <f>IF(compras_mes78288[[#This Row],[NETO GRAVADO]]="","",compras_mes78288[[#This Row],[NETO GRAVADO]]*0.21)</f>
        <v/>
      </c>
      <c r="J147" s="213"/>
      <c r="K147" s="213"/>
      <c r="L147" s="213"/>
      <c r="M147" s="213"/>
      <c r="N147" s="213"/>
      <c r="O147" s="213"/>
      <c r="P147" s="214">
        <f>SUM(compras_mes78288[[#This Row],[NETO GRAVADO]:[Otros / No Grav.]])</f>
        <v>0</v>
      </c>
      <c r="Q147" s="215" t="str">
        <f>IFERROR(IF(compras_mes78288[[#This Row],[CUIT]]="","-",VLOOKUP(compras_mes78288[[#This Row],[CUIT]],Lista_CUIT[#All],3,0)),"CUIT NO CARGADO")</f>
        <v>-</v>
      </c>
      <c r="R147" s="215" t="str">
        <f>IFERROR(IF(compras_mes78288[[#This Row],[CUIT]]="","-",VLOOKUP(compras_mes78288[[#This Row],[CUIT]],Lista_CUIT[#All],4,0)),"CUIT NO CARGADO")</f>
        <v>-</v>
      </c>
      <c r="S147">
        <v>14990</v>
      </c>
      <c r="T147" s="33">
        <f>compras_mes78288[[#This Row],[TOTAL]]-compras_mes78288[[#This Row],[Columna1]]</f>
        <v>-14990</v>
      </c>
    </row>
    <row r="148" spans="2:20" x14ac:dyDescent="0.25">
      <c r="B148" s="207"/>
      <c r="C148" s="208"/>
      <c r="D148" s="209"/>
      <c r="E148" s="225"/>
      <c r="F148" s="210"/>
      <c r="G148" s="211" t="str">
        <f>IFERROR(IF(compras_mes78288[[#This Row],[CUIT]]="","-",VLOOKUP(compras_mes78288[[#This Row],[CUIT]],Lista_CUIT[#All],2,0)),"CUIT NO CARGADO")</f>
        <v>-</v>
      </c>
      <c r="H148" s="212"/>
      <c r="I148" s="213" t="str">
        <f>IF(compras_mes78288[[#This Row],[NETO GRAVADO]]="","",compras_mes78288[[#This Row],[NETO GRAVADO]]*0.21)</f>
        <v/>
      </c>
      <c r="J148" s="213"/>
      <c r="K148" s="213"/>
      <c r="L148" s="213"/>
      <c r="M148" s="213"/>
      <c r="N148" s="213"/>
      <c r="O148" s="213"/>
      <c r="P148" s="214">
        <f>SUM(compras_mes78288[[#This Row],[NETO GRAVADO]:[Otros / No Grav.]])</f>
        <v>0</v>
      </c>
      <c r="Q148" s="215" t="str">
        <f>IFERROR(IF(compras_mes78288[[#This Row],[CUIT]]="","-",VLOOKUP(compras_mes78288[[#This Row],[CUIT]],Lista_CUIT[#All],3,0)),"CUIT NO CARGADO")</f>
        <v>-</v>
      </c>
      <c r="R148" s="215" t="str">
        <f>IFERROR(IF(compras_mes78288[[#This Row],[CUIT]]="","-",VLOOKUP(compras_mes78288[[#This Row],[CUIT]],Lista_CUIT[#All],4,0)),"CUIT NO CARGADO")</f>
        <v>-</v>
      </c>
      <c r="S148">
        <v>2900</v>
      </c>
      <c r="T148" s="33">
        <f>compras_mes78288[[#This Row],[TOTAL]]-compras_mes78288[[#This Row],[Columna1]]</f>
        <v>-2900</v>
      </c>
    </row>
    <row r="149" spans="2:20" x14ac:dyDescent="0.25">
      <c r="B149" s="207"/>
      <c r="C149" s="208"/>
      <c r="D149" s="209"/>
      <c r="E149" s="225"/>
      <c r="F149" s="210"/>
      <c r="G149" s="211" t="str">
        <f>IFERROR(IF(compras_mes78288[[#This Row],[CUIT]]="","-",VLOOKUP(compras_mes78288[[#This Row],[CUIT]],Lista_CUIT[#All],2,0)),"CUIT NO CARGADO")</f>
        <v>-</v>
      </c>
      <c r="H149" s="212"/>
      <c r="I149" s="213" t="str">
        <f>IF(compras_mes78288[[#This Row],[NETO GRAVADO]]="","",compras_mes78288[[#This Row],[NETO GRAVADO]]*0.21)</f>
        <v/>
      </c>
      <c r="J149" s="213"/>
      <c r="K149" s="213"/>
      <c r="L149" s="213"/>
      <c r="M149" s="213"/>
      <c r="N149" s="213"/>
      <c r="O149" s="213"/>
      <c r="P149" s="214">
        <f>SUM(compras_mes78288[[#This Row],[NETO GRAVADO]:[Otros / No Grav.]])</f>
        <v>0</v>
      </c>
      <c r="Q149" s="215" t="str">
        <f>IFERROR(IF(compras_mes78288[[#This Row],[CUIT]]="","-",VLOOKUP(compras_mes78288[[#This Row],[CUIT]],Lista_CUIT[#All],3,0)),"CUIT NO CARGADO")</f>
        <v>-</v>
      </c>
      <c r="R149" s="215" t="str">
        <f>IFERROR(IF(compras_mes78288[[#This Row],[CUIT]]="","-",VLOOKUP(compras_mes78288[[#This Row],[CUIT]],Lista_CUIT[#All],4,0)),"CUIT NO CARGADO")</f>
        <v>-</v>
      </c>
      <c r="S149">
        <v>22200</v>
      </c>
      <c r="T149" s="33">
        <f>compras_mes78288[[#This Row],[TOTAL]]-compras_mes78288[[#This Row],[Columna1]]</f>
        <v>-22200</v>
      </c>
    </row>
    <row r="150" spans="2:20" x14ac:dyDescent="0.25">
      <c r="B150" s="207"/>
      <c r="C150" s="208"/>
      <c r="D150" s="209"/>
      <c r="E150" s="225"/>
      <c r="F150" s="210"/>
      <c r="G150" s="211" t="str">
        <f>IFERROR(IF(compras_mes78288[[#This Row],[CUIT]]="","-",VLOOKUP(compras_mes78288[[#This Row],[CUIT]],Lista_CUIT[#All],2,0)),"CUIT NO CARGADO")</f>
        <v>-</v>
      </c>
      <c r="H150" s="212"/>
      <c r="I150" s="213" t="str">
        <f>IF(compras_mes78288[[#This Row],[NETO GRAVADO]]="","",compras_mes78288[[#This Row],[NETO GRAVADO]]*0.21)</f>
        <v/>
      </c>
      <c r="J150" s="213"/>
      <c r="K150" s="213"/>
      <c r="L150" s="213"/>
      <c r="M150" s="213"/>
      <c r="N150" s="213"/>
      <c r="O150" s="213"/>
      <c r="P150" s="214">
        <f>SUM(compras_mes78288[[#This Row],[NETO GRAVADO]:[Otros / No Grav.]])</f>
        <v>0</v>
      </c>
      <c r="Q150" s="215" t="str">
        <f>IFERROR(IF(compras_mes78288[[#This Row],[CUIT]]="","-",VLOOKUP(compras_mes78288[[#This Row],[CUIT]],Lista_CUIT[#All],3,0)),"CUIT NO CARGADO")</f>
        <v>-</v>
      </c>
      <c r="R150" s="215" t="str">
        <f>IFERROR(IF(compras_mes78288[[#This Row],[CUIT]]="","-",VLOOKUP(compras_mes78288[[#This Row],[CUIT]],Lista_CUIT[#All],4,0)),"CUIT NO CARGADO")</f>
        <v>-</v>
      </c>
      <c r="S150">
        <v>109646.71</v>
      </c>
      <c r="T150" s="33">
        <f>compras_mes78288[[#This Row],[TOTAL]]-compras_mes78288[[#This Row],[Columna1]]</f>
        <v>-109646.71</v>
      </c>
    </row>
    <row r="151" spans="2:20" x14ac:dyDescent="0.25">
      <c r="B151" s="207"/>
      <c r="C151" s="208"/>
      <c r="D151" s="209"/>
      <c r="E151" s="225"/>
      <c r="F151" s="210"/>
      <c r="G151" s="211" t="str">
        <f>IFERROR(IF(compras_mes78288[[#This Row],[CUIT]]="","-",VLOOKUP(compras_mes78288[[#This Row],[CUIT]],Lista_CUIT[#All],2,0)),"CUIT NO CARGADO")</f>
        <v>-</v>
      </c>
      <c r="H151" s="212"/>
      <c r="I151" s="213" t="str">
        <f>IF(compras_mes78288[[#This Row],[NETO GRAVADO]]="","",compras_mes78288[[#This Row],[NETO GRAVADO]]*0.21)</f>
        <v/>
      </c>
      <c r="J151" s="213"/>
      <c r="K151" s="213"/>
      <c r="L151" s="213"/>
      <c r="M151" s="213"/>
      <c r="N151" s="213"/>
      <c r="O151" s="213"/>
      <c r="P151" s="214">
        <f>SUM(compras_mes78288[[#This Row],[NETO GRAVADO]:[Otros / No Grav.]])</f>
        <v>0</v>
      </c>
      <c r="Q151" s="215" t="str">
        <f>IFERROR(IF(compras_mes78288[[#This Row],[CUIT]]="","-",VLOOKUP(compras_mes78288[[#This Row],[CUIT]],Lista_CUIT[#All],3,0)),"CUIT NO CARGADO")</f>
        <v>-</v>
      </c>
      <c r="R151" s="215" t="str">
        <f>IFERROR(IF(compras_mes78288[[#This Row],[CUIT]]="","-",VLOOKUP(compras_mes78288[[#This Row],[CUIT]],Lista_CUIT[#All],4,0)),"CUIT NO CARGADO")</f>
        <v>-</v>
      </c>
      <c r="S151">
        <v>370000</v>
      </c>
      <c r="T151" s="33">
        <f>compras_mes78288[[#This Row],[TOTAL]]-compras_mes78288[[#This Row],[Columna1]]</f>
        <v>-370000</v>
      </c>
    </row>
    <row r="152" spans="2:20" x14ac:dyDescent="0.25">
      <c r="B152" s="207"/>
      <c r="C152" s="208"/>
      <c r="D152" s="209"/>
      <c r="E152" s="225"/>
      <c r="F152" s="210"/>
      <c r="G152" s="211" t="str">
        <f>IFERROR(IF(compras_mes78288[[#This Row],[CUIT]]="","-",VLOOKUP(compras_mes78288[[#This Row],[CUIT]],Lista_CUIT[#All],2,0)),"CUIT NO CARGADO")</f>
        <v>-</v>
      </c>
      <c r="H152" s="212"/>
      <c r="I152" s="213" t="str">
        <f>IF(compras_mes78288[[#This Row],[NETO GRAVADO]]="","",compras_mes78288[[#This Row],[NETO GRAVADO]]*0.21)</f>
        <v/>
      </c>
      <c r="J152" s="213"/>
      <c r="K152" s="213"/>
      <c r="L152" s="213"/>
      <c r="M152" s="213"/>
      <c r="N152" s="213"/>
      <c r="O152" s="213"/>
      <c r="P152" s="214">
        <f>SUM(compras_mes78288[[#This Row],[NETO GRAVADO]:[Otros / No Grav.]])</f>
        <v>0</v>
      </c>
      <c r="Q152" s="215" t="str">
        <f>IFERROR(IF(compras_mes78288[[#This Row],[CUIT]]="","-",VLOOKUP(compras_mes78288[[#This Row],[CUIT]],Lista_CUIT[#All],3,0)),"CUIT NO CARGADO")</f>
        <v>-</v>
      </c>
      <c r="R152" s="215" t="str">
        <f>IFERROR(IF(compras_mes78288[[#This Row],[CUIT]]="","-",VLOOKUP(compras_mes78288[[#This Row],[CUIT]],Lista_CUIT[#All],4,0)),"CUIT NO CARGADO")</f>
        <v>-</v>
      </c>
      <c r="S152">
        <v>9999.99</v>
      </c>
      <c r="T152" s="33">
        <f>compras_mes78288[[#This Row],[TOTAL]]-compras_mes78288[[#This Row],[Columna1]]</f>
        <v>-9999.99</v>
      </c>
    </row>
    <row r="153" spans="2:20" x14ac:dyDescent="0.25">
      <c r="B153" s="207"/>
      <c r="C153" s="208"/>
      <c r="D153" s="209"/>
      <c r="E153" s="225"/>
      <c r="F153" s="210"/>
      <c r="G153" s="211" t="str">
        <f>IFERROR(IF(compras_mes78288[[#This Row],[CUIT]]="","-",VLOOKUP(compras_mes78288[[#This Row],[CUIT]],Lista_CUIT[#All],2,0)),"CUIT NO CARGADO")</f>
        <v>-</v>
      </c>
      <c r="H153" s="212"/>
      <c r="I153" s="213" t="str">
        <f>IF(compras_mes78288[[#This Row],[NETO GRAVADO]]="","",compras_mes78288[[#This Row],[NETO GRAVADO]]*0.21)</f>
        <v/>
      </c>
      <c r="J153" s="213"/>
      <c r="K153" s="213"/>
      <c r="L153" s="213"/>
      <c r="M153" s="213"/>
      <c r="N153" s="213"/>
      <c r="O153" s="213"/>
      <c r="P153" s="214">
        <f>SUM(compras_mes78288[[#This Row],[NETO GRAVADO]:[Otros / No Grav.]])</f>
        <v>0</v>
      </c>
      <c r="Q153" s="215" t="str">
        <f>IFERROR(IF(compras_mes78288[[#This Row],[CUIT]]="","-",VLOOKUP(compras_mes78288[[#This Row],[CUIT]],Lista_CUIT[#All],3,0)),"CUIT NO CARGADO")</f>
        <v>-</v>
      </c>
      <c r="R153" s="215" t="str">
        <f>IFERROR(IF(compras_mes78288[[#This Row],[CUIT]]="","-",VLOOKUP(compras_mes78288[[#This Row],[CUIT]],Lista_CUIT[#All],4,0)),"CUIT NO CARGADO")</f>
        <v>-</v>
      </c>
      <c r="S153">
        <v>59454</v>
      </c>
      <c r="T153" s="33">
        <f>compras_mes78288[[#This Row],[TOTAL]]-compras_mes78288[[#This Row],[Columna1]]</f>
        <v>-59454</v>
      </c>
    </row>
    <row r="154" spans="2:20" x14ac:dyDescent="0.25">
      <c r="B154" s="207"/>
      <c r="C154" s="208"/>
      <c r="D154" s="209"/>
      <c r="E154" s="225"/>
      <c r="F154" s="210"/>
      <c r="G154" s="45" t="str">
        <f>IFERROR(IF(compras_mes78288[[#This Row],[CUIT]]="","-",VLOOKUP(compras_mes78288[[#This Row],[CUIT]],Lista_CUIT[#All],2,0)),"CUIT NO CARGADO")</f>
        <v>-</v>
      </c>
      <c r="H154" s="212"/>
      <c r="I154" s="213" t="str">
        <f>IF(compras_mes78288[[#This Row],[NETO GRAVADO]]="","",compras_mes78288[[#This Row],[NETO GRAVADO]]*0.21)</f>
        <v/>
      </c>
      <c r="J154" s="213"/>
      <c r="K154" s="213"/>
      <c r="L154" s="213"/>
      <c r="M154" s="213"/>
      <c r="N154" s="213"/>
      <c r="O154" s="213"/>
      <c r="P154" s="48">
        <f>SUM(compras_mes78288[[#This Row],[NETO GRAVADO]:[Otros / No Grav.]])</f>
        <v>0</v>
      </c>
      <c r="Q154" s="49" t="str">
        <f>IFERROR(IF(compras_mes78288[[#This Row],[CUIT]]="","-",VLOOKUP(compras_mes78288[[#This Row],[CUIT]],Lista_CUIT[#All],3,0)),"CUIT NO CARGADO")</f>
        <v>-</v>
      </c>
      <c r="R154" s="49" t="str">
        <f>IFERROR(IF(compras_mes78288[[#This Row],[CUIT]]="","-",VLOOKUP(compras_mes78288[[#This Row],[CUIT]],Lista_CUIT[#All],4,0)),"CUIT NO CARGADO")</f>
        <v>-</v>
      </c>
      <c r="T154" s="33">
        <f>compras_mes78288[[#This Row],[TOTAL]]-compras_mes78288[[#This Row],[Columna1]]</f>
        <v>0</v>
      </c>
    </row>
    <row r="155" spans="2:20" x14ac:dyDescent="0.25">
      <c r="B155" s="207"/>
      <c r="C155" s="208"/>
      <c r="D155" s="209"/>
      <c r="E155" s="225"/>
      <c r="F155" s="210"/>
      <c r="G155" s="211" t="str">
        <f>IFERROR(IF(compras_mes78288[[#This Row],[CUIT]]="","-",VLOOKUP(compras_mes78288[[#This Row],[CUIT]],Lista_CUIT[#All],2,0)),"CUIT NO CARGADO")</f>
        <v>-</v>
      </c>
      <c r="H155" s="212"/>
      <c r="I155" s="213" t="str">
        <f>IF(compras_mes78288[[#This Row],[NETO GRAVADO]]="","",compras_mes78288[[#This Row],[NETO GRAVADO]]*0.21)</f>
        <v/>
      </c>
      <c r="J155" s="213"/>
      <c r="K155" s="213"/>
      <c r="L155" s="213"/>
      <c r="M155" s="213"/>
      <c r="N155" s="213"/>
      <c r="O155" s="213"/>
      <c r="P155" s="214">
        <f>SUM(compras_mes78288[[#This Row],[NETO GRAVADO]:[Otros / No Grav.]])</f>
        <v>0</v>
      </c>
      <c r="Q155" s="215" t="str">
        <f>IFERROR(IF(compras_mes78288[[#This Row],[CUIT]]="","-",VLOOKUP(compras_mes78288[[#This Row],[CUIT]],Lista_CUIT[#All],3,0)),"CUIT NO CARGADO")</f>
        <v>-</v>
      </c>
      <c r="R155" s="215" t="str">
        <f>IFERROR(IF(compras_mes78288[[#This Row],[CUIT]]="","-",VLOOKUP(compras_mes78288[[#This Row],[CUIT]],Lista_CUIT[#All],4,0)),"CUIT NO CARGADO")</f>
        <v>-</v>
      </c>
      <c r="S155">
        <v>1941.88</v>
      </c>
      <c r="T155" s="33">
        <f>compras_mes78288[[#This Row],[TOTAL]]-compras_mes78288[[#This Row],[Columna1]]</f>
        <v>-1941.88</v>
      </c>
    </row>
    <row r="156" spans="2:20" x14ac:dyDescent="0.25">
      <c r="B156" s="207"/>
      <c r="C156" s="208"/>
      <c r="D156" s="209"/>
      <c r="E156" s="225"/>
      <c r="F156" s="210"/>
      <c r="G156" s="211" t="str">
        <f>IFERROR(IF(compras_mes78288[[#This Row],[CUIT]]="","-",VLOOKUP(compras_mes78288[[#This Row],[CUIT]],Lista_CUIT[#All],2,0)),"CUIT NO CARGADO")</f>
        <v>-</v>
      </c>
      <c r="H156" s="212"/>
      <c r="I156" s="213" t="str">
        <f>IF(compras_mes78288[[#This Row],[NETO GRAVADO]]="","",compras_mes78288[[#This Row],[NETO GRAVADO]]*0.21)</f>
        <v/>
      </c>
      <c r="J156" s="213"/>
      <c r="K156" s="213"/>
      <c r="L156" s="213"/>
      <c r="M156" s="213"/>
      <c r="N156" s="213"/>
      <c r="O156" s="213"/>
      <c r="P156" s="214">
        <f>SUM(compras_mes78288[[#This Row],[NETO GRAVADO]:[Otros / No Grav.]])</f>
        <v>0</v>
      </c>
      <c r="Q156" s="215" t="str">
        <f>IFERROR(IF(compras_mes78288[[#This Row],[CUIT]]="","-",VLOOKUP(compras_mes78288[[#This Row],[CUIT]],Lista_CUIT[#All],3,0)),"CUIT NO CARGADO")</f>
        <v>-</v>
      </c>
      <c r="R156" s="215" t="str">
        <f>IFERROR(IF(compras_mes78288[[#This Row],[CUIT]]="","-",VLOOKUP(compras_mes78288[[#This Row],[CUIT]],Lista_CUIT[#All],4,0)),"CUIT NO CARGADO")</f>
        <v>-</v>
      </c>
      <c r="S156">
        <v>67300</v>
      </c>
      <c r="T156" s="33">
        <f>compras_mes78288[[#This Row],[TOTAL]]-compras_mes78288[[#This Row],[Columna1]]</f>
        <v>-67300</v>
      </c>
    </row>
    <row r="157" spans="2:20" x14ac:dyDescent="0.25">
      <c r="B157" s="207"/>
      <c r="C157" s="208"/>
      <c r="D157" s="209"/>
      <c r="E157" s="225"/>
      <c r="F157" s="210"/>
      <c r="G157" s="211" t="str">
        <f>IFERROR(IF(compras_mes78288[[#This Row],[CUIT]]="","-",VLOOKUP(compras_mes78288[[#This Row],[CUIT]],Lista_CUIT[#All],2,0)),"CUIT NO CARGADO")</f>
        <v>-</v>
      </c>
      <c r="H157" s="212"/>
      <c r="I157" s="213" t="str">
        <f>IF(compras_mes78288[[#This Row],[NETO GRAVADO]]="","",compras_mes78288[[#This Row],[NETO GRAVADO]]*0.21)</f>
        <v/>
      </c>
      <c r="J157" s="213"/>
      <c r="K157" s="213"/>
      <c r="L157" s="213"/>
      <c r="M157" s="213"/>
      <c r="N157" s="213"/>
      <c r="O157" s="213"/>
      <c r="P157" s="214">
        <f>SUM(compras_mes78288[[#This Row],[NETO GRAVADO]:[Otros / No Grav.]])</f>
        <v>0</v>
      </c>
      <c r="Q157" s="215" t="str">
        <f>IFERROR(IF(compras_mes78288[[#This Row],[CUIT]]="","-",VLOOKUP(compras_mes78288[[#This Row],[CUIT]],Lista_CUIT[#All],3,0)),"CUIT NO CARGADO")</f>
        <v>-</v>
      </c>
      <c r="R157" s="215" t="str">
        <f>IFERROR(IF(compras_mes78288[[#This Row],[CUIT]]="","-",VLOOKUP(compras_mes78288[[#This Row],[CUIT]],Lista_CUIT[#All],4,0)),"CUIT NO CARGADO")</f>
        <v>-</v>
      </c>
      <c r="S157">
        <v>2292772.42</v>
      </c>
      <c r="T157" s="33">
        <f>compras_mes78288[[#This Row],[TOTAL]]-compras_mes78288[[#This Row],[Columna1]]</f>
        <v>-2292772.42</v>
      </c>
    </row>
    <row r="158" spans="2:20" x14ac:dyDescent="0.25">
      <c r="B158" s="207"/>
      <c r="C158" s="208"/>
      <c r="D158" s="209"/>
      <c r="E158" s="225"/>
      <c r="F158" s="210"/>
      <c r="G158" s="211" t="str">
        <f>IFERROR(IF(compras_mes78288[[#This Row],[CUIT]]="","-",VLOOKUP(compras_mes78288[[#This Row],[CUIT]],Lista_CUIT[#All],2,0)),"CUIT NO CARGADO")</f>
        <v>-</v>
      </c>
      <c r="H158" s="212"/>
      <c r="I158" s="213" t="str">
        <f>IF(compras_mes78288[[#This Row],[NETO GRAVADO]]="","",compras_mes78288[[#This Row],[NETO GRAVADO]]*0.21)</f>
        <v/>
      </c>
      <c r="J158" s="213"/>
      <c r="K158" s="213"/>
      <c r="L158" s="213"/>
      <c r="M158" s="213"/>
      <c r="N158" s="213"/>
      <c r="O158" s="213"/>
      <c r="P158" s="214">
        <f>SUM(compras_mes78288[[#This Row],[NETO GRAVADO]:[Otros / No Grav.]])</f>
        <v>0</v>
      </c>
      <c r="Q158" s="215" t="str">
        <f>IFERROR(IF(compras_mes78288[[#This Row],[CUIT]]="","-",VLOOKUP(compras_mes78288[[#This Row],[CUIT]],Lista_CUIT[#All],3,0)),"CUIT NO CARGADO")</f>
        <v>-</v>
      </c>
      <c r="R158" s="215" t="str">
        <f>IFERROR(IF(compras_mes78288[[#This Row],[CUIT]]="","-",VLOOKUP(compras_mes78288[[#This Row],[CUIT]],Lista_CUIT[#All],4,0)),"CUIT NO CARGADO")</f>
        <v>-</v>
      </c>
      <c r="S158">
        <v>51740</v>
      </c>
      <c r="T158" s="33">
        <f>compras_mes78288[[#This Row],[TOTAL]]-compras_mes78288[[#This Row],[Columna1]]</f>
        <v>-51740</v>
      </c>
    </row>
    <row r="159" spans="2:20" x14ac:dyDescent="0.25">
      <c r="B159" s="207"/>
      <c r="C159" s="208"/>
      <c r="D159" s="209"/>
      <c r="E159" s="225"/>
      <c r="F159" s="210"/>
      <c r="G159" s="45" t="str">
        <f>IFERROR(IF(compras_mes78288[[#This Row],[CUIT]]="","-",VLOOKUP(compras_mes78288[[#This Row],[CUIT]],Lista_CUIT[#All],2,0)),"CUIT NO CARGADO")</f>
        <v>-</v>
      </c>
      <c r="H159" s="212"/>
      <c r="I159" s="213" t="str">
        <f>IF(compras_mes78288[[#This Row],[NETO GRAVADO]]="","",compras_mes78288[[#This Row],[NETO GRAVADO]]*0.21)</f>
        <v/>
      </c>
      <c r="J159" s="213"/>
      <c r="K159" s="213"/>
      <c r="L159" s="213"/>
      <c r="M159" s="213"/>
      <c r="N159" s="213"/>
      <c r="O159" s="213"/>
      <c r="P159" s="48">
        <f>SUM(compras_mes78288[[#This Row],[NETO GRAVADO]:[Otros / No Grav.]])</f>
        <v>0</v>
      </c>
      <c r="Q159" s="49" t="str">
        <f>IFERROR(IF(compras_mes78288[[#This Row],[CUIT]]="","-",VLOOKUP(compras_mes78288[[#This Row],[CUIT]],Lista_CUIT[#All],3,0)),"CUIT NO CARGADO")</f>
        <v>-</v>
      </c>
      <c r="R159" s="49" t="str">
        <f>IFERROR(IF(compras_mes78288[[#This Row],[CUIT]]="","-",VLOOKUP(compras_mes78288[[#This Row],[CUIT]],Lista_CUIT[#All],4,0)),"CUIT NO CARGADO")</f>
        <v>-</v>
      </c>
      <c r="S159">
        <v>41046.019999999997</v>
      </c>
      <c r="T159" s="33">
        <f>compras_mes78288[[#This Row],[TOTAL]]-compras_mes78288[[#This Row],[Columna1]]</f>
        <v>-41046.019999999997</v>
      </c>
    </row>
    <row r="160" spans="2:20" x14ac:dyDescent="0.25">
      <c r="B160" s="207"/>
      <c r="C160" s="208"/>
      <c r="D160" s="209"/>
      <c r="E160" s="225"/>
      <c r="F160" s="210"/>
      <c r="G160" s="45" t="str">
        <f>IFERROR(IF(compras_mes78288[[#This Row],[CUIT]]="","-",VLOOKUP(compras_mes78288[[#This Row],[CUIT]],Lista_CUIT[#All],2,0)),"CUIT NO CARGADO")</f>
        <v>-</v>
      </c>
      <c r="H160" s="212"/>
      <c r="I160" s="213" t="str">
        <f>IF(compras_mes78288[[#This Row],[NETO GRAVADO]]="","",compras_mes78288[[#This Row],[NETO GRAVADO]]*0.21)</f>
        <v/>
      </c>
      <c r="J160" s="213"/>
      <c r="K160" s="213"/>
      <c r="L160" s="213"/>
      <c r="M160" s="213"/>
      <c r="N160" s="213"/>
      <c r="O160" s="213"/>
      <c r="P160" s="48">
        <f>SUM(compras_mes78288[[#This Row],[NETO GRAVADO]:[Otros / No Grav.]])</f>
        <v>0</v>
      </c>
      <c r="Q160" s="49" t="str">
        <f>IFERROR(IF(compras_mes78288[[#This Row],[CUIT]]="","-",VLOOKUP(compras_mes78288[[#This Row],[CUIT]],Lista_CUIT[#All],3,0)),"CUIT NO CARGADO")</f>
        <v>-</v>
      </c>
      <c r="R160" s="49" t="str">
        <f>IFERROR(IF(compras_mes78288[[#This Row],[CUIT]]="","-",VLOOKUP(compras_mes78288[[#This Row],[CUIT]],Lista_CUIT[#All],4,0)),"CUIT NO CARGADO")</f>
        <v>-</v>
      </c>
      <c r="S160">
        <v>202781.82</v>
      </c>
      <c r="T160" s="33">
        <f>compras_mes78288[[#This Row],[TOTAL]]-compras_mes78288[[#This Row],[Columna1]]</f>
        <v>-202781.82</v>
      </c>
    </row>
    <row r="161" spans="2:20" x14ac:dyDescent="0.25">
      <c r="B161" s="207"/>
      <c r="C161" s="208"/>
      <c r="D161" s="209"/>
      <c r="E161" s="225"/>
      <c r="F161" s="210"/>
      <c r="G161" s="45" t="str">
        <f>IFERROR(IF(compras_mes78288[[#This Row],[CUIT]]="","-",VLOOKUP(compras_mes78288[[#This Row],[CUIT]],Lista_CUIT[#All],2,0)),"CUIT NO CARGADO")</f>
        <v>-</v>
      </c>
      <c r="H161" s="212"/>
      <c r="I161" s="213" t="str">
        <f>IF(compras_mes78288[[#This Row],[NETO GRAVADO]]="","",compras_mes78288[[#This Row],[NETO GRAVADO]]*0.21)</f>
        <v/>
      </c>
      <c r="J161" s="213"/>
      <c r="K161" s="213"/>
      <c r="L161" s="213"/>
      <c r="M161" s="213"/>
      <c r="N161" s="213"/>
      <c r="O161" s="213"/>
      <c r="P161" s="48">
        <f>SUM(compras_mes78288[[#This Row],[NETO GRAVADO]:[Otros / No Grav.]])</f>
        <v>0</v>
      </c>
      <c r="Q161" s="49" t="str">
        <f>IFERROR(IF(compras_mes78288[[#This Row],[CUIT]]="","-",VLOOKUP(compras_mes78288[[#This Row],[CUIT]],Lista_CUIT[#All],3,0)),"CUIT NO CARGADO")</f>
        <v>-</v>
      </c>
      <c r="R161" s="49" t="str">
        <f>IFERROR(IF(compras_mes78288[[#This Row],[CUIT]]="","-",VLOOKUP(compras_mes78288[[#This Row],[CUIT]],Lista_CUIT[#All],4,0)),"CUIT NO CARGADO")</f>
        <v>-</v>
      </c>
      <c r="S161">
        <v>-78.47</v>
      </c>
      <c r="T161" s="33">
        <f>compras_mes78288[[#This Row],[TOTAL]]-compras_mes78288[[#This Row],[Columna1]]</f>
        <v>78.47</v>
      </c>
    </row>
    <row r="162" spans="2:20" x14ac:dyDescent="0.25">
      <c r="B162" s="207"/>
      <c r="C162" s="208"/>
      <c r="D162" s="209"/>
      <c r="E162" s="225"/>
      <c r="F162" s="210"/>
      <c r="G162" s="211" t="str">
        <f>IFERROR(IF(compras_mes78288[[#This Row],[CUIT]]="","-",VLOOKUP(compras_mes78288[[#This Row],[CUIT]],Lista_CUIT[#All],2,0)),"CUIT NO CARGADO")</f>
        <v>-</v>
      </c>
      <c r="H162" s="212"/>
      <c r="I162" s="213" t="str">
        <f>IF(compras_mes78288[[#This Row],[NETO GRAVADO]]="","",compras_mes78288[[#This Row],[NETO GRAVADO]]*0.21)</f>
        <v/>
      </c>
      <c r="J162" s="213"/>
      <c r="K162" s="213"/>
      <c r="L162" s="213"/>
      <c r="M162" s="213"/>
      <c r="N162" s="213"/>
      <c r="O162" s="213"/>
      <c r="P162" s="214">
        <f>SUM(compras_mes78288[[#This Row],[NETO GRAVADO]:[Otros / No Grav.]])</f>
        <v>0</v>
      </c>
      <c r="Q162" s="215" t="str">
        <f>IFERROR(IF(compras_mes78288[[#This Row],[CUIT]]="","-",VLOOKUP(compras_mes78288[[#This Row],[CUIT]],Lista_CUIT[#All],3,0)),"CUIT NO CARGADO")</f>
        <v>-</v>
      </c>
      <c r="R162" s="215" t="str">
        <f>IFERROR(IF(compras_mes78288[[#This Row],[CUIT]]="","-",VLOOKUP(compras_mes78288[[#This Row],[CUIT]],Lista_CUIT[#All],4,0)),"CUIT NO CARGADO")</f>
        <v>-</v>
      </c>
      <c r="S162">
        <v>100152.91</v>
      </c>
      <c r="T162" s="33">
        <f>compras_mes78288[[#This Row],[TOTAL]]-compras_mes78288[[#This Row],[Columna1]]</f>
        <v>-100152.91</v>
      </c>
    </row>
    <row r="163" spans="2:20" x14ac:dyDescent="0.25">
      <c r="B163" s="207"/>
      <c r="C163" s="208"/>
      <c r="D163" s="209"/>
      <c r="E163" s="225"/>
      <c r="F163" s="210"/>
      <c r="G163" s="211" t="str">
        <f>IFERROR(IF(compras_mes78288[[#This Row],[CUIT]]="","-",VLOOKUP(compras_mes78288[[#This Row],[CUIT]],Lista_CUIT[#All],2,0)),"CUIT NO CARGADO")</f>
        <v>-</v>
      </c>
      <c r="H163" s="212"/>
      <c r="I163" s="213" t="str">
        <f>IF(compras_mes78288[[#This Row],[NETO GRAVADO]]="","",compras_mes78288[[#This Row],[NETO GRAVADO]]*0.21)</f>
        <v/>
      </c>
      <c r="J163" s="213"/>
      <c r="K163" s="213"/>
      <c r="L163" s="213"/>
      <c r="M163" s="213"/>
      <c r="N163" s="213"/>
      <c r="O163" s="213"/>
      <c r="P163" s="214">
        <f>SUM(compras_mes78288[[#This Row],[NETO GRAVADO]:[Otros / No Grav.]])</f>
        <v>0</v>
      </c>
      <c r="Q163" s="215" t="str">
        <f>IFERROR(IF(compras_mes78288[[#This Row],[CUIT]]="","-",VLOOKUP(compras_mes78288[[#This Row],[CUIT]],Lista_CUIT[#All],3,0)),"CUIT NO CARGADO")</f>
        <v>-</v>
      </c>
      <c r="R163" s="215" t="str">
        <f>IFERROR(IF(compras_mes78288[[#This Row],[CUIT]]="","-",VLOOKUP(compras_mes78288[[#This Row],[CUIT]],Lista_CUIT[#All],4,0)),"CUIT NO CARGADO")</f>
        <v>-</v>
      </c>
      <c r="S163">
        <v>33013.72</v>
      </c>
      <c r="T163" s="33">
        <f>compras_mes78288[[#This Row],[TOTAL]]-compras_mes78288[[#This Row],[Columna1]]</f>
        <v>-33013.72</v>
      </c>
    </row>
    <row r="164" spans="2:20" x14ac:dyDescent="0.25">
      <c r="B164" s="207"/>
      <c r="C164" s="208"/>
      <c r="D164" s="209"/>
      <c r="E164" s="225"/>
      <c r="F164" s="210"/>
      <c r="G164" s="211" t="str">
        <f>IFERROR(IF(compras_mes78288[[#This Row],[CUIT]]="","-",VLOOKUP(compras_mes78288[[#This Row],[CUIT]],Lista_CUIT[#All],2,0)),"CUIT NO CARGADO")</f>
        <v>-</v>
      </c>
      <c r="H164" s="212"/>
      <c r="I164" s="213" t="str">
        <f>IF(compras_mes78288[[#This Row],[NETO GRAVADO]]="","",compras_mes78288[[#This Row],[NETO GRAVADO]]*0.21)</f>
        <v/>
      </c>
      <c r="J164" s="213"/>
      <c r="K164" s="213"/>
      <c r="L164" s="213"/>
      <c r="M164" s="213"/>
      <c r="N164" s="213"/>
      <c r="O164" s="213"/>
      <c r="P164" s="214">
        <f>SUM(compras_mes78288[[#This Row],[NETO GRAVADO]:[Otros / No Grav.]])</f>
        <v>0</v>
      </c>
      <c r="Q164" s="215" t="str">
        <f>IFERROR(IF(compras_mes78288[[#This Row],[CUIT]]="","-",VLOOKUP(compras_mes78288[[#This Row],[CUIT]],Lista_CUIT[#All],3,0)),"CUIT NO CARGADO")</f>
        <v>-</v>
      </c>
      <c r="R164" s="215" t="str">
        <f>IFERROR(IF(compras_mes78288[[#This Row],[CUIT]]="","-",VLOOKUP(compras_mes78288[[#This Row],[CUIT]],Lista_CUIT[#All],4,0)),"CUIT NO CARGADO")</f>
        <v>-</v>
      </c>
      <c r="S164">
        <v>7185.85</v>
      </c>
      <c r="T164" s="33">
        <f>compras_mes78288[[#This Row],[TOTAL]]-compras_mes78288[[#This Row],[Columna1]]</f>
        <v>-7185.85</v>
      </c>
    </row>
    <row r="165" spans="2:20" x14ac:dyDescent="0.25">
      <c r="B165" s="40"/>
      <c r="C165" s="41"/>
      <c r="D165" s="42"/>
      <c r="E165" s="43"/>
      <c r="F165" s="44"/>
      <c r="G165" s="45" t="str">
        <f>IFERROR(IF(compras_mes78288[[#This Row],[CUIT]]="","-",VLOOKUP(compras_mes78288[[#This Row],[CUIT]],Lista_CUIT[#All],2,0)),"CUIT NO CARGADO")</f>
        <v>-</v>
      </c>
      <c r="H165" s="46"/>
      <c r="I165" s="213" t="str">
        <f>IF(compras_mes78288[[#This Row],[NETO GRAVADO]]="","",compras_mes78288[[#This Row],[NETO GRAVADO]]*0.21)</f>
        <v/>
      </c>
      <c r="J165" s="85"/>
      <c r="K165" s="213"/>
      <c r="L165" s="85"/>
      <c r="M165" s="85"/>
      <c r="N165" s="85"/>
      <c r="O165" s="85"/>
      <c r="P165" s="48">
        <f>SUM(compras_mes78288[[#This Row],[NETO GRAVADO]:[Otros / No Grav.]])</f>
        <v>0</v>
      </c>
      <c r="Q165" s="49" t="str">
        <f>IFERROR(IF(compras_mes78288[[#This Row],[CUIT]]="","-",VLOOKUP(compras_mes78288[[#This Row],[CUIT]],Lista_CUIT[#All],3,0)),"CUIT NO CARGADO")</f>
        <v>-</v>
      </c>
      <c r="R165" s="49" t="str">
        <f>IFERROR(IF(compras_mes78288[[#This Row],[CUIT]]="","-",VLOOKUP(compras_mes78288[[#This Row],[CUIT]],Lista_CUIT[#All],4,0)),"CUIT NO CARGADO")</f>
        <v>-</v>
      </c>
      <c r="T165" s="33">
        <f>compras_mes78288[[#This Row],[TOTAL]]-compras_mes78288[[#This Row],[Columna1]]</f>
        <v>0</v>
      </c>
    </row>
    <row r="166" spans="2:20" x14ac:dyDescent="0.25">
      <c r="B166" s="95" t="s">
        <v>103</v>
      </c>
      <c r="C166" s="95"/>
      <c r="D166" s="95"/>
      <c r="E166" s="95"/>
      <c r="F166" s="95"/>
      <c r="G166" s="96"/>
      <c r="H166" s="97">
        <f>SUBTOTAL(109,compras_mes78288[NETO GRAVADO])</f>
        <v>77006022.410000041</v>
      </c>
      <c r="I166" s="97">
        <f>SUBTOTAL(109,compras_mes78288[IVA 21 %])</f>
        <v>15020977.215300001</v>
      </c>
      <c r="J166" s="97">
        <f>SUBTOTAL(109,compras_mes78288[IVA 27%])</f>
        <v>16627.085999999999</v>
      </c>
      <c r="K166" s="97">
        <f>SUBTOTAL(109,compras_mes78288[IVA 10,5%])</f>
        <v>568677.64730000007</v>
      </c>
      <c r="L166" s="97">
        <f>SUBTOTAL(109,compras_mes78288[PERC. IVA])</f>
        <v>14742.32</v>
      </c>
      <c r="M166" s="97">
        <f>SUBTOTAL(109,compras_mes78288[PERC IIBB 
BS AS])</f>
        <v>427063.19</v>
      </c>
      <c r="N166" s="97">
        <f>SUBTOTAL(109,compras_mes78288[PERC. IIBB CABA])</f>
        <v>184877.16999999998</v>
      </c>
      <c r="O166" s="97">
        <f>SUBTOTAL(109,compras_mes78288[Otros / No Grav.])</f>
        <v>3401692.33</v>
      </c>
      <c r="P166" s="97">
        <f>SUBTOTAL(109,compras_mes78288[TOTAL])</f>
        <v>96640679.368599981</v>
      </c>
      <c r="Q166" s="95"/>
      <c r="R166" s="95"/>
      <c r="S166" s="365"/>
      <c r="T166" s="56"/>
    </row>
    <row r="167" spans="2:20" x14ac:dyDescent="0.25">
      <c r="B167" s="40"/>
      <c r="C167" s="41"/>
      <c r="D167" s="42"/>
      <c r="E167" s="43"/>
      <c r="F167" s="44"/>
      <c r="G167" s="45"/>
      <c r="H167" s="46"/>
      <c r="I167" s="47"/>
      <c r="J167" s="47"/>
      <c r="K167" s="47"/>
      <c r="L167" s="47"/>
      <c r="M167" s="47"/>
      <c r="N167" s="47"/>
      <c r="O167" s="47"/>
      <c r="P167" s="48"/>
      <c r="Q167" s="49"/>
      <c r="R167" s="49"/>
    </row>
    <row r="168" spans="2:20" x14ac:dyDescent="0.25">
      <c r="B168" s="40"/>
      <c r="C168" s="41"/>
      <c r="D168" s="42"/>
      <c r="E168" s="43"/>
      <c r="F168" s="44"/>
      <c r="G168" s="45"/>
      <c r="H168" s="46"/>
      <c r="I168" s="47"/>
      <c r="J168" s="47"/>
      <c r="K168" s="47"/>
      <c r="L168" s="47"/>
      <c r="M168" s="47"/>
      <c r="N168" s="47"/>
      <c r="O168" s="47"/>
      <c r="P168" s="48"/>
      <c r="Q168" s="49"/>
      <c r="R168" s="49"/>
    </row>
    <row r="169" spans="2:20" x14ac:dyDescent="0.25">
      <c r="B169" s="40"/>
      <c r="C169" s="41"/>
      <c r="D169" s="42"/>
      <c r="E169" s="43"/>
      <c r="F169" s="44"/>
      <c r="G169" s="45"/>
      <c r="H169" s="46">
        <f>H176*100/21</f>
        <v>193355.91999999998</v>
      </c>
      <c r="I169" s="47">
        <f>I176*100/10.5</f>
        <v>33350.31</v>
      </c>
      <c r="J169" s="47"/>
      <c r="K169" s="47"/>
      <c r="L169" s="47"/>
      <c r="M169" s="47"/>
      <c r="N169" s="47"/>
      <c r="O169" s="47"/>
      <c r="P169" s="48"/>
      <c r="Q169" s="49"/>
      <c r="R169" s="49"/>
    </row>
    <row r="170" spans="2:20" x14ac:dyDescent="0.25">
      <c r="B170" s="40"/>
      <c r="C170" s="41"/>
      <c r="D170" s="42"/>
      <c r="E170" s="43"/>
      <c r="F170" s="44"/>
      <c r="G170" s="45"/>
      <c r="H170" s="46"/>
      <c r="I170" s="47"/>
      <c r="J170" s="47"/>
      <c r="K170" s="47"/>
      <c r="L170" s="47"/>
      <c r="O170" s="274"/>
    </row>
    <row r="171" spans="2:20" ht="21" x14ac:dyDescent="0.25">
      <c r="D171" s="581" t="s">
        <v>15</v>
      </c>
      <c r="E171" s="581"/>
      <c r="F171" s="581"/>
      <c r="G171" s="581"/>
      <c r="H171" s="581"/>
      <c r="I171" s="581"/>
      <c r="J171" s="581"/>
      <c r="K171" s="581"/>
      <c r="L171" s="581"/>
    </row>
    <row r="172" spans="2:20" ht="15.75" x14ac:dyDescent="0.25">
      <c r="D172" s="73" t="s">
        <v>0</v>
      </c>
      <c r="E172" s="74" t="s">
        <v>26</v>
      </c>
      <c r="F172" s="74" t="s">
        <v>16</v>
      </c>
      <c r="G172" s="74" t="s">
        <v>5</v>
      </c>
      <c r="H172" s="74" t="s">
        <v>17</v>
      </c>
      <c r="I172" s="74" t="s">
        <v>7</v>
      </c>
      <c r="J172" s="75" t="s">
        <v>18</v>
      </c>
      <c r="K172" s="75" t="s">
        <v>19</v>
      </c>
      <c r="L172" s="76" t="s">
        <v>20</v>
      </c>
    </row>
    <row r="173" spans="2:20" x14ac:dyDescent="0.25">
      <c r="D173" s="50"/>
      <c r="E173" s="159"/>
      <c r="F173" s="165" t="s">
        <v>2445</v>
      </c>
      <c r="G173" s="81">
        <v>66210</v>
      </c>
      <c r="H173" s="81">
        <f>extracto_banco_mes78691[[#This Row],[NETO]]*0.21</f>
        <v>13904.1</v>
      </c>
      <c r="I173" s="81"/>
      <c r="J173" s="81">
        <v>3972.6</v>
      </c>
      <c r="K173" s="81">
        <v>1986.3</v>
      </c>
      <c r="L173" s="81"/>
    </row>
    <row r="174" spans="2:20" x14ac:dyDescent="0.25">
      <c r="D174" s="50"/>
      <c r="E174" s="159"/>
      <c r="F174" s="165" t="s">
        <v>2379</v>
      </c>
      <c r="G174" s="81">
        <v>6611.57</v>
      </c>
      <c r="H174" s="81">
        <f>extracto_banco_mes78691[[#This Row],[NETO]]*0.21</f>
        <v>1388.4296999999999</v>
      </c>
      <c r="I174" s="81"/>
      <c r="J174" s="81">
        <v>85.73</v>
      </c>
      <c r="K174" s="81">
        <v>198.35</v>
      </c>
      <c r="L174" s="81"/>
      <c r="S174">
        <v>5</v>
      </c>
      <c r="T174">
        <v>5</v>
      </c>
    </row>
    <row r="175" spans="2:20" x14ac:dyDescent="0.25">
      <c r="D175" s="50"/>
      <c r="E175" s="159"/>
      <c r="F175" s="165" t="s">
        <v>2375</v>
      </c>
      <c r="G175" s="81">
        <v>48096.86</v>
      </c>
      <c r="H175" s="81">
        <v>10080</v>
      </c>
      <c r="I175" s="81">
        <v>10.170299999999999</v>
      </c>
      <c r="J175" s="81">
        <v>29724.830000000009</v>
      </c>
      <c r="K175" s="81">
        <v>1440</v>
      </c>
      <c r="L175" s="81"/>
      <c r="S175">
        <v>14</v>
      </c>
      <c r="T175">
        <v>14</v>
      </c>
    </row>
    <row r="176" spans="2:20" x14ac:dyDescent="0.25">
      <c r="D176" s="50"/>
      <c r="E176" s="159"/>
      <c r="F176" s="165" t="s">
        <v>2377</v>
      </c>
      <c r="G176" s="81">
        <v>226706.22999999998</v>
      </c>
      <c r="H176" s="81">
        <v>40604.743199999997</v>
      </c>
      <c r="I176" s="81">
        <v>3501.7825499999994</v>
      </c>
      <c r="J176" s="81">
        <v>11243.75</v>
      </c>
      <c r="K176" s="81">
        <v>6201.6</v>
      </c>
      <c r="L176" s="81"/>
      <c r="S176">
        <v>26</v>
      </c>
      <c r="T176">
        <v>26</v>
      </c>
    </row>
    <row r="177" spans="4:20" x14ac:dyDescent="0.25">
      <c r="D177" s="50"/>
      <c r="E177" s="159"/>
      <c r="F177" s="165" t="s">
        <v>2448</v>
      </c>
      <c r="G177" s="81">
        <v>3966.94</v>
      </c>
      <c r="H177" s="81">
        <f>extracto_banco_mes78691[[#This Row],[NETO]]*0.21</f>
        <v>833.05740000000003</v>
      </c>
      <c r="I177" s="81"/>
      <c r="J177" s="81">
        <v>867.1</v>
      </c>
      <c r="K177" s="81">
        <v>119.01</v>
      </c>
      <c r="L177" s="81"/>
      <c r="S177">
        <v>65</v>
      </c>
      <c r="T177">
        <v>65</v>
      </c>
    </row>
    <row r="178" spans="4:20" x14ac:dyDescent="0.25">
      <c r="D178" s="50"/>
      <c r="E178" s="159"/>
      <c r="F178" s="165" t="s">
        <v>2514</v>
      </c>
      <c r="G178" s="81">
        <v>951119.04761904757</v>
      </c>
      <c r="H178" s="81">
        <f>extracto_banco_mes78691[[#This Row],[NETO]]*0.21</f>
        <v>199734.99999999997</v>
      </c>
      <c r="I178" s="81"/>
      <c r="J178" s="81">
        <v>1856812</v>
      </c>
      <c r="K178" s="81"/>
      <c r="L178" s="81">
        <v>21930</v>
      </c>
      <c r="S178">
        <v>102</v>
      </c>
      <c r="T178">
        <v>102</v>
      </c>
    </row>
    <row r="179" spans="4:20" x14ac:dyDescent="0.25">
      <c r="D179" s="50"/>
      <c r="E179" s="159"/>
      <c r="F179" s="165" t="s">
        <v>2515</v>
      </c>
      <c r="G179" s="81">
        <v>364337.33333333331</v>
      </c>
      <c r="H179" s="81">
        <f>extracto_banco_mes78691[[#This Row],[NETO]]*0.21</f>
        <v>76510.84</v>
      </c>
      <c r="I179" s="81"/>
      <c r="J179" s="81">
        <v>331053.87</v>
      </c>
      <c r="K179" s="81"/>
      <c r="L179" s="81">
        <v>4504.04</v>
      </c>
      <c r="S179">
        <v>111</v>
      </c>
      <c r="T179">
        <v>111</v>
      </c>
    </row>
    <row r="180" spans="4:20" x14ac:dyDescent="0.25">
      <c r="D180" s="82" t="s">
        <v>103</v>
      </c>
      <c r="E180" s="80"/>
      <c r="F180" s="80"/>
      <c r="G180" s="83">
        <f>SUBTOTAL(109,extracto_banco_mes78691[NETO])</f>
        <v>1667047.9809523809</v>
      </c>
      <c r="H180" s="83">
        <f>SUBTOTAL(109,extracto_banco_mes78691[IVA 21%])</f>
        <v>343056.1703</v>
      </c>
      <c r="I180" s="83">
        <f>SUBTOTAL(109,extracto_banco_mes78691[IVA 10,5%])</f>
        <v>3511.9528499999997</v>
      </c>
      <c r="J180" s="83">
        <f>SUBTOTAL(109,extracto_banco_mes78691[RET IIBB CABA])</f>
        <v>2233759.88</v>
      </c>
      <c r="K180" s="83">
        <f>SUBTOTAL(109,extracto_banco_mes78691[PERC IVA])</f>
        <v>9945.26</v>
      </c>
      <c r="L180" s="83">
        <f>SUBTOTAL(109,extracto_banco_mes78691[PERC IIBB])</f>
        <v>26434.04</v>
      </c>
      <c r="S180">
        <v>111</v>
      </c>
      <c r="T180">
        <v>111</v>
      </c>
    </row>
    <row r="181" spans="4:20" x14ac:dyDescent="0.25">
      <c r="S181">
        <v>114</v>
      </c>
      <c r="T181">
        <v>114</v>
      </c>
    </row>
    <row r="182" spans="4:20" x14ac:dyDescent="0.25">
      <c r="S182">
        <v>118</v>
      </c>
      <c r="T182">
        <v>118</v>
      </c>
    </row>
    <row r="183" spans="4:20" x14ac:dyDescent="0.25">
      <c r="S183">
        <v>124</v>
      </c>
      <c r="T183">
        <v>124</v>
      </c>
    </row>
    <row r="184" spans="4:20" ht="21" x14ac:dyDescent="0.25">
      <c r="D184" s="581" t="s">
        <v>25</v>
      </c>
      <c r="E184" s="581"/>
      <c r="F184" s="581"/>
      <c r="G184" s="581"/>
      <c r="H184" s="581"/>
      <c r="I184" s="581"/>
      <c r="J184" s="581"/>
      <c r="K184" s="581"/>
      <c r="S184">
        <v>139</v>
      </c>
      <c r="T184">
        <v>139</v>
      </c>
    </row>
    <row r="185" spans="4:20" x14ac:dyDescent="0.25">
      <c r="D185" s="51" t="s">
        <v>0</v>
      </c>
      <c r="E185" s="51" t="s">
        <v>2</v>
      </c>
      <c r="F185" s="51" t="s">
        <v>74</v>
      </c>
      <c r="G185" s="51" t="s">
        <v>3</v>
      </c>
      <c r="H185" s="51" t="s">
        <v>4</v>
      </c>
      <c r="I185" s="52" t="s">
        <v>10</v>
      </c>
      <c r="J185" s="51" t="s">
        <v>13</v>
      </c>
      <c r="K185" s="51" t="s">
        <v>38</v>
      </c>
      <c r="S185">
        <v>205</v>
      </c>
      <c r="T185">
        <v>205</v>
      </c>
    </row>
    <row r="186" spans="4:20" x14ac:dyDescent="0.25">
      <c r="D186" s="207" t="s">
        <v>2518</v>
      </c>
      <c r="E186" s="216">
        <v>1</v>
      </c>
      <c r="F186" s="216">
        <v>128</v>
      </c>
      <c r="G186" s="217">
        <v>20299505430</v>
      </c>
      <c r="H186" s="218" t="str">
        <f>IFERROR(IF(factura_c_mes78389[[#This Row],[CUIT]]="","-",VLOOKUP(factura_c_mes78389[[#This Row],[CUIT]],Lista_CUIT[#All],2,0)),"CUIT NO CARGADO")</f>
        <v>PRADO EMILIANO HERNAN</v>
      </c>
      <c r="I186" s="219">
        <v>1363150</v>
      </c>
      <c r="J186" s="220" t="str">
        <f>IFERROR(IF(factura_c_mes78389[[#This Row],[CUIT]]="","-",VLOOKUP(factura_c_mes78389[[#This Row],[CUIT]],Lista_CUIT[#All],3,0)),"CUIT NO CARGADO")</f>
        <v>Material de Empaque</v>
      </c>
      <c r="K186" s="220">
        <f>IFERROR(IF(factura_c_mes78389[[#This Row],[CUIT]]="","-",VLOOKUP(factura_c_mes78389[[#This Row],[CUIT]],Lista_CUIT[#All],4,0)),"CUIT NO CARGADO")</f>
        <v>0</v>
      </c>
      <c r="S186">
        <v>214</v>
      </c>
      <c r="T186">
        <v>214</v>
      </c>
    </row>
    <row r="187" spans="4:20" x14ac:dyDescent="0.25">
      <c r="D187" s="207" t="s">
        <v>2526</v>
      </c>
      <c r="E187" s="216">
        <v>2</v>
      </c>
      <c r="F187" s="216">
        <v>783</v>
      </c>
      <c r="G187" s="217">
        <v>27218690160</v>
      </c>
      <c r="H187" s="218" t="str">
        <f>IFERROR(IF(factura_c_mes78389[[#This Row],[CUIT]]="","-",VLOOKUP(factura_c_mes78389[[#This Row],[CUIT]],Lista_CUIT[#All],2,0)),"CUIT NO CARGADO")</f>
        <v>RAMIREZ LAURA VERONICA</v>
      </c>
      <c r="I187" s="219">
        <v>33000</v>
      </c>
      <c r="J187" s="220" t="str">
        <f>IFERROR(IF(factura_c_mes78389[[#This Row],[CUIT]]="","-",VLOOKUP(factura_c_mes78389[[#This Row],[CUIT]],Lista_CUIT[#All],3,0)),"CUIT NO CARGADO")</f>
        <v>Honorarios Profesionales</v>
      </c>
      <c r="K187" s="220">
        <f>IFERROR(IF(factura_c_mes78389[[#This Row],[CUIT]]="","-",VLOOKUP(factura_c_mes78389[[#This Row],[CUIT]],Lista_CUIT[#All],4,0)),"CUIT NO CARGADO")</f>
        <v>0</v>
      </c>
      <c r="S187">
        <v>221</v>
      </c>
      <c r="T187">
        <v>221</v>
      </c>
    </row>
    <row r="188" spans="4:20" x14ac:dyDescent="0.25">
      <c r="D188" s="207" t="s">
        <v>2527</v>
      </c>
      <c r="E188" s="216">
        <v>2</v>
      </c>
      <c r="F188" s="216">
        <v>784</v>
      </c>
      <c r="G188" s="217">
        <v>27218690160</v>
      </c>
      <c r="H188" s="218" t="str">
        <f>IFERROR(IF(factura_c_mes78389[[#This Row],[CUIT]]="","-",VLOOKUP(factura_c_mes78389[[#This Row],[CUIT]],Lista_CUIT[#All],2,0)),"CUIT NO CARGADO")</f>
        <v>RAMIREZ LAURA VERONICA</v>
      </c>
      <c r="I188" s="219">
        <v>33000</v>
      </c>
      <c r="J188" s="220" t="str">
        <f>IFERROR(IF(factura_c_mes78389[[#This Row],[CUIT]]="","-",VLOOKUP(factura_c_mes78389[[#This Row],[CUIT]],Lista_CUIT[#All],3,0)),"CUIT NO CARGADO")</f>
        <v>Honorarios Profesionales</v>
      </c>
      <c r="K188" s="220">
        <f>IFERROR(IF(factura_c_mes78389[[#This Row],[CUIT]]="","-",VLOOKUP(factura_c_mes78389[[#This Row],[CUIT]],Lista_CUIT[#All],4,0)),"CUIT NO CARGADO")</f>
        <v>0</v>
      </c>
      <c r="S188">
        <v>248</v>
      </c>
      <c r="T188">
        <v>248</v>
      </c>
    </row>
    <row r="189" spans="4:20" x14ac:dyDescent="0.25">
      <c r="D189" s="207" t="s">
        <v>2528</v>
      </c>
      <c r="E189" s="216">
        <v>1</v>
      </c>
      <c r="F189" s="216">
        <v>113</v>
      </c>
      <c r="G189" s="217">
        <v>20176922363</v>
      </c>
      <c r="H189" s="218" t="str">
        <f>IFERROR(IF(factura_c_mes78389[[#This Row],[CUIT]]="","-",VLOOKUP(factura_c_mes78389[[#This Row],[CUIT]],Lista_CUIT[#All],2,0)),"CUIT NO CARGADO")</f>
        <v>CASTILLO JUAN RAMON</v>
      </c>
      <c r="I189" s="219">
        <v>800000</v>
      </c>
      <c r="J189" s="220" t="str">
        <f>IFERROR(IF(factura_c_mes78389[[#This Row],[CUIT]]="","-",VLOOKUP(factura_c_mes78389[[#This Row],[CUIT]],Lista_CUIT[#All],3,0)),"CUIT NO CARGADO")</f>
        <v>Honorarios Profesionales</v>
      </c>
      <c r="K189" s="220">
        <f>IFERROR(IF(factura_c_mes78389[[#This Row],[CUIT]]="","-",VLOOKUP(factura_c_mes78389[[#This Row],[CUIT]],Lista_CUIT[#All],4,0)),"CUIT NO CARGADO")</f>
        <v>0</v>
      </c>
      <c r="S189">
        <v>267</v>
      </c>
      <c r="T189">
        <v>267</v>
      </c>
    </row>
    <row r="190" spans="4:20" ht="15.75" customHeight="1" x14ac:dyDescent="0.25">
      <c r="D190" s="207" t="s">
        <v>2528</v>
      </c>
      <c r="E190" s="216">
        <v>1</v>
      </c>
      <c r="F190" s="216">
        <v>116</v>
      </c>
      <c r="G190" s="217">
        <v>20176922363</v>
      </c>
      <c r="H190" s="218" t="str">
        <f>IFERROR(IF(factura_c_mes78389[[#This Row],[CUIT]]="","-",VLOOKUP(factura_c_mes78389[[#This Row],[CUIT]],Lista_CUIT[#All],2,0)),"CUIT NO CARGADO")</f>
        <v>CASTILLO JUAN RAMON</v>
      </c>
      <c r="I190" s="219">
        <v>2000000</v>
      </c>
      <c r="J190" s="220" t="str">
        <f>IFERROR(IF(factura_c_mes78389[[#This Row],[CUIT]]="","-",VLOOKUP(factura_c_mes78389[[#This Row],[CUIT]],Lista_CUIT[#All],3,0)),"CUIT NO CARGADO")</f>
        <v>Honorarios Profesionales</v>
      </c>
      <c r="K190" s="220">
        <f>IFERROR(IF(factura_c_mes78389[[#This Row],[CUIT]]="","-",VLOOKUP(factura_c_mes78389[[#This Row],[CUIT]],Lista_CUIT[#All],4,0)),"CUIT NO CARGADO")</f>
        <v>0</v>
      </c>
      <c r="S190">
        <v>352</v>
      </c>
      <c r="T190">
        <v>352</v>
      </c>
    </row>
    <row r="191" spans="4:20" x14ac:dyDescent="0.25">
      <c r="D191" s="486" t="s">
        <v>2531</v>
      </c>
      <c r="E191" s="486">
        <v>4</v>
      </c>
      <c r="F191" s="486">
        <v>1303</v>
      </c>
      <c r="G191" s="530">
        <v>23222942934</v>
      </c>
      <c r="H191" s="531" t="str">
        <f>IFERROR(IF(factura_c_mes78389[[#This Row],[CUIT]]="","-",VLOOKUP(factura_c_mes78389[[#This Row],[CUIT]],Lista_CUIT[#All],2,0)),"CUIT NO CARGADO")</f>
        <v>FIORI SILVIA LORENA</v>
      </c>
      <c r="I191" s="490">
        <v>212000</v>
      </c>
      <c r="J191" s="491" t="str">
        <f>IFERROR(IF(factura_c_mes78389[[#This Row],[CUIT]]="","-",VLOOKUP(factura_c_mes78389[[#This Row],[CUIT]],Lista_CUIT[#All],3,0)),"CUIT NO CARGADO")</f>
        <v>Honorarios Profesionales</v>
      </c>
      <c r="K191" s="491">
        <f>IFERROR(IF(factura_c_mes78389[[#This Row],[CUIT]]="","-",VLOOKUP(factura_c_mes78389[[#This Row],[CUIT]],Lista_CUIT[#All],4,0)),"CUIT NO CARGADO")</f>
        <v>0</v>
      </c>
      <c r="S191">
        <v>476</v>
      </c>
      <c r="T191">
        <v>476</v>
      </c>
    </row>
    <row r="192" spans="4:20" ht="17.25" customHeight="1" x14ac:dyDescent="0.25">
      <c r="D192" s="207" t="s">
        <v>2518</v>
      </c>
      <c r="E192" s="216">
        <v>3</v>
      </c>
      <c r="F192" s="216">
        <v>566</v>
      </c>
      <c r="G192" s="217">
        <v>20210551574</v>
      </c>
      <c r="H192" s="218" t="str">
        <f>IFERROR(IF(factura_c_mes78389[[#This Row],[CUIT]]="","-",VLOOKUP(factura_c_mes78389[[#This Row],[CUIT]],Lista_CUIT[#All],2,0)),"CUIT NO CARGADO")</f>
        <v>REUS JORGE DIEGO</v>
      </c>
      <c r="I192" s="219">
        <v>328000</v>
      </c>
      <c r="J192" s="220" t="str">
        <f>IFERROR(IF(factura_c_mes78389[[#This Row],[CUIT]]="","-",VLOOKUP(factura_c_mes78389[[#This Row],[CUIT]],Lista_CUIT[#All],3,0)),"CUIT NO CARGADO")</f>
        <v>Honorarios Legales</v>
      </c>
      <c r="K192" s="220">
        <f>IFERROR(IF(factura_c_mes78389[[#This Row],[CUIT]]="","-",VLOOKUP(factura_c_mes78389[[#This Row],[CUIT]],Lista_CUIT[#All],4,0)),"CUIT NO CARGADO")</f>
        <v>0</v>
      </c>
      <c r="S192">
        <v>521</v>
      </c>
      <c r="T192">
        <v>521</v>
      </c>
    </row>
    <row r="193" spans="4:20" x14ac:dyDescent="0.25">
      <c r="D193" s="207" t="s">
        <v>2518</v>
      </c>
      <c r="E193" s="216">
        <v>4</v>
      </c>
      <c r="F193" s="216">
        <v>33</v>
      </c>
      <c r="G193" s="217">
        <v>20086277523</v>
      </c>
      <c r="H193" s="218" t="str">
        <f>IFERROR(IF(factura_c_mes78389[[#This Row],[CUIT]]="","-",VLOOKUP(factura_c_mes78389[[#This Row],[CUIT]],Lista_CUIT[#All],2,0)),"CUIT NO CARGADO")</f>
        <v>BOTINDARI JUAN CARLOS</v>
      </c>
      <c r="I193" s="219">
        <v>300000</v>
      </c>
      <c r="J193" s="220" t="str">
        <f>IFERROR(IF(factura_c_mes78389[[#This Row],[CUIT]]="","-",VLOOKUP(factura_c_mes78389[[#This Row],[CUIT]],Lista_CUIT[#All],3,0)),"CUIT NO CARGADO")</f>
        <v>Honorarios Contables</v>
      </c>
      <c r="K193" s="220">
        <f>IFERROR(IF(factura_c_mes78389[[#This Row],[CUIT]]="","-",VLOOKUP(factura_c_mes78389[[#This Row],[CUIT]],Lista_CUIT[#All],4,0)),"CUIT NO CARGADO")</f>
        <v>0</v>
      </c>
      <c r="S193">
        <v>748</v>
      </c>
      <c r="T193">
        <v>748</v>
      </c>
    </row>
    <row r="194" spans="4:20" x14ac:dyDescent="0.25">
      <c r="D194" s="207" t="s">
        <v>2518</v>
      </c>
      <c r="E194" s="216">
        <v>2</v>
      </c>
      <c r="F194" s="216">
        <v>395</v>
      </c>
      <c r="G194" s="217">
        <v>27206941419</v>
      </c>
      <c r="H194" s="218" t="str">
        <f>IFERROR(IF(factura_c_mes78389[[#This Row],[CUIT]]="","-",VLOOKUP(factura_c_mes78389[[#This Row],[CUIT]],Lista_CUIT[#All],2,0)),"CUIT NO CARGADO")</f>
        <v>DOBARRO PAULA MARCELA</v>
      </c>
      <c r="I194" s="219">
        <v>150000</v>
      </c>
      <c r="J194" s="220" t="str">
        <f>IFERROR(IF(factura_c_mes78389[[#This Row],[CUIT]]="","-",VLOOKUP(factura_c_mes78389[[#This Row],[CUIT]],Lista_CUIT[#All],3,0)),"CUIT NO CARGADO")</f>
        <v>Honorarios Contables</v>
      </c>
      <c r="K194" s="220">
        <f>IFERROR(IF(factura_c_mes78389[[#This Row],[CUIT]]="","-",VLOOKUP(factura_c_mes78389[[#This Row],[CUIT]],Lista_CUIT[#All],4,0)),"CUIT NO CARGADO")</f>
        <v>0</v>
      </c>
      <c r="S194">
        <v>763</v>
      </c>
      <c r="T194">
        <v>763</v>
      </c>
    </row>
    <row r="195" spans="4:20" x14ac:dyDescent="0.25">
      <c r="D195" s="207" t="s">
        <v>2519</v>
      </c>
      <c r="E195" s="216">
        <v>2</v>
      </c>
      <c r="F195" s="216">
        <v>345</v>
      </c>
      <c r="G195" s="217">
        <v>23319210954</v>
      </c>
      <c r="H195" s="218" t="str">
        <f>IFERROR(IF(factura_c_mes78389[[#This Row],[CUIT]]="","-",VLOOKUP(factura_c_mes78389[[#This Row],[CUIT]],Lista_CUIT[#All],2,0)),"CUIT NO CARGADO")</f>
        <v>CAFFARATTI ROMINA PAOLA</v>
      </c>
      <c r="I195" s="219">
        <v>343800</v>
      </c>
      <c r="J195" s="220" t="str">
        <f>IFERROR(IF(factura_c_mes78389[[#This Row],[CUIT]]="","-",VLOOKUP(factura_c_mes78389[[#This Row],[CUIT]],Lista_CUIT[#All],3,0)),"CUIT NO CARGADO")</f>
        <v>Honorarios Contables</v>
      </c>
      <c r="K195" s="220">
        <f>IFERROR(IF(factura_c_mes78389[[#This Row],[CUIT]]="","-",VLOOKUP(factura_c_mes78389[[#This Row],[CUIT]],Lista_CUIT[#All],4,0)),"CUIT NO CARGADO")</f>
        <v>0</v>
      </c>
      <c r="S195">
        <v>972</v>
      </c>
      <c r="T195">
        <v>972</v>
      </c>
    </row>
    <row r="196" spans="4:20" x14ac:dyDescent="0.25">
      <c r="D196" s="207" t="s">
        <v>2520</v>
      </c>
      <c r="E196" s="216">
        <v>2</v>
      </c>
      <c r="F196" s="216">
        <v>27</v>
      </c>
      <c r="G196" s="217">
        <v>27226409799</v>
      </c>
      <c r="H196" s="218" t="str">
        <f>IFERROR(IF(factura_c_mes78389[[#This Row],[CUIT]]="","-",VLOOKUP(factura_c_mes78389[[#This Row],[CUIT]],Lista_CUIT[#All],2,0)),"CUIT NO CARGADO")</f>
        <v>CASTILLO BERTA YOLANDA</v>
      </c>
      <c r="I196" s="219">
        <v>800000</v>
      </c>
      <c r="J196" s="220" t="str">
        <f>IFERROR(IF(factura_c_mes78389[[#This Row],[CUIT]]="","-",VLOOKUP(factura_c_mes78389[[#This Row],[CUIT]],Lista_CUIT[#All],3,0)),"CUIT NO CARGADO")</f>
        <v>Honorarios Administrativos</v>
      </c>
      <c r="K196" s="220">
        <f>IFERROR(IF(factura_c_mes78389[[#This Row],[CUIT]]="","-",VLOOKUP(factura_c_mes78389[[#This Row],[CUIT]],Lista_CUIT[#All],4,0)),"CUIT NO CARGADO")</f>
        <v>0</v>
      </c>
      <c r="S196">
        <v>990</v>
      </c>
      <c r="T196">
        <v>990</v>
      </c>
    </row>
    <row r="197" spans="4:20" x14ac:dyDescent="0.25">
      <c r="D197" s="207" t="s">
        <v>2520</v>
      </c>
      <c r="E197" s="216">
        <v>2</v>
      </c>
      <c r="F197" s="216">
        <v>22</v>
      </c>
      <c r="G197" s="217">
        <v>24180692653</v>
      </c>
      <c r="H197" s="218" t="str">
        <f>IFERROR(IF(factura_c_mes78389[[#This Row],[CUIT]]="","-",VLOOKUP(factura_c_mes78389[[#This Row],[CUIT]],Lista_CUIT[#All],2,0)),"CUIT NO CARGADO")</f>
        <v>CASTILLO JOSE MANUEL</v>
      </c>
      <c r="I197" s="219">
        <v>600000</v>
      </c>
      <c r="J197" s="220" t="str">
        <f>IFERROR(IF(factura_c_mes78389[[#This Row],[CUIT]]="","-",VLOOKUP(factura_c_mes78389[[#This Row],[CUIT]],Lista_CUIT[#All],3,0)),"CUIT NO CARGADO")</f>
        <v>Honorarios Administrativos</v>
      </c>
      <c r="K197" s="220">
        <f>IFERROR(IF(factura_c_mes78389[[#This Row],[CUIT]]="","-",VLOOKUP(factura_c_mes78389[[#This Row],[CUIT]],Lista_CUIT[#All],4,0)),"CUIT NO CARGADO")</f>
        <v>0</v>
      </c>
      <c r="S197">
        <v>992</v>
      </c>
      <c r="T197">
        <v>992</v>
      </c>
    </row>
    <row r="198" spans="4:20" x14ac:dyDescent="0.25">
      <c r="D198" s="207" t="s">
        <v>2520</v>
      </c>
      <c r="E198" s="216">
        <v>2</v>
      </c>
      <c r="F198" s="216">
        <v>25</v>
      </c>
      <c r="G198" s="217">
        <v>27226409799</v>
      </c>
      <c r="H198" s="218" t="str">
        <f>IFERROR(IF(factura_c_mes78389[[#This Row],[CUIT]]="","-",VLOOKUP(factura_c_mes78389[[#This Row],[CUIT]],Lista_CUIT[#All],2,0)),"CUIT NO CARGADO")</f>
        <v>CASTILLO BERTA YOLANDA</v>
      </c>
      <c r="I198" s="219">
        <v>600000</v>
      </c>
      <c r="J198" s="220" t="str">
        <f>IFERROR(IF(factura_c_mes78389[[#This Row],[CUIT]]="","-",VLOOKUP(factura_c_mes78389[[#This Row],[CUIT]],Lista_CUIT[#All],3,0)),"CUIT NO CARGADO")</f>
        <v>Honorarios Administrativos</v>
      </c>
      <c r="K198" s="220">
        <f>IFERROR(IF(factura_c_mes78389[[#This Row],[CUIT]]="","-",VLOOKUP(factura_c_mes78389[[#This Row],[CUIT]],Lista_CUIT[#All],4,0)),"CUIT NO CARGADO")</f>
        <v>0</v>
      </c>
      <c r="S198">
        <v>1038</v>
      </c>
      <c r="T198">
        <v>1038</v>
      </c>
    </row>
    <row r="199" spans="4:20" x14ac:dyDescent="0.25">
      <c r="D199" s="207" t="s">
        <v>2520</v>
      </c>
      <c r="E199" s="216">
        <v>2</v>
      </c>
      <c r="F199" s="216">
        <v>26</v>
      </c>
      <c r="G199" s="217">
        <v>27226409799</v>
      </c>
      <c r="H199" s="218" t="str">
        <f>IFERROR(IF(factura_c_mes78389[[#This Row],[CUIT]]="","-",VLOOKUP(factura_c_mes78389[[#This Row],[CUIT]],Lista_CUIT[#All],2,0)),"CUIT NO CARGADO")</f>
        <v>CASTILLO BERTA YOLANDA</v>
      </c>
      <c r="I199" s="219">
        <v>400000</v>
      </c>
      <c r="J199" s="220" t="str">
        <f>IFERROR(IF(factura_c_mes78389[[#This Row],[CUIT]]="","-",VLOOKUP(factura_c_mes78389[[#This Row],[CUIT]],Lista_CUIT[#All],3,0)),"CUIT NO CARGADO")</f>
        <v>Honorarios Administrativos</v>
      </c>
      <c r="K199" s="220">
        <f>IFERROR(IF(factura_c_mes78389[[#This Row],[CUIT]]="","-",VLOOKUP(factura_c_mes78389[[#This Row],[CUIT]],Lista_CUIT[#All],4,0)),"CUIT NO CARGADO")</f>
        <v>0</v>
      </c>
      <c r="S199">
        <v>1676</v>
      </c>
      <c r="T199">
        <v>1676</v>
      </c>
    </row>
    <row r="200" spans="4:20" x14ac:dyDescent="0.25">
      <c r="D200" s="207" t="s">
        <v>2520</v>
      </c>
      <c r="E200" s="216">
        <v>1</v>
      </c>
      <c r="F200" s="216">
        <v>24</v>
      </c>
      <c r="G200" s="217">
        <v>20420115882</v>
      </c>
      <c r="H200" s="218" t="str">
        <f>IFERROR(IF(factura_c_mes78389[[#This Row],[CUIT]]="","-",VLOOKUP(factura_c_mes78389[[#This Row],[CUIT]],Lista_CUIT[#All],2,0)),"CUIT NO CARGADO")</f>
        <v>CASTILLO MARIANO JAVIER</v>
      </c>
      <c r="I200" s="219">
        <v>338000</v>
      </c>
      <c r="J200" s="220" t="str">
        <f>IFERROR(IF(factura_c_mes78389[[#This Row],[CUIT]]="","-",VLOOKUP(factura_c_mes78389[[#This Row],[CUIT]],Lista_CUIT[#All],3,0)),"CUIT NO CARGADO")</f>
        <v>Honorarios Administrativos</v>
      </c>
      <c r="K200" s="220">
        <f>IFERROR(IF(factura_c_mes78389[[#This Row],[CUIT]]="","-",VLOOKUP(factura_c_mes78389[[#This Row],[CUIT]],Lista_CUIT[#All],4,0)),"CUIT NO CARGADO")</f>
        <v>0</v>
      </c>
      <c r="S200">
        <v>1684</v>
      </c>
      <c r="T200">
        <v>1684</v>
      </c>
    </row>
    <row r="201" spans="4:20" x14ac:dyDescent="0.25">
      <c r="D201" s="207" t="s">
        <v>2523</v>
      </c>
      <c r="E201" s="216">
        <v>3</v>
      </c>
      <c r="F201" s="216">
        <v>1897</v>
      </c>
      <c r="G201" s="217">
        <v>20173025557</v>
      </c>
      <c r="H201" s="218" t="str">
        <f>IFERROR(IF(factura_c_mes78389[[#This Row],[CUIT]]="","-",VLOOKUP(factura_c_mes78389[[#This Row],[CUIT]],Lista_CUIT[#All],2,0)),"CUIT NO CARGADO")</f>
        <v>MARAUDA HECTOR</v>
      </c>
      <c r="I201" s="219">
        <v>8000</v>
      </c>
      <c r="J201" s="220" t="str">
        <f>IFERROR(IF(factura_c_mes78389[[#This Row],[CUIT]]="","-",VLOOKUP(factura_c_mes78389[[#This Row],[CUIT]],Lista_CUIT[#All],3,0)),"CUIT NO CARGADO")</f>
        <v>Gastos Varios</v>
      </c>
      <c r="K201" s="220">
        <f>IFERROR(IF(factura_c_mes78389[[#This Row],[CUIT]]="","-",VLOOKUP(factura_c_mes78389[[#This Row],[CUIT]],Lista_CUIT[#All],4,0)),"CUIT NO CARGADO")</f>
        <v>0</v>
      </c>
      <c r="S201">
        <v>1714</v>
      </c>
      <c r="T201">
        <v>1714</v>
      </c>
    </row>
    <row r="202" spans="4:20" x14ac:dyDescent="0.25">
      <c r="D202" s="207" t="s">
        <v>2524</v>
      </c>
      <c r="E202" s="216">
        <v>10</v>
      </c>
      <c r="F202" s="216">
        <v>276</v>
      </c>
      <c r="G202" s="217">
        <v>20302234389</v>
      </c>
      <c r="H202" s="218" t="str">
        <f>IFERROR(IF(factura_c_mes78389[[#This Row],[CUIT]]="","-",VLOOKUP(factura_c_mes78389[[#This Row],[CUIT]],Lista_CUIT[#All],2,0)),"CUIT NO CARGADO")</f>
        <v>VIGORELLI GUILLERMO DANIEL</v>
      </c>
      <c r="I202" s="219">
        <v>300000</v>
      </c>
      <c r="J202" s="220" t="str">
        <f>IFERROR(IF(factura_c_mes78389[[#This Row],[CUIT]]="","-",VLOOKUP(factura_c_mes78389[[#This Row],[CUIT]],Lista_CUIT[#All],3,0)),"CUIT NO CARGADO")</f>
        <v>Gastos Varios</v>
      </c>
      <c r="K202" s="220">
        <f>IFERROR(IF(factura_c_mes78389[[#This Row],[CUIT]]="","-",VLOOKUP(factura_c_mes78389[[#This Row],[CUIT]],Lista_CUIT[#All],4,0)),"CUIT NO CARGADO")</f>
        <v>0</v>
      </c>
      <c r="S202">
        <v>1734</v>
      </c>
      <c r="T202">
        <v>1734</v>
      </c>
    </row>
    <row r="203" spans="4:20" x14ac:dyDescent="0.25">
      <c r="D203" s="486" t="s">
        <v>2531</v>
      </c>
      <c r="E203" s="486">
        <v>10</v>
      </c>
      <c r="F203" s="486">
        <v>281</v>
      </c>
      <c r="G203" s="530">
        <v>20302234389</v>
      </c>
      <c r="H203" s="531" t="str">
        <f>IFERROR(IF(factura_c_mes78389[[#This Row],[CUIT]]="","-",VLOOKUP(factura_c_mes78389[[#This Row],[CUIT]],Lista_CUIT[#All],2,0)),"CUIT NO CARGADO")</f>
        <v>VIGORELLI GUILLERMO DANIEL</v>
      </c>
      <c r="I203" s="490">
        <v>350000</v>
      </c>
      <c r="J203" s="491" t="str">
        <f>IFERROR(IF(factura_c_mes78389[[#This Row],[CUIT]]="","-",VLOOKUP(factura_c_mes78389[[#This Row],[CUIT]],Lista_CUIT[#All],3,0)),"CUIT NO CARGADO")</f>
        <v>Gastos Varios</v>
      </c>
      <c r="K203" s="491">
        <f>IFERROR(IF(factura_c_mes78389[[#This Row],[CUIT]]="","-",VLOOKUP(factura_c_mes78389[[#This Row],[CUIT]],Lista_CUIT[#All],4,0)),"CUIT NO CARGADO")</f>
        <v>0</v>
      </c>
      <c r="S203">
        <v>2199</v>
      </c>
      <c r="T203">
        <v>2199</v>
      </c>
    </row>
    <row r="204" spans="4:20" x14ac:dyDescent="0.25">
      <c r="D204" s="207" t="s">
        <v>2518</v>
      </c>
      <c r="E204" s="216">
        <v>1</v>
      </c>
      <c r="F204" s="216">
        <v>8</v>
      </c>
      <c r="G204" s="217">
        <v>27250242536</v>
      </c>
      <c r="H204" s="218" t="str">
        <f>IFERROR(IF(factura_c_mes78389[[#This Row],[CUIT]]="","-",VLOOKUP(factura_c_mes78389[[#This Row],[CUIT]],Lista_CUIT[#All],2,0)),"CUIT NO CARGADO")</f>
        <v>TUNDIS AIDA ESPERANZA</v>
      </c>
      <c r="I204" s="219">
        <v>264000</v>
      </c>
      <c r="J204" s="220" t="str">
        <f>IFERROR(IF(factura_c_mes78389[[#This Row],[CUIT]]="","-",VLOOKUP(factura_c_mes78389[[#This Row],[CUIT]],Lista_CUIT[#All],3,0)),"CUIT NO CARGADO")</f>
        <v>Gtos. Administrativos</v>
      </c>
      <c r="K204" s="220">
        <f>IFERROR(IF(factura_c_mes78389[[#This Row],[CUIT]]="","-",VLOOKUP(factura_c_mes78389[[#This Row],[CUIT]],Lista_CUIT[#All],4,0)),"CUIT NO CARGADO")</f>
        <v>0</v>
      </c>
      <c r="S204">
        <v>2279</v>
      </c>
      <c r="T204">
        <v>2279</v>
      </c>
    </row>
    <row r="205" spans="4:20" x14ac:dyDescent="0.25">
      <c r="D205" s="207" t="s">
        <v>2520</v>
      </c>
      <c r="E205" s="216">
        <v>1</v>
      </c>
      <c r="F205" s="216">
        <v>12</v>
      </c>
      <c r="G205" s="217">
        <v>27203738418</v>
      </c>
      <c r="H205" s="218" t="str">
        <f>IFERROR(IF(factura_c_mes78389[[#This Row],[CUIT]]="","-",VLOOKUP(factura_c_mes78389[[#This Row],[CUIT]],Lista_CUIT[#All],2,0)),"CUIT NO CARGADO")</f>
        <v>CASTILLO DELIA CRISTINA</v>
      </c>
      <c r="I205" s="219">
        <v>600000</v>
      </c>
      <c r="J205" s="220" t="str">
        <f>IFERROR(IF(factura_c_mes78389[[#This Row],[CUIT]]="","-",VLOOKUP(factura_c_mes78389[[#This Row],[CUIT]],Lista_CUIT[#All],3,0)),"CUIT NO CARGADO")</f>
        <v>Gtos. Administrativos</v>
      </c>
      <c r="K205" s="220">
        <f>IFERROR(IF(factura_c_mes78389[[#This Row],[CUIT]]="","-",VLOOKUP(factura_c_mes78389[[#This Row],[CUIT]],Lista_CUIT[#All],4,0)),"CUIT NO CARGADO")</f>
        <v>0</v>
      </c>
      <c r="S205">
        <v>2340</v>
      </c>
      <c r="T205">
        <v>2340</v>
      </c>
    </row>
    <row r="206" spans="4:20" x14ac:dyDescent="0.25">
      <c r="D206" s="207" t="s">
        <v>2520</v>
      </c>
      <c r="E206" s="216">
        <v>1</v>
      </c>
      <c r="F206" s="216">
        <v>6</v>
      </c>
      <c r="G206" s="217">
        <v>20472017056</v>
      </c>
      <c r="H206" s="218" t="str">
        <f>IFERROR(IF(factura_c_mes78389[[#This Row],[CUIT]]="","-",VLOOKUP(factura_c_mes78389[[#This Row],[CUIT]],Lista_CUIT[#All],2,0)),"CUIT NO CARGADO")</f>
        <v>BARUCCO BAUTISTA</v>
      </c>
      <c r="I206" s="219">
        <v>247000</v>
      </c>
      <c r="J206" s="220" t="str">
        <f>IFERROR(IF(factura_c_mes78389[[#This Row],[CUIT]]="","-",VLOOKUP(factura_c_mes78389[[#This Row],[CUIT]],Lista_CUIT[#All],3,0)),"CUIT NO CARGADO")</f>
        <v>Gtos. Administrativos</v>
      </c>
      <c r="K206" s="220">
        <f>IFERROR(IF(factura_c_mes78389[[#This Row],[CUIT]]="","-",VLOOKUP(factura_c_mes78389[[#This Row],[CUIT]],Lista_CUIT[#All],4,0)),"CUIT NO CARGADO")</f>
        <v>0</v>
      </c>
      <c r="S206">
        <v>2475</v>
      </c>
      <c r="T206">
        <v>2475</v>
      </c>
    </row>
    <row r="207" spans="4:20" x14ac:dyDescent="0.25">
      <c r="D207" s="207" t="s">
        <v>2521</v>
      </c>
      <c r="E207" s="216">
        <v>7</v>
      </c>
      <c r="F207" s="216">
        <v>357</v>
      </c>
      <c r="G207" s="217">
        <v>20463552267</v>
      </c>
      <c r="H207" s="218" t="str">
        <f>IFERROR(IF(factura_c_mes78389[[#This Row],[CUIT]]="","-",VLOOKUP(factura_c_mes78389[[#This Row],[CUIT]],Lista_CUIT[#All],2,0)),"CUIT NO CARGADO")</f>
        <v>ROMUALDO CHUMACERO VLADIMIR</v>
      </c>
      <c r="I207" s="219">
        <v>67131</v>
      </c>
      <c r="J207" s="220" t="str">
        <f>IFERROR(IF(factura_c_mes78389[[#This Row],[CUIT]]="","-",VLOOKUP(factura_c_mes78389[[#This Row],[CUIT]],Lista_CUIT[#All],3,0)),"CUIT NO CARGADO")</f>
        <v>Gastos Varios</v>
      </c>
      <c r="K207" s="220">
        <f>IFERROR(IF(factura_c_mes78389[[#This Row],[CUIT]]="","-",VLOOKUP(factura_c_mes78389[[#This Row],[CUIT]],Lista_CUIT[#All],4,0)),"CUIT NO CARGADO")</f>
        <v>0</v>
      </c>
      <c r="S207">
        <v>2538</v>
      </c>
      <c r="T207">
        <v>2538</v>
      </c>
    </row>
    <row r="208" spans="4:20" x14ac:dyDescent="0.25">
      <c r="D208" s="207" t="s">
        <v>2522</v>
      </c>
      <c r="E208" s="216">
        <v>1</v>
      </c>
      <c r="F208" s="216">
        <v>1</v>
      </c>
      <c r="G208" s="217">
        <v>27176180485</v>
      </c>
      <c r="H208" s="218" t="str">
        <f>IFERROR(IF(factura_c_mes78389[[#This Row],[CUIT]]="","-",VLOOKUP(factura_c_mes78389[[#This Row],[CUIT]],Lista_CUIT[#All],2,0)),"CUIT NO CARGADO")</f>
        <v>GIMENEZ MARIANA BEATRIZ</v>
      </c>
      <c r="I208" s="219">
        <v>264000</v>
      </c>
      <c r="J208" s="220" t="str">
        <f>IFERROR(IF(factura_c_mes78389[[#This Row],[CUIT]]="","-",VLOOKUP(factura_c_mes78389[[#This Row],[CUIT]],Lista_CUIT[#All],3,0)),"CUIT NO CARGADO")</f>
        <v>Gtos. Administrativos</v>
      </c>
      <c r="K208" s="220">
        <f>IFERROR(IF(factura_c_mes78389[[#This Row],[CUIT]]="","-",VLOOKUP(factura_c_mes78389[[#This Row],[CUIT]],Lista_CUIT[#All],4,0)),"CUIT NO CARGADO")</f>
        <v>0</v>
      </c>
      <c r="S208">
        <v>2601</v>
      </c>
      <c r="T208">
        <v>2601</v>
      </c>
    </row>
    <row r="209" spans="2:20" x14ac:dyDescent="0.25">
      <c r="D209" s="207" t="s">
        <v>2525</v>
      </c>
      <c r="E209" s="216">
        <v>3</v>
      </c>
      <c r="F209" s="216">
        <v>2354</v>
      </c>
      <c r="G209" s="217">
        <v>20160903288</v>
      </c>
      <c r="H209" s="218" t="str">
        <f>IFERROR(IF(factura_c_mes78389[[#This Row],[CUIT]]="","-",VLOOKUP(factura_c_mes78389[[#This Row],[CUIT]],Lista_CUIT[#All],2,0)),"CUIT NO CARGADO")</f>
        <v>MARTINEZ GABRIEL ESTEBAN</v>
      </c>
      <c r="I209" s="219">
        <v>17920</v>
      </c>
      <c r="J209" s="220" t="str">
        <f>IFERROR(IF(factura_c_mes78389[[#This Row],[CUIT]]="","-",VLOOKUP(factura_c_mes78389[[#This Row],[CUIT]],Lista_CUIT[#All],3,0)),"CUIT NO CARGADO")</f>
        <v>Gastos Varios</v>
      </c>
      <c r="K209" s="220">
        <f>IFERROR(IF(factura_c_mes78389[[#This Row],[CUIT]]="","-",VLOOKUP(factura_c_mes78389[[#This Row],[CUIT]],Lista_CUIT[#All],4,0)),"CUIT NO CARGADO")</f>
        <v>0</v>
      </c>
      <c r="S209">
        <v>2748</v>
      </c>
      <c r="T209">
        <v>2748</v>
      </c>
    </row>
    <row r="210" spans="2:20" x14ac:dyDescent="0.25">
      <c r="D210" s="207" t="s">
        <v>2528</v>
      </c>
      <c r="E210" s="216">
        <v>1</v>
      </c>
      <c r="F210" s="216">
        <v>9</v>
      </c>
      <c r="G210" s="217">
        <v>27250242536</v>
      </c>
      <c r="H210" s="218" t="str">
        <f>IFERROR(IF(factura_c_mes78389[[#This Row],[CUIT]]="","-",VLOOKUP(factura_c_mes78389[[#This Row],[CUIT]],Lista_CUIT[#All],2,0)),"CUIT NO CARGADO")</f>
        <v>TUNDIS AIDA ESPERANZA</v>
      </c>
      <c r="I210" s="219">
        <v>110000</v>
      </c>
      <c r="J210" s="220" t="str">
        <f>IFERROR(IF(factura_c_mes78389[[#This Row],[CUIT]]="","-",VLOOKUP(factura_c_mes78389[[#This Row],[CUIT]],Lista_CUIT[#All],3,0)),"CUIT NO CARGADO")</f>
        <v>Gtos. Administrativos</v>
      </c>
      <c r="K210" s="220">
        <f>IFERROR(IF(factura_c_mes78389[[#This Row],[CUIT]]="","-",VLOOKUP(factura_c_mes78389[[#This Row],[CUIT]],Lista_CUIT[#All],4,0)),"CUIT NO CARGADO")</f>
        <v>0</v>
      </c>
      <c r="S210">
        <v>2772</v>
      </c>
      <c r="T210">
        <v>2772</v>
      </c>
    </row>
    <row r="211" spans="2:20" x14ac:dyDescent="0.25">
      <c r="B211" s="56"/>
      <c r="C211" s="56"/>
      <c r="D211" s="207" t="s">
        <v>2529</v>
      </c>
      <c r="E211" s="216">
        <v>1</v>
      </c>
      <c r="F211" s="216">
        <v>8</v>
      </c>
      <c r="G211" s="217">
        <v>27379693364</v>
      </c>
      <c r="H211" s="53" t="str">
        <f>IFERROR(IF(factura_c_mes78389[[#This Row],[CUIT]]="","-",VLOOKUP(factura_c_mes78389[[#This Row],[CUIT]],Lista_CUIT[#All],2,0)),"CUIT NO CARGADO")</f>
        <v>DAKESIAN ROXANA VANESA</v>
      </c>
      <c r="I211" s="219">
        <v>90000</v>
      </c>
      <c r="J211" s="54" t="str">
        <f>IFERROR(IF(factura_c_mes78389[[#This Row],[CUIT]]="","-",VLOOKUP(factura_c_mes78389[[#This Row],[CUIT]],Lista_CUIT[#All],3,0)),"CUIT NO CARGADO")</f>
        <v>MANTENIMIENTO</v>
      </c>
      <c r="K211" s="54">
        <f>IFERROR(IF(factura_c_mes78389[[#This Row],[CUIT]]="","-",VLOOKUP(factura_c_mes78389[[#This Row],[CUIT]],Lista_CUIT[#All],4,0)),"CUIT NO CARGADO")</f>
        <v>0</v>
      </c>
      <c r="L211" s="56"/>
      <c r="M211" s="56"/>
      <c r="N211" s="56"/>
      <c r="O211" s="56"/>
      <c r="P211" s="56"/>
      <c r="Q211" s="56"/>
      <c r="R211" s="56"/>
      <c r="S211">
        <v>2817</v>
      </c>
      <c r="T211">
        <v>2817</v>
      </c>
    </row>
    <row r="212" spans="2:20" x14ac:dyDescent="0.25">
      <c r="D212" s="486" t="s">
        <v>2530</v>
      </c>
      <c r="E212" s="486">
        <v>7</v>
      </c>
      <c r="F212" s="486">
        <v>441</v>
      </c>
      <c r="G212" s="530">
        <v>20463552267</v>
      </c>
      <c r="H212" s="531" t="str">
        <f>IFERROR(IF(factura_c_mes78389[[#This Row],[CUIT]]="","-",VLOOKUP(factura_c_mes78389[[#This Row],[CUIT]],Lista_CUIT[#All],2,0)),"CUIT NO CARGADO")</f>
        <v>ROMUALDO CHUMACERO VLADIMIR</v>
      </c>
      <c r="I212" s="490">
        <v>134262</v>
      </c>
      <c r="J212" s="491" t="str">
        <f>IFERROR(IF(factura_c_mes78389[[#This Row],[CUIT]]="","-",VLOOKUP(factura_c_mes78389[[#This Row],[CUIT]],Lista_CUIT[#All],3,0)),"CUIT NO CARGADO")</f>
        <v>Gastos Varios</v>
      </c>
      <c r="K212" s="491">
        <f>IFERROR(IF(factura_c_mes78389[[#This Row],[CUIT]]="","-",VLOOKUP(factura_c_mes78389[[#This Row],[CUIT]],Lista_CUIT[#All],4,0)),"CUIT NO CARGADO")</f>
        <v>0</v>
      </c>
      <c r="S212">
        <v>2833</v>
      </c>
      <c r="T212">
        <v>2833</v>
      </c>
    </row>
    <row r="213" spans="2:20" x14ac:dyDescent="0.25">
      <c r="D213" s="55" t="s">
        <v>103</v>
      </c>
      <c r="E213" s="55"/>
      <c r="F213" s="55"/>
      <c r="G213" s="55"/>
      <c r="H213" s="57"/>
      <c r="I213" s="58">
        <f>SUBTOTAL(109,factura_c_mes78389[TOTAL])</f>
        <v>10753263</v>
      </c>
      <c r="J213" s="55"/>
      <c r="K213" s="55"/>
      <c r="S213">
        <v>3173</v>
      </c>
      <c r="T213">
        <v>3173</v>
      </c>
    </row>
    <row r="214" spans="2:20" x14ac:dyDescent="0.25">
      <c r="S214">
        <v>3183</v>
      </c>
      <c r="T214">
        <v>3183</v>
      </c>
    </row>
    <row r="215" spans="2:20" x14ac:dyDescent="0.25">
      <c r="S215">
        <v>3184</v>
      </c>
      <c r="T215">
        <v>3184</v>
      </c>
    </row>
    <row r="216" spans="2:20" ht="26.25" x14ac:dyDescent="0.25">
      <c r="B216" s="592" t="s">
        <v>29</v>
      </c>
      <c r="C216" s="592"/>
      <c r="D216" s="592"/>
      <c r="E216" s="592"/>
      <c r="F216" s="592"/>
      <c r="G216" s="592"/>
      <c r="H216" s="592"/>
      <c r="I216" s="592"/>
      <c r="J216" s="592"/>
      <c r="K216" s="593">
        <f>N1</f>
        <v>45839</v>
      </c>
      <c r="L216" s="593"/>
      <c r="M216" s="593"/>
      <c r="S216">
        <v>3191</v>
      </c>
      <c r="T216">
        <v>3191</v>
      </c>
    </row>
    <row r="217" spans="2:20" x14ac:dyDescent="0.25">
      <c r="S217">
        <v>3201</v>
      </c>
      <c r="T217">
        <v>3201</v>
      </c>
    </row>
    <row r="218" spans="2:20" x14ac:dyDescent="0.25">
      <c r="S218">
        <v>3276</v>
      </c>
      <c r="T218">
        <v>3276</v>
      </c>
    </row>
    <row r="219" spans="2:20" ht="21" x14ac:dyDescent="0.25">
      <c r="B219" s="594" t="s">
        <v>1709</v>
      </c>
      <c r="C219" s="594"/>
      <c r="S219">
        <v>3341</v>
      </c>
      <c r="T219">
        <v>3341</v>
      </c>
    </row>
    <row r="220" spans="2:20" ht="31.5" x14ac:dyDescent="0.25">
      <c r="B220" s="60" t="s">
        <v>0</v>
      </c>
      <c r="C220" s="61" t="s">
        <v>1</v>
      </c>
      <c r="D220" s="61" t="s">
        <v>21</v>
      </c>
      <c r="E220" s="61" t="s">
        <v>22</v>
      </c>
      <c r="F220" s="61" t="s">
        <v>3</v>
      </c>
      <c r="G220" s="61" t="s">
        <v>4</v>
      </c>
      <c r="H220" s="61" t="s">
        <v>23</v>
      </c>
      <c r="I220" s="61" t="s">
        <v>17</v>
      </c>
      <c r="J220" s="61" t="s">
        <v>7</v>
      </c>
      <c r="K220" s="61" t="s">
        <v>24</v>
      </c>
      <c r="L220" s="61" t="s">
        <v>10</v>
      </c>
      <c r="M220" s="62" t="s">
        <v>38</v>
      </c>
      <c r="S220">
        <v>3506</v>
      </c>
      <c r="T220">
        <v>3506</v>
      </c>
    </row>
    <row r="221" spans="2:20" x14ac:dyDescent="0.25">
      <c r="B221" s="40"/>
      <c r="C221" s="41"/>
      <c r="D221" s="42"/>
      <c r="E221" s="43"/>
      <c r="F221" s="44"/>
      <c r="G221" s="1" t="str">
        <f>IFERROR(IF(ventas_b_mes78590[[#This Row],[CUIT]]="","-",VLOOKUP(ventas_b_mes78590[[#This Row],[CUIT]],Lista_CUIT[#All],2,0)),"CUIT NO CARGADO")</f>
        <v>-</v>
      </c>
      <c r="H221" s="64"/>
      <c r="I221" s="64"/>
      <c r="J221" s="64"/>
      <c r="K221" s="64"/>
      <c r="L221" s="64">
        <f>SUM(ventas_b_mes78590[[#This Row],[IMPORTE NETO]:[EXENTO]])</f>
        <v>0</v>
      </c>
      <c r="M221" s="59"/>
      <c r="S221">
        <v>3726</v>
      </c>
      <c r="T221">
        <v>3726</v>
      </c>
    </row>
    <row r="222" spans="2:20" x14ac:dyDescent="0.25">
      <c r="B222" s="40"/>
      <c r="C222" s="41"/>
      <c r="D222" s="42"/>
      <c r="E222" s="43"/>
      <c r="F222" s="44"/>
      <c r="G222" s="1" t="str">
        <f>IFERROR(IF(ventas_b_mes78590[[#This Row],[CUIT]]="","-",VLOOKUP(ventas_b_mes78590[[#This Row],[CUIT]],Lista_CUIT[#All],2,0)),"CUIT NO CARGADO")</f>
        <v>-</v>
      </c>
      <c r="H222" s="64"/>
      <c r="I222" s="64"/>
      <c r="J222" s="64"/>
      <c r="K222" s="64"/>
      <c r="L222" s="64">
        <f>SUM(ventas_b_mes78590[[#This Row],[IMPORTE NETO]:[EXENTO]])</f>
        <v>0</v>
      </c>
      <c r="M222" s="59"/>
      <c r="S222">
        <v>3729</v>
      </c>
      <c r="T222">
        <v>3729</v>
      </c>
    </row>
    <row r="223" spans="2:20" x14ac:dyDescent="0.25">
      <c r="B223" s="40"/>
      <c r="C223" s="41"/>
      <c r="D223" s="42"/>
      <c r="E223" s="43"/>
      <c r="F223" s="44"/>
      <c r="G223" s="1" t="str">
        <f>IFERROR(IF(ventas_b_mes78590[[#This Row],[CUIT]]="","-",VLOOKUP(ventas_b_mes78590[[#This Row],[CUIT]],Lista_CUIT[#All],2,0)),"CUIT NO CARGADO")</f>
        <v>-</v>
      </c>
      <c r="H223" s="64"/>
      <c r="I223" s="64"/>
      <c r="J223" s="64"/>
      <c r="K223" s="64"/>
      <c r="L223" s="64">
        <f>SUM(ventas_b_mes78590[[#This Row],[IMPORTE NETO]:[EXENTO]])</f>
        <v>0</v>
      </c>
      <c r="M223" s="59"/>
      <c r="S223">
        <v>3732</v>
      </c>
      <c r="T223">
        <v>3732</v>
      </c>
    </row>
    <row r="224" spans="2:20" x14ac:dyDescent="0.25">
      <c r="B224" s="40"/>
      <c r="C224" s="41"/>
      <c r="D224" s="42"/>
      <c r="E224" s="43"/>
      <c r="F224" s="44"/>
      <c r="G224" s="1" t="str">
        <f>IFERROR(IF(ventas_b_mes78590[[#This Row],[CUIT]]="","-",VLOOKUP(ventas_b_mes78590[[#This Row],[CUIT]],Lista_CUIT[#All],2,0)),"CUIT NO CARGADO")</f>
        <v>-</v>
      </c>
      <c r="H224" s="64"/>
      <c r="I224" s="64"/>
      <c r="J224" s="64"/>
      <c r="K224" s="64"/>
      <c r="L224" s="64">
        <f>SUM(ventas_b_mes78590[[#This Row],[IMPORTE NETO]:[EXENTO]])</f>
        <v>0</v>
      </c>
      <c r="M224" s="59"/>
      <c r="S224">
        <v>3737</v>
      </c>
      <c r="T224">
        <v>3737</v>
      </c>
    </row>
    <row r="225" spans="2:20" x14ac:dyDescent="0.25">
      <c r="B225" s="40"/>
      <c r="C225" s="41"/>
      <c r="D225" s="42"/>
      <c r="E225" s="43"/>
      <c r="F225" s="44"/>
      <c r="G225" s="1" t="str">
        <f>IFERROR(IF(ventas_b_mes78590[[#This Row],[CUIT]]="","-",VLOOKUP(ventas_b_mes78590[[#This Row],[CUIT]],Lista_CUIT[#All],2,0)),"CUIT NO CARGADO")</f>
        <v>-</v>
      </c>
      <c r="H225" s="64"/>
      <c r="I225" s="64"/>
      <c r="J225" s="64"/>
      <c r="K225" s="64"/>
      <c r="L225" s="64">
        <f>SUM(ventas_b_mes78590[[#This Row],[IMPORTE NETO]:[EXENTO]])</f>
        <v>0</v>
      </c>
      <c r="M225" s="59"/>
      <c r="S225">
        <v>3738</v>
      </c>
      <c r="T225">
        <v>3738</v>
      </c>
    </row>
    <row r="226" spans="2:20" x14ac:dyDescent="0.25">
      <c r="B226" s="40"/>
      <c r="C226" s="41"/>
      <c r="D226" s="42"/>
      <c r="E226" s="43"/>
      <c r="F226" s="44"/>
      <c r="G226" s="1" t="str">
        <f>IFERROR(IF(ventas_b_mes78590[[#This Row],[CUIT]]="","-",VLOOKUP(ventas_b_mes78590[[#This Row],[CUIT]],Lista_CUIT[#All],2,0)),"CUIT NO CARGADO")</f>
        <v>-</v>
      </c>
      <c r="H226" s="64"/>
      <c r="I226" s="64"/>
      <c r="J226" s="64"/>
      <c r="K226" s="64"/>
      <c r="L226" s="64">
        <f>SUM(ventas_b_mes78590[[#This Row],[IMPORTE NETO]:[EXENTO]])</f>
        <v>0</v>
      </c>
      <c r="M226" s="59"/>
      <c r="S226">
        <v>3739</v>
      </c>
      <c r="T226">
        <v>3739</v>
      </c>
    </row>
    <row r="227" spans="2:20" x14ac:dyDescent="0.25">
      <c r="B227" s="40"/>
      <c r="C227" s="41"/>
      <c r="D227" s="42"/>
      <c r="E227" s="43"/>
      <c r="F227" s="44"/>
      <c r="G227" s="1" t="str">
        <f>IFERROR(IF(ventas_b_mes78590[[#This Row],[CUIT]]="","-",VLOOKUP(ventas_b_mes78590[[#This Row],[CUIT]],Lista_CUIT[#All],2,0)),"CUIT NO CARGADO")</f>
        <v>-</v>
      </c>
      <c r="H227" s="64"/>
      <c r="I227" s="139"/>
      <c r="J227" s="140"/>
      <c r="K227" s="140"/>
      <c r="L227" s="140">
        <f>SUM(ventas_b_mes78590[[#This Row],[IMPORTE NETO]:[EXENTO]])</f>
        <v>0</v>
      </c>
      <c r="M227" s="59"/>
      <c r="S227">
        <v>3740</v>
      </c>
      <c r="T227">
        <v>3740</v>
      </c>
    </row>
    <row r="228" spans="2:20" x14ac:dyDescent="0.25">
      <c r="B228" s="66" t="s">
        <v>103</v>
      </c>
      <c r="C228" s="67"/>
      <c r="D228" s="67"/>
      <c r="E228" s="67"/>
      <c r="F228" s="67"/>
      <c r="G228" s="67"/>
      <c r="H228" s="77">
        <f>SUBTOTAL(109,ventas_b_mes78590[IMPORTE NETO])</f>
        <v>0</v>
      </c>
      <c r="I228" s="77">
        <f>SUBTOTAL(109,ventas_b_mes78590[IVA 21%])</f>
        <v>0</v>
      </c>
      <c r="J228" s="78">
        <f>SUBTOTAL(109,ventas_b_mes78590[IVA 10,5%])</f>
        <v>0</v>
      </c>
      <c r="K228" s="78">
        <f>SUBTOTAL(109,ventas_b_mes78590[EXENTO])</f>
        <v>0</v>
      </c>
      <c r="L228" s="78">
        <f>SUBTOTAL(109,ventas_b_mes78590[TOTAL])</f>
        <v>0</v>
      </c>
      <c r="M228" s="68">
        <f>SUBTOTAL(103,ventas_b_mes78590[Provincia])</f>
        <v>0</v>
      </c>
      <c r="S228">
        <v>3743</v>
      </c>
      <c r="T228">
        <v>3743</v>
      </c>
    </row>
    <row r="229" spans="2:20" x14ac:dyDescent="0.25">
      <c r="S229">
        <v>4383</v>
      </c>
      <c r="T229">
        <v>3748</v>
      </c>
    </row>
    <row r="230" spans="2:20" x14ac:dyDescent="0.25">
      <c r="S230">
        <v>4703</v>
      </c>
      <c r="T230">
        <v>4383</v>
      </c>
    </row>
    <row r="231" spans="2:20" x14ac:dyDescent="0.25">
      <c r="S231">
        <v>4704</v>
      </c>
      <c r="T231">
        <v>4703</v>
      </c>
    </row>
    <row r="232" spans="2:20" x14ac:dyDescent="0.25">
      <c r="S232">
        <v>4705</v>
      </c>
      <c r="T232">
        <v>4704</v>
      </c>
    </row>
    <row r="233" spans="2:20" x14ac:dyDescent="0.25">
      <c r="S233">
        <v>4706</v>
      </c>
      <c r="T233">
        <v>4705</v>
      </c>
    </row>
    <row r="234" spans="2:20" ht="15.75" thickBot="1" x14ac:dyDescent="0.3">
      <c r="S234">
        <v>4707</v>
      </c>
      <c r="T234">
        <v>4706</v>
      </c>
    </row>
    <row r="235" spans="2:20" ht="15.75" thickTop="1" x14ac:dyDescent="0.25">
      <c r="C235" s="588" t="s">
        <v>66</v>
      </c>
      <c r="D235" s="588"/>
      <c r="E235" s="588"/>
      <c r="F235" s="588"/>
      <c r="G235" s="588"/>
      <c r="H235" s="32"/>
      <c r="I235" s="32"/>
      <c r="J235" s="32"/>
      <c r="S235">
        <v>4945</v>
      </c>
      <c r="T235">
        <v>4707</v>
      </c>
    </row>
    <row r="236" spans="2:20" ht="15.75" x14ac:dyDescent="0.25">
      <c r="C236" s="113" t="s">
        <v>67</v>
      </c>
      <c r="D236" s="114" t="s">
        <v>68</v>
      </c>
      <c r="E236" s="114" t="s">
        <v>105</v>
      </c>
      <c r="F236" s="114" t="s">
        <v>3</v>
      </c>
      <c r="G236" s="114" t="s">
        <v>4</v>
      </c>
      <c r="H236" s="115" t="s">
        <v>69</v>
      </c>
      <c r="I236" s="115" t="s">
        <v>70</v>
      </c>
      <c r="J236" s="115" t="s">
        <v>71</v>
      </c>
      <c r="K236" s="115" t="s">
        <v>72</v>
      </c>
      <c r="L236" s="115" t="s">
        <v>73</v>
      </c>
      <c r="S236">
        <v>5037</v>
      </c>
      <c r="T236">
        <v>4945</v>
      </c>
    </row>
    <row r="237" spans="2:20" x14ac:dyDescent="0.25">
      <c r="C237" s="116"/>
      <c r="D237" s="117"/>
      <c r="E237" s="117"/>
      <c r="F237" s="118"/>
      <c r="G237" s="53" t="str">
        <f>IFERROR(IF(Retenciones_mes78792[[#This Row],[CUIT]]="","-",VLOOKUP(Retenciones_mes78792[[#This Row],[CUIT]],Lista_CUIT[#All],2,0)),"CUIT NO CARGADO")</f>
        <v>-</v>
      </c>
      <c r="H237" s="119"/>
      <c r="I237" s="119"/>
      <c r="J237" s="119"/>
      <c r="K237" s="119"/>
      <c r="L237" s="119"/>
      <c r="S237">
        <v>5056</v>
      </c>
      <c r="T237">
        <v>5037</v>
      </c>
    </row>
    <row r="238" spans="2:20" x14ac:dyDescent="0.25">
      <c r="C238" s="116"/>
      <c r="D238" s="117"/>
      <c r="E238" s="117"/>
      <c r="F238" s="118"/>
      <c r="G238" s="53" t="str">
        <f>IFERROR(IF(Retenciones_mes78792[[#This Row],[CUIT]]="","-",VLOOKUP(Retenciones_mes78792[[#This Row],[CUIT]],Lista_CUIT[#All],2,0)),"CUIT NO CARGADO")</f>
        <v>-</v>
      </c>
      <c r="H238" s="119"/>
      <c r="I238" s="119"/>
      <c r="J238" s="119"/>
      <c r="K238" s="119"/>
      <c r="L238" s="119"/>
      <c r="S238">
        <v>5272</v>
      </c>
      <c r="T238">
        <v>5056</v>
      </c>
    </row>
    <row r="239" spans="2:20" x14ac:dyDescent="0.25">
      <c r="C239" s="116"/>
      <c r="D239" s="117"/>
      <c r="E239" s="117"/>
      <c r="F239" s="118"/>
      <c r="G239" s="53" t="str">
        <f>IFERROR(IF(Retenciones_mes78792[[#This Row],[CUIT]]="","-",VLOOKUP(Retenciones_mes78792[[#This Row],[CUIT]],Lista_CUIT[#All],2,0)),"CUIT NO CARGADO")</f>
        <v>-</v>
      </c>
      <c r="H239" s="119"/>
      <c r="I239" s="119"/>
      <c r="J239" s="119"/>
      <c r="K239" s="119"/>
      <c r="L239" s="119"/>
      <c r="S239">
        <v>5915</v>
      </c>
      <c r="T239">
        <v>5272</v>
      </c>
    </row>
    <row r="240" spans="2:20" x14ac:dyDescent="0.25">
      <c r="C240" s="116"/>
      <c r="D240" s="117"/>
      <c r="E240" s="117"/>
      <c r="F240" s="118"/>
      <c r="G240" s="53" t="str">
        <f>IFERROR(IF(Retenciones_mes78792[[#This Row],[CUIT]]="","-",VLOOKUP(Retenciones_mes78792[[#This Row],[CUIT]],Lista_CUIT[#All],2,0)),"CUIT NO CARGADO")</f>
        <v>-</v>
      </c>
      <c r="H240" s="119"/>
      <c r="I240" s="119"/>
      <c r="J240" s="119"/>
      <c r="K240" s="119"/>
      <c r="L240" s="119"/>
      <c r="S240">
        <v>5992</v>
      </c>
      <c r="T240">
        <v>5915</v>
      </c>
    </row>
    <row r="241" spans="3:20" x14ac:dyDescent="0.25">
      <c r="D241" s="117"/>
      <c r="E241" s="117"/>
      <c r="G241" s="53" t="str">
        <f>IFERROR(IF(Retenciones_mes78792[[#This Row],[CUIT]]="","-",VLOOKUP(Retenciones_mes78792[[#This Row],[CUIT]],Lista_CUIT[#All],2,0)),"CUIT NO CARGADO")</f>
        <v>-</v>
      </c>
      <c r="S241">
        <v>5992</v>
      </c>
      <c r="T241">
        <v>5992</v>
      </c>
    </row>
    <row r="242" spans="3:20" x14ac:dyDescent="0.25">
      <c r="C242" s="33"/>
      <c r="S242">
        <v>6169</v>
      </c>
      <c r="T242">
        <v>6169</v>
      </c>
    </row>
    <row r="243" spans="3:20" x14ac:dyDescent="0.25">
      <c r="S243">
        <v>6177</v>
      </c>
      <c r="T243">
        <v>6177</v>
      </c>
    </row>
    <row r="244" spans="3:20" x14ac:dyDescent="0.25">
      <c r="S244">
        <v>6177</v>
      </c>
      <c r="T244">
        <v>6804</v>
      </c>
    </row>
    <row r="245" spans="3:20" x14ac:dyDescent="0.25">
      <c r="S245">
        <v>6804</v>
      </c>
      <c r="T245">
        <v>6860</v>
      </c>
    </row>
    <row r="246" spans="3:20" x14ac:dyDescent="0.25">
      <c r="S246">
        <v>6860</v>
      </c>
      <c r="T246">
        <v>6876</v>
      </c>
    </row>
    <row r="247" spans="3:20" x14ac:dyDescent="0.25">
      <c r="S247">
        <v>6876</v>
      </c>
      <c r="T247">
        <v>6879</v>
      </c>
    </row>
    <row r="248" spans="3:20" x14ac:dyDescent="0.25">
      <c r="S248">
        <v>6879</v>
      </c>
      <c r="T248">
        <v>6882</v>
      </c>
    </row>
    <row r="249" spans="3:20" x14ac:dyDescent="0.25">
      <c r="S249">
        <v>6882</v>
      </c>
      <c r="T249">
        <v>8075</v>
      </c>
    </row>
    <row r="250" spans="3:20" x14ac:dyDescent="0.25">
      <c r="S250">
        <v>8075</v>
      </c>
      <c r="T250">
        <v>8508</v>
      </c>
    </row>
    <row r="251" spans="3:20" x14ac:dyDescent="0.25">
      <c r="S251">
        <v>8508</v>
      </c>
      <c r="T251">
        <v>9245</v>
      </c>
    </row>
    <row r="252" spans="3:20" x14ac:dyDescent="0.25">
      <c r="S252">
        <v>9245</v>
      </c>
      <c r="T252">
        <v>9741</v>
      </c>
    </row>
    <row r="253" spans="3:20" x14ac:dyDescent="0.25">
      <c r="S253">
        <v>9741</v>
      </c>
      <c r="T253">
        <v>10085</v>
      </c>
    </row>
    <row r="254" spans="3:20" x14ac:dyDescent="0.25">
      <c r="S254">
        <v>10085</v>
      </c>
      <c r="T254">
        <v>10132</v>
      </c>
    </row>
    <row r="255" spans="3:20" x14ac:dyDescent="0.25">
      <c r="S255">
        <v>10132</v>
      </c>
      <c r="T255">
        <v>11111</v>
      </c>
    </row>
    <row r="256" spans="3:20" x14ac:dyDescent="0.25">
      <c r="S256">
        <v>13141</v>
      </c>
      <c r="T256">
        <v>13141</v>
      </c>
    </row>
    <row r="257" spans="19:20" x14ac:dyDescent="0.25">
      <c r="S257">
        <v>13230</v>
      </c>
      <c r="T257">
        <v>13230</v>
      </c>
    </row>
    <row r="258" spans="19:20" x14ac:dyDescent="0.25">
      <c r="S258">
        <v>13297</v>
      </c>
      <c r="T258">
        <v>13297</v>
      </c>
    </row>
    <row r="259" spans="19:20" x14ac:dyDescent="0.25">
      <c r="S259">
        <v>14981</v>
      </c>
      <c r="T259">
        <v>14981</v>
      </c>
    </row>
    <row r="260" spans="19:20" x14ac:dyDescent="0.25">
      <c r="S260">
        <v>16566</v>
      </c>
      <c r="T260">
        <v>16566</v>
      </c>
    </row>
    <row r="261" spans="19:20" x14ac:dyDescent="0.25">
      <c r="S261">
        <v>17526</v>
      </c>
      <c r="T261">
        <v>17526</v>
      </c>
    </row>
    <row r="262" spans="19:20" x14ac:dyDescent="0.25">
      <c r="S262">
        <v>19412</v>
      </c>
      <c r="T262">
        <v>19412</v>
      </c>
    </row>
    <row r="263" spans="19:20" x14ac:dyDescent="0.25">
      <c r="S263">
        <v>22084</v>
      </c>
      <c r="T263">
        <v>22084</v>
      </c>
    </row>
    <row r="264" spans="19:20" x14ac:dyDescent="0.25">
      <c r="S264">
        <v>22262</v>
      </c>
      <c r="T264">
        <v>22262</v>
      </c>
    </row>
    <row r="265" spans="19:20" x14ac:dyDescent="0.25">
      <c r="S265">
        <v>23352</v>
      </c>
      <c r="T265">
        <v>23352</v>
      </c>
    </row>
    <row r="266" spans="19:20" x14ac:dyDescent="0.25">
      <c r="S266">
        <v>23418</v>
      </c>
      <c r="T266">
        <v>23418</v>
      </c>
    </row>
    <row r="267" spans="19:20" x14ac:dyDescent="0.25">
      <c r="S267">
        <v>23547</v>
      </c>
      <c r="T267">
        <v>23547</v>
      </c>
    </row>
    <row r="268" spans="19:20" x14ac:dyDescent="0.25">
      <c r="S268">
        <v>25240</v>
      </c>
      <c r="T268">
        <v>25240</v>
      </c>
    </row>
    <row r="269" spans="19:20" x14ac:dyDescent="0.25">
      <c r="S269">
        <v>25716</v>
      </c>
      <c r="T269">
        <v>25716</v>
      </c>
    </row>
    <row r="270" spans="19:20" x14ac:dyDescent="0.25">
      <c r="S270">
        <v>26429</v>
      </c>
      <c r="T270">
        <v>26429</v>
      </c>
    </row>
    <row r="271" spans="19:20" x14ac:dyDescent="0.25">
      <c r="S271">
        <v>27257</v>
      </c>
      <c r="T271">
        <v>27257</v>
      </c>
    </row>
    <row r="272" spans="19:20" x14ac:dyDescent="0.25">
      <c r="S272">
        <v>30312</v>
      </c>
      <c r="T272">
        <v>30312</v>
      </c>
    </row>
    <row r="273" spans="19:20" x14ac:dyDescent="0.25">
      <c r="S273">
        <v>30689</v>
      </c>
      <c r="T273">
        <v>30689</v>
      </c>
    </row>
    <row r="274" spans="19:20" x14ac:dyDescent="0.25">
      <c r="S274">
        <v>30797</v>
      </c>
      <c r="T274">
        <v>30797</v>
      </c>
    </row>
    <row r="275" spans="19:20" x14ac:dyDescent="0.25">
      <c r="S275">
        <v>31187</v>
      </c>
      <c r="T275">
        <v>31187</v>
      </c>
    </row>
    <row r="276" spans="19:20" x14ac:dyDescent="0.25">
      <c r="S276">
        <v>34748</v>
      </c>
      <c r="T276">
        <v>34748</v>
      </c>
    </row>
    <row r="277" spans="19:20" x14ac:dyDescent="0.25">
      <c r="S277">
        <v>42136</v>
      </c>
      <c r="T277">
        <v>42136</v>
      </c>
    </row>
    <row r="278" spans="19:20" x14ac:dyDescent="0.25">
      <c r="S278">
        <v>45417</v>
      </c>
      <c r="T278">
        <v>45417</v>
      </c>
    </row>
    <row r="279" spans="19:20" x14ac:dyDescent="0.25">
      <c r="S279">
        <v>45948</v>
      </c>
      <c r="T279">
        <v>45948</v>
      </c>
    </row>
    <row r="280" spans="19:20" x14ac:dyDescent="0.25">
      <c r="S280">
        <v>46734</v>
      </c>
      <c r="T280">
        <v>46734</v>
      </c>
    </row>
    <row r="281" spans="19:20" x14ac:dyDescent="0.25">
      <c r="S281">
        <v>46848</v>
      </c>
      <c r="T281">
        <v>46848</v>
      </c>
    </row>
    <row r="282" spans="19:20" x14ac:dyDescent="0.25">
      <c r="S282">
        <v>48806</v>
      </c>
      <c r="T282">
        <v>48806</v>
      </c>
    </row>
    <row r="283" spans="19:20" x14ac:dyDescent="0.25">
      <c r="S283">
        <v>48976</v>
      </c>
      <c r="T283">
        <v>48976</v>
      </c>
    </row>
    <row r="284" spans="19:20" x14ac:dyDescent="0.25">
      <c r="S284">
        <v>49382</v>
      </c>
      <c r="T284">
        <v>49382</v>
      </c>
    </row>
    <row r="285" spans="19:20" x14ac:dyDescent="0.25">
      <c r="S285">
        <v>49567</v>
      </c>
      <c r="T285">
        <v>49567</v>
      </c>
    </row>
    <row r="286" spans="19:20" x14ac:dyDescent="0.25">
      <c r="S286">
        <v>49741</v>
      </c>
      <c r="T286">
        <v>49741</v>
      </c>
    </row>
    <row r="287" spans="19:20" x14ac:dyDescent="0.25">
      <c r="S287">
        <v>49842</v>
      </c>
      <c r="T287">
        <v>49842</v>
      </c>
    </row>
    <row r="288" spans="19:20" x14ac:dyDescent="0.25">
      <c r="S288">
        <v>59750</v>
      </c>
      <c r="T288">
        <v>59750</v>
      </c>
    </row>
    <row r="289" spans="19:20" x14ac:dyDescent="0.25">
      <c r="S289">
        <v>117652</v>
      </c>
      <c r="T289">
        <v>117652</v>
      </c>
    </row>
    <row r="290" spans="19:20" x14ac:dyDescent="0.25">
      <c r="S290">
        <v>123910</v>
      </c>
      <c r="T290">
        <v>123910</v>
      </c>
    </row>
    <row r="291" spans="19:20" x14ac:dyDescent="0.25">
      <c r="S291">
        <v>124520</v>
      </c>
      <c r="T291">
        <v>124520</v>
      </c>
    </row>
    <row r="292" spans="19:20" x14ac:dyDescent="0.25">
      <c r="S292">
        <v>125055</v>
      </c>
      <c r="T292">
        <v>125055</v>
      </c>
    </row>
    <row r="293" spans="19:20" x14ac:dyDescent="0.25">
      <c r="S293">
        <v>125115</v>
      </c>
      <c r="T293">
        <v>125115</v>
      </c>
    </row>
    <row r="294" spans="19:20" x14ac:dyDescent="0.25">
      <c r="S294">
        <v>125554</v>
      </c>
      <c r="T294">
        <v>125554</v>
      </c>
    </row>
    <row r="295" spans="19:20" x14ac:dyDescent="0.25">
      <c r="S295">
        <v>138711</v>
      </c>
      <c r="T295">
        <v>138711</v>
      </c>
    </row>
    <row r="296" spans="19:20" x14ac:dyDescent="0.25">
      <c r="S296">
        <v>139079</v>
      </c>
      <c r="T296">
        <v>139079</v>
      </c>
    </row>
    <row r="297" spans="19:20" x14ac:dyDescent="0.25">
      <c r="S297">
        <v>188343</v>
      </c>
      <c r="T297">
        <v>188343</v>
      </c>
    </row>
    <row r="298" spans="19:20" x14ac:dyDescent="0.25">
      <c r="S298">
        <v>192881</v>
      </c>
      <c r="T298">
        <v>192881</v>
      </c>
    </row>
    <row r="299" spans="19:20" x14ac:dyDescent="0.25">
      <c r="S299">
        <v>192881</v>
      </c>
      <c r="T299">
        <v>304982</v>
      </c>
    </row>
    <row r="300" spans="19:20" x14ac:dyDescent="0.25">
      <c r="S300">
        <v>304982</v>
      </c>
      <c r="T300">
        <v>305252</v>
      </c>
    </row>
    <row r="301" spans="19:20" x14ac:dyDescent="0.25">
      <c r="S301">
        <v>305252</v>
      </c>
      <c r="T301">
        <v>318097</v>
      </c>
    </row>
    <row r="302" spans="19:20" x14ac:dyDescent="0.25">
      <c r="S302">
        <v>318097</v>
      </c>
      <c r="T302">
        <v>327940</v>
      </c>
    </row>
    <row r="303" spans="19:20" x14ac:dyDescent="0.25">
      <c r="S303">
        <v>327940</v>
      </c>
      <c r="T303">
        <v>463233</v>
      </c>
    </row>
    <row r="304" spans="19:20" x14ac:dyDescent="0.25">
      <c r="S304">
        <v>463233</v>
      </c>
      <c r="T304">
        <v>562801</v>
      </c>
    </row>
    <row r="305" spans="19:20" x14ac:dyDescent="0.25">
      <c r="S305">
        <v>562801</v>
      </c>
      <c r="T305">
        <v>623274</v>
      </c>
    </row>
    <row r="306" spans="19:20" x14ac:dyDescent="0.25">
      <c r="S306">
        <v>623274</v>
      </c>
      <c r="T306">
        <v>624766</v>
      </c>
    </row>
    <row r="307" spans="19:20" x14ac:dyDescent="0.25">
      <c r="S307">
        <v>624766</v>
      </c>
      <c r="T307">
        <v>628257</v>
      </c>
    </row>
    <row r="308" spans="19:20" x14ac:dyDescent="0.25">
      <c r="S308">
        <v>628257</v>
      </c>
      <c r="T308">
        <v>630643</v>
      </c>
    </row>
    <row r="309" spans="19:20" x14ac:dyDescent="0.25">
      <c r="S309">
        <v>630643</v>
      </c>
      <c r="T309">
        <v>693597</v>
      </c>
    </row>
    <row r="310" spans="19:20" x14ac:dyDescent="0.25">
      <c r="S310">
        <v>693597</v>
      </c>
      <c r="T310">
        <v>716566</v>
      </c>
    </row>
    <row r="311" spans="19:20" x14ac:dyDescent="0.25">
      <c r="S311">
        <v>716566</v>
      </c>
      <c r="T311">
        <v>739004</v>
      </c>
    </row>
    <row r="312" spans="19:20" x14ac:dyDescent="0.25">
      <c r="S312">
        <v>739004</v>
      </c>
      <c r="T312">
        <v>897240</v>
      </c>
    </row>
    <row r="313" spans="19:20" x14ac:dyDescent="0.25">
      <c r="S313">
        <v>897240</v>
      </c>
      <c r="T313">
        <v>898102</v>
      </c>
    </row>
    <row r="314" spans="19:20" x14ac:dyDescent="0.25">
      <c r="S314">
        <v>898102</v>
      </c>
      <c r="T314">
        <v>1014170</v>
      </c>
    </row>
    <row r="315" spans="19:20" x14ac:dyDescent="0.25">
      <c r="S315">
        <v>1014170</v>
      </c>
      <c r="T315">
        <v>1355360</v>
      </c>
    </row>
    <row r="316" spans="19:20" x14ac:dyDescent="0.25">
      <c r="S316">
        <v>1355360</v>
      </c>
      <c r="T316">
        <v>1385255</v>
      </c>
    </row>
    <row r="317" spans="19:20" x14ac:dyDescent="0.25">
      <c r="S317">
        <v>1385255</v>
      </c>
      <c r="T317">
        <v>1390779</v>
      </c>
    </row>
    <row r="318" spans="19:20" x14ac:dyDescent="0.25">
      <c r="S318">
        <v>1390779</v>
      </c>
      <c r="T318">
        <v>1415840</v>
      </c>
    </row>
    <row r="319" spans="19:20" x14ac:dyDescent="0.25">
      <c r="S319">
        <v>1415840</v>
      </c>
      <c r="T319">
        <v>1773355</v>
      </c>
    </row>
    <row r="320" spans="19:20" x14ac:dyDescent="0.25">
      <c r="S320">
        <v>1773355</v>
      </c>
      <c r="T320">
        <v>1804042</v>
      </c>
    </row>
    <row r="321" spans="19:20" x14ac:dyDescent="0.25">
      <c r="S321">
        <v>1804042</v>
      </c>
      <c r="T321">
        <v>2688596</v>
      </c>
    </row>
    <row r="322" spans="19:20" x14ac:dyDescent="0.25">
      <c r="S322">
        <v>2688596</v>
      </c>
      <c r="T322">
        <v>2897240</v>
      </c>
    </row>
    <row r="323" spans="19:20" x14ac:dyDescent="0.25">
      <c r="S323">
        <v>2897240</v>
      </c>
      <c r="T323">
        <v>2898102</v>
      </c>
    </row>
    <row r="324" spans="19:20" x14ac:dyDescent="0.25">
      <c r="S324">
        <v>2898102</v>
      </c>
      <c r="T324">
        <v>3081546</v>
      </c>
    </row>
    <row r="325" spans="19:20" x14ac:dyDescent="0.25">
      <c r="S325">
        <v>3081546</v>
      </c>
      <c r="T325">
        <v>3081546</v>
      </c>
    </row>
    <row r="326" spans="19:20" x14ac:dyDescent="0.25">
      <c r="S326">
        <v>3081546</v>
      </c>
      <c r="T326">
        <v>3698401</v>
      </c>
    </row>
    <row r="327" spans="19:20" x14ac:dyDescent="0.25">
      <c r="S327">
        <v>3698401</v>
      </c>
      <c r="T327">
        <v>3711416</v>
      </c>
    </row>
    <row r="328" spans="19:20" x14ac:dyDescent="0.25">
      <c r="S328">
        <v>3711416</v>
      </c>
      <c r="T328">
        <v>3724684</v>
      </c>
    </row>
    <row r="329" spans="19:20" x14ac:dyDescent="0.25">
      <c r="S329">
        <v>3724684</v>
      </c>
      <c r="T329">
        <v>4006247</v>
      </c>
    </row>
    <row r="330" spans="19:20" x14ac:dyDescent="0.25">
      <c r="S330">
        <v>4006247</v>
      </c>
      <c r="T330">
        <v>4013136</v>
      </c>
    </row>
    <row r="331" spans="19:20" x14ac:dyDescent="0.25">
      <c r="S331">
        <v>4006247</v>
      </c>
      <c r="T331">
        <v>4055959</v>
      </c>
    </row>
    <row r="332" spans="19:20" x14ac:dyDescent="0.25">
      <c r="S332">
        <v>4013136</v>
      </c>
      <c r="T332">
        <v>5249797</v>
      </c>
    </row>
    <row r="333" spans="19:20" x14ac:dyDescent="0.25">
      <c r="S333">
        <v>4055959</v>
      </c>
      <c r="T333">
        <v>5287649</v>
      </c>
    </row>
    <row r="334" spans="19:20" x14ac:dyDescent="0.25">
      <c r="S334">
        <v>5249797</v>
      </c>
      <c r="T334">
        <v>5871025</v>
      </c>
    </row>
    <row r="335" spans="19:20" x14ac:dyDescent="0.25">
      <c r="S335">
        <v>5287649</v>
      </c>
      <c r="T335">
        <v>5926623</v>
      </c>
    </row>
    <row r="336" spans="19:20" x14ac:dyDescent="0.25">
      <c r="S336">
        <v>5871025</v>
      </c>
      <c r="T336">
        <v>6302143</v>
      </c>
    </row>
    <row r="337" spans="19:20" x14ac:dyDescent="0.25">
      <c r="S337">
        <v>5926623</v>
      </c>
      <c r="T337">
        <v>8443829</v>
      </c>
    </row>
    <row r="338" spans="19:20" x14ac:dyDescent="0.25">
      <c r="S338">
        <v>6302143</v>
      </c>
      <c r="T338">
        <v>16896501</v>
      </c>
    </row>
    <row r="339" spans="19:20" x14ac:dyDescent="0.25">
      <c r="S339">
        <v>8443829</v>
      </c>
      <c r="T339">
        <v>16908328</v>
      </c>
    </row>
    <row r="340" spans="19:20" x14ac:dyDescent="0.25">
      <c r="S340">
        <v>16896501</v>
      </c>
      <c r="T340">
        <v>16917644</v>
      </c>
    </row>
    <row r="341" spans="19:20" x14ac:dyDescent="0.25">
      <c r="S341">
        <v>16908328</v>
      </c>
      <c r="T341">
        <v>16918180</v>
      </c>
    </row>
    <row r="342" spans="19:20" x14ac:dyDescent="0.25">
      <c r="S342">
        <v>16917644</v>
      </c>
      <c r="T342">
        <v>28074089</v>
      </c>
    </row>
    <row r="343" spans="19:20" x14ac:dyDescent="0.25">
      <c r="S343">
        <v>16918180</v>
      </c>
      <c r="T343">
        <v>28575959</v>
      </c>
    </row>
    <row r="344" spans="19:20" x14ac:dyDescent="0.25">
      <c r="S344">
        <v>28074089</v>
      </c>
      <c r="T344">
        <v>32205546</v>
      </c>
    </row>
    <row r="345" spans="19:20" x14ac:dyDescent="0.25">
      <c r="S345">
        <v>28575959</v>
      </c>
      <c r="T345">
        <v>44557530</v>
      </c>
    </row>
    <row r="346" spans="19:20" x14ac:dyDescent="0.25">
      <c r="S346">
        <v>44557530</v>
      </c>
      <c r="T346">
        <v>87536790</v>
      </c>
    </row>
    <row r="347" spans="19:20" x14ac:dyDescent="0.25">
      <c r="S347">
        <v>87536790</v>
      </c>
    </row>
  </sheetData>
  <mergeCells count="19">
    <mergeCell ref="D184:K184"/>
    <mergeCell ref="B216:J216"/>
    <mergeCell ref="K216:M216"/>
    <mergeCell ref="B219:C219"/>
    <mergeCell ref="C235:G235"/>
    <mergeCell ref="D171:L171"/>
    <mergeCell ref="B1:F1"/>
    <mergeCell ref="G1:M1"/>
    <mergeCell ref="N1:R1"/>
    <mergeCell ref="B3:E3"/>
    <mergeCell ref="G3:H3"/>
    <mergeCell ref="J3:K3"/>
    <mergeCell ref="M3:N3"/>
    <mergeCell ref="P3:R3"/>
    <mergeCell ref="B4:E4"/>
    <mergeCell ref="G4:H4"/>
    <mergeCell ref="J4:K4"/>
    <mergeCell ref="M4:N4"/>
    <mergeCell ref="P4:R4"/>
  </mergeCells>
  <phoneticPr fontId="38" type="noConversion"/>
  <dataValidations count="10">
    <dataValidation type="whole" allowBlank="1" showInputMessage="1" showErrorMessage="1" sqref="D221:D227 E186:E212 D9:D165" xr:uid="{00000000-0002-0000-0700-000000000000}">
      <formula1>1</formula1>
      <formula2>9999</formula2>
    </dataValidation>
    <dataValidation type="whole" allowBlank="1" showInputMessage="1" showErrorMessage="1" sqref="E221:E227 F186:F212 E9:E165" xr:uid="{00000000-0002-0000-0700-000001000000}">
      <formula1>1</formula1>
      <formula2>99999999</formula2>
    </dataValidation>
    <dataValidation type="whole" allowBlank="1" showInputMessage="1" showErrorMessage="1" sqref="F221:F227 G186:G212 F9:F165" xr:uid="{00000000-0002-0000-0700-000002000000}">
      <formula1>20000000000</formula1>
      <formula2>33999999999</formula2>
    </dataValidation>
    <dataValidation type="date" allowBlank="1" showInputMessage="1" showErrorMessage="1" sqref="D186:D212 B167:B170 B221:B227 D173:D179 B9:B165" xr:uid="{00000000-0002-0000-0700-000003000000}">
      <formula1>40179</formula1>
      <formula2>TODAY()</formula2>
    </dataValidation>
    <dataValidation type="whole" allowBlank="1" showInputMessage="1" showErrorMessage="1" sqref="C167:C170 C9:C165" xr:uid="{00000000-0002-0000-0700-000004000000}">
      <formula1>1</formula1>
      <formula2>3</formula2>
    </dataValidation>
    <dataValidation type="whole" allowBlank="1" showInputMessage="1" showErrorMessage="1" sqref="C221:C227" xr:uid="{00000000-0002-0000-0700-000005000000}">
      <formula1>6</formula1>
      <formula2>8</formula2>
    </dataValidation>
    <dataValidation type="custom" allowBlank="1" showInputMessage="1" showErrorMessage="1" sqref="H221:L227" xr:uid="{00000000-0002-0000-0700-000006000000}">
      <formula1>IF($C221=8,H221&lt;0,H221&gt;=0)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J80:K81 M90:O90 M80:O81 J82:O89 H90:K90 H9:I89 J9:O79 H91:O165" xr:uid="{00000000-0002-0000-0700-000007000000}">
      <formula1>IF($C9=3,H9&lt;0,H9&gt;=0)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0" xr:uid="{00000000-0002-0000-0700-000008000000}">
      <formula1>IF($C80=3,L90&lt;0,L90&gt;=0)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L92" xr:uid="{00000000-0002-0000-0700-000009000000}">
      <formula1>IF($C81=3,L92&lt;0,L92&gt;=0)</formula1>
    </dataValidation>
  </dataValidations>
  <pageMargins left="0.7" right="0.7" top="0.75" bottom="0.75" header="0.3" footer="0.3"/>
  <pageSetup paperSize="9" orientation="portrait" r:id="rId1"/>
  <tableParts count="5"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4">
    <tabColor theme="9" tint="0.79998168889431442"/>
  </sheetPr>
  <dimension ref="A1:XEX302"/>
  <sheetViews>
    <sheetView showGridLines="0" zoomScale="80" zoomScaleNormal="80" workbookViewId="0">
      <selection activeCell="G195" sqref="G195"/>
    </sheetView>
  </sheetViews>
  <sheetFormatPr baseColWidth="10" defaultColWidth="0" defaultRowHeight="15" x14ac:dyDescent="0.25"/>
  <cols>
    <col min="1" max="1" width="1.7109375" customWidth="1"/>
    <col min="2" max="2" width="13.5703125" customWidth="1"/>
    <col min="3" max="3" width="14" customWidth="1"/>
    <col min="4" max="4" width="13.28515625" customWidth="1"/>
    <col min="5" max="5" width="14.5703125" customWidth="1"/>
    <col min="6" max="6" width="23.140625" customWidth="1"/>
    <col min="7" max="8" width="20" customWidth="1"/>
    <col min="9" max="9" width="15.5703125" customWidth="1"/>
    <col min="10" max="10" width="17.85546875" customWidth="1"/>
    <col min="11" max="11" width="12.7109375" customWidth="1"/>
    <col min="12" max="12" width="14.42578125" customWidth="1"/>
    <col min="13" max="13" width="18.5703125" customWidth="1"/>
    <col min="14" max="14" width="16.140625" customWidth="1"/>
    <col min="15" max="15" width="16.42578125" bestFit="1" customWidth="1"/>
    <col min="16" max="16" width="19.28515625" customWidth="1"/>
    <col min="17" max="17" width="17.5703125" customWidth="1"/>
    <col min="18" max="18" width="16.42578125" customWidth="1"/>
    <col min="19" max="19" width="13.140625" customWidth="1"/>
    <col min="20" max="20" width="20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78" width="11.5703125" hidden="1"/>
    <col min="16379" max="16379" width="29.42578125" customWidth="1"/>
    <col min="16380" max="16380" width="11" customWidth="1"/>
    <col min="16381" max="16381" width="27" customWidth="1"/>
    <col min="16382" max="16382" width="21.7109375" customWidth="1"/>
    <col min="16383" max="16383" width="28.28515625" customWidth="1"/>
    <col min="16384" max="16384" width="30.85546875" customWidth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EDATE('Ene-25'!N1,7)</f>
        <v>45870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SUM(compras_mes8[[#Totals],[NETO GRAVADO]])+extracto_banco_mes8[[#Totals],[NETO]]</f>
        <v>131351441.34523812</v>
      </c>
      <c r="C4" s="589"/>
      <c r="D4" s="589"/>
      <c r="E4" s="589"/>
      <c r="F4" s="39"/>
      <c r="G4" s="590">
        <f>compras_mes8[[#Totals],[IVA 21 %]]+compras_mes8[[#Totals],[IVA 27%]]+compras_mes8[[#Totals],[IVA 10,5%]]+extracto_banco_mes8[[#Totals],[IVA 21%]]+extracto_banco_mes8[[#Totals],[IVA 10,5%]]</f>
        <v>27084769.461049996</v>
      </c>
      <c r="H4" s="590"/>
      <c r="I4" s="39"/>
      <c r="J4" s="591">
        <f>venta_a_mes8[[#Totals],[IMPORTE NETO]]+ventas_b_mes8[[#Totals],[IMPORTE NETO]]</f>
        <v>0</v>
      </c>
      <c r="K4" s="591"/>
      <c r="L4" s="39"/>
      <c r="M4" s="591">
        <f>venta_a_mes8[[#Totals],[IVA 21%]]+venta_a_mes8[[#Totals],[IVA 10,5%]]+ventas_b_mes8[[#Totals],[IVA 21%]]+ventas_b_mes8[[#Totals],[IVA 10,5%]]</f>
        <v>0</v>
      </c>
      <c r="N4" s="591"/>
      <c r="O4" s="39"/>
      <c r="P4" s="579">
        <f>G4-M4</f>
        <v>27084769.461049996</v>
      </c>
      <c r="Q4" s="580"/>
      <c r="R4" s="580"/>
    </row>
    <row r="5" spans="1:26" ht="24" customHeight="1" x14ac:dyDescent="0.25">
      <c r="H5" s="127"/>
      <c r="M5" s="231"/>
    </row>
    <row r="6" spans="1:26" ht="16.5" customHeight="1" x14ac:dyDescent="0.25">
      <c r="F6" s="127"/>
      <c r="H6" s="377"/>
      <c r="I6" s="127"/>
      <c r="J6" s="127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207" t="s">
        <v>2767</v>
      </c>
      <c r="C9" s="208">
        <v>1</v>
      </c>
      <c r="D9" s="209">
        <v>2</v>
      </c>
      <c r="E9" s="225">
        <v>3583</v>
      </c>
      <c r="F9" s="210">
        <v>30716922231</v>
      </c>
      <c r="G9" s="211" t="str">
        <f>IFERROR(IF(compras_mes8[[#This Row],[CUIT]]="","-",VLOOKUP(compras_mes8[[#This Row],[CUIT]],Lista_CUIT[#All],2,0)),"CUIT NO CARGADO")</f>
        <v>JLTECH SAS</v>
      </c>
      <c r="H9" s="212">
        <v>55092.92</v>
      </c>
      <c r="I9" s="213">
        <f>IF(compras_mes8[[#This Row],[NETO GRAVADO]]="","",compras_mes8[[#This Row],[NETO GRAVADO]]*0.21)</f>
        <v>11569.513199999999</v>
      </c>
      <c r="J9" s="213"/>
      <c r="K9" s="213"/>
      <c r="L9" s="213"/>
      <c r="M9" s="213"/>
      <c r="N9" s="213"/>
      <c r="O9" s="213"/>
      <c r="P9" s="353">
        <f>SUM(compras_mes8[[#This Row],[NETO GRAVADO]:[Otros / No Grav.]])</f>
        <v>66662.433199999999</v>
      </c>
      <c r="Q9" s="215" t="s">
        <v>3059</v>
      </c>
      <c r="R9" s="215">
        <f>IFERROR(IF(compras_mes8[[#This Row],[CUIT]]="","-",VLOOKUP(compras_mes8[[#This Row],[CUIT]],Lista_CUIT[#All],4,0)),"CUIT NO CARGADO")</f>
        <v>0</v>
      </c>
      <c r="T9" s="33"/>
    </row>
    <row r="10" spans="1:26" x14ac:dyDescent="0.25">
      <c r="B10" s="207" t="s">
        <v>2767</v>
      </c>
      <c r="C10" s="208">
        <v>1</v>
      </c>
      <c r="D10" s="209">
        <v>2</v>
      </c>
      <c r="E10" s="225">
        <v>574</v>
      </c>
      <c r="F10" s="210">
        <v>30718734203</v>
      </c>
      <c r="G10" s="211" t="str">
        <f>IFERROR(IF(compras_mes8[[#This Row],[CUIT]]="","-",VLOOKUP(compras_mes8[[#This Row],[CUIT]],Lista_CUIT[#All],2,0)),"CUIT NO CARGADO")</f>
        <v>C&amp;G LATAM</v>
      </c>
      <c r="H10" s="212">
        <v>22312.19</v>
      </c>
      <c r="I10" s="213">
        <f>IF(compras_mes8[[#This Row],[NETO GRAVADO]]="","",compras_mes8[[#This Row],[NETO GRAVADO]]*0.21)</f>
        <v>4685.5598999999993</v>
      </c>
      <c r="J10" s="213"/>
      <c r="K10" s="213"/>
      <c r="L10" s="213"/>
      <c r="M10" s="213"/>
      <c r="N10" s="213"/>
      <c r="O10" s="213"/>
      <c r="P10" s="214">
        <f>SUM(compras_mes8[[#This Row],[NETO GRAVADO]:[Otros / No Grav.]])</f>
        <v>26997.749899999999</v>
      </c>
      <c r="Q10" s="215" t="s">
        <v>2555</v>
      </c>
      <c r="R10" s="215">
        <f>IFERROR(IF(compras_mes8[[#This Row],[CUIT]]="","-",VLOOKUP(compras_mes8[[#This Row],[CUIT]],Lista_CUIT[#All],4,0)),"CUIT NO CARGADO")</f>
        <v>0</v>
      </c>
      <c r="T10" s="33"/>
    </row>
    <row r="11" spans="1:26" x14ac:dyDescent="0.25">
      <c r="B11" s="207" t="s">
        <v>2767</v>
      </c>
      <c r="C11" s="208">
        <v>1</v>
      </c>
      <c r="D11" s="209">
        <v>2</v>
      </c>
      <c r="E11" s="225">
        <v>575</v>
      </c>
      <c r="F11" s="210">
        <v>30718734203</v>
      </c>
      <c r="G11" s="211" t="str">
        <f>IFERROR(IF(compras_mes8[[#This Row],[CUIT]]="","-",VLOOKUP(compras_mes8[[#This Row],[CUIT]],Lista_CUIT[#All],2,0)),"CUIT NO CARGADO")</f>
        <v>C&amp;G LATAM</v>
      </c>
      <c r="H11" s="212">
        <v>7437.4</v>
      </c>
      <c r="I11" s="213">
        <f>IF(compras_mes8[[#This Row],[NETO GRAVADO]]="","",compras_mes8[[#This Row],[NETO GRAVADO]]*0.21)</f>
        <v>1561.8539999999998</v>
      </c>
      <c r="J11" s="213"/>
      <c r="K11" s="213"/>
      <c r="L11" s="213"/>
      <c r="M11" s="213"/>
      <c r="N11" s="213"/>
      <c r="O11" s="213"/>
      <c r="P11" s="353">
        <f>SUM(compras_mes8[[#This Row],[NETO GRAVADO]:[Otros / No Grav.]])</f>
        <v>8999.253999999999</v>
      </c>
      <c r="Q11" s="215" t="s">
        <v>2555</v>
      </c>
      <c r="R11" s="215">
        <f>IFERROR(IF(compras_mes8[[#This Row],[CUIT]]="","-",VLOOKUP(compras_mes8[[#This Row],[CUIT]],Lista_CUIT[#All],4,0)),"CUIT NO CARGADO")</f>
        <v>0</v>
      </c>
      <c r="T11" s="33"/>
    </row>
    <row r="12" spans="1:26" x14ac:dyDescent="0.25">
      <c r="B12" s="207" t="s">
        <v>2744</v>
      </c>
      <c r="C12" s="208">
        <v>1</v>
      </c>
      <c r="D12" s="209">
        <v>2</v>
      </c>
      <c r="E12" s="225">
        <v>608</v>
      </c>
      <c r="F12" s="210">
        <v>30718734203</v>
      </c>
      <c r="G12" s="211" t="str">
        <f>IFERROR(IF(compras_mes8[[#This Row],[CUIT]]="","-",VLOOKUP(compras_mes8[[#This Row],[CUIT]],Lista_CUIT[#All],2,0)),"CUIT NO CARGADO")</f>
        <v>C&amp;G LATAM</v>
      </c>
      <c r="H12" s="212">
        <v>14874.79</v>
      </c>
      <c r="I12" s="213">
        <f>IF(compras_mes8[[#This Row],[NETO GRAVADO]]="","",compras_mes8[[#This Row],[NETO GRAVADO]]*0.21)</f>
        <v>3123.7058999999999</v>
      </c>
      <c r="J12" s="213"/>
      <c r="K12" s="213"/>
      <c r="L12" s="213"/>
      <c r="M12" s="213"/>
      <c r="N12" s="213"/>
      <c r="O12" s="213"/>
      <c r="P12" s="353">
        <f>SUM(compras_mes8[[#This Row],[NETO GRAVADO]:[Otros / No Grav.]])</f>
        <v>17998.495900000002</v>
      </c>
      <c r="Q12" s="215" t="s">
        <v>2555</v>
      </c>
      <c r="R12" s="215">
        <f>IFERROR(IF(compras_mes8[[#This Row],[CUIT]]="","-",VLOOKUP(compras_mes8[[#This Row],[CUIT]],Lista_CUIT[#All],4,0)),"CUIT NO CARGADO")</f>
        <v>0</v>
      </c>
      <c r="T12" s="33"/>
    </row>
    <row r="13" spans="1:26" x14ac:dyDescent="0.25">
      <c r="B13" s="207" t="s">
        <v>2744</v>
      </c>
      <c r="C13" s="208">
        <v>1</v>
      </c>
      <c r="D13" s="209">
        <v>2</v>
      </c>
      <c r="E13" s="225">
        <v>610</v>
      </c>
      <c r="F13" s="210">
        <v>30718734203</v>
      </c>
      <c r="G13" s="211" t="str">
        <f>IFERROR(IF(compras_mes8[[#This Row],[CUIT]]="","-",VLOOKUP(compras_mes8[[#This Row],[CUIT]],Lista_CUIT[#All],2,0)),"CUIT NO CARGADO")</f>
        <v>C&amp;G LATAM</v>
      </c>
      <c r="H13" s="212">
        <v>7437.4</v>
      </c>
      <c r="I13" s="213">
        <f>IF(compras_mes8[[#This Row],[NETO GRAVADO]]="","",compras_mes8[[#This Row],[NETO GRAVADO]]*0.21)</f>
        <v>1561.8539999999998</v>
      </c>
      <c r="J13" s="213"/>
      <c r="K13" s="213"/>
      <c r="L13" s="213"/>
      <c r="M13" s="213"/>
      <c r="N13" s="213"/>
      <c r="O13" s="213"/>
      <c r="P13" s="353">
        <f>SUM(compras_mes8[[#This Row],[NETO GRAVADO]:[Otros / No Grav.]])</f>
        <v>8999.253999999999</v>
      </c>
      <c r="Q13" s="215" t="s">
        <v>2555</v>
      </c>
      <c r="R13" s="215">
        <f>IFERROR(IF(compras_mes8[[#This Row],[CUIT]]="","-",VLOOKUP(compras_mes8[[#This Row],[CUIT]],Lista_CUIT[#All],4,0)),"CUIT NO CARGADO")</f>
        <v>0</v>
      </c>
      <c r="T13" s="33"/>
    </row>
    <row r="14" spans="1:26" x14ac:dyDescent="0.25">
      <c r="B14" s="207" t="s">
        <v>2744</v>
      </c>
      <c r="C14" s="208">
        <v>1</v>
      </c>
      <c r="D14" s="209">
        <v>2</v>
      </c>
      <c r="E14" s="225">
        <v>611</v>
      </c>
      <c r="F14" s="210">
        <v>30718734203</v>
      </c>
      <c r="G14" s="211" t="str">
        <f>IFERROR(IF(compras_mes8[[#This Row],[CUIT]]="","-",VLOOKUP(compras_mes8[[#This Row],[CUIT]],Lista_CUIT[#All],2,0)),"CUIT NO CARGADO")</f>
        <v>C&amp;G LATAM</v>
      </c>
      <c r="H14" s="212">
        <v>7437.4</v>
      </c>
      <c r="I14" s="213">
        <f>IF(compras_mes8[[#This Row],[NETO GRAVADO]]="","",compras_mes8[[#This Row],[NETO GRAVADO]]*0.21)</f>
        <v>1561.8539999999998</v>
      </c>
      <c r="J14" s="213"/>
      <c r="K14" s="213"/>
      <c r="L14" s="213"/>
      <c r="M14" s="213"/>
      <c r="N14" s="213"/>
      <c r="O14" s="213"/>
      <c r="P14" s="353">
        <f>SUM(compras_mes8[[#This Row],[NETO GRAVADO]:[Otros / No Grav.]])</f>
        <v>8999.253999999999</v>
      </c>
      <c r="Q14" s="215" t="s">
        <v>2555</v>
      </c>
      <c r="R14" s="215">
        <f>IFERROR(IF(compras_mes8[[#This Row],[CUIT]]="","-",VLOOKUP(compras_mes8[[#This Row],[CUIT]],Lista_CUIT[#All],4,0)),"CUIT NO CARGADO")</f>
        <v>0</v>
      </c>
      <c r="T14" s="33"/>
    </row>
    <row r="15" spans="1:26" x14ac:dyDescent="0.25">
      <c r="B15" s="207" t="s">
        <v>2768</v>
      </c>
      <c r="C15" s="208">
        <v>1</v>
      </c>
      <c r="D15" s="209">
        <v>4</v>
      </c>
      <c r="E15" s="225">
        <v>9394</v>
      </c>
      <c r="F15" s="210">
        <v>27210653398</v>
      </c>
      <c r="G15" s="211" t="str">
        <f>IFERROR(IF(compras_mes8[[#This Row],[CUIT]]="","-",VLOOKUP(compras_mes8[[#This Row],[CUIT]],Lista_CUIT[#All],2,0)),"CUIT NO CARGADO")</f>
        <v>PESOA VERONICA GABRIELA</v>
      </c>
      <c r="H15" s="212">
        <v>31095.87</v>
      </c>
      <c r="I15" s="213">
        <f>IF(compras_mes8[[#This Row],[NETO GRAVADO]]="","",compras_mes8[[#This Row],[NETO GRAVADO]]*0.21)</f>
        <v>6530.1326999999992</v>
      </c>
      <c r="J15" s="213"/>
      <c r="K15" s="213"/>
      <c r="L15" s="213"/>
      <c r="M15" s="213"/>
      <c r="N15" s="213"/>
      <c r="O15" s="213"/>
      <c r="P15" s="353">
        <f>SUM(compras_mes8[[#This Row],[NETO GRAVADO]:[Otros / No Grav.]])</f>
        <v>37626.002699999997</v>
      </c>
      <c r="Q15" s="215" t="s">
        <v>3059</v>
      </c>
      <c r="R15" s="215">
        <f>IFERROR(IF(compras_mes8[[#This Row],[CUIT]]="","-",VLOOKUP(compras_mes8[[#This Row],[CUIT]],Lista_CUIT[#All],4,0)),"CUIT NO CARGADO")</f>
        <v>0</v>
      </c>
      <c r="T15" s="33"/>
    </row>
    <row r="16" spans="1:26" x14ac:dyDescent="0.25">
      <c r="B16" s="207" t="s">
        <v>2769</v>
      </c>
      <c r="C16" s="208">
        <v>1</v>
      </c>
      <c r="D16" s="209">
        <v>2</v>
      </c>
      <c r="E16" s="225">
        <v>2071</v>
      </c>
      <c r="F16" s="210">
        <v>30718380851</v>
      </c>
      <c r="G16" s="211" t="str">
        <f>IFERROR(IF(compras_mes8[[#This Row],[CUIT]]="","-",VLOOKUP(compras_mes8[[#This Row],[CUIT]],Lista_CUIT[#All],2,0)),"CUIT NO CARGADO")</f>
        <v>PURUKLE S.R.L.</v>
      </c>
      <c r="H16" s="212">
        <v>292871.90000000002</v>
      </c>
      <c r="I16" s="213">
        <f>IF(compras_mes8[[#This Row],[NETO GRAVADO]]="","",compras_mes8[[#This Row],[NETO GRAVADO]]*0.21)</f>
        <v>61503.099000000002</v>
      </c>
      <c r="J16" s="213"/>
      <c r="K16" s="213"/>
      <c r="L16" s="213"/>
      <c r="M16" s="213"/>
      <c r="N16" s="213"/>
      <c r="O16" s="213"/>
      <c r="P16" s="353">
        <f>SUM(compras_mes8[[#This Row],[NETO GRAVADO]:[Otros / No Grav.]])</f>
        <v>354374.99900000001</v>
      </c>
      <c r="Q16" s="215" t="s">
        <v>3060</v>
      </c>
      <c r="R16" s="215">
        <f>IFERROR(IF(compras_mes8[[#This Row],[CUIT]]="","-",VLOOKUP(compras_mes8[[#This Row],[CUIT]],Lista_CUIT[#All],4,0)),"CUIT NO CARGADO")</f>
        <v>0</v>
      </c>
      <c r="T16" s="33"/>
    </row>
    <row r="17" spans="2:20" x14ac:dyDescent="0.25">
      <c r="B17" s="207" t="s">
        <v>2769</v>
      </c>
      <c r="C17" s="208">
        <v>1</v>
      </c>
      <c r="D17" s="209">
        <v>5</v>
      </c>
      <c r="E17" s="225">
        <v>247</v>
      </c>
      <c r="F17" s="210">
        <v>20294221094</v>
      </c>
      <c r="G17" s="211" t="str">
        <f>IFERROR(IF(compras_mes8[[#This Row],[CUIT]]="","-",VLOOKUP(compras_mes8[[#This Row],[CUIT]],Lista_CUIT[#All],2,0)),"CUIT NO CARGADO")</f>
        <v>JOAQUIN ANGEL GABRIEL</v>
      </c>
      <c r="H17" s="212">
        <v>15702.48</v>
      </c>
      <c r="I17" s="213">
        <f>IF(compras_mes8[[#This Row],[NETO GRAVADO]]="","",compras_mes8[[#This Row],[NETO GRAVADO]]*0.21)</f>
        <v>3297.5207999999998</v>
      </c>
      <c r="J17" s="213"/>
      <c r="K17" s="213"/>
      <c r="L17" s="213"/>
      <c r="M17" s="213"/>
      <c r="N17" s="213"/>
      <c r="O17" s="213"/>
      <c r="P17" s="353">
        <f>SUM(compras_mes8[[#This Row],[NETO GRAVADO]:[Otros / No Grav.]])</f>
        <v>19000.000799999998</v>
      </c>
      <c r="Q17" s="215" t="s">
        <v>3061</v>
      </c>
      <c r="R17" s="215">
        <f>IFERROR(IF(compras_mes8[[#This Row],[CUIT]]="","-",VLOOKUP(compras_mes8[[#This Row],[CUIT]],Lista_CUIT[#All],4,0)),"CUIT NO CARGADO")</f>
        <v>0</v>
      </c>
      <c r="T17" s="33"/>
    </row>
    <row r="18" spans="2:20" x14ac:dyDescent="0.25">
      <c r="B18" s="207" t="s">
        <v>2769</v>
      </c>
      <c r="C18" s="208">
        <v>1</v>
      </c>
      <c r="D18" s="209">
        <v>2</v>
      </c>
      <c r="E18" s="225">
        <v>7771</v>
      </c>
      <c r="F18" s="210">
        <v>30714882615</v>
      </c>
      <c r="G18" s="211" t="str">
        <f>IFERROR(IF(compras_mes8[[#This Row],[CUIT]]="","-",VLOOKUP(compras_mes8[[#This Row],[CUIT]],Lista_CUIT[#All],2,0)),"CUIT NO CARGADO")</f>
        <v>TRAVELITE SRL</v>
      </c>
      <c r="H18" s="212">
        <v>2072249.59</v>
      </c>
      <c r="I18" s="213">
        <f>IF(compras_mes8[[#This Row],[NETO GRAVADO]]="","",compras_mes8[[#This Row],[NETO GRAVADO]]*0.21)</f>
        <v>435172.41389999999</v>
      </c>
      <c r="J18" s="213"/>
      <c r="K18" s="213"/>
      <c r="L18" s="213"/>
      <c r="M18" s="213"/>
      <c r="N18" s="213"/>
      <c r="O18" s="213"/>
      <c r="P18" s="353">
        <f>SUM(compras_mes8[[#This Row],[NETO GRAVADO]:[Otros / No Grav.]])</f>
        <v>2507422.0038999999</v>
      </c>
      <c r="Q18" s="215" t="s">
        <v>3062</v>
      </c>
      <c r="R18" s="215">
        <f>IFERROR(IF(compras_mes8[[#This Row],[CUIT]]="","-",VLOOKUP(compras_mes8[[#This Row],[CUIT]],Lista_CUIT[#All],4,0)),"CUIT NO CARGADO")</f>
        <v>0</v>
      </c>
      <c r="T18" s="33"/>
    </row>
    <row r="19" spans="2:20" x14ac:dyDescent="0.25">
      <c r="B19" s="207" t="s">
        <v>2769</v>
      </c>
      <c r="C19" s="208">
        <v>1</v>
      </c>
      <c r="D19" s="209">
        <v>10</v>
      </c>
      <c r="E19" s="225">
        <v>303</v>
      </c>
      <c r="F19" s="210">
        <v>30701007561</v>
      </c>
      <c r="G19" s="211" t="str">
        <f>IFERROR(IF(compras_mes8[[#This Row],[CUIT]]="","-",VLOOKUP(compras_mes8[[#This Row],[CUIT]],Lista_CUIT[#All],2,0)),"CUIT NO CARGADO")</f>
        <v>GILERA MOTORS ARGENTINA S A</v>
      </c>
      <c r="H19" s="212">
        <v>145454.54999999999</v>
      </c>
      <c r="I19" s="213">
        <f>IF(compras_mes8[[#This Row],[NETO GRAVADO]]="","",compras_mes8[[#This Row],[NETO GRAVADO]]*0.21)</f>
        <v>30545.455499999996</v>
      </c>
      <c r="J19" s="213"/>
      <c r="K19" s="213"/>
      <c r="L19" s="213"/>
      <c r="M19" s="213"/>
      <c r="N19" s="213"/>
      <c r="O19" s="213"/>
      <c r="P19" s="353">
        <f>SUM(compras_mes8[[#This Row],[NETO GRAVADO]:[Otros / No Grav.]])</f>
        <v>176000.00549999997</v>
      </c>
      <c r="Q19" s="215" t="s">
        <v>2566</v>
      </c>
      <c r="R19" s="215">
        <f>IFERROR(IF(compras_mes8[[#This Row],[CUIT]]="","-",VLOOKUP(compras_mes8[[#This Row],[CUIT]],Lista_CUIT[#All],4,0)),"CUIT NO CARGADO")</f>
        <v>0</v>
      </c>
      <c r="T19" s="33"/>
    </row>
    <row r="20" spans="2:20" x14ac:dyDescent="0.25">
      <c r="B20" s="207" t="s">
        <v>2769</v>
      </c>
      <c r="C20" s="208">
        <v>1</v>
      </c>
      <c r="D20" s="209">
        <v>10</v>
      </c>
      <c r="E20" s="225">
        <v>43517</v>
      </c>
      <c r="F20" s="210">
        <v>30715357255</v>
      </c>
      <c r="G20" s="211" t="str">
        <f>IFERROR(IF(compras_mes8[[#This Row],[CUIT]]="","-",VLOOKUP(compras_mes8[[#This Row],[CUIT]],Lista_CUIT[#All],2,0)),"CUIT NO CARGADO")</f>
        <v>LIBECOM S.R.L</v>
      </c>
      <c r="H20" s="212">
        <v>76102.81</v>
      </c>
      <c r="I20" s="213">
        <f>IF(compras_mes8[[#This Row],[NETO GRAVADO]]="","",compras_mes8[[#This Row],[NETO GRAVADO]]*0.21)</f>
        <v>15981.590099999999</v>
      </c>
      <c r="J20" s="213"/>
      <c r="K20" s="213"/>
      <c r="L20" s="213"/>
      <c r="M20" s="213"/>
      <c r="N20" s="213"/>
      <c r="O20" s="213"/>
      <c r="P20" s="353">
        <f>SUM(compras_mes8[[#This Row],[NETO GRAVADO]:[Otros / No Grav.]])</f>
        <v>92084.400099999999</v>
      </c>
      <c r="Q20" s="215" t="s">
        <v>3063</v>
      </c>
      <c r="R20" s="215">
        <f>IFERROR(IF(compras_mes8[[#This Row],[CUIT]]="","-",VLOOKUP(compras_mes8[[#This Row],[CUIT]],Lista_CUIT[#All],4,0)),"CUIT NO CARGADO")</f>
        <v>0</v>
      </c>
      <c r="T20" s="33"/>
    </row>
    <row r="21" spans="2:20" x14ac:dyDescent="0.25">
      <c r="B21" s="207" t="s">
        <v>2769</v>
      </c>
      <c r="C21" s="208">
        <v>1</v>
      </c>
      <c r="D21" s="209">
        <v>4</v>
      </c>
      <c r="E21" s="225">
        <v>9435</v>
      </c>
      <c r="F21" s="210">
        <v>27210653398</v>
      </c>
      <c r="G21" s="211" t="str">
        <f>IFERROR(IF(compras_mes8[[#This Row],[CUIT]]="","-",VLOOKUP(compras_mes8[[#This Row],[CUIT]],Lista_CUIT[#All],2,0)),"CUIT NO CARGADO")</f>
        <v>PESOA VERONICA GABRIELA</v>
      </c>
      <c r="H21" s="212">
        <v>93014.28</v>
      </c>
      <c r="I21" s="213">
        <f>IF(compras_mes8[[#This Row],[NETO GRAVADO]]="","",compras_mes8[[#This Row],[NETO GRAVADO]]*0.21)</f>
        <v>19532.998799999998</v>
      </c>
      <c r="J21" s="213"/>
      <c r="K21" s="213"/>
      <c r="L21" s="213"/>
      <c r="M21" s="213"/>
      <c r="N21" s="213"/>
      <c r="O21" s="213"/>
      <c r="P21" s="214">
        <f>SUM(compras_mes8[[#This Row],[NETO GRAVADO]:[Otros / No Grav.]])</f>
        <v>112547.2788</v>
      </c>
      <c r="Q21" s="215" t="s">
        <v>3059</v>
      </c>
      <c r="R21" s="215">
        <f>IFERROR(IF(compras_mes8[[#This Row],[CUIT]]="","-",VLOOKUP(compras_mes8[[#This Row],[CUIT]],Lista_CUIT[#All],4,0)),"CUIT NO CARGADO")</f>
        <v>0</v>
      </c>
      <c r="T21" s="33"/>
    </row>
    <row r="22" spans="2:20" x14ac:dyDescent="0.25">
      <c r="B22" s="207" t="s">
        <v>2745</v>
      </c>
      <c r="C22" s="208">
        <v>1</v>
      </c>
      <c r="D22" s="209">
        <v>17</v>
      </c>
      <c r="E22" s="225">
        <v>1030</v>
      </c>
      <c r="F22" s="210">
        <v>30715875264</v>
      </c>
      <c r="G22" s="211" t="str">
        <f>IFERROR(IF(compras_mes8[[#This Row],[CUIT]]="","-",VLOOKUP(compras_mes8[[#This Row],[CUIT]],Lista_CUIT[#All],2,0)),"CUIT NO CARGADO")</f>
        <v>SINERGIA COLOR S.A.</v>
      </c>
      <c r="H22" s="212">
        <v>108392.26</v>
      </c>
      <c r="I22" s="213">
        <f>IF(compras_mes8[[#This Row],[NETO GRAVADO]]="","",compras_mes8[[#This Row],[NETO GRAVADO]]*0.21)</f>
        <v>22762.374599999999</v>
      </c>
      <c r="J22" s="213"/>
      <c r="K22" s="213"/>
      <c r="L22" s="213"/>
      <c r="M22" s="213"/>
      <c r="N22" s="213"/>
      <c r="O22" s="213"/>
      <c r="P22" s="353">
        <f>SUM(compras_mes8[[#This Row],[NETO GRAVADO]:[Otros / No Grav.]])</f>
        <v>131154.63459999999</v>
      </c>
      <c r="Q22" s="215" t="s">
        <v>2574</v>
      </c>
      <c r="R22" s="215">
        <f>IFERROR(IF(compras_mes8[[#This Row],[CUIT]]="","-",VLOOKUP(compras_mes8[[#This Row],[CUIT]],Lista_CUIT[#All],4,0)),"CUIT NO CARGADO")</f>
        <v>0</v>
      </c>
      <c r="T22" s="33"/>
    </row>
    <row r="23" spans="2:20" x14ac:dyDescent="0.25">
      <c r="B23" s="207" t="s">
        <v>2745</v>
      </c>
      <c r="C23" s="208">
        <v>1</v>
      </c>
      <c r="D23" s="209">
        <v>17</v>
      </c>
      <c r="E23" s="225">
        <v>1031</v>
      </c>
      <c r="F23" s="210">
        <v>30715875264</v>
      </c>
      <c r="G23" s="211" t="str">
        <f>IFERROR(IF(compras_mes8[[#This Row],[CUIT]]="","-",VLOOKUP(compras_mes8[[#This Row],[CUIT]],Lista_CUIT[#All],2,0)),"CUIT NO CARGADO")</f>
        <v>SINERGIA COLOR S.A.</v>
      </c>
      <c r="H23" s="212">
        <v>108392.26</v>
      </c>
      <c r="I23" s="213">
        <f>IF(compras_mes8[[#This Row],[NETO GRAVADO]]="","",compras_mes8[[#This Row],[NETO GRAVADO]]*0.21)</f>
        <v>22762.374599999999</v>
      </c>
      <c r="J23" s="213"/>
      <c r="K23" s="213"/>
      <c r="L23" s="213"/>
      <c r="M23" s="213"/>
      <c r="N23" s="213"/>
      <c r="O23" s="213"/>
      <c r="P23" s="353">
        <f>SUM(compras_mes8[[#This Row],[NETO GRAVADO]:[Otros / No Grav.]])</f>
        <v>131154.63459999999</v>
      </c>
      <c r="Q23" s="215" t="s">
        <v>2574</v>
      </c>
      <c r="R23" s="215">
        <f>IFERROR(IF(compras_mes8[[#This Row],[CUIT]]="","-",VLOOKUP(compras_mes8[[#This Row],[CUIT]],Lista_CUIT[#All],4,0)),"CUIT NO CARGADO")</f>
        <v>0</v>
      </c>
      <c r="T23" s="33"/>
    </row>
    <row r="24" spans="2:20" x14ac:dyDescent="0.25">
      <c r="B24" s="207" t="s">
        <v>2745</v>
      </c>
      <c r="C24" s="208">
        <v>1</v>
      </c>
      <c r="D24" s="209">
        <v>7</v>
      </c>
      <c r="E24" s="225">
        <v>5</v>
      </c>
      <c r="F24" s="210">
        <v>20314249500</v>
      </c>
      <c r="G24" s="211" t="str">
        <f>IFERROR(IF(compras_mes8[[#This Row],[CUIT]]="","-",VLOOKUP(compras_mes8[[#This Row],[CUIT]],Lista_CUIT[#All],2,0)),"CUIT NO CARGADO")</f>
        <v>PEREYRA LEONARDO ADRIAN</v>
      </c>
      <c r="H24" s="212">
        <v>3200000</v>
      </c>
      <c r="I24" s="213">
        <f>IF(compras_mes8[[#This Row],[NETO GRAVADO]]="","",compras_mes8[[#This Row],[NETO GRAVADO]]*0.21)</f>
        <v>672000</v>
      </c>
      <c r="J24" s="213"/>
      <c r="K24" s="213"/>
      <c r="L24" s="213"/>
      <c r="M24" s="213"/>
      <c r="N24" s="213"/>
      <c r="O24" s="213"/>
      <c r="P24" s="353">
        <f>SUM(compras_mes8[[#This Row],[NETO GRAVADO]:[Otros / No Grav.]])</f>
        <v>3872000</v>
      </c>
      <c r="Q24" s="215" t="s">
        <v>3059</v>
      </c>
      <c r="R24" s="215">
        <f>IFERROR(IF(compras_mes8[[#This Row],[CUIT]]="","-",VLOOKUP(compras_mes8[[#This Row],[CUIT]],Lista_CUIT[#All],4,0)),"CUIT NO CARGADO")</f>
        <v>0</v>
      </c>
      <c r="T24" s="33"/>
    </row>
    <row r="25" spans="2:20" x14ac:dyDescent="0.25">
      <c r="B25" s="207" t="s">
        <v>2770</v>
      </c>
      <c r="C25" s="208">
        <v>1</v>
      </c>
      <c r="D25" s="209">
        <v>1</v>
      </c>
      <c r="E25" s="225">
        <v>81754</v>
      </c>
      <c r="F25" s="210">
        <v>30716648393</v>
      </c>
      <c r="G25" s="211" t="str">
        <f>IFERROR(IF(compras_mes8[[#This Row],[CUIT]]="","-",VLOOKUP(compras_mes8[[#This Row],[CUIT]],Lista_CUIT[#All],2,0)),"CUIT NO CARGADO")</f>
        <v>SHOP FERRETERO</v>
      </c>
      <c r="H25" s="212">
        <v>76188.100000000006</v>
      </c>
      <c r="I25" s="213">
        <f>IF(compras_mes8[[#This Row],[NETO GRAVADO]]="","",compras_mes8[[#This Row],[NETO GRAVADO]]*0.21)</f>
        <v>15999.501</v>
      </c>
      <c r="J25" s="213"/>
      <c r="K25" s="213"/>
      <c r="L25" s="213"/>
      <c r="M25" s="213"/>
      <c r="N25" s="213"/>
      <c r="O25" s="213"/>
      <c r="P25" s="353">
        <f>SUM(compras_mes8[[#This Row],[NETO GRAVADO]:[Otros / No Grav.]])</f>
        <v>92187.60100000001</v>
      </c>
      <c r="Q25" s="215" t="s">
        <v>3063</v>
      </c>
      <c r="R25" s="215">
        <f>IFERROR(IF(compras_mes8[[#This Row],[CUIT]]="","-",VLOOKUP(compras_mes8[[#This Row],[CUIT]],Lista_CUIT[#All],4,0)),"CUIT NO CARGADO")</f>
        <v>0</v>
      </c>
      <c r="T25" s="33"/>
    </row>
    <row r="26" spans="2:20" x14ac:dyDescent="0.25">
      <c r="B26" s="207" t="s">
        <v>2771</v>
      </c>
      <c r="C26" s="208">
        <v>1</v>
      </c>
      <c r="D26" s="209">
        <v>2</v>
      </c>
      <c r="E26" s="225">
        <v>2074</v>
      </c>
      <c r="F26" s="210">
        <v>30718380851</v>
      </c>
      <c r="G26" s="211" t="str">
        <f>IFERROR(IF(compras_mes8[[#This Row],[CUIT]]="","-",VLOOKUP(compras_mes8[[#This Row],[CUIT]],Lista_CUIT[#All],2,0)),"CUIT NO CARGADO")</f>
        <v>PURUKLE S.R.L.</v>
      </c>
      <c r="H26" s="212">
        <v>292871.90000000002</v>
      </c>
      <c r="I26" s="213">
        <f>IF(compras_mes8[[#This Row],[NETO GRAVADO]]="","",compras_mes8[[#This Row],[NETO GRAVADO]]*0.21)</f>
        <v>61503.099000000002</v>
      </c>
      <c r="J26" s="213"/>
      <c r="K26" s="213"/>
      <c r="L26" s="213"/>
      <c r="M26" s="213"/>
      <c r="N26" s="213"/>
      <c r="O26" s="213"/>
      <c r="P26" s="353">
        <f>SUM(compras_mes8[[#This Row],[NETO GRAVADO]:[Otros / No Grav.]])</f>
        <v>354374.99900000001</v>
      </c>
      <c r="Q26" s="215" t="s">
        <v>3060</v>
      </c>
      <c r="R26" s="215">
        <f>IFERROR(IF(compras_mes8[[#This Row],[CUIT]]="","-",VLOOKUP(compras_mes8[[#This Row],[CUIT]],Lista_CUIT[#All],4,0)),"CUIT NO CARGADO")</f>
        <v>0</v>
      </c>
      <c r="T26" s="33"/>
    </row>
    <row r="27" spans="2:20" x14ac:dyDescent="0.25">
      <c r="B27" s="207" t="s">
        <v>2771</v>
      </c>
      <c r="C27" s="208">
        <v>1</v>
      </c>
      <c r="D27" s="209">
        <v>3</v>
      </c>
      <c r="E27" s="225">
        <v>7603</v>
      </c>
      <c r="F27" s="210">
        <v>30717375560</v>
      </c>
      <c r="G27" s="211" t="str">
        <f>IFERROR(IF(compras_mes8[[#This Row],[CUIT]]="","-",VLOOKUP(compras_mes8[[#This Row],[CUIT]],Lista_CUIT[#All],2,0)),"CUIT NO CARGADO")</f>
        <v>BAIRESIMPO</v>
      </c>
      <c r="H27" s="212">
        <v>54219.18</v>
      </c>
      <c r="I27" s="213">
        <f>IF(compras_mes8[[#This Row],[NETO GRAVADO]]="","",compras_mes8[[#This Row],[NETO GRAVADO]]*0.21)</f>
        <v>11386.0278</v>
      </c>
      <c r="J27" s="213"/>
      <c r="K27" s="213"/>
      <c r="L27" s="213"/>
      <c r="M27" s="213"/>
      <c r="N27" s="213"/>
      <c r="O27" s="213"/>
      <c r="P27" s="353">
        <f>SUM(compras_mes8[[#This Row],[NETO GRAVADO]:[Otros / No Grav.]])</f>
        <v>65605.207800000004</v>
      </c>
      <c r="Q27" s="215" t="s">
        <v>3059</v>
      </c>
      <c r="R27" s="215">
        <f>IFERROR(IF(compras_mes8[[#This Row],[CUIT]]="","-",VLOOKUP(compras_mes8[[#This Row],[CUIT]],Lista_CUIT[#All],4,0)),"CUIT NO CARGADO")</f>
        <v>0</v>
      </c>
      <c r="T27" s="33"/>
    </row>
    <row r="28" spans="2:20" x14ac:dyDescent="0.25">
      <c r="B28" s="207" t="s">
        <v>2747</v>
      </c>
      <c r="C28" s="208">
        <v>1</v>
      </c>
      <c r="D28" s="209">
        <v>3</v>
      </c>
      <c r="E28" s="225">
        <v>3198</v>
      </c>
      <c r="F28" s="210">
        <v>30714811513</v>
      </c>
      <c r="G28" s="211" t="str">
        <f>IFERROR(IF(compras_mes8[[#This Row],[CUIT]]="","-",VLOOKUP(compras_mes8[[#This Row],[CUIT]],Lista_CUIT[#All],2,0)),"CUIT NO CARGADO")</f>
        <v>METALSER AMOBLAMIENTOS S.R.L.</v>
      </c>
      <c r="H28" s="212">
        <v>74378.509999999995</v>
      </c>
      <c r="I28" s="213">
        <f>IF(compras_mes8[[#This Row],[NETO GRAVADO]]="","",compras_mes8[[#This Row],[NETO GRAVADO]]*0.21)</f>
        <v>15619.487099999998</v>
      </c>
      <c r="J28" s="213"/>
      <c r="K28" s="213"/>
      <c r="L28" s="213"/>
      <c r="M28" s="213"/>
      <c r="N28" s="213"/>
      <c r="O28" s="213"/>
      <c r="P28" s="353">
        <f>SUM(compras_mes8[[#This Row],[NETO GRAVADO]:[Otros / No Grav.]])</f>
        <v>89997.997099999993</v>
      </c>
      <c r="Q28" s="215" t="s">
        <v>2566</v>
      </c>
      <c r="R28" s="215">
        <f>IFERROR(IF(compras_mes8[[#This Row],[CUIT]]="","-",VLOOKUP(compras_mes8[[#This Row],[CUIT]],Lista_CUIT[#All],4,0)),"CUIT NO CARGADO")</f>
        <v>0</v>
      </c>
      <c r="T28" s="33"/>
    </row>
    <row r="29" spans="2:20" x14ac:dyDescent="0.25">
      <c r="B29" s="207" t="s">
        <v>2747</v>
      </c>
      <c r="C29" s="208">
        <v>1</v>
      </c>
      <c r="D29" s="209">
        <v>5</v>
      </c>
      <c r="E29" s="225">
        <v>13</v>
      </c>
      <c r="F29" s="210">
        <v>20307789427</v>
      </c>
      <c r="G29" s="211" t="str">
        <f>IFERROR(IF(compras_mes8[[#This Row],[CUIT]]="","-",VLOOKUP(compras_mes8[[#This Row],[CUIT]],Lista_CUIT[#All],2,0)),"CUIT NO CARGADO")</f>
        <v>PIETRAFESA EZEQUIEL DAMIAN</v>
      </c>
      <c r="H29" s="212">
        <v>2520.66</v>
      </c>
      <c r="I29" s="213">
        <f>IF(compras_mes8[[#This Row],[NETO GRAVADO]]="","",compras_mes8[[#This Row],[NETO GRAVADO]]*0.21)</f>
        <v>529.33859999999993</v>
      </c>
      <c r="J29" s="213"/>
      <c r="K29" s="213"/>
      <c r="L29" s="213"/>
      <c r="M29" s="213"/>
      <c r="N29" s="213"/>
      <c r="O29" s="213"/>
      <c r="P29" s="353">
        <f>SUM(compras_mes8[[#This Row],[NETO GRAVADO]:[Otros / No Grav.]])</f>
        <v>3049.9985999999999</v>
      </c>
      <c r="Q29" s="215" t="s">
        <v>3064</v>
      </c>
      <c r="R29" s="215">
        <f>IFERROR(IF(compras_mes8[[#This Row],[CUIT]]="","-",VLOOKUP(compras_mes8[[#This Row],[CUIT]],Lista_CUIT[#All],4,0)),"CUIT NO CARGADO")</f>
        <v>0</v>
      </c>
      <c r="T29" s="33"/>
    </row>
    <row r="30" spans="2:20" x14ac:dyDescent="0.25">
      <c r="B30" s="207" t="s">
        <v>2747</v>
      </c>
      <c r="C30" s="208">
        <v>1</v>
      </c>
      <c r="D30" s="209">
        <v>4</v>
      </c>
      <c r="E30" s="225">
        <v>627</v>
      </c>
      <c r="F30" s="210">
        <v>30711722129</v>
      </c>
      <c r="G30" s="211" t="str">
        <f>IFERROR(IF(compras_mes8[[#This Row],[CUIT]]="","-",VLOOKUP(compras_mes8[[#This Row],[CUIT]],Lista_CUIT[#All],2,0)),"CUIT NO CARGADO")</f>
        <v>PLAMETEC S.A.</v>
      </c>
      <c r="H30" s="212">
        <v>1349752.06</v>
      </c>
      <c r="I30" s="213">
        <f>IF(compras_mes8[[#This Row],[NETO GRAVADO]]="","",compras_mes8[[#This Row],[NETO GRAVADO]]*0.21)</f>
        <v>283447.9326</v>
      </c>
      <c r="J30" s="213"/>
      <c r="K30" s="213"/>
      <c r="L30" s="213"/>
      <c r="M30" s="213"/>
      <c r="N30" s="213"/>
      <c r="O30" s="213"/>
      <c r="P30" s="353">
        <f>SUM(compras_mes8[[#This Row],[NETO GRAVADO]:[Otros / No Grav.]])</f>
        <v>1633199.9926</v>
      </c>
      <c r="Q30" s="215" t="s">
        <v>3065</v>
      </c>
      <c r="R30" s="215">
        <f>IFERROR(IF(compras_mes8[[#This Row],[CUIT]]="","-",VLOOKUP(compras_mes8[[#This Row],[CUIT]],Lista_CUIT[#All],4,0)),"CUIT NO CARGADO")</f>
        <v>0</v>
      </c>
      <c r="T30" s="33"/>
    </row>
    <row r="31" spans="2:20" x14ac:dyDescent="0.25">
      <c r="B31" s="207" t="s">
        <v>2747</v>
      </c>
      <c r="C31" s="208">
        <v>1</v>
      </c>
      <c r="D31" s="209">
        <v>5</v>
      </c>
      <c r="E31" s="225">
        <v>21853</v>
      </c>
      <c r="F31" s="210">
        <v>30709604321</v>
      </c>
      <c r="G31" s="211" t="str">
        <f>IFERROR(IF(compras_mes8[[#This Row],[CUIT]]="","-",VLOOKUP(compras_mes8[[#This Row],[CUIT]],Lista_CUIT[#All],2,0)),"CUIT NO CARGADO")</f>
        <v>OPORTUTEK SOCIEDAD ANONIMA</v>
      </c>
      <c r="H31" s="212">
        <v>182451.58</v>
      </c>
      <c r="I31" s="85" t="s">
        <v>2411</v>
      </c>
      <c r="J31" s="213"/>
      <c r="K31" s="213">
        <f>compras_mes8[[#This Row],[NETO GRAVADO]]*0.105</f>
        <v>19157.415899999996</v>
      </c>
      <c r="L31" s="213"/>
      <c r="M31" s="213"/>
      <c r="N31" s="213"/>
      <c r="O31" s="213"/>
      <c r="P31" s="353">
        <f>SUM(compras_mes8[[#This Row],[NETO GRAVADO]:[Otros / No Grav.]])</f>
        <v>201608.99589999998</v>
      </c>
      <c r="Q31" s="215" t="s">
        <v>3061</v>
      </c>
      <c r="R31" s="215">
        <f>IFERROR(IF(compras_mes8[[#This Row],[CUIT]]="","-",VLOOKUP(compras_mes8[[#This Row],[CUIT]],Lista_CUIT[#All],4,0)),"CUIT NO CARGADO")</f>
        <v>0</v>
      </c>
      <c r="T31" s="33"/>
    </row>
    <row r="32" spans="2:20" x14ac:dyDescent="0.25">
      <c r="B32" s="207" t="s">
        <v>2760</v>
      </c>
      <c r="C32" s="208">
        <v>1</v>
      </c>
      <c r="D32" s="209">
        <v>2</v>
      </c>
      <c r="E32" s="225">
        <v>1885</v>
      </c>
      <c r="F32" s="210">
        <v>30716118068</v>
      </c>
      <c r="G32" s="211" t="str">
        <f>IFERROR(IF(compras_mes8[[#This Row],[CUIT]]="","-",VLOOKUP(compras_mes8[[#This Row],[CUIT]],Lista_CUIT[#All],2,0)),"CUIT NO CARGADO")</f>
        <v>EGEBA S.R.L</v>
      </c>
      <c r="H32" s="212">
        <v>273636</v>
      </c>
      <c r="I32" s="213">
        <f>IF(compras_mes8[[#This Row],[NETO GRAVADO]]="","",compras_mes8[[#This Row],[NETO GRAVADO]]*0.21)</f>
        <v>57463.56</v>
      </c>
      <c r="J32" s="213"/>
      <c r="K32" s="213"/>
      <c r="L32" s="213"/>
      <c r="M32" s="213"/>
      <c r="N32" s="213"/>
      <c r="O32" s="213"/>
      <c r="P32" s="353">
        <f>SUM(compras_mes8[[#This Row],[NETO GRAVADO]:[Otros / No Grav.]])</f>
        <v>331099.56</v>
      </c>
      <c r="Q32" s="215" t="s">
        <v>3059</v>
      </c>
      <c r="R32" s="215">
        <f>IFERROR(IF(compras_mes8[[#This Row],[CUIT]]="","-",VLOOKUP(compras_mes8[[#This Row],[CUIT]],Lista_CUIT[#All],4,0)),"CUIT NO CARGADO")</f>
        <v>0</v>
      </c>
      <c r="T32" s="33"/>
    </row>
    <row r="33" spans="2:20" x14ac:dyDescent="0.25">
      <c r="B33" s="207" t="s">
        <v>2760</v>
      </c>
      <c r="C33" s="208">
        <v>1</v>
      </c>
      <c r="D33" s="209">
        <v>9</v>
      </c>
      <c r="E33" s="225">
        <v>38138</v>
      </c>
      <c r="F33" s="210">
        <v>30708615737</v>
      </c>
      <c r="G33" s="211" t="str">
        <f>IFERROR(IF(compras_mes8[[#This Row],[CUIT]]="","-",VLOOKUP(compras_mes8[[#This Row],[CUIT]],Lista_CUIT[#All],2,0)),"CUIT NO CARGADO")</f>
        <v>DERPOL S.R.L.</v>
      </c>
      <c r="H33" s="212">
        <v>46756.69</v>
      </c>
      <c r="I33" s="213">
        <f>IF(compras_mes8[[#This Row],[NETO GRAVADO]]="","",compras_mes8[[#This Row],[NETO GRAVADO]]*0.21)</f>
        <v>9818.9048999999995</v>
      </c>
      <c r="J33" s="213"/>
      <c r="K33" s="213"/>
      <c r="L33" s="213"/>
      <c r="M33" s="213"/>
      <c r="N33" s="213"/>
      <c r="O33" s="213"/>
      <c r="P33" s="353">
        <f>SUM(compras_mes8[[#This Row],[NETO GRAVADO]:[Otros / No Grav.]])</f>
        <v>56575.594900000004</v>
      </c>
      <c r="Q33" s="215" t="s">
        <v>3065</v>
      </c>
      <c r="R33" s="215">
        <f>IFERROR(IF(compras_mes8[[#This Row],[CUIT]]="","-",VLOOKUP(compras_mes8[[#This Row],[CUIT]],Lista_CUIT[#All],4,0)),"CUIT NO CARGADO")</f>
        <v>0</v>
      </c>
      <c r="T33" s="33"/>
    </row>
    <row r="34" spans="2:20" x14ac:dyDescent="0.25">
      <c r="B34" s="207" t="s">
        <v>2760</v>
      </c>
      <c r="C34" s="208">
        <v>1</v>
      </c>
      <c r="D34" s="209">
        <v>4</v>
      </c>
      <c r="E34" s="225">
        <v>28469</v>
      </c>
      <c r="F34" s="210">
        <v>30712118926</v>
      </c>
      <c r="G34" s="211" t="str">
        <f>IFERROR(IF(compras_mes8[[#This Row],[CUIT]]="","-",VLOOKUP(compras_mes8[[#This Row],[CUIT]],Lista_CUIT[#All],2,0)),"CUIT NO CARGADO")</f>
        <v>PYMEDIA S.A.</v>
      </c>
      <c r="H34" s="212">
        <v>163206.72</v>
      </c>
      <c r="I34" s="213">
        <f>IF(compras_mes8[[#This Row],[NETO GRAVADO]]="","",compras_mes8[[#This Row],[NETO GRAVADO]]*0.21)</f>
        <v>34273.411200000002</v>
      </c>
      <c r="J34" s="213"/>
      <c r="K34" s="213"/>
      <c r="L34" s="213"/>
      <c r="M34" s="213"/>
      <c r="N34" s="213"/>
      <c r="O34" s="213"/>
      <c r="P34" s="353">
        <f>SUM(compras_mes8[[#This Row],[NETO GRAVADO]:[Otros / No Grav.]])</f>
        <v>197480.1312</v>
      </c>
      <c r="Q34" s="215" t="s">
        <v>3066</v>
      </c>
      <c r="R34" s="215">
        <f>IFERROR(IF(compras_mes8[[#This Row],[CUIT]]="","-",VLOOKUP(compras_mes8[[#This Row],[CUIT]],Lista_CUIT[#All],4,0)),"CUIT NO CARGADO")</f>
        <v>0</v>
      </c>
      <c r="T34" s="33"/>
    </row>
    <row r="35" spans="2:20" x14ac:dyDescent="0.25">
      <c r="B35" s="207" t="s">
        <v>2760</v>
      </c>
      <c r="C35" s="208">
        <v>1</v>
      </c>
      <c r="D35" s="209">
        <v>4</v>
      </c>
      <c r="E35" s="225">
        <v>861</v>
      </c>
      <c r="F35" s="210">
        <v>30708232749</v>
      </c>
      <c r="G35" s="211" t="str">
        <f>IFERROR(IF(compras_mes8[[#This Row],[CUIT]]="","-",VLOOKUP(compras_mes8[[#This Row],[CUIT]],Lista_CUIT[#All],2,0)),"CUIT NO CARGADO")</f>
        <v>ORGANZA TEXTIL S.R.L.</v>
      </c>
      <c r="H35" s="212">
        <v>135000</v>
      </c>
      <c r="I35" s="213">
        <f>IF(compras_mes8[[#This Row],[NETO GRAVADO]]="","",compras_mes8[[#This Row],[NETO GRAVADO]]*0.21)</f>
        <v>28350</v>
      </c>
      <c r="J35" s="213"/>
      <c r="K35" s="213"/>
      <c r="L35" s="213"/>
      <c r="M35" s="213"/>
      <c r="N35" s="213"/>
      <c r="O35" s="213"/>
      <c r="P35" s="353">
        <f>SUM(compras_mes8[[#This Row],[NETO GRAVADO]:[Otros / No Grav.]])</f>
        <v>163350</v>
      </c>
      <c r="Q35" s="215" t="s">
        <v>3067</v>
      </c>
      <c r="R35" s="215">
        <f>IFERROR(IF(compras_mes8[[#This Row],[CUIT]]="","-",VLOOKUP(compras_mes8[[#This Row],[CUIT]],Lista_CUIT[#All],4,0)),"CUIT NO CARGADO")</f>
        <v>0</v>
      </c>
      <c r="T35" s="33"/>
    </row>
    <row r="36" spans="2:20" x14ac:dyDescent="0.25">
      <c r="B36" s="207" t="s">
        <v>2748</v>
      </c>
      <c r="C36" s="208">
        <v>1</v>
      </c>
      <c r="D36" s="209">
        <v>4</v>
      </c>
      <c r="E36" s="225">
        <v>28494</v>
      </c>
      <c r="F36" s="210">
        <v>30712118926</v>
      </c>
      <c r="G36" s="211" t="str">
        <f>IFERROR(IF(compras_mes8[[#This Row],[CUIT]]="","-",VLOOKUP(compras_mes8[[#This Row],[CUIT]],Lista_CUIT[#All],2,0)),"CUIT NO CARGADO")</f>
        <v>PYMEDIA S.A.</v>
      </c>
      <c r="H36" s="212">
        <v>163206.72</v>
      </c>
      <c r="I36" s="213">
        <f>IF(compras_mes8[[#This Row],[NETO GRAVADO]]="","",compras_mes8[[#This Row],[NETO GRAVADO]]*0.21)</f>
        <v>34273.411200000002</v>
      </c>
      <c r="J36" s="213"/>
      <c r="K36" s="213"/>
      <c r="L36" s="213"/>
      <c r="M36" s="213"/>
      <c r="N36" s="213"/>
      <c r="O36" s="213"/>
      <c r="P36" s="353">
        <f>SUM(compras_mes8[[#This Row],[NETO GRAVADO]:[Otros / No Grav.]])</f>
        <v>197480.1312</v>
      </c>
      <c r="Q36" s="215" t="s">
        <v>3066</v>
      </c>
      <c r="R36" s="215">
        <f>IFERROR(IF(compras_mes8[[#This Row],[CUIT]]="","-",VLOOKUP(compras_mes8[[#This Row],[CUIT]],Lista_CUIT[#All],4,0)),"CUIT NO CARGADO")</f>
        <v>0</v>
      </c>
      <c r="T36" s="33"/>
    </row>
    <row r="37" spans="2:20" x14ac:dyDescent="0.25">
      <c r="B37" s="207" t="s">
        <v>2748</v>
      </c>
      <c r="C37" s="208">
        <v>1</v>
      </c>
      <c r="D37" s="209">
        <v>4</v>
      </c>
      <c r="E37" s="225">
        <v>28495</v>
      </c>
      <c r="F37" s="210">
        <v>30712118926</v>
      </c>
      <c r="G37" s="211" t="str">
        <f>IFERROR(IF(compras_mes8[[#This Row],[CUIT]]="","-",VLOOKUP(compras_mes8[[#This Row],[CUIT]],Lista_CUIT[#All],2,0)),"CUIT NO CARGADO")</f>
        <v>PYMEDIA S.A.</v>
      </c>
      <c r="H37" s="212">
        <v>163206.72</v>
      </c>
      <c r="I37" s="213">
        <f>IF(compras_mes8[[#This Row],[NETO GRAVADO]]="","",compras_mes8[[#This Row],[NETO GRAVADO]]*0.21)</f>
        <v>34273.411200000002</v>
      </c>
      <c r="J37" s="213"/>
      <c r="K37" s="213"/>
      <c r="L37" s="213"/>
      <c r="M37" s="213"/>
      <c r="N37" s="213"/>
      <c r="O37" s="213"/>
      <c r="P37" s="353">
        <f>SUM(compras_mes8[[#This Row],[NETO GRAVADO]:[Otros / No Grav.]])</f>
        <v>197480.1312</v>
      </c>
      <c r="Q37" s="215" t="s">
        <v>3066</v>
      </c>
      <c r="R37" s="215">
        <f>IFERROR(IF(compras_mes8[[#This Row],[CUIT]]="","-",VLOOKUP(compras_mes8[[#This Row],[CUIT]],Lista_CUIT[#All],4,0)),"CUIT NO CARGADO")</f>
        <v>0</v>
      </c>
      <c r="T37" s="33"/>
    </row>
    <row r="38" spans="2:20" x14ac:dyDescent="0.25">
      <c r="B38" s="207" t="s">
        <v>2748</v>
      </c>
      <c r="C38" s="208">
        <v>1</v>
      </c>
      <c r="D38" s="209">
        <v>1</v>
      </c>
      <c r="E38" s="225">
        <v>968259</v>
      </c>
      <c r="F38" s="210">
        <v>33716307749</v>
      </c>
      <c r="G38" s="211" t="str">
        <f>IFERROR(IF(compras_mes8[[#This Row],[CUIT]]="","-",VLOOKUP(compras_mes8[[#This Row],[CUIT]],Lista_CUIT[#All],2,0)),"CUIT NO CARGADO")</f>
        <v>VERISURE ARGENTINA MONITOREO DE ALARMAS SA</v>
      </c>
      <c r="H38" s="212">
        <v>70095.42</v>
      </c>
      <c r="I38" s="213">
        <f>IF(compras_mes8[[#This Row],[NETO GRAVADO]]="","",compras_mes8[[#This Row],[NETO GRAVADO]]*0.21)</f>
        <v>14720.038199999999</v>
      </c>
      <c r="J38" s="213"/>
      <c r="K38" s="213"/>
      <c r="L38" s="213"/>
      <c r="M38" s="213"/>
      <c r="N38" s="213"/>
      <c r="O38" s="213"/>
      <c r="P38" s="353">
        <f>SUM(compras_mes8[[#This Row],[NETO GRAVADO]:[Otros / No Grav.]])</f>
        <v>84815.458199999994</v>
      </c>
      <c r="Q38" s="215" t="s">
        <v>3068</v>
      </c>
      <c r="R38" s="215">
        <f>IFERROR(IF(compras_mes8[[#This Row],[CUIT]]="","-",VLOOKUP(compras_mes8[[#This Row],[CUIT]],Lista_CUIT[#All],4,0)),"CUIT NO CARGADO")</f>
        <v>0</v>
      </c>
      <c r="T38" s="33"/>
    </row>
    <row r="39" spans="2:20" x14ac:dyDescent="0.25">
      <c r="B39" s="207" t="s">
        <v>2748</v>
      </c>
      <c r="C39" s="208">
        <v>1</v>
      </c>
      <c r="D39" s="209">
        <v>1</v>
      </c>
      <c r="E39" s="225">
        <v>968357</v>
      </c>
      <c r="F39" s="210">
        <v>33716307749</v>
      </c>
      <c r="G39" s="211" t="str">
        <f>IFERROR(IF(compras_mes8[[#This Row],[CUIT]]="","-",VLOOKUP(compras_mes8[[#This Row],[CUIT]],Lista_CUIT[#All],2,0)),"CUIT NO CARGADO")</f>
        <v>VERISURE ARGENTINA MONITOREO DE ALARMAS SA</v>
      </c>
      <c r="H39" s="212">
        <v>130999</v>
      </c>
      <c r="I39" s="213">
        <f>IF(compras_mes8[[#This Row],[NETO GRAVADO]]="","",compras_mes8[[#This Row],[NETO GRAVADO]]*0.21)</f>
        <v>27509.789999999997</v>
      </c>
      <c r="J39" s="213"/>
      <c r="K39" s="213"/>
      <c r="L39" s="213"/>
      <c r="M39" s="213"/>
      <c r="N39" s="213"/>
      <c r="O39" s="213"/>
      <c r="P39" s="353">
        <f>SUM(compras_mes8[[#This Row],[NETO GRAVADO]:[Otros / No Grav.]])</f>
        <v>158508.79</v>
      </c>
      <c r="Q39" s="215" t="s">
        <v>3068</v>
      </c>
      <c r="R39" s="215">
        <f>IFERROR(IF(compras_mes8[[#This Row],[CUIT]]="","-",VLOOKUP(compras_mes8[[#This Row],[CUIT]],Lista_CUIT[#All],4,0)),"CUIT NO CARGADO")</f>
        <v>0</v>
      </c>
      <c r="T39" s="33"/>
    </row>
    <row r="40" spans="2:20" x14ac:dyDescent="0.25">
      <c r="B40" s="207" t="s">
        <v>2752</v>
      </c>
      <c r="C40" s="208">
        <v>1</v>
      </c>
      <c r="D40" s="209">
        <v>4</v>
      </c>
      <c r="E40" s="225">
        <v>28584</v>
      </c>
      <c r="F40" s="210">
        <v>30712118926</v>
      </c>
      <c r="G40" s="211" t="str">
        <f>IFERROR(IF(compras_mes8[[#This Row],[CUIT]]="","-",VLOOKUP(compras_mes8[[#This Row],[CUIT]],Lista_CUIT[#All],2,0)),"CUIT NO CARGADO")</f>
        <v>PYMEDIA S.A.</v>
      </c>
      <c r="H40" s="212">
        <v>528023.1</v>
      </c>
      <c r="I40" s="213">
        <f>IF(compras_mes8[[#This Row],[NETO GRAVADO]]="","",compras_mes8[[#This Row],[NETO GRAVADO]]*0.21)</f>
        <v>110884.851</v>
      </c>
      <c r="J40" s="213"/>
      <c r="K40" s="213"/>
      <c r="L40" s="213"/>
      <c r="M40" s="213"/>
      <c r="N40" s="213"/>
      <c r="O40" s="213"/>
      <c r="P40" s="353">
        <f>SUM(compras_mes8[[#This Row],[NETO GRAVADO]:[Otros / No Grav.]])</f>
        <v>638907.951</v>
      </c>
      <c r="Q40" s="215" t="s">
        <v>3066</v>
      </c>
      <c r="R40" s="215">
        <f>IFERROR(IF(compras_mes8[[#This Row],[CUIT]]="","-",VLOOKUP(compras_mes8[[#This Row],[CUIT]],Lista_CUIT[#All],4,0)),"CUIT NO CARGADO")</f>
        <v>0</v>
      </c>
      <c r="T40" s="33"/>
    </row>
    <row r="41" spans="2:20" x14ac:dyDescent="0.25">
      <c r="B41" s="207" t="s">
        <v>2752</v>
      </c>
      <c r="C41" s="208">
        <v>1</v>
      </c>
      <c r="D41" s="209">
        <v>4</v>
      </c>
      <c r="E41" s="225">
        <v>28591</v>
      </c>
      <c r="F41" s="210">
        <v>30712118926</v>
      </c>
      <c r="G41" s="211" t="str">
        <f>IFERROR(IF(compras_mes8[[#This Row],[CUIT]]="","-",VLOOKUP(compras_mes8[[#This Row],[CUIT]],Lista_CUIT[#All],2,0)),"CUIT NO CARGADO")</f>
        <v>PYMEDIA S.A.</v>
      </c>
      <c r="H41" s="212">
        <v>1514989</v>
      </c>
      <c r="I41" s="213">
        <f>IF(compras_mes8[[#This Row],[NETO GRAVADO]]="","",compras_mes8[[#This Row],[NETO GRAVADO]]*0.21)</f>
        <v>318147.69</v>
      </c>
      <c r="J41" s="213"/>
      <c r="K41" s="213"/>
      <c r="L41" s="213"/>
      <c r="M41" s="213"/>
      <c r="N41" s="213"/>
      <c r="O41" s="213"/>
      <c r="P41" s="353">
        <f>SUM(compras_mes8[[#This Row],[NETO GRAVADO]:[Otros / No Grav.]])</f>
        <v>1833136.69</v>
      </c>
      <c r="Q41" s="215" t="s">
        <v>3066</v>
      </c>
      <c r="R41" s="215">
        <f>IFERROR(IF(compras_mes8[[#This Row],[CUIT]]="","-",VLOOKUP(compras_mes8[[#This Row],[CUIT]],Lista_CUIT[#All],4,0)),"CUIT NO CARGADO")</f>
        <v>0</v>
      </c>
      <c r="T41" s="33"/>
    </row>
    <row r="42" spans="2:20" x14ac:dyDescent="0.25">
      <c r="B42" s="207" t="s">
        <v>2753</v>
      </c>
      <c r="C42" s="208">
        <v>1</v>
      </c>
      <c r="D42" s="209">
        <v>8</v>
      </c>
      <c r="E42" s="225">
        <v>15677</v>
      </c>
      <c r="F42" s="210">
        <v>30708693010</v>
      </c>
      <c r="G42" s="211" t="str">
        <f>IFERROR(IF(compras_mes8[[#This Row],[CUIT]]="","-",VLOOKUP(compras_mes8[[#This Row],[CUIT]],Lista_CUIT[#All],2,0)),"CUIT NO CARGADO")</f>
        <v>CASELLA TRADING SRL</v>
      </c>
      <c r="H42" s="212">
        <v>50421.41</v>
      </c>
      <c r="I42" s="213">
        <f>IF(compras_mes8[[#This Row],[NETO GRAVADO]]="","",compras_mes8[[#This Row],[NETO GRAVADO]]*0.21)</f>
        <v>10588.4961</v>
      </c>
      <c r="J42" s="213"/>
      <c r="K42" s="213"/>
      <c r="L42" s="213"/>
      <c r="M42" s="213"/>
      <c r="N42" s="213"/>
      <c r="O42" s="213"/>
      <c r="P42" s="353">
        <f>SUM(compras_mes8[[#This Row],[NETO GRAVADO]:[Otros / No Grav.]])</f>
        <v>61009.906100000007</v>
      </c>
      <c r="Q42" s="215" t="s">
        <v>3067</v>
      </c>
      <c r="R42" s="215">
        <f>IFERROR(IF(compras_mes8[[#This Row],[CUIT]]="","-",VLOOKUP(compras_mes8[[#This Row],[CUIT]],Lista_CUIT[#All],4,0)),"CUIT NO CARGADO")</f>
        <v>0</v>
      </c>
      <c r="T42" s="33"/>
    </row>
    <row r="43" spans="2:20" x14ac:dyDescent="0.25">
      <c r="B43" s="207" t="s">
        <v>2753</v>
      </c>
      <c r="C43" s="208">
        <v>1</v>
      </c>
      <c r="D43" s="209">
        <v>1</v>
      </c>
      <c r="E43" s="225">
        <v>6165</v>
      </c>
      <c r="F43" s="210">
        <v>30715706551</v>
      </c>
      <c r="G43" s="211" t="str">
        <f>IFERROR(IF(compras_mes8[[#This Row],[CUIT]]="","-",VLOOKUP(compras_mes8[[#This Row],[CUIT]],Lista_CUIT[#All],2,0)),"CUIT NO CARGADO")</f>
        <v>FILET DE MERLUZA S.R.L.</v>
      </c>
      <c r="H43" s="212">
        <v>138000</v>
      </c>
      <c r="I43" s="213">
        <f>IF(compras_mes8[[#This Row],[NETO GRAVADO]]="","",compras_mes8[[#This Row],[NETO GRAVADO]]*0.21)</f>
        <v>28980</v>
      </c>
      <c r="J43" s="213"/>
      <c r="K43" s="213"/>
      <c r="L43" s="213"/>
      <c r="M43" s="213"/>
      <c r="N43" s="213"/>
      <c r="O43" s="213"/>
      <c r="P43" s="353">
        <f>SUM(compras_mes8[[#This Row],[NETO GRAVADO]:[Otros / No Grav.]])</f>
        <v>166980</v>
      </c>
      <c r="Q43" s="215" t="s">
        <v>3062</v>
      </c>
      <c r="R43" s="215">
        <f>IFERROR(IF(compras_mes8[[#This Row],[CUIT]]="","-",VLOOKUP(compras_mes8[[#This Row],[CUIT]],Lista_CUIT[#All],4,0)),"CUIT NO CARGADO")</f>
        <v>0</v>
      </c>
      <c r="T43" s="33"/>
    </row>
    <row r="44" spans="2:20" x14ac:dyDescent="0.25">
      <c r="B44" s="207" t="s">
        <v>2754</v>
      </c>
      <c r="C44" s="208">
        <v>1</v>
      </c>
      <c r="D44" s="209">
        <v>3</v>
      </c>
      <c r="E44" s="225">
        <v>16041</v>
      </c>
      <c r="F44" s="210">
        <v>30708611855</v>
      </c>
      <c r="G44" s="211" t="str">
        <f>IFERROR(IF(compras_mes8[[#This Row],[CUIT]]="","-",VLOOKUP(compras_mes8[[#This Row],[CUIT]],Lista_CUIT[#All],2,0)),"CUIT NO CARGADO")</f>
        <v>VIGLOM SA</v>
      </c>
      <c r="H44" s="212">
        <v>25489.43</v>
      </c>
      <c r="I44" s="213">
        <f>IF(compras_mes8[[#This Row],[NETO GRAVADO]]="","",compras_mes8[[#This Row],[NETO GRAVADO]]*0.21)</f>
        <v>5352.7802999999994</v>
      </c>
      <c r="J44" s="213"/>
      <c r="K44" s="213"/>
      <c r="L44" s="213"/>
      <c r="M44" s="213"/>
      <c r="N44" s="213"/>
      <c r="O44" s="213"/>
      <c r="P44" s="214">
        <f>SUM(compras_mes8[[#This Row],[NETO GRAVADO]:[Otros / No Grav.]])</f>
        <v>30842.210299999999</v>
      </c>
      <c r="Q44" s="215" t="s">
        <v>2648</v>
      </c>
      <c r="R44" s="215">
        <f>IFERROR(IF(compras_mes8[[#This Row],[CUIT]]="","-",VLOOKUP(compras_mes8[[#This Row],[CUIT]],Lista_CUIT[#All],4,0)),"CUIT NO CARGADO")</f>
        <v>0</v>
      </c>
      <c r="T44" s="33"/>
    </row>
    <row r="45" spans="2:20" x14ac:dyDescent="0.25">
      <c r="B45" s="207" t="s">
        <v>2754</v>
      </c>
      <c r="C45" s="208">
        <v>1</v>
      </c>
      <c r="D45" s="209">
        <v>3</v>
      </c>
      <c r="E45" s="225">
        <v>16042</v>
      </c>
      <c r="F45" s="210">
        <v>30708611855</v>
      </c>
      <c r="G45" s="211" t="str">
        <f>IFERROR(IF(compras_mes8[[#This Row],[CUIT]]="","-",VLOOKUP(compras_mes8[[#This Row],[CUIT]],Lista_CUIT[#All],2,0)),"CUIT NO CARGADO")</f>
        <v>VIGLOM SA</v>
      </c>
      <c r="H45" s="212">
        <v>22951.18</v>
      </c>
      <c r="I45" s="213">
        <f>IF(compras_mes8[[#This Row],[NETO GRAVADO]]="","",compras_mes8[[#This Row],[NETO GRAVADO]]*0.21)</f>
        <v>4819.7478000000001</v>
      </c>
      <c r="J45" s="213"/>
      <c r="K45" s="213"/>
      <c r="L45" s="213"/>
      <c r="M45" s="213"/>
      <c r="N45" s="213"/>
      <c r="O45" s="213"/>
      <c r="P45" s="353">
        <f>SUM(compras_mes8[[#This Row],[NETO GRAVADO]:[Otros / No Grav.]])</f>
        <v>27770.927800000001</v>
      </c>
      <c r="Q45" s="215" t="s">
        <v>2648</v>
      </c>
      <c r="R45" s="215">
        <f>IFERROR(IF(compras_mes8[[#This Row],[CUIT]]="","-",VLOOKUP(compras_mes8[[#This Row],[CUIT]],Lista_CUIT[#All],4,0)),"CUIT NO CARGADO")</f>
        <v>0</v>
      </c>
      <c r="T45" s="33"/>
    </row>
    <row r="46" spans="2:20" x14ac:dyDescent="0.25">
      <c r="B46" s="207" t="s">
        <v>2754</v>
      </c>
      <c r="C46" s="208">
        <v>1</v>
      </c>
      <c r="D46" s="209">
        <v>3</v>
      </c>
      <c r="E46" s="225">
        <v>19839</v>
      </c>
      <c r="F46" s="210">
        <v>30709489468</v>
      </c>
      <c r="G46" s="211" t="str">
        <f>IFERROR(IF(compras_mes8[[#This Row],[CUIT]]="","-",VLOOKUP(compras_mes8[[#This Row],[CUIT]],Lista_CUIT[#All],2,0)),"CUIT NO CARGADO")</f>
        <v>CASA JUJUY S.A</v>
      </c>
      <c r="H46" s="212">
        <v>41223.269999999997</v>
      </c>
      <c r="I46" s="213">
        <f>IF(compras_mes8[[#This Row],[NETO GRAVADO]]="","",compras_mes8[[#This Row],[NETO GRAVADO]]*0.21)</f>
        <v>8656.8866999999991</v>
      </c>
      <c r="J46" s="213"/>
      <c r="K46" s="213"/>
      <c r="L46" s="213"/>
      <c r="M46" s="213"/>
      <c r="N46" s="213"/>
      <c r="O46" s="213"/>
      <c r="P46" s="353">
        <f>SUM(compras_mes8[[#This Row],[NETO GRAVADO]:[Otros / No Grav.]])</f>
        <v>49880.156699999992</v>
      </c>
      <c r="Q46" s="215" t="s">
        <v>2566</v>
      </c>
      <c r="R46" s="215">
        <f>IFERROR(IF(compras_mes8[[#This Row],[CUIT]]="","-",VLOOKUP(compras_mes8[[#This Row],[CUIT]],Lista_CUIT[#All],4,0)),"CUIT NO CARGADO")</f>
        <v>0</v>
      </c>
      <c r="T46" s="33"/>
    </row>
    <row r="47" spans="2:20" x14ac:dyDescent="0.25">
      <c r="B47" s="207" t="s">
        <v>2755</v>
      </c>
      <c r="C47" s="208">
        <v>1</v>
      </c>
      <c r="D47" s="209">
        <v>5</v>
      </c>
      <c r="E47" s="363">
        <v>24</v>
      </c>
      <c r="F47" s="210">
        <v>20307789427</v>
      </c>
      <c r="G47" s="211" t="str">
        <f>IFERROR(IF(compras_mes8[[#This Row],[CUIT]]="","-",VLOOKUP(compras_mes8[[#This Row],[CUIT]],Lista_CUIT[#All],2,0)),"CUIT NO CARGADO")</f>
        <v>PIETRAFESA EZEQUIEL DAMIAN</v>
      </c>
      <c r="H47" s="212">
        <v>11201.18</v>
      </c>
      <c r="I47" s="213">
        <f>IF(compras_mes8[[#This Row],[NETO GRAVADO]]="","",compras_mes8[[#This Row],[NETO GRAVADO]]*0.21)</f>
        <v>2352.2478000000001</v>
      </c>
      <c r="J47" s="213"/>
      <c r="K47" s="213"/>
      <c r="L47" s="213"/>
      <c r="M47" s="213"/>
      <c r="N47" s="213"/>
      <c r="O47" s="213"/>
      <c r="P47" s="353">
        <f>SUM(compras_mes8[[#This Row],[NETO GRAVADO]:[Otros / No Grav.]])</f>
        <v>13553.427800000001</v>
      </c>
      <c r="Q47" s="215" t="s">
        <v>3064</v>
      </c>
      <c r="R47" s="215">
        <f>IFERROR(IF(compras_mes8[[#This Row],[CUIT]]="","-",VLOOKUP(compras_mes8[[#This Row],[CUIT]],Lista_CUIT[#All],4,0)),"CUIT NO CARGADO")</f>
        <v>0</v>
      </c>
      <c r="T47" s="33"/>
    </row>
    <row r="48" spans="2:20" x14ac:dyDescent="0.25">
      <c r="B48" s="207" t="s">
        <v>2755</v>
      </c>
      <c r="C48" s="208">
        <v>1</v>
      </c>
      <c r="D48" s="209">
        <v>5</v>
      </c>
      <c r="E48" s="225">
        <v>25</v>
      </c>
      <c r="F48" s="210">
        <v>20307789427</v>
      </c>
      <c r="G48" s="211" t="str">
        <f>IFERROR(IF(compras_mes8[[#This Row],[CUIT]]="","-",VLOOKUP(compras_mes8[[#This Row],[CUIT]],Lista_CUIT[#All],2,0)),"CUIT NO CARGADO")</f>
        <v>PIETRAFESA EZEQUIEL DAMIAN</v>
      </c>
      <c r="H48" s="212">
        <v>6966.04</v>
      </c>
      <c r="I48" s="213">
        <f>IF(compras_mes8[[#This Row],[NETO GRAVADO]]="","",compras_mes8[[#This Row],[NETO GRAVADO]]*0.21)</f>
        <v>1462.8683999999998</v>
      </c>
      <c r="J48" s="213"/>
      <c r="K48" s="213"/>
      <c r="L48" s="213"/>
      <c r="M48" s="213"/>
      <c r="N48" s="213"/>
      <c r="O48" s="213"/>
      <c r="P48" s="353">
        <f>SUM(compras_mes8[[#This Row],[NETO GRAVADO]:[Otros / No Grav.]])</f>
        <v>8428.9084000000003</v>
      </c>
      <c r="Q48" s="215" t="s">
        <v>3064</v>
      </c>
      <c r="R48" s="215">
        <f>IFERROR(IF(compras_mes8[[#This Row],[CUIT]]="","-",VLOOKUP(compras_mes8[[#This Row],[CUIT]],Lista_CUIT[#All],4,0)),"CUIT NO CARGADO")</f>
        <v>0</v>
      </c>
      <c r="T48" s="33"/>
    </row>
    <row r="49" spans="2:20" x14ac:dyDescent="0.25">
      <c r="B49" s="207" t="s">
        <v>2755</v>
      </c>
      <c r="C49" s="208">
        <v>1</v>
      </c>
      <c r="D49" s="209">
        <v>5</v>
      </c>
      <c r="E49" s="225">
        <v>23</v>
      </c>
      <c r="F49" s="210">
        <v>20307789427</v>
      </c>
      <c r="G49" s="211" t="str">
        <f>IFERROR(IF(compras_mes8[[#This Row],[CUIT]]="","-",VLOOKUP(compras_mes8[[#This Row],[CUIT]],Lista_CUIT[#All],2,0)),"CUIT NO CARGADO")</f>
        <v>PIETRAFESA EZEQUIEL DAMIAN</v>
      </c>
      <c r="H49" s="212">
        <v>11201.18</v>
      </c>
      <c r="I49" s="213">
        <f>IF(compras_mes8[[#This Row],[NETO GRAVADO]]="","",compras_mes8[[#This Row],[NETO GRAVADO]]*0.21)</f>
        <v>2352.2478000000001</v>
      </c>
      <c r="J49" s="213"/>
      <c r="K49" s="213"/>
      <c r="L49" s="213"/>
      <c r="M49" s="213"/>
      <c r="N49" s="213"/>
      <c r="O49" s="213"/>
      <c r="P49" s="353">
        <f>SUM(compras_mes8[[#This Row],[NETO GRAVADO]:[Otros / No Grav.]])</f>
        <v>13553.427800000001</v>
      </c>
      <c r="Q49" s="215" t="s">
        <v>3064</v>
      </c>
      <c r="R49" s="215">
        <f>IFERROR(IF(compras_mes8[[#This Row],[CUIT]]="","-",VLOOKUP(compras_mes8[[#This Row],[CUIT]],Lista_CUIT[#All],4,0)),"CUIT NO CARGADO")</f>
        <v>0</v>
      </c>
      <c r="T49" s="33"/>
    </row>
    <row r="50" spans="2:20" x14ac:dyDescent="0.25">
      <c r="B50" s="207" t="s">
        <v>2773</v>
      </c>
      <c r="C50" s="208">
        <v>1</v>
      </c>
      <c r="D50" s="209">
        <v>6</v>
      </c>
      <c r="E50" s="225">
        <v>42141</v>
      </c>
      <c r="F50" s="210">
        <v>20235723906</v>
      </c>
      <c r="G50" s="211" t="str">
        <f>IFERROR(IF(compras_mes8[[#This Row],[CUIT]]="","-",VLOOKUP(compras_mes8[[#This Row],[CUIT]],Lista_CUIT[#All],2,0)),"CUIT NO CARGADO")</f>
        <v>BURNET MICHAUT GASTON KURT</v>
      </c>
      <c r="H50" s="212">
        <v>19906.61</v>
      </c>
      <c r="I50" s="213">
        <f>IF(compras_mes8[[#This Row],[NETO GRAVADO]]="","",compras_mes8[[#This Row],[NETO GRAVADO]]*0.21)</f>
        <v>4180.3881000000001</v>
      </c>
      <c r="J50" s="213"/>
      <c r="K50" s="213"/>
      <c r="L50" s="213"/>
      <c r="M50" s="213"/>
      <c r="N50" s="213"/>
      <c r="O50" s="213"/>
      <c r="P50" s="353">
        <f>SUM(compras_mes8[[#This Row],[NETO GRAVADO]:[Otros / No Grav.]])</f>
        <v>24086.998100000001</v>
      </c>
      <c r="Q50" s="215" t="s">
        <v>3069</v>
      </c>
      <c r="R50" s="215">
        <f>IFERROR(IF(compras_mes8[[#This Row],[CUIT]]="","-",VLOOKUP(compras_mes8[[#This Row],[CUIT]],Lista_CUIT[#All],4,0)),"CUIT NO CARGADO")</f>
        <v>0</v>
      </c>
      <c r="T50" s="33"/>
    </row>
    <row r="51" spans="2:20" x14ac:dyDescent="0.25">
      <c r="B51" s="207" t="s">
        <v>2775</v>
      </c>
      <c r="C51" s="208">
        <v>1</v>
      </c>
      <c r="D51" s="209">
        <v>2</v>
      </c>
      <c r="E51" s="225">
        <v>7833</v>
      </c>
      <c r="F51" s="210">
        <v>30714882615</v>
      </c>
      <c r="G51" s="211" t="str">
        <f>IFERROR(IF(compras_mes8[[#This Row],[CUIT]]="","-",VLOOKUP(compras_mes8[[#This Row],[CUIT]],Lista_CUIT[#All],2,0)),"CUIT NO CARGADO")</f>
        <v>TRAVELITE SRL</v>
      </c>
      <c r="H51" s="212">
        <v>0.33</v>
      </c>
      <c r="I51" s="213">
        <f>IF(compras_mes8[[#This Row],[NETO GRAVADO]]="","",compras_mes8[[#This Row],[NETO GRAVADO]]*0.21)</f>
        <v>6.93E-2</v>
      </c>
      <c r="J51" s="213"/>
      <c r="K51" s="213"/>
      <c r="L51" s="213"/>
      <c r="M51" s="213"/>
      <c r="N51" s="213"/>
      <c r="O51" s="213"/>
      <c r="P51" s="214">
        <f>SUM(compras_mes8[[#This Row],[NETO GRAVADO]:[Otros / No Grav.]])</f>
        <v>0.39929999999999999</v>
      </c>
      <c r="Q51" s="215" t="s">
        <v>3062</v>
      </c>
      <c r="R51" s="215">
        <f>IFERROR(IF(compras_mes8[[#This Row],[CUIT]]="","-",VLOOKUP(compras_mes8[[#This Row],[CUIT]],Lista_CUIT[#All],4,0)),"CUIT NO CARGADO")</f>
        <v>0</v>
      </c>
      <c r="T51" s="33"/>
    </row>
    <row r="52" spans="2:20" x14ac:dyDescent="0.25">
      <c r="B52" s="207" t="s">
        <v>2775</v>
      </c>
      <c r="C52" s="208">
        <v>1</v>
      </c>
      <c r="D52" s="209">
        <v>1100</v>
      </c>
      <c r="E52" s="225">
        <v>4833</v>
      </c>
      <c r="F52" s="210">
        <v>30576347460</v>
      </c>
      <c r="G52" s="211" t="str">
        <f>IFERROR(IF(compras_mes8[[#This Row],[CUIT]]="","-",VLOOKUP(compras_mes8[[#This Row],[CUIT]],Lista_CUIT[#All],2,0)),"CUIT NO CARGADO")</f>
        <v>MATHIESEN ARGENTINA S.A.</v>
      </c>
      <c r="H52" s="212">
        <v>4085100</v>
      </c>
      <c r="I52" s="213">
        <f>IF(compras_mes8[[#This Row],[NETO GRAVADO]]="","",compras_mes8[[#This Row],[NETO GRAVADO]]*0.21)</f>
        <v>857871</v>
      </c>
      <c r="J52" s="213"/>
      <c r="K52" s="213"/>
      <c r="L52" s="213"/>
      <c r="M52" s="213"/>
      <c r="N52" s="213"/>
      <c r="O52" s="213">
        <v>245106</v>
      </c>
      <c r="P52" s="214">
        <f>SUM(compras_mes8[[#This Row],[NETO GRAVADO]:[Otros / No Grav.]])</f>
        <v>5188077</v>
      </c>
      <c r="Q52" s="215" t="s">
        <v>3067</v>
      </c>
      <c r="R52" s="215">
        <f>IFERROR(IF(compras_mes8[[#This Row],[CUIT]]="","-",VLOOKUP(compras_mes8[[#This Row],[CUIT]],Lista_CUIT[#All],4,0)),"CUIT NO CARGADO")</f>
        <v>0</v>
      </c>
      <c r="T52" s="33"/>
    </row>
    <row r="53" spans="2:20" x14ac:dyDescent="0.25">
      <c r="B53" s="546" t="s">
        <v>2776</v>
      </c>
      <c r="C53" s="208">
        <v>1</v>
      </c>
      <c r="D53" s="487">
        <v>3</v>
      </c>
      <c r="E53" s="548">
        <v>6124</v>
      </c>
      <c r="F53" s="549">
        <v>33711252709</v>
      </c>
      <c r="G53" s="550" t="str">
        <f>IFERROR(IF(compras_mes8[[#This Row],[CUIT]]="","-",VLOOKUP(compras_mes8[[#This Row],[CUIT]],Lista_CUIT[#All],2,0)),"CUIT NO CARGADO")</f>
        <v>GRUPO NISUL S.A.</v>
      </c>
      <c r="H53" s="551">
        <v>71567</v>
      </c>
      <c r="I53" s="552">
        <f>IF(compras_mes8[[#This Row],[NETO GRAVADO]]="","",compras_mes8[[#This Row],[NETO GRAVADO]]*0.21)</f>
        <v>15029.07</v>
      </c>
      <c r="J53" s="552"/>
      <c r="K53" s="552"/>
      <c r="L53" s="552"/>
      <c r="M53" s="552"/>
      <c r="N53" s="552"/>
      <c r="O53" s="552"/>
      <c r="P53" s="553">
        <f>SUM(compras_mes8[[#This Row],[NETO GRAVADO]:[Otros / No Grav.]])</f>
        <v>86596.07</v>
      </c>
      <c r="Q53" s="554" t="s">
        <v>3059</v>
      </c>
      <c r="R53" s="554">
        <f>IFERROR(IF(compras_mes8[[#This Row],[CUIT]]="","-",VLOOKUP(compras_mes8[[#This Row],[CUIT]],Lista_CUIT[#All],4,0)),"CUIT NO CARGADO")</f>
        <v>0</v>
      </c>
      <c r="T53" s="33"/>
    </row>
    <row r="54" spans="2:20" x14ac:dyDescent="0.25">
      <c r="B54" s="546" t="s">
        <v>2777</v>
      </c>
      <c r="C54" s="208">
        <v>1</v>
      </c>
      <c r="D54" s="487">
        <v>4</v>
      </c>
      <c r="E54" s="548">
        <v>6723</v>
      </c>
      <c r="F54" s="549">
        <v>23225817529</v>
      </c>
      <c r="G54" s="550" t="str">
        <f>IFERROR(IF(compras_mes8[[#This Row],[CUIT]]="","-",VLOOKUP(compras_mes8[[#This Row],[CUIT]],Lista_CUIT[#All],2,0)),"CUIT NO CARGADO")</f>
        <v>BIANCHI MARIO ALEJANDRO</v>
      </c>
      <c r="H54" s="551">
        <v>29066.400000000001</v>
      </c>
      <c r="I54" s="552">
        <f>IF(compras_mes8[[#This Row],[NETO GRAVADO]]="","",compras_mes8[[#This Row],[NETO GRAVADO]]*0.21)</f>
        <v>6103.9440000000004</v>
      </c>
      <c r="J54" s="552"/>
      <c r="K54" s="552"/>
      <c r="L54" s="552"/>
      <c r="M54" s="552"/>
      <c r="N54" s="552"/>
      <c r="O54" s="552"/>
      <c r="P54" s="553">
        <f>SUM(compras_mes8[[#This Row],[NETO GRAVADO]:[Otros / No Grav.]])</f>
        <v>35170.344000000005</v>
      </c>
      <c r="Q54" s="554" t="s">
        <v>3067</v>
      </c>
      <c r="R54" s="554">
        <f>IFERROR(IF(compras_mes8[[#This Row],[CUIT]]="","-",VLOOKUP(compras_mes8[[#This Row],[CUIT]],Lista_CUIT[#All],4,0)),"CUIT NO CARGADO")</f>
        <v>0</v>
      </c>
      <c r="T54" s="33"/>
    </row>
    <row r="55" spans="2:20" x14ac:dyDescent="0.25">
      <c r="B55" s="546" t="s">
        <v>2777</v>
      </c>
      <c r="C55" s="208">
        <v>1</v>
      </c>
      <c r="D55" s="487">
        <v>8</v>
      </c>
      <c r="E55" s="548">
        <v>391</v>
      </c>
      <c r="F55" s="549">
        <v>20320131260</v>
      </c>
      <c r="G55" s="550" t="str">
        <f>IFERROR(IF(compras_mes8[[#This Row],[CUIT]]="","-",VLOOKUP(compras_mes8[[#This Row],[CUIT]],Lista_CUIT[#All],2,0)),"CUIT NO CARGADO")</f>
        <v>RODRIGUEZ JONATAN</v>
      </c>
      <c r="H55" s="551">
        <v>10492.56</v>
      </c>
      <c r="I55" s="552">
        <f>IF(compras_mes8[[#This Row],[NETO GRAVADO]]="","",compras_mes8[[#This Row],[NETO GRAVADO]]*0.21)</f>
        <v>2203.4375999999997</v>
      </c>
      <c r="J55" s="552"/>
      <c r="K55" s="552"/>
      <c r="L55" s="552"/>
      <c r="M55" s="552"/>
      <c r="N55" s="552"/>
      <c r="O55" s="552"/>
      <c r="P55" s="553">
        <f>SUM(compras_mes8[[#This Row],[NETO GRAVADO]:[Otros / No Grav.]])</f>
        <v>12695.997599999999</v>
      </c>
      <c r="Q55" s="554" t="s">
        <v>3070</v>
      </c>
      <c r="R55" s="554">
        <f>IFERROR(IF(compras_mes8[[#This Row],[CUIT]]="","-",VLOOKUP(compras_mes8[[#This Row],[CUIT]],Lista_CUIT[#All],4,0)),"CUIT NO CARGADO")</f>
        <v>0</v>
      </c>
      <c r="T55" s="33"/>
    </row>
    <row r="56" spans="2:20" x14ac:dyDescent="0.25">
      <c r="B56" s="546" t="s">
        <v>2777</v>
      </c>
      <c r="C56" s="208">
        <v>1</v>
      </c>
      <c r="D56" s="487">
        <v>8</v>
      </c>
      <c r="E56" s="548">
        <v>392</v>
      </c>
      <c r="F56" s="549">
        <v>20320131260</v>
      </c>
      <c r="G56" s="550" t="str">
        <f>IFERROR(IF(compras_mes8[[#This Row],[CUIT]]="","-",VLOOKUP(compras_mes8[[#This Row],[CUIT]],Lista_CUIT[#All],2,0)),"CUIT NO CARGADO")</f>
        <v>RODRIGUEZ JONATAN</v>
      </c>
      <c r="H56" s="551">
        <v>5246.28</v>
      </c>
      <c r="I56" s="552">
        <f>IF(compras_mes8[[#This Row],[NETO GRAVADO]]="","",compras_mes8[[#This Row],[NETO GRAVADO]]*0.21)</f>
        <v>1101.7187999999999</v>
      </c>
      <c r="J56" s="552"/>
      <c r="K56" s="552"/>
      <c r="L56" s="552"/>
      <c r="M56" s="552"/>
      <c r="N56" s="552"/>
      <c r="O56" s="552"/>
      <c r="P56" s="553">
        <f>SUM(compras_mes8[[#This Row],[NETO GRAVADO]:[Otros / No Grav.]])</f>
        <v>6347.9987999999994</v>
      </c>
      <c r="Q56" s="554" t="s">
        <v>3070</v>
      </c>
      <c r="R56" s="554">
        <f>IFERROR(IF(compras_mes8[[#This Row],[CUIT]]="","-",VLOOKUP(compras_mes8[[#This Row],[CUIT]],Lista_CUIT[#All],4,0)),"CUIT NO CARGADO")</f>
        <v>0</v>
      </c>
      <c r="T56" s="33"/>
    </row>
    <row r="57" spans="2:20" x14ac:dyDescent="0.25">
      <c r="B57" s="546" t="s">
        <v>2777</v>
      </c>
      <c r="C57" s="208">
        <v>1</v>
      </c>
      <c r="D57" s="487">
        <v>2</v>
      </c>
      <c r="E57" s="548">
        <v>542</v>
      </c>
      <c r="F57" s="549">
        <v>20339043923</v>
      </c>
      <c r="G57" s="550" t="str">
        <f>IFERROR(IF(compras_mes8[[#This Row],[CUIT]]="","-",VLOOKUP(compras_mes8[[#This Row],[CUIT]],Lista_CUIT[#All],2,0)),"CUIT NO CARGADO")</f>
        <v>KUBA NICOLAS ARIEL</v>
      </c>
      <c r="H57" s="551">
        <v>195866.95</v>
      </c>
      <c r="I57" s="552">
        <f>IF(compras_mes8[[#This Row],[NETO GRAVADO]]="","",compras_mes8[[#This Row],[NETO GRAVADO]]*0.21)</f>
        <v>41132.059500000003</v>
      </c>
      <c r="J57" s="552"/>
      <c r="K57" s="552"/>
      <c r="L57" s="552"/>
      <c r="M57" s="552"/>
      <c r="N57" s="552"/>
      <c r="O57" s="552"/>
      <c r="P57" s="553">
        <f>SUM(compras_mes8[[#This Row],[NETO GRAVADO]:[Otros / No Grav.]])</f>
        <v>236999.00950000001</v>
      </c>
      <c r="Q57" s="554" t="s">
        <v>3059</v>
      </c>
      <c r="R57" s="554">
        <f>IFERROR(IF(compras_mes8[[#This Row],[CUIT]]="","-",VLOOKUP(compras_mes8[[#This Row],[CUIT]],Lista_CUIT[#All],4,0)),"CUIT NO CARGADO")</f>
        <v>0</v>
      </c>
      <c r="T57" s="33"/>
    </row>
    <row r="58" spans="2:20" x14ac:dyDescent="0.25">
      <c r="B58" s="546" t="s">
        <v>2777</v>
      </c>
      <c r="C58" s="208">
        <v>1</v>
      </c>
      <c r="D58" s="487">
        <v>1</v>
      </c>
      <c r="E58" s="548">
        <v>53</v>
      </c>
      <c r="F58" s="549">
        <v>20393696274</v>
      </c>
      <c r="G58" s="550" t="str">
        <f>IFERROR(IF(compras_mes8[[#This Row],[CUIT]]="","-",VLOOKUP(compras_mes8[[#This Row],[CUIT]],Lista_CUIT[#All],2,0)),"CUIT NO CARGADO")</f>
        <v>POELSTRA LUCIANO ALBERTO</v>
      </c>
      <c r="H58" s="551">
        <v>441322.33</v>
      </c>
      <c r="I58" s="552">
        <f>IF(compras_mes8[[#This Row],[NETO GRAVADO]]="","",compras_mes8[[#This Row],[NETO GRAVADO]]*0.21)</f>
        <v>92677.689299999998</v>
      </c>
      <c r="J58" s="552"/>
      <c r="K58" s="552"/>
      <c r="L58" s="552"/>
      <c r="M58" s="552"/>
      <c r="N58" s="552"/>
      <c r="O58" s="552"/>
      <c r="P58" s="553">
        <f>SUM(compras_mes8[[#This Row],[NETO GRAVADO]:[Otros / No Grav.]])</f>
        <v>534000.01930000004</v>
      </c>
      <c r="Q58" s="554" t="s">
        <v>3059</v>
      </c>
      <c r="R58" s="554">
        <f>IFERROR(IF(compras_mes8[[#This Row],[CUIT]]="","-",VLOOKUP(compras_mes8[[#This Row],[CUIT]],Lista_CUIT[#All],4,0)),"CUIT NO CARGADO")</f>
        <v>0</v>
      </c>
      <c r="T58" s="33"/>
    </row>
    <row r="59" spans="2:20" x14ac:dyDescent="0.25">
      <c r="B59" s="546" t="s">
        <v>2758</v>
      </c>
      <c r="C59" s="208">
        <v>1</v>
      </c>
      <c r="D59" s="487">
        <v>9</v>
      </c>
      <c r="E59" s="548">
        <v>188</v>
      </c>
      <c r="F59" s="549">
        <v>20450149471</v>
      </c>
      <c r="G59" s="550" t="str">
        <f>IFERROR(IF(compras_mes8[[#This Row],[CUIT]]="","-",VLOOKUP(compras_mes8[[#This Row],[CUIT]],Lista_CUIT[#All],2,0)),"CUIT NO CARGADO")</f>
        <v>ROBLES JUAN MANUEL</v>
      </c>
      <c r="H59" s="551">
        <v>14787.77</v>
      </c>
      <c r="I59" s="552">
        <f>IF(compras_mes8[[#This Row],[NETO GRAVADO]]="","",compras_mes8[[#This Row],[NETO GRAVADO]]*0.21)</f>
        <v>3105.4317000000001</v>
      </c>
      <c r="J59" s="552"/>
      <c r="K59" s="552"/>
      <c r="L59" s="552"/>
      <c r="M59" s="552"/>
      <c r="N59" s="552"/>
      <c r="O59" s="552"/>
      <c r="P59" s="553">
        <f>SUM(compras_mes8[[#This Row],[NETO GRAVADO]:[Otros / No Grav.]])</f>
        <v>17893.201700000001</v>
      </c>
      <c r="Q59" s="554" t="s">
        <v>3061</v>
      </c>
      <c r="R59" s="554">
        <f>IFERROR(IF(compras_mes8[[#This Row],[CUIT]]="","-",VLOOKUP(compras_mes8[[#This Row],[CUIT]],Lista_CUIT[#All],4,0)),"CUIT NO CARGADO")</f>
        <v>0</v>
      </c>
      <c r="T59" s="33"/>
    </row>
    <row r="60" spans="2:20" x14ac:dyDescent="0.25">
      <c r="B60" s="546" t="s">
        <v>2759</v>
      </c>
      <c r="C60" s="208">
        <v>1</v>
      </c>
      <c r="D60" s="487">
        <v>8</v>
      </c>
      <c r="E60" s="548">
        <v>7882</v>
      </c>
      <c r="F60" s="549">
        <v>30714153753</v>
      </c>
      <c r="G60" s="550" t="str">
        <f>IFERROR(IF(compras_mes8[[#This Row],[CUIT]]="","-",VLOOKUP(compras_mes8[[#This Row],[CUIT]],Lista_CUIT[#All],2,0)),"CUIT NO CARGADO")</f>
        <v>DISTRIBUIDORA TRONADOR SRL</v>
      </c>
      <c r="H60" s="551">
        <v>32231.4</v>
      </c>
      <c r="I60" s="552">
        <f>IF(compras_mes8[[#This Row],[NETO GRAVADO]]="","",compras_mes8[[#This Row],[NETO GRAVADO]]*0.21)</f>
        <v>6768.5940000000001</v>
      </c>
      <c r="J60" s="552"/>
      <c r="K60" s="552"/>
      <c r="L60" s="552"/>
      <c r="M60" s="552"/>
      <c r="N60" s="552"/>
      <c r="O60" s="552"/>
      <c r="P60" s="553">
        <f>SUM(compras_mes8[[#This Row],[NETO GRAVADO]:[Otros / No Grav.]])</f>
        <v>38999.993999999999</v>
      </c>
      <c r="Q60" s="554" t="s">
        <v>3070</v>
      </c>
      <c r="R60" s="554">
        <f>IFERROR(IF(compras_mes8[[#This Row],[CUIT]]="","-",VLOOKUP(compras_mes8[[#This Row],[CUIT]],Lista_CUIT[#All],4,0)),"CUIT NO CARGADO")</f>
        <v>0</v>
      </c>
      <c r="T60" s="33"/>
    </row>
    <row r="61" spans="2:20" x14ac:dyDescent="0.25">
      <c r="B61" s="546" t="s">
        <v>2744</v>
      </c>
      <c r="C61" s="208">
        <v>3</v>
      </c>
      <c r="D61" s="487">
        <v>2</v>
      </c>
      <c r="E61" s="548">
        <v>186</v>
      </c>
      <c r="F61" s="549">
        <v>30718734203</v>
      </c>
      <c r="G61" s="550" t="str">
        <f>IFERROR(IF(compras_mes8[[#This Row],[CUIT]]="","-",VLOOKUP(compras_mes8[[#This Row],[CUIT]],Lista_CUIT[#All],2,0)),"CUIT NO CARGADO")</f>
        <v>C&amp;G LATAM</v>
      </c>
      <c r="H61" s="551">
        <v>-7437.4</v>
      </c>
      <c r="I61" s="552">
        <f>IF(compras_mes8[[#This Row],[NETO GRAVADO]]="","",compras_mes8[[#This Row],[NETO GRAVADO]]*0.21)</f>
        <v>-1561.8539999999998</v>
      </c>
      <c r="J61" s="552"/>
      <c r="K61" s="552"/>
      <c r="L61" s="552"/>
      <c r="M61" s="552"/>
      <c r="N61" s="552"/>
      <c r="O61" s="552"/>
      <c r="P61" s="553">
        <f>SUM(compras_mes8[[#This Row],[NETO GRAVADO]:[Otros / No Grav.]])</f>
        <v>-8999.253999999999</v>
      </c>
      <c r="Q61" s="554" t="s">
        <v>2555</v>
      </c>
      <c r="R61" s="554">
        <f>IFERROR(IF(compras_mes8[[#This Row],[CUIT]]="","-",VLOOKUP(compras_mes8[[#This Row],[CUIT]],Lista_CUIT[#All],4,0)),"CUIT NO CARGADO")</f>
        <v>0</v>
      </c>
      <c r="T61" s="33"/>
    </row>
    <row r="62" spans="2:20" x14ac:dyDescent="0.25">
      <c r="B62" s="546" t="s">
        <v>2744</v>
      </c>
      <c r="C62" s="208">
        <v>3</v>
      </c>
      <c r="D62" s="487">
        <v>2</v>
      </c>
      <c r="E62" s="548">
        <v>188</v>
      </c>
      <c r="F62" s="549">
        <v>30718734203</v>
      </c>
      <c r="G62" s="550" t="str">
        <f>IFERROR(IF(compras_mes8[[#This Row],[CUIT]]="","-",VLOOKUP(compras_mes8[[#This Row],[CUIT]],Lista_CUIT[#All],2,0)),"CUIT NO CARGADO")</f>
        <v>C&amp;G LATAM</v>
      </c>
      <c r="H62" s="551">
        <v>-22312.19</v>
      </c>
      <c r="I62" s="552">
        <f>IF(compras_mes8[[#This Row],[NETO GRAVADO]]="","",compras_mes8[[#This Row],[NETO GRAVADO]]*0.21)</f>
        <v>-4685.5598999999993</v>
      </c>
      <c r="J62" s="552"/>
      <c r="K62" s="552"/>
      <c r="L62" s="552"/>
      <c r="M62" s="552"/>
      <c r="N62" s="552"/>
      <c r="O62" s="552"/>
      <c r="P62" s="553">
        <f>SUM(compras_mes8[[#This Row],[NETO GRAVADO]:[Otros / No Grav.]])</f>
        <v>-26997.749899999999</v>
      </c>
      <c r="Q62" s="554" t="s">
        <v>2555</v>
      </c>
      <c r="R62" s="554">
        <f>IFERROR(IF(compras_mes8[[#This Row],[CUIT]]="","-",VLOOKUP(compras_mes8[[#This Row],[CUIT]],Lista_CUIT[#All],4,0)),"CUIT NO CARGADO")</f>
        <v>0</v>
      </c>
      <c r="T62" s="33"/>
    </row>
    <row r="63" spans="2:20" x14ac:dyDescent="0.25">
      <c r="B63" s="546" t="s">
        <v>2754</v>
      </c>
      <c r="C63" s="208">
        <v>3</v>
      </c>
      <c r="D63" s="487">
        <v>3</v>
      </c>
      <c r="E63" s="548">
        <v>751</v>
      </c>
      <c r="F63" s="549">
        <v>30708611855</v>
      </c>
      <c r="G63" s="550" t="str">
        <f>IFERROR(IF(compras_mes8[[#This Row],[CUIT]]="","-",VLOOKUP(compras_mes8[[#This Row],[CUIT]],Lista_CUIT[#All],2,0)),"CUIT NO CARGADO")</f>
        <v>VIGLOM SA</v>
      </c>
      <c r="H63" s="551">
        <v>-25489.43</v>
      </c>
      <c r="I63" s="552">
        <f>IF(compras_mes8[[#This Row],[NETO GRAVADO]]="","",compras_mes8[[#This Row],[NETO GRAVADO]]*0.21)</f>
        <v>-5352.7802999999994</v>
      </c>
      <c r="J63" s="552"/>
      <c r="K63" s="552"/>
      <c r="L63" s="552"/>
      <c r="M63" s="552"/>
      <c r="N63" s="552"/>
      <c r="O63" s="552"/>
      <c r="P63" s="553">
        <f>SUM(compras_mes8[[#This Row],[NETO GRAVADO]:[Otros / No Grav.]])</f>
        <v>-30842.210299999999</v>
      </c>
      <c r="Q63" s="554" t="s">
        <v>2648</v>
      </c>
      <c r="R63" s="554">
        <f>IFERROR(IF(compras_mes8[[#This Row],[CUIT]]="","-",VLOOKUP(compras_mes8[[#This Row],[CUIT]],Lista_CUIT[#All],4,0)),"CUIT NO CARGADO")</f>
        <v>0</v>
      </c>
      <c r="T63" s="33"/>
    </row>
    <row r="64" spans="2:20" x14ac:dyDescent="0.25">
      <c r="B64" s="546">
        <v>45900</v>
      </c>
      <c r="C64" s="547">
        <v>1</v>
      </c>
      <c r="D64" s="487">
        <v>67</v>
      </c>
      <c r="E64" s="548">
        <v>627</v>
      </c>
      <c r="F64" s="549">
        <v>30710489234</v>
      </c>
      <c r="G64" s="550" t="str">
        <f>IFERROR(IF(compras_mes8[[#This Row],[CUIT]]="","-",VLOOKUP(compras_mes8[[#This Row],[CUIT]],Lista_CUIT[#All],2,0)),"CUIT NO CARGADO")</f>
        <v>GRIPO DE DESARROLLO DE PRODUCTO SA</v>
      </c>
      <c r="H64" s="551">
        <v>106528.9</v>
      </c>
      <c r="I64" s="552">
        <f>IF(compras_mes8[[#This Row],[NETO GRAVADO]]="","",compras_mes8[[#This Row],[NETO GRAVADO]]*0.21)</f>
        <v>22371.069</v>
      </c>
      <c r="J64" s="552"/>
      <c r="K64" s="552"/>
      <c r="L64" s="552"/>
      <c r="M64" s="552"/>
      <c r="N64" s="552"/>
      <c r="O64" s="552">
        <v>6391.74</v>
      </c>
      <c r="P64" s="553">
        <f>SUM(compras_mes8[[#This Row],[NETO GRAVADO]:[Otros / No Grav.]])</f>
        <v>135291.709</v>
      </c>
      <c r="Q64" s="554" t="s">
        <v>3067</v>
      </c>
      <c r="R64" s="554">
        <f>IFERROR(IF(compras_mes8[[#This Row],[CUIT]]="","-",VLOOKUP(compras_mes8[[#This Row],[CUIT]],Lista_CUIT[#All],4,0)),"CUIT NO CARGADO")</f>
        <v>0</v>
      </c>
      <c r="T64" s="33"/>
    </row>
    <row r="65" spans="2:20" x14ac:dyDescent="0.25">
      <c r="B65" s="207" t="s">
        <v>2743</v>
      </c>
      <c r="C65" s="208">
        <v>1</v>
      </c>
      <c r="D65" s="209">
        <v>2</v>
      </c>
      <c r="E65" s="225">
        <v>319</v>
      </c>
      <c r="F65" s="210">
        <v>27309896063</v>
      </c>
      <c r="G65" s="211" t="str">
        <f>IFERROR(IF(compras_mes8[[#This Row],[CUIT]]="","-",VLOOKUP(compras_mes8[[#This Row],[CUIT]],Lista_CUIT[#All],2,0)),"CUIT NO CARGADO")</f>
        <v>BATTELLINI MARIA SOLEDAD</v>
      </c>
      <c r="H65" s="212">
        <v>620000</v>
      </c>
      <c r="I65" s="213">
        <f>IF(compras_mes8[[#This Row],[NETO GRAVADO]]="","",compras_mes8[[#This Row],[NETO GRAVADO]]*0.21)</f>
        <v>130200</v>
      </c>
      <c r="J65" s="213"/>
      <c r="K65" s="213"/>
      <c r="L65" s="213"/>
      <c r="M65" s="213"/>
      <c r="N65" s="213"/>
      <c r="O65" s="213"/>
      <c r="P65" s="214">
        <f>SUM(compras_mes8[[#This Row],[NETO GRAVADO]:[Otros / No Grav.]])</f>
        <v>750200</v>
      </c>
      <c r="Q65" s="215" t="str">
        <f>IFERROR(IF(compras_mes8[[#This Row],[CUIT]]="","-",VLOOKUP(compras_mes8[[#This Row],[CUIT]],Lista_CUIT[#All],3,0)),"CUIT NO CARGADO")</f>
        <v>Alquiler</v>
      </c>
      <c r="R65" s="215">
        <f>IFERROR(IF(compras_mes8[[#This Row],[CUIT]]="","-",VLOOKUP(compras_mes8[[#This Row],[CUIT]],Lista_CUIT[#All],4,0)),"CUIT NO CARGADO")</f>
        <v>0</v>
      </c>
      <c r="T65" s="33"/>
    </row>
    <row r="66" spans="2:20" x14ac:dyDescent="0.25">
      <c r="B66" s="207" t="s">
        <v>2767</v>
      </c>
      <c r="C66" s="208">
        <v>1</v>
      </c>
      <c r="D66" s="209">
        <v>1</v>
      </c>
      <c r="E66" s="225">
        <v>636</v>
      </c>
      <c r="F66" s="210">
        <v>20131206144</v>
      </c>
      <c r="G66" s="211" t="str">
        <f>IFERROR(IF(compras_mes8[[#This Row],[CUIT]]="","-",VLOOKUP(compras_mes8[[#This Row],[CUIT]],Lista_CUIT[#All],2,0)),"CUIT NO CARGADO")</f>
        <v>CHAMORRO MANUEL</v>
      </c>
      <c r="H66" s="212">
        <v>1180956</v>
      </c>
      <c r="I66" s="213">
        <f>IF(compras_mes8[[#This Row],[NETO GRAVADO]]="","",compras_mes8[[#This Row],[NETO GRAVADO]]*0.21)</f>
        <v>248000.75999999998</v>
      </c>
      <c r="J66" s="213"/>
      <c r="K66" s="213"/>
      <c r="L66" s="213"/>
      <c r="M66" s="213"/>
      <c r="N66" s="213"/>
      <c r="O66" s="213"/>
      <c r="P66" s="353">
        <f>SUM(compras_mes8[[#This Row],[NETO GRAVADO]:[Otros / No Grav.]])</f>
        <v>1428956.76</v>
      </c>
      <c r="Q66" s="215" t="str">
        <f>IFERROR(IF(compras_mes8[[#This Row],[CUIT]]="","-",VLOOKUP(compras_mes8[[#This Row],[CUIT]],Lista_CUIT[#All],3,0)),"CUIT NO CARGADO")</f>
        <v>Alquiler</v>
      </c>
      <c r="R66" s="215">
        <f>IFERROR(IF(compras_mes8[[#This Row],[CUIT]]="","-",VLOOKUP(compras_mes8[[#This Row],[CUIT]],Lista_CUIT[#All],4,0)),"CUIT NO CARGADO")</f>
        <v>0</v>
      </c>
      <c r="T66" s="33"/>
    </row>
    <row r="67" spans="2:20" x14ac:dyDescent="0.25">
      <c r="B67" s="207" t="s">
        <v>2746</v>
      </c>
      <c r="C67" s="208">
        <v>1</v>
      </c>
      <c r="D67" s="209">
        <v>7994</v>
      </c>
      <c r="E67" s="225">
        <v>44052</v>
      </c>
      <c r="F67" s="210">
        <v>30678774495</v>
      </c>
      <c r="G67" s="211" t="str">
        <f>IFERROR(IF(compras_mes8[[#This Row],[CUIT]]="","-",VLOOKUP(compras_mes8[[#This Row],[CUIT]],Lista_CUIT[#All],2,0)),"CUIT NO CARGADO")</f>
        <v>OPER. DE EST. DE SERV. SA</v>
      </c>
      <c r="H67" s="212">
        <v>34223.71</v>
      </c>
      <c r="I67" s="213">
        <f>IF(compras_mes8[[#This Row],[NETO GRAVADO]]="","",compras_mes8[[#This Row],[NETO GRAVADO]]*0.21)</f>
        <v>7186.9790999999996</v>
      </c>
      <c r="J67" s="213"/>
      <c r="K67" s="213"/>
      <c r="L67" s="213"/>
      <c r="M67" s="213"/>
      <c r="N67" s="213"/>
      <c r="O67" s="213">
        <v>8589.35</v>
      </c>
      <c r="P67" s="353">
        <f>SUM(compras_mes8[[#This Row],[NETO GRAVADO]:[Otros / No Grav.]])</f>
        <v>50000.039099999995</v>
      </c>
      <c r="Q67" s="215" t="str">
        <f>IFERROR(IF(compras_mes8[[#This Row],[CUIT]]="","-",VLOOKUP(compras_mes8[[#This Row],[CUIT]],Lista_CUIT[#All],3,0)),"CUIT NO CARGADO")</f>
        <v>Combustible</v>
      </c>
      <c r="R67" s="215">
        <f>IFERROR(IF(compras_mes8[[#This Row],[CUIT]]="","-",VLOOKUP(compras_mes8[[#This Row],[CUIT]],Lista_CUIT[#All],4,0)),"CUIT NO CARGADO")</f>
        <v>0</v>
      </c>
      <c r="T67" s="33"/>
    </row>
    <row r="68" spans="2:20" x14ac:dyDescent="0.25">
      <c r="B68" s="207" t="s">
        <v>2760</v>
      </c>
      <c r="C68" s="208">
        <v>1</v>
      </c>
      <c r="D68" s="209">
        <v>6850</v>
      </c>
      <c r="E68" s="225">
        <v>27441</v>
      </c>
      <c r="F68" s="210">
        <v>30678774495</v>
      </c>
      <c r="G68" s="211" t="str">
        <f>IFERROR(IF(compras_mes8[[#This Row],[CUIT]]="","-",VLOOKUP(compras_mes8[[#This Row],[CUIT]],Lista_CUIT[#All],2,0)),"CUIT NO CARGADO")</f>
        <v>OPER. DE EST. DE SERV. SA</v>
      </c>
      <c r="H68" s="212">
        <v>14030.91</v>
      </c>
      <c r="I68" s="213">
        <f>IF(compras_mes8[[#This Row],[NETO GRAVADO]]="","",compras_mes8[[#This Row],[NETO GRAVADO]]*0.21)</f>
        <v>2946.4910999999997</v>
      </c>
      <c r="J68" s="213"/>
      <c r="K68" s="213"/>
      <c r="L68" s="213"/>
      <c r="M68" s="213"/>
      <c r="N68" s="213"/>
      <c r="O68" s="213">
        <v>3022.54</v>
      </c>
      <c r="P68" s="353">
        <f>SUM(compras_mes8[[#This Row],[NETO GRAVADO]:[Otros / No Grav.]])</f>
        <v>19999.9411</v>
      </c>
      <c r="Q68" s="215" t="str">
        <f>IFERROR(IF(compras_mes8[[#This Row],[CUIT]]="","-",VLOOKUP(compras_mes8[[#This Row],[CUIT]],Lista_CUIT[#All],3,0)),"CUIT NO CARGADO")</f>
        <v>Combustible</v>
      </c>
      <c r="R68" s="215">
        <f>IFERROR(IF(compras_mes8[[#This Row],[CUIT]]="","-",VLOOKUP(compras_mes8[[#This Row],[CUIT]],Lista_CUIT[#All],4,0)),"CUIT NO CARGADO")</f>
        <v>0</v>
      </c>
      <c r="T68" s="33"/>
    </row>
    <row r="69" spans="2:20" x14ac:dyDescent="0.25">
      <c r="B69" s="207" t="s">
        <v>2748</v>
      </c>
      <c r="C69" s="208">
        <v>1</v>
      </c>
      <c r="D69" s="209">
        <v>6916</v>
      </c>
      <c r="E69" s="225">
        <v>54879</v>
      </c>
      <c r="F69" s="210">
        <v>30678774495</v>
      </c>
      <c r="G69" s="211" t="str">
        <f>IFERROR(IF(compras_mes8[[#This Row],[CUIT]]="","-",VLOOKUP(compras_mes8[[#This Row],[CUIT]],Lista_CUIT[#All],2,0)),"CUIT NO CARGADO")</f>
        <v>OPER. DE EST. DE SERV. SA</v>
      </c>
      <c r="H69" s="212">
        <v>42877.04</v>
      </c>
      <c r="I69" s="213">
        <f>IF(compras_mes8[[#This Row],[NETO GRAVADO]]="","",compras_mes8[[#This Row],[NETO GRAVADO]]*0.21)</f>
        <v>9004.1784000000007</v>
      </c>
      <c r="J69" s="213"/>
      <c r="K69" s="213"/>
      <c r="L69" s="213"/>
      <c r="M69" s="213"/>
      <c r="N69" s="213"/>
      <c r="O69" s="213">
        <v>14119.78</v>
      </c>
      <c r="P69" s="353">
        <f>SUM(compras_mes8[[#This Row],[NETO GRAVADO]:[Otros / No Grav.]])</f>
        <v>66000.998399999997</v>
      </c>
      <c r="Q69" s="215" t="str">
        <f>IFERROR(IF(compras_mes8[[#This Row],[CUIT]]="","-",VLOOKUP(compras_mes8[[#This Row],[CUIT]],Lista_CUIT[#All],3,0)),"CUIT NO CARGADO")</f>
        <v>Combustible</v>
      </c>
      <c r="R69" s="215">
        <f>IFERROR(IF(compras_mes8[[#This Row],[CUIT]]="","-",VLOOKUP(compras_mes8[[#This Row],[CUIT]],Lista_CUIT[#All],4,0)),"CUIT NO CARGADO")</f>
        <v>0</v>
      </c>
      <c r="T69" s="33"/>
    </row>
    <row r="70" spans="2:20" x14ac:dyDescent="0.25">
      <c r="B70" s="207" t="s">
        <v>2750</v>
      </c>
      <c r="C70" s="208">
        <v>1</v>
      </c>
      <c r="D70" s="209">
        <v>7300</v>
      </c>
      <c r="E70" s="225">
        <v>46716</v>
      </c>
      <c r="F70" s="210">
        <v>30678774495</v>
      </c>
      <c r="G70" s="211" t="str">
        <f>IFERROR(IF(compras_mes8[[#This Row],[CUIT]]="","-",VLOOKUP(compras_mes8[[#This Row],[CUIT]],Lista_CUIT[#All],2,0)),"CUIT NO CARGADO")</f>
        <v>OPER. DE EST. DE SERV. SA</v>
      </c>
      <c r="H70" s="212">
        <v>56226.6</v>
      </c>
      <c r="I70" s="213">
        <f>IF(compras_mes8[[#This Row],[NETO GRAVADO]]="","",compras_mes8[[#This Row],[NETO GRAVADO]]*0.21)</f>
        <v>11807.585999999999</v>
      </c>
      <c r="J70" s="213"/>
      <c r="K70" s="213"/>
      <c r="L70" s="213"/>
      <c r="M70" s="213"/>
      <c r="N70" s="213"/>
      <c r="O70" s="213">
        <v>16964.8</v>
      </c>
      <c r="P70" s="353">
        <f>SUM(compras_mes8[[#This Row],[NETO GRAVADO]:[Otros / No Grav.]])</f>
        <v>84998.986000000004</v>
      </c>
      <c r="Q70" s="215" t="str">
        <f>IFERROR(IF(compras_mes8[[#This Row],[CUIT]]="","-",VLOOKUP(compras_mes8[[#This Row],[CUIT]],Lista_CUIT[#All],3,0)),"CUIT NO CARGADO")</f>
        <v>Combustible</v>
      </c>
      <c r="R70" s="215">
        <f>IFERROR(IF(compras_mes8[[#This Row],[CUIT]]="","-",VLOOKUP(compras_mes8[[#This Row],[CUIT]],Lista_CUIT[#All],4,0)),"CUIT NO CARGADO")</f>
        <v>0</v>
      </c>
      <c r="T70" s="33"/>
    </row>
    <row r="71" spans="2:20" x14ac:dyDescent="0.25">
      <c r="B71" s="546" t="s">
        <v>2777</v>
      </c>
      <c r="C71" s="208">
        <v>1</v>
      </c>
      <c r="D71" s="487">
        <v>6852</v>
      </c>
      <c r="E71" s="548">
        <v>32425</v>
      </c>
      <c r="F71" s="549">
        <v>30678774495</v>
      </c>
      <c r="G71" s="550" t="str">
        <f>IFERROR(IF(compras_mes8[[#This Row],[CUIT]]="","-",VLOOKUP(compras_mes8[[#This Row],[CUIT]],Lista_CUIT[#All],2,0)),"CUIT NO CARGADO")</f>
        <v>OPER. DE EST. DE SERV. SA</v>
      </c>
      <c r="H71" s="551">
        <v>14397.21</v>
      </c>
      <c r="I71" s="552">
        <f>IF(compras_mes8[[#This Row],[NETO GRAVADO]]="","",compras_mes8[[#This Row],[NETO GRAVADO]]*0.21)</f>
        <v>3023.4140999999995</v>
      </c>
      <c r="J71" s="552"/>
      <c r="K71" s="552"/>
      <c r="L71" s="552"/>
      <c r="M71" s="552"/>
      <c r="N71" s="552"/>
      <c r="O71" s="552">
        <v>2990.44</v>
      </c>
      <c r="P71" s="553">
        <f>SUM(compras_mes8[[#This Row],[NETO GRAVADO]:[Otros / No Grav.]])</f>
        <v>20411.064099999996</v>
      </c>
      <c r="Q71" s="554" t="str">
        <f>IFERROR(IF(compras_mes8[[#This Row],[CUIT]]="","-",VLOOKUP(compras_mes8[[#This Row],[CUIT]],Lista_CUIT[#All],3,0)),"CUIT NO CARGADO")</f>
        <v>Combustible</v>
      </c>
      <c r="R71" s="554">
        <f>IFERROR(IF(compras_mes8[[#This Row],[CUIT]]="","-",VLOOKUP(compras_mes8[[#This Row],[CUIT]],Lista_CUIT[#All],4,0)),"CUIT NO CARGADO")</f>
        <v>0</v>
      </c>
      <c r="T71" s="33"/>
    </row>
    <row r="72" spans="2:20" x14ac:dyDescent="0.25">
      <c r="B72" s="546">
        <v>45871</v>
      </c>
      <c r="C72" s="547">
        <v>1</v>
      </c>
      <c r="D72" s="487">
        <v>12</v>
      </c>
      <c r="E72" s="548">
        <v>70840</v>
      </c>
      <c r="F72" s="549">
        <v>30696131003</v>
      </c>
      <c r="G72" s="550" t="str">
        <f>IFERROR(IF(compras_mes8[[#This Row],[CUIT]]="","-",VLOOKUP(compras_mes8[[#This Row],[CUIT]],Lista_CUIT[#All],2,0)),"CUIT NO CARGADO")</f>
        <v>Petrolfe S.A.</v>
      </c>
      <c r="H72" s="551">
        <v>179236.19</v>
      </c>
      <c r="I72" s="552">
        <f>IF(compras_mes8[[#This Row],[NETO GRAVADO]]="","",compras_mes8[[#This Row],[NETO GRAVADO]]*0.21)</f>
        <v>37639.599900000001</v>
      </c>
      <c r="J72" s="552"/>
      <c r="K72" s="552"/>
      <c r="L72" s="552"/>
      <c r="M72" s="552"/>
      <c r="N72" s="552"/>
      <c r="O72" s="552">
        <v>28574.59</v>
      </c>
      <c r="P72" s="553">
        <f>SUM(compras_mes8[[#This Row],[NETO GRAVADO]:[Otros / No Grav.]])</f>
        <v>245450.3799</v>
      </c>
      <c r="Q72" s="554" t="str">
        <f>IFERROR(IF(compras_mes8[[#This Row],[CUIT]]="","-",VLOOKUP(compras_mes8[[#This Row],[CUIT]],Lista_CUIT[#All],3,0)),"CUIT NO CARGADO")</f>
        <v>Combustible</v>
      </c>
      <c r="R72" s="554">
        <f>IFERROR(IF(compras_mes8[[#This Row],[CUIT]]="","-",VLOOKUP(compras_mes8[[#This Row],[CUIT]],Lista_CUIT[#All],4,0)),"CUIT NO CARGADO")</f>
        <v>0</v>
      </c>
      <c r="T72" s="33"/>
    </row>
    <row r="73" spans="2:20" x14ac:dyDescent="0.25">
      <c r="B73" s="546">
        <v>45874</v>
      </c>
      <c r="C73" s="547">
        <v>1</v>
      </c>
      <c r="D73" s="487">
        <v>21</v>
      </c>
      <c r="E73" s="548">
        <v>65341</v>
      </c>
      <c r="F73" s="549">
        <v>30515800219</v>
      </c>
      <c r="G73" s="550" t="str">
        <f>IFERROR(IF(compras_mes8[[#This Row],[CUIT]]="","-",VLOOKUP(compras_mes8[[#This Row],[CUIT]],Lista_CUIT[#All],2,0)),"CUIT NO CARGADO")</f>
        <v>INCAT SRL</v>
      </c>
      <c r="H73" s="551">
        <v>14637.29</v>
      </c>
      <c r="I73" s="552">
        <f>IF(compras_mes8[[#This Row],[NETO GRAVADO]]="","",compras_mes8[[#This Row],[NETO GRAVADO]]*0.21)</f>
        <v>3073.8308999999999</v>
      </c>
      <c r="J73" s="552"/>
      <c r="K73" s="552"/>
      <c r="L73" s="552"/>
      <c r="M73" s="552"/>
      <c r="N73" s="552"/>
      <c r="O73" s="552">
        <v>3292.86</v>
      </c>
      <c r="P73" s="553">
        <f>SUM(compras_mes8[[#This Row],[NETO GRAVADO]:[Otros / No Grav.]])</f>
        <v>21003.980900000002</v>
      </c>
      <c r="Q73" s="554" t="str">
        <f>IFERROR(IF(compras_mes8[[#This Row],[CUIT]]="","-",VLOOKUP(compras_mes8[[#This Row],[CUIT]],Lista_CUIT[#All],3,0)),"CUIT NO CARGADO")</f>
        <v>Combustible</v>
      </c>
      <c r="R73" s="554" t="str">
        <f>IFERROR(IF(compras_mes8[[#This Row],[CUIT]]="","-",VLOOKUP(compras_mes8[[#This Row],[CUIT]],Lista_CUIT[#All],4,0)),"CUIT NO CARGADO")</f>
        <v>CABA</v>
      </c>
      <c r="T73" s="33"/>
    </row>
    <row r="74" spans="2:20" x14ac:dyDescent="0.25">
      <c r="B74" s="546">
        <v>45876</v>
      </c>
      <c r="C74" s="547">
        <v>1</v>
      </c>
      <c r="D74" s="487">
        <v>23</v>
      </c>
      <c r="E74" s="548">
        <v>48396</v>
      </c>
      <c r="F74" s="549">
        <v>30515800219</v>
      </c>
      <c r="G74" s="550" t="str">
        <f>IFERROR(IF(compras_mes8[[#This Row],[CUIT]]="","-",VLOOKUP(compras_mes8[[#This Row],[CUIT]],Lista_CUIT[#All],2,0)),"CUIT NO CARGADO")</f>
        <v>INCAT SRL</v>
      </c>
      <c r="H74" s="551">
        <v>38409</v>
      </c>
      <c r="I74" s="552">
        <f>IF(compras_mes8[[#This Row],[NETO GRAVADO]]="","",compras_mes8[[#This Row],[NETO GRAVADO]]*0.21)</f>
        <v>8065.8899999999994</v>
      </c>
      <c r="J74" s="552"/>
      <c r="K74" s="552"/>
      <c r="L74" s="552"/>
      <c r="M74" s="552"/>
      <c r="N74" s="552"/>
      <c r="O74" s="552">
        <v>10532.09</v>
      </c>
      <c r="P74" s="553">
        <f>SUM(compras_mes8[[#This Row],[NETO GRAVADO]:[Otros / No Grav.]])</f>
        <v>57006.979999999996</v>
      </c>
      <c r="Q74" s="554" t="str">
        <f>IFERROR(IF(compras_mes8[[#This Row],[CUIT]]="","-",VLOOKUP(compras_mes8[[#This Row],[CUIT]],Lista_CUIT[#All],3,0)),"CUIT NO CARGADO")</f>
        <v>Combustible</v>
      </c>
      <c r="R74" s="554" t="str">
        <f>IFERROR(IF(compras_mes8[[#This Row],[CUIT]]="","-",VLOOKUP(compras_mes8[[#This Row],[CUIT]],Lista_CUIT[#All],4,0)),"CUIT NO CARGADO")</f>
        <v>CABA</v>
      </c>
      <c r="T74" s="33"/>
    </row>
    <row r="75" spans="2:20" x14ac:dyDescent="0.25">
      <c r="B75" s="546">
        <v>45878</v>
      </c>
      <c r="C75" s="547">
        <v>1</v>
      </c>
      <c r="D75" s="487">
        <v>12</v>
      </c>
      <c r="E75" s="548">
        <v>71308</v>
      </c>
      <c r="F75" s="549">
        <v>30696131003</v>
      </c>
      <c r="G75" s="550" t="str">
        <f>IFERROR(IF(compras_mes8[[#This Row],[CUIT]]="","-",VLOOKUP(compras_mes8[[#This Row],[CUIT]],Lista_CUIT[#All],2,0)),"CUIT NO CARGADO")</f>
        <v>Petrolfe S.A.</v>
      </c>
      <c r="H75" s="551">
        <v>187365.1</v>
      </c>
      <c r="I75" s="552">
        <f>IF(compras_mes8[[#This Row],[NETO GRAVADO]]="","",compras_mes8[[#This Row],[NETO GRAVADO]]*0.21)</f>
        <v>39346.671000000002</v>
      </c>
      <c r="J75" s="552"/>
      <c r="K75" s="552"/>
      <c r="L75" s="552"/>
      <c r="M75" s="552"/>
      <c r="N75" s="552"/>
      <c r="O75" s="552">
        <v>22850.15</v>
      </c>
      <c r="P75" s="553">
        <f>SUM(compras_mes8[[#This Row],[NETO GRAVADO]:[Otros / No Grav.]])</f>
        <v>249561.921</v>
      </c>
      <c r="Q75" s="554" t="str">
        <f>IFERROR(IF(compras_mes8[[#This Row],[CUIT]]="","-",VLOOKUP(compras_mes8[[#This Row],[CUIT]],Lista_CUIT[#All],3,0)),"CUIT NO CARGADO")</f>
        <v>Combustible</v>
      </c>
      <c r="R75" s="554">
        <f>IFERROR(IF(compras_mes8[[#This Row],[CUIT]]="","-",VLOOKUP(compras_mes8[[#This Row],[CUIT]],Lista_CUIT[#All],4,0)),"CUIT NO CARGADO")</f>
        <v>0</v>
      </c>
      <c r="T75" s="33"/>
    </row>
    <row r="76" spans="2:20" x14ac:dyDescent="0.25">
      <c r="B76" s="546">
        <v>45885</v>
      </c>
      <c r="C76" s="547">
        <v>1</v>
      </c>
      <c r="D76" s="487">
        <v>12</v>
      </c>
      <c r="E76" s="548">
        <v>71781</v>
      </c>
      <c r="F76" s="549">
        <v>30696131003</v>
      </c>
      <c r="G76" s="550" t="str">
        <f>IFERROR(IF(compras_mes8[[#This Row],[CUIT]]="","-",VLOOKUP(compras_mes8[[#This Row],[CUIT]],Lista_CUIT[#All],2,0)),"CUIT NO CARGADO")</f>
        <v>Petrolfe S.A.</v>
      </c>
      <c r="H76" s="551">
        <v>205482.33</v>
      </c>
      <c r="I76" s="552">
        <f>IF(compras_mes8[[#This Row],[NETO GRAVADO]]="","",compras_mes8[[#This Row],[NETO GRAVADO]]*0.21)</f>
        <v>43151.289299999997</v>
      </c>
      <c r="J76" s="552"/>
      <c r="K76" s="552"/>
      <c r="L76" s="552"/>
      <c r="M76" s="552"/>
      <c r="N76" s="552"/>
      <c r="O76" s="552">
        <v>29902.85</v>
      </c>
      <c r="P76" s="553">
        <f>SUM(compras_mes8[[#This Row],[NETO GRAVADO]:[Otros / No Grav.]])</f>
        <v>278536.4693</v>
      </c>
      <c r="Q76" s="554" t="str">
        <f>IFERROR(IF(compras_mes8[[#This Row],[CUIT]]="","-",VLOOKUP(compras_mes8[[#This Row],[CUIT]],Lista_CUIT[#All],3,0)),"CUIT NO CARGADO")</f>
        <v>Combustible</v>
      </c>
      <c r="R76" s="554">
        <f>IFERROR(IF(compras_mes8[[#This Row],[CUIT]]="","-",VLOOKUP(compras_mes8[[#This Row],[CUIT]],Lista_CUIT[#All],4,0)),"CUIT NO CARGADO")</f>
        <v>0</v>
      </c>
      <c r="T76" s="33"/>
    </row>
    <row r="77" spans="2:20" x14ac:dyDescent="0.25">
      <c r="B77" s="546">
        <v>45892</v>
      </c>
      <c r="C77" s="547">
        <v>1</v>
      </c>
      <c r="D77" s="487">
        <v>12</v>
      </c>
      <c r="E77" s="548">
        <v>72272</v>
      </c>
      <c r="F77" s="549">
        <v>30696131003</v>
      </c>
      <c r="G77" s="550" t="str">
        <f>IFERROR(IF(compras_mes8[[#This Row],[CUIT]]="","-",VLOOKUP(compras_mes8[[#This Row],[CUIT]],Lista_CUIT[#All],2,0)),"CUIT NO CARGADO")</f>
        <v>Petrolfe S.A.</v>
      </c>
      <c r="H77" s="551">
        <v>131770.38</v>
      </c>
      <c r="I77" s="552">
        <f>IF(compras_mes8[[#This Row],[NETO GRAVADO]]="","",compras_mes8[[#This Row],[NETO GRAVADO]]*0.21)</f>
        <v>27671.7798</v>
      </c>
      <c r="J77" s="552"/>
      <c r="K77" s="552"/>
      <c r="L77" s="552"/>
      <c r="M77" s="552"/>
      <c r="N77" s="552"/>
      <c r="O77" s="552">
        <v>19671.59</v>
      </c>
      <c r="P77" s="553">
        <f>SUM(compras_mes8[[#This Row],[NETO GRAVADO]:[Otros / No Grav.]])</f>
        <v>179113.74979999999</v>
      </c>
      <c r="Q77" s="554" t="str">
        <f>IFERROR(IF(compras_mes8[[#This Row],[CUIT]]="","-",VLOOKUP(compras_mes8[[#This Row],[CUIT]],Lista_CUIT[#All],3,0)),"CUIT NO CARGADO")</f>
        <v>Combustible</v>
      </c>
      <c r="R77" s="554">
        <f>IFERROR(IF(compras_mes8[[#This Row],[CUIT]]="","-",VLOOKUP(compras_mes8[[#This Row],[CUIT]],Lista_CUIT[#All],4,0)),"CUIT NO CARGADO")</f>
        <v>0</v>
      </c>
      <c r="T77" s="33"/>
    </row>
    <row r="78" spans="2:20" x14ac:dyDescent="0.25">
      <c r="B78" s="546">
        <v>45891</v>
      </c>
      <c r="C78" s="547">
        <v>1</v>
      </c>
      <c r="D78" s="487">
        <v>17</v>
      </c>
      <c r="E78" s="548">
        <v>25194</v>
      </c>
      <c r="F78" s="549">
        <v>30707841105</v>
      </c>
      <c r="G78" s="550" t="str">
        <f>IFERROR(IF(compras_mes8[[#This Row],[CUIT]]="","-",VLOOKUP(compras_mes8[[#This Row],[CUIT]],Lista_CUIT[#All],2,0)),"CUIT NO CARGADO")</f>
        <v>PETRO ARG SRL</v>
      </c>
      <c r="H78" s="551">
        <v>35204.29</v>
      </c>
      <c r="I78" s="552">
        <f>IF(compras_mes8[[#This Row],[NETO GRAVADO]]="","",compras_mes8[[#This Row],[NETO GRAVADO]]*0.21)</f>
        <v>7392.9008999999996</v>
      </c>
      <c r="J78" s="552"/>
      <c r="K78" s="552"/>
      <c r="L78" s="552"/>
      <c r="M78" s="552"/>
      <c r="N78" s="552"/>
      <c r="O78" s="552">
        <v>5202.88</v>
      </c>
      <c r="P78" s="553">
        <f>SUM(compras_mes8[[#This Row],[NETO GRAVADO]:[Otros / No Grav.]])</f>
        <v>47800.070899999999</v>
      </c>
      <c r="Q78" s="554" t="str">
        <f>IFERROR(IF(compras_mes8[[#This Row],[CUIT]]="","-",VLOOKUP(compras_mes8[[#This Row],[CUIT]],Lista_CUIT[#All],3,0)),"CUIT NO CARGADO")</f>
        <v>Combustible</v>
      </c>
      <c r="R78" s="554">
        <f>IFERROR(IF(compras_mes8[[#This Row],[CUIT]]="","-",VLOOKUP(compras_mes8[[#This Row],[CUIT]],Lista_CUIT[#All],4,0)),"CUIT NO CARGADO")</f>
        <v>0</v>
      </c>
      <c r="T78" s="33"/>
    </row>
    <row r="79" spans="2:20" x14ac:dyDescent="0.25">
      <c r="B79" s="546">
        <v>45899</v>
      </c>
      <c r="C79" s="547">
        <v>1</v>
      </c>
      <c r="D79" s="487">
        <v>12</v>
      </c>
      <c r="E79" s="548">
        <v>72592</v>
      </c>
      <c r="F79" s="549">
        <v>30696131003</v>
      </c>
      <c r="G79" s="550" t="str">
        <f>IFERROR(IF(compras_mes8[[#This Row],[CUIT]]="","-",VLOOKUP(compras_mes8[[#This Row],[CUIT]],Lista_CUIT[#All],2,0)),"CUIT NO CARGADO")</f>
        <v>Petrolfe S.A.</v>
      </c>
      <c r="H79" s="551">
        <v>187648.76</v>
      </c>
      <c r="I79" s="552">
        <f>IF(compras_mes8[[#This Row],[NETO GRAVADO]]="","",compras_mes8[[#This Row],[NETO GRAVADO]]*0.21)</f>
        <v>39406.239600000001</v>
      </c>
      <c r="J79" s="552"/>
      <c r="K79" s="552"/>
      <c r="L79" s="552"/>
      <c r="M79" s="552"/>
      <c r="N79" s="552"/>
      <c r="O79" s="552">
        <v>27871.7</v>
      </c>
      <c r="P79" s="553">
        <f>SUM(compras_mes8[[#This Row],[NETO GRAVADO]:[Otros / No Grav.]])</f>
        <v>254926.69960000002</v>
      </c>
      <c r="Q79" s="554" t="str">
        <f>IFERROR(IF(compras_mes8[[#This Row],[CUIT]]="","-",VLOOKUP(compras_mes8[[#This Row],[CUIT]],Lista_CUIT[#All],3,0)),"CUIT NO CARGADO")</f>
        <v>Combustible</v>
      </c>
      <c r="R79" s="554">
        <f>IFERROR(IF(compras_mes8[[#This Row],[CUIT]]="","-",VLOOKUP(compras_mes8[[#This Row],[CUIT]],Lista_CUIT[#All],4,0)),"CUIT NO CARGADO")</f>
        <v>0</v>
      </c>
      <c r="T79" s="33"/>
    </row>
    <row r="80" spans="2:20" x14ac:dyDescent="0.25">
      <c r="B80" s="207" t="s">
        <v>2743</v>
      </c>
      <c r="C80" s="208">
        <v>1</v>
      </c>
      <c r="D80" s="209">
        <v>3</v>
      </c>
      <c r="E80" s="225">
        <v>15092</v>
      </c>
      <c r="F80" s="210">
        <v>30708232439</v>
      </c>
      <c r="G80" s="211" t="str">
        <f>IFERROR(IF(compras_mes8[[#This Row],[CUIT]]="","-",VLOOKUP(compras_mes8[[#This Row],[CUIT]],Lista_CUIT[#All],2,0)),"CUIT NO CARGADO")</f>
        <v>LUMEN GLASS SRL</v>
      </c>
      <c r="H80" s="212">
        <v>146932.5</v>
      </c>
      <c r="I80" s="213">
        <f>IF(compras_mes8[[#This Row],[NETO GRAVADO]]="","",compras_mes8[[#This Row],[NETO GRAVADO]]*0.21)</f>
        <v>30855.824999999997</v>
      </c>
      <c r="J80" s="213"/>
      <c r="K80" s="213"/>
      <c r="L80" s="213"/>
      <c r="M80" s="213"/>
      <c r="N80" s="213"/>
      <c r="O80" s="213"/>
      <c r="P80" s="214">
        <f>SUM(compras_mes8[[#This Row],[NETO GRAVADO]:[Otros / No Grav.]])</f>
        <v>177788.32500000001</v>
      </c>
      <c r="Q80" s="215" t="str">
        <f>IFERROR(IF(compras_mes8[[#This Row],[CUIT]]="","-",VLOOKUP(compras_mes8[[#This Row],[CUIT]],Lista_CUIT[#All],3,0)),"CUIT NO CARGADO")</f>
        <v>Envases</v>
      </c>
      <c r="R80" s="215">
        <f>IFERROR(IF(compras_mes8[[#This Row],[CUIT]]="","-",VLOOKUP(compras_mes8[[#This Row],[CUIT]],Lista_CUIT[#All],4,0)),"CUIT NO CARGADO")</f>
        <v>0</v>
      </c>
      <c r="T80" s="33"/>
    </row>
    <row r="81" spans="2:20" x14ac:dyDescent="0.25">
      <c r="B81" s="207" t="s">
        <v>2748</v>
      </c>
      <c r="C81" s="208">
        <v>1</v>
      </c>
      <c r="D81" s="209">
        <v>6052</v>
      </c>
      <c r="E81" s="225">
        <v>9444</v>
      </c>
      <c r="F81" s="210">
        <v>33707675069</v>
      </c>
      <c r="G81" s="211" t="str">
        <f>IFERROR(IF(compras_mes8[[#This Row],[CUIT]]="","-",VLOOKUP(compras_mes8[[#This Row],[CUIT]],Lista_CUIT[#All],2,0)),"CUIT NO CARGADO")</f>
        <v>BUS PACK S.A.</v>
      </c>
      <c r="H81" s="212">
        <v>54485.95</v>
      </c>
      <c r="I81" s="213">
        <f>IF(compras_mes8[[#This Row],[NETO GRAVADO]]="","",compras_mes8[[#This Row],[NETO GRAVADO]]*0.21)</f>
        <v>11442.049499999999</v>
      </c>
      <c r="J81" s="213"/>
      <c r="K81" s="213"/>
      <c r="L81" s="213"/>
      <c r="M81" s="213"/>
      <c r="N81" s="213"/>
      <c r="O81" s="213"/>
      <c r="P81" s="353">
        <f>SUM(compras_mes8[[#This Row],[NETO GRAVADO]:[Otros / No Grav.]])</f>
        <v>65927.999499999991</v>
      </c>
      <c r="Q81" s="215" t="str">
        <f>IFERROR(IF(compras_mes8[[#This Row],[CUIT]]="","-",VLOOKUP(compras_mes8[[#This Row],[CUIT]],Lista_CUIT[#All],3,0)),"CUIT NO CARGADO")</f>
        <v>Flete</v>
      </c>
      <c r="R81" s="215">
        <f>IFERROR(IF(compras_mes8[[#This Row],[CUIT]]="","-",VLOOKUP(compras_mes8[[#This Row],[CUIT]],Lista_CUIT[#All],4,0)),"CUIT NO CARGADO")</f>
        <v>0</v>
      </c>
      <c r="T81" s="33"/>
    </row>
    <row r="82" spans="2:20" x14ac:dyDescent="0.25">
      <c r="B82" s="546" t="s">
        <v>2776</v>
      </c>
      <c r="C82" s="208">
        <v>1</v>
      </c>
      <c r="D82" s="487">
        <v>3</v>
      </c>
      <c r="E82" s="548">
        <v>3403</v>
      </c>
      <c r="F82" s="549">
        <v>30682116028</v>
      </c>
      <c r="G82" s="550" t="str">
        <f>IFERROR(IF(compras_mes8[[#This Row],[CUIT]]="","-",VLOOKUP(compras_mes8[[#This Row],[CUIT]],Lista_CUIT[#All],2,0)),"CUIT NO CARGADO")</f>
        <v>BLUE STAR CARGO SRL</v>
      </c>
      <c r="H82" s="551">
        <v>0</v>
      </c>
      <c r="I82" s="552">
        <f>IF(compras_mes8[[#This Row],[NETO GRAVADO]]="","",compras_mes8[[#This Row],[NETO GRAVADO]]*0.21)</f>
        <v>0</v>
      </c>
      <c r="J82" s="552"/>
      <c r="K82" s="552"/>
      <c r="L82" s="552"/>
      <c r="M82" s="552"/>
      <c r="N82" s="552"/>
      <c r="O82" s="552">
        <v>2356400</v>
      </c>
      <c r="P82" s="553">
        <f>SUM(compras_mes8[[#This Row],[NETO GRAVADO]:[Otros / No Grav.]])</f>
        <v>2356400</v>
      </c>
      <c r="Q82" s="554" t="str">
        <f>IFERROR(IF(compras_mes8[[#This Row],[CUIT]]="","-",VLOOKUP(compras_mes8[[#This Row],[CUIT]],Lista_CUIT[#All],3,0)),"CUIT NO CARGADO")</f>
        <v>Flete</v>
      </c>
      <c r="R82" s="554">
        <f>IFERROR(IF(compras_mes8[[#This Row],[CUIT]]="","-",VLOOKUP(compras_mes8[[#This Row],[CUIT]],Lista_CUIT[#All],4,0)),"CUIT NO CARGADO")</f>
        <v>0</v>
      </c>
      <c r="T82" s="33"/>
    </row>
    <row r="83" spans="2:20" x14ac:dyDescent="0.25">
      <c r="B83" s="207" t="s">
        <v>2754</v>
      </c>
      <c r="C83" s="208">
        <v>1</v>
      </c>
      <c r="D83" s="209">
        <v>7</v>
      </c>
      <c r="E83" s="225">
        <v>273786</v>
      </c>
      <c r="F83" s="210">
        <v>30716821516</v>
      </c>
      <c r="G83" s="211" t="str">
        <f>IFERROR(IF(compras_mes8[[#This Row],[CUIT]]="","-",VLOOKUP(compras_mes8[[#This Row],[CUIT]],Lista_CUIT[#All],2,0)),"CUIT NO CARGADO")</f>
        <v>GETNET ARGENTINA S. A. U.</v>
      </c>
      <c r="H83" s="212">
        <v>0</v>
      </c>
      <c r="I83" s="213">
        <f>IF(compras_mes8[[#This Row],[NETO GRAVADO]]="","",compras_mes8[[#This Row],[NETO GRAVADO]]*0.21)</f>
        <v>0</v>
      </c>
      <c r="J83" s="213"/>
      <c r="K83" s="213"/>
      <c r="L83" s="213"/>
      <c r="M83" s="213"/>
      <c r="N83" s="213"/>
      <c r="O83" s="213"/>
      <c r="P83" s="353">
        <f>SUM(compras_mes8[[#This Row],[NETO GRAVADO]:[Otros / No Grav.]])</f>
        <v>0</v>
      </c>
      <c r="Q83" s="215" t="str">
        <f>IFERROR(IF(compras_mes8[[#This Row],[CUIT]]="","-",VLOOKUP(compras_mes8[[#This Row],[CUIT]],Lista_CUIT[#All],3,0)),"CUIT NO CARGADO")</f>
        <v>Gastos administrativos</v>
      </c>
      <c r="R83" s="215">
        <f>IFERROR(IF(compras_mes8[[#This Row],[CUIT]]="","-",VLOOKUP(compras_mes8[[#This Row],[CUIT]],Lista_CUIT[#All],4,0)),"CUIT NO CARGADO")</f>
        <v>0</v>
      </c>
      <c r="T83" s="33"/>
    </row>
    <row r="84" spans="2:20" x14ac:dyDescent="0.25">
      <c r="B84" s="207" t="s">
        <v>2751</v>
      </c>
      <c r="C84" s="208">
        <v>1</v>
      </c>
      <c r="D84" s="209">
        <v>3</v>
      </c>
      <c r="E84" s="225">
        <v>2785</v>
      </c>
      <c r="F84" s="210">
        <v>30621927252</v>
      </c>
      <c r="G84" s="211" t="str">
        <f>IFERROR(IF(compras_mes8[[#This Row],[CUIT]]="","-",VLOOKUP(compras_mes8[[#This Row],[CUIT]],Lista_CUIT[#All],2,0)),"CUIT NO CARGADO")</f>
        <v>PERALBA SOCIEDAD ANONIMA</v>
      </c>
      <c r="H84" s="212">
        <v>3233020.86</v>
      </c>
      <c r="I84" s="213">
        <f>IF(compras_mes8[[#This Row],[NETO GRAVADO]]="","",compras_mes8[[#This Row],[NETO GRAVADO]]*0.21)</f>
        <v>678934.38059999992</v>
      </c>
      <c r="J84" s="213"/>
      <c r="K84" s="213"/>
      <c r="L84" s="213"/>
      <c r="M84" s="213"/>
      <c r="N84" s="213"/>
      <c r="O84" s="213"/>
      <c r="P84" s="353">
        <f>SUM(compras_mes8[[#This Row],[NETO GRAVADO]:[Otros / No Grav.]])</f>
        <v>3911955.2405999997</v>
      </c>
      <c r="Q84" s="215" t="str">
        <f>IFERROR(IF(compras_mes8[[#This Row],[CUIT]]="","-",VLOOKUP(compras_mes8[[#This Row],[CUIT]],Lista_CUIT[#All],3,0)),"CUIT NO CARGADO")</f>
        <v>Gastos catering</v>
      </c>
      <c r="R84" s="215">
        <f>IFERROR(IF(compras_mes8[[#This Row],[CUIT]]="","-",VLOOKUP(compras_mes8[[#This Row],[CUIT]],Lista_CUIT[#All],4,0)),"CUIT NO CARGADO")</f>
        <v>0</v>
      </c>
      <c r="T84" s="33"/>
    </row>
    <row r="85" spans="2:20" x14ac:dyDescent="0.25">
      <c r="B85" s="546" t="s">
        <v>2759</v>
      </c>
      <c r="C85" s="208">
        <v>1</v>
      </c>
      <c r="D85" s="487">
        <v>11</v>
      </c>
      <c r="E85" s="548">
        <v>1203088</v>
      </c>
      <c r="F85" s="549">
        <v>33709585229</v>
      </c>
      <c r="G85" s="550" t="str">
        <f>IFERROR(IF(compras_mes8[[#This Row],[CUIT]]="","-",VLOOKUP(compras_mes8[[#This Row],[CUIT]],Lista_CUIT[#All],2,0)),"CUIT NO CARGADO")</f>
        <v>GOOGLE ARGENTINA S.R.L.</v>
      </c>
      <c r="H85" s="551">
        <v>185636.42</v>
      </c>
      <c r="I85" s="552">
        <f>IF(compras_mes8[[#This Row],[NETO GRAVADO]]="","",compras_mes8[[#This Row],[NETO GRAVADO]]*0.21)</f>
        <v>38983.648200000003</v>
      </c>
      <c r="J85" s="552"/>
      <c r="K85" s="552"/>
      <c r="L85" s="552"/>
      <c r="M85" s="552"/>
      <c r="N85" s="552"/>
      <c r="O85" s="552">
        <v>56976.46</v>
      </c>
      <c r="P85" s="553">
        <f>SUM(compras_mes8[[#This Row],[NETO GRAVADO]:[Otros / No Grav.]])</f>
        <v>281596.5282</v>
      </c>
      <c r="Q85" s="554" t="str">
        <f>IFERROR(IF(compras_mes8[[#This Row],[CUIT]]="","-",VLOOKUP(compras_mes8[[#This Row],[CUIT]],Lista_CUIT[#All],3,0)),"CUIT NO CARGADO")</f>
        <v>Gastos Comercializacion</v>
      </c>
      <c r="R85" s="554">
        <f>IFERROR(IF(compras_mes8[[#This Row],[CUIT]]="","-",VLOOKUP(compras_mes8[[#This Row],[CUIT]],Lista_CUIT[#All],4,0)),"CUIT NO CARGADO")</f>
        <v>0</v>
      </c>
      <c r="T85" s="33"/>
    </row>
    <row r="86" spans="2:20" x14ac:dyDescent="0.25">
      <c r="B86" s="207" t="s">
        <v>2743</v>
      </c>
      <c r="C86" s="208">
        <v>1</v>
      </c>
      <c r="D86" s="209">
        <v>1</v>
      </c>
      <c r="E86" s="225">
        <v>999</v>
      </c>
      <c r="F86" s="210">
        <v>30715889486</v>
      </c>
      <c r="G86" s="211" t="str">
        <f>IFERROR(IF(compras_mes8[[#This Row],[CUIT]]="","-",VLOOKUP(compras_mes8[[#This Row],[CUIT]],Lista_CUIT[#All],2,0)),"CUIT NO CARGADO")</f>
        <v>EXPOESTETICA</v>
      </c>
      <c r="H86" s="212">
        <v>2088000</v>
      </c>
      <c r="I86" s="213">
        <f>IF(compras_mes8[[#This Row],[NETO GRAVADO]]="","",compras_mes8[[#This Row],[NETO GRAVADO]]*0.21)</f>
        <v>438480</v>
      </c>
      <c r="J86" s="213"/>
      <c r="K86" s="213"/>
      <c r="L86" s="213"/>
      <c r="M86" s="213"/>
      <c r="N86" s="213"/>
      <c r="O86" s="213"/>
      <c r="P86" s="214">
        <f>SUM(compras_mes8[[#This Row],[NETO GRAVADO]:[Otros / No Grav.]])</f>
        <v>2526480</v>
      </c>
      <c r="Q86" s="215" t="str">
        <f>IFERROR(IF(compras_mes8[[#This Row],[CUIT]]="","-",VLOOKUP(compras_mes8[[#This Row],[CUIT]],Lista_CUIT[#All],3,0)),"CUIT NO CARGADO")</f>
        <v>Gastos Comercializacion - Feria</v>
      </c>
      <c r="R86" s="215" t="str">
        <f>IFERROR(IF(compras_mes8[[#This Row],[CUIT]]="","-",VLOOKUP(compras_mes8[[#This Row],[CUIT]],Lista_CUIT[#All],4,0)),"CUIT NO CARGADO")</f>
        <v>BUENOS AIRES</v>
      </c>
      <c r="T86" s="33"/>
    </row>
    <row r="87" spans="2:20" x14ac:dyDescent="0.25">
      <c r="B87" s="207" t="s">
        <v>2765</v>
      </c>
      <c r="C87" s="208">
        <v>1</v>
      </c>
      <c r="D87" s="209">
        <v>14</v>
      </c>
      <c r="E87" s="225">
        <v>18303</v>
      </c>
      <c r="F87" s="210">
        <v>30715186256</v>
      </c>
      <c r="G87" s="211" t="str">
        <f>IFERROR(IF(compras_mes8[[#This Row],[CUIT]]="","-",VLOOKUP(compras_mes8[[#This Row],[CUIT]],Lista_CUIT[#All],2,0)),"CUIT NO CARGADO")</f>
        <v>FRIGORIFICO ALIMENTIC</v>
      </c>
      <c r="H87" s="212">
        <v>133464.32999999999</v>
      </c>
      <c r="I87" s="213">
        <v>8840.82</v>
      </c>
      <c r="J87" s="213"/>
      <c r="K87" s="213">
        <v>9593.34</v>
      </c>
      <c r="L87" s="213"/>
      <c r="M87" s="213"/>
      <c r="N87" s="213"/>
      <c r="O87" s="213"/>
      <c r="P87" s="353">
        <f>SUM(compras_mes8[[#This Row],[NETO GRAVADO]:[Otros / No Grav.]])</f>
        <v>151898.49</v>
      </c>
      <c r="Q87" s="215" t="str">
        <f>IFERROR(IF(compras_mes8[[#This Row],[CUIT]]="","-",VLOOKUP(compras_mes8[[#This Row],[CUIT]],Lista_CUIT[#All],3,0)),"CUIT NO CARGADO")</f>
        <v>Gastos Comercializacion - Feria</v>
      </c>
      <c r="R87" s="215">
        <f>IFERROR(IF(compras_mes8[[#This Row],[CUIT]]="","-",VLOOKUP(compras_mes8[[#This Row],[CUIT]],Lista_CUIT[#All],4,0)),"CUIT NO CARGADO")</f>
        <v>0</v>
      </c>
      <c r="T87" s="33"/>
    </row>
    <row r="88" spans="2:20" x14ac:dyDescent="0.25">
      <c r="B88" s="207" t="s">
        <v>2771</v>
      </c>
      <c r="C88" s="208">
        <v>1</v>
      </c>
      <c r="D88" s="209">
        <v>14</v>
      </c>
      <c r="E88" s="225">
        <v>18429</v>
      </c>
      <c r="F88" s="210">
        <v>30715186256</v>
      </c>
      <c r="G88" s="211" t="str">
        <f>IFERROR(IF(compras_mes8[[#This Row],[CUIT]]="","-",VLOOKUP(compras_mes8[[#This Row],[CUIT]],Lista_CUIT[#All],2,0)),"CUIT NO CARGADO")</f>
        <v>FRIGORIFICO ALIMENTIC</v>
      </c>
      <c r="H88" s="212">
        <v>65613.990000000005</v>
      </c>
      <c r="I88" s="213">
        <v>1128.0999999999999</v>
      </c>
      <c r="J88" s="213"/>
      <c r="K88" s="213">
        <v>6325.42</v>
      </c>
      <c r="L88" s="213"/>
      <c r="M88" s="213"/>
      <c r="N88" s="213"/>
      <c r="O88" s="213"/>
      <c r="P88" s="353">
        <f>SUM(compras_mes8[[#This Row],[NETO GRAVADO]:[Otros / No Grav.]])</f>
        <v>73067.510000000009</v>
      </c>
      <c r="Q88" s="215" t="str">
        <f>IFERROR(IF(compras_mes8[[#This Row],[CUIT]]="","-",VLOOKUP(compras_mes8[[#This Row],[CUIT]],Lista_CUIT[#All],3,0)),"CUIT NO CARGADO")</f>
        <v>Gastos Comercializacion - Feria</v>
      </c>
      <c r="R88" s="215">
        <f>IFERROR(IF(compras_mes8[[#This Row],[CUIT]]="","-",VLOOKUP(compras_mes8[[#This Row],[CUIT]],Lista_CUIT[#All],4,0)),"CUIT NO CARGADO")</f>
        <v>0</v>
      </c>
      <c r="T88" s="33"/>
    </row>
    <row r="89" spans="2:20" x14ac:dyDescent="0.25">
      <c r="B89" s="207" t="s">
        <v>2754</v>
      </c>
      <c r="C89" s="208">
        <v>1</v>
      </c>
      <c r="D89" s="209">
        <v>14</v>
      </c>
      <c r="E89" s="225">
        <v>18560</v>
      </c>
      <c r="F89" s="210">
        <v>30715186256</v>
      </c>
      <c r="G89" s="211" t="str">
        <f>IFERROR(IF(compras_mes8[[#This Row],[CUIT]]="","-",VLOOKUP(compras_mes8[[#This Row],[CUIT]],Lista_CUIT[#All],2,0)),"CUIT NO CARGADO")</f>
        <v>FRIGORIFICO ALIMENTIC</v>
      </c>
      <c r="H89" s="212">
        <v>138104.09</v>
      </c>
      <c r="I89" s="213">
        <v>4607.8</v>
      </c>
      <c r="J89" s="213"/>
      <c r="K89" s="213">
        <v>12197.03</v>
      </c>
      <c r="L89" s="213"/>
      <c r="M89" s="213"/>
      <c r="N89" s="213"/>
      <c r="O89" s="213"/>
      <c r="P89" s="353">
        <f>SUM(compras_mes8[[#This Row],[NETO GRAVADO]:[Otros / No Grav.]])</f>
        <v>154908.91999999998</v>
      </c>
      <c r="Q89" s="215" t="str">
        <f>IFERROR(IF(compras_mes8[[#This Row],[CUIT]]="","-",VLOOKUP(compras_mes8[[#This Row],[CUIT]],Lista_CUIT[#All],3,0)),"CUIT NO CARGADO")</f>
        <v>Gastos Comercializacion - Feria</v>
      </c>
      <c r="R89" s="215">
        <f>IFERROR(IF(compras_mes8[[#This Row],[CUIT]]="","-",VLOOKUP(compras_mes8[[#This Row],[CUIT]],Lista_CUIT[#All],4,0)),"CUIT NO CARGADO")</f>
        <v>0</v>
      </c>
      <c r="T89" s="33"/>
    </row>
    <row r="90" spans="2:20" x14ac:dyDescent="0.25">
      <c r="B90" s="546" t="s">
        <v>2758</v>
      </c>
      <c r="C90" s="208">
        <v>1</v>
      </c>
      <c r="D90" s="487">
        <v>14</v>
      </c>
      <c r="E90" s="548">
        <v>18694</v>
      </c>
      <c r="F90" s="549">
        <v>30715186256</v>
      </c>
      <c r="G90" s="550" t="str">
        <f>IFERROR(IF(compras_mes8[[#This Row],[CUIT]]="","-",VLOOKUP(compras_mes8[[#This Row],[CUIT]],Lista_CUIT[#All],2,0)),"CUIT NO CARGADO")</f>
        <v>FRIGORIFICO ALIMENTIC</v>
      </c>
      <c r="H90" s="551">
        <v>92651.05</v>
      </c>
      <c r="I90" s="552">
        <v>5384.16</v>
      </c>
      <c r="J90" s="552"/>
      <c r="K90" s="552">
        <v>7036.28</v>
      </c>
      <c r="L90" s="552"/>
      <c r="M90" s="552"/>
      <c r="N90" s="552"/>
      <c r="O90" s="552"/>
      <c r="P90" s="553">
        <f>SUM(compras_mes8[[#This Row],[NETO GRAVADO]:[Otros / No Grav.]])</f>
        <v>105071.49</v>
      </c>
      <c r="Q90" s="554" t="str">
        <f>IFERROR(IF(compras_mes8[[#This Row],[CUIT]]="","-",VLOOKUP(compras_mes8[[#This Row],[CUIT]],Lista_CUIT[#All],3,0)),"CUIT NO CARGADO")</f>
        <v>Gastos Comercializacion - Feria</v>
      </c>
      <c r="R90" s="554">
        <f>IFERROR(IF(compras_mes8[[#This Row],[CUIT]]="","-",VLOOKUP(compras_mes8[[#This Row],[CUIT]],Lista_CUIT[#All],4,0)),"CUIT NO CARGADO")</f>
        <v>0</v>
      </c>
      <c r="T90" s="33"/>
    </row>
    <row r="91" spans="2:20" x14ac:dyDescent="0.25">
      <c r="B91" s="207" t="s">
        <v>2747</v>
      </c>
      <c r="C91" s="208">
        <v>1</v>
      </c>
      <c r="D91" s="209">
        <v>9</v>
      </c>
      <c r="E91" s="225">
        <v>14742</v>
      </c>
      <c r="F91" s="210">
        <v>30709531960</v>
      </c>
      <c r="G91" s="211" t="str">
        <f>IFERROR(IF(compras_mes8[[#This Row],[CUIT]]="","-",VLOOKUP(compras_mes8[[#This Row],[CUIT]],Lista_CUIT[#All],2,0)),"CUIT NO CARGADO")</f>
        <v>CENTRO DE DISTRIBUCION SUR S R L</v>
      </c>
      <c r="H91" s="212">
        <v>484797.22</v>
      </c>
      <c r="I91" s="213">
        <f>IF(compras_mes8[[#This Row],[NETO GRAVADO]]="","",compras_mes8[[#This Row],[NETO GRAVADO]]*0.21)</f>
        <v>101807.41619999999</v>
      </c>
      <c r="J91" s="213"/>
      <c r="K91" s="213"/>
      <c r="L91" s="213"/>
      <c r="M91" s="213"/>
      <c r="N91" s="213"/>
      <c r="O91" s="213">
        <v>43631.75</v>
      </c>
      <c r="P91" s="353">
        <f>SUM(compras_mes8[[#This Row],[NETO GRAVADO]:[Otros / No Grav.]])</f>
        <v>630236.38619999995</v>
      </c>
      <c r="Q91" s="215" t="str">
        <f>IFERROR(IF(compras_mes8[[#This Row],[CUIT]]="","-",VLOOKUP(compras_mes8[[#This Row],[CUIT]],Lista_CUIT[#All],3,0)),"CUIT NO CARGADO")</f>
        <v>Gastos Limpieza</v>
      </c>
      <c r="R91" s="215">
        <f>IFERROR(IF(compras_mes8[[#This Row],[CUIT]]="","-",VLOOKUP(compras_mes8[[#This Row],[CUIT]],Lista_CUIT[#All],4,0)),"CUIT NO CARGADO")</f>
        <v>0</v>
      </c>
      <c r="T91" s="33"/>
    </row>
    <row r="92" spans="2:20" x14ac:dyDescent="0.25">
      <c r="B92" s="207" t="s">
        <v>2749</v>
      </c>
      <c r="C92" s="208">
        <v>1</v>
      </c>
      <c r="D92" s="209">
        <v>126</v>
      </c>
      <c r="E92" s="225">
        <v>86247</v>
      </c>
      <c r="F92" s="210">
        <v>30577207190</v>
      </c>
      <c r="G92" s="211" t="str">
        <f>IFERROR(IF(compras_mes8[[#This Row],[CUIT]]="","-",VLOOKUP(compras_mes8[[#This Row],[CUIT]],Lista_CUIT[#All],2,0)),"CUIT NO CARGADO")</f>
        <v>COORDINACION ECOLOGICA AREA METROPOLITANA SOCIEDAD DEL ESTADO</v>
      </c>
      <c r="H92" s="212">
        <v>13398.35</v>
      </c>
      <c r="I92" s="213">
        <f>IF(compras_mes8[[#This Row],[NETO GRAVADO]]="","",compras_mes8[[#This Row],[NETO GRAVADO]]*0.21)</f>
        <v>2813.6534999999999</v>
      </c>
      <c r="J92" s="213"/>
      <c r="K92" s="213"/>
      <c r="L92" s="213"/>
      <c r="M92" s="213"/>
      <c r="N92" s="213"/>
      <c r="O92" s="213">
        <v>401.95</v>
      </c>
      <c r="P92" s="353">
        <f>SUM(compras_mes8[[#This Row],[NETO GRAVADO]:[Otros / No Grav.]])</f>
        <v>16613.9535</v>
      </c>
      <c r="Q92" s="215" t="str">
        <f>IFERROR(IF(compras_mes8[[#This Row],[CUIT]]="","-",VLOOKUP(compras_mes8[[#This Row],[CUIT]],Lista_CUIT[#All],3,0)),"CUIT NO CARGADO")</f>
        <v>Gastos Limpieza</v>
      </c>
      <c r="R92" s="215">
        <f>IFERROR(IF(compras_mes8[[#This Row],[CUIT]]="","-",VLOOKUP(compras_mes8[[#This Row],[CUIT]],Lista_CUIT[#All],4,0)),"CUIT NO CARGADO")</f>
        <v>0</v>
      </c>
      <c r="T92" s="33"/>
    </row>
    <row r="93" spans="2:20" x14ac:dyDescent="0.25">
      <c r="B93" s="207" t="s">
        <v>2754</v>
      </c>
      <c r="C93" s="208">
        <v>1</v>
      </c>
      <c r="D93" s="209">
        <v>7</v>
      </c>
      <c r="E93" s="225">
        <v>22490</v>
      </c>
      <c r="F93" s="210">
        <v>30715124919</v>
      </c>
      <c r="G93" s="211" t="str">
        <f>IFERROR(IF(compras_mes8[[#This Row],[CUIT]]="","-",VLOOKUP(compras_mes8[[#This Row],[CUIT]],Lista_CUIT[#All],2,0)),"CUIT NO CARGADO")</f>
        <v>CLEAN LAB SRL</v>
      </c>
      <c r="H93" s="212">
        <v>72403.56</v>
      </c>
      <c r="I93" s="213">
        <f>IF(compras_mes8[[#This Row],[NETO GRAVADO]]="","",compras_mes8[[#This Row],[NETO GRAVADO]]*0.21)</f>
        <v>15204.747599999999</v>
      </c>
      <c r="J93" s="213"/>
      <c r="K93" s="213"/>
      <c r="L93" s="213"/>
      <c r="M93" s="213"/>
      <c r="N93" s="213"/>
      <c r="O93" s="213"/>
      <c r="P93" s="353">
        <f>SUM(compras_mes8[[#This Row],[NETO GRAVADO]:[Otros / No Grav.]])</f>
        <v>87608.3076</v>
      </c>
      <c r="Q93" s="215" t="str">
        <f>IFERROR(IF(compras_mes8[[#This Row],[CUIT]]="","-",VLOOKUP(compras_mes8[[#This Row],[CUIT]],Lista_CUIT[#All],3,0)),"CUIT NO CARGADO")</f>
        <v>Gastos Limpieza</v>
      </c>
      <c r="R93" s="215">
        <f>IFERROR(IF(compras_mes8[[#This Row],[CUIT]]="","-",VLOOKUP(compras_mes8[[#This Row],[CUIT]],Lista_CUIT[#All],4,0)),"CUIT NO CARGADO")</f>
        <v>0</v>
      </c>
      <c r="T93" s="33"/>
    </row>
    <row r="94" spans="2:20" x14ac:dyDescent="0.25">
      <c r="B94" s="207" t="s">
        <v>2754</v>
      </c>
      <c r="C94" s="208">
        <v>1</v>
      </c>
      <c r="D94" s="209">
        <v>7</v>
      </c>
      <c r="E94" s="225">
        <v>22488</v>
      </c>
      <c r="F94" s="210">
        <v>30715124919</v>
      </c>
      <c r="G94" s="211" t="str">
        <f>IFERROR(IF(compras_mes8[[#This Row],[CUIT]]="","-",VLOOKUP(compras_mes8[[#This Row],[CUIT]],Lista_CUIT[#All],2,0)),"CUIT NO CARGADO")</f>
        <v>CLEAN LAB SRL</v>
      </c>
      <c r="H94" s="212">
        <v>72409.039999999994</v>
      </c>
      <c r="I94" s="213">
        <f>IF(compras_mes8[[#This Row],[NETO GRAVADO]]="","",compras_mes8[[#This Row],[NETO GRAVADO]]*0.21)</f>
        <v>15205.898399999998</v>
      </c>
      <c r="J94" s="213"/>
      <c r="K94" s="213"/>
      <c r="L94" s="213"/>
      <c r="M94" s="213"/>
      <c r="N94" s="213"/>
      <c r="O94" s="213"/>
      <c r="P94" s="353">
        <f>SUM(compras_mes8[[#This Row],[NETO GRAVADO]:[Otros / No Grav.]])</f>
        <v>87614.938399999985</v>
      </c>
      <c r="Q94" s="215" t="str">
        <f>IFERROR(IF(compras_mes8[[#This Row],[CUIT]]="","-",VLOOKUP(compras_mes8[[#This Row],[CUIT]],Lista_CUIT[#All],3,0)),"CUIT NO CARGADO")</f>
        <v>Gastos Limpieza</v>
      </c>
      <c r="R94" s="215">
        <f>IFERROR(IF(compras_mes8[[#This Row],[CUIT]]="","-",VLOOKUP(compras_mes8[[#This Row],[CUIT]],Lista_CUIT[#All],4,0)),"CUIT NO CARGADO")</f>
        <v>0</v>
      </c>
      <c r="T94" s="33"/>
    </row>
    <row r="95" spans="2:20" x14ac:dyDescent="0.25">
      <c r="B95" s="207" t="s">
        <v>2754</v>
      </c>
      <c r="C95" s="208">
        <v>1</v>
      </c>
      <c r="D95" s="209">
        <v>7</v>
      </c>
      <c r="E95" s="225">
        <v>22489</v>
      </c>
      <c r="F95" s="210">
        <v>30715124919</v>
      </c>
      <c r="G95" s="211" t="str">
        <f>IFERROR(IF(compras_mes8[[#This Row],[CUIT]]="","-",VLOOKUP(compras_mes8[[#This Row],[CUIT]],Lista_CUIT[#All],2,0)),"CUIT NO CARGADO")</f>
        <v>CLEAN LAB SRL</v>
      </c>
      <c r="H95" s="212">
        <v>146494.19</v>
      </c>
      <c r="I95" s="213">
        <f>IF(compras_mes8[[#This Row],[NETO GRAVADO]]="","",compras_mes8[[#This Row],[NETO GRAVADO]]*0.21)</f>
        <v>30763.779899999998</v>
      </c>
      <c r="J95" s="213"/>
      <c r="K95" s="213"/>
      <c r="L95" s="213"/>
      <c r="M95" s="213"/>
      <c r="N95" s="213"/>
      <c r="O95" s="213"/>
      <c r="P95" s="353">
        <f>SUM(compras_mes8[[#This Row],[NETO GRAVADO]:[Otros / No Grav.]])</f>
        <v>177257.9699</v>
      </c>
      <c r="Q95" s="215" t="str">
        <f>IFERROR(IF(compras_mes8[[#This Row],[CUIT]]="","-",VLOOKUP(compras_mes8[[#This Row],[CUIT]],Lista_CUIT[#All],3,0)),"CUIT NO CARGADO")</f>
        <v>Gastos Limpieza</v>
      </c>
      <c r="R95" s="215">
        <f>IFERROR(IF(compras_mes8[[#This Row],[CUIT]]="","-",VLOOKUP(compras_mes8[[#This Row],[CUIT]],Lista_CUIT[#All],4,0)),"CUIT NO CARGADO")</f>
        <v>0</v>
      </c>
      <c r="T95" s="33"/>
    </row>
    <row r="96" spans="2:20" x14ac:dyDescent="0.25">
      <c r="B96" s="546" t="s">
        <v>2777</v>
      </c>
      <c r="C96" s="208">
        <v>1</v>
      </c>
      <c r="D96" s="487">
        <v>9</v>
      </c>
      <c r="E96" s="548">
        <v>15135</v>
      </c>
      <c r="F96" s="549">
        <v>30709531960</v>
      </c>
      <c r="G96" s="550" t="str">
        <f>IFERROR(IF(compras_mes8[[#This Row],[CUIT]]="","-",VLOOKUP(compras_mes8[[#This Row],[CUIT]],Lista_CUIT[#All],2,0)),"CUIT NO CARGADO")</f>
        <v>CENTRO DE DISTRIBUCION SUR S R L</v>
      </c>
      <c r="H96" s="551">
        <v>30180.17</v>
      </c>
      <c r="I96" s="552">
        <f>IF(compras_mes8[[#This Row],[NETO GRAVADO]]="","",compras_mes8[[#This Row],[NETO GRAVADO]]*0.21)</f>
        <v>6337.8356999999996</v>
      </c>
      <c r="J96" s="552"/>
      <c r="K96" s="552"/>
      <c r="L96" s="552"/>
      <c r="M96" s="552"/>
      <c r="N96" s="552"/>
      <c r="O96" s="552">
        <v>1810.81</v>
      </c>
      <c r="P96" s="553">
        <f>SUM(compras_mes8[[#This Row],[NETO GRAVADO]:[Otros / No Grav.]])</f>
        <v>38328.815699999992</v>
      </c>
      <c r="Q96" s="554" t="str">
        <f>IFERROR(IF(compras_mes8[[#This Row],[CUIT]]="","-",VLOOKUP(compras_mes8[[#This Row],[CUIT]],Lista_CUIT[#All],3,0)),"CUIT NO CARGADO")</f>
        <v>Gastos Limpieza</v>
      </c>
      <c r="R96" s="554">
        <f>IFERROR(IF(compras_mes8[[#This Row],[CUIT]]="","-",VLOOKUP(compras_mes8[[#This Row],[CUIT]],Lista_CUIT[#All],4,0)),"CUIT NO CARGADO")</f>
        <v>0</v>
      </c>
      <c r="T96" s="33"/>
    </row>
    <row r="97" spans="2:20" x14ac:dyDescent="0.25">
      <c r="B97" s="546" t="s">
        <v>2759</v>
      </c>
      <c r="C97" s="208">
        <v>1</v>
      </c>
      <c r="D97" s="487">
        <v>126</v>
      </c>
      <c r="E97" s="548">
        <v>114714</v>
      </c>
      <c r="F97" s="549">
        <v>30577207190</v>
      </c>
      <c r="G97" s="550" t="str">
        <f>IFERROR(IF(compras_mes8[[#This Row],[CUIT]]="","-",VLOOKUP(compras_mes8[[#This Row],[CUIT]],Lista_CUIT[#All],2,0)),"CUIT NO CARGADO")</f>
        <v>COORDINACION ECOLOGICA AREA METROPOLITANA SOCIEDAD DEL ESTADO</v>
      </c>
      <c r="H97" s="551">
        <v>3719.01</v>
      </c>
      <c r="I97" s="552">
        <f>IF(compras_mes8[[#This Row],[NETO GRAVADO]]="","",compras_mes8[[#This Row],[NETO GRAVADO]]*0.21)</f>
        <v>780.99210000000005</v>
      </c>
      <c r="J97" s="552"/>
      <c r="K97" s="552"/>
      <c r="L97" s="552"/>
      <c r="M97" s="552"/>
      <c r="N97" s="552"/>
      <c r="O97" s="552">
        <v>111.57</v>
      </c>
      <c r="P97" s="553">
        <f>SUM(compras_mes8[[#This Row],[NETO GRAVADO]:[Otros / No Grav.]])</f>
        <v>4611.5721000000003</v>
      </c>
      <c r="Q97" s="554" t="str">
        <f>IFERROR(IF(compras_mes8[[#This Row],[CUIT]]="","-",VLOOKUP(compras_mes8[[#This Row],[CUIT]],Lista_CUIT[#All],3,0)),"CUIT NO CARGADO")</f>
        <v>Gastos Limpieza</v>
      </c>
      <c r="R97" s="554">
        <f>IFERROR(IF(compras_mes8[[#This Row],[CUIT]]="","-",VLOOKUP(compras_mes8[[#This Row],[CUIT]],Lista_CUIT[#All],4,0)),"CUIT NO CARGADO")</f>
        <v>0</v>
      </c>
      <c r="T97" s="33"/>
    </row>
    <row r="98" spans="2:20" x14ac:dyDescent="0.25">
      <c r="B98" s="207" t="s">
        <v>2749</v>
      </c>
      <c r="C98" s="208">
        <v>1</v>
      </c>
      <c r="D98" s="209">
        <v>5</v>
      </c>
      <c r="E98" s="225">
        <v>68537</v>
      </c>
      <c r="F98" s="210">
        <v>20316749942</v>
      </c>
      <c r="G98" s="211" t="str">
        <f>IFERROR(IF(compras_mes8[[#This Row],[CUIT]]="","-",VLOOKUP(compras_mes8[[#This Row],[CUIT]],Lista_CUIT[#All],2,0)),"CUIT NO CARGADO")</f>
        <v>PASTORIZA ALEJANDRO JAVIER</v>
      </c>
      <c r="H98" s="212">
        <v>67618.100000000006</v>
      </c>
      <c r="I98" s="85" t="s">
        <v>2411</v>
      </c>
      <c r="J98" s="213"/>
      <c r="K98" s="213">
        <f>compras_mes8[[#This Row],[NETO GRAVADO]]*0.105</f>
        <v>7099.9005000000006</v>
      </c>
      <c r="L98" s="213"/>
      <c r="M98" s="213"/>
      <c r="N98" s="213"/>
      <c r="O98" s="213"/>
      <c r="P98" s="353">
        <f>SUM(compras_mes8[[#This Row],[NETO GRAVADO]:[Otros / No Grav.]])</f>
        <v>74718.000500000009</v>
      </c>
      <c r="Q98" s="215" t="str">
        <f>IFERROR(IF(compras_mes8[[#This Row],[CUIT]]="","-",VLOOKUP(compras_mes8[[#This Row],[CUIT]],Lista_CUIT[#All],3,0)),"CUIT NO CARGADO")</f>
        <v>Gastos Oficina</v>
      </c>
      <c r="R98" s="215">
        <f>IFERROR(IF(compras_mes8[[#This Row],[CUIT]]="","-",VLOOKUP(compras_mes8[[#This Row],[CUIT]],Lista_CUIT[#All],4,0)),"CUIT NO CARGADO")</f>
        <v>0</v>
      </c>
      <c r="T98" s="33"/>
    </row>
    <row r="99" spans="2:20" x14ac:dyDescent="0.25">
      <c r="B99" s="207" t="s">
        <v>2765</v>
      </c>
      <c r="C99" s="208">
        <v>1</v>
      </c>
      <c r="D99" s="209">
        <v>2199</v>
      </c>
      <c r="E99" s="225">
        <v>38278</v>
      </c>
      <c r="F99" s="210">
        <v>30548083156</v>
      </c>
      <c r="G99" s="211" t="str">
        <f>IFERROR(IF(compras_mes8[[#This Row],[CUIT]]="","-",VLOOKUP(compras_mes8[[#This Row],[CUIT]],Lista_CUIT[#All],2,0)),"CUIT NO CARGADO")</f>
        <v>COTO CENTRO INTEGRAL DE COMERCIALIZACION SOCIEDAD ANONIMA</v>
      </c>
      <c r="H99" s="212">
        <v>86078.76</v>
      </c>
      <c r="I99" s="213">
        <v>13899.79</v>
      </c>
      <c r="J99" s="213"/>
      <c r="K99" s="213">
        <v>2088.37</v>
      </c>
      <c r="L99" s="213"/>
      <c r="M99" s="213"/>
      <c r="N99" s="213"/>
      <c r="O99" s="213">
        <v>6701.4</v>
      </c>
      <c r="P99" s="353">
        <f>SUM(compras_mes8[[#This Row],[NETO GRAVADO]:[Otros / No Grav.]])</f>
        <v>108768.31999999998</v>
      </c>
      <c r="Q99" s="215" t="str">
        <f>IFERROR(IF(compras_mes8[[#This Row],[CUIT]]="","-",VLOOKUP(compras_mes8[[#This Row],[CUIT]],Lista_CUIT[#All],3,0)),"CUIT NO CARGADO")</f>
        <v>Gastos Varios</v>
      </c>
      <c r="R99" s="215">
        <f>IFERROR(IF(compras_mes8[[#This Row],[CUIT]]="","-",VLOOKUP(compras_mes8[[#This Row],[CUIT]],Lista_CUIT[#All],4,0)),"CUIT NO CARGADO")</f>
        <v>0</v>
      </c>
      <c r="T99" s="33"/>
    </row>
    <row r="100" spans="2:20" x14ac:dyDescent="0.25">
      <c r="B100" s="207" t="s">
        <v>2768</v>
      </c>
      <c r="C100" s="208">
        <v>1</v>
      </c>
      <c r="D100" s="209">
        <v>1678</v>
      </c>
      <c r="E100" s="225">
        <v>60500</v>
      </c>
      <c r="F100" s="210">
        <v>30589621499</v>
      </c>
      <c r="G100" s="211" t="str">
        <f>IFERROR(IF(compras_mes8[[#This Row],[CUIT]]="","-",VLOOKUP(compras_mes8[[#This Row],[CUIT]],Lista_CUIT[#All],2,0)),"CUIT NO CARGADO")</f>
        <v>MAKRO SA</v>
      </c>
      <c r="H100" s="212">
        <v>72848.03</v>
      </c>
      <c r="I100" s="213">
        <v>14994.02</v>
      </c>
      <c r="J100" s="213"/>
      <c r="K100" s="213">
        <v>152.03</v>
      </c>
      <c r="L100" s="213"/>
      <c r="M100" s="213"/>
      <c r="N100" s="213"/>
      <c r="O100" s="213">
        <v>6534.6</v>
      </c>
      <c r="P100" s="353">
        <f>SUM(compras_mes8[[#This Row],[NETO GRAVADO]:[Otros / No Grav.]])</f>
        <v>94528.680000000008</v>
      </c>
      <c r="Q100" s="215" t="str">
        <f>IFERROR(IF(compras_mes8[[#This Row],[CUIT]]="","-",VLOOKUP(compras_mes8[[#This Row],[CUIT]],Lista_CUIT[#All],3,0)),"CUIT NO CARGADO")</f>
        <v>Gastos Varios</v>
      </c>
      <c r="R100" s="215">
        <f>IFERROR(IF(compras_mes8[[#This Row],[CUIT]]="","-",VLOOKUP(compras_mes8[[#This Row],[CUIT]],Lista_CUIT[#All],4,0)),"CUIT NO CARGADO")</f>
        <v>0</v>
      </c>
      <c r="T100" s="33"/>
    </row>
    <row r="101" spans="2:20" x14ac:dyDescent="0.25">
      <c r="B101" s="207" t="s">
        <v>2745</v>
      </c>
      <c r="C101" s="208">
        <v>1</v>
      </c>
      <c r="D101" s="209">
        <v>2188</v>
      </c>
      <c r="E101" s="225">
        <v>154845</v>
      </c>
      <c r="F101" s="210">
        <v>30548083156</v>
      </c>
      <c r="G101" s="211" t="str">
        <f>IFERROR(IF(compras_mes8[[#This Row],[CUIT]]="","-",VLOOKUP(compras_mes8[[#This Row],[CUIT]],Lista_CUIT[#All],2,0)),"CUIT NO CARGADO")</f>
        <v>COTO CENTRO INTEGRAL DE COMERCIALIZACION SOCIEDAD ANONIMA</v>
      </c>
      <c r="H101" s="212">
        <v>61931.199999999997</v>
      </c>
      <c r="I101" s="213">
        <v>10342.32</v>
      </c>
      <c r="J101" s="213"/>
      <c r="K101" s="213">
        <v>1331.61</v>
      </c>
      <c r="L101" s="213"/>
      <c r="M101" s="213"/>
      <c r="N101" s="213"/>
      <c r="O101" s="213">
        <v>5216.97</v>
      </c>
      <c r="P101" s="214">
        <f>SUM(compras_mes8[[#This Row],[NETO GRAVADO]:[Otros / No Grav.]])</f>
        <v>78822.099999999991</v>
      </c>
      <c r="Q101" s="215" t="str">
        <f>IFERROR(IF(compras_mes8[[#This Row],[CUIT]]="","-",VLOOKUP(compras_mes8[[#This Row],[CUIT]],Lista_CUIT[#All],3,0)),"CUIT NO CARGADO")</f>
        <v>Gastos Varios</v>
      </c>
      <c r="R101" s="215">
        <f>IFERROR(IF(compras_mes8[[#This Row],[CUIT]]="","-",VLOOKUP(compras_mes8[[#This Row],[CUIT]],Lista_CUIT[#All],4,0)),"CUIT NO CARGADO")</f>
        <v>0</v>
      </c>
      <c r="T101" s="33"/>
    </row>
    <row r="102" spans="2:20" x14ac:dyDescent="0.25">
      <c r="B102" s="207" t="s">
        <v>2770</v>
      </c>
      <c r="C102" s="208">
        <v>1</v>
      </c>
      <c r="D102" s="209">
        <v>4</v>
      </c>
      <c r="E102" s="225">
        <v>606</v>
      </c>
      <c r="F102" s="210">
        <v>27317740196</v>
      </c>
      <c r="G102" s="211" t="str">
        <f>IFERROR(IF(compras_mes8[[#This Row],[CUIT]]="","-",VLOOKUP(compras_mes8[[#This Row],[CUIT]],Lista_CUIT[#All],2,0)),"CUIT NO CARGADO")</f>
        <v>HOKAMA ROMINA PAOLA</v>
      </c>
      <c r="H102" s="212">
        <v>47763.65</v>
      </c>
      <c r="I102" s="213">
        <f>IF(compras_mes8[[#This Row],[NETO GRAVADO]]="","",compras_mes8[[#This Row],[NETO GRAVADO]]*0.21)</f>
        <v>10030.3665</v>
      </c>
      <c r="J102" s="213"/>
      <c r="K102" s="213"/>
      <c r="L102" s="213"/>
      <c r="M102" s="213"/>
      <c r="N102" s="213"/>
      <c r="O102" s="213"/>
      <c r="P102" s="214">
        <f>SUM(compras_mes8[[#This Row],[NETO GRAVADO]:[Otros / No Grav.]])</f>
        <v>57794.016499999998</v>
      </c>
      <c r="Q102" s="215" t="str">
        <f>IFERROR(IF(compras_mes8[[#This Row],[CUIT]]="","-",VLOOKUP(compras_mes8[[#This Row],[CUIT]],Lista_CUIT[#All],3,0)),"CUIT NO CARGADO")</f>
        <v>Gastos Varios</v>
      </c>
      <c r="R102" s="215">
        <f>IFERROR(IF(compras_mes8[[#This Row],[CUIT]]="","-",VLOOKUP(compras_mes8[[#This Row],[CUIT]],Lista_CUIT[#All],4,0)),"CUIT NO CARGADO")</f>
        <v>0</v>
      </c>
      <c r="T102" s="33"/>
    </row>
    <row r="103" spans="2:20" x14ac:dyDescent="0.25">
      <c r="B103" s="207" t="s">
        <v>2747</v>
      </c>
      <c r="C103" s="208">
        <v>1</v>
      </c>
      <c r="D103" s="209">
        <v>4</v>
      </c>
      <c r="E103" s="225">
        <v>50</v>
      </c>
      <c r="F103" s="210">
        <v>20262815367</v>
      </c>
      <c r="G103" s="211" t="str">
        <f>IFERROR(IF(compras_mes8[[#This Row],[CUIT]]="","-",VLOOKUP(compras_mes8[[#This Row],[CUIT]],Lista_CUIT[#All],2,0)),"CUIT NO CARGADO")</f>
        <v>CARDARELLO BASAVILBASO FEDERICO JORGE</v>
      </c>
      <c r="H103" s="212">
        <v>28429.75</v>
      </c>
      <c r="I103" s="213">
        <f>IF(compras_mes8[[#This Row],[NETO GRAVADO]]="","",compras_mes8[[#This Row],[NETO GRAVADO]]*0.21)</f>
        <v>5970.2474999999995</v>
      </c>
      <c r="J103" s="213"/>
      <c r="K103" s="213"/>
      <c r="L103" s="213"/>
      <c r="M103" s="213"/>
      <c r="N103" s="213"/>
      <c r="O103" s="213"/>
      <c r="P103" s="353">
        <f>SUM(compras_mes8[[#This Row],[NETO GRAVADO]:[Otros / No Grav.]])</f>
        <v>34399.997499999998</v>
      </c>
      <c r="Q103" s="215" t="str">
        <f>IFERROR(IF(compras_mes8[[#This Row],[CUIT]]="","-",VLOOKUP(compras_mes8[[#This Row],[CUIT]],Lista_CUIT[#All],3,0)),"CUIT NO CARGADO")</f>
        <v>Gastos Varios</v>
      </c>
      <c r="R103" s="215">
        <f>IFERROR(IF(compras_mes8[[#This Row],[CUIT]]="","-",VLOOKUP(compras_mes8[[#This Row],[CUIT]],Lista_CUIT[#All],4,0)),"CUIT NO CARGADO")</f>
        <v>0</v>
      </c>
      <c r="T103" s="33"/>
    </row>
    <row r="104" spans="2:20" x14ac:dyDescent="0.25">
      <c r="B104" s="207" t="s">
        <v>2760</v>
      </c>
      <c r="C104" s="208">
        <v>1</v>
      </c>
      <c r="D104" s="209">
        <v>1666</v>
      </c>
      <c r="E104" s="225">
        <v>23040</v>
      </c>
      <c r="F104" s="210">
        <v>30589621499</v>
      </c>
      <c r="G104" s="211" t="str">
        <f>IFERROR(IF(compras_mes8[[#This Row],[CUIT]]="","-",VLOOKUP(compras_mes8[[#This Row],[CUIT]],Lista_CUIT[#All],2,0)),"CUIT NO CARGADO")</f>
        <v>MAKRO SA</v>
      </c>
      <c r="H104" s="212">
        <v>72657.710000000006</v>
      </c>
      <c r="I104" s="213">
        <f>IF(compras_mes8[[#This Row],[NETO GRAVADO]]="","",compras_mes8[[#This Row],[NETO GRAVADO]]*0.21)</f>
        <v>15258.1191</v>
      </c>
      <c r="J104" s="213"/>
      <c r="K104" s="213"/>
      <c r="L104" s="213"/>
      <c r="M104" s="213"/>
      <c r="N104" s="213"/>
      <c r="O104" s="213">
        <v>6539.19</v>
      </c>
      <c r="P104" s="353">
        <f>SUM(compras_mes8[[#This Row],[NETO GRAVADO]:[Otros / No Grav.]])</f>
        <v>94455.019100000005</v>
      </c>
      <c r="Q104" s="215" t="str">
        <f>IFERROR(IF(compras_mes8[[#This Row],[CUIT]]="","-",VLOOKUP(compras_mes8[[#This Row],[CUIT]],Lista_CUIT[#All],3,0)),"CUIT NO CARGADO")</f>
        <v>Gastos Varios</v>
      </c>
      <c r="R104" s="215">
        <f>IFERROR(IF(compras_mes8[[#This Row],[CUIT]]="","-",VLOOKUP(compras_mes8[[#This Row],[CUIT]],Lista_CUIT[#All],4,0)),"CUIT NO CARGADO")</f>
        <v>0</v>
      </c>
      <c r="T104" s="33"/>
    </row>
    <row r="105" spans="2:20" x14ac:dyDescent="0.25">
      <c r="B105" s="207" t="s">
        <v>2772</v>
      </c>
      <c r="C105" s="208">
        <v>1</v>
      </c>
      <c r="D105" s="209">
        <v>6</v>
      </c>
      <c r="E105" s="225">
        <v>905</v>
      </c>
      <c r="F105" s="210">
        <v>30717906833</v>
      </c>
      <c r="G105" s="211" t="str">
        <f>IFERROR(IF(compras_mes8[[#This Row],[CUIT]]="","-",VLOOKUP(compras_mes8[[#This Row],[CUIT]],Lista_CUIT[#All],2,0)),"CUIT NO CARGADO")</f>
        <v>WALJUL</v>
      </c>
      <c r="H105" s="212">
        <v>55371.91</v>
      </c>
      <c r="I105" s="213">
        <f>IF(compras_mes8[[#This Row],[NETO GRAVADO]]="","",compras_mes8[[#This Row],[NETO GRAVADO]]*0.21)</f>
        <v>11628.1011</v>
      </c>
      <c r="J105" s="213"/>
      <c r="K105" s="213"/>
      <c r="L105" s="213"/>
      <c r="M105" s="213"/>
      <c r="N105" s="213"/>
      <c r="O105" s="213"/>
      <c r="P105" s="353">
        <f>SUM(compras_mes8[[#This Row],[NETO GRAVADO]:[Otros / No Grav.]])</f>
        <v>67000.011100000003</v>
      </c>
      <c r="Q105" s="215" t="str">
        <f>IFERROR(IF(compras_mes8[[#This Row],[CUIT]]="","-",VLOOKUP(compras_mes8[[#This Row],[CUIT]],Lista_CUIT[#All],3,0)),"CUIT NO CARGADO")</f>
        <v>Gastos Varios</v>
      </c>
      <c r="R105" s="215">
        <f>IFERROR(IF(compras_mes8[[#This Row],[CUIT]]="","-",VLOOKUP(compras_mes8[[#This Row],[CUIT]],Lista_CUIT[#All],4,0)),"CUIT NO CARGADO")</f>
        <v>0</v>
      </c>
      <c r="T105" s="33"/>
    </row>
    <row r="106" spans="2:20" x14ac:dyDescent="0.25">
      <c r="B106" s="207" t="s">
        <v>2772</v>
      </c>
      <c r="C106" s="208">
        <v>1</v>
      </c>
      <c r="D106" s="209">
        <v>2199</v>
      </c>
      <c r="E106" s="225">
        <v>38536</v>
      </c>
      <c r="F106" s="210">
        <v>30548083156</v>
      </c>
      <c r="G106" s="211" t="str">
        <f>IFERROR(IF(compras_mes8[[#This Row],[CUIT]]="","-",VLOOKUP(compras_mes8[[#This Row],[CUIT]],Lista_CUIT[#All],2,0)),"CUIT NO CARGADO")</f>
        <v>COTO CENTRO INTEGRAL DE COMERCIALIZACION SOCIEDAD ANONIMA</v>
      </c>
      <c r="H106" s="212">
        <v>96414.3</v>
      </c>
      <c r="I106" s="213">
        <v>18161.2</v>
      </c>
      <c r="J106" s="213"/>
      <c r="K106" s="213">
        <v>1042.9000000000001</v>
      </c>
      <c r="L106" s="213"/>
      <c r="M106" s="213"/>
      <c r="N106" s="213"/>
      <c r="O106" s="213">
        <v>8368</v>
      </c>
      <c r="P106" s="353">
        <f>SUM(compras_mes8[[#This Row],[NETO GRAVADO]:[Otros / No Grav.]])</f>
        <v>123986.4</v>
      </c>
      <c r="Q106" s="215" t="str">
        <f>IFERROR(IF(compras_mes8[[#This Row],[CUIT]]="","-",VLOOKUP(compras_mes8[[#This Row],[CUIT]],Lista_CUIT[#All],3,0)),"CUIT NO CARGADO")</f>
        <v>Gastos Varios</v>
      </c>
      <c r="R106" s="215">
        <f>IFERROR(IF(compras_mes8[[#This Row],[CUIT]]="","-",VLOOKUP(compras_mes8[[#This Row],[CUIT]],Lista_CUIT[#All],4,0)),"CUIT NO CARGADO")</f>
        <v>0</v>
      </c>
      <c r="T106" s="33"/>
    </row>
    <row r="107" spans="2:20" x14ac:dyDescent="0.25">
      <c r="B107" s="207" t="s">
        <v>2772</v>
      </c>
      <c r="C107" s="208">
        <v>1</v>
      </c>
      <c r="D107" s="209">
        <v>4</v>
      </c>
      <c r="E107" s="225">
        <v>2874</v>
      </c>
      <c r="F107" s="210">
        <v>23177130079</v>
      </c>
      <c r="G107" s="211" t="str">
        <f>IFERROR(IF(compras_mes8[[#This Row],[CUIT]]="","-",VLOOKUP(compras_mes8[[#This Row],[CUIT]],Lista_CUIT[#All],2,0)),"CUIT NO CARGADO")</f>
        <v>NATALI HUGO ARIEL</v>
      </c>
      <c r="H107" s="212">
        <v>13223.14</v>
      </c>
      <c r="I107" s="213">
        <f>IF(compras_mes8[[#This Row],[NETO GRAVADO]]="","",compras_mes8[[#This Row],[NETO GRAVADO]]*0.21)</f>
        <v>2776.8593999999998</v>
      </c>
      <c r="J107" s="213"/>
      <c r="K107" s="213"/>
      <c r="L107" s="213"/>
      <c r="M107" s="213"/>
      <c r="N107" s="213"/>
      <c r="O107" s="213"/>
      <c r="P107" s="353">
        <f>SUM(compras_mes8[[#This Row],[NETO GRAVADO]:[Otros / No Grav.]])</f>
        <v>15999.999399999999</v>
      </c>
      <c r="Q107" s="215" t="str">
        <f>IFERROR(IF(compras_mes8[[#This Row],[CUIT]]="","-",VLOOKUP(compras_mes8[[#This Row],[CUIT]],Lista_CUIT[#All],3,0)),"CUIT NO CARGADO")</f>
        <v>Gastos Varios</v>
      </c>
      <c r="R107" s="215">
        <f>IFERROR(IF(compras_mes8[[#This Row],[CUIT]]="","-",VLOOKUP(compras_mes8[[#This Row],[CUIT]],Lista_CUIT[#All],4,0)),"CUIT NO CARGADO")</f>
        <v>0</v>
      </c>
      <c r="T107" s="33"/>
    </row>
    <row r="108" spans="2:20" x14ac:dyDescent="0.25">
      <c r="B108" s="207" t="s">
        <v>2750</v>
      </c>
      <c r="C108" s="208">
        <v>1</v>
      </c>
      <c r="D108" s="209">
        <v>2084</v>
      </c>
      <c r="E108" s="225">
        <v>31022</v>
      </c>
      <c r="F108" s="210">
        <v>30548083156</v>
      </c>
      <c r="G108" s="211" t="str">
        <f>IFERROR(IF(compras_mes8[[#This Row],[CUIT]]="","-",VLOOKUP(compras_mes8[[#This Row],[CUIT]],Lista_CUIT[#All],2,0)),"CUIT NO CARGADO")</f>
        <v>COTO CENTRO INTEGRAL DE COMERCIALIZACION SOCIEDAD ANONIMA</v>
      </c>
      <c r="H108" s="212">
        <v>50075.66</v>
      </c>
      <c r="I108" s="213">
        <f>IF(compras_mes8[[#This Row],[NETO GRAVADO]]="","",compras_mes8[[#This Row],[NETO GRAVADO]]*0.21)</f>
        <v>10515.8886</v>
      </c>
      <c r="J108" s="213"/>
      <c r="K108" s="213"/>
      <c r="L108" s="213"/>
      <c r="M108" s="213"/>
      <c r="N108" s="213"/>
      <c r="O108" s="213">
        <v>4407.6899999999996</v>
      </c>
      <c r="P108" s="353">
        <f>SUM(compras_mes8[[#This Row],[NETO GRAVADO]:[Otros / No Grav.]])</f>
        <v>64999.238600000004</v>
      </c>
      <c r="Q108" s="215" t="str">
        <f>IFERROR(IF(compras_mes8[[#This Row],[CUIT]]="","-",VLOOKUP(compras_mes8[[#This Row],[CUIT]],Lista_CUIT[#All],3,0)),"CUIT NO CARGADO")</f>
        <v>Gastos Varios</v>
      </c>
      <c r="R108" s="215">
        <f>IFERROR(IF(compras_mes8[[#This Row],[CUIT]]="","-",VLOOKUP(compras_mes8[[#This Row],[CUIT]],Lista_CUIT[#All],4,0)),"CUIT NO CARGADO")</f>
        <v>0</v>
      </c>
      <c r="T108" s="33"/>
    </row>
    <row r="109" spans="2:20" x14ac:dyDescent="0.25">
      <c r="B109" s="207" t="s">
        <v>2751</v>
      </c>
      <c r="C109" s="208">
        <v>1</v>
      </c>
      <c r="D109" s="209">
        <v>2188</v>
      </c>
      <c r="E109" s="225">
        <v>155565</v>
      </c>
      <c r="F109" s="210">
        <v>30548083156</v>
      </c>
      <c r="G109" s="211" t="str">
        <f>IFERROR(IF(compras_mes8[[#This Row],[CUIT]]="","-",VLOOKUP(compras_mes8[[#This Row],[CUIT]],Lista_CUIT[#All],2,0)),"CUIT NO CARGADO")</f>
        <v>COTO CENTRO INTEGRAL DE COMERCIALIZACION SOCIEDAD ANONIMA</v>
      </c>
      <c r="H109" s="212">
        <v>46697.35</v>
      </c>
      <c r="I109" s="213">
        <v>7476.28</v>
      </c>
      <c r="J109" s="213"/>
      <c r="K109" s="213">
        <v>1165.08</v>
      </c>
      <c r="L109" s="213"/>
      <c r="M109" s="213"/>
      <c r="N109" s="213"/>
      <c r="O109" s="213">
        <v>3797.62</v>
      </c>
      <c r="P109" s="353">
        <f>SUM(compras_mes8[[#This Row],[NETO GRAVADO]:[Otros / No Grav.]])</f>
        <v>59136.33</v>
      </c>
      <c r="Q109" s="215" t="str">
        <f>IFERROR(IF(compras_mes8[[#This Row],[CUIT]]="","-",VLOOKUP(compras_mes8[[#This Row],[CUIT]],Lista_CUIT[#All],3,0)),"CUIT NO CARGADO")</f>
        <v>Gastos Varios</v>
      </c>
      <c r="R109" s="215">
        <f>IFERROR(IF(compras_mes8[[#This Row],[CUIT]]="","-",VLOOKUP(compras_mes8[[#This Row],[CUIT]],Lista_CUIT[#All],4,0)),"CUIT NO CARGADO")</f>
        <v>0</v>
      </c>
      <c r="T109" s="33"/>
    </row>
    <row r="110" spans="2:20" x14ac:dyDescent="0.25">
      <c r="B110" s="207" t="s">
        <v>2752</v>
      </c>
      <c r="C110" s="208">
        <v>1</v>
      </c>
      <c r="D110" s="209">
        <v>2199</v>
      </c>
      <c r="E110" s="225">
        <v>38600</v>
      </c>
      <c r="F110" s="210">
        <v>30548083156</v>
      </c>
      <c r="G110" s="211" t="str">
        <f>IFERROR(IF(compras_mes8[[#This Row],[CUIT]]="","-",VLOOKUP(compras_mes8[[#This Row],[CUIT]],Lista_CUIT[#All],2,0)),"CUIT NO CARGADO")</f>
        <v>COTO CENTRO INTEGRAL DE COMERCIALIZACION SOCIEDAD ANONIMA</v>
      </c>
      <c r="H110" s="212">
        <v>49293.43</v>
      </c>
      <c r="I110" s="213">
        <v>10148.33</v>
      </c>
      <c r="J110" s="213"/>
      <c r="K110" s="213">
        <v>101.65</v>
      </c>
      <c r="L110" s="213"/>
      <c r="M110" s="213"/>
      <c r="N110" s="213"/>
      <c r="O110" s="213">
        <v>4027.56</v>
      </c>
      <c r="P110" s="353">
        <f>SUM(compras_mes8[[#This Row],[NETO GRAVADO]:[Otros / No Grav.]])</f>
        <v>63570.97</v>
      </c>
      <c r="Q110" s="215" t="str">
        <f>IFERROR(IF(compras_mes8[[#This Row],[CUIT]]="","-",VLOOKUP(compras_mes8[[#This Row],[CUIT]],Lista_CUIT[#All],3,0)),"CUIT NO CARGADO")</f>
        <v>Gastos Varios</v>
      </c>
      <c r="R110" s="215">
        <f>IFERROR(IF(compras_mes8[[#This Row],[CUIT]]="","-",VLOOKUP(compras_mes8[[#This Row],[CUIT]],Lista_CUIT[#All],4,0)),"CUIT NO CARGADO")</f>
        <v>0</v>
      </c>
      <c r="T110" s="33"/>
    </row>
    <row r="111" spans="2:20" x14ac:dyDescent="0.25">
      <c r="B111" s="207" t="s">
        <v>2752</v>
      </c>
      <c r="C111" s="208">
        <v>1</v>
      </c>
      <c r="D111" s="209">
        <v>14</v>
      </c>
      <c r="E111" s="225">
        <v>96051</v>
      </c>
      <c r="F111" s="210">
        <v>30711069360</v>
      </c>
      <c r="G111" s="211" t="str">
        <f>IFERROR(IF(compras_mes8[[#This Row],[CUIT]]="","-",VLOOKUP(compras_mes8[[#This Row],[CUIT]],Lista_CUIT[#All],2,0)),"CUIT NO CARGADO")</f>
        <v>BIDCOM SRL</v>
      </c>
      <c r="H111" s="212">
        <v>30284.61</v>
      </c>
      <c r="I111" s="213">
        <v>1032.99</v>
      </c>
      <c r="J111" s="213"/>
      <c r="K111" s="213">
        <v>2663.39</v>
      </c>
      <c r="L111" s="213"/>
      <c r="M111" s="213"/>
      <c r="N111" s="213"/>
      <c r="O111" s="213"/>
      <c r="P111" s="353">
        <f>SUM(compras_mes8[[#This Row],[NETO GRAVADO]:[Otros / No Grav.]])</f>
        <v>33980.990000000005</v>
      </c>
      <c r="Q111" s="215" t="str">
        <f>IFERROR(IF(compras_mes8[[#This Row],[CUIT]]="","-",VLOOKUP(compras_mes8[[#This Row],[CUIT]],Lista_CUIT[#All],3,0)),"CUIT NO CARGADO")</f>
        <v>Gastos Varios</v>
      </c>
      <c r="R111" s="215">
        <f>IFERROR(IF(compras_mes8[[#This Row],[CUIT]]="","-",VLOOKUP(compras_mes8[[#This Row],[CUIT]],Lista_CUIT[#All],4,0)),"CUIT NO CARGADO")</f>
        <v>0</v>
      </c>
      <c r="T111" s="33"/>
    </row>
    <row r="112" spans="2:20" x14ac:dyDescent="0.25">
      <c r="B112" s="207" t="s">
        <v>2753</v>
      </c>
      <c r="C112" s="208">
        <v>1</v>
      </c>
      <c r="D112" s="209">
        <v>1677</v>
      </c>
      <c r="E112" s="225">
        <v>69172</v>
      </c>
      <c r="F112" s="210">
        <v>30589621499</v>
      </c>
      <c r="G112" s="211" t="str">
        <f>IFERROR(IF(compras_mes8[[#This Row],[CUIT]]="","-",VLOOKUP(compras_mes8[[#This Row],[CUIT]],Lista_CUIT[#All],2,0)),"CUIT NO CARGADO")</f>
        <v>MAKRO SA</v>
      </c>
      <c r="H112" s="212">
        <v>166770.60999999999</v>
      </c>
      <c r="I112" s="213">
        <f>IF(compras_mes8[[#This Row],[NETO GRAVADO]]="","",compras_mes8[[#This Row],[NETO GRAVADO]]*0.21)</f>
        <v>35021.828099999999</v>
      </c>
      <c r="J112" s="213"/>
      <c r="K112" s="213"/>
      <c r="L112" s="213"/>
      <c r="M112" s="213"/>
      <c r="N112" s="213"/>
      <c r="O112" s="213">
        <v>15551.33</v>
      </c>
      <c r="P112" s="353">
        <f>SUM(compras_mes8[[#This Row],[NETO GRAVADO]:[Otros / No Grav.]])</f>
        <v>217343.76809999996</v>
      </c>
      <c r="Q112" s="215" t="str">
        <f>IFERROR(IF(compras_mes8[[#This Row],[CUIT]]="","-",VLOOKUP(compras_mes8[[#This Row],[CUIT]],Lista_CUIT[#All],3,0)),"CUIT NO CARGADO")</f>
        <v>Gastos Varios</v>
      </c>
      <c r="R112" s="215">
        <f>IFERROR(IF(compras_mes8[[#This Row],[CUIT]]="","-",VLOOKUP(compras_mes8[[#This Row],[CUIT]],Lista_CUIT[#All],4,0)),"CUIT NO CARGADO")</f>
        <v>0</v>
      </c>
      <c r="T112" s="33"/>
    </row>
    <row r="113" spans="2:20" x14ac:dyDescent="0.25">
      <c r="B113" s="207" t="s">
        <v>2754</v>
      </c>
      <c r="C113" s="208">
        <v>1</v>
      </c>
      <c r="D113" s="209">
        <v>2</v>
      </c>
      <c r="E113" s="225">
        <v>2466</v>
      </c>
      <c r="F113" s="210">
        <v>20184094526</v>
      </c>
      <c r="G113" s="211" t="str">
        <f>IFERROR(IF(compras_mes8[[#This Row],[CUIT]]="","-",VLOOKUP(compras_mes8[[#This Row],[CUIT]],Lista_CUIT[#All],2,0)),"CUIT NO CARGADO")</f>
        <v>Di Blasio Carlos</v>
      </c>
      <c r="H113" s="212">
        <v>112000</v>
      </c>
      <c r="I113" s="213">
        <f>IF(compras_mes8[[#This Row],[NETO GRAVADO]]="","",compras_mes8[[#This Row],[NETO GRAVADO]]*0.21)</f>
        <v>23520</v>
      </c>
      <c r="J113" s="213"/>
      <c r="K113" s="213"/>
      <c r="L113" s="213"/>
      <c r="M113" s="213"/>
      <c r="N113" s="213"/>
      <c r="O113" s="213"/>
      <c r="P113" s="353">
        <f>SUM(compras_mes8[[#This Row],[NETO GRAVADO]:[Otros / No Grav.]])</f>
        <v>135520</v>
      </c>
      <c r="Q113" s="215" t="str">
        <f>IFERROR(IF(compras_mes8[[#This Row],[CUIT]]="","-",VLOOKUP(compras_mes8[[#This Row],[CUIT]],Lista_CUIT[#All],3,0)),"CUIT NO CARGADO")</f>
        <v>Gastos Varios</v>
      </c>
      <c r="R113" s="215">
        <f>IFERROR(IF(compras_mes8[[#This Row],[CUIT]]="","-",VLOOKUP(compras_mes8[[#This Row],[CUIT]],Lista_CUIT[#All],4,0)),"CUIT NO CARGADO")</f>
        <v>0</v>
      </c>
      <c r="T113" s="33"/>
    </row>
    <row r="114" spans="2:20" x14ac:dyDescent="0.25">
      <c r="B114" s="207" t="s">
        <v>2754</v>
      </c>
      <c r="C114" s="208">
        <v>1</v>
      </c>
      <c r="D114" s="209">
        <v>2</v>
      </c>
      <c r="E114" s="225">
        <v>2467</v>
      </c>
      <c r="F114" s="210">
        <v>20184094526</v>
      </c>
      <c r="G114" s="211" t="str">
        <f>IFERROR(IF(compras_mes8[[#This Row],[CUIT]]="","-",VLOOKUP(compras_mes8[[#This Row],[CUIT]],Lista_CUIT[#All],2,0)),"CUIT NO CARGADO")</f>
        <v>Di Blasio Carlos</v>
      </c>
      <c r="H114" s="212">
        <v>1108400</v>
      </c>
      <c r="I114" s="213">
        <f>IF(compras_mes8[[#This Row],[NETO GRAVADO]]="","",compras_mes8[[#This Row],[NETO GRAVADO]]*0.21)</f>
        <v>232764</v>
      </c>
      <c r="J114" s="213"/>
      <c r="K114" s="213"/>
      <c r="L114" s="213"/>
      <c r="M114" s="213"/>
      <c r="N114" s="213"/>
      <c r="O114" s="213"/>
      <c r="P114" s="353">
        <f>SUM(compras_mes8[[#This Row],[NETO GRAVADO]:[Otros / No Grav.]])</f>
        <v>1341164</v>
      </c>
      <c r="Q114" s="215" t="str">
        <f>IFERROR(IF(compras_mes8[[#This Row],[CUIT]]="","-",VLOOKUP(compras_mes8[[#This Row],[CUIT]],Lista_CUIT[#All],3,0)),"CUIT NO CARGADO")</f>
        <v>Gastos Varios</v>
      </c>
      <c r="R114" s="215">
        <f>IFERROR(IF(compras_mes8[[#This Row],[CUIT]]="","-",VLOOKUP(compras_mes8[[#This Row],[CUIT]],Lista_CUIT[#All],4,0)),"CUIT NO CARGADO")</f>
        <v>0</v>
      </c>
      <c r="T114" s="33"/>
    </row>
    <row r="115" spans="2:20" x14ac:dyDescent="0.25">
      <c r="B115" s="207" t="s">
        <v>2755</v>
      </c>
      <c r="C115" s="208">
        <v>1</v>
      </c>
      <c r="D115" s="209">
        <v>2084</v>
      </c>
      <c r="E115" s="225">
        <v>31106</v>
      </c>
      <c r="F115" s="210">
        <v>30548083156</v>
      </c>
      <c r="G115" s="211" t="str">
        <f>IFERROR(IF(compras_mes8[[#This Row],[CUIT]]="","-",VLOOKUP(compras_mes8[[#This Row],[CUIT]],Lista_CUIT[#All],2,0)),"CUIT NO CARGADO")</f>
        <v>COTO CENTRO INTEGRAL DE COMERCIALIZACION SOCIEDAD ANONIMA</v>
      </c>
      <c r="H115" s="212">
        <v>42285.31</v>
      </c>
      <c r="I115" s="213">
        <f>IF(compras_mes8[[#This Row],[NETO GRAVADO]]="","",compras_mes8[[#This Row],[NETO GRAVADO]]*0.21)</f>
        <v>8879.9150999999983</v>
      </c>
      <c r="J115" s="213"/>
      <c r="K115" s="213"/>
      <c r="L115" s="213"/>
      <c r="M115" s="213"/>
      <c r="N115" s="213"/>
      <c r="O115" s="213">
        <v>3588.37</v>
      </c>
      <c r="P115" s="353">
        <f>SUM(compras_mes8[[#This Row],[NETO GRAVADO]:[Otros / No Grav.]])</f>
        <v>54753.595099999999</v>
      </c>
      <c r="Q115" s="215" t="str">
        <f>IFERROR(IF(compras_mes8[[#This Row],[CUIT]]="","-",VLOOKUP(compras_mes8[[#This Row],[CUIT]],Lista_CUIT[#All],3,0)),"CUIT NO CARGADO")</f>
        <v>Gastos Varios</v>
      </c>
      <c r="R115" s="215">
        <f>IFERROR(IF(compras_mes8[[#This Row],[CUIT]]="","-",VLOOKUP(compras_mes8[[#This Row],[CUIT]],Lista_CUIT[#All],4,0)),"CUIT NO CARGADO")</f>
        <v>0</v>
      </c>
      <c r="T115" s="33"/>
    </row>
    <row r="116" spans="2:20" x14ac:dyDescent="0.25">
      <c r="B116" s="207" t="s">
        <v>2755</v>
      </c>
      <c r="C116" s="208">
        <v>1</v>
      </c>
      <c r="D116" s="209">
        <v>2188</v>
      </c>
      <c r="E116" s="225">
        <v>155897</v>
      </c>
      <c r="F116" s="210">
        <v>30548083156</v>
      </c>
      <c r="G116" s="211" t="str">
        <f>IFERROR(IF(compras_mes8[[#This Row],[CUIT]]="","-",VLOOKUP(compras_mes8[[#This Row],[CUIT]],Lista_CUIT[#All],2,0)),"CUIT NO CARGADO")</f>
        <v>COTO CENTRO INTEGRAL DE COMERCIALIZACION SOCIEDAD ANONIMA</v>
      </c>
      <c r="H116" s="212">
        <v>85339.54</v>
      </c>
      <c r="I116" s="213">
        <v>15765.94</v>
      </c>
      <c r="J116" s="213"/>
      <c r="K116" s="213">
        <v>1077.68</v>
      </c>
      <c r="L116" s="213"/>
      <c r="M116" s="213"/>
      <c r="N116" s="213"/>
      <c r="O116" s="213">
        <v>7420.94</v>
      </c>
      <c r="P116" s="353">
        <f>SUM(compras_mes8[[#This Row],[NETO GRAVADO]:[Otros / No Grav.]])</f>
        <v>109604.09999999999</v>
      </c>
      <c r="Q116" s="215" t="str">
        <f>IFERROR(IF(compras_mes8[[#This Row],[CUIT]]="","-",VLOOKUP(compras_mes8[[#This Row],[CUIT]],Lista_CUIT[#All],3,0)),"CUIT NO CARGADO")</f>
        <v>Gastos Varios</v>
      </c>
      <c r="R116" s="215">
        <f>IFERROR(IF(compras_mes8[[#This Row],[CUIT]]="","-",VLOOKUP(compras_mes8[[#This Row],[CUIT]],Lista_CUIT[#All],4,0)),"CUIT NO CARGADO")</f>
        <v>0</v>
      </c>
      <c r="T116" s="33"/>
    </row>
    <row r="117" spans="2:20" x14ac:dyDescent="0.25">
      <c r="B117" s="207" t="s">
        <v>2755</v>
      </c>
      <c r="C117" s="208">
        <v>1</v>
      </c>
      <c r="D117" s="209">
        <v>2</v>
      </c>
      <c r="E117" s="225">
        <v>2469</v>
      </c>
      <c r="F117" s="210">
        <v>20184094526</v>
      </c>
      <c r="G117" s="211" t="str">
        <f>IFERROR(IF(compras_mes8[[#This Row],[CUIT]]="","-",VLOOKUP(compras_mes8[[#This Row],[CUIT]],Lista_CUIT[#All],2,0)),"CUIT NO CARGADO")</f>
        <v>Di Blasio Carlos</v>
      </c>
      <c r="H117" s="212">
        <v>80000</v>
      </c>
      <c r="I117" s="213">
        <f>IF(compras_mes8[[#This Row],[NETO GRAVADO]]="","",compras_mes8[[#This Row],[NETO GRAVADO]]*0.21)</f>
        <v>16800</v>
      </c>
      <c r="J117" s="213"/>
      <c r="K117" s="213"/>
      <c r="L117" s="213"/>
      <c r="M117" s="213"/>
      <c r="N117" s="213"/>
      <c r="O117" s="213"/>
      <c r="P117" s="353">
        <f>SUM(compras_mes8[[#This Row],[NETO GRAVADO]:[Otros / No Grav.]])</f>
        <v>96800</v>
      </c>
      <c r="Q117" s="215" t="str">
        <f>IFERROR(IF(compras_mes8[[#This Row],[CUIT]]="","-",VLOOKUP(compras_mes8[[#This Row],[CUIT]],Lista_CUIT[#All],3,0)),"CUIT NO CARGADO")</f>
        <v>Gastos Varios</v>
      </c>
      <c r="R117" s="215">
        <f>IFERROR(IF(compras_mes8[[#This Row],[CUIT]]="","-",VLOOKUP(compras_mes8[[#This Row],[CUIT]],Lista_CUIT[#All],4,0)),"CUIT NO CARGADO")</f>
        <v>0</v>
      </c>
      <c r="T117" s="33"/>
    </row>
    <row r="118" spans="2:20" x14ac:dyDescent="0.25">
      <c r="B118" s="207" t="s">
        <v>2773</v>
      </c>
      <c r="C118" s="208">
        <v>1</v>
      </c>
      <c r="D118" s="209">
        <v>4</v>
      </c>
      <c r="E118" s="225">
        <v>51</v>
      </c>
      <c r="F118" s="210">
        <v>20262815367</v>
      </c>
      <c r="G118" s="211" t="str">
        <f>IFERROR(IF(compras_mes8[[#This Row],[CUIT]]="","-",VLOOKUP(compras_mes8[[#This Row],[CUIT]],Lista_CUIT[#All],2,0)),"CUIT NO CARGADO")</f>
        <v>CARDARELLO BASAVILBASO FEDERICO JORGE</v>
      </c>
      <c r="H118" s="212">
        <v>73388.429999999993</v>
      </c>
      <c r="I118" s="213">
        <f>IF(compras_mes8[[#This Row],[NETO GRAVADO]]="","",compras_mes8[[#This Row],[NETO GRAVADO]]*0.21)</f>
        <v>15411.570299999998</v>
      </c>
      <c r="J118" s="213"/>
      <c r="K118" s="213"/>
      <c r="L118" s="213"/>
      <c r="M118" s="213"/>
      <c r="N118" s="213"/>
      <c r="O118" s="213"/>
      <c r="P118" s="353">
        <f>SUM(compras_mes8[[#This Row],[NETO GRAVADO]:[Otros / No Grav.]])</f>
        <v>88800.000299999985</v>
      </c>
      <c r="Q118" s="215" t="str">
        <f>IFERROR(IF(compras_mes8[[#This Row],[CUIT]]="","-",VLOOKUP(compras_mes8[[#This Row],[CUIT]],Lista_CUIT[#All],3,0)),"CUIT NO CARGADO")</f>
        <v>Gastos Varios</v>
      </c>
      <c r="R118" s="215">
        <f>IFERROR(IF(compras_mes8[[#This Row],[CUIT]]="","-",VLOOKUP(compras_mes8[[#This Row],[CUIT]],Lista_CUIT[#All],4,0)),"CUIT NO CARGADO")</f>
        <v>0</v>
      </c>
      <c r="T118" s="33"/>
    </row>
    <row r="119" spans="2:20" x14ac:dyDescent="0.25">
      <c r="B119" s="207" t="s">
        <v>2773</v>
      </c>
      <c r="C119" s="208">
        <v>1</v>
      </c>
      <c r="D119" s="209">
        <v>4</v>
      </c>
      <c r="E119" s="225">
        <v>696</v>
      </c>
      <c r="F119" s="210">
        <v>27317740196</v>
      </c>
      <c r="G119" s="211" t="str">
        <f>IFERROR(IF(compras_mes8[[#This Row],[CUIT]]="","-",VLOOKUP(compras_mes8[[#This Row],[CUIT]],Lista_CUIT[#All],2,0)),"CUIT NO CARGADO")</f>
        <v>HOKAMA ROMINA PAOLA</v>
      </c>
      <c r="H119" s="212">
        <v>62346.28</v>
      </c>
      <c r="I119" s="213">
        <f>IF(compras_mes8[[#This Row],[NETO GRAVADO]]="","",compras_mes8[[#This Row],[NETO GRAVADO]]*0.21)</f>
        <v>13092.718799999999</v>
      </c>
      <c r="J119" s="213"/>
      <c r="K119" s="213"/>
      <c r="L119" s="213"/>
      <c r="M119" s="213"/>
      <c r="N119" s="213"/>
      <c r="O119" s="213"/>
      <c r="P119" s="353">
        <f>SUM(compras_mes8[[#This Row],[NETO GRAVADO]:[Otros / No Grav.]])</f>
        <v>75438.998800000001</v>
      </c>
      <c r="Q119" s="215" t="str">
        <f>IFERROR(IF(compras_mes8[[#This Row],[CUIT]]="","-",VLOOKUP(compras_mes8[[#This Row],[CUIT]],Lista_CUIT[#All],3,0)),"CUIT NO CARGADO")</f>
        <v>Gastos Varios</v>
      </c>
      <c r="R119" s="215">
        <f>IFERROR(IF(compras_mes8[[#This Row],[CUIT]]="","-",VLOOKUP(compras_mes8[[#This Row],[CUIT]],Lista_CUIT[#All],4,0)),"CUIT NO CARGADO")</f>
        <v>0</v>
      </c>
      <c r="T119" s="33"/>
    </row>
    <row r="120" spans="2:20" x14ac:dyDescent="0.25">
      <c r="B120" s="546" t="s">
        <v>2756</v>
      </c>
      <c r="C120" s="208">
        <v>1</v>
      </c>
      <c r="D120" s="487">
        <v>2188</v>
      </c>
      <c r="E120" s="548">
        <v>156234</v>
      </c>
      <c r="F120" s="549">
        <v>30548083156</v>
      </c>
      <c r="G120" s="550" t="str">
        <f>IFERROR(IF(compras_mes8[[#This Row],[CUIT]]="","-",VLOOKUP(compras_mes8[[#This Row],[CUIT]],Lista_CUIT[#All],2,0)),"CUIT NO CARGADO")</f>
        <v>COTO CENTRO INTEGRAL DE COMERCIALIZACION SOCIEDAD ANONIMA</v>
      </c>
      <c r="H120" s="551">
        <v>85774.41</v>
      </c>
      <c r="I120" s="552">
        <v>14279.39</v>
      </c>
      <c r="J120" s="552"/>
      <c r="K120" s="552">
        <v>1866.62</v>
      </c>
      <c r="L120" s="552"/>
      <c r="M120" s="552"/>
      <c r="N120" s="552"/>
      <c r="O120" s="552">
        <v>7354.01</v>
      </c>
      <c r="P120" s="553">
        <f>SUM(compras_mes8[[#This Row],[NETO GRAVADO]:[Otros / No Grav.]])</f>
        <v>109274.43</v>
      </c>
      <c r="Q120" s="554" t="str">
        <f>IFERROR(IF(compras_mes8[[#This Row],[CUIT]]="","-",VLOOKUP(compras_mes8[[#This Row],[CUIT]],Lista_CUIT[#All],3,0)),"CUIT NO CARGADO")</f>
        <v>Gastos Varios</v>
      </c>
      <c r="R120" s="554">
        <f>IFERROR(IF(compras_mes8[[#This Row],[CUIT]]="","-",VLOOKUP(compras_mes8[[#This Row],[CUIT]],Lista_CUIT[#All],4,0)),"CUIT NO CARGADO")</f>
        <v>0</v>
      </c>
      <c r="T120" s="33"/>
    </row>
    <row r="121" spans="2:20" x14ac:dyDescent="0.25">
      <c r="B121" s="546" t="s">
        <v>2757</v>
      </c>
      <c r="C121" s="208">
        <v>1</v>
      </c>
      <c r="D121" s="487">
        <v>28</v>
      </c>
      <c r="E121" s="548">
        <v>3284233</v>
      </c>
      <c r="F121" s="549">
        <v>30703088534</v>
      </c>
      <c r="G121" s="550" t="str">
        <f>IFERROR(IF(compras_mes8[[#This Row],[CUIT]]="","-",VLOOKUP(compras_mes8[[#This Row],[CUIT]],Lista_CUIT[#All],2,0)),"CUIT NO CARGADO")</f>
        <v>MERCADO LIBRE SRL</v>
      </c>
      <c r="H121" s="551">
        <v>1332930.21</v>
      </c>
      <c r="I121" s="552">
        <f>IF(compras_mes8[[#This Row],[NETO GRAVADO]]="","",compras_mes8[[#This Row],[NETO GRAVADO]]*0.21)</f>
        <v>279915.34409999999</v>
      </c>
      <c r="J121" s="552"/>
      <c r="K121" s="552"/>
      <c r="L121" s="552"/>
      <c r="M121" s="552"/>
      <c r="N121" s="552"/>
      <c r="O121" s="552">
        <v>133293.03</v>
      </c>
      <c r="P121" s="553">
        <f>SUM(compras_mes8[[#This Row],[NETO GRAVADO]:[Otros / No Grav.]])</f>
        <v>1746138.5840999999</v>
      </c>
      <c r="Q121" s="554" t="str">
        <f>IFERROR(IF(compras_mes8[[#This Row],[CUIT]]="","-",VLOOKUP(compras_mes8[[#This Row],[CUIT]],Lista_CUIT[#All],3,0)),"CUIT NO CARGADO")</f>
        <v>Gastos Varios</v>
      </c>
      <c r="R121" s="554" t="str">
        <f>IFERROR(IF(compras_mes8[[#This Row],[CUIT]]="","-",VLOOKUP(compras_mes8[[#This Row],[CUIT]],Lista_CUIT[#All],4,0)),"CUIT NO CARGADO")</f>
        <v>CABA</v>
      </c>
      <c r="T121" s="33"/>
    </row>
    <row r="122" spans="2:20" x14ac:dyDescent="0.25">
      <c r="B122" s="546" t="s">
        <v>2758</v>
      </c>
      <c r="C122" s="208">
        <v>1</v>
      </c>
      <c r="D122" s="487">
        <v>4</v>
      </c>
      <c r="E122" s="548">
        <v>739</v>
      </c>
      <c r="F122" s="549">
        <v>27317740196</v>
      </c>
      <c r="G122" s="550" t="str">
        <f>IFERROR(IF(compras_mes8[[#This Row],[CUIT]]="","-",VLOOKUP(compras_mes8[[#This Row],[CUIT]],Lista_CUIT[#All],2,0)),"CUIT NO CARGADO")</f>
        <v>HOKAMA ROMINA PAOLA</v>
      </c>
      <c r="H122" s="551">
        <v>24224.799999999999</v>
      </c>
      <c r="I122" s="552">
        <f>IF(compras_mes8[[#This Row],[NETO GRAVADO]]="","",compras_mes8[[#This Row],[NETO GRAVADO]]*0.21)</f>
        <v>5087.2079999999996</v>
      </c>
      <c r="J122" s="552"/>
      <c r="K122" s="552"/>
      <c r="L122" s="552"/>
      <c r="M122" s="552"/>
      <c r="N122" s="552"/>
      <c r="O122" s="552"/>
      <c r="P122" s="553">
        <f>SUM(compras_mes8[[#This Row],[NETO GRAVADO]:[Otros / No Grav.]])</f>
        <v>29312.007999999998</v>
      </c>
      <c r="Q122" s="554" t="str">
        <f>IFERROR(IF(compras_mes8[[#This Row],[CUIT]]="","-",VLOOKUP(compras_mes8[[#This Row],[CUIT]],Lista_CUIT[#All],3,0)),"CUIT NO CARGADO")</f>
        <v>Gastos Varios</v>
      </c>
      <c r="R122" s="554">
        <f>IFERROR(IF(compras_mes8[[#This Row],[CUIT]]="","-",VLOOKUP(compras_mes8[[#This Row],[CUIT]],Lista_CUIT[#All],4,0)),"CUIT NO CARGADO")</f>
        <v>0</v>
      </c>
      <c r="T122" s="33"/>
    </row>
    <row r="123" spans="2:20" x14ac:dyDescent="0.25">
      <c r="B123" s="546" t="s">
        <v>2759</v>
      </c>
      <c r="C123" s="208">
        <v>1</v>
      </c>
      <c r="D123" s="487">
        <v>2084</v>
      </c>
      <c r="E123" s="548">
        <v>31270</v>
      </c>
      <c r="F123" s="549">
        <v>30548083156</v>
      </c>
      <c r="G123" s="550" t="str">
        <f>IFERROR(IF(compras_mes8[[#This Row],[CUIT]]="","-",VLOOKUP(compras_mes8[[#This Row],[CUIT]],Lista_CUIT[#All],2,0)),"CUIT NO CARGADO")</f>
        <v>COTO CENTRO INTEGRAL DE COMERCIALIZACION SOCIEDAD ANONIMA</v>
      </c>
      <c r="H123" s="551">
        <v>76890.94</v>
      </c>
      <c r="I123" s="552">
        <v>12590.44</v>
      </c>
      <c r="J123" s="552"/>
      <c r="K123" s="552">
        <v>1778.33</v>
      </c>
      <c r="L123" s="552"/>
      <c r="M123" s="552"/>
      <c r="N123" s="552"/>
      <c r="O123" s="552">
        <v>5427.87</v>
      </c>
      <c r="P123" s="553">
        <f>SUM(compras_mes8[[#This Row],[NETO GRAVADO]:[Otros / No Grav.]])</f>
        <v>96687.58</v>
      </c>
      <c r="Q123" s="554" t="str">
        <f>IFERROR(IF(compras_mes8[[#This Row],[CUIT]]="","-",VLOOKUP(compras_mes8[[#This Row],[CUIT]],Lista_CUIT[#All],3,0)),"CUIT NO CARGADO")</f>
        <v>Gastos Varios</v>
      </c>
      <c r="R123" s="554">
        <f>IFERROR(IF(compras_mes8[[#This Row],[CUIT]]="","-",VLOOKUP(compras_mes8[[#This Row],[CUIT]],Lista_CUIT[#All],4,0)),"CUIT NO CARGADO")</f>
        <v>0</v>
      </c>
      <c r="T123" s="33"/>
    </row>
    <row r="124" spans="2:20" x14ac:dyDescent="0.25">
      <c r="B124" s="207" t="s">
        <v>2767</v>
      </c>
      <c r="C124" s="208">
        <v>1</v>
      </c>
      <c r="D124" s="209">
        <v>2</v>
      </c>
      <c r="E124" s="225">
        <v>210</v>
      </c>
      <c r="F124" s="210">
        <v>20353654560</v>
      </c>
      <c r="G124" s="211" t="str">
        <f>IFERROR(IF(compras_mes8[[#This Row],[CUIT]]="","-",VLOOKUP(compras_mes8[[#This Row],[CUIT]],Lista_CUIT[#All],2,0)),"CUIT NO CARGADO")</f>
        <v>CUNIOLI FEDERICO</v>
      </c>
      <c r="H124" s="212">
        <v>171000</v>
      </c>
      <c r="I124" s="213">
        <f>IF(compras_mes8[[#This Row],[NETO GRAVADO]]="","",compras_mes8[[#This Row],[NETO GRAVADO]]*0.21)</f>
        <v>35910</v>
      </c>
      <c r="J124" s="213"/>
      <c r="K124" s="213"/>
      <c r="L124" s="213"/>
      <c r="M124" s="213"/>
      <c r="N124" s="213"/>
      <c r="O124" s="213"/>
      <c r="P124" s="353">
        <f>SUM(compras_mes8[[#This Row],[NETO GRAVADO]:[Otros / No Grav.]])</f>
        <v>206910</v>
      </c>
      <c r="Q124" s="215" t="str">
        <f>IFERROR(IF(compras_mes8[[#This Row],[CUIT]]="","-",VLOOKUP(compras_mes8[[#This Row],[CUIT]],Lista_CUIT[#All],3,0)),"CUIT NO CARGADO")</f>
        <v>Honorarios Legales</v>
      </c>
      <c r="R124" s="215">
        <f>IFERROR(IF(compras_mes8[[#This Row],[CUIT]]="","-",VLOOKUP(compras_mes8[[#This Row],[CUIT]],Lista_CUIT[#All],4,0)),"CUIT NO CARGADO")</f>
        <v>0</v>
      </c>
      <c r="T124" s="33"/>
    </row>
    <row r="125" spans="2:20" x14ac:dyDescent="0.25">
      <c r="B125" s="207" t="s">
        <v>2767</v>
      </c>
      <c r="C125" s="208">
        <v>1</v>
      </c>
      <c r="D125" s="209">
        <v>2</v>
      </c>
      <c r="E125" s="225">
        <v>211</v>
      </c>
      <c r="F125" s="210">
        <v>20353654560</v>
      </c>
      <c r="G125" s="211" t="str">
        <f>IFERROR(IF(compras_mes8[[#This Row],[CUIT]]="","-",VLOOKUP(compras_mes8[[#This Row],[CUIT]],Lista_CUIT[#All],2,0)),"CUIT NO CARGADO")</f>
        <v>CUNIOLI FEDERICO</v>
      </c>
      <c r="H125" s="212">
        <v>1539000</v>
      </c>
      <c r="I125" s="213">
        <f>IF(compras_mes8[[#This Row],[NETO GRAVADO]]="","",compras_mes8[[#This Row],[NETO GRAVADO]]*0.21)</f>
        <v>323190</v>
      </c>
      <c r="J125" s="213"/>
      <c r="K125" s="213"/>
      <c r="L125" s="213"/>
      <c r="M125" s="213"/>
      <c r="N125" s="213"/>
      <c r="O125" s="213"/>
      <c r="P125" s="353">
        <f>SUM(compras_mes8[[#This Row],[NETO GRAVADO]:[Otros / No Grav.]])</f>
        <v>1862190</v>
      </c>
      <c r="Q125" s="215" t="str">
        <f>IFERROR(IF(compras_mes8[[#This Row],[CUIT]]="","-",VLOOKUP(compras_mes8[[#This Row],[CUIT]],Lista_CUIT[#All],3,0)),"CUIT NO CARGADO")</f>
        <v>Honorarios Legales</v>
      </c>
      <c r="R125" s="215">
        <f>IFERROR(IF(compras_mes8[[#This Row],[CUIT]]="","-",VLOOKUP(compras_mes8[[#This Row],[CUIT]],Lista_CUIT[#All],4,0)),"CUIT NO CARGADO")</f>
        <v>0</v>
      </c>
      <c r="T125" s="33"/>
    </row>
    <row r="126" spans="2:20" x14ac:dyDescent="0.25">
      <c r="B126" s="207" t="s">
        <v>2767</v>
      </c>
      <c r="C126" s="208">
        <v>1</v>
      </c>
      <c r="D126" s="209">
        <v>3</v>
      </c>
      <c r="E126" s="225">
        <v>219</v>
      </c>
      <c r="F126" s="210">
        <v>20120794338</v>
      </c>
      <c r="G126" s="211" t="str">
        <f>IFERROR(IF(compras_mes8[[#This Row],[CUIT]]="","-",VLOOKUP(compras_mes8[[#This Row],[CUIT]],Lista_CUIT[#All],2,0)),"CUIT NO CARGADO")</f>
        <v>AINSTEIN MARCELO</v>
      </c>
      <c r="H126" s="212">
        <v>800000</v>
      </c>
      <c r="I126" s="213">
        <f>IF(compras_mes8[[#This Row],[NETO GRAVADO]]="","",compras_mes8[[#This Row],[NETO GRAVADO]]*0.21)</f>
        <v>168000</v>
      </c>
      <c r="J126" s="213"/>
      <c r="K126" s="213"/>
      <c r="L126" s="213"/>
      <c r="M126" s="213"/>
      <c r="N126" s="213"/>
      <c r="O126" s="213"/>
      <c r="P126" s="353">
        <f>SUM(compras_mes8[[#This Row],[NETO GRAVADO]:[Otros / No Grav.]])</f>
        <v>968000</v>
      </c>
      <c r="Q126" s="215" t="str">
        <f>IFERROR(IF(compras_mes8[[#This Row],[CUIT]]="","-",VLOOKUP(compras_mes8[[#This Row],[CUIT]],Lista_CUIT[#All],3,0)),"CUIT NO CARGADO")</f>
        <v>Honorarios Legales</v>
      </c>
      <c r="R126" s="215">
        <f>IFERROR(IF(compras_mes8[[#This Row],[CUIT]]="","-",VLOOKUP(compras_mes8[[#This Row],[CUIT]],Lista_CUIT[#All],4,0)),"CUIT NO CARGADO")</f>
        <v>0</v>
      </c>
      <c r="T126" s="33"/>
    </row>
    <row r="127" spans="2:20" x14ac:dyDescent="0.25">
      <c r="B127" s="207" t="s">
        <v>2767</v>
      </c>
      <c r="C127" s="208">
        <v>1</v>
      </c>
      <c r="D127" s="209">
        <v>2</v>
      </c>
      <c r="E127" s="225">
        <v>212</v>
      </c>
      <c r="F127" s="210">
        <v>20353654560</v>
      </c>
      <c r="G127" s="211" t="str">
        <f>IFERROR(IF(compras_mes8[[#This Row],[CUIT]]="","-",VLOOKUP(compras_mes8[[#This Row],[CUIT]],Lista_CUIT[#All],2,0)),"CUIT NO CARGADO")</f>
        <v>CUNIOLI FEDERICO</v>
      </c>
      <c r="H127" s="212">
        <v>171000</v>
      </c>
      <c r="I127" s="213">
        <f>IF(compras_mes8[[#This Row],[NETO GRAVADO]]="","",compras_mes8[[#This Row],[NETO GRAVADO]]*0.21)</f>
        <v>35910</v>
      </c>
      <c r="J127" s="213"/>
      <c r="K127" s="213"/>
      <c r="L127" s="213"/>
      <c r="M127" s="213"/>
      <c r="N127" s="213"/>
      <c r="O127" s="213"/>
      <c r="P127" s="353">
        <f>SUM(compras_mes8[[#This Row],[NETO GRAVADO]:[Otros / No Grav.]])</f>
        <v>206910</v>
      </c>
      <c r="Q127" s="215" t="str">
        <f>IFERROR(IF(compras_mes8[[#This Row],[CUIT]]="","-",VLOOKUP(compras_mes8[[#This Row],[CUIT]],Lista_CUIT[#All],3,0)),"CUIT NO CARGADO")</f>
        <v>Honorarios Legales</v>
      </c>
      <c r="R127" s="215">
        <f>IFERROR(IF(compras_mes8[[#This Row],[CUIT]]="","-",VLOOKUP(compras_mes8[[#This Row],[CUIT]],Lista_CUIT[#All],4,0)),"CUIT NO CARGADO")</f>
        <v>0</v>
      </c>
      <c r="T127" s="33"/>
    </row>
    <row r="128" spans="2:20" x14ac:dyDescent="0.25">
      <c r="B128" s="207" t="s">
        <v>2744</v>
      </c>
      <c r="C128" s="208">
        <v>1</v>
      </c>
      <c r="D128" s="209">
        <v>2</v>
      </c>
      <c r="E128" s="225">
        <v>216</v>
      </c>
      <c r="F128" s="210">
        <v>20353654560</v>
      </c>
      <c r="G128" s="211" t="str">
        <f>IFERROR(IF(compras_mes8[[#This Row],[CUIT]]="","-",VLOOKUP(compras_mes8[[#This Row],[CUIT]],Lista_CUIT[#All],2,0)),"CUIT NO CARGADO")</f>
        <v>CUNIOLI FEDERICO</v>
      </c>
      <c r="H128" s="212">
        <v>171000</v>
      </c>
      <c r="I128" s="213">
        <f>IF(compras_mes8[[#This Row],[NETO GRAVADO]]="","",compras_mes8[[#This Row],[NETO GRAVADO]]*0.21)</f>
        <v>35910</v>
      </c>
      <c r="J128" s="213"/>
      <c r="K128" s="213"/>
      <c r="L128" s="213"/>
      <c r="M128" s="213"/>
      <c r="N128" s="213"/>
      <c r="O128" s="213"/>
      <c r="P128" s="353">
        <f>SUM(compras_mes8[[#This Row],[NETO GRAVADO]:[Otros / No Grav.]])</f>
        <v>206910</v>
      </c>
      <c r="Q128" s="215" t="str">
        <f>IFERROR(IF(compras_mes8[[#This Row],[CUIT]]="","-",VLOOKUP(compras_mes8[[#This Row],[CUIT]],Lista_CUIT[#All],3,0)),"CUIT NO CARGADO")</f>
        <v>Honorarios Legales</v>
      </c>
      <c r="R128" s="215">
        <f>IFERROR(IF(compras_mes8[[#This Row],[CUIT]]="","-",VLOOKUP(compras_mes8[[#This Row],[CUIT]],Lista_CUIT[#All],4,0)),"CUIT NO CARGADO")</f>
        <v>0</v>
      </c>
      <c r="T128" s="33"/>
    </row>
    <row r="129" spans="2:20" x14ac:dyDescent="0.25">
      <c r="B129" s="207" t="s">
        <v>2743</v>
      </c>
      <c r="C129" s="208">
        <v>1</v>
      </c>
      <c r="D129" s="209">
        <v>4</v>
      </c>
      <c r="E129" s="225">
        <v>29959</v>
      </c>
      <c r="F129" s="210">
        <v>20328816807</v>
      </c>
      <c r="G129" s="211" t="str">
        <f>IFERROR(IF(compras_mes8[[#This Row],[CUIT]]="","-",VLOOKUP(compras_mes8[[#This Row],[CUIT]],Lista_CUIT[#All],2,0)),"CUIT NO CARGADO")</f>
        <v>LUPONE ALBANO SEBASTIAN</v>
      </c>
      <c r="H129" s="212">
        <v>93315.7</v>
      </c>
      <c r="I129" s="213">
        <f>IF(compras_mes8[[#This Row],[NETO GRAVADO]]="","",compras_mes8[[#This Row],[NETO GRAVADO]]*0.21)</f>
        <v>19596.296999999999</v>
      </c>
      <c r="J129" s="213"/>
      <c r="K129" s="213"/>
      <c r="L129" s="213"/>
      <c r="M129" s="213"/>
      <c r="N129" s="213"/>
      <c r="O129" s="213"/>
      <c r="P129" s="214">
        <f>SUM(compras_mes8[[#This Row],[NETO GRAVADO]:[Otros / No Grav.]])</f>
        <v>112911.997</v>
      </c>
      <c r="Q129" s="215" t="str">
        <f>IFERROR(IF(compras_mes8[[#This Row],[CUIT]]="","-",VLOOKUP(compras_mes8[[#This Row],[CUIT]],Lista_CUIT[#All],3,0)),"CUIT NO CARGADO")</f>
        <v>LIBRERÍA</v>
      </c>
      <c r="R129" s="215">
        <f>IFERROR(IF(compras_mes8[[#This Row],[CUIT]]="","-",VLOOKUP(compras_mes8[[#This Row],[CUIT]],Lista_CUIT[#All],4,0)),"CUIT NO CARGADO")</f>
        <v>0</v>
      </c>
      <c r="T129" s="33"/>
    </row>
    <row r="130" spans="2:20" x14ac:dyDescent="0.25">
      <c r="B130" s="546" t="s">
        <v>2756</v>
      </c>
      <c r="C130" s="208">
        <v>1</v>
      </c>
      <c r="D130" s="487">
        <v>14</v>
      </c>
      <c r="E130" s="548">
        <v>17112</v>
      </c>
      <c r="F130" s="549">
        <v>30693293754</v>
      </c>
      <c r="G130" s="550" t="str">
        <f>IFERROR(IF(compras_mes8[[#This Row],[CUIT]]="","-",VLOOKUP(compras_mes8[[#This Row],[CUIT]],Lista_CUIT[#All],2,0)),"CUIT NO CARGADO")</f>
        <v>CPT INTEGRAL SA</v>
      </c>
      <c r="H130" s="551">
        <v>222900.6</v>
      </c>
      <c r="I130" s="552">
        <f>IF(compras_mes8[[#This Row],[NETO GRAVADO]]="","",compras_mes8[[#This Row],[NETO GRAVADO]]*0.21)</f>
        <v>46809.125999999997</v>
      </c>
      <c r="J130" s="552"/>
      <c r="K130" s="552"/>
      <c r="L130" s="552"/>
      <c r="M130" s="552"/>
      <c r="N130" s="552"/>
      <c r="O130" s="552">
        <v>13374.04</v>
      </c>
      <c r="P130" s="553">
        <f>SUM(compras_mes8[[#This Row],[NETO GRAVADO]:[Otros / No Grav.]])</f>
        <v>283083.766</v>
      </c>
      <c r="Q130" s="554" t="str">
        <f>IFERROR(IF(compras_mes8[[#This Row],[CUIT]]="","-",VLOOKUP(compras_mes8[[#This Row],[CUIT]],Lista_CUIT[#All],3,0)),"CUIT NO CARGADO")</f>
        <v>LIBRERÍA</v>
      </c>
      <c r="R130" s="554">
        <f>IFERROR(IF(compras_mes8[[#This Row],[CUIT]]="","-",VLOOKUP(compras_mes8[[#This Row],[CUIT]],Lista_CUIT[#All],4,0)),"CUIT NO CARGADO")</f>
        <v>0</v>
      </c>
      <c r="T130" s="33"/>
    </row>
    <row r="131" spans="2:20" x14ac:dyDescent="0.25">
      <c r="B131" s="207" t="s">
        <v>2744</v>
      </c>
      <c r="C131" s="208">
        <v>1</v>
      </c>
      <c r="D131" s="209">
        <v>1</v>
      </c>
      <c r="E131" s="225">
        <v>58</v>
      </c>
      <c r="F131" s="210">
        <v>30717504824</v>
      </c>
      <c r="G131" s="211" t="str">
        <f>IFERROR(IF(compras_mes8[[#This Row],[CUIT]]="","-",VLOOKUP(compras_mes8[[#This Row],[CUIT]],Lista_CUIT[#All],2,0)),"CUIT NO CARGADO")</f>
        <v>FIDEICOMISO MAMBA</v>
      </c>
      <c r="H131" s="212">
        <v>3420814.48</v>
      </c>
      <c r="I131" s="85" t="s">
        <v>2411</v>
      </c>
      <c r="J131" s="213"/>
      <c r="K131" s="213">
        <f>compras_mes8[[#This Row],[NETO GRAVADO]]*0.105</f>
        <v>359185.52039999998</v>
      </c>
      <c r="L131" s="213"/>
      <c r="M131" s="213"/>
      <c r="N131" s="213"/>
      <c r="O131" s="213"/>
      <c r="P131" s="353">
        <f>SUM(compras_mes8[[#This Row],[NETO GRAVADO]:[Otros / No Grav.]])</f>
        <v>3780000.0003999998</v>
      </c>
      <c r="Q131" s="215" t="str">
        <f>IFERROR(IF(compras_mes8[[#This Row],[CUIT]]="","-",VLOOKUP(compras_mes8[[#This Row],[CUIT]],Lista_CUIT[#All],3,0)),"CUIT NO CARGADO")</f>
        <v>MANTENIMIENTO</v>
      </c>
      <c r="R131" s="215">
        <f>IFERROR(IF(compras_mes8[[#This Row],[CUIT]]="","-",VLOOKUP(compras_mes8[[#This Row],[CUIT]],Lista_CUIT[#All],4,0)),"CUIT NO CARGADO")</f>
        <v>0</v>
      </c>
      <c r="T131" s="33"/>
    </row>
    <row r="132" spans="2:20" x14ac:dyDescent="0.25">
      <c r="B132" s="546" t="s">
        <v>2757</v>
      </c>
      <c r="C132" s="208">
        <v>1</v>
      </c>
      <c r="D132" s="487">
        <v>5</v>
      </c>
      <c r="E132" s="548">
        <v>94109</v>
      </c>
      <c r="F132" s="549">
        <v>30708166673</v>
      </c>
      <c r="G132" s="550" t="str">
        <f>IFERROR(IF(compras_mes8[[#This Row],[CUIT]]="","-",VLOOKUP(compras_mes8[[#This Row],[CUIT]],Lista_CUIT[#All],2,0)),"CUIT NO CARGADO")</f>
        <v>SUMINISTROS WHITE S.A.</v>
      </c>
      <c r="H132" s="551">
        <v>30136.36</v>
      </c>
      <c r="I132" s="552">
        <f>IF(compras_mes8[[#This Row],[NETO GRAVADO]]="","",compras_mes8[[#This Row],[NETO GRAVADO]]*0.21)</f>
        <v>6328.6355999999996</v>
      </c>
      <c r="J132" s="552"/>
      <c r="K132" s="552"/>
      <c r="L132" s="552"/>
      <c r="M132" s="552"/>
      <c r="N132" s="552"/>
      <c r="O132" s="552"/>
      <c r="P132" s="553">
        <f>SUM(compras_mes8[[#This Row],[NETO GRAVADO]:[Otros / No Grav.]])</f>
        <v>36464.995600000002</v>
      </c>
      <c r="Q132" s="554" t="str">
        <f>IFERROR(IF(compras_mes8[[#This Row],[CUIT]]="","-",VLOOKUP(compras_mes8[[#This Row],[CUIT]],Lista_CUIT[#All],3,0)),"CUIT NO CARGADO")</f>
        <v>MANTENIMIENTO</v>
      </c>
      <c r="R132" s="554">
        <f>IFERROR(IF(compras_mes8[[#This Row],[CUIT]]="","-",VLOOKUP(compras_mes8[[#This Row],[CUIT]],Lista_CUIT[#All],4,0)),"CUIT NO CARGADO")</f>
        <v>0</v>
      </c>
      <c r="T132" s="33"/>
    </row>
    <row r="133" spans="2:20" x14ac:dyDescent="0.25">
      <c r="B133" s="546">
        <v>45884</v>
      </c>
      <c r="C133" s="547">
        <v>1</v>
      </c>
      <c r="D133" s="487">
        <v>32</v>
      </c>
      <c r="E133" s="548">
        <v>3340</v>
      </c>
      <c r="F133" s="549">
        <v>30696106068</v>
      </c>
      <c r="G133" s="550" t="str">
        <f>IFERROR(IF(compras_mes8[[#This Row],[CUIT]]="","-",VLOOKUP(compras_mes8[[#This Row],[CUIT]],Lista_CUIT[#All],2,0)),"CUIT NO CARGADO")</f>
        <v>PINTURERIAS LIBERATO SRL</v>
      </c>
      <c r="H133" s="551">
        <v>17346.38</v>
      </c>
      <c r="I133" s="552">
        <f>IF(compras_mes8[[#This Row],[NETO GRAVADO]]="","",compras_mes8[[#This Row],[NETO GRAVADO]]*0.21)</f>
        <v>3642.7398000000003</v>
      </c>
      <c r="J133" s="552"/>
      <c r="K133" s="552"/>
      <c r="L133" s="552"/>
      <c r="M133" s="552"/>
      <c r="N133" s="552"/>
      <c r="O133" s="552"/>
      <c r="P133" s="553">
        <f>SUM(compras_mes8[[#This Row],[NETO GRAVADO]:[Otros / No Grav.]])</f>
        <v>20989.1198</v>
      </c>
      <c r="Q133" s="554" t="str">
        <f>IFERROR(IF(compras_mes8[[#This Row],[CUIT]]="","-",VLOOKUP(compras_mes8[[#This Row],[CUIT]],Lista_CUIT[#All],3,0)),"CUIT NO CARGADO")</f>
        <v>Mantenimiento Locales</v>
      </c>
      <c r="R133" s="554">
        <f>IFERROR(IF(compras_mes8[[#This Row],[CUIT]]="","-",VLOOKUP(compras_mes8[[#This Row],[CUIT]],Lista_CUIT[#All],4,0)),"CUIT NO CARGADO")</f>
        <v>0</v>
      </c>
      <c r="T133" s="33"/>
    </row>
    <row r="134" spans="2:20" x14ac:dyDescent="0.25">
      <c r="B134" s="546">
        <v>45898</v>
      </c>
      <c r="C134" s="547">
        <v>1</v>
      </c>
      <c r="D134" s="487">
        <v>32</v>
      </c>
      <c r="E134" s="548">
        <v>3377</v>
      </c>
      <c r="F134" s="549">
        <v>30696106068</v>
      </c>
      <c r="G134" s="550" t="str">
        <f>IFERROR(IF(compras_mes8[[#This Row],[CUIT]]="","-",VLOOKUP(compras_mes8[[#This Row],[CUIT]],Lista_CUIT[#All],2,0)),"CUIT NO CARGADO")</f>
        <v>PINTURERIAS LIBERATO SRL</v>
      </c>
      <c r="H134" s="551">
        <v>101772.57</v>
      </c>
      <c r="I134" s="552">
        <f>IF(compras_mes8[[#This Row],[NETO GRAVADO]]="","",compras_mes8[[#This Row],[NETO GRAVADO]]*0.21)</f>
        <v>21372.239700000002</v>
      </c>
      <c r="J134" s="552"/>
      <c r="K134" s="552"/>
      <c r="L134" s="552"/>
      <c r="M134" s="552"/>
      <c r="N134" s="552"/>
      <c r="O134" s="552">
        <v>0.23</v>
      </c>
      <c r="P134" s="553">
        <f>SUM(compras_mes8[[#This Row],[NETO GRAVADO]:[Otros / No Grav.]])</f>
        <v>123145.03970000001</v>
      </c>
      <c r="Q134" s="554" t="str">
        <f>IFERROR(IF(compras_mes8[[#This Row],[CUIT]]="","-",VLOOKUP(compras_mes8[[#This Row],[CUIT]],Lista_CUIT[#All],3,0)),"CUIT NO CARGADO")</f>
        <v>Mantenimiento Locales</v>
      </c>
      <c r="R134" s="554">
        <f>IFERROR(IF(compras_mes8[[#This Row],[CUIT]]="","-",VLOOKUP(compras_mes8[[#This Row],[CUIT]],Lista_CUIT[#All],4,0)),"CUIT NO CARGADO")</f>
        <v>0</v>
      </c>
      <c r="T134" s="33"/>
    </row>
    <row r="135" spans="2:20" x14ac:dyDescent="0.25">
      <c r="B135" s="556" t="s">
        <v>2767</v>
      </c>
      <c r="C135" s="557">
        <v>1</v>
      </c>
      <c r="D135" s="558">
        <v>4</v>
      </c>
      <c r="E135" s="559">
        <v>50506</v>
      </c>
      <c r="F135" s="560">
        <v>30709863076</v>
      </c>
      <c r="G135" s="561" t="str">
        <f>IFERROR(IF(compras_mes8[[#This Row],[CUIT]]="","-",VLOOKUP(compras_mes8[[#This Row],[CUIT]],Lista_CUIT[#All],2,0)),"CUIT NO CARGADO")</f>
        <v>INDUSTRIAS PLASTICOS SALTA S.R.L.</v>
      </c>
      <c r="H135" s="562">
        <v>359793.4</v>
      </c>
      <c r="I135" s="555">
        <f>IF(compras_mes8[[#This Row],[NETO GRAVADO]]="","",compras_mes8[[#This Row],[NETO GRAVADO]]*0.21)</f>
        <v>75556.614000000001</v>
      </c>
      <c r="J135" s="555"/>
      <c r="K135" s="555"/>
      <c r="L135" s="555"/>
      <c r="M135" s="555"/>
      <c r="N135" s="555"/>
      <c r="O135" s="555"/>
      <c r="P135" s="563">
        <f>SUM(compras_mes8[[#This Row],[NETO GRAVADO]:[Otros / No Grav.]])</f>
        <v>435350.01400000002</v>
      </c>
      <c r="Q135" s="564" t="str">
        <f>IFERROR(IF(compras_mes8[[#This Row],[CUIT]]="","-",VLOOKUP(compras_mes8[[#This Row],[CUIT]],Lista_CUIT[#All],3,0)),"CUIT NO CARGADO")</f>
        <v>Materia Prima</v>
      </c>
      <c r="R135" s="215">
        <f>IFERROR(IF(compras_mes8[[#This Row],[CUIT]]="","-",VLOOKUP(compras_mes8[[#This Row],[CUIT]],Lista_CUIT[#All],4,0)),"CUIT NO CARGADO")</f>
        <v>0</v>
      </c>
      <c r="T135" s="33"/>
    </row>
    <row r="136" spans="2:20" x14ac:dyDescent="0.25">
      <c r="B136" s="556" t="s">
        <v>2744</v>
      </c>
      <c r="C136" s="557">
        <v>1</v>
      </c>
      <c r="D136" s="558">
        <v>4</v>
      </c>
      <c r="E136" s="559">
        <v>50522</v>
      </c>
      <c r="F136" s="560">
        <v>30709863076</v>
      </c>
      <c r="G136" s="561" t="str">
        <f>IFERROR(IF(compras_mes8[[#This Row],[CUIT]]="","-",VLOOKUP(compras_mes8[[#This Row],[CUIT]],Lista_CUIT[#All],2,0)),"CUIT NO CARGADO")</f>
        <v>INDUSTRIAS PLASTICOS SALTA S.R.L.</v>
      </c>
      <c r="H136" s="562">
        <v>961404.96</v>
      </c>
      <c r="I136" s="555">
        <f>IF(compras_mes8[[#This Row],[NETO GRAVADO]]="","",compras_mes8[[#This Row],[NETO GRAVADO]]*0.21)</f>
        <v>201895.0416</v>
      </c>
      <c r="J136" s="555"/>
      <c r="K136" s="555"/>
      <c r="L136" s="555"/>
      <c r="M136" s="555"/>
      <c r="N136" s="555"/>
      <c r="O136" s="555"/>
      <c r="P136" s="563">
        <f>SUM(compras_mes8[[#This Row],[NETO GRAVADO]:[Otros / No Grav.]])</f>
        <v>1163300.0016000001</v>
      </c>
      <c r="Q136" s="564" t="str">
        <f>IFERROR(IF(compras_mes8[[#This Row],[CUIT]]="","-",VLOOKUP(compras_mes8[[#This Row],[CUIT]],Lista_CUIT[#All],3,0)),"CUIT NO CARGADO")</f>
        <v>Materia Prima</v>
      </c>
      <c r="R136" s="215">
        <f>IFERROR(IF(compras_mes8[[#This Row],[CUIT]]="","-",VLOOKUP(compras_mes8[[#This Row],[CUIT]],Lista_CUIT[#All],4,0)),"CUIT NO CARGADO")</f>
        <v>0</v>
      </c>
      <c r="T136" s="33"/>
    </row>
    <row r="137" spans="2:20" x14ac:dyDescent="0.25">
      <c r="B137" s="556" t="s">
        <v>2747</v>
      </c>
      <c r="C137" s="557">
        <v>1</v>
      </c>
      <c r="D137" s="558">
        <v>4</v>
      </c>
      <c r="E137" s="559">
        <v>50597</v>
      </c>
      <c r="F137" s="560">
        <v>30709863076</v>
      </c>
      <c r="G137" s="561" t="str">
        <f>IFERROR(IF(compras_mes8[[#This Row],[CUIT]]="","-",VLOOKUP(compras_mes8[[#This Row],[CUIT]],Lista_CUIT[#All],2,0)),"CUIT NO CARGADO")</f>
        <v>INDUSTRIAS PLASTICOS SALTA S.R.L.</v>
      </c>
      <c r="H137" s="562">
        <v>176528.92</v>
      </c>
      <c r="I137" s="555">
        <f>IF(compras_mes8[[#This Row],[NETO GRAVADO]]="","",compras_mes8[[#This Row],[NETO GRAVADO]]*0.21)</f>
        <v>37071.073199999999</v>
      </c>
      <c r="J137" s="555"/>
      <c r="K137" s="555"/>
      <c r="L137" s="555"/>
      <c r="M137" s="555"/>
      <c r="N137" s="555"/>
      <c r="O137" s="555"/>
      <c r="P137" s="563">
        <f>SUM(compras_mes8[[#This Row],[NETO GRAVADO]:[Otros / No Grav.]])</f>
        <v>213599.99320000003</v>
      </c>
      <c r="Q137" s="564" t="str">
        <f>IFERROR(IF(compras_mes8[[#This Row],[CUIT]]="","-",VLOOKUP(compras_mes8[[#This Row],[CUIT]],Lista_CUIT[#All],3,0)),"CUIT NO CARGADO")</f>
        <v>Materia Prima</v>
      </c>
      <c r="R137" s="215">
        <f>IFERROR(IF(compras_mes8[[#This Row],[CUIT]]="","-",VLOOKUP(compras_mes8[[#This Row],[CUIT]],Lista_CUIT[#All],4,0)),"CUIT NO CARGADO")</f>
        <v>0</v>
      </c>
      <c r="T137" s="33"/>
    </row>
    <row r="138" spans="2:20" x14ac:dyDescent="0.25">
      <c r="B138" s="556" t="s">
        <v>2760</v>
      </c>
      <c r="C138" s="557">
        <v>1</v>
      </c>
      <c r="D138" s="558">
        <v>4</v>
      </c>
      <c r="E138" s="559">
        <v>50609</v>
      </c>
      <c r="F138" s="560">
        <v>30709863076</v>
      </c>
      <c r="G138" s="561" t="str">
        <f>IFERROR(IF(compras_mes8[[#This Row],[CUIT]]="","-",VLOOKUP(compras_mes8[[#This Row],[CUIT]],Lista_CUIT[#All],2,0)),"CUIT NO CARGADO")</f>
        <v>INDUSTRIAS PLASTICOS SALTA S.R.L.</v>
      </c>
      <c r="H138" s="562">
        <v>222479.34</v>
      </c>
      <c r="I138" s="555">
        <f>IF(compras_mes8[[#This Row],[NETO GRAVADO]]="","",compras_mes8[[#This Row],[NETO GRAVADO]]*0.21)</f>
        <v>46720.661399999997</v>
      </c>
      <c r="J138" s="555"/>
      <c r="K138" s="555"/>
      <c r="L138" s="555"/>
      <c r="M138" s="555"/>
      <c r="N138" s="555"/>
      <c r="O138" s="555"/>
      <c r="P138" s="563">
        <f>SUM(compras_mes8[[#This Row],[NETO GRAVADO]:[Otros / No Grav.]])</f>
        <v>269200.00140000001</v>
      </c>
      <c r="Q138" s="564" t="str">
        <f>IFERROR(IF(compras_mes8[[#This Row],[CUIT]]="","-",VLOOKUP(compras_mes8[[#This Row],[CUIT]],Lista_CUIT[#All],3,0)),"CUIT NO CARGADO")</f>
        <v>Materia Prima</v>
      </c>
      <c r="R138" s="215">
        <f>IFERROR(IF(compras_mes8[[#This Row],[CUIT]]="","-",VLOOKUP(compras_mes8[[#This Row],[CUIT]],Lista_CUIT[#All],4,0)),"CUIT NO CARGADO")</f>
        <v>0</v>
      </c>
      <c r="T138" s="33"/>
    </row>
    <row r="139" spans="2:20" x14ac:dyDescent="0.25">
      <c r="B139" s="556" t="s">
        <v>2751</v>
      </c>
      <c r="C139" s="557">
        <v>1</v>
      </c>
      <c r="D139" s="558">
        <v>4</v>
      </c>
      <c r="E139" s="559">
        <v>50637</v>
      </c>
      <c r="F139" s="560">
        <v>30709863076</v>
      </c>
      <c r="G139" s="561" t="str">
        <f>IFERROR(IF(compras_mes8[[#This Row],[CUIT]]="","-",VLOOKUP(compras_mes8[[#This Row],[CUIT]],Lista_CUIT[#All],2,0)),"CUIT NO CARGADO")</f>
        <v>INDUSTRIAS PLASTICOS SALTA S.R.L.</v>
      </c>
      <c r="H139" s="562">
        <v>39000</v>
      </c>
      <c r="I139" s="555">
        <f>IF(compras_mes8[[#This Row],[NETO GRAVADO]]="","",compras_mes8[[#This Row],[NETO GRAVADO]]*0.21)</f>
        <v>8190</v>
      </c>
      <c r="J139" s="555"/>
      <c r="K139" s="555"/>
      <c r="L139" s="555"/>
      <c r="M139" s="555"/>
      <c r="N139" s="555"/>
      <c r="O139" s="555"/>
      <c r="P139" s="563">
        <f>SUM(compras_mes8[[#This Row],[NETO GRAVADO]:[Otros / No Grav.]])</f>
        <v>47190</v>
      </c>
      <c r="Q139" s="564" t="str">
        <f>IFERROR(IF(compras_mes8[[#This Row],[CUIT]]="","-",VLOOKUP(compras_mes8[[#This Row],[CUIT]],Lista_CUIT[#All],3,0)),"CUIT NO CARGADO")</f>
        <v>Materia Prima</v>
      </c>
      <c r="R139" s="215">
        <f>IFERROR(IF(compras_mes8[[#This Row],[CUIT]]="","-",VLOOKUP(compras_mes8[[#This Row],[CUIT]],Lista_CUIT[#All],4,0)),"CUIT NO CARGADO")</f>
        <v>0</v>
      </c>
      <c r="T139" s="33"/>
    </row>
    <row r="140" spans="2:20" x14ac:dyDescent="0.25">
      <c r="B140" s="556" t="s">
        <v>2752</v>
      </c>
      <c r="C140" s="557">
        <v>1</v>
      </c>
      <c r="D140" s="558">
        <v>4</v>
      </c>
      <c r="E140" s="559">
        <v>50658</v>
      </c>
      <c r="F140" s="560">
        <v>30709863076</v>
      </c>
      <c r="G140" s="561" t="str">
        <f>IFERROR(IF(compras_mes8[[#This Row],[CUIT]]="","-",VLOOKUP(compras_mes8[[#This Row],[CUIT]],Lista_CUIT[#All],2,0)),"CUIT NO CARGADO")</f>
        <v>INDUSTRIAS PLASTICOS SALTA S.R.L.</v>
      </c>
      <c r="H140" s="562">
        <v>4000</v>
      </c>
      <c r="I140" s="555">
        <f>IF(compras_mes8[[#This Row],[NETO GRAVADO]]="","",compras_mes8[[#This Row],[NETO GRAVADO]]*0.21)</f>
        <v>840</v>
      </c>
      <c r="J140" s="555"/>
      <c r="K140" s="555"/>
      <c r="L140" s="555"/>
      <c r="M140" s="555"/>
      <c r="N140" s="555"/>
      <c r="O140" s="555"/>
      <c r="P140" s="563">
        <f>SUM(compras_mes8[[#This Row],[NETO GRAVADO]:[Otros / No Grav.]])</f>
        <v>4840</v>
      </c>
      <c r="Q140" s="564" t="str">
        <f>IFERROR(IF(compras_mes8[[#This Row],[CUIT]]="","-",VLOOKUP(compras_mes8[[#This Row],[CUIT]],Lista_CUIT[#All],3,0)),"CUIT NO CARGADO")</f>
        <v>Materia Prima</v>
      </c>
      <c r="R140" s="215">
        <f>IFERROR(IF(compras_mes8[[#This Row],[CUIT]]="","-",VLOOKUP(compras_mes8[[#This Row],[CUIT]],Lista_CUIT[#All],4,0)),"CUIT NO CARGADO")</f>
        <v>0</v>
      </c>
      <c r="T140" s="33"/>
    </row>
    <row r="141" spans="2:20" x14ac:dyDescent="0.25">
      <c r="B141" s="556" t="s">
        <v>2752</v>
      </c>
      <c r="C141" s="557">
        <v>1</v>
      </c>
      <c r="D141" s="558">
        <v>11</v>
      </c>
      <c r="E141" s="559">
        <v>91882</v>
      </c>
      <c r="F141" s="560">
        <v>30534051049</v>
      </c>
      <c r="G141" s="561" t="str">
        <f>IFERROR(IF(compras_mes8[[#This Row],[CUIT]]="","-",VLOOKUP(compras_mes8[[#This Row],[CUIT]],Lista_CUIT[#All],2,0)),"CUIT NO CARGADO")</f>
        <v>PLIN METAL S A</v>
      </c>
      <c r="H141" s="562">
        <v>9654.5300000000007</v>
      </c>
      <c r="I141" s="555">
        <f>IF(compras_mes8[[#This Row],[NETO GRAVADO]]="","",compras_mes8[[#This Row],[NETO GRAVADO]]*0.21)</f>
        <v>2027.4513000000002</v>
      </c>
      <c r="J141" s="555"/>
      <c r="K141" s="555"/>
      <c r="L141" s="555"/>
      <c r="M141" s="555"/>
      <c r="N141" s="555"/>
      <c r="O141" s="555">
        <v>579.27</v>
      </c>
      <c r="P141" s="563">
        <f>SUM(compras_mes8[[#This Row],[NETO GRAVADO]:[Otros / No Grav.]])</f>
        <v>12261.251300000002</v>
      </c>
      <c r="Q141" s="564" t="str">
        <f>IFERROR(IF(compras_mes8[[#This Row],[CUIT]]="","-",VLOOKUP(compras_mes8[[#This Row],[CUIT]],Lista_CUIT[#All],3,0)),"CUIT NO CARGADO")</f>
        <v>Materia Prima</v>
      </c>
      <c r="R141" s="215">
        <f>IFERROR(IF(compras_mes8[[#This Row],[CUIT]]="","-",VLOOKUP(compras_mes8[[#This Row],[CUIT]],Lista_CUIT[#All],4,0)),"CUIT NO CARGADO")</f>
        <v>0</v>
      </c>
      <c r="T141" s="33"/>
    </row>
    <row r="142" spans="2:20" x14ac:dyDescent="0.25">
      <c r="B142" s="556" t="s">
        <v>2754</v>
      </c>
      <c r="C142" s="557">
        <v>1</v>
      </c>
      <c r="D142" s="558">
        <v>11</v>
      </c>
      <c r="E142" s="559">
        <v>92102</v>
      </c>
      <c r="F142" s="560">
        <v>30534051049</v>
      </c>
      <c r="G142" s="561" t="str">
        <f>IFERROR(IF(compras_mes8[[#This Row],[CUIT]]="","-",VLOOKUP(compras_mes8[[#This Row],[CUIT]],Lista_CUIT[#All],2,0)),"CUIT NO CARGADO")</f>
        <v>PLIN METAL S A</v>
      </c>
      <c r="H142" s="562">
        <v>20308.490000000002</v>
      </c>
      <c r="I142" s="555">
        <f>IF(compras_mes8[[#This Row],[NETO GRAVADO]]="","",compras_mes8[[#This Row],[NETO GRAVADO]]*0.21)</f>
        <v>4264.7829000000002</v>
      </c>
      <c r="J142" s="555"/>
      <c r="K142" s="555"/>
      <c r="L142" s="555"/>
      <c r="M142" s="555"/>
      <c r="N142" s="555"/>
      <c r="O142" s="555">
        <v>1218.51</v>
      </c>
      <c r="P142" s="563">
        <f>SUM(compras_mes8[[#This Row],[NETO GRAVADO]:[Otros / No Grav.]])</f>
        <v>25791.782900000002</v>
      </c>
      <c r="Q142" s="564" t="str">
        <f>IFERROR(IF(compras_mes8[[#This Row],[CUIT]]="","-",VLOOKUP(compras_mes8[[#This Row],[CUIT]],Lista_CUIT[#All],3,0)),"CUIT NO CARGADO")</f>
        <v>Materia Prima</v>
      </c>
      <c r="R142" s="215">
        <f>IFERROR(IF(compras_mes8[[#This Row],[CUIT]]="","-",VLOOKUP(compras_mes8[[#This Row],[CUIT]],Lista_CUIT[#All],4,0)),"CUIT NO CARGADO")</f>
        <v>0</v>
      </c>
      <c r="T142" s="33"/>
    </row>
    <row r="143" spans="2:20" x14ac:dyDescent="0.25">
      <c r="B143" s="556" t="s">
        <v>2755</v>
      </c>
      <c r="C143" s="557">
        <v>1</v>
      </c>
      <c r="D143" s="558">
        <v>11</v>
      </c>
      <c r="E143" s="559">
        <v>92253</v>
      </c>
      <c r="F143" s="560">
        <v>30534051049</v>
      </c>
      <c r="G143" s="561" t="str">
        <f>IFERROR(IF(compras_mes8[[#This Row],[CUIT]]="","-",VLOOKUP(compras_mes8[[#This Row],[CUIT]],Lista_CUIT[#All],2,0)),"CUIT NO CARGADO")</f>
        <v>PLIN METAL S A</v>
      </c>
      <c r="H143" s="562">
        <v>26054.63</v>
      </c>
      <c r="I143" s="555">
        <f>IF(compras_mes8[[#This Row],[NETO GRAVADO]]="","",compras_mes8[[#This Row],[NETO GRAVADO]]*0.21)</f>
        <v>5471.4723000000004</v>
      </c>
      <c r="J143" s="555"/>
      <c r="K143" s="555"/>
      <c r="L143" s="555"/>
      <c r="M143" s="555"/>
      <c r="N143" s="555"/>
      <c r="O143" s="555">
        <v>1563.28</v>
      </c>
      <c r="P143" s="563">
        <f>SUM(compras_mes8[[#This Row],[NETO GRAVADO]:[Otros / No Grav.]])</f>
        <v>33089.382300000005</v>
      </c>
      <c r="Q143" s="564" t="str">
        <f>IFERROR(IF(compras_mes8[[#This Row],[CUIT]]="","-",VLOOKUP(compras_mes8[[#This Row],[CUIT]],Lista_CUIT[#All],3,0)),"CUIT NO CARGADO")</f>
        <v>Materia Prima</v>
      </c>
      <c r="R143" s="215">
        <f>IFERROR(IF(compras_mes8[[#This Row],[CUIT]]="","-",VLOOKUP(compras_mes8[[#This Row],[CUIT]],Lista_CUIT[#All],4,0)),"CUIT NO CARGADO")</f>
        <v>0</v>
      </c>
      <c r="T143" s="33"/>
    </row>
    <row r="144" spans="2:20" x14ac:dyDescent="0.25">
      <c r="B144" s="207" t="s">
        <v>2767</v>
      </c>
      <c r="C144" s="208">
        <v>1</v>
      </c>
      <c r="D144" s="209">
        <v>7</v>
      </c>
      <c r="E144" s="225">
        <v>15488</v>
      </c>
      <c r="F144" s="210">
        <v>30708017759</v>
      </c>
      <c r="G144" s="211" t="str">
        <f>IFERROR(IF(compras_mes8[[#This Row],[CUIT]]="","-",VLOOKUP(compras_mes8[[#This Row],[CUIT]],Lista_CUIT[#All],2,0)),"CUIT NO CARGADO")</f>
        <v>NEW  HIGH PACK  SA</v>
      </c>
      <c r="H144" s="212">
        <v>1311552</v>
      </c>
      <c r="I144" s="213">
        <f>IF(compras_mes8[[#This Row],[NETO GRAVADO]]="","",compras_mes8[[#This Row],[NETO GRAVADO]]*0.21)</f>
        <v>275425.91999999998</v>
      </c>
      <c r="J144" s="213"/>
      <c r="K144" s="213"/>
      <c r="L144" s="213"/>
      <c r="M144" s="213"/>
      <c r="N144" s="213"/>
      <c r="O144" s="213">
        <v>78693.119999999995</v>
      </c>
      <c r="P144" s="353">
        <f>SUM(compras_mes8[[#This Row],[NETO GRAVADO]:[Otros / No Grav.]])</f>
        <v>1665671.04</v>
      </c>
      <c r="Q144" s="215" t="str">
        <f>IFERROR(IF(compras_mes8[[#This Row],[CUIT]]="","-",VLOOKUP(compras_mes8[[#This Row],[CUIT]],Lista_CUIT[#All],3,0)),"CUIT NO CARGADO")</f>
        <v>Material de Empaque</v>
      </c>
      <c r="R144" s="215">
        <f>IFERROR(IF(compras_mes8[[#This Row],[CUIT]]="","-",VLOOKUP(compras_mes8[[#This Row],[CUIT]],Lista_CUIT[#All],4,0)),"CUIT NO CARGADO")</f>
        <v>0</v>
      </c>
      <c r="T144" s="33"/>
    </row>
    <row r="145" spans="1:20" x14ac:dyDescent="0.25">
      <c r="B145" s="207" t="s">
        <v>2767</v>
      </c>
      <c r="C145" s="208">
        <v>1</v>
      </c>
      <c r="D145" s="209">
        <v>2</v>
      </c>
      <c r="E145" s="225">
        <v>915</v>
      </c>
      <c r="F145" s="210">
        <v>20103069832</v>
      </c>
      <c r="G145" s="211" t="str">
        <f>IFERROR(IF(compras_mes8[[#This Row],[CUIT]]="","-",VLOOKUP(compras_mes8[[#This Row],[CUIT]],Lista_CUIT[#All],2,0)),"CUIT NO CARGADO")</f>
        <v>DE LUCA HECTOR RAFAEL FRANCI</v>
      </c>
      <c r="H145" s="212">
        <v>3000000</v>
      </c>
      <c r="I145" s="213">
        <f>IF(compras_mes8[[#This Row],[NETO GRAVADO]]="","",compras_mes8[[#This Row],[NETO GRAVADO]]*0.21)</f>
        <v>630000</v>
      </c>
      <c r="J145" s="213"/>
      <c r="K145" s="213"/>
      <c r="L145" s="213"/>
      <c r="M145" s="213"/>
      <c r="N145" s="213"/>
      <c r="O145" s="213"/>
      <c r="P145" s="214">
        <f>SUM(compras_mes8[[#This Row],[NETO GRAVADO]:[Otros / No Grav.]])</f>
        <v>3630000</v>
      </c>
      <c r="Q145" s="215" t="str">
        <f>IFERROR(IF(compras_mes8[[#This Row],[CUIT]]="","-",VLOOKUP(compras_mes8[[#This Row],[CUIT]],Lista_CUIT[#All],3,0)),"CUIT NO CARGADO")</f>
        <v>Material de Empaque</v>
      </c>
      <c r="R145" s="215">
        <f>IFERROR(IF(compras_mes8[[#This Row],[CUIT]]="","-",VLOOKUP(compras_mes8[[#This Row],[CUIT]],Lista_CUIT[#All],4,0)),"CUIT NO CARGADO")</f>
        <v>0</v>
      </c>
      <c r="T145" s="33"/>
    </row>
    <row r="146" spans="1:20" x14ac:dyDescent="0.25">
      <c r="B146" s="207" t="s">
        <v>2767</v>
      </c>
      <c r="C146" s="208">
        <v>1</v>
      </c>
      <c r="D146" s="209">
        <v>8</v>
      </c>
      <c r="E146" s="225">
        <v>3098</v>
      </c>
      <c r="F146" s="210">
        <v>20310796736</v>
      </c>
      <c r="G146" s="211" t="str">
        <f>IFERROR(IF(compras_mes8[[#This Row],[CUIT]]="","-",VLOOKUP(compras_mes8[[#This Row],[CUIT]],Lista_CUIT[#All],2,0)),"CUIT NO CARGADO")</f>
        <v>CORREA SEBASTIAN NORBERTO</v>
      </c>
      <c r="H146" s="212">
        <v>62000</v>
      </c>
      <c r="I146" s="213">
        <f>IF(compras_mes8[[#This Row],[NETO GRAVADO]]="","",compras_mes8[[#This Row],[NETO GRAVADO]]*0.21)</f>
        <v>13020</v>
      </c>
      <c r="J146" s="213"/>
      <c r="K146" s="213"/>
      <c r="L146" s="213"/>
      <c r="M146" s="213"/>
      <c r="N146" s="213"/>
      <c r="O146" s="213"/>
      <c r="P146" s="353">
        <f>SUM(compras_mes8[[#This Row],[NETO GRAVADO]:[Otros / No Grav.]])</f>
        <v>75020</v>
      </c>
      <c r="Q146" s="215" t="str">
        <f>IFERROR(IF(compras_mes8[[#This Row],[CUIT]]="","-",VLOOKUP(compras_mes8[[#This Row],[CUIT]],Lista_CUIT[#All],3,0)),"CUIT NO CARGADO")</f>
        <v>Material de Empaque</v>
      </c>
      <c r="R146" s="215">
        <f>IFERROR(IF(compras_mes8[[#This Row],[CUIT]]="","-",VLOOKUP(compras_mes8[[#This Row],[CUIT]],Lista_CUIT[#All],4,0)),"CUIT NO CARGADO")</f>
        <v>0</v>
      </c>
      <c r="T146" s="33"/>
    </row>
    <row r="147" spans="1:20" x14ac:dyDescent="0.25">
      <c r="B147" s="207" t="s">
        <v>2744</v>
      </c>
      <c r="C147" s="208">
        <v>1</v>
      </c>
      <c r="D147" s="209">
        <v>1</v>
      </c>
      <c r="E147" s="225">
        <v>3238</v>
      </c>
      <c r="F147" s="210">
        <v>27181689183</v>
      </c>
      <c r="G147" s="211" t="str">
        <f>IFERROR(IF(compras_mes8[[#This Row],[CUIT]]="","-",VLOOKUP(compras_mes8[[#This Row],[CUIT]],Lista_CUIT[#All],2,0)),"CUIT NO CARGADO")</f>
        <v>REPETTO MARIA FERNANDA</v>
      </c>
      <c r="H147" s="212">
        <v>756000</v>
      </c>
      <c r="I147" s="213">
        <f>IF(compras_mes8[[#This Row],[NETO GRAVADO]]="","",compras_mes8[[#This Row],[NETO GRAVADO]]*0.21)</f>
        <v>158760</v>
      </c>
      <c r="J147" s="213"/>
      <c r="K147" s="213"/>
      <c r="L147" s="213"/>
      <c r="M147" s="213"/>
      <c r="N147" s="213"/>
      <c r="O147" s="213"/>
      <c r="P147" s="353">
        <f>SUM(compras_mes8[[#This Row],[NETO GRAVADO]:[Otros / No Grav.]])</f>
        <v>914760</v>
      </c>
      <c r="Q147" s="215" t="str">
        <f>IFERROR(IF(compras_mes8[[#This Row],[CUIT]]="","-",VLOOKUP(compras_mes8[[#This Row],[CUIT]],Lista_CUIT[#All],3,0)),"CUIT NO CARGADO")</f>
        <v>Material de Empaque</v>
      </c>
      <c r="R147" s="215">
        <f>IFERROR(IF(compras_mes8[[#This Row],[CUIT]]="","-",VLOOKUP(compras_mes8[[#This Row],[CUIT]],Lista_CUIT[#All],4,0)),"CUIT NO CARGADO")</f>
        <v>0</v>
      </c>
      <c r="T147" s="33"/>
    </row>
    <row r="148" spans="1:20" x14ac:dyDescent="0.25">
      <c r="B148" s="207" t="s">
        <v>2768</v>
      </c>
      <c r="C148" s="208">
        <v>1</v>
      </c>
      <c r="D148" s="209">
        <v>10</v>
      </c>
      <c r="E148" s="225">
        <v>16324</v>
      </c>
      <c r="F148" s="210">
        <v>30708157755</v>
      </c>
      <c r="G148" s="211" t="str">
        <f>IFERROR(IF(compras_mes8[[#This Row],[CUIT]]="","-",VLOOKUP(compras_mes8[[#This Row],[CUIT]],Lista_CUIT[#All],2,0)),"CUIT NO CARGADO")</f>
        <v>EXPOENVASE SRL</v>
      </c>
      <c r="H148" s="212">
        <v>216000</v>
      </c>
      <c r="I148" s="213">
        <f>IF(compras_mes8[[#This Row],[NETO GRAVADO]]="","",compras_mes8[[#This Row],[NETO GRAVADO]]*0.21)</f>
        <v>45360</v>
      </c>
      <c r="J148" s="213"/>
      <c r="K148" s="213"/>
      <c r="L148" s="213"/>
      <c r="M148" s="213"/>
      <c r="N148" s="213"/>
      <c r="O148" s="213"/>
      <c r="P148" s="353">
        <f>SUM(compras_mes8[[#This Row],[NETO GRAVADO]:[Otros / No Grav.]])</f>
        <v>261360</v>
      </c>
      <c r="Q148" s="215" t="str">
        <f>IFERROR(IF(compras_mes8[[#This Row],[CUIT]]="","-",VLOOKUP(compras_mes8[[#This Row],[CUIT]],Lista_CUIT[#All],3,0)),"CUIT NO CARGADO")</f>
        <v>Material de Empaque</v>
      </c>
      <c r="R148" s="215">
        <f>IFERROR(IF(compras_mes8[[#This Row],[CUIT]]="","-",VLOOKUP(compras_mes8[[#This Row],[CUIT]],Lista_CUIT[#All],4,0)),"CUIT NO CARGADO")</f>
        <v>0</v>
      </c>
      <c r="T148" s="33"/>
    </row>
    <row r="149" spans="1:20" x14ac:dyDescent="0.25">
      <c r="B149" s="207" t="s">
        <v>2768</v>
      </c>
      <c r="C149" s="208">
        <v>1</v>
      </c>
      <c r="D149" s="209">
        <v>9</v>
      </c>
      <c r="E149" s="225">
        <v>915</v>
      </c>
      <c r="F149" s="210">
        <v>30710446047</v>
      </c>
      <c r="G149" s="211" t="str">
        <f>IFERROR(IF(compras_mes8[[#This Row],[CUIT]]="","-",VLOOKUP(compras_mes8[[#This Row],[CUIT]],Lista_CUIT[#All],2,0)),"CUIT NO CARGADO")</f>
        <v>ENSAMBLE GRAFICO S.H.</v>
      </c>
      <c r="H149" s="212">
        <v>1100000</v>
      </c>
      <c r="I149" s="213">
        <f>IF(compras_mes8[[#This Row],[NETO GRAVADO]]="","",compras_mes8[[#This Row],[NETO GRAVADO]]*0.21)</f>
        <v>231000</v>
      </c>
      <c r="J149" s="213"/>
      <c r="K149" s="213"/>
      <c r="L149" s="213"/>
      <c r="M149" s="213"/>
      <c r="N149" s="213"/>
      <c r="O149" s="213"/>
      <c r="P149" s="353">
        <f>SUM(compras_mes8[[#This Row],[NETO GRAVADO]:[Otros / No Grav.]])</f>
        <v>1331000</v>
      </c>
      <c r="Q149" s="215" t="str">
        <f>IFERROR(IF(compras_mes8[[#This Row],[CUIT]]="","-",VLOOKUP(compras_mes8[[#This Row],[CUIT]],Lista_CUIT[#All],3,0)),"CUIT NO CARGADO")</f>
        <v>Material de Empaque</v>
      </c>
      <c r="R149" s="215">
        <f>IFERROR(IF(compras_mes8[[#This Row],[CUIT]]="","-",VLOOKUP(compras_mes8[[#This Row],[CUIT]],Lista_CUIT[#All],4,0)),"CUIT NO CARGADO")</f>
        <v>0</v>
      </c>
    </row>
    <row r="150" spans="1:20" x14ac:dyDescent="0.25">
      <c r="B150" s="207" t="s">
        <v>2747</v>
      </c>
      <c r="C150" s="208">
        <v>1</v>
      </c>
      <c r="D150" s="209">
        <v>6</v>
      </c>
      <c r="E150" s="225">
        <v>10780</v>
      </c>
      <c r="F150" s="210">
        <v>30707603123</v>
      </c>
      <c r="G150" s="211" t="str">
        <f>IFERROR(IF(compras_mes8[[#This Row],[CUIT]]="","-",VLOOKUP(compras_mes8[[#This Row],[CUIT]],Lista_CUIT[#All],2,0)),"CUIT NO CARGADO")</f>
        <v>BI-ORIENT S.A.</v>
      </c>
      <c r="H150" s="212">
        <v>774200</v>
      </c>
      <c r="I150" s="213">
        <f>IF(compras_mes8[[#This Row],[NETO GRAVADO]]="","",compras_mes8[[#This Row],[NETO GRAVADO]]*0.21)</f>
        <v>162582</v>
      </c>
      <c r="J150" s="213"/>
      <c r="K150" s="213"/>
      <c r="L150" s="213"/>
      <c r="M150" s="213"/>
      <c r="N150" s="213"/>
      <c r="O150" s="213"/>
      <c r="P150" s="353">
        <f>SUM(compras_mes8[[#This Row],[NETO GRAVADO]:[Otros / No Grav.]])</f>
        <v>936782</v>
      </c>
      <c r="Q150" s="215" t="str">
        <f>IFERROR(IF(compras_mes8[[#This Row],[CUIT]]="","-",VLOOKUP(compras_mes8[[#This Row],[CUIT]],Lista_CUIT[#All],3,0)),"CUIT NO CARGADO")</f>
        <v>Material de Empaque</v>
      </c>
      <c r="R150" s="215">
        <f>IFERROR(IF(compras_mes8[[#This Row],[CUIT]]="","-",VLOOKUP(compras_mes8[[#This Row],[CUIT]],Lista_CUIT[#All],4,0)),"CUIT NO CARGADO")</f>
        <v>0</v>
      </c>
    </row>
    <row r="151" spans="1:20" x14ac:dyDescent="0.25">
      <c r="B151" s="207" t="s">
        <v>2747</v>
      </c>
      <c r="C151" s="208">
        <v>1</v>
      </c>
      <c r="D151" s="209">
        <v>2</v>
      </c>
      <c r="E151" s="225">
        <v>917</v>
      </c>
      <c r="F151" s="210">
        <v>20103069832</v>
      </c>
      <c r="G151" s="211" t="str">
        <f>IFERROR(IF(compras_mes8[[#This Row],[CUIT]]="","-",VLOOKUP(compras_mes8[[#This Row],[CUIT]],Lista_CUIT[#All],2,0)),"CUIT NO CARGADO")</f>
        <v>DE LUCA HECTOR RAFAEL FRANCI</v>
      </c>
      <c r="H151" s="212">
        <v>2251200</v>
      </c>
      <c r="I151" s="213">
        <f>IF(compras_mes8[[#This Row],[NETO GRAVADO]]="","",compras_mes8[[#This Row],[NETO GRAVADO]]*0.21)</f>
        <v>472752</v>
      </c>
      <c r="J151" s="213"/>
      <c r="K151" s="213"/>
      <c r="L151" s="213"/>
      <c r="M151" s="213"/>
      <c r="N151" s="213"/>
      <c r="O151" s="213"/>
      <c r="P151" s="353">
        <f>SUM(compras_mes8[[#This Row],[NETO GRAVADO]:[Otros / No Grav.]])</f>
        <v>2723952</v>
      </c>
      <c r="Q151" s="215" t="str">
        <f>IFERROR(IF(compras_mes8[[#This Row],[CUIT]]="","-",VLOOKUP(compras_mes8[[#This Row],[CUIT]],Lista_CUIT[#All],3,0)),"CUIT NO CARGADO")</f>
        <v>Material de Empaque</v>
      </c>
      <c r="R151" s="215">
        <f>IFERROR(IF(compras_mes8[[#This Row],[CUIT]]="","-",VLOOKUP(compras_mes8[[#This Row],[CUIT]],Lista_CUIT[#All],4,0)),"CUIT NO CARGADO")</f>
        <v>0</v>
      </c>
    </row>
    <row r="152" spans="1:20" x14ac:dyDescent="0.25">
      <c r="B152" s="207" t="s">
        <v>2747</v>
      </c>
      <c r="C152" s="208">
        <v>1</v>
      </c>
      <c r="D152" s="209">
        <v>2</v>
      </c>
      <c r="E152" s="225">
        <v>918</v>
      </c>
      <c r="F152" s="210">
        <v>20103069832</v>
      </c>
      <c r="G152" s="211" t="str">
        <f>IFERROR(IF(compras_mes8[[#This Row],[CUIT]]="","-",VLOOKUP(compras_mes8[[#This Row],[CUIT]],Lista_CUIT[#All],2,0)),"CUIT NO CARGADO")</f>
        <v>DE LUCA HECTOR RAFAEL FRANCI</v>
      </c>
      <c r="H152" s="212">
        <v>1327000</v>
      </c>
      <c r="I152" s="213">
        <f>IF(compras_mes8[[#This Row],[NETO GRAVADO]]="","",compras_mes8[[#This Row],[NETO GRAVADO]]*0.21)</f>
        <v>278670</v>
      </c>
      <c r="J152" s="213"/>
      <c r="K152" s="213"/>
      <c r="L152" s="213"/>
      <c r="M152" s="213"/>
      <c r="N152" s="213"/>
      <c r="O152" s="213"/>
      <c r="P152" s="353">
        <f>SUM(compras_mes8[[#This Row],[NETO GRAVADO]:[Otros / No Grav.]])</f>
        <v>1605670</v>
      </c>
      <c r="Q152" s="215" t="str">
        <f>IFERROR(IF(compras_mes8[[#This Row],[CUIT]]="","-",VLOOKUP(compras_mes8[[#This Row],[CUIT]],Lista_CUIT[#All],3,0)),"CUIT NO CARGADO")</f>
        <v>Material de Empaque</v>
      </c>
      <c r="R152" s="215">
        <f>IFERROR(IF(compras_mes8[[#This Row],[CUIT]]="","-",VLOOKUP(compras_mes8[[#This Row],[CUIT]],Lista_CUIT[#All],4,0)),"CUIT NO CARGADO")</f>
        <v>0</v>
      </c>
    </row>
    <row r="153" spans="1:20" x14ac:dyDescent="0.25">
      <c r="B153" s="207" t="s">
        <v>2748</v>
      </c>
      <c r="C153" s="208">
        <v>1</v>
      </c>
      <c r="D153" s="209">
        <v>2</v>
      </c>
      <c r="E153" s="225">
        <v>923</v>
      </c>
      <c r="F153" s="210">
        <v>20103069832</v>
      </c>
      <c r="G153" s="211" t="str">
        <f>IFERROR(IF(compras_mes8[[#This Row],[CUIT]]="","-",VLOOKUP(compras_mes8[[#This Row],[CUIT]],Lista_CUIT[#All],2,0)),"CUIT NO CARGADO")</f>
        <v>DE LUCA HECTOR RAFAEL FRANCI</v>
      </c>
      <c r="H153" s="212">
        <v>9280950</v>
      </c>
      <c r="I153" s="213">
        <f>IF(compras_mes8[[#This Row],[NETO GRAVADO]]="","",compras_mes8[[#This Row],[NETO GRAVADO]]*0.21)</f>
        <v>1948999.5</v>
      </c>
      <c r="J153" s="213"/>
      <c r="K153" s="213"/>
      <c r="L153" s="213"/>
      <c r="M153" s="213"/>
      <c r="N153" s="213"/>
      <c r="O153" s="213"/>
      <c r="P153" s="214">
        <f>SUM(compras_mes8[[#This Row],[NETO GRAVADO]:[Otros / No Grav.]])</f>
        <v>11229949.5</v>
      </c>
      <c r="Q153" s="215" t="str">
        <f>IFERROR(IF(compras_mes8[[#This Row],[CUIT]]="","-",VLOOKUP(compras_mes8[[#This Row],[CUIT]],Lista_CUIT[#All],3,0)),"CUIT NO CARGADO")</f>
        <v>Material de Empaque</v>
      </c>
      <c r="R153" s="215">
        <f>IFERROR(IF(compras_mes8[[#This Row],[CUIT]]="","-",VLOOKUP(compras_mes8[[#This Row],[CUIT]],Lista_CUIT[#All],4,0)),"CUIT NO CARGADO")</f>
        <v>0</v>
      </c>
    </row>
    <row r="154" spans="1:20" x14ac:dyDescent="0.25">
      <c r="B154" s="207" t="s">
        <v>2748</v>
      </c>
      <c r="C154" s="208">
        <v>1</v>
      </c>
      <c r="D154" s="209">
        <v>2</v>
      </c>
      <c r="E154" s="225">
        <v>924</v>
      </c>
      <c r="F154" s="210">
        <v>20103069832</v>
      </c>
      <c r="G154" s="211" t="str">
        <f>IFERROR(IF(compras_mes8[[#This Row],[CUIT]]="","-",VLOOKUP(compras_mes8[[#This Row],[CUIT]],Lista_CUIT[#All],2,0)),"CUIT NO CARGADO")</f>
        <v>DE LUCA HECTOR RAFAEL FRANCI</v>
      </c>
      <c r="H154" s="212">
        <v>1160000</v>
      </c>
      <c r="I154" s="213">
        <f>IF(compras_mes8[[#This Row],[NETO GRAVADO]]="","",compras_mes8[[#This Row],[NETO GRAVADO]]*0.21)</f>
        <v>243600</v>
      </c>
      <c r="J154" s="213"/>
      <c r="K154" s="213"/>
      <c r="L154" s="213"/>
      <c r="M154" s="213"/>
      <c r="N154" s="213"/>
      <c r="O154" s="213"/>
      <c r="P154" s="353">
        <f>SUM(compras_mes8[[#This Row],[NETO GRAVADO]:[Otros / No Grav.]])</f>
        <v>1403600</v>
      </c>
      <c r="Q154" s="215" t="str">
        <f>IFERROR(IF(compras_mes8[[#This Row],[CUIT]]="","-",VLOOKUP(compras_mes8[[#This Row],[CUIT]],Lista_CUIT[#All],3,0)),"CUIT NO CARGADO")</f>
        <v>Material de Empaque</v>
      </c>
      <c r="R154" s="215">
        <f>IFERROR(IF(compras_mes8[[#This Row],[CUIT]]="","-",VLOOKUP(compras_mes8[[#This Row],[CUIT]],Lista_CUIT[#All],4,0)),"CUIT NO CARGADO")</f>
        <v>0</v>
      </c>
    </row>
    <row r="155" spans="1:20" x14ac:dyDescent="0.25">
      <c r="B155" s="207" t="s">
        <v>2751</v>
      </c>
      <c r="C155" s="208">
        <v>1</v>
      </c>
      <c r="D155" s="209">
        <v>9</v>
      </c>
      <c r="E155" s="225">
        <v>917</v>
      </c>
      <c r="F155" s="210">
        <v>30710446047</v>
      </c>
      <c r="G155" s="211" t="str">
        <f>IFERROR(IF(compras_mes8[[#This Row],[CUIT]]="","-",VLOOKUP(compras_mes8[[#This Row],[CUIT]],Lista_CUIT[#All],2,0)),"CUIT NO CARGADO")</f>
        <v>ENSAMBLE GRAFICO S.H.</v>
      </c>
      <c r="H155" s="212">
        <v>6551520</v>
      </c>
      <c r="I155" s="213">
        <f>IF(compras_mes8[[#This Row],[NETO GRAVADO]]="","",compras_mes8[[#This Row],[NETO GRAVADO]]*0.21)</f>
        <v>1375819.2</v>
      </c>
      <c r="J155" s="213"/>
      <c r="K155" s="213"/>
      <c r="L155" s="213"/>
      <c r="M155" s="213"/>
      <c r="N155" s="213"/>
      <c r="O155" s="213"/>
      <c r="P155" s="353">
        <f>SUM(compras_mes8[[#This Row],[NETO GRAVADO]:[Otros / No Grav.]])</f>
        <v>7927339.2000000002</v>
      </c>
      <c r="Q155" s="215" t="str">
        <f>IFERROR(IF(compras_mes8[[#This Row],[CUIT]]="","-",VLOOKUP(compras_mes8[[#This Row],[CUIT]],Lista_CUIT[#All],3,0)),"CUIT NO CARGADO")</f>
        <v>Material de Empaque</v>
      </c>
      <c r="R155" s="215">
        <f>IFERROR(IF(compras_mes8[[#This Row],[CUIT]]="","-",VLOOKUP(compras_mes8[[#This Row],[CUIT]],Lista_CUIT[#All],4,0)),"CUIT NO CARGADO")</f>
        <v>0</v>
      </c>
    </row>
    <row r="156" spans="1:20" x14ac:dyDescent="0.25">
      <c r="B156" s="207" t="s">
        <v>2755</v>
      </c>
      <c r="C156" s="208">
        <v>1</v>
      </c>
      <c r="D156" s="209">
        <v>7</v>
      </c>
      <c r="E156" s="225">
        <v>15686</v>
      </c>
      <c r="F156" s="210">
        <v>30708017759</v>
      </c>
      <c r="G156" s="211" t="str">
        <f>IFERROR(IF(compras_mes8[[#This Row],[CUIT]]="","-",VLOOKUP(compras_mes8[[#This Row],[CUIT]],Lista_CUIT[#All],2,0)),"CUIT NO CARGADO")</f>
        <v>NEW  HIGH PACK  SA</v>
      </c>
      <c r="H156" s="212">
        <v>7027800</v>
      </c>
      <c r="I156" s="213">
        <f>IF(compras_mes8[[#This Row],[NETO GRAVADO]]="","",compras_mes8[[#This Row],[NETO GRAVADO]]*0.21)</f>
        <v>1475838</v>
      </c>
      <c r="J156" s="213"/>
      <c r="K156" s="213"/>
      <c r="L156" s="213"/>
      <c r="M156" s="213"/>
      <c r="N156" s="213"/>
      <c r="O156" s="213">
        <v>421668</v>
      </c>
      <c r="P156" s="353">
        <f>SUM(compras_mes8[[#This Row],[NETO GRAVADO]:[Otros / No Grav.]])</f>
        <v>8925306</v>
      </c>
      <c r="Q156" s="215" t="str">
        <f>IFERROR(IF(compras_mes8[[#This Row],[CUIT]]="","-",VLOOKUP(compras_mes8[[#This Row],[CUIT]],Lista_CUIT[#All],3,0)),"CUIT NO CARGADO")</f>
        <v>Material de Empaque</v>
      </c>
      <c r="R156" s="215">
        <f>IFERROR(IF(compras_mes8[[#This Row],[CUIT]]="","-",VLOOKUP(compras_mes8[[#This Row],[CUIT]],Lista_CUIT[#All],4,0)),"CUIT NO CARGADO")</f>
        <v>0</v>
      </c>
    </row>
    <row r="157" spans="1:20" x14ac:dyDescent="0.25">
      <c r="B157" s="546" t="s">
        <v>2753</v>
      </c>
      <c r="C157" s="208">
        <v>1</v>
      </c>
      <c r="D157" s="487">
        <v>4</v>
      </c>
      <c r="E157" s="548">
        <v>5634</v>
      </c>
      <c r="F157" s="549">
        <v>30585948817</v>
      </c>
      <c r="G157" s="550" t="str">
        <f>IFERROR(IF(compras_mes8[[#This Row],[CUIT]]="","-",VLOOKUP(compras_mes8[[#This Row],[CUIT]],Lista_CUIT[#All],2,0)),"CUIT NO CARGADO")</f>
        <v xml:space="preserve">GLASCAR </v>
      </c>
      <c r="H157" s="551">
        <v>79235.22</v>
      </c>
      <c r="I157" s="552">
        <f>IF(compras_mes8[[#This Row],[NETO GRAVADO]]="","",compras_mes8[[#This Row],[NETO GRAVADO]]*0.21)</f>
        <v>16639.396199999999</v>
      </c>
      <c r="J157" s="552"/>
      <c r="K157" s="552"/>
      <c r="L157" s="552"/>
      <c r="M157" s="552"/>
      <c r="N157" s="552"/>
      <c r="O157" s="552"/>
      <c r="P157" s="553">
        <f>SUM(compras_mes8[[#This Row],[NETO GRAVADO]:[Otros / No Grav.]])</f>
        <v>95874.616200000004</v>
      </c>
      <c r="Q157" s="554" t="str">
        <f>IFERROR(IF(compras_mes8[[#This Row],[CUIT]]="","-",VLOOKUP(compras_mes8[[#This Row],[CUIT]],Lista_CUIT[#All],3,0)),"CUIT NO CARGADO")</f>
        <v>Material de Empaque</v>
      </c>
      <c r="R157" s="554">
        <f>IFERROR(IF(compras_mes8[[#This Row],[CUIT]]="","-",VLOOKUP(compras_mes8[[#This Row],[CUIT]],Lista_CUIT[#All],4,0)),"CUIT NO CARGADO")</f>
        <v>0</v>
      </c>
    </row>
    <row r="158" spans="1:20" x14ac:dyDescent="0.25">
      <c r="B158" s="546" t="s">
        <v>2747</v>
      </c>
      <c r="C158" s="208">
        <v>3</v>
      </c>
      <c r="D158" s="487">
        <v>2</v>
      </c>
      <c r="E158" s="548">
        <v>26</v>
      </c>
      <c r="F158" s="549">
        <v>20103069832</v>
      </c>
      <c r="G158" s="550" t="str">
        <f>IFERROR(IF(compras_mes8[[#This Row],[CUIT]]="","-",VLOOKUP(compras_mes8[[#This Row],[CUIT]],Lista_CUIT[#All],2,0)),"CUIT NO CARGADO")</f>
        <v>DE LUCA HECTOR RAFAEL FRANCI</v>
      </c>
      <c r="H158" s="551">
        <v>-3000000</v>
      </c>
      <c r="I158" s="552">
        <f>IF(compras_mes8[[#This Row],[NETO GRAVADO]]="","",compras_mes8[[#This Row],[NETO GRAVADO]]*0.21)</f>
        <v>-630000</v>
      </c>
      <c r="J158" s="552"/>
      <c r="K158" s="552"/>
      <c r="L158" s="552"/>
      <c r="M158" s="552"/>
      <c r="N158" s="552"/>
      <c r="O158" s="552"/>
      <c r="P158" s="553">
        <f>SUM(compras_mes8[[#This Row],[NETO GRAVADO]:[Otros / No Grav.]])</f>
        <v>-3630000</v>
      </c>
      <c r="Q158" s="554" t="str">
        <f>IFERROR(IF(compras_mes8[[#This Row],[CUIT]]="","-",VLOOKUP(compras_mes8[[#This Row],[CUIT]],Lista_CUIT[#All],3,0)),"CUIT NO CARGADO")</f>
        <v>Material de Empaque</v>
      </c>
      <c r="R158" s="554">
        <f>IFERROR(IF(compras_mes8[[#This Row],[CUIT]]="","-",VLOOKUP(compras_mes8[[#This Row],[CUIT]],Lista_CUIT[#All],4,0)),"CUIT NO CARGADO")</f>
        <v>0</v>
      </c>
    </row>
    <row r="159" spans="1:20" x14ac:dyDescent="0.25">
      <c r="A159" s="174"/>
      <c r="B159" s="556" t="s">
        <v>2749</v>
      </c>
      <c r="C159" s="557">
        <v>1</v>
      </c>
      <c r="D159" s="558">
        <v>3</v>
      </c>
      <c r="E159" s="559">
        <v>282</v>
      </c>
      <c r="F159" s="560">
        <v>20202970940</v>
      </c>
      <c r="G159" s="561" t="str">
        <f>IFERROR(IF(compras_mes8[[#This Row],[CUIT]]="","-",VLOOKUP(compras_mes8[[#This Row],[CUIT]],Lista_CUIT[#All],2,0)),"CUIT NO CARGADO")</f>
        <v xml:space="preserve">ALEJANDRO TRAIBER </v>
      </c>
      <c r="H159" s="562">
        <v>5078000</v>
      </c>
      <c r="I159" s="555">
        <f>IF(compras_mes8[[#This Row],[NETO GRAVADO]]="","",compras_mes8[[#This Row],[NETO GRAVADO]]*0.21)</f>
        <v>1066380</v>
      </c>
      <c r="J159" s="555"/>
      <c r="K159" s="555"/>
      <c r="L159" s="555"/>
      <c r="M159" s="555"/>
      <c r="N159" s="555"/>
      <c r="O159" s="555"/>
      <c r="P159" s="563">
        <f>SUM(compras_mes8[[#This Row],[NETO GRAVADO]:[Otros / No Grav.]])</f>
        <v>6144380</v>
      </c>
      <c r="Q159" s="564" t="str">
        <f>IFERROR(IF(compras_mes8[[#This Row],[CUIT]]="","-",VLOOKUP(compras_mes8[[#This Row],[CUIT]],Lista_CUIT[#All],3,0)),"CUIT NO CARGADO")</f>
        <v>Mercaderia</v>
      </c>
      <c r="R159" s="215">
        <f>IFERROR(IF(compras_mes8[[#This Row],[CUIT]]="","-",VLOOKUP(compras_mes8[[#This Row],[CUIT]],Lista_CUIT[#All],4,0)),"CUIT NO CARGADO")</f>
        <v>0</v>
      </c>
      <c r="S159" t="s">
        <v>1823</v>
      </c>
    </row>
    <row r="160" spans="1:20" x14ac:dyDescent="0.25">
      <c r="A160" s="174"/>
      <c r="B160" s="556" t="s">
        <v>2753</v>
      </c>
      <c r="C160" s="557">
        <v>1</v>
      </c>
      <c r="D160" s="558">
        <v>4</v>
      </c>
      <c r="E160" s="559">
        <v>3316</v>
      </c>
      <c r="F160" s="560">
        <v>30617209094</v>
      </c>
      <c r="G160" s="561" t="str">
        <f>IFERROR(IF(compras_mes8[[#This Row],[CUIT]]="","-",VLOOKUP(compras_mes8[[#This Row],[CUIT]],Lista_CUIT[#All],2,0)),"CUIT NO CARGADO")</f>
        <v>COSMETICA FACECOLOR SA</v>
      </c>
      <c r="H160" s="562">
        <v>985800</v>
      </c>
      <c r="I160" s="555">
        <f>IF(compras_mes8[[#This Row],[NETO GRAVADO]]="","",compras_mes8[[#This Row],[NETO GRAVADO]]*0.21)</f>
        <v>207018</v>
      </c>
      <c r="J160" s="555"/>
      <c r="K160" s="555"/>
      <c r="L160" s="555"/>
      <c r="M160" s="555"/>
      <c r="N160" s="555"/>
      <c r="O160" s="555"/>
      <c r="P160" s="563">
        <f>SUM(compras_mes8[[#This Row],[NETO GRAVADO]:[Otros / No Grav.]])</f>
        <v>1192818</v>
      </c>
      <c r="Q160" s="564" t="str">
        <f>IFERROR(IF(compras_mes8[[#This Row],[CUIT]]="","-",VLOOKUP(compras_mes8[[#This Row],[CUIT]],Lista_CUIT[#All],3,0)),"CUIT NO CARGADO")</f>
        <v>Mercaderia</v>
      </c>
      <c r="R160" s="215">
        <f>IFERROR(IF(compras_mes8[[#This Row],[CUIT]]="","-",VLOOKUP(compras_mes8[[#This Row],[CUIT]],Lista_CUIT[#All],4,0)),"CUIT NO CARGADO")</f>
        <v>0</v>
      </c>
    </row>
    <row r="161" spans="1:18" x14ac:dyDescent="0.25">
      <c r="A161" s="174"/>
      <c r="B161" s="556" t="s">
        <v>2755</v>
      </c>
      <c r="C161" s="557">
        <v>1</v>
      </c>
      <c r="D161" s="558">
        <v>5</v>
      </c>
      <c r="E161" s="559">
        <v>5294</v>
      </c>
      <c r="F161" s="560">
        <v>30617209094</v>
      </c>
      <c r="G161" s="561" t="str">
        <f>IFERROR(IF(compras_mes8[[#This Row],[CUIT]]="","-",VLOOKUP(compras_mes8[[#This Row],[CUIT]],Lista_CUIT[#All],2,0)),"CUIT NO CARGADO")</f>
        <v>COSMETICA FACECOLOR SA</v>
      </c>
      <c r="H161" s="562">
        <v>9180100.8000000007</v>
      </c>
      <c r="I161" s="555">
        <f>IF(compras_mes8[[#This Row],[NETO GRAVADO]]="","",compras_mes8[[#This Row],[NETO GRAVADO]]*0.21)</f>
        <v>1927821.1680000001</v>
      </c>
      <c r="J161" s="555"/>
      <c r="K161" s="555"/>
      <c r="L161" s="555"/>
      <c r="M161" s="555"/>
      <c r="N161" s="555"/>
      <c r="O161" s="555"/>
      <c r="P161" s="563">
        <f>SUM(compras_mes8[[#This Row],[NETO GRAVADO]:[Otros / No Grav.]])</f>
        <v>11107921.968</v>
      </c>
      <c r="Q161" s="564" t="str">
        <f>IFERROR(IF(compras_mes8[[#This Row],[CUIT]]="","-",VLOOKUP(compras_mes8[[#This Row],[CUIT]],Lista_CUIT[#All],3,0)),"CUIT NO CARGADO")</f>
        <v>Mercaderia</v>
      </c>
      <c r="R161" s="215">
        <f>IFERROR(IF(compras_mes8[[#This Row],[CUIT]]="","-",VLOOKUP(compras_mes8[[#This Row],[CUIT]],Lista_CUIT[#All],4,0)),"CUIT NO CARGADO")</f>
        <v>0</v>
      </c>
    </row>
    <row r="162" spans="1:18" x14ac:dyDescent="0.25">
      <c r="A162" s="174"/>
      <c r="B162" s="556" t="s">
        <v>2776</v>
      </c>
      <c r="C162" s="557">
        <v>1</v>
      </c>
      <c r="D162" s="558">
        <v>10</v>
      </c>
      <c r="E162" s="559">
        <v>39343</v>
      </c>
      <c r="F162" s="560">
        <v>30681484635</v>
      </c>
      <c r="G162" s="561" t="str">
        <f>IFERROR(IF(compras_mes8[[#This Row],[CUIT]]="","-",VLOOKUP(compras_mes8[[#This Row],[CUIT]],Lista_CUIT[#All],2,0)),"CUIT NO CARGADO")</f>
        <v>Ionics S.A.</v>
      </c>
      <c r="H162" s="562">
        <v>103305.84</v>
      </c>
      <c r="I162" s="555">
        <f>IF(compras_mes8[[#This Row],[NETO GRAVADO]]="","",compras_mes8[[#This Row],[NETO GRAVADO]]*0.21)</f>
        <v>21694.2264</v>
      </c>
      <c r="J162" s="555"/>
      <c r="K162" s="555"/>
      <c r="L162" s="555"/>
      <c r="M162" s="555"/>
      <c r="N162" s="555"/>
      <c r="O162" s="555"/>
      <c r="P162" s="563">
        <f>SUM(compras_mes8[[#This Row],[NETO GRAVADO]:[Otros / No Grav.]])</f>
        <v>125000.0664</v>
      </c>
      <c r="Q162" s="564" t="str">
        <f>IFERROR(IF(compras_mes8[[#This Row],[CUIT]]="","-",VLOOKUP(compras_mes8[[#This Row],[CUIT]],Lista_CUIT[#All],3,0)),"CUIT NO CARGADO")</f>
        <v>Mercaderia</v>
      </c>
      <c r="R162" s="215">
        <f>IFERROR(IF(compras_mes8[[#This Row],[CUIT]]="","-",VLOOKUP(compras_mes8[[#This Row],[CUIT]],Lista_CUIT[#All],4,0)),"CUIT NO CARGADO")</f>
        <v>0</v>
      </c>
    </row>
    <row r="163" spans="1:18" x14ac:dyDescent="0.25">
      <c r="B163" s="207" t="s">
        <v>2745</v>
      </c>
      <c r="C163" s="208">
        <v>1</v>
      </c>
      <c r="D163" s="209">
        <v>3034</v>
      </c>
      <c r="E163" s="225">
        <v>9043937</v>
      </c>
      <c r="F163" s="210">
        <v>30708574836</v>
      </c>
      <c r="G163" s="211" t="str">
        <f>IFERROR(IF(compras_mes8[[#This Row],[CUIT]]="","-",VLOOKUP(compras_mes8[[#This Row],[CUIT]],Lista_CUIT[#All],2,0)),"CUIT NO CARGADO")</f>
        <v>CORREO OFICIAL DE LA REPUBLICA ARGENTINA SOCIEDAD ANONIMA</v>
      </c>
      <c r="H163" s="212">
        <v>6932.23</v>
      </c>
      <c r="I163" s="213">
        <f>IF(compras_mes8[[#This Row],[NETO GRAVADO]]="","",compras_mes8[[#This Row],[NETO GRAVADO]]*0.21)</f>
        <v>1455.7683</v>
      </c>
      <c r="J163" s="213"/>
      <c r="K163" s="213"/>
      <c r="L163" s="213"/>
      <c r="M163" s="213"/>
      <c r="N163" s="213"/>
      <c r="O163" s="213"/>
      <c r="P163" s="214">
        <f>SUM(compras_mes8[[#This Row],[NETO GRAVADO]:[Otros / No Grav.]])</f>
        <v>8387.9982999999993</v>
      </c>
      <c r="Q163" s="215" t="str">
        <f>IFERROR(IF(compras_mes8[[#This Row],[CUIT]]="","-",VLOOKUP(compras_mes8[[#This Row],[CUIT]],Lista_CUIT[#All],3,0)),"CUIT NO CARGADO")</f>
        <v>MESAJERIA</v>
      </c>
      <c r="R163" s="215">
        <f>IFERROR(IF(compras_mes8[[#This Row],[CUIT]]="","-",VLOOKUP(compras_mes8[[#This Row],[CUIT]],Lista_CUIT[#All],4,0)),"CUIT NO CARGADO")</f>
        <v>0</v>
      </c>
    </row>
    <row r="164" spans="1:18" x14ac:dyDescent="0.25">
      <c r="B164" s="207" t="s">
        <v>2743</v>
      </c>
      <c r="C164" s="208">
        <v>1</v>
      </c>
      <c r="D164" s="209">
        <v>629</v>
      </c>
      <c r="E164" s="225">
        <v>6324932</v>
      </c>
      <c r="F164" s="210">
        <v>30663498513</v>
      </c>
      <c r="G164" s="211" t="str">
        <f>IFERROR(IF(compras_mes8[[#This Row],[CUIT]]="","-",VLOOKUP(compras_mes8[[#This Row],[CUIT]],Lista_CUIT[#All],2,0)),"CUIT NO CARGADO")</f>
        <v>GRUPO CONCES. DEL OESTE SA</v>
      </c>
      <c r="H164" s="212">
        <v>26461.84</v>
      </c>
      <c r="I164" s="213">
        <f>IF(compras_mes8[[#This Row],[NETO GRAVADO]]="","",compras_mes8[[#This Row],[NETO GRAVADO]]*0.21)</f>
        <v>5556.9863999999998</v>
      </c>
      <c r="J164" s="213"/>
      <c r="K164" s="213"/>
      <c r="L164" s="213"/>
      <c r="M164" s="213"/>
      <c r="N164" s="213"/>
      <c r="O164" s="213"/>
      <c r="P164" s="214">
        <f>SUM(compras_mes8[[#This Row],[NETO GRAVADO]:[Otros / No Grav.]])</f>
        <v>32018.826399999998</v>
      </c>
      <c r="Q164" s="215" t="str">
        <f>IFERROR(IF(compras_mes8[[#This Row],[CUIT]]="","-",VLOOKUP(compras_mes8[[#This Row],[CUIT]],Lista_CUIT[#All],3,0)),"CUIT NO CARGADO")</f>
        <v>Peajes</v>
      </c>
      <c r="R164" s="215">
        <f>IFERROR(IF(compras_mes8[[#This Row],[CUIT]]="","-",VLOOKUP(compras_mes8[[#This Row],[CUIT]],Lista_CUIT[#All],4,0)),"CUIT NO CARGADO")</f>
        <v>0</v>
      </c>
    </row>
    <row r="165" spans="1:18" x14ac:dyDescent="0.25">
      <c r="B165" s="207" t="s">
        <v>2743</v>
      </c>
      <c r="C165" s="208">
        <v>1</v>
      </c>
      <c r="D165" s="209">
        <v>711</v>
      </c>
      <c r="E165" s="225">
        <v>7425350</v>
      </c>
      <c r="F165" s="210">
        <v>30677237119</v>
      </c>
      <c r="G165" s="211" t="str">
        <f>IFERROR(IF(compras_mes8[[#This Row],[CUIT]]="","-",VLOOKUP(compras_mes8[[#This Row],[CUIT]],Lista_CUIT[#All],2,0)),"CUIT NO CARGADO")</f>
        <v>AUTOPISTAS DEL SOL S A</v>
      </c>
      <c r="H165" s="212">
        <v>12248.58</v>
      </c>
      <c r="I165" s="213">
        <f>IF(compras_mes8[[#This Row],[NETO GRAVADO]]="","",compras_mes8[[#This Row],[NETO GRAVADO]]*0.21)</f>
        <v>2572.2017999999998</v>
      </c>
      <c r="J165" s="213"/>
      <c r="K165" s="213"/>
      <c r="L165" s="213"/>
      <c r="M165" s="213"/>
      <c r="N165" s="213"/>
      <c r="O165" s="213">
        <v>367.46</v>
      </c>
      <c r="P165" s="214">
        <f>SUM(compras_mes8[[#This Row],[NETO GRAVADO]:[Otros / No Grav.]])</f>
        <v>15188.2418</v>
      </c>
      <c r="Q165" s="215" t="str">
        <f>IFERROR(IF(compras_mes8[[#This Row],[CUIT]]="","-",VLOOKUP(compras_mes8[[#This Row],[CUIT]],Lista_CUIT[#All],3,0)),"CUIT NO CARGADO")</f>
        <v>Peajes</v>
      </c>
      <c r="R165" s="215">
        <f>IFERROR(IF(compras_mes8[[#This Row],[CUIT]]="","-",VLOOKUP(compras_mes8[[#This Row],[CUIT]],Lista_CUIT[#All],4,0)),"CUIT NO CARGADO")</f>
        <v>0</v>
      </c>
    </row>
    <row r="166" spans="1:18" x14ac:dyDescent="0.25">
      <c r="B166" s="207" t="s">
        <v>2744</v>
      </c>
      <c r="C166" s="208">
        <v>1</v>
      </c>
      <c r="D166" s="209">
        <v>700</v>
      </c>
      <c r="E166" s="225">
        <v>2626277</v>
      </c>
      <c r="F166" s="210">
        <v>30715804812</v>
      </c>
      <c r="G166" s="211" t="str">
        <f>IFERROR(IF(compras_mes8[[#This Row],[CUIT]]="","-",VLOOKUP(compras_mes8[[#This Row],[CUIT]],Lista_CUIT[#All],2,0)),"CUIT NO CARGADO")</f>
        <v>CORREDORES VIALES SOCIEDAD ANONIMA</v>
      </c>
      <c r="H166" s="212">
        <v>5199.8999999999996</v>
      </c>
      <c r="I166" s="213">
        <f>IF(compras_mes8[[#This Row],[NETO GRAVADO]]="","",compras_mes8[[#This Row],[NETO GRAVADO]]*0.21)</f>
        <v>1091.9789999999998</v>
      </c>
      <c r="J166" s="213"/>
      <c r="K166" s="213"/>
      <c r="L166" s="213"/>
      <c r="M166" s="213"/>
      <c r="N166" s="213"/>
      <c r="O166" s="213"/>
      <c r="P166" s="353">
        <f>SUM(compras_mes8[[#This Row],[NETO GRAVADO]:[Otros / No Grav.]])</f>
        <v>6291.878999999999</v>
      </c>
      <c r="Q166" s="215" t="str">
        <f>IFERROR(IF(compras_mes8[[#This Row],[CUIT]]="","-",VLOOKUP(compras_mes8[[#This Row],[CUIT]],Lista_CUIT[#All],3,0)),"CUIT NO CARGADO")</f>
        <v>Peajes</v>
      </c>
      <c r="R166" s="215">
        <f>IFERROR(IF(compras_mes8[[#This Row],[CUIT]]="","-",VLOOKUP(compras_mes8[[#This Row],[CUIT]],Lista_CUIT[#All],4,0)),"CUIT NO CARGADO")</f>
        <v>0</v>
      </c>
    </row>
    <row r="167" spans="1:18" x14ac:dyDescent="0.25">
      <c r="B167" s="207" t="s">
        <v>2769</v>
      </c>
      <c r="C167" s="208">
        <v>1</v>
      </c>
      <c r="D167" s="209">
        <v>5015</v>
      </c>
      <c r="E167" s="225">
        <v>949411</v>
      </c>
      <c r="F167" s="210">
        <v>30574876474</v>
      </c>
      <c r="G167" s="211" t="str">
        <f>IFERROR(IF(compras_mes8[[#This Row],[CUIT]]="","-",VLOOKUP(compras_mes8[[#This Row],[CUIT]],Lista_CUIT[#All],2,0)),"CUIT NO CARGADO")</f>
        <v>AUTOPISTAS URBANAS S A</v>
      </c>
      <c r="H167" s="212">
        <v>98383.91</v>
      </c>
      <c r="I167" s="213">
        <f>IF(compras_mes8[[#This Row],[NETO GRAVADO]]="","",compras_mes8[[#This Row],[NETO GRAVADO]]*0.21)</f>
        <v>20660.6211</v>
      </c>
      <c r="J167" s="213"/>
      <c r="K167" s="213"/>
      <c r="L167" s="213"/>
      <c r="M167" s="213"/>
      <c r="N167" s="213"/>
      <c r="O167" s="213">
        <v>12789.91</v>
      </c>
      <c r="P167" s="353">
        <f>SUM(compras_mes8[[#This Row],[NETO GRAVADO]:[Otros / No Grav.]])</f>
        <v>131834.4411</v>
      </c>
      <c r="Q167" s="215" t="str">
        <f>IFERROR(IF(compras_mes8[[#This Row],[CUIT]]="","-",VLOOKUP(compras_mes8[[#This Row],[CUIT]],Lista_CUIT[#All],3,0)),"CUIT NO CARGADO")</f>
        <v>Peajes</v>
      </c>
      <c r="R167" s="215">
        <f>IFERROR(IF(compras_mes8[[#This Row],[CUIT]]="","-",VLOOKUP(compras_mes8[[#This Row],[CUIT]],Lista_CUIT[#All],4,0)),"CUIT NO CARGADO")</f>
        <v>0</v>
      </c>
    </row>
    <row r="168" spans="1:18" x14ac:dyDescent="0.25">
      <c r="B168" s="207" t="s">
        <v>2749</v>
      </c>
      <c r="C168" s="208">
        <v>1</v>
      </c>
      <c r="D168" s="209">
        <v>50</v>
      </c>
      <c r="E168" s="225">
        <v>4539373</v>
      </c>
      <c r="F168" s="210">
        <v>30714112836</v>
      </c>
      <c r="G168" s="211" t="str">
        <f>IFERROR(IF(compras_mes8[[#This Row],[CUIT]]="","-",VLOOKUP(compras_mes8[[#This Row],[CUIT]],Lista_CUIT[#All],2,0)),"CUIT NO CARGADO")</f>
        <v>AUTOPISTAS DE BS AS</v>
      </c>
      <c r="H168" s="212">
        <v>43355.11</v>
      </c>
      <c r="I168" s="213">
        <f>IF(compras_mes8[[#This Row],[NETO GRAVADO]]="","",compras_mes8[[#This Row],[NETO GRAVADO]]*0.21)</f>
        <v>9104.5730999999996</v>
      </c>
      <c r="J168" s="213"/>
      <c r="K168" s="213"/>
      <c r="L168" s="213"/>
      <c r="M168" s="213"/>
      <c r="N168" s="213"/>
      <c r="O168" s="213">
        <v>1300.6500000000001</v>
      </c>
      <c r="P168" s="353">
        <f>SUM(compras_mes8[[#This Row],[NETO GRAVADO]:[Otros / No Grav.]])</f>
        <v>53760.333100000003</v>
      </c>
      <c r="Q168" s="215" t="str">
        <f>IFERROR(IF(compras_mes8[[#This Row],[CUIT]]="","-",VLOOKUP(compras_mes8[[#This Row],[CUIT]],Lista_CUIT[#All],3,0)),"CUIT NO CARGADO")</f>
        <v>Peajes</v>
      </c>
      <c r="R168" s="215">
        <f>IFERROR(IF(compras_mes8[[#This Row],[CUIT]]="","-",VLOOKUP(compras_mes8[[#This Row],[CUIT]],Lista_CUIT[#All],4,0)),"CUIT NO CARGADO")</f>
        <v>0</v>
      </c>
    </row>
    <row r="169" spans="1:18" x14ac:dyDescent="0.25">
      <c r="B169" s="207" t="s">
        <v>2772</v>
      </c>
      <c r="C169" s="208">
        <v>1</v>
      </c>
      <c r="D169" s="209">
        <v>5015</v>
      </c>
      <c r="E169" s="225">
        <v>959395</v>
      </c>
      <c r="F169" s="210">
        <v>30574876474</v>
      </c>
      <c r="G169" s="211" t="str">
        <f>IFERROR(IF(compras_mes8[[#This Row],[CUIT]]="","-",VLOOKUP(compras_mes8[[#This Row],[CUIT]],Lista_CUIT[#All],2,0)),"CUIT NO CARGADO")</f>
        <v>AUTOPISTAS URBANAS S A</v>
      </c>
      <c r="H169" s="212">
        <v>165739.85</v>
      </c>
      <c r="I169" s="213">
        <f>IF(compras_mes8[[#This Row],[NETO GRAVADO]]="","",compras_mes8[[#This Row],[NETO GRAVADO]]*0.21)</f>
        <v>34805.368499999997</v>
      </c>
      <c r="J169" s="213"/>
      <c r="K169" s="213"/>
      <c r="L169" s="213"/>
      <c r="M169" s="213"/>
      <c r="N169" s="213"/>
      <c r="O169" s="213">
        <v>21546.17</v>
      </c>
      <c r="P169" s="214">
        <f>SUM(compras_mes8[[#This Row],[NETO GRAVADO]:[Otros / No Grav.]])</f>
        <v>222091.3885</v>
      </c>
      <c r="Q169" s="215" t="str">
        <f>IFERROR(IF(compras_mes8[[#This Row],[CUIT]]="","-",VLOOKUP(compras_mes8[[#This Row],[CUIT]],Lista_CUIT[#All],3,0)),"CUIT NO CARGADO")</f>
        <v>Peajes</v>
      </c>
      <c r="R169" s="215">
        <f>IFERROR(IF(compras_mes8[[#This Row],[CUIT]]="","-",VLOOKUP(compras_mes8[[#This Row],[CUIT]],Lista_CUIT[#All],4,0)),"CUIT NO CARGADO")</f>
        <v>0</v>
      </c>
    </row>
    <row r="170" spans="1:18" x14ac:dyDescent="0.25">
      <c r="B170" s="207" t="s">
        <v>2772</v>
      </c>
      <c r="C170" s="208">
        <v>1</v>
      </c>
      <c r="D170" s="209">
        <v>711</v>
      </c>
      <c r="E170" s="225">
        <v>7486535</v>
      </c>
      <c r="F170" s="210">
        <v>30677237119</v>
      </c>
      <c r="G170" s="211" t="str">
        <f>IFERROR(IF(compras_mes8[[#This Row],[CUIT]]="","-",VLOOKUP(compras_mes8[[#This Row],[CUIT]],Lista_CUIT[#All],2,0)),"CUIT NO CARGADO")</f>
        <v>AUTOPISTAS DEL SOL S A</v>
      </c>
      <c r="H170" s="212">
        <v>16524.080000000002</v>
      </c>
      <c r="I170" s="213">
        <f>IF(compras_mes8[[#This Row],[NETO GRAVADO]]="","",compras_mes8[[#This Row],[NETO GRAVADO]]*0.21)</f>
        <v>3470.0568000000003</v>
      </c>
      <c r="J170" s="213"/>
      <c r="K170" s="213"/>
      <c r="L170" s="213"/>
      <c r="M170" s="213"/>
      <c r="N170" s="213"/>
      <c r="O170" s="213">
        <v>495.72</v>
      </c>
      <c r="P170" s="353">
        <f>SUM(compras_mes8[[#This Row],[NETO GRAVADO]:[Otros / No Grav.]])</f>
        <v>20489.856800000001</v>
      </c>
      <c r="Q170" s="215" t="str">
        <f>IFERROR(IF(compras_mes8[[#This Row],[CUIT]]="","-",VLOOKUP(compras_mes8[[#This Row],[CUIT]],Lista_CUIT[#All],3,0)),"CUIT NO CARGADO")</f>
        <v>Peajes</v>
      </c>
      <c r="R170" s="215">
        <f>IFERROR(IF(compras_mes8[[#This Row],[CUIT]]="","-",VLOOKUP(compras_mes8[[#This Row],[CUIT]],Lista_CUIT[#All],4,0)),"CUIT NO CARGADO")</f>
        <v>0</v>
      </c>
    </row>
    <row r="171" spans="1:18" x14ac:dyDescent="0.25">
      <c r="B171" s="207" t="s">
        <v>2772</v>
      </c>
      <c r="C171" s="208">
        <v>1</v>
      </c>
      <c r="D171" s="209">
        <v>629</v>
      </c>
      <c r="E171" s="225">
        <v>6367771</v>
      </c>
      <c r="F171" s="210">
        <v>30663498513</v>
      </c>
      <c r="G171" s="211" t="str">
        <f>IFERROR(IF(compras_mes8[[#This Row],[CUIT]]="","-",VLOOKUP(compras_mes8[[#This Row],[CUIT]],Lista_CUIT[#All],2,0)),"CUIT NO CARGADO")</f>
        <v>GRUPO CONCES. DEL OESTE SA</v>
      </c>
      <c r="H171" s="212">
        <v>32701.72</v>
      </c>
      <c r="I171" s="213">
        <f>IF(compras_mes8[[#This Row],[NETO GRAVADO]]="","",compras_mes8[[#This Row],[NETO GRAVADO]]*0.21)</f>
        <v>6867.3612000000003</v>
      </c>
      <c r="J171" s="213"/>
      <c r="K171" s="213"/>
      <c r="L171" s="213"/>
      <c r="M171" s="213"/>
      <c r="N171" s="213"/>
      <c r="O171" s="213"/>
      <c r="P171" s="353">
        <f>SUM(compras_mes8[[#This Row],[NETO GRAVADO]:[Otros / No Grav.]])</f>
        <v>39569.081200000001</v>
      </c>
      <c r="Q171" s="215" t="str">
        <f>IFERROR(IF(compras_mes8[[#This Row],[CUIT]]="","-",VLOOKUP(compras_mes8[[#This Row],[CUIT]],Lista_CUIT[#All],3,0)),"CUIT NO CARGADO")</f>
        <v>Peajes</v>
      </c>
      <c r="R171" s="215">
        <f>IFERROR(IF(compras_mes8[[#This Row],[CUIT]]="","-",VLOOKUP(compras_mes8[[#This Row],[CUIT]],Lista_CUIT[#All],4,0)),"CUIT NO CARGADO")</f>
        <v>0</v>
      </c>
    </row>
    <row r="172" spans="1:18" x14ac:dyDescent="0.25">
      <c r="B172" s="207" t="s">
        <v>2755</v>
      </c>
      <c r="C172" s="208">
        <v>1</v>
      </c>
      <c r="D172" s="209">
        <v>700</v>
      </c>
      <c r="E172" s="225">
        <v>2651728</v>
      </c>
      <c r="F172" s="210">
        <v>30715804812</v>
      </c>
      <c r="G172" s="211" t="str">
        <f>IFERROR(IF(compras_mes8[[#This Row],[CUIT]]="","-",VLOOKUP(compras_mes8[[#This Row],[CUIT]],Lista_CUIT[#All],2,0)),"CUIT NO CARGADO")</f>
        <v>CORREDORES VIALES SOCIEDAD ANONIMA</v>
      </c>
      <c r="H172" s="212">
        <v>3327.93</v>
      </c>
      <c r="I172" s="213">
        <f>IF(compras_mes8[[#This Row],[NETO GRAVADO]]="","",compras_mes8[[#This Row],[NETO GRAVADO]]*0.21)</f>
        <v>698.86529999999993</v>
      </c>
      <c r="J172" s="213"/>
      <c r="K172" s="213"/>
      <c r="L172" s="213"/>
      <c r="M172" s="213"/>
      <c r="N172" s="213"/>
      <c r="O172" s="213"/>
      <c r="P172" s="353">
        <f>SUM(compras_mes8[[#This Row],[NETO GRAVADO]:[Otros / No Grav.]])</f>
        <v>4026.7952999999998</v>
      </c>
      <c r="Q172" s="215" t="str">
        <f>IFERROR(IF(compras_mes8[[#This Row],[CUIT]]="","-",VLOOKUP(compras_mes8[[#This Row],[CUIT]],Lista_CUIT[#All],3,0)),"CUIT NO CARGADO")</f>
        <v>Peajes</v>
      </c>
      <c r="R172" s="215">
        <f>IFERROR(IF(compras_mes8[[#This Row],[CUIT]]="","-",VLOOKUP(compras_mes8[[#This Row],[CUIT]],Lista_CUIT[#All],4,0)),"CUIT NO CARGADO")</f>
        <v>0</v>
      </c>
    </row>
    <row r="173" spans="1:18" x14ac:dyDescent="0.25">
      <c r="B173" s="207" t="s">
        <v>2774</v>
      </c>
      <c r="C173" s="208">
        <v>1</v>
      </c>
      <c r="D173" s="209">
        <v>5015</v>
      </c>
      <c r="E173" s="225">
        <v>966567</v>
      </c>
      <c r="F173" s="210">
        <v>30574876474</v>
      </c>
      <c r="G173" s="211" t="str">
        <f>IFERROR(IF(compras_mes8[[#This Row],[CUIT]]="","-",VLOOKUP(compras_mes8[[#This Row],[CUIT]],Lista_CUIT[#All],2,0)),"CUIT NO CARGADO")</f>
        <v>AUTOPISTAS URBANAS S A</v>
      </c>
      <c r="H173" s="212">
        <v>112562.44</v>
      </c>
      <c r="I173" s="213">
        <f>IF(compras_mes8[[#This Row],[NETO GRAVADO]]="","",compras_mes8[[#This Row],[NETO GRAVADO]]*0.21)</f>
        <v>23638.112399999998</v>
      </c>
      <c r="J173" s="213"/>
      <c r="K173" s="213"/>
      <c r="L173" s="213"/>
      <c r="M173" s="213"/>
      <c r="N173" s="213"/>
      <c r="O173" s="213">
        <v>14633.11</v>
      </c>
      <c r="P173" s="353">
        <f>SUM(compras_mes8[[#This Row],[NETO GRAVADO]:[Otros / No Grav.]])</f>
        <v>150833.66239999997</v>
      </c>
      <c r="Q173" s="215" t="str">
        <f>IFERROR(IF(compras_mes8[[#This Row],[CUIT]]="","-",VLOOKUP(compras_mes8[[#This Row],[CUIT]],Lista_CUIT[#All],3,0)),"CUIT NO CARGADO")</f>
        <v>Peajes</v>
      </c>
      <c r="R173" s="215">
        <f>IFERROR(IF(compras_mes8[[#This Row],[CUIT]]="","-",VLOOKUP(compras_mes8[[#This Row],[CUIT]],Lista_CUIT[#All],4,0)),"CUIT NO CARGADO")</f>
        <v>0</v>
      </c>
    </row>
    <row r="174" spans="1:18" x14ac:dyDescent="0.25">
      <c r="B174" s="546" t="s">
        <v>2759</v>
      </c>
      <c r="C174" s="208">
        <v>1</v>
      </c>
      <c r="D174" s="487">
        <v>50</v>
      </c>
      <c r="E174" s="548">
        <v>4574375</v>
      </c>
      <c r="F174" s="549">
        <v>30714112836</v>
      </c>
      <c r="G174" s="550" t="str">
        <f>IFERROR(IF(compras_mes8[[#This Row],[CUIT]]="","-",VLOOKUP(compras_mes8[[#This Row],[CUIT]],Lista_CUIT[#All],2,0)),"CUIT NO CARGADO")</f>
        <v>AUTOPISTAS DE BS AS</v>
      </c>
      <c r="H174" s="551">
        <v>65430.27</v>
      </c>
      <c r="I174" s="552">
        <f>IF(compras_mes8[[#This Row],[NETO GRAVADO]]="","",compras_mes8[[#This Row],[NETO GRAVADO]]*0.21)</f>
        <v>13740.356699999998</v>
      </c>
      <c r="J174" s="552"/>
      <c r="K174" s="552"/>
      <c r="L174" s="552"/>
      <c r="M174" s="552"/>
      <c r="N174" s="552"/>
      <c r="O174" s="552">
        <v>1962.91</v>
      </c>
      <c r="P174" s="553">
        <f>SUM(compras_mes8[[#This Row],[NETO GRAVADO]:[Otros / No Grav.]])</f>
        <v>81133.536699999997</v>
      </c>
      <c r="Q174" s="554" t="str">
        <f>IFERROR(IF(compras_mes8[[#This Row],[CUIT]]="","-",VLOOKUP(compras_mes8[[#This Row],[CUIT]],Lista_CUIT[#All],3,0)),"CUIT NO CARGADO")</f>
        <v>Peajes</v>
      </c>
      <c r="R174" s="554">
        <f>IFERROR(IF(compras_mes8[[#This Row],[CUIT]]="","-",VLOOKUP(compras_mes8[[#This Row],[CUIT]],Lista_CUIT[#All],4,0)),"CUIT NO CARGADO")</f>
        <v>0</v>
      </c>
    </row>
    <row r="175" spans="1:18" x14ac:dyDescent="0.25">
      <c r="B175" s="546" t="s">
        <v>2759</v>
      </c>
      <c r="C175" s="208">
        <v>1</v>
      </c>
      <c r="D175" s="487">
        <v>5015</v>
      </c>
      <c r="E175" s="548">
        <v>976658</v>
      </c>
      <c r="F175" s="549">
        <v>30574876474</v>
      </c>
      <c r="G175" s="550" t="str">
        <f>IFERROR(IF(compras_mes8[[#This Row],[CUIT]]="","-",VLOOKUP(compras_mes8[[#This Row],[CUIT]],Lista_CUIT[#All],2,0)),"CUIT NO CARGADO")</f>
        <v>AUTOPISTAS URBANAS S A</v>
      </c>
      <c r="H175" s="551">
        <v>103718.7</v>
      </c>
      <c r="I175" s="552">
        <f>IF(compras_mes8[[#This Row],[NETO GRAVADO]]="","",compras_mes8[[#This Row],[NETO GRAVADO]]*0.21)</f>
        <v>21780.927</v>
      </c>
      <c r="J175" s="552"/>
      <c r="K175" s="552"/>
      <c r="L175" s="552"/>
      <c r="M175" s="552"/>
      <c r="N175" s="552"/>
      <c r="O175" s="552">
        <v>13483.42</v>
      </c>
      <c r="P175" s="553">
        <f>SUM(compras_mes8[[#This Row],[NETO GRAVADO]:[Otros / No Grav.]])</f>
        <v>138983.04699999999</v>
      </c>
      <c r="Q175" s="554" t="str">
        <f>IFERROR(IF(compras_mes8[[#This Row],[CUIT]]="","-",VLOOKUP(compras_mes8[[#This Row],[CUIT]],Lista_CUIT[#All],3,0)),"CUIT NO CARGADO")</f>
        <v>Peajes</v>
      </c>
      <c r="R175" s="554">
        <f>IFERROR(IF(compras_mes8[[#This Row],[CUIT]]="","-",VLOOKUP(compras_mes8[[#This Row],[CUIT]],Lista_CUIT[#All],4,0)),"CUIT NO CARGADO")</f>
        <v>0</v>
      </c>
    </row>
    <row r="176" spans="1:18" x14ac:dyDescent="0.25">
      <c r="B176" s="207" t="s">
        <v>2743</v>
      </c>
      <c r="C176" s="208">
        <v>1</v>
      </c>
      <c r="D176" s="209">
        <v>28</v>
      </c>
      <c r="E176" s="225">
        <v>1925</v>
      </c>
      <c r="F176" s="210">
        <v>20230902780</v>
      </c>
      <c r="G176" s="211" t="str">
        <f>IFERROR(IF(compras_mes8[[#This Row],[CUIT]]="","-",VLOOKUP(compras_mes8[[#This Row],[CUIT]],Lista_CUIT[#All],2,0)),"CUIT NO CARGADO")</f>
        <v>SOSA CRISTIAN HERNAN</v>
      </c>
      <c r="H176" s="212">
        <v>194243.8</v>
      </c>
      <c r="I176" s="213">
        <f>IF(compras_mes8[[#This Row],[NETO GRAVADO]]="","",compras_mes8[[#This Row],[NETO GRAVADO]]*0.21)</f>
        <v>40791.197999999997</v>
      </c>
      <c r="J176" s="213"/>
      <c r="K176" s="213"/>
      <c r="L176" s="213"/>
      <c r="M176" s="213"/>
      <c r="N176" s="213"/>
      <c r="O176" s="213"/>
      <c r="P176" s="214">
        <f>SUM(compras_mes8[[#This Row],[NETO GRAVADO]:[Otros / No Grav.]])</f>
        <v>235034.99799999999</v>
      </c>
      <c r="Q176" s="215" t="str">
        <f>IFERROR(IF(compras_mes8[[#This Row],[CUIT]]="","-",VLOOKUP(compras_mes8[[#This Row],[CUIT]],Lista_CUIT[#All],3,0)),"CUIT NO CARGADO")</f>
        <v>Pendiente clasificacion</v>
      </c>
      <c r="R176" s="49">
        <f>IFERROR(IF(compras_mes8[[#This Row],[CUIT]]="","-",VLOOKUP(compras_mes8[[#This Row],[CUIT]],Lista_CUIT[#All],4,0)),"CUIT NO CARGADO")</f>
        <v>0</v>
      </c>
    </row>
    <row r="177" spans="2:18" x14ac:dyDescent="0.25">
      <c r="B177" s="207" t="s">
        <v>2767</v>
      </c>
      <c r="C177" s="208">
        <v>1</v>
      </c>
      <c r="D177" s="209">
        <v>3</v>
      </c>
      <c r="E177" s="225">
        <v>158474</v>
      </c>
      <c r="F177" s="210">
        <v>30708708697</v>
      </c>
      <c r="G177" s="211" t="str">
        <f>IFERROR(IF(compras_mes8[[#This Row],[CUIT]]="","-",VLOOKUP(compras_mes8[[#This Row],[CUIT]],Lista_CUIT[#All],2,0)),"CUIT NO CARGADO")</f>
        <v>FERCOL LUBRICANTES S.R.L.</v>
      </c>
      <c r="H177" s="212">
        <v>3000000</v>
      </c>
      <c r="I177" s="213">
        <f>IF(compras_mes8[[#This Row],[NETO GRAVADO]]="","",compras_mes8[[#This Row],[NETO GRAVADO]]*0.21)</f>
        <v>630000</v>
      </c>
      <c r="J177" s="213"/>
      <c r="K177" s="213"/>
      <c r="L177" s="213"/>
      <c r="M177" s="213"/>
      <c r="N177" s="213"/>
      <c r="O177" s="213"/>
      <c r="P177" s="353">
        <f>SUM(compras_mes8[[#This Row],[NETO GRAVADO]:[Otros / No Grav.]])</f>
        <v>3630000</v>
      </c>
      <c r="Q177" s="215" t="str">
        <f>IFERROR(IF(compras_mes8[[#This Row],[CUIT]]="","-",VLOOKUP(compras_mes8[[#This Row],[CUIT]],Lista_CUIT[#All],3,0)),"CUIT NO CARGADO")</f>
        <v>Alquiler</v>
      </c>
      <c r="R177" s="215">
        <f>IFERROR(IF(compras_mes8[[#This Row],[CUIT]]="","-",VLOOKUP(compras_mes8[[#This Row],[CUIT]],Lista_CUIT[#All],4,0)),"CUIT NO CARGADO")</f>
        <v>0</v>
      </c>
    </row>
    <row r="178" spans="2:18" x14ac:dyDescent="0.25">
      <c r="B178" s="207" t="s">
        <v>2776</v>
      </c>
      <c r="C178" s="208">
        <v>1</v>
      </c>
      <c r="D178" s="209">
        <v>84</v>
      </c>
      <c r="E178" s="225">
        <v>218196</v>
      </c>
      <c r="F178" s="210">
        <v>30546741253</v>
      </c>
      <c r="G178" s="211" t="str">
        <f>IFERROR(IF(compras_mes8[[#This Row],[CUIT]]="","-",VLOOKUP(compras_mes8[[#This Row],[CUIT]],Lista_CUIT[#All],2,0)),"CUIT NO CARGADO")</f>
        <v>OSDE </v>
      </c>
      <c r="H178" s="212">
        <v>650735.75</v>
      </c>
      <c r="I178" s="85" t="s">
        <v>2411</v>
      </c>
      <c r="J178" s="213"/>
      <c r="K178" s="213">
        <f>compras_mes8[[#This Row],[NETO GRAVADO]]*0.105</f>
        <v>68327.253750000003</v>
      </c>
      <c r="L178" s="213"/>
      <c r="M178" s="213"/>
      <c r="N178" s="213"/>
      <c r="O178" s="213">
        <v>39044.15</v>
      </c>
      <c r="P178" s="214">
        <f>SUM(compras_mes8[[#This Row],[NETO GRAVADO]:[Otros / No Grav.]])</f>
        <v>758107.15375000006</v>
      </c>
      <c r="Q178" s="215" t="str">
        <f>IFERROR(IF(compras_mes8[[#This Row],[CUIT]]="","-",VLOOKUP(compras_mes8[[#This Row],[CUIT]],Lista_CUIT[#All],3,0)),"CUIT NO CARGADO")</f>
        <v>Prepaga corporativa</v>
      </c>
      <c r="R178" s="215">
        <f>IFERROR(IF(compras_mes8[[#This Row],[CUIT]]="","-",VLOOKUP(compras_mes8[[#This Row],[CUIT]],Lista_CUIT[#All],4,0)),"CUIT NO CARGADO")</f>
        <v>0</v>
      </c>
    </row>
    <row r="179" spans="2:18" x14ac:dyDescent="0.25">
      <c r="B179" s="556" t="s">
        <v>2743</v>
      </c>
      <c r="C179" s="557">
        <v>1</v>
      </c>
      <c r="D179" s="558">
        <v>2</v>
      </c>
      <c r="E179" s="559">
        <v>4115</v>
      </c>
      <c r="F179" s="560">
        <v>30629863571</v>
      </c>
      <c r="G179" s="561" t="str">
        <f>IFERROR(IF(compras_mes8[[#This Row],[CUIT]]="","-",VLOOKUP(compras_mes8[[#This Row],[CUIT]],Lista_CUIT[#All],2,0)),"CUIT NO CARGADO")</f>
        <v>TECNIMAR S R L</v>
      </c>
      <c r="H179" s="562">
        <v>3511941</v>
      </c>
      <c r="I179" s="555">
        <f>IF(compras_mes8[[#This Row],[NETO GRAVADO]]="","",compras_mes8[[#This Row],[NETO GRAVADO]]*0.21)</f>
        <v>737507.61</v>
      </c>
      <c r="J179" s="555"/>
      <c r="K179" s="555"/>
      <c r="L179" s="555"/>
      <c r="M179" s="555"/>
      <c r="N179" s="555"/>
      <c r="O179" s="555"/>
      <c r="P179" s="563">
        <f>SUM(compras_mes8[[#This Row],[NETO GRAVADO]:[Otros / No Grav.]])</f>
        <v>4249448.6100000003</v>
      </c>
      <c r="Q179" s="564" t="str">
        <f>IFERROR(IF(compras_mes8[[#This Row],[CUIT]]="","-",VLOOKUP(compras_mes8[[#This Row],[CUIT]],Lista_CUIT[#All],3,0)),"CUIT NO CARGADO")</f>
        <v>Productos Venta</v>
      </c>
      <c r="R179" s="215">
        <f>IFERROR(IF(compras_mes8[[#This Row],[CUIT]]="","-",VLOOKUP(compras_mes8[[#This Row],[CUIT]],Lista_CUIT[#All],4,0)),"CUIT NO CARGADO")</f>
        <v>0</v>
      </c>
    </row>
    <row r="180" spans="2:18" x14ac:dyDescent="0.25">
      <c r="B180" s="556" t="s">
        <v>2743</v>
      </c>
      <c r="C180" s="557">
        <v>1</v>
      </c>
      <c r="D180" s="558">
        <v>1</v>
      </c>
      <c r="E180" s="559">
        <v>162</v>
      </c>
      <c r="F180" s="560">
        <v>30718148207</v>
      </c>
      <c r="G180" s="561" t="str">
        <f>IFERROR(IF(compras_mes8[[#This Row],[CUIT]]="","-",VLOOKUP(compras_mes8[[#This Row],[CUIT]],Lista_CUIT[#All],2,0)),"CUIT NO CARGADO")</f>
        <v>VIPA INTERNATIONAL S.R.L.</v>
      </c>
      <c r="H180" s="562">
        <v>3300000</v>
      </c>
      <c r="I180" s="555">
        <f>IF(compras_mes8[[#This Row],[NETO GRAVADO]]="","",compras_mes8[[#This Row],[NETO GRAVADO]]*0.21)</f>
        <v>693000</v>
      </c>
      <c r="J180" s="555"/>
      <c r="K180" s="555"/>
      <c r="L180" s="555"/>
      <c r="M180" s="555"/>
      <c r="N180" s="555"/>
      <c r="O180" s="555"/>
      <c r="P180" s="563">
        <f>SUM(compras_mes8[[#This Row],[NETO GRAVADO]:[Otros / No Grav.]])</f>
        <v>3993000</v>
      </c>
      <c r="Q180" s="564" t="str">
        <f>IFERROR(IF(compras_mes8[[#This Row],[CUIT]]="","-",VLOOKUP(compras_mes8[[#This Row],[CUIT]],Lista_CUIT[#All],3,0)),"CUIT NO CARGADO")</f>
        <v>Productos Venta</v>
      </c>
      <c r="R180" s="215">
        <f>IFERROR(IF(compras_mes8[[#This Row],[CUIT]]="","-",VLOOKUP(compras_mes8[[#This Row],[CUIT]],Lista_CUIT[#All],4,0)),"CUIT NO CARGADO")</f>
        <v>0</v>
      </c>
    </row>
    <row r="181" spans="2:18" x14ac:dyDescent="0.25">
      <c r="B181" s="556" t="s">
        <v>2767</v>
      </c>
      <c r="C181" s="557">
        <v>1</v>
      </c>
      <c r="D181" s="558">
        <v>5</v>
      </c>
      <c r="E181" s="559">
        <v>22969</v>
      </c>
      <c r="F181" s="560">
        <v>30616146447</v>
      </c>
      <c r="G181" s="561" t="str">
        <f>IFERROR(IF(compras_mes8[[#This Row],[CUIT]]="","-",VLOOKUP(compras_mes8[[#This Row],[CUIT]],Lista_CUIT[#All],2,0)),"CUIT NO CARGADO")</f>
        <v>EGEO SOCIEDAD DE RESPONSABILIDAD LIMITADA</v>
      </c>
      <c r="H181" s="562">
        <v>830000</v>
      </c>
      <c r="I181" s="555">
        <f>IF(compras_mes8[[#This Row],[NETO GRAVADO]]="","",compras_mes8[[#This Row],[NETO GRAVADO]]*0.21)</f>
        <v>174300</v>
      </c>
      <c r="J181" s="555"/>
      <c r="K181" s="555"/>
      <c r="L181" s="555"/>
      <c r="M181" s="555"/>
      <c r="N181" s="555"/>
      <c r="O181" s="555"/>
      <c r="P181" s="563">
        <f>SUM(compras_mes8[[#This Row],[NETO GRAVADO]:[Otros / No Grav.]])</f>
        <v>1004300</v>
      </c>
      <c r="Q181" s="564" t="str">
        <f>IFERROR(IF(compras_mes8[[#This Row],[CUIT]]="","-",VLOOKUP(compras_mes8[[#This Row],[CUIT]],Lista_CUIT[#All],3,0)),"CUIT NO CARGADO")</f>
        <v>Productos Venta</v>
      </c>
      <c r="R181" s="215">
        <f>IFERROR(IF(compras_mes8[[#This Row],[CUIT]]="","-",VLOOKUP(compras_mes8[[#This Row],[CUIT]],Lista_CUIT[#All],4,0)),"CUIT NO CARGADO")</f>
        <v>0</v>
      </c>
    </row>
    <row r="182" spans="2:18" x14ac:dyDescent="0.25">
      <c r="B182" s="556" t="s">
        <v>2767</v>
      </c>
      <c r="C182" s="557">
        <v>1</v>
      </c>
      <c r="D182" s="558">
        <v>2</v>
      </c>
      <c r="E182" s="559">
        <v>4116</v>
      </c>
      <c r="F182" s="560">
        <v>30629863571</v>
      </c>
      <c r="G182" s="561" t="str">
        <f>IFERROR(IF(compras_mes8[[#This Row],[CUIT]]="","-",VLOOKUP(compras_mes8[[#This Row],[CUIT]],Lista_CUIT[#All],2,0)),"CUIT NO CARGADO")</f>
        <v>TECNIMAR S R L</v>
      </c>
      <c r="H182" s="562">
        <v>887915</v>
      </c>
      <c r="I182" s="555">
        <f>IF(compras_mes8[[#This Row],[NETO GRAVADO]]="","",compras_mes8[[#This Row],[NETO GRAVADO]]*0.21)</f>
        <v>186462.15</v>
      </c>
      <c r="J182" s="555"/>
      <c r="K182" s="555"/>
      <c r="L182" s="555"/>
      <c r="M182" s="555"/>
      <c r="N182" s="555"/>
      <c r="O182" s="555"/>
      <c r="P182" s="563">
        <f>SUM(compras_mes8[[#This Row],[NETO GRAVADO]:[Otros / No Grav.]])</f>
        <v>1074377.1499999999</v>
      </c>
      <c r="Q182" s="564" t="str">
        <f>IFERROR(IF(compras_mes8[[#This Row],[CUIT]]="","-",VLOOKUP(compras_mes8[[#This Row],[CUIT]],Lista_CUIT[#All],3,0)),"CUIT NO CARGADO")</f>
        <v>Productos Venta</v>
      </c>
      <c r="R182" s="215">
        <f>IFERROR(IF(compras_mes8[[#This Row],[CUIT]]="","-",VLOOKUP(compras_mes8[[#This Row],[CUIT]],Lista_CUIT[#All],4,0)),"CUIT NO CARGADO")</f>
        <v>0</v>
      </c>
    </row>
    <row r="183" spans="2:18" x14ac:dyDescent="0.25">
      <c r="B183" s="556" t="s">
        <v>2768</v>
      </c>
      <c r="C183" s="557">
        <v>1</v>
      </c>
      <c r="D183" s="558">
        <v>1</v>
      </c>
      <c r="E183" s="559">
        <v>163</v>
      </c>
      <c r="F183" s="560">
        <v>30718148207</v>
      </c>
      <c r="G183" s="561" t="str">
        <f>IFERROR(IF(compras_mes8[[#This Row],[CUIT]]="","-",VLOOKUP(compras_mes8[[#This Row],[CUIT]],Lista_CUIT[#All],2,0)),"CUIT NO CARGADO")</f>
        <v>VIPA INTERNATIONAL S.R.L.</v>
      </c>
      <c r="H183" s="562">
        <v>1277376</v>
      </c>
      <c r="I183" s="555">
        <f>IF(compras_mes8[[#This Row],[NETO GRAVADO]]="","",compras_mes8[[#This Row],[NETO GRAVADO]]*0.21)</f>
        <v>268248.95999999996</v>
      </c>
      <c r="J183" s="555"/>
      <c r="K183" s="555"/>
      <c r="L183" s="555"/>
      <c r="M183" s="555"/>
      <c r="N183" s="555"/>
      <c r="O183" s="555"/>
      <c r="P183" s="563">
        <f>SUM(compras_mes8[[#This Row],[NETO GRAVADO]:[Otros / No Grav.]])</f>
        <v>1545624.96</v>
      </c>
      <c r="Q183" s="564" t="str">
        <f>IFERROR(IF(compras_mes8[[#This Row],[CUIT]]="","-",VLOOKUP(compras_mes8[[#This Row],[CUIT]],Lista_CUIT[#All],3,0)),"CUIT NO CARGADO")</f>
        <v>Productos Venta</v>
      </c>
      <c r="R183" s="215">
        <f>IFERROR(IF(compras_mes8[[#This Row],[CUIT]]="","-",VLOOKUP(compras_mes8[[#This Row],[CUIT]],Lista_CUIT[#All],4,0)),"CUIT NO CARGADO")</f>
        <v>0</v>
      </c>
    </row>
    <row r="184" spans="2:18" x14ac:dyDescent="0.25">
      <c r="B184" s="556" t="s">
        <v>2769</v>
      </c>
      <c r="C184" s="557">
        <v>1</v>
      </c>
      <c r="D184" s="558">
        <v>2</v>
      </c>
      <c r="E184" s="559">
        <v>4125</v>
      </c>
      <c r="F184" s="560">
        <v>30629863571</v>
      </c>
      <c r="G184" s="561" t="str">
        <f>IFERROR(IF(compras_mes8[[#This Row],[CUIT]]="","-",VLOOKUP(compras_mes8[[#This Row],[CUIT]],Lista_CUIT[#All],2,0)),"CUIT NO CARGADO")</f>
        <v>TECNIMAR S R L</v>
      </c>
      <c r="H184" s="562">
        <v>1963380</v>
      </c>
      <c r="I184" s="555">
        <f>IF(compras_mes8[[#This Row],[NETO GRAVADO]]="","",compras_mes8[[#This Row],[NETO GRAVADO]]*0.21)</f>
        <v>412309.8</v>
      </c>
      <c r="J184" s="555"/>
      <c r="K184" s="555"/>
      <c r="L184" s="555"/>
      <c r="M184" s="555"/>
      <c r="N184" s="555"/>
      <c r="O184" s="555"/>
      <c r="P184" s="563">
        <f>SUM(compras_mes8[[#This Row],[NETO GRAVADO]:[Otros / No Grav.]])</f>
        <v>2375689.7999999998</v>
      </c>
      <c r="Q184" s="564" t="str">
        <f>IFERROR(IF(compras_mes8[[#This Row],[CUIT]]="","-",VLOOKUP(compras_mes8[[#This Row],[CUIT]],Lista_CUIT[#All],3,0)),"CUIT NO CARGADO")</f>
        <v>Productos Venta</v>
      </c>
      <c r="R184" s="215">
        <f>IFERROR(IF(compras_mes8[[#This Row],[CUIT]]="","-",VLOOKUP(compras_mes8[[#This Row],[CUIT]],Lista_CUIT[#All],4,0)),"CUIT NO CARGADO")</f>
        <v>0</v>
      </c>
    </row>
    <row r="185" spans="2:18" x14ac:dyDescent="0.25">
      <c r="B185" s="556" t="s">
        <v>2760</v>
      </c>
      <c r="C185" s="557">
        <v>1</v>
      </c>
      <c r="D185" s="558">
        <v>2</v>
      </c>
      <c r="E185" s="559">
        <v>4128</v>
      </c>
      <c r="F185" s="560">
        <v>30629863571</v>
      </c>
      <c r="G185" s="561" t="str">
        <f>IFERROR(IF(compras_mes8[[#This Row],[CUIT]]="","-",VLOOKUP(compras_mes8[[#This Row],[CUIT]],Lista_CUIT[#All],2,0)),"CUIT NO CARGADO")</f>
        <v>TECNIMAR S R L</v>
      </c>
      <c r="H185" s="562">
        <v>1844669</v>
      </c>
      <c r="I185" s="555">
        <f>IF(compras_mes8[[#This Row],[NETO GRAVADO]]="","",compras_mes8[[#This Row],[NETO GRAVADO]]*0.21)</f>
        <v>387380.49</v>
      </c>
      <c r="J185" s="555"/>
      <c r="K185" s="555"/>
      <c r="L185" s="555"/>
      <c r="M185" s="555"/>
      <c r="N185" s="555"/>
      <c r="O185" s="555"/>
      <c r="P185" s="563">
        <f>SUM(compras_mes8[[#This Row],[NETO GRAVADO]:[Otros / No Grav.]])</f>
        <v>2232049.4900000002</v>
      </c>
      <c r="Q185" s="564" t="str">
        <f>IFERROR(IF(compras_mes8[[#This Row],[CUIT]]="","-",VLOOKUP(compras_mes8[[#This Row],[CUIT]],Lista_CUIT[#All],3,0)),"CUIT NO CARGADO")</f>
        <v>Productos Venta</v>
      </c>
      <c r="R185" s="215">
        <f>IFERROR(IF(compras_mes8[[#This Row],[CUIT]]="","-",VLOOKUP(compras_mes8[[#This Row],[CUIT]],Lista_CUIT[#All],4,0)),"CUIT NO CARGADO")</f>
        <v>0</v>
      </c>
    </row>
    <row r="186" spans="2:18" x14ac:dyDescent="0.25">
      <c r="B186" s="556" t="s">
        <v>2749</v>
      </c>
      <c r="C186" s="557">
        <v>1</v>
      </c>
      <c r="D186" s="558">
        <v>5</v>
      </c>
      <c r="E186" s="559">
        <v>23037</v>
      </c>
      <c r="F186" s="560">
        <v>30616146447</v>
      </c>
      <c r="G186" s="561" t="str">
        <f>IFERROR(IF(compras_mes8[[#This Row],[CUIT]]="","-",VLOOKUP(compras_mes8[[#This Row],[CUIT]],Lista_CUIT[#All],2,0)),"CUIT NO CARGADO")</f>
        <v>EGEO SOCIEDAD DE RESPONSABILIDAD LIMITADA</v>
      </c>
      <c r="H186" s="562">
        <v>480000</v>
      </c>
      <c r="I186" s="555">
        <f>IF(compras_mes8[[#This Row],[NETO GRAVADO]]="","",compras_mes8[[#This Row],[NETO GRAVADO]]*0.21)</f>
        <v>100800</v>
      </c>
      <c r="J186" s="555"/>
      <c r="K186" s="555"/>
      <c r="L186" s="555"/>
      <c r="M186" s="555"/>
      <c r="N186" s="555"/>
      <c r="O186" s="555"/>
      <c r="P186" s="563">
        <f>SUM(compras_mes8[[#This Row],[NETO GRAVADO]:[Otros / No Grav.]])</f>
        <v>580800</v>
      </c>
      <c r="Q186" s="564" t="str">
        <f>IFERROR(IF(compras_mes8[[#This Row],[CUIT]]="","-",VLOOKUP(compras_mes8[[#This Row],[CUIT]],Lista_CUIT[#All],3,0)),"CUIT NO CARGADO")</f>
        <v>Productos Venta</v>
      </c>
      <c r="R186" s="215">
        <f>IFERROR(IF(compras_mes8[[#This Row],[CUIT]]="","-",VLOOKUP(compras_mes8[[#This Row],[CUIT]],Lista_CUIT[#All],4,0)),"CUIT NO CARGADO")</f>
        <v>0</v>
      </c>
    </row>
    <row r="187" spans="2:18" x14ac:dyDescent="0.25">
      <c r="B187" s="556" t="s">
        <v>2749</v>
      </c>
      <c r="C187" s="557">
        <v>1</v>
      </c>
      <c r="D187" s="558">
        <v>2</v>
      </c>
      <c r="E187" s="559">
        <v>4132</v>
      </c>
      <c r="F187" s="560">
        <v>30629863571</v>
      </c>
      <c r="G187" s="561" t="str">
        <f>IFERROR(IF(compras_mes8[[#This Row],[CUIT]]="","-",VLOOKUP(compras_mes8[[#This Row],[CUIT]],Lista_CUIT[#All],2,0)),"CUIT NO CARGADO")</f>
        <v>TECNIMAR S R L</v>
      </c>
      <c r="H187" s="562">
        <v>810759</v>
      </c>
      <c r="I187" s="555">
        <f>IF(compras_mes8[[#This Row],[NETO GRAVADO]]="","",compras_mes8[[#This Row],[NETO GRAVADO]]*0.21)</f>
        <v>170259.38999999998</v>
      </c>
      <c r="J187" s="555"/>
      <c r="K187" s="555"/>
      <c r="L187" s="555"/>
      <c r="M187" s="555"/>
      <c r="N187" s="555"/>
      <c r="O187" s="555"/>
      <c r="P187" s="563">
        <f>SUM(compras_mes8[[#This Row],[NETO GRAVADO]:[Otros / No Grav.]])</f>
        <v>981018.39</v>
      </c>
      <c r="Q187" s="564" t="str">
        <f>IFERROR(IF(compras_mes8[[#This Row],[CUIT]]="","-",VLOOKUP(compras_mes8[[#This Row],[CUIT]],Lista_CUIT[#All],3,0)),"CUIT NO CARGADO")</f>
        <v>Productos Venta</v>
      </c>
      <c r="R187" s="215">
        <f>IFERROR(IF(compras_mes8[[#This Row],[CUIT]]="","-",VLOOKUP(compras_mes8[[#This Row],[CUIT]],Lista_CUIT[#All],4,0)),"CUIT NO CARGADO")</f>
        <v>0</v>
      </c>
    </row>
    <row r="188" spans="2:18" x14ac:dyDescent="0.25">
      <c r="B188" s="556" t="s">
        <v>2754</v>
      </c>
      <c r="C188" s="557">
        <v>1</v>
      </c>
      <c r="D188" s="558">
        <v>2</v>
      </c>
      <c r="E188" s="559">
        <v>4133</v>
      </c>
      <c r="F188" s="560">
        <v>30629863571</v>
      </c>
      <c r="G188" s="561" t="str">
        <f>IFERROR(IF(compras_mes8[[#This Row],[CUIT]]="","-",VLOOKUP(compras_mes8[[#This Row],[CUIT]],Lista_CUIT[#All],2,0)),"CUIT NO CARGADO")</f>
        <v>TECNIMAR S R L</v>
      </c>
      <c r="H188" s="562">
        <v>1009380</v>
      </c>
      <c r="I188" s="555">
        <f>IF(compras_mes8[[#This Row],[NETO GRAVADO]]="","",compras_mes8[[#This Row],[NETO GRAVADO]]*0.21)</f>
        <v>211969.8</v>
      </c>
      <c r="J188" s="555"/>
      <c r="K188" s="555"/>
      <c r="L188" s="555"/>
      <c r="M188" s="555"/>
      <c r="N188" s="555"/>
      <c r="O188" s="555"/>
      <c r="P188" s="563">
        <f>SUM(compras_mes8[[#This Row],[NETO GRAVADO]:[Otros / No Grav.]])</f>
        <v>1221349.8</v>
      </c>
      <c r="Q188" s="564" t="str">
        <f>IFERROR(IF(compras_mes8[[#This Row],[CUIT]]="","-",VLOOKUP(compras_mes8[[#This Row],[CUIT]],Lista_CUIT[#All],3,0)),"CUIT NO CARGADO")</f>
        <v>Productos Venta</v>
      </c>
      <c r="R188" s="215">
        <f>IFERROR(IF(compras_mes8[[#This Row],[CUIT]]="","-",VLOOKUP(compras_mes8[[#This Row],[CUIT]],Lista_CUIT[#All],4,0)),"CUIT NO CARGADO")</f>
        <v>0</v>
      </c>
    </row>
    <row r="189" spans="2:18" x14ac:dyDescent="0.25">
      <c r="B189" s="556" t="s">
        <v>2754</v>
      </c>
      <c r="C189" s="557">
        <v>1</v>
      </c>
      <c r="D189" s="558">
        <v>2</v>
      </c>
      <c r="E189" s="559">
        <v>4134</v>
      </c>
      <c r="F189" s="560">
        <v>30629863571</v>
      </c>
      <c r="G189" s="561" t="str">
        <f>IFERROR(IF(compras_mes8[[#This Row],[CUIT]]="","-",VLOOKUP(compras_mes8[[#This Row],[CUIT]],Lista_CUIT[#All],2,0)),"CUIT NO CARGADO")</f>
        <v>TECNIMAR S R L</v>
      </c>
      <c r="H189" s="562">
        <v>2211850</v>
      </c>
      <c r="I189" s="555">
        <f>IF(compras_mes8[[#This Row],[NETO GRAVADO]]="","",compras_mes8[[#This Row],[NETO GRAVADO]]*0.21)</f>
        <v>464488.5</v>
      </c>
      <c r="J189" s="555"/>
      <c r="K189" s="555"/>
      <c r="L189" s="555"/>
      <c r="M189" s="555"/>
      <c r="N189" s="555"/>
      <c r="O189" s="555"/>
      <c r="P189" s="563">
        <f>SUM(compras_mes8[[#This Row],[NETO GRAVADO]:[Otros / No Grav.]])</f>
        <v>2676338.5</v>
      </c>
      <c r="Q189" s="564" t="str">
        <f>IFERROR(IF(compras_mes8[[#This Row],[CUIT]]="","-",VLOOKUP(compras_mes8[[#This Row],[CUIT]],Lista_CUIT[#All],3,0)),"CUIT NO CARGADO")</f>
        <v>Productos Venta</v>
      </c>
      <c r="R189" s="215">
        <f>IFERROR(IF(compras_mes8[[#This Row],[CUIT]]="","-",VLOOKUP(compras_mes8[[#This Row],[CUIT]],Lista_CUIT[#All],4,0)),"CUIT NO CARGADO")</f>
        <v>0</v>
      </c>
    </row>
    <row r="190" spans="2:18" ht="16.5" customHeight="1" x14ac:dyDescent="0.25">
      <c r="B190" s="556" t="s">
        <v>2755</v>
      </c>
      <c r="C190" s="557">
        <v>1</v>
      </c>
      <c r="D190" s="558">
        <v>2</v>
      </c>
      <c r="E190" s="559">
        <v>4135</v>
      </c>
      <c r="F190" s="560">
        <v>30629863571</v>
      </c>
      <c r="G190" s="561" t="str">
        <f>IFERROR(IF(compras_mes8[[#This Row],[CUIT]]="","-",VLOOKUP(compras_mes8[[#This Row],[CUIT]],Lista_CUIT[#All],2,0)),"CUIT NO CARGADO")</f>
        <v>TECNIMAR S R L</v>
      </c>
      <c r="H190" s="562">
        <v>4216328</v>
      </c>
      <c r="I190" s="555">
        <f>IF(compras_mes8[[#This Row],[NETO GRAVADO]]="","",compras_mes8[[#This Row],[NETO GRAVADO]]*0.21)</f>
        <v>885428.88</v>
      </c>
      <c r="J190" s="555"/>
      <c r="K190" s="555"/>
      <c r="L190" s="555"/>
      <c r="M190" s="555"/>
      <c r="N190" s="555"/>
      <c r="O190" s="555"/>
      <c r="P190" s="563">
        <f>SUM(compras_mes8[[#This Row],[NETO GRAVADO]:[Otros / No Grav.]])</f>
        <v>5101756.88</v>
      </c>
      <c r="Q190" s="564" t="str">
        <f>IFERROR(IF(compras_mes8[[#This Row],[CUIT]]="","-",VLOOKUP(compras_mes8[[#This Row],[CUIT]],Lista_CUIT[#All],3,0)),"CUIT NO CARGADO")</f>
        <v>Productos Venta</v>
      </c>
      <c r="R190" s="215">
        <f>IFERROR(IF(compras_mes8[[#This Row],[CUIT]]="","-",VLOOKUP(compras_mes8[[#This Row],[CUIT]],Lista_CUIT[#All],4,0)),"CUIT NO CARGADO")</f>
        <v>0</v>
      </c>
    </row>
    <row r="191" spans="2:18" x14ac:dyDescent="0.25">
      <c r="B191" s="566" t="s">
        <v>2776</v>
      </c>
      <c r="C191" s="557">
        <v>1</v>
      </c>
      <c r="D191" s="567">
        <v>2</v>
      </c>
      <c r="E191" s="568">
        <v>4136</v>
      </c>
      <c r="F191" s="569">
        <v>30629863571</v>
      </c>
      <c r="G191" s="570" t="str">
        <f>IFERROR(IF(compras_mes8[[#This Row],[CUIT]]="","-",VLOOKUP(compras_mes8[[#This Row],[CUIT]],Lista_CUIT[#All],2,0)),"CUIT NO CARGADO")</f>
        <v>TECNIMAR S R L</v>
      </c>
      <c r="H191" s="571">
        <v>3436825</v>
      </c>
      <c r="I191" s="565">
        <f>IF(compras_mes8[[#This Row],[NETO GRAVADO]]="","",compras_mes8[[#This Row],[NETO GRAVADO]]*0.21)</f>
        <v>721733.25</v>
      </c>
      <c r="J191" s="565"/>
      <c r="K191" s="565"/>
      <c r="L191" s="565"/>
      <c r="M191" s="565"/>
      <c r="N191" s="565"/>
      <c r="O191" s="565"/>
      <c r="P191" s="572">
        <f>SUM(compras_mes8[[#This Row],[NETO GRAVADO]:[Otros / No Grav.]])</f>
        <v>4158558.25</v>
      </c>
      <c r="Q191" s="573" t="str">
        <f>IFERROR(IF(compras_mes8[[#This Row],[CUIT]]="","-",VLOOKUP(compras_mes8[[#This Row],[CUIT]],Lista_CUIT[#All],3,0)),"CUIT NO CARGADO")</f>
        <v>Productos Venta</v>
      </c>
      <c r="R191" s="554">
        <f>IFERROR(IF(compras_mes8[[#This Row],[CUIT]]="","-",VLOOKUP(compras_mes8[[#This Row],[CUIT]],Lista_CUIT[#All],4,0)),"CUIT NO CARGADO")</f>
        <v>0</v>
      </c>
    </row>
    <row r="192" spans="2:18" ht="18" customHeight="1" x14ac:dyDescent="0.25">
      <c r="B192" s="566" t="s">
        <v>2777</v>
      </c>
      <c r="C192" s="557">
        <v>1</v>
      </c>
      <c r="D192" s="567">
        <v>2</v>
      </c>
      <c r="E192" s="568">
        <v>4138</v>
      </c>
      <c r="F192" s="569">
        <v>30629863571</v>
      </c>
      <c r="G192" s="570" t="str">
        <f>IFERROR(IF(compras_mes8[[#This Row],[CUIT]]="","-",VLOOKUP(compras_mes8[[#This Row],[CUIT]],Lista_CUIT[#All],2,0)),"CUIT NO CARGADO")</f>
        <v>TECNIMAR S R L</v>
      </c>
      <c r="H192" s="571">
        <v>4508580</v>
      </c>
      <c r="I192" s="565">
        <f>IF(compras_mes8[[#This Row],[NETO GRAVADO]]="","",compras_mes8[[#This Row],[NETO GRAVADO]]*0.21)</f>
        <v>946801.79999999993</v>
      </c>
      <c r="J192" s="565"/>
      <c r="K192" s="565"/>
      <c r="L192" s="565"/>
      <c r="M192" s="565"/>
      <c r="N192" s="565"/>
      <c r="O192" s="565"/>
      <c r="P192" s="572">
        <f>SUM(compras_mes8[[#This Row],[NETO GRAVADO]:[Otros / No Grav.]])</f>
        <v>5455381.7999999998</v>
      </c>
      <c r="Q192" s="573" t="str">
        <f>IFERROR(IF(compras_mes8[[#This Row],[CUIT]]="","-",VLOOKUP(compras_mes8[[#This Row],[CUIT]],Lista_CUIT[#All],3,0)),"CUIT NO CARGADO")</f>
        <v>Productos Venta</v>
      </c>
      <c r="R192" s="554">
        <f>IFERROR(IF(compras_mes8[[#This Row],[CUIT]]="","-",VLOOKUP(compras_mes8[[#This Row],[CUIT]],Lista_CUIT[#All],4,0)),"CUIT NO CARGADO")</f>
        <v>0</v>
      </c>
    </row>
    <row r="193" spans="2:18" x14ac:dyDescent="0.25">
      <c r="B193" s="566" t="s">
        <v>2777</v>
      </c>
      <c r="C193" s="557">
        <v>1</v>
      </c>
      <c r="D193" s="567">
        <v>2</v>
      </c>
      <c r="E193" s="568">
        <v>4137</v>
      </c>
      <c r="F193" s="569">
        <v>30629863571</v>
      </c>
      <c r="G193" s="570" t="str">
        <f>IFERROR(IF(compras_mes8[[#This Row],[CUIT]]="","-",VLOOKUP(compras_mes8[[#This Row],[CUIT]],Lista_CUIT[#All],2,0)),"CUIT NO CARGADO")</f>
        <v>TECNIMAR S R L</v>
      </c>
      <c r="H193" s="571">
        <v>2774700</v>
      </c>
      <c r="I193" s="565">
        <f>IF(compras_mes8[[#This Row],[NETO GRAVADO]]="","",compras_mes8[[#This Row],[NETO GRAVADO]]*0.21)</f>
        <v>582687</v>
      </c>
      <c r="J193" s="565"/>
      <c r="K193" s="565"/>
      <c r="L193" s="565"/>
      <c r="M193" s="565"/>
      <c r="N193" s="565"/>
      <c r="O193" s="565"/>
      <c r="P193" s="572">
        <f>SUM(compras_mes8[[#This Row],[NETO GRAVADO]:[Otros / No Grav.]])</f>
        <v>3357387</v>
      </c>
      <c r="Q193" s="573" t="str">
        <f>IFERROR(IF(compras_mes8[[#This Row],[CUIT]]="","-",VLOOKUP(compras_mes8[[#This Row],[CUIT]],Lista_CUIT[#All],3,0)),"CUIT NO CARGADO")</f>
        <v>Productos Venta</v>
      </c>
      <c r="R193" s="554">
        <f>IFERROR(IF(compras_mes8[[#This Row],[CUIT]]="","-",VLOOKUP(compras_mes8[[#This Row],[CUIT]],Lista_CUIT[#All],4,0)),"CUIT NO CARGADO")</f>
        <v>0</v>
      </c>
    </row>
    <row r="194" spans="2:18" x14ac:dyDescent="0.25">
      <c r="B194" s="566" t="s">
        <v>2757</v>
      </c>
      <c r="C194" s="557">
        <v>1</v>
      </c>
      <c r="D194" s="567">
        <v>2</v>
      </c>
      <c r="E194" s="568">
        <v>4139</v>
      </c>
      <c r="F194" s="569">
        <v>30629863571</v>
      </c>
      <c r="G194" s="570" t="str">
        <f>IFERROR(IF(compras_mes8[[#This Row],[CUIT]]="","-",VLOOKUP(compras_mes8[[#This Row],[CUIT]],Lista_CUIT[#All],2,0)),"CUIT NO CARGADO")</f>
        <v>TECNIMAR S R L</v>
      </c>
      <c r="H194" s="571">
        <v>5656100</v>
      </c>
      <c r="I194" s="565">
        <f>IF(compras_mes8[[#This Row],[NETO GRAVADO]]="","",compras_mes8[[#This Row],[NETO GRAVADO]]*0.21)</f>
        <v>1187781</v>
      </c>
      <c r="J194" s="565"/>
      <c r="K194" s="565"/>
      <c r="L194" s="565"/>
      <c r="M194" s="565"/>
      <c r="N194" s="565"/>
      <c r="O194" s="565"/>
      <c r="P194" s="572">
        <f>SUM(compras_mes8[[#This Row],[NETO GRAVADO]:[Otros / No Grav.]])</f>
        <v>6843881</v>
      </c>
      <c r="Q194" s="573" t="str">
        <f>IFERROR(IF(compras_mes8[[#This Row],[CUIT]]="","-",VLOOKUP(compras_mes8[[#This Row],[CUIT]],Lista_CUIT[#All],3,0)),"CUIT NO CARGADO")</f>
        <v>Productos Venta</v>
      </c>
      <c r="R194" s="554">
        <f>IFERROR(IF(compras_mes8[[#This Row],[CUIT]]="","-",VLOOKUP(compras_mes8[[#This Row],[CUIT]],Lista_CUIT[#All],4,0)),"CUIT NO CARGADO")</f>
        <v>0</v>
      </c>
    </row>
    <row r="195" spans="2:18" x14ac:dyDescent="0.25">
      <c r="B195" s="207" t="s">
        <v>2765</v>
      </c>
      <c r="C195" s="208">
        <v>1</v>
      </c>
      <c r="D195" s="209">
        <v>3</v>
      </c>
      <c r="E195" s="225">
        <v>35477</v>
      </c>
      <c r="F195" s="210">
        <v>33707953549</v>
      </c>
      <c r="G195" s="211" t="str">
        <f>IFERROR(IF(compras_mes8[[#This Row],[CUIT]]="","-",VLOOKUP(compras_mes8[[#This Row],[CUIT]],Lista_CUIT[#All],2,0)),"CUIT NO CARGADO")</f>
        <v>TELESMART</v>
      </c>
      <c r="H195" s="212">
        <v>27500</v>
      </c>
      <c r="I195" s="213">
        <f>IF(compras_mes8[[#This Row],[NETO GRAVADO]]="","",compras_mes8[[#This Row],[NETO GRAVADO]]*0.21)</f>
        <v>5775</v>
      </c>
      <c r="J195" s="213"/>
      <c r="K195" s="213"/>
      <c r="L195" s="213"/>
      <c r="M195" s="213"/>
      <c r="N195" s="213"/>
      <c r="O195" s="213"/>
      <c r="P195" s="353">
        <f>SUM(compras_mes8[[#This Row],[NETO GRAVADO]:[Otros / No Grav.]])</f>
        <v>33275</v>
      </c>
      <c r="Q195" s="215" t="str">
        <f>IFERROR(IF(compras_mes8[[#This Row],[CUIT]]="","-",VLOOKUP(compras_mes8[[#This Row],[CUIT]],Lista_CUIT[#All],3,0)),"CUIT NO CARGADO")</f>
        <v>Servicios Gas, Luz, etc.</v>
      </c>
      <c r="R195" s="215">
        <f>IFERROR(IF(compras_mes8[[#This Row],[CUIT]]="","-",VLOOKUP(compras_mes8[[#This Row],[CUIT]],Lista_CUIT[#All],4,0)),"CUIT NO CARGADO")</f>
        <v>0</v>
      </c>
    </row>
    <row r="196" spans="2:18" x14ac:dyDescent="0.25">
      <c r="B196" s="207" t="s">
        <v>2766</v>
      </c>
      <c r="C196" s="208">
        <v>1</v>
      </c>
      <c r="D196" s="209">
        <v>3099</v>
      </c>
      <c r="E196" s="225">
        <v>524879</v>
      </c>
      <c r="F196" s="210">
        <v>30678814357</v>
      </c>
      <c r="G196" s="211" t="str">
        <f>IFERROR(IF(compras_mes8[[#This Row],[CUIT]]="","-",VLOOKUP(compras_mes8[[#This Row],[CUIT]],Lista_CUIT[#All],2,0)),"CUIT NO CARGADO")</f>
        <v>TELEFONICA MOVILES ARG</v>
      </c>
      <c r="H196" s="212">
        <v>43179.29</v>
      </c>
      <c r="I196" s="85" t="s">
        <v>2411</v>
      </c>
      <c r="J196" s="213">
        <f>compras_mes8[[#This Row],[NETO GRAVADO]]*0.27</f>
        <v>11658.408300000001</v>
      </c>
      <c r="K196" s="213"/>
      <c r="L196" s="213"/>
      <c r="M196" s="213"/>
      <c r="N196" s="213"/>
      <c r="O196" s="213">
        <v>3886.14</v>
      </c>
      <c r="P196" s="353">
        <f>SUM(compras_mes8[[#This Row],[NETO GRAVADO]:[Otros / No Grav.]])</f>
        <v>58723.838300000003</v>
      </c>
      <c r="Q196" s="215" t="str">
        <f>IFERROR(IF(compras_mes8[[#This Row],[CUIT]]="","-",VLOOKUP(compras_mes8[[#This Row],[CUIT]],Lista_CUIT[#All],3,0)),"CUIT NO CARGADO")</f>
        <v>Servicios Gas, Luz, etc.</v>
      </c>
      <c r="R196" s="215">
        <f>IFERROR(IF(compras_mes8[[#This Row],[CUIT]]="","-",VLOOKUP(compras_mes8[[#This Row],[CUIT]],Lista_CUIT[#All],4,0)),"CUIT NO CARGADO")</f>
        <v>0</v>
      </c>
    </row>
    <row r="197" spans="2:18" x14ac:dyDescent="0.25">
      <c r="B197" s="207" t="s">
        <v>2768</v>
      </c>
      <c r="C197" s="208">
        <v>1</v>
      </c>
      <c r="D197" s="209">
        <v>63</v>
      </c>
      <c r="E197" s="225">
        <v>3417726</v>
      </c>
      <c r="F197" s="210">
        <v>30640897267</v>
      </c>
      <c r="G197" s="211" t="str">
        <f>IFERROR(IF(compras_mes8[[#This Row],[CUIT]]="","-",VLOOKUP(compras_mes8[[#This Row],[CUIT]],Lista_CUIT[#All],2,0)),"CUIT NO CARGADO")</f>
        <v>TELECENTRO S.A.</v>
      </c>
      <c r="H197" s="212">
        <v>39454.79</v>
      </c>
      <c r="I197" s="213">
        <f>IF(compras_mes8[[#This Row],[NETO GRAVADO]]="","",compras_mes8[[#This Row],[NETO GRAVADO]]*0.21)</f>
        <v>8285.5059000000001</v>
      </c>
      <c r="J197" s="213"/>
      <c r="K197" s="213"/>
      <c r="L197" s="213"/>
      <c r="M197" s="213"/>
      <c r="N197" s="213"/>
      <c r="O197" s="213">
        <v>3550.93</v>
      </c>
      <c r="P197" s="353">
        <f>SUM(compras_mes8[[#This Row],[NETO GRAVADO]:[Otros / No Grav.]])</f>
        <v>51291.225899999998</v>
      </c>
      <c r="Q197" s="215" t="str">
        <f>IFERROR(IF(compras_mes8[[#This Row],[CUIT]]="","-",VLOOKUP(compras_mes8[[#This Row],[CUIT]],Lista_CUIT[#All],3,0)),"CUIT NO CARGADO")</f>
        <v>Servicios Gas, Luz, etc.</v>
      </c>
      <c r="R197" s="215">
        <f>IFERROR(IF(compras_mes8[[#This Row],[CUIT]]="","-",VLOOKUP(compras_mes8[[#This Row],[CUIT]],Lista_CUIT[#All],4,0)),"CUIT NO CARGADO")</f>
        <v>0</v>
      </c>
    </row>
    <row r="198" spans="2:18" x14ac:dyDescent="0.25">
      <c r="B198" s="207" t="s">
        <v>2768</v>
      </c>
      <c r="C198" s="208">
        <v>1</v>
      </c>
      <c r="D198" s="209">
        <v>63</v>
      </c>
      <c r="E198" s="225">
        <v>3418915</v>
      </c>
      <c r="F198" s="210">
        <v>30640897267</v>
      </c>
      <c r="G198" s="211" t="str">
        <f>IFERROR(IF(compras_mes8[[#This Row],[CUIT]]="","-",VLOOKUP(compras_mes8[[#This Row],[CUIT]],Lista_CUIT[#All],2,0)),"CUIT NO CARGADO")</f>
        <v>TELECENTRO S.A.</v>
      </c>
      <c r="H198" s="212">
        <v>39454.79</v>
      </c>
      <c r="I198" s="213">
        <f>IF(compras_mes8[[#This Row],[NETO GRAVADO]]="","",compras_mes8[[#This Row],[NETO GRAVADO]]*0.21)</f>
        <v>8285.5059000000001</v>
      </c>
      <c r="J198" s="213"/>
      <c r="K198" s="213"/>
      <c r="L198" s="213"/>
      <c r="M198" s="213"/>
      <c r="N198" s="213"/>
      <c r="O198" s="213">
        <v>3550.93</v>
      </c>
      <c r="P198" s="353">
        <f>SUM(compras_mes8[[#This Row],[NETO GRAVADO]:[Otros / No Grav.]])</f>
        <v>51291.225899999998</v>
      </c>
      <c r="Q198" s="215" t="str">
        <f>IFERROR(IF(compras_mes8[[#This Row],[CUIT]]="","-",VLOOKUP(compras_mes8[[#This Row],[CUIT]],Lista_CUIT[#All],3,0)),"CUIT NO CARGADO")</f>
        <v>Servicios Gas, Luz, etc.</v>
      </c>
      <c r="R198" s="215">
        <f>IFERROR(IF(compras_mes8[[#This Row],[CUIT]]="","-",VLOOKUP(compras_mes8[[#This Row],[CUIT]],Lista_CUIT[#All],4,0)),"CUIT NO CARGADO")</f>
        <v>0</v>
      </c>
    </row>
    <row r="199" spans="2:18" x14ac:dyDescent="0.25">
      <c r="B199" s="207" t="s">
        <v>2770</v>
      </c>
      <c r="C199" s="208">
        <v>1</v>
      </c>
      <c r="D199" s="209">
        <v>3101</v>
      </c>
      <c r="E199" s="225">
        <v>353814</v>
      </c>
      <c r="F199" s="210">
        <v>30678814357</v>
      </c>
      <c r="G199" s="211" t="str">
        <f>IFERROR(IF(compras_mes8[[#This Row],[CUIT]]="","-",VLOOKUP(compras_mes8[[#This Row],[CUIT]],Lista_CUIT[#All],2,0)),"CUIT NO CARGADO")</f>
        <v>TELEFONICA MOVILES ARG</v>
      </c>
      <c r="H199" s="212">
        <v>18853.099999999999</v>
      </c>
      <c r="I199" s="213"/>
      <c r="J199" s="213">
        <v>5090.34</v>
      </c>
      <c r="K199" s="213"/>
      <c r="L199" s="213"/>
      <c r="M199" s="213"/>
      <c r="N199" s="213"/>
      <c r="O199" s="213">
        <v>1696.78</v>
      </c>
      <c r="P199" s="214">
        <f>SUM(compras_mes8[[#This Row],[NETO GRAVADO]:[Otros / No Grav.]])</f>
        <v>25640.219999999998</v>
      </c>
      <c r="Q199" s="215" t="str">
        <f>IFERROR(IF(compras_mes8[[#This Row],[CUIT]]="","-",VLOOKUP(compras_mes8[[#This Row],[CUIT]],Lista_CUIT[#All],3,0)),"CUIT NO CARGADO")</f>
        <v>Servicios Gas, Luz, etc.</v>
      </c>
      <c r="R199" s="215">
        <f>IFERROR(IF(compras_mes8[[#This Row],[CUIT]]="","-",VLOOKUP(compras_mes8[[#This Row],[CUIT]],Lista_CUIT[#All],4,0)),"CUIT NO CARGADO")</f>
        <v>0</v>
      </c>
    </row>
    <row r="200" spans="2:18" x14ac:dyDescent="0.25">
      <c r="B200" s="207" t="s">
        <v>2746</v>
      </c>
      <c r="C200" s="208">
        <v>1</v>
      </c>
      <c r="D200" s="209">
        <v>6364</v>
      </c>
      <c r="E200" s="225">
        <v>9258350</v>
      </c>
      <c r="F200" s="210">
        <v>30639453738</v>
      </c>
      <c r="G200" s="211" t="str">
        <f>IFERROR(IF(compras_mes8[[#This Row],[CUIT]]="","-",VLOOKUP(compras_mes8[[#This Row],[CUIT]],Lista_CUIT[#All],2,0)),"CUIT NO CARGADO")</f>
        <v>TELECOM ARG SA</v>
      </c>
      <c r="H200" s="212">
        <v>295488.11</v>
      </c>
      <c r="I200" s="213">
        <v>61883.45</v>
      </c>
      <c r="J200" s="213">
        <v>217.35</v>
      </c>
      <c r="K200" s="213"/>
      <c r="L200" s="213"/>
      <c r="M200" s="213"/>
      <c r="N200" s="213"/>
      <c r="O200" s="213">
        <v>25640.93</v>
      </c>
      <c r="P200" s="353">
        <f>SUM(compras_mes8[[#This Row],[NETO GRAVADO]:[Otros / No Grav.]])</f>
        <v>383229.83999999997</v>
      </c>
      <c r="Q200" s="215" t="str">
        <f>IFERROR(IF(compras_mes8[[#This Row],[CUIT]]="","-",VLOOKUP(compras_mes8[[#This Row],[CUIT]],Lista_CUIT[#All],3,0)),"CUIT NO CARGADO")</f>
        <v>Servicios Gas, Luz, etc.</v>
      </c>
      <c r="R200" s="215">
        <f>IFERROR(IF(compras_mes8[[#This Row],[CUIT]]="","-",VLOOKUP(compras_mes8[[#This Row],[CUIT]],Lista_CUIT[#All],4,0)),"CUIT NO CARGADO")</f>
        <v>0</v>
      </c>
    </row>
    <row r="201" spans="2:18" x14ac:dyDescent="0.25">
      <c r="B201" s="207" t="s">
        <v>2752</v>
      </c>
      <c r="C201" s="208">
        <v>1</v>
      </c>
      <c r="D201" s="209">
        <v>4264</v>
      </c>
      <c r="E201" s="225">
        <v>5825504</v>
      </c>
      <c r="F201" s="210">
        <v>30639453738</v>
      </c>
      <c r="G201" s="211" t="str">
        <f>IFERROR(IF(compras_mes8[[#This Row],[CUIT]]="","-",VLOOKUP(compras_mes8[[#This Row],[CUIT]],Lista_CUIT[#All],2,0)),"CUIT NO CARGADO")</f>
        <v>TELECOM ARG SA</v>
      </c>
      <c r="H201" s="212">
        <v>101297.5</v>
      </c>
      <c r="I201" s="213">
        <f>IF(compras_mes8[[#This Row],[NETO GRAVADO]]="","",compras_mes8[[#This Row],[NETO GRAVADO]]*0.21)</f>
        <v>21272.474999999999</v>
      </c>
      <c r="J201" s="213"/>
      <c r="K201" s="213"/>
      <c r="L201" s="213"/>
      <c r="M201" s="213"/>
      <c r="N201" s="213"/>
      <c r="O201" s="213">
        <v>7539.53</v>
      </c>
      <c r="P201" s="353">
        <f>SUM(compras_mes8[[#This Row],[NETO GRAVADO]:[Otros / No Grav.]])</f>
        <v>130109.505</v>
      </c>
      <c r="Q201" s="215" t="str">
        <f>IFERROR(IF(compras_mes8[[#This Row],[CUIT]]="","-",VLOOKUP(compras_mes8[[#This Row],[CUIT]],Lista_CUIT[#All],3,0)),"CUIT NO CARGADO")</f>
        <v>Servicios Gas, Luz, etc.</v>
      </c>
      <c r="R201" s="215">
        <f>IFERROR(IF(compras_mes8[[#This Row],[CUIT]]="","-",VLOOKUP(compras_mes8[[#This Row],[CUIT]],Lista_CUIT[#All],4,0)),"CUIT NO CARGADO")</f>
        <v>0</v>
      </c>
    </row>
    <row r="202" spans="2:18" x14ac:dyDescent="0.25">
      <c r="B202" s="207" t="s">
        <v>2755</v>
      </c>
      <c r="C202" s="208">
        <v>1</v>
      </c>
      <c r="D202" s="209">
        <v>5</v>
      </c>
      <c r="E202" s="225">
        <v>3366017</v>
      </c>
      <c r="F202" s="210">
        <v>30702652975</v>
      </c>
      <c r="G202" s="211" t="str">
        <f>IFERROR(IF(compras_mes8[[#This Row],[CUIT]]="","-",VLOOKUP(compras_mes8[[#This Row],[CUIT]],Lista_CUIT[#All],2,0)),"CUIT NO CARGADO")</f>
        <v>NSS SA</v>
      </c>
      <c r="H202" s="212">
        <v>34438.46</v>
      </c>
      <c r="I202" s="213">
        <f>IF(compras_mes8[[#This Row],[NETO GRAVADO]]="","",compras_mes8[[#This Row],[NETO GRAVADO]]*0.21)</f>
        <v>7232.0765999999994</v>
      </c>
      <c r="J202" s="213"/>
      <c r="K202" s="213"/>
      <c r="L202" s="213"/>
      <c r="M202" s="213"/>
      <c r="N202" s="213"/>
      <c r="O202" s="213">
        <v>2066.31</v>
      </c>
      <c r="P202" s="353">
        <f>SUM(compras_mes8[[#This Row],[NETO GRAVADO]:[Otros / No Grav.]])</f>
        <v>43736.846599999997</v>
      </c>
      <c r="Q202" s="215" t="str">
        <f>IFERROR(IF(compras_mes8[[#This Row],[CUIT]]="","-",VLOOKUP(compras_mes8[[#This Row],[CUIT]],Lista_CUIT[#All],3,0)),"CUIT NO CARGADO")</f>
        <v>Servicios Gas, Luz, etc.</v>
      </c>
      <c r="R202" s="215">
        <f>IFERROR(IF(compras_mes8[[#This Row],[CUIT]]="","-",VLOOKUP(compras_mes8[[#This Row],[CUIT]],Lista_CUIT[#All],4,0)),"CUIT NO CARGADO")</f>
        <v>0</v>
      </c>
    </row>
    <row r="203" spans="2:18" x14ac:dyDescent="0.25">
      <c r="B203" s="207" t="s">
        <v>2744</v>
      </c>
      <c r="C203" s="208">
        <v>1</v>
      </c>
      <c r="D203" s="209">
        <v>3</v>
      </c>
      <c r="E203" s="225">
        <v>10696</v>
      </c>
      <c r="F203" s="210">
        <v>27412102431</v>
      </c>
      <c r="G203" s="211" t="str">
        <f>IFERROR(IF(compras_mes8[[#This Row],[CUIT]]="","-",VLOOKUP(compras_mes8[[#This Row],[CUIT]],Lista_CUIT[#All],2,0)),"CUIT NO CARGADO")</f>
        <v>ALVEZ ARIANA SOL</v>
      </c>
      <c r="H203" s="212">
        <v>88760.33</v>
      </c>
      <c r="I203" s="213">
        <f>IF(compras_mes8[[#This Row],[NETO GRAVADO]]="","",compras_mes8[[#This Row],[NETO GRAVADO]]*0.21)</f>
        <v>18639.669300000001</v>
      </c>
      <c r="J203" s="213"/>
      <c r="K203" s="213"/>
      <c r="L203" s="213"/>
      <c r="M203" s="213"/>
      <c r="N203" s="213"/>
      <c r="O203" s="213"/>
      <c r="P203" s="353">
        <f>SUM(compras_mes8[[#This Row],[NETO GRAVADO]:[Otros / No Grav.]])</f>
        <v>107399.9993</v>
      </c>
      <c r="Q203" s="215" t="str">
        <f>IFERROR(IF(compras_mes8[[#This Row],[CUIT]]="","-",VLOOKUP(compras_mes8[[#This Row],[CUIT]],Lista_CUIT[#All],3,0)),"CUIT NO CARGADO")</f>
        <v>Software Mantenimiento</v>
      </c>
      <c r="R203" s="215">
        <f>IFERROR(IF(compras_mes8[[#This Row],[CUIT]]="","-",VLOOKUP(compras_mes8[[#This Row],[CUIT]],Lista_CUIT[#All],4,0)),"CUIT NO CARGADO")</f>
        <v>0</v>
      </c>
    </row>
    <row r="204" spans="2:18" x14ac:dyDescent="0.25">
      <c r="B204" s="95" t="s">
        <v>103</v>
      </c>
      <c r="C204" s="95"/>
      <c r="D204" s="95"/>
      <c r="E204" s="95"/>
      <c r="F204" s="95"/>
      <c r="G204" s="96"/>
      <c r="H204" s="97">
        <f>SUBTOTAL(109,compras_mes8[NETO GRAVADO])</f>
        <v>130424484.03000003</v>
      </c>
      <c r="I204" s="97">
        <f>SUBTOTAL(109,compras_mes8[IVA 21 %])</f>
        <v>26371566.1239</v>
      </c>
      <c r="J204" s="97">
        <f>SUBTOTAL(109,compras_mes8[IVA 27%])</f>
        <v>16966.098299999998</v>
      </c>
      <c r="K204" s="97">
        <f>SUBTOTAL(109,compras_mes8[IVA 10,5%])</f>
        <v>502189.82054999995</v>
      </c>
      <c r="L204" s="97">
        <f>SUBTOTAL(109,compras_mes8[PERC. IVA])</f>
        <v>0</v>
      </c>
      <c r="M204" s="97">
        <f>SUBTOTAL(109,compras_mes8[PERC IIBB 
BS AS])</f>
        <v>0</v>
      </c>
      <c r="N204" s="97">
        <f>SUBTOTAL(109,compras_mes8[PERC. IIBB CABA])</f>
        <v>0</v>
      </c>
      <c r="O204" s="97">
        <f>SUBTOTAL(109,compras_mes8[Otros / No Grav.])</f>
        <v>3793295.9800000004</v>
      </c>
      <c r="P204" s="97">
        <f>SUBTOTAL(109,compras_mes8[TOTAL])</f>
        <v>161108502.05275002</v>
      </c>
      <c r="Q204" s="95"/>
      <c r="R204" s="95"/>
    </row>
    <row r="205" spans="2:18" x14ac:dyDescent="0.25">
      <c r="B205" s="40"/>
      <c r="C205" s="41"/>
      <c r="D205" s="42"/>
      <c r="E205" s="43"/>
      <c r="F205" s="44"/>
      <c r="G205" s="45"/>
      <c r="H205" s="46"/>
      <c r="I205" s="151"/>
      <c r="J205" s="47"/>
      <c r="K205" s="47"/>
      <c r="L205" s="47"/>
      <c r="M205" s="47"/>
      <c r="N205" s="47"/>
      <c r="O205" s="47"/>
      <c r="P205" s="48"/>
      <c r="Q205" s="49"/>
      <c r="R205" s="49"/>
    </row>
    <row r="206" spans="2:18" x14ac:dyDescent="0.25">
      <c r="B206" s="40"/>
      <c r="C206" s="41"/>
      <c r="D206" s="42"/>
      <c r="E206" s="43"/>
      <c r="F206" s="44"/>
      <c r="G206" s="45"/>
      <c r="H206" s="46"/>
      <c r="I206" s="47"/>
      <c r="J206" s="47"/>
      <c r="K206" s="47"/>
      <c r="L206" s="47"/>
      <c r="M206" s="47"/>
      <c r="N206" s="47"/>
      <c r="O206" s="47"/>
      <c r="P206" s="48"/>
      <c r="Q206" s="49"/>
      <c r="R206" s="49"/>
    </row>
    <row r="207" spans="2:18" x14ac:dyDescent="0.25">
      <c r="B207" s="40"/>
      <c r="C207" s="41"/>
      <c r="D207" s="42"/>
      <c r="E207" s="43"/>
      <c r="F207" s="44"/>
      <c r="G207" s="45"/>
      <c r="H207" s="46">
        <f>H214*100/21</f>
        <v>48000</v>
      </c>
      <c r="I207" s="47">
        <f>I214*100/10.5</f>
        <v>1109.81</v>
      </c>
      <c r="J207" s="47"/>
      <c r="K207" s="47"/>
      <c r="L207" s="47"/>
      <c r="M207" s="47"/>
      <c r="N207" s="47"/>
      <c r="O207" s="47"/>
      <c r="P207" s="48"/>
      <c r="Q207" s="49"/>
      <c r="R207" s="49"/>
    </row>
    <row r="208" spans="2:18" x14ac:dyDescent="0.25">
      <c r="B208" s="40"/>
      <c r="C208" s="41"/>
      <c r="D208" s="42"/>
      <c r="E208" s="43"/>
      <c r="F208" s="44"/>
      <c r="G208" s="45"/>
      <c r="H208" s="46"/>
      <c r="I208" s="47"/>
      <c r="J208" s="47"/>
      <c r="K208" s="47"/>
      <c r="L208" s="47"/>
    </row>
    <row r="209" spans="3:18" ht="21" x14ac:dyDescent="0.25">
      <c r="D209" s="581" t="s">
        <v>15</v>
      </c>
      <c r="E209" s="581"/>
      <c r="F209" s="581"/>
      <c r="G209" s="581"/>
      <c r="H209" s="581"/>
      <c r="I209" s="581"/>
      <c r="J209" s="581"/>
      <c r="K209" s="581"/>
      <c r="L209" s="581"/>
    </row>
    <row r="210" spans="3:18" ht="15.75" x14ac:dyDescent="0.25">
      <c r="D210" s="73" t="s">
        <v>0</v>
      </c>
      <c r="E210" s="74" t="s">
        <v>26</v>
      </c>
      <c r="F210" s="74" t="s">
        <v>16</v>
      </c>
      <c r="G210" s="74" t="s">
        <v>5</v>
      </c>
      <c r="H210" s="74" t="s">
        <v>17</v>
      </c>
      <c r="I210" s="74" t="s">
        <v>7</v>
      </c>
      <c r="J210" s="75" t="s">
        <v>18</v>
      </c>
      <c r="K210" s="75" t="s">
        <v>19</v>
      </c>
      <c r="L210" s="76" t="s">
        <v>20</v>
      </c>
      <c r="M210" s="230" t="s">
        <v>10</v>
      </c>
    </row>
    <row r="211" spans="3:18" x14ac:dyDescent="0.25">
      <c r="C211">
        <v>30500003193</v>
      </c>
      <c r="D211" s="50"/>
      <c r="E211" s="80"/>
      <c r="F211" s="166" t="s">
        <v>2310</v>
      </c>
      <c r="G211" s="222">
        <v>66803.72</v>
      </c>
      <c r="H211" s="81">
        <v>14026.95</v>
      </c>
      <c r="I211" s="81">
        <v>0.91560000000000008</v>
      </c>
      <c r="J211" s="81">
        <v>4007.7</v>
      </c>
      <c r="K211" s="222">
        <v>2003.85</v>
      </c>
      <c r="L211" s="81"/>
      <c r="M211" s="229">
        <f>SUM(extracto_banco_mes8[[#This Row],[NETO]:[PERC IIBB]])</f>
        <v>86843.135599999994</v>
      </c>
    </row>
    <row r="212" spans="3:18" x14ac:dyDescent="0.25">
      <c r="C212" s="376" t="s">
        <v>2217</v>
      </c>
      <c r="D212" s="50"/>
      <c r="E212" s="80"/>
      <c r="F212" s="166" t="s">
        <v>2809</v>
      </c>
      <c r="G212" s="222">
        <v>8156.1299999999992</v>
      </c>
      <c r="H212" s="81">
        <v>1388.4296999999999</v>
      </c>
      <c r="I212" s="81">
        <v>162.1788</v>
      </c>
      <c r="J212" s="81">
        <v>4362.3900000000003</v>
      </c>
      <c r="K212">
        <v>198.35</v>
      </c>
      <c r="L212" s="274"/>
      <c r="M212" s="229">
        <f>SUM(extracto_banco_mes8[[#This Row],[NETO]:[PERC IIBB]])</f>
        <v>14267.478499999999</v>
      </c>
    </row>
    <row r="213" spans="3:18" x14ac:dyDescent="0.25">
      <c r="C213">
        <v>30715649426</v>
      </c>
      <c r="D213" s="50"/>
      <c r="E213" s="80"/>
      <c r="F213" s="166" t="s">
        <v>2314</v>
      </c>
      <c r="G213" s="222">
        <v>87880.89</v>
      </c>
      <c r="H213" s="81">
        <v>17787</v>
      </c>
      <c r="I213" s="81">
        <v>333.99345</v>
      </c>
      <c r="J213" s="81">
        <v>4984.8500000000004</v>
      </c>
      <c r="K213" s="222">
        <v>2444.71</v>
      </c>
      <c r="L213" s="81"/>
      <c r="M213" s="229">
        <f>SUM(extracto_banco_mes8[[#This Row],[NETO]:[PERC IIBB]])</f>
        <v>113431.44345000001</v>
      </c>
    </row>
    <row r="214" spans="3:18" x14ac:dyDescent="0.25">
      <c r="D214" s="50"/>
      <c r="E214" s="80"/>
      <c r="F214" s="166" t="s">
        <v>2810</v>
      </c>
      <c r="G214" s="222">
        <v>49109.81</v>
      </c>
      <c r="H214" s="81">
        <v>10080</v>
      </c>
      <c r="I214" s="81">
        <v>116.53004999999999</v>
      </c>
      <c r="J214" s="81">
        <v>2880</v>
      </c>
      <c r="K214" s="222">
        <v>1440</v>
      </c>
      <c r="L214" s="81"/>
      <c r="M214" s="229">
        <f>SUM(extracto_banco_mes8[[#This Row],[NETO]:[PERC IIBB]])</f>
        <v>63626.340049999999</v>
      </c>
    </row>
    <row r="215" spans="3:18" x14ac:dyDescent="0.25">
      <c r="D215" s="50"/>
      <c r="E215" s="80"/>
      <c r="F215" s="166" t="s">
        <v>2184</v>
      </c>
      <c r="G215" s="222">
        <v>19172.669999999998</v>
      </c>
      <c r="H215" s="81">
        <f>extracto_banco_mes8[[#This Row],[NETO]]*0.21</f>
        <v>4026.2606999999994</v>
      </c>
      <c r="I215" s="81"/>
      <c r="J215" s="81"/>
      <c r="K215" s="222">
        <v>575.17999999999995</v>
      </c>
      <c r="L215" s="81"/>
      <c r="M215" s="229">
        <f>SUM(extracto_banco_mes8[[#This Row],[NETO]:[PERC IIBB]])</f>
        <v>23774.110699999997</v>
      </c>
      <c r="P215" s="376"/>
      <c r="Q215" s="376"/>
      <c r="R215" s="376"/>
    </row>
    <row r="216" spans="3:18" x14ac:dyDescent="0.25">
      <c r="D216" s="50"/>
      <c r="E216" s="80"/>
      <c r="F216" s="166" t="s">
        <v>2811</v>
      </c>
      <c r="G216" s="222">
        <v>695834.09523809527</v>
      </c>
      <c r="H216" s="81">
        <f>extracto_banco_mes8[[#This Row],[NETO]]*0.21</f>
        <v>146125.16</v>
      </c>
      <c r="I216" s="81"/>
      <c r="J216" s="81">
        <v>453611.57</v>
      </c>
      <c r="K216" s="222"/>
      <c r="L216" s="81"/>
      <c r="M216" s="229">
        <f>SUM(extracto_banco_mes8[[#This Row],[NETO]:[PERC IIBB]])</f>
        <v>1295570.8252380954</v>
      </c>
      <c r="P216" s="274"/>
      <c r="R216" s="274"/>
    </row>
    <row r="217" spans="3:18" x14ac:dyDescent="0.25">
      <c r="D217" s="50"/>
      <c r="E217" s="80"/>
      <c r="F217" s="166"/>
      <c r="G217" s="222"/>
      <c r="H217" s="81">
        <f>extracto_banco_mes8[[#This Row],[NETO]]*0.21</f>
        <v>0</v>
      </c>
      <c r="I217" s="81"/>
      <c r="J217" s="81"/>
      <c r="K217" s="222"/>
      <c r="L217" s="81"/>
      <c r="M217" s="229">
        <f>SUM(extracto_banco_mes8[[#This Row],[NETO]:[PERC IIBB]])</f>
        <v>0</v>
      </c>
      <c r="Q217" s="274"/>
      <c r="R217" s="274"/>
    </row>
    <row r="218" spans="3:18" x14ac:dyDescent="0.25">
      <c r="D218" s="50"/>
      <c r="E218" s="80"/>
      <c r="F218" s="166"/>
      <c r="G218" s="222"/>
      <c r="H218" s="81">
        <f>extracto_banco_mes8[[#This Row],[NETO]]*0.21</f>
        <v>0</v>
      </c>
      <c r="I218" s="81"/>
      <c r="J218" s="81"/>
      <c r="K218" s="222"/>
      <c r="L218" s="81"/>
      <c r="M218" s="229">
        <f>SUM(extracto_banco_mes8[[#This Row],[NETO]:[PERC IIBB]])</f>
        <v>0</v>
      </c>
      <c r="P218" s="274"/>
      <c r="Q218" s="274"/>
      <c r="R218" s="274"/>
    </row>
    <row r="219" spans="3:18" x14ac:dyDescent="0.25">
      <c r="D219" s="50"/>
      <c r="E219" s="80"/>
      <c r="F219" s="80"/>
      <c r="G219" s="222"/>
      <c r="H219" s="81">
        <f>extracto_banco_mes8[[#This Row],[NETO]]*0.21</f>
        <v>0</v>
      </c>
      <c r="I219" s="81"/>
      <c r="J219" s="81"/>
      <c r="K219" s="222"/>
      <c r="L219" s="81"/>
      <c r="M219" s="229">
        <f>SUM(extracto_banco_mes8[[#This Row],[NETO]:[PERC IIBB]])</f>
        <v>0</v>
      </c>
      <c r="P219" s="274"/>
    </row>
    <row r="220" spans="3:18" x14ac:dyDescent="0.25">
      <c r="D220" s="82" t="s">
        <v>103</v>
      </c>
      <c r="E220" s="80"/>
      <c r="F220" s="80"/>
      <c r="G220" s="83">
        <f>SUBTOTAL(109,extracto_banco_mes8[NETO])</f>
        <v>926957.31523809524</v>
      </c>
      <c r="H220" s="83">
        <f>SUBTOTAL(109,extracto_banco_mes8[IVA 21%])</f>
        <v>193433.80040000001</v>
      </c>
      <c r="I220" s="83">
        <f>SUBTOTAL(109,extracto_banco_mes8[IVA 10,5%])</f>
        <v>613.61789999999996</v>
      </c>
      <c r="J220" s="83">
        <f>SUBTOTAL(109,extracto_banco_mes8[RET IIBB CABA])</f>
        <v>469846.51</v>
      </c>
      <c r="K220" s="83">
        <f>SUBTOTAL(109,extracto_banco_mes8[PERC IVA])</f>
        <v>6662.09</v>
      </c>
      <c r="L220" s="83">
        <f>SUBTOTAL(109,extracto_banco_mes8[PERC IIBB])</f>
        <v>0</v>
      </c>
      <c r="M220" s="228"/>
    </row>
    <row r="224" spans="3:18" ht="15.75" customHeight="1" x14ac:dyDescent="0.25">
      <c r="D224" s="581" t="s">
        <v>25</v>
      </c>
      <c r="E224" s="581"/>
      <c r="F224" s="581"/>
      <c r="G224" s="581"/>
      <c r="H224" s="581"/>
      <c r="I224" s="581"/>
      <c r="J224" s="581"/>
      <c r="K224" s="581"/>
      <c r="N224" s="274"/>
    </row>
    <row r="225" spans="4:11" x14ac:dyDescent="0.25">
      <c r="D225" s="51" t="s">
        <v>0</v>
      </c>
      <c r="E225" s="51" t="s">
        <v>2</v>
      </c>
      <c r="F225" s="51" t="s">
        <v>74</v>
      </c>
      <c r="G225" s="51" t="s">
        <v>3</v>
      </c>
      <c r="H225" s="51" t="s">
        <v>4</v>
      </c>
      <c r="I225" s="52" t="s">
        <v>10</v>
      </c>
      <c r="J225" s="51" t="s">
        <v>13</v>
      </c>
      <c r="K225" s="51" t="s">
        <v>38</v>
      </c>
    </row>
    <row r="226" spans="4:11" ht="17.25" customHeight="1" x14ac:dyDescent="0.25">
      <c r="D226" s="362"/>
      <c r="E226" s="42"/>
      <c r="F226" s="43"/>
      <c r="G226" s="44"/>
      <c r="H226" s="218" t="str">
        <f>IFERROR(IF(factura_c_mes8[[#This Row],[CUIT]]="","-",VLOOKUP(factura_c_mes8[[#This Row],[CUIT]],Lista_CUIT[#All],2,0)),"CUIT NO CARGADO")</f>
        <v>-</v>
      </c>
      <c r="I226" s="227"/>
      <c r="J226" s="220" t="str">
        <f>IFERROR(IF(factura_c_mes8[[#This Row],[CUIT]]="","-",VLOOKUP(factura_c_mes8[[#This Row],[CUIT]],Lista_CUIT[#All],3,0)),"CUIT NO CARGADO")</f>
        <v>-</v>
      </c>
      <c r="K226" s="220" t="str">
        <f>IFERROR(IF(factura_c_mes8[[#This Row],[CUIT]]="","-",VLOOKUP(factura_c_mes8[[#This Row],[CUIT]],Lista_CUIT[#All],4,0)),"CUIT NO CARGADO")</f>
        <v>-</v>
      </c>
    </row>
    <row r="227" spans="4:11" ht="15.75" customHeight="1" x14ac:dyDescent="0.25">
      <c r="D227" s="362"/>
      <c r="E227" s="42"/>
      <c r="F227" s="43"/>
      <c r="G227" s="44"/>
      <c r="H227" s="218" t="str">
        <f>IFERROR(IF(factura_c_mes8[[#This Row],[CUIT]]="","-",VLOOKUP(factura_c_mes8[[#This Row],[CUIT]],Lista_CUIT[#All],2,0)),"CUIT NO CARGADO")</f>
        <v>-</v>
      </c>
      <c r="I227" s="227"/>
      <c r="J227" s="220" t="str">
        <f>IFERROR(IF(factura_c_mes8[[#This Row],[CUIT]]="","-",VLOOKUP(factura_c_mes8[[#This Row],[CUIT]],Lista_CUIT[#All],3,0)),"CUIT NO CARGADO")</f>
        <v>-</v>
      </c>
      <c r="K227" s="220" t="str">
        <f>IFERROR(IF(factura_c_mes8[[#This Row],[CUIT]]="","-",VLOOKUP(factura_c_mes8[[#This Row],[CUIT]],Lista_CUIT[#All],4,0)),"CUIT NO CARGADO")</f>
        <v>-</v>
      </c>
    </row>
    <row r="228" spans="4:11" x14ac:dyDescent="0.25">
      <c r="D228" s="362"/>
      <c r="E228" s="42"/>
      <c r="F228" s="43"/>
      <c r="G228" s="44"/>
      <c r="H228" s="218" t="str">
        <f>IFERROR(IF(factura_c_mes8[[#This Row],[CUIT]]="","-",VLOOKUP(factura_c_mes8[[#This Row],[CUIT]],Lista_CUIT[#All],2,0)),"CUIT NO CARGADO")</f>
        <v>-</v>
      </c>
      <c r="I228" s="227"/>
      <c r="J228" s="220" t="str">
        <f>IFERROR(IF(factura_c_mes8[[#This Row],[CUIT]]="","-",VLOOKUP(factura_c_mes8[[#This Row],[CUIT]],Lista_CUIT[#All],3,0)),"CUIT NO CARGADO")</f>
        <v>-</v>
      </c>
      <c r="K228" s="220" t="str">
        <f>IFERROR(IF(factura_c_mes8[[#This Row],[CUIT]]="","-",VLOOKUP(factura_c_mes8[[#This Row],[CUIT]],Lista_CUIT[#All],4,0)),"CUIT NO CARGADO")</f>
        <v>-</v>
      </c>
    </row>
    <row r="229" spans="4:11" x14ac:dyDescent="0.25">
      <c r="D229" s="362"/>
      <c r="E229" s="42"/>
      <c r="F229" s="43"/>
      <c r="G229" s="44"/>
      <c r="H229" s="218" t="str">
        <f>IFERROR(IF(factura_c_mes8[[#This Row],[CUIT]]="","-",VLOOKUP(factura_c_mes8[[#This Row],[CUIT]],Lista_CUIT[#All],2,0)),"CUIT NO CARGADO")</f>
        <v>-</v>
      </c>
      <c r="I229" s="227"/>
      <c r="J229" s="220" t="str">
        <f>IFERROR(IF(factura_c_mes8[[#This Row],[CUIT]]="","-",VLOOKUP(factura_c_mes8[[#This Row],[CUIT]],Lista_CUIT[#All],3,0)),"CUIT NO CARGADO")</f>
        <v>-</v>
      </c>
      <c r="K229" s="220" t="str">
        <f>IFERROR(IF(factura_c_mes8[[#This Row],[CUIT]]="","-",VLOOKUP(factura_c_mes8[[#This Row],[CUIT]],Lista_CUIT[#All],4,0)),"CUIT NO CARGADO")</f>
        <v>-</v>
      </c>
    </row>
    <row r="230" spans="4:11" x14ac:dyDescent="0.25">
      <c r="D230" s="362"/>
      <c r="E230" s="42"/>
      <c r="F230" s="43"/>
      <c r="G230" s="44"/>
      <c r="H230" s="218" t="str">
        <f>IFERROR(IF(factura_c_mes8[[#This Row],[CUIT]]="","-",VLOOKUP(factura_c_mes8[[#This Row],[CUIT]],Lista_CUIT[#All],2,0)),"CUIT NO CARGADO")</f>
        <v>-</v>
      </c>
      <c r="I230" s="227"/>
      <c r="J230" s="220" t="str">
        <f>IFERROR(IF(factura_c_mes8[[#This Row],[CUIT]]="","-",VLOOKUP(factura_c_mes8[[#This Row],[CUIT]],Lista_CUIT[#All],3,0)),"CUIT NO CARGADO")</f>
        <v>-</v>
      </c>
      <c r="K230" s="220" t="str">
        <f>IFERROR(IF(factura_c_mes8[[#This Row],[CUIT]]="","-",VLOOKUP(factura_c_mes8[[#This Row],[CUIT]],Lista_CUIT[#All],4,0)),"CUIT NO CARGADO")</f>
        <v>-</v>
      </c>
    </row>
    <row r="231" spans="4:11" x14ac:dyDescent="0.25">
      <c r="D231" s="362"/>
      <c r="E231" s="42"/>
      <c r="F231" s="43"/>
      <c r="G231" s="44"/>
      <c r="H231" s="218" t="str">
        <f>IFERROR(IF(factura_c_mes8[[#This Row],[CUIT]]="","-",VLOOKUP(factura_c_mes8[[#This Row],[CUIT]],Lista_CUIT[#All],2,0)),"CUIT NO CARGADO")</f>
        <v>-</v>
      </c>
      <c r="I231" s="227"/>
      <c r="J231" s="220" t="str">
        <f>IFERROR(IF(factura_c_mes8[[#This Row],[CUIT]]="","-",VLOOKUP(factura_c_mes8[[#This Row],[CUIT]],Lista_CUIT[#All],3,0)),"CUIT NO CARGADO")</f>
        <v>-</v>
      </c>
      <c r="K231" s="220" t="str">
        <f>IFERROR(IF(factura_c_mes8[[#This Row],[CUIT]]="","-",VLOOKUP(factura_c_mes8[[#This Row],[CUIT]],Lista_CUIT[#All],4,0)),"CUIT NO CARGADO")</f>
        <v>-</v>
      </c>
    </row>
    <row r="232" spans="4:11" x14ac:dyDescent="0.25">
      <c r="D232" s="362"/>
      <c r="E232" s="42"/>
      <c r="F232" s="43"/>
      <c r="G232" s="44"/>
      <c r="H232" s="218" t="str">
        <f>IFERROR(IF(factura_c_mes8[[#This Row],[CUIT]]="","-",VLOOKUP(factura_c_mes8[[#This Row],[CUIT]],Lista_CUIT[#All],2,0)),"CUIT NO CARGADO")</f>
        <v>-</v>
      </c>
      <c r="I232" s="227"/>
      <c r="J232" s="220" t="str">
        <f>IFERROR(IF(factura_c_mes8[[#This Row],[CUIT]]="","-",VLOOKUP(factura_c_mes8[[#This Row],[CUIT]],Lista_CUIT[#All],3,0)),"CUIT NO CARGADO")</f>
        <v>-</v>
      </c>
      <c r="K232" s="220" t="str">
        <f>IFERROR(IF(factura_c_mes8[[#This Row],[CUIT]]="","-",VLOOKUP(factura_c_mes8[[#This Row],[CUIT]],Lista_CUIT[#All],4,0)),"CUIT NO CARGADO")</f>
        <v>-</v>
      </c>
    </row>
    <row r="233" spans="4:11" x14ac:dyDescent="0.25">
      <c r="D233" s="362"/>
      <c r="E233" s="42"/>
      <c r="F233" s="43"/>
      <c r="G233" s="44"/>
      <c r="H233" s="218" t="str">
        <f>IFERROR(IF(factura_c_mes8[[#This Row],[CUIT]]="","-",VLOOKUP(factura_c_mes8[[#This Row],[CUIT]],Lista_CUIT[#All],2,0)),"CUIT NO CARGADO")</f>
        <v>-</v>
      </c>
      <c r="I233" s="227"/>
      <c r="J233" s="220" t="str">
        <f>IFERROR(IF(factura_c_mes8[[#This Row],[CUIT]]="","-",VLOOKUP(factura_c_mes8[[#This Row],[CUIT]],Lista_CUIT[#All],3,0)),"CUIT NO CARGADO")</f>
        <v>-</v>
      </c>
      <c r="K233" s="220" t="str">
        <f>IFERROR(IF(factura_c_mes8[[#This Row],[CUIT]]="","-",VLOOKUP(factura_c_mes8[[#This Row],[CUIT]],Lista_CUIT[#All],4,0)),"CUIT NO CARGADO")</f>
        <v>-</v>
      </c>
    </row>
    <row r="234" spans="4:11" x14ac:dyDescent="0.25">
      <c r="D234" s="578"/>
      <c r="E234" s="42"/>
      <c r="F234" s="43"/>
      <c r="G234" s="44"/>
      <c r="H234" s="53" t="str">
        <f>IFERROR(IF(factura_c_mes8[[#This Row],[CUIT]]="","-",VLOOKUP(factura_c_mes8[[#This Row],[CUIT]],Lista_CUIT[#All],2,0)),"CUIT NO CARGADO")</f>
        <v>-</v>
      </c>
      <c r="I234" s="226"/>
      <c r="J234" s="54" t="str">
        <f>IFERROR(IF(factura_c_mes8[[#This Row],[CUIT]]="","-",VLOOKUP(factura_c_mes8[[#This Row],[CUIT]],Lista_CUIT[#All],3,0)),"CUIT NO CARGADO")</f>
        <v>-</v>
      </c>
      <c r="K234" s="54" t="str">
        <f>IFERROR(IF(factura_c_mes8[[#This Row],[CUIT]]="","-",VLOOKUP(factura_c_mes8[[#This Row],[CUIT]],Lista_CUIT[#All],4,0)),"CUIT NO CARGADO")</f>
        <v>-</v>
      </c>
    </row>
    <row r="235" spans="4:11" x14ac:dyDescent="0.25">
      <c r="D235" s="578"/>
      <c r="E235" s="42"/>
      <c r="F235" s="43"/>
      <c r="G235" s="44"/>
      <c r="H235" s="53" t="str">
        <f>IFERROR(IF(factura_c_mes8[[#This Row],[CUIT]]="","-",VLOOKUP(factura_c_mes8[[#This Row],[CUIT]],Lista_CUIT[#All],2,0)),"CUIT NO CARGADO")</f>
        <v>-</v>
      </c>
      <c r="I235" s="226"/>
      <c r="J235" s="54" t="str">
        <f>IFERROR(IF(factura_c_mes8[[#This Row],[CUIT]]="","-",VLOOKUP(factura_c_mes8[[#This Row],[CUIT]],Lista_CUIT[#All],3,0)),"CUIT NO CARGADO")</f>
        <v>-</v>
      </c>
      <c r="K235" s="54" t="str">
        <f>IFERROR(IF(factura_c_mes8[[#This Row],[CUIT]]="","-",VLOOKUP(factura_c_mes8[[#This Row],[CUIT]],Lista_CUIT[#All],4,0)),"CUIT NO CARGADO")</f>
        <v>-</v>
      </c>
    </row>
    <row r="236" spans="4:11" x14ac:dyDescent="0.25">
      <c r="D236" s="578"/>
      <c r="E236" s="42"/>
      <c r="F236" s="43"/>
      <c r="G236" s="44"/>
      <c r="H236" s="53" t="str">
        <f>IFERROR(IF(factura_c_mes8[[#This Row],[CUIT]]="","-",VLOOKUP(factura_c_mes8[[#This Row],[CUIT]],Lista_CUIT[#All],2,0)),"CUIT NO CARGADO")</f>
        <v>-</v>
      </c>
      <c r="I236" s="226"/>
      <c r="J236" s="54" t="str">
        <f>IFERROR(IF(factura_c_mes8[[#This Row],[CUIT]]="","-",VLOOKUP(factura_c_mes8[[#This Row],[CUIT]],Lista_CUIT[#All],3,0)),"CUIT NO CARGADO")</f>
        <v>-</v>
      </c>
      <c r="K236" s="54" t="str">
        <f>IFERROR(IF(factura_c_mes8[[#This Row],[CUIT]]="","-",VLOOKUP(factura_c_mes8[[#This Row],[CUIT]],Lista_CUIT[#All],4,0)),"CUIT NO CARGADO")</f>
        <v>-</v>
      </c>
    </row>
    <row r="237" spans="4:11" x14ac:dyDescent="0.25">
      <c r="D237" s="486" t="s">
        <v>2755</v>
      </c>
      <c r="E237" s="486">
        <v>2</v>
      </c>
      <c r="F237" s="486">
        <v>24</v>
      </c>
      <c r="G237" s="530">
        <v>24180692653</v>
      </c>
      <c r="H237" s="531" t="str">
        <f>IFERROR(IF(factura_c_mes8[[#This Row],[CUIT]]="","-",VLOOKUP(factura_c_mes8[[#This Row],[CUIT]],Lista_CUIT[#All],2,0)),"CUIT NO CARGADO")</f>
        <v>CASTILLO JOSE MANUEL</v>
      </c>
      <c r="I237" s="490">
        <v>1400000</v>
      </c>
      <c r="J237" s="491" t="s">
        <v>2812</v>
      </c>
      <c r="K237" s="491">
        <f>IFERROR(IF(factura_c_mes8[[#This Row],[CUIT]]="","-",VLOOKUP(factura_c_mes8[[#This Row],[CUIT]],Lista_CUIT[#All],4,0)),"CUIT NO CARGADO")</f>
        <v>0</v>
      </c>
    </row>
    <row r="238" spans="4:11" x14ac:dyDescent="0.25">
      <c r="D238" s="486" t="s">
        <v>2755</v>
      </c>
      <c r="E238" s="486">
        <v>1</v>
      </c>
      <c r="F238" s="486">
        <v>14</v>
      </c>
      <c r="G238" s="530">
        <v>27203738418</v>
      </c>
      <c r="H238" s="531" t="str">
        <f>IFERROR(IF(factura_c_mes8[[#This Row],[CUIT]]="","-",VLOOKUP(factura_c_mes8[[#This Row],[CUIT]],Lista_CUIT[#All],2,0)),"CUIT NO CARGADO")</f>
        <v>CASTILLO DELIA CRISTINA</v>
      </c>
      <c r="I238" s="490">
        <v>1000000</v>
      </c>
      <c r="J238" s="491" t="s">
        <v>2812</v>
      </c>
      <c r="K238" s="491">
        <f>IFERROR(IF(factura_c_mes8[[#This Row],[CUIT]]="","-",VLOOKUP(factura_c_mes8[[#This Row],[CUIT]],Lista_CUIT[#All],4,0)),"CUIT NO CARGADO")</f>
        <v>0</v>
      </c>
    </row>
    <row r="239" spans="4:11" x14ac:dyDescent="0.25">
      <c r="D239" s="486" t="s">
        <v>2755</v>
      </c>
      <c r="E239" s="486">
        <v>2</v>
      </c>
      <c r="F239" s="486">
        <v>30</v>
      </c>
      <c r="G239" s="530">
        <v>27226409799</v>
      </c>
      <c r="H239" s="531" t="str">
        <f>IFERROR(IF(factura_c_mes8[[#This Row],[CUIT]]="","-",VLOOKUP(factura_c_mes8[[#This Row],[CUIT]],Lista_CUIT[#All],2,0)),"CUIT NO CARGADO")</f>
        <v>CASTILLO BERTA YOLANDA</v>
      </c>
      <c r="I239" s="490">
        <v>1400000</v>
      </c>
      <c r="J239" s="491" t="s">
        <v>2812</v>
      </c>
      <c r="K239" s="491">
        <f>IFERROR(IF(factura_c_mes8[[#This Row],[CUIT]]="","-",VLOOKUP(factura_c_mes8[[#This Row],[CUIT]],Lista_CUIT[#All],4,0)),"CUIT NO CARGADO")</f>
        <v>0</v>
      </c>
    </row>
    <row r="240" spans="4:11" x14ac:dyDescent="0.25">
      <c r="D240" s="486" t="s">
        <v>2748</v>
      </c>
      <c r="E240" s="486">
        <v>3</v>
      </c>
      <c r="F240" s="486">
        <v>1952</v>
      </c>
      <c r="G240" s="530">
        <v>20173025557</v>
      </c>
      <c r="H240" s="531" t="str">
        <f>IFERROR(IF(factura_c_mes8[[#This Row],[CUIT]]="","-",VLOOKUP(factura_c_mes8[[#This Row],[CUIT]],Lista_CUIT[#All],2,0)),"CUIT NO CARGADO")</f>
        <v>MARAUDA HECTOR</v>
      </c>
      <c r="I240" s="490">
        <v>9000</v>
      </c>
      <c r="J240" s="491" t="str">
        <f>IFERROR(IF(factura_c_mes8[[#This Row],[CUIT]]="","-",VLOOKUP(factura_c_mes8[[#This Row],[CUIT]],Lista_CUIT[#All],3,0)),"CUIT NO CARGADO")</f>
        <v>Gastos Varios</v>
      </c>
      <c r="K240" s="491">
        <f>IFERROR(IF(factura_c_mes8[[#This Row],[CUIT]]="","-",VLOOKUP(factura_c_mes8[[#This Row],[CUIT]],Lista_CUIT[#All],4,0)),"CUIT NO CARGADO")</f>
        <v>0</v>
      </c>
    </row>
    <row r="241" spans="4:11" x14ac:dyDescent="0.25">
      <c r="D241" s="486" t="s">
        <v>2749</v>
      </c>
      <c r="E241" s="486">
        <v>2</v>
      </c>
      <c r="F241" s="486">
        <v>5623</v>
      </c>
      <c r="G241" s="530">
        <v>20136536320</v>
      </c>
      <c r="H241" s="531" t="str">
        <f>IFERROR(IF(factura_c_mes8[[#This Row],[CUIT]]="","-",VLOOKUP(factura_c_mes8[[#This Row],[CUIT]],Lista_CUIT[#All],2,0)),"CUIT NO CARGADO")</f>
        <v>FONTENLA ERNESTO MARIO</v>
      </c>
      <c r="I241" s="490">
        <v>3000</v>
      </c>
      <c r="J241" s="491" t="str">
        <f>IFERROR(IF(factura_c_mes8[[#This Row],[CUIT]]="","-",VLOOKUP(factura_c_mes8[[#This Row],[CUIT]],Lista_CUIT[#All],3,0)),"CUIT NO CARGADO")</f>
        <v>Gastos Varios</v>
      </c>
      <c r="K241" s="491" t="str">
        <f>IFERROR(IF(factura_c_mes8[[#This Row],[CUIT]]="","-",VLOOKUP(factura_c_mes8[[#This Row],[CUIT]],Lista_CUIT[#All],4,0)),"CUIT NO CARGADO")</f>
        <v>CABA</v>
      </c>
    </row>
    <row r="242" spans="4:11" x14ac:dyDescent="0.25">
      <c r="D242" s="486" t="s">
        <v>2749</v>
      </c>
      <c r="E242" s="486">
        <v>2</v>
      </c>
      <c r="F242" s="486">
        <v>5622</v>
      </c>
      <c r="G242" s="530">
        <v>20136536320</v>
      </c>
      <c r="H242" s="531" t="str">
        <f>IFERROR(IF(factura_c_mes8[[#This Row],[CUIT]]="","-",VLOOKUP(factura_c_mes8[[#This Row],[CUIT]],Lista_CUIT[#All],2,0)),"CUIT NO CARGADO")</f>
        <v>FONTENLA ERNESTO MARIO</v>
      </c>
      <c r="I242" s="490">
        <v>21600</v>
      </c>
      <c r="J242" s="491" t="str">
        <f>IFERROR(IF(factura_c_mes8[[#This Row],[CUIT]]="","-",VLOOKUP(factura_c_mes8[[#This Row],[CUIT]],Lista_CUIT[#All],3,0)),"CUIT NO CARGADO")</f>
        <v>Gastos Varios</v>
      </c>
      <c r="K242" s="491" t="str">
        <f>IFERROR(IF(factura_c_mes8[[#This Row],[CUIT]]="","-",VLOOKUP(factura_c_mes8[[#This Row],[CUIT]],Lista_CUIT[#All],4,0)),"CUIT NO CARGADO")</f>
        <v>CABA</v>
      </c>
    </row>
    <row r="243" spans="4:11" x14ac:dyDescent="0.25">
      <c r="D243" s="486" t="s">
        <v>2751</v>
      </c>
      <c r="E243" s="486">
        <v>1</v>
      </c>
      <c r="F243" s="486">
        <v>2455</v>
      </c>
      <c r="G243" s="530">
        <v>23285547709</v>
      </c>
      <c r="H243" s="531" t="str">
        <f>IFERROR(IF(factura_c_mes8[[#This Row],[CUIT]]="","-",VLOOKUP(factura_c_mes8[[#This Row],[CUIT]],Lista_CUIT[#All],2,0)),"CUIT NO CARGADO")</f>
        <v>NEUMANN CAFFERATTA LEZCANO GASTON DAMIAN</v>
      </c>
      <c r="I243" s="490">
        <v>47700</v>
      </c>
      <c r="J243" s="491" t="str">
        <f>IFERROR(IF(factura_c_mes8[[#This Row],[CUIT]]="","-",VLOOKUP(factura_c_mes8[[#This Row],[CUIT]],Lista_CUIT[#All],3,0)),"CUIT NO CARGADO")</f>
        <v>Gastos Varios</v>
      </c>
      <c r="K243" s="491">
        <f>IFERROR(IF(factura_c_mes8[[#This Row],[CUIT]]="","-",VLOOKUP(factura_c_mes8[[#This Row],[CUIT]],Lista_CUIT[#All],4,0)),"CUIT NO CARGADO")</f>
        <v>0</v>
      </c>
    </row>
    <row r="244" spans="4:11" x14ac:dyDescent="0.25">
      <c r="D244" s="486" t="s">
        <v>2753</v>
      </c>
      <c r="E244" s="486">
        <v>2</v>
      </c>
      <c r="F244" s="486">
        <v>5629</v>
      </c>
      <c r="G244" s="530">
        <v>20136536320</v>
      </c>
      <c r="H244" s="531" t="str">
        <f>IFERROR(IF(factura_c_mes8[[#This Row],[CUIT]]="","-",VLOOKUP(factura_c_mes8[[#This Row],[CUIT]],Lista_CUIT[#All],2,0)),"CUIT NO CARGADO")</f>
        <v>FONTENLA ERNESTO MARIO</v>
      </c>
      <c r="I244" s="490">
        <v>5100</v>
      </c>
      <c r="J244" s="491" t="str">
        <f>IFERROR(IF(factura_c_mes8[[#This Row],[CUIT]]="","-",VLOOKUP(factura_c_mes8[[#This Row],[CUIT]],Lista_CUIT[#All],3,0)),"CUIT NO CARGADO")</f>
        <v>Gastos Varios</v>
      </c>
      <c r="K244" s="491" t="str">
        <f>IFERROR(IF(factura_c_mes8[[#This Row],[CUIT]]="","-",VLOOKUP(factura_c_mes8[[#This Row],[CUIT]],Lista_CUIT[#All],4,0)),"CUIT NO CARGADO")</f>
        <v>CABA</v>
      </c>
    </row>
    <row r="245" spans="4:11" x14ac:dyDescent="0.25">
      <c r="D245" s="486" t="s">
        <v>2754</v>
      </c>
      <c r="E245" s="486">
        <v>10</v>
      </c>
      <c r="F245" s="486">
        <v>285</v>
      </c>
      <c r="G245" s="530">
        <v>20302234389</v>
      </c>
      <c r="H245" s="531" t="str">
        <f>IFERROR(IF(factura_c_mes8[[#This Row],[CUIT]]="","-",VLOOKUP(factura_c_mes8[[#This Row],[CUIT]],Lista_CUIT[#All],2,0)),"CUIT NO CARGADO")</f>
        <v>VIGORELLI GUILLERMO DANIEL</v>
      </c>
      <c r="I245" s="490">
        <v>350000</v>
      </c>
      <c r="J245" s="491" t="str">
        <f>IFERROR(IF(factura_c_mes8[[#This Row],[CUIT]]="","-",VLOOKUP(factura_c_mes8[[#This Row],[CUIT]],Lista_CUIT[#All],3,0)),"CUIT NO CARGADO")</f>
        <v>Gastos Varios</v>
      </c>
      <c r="K245" s="491">
        <f>IFERROR(IF(factura_c_mes8[[#This Row],[CUIT]]="","-",VLOOKUP(factura_c_mes8[[#This Row],[CUIT]],Lista_CUIT[#All],4,0)),"CUIT NO CARGADO")</f>
        <v>0</v>
      </c>
    </row>
    <row r="246" spans="4:11" x14ac:dyDescent="0.25">
      <c r="D246" s="40" t="s">
        <v>2760</v>
      </c>
      <c r="E246" s="42">
        <v>19</v>
      </c>
      <c r="F246" s="43">
        <v>92429</v>
      </c>
      <c r="G246" s="44">
        <v>33715179119</v>
      </c>
      <c r="H246" s="218" t="str">
        <f>IFERROR(IF(factura_c_mes8[[#This Row],[CUIT]]="","-",VLOOKUP(factura_c_mes8[[#This Row],[CUIT]],Lista_CUIT[#All],2,0)),"CUIT NO CARGADO")</f>
        <v>FONDO DE COOPERACION TECNICA Y FINANCIERA - CECBA - SL Y T - LEY 23.412</v>
      </c>
      <c r="I246" s="227">
        <v>-17000</v>
      </c>
      <c r="J246" s="220" t="str">
        <f>IFERROR(IF(factura_c_mes8[[#This Row],[CUIT]]="","-",VLOOKUP(factura_c_mes8[[#This Row],[CUIT]],Lista_CUIT[#All],3,0)),"CUIT NO CARGADO")</f>
        <v>Gastos Varios</v>
      </c>
      <c r="K246" s="220">
        <f>IFERROR(IF(factura_c_mes8[[#This Row],[CUIT]]="","-",VLOOKUP(factura_c_mes8[[#This Row],[CUIT]],Lista_CUIT[#All],4,0)),"CUIT NO CARGADO")</f>
        <v>0</v>
      </c>
    </row>
    <row r="247" spans="4:11" x14ac:dyDescent="0.25">
      <c r="D247" s="40" t="s">
        <v>2745</v>
      </c>
      <c r="E247" s="42">
        <v>1</v>
      </c>
      <c r="F247" s="43">
        <v>7</v>
      </c>
      <c r="G247" s="44">
        <v>20472017056</v>
      </c>
      <c r="H247" s="218" t="str">
        <f>IFERROR(IF(factura_c_mes8[[#This Row],[CUIT]]="","-",VLOOKUP(factura_c_mes8[[#This Row],[CUIT]],Lista_CUIT[#All],2,0)),"CUIT NO CARGADO")</f>
        <v>BARUCCO BAUTISTA</v>
      </c>
      <c r="I247" s="227">
        <v>312000</v>
      </c>
      <c r="J247" s="220" t="str">
        <f>IFERROR(IF(factura_c_mes8[[#This Row],[CUIT]]="","-",VLOOKUP(factura_c_mes8[[#This Row],[CUIT]],Lista_CUIT[#All],3,0)),"CUIT NO CARGADO")</f>
        <v>Gtos. Administrativos</v>
      </c>
      <c r="K247" s="220">
        <f>IFERROR(IF(factura_c_mes8[[#This Row],[CUIT]]="","-",VLOOKUP(factura_c_mes8[[#This Row],[CUIT]],Lista_CUIT[#All],4,0)),"CUIT NO CARGADO")</f>
        <v>0</v>
      </c>
    </row>
    <row r="248" spans="4:11" x14ac:dyDescent="0.25">
      <c r="D248" s="40" t="s">
        <v>2745</v>
      </c>
      <c r="E248" s="42">
        <v>1</v>
      </c>
      <c r="F248" s="43">
        <v>8</v>
      </c>
      <c r="G248" s="44">
        <v>20472017056</v>
      </c>
      <c r="H248" s="218" t="str">
        <f>IFERROR(IF(factura_c_mes8[[#This Row],[CUIT]]="","-",VLOOKUP(factura_c_mes8[[#This Row],[CUIT]],Lista_CUIT[#All],2,0)),"CUIT NO CARGADO")</f>
        <v>BARUCCO BAUTISTA</v>
      </c>
      <c r="I248" s="227">
        <v>300000</v>
      </c>
      <c r="J248" s="220" t="str">
        <f>IFERROR(IF(factura_c_mes8[[#This Row],[CUIT]]="","-",VLOOKUP(factura_c_mes8[[#This Row],[CUIT]],Lista_CUIT[#All],3,0)),"CUIT NO CARGADO")</f>
        <v>Gtos. Administrativos</v>
      </c>
      <c r="K248" s="220">
        <f>IFERROR(IF(factura_c_mes8[[#This Row],[CUIT]]="","-",VLOOKUP(factura_c_mes8[[#This Row],[CUIT]],Lista_CUIT[#All],4,0)),"CUIT NO CARGADO")</f>
        <v>0</v>
      </c>
    </row>
    <row r="249" spans="4:11" x14ac:dyDescent="0.25">
      <c r="D249" s="40" t="s">
        <v>2746</v>
      </c>
      <c r="E249" s="42">
        <v>1</v>
      </c>
      <c r="F249" s="43">
        <v>10</v>
      </c>
      <c r="G249" s="44">
        <v>27250242536</v>
      </c>
      <c r="H249" s="218" t="str">
        <f>IFERROR(IF(factura_c_mes8[[#This Row],[CUIT]]="","-",VLOOKUP(factura_c_mes8[[#This Row],[CUIT]],Lista_CUIT[#All],2,0)),"CUIT NO CARGADO")</f>
        <v>TUNDIS AIDA ESPERANZA</v>
      </c>
      <c r="I249" s="227">
        <v>66000</v>
      </c>
      <c r="J249" s="220" t="str">
        <f>IFERROR(IF(factura_c_mes8[[#This Row],[CUIT]]="","-",VLOOKUP(factura_c_mes8[[#This Row],[CUIT]],Lista_CUIT[#All],3,0)),"CUIT NO CARGADO")</f>
        <v>Gtos. Administrativos</v>
      </c>
      <c r="K249" s="220">
        <f>IFERROR(IF(factura_c_mes8[[#This Row],[CUIT]]="","-",VLOOKUP(factura_c_mes8[[#This Row],[CUIT]],Lista_CUIT[#All],4,0)),"CUIT NO CARGADO")</f>
        <v>0</v>
      </c>
    </row>
    <row r="250" spans="4:11" x14ac:dyDescent="0.25">
      <c r="D250" s="486" t="s">
        <v>2750</v>
      </c>
      <c r="E250" s="486">
        <v>1</v>
      </c>
      <c r="F250" s="486">
        <v>11</v>
      </c>
      <c r="G250" s="530">
        <v>27250242536</v>
      </c>
      <c r="H250" s="531" t="str">
        <f>IFERROR(IF(factura_c_mes8[[#This Row],[CUIT]]="","-",VLOOKUP(factura_c_mes8[[#This Row],[CUIT]],Lista_CUIT[#All],2,0)),"CUIT NO CARGADO")</f>
        <v>TUNDIS AIDA ESPERANZA</v>
      </c>
      <c r="I250" s="490">
        <v>66000</v>
      </c>
      <c r="J250" s="491" t="str">
        <f>IFERROR(IF(factura_c_mes8[[#This Row],[CUIT]]="","-",VLOOKUP(factura_c_mes8[[#This Row],[CUIT]],Lista_CUIT[#All],3,0)),"CUIT NO CARGADO")</f>
        <v>Gtos. Administrativos</v>
      </c>
      <c r="K250" s="491">
        <f>IFERROR(IF(factura_c_mes8[[#This Row],[CUIT]]="","-",VLOOKUP(factura_c_mes8[[#This Row],[CUIT]],Lista_CUIT[#All],4,0)),"CUIT NO CARGADO")</f>
        <v>0</v>
      </c>
    </row>
    <row r="251" spans="4:11" x14ac:dyDescent="0.25">
      <c r="D251" s="486" t="s">
        <v>2752</v>
      </c>
      <c r="E251" s="486">
        <v>1</v>
      </c>
      <c r="F251" s="486">
        <v>14</v>
      </c>
      <c r="G251" s="530">
        <v>27250242536</v>
      </c>
      <c r="H251" s="531" t="str">
        <f>IFERROR(IF(factura_c_mes8[[#This Row],[CUIT]]="","-",VLOOKUP(factura_c_mes8[[#This Row],[CUIT]],Lista_CUIT[#All],2,0)),"CUIT NO CARGADO")</f>
        <v>TUNDIS AIDA ESPERANZA</v>
      </c>
      <c r="I251" s="490">
        <v>77000</v>
      </c>
      <c r="J251" s="491" t="str">
        <f>IFERROR(IF(factura_c_mes8[[#This Row],[CUIT]]="","-",VLOOKUP(factura_c_mes8[[#This Row],[CUIT]],Lista_CUIT[#All],3,0)),"CUIT NO CARGADO")</f>
        <v>Gtos. Administrativos</v>
      </c>
      <c r="K251" s="491">
        <f>IFERROR(IF(factura_c_mes8[[#This Row],[CUIT]]="","-",VLOOKUP(factura_c_mes8[[#This Row],[CUIT]],Lista_CUIT[#All],4,0)),"CUIT NO CARGADO")</f>
        <v>0</v>
      </c>
    </row>
    <row r="252" spans="4:11" x14ac:dyDescent="0.25">
      <c r="D252" s="40" t="s">
        <v>2756</v>
      </c>
      <c r="E252" s="42">
        <v>1</v>
      </c>
      <c r="F252" s="43">
        <v>15</v>
      </c>
      <c r="G252" s="44">
        <v>27250242536</v>
      </c>
      <c r="H252" s="218" t="str">
        <f>IFERROR(IF(factura_c_mes8[[#This Row],[CUIT]]="","-",VLOOKUP(factura_c_mes8[[#This Row],[CUIT]],Lista_CUIT[#All],2,0)),"CUIT NO CARGADO")</f>
        <v>TUNDIS AIDA ESPERANZA</v>
      </c>
      <c r="I252" s="227">
        <v>33000</v>
      </c>
      <c r="J252" s="220" t="str">
        <f>IFERROR(IF(factura_c_mes8[[#This Row],[CUIT]]="","-",VLOOKUP(factura_c_mes8[[#This Row],[CUIT]],Lista_CUIT[#All],3,0)),"CUIT NO CARGADO")</f>
        <v>Gtos. Administrativos</v>
      </c>
      <c r="K252" s="220">
        <f>IFERROR(IF(factura_c_mes8[[#This Row],[CUIT]]="","-",VLOOKUP(factura_c_mes8[[#This Row],[CUIT]],Lista_CUIT[#All],4,0)),"CUIT NO CARGADO")</f>
        <v>0</v>
      </c>
    </row>
    <row r="253" spans="4:11" x14ac:dyDescent="0.25">
      <c r="D253" s="362" t="s">
        <v>2745</v>
      </c>
      <c r="E253" s="42">
        <v>1</v>
      </c>
      <c r="F253" s="43">
        <v>26</v>
      </c>
      <c r="G253" s="44">
        <v>20420115882</v>
      </c>
      <c r="H253" s="218" t="str">
        <f>IFERROR(IF(factura_c_mes8[[#This Row],[CUIT]]="","-",VLOOKUP(factura_c_mes8[[#This Row],[CUIT]],Lista_CUIT[#All],2,0)),"CUIT NO CARGADO")</f>
        <v>CASTILLO MARIANO JAVIER</v>
      </c>
      <c r="I253" s="227">
        <v>304000</v>
      </c>
      <c r="J253" s="220" t="str">
        <f>IFERROR(IF(factura_c_mes8[[#This Row],[CUIT]]="","-",VLOOKUP(factura_c_mes8[[#This Row],[CUIT]],Lista_CUIT[#All],3,0)),"CUIT NO CARGADO")</f>
        <v>Honorarios Administrativos</v>
      </c>
      <c r="K253" s="220">
        <f>IFERROR(IF(factura_c_mes8[[#This Row],[CUIT]]="","-",VLOOKUP(factura_c_mes8[[#This Row],[CUIT]],Lista_CUIT[#All],4,0)),"CUIT NO CARGADO")</f>
        <v>0</v>
      </c>
    </row>
    <row r="254" spans="4:11" x14ac:dyDescent="0.25">
      <c r="D254" s="577" t="s">
        <v>2748</v>
      </c>
      <c r="E254" s="486">
        <v>2</v>
      </c>
      <c r="F254" s="486">
        <v>28</v>
      </c>
      <c r="G254" s="530">
        <v>27226409799</v>
      </c>
      <c r="H254" s="531" t="str">
        <f>IFERROR(IF(factura_c_mes8[[#This Row],[CUIT]]="","-",VLOOKUP(factura_c_mes8[[#This Row],[CUIT]],Lista_CUIT[#All],2,0)),"CUIT NO CARGADO")</f>
        <v>CASTILLO BERTA YOLANDA</v>
      </c>
      <c r="I254" s="490">
        <v>400000</v>
      </c>
      <c r="J254" s="491" t="str">
        <f>IFERROR(IF(factura_c_mes8[[#This Row],[CUIT]]="","-",VLOOKUP(factura_c_mes8[[#This Row],[CUIT]],Lista_CUIT[#All],3,0)),"CUIT NO CARGADO")</f>
        <v>Honorarios Administrativos</v>
      </c>
      <c r="K254" s="491">
        <f>IFERROR(IF(factura_c_mes8[[#This Row],[CUIT]]="","-",VLOOKUP(factura_c_mes8[[#This Row],[CUIT]],Lista_CUIT[#All],4,0)),"CUIT NO CARGADO")</f>
        <v>0</v>
      </c>
    </row>
    <row r="255" spans="4:11" x14ac:dyDescent="0.25">
      <c r="D255" s="577" t="s">
        <v>2748</v>
      </c>
      <c r="E255" s="486">
        <v>2</v>
      </c>
      <c r="F255" s="486">
        <v>29</v>
      </c>
      <c r="G255" s="530">
        <v>27226409799</v>
      </c>
      <c r="H255" s="531" t="str">
        <f>IFERROR(IF(factura_c_mes8[[#This Row],[CUIT]]="","-",VLOOKUP(factura_c_mes8[[#This Row],[CUIT]],Lista_CUIT[#All],2,0)),"CUIT NO CARGADO")</f>
        <v>CASTILLO BERTA YOLANDA</v>
      </c>
      <c r="I255" s="490">
        <v>800000</v>
      </c>
      <c r="J255" s="491" t="str">
        <f>IFERROR(IF(factura_c_mes8[[#This Row],[CUIT]]="","-",VLOOKUP(factura_c_mes8[[#This Row],[CUIT]],Lista_CUIT[#All],3,0)),"CUIT NO CARGADO")</f>
        <v>Honorarios Administrativos</v>
      </c>
      <c r="K255" s="491">
        <f>IFERROR(IF(factura_c_mes8[[#This Row],[CUIT]]="","-",VLOOKUP(factura_c_mes8[[#This Row],[CUIT]],Lista_CUIT[#All],4,0)),"CUIT NO CARGADO")</f>
        <v>0</v>
      </c>
    </row>
    <row r="256" spans="4:11" x14ac:dyDescent="0.25">
      <c r="D256" s="577" t="s">
        <v>2754</v>
      </c>
      <c r="E256" s="486">
        <v>1</v>
      </c>
      <c r="F256" s="486">
        <v>18</v>
      </c>
      <c r="G256" s="530">
        <v>27309116343</v>
      </c>
      <c r="H256" s="531" t="str">
        <f>IFERROR(IF(factura_c_mes8[[#This Row],[CUIT]]="","-",VLOOKUP(factura_c_mes8[[#This Row],[CUIT]],Lista_CUIT[#All],2,0)),"CUIT NO CARGADO")</f>
        <v>FERNANDEZ DANIELA NATALIA</v>
      </c>
      <c r="I256" s="490">
        <v>132000</v>
      </c>
      <c r="J256" s="491" t="str">
        <f>IFERROR(IF(factura_c_mes8[[#This Row],[CUIT]]="","-",VLOOKUP(factura_c_mes8[[#This Row],[CUIT]],Lista_CUIT[#All],3,0)),"CUIT NO CARGADO")</f>
        <v>Honorarios Administrativos</v>
      </c>
      <c r="K256" s="491">
        <f>IFERROR(IF(factura_c_mes8[[#This Row],[CUIT]]="","-",VLOOKUP(factura_c_mes8[[#This Row],[CUIT]],Lista_CUIT[#All],4,0)),"CUIT NO CARGADO")</f>
        <v>0</v>
      </c>
    </row>
    <row r="257" spans="4:11" x14ac:dyDescent="0.25">
      <c r="D257" s="362" t="s">
        <v>2743</v>
      </c>
      <c r="E257" s="42">
        <v>4</v>
      </c>
      <c r="F257" s="43">
        <v>44</v>
      </c>
      <c r="G257" s="44">
        <v>20086277523</v>
      </c>
      <c r="H257" s="53" t="str">
        <f>IFERROR(IF(factura_c_mes8[[#This Row],[CUIT]]="","-",VLOOKUP(factura_c_mes8[[#This Row],[CUIT]],Lista_CUIT[#All],2,0)),"CUIT NO CARGADO")</f>
        <v>BOTINDARI JUAN CARLOS</v>
      </c>
      <c r="I257" s="226">
        <v>300000</v>
      </c>
      <c r="J257" s="54" t="str">
        <f>IFERROR(IF(factura_c_mes8[[#This Row],[CUIT]]="","-",VLOOKUP(factura_c_mes8[[#This Row],[CUIT]],Lista_CUIT[#All],3,0)),"CUIT NO CARGADO")</f>
        <v>Honorarios Contables</v>
      </c>
      <c r="K257" s="54">
        <f>IFERROR(IF(factura_c_mes8[[#This Row],[CUIT]]="","-",VLOOKUP(factura_c_mes8[[#This Row],[CUIT]],Lista_CUIT[#All],4,0)),"CUIT NO CARGADO")</f>
        <v>0</v>
      </c>
    </row>
    <row r="258" spans="4:11" x14ac:dyDescent="0.25">
      <c r="D258" s="362" t="s">
        <v>2743</v>
      </c>
      <c r="E258" s="42">
        <v>2</v>
      </c>
      <c r="F258" s="43">
        <v>399</v>
      </c>
      <c r="G258" s="44">
        <v>27206941419</v>
      </c>
      <c r="H258" s="218" t="str">
        <f>IFERROR(IF(factura_c_mes8[[#This Row],[CUIT]]="","-",VLOOKUP(factura_c_mes8[[#This Row],[CUIT]],Lista_CUIT[#All],2,0)),"CUIT NO CARGADO")</f>
        <v>DOBARRO PAULA MARCELA</v>
      </c>
      <c r="I258" s="227">
        <v>150000</v>
      </c>
      <c r="J258" s="220" t="str">
        <f>IFERROR(IF(factura_c_mes8[[#This Row],[CUIT]]="","-",VLOOKUP(factura_c_mes8[[#This Row],[CUIT]],Lista_CUIT[#All],3,0)),"CUIT NO CARGADO")</f>
        <v>Honorarios Contables</v>
      </c>
      <c r="K258" s="220">
        <f>IFERROR(IF(factura_c_mes8[[#This Row],[CUIT]]="","-",VLOOKUP(factura_c_mes8[[#This Row],[CUIT]],Lista_CUIT[#All],4,0)),"CUIT NO CARGADO")</f>
        <v>0</v>
      </c>
    </row>
    <row r="259" spans="4:11" x14ac:dyDescent="0.25">
      <c r="D259" s="362" t="s">
        <v>2744</v>
      </c>
      <c r="E259" s="42">
        <v>2</v>
      </c>
      <c r="F259" s="43">
        <v>348</v>
      </c>
      <c r="G259" s="44">
        <v>23319210954</v>
      </c>
      <c r="H259" s="218" t="str">
        <f>IFERROR(IF(factura_c_mes8[[#This Row],[CUIT]]="","-",VLOOKUP(factura_c_mes8[[#This Row],[CUIT]],Lista_CUIT[#All],2,0)),"CUIT NO CARGADO")</f>
        <v>CAFFARATTI ROMINA PAOLA</v>
      </c>
      <c r="I259" s="227">
        <v>343800</v>
      </c>
      <c r="J259" s="220" t="str">
        <f>IFERROR(IF(factura_c_mes8[[#This Row],[CUIT]]="","-",VLOOKUP(factura_c_mes8[[#This Row],[CUIT]],Lista_CUIT[#All],3,0)),"CUIT NO CARGADO")</f>
        <v>Honorarios Contables</v>
      </c>
      <c r="K259" s="220">
        <f>IFERROR(IF(factura_c_mes8[[#This Row],[CUIT]]="","-",VLOOKUP(factura_c_mes8[[#This Row],[CUIT]],Lista_CUIT[#All],4,0)),"CUIT NO CARGADO")</f>
        <v>0</v>
      </c>
    </row>
    <row r="260" spans="4:11" x14ac:dyDescent="0.25">
      <c r="D260" s="362" t="s">
        <v>2743</v>
      </c>
      <c r="E260" s="42">
        <v>3</v>
      </c>
      <c r="F260" s="43">
        <v>574</v>
      </c>
      <c r="G260" s="44">
        <v>20210551574</v>
      </c>
      <c r="H260" s="218" t="str">
        <f>IFERROR(IF(factura_c_mes8[[#This Row],[CUIT]]="","-",VLOOKUP(factura_c_mes8[[#This Row],[CUIT]],Lista_CUIT[#All],2,0)),"CUIT NO CARGADO")</f>
        <v>REUS JORGE DIEGO</v>
      </c>
      <c r="I260" s="227">
        <v>333000</v>
      </c>
      <c r="J260" s="220" t="str">
        <f>IFERROR(IF(factura_c_mes8[[#This Row],[CUIT]]="","-",VLOOKUP(factura_c_mes8[[#This Row],[CUIT]],Lista_CUIT[#All],3,0)),"CUIT NO CARGADO")</f>
        <v>Honorarios Legales</v>
      </c>
      <c r="K260" s="220">
        <f>IFERROR(IF(factura_c_mes8[[#This Row],[CUIT]]="","-",VLOOKUP(factura_c_mes8[[#This Row],[CUIT]],Lista_CUIT[#All],4,0)),"CUIT NO CARGADO")</f>
        <v>0</v>
      </c>
    </row>
    <row r="261" spans="4:11" x14ac:dyDescent="0.25">
      <c r="D261" s="362" t="s">
        <v>2747</v>
      </c>
      <c r="E261" s="42">
        <v>2</v>
      </c>
      <c r="F261" s="43">
        <v>336</v>
      </c>
      <c r="G261" s="44">
        <v>27065444777</v>
      </c>
      <c r="H261" s="218" t="str">
        <f>IFERROR(IF(factura_c_mes8[[#This Row],[CUIT]]="","-",VLOOKUP(factura_c_mes8[[#This Row],[CUIT]],Lista_CUIT[#All],2,0)),"CUIT NO CARGADO")</f>
        <v>CARNEVALE MABEL HAYDEE</v>
      </c>
      <c r="I261" s="227">
        <v>200000</v>
      </c>
      <c r="J261" s="220" t="str">
        <f>IFERROR(IF(factura_c_mes8[[#This Row],[CUIT]]="","-",VLOOKUP(factura_c_mes8[[#This Row],[CUIT]],Lista_CUIT[#All],3,0)),"CUIT NO CARGADO")</f>
        <v>Honorarios Profesionales</v>
      </c>
      <c r="K261" s="220">
        <f>IFERROR(IF(factura_c_mes8[[#This Row],[CUIT]]="","-",VLOOKUP(factura_c_mes8[[#This Row],[CUIT]],Lista_CUIT[#All],4,0)),"CUIT NO CARGADO")</f>
        <v>0</v>
      </c>
    </row>
    <row r="262" spans="4:11" x14ac:dyDescent="0.25">
      <c r="D262" s="362" t="s">
        <v>2757</v>
      </c>
      <c r="E262" s="42">
        <v>1</v>
      </c>
      <c r="F262" s="43">
        <v>118</v>
      </c>
      <c r="G262" s="44">
        <v>20176922363</v>
      </c>
      <c r="H262" s="218" t="str">
        <f>IFERROR(IF(factura_c_mes8[[#This Row],[CUIT]]="","-",VLOOKUP(factura_c_mes8[[#This Row],[CUIT]],Lista_CUIT[#All],2,0)),"CUIT NO CARGADO")</f>
        <v>CASTILLO JUAN RAMON</v>
      </c>
      <c r="I262" s="227">
        <v>800000</v>
      </c>
      <c r="J262" s="220" t="str">
        <f>IFERROR(IF(factura_c_mes8[[#This Row],[CUIT]]="","-",VLOOKUP(factura_c_mes8[[#This Row],[CUIT]],Lista_CUIT[#All],3,0)),"CUIT NO CARGADO")</f>
        <v>Honorarios Profesionales</v>
      </c>
      <c r="K262" s="220">
        <f>IFERROR(IF(factura_c_mes8[[#This Row],[CUIT]]="","-",VLOOKUP(factura_c_mes8[[#This Row],[CUIT]],Lista_CUIT[#All],4,0)),"CUIT NO CARGADO")</f>
        <v>0</v>
      </c>
    </row>
    <row r="263" spans="4:11" x14ac:dyDescent="0.25">
      <c r="D263" s="362" t="s">
        <v>2757</v>
      </c>
      <c r="E263" s="42">
        <v>1</v>
      </c>
      <c r="F263" s="43">
        <v>119</v>
      </c>
      <c r="G263" s="44">
        <v>20176922363</v>
      </c>
      <c r="H263" s="218" t="str">
        <f>IFERROR(IF(factura_c_mes8[[#This Row],[CUIT]]="","-",VLOOKUP(factura_c_mes8[[#This Row],[CUIT]],Lista_CUIT[#All],2,0)),"CUIT NO CARGADO")</f>
        <v>CASTILLO JUAN RAMON</v>
      </c>
      <c r="I263" s="227">
        <v>2000000</v>
      </c>
      <c r="J263" s="220" t="str">
        <f>IFERROR(IF(factura_c_mes8[[#This Row],[CUIT]]="","-",VLOOKUP(factura_c_mes8[[#This Row],[CUIT]],Lista_CUIT[#All],3,0)),"CUIT NO CARGADO")</f>
        <v>Honorarios Profesionales</v>
      </c>
      <c r="K263" s="220">
        <f>IFERROR(IF(factura_c_mes8[[#This Row],[CUIT]]="","-",VLOOKUP(factura_c_mes8[[#This Row],[CUIT]],Lista_CUIT[#All],4,0)),"CUIT NO CARGADO")</f>
        <v>0</v>
      </c>
    </row>
    <row r="264" spans="4:11" x14ac:dyDescent="0.25">
      <c r="D264" s="362" t="s">
        <v>2757</v>
      </c>
      <c r="E264" s="42">
        <v>1</v>
      </c>
      <c r="F264" s="43">
        <v>120</v>
      </c>
      <c r="G264" s="44">
        <v>20176922363</v>
      </c>
      <c r="H264" s="218" t="str">
        <f>IFERROR(IF(factura_c_mes8[[#This Row],[CUIT]]="","-",VLOOKUP(factura_c_mes8[[#This Row],[CUIT]],Lista_CUIT[#All],2,0)),"CUIT NO CARGADO")</f>
        <v>CASTILLO JUAN RAMON</v>
      </c>
      <c r="I264" s="227">
        <v>2000000</v>
      </c>
      <c r="J264" s="220" t="str">
        <f>IFERROR(IF(factura_c_mes8[[#This Row],[CUIT]]="","-",VLOOKUP(factura_c_mes8[[#This Row],[CUIT]],Lista_CUIT[#All],3,0)),"CUIT NO CARGADO")</f>
        <v>Honorarios Profesionales</v>
      </c>
      <c r="K264" s="220">
        <f>IFERROR(IF(factura_c_mes8[[#This Row],[CUIT]]="","-",VLOOKUP(factura_c_mes8[[#This Row],[CUIT]],Lista_CUIT[#All],4,0)),"CUIT NO CARGADO")</f>
        <v>0</v>
      </c>
    </row>
    <row r="265" spans="4:11" x14ac:dyDescent="0.25">
      <c r="D265" s="362" t="s">
        <v>2757</v>
      </c>
      <c r="E265" s="42">
        <v>2</v>
      </c>
      <c r="F265" s="43">
        <v>797</v>
      </c>
      <c r="G265" s="44">
        <v>27218690160</v>
      </c>
      <c r="H265" s="218" t="str">
        <f>IFERROR(IF(factura_c_mes8[[#This Row],[CUIT]]="","-",VLOOKUP(factura_c_mes8[[#This Row],[CUIT]],Lista_CUIT[#All],2,0)),"CUIT NO CARGADO")</f>
        <v>RAMIREZ LAURA VERONICA</v>
      </c>
      <c r="I265" s="227">
        <v>33000</v>
      </c>
      <c r="J265" s="220" t="str">
        <f>IFERROR(IF(factura_c_mes8[[#This Row],[CUIT]]="","-",VLOOKUP(factura_c_mes8[[#This Row],[CUIT]],Lista_CUIT[#All],3,0)),"CUIT NO CARGADO")</f>
        <v>Honorarios Profesionales</v>
      </c>
      <c r="K265" s="220">
        <f>IFERROR(IF(factura_c_mes8[[#This Row],[CUIT]]="","-",VLOOKUP(factura_c_mes8[[#This Row],[CUIT]],Lista_CUIT[#All],4,0)),"CUIT NO CARGADO")</f>
        <v>0</v>
      </c>
    </row>
    <row r="266" spans="4:11" x14ac:dyDescent="0.25">
      <c r="D266" s="362" t="s">
        <v>2758</v>
      </c>
      <c r="E266" s="42">
        <v>2</v>
      </c>
      <c r="F266" s="43">
        <v>798</v>
      </c>
      <c r="G266" s="44">
        <v>27218690160</v>
      </c>
      <c r="H266" s="218" t="str">
        <f>IFERROR(IF(factura_c_mes8[[#This Row],[CUIT]]="","-",VLOOKUP(factura_c_mes8[[#This Row],[CUIT]],Lista_CUIT[#All],2,0)),"CUIT NO CARGADO")</f>
        <v>RAMIREZ LAURA VERONICA</v>
      </c>
      <c r="I266" s="227">
        <v>33000</v>
      </c>
      <c r="J266" s="220" t="str">
        <f>IFERROR(IF(factura_c_mes8[[#This Row],[CUIT]]="","-",VLOOKUP(factura_c_mes8[[#This Row],[CUIT]],Lista_CUIT[#All],3,0)),"CUIT NO CARGADO")</f>
        <v>Honorarios Profesionales</v>
      </c>
      <c r="K266" s="220">
        <f>IFERROR(IF(factura_c_mes8[[#This Row],[CUIT]]="","-",VLOOKUP(factura_c_mes8[[#This Row],[CUIT]],Lista_CUIT[#All],4,0)),"CUIT NO CARGADO")</f>
        <v>0</v>
      </c>
    </row>
    <row r="267" spans="4:11" x14ac:dyDescent="0.25">
      <c r="D267" s="362" t="s">
        <v>2759</v>
      </c>
      <c r="E267" s="42">
        <v>4</v>
      </c>
      <c r="F267" s="43">
        <v>1409</v>
      </c>
      <c r="G267" s="44">
        <v>23222942934</v>
      </c>
      <c r="H267" s="218" t="str">
        <f>IFERROR(IF(factura_c_mes8[[#This Row],[CUIT]]="","-",VLOOKUP(factura_c_mes8[[#This Row],[CUIT]],Lista_CUIT[#All],2,0)),"CUIT NO CARGADO")</f>
        <v>FIORI SILVIA LORENA</v>
      </c>
      <c r="I267" s="227">
        <v>44000</v>
      </c>
      <c r="J267" s="220" t="str">
        <f>IFERROR(IF(factura_c_mes8[[#This Row],[CUIT]]="","-",VLOOKUP(factura_c_mes8[[#This Row],[CUIT]],Lista_CUIT[#All],3,0)),"CUIT NO CARGADO")</f>
        <v>Honorarios Profesionales</v>
      </c>
      <c r="K267" s="220">
        <f>IFERROR(IF(factura_c_mes8[[#This Row],[CUIT]]="","-",VLOOKUP(factura_c_mes8[[#This Row],[CUIT]],Lista_CUIT[#All],4,0)),"CUIT NO CARGADO")</f>
        <v>0</v>
      </c>
    </row>
    <row r="268" spans="4:11" x14ac:dyDescent="0.25">
      <c r="D268" s="362" t="s">
        <v>2745</v>
      </c>
      <c r="E268" s="42">
        <v>2</v>
      </c>
      <c r="F268" s="43">
        <v>447</v>
      </c>
      <c r="G268" s="44">
        <v>20300814094</v>
      </c>
      <c r="H268" s="218" t="str">
        <f>IFERROR(IF(factura_c_mes8[[#This Row],[CUIT]]="","-",VLOOKUP(factura_c_mes8[[#This Row],[CUIT]],Lista_CUIT[#All],2,0)),"CUIT NO CARGADO")</f>
        <v>FARRAPEIRA OSCAR MAXIMO</v>
      </c>
      <c r="I268" s="227">
        <v>519612</v>
      </c>
      <c r="J268" s="220" t="str">
        <f>IFERROR(IF(factura_c_mes8[[#This Row],[CUIT]]="","-",VLOOKUP(factura_c_mes8[[#This Row],[CUIT]],Lista_CUIT[#All],3,0)),"CUIT NO CARGADO")</f>
        <v>Material de Empaque</v>
      </c>
      <c r="K268" s="220">
        <f>IFERROR(IF(factura_c_mes8[[#This Row],[CUIT]]="","-",VLOOKUP(factura_c_mes8[[#This Row],[CUIT]],Lista_CUIT[#All],4,0)),"CUIT NO CARGADO")</f>
        <v>0</v>
      </c>
    </row>
    <row r="269" spans="4:11" x14ac:dyDescent="0.25">
      <c r="D269" s="362" t="s">
        <v>2745</v>
      </c>
      <c r="E269" s="42">
        <v>2</v>
      </c>
      <c r="F269" s="43">
        <v>448</v>
      </c>
      <c r="G269" s="44">
        <v>20300814094</v>
      </c>
      <c r="H269" s="218" t="str">
        <f>IFERROR(IF(factura_c_mes8[[#This Row],[CUIT]]="","-",VLOOKUP(factura_c_mes8[[#This Row],[CUIT]],Lista_CUIT[#All],2,0)),"CUIT NO CARGADO")</f>
        <v>FARRAPEIRA OSCAR MAXIMO</v>
      </c>
      <c r="I269" s="227">
        <v>759482</v>
      </c>
      <c r="J269" s="220" t="str">
        <f>IFERROR(IF(factura_c_mes8[[#This Row],[CUIT]]="","-",VLOOKUP(factura_c_mes8[[#This Row],[CUIT]],Lista_CUIT[#All],3,0)),"CUIT NO CARGADO")</f>
        <v>Material de Empaque</v>
      </c>
      <c r="K269" s="220">
        <f>IFERROR(IF(factura_c_mes8[[#This Row],[CUIT]]="","-",VLOOKUP(factura_c_mes8[[#This Row],[CUIT]],Lista_CUIT[#All],4,0)),"CUIT NO CARGADO")</f>
        <v>0</v>
      </c>
    </row>
    <row r="270" spans="4:11" x14ac:dyDescent="0.25">
      <c r="D270" s="486" t="s">
        <v>2748</v>
      </c>
      <c r="E270" s="486">
        <v>1</v>
      </c>
      <c r="F270" s="486">
        <v>133</v>
      </c>
      <c r="G270" s="530">
        <v>20299505430</v>
      </c>
      <c r="H270" s="531" t="str">
        <f>IFERROR(IF(factura_c_mes8[[#This Row],[CUIT]]="","-",VLOOKUP(factura_c_mes8[[#This Row],[CUIT]],Lista_CUIT[#All],2,0)),"CUIT NO CARGADO")</f>
        <v>PRADO EMILIANO HERNAN</v>
      </c>
      <c r="I270" s="490">
        <v>1121904</v>
      </c>
      <c r="J270" s="491" t="str">
        <f>IFERROR(IF(factura_c_mes8[[#This Row],[CUIT]]="","-",VLOOKUP(factura_c_mes8[[#This Row],[CUIT]],Lista_CUIT[#All],3,0)),"CUIT NO CARGADO")</f>
        <v>Material de Empaque</v>
      </c>
      <c r="K270" s="491">
        <f>IFERROR(IF(factura_c_mes8[[#This Row],[CUIT]]="","-",VLOOKUP(factura_c_mes8[[#This Row],[CUIT]],Lista_CUIT[#All],4,0)),"CUIT NO CARGADO")</f>
        <v>0</v>
      </c>
    </row>
    <row r="271" spans="4:11" x14ac:dyDescent="0.25">
      <c r="D271" s="486" t="s">
        <v>2751</v>
      </c>
      <c r="E271" s="486">
        <v>1</v>
      </c>
      <c r="F271" s="486">
        <v>134</v>
      </c>
      <c r="G271" s="530">
        <v>20299505430</v>
      </c>
      <c r="H271" s="531" t="str">
        <f>IFERROR(IF(factura_c_mes8[[#This Row],[CUIT]]="","-",VLOOKUP(factura_c_mes8[[#This Row],[CUIT]],Lista_CUIT[#All],2,0)),"CUIT NO CARGADO")</f>
        <v>PRADO EMILIANO HERNAN</v>
      </c>
      <c r="I271" s="490">
        <v>387106</v>
      </c>
      <c r="J271" s="491" t="str">
        <f>IFERROR(IF(factura_c_mes8[[#This Row],[CUIT]]="","-",VLOOKUP(factura_c_mes8[[#This Row],[CUIT]],Lista_CUIT[#All],3,0)),"CUIT NO CARGADO")</f>
        <v>Material de Empaque</v>
      </c>
      <c r="K271" s="491">
        <f>IFERROR(IF(factura_c_mes8[[#This Row],[CUIT]]="","-",VLOOKUP(factura_c_mes8[[#This Row],[CUIT]],Lista_CUIT[#All],4,0)),"CUIT NO CARGADO")</f>
        <v>0</v>
      </c>
    </row>
    <row r="272" spans="4:11" x14ac:dyDescent="0.25">
      <c r="D272" s="40" t="s">
        <v>2757</v>
      </c>
      <c r="E272" s="42">
        <v>2</v>
      </c>
      <c r="F272" s="43">
        <v>457</v>
      </c>
      <c r="G272" s="44">
        <v>20300814094</v>
      </c>
      <c r="H272" s="218" t="str">
        <f>IFERROR(IF(factura_c_mes8[[#This Row],[CUIT]]="","-",VLOOKUP(factura_c_mes8[[#This Row],[CUIT]],Lista_CUIT[#All],2,0)),"CUIT NO CARGADO")</f>
        <v>FARRAPEIRA OSCAR MAXIMO</v>
      </c>
      <c r="I272" s="227">
        <v>265848</v>
      </c>
      <c r="J272" s="220" t="str">
        <f>IFERROR(IF(factura_c_mes8[[#This Row],[CUIT]]="","-",VLOOKUP(factura_c_mes8[[#This Row],[CUIT]],Lista_CUIT[#All],3,0)),"CUIT NO CARGADO")</f>
        <v>Material de Empaque</v>
      </c>
      <c r="K272" s="220">
        <f>IFERROR(IF(factura_c_mes8[[#This Row],[CUIT]]="","-",VLOOKUP(factura_c_mes8[[#This Row],[CUIT]],Lista_CUIT[#All],4,0)),"CUIT NO CARGADO")</f>
        <v>0</v>
      </c>
    </row>
    <row r="273" spans="2:18" x14ac:dyDescent="0.25">
      <c r="D273" s="55" t="s">
        <v>103</v>
      </c>
      <c r="E273" s="55"/>
      <c r="F273" s="55"/>
      <c r="G273" s="55"/>
      <c r="H273" s="57"/>
      <c r="I273" s="58">
        <f>SUBTOTAL(109,factura_c_mes8[TOTAL])</f>
        <v>16000152</v>
      </c>
      <c r="J273" s="55"/>
      <c r="K273" s="55"/>
    </row>
    <row r="274" spans="2:18" x14ac:dyDescent="0.25">
      <c r="B274" s="56"/>
      <c r="C274" s="56"/>
      <c r="L274" s="56"/>
      <c r="M274" s="56"/>
      <c r="N274" s="56"/>
      <c r="O274" s="56"/>
      <c r="P274" s="56"/>
      <c r="Q274" s="56"/>
      <c r="R274" s="56"/>
    </row>
    <row r="275" spans="2:18" x14ac:dyDescent="0.25">
      <c r="H275" s="127"/>
    </row>
    <row r="279" spans="2:18" ht="26.25" x14ac:dyDescent="0.25">
      <c r="B279" s="592" t="s">
        <v>29</v>
      </c>
      <c r="C279" s="592"/>
      <c r="D279" s="592"/>
      <c r="E279" s="592"/>
      <c r="F279" s="592"/>
      <c r="G279" s="592"/>
      <c r="H279" s="592"/>
      <c r="I279" s="592"/>
      <c r="J279" s="592"/>
      <c r="K279" s="593">
        <f>N1</f>
        <v>45870</v>
      </c>
      <c r="L279" s="593"/>
      <c r="M279" s="593"/>
    </row>
    <row r="281" spans="2:18" ht="21" x14ac:dyDescent="0.25">
      <c r="B281" s="594" t="s">
        <v>1709</v>
      </c>
      <c r="C281" s="594"/>
    </row>
    <row r="282" spans="2:18" ht="15.75" x14ac:dyDescent="0.25">
      <c r="B282" s="60" t="s">
        <v>0</v>
      </c>
      <c r="C282" s="61" t="s">
        <v>1</v>
      </c>
      <c r="D282" s="61" t="s">
        <v>21</v>
      </c>
      <c r="E282" s="61" t="s">
        <v>22</v>
      </c>
      <c r="F282" s="61" t="s">
        <v>3</v>
      </c>
      <c r="G282" s="61" t="s">
        <v>4</v>
      </c>
      <c r="H282" s="61" t="s">
        <v>23</v>
      </c>
      <c r="I282" s="61" t="s">
        <v>17</v>
      </c>
      <c r="J282" s="61" t="s">
        <v>7</v>
      </c>
      <c r="K282" s="61" t="s">
        <v>24</v>
      </c>
      <c r="L282" s="61" t="s">
        <v>10</v>
      </c>
      <c r="M282" s="62" t="s">
        <v>38</v>
      </c>
    </row>
    <row r="283" spans="2:18" x14ac:dyDescent="0.25">
      <c r="B283" s="50"/>
      <c r="C283" s="41"/>
      <c r="D283" s="42"/>
      <c r="E283" s="43"/>
      <c r="F283" s="44"/>
      <c r="G283" s="98" t="str">
        <f>IFERROR(IF(venta_a_mes8[[#This Row],[CUIT]]="","-",VLOOKUP(venta_a_mes8[[#This Row],[CUIT]],Lista_CUIT[#All],2,0)),"CUIT NO CARGADO")</f>
        <v>-</v>
      </c>
      <c r="H283" s="99"/>
      <c r="I283" s="107">
        <f>venta_a_mes8[[#This Row],[IMPORTE NETO]]*0.21</f>
        <v>0</v>
      </c>
      <c r="J283" s="65"/>
      <c r="K283" s="65"/>
      <c r="L283" s="65">
        <f>SUM(venta_a_mes8[[#This Row],[IMPORTE NETO]:[EXENTO]])</f>
        <v>0</v>
      </c>
      <c r="M283" s="59"/>
    </row>
    <row r="284" spans="2:18" x14ac:dyDescent="0.25">
      <c r="B284" s="108"/>
      <c r="C284" s="109"/>
      <c r="D284" s="110"/>
      <c r="E284" s="111"/>
      <c r="F284" s="112"/>
      <c r="G284" s="98" t="str">
        <f>IFERROR(IF(venta_a_mes8[[#This Row],[CUIT]]="","-",VLOOKUP(venta_a_mes8[[#This Row],[CUIT]],Lista_CUIT[#All],2,0)),"CUIT NO CARGADO")</f>
        <v>-</v>
      </c>
      <c r="H284" s="99"/>
      <c r="I284" s="100">
        <f>venta_a_mes8[[#This Row],[IMPORTE NETO]]*0.21</f>
        <v>0</v>
      </c>
      <c r="J284" s="65"/>
      <c r="K284" s="65"/>
      <c r="L284" s="65">
        <f>SUM(venta_a_mes8[[#This Row],[IMPORTE NETO]:[EXENTO]])</f>
        <v>0</v>
      </c>
      <c r="M284" s="59"/>
    </row>
    <row r="285" spans="2:18" x14ac:dyDescent="0.25">
      <c r="B285" s="66" t="s">
        <v>103</v>
      </c>
      <c r="C285" s="67"/>
      <c r="D285" s="67"/>
      <c r="E285" s="67"/>
      <c r="F285" s="67"/>
      <c r="G285" s="67"/>
      <c r="H285" s="69">
        <f>SUBTOTAL(109,venta_a_mes8[IMPORTE NETO])</f>
        <v>0</v>
      </c>
      <c r="I285" s="70">
        <f>SUBTOTAL(109,venta_a_mes8[IVA 21%])</f>
        <v>0</v>
      </c>
      <c r="J285" s="71">
        <f>SUBTOTAL(109,venta_a_mes8[IVA 10,5%])</f>
        <v>0</v>
      </c>
      <c r="K285" s="71">
        <f>SUBTOTAL(109,venta_a_mes8[EXENTO])</f>
        <v>0</v>
      </c>
      <c r="L285" s="71">
        <f>SUBTOTAL(109,venta_a_mes8[TOTAL])</f>
        <v>0</v>
      </c>
      <c r="M285" s="68">
        <f>SUBTOTAL(103,venta_a_mes8[Provincia])</f>
        <v>0</v>
      </c>
    </row>
    <row r="288" spans="2:18" ht="21" x14ac:dyDescent="0.25">
      <c r="B288" s="594" t="s">
        <v>31</v>
      </c>
      <c r="C288" s="594"/>
    </row>
    <row r="289" spans="2:13" ht="15.75" x14ac:dyDescent="0.25">
      <c r="B289" s="60" t="s">
        <v>0</v>
      </c>
      <c r="C289" s="61" t="s">
        <v>1</v>
      </c>
      <c r="D289" s="61" t="s">
        <v>21</v>
      </c>
      <c r="E289" s="61" t="s">
        <v>22</v>
      </c>
      <c r="F289" s="61" t="s">
        <v>3</v>
      </c>
      <c r="G289" s="61" t="s">
        <v>4</v>
      </c>
      <c r="H289" s="61" t="s">
        <v>23</v>
      </c>
      <c r="I289" s="61" t="s">
        <v>17</v>
      </c>
      <c r="J289" s="61" t="s">
        <v>7</v>
      </c>
      <c r="K289" s="61" t="s">
        <v>24</v>
      </c>
      <c r="L289" s="61" t="s">
        <v>10</v>
      </c>
      <c r="M289" s="62" t="s">
        <v>38</v>
      </c>
    </row>
    <row r="290" spans="2:13" x14ac:dyDescent="0.25">
      <c r="B290" s="40"/>
      <c r="C290" s="41"/>
      <c r="D290" s="42"/>
      <c r="E290" s="43"/>
      <c r="F290" s="44"/>
      <c r="G290" s="1" t="str">
        <f>IFERROR(IF(ventas_b_mes8[[#This Row],[CUIT]]="","-",VLOOKUP(ventas_b_mes8[[#This Row],[CUIT]],Lista_CUIT[#All],2,0)),"CUIT NO CARGADO")</f>
        <v>-</v>
      </c>
      <c r="H290" s="64"/>
      <c r="I290" s="64">
        <f>ventas_b_mes8[[#This Row],[IMPORTE NETO]]*0.21</f>
        <v>0</v>
      </c>
      <c r="J290" s="64"/>
      <c r="K290" s="64"/>
      <c r="L290" s="64">
        <f>SUM(ventas_b_mes8[[#This Row],[IMPORTE NETO]:[EXENTO]])</f>
        <v>0</v>
      </c>
      <c r="M290" s="59"/>
    </row>
    <row r="291" spans="2:13" x14ac:dyDescent="0.25">
      <c r="B291" s="40"/>
      <c r="C291" s="41"/>
      <c r="D291" s="42"/>
      <c r="E291" s="43"/>
      <c r="F291" s="44"/>
      <c r="G291" s="1" t="str">
        <f>IFERROR(IF(ventas_b_mes8[[#This Row],[CUIT]]="","-",VLOOKUP(ventas_b_mes8[[#This Row],[CUIT]],Lista_CUIT[#All],2,0)),"CUIT NO CARGADO")</f>
        <v>-</v>
      </c>
      <c r="H291" s="64"/>
      <c r="I291" s="64">
        <f>ventas_b_mes8[[#This Row],[IMPORTE NETO]]*0.21</f>
        <v>0</v>
      </c>
      <c r="J291" s="64"/>
      <c r="K291" s="64"/>
      <c r="L291" s="64">
        <f>SUM(ventas_b_mes8[[#This Row],[IMPORTE NETO]:[EXENTO]])</f>
        <v>0</v>
      </c>
      <c r="M291" s="59"/>
    </row>
    <row r="292" spans="2:13" x14ac:dyDescent="0.25">
      <c r="B292" s="367"/>
      <c r="C292" s="368"/>
      <c r="D292" s="369"/>
      <c r="E292" s="370"/>
      <c r="F292" s="371"/>
      <c r="G292" s="1" t="str">
        <f>IFERROR(IF(ventas_b_mes8[[#This Row],[CUIT]]="","-",VLOOKUP(ventas_b_mes8[[#This Row],[CUIT]],Lista_CUIT[#All],2,0)),"CUIT NO CARGADO")</f>
        <v>-</v>
      </c>
      <c r="H292" s="372"/>
      <c r="I292" s="373">
        <f>ventas_b_mes8[[#This Row],[IMPORTE NETO]]*0.21</f>
        <v>0</v>
      </c>
      <c r="J292" s="374"/>
      <c r="K292" s="374"/>
      <c r="L292" s="374">
        <f>SUM(ventas_b_mes8[[#This Row],[IMPORTE NETO]:[EXENTO]])</f>
        <v>0</v>
      </c>
      <c r="M292" s="375"/>
    </row>
    <row r="293" spans="2:13" x14ac:dyDescent="0.25">
      <c r="B293" s="367"/>
      <c r="C293" s="368"/>
      <c r="D293" s="369"/>
      <c r="E293" s="370"/>
      <c r="F293" s="371"/>
      <c r="G293" s="1" t="str">
        <f>IFERROR(IF(ventas_b_mes8[[#This Row],[CUIT]]="","-",VLOOKUP(ventas_b_mes8[[#This Row],[CUIT]],Lista_CUIT[#All],2,0)),"CUIT NO CARGADO")</f>
        <v>-</v>
      </c>
      <c r="H293" s="372"/>
      <c r="I293" s="373">
        <f>ventas_b_mes8[[#This Row],[IMPORTE NETO]]*0.21</f>
        <v>0</v>
      </c>
      <c r="J293" s="374"/>
      <c r="K293" s="374"/>
      <c r="L293" s="374">
        <f>SUM(ventas_b_mes8[[#This Row],[IMPORTE NETO]:[EXENTO]])</f>
        <v>0</v>
      </c>
      <c r="M293" s="375"/>
    </row>
    <row r="294" spans="2:13" ht="15.75" thickBot="1" x14ac:dyDescent="0.3">
      <c r="B294" s="66" t="s">
        <v>103</v>
      </c>
      <c r="C294" s="67"/>
      <c r="D294" s="67"/>
      <c r="E294" s="67"/>
      <c r="F294" s="67"/>
      <c r="G294" s="67"/>
      <c r="H294" s="77">
        <f>SUBTOTAL(109,ventas_b_mes8[IMPORTE NETO])</f>
        <v>0</v>
      </c>
      <c r="I294" s="77">
        <f>SUBTOTAL(109,ventas_b_mes8[IVA 21%])</f>
        <v>0</v>
      </c>
      <c r="J294" s="78">
        <f>SUBTOTAL(109,ventas_b_mes8[IVA 10,5%])</f>
        <v>0</v>
      </c>
      <c r="K294" s="78">
        <f>SUBTOTAL(109,ventas_b_mes8[EXENTO])</f>
        <v>0</v>
      </c>
      <c r="L294" s="78">
        <f>SUBTOTAL(109,ventas_b_mes8[TOTAL])</f>
        <v>0</v>
      </c>
      <c r="M294" s="68">
        <f>SUBTOTAL(103,ventas_b_mes8[Provincia])</f>
        <v>0</v>
      </c>
    </row>
    <row r="295" spans="2:13" ht="15.75" thickTop="1" x14ac:dyDescent="0.25">
      <c r="C295" s="588" t="s">
        <v>66</v>
      </c>
      <c r="D295" s="588"/>
      <c r="E295" s="588"/>
      <c r="F295" s="588"/>
      <c r="G295" s="588"/>
      <c r="H295" s="32"/>
      <c r="I295" s="32"/>
      <c r="J295" s="32"/>
    </row>
    <row r="296" spans="2:13" ht="15.75" x14ac:dyDescent="0.25">
      <c r="C296" s="113" t="s">
        <v>67</v>
      </c>
      <c r="D296" s="114" t="s">
        <v>68</v>
      </c>
      <c r="E296" s="114" t="s">
        <v>105</v>
      </c>
      <c r="F296" s="114" t="s">
        <v>3</v>
      </c>
      <c r="G296" s="114" t="s">
        <v>4</v>
      </c>
      <c r="H296" s="115" t="s">
        <v>69</v>
      </c>
      <c r="I296" s="115" t="s">
        <v>70</v>
      </c>
      <c r="J296" s="115" t="s">
        <v>71</v>
      </c>
      <c r="K296" s="115" t="s">
        <v>72</v>
      </c>
      <c r="L296" s="115" t="s">
        <v>73</v>
      </c>
    </row>
    <row r="297" spans="2:13" x14ac:dyDescent="0.25">
      <c r="C297" s="116"/>
      <c r="D297" s="117"/>
      <c r="E297" s="117"/>
      <c r="F297" s="118"/>
      <c r="G297" s="53"/>
      <c r="H297" s="119"/>
      <c r="I297" s="119">
        <f>Retenciones_mes8[[#This Row],[Ganancias]]*0.21</f>
        <v>0</v>
      </c>
      <c r="J297" s="119"/>
      <c r="K297" s="119"/>
      <c r="L297" s="119"/>
    </row>
    <row r="298" spans="2:13" x14ac:dyDescent="0.25">
      <c r="C298" s="116"/>
      <c r="D298" s="117"/>
      <c r="E298" s="117"/>
      <c r="F298" s="118"/>
      <c r="G298" s="53" t="str">
        <f>IFERROR(IF(Retenciones_mes8[[#This Row],[CUIT]]="","-",VLOOKUP(Retenciones_mes8[[#This Row],[CUIT]],Lista_CUIT[#All],2,0)),"CUIT NO CARGADO")</f>
        <v>-</v>
      </c>
      <c r="H298" s="119"/>
      <c r="I298" s="119">
        <f>Retenciones_mes8[[#This Row],[Ganancias]]*0.21</f>
        <v>0</v>
      </c>
      <c r="J298" s="119"/>
      <c r="K298" s="119"/>
      <c r="L298" s="119"/>
    </row>
    <row r="299" spans="2:13" x14ac:dyDescent="0.25">
      <c r="C299" s="116"/>
      <c r="D299" s="117"/>
      <c r="E299" s="117"/>
      <c r="F299" s="118"/>
      <c r="G299" s="53" t="str">
        <f>IFERROR(IF(Retenciones_mes8[[#This Row],[CUIT]]="","-",VLOOKUP(Retenciones_mes8[[#This Row],[CUIT]],Lista_CUIT[#All],2,0)),"CUIT NO CARGADO")</f>
        <v>-</v>
      </c>
      <c r="H299" s="119"/>
      <c r="I299" s="119">
        <f>Retenciones_mes8[[#This Row],[Ganancias]]*0.21</f>
        <v>0</v>
      </c>
      <c r="J299" s="119"/>
      <c r="K299" s="119"/>
      <c r="L299" s="119"/>
    </row>
    <row r="300" spans="2:13" x14ac:dyDescent="0.25">
      <c r="C300" s="116"/>
      <c r="D300" s="117"/>
      <c r="E300" s="117"/>
      <c r="F300" s="118"/>
      <c r="G300" s="53" t="str">
        <f>IFERROR(IF(Retenciones_mes8[[#This Row],[CUIT]]="","-",VLOOKUP(Retenciones_mes8[[#This Row],[CUIT]],Lista_CUIT[#All],2,0)),"CUIT NO CARGADO")</f>
        <v>-</v>
      </c>
      <c r="H300" s="119"/>
      <c r="I300" s="119">
        <f>Retenciones_mes8[[#This Row],[Ganancias]]*0.21</f>
        <v>0</v>
      </c>
      <c r="J300" s="119"/>
      <c r="K300" s="119"/>
      <c r="L300" s="119"/>
    </row>
    <row r="301" spans="2:13" x14ac:dyDescent="0.25">
      <c r="D301" s="117"/>
      <c r="E301" s="117"/>
      <c r="G301" s="53" t="str">
        <f>IFERROR(IF(Retenciones_mes8[[#This Row],[CUIT]]="","-",VLOOKUP(Retenciones_mes8[[#This Row],[CUIT]],Lista_CUIT[#All],2,0)),"CUIT NO CARGADO")</f>
        <v>-</v>
      </c>
      <c r="I301" s="33">
        <f>Retenciones_mes8[[#This Row],[Ganancias]]*0.21</f>
        <v>0</v>
      </c>
    </row>
    <row r="302" spans="2:13" x14ac:dyDescent="0.25">
      <c r="C302" s="33"/>
    </row>
  </sheetData>
  <mergeCells count="20">
    <mergeCell ref="C295:G295"/>
    <mergeCell ref="B4:E4"/>
    <mergeCell ref="G4:H4"/>
    <mergeCell ref="J4:K4"/>
    <mergeCell ref="M4:N4"/>
    <mergeCell ref="D224:K224"/>
    <mergeCell ref="B279:J279"/>
    <mergeCell ref="K279:M279"/>
    <mergeCell ref="B281:C281"/>
    <mergeCell ref="B288:C288"/>
    <mergeCell ref="P4:R4"/>
    <mergeCell ref="D209:L209"/>
    <mergeCell ref="B1:F1"/>
    <mergeCell ref="G1:M1"/>
    <mergeCell ref="N1:R1"/>
    <mergeCell ref="B3:E3"/>
    <mergeCell ref="G3:H3"/>
    <mergeCell ref="J3:K3"/>
    <mergeCell ref="M3:N3"/>
    <mergeCell ref="P3:R3"/>
  </mergeCells>
  <phoneticPr fontId="38" type="noConversion"/>
  <dataValidations count="10">
    <dataValidation type="whole" allowBlank="1" showInputMessage="1" showErrorMessage="1" sqref="C205:C208 C283:C284 C9:C203" xr:uid="{00000000-0002-0000-0800-000000000000}">
      <formula1>1</formula1>
      <formula2>3</formula2>
    </dataValidation>
    <dataValidation type="date" allowBlank="1" showInputMessage="1" showErrorMessage="1" sqref="D211:D219 B205:B208 B9:B203 D226:D272 B283:B284 B290:B293" xr:uid="{00000000-0002-0000-0800-000001000000}">
      <formula1>40179</formula1>
      <formula2>TODAY()</formula2>
    </dataValidation>
    <dataValidation type="whole" allowBlank="1" showInputMessage="1" showErrorMessage="1" sqref="F9:F203 G226:G272 F283:F284 F290:F293" xr:uid="{00000000-0002-0000-0800-000002000000}">
      <formula1>20000000000</formula1>
      <formula2>33999999999</formula2>
    </dataValidation>
    <dataValidation type="whole" allowBlank="1" showInputMessage="1" showErrorMessage="1" sqref="F226:F272 E9:E203 E283:E284 E290:E293" xr:uid="{00000000-0002-0000-0800-000003000000}">
      <formula1>1</formula1>
      <formula2>99999999</formula2>
    </dataValidation>
    <dataValidation type="whole" allowBlank="1" showInputMessage="1" showErrorMessage="1" sqref="D9:D203 E226:E272 D283:D284 D290:D293" xr:uid="{00000000-0002-0000-0800-000004000000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9:I203 M60:O60 J61:O158 H9:H158 J9:O59 J60:K60" xr:uid="{00000000-0002-0000-0800-000005000000}">
      <formula1>IF($C9=3,H9&lt;0,H9&gt;=0)</formula1>
    </dataValidation>
    <dataValidation type="custom" allowBlank="1" showInputMessage="1" showErrorMessage="1" sqref="L283" xr:uid="{00000000-0002-0000-0800-000006000000}">
      <formula1>IF($C9=3,L9&lt;0,L9&gt;=0)</formula1>
    </dataValidation>
    <dataValidation type="custom" allowBlank="1" showInputMessage="1" showErrorMessage="1" sqref="H283 J283:K283" xr:uid="{00000000-0002-0000-0800-000007000000}">
      <formula1>IF($C283=3,H283&lt;0,H283&gt;=0)</formula1>
    </dataValidation>
    <dataValidation type="custom" allowBlank="1" showInputMessage="1" showErrorMessage="1" sqref="H290:L293" xr:uid="{00000000-0002-0000-0800-000008000000}">
      <formula1>IF($C290=8,H290&lt;0,H290&gt;=0)</formula1>
    </dataValidation>
    <dataValidation type="whole" allowBlank="1" showInputMessage="1" showErrorMessage="1" sqref="C290:C293" xr:uid="{00000000-0002-0000-0800-000009000000}">
      <formula1>6</formula1>
      <formula2>8</formula2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5">
    <tabColor theme="9" tint="0.79998168889431442"/>
  </sheetPr>
  <dimension ref="A1:Z327"/>
  <sheetViews>
    <sheetView showGridLines="0" zoomScale="80" zoomScaleNormal="80" workbookViewId="0">
      <selection activeCell="I19" sqref="I19"/>
    </sheetView>
  </sheetViews>
  <sheetFormatPr baseColWidth="10" defaultColWidth="0" defaultRowHeight="15" x14ac:dyDescent="0.25"/>
  <cols>
    <col min="1" max="1" width="1.7109375" customWidth="1"/>
    <col min="2" max="2" width="10.28515625" customWidth="1"/>
    <col min="3" max="3" width="9.5703125" customWidth="1"/>
    <col min="4" max="4" width="13.28515625" customWidth="1"/>
    <col min="5" max="5" width="14.5703125" customWidth="1"/>
    <col min="6" max="6" width="21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5.85546875" customWidth="1"/>
    <col min="14" max="14" width="20.7109375" customWidth="1"/>
    <col min="15" max="15" width="18.5703125" customWidth="1"/>
    <col min="16" max="16" width="23.140625" customWidth="1"/>
    <col min="17" max="17" width="16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EDATE('Ene-25'!N1,8)</f>
        <v>45901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SUM(compras_mes9[[#Totals],[NETO GRAVADO]])+extracto_banco_mes9[[#Totals],[NETO]]</f>
        <v>108924427.51333329</v>
      </c>
      <c r="C4" s="589"/>
      <c r="D4" s="589"/>
      <c r="E4" s="589"/>
      <c r="F4" s="39"/>
      <c r="G4" s="590">
        <f>compras_mes9[[#Totals],[IVA 21 %]]+compras_mes9[[#Totals],[IVA 27%]]+compras_mes9[[#Totals],[IVA 10,5%]]+extracto_banco_mes9[[#Totals],[IVA 21%]]+extracto_banco_mes9[[#Totals],[IVA 10,5%]]</f>
        <v>22254228.662900016</v>
      </c>
      <c r="H4" s="590"/>
      <c r="I4" s="39"/>
      <c r="J4" s="591">
        <f>venta_a_mes9[[#Totals],[IMPORTE NETO]]+ventas_b_mes9[[#Totals],[IMPORTE NETO]]</f>
        <v>0</v>
      </c>
      <c r="K4" s="591"/>
      <c r="L4" s="39"/>
      <c r="M4" s="591">
        <f>venta_a_mes9[[#Totals],[IVA 21%]]+venta_a_mes9[[#Totals],[IVA 10,5%]]+ventas_b_mes9[[#Totals],[IVA 21%]]+ventas_b_mes9[[#Totals],[IVA 10,5%]]</f>
        <v>0</v>
      </c>
      <c r="N4" s="591"/>
      <c r="O4" s="39"/>
      <c r="P4" s="579">
        <f>G4-M4</f>
        <v>22254228.662900016</v>
      </c>
      <c r="Q4" s="580"/>
      <c r="R4" s="580"/>
    </row>
    <row r="5" spans="1:26" ht="13.15" customHeight="1" x14ac:dyDescent="0.25">
      <c r="H5" s="186"/>
    </row>
    <row r="6" spans="1:26" x14ac:dyDescent="0.25">
      <c r="F6" s="599"/>
      <c r="G6" s="599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89" t="s">
        <v>2813</v>
      </c>
      <c r="C9" s="547">
        <v>1</v>
      </c>
      <c r="D9" s="90">
        <v>1</v>
      </c>
      <c r="E9" s="91">
        <v>642</v>
      </c>
      <c r="F9" s="92">
        <v>20131206144</v>
      </c>
      <c r="G9" s="93" t="str">
        <f>IFERROR(IF(compras_mes9[[#This Row],[CUIT]]="","-",VLOOKUP(compras_mes9[[#This Row],[CUIT]],Lista_CUIT[#All],2,0)),"CUIT NO CARGADO")</f>
        <v>CHAMORRO MANUEL</v>
      </c>
      <c r="H9" s="94">
        <v>1180956</v>
      </c>
      <c r="I9" s="85">
        <f>IF(compras_mes9[[#This Row],[NETO GRAVADO]]="","",compras_mes9[[#This Row],[NETO GRAVADO]]*0.21)</f>
        <v>248000.75999999998</v>
      </c>
      <c r="J9" s="86"/>
      <c r="K9" s="86"/>
      <c r="L9" s="86"/>
      <c r="M9" s="86"/>
      <c r="N9" s="86"/>
      <c r="O9" s="86"/>
      <c r="P9" s="87">
        <f>SUM(compras_mes9[[#This Row],[NETO GRAVADO]:[Otros / No Grav.]])</f>
        <v>1428956.76</v>
      </c>
      <c r="Q9" s="88" t="str">
        <f>IFERROR(IF(compras_mes9[[#This Row],[CUIT]]="","-",VLOOKUP(compras_mes9[[#This Row],[CUIT]],Lista_CUIT[#All],3,0)),"CUIT NO CARGADO")</f>
        <v>Alquiler</v>
      </c>
      <c r="R9" s="88">
        <f>IFERROR(IF(compras_mes9[[#This Row],[CUIT]]="","-",VLOOKUP(compras_mes9[[#This Row],[CUIT]],Lista_CUIT[#All],4,0)),"CUIT NO CARGADO")</f>
        <v>0</v>
      </c>
    </row>
    <row r="10" spans="1:26" x14ac:dyDescent="0.25">
      <c r="B10" s="207" t="s">
        <v>2813</v>
      </c>
      <c r="C10" s="547">
        <v>1</v>
      </c>
      <c r="D10" s="209">
        <v>1</v>
      </c>
      <c r="E10" s="225">
        <v>1022</v>
      </c>
      <c r="F10" s="210">
        <v>30715889486</v>
      </c>
      <c r="G10" s="211" t="str">
        <f>IFERROR(IF(compras_mes9[[#This Row],[CUIT]]="","-",VLOOKUP(compras_mes9[[#This Row],[CUIT]],Lista_CUIT[#All],2,0)),"CUIT NO CARGADO")</f>
        <v>EXPOESTETICA</v>
      </c>
      <c r="H10" s="94">
        <v>2088000</v>
      </c>
      <c r="I10" s="85">
        <f>IF(compras_mes9[[#This Row],[NETO GRAVADO]]="","",compras_mes9[[#This Row],[NETO GRAVADO]]*0.21)</f>
        <v>438480</v>
      </c>
      <c r="J10" s="213"/>
      <c r="K10" s="213"/>
      <c r="L10" s="213"/>
      <c r="M10" s="213"/>
      <c r="N10" s="213"/>
      <c r="O10" s="213"/>
      <c r="P10" s="214">
        <f>SUM(compras_mes9[[#This Row],[NETO GRAVADO]:[Otros / No Grav.]])</f>
        <v>2526480</v>
      </c>
      <c r="Q10" s="215" t="str">
        <f>IFERROR(IF(compras_mes9[[#This Row],[CUIT]]="","-",VLOOKUP(compras_mes9[[#This Row],[CUIT]],Lista_CUIT[#All],3,0)),"CUIT NO CARGADO")</f>
        <v>Gastos Comercializacion - Feria</v>
      </c>
      <c r="R10" s="215" t="str">
        <f>IFERROR(IF(compras_mes9[[#This Row],[CUIT]]="","-",VLOOKUP(compras_mes9[[#This Row],[CUIT]],Lista_CUIT[#All],4,0)),"CUIT NO CARGADO")</f>
        <v>BUENOS AIRES</v>
      </c>
    </row>
    <row r="11" spans="1:26" x14ac:dyDescent="0.25">
      <c r="B11" s="207" t="s">
        <v>2813</v>
      </c>
      <c r="C11" s="547">
        <v>1</v>
      </c>
      <c r="D11" s="209">
        <v>2</v>
      </c>
      <c r="E11" s="225">
        <v>7876</v>
      </c>
      <c r="F11" s="210">
        <v>30714882615</v>
      </c>
      <c r="G11" s="211" t="str">
        <f>IFERROR(IF(compras_mes9[[#This Row],[CUIT]]="","-",VLOOKUP(compras_mes9[[#This Row],[CUIT]],Lista_CUIT[#All],2,0)),"CUIT NO CARGADO")</f>
        <v>TRAVELITE SRL</v>
      </c>
      <c r="H11" s="94">
        <v>2072250.41</v>
      </c>
      <c r="I11" s="85">
        <f>IF(compras_mes9[[#This Row],[NETO GRAVADO]]="","",compras_mes9[[#This Row],[NETO GRAVADO]]*0.21)</f>
        <v>435172.58609999996</v>
      </c>
      <c r="J11" s="85"/>
      <c r="K11" s="85"/>
      <c r="L11" s="85"/>
      <c r="M11" s="85"/>
      <c r="N11" s="85"/>
      <c r="O11" s="85"/>
      <c r="P11" s="48">
        <f>SUM(compras_mes9[[#This Row],[NETO GRAVADO]:[Otros / No Grav.]])</f>
        <v>2507422.9961000001</v>
      </c>
      <c r="Q11" s="215" t="s">
        <v>3062</v>
      </c>
      <c r="R11" s="215">
        <f>IFERROR(IF(compras_mes9[[#This Row],[CUIT]]="","-",VLOOKUP(compras_mes9[[#This Row],[CUIT]],Lista_CUIT[#All],4,0)),"CUIT NO CARGADO")</f>
        <v>0</v>
      </c>
    </row>
    <row r="12" spans="1:26" x14ac:dyDescent="0.25">
      <c r="B12" s="207" t="s">
        <v>2813</v>
      </c>
      <c r="C12" s="547">
        <v>1</v>
      </c>
      <c r="D12" s="209">
        <v>2</v>
      </c>
      <c r="E12" s="225">
        <v>7877</v>
      </c>
      <c r="F12" s="210">
        <v>30714882615</v>
      </c>
      <c r="G12" s="211" t="str">
        <f>IFERROR(IF(compras_mes9[[#This Row],[CUIT]]="","-",VLOOKUP(compras_mes9[[#This Row],[CUIT]],Lista_CUIT[#All],2,0)),"CUIT NO CARGADO")</f>
        <v>TRAVELITE SRL</v>
      </c>
      <c r="H12" s="94">
        <v>598000</v>
      </c>
      <c r="I12" s="85">
        <f>IF(compras_mes9[[#This Row],[NETO GRAVADO]]="","",compras_mes9[[#This Row],[NETO GRAVADO]]*0.21)</f>
        <v>125580</v>
      </c>
      <c r="J12" s="213"/>
      <c r="K12" s="213"/>
      <c r="L12" s="213"/>
      <c r="M12" s="213"/>
      <c r="N12" s="213"/>
      <c r="O12" s="213"/>
      <c r="P12" s="214">
        <f>SUM(compras_mes9[[#This Row],[NETO GRAVADO]:[Otros / No Grav.]])</f>
        <v>723580</v>
      </c>
      <c r="Q12" s="215" t="s">
        <v>3062</v>
      </c>
      <c r="R12" s="215">
        <f>IFERROR(IF(compras_mes9[[#This Row],[CUIT]]="","-",VLOOKUP(compras_mes9[[#This Row],[CUIT]],Lista_CUIT[#All],4,0)),"CUIT NO CARGADO")</f>
        <v>0</v>
      </c>
    </row>
    <row r="13" spans="1:26" x14ac:dyDescent="0.25">
      <c r="B13" s="207" t="s">
        <v>2813</v>
      </c>
      <c r="C13" s="547">
        <v>1</v>
      </c>
      <c r="D13" s="209">
        <v>3</v>
      </c>
      <c r="E13" s="225">
        <v>12578</v>
      </c>
      <c r="F13" s="210">
        <v>20216023774</v>
      </c>
      <c r="G13" s="211" t="str">
        <f>IFERROR(IF(compras_mes9[[#This Row],[CUIT]]="","-",VLOOKUP(compras_mes9[[#This Row],[CUIT]],Lista_CUIT[#All],2,0)),"CUIT NO CARGADO")</f>
        <v>BELTRAN MAURO FABIAN</v>
      </c>
      <c r="H13" s="212">
        <v>30144.79</v>
      </c>
      <c r="I13" s="85">
        <f>IF(compras_mes9[[#This Row],[NETO GRAVADO]]="","",compras_mes9[[#This Row],[NETO GRAVADO]]*0.21)</f>
        <v>6330.4058999999997</v>
      </c>
      <c r="J13" s="213"/>
      <c r="K13" s="213"/>
      <c r="L13" s="213"/>
      <c r="M13" s="213"/>
      <c r="N13" s="213"/>
      <c r="O13" s="213"/>
      <c r="P13" s="214">
        <f>SUM(compras_mes9[[#This Row],[NETO GRAVADO]:[Otros / No Grav.]])</f>
        <v>36475.195899999999</v>
      </c>
      <c r="Q13" s="215" t="s">
        <v>3065</v>
      </c>
      <c r="R13" s="215">
        <f>IFERROR(IF(compras_mes9[[#This Row],[CUIT]]="","-",VLOOKUP(compras_mes9[[#This Row],[CUIT]],Lista_CUIT[#All],4,0)),"CUIT NO CARGADO")</f>
        <v>0</v>
      </c>
    </row>
    <row r="14" spans="1:26" x14ac:dyDescent="0.25">
      <c r="B14" s="207" t="s">
        <v>2813</v>
      </c>
      <c r="C14" s="547">
        <v>1</v>
      </c>
      <c r="D14" s="209">
        <v>4</v>
      </c>
      <c r="E14" s="225">
        <v>50785</v>
      </c>
      <c r="F14" s="210">
        <v>30709863076</v>
      </c>
      <c r="G14" s="211" t="str">
        <f>IFERROR(IF(compras_mes9[[#This Row],[CUIT]]="","-",VLOOKUP(compras_mes9[[#This Row],[CUIT]],Lista_CUIT[#All],2,0)),"CUIT NO CARGADO")</f>
        <v>INDUSTRIAS PLASTICOS SALTA S.R.L.</v>
      </c>
      <c r="H14" s="46">
        <v>74793.38</v>
      </c>
      <c r="I14" s="85">
        <f>IF(compras_mes9[[#This Row],[NETO GRAVADO]]="","",compras_mes9[[#This Row],[NETO GRAVADO]]*0.21)</f>
        <v>15706.6098</v>
      </c>
      <c r="J14" s="213"/>
      <c r="K14" s="213"/>
      <c r="L14" s="213"/>
      <c r="M14" s="213"/>
      <c r="N14" s="213"/>
      <c r="O14" s="213"/>
      <c r="P14" s="214">
        <f>SUM(compras_mes9[[#This Row],[NETO GRAVADO]:[Otros / No Grav.]])</f>
        <v>90499.98980000001</v>
      </c>
      <c r="Q14" s="215" t="str">
        <f>IFERROR(IF(compras_mes9[[#This Row],[CUIT]]="","-",VLOOKUP(compras_mes9[[#This Row],[CUIT]],Lista_CUIT[#All],3,0)),"CUIT NO CARGADO")</f>
        <v>Materia Prima</v>
      </c>
      <c r="R14" s="215">
        <f>IFERROR(IF(compras_mes9[[#This Row],[CUIT]]="","-",VLOOKUP(compras_mes9[[#This Row],[CUIT]],Lista_CUIT[#All],4,0)),"CUIT NO CARGADO")</f>
        <v>0</v>
      </c>
    </row>
    <row r="15" spans="1:26" x14ac:dyDescent="0.25">
      <c r="B15" s="40" t="s">
        <v>2813</v>
      </c>
      <c r="C15" s="547">
        <v>1</v>
      </c>
      <c r="D15" s="42">
        <v>5</v>
      </c>
      <c r="E15" s="43">
        <v>69534</v>
      </c>
      <c r="F15" s="44">
        <v>20316749942</v>
      </c>
      <c r="G15" s="45" t="str">
        <f>IFERROR(IF(compras_mes9[[#This Row],[CUIT]]="","-",VLOOKUP(compras_mes9[[#This Row],[CUIT]],Lista_CUIT[#All],2,0)),"CUIT NO CARGADO")</f>
        <v>PASTORIZA ALEJANDRO JAVIER</v>
      </c>
      <c r="H15" s="46">
        <v>55694.22</v>
      </c>
      <c r="I15" s="85">
        <f>IF(compras_mes9[[#This Row],[NETO GRAVADO]]="","",compras_mes9[[#This Row],[NETO GRAVADO]]*0.21)</f>
        <v>11695.7862</v>
      </c>
      <c r="J15" s="85"/>
      <c r="K15" s="85"/>
      <c r="L15" s="85"/>
      <c r="M15" s="85"/>
      <c r="N15" s="85"/>
      <c r="O15" s="85"/>
      <c r="P15" s="48">
        <f>SUM(compras_mes9[[#This Row],[NETO GRAVADO]:[Otros / No Grav.]])</f>
        <v>67390.006200000003</v>
      </c>
      <c r="Q15" s="49" t="str">
        <f>IFERROR(IF(compras_mes9[[#This Row],[CUIT]]="","-",VLOOKUP(compras_mes9[[#This Row],[CUIT]],Lista_CUIT[#All],3,0)),"CUIT NO CARGADO")</f>
        <v>Gastos Oficina</v>
      </c>
      <c r="R15" s="49">
        <f>IFERROR(IF(compras_mes9[[#This Row],[CUIT]]="","-",VLOOKUP(compras_mes9[[#This Row],[CUIT]],Lista_CUIT[#All],4,0)),"CUIT NO CARGADO")</f>
        <v>0</v>
      </c>
    </row>
    <row r="16" spans="1:26" x14ac:dyDescent="0.25">
      <c r="B16" s="207" t="s">
        <v>2813</v>
      </c>
      <c r="C16" s="547">
        <v>1</v>
      </c>
      <c r="D16" s="209">
        <v>3</v>
      </c>
      <c r="E16" s="225">
        <v>159519</v>
      </c>
      <c r="F16" s="210">
        <v>30708708697</v>
      </c>
      <c r="G16" s="211" t="str">
        <f>IFERROR(IF(compras_mes9[[#This Row],[CUIT]]="","-",VLOOKUP(compras_mes9[[#This Row],[CUIT]],Lista_CUIT[#All],2,0)),"CUIT NO CARGADO")</f>
        <v>FERCOL LUBRICANTES S.R.L.</v>
      </c>
      <c r="H16" s="94">
        <v>3000000</v>
      </c>
      <c r="I16" s="85">
        <f>IF(compras_mes9[[#This Row],[NETO GRAVADO]]="","",compras_mes9[[#This Row],[NETO GRAVADO]]*0.21)</f>
        <v>630000</v>
      </c>
      <c r="J16" s="85"/>
      <c r="K16" s="85"/>
      <c r="L16" s="85"/>
      <c r="M16" s="85"/>
      <c r="N16" s="85"/>
      <c r="O16" s="85"/>
      <c r="P16" s="48">
        <f>SUM(compras_mes9[[#This Row],[NETO GRAVADO]:[Otros / No Grav.]])</f>
        <v>3630000</v>
      </c>
      <c r="Q16" s="215" t="str">
        <f>IFERROR(IF(compras_mes9[[#This Row],[CUIT]]="","-",VLOOKUP(compras_mes9[[#This Row],[CUIT]],Lista_CUIT[#All],3,0)),"CUIT NO CARGADO")</f>
        <v>Alquiler</v>
      </c>
      <c r="R16" s="215">
        <f>IFERROR(IF(compras_mes9[[#This Row],[CUIT]]="","-",VLOOKUP(compras_mes9[[#This Row],[CUIT]],Lista_CUIT[#All],4,0)),"CUIT NO CARGADO")</f>
        <v>0</v>
      </c>
    </row>
    <row r="17" spans="2:18" x14ac:dyDescent="0.25">
      <c r="B17" s="207" t="s">
        <v>2813</v>
      </c>
      <c r="C17" s="547">
        <v>1</v>
      </c>
      <c r="D17" s="209">
        <v>629</v>
      </c>
      <c r="E17" s="225">
        <v>6411727</v>
      </c>
      <c r="F17" s="210">
        <v>30663498513</v>
      </c>
      <c r="G17" s="211" t="str">
        <f>IFERROR(IF(compras_mes9[[#This Row],[CUIT]]="","-",VLOOKUP(compras_mes9[[#This Row],[CUIT]],Lista_CUIT[#All],2,0)),"CUIT NO CARGADO")</f>
        <v>GRUPO CONCES. DEL OESTE SA</v>
      </c>
      <c r="H17" s="212">
        <v>19297.400000000001</v>
      </c>
      <c r="I17" s="85">
        <f>IF(compras_mes9[[#This Row],[NETO GRAVADO]]="","",compras_mes9[[#This Row],[NETO GRAVADO]]*0.21)</f>
        <v>4052.4540000000002</v>
      </c>
      <c r="J17" s="213"/>
      <c r="K17" s="213"/>
      <c r="L17" s="213"/>
      <c r="M17" s="213"/>
      <c r="N17" s="213"/>
      <c r="O17" s="213"/>
      <c r="P17" s="214">
        <f>SUM(compras_mes9[[#This Row],[NETO GRAVADO]:[Otros / No Grav.]])</f>
        <v>23349.854000000003</v>
      </c>
      <c r="Q17" s="215" t="str">
        <f>IFERROR(IF(compras_mes9[[#This Row],[CUIT]]="","-",VLOOKUP(compras_mes9[[#This Row],[CUIT]],Lista_CUIT[#All],3,0)),"CUIT NO CARGADO")</f>
        <v>Peajes</v>
      </c>
      <c r="R17" s="215">
        <f>IFERROR(IF(compras_mes9[[#This Row],[CUIT]]="","-",VLOOKUP(compras_mes9[[#This Row],[CUIT]],Lista_CUIT[#All],4,0)),"CUIT NO CARGADO")</f>
        <v>0</v>
      </c>
    </row>
    <row r="18" spans="2:18" x14ac:dyDescent="0.25">
      <c r="B18" s="207" t="s">
        <v>2813</v>
      </c>
      <c r="C18" s="547">
        <v>1</v>
      </c>
      <c r="D18" s="209">
        <v>711</v>
      </c>
      <c r="E18" s="225">
        <v>7549392</v>
      </c>
      <c r="F18" s="210">
        <v>30677237119</v>
      </c>
      <c r="G18" s="211" t="str">
        <f>IFERROR(IF(compras_mes9[[#This Row],[CUIT]]="","-",VLOOKUP(compras_mes9[[#This Row],[CUIT]],Lista_CUIT[#All],2,0)),"CUIT NO CARGADO")</f>
        <v>AUTOPISTAS DEL SOL S A</v>
      </c>
      <c r="H18" s="212">
        <v>24323.93</v>
      </c>
      <c r="I18" s="85">
        <f>IF(compras_mes9[[#This Row],[NETO GRAVADO]]="","",compras_mes9[[#This Row],[NETO GRAVADO]]*0.21)</f>
        <v>5108.0253000000002</v>
      </c>
      <c r="J18" s="213"/>
      <c r="K18" s="213"/>
      <c r="L18" s="213"/>
      <c r="M18" s="213"/>
      <c r="N18" s="213"/>
      <c r="O18" s="213">
        <v>729.72</v>
      </c>
      <c r="P18" s="214">
        <f>SUM(compras_mes9[[#This Row],[NETO GRAVADO]:[Otros / No Grav.]])</f>
        <v>30161.675300000003</v>
      </c>
      <c r="Q18" s="215" t="str">
        <f>IFERROR(IF(compras_mes9[[#This Row],[CUIT]]="","-",VLOOKUP(compras_mes9[[#This Row],[CUIT]],Lista_CUIT[#All],3,0)),"CUIT NO CARGADO")</f>
        <v>Peajes</v>
      </c>
      <c r="R18" s="215">
        <f>IFERROR(IF(compras_mes9[[#This Row],[CUIT]]="","-",VLOOKUP(compras_mes9[[#This Row],[CUIT]],Lista_CUIT[#All],4,0)),"CUIT NO CARGADO")</f>
        <v>0</v>
      </c>
    </row>
    <row r="19" spans="2:18" x14ac:dyDescent="0.25">
      <c r="B19" s="207" t="s">
        <v>2814</v>
      </c>
      <c r="C19" s="547">
        <v>1</v>
      </c>
      <c r="D19" s="209">
        <v>2</v>
      </c>
      <c r="E19" s="225">
        <v>321</v>
      </c>
      <c r="F19" s="210">
        <v>27309896063</v>
      </c>
      <c r="G19" s="211" t="str">
        <f>IFERROR(IF(compras_mes9[[#This Row],[CUIT]]="","-",VLOOKUP(compras_mes9[[#This Row],[CUIT]],Lista_CUIT[#All],2,0)),"CUIT NO CARGADO")</f>
        <v>BATTELLINI MARIA SOLEDAD</v>
      </c>
      <c r="H19" s="94">
        <v>620000</v>
      </c>
      <c r="I19" s="85">
        <f>IF(compras_mes9[[#This Row],[NETO GRAVADO]]="","",compras_mes9[[#This Row],[NETO GRAVADO]]*0.21)</f>
        <v>130200</v>
      </c>
      <c r="J19" s="85"/>
      <c r="K19" s="85"/>
      <c r="L19" s="85"/>
      <c r="M19" s="85"/>
      <c r="N19" s="85"/>
      <c r="O19" s="85"/>
      <c r="P19" s="48">
        <f>SUM(compras_mes9[[#This Row],[NETO GRAVADO]:[Otros / No Grav.]])</f>
        <v>750200</v>
      </c>
      <c r="Q19" s="215" t="str">
        <f>IFERROR(IF(compras_mes9[[#This Row],[CUIT]]="","-",VLOOKUP(compras_mes9[[#This Row],[CUIT]],Lista_CUIT[#All],3,0)),"CUIT NO CARGADO")</f>
        <v>Alquiler</v>
      </c>
      <c r="R19" s="215">
        <f>IFERROR(IF(compras_mes9[[#This Row],[CUIT]]="","-",VLOOKUP(compras_mes9[[#This Row],[CUIT]],Lista_CUIT[#All],4,0)),"CUIT NO CARGADO")</f>
        <v>0</v>
      </c>
    </row>
    <row r="20" spans="2:18" x14ac:dyDescent="0.25">
      <c r="B20" s="546" t="s">
        <v>2814</v>
      </c>
      <c r="C20" s="547">
        <v>3</v>
      </c>
      <c r="D20" s="487">
        <v>1100</v>
      </c>
      <c r="E20" s="548">
        <v>417</v>
      </c>
      <c r="F20" s="549">
        <v>30576347460</v>
      </c>
      <c r="G20" s="550" t="str">
        <f>IFERROR(IF(compras_mes9[[#This Row],[CUIT]]="","-",VLOOKUP(compras_mes9[[#This Row],[CUIT]],Lista_CUIT[#All],2,0)),"CUIT NO CARGADO")</f>
        <v>MATHIESEN ARGENTINA S.A.</v>
      </c>
      <c r="H20" s="551">
        <v>-4085100</v>
      </c>
      <c r="I20" s="552">
        <f>IF(compras_mes9[[#This Row],[NETO GRAVADO]]="","",compras_mes9[[#This Row],[NETO GRAVADO]]*0.21)</f>
        <v>-857871</v>
      </c>
      <c r="J20" s="552"/>
      <c r="K20" s="552"/>
      <c r="L20" s="574"/>
      <c r="M20" s="552"/>
      <c r="N20" s="552"/>
      <c r="O20" s="552">
        <v>-245106</v>
      </c>
      <c r="P20" s="553">
        <f>SUM(compras_mes9[[#This Row],[NETO GRAVADO]:[Otros / No Grav.]])</f>
        <v>-5188077</v>
      </c>
      <c r="Q20" s="554" t="s">
        <v>79</v>
      </c>
      <c r="R20" s="554">
        <f>IFERROR(IF(compras_mes9[[#This Row],[CUIT]]="","-",VLOOKUP(compras_mes9[[#This Row],[CUIT]],Lista_CUIT[#All],4,0)),"CUIT NO CARGADO")</f>
        <v>0</v>
      </c>
    </row>
    <row r="21" spans="2:18" x14ac:dyDescent="0.25">
      <c r="B21" s="207" t="s">
        <v>2814</v>
      </c>
      <c r="C21" s="547">
        <v>1</v>
      </c>
      <c r="D21" s="209">
        <v>2</v>
      </c>
      <c r="E21" s="225">
        <v>4140</v>
      </c>
      <c r="F21" s="210">
        <v>30629863571</v>
      </c>
      <c r="G21" s="211" t="str">
        <f>IFERROR(IF(compras_mes9[[#This Row],[CUIT]]="","-",VLOOKUP(compras_mes9[[#This Row],[CUIT]],Lista_CUIT[#All],2,0)),"CUIT NO CARGADO")</f>
        <v>TECNIMAR S R L</v>
      </c>
      <c r="H21" s="94">
        <v>2299144</v>
      </c>
      <c r="I21" s="85">
        <f>IF(compras_mes9[[#This Row],[NETO GRAVADO]]="","",compras_mes9[[#This Row],[NETO GRAVADO]]*0.21)</f>
        <v>482820.24</v>
      </c>
      <c r="J21" s="85"/>
      <c r="K21" s="85"/>
      <c r="L21" s="85"/>
      <c r="M21" s="85"/>
      <c r="N21" s="85"/>
      <c r="O21" s="85"/>
      <c r="P21" s="48">
        <f>SUM(compras_mes9[[#This Row],[NETO GRAVADO]:[Otros / No Grav.]])</f>
        <v>2781964.24</v>
      </c>
      <c r="Q21" s="215" t="str">
        <f>IFERROR(IF(compras_mes9[[#This Row],[CUIT]]="","-",VLOOKUP(compras_mes9[[#This Row],[CUIT]],Lista_CUIT[#All],3,0)),"CUIT NO CARGADO")</f>
        <v>Productos Venta</v>
      </c>
      <c r="R21" s="215">
        <f>IFERROR(IF(compras_mes9[[#This Row],[CUIT]]="","-",VLOOKUP(compras_mes9[[#This Row],[CUIT]],Lista_CUIT[#All],4,0)),"CUIT NO CARGADO")</f>
        <v>0</v>
      </c>
    </row>
    <row r="22" spans="2:18" x14ac:dyDescent="0.25">
      <c r="B22" s="207" t="s">
        <v>2814</v>
      </c>
      <c r="C22" s="547">
        <v>1</v>
      </c>
      <c r="D22" s="209">
        <v>1</v>
      </c>
      <c r="E22" s="225">
        <v>6201</v>
      </c>
      <c r="F22" s="210">
        <v>30715706551</v>
      </c>
      <c r="G22" s="211" t="str">
        <f>IFERROR(IF(compras_mes9[[#This Row],[CUIT]]="","-",VLOOKUP(compras_mes9[[#This Row],[CUIT]],Lista_CUIT[#All],2,0)),"CUIT NO CARGADO")</f>
        <v>FILET DE MERLUZA S.R.L.</v>
      </c>
      <c r="H22" s="94">
        <v>119000</v>
      </c>
      <c r="I22" s="85">
        <f>IF(compras_mes9[[#This Row],[NETO GRAVADO]]="","",compras_mes9[[#This Row],[NETO GRAVADO]]*0.21)</f>
        <v>24990</v>
      </c>
      <c r="J22" s="213"/>
      <c r="K22" s="213"/>
      <c r="L22" s="213"/>
      <c r="M22" s="213"/>
      <c r="N22" s="213"/>
      <c r="O22" s="213"/>
      <c r="P22" s="214">
        <f>SUM(compras_mes9[[#This Row],[NETO GRAVADO]:[Otros / No Grav.]])</f>
        <v>143990</v>
      </c>
      <c r="Q22" s="215" t="s">
        <v>3062</v>
      </c>
      <c r="R22" s="215">
        <f>IFERROR(IF(compras_mes9[[#This Row],[CUIT]]="","-",VLOOKUP(compras_mes9[[#This Row],[CUIT]],Lista_CUIT[#All],4,0)),"CUIT NO CARGADO")</f>
        <v>0</v>
      </c>
    </row>
    <row r="23" spans="2:18" x14ac:dyDescent="0.25">
      <c r="B23" s="207" t="s">
        <v>2814</v>
      </c>
      <c r="C23" s="547">
        <v>1</v>
      </c>
      <c r="D23" s="209">
        <v>3</v>
      </c>
      <c r="E23" s="225">
        <v>36452</v>
      </c>
      <c r="F23" s="210">
        <v>33707953549</v>
      </c>
      <c r="G23" s="211" t="str">
        <f>IFERROR(IF(compras_mes9[[#This Row],[CUIT]]="","-",VLOOKUP(compras_mes9[[#This Row],[CUIT]],Lista_CUIT[#All],2,0)),"CUIT NO CARGADO")</f>
        <v>TELESMART</v>
      </c>
      <c r="H23" s="212">
        <v>31100</v>
      </c>
      <c r="I23" s="85">
        <f>IF(compras_mes9[[#This Row],[NETO GRAVADO]]="","",compras_mes9[[#This Row],[NETO GRAVADO]]*0.21)</f>
        <v>6531</v>
      </c>
      <c r="J23" s="213"/>
      <c r="K23" s="213"/>
      <c r="L23" s="213"/>
      <c r="M23" s="213"/>
      <c r="N23" s="213"/>
      <c r="O23" s="213"/>
      <c r="P23" s="214">
        <f>SUM(compras_mes9[[#This Row],[NETO GRAVADO]:[Otros / No Grav.]])</f>
        <v>37631</v>
      </c>
      <c r="Q23" s="215" t="str">
        <f>IFERROR(IF(compras_mes9[[#This Row],[CUIT]]="","-",VLOOKUP(compras_mes9[[#This Row],[CUIT]],Lista_CUIT[#All],3,0)),"CUIT NO CARGADO")</f>
        <v>Servicios Gas, Luz, etc.</v>
      </c>
      <c r="R23" s="215">
        <f>IFERROR(IF(compras_mes9[[#This Row],[CUIT]]="","-",VLOOKUP(compras_mes9[[#This Row],[CUIT]],Lista_CUIT[#All],4,0)),"CUIT NO CARGADO")</f>
        <v>0</v>
      </c>
    </row>
    <row r="24" spans="2:18" x14ac:dyDescent="0.25">
      <c r="B24" s="207" t="s">
        <v>2814</v>
      </c>
      <c r="C24" s="547">
        <v>1</v>
      </c>
      <c r="D24" s="209">
        <v>1906</v>
      </c>
      <c r="E24" s="225">
        <v>44385</v>
      </c>
      <c r="F24" s="210">
        <v>30589621499</v>
      </c>
      <c r="G24" s="211" t="str">
        <f>IFERROR(IF(compras_mes9[[#This Row],[CUIT]]="","-",VLOOKUP(compras_mes9[[#This Row],[CUIT]],Lista_CUIT[#All],2,0)),"CUIT NO CARGADO")</f>
        <v>MAKRO SA</v>
      </c>
      <c r="H24" s="46">
        <v>322687.15999999997</v>
      </c>
      <c r="I24" s="85">
        <v>66931.350000000006</v>
      </c>
      <c r="J24" s="213"/>
      <c r="K24" s="213">
        <v>416.48</v>
      </c>
      <c r="L24" s="213"/>
      <c r="M24" s="213"/>
      <c r="N24" s="213"/>
      <c r="O24" s="213">
        <v>28982.35</v>
      </c>
      <c r="P24" s="214">
        <f>SUM(compras_mes9[[#This Row],[NETO GRAVADO]:[Otros / No Grav.]])</f>
        <v>419017.33999999997</v>
      </c>
      <c r="Q24" s="215" t="str">
        <f>IFERROR(IF(compras_mes9[[#This Row],[CUIT]]="","-",VLOOKUP(compras_mes9[[#This Row],[CUIT]],Lista_CUIT[#All],3,0)),"CUIT NO CARGADO")</f>
        <v>Gastos Varios</v>
      </c>
      <c r="R24" s="215">
        <f>IFERROR(IF(compras_mes9[[#This Row],[CUIT]]="","-",VLOOKUP(compras_mes9[[#This Row],[CUIT]],Lista_CUIT[#All],4,0)),"CUIT NO CARGADO")</f>
        <v>0</v>
      </c>
    </row>
    <row r="25" spans="2:18" x14ac:dyDescent="0.25">
      <c r="B25" s="207" t="s">
        <v>2834</v>
      </c>
      <c r="C25" s="547">
        <v>1</v>
      </c>
      <c r="D25" s="209">
        <v>5</v>
      </c>
      <c r="E25" s="225">
        <v>37</v>
      </c>
      <c r="F25" s="210">
        <v>20307789427</v>
      </c>
      <c r="G25" s="211" t="str">
        <f>IFERROR(IF(compras_mes9[[#This Row],[CUIT]]="","-",VLOOKUP(compras_mes9[[#This Row],[CUIT]],Lista_CUIT[#All],2,0)),"CUIT NO CARGADO")</f>
        <v>PIETRAFESA EZEQUIEL DAMIAN</v>
      </c>
      <c r="H25" s="212">
        <v>9173.58</v>
      </c>
      <c r="I25" s="85">
        <f>IF(compras_mes9[[#This Row],[NETO GRAVADO]]="","",compras_mes9[[#This Row],[NETO GRAVADO]]*0.21)</f>
        <v>1926.4517999999998</v>
      </c>
      <c r="J25" s="213"/>
      <c r="K25" s="213"/>
      <c r="L25" s="213"/>
      <c r="M25" s="213"/>
      <c r="N25" s="213"/>
      <c r="O25" s="213"/>
      <c r="P25" s="214">
        <f>SUM(compras_mes9[[#This Row],[NETO GRAVADO]:[Otros / No Grav.]])</f>
        <v>11100.031800000001</v>
      </c>
      <c r="Q25" s="215" t="s">
        <v>3064</v>
      </c>
      <c r="R25" s="215">
        <f>IFERROR(IF(compras_mes9[[#This Row],[CUIT]]="","-",VLOOKUP(compras_mes9[[#This Row],[CUIT]],Lista_CUIT[#All],4,0)),"CUIT NO CARGADO")</f>
        <v>0</v>
      </c>
    </row>
    <row r="26" spans="2:18" x14ac:dyDescent="0.25">
      <c r="B26" s="378" t="s">
        <v>2834</v>
      </c>
      <c r="C26" s="547">
        <v>1</v>
      </c>
      <c r="D26" s="379">
        <v>4</v>
      </c>
      <c r="E26" s="380">
        <v>764</v>
      </c>
      <c r="F26" s="381">
        <v>27317740196</v>
      </c>
      <c r="G26" s="382" t="str">
        <f>IFERROR(IF(compras_mes9[[#This Row],[CUIT]]="","-",VLOOKUP(compras_mes9[[#This Row],[CUIT]],Lista_CUIT[#All],2,0)),"CUIT NO CARGADO")</f>
        <v>HOKAMA ROMINA PAOLA</v>
      </c>
      <c r="H26" s="383">
        <v>47034.71</v>
      </c>
      <c r="I26" s="85">
        <f>IF(compras_mes9[[#This Row],[NETO GRAVADO]]="","",compras_mes9[[#This Row],[NETO GRAVADO]]*0.21)</f>
        <v>9877.2891</v>
      </c>
      <c r="J26" s="384"/>
      <c r="K26" s="384"/>
      <c r="L26" s="384"/>
      <c r="M26" s="384"/>
      <c r="N26" s="384"/>
      <c r="O26" s="384"/>
      <c r="P26" s="385">
        <f>SUM(compras_mes9[[#This Row],[NETO GRAVADO]:[Otros / No Grav.]])</f>
        <v>56911.999100000001</v>
      </c>
      <c r="Q26" s="386" t="str">
        <f>IFERROR(IF(compras_mes9[[#This Row],[CUIT]]="","-",VLOOKUP(compras_mes9[[#This Row],[CUIT]],Lista_CUIT[#All],3,0)),"CUIT NO CARGADO")</f>
        <v>Gastos Varios</v>
      </c>
      <c r="R26" s="386">
        <f>IFERROR(IF(compras_mes9[[#This Row],[CUIT]]="","-",VLOOKUP(compras_mes9[[#This Row],[CUIT]],Lista_CUIT[#All],4,0)),"CUIT NO CARGADO")</f>
        <v>0</v>
      </c>
    </row>
    <row r="27" spans="2:18" x14ac:dyDescent="0.25">
      <c r="B27" s="207" t="s">
        <v>2834</v>
      </c>
      <c r="C27" s="547">
        <v>1</v>
      </c>
      <c r="D27" s="209">
        <v>9</v>
      </c>
      <c r="E27" s="225">
        <v>926</v>
      </c>
      <c r="F27" s="210">
        <v>30710446047</v>
      </c>
      <c r="G27" s="211" t="str">
        <f>IFERROR(IF(compras_mes9[[#This Row],[CUIT]]="","-",VLOOKUP(compras_mes9[[#This Row],[CUIT]],Lista_CUIT[#All],2,0)),"CUIT NO CARGADO")</f>
        <v>ENSAMBLE GRAFICO S.H.</v>
      </c>
      <c r="H27" s="46">
        <v>167824.8</v>
      </c>
      <c r="I27" s="85">
        <f>IF(compras_mes9[[#This Row],[NETO GRAVADO]]="","",compras_mes9[[#This Row],[NETO GRAVADO]]*0.21)</f>
        <v>35243.207999999999</v>
      </c>
      <c r="J27" s="213"/>
      <c r="K27" s="213"/>
      <c r="L27" s="213"/>
      <c r="M27" s="213"/>
      <c r="N27" s="213"/>
      <c r="O27" s="213"/>
      <c r="P27" s="214">
        <f>SUM(compras_mes9[[#This Row],[NETO GRAVADO]:[Otros / No Grav.]])</f>
        <v>203068.00799999997</v>
      </c>
      <c r="Q27" s="215" t="str">
        <f>IFERROR(IF(compras_mes9[[#This Row],[CUIT]]="","-",VLOOKUP(compras_mes9[[#This Row],[CUIT]],Lista_CUIT[#All],3,0)),"CUIT NO CARGADO")</f>
        <v>Material de Empaque</v>
      </c>
      <c r="R27" s="215">
        <f>IFERROR(IF(compras_mes9[[#This Row],[CUIT]]="","-",VLOOKUP(compras_mes9[[#This Row],[CUIT]],Lista_CUIT[#All],4,0)),"CUIT NO CARGADO")</f>
        <v>0</v>
      </c>
    </row>
    <row r="28" spans="2:18" x14ac:dyDescent="0.25">
      <c r="B28" s="207" t="s">
        <v>2834</v>
      </c>
      <c r="C28" s="547">
        <v>1</v>
      </c>
      <c r="D28" s="209">
        <v>9</v>
      </c>
      <c r="E28" s="225">
        <v>5939</v>
      </c>
      <c r="F28" s="210">
        <v>30716661519</v>
      </c>
      <c r="G28" s="211" t="str">
        <f>IFERROR(IF(compras_mes9[[#This Row],[CUIT]]="","-",VLOOKUP(compras_mes9[[#This Row],[CUIT]],Lista_CUIT[#All],2,0)),"CUIT NO CARGADO")</f>
        <v>KASAMI S.A.</v>
      </c>
      <c r="H28" s="94">
        <v>493454.55</v>
      </c>
      <c r="I28" s="85">
        <f>IF(compras_mes9[[#This Row],[NETO GRAVADO]]="","",compras_mes9[[#This Row],[NETO GRAVADO]]*0.21)</f>
        <v>103625.4555</v>
      </c>
      <c r="J28" s="85"/>
      <c r="K28" s="85"/>
      <c r="L28" s="85"/>
      <c r="M28" s="85"/>
      <c r="N28" s="85"/>
      <c r="O28" s="85"/>
      <c r="P28" s="48">
        <f>SUM(compras_mes9[[#This Row],[NETO GRAVADO]:[Otros / No Grav.]])</f>
        <v>597080.00549999997</v>
      </c>
      <c r="Q28" s="215" t="s">
        <v>3059</v>
      </c>
      <c r="R28" s="215">
        <f>IFERROR(IF(compras_mes9[[#This Row],[CUIT]]="","-",VLOOKUP(compras_mes9[[#This Row],[CUIT]],Lista_CUIT[#All],4,0)),"CUIT NO CARGADO")</f>
        <v>0</v>
      </c>
    </row>
    <row r="29" spans="2:18" x14ac:dyDescent="0.25">
      <c r="B29" s="207" t="s">
        <v>2834</v>
      </c>
      <c r="C29" s="547">
        <v>1</v>
      </c>
      <c r="D29" s="209">
        <v>1673</v>
      </c>
      <c r="E29" s="225">
        <v>14377</v>
      </c>
      <c r="F29" s="210">
        <v>30589621499</v>
      </c>
      <c r="G29" s="211" t="str">
        <f>IFERROR(IF(compras_mes9[[#This Row],[CUIT]]="","-",VLOOKUP(compras_mes9[[#This Row],[CUIT]],Lista_CUIT[#All],2,0)),"CUIT NO CARGADO")</f>
        <v>MAKRO SA</v>
      </c>
      <c r="H29" s="94">
        <v>87172.77</v>
      </c>
      <c r="I29" s="85">
        <f>IF(compras_mes9[[#This Row],[NETO GRAVADO]]="","",compras_mes9[[#This Row],[NETO GRAVADO]]*0.21)</f>
        <v>18306.2817</v>
      </c>
      <c r="J29" s="213"/>
      <c r="K29" s="213"/>
      <c r="L29" s="213"/>
      <c r="M29" s="213"/>
      <c r="N29" s="213"/>
      <c r="O29" s="213">
        <v>7821.8</v>
      </c>
      <c r="P29" s="214">
        <f>SUM(compras_mes9[[#This Row],[NETO GRAVADO]:[Otros / No Grav.]])</f>
        <v>113300.85170000001</v>
      </c>
      <c r="Q29" s="215" t="str">
        <f>IFERROR(IF(compras_mes9[[#This Row],[CUIT]]="","-",VLOOKUP(compras_mes9[[#This Row],[CUIT]],Lista_CUIT[#All],3,0)),"CUIT NO CARGADO")</f>
        <v>Gastos Varios</v>
      </c>
      <c r="R29" s="215">
        <f>IFERROR(IF(compras_mes9[[#This Row],[CUIT]]="","-",VLOOKUP(compras_mes9[[#This Row],[CUIT]],Lista_CUIT[#All],4,0)),"CUIT NO CARGADO")</f>
        <v>0</v>
      </c>
    </row>
    <row r="30" spans="2:18" x14ac:dyDescent="0.25">
      <c r="B30" s="378" t="s">
        <v>2834</v>
      </c>
      <c r="C30" s="547">
        <v>1</v>
      </c>
      <c r="D30" s="379">
        <v>11</v>
      </c>
      <c r="E30" s="380">
        <v>78265</v>
      </c>
      <c r="F30" s="381">
        <v>30711091552</v>
      </c>
      <c r="G30" s="382" t="str">
        <f>IFERROR(IF(compras_mes9[[#This Row],[CUIT]]="","-",VLOOKUP(compras_mes9[[#This Row],[CUIT]],Lista_CUIT[#All],2,0)),"CUIT NO CARGADO")</f>
        <v>BIGBOX S.A.</v>
      </c>
      <c r="H30" s="383">
        <v>123966.94</v>
      </c>
      <c r="I30" s="85">
        <f>IF(compras_mes9[[#This Row],[NETO GRAVADO]]="","",compras_mes9[[#This Row],[NETO GRAVADO]]*0.21)</f>
        <v>26033.057399999998</v>
      </c>
      <c r="J30" s="384"/>
      <c r="K30" s="384"/>
      <c r="L30" s="384"/>
      <c r="M30" s="384"/>
      <c r="N30" s="384"/>
      <c r="O30" s="384"/>
      <c r="P30" s="385">
        <f>SUM(compras_mes9[[#This Row],[NETO GRAVADO]:[Otros / No Grav.]])</f>
        <v>149999.99739999999</v>
      </c>
      <c r="Q30" s="386" t="str">
        <f>IFERROR(IF(compras_mes9[[#This Row],[CUIT]]="","-",VLOOKUP(compras_mes9[[#This Row],[CUIT]],Lista_CUIT[#All],3,0)),"CUIT NO CARGADO")</f>
        <v>Regalos Empresariales</v>
      </c>
      <c r="R30" s="386">
        <f>IFERROR(IF(compras_mes9[[#This Row],[CUIT]]="","-",VLOOKUP(compras_mes9[[#This Row],[CUIT]],Lista_CUIT[#All],4,0)),"CUIT NO CARGADO")</f>
        <v>0</v>
      </c>
    </row>
    <row r="31" spans="2:18" x14ac:dyDescent="0.25">
      <c r="B31" s="207" t="s">
        <v>2834</v>
      </c>
      <c r="C31" s="547">
        <v>1</v>
      </c>
      <c r="D31" s="209">
        <v>3099</v>
      </c>
      <c r="E31" s="225">
        <v>549782</v>
      </c>
      <c r="F31" s="210">
        <v>30678814357</v>
      </c>
      <c r="G31" s="211" t="str">
        <f>IFERROR(IF(compras_mes9[[#This Row],[CUIT]]="","-",VLOOKUP(compras_mes9[[#This Row],[CUIT]],Lista_CUIT[#All],2,0)),"CUIT NO CARGADO")</f>
        <v>TELEFONICA MOVILES ARG</v>
      </c>
      <c r="H31" s="46">
        <v>42132</v>
      </c>
      <c r="I31" s="85" t="s">
        <v>2411</v>
      </c>
      <c r="J31" s="213">
        <f>compras_mes9[[#This Row],[NETO GRAVADO]]*0.27</f>
        <v>11375.640000000001</v>
      </c>
      <c r="K31" s="213"/>
      <c r="L31" s="213"/>
      <c r="M31" s="213"/>
      <c r="N31" s="213"/>
      <c r="O31" s="213">
        <v>3791.88</v>
      </c>
      <c r="P31" s="214">
        <f>SUM(compras_mes9[[#This Row],[NETO GRAVADO]:[Otros / No Grav.]])</f>
        <v>57299.519999999997</v>
      </c>
      <c r="Q31" s="215" t="str">
        <f>IFERROR(IF(compras_mes9[[#This Row],[CUIT]]="","-",VLOOKUP(compras_mes9[[#This Row],[CUIT]],Lista_CUIT[#All],3,0)),"CUIT NO CARGADO")</f>
        <v>Servicios Gas, Luz, etc.</v>
      </c>
      <c r="R31" s="215">
        <f>IFERROR(IF(compras_mes9[[#This Row],[CUIT]]="","-",VLOOKUP(compras_mes9[[#This Row],[CUIT]],Lista_CUIT[#All],4,0)),"CUIT NO CARGADO")</f>
        <v>0</v>
      </c>
    </row>
    <row r="32" spans="2:18" x14ac:dyDescent="0.25">
      <c r="B32" s="207" t="s">
        <v>2835</v>
      </c>
      <c r="C32" s="547">
        <v>1</v>
      </c>
      <c r="D32" s="209">
        <v>1</v>
      </c>
      <c r="E32" s="225">
        <v>174</v>
      </c>
      <c r="F32" s="210">
        <v>33718014579</v>
      </c>
      <c r="G32" s="211" t="str">
        <f>IFERROR(IF(compras_mes9[[#This Row],[CUIT]]="","-",VLOOKUP(compras_mes9[[#This Row],[CUIT]],Lista_CUIT[#All],2,0)),"CUIT NO CARGADO")</f>
        <v>IMPORTADORA HANA S.R.L.</v>
      </c>
      <c r="H32" s="94">
        <v>107429.75999999999</v>
      </c>
      <c r="I32" s="85">
        <f>IF(compras_mes9[[#This Row],[NETO GRAVADO]]="","",compras_mes9[[#This Row],[NETO GRAVADO]]*0.21)</f>
        <v>22560.249599999999</v>
      </c>
      <c r="J32" s="85"/>
      <c r="K32" s="85"/>
      <c r="L32" s="85"/>
      <c r="M32" s="85"/>
      <c r="N32" s="85"/>
      <c r="O32" s="85"/>
      <c r="P32" s="48">
        <f>SUM(compras_mes9[[#This Row],[NETO GRAVADO]:[Otros / No Grav.]])</f>
        <v>129990.00959999999</v>
      </c>
      <c r="Q32" s="215" t="s">
        <v>3061</v>
      </c>
      <c r="R32" s="215">
        <f>IFERROR(IF(compras_mes9[[#This Row],[CUIT]]="","-",VLOOKUP(compras_mes9[[#This Row],[CUIT]],Lista_CUIT[#All],4,0)),"CUIT NO CARGADO")</f>
        <v>0</v>
      </c>
    </row>
    <row r="33" spans="2:18" x14ac:dyDescent="0.25">
      <c r="B33" s="207" t="s">
        <v>2835</v>
      </c>
      <c r="C33" s="547">
        <v>1</v>
      </c>
      <c r="D33" s="209">
        <v>2</v>
      </c>
      <c r="E33" s="225">
        <v>4143</v>
      </c>
      <c r="F33" s="210">
        <v>30629863571</v>
      </c>
      <c r="G33" s="211" t="str">
        <f>IFERROR(IF(compras_mes9[[#This Row],[CUIT]]="","-",VLOOKUP(compras_mes9[[#This Row],[CUIT]],Lista_CUIT[#All],2,0)),"CUIT NO CARGADO")</f>
        <v>TECNIMAR S R L</v>
      </c>
      <c r="H33" s="212">
        <v>1520820</v>
      </c>
      <c r="I33" s="85">
        <f>IF(compras_mes9[[#This Row],[NETO GRAVADO]]="","",compras_mes9[[#This Row],[NETO GRAVADO]]*0.21)</f>
        <v>319372.2</v>
      </c>
      <c r="J33" s="213"/>
      <c r="K33" s="213"/>
      <c r="L33" s="213"/>
      <c r="M33" s="213"/>
      <c r="N33" s="213"/>
      <c r="O33" s="213"/>
      <c r="P33" s="214">
        <f>SUM(compras_mes9[[#This Row],[NETO GRAVADO]:[Otros / No Grav.]])</f>
        <v>1840192.2</v>
      </c>
      <c r="Q33" s="215" t="str">
        <f>IFERROR(IF(compras_mes9[[#This Row],[CUIT]]="","-",VLOOKUP(compras_mes9[[#This Row],[CUIT]],Lista_CUIT[#All],3,0)),"CUIT NO CARGADO")</f>
        <v>Productos Venta</v>
      </c>
      <c r="R33" s="215">
        <f>IFERROR(IF(compras_mes9[[#This Row],[CUIT]]="","-",VLOOKUP(compras_mes9[[#This Row],[CUIT]],Lista_CUIT[#All],4,0)),"CUIT NO CARGADO")</f>
        <v>0</v>
      </c>
    </row>
    <row r="34" spans="2:18" x14ac:dyDescent="0.25">
      <c r="B34" s="207" t="s">
        <v>2835</v>
      </c>
      <c r="C34" s="547">
        <v>1</v>
      </c>
      <c r="D34" s="209">
        <v>10</v>
      </c>
      <c r="E34" s="225">
        <v>18375</v>
      </c>
      <c r="F34" s="210">
        <v>30711239800</v>
      </c>
      <c r="G34" s="211" t="str">
        <f>IFERROR(IF(compras_mes9[[#This Row],[CUIT]]="","-",VLOOKUP(compras_mes9[[#This Row],[CUIT]],Lista_CUIT[#All],2,0)),"CUIT NO CARGADO")</f>
        <v>CELEX GROUP  SRL</v>
      </c>
      <c r="H34" s="212">
        <v>1022843.16</v>
      </c>
      <c r="I34" s="85">
        <f>IF(compras_mes9[[#This Row],[NETO GRAVADO]]="","",compras_mes9[[#This Row],[NETO GRAVADO]]*0.21)</f>
        <v>214797.06359999999</v>
      </c>
      <c r="J34" s="213"/>
      <c r="K34" s="213"/>
      <c r="L34" s="213"/>
      <c r="M34" s="213"/>
      <c r="N34" s="213"/>
      <c r="O34" s="213"/>
      <c r="P34" s="214">
        <f>SUM(compras_mes9[[#This Row],[NETO GRAVADO]:[Otros / No Grav.]])</f>
        <v>1237640.2236000001</v>
      </c>
      <c r="Q34" s="215" t="s">
        <v>3071</v>
      </c>
      <c r="R34" s="215">
        <f>IFERROR(IF(compras_mes9[[#This Row],[CUIT]]="","-",VLOOKUP(compras_mes9[[#This Row],[CUIT]],Lista_CUIT[#All],4,0)),"CUIT NO CARGADO")</f>
        <v>0</v>
      </c>
    </row>
    <row r="35" spans="2:18" x14ac:dyDescent="0.25">
      <c r="B35" s="207" t="s">
        <v>2835</v>
      </c>
      <c r="C35" s="547">
        <v>1</v>
      </c>
      <c r="D35" s="209">
        <v>10</v>
      </c>
      <c r="E35" s="225">
        <v>39457</v>
      </c>
      <c r="F35" s="210">
        <v>30681484635</v>
      </c>
      <c r="G35" s="211" t="str">
        <f>IFERROR(IF(compras_mes9[[#This Row],[CUIT]]="","-",VLOOKUP(compras_mes9[[#This Row],[CUIT]],Lista_CUIT[#All],2,0)),"CUIT NO CARGADO")</f>
        <v>Ionics S.A.</v>
      </c>
      <c r="H35" s="94">
        <v>175000</v>
      </c>
      <c r="I35" s="85">
        <f>IF(compras_mes9[[#This Row],[NETO GRAVADO]]="","",compras_mes9[[#This Row],[NETO GRAVADO]]*0.21)</f>
        <v>36750</v>
      </c>
      <c r="J35" s="85"/>
      <c r="K35" s="85"/>
      <c r="L35" s="85"/>
      <c r="M35" s="85"/>
      <c r="N35" s="85"/>
      <c r="O35" s="85"/>
      <c r="P35" s="48">
        <f>SUM(compras_mes9[[#This Row],[NETO GRAVADO]:[Otros / No Grav.]])</f>
        <v>211750</v>
      </c>
      <c r="Q35" s="215" t="str">
        <f>IFERROR(IF(compras_mes9[[#This Row],[CUIT]]="","-",VLOOKUP(compras_mes9[[#This Row],[CUIT]],Lista_CUIT[#All],3,0)),"CUIT NO CARGADO")</f>
        <v>Mercaderia</v>
      </c>
      <c r="R35" s="215">
        <f>IFERROR(IF(compras_mes9[[#This Row],[CUIT]]="","-",VLOOKUP(compras_mes9[[#This Row],[CUIT]],Lista_CUIT[#All],4,0)),"CUIT NO CARGADO")</f>
        <v>0</v>
      </c>
    </row>
    <row r="36" spans="2:18" x14ac:dyDescent="0.25">
      <c r="B36" s="207" t="s">
        <v>2835</v>
      </c>
      <c r="C36" s="547">
        <v>1</v>
      </c>
      <c r="D36" s="209">
        <v>103</v>
      </c>
      <c r="E36" s="225">
        <v>802866</v>
      </c>
      <c r="F36" s="210">
        <v>30701307115</v>
      </c>
      <c r="G36" s="211" t="str">
        <f>IFERROR(IF(compras_mes9[[#This Row],[CUIT]]="","-",VLOOKUP(compras_mes9[[#This Row],[CUIT]],Lista_CUIT[#All],2,0)),"CUIT NO CARGADO")</f>
        <v>DESPEGAR COM AR SA</v>
      </c>
      <c r="H36" s="94">
        <v>157152.69</v>
      </c>
      <c r="I36" s="85" t="s">
        <v>2411</v>
      </c>
      <c r="J36" s="85"/>
      <c r="K36" s="85">
        <f>compras_mes9[[#This Row],[NETO GRAVADO]]*0.105</f>
        <v>16501.032449999999</v>
      </c>
      <c r="L36" s="85"/>
      <c r="M36" s="85"/>
      <c r="N36" s="85">
        <v>11145.57</v>
      </c>
      <c r="O36" s="85">
        <v>14317.7</v>
      </c>
      <c r="P36" s="48">
        <f>SUM(compras_mes9[[#This Row],[NETO GRAVADO]:[Otros / No Grav.]])</f>
        <v>199116.99245000002</v>
      </c>
      <c r="Q36" s="215" t="str">
        <f>IFERROR(IF(compras_mes9[[#This Row],[CUIT]]="","-",VLOOKUP(compras_mes9[[#This Row],[CUIT]],Lista_CUIT[#All],3,0)),"CUIT NO CARGADO")</f>
        <v>Gastos Varios</v>
      </c>
      <c r="R36" s="215">
        <f>IFERROR(IF(compras_mes9[[#This Row],[CUIT]]="","-",VLOOKUP(compras_mes9[[#This Row],[CUIT]],Lista_CUIT[#All],4,0)),"CUIT NO CARGADO")</f>
        <v>0</v>
      </c>
    </row>
    <row r="37" spans="2:18" x14ac:dyDescent="0.25">
      <c r="B37" s="207" t="s">
        <v>2835</v>
      </c>
      <c r="C37" s="547">
        <v>1</v>
      </c>
      <c r="D37" s="209">
        <v>1</v>
      </c>
      <c r="E37" s="225">
        <v>975638</v>
      </c>
      <c r="F37" s="210">
        <v>33716307749</v>
      </c>
      <c r="G37" s="211" t="str">
        <f>IFERROR(IF(compras_mes9[[#This Row],[CUIT]]="","-",VLOOKUP(compras_mes9[[#This Row],[CUIT]],Lista_CUIT[#All],2,0)),"CUIT NO CARGADO")</f>
        <v>VERISURE ARGENTINA MONITOREO DE ALARMAS SA</v>
      </c>
      <c r="H37" s="94">
        <v>52999</v>
      </c>
      <c r="I37" s="85">
        <f>IF(compras_mes9[[#This Row],[NETO GRAVADO]]="","",compras_mes9[[#This Row],[NETO GRAVADO]]*0.21)</f>
        <v>11129.789999999999</v>
      </c>
      <c r="J37" s="85"/>
      <c r="K37" s="85"/>
      <c r="L37" s="85"/>
      <c r="M37" s="85"/>
      <c r="N37" s="85"/>
      <c r="O37" s="85"/>
      <c r="P37" s="48">
        <f>SUM(compras_mes9[[#This Row],[NETO GRAVADO]:[Otros / No Grav.]])</f>
        <v>64128.79</v>
      </c>
      <c r="Q37" s="215" t="s">
        <v>3068</v>
      </c>
      <c r="R37" s="215">
        <f>IFERROR(IF(compras_mes9[[#This Row],[CUIT]]="","-",VLOOKUP(compras_mes9[[#This Row],[CUIT]],Lista_CUIT[#All],4,0)),"CUIT NO CARGADO")</f>
        <v>0</v>
      </c>
    </row>
    <row r="38" spans="2:18" x14ac:dyDescent="0.25">
      <c r="B38" s="40" t="s">
        <v>2815</v>
      </c>
      <c r="C38" s="547">
        <v>1</v>
      </c>
      <c r="D38" s="42">
        <v>1</v>
      </c>
      <c r="E38" s="43">
        <v>61</v>
      </c>
      <c r="F38" s="44">
        <v>30717504824</v>
      </c>
      <c r="G38" s="45" t="str">
        <f>IFERROR(IF(compras_mes9[[#This Row],[CUIT]]="","-",VLOOKUP(compras_mes9[[#This Row],[CUIT]],Lista_CUIT[#All],2,0)),"CUIT NO CARGADO")</f>
        <v>FIDEICOMISO MAMBA</v>
      </c>
      <c r="H38" s="46">
        <v>3496832.57</v>
      </c>
      <c r="I38" s="85" t="s">
        <v>2411</v>
      </c>
      <c r="J38" s="85"/>
      <c r="K38" s="85">
        <f>compras_mes9[[#This Row],[NETO GRAVADO]]*0.105</f>
        <v>367167.41984999995</v>
      </c>
      <c r="L38" s="85"/>
      <c r="M38" s="85"/>
      <c r="N38" s="85"/>
      <c r="O38" s="85"/>
      <c r="P38" s="48">
        <f>SUM(compras_mes9[[#This Row],[NETO GRAVADO]:[Otros / No Grav.]])</f>
        <v>3863999.9898499995</v>
      </c>
      <c r="Q38" s="49" t="str">
        <f>IFERROR(IF(compras_mes9[[#This Row],[CUIT]]="","-",VLOOKUP(compras_mes9[[#This Row],[CUIT]],Lista_CUIT[#All],3,0)),"CUIT NO CARGADO")</f>
        <v>MANTENIMIENTO</v>
      </c>
      <c r="R38" s="49">
        <f>IFERROR(IF(compras_mes9[[#This Row],[CUIT]]="","-",VLOOKUP(compras_mes9[[#This Row],[CUIT]],Lista_CUIT[#All],4,0)),"CUIT NO CARGADO")</f>
        <v>0</v>
      </c>
    </row>
    <row r="39" spans="2:18" x14ac:dyDescent="0.25">
      <c r="B39" s="207" t="s">
        <v>2815</v>
      </c>
      <c r="C39" s="547">
        <v>1</v>
      </c>
      <c r="D39" s="209">
        <v>2</v>
      </c>
      <c r="E39" s="225">
        <v>322</v>
      </c>
      <c r="F39" s="210">
        <v>27309896063</v>
      </c>
      <c r="G39" s="211" t="str">
        <f>IFERROR(IF(compras_mes9[[#This Row],[CUIT]]="","-",VLOOKUP(compras_mes9[[#This Row],[CUIT]],Lista_CUIT[#All],2,0)),"CUIT NO CARGADO")</f>
        <v>BATTELLINI MARIA SOLEDAD</v>
      </c>
      <c r="H39" s="94">
        <v>620000</v>
      </c>
      <c r="I39" s="85">
        <f>IF(compras_mes9[[#This Row],[NETO GRAVADO]]="","",compras_mes9[[#This Row],[NETO GRAVADO]]*0.21)</f>
        <v>130200</v>
      </c>
      <c r="J39" s="213"/>
      <c r="K39" s="213"/>
      <c r="L39" s="213"/>
      <c r="M39" s="213"/>
      <c r="N39" s="213"/>
      <c r="O39" s="213"/>
      <c r="P39" s="214">
        <f>SUM(compras_mes9[[#This Row],[NETO GRAVADO]:[Otros / No Grav.]])</f>
        <v>750200</v>
      </c>
      <c r="Q39" s="215" t="str">
        <f>IFERROR(IF(compras_mes9[[#This Row],[CUIT]]="","-",VLOOKUP(compras_mes9[[#This Row],[CUIT]],Lista_CUIT[#All],3,0)),"CUIT NO CARGADO")</f>
        <v>Alquiler</v>
      </c>
      <c r="R39" s="215">
        <f>IFERROR(IF(compras_mes9[[#This Row],[CUIT]]="","-",VLOOKUP(compras_mes9[[#This Row],[CUIT]],Lista_CUIT[#All],4,0)),"CUIT NO CARGADO")</f>
        <v>0</v>
      </c>
    </row>
    <row r="40" spans="2:18" x14ac:dyDescent="0.25">
      <c r="B40" s="207" t="s">
        <v>2815</v>
      </c>
      <c r="C40" s="547">
        <v>1</v>
      </c>
      <c r="D40" s="209">
        <v>1</v>
      </c>
      <c r="E40" s="225">
        <v>868</v>
      </c>
      <c r="F40" s="210">
        <v>20263486464</v>
      </c>
      <c r="G40" s="211" t="str">
        <f>IFERROR(IF(compras_mes9[[#This Row],[CUIT]]="","-",VLOOKUP(compras_mes9[[#This Row],[CUIT]],Lista_CUIT[#All],2,0)),"CUIT NO CARGADO")</f>
        <v>ROMANO SEBASTIAN ANTONIO</v>
      </c>
      <c r="H40" s="94">
        <v>364000</v>
      </c>
      <c r="I40" s="85">
        <f>IF(compras_mes9[[#This Row],[NETO GRAVADO]]="","",compras_mes9[[#This Row],[NETO GRAVADO]]*0.21)</f>
        <v>76440</v>
      </c>
      <c r="J40" s="85"/>
      <c r="K40" s="85"/>
      <c r="L40" s="85"/>
      <c r="M40" s="85"/>
      <c r="N40" s="85"/>
      <c r="O40" s="85"/>
      <c r="P40" s="48">
        <f>SUM(compras_mes9[[#This Row],[NETO GRAVADO]:[Otros / No Grav.]])</f>
        <v>440440</v>
      </c>
      <c r="Q40" s="215" t="str">
        <f>IFERROR(IF(compras_mes9[[#This Row],[CUIT]]="","-",VLOOKUP(compras_mes9[[#This Row],[CUIT]],Lista_CUIT[#All],3,0)),"CUIT NO CARGADO")</f>
        <v>Productos Venta</v>
      </c>
      <c r="R40" s="215">
        <f>IFERROR(IF(compras_mes9[[#This Row],[CUIT]]="","-",VLOOKUP(compras_mes9[[#This Row],[CUIT]],Lista_CUIT[#All],4,0)),"CUIT NO CARGADO")</f>
        <v>0</v>
      </c>
    </row>
    <row r="41" spans="2:18" x14ac:dyDescent="0.25">
      <c r="B41" s="207" t="s">
        <v>2815</v>
      </c>
      <c r="C41" s="547">
        <v>1</v>
      </c>
      <c r="D41" s="209">
        <v>9</v>
      </c>
      <c r="E41" s="225">
        <v>927</v>
      </c>
      <c r="F41" s="210">
        <v>30710446047</v>
      </c>
      <c r="G41" s="211" t="str">
        <f>IFERROR(IF(compras_mes9[[#This Row],[CUIT]]="","-",VLOOKUP(compras_mes9[[#This Row],[CUIT]],Lista_CUIT[#All],2,0)),"CUIT NO CARGADO")</f>
        <v>ENSAMBLE GRAFICO S.H.</v>
      </c>
      <c r="H41" s="212">
        <v>1252000</v>
      </c>
      <c r="I41" s="85">
        <f>IF(compras_mes9[[#This Row],[NETO GRAVADO]]="","",compras_mes9[[#This Row],[NETO GRAVADO]]*0.21)</f>
        <v>262920</v>
      </c>
      <c r="J41" s="213"/>
      <c r="K41" s="213"/>
      <c r="L41" s="213"/>
      <c r="M41" s="213"/>
      <c r="N41" s="213"/>
      <c r="O41" s="213"/>
      <c r="P41" s="214">
        <f>SUM(compras_mes9[[#This Row],[NETO GRAVADO]:[Otros / No Grav.]])</f>
        <v>1514920</v>
      </c>
      <c r="Q41" s="215" t="str">
        <f>IFERROR(IF(compras_mes9[[#This Row],[CUIT]]="","-",VLOOKUP(compras_mes9[[#This Row],[CUIT]],Lista_CUIT[#All],3,0)),"CUIT NO CARGADO")</f>
        <v>Material de Empaque</v>
      </c>
      <c r="R41" s="215">
        <f>IFERROR(IF(compras_mes9[[#This Row],[CUIT]]="","-",VLOOKUP(compras_mes9[[#This Row],[CUIT]],Lista_CUIT[#All],4,0)),"CUIT NO CARGADO")</f>
        <v>0</v>
      </c>
    </row>
    <row r="42" spans="2:18" x14ac:dyDescent="0.25">
      <c r="B42" s="207" t="s">
        <v>2815</v>
      </c>
      <c r="C42" s="547">
        <v>1</v>
      </c>
      <c r="D42" s="209">
        <v>43</v>
      </c>
      <c r="E42" s="225">
        <v>1430</v>
      </c>
      <c r="F42" s="210">
        <v>30642617555</v>
      </c>
      <c r="G42" s="211" t="str">
        <f>IFERROR(IF(compras_mes9[[#This Row],[CUIT]]="","-",VLOOKUP(compras_mes9[[#This Row],[CUIT]],Lista_CUIT[#All],2,0)),"CUIT NO CARGADO")</f>
        <v>NEWSAN SOCIEDAD ANONIMA</v>
      </c>
      <c r="H42" s="94">
        <v>530660.32999999996</v>
      </c>
      <c r="I42" s="85">
        <f>IF(compras_mes9[[#This Row],[NETO GRAVADO]]="","",compras_mes9[[#This Row],[NETO GRAVADO]]*0.21)</f>
        <v>111438.66929999999</v>
      </c>
      <c r="J42" s="213"/>
      <c r="K42" s="213"/>
      <c r="L42" s="213"/>
      <c r="M42" s="213"/>
      <c r="N42" s="213"/>
      <c r="O42" s="213"/>
      <c r="P42" s="214">
        <f>SUM(compras_mes9[[#This Row],[NETO GRAVADO]:[Otros / No Grav.]])</f>
        <v>642098.99929999991</v>
      </c>
      <c r="Q42" s="215" t="s">
        <v>3059</v>
      </c>
      <c r="R42" s="215">
        <f>IFERROR(IF(compras_mes9[[#This Row],[CUIT]]="","-",VLOOKUP(compras_mes9[[#This Row],[CUIT]],Lista_CUIT[#All],4,0)),"CUIT NO CARGADO")</f>
        <v>0</v>
      </c>
    </row>
    <row r="43" spans="2:18" x14ac:dyDescent="0.25">
      <c r="B43" s="207" t="s">
        <v>2815</v>
      </c>
      <c r="C43" s="547">
        <v>1</v>
      </c>
      <c r="D43" s="209">
        <v>2</v>
      </c>
      <c r="E43" s="225">
        <v>4144</v>
      </c>
      <c r="F43" s="210">
        <v>30629863571</v>
      </c>
      <c r="G43" s="211" t="str">
        <f>IFERROR(IF(compras_mes9[[#This Row],[CUIT]]="","-",VLOOKUP(compras_mes9[[#This Row],[CUIT]],Lista_CUIT[#All],2,0)),"CUIT NO CARGADO")</f>
        <v>TECNIMAR S R L</v>
      </c>
      <c r="H43" s="94">
        <v>1574100</v>
      </c>
      <c r="I43" s="85">
        <f>IF(compras_mes9[[#This Row],[NETO GRAVADO]]="","",compras_mes9[[#This Row],[NETO GRAVADO]]*0.21)</f>
        <v>330561</v>
      </c>
      <c r="J43" s="213"/>
      <c r="K43" s="213"/>
      <c r="L43" s="213"/>
      <c r="M43" s="213"/>
      <c r="N43" s="213"/>
      <c r="O43" s="213"/>
      <c r="P43" s="214">
        <f>SUM(compras_mes9[[#This Row],[NETO GRAVADO]:[Otros / No Grav.]])</f>
        <v>1904661</v>
      </c>
      <c r="Q43" s="215" t="str">
        <f>IFERROR(IF(compras_mes9[[#This Row],[CUIT]]="","-",VLOOKUP(compras_mes9[[#This Row],[CUIT]],Lista_CUIT[#All],3,0)),"CUIT NO CARGADO")</f>
        <v>Productos Venta</v>
      </c>
      <c r="R43" s="215">
        <f>IFERROR(IF(compras_mes9[[#This Row],[CUIT]]="","-",VLOOKUP(compras_mes9[[#This Row],[CUIT]],Lista_CUIT[#All],4,0)),"CUIT NO CARGADO")</f>
        <v>0</v>
      </c>
    </row>
    <row r="44" spans="2:18" x14ac:dyDescent="0.25">
      <c r="B44" s="207" t="s">
        <v>2815</v>
      </c>
      <c r="C44" s="547">
        <v>1</v>
      </c>
      <c r="D44" s="209">
        <v>14</v>
      </c>
      <c r="E44" s="225">
        <v>18778</v>
      </c>
      <c r="F44" s="210">
        <v>30715186256</v>
      </c>
      <c r="G44" s="211" t="str">
        <f>IFERROR(IF(compras_mes9[[#This Row],[CUIT]]="","-",VLOOKUP(compras_mes9[[#This Row],[CUIT]],Lista_CUIT[#All],2,0)),"CUIT NO CARGADO")</f>
        <v>FRIGORIFICO ALIMENTIC</v>
      </c>
      <c r="H44" s="94">
        <v>96694.83</v>
      </c>
      <c r="I44" s="85">
        <v>6352.79</v>
      </c>
      <c r="J44" s="213"/>
      <c r="K44" s="213">
        <v>6976.56</v>
      </c>
      <c r="L44" s="213"/>
      <c r="M44" s="213"/>
      <c r="N44" s="213"/>
      <c r="O44" s="213"/>
      <c r="P44" s="214">
        <f>SUM(compras_mes9[[#This Row],[NETO GRAVADO]:[Otros / No Grav.]])</f>
        <v>110024.18</v>
      </c>
      <c r="Q44" s="215" t="str">
        <f>IFERROR(IF(compras_mes9[[#This Row],[CUIT]]="","-",VLOOKUP(compras_mes9[[#This Row],[CUIT]],Lista_CUIT[#All],3,0)),"CUIT NO CARGADO")</f>
        <v>Gastos Comercializacion - Feria</v>
      </c>
      <c r="R44" s="215">
        <f>IFERROR(IF(compras_mes9[[#This Row],[CUIT]]="","-",VLOOKUP(compras_mes9[[#This Row],[CUIT]],Lista_CUIT[#All],4,0)),"CUIT NO CARGADO")</f>
        <v>0</v>
      </c>
    </row>
    <row r="45" spans="2:18" x14ac:dyDescent="0.25">
      <c r="B45" s="207" t="s">
        <v>2815</v>
      </c>
      <c r="C45" s="547">
        <v>1</v>
      </c>
      <c r="D45" s="209">
        <v>6852</v>
      </c>
      <c r="E45" s="225">
        <v>32606</v>
      </c>
      <c r="F45" s="210">
        <v>30678774495</v>
      </c>
      <c r="G45" s="211" t="str">
        <f>IFERROR(IF(compras_mes9[[#This Row],[CUIT]]="","-",VLOOKUP(compras_mes9[[#This Row],[CUIT]],Lista_CUIT[#All],2,0)),"CUIT NO CARGADO")</f>
        <v>OPER. DE EST. DE SERV. SA</v>
      </c>
      <c r="H45" s="212">
        <v>14021.64</v>
      </c>
      <c r="I45" s="85">
        <f>IF(compras_mes9[[#This Row],[NETO GRAVADO]]="","",compras_mes9[[#This Row],[NETO GRAVADO]]*0.21)</f>
        <v>2944.5443999999998</v>
      </c>
      <c r="J45" s="213"/>
      <c r="K45" s="213"/>
      <c r="L45" s="213"/>
      <c r="M45" s="213"/>
      <c r="N45" s="213"/>
      <c r="O45" s="213">
        <v>3033.85</v>
      </c>
      <c r="P45" s="214">
        <f>SUM(compras_mes9[[#This Row],[NETO GRAVADO]:[Otros / No Grav.]])</f>
        <v>20000.034399999997</v>
      </c>
      <c r="Q45" s="215" t="str">
        <f>IFERROR(IF(compras_mes9[[#This Row],[CUIT]]="","-",VLOOKUP(compras_mes9[[#This Row],[CUIT]],Lista_CUIT[#All],3,0)),"CUIT NO CARGADO")</f>
        <v>Combustible</v>
      </c>
      <c r="R45" s="215">
        <f>IFERROR(IF(compras_mes9[[#This Row],[CUIT]]="","-",VLOOKUP(compras_mes9[[#This Row],[CUIT]],Lista_CUIT[#All],4,0)),"CUIT NO CARGADO")</f>
        <v>0</v>
      </c>
    </row>
    <row r="46" spans="2:18" x14ac:dyDescent="0.25">
      <c r="B46" s="546">
        <v>45905</v>
      </c>
      <c r="C46" s="547">
        <v>1</v>
      </c>
      <c r="D46" s="487">
        <v>21</v>
      </c>
      <c r="E46" s="548">
        <v>66974</v>
      </c>
      <c r="F46" s="549">
        <v>30515800219</v>
      </c>
      <c r="G46" s="550" t="str">
        <f>IFERROR(IF(compras_mes9[[#This Row],[CUIT]]="","-",VLOOKUP(compras_mes9[[#This Row],[CUIT]],Lista_CUIT[#All],2,0)),"CUIT NO CARGADO")</f>
        <v>INCAT SRL</v>
      </c>
      <c r="H46" s="551">
        <v>34051</v>
      </c>
      <c r="I46" s="552">
        <f>IF(compras_mes9[[#This Row],[NETO GRAVADO]]="","",compras_mes9[[#This Row],[NETO GRAVADO]]*0.21)</f>
        <v>7150.71</v>
      </c>
      <c r="J46" s="552"/>
      <c r="K46" s="552"/>
      <c r="L46" s="574"/>
      <c r="M46" s="552"/>
      <c r="N46" s="552">
        <v>8810.34</v>
      </c>
      <c r="O46" s="552"/>
      <c r="P46" s="553">
        <f>SUM(compras_mes9[[#This Row],[NETO GRAVADO]:[Otros / No Grav.]])</f>
        <v>50012.05</v>
      </c>
      <c r="Q46" s="554" t="str">
        <f>IFERROR(IF(compras_mes9[[#This Row],[CUIT]]="","-",VLOOKUP(compras_mes9[[#This Row],[CUIT]],Lista_CUIT[#All],3,0)),"CUIT NO CARGADO")</f>
        <v>Combustible</v>
      </c>
      <c r="R46" s="554" t="str">
        <f>IFERROR(IF(compras_mes9[[#This Row],[CUIT]]="","-",VLOOKUP(compras_mes9[[#This Row],[CUIT]],Lista_CUIT[#All],4,0)),"CUIT NO CARGADO")</f>
        <v>CABA</v>
      </c>
    </row>
    <row r="47" spans="2:18" x14ac:dyDescent="0.25">
      <c r="B47" s="207" t="s">
        <v>2815</v>
      </c>
      <c r="C47" s="547">
        <v>1</v>
      </c>
      <c r="D47" s="209">
        <v>2188</v>
      </c>
      <c r="E47" s="225">
        <v>156987</v>
      </c>
      <c r="F47" s="210">
        <v>30548083156</v>
      </c>
      <c r="G47" s="211" t="str">
        <f>IFERROR(IF(compras_mes9[[#This Row],[CUIT]]="","-",VLOOKUP(compras_mes9[[#This Row],[CUIT]],Lista_CUIT[#All],2,0)),"CUIT NO CARGADO")</f>
        <v>COTO CENTRO INTEGRAL DE COMERCIALIZACION SOCIEDAD ANONIMA</v>
      </c>
      <c r="H47" s="94">
        <v>69405.7</v>
      </c>
      <c r="I47" s="85">
        <v>13513.8</v>
      </c>
      <c r="J47" s="85"/>
      <c r="K47" s="85">
        <v>530.70000000000005</v>
      </c>
      <c r="L47" s="85"/>
      <c r="M47" s="85"/>
      <c r="N47" s="85"/>
      <c r="O47" s="85">
        <v>5865.97</v>
      </c>
      <c r="P47" s="48">
        <f>SUM(compras_mes9[[#This Row],[NETO GRAVADO]:[Otros / No Grav.]])</f>
        <v>89316.17</v>
      </c>
      <c r="Q47" s="215" t="str">
        <f>IFERROR(IF(compras_mes9[[#This Row],[CUIT]]="","-",VLOOKUP(compras_mes9[[#This Row],[CUIT]],Lista_CUIT[#All],3,0)),"CUIT NO CARGADO")</f>
        <v>Gastos Varios</v>
      </c>
      <c r="R47" s="215">
        <f>IFERROR(IF(compras_mes9[[#This Row],[CUIT]]="","-",VLOOKUP(compras_mes9[[#This Row],[CUIT]],Lista_CUIT[#All],4,0)),"CUIT NO CARGADO")</f>
        <v>0</v>
      </c>
    </row>
    <row r="48" spans="2:18" x14ac:dyDescent="0.25">
      <c r="B48" s="207" t="s">
        <v>2815</v>
      </c>
      <c r="C48" s="547">
        <v>1</v>
      </c>
      <c r="D48" s="209">
        <v>103</v>
      </c>
      <c r="E48" s="225">
        <v>803114</v>
      </c>
      <c r="F48" s="210">
        <v>30701307115</v>
      </c>
      <c r="G48" s="211" t="str">
        <f>IFERROR(IF(compras_mes9[[#This Row],[CUIT]]="","-",VLOOKUP(compras_mes9[[#This Row],[CUIT]],Lista_CUIT[#All],2,0)),"CUIT NO CARGADO")</f>
        <v>DESPEGAR COM AR SA</v>
      </c>
      <c r="H48" s="212">
        <v>0</v>
      </c>
      <c r="I48" s="85">
        <f>IF(compras_mes9[[#This Row],[NETO GRAVADO]]="","",compras_mes9[[#This Row],[NETO GRAVADO]]*0.21)</f>
        <v>0</v>
      </c>
      <c r="J48" s="213"/>
      <c r="K48" s="213"/>
      <c r="L48" s="213"/>
      <c r="M48" s="213"/>
      <c r="N48" s="213">
        <v>22945.26</v>
      </c>
      <c r="O48" s="213">
        <v>1955524.43</v>
      </c>
      <c r="P48" s="214">
        <f>SUM(compras_mes9[[#This Row],[NETO GRAVADO]:[Otros / No Grav.]])</f>
        <v>1978469.69</v>
      </c>
      <c r="Q48" s="215" t="str">
        <f>IFERROR(IF(compras_mes9[[#This Row],[CUIT]]="","-",VLOOKUP(compras_mes9[[#This Row],[CUIT]],Lista_CUIT[#All],3,0)),"CUIT NO CARGADO")</f>
        <v>Gastos Varios</v>
      </c>
      <c r="R48" s="215">
        <f>IFERROR(IF(compras_mes9[[#This Row],[CUIT]]="","-",VLOOKUP(compras_mes9[[#This Row],[CUIT]],Lista_CUIT[#All],4,0)),"CUIT NO CARGADO")</f>
        <v>0</v>
      </c>
    </row>
    <row r="49" spans="2:18" x14ac:dyDescent="0.25">
      <c r="B49" s="207" t="s">
        <v>2816</v>
      </c>
      <c r="C49" s="547">
        <v>1</v>
      </c>
      <c r="D49" s="209">
        <v>2084</v>
      </c>
      <c r="E49" s="225">
        <v>31394</v>
      </c>
      <c r="F49" s="210">
        <v>30548083156</v>
      </c>
      <c r="G49" s="211" t="str">
        <f>IFERROR(IF(compras_mes9[[#This Row],[CUIT]]="","-",VLOOKUP(compras_mes9[[#This Row],[CUIT]],Lista_CUIT[#All],2,0)),"CUIT NO CARGADO")</f>
        <v>COTO CENTRO INTEGRAL DE COMERCIALIZACION SOCIEDAD ANONIMA</v>
      </c>
      <c r="H49" s="212">
        <v>107577.12</v>
      </c>
      <c r="I49" s="85">
        <v>16160.22</v>
      </c>
      <c r="J49" s="213"/>
      <c r="K49" s="213">
        <v>3215.49</v>
      </c>
      <c r="L49" s="213"/>
      <c r="M49" s="213"/>
      <c r="N49" s="213"/>
      <c r="O49" s="213">
        <v>8068.99</v>
      </c>
      <c r="P49" s="214">
        <f>SUM(compras_mes9[[#This Row],[NETO GRAVADO]:[Otros / No Grav.]])</f>
        <v>135021.82</v>
      </c>
      <c r="Q49" s="215" t="str">
        <f>IFERROR(IF(compras_mes9[[#This Row],[CUIT]]="","-",VLOOKUP(compras_mes9[[#This Row],[CUIT]],Lista_CUIT[#All],3,0)),"CUIT NO CARGADO")</f>
        <v>Gastos Varios</v>
      </c>
      <c r="R49" s="215">
        <f>IFERROR(IF(compras_mes9[[#This Row],[CUIT]]="","-",VLOOKUP(compras_mes9[[#This Row],[CUIT]],Lista_CUIT[#All],4,0)),"CUIT NO CARGADO")</f>
        <v>0</v>
      </c>
    </row>
    <row r="50" spans="2:18" x14ac:dyDescent="0.25">
      <c r="B50" s="546">
        <v>45906</v>
      </c>
      <c r="C50" s="547">
        <v>1</v>
      </c>
      <c r="D50" s="487">
        <v>12</v>
      </c>
      <c r="E50" s="548">
        <v>73016</v>
      </c>
      <c r="F50" s="549">
        <v>30696131003</v>
      </c>
      <c r="G50" s="550" t="str">
        <f>IFERROR(IF(compras_mes9[[#This Row],[CUIT]]="","-",VLOOKUP(compras_mes9[[#This Row],[CUIT]],Lista_CUIT[#All],2,0)),"CUIT NO CARGADO")</f>
        <v>Petrolfe S.A.</v>
      </c>
      <c r="H50" s="551">
        <v>212948.76</v>
      </c>
      <c r="I50" s="552">
        <f>IF(compras_mes9[[#This Row],[NETO GRAVADO]]="","",compras_mes9[[#This Row],[NETO GRAVADO]]*0.21)</f>
        <v>44719.239600000001</v>
      </c>
      <c r="J50" s="552"/>
      <c r="K50" s="552"/>
      <c r="L50" s="574"/>
      <c r="M50" s="552"/>
      <c r="N50" s="552">
        <v>30784.52</v>
      </c>
      <c r="O50" s="552"/>
      <c r="P50" s="553">
        <f>SUM(compras_mes9[[#This Row],[NETO GRAVADO]:[Otros / No Grav.]])</f>
        <v>288452.5196</v>
      </c>
      <c r="Q50" s="554" t="str">
        <f>IFERROR(IF(compras_mes9[[#This Row],[CUIT]]="","-",VLOOKUP(compras_mes9[[#This Row],[CUIT]],Lista_CUIT[#All],3,0)),"CUIT NO CARGADO")</f>
        <v>Combustible</v>
      </c>
      <c r="R50" s="554">
        <f>IFERROR(IF(compras_mes9[[#This Row],[CUIT]]="","-",VLOOKUP(compras_mes9[[#This Row],[CUIT]],Lista_CUIT[#All],4,0)),"CUIT NO CARGADO")</f>
        <v>0</v>
      </c>
    </row>
    <row r="51" spans="2:18" x14ac:dyDescent="0.25">
      <c r="B51" s="207" t="s">
        <v>2816</v>
      </c>
      <c r="C51" s="547">
        <v>1</v>
      </c>
      <c r="D51" s="209">
        <v>63</v>
      </c>
      <c r="E51" s="225">
        <v>3459252</v>
      </c>
      <c r="F51" s="210">
        <v>30640897267</v>
      </c>
      <c r="G51" s="211" t="str">
        <f>IFERROR(IF(compras_mes9[[#This Row],[CUIT]]="","-",VLOOKUP(compras_mes9[[#This Row],[CUIT]],Lista_CUIT[#All],2,0)),"CUIT NO CARGADO")</f>
        <v>TELECENTRO S.A.</v>
      </c>
      <c r="H51" s="212">
        <v>41020.910000000003</v>
      </c>
      <c r="I51" s="85">
        <f>IF(compras_mes9[[#This Row],[NETO GRAVADO]]="","",compras_mes9[[#This Row],[NETO GRAVADO]]*0.21)</f>
        <v>8614.3911000000007</v>
      </c>
      <c r="J51" s="213"/>
      <c r="K51" s="213"/>
      <c r="L51" s="213"/>
      <c r="M51" s="213"/>
      <c r="N51" s="213"/>
      <c r="O51" s="213">
        <v>3691.88</v>
      </c>
      <c r="P51" s="214">
        <f>SUM(compras_mes9[[#This Row],[NETO GRAVADO]:[Otros / No Grav.]])</f>
        <v>53327.181100000002</v>
      </c>
      <c r="Q51" s="215" t="str">
        <f>IFERROR(IF(compras_mes9[[#This Row],[CUIT]]="","-",VLOOKUP(compras_mes9[[#This Row],[CUIT]],Lista_CUIT[#All],3,0)),"CUIT NO CARGADO")</f>
        <v>Servicios Gas, Luz, etc.</v>
      </c>
      <c r="R51" s="215">
        <f>IFERROR(IF(compras_mes9[[#This Row],[CUIT]]="","-",VLOOKUP(compras_mes9[[#This Row],[CUIT]],Lista_CUIT[#All],4,0)),"CUIT NO CARGADO")</f>
        <v>0</v>
      </c>
    </row>
    <row r="52" spans="2:18" x14ac:dyDescent="0.25">
      <c r="B52" s="207" t="s">
        <v>2816</v>
      </c>
      <c r="C52" s="547">
        <v>1</v>
      </c>
      <c r="D52" s="209">
        <v>63</v>
      </c>
      <c r="E52" s="225">
        <v>3460468</v>
      </c>
      <c r="F52" s="210">
        <v>30640897267</v>
      </c>
      <c r="G52" s="211" t="str">
        <f>IFERROR(IF(compras_mes9[[#This Row],[CUIT]]="","-",VLOOKUP(compras_mes9[[#This Row],[CUIT]],Lista_CUIT[#All],2,0)),"CUIT NO CARGADO")</f>
        <v>TELECENTRO S.A.</v>
      </c>
      <c r="H52" s="46">
        <v>41020.910000000003</v>
      </c>
      <c r="I52" s="85">
        <f>IF(compras_mes9[[#This Row],[NETO GRAVADO]]="","",compras_mes9[[#This Row],[NETO GRAVADO]]*0.21)</f>
        <v>8614.3911000000007</v>
      </c>
      <c r="J52" s="213"/>
      <c r="K52" s="213"/>
      <c r="L52" s="213"/>
      <c r="M52" s="213"/>
      <c r="N52" s="213"/>
      <c r="O52" s="213">
        <v>3691.88</v>
      </c>
      <c r="P52" s="214">
        <f>SUM(compras_mes9[[#This Row],[NETO GRAVADO]:[Otros / No Grav.]])</f>
        <v>53327.181100000002</v>
      </c>
      <c r="Q52" s="215" t="str">
        <f>IFERROR(IF(compras_mes9[[#This Row],[CUIT]]="","-",VLOOKUP(compras_mes9[[#This Row],[CUIT]],Lista_CUIT[#All],3,0)),"CUIT NO CARGADO")</f>
        <v>Servicios Gas, Luz, etc.</v>
      </c>
      <c r="R52" s="215">
        <f>IFERROR(IF(compras_mes9[[#This Row],[CUIT]]="","-",VLOOKUP(compras_mes9[[#This Row],[CUIT]],Lista_CUIT[#All],4,0)),"CUIT NO CARGADO")</f>
        <v>0</v>
      </c>
    </row>
    <row r="53" spans="2:18" x14ac:dyDescent="0.25">
      <c r="B53" s="207" t="s">
        <v>2816</v>
      </c>
      <c r="C53" s="547">
        <v>1</v>
      </c>
      <c r="D53" s="209">
        <v>63</v>
      </c>
      <c r="E53" s="225">
        <v>3477602</v>
      </c>
      <c r="F53" s="210">
        <v>30640897267</v>
      </c>
      <c r="G53" s="211" t="str">
        <f>IFERROR(IF(compras_mes9[[#This Row],[CUIT]]="","-",VLOOKUP(compras_mes9[[#This Row],[CUIT]],Lista_CUIT[#All],2,0)),"CUIT NO CARGADO")</f>
        <v>TELECENTRO S.A.</v>
      </c>
      <c r="H53" s="46">
        <v>28434.42</v>
      </c>
      <c r="I53" s="85">
        <f>IF(compras_mes9[[#This Row],[NETO GRAVADO]]="","",compras_mes9[[#This Row],[NETO GRAVADO]]*0.21)</f>
        <v>5971.2281999999996</v>
      </c>
      <c r="J53" s="213"/>
      <c r="K53" s="213"/>
      <c r="L53" s="213"/>
      <c r="M53" s="213"/>
      <c r="N53" s="213"/>
      <c r="O53" s="213">
        <v>2559.1</v>
      </c>
      <c r="P53" s="214">
        <f>SUM(compras_mes9[[#This Row],[NETO GRAVADO]:[Otros / No Grav.]])</f>
        <v>36964.748199999995</v>
      </c>
      <c r="Q53" s="215" t="str">
        <f>IFERROR(IF(compras_mes9[[#This Row],[CUIT]]="","-",VLOOKUP(compras_mes9[[#This Row],[CUIT]],Lista_CUIT[#All],3,0)),"CUIT NO CARGADO")</f>
        <v>Servicios Gas, Luz, etc.</v>
      </c>
      <c r="R53" s="215">
        <f>IFERROR(IF(compras_mes9[[#This Row],[CUIT]]="","-",VLOOKUP(compras_mes9[[#This Row],[CUIT]],Lista_CUIT[#All],4,0)),"CUIT NO CARGADO")</f>
        <v>0</v>
      </c>
    </row>
    <row r="54" spans="2:18" x14ac:dyDescent="0.25">
      <c r="B54" s="207" t="s">
        <v>2836</v>
      </c>
      <c r="C54" s="547">
        <v>1</v>
      </c>
      <c r="D54" s="209">
        <v>7994</v>
      </c>
      <c r="E54" s="225">
        <v>45247</v>
      </c>
      <c r="F54" s="210">
        <v>30678774495</v>
      </c>
      <c r="G54" s="211" t="str">
        <f>IFERROR(IF(compras_mes9[[#This Row],[CUIT]]="","-",VLOOKUP(compras_mes9[[#This Row],[CUIT]],Lista_CUIT[#All],2,0)),"CUIT NO CARGADO")</f>
        <v>OPER. DE EST. DE SERV. SA</v>
      </c>
      <c r="H54" s="212">
        <v>62723.65</v>
      </c>
      <c r="I54" s="85">
        <f>IF(compras_mes9[[#This Row],[NETO GRAVADO]]="","",compras_mes9[[#This Row],[NETO GRAVADO]]*0.21)</f>
        <v>13171.9665</v>
      </c>
      <c r="J54" s="213"/>
      <c r="K54" s="213"/>
      <c r="L54" s="213"/>
      <c r="M54" s="213"/>
      <c r="N54" s="213"/>
      <c r="O54" s="213">
        <v>16109.4</v>
      </c>
      <c r="P54" s="214">
        <f>SUM(compras_mes9[[#This Row],[NETO GRAVADO]:[Otros / No Grav.]])</f>
        <v>92005.016499999998</v>
      </c>
      <c r="Q54" s="215" t="str">
        <f>IFERROR(IF(compras_mes9[[#This Row],[CUIT]]="","-",VLOOKUP(compras_mes9[[#This Row],[CUIT]],Lista_CUIT[#All],3,0)),"CUIT NO CARGADO")</f>
        <v>Combustible</v>
      </c>
      <c r="R54" s="215">
        <f>IFERROR(IF(compras_mes9[[#This Row],[CUIT]]="","-",VLOOKUP(compras_mes9[[#This Row],[CUIT]],Lista_CUIT[#All],4,0)),"CUIT NO CARGADO")</f>
        <v>0</v>
      </c>
    </row>
    <row r="55" spans="2:18" x14ac:dyDescent="0.25">
      <c r="B55" s="207" t="s">
        <v>2836</v>
      </c>
      <c r="C55" s="547">
        <v>1</v>
      </c>
      <c r="D55" s="209">
        <v>3950</v>
      </c>
      <c r="E55" s="225">
        <v>4884113</v>
      </c>
      <c r="F55" s="210">
        <v>30639453738</v>
      </c>
      <c r="G55" s="211" t="str">
        <f>IFERROR(IF(compras_mes9[[#This Row],[CUIT]]="","-",VLOOKUP(compras_mes9[[#This Row],[CUIT]],Lista_CUIT[#All],2,0)),"CUIT NO CARGADO")</f>
        <v>TELECOM ARG SA</v>
      </c>
      <c r="H55" s="212">
        <v>294066.99</v>
      </c>
      <c r="I55" s="85">
        <v>61585.02</v>
      </c>
      <c r="J55" s="213">
        <v>217.35</v>
      </c>
      <c r="K55" s="213"/>
      <c r="L55" s="213"/>
      <c r="M55" s="213"/>
      <c r="N55" s="213">
        <v>25176.18</v>
      </c>
      <c r="O55" s="213">
        <v>34.020000000000003</v>
      </c>
      <c r="P55" s="214">
        <f>SUM(compras_mes9[[#This Row],[NETO GRAVADO]:[Otros / No Grav.]])</f>
        <v>381079.56</v>
      </c>
      <c r="Q55" s="215" t="str">
        <f>IFERROR(IF(compras_mes9[[#This Row],[CUIT]]="","-",VLOOKUP(compras_mes9[[#This Row],[CUIT]],Lista_CUIT[#All],3,0)),"CUIT NO CARGADO")</f>
        <v>Servicios Gas, Luz, etc.</v>
      </c>
      <c r="R55" s="215">
        <f>IFERROR(IF(compras_mes9[[#This Row],[CUIT]]="","-",VLOOKUP(compras_mes9[[#This Row],[CUIT]],Lista_CUIT[#All],4,0)),"CUIT NO CARGADO")</f>
        <v>0</v>
      </c>
    </row>
    <row r="56" spans="2:18" x14ac:dyDescent="0.25">
      <c r="B56" s="207" t="s">
        <v>2837</v>
      </c>
      <c r="C56" s="547">
        <v>1</v>
      </c>
      <c r="D56" s="209">
        <v>3</v>
      </c>
      <c r="E56" s="225">
        <v>310</v>
      </c>
      <c r="F56" s="210">
        <v>20202970940</v>
      </c>
      <c r="G56" s="211" t="str">
        <f>IFERROR(IF(compras_mes9[[#This Row],[CUIT]]="","-",VLOOKUP(compras_mes9[[#This Row],[CUIT]],Lista_CUIT[#All],2,0)),"CUIT NO CARGADO")</f>
        <v xml:space="preserve">ALEJANDRO TRAIBER </v>
      </c>
      <c r="H56" s="212">
        <v>3000000</v>
      </c>
      <c r="I56" s="85">
        <f>IF(compras_mes9[[#This Row],[NETO GRAVADO]]="","",compras_mes9[[#This Row],[NETO GRAVADO]]*0.21)</f>
        <v>630000</v>
      </c>
      <c r="J56" s="213"/>
      <c r="K56" s="213"/>
      <c r="L56" s="213"/>
      <c r="M56" s="213"/>
      <c r="N56" s="213"/>
      <c r="O56" s="213"/>
      <c r="P56" s="214">
        <f>SUM(compras_mes9[[#This Row],[NETO GRAVADO]:[Otros / No Grav.]])</f>
        <v>3630000</v>
      </c>
      <c r="Q56" s="215" t="str">
        <f>IFERROR(IF(compras_mes9[[#This Row],[CUIT]]="","-",VLOOKUP(compras_mes9[[#This Row],[CUIT]],Lista_CUIT[#All],3,0)),"CUIT NO CARGADO")</f>
        <v>Mercaderia</v>
      </c>
      <c r="R56" s="215">
        <f>IFERROR(IF(compras_mes9[[#This Row],[CUIT]]="","-",VLOOKUP(compras_mes9[[#This Row],[CUIT]],Lista_CUIT[#All],4,0)),"CUIT NO CARGADO")</f>
        <v>0</v>
      </c>
    </row>
    <row r="57" spans="2:18" x14ac:dyDescent="0.25">
      <c r="B57" s="207" t="s">
        <v>2837</v>
      </c>
      <c r="C57" s="547">
        <v>1</v>
      </c>
      <c r="D57" s="209">
        <v>2</v>
      </c>
      <c r="E57" s="225">
        <v>2479</v>
      </c>
      <c r="F57" s="210">
        <v>20184094526</v>
      </c>
      <c r="G57" s="211" t="str">
        <f>IFERROR(IF(compras_mes9[[#This Row],[CUIT]]="","-",VLOOKUP(compras_mes9[[#This Row],[CUIT]],Lista_CUIT[#All],2,0)),"CUIT NO CARGADO")</f>
        <v>Di Blasio Carlos</v>
      </c>
      <c r="H57" s="94">
        <v>123600</v>
      </c>
      <c r="I57" s="85">
        <f>IF(compras_mes9[[#This Row],[NETO GRAVADO]]="","",compras_mes9[[#This Row],[NETO GRAVADO]]*0.21)</f>
        <v>25956</v>
      </c>
      <c r="J57" s="85"/>
      <c r="K57" s="85"/>
      <c r="L57" s="85"/>
      <c r="M57" s="85"/>
      <c r="N57" s="85"/>
      <c r="O57" s="85"/>
      <c r="P57" s="48">
        <f>SUM(compras_mes9[[#This Row],[NETO GRAVADO]:[Otros / No Grav.]])</f>
        <v>149556</v>
      </c>
      <c r="Q57" s="215" t="str">
        <f>IFERROR(IF(compras_mes9[[#This Row],[CUIT]]="","-",VLOOKUP(compras_mes9[[#This Row],[CUIT]],Lista_CUIT[#All],3,0)),"CUIT NO CARGADO")</f>
        <v>Gastos Varios</v>
      </c>
      <c r="R57" s="215">
        <f>IFERROR(IF(compras_mes9[[#This Row],[CUIT]]="","-",VLOOKUP(compras_mes9[[#This Row],[CUIT]],Lista_CUIT[#All],4,0)),"CUIT NO CARGADO")</f>
        <v>0</v>
      </c>
    </row>
    <row r="58" spans="2:18" x14ac:dyDescent="0.25">
      <c r="B58" s="207" t="s">
        <v>2837</v>
      </c>
      <c r="C58" s="547">
        <v>1</v>
      </c>
      <c r="D58" s="209">
        <v>2</v>
      </c>
      <c r="E58" s="225">
        <v>4145</v>
      </c>
      <c r="F58" s="210">
        <v>30629863571</v>
      </c>
      <c r="G58" s="211" t="str">
        <f>IFERROR(IF(compras_mes9[[#This Row],[CUIT]]="","-",VLOOKUP(compras_mes9[[#This Row],[CUIT]],Lista_CUIT[#All],2,0)),"CUIT NO CARGADO")</f>
        <v>TECNIMAR S R L</v>
      </c>
      <c r="H58" s="212">
        <v>1105120</v>
      </c>
      <c r="I58" s="85">
        <f>IF(compras_mes9[[#This Row],[NETO GRAVADO]]="","",compras_mes9[[#This Row],[NETO GRAVADO]]*0.21)</f>
        <v>232075.19999999998</v>
      </c>
      <c r="J58" s="213"/>
      <c r="K58" s="213"/>
      <c r="L58" s="213"/>
      <c r="M58" s="213"/>
      <c r="N58" s="213"/>
      <c r="O58" s="213"/>
      <c r="P58" s="214">
        <f>SUM(compras_mes9[[#This Row],[NETO GRAVADO]:[Otros / No Grav.]])</f>
        <v>1337195.2</v>
      </c>
      <c r="Q58" s="215" t="str">
        <f>IFERROR(IF(compras_mes9[[#This Row],[CUIT]]="","-",VLOOKUP(compras_mes9[[#This Row],[CUIT]],Lista_CUIT[#All],3,0)),"CUIT NO CARGADO")</f>
        <v>Productos Venta</v>
      </c>
      <c r="R58" s="215">
        <f>IFERROR(IF(compras_mes9[[#This Row],[CUIT]]="","-",VLOOKUP(compras_mes9[[#This Row],[CUIT]],Lista_CUIT[#All],4,0)),"CUIT NO CARGADO")</f>
        <v>0</v>
      </c>
    </row>
    <row r="59" spans="2:18" ht="15" customHeight="1" x14ac:dyDescent="0.25">
      <c r="B59" s="207" t="s">
        <v>2837</v>
      </c>
      <c r="C59" s="547">
        <v>1</v>
      </c>
      <c r="D59" s="209">
        <v>7</v>
      </c>
      <c r="E59" s="225">
        <v>62958</v>
      </c>
      <c r="F59" s="210">
        <v>33708184239</v>
      </c>
      <c r="G59" s="211" t="str">
        <f>IFERROR(IF(compras_mes9[[#This Row],[CUIT]]="","-",VLOOKUP(compras_mes9[[#This Row],[CUIT]],Lista_CUIT[#All],2,0)),"CUIT NO CARGADO")</f>
        <v>LOGISTICA Y DISTRIBUCION PLATAMAR S.A.</v>
      </c>
      <c r="H59" s="212">
        <v>14975.26</v>
      </c>
      <c r="I59" s="85">
        <f>IF(compras_mes9[[#This Row],[NETO GRAVADO]]="","",compras_mes9[[#This Row],[NETO GRAVADO]]*0.21)</f>
        <v>3144.8045999999999</v>
      </c>
      <c r="J59" s="213"/>
      <c r="K59" s="213"/>
      <c r="L59" s="213"/>
      <c r="M59" s="213"/>
      <c r="N59" s="213"/>
      <c r="O59" s="213"/>
      <c r="P59" s="214">
        <f>SUM(compras_mes9[[#This Row],[NETO GRAVADO]:[Otros / No Grav.]])</f>
        <v>18120.064600000002</v>
      </c>
      <c r="Q59" s="215" t="s">
        <v>76</v>
      </c>
      <c r="R59" s="215">
        <f>IFERROR(IF(compras_mes9[[#This Row],[CUIT]]="","-",VLOOKUP(compras_mes9[[#This Row],[CUIT]],Lista_CUIT[#All],4,0)),"CUIT NO CARGADO")</f>
        <v>0</v>
      </c>
    </row>
    <row r="60" spans="2:18" ht="15" customHeight="1" x14ac:dyDescent="0.25">
      <c r="B60" s="207" t="s">
        <v>2837</v>
      </c>
      <c r="C60" s="547">
        <v>1</v>
      </c>
      <c r="D60" s="209">
        <v>7</v>
      </c>
      <c r="E60" s="225">
        <v>180367</v>
      </c>
      <c r="F60" s="210">
        <v>20181426846</v>
      </c>
      <c r="G60" s="211" t="str">
        <f>IFERROR(IF(compras_mes9[[#This Row],[CUIT]]="","-",VLOOKUP(compras_mes9[[#This Row],[CUIT]],Lista_CUIT[#All],2,0)),"CUIT NO CARGADO")</f>
        <v>GRIDEL WALTER DIEGO</v>
      </c>
      <c r="H60" s="94">
        <v>78347.11</v>
      </c>
      <c r="I60" s="85">
        <f>IF(compras_mes9[[#This Row],[NETO GRAVADO]]="","",compras_mes9[[#This Row],[NETO GRAVADO]]*0.21)</f>
        <v>16452.893100000001</v>
      </c>
      <c r="J60" s="85"/>
      <c r="K60" s="85"/>
      <c r="L60" s="85"/>
      <c r="M60" s="85"/>
      <c r="N60" s="85"/>
      <c r="O60" s="85"/>
      <c r="P60" s="48">
        <f>SUM(compras_mes9[[#This Row],[NETO GRAVADO]:[Otros / No Grav.]])</f>
        <v>94800.003100000002</v>
      </c>
      <c r="Q60" s="215" t="str">
        <f>IFERROR(IF(compras_mes9[[#This Row],[CUIT]]="","-",VLOOKUP(compras_mes9[[#This Row],[CUIT]],Lista_CUIT[#All],3,0)),"CUIT NO CARGADO")</f>
        <v>Gastos Oficina</v>
      </c>
      <c r="R60" s="215">
        <f>IFERROR(IF(compras_mes9[[#This Row],[CUIT]]="","-",VLOOKUP(compras_mes9[[#This Row],[CUIT]],Lista_CUIT[#All],4,0)),"CUIT NO CARGADO")</f>
        <v>0</v>
      </c>
    </row>
    <row r="61" spans="2:18" ht="15" customHeight="1" x14ac:dyDescent="0.25">
      <c r="B61" s="207" t="s">
        <v>2837</v>
      </c>
      <c r="C61" s="547">
        <v>1</v>
      </c>
      <c r="D61" s="209">
        <v>5015</v>
      </c>
      <c r="E61" s="225">
        <v>984056</v>
      </c>
      <c r="F61" s="210">
        <v>30574876474</v>
      </c>
      <c r="G61" s="211" t="str">
        <f>IFERROR(IF(compras_mes9[[#This Row],[CUIT]]="","-",VLOOKUP(compras_mes9[[#This Row],[CUIT]],Lista_CUIT[#All],2,0)),"CUIT NO CARGADO")</f>
        <v>AUTOPISTAS URBANAS S A</v>
      </c>
      <c r="H61" s="94">
        <v>102347.69</v>
      </c>
      <c r="I61" s="85">
        <f>IF(compras_mes9[[#This Row],[NETO GRAVADO]]="","",compras_mes9[[#This Row],[NETO GRAVADO]]*0.21)</f>
        <v>21493.014899999998</v>
      </c>
      <c r="J61" s="213"/>
      <c r="K61" s="213"/>
      <c r="L61" s="213"/>
      <c r="M61" s="213"/>
      <c r="N61" s="213"/>
      <c r="O61" s="213">
        <v>13305.18</v>
      </c>
      <c r="P61" s="214">
        <f>SUM(compras_mes9[[#This Row],[NETO GRAVADO]:[Otros / No Grav.]])</f>
        <v>137145.8849</v>
      </c>
      <c r="Q61" s="215" t="str">
        <f>IFERROR(IF(compras_mes9[[#This Row],[CUIT]]="","-",VLOOKUP(compras_mes9[[#This Row],[CUIT]],Lista_CUIT[#All],3,0)),"CUIT NO CARGADO")</f>
        <v>Peajes</v>
      </c>
      <c r="R61" s="215">
        <f>IFERROR(IF(compras_mes9[[#This Row],[CUIT]]="","-",VLOOKUP(compras_mes9[[#This Row],[CUIT]],Lista_CUIT[#All],4,0)),"CUIT NO CARGADO")</f>
        <v>0</v>
      </c>
    </row>
    <row r="62" spans="2:18" ht="15" customHeight="1" x14ac:dyDescent="0.25">
      <c r="B62" s="207" t="s">
        <v>2837</v>
      </c>
      <c r="C62" s="547">
        <v>1</v>
      </c>
      <c r="D62" s="209">
        <v>700</v>
      </c>
      <c r="E62" s="225">
        <v>2690248</v>
      </c>
      <c r="F62" s="210">
        <v>30715804812</v>
      </c>
      <c r="G62" s="211" t="str">
        <f>IFERROR(IF(compras_mes9[[#This Row],[CUIT]]="","-",VLOOKUP(compras_mes9[[#This Row],[CUIT]],Lista_CUIT[#All],2,0)),"CUIT NO CARGADO")</f>
        <v>CORREDORES VIALES SOCIEDAD ANONIMA</v>
      </c>
      <c r="H62" s="94">
        <v>8319.81</v>
      </c>
      <c r="I62" s="85">
        <f>IF(compras_mes9[[#This Row],[NETO GRAVADO]]="","",compras_mes9[[#This Row],[NETO GRAVADO]]*0.21)</f>
        <v>1747.1600999999998</v>
      </c>
      <c r="J62" s="85"/>
      <c r="K62" s="85"/>
      <c r="L62" s="85"/>
      <c r="M62" s="85"/>
      <c r="N62" s="85"/>
      <c r="O62" s="85"/>
      <c r="P62" s="48">
        <f>SUM(compras_mes9[[#This Row],[NETO GRAVADO]:[Otros / No Grav.]])</f>
        <v>10066.970099999999</v>
      </c>
      <c r="Q62" s="215" t="str">
        <f>IFERROR(IF(compras_mes9[[#This Row],[CUIT]]="","-",VLOOKUP(compras_mes9[[#This Row],[CUIT]],Lista_CUIT[#All],3,0)),"CUIT NO CARGADO")</f>
        <v>Peajes</v>
      </c>
      <c r="R62" s="215">
        <f>IFERROR(IF(compras_mes9[[#This Row],[CUIT]]="","-",VLOOKUP(compras_mes9[[#This Row],[CUIT]],Lista_CUIT[#All],4,0)),"CUIT NO CARGADO")</f>
        <v>0</v>
      </c>
    </row>
    <row r="63" spans="2:18" ht="15" customHeight="1" x14ac:dyDescent="0.25">
      <c r="B63" s="207" t="s">
        <v>2817</v>
      </c>
      <c r="C63" s="547">
        <v>1</v>
      </c>
      <c r="D63" s="209">
        <v>5</v>
      </c>
      <c r="E63" s="225">
        <v>7219</v>
      </c>
      <c r="F63" s="210">
        <v>20367393042</v>
      </c>
      <c r="G63" s="211" t="str">
        <f>IFERROR(IF(compras_mes9[[#This Row],[CUIT]]="","-",VLOOKUP(compras_mes9[[#This Row],[CUIT]],Lista_CUIT[#All],2,0)),"CUIT NO CARGADO")</f>
        <v>RITACCO RODRIGO</v>
      </c>
      <c r="H63" s="212">
        <v>59900</v>
      </c>
      <c r="I63" s="85">
        <f>IF(compras_mes9[[#This Row],[NETO GRAVADO]]="","",compras_mes9[[#This Row],[NETO GRAVADO]]*0.21)</f>
        <v>12579</v>
      </c>
      <c r="J63" s="213"/>
      <c r="K63" s="213"/>
      <c r="L63" s="213"/>
      <c r="M63" s="213"/>
      <c r="N63" s="213"/>
      <c r="O63" s="213"/>
      <c r="P63" s="214">
        <f>SUM(compras_mes9[[#This Row],[NETO GRAVADO]:[Otros / No Grav.]])</f>
        <v>72479</v>
      </c>
      <c r="Q63" s="215" t="str">
        <f>IFERROR(IF(compras_mes9[[#This Row],[CUIT]]="","-",VLOOKUP(compras_mes9[[#This Row],[CUIT]],Lista_CUIT[#All],3,0)),"CUIT NO CARGADO")</f>
        <v>Materia Prima</v>
      </c>
      <c r="R63" s="215">
        <f>IFERROR(IF(compras_mes9[[#This Row],[CUIT]]="","-",VLOOKUP(compras_mes9[[#This Row],[CUIT]],Lista_CUIT[#All],4,0)),"CUIT NO CARGADO")</f>
        <v>0</v>
      </c>
    </row>
    <row r="64" spans="2:18" ht="15" customHeight="1" x14ac:dyDescent="0.25">
      <c r="B64" s="207" t="s">
        <v>2817</v>
      </c>
      <c r="C64" s="547">
        <v>1</v>
      </c>
      <c r="D64" s="209">
        <v>8</v>
      </c>
      <c r="E64" s="225">
        <v>29582</v>
      </c>
      <c r="F64" s="210">
        <v>20309802021</v>
      </c>
      <c r="G64" s="211" t="str">
        <f>IFERROR(IF(compras_mes9[[#This Row],[CUIT]]="","-",VLOOKUP(compras_mes9[[#This Row],[CUIT]],Lista_CUIT[#All],2,0)),"CUIT NO CARGADO")</f>
        <v>BRUSCO ALEJANDRO RAUL</v>
      </c>
      <c r="H64" s="94">
        <v>94082.72</v>
      </c>
      <c r="I64" s="85">
        <f>IF(compras_mes9[[#This Row],[NETO GRAVADO]]="","",compras_mes9[[#This Row],[NETO GRAVADO]]*0.21)</f>
        <v>19757.371199999998</v>
      </c>
      <c r="J64" s="213"/>
      <c r="K64" s="213"/>
      <c r="L64" s="213"/>
      <c r="M64" s="213"/>
      <c r="N64" s="213"/>
      <c r="O64" s="213"/>
      <c r="P64" s="214">
        <f>SUM(compras_mes9[[#This Row],[NETO GRAVADO]:[Otros / No Grav.]])</f>
        <v>113840.0912</v>
      </c>
      <c r="Q64" s="215" t="s">
        <v>3059</v>
      </c>
      <c r="R64" s="215">
        <f>IFERROR(IF(compras_mes9[[#This Row],[CUIT]]="","-",VLOOKUP(compras_mes9[[#This Row],[CUIT]],Lista_CUIT[#All],4,0)),"CUIT NO CARGADO")</f>
        <v>0</v>
      </c>
    </row>
    <row r="65" spans="2:18" ht="15" customHeight="1" x14ac:dyDescent="0.25">
      <c r="B65" s="207" t="s">
        <v>2817</v>
      </c>
      <c r="C65" s="547">
        <v>1</v>
      </c>
      <c r="D65" s="209">
        <v>2</v>
      </c>
      <c r="E65" s="225">
        <v>30576</v>
      </c>
      <c r="F65" s="210">
        <v>30714946915</v>
      </c>
      <c r="G65" s="211" t="str">
        <f>IFERROR(IF(compras_mes9[[#This Row],[CUIT]]="","-",VLOOKUP(compras_mes9[[#This Row],[CUIT]],Lista_CUIT[#All],2,0)),"CUIT NO CARGADO")</f>
        <v>ONE LAB SOLUTIONS S.A.</v>
      </c>
      <c r="H65" s="212">
        <v>1029192</v>
      </c>
      <c r="I65" s="85">
        <f>IF(compras_mes9[[#This Row],[NETO GRAVADO]]="","",compras_mes9[[#This Row],[NETO GRAVADO]]*0.21)</f>
        <v>216130.31999999998</v>
      </c>
      <c r="J65" s="213"/>
      <c r="K65" s="213"/>
      <c r="L65" s="213"/>
      <c r="M65" s="213"/>
      <c r="N65" s="213"/>
      <c r="O65" s="213"/>
      <c r="P65" s="214">
        <f>SUM(compras_mes9[[#This Row],[NETO GRAVADO]:[Otros / No Grav.]])</f>
        <v>1245322.32</v>
      </c>
      <c r="Q65" s="215" t="s">
        <v>3065</v>
      </c>
      <c r="R65" s="215">
        <f>IFERROR(IF(compras_mes9[[#This Row],[CUIT]]="","-",VLOOKUP(compras_mes9[[#This Row],[CUIT]],Lista_CUIT[#All],4,0)),"CUIT NO CARGADO")</f>
        <v>0</v>
      </c>
    </row>
    <row r="66" spans="2:18" ht="15" customHeight="1" x14ac:dyDescent="0.25">
      <c r="B66" s="207" t="s">
        <v>2817</v>
      </c>
      <c r="C66" s="547">
        <v>1</v>
      </c>
      <c r="D66" s="209">
        <v>4</v>
      </c>
      <c r="E66" s="225">
        <v>47864</v>
      </c>
      <c r="F66" s="210">
        <v>20222524564</v>
      </c>
      <c r="G66" s="211" t="str">
        <f>IFERROR(IF(compras_mes9[[#This Row],[CUIT]]="","-",VLOOKUP(compras_mes9[[#This Row],[CUIT]],Lista_CUIT[#All],2,0)),"CUIT NO CARGADO")</f>
        <v>LECHUGA JULIO CESAR</v>
      </c>
      <c r="H66" s="94">
        <v>287272.71999999997</v>
      </c>
      <c r="I66" s="85">
        <f>IF(compras_mes9[[#This Row],[NETO GRAVADO]]="","",compras_mes9[[#This Row],[NETO GRAVADO]]*0.21)</f>
        <v>60327.271199999988</v>
      </c>
      <c r="J66" s="85"/>
      <c r="K66" s="85"/>
      <c r="L66" s="85"/>
      <c r="M66" s="85"/>
      <c r="N66" s="85"/>
      <c r="O66" s="85"/>
      <c r="P66" s="48">
        <f>SUM(compras_mes9[[#This Row],[NETO GRAVADO]:[Otros / No Grav.]])</f>
        <v>347599.99119999993</v>
      </c>
      <c r="Q66" s="215" t="s">
        <v>3059</v>
      </c>
      <c r="R66" s="215">
        <f>IFERROR(IF(compras_mes9[[#This Row],[CUIT]]="","-",VLOOKUP(compras_mes9[[#This Row],[CUIT]],Lista_CUIT[#All],4,0)),"CUIT NO CARGADO")</f>
        <v>0</v>
      </c>
    </row>
    <row r="67" spans="2:18" ht="15" customHeight="1" x14ac:dyDescent="0.25">
      <c r="B67" s="207" t="s">
        <v>2817</v>
      </c>
      <c r="C67" s="547">
        <v>1</v>
      </c>
      <c r="D67" s="209">
        <v>7</v>
      </c>
      <c r="E67" s="225">
        <v>99343</v>
      </c>
      <c r="F67" s="210">
        <v>30624066827</v>
      </c>
      <c r="G67" s="211" t="str">
        <f>IFERROR(IF(compras_mes9[[#This Row],[CUIT]]="","-",VLOOKUP(compras_mes9[[#This Row],[CUIT]],Lista_CUIT[#All],2,0)),"CUIT NO CARGADO")</f>
        <v>HECTOR HALABE Y OTROS</v>
      </c>
      <c r="H67" s="94">
        <v>40016.519999999997</v>
      </c>
      <c r="I67" s="85">
        <f>IF(compras_mes9[[#This Row],[NETO GRAVADO]]="","",compras_mes9[[#This Row],[NETO GRAVADO]]*0.21)</f>
        <v>8403.4691999999995</v>
      </c>
      <c r="J67" s="85"/>
      <c r="K67" s="85"/>
      <c r="L67" s="85"/>
      <c r="M67" s="85"/>
      <c r="N67" s="85"/>
      <c r="O67" s="85"/>
      <c r="P67" s="48">
        <f>SUM(compras_mes9[[#This Row],[NETO GRAVADO]:[Otros / No Grav.]])</f>
        <v>48419.989199999996</v>
      </c>
      <c r="Q67" s="215" t="str">
        <f>IFERROR(IF(compras_mes9[[#This Row],[CUIT]]="","-",VLOOKUP(compras_mes9[[#This Row],[CUIT]],Lista_CUIT[#All],3,0)),"CUIT NO CARGADO")</f>
        <v>Material de Empaque</v>
      </c>
      <c r="R67" s="215">
        <f>IFERROR(IF(compras_mes9[[#This Row],[CUIT]]="","-",VLOOKUP(compras_mes9[[#This Row],[CUIT]],Lista_CUIT[#All],4,0)),"CUIT NO CARGADO")</f>
        <v>0</v>
      </c>
    </row>
    <row r="68" spans="2:18" ht="15" customHeight="1" x14ac:dyDescent="0.25">
      <c r="B68" s="207" t="s">
        <v>2817</v>
      </c>
      <c r="C68" s="547">
        <v>1</v>
      </c>
      <c r="D68" s="209">
        <v>7</v>
      </c>
      <c r="E68" s="225">
        <v>99344</v>
      </c>
      <c r="F68" s="210">
        <v>30624066827</v>
      </c>
      <c r="G68" s="211" t="str">
        <f>IFERROR(IF(compras_mes9[[#This Row],[CUIT]]="","-",VLOOKUP(compras_mes9[[#This Row],[CUIT]],Lista_CUIT[#All],2,0)),"CUIT NO CARGADO")</f>
        <v>HECTOR HALABE Y OTROS</v>
      </c>
      <c r="H68" s="46">
        <v>43413.24</v>
      </c>
      <c r="I68" s="85">
        <f>IF(compras_mes9[[#This Row],[NETO GRAVADO]]="","",compras_mes9[[#This Row],[NETO GRAVADO]]*0.21)</f>
        <v>9116.7803999999996</v>
      </c>
      <c r="J68" s="213"/>
      <c r="K68" s="213"/>
      <c r="L68" s="213"/>
      <c r="M68" s="213"/>
      <c r="N68" s="213"/>
      <c r="O68" s="213"/>
      <c r="P68" s="214">
        <f>SUM(compras_mes9[[#This Row],[NETO GRAVADO]:[Otros / No Grav.]])</f>
        <v>52530.020399999994</v>
      </c>
      <c r="Q68" s="215" t="str">
        <f>IFERROR(IF(compras_mes9[[#This Row],[CUIT]]="","-",VLOOKUP(compras_mes9[[#This Row],[CUIT]],Lista_CUIT[#All],3,0)),"CUIT NO CARGADO")</f>
        <v>Material de Empaque</v>
      </c>
      <c r="R68" s="215">
        <f>IFERROR(IF(compras_mes9[[#This Row],[CUIT]]="","-",VLOOKUP(compras_mes9[[#This Row],[CUIT]],Lista_CUIT[#All],4,0)),"CUIT NO CARGADO")</f>
        <v>0</v>
      </c>
    </row>
    <row r="69" spans="2:18" ht="15" customHeight="1" x14ac:dyDescent="0.25">
      <c r="B69" s="207" t="s">
        <v>2817</v>
      </c>
      <c r="C69" s="547">
        <v>1</v>
      </c>
      <c r="D69" s="209">
        <v>7</v>
      </c>
      <c r="E69" s="225">
        <v>99345</v>
      </c>
      <c r="F69" s="210">
        <v>30624066827</v>
      </c>
      <c r="G69" s="211" t="str">
        <f>IFERROR(IF(compras_mes9[[#This Row],[CUIT]]="","-",VLOOKUP(compras_mes9[[#This Row],[CUIT]],Lista_CUIT[#All],2,0)),"CUIT NO CARGADO")</f>
        <v>HECTOR HALABE Y OTROS</v>
      </c>
      <c r="H69" s="46">
        <v>40016.519999999997</v>
      </c>
      <c r="I69" s="85">
        <f>IF(compras_mes9[[#This Row],[NETO GRAVADO]]="","",compras_mes9[[#This Row],[NETO GRAVADO]]*0.21)</f>
        <v>8403.4691999999995</v>
      </c>
      <c r="J69" s="213"/>
      <c r="K69" s="213"/>
      <c r="L69" s="213"/>
      <c r="M69" s="213"/>
      <c r="N69" s="213"/>
      <c r="O69" s="213"/>
      <c r="P69" s="214">
        <f>SUM(compras_mes9[[#This Row],[NETO GRAVADO]:[Otros / No Grav.]])</f>
        <v>48419.989199999996</v>
      </c>
      <c r="Q69" s="215" t="str">
        <f>IFERROR(IF(compras_mes9[[#This Row],[CUIT]]="","-",VLOOKUP(compras_mes9[[#This Row],[CUIT]],Lista_CUIT[#All],3,0)),"CUIT NO CARGADO")</f>
        <v>Material de Empaque</v>
      </c>
      <c r="R69" s="215">
        <f>IFERROR(IF(compras_mes9[[#This Row],[CUIT]]="","-",VLOOKUP(compras_mes9[[#This Row],[CUIT]],Lista_CUIT[#All],4,0)),"CUIT NO CARGADO")</f>
        <v>0</v>
      </c>
    </row>
    <row r="70" spans="2:18" ht="15" customHeight="1" x14ac:dyDescent="0.25">
      <c r="B70" s="40" t="s">
        <v>2817</v>
      </c>
      <c r="C70" s="547">
        <v>1</v>
      </c>
      <c r="D70" s="42">
        <v>6</v>
      </c>
      <c r="E70" s="43">
        <v>106473</v>
      </c>
      <c r="F70" s="44">
        <v>30709382019</v>
      </c>
      <c r="G70" s="45" t="str">
        <f>IFERROR(IF(compras_mes9[[#This Row],[CUIT]]="","-",VLOOKUP(compras_mes9[[#This Row],[CUIT]],Lista_CUIT[#All],2,0)),"CUIT NO CARGADO")</f>
        <v>G - COMMERCE S.A.</v>
      </c>
      <c r="H70" s="94">
        <v>77355.37</v>
      </c>
      <c r="I70" s="85">
        <f>IF(compras_mes9[[#This Row],[NETO GRAVADO]]="","",compras_mes9[[#This Row],[NETO GRAVADO]]*0.21)</f>
        <v>16244.627699999999</v>
      </c>
      <c r="J70" s="85"/>
      <c r="K70" s="85"/>
      <c r="L70" s="85"/>
      <c r="M70" s="85"/>
      <c r="N70" s="85"/>
      <c r="O70" s="85"/>
      <c r="P70" s="48">
        <f>SUM(compras_mes9[[#This Row],[NETO GRAVADO]:[Otros / No Grav.]])</f>
        <v>93599.997699999993</v>
      </c>
      <c r="Q70" s="49" t="str">
        <f>IFERROR(IF(compras_mes9[[#This Row],[CUIT]]="","-",VLOOKUP(compras_mes9[[#This Row],[CUIT]],Lista_CUIT[#All],3,0)),"CUIT NO CARGADO")</f>
        <v>Material de Empaque</v>
      </c>
      <c r="R70" s="49">
        <f>IFERROR(IF(compras_mes9[[#This Row],[CUIT]]="","-",VLOOKUP(compras_mes9[[#This Row],[CUIT]],Lista_CUIT[#All],4,0)),"CUIT NO CARGADO")</f>
        <v>0</v>
      </c>
    </row>
    <row r="71" spans="2:18" ht="15" customHeight="1" x14ac:dyDescent="0.25">
      <c r="B71" s="207" t="s">
        <v>2817</v>
      </c>
      <c r="C71" s="547">
        <v>1</v>
      </c>
      <c r="D71" s="209">
        <v>3101</v>
      </c>
      <c r="E71" s="225">
        <v>366844</v>
      </c>
      <c r="F71" s="210">
        <v>30678814357</v>
      </c>
      <c r="G71" s="211" t="str">
        <f>IFERROR(IF(compras_mes9[[#This Row],[CUIT]]="","-",VLOOKUP(compras_mes9[[#This Row],[CUIT]],Lista_CUIT[#All],2,0)),"CUIT NO CARGADO")</f>
        <v>TELEFONICA MOVILES ARG</v>
      </c>
      <c r="H71" s="212">
        <v>19398.8</v>
      </c>
      <c r="I71" s="85" t="s">
        <v>2411</v>
      </c>
      <c r="J71" s="213">
        <f>compras_mes9[[#This Row],[NETO GRAVADO]]*0.27</f>
        <v>5237.6760000000004</v>
      </c>
      <c r="K71" s="213"/>
      <c r="L71" s="213"/>
      <c r="M71" s="213"/>
      <c r="N71" s="213"/>
      <c r="O71" s="213">
        <v>1745.89</v>
      </c>
      <c r="P71" s="214">
        <f>SUM(compras_mes9[[#This Row],[NETO GRAVADO]:[Otros / No Grav.]])</f>
        <v>26382.365999999998</v>
      </c>
      <c r="Q71" s="215" t="str">
        <f>IFERROR(IF(compras_mes9[[#This Row],[CUIT]]="","-",VLOOKUP(compras_mes9[[#This Row],[CUIT]],Lista_CUIT[#All],3,0)),"CUIT NO CARGADO")</f>
        <v>Servicios Gas, Luz, etc.</v>
      </c>
      <c r="R71" s="215">
        <f>IFERROR(IF(compras_mes9[[#This Row],[CUIT]]="","-",VLOOKUP(compras_mes9[[#This Row],[CUIT]],Lista_CUIT[#All],4,0)),"CUIT NO CARGADO")</f>
        <v>0</v>
      </c>
    </row>
    <row r="72" spans="2:18" ht="15" customHeight="1" x14ac:dyDescent="0.25">
      <c r="B72" s="207" t="s">
        <v>2838</v>
      </c>
      <c r="C72" s="547">
        <v>1</v>
      </c>
      <c r="D72" s="209">
        <v>4</v>
      </c>
      <c r="E72" s="225">
        <v>815</v>
      </c>
      <c r="F72" s="210">
        <v>27317740196</v>
      </c>
      <c r="G72" s="211" t="str">
        <f>IFERROR(IF(compras_mes9[[#This Row],[CUIT]]="","-",VLOOKUP(compras_mes9[[#This Row],[CUIT]],Lista_CUIT[#All],2,0)),"CUIT NO CARGADO")</f>
        <v>HOKAMA ROMINA PAOLA</v>
      </c>
      <c r="H72" s="94">
        <v>46824.78</v>
      </c>
      <c r="I72" s="85">
        <f>IF(compras_mes9[[#This Row],[NETO GRAVADO]]="","",compras_mes9[[#This Row],[NETO GRAVADO]]*0.21)</f>
        <v>9833.2037999999993</v>
      </c>
      <c r="J72" s="85"/>
      <c r="K72" s="85"/>
      <c r="L72" s="85"/>
      <c r="M72" s="85"/>
      <c r="N72" s="85"/>
      <c r="O72" s="85"/>
      <c r="P72" s="48">
        <f>SUM(compras_mes9[[#This Row],[NETO GRAVADO]:[Otros / No Grav.]])</f>
        <v>56657.983800000002</v>
      </c>
      <c r="Q72" s="215" t="str">
        <f>IFERROR(IF(compras_mes9[[#This Row],[CUIT]]="","-",VLOOKUP(compras_mes9[[#This Row],[CUIT]],Lista_CUIT[#All],3,0)),"CUIT NO CARGADO")</f>
        <v>Gastos Varios</v>
      </c>
      <c r="R72" s="215">
        <f>IFERROR(IF(compras_mes9[[#This Row],[CUIT]]="","-",VLOOKUP(compras_mes9[[#This Row],[CUIT]],Lista_CUIT[#All],4,0)),"CUIT NO CARGADO")</f>
        <v>0</v>
      </c>
    </row>
    <row r="73" spans="2:18" ht="15" customHeight="1" x14ac:dyDescent="0.25">
      <c r="B73" s="207" t="s">
        <v>2838</v>
      </c>
      <c r="C73" s="547">
        <v>1</v>
      </c>
      <c r="D73" s="209">
        <v>2</v>
      </c>
      <c r="E73" s="225">
        <v>4146</v>
      </c>
      <c r="F73" s="210">
        <v>30629863571</v>
      </c>
      <c r="G73" s="211" t="str">
        <f>IFERROR(IF(compras_mes9[[#This Row],[CUIT]]="","-",VLOOKUP(compras_mes9[[#This Row],[CUIT]],Lista_CUIT[#All],2,0)),"CUIT NO CARGADO")</f>
        <v>TECNIMAR S R L</v>
      </c>
      <c r="H73" s="212">
        <v>1827712</v>
      </c>
      <c r="I73" s="85">
        <f>IF(compras_mes9[[#This Row],[NETO GRAVADO]]="","",compras_mes9[[#This Row],[NETO GRAVADO]]*0.21)</f>
        <v>383819.51999999996</v>
      </c>
      <c r="J73" s="213"/>
      <c r="K73" s="213"/>
      <c r="L73" s="213"/>
      <c r="M73" s="213"/>
      <c r="N73" s="213"/>
      <c r="O73" s="213"/>
      <c r="P73" s="214">
        <f>SUM(compras_mes9[[#This Row],[NETO GRAVADO]:[Otros / No Grav.]])</f>
        <v>2211531.52</v>
      </c>
      <c r="Q73" s="215" t="str">
        <f>IFERROR(IF(compras_mes9[[#This Row],[CUIT]]="","-",VLOOKUP(compras_mes9[[#This Row],[CUIT]],Lista_CUIT[#All],3,0)),"CUIT NO CARGADO")</f>
        <v>Productos Venta</v>
      </c>
      <c r="R73" s="215">
        <f>IFERROR(IF(compras_mes9[[#This Row],[CUIT]]="","-",VLOOKUP(compras_mes9[[#This Row],[CUIT]],Lista_CUIT[#All],4,0)),"CUIT NO CARGADO")</f>
        <v>0</v>
      </c>
    </row>
    <row r="74" spans="2:18" ht="15" customHeight="1" x14ac:dyDescent="0.25">
      <c r="B74" s="207" t="s">
        <v>2838</v>
      </c>
      <c r="C74" s="547">
        <v>1</v>
      </c>
      <c r="D74" s="209">
        <v>2</v>
      </c>
      <c r="E74" s="225">
        <v>4149</v>
      </c>
      <c r="F74" s="210">
        <v>30629863571</v>
      </c>
      <c r="G74" s="211" t="str">
        <f>IFERROR(IF(compras_mes9[[#This Row],[CUIT]]="","-",VLOOKUP(compras_mes9[[#This Row],[CUIT]],Lista_CUIT[#All],2,0)),"CUIT NO CARGADO")</f>
        <v>TECNIMAR S R L</v>
      </c>
      <c r="H74" s="46">
        <v>976910</v>
      </c>
      <c r="I74" s="85">
        <f>IF(compras_mes9[[#This Row],[NETO GRAVADO]]="","",compras_mes9[[#This Row],[NETO GRAVADO]]*0.21)</f>
        <v>205151.1</v>
      </c>
      <c r="J74" s="213"/>
      <c r="K74" s="213"/>
      <c r="L74" s="213"/>
      <c r="M74" s="213"/>
      <c r="N74" s="213"/>
      <c r="O74" s="213"/>
      <c r="P74" s="214">
        <f>SUM(compras_mes9[[#This Row],[NETO GRAVADO]:[Otros / No Grav.]])</f>
        <v>1182061.1000000001</v>
      </c>
      <c r="Q74" s="215" t="str">
        <f>IFERROR(IF(compras_mes9[[#This Row],[CUIT]]="","-",VLOOKUP(compras_mes9[[#This Row],[CUIT]],Lista_CUIT[#All],3,0)),"CUIT NO CARGADO")</f>
        <v>Productos Venta</v>
      </c>
      <c r="R74" s="215">
        <f>IFERROR(IF(compras_mes9[[#This Row],[CUIT]]="","-",VLOOKUP(compras_mes9[[#This Row],[CUIT]],Lista_CUIT[#All],4,0)),"CUIT NO CARGADO")</f>
        <v>0</v>
      </c>
    </row>
    <row r="75" spans="2:18" ht="15" customHeight="1" x14ac:dyDescent="0.25">
      <c r="B75" s="207" t="s">
        <v>2838</v>
      </c>
      <c r="C75" s="547">
        <v>1</v>
      </c>
      <c r="D75" s="209">
        <v>210</v>
      </c>
      <c r="E75" s="225">
        <v>5109</v>
      </c>
      <c r="F75" s="210">
        <v>30592097482</v>
      </c>
      <c r="G75" s="211" t="str">
        <f>IFERROR(IF(compras_mes9[[#This Row],[CUIT]]="","-",VLOOKUP(compras_mes9[[#This Row],[CUIT]],Lista_CUIT[#All],2,0)),"CUIT NO CARGADO")</f>
        <v>ED GAR SOCIEDAD ANONIMA</v>
      </c>
      <c r="H75" s="212">
        <v>60743.8</v>
      </c>
      <c r="I75" s="85">
        <f>IF(compras_mes9[[#This Row],[NETO GRAVADO]]="","",compras_mes9[[#This Row],[NETO GRAVADO]]*0.21)</f>
        <v>12756.198</v>
      </c>
      <c r="J75" s="213"/>
      <c r="K75" s="213"/>
      <c r="L75" s="213"/>
      <c r="M75" s="213"/>
      <c r="N75" s="213"/>
      <c r="O75" s="213">
        <v>3644.63</v>
      </c>
      <c r="P75" s="214">
        <f>SUM(compras_mes9[[#This Row],[NETO GRAVADO]:[Otros / No Grav.]])</f>
        <v>77144.628000000012</v>
      </c>
      <c r="Q75" s="215" t="str">
        <f>IFERROR(IF(compras_mes9[[#This Row],[CUIT]]="","-",VLOOKUP(compras_mes9[[#This Row],[CUIT]],Lista_CUIT[#All],3,0)),"CUIT NO CARGADO")</f>
        <v>LIBRERÍA</v>
      </c>
      <c r="R75" s="215">
        <f>IFERROR(IF(compras_mes9[[#This Row],[CUIT]]="","-",VLOOKUP(compras_mes9[[#This Row],[CUIT]],Lista_CUIT[#All],4,0)),"CUIT NO CARGADO")</f>
        <v>0</v>
      </c>
    </row>
    <row r="76" spans="2:18" ht="15" customHeight="1" x14ac:dyDescent="0.25">
      <c r="B76" s="207" t="s">
        <v>2838</v>
      </c>
      <c r="C76" s="547">
        <v>1</v>
      </c>
      <c r="D76" s="209">
        <v>210</v>
      </c>
      <c r="E76" s="225">
        <v>5110</v>
      </c>
      <c r="F76" s="210">
        <v>30592097482</v>
      </c>
      <c r="G76" s="211" t="str">
        <f>IFERROR(IF(compras_mes9[[#This Row],[CUIT]]="","-",VLOOKUP(compras_mes9[[#This Row],[CUIT]],Lista_CUIT[#All],2,0)),"CUIT NO CARGADO")</f>
        <v>ED GAR SOCIEDAD ANONIMA</v>
      </c>
      <c r="H76" s="94">
        <v>60743.8</v>
      </c>
      <c r="I76" s="85">
        <f>IF(compras_mes9[[#This Row],[NETO GRAVADO]]="","",compras_mes9[[#This Row],[NETO GRAVADO]]*0.21)</f>
        <v>12756.198</v>
      </c>
      <c r="J76" s="85"/>
      <c r="K76" s="85"/>
      <c r="L76" s="85"/>
      <c r="M76" s="85"/>
      <c r="N76" s="85"/>
      <c r="O76" s="85">
        <v>3644.63</v>
      </c>
      <c r="P76" s="48">
        <f>SUM(compras_mes9[[#This Row],[NETO GRAVADO]:[Otros / No Grav.]])</f>
        <v>77144.628000000012</v>
      </c>
      <c r="Q76" s="215" t="str">
        <f>IFERROR(IF(compras_mes9[[#This Row],[CUIT]]="","-",VLOOKUP(compras_mes9[[#This Row],[CUIT]],Lista_CUIT[#All],3,0)),"CUIT NO CARGADO")</f>
        <v>LIBRERÍA</v>
      </c>
      <c r="R76" s="215">
        <f>IFERROR(IF(compras_mes9[[#This Row],[CUIT]]="","-",VLOOKUP(compras_mes9[[#This Row],[CUIT]],Lista_CUIT[#All],4,0)),"CUIT NO CARGADO")</f>
        <v>0</v>
      </c>
    </row>
    <row r="77" spans="2:18" ht="15" customHeight="1" x14ac:dyDescent="0.25">
      <c r="B77" s="207" t="s">
        <v>2838</v>
      </c>
      <c r="C77" s="547">
        <v>1</v>
      </c>
      <c r="D77" s="209">
        <v>210</v>
      </c>
      <c r="E77" s="225">
        <v>5111</v>
      </c>
      <c r="F77" s="210">
        <v>30592097482</v>
      </c>
      <c r="G77" s="211" t="str">
        <f>IFERROR(IF(compras_mes9[[#This Row],[CUIT]]="","-",VLOOKUP(compras_mes9[[#This Row],[CUIT]],Lista_CUIT[#All],2,0)),"CUIT NO CARGADO")</f>
        <v>ED GAR SOCIEDAD ANONIMA</v>
      </c>
      <c r="H77" s="94">
        <v>60743.8</v>
      </c>
      <c r="I77" s="85">
        <f>IF(compras_mes9[[#This Row],[NETO GRAVADO]]="","",compras_mes9[[#This Row],[NETO GRAVADO]]*0.21)</f>
        <v>12756.198</v>
      </c>
      <c r="J77" s="85"/>
      <c r="K77" s="85"/>
      <c r="L77" s="85"/>
      <c r="M77" s="85"/>
      <c r="N77" s="85"/>
      <c r="O77" s="85">
        <v>3644.63</v>
      </c>
      <c r="P77" s="48">
        <f>SUM(compras_mes9[[#This Row],[NETO GRAVADO]:[Otros / No Grav.]])</f>
        <v>77144.628000000012</v>
      </c>
      <c r="Q77" s="215" t="str">
        <f>IFERROR(IF(compras_mes9[[#This Row],[CUIT]]="","-",VLOOKUP(compras_mes9[[#This Row],[CUIT]],Lista_CUIT[#All],3,0)),"CUIT NO CARGADO")</f>
        <v>LIBRERÍA</v>
      </c>
      <c r="R77" s="215">
        <f>IFERROR(IF(compras_mes9[[#This Row],[CUIT]]="","-",VLOOKUP(compras_mes9[[#This Row],[CUIT]],Lista_CUIT[#All],4,0)),"CUIT NO CARGADO")</f>
        <v>0</v>
      </c>
    </row>
    <row r="78" spans="2:18" ht="15" customHeight="1" x14ac:dyDescent="0.25">
      <c r="B78" s="207" t="s">
        <v>2838</v>
      </c>
      <c r="C78" s="547">
        <v>1</v>
      </c>
      <c r="D78" s="209">
        <v>5</v>
      </c>
      <c r="E78" s="225">
        <v>23153</v>
      </c>
      <c r="F78" s="210">
        <v>30616146447</v>
      </c>
      <c r="G78" s="211" t="str">
        <f>IFERROR(IF(compras_mes9[[#This Row],[CUIT]]="","-",VLOOKUP(compras_mes9[[#This Row],[CUIT]],Lista_CUIT[#All],2,0)),"CUIT NO CARGADO")</f>
        <v>EGEO SOCIEDAD DE RESPONSABILIDAD LIMITADA</v>
      </c>
      <c r="H78" s="94">
        <v>300000</v>
      </c>
      <c r="I78" s="85">
        <f>IF(compras_mes9[[#This Row],[NETO GRAVADO]]="","",compras_mes9[[#This Row],[NETO GRAVADO]]*0.21)</f>
        <v>63000</v>
      </c>
      <c r="J78" s="85"/>
      <c r="K78" s="85"/>
      <c r="L78" s="85"/>
      <c r="M78" s="85"/>
      <c r="N78" s="85"/>
      <c r="O78" s="85"/>
      <c r="P78" s="48">
        <f>SUM(compras_mes9[[#This Row],[NETO GRAVADO]:[Otros / No Grav.]])</f>
        <v>363000</v>
      </c>
      <c r="Q78" s="215" t="str">
        <f>IFERROR(IF(compras_mes9[[#This Row],[CUIT]]="","-",VLOOKUP(compras_mes9[[#This Row],[CUIT]],Lista_CUIT[#All],3,0)),"CUIT NO CARGADO")</f>
        <v>Productos Venta</v>
      </c>
      <c r="R78" s="215">
        <f>IFERROR(IF(compras_mes9[[#This Row],[CUIT]]="","-",VLOOKUP(compras_mes9[[#This Row],[CUIT]],Lista_CUIT[#All],4,0)),"CUIT NO CARGADO")</f>
        <v>0</v>
      </c>
    </row>
    <row r="79" spans="2:18" ht="15" customHeight="1" x14ac:dyDescent="0.25">
      <c r="B79" s="207" t="s">
        <v>2838</v>
      </c>
      <c r="C79" s="547">
        <v>1</v>
      </c>
      <c r="D79" s="209">
        <v>2199</v>
      </c>
      <c r="E79" s="225">
        <v>39016</v>
      </c>
      <c r="F79" s="210">
        <v>30548083156</v>
      </c>
      <c r="G79" s="211" t="str">
        <f>IFERROR(IF(compras_mes9[[#This Row],[CUIT]]="","-",VLOOKUP(compras_mes9[[#This Row],[CUIT]],Lista_CUIT[#All],2,0)),"CUIT NO CARGADO")</f>
        <v>COTO CENTRO INTEGRAL DE COMERCIALIZACION SOCIEDAD ANONIMA</v>
      </c>
      <c r="H79" s="46">
        <v>85002.93</v>
      </c>
      <c r="I79" s="85">
        <v>14288.11</v>
      </c>
      <c r="J79" s="213"/>
      <c r="K79" s="213">
        <v>1781.25</v>
      </c>
      <c r="L79" s="213"/>
      <c r="M79" s="213"/>
      <c r="N79" s="213"/>
      <c r="O79" s="213">
        <v>6897.5</v>
      </c>
      <c r="P79" s="214">
        <f>SUM(compras_mes9[[#This Row],[NETO GRAVADO]:[Otros / No Grav.]])</f>
        <v>107969.79</v>
      </c>
      <c r="Q79" s="215" t="str">
        <f>IFERROR(IF(compras_mes9[[#This Row],[CUIT]]="","-",VLOOKUP(compras_mes9[[#This Row],[CUIT]],Lista_CUIT[#All],3,0)),"CUIT NO CARGADO")</f>
        <v>Gastos Varios</v>
      </c>
      <c r="R79" s="215">
        <f>IFERROR(IF(compras_mes9[[#This Row],[CUIT]]="","-",VLOOKUP(compras_mes9[[#This Row],[CUIT]],Lista_CUIT[#All],4,0)),"CUIT NO CARGADO")</f>
        <v>0</v>
      </c>
    </row>
    <row r="80" spans="2:18" ht="15" customHeight="1" x14ac:dyDescent="0.25">
      <c r="B80" s="207" t="s">
        <v>2838</v>
      </c>
      <c r="C80" s="547">
        <v>1</v>
      </c>
      <c r="D80" s="209">
        <v>2024</v>
      </c>
      <c r="E80" s="225">
        <v>56424</v>
      </c>
      <c r="F80" s="210">
        <v>30516186670</v>
      </c>
      <c r="G80" s="211" t="str">
        <f>IFERROR(IF(compras_mes9[[#This Row],[CUIT]]="","-",VLOOKUP(compras_mes9[[#This Row],[CUIT]],Lista_CUIT[#All],2,0)),"CUIT NO CARGADO")</f>
        <v>DEHEZA S.A.I.C.F. e I.</v>
      </c>
      <c r="H80" s="94">
        <v>13600.8</v>
      </c>
      <c r="I80" s="85">
        <f>IF(compras_mes9[[#This Row],[NETO GRAVADO]]="","",compras_mes9[[#This Row],[NETO GRAVADO]]*0.21)</f>
        <v>2856.1679999999997</v>
      </c>
      <c r="J80" s="85"/>
      <c r="K80" s="85"/>
      <c r="L80" s="85"/>
      <c r="M80" s="85"/>
      <c r="N80" s="85"/>
      <c r="O80" s="85">
        <v>4963.28</v>
      </c>
      <c r="P80" s="48">
        <f>SUM(compras_mes9[[#This Row],[NETO GRAVADO]:[Otros / No Grav.]])</f>
        <v>21420.248</v>
      </c>
      <c r="Q80" s="215" t="str">
        <f>IFERROR(IF(compras_mes9[[#This Row],[CUIT]]="","-",VLOOKUP(compras_mes9[[#This Row],[CUIT]],Lista_CUIT[#All],3,0)),"CUIT NO CARGADO")</f>
        <v>Combustible</v>
      </c>
      <c r="R80" s="215" t="str">
        <f>IFERROR(IF(compras_mes9[[#This Row],[CUIT]]="","-",VLOOKUP(compras_mes9[[#This Row],[CUIT]],Lista_CUIT[#All],4,0)),"CUIT NO CARGADO")</f>
        <v>CABA</v>
      </c>
    </row>
    <row r="81" spans="2:18" ht="15" customHeight="1" x14ac:dyDescent="0.25">
      <c r="B81" s="378" t="s">
        <v>2838</v>
      </c>
      <c r="C81" s="547">
        <v>1</v>
      </c>
      <c r="D81" s="379">
        <v>1678</v>
      </c>
      <c r="E81" s="380">
        <v>61791</v>
      </c>
      <c r="F81" s="381">
        <v>30589621499</v>
      </c>
      <c r="G81" s="382" t="str">
        <f>IFERROR(IF(compras_mes9[[#This Row],[CUIT]]="","-",VLOOKUP(compras_mes9[[#This Row],[CUIT]],Lista_CUIT[#All],2,0)),"CUIT NO CARGADO")</f>
        <v>MAKRO SA</v>
      </c>
      <c r="H81" s="383">
        <v>64830.16</v>
      </c>
      <c r="I81" s="85">
        <f>IF(compras_mes9[[#This Row],[NETO GRAVADO]]="","",compras_mes9[[#This Row],[NETO GRAVADO]]*0.21)</f>
        <v>13614.3336</v>
      </c>
      <c r="J81" s="384"/>
      <c r="K81" s="384"/>
      <c r="L81" s="384"/>
      <c r="M81" s="384"/>
      <c r="N81" s="384"/>
      <c r="O81" s="384">
        <v>5834.71</v>
      </c>
      <c r="P81" s="385">
        <f>SUM(compras_mes9[[#This Row],[NETO GRAVADO]:[Otros / No Grav.]])</f>
        <v>84279.203600000008</v>
      </c>
      <c r="Q81" s="386" t="str">
        <f>IFERROR(IF(compras_mes9[[#This Row],[CUIT]]="","-",VLOOKUP(compras_mes9[[#This Row],[CUIT]],Lista_CUIT[#All],3,0)),"CUIT NO CARGADO")</f>
        <v>Gastos Varios</v>
      </c>
      <c r="R81" s="386">
        <f>IFERROR(IF(compras_mes9[[#This Row],[CUIT]]="","-",VLOOKUP(compras_mes9[[#This Row],[CUIT]],Lista_CUIT[#All],4,0)),"CUIT NO CARGADO")</f>
        <v>0</v>
      </c>
    </row>
    <row r="82" spans="2:18" ht="15" customHeight="1" x14ac:dyDescent="0.25">
      <c r="B82" s="207" t="s">
        <v>2818</v>
      </c>
      <c r="C82" s="547">
        <v>1</v>
      </c>
      <c r="D82" s="209">
        <v>2</v>
      </c>
      <c r="E82" s="225">
        <v>4150</v>
      </c>
      <c r="F82" s="210">
        <v>30629863571</v>
      </c>
      <c r="G82" s="211" t="str">
        <f>IFERROR(IF(compras_mes9[[#This Row],[CUIT]]="","-",VLOOKUP(compras_mes9[[#This Row],[CUIT]],Lista_CUIT[#All],2,0)),"CUIT NO CARGADO")</f>
        <v>TECNIMAR S R L</v>
      </c>
      <c r="H82" s="94">
        <v>1284000</v>
      </c>
      <c r="I82" s="85">
        <f>IF(compras_mes9[[#This Row],[NETO GRAVADO]]="","",compras_mes9[[#This Row],[NETO GRAVADO]]*0.21)</f>
        <v>269640</v>
      </c>
      <c r="J82" s="213"/>
      <c r="K82" s="213"/>
      <c r="L82" s="213"/>
      <c r="M82" s="213"/>
      <c r="N82" s="213"/>
      <c r="O82" s="213"/>
      <c r="P82" s="214">
        <f>SUM(compras_mes9[[#This Row],[NETO GRAVADO]:[Otros / No Grav.]])</f>
        <v>1553640</v>
      </c>
      <c r="Q82" s="215" t="str">
        <f>IFERROR(IF(compras_mes9[[#This Row],[CUIT]]="","-",VLOOKUP(compras_mes9[[#This Row],[CUIT]],Lista_CUIT[#All],3,0)),"CUIT NO CARGADO")</f>
        <v>Productos Venta</v>
      </c>
      <c r="R82" s="215">
        <f>IFERROR(IF(compras_mes9[[#This Row],[CUIT]]="","-",VLOOKUP(compras_mes9[[#This Row],[CUIT]],Lista_CUIT[#All],4,0)),"CUIT NO CARGADO")</f>
        <v>0</v>
      </c>
    </row>
    <row r="83" spans="2:18" ht="15" customHeight="1" x14ac:dyDescent="0.25">
      <c r="B83" s="207" t="s">
        <v>2818</v>
      </c>
      <c r="C83" s="547">
        <v>1</v>
      </c>
      <c r="D83" s="209">
        <v>67</v>
      </c>
      <c r="E83" s="225">
        <v>6987</v>
      </c>
      <c r="F83" s="210">
        <v>30692272591</v>
      </c>
      <c r="G83" s="211" t="str">
        <f>IFERROR(IF(compras_mes9[[#This Row],[CUIT]]="","-",VLOOKUP(compras_mes9[[#This Row],[CUIT]],Lista_CUIT[#All],2,0)),"CUIT NO CARGADO")</f>
        <v>NORAUTO ARGENTINA SA</v>
      </c>
      <c r="H83" s="94">
        <v>33049.589999999997</v>
      </c>
      <c r="I83" s="85">
        <f>IF(compras_mes9[[#This Row],[NETO GRAVADO]]="","",compras_mes9[[#This Row],[NETO GRAVADO]]*0.21)</f>
        <v>6940.4138999999986</v>
      </c>
      <c r="J83" s="213"/>
      <c r="K83" s="213"/>
      <c r="L83" s="213"/>
      <c r="M83" s="213"/>
      <c r="N83" s="213"/>
      <c r="O83" s="213">
        <v>1982.98</v>
      </c>
      <c r="P83" s="214">
        <f>SUM(compras_mes9[[#This Row],[NETO GRAVADO]:[Otros / No Grav.]])</f>
        <v>41972.983899999999</v>
      </c>
      <c r="Q83" s="215">
        <f>IFERROR(IF(compras_mes9[[#This Row],[CUIT]]="","-",VLOOKUP(compras_mes9[[#This Row],[CUIT]],Lista_CUIT[#All],3,0)),"CUIT NO CARGADO")</f>
        <v>0</v>
      </c>
      <c r="R83" s="215">
        <f>IFERROR(IF(compras_mes9[[#This Row],[CUIT]]="","-",VLOOKUP(compras_mes9[[#This Row],[CUIT]],Lista_CUIT[#All],4,0)),"CUIT NO CARGADO")</f>
        <v>0</v>
      </c>
    </row>
    <row r="84" spans="2:18" ht="15" customHeight="1" x14ac:dyDescent="0.25">
      <c r="B84" s="207" t="s">
        <v>2818</v>
      </c>
      <c r="C84" s="547">
        <v>1</v>
      </c>
      <c r="D84" s="209">
        <v>3</v>
      </c>
      <c r="E84" s="225">
        <v>11844</v>
      </c>
      <c r="F84" s="210">
        <v>30658667374</v>
      </c>
      <c r="G84" s="211" t="str">
        <f>IFERROR(IF(compras_mes9[[#This Row],[CUIT]]="","-",VLOOKUP(compras_mes9[[#This Row],[CUIT]],Lista_CUIT[#All],2,0)),"CUIT NO CARGADO")</f>
        <v>SASUAR SRL</v>
      </c>
      <c r="H84" s="94">
        <v>8218245</v>
      </c>
      <c r="I84" s="85">
        <f>IF(compras_mes9[[#This Row],[NETO GRAVADO]]="","",compras_mes9[[#This Row],[NETO GRAVADO]]*0.21)</f>
        <v>1725831.45</v>
      </c>
      <c r="J84" s="85"/>
      <c r="K84" s="85"/>
      <c r="L84" s="85"/>
      <c r="M84" s="85"/>
      <c r="N84" s="85"/>
      <c r="O84" s="85"/>
      <c r="P84" s="48">
        <f>SUM(compras_mes9[[#This Row],[NETO GRAVADO]:[Otros / No Grav.]])</f>
        <v>9944076.4499999993</v>
      </c>
      <c r="Q84" s="215" t="str">
        <f>IFERROR(IF(compras_mes9[[#This Row],[CUIT]]="","-",VLOOKUP(compras_mes9[[#This Row],[CUIT]],Lista_CUIT[#All],3,0)),"CUIT NO CARGADO")</f>
        <v>Materia Prima</v>
      </c>
      <c r="R84" s="215">
        <f>IFERROR(IF(compras_mes9[[#This Row],[CUIT]]="","-",VLOOKUP(compras_mes9[[#This Row],[CUIT]],Lista_CUIT[#All],4,0)),"CUIT NO CARGADO")</f>
        <v>0</v>
      </c>
    </row>
    <row r="85" spans="2:18" ht="15" customHeight="1" x14ac:dyDescent="0.25">
      <c r="B85" s="207" t="s">
        <v>2839</v>
      </c>
      <c r="C85" s="547">
        <v>1</v>
      </c>
      <c r="D85" s="209">
        <v>8</v>
      </c>
      <c r="E85" s="225">
        <v>2174</v>
      </c>
      <c r="F85" s="210">
        <v>27292799433</v>
      </c>
      <c r="G85" s="211" t="str">
        <f>IFERROR(IF(compras_mes9[[#This Row],[CUIT]]="","-",VLOOKUP(compras_mes9[[#This Row],[CUIT]],Lista_CUIT[#All],2,0)),"CUIT NO CARGADO")</f>
        <v>SILVA CLAUDIA LORENA</v>
      </c>
      <c r="H85" s="212">
        <v>10537.19</v>
      </c>
      <c r="I85" s="85">
        <f>IF(compras_mes9[[#This Row],[NETO GRAVADO]]="","",compras_mes9[[#This Row],[NETO GRAVADO]]*0.21)</f>
        <v>2212.8099000000002</v>
      </c>
      <c r="J85" s="213"/>
      <c r="K85" s="213"/>
      <c r="L85" s="213"/>
      <c r="M85" s="213"/>
      <c r="N85" s="213"/>
      <c r="O85" s="213"/>
      <c r="P85" s="214">
        <f>SUM(compras_mes9[[#This Row],[NETO GRAVADO]:[Otros / No Grav.]])</f>
        <v>12749.999900000001</v>
      </c>
      <c r="Q85" s="215" t="s">
        <v>2555</v>
      </c>
      <c r="R85" s="215">
        <f>IFERROR(IF(compras_mes9[[#This Row],[CUIT]]="","-",VLOOKUP(compras_mes9[[#This Row],[CUIT]],Lista_CUIT[#All],4,0)),"CUIT NO CARGADO")</f>
        <v>0</v>
      </c>
    </row>
    <row r="86" spans="2:18" ht="15" customHeight="1" x14ac:dyDescent="0.25">
      <c r="B86" s="207" t="s">
        <v>2839</v>
      </c>
      <c r="C86" s="547">
        <v>1</v>
      </c>
      <c r="D86" s="209">
        <v>8</v>
      </c>
      <c r="E86" s="225">
        <v>2175</v>
      </c>
      <c r="F86" s="210">
        <v>27292799433</v>
      </c>
      <c r="G86" s="211" t="str">
        <f>IFERROR(IF(compras_mes9[[#This Row],[CUIT]]="","-",VLOOKUP(compras_mes9[[#This Row],[CUIT]],Lista_CUIT[#All],2,0)),"CUIT NO CARGADO")</f>
        <v>SILVA CLAUDIA LORENA</v>
      </c>
      <c r="H86" s="46">
        <v>21074.38</v>
      </c>
      <c r="I86" s="85">
        <f>IF(compras_mes9[[#This Row],[NETO GRAVADO]]="","",compras_mes9[[#This Row],[NETO GRAVADO]]*0.21)</f>
        <v>4425.6198000000004</v>
      </c>
      <c r="J86" s="213"/>
      <c r="K86" s="213"/>
      <c r="L86" s="213"/>
      <c r="M86" s="213"/>
      <c r="N86" s="213"/>
      <c r="O86" s="85"/>
      <c r="P86" s="214">
        <f>SUM(compras_mes9[[#This Row],[NETO GRAVADO]:[Otros / No Grav.]])</f>
        <v>25499.999800000001</v>
      </c>
      <c r="Q86" s="215" t="s">
        <v>2555</v>
      </c>
      <c r="R86" s="215">
        <f>IFERROR(IF(compras_mes9[[#This Row],[CUIT]]="","-",VLOOKUP(compras_mes9[[#This Row],[CUIT]],Lista_CUIT[#All],4,0)),"CUIT NO CARGADO")</f>
        <v>0</v>
      </c>
    </row>
    <row r="87" spans="2:18" ht="15" customHeight="1" x14ac:dyDescent="0.25">
      <c r="B87" s="207" t="s">
        <v>2839</v>
      </c>
      <c r="C87" s="547">
        <v>1</v>
      </c>
      <c r="D87" s="209">
        <v>8</v>
      </c>
      <c r="E87" s="225">
        <v>2176</v>
      </c>
      <c r="F87" s="210">
        <v>27292799433</v>
      </c>
      <c r="G87" s="211" t="str">
        <f>IFERROR(IF(compras_mes9[[#This Row],[CUIT]]="","-",VLOOKUP(compras_mes9[[#This Row],[CUIT]],Lista_CUIT[#All],2,0)),"CUIT NO CARGADO")</f>
        <v>SILVA CLAUDIA LORENA</v>
      </c>
      <c r="H87" s="212">
        <v>21074.38</v>
      </c>
      <c r="I87" s="85">
        <f>IF(compras_mes9[[#This Row],[NETO GRAVADO]]="","",compras_mes9[[#This Row],[NETO GRAVADO]]*0.21)</f>
        <v>4425.6198000000004</v>
      </c>
      <c r="J87" s="213"/>
      <c r="K87" s="213"/>
      <c r="L87" s="213"/>
      <c r="M87" s="213"/>
      <c r="N87" s="213"/>
      <c r="O87" s="213"/>
      <c r="P87" s="214">
        <f>SUM(compras_mes9[[#This Row],[NETO GRAVADO]:[Otros / No Grav.]])</f>
        <v>25499.999800000001</v>
      </c>
      <c r="Q87" s="215" t="s">
        <v>2555</v>
      </c>
      <c r="R87" s="215">
        <f>IFERROR(IF(compras_mes9[[#This Row],[CUIT]]="","-",VLOOKUP(compras_mes9[[#This Row],[CUIT]],Lista_CUIT[#All],4,0)),"CUIT NO CARGADO")</f>
        <v>0</v>
      </c>
    </row>
    <row r="88" spans="2:18" ht="15" customHeight="1" x14ac:dyDescent="0.25">
      <c r="B88" s="207" t="s">
        <v>2839</v>
      </c>
      <c r="C88" s="547">
        <v>1</v>
      </c>
      <c r="D88" s="209">
        <v>8</v>
      </c>
      <c r="E88" s="225">
        <v>2177</v>
      </c>
      <c r="F88" s="210">
        <v>27292799433</v>
      </c>
      <c r="G88" s="211" t="str">
        <f>IFERROR(IF(compras_mes9[[#This Row],[CUIT]]="","-",VLOOKUP(compras_mes9[[#This Row],[CUIT]],Lista_CUIT[#All],2,0)),"CUIT NO CARGADO")</f>
        <v>SILVA CLAUDIA LORENA</v>
      </c>
      <c r="H88" s="94">
        <v>21074.38</v>
      </c>
      <c r="I88" s="85">
        <f>IF(compras_mes9[[#This Row],[NETO GRAVADO]]="","",compras_mes9[[#This Row],[NETO GRAVADO]]*0.21)</f>
        <v>4425.6198000000004</v>
      </c>
      <c r="J88" s="85"/>
      <c r="K88" s="85"/>
      <c r="L88" s="85"/>
      <c r="M88" s="85"/>
      <c r="N88" s="85"/>
      <c r="O88" s="85"/>
      <c r="P88" s="48">
        <f>SUM(compras_mes9[[#This Row],[NETO GRAVADO]:[Otros / No Grav.]])</f>
        <v>25499.999800000001</v>
      </c>
      <c r="Q88" s="215" t="s">
        <v>2555</v>
      </c>
      <c r="R88" s="215">
        <f>IFERROR(IF(compras_mes9[[#This Row],[CUIT]]="","-",VLOOKUP(compras_mes9[[#This Row],[CUIT]],Lista_CUIT[#All],4,0)),"CUIT NO CARGADO")</f>
        <v>0</v>
      </c>
    </row>
    <row r="89" spans="2:18" ht="15" customHeight="1" x14ac:dyDescent="0.25">
      <c r="B89" s="207" t="s">
        <v>2839</v>
      </c>
      <c r="C89" s="547">
        <v>1</v>
      </c>
      <c r="D89" s="209">
        <v>8</v>
      </c>
      <c r="E89" s="225">
        <v>2178</v>
      </c>
      <c r="F89" s="210">
        <v>27292799433</v>
      </c>
      <c r="G89" s="211" t="str">
        <f>IFERROR(IF(compras_mes9[[#This Row],[CUIT]]="","-",VLOOKUP(compras_mes9[[#This Row],[CUIT]],Lista_CUIT[#All],2,0)),"CUIT NO CARGADO")</f>
        <v>SILVA CLAUDIA LORENA</v>
      </c>
      <c r="H89" s="94">
        <v>21074.38</v>
      </c>
      <c r="I89" s="85">
        <f>IF(compras_mes9[[#This Row],[NETO GRAVADO]]="","",compras_mes9[[#This Row],[NETO GRAVADO]]*0.21)</f>
        <v>4425.6198000000004</v>
      </c>
      <c r="J89" s="85"/>
      <c r="K89" s="85"/>
      <c r="L89" s="85"/>
      <c r="M89" s="85"/>
      <c r="N89" s="85"/>
      <c r="O89" s="85"/>
      <c r="P89" s="48">
        <f>SUM(compras_mes9[[#This Row],[NETO GRAVADO]:[Otros / No Grav.]])</f>
        <v>25499.999800000001</v>
      </c>
      <c r="Q89" s="215" t="s">
        <v>2555</v>
      </c>
      <c r="R89" s="215">
        <f>IFERROR(IF(compras_mes9[[#This Row],[CUIT]]="","-",VLOOKUP(compras_mes9[[#This Row],[CUIT]],Lista_CUIT[#All],4,0)),"CUIT NO CARGADO")</f>
        <v>0</v>
      </c>
    </row>
    <row r="90" spans="2:18" ht="15" customHeight="1" x14ac:dyDescent="0.25">
      <c r="B90" s="546">
        <v>45912</v>
      </c>
      <c r="C90" s="547">
        <v>1</v>
      </c>
      <c r="D90" s="487">
        <v>32</v>
      </c>
      <c r="E90" s="548">
        <v>3424</v>
      </c>
      <c r="F90" s="549">
        <v>30696106068</v>
      </c>
      <c r="G90" s="550" t="str">
        <f>IFERROR(IF(compras_mes9[[#This Row],[CUIT]]="","-",VLOOKUP(compras_mes9[[#This Row],[CUIT]],Lista_CUIT[#All],2,0)),"CUIT NO CARGADO")</f>
        <v>PINTURERIAS LIBERATO SRL</v>
      </c>
      <c r="H90" s="551">
        <v>41912.71</v>
      </c>
      <c r="I90" s="552">
        <f>IF(compras_mes9[[#This Row],[NETO GRAVADO]]="","",compras_mes9[[#This Row],[NETO GRAVADO]]*0.21)</f>
        <v>8801.6690999999992</v>
      </c>
      <c r="J90" s="552"/>
      <c r="K90" s="552"/>
      <c r="L90" s="574"/>
      <c r="M90" s="552"/>
      <c r="N90" s="552"/>
      <c r="O90" s="552"/>
      <c r="P90" s="553">
        <f>SUM(compras_mes9[[#This Row],[NETO GRAVADO]:[Otros / No Grav.]])</f>
        <v>50714.379099999998</v>
      </c>
      <c r="Q90" s="554" t="str">
        <f>IFERROR(IF(compras_mes9[[#This Row],[CUIT]]="","-",VLOOKUP(compras_mes9[[#This Row],[CUIT]],Lista_CUIT[#All],3,0)),"CUIT NO CARGADO")</f>
        <v>Mantenimiento Locales</v>
      </c>
      <c r="R90" s="554">
        <f>IFERROR(IF(compras_mes9[[#This Row],[CUIT]]="","-",VLOOKUP(compras_mes9[[#This Row],[CUIT]],Lista_CUIT[#All],4,0)),"CUIT NO CARGADO")</f>
        <v>0</v>
      </c>
    </row>
    <row r="91" spans="2:18" ht="15" customHeight="1" x14ac:dyDescent="0.25">
      <c r="B91" s="207" t="s">
        <v>2839</v>
      </c>
      <c r="C91" s="547">
        <v>1</v>
      </c>
      <c r="D91" s="209">
        <v>589</v>
      </c>
      <c r="E91" s="225">
        <v>3810</v>
      </c>
      <c r="F91" s="210">
        <v>30590360763</v>
      </c>
      <c r="G91" s="211" t="str">
        <f>IFERROR(IF(compras_mes9[[#This Row],[CUIT]]="","-",VLOOKUP(compras_mes9[[#This Row],[CUIT]],Lista_CUIT[#All],2,0)),"CUIT NO CARGADO")</f>
        <v>CENCOSUD S.A</v>
      </c>
      <c r="H91" s="46">
        <v>87093.99</v>
      </c>
      <c r="I91" s="85">
        <v>17303.400000000001</v>
      </c>
      <c r="J91" s="213"/>
      <c r="K91" s="213">
        <v>493.17</v>
      </c>
      <c r="L91" s="213"/>
      <c r="M91" s="213"/>
      <c r="N91" s="213"/>
      <c r="O91" s="213">
        <v>7768</v>
      </c>
      <c r="P91" s="214">
        <f>SUM(compras_mes9[[#This Row],[NETO GRAVADO]:[Otros / No Grav.]])</f>
        <v>112658.56000000001</v>
      </c>
      <c r="Q91" s="215" t="str">
        <f>IFERROR(IF(compras_mes9[[#This Row],[CUIT]]="","-",VLOOKUP(compras_mes9[[#This Row],[CUIT]],Lista_CUIT[#All],3,0)),"CUIT NO CARGADO")</f>
        <v>Gastos Varios</v>
      </c>
      <c r="R91" s="215">
        <f>IFERROR(IF(compras_mes9[[#This Row],[CUIT]]="","-",VLOOKUP(compras_mes9[[#This Row],[CUIT]],Lista_CUIT[#All],4,0)),"CUIT NO CARGADO")</f>
        <v>0</v>
      </c>
    </row>
    <row r="92" spans="2:18" ht="15" customHeight="1" x14ac:dyDescent="0.25">
      <c r="B92" s="207" t="s">
        <v>2839</v>
      </c>
      <c r="C92" s="547">
        <v>1</v>
      </c>
      <c r="D92" s="209">
        <v>4</v>
      </c>
      <c r="E92" s="225">
        <v>6673</v>
      </c>
      <c r="F92" s="210">
        <v>30716006391</v>
      </c>
      <c r="G92" s="211" t="str">
        <f>IFERROR(IF(compras_mes9[[#This Row],[CUIT]]="","-",VLOOKUP(compras_mes9[[#This Row],[CUIT]],Lista_CUIT[#All],2,0)),"CUIT NO CARGADO")</f>
        <v>ALISSING</v>
      </c>
      <c r="H92" s="94">
        <v>27588.1</v>
      </c>
      <c r="I92" s="85">
        <f>IF(compras_mes9[[#This Row],[NETO GRAVADO]]="","",compras_mes9[[#This Row],[NETO GRAVADO]]*0.21)</f>
        <v>5793.5009999999993</v>
      </c>
      <c r="J92" s="85"/>
      <c r="K92" s="85"/>
      <c r="L92" s="85"/>
      <c r="M92" s="85"/>
      <c r="N92" s="85"/>
      <c r="O92" s="85"/>
      <c r="P92" s="48">
        <f>SUM(compras_mes9[[#This Row],[NETO GRAVADO]:[Otros / No Grav.]])</f>
        <v>33381.600999999995</v>
      </c>
      <c r="Q92" s="215" t="str">
        <f>IFERROR(IF(compras_mes9[[#This Row],[CUIT]]="","-",VLOOKUP(compras_mes9[[#This Row],[CUIT]],Lista_CUIT[#All],3,0)),"CUIT NO CARGADO")</f>
        <v>Gastos Varios</v>
      </c>
      <c r="R92" s="215">
        <f>IFERROR(IF(compras_mes9[[#This Row],[CUIT]]="","-",VLOOKUP(compras_mes9[[#This Row],[CUIT]],Lista_CUIT[#All],4,0)),"CUIT NO CARGADO")</f>
        <v>0</v>
      </c>
    </row>
    <row r="93" spans="2:18" ht="15" customHeight="1" x14ac:dyDescent="0.25">
      <c r="B93" s="207" t="s">
        <v>2839</v>
      </c>
      <c r="C93" s="547">
        <v>1</v>
      </c>
      <c r="D93" s="209">
        <v>4</v>
      </c>
      <c r="E93" s="225">
        <v>6674</v>
      </c>
      <c r="F93" s="210">
        <v>30716006391</v>
      </c>
      <c r="G93" s="211" t="str">
        <f>IFERROR(IF(compras_mes9[[#This Row],[CUIT]]="","-",VLOOKUP(compras_mes9[[#This Row],[CUIT]],Lista_CUIT[#All],2,0)),"CUIT NO CARGADO")</f>
        <v>ALISSING</v>
      </c>
      <c r="H93" s="94">
        <v>13794.05</v>
      </c>
      <c r="I93" s="85">
        <f>IF(compras_mes9[[#This Row],[NETO GRAVADO]]="","",compras_mes9[[#This Row],[NETO GRAVADO]]*0.21)</f>
        <v>2896.7504999999996</v>
      </c>
      <c r="J93" s="213"/>
      <c r="K93" s="213"/>
      <c r="L93" s="213"/>
      <c r="M93" s="213"/>
      <c r="N93" s="213"/>
      <c r="O93" s="213"/>
      <c r="P93" s="214">
        <f>SUM(compras_mes9[[#This Row],[NETO GRAVADO]:[Otros / No Grav.]])</f>
        <v>16690.800499999998</v>
      </c>
      <c r="Q93" s="215" t="str">
        <f>IFERROR(IF(compras_mes9[[#This Row],[CUIT]]="","-",VLOOKUP(compras_mes9[[#This Row],[CUIT]],Lista_CUIT[#All],3,0)),"CUIT NO CARGADO")</f>
        <v>Gastos Varios</v>
      </c>
      <c r="R93" s="215">
        <f>IFERROR(IF(compras_mes9[[#This Row],[CUIT]]="","-",VLOOKUP(compras_mes9[[#This Row],[CUIT]],Lista_CUIT[#All],4,0)),"CUIT NO CARGADO")</f>
        <v>0</v>
      </c>
    </row>
    <row r="94" spans="2:18" ht="15" customHeight="1" x14ac:dyDescent="0.25">
      <c r="B94" s="207" t="s">
        <v>2839</v>
      </c>
      <c r="C94" s="547">
        <v>1</v>
      </c>
      <c r="D94" s="209">
        <v>4</v>
      </c>
      <c r="E94" s="225">
        <v>6675</v>
      </c>
      <c r="F94" s="210">
        <v>30716006391</v>
      </c>
      <c r="G94" s="211" t="str">
        <f>IFERROR(IF(compras_mes9[[#This Row],[CUIT]]="","-",VLOOKUP(compras_mes9[[#This Row],[CUIT]],Lista_CUIT[#All],2,0)),"CUIT NO CARGADO")</f>
        <v>ALISSING</v>
      </c>
      <c r="H94" s="46">
        <v>27588.1</v>
      </c>
      <c r="I94" s="85">
        <f>IF(compras_mes9[[#This Row],[NETO GRAVADO]]="","",compras_mes9[[#This Row],[NETO GRAVADO]]*0.21)</f>
        <v>5793.5009999999993</v>
      </c>
      <c r="J94" s="213"/>
      <c r="K94" s="213"/>
      <c r="L94" s="213"/>
      <c r="M94" s="213"/>
      <c r="N94" s="213"/>
      <c r="O94" s="213"/>
      <c r="P94" s="214">
        <f>SUM(compras_mes9[[#This Row],[NETO GRAVADO]:[Otros / No Grav.]])</f>
        <v>33381.600999999995</v>
      </c>
      <c r="Q94" s="215" t="str">
        <f>IFERROR(IF(compras_mes9[[#This Row],[CUIT]]="","-",VLOOKUP(compras_mes9[[#This Row],[CUIT]],Lista_CUIT[#All],3,0)),"CUIT NO CARGADO")</f>
        <v>Gastos Varios</v>
      </c>
      <c r="R94" s="215">
        <f>IFERROR(IF(compras_mes9[[#This Row],[CUIT]]="","-",VLOOKUP(compras_mes9[[#This Row],[CUIT]],Lista_CUIT[#All],4,0)),"CUIT NO CARGADO")</f>
        <v>0</v>
      </c>
    </row>
    <row r="95" spans="2:18" ht="15" customHeight="1" x14ac:dyDescent="0.25">
      <c r="B95" s="207" t="s">
        <v>2839</v>
      </c>
      <c r="C95" s="547">
        <v>1</v>
      </c>
      <c r="D95" s="209">
        <v>4</v>
      </c>
      <c r="E95" s="225">
        <v>6676</v>
      </c>
      <c r="F95" s="210">
        <v>30716006391</v>
      </c>
      <c r="G95" s="211" t="str">
        <f>IFERROR(IF(compras_mes9[[#This Row],[CUIT]]="","-",VLOOKUP(compras_mes9[[#This Row],[CUIT]],Lista_CUIT[#All],2,0)),"CUIT NO CARGADO")</f>
        <v>ALISSING</v>
      </c>
      <c r="H95" s="46">
        <v>6897.02</v>
      </c>
      <c r="I95" s="85">
        <f>IF(compras_mes9[[#This Row],[NETO GRAVADO]]="","",compras_mes9[[#This Row],[NETO GRAVADO]]*0.21)</f>
        <v>1448.3742</v>
      </c>
      <c r="J95" s="213"/>
      <c r="K95" s="213"/>
      <c r="L95" s="213"/>
      <c r="M95" s="213"/>
      <c r="N95" s="213"/>
      <c r="O95" s="213"/>
      <c r="P95" s="214">
        <f>SUM(compras_mes9[[#This Row],[NETO GRAVADO]:[Otros / No Grav.]])</f>
        <v>8345.3942000000006</v>
      </c>
      <c r="Q95" s="215" t="str">
        <f>IFERROR(IF(compras_mes9[[#This Row],[CUIT]]="","-",VLOOKUP(compras_mes9[[#This Row],[CUIT]],Lista_CUIT[#All],3,0)),"CUIT NO CARGADO")</f>
        <v>Gastos Varios</v>
      </c>
      <c r="R95" s="215">
        <f>IFERROR(IF(compras_mes9[[#This Row],[CUIT]]="","-",VLOOKUP(compras_mes9[[#This Row],[CUIT]],Lista_CUIT[#All],4,0)),"CUIT NO CARGADO")</f>
        <v>0</v>
      </c>
    </row>
    <row r="96" spans="2:18" ht="15" customHeight="1" x14ac:dyDescent="0.25">
      <c r="B96" s="207" t="s">
        <v>2839</v>
      </c>
      <c r="C96" s="547">
        <v>1</v>
      </c>
      <c r="D96" s="209">
        <v>4</v>
      </c>
      <c r="E96" s="225">
        <v>6677</v>
      </c>
      <c r="F96" s="210">
        <v>30716006391</v>
      </c>
      <c r="G96" s="211" t="str">
        <f>IFERROR(IF(compras_mes9[[#This Row],[CUIT]]="","-",VLOOKUP(compras_mes9[[#This Row],[CUIT]],Lista_CUIT[#All],2,0)),"CUIT NO CARGADO")</f>
        <v>ALISSING</v>
      </c>
      <c r="H96" s="46">
        <v>27588.1</v>
      </c>
      <c r="I96" s="85">
        <f>IF(compras_mes9[[#This Row],[NETO GRAVADO]]="","",compras_mes9[[#This Row],[NETO GRAVADO]]*0.21)</f>
        <v>5793.5009999999993</v>
      </c>
      <c r="J96" s="213"/>
      <c r="K96" s="213"/>
      <c r="L96" s="213"/>
      <c r="M96" s="213"/>
      <c r="N96" s="213"/>
      <c r="O96" s="213"/>
      <c r="P96" s="214">
        <f>SUM(compras_mes9[[#This Row],[NETO GRAVADO]:[Otros / No Grav.]])</f>
        <v>33381.600999999995</v>
      </c>
      <c r="Q96" s="215" t="str">
        <f>IFERROR(IF(compras_mes9[[#This Row],[CUIT]]="","-",VLOOKUP(compras_mes9[[#This Row],[CUIT]],Lista_CUIT[#All],3,0)),"CUIT NO CARGADO")</f>
        <v>Gastos Varios</v>
      </c>
      <c r="R96" s="215">
        <f>IFERROR(IF(compras_mes9[[#This Row],[CUIT]]="","-",VLOOKUP(compras_mes9[[#This Row],[CUIT]],Lista_CUIT[#All],4,0)),"CUIT NO CARGADO")</f>
        <v>0</v>
      </c>
    </row>
    <row r="97" spans="2:18" ht="15" customHeight="1" x14ac:dyDescent="0.25">
      <c r="B97" s="89" t="s">
        <v>2839</v>
      </c>
      <c r="C97" s="547">
        <v>1</v>
      </c>
      <c r="D97" s="90">
        <v>6850</v>
      </c>
      <c r="E97" s="91">
        <v>27859</v>
      </c>
      <c r="F97" s="92">
        <v>30678774495</v>
      </c>
      <c r="G97" s="93" t="str">
        <f>IFERROR(IF(compras_mes9[[#This Row],[CUIT]]="","-",VLOOKUP(compras_mes9[[#This Row],[CUIT]],Lista_CUIT[#All],2,0)),"CUIT NO CARGADO")</f>
        <v>OPER. DE EST. DE SERV. SA</v>
      </c>
      <c r="H97" s="94">
        <v>14029.36</v>
      </c>
      <c r="I97" s="85">
        <f>IF(compras_mes9[[#This Row],[NETO GRAVADO]]="","",compras_mes9[[#This Row],[NETO GRAVADO]]*0.21)</f>
        <v>2946.1655999999998</v>
      </c>
      <c r="J97" s="86"/>
      <c r="K97" s="86"/>
      <c r="L97" s="86"/>
      <c r="M97" s="86"/>
      <c r="N97" s="86"/>
      <c r="O97" s="86">
        <v>3024.47</v>
      </c>
      <c r="P97" s="87">
        <f>SUM(compras_mes9[[#This Row],[NETO GRAVADO]:[Otros / No Grav.]])</f>
        <v>19999.995600000002</v>
      </c>
      <c r="Q97" s="88" t="str">
        <f>IFERROR(IF(compras_mes9[[#This Row],[CUIT]]="","-",VLOOKUP(compras_mes9[[#This Row],[CUIT]],Lista_CUIT[#All],3,0)),"CUIT NO CARGADO")</f>
        <v>Combustible</v>
      </c>
      <c r="R97" s="88">
        <f>IFERROR(IF(compras_mes9[[#This Row],[CUIT]]="","-",VLOOKUP(compras_mes9[[#This Row],[CUIT]],Lista_CUIT[#All],4,0)),"CUIT NO CARGADO")</f>
        <v>0</v>
      </c>
    </row>
    <row r="98" spans="2:18" ht="15" customHeight="1" x14ac:dyDescent="0.25">
      <c r="B98" s="207" t="s">
        <v>2839</v>
      </c>
      <c r="C98" s="547">
        <v>1</v>
      </c>
      <c r="D98" s="209">
        <v>2188</v>
      </c>
      <c r="E98" s="225">
        <v>157521</v>
      </c>
      <c r="F98" s="210">
        <v>30548083156</v>
      </c>
      <c r="G98" s="211" t="str">
        <f>IFERROR(IF(compras_mes9[[#This Row],[CUIT]]="","-",VLOOKUP(compras_mes9[[#This Row],[CUIT]],Lista_CUIT[#All],2,0)),"CUIT NO CARGADO")</f>
        <v>COTO CENTRO INTEGRAL DE COMERCIALIZACION SOCIEDAD ANONIMA</v>
      </c>
      <c r="H98" s="94">
        <v>42381.56</v>
      </c>
      <c r="I98" s="85">
        <v>5960.42</v>
      </c>
      <c r="J98" s="213"/>
      <c r="K98" s="213">
        <v>1469.86</v>
      </c>
      <c r="L98" s="213"/>
      <c r="M98" s="213"/>
      <c r="N98" s="213"/>
      <c r="O98" s="213">
        <v>3405.52</v>
      </c>
      <c r="P98" s="214">
        <f>SUM(compras_mes9[[#This Row],[NETO GRAVADO]:[Otros / No Grav.]])</f>
        <v>53217.359999999993</v>
      </c>
      <c r="Q98" s="215" t="str">
        <f>IFERROR(IF(compras_mes9[[#This Row],[CUIT]]="","-",VLOOKUP(compras_mes9[[#This Row],[CUIT]],Lista_CUIT[#All],3,0)),"CUIT NO CARGADO")</f>
        <v>Gastos Varios</v>
      </c>
      <c r="R98" s="215">
        <f>IFERROR(IF(compras_mes9[[#This Row],[CUIT]]="","-",VLOOKUP(compras_mes9[[#This Row],[CUIT]],Lista_CUIT[#All],4,0)),"CUIT NO CARGADO")</f>
        <v>0</v>
      </c>
    </row>
    <row r="99" spans="2:18" ht="15" customHeight="1" x14ac:dyDescent="0.25">
      <c r="B99" s="546" t="s">
        <v>2840</v>
      </c>
      <c r="C99" s="547">
        <v>3</v>
      </c>
      <c r="D99" s="487">
        <v>8</v>
      </c>
      <c r="E99" s="548">
        <v>351</v>
      </c>
      <c r="F99" s="549">
        <v>27292799433</v>
      </c>
      <c r="G99" s="550" t="str">
        <f>IFERROR(IF(compras_mes9[[#This Row],[CUIT]]="","-",VLOOKUP(compras_mes9[[#This Row],[CUIT]],Lista_CUIT[#All],2,0)),"CUIT NO CARGADO")</f>
        <v>SILVA CLAUDIA LORENA</v>
      </c>
      <c r="H99" s="551">
        <v>-10537.19</v>
      </c>
      <c r="I99" s="552">
        <f>IF(compras_mes9[[#This Row],[NETO GRAVADO]]="","",compras_mes9[[#This Row],[NETO GRAVADO]]*0.21)</f>
        <v>-2212.8099000000002</v>
      </c>
      <c r="J99" s="552"/>
      <c r="K99" s="552"/>
      <c r="L99" s="574"/>
      <c r="M99" s="552"/>
      <c r="N99" s="552"/>
      <c r="O99" s="552"/>
      <c r="P99" s="553">
        <f>SUM(compras_mes9[[#This Row],[NETO GRAVADO]:[Otros / No Grav.]])</f>
        <v>-12749.999900000001</v>
      </c>
      <c r="Q99" s="554" t="s">
        <v>2555</v>
      </c>
      <c r="R99" s="554">
        <f>IFERROR(IF(compras_mes9[[#This Row],[CUIT]]="","-",VLOOKUP(compras_mes9[[#This Row],[CUIT]],Lista_CUIT[#All],4,0)),"CUIT NO CARGADO")</f>
        <v>0</v>
      </c>
    </row>
    <row r="100" spans="2:18" ht="15" customHeight="1" x14ac:dyDescent="0.25">
      <c r="B100" s="378" t="s">
        <v>2840</v>
      </c>
      <c r="C100" s="547">
        <v>1</v>
      </c>
      <c r="D100" s="379">
        <v>4</v>
      </c>
      <c r="E100" s="380">
        <v>838</v>
      </c>
      <c r="F100" s="381">
        <v>27317740196</v>
      </c>
      <c r="G100" s="382" t="str">
        <f>IFERROR(IF(compras_mes9[[#This Row],[CUIT]]="","-",VLOOKUP(compras_mes9[[#This Row],[CUIT]],Lista_CUIT[#All],2,0)),"CUIT NO CARGADO")</f>
        <v>HOKAMA ROMINA PAOLA</v>
      </c>
      <c r="H100" s="383">
        <v>29414.04</v>
      </c>
      <c r="I100" s="85">
        <f>IF(compras_mes9[[#This Row],[NETO GRAVADO]]="","",compras_mes9[[#This Row],[NETO GRAVADO]]*0.21)</f>
        <v>6176.9484000000002</v>
      </c>
      <c r="J100" s="384"/>
      <c r="K100" s="384"/>
      <c r="L100" s="384"/>
      <c r="M100" s="384"/>
      <c r="N100" s="384"/>
      <c r="O100" s="384"/>
      <c r="P100" s="385">
        <f>SUM(compras_mes9[[#This Row],[NETO GRAVADO]:[Otros / No Grav.]])</f>
        <v>35590.988400000002</v>
      </c>
      <c r="Q100" s="386" t="str">
        <f>IFERROR(IF(compras_mes9[[#This Row],[CUIT]]="","-",VLOOKUP(compras_mes9[[#This Row],[CUIT]],Lista_CUIT[#All],3,0)),"CUIT NO CARGADO")</f>
        <v>Gastos Varios</v>
      </c>
      <c r="R100" s="386">
        <f>IFERROR(IF(compras_mes9[[#This Row],[CUIT]]="","-",VLOOKUP(compras_mes9[[#This Row],[CUIT]],Lista_CUIT[#All],4,0)),"CUIT NO CARGADO")</f>
        <v>0</v>
      </c>
    </row>
    <row r="101" spans="2:18" ht="15" customHeight="1" x14ac:dyDescent="0.25">
      <c r="B101" s="546" t="s">
        <v>2840</v>
      </c>
      <c r="C101" s="547">
        <v>3</v>
      </c>
      <c r="D101" s="487">
        <v>4</v>
      </c>
      <c r="E101" s="548">
        <v>1239</v>
      </c>
      <c r="F101" s="549">
        <v>30716006391</v>
      </c>
      <c r="G101" s="550" t="str">
        <f>IFERROR(IF(compras_mes9[[#This Row],[CUIT]]="","-",VLOOKUP(compras_mes9[[#This Row],[CUIT]],Lista_CUIT[#All],2,0)),"CUIT NO CARGADO")</f>
        <v>ALISSING</v>
      </c>
      <c r="H101" s="551">
        <v>-13794.05</v>
      </c>
      <c r="I101" s="552">
        <f>IF(compras_mes9[[#This Row],[NETO GRAVADO]]="","",compras_mes9[[#This Row],[NETO GRAVADO]]*0.21)</f>
        <v>-2896.7504999999996</v>
      </c>
      <c r="J101" s="552"/>
      <c r="K101" s="552"/>
      <c r="L101" s="574"/>
      <c r="M101" s="552"/>
      <c r="N101" s="552"/>
      <c r="O101" s="552"/>
      <c r="P101" s="553">
        <f>SUM(compras_mes9[[#This Row],[NETO GRAVADO]:[Otros / No Grav.]])</f>
        <v>-16690.800499999998</v>
      </c>
      <c r="Q101" s="554" t="str">
        <f>IFERROR(IF(compras_mes9[[#This Row],[CUIT]]="","-",VLOOKUP(compras_mes9[[#This Row],[CUIT]],Lista_CUIT[#All],3,0)),"CUIT NO CARGADO")</f>
        <v>Gastos Varios</v>
      </c>
      <c r="R101" s="554">
        <f>IFERROR(IF(compras_mes9[[#This Row],[CUIT]]="","-",VLOOKUP(compras_mes9[[#This Row],[CUIT]],Lista_CUIT[#All],4,0)),"CUIT NO CARGADO")</f>
        <v>0</v>
      </c>
    </row>
    <row r="102" spans="2:18" ht="15" customHeight="1" x14ac:dyDescent="0.25">
      <c r="B102" s="546" t="s">
        <v>2840</v>
      </c>
      <c r="C102" s="547">
        <v>3</v>
      </c>
      <c r="D102" s="487">
        <v>4</v>
      </c>
      <c r="E102" s="548">
        <v>1240</v>
      </c>
      <c r="F102" s="549">
        <v>30716006391</v>
      </c>
      <c r="G102" s="550" t="str">
        <f>IFERROR(IF(compras_mes9[[#This Row],[CUIT]]="","-",VLOOKUP(compras_mes9[[#This Row],[CUIT]],Lista_CUIT[#All],2,0)),"CUIT NO CARGADO")</f>
        <v>ALISSING</v>
      </c>
      <c r="H102" s="551">
        <v>-27588.1</v>
      </c>
      <c r="I102" s="552">
        <f>IF(compras_mes9[[#This Row],[NETO GRAVADO]]="","",compras_mes9[[#This Row],[NETO GRAVADO]]*0.21)</f>
        <v>-5793.5009999999993</v>
      </c>
      <c r="J102" s="552"/>
      <c r="K102" s="552"/>
      <c r="L102" s="574"/>
      <c r="M102" s="552"/>
      <c r="N102" s="552"/>
      <c r="O102" s="552"/>
      <c r="P102" s="553">
        <f>SUM(compras_mes9[[#This Row],[NETO GRAVADO]:[Otros / No Grav.]])</f>
        <v>-33381.600999999995</v>
      </c>
      <c r="Q102" s="554" t="str">
        <f>IFERROR(IF(compras_mes9[[#This Row],[CUIT]]="","-",VLOOKUP(compras_mes9[[#This Row],[CUIT]],Lista_CUIT[#All],3,0)),"CUIT NO CARGADO")</f>
        <v>Gastos Varios</v>
      </c>
      <c r="R102" s="554">
        <f>IFERROR(IF(compras_mes9[[#This Row],[CUIT]]="","-",VLOOKUP(compras_mes9[[#This Row],[CUIT]],Lista_CUIT[#All],4,0)),"CUIT NO CARGADO")</f>
        <v>0</v>
      </c>
    </row>
    <row r="103" spans="2:18" ht="15" customHeight="1" x14ac:dyDescent="0.25">
      <c r="B103" s="546" t="s">
        <v>2840</v>
      </c>
      <c r="C103" s="547">
        <v>3</v>
      </c>
      <c r="D103" s="487">
        <v>4</v>
      </c>
      <c r="E103" s="548">
        <v>1241</v>
      </c>
      <c r="F103" s="549">
        <v>30716006391</v>
      </c>
      <c r="G103" s="550" t="str">
        <f>IFERROR(IF(compras_mes9[[#This Row],[CUIT]]="","-",VLOOKUP(compras_mes9[[#This Row],[CUIT]],Lista_CUIT[#All],2,0)),"CUIT NO CARGADO")</f>
        <v>ALISSING</v>
      </c>
      <c r="H103" s="551">
        <v>-27588.1</v>
      </c>
      <c r="I103" s="552">
        <f>IF(compras_mes9[[#This Row],[NETO GRAVADO]]="","",compras_mes9[[#This Row],[NETO GRAVADO]]*0.21)</f>
        <v>-5793.5009999999993</v>
      </c>
      <c r="J103" s="552"/>
      <c r="K103" s="552"/>
      <c r="L103" s="574"/>
      <c r="M103" s="552"/>
      <c r="N103" s="552"/>
      <c r="O103" s="552"/>
      <c r="P103" s="553">
        <f>SUM(compras_mes9[[#This Row],[NETO GRAVADO]:[Otros / No Grav.]])</f>
        <v>-33381.600999999995</v>
      </c>
      <c r="Q103" s="554" t="str">
        <f>IFERROR(IF(compras_mes9[[#This Row],[CUIT]]="","-",VLOOKUP(compras_mes9[[#This Row],[CUIT]],Lista_CUIT[#All],3,0)),"CUIT NO CARGADO")</f>
        <v>Gastos Varios</v>
      </c>
      <c r="R103" s="554">
        <f>IFERROR(IF(compras_mes9[[#This Row],[CUIT]]="","-",VLOOKUP(compras_mes9[[#This Row],[CUIT]],Lista_CUIT[#All],4,0)),"CUIT NO CARGADO")</f>
        <v>0</v>
      </c>
    </row>
    <row r="104" spans="2:18" ht="15" customHeight="1" x14ac:dyDescent="0.25">
      <c r="B104" s="546" t="s">
        <v>2840</v>
      </c>
      <c r="C104" s="547">
        <v>3</v>
      </c>
      <c r="D104" s="487">
        <v>4</v>
      </c>
      <c r="E104" s="548">
        <v>1242</v>
      </c>
      <c r="F104" s="549">
        <v>30716006391</v>
      </c>
      <c r="G104" s="550" t="str">
        <f>IFERROR(IF(compras_mes9[[#This Row],[CUIT]]="","-",VLOOKUP(compras_mes9[[#This Row],[CUIT]],Lista_CUIT[#All],2,0)),"CUIT NO CARGADO")</f>
        <v>ALISSING</v>
      </c>
      <c r="H104" s="551">
        <v>-27588.1</v>
      </c>
      <c r="I104" s="552">
        <f>IF(compras_mes9[[#This Row],[NETO GRAVADO]]="","",compras_mes9[[#This Row],[NETO GRAVADO]]*0.21)</f>
        <v>-5793.5009999999993</v>
      </c>
      <c r="J104" s="552"/>
      <c r="K104" s="552"/>
      <c r="L104" s="574"/>
      <c r="M104" s="552"/>
      <c r="N104" s="552"/>
      <c r="O104" s="552"/>
      <c r="P104" s="553">
        <f>SUM(compras_mes9[[#This Row],[NETO GRAVADO]:[Otros / No Grav.]])</f>
        <v>-33381.600999999995</v>
      </c>
      <c r="Q104" s="554" t="str">
        <f>IFERROR(IF(compras_mes9[[#This Row],[CUIT]]="","-",VLOOKUP(compras_mes9[[#This Row],[CUIT]],Lista_CUIT[#All],3,0)),"CUIT NO CARGADO")</f>
        <v>Gastos Varios</v>
      </c>
      <c r="R104" s="554">
        <f>IFERROR(IF(compras_mes9[[#This Row],[CUIT]]="","-",VLOOKUP(compras_mes9[[#This Row],[CUIT]],Lista_CUIT[#All],4,0)),"CUIT NO CARGADO")</f>
        <v>0</v>
      </c>
    </row>
    <row r="105" spans="2:18" ht="15" customHeight="1" x14ac:dyDescent="0.25">
      <c r="B105" s="378" t="s">
        <v>2840</v>
      </c>
      <c r="C105" s="547">
        <v>1</v>
      </c>
      <c r="D105" s="379">
        <v>8</v>
      </c>
      <c r="E105" s="380">
        <v>2179</v>
      </c>
      <c r="F105" s="381">
        <v>27292799433</v>
      </c>
      <c r="G105" s="382" t="str">
        <f>IFERROR(IF(compras_mes9[[#This Row],[CUIT]]="","-",VLOOKUP(compras_mes9[[#This Row],[CUIT]],Lista_CUIT[#All],2,0)),"CUIT NO CARGADO")</f>
        <v>SILVA CLAUDIA LORENA</v>
      </c>
      <c r="H105" s="383">
        <v>10537.19</v>
      </c>
      <c r="I105" s="85">
        <f>IF(compras_mes9[[#This Row],[NETO GRAVADO]]="","",compras_mes9[[#This Row],[NETO GRAVADO]]*0.21)</f>
        <v>2212.8099000000002</v>
      </c>
      <c r="J105" s="384"/>
      <c r="K105" s="384"/>
      <c r="L105" s="384"/>
      <c r="M105" s="384"/>
      <c r="N105" s="384"/>
      <c r="O105" s="384"/>
      <c r="P105" s="385">
        <f>SUM(compras_mes9[[#This Row],[NETO GRAVADO]:[Otros / No Grav.]])</f>
        <v>12749.999900000001</v>
      </c>
      <c r="Q105" s="386" t="s">
        <v>2555</v>
      </c>
      <c r="R105" s="386">
        <f>IFERROR(IF(compras_mes9[[#This Row],[CUIT]]="","-",VLOOKUP(compras_mes9[[#This Row],[CUIT]],Lista_CUIT[#All],4,0)),"CUIT NO CARGADO")</f>
        <v>0</v>
      </c>
    </row>
    <row r="106" spans="2:18" ht="15" customHeight="1" x14ac:dyDescent="0.25">
      <c r="B106" s="207" t="s">
        <v>2840</v>
      </c>
      <c r="C106" s="547">
        <v>1</v>
      </c>
      <c r="D106" s="209">
        <v>13116</v>
      </c>
      <c r="E106" s="225">
        <v>4913</v>
      </c>
      <c r="F106" s="210">
        <v>30590360763</v>
      </c>
      <c r="G106" s="211" t="str">
        <f>IFERROR(IF(compras_mes9[[#This Row],[CUIT]]="","-",VLOOKUP(compras_mes9[[#This Row],[CUIT]],Lista_CUIT[#All],2,0)),"CUIT NO CARGADO")</f>
        <v>CENCOSUD S.A</v>
      </c>
      <c r="H106" s="94">
        <v>33152.28</v>
      </c>
      <c r="I106" s="85">
        <v>5464.13</v>
      </c>
      <c r="J106" s="85"/>
      <c r="K106" s="85">
        <v>748.93</v>
      </c>
      <c r="L106" s="85"/>
      <c r="M106" s="85"/>
      <c r="N106" s="85">
        <v>2945.28</v>
      </c>
      <c r="O106" s="85">
        <v>236.23</v>
      </c>
      <c r="P106" s="48">
        <f>SUM(compras_mes9[[#This Row],[NETO GRAVADO]:[Otros / No Grav.]])</f>
        <v>42546.85</v>
      </c>
      <c r="Q106" s="215" t="str">
        <f>IFERROR(IF(compras_mes9[[#This Row],[CUIT]]="","-",VLOOKUP(compras_mes9[[#This Row],[CUIT]],Lista_CUIT[#All],3,0)),"CUIT NO CARGADO")</f>
        <v>Gastos Varios</v>
      </c>
      <c r="R106" s="215">
        <f>IFERROR(IF(compras_mes9[[#This Row],[CUIT]]="","-",VLOOKUP(compras_mes9[[#This Row],[CUIT]],Lista_CUIT[#All],4,0)),"CUIT NO CARGADO")</f>
        <v>0</v>
      </c>
    </row>
    <row r="107" spans="2:18" ht="15" customHeight="1" x14ac:dyDescent="0.25">
      <c r="B107" s="378" t="s">
        <v>2840</v>
      </c>
      <c r="C107" s="547">
        <v>1</v>
      </c>
      <c r="D107" s="379">
        <v>4</v>
      </c>
      <c r="E107" s="380">
        <v>6698</v>
      </c>
      <c r="F107" s="381">
        <v>30716006391</v>
      </c>
      <c r="G107" s="382" t="str">
        <f>IFERROR(IF(compras_mes9[[#This Row],[CUIT]]="","-",VLOOKUP(compras_mes9[[#This Row],[CUIT]],Lista_CUIT[#All],2,0)),"CUIT NO CARGADO")</f>
        <v>ALISSING</v>
      </c>
      <c r="H107" s="383">
        <v>13794.05</v>
      </c>
      <c r="I107" s="85">
        <f>IF(compras_mes9[[#This Row],[NETO GRAVADO]]="","",compras_mes9[[#This Row],[NETO GRAVADO]]*0.21)</f>
        <v>2896.7504999999996</v>
      </c>
      <c r="J107" s="384"/>
      <c r="K107" s="384"/>
      <c r="L107" s="384"/>
      <c r="M107" s="384"/>
      <c r="N107" s="384"/>
      <c r="O107" s="384"/>
      <c r="P107" s="385">
        <f>SUM(compras_mes9[[#This Row],[NETO GRAVADO]:[Otros / No Grav.]])</f>
        <v>16690.800499999998</v>
      </c>
      <c r="Q107" s="386" t="str">
        <f>IFERROR(IF(compras_mes9[[#This Row],[CUIT]]="","-",VLOOKUP(compras_mes9[[#This Row],[CUIT]],Lista_CUIT[#All],3,0)),"CUIT NO CARGADO")</f>
        <v>Gastos Varios</v>
      </c>
      <c r="R107" s="386">
        <f>IFERROR(IF(compras_mes9[[#This Row],[CUIT]]="","-",VLOOKUP(compras_mes9[[#This Row],[CUIT]],Lista_CUIT[#All],4,0)),"CUIT NO CARGADO")</f>
        <v>0</v>
      </c>
    </row>
    <row r="108" spans="2:18" ht="15" customHeight="1" x14ac:dyDescent="0.25">
      <c r="B108" s="378" t="s">
        <v>2840</v>
      </c>
      <c r="C108" s="547">
        <v>1</v>
      </c>
      <c r="D108" s="379">
        <v>4</v>
      </c>
      <c r="E108" s="380">
        <v>6700</v>
      </c>
      <c r="F108" s="381">
        <v>30716006391</v>
      </c>
      <c r="G108" s="382" t="str">
        <f>IFERROR(IF(compras_mes9[[#This Row],[CUIT]]="","-",VLOOKUP(compras_mes9[[#This Row],[CUIT]],Lista_CUIT[#All],2,0)),"CUIT NO CARGADO")</f>
        <v>ALISSING</v>
      </c>
      <c r="H108" s="383">
        <v>13794.05</v>
      </c>
      <c r="I108" s="85">
        <f>IF(compras_mes9[[#This Row],[NETO GRAVADO]]="","",compras_mes9[[#This Row],[NETO GRAVADO]]*0.21)</f>
        <v>2896.7504999999996</v>
      </c>
      <c r="J108" s="384"/>
      <c r="K108" s="384"/>
      <c r="L108" s="384"/>
      <c r="M108" s="384"/>
      <c r="N108" s="384"/>
      <c r="O108" s="384"/>
      <c r="P108" s="385">
        <f>SUM(compras_mes9[[#This Row],[NETO GRAVADO]:[Otros / No Grav.]])</f>
        <v>16690.800499999998</v>
      </c>
      <c r="Q108" s="386" t="str">
        <f>IFERROR(IF(compras_mes9[[#This Row],[CUIT]]="","-",VLOOKUP(compras_mes9[[#This Row],[CUIT]],Lista_CUIT[#All],3,0)),"CUIT NO CARGADO")</f>
        <v>Gastos Varios</v>
      </c>
      <c r="R108" s="386">
        <f>IFERROR(IF(compras_mes9[[#This Row],[CUIT]]="","-",VLOOKUP(compras_mes9[[#This Row],[CUIT]],Lista_CUIT[#All],4,0)),"CUIT NO CARGADO")</f>
        <v>0</v>
      </c>
    </row>
    <row r="109" spans="2:18" ht="15" customHeight="1" x14ac:dyDescent="0.25">
      <c r="B109" s="207" t="s">
        <v>2840</v>
      </c>
      <c r="C109" s="547">
        <v>1</v>
      </c>
      <c r="D109" s="209">
        <v>4</v>
      </c>
      <c r="E109" s="225">
        <v>6701</v>
      </c>
      <c r="F109" s="210">
        <v>30716006391</v>
      </c>
      <c r="G109" s="211" t="str">
        <f>IFERROR(IF(compras_mes9[[#This Row],[CUIT]]="","-",VLOOKUP(compras_mes9[[#This Row],[CUIT]],Lista_CUIT[#All],2,0)),"CUIT NO CARGADO")</f>
        <v>ALISSING</v>
      </c>
      <c r="H109" s="212">
        <v>13794.05</v>
      </c>
      <c r="I109" s="85">
        <f>IF(compras_mes9[[#This Row],[NETO GRAVADO]]="","",compras_mes9[[#This Row],[NETO GRAVADO]]*0.21)</f>
        <v>2896.7504999999996</v>
      </c>
      <c r="J109" s="213"/>
      <c r="K109" s="213"/>
      <c r="L109" s="213"/>
      <c r="M109" s="213"/>
      <c r="N109" s="213"/>
      <c r="O109" s="213"/>
      <c r="P109" s="214">
        <f>SUM(compras_mes9[[#This Row],[NETO GRAVADO]:[Otros / No Grav.]])</f>
        <v>16690.800499999998</v>
      </c>
      <c r="Q109" s="215" t="str">
        <f>IFERROR(IF(compras_mes9[[#This Row],[CUIT]]="","-",VLOOKUP(compras_mes9[[#This Row],[CUIT]],Lista_CUIT[#All],3,0)),"CUIT NO CARGADO")</f>
        <v>Gastos Varios</v>
      </c>
      <c r="R109" s="215">
        <f>IFERROR(IF(compras_mes9[[#This Row],[CUIT]]="","-",VLOOKUP(compras_mes9[[#This Row],[CUIT]],Lista_CUIT[#All],4,0)),"CUIT NO CARGADO")</f>
        <v>0</v>
      </c>
    </row>
    <row r="110" spans="2:18" ht="15" customHeight="1" x14ac:dyDescent="0.25">
      <c r="B110" s="207" t="s">
        <v>2840</v>
      </c>
      <c r="C110" s="547">
        <v>1</v>
      </c>
      <c r="D110" s="209">
        <v>4</v>
      </c>
      <c r="E110" s="225">
        <v>6702</v>
      </c>
      <c r="F110" s="210">
        <v>30716006391</v>
      </c>
      <c r="G110" s="211" t="str">
        <f>IFERROR(IF(compras_mes9[[#This Row],[CUIT]]="","-",VLOOKUP(compras_mes9[[#This Row],[CUIT]],Lista_CUIT[#All],2,0)),"CUIT NO CARGADO")</f>
        <v>ALISSING</v>
      </c>
      <c r="H110" s="212">
        <v>13794.05</v>
      </c>
      <c r="I110" s="85">
        <f>IF(compras_mes9[[#This Row],[NETO GRAVADO]]="","",compras_mes9[[#This Row],[NETO GRAVADO]]*0.21)</f>
        <v>2896.7504999999996</v>
      </c>
      <c r="J110" s="213"/>
      <c r="K110" s="213"/>
      <c r="L110" s="213"/>
      <c r="M110" s="213"/>
      <c r="N110" s="213"/>
      <c r="O110" s="213"/>
      <c r="P110" s="214">
        <f>SUM(compras_mes9[[#This Row],[NETO GRAVADO]:[Otros / No Grav.]])</f>
        <v>16690.800499999998</v>
      </c>
      <c r="Q110" s="215" t="str">
        <f>IFERROR(IF(compras_mes9[[#This Row],[CUIT]]="","-",VLOOKUP(compras_mes9[[#This Row],[CUIT]],Lista_CUIT[#All],3,0)),"CUIT NO CARGADO")</f>
        <v>Gastos Varios</v>
      </c>
      <c r="R110" s="215">
        <f>IFERROR(IF(compras_mes9[[#This Row],[CUIT]]="","-",VLOOKUP(compras_mes9[[#This Row],[CUIT]],Lista_CUIT[#All],4,0)),"CUIT NO CARGADO")</f>
        <v>0</v>
      </c>
    </row>
    <row r="111" spans="2:18" ht="15" customHeight="1" x14ac:dyDescent="0.25">
      <c r="B111" s="207" t="s">
        <v>2840</v>
      </c>
      <c r="C111" s="547">
        <v>1</v>
      </c>
      <c r="D111" s="209">
        <v>4</v>
      </c>
      <c r="E111" s="225">
        <v>6703</v>
      </c>
      <c r="F111" s="210">
        <v>30716006391</v>
      </c>
      <c r="G111" s="211" t="str">
        <f>IFERROR(IF(compras_mes9[[#This Row],[CUIT]]="","-",VLOOKUP(compras_mes9[[#This Row],[CUIT]],Lista_CUIT[#All],2,0)),"CUIT NO CARGADO")</f>
        <v>ALISSING</v>
      </c>
      <c r="H111" s="94">
        <v>13794.05</v>
      </c>
      <c r="I111" s="85">
        <f>IF(compras_mes9[[#This Row],[NETO GRAVADO]]="","",compras_mes9[[#This Row],[NETO GRAVADO]]*0.21)</f>
        <v>2896.7504999999996</v>
      </c>
      <c r="J111" s="213"/>
      <c r="K111" s="213"/>
      <c r="L111" s="213"/>
      <c r="M111" s="213"/>
      <c r="N111" s="213"/>
      <c r="O111" s="213"/>
      <c r="P111" s="214">
        <f>SUM(compras_mes9[[#This Row],[NETO GRAVADO]:[Otros / No Grav.]])</f>
        <v>16690.800499999998</v>
      </c>
      <c r="Q111" s="215" t="str">
        <f>IFERROR(IF(compras_mes9[[#This Row],[CUIT]]="","-",VLOOKUP(compras_mes9[[#This Row],[CUIT]],Lista_CUIT[#All],3,0)),"CUIT NO CARGADO")</f>
        <v>Gastos Varios</v>
      </c>
      <c r="R111" s="215">
        <f>IFERROR(IF(compras_mes9[[#This Row],[CUIT]]="","-",VLOOKUP(compras_mes9[[#This Row],[CUIT]],Lista_CUIT[#All],4,0)),"CUIT NO CARGADO")</f>
        <v>0</v>
      </c>
    </row>
    <row r="112" spans="2:18" ht="15" customHeight="1" x14ac:dyDescent="0.25">
      <c r="B112" s="207" t="s">
        <v>2840</v>
      </c>
      <c r="C112" s="547">
        <v>1</v>
      </c>
      <c r="D112" s="209">
        <v>4</v>
      </c>
      <c r="E112" s="225">
        <v>6704</v>
      </c>
      <c r="F112" s="210">
        <v>30716006391</v>
      </c>
      <c r="G112" s="211" t="str">
        <f>IFERROR(IF(compras_mes9[[#This Row],[CUIT]]="","-",VLOOKUP(compras_mes9[[#This Row],[CUIT]],Lista_CUIT[#All],2,0)),"CUIT NO CARGADO")</f>
        <v>ALISSING</v>
      </c>
      <c r="H112" s="212">
        <v>13794.05</v>
      </c>
      <c r="I112" s="85">
        <f>IF(compras_mes9[[#This Row],[NETO GRAVADO]]="","",compras_mes9[[#This Row],[NETO GRAVADO]]*0.21)</f>
        <v>2896.7504999999996</v>
      </c>
      <c r="J112" s="213"/>
      <c r="K112" s="213"/>
      <c r="L112" s="213"/>
      <c r="M112" s="213"/>
      <c r="N112" s="213"/>
      <c r="O112" s="213"/>
      <c r="P112" s="214">
        <f>SUM(compras_mes9[[#This Row],[NETO GRAVADO]:[Otros / No Grav.]])</f>
        <v>16690.800499999998</v>
      </c>
      <c r="Q112" s="215" t="str">
        <f>IFERROR(IF(compras_mes9[[#This Row],[CUIT]]="","-",VLOOKUP(compras_mes9[[#This Row],[CUIT]],Lista_CUIT[#All],3,0)),"CUIT NO CARGADO")</f>
        <v>Gastos Varios</v>
      </c>
      <c r="R112" s="215">
        <f>IFERROR(IF(compras_mes9[[#This Row],[CUIT]]="","-",VLOOKUP(compras_mes9[[#This Row],[CUIT]],Lista_CUIT[#All],4,0)),"CUIT NO CARGADO")</f>
        <v>0</v>
      </c>
    </row>
    <row r="113" spans="2:18" ht="15" customHeight="1" x14ac:dyDescent="0.25">
      <c r="B113" s="40" t="s">
        <v>2840</v>
      </c>
      <c r="C113" s="547">
        <v>1</v>
      </c>
      <c r="D113" s="42">
        <v>4</v>
      </c>
      <c r="E113" s="43">
        <v>6705</v>
      </c>
      <c r="F113" s="44">
        <v>30716006391</v>
      </c>
      <c r="G113" s="45" t="str">
        <f>IFERROR(IF(compras_mes9[[#This Row],[CUIT]]="","-",VLOOKUP(compras_mes9[[#This Row],[CUIT]],Lista_CUIT[#All],2,0)),"CUIT NO CARGADO")</f>
        <v>ALISSING</v>
      </c>
      <c r="H113" s="46">
        <v>13794.05</v>
      </c>
      <c r="I113" s="85">
        <f>IF(compras_mes9[[#This Row],[NETO GRAVADO]]="","",compras_mes9[[#This Row],[NETO GRAVADO]]*0.21)</f>
        <v>2896.7504999999996</v>
      </c>
      <c r="J113" s="85"/>
      <c r="K113" s="85"/>
      <c r="L113" s="85"/>
      <c r="M113" s="85"/>
      <c r="N113" s="85"/>
      <c r="O113" s="85"/>
      <c r="P113" s="48">
        <f>SUM(compras_mes9[[#This Row],[NETO GRAVADO]:[Otros / No Grav.]])</f>
        <v>16690.800499999998</v>
      </c>
      <c r="Q113" s="49" t="str">
        <f>IFERROR(IF(compras_mes9[[#This Row],[CUIT]]="","-",VLOOKUP(compras_mes9[[#This Row],[CUIT]],Lista_CUIT[#All],3,0)),"CUIT NO CARGADO")</f>
        <v>Gastos Varios</v>
      </c>
      <c r="R113" s="49">
        <f>IFERROR(IF(compras_mes9[[#This Row],[CUIT]]="","-",VLOOKUP(compras_mes9[[#This Row],[CUIT]],Lista_CUIT[#All],4,0)),"CUIT NO CARGADO")</f>
        <v>0</v>
      </c>
    </row>
    <row r="114" spans="2:18" ht="15" customHeight="1" x14ac:dyDescent="0.25">
      <c r="B114" s="546">
        <v>45913</v>
      </c>
      <c r="C114" s="547">
        <v>1</v>
      </c>
      <c r="D114" s="487">
        <v>12</v>
      </c>
      <c r="E114" s="548">
        <v>73481</v>
      </c>
      <c r="F114" s="549">
        <v>30696131003</v>
      </c>
      <c r="G114" s="550" t="str">
        <f>IFERROR(IF(compras_mes9[[#This Row],[CUIT]]="","-",VLOOKUP(compras_mes9[[#This Row],[CUIT]],Lista_CUIT[#All],2,0)),"CUIT NO CARGADO")</f>
        <v>Petrolfe S.A.</v>
      </c>
      <c r="H114" s="551">
        <v>275079.38</v>
      </c>
      <c r="I114" s="552">
        <f>IF(compras_mes9[[#This Row],[NETO GRAVADO]]="","",compras_mes9[[#This Row],[NETO GRAVADO]]*0.21)</f>
        <v>57766.669799999996</v>
      </c>
      <c r="J114" s="552"/>
      <c r="K114" s="552"/>
      <c r="L114" s="574"/>
      <c r="M114" s="552"/>
      <c r="N114" s="552">
        <v>33750.99</v>
      </c>
      <c r="O114" s="552"/>
      <c r="P114" s="553">
        <f>SUM(compras_mes9[[#This Row],[NETO GRAVADO]:[Otros / No Grav.]])</f>
        <v>366597.03979999997</v>
      </c>
      <c r="Q114" s="554" t="str">
        <f>IFERROR(IF(compras_mes9[[#This Row],[CUIT]]="","-",VLOOKUP(compras_mes9[[#This Row],[CUIT]],Lista_CUIT[#All],3,0)),"CUIT NO CARGADO")</f>
        <v>Combustible</v>
      </c>
      <c r="R114" s="554">
        <f>IFERROR(IF(compras_mes9[[#This Row],[CUIT]]="","-",VLOOKUP(compras_mes9[[#This Row],[CUIT]],Lista_CUIT[#All],4,0)),"CUIT NO CARGADO")</f>
        <v>0</v>
      </c>
    </row>
    <row r="115" spans="2:18" ht="15" customHeight="1" x14ac:dyDescent="0.25">
      <c r="B115" s="207" t="s">
        <v>2819</v>
      </c>
      <c r="C115" s="547">
        <v>1</v>
      </c>
      <c r="D115" s="209">
        <v>3</v>
      </c>
      <c r="E115" s="225">
        <v>3605</v>
      </c>
      <c r="F115" s="210">
        <v>30715168673</v>
      </c>
      <c r="G115" s="211" t="str">
        <f>IFERROR(IF(compras_mes9[[#This Row],[CUIT]]="","-",VLOOKUP(compras_mes9[[#This Row],[CUIT]],Lista_CUIT[#All],2,0)),"CUIT NO CARGADO")</f>
        <v>BL8 SOLUCIONES</v>
      </c>
      <c r="H115" s="212">
        <v>173429.75</v>
      </c>
      <c r="I115" s="85">
        <f>IF(compras_mes9[[#This Row],[NETO GRAVADO]]="","",compras_mes9[[#This Row],[NETO GRAVADO]]*0.21)</f>
        <v>36420.247499999998</v>
      </c>
      <c r="J115" s="213"/>
      <c r="K115" s="213"/>
      <c r="L115" s="213"/>
      <c r="M115" s="213"/>
      <c r="N115" s="213"/>
      <c r="O115" s="213"/>
      <c r="P115" s="214">
        <f>SUM(compras_mes9[[#This Row],[NETO GRAVADO]:[Otros / No Grav.]])</f>
        <v>209849.9975</v>
      </c>
      <c r="Q115" s="215" t="str">
        <f>IFERROR(IF(compras_mes9[[#This Row],[CUIT]]="","-",VLOOKUP(compras_mes9[[#This Row],[CUIT]],Lista_CUIT[#All],3,0)),"CUIT NO CARGADO")</f>
        <v>Gastos Varios</v>
      </c>
      <c r="R115" s="215">
        <f>IFERROR(IF(compras_mes9[[#This Row],[CUIT]]="","-",VLOOKUP(compras_mes9[[#This Row],[CUIT]],Lista_CUIT[#All],4,0)),"CUIT NO CARGADO")</f>
        <v>0</v>
      </c>
    </row>
    <row r="116" spans="2:18" ht="15" customHeight="1" x14ac:dyDescent="0.25">
      <c r="B116" s="546" t="s">
        <v>2819</v>
      </c>
      <c r="C116" s="547">
        <v>3</v>
      </c>
      <c r="D116" s="487">
        <v>3</v>
      </c>
      <c r="E116" s="548">
        <v>7535</v>
      </c>
      <c r="F116" s="549">
        <v>20324801236</v>
      </c>
      <c r="G116" s="550" t="str">
        <f>IFERROR(IF(compras_mes9[[#This Row],[CUIT]]="","-",VLOOKUP(compras_mes9[[#This Row],[CUIT]],Lista_CUIT[#All],2,0)),"CUIT NO CARGADO")</f>
        <v>CAMPAGNA SEBASTIAN PABLO</v>
      </c>
      <c r="H116" s="551">
        <v>-90738.84</v>
      </c>
      <c r="I116" s="552">
        <f>IF(compras_mes9[[#This Row],[NETO GRAVADO]]="","",compras_mes9[[#This Row],[NETO GRAVADO]]*0.21)</f>
        <v>-19055.1564</v>
      </c>
      <c r="J116" s="552"/>
      <c r="K116" s="552"/>
      <c r="L116" s="574"/>
      <c r="M116" s="552"/>
      <c r="N116" s="552"/>
      <c r="O116" s="552"/>
      <c r="P116" s="553">
        <f>SUM(compras_mes9[[#This Row],[NETO GRAVADO]:[Otros / No Grav.]])</f>
        <v>-109793.9964</v>
      </c>
      <c r="Q116" s="554" t="s">
        <v>2555</v>
      </c>
      <c r="R116" s="554">
        <f>IFERROR(IF(compras_mes9[[#This Row],[CUIT]]="","-",VLOOKUP(compras_mes9[[#This Row],[CUIT]],Lista_CUIT[#All],4,0)),"CUIT NO CARGADO")</f>
        <v>0</v>
      </c>
    </row>
    <row r="117" spans="2:18" ht="15" customHeight="1" x14ac:dyDescent="0.25">
      <c r="B117" s="207" t="s">
        <v>2819</v>
      </c>
      <c r="C117" s="547">
        <v>1</v>
      </c>
      <c r="D117" s="209">
        <v>3</v>
      </c>
      <c r="E117" s="225">
        <v>15223</v>
      </c>
      <c r="F117" s="210">
        <v>30708232439</v>
      </c>
      <c r="G117" s="211" t="str">
        <f>IFERROR(IF(compras_mes9[[#This Row],[CUIT]]="","-",VLOOKUP(compras_mes9[[#This Row],[CUIT]],Lista_CUIT[#All],2,0)),"CUIT NO CARGADO")</f>
        <v>LUMEN GLASS SRL</v>
      </c>
      <c r="H117" s="94">
        <v>6784209.9000000004</v>
      </c>
      <c r="I117" s="85">
        <f>IF(compras_mes9[[#This Row],[NETO GRAVADO]]="","",compras_mes9[[#This Row],[NETO GRAVADO]]*0.21)</f>
        <v>1424684.0789999999</v>
      </c>
      <c r="J117" s="85"/>
      <c r="K117" s="85"/>
      <c r="L117" s="85"/>
      <c r="M117" s="85"/>
      <c r="N117" s="85"/>
      <c r="O117" s="85"/>
      <c r="P117" s="48">
        <f>SUM(compras_mes9[[#This Row],[NETO GRAVADO]:[Otros / No Grav.]])</f>
        <v>8208893.9790000003</v>
      </c>
      <c r="Q117" s="215" t="str">
        <f>IFERROR(IF(compras_mes9[[#This Row],[CUIT]]="","-",VLOOKUP(compras_mes9[[#This Row],[CUIT]],Lista_CUIT[#All],3,0)),"CUIT NO CARGADO")</f>
        <v>Envases</v>
      </c>
      <c r="R117" s="215">
        <f>IFERROR(IF(compras_mes9[[#This Row],[CUIT]]="","-",VLOOKUP(compras_mes9[[#This Row],[CUIT]],Lista_CUIT[#All],4,0)),"CUIT NO CARGADO")</f>
        <v>0</v>
      </c>
    </row>
    <row r="118" spans="2:18" ht="15" customHeight="1" x14ac:dyDescent="0.25">
      <c r="B118" s="207" t="s">
        <v>2819</v>
      </c>
      <c r="C118" s="547">
        <v>1</v>
      </c>
      <c r="D118" s="209">
        <v>3</v>
      </c>
      <c r="E118" s="225">
        <v>41369</v>
      </c>
      <c r="F118" s="210">
        <v>20324801236</v>
      </c>
      <c r="G118" s="211" t="str">
        <f>IFERROR(IF(compras_mes9[[#This Row],[CUIT]]="","-",VLOOKUP(compras_mes9[[#This Row],[CUIT]],Lista_CUIT[#All],2,0)),"CUIT NO CARGADO")</f>
        <v>CAMPAGNA SEBASTIAN PABLO</v>
      </c>
      <c r="H118" s="94">
        <v>90738.84</v>
      </c>
      <c r="I118" s="85">
        <f>IF(compras_mes9[[#This Row],[NETO GRAVADO]]="","",compras_mes9[[#This Row],[NETO GRAVADO]]*0.21)</f>
        <v>19055.1564</v>
      </c>
      <c r="J118" s="85"/>
      <c r="K118" s="85"/>
      <c r="L118" s="85"/>
      <c r="M118" s="85"/>
      <c r="N118" s="85"/>
      <c r="O118" s="85"/>
      <c r="P118" s="48">
        <f>SUM(compras_mes9[[#This Row],[NETO GRAVADO]:[Otros / No Grav.]])</f>
        <v>109793.9964</v>
      </c>
      <c r="Q118" s="215" t="s">
        <v>2555</v>
      </c>
      <c r="R118" s="215">
        <f>IFERROR(IF(compras_mes9[[#This Row],[CUIT]]="","-",VLOOKUP(compras_mes9[[#This Row],[CUIT]],Lista_CUIT[#All],4,0)),"CUIT NO CARGADO")</f>
        <v>0</v>
      </c>
    </row>
    <row r="119" spans="2:18" ht="15" customHeight="1" x14ac:dyDescent="0.25">
      <c r="B119" s="207" t="s">
        <v>2819</v>
      </c>
      <c r="C119" s="547">
        <v>1</v>
      </c>
      <c r="D119" s="209">
        <v>3</v>
      </c>
      <c r="E119" s="225">
        <v>41390</v>
      </c>
      <c r="F119" s="210">
        <v>20324801236</v>
      </c>
      <c r="G119" s="211" t="str">
        <f>IFERROR(IF(compras_mes9[[#This Row],[CUIT]]="","-",VLOOKUP(compras_mes9[[#This Row],[CUIT]],Lista_CUIT[#All],2,0)),"CUIT NO CARGADO")</f>
        <v>CAMPAGNA SEBASTIAN PABLO</v>
      </c>
      <c r="H119" s="94">
        <v>30246.28</v>
      </c>
      <c r="I119" s="85">
        <f>IF(compras_mes9[[#This Row],[NETO GRAVADO]]="","",compras_mes9[[#This Row],[NETO GRAVADO]]*0.21)</f>
        <v>6351.7187999999996</v>
      </c>
      <c r="J119" s="85"/>
      <c r="K119" s="85"/>
      <c r="L119" s="85"/>
      <c r="M119" s="85"/>
      <c r="N119" s="85"/>
      <c r="O119" s="85"/>
      <c r="P119" s="48">
        <f>SUM(compras_mes9[[#This Row],[NETO GRAVADO]:[Otros / No Grav.]])</f>
        <v>36597.998800000001</v>
      </c>
      <c r="Q119" s="215" t="s">
        <v>2555</v>
      </c>
      <c r="R119" s="215">
        <f>IFERROR(IF(compras_mes9[[#This Row],[CUIT]]="","-",VLOOKUP(compras_mes9[[#This Row],[CUIT]],Lista_CUIT[#All],4,0)),"CUIT NO CARGADO")</f>
        <v>0</v>
      </c>
    </row>
    <row r="120" spans="2:18" ht="15" customHeight="1" x14ac:dyDescent="0.25">
      <c r="B120" s="207" t="s">
        <v>2819</v>
      </c>
      <c r="C120" s="547">
        <v>1</v>
      </c>
      <c r="D120" s="209">
        <v>3</v>
      </c>
      <c r="E120" s="225">
        <v>41391</v>
      </c>
      <c r="F120" s="210">
        <v>20324801236</v>
      </c>
      <c r="G120" s="211" t="str">
        <f>IFERROR(IF(compras_mes9[[#This Row],[CUIT]]="","-",VLOOKUP(compras_mes9[[#This Row],[CUIT]],Lista_CUIT[#All],2,0)),"CUIT NO CARGADO")</f>
        <v>CAMPAGNA SEBASTIAN PABLO</v>
      </c>
      <c r="H120" s="212">
        <v>30246.28</v>
      </c>
      <c r="I120" s="85">
        <f>IF(compras_mes9[[#This Row],[NETO GRAVADO]]="","",compras_mes9[[#This Row],[NETO GRAVADO]]*0.21)</f>
        <v>6351.7187999999996</v>
      </c>
      <c r="J120" s="213"/>
      <c r="K120" s="213"/>
      <c r="L120" s="213"/>
      <c r="M120" s="213"/>
      <c r="N120" s="213"/>
      <c r="O120" s="213"/>
      <c r="P120" s="214">
        <f>SUM(compras_mes9[[#This Row],[NETO GRAVADO]:[Otros / No Grav.]])</f>
        <v>36597.998800000001</v>
      </c>
      <c r="Q120" s="215" t="s">
        <v>2555</v>
      </c>
      <c r="R120" s="215">
        <f>IFERROR(IF(compras_mes9[[#This Row],[CUIT]]="","-",VLOOKUP(compras_mes9[[#This Row],[CUIT]],Lista_CUIT[#All],4,0)),"CUIT NO CARGADO")</f>
        <v>0</v>
      </c>
    </row>
    <row r="121" spans="2:18" ht="15" customHeight="1" x14ac:dyDescent="0.25">
      <c r="B121" s="207" t="s">
        <v>2819</v>
      </c>
      <c r="C121" s="547">
        <v>1</v>
      </c>
      <c r="D121" s="209">
        <v>3</v>
      </c>
      <c r="E121" s="225">
        <v>41392</v>
      </c>
      <c r="F121" s="210">
        <v>20324801236</v>
      </c>
      <c r="G121" s="211" t="str">
        <f>IFERROR(IF(compras_mes9[[#This Row],[CUIT]]="","-",VLOOKUP(compras_mes9[[#This Row],[CUIT]],Lista_CUIT[#All],2,0)),"CUIT NO CARGADO")</f>
        <v>CAMPAGNA SEBASTIAN PABLO</v>
      </c>
      <c r="H121" s="94">
        <v>30246.28</v>
      </c>
      <c r="I121" s="85">
        <f>IF(compras_mes9[[#This Row],[NETO GRAVADO]]="","",compras_mes9[[#This Row],[NETO GRAVADO]]*0.21)</f>
        <v>6351.7187999999996</v>
      </c>
      <c r="J121" s="85"/>
      <c r="K121" s="85"/>
      <c r="L121" s="85"/>
      <c r="M121" s="85"/>
      <c r="N121" s="85"/>
      <c r="O121" s="85"/>
      <c r="P121" s="48">
        <f>SUM(compras_mes9[[#This Row],[NETO GRAVADO]:[Otros / No Grav.]])</f>
        <v>36597.998800000001</v>
      </c>
      <c r="Q121" s="215" t="s">
        <v>2555</v>
      </c>
      <c r="R121" s="215">
        <f>IFERROR(IF(compras_mes9[[#This Row],[CUIT]]="","-",VLOOKUP(compras_mes9[[#This Row],[CUIT]],Lista_CUIT[#All],4,0)),"CUIT NO CARGADO")</f>
        <v>0</v>
      </c>
    </row>
    <row r="122" spans="2:18" ht="15" customHeight="1" x14ac:dyDescent="0.25">
      <c r="B122" s="207" t="s">
        <v>2819</v>
      </c>
      <c r="C122" s="547">
        <v>1</v>
      </c>
      <c r="D122" s="209">
        <v>126</v>
      </c>
      <c r="E122" s="225">
        <v>142669</v>
      </c>
      <c r="F122" s="210">
        <v>30577207190</v>
      </c>
      <c r="G122" s="211" t="str">
        <f>IFERROR(IF(compras_mes9[[#This Row],[CUIT]]="","-",VLOOKUP(compras_mes9[[#This Row],[CUIT]],Lista_CUIT[#All],2,0)),"CUIT NO CARGADO")</f>
        <v>COORDINACION ECOLOGICA AREA METROPOLITANA SOCIEDAD DEL ESTADO</v>
      </c>
      <c r="H122" s="46">
        <v>2975.21</v>
      </c>
      <c r="I122" s="85">
        <f>IF(compras_mes9[[#This Row],[NETO GRAVADO]]="","",compras_mes9[[#This Row],[NETO GRAVADO]]*0.21)</f>
        <v>624.79409999999996</v>
      </c>
      <c r="J122" s="213"/>
      <c r="K122" s="213"/>
      <c r="L122" s="213"/>
      <c r="M122" s="213"/>
      <c r="N122" s="213"/>
      <c r="O122" s="213">
        <v>89.26</v>
      </c>
      <c r="P122" s="214">
        <f>SUM(compras_mes9[[#This Row],[NETO GRAVADO]:[Otros / No Grav.]])</f>
        <v>3689.2641000000003</v>
      </c>
      <c r="Q122" s="215" t="str">
        <f>IFERROR(IF(compras_mes9[[#This Row],[CUIT]]="","-",VLOOKUP(compras_mes9[[#This Row],[CUIT]],Lista_CUIT[#All],3,0)),"CUIT NO CARGADO")</f>
        <v>Gastos Limpieza</v>
      </c>
      <c r="R122" s="215">
        <f>IFERROR(IF(compras_mes9[[#This Row],[CUIT]]="","-",VLOOKUP(compras_mes9[[#This Row],[CUIT]],Lista_CUIT[#All],4,0)),"CUIT NO CARGADO")</f>
        <v>0</v>
      </c>
    </row>
    <row r="123" spans="2:18" ht="15" customHeight="1" x14ac:dyDescent="0.25">
      <c r="B123" s="207" t="s">
        <v>2819</v>
      </c>
      <c r="C123" s="547">
        <v>1</v>
      </c>
      <c r="D123" s="209">
        <v>5015</v>
      </c>
      <c r="E123" s="225">
        <v>993705</v>
      </c>
      <c r="F123" s="210">
        <v>30574876474</v>
      </c>
      <c r="G123" s="211" t="str">
        <f>IFERROR(IF(compras_mes9[[#This Row],[CUIT]]="","-",VLOOKUP(compras_mes9[[#This Row],[CUIT]],Lista_CUIT[#All],2,0)),"CUIT NO CARGADO")</f>
        <v>AUTOPISTAS URBANAS S A</v>
      </c>
      <c r="H123" s="46">
        <v>121383.91</v>
      </c>
      <c r="I123" s="85">
        <f>IF(compras_mes9[[#This Row],[NETO GRAVADO]]="","",compras_mes9[[#This Row],[NETO GRAVADO]]*0.21)</f>
        <v>25490.6211</v>
      </c>
      <c r="J123" s="213"/>
      <c r="K123" s="213"/>
      <c r="L123" s="213"/>
      <c r="M123" s="213"/>
      <c r="N123" s="213"/>
      <c r="O123" s="213">
        <v>15779.88</v>
      </c>
      <c r="P123" s="214">
        <f>SUM(compras_mes9[[#This Row],[NETO GRAVADO]:[Otros / No Grav.]])</f>
        <v>162654.4111</v>
      </c>
      <c r="Q123" s="215" t="str">
        <f>IFERROR(IF(compras_mes9[[#This Row],[CUIT]]="","-",VLOOKUP(compras_mes9[[#This Row],[CUIT]],Lista_CUIT[#All],3,0)),"CUIT NO CARGADO")</f>
        <v>Peajes</v>
      </c>
      <c r="R123" s="215">
        <f>IFERROR(IF(compras_mes9[[#This Row],[CUIT]]="","-",VLOOKUP(compras_mes9[[#This Row],[CUIT]],Lista_CUIT[#All],4,0)),"CUIT NO CARGADO")</f>
        <v>0</v>
      </c>
    </row>
    <row r="124" spans="2:18" ht="15" customHeight="1" x14ac:dyDescent="0.25">
      <c r="B124" s="207" t="s">
        <v>2819</v>
      </c>
      <c r="C124" s="547">
        <v>1</v>
      </c>
      <c r="D124" s="209">
        <v>440</v>
      </c>
      <c r="E124" s="225">
        <v>2346721</v>
      </c>
      <c r="F124" s="210">
        <v>30696170580</v>
      </c>
      <c r="G124" s="211" t="str">
        <f>IFERROR(IF(compras_mes9[[#This Row],[CUIT]]="","-",VLOOKUP(compras_mes9[[#This Row],[CUIT]],Lista_CUIT[#All],2,0)),"CUIT NO CARGADO")</f>
        <v>AEROPUERTOS ARGENTINA 2000 SA</v>
      </c>
      <c r="H124" s="94">
        <v>452626.39999999997</v>
      </c>
      <c r="I124" s="85">
        <f>IF(compras_mes9[[#This Row],[NETO GRAVADO]]="","",compras_mes9[[#This Row],[NETO GRAVADO]]*0.21)</f>
        <v>95051.543999999994</v>
      </c>
      <c r="J124" s="213"/>
      <c r="K124" s="213"/>
      <c r="L124" s="213"/>
      <c r="M124" s="213"/>
      <c r="N124" s="213"/>
      <c r="O124" s="213"/>
      <c r="P124" s="214">
        <f>SUM(compras_mes9[[#This Row],[NETO GRAVADO]:[Otros / No Grav.]])</f>
        <v>547677.9439999999</v>
      </c>
      <c r="Q124" s="215" t="str">
        <f>IFERROR(IF(compras_mes9[[#This Row],[CUIT]]="","-",VLOOKUP(compras_mes9[[#This Row],[CUIT]],Lista_CUIT[#All],3,0)),"CUIT NO CARGADO")</f>
        <v>Gastos Movilidad</v>
      </c>
      <c r="R124" s="215">
        <f>IFERROR(IF(compras_mes9[[#This Row],[CUIT]]="","-",VLOOKUP(compras_mes9[[#This Row],[CUIT]],Lista_CUIT[#All],4,0)),"CUIT NO CARGADO")</f>
        <v>0</v>
      </c>
    </row>
    <row r="125" spans="2:18" ht="15" customHeight="1" x14ac:dyDescent="0.25">
      <c r="B125" s="207" t="s">
        <v>2819</v>
      </c>
      <c r="C125" s="547">
        <v>1</v>
      </c>
      <c r="D125" s="209">
        <v>50</v>
      </c>
      <c r="E125" s="225">
        <v>4606229</v>
      </c>
      <c r="F125" s="210">
        <v>30714112836</v>
      </c>
      <c r="G125" s="211" t="str">
        <f>IFERROR(IF(compras_mes9[[#This Row],[CUIT]]="","-",VLOOKUP(compras_mes9[[#This Row],[CUIT]],Lista_CUIT[#All],2,0)),"CUIT NO CARGADO")</f>
        <v>AUTOPISTAS DE BS AS</v>
      </c>
      <c r="H125" s="212">
        <v>40086.14</v>
      </c>
      <c r="I125" s="85">
        <f>IF(compras_mes9[[#This Row],[NETO GRAVADO]]="","",compras_mes9[[#This Row],[NETO GRAVADO]]*0.21)</f>
        <v>8418.0893999999989</v>
      </c>
      <c r="J125" s="213"/>
      <c r="K125" s="213"/>
      <c r="L125" s="213"/>
      <c r="M125" s="213"/>
      <c r="N125" s="213"/>
      <c r="O125" s="213">
        <v>1202.58</v>
      </c>
      <c r="P125" s="214">
        <f>SUM(compras_mes9[[#This Row],[NETO GRAVADO]:[Otros / No Grav.]])</f>
        <v>49706.809399999998</v>
      </c>
      <c r="Q125" s="215" t="str">
        <f>IFERROR(IF(compras_mes9[[#This Row],[CUIT]]="","-",VLOOKUP(compras_mes9[[#This Row],[CUIT]],Lista_CUIT[#All],3,0)),"CUIT NO CARGADO")</f>
        <v>Peajes</v>
      </c>
      <c r="R125" s="215">
        <f>IFERROR(IF(compras_mes9[[#This Row],[CUIT]]="","-",VLOOKUP(compras_mes9[[#This Row],[CUIT]],Lista_CUIT[#All],4,0)),"CUIT NO CARGADO")</f>
        <v>0</v>
      </c>
    </row>
    <row r="126" spans="2:18" ht="15" customHeight="1" x14ac:dyDescent="0.25">
      <c r="B126" s="207" t="s">
        <v>2820</v>
      </c>
      <c r="C126" s="547">
        <v>1</v>
      </c>
      <c r="D126" s="209">
        <v>9</v>
      </c>
      <c r="E126" s="225">
        <v>930</v>
      </c>
      <c r="F126" s="210">
        <v>30710446047</v>
      </c>
      <c r="G126" s="211" t="str">
        <f>IFERROR(IF(compras_mes9[[#This Row],[CUIT]]="","-",VLOOKUP(compras_mes9[[#This Row],[CUIT]],Lista_CUIT[#All],2,0)),"CUIT NO CARGADO")</f>
        <v>ENSAMBLE GRAFICO S.H.</v>
      </c>
      <c r="H126" s="212">
        <v>44544</v>
      </c>
      <c r="I126" s="85">
        <f>IF(compras_mes9[[#This Row],[NETO GRAVADO]]="","",compras_mes9[[#This Row],[NETO GRAVADO]]*0.21)</f>
        <v>9354.24</v>
      </c>
      <c r="J126" s="213"/>
      <c r="K126" s="213"/>
      <c r="L126" s="213"/>
      <c r="M126" s="213"/>
      <c r="N126" s="213"/>
      <c r="O126" s="213"/>
      <c r="P126" s="214">
        <f>SUM(compras_mes9[[#This Row],[NETO GRAVADO]:[Otros / No Grav.]])</f>
        <v>53898.239999999998</v>
      </c>
      <c r="Q126" s="215" t="str">
        <f>IFERROR(IF(compras_mes9[[#This Row],[CUIT]]="","-",VLOOKUP(compras_mes9[[#This Row],[CUIT]],Lista_CUIT[#All],3,0)),"CUIT NO CARGADO")</f>
        <v>Material de Empaque</v>
      </c>
      <c r="R126" s="215">
        <f>IFERROR(IF(compras_mes9[[#This Row],[CUIT]]="","-",VLOOKUP(compras_mes9[[#This Row],[CUIT]],Lista_CUIT[#All],4,0)),"CUIT NO CARGADO")</f>
        <v>0</v>
      </c>
    </row>
    <row r="127" spans="2:18" ht="15" customHeight="1" x14ac:dyDescent="0.25">
      <c r="B127" s="207" t="s">
        <v>2820</v>
      </c>
      <c r="C127" s="547">
        <v>1</v>
      </c>
      <c r="D127" s="209">
        <v>4</v>
      </c>
      <c r="E127" s="225">
        <v>1325</v>
      </c>
      <c r="F127" s="210">
        <v>30717690075</v>
      </c>
      <c r="G127" s="211" t="str">
        <f>IFERROR(IF(compras_mes9[[#This Row],[CUIT]]="","-",VLOOKUP(compras_mes9[[#This Row],[CUIT]],Lista_CUIT[#All],2,0)),"CUIT NO CARGADO")</f>
        <v>MFK</v>
      </c>
      <c r="H127" s="94">
        <v>125247.93</v>
      </c>
      <c r="I127" s="85">
        <f>IF(compras_mes9[[#This Row],[NETO GRAVADO]]="","",compras_mes9[[#This Row],[NETO GRAVADO]]*0.21)</f>
        <v>26302.065299999998</v>
      </c>
      <c r="J127" s="85"/>
      <c r="K127" s="85"/>
      <c r="L127" s="85"/>
      <c r="M127" s="85"/>
      <c r="N127" s="85"/>
      <c r="O127" s="85"/>
      <c r="P127" s="48">
        <f>SUM(compras_mes9[[#This Row],[NETO GRAVADO]:[Otros / No Grav.]])</f>
        <v>151549.99529999998</v>
      </c>
      <c r="Q127" s="215" t="str">
        <f>IFERROR(IF(compras_mes9[[#This Row],[CUIT]]="","-",VLOOKUP(compras_mes9[[#This Row],[CUIT]],Lista_CUIT[#All],3,0)),"CUIT NO CARGADO")</f>
        <v>Gastos Varios</v>
      </c>
      <c r="R127" s="215">
        <f>IFERROR(IF(compras_mes9[[#This Row],[CUIT]]="","-",VLOOKUP(compras_mes9[[#This Row],[CUIT]],Lista_CUIT[#All],4,0)),"CUIT NO CARGADO")</f>
        <v>0</v>
      </c>
    </row>
    <row r="128" spans="2:18" ht="15" customHeight="1" x14ac:dyDescent="0.25">
      <c r="B128" s="207" t="s">
        <v>2820</v>
      </c>
      <c r="C128" s="547">
        <v>1</v>
      </c>
      <c r="D128" s="209">
        <v>3</v>
      </c>
      <c r="E128" s="225">
        <v>1796</v>
      </c>
      <c r="F128" s="210">
        <v>30611152775</v>
      </c>
      <c r="G128" s="211" t="str">
        <f>IFERROR(IF(compras_mes9[[#This Row],[CUIT]]="","-",VLOOKUP(compras_mes9[[#This Row],[CUIT]],Lista_CUIT[#All],2,0)),"CUIT NO CARGADO")</f>
        <v>SICIALL SA</v>
      </c>
      <c r="H128" s="94">
        <v>2775420</v>
      </c>
      <c r="I128" s="85">
        <f>IF(compras_mes9[[#This Row],[NETO GRAVADO]]="","",compras_mes9[[#This Row],[NETO GRAVADO]]*0.21)</f>
        <v>582838.19999999995</v>
      </c>
      <c r="J128" s="85"/>
      <c r="K128" s="85"/>
      <c r="L128" s="85"/>
      <c r="M128" s="85"/>
      <c r="N128" s="85"/>
      <c r="O128" s="85"/>
      <c r="P128" s="48">
        <f>SUM(compras_mes9[[#This Row],[NETO GRAVADO]:[Otros / No Grav.]])</f>
        <v>3358258.2</v>
      </c>
      <c r="Q128" s="215" t="s">
        <v>3072</v>
      </c>
      <c r="R128" s="215">
        <f>IFERROR(IF(compras_mes9[[#This Row],[CUIT]]="","-",VLOOKUP(compras_mes9[[#This Row],[CUIT]],Lista_CUIT[#All],4,0)),"CUIT NO CARGADO")</f>
        <v>0</v>
      </c>
    </row>
    <row r="129" spans="2:18" ht="15" customHeight="1" x14ac:dyDescent="0.25">
      <c r="B129" s="207" t="s">
        <v>2820</v>
      </c>
      <c r="C129" s="547">
        <v>1</v>
      </c>
      <c r="D129" s="209">
        <v>2</v>
      </c>
      <c r="E129" s="225">
        <v>4152</v>
      </c>
      <c r="F129" s="210">
        <v>30629863571</v>
      </c>
      <c r="G129" s="211" t="str">
        <f>IFERROR(IF(compras_mes9[[#This Row],[CUIT]]="","-",VLOOKUP(compras_mes9[[#This Row],[CUIT]],Lista_CUIT[#All],2,0)),"CUIT NO CARGADO")</f>
        <v>TECNIMAR S R L</v>
      </c>
      <c r="H129" s="46">
        <v>6969606</v>
      </c>
      <c r="I129" s="85">
        <f>IF(compras_mes9[[#This Row],[NETO GRAVADO]]="","",compras_mes9[[#This Row],[NETO GRAVADO]]*0.21)</f>
        <v>1463617.26</v>
      </c>
      <c r="J129" s="213"/>
      <c r="K129" s="213"/>
      <c r="L129" s="213"/>
      <c r="M129" s="213"/>
      <c r="N129" s="213"/>
      <c r="O129" s="213"/>
      <c r="P129" s="214">
        <f>SUM(compras_mes9[[#This Row],[NETO GRAVADO]:[Otros / No Grav.]])</f>
        <v>8433223.2599999998</v>
      </c>
      <c r="Q129" s="215" t="str">
        <f>IFERROR(IF(compras_mes9[[#This Row],[CUIT]]="","-",VLOOKUP(compras_mes9[[#This Row],[CUIT]],Lista_CUIT[#All],3,0)),"CUIT NO CARGADO")</f>
        <v>Productos Venta</v>
      </c>
      <c r="R129" s="215">
        <f>IFERROR(IF(compras_mes9[[#This Row],[CUIT]]="","-",VLOOKUP(compras_mes9[[#This Row],[CUIT]],Lista_CUIT[#All],4,0)),"CUIT NO CARGADO")</f>
        <v>0</v>
      </c>
    </row>
    <row r="130" spans="2:18" ht="15" customHeight="1" x14ac:dyDescent="0.25">
      <c r="B130" s="546">
        <v>45916</v>
      </c>
      <c r="C130" s="547">
        <v>1</v>
      </c>
      <c r="D130" s="487">
        <v>23</v>
      </c>
      <c r="E130" s="548">
        <v>50227</v>
      </c>
      <c r="F130" s="549">
        <v>30515800219</v>
      </c>
      <c r="G130" s="550" t="str">
        <f>IFERROR(IF(compras_mes9[[#This Row],[CUIT]]="","-",VLOOKUP(compras_mes9[[#This Row],[CUIT]],Lista_CUIT[#All],2,0)),"CUIT NO CARGADO")</f>
        <v>INCAT SRL</v>
      </c>
      <c r="H130" s="551">
        <v>36474.1</v>
      </c>
      <c r="I130" s="552">
        <f>IF(compras_mes9[[#This Row],[NETO GRAVADO]]="","",compras_mes9[[#This Row],[NETO GRAVADO]]*0.21)</f>
        <v>7659.5609999999997</v>
      </c>
      <c r="J130" s="552"/>
      <c r="K130" s="552"/>
      <c r="L130" s="574"/>
      <c r="M130" s="552"/>
      <c r="N130" s="552">
        <v>9875.33</v>
      </c>
      <c r="O130" s="552"/>
      <c r="P130" s="553">
        <f>SUM(compras_mes9[[#This Row],[NETO GRAVADO]:[Otros / No Grav.]])</f>
        <v>54008.991000000002</v>
      </c>
      <c r="Q130" s="554" t="str">
        <f>IFERROR(IF(compras_mes9[[#This Row],[CUIT]]="","-",VLOOKUP(compras_mes9[[#This Row],[CUIT]],Lista_CUIT[#All],3,0)),"CUIT NO CARGADO")</f>
        <v>Combustible</v>
      </c>
      <c r="R130" s="554" t="str">
        <f>IFERROR(IF(compras_mes9[[#This Row],[CUIT]]="","-",VLOOKUP(compras_mes9[[#This Row],[CUIT]],Lista_CUIT[#All],4,0)),"CUIT NO CARGADO")</f>
        <v>CABA</v>
      </c>
    </row>
    <row r="131" spans="2:18" ht="15" customHeight="1" x14ac:dyDescent="0.25">
      <c r="B131" s="207" t="s">
        <v>2820</v>
      </c>
      <c r="C131" s="547">
        <v>1</v>
      </c>
      <c r="D131" s="209">
        <v>5</v>
      </c>
      <c r="E131" s="225">
        <v>61254</v>
      </c>
      <c r="F131" s="210">
        <v>30709932876</v>
      </c>
      <c r="G131" s="211" t="str">
        <f>IFERROR(IF(compras_mes9[[#This Row],[CUIT]]="","-",VLOOKUP(compras_mes9[[#This Row],[CUIT]],Lista_CUIT[#All],2,0)),"CUIT NO CARGADO")</f>
        <v>Mega Envases S.A.</v>
      </c>
      <c r="H131" s="94">
        <v>364090</v>
      </c>
      <c r="I131" s="85">
        <f>IF(compras_mes9[[#This Row],[NETO GRAVADO]]="","",compras_mes9[[#This Row],[NETO GRAVADO]]*0.21)</f>
        <v>76458.899999999994</v>
      </c>
      <c r="J131" s="85"/>
      <c r="K131" s="85"/>
      <c r="L131" s="85"/>
      <c r="M131" s="85"/>
      <c r="N131" s="85"/>
      <c r="O131" s="85">
        <v>21845.4</v>
      </c>
      <c r="P131" s="48">
        <f>SUM(compras_mes9[[#This Row],[NETO GRAVADO]:[Otros / No Grav.]])</f>
        <v>462394.30000000005</v>
      </c>
      <c r="Q131" s="215" t="str">
        <f>IFERROR(IF(compras_mes9[[#This Row],[CUIT]]="","-",VLOOKUP(compras_mes9[[#This Row],[CUIT]],Lista_CUIT[#All],3,0)),"CUIT NO CARGADO")</f>
        <v>Material de Empaque</v>
      </c>
      <c r="R131" s="215">
        <f>IFERROR(IF(compras_mes9[[#This Row],[CUIT]]="","-",VLOOKUP(compras_mes9[[#This Row],[CUIT]],Lista_CUIT[#All],4,0)),"CUIT NO CARGADO")</f>
        <v>0</v>
      </c>
    </row>
    <row r="132" spans="2:18" ht="15" customHeight="1" x14ac:dyDescent="0.25">
      <c r="B132" s="207" t="s">
        <v>2820</v>
      </c>
      <c r="C132" s="547">
        <v>1</v>
      </c>
      <c r="D132" s="209">
        <v>629</v>
      </c>
      <c r="E132" s="225">
        <v>6454163</v>
      </c>
      <c r="F132" s="210">
        <v>30663498513</v>
      </c>
      <c r="G132" s="211" t="str">
        <f>IFERROR(IF(compras_mes9[[#This Row],[CUIT]]="","-",VLOOKUP(compras_mes9[[#This Row],[CUIT]],Lista_CUIT[#All],2,0)),"CUIT NO CARGADO")</f>
        <v>GRUPO CONCES. DEL OESTE SA</v>
      </c>
      <c r="H132" s="94">
        <v>23572.86</v>
      </c>
      <c r="I132" s="85">
        <f>IF(compras_mes9[[#This Row],[NETO GRAVADO]]="","",compras_mes9[[#This Row],[NETO GRAVADO]]*0.21)</f>
        <v>4950.3005999999996</v>
      </c>
      <c r="J132" s="85"/>
      <c r="K132" s="85"/>
      <c r="L132" s="85"/>
      <c r="M132" s="85"/>
      <c r="N132" s="85"/>
      <c r="O132" s="85"/>
      <c r="P132" s="48">
        <f>SUM(compras_mes9[[#This Row],[NETO GRAVADO]:[Otros / No Grav.]])</f>
        <v>28523.160599999999</v>
      </c>
      <c r="Q132" s="215" t="str">
        <f>IFERROR(IF(compras_mes9[[#This Row],[CUIT]]="","-",VLOOKUP(compras_mes9[[#This Row],[CUIT]],Lista_CUIT[#All],3,0)),"CUIT NO CARGADO")</f>
        <v>Peajes</v>
      </c>
      <c r="R132" s="215">
        <f>IFERROR(IF(compras_mes9[[#This Row],[CUIT]]="","-",VLOOKUP(compras_mes9[[#This Row],[CUIT]],Lista_CUIT[#All],4,0)),"CUIT NO CARGADO")</f>
        <v>0</v>
      </c>
    </row>
    <row r="133" spans="2:18" ht="15" customHeight="1" x14ac:dyDescent="0.25">
      <c r="B133" s="207" t="s">
        <v>2820</v>
      </c>
      <c r="C133" s="547">
        <v>1</v>
      </c>
      <c r="D133" s="209">
        <v>711</v>
      </c>
      <c r="E133" s="225">
        <v>7610433</v>
      </c>
      <c r="F133" s="210">
        <v>30677237119</v>
      </c>
      <c r="G133" s="211" t="str">
        <f>IFERROR(IF(compras_mes9[[#This Row],[CUIT]]="","-",VLOOKUP(compras_mes9[[#This Row],[CUIT]],Lista_CUIT[#All],2,0)),"CUIT NO CARGADO")</f>
        <v>AUTOPISTAS DEL SOL S A</v>
      </c>
      <c r="H133" s="94">
        <v>17795.169999999998</v>
      </c>
      <c r="I133" s="85">
        <f>IF(compras_mes9[[#This Row],[NETO GRAVADO]]="","",compras_mes9[[#This Row],[NETO GRAVADO]]*0.21)</f>
        <v>3736.9856999999993</v>
      </c>
      <c r="J133" s="213"/>
      <c r="K133" s="213"/>
      <c r="L133" s="213"/>
      <c r="M133" s="213"/>
      <c r="N133" s="213"/>
      <c r="O133" s="213">
        <v>533.86</v>
      </c>
      <c r="P133" s="214">
        <f>SUM(compras_mes9[[#This Row],[NETO GRAVADO]:[Otros / No Grav.]])</f>
        <v>22066.015699999996</v>
      </c>
      <c r="Q133" s="215" t="str">
        <f>IFERROR(IF(compras_mes9[[#This Row],[CUIT]]="","-",VLOOKUP(compras_mes9[[#This Row],[CUIT]],Lista_CUIT[#All],3,0)),"CUIT NO CARGADO")</f>
        <v>Peajes</v>
      </c>
      <c r="R133" s="215">
        <f>IFERROR(IF(compras_mes9[[#This Row],[CUIT]]="","-",VLOOKUP(compras_mes9[[#This Row],[CUIT]],Lista_CUIT[#All],4,0)),"CUIT NO CARGADO")</f>
        <v>0</v>
      </c>
    </row>
    <row r="134" spans="2:18" ht="15" customHeight="1" x14ac:dyDescent="0.25">
      <c r="B134" s="207" t="s">
        <v>2841</v>
      </c>
      <c r="C134" s="547">
        <v>1</v>
      </c>
      <c r="D134" s="209">
        <v>5</v>
      </c>
      <c r="E134" s="225">
        <v>155</v>
      </c>
      <c r="F134" s="210">
        <v>33717243019</v>
      </c>
      <c r="G134" s="211" t="str">
        <f>IFERROR(IF(compras_mes9[[#This Row],[CUIT]]="","-",VLOOKUP(compras_mes9[[#This Row],[CUIT]],Lista_CUIT[#All],2,0)),"CUIT NO CARGADO")</f>
        <v>ERISEA S.A.</v>
      </c>
      <c r="H134" s="212">
        <v>78504.55</v>
      </c>
      <c r="I134" s="85">
        <f>IF(compras_mes9[[#This Row],[NETO GRAVADO]]="","",compras_mes9[[#This Row],[NETO GRAVADO]]*0.21)</f>
        <v>16485.9555</v>
      </c>
      <c r="J134" s="213"/>
      <c r="K134" s="213"/>
      <c r="L134" s="213"/>
      <c r="M134" s="213"/>
      <c r="N134" s="213"/>
      <c r="O134" s="213"/>
      <c r="P134" s="214">
        <f>SUM(compras_mes9[[#This Row],[NETO GRAVADO]:[Otros / No Grav.]])</f>
        <v>94990.505499999999</v>
      </c>
      <c r="Q134" s="215" t="s">
        <v>3073</v>
      </c>
      <c r="R134" s="215">
        <f>IFERROR(IF(compras_mes9[[#This Row],[CUIT]]="","-",VLOOKUP(compras_mes9[[#This Row],[CUIT]],Lista_CUIT[#All],4,0)),"CUIT NO CARGADO")</f>
        <v>0</v>
      </c>
    </row>
    <row r="135" spans="2:18" ht="15" customHeight="1" x14ac:dyDescent="0.25">
      <c r="B135" s="207" t="s">
        <v>2841</v>
      </c>
      <c r="C135" s="547">
        <v>1</v>
      </c>
      <c r="D135" s="209">
        <v>4</v>
      </c>
      <c r="E135" s="225">
        <v>871</v>
      </c>
      <c r="F135" s="210">
        <v>33716304669</v>
      </c>
      <c r="G135" s="211" t="str">
        <f>IFERROR(IF(compras_mes9[[#This Row],[CUIT]]="","-",VLOOKUP(compras_mes9[[#This Row],[CUIT]],Lista_CUIT[#All],2,0)),"CUIT NO CARGADO")</f>
        <v>HEYCO LATAM S.A.</v>
      </c>
      <c r="H135" s="46">
        <v>137190.07999999999</v>
      </c>
      <c r="I135" s="85">
        <f>IF(compras_mes9[[#This Row],[NETO GRAVADO]]="","",compras_mes9[[#This Row],[NETO GRAVADO]]*0.21)</f>
        <v>28809.916799999995</v>
      </c>
      <c r="J135" s="213"/>
      <c r="K135" s="213"/>
      <c r="L135" s="213"/>
      <c r="M135" s="213"/>
      <c r="N135" s="213"/>
      <c r="O135" s="213"/>
      <c r="P135" s="214">
        <f>SUM(compras_mes9[[#This Row],[NETO GRAVADO]:[Otros / No Grav.]])</f>
        <v>165999.99679999999</v>
      </c>
      <c r="Q135" s="215" t="str">
        <f>IFERROR(IF(compras_mes9[[#This Row],[CUIT]]="","-",VLOOKUP(compras_mes9[[#This Row],[CUIT]],Lista_CUIT[#All],3,0)),"CUIT NO CARGADO")</f>
        <v>LIBRERÍA</v>
      </c>
      <c r="R135" s="215">
        <f>IFERROR(IF(compras_mes9[[#This Row],[CUIT]]="","-",VLOOKUP(compras_mes9[[#This Row],[CUIT]],Lista_CUIT[#All],4,0)),"CUIT NO CARGADO")</f>
        <v>0</v>
      </c>
    </row>
    <row r="136" spans="2:18" ht="15" customHeight="1" x14ac:dyDescent="0.25">
      <c r="B136" s="207" t="s">
        <v>2841</v>
      </c>
      <c r="C136" s="547">
        <v>1</v>
      </c>
      <c r="D136" s="209">
        <v>4</v>
      </c>
      <c r="E136" s="225">
        <v>2463</v>
      </c>
      <c r="F136" s="210">
        <v>30716794829</v>
      </c>
      <c r="G136" s="211" t="str">
        <f>IFERROR(IF(compras_mes9[[#This Row],[CUIT]]="","-",VLOOKUP(compras_mes9[[#This Row],[CUIT]],Lista_CUIT[#All],2,0)),"CUIT NO CARGADO")</f>
        <v>VITALIS NATIVA SRL</v>
      </c>
      <c r="H136" s="94">
        <v>32223.14</v>
      </c>
      <c r="I136" s="85">
        <f>IF(compras_mes9[[#This Row],[NETO GRAVADO]]="","",compras_mes9[[#This Row],[NETO GRAVADO]]*0.21)</f>
        <v>6766.8593999999994</v>
      </c>
      <c r="J136" s="85"/>
      <c r="K136" s="85"/>
      <c r="L136" s="85"/>
      <c r="M136" s="85"/>
      <c r="N136" s="85"/>
      <c r="O136" s="85"/>
      <c r="P136" s="48">
        <f>SUM(compras_mes9[[#This Row],[NETO GRAVADO]:[Otros / No Grav.]])</f>
        <v>38989.999400000001</v>
      </c>
      <c r="Q136" s="215" t="str">
        <f>IFERROR(IF(compras_mes9[[#This Row],[CUIT]]="","-",VLOOKUP(compras_mes9[[#This Row],[CUIT]],Lista_CUIT[#All],3,0)),"CUIT NO CARGADO")</f>
        <v>Gastos Varios</v>
      </c>
      <c r="R136" s="215">
        <f>IFERROR(IF(compras_mes9[[#This Row],[CUIT]]="","-",VLOOKUP(compras_mes9[[#This Row],[CUIT]],Lista_CUIT[#All],4,0)),"CUIT NO CARGADO")</f>
        <v>0</v>
      </c>
    </row>
    <row r="137" spans="2:18" ht="15" customHeight="1" x14ac:dyDescent="0.25">
      <c r="B137" s="207" t="s">
        <v>2841</v>
      </c>
      <c r="C137" s="547">
        <v>1</v>
      </c>
      <c r="D137" s="209">
        <v>4</v>
      </c>
      <c r="E137" s="225">
        <v>3873</v>
      </c>
      <c r="F137" s="210">
        <v>20132380741</v>
      </c>
      <c r="G137" s="211" t="str">
        <f>IFERROR(IF(compras_mes9[[#This Row],[CUIT]]="","-",VLOOKUP(compras_mes9[[#This Row],[CUIT]],Lista_CUIT[#All],2,0)),"CUIT NO CARGADO")</f>
        <v>GERARDO A.S. LARA</v>
      </c>
      <c r="H137" s="94">
        <v>725000</v>
      </c>
      <c r="I137" s="85">
        <f>IF(compras_mes9[[#This Row],[NETO GRAVADO]]="","",compras_mes9[[#This Row],[NETO GRAVADO]]*0.21)</f>
        <v>152250</v>
      </c>
      <c r="J137" s="85"/>
      <c r="K137" s="85"/>
      <c r="L137" s="85"/>
      <c r="M137" s="85"/>
      <c r="N137" s="85"/>
      <c r="O137" s="85">
        <v>565675.6</v>
      </c>
      <c r="P137" s="48">
        <f>SUM(compras_mes9[[#This Row],[NETO GRAVADO]:[Otros / No Grav.]])</f>
        <v>1442925.6</v>
      </c>
      <c r="Q137" s="215" t="str">
        <f>IFERROR(IF(compras_mes9[[#This Row],[CUIT]]="","-",VLOOKUP(compras_mes9[[#This Row],[CUIT]],Lista_CUIT[#All],3,0)),"CUIT NO CARGADO")</f>
        <v>Flete</v>
      </c>
      <c r="R137" s="215">
        <f>IFERROR(IF(compras_mes9[[#This Row],[CUIT]]="","-",VLOOKUP(compras_mes9[[#This Row],[CUIT]],Lista_CUIT[#All],4,0)),"CUIT NO CARGADO")</f>
        <v>0</v>
      </c>
    </row>
    <row r="138" spans="2:18" ht="15" customHeight="1" x14ac:dyDescent="0.25">
      <c r="B138" s="207" t="s">
        <v>2841</v>
      </c>
      <c r="C138" s="547">
        <v>1</v>
      </c>
      <c r="D138" s="209">
        <v>2</v>
      </c>
      <c r="E138" s="225">
        <v>4153</v>
      </c>
      <c r="F138" s="210">
        <v>30629863571</v>
      </c>
      <c r="G138" s="211" t="str">
        <f>IFERROR(IF(compras_mes9[[#This Row],[CUIT]]="","-",VLOOKUP(compras_mes9[[#This Row],[CUIT]],Lista_CUIT[#All],2,0)),"CUIT NO CARGADO")</f>
        <v>TECNIMAR S R L</v>
      </c>
      <c r="H138" s="94">
        <v>1147200</v>
      </c>
      <c r="I138" s="85">
        <f>IF(compras_mes9[[#This Row],[NETO GRAVADO]]="","",compras_mes9[[#This Row],[NETO GRAVADO]]*0.21)</f>
        <v>240912</v>
      </c>
      <c r="J138" s="85"/>
      <c r="K138" s="85"/>
      <c r="L138" s="85"/>
      <c r="M138" s="85"/>
      <c r="N138" s="85"/>
      <c r="O138" s="85"/>
      <c r="P138" s="48">
        <f>SUM(compras_mes9[[#This Row],[NETO GRAVADO]:[Otros / No Grav.]])</f>
        <v>1388112</v>
      </c>
      <c r="Q138" s="215" t="str">
        <f>IFERROR(IF(compras_mes9[[#This Row],[CUIT]]="","-",VLOOKUP(compras_mes9[[#This Row],[CUIT]],Lista_CUIT[#All],3,0)),"CUIT NO CARGADO")</f>
        <v>Productos Venta</v>
      </c>
      <c r="R138" s="215">
        <f>IFERROR(IF(compras_mes9[[#This Row],[CUIT]]="","-",VLOOKUP(compras_mes9[[#This Row],[CUIT]],Lista_CUIT[#All],4,0)),"CUIT NO CARGADO")</f>
        <v>0</v>
      </c>
    </row>
    <row r="139" spans="2:18" ht="15" customHeight="1" x14ac:dyDescent="0.25">
      <c r="B139" s="207" t="s">
        <v>2841</v>
      </c>
      <c r="C139" s="547">
        <v>1</v>
      </c>
      <c r="D139" s="209">
        <v>6</v>
      </c>
      <c r="E139" s="225">
        <v>10853</v>
      </c>
      <c r="F139" s="210">
        <v>30707603123</v>
      </c>
      <c r="G139" s="211" t="str">
        <f>IFERROR(IF(compras_mes9[[#This Row],[CUIT]]="","-",VLOOKUP(compras_mes9[[#This Row],[CUIT]],Lista_CUIT[#All],2,0)),"CUIT NO CARGADO")</f>
        <v>BI-ORIENT S.A.</v>
      </c>
      <c r="H139" s="94">
        <v>2516400</v>
      </c>
      <c r="I139" s="85">
        <f>IF(compras_mes9[[#This Row],[NETO GRAVADO]]="","",compras_mes9[[#This Row],[NETO GRAVADO]]*0.21)</f>
        <v>528444</v>
      </c>
      <c r="J139" s="85"/>
      <c r="K139" s="85"/>
      <c r="L139" s="85"/>
      <c r="M139" s="85"/>
      <c r="N139" s="85"/>
      <c r="O139" s="85"/>
      <c r="P139" s="48">
        <f>SUM(compras_mes9[[#This Row],[NETO GRAVADO]:[Otros / No Grav.]])</f>
        <v>3044844</v>
      </c>
      <c r="Q139" s="215" t="str">
        <f>IFERROR(IF(compras_mes9[[#This Row],[CUIT]]="","-",VLOOKUP(compras_mes9[[#This Row],[CUIT]],Lista_CUIT[#All],3,0)),"CUIT NO CARGADO")</f>
        <v>Material de Empaque</v>
      </c>
      <c r="R139" s="215">
        <f>IFERROR(IF(compras_mes9[[#This Row],[CUIT]]="","-",VLOOKUP(compras_mes9[[#This Row],[CUIT]],Lista_CUIT[#All],4,0)),"CUIT NO CARGADO")</f>
        <v>0</v>
      </c>
    </row>
    <row r="140" spans="2:18" ht="15" customHeight="1" x14ac:dyDescent="0.25">
      <c r="B140" s="546" t="s">
        <v>2841</v>
      </c>
      <c r="C140" s="547">
        <v>3</v>
      </c>
      <c r="D140" s="487">
        <v>3</v>
      </c>
      <c r="E140" s="548">
        <v>69821</v>
      </c>
      <c r="F140" s="549">
        <v>33643358749</v>
      </c>
      <c r="G140" s="550" t="str">
        <f>IFERROR(IF(compras_mes9[[#This Row],[CUIT]]="","-",VLOOKUP(compras_mes9[[#This Row],[CUIT]],Lista_CUIT[#All],2,0)),"CUIT NO CARGADO")</f>
        <v>POLYTECH S A</v>
      </c>
      <c r="H140" s="551">
        <v>-18109.09</v>
      </c>
      <c r="I140" s="552">
        <f>IF(compras_mes9[[#This Row],[NETO GRAVADO]]="","",compras_mes9[[#This Row],[NETO GRAVADO]]*0.21)</f>
        <v>-3802.9088999999999</v>
      </c>
      <c r="J140" s="552"/>
      <c r="K140" s="552"/>
      <c r="L140" s="574"/>
      <c r="M140" s="552"/>
      <c r="N140" s="552"/>
      <c r="O140" s="552"/>
      <c r="P140" s="553">
        <f>SUM(compras_mes9[[#This Row],[NETO GRAVADO]:[Otros / No Grav.]])</f>
        <v>-21911.998899999999</v>
      </c>
      <c r="Q140" s="554" t="str">
        <f>IFERROR(IF(compras_mes9[[#This Row],[CUIT]]="","-",VLOOKUP(compras_mes9[[#This Row],[CUIT]],Lista_CUIT[#All],3,0)),"CUIT NO CARGADO")</f>
        <v>Gastos administrativos</v>
      </c>
      <c r="R140" s="554">
        <f>IFERROR(IF(compras_mes9[[#This Row],[CUIT]]="","-",VLOOKUP(compras_mes9[[#This Row],[CUIT]],Lista_CUIT[#All],4,0)),"CUIT NO CARGADO")</f>
        <v>0</v>
      </c>
    </row>
    <row r="141" spans="2:18" ht="15" customHeight="1" x14ac:dyDescent="0.25">
      <c r="B141" s="207" t="s">
        <v>2841</v>
      </c>
      <c r="C141" s="547">
        <v>1</v>
      </c>
      <c r="D141" s="209">
        <v>3</v>
      </c>
      <c r="E141" s="225">
        <v>407120</v>
      </c>
      <c r="F141" s="210">
        <v>33643358749</v>
      </c>
      <c r="G141" s="211" t="str">
        <f>IFERROR(IF(compras_mes9[[#This Row],[CUIT]]="","-",VLOOKUP(compras_mes9[[#This Row],[CUIT]],Lista_CUIT[#All],2,0)),"CUIT NO CARGADO")</f>
        <v>POLYTECH S A</v>
      </c>
      <c r="H141" s="94">
        <v>278603.31</v>
      </c>
      <c r="I141" s="85">
        <f>IF(compras_mes9[[#This Row],[NETO GRAVADO]]="","",compras_mes9[[#This Row],[NETO GRAVADO]]*0.21)</f>
        <v>58506.695099999997</v>
      </c>
      <c r="J141" s="85"/>
      <c r="K141" s="85"/>
      <c r="L141" s="85"/>
      <c r="M141" s="85"/>
      <c r="N141" s="85"/>
      <c r="O141" s="85"/>
      <c r="P141" s="48">
        <f>SUM(compras_mes9[[#This Row],[NETO GRAVADO]:[Otros / No Grav.]])</f>
        <v>337110.00510000001</v>
      </c>
      <c r="Q141" s="215" t="str">
        <f>IFERROR(IF(compras_mes9[[#This Row],[CUIT]]="","-",VLOOKUP(compras_mes9[[#This Row],[CUIT]],Lista_CUIT[#All],3,0)),"CUIT NO CARGADO")</f>
        <v>Gastos administrativos</v>
      </c>
      <c r="R141" s="215">
        <f>IFERROR(IF(compras_mes9[[#This Row],[CUIT]]="","-",VLOOKUP(compras_mes9[[#This Row],[CUIT]],Lista_CUIT[#All],4,0)),"CUIT NO CARGADO")</f>
        <v>0</v>
      </c>
    </row>
    <row r="142" spans="2:18" ht="15" customHeight="1" x14ac:dyDescent="0.25">
      <c r="B142" s="207" t="s">
        <v>2841</v>
      </c>
      <c r="C142" s="547">
        <v>1</v>
      </c>
      <c r="D142" s="209">
        <v>3034</v>
      </c>
      <c r="E142" s="225">
        <v>9315623</v>
      </c>
      <c r="F142" s="210">
        <v>30708574836</v>
      </c>
      <c r="G142" s="211" t="str">
        <f>IFERROR(IF(compras_mes9[[#This Row],[CUIT]]="","-",VLOOKUP(compras_mes9[[#This Row],[CUIT]],Lista_CUIT[#All],2,0)),"CUIT NO CARGADO")</f>
        <v>CORREO OFICIAL DE LA REPUBLICA ARGENTINA SOCIEDAD ANONIMA</v>
      </c>
      <c r="H142" s="212">
        <v>7172.73</v>
      </c>
      <c r="I142" s="85">
        <f>IF(compras_mes9[[#This Row],[NETO GRAVADO]]="","",compras_mes9[[#This Row],[NETO GRAVADO]]*0.21)</f>
        <v>1506.2732999999998</v>
      </c>
      <c r="J142" s="213"/>
      <c r="K142" s="213"/>
      <c r="L142" s="213"/>
      <c r="M142" s="213"/>
      <c r="N142" s="213"/>
      <c r="O142" s="213"/>
      <c r="P142" s="214">
        <f>SUM(compras_mes9[[#This Row],[NETO GRAVADO]:[Otros / No Grav.]])</f>
        <v>8679.0033000000003</v>
      </c>
      <c r="Q142" s="215" t="str">
        <f>IFERROR(IF(compras_mes9[[#This Row],[CUIT]]="","-",VLOOKUP(compras_mes9[[#This Row],[CUIT]],Lista_CUIT[#All],3,0)),"CUIT NO CARGADO")</f>
        <v>MESAJERIA</v>
      </c>
      <c r="R142" s="215">
        <f>IFERROR(IF(compras_mes9[[#This Row],[CUIT]]="","-",VLOOKUP(compras_mes9[[#This Row],[CUIT]],Lista_CUIT[#All],4,0)),"CUIT NO CARGADO")</f>
        <v>0</v>
      </c>
    </row>
    <row r="143" spans="2:18" ht="15" customHeight="1" x14ac:dyDescent="0.25">
      <c r="B143" s="546" t="s">
        <v>2821</v>
      </c>
      <c r="C143" s="547">
        <v>3</v>
      </c>
      <c r="D143" s="487">
        <v>2</v>
      </c>
      <c r="E143" s="548">
        <v>82</v>
      </c>
      <c r="F143" s="549">
        <v>30629863571</v>
      </c>
      <c r="G143" s="550" t="str">
        <f>IFERROR(IF(compras_mes9[[#This Row],[CUIT]]="","-",VLOOKUP(compras_mes9[[#This Row],[CUIT]],Lista_CUIT[#All],2,0)),"CUIT NO CARGADO")</f>
        <v>TECNIMAR S R L</v>
      </c>
      <c r="H143" s="551">
        <v>-270200</v>
      </c>
      <c r="I143" s="552">
        <f>IF(compras_mes9[[#This Row],[NETO GRAVADO]]="","",compras_mes9[[#This Row],[NETO GRAVADO]]*0.21)</f>
        <v>-56742</v>
      </c>
      <c r="J143" s="552"/>
      <c r="K143" s="552"/>
      <c r="L143" s="574"/>
      <c r="M143" s="552"/>
      <c r="N143" s="552"/>
      <c r="O143" s="552"/>
      <c r="P143" s="553">
        <f>SUM(compras_mes9[[#This Row],[NETO GRAVADO]:[Otros / No Grav.]])</f>
        <v>-326942</v>
      </c>
      <c r="Q143" s="554" t="str">
        <f>IFERROR(IF(compras_mes9[[#This Row],[CUIT]]="","-",VLOOKUP(compras_mes9[[#This Row],[CUIT]],Lista_CUIT[#All],3,0)),"CUIT NO CARGADO")</f>
        <v>Productos Venta</v>
      </c>
      <c r="R143" s="554">
        <f>IFERROR(IF(compras_mes9[[#This Row],[CUIT]]="","-",VLOOKUP(compras_mes9[[#This Row],[CUIT]],Lista_CUIT[#All],4,0)),"CUIT NO CARGADO")</f>
        <v>0</v>
      </c>
    </row>
    <row r="144" spans="2:18" ht="15" customHeight="1" x14ac:dyDescent="0.25">
      <c r="B144" s="207" t="s">
        <v>2821</v>
      </c>
      <c r="C144" s="547">
        <v>1</v>
      </c>
      <c r="D144" s="209">
        <v>2</v>
      </c>
      <c r="E144" s="225">
        <v>2500</v>
      </c>
      <c r="F144" s="210">
        <v>20184094526</v>
      </c>
      <c r="G144" s="211" t="str">
        <f>IFERROR(IF(compras_mes9[[#This Row],[CUIT]]="","-",VLOOKUP(compras_mes9[[#This Row],[CUIT]],Lista_CUIT[#All],2,0)),"CUIT NO CARGADO")</f>
        <v>Di Blasio Carlos</v>
      </c>
      <c r="H144" s="212">
        <v>280000</v>
      </c>
      <c r="I144" s="85">
        <f>IF(compras_mes9[[#This Row],[NETO GRAVADO]]="","",compras_mes9[[#This Row],[NETO GRAVADO]]*0.21)</f>
        <v>58800</v>
      </c>
      <c r="J144" s="213"/>
      <c r="K144" s="213"/>
      <c r="L144" s="213"/>
      <c r="M144" s="213"/>
      <c r="N144" s="213"/>
      <c r="O144" s="213"/>
      <c r="P144" s="214">
        <f>SUM(compras_mes9[[#This Row],[NETO GRAVADO]:[Otros / No Grav.]])</f>
        <v>338800</v>
      </c>
      <c r="Q144" s="215" t="str">
        <f>IFERROR(IF(compras_mes9[[#This Row],[CUIT]]="","-",VLOOKUP(compras_mes9[[#This Row],[CUIT]],Lista_CUIT[#All],3,0)),"CUIT NO CARGADO")</f>
        <v>Gastos Varios</v>
      </c>
      <c r="R144" s="215">
        <f>IFERROR(IF(compras_mes9[[#This Row],[CUIT]]="","-",VLOOKUP(compras_mes9[[#This Row],[CUIT]],Lista_CUIT[#All],4,0)),"CUIT NO CARGADO")</f>
        <v>0</v>
      </c>
    </row>
    <row r="145" spans="2:18" ht="15" customHeight="1" x14ac:dyDescent="0.25">
      <c r="B145" s="207" t="s">
        <v>2821</v>
      </c>
      <c r="C145" s="547">
        <v>1</v>
      </c>
      <c r="D145" s="209">
        <v>2</v>
      </c>
      <c r="E145" s="225">
        <v>4154</v>
      </c>
      <c r="F145" s="210">
        <v>30629863571</v>
      </c>
      <c r="G145" s="211" t="str">
        <f>IFERROR(IF(compras_mes9[[#This Row],[CUIT]]="","-",VLOOKUP(compras_mes9[[#This Row],[CUIT]],Lista_CUIT[#All],2,0)),"CUIT NO CARGADO")</f>
        <v>TECNIMAR S R L</v>
      </c>
      <c r="H145" s="94">
        <v>630500</v>
      </c>
      <c r="I145" s="85">
        <f>IF(compras_mes9[[#This Row],[NETO GRAVADO]]="","",compras_mes9[[#This Row],[NETO GRAVADO]]*0.21)</f>
        <v>132405</v>
      </c>
      <c r="J145" s="85"/>
      <c r="K145" s="85"/>
      <c r="L145" s="85"/>
      <c r="M145" s="85"/>
      <c r="N145" s="85"/>
      <c r="O145" s="85"/>
      <c r="P145" s="48">
        <f>SUM(compras_mes9[[#This Row],[NETO GRAVADO]:[Otros / No Grav.]])</f>
        <v>762905</v>
      </c>
      <c r="Q145" s="215" t="str">
        <f>IFERROR(IF(compras_mes9[[#This Row],[CUIT]]="","-",VLOOKUP(compras_mes9[[#This Row],[CUIT]],Lista_CUIT[#All],3,0)),"CUIT NO CARGADO")</f>
        <v>Productos Venta</v>
      </c>
      <c r="R145" s="215">
        <f>IFERROR(IF(compras_mes9[[#This Row],[CUIT]]="","-",VLOOKUP(compras_mes9[[#This Row],[CUIT]],Lista_CUIT[#All],4,0)),"CUIT NO CARGADO")</f>
        <v>0</v>
      </c>
    </row>
    <row r="146" spans="2:18" ht="15" customHeight="1" x14ac:dyDescent="0.25">
      <c r="B146" s="207" t="s">
        <v>2821</v>
      </c>
      <c r="C146" s="547">
        <v>1</v>
      </c>
      <c r="D146" s="209">
        <v>4</v>
      </c>
      <c r="E146" s="225">
        <v>7574</v>
      </c>
      <c r="F146" s="210">
        <v>20204428566</v>
      </c>
      <c r="G146" s="211" t="str">
        <f>IFERROR(IF(compras_mes9[[#This Row],[CUIT]]="","-",VLOOKUP(compras_mes9[[#This Row],[CUIT]],Lista_CUIT[#All],2,0)),"CUIT NO CARGADO")</f>
        <v>CORANA HERNAN SILVIO</v>
      </c>
      <c r="H146" s="212">
        <v>868760.18</v>
      </c>
      <c r="I146" s="85">
        <v>0</v>
      </c>
      <c r="J146" s="213"/>
      <c r="K146" s="213">
        <f>compras_mes9[[#This Row],[NETO GRAVADO]]*0.105</f>
        <v>91219.818899999998</v>
      </c>
      <c r="L146" s="213"/>
      <c r="M146" s="213"/>
      <c r="N146" s="213"/>
      <c r="O146" s="213"/>
      <c r="P146" s="214">
        <f>SUM(compras_mes9[[#This Row],[NETO GRAVADO]:[Otros / No Grav.]])</f>
        <v>959979.99890000001</v>
      </c>
      <c r="Q146" s="215" t="str">
        <f>IFERROR(IF(compras_mes9[[#This Row],[CUIT]]="","-",VLOOKUP(compras_mes9[[#This Row],[CUIT]],Lista_CUIT[#All],3,0)),"CUIT NO CARGADO")</f>
        <v>Gastos Oficina</v>
      </c>
      <c r="R146" s="215">
        <f>IFERROR(IF(compras_mes9[[#This Row],[CUIT]]="","-",VLOOKUP(compras_mes9[[#This Row],[CUIT]],Lista_CUIT[#All],4,0)),"CUIT NO CARGADO")</f>
        <v>0</v>
      </c>
    </row>
    <row r="147" spans="2:18" ht="15" customHeight="1" x14ac:dyDescent="0.25">
      <c r="B147" s="207" t="s">
        <v>2821</v>
      </c>
      <c r="C147" s="547">
        <v>1</v>
      </c>
      <c r="D147" s="209">
        <v>2084</v>
      </c>
      <c r="E147" s="225">
        <v>31607</v>
      </c>
      <c r="F147" s="210">
        <v>30548083156</v>
      </c>
      <c r="G147" s="211" t="str">
        <f>IFERROR(IF(compras_mes9[[#This Row],[CUIT]]="","-",VLOOKUP(compras_mes9[[#This Row],[CUIT]],Lista_CUIT[#All],2,0)),"CUIT NO CARGADO")</f>
        <v>COTO CENTRO INTEGRAL DE COMERCIALIZACION SOCIEDAD ANONIMA</v>
      </c>
      <c r="H147" s="46">
        <v>21360.12</v>
      </c>
      <c r="I147" s="85">
        <v>3186.47</v>
      </c>
      <c r="J147" s="213"/>
      <c r="K147" s="213">
        <v>649.58000000000004</v>
      </c>
      <c r="L147" s="213"/>
      <c r="M147" s="213"/>
      <c r="N147" s="213"/>
      <c r="O147" s="213">
        <v>732.94</v>
      </c>
      <c r="P147" s="214">
        <f>SUM(compras_mes9[[#This Row],[NETO GRAVADO]:[Otros / No Grav.]])</f>
        <v>25929.11</v>
      </c>
      <c r="Q147" s="215" t="str">
        <f>IFERROR(IF(compras_mes9[[#This Row],[CUIT]]="","-",VLOOKUP(compras_mes9[[#This Row],[CUIT]],Lista_CUIT[#All],3,0)),"CUIT NO CARGADO")</f>
        <v>Gastos Varios</v>
      </c>
      <c r="R147" s="215">
        <f>IFERROR(IF(compras_mes9[[#This Row],[CUIT]]="","-",VLOOKUP(compras_mes9[[#This Row],[CUIT]],Lista_CUIT[#All],4,0)),"CUIT NO CARGADO")</f>
        <v>0</v>
      </c>
    </row>
    <row r="148" spans="2:18" ht="15" customHeight="1" x14ac:dyDescent="0.25">
      <c r="B148" s="207" t="s">
        <v>2821</v>
      </c>
      <c r="C148" s="547">
        <v>1</v>
      </c>
      <c r="D148" s="209">
        <v>4</v>
      </c>
      <c r="E148" s="225">
        <v>48690</v>
      </c>
      <c r="F148" s="210">
        <v>30585948817</v>
      </c>
      <c r="G148" s="211" t="str">
        <f>IFERROR(IF(compras_mes9[[#This Row],[CUIT]]="","-",VLOOKUP(compras_mes9[[#This Row],[CUIT]],Lista_CUIT[#All],2,0)),"CUIT NO CARGADO")</f>
        <v xml:space="preserve">GLASCAR </v>
      </c>
      <c r="H148" s="212">
        <v>4484878.05</v>
      </c>
      <c r="I148" s="85">
        <f>IF(compras_mes9[[#This Row],[NETO GRAVADO]]="","",compras_mes9[[#This Row],[NETO GRAVADO]]*0.21)</f>
        <v>941824.39049999998</v>
      </c>
      <c r="J148" s="213"/>
      <c r="K148" s="213"/>
      <c r="L148" s="213"/>
      <c r="M148" s="213"/>
      <c r="N148" s="213"/>
      <c r="O148" s="213">
        <v>269092.68</v>
      </c>
      <c r="P148" s="214">
        <f>SUM(compras_mes9[[#This Row],[NETO GRAVADO]:[Otros / No Grav.]])</f>
        <v>5695795.1204999993</v>
      </c>
      <c r="Q148" s="215" t="str">
        <f>IFERROR(IF(compras_mes9[[#This Row],[CUIT]]="","-",VLOOKUP(compras_mes9[[#This Row],[CUIT]],Lista_CUIT[#All],3,0)),"CUIT NO CARGADO")</f>
        <v>Material de Empaque</v>
      </c>
      <c r="R148" s="215">
        <f>IFERROR(IF(compras_mes9[[#This Row],[CUIT]]="","-",VLOOKUP(compras_mes9[[#This Row],[CUIT]],Lista_CUIT[#All],4,0)),"CUIT NO CARGADO")</f>
        <v>0</v>
      </c>
    </row>
    <row r="149" spans="2:18" ht="15" customHeight="1" x14ac:dyDescent="0.25">
      <c r="B149" s="207" t="s">
        <v>2821</v>
      </c>
      <c r="C149" s="547">
        <v>1</v>
      </c>
      <c r="D149" s="209">
        <v>4264</v>
      </c>
      <c r="E149" s="225">
        <v>5908682</v>
      </c>
      <c r="F149" s="210">
        <v>30639453738</v>
      </c>
      <c r="G149" s="211" t="str">
        <f>IFERROR(IF(compras_mes9[[#This Row],[CUIT]]="","-",VLOOKUP(compras_mes9[[#This Row],[CUIT]],Lista_CUIT[#All],2,0)),"CUIT NO CARGADO")</f>
        <v>TELECOM ARG SA</v>
      </c>
      <c r="H149" s="94">
        <v>22365</v>
      </c>
      <c r="I149" s="85">
        <f>IF(compras_mes9[[#This Row],[NETO GRAVADO]]="","",compras_mes9[[#This Row],[NETO GRAVADO]]*0.21)</f>
        <v>4696.6499999999996</v>
      </c>
      <c r="J149" s="85"/>
      <c r="K149" s="85"/>
      <c r="L149" s="85"/>
      <c r="M149" s="85"/>
      <c r="N149" s="85"/>
      <c r="O149" s="85">
        <v>670.95</v>
      </c>
      <c r="P149" s="48">
        <f>SUM(compras_mes9[[#This Row],[NETO GRAVADO]:[Otros / No Grav.]])</f>
        <v>27732.600000000002</v>
      </c>
      <c r="Q149" s="215" t="str">
        <f>IFERROR(IF(compras_mes9[[#This Row],[CUIT]]="","-",VLOOKUP(compras_mes9[[#This Row],[CUIT]],Lista_CUIT[#All],3,0)),"CUIT NO CARGADO")</f>
        <v>Servicios Gas, Luz, etc.</v>
      </c>
      <c r="R149" s="215">
        <f>IFERROR(IF(compras_mes9[[#This Row],[CUIT]]="","-",VLOOKUP(compras_mes9[[#This Row],[CUIT]],Lista_CUIT[#All],4,0)),"CUIT NO CARGADO")</f>
        <v>0</v>
      </c>
    </row>
    <row r="150" spans="2:18" ht="15" customHeight="1" x14ac:dyDescent="0.25">
      <c r="B150" s="207" t="s">
        <v>2821</v>
      </c>
      <c r="C150" s="547">
        <v>1</v>
      </c>
      <c r="D150" s="209">
        <v>4264</v>
      </c>
      <c r="E150" s="225">
        <v>5957170</v>
      </c>
      <c r="F150" s="210">
        <v>30639453738</v>
      </c>
      <c r="G150" s="211" t="str">
        <f>IFERROR(IF(compras_mes9[[#This Row],[CUIT]]="","-",VLOOKUP(compras_mes9[[#This Row],[CUIT]],Lista_CUIT[#All],2,0)),"CUIT NO CARGADO")</f>
        <v>TELECOM ARG SA</v>
      </c>
      <c r="H150" s="94">
        <v>69397.5</v>
      </c>
      <c r="I150" s="85">
        <f>IF(compras_mes9[[#This Row],[NETO GRAVADO]]="","",compras_mes9[[#This Row],[NETO GRAVADO]]*0.21)</f>
        <v>14573.475</v>
      </c>
      <c r="J150" s="213"/>
      <c r="K150" s="213"/>
      <c r="L150" s="213"/>
      <c r="M150" s="213"/>
      <c r="N150" s="213"/>
      <c r="O150" s="213">
        <v>4637.03</v>
      </c>
      <c r="P150" s="214">
        <f>SUM(compras_mes9[[#This Row],[NETO GRAVADO]:[Otros / No Grav.]])</f>
        <v>88608.005000000005</v>
      </c>
      <c r="Q150" s="215" t="str">
        <f>IFERROR(IF(compras_mes9[[#This Row],[CUIT]]="","-",VLOOKUP(compras_mes9[[#This Row],[CUIT]],Lista_CUIT[#All],3,0)),"CUIT NO CARGADO")</f>
        <v>Servicios Gas, Luz, etc.</v>
      </c>
      <c r="R150" s="215">
        <f>IFERROR(IF(compras_mes9[[#This Row],[CUIT]]="","-",VLOOKUP(compras_mes9[[#This Row],[CUIT]],Lista_CUIT[#All],4,0)),"CUIT NO CARGADO")</f>
        <v>0</v>
      </c>
    </row>
    <row r="151" spans="2:18" ht="15" customHeight="1" x14ac:dyDescent="0.25">
      <c r="B151" s="207" t="s">
        <v>2842</v>
      </c>
      <c r="C151" s="547">
        <v>1</v>
      </c>
      <c r="D151" s="209">
        <v>2</v>
      </c>
      <c r="E151" s="225">
        <v>4155</v>
      </c>
      <c r="F151" s="210">
        <v>30629863571</v>
      </c>
      <c r="G151" s="211" t="str">
        <f>IFERROR(IF(compras_mes9[[#This Row],[CUIT]]="","-",VLOOKUP(compras_mes9[[#This Row],[CUIT]],Lista_CUIT[#All],2,0)),"CUIT NO CARGADO")</f>
        <v>TECNIMAR S R L</v>
      </c>
      <c r="H151" s="94">
        <v>2127828</v>
      </c>
      <c r="I151" s="85">
        <f>IF(compras_mes9[[#This Row],[NETO GRAVADO]]="","",compras_mes9[[#This Row],[NETO GRAVADO]]*0.21)</f>
        <v>446843.88</v>
      </c>
      <c r="J151" s="213"/>
      <c r="K151" s="213"/>
      <c r="L151" s="213"/>
      <c r="M151" s="213"/>
      <c r="N151" s="213"/>
      <c r="O151" s="213"/>
      <c r="P151" s="214">
        <f>SUM(compras_mes9[[#This Row],[NETO GRAVADO]:[Otros / No Grav.]])</f>
        <v>2574671.88</v>
      </c>
      <c r="Q151" s="215" t="str">
        <f>IFERROR(IF(compras_mes9[[#This Row],[CUIT]]="","-",VLOOKUP(compras_mes9[[#This Row],[CUIT]],Lista_CUIT[#All],3,0)),"CUIT NO CARGADO")</f>
        <v>Productos Venta</v>
      </c>
      <c r="R151" s="215">
        <f>IFERROR(IF(compras_mes9[[#This Row],[CUIT]]="","-",VLOOKUP(compras_mes9[[#This Row],[CUIT]],Lista_CUIT[#All],4,0)),"CUIT NO CARGADO")</f>
        <v>0</v>
      </c>
    </row>
    <row r="152" spans="2:18" x14ac:dyDescent="0.25">
      <c r="B152" s="207" t="s">
        <v>2842</v>
      </c>
      <c r="C152" s="547">
        <v>1</v>
      </c>
      <c r="D152" s="209">
        <v>16</v>
      </c>
      <c r="E152" s="225">
        <v>7570</v>
      </c>
      <c r="F152" s="210">
        <v>30644236834</v>
      </c>
      <c r="G152" s="211" t="str">
        <f>IFERROR(IF(compras_mes9[[#This Row],[CUIT]]="","-",VLOOKUP(compras_mes9[[#This Row],[CUIT]],Lista_CUIT[#All],2,0)),"CUIT NO CARGADO")</f>
        <v>PENTAGAS SA</v>
      </c>
      <c r="H152" s="94">
        <v>13845.37</v>
      </c>
      <c r="I152" s="85">
        <f>IF(compras_mes9[[#This Row],[NETO GRAVADO]]="","",compras_mes9[[#This Row],[NETO GRAVADO]]*0.21)</f>
        <v>2907.5277000000001</v>
      </c>
      <c r="J152" s="85"/>
      <c r="K152" s="85"/>
      <c r="L152" s="85"/>
      <c r="M152" s="85"/>
      <c r="N152" s="85"/>
      <c r="O152" s="85">
        <v>3247.1</v>
      </c>
      <c r="P152" s="48">
        <f>SUM(compras_mes9[[#This Row],[NETO GRAVADO]:[Otros / No Grav.]])</f>
        <v>19999.9977</v>
      </c>
      <c r="Q152" s="215" t="s">
        <v>1568</v>
      </c>
      <c r="R152" s="215">
        <f>IFERROR(IF(compras_mes9[[#This Row],[CUIT]]="","-",VLOOKUP(compras_mes9[[#This Row],[CUIT]],Lista_CUIT[#All],4,0)),"CUIT NO CARGADO")</f>
        <v>0</v>
      </c>
    </row>
    <row r="153" spans="2:18" x14ac:dyDescent="0.25">
      <c r="B153" s="207" t="s">
        <v>2842</v>
      </c>
      <c r="C153" s="547">
        <v>1</v>
      </c>
      <c r="D153" s="209">
        <v>6852</v>
      </c>
      <c r="E153" s="225">
        <v>32853</v>
      </c>
      <c r="F153" s="210">
        <v>30678774495</v>
      </c>
      <c r="G153" s="211" t="str">
        <f>IFERROR(IF(compras_mes9[[#This Row],[CUIT]]="","-",VLOOKUP(compras_mes9[[#This Row],[CUIT]],Lista_CUIT[#All],2,0)),"CUIT NO CARGADO")</f>
        <v>OPER. DE EST. DE SERV. SA</v>
      </c>
      <c r="H153" s="212">
        <v>14043.16</v>
      </c>
      <c r="I153" s="85">
        <f>IF(compras_mes9[[#This Row],[NETO GRAVADO]]="","",compras_mes9[[#This Row],[NETO GRAVADO]]*0.21)</f>
        <v>2949.0636</v>
      </c>
      <c r="J153" s="213"/>
      <c r="K153" s="213"/>
      <c r="L153" s="213"/>
      <c r="M153" s="213"/>
      <c r="N153" s="213"/>
      <c r="O153" s="213">
        <v>3007.75</v>
      </c>
      <c r="P153" s="214">
        <f>SUM(compras_mes9[[#This Row],[NETO GRAVADO]:[Otros / No Grav.]])</f>
        <v>19999.973600000001</v>
      </c>
      <c r="Q153" s="215" t="str">
        <f>IFERROR(IF(compras_mes9[[#This Row],[CUIT]]="","-",VLOOKUP(compras_mes9[[#This Row],[CUIT]],Lista_CUIT[#All],3,0)),"CUIT NO CARGADO")</f>
        <v>Combustible</v>
      </c>
      <c r="R153" s="215">
        <f>IFERROR(IF(compras_mes9[[#This Row],[CUIT]]="","-",VLOOKUP(compras_mes9[[#This Row],[CUIT]],Lista_CUIT[#All],4,0)),"CUIT NO CARGADO")</f>
        <v>0</v>
      </c>
    </row>
    <row r="154" spans="2:18" x14ac:dyDescent="0.25">
      <c r="B154" s="207" t="s">
        <v>2842</v>
      </c>
      <c r="C154" s="547">
        <v>1</v>
      </c>
      <c r="D154" s="209">
        <v>2199</v>
      </c>
      <c r="E154" s="225">
        <v>39187</v>
      </c>
      <c r="F154" s="210">
        <v>30548083156</v>
      </c>
      <c r="G154" s="211" t="str">
        <f>IFERROR(IF(compras_mes9[[#This Row],[CUIT]]="","-",VLOOKUP(compras_mes9[[#This Row],[CUIT]],Lista_CUIT[#All],2,0)),"CUIT NO CARGADO")</f>
        <v>COTO CENTRO INTEGRAL DE COMERCIALIZACION SOCIEDAD ANONIMA</v>
      </c>
      <c r="H154" s="212">
        <v>72232.320000000007</v>
      </c>
      <c r="I154" s="85">
        <v>12668.48</v>
      </c>
      <c r="J154" s="213"/>
      <c r="K154" s="213">
        <v>1250.1500000000001</v>
      </c>
      <c r="L154" s="213"/>
      <c r="M154" s="213"/>
      <c r="N154" s="213"/>
      <c r="O154" s="213">
        <v>6322.31</v>
      </c>
      <c r="P154" s="214">
        <f>SUM(compras_mes9[[#This Row],[NETO GRAVADO]:[Otros / No Grav.]])</f>
        <v>92473.26</v>
      </c>
      <c r="Q154" s="215" t="str">
        <f>IFERROR(IF(compras_mes9[[#This Row],[CUIT]]="","-",VLOOKUP(compras_mes9[[#This Row],[CUIT]],Lista_CUIT[#All],3,0)),"CUIT NO CARGADO")</f>
        <v>Gastos Varios</v>
      </c>
      <c r="R154" s="215">
        <f>IFERROR(IF(compras_mes9[[#This Row],[CUIT]]="","-",VLOOKUP(compras_mes9[[#This Row],[CUIT]],Lista_CUIT[#All],4,0)),"CUIT NO CARGADO")</f>
        <v>0</v>
      </c>
    </row>
    <row r="155" spans="2:18" x14ac:dyDescent="0.25">
      <c r="B155" s="207" t="s">
        <v>2842</v>
      </c>
      <c r="C155" s="547">
        <v>1</v>
      </c>
      <c r="D155" s="209">
        <v>2188</v>
      </c>
      <c r="E155" s="225">
        <v>158038</v>
      </c>
      <c r="F155" s="210">
        <v>30548083156</v>
      </c>
      <c r="G155" s="211" t="str">
        <f>IFERROR(IF(compras_mes9[[#This Row],[CUIT]]="","-",VLOOKUP(compras_mes9[[#This Row],[CUIT]],Lista_CUIT[#All],2,0)),"CUIT NO CARGADO")</f>
        <v>COTO CENTRO INTEGRAL DE COMERCIALIZACION SOCIEDAD ANONIMA</v>
      </c>
      <c r="H155" s="46">
        <v>57488.800000000003</v>
      </c>
      <c r="I155" s="85">
        <v>6912.76</v>
      </c>
      <c r="J155" s="213"/>
      <c r="K155" s="213">
        <v>2579.9499999999998</v>
      </c>
      <c r="L155" s="213"/>
      <c r="M155" s="213"/>
      <c r="N155" s="213"/>
      <c r="O155" s="213">
        <v>4140.4799999999996</v>
      </c>
      <c r="P155" s="214">
        <f>SUM(compras_mes9[[#This Row],[NETO GRAVADO]:[Otros / No Grav.]])</f>
        <v>71121.990000000005</v>
      </c>
      <c r="Q155" s="215" t="str">
        <f>IFERROR(IF(compras_mes9[[#This Row],[CUIT]]="","-",VLOOKUP(compras_mes9[[#This Row],[CUIT]],Lista_CUIT[#All],3,0)),"CUIT NO CARGADO")</f>
        <v>Gastos Varios</v>
      </c>
      <c r="R155" s="215">
        <f>IFERROR(IF(compras_mes9[[#This Row],[CUIT]]="","-",VLOOKUP(compras_mes9[[#This Row],[CUIT]],Lista_CUIT[#All],4,0)),"CUIT NO CARGADO")</f>
        <v>0</v>
      </c>
    </row>
    <row r="156" spans="2:18" x14ac:dyDescent="0.25">
      <c r="B156" s="207" t="s">
        <v>2843</v>
      </c>
      <c r="C156" s="547">
        <v>1</v>
      </c>
      <c r="D156" s="209">
        <v>4</v>
      </c>
      <c r="E156" s="225">
        <v>878</v>
      </c>
      <c r="F156" s="210">
        <v>27317740196</v>
      </c>
      <c r="G156" s="211" t="str">
        <f>IFERROR(IF(compras_mes9[[#This Row],[CUIT]]="","-",VLOOKUP(compras_mes9[[#This Row],[CUIT]],Lista_CUIT[#All],2,0)),"CUIT NO CARGADO")</f>
        <v>HOKAMA ROMINA PAOLA</v>
      </c>
      <c r="H156" s="212">
        <v>22595.86</v>
      </c>
      <c r="I156" s="85">
        <f>IF(compras_mes9[[#This Row],[NETO GRAVADO]]="","",compras_mes9[[#This Row],[NETO GRAVADO]]*0.21)</f>
        <v>4745.1305999999995</v>
      </c>
      <c r="J156" s="213"/>
      <c r="K156" s="213"/>
      <c r="L156" s="213"/>
      <c r="M156" s="213"/>
      <c r="N156" s="213"/>
      <c r="O156" s="213"/>
      <c r="P156" s="214">
        <f>SUM(compras_mes9[[#This Row],[NETO GRAVADO]:[Otros / No Grav.]])</f>
        <v>27340.990600000001</v>
      </c>
      <c r="Q156" s="215" t="str">
        <f>IFERROR(IF(compras_mes9[[#This Row],[CUIT]]="","-",VLOOKUP(compras_mes9[[#This Row],[CUIT]],Lista_CUIT[#All],3,0)),"CUIT NO CARGADO")</f>
        <v>Gastos Varios</v>
      </c>
      <c r="R156" s="215">
        <f>IFERROR(IF(compras_mes9[[#This Row],[CUIT]]="","-",VLOOKUP(compras_mes9[[#This Row],[CUIT]],Lista_CUIT[#All],4,0)),"CUIT NO CARGADO")</f>
        <v>0</v>
      </c>
    </row>
    <row r="157" spans="2:18" x14ac:dyDescent="0.25">
      <c r="B157" s="207" t="s">
        <v>2843</v>
      </c>
      <c r="C157" s="547">
        <v>1</v>
      </c>
      <c r="D157" s="209">
        <v>14</v>
      </c>
      <c r="E157" s="225">
        <v>18973</v>
      </c>
      <c r="F157" s="210">
        <v>30715186256</v>
      </c>
      <c r="G157" s="211" t="str">
        <f>IFERROR(IF(compras_mes9[[#This Row],[CUIT]]="","-",VLOOKUP(compras_mes9[[#This Row],[CUIT]],Lista_CUIT[#All],2,0)),"CUIT NO CARGADO")</f>
        <v>FRIGORIFICO ALIMENTIC</v>
      </c>
      <c r="H157" s="212">
        <v>179528.16</v>
      </c>
      <c r="I157" s="85">
        <v>3516.72</v>
      </c>
      <c r="J157" s="213"/>
      <c r="K157" s="213">
        <v>17092.099999999999</v>
      </c>
      <c r="L157" s="213"/>
      <c r="M157" s="213"/>
      <c r="N157" s="213"/>
      <c r="O157" s="213"/>
      <c r="P157" s="214">
        <f>SUM(compras_mes9[[#This Row],[NETO GRAVADO]:[Otros / No Grav.]])</f>
        <v>200136.98</v>
      </c>
      <c r="Q157" s="215" t="str">
        <f>IFERROR(IF(compras_mes9[[#This Row],[CUIT]]="","-",VLOOKUP(compras_mes9[[#This Row],[CUIT]],Lista_CUIT[#All],3,0)),"CUIT NO CARGADO")</f>
        <v>Gastos Comercializacion - Feria</v>
      </c>
      <c r="R157" s="215">
        <f>IFERROR(IF(compras_mes9[[#This Row],[CUIT]]="","-",VLOOKUP(compras_mes9[[#This Row],[CUIT]],Lista_CUIT[#All],4,0)),"CUIT NO CARGADO")</f>
        <v>0</v>
      </c>
    </row>
    <row r="158" spans="2:18" x14ac:dyDescent="0.25">
      <c r="B158" s="207" t="s">
        <v>2843</v>
      </c>
      <c r="C158" s="547">
        <v>1</v>
      </c>
      <c r="D158" s="209">
        <v>6850</v>
      </c>
      <c r="E158" s="225">
        <v>27952</v>
      </c>
      <c r="F158" s="210">
        <v>30678774495</v>
      </c>
      <c r="G158" s="211" t="str">
        <f>IFERROR(IF(compras_mes9[[#This Row],[CUIT]]="","-",VLOOKUP(compras_mes9[[#This Row],[CUIT]],Lista_CUIT[#All],2,0)),"CUIT NO CARGADO")</f>
        <v>OPER. DE EST. DE SERV. SA</v>
      </c>
      <c r="H158" s="212">
        <v>34062.39</v>
      </c>
      <c r="I158" s="85">
        <f>IF(compras_mes9[[#This Row],[NETO GRAVADO]]="","",compras_mes9[[#This Row],[NETO GRAVADO]]*0.21)</f>
        <v>7153.1018999999997</v>
      </c>
      <c r="J158" s="213"/>
      <c r="K158" s="213"/>
      <c r="L158" s="213"/>
      <c r="M158" s="213"/>
      <c r="N158" s="213"/>
      <c r="O158" s="213">
        <v>8842.5300000000007</v>
      </c>
      <c r="P158" s="214">
        <f>SUM(compras_mes9[[#This Row],[NETO GRAVADO]:[Otros / No Grav.]])</f>
        <v>50058.0219</v>
      </c>
      <c r="Q158" s="215" t="str">
        <f>IFERROR(IF(compras_mes9[[#This Row],[CUIT]]="","-",VLOOKUP(compras_mes9[[#This Row],[CUIT]],Lista_CUIT[#All],3,0)),"CUIT NO CARGADO")</f>
        <v>Combustible</v>
      </c>
      <c r="R158" s="215">
        <f>IFERROR(IF(compras_mes9[[#This Row],[CUIT]]="","-",VLOOKUP(compras_mes9[[#This Row],[CUIT]],Lista_CUIT[#All],4,0)),"CUIT NO CARGADO")</f>
        <v>0</v>
      </c>
    </row>
    <row r="159" spans="2:18" x14ac:dyDescent="0.25">
      <c r="B159" s="546">
        <v>45920</v>
      </c>
      <c r="C159" s="547">
        <v>1</v>
      </c>
      <c r="D159" s="487">
        <v>12</v>
      </c>
      <c r="E159" s="548">
        <v>73964</v>
      </c>
      <c r="F159" s="549">
        <v>30696131003</v>
      </c>
      <c r="G159" s="550" t="str">
        <f>IFERROR(IF(compras_mes9[[#This Row],[CUIT]]="","-",VLOOKUP(compras_mes9[[#This Row],[CUIT]],Lista_CUIT[#All],2,0)),"CUIT NO CARGADO")</f>
        <v>Petrolfe S.A.</v>
      </c>
      <c r="H159" s="551">
        <v>246839.48</v>
      </c>
      <c r="I159" s="552">
        <f>IF(compras_mes9[[#This Row],[NETO GRAVADO]]="","",compras_mes9[[#This Row],[NETO GRAVADO]]*0.21)</f>
        <v>51836.290800000002</v>
      </c>
      <c r="J159" s="552"/>
      <c r="K159" s="552"/>
      <c r="L159" s="574"/>
      <c r="M159" s="552"/>
      <c r="N159" s="552">
        <v>34432.22</v>
      </c>
      <c r="O159" s="552"/>
      <c r="P159" s="553">
        <f>SUM(compras_mes9[[#This Row],[NETO GRAVADO]:[Otros / No Grav.]])</f>
        <v>333107.99080000003</v>
      </c>
      <c r="Q159" s="554" t="str">
        <f>IFERROR(IF(compras_mes9[[#This Row],[CUIT]]="","-",VLOOKUP(compras_mes9[[#This Row],[CUIT]],Lista_CUIT[#All],3,0)),"CUIT NO CARGADO")</f>
        <v>Combustible</v>
      </c>
      <c r="R159" s="554">
        <f>IFERROR(IF(compras_mes9[[#This Row],[CUIT]]="","-",VLOOKUP(compras_mes9[[#This Row],[CUIT]],Lista_CUIT[#All],4,0)),"CUIT NO CARGADO")</f>
        <v>0</v>
      </c>
    </row>
    <row r="160" spans="2:18" x14ac:dyDescent="0.25">
      <c r="B160" s="207" t="s">
        <v>2843</v>
      </c>
      <c r="C160" s="547">
        <v>1</v>
      </c>
      <c r="D160" s="209">
        <v>2038</v>
      </c>
      <c r="E160" s="225">
        <v>102169</v>
      </c>
      <c r="F160" s="210">
        <v>30516186670</v>
      </c>
      <c r="G160" s="211" t="str">
        <f>IFERROR(IF(compras_mes9[[#This Row],[CUIT]]="","-",VLOOKUP(compras_mes9[[#This Row],[CUIT]],Lista_CUIT[#All],2,0)),"CUIT NO CARGADO")</f>
        <v>DEHEZA S.A.I.C.F. e I.</v>
      </c>
      <c r="H160" s="94">
        <v>17062.05</v>
      </c>
      <c r="I160" s="85">
        <f>IF(compras_mes9[[#This Row],[NETO GRAVADO]]="","",compras_mes9[[#This Row],[NETO GRAVADO]]*0.21)</f>
        <v>3583.0304999999998</v>
      </c>
      <c r="J160" s="85"/>
      <c r="K160" s="85"/>
      <c r="L160" s="85"/>
      <c r="M160" s="85"/>
      <c r="N160" s="85"/>
      <c r="O160" s="85">
        <v>6131.25</v>
      </c>
      <c r="P160" s="48">
        <f>SUM(compras_mes9[[#This Row],[NETO GRAVADO]:[Otros / No Grav.]])</f>
        <v>26776.3305</v>
      </c>
      <c r="Q160" s="215" t="str">
        <f>IFERROR(IF(compras_mes9[[#This Row],[CUIT]]="","-",VLOOKUP(compras_mes9[[#This Row],[CUIT]],Lista_CUIT[#All],3,0)),"CUIT NO CARGADO")</f>
        <v>Combustible</v>
      </c>
      <c r="R160" s="215" t="str">
        <f>IFERROR(IF(compras_mes9[[#This Row],[CUIT]]="","-",VLOOKUP(compras_mes9[[#This Row],[CUIT]],Lista_CUIT[#All],4,0)),"CUIT NO CARGADO")</f>
        <v>CABA</v>
      </c>
    </row>
    <row r="161" spans="2:18" x14ac:dyDescent="0.25">
      <c r="B161" s="378" t="s">
        <v>2844</v>
      </c>
      <c r="C161" s="547">
        <v>1</v>
      </c>
      <c r="D161" s="379">
        <v>2084</v>
      </c>
      <c r="E161" s="380">
        <v>31682</v>
      </c>
      <c r="F161" s="381">
        <v>30548083156</v>
      </c>
      <c r="G161" s="382" t="str">
        <f>IFERROR(IF(compras_mes9[[#This Row],[CUIT]]="","-",VLOOKUP(compras_mes9[[#This Row],[CUIT]],Lista_CUIT[#All],2,0)),"CUIT NO CARGADO")</f>
        <v>COTO CENTRO INTEGRAL DE COMERCIALIZACION SOCIEDAD ANONIMA</v>
      </c>
      <c r="H161" s="383">
        <v>33456.46</v>
      </c>
      <c r="I161" s="85">
        <f>IF(compras_mes9[[#This Row],[NETO GRAVADO]]="","",compras_mes9[[#This Row],[NETO GRAVADO]]*0.21)</f>
        <v>7025.8565999999992</v>
      </c>
      <c r="J161" s="384"/>
      <c r="K161" s="384"/>
      <c r="L161" s="384"/>
      <c r="M161" s="384"/>
      <c r="N161" s="384"/>
      <c r="O161" s="384">
        <v>3011.08</v>
      </c>
      <c r="P161" s="385">
        <f>SUM(compras_mes9[[#This Row],[NETO GRAVADO]:[Otros / No Grav.]])</f>
        <v>43493.3966</v>
      </c>
      <c r="Q161" s="386" t="str">
        <f>IFERROR(IF(compras_mes9[[#This Row],[CUIT]]="","-",VLOOKUP(compras_mes9[[#This Row],[CUIT]],Lista_CUIT[#All],3,0)),"CUIT NO CARGADO")</f>
        <v>Gastos Varios</v>
      </c>
      <c r="R161" s="386">
        <f>IFERROR(IF(compras_mes9[[#This Row],[CUIT]]="","-",VLOOKUP(compras_mes9[[#This Row],[CUIT]],Lista_CUIT[#All],4,0)),"CUIT NO CARGADO")</f>
        <v>0</v>
      </c>
    </row>
    <row r="162" spans="2:18" s="56" customFormat="1" ht="18.600000000000001" customHeight="1" x14ac:dyDescent="0.25">
      <c r="B162" s="546" t="s">
        <v>2822</v>
      </c>
      <c r="C162" s="547">
        <v>3</v>
      </c>
      <c r="D162" s="487">
        <v>9</v>
      </c>
      <c r="E162" s="548">
        <v>82</v>
      </c>
      <c r="F162" s="549">
        <v>30710446047</v>
      </c>
      <c r="G162" s="550" t="str">
        <f>IFERROR(IF(compras_mes9[[#This Row],[CUIT]]="","-",VLOOKUP(compras_mes9[[#This Row],[CUIT]],Lista_CUIT[#All],2,0)),"CUIT NO CARGADO")</f>
        <v>ENSAMBLE GRAFICO S.H.</v>
      </c>
      <c r="H162" s="551">
        <v>-730000</v>
      </c>
      <c r="I162" s="552">
        <f>IF(compras_mes9[[#This Row],[NETO GRAVADO]]="","",compras_mes9[[#This Row],[NETO GRAVADO]]*0.21)</f>
        <v>-153300</v>
      </c>
      <c r="J162" s="552"/>
      <c r="K162" s="552"/>
      <c r="L162" s="574"/>
      <c r="M162" s="552"/>
      <c r="N162" s="552"/>
      <c r="O162" s="552"/>
      <c r="P162" s="553">
        <f>SUM(compras_mes9[[#This Row],[NETO GRAVADO]:[Otros / No Grav.]])</f>
        <v>-883300</v>
      </c>
      <c r="Q162" s="554" t="str">
        <f>IFERROR(IF(compras_mes9[[#This Row],[CUIT]]="","-",VLOOKUP(compras_mes9[[#This Row],[CUIT]],Lista_CUIT[#All],3,0)),"CUIT NO CARGADO")</f>
        <v>Material de Empaque</v>
      </c>
      <c r="R162" s="554">
        <f>IFERROR(IF(compras_mes9[[#This Row],[CUIT]]="","-",VLOOKUP(compras_mes9[[#This Row],[CUIT]],Lista_CUIT[#All],4,0)),"CUIT NO CARGADO")</f>
        <v>0</v>
      </c>
    </row>
    <row r="163" spans="2:18" x14ac:dyDescent="0.25">
      <c r="B163" s="207" t="s">
        <v>2822</v>
      </c>
      <c r="C163" s="547">
        <v>1</v>
      </c>
      <c r="D163" s="209">
        <v>10</v>
      </c>
      <c r="E163" s="225">
        <v>757</v>
      </c>
      <c r="F163" s="210">
        <v>20323423785</v>
      </c>
      <c r="G163" s="211" t="str">
        <f>IFERROR(IF(compras_mes9[[#This Row],[CUIT]]="","-",VLOOKUP(compras_mes9[[#This Row],[CUIT]],Lista_CUIT[#All],2,0)),"CUIT NO CARGADO")</f>
        <v>ALBARRACIN ARIEL EDUARDO</v>
      </c>
      <c r="H163" s="46">
        <v>238016.54</v>
      </c>
      <c r="I163" s="85">
        <f>IF(compras_mes9[[#This Row],[NETO GRAVADO]]="","",compras_mes9[[#This Row],[NETO GRAVADO]]*0.21)</f>
        <v>49983.473400000003</v>
      </c>
      <c r="J163" s="213"/>
      <c r="K163" s="213"/>
      <c r="L163" s="213"/>
      <c r="M163" s="213"/>
      <c r="N163" s="213"/>
      <c r="O163" s="213"/>
      <c r="P163" s="214">
        <f>SUM(compras_mes9[[#This Row],[NETO GRAVADO]:[Otros / No Grav.]])</f>
        <v>288000.0134</v>
      </c>
      <c r="Q163" s="215" t="str">
        <f>IFERROR(IF(compras_mes9[[#This Row],[CUIT]]="","-",VLOOKUP(compras_mes9[[#This Row],[CUIT]],Lista_CUIT[#All],3,0)),"CUIT NO CARGADO")</f>
        <v>Gastos Varios</v>
      </c>
      <c r="R163" s="215">
        <f>IFERROR(IF(compras_mes9[[#This Row],[CUIT]]="","-",VLOOKUP(compras_mes9[[#This Row],[CUIT]],Lista_CUIT[#All],4,0)),"CUIT NO CARGADO")</f>
        <v>0</v>
      </c>
    </row>
    <row r="164" spans="2:18" x14ac:dyDescent="0.25">
      <c r="B164" s="207" t="s">
        <v>2822</v>
      </c>
      <c r="C164" s="547">
        <v>1</v>
      </c>
      <c r="D164" s="209">
        <v>9</v>
      </c>
      <c r="E164" s="225">
        <v>932</v>
      </c>
      <c r="F164" s="210">
        <v>30710446047</v>
      </c>
      <c r="G164" s="211" t="str">
        <f>IFERROR(IF(compras_mes9[[#This Row],[CUIT]]="","-",VLOOKUP(compras_mes9[[#This Row],[CUIT]],Lista_CUIT[#All],2,0)),"CUIT NO CARGADO")</f>
        <v>ENSAMBLE GRAFICO S.H.</v>
      </c>
      <c r="H164" s="94">
        <v>730000</v>
      </c>
      <c r="I164" s="85">
        <f>IF(compras_mes9[[#This Row],[NETO GRAVADO]]="","",compras_mes9[[#This Row],[NETO GRAVADO]]*0.21)</f>
        <v>153300</v>
      </c>
      <c r="J164" s="213"/>
      <c r="K164" s="213"/>
      <c r="L164" s="213"/>
      <c r="M164" s="213"/>
      <c r="N164" s="213"/>
      <c r="O164" s="213"/>
      <c r="P164" s="214">
        <f>SUM(compras_mes9[[#This Row],[NETO GRAVADO]:[Otros / No Grav.]])</f>
        <v>883300</v>
      </c>
      <c r="Q164" s="215" t="str">
        <f>IFERROR(IF(compras_mes9[[#This Row],[CUIT]]="","-",VLOOKUP(compras_mes9[[#This Row],[CUIT]],Lista_CUIT[#All],3,0)),"CUIT NO CARGADO")</f>
        <v>Material de Empaque</v>
      </c>
      <c r="R164" s="215">
        <f>IFERROR(IF(compras_mes9[[#This Row],[CUIT]]="","-",VLOOKUP(compras_mes9[[#This Row],[CUIT]],Lista_CUIT[#All],4,0)),"CUIT NO CARGADO")</f>
        <v>0</v>
      </c>
    </row>
    <row r="165" spans="2:18" x14ac:dyDescent="0.25">
      <c r="B165" s="207" t="s">
        <v>2822</v>
      </c>
      <c r="C165" s="547">
        <v>1</v>
      </c>
      <c r="D165" s="209">
        <v>4</v>
      </c>
      <c r="E165" s="225">
        <v>3350</v>
      </c>
      <c r="F165" s="210">
        <v>30617209094</v>
      </c>
      <c r="G165" s="211" t="str">
        <f>IFERROR(IF(compras_mes9[[#This Row],[CUIT]]="","-",VLOOKUP(compras_mes9[[#This Row],[CUIT]],Lista_CUIT[#All],2,0)),"CUIT NO CARGADO")</f>
        <v>COSMETICA FACECOLOR SA</v>
      </c>
      <c r="H165" s="94">
        <v>971013</v>
      </c>
      <c r="I165" s="85">
        <f>IF(compras_mes9[[#This Row],[NETO GRAVADO]]="","",compras_mes9[[#This Row],[NETO GRAVADO]]*0.21)</f>
        <v>203912.72999999998</v>
      </c>
      <c r="J165" s="213"/>
      <c r="K165" s="213"/>
      <c r="L165" s="213"/>
      <c r="M165" s="213"/>
      <c r="N165" s="213"/>
      <c r="O165" s="213"/>
      <c r="P165" s="214">
        <f>SUM(compras_mes9[[#This Row],[NETO GRAVADO]:[Otros / No Grav.]])</f>
        <v>1174925.73</v>
      </c>
      <c r="Q165" s="215" t="str">
        <f>IFERROR(IF(compras_mes9[[#This Row],[CUIT]]="","-",VLOOKUP(compras_mes9[[#This Row],[CUIT]],Lista_CUIT[#All],3,0)),"CUIT NO CARGADO")</f>
        <v>Mercaderia</v>
      </c>
      <c r="R165" s="215">
        <f>IFERROR(IF(compras_mes9[[#This Row],[CUIT]]="","-",VLOOKUP(compras_mes9[[#This Row],[CUIT]],Lista_CUIT[#All],4,0)),"CUIT NO CARGADO")</f>
        <v>0</v>
      </c>
    </row>
    <row r="166" spans="2:18" ht="14.45" customHeight="1" x14ac:dyDescent="0.25">
      <c r="B166" s="207" t="s">
        <v>2822</v>
      </c>
      <c r="C166" s="547">
        <v>1</v>
      </c>
      <c r="D166" s="209">
        <v>2</v>
      </c>
      <c r="E166" s="225">
        <v>4156</v>
      </c>
      <c r="F166" s="210">
        <v>30629863571</v>
      </c>
      <c r="G166" s="211" t="str">
        <f>IFERROR(IF(compras_mes9[[#This Row],[CUIT]]="","-",VLOOKUP(compras_mes9[[#This Row],[CUIT]],Lista_CUIT[#All],2,0)),"CUIT NO CARGADO")</f>
        <v>TECNIMAR S R L</v>
      </c>
      <c r="H166" s="212">
        <v>1394124</v>
      </c>
      <c r="I166" s="85">
        <f>IF(compras_mes9[[#This Row],[NETO GRAVADO]]="","",compras_mes9[[#This Row],[NETO GRAVADO]]*0.21)</f>
        <v>292766.03999999998</v>
      </c>
      <c r="J166" s="213"/>
      <c r="K166" s="213"/>
      <c r="L166" s="213"/>
      <c r="M166" s="213"/>
      <c r="N166" s="213"/>
      <c r="O166" s="213"/>
      <c r="P166" s="214">
        <f>SUM(compras_mes9[[#This Row],[NETO GRAVADO]:[Otros / No Grav.]])</f>
        <v>1686890.04</v>
      </c>
      <c r="Q166" s="215" t="str">
        <f>IFERROR(IF(compras_mes9[[#This Row],[CUIT]]="","-",VLOOKUP(compras_mes9[[#This Row],[CUIT]],Lista_CUIT[#All],3,0)),"CUIT NO CARGADO")</f>
        <v>Productos Venta</v>
      </c>
      <c r="R166" s="215">
        <f>IFERROR(IF(compras_mes9[[#This Row],[CUIT]]="","-",VLOOKUP(compras_mes9[[#This Row],[CUIT]],Lista_CUIT[#All],4,0)),"CUIT NO CARGADO")</f>
        <v>0</v>
      </c>
    </row>
    <row r="167" spans="2:18" x14ac:dyDescent="0.25">
      <c r="B167" s="207" t="s">
        <v>2822</v>
      </c>
      <c r="C167" s="547">
        <v>1</v>
      </c>
      <c r="D167" s="209">
        <v>5</v>
      </c>
      <c r="E167" s="225">
        <v>7257</v>
      </c>
      <c r="F167" s="210">
        <v>20367393042</v>
      </c>
      <c r="G167" s="211" t="str">
        <f>IFERROR(IF(compras_mes9[[#This Row],[CUIT]]="","-",VLOOKUP(compras_mes9[[#This Row],[CUIT]],Lista_CUIT[#All],2,0)),"CUIT NO CARGADO")</f>
        <v>RITACCO RODRIGO</v>
      </c>
      <c r="H167" s="94">
        <v>498000</v>
      </c>
      <c r="I167" s="85">
        <f>IF(compras_mes9[[#This Row],[NETO GRAVADO]]="","",compras_mes9[[#This Row],[NETO GRAVADO]]*0.21)</f>
        <v>104580</v>
      </c>
      <c r="J167" s="213"/>
      <c r="K167" s="213"/>
      <c r="L167" s="213"/>
      <c r="M167" s="213"/>
      <c r="N167" s="213"/>
      <c r="O167" s="213"/>
      <c r="P167" s="214">
        <f>SUM(compras_mes9[[#This Row],[NETO GRAVADO]:[Otros / No Grav.]])</f>
        <v>602580</v>
      </c>
      <c r="Q167" s="215" t="str">
        <f>IFERROR(IF(compras_mes9[[#This Row],[CUIT]]="","-",VLOOKUP(compras_mes9[[#This Row],[CUIT]],Lista_CUIT[#All],3,0)),"CUIT NO CARGADO")</f>
        <v>Materia Prima</v>
      </c>
      <c r="R167" s="215">
        <f>IFERROR(IF(compras_mes9[[#This Row],[CUIT]]="","-",VLOOKUP(compras_mes9[[#This Row],[CUIT]],Lista_CUIT[#All],4,0)),"CUIT NO CARGADO")</f>
        <v>0</v>
      </c>
    </row>
    <row r="168" spans="2:18" x14ac:dyDescent="0.25">
      <c r="B168" s="207" t="s">
        <v>2822</v>
      </c>
      <c r="C168" s="547">
        <v>1</v>
      </c>
      <c r="D168" s="209">
        <v>3</v>
      </c>
      <c r="E168" s="225">
        <v>10879</v>
      </c>
      <c r="F168" s="210">
        <v>27412102431</v>
      </c>
      <c r="G168" s="211" t="str">
        <f>IFERROR(IF(compras_mes9[[#This Row],[CUIT]]="","-",VLOOKUP(compras_mes9[[#This Row],[CUIT]],Lista_CUIT[#All],2,0)),"CUIT NO CARGADO")</f>
        <v>ALVEZ ARIANA SOL</v>
      </c>
      <c r="H168" s="212">
        <v>85537.19</v>
      </c>
      <c r="I168" s="85">
        <f>IF(compras_mes9[[#This Row],[NETO GRAVADO]]="","",compras_mes9[[#This Row],[NETO GRAVADO]]*0.21)</f>
        <v>17962.8099</v>
      </c>
      <c r="J168" s="213"/>
      <c r="K168" s="213"/>
      <c r="L168" s="213"/>
      <c r="M168" s="213"/>
      <c r="N168" s="213"/>
      <c r="O168" s="213"/>
      <c r="P168" s="214">
        <f>SUM(compras_mes9[[#This Row],[NETO GRAVADO]:[Otros / No Grav.]])</f>
        <v>103499.9999</v>
      </c>
      <c r="Q168" s="215" t="str">
        <f>IFERROR(IF(compras_mes9[[#This Row],[CUIT]]="","-",VLOOKUP(compras_mes9[[#This Row],[CUIT]],Lista_CUIT[#All],3,0)),"CUIT NO CARGADO")</f>
        <v>Software Mantenimiento</v>
      </c>
      <c r="R168" s="215">
        <f>IFERROR(IF(compras_mes9[[#This Row],[CUIT]]="","-",VLOOKUP(compras_mes9[[#This Row],[CUIT]],Lista_CUIT[#All],4,0)),"CUIT NO CARGADO")</f>
        <v>0</v>
      </c>
    </row>
    <row r="169" spans="2:18" ht="14.45" customHeight="1" x14ac:dyDescent="0.25">
      <c r="B169" s="207" t="s">
        <v>2822</v>
      </c>
      <c r="C169" s="547">
        <v>1</v>
      </c>
      <c r="D169" s="209">
        <v>7</v>
      </c>
      <c r="E169" s="225">
        <v>15998</v>
      </c>
      <c r="F169" s="210">
        <v>30708017759</v>
      </c>
      <c r="G169" s="211" t="str">
        <f>IFERROR(IF(compras_mes9[[#This Row],[CUIT]]="","-",VLOOKUP(compras_mes9[[#This Row],[CUIT]],Lista_CUIT[#All],2,0)),"CUIT NO CARGADO")</f>
        <v>NEW  HIGH PACK  SA</v>
      </c>
      <c r="H169" s="94">
        <v>3168000</v>
      </c>
      <c r="I169" s="85">
        <f>IF(compras_mes9[[#This Row],[NETO GRAVADO]]="","",compras_mes9[[#This Row],[NETO GRAVADO]]*0.21)</f>
        <v>665280</v>
      </c>
      <c r="J169" s="213"/>
      <c r="K169" s="213"/>
      <c r="L169" s="213"/>
      <c r="M169" s="213"/>
      <c r="N169" s="213"/>
      <c r="O169" s="213">
        <v>190080</v>
      </c>
      <c r="P169" s="214">
        <f>SUM(compras_mes9[[#This Row],[NETO GRAVADO]:[Otros / No Grav.]])</f>
        <v>4023360</v>
      </c>
      <c r="Q169" s="215" t="str">
        <f>IFERROR(IF(compras_mes9[[#This Row],[CUIT]]="","-",VLOOKUP(compras_mes9[[#This Row],[CUIT]],Lista_CUIT[#All],3,0)),"CUIT NO CARGADO")</f>
        <v>Material de Empaque</v>
      </c>
      <c r="R169" s="215">
        <f>IFERROR(IF(compras_mes9[[#This Row],[CUIT]]="","-",VLOOKUP(compras_mes9[[#This Row],[CUIT]],Lista_CUIT[#All],4,0)),"CUIT NO CARGADO")</f>
        <v>0</v>
      </c>
    </row>
    <row r="170" spans="2:18" ht="14.45" customHeight="1" x14ac:dyDescent="0.25">
      <c r="B170" s="207" t="s">
        <v>2822</v>
      </c>
      <c r="C170" s="547">
        <v>1</v>
      </c>
      <c r="D170" s="209">
        <v>4</v>
      </c>
      <c r="E170" s="225">
        <v>20935</v>
      </c>
      <c r="F170" s="210">
        <v>30710688180</v>
      </c>
      <c r="G170" s="211" t="str">
        <f>IFERROR(IF(compras_mes9[[#This Row],[CUIT]]="","-",VLOOKUP(compras_mes9[[#This Row],[CUIT]],Lista_CUIT[#All],2,0)),"CUIT NO CARGADO")</f>
        <v>DALTOSUR S.R.L.</v>
      </c>
      <c r="H170" s="94">
        <v>5966375</v>
      </c>
      <c r="I170" s="85">
        <f>IF(compras_mes9[[#This Row],[NETO GRAVADO]]="","",compras_mes9[[#This Row],[NETO GRAVADO]]*0.21)</f>
        <v>1252938.75</v>
      </c>
      <c r="J170" s="85"/>
      <c r="K170" s="85"/>
      <c r="L170" s="85"/>
      <c r="M170" s="85"/>
      <c r="N170" s="85"/>
      <c r="O170" s="85">
        <v>357982.5</v>
      </c>
      <c r="P170" s="48">
        <f>SUM(compras_mes9[[#This Row],[NETO GRAVADO]:[Otros / No Grav.]])</f>
        <v>7577296.25</v>
      </c>
      <c r="Q170" s="215" t="str">
        <f>IFERROR(IF(compras_mes9[[#This Row],[CUIT]]="","-",VLOOKUP(compras_mes9[[#This Row],[CUIT]],Lista_CUIT[#All],3,0)),"CUIT NO CARGADO")</f>
        <v>Insumos</v>
      </c>
      <c r="R170" s="215">
        <f>IFERROR(IF(compras_mes9[[#This Row],[CUIT]]="","-",VLOOKUP(compras_mes9[[#This Row],[CUIT]],Lista_CUIT[#All],4,0)),"CUIT NO CARGADO")</f>
        <v>0</v>
      </c>
    </row>
    <row r="171" spans="2:18" ht="15" customHeight="1" x14ac:dyDescent="0.25">
      <c r="B171" s="207" t="s">
        <v>2822</v>
      </c>
      <c r="C171" s="547">
        <v>1</v>
      </c>
      <c r="D171" s="209">
        <v>6</v>
      </c>
      <c r="E171" s="225">
        <v>58171</v>
      </c>
      <c r="F171" s="210">
        <v>30709459399</v>
      </c>
      <c r="G171" s="211" t="str">
        <f>IFERROR(IF(compras_mes9[[#This Row],[CUIT]]="","-",VLOOKUP(compras_mes9[[#This Row],[CUIT]],Lista_CUIT[#All],2,0)),"CUIT NO CARGADO")</f>
        <v>LA JUNIOR SRL</v>
      </c>
      <c r="H171" s="46">
        <v>396694.21</v>
      </c>
      <c r="I171" s="85">
        <f>IF(compras_mes9[[#This Row],[NETO GRAVADO]]="","",compras_mes9[[#This Row],[NETO GRAVADO]]*0.21)</f>
        <v>83305.784100000004</v>
      </c>
      <c r="J171" s="213"/>
      <c r="K171" s="213"/>
      <c r="L171" s="213"/>
      <c r="M171" s="213"/>
      <c r="N171" s="213"/>
      <c r="O171" s="213"/>
      <c r="P171" s="214">
        <f>SUM(compras_mes9[[#This Row],[NETO GRAVADO]:[Otros / No Grav.]])</f>
        <v>479999.99410000001</v>
      </c>
      <c r="Q171" s="215" t="s">
        <v>3059</v>
      </c>
      <c r="R171" s="215">
        <f>IFERROR(IF(compras_mes9[[#This Row],[CUIT]]="","-",VLOOKUP(compras_mes9[[#This Row],[CUIT]],Lista_CUIT[#All],4,0)),"CUIT NO CARGADO")</f>
        <v>0</v>
      </c>
    </row>
    <row r="172" spans="2:18" ht="15" customHeight="1" x14ac:dyDescent="0.25">
      <c r="B172" s="207" t="s">
        <v>2822</v>
      </c>
      <c r="C172" s="547">
        <v>1</v>
      </c>
      <c r="D172" s="209">
        <v>5</v>
      </c>
      <c r="E172" s="225">
        <v>71836</v>
      </c>
      <c r="F172" s="210">
        <v>20316749942</v>
      </c>
      <c r="G172" s="211" t="str">
        <f>IFERROR(IF(compras_mes9[[#This Row],[CUIT]]="","-",VLOOKUP(compras_mes9[[#This Row],[CUIT]],Lista_CUIT[#All],2,0)),"CUIT NO CARGADO")</f>
        <v>PASTORIZA ALEJANDRO JAVIER</v>
      </c>
      <c r="H172" s="212">
        <v>61167.42</v>
      </c>
      <c r="I172" s="85" t="s">
        <v>2411</v>
      </c>
      <c r="J172" s="213"/>
      <c r="K172" s="213">
        <f>compras_mes9[[#This Row],[NETO GRAVADO]]*0.105</f>
        <v>6422.5790999999999</v>
      </c>
      <c r="L172" s="213"/>
      <c r="M172" s="213"/>
      <c r="N172" s="213"/>
      <c r="O172" s="213"/>
      <c r="P172" s="214">
        <f>SUM(compras_mes9[[#This Row],[NETO GRAVADO]:[Otros / No Grav.]])</f>
        <v>67589.999100000001</v>
      </c>
      <c r="Q172" s="215" t="str">
        <f>IFERROR(IF(compras_mes9[[#This Row],[CUIT]]="","-",VLOOKUP(compras_mes9[[#This Row],[CUIT]],Lista_CUIT[#All],3,0)),"CUIT NO CARGADO")</f>
        <v>Gastos Oficina</v>
      </c>
      <c r="R172" s="215">
        <f>IFERROR(IF(compras_mes9[[#This Row],[CUIT]]="","-",VLOOKUP(compras_mes9[[#This Row],[CUIT]],Lista_CUIT[#All],4,0)),"CUIT NO CARGADO")</f>
        <v>0</v>
      </c>
    </row>
    <row r="173" spans="2:18" ht="15" customHeight="1" x14ac:dyDescent="0.25">
      <c r="B173" s="207" t="s">
        <v>2822</v>
      </c>
      <c r="C173" s="547">
        <v>1</v>
      </c>
      <c r="D173" s="209">
        <v>15</v>
      </c>
      <c r="E173" s="225">
        <v>110412</v>
      </c>
      <c r="F173" s="210">
        <v>33708907869</v>
      </c>
      <c r="G173" s="211" t="str">
        <f>IFERROR(IF(compras_mes9[[#This Row],[CUIT]]="","-",VLOOKUP(compras_mes9[[#This Row],[CUIT]],Lista_CUIT[#All],2,0)),"CUIT NO CARGADO")</f>
        <v>SERCAP INSUMOS SRL</v>
      </c>
      <c r="H173" s="94">
        <v>68213.570000000007</v>
      </c>
      <c r="I173" s="85" t="s">
        <v>2411</v>
      </c>
      <c r="J173" s="85"/>
      <c r="K173" s="85">
        <f>compras_mes9[[#This Row],[NETO GRAVADO]]*0.105</f>
        <v>7162.4248500000003</v>
      </c>
      <c r="L173" s="85"/>
      <c r="M173" s="85"/>
      <c r="N173" s="85"/>
      <c r="O173" s="85"/>
      <c r="P173" s="48">
        <f>SUM(compras_mes9[[#This Row],[NETO GRAVADO]:[Otros / No Grav.]])</f>
        <v>75375.994850000003</v>
      </c>
      <c r="Q173" s="215" t="str">
        <f>IFERROR(IF(compras_mes9[[#This Row],[CUIT]]="","-",VLOOKUP(compras_mes9[[#This Row],[CUIT]],Lista_CUIT[#All],3,0)),"CUIT NO CARGADO")</f>
        <v>Gastos Varios</v>
      </c>
      <c r="R173" s="215">
        <f>IFERROR(IF(compras_mes9[[#This Row],[CUIT]]="","-",VLOOKUP(compras_mes9[[#This Row],[CUIT]],Lista_CUIT[#All],4,0)),"CUIT NO CARGADO")</f>
        <v>0</v>
      </c>
    </row>
    <row r="174" spans="2:18" ht="15" customHeight="1" x14ac:dyDescent="0.25">
      <c r="B174" s="207" t="s">
        <v>2823</v>
      </c>
      <c r="C174" s="547">
        <v>1</v>
      </c>
      <c r="D174" s="209">
        <v>6</v>
      </c>
      <c r="E174" s="225">
        <v>3647</v>
      </c>
      <c r="F174" s="210">
        <v>30574603788</v>
      </c>
      <c r="G174" s="211" t="str">
        <f>IFERROR(IF(compras_mes9[[#This Row],[CUIT]]="","-",VLOOKUP(compras_mes9[[#This Row],[CUIT]],Lista_CUIT[#All],2,0)),"CUIT NO CARGADO")</f>
        <v>CODAC SRL</v>
      </c>
      <c r="H174" s="94">
        <v>1659010</v>
      </c>
      <c r="I174" s="85">
        <f>IF(compras_mes9[[#This Row],[NETO GRAVADO]]="","",compras_mes9[[#This Row],[NETO GRAVADO]]*0.21)</f>
        <v>348392.1</v>
      </c>
      <c r="J174" s="85"/>
      <c r="K174" s="85"/>
      <c r="L174" s="85"/>
      <c r="M174" s="85"/>
      <c r="N174" s="85"/>
      <c r="O174" s="85"/>
      <c r="P174" s="48">
        <f>SUM(compras_mes9[[#This Row],[NETO GRAVADO]:[Otros / No Grav.]])</f>
        <v>2007402.1</v>
      </c>
      <c r="Q174" s="215" t="str">
        <f>IFERROR(IF(compras_mes9[[#This Row],[CUIT]]="","-",VLOOKUP(compras_mes9[[#This Row],[CUIT]],Lista_CUIT[#All],3,0)),"CUIT NO CARGADO")</f>
        <v>Productos Venta</v>
      </c>
      <c r="R174" s="215" t="str">
        <f>IFERROR(IF(compras_mes9[[#This Row],[CUIT]]="","-",VLOOKUP(compras_mes9[[#This Row],[CUIT]],Lista_CUIT[#All],4,0)),"CUIT NO CARGADO")</f>
        <v>BUENOS AIRES</v>
      </c>
    </row>
    <row r="175" spans="2:18" ht="15" customHeight="1" x14ac:dyDescent="0.25">
      <c r="B175" s="89" t="s">
        <v>2823</v>
      </c>
      <c r="C175" s="547">
        <v>1</v>
      </c>
      <c r="D175" s="90">
        <v>19</v>
      </c>
      <c r="E175" s="91">
        <v>5555</v>
      </c>
      <c r="F175" s="92">
        <v>30707040900</v>
      </c>
      <c r="G175" s="93" t="str">
        <f>IFERROR(IF(compras_mes9[[#This Row],[CUIT]]="","-",VLOOKUP(compras_mes9[[#This Row],[CUIT]],Lista_CUIT[#All],2,0)),"CUIT NO CARGADO")</f>
        <v>TODOVISION S.A</v>
      </c>
      <c r="H175" s="94">
        <v>31397.71</v>
      </c>
      <c r="I175" s="85">
        <v>4009.09</v>
      </c>
      <c r="J175" s="86"/>
      <c r="K175" s="86">
        <v>1292.21</v>
      </c>
      <c r="L175" s="86"/>
      <c r="M175" s="86"/>
      <c r="N175" s="86"/>
      <c r="O175" s="86">
        <v>1883.86</v>
      </c>
      <c r="P175" s="87">
        <f>SUM(compras_mes9[[#This Row],[NETO GRAVADO]:[Otros / No Grav.]])</f>
        <v>38582.870000000003</v>
      </c>
      <c r="Q175" s="88" t="str">
        <f>IFERROR(IF(compras_mes9[[#This Row],[CUIT]]="","-",VLOOKUP(compras_mes9[[#This Row],[CUIT]],Lista_CUIT[#All],3,0)),"CUIT NO CARGADO")</f>
        <v>Gastos Oficina</v>
      </c>
      <c r="R175" s="88">
        <f>IFERROR(IF(compras_mes9[[#This Row],[CUIT]]="","-",VLOOKUP(compras_mes9[[#This Row],[CUIT]],Lista_CUIT[#All],4,0)),"CUIT NO CARGADO")</f>
        <v>0</v>
      </c>
    </row>
    <row r="176" spans="2:18" ht="15" customHeight="1" x14ac:dyDescent="0.25">
      <c r="B176" s="546" t="s">
        <v>2823</v>
      </c>
      <c r="C176" s="547">
        <v>1</v>
      </c>
      <c r="D176" s="487">
        <v>4</v>
      </c>
      <c r="E176" s="548">
        <v>5722</v>
      </c>
      <c r="F176" s="549">
        <v>30585948817</v>
      </c>
      <c r="G176" s="550" t="str">
        <f>IFERROR(IF(compras_mes9[[#This Row],[CUIT]]="","-",VLOOKUP(compras_mes9[[#This Row],[CUIT]],Lista_CUIT[#All],2,0)),"CUIT NO CARGADO")</f>
        <v xml:space="preserve">GLASCAR </v>
      </c>
      <c r="H176" s="551">
        <v>260897.93</v>
      </c>
      <c r="I176" s="552">
        <f>IF(compras_mes9[[#This Row],[NETO GRAVADO]]="","",compras_mes9[[#This Row],[NETO GRAVADO]]*0.21)</f>
        <v>54788.565299999995</v>
      </c>
      <c r="J176" s="552"/>
      <c r="K176" s="552"/>
      <c r="L176" s="574"/>
      <c r="M176" s="552"/>
      <c r="N176" s="552"/>
      <c r="O176" s="552"/>
      <c r="P176" s="553">
        <f>SUM(compras_mes9[[#This Row],[NETO GRAVADO]:[Otros / No Grav.]])</f>
        <v>315686.49530000001</v>
      </c>
      <c r="Q176" s="554" t="str">
        <f>IFERROR(IF(compras_mes9[[#This Row],[CUIT]]="","-",VLOOKUP(compras_mes9[[#This Row],[CUIT]],Lista_CUIT[#All],3,0)),"CUIT NO CARGADO")</f>
        <v>Material de Empaque</v>
      </c>
      <c r="R176" s="554">
        <f>IFERROR(IF(compras_mes9[[#This Row],[CUIT]]="","-",VLOOKUP(compras_mes9[[#This Row],[CUIT]],Lista_CUIT[#All],4,0)),"CUIT NO CARGADO")</f>
        <v>0</v>
      </c>
    </row>
    <row r="177" spans="2:18" ht="15" customHeight="1" x14ac:dyDescent="0.25">
      <c r="B177" s="207" t="s">
        <v>2823</v>
      </c>
      <c r="C177" s="547">
        <v>1</v>
      </c>
      <c r="D177" s="209">
        <v>5</v>
      </c>
      <c r="E177" s="225">
        <v>139018</v>
      </c>
      <c r="F177" s="210">
        <v>30710718802</v>
      </c>
      <c r="G177" s="211" t="str">
        <f>IFERROR(IF(compras_mes9[[#This Row],[CUIT]]="","-",VLOOKUP(compras_mes9[[#This Row],[CUIT]],Lista_CUIT[#All],2,0)),"CUIT NO CARGADO")</f>
        <v>MORANO MAQUINAS HERRAMIENTAS S.A.</v>
      </c>
      <c r="H177" s="212">
        <v>19027.27</v>
      </c>
      <c r="I177" s="85">
        <f>IF(compras_mes9[[#This Row],[NETO GRAVADO]]="","",compras_mes9[[#This Row],[NETO GRAVADO]]*0.21)</f>
        <v>3995.7267000000002</v>
      </c>
      <c r="J177" s="213"/>
      <c r="K177" s="213"/>
      <c r="L177" s="213"/>
      <c r="M177" s="213"/>
      <c r="N177" s="213"/>
      <c r="O177" s="213"/>
      <c r="P177" s="214">
        <f>SUM(compras_mes9[[#This Row],[NETO GRAVADO]:[Otros / No Grav.]])</f>
        <v>23022.9967</v>
      </c>
      <c r="Q177" s="215" t="s">
        <v>3073</v>
      </c>
      <c r="R177" s="215">
        <f>IFERROR(IF(compras_mes9[[#This Row],[CUIT]]="","-",VLOOKUP(compras_mes9[[#This Row],[CUIT]],Lista_CUIT[#All],4,0)),"CUIT NO CARGADO")</f>
        <v>0</v>
      </c>
    </row>
    <row r="178" spans="2:18" ht="15" customHeight="1" x14ac:dyDescent="0.25">
      <c r="B178" s="207" t="s">
        <v>2823</v>
      </c>
      <c r="C178" s="547">
        <v>1</v>
      </c>
      <c r="D178" s="209">
        <v>100</v>
      </c>
      <c r="E178" s="225">
        <v>267605</v>
      </c>
      <c r="F178" s="210">
        <v>30537679855</v>
      </c>
      <c r="G178" s="211" t="str">
        <f>IFERROR(IF(compras_mes9[[#This Row],[CUIT]]="","-",VLOOKUP(compras_mes9[[#This Row],[CUIT]],Lista_CUIT[#All],2,0)),"CUIT NO CARGADO")</f>
        <v>ESTACION LIMA  SA</v>
      </c>
      <c r="H178" s="94">
        <v>20612.66</v>
      </c>
      <c r="I178" s="85">
        <f>IF(compras_mes9[[#This Row],[NETO GRAVADO]]="","",compras_mes9[[#This Row],[NETO GRAVADO]]*0.21)</f>
        <v>4328.6585999999998</v>
      </c>
      <c r="J178" s="85"/>
      <c r="K178" s="85"/>
      <c r="L178" s="85"/>
      <c r="M178" s="85"/>
      <c r="N178" s="85"/>
      <c r="O178" s="85">
        <v>6598.72</v>
      </c>
      <c r="P178" s="48">
        <f>SUM(compras_mes9[[#This Row],[NETO GRAVADO]:[Otros / No Grav.]])</f>
        <v>31540.0386</v>
      </c>
      <c r="Q178" s="215" t="s">
        <v>2566</v>
      </c>
      <c r="R178" s="215">
        <f>IFERROR(IF(compras_mes9[[#This Row],[CUIT]]="","-",VLOOKUP(compras_mes9[[#This Row],[CUIT]],Lista_CUIT[#All],4,0)),"CUIT NO CARGADO")</f>
        <v>0</v>
      </c>
    </row>
    <row r="179" spans="2:18" ht="15" customHeight="1" x14ac:dyDescent="0.25">
      <c r="B179" s="207" t="s">
        <v>2823</v>
      </c>
      <c r="C179" s="547">
        <v>1</v>
      </c>
      <c r="D179" s="209">
        <v>7</v>
      </c>
      <c r="E179" s="225">
        <v>289116</v>
      </c>
      <c r="F179" s="210">
        <v>30716821516</v>
      </c>
      <c r="G179" s="211" t="str">
        <f>IFERROR(IF(compras_mes9[[#This Row],[CUIT]]="","-",VLOOKUP(compras_mes9[[#This Row],[CUIT]],Lista_CUIT[#All],2,0)),"CUIT NO CARGADO")</f>
        <v>GETNET ARGENTINA S. A. U.</v>
      </c>
      <c r="H179" s="212">
        <v>0</v>
      </c>
      <c r="I179" s="85">
        <f>IF(compras_mes9[[#This Row],[NETO GRAVADO]]="","",compras_mes9[[#This Row],[NETO GRAVADO]]*0.21)</f>
        <v>0</v>
      </c>
      <c r="J179" s="213"/>
      <c r="K179" s="213"/>
      <c r="L179" s="213"/>
      <c r="M179" s="213"/>
      <c r="N179" s="213"/>
      <c r="O179" s="213"/>
      <c r="P179" s="214">
        <f>SUM(compras_mes9[[#This Row],[NETO GRAVADO]:[Otros / No Grav.]])</f>
        <v>0</v>
      </c>
      <c r="Q179" s="215" t="str">
        <f>IFERROR(IF(compras_mes9[[#This Row],[CUIT]]="","-",VLOOKUP(compras_mes9[[#This Row],[CUIT]],Lista_CUIT[#All],3,0)),"CUIT NO CARGADO")</f>
        <v>Gastos administrativos</v>
      </c>
      <c r="R179" s="215">
        <f>IFERROR(IF(compras_mes9[[#This Row],[CUIT]]="","-",VLOOKUP(compras_mes9[[#This Row],[CUIT]],Lista_CUIT[#All],4,0)),"CUIT NO CARGADO")</f>
        <v>0</v>
      </c>
    </row>
    <row r="180" spans="2:18" ht="15" customHeight="1" x14ac:dyDescent="0.25">
      <c r="B180" s="207" t="s">
        <v>2823</v>
      </c>
      <c r="C180" s="547">
        <v>1</v>
      </c>
      <c r="D180" s="209">
        <v>5015</v>
      </c>
      <c r="E180" s="225">
        <v>1000778</v>
      </c>
      <c r="F180" s="210">
        <v>30574876474</v>
      </c>
      <c r="G180" s="211" t="str">
        <f>IFERROR(IF(compras_mes9[[#This Row],[CUIT]]="","-",VLOOKUP(compras_mes9[[#This Row],[CUIT]],Lista_CUIT[#All],2,0)),"CUIT NO CARGADO")</f>
        <v>AUTOPISTAS URBANAS S A</v>
      </c>
      <c r="H180" s="46">
        <v>130471.46</v>
      </c>
      <c r="I180" s="85">
        <f>IF(compras_mes9[[#This Row],[NETO GRAVADO]]="","",compras_mes9[[#This Row],[NETO GRAVADO]]*0.21)</f>
        <v>27399.006600000001</v>
      </c>
      <c r="J180" s="213"/>
      <c r="K180" s="213"/>
      <c r="L180" s="213"/>
      <c r="M180" s="213"/>
      <c r="N180" s="213"/>
      <c r="O180" s="213">
        <v>16961.27</v>
      </c>
      <c r="P180" s="214">
        <f>SUM(compras_mes9[[#This Row],[NETO GRAVADO]:[Otros / No Grav.]])</f>
        <v>174831.7366</v>
      </c>
      <c r="Q180" s="215" t="str">
        <f>IFERROR(IF(compras_mes9[[#This Row],[CUIT]]="","-",VLOOKUP(compras_mes9[[#This Row],[CUIT]],Lista_CUIT[#All],3,0)),"CUIT NO CARGADO")</f>
        <v>Peajes</v>
      </c>
      <c r="R180" s="215">
        <f>IFERROR(IF(compras_mes9[[#This Row],[CUIT]]="","-",VLOOKUP(compras_mes9[[#This Row],[CUIT]],Lista_CUIT[#All],4,0)),"CUIT NO CARGADO")</f>
        <v>0</v>
      </c>
    </row>
    <row r="181" spans="2:18" ht="15" customHeight="1" x14ac:dyDescent="0.25">
      <c r="B181" s="207" t="s">
        <v>2823</v>
      </c>
      <c r="C181" s="547">
        <v>1</v>
      </c>
      <c r="D181" s="209">
        <v>5</v>
      </c>
      <c r="E181" s="225">
        <v>3388364</v>
      </c>
      <c r="F181" s="210">
        <v>30702652975</v>
      </c>
      <c r="G181" s="211" t="str">
        <f>IFERROR(IF(compras_mes9[[#This Row],[CUIT]]="","-",VLOOKUP(compras_mes9[[#This Row],[CUIT]],Lista_CUIT[#All],2,0)),"CUIT NO CARGADO")</f>
        <v>NSS SA</v>
      </c>
      <c r="H181" s="212">
        <v>34438.46</v>
      </c>
      <c r="I181" s="85">
        <f>IF(compras_mes9[[#This Row],[NETO GRAVADO]]="","",compras_mes9[[#This Row],[NETO GRAVADO]]*0.21)</f>
        <v>7232.0765999999994</v>
      </c>
      <c r="J181" s="213"/>
      <c r="K181" s="213"/>
      <c r="L181" s="213"/>
      <c r="M181" s="213"/>
      <c r="N181" s="213"/>
      <c r="O181" s="213">
        <v>2066.31</v>
      </c>
      <c r="P181" s="214">
        <f>SUM(compras_mes9[[#This Row],[NETO GRAVADO]:[Otros / No Grav.]])</f>
        <v>43736.846599999997</v>
      </c>
      <c r="Q181" s="215" t="str">
        <f>IFERROR(IF(compras_mes9[[#This Row],[CUIT]]="","-",VLOOKUP(compras_mes9[[#This Row],[CUIT]],Lista_CUIT[#All],3,0)),"CUIT NO CARGADO")</f>
        <v>Servicios Gas, Luz, etc.</v>
      </c>
      <c r="R181" s="215">
        <f>IFERROR(IF(compras_mes9[[#This Row],[CUIT]]="","-",VLOOKUP(compras_mes9[[#This Row],[CUIT]],Lista_CUIT[#All],4,0)),"CUIT NO CARGADO")</f>
        <v>0</v>
      </c>
    </row>
    <row r="182" spans="2:18" x14ac:dyDescent="0.25">
      <c r="B182" s="207" t="s">
        <v>2845</v>
      </c>
      <c r="C182" s="547">
        <v>1</v>
      </c>
      <c r="D182" s="209">
        <v>26</v>
      </c>
      <c r="E182" s="225">
        <v>3323</v>
      </c>
      <c r="F182" s="210">
        <v>30711061327</v>
      </c>
      <c r="G182" s="211" t="str">
        <f>IFERROR(IF(compras_mes9[[#This Row],[CUIT]]="","-",VLOOKUP(compras_mes9[[#This Row],[CUIT]],Lista_CUIT[#All],2,0)),"CUIT NO CARGADO")</f>
        <v>ESCOBAR AUTOMOTORES S.A.</v>
      </c>
      <c r="H182" s="46">
        <v>354290.74</v>
      </c>
      <c r="I182" s="85">
        <f>IF(compras_mes9[[#This Row],[NETO GRAVADO]]="","",compras_mes9[[#This Row],[NETO GRAVADO]]*0.21)</f>
        <v>74401.055399999997</v>
      </c>
      <c r="J182" s="213"/>
      <c r="K182" s="213"/>
      <c r="L182" s="213"/>
      <c r="M182" s="213"/>
      <c r="N182" s="213"/>
      <c r="O182" s="213"/>
      <c r="P182" s="214">
        <f>SUM(compras_mes9[[#This Row],[NETO GRAVADO]:[Otros / No Grav.]])</f>
        <v>428691.7954</v>
      </c>
      <c r="Q182" s="215" t="s">
        <v>2566</v>
      </c>
      <c r="R182" s="215">
        <f>IFERROR(IF(compras_mes9[[#This Row],[CUIT]]="","-",VLOOKUP(compras_mes9[[#This Row],[CUIT]],Lista_CUIT[#All],4,0)),"CUIT NO CARGADO")</f>
        <v>0</v>
      </c>
    </row>
    <row r="183" spans="2:18" x14ac:dyDescent="0.25">
      <c r="B183" s="207" t="s">
        <v>2845</v>
      </c>
      <c r="C183" s="547">
        <v>1</v>
      </c>
      <c r="D183" s="209">
        <v>2</v>
      </c>
      <c r="E183" s="225">
        <v>4160</v>
      </c>
      <c r="F183" s="210">
        <v>30629863571</v>
      </c>
      <c r="G183" s="211" t="str">
        <f>IFERROR(IF(compras_mes9[[#This Row],[CUIT]]="","-",VLOOKUP(compras_mes9[[#This Row],[CUIT]],Lista_CUIT[#All],2,0)),"CUIT NO CARGADO")</f>
        <v>TECNIMAR S R L</v>
      </c>
      <c r="H183" s="212">
        <v>2104700</v>
      </c>
      <c r="I183" s="85">
        <f>IF(compras_mes9[[#This Row],[NETO GRAVADO]]="","",compras_mes9[[#This Row],[NETO GRAVADO]]*0.21)</f>
        <v>441987</v>
      </c>
      <c r="J183" s="213"/>
      <c r="K183" s="213"/>
      <c r="L183" s="213"/>
      <c r="M183" s="213"/>
      <c r="N183" s="213"/>
      <c r="O183" s="213"/>
      <c r="P183" s="214">
        <f>SUM(compras_mes9[[#This Row],[NETO GRAVADO]:[Otros / No Grav.]])</f>
        <v>2546687</v>
      </c>
      <c r="Q183" s="215" t="str">
        <f>IFERROR(IF(compras_mes9[[#This Row],[CUIT]]="","-",VLOOKUP(compras_mes9[[#This Row],[CUIT]],Lista_CUIT[#All],3,0)),"CUIT NO CARGADO")</f>
        <v>Productos Venta</v>
      </c>
      <c r="R183" s="215">
        <f>IFERROR(IF(compras_mes9[[#This Row],[CUIT]]="","-",VLOOKUP(compras_mes9[[#This Row],[CUIT]],Lista_CUIT[#All],4,0)),"CUIT NO CARGADO")</f>
        <v>0</v>
      </c>
    </row>
    <row r="184" spans="2:18" x14ac:dyDescent="0.25">
      <c r="B184" s="207" t="s">
        <v>2845</v>
      </c>
      <c r="C184" s="547">
        <v>1</v>
      </c>
      <c r="D184" s="209">
        <v>2</v>
      </c>
      <c r="E184" s="225">
        <v>10518</v>
      </c>
      <c r="F184" s="210">
        <v>23180288899</v>
      </c>
      <c r="G184" s="211" t="str">
        <f>IFERROR(IF(compras_mes9[[#This Row],[CUIT]]="","-",VLOOKUP(compras_mes9[[#This Row],[CUIT]],Lista_CUIT[#All],2,0)),"CUIT NO CARGADO")</f>
        <v>ROMERO EMILIO</v>
      </c>
      <c r="H184" s="94">
        <v>1635000</v>
      </c>
      <c r="I184" s="85">
        <f>IF(compras_mes9[[#This Row],[NETO GRAVADO]]="","",compras_mes9[[#This Row],[NETO GRAVADO]]*0.21)</f>
        <v>343350</v>
      </c>
      <c r="J184" s="213"/>
      <c r="K184" s="213"/>
      <c r="L184" s="213"/>
      <c r="M184" s="213"/>
      <c r="N184" s="213"/>
      <c r="O184" s="213"/>
      <c r="P184" s="214">
        <f>SUM(compras_mes9[[#This Row],[NETO GRAVADO]:[Otros / No Grav.]])</f>
        <v>1978350</v>
      </c>
      <c r="Q184" s="215" t="str">
        <f>IFERROR(IF(compras_mes9[[#This Row],[CUIT]]="","-",VLOOKUP(compras_mes9[[#This Row],[CUIT]],Lista_CUIT[#All],3,0)),"CUIT NO CARGADO")</f>
        <v>Gastos Varios</v>
      </c>
      <c r="R184" s="215">
        <f>IFERROR(IF(compras_mes9[[#This Row],[CUIT]]="","-",VLOOKUP(compras_mes9[[#This Row],[CUIT]],Lista_CUIT[#All],4,0)),"CUIT NO CARGADO")</f>
        <v>0</v>
      </c>
    </row>
    <row r="185" spans="2:18" x14ac:dyDescent="0.25">
      <c r="B185" s="207" t="s">
        <v>2845</v>
      </c>
      <c r="C185" s="547">
        <v>1</v>
      </c>
      <c r="D185" s="209">
        <v>7</v>
      </c>
      <c r="E185" s="225">
        <v>33817</v>
      </c>
      <c r="F185" s="210">
        <v>30710819552</v>
      </c>
      <c r="G185" s="211" t="str">
        <f>IFERROR(IF(compras_mes9[[#This Row],[CUIT]]="","-",VLOOKUP(compras_mes9[[#This Row],[CUIT]],Lista_CUIT[#All],2,0)),"CUIT NO CARGADO")</f>
        <v>EL CACIQUE Gastos Limpieza SRL</v>
      </c>
      <c r="H185" s="46">
        <v>16552.060000000001</v>
      </c>
      <c r="I185" s="85">
        <f>IF(compras_mes9[[#This Row],[NETO GRAVADO]]="","",compras_mes9[[#This Row],[NETO GRAVADO]]*0.21)</f>
        <v>3475.9326000000001</v>
      </c>
      <c r="J185" s="213"/>
      <c r="K185" s="213"/>
      <c r="L185" s="213"/>
      <c r="M185" s="213"/>
      <c r="N185" s="213"/>
      <c r="O185" s="213"/>
      <c r="P185" s="214">
        <f>SUM(compras_mes9[[#This Row],[NETO GRAVADO]:[Otros / No Grav.]])</f>
        <v>20027.992600000001</v>
      </c>
      <c r="Q185" s="215" t="str">
        <f>IFERROR(IF(compras_mes9[[#This Row],[CUIT]]="","-",VLOOKUP(compras_mes9[[#This Row],[CUIT]],Lista_CUIT[#All],3,0)),"CUIT NO CARGADO")</f>
        <v>Gastos Limpieza</v>
      </c>
      <c r="R185" s="215">
        <f>IFERROR(IF(compras_mes9[[#This Row],[CUIT]]="","-",VLOOKUP(compras_mes9[[#This Row],[CUIT]],Lista_CUIT[#All],4,0)),"CUIT NO CARGADO")</f>
        <v>0</v>
      </c>
    </row>
    <row r="186" spans="2:18" x14ac:dyDescent="0.25">
      <c r="B186" s="207" t="s">
        <v>2845</v>
      </c>
      <c r="C186" s="547">
        <v>1</v>
      </c>
      <c r="D186" s="209">
        <v>1678</v>
      </c>
      <c r="E186" s="225">
        <v>62296</v>
      </c>
      <c r="F186" s="210">
        <v>30589621499</v>
      </c>
      <c r="G186" s="211" t="str">
        <f>IFERROR(IF(compras_mes9[[#This Row],[CUIT]]="","-",VLOOKUP(compras_mes9[[#This Row],[CUIT]],Lista_CUIT[#All],2,0)),"CUIT NO CARGADO")</f>
        <v>MAKRO SA</v>
      </c>
      <c r="H186" s="94">
        <v>70605.97</v>
      </c>
      <c r="I186" s="85">
        <v>14592.29</v>
      </c>
      <c r="J186" s="213"/>
      <c r="K186" s="213">
        <v>117.48</v>
      </c>
      <c r="L186" s="213"/>
      <c r="M186" s="213"/>
      <c r="N186" s="213"/>
      <c r="O186" s="213">
        <v>6337.75</v>
      </c>
      <c r="P186" s="214">
        <f>SUM(compras_mes9[[#This Row],[NETO GRAVADO]:[Otros / No Grav.]])</f>
        <v>91653.49</v>
      </c>
      <c r="Q186" s="215" t="str">
        <f>IFERROR(IF(compras_mes9[[#This Row],[CUIT]]="","-",VLOOKUP(compras_mes9[[#This Row],[CUIT]],Lista_CUIT[#All],3,0)),"CUIT NO CARGADO")</f>
        <v>Gastos Varios</v>
      </c>
      <c r="R186" s="215">
        <f>IFERROR(IF(compras_mes9[[#This Row],[CUIT]]="","-",VLOOKUP(compras_mes9[[#This Row],[CUIT]],Lista_CUIT[#All],4,0)),"CUIT NO CARGADO")</f>
        <v>0</v>
      </c>
    </row>
    <row r="187" spans="2:18" x14ac:dyDescent="0.25">
      <c r="B187" s="207" t="s">
        <v>2845</v>
      </c>
      <c r="C187" s="547">
        <v>1</v>
      </c>
      <c r="D187" s="209">
        <v>700</v>
      </c>
      <c r="E187" s="225">
        <v>2724319</v>
      </c>
      <c r="F187" s="210">
        <v>30715804812</v>
      </c>
      <c r="G187" s="211" t="str">
        <f>IFERROR(IF(compras_mes9[[#This Row],[CUIT]]="","-",VLOOKUP(compras_mes9[[#This Row],[CUIT]],Lista_CUIT[#All],2,0)),"CUIT NO CARGADO")</f>
        <v>CORREDORES VIALES SOCIEDAD ANONIMA</v>
      </c>
      <c r="H187" s="94">
        <v>6031.89</v>
      </c>
      <c r="I187" s="85">
        <f>IF(compras_mes9[[#This Row],[NETO GRAVADO]]="","",compras_mes9[[#This Row],[NETO GRAVADO]]*0.21)</f>
        <v>1266.6968999999999</v>
      </c>
      <c r="J187" s="85"/>
      <c r="K187" s="85"/>
      <c r="L187" s="85"/>
      <c r="M187" s="85"/>
      <c r="N187" s="85"/>
      <c r="O187" s="85"/>
      <c r="P187" s="48">
        <f>SUM(compras_mes9[[#This Row],[NETO GRAVADO]:[Otros / No Grav.]])</f>
        <v>7298.5869000000002</v>
      </c>
      <c r="Q187" s="215" t="str">
        <f>IFERROR(IF(compras_mes9[[#This Row],[CUIT]]="","-",VLOOKUP(compras_mes9[[#This Row],[CUIT]],Lista_CUIT[#All],3,0)),"CUIT NO CARGADO")</f>
        <v>Peajes</v>
      </c>
      <c r="R187" s="215">
        <f>IFERROR(IF(compras_mes9[[#This Row],[CUIT]]="","-",VLOOKUP(compras_mes9[[#This Row],[CUIT]],Lista_CUIT[#All],4,0)),"CUIT NO CARGADO")</f>
        <v>0</v>
      </c>
    </row>
    <row r="188" spans="2:18" x14ac:dyDescent="0.25">
      <c r="B188" s="378" t="s">
        <v>2824</v>
      </c>
      <c r="C188" s="547">
        <v>1</v>
      </c>
      <c r="D188" s="379">
        <v>2</v>
      </c>
      <c r="E188" s="380">
        <v>4161</v>
      </c>
      <c r="F188" s="381">
        <v>30629863571</v>
      </c>
      <c r="G188" s="382" t="str">
        <f>IFERROR(IF(compras_mes9[[#This Row],[CUIT]]="","-",VLOOKUP(compras_mes9[[#This Row],[CUIT]],Lista_CUIT[#All],2,0)),"CUIT NO CARGADO")</f>
        <v>TECNIMAR S R L</v>
      </c>
      <c r="H188" s="383">
        <v>1630838</v>
      </c>
      <c r="I188" s="85">
        <f>IF(compras_mes9[[#This Row],[NETO GRAVADO]]="","",compras_mes9[[#This Row],[NETO GRAVADO]]*0.21)</f>
        <v>342475.98</v>
      </c>
      <c r="J188" s="384"/>
      <c r="K188" s="384"/>
      <c r="L188" s="384"/>
      <c r="M188" s="384"/>
      <c r="N188" s="384"/>
      <c r="O188" s="384"/>
      <c r="P188" s="385">
        <f>SUM(compras_mes9[[#This Row],[NETO GRAVADO]:[Otros / No Grav.]])</f>
        <v>1973313.98</v>
      </c>
      <c r="Q188" s="386" t="str">
        <f>IFERROR(IF(compras_mes9[[#This Row],[CUIT]]="","-",VLOOKUP(compras_mes9[[#This Row],[CUIT]],Lista_CUIT[#All],3,0)),"CUIT NO CARGADO")</f>
        <v>Productos Venta</v>
      </c>
      <c r="R188" s="386">
        <f>IFERROR(IF(compras_mes9[[#This Row],[CUIT]]="","-",VLOOKUP(compras_mes9[[#This Row],[CUIT]],Lista_CUIT[#All],4,0)),"CUIT NO CARGADO")</f>
        <v>0</v>
      </c>
    </row>
    <row r="189" spans="2:18" x14ac:dyDescent="0.25">
      <c r="B189" s="378" t="s">
        <v>2824</v>
      </c>
      <c r="C189" s="547">
        <v>1</v>
      </c>
      <c r="D189" s="379">
        <v>3</v>
      </c>
      <c r="E189" s="380">
        <v>4576</v>
      </c>
      <c r="F189" s="381">
        <v>30714618977</v>
      </c>
      <c r="G189" s="382" t="str">
        <f>IFERROR(IF(compras_mes9[[#This Row],[CUIT]]="","-",VLOOKUP(compras_mes9[[#This Row],[CUIT]],Lista_CUIT[#All],2,0)),"CUIT NO CARGADO")</f>
        <v>DISTRIBUIDORA N.G. S.A.</v>
      </c>
      <c r="H189" s="383">
        <v>290900</v>
      </c>
      <c r="I189" s="85">
        <f>IF(compras_mes9[[#This Row],[NETO GRAVADO]]="","",compras_mes9[[#This Row],[NETO GRAVADO]]*0.21)</f>
        <v>61089</v>
      </c>
      <c r="J189" s="384"/>
      <c r="K189" s="384"/>
      <c r="L189" s="384"/>
      <c r="M189" s="384"/>
      <c r="N189" s="384"/>
      <c r="O189" s="384"/>
      <c r="P189" s="385">
        <f>SUM(compras_mes9[[#This Row],[NETO GRAVADO]:[Otros / No Grav.]])</f>
        <v>351989</v>
      </c>
      <c r="Q189" s="386" t="str">
        <f>IFERROR(IF(compras_mes9[[#This Row],[CUIT]]="","-",VLOOKUP(compras_mes9[[#This Row],[CUIT]],Lista_CUIT[#All],3,0)),"CUIT NO CARGADO")</f>
        <v>Productos Venta</v>
      </c>
      <c r="R189" s="386">
        <f>IFERROR(IF(compras_mes9[[#This Row],[CUIT]]="","-",VLOOKUP(compras_mes9[[#This Row],[CUIT]],Lista_CUIT[#All],4,0)),"CUIT NO CARGADO")</f>
        <v>0</v>
      </c>
    </row>
    <row r="190" spans="2:18" x14ac:dyDescent="0.25">
      <c r="B190" s="546">
        <v>45925</v>
      </c>
      <c r="C190" s="547">
        <v>1</v>
      </c>
      <c r="D190" s="487">
        <v>18</v>
      </c>
      <c r="E190" s="548">
        <v>47022</v>
      </c>
      <c r="F190" s="549">
        <v>30515800219</v>
      </c>
      <c r="G190" s="550" t="str">
        <f>IFERROR(IF(compras_mes9[[#This Row],[CUIT]]="","-",VLOOKUP(compras_mes9[[#This Row],[CUIT]],Lista_CUIT[#All],2,0)),"CUIT NO CARGADO")</f>
        <v>INCAT SRL</v>
      </c>
      <c r="H190" s="551">
        <v>39269.81</v>
      </c>
      <c r="I190" s="552">
        <f>IF(compras_mes9[[#This Row],[NETO GRAVADO]]="","",compras_mes9[[#This Row],[NETO GRAVADO]]*0.21)</f>
        <v>8246.6600999999991</v>
      </c>
      <c r="J190" s="552"/>
      <c r="K190" s="552"/>
      <c r="L190" s="574"/>
      <c r="M190" s="552"/>
      <c r="N190" s="552">
        <v>10488.48</v>
      </c>
      <c r="O190" s="552"/>
      <c r="P190" s="553">
        <f>SUM(compras_mes9[[#This Row],[NETO GRAVADO]:[Otros / No Grav.]])</f>
        <v>58004.950100000002</v>
      </c>
      <c r="Q190" s="554" t="str">
        <f>IFERROR(IF(compras_mes9[[#This Row],[CUIT]]="","-",VLOOKUP(compras_mes9[[#This Row],[CUIT]],Lista_CUIT[#All],3,0)),"CUIT NO CARGADO")</f>
        <v>Combustible</v>
      </c>
      <c r="R190" s="554" t="str">
        <f>IFERROR(IF(compras_mes9[[#This Row],[CUIT]]="","-",VLOOKUP(compras_mes9[[#This Row],[CUIT]],Lista_CUIT[#All],4,0)),"CUIT NO CARGADO")</f>
        <v>CABA</v>
      </c>
    </row>
    <row r="191" spans="2:18" x14ac:dyDescent="0.25">
      <c r="B191" s="378" t="s">
        <v>2824</v>
      </c>
      <c r="C191" s="547">
        <v>1</v>
      </c>
      <c r="D191" s="379">
        <v>2024</v>
      </c>
      <c r="E191" s="380">
        <v>56893</v>
      </c>
      <c r="F191" s="381">
        <v>30516186670</v>
      </c>
      <c r="G191" s="382" t="str">
        <f>IFERROR(IF(compras_mes9[[#This Row],[CUIT]]="","-",VLOOKUP(compras_mes9[[#This Row],[CUIT]],Lista_CUIT[#All],2,0)),"CUIT NO CARGADO")</f>
        <v>DEHEZA S.A.I.C.F. e I.</v>
      </c>
      <c r="H191" s="383">
        <v>17072.689999999999</v>
      </c>
      <c r="I191" s="85">
        <f>IF(compras_mes9[[#This Row],[NETO GRAVADO]]="","",compras_mes9[[#This Row],[NETO GRAVADO]]*0.21)</f>
        <v>3585.2648999999997</v>
      </c>
      <c r="J191" s="384"/>
      <c r="K191" s="384"/>
      <c r="L191" s="384"/>
      <c r="M191" s="384"/>
      <c r="N191" s="384"/>
      <c r="O191" s="384">
        <v>6118.51</v>
      </c>
      <c r="P191" s="385">
        <f>SUM(compras_mes9[[#This Row],[NETO GRAVADO]:[Otros / No Grav.]])</f>
        <v>26776.464899999999</v>
      </c>
      <c r="Q191" s="386" t="str">
        <f>IFERROR(IF(compras_mes9[[#This Row],[CUIT]]="","-",VLOOKUP(compras_mes9[[#This Row],[CUIT]],Lista_CUIT[#All],3,0)),"CUIT NO CARGADO")</f>
        <v>Combustible</v>
      </c>
      <c r="R191" s="386" t="str">
        <f>IFERROR(IF(compras_mes9[[#This Row],[CUIT]]="","-",VLOOKUP(compras_mes9[[#This Row],[CUIT]],Lista_CUIT[#All],4,0)),"CUIT NO CARGADO")</f>
        <v>CABA</v>
      </c>
    </row>
    <row r="192" spans="2:18" x14ac:dyDescent="0.25">
      <c r="B192" s="378" t="s">
        <v>2825</v>
      </c>
      <c r="C192" s="547">
        <v>1</v>
      </c>
      <c r="D192" s="379">
        <v>9</v>
      </c>
      <c r="E192" s="380">
        <v>935</v>
      </c>
      <c r="F192" s="381">
        <v>30710446047</v>
      </c>
      <c r="G192" s="382" t="str">
        <f>IFERROR(IF(compras_mes9[[#This Row],[CUIT]]="","-",VLOOKUP(compras_mes9[[#This Row],[CUIT]],Lista_CUIT[#All],2,0)),"CUIT NO CARGADO")</f>
        <v>ENSAMBLE GRAFICO S.H.</v>
      </c>
      <c r="H192" s="383">
        <v>126500</v>
      </c>
      <c r="I192" s="85">
        <f>IF(compras_mes9[[#This Row],[NETO GRAVADO]]="","",compras_mes9[[#This Row],[NETO GRAVADO]]*0.21)</f>
        <v>26565</v>
      </c>
      <c r="J192" s="384"/>
      <c r="K192" s="384"/>
      <c r="L192" s="384"/>
      <c r="M192" s="384"/>
      <c r="N192" s="384"/>
      <c r="O192" s="384"/>
      <c r="P192" s="385">
        <f>SUM(compras_mes9[[#This Row],[NETO GRAVADO]:[Otros / No Grav.]])</f>
        <v>153065</v>
      </c>
      <c r="Q192" s="386" t="str">
        <f>IFERROR(IF(compras_mes9[[#This Row],[CUIT]]="","-",VLOOKUP(compras_mes9[[#This Row],[CUIT]],Lista_CUIT[#All],3,0)),"CUIT NO CARGADO")</f>
        <v>Material de Empaque</v>
      </c>
      <c r="R192" s="386">
        <f>IFERROR(IF(compras_mes9[[#This Row],[CUIT]]="","-",VLOOKUP(compras_mes9[[#This Row],[CUIT]],Lista_CUIT[#All],4,0)),"CUIT NO CARGADO")</f>
        <v>0</v>
      </c>
    </row>
    <row r="193" spans="2:18" x14ac:dyDescent="0.25">
      <c r="B193" s="378" t="s">
        <v>2825</v>
      </c>
      <c r="C193" s="547">
        <v>1</v>
      </c>
      <c r="D193" s="379">
        <v>11</v>
      </c>
      <c r="E193" s="380">
        <v>3377</v>
      </c>
      <c r="F193" s="381">
        <v>30709686883</v>
      </c>
      <c r="G193" s="382" t="str">
        <f>IFERROR(IF(compras_mes9[[#This Row],[CUIT]]="","-",VLOOKUP(compras_mes9[[#This Row],[CUIT]],Lista_CUIT[#All],2,0)),"CUIT NO CARGADO")</f>
        <v>SU-ESTANT SRL</v>
      </c>
      <c r="H193" s="383">
        <v>169346.53</v>
      </c>
      <c r="I193" s="85">
        <f>IF(compras_mes9[[#This Row],[NETO GRAVADO]]="","",compras_mes9[[#This Row],[NETO GRAVADO]]*0.21)</f>
        <v>35562.7713</v>
      </c>
      <c r="J193" s="384"/>
      <c r="K193" s="384"/>
      <c r="L193" s="384"/>
      <c r="M193" s="384"/>
      <c r="N193" s="384"/>
      <c r="O193" s="384"/>
      <c r="P193" s="385">
        <f>SUM(compras_mes9[[#This Row],[NETO GRAVADO]:[Otros / No Grav.]])</f>
        <v>204909.30129999999</v>
      </c>
      <c r="Q193" s="386" t="s">
        <v>3074</v>
      </c>
      <c r="R193" s="386">
        <f>IFERROR(IF(compras_mes9[[#This Row],[CUIT]]="","-",VLOOKUP(compras_mes9[[#This Row],[CUIT]],Lista_CUIT[#All],4,0)),"CUIT NO CARGADO")</f>
        <v>0</v>
      </c>
    </row>
    <row r="194" spans="2:18" x14ac:dyDescent="0.25">
      <c r="B194" s="378" t="s">
        <v>2825</v>
      </c>
      <c r="C194" s="547">
        <v>1</v>
      </c>
      <c r="D194" s="379">
        <v>2</v>
      </c>
      <c r="E194" s="380">
        <v>4162</v>
      </c>
      <c r="F194" s="381">
        <v>30629863571</v>
      </c>
      <c r="G194" s="382" t="str">
        <f>IFERROR(IF(compras_mes9[[#This Row],[CUIT]]="","-",VLOOKUP(compras_mes9[[#This Row],[CUIT]],Lista_CUIT[#All],2,0)),"CUIT NO CARGADO")</f>
        <v>TECNIMAR S R L</v>
      </c>
      <c r="H194" s="383">
        <v>852930</v>
      </c>
      <c r="I194" s="85">
        <f>IF(compras_mes9[[#This Row],[NETO GRAVADO]]="","",compras_mes9[[#This Row],[NETO GRAVADO]]*0.21)</f>
        <v>179115.3</v>
      </c>
      <c r="J194" s="384"/>
      <c r="K194" s="384"/>
      <c r="L194" s="384"/>
      <c r="M194" s="384"/>
      <c r="N194" s="384"/>
      <c r="O194" s="384"/>
      <c r="P194" s="385">
        <f>SUM(compras_mes9[[#This Row],[NETO GRAVADO]:[Otros / No Grav.]])</f>
        <v>1032045.3</v>
      </c>
      <c r="Q194" s="386" t="str">
        <f>IFERROR(IF(compras_mes9[[#This Row],[CUIT]]="","-",VLOOKUP(compras_mes9[[#This Row],[CUIT]],Lista_CUIT[#All],3,0)),"CUIT NO CARGADO")</f>
        <v>Productos Venta</v>
      </c>
      <c r="R194" s="386">
        <f>IFERROR(IF(compras_mes9[[#This Row],[CUIT]]="","-",VLOOKUP(compras_mes9[[#This Row],[CUIT]],Lista_CUIT[#All],4,0)),"CUIT NO CARGADO")</f>
        <v>0</v>
      </c>
    </row>
    <row r="195" spans="2:18" x14ac:dyDescent="0.25">
      <c r="B195" s="378" t="s">
        <v>2825</v>
      </c>
      <c r="C195" s="547">
        <v>1</v>
      </c>
      <c r="D195" s="379">
        <v>4</v>
      </c>
      <c r="E195" s="380">
        <v>8852</v>
      </c>
      <c r="F195" s="381">
        <v>30716522454</v>
      </c>
      <c r="G195" s="382" t="str">
        <f>IFERROR(IF(compras_mes9[[#This Row],[CUIT]]="","-",VLOOKUP(compras_mes9[[#This Row],[CUIT]],Lista_CUIT[#All],2,0)),"CUIT NO CARGADO")</f>
        <v>RUFFO &amp; KEN</v>
      </c>
      <c r="H195" s="383">
        <v>66532.13</v>
      </c>
      <c r="I195" s="85" t="s">
        <v>2411</v>
      </c>
      <c r="J195" s="384"/>
      <c r="K195" s="384">
        <f>compras_mes9[[#This Row],[NETO GRAVADO]]*0.105</f>
        <v>6985.8736500000005</v>
      </c>
      <c r="L195" s="384"/>
      <c r="M195" s="384"/>
      <c r="N195" s="384"/>
      <c r="O195" s="384"/>
      <c r="P195" s="385">
        <f>SUM(compras_mes9[[#This Row],[NETO GRAVADO]:[Otros / No Grav.]])</f>
        <v>73518.003649999999</v>
      </c>
      <c r="Q195" s="386" t="s">
        <v>2566</v>
      </c>
      <c r="R195" s="386">
        <f>IFERROR(IF(compras_mes9[[#This Row],[CUIT]]="","-",VLOOKUP(compras_mes9[[#This Row],[CUIT]],Lista_CUIT[#All],4,0)),"CUIT NO CARGADO")</f>
        <v>0</v>
      </c>
    </row>
    <row r="196" spans="2:18" x14ac:dyDescent="0.25">
      <c r="B196" s="378" t="s">
        <v>2825</v>
      </c>
      <c r="C196" s="547">
        <v>1</v>
      </c>
      <c r="D196" s="379">
        <v>4</v>
      </c>
      <c r="E196" s="380">
        <v>51047</v>
      </c>
      <c r="F196" s="381">
        <v>30709863076</v>
      </c>
      <c r="G196" s="382" t="str">
        <f>IFERROR(IF(compras_mes9[[#This Row],[CUIT]]="","-",VLOOKUP(compras_mes9[[#This Row],[CUIT]],Lista_CUIT[#All],2,0)),"CUIT NO CARGADO")</f>
        <v>INDUSTRIAS PLASTICOS SALTA S.R.L.</v>
      </c>
      <c r="H196" s="383">
        <v>148760.32999999999</v>
      </c>
      <c r="I196" s="85">
        <f>IF(compras_mes9[[#This Row],[NETO GRAVADO]]="","",compras_mes9[[#This Row],[NETO GRAVADO]]*0.21)</f>
        <v>31239.669299999998</v>
      </c>
      <c r="J196" s="384"/>
      <c r="K196" s="384"/>
      <c r="L196" s="384"/>
      <c r="M196" s="384"/>
      <c r="N196" s="384"/>
      <c r="O196" s="384"/>
      <c r="P196" s="385">
        <f>SUM(compras_mes9[[#This Row],[NETO GRAVADO]:[Otros / No Grav.]])</f>
        <v>179999.9993</v>
      </c>
      <c r="Q196" s="386" t="str">
        <f>IFERROR(IF(compras_mes9[[#This Row],[CUIT]]="","-",VLOOKUP(compras_mes9[[#This Row],[CUIT]],Lista_CUIT[#All],3,0)),"CUIT NO CARGADO")</f>
        <v>Materia Prima</v>
      </c>
      <c r="R196" s="386">
        <f>IFERROR(IF(compras_mes9[[#This Row],[CUIT]]="","-",VLOOKUP(compras_mes9[[#This Row],[CUIT]],Lista_CUIT[#All],4,0)),"CUIT NO CARGADO")</f>
        <v>0</v>
      </c>
    </row>
    <row r="197" spans="2:18" x14ac:dyDescent="0.25">
      <c r="B197" s="378" t="s">
        <v>2825</v>
      </c>
      <c r="C197" s="547">
        <v>1</v>
      </c>
      <c r="D197" s="379">
        <v>73</v>
      </c>
      <c r="E197" s="380">
        <v>326473</v>
      </c>
      <c r="F197" s="381">
        <v>30546741253</v>
      </c>
      <c r="G197" s="382" t="str">
        <f>IFERROR(IF(compras_mes9[[#This Row],[CUIT]]="","-",VLOOKUP(compras_mes9[[#This Row],[CUIT]],Lista_CUIT[#All],2,0)),"CUIT NO CARGADO")</f>
        <v>OSDE </v>
      </c>
      <c r="H197" s="383">
        <v>662122.16</v>
      </c>
      <c r="I197" s="85" t="s">
        <v>2411</v>
      </c>
      <c r="J197" s="384"/>
      <c r="K197" s="384">
        <f>compras_mes9[[#This Row],[NETO GRAVADO]]*0.105</f>
        <v>69522.826799999995</v>
      </c>
      <c r="L197" s="384"/>
      <c r="M197" s="384"/>
      <c r="N197" s="384"/>
      <c r="O197" s="384">
        <v>39727.33</v>
      </c>
      <c r="P197" s="385">
        <f>SUM(compras_mes9[[#This Row],[NETO GRAVADO]:[Otros / No Grav.]])</f>
        <v>771372.31680000003</v>
      </c>
      <c r="Q197" s="386" t="str">
        <f>IFERROR(IF(compras_mes9[[#This Row],[CUIT]]="","-",VLOOKUP(compras_mes9[[#This Row],[CUIT]],Lista_CUIT[#All],3,0)),"CUIT NO CARGADO")</f>
        <v>Prepaga corporativa</v>
      </c>
      <c r="R197" s="386">
        <f>IFERROR(IF(compras_mes9[[#This Row],[CUIT]]="","-",VLOOKUP(compras_mes9[[#This Row],[CUIT]],Lista_CUIT[#All],4,0)),"CUIT NO CARGADO")</f>
        <v>0</v>
      </c>
    </row>
    <row r="198" spans="2:18" x14ac:dyDescent="0.25">
      <c r="B198" s="378" t="s">
        <v>2826</v>
      </c>
      <c r="C198" s="547">
        <v>1</v>
      </c>
      <c r="D198" s="379">
        <v>2199</v>
      </c>
      <c r="E198" s="380">
        <v>39319</v>
      </c>
      <c r="F198" s="381">
        <v>30548083156</v>
      </c>
      <c r="G198" s="382" t="str">
        <f>IFERROR(IF(compras_mes9[[#This Row],[CUIT]]="","-",VLOOKUP(compras_mes9[[#This Row],[CUIT]],Lista_CUIT[#All],2,0)),"CUIT NO CARGADO")</f>
        <v>COTO CENTRO INTEGRAL DE COMERCIALIZACION SOCIEDAD ANONIMA</v>
      </c>
      <c r="H198" s="383">
        <v>88386.3</v>
      </c>
      <c r="I198" s="85">
        <v>14441.47</v>
      </c>
      <c r="J198" s="384"/>
      <c r="K198" s="384">
        <v>2059.83</v>
      </c>
      <c r="L198" s="384"/>
      <c r="M198" s="384"/>
      <c r="N198" s="384"/>
      <c r="O198" s="384">
        <v>6565.5</v>
      </c>
      <c r="P198" s="385">
        <f>SUM(compras_mes9[[#This Row],[NETO GRAVADO]:[Otros / No Grav.]])</f>
        <v>111453.1</v>
      </c>
      <c r="Q198" s="386" t="str">
        <f>IFERROR(IF(compras_mes9[[#This Row],[CUIT]]="","-",VLOOKUP(compras_mes9[[#This Row],[CUIT]],Lista_CUIT[#All],3,0)),"CUIT NO CARGADO")</f>
        <v>Gastos Varios</v>
      </c>
      <c r="R198" s="386">
        <f>IFERROR(IF(compras_mes9[[#This Row],[CUIT]]="","-",VLOOKUP(compras_mes9[[#This Row],[CUIT]],Lista_CUIT[#All],4,0)),"CUIT NO CARGADO")</f>
        <v>0</v>
      </c>
    </row>
    <row r="199" spans="2:18" x14ac:dyDescent="0.25">
      <c r="B199" s="546">
        <v>45927</v>
      </c>
      <c r="C199" s="547">
        <v>1</v>
      </c>
      <c r="D199" s="487">
        <v>12</v>
      </c>
      <c r="E199" s="548">
        <v>74381</v>
      </c>
      <c r="F199" s="549">
        <v>30696131003</v>
      </c>
      <c r="G199" s="550" t="str">
        <f>IFERROR(IF(compras_mes9[[#This Row],[CUIT]]="","-",VLOOKUP(compras_mes9[[#This Row],[CUIT]],Lista_CUIT[#All],2,0)),"CUIT NO CARGADO")</f>
        <v>Petrolfe S.A.</v>
      </c>
      <c r="H199" s="551">
        <v>239755.43</v>
      </c>
      <c r="I199" s="552">
        <f>IF(compras_mes9[[#This Row],[NETO GRAVADO]]="","",compras_mes9[[#This Row],[NETO GRAVADO]]*0.21)</f>
        <v>50348.640299999999</v>
      </c>
      <c r="J199" s="552"/>
      <c r="K199" s="552"/>
      <c r="L199" s="574"/>
      <c r="M199" s="552"/>
      <c r="N199" s="552">
        <v>30690.61</v>
      </c>
      <c r="O199" s="552"/>
      <c r="P199" s="553">
        <f>SUM(compras_mes9[[#This Row],[NETO GRAVADO]:[Otros / No Grav.]])</f>
        <v>320794.68030000001</v>
      </c>
      <c r="Q199" s="554" t="str">
        <f>IFERROR(IF(compras_mes9[[#This Row],[CUIT]]="","-",VLOOKUP(compras_mes9[[#This Row],[CUIT]],Lista_CUIT[#All],3,0)),"CUIT NO CARGADO")</f>
        <v>Combustible</v>
      </c>
      <c r="R199" s="554">
        <f>IFERROR(IF(compras_mes9[[#This Row],[CUIT]]="","-",VLOOKUP(compras_mes9[[#This Row],[CUIT]],Lista_CUIT[#All],4,0)),"CUIT NO CARGADO")</f>
        <v>0</v>
      </c>
    </row>
    <row r="200" spans="2:18" x14ac:dyDescent="0.25">
      <c r="B200" s="546" t="s">
        <v>2827</v>
      </c>
      <c r="C200" s="547">
        <v>1</v>
      </c>
      <c r="D200" s="487">
        <v>4</v>
      </c>
      <c r="E200" s="548">
        <v>171</v>
      </c>
      <c r="F200" s="549">
        <v>30718409744</v>
      </c>
      <c r="G200" s="550" t="str">
        <f>IFERROR(IF(compras_mes9[[#This Row],[CUIT]]="","-",VLOOKUP(compras_mes9[[#This Row],[CUIT]],Lista_CUIT[#All],2,0)),"CUIT NO CARGADO")</f>
        <v>GRUPO MITRE</v>
      </c>
      <c r="H200" s="551">
        <v>109917.36</v>
      </c>
      <c r="I200" s="552">
        <f>IF(compras_mes9[[#This Row],[NETO GRAVADO]]="","",compras_mes9[[#This Row],[NETO GRAVADO]]*0.21)</f>
        <v>23082.6456</v>
      </c>
      <c r="J200" s="552"/>
      <c r="K200" s="552"/>
      <c r="L200" s="574"/>
      <c r="M200" s="552"/>
      <c r="N200" s="552"/>
      <c r="O200" s="552"/>
      <c r="P200" s="553">
        <f>SUM(compras_mes9[[#This Row],[NETO GRAVADO]:[Otros / No Grav.]])</f>
        <v>133000.0056</v>
      </c>
      <c r="Q200" s="554" t="s">
        <v>2566</v>
      </c>
      <c r="R200" s="554">
        <f>IFERROR(IF(compras_mes9[[#This Row],[CUIT]]="","-",VLOOKUP(compras_mes9[[#This Row],[CUIT]],Lista_CUIT[#All],4,0)),"CUIT NO CARGADO")</f>
        <v>0</v>
      </c>
    </row>
    <row r="201" spans="2:18" x14ac:dyDescent="0.25">
      <c r="B201" s="378" t="s">
        <v>2827</v>
      </c>
      <c r="C201" s="547">
        <v>1</v>
      </c>
      <c r="D201" s="379">
        <v>1</v>
      </c>
      <c r="E201" s="380">
        <v>177</v>
      </c>
      <c r="F201" s="381">
        <v>30718383788</v>
      </c>
      <c r="G201" s="382" t="str">
        <f>IFERROR(IF(compras_mes9[[#This Row],[CUIT]]="","-",VLOOKUP(compras_mes9[[#This Row],[CUIT]],Lista_CUIT[#All],2,0)),"CUIT NO CARGADO")</f>
        <v>AGROPLASTIC S. R. L.</v>
      </c>
      <c r="H201" s="383">
        <v>20295.45</v>
      </c>
      <c r="I201" s="85">
        <f>IF(compras_mes9[[#This Row],[NETO GRAVADO]]="","",compras_mes9[[#This Row],[NETO GRAVADO]]*0.21)</f>
        <v>4262.0445</v>
      </c>
      <c r="J201" s="384"/>
      <c r="K201" s="384"/>
      <c r="L201" s="384"/>
      <c r="M201" s="384"/>
      <c r="N201" s="384"/>
      <c r="O201" s="384"/>
      <c r="P201" s="385">
        <f>SUM(compras_mes9[[#This Row],[NETO GRAVADO]:[Otros / No Grav.]])</f>
        <v>24557.494500000001</v>
      </c>
      <c r="Q201" s="386" t="s">
        <v>79</v>
      </c>
      <c r="R201" s="386">
        <f>IFERROR(IF(compras_mes9[[#This Row],[CUIT]]="","-",VLOOKUP(compras_mes9[[#This Row],[CUIT]],Lista_CUIT[#All],4,0)),"CUIT NO CARGADO")</f>
        <v>0</v>
      </c>
    </row>
    <row r="202" spans="2:18" x14ac:dyDescent="0.25">
      <c r="B202" s="546" t="s">
        <v>2827</v>
      </c>
      <c r="C202" s="547">
        <v>1</v>
      </c>
      <c r="D202" s="487">
        <v>1</v>
      </c>
      <c r="E202" s="548">
        <v>178</v>
      </c>
      <c r="F202" s="549">
        <v>30718383788</v>
      </c>
      <c r="G202" s="550" t="str">
        <f>IFERROR(IF(compras_mes9[[#This Row],[CUIT]]="","-",VLOOKUP(compras_mes9[[#This Row],[CUIT]],Lista_CUIT[#All],2,0)),"CUIT NO CARGADO")</f>
        <v>AGROPLASTIC S. R. L.</v>
      </c>
      <c r="H202" s="551">
        <v>20295.45</v>
      </c>
      <c r="I202" s="552">
        <f>IF(compras_mes9[[#This Row],[NETO GRAVADO]]="","",compras_mes9[[#This Row],[NETO GRAVADO]]*0.21)</f>
        <v>4262.0445</v>
      </c>
      <c r="J202" s="552"/>
      <c r="K202" s="552"/>
      <c r="L202" s="574"/>
      <c r="M202" s="552"/>
      <c r="N202" s="552"/>
      <c r="O202" s="552"/>
      <c r="P202" s="553">
        <f>SUM(compras_mes9[[#This Row],[NETO GRAVADO]:[Otros / No Grav.]])</f>
        <v>24557.494500000001</v>
      </c>
      <c r="Q202" s="554" t="s">
        <v>79</v>
      </c>
      <c r="R202" s="554">
        <f>IFERROR(IF(compras_mes9[[#This Row],[CUIT]]="","-",VLOOKUP(compras_mes9[[#This Row],[CUIT]],Lista_CUIT[#All],4,0)),"CUIT NO CARGADO")</f>
        <v>0</v>
      </c>
    </row>
    <row r="203" spans="2:18" x14ac:dyDescent="0.25">
      <c r="B203" s="546" t="s">
        <v>2827</v>
      </c>
      <c r="C203" s="547">
        <v>1</v>
      </c>
      <c r="D203" s="487">
        <v>1</v>
      </c>
      <c r="E203" s="548">
        <v>179</v>
      </c>
      <c r="F203" s="549">
        <v>30718383788</v>
      </c>
      <c r="G203" s="550" t="str">
        <f>IFERROR(IF(compras_mes9[[#This Row],[CUIT]]="","-",VLOOKUP(compras_mes9[[#This Row],[CUIT]],Lista_CUIT[#All],2,0)),"CUIT NO CARGADO")</f>
        <v>AGROPLASTIC S. R. L.</v>
      </c>
      <c r="H203" s="551">
        <v>20295.45</v>
      </c>
      <c r="I203" s="552">
        <f>IF(compras_mes9[[#This Row],[NETO GRAVADO]]="","",compras_mes9[[#This Row],[NETO GRAVADO]]*0.21)</f>
        <v>4262.0445</v>
      </c>
      <c r="J203" s="552"/>
      <c r="K203" s="552"/>
      <c r="L203" s="574"/>
      <c r="M203" s="552"/>
      <c r="N203" s="552"/>
      <c r="O203" s="552"/>
      <c r="P203" s="553">
        <f>SUM(compras_mes9[[#This Row],[NETO GRAVADO]:[Otros / No Grav.]])</f>
        <v>24557.494500000001</v>
      </c>
      <c r="Q203" s="554" t="s">
        <v>79</v>
      </c>
      <c r="R203" s="554">
        <f>IFERROR(IF(compras_mes9[[#This Row],[CUIT]]="","-",VLOOKUP(compras_mes9[[#This Row],[CUIT]],Lista_CUIT[#All],4,0)),"CUIT NO CARGADO")</f>
        <v>0</v>
      </c>
    </row>
    <row r="204" spans="2:18" x14ac:dyDescent="0.25">
      <c r="B204" s="378" t="s">
        <v>2827</v>
      </c>
      <c r="C204" s="547">
        <v>1</v>
      </c>
      <c r="D204" s="379">
        <v>4</v>
      </c>
      <c r="E204" s="380">
        <v>943</v>
      </c>
      <c r="F204" s="381">
        <v>27317740196</v>
      </c>
      <c r="G204" s="382" t="str">
        <f>IFERROR(IF(compras_mes9[[#This Row],[CUIT]]="","-",VLOOKUP(compras_mes9[[#This Row],[CUIT]],Lista_CUIT[#All],2,0)),"CUIT NO CARGADO")</f>
        <v>HOKAMA ROMINA PAOLA</v>
      </c>
      <c r="H204" s="383">
        <v>26726.45</v>
      </c>
      <c r="I204" s="85">
        <f>IF(compras_mes9[[#This Row],[NETO GRAVADO]]="","",compras_mes9[[#This Row],[NETO GRAVADO]]*0.21)</f>
        <v>5612.5545000000002</v>
      </c>
      <c r="J204" s="384"/>
      <c r="K204" s="384"/>
      <c r="L204" s="384"/>
      <c r="M204" s="384"/>
      <c r="N204" s="384"/>
      <c r="O204" s="384"/>
      <c r="P204" s="385">
        <f>SUM(compras_mes9[[#This Row],[NETO GRAVADO]:[Otros / No Grav.]])</f>
        <v>32339.004500000003</v>
      </c>
      <c r="Q204" s="386" t="str">
        <f>IFERROR(IF(compras_mes9[[#This Row],[CUIT]]="","-",VLOOKUP(compras_mes9[[#This Row],[CUIT]],Lista_CUIT[#All],3,0)),"CUIT NO CARGADO")</f>
        <v>Gastos Varios</v>
      </c>
      <c r="R204" s="386">
        <f>IFERROR(IF(compras_mes9[[#This Row],[CUIT]]="","-",VLOOKUP(compras_mes9[[#This Row],[CUIT]],Lista_CUIT[#All],4,0)),"CUIT NO CARGADO")</f>
        <v>0</v>
      </c>
    </row>
    <row r="205" spans="2:18" x14ac:dyDescent="0.25">
      <c r="B205" s="378" t="s">
        <v>2827</v>
      </c>
      <c r="C205" s="547">
        <v>1</v>
      </c>
      <c r="D205" s="379">
        <v>9</v>
      </c>
      <c r="E205" s="380">
        <v>2441</v>
      </c>
      <c r="F205" s="381">
        <v>20416150959</v>
      </c>
      <c r="G205" s="382" t="str">
        <f>IFERROR(IF(compras_mes9[[#This Row],[CUIT]]="","-",VLOOKUP(compras_mes9[[#This Row],[CUIT]],Lista_CUIT[#All],2,0)),"CUIT NO CARGADO")</f>
        <v>CHAMEN ABRAHAM JONATAN</v>
      </c>
      <c r="H205" s="383">
        <v>37190.080000000002</v>
      </c>
      <c r="I205" s="85">
        <f>IF(compras_mes9[[#This Row],[NETO GRAVADO]]="","",compras_mes9[[#This Row],[NETO GRAVADO]]*0.21)</f>
        <v>7809.9168</v>
      </c>
      <c r="J205" s="384"/>
      <c r="K205" s="384"/>
      <c r="L205" s="384"/>
      <c r="M205" s="384"/>
      <c r="N205" s="384"/>
      <c r="O205" s="384"/>
      <c r="P205" s="385">
        <f>SUM(compras_mes9[[#This Row],[NETO GRAVADO]:[Otros / No Grav.]])</f>
        <v>44999.996800000001</v>
      </c>
      <c r="Q205" s="386" t="s">
        <v>3075</v>
      </c>
      <c r="R205" s="386">
        <f>IFERROR(IF(compras_mes9[[#This Row],[CUIT]]="","-",VLOOKUP(compras_mes9[[#This Row],[CUIT]],Lista_CUIT[#All],4,0)),"CUIT NO CARGADO")</f>
        <v>0</v>
      </c>
    </row>
    <row r="206" spans="2:18" x14ac:dyDescent="0.25">
      <c r="B206" s="378" t="s">
        <v>2827</v>
      </c>
      <c r="C206" s="547">
        <v>1</v>
      </c>
      <c r="D206" s="379">
        <v>4</v>
      </c>
      <c r="E206" s="380">
        <v>51068</v>
      </c>
      <c r="F206" s="381">
        <v>30709863076</v>
      </c>
      <c r="G206" s="382" t="str">
        <f>IFERROR(IF(compras_mes9[[#This Row],[CUIT]]="","-",VLOOKUP(compras_mes9[[#This Row],[CUIT]],Lista_CUIT[#All],2,0)),"CUIT NO CARGADO")</f>
        <v>INDUSTRIAS PLASTICOS SALTA S.R.L.</v>
      </c>
      <c r="H206" s="383">
        <v>164132.23000000001</v>
      </c>
      <c r="I206" s="85">
        <f>IF(compras_mes9[[#This Row],[NETO GRAVADO]]="","",compras_mes9[[#This Row],[NETO GRAVADO]]*0.21)</f>
        <v>34467.768300000003</v>
      </c>
      <c r="J206" s="384"/>
      <c r="K206" s="384"/>
      <c r="L206" s="384"/>
      <c r="M206" s="384"/>
      <c r="N206" s="384"/>
      <c r="O206" s="384"/>
      <c r="P206" s="385">
        <f>SUM(compras_mes9[[#This Row],[NETO GRAVADO]:[Otros / No Grav.]])</f>
        <v>198599.99830000001</v>
      </c>
      <c r="Q206" s="386" t="str">
        <f>IFERROR(IF(compras_mes9[[#This Row],[CUIT]]="","-",VLOOKUP(compras_mes9[[#This Row],[CUIT]],Lista_CUIT[#All],3,0)),"CUIT NO CARGADO")</f>
        <v>Materia Prima</v>
      </c>
      <c r="R206" s="386">
        <f>IFERROR(IF(compras_mes9[[#This Row],[CUIT]]="","-",VLOOKUP(compras_mes9[[#This Row],[CUIT]],Lista_CUIT[#All],4,0)),"CUIT NO CARGADO")</f>
        <v>0</v>
      </c>
    </row>
    <row r="207" spans="2:18" x14ac:dyDescent="0.25">
      <c r="B207" s="546" t="s">
        <v>2827</v>
      </c>
      <c r="C207" s="547">
        <v>1</v>
      </c>
      <c r="D207" s="487">
        <v>2</v>
      </c>
      <c r="E207" s="548">
        <v>51379</v>
      </c>
      <c r="F207" s="549">
        <v>30717273520</v>
      </c>
      <c r="G207" s="550" t="str">
        <f>IFERROR(IF(compras_mes9[[#This Row],[CUIT]]="","-",VLOOKUP(compras_mes9[[#This Row],[CUIT]],Lista_CUIT[#All],2,0)),"CUIT NO CARGADO")</f>
        <v>SMART IT SOLUTIONS S.R.L</v>
      </c>
      <c r="H207" s="551">
        <v>39168.6</v>
      </c>
      <c r="I207" s="552">
        <f>IF(compras_mes9[[#This Row],[NETO GRAVADO]]="","",compras_mes9[[#This Row],[NETO GRAVADO]]*0.21)</f>
        <v>8225.405999999999</v>
      </c>
      <c r="J207" s="552"/>
      <c r="K207" s="552"/>
      <c r="L207" s="574"/>
      <c r="M207" s="552"/>
      <c r="N207" s="552"/>
      <c r="O207" s="552"/>
      <c r="P207" s="553">
        <f>SUM(compras_mes9[[#This Row],[NETO GRAVADO]:[Otros / No Grav.]])</f>
        <v>47394.005999999994</v>
      </c>
      <c r="Q207" s="554" t="str">
        <f>IFERROR(IF(compras_mes9[[#This Row],[CUIT]]="","-",VLOOKUP(compras_mes9[[#This Row],[CUIT]],Lista_CUIT[#All],3,0)),"CUIT NO CARGADO")</f>
        <v>Gastos Oficina</v>
      </c>
      <c r="R207" s="554">
        <f>IFERROR(IF(compras_mes9[[#This Row],[CUIT]]="","-",VLOOKUP(compras_mes9[[#This Row],[CUIT]],Lista_CUIT[#All],4,0)),"CUIT NO CARGADO")</f>
        <v>0</v>
      </c>
    </row>
    <row r="208" spans="2:18" x14ac:dyDescent="0.25">
      <c r="B208" s="546" t="s">
        <v>2827</v>
      </c>
      <c r="C208" s="547">
        <v>1</v>
      </c>
      <c r="D208" s="487">
        <v>2</v>
      </c>
      <c r="E208" s="548">
        <v>51380</v>
      </c>
      <c r="F208" s="549">
        <v>30717273520</v>
      </c>
      <c r="G208" s="550" t="str">
        <f>IFERROR(IF(compras_mes9[[#This Row],[CUIT]]="","-",VLOOKUP(compras_mes9[[#This Row],[CUIT]],Lista_CUIT[#All],2,0)),"CUIT NO CARGADO")</f>
        <v>SMART IT SOLUTIONS S.R.L</v>
      </c>
      <c r="H208" s="551">
        <v>97306.240000000005</v>
      </c>
      <c r="I208" s="552">
        <f>IF(compras_mes9[[#This Row],[NETO GRAVADO]]="","",compras_mes9[[#This Row],[NETO GRAVADO]]*0.21)</f>
        <v>20434.310400000002</v>
      </c>
      <c r="J208" s="552"/>
      <c r="K208" s="552"/>
      <c r="L208" s="574"/>
      <c r="M208" s="552"/>
      <c r="N208" s="552"/>
      <c r="O208" s="552"/>
      <c r="P208" s="553">
        <f>SUM(compras_mes9[[#This Row],[NETO GRAVADO]:[Otros / No Grav.]])</f>
        <v>117740.55040000001</v>
      </c>
      <c r="Q208" s="554" t="str">
        <f>IFERROR(IF(compras_mes9[[#This Row],[CUIT]]="","-",VLOOKUP(compras_mes9[[#This Row],[CUIT]],Lista_CUIT[#All],3,0)),"CUIT NO CARGADO")</f>
        <v>Gastos Oficina</v>
      </c>
      <c r="R208" s="554">
        <f>IFERROR(IF(compras_mes9[[#This Row],[CUIT]]="","-",VLOOKUP(compras_mes9[[#This Row],[CUIT]],Lista_CUIT[#All],4,0)),"CUIT NO CARGADO")</f>
        <v>0</v>
      </c>
    </row>
    <row r="209" spans="2:18" x14ac:dyDescent="0.25">
      <c r="B209" s="546" t="s">
        <v>2827</v>
      </c>
      <c r="C209" s="547">
        <v>1</v>
      </c>
      <c r="D209" s="487">
        <v>2</v>
      </c>
      <c r="E209" s="548">
        <v>51381</v>
      </c>
      <c r="F209" s="549">
        <v>30717273520</v>
      </c>
      <c r="G209" s="550" t="str">
        <f>IFERROR(IF(compras_mes9[[#This Row],[CUIT]]="","-",VLOOKUP(compras_mes9[[#This Row],[CUIT]],Lista_CUIT[#All],2,0)),"CUIT NO CARGADO")</f>
        <v>SMART IT SOLUTIONS S.R.L</v>
      </c>
      <c r="H209" s="551">
        <v>40619.550000000003</v>
      </c>
      <c r="I209" s="552">
        <f>IF(compras_mes9[[#This Row],[NETO GRAVADO]]="","",compras_mes9[[#This Row],[NETO GRAVADO]]*0.21)</f>
        <v>8530.1054999999997</v>
      </c>
      <c r="J209" s="552"/>
      <c r="K209" s="552"/>
      <c r="L209" s="574"/>
      <c r="M209" s="552"/>
      <c r="N209" s="552"/>
      <c r="O209" s="552"/>
      <c r="P209" s="553">
        <f>SUM(compras_mes9[[#This Row],[NETO GRAVADO]:[Otros / No Grav.]])</f>
        <v>49149.655500000001</v>
      </c>
      <c r="Q209" s="554" t="str">
        <f>IFERROR(IF(compras_mes9[[#This Row],[CUIT]]="","-",VLOOKUP(compras_mes9[[#This Row],[CUIT]],Lista_CUIT[#All],3,0)),"CUIT NO CARGADO")</f>
        <v>Gastos Oficina</v>
      </c>
      <c r="R209" s="554">
        <f>IFERROR(IF(compras_mes9[[#This Row],[CUIT]]="","-",VLOOKUP(compras_mes9[[#This Row],[CUIT]],Lista_CUIT[#All],4,0)),"CUIT NO CARGADO")</f>
        <v>0</v>
      </c>
    </row>
    <row r="210" spans="2:18" x14ac:dyDescent="0.25">
      <c r="B210" s="546" t="s">
        <v>2827</v>
      </c>
      <c r="C210" s="547">
        <v>1</v>
      </c>
      <c r="D210" s="487">
        <v>15</v>
      </c>
      <c r="E210" s="548">
        <v>111130</v>
      </c>
      <c r="F210" s="549">
        <v>33708907869</v>
      </c>
      <c r="G210" s="550" t="str">
        <f>IFERROR(IF(compras_mes9[[#This Row],[CUIT]]="","-",VLOOKUP(compras_mes9[[#This Row],[CUIT]],Lista_CUIT[#All],2,0)),"CUIT NO CARGADO")</f>
        <v>SERCAP INSUMOS SRL</v>
      </c>
      <c r="H210" s="551">
        <v>102320.36</v>
      </c>
      <c r="I210" s="552" t="s">
        <v>2411</v>
      </c>
      <c r="J210" s="552"/>
      <c r="K210" s="552">
        <f>compras_mes9[[#This Row],[NETO GRAVADO]]*0.105</f>
        <v>10743.6378</v>
      </c>
      <c r="L210" s="574"/>
      <c r="M210" s="552"/>
      <c r="N210" s="552"/>
      <c r="O210" s="552"/>
      <c r="P210" s="553">
        <f>SUM(compras_mes9[[#This Row],[NETO GRAVADO]:[Otros / No Grav.]])</f>
        <v>113063.9978</v>
      </c>
      <c r="Q210" s="554" t="str">
        <f>IFERROR(IF(compras_mes9[[#This Row],[CUIT]]="","-",VLOOKUP(compras_mes9[[#This Row],[CUIT]],Lista_CUIT[#All],3,0)),"CUIT NO CARGADO")</f>
        <v>Gastos Varios</v>
      </c>
      <c r="R210" s="554">
        <f>IFERROR(IF(compras_mes9[[#This Row],[CUIT]]="","-",VLOOKUP(compras_mes9[[#This Row],[CUIT]],Lista_CUIT[#All],4,0)),"CUIT NO CARGADO")</f>
        <v>0</v>
      </c>
    </row>
    <row r="211" spans="2:18" x14ac:dyDescent="0.25">
      <c r="B211" s="546" t="s">
        <v>2827</v>
      </c>
      <c r="C211" s="547">
        <v>3</v>
      </c>
      <c r="D211" s="487">
        <v>12</v>
      </c>
      <c r="E211" s="548">
        <v>158322</v>
      </c>
      <c r="F211" s="549">
        <v>30703088534</v>
      </c>
      <c r="G211" s="550" t="str">
        <f>IFERROR(IF(compras_mes9[[#This Row],[CUIT]]="","-",VLOOKUP(compras_mes9[[#This Row],[CUIT]],Lista_CUIT[#All],2,0)),"CUIT NO CARGADO")</f>
        <v>MERCADO LIBRE SRL</v>
      </c>
      <c r="H211" s="551">
        <v>-447.27</v>
      </c>
      <c r="I211" s="552">
        <f>IF(compras_mes9[[#This Row],[NETO GRAVADO]]="","",compras_mes9[[#This Row],[NETO GRAVADO]]*0.21)</f>
        <v>-93.926699999999997</v>
      </c>
      <c r="J211" s="552"/>
      <c r="K211" s="552"/>
      <c r="L211" s="574"/>
      <c r="M211" s="552"/>
      <c r="N211" s="552"/>
      <c r="O211" s="552">
        <v>-17.89</v>
      </c>
      <c r="P211" s="553">
        <f>SUM(compras_mes9[[#This Row],[NETO GRAVADO]:[Otros / No Grav.]])</f>
        <v>-559.08669999999995</v>
      </c>
      <c r="Q211" s="554" t="str">
        <f>IFERROR(IF(compras_mes9[[#This Row],[CUIT]]="","-",VLOOKUP(compras_mes9[[#This Row],[CUIT]],Lista_CUIT[#All],3,0)),"CUIT NO CARGADO")</f>
        <v>Gastos Varios</v>
      </c>
      <c r="R211" s="554" t="str">
        <f>IFERROR(IF(compras_mes9[[#This Row],[CUIT]]="","-",VLOOKUP(compras_mes9[[#This Row],[CUIT]],Lista_CUIT[#All],4,0)),"CUIT NO CARGADO")</f>
        <v>CABA</v>
      </c>
    </row>
    <row r="212" spans="2:18" x14ac:dyDescent="0.25">
      <c r="B212" s="546" t="s">
        <v>2827</v>
      </c>
      <c r="C212" s="547">
        <v>1</v>
      </c>
      <c r="D212" s="487">
        <v>64</v>
      </c>
      <c r="E212" s="548">
        <v>406973</v>
      </c>
      <c r="F212" s="549">
        <v>30703088534</v>
      </c>
      <c r="G212" s="550" t="str">
        <f>IFERROR(IF(compras_mes9[[#This Row],[CUIT]]="","-",VLOOKUP(compras_mes9[[#This Row],[CUIT]],Lista_CUIT[#All],2,0)),"CUIT NO CARGADO")</f>
        <v>MERCADO LIBRE SRL</v>
      </c>
      <c r="H212" s="551">
        <v>1854087.98</v>
      </c>
      <c r="I212" s="552">
        <f>IF(compras_mes9[[#This Row],[NETO GRAVADO]]="","",compras_mes9[[#This Row],[NETO GRAVADO]]*0.21)</f>
        <v>389358.47579999996</v>
      </c>
      <c r="J212" s="552"/>
      <c r="K212" s="552"/>
      <c r="L212" s="574"/>
      <c r="M212" s="552"/>
      <c r="N212" s="552"/>
      <c r="O212" s="552">
        <v>185408.83</v>
      </c>
      <c r="P212" s="553">
        <f>SUM(compras_mes9[[#This Row],[NETO GRAVADO]:[Otros / No Grav.]])</f>
        <v>2428855.2858000002</v>
      </c>
      <c r="Q212" s="554" t="str">
        <f>IFERROR(IF(compras_mes9[[#This Row],[CUIT]]="","-",VLOOKUP(compras_mes9[[#This Row],[CUIT]],Lista_CUIT[#All],3,0)),"CUIT NO CARGADO")</f>
        <v>Gastos Varios</v>
      </c>
      <c r="R212" s="554" t="str">
        <f>IFERROR(IF(compras_mes9[[#This Row],[CUIT]]="","-",VLOOKUP(compras_mes9[[#This Row],[CUIT]],Lista_CUIT[#All],4,0)),"CUIT NO CARGADO")</f>
        <v>CABA</v>
      </c>
    </row>
    <row r="213" spans="2:18" x14ac:dyDescent="0.25">
      <c r="B213" s="546" t="s">
        <v>2828</v>
      </c>
      <c r="C213" s="547">
        <v>1</v>
      </c>
      <c r="D213" s="487">
        <v>5</v>
      </c>
      <c r="E213" s="548">
        <v>53</v>
      </c>
      <c r="F213" s="549">
        <v>20307789427</v>
      </c>
      <c r="G213" s="550" t="str">
        <f>IFERROR(IF(compras_mes9[[#This Row],[CUIT]]="","-",VLOOKUP(compras_mes9[[#This Row],[CUIT]],Lista_CUIT[#All],2,0)),"CUIT NO CARGADO")</f>
        <v>PIETRAFESA EZEQUIEL DAMIAN</v>
      </c>
      <c r="H213" s="551">
        <v>7691.01</v>
      </c>
      <c r="I213" s="552">
        <f>IF(compras_mes9[[#This Row],[NETO GRAVADO]]="","",compras_mes9[[#This Row],[NETO GRAVADO]]*0.21)</f>
        <v>1615.1121000000001</v>
      </c>
      <c r="J213" s="552"/>
      <c r="K213" s="552"/>
      <c r="L213" s="574"/>
      <c r="M213" s="552"/>
      <c r="N213" s="552"/>
      <c r="O213" s="552"/>
      <c r="P213" s="553">
        <f>SUM(compras_mes9[[#This Row],[NETO GRAVADO]:[Otros / No Grav.]])</f>
        <v>9306.1221000000005</v>
      </c>
      <c r="Q213" s="554" t="s">
        <v>3064</v>
      </c>
      <c r="R213" s="554">
        <f>IFERROR(IF(compras_mes9[[#This Row],[CUIT]]="","-",VLOOKUP(compras_mes9[[#This Row],[CUIT]],Lista_CUIT[#All],4,0)),"CUIT NO CARGADO")</f>
        <v>0</v>
      </c>
    </row>
    <row r="214" spans="2:18" s="56" customFormat="1" ht="18.600000000000001" customHeight="1" x14ac:dyDescent="0.25">
      <c r="B214" s="546" t="s">
        <v>2828</v>
      </c>
      <c r="C214" s="547">
        <v>1</v>
      </c>
      <c r="D214" s="487">
        <v>1</v>
      </c>
      <c r="E214" s="548">
        <v>345</v>
      </c>
      <c r="F214" s="549">
        <v>20077604627</v>
      </c>
      <c r="G214" s="550" t="str">
        <f>IFERROR(IF(compras_mes9[[#This Row],[CUIT]]="","-",VLOOKUP(compras_mes9[[#This Row],[CUIT]],Lista_CUIT[#All],2,0)),"CUIT NO CARGADO")</f>
        <v>OCAÑO ENRIQUE</v>
      </c>
      <c r="H214" s="551">
        <v>973800</v>
      </c>
      <c r="I214" s="552">
        <f>IF(compras_mes9[[#This Row],[NETO GRAVADO]]="","",compras_mes9[[#This Row],[NETO GRAVADO]]*0.21)</f>
        <v>204498</v>
      </c>
      <c r="J214" s="552"/>
      <c r="K214" s="552"/>
      <c r="L214" s="574"/>
      <c r="M214" s="552"/>
      <c r="N214" s="552"/>
      <c r="O214" s="552"/>
      <c r="P214" s="553">
        <f>SUM(compras_mes9[[#This Row],[NETO GRAVADO]:[Otros / No Grav.]])</f>
        <v>1178298</v>
      </c>
      <c r="Q214" s="554" t="str">
        <f>IFERROR(IF(compras_mes9[[#This Row],[CUIT]]="","-",VLOOKUP(compras_mes9[[#This Row],[CUIT]],Lista_CUIT[#All],3,0)),"CUIT NO CARGADO")</f>
        <v>Material de Empaque</v>
      </c>
      <c r="R214" s="554">
        <f>IFERROR(IF(compras_mes9[[#This Row],[CUIT]]="","-",VLOOKUP(compras_mes9[[#This Row],[CUIT]],Lista_CUIT[#All],4,0)),"CUIT NO CARGADO")</f>
        <v>0</v>
      </c>
    </row>
    <row r="215" spans="2:18" ht="15" customHeight="1" x14ac:dyDescent="0.25">
      <c r="B215" s="546" t="s">
        <v>2828</v>
      </c>
      <c r="C215" s="547">
        <v>1</v>
      </c>
      <c r="D215" s="487">
        <v>4</v>
      </c>
      <c r="E215" s="548">
        <v>1579</v>
      </c>
      <c r="F215" s="549">
        <v>20431994942</v>
      </c>
      <c r="G215" s="550" t="str">
        <f>IFERROR(IF(compras_mes9[[#This Row],[CUIT]]="","-",VLOOKUP(compras_mes9[[#This Row],[CUIT]],Lista_CUIT[#All],2,0)),"CUIT NO CARGADO")</f>
        <v>CIOCCA SANTINO</v>
      </c>
      <c r="H215" s="551">
        <v>43388.43</v>
      </c>
      <c r="I215" s="552">
        <f>IF(compras_mes9[[#This Row],[NETO GRAVADO]]="","",compras_mes9[[#This Row],[NETO GRAVADO]]*0.21)</f>
        <v>9111.5702999999994</v>
      </c>
      <c r="J215" s="552"/>
      <c r="K215" s="552"/>
      <c r="L215" s="574"/>
      <c r="M215" s="552"/>
      <c r="N215" s="552"/>
      <c r="O215" s="552"/>
      <c r="P215" s="553">
        <f>SUM(compras_mes9[[#This Row],[NETO GRAVADO]:[Otros / No Grav.]])</f>
        <v>52500.0003</v>
      </c>
      <c r="Q215" s="554" t="s">
        <v>79</v>
      </c>
      <c r="R215" s="554">
        <f>IFERROR(IF(compras_mes9[[#This Row],[CUIT]]="","-",VLOOKUP(compras_mes9[[#This Row],[CUIT]],Lista_CUIT[#All],4,0)),"CUIT NO CARGADO")</f>
        <v>0</v>
      </c>
    </row>
    <row r="216" spans="2:18" x14ac:dyDescent="0.25">
      <c r="B216" s="546" t="s">
        <v>2828</v>
      </c>
      <c r="C216" s="547">
        <v>1</v>
      </c>
      <c r="D216" s="487">
        <v>2</v>
      </c>
      <c r="E216" s="548">
        <v>4163</v>
      </c>
      <c r="F216" s="549">
        <v>30629863571</v>
      </c>
      <c r="G216" s="550" t="str">
        <f>IFERROR(IF(compras_mes9[[#This Row],[CUIT]]="","-",VLOOKUP(compras_mes9[[#This Row],[CUIT]],Lista_CUIT[#All],2,0)),"CUIT NO CARGADO")</f>
        <v>TECNIMAR S R L</v>
      </c>
      <c r="H216" s="551">
        <v>4632320</v>
      </c>
      <c r="I216" s="552">
        <f>IF(compras_mes9[[#This Row],[NETO GRAVADO]]="","",compras_mes9[[#This Row],[NETO GRAVADO]]*0.21)</f>
        <v>972787.19999999995</v>
      </c>
      <c r="J216" s="552"/>
      <c r="K216" s="552"/>
      <c r="L216" s="574"/>
      <c r="M216" s="552"/>
      <c r="N216" s="552"/>
      <c r="O216" s="552"/>
      <c r="P216" s="553">
        <f>SUM(compras_mes9[[#This Row],[NETO GRAVADO]:[Otros / No Grav.]])</f>
        <v>5605107.2000000002</v>
      </c>
      <c r="Q216" s="554" t="str">
        <f>IFERROR(IF(compras_mes9[[#This Row],[CUIT]]="","-",VLOOKUP(compras_mes9[[#This Row],[CUIT]],Lista_CUIT[#All],3,0)),"CUIT NO CARGADO")</f>
        <v>Productos Venta</v>
      </c>
      <c r="R216" s="554">
        <f>IFERROR(IF(compras_mes9[[#This Row],[CUIT]]="","-",VLOOKUP(compras_mes9[[#This Row],[CUIT]],Lista_CUIT[#All],4,0)),"CUIT NO CARGADO")</f>
        <v>0</v>
      </c>
    </row>
    <row r="217" spans="2:18" x14ac:dyDescent="0.25">
      <c r="B217" s="546" t="s">
        <v>2828</v>
      </c>
      <c r="C217" s="547">
        <v>1</v>
      </c>
      <c r="D217" s="487">
        <v>3</v>
      </c>
      <c r="E217" s="548">
        <v>15259</v>
      </c>
      <c r="F217" s="549">
        <v>30708232439</v>
      </c>
      <c r="G217" s="550" t="str">
        <f>IFERROR(IF(compras_mes9[[#This Row],[CUIT]]="","-",VLOOKUP(compras_mes9[[#This Row],[CUIT]],Lista_CUIT[#All],2,0)),"CUIT NO CARGADO")</f>
        <v>LUMEN GLASS SRL</v>
      </c>
      <c r="H217" s="551">
        <v>1870050</v>
      </c>
      <c r="I217" s="552">
        <f>IF(compras_mes9[[#This Row],[NETO GRAVADO]]="","",compras_mes9[[#This Row],[NETO GRAVADO]]*0.21)</f>
        <v>392710.5</v>
      </c>
      <c r="J217" s="552"/>
      <c r="K217" s="552"/>
      <c r="L217" s="574"/>
      <c r="M217" s="552"/>
      <c r="N217" s="552"/>
      <c r="O217" s="552"/>
      <c r="P217" s="553">
        <f>SUM(compras_mes9[[#This Row],[NETO GRAVADO]:[Otros / No Grav.]])</f>
        <v>2262760.5</v>
      </c>
      <c r="Q217" s="554" t="str">
        <f>IFERROR(IF(compras_mes9[[#This Row],[CUIT]]="","-",VLOOKUP(compras_mes9[[#This Row],[CUIT]],Lista_CUIT[#All],3,0)),"CUIT NO CARGADO")</f>
        <v>Envases</v>
      </c>
      <c r="R217" s="554">
        <f>IFERROR(IF(compras_mes9[[#This Row],[CUIT]]="","-",VLOOKUP(compras_mes9[[#This Row],[CUIT]],Lista_CUIT[#All],4,0)),"CUIT NO CARGADO")</f>
        <v>0</v>
      </c>
    </row>
    <row r="218" spans="2:18" x14ac:dyDescent="0.25">
      <c r="B218" s="546" t="s">
        <v>2828</v>
      </c>
      <c r="C218" s="547">
        <v>1</v>
      </c>
      <c r="D218" s="487">
        <v>1</v>
      </c>
      <c r="E218" s="548">
        <v>27678</v>
      </c>
      <c r="F218" s="549">
        <v>30715368346</v>
      </c>
      <c r="G218" s="550" t="str">
        <f>IFERROR(IF(compras_mes9[[#This Row],[CUIT]]="","-",VLOOKUP(compras_mes9[[#This Row],[CUIT]],Lista_CUIT[#All],2,0)),"CUIT NO CARGADO")</f>
        <v>SK DISTRIBUTORS S.R.L.</v>
      </c>
      <c r="H218" s="551">
        <v>20363.060000000001</v>
      </c>
      <c r="I218" s="552">
        <f>IF(compras_mes9[[#This Row],[NETO GRAVADO]]="","",compras_mes9[[#This Row],[NETO GRAVADO]]*0.21)</f>
        <v>4276.2426000000005</v>
      </c>
      <c r="J218" s="552"/>
      <c r="K218" s="552"/>
      <c r="L218" s="574"/>
      <c r="M218" s="552"/>
      <c r="N218" s="552"/>
      <c r="O218" s="552"/>
      <c r="P218" s="553">
        <f>SUM(compras_mes9[[#This Row],[NETO GRAVADO]:[Otros / No Grav.]])</f>
        <v>24639.302600000003</v>
      </c>
      <c r="Q218" s="554" t="s">
        <v>76</v>
      </c>
      <c r="R218" s="554">
        <f>IFERROR(IF(compras_mes9[[#This Row],[CUIT]]="","-",VLOOKUP(compras_mes9[[#This Row],[CUIT]],Lista_CUIT[#All],4,0)),"CUIT NO CARGADO")</f>
        <v>0</v>
      </c>
    </row>
    <row r="219" spans="2:18" x14ac:dyDescent="0.25">
      <c r="B219" s="546" t="s">
        <v>2828</v>
      </c>
      <c r="C219" s="547">
        <v>1</v>
      </c>
      <c r="D219" s="487">
        <v>16</v>
      </c>
      <c r="E219" s="548">
        <v>27874</v>
      </c>
      <c r="F219" s="549">
        <v>30553547942</v>
      </c>
      <c r="G219" s="550" t="str">
        <f>IFERROR(IF(compras_mes9[[#This Row],[CUIT]]="","-",VLOOKUP(compras_mes9[[#This Row],[CUIT]],Lista_CUIT[#All],2,0)),"CUIT NO CARGADO")</f>
        <v>PINTURERIAS MAFER SA</v>
      </c>
      <c r="H219" s="551">
        <v>69501.37</v>
      </c>
      <c r="I219" s="552">
        <f>IF(compras_mes9[[#This Row],[NETO GRAVADO]]="","",compras_mes9[[#This Row],[NETO GRAVADO]]*0.21)</f>
        <v>14595.287699999999</v>
      </c>
      <c r="J219" s="552"/>
      <c r="K219" s="552"/>
      <c r="L219" s="574"/>
      <c r="M219" s="552"/>
      <c r="N219" s="552"/>
      <c r="O219" s="552"/>
      <c r="P219" s="553">
        <f>SUM(compras_mes9[[#This Row],[NETO GRAVADO]:[Otros / No Grav.]])</f>
        <v>84096.657699999996</v>
      </c>
      <c r="Q219" s="554" t="str">
        <f>IFERROR(IF(compras_mes9[[#This Row],[CUIT]]="","-",VLOOKUP(compras_mes9[[#This Row],[CUIT]],Lista_CUIT[#All],3,0)),"CUIT NO CARGADO")</f>
        <v>Mantenimiento Locales</v>
      </c>
      <c r="R219" s="554">
        <f>IFERROR(IF(compras_mes9[[#This Row],[CUIT]]="","-",VLOOKUP(compras_mes9[[#This Row],[CUIT]],Lista_CUIT[#All],4,0)),"CUIT NO CARGADO")</f>
        <v>0</v>
      </c>
    </row>
    <row r="220" spans="2:18" x14ac:dyDescent="0.25">
      <c r="B220" s="546" t="s">
        <v>2828</v>
      </c>
      <c r="C220" s="547">
        <v>1</v>
      </c>
      <c r="D220" s="487">
        <v>7</v>
      </c>
      <c r="E220" s="548">
        <v>63078</v>
      </c>
      <c r="F220" s="549">
        <v>30714272884</v>
      </c>
      <c r="G220" s="550" t="str">
        <f>IFERROR(IF(compras_mes9[[#This Row],[CUIT]]="","-",VLOOKUP(compras_mes9[[#This Row],[CUIT]],Lista_CUIT[#All],2,0)),"CUIT NO CARGADO")</f>
        <v>NAPPAS S.R.L.</v>
      </c>
      <c r="H220" s="551">
        <v>7351.24</v>
      </c>
      <c r="I220" s="552">
        <f>IF(compras_mes9[[#This Row],[NETO GRAVADO]]="","",compras_mes9[[#This Row],[NETO GRAVADO]]*0.21)</f>
        <v>1543.7603999999999</v>
      </c>
      <c r="J220" s="552"/>
      <c r="K220" s="552"/>
      <c r="L220" s="574"/>
      <c r="M220" s="552"/>
      <c r="N220" s="552"/>
      <c r="O220" s="552"/>
      <c r="P220" s="553">
        <f>SUM(compras_mes9[[#This Row],[NETO GRAVADO]:[Otros / No Grav.]])</f>
        <v>8895.000399999999</v>
      </c>
      <c r="Q220" s="554" t="s">
        <v>79</v>
      </c>
      <c r="R220" s="554">
        <f>IFERROR(IF(compras_mes9[[#This Row],[CUIT]]="","-",VLOOKUP(compras_mes9[[#This Row],[CUIT]],Lista_CUIT[#All],4,0)),"CUIT NO CARGADO")</f>
        <v>0</v>
      </c>
    </row>
    <row r="221" spans="2:18" x14ac:dyDescent="0.25">
      <c r="B221" s="546" t="s">
        <v>2828</v>
      </c>
      <c r="C221" s="547">
        <v>1</v>
      </c>
      <c r="D221" s="487">
        <v>5</v>
      </c>
      <c r="E221" s="548">
        <v>72377</v>
      </c>
      <c r="F221" s="549">
        <v>20316749942</v>
      </c>
      <c r="G221" s="550" t="str">
        <f>IFERROR(IF(compras_mes9[[#This Row],[CUIT]]="","-",VLOOKUP(compras_mes9[[#This Row],[CUIT]],Lista_CUIT[#All],2,0)),"CUIT NO CARGADO")</f>
        <v>PASTORIZA ALEJANDRO JAVIER</v>
      </c>
      <c r="H221" s="551">
        <v>62315.73</v>
      </c>
      <c r="I221" s="552">
        <v>355.17</v>
      </c>
      <c r="J221" s="552"/>
      <c r="K221" s="552">
        <v>6365.57</v>
      </c>
      <c r="L221" s="574"/>
      <c r="M221" s="552"/>
      <c r="N221" s="552"/>
      <c r="O221" s="552"/>
      <c r="P221" s="553">
        <f>SUM(compras_mes9[[#This Row],[NETO GRAVADO]:[Otros / No Grav.]])</f>
        <v>69036.47</v>
      </c>
      <c r="Q221" s="554" t="str">
        <f>IFERROR(IF(compras_mes9[[#This Row],[CUIT]]="","-",VLOOKUP(compras_mes9[[#This Row],[CUIT]],Lista_CUIT[#All],3,0)),"CUIT NO CARGADO")</f>
        <v>Gastos Oficina</v>
      </c>
      <c r="R221" s="554">
        <f>IFERROR(IF(compras_mes9[[#This Row],[CUIT]]="","-",VLOOKUP(compras_mes9[[#This Row],[CUIT]],Lista_CUIT[#All],4,0)),"CUIT NO CARGADO")</f>
        <v>0</v>
      </c>
    </row>
    <row r="222" spans="2:18" x14ac:dyDescent="0.25">
      <c r="B222" s="546" t="s">
        <v>2828</v>
      </c>
      <c r="C222" s="547">
        <v>1</v>
      </c>
      <c r="D222" s="487">
        <v>126</v>
      </c>
      <c r="E222" s="548">
        <v>171304</v>
      </c>
      <c r="F222" s="549">
        <v>30577207190</v>
      </c>
      <c r="G222" s="550" t="str">
        <f>IFERROR(IF(compras_mes9[[#This Row],[CUIT]]="","-",VLOOKUP(compras_mes9[[#This Row],[CUIT]],Lista_CUIT[#All],2,0)),"CUIT NO CARGADO")</f>
        <v>COORDINACION ECOLOGICA AREA METROPOLITANA SOCIEDAD DEL ESTADO</v>
      </c>
      <c r="H222" s="551">
        <v>5950.41</v>
      </c>
      <c r="I222" s="552">
        <f>IF(compras_mes9[[#This Row],[NETO GRAVADO]]="","",compras_mes9[[#This Row],[NETO GRAVADO]]*0.21)</f>
        <v>1249.5861</v>
      </c>
      <c r="J222" s="552"/>
      <c r="K222" s="552"/>
      <c r="L222" s="574"/>
      <c r="M222" s="552"/>
      <c r="N222" s="552"/>
      <c r="O222" s="552">
        <v>178.51</v>
      </c>
      <c r="P222" s="553">
        <f>SUM(compras_mes9[[#This Row],[NETO GRAVADO]:[Otros / No Grav.]])</f>
        <v>7378.5061000000005</v>
      </c>
      <c r="Q222" s="554" t="str">
        <f>IFERROR(IF(compras_mes9[[#This Row],[CUIT]]="","-",VLOOKUP(compras_mes9[[#This Row],[CUIT]],Lista_CUIT[#All],3,0)),"CUIT NO CARGADO")</f>
        <v>Gastos Limpieza</v>
      </c>
      <c r="R222" s="554">
        <f>IFERROR(IF(compras_mes9[[#This Row],[CUIT]]="","-",VLOOKUP(compras_mes9[[#This Row],[CUIT]],Lista_CUIT[#All],4,0)),"CUIT NO CARGADO")</f>
        <v>0</v>
      </c>
    </row>
    <row r="223" spans="2:18" ht="18" customHeight="1" x14ac:dyDescent="0.25">
      <c r="B223" s="546" t="s">
        <v>2828</v>
      </c>
      <c r="C223" s="547">
        <v>1</v>
      </c>
      <c r="D223" s="487">
        <v>5015</v>
      </c>
      <c r="E223" s="548">
        <v>1010868</v>
      </c>
      <c r="F223" s="549">
        <v>30574876474</v>
      </c>
      <c r="G223" s="550" t="str">
        <f>IFERROR(IF(compras_mes9[[#This Row],[CUIT]]="","-",VLOOKUP(compras_mes9[[#This Row],[CUIT]],Lista_CUIT[#All],2,0)),"CUIT NO CARGADO")</f>
        <v>AUTOPISTAS URBANAS S A</v>
      </c>
      <c r="H223" s="551">
        <v>151848.45000000001</v>
      </c>
      <c r="I223" s="552">
        <f>IF(compras_mes9[[#This Row],[NETO GRAVADO]]="","",compras_mes9[[#This Row],[NETO GRAVADO]]*0.21)</f>
        <v>31888.174500000001</v>
      </c>
      <c r="J223" s="552"/>
      <c r="K223" s="552"/>
      <c r="L223" s="574"/>
      <c r="M223" s="552"/>
      <c r="N223" s="552"/>
      <c r="O223" s="552">
        <v>19740.22</v>
      </c>
      <c r="P223" s="553">
        <f>SUM(compras_mes9[[#This Row],[NETO GRAVADO]:[Otros / No Grav.]])</f>
        <v>203476.84450000001</v>
      </c>
      <c r="Q223" s="554" t="str">
        <f>IFERROR(IF(compras_mes9[[#This Row],[CUIT]]="","-",VLOOKUP(compras_mes9[[#This Row],[CUIT]],Lista_CUIT[#All],3,0)),"CUIT NO CARGADO")</f>
        <v>Peajes</v>
      </c>
      <c r="R223" s="554">
        <f>IFERROR(IF(compras_mes9[[#This Row],[CUIT]]="","-",VLOOKUP(compras_mes9[[#This Row],[CUIT]],Lista_CUIT[#All],4,0)),"CUIT NO CARGADO")</f>
        <v>0</v>
      </c>
    </row>
    <row r="224" spans="2:18" x14ac:dyDescent="0.25">
      <c r="B224" s="546" t="s">
        <v>2828</v>
      </c>
      <c r="C224" s="547">
        <v>1</v>
      </c>
      <c r="D224" s="487">
        <v>11</v>
      </c>
      <c r="E224" s="548">
        <v>1220208</v>
      </c>
      <c r="F224" s="549">
        <v>33709585229</v>
      </c>
      <c r="G224" s="550" t="str">
        <f>IFERROR(IF(compras_mes9[[#This Row],[CUIT]]="","-",VLOOKUP(compras_mes9[[#This Row],[CUIT]],Lista_CUIT[#All],2,0)),"CUIT NO CARGADO")</f>
        <v>GOOGLE ARGENTINA S.R.L.</v>
      </c>
      <c r="H224" s="551">
        <v>162680.89000000001</v>
      </c>
      <c r="I224" s="552">
        <f>IF(compras_mes9[[#This Row],[NETO GRAVADO]]="","",compras_mes9[[#This Row],[NETO GRAVADO]]*0.21)</f>
        <v>34162.986900000004</v>
      </c>
      <c r="J224" s="552"/>
      <c r="K224" s="552"/>
      <c r="L224" s="574"/>
      <c r="M224" s="552"/>
      <c r="N224" s="552"/>
      <c r="O224" s="552">
        <v>49930.84</v>
      </c>
      <c r="P224" s="553">
        <f>SUM(compras_mes9[[#This Row],[NETO GRAVADO]:[Otros / No Grav.]])</f>
        <v>246774.71690000003</v>
      </c>
      <c r="Q224" s="554" t="str">
        <f>IFERROR(IF(compras_mes9[[#This Row],[CUIT]]="","-",VLOOKUP(compras_mes9[[#This Row],[CUIT]],Lista_CUIT[#All],3,0)),"CUIT NO CARGADO")</f>
        <v>Gastos Comercializacion</v>
      </c>
      <c r="R224" s="554">
        <f>IFERROR(IF(compras_mes9[[#This Row],[CUIT]]="","-",VLOOKUP(compras_mes9[[#This Row],[CUIT]],Lista_CUIT[#All],4,0)),"CUIT NO CARGADO")</f>
        <v>0</v>
      </c>
    </row>
    <row r="225" spans="2:18" x14ac:dyDescent="0.25">
      <c r="B225" s="546" t="s">
        <v>2828</v>
      </c>
      <c r="C225" s="547">
        <v>1</v>
      </c>
      <c r="D225" s="487">
        <v>50</v>
      </c>
      <c r="E225" s="548">
        <v>4640572</v>
      </c>
      <c r="F225" s="549">
        <v>30714112836</v>
      </c>
      <c r="G225" s="550" t="str">
        <f>IFERROR(IF(compras_mes9[[#This Row],[CUIT]]="","-",VLOOKUP(compras_mes9[[#This Row],[CUIT]],Lista_CUIT[#All],2,0)),"CUIT NO CARGADO")</f>
        <v>AUTOPISTAS DE BS AS</v>
      </c>
      <c r="H225" s="551">
        <v>60969.11</v>
      </c>
      <c r="I225" s="552">
        <f>IF(compras_mes9[[#This Row],[NETO GRAVADO]]="","",compras_mes9[[#This Row],[NETO GRAVADO]]*0.21)</f>
        <v>12803.5131</v>
      </c>
      <c r="J225" s="552"/>
      <c r="K225" s="552"/>
      <c r="L225" s="574"/>
      <c r="M225" s="552"/>
      <c r="N225" s="552"/>
      <c r="O225" s="552">
        <v>1829.07</v>
      </c>
      <c r="P225" s="553">
        <f>SUM(compras_mes9[[#This Row],[NETO GRAVADO]:[Otros / No Grav.]])</f>
        <v>75601.693100000004</v>
      </c>
      <c r="Q225" s="554" t="str">
        <f>IFERROR(IF(compras_mes9[[#This Row],[CUIT]]="","-",VLOOKUP(compras_mes9[[#This Row],[CUIT]],Lista_CUIT[#All],3,0)),"CUIT NO CARGADO")</f>
        <v>Peajes</v>
      </c>
      <c r="R225" s="554">
        <f>IFERROR(IF(compras_mes9[[#This Row],[CUIT]]="","-",VLOOKUP(compras_mes9[[#This Row],[CUIT]],Lista_CUIT[#All],4,0)),"CUIT NO CARGADO")</f>
        <v>0</v>
      </c>
    </row>
    <row r="226" spans="2:18" x14ac:dyDescent="0.25">
      <c r="B226" s="546"/>
      <c r="C226" s="547"/>
      <c r="D226" s="487"/>
      <c r="E226" s="548"/>
      <c r="F226" s="549"/>
      <c r="G226" s="550" t="str">
        <f>IFERROR(IF(compras_mes9[[#This Row],[CUIT]]="","-",VLOOKUP(compras_mes9[[#This Row],[CUIT]],Lista_CUIT[#All],2,0)),"CUIT NO CARGADO")</f>
        <v>-</v>
      </c>
      <c r="H226" s="551"/>
      <c r="I226" s="552" t="str">
        <f>IF(compras_mes9[[#This Row],[NETO GRAVADO]]="","",compras_mes9[[#This Row],[NETO GRAVADO]]*0.21)</f>
        <v/>
      </c>
      <c r="J226" s="552"/>
      <c r="K226" s="552"/>
      <c r="L226" s="574"/>
      <c r="M226" s="552"/>
      <c r="N226" s="552"/>
      <c r="O226" s="552"/>
      <c r="P226" s="553">
        <f>SUM(compras_mes9[[#This Row],[NETO GRAVADO]:[Otros / No Grav.]])</f>
        <v>0</v>
      </c>
      <c r="Q226" s="554" t="str">
        <f>IFERROR(IF(compras_mes9[[#This Row],[CUIT]]="","-",VLOOKUP(compras_mes9[[#This Row],[CUIT]],Lista_CUIT[#All],3,0)),"CUIT NO CARGADO")</f>
        <v>-</v>
      </c>
      <c r="R226" s="554" t="str">
        <f>IFERROR(IF(compras_mes9[[#This Row],[CUIT]]="","-",VLOOKUP(compras_mes9[[#This Row],[CUIT]],Lista_CUIT[#All],4,0)),"CUIT NO CARGADO")</f>
        <v>-</v>
      </c>
    </row>
    <row r="227" spans="2:18" x14ac:dyDescent="0.25">
      <c r="B227" s="546"/>
      <c r="C227" s="547"/>
      <c r="D227" s="487"/>
      <c r="E227" s="548"/>
      <c r="F227" s="549"/>
      <c r="G227" s="550" t="str">
        <f>IFERROR(IF(compras_mes9[[#This Row],[CUIT]]="","-",VLOOKUP(compras_mes9[[#This Row],[CUIT]],Lista_CUIT[#All],2,0)),"CUIT NO CARGADO")</f>
        <v>-</v>
      </c>
      <c r="H227" s="551"/>
      <c r="I227" s="552" t="str">
        <f>IF(compras_mes9[[#This Row],[NETO GRAVADO]]="","",compras_mes9[[#This Row],[NETO GRAVADO]]*0.21)</f>
        <v/>
      </c>
      <c r="J227" s="552"/>
      <c r="K227" s="552"/>
      <c r="L227" s="574"/>
      <c r="M227" s="552"/>
      <c r="N227" s="552"/>
      <c r="O227" s="552"/>
      <c r="P227" s="553">
        <f>SUM(compras_mes9[[#This Row],[NETO GRAVADO]:[Otros / No Grav.]])</f>
        <v>0</v>
      </c>
      <c r="Q227" s="554" t="str">
        <f>IFERROR(IF(compras_mes9[[#This Row],[CUIT]]="","-",VLOOKUP(compras_mes9[[#This Row],[CUIT]],Lista_CUIT[#All],3,0)),"CUIT NO CARGADO")</f>
        <v>-</v>
      </c>
      <c r="R227" s="554" t="str">
        <f>IFERROR(IF(compras_mes9[[#This Row],[CUIT]]="","-",VLOOKUP(compras_mes9[[#This Row],[CUIT]],Lista_CUIT[#All],4,0)),"CUIT NO CARGADO")</f>
        <v>-</v>
      </c>
    </row>
    <row r="228" spans="2:18" x14ac:dyDescent="0.25">
      <c r="B228" s="546"/>
      <c r="C228" s="547"/>
      <c r="D228" s="487"/>
      <c r="E228" s="548"/>
      <c r="F228" s="549"/>
      <c r="G228" s="550" t="str">
        <f>IFERROR(IF(compras_mes9[[#This Row],[CUIT]]="","-",VLOOKUP(compras_mes9[[#This Row],[CUIT]],Lista_CUIT[#All],2,0)),"CUIT NO CARGADO")</f>
        <v>-</v>
      </c>
      <c r="H228" s="551"/>
      <c r="I228" s="552" t="str">
        <f>IF(compras_mes9[[#This Row],[NETO GRAVADO]]="","",compras_mes9[[#This Row],[NETO GRAVADO]]*0.21)</f>
        <v/>
      </c>
      <c r="J228" s="552"/>
      <c r="K228" s="552"/>
      <c r="L228" s="574"/>
      <c r="M228" s="552"/>
      <c r="N228" s="552"/>
      <c r="O228" s="552"/>
      <c r="P228" s="553">
        <f>SUM(compras_mes9[[#This Row],[NETO GRAVADO]:[Otros / No Grav.]])</f>
        <v>0</v>
      </c>
      <c r="Q228" s="554" t="str">
        <f>IFERROR(IF(compras_mes9[[#This Row],[CUIT]]="","-",VLOOKUP(compras_mes9[[#This Row],[CUIT]],Lista_CUIT[#All],3,0)),"CUIT NO CARGADO")</f>
        <v>-</v>
      </c>
      <c r="R228" s="554" t="str">
        <f>IFERROR(IF(compras_mes9[[#This Row],[CUIT]]="","-",VLOOKUP(compras_mes9[[#This Row],[CUIT]],Lista_CUIT[#All],4,0)),"CUIT NO CARGADO")</f>
        <v>-</v>
      </c>
    </row>
    <row r="229" spans="2:18" x14ac:dyDescent="0.25">
      <c r="B229" s="546"/>
      <c r="C229" s="547"/>
      <c r="D229" s="487"/>
      <c r="E229" s="548"/>
      <c r="F229" s="549"/>
      <c r="G229" s="550" t="str">
        <f>IFERROR(IF(compras_mes9[[#This Row],[CUIT]]="","-",VLOOKUP(compras_mes9[[#This Row],[CUIT]],Lista_CUIT[#All],2,0)),"CUIT NO CARGADO")</f>
        <v>-</v>
      </c>
      <c r="H229" s="551"/>
      <c r="I229" s="552" t="str">
        <f>IF(compras_mes9[[#This Row],[NETO GRAVADO]]="","",compras_mes9[[#This Row],[NETO GRAVADO]]*0.21)</f>
        <v/>
      </c>
      <c r="J229" s="552"/>
      <c r="K229" s="552"/>
      <c r="L229" s="574"/>
      <c r="M229" s="552"/>
      <c r="N229" s="552"/>
      <c r="O229" s="552"/>
      <c r="P229" s="553">
        <f>SUM(compras_mes9[[#This Row],[NETO GRAVADO]:[Otros / No Grav.]])</f>
        <v>0</v>
      </c>
      <c r="Q229" s="554" t="str">
        <f>IFERROR(IF(compras_mes9[[#This Row],[CUIT]]="","-",VLOOKUP(compras_mes9[[#This Row],[CUIT]],Lista_CUIT[#All],3,0)),"CUIT NO CARGADO")</f>
        <v>-</v>
      </c>
      <c r="R229" s="554" t="str">
        <f>IFERROR(IF(compras_mes9[[#This Row],[CUIT]]="","-",VLOOKUP(compras_mes9[[#This Row],[CUIT]],Lista_CUIT[#All],4,0)),"CUIT NO CARGADO")</f>
        <v>-</v>
      </c>
    </row>
    <row r="230" spans="2:18" x14ac:dyDescent="0.25">
      <c r="B230" s="546"/>
      <c r="C230" s="547"/>
      <c r="D230" s="487"/>
      <c r="E230" s="548"/>
      <c r="F230" s="549"/>
      <c r="G230" s="550" t="str">
        <f>IFERROR(IF(compras_mes9[[#This Row],[CUIT]]="","-",VLOOKUP(compras_mes9[[#This Row],[CUIT]],Lista_CUIT[#All],2,0)),"CUIT NO CARGADO")</f>
        <v>-</v>
      </c>
      <c r="H230" s="551"/>
      <c r="I230" s="552" t="str">
        <f>IF(compras_mes9[[#This Row],[NETO GRAVADO]]="","",compras_mes9[[#This Row],[NETO GRAVADO]]*0.21)</f>
        <v/>
      </c>
      <c r="J230" s="552"/>
      <c r="K230" s="552"/>
      <c r="L230" s="574"/>
      <c r="M230" s="552"/>
      <c r="N230" s="552"/>
      <c r="O230" s="552"/>
      <c r="P230" s="553">
        <f>SUM(compras_mes9[[#This Row],[NETO GRAVADO]:[Otros / No Grav.]])</f>
        <v>0</v>
      </c>
      <c r="Q230" s="554" t="str">
        <f>IFERROR(IF(compras_mes9[[#This Row],[CUIT]]="","-",VLOOKUP(compras_mes9[[#This Row],[CUIT]],Lista_CUIT[#All],3,0)),"CUIT NO CARGADO")</f>
        <v>-</v>
      </c>
      <c r="R230" s="554" t="str">
        <f>IFERROR(IF(compras_mes9[[#This Row],[CUIT]]="","-",VLOOKUP(compras_mes9[[#This Row],[CUIT]],Lista_CUIT[#All],4,0)),"CUIT NO CARGADO")</f>
        <v>-</v>
      </c>
    </row>
    <row r="231" spans="2:18" x14ac:dyDescent="0.25">
      <c r="B231" s="95" t="s">
        <v>103</v>
      </c>
      <c r="C231" s="95"/>
      <c r="D231" s="95"/>
      <c r="E231" s="95"/>
      <c r="F231" s="95"/>
      <c r="G231" s="96"/>
      <c r="H231" s="97">
        <f>SUBTOTAL(109,compras_mes9[NETO GRAVADO])</f>
        <v>107149127.81999996</v>
      </c>
      <c r="I231" s="97">
        <f>SUBTOTAL(109,compras_mes9[IVA 21 %])</f>
        <v>21242696.526700016</v>
      </c>
      <c r="J231" s="97">
        <f>SUBTOTAL(109,compras_mes9[IVA 27%])</f>
        <v>16830.666000000001</v>
      </c>
      <c r="K231" s="97">
        <f>SUBTOTAL(109,compras_mes9[IVA 10,5%])</f>
        <v>622764.92339999974</v>
      </c>
      <c r="L231" s="97">
        <f>SUBTOTAL(109,compras_mes9[PERC. IVA])</f>
        <v>0</v>
      </c>
      <c r="M231" s="97">
        <f>SUBTOTAL(109,compras_mes9[PERC IIBB 
BS AS])</f>
        <v>0</v>
      </c>
      <c r="N231" s="97">
        <f>SUBTOTAL(109,compras_mes9[PERC. IIBB CABA])</f>
        <v>221044.77999999997</v>
      </c>
      <c r="O231" s="97">
        <f>SUBTOTAL(109,compras_mes9[Otros / No Grav.])</f>
        <v>3675568.629999999</v>
      </c>
      <c r="P231" s="97">
        <f>SUBTOTAL(109,compras_mes9[TOTAL])</f>
        <v>132928033.34609997</v>
      </c>
      <c r="Q231" s="95"/>
      <c r="R231" s="95"/>
    </row>
    <row r="232" spans="2:18" x14ac:dyDescent="0.25">
      <c r="B232" s="40"/>
      <c r="C232" s="41"/>
      <c r="D232" s="42"/>
      <c r="E232" s="43"/>
      <c r="F232" s="44"/>
      <c r="G232" s="45"/>
      <c r="H232" s="46"/>
      <c r="I232" s="47"/>
      <c r="J232" s="47"/>
      <c r="K232" s="47"/>
      <c r="L232" s="47"/>
      <c r="M232" s="47"/>
      <c r="N232" s="47"/>
      <c r="O232" s="47"/>
      <c r="P232" s="48"/>
      <c r="Q232" s="49"/>
      <c r="R232" s="49"/>
    </row>
    <row r="233" spans="2:18" ht="25.9" customHeight="1" x14ac:dyDescent="0.25">
      <c r="B233" s="40"/>
      <c r="C233" s="41"/>
      <c r="D233" s="42"/>
      <c r="E233" s="43"/>
      <c r="F233" s="44"/>
      <c r="G233" s="45"/>
      <c r="H233" s="46"/>
      <c r="I233" s="47"/>
      <c r="J233" s="47"/>
      <c r="K233" s="47"/>
      <c r="L233" s="47"/>
      <c r="M233" s="47"/>
      <c r="N233" s="47"/>
      <c r="O233" s="47"/>
      <c r="P233" s="48"/>
      <c r="Q233" s="49"/>
      <c r="R233" s="49"/>
    </row>
    <row r="234" spans="2:18" x14ac:dyDescent="0.25">
      <c r="B234" s="40"/>
      <c r="C234" s="41"/>
      <c r="D234" s="42"/>
      <c r="E234" s="43"/>
      <c r="F234" s="44"/>
      <c r="G234" s="45">
        <f>H241*100/21</f>
        <v>55000</v>
      </c>
      <c r="H234" s="46">
        <f>I241*100/10.5</f>
        <v>6.82</v>
      </c>
      <c r="I234" s="47"/>
      <c r="J234" s="47"/>
      <c r="K234" s="47"/>
      <c r="L234" s="47"/>
      <c r="M234" s="47"/>
      <c r="N234" s="47"/>
      <c r="O234" s="47"/>
      <c r="P234" s="48"/>
      <c r="Q234" s="49"/>
      <c r="R234" s="49"/>
    </row>
    <row r="235" spans="2:18" ht="17.25" customHeight="1" x14ac:dyDescent="0.25">
      <c r="B235" s="40"/>
      <c r="C235" s="41"/>
      <c r="D235" s="42"/>
      <c r="E235" s="43"/>
      <c r="F235" s="44"/>
      <c r="G235" s="45"/>
      <c r="H235" s="46"/>
      <c r="I235" s="47"/>
      <c r="J235" s="47"/>
      <c r="K235" s="47"/>
      <c r="L235" s="47"/>
    </row>
    <row r="236" spans="2:18" ht="31.5" customHeight="1" x14ac:dyDescent="0.25">
      <c r="D236" s="581" t="s">
        <v>15</v>
      </c>
      <c r="E236" s="581"/>
      <c r="F236" s="581"/>
      <c r="G236" s="581"/>
      <c r="H236" s="581"/>
      <c r="I236" s="581"/>
      <c r="J236" s="581"/>
      <c r="K236" s="581"/>
      <c r="L236" s="581"/>
    </row>
    <row r="237" spans="2:18" ht="15.75" x14ac:dyDescent="0.25">
      <c r="D237" s="73" t="s">
        <v>0</v>
      </c>
      <c r="E237" s="74" t="s">
        <v>26</v>
      </c>
      <c r="F237" s="74" t="s">
        <v>16</v>
      </c>
      <c r="G237" s="74" t="s">
        <v>5</v>
      </c>
      <c r="H237" s="74" t="s">
        <v>17</v>
      </c>
      <c r="I237" s="74" t="s">
        <v>7</v>
      </c>
      <c r="J237" s="75" t="s">
        <v>18</v>
      </c>
      <c r="K237" s="75" t="s">
        <v>19</v>
      </c>
      <c r="L237" s="76" t="s">
        <v>20</v>
      </c>
    </row>
    <row r="238" spans="2:18" x14ac:dyDescent="0.25">
      <c r="D238" s="50"/>
      <c r="E238" s="80"/>
      <c r="F238" s="233" t="s">
        <v>2870</v>
      </c>
      <c r="G238" s="232">
        <v>25311.07</v>
      </c>
      <c r="H238" s="232">
        <v>3974.3801999999996</v>
      </c>
      <c r="I238" s="232">
        <v>670.47224999999992</v>
      </c>
      <c r="J238" s="232">
        <v>858.33999999999992</v>
      </c>
      <c r="K238" s="81">
        <v>663.55</v>
      </c>
      <c r="L238" s="81"/>
    </row>
    <row r="239" spans="2:18" x14ac:dyDescent="0.25">
      <c r="D239" s="50"/>
      <c r="E239" s="80"/>
      <c r="F239" s="233" t="s">
        <v>2517</v>
      </c>
      <c r="G239" s="232">
        <v>68514.290000000008</v>
      </c>
      <c r="H239" s="232">
        <v>13977.6</v>
      </c>
      <c r="I239" s="232">
        <v>205.20044999999999</v>
      </c>
      <c r="J239" s="232">
        <v>3993.6</v>
      </c>
      <c r="K239" s="81">
        <v>1996.8</v>
      </c>
      <c r="L239" s="81"/>
    </row>
    <row r="240" spans="2:18" x14ac:dyDescent="0.25">
      <c r="D240" s="50"/>
      <c r="E240" s="80"/>
      <c r="F240" s="233" t="s">
        <v>2314</v>
      </c>
      <c r="G240" s="232">
        <v>153835.51</v>
      </c>
      <c r="H240" s="232">
        <v>32305.4571</v>
      </c>
      <c r="I240" s="232"/>
      <c r="J240" s="232">
        <v>7251.93</v>
      </c>
      <c r="K240" s="81">
        <v>4296.53</v>
      </c>
      <c r="L240" s="81"/>
    </row>
    <row r="241" spans="4:12" x14ac:dyDescent="0.25">
      <c r="D241" s="50"/>
      <c r="E241" s="80"/>
      <c r="F241" s="233" t="s">
        <v>2312</v>
      </c>
      <c r="G241" s="232">
        <v>55006.82</v>
      </c>
      <c r="H241" s="232">
        <v>11550</v>
      </c>
      <c r="I241" s="232">
        <v>0.71609999999999996</v>
      </c>
      <c r="J241" s="232">
        <v>935309.58999999764</v>
      </c>
      <c r="K241" s="81">
        <v>1650</v>
      </c>
      <c r="L241" s="81"/>
    </row>
    <row r="242" spans="4:12" x14ac:dyDescent="0.25">
      <c r="D242" s="50"/>
      <c r="E242" s="80"/>
      <c r="F242" s="233" t="s">
        <v>2184</v>
      </c>
      <c r="G242" s="232">
        <v>4958.67</v>
      </c>
      <c r="H242" s="232">
        <v>1041.3207</v>
      </c>
      <c r="I242" s="232"/>
      <c r="J242" s="232">
        <v>568.62</v>
      </c>
      <c r="K242" s="81">
        <v>148.76</v>
      </c>
      <c r="L242" s="81"/>
    </row>
    <row r="243" spans="4:12" x14ac:dyDescent="0.25">
      <c r="D243" s="50"/>
      <c r="E243" s="80"/>
      <c r="F243" s="233" t="s">
        <v>2811</v>
      </c>
      <c r="G243" s="232">
        <v>1467673.3333333335</v>
      </c>
      <c r="H243" s="232">
        <f>extracto_banco_mes9[[#This Row],[NETO]]*0.21</f>
        <v>308211.40000000002</v>
      </c>
      <c r="I243" s="232"/>
      <c r="J243" s="232">
        <v>836636.89</v>
      </c>
      <c r="K243" s="81"/>
      <c r="L243" s="81"/>
    </row>
    <row r="244" spans="4:12" x14ac:dyDescent="0.25">
      <c r="D244" s="50"/>
      <c r="E244" s="80"/>
      <c r="F244" s="234"/>
      <c r="G244" s="232"/>
      <c r="H244" s="232"/>
      <c r="I244" s="232"/>
      <c r="J244" s="232"/>
      <c r="K244" s="81"/>
      <c r="L244" s="81"/>
    </row>
    <row r="245" spans="4:12" x14ac:dyDescent="0.25">
      <c r="D245" s="50"/>
      <c r="E245" s="80"/>
      <c r="F245" s="234"/>
      <c r="G245" s="232"/>
      <c r="H245" s="232"/>
      <c r="I245" s="232"/>
      <c r="J245" s="232"/>
      <c r="K245" s="81"/>
      <c r="L245" s="81"/>
    </row>
    <row r="246" spans="4:12" ht="19.149999999999999" customHeight="1" x14ac:dyDescent="0.25">
      <c r="D246" s="50"/>
      <c r="E246" s="79"/>
      <c r="F246" s="80"/>
      <c r="G246" s="81"/>
      <c r="H246" s="81"/>
      <c r="I246" s="81"/>
      <c r="J246" s="81"/>
      <c r="K246" s="81"/>
      <c r="L246" s="81"/>
    </row>
    <row r="247" spans="4:12" x14ac:dyDescent="0.25">
      <c r="D247" s="82" t="s">
        <v>103</v>
      </c>
      <c r="E247" s="80"/>
      <c r="F247" s="80"/>
      <c r="G247" s="83">
        <f>SUBTOTAL(109,extracto_banco_mes9[NETO])</f>
        <v>1775299.6933333334</v>
      </c>
      <c r="H247" s="83">
        <f>SUBTOTAL(109,extracto_banco_mes9[IVA 21%])</f>
        <v>371060.158</v>
      </c>
      <c r="I247" s="83">
        <f>SUBTOTAL(109,extracto_banco_mes9[IVA 10,5%])</f>
        <v>876.38879999999983</v>
      </c>
      <c r="J247" s="83">
        <f>SUBTOTAL(109,extracto_banco_mes9[RET IIBB CABA])</f>
        <v>1784618.9699999976</v>
      </c>
      <c r="K247" s="83">
        <f>SUBTOTAL(109,extracto_banco_mes9[PERC IVA])</f>
        <v>8755.64</v>
      </c>
      <c r="L247" s="83">
        <f>SUBTOTAL(109,extracto_banco_mes9[PERC IIBB])</f>
        <v>0</v>
      </c>
    </row>
    <row r="251" spans="4:12" ht="21" x14ac:dyDescent="0.25">
      <c r="D251" s="581" t="s">
        <v>25</v>
      </c>
      <c r="E251" s="581"/>
      <c r="F251" s="581"/>
      <c r="G251" s="581"/>
      <c r="H251" s="581"/>
      <c r="I251" s="581"/>
      <c r="J251" s="581"/>
      <c r="K251" s="581"/>
    </row>
    <row r="252" spans="4:12" x14ac:dyDescent="0.25">
      <c r="D252" s="51" t="s">
        <v>0</v>
      </c>
      <c r="E252" s="51" t="s">
        <v>2</v>
      </c>
      <c r="F252" s="51" t="s">
        <v>74</v>
      </c>
      <c r="G252" s="51" t="s">
        <v>3</v>
      </c>
      <c r="H252" s="51" t="s">
        <v>4</v>
      </c>
      <c r="I252" s="52" t="s">
        <v>10</v>
      </c>
      <c r="J252" s="51" t="s">
        <v>13</v>
      </c>
      <c r="K252" s="51" t="s">
        <v>38</v>
      </c>
    </row>
    <row r="253" spans="4:12" x14ac:dyDescent="0.25">
      <c r="D253" s="50" t="s">
        <v>2819</v>
      </c>
      <c r="E253" s="131">
        <v>3</v>
      </c>
      <c r="F253" s="131">
        <v>2013</v>
      </c>
      <c r="G253" s="118">
        <v>20173025557</v>
      </c>
      <c r="H253" s="53" t="str">
        <f>IFERROR(IF(factura_c_mes9[[#This Row],[CUIT]]="","-",VLOOKUP(factura_c_mes9[[#This Row],[CUIT]],Lista_CUIT[#All],2,0)),"CUIT NO CARGADO")</f>
        <v>MARAUDA HECTOR</v>
      </c>
      <c r="I253" s="158">
        <v>9000</v>
      </c>
      <c r="J253" s="54" t="str">
        <f>IFERROR(IF(factura_c_mes9[[#This Row],[CUIT]]="","-",VLOOKUP(factura_c_mes9[[#This Row],[CUIT]],Lista_CUIT[#All],3,0)),"CUIT NO CARGADO")</f>
        <v>Gastos Varios</v>
      </c>
      <c r="K253" s="54">
        <f>IFERROR(IF(factura_c_mes9[[#This Row],[CUIT]]="","-",VLOOKUP(factura_c_mes9[[#This Row],[CUIT]],Lista_CUIT[#All],4,0)),"CUIT NO CARGADO")</f>
        <v>0</v>
      </c>
    </row>
    <row r="254" spans="4:12" x14ac:dyDescent="0.25">
      <c r="D254" s="50" t="s">
        <v>2822</v>
      </c>
      <c r="E254" s="131">
        <v>10</v>
      </c>
      <c r="F254" s="131">
        <v>291</v>
      </c>
      <c r="G254" s="118">
        <v>20302234389</v>
      </c>
      <c r="H254" s="53" t="str">
        <f>IFERROR(IF(factura_c_mes9[[#This Row],[CUIT]]="","-",VLOOKUP(factura_c_mes9[[#This Row],[CUIT]],Lista_CUIT[#All],2,0)),"CUIT NO CARGADO")</f>
        <v>VIGORELLI GUILLERMO DANIEL</v>
      </c>
      <c r="I254" s="158">
        <v>350000</v>
      </c>
      <c r="J254" s="54" t="str">
        <f>IFERROR(IF(factura_c_mes9[[#This Row],[CUIT]]="","-",VLOOKUP(factura_c_mes9[[#This Row],[CUIT]],Lista_CUIT[#All],3,0)),"CUIT NO CARGADO")</f>
        <v>Gastos Varios</v>
      </c>
      <c r="K254" s="54">
        <f>IFERROR(IF(factura_c_mes9[[#This Row],[CUIT]]="","-",VLOOKUP(factura_c_mes9[[#This Row],[CUIT]],Lista_CUIT[#All],4,0)),"CUIT NO CARGADO")</f>
        <v>0</v>
      </c>
    </row>
    <row r="255" spans="4:12" x14ac:dyDescent="0.25">
      <c r="D255" s="50" t="s">
        <v>2813</v>
      </c>
      <c r="E255" s="131">
        <v>1</v>
      </c>
      <c r="F255" s="131">
        <v>248</v>
      </c>
      <c r="G255" s="118">
        <v>27310577168</v>
      </c>
      <c r="H255" s="53" t="str">
        <f>IFERROR(IF(factura_c_mes9[[#This Row],[CUIT]]="","-",VLOOKUP(factura_c_mes9[[#This Row],[CUIT]],Lista_CUIT[#All],2,0)),"CUIT NO CARGADO")</f>
        <v>PASQUALIS DANIELA</v>
      </c>
      <c r="I255" s="158">
        <v>359900</v>
      </c>
      <c r="J255" s="54" t="s">
        <v>2563</v>
      </c>
      <c r="K255" s="54">
        <f>IFERROR(IF(factura_c_mes9[[#This Row],[CUIT]]="","-",VLOOKUP(factura_c_mes9[[#This Row],[CUIT]],Lista_CUIT[#All],4,0)),"CUIT NO CARGADO")</f>
        <v>0</v>
      </c>
    </row>
    <row r="256" spans="4:12" x14ac:dyDescent="0.25">
      <c r="D256" s="50" t="s">
        <v>2815</v>
      </c>
      <c r="E256" s="131">
        <v>1</v>
      </c>
      <c r="F256" s="131">
        <v>19</v>
      </c>
      <c r="G256" s="118">
        <v>27309116343</v>
      </c>
      <c r="H256" s="53" t="str">
        <f>IFERROR(IF(factura_c_mes9[[#This Row],[CUIT]]="","-",VLOOKUP(factura_c_mes9[[#This Row],[CUIT]],Lista_CUIT[#All],2,0)),"CUIT NO CARGADO")</f>
        <v>FERNANDEZ DANIELA NATALIA</v>
      </c>
      <c r="I256" s="158">
        <v>132000</v>
      </c>
      <c r="J256" s="54" t="str">
        <f>IFERROR(IF(factura_c_mes9[[#This Row],[CUIT]]="","-",VLOOKUP(factura_c_mes9[[#This Row],[CUIT]],Lista_CUIT[#All],3,0)),"CUIT NO CARGADO")</f>
        <v>Honorarios Administrativos</v>
      </c>
      <c r="K256" s="54">
        <f>IFERROR(IF(factura_c_mes9[[#This Row],[CUIT]]="","-",VLOOKUP(factura_c_mes9[[#This Row],[CUIT]],Lista_CUIT[#All],4,0)),"CUIT NO CARGADO")</f>
        <v>0</v>
      </c>
    </row>
    <row r="257" spans="4:11" x14ac:dyDescent="0.25">
      <c r="D257" s="395" t="s">
        <v>2817</v>
      </c>
      <c r="E257" s="395">
        <v>1</v>
      </c>
      <c r="F257" s="395">
        <v>27</v>
      </c>
      <c r="G257" s="396">
        <v>20420115882</v>
      </c>
      <c r="H257" s="397" t="str">
        <f>IFERROR(IF(factura_c_mes9[[#This Row],[CUIT]]="","-",VLOOKUP(factura_c_mes9[[#This Row],[CUIT]],Lista_CUIT[#All],2,0)),"CUIT NO CARGADO")</f>
        <v>CASTILLO MARIANO JAVIER</v>
      </c>
      <c r="I257" s="398">
        <v>1031740</v>
      </c>
      <c r="J257" s="399" t="str">
        <f>IFERROR(IF(factura_c_mes9[[#This Row],[CUIT]]="","-",VLOOKUP(factura_c_mes9[[#This Row],[CUIT]],Lista_CUIT[#All],3,0)),"CUIT NO CARGADO")</f>
        <v>Honorarios Administrativos</v>
      </c>
      <c r="K257" s="399">
        <f>IFERROR(IF(factura_c_mes9[[#This Row],[CUIT]]="","-",VLOOKUP(factura_c_mes9[[#This Row],[CUIT]],Lista_CUIT[#All],4,0)),"CUIT NO CARGADO")</f>
        <v>0</v>
      </c>
    </row>
    <row r="258" spans="4:11" x14ac:dyDescent="0.25">
      <c r="D258" s="50" t="s">
        <v>2817</v>
      </c>
      <c r="E258" s="131">
        <v>1</v>
      </c>
      <c r="F258" s="131">
        <v>9</v>
      </c>
      <c r="G258" s="118">
        <v>20472017056</v>
      </c>
      <c r="H258" s="53" t="str">
        <f>IFERROR(IF(factura_c_mes9[[#This Row],[CUIT]]="","-",VLOOKUP(factura_c_mes9[[#This Row],[CUIT]],Lista_CUIT[#All],2,0)),"CUIT NO CARGADO")</f>
        <v>BARUCCO BAUTISTA</v>
      </c>
      <c r="I258" s="158">
        <v>594000</v>
      </c>
      <c r="J258" s="54" t="s">
        <v>2563</v>
      </c>
      <c r="K258" s="54">
        <f>IFERROR(IF(factura_c_mes9[[#This Row],[CUIT]]="","-",VLOOKUP(factura_c_mes9[[#This Row],[CUIT]],Lista_CUIT[#All],4,0)),"CUIT NO CARGADO")</f>
        <v>0</v>
      </c>
    </row>
    <row r="259" spans="4:11" x14ac:dyDescent="0.25">
      <c r="D259" s="395" t="s">
        <v>2817</v>
      </c>
      <c r="E259" s="395">
        <v>1</v>
      </c>
      <c r="F259" s="395">
        <v>2</v>
      </c>
      <c r="G259" s="396">
        <v>27176180485</v>
      </c>
      <c r="H259" s="397" t="str">
        <f>IFERROR(IF(factura_c_mes9[[#This Row],[CUIT]]="","-",VLOOKUP(factura_c_mes9[[#This Row],[CUIT]],Lista_CUIT[#All],2,0)),"CUIT NO CARGADO")</f>
        <v>GIMENEZ MARIANA BEATRIZ</v>
      </c>
      <c r="I259" s="398">
        <v>264000</v>
      </c>
      <c r="J259" s="399" t="s">
        <v>2563</v>
      </c>
      <c r="K259" s="399">
        <f>IFERROR(IF(factura_c_mes9[[#This Row],[CUIT]]="","-",VLOOKUP(factura_c_mes9[[#This Row],[CUIT]],Lista_CUIT[#All],4,0)),"CUIT NO CARGADO")</f>
        <v>0</v>
      </c>
    </row>
    <row r="260" spans="4:11" x14ac:dyDescent="0.25">
      <c r="D260" s="50" t="s">
        <v>2818</v>
      </c>
      <c r="E260" s="131">
        <v>1</v>
      </c>
      <c r="F260" s="131">
        <v>20</v>
      </c>
      <c r="G260" s="118">
        <v>27309116343</v>
      </c>
      <c r="H260" s="53" t="str">
        <f>IFERROR(IF(factura_c_mes9[[#This Row],[CUIT]]="","-",VLOOKUP(factura_c_mes9[[#This Row],[CUIT]],Lista_CUIT[#All],2,0)),"CUIT NO CARGADO")</f>
        <v>FERNANDEZ DANIELA NATALIA</v>
      </c>
      <c r="I260" s="158">
        <v>165000</v>
      </c>
      <c r="J260" s="54" t="str">
        <f>IFERROR(IF(factura_c_mes9[[#This Row],[CUIT]]="","-",VLOOKUP(factura_c_mes9[[#This Row],[CUIT]],Lista_CUIT[#All],3,0)),"CUIT NO CARGADO")</f>
        <v>Honorarios Administrativos</v>
      </c>
      <c r="K260" s="54">
        <f>IFERROR(IF(factura_c_mes9[[#This Row],[CUIT]]="","-",VLOOKUP(factura_c_mes9[[#This Row],[CUIT]],Lista_CUIT[#All],4,0)),"CUIT NO CARGADO")</f>
        <v>0</v>
      </c>
    </row>
    <row r="261" spans="4:11" x14ac:dyDescent="0.25">
      <c r="D261" s="50" t="s">
        <v>2820</v>
      </c>
      <c r="E261" s="216">
        <v>1</v>
      </c>
      <c r="F261" s="216">
        <v>21</v>
      </c>
      <c r="G261" s="118">
        <v>27309116343</v>
      </c>
      <c r="H261" s="218" t="str">
        <f>IFERROR(IF(factura_c_mes9[[#This Row],[CUIT]]="","-",VLOOKUP(factura_c_mes9[[#This Row],[CUIT]],Lista_CUIT[#All],2,0)),"CUIT NO CARGADO")</f>
        <v>FERNANDEZ DANIELA NATALIA</v>
      </c>
      <c r="I261" s="219">
        <v>165000</v>
      </c>
      <c r="J261" s="220" t="str">
        <f>IFERROR(IF(factura_c_mes9[[#This Row],[CUIT]]="","-",VLOOKUP(factura_c_mes9[[#This Row],[CUIT]],Lista_CUIT[#All],3,0)),"CUIT NO CARGADO")</f>
        <v>Honorarios Administrativos</v>
      </c>
      <c r="K261" s="220">
        <f>IFERROR(IF(factura_c_mes9[[#This Row],[CUIT]]="","-",VLOOKUP(factura_c_mes9[[#This Row],[CUIT]],Lista_CUIT[#All],4,0)),"CUIT NO CARGADO")</f>
        <v>0</v>
      </c>
    </row>
    <row r="262" spans="4:11" x14ac:dyDescent="0.25">
      <c r="D262" s="50" t="s">
        <v>2820</v>
      </c>
      <c r="E262" s="131">
        <v>2</v>
      </c>
      <c r="F262" s="131">
        <v>481</v>
      </c>
      <c r="G262" s="118">
        <v>20372527707</v>
      </c>
      <c r="H262" s="53" t="str">
        <f>IFERROR(IF(factura_c_mes9[[#This Row],[CUIT]]="","-",VLOOKUP(factura_c_mes9[[#This Row],[CUIT]],Lista_CUIT[#All],2,0)),"CUIT NO CARGADO")</f>
        <v>PARDO GASTON EMANUEL</v>
      </c>
      <c r="I262" s="158">
        <v>180000</v>
      </c>
      <c r="J262" s="54" t="s">
        <v>2563</v>
      </c>
      <c r="K262" s="54">
        <f>IFERROR(IF(factura_c_mes9[[#This Row],[CUIT]]="","-",VLOOKUP(factura_c_mes9[[#This Row],[CUIT]],Lista_CUIT[#All],4,0)),"CUIT NO CARGADO")</f>
        <v>0</v>
      </c>
    </row>
    <row r="263" spans="4:11" x14ac:dyDescent="0.25">
      <c r="D263" s="50" t="s">
        <v>2821</v>
      </c>
      <c r="E263" s="131">
        <v>1</v>
      </c>
      <c r="F263" s="131">
        <v>252</v>
      </c>
      <c r="G263" s="118">
        <v>27310577168</v>
      </c>
      <c r="H263" s="53" t="str">
        <f>IFERROR(IF(factura_c_mes9[[#This Row],[CUIT]]="","-",VLOOKUP(factura_c_mes9[[#This Row],[CUIT]],Lista_CUIT[#All],2,0)),"CUIT NO CARGADO")</f>
        <v>PASQUALIS DANIELA</v>
      </c>
      <c r="I263" s="158">
        <v>359900</v>
      </c>
      <c r="J263" s="54" t="s">
        <v>2563</v>
      </c>
      <c r="K263" s="54">
        <f>IFERROR(IF(factura_c_mes9[[#This Row],[CUIT]]="","-",VLOOKUP(factura_c_mes9[[#This Row],[CUIT]],Lista_CUIT[#All],4,0)),"CUIT NO CARGADO")</f>
        <v>0</v>
      </c>
    </row>
    <row r="264" spans="4:11" x14ac:dyDescent="0.25">
      <c r="D264" s="50" t="s">
        <v>2823</v>
      </c>
      <c r="E264" s="131">
        <v>1</v>
      </c>
      <c r="F264" s="131">
        <v>22</v>
      </c>
      <c r="G264" s="118">
        <v>27309116343</v>
      </c>
      <c r="H264" s="53" t="str">
        <f>IFERROR(IF(factura_c_mes9[[#This Row],[CUIT]]="","-",VLOOKUP(factura_c_mes9[[#This Row],[CUIT]],Lista_CUIT[#All],2,0)),"CUIT NO CARGADO")</f>
        <v>FERNANDEZ DANIELA NATALIA</v>
      </c>
      <c r="I264" s="158">
        <v>165000</v>
      </c>
      <c r="J264" s="54" t="str">
        <f>IFERROR(IF(factura_c_mes9[[#This Row],[CUIT]]="","-",VLOOKUP(factura_c_mes9[[#This Row],[CUIT]],Lista_CUIT[#All],3,0)),"CUIT NO CARGADO")</f>
        <v>Honorarios Administrativos</v>
      </c>
      <c r="K264" s="54">
        <f>IFERROR(IF(factura_c_mes9[[#This Row],[CUIT]]="","-",VLOOKUP(factura_c_mes9[[#This Row],[CUIT]],Lista_CUIT[#All],4,0)),"CUIT NO CARGADO")</f>
        <v>0</v>
      </c>
    </row>
    <row r="265" spans="4:11" x14ac:dyDescent="0.25">
      <c r="D265" s="50" t="s">
        <v>2824</v>
      </c>
      <c r="E265" s="131">
        <v>2</v>
      </c>
      <c r="F265" s="131">
        <v>96</v>
      </c>
      <c r="G265" s="118">
        <v>23182935069</v>
      </c>
      <c r="H265" s="53" t="str">
        <f>IFERROR(IF(factura_c_mes9[[#This Row],[CUIT]]="","-",VLOOKUP(factura_c_mes9[[#This Row],[CUIT]],Lista_CUIT[#All],2,0)),"CUIT NO CARGADO")</f>
        <v>SOUTO GUILLERMO OSCAR</v>
      </c>
      <c r="I265" s="158">
        <v>125000</v>
      </c>
      <c r="J265" s="54" t="s">
        <v>2563</v>
      </c>
      <c r="K265" s="54">
        <f>IFERROR(IF(factura_c_mes9[[#This Row],[CUIT]]="","-",VLOOKUP(factura_c_mes9[[#This Row],[CUIT]],Lista_CUIT[#All],4,0)),"CUIT NO CARGADO")</f>
        <v>0</v>
      </c>
    </row>
    <row r="266" spans="4:11" x14ac:dyDescent="0.25">
      <c r="D266" s="50" t="s">
        <v>2825</v>
      </c>
      <c r="E266" s="131">
        <v>1</v>
      </c>
      <c r="F266" s="131">
        <v>16</v>
      </c>
      <c r="G266" s="118">
        <v>27250242536</v>
      </c>
      <c r="H266" s="53" t="str">
        <f>IFERROR(IF(factura_c_mes9[[#This Row],[CUIT]]="","-",VLOOKUP(factura_c_mes9[[#This Row],[CUIT]],Lista_CUIT[#All],2,0)),"CUIT NO CARGADO")</f>
        <v>TUNDIS AIDA ESPERANZA</v>
      </c>
      <c r="I266" s="158">
        <v>198000</v>
      </c>
      <c r="J266" s="54" t="s">
        <v>2563</v>
      </c>
      <c r="K266" s="54">
        <f>IFERROR(IF(factura_c_mes9[[#This Row],[CUIT]]="","-",VLOOKUP(factura_c_mes9[[#This Row],[CUIT]],Lista_CUIT[#All],4,0)),"CUIT NO CARGADO")</f>
        <v>0</v>
      </c>
    </row>
    <row r="267" spans="4:11" x14ac:dyDescent="0.25">
      <c r="D267" s="50" t="s">
        <v>2828</v>
      </c>
      <c r="E267" s="131">
        <v>1</v>
      </c>
      <c r="F267" s="131">
        <v>23</v>
      </c>
      <c r="G267" s="118">
        <v>27309116343</v>
      </c>
      <c r="H267" s="53" t="str">
        <f>IFERROR(IF(factura_c_mes9[[#This Row],[CUIT]]="","-",VLOOKUP(factura_c_mes9[[#This Row],[CUIT]],Lista_CUIT[#All],2,0)),"CUIT NO CARGADO")</f>
        <v>FERNANDEZ DANIELA NATALIA</v>
      </c>
      <c r="I267" s="158">
        <v>165000</v>
      </c>
      <c r="J267" s="54" t="str">
        <f>IFERROR(IF(factura_c_mes9[[#This Row],[CUIT]]="","-",VLOOKUP(factura_c_mes9[[#This Row],[CUIT]],Lista_CUIT[#All],3,0)),"CUIT NO CARGADO")</f>
        <v>Honorarios Administrativos</v>
      </c>
      <c r="K267" s="54">
        <f>IFERROR(IF(factura_c_mes9[[#This Row],[CUIT]]="","-",VLOOKUP(factura_c_mes9[[#This Row],[CUIT]],Lista_CUIT[#All],4,0)),"CUIT NO CARGADO")</f>
        <v>0</v>
      </c>
    </row>
    <row r="268" spans="4:11" x14ac:dyDescent="0.25">
      <c r="D268" s="216" t="s">
        <v>2813</v>
      </c>
      <c r="E268" s="216">
        <v>4</v>
      </c>
      <c r="F268" s="216">
        <v>54</v>
      </c>
      <c r="G268" s="217">
        <v>20086277523</v>
      </c>
      <c r="H268" s="218" t="str">
        <f>IFERROR(IF(factura_c_mes9[[#This Row],[CUIT]]="","-",VLOOKUP(factura_c_mes9[[#This Row],[CUIT]],Lista_CUIT[#All],2,0)),"CUIT NO CARGADO")</f>
        <v>BOTINDARI JUAN CARLOS</v>
      </c>
      <c r="I268" s="219">
        <v>315000</v>
      </c>
      <c r="J268" s="220" t="str">
        <f>IFERROR(IF(factura_c_mes9[[#This Row],[CUIT]]="","-",VLOOKUP(factura_c_mes9[[#This Row],[CUIT]],Lista_CUIT[#All],3,0)),"CUIT NO CARGADO")</f>
        <v>Honorarios Contables</v>
      </c>
      <c r="K268" s="220">
        <f>IFERROR(IF(factura_c_mes9[[#This Row],[CUIT]]="","-",VLOOKUP(factura_c_mes9[[#This Row],[CUIT]],Lista_CUIT[#All],4,0)),"CUIT NO CARGADO")</f>
        <v>0</v>
      </c>
    </row>
    <row r="269" spans="4:11" x14ac:dyDescent="0.25">
      <c r="D269" s="50" t="s">
        <v>2813</v>
      </c>
      <c r="E269" s="131">
        <v>2</v>
      </c>
      <c r="F269" s="131">
        <v>403</v>
      </c>
      <c r="G269" s="118">
        <v>27206941419</v>
      </c>
      <c r="H269" s="53" t="str">
        <f>IFERROR(IF(factura_c_mes9[[#This Row],[CUIT]]="","-",VLOOKUP(factura_c_mes9[[#This Row],[CUIT]],Lista_CUIT[#All],2,0)),"CUIT NO CARGADO")</f>
        <v>DOBARRO PAULA MARCELA</v>
      </c>
      <c r="I269" s="158">
        <v>150000</v>
      </c>
      <c r="J269" s="54" t="str">
        <f>IFERROR(IF(factura_c_mes9[[#This Row],[CUIT]]="","-",VLOOKUP(factura_c_mes9[[#This Row],[CUIT]],Lista_CUIT[#All],3,0)),"CUIT NO CARGADO")</f>
        <v>Honorarios Contables</v>
      </c>
      <c r="K269" s="54">
        <f>IFERROR(IF(factura_c_mes9[[#This Row],[CUIT]]="","-",VLOOKUP(factura_c_mes9[[#This Row],[CUIT]],Lista_CUIT[#All],4,0)),"CUIT NO CARGADO")</f>
        <v>0</v>
      </c>
    </row>
    <row r="270" spans="4:11" x14ac:dyDescent="0.25">
      <c r="D270" s="216" t="s">
        <v>2815</v>
      </c>
      <c r="E270" s="216">
        <v>2</v>
      </c>
      <c r="F270" s="216">
        <v>351</v>
      </c>
      <c r="G270" s="217">
        <v>23319210954</v>
      </c>
      <c r="H270" s="218" t="str">
        <f>IFERROR(IF(factura_c_mes9[[#This Row],[CUIT]]="","-",VLOOKUP(factura_c_mes9[[#This Row],[CUIT]],Lista_CUIT[#All],2,0)),"CUIT NO CARGADO")</f>
        <v>CAFFARATTI ROMINA PAOLA</v>
      </c>
      <c r="I270" s="219">
        <v>357600</v>
      </c>
      <c r="J270" s="220" t="str">
        <f>IFERROR(IF(factura_c_mes9[[#This Row],[CUIT]]="","-",VLOOKUP(factura_c_mes9[[#This Row],[CUIT]],Lista_CUIT[#All],3,0)),"CUIT NO CARGADO")</f>
        <v>Honorarios Contables</v>
      </c>
      <c r="K270" s="220">
        <f>IFERROR(IF(factura_c_mes9[[#This Row],[CUIT]]="","-",VLOOKUP(factura_c_mes9[[#This Row],[CUIT]],Lista_CUIT[#All],4,0)),"CUIT NO CARGADO")</f>
        <v>0</v>
      </c>
    </row>
    <row r="271" spans="4:11" x14ac:dyDescent="0.25">
      <c r="D271" s="50" t="s">
        <v>2818</v>
      </c>
      <c r="E271" s="131">
        <v>4</v>
      </c>
      <c r="F271" s="131">
        <v>63</v>
      </c>
      <c r="G271" s="118">
        <v>20086277523</v>
      </c>
      <c r="H271" s="53" t="str">
        <f>IFERROR(IF(factura_c_mes9[[#This Row],[CUIT]]="","-",VLOOKUP(factura_c_mes9[[#This Row],[CUIT]],Lista_CUIT[#All],2,0)),"CUIT NO CARGADO")</f>
        <v>BOTINDARI JUAN CARLOS</v>
      </c>
      <c r="I271" s="158">
        <v>2100000</v>
      </c>
      <c r="J271" s="54" t="str">
        <f>IFERROR(IF(factura_c_mes9[[#This Row],[CUIT]]="","-",VLOOKUP(factura_c_mes9[[#This Row],[CUIT]],Lista_CUIT[#All],3,0)),"CUIT NO CARGADO")</f>
        <v>Honorarios Contables</v>
      </c>
      <c r="K271" s="54">
        <f>IFERROR(IF(factura_c_mes9[[#This Row],[CUIT]]="","-",VLOOKUP(factura_c_mes9[[#This Row],[CUIT]],Lista_CUIT[#All],4,0)),"CUIT NO CARGADO")</f>
        <v>0</v>
      </c>
    </row>
    <row r="272" spans="4:11" x14ac:dyDescent="0.25">
      <c r="D272" s="395" t="s">
        <v>2818</v>
      </c>
      <c r="E272" s="395">
        <v>2</v>
      </c>
      <c r="F272" s="395">
        <v>1040</v>
      </c>
      <c r="G272" s="396">
        <v>20400104094</v>
      </c>
      <c r="H272" s="397" t="str">
        <f>IFERROR(IF(factura_c_mes9[[#This Row],[CUIT]]="","-",VLOOKUP(factura_c_mes9[[#This Row],[CUIT]],Lista_CUIT[#All],2,0)),"CUIT NO CARGADO")</f>
        <v>BOTINDARI FEDERICO DANIEL</v>
      </c>
      <c r="I272" s="398">
        <v>1840000</v>
      </c>
      <c r="J272" s="399" t="str">
        <f>IFERROR(IF(factura_c_mes9[[#This Row],[CUIT]]="","-",VLOOKUP(factura_c_mes9[[#This Row],[CUIT]],Lista_CUIT[#All],3,0)),"CUIT NO CARGADO")</f>
        <v>Honorarios Contables</v>
      </c>
      <c r="K272" s="399">
        <f>IFERROR(IF(factura_c_mes9[[#This Row],[CUIT]]="","-",VLOOKUP(factura_c_mes9[[#This Row],[CUIT]],Lista_CUIT[#All],4,0)),"CUIT NO CARGADO")</f>
        <v>0</v>
      </c>
    </row>
    <row r="273" spans="2:18" x14ac:dyDescent="0.25">
      <c r="D273" s="50" t="s">
        <v>2813</v>
      </c>
      <c r="E273" s="131">
        <v>3</v>
      </c>
      <c r="F273" s="131">
        <v>581</v>
      </c>
      <c r="G273" s="118">
        <v>20210551574</v>
      </c>
      <c r="H273" s="53" t="str">
        <f>IFERROR(IF(factura_c_mes9[[#This Row],[CUIT]]="","-",VLOOKUP(factura_c_mes9[[#This Row],[CUIT]],Lista_CUIT[#All],2,0)),"CUIT NO CARGADO")</f>
        <v>REUS JORGE DIEGO</v>
      </c>
      <c r="I273" s="158">
        <v>340000</v>
      </c>
      <c r="J273" s="54" t="str">
        <f>IFERROR(IF(factura_c_mes9[[#This Row],[CUIT]]="","-",VLOOKUP(factura_c_mes9[[#This Row],[CUIT]],Lista_CUIT[#All],3,0)),"CUIT NO CARGADO")</f>
        <v>Honorarios Legales</v>
      </c>
      <c r="K273" s="54">
        <f>IFERROR(IF(factura_c_mes9[[#This Row],[CUIT]]="","-",VLOOKUP(factura_c_mes9[[#This Row],[CUIT]],Lista_CUIT[#All],4,0)),"CUIT NO CARGADO")</f>
        <v>0</v>
      </c>
    </row>
    <row r="274" spans="2:18" x14ac:dyDescent="0.25">
      <c r="D274" s="50" t="s">
        <v>2814</v>
      </c>
      <c r="E274" s="131">
        <v>1</v>
      </c>
      <c r="F274" s="131">
        <v>53</v>
      </c>
      <c r="G274" s="118">
        <v>27414720450</v>
      </c>
      <c r="H274" s="53" t="str">
        <f>IFERROR(IF(factura_c_mes9[[#This Row],[CUIT]]="","-",VLOOKUP(factura_c_mes9[[#This Row],[CUIT]],Lista_CUIT[#All],2,0)),"CUIT NO CARGADO")</f>
        <v>PREITI MICAELA ORIANA</v>
      </c>
      <c r="I274" s="158">
        <v>3200000</v>
      </c>
      <c r="J274" s="54" t="str">
        <f>IFERROR(IF(factura_c_mes9[[#This Row],[CUIT]]="","-",VLOOKUP(factura_c_mes9[[#This Row],[CUIT]],Lista_CUIT[#All],3,0)),"CUIT NO CARGADO")</f>
        <v>Honorarios Profesionales</v>
      </c>
      <c r="K274" s="54">
        <f>IFERROR(IF(factura_c_mes9[[#This Row],[CUIT]]="","-",VLOOKUP(factura_c_mes9[[#This Row],[CUIT]],Lista_CUIT[#All],4,0)),"CUIT NO CARGADO")</f>
        <v>0</v>
      </c>
    </row>
    <row r="275" spans="2:18" x14ac:dyDescent="0.25">
      <c r="D275" s="50" t="s">
        <v>2824</v>
      </c>
      <c r="E275" s="131">
        <v>1</v>
      </c>
      <c r="F275" s="131">
        <v>1</v>
      </c>
      <c r="G275" s="118">
        <v>27280216572</v>
      </c>
      <c r="H275" s="53" t="str">
        <f>IFERROR(IF(factura_c_mes9[[#This Row],[CUIT]]="","-",VLOOKUP(factura_c_mes9[[#This Row],[CUIT]],Lista_CUIT[#All],2,0)),"CUIT NO CARGADO")</f>
        <v>SANCHEZ ANALIA VERINICA</v>
      </c>
      <c r="I275" s="158">
        <v>1300000</v>
      </c>
      <c r="J275" s="54" t="s">
        <v>2565</v>
      </c>
      <c r="K275" s="54">
        <f>IFERROR(IF(factura_c_mes9[[#This Row],[CUIT]]="","-",VLOOKUP(factura_c_mes9[[#This Row],[CUIT]],Lista_CUIT[#All],4,0)),"CUIT NO CARGADO")</f>
        <v>0</v>
      </c>
    </row>
    <row r="276" spans="2:18" x14ac:dyDescent="0.25">
      <c r="D276" s="50" t="s">
        <v>2825</v>
      </c>
      <c r="E276" s="131">
        <v>2</v>
      </c>
      <c r="F276" s="131">
        <v>807</v>
      </c>
      <c r="G276" s="118">
        <v>27218690160</v>
      </c>
      <c r="H276" s="53" t="str">
        <f>IFERROR(IF(factura_c_mes9[[#This Row],[CUIT]]="","-",VLOOKUP(factura_c_mes9[[#This Row],[CUIT]],Lista_CUIT[#All],2,0)),"CUIT NO CARGADO")</f>
        <v>RAMIREZ LAURA VERONICA</v>
      </c>
      <c r="I276" s="158">
        <v>33000</v>
      </c>
      <c r="J276" s="54" t="str">
        <f>IFERROR(IF(factura_c_mes9[[#This Row],[CUIT]]="","-",VLOOKUP(factura_c_mes9[[#This Row],[CUIT]],Lista_CUIT[#All],3,0)),"CUIT NO CARGADO")</f>
        <v>Honorarios Profesionales</v>
      </c>
      <c r="K276" s="54">
        <f>IFERROR(IF(factura_c_mes9[[#This Row],[CUIT]]="","-",VLOOKUP(factura_c_mes9[[#This Row],[CUIT]],Lista_CUIT[#All],4,0)),"CUIT NO CARGADO")</f>
        <v>0</v>
      </c>
    </row>
    <row r="277" spans="2:18" x14ac:dyDescent="0.25">
      <c r="D277" s="50" t="s">
        <v>2826</v>
      </c>
      <c r="E277" s="131">
        <v>2</v>
      </c>
      <c r="F277" s="131">
        <v>808</v>
      </c>
      <c r="G277" s="118">
        <v>27218690160</v>
      </c>
      <c r="H277" s="53" t="str">
        <f>IFERROR(IF(factura_c_mes9[[#This Row],[CUIT]]="","-",VLOOKUP(factura_c_mes9[[#This Row],[CUIT]],Lista_CUIT[#All],2,0)),"CUIT NO CARGADO")</f>
        <v>RAMIREZ LAURA VERONICA</v>
      </c>
      <c r="I277" s="158">
        <v>33000</v>
      </c>
      <c r="J277" s="54" t="str">
        <f>IFERROR(IF(factura_c_mes9[[#This Row],[CUIT]]="","-",VLOOKUP(factura_c_mes9[[#This Row],[CUIT]],Lista_CUIT[#All],3,0)),"CUIT NO CARGADO")</f>
        <v>Honorarios Profesionales</v>
      </c>
      <c r="K277" s="54">
        <f>IFERROR(IF(factura_c_mes9[[#This Row],[CUIT]]="","-",VLOOKUP(factura_c_mes9[[#This Row],[CUIT]],Lista_CUIT[#All],4,0)),"CUIT NO CARGADO")</f>
        <v>0</v>
      </c>
    </row>
    <row r="278" spans="2:18" x14ac:dyDescent="0.25">
      <c r="D278" s="50" t="s">
        <v>2827</v>
      </c>
      <c r="E278" s="131">
        <v>1</v>
      </c>
      <c r="F278" s="131">
        <v>123</v>
      </c>
      <c r="G278" s="118">
        <v>20176922363</v>
      </c>
      <c r="H278" s="53" t="str">
        <f>IFERROR(IF(factura_c_mes9[[#This Row],[CUIT]]="","-",VLOOKUP(factura_c_mes9[[#This Row],[CUIT]],Lista_CUIT[#All],2,0)),"CUIT NO CARGADO")</f>
        <v>CASTILLO JUAN RAMON</v>
      </c>
      <c r="I278" s="158">
        <v>2000000</v>
      </c>
      <c r="J278" s="54" t="str">
        <f>IFERROR(IF(factura_c_mes9[[#This Row],[CUIT]]="","-",VLOOKUP(factura_c_mes9[[#This Row],[CUIT]],Lista_CUIT[#All],3,0)),"CUIT NO CARGADO")</f>
        <v>Honorarios Profesionales</v>
      </c>
      <c r="K278" s="54">
        <f>IFERROR(IF(factura_c_mes9[[#This Row],[CUIT]]="","-",VLOOKUP(factura_c_mes9[[#This Row],[CUIT]],Lista_CUIT[#All],4,0)),"CUIT NO CARGADO")</f>
        <v>0</v>
      </c>
    </row>
    <row r="279" spans="2:18" x14ac:dyDescent="0.25">
      <c r="D279" s="50" t="s">
        <v>2827</v>
      </c>
      <c r="E279" s="131">
        <v>1</v>
      </c>
      <c r="F279" s="131">
        <v>122</v>
      </c>
      <c r="G279" s="118">
        <v>20176922363</v>
      </c>
      <c r="H279" s="53" t="str">
        <f>IFERROR(IF(factura_c_mes9[[#This Row],[CUIT]]="","-",VLOOKUP(factura_c_mes9[[#This Row],[CUIT]],Lista_CUIT[#All],2,0)),"CUIT NO CARGADO")</f>
        <v>CASTILLO JUAN RAMON</v>
      </c>
      <c r="I279" s="158">
        <v>800000</v>
      </c>
      <c r="J279" s="54" t="str">
        <f>IFERROR(IF(factura_c_mes9[[#This Row],[CUIT]]="","-",VLOOKUP(factura_c_mes9[[#This Row],[CUIT]],Lista_CUIT[#All],3,0)),"CUIT NO CARGADO")</f>
        <v>Honorarios Profesionales</v>
      </c>
      <c r="K279" s="54">
        <f>IFERROR(IF(factura_c_mes9[[#This Row],[CUIT]]="","-",VLOOKUP(factura_c_mes9[[#This Row],[CUIT]],Lista_CUIT[#All],4,0)),"CUIT NO CARGADO")</f>
        <v>0</v>
      </c>
    </row>
    <row r="280" spans="2:18" x14ac:dyDescent="0.25">
      <c r="D280" s="50" t="s">
        <v>2816</v>
      </c>
      <c r="E280" s="131">
        <v>1</v>
      </c>
      <c r="F280" s="131">
        <v>136</v>
      </c>
      <c r="G280" s="118">
        <v>20299505430</v>
      </c>
      <c r="H280" s="53" t="str">
        <f>IFERROR(IF(factura_c_mes9[[#This Row],[CUIT]]="","-",VLOOKUP(factura_c_mes9[[#This Row],[CUIT]],Lista_CUIT[#All],2,0)),"CUIT NO CARGADO")</f>
        <v>PRADO EMILIANO HERNAN</v>
      </c>
      <c r="I280" s="158">
        <v>1702263</v>
      </c>
      <c r="J280" s="54" t="str">
        <f>IFERROR(IF(factura_c_mes9[[#This Row],[CUIT]]="","-",VLOOKUP(factura_c_mes9[[#This Row],[CUIT]],Lista_CUIT[#All],3,0)),"CUIT NO CARGADO")</f>
        <v>Material de Empaque</v>
      </c>
      <c r="K280" s="54">
        <f>IFERROR(IF(factura_c_mes9[[#This Row],[CUIT]]="","-",VLOOKUP(factura_c_mes9[[#This Row],[CUIT]],Lista_CUIT[#All],4,0)),"CUIT NO CARGADO")</f>
        <v>0</v>
      </c>
    </row>
    <row r="281" spans="2:18" x14ac:dyDescent="0.25">
      <c r="D281" s="395" t="s">
        <v>2820</v>
      </c>
      <c r="E281" s="395">
        <v>1</v>
      </c>
      <c r="F281" s="395">
        <v>138</v>
      </c>
      <c r="G281" s="396">
        <v>20299505430</v>
      </c>
      <c r="H281" s="397" t="str">
        <f>IFERROR(IF(factura_c_mes9[[#This Row],[CUIT]]="","-",VLOOKUP(factura_c_mes9[[#This Row],[CUIT]],Lista_CUIT[#All],2,0)),"CUIT NO CARGADO")</f>
        <v>PRADO EMILIANO HERNAN</v>
      </c>
      <c r="I281" s="398">
        <v>876566</v>
      </c>
      <c r="J281" s="399" t="str">
        <f>IFERROR(IF(factura_c_mes9[[#This Row],[CUIT]]="","-",VLOOKUP(factura_c_mes9[[#This Row],[CUIT]],Lista_CUIT[#All],3,0)),"CUIT NO CARGADO")</f>
        <v>Material de Empaque</v>
      </c>
      <c r="K281" s="399">
        <f>IFERROR(IF(factura_c_mes9[[#This Row],[CUIT]]="","-",VLOOKUP(factura_c_mes9[[#This Row],[CUIT]],Lista_CUIT[#All],4,0)),"CUIT NO CARGADO")</f>
        <v>0</v>
      </c>
    </row>
    <row r="282" spans="2:18" x14ac:dyDescent="0.25">
      <c r="D282" s="55" t="s">
        <v>103</v>
      </c>
      <c r="E282" s="55"/>
      <c r="F282" s="55"/>
      <c r="G282" s="55"/>
      <c r="H282" s="57"/>
      <c r="I282" s="58">
        <f>SUBTOTAL(109,factura_c_mes9[TOTAL])</f>
        <v>19310969</v>
      </c>
      <c r="J282" s="55"/>
      <c r="K282" s="55"/>
    </row>
    <row r="283" spans="2:18" x14ac:dyDescent="0.25">
      <c r="B283" s="56"/>
      <c r="C283" s="56"/>
      <c r="L283" s="56"/>
      <c r="M283" s="56"/>
      <c r="N283" s="56"/>
      <c r="O283" s="56"/>
      <c r="P283" s="56"/>
      <c r="Q283" s="56"/>
      <c r="R283" s="56"/>
    </row>
    <row r="288" spans="2:18" ht="26.25" x14ac:dyDescent="0.25">
      <c r="B288" s="592" t="s">
        <v>29</v>
      </c>
      <c r="C288" s="592"/>
      <c r="D288" s="592"/>
      <c r="E288" s="592"/>
      <c r="F288" s="592"/>
      <c r="G288" s="592"/>
      <c r="H288" s="592"/>
      <c r="I288" s="592"/>
      <c r="J288" s="592"/>
      <c r="K288" s="593">
        <f>N1</f>
        <v>45901</v>
      </c>
      <c r="L288" s="593"/>
      <c r="M288" s="593"/>
    </row>
    <row r="290" spans="2:13" ht="21" x14ac:dyDescent="0.25">
      <c r="B290" s="594" t="s">
        <v>30</v>
      </c>
      <c r="C290" s="594"/>
    </row>
    <row r="291" spans="2:13" ht="15.75" x14ac:dyDescent="0.25">
      <c r="B291" s="60" t="s">
        <v>0</v>
      </c>
      <c r="C291" s="61" t="s">
        <v>1</v>
      </c>
      <c r="D291" s="61" t="s">
        <v>21</v>
      </c>
      <c r="E291" s="61" t="s">
        <v>22</v>
      </c>
      <c r="F291" s="61" t="s">
        <v>3</v>
      </c>
      <c r="G291" s="61" t="s">
        <v>4</v>
      </c>
      <c r="H291" s="61" t="s">
        <v>23</v>
      </c>
      <c r="I291" s="61" t="s">
        <v>17</v>
      </c>
      <c r="J291" s="61" t="s">
        <v>7</v>
      </c>
      <c r="K291" s="61" t="s">
        <v>24</v>
      </c>
      <c r="L291" s="61" t="s">
        <v>10</v>
      </c>
      <c r="M291" s="62" t="s">
        <v>38</v>
      </c>
    </row>
    <row r="292" spans="2:13" x14ac:dyDescent="0.25">
      <c r="B292" s="40"/>
      <c r="C292" s="41"/>
      <c r="D292" s="42"/>
      <c r="E292" s="43"/>
      <c r="F292" s="44"/>
      <c r="G292" s="98" t="str">
        <f>IFERROR(IF(venta_a_mes9[[#This Row],[CUIT]]="","-",VLOOKUP(venta_a_mes9[[#This Row],[CUIT]],Lista_CUIT[#All],2,0)),"CUIT NO CARGADO")</f>
        <v>-</v>
      </c>
      <c r="H292" s="99"/>
      <c r="I292" s="100">
        <f>venta_a_mes9[[#This Row],[IMPORTE NETO]]*0.21</f>
        <v>0</v>
      </c>
      <c r="J292" s="65"/>
      <c r="K292" s="65"/>
      <c r="L292" s="65">
        <f>SUM(venta_a_mes9[[#This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IFERROR(IF(venta_a_mes9[[#This Row],[CUIT]]="","-",VLOOKUP(venta_a_mes9[[#This Row],[CUIT]],Lista_CUIT[#All],2,0)),"CUIT NO CARGADO")</f>
        <v>-</v>
      </c>
      <c r="H293" s="99"/>
      <c r="I293" s="100">
        <f>venta_a_mes9[[#This Row],[IMPORTE NETO]]*0.21</f>
        <v>0</v>
      </c>
      <c r="J293" s="65"/>
      <c r="K293" s="65"/>
      <c r="L293" s="65">
        <f>SUM(venta_a_mes9[[#This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IFERROR(IF(venta_a_mes9[[#This Row],[CUIT]]="","-",VLOOKUP(venta_a_mes9[[#This Row],[CUIT]],Lista_CUIT[#All],2,0)),"CUIT NO CARGADO")</f>
        <v>-</v>
      </c>
      <c r="H294" s="99"/>
      <c r="I294" s="100">
        <f>venta_a_mes9[[#This Row],[IMPORTE NETO]]*0.21</f>
        <v>0</v>
      </c>
      <c r="J294" s="65"/>
      <c r="K294" s="65"/>
      <c r="L294" s="65">
        <f>SUM(venta_a_mes9[[#This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IFERROR(IF(venta_a_mes9[[#This Row],[CUIT]]="","-",VLOOKUP(venta_a_mes9[[#This Row],[CUIT]],Lista_CUIT[#All],2,0)),"CUIT NO CARGADO")</f>
        <v>-</v>
      </c>
      <c r="H295" s="99"/>
      <c r="I295" s="100">
        <f>venta_a_mes9[[#This Row],[IMPORTE NETO]]*0.21</f>
        <v>0</v>
      </c>
      <c r="J295" s="65"/>
      <c r="K295" s="65"/>
      <c r="L295" s="65">
        <f>SUM(venta_a_mes9[[#This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IFERROR(IF(venta_a_mes9[[#This Row],[CUIT]]="","-",VLOOKUP(venta_a_mes9[[#This Row],[CUIT]],Lista_CUIT[#All],2,0)),"CUIT NO CARGADO")</f>
        <v>-</v>
      </c>
      <c r="H296" s="99"/>
      <c r="I296" s="100">
        <f>venta_a_mes9[[#This Row],[IMPORTE NETO]]*0.21</f>
        <v>0</v>
      </c>
      <c r="J296" s="65"/>
      <c r="K296" s="65"/>
      <c r="L296" s="65">
        <f>SUM(venta_a_mes9[[#This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IFERROR(IF(venta_a_mes9[[#This Row],[CUIT]]="","-",VLOOKUP(venta_a_mes9[[#This Row],[CUIT]],Lista_CUIT[#All],2,0)),"CUIT NO CARGADO")</f>
        <v>-</v>
      </c>
      <c r="H297" s="99"/>
      <c r="I297" s="100">
        <f>venta_a_mes9[[#This Row],[IMPORTE NETO]]*0.21</f>
        <v>0</v>
      </c>
      <c r="J297" s="65"/>
      <c r="K297" s="65"/>
      <c r="L297" s="65">
        <f>SUM(venta_a_mes9[[#This Row],[IMPORTE NETO]:[EXENTO]])</f>
        <v>0</v>
      </c>
      <c r="M297" s="59"/>
    </row>
    <row r="298" spans="2:13" x14ac:dyDescent="0.25">
      <c r="B298" s="40"/>
      <c r="C298" s="41"/>
      <c r="D298" s="42"/>
      <c r="E298" s="43"/>
      <c r="F298" s="44"/>
      <c r="G298" s="98" t="str">
        <f>IFERROR(IF(venta_a_mes9[[#This Row],[CUIT]]="","-",VLOOKUP(venta_a_mes9[[#This Row],[CUIT]],Lista_CUIT[#All],2,0)),"CUIT NO CARGADO")</f>
        <v>-</v>
      </c>
      <c r="H298" s="99"/>
      <c r="I298" s="100">
        <f>venta_a_mes9[[#This Row],[IMPORTE NETO]]*0.21</f>
        <v>0</v>
      </c>
      <c r="J298" s="65"/>
      <c r="K298" s="65"/>
      <c r="L298" s="65">
        <f>SUM(venta_a_mes9[[#This Row],[IMPORTE NETO]:[EXENTO]])</f>
        <v>0</v>
      </c>
      <c r="M298" s="63"/>
    </row>
    <row r="299" spans="2:13" x14ac:dyDescent="0.25">
      <c r="B299" s="101"/>
      <c r="C299" s="102"/>
      <c r="D299" s="103"/>
      <c r="E299" s="104"/>
      <c r="F299" s="105"/>
      <c r="G299" s="98" t="str">
        <f>IFERROR(IF(venta_a_mes9[[#This Row],[CUIT]]="","-",VLOOKUP(venta_a_mes9[[#This Row],[CUIT]],Lista_CUIT[#All],2,0)),"CUIT NO CARGADO")</f>
        <v>-</v>
      </c>
      <c r="H299" s="106"/>
      <c r="I299" s="107">
        <f>venta_a_mes9[[#This Row],[IMPORTE NETO]]*0.21</f>
        <v>0</v>
      </c>
      <c r="J299" s="72"/>
      <c r="K299" s="72"/>
      <c r="L299" s="72">
        <f>SUM(venta_a_mes9[[#This Row],[IMPORTE NETO]:[EXENTO]])</f>
        <v>0</v>
      </c>
      <c r="M299" s="63"/>
    </row>
    <row r="300" spans="2:13" x14ac:dyDescent="0.25">
      <c r="B300" s="108"/>
      <c r="C300" s="109"/>
      <c r="D300" s="110"/>
      <c r="E300" s="111"/>
      <c r="F300" s="112"/>
      <c r="G300" s="98" t="str">
        <f>IFERROR(IF(venta_a_mes9[[#This Row],[CUIT]]="","-",VLOOKUP(venta_a_mes9[[#This Row],[CUIT]],Lista_CUIT[#All],2,0)),"CUIT NO CARGADO")</f>
        <v>-</v>
      </c>
      <c r="H300" s="99"/>
      <c r="I300" s="100">
        <f>venta_a_mes9[[#This Row],[IMPORTE NETO]]*0.21</f>
        <v>0</v>
      </c>
      <c r="J300" s="65"/>
      <c r="K300" s="65"/>
      <c r="L300" s="65">
        <f>SUM(venta_a_mes9[[#This Row],[IMPORTE NETO]:[EXENTO]])</f>
        <v>0</v>
      </c>
      <c r="M300" s="59"/>
    </row>
    <row r="301" spans="2:13" x14ac:dyDescent="0.25">
      <c r="B301" s="66" t="s">
        <v>103</v>
      </c>
      <c r="C301" s="67"/>
      <c r="D301" s="67"/>
      <c r="E301" s="67"/>
      <c r="F301" s="67"/>
      <c r="G301" s="67"/>
      <c r="H301" s="69">
        <f>SUBTOTAL(109,venta_a_mes9[IMPORTE NETO])</f>
        <v>0</v>
      </c>
      <c r="I301" s="70">
        <f>SUBTOTAL(109,venta_a_mes9[IVA 21%])</f>
        <v>0</v>
      </c>
      <c r="J301" s="71">
        <f>SUBTOTAL(109,venta_a_mes9[IVA 10,5%])</f>
        <v>0</v>
      </c>
      <c r="K301" s="71">
        <f>SUBTOTAL(109,venta_a_mes9[EXENTO])</f>
        <v>0</v>
      </c>
      <c r="L301" s="71">
        <f>SUBTOTAL(109,venta_a_mes9[TOTAL])</f>
        <v>0</v>
      </c>
      <c r="M301" s="68">
        <f>SUBTOTAL(103,venta_a_mes9[Provincia])</f>
        <v>0</v>
      </c>
    </row>
    <row r="304" spans="2:13" ht="21" x14ac:dyDescent="0.25">
      <c r="B304" s="594" t="s">
        <v>31</v>
      </c>
      <c r="C304" s="594"/>
    </row>
    <row r="305" spans="2:13" ht="15.75" x14ac:dyDescent="0.25">
      <c r="B305" s="60" t="s">
        <v>0</v>
      </c>
      <c r="C305" s="61" t="s">
        <v>1</v>
      </c>
      <c r="D305" s="61" t="s">
        <v>21</v>
      </c>
      <c r="E305" s="61" t="s">
        <v>22</v>
      </c>
      <c r="F305" s="61" t="s">
        <v>3</v>
      </c>
      <c r="G305" s="61" t="s">
        <v>4</v>
      </c>
      <c r="H305" s="61" t="s">
        <v>23</v>
      </c>
      <c r="I305" s="61" t="s">
        <v>17</v>
      </c>
      <c r="J305" s="61" t="s">
        <v>7</v>
      </c>
      <c r="K305" s="61" t="s">
        <v>24</v>
      </c>
      <c r="L305" s="61" t="s">
        <v>10</v>
      </c>
      <c r="M305" s="62" t="s">
        <v>38</v>
      </c>
    </row>
    <row r="306" spans="2:13" x14ac:dyDescent="0.25">
      <c r="B306" s="40"/>
      <c r="C306" s="41"/>
      <c r="D306" s="42"/>
      <c r="E306" s="43"/>
      <c r="F306" s="44"/>
      <c r="G306" s="1" t="str">
        <f>IFERROR(IF(ventas_b_mes9[[#This Row],[CUIT]]="","-",VLOOKUP(ventas_b_mes9[[#This Row],[CUIT]],Lista_CUIT[#All],2,0)),"CUIT NO CARGADO")</f>
        <v>-</v>
      </c>
      <c r="H306" s="64"/>
      <c r="I306" s="64"/>
      <c r="J306" s="64"/>
      <c r="K306" s="64"/>
      <c r="L306" s="64">
        <f>SUM(ventas_b_mes9[[#This Row],[IMPORTE NETO]:[EXENTO]])</f>
        <v>0</v>
      </c>
      <c r="M306" s="59"/>
    </row>
    <row r="307" spans="2:13" x14ac:dyDescent="0.25">
      <c r="B307" s="40"/>
      <c r="C307" s="41"/>
      <c r="D307" s="42"/>
      <c r="E307" s="43"/>
      <c r="F307" s="44"/>
      <c r="G307" s="1"/>
      <c r="H307" s="64"/>
      <c r="I307" s="64"/>
      <c r="J307" s="64"/>
      <c r="K307" s="64"/>
      <c r="L307" s="64">
        <f>SUM(ventas_b_mes9[[#This Row],[IMPORTE NETO]:[EXENTO]])</f>
        <v>0</v>
      </c>
      <c r="M307" s="59"/>
    </row>
    <row r="308" spans="2:13" x14ac:dyDescent="0.25">
      <c r="B308" s="40"/>
      <c r="C308" s="41"/>
      <c r="D308" s="42"/>
      <c r="E308" s="43"/>
      <c r="F308" s="44"/>
      <c r="G308" s="1"/>
      <c r="H308" s="64"/>
      <c r="I308" s="64"/>
      <c r="J308" s="64"/>
      <c r="K308" s="64"/>
      <c r="L308" s="64">
        <f>SUM(ventas_b_mes9[[#This Row],[IMPORTE NETO]:[EXENTO]])</f>
        <v>0</v>
      </c>
      <c r="M308" s="59"/>
    </row>
    <row r="309" spans="2:13" x14ac:dyDescent="0.25">
      <c r="B309" s="40"/>
      <c r="C309" s="41"/>
      <c r="D309" s="42"/>
      <c r="E309" s="43"/>
      <c r="F309" s="44"/>
      <c r="G309" s="1"/>
      <c r="H309" s="64"/>
      <c r="I309" s="64"/>
      <c r="J309" s="64"/>
      <c r="K309" s="64"/>
      <c r="L309" s="64">
        <f>SUM(ventas_b_mes9[[#This Row],[IMPORTE NETO]:[EXENTO]])</f>
        <v>0</v>
      </c>
      <c r="M309" s="59"/>
    </row>
    <row r="310" spans="2:13" x14ac:dyDescent="0.25">
      <c r="B310" s="40"/>
      <c r="C310" s="41"/>
      <c r="D310" s="42"/>
      <c r="E310" s="43"/>
      <c r="F310" s="44"/>
      <c r="G310" s="1"/>
      <c r="H310" s="64"/>
      <c r="I310" s="64"/>
      <c r="J310" s="64"/>
      <c r="K310" s="64"/>
      <c r="L310" s="64">
        <f>SUM(ventas_b_mes9[[#This Row],[IMPORTE NETO]:[EXENTO]])</f>
        <v>0</v>
      </c>
      <c r="M310" s="59"/>
    </row>
    <row r="311" spans="2:13" x14ac:dyDescent="0.25">
      <c r="B311" s="40"/>
      <c r="C311" s="41"/>
      <c r="D311" s="42"/>
      <c r="E311" s="43"/>
      <c r="F311" s="44"/>
      <c r="G311" s="1"/>
      <c r="H311" s="64"/>
      <c r="I311" s="64"/>
      <c r="J311" s="64"/>
      <c r="K311" s="64"/>
      <c r="L311" s="64">
        <f>SUM(ventas_b_mes9[[#This Row],[IMPORTE NETO]:[EXENTO]])</f>
        <v>0</v>
      </c>
      <c r="M311" s="59"/>
    </row>
    <row r="312" spans="2:13" x14ac:dyDescent="0.25">
      <c r="B312" s="66" t="s">
        <v>103</v>
      </c>
      <c r="C312" s="67"/>
      <c r="D312" s="67"/>
      <c r="E312" s="67"/>
      <c r="F312" s="67"/>
      <c r="G312" s="67"/>
      <c r="H312" s="77">
        <f>SUBTOTAL(109,ventas_b_mes9[IMPORTE NETO])</f>
        <v>0</v>
      </c>
      <c r="I312" s="77">
        <f>SUBTOTAL(109,ventas_b_mes9[IVA 21%])</f>
        <v>0</v>
      </c>
      <c r="J312" s="78">
        <f>SUBTOTAL(109,ventas_b_mes9[IVA 10,5%])</f>
        <v>0</v>
      </c>
      <c r="K312" s="78">
        <f>SUBTOTAL(109,ventas_b_mes9[EXENTO])</f>
        <v>0</v>
      </c>
      <c r="L312" s="78">
        <f>SUBTOTAL(109,ventas_b_mes9[TOTAL])</f>
        <v>0</v>
      </c>
      <c r="M312" s="68">
        <f>SUBTOTAL(103,ventas_b_mes9[Provincia])</f>
        <v>0</v>
      </c>
    </row>
    <row r="319" spans="2:13" ht="15.75" thickBot="1" x14ac:dyDescent="0.3"/>
    <row r="320" spans="2:13" ht="15.75" thickTop="1" x14ac:dyDescent="0.25">
      <c r="C320" s="588" t="s">
        <v>66</v>
      </c>
      <c r="D320" s="588"/>
      <c r="E320" s="588"/>
      <c r="F320" s="588"/>
      <c r="G320" s="588"/>
      <c r="H320" s="32"/>
      <c r="I320" s="32"/>
      <c r="J320" s="32"/>
    </row>
    <row r="321" spans="3:12" ht="15.75" x14ac:dyDescent="0.25">
      <c r="C321" s="113" t="s">
        <v>67</v>
      </c>
      <c r="D321" s="114" t="s">
        <v>68</v>
      </c>
      <c r="E321" s="114" t="s">
        <v>105</v>
      </c>
      <c r="F321" s="114" t="s">
        <v>3</v>
      </c>
      <c r="G321" s="114" t="s">
        <v>4</v>
      </c>
      <c r="H321" s="115" t="s">
        <v>69</v>
      </c>
      <c r="I321" s="115" t="s">
        <v>70</v>
      </c>
      <c r="J321" s="115" t="s">
        <v>71</v>
      </c>
      <c r="K321" s="115" t="s">
        <v>72</v>
      </c>
      <c r="L321" s="115" t="s">
        <v>73</v>
      </c>
    </row>
    <row r="322" spans="3:12" x14ac:dyDescent="0.25">
      <c r="C322" s="116"/>
      <c r="D322" s="117"/>
      <c r="E322" s="117"/>
      <c r="F322" s="118"/>
      <c r="G322" s="53" t="str">
        <f>IFERROR(IF(Retenciones_mes9[[#This Row],[CUIT]]="","-",VLOOKUP(Retenciones_mes9[[#This Row],[CUIT]],Lista_CUIT[#All],2,0)),"CUIT NO CARGADO")</f>
        <v>-</v>
      </c>
      <c r="H322" s="119"/>
      <c r="I322" s="119"/>
      <c r="J322" s="119"/>
      <c r="K322" s="119"/>
      <c r="L322" s="119"/>
    </row>
    <row r="323" spans="3:12" x14ac:dyDescent="0.25">
      <c r="C323" s="116"/>
      <c r="D323" s="117"/>
      <c r="E323" s="117"/>
      <c r="F323" s="118"/>
      <c r="G323" s="53" t="str">
        <f>IFERROR(IF(Retenciones_mes9[[#This Row],[CUIT]]="","-",VLOOKUP(Retenciones_mes9[[#This Row],[CUIT]],Lista_CUIT[#All],2,0)),"CUIT NO CARGADO")</f>
        <v>-</v>
      </c>
      <c r="H323" s="119"/>
      <c r="I323" s="119"/>
      <c r="J323" s="119"/>
      <c r="K323" s="119"/>
      <c r="L323" s="119"/>
    </row>
    <row r="324" spans="3:12" x14ac:dyDescent="0.25">
      <c r="C324" s="116"/>
      <c r="D324" s="117"/>
      <c r="E324" s="117"/>
      <c r="F324" s="118"/>
      <c r="G324" s="53" t="str">
        <f>IFERROR(IF(Retenciones_mes9[[#This Row],[CUIT]]="","-",VLOOKUP(Retenciones_mes9[[#This Row],[CUIT]],Lista_CUIT[#All],2,0)),"CUIT NO CARGADO")</f>
        <v>-</v>
      </c>
      <c r="H324" s="119"/>
      <c r="I324" s="119"/>
      <c r="J324" s="119"/>
      <c r="K324" s="119"/>
      <c r="L324" s="119"/>
    </row>
    <row r="325" spans="3:12" x14ac:dyDescent="0.25">
      <c r="C325" s="116"/>
      <c r="D325" s="117"/>
      <c r="E325" s="117"/>
      <c r="F325" s="118"/>
      <c r="G325" s="53" t="str">
        <f>IFERROR(IF(Retenciones_mes9[[#This Row],[CUIT]]="","-",VLOOKUP(Retenciones_mes9[[#This Row],[CUIT]],Lista_CUIT[#All],2,0)),"CUIT NO CARGADO")</f>
        <v>-</v>
      </c>
      <c r="H325" s="119"/>
      <c r="I325" s="119"/>
      <c r="J325" s="119"/>
      <c r="K325" s="119"/>
      <c r="L325" s="119"/>
    </row>
    <row r="326" spans="3:12" x14ac:dyDescent="0.25">
      <c r="D326" s="117"/>
      <c r="E326" s="117"/>
      <c r="G326" s="53" t="str">
        <f>IFERROR(IF(Retenciones_mes9[[#This Row],[CUIT]]="","-",VLOOKUP(Retenciones_mes9[[#This Row],[CUIT]],Lista_CUIT[#All],2,0)),"CUIT NO CARGADO")</f>
        <v>-</v>
      </c>
    </row>
    <row r="327" spans="3:12" x14ac:dyDescent="0.25">
      <c r="C327" s="33"/>
    </row>
  </sheetData>
  <mergeCells count="21">
    <mergeCell ref="C320:G320"/>
    <mergeCell ref="B4:E4"/>
    <mergeCell ref="G4:H4"/>
    <mergeCell ref="J4:K4"/>
    <mergeCell ref="M4:N4"/>
    <mergeCell ref="D251:K251"/>
    <mergeCell ref="B288:J288"/>
    <mergeCell ref="K288:M288"/>
    <mergeCell ref="B290:C290"/>
    <mergeCell ref="B304:C304"/>
    <mergeCell ref="P4:R4"/>
    <mergeCell ref="D236:L236"/>
    <mergeCell ref="B1:F1"/>
    <mergeCell ref="G1:M1"/>
    <mergeCell ref="N1:R1"/>
    <mergeCell ref="B3:E3"/>
    <mergeCell ref="G3:H3"/>
    <mergeCell ref="J3:K3"/>
    <mergeCell ref="M3:N3"/>
    <mergeCell ref="P3:R3"/>
    <mergeCell ref="F6:G6"/>
  </mergeCells>
  <phoneticPr fontId="38" type="noConversion"/>
  <dataValidations count="14">
    <dataValidation type="custom" allowBlank="1" showInputMessage="1" showErrorMessage="1" sqref="H306:L311" xr:uid="{00000000-0002-0000-0900-000000000000}">
      <formula1>IF($C306=8,H306&lt;0,H306&gt;=0)</formula1>
    </dataValidation>
    <dataValidation type="custom" allowBlank="1" showInputMessage="1" showErrorMessage="1" sqref="L297:L298" xr:uid="{00000000-0002-0000-0900-000001000000}">
      <formula1>IF($C231=3,L231&lt;0,L231&gt;=0)</formula1>
    </dataValidation>
    <dataValidation type="custom" allowBlank="1" showInputMessage="1" showErrorMessage="1" sqref="L292:L293" xr:uid="{00000000-0002-0000-0900-000002000000}">
      <formula1>IF($C9=3,L9&lt;0,L9&gt;=0)</formula1>
    </dataValidation>
    <dataValidation type="whole" allowBlank="1" showInputMessage="1" showErrorMessage="1" sqref="C306:C311" xr:uid="{00000000-0002-0000-0900-000003000000}">
      <formula1>6</formula1>
      <formula2>8</formula2>
    </dataValidation>
    <dataValidation type="custom" allowBlank="1" showInputMessage="1" showErrorMessage="1" sqref="H292:K292 H294:K294 H296:K296 H298:K298" xr:uid="{00000000-0002-0000-0900-000004000000}">
      <formula1>IF($C292=3,H292&lt;0,H292&gt;=0)</formula1>
    </dataValidation>
    <dataValidation type="whole" allowBlank="1" showInputMessage="1" showErrorMessage="1" sqref="C292:C300 C232:C235 C9:C230" xr:uid="{00000000-0002-0000-0900-000005000000}">
      <formula1>1</formula1>
      <formula2>3</formula2>
    </dataValidation>
    <dataValidation type="date" allowBlank="1" showInputMessage="1" showErrorMessage="1" sqref="B292:B300 D253:D281 B232:B235 B306:B311 D238:D246 B9:B230" xr:uid="{00000000-0002-0000-0900-000006000000}">
      <formula1>40179</formula1>
      <formula2>TODAY()</formula2>
    </dataValidation>
    <dataValidation type="whole" allowBlank="1" showInputMessage="1" showErrorMessage="1" sqref="F306:F311 F292:F300 G253:G281 F9:F230" xr:uid="{00000000-0002-0000-0900-000007000000}">
      <formula1>20000000000</formula1>
      <formula2>33999999999</formula2>
    </dataValidation>
    <dataValidation type="whole" allowBlank="1" showInputMessage="1" showErrorMessage="1" sqref="F253:F281 E292:E300 E306:E311 E9:E230" xr:uid="{00000000-0002-0000-0900-000008000000}">
      <formula1>1</formula1>
      <formula2>99999999</formula2>
    </dataValidation>
    <dataValidation type="whole" allowBlank="1" showInputMessage="1" showErrorMessage="1" sqref="E253:E281 D292:D300 D306:D311 D9:D230" xr:uid="{00000000-0002-0000-0900-000009000000}">
      <formula1>1</formula1>
      <formula2>9999</formula2>
    </dataValidation>
    <dataValidation type="custom" allowBlank="1" showInputMessage="1" showErrorMessage="1" sqref="L294" xr:uid="{00000000-0002-0000-0900-00000A000000}">
      <formula1>IF($C59=3,L59&lt;0,L59&gt;=0)</formula1>
    </dataValidation>
    <dataValidation type="custom" allowBlank="1" showInputMessage="1" showErrorMessage="1" sqref="L295" xr:uid="{00000000-0002-0000-0900-00000B000000}">
      <formula1>IF($C152=3,L152&lt;0,L152&gt;=0)</formula1>
    </dataValidation>
    <dataValidation type="custom" allowBlank="1" showInputMessage="1" showErrorMessage="1" sqref="L296" xr:uid="{00000000-0002-0000-0900-00000C000000}">
      <formula1>IF($C161=3,L161&lt;0,L161&gt;=0)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30" xr:uid="{00000000-0002-0000-0900-00000D000000}">
      <formula1>IF($C9=3,H9&lt;0,H9&gt;=0)</formula1>
    </dataValidation>
  </dataValidations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8">
    <tabColor theme="9" tint="0.79998168889431442"/>
  </sheetPr>
  <dimension ref="A1:Z354"/>
  <sheetViews>
    <sheetView showGridLines="0" topLeftCell="F4" zoomScale="70" zoomScaleNormal="70" workbookViewId="0">
      <selection activeCell="L23" sqref="L23"/>
    </sheetView>
  </sheetViews>
  <sheetFormatPr baseColWidth="10" defaultColWidth="0" defaultRowHeight="15" x14ac:dyDescent="0.25"/>
  <cols>
    <col min="1" max="1" width="1.7109375" customWidth="1"/>
    <col min="2" max="2" width="10.5703125" customWidth="1"/>
    <col min="3" max="3" width="9.5703125" customWidth="1"/>
    <col min="4" max="4" width="13.28515625" customWidth="1"/>
    <col min="5" max="5" width="17.140625" bestFit="1" customWidth="1"/>
    <col min="6" max="6" width="19.28515625" customWidth="1"/>
    <col min="7" max="7" width="29.42578125" customWidth="1"/>
    <col min="8" max="8" width="20" customWidth="1"/>
    <col min="9" max="9" width="17.5703125" customWidth="1"/>
    <col min="10" max="10" width="17.85546875" customWidth="1"/>
    <col min="11" max="11" width="20.28515625" customWidth="1"/>
    <col min="12" max="12" width="18.28515625" bestFit="1" customWidth="1"/>
    <col min="13" max="13" width="14.85546875" customWidth="1"/>
    <col min="14" max="14" width="15" customWidth="1"/>
    <col min="15" max="15" width="18.5703125" customWidth="1"/>
    <col min="16" max="16" width="17.140625" customWidth="1"/>
    <col min="17" max="17" width="20.710937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83" t="str">
        <f>'Ene-25'!G1:M1</f>
        <v>EUROARGENTINA</v>
      </c>
      <c r="H1" s="583"/>
      <c r="I1" s="583"/>
      <c r="J1" s="583"/>
      <c r="K1" s="583"/>
      <c r="L1" s="583"/>
      <c r="M1" s="583"/>
      <c r="N1" s="584">
        <f>EDATE('Ene-25'!N1,9)</f>
        <v>45931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SUM(compras_mes10[[#Totals],[NETO GRAVADO]])+extracto_banco_mes10[[#Totals],[NETO]]</f>
        <v>117993397.74333331</v>
      </c>
      <c r="C4" s="589"/>
      <c r="D4" s="589"/>
      <c r="E4" s="589"/>
      <c r="F4" s="39"/>
      <c r="G4" s="590">
        <f>compras_mes10[[#Totals],[IVA 21 %]]+compras_mes10[[#Totals],[IVA 27%]]+compras_mes10[[#Totals],[IVA 10,5%]]+extracto_banco_mes10[[#Totals],[IVA 21%]]+extracto_banco_mes10[[#Totals],[IVA 10,5%]]+H6</f>
        <v>24186660.798300005</v>
      </c>
      <c r="H4" s="590"/>
      <c r="I4" s="39"/>
      <c r="J4" s="591">
        <f>venta_a_mes10[[#Totals],[IMPORTE NETO]]+ventas_b_mes10[[#Totals],[IMPORTE NETO]]</f>
        <v>0</v>
      </c>
      <c r="K4" s="591"/>
      <c r="L4" s="39"/>
      <c r="M4" s="591">
        <f>venta_a_mes10[[#Totals],[IVA 21%]]+venta_a_mes10[[#Totals],[IVA 10,5%]]+ventas_b_mes10[[#Totals],[IVA 21%]]+ventas_b_mes10[[#Totals],[IVA 10,5%]]</f>
        <v>0</v>
      </c>
      <c r="N4" s="591"/>
      <c r="O4" s="39"/>
      <c r="P4" s="579">
        <f>G4-M4</f>
        <v>24186660.798300005</v>
      </c>
      <c r="Q4" s="580"/>
      <c r="R4" s="580"/>
    </row>
    <row r="5" spans="1:26" ht="13.5" customHeight="1" x14ac:dyDescent="0.25"/>
    <row r="6" spans="1:26" ht="12.75" customHeight="1" x14ac:dyDescent="0.25">
      <c r="H6" s="274"/>
    </row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387" t="s">
        <v>2871</v>
      </c>
      <c r="C9" s="547">
        <v>1</v>
      </c>
      <c r="D9" s="388">
        <v>2188</v>
      </c>
      <c r="E9" s="389">
        <v>158832</v>
      </c>
      <c r="F9" s="390">
        <v>30548083156</v>
      </c>
      <c r="G9" s="391" t="str">
        <f>IFERROR(IF(compras_mes10[[#This Row],[CUIT]]="","-",VLOOKUP(compras_mes10[[#This Row],[CUIT]],Lista_CUIT[#All],2,0)),"CUIT NO CARGADO")</f>
        <v>COTO CENTRO INTEGRAL DE COMERCIALIZACION SOCIEDAD ANONIMA</v>
      </c>
      <c r="H9" s="46">
        <v>62802.13</v>
      </c>
      <c r="I9" s="392">
        <f>IF(compras_mes10[[#This Row],[NETO GRAVADO]]="","",compras_mes10[[#This Row],[NETO GRAVADO]]*0.21)</f>
        <v>13188.4473</v>
      </c>
      <c r="J9" s="85"/>
      <c r="K9" s="85"/>
      <c r="L9" s="85"/>
      <c r="M9" s="85"/>
      <c r="N9" s="85"/>
      <c r="O9" s="85">
        <v>5457.46</v>
      </c>
      <c r="P9" s="393">
        <f>SUM(compras_mes10[[#This Row],[NETO GRAVADO]:[Otros / No Grav.]])</f>
        <v>81448.037300000011</v>
      </c>
      <c r="Q9" s="394" t="str">
        <f>IFERROR(IF(compras_mes10[[#This Row],[CUIT]]="","-",VLOOKUP(compras_mes10[[#This Row],[CUIT]],Lista_CUIT[#All],3,0)),"CUIT NO CARGADO")</f>
        <v>Gastos Varios</v>
      </c>
      <c r="R9" s="394">
        <f>IFERROR(IF(compras_mes10[[#This Row],[CUIT]]="","-",VLOOKUP(compras_mes10[[#This Row],[CUIT]],Lista_CUIT[#All],4,0)),"CUIT NO CARGADO")</f>
        <v>0</v>
      </c>
    </row>
    <row r="10" spans="1:26" x14ac:dyDescent="0.25">
      <c r="B10" s="387" t="s">
        <v>2871</v>
      </c>
      <c r="C10" s="547">
        <v>1</v>
      </c>
      <c r="D10" s="388">
        <v>3</v>
      </c>
      <c r="E10" s="389">
        <v>160770</v>
      </c>
      <c r="F10" s="390">
        <v>30708708697</v>
      </c>
      <c r="G10" s="391" t="str">
        <f>IFERROR(IF(compras_mes10[[#This Row],[CUIT]]="","-",VLOOKUP(compras_mes10[[#This Row],[CUIT]],Lista_CUIT[#All],2,0)),"CUIT NO CARGADO")</f>
        <v>FERCOL LUBRICANTES S.R.L.</v>
      </c>
      <c r="H10" s="46">
        <v>3164700</v>
      </c>
      <c r="I10" s="392">
        <f>IF(compras_mes10[[#This Row],[NETO GRAVADO]]="","",compras_mes10[[#This Row],[NETO GRAVADO]]*0.21)</f>
        <v>664587</v>
      </c>
      <c r="J10" s="85"/>
      <c r="K10" s="85"/>
      <c r="L10" s="85"/>
      <c r="M10" s="85"/>
      <c r="N10" s="85"/>
      <c r="O10" s="85"/>
      <c r="P10" s="393">
        <f>SUM(compras_mes10[[#This Row],[NETO GRAVADO]:[Otros / No Grav.]])</f>
        <v>3829287</v>
      </c>
      <c r="Q10" s="394" t="str">
        <f>IFERROR(IF(compras_mes10[[#This Row],[CUIT]]="","-",VLOOKUP(compras_mes10[[#This Row],[CUIT]],Lista_CUIT[#All],3,0)),"CUIT NO CARGADO")</f>
        <v>Alquiler</v>
      </c>
      <c r="R10" s="394">
        <f>IFERROR(IF(compras_mes10[[#This Row],[CUIT]]="","-",VLOOKUP(compras_mes10[[#This Row],[CUIT]],Lista_CUIT[#All],4,0)),"CUIT NO CARGADO")</f>
        <v>0</v>
      </c>
    </row>
    <row r="11" spans="1:26" x14ac:dyDescent="0.25">
      <c r="B11" s="387" t="s">
        <v>2871</v>
      </c>
      <c r="C11" s="547">
        <v>1</v>
      </c>
      <c r="D11" s="388">
        <v>3</v>
      </c>
      <c r="E11" s="389">
        <v>22997</v>
      </c>
      <c r="F11" s="390">
        <v>30707463143</v>
      </c>
      <c r="G11" s="391" t="str">
        <f>IFERROR(IF(compras_mes10[[#This Row],[CUIT]]="","-",VLOOKUP(compras_mes10[[#This Row],[CUIT]],Lista_CUIT[#All],2,0)),"CUIT NO CARGADO")</f>
        <v>AROMATICA S.A.</v>
      </c>
      <c r="H11" s="507">
        <v>1355200</v>
      </c>
      <c r="I11" s="392">
        <f>IF(compras_mes10[[#This Row],[NETO GRAVADO]]="","",compras_mes10[[#This Row],[NETO GRAVADO]]*0.21)</f>
        <v>284592</v>
      </c>
      <c r="J11" s="392"/>
      <c r="K11" s="392"/>
      <c r="L11" s="392"/>
      <c r="M11" s="392"/>
      <c r="N11" s="392"/>
      <c r="O11" s="392"/>
      <c r="P11" s="393">
        <f>SUM(compras_mes10[[#This Row],[NETO GRAVADO]:[Otros / No Grav.]])</f>
        <v>1639792</v>
      </c>
      <c r="Q11" s="394" t="str">
        <f>IFERROR(IF(compras_mes10[[#This Row],[CUIT]]="","-",VLOOKUP(compras_mes10[[#This Row],[CUIT]],Lista_CUIT[#All],3,0)),"CUIT NO CARGADO")</f>
        <v>Materia Prima</v>
      </c>
      <c r="R11" s="394">
        <f>IFERROR(IF(compras_mes10[[#This Row],[CUIT]]="","-",VLOOKUP(compras_mes10[[#This Row],[CUIT]],Lista_CUIT[#All],4,0)),"CUIT NO CARGADO")</f>
        <v>0</v>
      </c>
    </row>
    <row r="12" spans="1:26" x14ac:dyDescent="0.25">
      <c r="B12" s="387" t="s">
        <v>2871</v>
      </c>
      <c r="C12" s="547">
        <v>1</v>
      </c>
      <c r="D12" s="388">
        <v>23</v>
      </c>
      <c r="E12" s="389">
        <v>2943</v>
      </c>
      <c r="F12" s="390">
        <v>30687059812</v>
      </c>
      <c r="G12" s="391" t="str">
        <f>IFERROR(IF(compras_mes10[[#This Row],[CUIT]]="","-",VLOOKUP(compras_mes10[[#This Row],[CUIT]],Lista_CUIT[#All],2,0)),"CUIT NO CARGADO")</f>
        <v>REDNET SRL</v>
      </c>
      <c r="H12" s="46">
        <v>16110.41</v>
      </c>
      <c r="I12" s="85" t="s">
        <v>2411</v>
      </c>
      <c r="J12" s="85"/>
      <c r="K12" s="85">
        <f>compras_mes10[[#This Row],[NETO GRAVADO]]*0.105</f>
        <v>1691.5930499999999</v>
      </c>
      <c r="L12" s="85"/>
      <c r="M12" s="85"/>
      <c r="N12" s="85"/>
      <c r="O12" s="85"/>
      <c r="P12" s="393">
        <f>SUM(compras_mes10[[#This Row],[NETO GRAVADO]:[Otros / No Grav.]])</f>
        <v>17802.003049999999</v>
      </c>
      <c r="Q12" s="394" t="str">
        <f>IFERROR(IF(compras_mes10[[#This Row],[CUIT]]="","-",VLOOKUP(compras_mes10[[#This Row],[CUIT]],Lista_CUIT[#All],3,0)),"CUIT NO CARGADO")</f>
        <v>Gastos Oficina</v>
      </c>
      <c r="R12" s="394">
        <f>IFERROR(IF(compras_mes10[[#This Row],[CUIT]]="","-",VLOOKUP(compras_mes10[[#This Row],[CUIT]],Lista_CUIT[#All],4,0)),"CUIT NO CARGADO")</f>
        <v>0</v>
      </c>
    </row>
    <row r="13" spans="1:26" x14ac:dyDescent="0.25">
      <c r="B13" s="387" t="s">
        <v>2871</v>
      </c>
      <c r="C13" s="547">
        <v>1</v>
      </c>
      <c r="D13" s="388">
        <v>4</v>
      </c>
      <c r="E13" s="389">
        <v>51105</v>
      </c>
      <c r="F13" s="390">
        <v>30709863076</v>
      </c>
      <c r="G13" s="391" t="str">
        <f>IFERROR(IF(compras_mes10[[#This Row],[CUIT]]="","-",VLOOKUP(compras_mes10[[#This Row],[CUIT]],Lista_CUIT[#All],2,0)),"CUIT NO CARGADO")</f>
        <v>INDUSTRIAS PLASTICOS SALTA S.R.L.</v>
      </c>
      <c r="H13" s="46">
        <v>412644.62</v>
      </c>
      <c r="I13" s="392">
        <f>IF(compras_mes10[[#This Row],[NETO GRAVADO]]="","",compras_mes10[[#This Row],[NETO GRAVADO]]*0.21)</f>
        <v>86655.37019999999</v>
      </c>
      <c r="J13" s="85"/>
      <c r="K13" s="85"/>
      <c r="L13" s="85"/>
      <c r="M13" s="85"/>
      <c r="N13" s="85"/>
      <c r="O13" s="85"/>
      <c r="P13" s="393">
        <f>SUM(compras_mes10[[#This Row],[NETO GRAVADO]:[Otros / No Grav.]])</f>
        <v>499299.9902</v>
      </c>
      <c r="Q13" s="394" t="str">
        <f>IFERROR(IF(compras_mes10[[#This Row],[CUIT]]="","-",VLOOKUP(compras_mes10[[#This Row],[CUIT]],Lista_CUIT[#All],3,0)),"CUIT NO CARGADO")</f>
        <v>Materia Prima</v>
      </c>
      <c r="R13" s="394">
        <f>IFERROR(IF(compras_mes10[[#This Row],[CUIT]]="","-",VLOOKUP(compras_mes10[[#This Row],[CUIT]],Lista_CUIT[#All],4,0)),"CUIT NO CARGADO")</f>
        <v>0</v>
      </c>
    </row>
    <row r="14" spans="1:26" x14ac:dyDescent="0.25">
      <c r="B14" s="387" t="s">
        <v>2871</v>
      </c>
      <c r="C14" s="547">
        <v>1</v>
      </c>
      <c r="D14" s="388">
        <v>629</v>
      </c>
      <c r="E14" s="389">
        <v>6498127</v>
      </c>
      <c r="F14" s="390">
        <v>30663498513</v>
      </c>
      <c r="G14" s="391" t="str">
        <f>IFERROR(IF(compras_mes10[[#This Row],[CUIT]]="","-",VLOOKUP(compras_mes10[[#This Row],[CUIT]],Lista_CUIT[#All],2,0)),"CUIT NO CARGADO")</f>
        <v>GRUPO CONCES. DEL OESTE SA</v>
      </c>
      <c r="H14" s="46">
        <v>26115.040000000001</v>
      </c>
      <c r="I14" s="392">
        <f>IF(compras_mes10[[#This Row],[NETO GRAVADO]]="","",compras_mes10[[#This Row],[NETO GRAVADO]]*0.21)</f>
        <v>5484.1584000000003</v>
      </c>
      <c r="J14" s="85"/>
      <c r="K14" s="85"/>
      <c r="L14" s="85"/>
      <c r="M14" s="85"/>
      <c r="N14" s="85"/>
      <c r="O14" s="85"/>
      <c r="P14" s="393">
        <f>SUM(compras_mes10[[#This Row],[NETO GRAVADO]:[Otros / No Grav.]])</f>
        <v>31599.198400000001</v>
      </c>
      <c r="Q14" s="394" t="str">
        <f>IFERROR(IF(compras_mes10[[#This Row],[CUIT]]="","-",VLOOKUP(compras_mes10[[#This Row],[CUIT]],Lista_CUIT[#All],3,0)),"CUIT NO CARGADO")</f>
        <v>Peajes</v>
      </c>
      <c r="R14" s="394">
        <f>IFERROR(IF(compras_mes10[[#This Row],[CUIT]]="","-",VLOOKUP(compras_mes10[[#This Row],[CUIT]],Lista_CUIT[#All],4,0)),"CUIT NO CARGADO")</f>
        <v>0</v>
      </c>
    </row>
    <row r="15" spans="1:26" x14ac:dyDescent="0.25">
      <c r="B15" s="387" t="s">
        <v>2871</v>
      </c>
      <c r="C15" s="547">
        <v>1</v>
      </c>
      <c r="D15" s="388">
        <v>6</v>
      </c>
      <c r="E15" s="389">
        <v>114346</v>
      </c>
      <c r="F15" s="390">
        <v>30714971782</v>
      </c>
      <c r="G15" s="391" t="str">
        <f>IFERROR(IF(compras_mes10[[#This Row],[CUIT]]="","-",VLOOKUP(compras_mes10[[#This Row],[CUIT]],Lista_CUIT[#All],2,0)),"CUIT NO CARGADO")</f>
        <v>PINTOS SCHMIDT ALDANA MARCELA Y SACK ADRIANA CRISTINA SH</v>
      </c>
      <c r="H15" s="46">
        <v>25247.93</v>
      </c>
      <c r="I15" s="392">
        <f>IF(compras_mes10[[#This Row],[NETO GRAVADO]]="","",compras_mes10[[#This Row],[NETO GRAVADO]]*0.21)</f>
        <v>5302.0653000000002</v>
      </c>
      <c r="J15" s="85"/>
      <c r="K15" s="85"/>
      <c r="L15" s="85"/>
      <c r="M15" s="85"/>
      <c r="N15" s="85"/>
      <c r="O15" s="85"/>
      <c r="P15" s="393">
        <f>SUM(compras_mes10[[#This Row],[NETO GRAVADO]:[Otros / No Grav.]])</f>
        <v>30549.995300000002</v>
      </c>
      <c r="Q15" s="394" t="str">
        <f>IFERROR(IF(compras_mes10[[#This Row],[CUIT]]="","-",VLOOKUP(compras_mes10[[#This Row],[CUIT]],Lista_CUIT[#All],3,0)),"CUIT NO CARGADO")</f>
        <v>MANTENIMIENTO</v>
      </c>
      <c r="R15" s="394">
        <f>IFERROR(IF(compras_mes10[[#This Row],[CUIT]]="","-",VLOOKUP(compras_mes10[[#This Row],[CUIT]],Lista_CUIT[#All],4,0)),"CUIT NO CARGADO")</f>
        <v>0</v>
      </c>
    </row>
    <row r="16" spans="1:26" s="56" customFormat="1" ht="14.25" customHeight="1" x14ac:dyDescent="0.25">
      <c r="B16" s="387" t="s">
        <v>2871</v>
      </c>
      <c r="C16" s="547">
        <v>1</v>
      </c>
      <c r="D16" s="388">
        <v>711</v>
      </c>
      <c r="E16" s="389">
        <v>7672971</v>
      </c>
      <c r="F16" s="390">
        <v>30677237119</v>
      </c>
      <c r="G16" s="93" t="str">
        <f>IFERROR(IF(compras_mes10[[#This Row],[CUIT]]="","-",VLOOKUP(compras_mes10[[#This Row],[CUIT]],Lista_CUIT[#All],2,0)),"CUIT NO CARGADO")</f>
        <v>AUTOPISTAS DEL SOL S A</v>
      </c>
      <c r="H16" s="46">
        <v>19412.88</v>
      </c>
      <c r="I16" s="392">
        <f>IF(compras_mes10[[#This Row],[NETO GRAVADO]]="","",compras_mes10[[#This Row],[NETO GRAVADO]]*0.21)</f>
        <v>4076.7048</v>
      </c>
      <c r="J16" s="85"/>
      <c r="K16" s="85"/>
      <c r="L16" s="85"/>
      <c r="M16" s="85"/>
      <c r="N16" s="85"/>
      <c r="O16" s="85">
        <v>582.39</v>
      </c>
      <c r="P16" s="87">
        <f>SUM(compras_mes10[[#This Row],[NETO GRAVADO]:[Otros / No Grav.]])</f>
        <v>24071.9748</v>
      </c>
      <c r="Q16" s="88" t="str">
        <f>IFERROR(IF(compras_mes10[[#This Row],[CUIT]]="","-",VLOOKUP(compras_mes10[[#This Row],[CUIT]],Lista_CUIT[#All],3,0)),"CUIT NO CARGADO")</f>
        <v>Peajes</v>
      </c>
      <c r="R16" s="88">
        <f>IFERROR(IF(compras_mes10[[#This Row],[CUIT]]="","-",VLOOKUP(compras_mes10[[#This Row],[CUIT]],Lista_CUIT[#All],4,0)),"CUIT NO CARGADO")</f>
        <v>0</v>
      </c>
    </row>
    <row r="17" spans="2:18" x14ac:dyDescent="0.25">
      <c r="B17" s="387" t="s">
        <v>2871</v>
      </c>
      <c r="C17" s="547">
        <v>1</v>
      </c>
      <c r="D17" s="388">
        <v>1</v>
      </c>
      <c r="E17" s="389">
        <v>1043</v>
      </c>
      <c r="F17" s="390">
        <v>30715889486</v>
      </c>
      <c r="G17" s="391" t="str">
        <f>IFERROR(IF(compras_mes10[[#This Row],[CUIT]]="","-",VLOOKUP(compras_mes10[[#This Row],[CUIT]],Lista_CUIT[#All],2,0)),"CUIT NO CARGADO")</f>
        <v>EXPOESTETICA</v>
      </c>
      <c r="H17" s="46">
        <v>1440000</v>
      </c>
      <c r="I17" s="392">
        <f>IF(compras_mes10[[#This Row],[NETO GRAVADO]]="","",compras_mes10[[#This Row],[NETO GRAVADO]]*0.21)</f>
        <v>302400</v>
      </c>
      <c r="J17" s="85"/>
      <c r="K17" s="85"/>
      <c r="L17" s="85"/>
      <c r="M17" s="85"/>
      <c r="N17" s="85"/>
      <c r="O17" s="85"/>
      <c r="P17" s="393">
        <f>SUM(compras_mes10[[#This Row],[NETO GRAVADO]:[Otros / No Grav.]])</f>
        <v>1742400</v>
      </c>
      <c r="Q17" s="394" t="str">
        <f>IFERROR(IF(compras_mes10[[#This Row],[CUIT]]="","-",VLOOKUP(compras_mes10[[#This Row],[CUIT]],Lista_CUIT[#All],3,0)),"CUIT NO CARGADO")</f>
        <v>Gastos Comercializacion - Feria</v>
      </c>
      <c r="R17" s="394" t="str">
        <f>IFERROR(IF(compras_mes10[[#This Row],[CUIT]]="","-",VLOOKUP(compras_mes10[[#This Row],[CUIT]],Lista_CUIT[#All],4,0)),"CUIT NO CARGADO")</f>
        <v>BUENOS AIRES</v>
      </c>
    </row>
    <row r="18" spans="2:18" x14ac:dyDescent="0.25">
      <c r="B18" s="387" t="s">
        <v>2871</v>
      </c>
      <c r="C18" s="547">
        <v>1</v>
      </c>
      <c r="D18" s="388">
        <v>1</v>
      </c>
      <c r="E18" s="389">
        <v>649</v>
      </c>
      <c r="F18" s="390">
        <v>20131206144</v>
      </c>
      <c r="G18" s="391" t="str">
        <f>IFERROR(IF(compras_mes10[[#This Row],[CUIT]]="","-",VLOOKUP(compras_mes10[[#This Row],[CUIT]],Lista_CUIT[#All],2,0)),"CUIT NO CARGADO")</f>
        <v>CHAMORRO MANUEL</v>
      </c>
      <c r="H18" s="46">
        <v>1348074</v>
      </c>
      <c r="I18" s="392">
        <f>IF(compras_mes10[[#This Row],[NETO GRAVADO]]="","",compras_mes10[[#This Row],[NETO GRAVADO]]*0.21)</f>
        <v>283095.53999999998</v>
      </c>
      <c r="J18" s="85"/>
      <c r="K18" s="85"/>
      <c r="L18" s="85"/>
      <c r="M18" s="85"/>
      <c r="N18" s="85"/>
      <c r="O18" s="85"/>
      <c r="P18" s="393">
        <f>SUM(compras_mes10[[#This Row],[NETO GRAVADO]:[Otros / No Grav.]])</f>
        <v>1631169.54</v>
      </c>
      <c r="Q18" s="394" t="str">
        <f>IFERROR(IF(compras_mes10[[#This Row],[CUIT]]="","-",VLOOKUP(compras_mes10[[#This Row],[CUIT]],Lista_CUIT[#All],3,0)),"CUIT NO CARGADO")</f>
        <v>Alquiler</v>
      </c>
      <c r="R18" s="394">
        <f>IFERROR(IF(compras_mes10[[#This Row],[CUIT]]="","-",VLOOKUP(compras_mes10[[#This Row],[CUIT]],Lista_CUIT[#All],4,0)),"CUIT NO CARGADO")</f>
        <v>0</v>
      </c>
    </row>
    <row r="19" spans="2:18" x14ac:dyDescent="0.25">
      <c r="B19" s="387" t="s">
        <v>2871</v>
      </c>
      <c r="C19" s="547">
        <v>1</v>
      </c>
      <c r="D19" s="388">
        <v>2</v>
      </c>
      <c r="E19" s="389">
        <v>939</v>
      </c>
      <c r="F19" s="390">
        <v>20103069832</v>
      </c>
      <c r="G19" s="391" t="str">
        <f>IFERROR(IF(compras_mes10[[#This Row],[CUIT]]="","-",VLOOKUP(compras_mes10[[#This Row],[CUIT]],Lista_CUIT[#All],2,0)),"CUIT NO CARGADO")</f>
        <v>DE LUCA HECTOR RAFAEL FRANCI</v>
      </c>
      <c r="H19" s="46">
        <v>5323400</v>
      </c>
      <c r="I19" s="392">
        <f>IF(compras_mes10[[#This Row],[NETO GRAVADO]]="","",compras_mes10[[#This Row],[NETO GRAVADO]]*0.21)</f>
        <v>1117914</v>
      </c>
      <c r="J19" s="85"/>
      <c r="K19" s="85"/>
      <c r="L19" s="85"/>
      <c r="M19" s="85"/>
      <c r="N19" s="85"/>
      <c r="O19" s="85"/>
      <c r="P19" s="393">
        <f>SUM(compras_mes10[[#This Row],[NETO GRAVADO]:[Otros / No Grav.]])</f>
        <v>6441314</v>
      </c>
      <c r="Q19" s="394" t="str">
        <f>IFERROR(IF(compras_mes10[[#This Row],[CUIT]]="","-",VLOOKUP(compras_mes10[[#This Row],[CUIT]],Lista_CUIT[#All],3,0)),"CUIT NO CARGADO")</f>
        <v>Material de Empaque</v>
      </c>
      <c r="R19" s="394">
        <f>IFERROR(IF(compras_mes10[[#This Row],[CUIT]]="","-",VLOOKUP(compras_mes10[[#This Row],[CUIT]],Lista_CUIT[#All],4,0)),"CUIT NO CARGADO")</f>
        <v>0</v>
      </c>
    </row>
    <row r="20" spans="2:18" ht="14.45" customHeight="1" x14ac:dyDescent="0.25">
      <c r="B20" s="387" t="s">
        <v>2872</v>
      </c>
      <c r="C20" s="547">
        <v>1</v>
      </c>
      <c r="D20" s="388">
        <v>14</v>
      </c>
      <c r="E20" s="389">
        <v>19133</v>
      </c>
      <c r="F20" s="390">
        <v>30715186256</v>
      </c>
      <c r="G20" s="391" t="str">
        <f>IFERROR(IF(compras_mes10[[#This Row],[CUIT]]="","-",VLOOKUP(compras_mes10[[#This Row],[CUIT]],Lista_CUIT[#All],2,0)),"CUIT NO CARGADO")</f>
        <v>FRIGORIFICO ALIMENTIC</v>
      </c>
      <c r="H20" s="507">
        <v>86267.86</v>
      </c>
      <c r="I20" s="392">
        <v>7513.63</v>
      </c>
      <c r="J20" s="392"/>
      <c r="K20" s="392">
        <v>5301.31</v>
      </c>
      <c r="L20" s="392"/>
      <c r="M20" s="392"/>
      <c r="N20" s="392"/>
      <c r="O20" s="392"/>
      <c r="P20" s="393">
        <f>SUM(compras_mes10[[#This Row],[NETO GRAVADO]:[Otros / No Grav.]])</f>
        <v>99082.8</v>
      </c>
      <c r="Q20" s="394" t="str">
        <f>IFERROR(IF(compras_mes10[[#This Row],[CUIT]]="","-",VLOOKUP(compras_mes10[[#This Row],[CUIT]],Lista_CUIT[#All],3,0)),"CUIT NO CARGADO")</f>
        <v>Gastos Comercializacion - Feria</v>
      </c>
      <c r="R20" s="394">
        <f>IFERROR(IF(compras_mes10[[#This Row],[CUIT]]="","-",VLOOKUP(compras_mes10[[#This Row],[CUIT]],Lista_CUIT[#All],4,0)),"CUIT NO CARGADO")</f>
        <v>0</v>
      </c>
    </row>
    <row r="21" spans="2:18" ht="14.25" customHeight="1" x14ac:dyDescent="0.25">
      <c r="B21" s="387" t="s">
        <v>2872</v>
      </c>
      <c r="C21" s="547">
        <v>1</v>
      </c>
      <c r="D21" s="388">
        <v>6</v>
      </c>
      <c r="E21" s="389">
        <v>114384</v>
      </c>
      <c r="F21" s="390">
        <v>30714971782</v>
      </c>
      <c r="G21" s="391" t="str">
        <f>IFERROR(IF(compras_mes10[[#This Row],[CUIT]]="","-",VLOOKUP(compras_mes10[[#This Row],[CUIT]],Lista_CUIT[#All],2,0)),"CUIT NO CARGADO")</f>
        <v>PINTOS SCHMIDT ALDANA MARCELA Y SACK ADRIANA CRISTINA SH</v>
      </c>
      <c r="H21" s="46">
        <v>27772.73</v>
      </c>
      <c r="I21" s="392">
        <f>IF(compras_mes10[[#This Row],[NETO GRAVADO]]="","",compras_mes10[[#This Row],[NETO GRAVADO]]*0.21)</f>
        <v>5832.2732999999998</v>
      </c>
      <c r="J21" s="85"/>
      <c r="K21" s="85"/>
      <c r="L21" s="85"/>
      <c r="M21" s="85"/>
      <c r="N21" s="85"/>
      <c r="O21" s="85"/>
      <c r="P21" s="393">
        <f>SUM(compras_mes10[[#This Row],[NETO GRAVADO]:[Otros / No Grav.]])</f>
        <v>33605.003299999997</v>
      </c>
      <c r="Q21" s="394" t="str">
        <f>IFERROR(IF(compras_mes10[[#This Row],[CUIT]]="","-",VLOOKUP(compras_mes10[[#This Row],[CUIT]],Lista_CUIT[#All],3,0)),"CUIT NO CARGADO")</f>
        <v>MANTENIMIENTO</v>
      </c>
      <c r="R21" s="394">
        <f>IFERROR(IF(compras_mes10[[#This Row],[CUIT]]="","-",VLOOKUP(compras_mes10[[#This Row],[CUIT]],Lista_CUIT[#All],4,0)),"CUIT NO CARGADO")</f>
        <v>0</v>
      </c>
    </row>
    <row r="22" spans="2:18" ht="13.5" customHeight="1" x14ac:dyDescent="0.25">
      <c r="B22" s="387" t="s">
        <v>2872</v>
      </c>
      <c r="C22" s="547">
        <v>1</v>
      </c>
      <c r="D22" s="388">
        <v>11</v>
      </c>
      <c r="E22" s="389">
        <v>95164</v>
      </c>
      <c r="F22" s="390">
        <v>30534051049</v>
      </c>
      <c r="G22" s="391" t="str">
        <f>IFERROR(IF(compras_mes10[[#This Row],[CUIT]]="","-",VLOOKUP(compras_mes10[[#This Row],[CUIT]],Lista_CUIT[#All],2,0)),"CUIT NO CARGADO")</f>
        <v>PLIN METAL S A</v>
      </c>
      <c r="H22" s="46">
        <v>21474.86</v>
      </c>
      <c r="I22" s="392">
        <f>IF(compras_mes10[[#This Row],[NETO GRAVADO]]="","",compras_mes10[[#This Row],[NETO GRAVADO]]*0.21)</f>
        <v>4509.7205999999996</v>
      </c>
      <c r="J22" s="85"/>
      <c r="K22" s="85"/>
      <c r="L22" s="85"/>
      <c r="M22" s="85"/>
      <c r="N22" s="85"/>
      <c r="O22" s="85">
        <v>1288.49</v>
      </c>
      <c r="P22" s="393">
        <f>SUM(compras_mes10[[#This Row],[NETO GRAVADO]:[Otros / No Grav.]])</f>
        <v>27273.070600000003</v>
      </c>
      <c r="Q22" s="394" t="str">
        <f>IFERROR(IF(compras_mes10[[#This Row],[CUIT]]="","-",VLOOKUP(compras_mes10[[#This Row],[CUIT]],Lista_CUIT[#All],3,0)),"CUIT NO CARGADO")</f>
        <v>Materia Prima</v>
      </c>
      <c r="R22" s="394">
        <f>IFERROR(IF(compras_mes10[[#This Row],[CUIT]]="","-",VLOOKUP(compras_mes10[[#This Row],[CUIT]],Lista_CUIT[#All],4,0)),"CUIT NO CARGADO")</f>
        <v>0</v>
      </c>
    </row>
    <row r="23" spans="2:18" ht="14.45" customHeight="1" x14ac:dyDescent="0.25">
      <c r="B23" s="387" t="s">
        <v>2872</v>
      </c>
      <c r="C23" s="547">
        <v>1</v>
      </c>
      <c r="D23" s="388">
        <v>3</v>
      </c>
      <c r="E23" s="389">
        <v>37431</v>
      </c>
      <c r="F23" s="390">
        <v>33707953549</v>
      </c>
      <c r="G23" s="391" t="str">
        <f>IFERROR(IF(compras_mes10[[#This Row],[CUIT]]="","-",VLOOKUP(compras_mes10[[#This Row],[CUIT]],Lista_CUIT[#All],2,0)),"CUIT NO CARGADO")</f>
        <v>TELESMART</v>
      </c>
      <c r="H23" s="46">
        <v>31100</v>
      </c>
      <c r="I23" s="392">
        <f>IF(compras_mes10[[#This Row],[NETO GRAVADO]]="","",compras_mes10[[#This Row],[NETO GRAVADO]]*0.21)</f>
        <v>6531</v>
      </c>
      <c r="J23" s="85"/>
      <c r="K23" s="85"/>
      <c r="L23" s="85"/>
      <c r="M23" s="85"/>
      <c r="N23" s="85"/>
      <c r="O23" s="85"/>
      <c r="P23" s="393">
        <f>SUM(compras_mes10[[#This Row],[NETO GRAVADO]:[Otros / No Grav.]])</f>
        <v>37631</v>
      </c>
      <c r="Q23" s="394" t="str">
        <f>IFERROR(IF(compras_mes10[[#This Row],[CUIT]]="","-",VLOOKUP(compras_mes10[[#This Row],[CUIT]],Lista_CUIT[#All],3,0)),"CUIT NO CARGADO")</f>
        <v>Servicios Gas, Luz, etc.</v>
      </c>
      <c r="R23" s="394">
        <f>IFERROR(IF(compras_mes10[[#This Row],[CUIT]]="","-",VLOOKUP(compras_mes10[[#This Row],[CUIT]],Lista_CUIT[#All],4,0)),"CUIT NO CARGADO")</f>
        <v>0</v>
      </c>
    </row>
    <row r="24" spans="2:18" ht="15" customHeight="1" x14ac:dyDescent="0.25">
      <c r="B24" s="387" t="s">
        <v>2872</v>
      </c>
      <c r="C24" s="547">
        <v>1</v>
      </c>
      <c r="D24" s="388">
        <v>1</v>
      </c>
      <c r="E24" s="389">
        <v>1020205</v>
      </c>
      <c r="F24" s="390">
        <v>33716307749</v>
      </c>
      <c r="G24" s="391" t="str">
        <f>IFERROR(IF(compras_mes10[[#This Row],[CUIT]]="","-",VLOOKUP(compras_mes10[[#This Row],[CUIT]],Lista_CUIT[#All],2,0)),"CUIT NO CARGADO")</f>
        <v>VERISURE ARGENTINA MONITOREO DE ALARMAS SA</v>
      </c>
      <c r="H24" s="46">
        <v>56224.800000000003</v>
      </c>
      <c r="I24" s="392">
        <f>IF(compras_mes10[[#This Row],[NETO GRAVADO]]="","",compras_mes10[[#This Row],[NETO GRAVADO]]*0.21)</f>
        <v>11807.208000000001</v>
      </c>
      <c r="J24" s="85"/>
      <c r="K24" s="85"/>
      <c r="L24" s="85"/>
      <c r="M24" s="85"/>
      <c r="N24" s="85"/>
      <c r="O24" s="85"/>
      <c r="P24" s="393">
        <f>SUM(compras_mes10[[#This Row],[NETO GRAVADO]:[Otros / No Grav.]])</f>
        <v>68032.008000000002</v>
      </c>
      <c r="Q24" s="394" t="str">
        <f>IFERROR(IF(compras_mes10[[#This Row],[CUIT]]="","-",VLOOKUP(compras_mes10[[#This Row],[CUIT]],Lista_CUIT[#All],3,0)),"CUIT NO CARGADO")</f>
        <v>Serv. Seguridad</v>
      </c>
      <c r="R24" s="394">
        <f>IFERROR(IF(compras_mes10[[#This Row],[CUIT]]="","-",VLOOKUP(compras_mes10[[#This Row],[CUIT]],Lista_CUIT[#All],4,0)),"CUIT NO CARGADO")</f>
        <v>0</v>
      </c>
    </row>
    <row r="25" spans="2:18" ht="15" customHeight="1" x14ac:dyDescent="0.25">
      <c r="B25" s="387" t="s">
        <v>2872</v>
      </c>
      <c r="C25" s="547">
        <v>1</v>
      </c>
      <c r="D25" s="388">
        <v>2</v>
      </c>
      <c r="E25" s="389">
        <v>4165</v>
      </c>
      <c r="F25" s="390">
        <v>30629863571</v>
      </c>
      <c r="G25" s="391" t="str">
        <f>IFERROR(IF(compras_mes10[[#This Row],[CUIT]]="","-",VLOOKUP(compras_mes10[[#This Row],[CUIT]],Lista_CUIT[#All],2,0)),"CUIT NO CARGADO")</f>
        <v>TECNIMAR S R L</v>
      </c>
      <c r="H25" s="46">
        <v>997920</v>
      </c>
      <c r="I25" s="392">
        <f>IF(compras_mes10[[#This Row],[NETO GRAVADO]]="","",compras_mes10[[#This Row],[NETO GRAVADO]]*0.21)</f>
        <v>209563.19999999998</v>
      </c>
      <c r="J25" s="85"/>
      <c r="K25" s="85"/>
      <c r="L25" s="85"/>
      <c r="M25" s="85"/>
      <c r="N25" s="85"/>
      <c r="O25" s="85"/>
      <c r="P25" s="393">
        <f>SUM(compras_mes10[[#This Row],[NETO GRAVADO]:[Otros / No Grav.]])</f>
        <v>1207483.2</v>
      </c>
      <c r="Q25" s="394" t="str">
        <f>IFERROR(IF(compras_mes10[[#This Row],[CUIT]]="","-",VLOOKUP(compras_mes10[[#This Row],[CUIT]],Lista_CUIT[#All],3,0)),"CUIT NO CARGADO")</f>
        <v>Productos Venta</v>
      </c>
      <c r="R25" s="394">
        <f>IFERROR(IF(compras_mes10[[#This Row],[CUIT]]="","-",VLOOKUP(compras_mes10[[#This Row],[CUIT]],Lista_CUIT[#All],4,0)),"CUIT NO CARGADO")</f>
        <v>0</v>
      </c>
    </row>
    <row r="26" spans="2:18" ht="15" customHeight="1" x14ac:dyDescent="0.25">
      <c r="B26" s="387" t="s">
        <v>2873</v>
      </c>
      <c r="C26" s="547">
        <v>1</v>
      </c>
      <c r="D26" s="388">
        <v>4</v>
      </c>
      <c r="E26" s="389">
        <v>51115</v>
      </c>
      <c r="F26" s="390">
        <v>30709863076</v>
      </c>
      <c r="G26" s="391" t="str">
        <f>IFERROR(IF(compras_mes10[[#This Row],[CUIT]]="","-",VLOOKUP(compras_mes10[[#This Row],[CUIT]],Lista_CUIT[#All],2,0)),"CUIT NO CARGADO")</f>
        <v>INDUSTRIAS PLASTICOS SALTA S.R.L.</v>
      </c>
      <c r="H26" s="46">
        <v>166115.70000000001</v>
      </c>
      <c r="I26" s="392">
        <f>IF(compras_mes10[[#This Row],[NETO GRAVADO]]="","",compras_mes10[[#This Row],[NETO GRAVADO]]*0.21)</f>
        <v>34884.296999999999</v>
      </c>
      <c r="J26" s="85"/>
      <c r="K26" s="85"/>
      <c r="L26" s="85"/>
      <c r="M26" s="85"/>
      <c r="N26" s="85"/>
      <c r="O26" s="85"/>
      <c r="P26" s="393">
        <f>SUM(compras_mes10[[#This Row],[NETO GRAVADO]:[Otros / No Grav.]])</f>
        <v>200999.997</v>
      </c>
      <c r="Q26" s="394" t="str">
        <f>IFERROR(IF(compras_mes10[[#This Row],[CUIT]]="","-",VLOOKUP(compras_mes10[[#This Row],[CUIT]],Lista_CUIT[#All],3,0)),"CUIT NO CARGADO")</f>
        <v>Materia Prima</v>
      </c>
      <c r="R26" s="394">
        <f>IFERROR(IF(compras_mes10[[#This Row],[CUIT]]="","-",VLOOKUP(compras_mes10[[#This Row],[CUIT]],Lista_CUIT[#All],4,0)),"CUIT NO CARGADO")</f>
        <v>0</v>
      </c>
    </row>
    <row r="27" spans="2:18" ht="15" customHeight="1" x14ac:dyDescent="0.25">
      <c r="B27" s="387" t="s">
        <v>2873</v>
      </c>
      <c r="C27" s="547">
        <v>1</v>
      </c>
      <c r="D27" s="388">
        <v>3034</v>
      </c>
      <c r="E27" s="389">
        <v>9422856</v>
      </c>
      <c r="F27" s="390">
        <v>30708574836</v>
      </c>
      <c r="G27" s="391" t="str">
        <f>IFERROR(IF(compras_mes10[[#This Row],[CUIT]]="","-",VLOOKUP(compras_mes10[[#This Row],[CUIT]],Lista_CUIT[#All],2,0)),"CUIT NO CARGADO")</f>
        <v>CORREO OFICIAL DE LA REPUBLICA ARGENTINA SOCIEDAD ANONIMA</v>
      </c>
      <c r="H27" s="46">
        <v>7172.73</v>
      </c>
      <c r="I27" s="392">
        <f>IF(compras_mes10[[#This Row],[NETO GRAVADO]]="","",compras_mes10[[#This Row],[NETO GRAVADO]]*0.21)</f>
        <v>1506.2732999999998</v>
      </c>
      <c r="J27" s="85"/>
      <c r="K27" s="85"/>
      <c r="L27" s="85"/>
      <c r="M27" s="85"/>
      <c r="N27" s="85"/>
      <c r="O27" s="85"/>
      <c r="P27" s="393">
        <f>SUM(compras_mes10[[#This Row],[NETO GRAVADO]:[Otros / No Grav.]])</f>
        <v>8679.0033000000003</v>
      </c>
      <c r="Q27" s="394" t="str">
        <f>IFERROR(IF(compras_mes10[[#This Row],[CUIT]]="","-",VLOOKUP(compras_mes10[[#This Row],[CUIT]],Lista_CUIT[#All],3,0)),"CUIT NO CARGADO")</f>
        <v>MESAJERIA</v>
      </c>
      <c r="R27" s="394">
        <f>IFERROR(IF(compras_mes10[[#This Row],[CUIT]]="","-",VLOOKUP(compras_mes10[[#This Row],[CUIT]],Lista_CUIT[#All],4,0)),"CUIT NO CARGADO")</f>
        <v>0</v>
      </c>
    </row>
    <row r="28" spans="2:18" ht="15" customHeight="1" x14ac:dyDescent="0.25">
      <c r="B28" s="387" t="s">
        <v>2873</v>
      </c>
      <c r="C28" s="547">
        <v>1</v>
      </c>
      <c r="D28" s="388">
        <v>18</v>
      </c>
      <c r="E28" s="389">
        <v>49665</v>
      </c>
      <c r="F28" s="390">
        <v>33709180849</v>
      </c>
      <c r="G28" s="45" t="str">
        <f>IFERROR(IF(compras_mes10[[#This Row],[CUIT]]="","-",VLOOKUP(compras_mes10[[#This Row],[CUIT]],Lista_CUIT[#All],2,0)),"CUIT NO CARGADO")</f>
        <v>PILISAR SOCIEDAD ANONIMA</v>
      </c>
      <c r="H28" s="46">
        <v>71073.55</v>
      </c>
      <c r="I28" s="392">
        <f>IF(compras_mes10[[#This Row],[NETO GRAVADO]]="","",compras_mes10[[#This Row],[NETO GRAVADO]]*0.21)</f>
        <v>14925.4455</v>
      </c>
      <c r="J28" s="85"/>
      <c r="K28" s="85"/>
      <c r="L28" s="85"/>
      <c r="M28" s="85"/>
      <c r="N28" s="85"/>
      <c r="O28" s="85"/>
      <c r="P28" s="48">
        <f>SUM(compras_mes10[[#This Row],[NETO GRAVADO]:[Otros / No Grav.]])</f>
        <v>85998.995500000005</v>
      </c>
      <c r="Q28" s="49" t="str">
        <f>IFERROR(IF(compras_mes10[[#This Row],[CUIT]]="","-",VLOOKUP(compras_mes10[[#This Row],[CUIT]],Lista_CUIT[#All],3,0)),"CUIT NO CARGADO")</f>
        <v>Gastos Maquinarias</v>
      </c>
      <c r="R28" s="49">
        <f>IFERROR(IF(compras_mes10[[#This Row],[CUIT]]="","-",VLOOKUP(compras_mes10[[#This Row],[CUIT]],Lista_CUIT[#All],4,0)),"CUIT NO CARGADO")</f>
        <v>0</v>
      </c>
    </row>
    <row r="29" spans="2:18" ht="15.75" customHeight="1" x14ac:dyDescent="0.25">
      <c r="B29" s="387" t="s">
        <v>2873</v>
      </c>
      <c r="C29" s="547">
        <v>1</v>
      </c>
      <c r="D29" s="388">
        <v>2199</v>
      </c>
      <c r="E29" s="389">
        <v>39432</v>
      </c>
      <c r="F29" s="390">
        <v>30548083156</v>
      </c>
      <c r="G29" s="391" t="str">
        <f>IFERROR(IF(compras_mes10[[#This Row],[CUIT]]="","-",VLOOKUP(compras_mes10[[#This Row],[CUIT]],Lista_CUIT[#All],2,0)),"CUIT NO CARGADO")</f>
        <v>COTO CENTRO INTEGRAL DE COMERCIALIZACION SOCIEDAD ANONIMA</v>
      </c>
      <c r="H29" s="46">
        <v>68357.09</v>
      </c>
      <c r="I29" s="392">
        <v>7006.4</v>
      </c>
      <c r="J29" s="85"/>
      <c r="K29" s="85">
        <v>3674.29</v>
      </c>
      <c r="L29" s="85"/>
      <c r="M29" s="85"/>
      <c r="N29" s="85"/>
      <c r="O29" s="85">
        <v>4474.05</v>
      </c>
      <c r="P29" s="393">
        <f>SUM(compras_mes10[[#This Row],[NETO GRAVADO]:[Otros / No Grav.]])</f>
        <v>83511.829999999987</v>
      </c>
      <c r="Q29" s="394" t="str">
        <f>IFERROR(IF(compras_mes10[[#This Row],[CUIT]]="","-",VLOOKUP(compras_mes10[[#This Row],[CUIT]],Lista_CUIT[#All],3,0)),"CUIT NO CARGADO")</f>
        <v>Gastos Varios</v>
      </c>
      <c r="R29" s="394">
        <f>IFERROR(IF(compras_mes10[[#This Row],[CUIT]]="","-",VLOOKUP(compras_mes10[[#This Row],[CUIT]],Lista_CUIT[#All],4,0)),"CUIT NO CARGADO")</f>
        <v>0</v>
      </c>
    </row>
    <row r="30" spans="2:18" ht="15" customHeight="1" x14ac:dyDescent="0.25">
      <c r="B30" s="387" t="s">
        <v>2873</v>
      </c>
      <c r="C30" s="547">
        <v>1</v>
      </c>
      <c r="D30" s="388">
        <v>5</v>
      </c>
      <c r="E30" s="389">
        <v>72576</v>
      </c>
      <c r="F30" s="390">
        <v>20316749942</v>
      </c>
      <c r="G30" s="391" t="str">
        <f>IFERROR(IF(compras_mes10[[#This Row],[CUIT]]="","-",VLOOKUP(compras_mes10[[#This Row],[CUIT]],Lista_CUIT[#All],2,0)),"CUIT NO CARGADO")</f>
        <v>PASTORIZA ALEJANDRO JAVIER</v>
      </c>
      <c r="H30" s="46">
        <v>32570.14</v>
      </c>
      <c r="I30" s="85" t="s">
        <v>2411</v>
      </c>
      <c r="J30" s="85"/>
      <c r="K30" s="85">
        <f>compras_mes10[[#This Row],[NETO GRAVADO]]*0.105</f>
        <v>3419.8646999999996</v>
      </c>
      <c r="L30" s="85"/>
      <c r="M30" s="85"/>
      <c r="N30" s="85"/>
      <c r="O30" s="85"/>
      <c r="P30" s="393">
        <f>SUM(compras_mes10[[#This Row],[NETO GRAVADO]:[Otros / No Grav.]])</f>
        <v>35990.004699999998</v>
      </c>
      <c r="Q30" s="394" t="str">
        <f>IFERROR(IF(compras_mes10[[#This Row],[CUIT]]="","-",VLOOKUP(compras_mes10[[#This Row],[CUIT]],Lista_CUIT[#All],3,0)),"CUIT NO CARGADO")</f>
        <v>Gastos Oficina</v>
      </c>
      <c r="R30" s="394">
        <f>IFERROR(IF(compras_mes10[[#This Row],[CUIT]]="","-",VLOOKUP(compras_mes10[[#This Row],[CUIT]],Lista_CUIT[#All],4,0)),"CUIT NO CARGADO")</f>
        <v>0</v>
      </c>
    </row>
    <row r="31" spans="2:18" x14ac:dyDescent="0.25">
      <c r="B31" s="387" t="s">
        <v>2873</v>
      </c>
      <c r="C31" s="547">
        <v>1</v>
      </c>
      <c r="D31" s="388">
        <v>10</v>
      </c>
      <c r="E31" s="389">
        <v>137114</v>
      </c>
      <c r="F31" s="390">
        <v>30677041877</v>
      </c>
      <c r="G31" s="391" t="str">
        <f>IFERROR(IF(compras_mes10[[#This Row],[CUIT]]="","-",VLOOKUP(compras_mes10[[#This Row],[CUIT]],Lista_CUIT[#All],2,0)),"CUIT NO CARGADO")</f>
        <v>GARDEN LIFE S A</v>
      </c>
      <c r="H31" s="46">
        <v>242314.05</v>
      </c>
      <c r="I31" s="392">
        <f>IF(compras_mes10[[#This Row],[NETO GRAVADO]]="","",compras_mes10[[#This Row],[NETO GRAVADO]]*0.21)</f>
        <v>50885.950499999999</v>
      </c>
      <c r="J31" s="85"/>
      <c r="K31" s="85"/>
      <c r="L31" s="85"/>
      <c r="M31" s="85"/>
      <c r="N31" s="85"/>
      <c r="O31" s="85"/>
      <c r="P31" s="393">
        <f>SUM(compras_mes10[[#This Row],[NETO GRAVADO]:[Otros / No Grav.]])</f>
        <v>293200.00049999997</v>
      </c>
      <c r="Q31" s="394" t="str">
        <f>IFERROR(IF(compras_mes10[[#This Row],[CUIT]]="","-",VLOOKUP(compras_mes10[[#This Row],[CUIT]],Lista_CUIT[#All],3,0)),"CUIT NO CARGADO")</f>
        <v>Insumos</v>
      </c>
      <c r="R31" s="394">
        <f>IFERROR(IF(compras_mes10[[#This Row],[CUIT]]="","-",VLOOKUP(compras_mes10[[#This Row],[CUIT]],Lista_CUIT[#All],4,0)),"CUIT NO CARGADO")</f>
        <v>0</v>
      </c>
    </row>
    <row r="32" spans="2:18" x14ac:dyDescent="0.25">
      <c r="B32" s="387" t="s">
        <v>2873</v>
      </c>
      <c r="C32" s="547">
        <v>1</v>
      </c>
      <c r="D32" s="388">
        <v>3099</v>
      </c>
      <c r="E32" s="389">
        <v>575931</v>
      </c>
      <c r="F32" s="390">
        <v>30678814357</v>
      </c>
      <c r="G32" s="391" t="str">
        <f>IFERROR(IF(compras_mes10[[#This Row],[CUIT]]="","-",VLOOKUP(compras_mes10[[#This Row],[CUIT]],Lista_CUIT[#All],2,0)),"CUIT NO CARGADO")</f>
        <v>TELEFONICA MOVILES ARG</v>
      </c>
      <c r="H32" s="46">
        <v>44054.21</v>
      </c>
      <c r="I32" s="85" t="s">
        <v>2411</v>
      </c>
      <c r="J32" s="85">
        <f>compras_mes10[[#This Row],[NETO GRAVADO]]*0.27</f>
        <v>11894.636700000001</v>
      </c>
      <c r="K32" s="85"/>
      <c r="L32" s="85"/>
      <c r="M32" s="85"/>
      <c r="N32" s="85"/>
      <c r="O32" s="85">
        <v>3964.88</v>
      </c>
      <c r="P32" s="393">
        <f>SUM(compras_mes10[[#This Row],[NETO GRAVADO]:[Otros / No Grav.]])</f>
        <v>59913.726699999999</v>
      </c>
      <c r="Q32" s="394" t="str">
        <f>IFERROR(IF(compras_mes10[[#This Row],[CUIT]]="","-",VLOOKUP(compras_mes10[[#This Row],[CUIT]],Lista_CUIT[#All],3,0)),"CUIT NO CARGADO")</f>
        <v>Servicios Gas, Luz, etc.</v>
      </c>
      <c r="R32" s="394">
        <f>IFERROR(IF(compras_mes10[[#This Row],[CUIT]]="","-",VLOOKUP(compras_mes10[[#This Row],[CUIT]],Lista_CUIT[#All],4,0)),"CUIT NO CARGADO")</f>
        <v>0</v>
      </c>
    </row>
    <row r="33" spans="2:18" x14ac:dyDescent="0.25">
      <c r="B33" s="387" t="s">
        <v>2873</v>
      </c>
      <c r="C33" s="547">
        <v>1</v>
      </c>
      <c r="D33" s="388">
        <v>3</v>
      </c>
      <c r="E33" s="389">
        <v>185</v>
      </c>
      <c r="F33" s="390">
        <v>20232842823</v>
      </c>
      <c r="G33" s="391" t="str">
        <f>IFERROR(IF(compras_mes10[[#This Row],[CUIT]]="","-",VLOOKUP(compras_mes10[[#This Row],[CUIT]],Lista_CUIT[#All],2,0)),"CUIT NO CARGADO")</f>
        <v>VEITMAN DAVID FERNANDO</v>
      </c>
      <c r="H33" s="46">
        <v>21322.33</v>
      </c>
      <c r="I33" s="392">
        <f>IF(compras_mes10[[#This Row],[NETO GRAVADO]]="","",compras_mes10[[#This Row],[NETO GRAVADO]]*0.21)</f>
        <v>4477.6893</v>
      </c>
      <c r="J33" s="85"/>
      <c r="K33" s="85"/>
      <c r="L33" s="85"/>
      <c r="M33" s="85"/>
      <c r="N33" s="85"/>
      <c r="O33" s="85"/>
      <c r="P33" s="393">
        <f>SUM(compras_mes10[[#This Row],[NETO GRAVADO]:[Otros / No Grav.]])</f>
        <v>25800.0193</v>
      </c>
      <c r="Q33" s="394" t="str">
        <f>IFERROR(IF(compras_mes10[[#This Row],[CUIT]]="","-",VLOOKUP(compras_mes10[[#This Row],[CUIT]],Lista_CUIT[#All],3,0)),"CUIT NO CARGADO")</f>
        <v>Serv. Gaz, Luz, etc</v>
      </c>
      <c r="R33" s="394">
        <f>IFERROR(IF(compras_mes10[[#This Row],[CUIT]]="","-",VLOOKUP(compras_mes10[[#This Row],[CUIT]],Lista_CUIT[#All],4,0)),"CUIT NO CARGADO")</f>
        <v>0</v>
      </c>
    </row>
    <row r="34" spans="2:18" x14ac:dyDescent="0.25">
      <c r="B34" s="387" t="s">
        <v>2873</v>
      </c>
      <c r="C34" s="547">
        <v>1</v>
      </c>
      <c r="D34" s="388">
        <v>2</v>
      </c>
      <c r="E34" s="389">
        <v>4166</v>
      </c>
      <c r="F34" s="390">
        <v>30629863571</v>
      </c>
      <c r="G34" s="391" t="str">
        <f>IFERROR(IF(compras_mes10[[#This Row],[CUIT]]="","-",VLOOKUP(compras_mes10[[#This Row],[CUIT]],Lista_CUIT[#All],2,0)),"CUIT NO CARGADO")</f>
        <v>TECNIMAR S R L</v>
      </c>
      <c r="H34" s="46">
        <v>2233440</v>
      </c>
      <c r="I34" s="392">
        <f>IF(compras_mes10[[#This Row],[NETO GRAVADO]]="","",compras_mes10[[#This Row],[NETO GRAVADO]]*0.21)</f>
        <v>469022.39999999997</v>
      </c>
      <c r="J34" s="85"/>
      <c r="K34" s="85"/>
      <c r="L34" s="85"/>
      <c r="M34" s="85"/>
      <c r="N34" s="85"/>
      <c r="O34" s="85"/>
      <c r="P34" s="393">
        <f>SUM(compras_mes10[[#This Row],[NETO GRAVADO]:[Otros / No Grav.]])</f>
        <v>2702462.4</v>
      </c>
      <c r="Q34" s="394" t="str">
        <f>IFERROR(IF(compras_mes10[[#This Row],[CUIT]]="","-",VLOOKUP(compras_mes10[[#This Row],[CUIT]],Lista_CUIT[#All],3,0)),"CUIT NO CARGADO")</f>
        <v>Productos Venta</v>
      </c>
      <c r="R34" s="394">
        <f>IFERROR(IF(compras_mes10[[#This Row],[CUIT]]="","-",VLOOKUP(compras_mes10[[#This Row],[CUIT]],Lista_CUIT[#All],4,0)),"CUIT NO CARGADO")</f>
        <v>0</v>
      </c>
    </row>
    <row r="35" spans="2:18" x14ac:dyDescent="0.25">
      <c r="B35" s="387" t="s">
        <v>2873</v>
      </c>
      <c r="C35" s="547">
        <v>1</v>
      </c>
      <c r="D35" s="388">
        <v>43</v>
      </c>
      <c r="E35" s="389">
        <v>3320</v>
      </c>
      <c r="F35" s="390">
        <v>30642617555</v>
      </c>
      <c r="G35" s="391" t="str">
        <f>IFERROR(IF(compras_mes10[[#This Row],[CUIT]]="","-",VLOOKUP(compras_mes10[[#This Row],[CUIT]],Lista_CUIT[#All],2,0)),"CUIT NO CARGADO")</f>
        <v>NEWSAN SOCIEDAD ANONIMA</v>
      </c>
      <c r="H35" s="46">
        <v>190081.81</v>
      </c>
      <c r="I35" s="392">
        <f>IF(compras_mes10[[#This Row],[NETO GRAVADO]]="","",compras_mes10[[#This Row],[NETO GRAVADO]]*0.21)</f>
        <v>39917.180099999998</v>
      </c>
      <c r="J35" s="85"/>
      <c r="K35" s="85"/>
      <c r="L35" s="85"/>
      <c r="M35" s="85"/>
      <c r="N35" s="85"/>
      <c r="O35" s="85"/>
      <c r="P35" s="393">
        <f>SUM(compras_mes10[[#This Row],[NETO GRAVADO]:[Otros / No Grav.]])</f>
        <v>229998.9901</v>
      </c>
      <c r="Q35" s="394" t="str">
        <f>IFERROR(IF(compras_mes10[[#This Row],[CUIT]]="","-",VLOOKUP(compras_mes10[[#This Row],[CUIT]],Lista_CUIT[#All],3,0)),"CUIT NO CARGADO")</f>
        <v>Insumos</v>
      </c>
      <c r="R35" s="394">
        <f>IFERROR(IF(compras_mes10[[#This Row],[CUIT]]="","-",VLOOKUP(compras_mes10[[#This Row],[CUIT]],Lista_CUIT[#All],4,0)),"CUIT NO CARGADO")</f>
        <v>0</v>
      </c>
    </row>
    <row r="36" spans="2:18" s="56" customFormat="1" ht="15" customHeight="1" x14ac:dyDescent="0.25">
      <c r="B36" s="387" t="s">
        <v>2874</v>
      </c>
      <c r="C36" s="547">
        <v>1</v>
      </c>
      <c r="D36" s="388">
        <v>1</v>
      </c>
      <c r="E36" s="389">
        <v>66</v>
      </c>
      <c r="F36" s="390">
        <v>30717504824</v>
      </c>
      <c r="G36" s="391" t="str">
        <f>IFERROR(IF(compras_mes10[[#This Row],[CUIT]]="","-",VLOOKUP(compras_mes10[[#This Row],[CUIT]],Lista_CUIT[#All],2,0)),"CUIT NO CARGADO")</f>
        <v>FIDEICOMISO MAMBA</v>
      </c>
      <c r="H36" s="46">
        <v>3674208.19</v>
      </c>
      <c r="I36" s="85" t="s">
        <v>2411</v>
      </c>
      <c r="J36" s="85"/>
      <c r="K36" s="85">
        <f>compras_mes10[[#This Row],[NETO GRAVADO]]*0.105</f>
        <v>385791.85994999995</v>
      </c>
      <c r="L36" s="85"/>
      <c r="M36" s="85"/>
      <c r="N36" s="85"/>
      <c r="O36" s="85"/>
      <c r="P36" s="393">
        <f>SUM(compras_mes10[[#This Row],[NETO GRAVADO]:[Otros / No Grav.]])</f>
        <v>4060000.0499499999</v>
      </c>
      <c r="Q36" s="394" t="str">
        <f>IFERROR(IF(compras_mes10[[#This Row],[CUIT]]="","-",VLOOKUP(compras_mes10[[#This Row],[CUIT]],Lista_CUIT[#All],3,0)),"CUIT NO CARGADO")</f>
        <v>MANTENIMIENTO</v>
      </c>
      <c r="R36" s="394">
        <f>IFERROR(IF(compras_mes10[[#This Row],[CUIT]]="","-",VLOOKUP(compras_mes10[[#This Row],[CUIT]],Lista_CUIT[#All],4,0)),"CUIT NO CARGADO")</f>
        <v>0</v>
      </c>
    </row>
    <row r="37" spans="2:18" x14ac:dyDescent="0.25">
      <c r="B37" s="387" t="s">
        <v>2875</v>
      </c>
      <c r="C37" s="547">
        <v>1</v>
      </c>
      <c r="D37" s="388">
        <v>4</v>
      </c>
      <c r="E37" s="389">
        <v>51142</v>
      </c>
      <c r="F37" s="390">
        <v>30709863076</v>
      </c>
      <c r="G37" s="391" t="str">
        <f>IFERROR(IF(compras_mes10[[#This Row],[CUIT]]="","-",VLOOKUP(compras_mes10[[#This Row],[CUIT]],Lista_CUIT[#All],2,0)),"CUIT NO CARGADO")</f>
        <v>INDUSTRIAS PLASTICOS SALTA S.R.L.</v>
      </c>
      <c r="H37" s="46">
        <v>3226070</v>
      </c>
      <c r="I37" s="392">
        <f>IF(compras_mes10[[#This Row],[NETO GRAVADO]]="","",compras_mes10[[#This Row],[NETO GRAVADO]]*0.21)</f>
        <v>677474.7</v>
      </c>
      <c r="J37" s="85"/>
      <c r="K37" s="85"/>
      <c r="L37" s="85"/>
      <c r="M37" s="85"/>
      <c r="N37" s="85"/>
      <c r="O37" s="85"/>
      <c r="P37" s="393">
        <f>SUM(compras_mes10[[#This Row],[NETO GRAVADO]:[Otros / No Grav.]])</f>
        <v>3903544.7</v>
      </c>
      <c r="Q37" s="394" t="str">
        <f>IFERROR(IF(compras_mes10[[#This Row],[CUIT]]="","-",VLOOKUP(compras_mes10[[#This Row],[CUIT]],Lista_CUIT[#All],3,0)),"CUIT NO CARGADO")</f>
        <v>Materia Prima</v>
      </c>
      <c r="R37" s="394">
        <f>IFERROR(IF(compras_mes10[[#This Row],[CUIT]]="","-",VLOOKUP(compras_mes10[[#This Row],[CUIT]],Lista_CUIT[#All],4,0)),"CUIT NO CARGADO")</f>
        <v>0</v>
      </c>
    </row>
    <row r="38" spans="2:18" x14ac:dyDescent="0.25">
      <c r="B38" s="387" t="s">
        <v>2875</v>
      </c>
      <c r="C38" s="547">
        <v>1</v>
      </c>
      <c r="D38" s="388">
        <v>3</v>
      </c>
      <c r="E38" s="389">
        <v>7576</v>
      </c>
      <c r="F38" s="390">
        <v>30717993973</v>
      </c>
      <c r="G38" s="391" t="str">
        <f>IFERROR(IF(compras_mes10[[#This Row],[CUIT]]="","-",VLOOKUP(compras_mes10[[#This Row],[CUIT]],Lista_CUIT[#All],2,0)),"CUIT NO CARGADO")</f>
        <v>SEITON TECHNOLOGY S. R. L.</v>
      </c>
      <c r="H38" s="46">
        <v>28492</v>
      </c>
      <c r="I38" s="392">
        <f>IF(compras_mes10[[#This Row],[NETO GRAVADO]]="","",compras_mes10[[#This Row],[NETO GRAVADO]]*0.21)</f>
        <v>5983.32</v>
      </c>
      <c r="J38" s="85"/>
      <c r="K38" s="85"/>
      <c r="L38" s="85"/>
      <c r="M38" s="85"/>
      <c r="N38" s="85"/>
      <c r="O38" s="85"/>
      <c r="P38" s="393">
        <f>SUM(compras_mes10[[#This Row],[NETO GRAVADO]:[Otros / No Grav.]])</f>
        <v>34475.32</v>
      </c>
      <c r="Q38" s="394" t="str">
        <f>IFERROR(IF(compras_mes10[[#This Row],[CUIT]]="","-",VLOOKUP(compras_mes10[[#This Row],[CUIT]],Lista_CUIT[#All],3,0)),"CUIT NO CARGADO")</f>
        <v>Serv. Tecnicos</v>
      </c>
      <c r="R38" s="394">
        <f>IFERROR(IF(compras_mes10[[#This Row],[CUIT]]="","-",VLOOKUP(compras_mes10[[#This Row],[CUIT]],Lista_CUIT[#All],4,0)),"CUIT NO CARGADO")</f>
        <v>0</v>
      </c>
    </row>
    <row r="39" spans="2:18" x14ac:dyDescent="0.25">
      <c r="B39" s="387" t="s">
        <v>2875</v>
      </c>
      <c r="C39" s="547">
        <v>1</v>
      </c>
      <c r="D39" s="388">
        <v>10</v>
      </c>
      <c r="E39" s="389">
        <v>2883</v>
      </c>
      <c r="F39" s="390">
        <v>30717740439</v>
      </c>
      <c r="G39" s="93" t="str">
        <f>IFERROR(IF(compras_mes10[[#This Row],[CUIT]]="","-",VLOOKUP(compras_mes10[[#This Row],[CUIT]],Lista_CUIT[#All],2,0)),"CUIT NO CARGADO")</f>
        <v>BALANCINES S.R.L. S. R. L.</v>
      </c>
      <c r="H39" s="94">
        <v>24047.98</v>
      </c>
      <c r="I39" s="392">
        <f>IF(compras_mes10[[#This Row],[NETO GRAVADO]]="","",compras_mes10[[#This Row],[NETO GRAVADO]]*0.21)</f>
        <v>5050.0757999999996</v>
      </c>
      <c r="J39" s="85"/>
      <c r="K39" s="85"/>
      <c r="L39" s="85"/>
      <c r="M39" s="85"/>
      <c r="N39" s="85"/>
      <c r="O39" s="85"/>
      <c r="P39" s="87">
        <f>SUM(compras_mes10[[#This Row],[NETO GRAVADO]:[Otros / No Grav.]])</f>
        <v>29098.055799999998</v>
      </c>
      <c r="Q39" s="88" t="str">
        <f>IFERROR(IF(compras_mes10[[#This Row],[CUIT]]="","-",VLOOKUP(compras_mes10[[#This Row],[CUIT]],Lista_CUIT[#All],3,0)),"CUIT NO CARGADO")</f>
        <v>Gastos Varios</v>
      </c>
      <c r="R39" s="88">
        <f>IFERROR(IF(compras_mes10[[#This Row],[CUIT]]="","-",VLOOKUP(compras_mes10[[#This Row],[CUIT]],Lista_CUIT[#All],4,0)),"CUIT NO CARGADO")</f>
        <v>0</v>
      </c>
    </row>
    <row r="40" spans="2:18" x14ac:dyDescent="0.25">
      <c r="B40" s="387" t="s">
        <v>2875</v>
      </c>
      <c r="C40" s="547">
        <v>1</v>
      </c>
      <c r="D40" s="388">
        <v>8</v>
      </c>
      <c r="E40" s="389">
        <v>72</v>
      </c>
      <c r="F40" s="390">
        <v>23329455319</v>
      </c>
      <c r="G40" s="391" t="str">
        <f>IFERROR(IF(compras_mes10[[#This Row],[CUIT]]="","-",VLOOKUP(compras_mes10[[#This Row],[CUIT]],Lista_CUIT[#All],2,0)),"CUIT NO CARGADO")</f>
        <v>REPETTO RAMIRO ANDRES</v>
      </c>
      <c r="H40" s="46">
        <v>39951.65</v>
      </c>
      <c r="I40" s="392">
        <f>IF(compras_mes10[[#This Row],[NETO GRAVADO]]="","",compras_mes10[[#This Row],[NETO GRAVADO]]*0.21)</f>
        <v>8389.8464999999997</v>
      </c>
      <c r="J40" s="85"/>
      <c r="K40" s="85"/>
      <c r="L40" s="85"/>
      <c r="M40" s="85"/>
      <c r="N40" s="85"/>
      <c r="O40" s="85"/>
      <c r="P40" s="393">
        <f>SUM(compras_mes10[[#This Row],[NETO GRAVADO]:[Otros / No Grav.]])</f>
        <v>48341.496500000001</v>
      </c>
      <c r="Q40" s="394" t="str">
        <f>IFERROR(IF(compras_mes10[[#This Row],[CUIT]]="","-",VLOOKUP(compras_mes10[[#This Row],[CUIT]],Lista_CUIT[#All],3,0)),"CUIT NO CARGADO")</f>
        <v>Gastos Varios</v>
      </c>
      <c r="R40" s="394">
        <f>IFERROR(IF(compras_mes10[[#This Row],[CUIT]]="","-",VLOOKUP(compras_mes10[[#This Row],[CUIT]],Lista_CUIT[#All],4,0)),"CUIT NO CARGADO")</f>
        <v>0</v>
      </c>
    </row>
    <row r="41" spans="2:18" x14ac:dyDescent="0.25">
      <c r="B41" s="387" t="s">
        <v>2875</v>
      </c>
      <c r="C41" s="547">
        <v>1</v>
      </c>
      <c r="D41" s="388">
        <v>63</v>
      </c>
      <c r="E41" s="389">
        <v>3519490</v>
      </c>
      <c r="F41" s="390">
        <v>30640897267</v>
      </c>
      <c r="G41" s="391" t="str">
        <f>IFERROR(IF(compras_mes10[[#This Row],[CUIT]]="","-",VLOOKUP(compras_mes10[[#This Row],[CUIT]],Lista_CUIT[#All],2,0)),"CUIT NO CARGADO")</f>
        <v>TELECENTRO S.A.</v>
      </c>
      <c r="H41" s="46">
        <v>17999.830000000002</v>
      </c>
      <c r="I41" s="392">
        <f>IF(compras_mes10[[#This Row],[NETO GRAVADO]]="","",compras_mes10[[#This Row],[NETO GRAVADO]]*0.21)</f>
        <v>3779.9643000000001</v>
      </c>
      <c r="J41" s="85"/>
      <c r="K41" s="85"/>
      <c r="L41" s="85"/>
      <c r="M41" s="85"/>
      <c r="N41" s="85"/>
      <c r="O41" s="85">
        <v>1619.98</v>
      </c>
      <c r="P41" s="393">
        <f>SUM(compras_mes10[[#This Row],[NETO GRAVADO]:[Otros / No Grav.]])</f>
        <v>23399.774300000001</v>
      </c>
      <c r="Q41" s="394" t="str">
        <f>IFERROR(IF(compras_mes10[[#This Row],[CUIT]]="","-",VLOOKUP(compras_mes10[[#This Row],[CUIT]],Lista_CUIT[#All],3,0)),"CUIT NO CARGADO")</f>
        <v>Servicios Gas, Luz, etc.</v>
      </c>
      <c r="R41" s="394">
        <f>IFERROR(IF(compras_mes10[[#This Row],[CUIT]]="","-",VLOOKUP(compras_mes10[[#This Row],[CUIT]],Lista_CUIT[#All],4,0)),"CUIT NO CARGADO")</f>
        <v>0</v>
      </c>
    </row>
    <row r="42" spans="2:18" x14ac:dyDescent="0.25">
      <c r="B42" s="387" t="s">
        <v>2875</v>
      </c>
      <c r="C42" s="547">
        <v>1</v>
      </c>
      <c r="D42" s="388">
        <v>63</v>
      </c>
      <c r="E42" s="389">
        <v>3501010</v>
      </c>
      <c r="F42" s="390">
        <v>30640897267</v>
      </c>
      <c r="G42" s="391" t="str">
        <f>IFERROR(IF(compras_mes10[[#This Row],[CUIT]]="","-",VLOOKUP(compras_mes10[[#This Row],[CUIT]],Lista_CUIT[#All],2,0)),"CUIT NO CARGADO")</f>
        <v>TELECENTRO S.A.</v>
      </c>
      <c r="H42" s="46">
        <v>42969.17</v>
      </c>
      <c r="I42" s="392">
        <f>IF(compras_mes10[[#This Row],[NETO GRAVADO]]="","",compras_mes10[[#This Row],[NETO GRAVADO]]*0.21)</f>
        <v>9023.5257000000001</v>
      </c>
      <c r="J42" s="85"/>
      <c r="K42" s="85"/>
      <c r="L42" s="85"/>
      <c r="M42" s="85"/>
      <c r="N42" s="85"/>
      <c r="O42" s="85">
        <v>3867.23</v>
      </c>
      <c r="P42" s="393">
        <f>SUM(compras_mes10[[#This Row],[NETO GRAVADO]:[Otros / No Grav.]])</f>
        <v>55859.9257</v>
      </c>
      <c r="Q42" s="394" t="str">
        <f>IFERROR(IF(compras_mes10[[#This Row],[CUIT]]="","-",VLOOKUP(compras_mes10[[#This Row],[CUIT]],Lista_CUIT[#All],3,0)),"CUIT NO CARGADO")</f>
        <v>Servicios Gas, Luz, etc.</v>
      </c>
      <c r="R42" s="394">
        <f>IFERROR(IF(compras_mes10[[#This Row],[CUIT]]="","-",VLOOKUP(compras_mes10[[#This Row],[CUIT]],Lista_CUIT[#All],4,0)),"CUIT NO CARGADO")</f>
        <v>0</v>
      </c>
    </row>
    <row r="43" spans="2:18" ht="15" customHeight="1" x14ac:dyDescent="0.25">
      <c r="B43" s="387" t="s">
        <v>2875</v>
      </c>
      <c r="C43" s="547">
        <v>1</v>
      </c>
      <c r="D43" s="388">
        <v>63</v>
      </c>
      <c r="E43" s="389">
        <v>3502240</v>
      </c>
      <c r="F43" s="390">
        <v>30640897267</v>
      </c>
      <c r="G43" s="391" t="str">
        <f>IFERROR(IF(compras_mes10[[#This Row],[CUIT]]="","-",VLOOKUP(compras_mes10[[#This Row],[CUIT]],Lista_CUIT[#All],2,0)),"CUIT NO CARGADO")</f>
        <v>TELECENTRO S.A.</v>
      </c>
      <c r="H43" s="46">
        <v>42455.29</v>
      </c>
      <c r="I43" s="392">
        <f>IF(compras_mes10[[#This Row],[NETO GRAVADO]]="","",compras_mes10[[#This Row],[NETO GRAVADO]]*0.21)</f>
        <v>8915.6108999999997</v>
      </c>
      <c r="J43" s="85"/>
      <c r="K43" s="85"/>
      <c r="L43" s="85"/>
      <c r="M43" s="85"/>
      <c r="N43" s="85"/>
      <c r="O43" s="85">
        <v>3820.98</v>
      </c>
      <c r="P43" s="393">
        <f>SUM(compras_mes10[[#This Row],[NETO GRAVADO]:[Otros / No Grav.]])</f>
        <v>55191.880900000004</v>
      </c>
      <c r="Q43" s="394" t="str">
        <f>IFERROR(IF(compras_mes10[[#This Row],[CUIT]]="","-",VLOOKUP(compras_mes10[[#This Row],[CUIT]],Lista_CUIT[#All],3,0)),"CUIT NO CARGADO")</f>
        <v>Servicios Gas, Luz, etc.</v>
      </c>
      <c r="R43" s="394">
        <f>IFERROR(IF(compras_mes10[[#This Row],[CUIT]]="","-",VLOOKUP(compras_mes10[[#This Row],[CUIT]],Lista_CUIT[#All],4,0)),"CUIT NO CARGADO")</f>
        <v>0</v>
      </c>
    </row>
    <row r="44" spans="2:18" x14ac:dyDescent="0.25">
      <c r="B44" s="387" t="s">
        <v>2875</v>
      </c>
      <c r="C44" s="547">
        <v>1</v>
      </c>
      <c r="D44" s="388">
        <v>43</v>
      </c>
      <c r="E44" s="389">
        <v>3482</v>
      </c>
      <c r="F44" s="390">
        <v>30642617555</v>
      </c>
      <c r="G44" s="391" t="str">
        <f>IFERROR(IF(compras_mes10[[#This Row],[CUIT]]="","-",VLOOKUP(compras_mes10[[#This Row],[CUIT]],Lista_CUIT[#All],2,0)),"CUIT NO CARGADO")</f>
        <v>NEWSAN SOCIEDAD ANONIMA</v>
      </c>
      <c r="H44" s="46">
        <v>190081.81</v>
      </c>
      <c r="I44" s="392">
        <f>IF(compras_mes10[[#This Row],[NETO GRAVADO]]="","",compras_mes10[[#This Row],[NETO GRAVADO]]*0.21)</f>
        <v>39917.180099999998</v>
      </c>
      <c r="J44" s="85"/>
      <c r="K44" s="85"/>
      <c r="L44" s="85"/>
      <c r="M44" s="85"/>
      <c r="N44" s="85"/>
      <c r="O44" s="85"/>
      <c r="P44" s="393">
        <f>SUM(compras_mes10[[#This Row],[NETO GRAVADO]:[Otros / No Grav.]])</f>
        <v>229998.9901</v>
      </c>
      <c r="Q44" s="394" t="str">
        <f>IFERROR(IF(compras_mes10[[#This Row],[CUIT]]="","-",VLOOKUP(compras_mes10[[#This Row],[CUIT]],Lista_CUIT[#All],3,0)),"CUIT NO CARGADO")</f>
        <v>Insumos</v>
      </c>
      <c r="R44" s="394">
        <f>IFERROR(IF(compras_mes10[[#This Row],[CUIT]]="","-",VLOOKUP(compras_mes10[[#This Row],[CUIT]],Lista_CUIT[#All],4,0)),"CUIT NO CARGADO")</f>
        <v>0</v>
      </c>
    </row>
    <row r="45" spans="2:18" ht="16.5" customHeight="1" x14ac:dyDescent="0.25">
      <c r="B45" s="387" t="s">
        <v>2876</v>
      </c>
      <c r="C45" s="547">
        <v>1</v>
      </c>
      <c r="D45" s="388">
        <v>11</v>
      </c>
      <c r="E45" s="389">
        <v>95495</v>
      </c>
      <c r="F45" s="390">
        <v>30534051049</v>
      </c>
      <c r="G45" s="45" t="str">
        <f>IFERROR(IF(compras_mes10[[#This Row],[CUIT]]="","-",VLOOKUP(compras_mes10[[#This Row],[CUIT]],Lista_CUIT[#All],2,0)),"CUIT NO CARGADO")</f>
        <v>PLIN METAL S A</v>
      </c>
      <c r="H45" s="46">
        <v>7741.73</v>
      </c>
      <c r="I45" s="392">
        <f>IF(compras_mes10[[#This Row],[NETO GRAVADO]]="","",compras_mes10[[#This Row],[NETO GRAVADO]]*0.21)</f>
        <v>1625.7632999999998</v>
      </c>
      <c r="J45" s="85"/>
      <c r="K45" s="85"/>
      <c r="L45" s="85"/>
      <c r="M45" s="85"/>
      <c r="N45" s="85"/>
      <c r="O45" s="85">
        <v>464.5</v>
      </c>
      <c r="P45" s="48">
        <f>SUM(compras_mes10[[#This Row],[NETO GRAVADO]:[Otros / No Grav.]])</f>
        <v>9831.9933000000001</v>
      </c>
      <c r="Q45" s="49" t="str">
        <f>IFERROR(IF(compras_mes10[[#This Row],[CUIT]]="","-",VLOOKUP(compras_mes10[[#This Row],[CUIT]],Lista_CUIT[#All],3,0)),"CUIT NO CARGADO")</f>
        <v>Materia Prima</v>
      </c>
      <c r="R45" s="49">
        <f>IFERROR(IF(compras_mes10[[#This Row],[CUIT]]="","-",VLOOKUP(compras_mes10[[#This Row],[CUIT]],Lista_CUIT[#All],4,0)),"CUIT NO CARGADO")</f>
        <v>0</v>
      </c>
    </row>
    <row r="46" spans="2:18" x14ac:dyDescent="0.25">
      <c r="B46" s="387" t="s">
        <v>2876</v>
      </c>
      <c r="C46" s="547">
        <v>1</v>
      </c>
      <c r="D46" s="388">
        <v>5</v>
      </c>
      <c r="E46" s="389">
        <v>3793</v>
      </c>
      <c r="F46" s="390">
        <v>30711651779</v>
      </c>
      <c r="G46" s="391" t="str">
        <f>IFERROR(IF(compras_mes10[[#This Row],[CUIT]]="","-",VLOOKUP(compras_mes10[[#This Row],[CUIT]],Lista_CUIT[#All],2,0)),"CUIT NO CARGADO")</f>
        <v>INFOSOL BUENOS AIRES S.R.L.</v>
      </c>
      <c r="H46" s="46">
        <v>107438.02</v>
      </c>
      <c r="I46" s="392">
        <f>IF(compras_mes10[[#This Row],[NETO GRAVADO]]="","",compras_mes10[[#This Row],[NETO GRAVADO]]*0.21)</f>
        <v>22561.984199999999</v>
      </c>
      <c r="J46" s="85"/>
      <c r="K46" s="85"/>
      <c r="L46" s="85"/>
      <c r="M46" s="85"/>
      <c r="N46" s="85"/>
      <c r="O46" s="85"/>
      <c r="P46" s="393">
        <f>SUM(compras_mes10[[#This Row],[NETO GRAVADO]:[Otros / No Grav.]])</f>
        <v>130000.0042</v>
      </c>
      <c r="Q46" s="394" t="str">
        <f>IFERROR(IF(compras_mes10[[#This Row],[CUIT]]="","-",VLOOKUP(compras_mes10[[#This Row],[CUIT]],Lista_CUIT[#All],3,0)),"CUIT NO CARGADO")</f>
        <v>Servicios Informatica</v>
      </c>
      <c r="R46" s="394">
        <f>IFERROR(IF(compras_mes10[[#This Row],[CUIT]]="","-",VLOOKUP(compras_mes10[[#This Row],[CUIT]],Lista_CUIT[#All],4,0)),"CUIT NO CARGADO")</f>
        <v>0</v>
      </c>
    </row>
    <row r="47" spans="2:18" x14ac:dyDescent="0.25">
      <c r="B47" s="387" t="s">
        <v>2876</v>
      </c>
      <c r="C47" s="547">
        <v>1</v>
      </c>
      <c r="D47" s="388">
        <v>4</v>
      </c>
      <c r="E47" s="389">
        <v>361</v>
      </c>
      <c r="F47" s="390">
        <v>30716070790</v>
      </c>
      <c r="G47" s="391" t="str">
        <f>IFERROR(IF(compras_mes10[[#This Row],[CUIT]]="","-",VLOOKUP(compras_mes10[[#This Row],[CUIT]],Lista_CUIT[#All],2,0)),"CUIT NO CARGADO")</f>
        <v>R&amp;F EXTINCION S. A.</v>
      </c>
      <c r="H47" s="46">
        <v>158000</v>
      </c>
      <c r="I47" s="392">
        <f>IF(compras_mes10[[#This Row],[NETO GRAVADO]]="","",compras_mes10[[#This Row],[NETO GRAVADO]]*0.21)</f>
        <v>33180</v>
      </c>
      <c r="J47" s="85"/>
      <c r="K47" s="85"/>
      <c r="L47" s="85"/>
      <c r="M47" s="85"/>
      <c r="N47" s="85"/>
      <c r="O47" s="85"/>
      <c r="P47" s="393">
        <f>SUM(compras_mes10[[#This Row],[NETO GRAVADO]:[Otros / No Grav.]])</f>
        <v>191180</v>
      </c>
      <c r="Q47" s="394" t="str">
        <f>IFERROR(IF(compras_mes10[[#This Row],[CUIT]]="","-",VLOOKUP(compras_mes10[[#This Row],[CUIT]],Lista_CUIT[#All],3,0)),"CUIT NO CARGADO")</f>
        <v>MANTENIMIENTO</v>
      </c>
      <c r="R47" s="394">
        <f>IFERROR(IF(compras_mes10[[#This Row],[CUIT]]="","-",VLOOKUP(compras_mes10[[#This Row],[CUIT]],Lista_CUIT[#All],4,0)),"CUIT NO CARGADO")</f>
        <v>0</v>
      </c>
    </row>
    <row r="48" spans="2:18" x14ac:dyDescent="0.25">
      <c r="B48" s="387" t="s">
        <v>2876</v>
      </c>
      <c r="C48" s="547">
        <v>1</v>
      </c>
      <c r="D48" s="388">
        <v>31</v>
      </c>
      <c r="E48" s="389">
        <v>77753</v>
      </c>
      <c r="F48" s="390">
        <v>30715209833</v>
      </c>
      <c r="G48" s="391" t="str">
        <f>IFERROR(IF(compras_mes10[[#This Row],[CUIT]]="","-",VLOOKUP(compras_mes10[[#This Row],[CUIT]],Lista_CUIT[#All],2,0)),"CUIT NO CARGADO")</f>
        <v>GIFEL S.R.L</v>
      </c>
      <c r="H48" s="46">
        <v>36363.64</v>
      </c>
      <c r="I48" s="392">
        <f>IF(compras_mes10[[#This Row],[NETO GRAVADO]]="","",compras_mes10[[#This Row],[NETO GRAVADO]]*0.21)</f>
        <v>7636.3643999999995</v>
      </c>
      <c r="J48" s="85"/>
      <c r="K48" s="85"/>
      <c r="L48" s="85"/>
      <c r="M48" s="85"/>
      <c r="N48" s="85"/>
      <c r="O48" s="85">
        <v>2181.8200000000002</v>
      </c>
      <c r="P48" s="393">
        <f>SUM(compras_mes10[[#This Row],[NETO GRAVADO]:[Otros / No Grav.]])</f>
        <v>46181.824399999998</v>
      </c>
      <c r="Q48" s="394" t="str">
        <f>IFERROR(IF(compras_mes10[[#This Row],[CUIT]]="","-",VLOOKUP(compras_mes10[[#This Row],[CUIT]],Lista_CUIT[#All],3,0)),"CUIT NO CARGADO")</f>
        <v>Gastos Varios</v>
      </c>
      <c r="R48" s="394">
        <f>IFERROR(IF(compras_mes10[[#This Row],[CUIT]]="","-",VLOOKUP(compras_mes10[[#This Row],[CUIT]],Lista_CUIT[#All],4,0)),"CUIT NO CARGADO")</f>
        <v>0</v>
      </c>
    </row>
    <row r="49" spans="2:18" x14ac:dyDescent="0.25">
      <c r="B49" s="387" t="s">
        <v>2876</v>
      </c>
      <c r="C49" s="547">
        <v>1</v>
      </c>
      <c r="D49" s="388">
        <v>5</v>
      </c>
      <c r="E49" s="389">
        <v>3792</v>
      </c>
      <c r="F49" s="390">
        <v>30711651779</v>
      </c>
      <c r="G49" s="391" t="str">
        <f>IFERROR(IF(compras_mes10[[#This Row],[CUIT]]="","-",VLOOKUP(compras_mes10[[#This Row],[CUIT]],Lista_CUIT[#All],2,0)),"CUIT NO CARGADO")</f>
        <v>INFOSOL BUENOS AIRES S.R.L.</v>
      </c>
      <c r="H49" s="46">
        <v>214876.03</v>
      </c>
      <c r="I49" s="392">
        <f>IF(compras_mes10[[#This Row],[NETO GRAVADO]]="","",compras_mes10[[#This Row],[NETO GRAVADO]]*0.21)</f>
        <v>45123.9663</v>
      </c>
      <c r="J49" s="85"/>
      <c r="K49" s="85"/>
      <c r="L49" s="85"/>
      <c r="M49" s="85"/>
      <c r="N49" s="85"/>
      <c r="O49" s="85"/>
      <c r="P49" s="393">
        <f>SUM(compras_mes10[[#This Row],[NETO GRAVADO]:[Otros / No Grav.]])</f>
        <v>259999.9963</v>
      </c>
      <c r="Q49" s="394" t="str">
        <f>IFERROR(IF(compras_mes10[[#This Row],[CUIT]]="","-",VLOOKUP(compras_mes10[[#This Row],[CUIT]],Lista_CUIT[#All],3,0)),"CUIT NO CARGADO")</f>
        <v>Servicios Informatica</v>
      </c>
      <c r="R49" s="394">
        <f>IFERROR(IF(compras_mes10[[#This Row],[CUIT]]="","-",VLOOKUP(compras_mes10[[#This Row],[CUIT]],Lista_CUIT[#All],4,0)),"CUIT NO CARGADO")</f>
        <v>0</v>
      </c>
    </row>
    <row r="50" spans="2:18" x14ac:dyDescent="0.25">
      <c r="B50" s="387" t="s">
        <v>2876</v>
      </c>
      <c r="C50" s="547">
        <v>1</v>
      </c>
      <c r="D50" s="388">
        <v>8</v>
      </c>
      <c r="E50" s="389">
        <v>978</v>
      </c>
      <c r="F50" s="390">
        <v>20292094176</v>
      </c>
      <c r="G50" s="391" t="str">
        <f>IFERROR(IF(compras_mes10[[#This Row],[CUIT]]="","-",VLOOKUP(compras_mes10[[#This Row],[CUIT]],Lista_CUIT[#All],2,0)),"CUIT NO CARGADO")</f>
        <v>MARTINEZ ANDRES</v>
      </c>
      <c r="H50" s="46">
        <v>156198.35</v>
      </c>
      <c r="I50" s="392">
        <f>IF(compras_mes10[[#This Row],[NETO GRAVADO]]="","",compras_mes10[[#This Row],[NETO GRAVADO]]*0.21)</f>
        <v>32801.6535</v>
      </c>
      <c r="J50" s="85"/>
      <c r="K50" s="85"/>
      <c r="L50" s="85"/>
      <c r="M50" s="85"/>
      <c r="N50" s="85"/>
      <c r="O50" s="85"/>
      <c r="P50" s="393">
        <f>SUM(compras_mes10[[#This Row],[NETO GRAVADO]:[Otros / No Grav.]])</f>
        <v>189000.00349999999</v>
      </c>
      <c r="Q50" s="394" t="str">
        <f>IFERROR(IF(compras_mes10[[#This Row],[CUIT]]="","-",VLOOKUP(compras_mes10[[#This Row],[CUIT]],Lista_CUIT[#All],3,0)),"CUIT NO CARGADO")</f>
        <v>Gtos. Administrativos</v>
      </c>
      <c r="R50" s="394">
        <f>IFERROR(IF(compras_mes10[[#This Row],[CUIT]]="","-",VLOOKUP(compras_mes10[[#This Row],[CUIT]],Lista_CUIT[#All],4,0)),"CUIT NO CARGADO")</f>
        <v>0</v>
      </c>
    </row>
    <row r="51" spans="2:18" x14ac:dyDescent="0.25">
      <c r="B51" s="387" t="s">
        <v>2876</v>
      </c>
      <c r="C51" s="547">
        <v>1</v>
      </c>
      <c r="D51" s="388">
        <v>3950</v>
      </c>
      <c r="E51" s="389">
        <v>5110516</v>
      </c>
      <c r="F51" s="390">
        <v>30639453738</v>
      </c>
      <c r="G51" s="391" t="str">
        <f>IFERROR(IF(compras_mes10[[#This Row],[CUIT]]="","-",VLOOKUP(compras_mes10[[#This Row],[CUIT]],Lista_CUIT[#All],2,0)),"CUIT NO CARGADO")</f>
        <v>TELECOM ARG SA</v>
      </c>
      <c r="H51" s="46">
        <v>298696.52</v>
      </c>
      <c r="I51" s="392">
        <v>62386.22</v>
      </c>
      <c r="J51" s="85">
        <v>437.21</v>
      </c>
      <c r="K51" s="85"/>
      <c r="L51" s="85"/>
      <c r="M51" s="85"/>
      <c r="N51" s="85"/>
      <c r="O51" s="85">
        <v>25647.14</v>
      </c>
      <c r="P51" s="393">
        <f>SUM(compras_mes10[[#This Row],[NETO GRAVADO]:[Otros / No Grav.]])</f>
        <v>387167.09</v>
      </c>
      <c r="Q51" s="394" t="str">
        <f>IFERROR(IF(compras_mes10[[#This Row],[CUIT]]="","-",VLOOKUP(compras_mes10[[#This Row],[CUIT]],Lista_CUIT[#All],3,0)),"CUIT NO CARGADO")</f>
        <v>Servicios Gas, Luz, etc.</v>
      </c>
      <c r="R51" s="394">
        <f>IFERROR(IF(compras_mes10[[#This Row],[CUIT]]="","-",VLOOKUP(compras_mes10[[#This Row],[CUIT]],Lista_CUIT[#All],4,0)),"CUIT NO CARGADO")</f>
        <v>0</v>
      </c>
    </row>
    <row r="52" spans="2:18" x14ac:dyDescent="0.25">
      <c r="B52" s="387" t="s">
        <v>2876</v>
      </c>
      <c r="C52" s="547">
        <v>1</v>
      </c>
      <c r="D52" s="388">
        <v>4</v>
      </c>
      <c r="E52" s="389">
        <v>3626</v>
      </c>
      <c r="F52" s="390">
        <v>20313158676</v>
      </c>
      <c r="G52" s="391" t="str">
        <f>IFERROR(IF(compras_mes10[[#This Row],[CUIT]]="","-",VLOOKUP(compras_mes10[[#This Row],[CUIT]],Lista_CUIT[#All],2,0)),"CUIT NO CARGADO")</f>
        <v>SESMA PABLO NICOLAS</v>
      </c>
      <c r="H52" s="46">
        <v>87911.4</v>
      </c>
      <c r="I52" s="392">
        <f>IF(compras_mes10[[#This Row],[NETO GRAVADO]]="","",compras_mes10[[#This Row],[NETO GRAVADO]]*0.21)</f>
        <v>18461.393999999997</v>
      </c>
      <c r="J52" s="85"/>
      <c r="K52" s="85"/>
      <c r="L52" s="85"/>
      <c r="M52" s="85"/>
      <c r="N52" s="85"/>
      <c r="O52" s="85"/>
      <c r="P52" s="393">
        <f>SUM(compras_mes10[[#This Row],[NETO GRAVADO]:[Otros / No Grav.]])</f>
        <v>106372.79399999999</v>
      </c>
      <c r="Q52" s="394" t="str">
        <f>IFERROR(IF(compras_mes10[[#This Row],[CUIT]]="","-",VLOOKUP(compras_mes10[[#This Row],[CUIT]],Lista_CUIT[#All],3,0)),"CUIT NO CARGADO")</f>
        <v>Ferreteria</v>
      </c>
      <c r="R52" s="394">
        <f>IFERROR(IF(compras_mes10[[#This Row],[CUIT]]="","-",VLOOKUP(compras_mes10[[#This Row],[CUIT]],Lista_CUIT[#All],4,0)),"CUIT NO CARGADO")</f>
        <v>0</v>
      </c>
    </row>
    <row r="53" spans="2:18" x14ac:dyDescent="0.25">
      <c r="B53" s="387" t="s">
        <v>2876</v>
      </c>
      <c r="C53" s="547">
        <v>1</v>
      </c>
      <c r="D53" s="388">
        <v>2</v>
      </c>
      <c r="E53" s="389">
        <v>943</v>
      </c>
      <c r="F53" s="390">
        <v>20103069832</v>
      </c>
      <c r="G53" s="391" t="str">
        <f>IFERROR(IF(compras_mes10[[#This Row],[CUIT]]="","-",VLOOKUP(compras_mes10[[#This Row],[CUIT]],Lista_CUIT[#All],2,0)),"CUIT NO CARGADO")</f>
        <v>DE LUCA HECTOR RAFAEL FRANCI</v>
      </c>
      <c r="H53" s="46">
        <v>1693420</v>
      </c>
      <c r="I53" s="392">
        <f>IF(compras_mes10[[#This Row],[NETO GRAVADO]]="","",compras_mes10[[#This Row],[NETO GRAVADO]]*0.21)</f>
        <v>355618.2</v>
      </c>
      <c r="J53" s="85"/>
      <c r="K53" s="85"/>
      <c r="L53" s="85"/>
      <c r="M53" s="85"/>
      <c r="N53" s="85"/>
      <c r="O53" s="85"/>
      <c r="P53" s="393">
        <f>SUM(compras_mes10[[#This Row],[NETO GRAVADO]:[Otros / No Grav.]])</f>
        <v>2049038.2</v>
      </c>
      <c r="Q53" s="394" t="str">
        <f>IFERROR(IF(compras_mes10[[#This Row],[CUIT]]="","-",VLOOKUP(compras_mes10[[#This Row],[CUIT]],Lista_CUIT[#All],3,0)),"CUIT NO CARGADO")</f>
        <v>Material de Empaque</v>
      </c>
      <c r="R53" s="394">
        <f>IFERROR(IF(compras_mes10[[#This Row],[CUIT]]="","-",VLOOKUP(compras_mes10[[#This Row],[CUIT]],Lista_CUIT[#All],4,0)),"CUIT NO CARGADO")</f>
        <v>0</v>
      </c>
    </row>
    <row r="54" spans="2:18" x14ac:dyDescent="0.25">
      <c r="B54" s="387" t="s">
        <v>2876</v>
      </c>
      <c r="C54" s="547">
        <v>1</v>
      </c>
      <c r="D54" s="388">
        <v>2</v>
      </c>
      <c r="E54" s="389">
        <v>4170</v>
      </c>
      <c r="F54" s="390">
        <v>30629863571</v>
      </c>
      <c r="G54" s="391" t="str">
        <f>IFERROR(IF(compras_mes10[[#This Row],[CUIT]]="","-",VLOOKUP(compras_mes10[[#This Row],[CUIT]],Lista_CUIT[#All],2,0)),"CUIT NO CARGADO")</f>
        <v>TECNIMAR S R L</v>
      </c>
      <c r="H54" s="46">
        <v>3596778</v>
      </c>
      <c r="I54" s="392">
        <f>IF(compras_mes10[[#This Row],[NETO GRAVADO]]="","",compras_mes10[[#This Row],[NETO GRAVADO]]*0.21)</f>
        <v>755323.38</v>
      </c>
      <c r="J54" s="85"/>
      <c r="K54" s="85"/>
      <c r="L54" s="85"/>
      <c r="M54" s="85"/>
      <c r="N54" s="85"/>
      <c r="O54" s="85"/>
      <c r="P54" s="393">
        <f>SUM(compras_mes10[[#This Row],[NETO GRAVADO]:[Otros / No Grav.]])</f>
        <v>4352101.38</v>
      </c>
      <c r="Q54" s="394" t="str">
        <f>IFERROR(IF(compras_mes10[[#This Row],[CUIT]]="","-",VLOOKUP(compras_mes10[[#This Row],[CUIT]],Lista_CUIT[#All],3,0)),"CUIT NO CARGADO")</f>
        <v>Productos Venta</v>
      </c>
      <c r="R54" s="394">
        <f>IFERROR(IF(compras_mes10[[#This Row],[CUIT]]="","-",VLOOKUP(compras_mes10[[#This Row],[CUIT]],Lista_CUIT[#All],4,0)),"CUIT NO CARGADO")</f>
        <v>0</v>
      </c>
    </row>
    <row r="55" spans="2:18" ht="15" customHeight="1" x14ac:dyDescent="0.25">
      <c r="B55" s="387" t="s">
        <v>2877</v>
      </c>
      <c r="C55" s="547">
        <v>1</v>
      </c>
      <c r="D55" s="388">
        <v>1</v>
      </c>
      <c r="E55" s="389">
        <v>3212</v>
      </c>
      <c r="F55" s="390">
        <v>30718465636</v>
      </c>
      <c r="G55" s="391" t="str">
        <f>IFERROR(IF(compras_mes10[[#This Row],[CUIT]]="","-",VLOOKUP(compras_mes10[[#This Row],[CUIT]],Lista_CUIT[#All],2,0)),"CUIT NO CARGADO")</f>
        <v>MAQUINARIAS BOEDO SRL</v>
      </c>
      <c r="H55" s="46">
        <v>36180.17</v>
      </c>
      <c r="I55" s="392">
        <f>IF(compras_mes10[[#This Row],[NETO GRAVADO]]="","",compras_mes10[[#This Row],[NETO GRAVADO]]*0.21)</f>
        <v>7597.8356999999996</v>
      </c>
      <c r="J55" s="85"/>
      <c r="K55" s="85"/>
      <c r="L55" s="85"/>
      <c r="M55" s="85"/>
      <c r="N55" s="85"/>
      <c r="O55" s="85"/>
      <c r="P55" s="393">
        <f>SUM(compras_mes10[[#This Row],[NETO GRAVADO]:[Otros / No Grav.]])</f>
        <v>43778.005699999994</v>
      </c>
      <c r="Q55" s="394" t="str">
        <f>IFERROR(IF(compras_mes10[[#This Row],[CUIT]]="","-",VLOOKUP(compras_mes10[[#This Row],[CUIT]],Lista_CUIT[#All],3,0)),"CUIT NO CARGADO")</f>
        <v>Muebles y Utiles</v>
      </c>
      <c r="R55" s="394">
        <f>IFERROR(IF(compras_mes10[[#This Row],[CUIT]]="","-",VLOOKUP(compras_mes10[[#This Row],[CUIT]],Lista_CUIT[#All],4,0)),"CUIT NO CARGADO")</f>
        <v>0</v>
      </c>
    </row>
    <row r="56" spans="2:18" x14ac:dyDescent="0.25">
      <c r="B56" s="387" t="s">
        <v>2877</v>
      </c>
      <c r="C56" s="547">
        <v>1</v>
      </c>
      <c r="D56" s="388">
        <v>4</v>
      </c>
      <c r="E56" s="389">
        <v>994</v>
      </c>
      <c r="F56" s="390">
        <v>27317740196</v>
      </c>
      <c r="G56" s="391" t="str">
        <f>IFERROR(IF(compras_mes10[[#This Row],[CUIT]]="","-",VLOOKUP(compras_mes10[[#This Row],[CUIT]],Lista_CUIT[#All],2,0)),"CUIT NO CARGADO")</f>
        <v>HOKAMA ROMINA PAOLA</v>
      </c>
      <c r="H56" s="46">
        <v>62204.94</v>
      </c>
      <c r="I56" s="392">
        <f>IF(compras_mes10[[#This Row],[NETO GRAVADO]]="","",compras_mes10[[#This Row],[NETO GRAVADO]]*0.21)</f>
        <v>13063.037399999999</v>
      </c>
      <c r="J56" s="85"/>
      <c r="K56" s="85"/>
      <c r="L56" s="85"/>
      <c r="M56" s="85"/>
      <c r="N56" s="85"/>
      <c r="O56" s="85"/>
      <c r="P56" s="393">
        <f>SUM(compras_mes10[[#This Row],[NETO GRAVADO]:[Otros / No Grav.]])</f>
        <v>75267.977400000003</v>
      </c>
      <c r="Q56" s="394" t="str">
        <f>IFERROR(IF(compras_mes10[[#This Row],[CUIT]]="","-",VLOOKUP(compras_mes10[[#This Row],[CUIT]],Lista_CUIT[#All],3,0)),"CUIT NO CARGADO")</f>
        <v>Gastos Varios</v>
      </c>
      <c r="R56" s="394">
        <f>IFERROR(IF(compras_mes10[[#This Row],[CUIT]]="","-",VLOOKUP(compras_mes10[[#This Row],[CUIT]],Lista_CUIT[#All],4,0)),"CUIT NO CARGADO")</f>
        <v>0</v>
      </c>
    </row>
    <row r="57" spans="2:18" ht="15.75" customHeight="1" x14ac:dyDescent="0.25">
      <c r="B57" s="387" t="s">
        <v>2877</v>
      </c>
      <c r="C57" s="547">
        <v>1</v>
      </c>
      <c r="D57" s="388">
        <v>3604</v>
      </c>
      <c r="E57" s="389">
        <v>669</v>
      </c>
      <c r="F57" s="390">
        <v>30639453738</v>
      </c>
      <c r="G57" s="391" t="str">
        <f>IFERROR(IF(compras_mes10[[#This Row],[CUIT]]="","-",VLOOKUP(compras_mes10[[#This Row],[CUIT]],Lista_CUIT[#All],2,0)),"CUIT NO CARGADO")</f>
        <v>TELECOM ARG SA</v>
      </c>
      <c r="H57" s="46">
        <v>0</v>
      </c>
      <c r="I57" s="392">
        <f>IF(compras_mes10[[#This Row],[NETO GRAVADO]]="","",compras_mes10[[#This Row],[NETO GRAVADO]]*0.21)</f>
        <v>0</v>
      </c>
      <c r="J57" s="85"/>
      <c r="K57" s="85"/>
      <c r="L57" s="85"/>
      <c r="M57" s="85"/>
      <c r="N57" s="85"/>
      <c r="O57" s="85"/>
      <c r="P57" s="393">
        <f>SUM(compras_mes10[[#This Row],[NETO GRAVADO]:[Otros / No Grav.]])</f>
        <v>0</v>
      </c>
      <c r="Q57" s="394" t="str">
        <f>IFERROR(IF(compras_mes10[[#This Row],[CUIT]]="","-",VLOOKUP(compras_mes10[[#This Row],[CUIT]],Lista_CUIT[#All],3,0)),"CUIT NO CARGADO")</f>
        <v>Servicios Gas, Luz, etc.</v>
      </c>
      <c r="R57" s="394">
        <f>IFERROR(IF(compras_mes10[[#This Row],[CUIT]]="","-",VLOOKUP(compras_mes10[[#This Row],[CUIT]],Lista_CUIT[#All],4,0)),"CUIT NO CARGADO")</f>
        <v>0</v>
      </c>
    </row>
    <row r="58" spans="2:18" ht="15.75" customHeight="1" x14ac:dyDescent="0.25">
      <c r="B58" s="387" t="s">
        <v>2877</v>
      </c>
      <c r="C58" s="547">
        <v>1</v>
      </c>
      <c r="D58" s="388">
        <v>5</v>
      </c>
      <c r="E58" s="389">
        <v>59</v>
      </c>
      <c r="F58" s="390">
        <v>20307789427</v>
      </c>
      <c r="G58" s="391" t="str">
        <f>IFERROR(IF(compras_mes10[[#This Row],[CUIT]]="","-",VLOOKUP(compras_mes10[[#This Row],[CUIT]],Lista_CUIT[#All],2,0)),"CUIT NO CARGADO")</f>
        <v>PIETRAFESA EZEQUIEL DAMIAN</v>
      </c>
      <c r="H58" s="46">
        <v>1107.44</v>
      </c>
      <c r="I58" s="392">
        <f>IF(compras_mes10[[#This Row],[NETO GRAVADO]]="","",compras_mes10[[#This Row],[NETO GRAVADO]]*0.21)</f>
        <v>232.5624</v>
      </c>
      <c r="J58" s="85"/>
      <c r="K58" s="85"/>
      <c r="L58" s="85"/>
      <c r="M58" s="85"/>
      <c r="N58" s="85"/>
      <c r="O58" s="85"/>
      <c r="P58" s="393">
        <f>SUM(compras_mes10[[#This Row],[NETO GRAVADO]:[Otros / No Grav.]])</f>
        <v>1340.0024000000001</v>
      </c>
      <c r="Q58" s="394" t="str">
        <f>IFERROR(IF(compras_mes10[[#This Row],[CUIT]]="","-",VLOOKUP(compras_mes10[[#This Row],[CUIT]],Lista_CUIT[#All],3,0)),"CUIT NO CARGADO")</f>
        <v>Papeleria</v>
      </c>
      <c r="R58" s="394">
        <f>IFERROR(IF(compras_mes10[[#This Row],[CUIT]]="","-",VLOOKUP(compras_mes10[[#This Row],[CUIT]],Lista_CUIT[#All],4,0)),"CUIT NO CARGADO")</f>
        <v>0</v>
      </c>
    </row>
    <row r="59" spans="2:18" x14ac:dyDescent="0.25">
      <c r="B59" s="387" t="s">
        <v>2877</v>
      </c>
      <c r="C59" s="547">
        <v>1</v>
      </c>
      <c r="D59" s="388">
        <v>2188</v>
      </c>
      <c r="E59" s="389">
        <v>159424</v>
      </c>
      <c r="F59" s="390">
        <v>30548083156</v>
      </c>
      <c r="G59" s="391" t="str">
        <f>IFERROR(IF(compras_mes10[[#This Row],[CUIT]]="","-",VLOOKUP(compras_mes10[[#This Row],[CUIT]],Lista_CUIT[#All],2,0)),"CUIT NO CARGADO")</f>
        <v>COTO CENTRO INTEGRAL DE COMERCIALIZACION SOCIEDAD ANONIMA</v>
      </c>
      <c r="H59" s="46">
        <v>63140.11</v>
      </c>
      <c r="I59" s="392">
        <v>10295.09</v>
      </c>
      <c r="J59" s="85"/>
      <c r="K59" s="85">
        <v>1482.17</v>
      </c>
      <c r="L59" s="85"/>
      <c r="M59" s="85"/>
      <c r="N59" s="85"/>
      <c r="O59" s="85">
        <v>5359.14</v>
      </c>
      <c r="P59" s="393">
        <f>SUM(compras_mes10[[#This Row],[NETO GRAVADO]:[Otros / No Grav.]])</f>
        <v>80276.509999999995</v>
      </c>
      <c r="Q59" s="394" t="str">
        <f>IFERROR(IF(compras_mes10[[#This Row],[CUIT]]="","-",VLOOKUP(compras_mes10[[#This Row],[CUIT]],Lista_CUIT[#All],3,0)),"CUIT NO CARGADO")</f>
        <v>Gastos Varios</v>
      </c>
      <c r="R59" s="394">
        <f>IFERROR(IF(compras_mes10[[#This Row],[CUIT]]="","-",VLOOKUP(compras_mes10[[#This Row],[CUIT]],Lista_CUIT[#All],4,0)),"CUIT NO CARGADO")</f>
        <v>0</v>
      </c>
    </row>
    <row r="60" spans="2:18" x14ac:dyDescent="0.25">
      <c r="B60" s="387" t="s">
        <v>2877</v>
      </c>
      <c r="C60" s="547">
        <v>1</v>
      </c>
      <c r="D60" s="388">
        <v>20</v>
      </c>
      <c r="E60" s="389">
        <v>156</v>
      </c>
      <c r="F60" s="390">
        <v>20232494787</v>
      </c>
      <c r="G60" s="391" t="str">
        <f>IFERROR(IF(compras_mes10[[#This Row],[CUIT]]="","-",VLOOKUP(compras_mes10[[#This Row],[CUIT]],Lista_CUIT[#All],2,0)),"CUIT NO CARGADO")</f>
        <v>ALAIMO LEONARDO DANIEL</v>
      </c>
      <c r="H60" s="46">
        <v>28322.31</v>
      </c>
      <c r="I60" s="392">
        <f>IF(compras_mes10[[#This Row],[NETO GRAVADO]]="","",compras_mes10[[#This Row],[NETO GRAVADO]]*0.21)</f>
        <v>5947.6850999999997</v>
      </c>
      <c r="J60" s="85"/>
      <c r="K60" s="85"/>
      <c r="L60" s="85"/>
      <c r="M60" s="85"/>
      <c r="N60" s="85"/>
      <c r="O60" s="85"/>
      <c r="P60" s="393">
        <f>SUM(compras_mes10[[#This Row],[NETO GRAVADO]:[Otros / No Grav.]])</f>
        <v>34269.9951</v>
      </c>
      <c r="Q60" s="394" t="str">
        <f>IFERROR(IF(compras_mes10[[#This Row],[CUIT]]="","-",VLOOKUP(compras_mes10[[#This Row],[CUIT]],Lista_CUIT[#All],3,0)),"CUIT NO CARGADO")</f>
        <v>Ferreteria</v>
      </c>
      <c r="R60" s="394">
        <f>IFERROR(IF(compras_mes10[[#This Row],[CUIT]]="","-",VLOOKUP(compras_mes10[[#This Row],[CUIT]],Lista_CUIT[#All],4,0)),"CUIT NO CARGADO")</f>
        <v>0</v>
      </c>
    </row>
    <row r="61" spans="2:18" x14ac:dyDescent="0.25">
      <c r="B61" s="387" t="s">
        <v>2877</v>
      </c>
      <c r="C61" s="547">
        <v>1</v>
      </c>
      <c r="D61" s="388">
        <v>5015</v>
      </c>
      <c r="E61" s="389">
        <v>1018264</v>
      </c>
      <c r="F61" s="390">
        <v>30574876474</v>
      </c>
      <c r="G61" s="391" t="str">
        <f>IFERROR(IF(compras_mes10[[#This Row],[CUIT]]="","-",VLOOKUP(compras_mes10[[#This Row],[CUIT]],Lista_CUIT[#All],2,0)),"CUIT NO CARGADO")</f>
        <v>AUTOPISTAS URBANAS S A</v>
      </c>
      <c r="H61" s="46">
        <v>185350.67</v>
      </c>
      <c r="I61" s="392">
        <f>IF(compras_mes10[[#This Row],[NETO GRAVADO]]="","",compras_mes10[[#This Row],[NETO GRAVADO]]*0.21)</f>
        <v>38923.640700000004</v>
      </c>
      <c r="J61" s="85"/>
      <c r="K61" s="85"/>
      <c r="L61" s="85"/>
      <c r="M61" s="85"/>
      <c r="N61" s="85"/>
      <c r="O61" s="85">
        <v>24095.53</v>
      </c>
      <c r="P61" s="393">
        <f>SUM(compras_mes10[[#This Row],[NETO GRAVADO]:[Otros / No Grav.]])</f>
        <v>248369.84070000003</v>
      </c>
      <c r="Q61" s="394" t="str">
        <f>IFERROR(IF(compras_mes10[[#This Row],[CUIT]]="","-",VLOOKUP(compras_mes10[[#This Row],[CUIT]],Lista_CUIT[#All],3,0)),"CUIT NO CARGADO")</f>
        <v>Peajes</v>
      </c>
      <c r="R61" s="394">
        <f>IFERROR(IF(compras_mes10[[#This Row],[CUIT]]="","-",VLOOKUP(compras_mes10[[#This Row],[CUIT]],Lista_CUIT[#All],4,0)),"CUIT NO CARGADO")</f>
        <v>0</v>
      </c>
    </row>
    <row r="62" spans="2:18" x14ac:dyDescent="0.25">
      <c r="B62" s="387" t="s">
        <v>2877</v>
      </c>
      <c r="C62" s="547">
        <v>1</v>
      </c>
      <c r="D62" s="388">
        <v>1</v>
      </c>
      <c r="E62" s="389">
        <v>349</v>
      </c>
      <c r="F62" s="390">
        <v>20077604627</v>
      </c>
      <c r="G62" s="391" t="str">
        <f>IFERROR(IF(compras_mes10[[#This Row],[CUIT]]="","-",VLOOKUP(compras_mes10[[#This Row],[CUIT]],Lista_CUIT[#All],2,0)),"CUIT NO CARGADO")</f>
        <v>OCAÑO ENRIQUE</v>
      </c>
      <c r="H62" s="46">
        <v>751840</v>
      </c>
      <c r="I62" s="392">
        <f>IF(compras_mes10[[#This Row],[NETO GRAVADO]]="","",compras_mes10[[#This Row],[NETO GRAVADO]]*0.21)</f>
        <v>157886.39999999999</v>
      </c>
      <c r="J62" s="85"/>
      <c r="K62" s="85"/>
      <c r="L62" s="85"/>
      <c r="M62" s="85"/>
      <c r="N62" s="85"/>
      <c r="O62" s="85"/>
      <c r="P62" s="393">
        <f>SUM(compras_mes10[[#This Row],[NETO GRAVADO]:[Otros / No Grav.]])</f>
        <v>909726.4</v>
      </c>
      <c r="Q62" s="394" t="str">
        <f>IFERROR(IF(compras_mes10[[#This Row],[CUIT]]="","-",VLOOKUP(compras_mes10[[#This Row],[CUIT]],Lista_CUIT[#All],3,0)),"CUIT NO CARGADO")</f>
        <v>Material de Empaque</v>
      </c>
      <c r="R62" s="394">
        <f>IFERROR(IF(compras_mes10[[#This Row],[CUIT]]="","-",VLOOKUP(compras_mes10[[#This Row],[CUIT]],Lista_CUIT[#All],4,0)),"CUIT NO CARGADO")</f>
        <v>0</v>
      </c>
    </row>
    <row r="63" spans="2:18" x14ac:dyDescent="0.25">
      <c r="B63" s="387" t="s">
        <v>2877</v>
      </c>
      <c r="C63" s="547">
        <v>1</v>
      </c>
      <c r="D63" s="388">
        <v>1</v>
      </c>
      <c r="E63" s="389">
        <v>348</v>
      </c>
      <c r="F63" s="390">
        <v>20077604627</v>
      </c>
      <c r="G63" s="391" t="str">
        <f>IFERROR(IF(compras_mes10[[#This Row],[CUIT]]="","-",VLOOKUP(compras_mes10[[#This Row],[CUIT]],Lista_CUIT[#All],2,0)),"CUIT NO CARGADO")</f>
        <v>OCAÑO ENRIQUE</v>
      </c>
      <c r="H63" s="46">
        <v>651680</v>
      </c>
      <c r="I63" s="392">
        <f>IF(compras_mes10[[#This Row],[NETO GRAVADO]]="","",compras_mes10[[#This Row],[NETO GRAVADO]]*0.21)</f>
        <v>136852.79999999999</v>
      </c>
      <c r="J63" s="85"/>
      <c r="K63" s="85"/>
      <c r="L63" s="85"/>
      <c r="M63" s="85"/>
      <c r="N63" s="85"/>
      <c r="O63" s="85"/>
      <c r="P63" s="393">
        <f>SUM(compras_mes10[[#This Row],[NETO GRAVADO]:[Otros / No Grav.]])</f>
        <v>788532.8</v>
      </c>
      <c r="Q63" s="394" t="str">
        <f>IFERROR(IF(compras_mes10[[#This Row],[CUIT]]="","-",VLOOKUP(compras_mes10[[#This Row],[CUIT]],Lista_CUIT[#All],3,0)),"CUIT NO CARGADO")</f>
        <v>Material de Empaque</v>
      </c>
      <c r="R63" s="394">
        <f>IFERROR(IF(compras_mes10[[#This Row],[CUIT]]="","-",VLOOKUP(compras_mes10[[#This Row],[CUIT]],Lista_CUIT[#All],4,0)),"CUIT NO CARGADO")</f>
        <v>0</v>
      </c>
    </row>
    <row r="64" spans="2:18" x14ac:dyDescent="0.25">
      <c r="B64" s="387" t="s">
        <v>2877</v>
      </c>
      <c r="C64" s="547">
        <v>1</v>
      </c>
      <c r="D64" s="388">
        <v>2</v>
      </c>
      <c r="E64" s="389">
        <v>329</v>
      </c>
      <c r="F64" s="390">
        <v>27309896063</v>
      </c>
      <c r="G64" s="391" t="str">
        <f>IFERROR(IF(compras_mes10[[#This Row],[CUIT]]="","-",VLOOKUP(compras_mes10[[#This Row],[CUIT]],Lista_CUIT[#All],2,0)),"CUIT NO CARGADO")</f>
        <v>BATTELLINI MARIA SOLEDAD</v>
      </c>
      <c r="H64" s="46">
        <v>620000</v>
      </c>
      <c r="I64" s="392">
        <f>IF(compras_mes10[[#This Row],[NETO GRAVADO]]="","",compras_mes10[[#This Row],[NETO GRAVADO]]*0.21)</f>
        <v>130200</v>
      </c>
      <c r="J64" s="85"/>
      <c r="K64" s="85"/>
      <c r="L64" s="85"/>
      <c r="M64" s="85"/>
      <c r="N64" s="85"/>
      <c r="O64" s="85"/>
      <c r="P64" s="393">
        <f>SUM(compras_mes10[[#This Row],[NETO GRAVADO]:[Otros / No Grav.]])</f>
        <v>750200</v>
      </c>
      <c r="Q64" s="394" t="str">
        <f>IFERROR(IF(compras_mes10[[#This Row],[CUIT]]="","-",VLOOKUP(compras_mes10[[#This Row],[CUIT]],Lista_CUIT[#All],3,0)),"CUIT NO CARGADO")</f>
        <v>Alquiler</v>
      </c>
      <c r="R64" s="394">
        <f>IFERROR(IF(compras_mes10[[#This Row],[CUIT]]="","-",VLOOKUP(compras_mes10[[#This Row],[CUIT]],Lista_CUIT[#All],4,0)),"CUIT NO CARGADO")</f>
        <v>0</v>
      </c>
    </row>
    <row r="65" spans="2:18" x14ac:dyDescent="0.25">
      <c r="B65" s="387" t="s">
        <v>2877</v>
      </c>
      <c r="C65" s="547">
        <v>1</v>
      </c>
      <c r="D65" s="388">
        <v>2</v>
      </c>
      <c r="E65" s="389">
        <v>4171</v>
      </c>
      <c r="F65" s="390">
        <v>30629863571</v>
      </c>
      <c r="G65" s="391" t="str">
        <f>IFERROR(IF(compras_mes10[[#This Row],[CUIT]]="","-",VLOOKUP(compras_mes10[[#This Row],[CUIT]],Lista_CUIT[#All],2,0)),"CUIT NO CARGADO")</f>
        <v>TECNIMAR S R L</v>
      </c>
      <c r="H65" s="46">
        <v>988000</v>
      </c>
      <c r="I65" s="392">
        <f>IF(compras_mes10[[#This Row],[NETO GRAVADO]]="","",compras_mes10[[#This Row],[NETO GRAVADO]]*0.21)</f>
        <v>207480</v>
      </c>
      <c r="J65" s="85"/>
      <c r="K65" s="85"/>
      <c r="L65" s="85"/>
      <c r="M65" s="85"/>
      <c r="N65" s="85"/>
      <c r="O65" s="85"/>
      <c r="P65" s="393">
        <f>SUM(compras_mes10[[#This Row],[NETO GRAVADO]:[Otros / No Grav.]])</f>
        <v>1195480</v>
      </c>
      <c r="Q65" s="394" t="str">
        <f>IFERROR(IF(compras_mes10[[#This Row],[CUIT]]="","-",VLOOKUP(compras_mes10[[#This Row],[CUIT]],Lista_CUIT[#All],3,0)),"CUIT NO CARGADO")</f>
        <v>Productos Venta</v>
      </c>
      <c r="R65" s="394">
        <f>IFERROR(IF(compras_mes10[[#This Row],[CUIT]]="","-",VLOOKUP(compras_mes10[[#This Row],[CUIT]],Lista_CUIT[#All],4,0)),"CUIT NO CARGADO")</f>
        <v>0</v>
      </c>
    </row>
    <row r="66" spans="2:18" x14ac:dyDescent="0.25">
      <c r="B66" s="387" t="s">
        <v>2878</v>
      </c>
      <c r="C66" s="547">
        <v>1</v>
      </c>
      <c r="D66" s="388">
        <v>3101</v>
      </c>
      <c r="E66" s="389">
        <v>386949</v>
      </c>
      <c r="F66" s="390">
        <v>30678814357</v>
      </c>
      <c r="G66" s="391" t="str">
        <f>IFERROR(IF(compras_mes10[[#This Row],[CUIT]]="","-",VLOOKUP(compras_mes10[[#This Row],[CUIT]],Lista_CUIT[#All],2,0)),"CUIT NO CARGADO")</f>
        <v>TELEFONICA MOVILES ARG</v>
      </c>
      <c r="H66" s="46">
        <v>19863.2</v>
      </c>
      <c r="I66" s="85" t="s">
        <v>2411</v>
      </c>
      <c r="J66" s="85">
        <f>compras_mes10[[#This Row],[NETO GRAVADO]]*0.27</f>
        <v>5363.0640000000003</v>
      </c>
      <c r="K66" s="85"/>
      <c r="L66" s="85"/>
      <c r="M66" s="85"/>
      <c r="N66" s="85"/>
      <c r="O66" s="85">
        <v>1787.69</v>
      </c>
      <c r="P66" s="393">
        <f>SUM(compras_mes10[[#This Row],[NETO GRAVADO]:[Otros / No Grav.]])</f>
        <v>27013.954000000002</v>
      </c>
      <c r="Q66" s="394" t="str">
        <f>IFERROR(IF(compras_mes10[[#This Row],[CUIT]]="","-",VLOOKUP(compras_mes10[[#This Row],[CUIT]],Lista_CUIT[#All],3,0)),"CUIT NO CARGADO")</f>
        <v>Servicios Gas, Luz, etc.</v>
      </c>
      <c r="R66" s="394">
        <f>IFERROR(IF(compras_mes10[[#This Row],[CUIT]]="","-",VLOOKUP(compras_mes10[[#This Row],[CUIT]],Lista_CUIT[#All],4,0)),"CUIT NO CARGADO")</f>
        <v>0</v>
      </c>
    </row>
    <row r="67" spans="2:18" x14ac:dyDescent="0.25">
      <c r="B67" s="387" t="s">
        <v>2878</v>
      </c>
      <c r="C67" s="547">
        <v>1</v>
      </c>
      <c r="D67" s="388">
        <v>1678</v>
      </c>
      <c r="E67" s="389">
        <v>62749</v>
      </c>
      <c r="F67" s="390">
        <v>30589621499</v>
      </c>
      <c r="G67" s="391" t="str">
        <f>IFERROR(IF(compras_mes10[[#This Row],[CUIT]]="","-",VLOOKUP(compras_mes10[[#This Row],[CUIT]],Lista_CUIT[#All],2,0)),"CUIT NO CARGADO")</f>
        <v>MAKRO SA</v>
      </c>
      <c r="H67" s="46">
        <v>180445.56</v>
      </c>
      <c r="I67" s="392">
        <f>IF(compras_mes10[[#This Row],[NETO GRAVADO]]="","",compras_mes10[[#This Row],[NETO GRAVADO]]*0.21)</f>
        <v>37893.567599999995</v>
      </c>
      <c r="J67" s="85"/>
      <c r="K67" s="85"/>
      <c r="L67" s="85"/>
      <c r="M67" s="85"/>
      <c r="N67" s="85"/>
      <c r="O67" s="85">
        <v>16267.36</v>
      </c>
      <c r="P67" s="393">
        <f>SUM(compras_mes10[[#This Row],[NETO GRAVADO]:[Otros / No Grav.]])</f>
        <v>234606.48759999999</v>
      </c>
      <c r="Q67" s="394" t="str">
        <f>IFERROR(IF(compras_mes10[[#This Row],[CUIT]]="","-",VLOOKUP(compras_mes10[[#This Row],[CUIT]],Lista_CUIT[#All],3,0)),"CUIT NO CARGADO")</f>
        <v>Gastos Varios</v>
      </c>
      <c r="R67" s="394">
        <f>IFERROR(IF(compras_mes10[[#This Row],[CUIT]]="","-",VLOOKUP(compras_mes10[[#This Row],[CUIT]],Lista_CUIT[#All],4,0)),"CUIT NO CARGADO")</f>
        <v>0</v>
      </c>
    </row>
    <row r="68" spans="2:18" ht="15.75" customHeight="1" x14ac:dyDescent="0.25">
      <c r="B68" s="387" t="s">
        <v>2878</v>
      </c>
      <c r="C68" s="547">
        <v>1</v>
      </c>
      <c r="D68" s="388">
        <v>1</v>
      </c>
      <c r="E68" s="389">
        <v>949</v>
      </c>
      <c r="F68" s="390">
        <v>20263486464</v>
      </c>
      <c r="G68" s="391" t="str">
        <f>IFERROR(IF(compras_mes10[[#This Row],[CUIT]]="","-",VLOOKUP(compras_mes10[[#This Row],[CUIT]],Lista_CUIT[#All],2,0)),"CUIT NO CARGADO")</f>
        <v>ROMANO SEBASTIAN ANTONIO</v>
      </c>
      <c r="H68" s="46">
        <v>1075020</v>
      </c>
      <c r="I68" s="392">
        <f>IF(compras_mes10[[#This Row],[NETO GRAVADO]]="","",compras_mes10[[#This Row],[NETO GRAVADO]]*0.21)</f>
        <v>225754.19999999998</v>
      </c>
      <c r="J68" s="85"/>
      <c r="K68" s="85"/>
      <c r="L68" s="85"/>
      <c r="M68" s="85"/>
      <c r="N68" s="85"/>
      <c r="O68" s="85"/>
      <c r="P68" s="393">
        <f>SUM(compras_mes10[[#This Row],[NETO GRAVADO]:[Otros / No Grav.]])</f>
        <v>1300774.2</v>
      </c>
      <c r="Q68" s="394" t="str">
        <f>IFERROR(IF(compras_mes10[[#This Row],[CUIT]]="","-",VLOOKUP(compras_mes10[[#This Row],[CUIT]],Lista_CUIT[#All],3,0)),"CUIT NO CARGADO")</f>
        <v>Productos Venta</v>
      </c>
      <c r="R68" s="394">
        <f>IFERROR(IF(compras_mes10[[#This Row],[CUIT]]="","-",VLOOKUP(compras_mes10[[#This Row],[CUIT]],Lista_CUIT[#All],4,0)),"CUIT NO CARGADO")</f>
        <v>0</v>
      </c>
    </row>
    <row r="69" spans="2:18" ht="15.75" customHeight="1" x14ac:dyDescent="0.25">
      <c r="B69" s="387" t="s">
        <v>2878</v>
      </c>
      <c r="C69" s="547">
        <v>1</v>
      </c>
      <c r="D69" s="388">
        <v>2</v>
      </c>
      <c r="E69" s="389">
        <v>501</v>
      </c>
      <c r="F69" s="390">
        <v>27422248426</v>
      </c>
      <c r="G69" s="391" t="str">
        <f>IFERROR(IF(compras_mes10[[#This Row],[CUIT]]="","-",VLOOKUP(compras_mes10[[#This Row],[CUIT]],Lista_CUIT[#All],2,0)),"CUIT NO CARGADO")</f>
        <v>CARRERA VICTORIA</v>
      </c>
      <c r="H69" s="46">
        <v>189966.94</v>
      </c>
      <c r="I69" s="392">
        <f>IF(compras_mes10[[#This Row],[NETO GRAVADO]]="","",compras_mes10[[#This Row],[NETO GRAVADO]]*0.21)</f>
        <v>39893.057399999998</v>
      </c>
      <c r="J69" s="85"/>
      <c r="K69" s="85"/>
      <c r="L69" s="85"/>
      <c r="M69" s="85"/>
      <c r="N69" s="85"/>
      <c r="O69" s="85"/>
      <c r="P69" s="393">
        <f>SUM(compras_mes10[[#This Row],[NETO GRAVADO]:[Otros / No Grav.]])</f>
        <v>229859.99739999999</v>
      </c>
      <c r="Q69" s="394" t="str">
        <f>IFERROR(IF(compras_mes10[[#This Row],[CUIT]]="","-",VLOOKUP(compras_mes10[[#This Row],[CUIT]],Lista_CUIT[#All],3,0)),"CUIT NO CARGADO")</f>
        <v>Gastos Varios</v>
      </c>
      <c r="R69" s="394">
        <f>IFERROR(IF(compras_mes10[[#This Row],[CUIT]]="","-",VLOOKUP(compras_mes10[[#This Row],[CUIT]],Lista_CUIT[#All],4,0)),"CUIT NO CARGADO")</f>
        <v>0</v>
      </c>
    </row>
    <row r="70" spans="2:18" x14ac:dyDescent="0.25">
      <c r="B70" s="387" t="s">
        <v>2878</v>
      </c>
      <c r="C70" s="547">
        <v>1</v>
      </c>
      <c r="D70" s="388">
        <v>78</v>
      </c>
      <c r="E70" s="389">
        <v>42734</v>
      </c>
      <c r="F70" s="390">
        <v>30554807301</v>
      </c>
      <c r="G70" s="391" t="str">
        <f>IFERROR(IF(compras_mes10[[#This Row],[CUIT]]="","-",VLOOKUP(compras_mes10[[#This Row],[CUIT]],Lista_CUIT[#All],2,0)),"CUIT NO CARGADO")</f>
        <v>INSTALACIONES COMERCIALES TISERA SA</v>
      </c>
      <c r="H70" s="46">
        <v>140000</v>
      </c>
      <c r="I70" s="392">
        <f>IF(compras_mes10[[#This Row],[NETO GRAVADO]]="","",compras_mes10[[#This Row],[NETO GRAVADO]]*0.21)</f>
        <v>29400</v>
      </c>
      <c r="J70" s="85"/>
      <c r="K70" s="85"/>
      <c r="L70" s="85"/>
      <c r="M70" s="85"/>
      <c r="N70" s="85"/>
      <c r="O70" s="85"/>
      <c r="P70" s="393">
        <f>SUM(compras_mes10[[#This Row],[NETO GRAVADO]:[Otros / No Grav.]])</f>
        <v>169400</v>
      </c>
      <c r="Q70" s="394" t="str">
        <f>IFERROR(IF(compras_mes10[[#This Row],[CUIT]]="","-",VLOOKUP(compras_mes10[[#This Row],[CUIT]],Lista_CUIT[#All],3,0)),"CUIT NO CARGADO")</f>
        <v>Muebles y Utiles</v>
      </c>
      <c r="R70" s="394">
        <f>IFERROR(IF(compras_mes10[[#This Row],[CUIT]]="","-",VLOOKUP(compras_mes10[[#This Row],[CUIT]],Lista_CUIT[#All],4,0)),"CUIT NO CARGADO")</f>
        <v>0</v>
      </c>
    </row>
    <row r="71" spans="2:18" x14ac:dyDescent="0.25">
      <c r="B71" s="387" t="s">
        <v>2878</v>
      </c>
      <c r="C71" s="547">
        <v>1</v>
      </c>
      <c r="D71" s="388">
        <v>32</v>
      </c>
      <c r="E71" s="389">
        <v>6645</v>
      </c>
      <c r="F71" s="390">
        <v>30633413629</v>
      </c>
      <c r="G71" s="391" t="str">
        <f>IFERROR(IF(compras_mes10[[#This Row],[CUIT]]="","-",VLOOKUP(compras_mes10[[#This Row],[CUIT]],Lista_CUIT[#All],2,0)),"CUIT NO CARGADO")</f>
        <v>TRANSPORTE RAOSA SRL</v>
      </c>
      <c r="H71" s="46">
        <v>8528.14</v>
      </c>
      <c r="I71" s="392">
        <f>IF(compras_mes10[[#This Row],[NETO GRAVADO]]="","",compras_mes10[[#This Row],[NETO GRAVADO]]*0.21)</f>
        <v>1790.9093999999998</v>
      </c>
      <c r="J71" s="85"/>
      <c r="K71" s="85"/>
      <c r="L71" s="85"/>
      <c r="M71" s="85"/>
      <c r="N71" s="85"/>
      <c r="O71" s="85"/>
      <c r="P71" s="393">
        <f>SUM(compras_mes10[[#This Row],[NETO GRAVADO]:[Otros / No Grav.]])</f>
        <v>10319.0494</v>
      </c>
      <c r="Q71" s="394" t="str">
        <f>IFERROR(IF(compras_mes10[[#This Row],[CUIT]]="","-",VLOOKUP(compras_mes10[[#This Row],[CUIT]],Lista_CUIT[#All],3,0)),"CUIT NO CARGADO")</f>
        <v>Flete</v>
      </c>
      <c r="R71" s="394">
        <f>IFERROR(IF(compras_mes10[[#This Row],[CUIT]]="","-",VLOOKUP(compras_mes10[[#This Row],[CUIT]],Lista_CUIT[#All],4,0)),"CUIT NO CARGADO")</f>
        <v>0</v>
      </c>
    </row>
    <row r="72" spans="2:18" x14ac:dyDescent="0.25">
      <c r="B72" s="387" t="s">
        <v>2878</v>
      </c>
      <c r="C72" s="547">
        <v>1</v>
      </c>
      <c r="D72" s="388">
        <v>700</v>
      </c>
      <c r="E72" s="389">
        <v>2759940</v>
      </c>
      <c r="F72" s="390">
        <v>30715804812</v>
      </c>
      <c r="G72" s="391" t="str">
        <f>IFERROR(IF(compras_mes10[[#This Row],[CUIT]]="","-",VLOOKUP(compras_mes10[[#This Row],[CUIT]],Lista_CUIT[#All],2,0)),"CUIT NO CARGADO")</f>
        <v>CORREDORES VIALES SOCIEDAD ANONIMA</v>
      </c>
      <c r="H72" s="46">
        <v>4159.92</v>
      </c>
      <c r="I72" s="392">
        <f>IF(compras_mes10[[#This Row],[NETO GRAVADO]]="","",compras_mes10[[#This Row],[NETO GRAVADO]]*0.21)</f>
        <v>873.58320000000003</v>
      </c>
      <c r="J72" s="85"/>
      <c r="K72" s="85"/>
      <c r="L72" s="85"/>
      <c r="M72" s="85"/>
      <c r="N72" s="85"/>
      <c r="O72" s="85"/>
      <c r="P72" s="393">
        <f>SUM(compras_mes10[[#This Row],[NETO GRAVADO]:[Otros / No Grav.]])</f>
        <v>5033.5032000000001</v>
      </c>
      <c r="Q72" s="394" t="str">
        <f>IFERROR(IF(compras_mes10[[#This Row],[CUIT]]="","-",VLOOKUP(compras_mes10[[#This Row],[CUIT]],Lista_CUIT[#All],3,0)),"CUIT NO CARGADO")</f>
        <v>Peajes</v>
      </c>
      <c r="R72" s="394">
        <f>IFERROR(IF(compras_mes10[[#This Row],[CUIT]]="","-",VLOOKUP(compras_mes10[[#This Row],[CUIT]],Lista_CUIT[#All],4,0)),"CUIT NO CARGADO")</f>
        <v>0</v>
      </c>
    </row>
    <row r="73" spans="2:18" x14ac:dyDescent="0.25">
      <c r="B73" s="387" t="s">
        <v>2878</v>
      </c>
      <c r="C73" s="547">
        <v>1</v>
      </c>
      <c r="D73" s="388">
        <v>3</v>
      </c>
      <c r="E73" s="389">
        <v>344</v>
      </c>
      <c r="F73" s="390">
        <v>20202970940</v>
      </c>
      <c r="G73" s="391" t="str">
        <f>IFERROR(IF(compras_mes10[[#This Row],[CUIT]]="","-",VLOOKUP(compras_mes10[[#This Row],[CUIT]],Lista_CUIT[#All],2,0)),"CUIT NO CARGADO")</f>
        <v xml:space="preserve">ALEJANDRO TRAIBER </v>
      </c>
      <c r="H73" s="46">
        <v>4959000</v>
      </c>
      <c r="I73" s="392">
        <f>IF(compras_mes10[[#This Row],[NETO GRAVADO]]="","",compras_mes10[[#This Row],[NETO GRAVADO]]*0.21)</f>
        <v>1041390</v>
      </c>
      <c r="J73" s="85"/>
      <c r="K73" s="85"/>
      <c r="L73" s="85"/>
      <c r="M73" s="85"/>
      <c r="N73" s="85"/>
      <c r="O73" s="85"/>
      <c r="P73" s="393">
        <f>SUM(compras_mes10[[#This Row],[NETO GRAVADO]:[Otros / No Grav.]])</f>
        <v>6000390</v>
      </c>
      <c r="Q73" s="394" t="str">
        <f>IFERROR(IF(compras_mes10[[#This Row],[CUIT]]="","-",VLOOKUP(compras_mes10[[#This Row],[CUIT]],Lista_CUIT[#All],3,0)),"CUIT NO CARGADO")</f>
        <v>Mercaderia</v>
      </c>
      <c r="R73" s="394">
        <f>IFERROR(IF(compras_mes10[[#This Row],[CUIT]]="","-",VLOOKUP(compras_mes10[[#This Row],[CUIT]],Lista_CUIT[#All],4,0)),"CUIT NO CARGADO")</f>
        <v>0</v>
      </c>
    </row>
    <row r="74" spans="2:18" x14ac:dyDescent="0.25">
      <c r="B74" s="387" t="s">
        <v>2878</v>
      </c>
      <c r="C74" s="547">
        <v>1</v>
      </c>
      <c r="D74" s="388">
        <v>5</v>
      </c>
      <c r="E74" s="389">
        <v>8302</v>
      </c>
      <c r="F74" s="390">
        <v>30696604580</v>
      </c>
      <c r="G74" s="391" t="str">
        <f>IFERROR(IF(compras_mes10[[#This Row],[CUIT]]="","-",VLOOKUP(compras_mes10[[#This Row],[CUIT]],Lista_CUIT[#All],2,0)),"CUIT NO CARGADO")</f>
        <v>LIBRERIA HELIOS S R L</v>
      </c>
      <c r="H74" s="46">
        <v>140216.95000000001</v>
      </c>
      <c r="I74" s="392">
        <f>IF(compras_mes10[[#This Row],[NETO GRAVADO]]="","",compras_mes10[[#This Row],[NETO GRAVADO]]*0.21)</f>
        <v>29445.559500000003</v>
      </c>
      <c r="J74" s="85"/>
      <c r="K74" s="85"/>
      <c r="L74" s="85"/>
      <c r="M74" s="85"/>
      <c r="N74" s="85"/>
      <c r="O74" s="85"/>
      <c r="P74" s="393">
        <f>SUM(compras_mes10[[#This Row],[NETO GRAVADO]:[Otros / No Grav.]])</f>
        <v>169662.50950000001</v>
      </c>
      <c r="Q74" s="394" t="str">
        <f>IFERROR(IF(compras_mes10[[#This Row],[CUIT]]="","-",VLOOKUP(compras_mes10[[#This Row],[CUIT]],Lista_CUIT[#All],3,0)),"CUIT NO CARGADO")</f>
        <v>Papeleria</v>
      </c>
      <c r="R74" s="394">
        <f>IFERROR(IF(compras_mes10[[#This Row],[CUIT]]="","-",VLOOKUP(compras_mes10[[#This Row],[CUIT]],Lista_CUIT[#All],4,0)),"CUIT NO CARGADO")</f>
        <v>0</v>
      </c>
    </row>
    <row r="75" spans="2:18" x14ac:dyDescent="0.25">
      <c r="B75" s="387" t="s">
        <v>2879</v>
      </c>
      <c r="C75" s="547">
        <v>1</v>
      </c>
      <c r="D75" s="388">
        <v>18</v>
      </c>
      <c r="E75" s="389">
        <v>50851</v>
      </c>
      <c r="F75" s="390">
        <v>33709180849</v>
      </c>
      <c r="G75" s="391" t="str">
        <f>IFERROR(IF(compras_mes10[[#This Row],[CUIT]]="","-",VLOOKUP(compras_mes10[[#This Row],[CUIT]],Lista_CUIT[#All],2,0)),"CUIT NO CARGADO")</f>
        <v>PILISAR SOCIEDAD ANONIMA</v>
      </c>
      <c r="H75" s="46">
        <v>469772.85</v>
      </c>
      <c r="I75" s="85" t="s">
        <v>2411</v>
      </c>
      <c r="J75" s="392"/>
      <c r="K75" s="392">
        <f>compras_mes10[[#This Row],[NETO GRAVADO]]*0.105</f>
        <v>49326.149249999995</v>
      </c>
      <c r="L75" s="392"/>
      <c r="M75" s="392"/>
      <c r="N75" s="392"/>
      <c r="O75" s="392"/>
      <c r="P75" s="393">
        <f>SUM(compras_mes10[[#This Row],[NETO GRAVADO]:[Otros / No Grav.]])</f>
        <v>519098.99924999999</v>
      </c>
      <c r="Q75" s="394" t="str">
        <f>IFERROR(IF(compras_mes10[[#This Row],[CUIT]]="","-",VLOOKUP(compras_mes10[[#This Row],[CUIT]],Lista_CUIT[#All],3,0)),"CUIT NO CARGADO")</f>
        <v>Gastos Maquinarias</v>
      </c>
      <c r="R75" s="394">
        <f>IFERROR(IF(compras_mes10[[#This Row],[CUIT]]="","-",VLOOKUP(compras_mes10[[#This Row],[CUIT]],Lista_CUIT[#All],4,0)),"CUIT NO CARGADO")</f>
        <v>0</v>
      </c>
    </row>
    <row r="76" spans="2:18" x14ac:dyDescent="0.25">
      <c r="B76" s="387" t="s">
        <v>2879</v>
      </c>
      <c r="C76" s="547">
        <v>1</v>
      </c>
      <c r="D76" s="388">
        <v>4</v>
      </c>
      <c r="E76" s="389">
        <v>297</v>
      </c>
      <c r="F76" s="390">
        <v>33716948639</v>
      </c>
      <c r="G76" s="391" t="str">
        <f>IFERROR(IF(compras_mes10[[#This Row],[CUIT]]="","-",VLOOKUP(compras_mes10[[#This Row],[CUIT]],Lista_CUIT[#All],2,0)),"CUIT NO CARGADO")</f>
        <v>TODOCOM SA</v>
      </c>
      <c r="H76" s="46">
        <v>228512.4</v>
      </c>
      <c r="I76" s="392">
        <f>IF(compras_mes10[[#This Row],[NETO GRAVADO]]="","",compras_mes10[[#This Row],[NETO GRAVADO]]*0.21)</f>
        <v>47987.603999999999</v>
      </c>
      <c r="J76" s="85"/>
      <c r="K76" s="85"/>
      <c r="L76" s="85"/>
      <c r="M76" s="85"/>
      <c r="N76" s="85"/>
      <c r="O76" s="85"/>
      <c r="P76" s="393">
        <f>SUM(compras_mes10[[#This Row],[NETO GRAVADO]:[Otros / No Grav.]])</f>
        <v>276500.00400000002</v>
      </c>
      <c r="Q76" s="394" t="str">
        <f>IFERROR(IF(compras_mes10[[#This Row],[CUIT]]="","-",VLOOKUP(compras_mes10[[#This Row],[CUIT]],Lista_CUIT[#All],3,0)),"CUIT NO CARGADO")</f>
        <v>Ferreteria</v>
      </c>
      <c r="R76" s="394">
        <f>IFERROR(IF(compras_mes10[[#This Row],[CUIT]]="","-",VLOOKUP(compras_mes10[[#This Row],[CUIT]],Lista_CUIT[#All],4,0)),"CUIT NO CARGADO")</f>
        <v>0</v>
      </c>
    </row>
    <row r="77" spans="2:18" x14ac:dyDescent="0.25">
      <c r="B77" s="387" t="s">
        <v>2880</v>
      </c>
      <c r="C77" s="547">
        <v>1</v>
      </c>
      <c r="D77" s="388">
        <v>4</v>
      </c>
      <c r="E77" s="389">
        <v>34</v>
      </c>
      <c r="F77" s="390">
        <v>30717490874</v>
      </c>
      <c r="G77" s="391" t="str">
        <f>IFERROR(IF(compras_mes10[[#This Row],[CUIT]]="","-",VLOOKUP(compras_mes10[[#This Row],[CUIT]],Lista_CUIT[#All],2,0)),"CUIT NO CARGADO")</f>
        <v>LA MORADA  S. R. L.</v>
      </c>
      <c r="H77" s="46">
        <v>67727.27</v>
      </c>
      <c r="I77" s="392">
        <f>IF(compras_mes10[[#This Row],[NETO GRAVADO]]="","",compras_mes10[[#This Row],[NETO GRAVADO]]*0.21)</f>
        <v>14222.726700000001</v>
      </c>
      <c r="J77" s="85"/>
      <c r="K77" s="85"/>
      <c r="L77" s="85"/>
      <c r="M77" s="85"/>
      <c r="N77" s="85"/>
      <c r="O77" s="85"/>
      <c r="P77" s="393">
        <f>SUM(compras_mes10[[#This Row],[NETO GRAVADO]:[Otros / No Grav.]])</f>
        <v>81949.996700000003</v>
      </c>
      <c r="Q77" s="394" t="str">
        <f>IFERROR(IF(compras_mes10[[#This Row],[CUIT]]="","-",VLOOKUP(compras_mes10[[#This Row],[CUIT]],Lista_CUIT[#All],3,0)),"CUIT NO CARGADO")</f>
        <v>Catering</v>
      </c>
      <c r="R77" s="394">
        <f>IFERROR(IF(compras_mes10[[#This Row],[CUIT]]="","-",VLOOKUP(compras_mes10[[#This Row],[CUIT]],Lista_CUIT[#All],4,0)),"CUIT NO CARGADO")</f>
        <v>0</v>
      </c>
    </row>
    <row r="78" spans="2:18" x14ac:dyDescent="0.25">
      <c r="B78" s="387" t="s">
        <v>2881</v>
      </c>
      <c r="C78" s="547">
        <v>1</v>
      </c>
      <c r="D78" s="388">
        <v>7</v>
      </c>
      <c r="E78" s="389">
        <v>1687</v>
      </c>
      <c r="F78" s="390">
        <v>30712517383</v>
      </c>
      <c r="G78" s="391" t="str">
        <f>IFERROR(IF(compras_mes10[[#This Row],[CUIT]]="","-",VLOOKUP(compras_mes10[[#This Row],[CUIT]],Lista_CUIT[#All],2,0)),"CUIT NO CARGADO")</f>
        <v>ORANGE BLUE IMPORT &amp; EXPORT TOOLS S.R.L.</v>
      </c>
      <c r="H78" s="46">
        <v>65422.81</v>
      </c>
      <c r="I78" s="392">
        <f>IF(compras_mes10[[#This Row],[NETO GRAVADO]]="","",compras_mes10[[#This Row],[NETO GRAVADO]]*0.21)</f>
        <v>13738.790099999998</v>
      </c>
      <c r="J78" s="85"/>
      <c r="K78" s="85"/>
      <c r="L78" s="85"/>
      <c r="M78" s="85"/>
      <c r="N78" s="85"/>
      <c r="O78" s="85">
        <v>3925.37</v>
      </c>
      <c r="P78" s="393">
        <f>SUM(compras_mes10[[#This Row],[NETO GRAVADO]:[Otros / No Grav.]])</f>
        <v>83086.970099999991</v>
      </c>
      <c r="Q78" s="394" t="str">
        <f>IFERROR(IF(compras_mes10[[#This Row],[CUIT]]="","-",VLOOKUP(compras_mes10[[#This Row],[CUIT]],Lista_CUIT[#All],3,0)),"CUIT NO CARGADO")</f>
        <v>Gastos Varios</v>
      </c>
      <c r="R78" s="394">
        <f>IFERROR(IF(compras_mes10[[#This Row],[CUIT]]="","-",VLOOKUP(compras_mes10[[#This Row],[CUIT]],Lista_CUIT[#All],4,0)),"CUIT NO CARGADO")</f>
        <v>0</v>
      </c>
    </row>
    <row r="79" spans="2:18" x14ac:dyDescent="0.25">
      <c r="B79" s="387" t="s">
        <v>2881</v>
      </c>
      <c r="C79" s="547">
        <v>1</v>
      </c>
      <c r="D79" s="388">
        <v>2</v>
      </c>
      <c r="E79" s="389">
        <v>945</v>
      </c>
      <c r="F79" s="390">
        <v>20103069832</v>
      </c>
      <c r="G79" s="391" t="str">
        <f>IFERROR(IF(compras_mes10[[#This Row],[CUIT]]="","-",VLOOKUP(compras_mes10[[#This Row],[CUIT]],Lista_CUIT[#All],2,0)),"CUIT NO CARGADO")</f>
        <v>DE LUCA HECTOR RAFAEL FRANCI</v>
      </c>
      <c r="H79" s="46">
        <v>284000</v>
      </c>
      <c r="I79" s="392">
        <f>IF(compras_mes10[[#This Row],[NETO GRAVADO]]="","",compras_mes10[[#This Row],[NETO GRAVADO]]*0.21)</f>
        <v>59640</v>
      </c>
      <c r="J79" s="85"/>
      <c r="K79" s="85"/>
      <c r="L79" s="85"/>
      <c r="M79" s="85"/>
      <c r="N79" s="85"/>
      <c r="O79" s="85"/>
      <c r="P79" s="393">
        <f>SUM(compras_mes10[[#This Row],[NETO GRAVADO]:[Otros / No Grav.]])</f>
        <v>343640</v>
      </c>
      <c r="Q79" s="394" t="str">
        <f>IFERROR(IF(compras_mes10[[#This Row],[CUIT]]="","-",VLOOKUP(compras_mes10[[#This Row],[CUIT]],Lista_CUIT[#All],3,0)),"CUIT NO CARGADO")</f>
        <v>Material de Empaque</v>
      </c>
      <c r="R79" s="394">
        <f>IFERROR(IF(compras_mes10[[#This Row],[CUIT]]="","-",VLOOKUP(compras_mes10[[#This Row],[CUIT]],Lista_CUIT[#All],4,0)),"CUIT NO CARGADO")</f>
        <v>0</v>
      </c>
    </row>
    <row r="80" spans="2:18" x14ac:dyDescent="0.25">
      <c r="B80" s="387" t="s">
        <v>2881</v>
      </c>
      <c r="C80" s="547">
        <v>1</v>
      </c>
      <c r="D80" s="388">
        <v>2</v>
      </c>
      <c r="E80" s="389">
        <v>4174</v>
      </c>
      <c r="F80" s="390">
        <v>30629863571</v>
      </c>
      <c r="G80" s="391" t="str">
        <f>IFERROR(IF(compras_mes10[[#This Row],[CUIT]]="","-",VLOOKUP(compras_mes10[[#This Row],[CUIT]],Lista_CUIT[#All],2,0)),"CUIT NO CARGADO")</f>
        <v>TECNIMAR S R L</v>
      </c>
      <c r="H80" s="46">
        <v>4003466</v>
      </c>
      <c r="I80" s="392">
        <f>IF(compras_mes10[[#This Row],[NETO GRAVADO]]="","",compras_mes10[[#This Row],[NETO GRAVADO]]*0.21)</f>
        <v>840727.86</v>
      </c>
      <c r="J80" s="85"/>
      <c r="K80" s="85"/>
      <c r="L80" s="85"/>
      <c r="M80" s="85"/>
      <c r="N80" s="85"/>
      <c r="O80" s="85"/>
      <c r="P80" s="393">
        <f>SUM(compras_mes10[[#This Row],[NETO GRAVADO]:[Otros / No Grav.]])</f>
        <v>4844193.8600000003</v>
      </c>
      <c r="Q80" s="394" t="str">
        <f>IFERROR(IF(compras_mes10[[#This Row],[CUIT]]="","-",VLOOKUP(compras_mes10[[#This Row],[CUIT]],Lista_CUIT[#All],3,0)),"CUIT NO CARGADO")</f>
        <v>Productos Venta</v>
      </c>
      <c r="R80" s="394">
        <f>IFERROR(IF(compras_mes10[[#This Row],[CUIT]]="","-",VLOOKUP(compras_mes10[[#This Row],[CUIT]],Lista_CUIT[#All],4,0)),"CUIT NO CARGADO")</f>
        <v>0</v>
      </c>
    </row>
    <row r="81" spans="2:18" x14ac:dyDescent="0.25">
      <c r="B81" s="387" t="s">
        <v>2882</v>
      </c>
      <c r="C81" s="547">
        <v>1</v>
      </c>
      <c r="D81" s="388">
        <v>7</v>
      </c>
      <c r="E81" s="389">
        <v>3661</v>
      </c>
      <c r="F81" s="390">
        <v>27319349672</v>
      </c>
      <c r="G81" s="391" t="str">
        <f>IFERROR(IF(compras_mes10[[#This Row],[CUIT]]="","-",VLOOKUP(compras_mes10[[#This Row],[CUIT]],Lista_CUIT[#All],2,0)),"CUIT NO CARGADO")</f>
        <v>ANDREONE ANDREA FABIANA</v>
      </c>
      <c r="H81" s="46">
        <v>9090.77</v>
      </c>
      <c r="I81" s="392">
        <f>IF(compras_mes10[[#This Row],[NETO GRAVADO]]="","",compras_mes10[[#This Row],[NETO GRAVADO]]*0.21)</f>
        <v>1909.0617</v>
      </c>
      <c r="J81" s="85"/>
      <c r="K81" s="85"/>
      <c r="L81" s="85"/>
      <c r="M81" s="85"/>
      <c r="N81" s="85"/>
      <c r="O81" s="85"/>
      <c r="P81" s="393">
        <f>SUM(compras_mes10[[#This Row],[NETO GRAVADO]:[Otros / No Grav.]])</f>
        <v>10999.831700000001</v>
      </c>
      <c r="Q81" s="394" t="str">
        <f>IFERROR(IF(compras_mes10[[#This Row],[CUIT]]="","-",VLOOKUP(compras_mes10[[#This Row],[CUIT]],Lista_CUIT[#All],3,0)),"CUIT NO CARGADO")</f>
        <v>Gastos Varios</v>
      </c>
      <c r="R81" s="394">
        <f>IFERROR(IF(compras_mes10[[#This Row],[CUIT]]="","-",VLOOKUP(compras_mes10[[#This Row],[CUIT]],Lista_CUIT[#All],4,0)),"CUIT NO CARGADO")</f>
        <v>0</v>
      </c>
    </row>
    <row r="82" spans="2:18" x14ac:dyDescent="0.25">
      <c r="B82" s="387" t="s">
        <v>2882</v>
      </c>
      <c r="C82" s="547">
        <v>1</v>
      </c>
      <c r="D82" s="388">
        <v>3</v>
      </c>
      <c r="E82" s="389">
        <v>874</v>
      </c>
      <c r="F82" s="390">
        <v>30718627792</v>
      </c>
      <c r="G82" s="391" t="str">
        <f>IFERROR(IF(compras_mes10[[#This Row],[CUIT]]="","-",VLOOKUP(compras_mes10[[#This Row],[CUIT]],Lista_CUIT[#All],2,0)),"CUIT NO CARGADO")</f>
        <v>GRUPO GAUSS S.R.L.</v>
      </c>
      <c r="H82" s="46">
        <v>34479.64</v>
      </c>
      <c r="I82" s="85" t="s">
        <v>2411</v>
      </c>
      <c r="J82" s="392"/>
      <c r="K82" s="392">
        <f>compras_mes10[[#This Row],[NETO GRAVADO]]*0.105</f>
        <v>3620.3622</v>
      </c>
      <c r="L82" s="392"/>
      <c r="M82" s="392"/>
      <c r="N82" s="392"/>
      <c r="O82" s="392"/>
      <c r="P82" s="393">
        <f>SUM(compras_mes10[[#This Row],[NETO GRAVADO]:[Otros / No Grav.]])</f>
        <v>38100.002200000003</v>
      </c>
      <c r="Q82" s="394" t="str">
        <f>IFERROR(IF(compras_mes10[[#This Row],[CUIT]]="","-",VLOOKUP(compras_mes10[[#This Row],[CUIT]],Lista_CUIT[#All],3,0)),"CUIT NO CARGADO")</f>
        <v>MANTENIMIENTO</v>
      </c>
      <c r="R82" s="394">
        <f>IFERROR(IF(compras_mes10[[#This Row],[CUIT]]="","-",VLOOKUP(compras_mes10[[#This Row],[CUIT]],Lista_CUIT[#All],4,0)),"CUIT NO CARGADO")</f>
        <v>0</v>
      </c>
    </row>
    <row r="83" spans="2:18" x14ac:dyDescent="0.25">
      <c r="B83" s="387" t="s">
        <v>2882</v>
      </c>
      <c r="C83" s="547">
        <v>1</v>
      </c>
      <c r="D83" s="388">
        <v>1</v>
      </c>
      <c r="E83" s="389">
        <v>350</v>
      </c>
      <c r="F83" s="390">
        <v>20077604627</v>
      </c>
      <c r="G83" s="391" t="str">
        <f>IFERROR(IF(compras_mes10[[#This Row],[CUIT]]="","-",VLOOKUP(compras_mes10[[#This Row],[CUIT]],Lista_CUIT[#All],2,0)),"CUIT NO CARGADO")</f>
        <v>OCAÑO ENRIQUE</v>
      </c>
      <c r="H83" s="46">
        <v>1089680</v>
      </c>
      <c r="I83" s="392">
        <f>IF(compras_mes10[[#This Row],[NETO GRAVADO]]="","",compras_mes10[[#This Row],[NETO GRAVADO]]*0.21)</f>
        <v>228832.8</v>
      </c>
      <c r="J83" s="85"/>
      <c r="K83" s="85"/>
      <c r="L83" s="85"/>
      <c r="M83" s="85"/>
      <c r="N83" s="85"/>
      <c r="O83" s="85"/>
      <c r="P83" s="393">
        <f>SUM(compras_mes10[[#This Row],[NETO GRAVADO]:[Otros / No Grav.]])</f>
        <v>1318512.8</v>
      </c>
      <c r="Q83" s="394" t="str">
        <f>IFERROR(IF(compras_mes10[[#This Row],[CUIT]]="","-",VLOOKUP(compras_mes10[[#This Row],[CUIT]],Lista_CUIT[#All],3,0)),"CUIT NO CARGADO")</f>
        <v>Material de Empaque</v>
      </c>
      <c r="R83" s="394">
        <f>IFERROR(IF(compras_mes10[[#This Row],[CUIT]]="","-",VLOOKUP(compras_mes10[[#This Row],[CUIT]],Lista_CUIT[#All],4,0)),"CUIT NO CARGADO")</f>
        <v>0</v>
      </c>
    </row>
    <row r="84" spans="2:18" ht="13.15" customHeight="1" x14ac:dyDescent="0.25">
      <c r="B84" s="387" t="s">
        <v>2883</v>
      </c>
      <c r="C84" s="547">
        <v>1</v>
      </c>
      <c r="D84" s="388">
        <v>11</v>
      </c>
      <c r="E84" s="389">
        <v>3831</v>
      </c>
      <c r="F84" s="390">
        <v>30717196593</v>
      </c>
      <c r="G84" s="391" t="str">
        <f>IFERROR(IF(compras_mes10[[#This Row],[CUIT]]="","-",VLOOKUP(compras_mes10[[#This Row],[CUIT]],Lista_CUIT[#All],2,0)),"CUIT NO CARGADO")</f>
        <v>KING CROSS LIBRARY</v>
      </c>
      <c r="H84" s="46">
        <v>126036.2</v>
      </c>
      <c r="I84" s="392">
        <f>IF(compras_mes10[[#This Row],[NETO GRAVADO]]="","",compras_mes10[[#This Row],[NETO GRAVADO]]*0.21)</f>
        <v>26467.601999999999</v>
      </c>
      <c r="J84" s="85"/>
      <c r="K84" s="85"/>
      <c r="L84" s="85"/>
      <c r="M84" s="85"/>
      <c r="N84" s="85"/>
      <c r="O84" s="85"/>
      <c r="P84" s="393">
        <f>SUM(compras_mes10[[#This Row],[NETO GRAVADO]:[Otros / No Grav.]])</f>
        <v>152503.802</v>
      </c>
      <c r="Q84" s="394" t="str">
        <f>IFERROR(IF(compras_mes10[[#This Row],[CUIT]]="","-",VLOOKUP(compras_mes10[[#This Row],[CUIT]],Lista_CUIT[#All],3,0)),"CUIT NO CARGADO")</f>
        <v>Papeleria</v>
      </c>
      <c r="R84" s="394">
        <f>IFERROR(IF(compras_mes10[[#This Row],[CUIT]]="","-",VLOOKUP(compras_mes10[[#This Row],[CUIT]],Lista_CUIT[#All],4,0)),"CUIT NO CARGADO")</f>
        <v>0</v>
      </c>
    </row>
    <row r="85" spans="2:18" x14ac:dyDescent="0.25">
      <c r="B85" s="387" t="s">
        <v>2883</v>
      </c>
      <c r="C85" s="547">
        <v>1</v>
      </c>
      <c r="D85" s="388">
        <v>4</v>
      </c>
      <c r="E85" s="389">
        <v>51248</v>
      </c>
      <c r="F85" s="390">
        <v>30709863076</v>
      </c>
      <c r="G85" s="391" t="str">
        <f>IFERROR(IF(compras_mes10[[#This Row],[CUIT]]="","-",VLOOKUP(compras_mes10[[#This Row],[CUIT]],Lista_CUIT[#All],2,0)),"CUIT NO CARGADO")</f>
        <v>INDUSTRIAS PLASTICOS SALTA S.R.L.</v>
      </c>
      <c r="H85" s="46">
        <v>45371.9</v>
      </c>
      <c r="I85" s="392">
        <f>IF(compras_mes10[[#This Row],[NETO GRAVADO]]="","",compras_mes10[[#This Row],[NETO GRAVADO]]*0.21)</f>
        <v>9528.0990000000002</v>
      </c>
      <c r="J85" s="85"/>
      <c r="K85" s="85"/>
      <c r="L85" s="85"/>
      <c r="M85" s="85"/>
      <c r="N85" s="85"/>
      <c r="O85" s="85"/>
      <c r="P85" s="393">
        <f>SUM(compras_mes10[[#This Row],[NETO GRAVADO]:[Otros / No Grav.]])</f>
        <v>54899.999000000003</v>
      </c>
      <c r="Q85" s="394" t="str">
        <f>IFERROR(IF(compras_mes10[[#This Row],[CUIT]]="","-",VLOOKUP(compras_mes10[[#This Row],[CUIT]],Lista_CUIT[#All],3,0)),"CUIT NO CARGADO")</f>
        <v>Materia Prima</v>
      </c>
      <c r="R85" s="394">
        <f>IFERROR(IF(compras_mes10[[#This Row],[CUIT]]="","-",VLOOKUP(compras_mes10[[#This Row],[CUIT]],Lista_CUIT[#All],4,0)),"CUIT NO CARGADO")</f>
        <v>0</v>
      </c>
    </row>
    <row r="86" spans="2:18" x14ac:dyDescent="0.25">
      <c r="B86" s="387" t="s">
        <v>2883</v>
      </c>
      <c r="C86" s="547">
        <v>1</v>
      </c>
      <c r="D86" s="388">
        <v>7</v>
      </c>
      <c r="E86" s="389">
        <v>4266</v>
      </c>
      <c r="F86" s="390">
        <v>23128023569</v>
      </c>
      <c r="G86" s="391" t="str">
        <f>IFERROR(IF(compras_mes10[[#This Row],[CUIT]]="","-",VLOOKUP(compras_mes10[[#This Row],[CUIT]],Lista_CUIT[#All],2,0)),"CUIT NO CARGADO")</f>
        <v>HEREDIA HECTOR RICARDO</v>
      </c>
      <c r="H86" s="46">
        <v>32188.51</v>
      </c>
      <c r="I86" s="392">
        <f>IF(compras_mes10[[#This Row],[NETO GRAVADO]]="","",compras_mes10[[#This Row],[NETO GRAVADO]]*0.21)</f>
        <v>6759.5870999999997</v>
      </c>
      <c r="J86" s="85"/>
      <c r="K86" s="85"/>
      <c r="L86" s="85"/>
      <c r="M86" s="85"/>
      <c r="N86" s="85"/>
      <c r="O86" s="85"/>
      <c r="P86" s="393">
        <f>SUM(compras_mes10[[#This Row],[NETO GRAVADO]:[Otros / No Grav.]])</f>
        <v>38948.097099999999</v>
      </c>
      <c r="Q86" s="394" t="str">
        <f>IFERROR(IF(compras_mes10[[#This Row],[CUIT]]="","-",VLOOKUP(compras_mes10[[#This Row],[CUIT]],Lista_CUIT[#All],3,0)),"CUIT NO CARGADO")</f>
        <v>Gastos Varios</v>
      </c>
      <c r="R86" s="394">
        <f>IFERROR(IF(compras_mes10[[#This Row],[CUIT]]="","-",VLOOKUP(compras_mes10[[#This Row],[CUIT]],Lista_CUIT[#All],4,0)),"CUIT NO CARGADO")</f>
        <v>0</v>
      </c>
    </row>
    <row r="87" spans="2:18" x14ac:dyDescent="0.25">
      <c r="B87" s="387" t="s">
        <v>2883</v>
      </c>
      <c r="C87" s="547">
        <v>1</v>
      </c>
      <c r="D87" s="388">
        <v>7</v>
      </c>
      <c r="E87" s="389">
        <v>4267</v>
      </c>
      <c r="F87" s="390">
        <v>23128023569</v>
      </c>
      <c r="G87" s="391" t="str">
        <f>IFERROR(IF(compras_mes10[[#This Row],[CUIT]]="","-",VLOOKUP(compras_mes10[[#This Row],[CUIT]],Lista_CUIT[#All],2,0)),"CUIT NO CARGADO")</f>
        <v>HEREDIA HECTOR RICARDO</v>
      </c>
      <c r="H87" s="46">
        <v>96565.54</v>
      </c>
      <c r="I87" s="392">
        <f>IF(compras_mes10[[#This Row],[NETO GRAVADO]]="","",compras_mes10[[#This Row],[NETO GRAVADO]]*0.21)</f>
        <v>20278.763399999996</v>
      </c>
      <c r="J87" s="392"/>
      <c r="K87" s="392"/>
      <c r="L87" s="392"/>
      <c r="M87" s="392"/>
      <c r="N87" s="392"/>
      <c r="O87" s="392"/>
      <c r="P87" s="393">
        <f>SUM(compras_mes10[[#This Row],[NETO GRAVADO]:[Otros / No Grav.]])</f>
        <v>116844.30339999999</v>
      </c>
      <c r="Q87" s="394" t="str">
        <f>IFERROR(IF(compras_mes10[[#This Row],[CUIT]]="","-",VLOOKUP(compras_mes10[[#This Row],[CUIT]],Lista_CUIT[#All],3,0)),"CUIT NO CARGADO")</f>
        <v>Gastos Varios</v>
      </c>
      <c r="R87" s="394">
        <f>IFERROR(IF(compras_mes10[[#This Row],[CUIT]]="","-",VLOOKUP(compras_mes10[[#This Row],[CUIT]],Lista_CUIT[#All],4,0)),"CUIT NO CARGADO")</f>
        <v>0</v>
      </c>
    </row>
    <row r="88" spans="2:18" x14ac:dyDescent="0.25">
      <c r="B88" s="387" t="s">
        <v>2883</v>
      </c>
      <c r="C88" s="547">
        <v>1</v>
      </c>
      <c r="D88" s="388">
        <v>7</v>
      </c>
      <c r="E88" s="389">
        <v>4268</v>
      </c>
      <c r="F88" s="390">
        <v>23128023569</v>
      </c>
      <c r="G88" s="391" t="str">
        <f>IFERROR(IF(compras_mes10[[#This Row],[CUIT]]="","-",VLOOKUP(compras_mes10[[#This Row],[CUIT]],Lista_CUIT[#All],2,0)),"CUIT NO CARGADO")</f>
        <v>HEREDIA HECTOR RICARDO</v>
      </c>
      <c r="H88" s="46">
        <v>96565.54</v>
      </c>
      <c r="I88" s="392">
        <f>IF(compras_mes10[[#This Row],[NETO GRAVADO]]="","",compras_mes10[[#This Row],[NETO GRAVADO]]*0.21)</f>
        <v>20278.763399999996</v>
      </c>
      <c r="J88" s="85"/>
      <c r="K88" s="85"/>
      <c r="L88" s="85"/>
      <c r="M88" s="85"/>
      <c r="N88" s="85"/>
      <c r="O88" s="85"/>
      <c r="P88" s="393">
        <f>SUM(compras_mes10[[#This Row],[NETO GRAVADO]:[Otros / No Grav.]])</f>
        <v>116844.30339999999</v>
      </c>
      <c r="Q88" s="394" t="str">
        <f>IFERROR(IF(compras_mes10[[#This Row],[CUIT]]="","-",VLOOKUP(compras_mes10[[#This Row],[CUIT]],Lista_CUIT[#All],3,0)),"CUIT NO CARGADO")</f>
        <v>Gastos Varios</v>
      </c>
      <c r="R88" s="394">
        <f>IFERROR(IF(compras_mes10[[#This Row],[CUIT]]="","-",VLOOKUP(compras_mes10[[#This Row],[CUIT]],Lista_CUIT[#All],4,0)),"CUIT NO CARGADO")</f>
        <v>0</v>
      </c>
    </row>
    <row r="89" spans="2:18" x14ac:dyDescent="0.25">
      <c r="B89" s="387" t="s">
        <v>2883</v>
      </c>
      <c r="C89" s="547">
        <v>1</v>
      </c>
      <c r="D89" s="388">
        <v>7</v>
      </c>
      <c r="E89" s="389">
        <v>4269</v>
      </c>
      <c r="F89" s="390">
        <v>23128023569</v>
      </c>
      <c r="G89" s="391" t="str">
        <f>IFERROR(IF(compras_mes10[[#This Row],[CUIT]]="","-",VLOOKUP(compras_mes10[[#This Row],[CUIT]],Lista_CUIT[#All],2,0)),"CUIT NO CARGADO")</f>
        <v>HEREDIA HECTOR RICARDO</v>
      </c>
      <c r="H89" s="46">
        <v>96565.54</v>
      </c>
      <c r="I89" s="392">
        <f>IF(compras_mes10[[#This Row],[NETO GRAVADO]]="","",compras_mes10[[#This Row],[NETO GRAVADO]]*0.21)</f>
        <v>20278.763399999996</v>
      </c>
      <c r="J89" s="85"/>
      <c r="K89" s="85"/>
      <c r="L89" s="85"/>
      <c r="M89" s="85"/>
      <c r="N89" s="85"/>
      <c r="O89" s="85"/>
      <c r="P89" s="393">
        <f>SUM(compras_mes10[[#This Row],[NETO GRAVADO]:[Otros / No Grav.]])</f>
        <v>116844.30339999999</v>
      </c>
      <c r="Q89" s="394" t="str">
        <f>IFERROR(IF(compras_mes10[[#This Row],[CUIT]]="","-",VLOOKUP(compras_mes10[[#This Row],[CUIT]],Lista_CUIT[#All],3,0)),"CUIT NO CARGADO")</f>
        <v>Gastos Varios</v>
      </c>
      <c r="R89" s="394">
        <f>IFERROR(IF(compras_mes10[[#This Row],[CUIT]]="","-",VLOOKUP(compras_mes10[[#This Row],[CUIT]],Lista_CUIT[#All],4,0)),"CUIT NO CARGADO")</f>
        <v>0</v>
      </c>
    </row>
    <row r="90" spans="2:18" x14ac:dyDescent="0.25">
      <c r="B90" s="387" t="s">
        <v>2883</v>
      </c>
      <c r="C90" s="547">
        <v>1</v>
      </c>
      <c r="D90" s="388">
        <v>4</v>
      </c>
      <c r="E90" s="389">
        <v>51255</v>
      </c>
      <c r="F90" s="390">
        <v>30709863076</v>
      </c>
      <c r="G90" s="391" t="str">
        <f>IFERROR(IF(compras_mes10[[#This Row],[CUIT]]="","-",VLOOKUP(compras_mes10[[#This Row],[CUIT]],Lista_CUIT[#All],2,0)),"CUIT NO CARGADO")</f>
        <v>INDUSTRIAS PLASTICOS SALTA S.R.L.</v>
      </c>
      <c r="H90" s="46">
        <v>145454.54</v>
      </c>
      <c r="I90" s="392">
        <f>IF(compras_mes10[[#This Row],[NETO GRAVADO]]="","",compras_mes10[[#This Row],[NETO GRAVADO]]*0.21)</f>
        <v>30545.453400000002</v>
      </c>
      <c r="J90" s="85"/>
      <c r="K90" s="85"/>
      <c r="L90" s="85"/>
      <c r="M90" s="85"/>
      <c r="N90" s="85"/>
      <c r="O90" s="85"/>
      <c r="P90" s="393">
        <f>SUM(compras_mes10[[#This Row],[NETO GRAVADO]:[Otros / No Grav.]])</f>
        <v>175999.99340000001</v>
      </c>
      <c r="Q90" s="394" t="str">
        <f>IFERROR(IF(compras_mes10[[#This Row],[CUIT]]="","-",VLOOKUP(compras_mes10[[#This Row],[CUIT]],Lista_CUIT[#All],3,0)),"CUIT NO CARGADO")</f>
        <v>Materia Prima</v>
      </c>
      <c r="R90" s="394">
        <f>IFERROR(IF(compras_mes10[[#This Row],[CUIT]]="","-",VLOOKUP(compras_mes10[[#This Row],[CUIT]],Lista_CUIT[#All],4,0)),"CUIT NO CARGADO")</f>
        <v>0</v>
      </c>
    </row>
    <row r="91" spans="2:18" x14ac:dyDescent="0.25">
      <c r="B91" s="387" t="s">
        <v>2883</v>
      </c>
      <c r="C91" s="547">
        <v>1</v>
      </c>
      <c r="D91" s="388">
        <v>3034</v>
      </c>
      <c r="E91" s="389">
        <v>9501674</v>
      </c>
      <c r="F91" s="390">
        <v>30708574836</v>
      </c>
      <c r="G91" s="391" t="str">
        <f>IFERROR(IF(compras_mes10[[#This Row],[CUIT]]="","-",VLOOKUP(compras_mes10[[#This Row],[CUIT]],Lista_CUIT[#All],2,0)),"CUIT NO CARGADO")</f>
        <v>CORREO OFICIAL DE LA REPUBLICA ARGENTINA SOCIEDAD ANONIMA</v>
      </c>
      <c r="H91" s="46">
        <v>10545.45</v>
      </c>
      <c r="I91" s="392">
        <f>IF(compras_mes10[[#This Row],[NETO GRAVADO]]="","",compras_mes10[[#This Row],[NETO GRAVADO]]*0.21)</f>
        <v>2214.5445</v>
      </c>
      <c r="J91" s="85"/>
      <c r="K91" s="85"/>
      <c r="L91" s="85"/>
      <c r="M91" s="85"/>
      <c r="N91" s="85"/>
      <c r="O91" s="85"/>
      <c r="P91" s="393">
        <f>SUM(compras_mes10[[#This Row],[NETO GRAVADO]:[Otros / No Grav.]])</f>
        <v>12759.994500000001</v>
      </c>
      <c r="Q91" s="394" t="str">
        <f>IFERROR(IF(compras_mes10[[#This Row],[CUIT]]="","-",VLOOKUP(compras_mes10[[#This Row],[CUIT]],Lista_CUIT[#All],3,0)),"CUIT NO CARGADO")</f>
        <v>MESAJERIA</v>
      </c>
      <c r="R91" s="394">
        <f>IFERROR(IF(compras_mes10[[#This Row],[CUIT]]="","-",VLOOKUP(compras_mes10[[#This Row],[CUIT]],Lista_CUIT[#All],4,0)),"CUIT NO CARGADO")</f>
        <v>0</v>
      </c>
    </row>
    <row r="92" spans="2:18" x14ac:dyDescent="0.25">
      <c r="B92" s="387" t="s">
        <v>2883</v>
      </c>
      <c r="C92" s="547">
        <v>1</v>
      </c>
      <c r="D92" s="388">
        <v>50</v>
      </c>
      <c r="E92" s="389">
        <v>4672742</v>
      </c>
      <c r="F92" s="390">
        <v>30714112836</v>
      </c>
      <c r="G92" s="391" t="str">
        <f>IFERROR(IF(compras_mes10[[#This Row],[CUIT]]="","-",VLOOKUP(compras_mes10[[#This Row],[CUIT]],Lista_CUIT[#All],2,0)),"CUIT NO CARGADO")</f>
        <v>AUTOPISTAS DE BS AS</v>
      </c>
      <c r="H92" s="46">
        <v>49779.49</v>
      </c>
      <c r="I92" s="392">
        <f>IF(compras_mes10[[#This Row],[NETO GRAVADO]]="","",compras_mes10[[#This Row],[NETO GRAVADO]]*0.21)</f>
        <v>10453.6929</v>
      </c>
      <c r="J92" s="85"/>
      <c r="K92" s="85"/>
      <c r="L92" s="85"/>
      <c r="M92" s="85"/>
      <c r="N92" s="85"/>
      <c r="O92" s="85">
        <v>1493.38</v>
      </c>
      <c r="P92" s="393">
        <f>SUM(compras_mes10[[#This Row],[NETO GRAVADO]:[Otros / No Grav.]])</f>
        <v>61726.562899999997</v>
      </c>
      <c r="Q92" s="394" t="str">
        <f>IFERROR(IF(compras_mes10[[#This Row],[CUIT]]="","-",VLOOKUP(compras_mes10[[#This Row],[CUIT]],Lista_CUIT[#All],3,0)),"CUIT NO CARGADO")</f>
        <v>Peajes</v>
      </c>
      <c r="R92" s="394">
        <f>IFERROR(IF(compras_mes10[[#This Row],[CUIT]]="","-",VLOOKUP(compras_mes10[[#This Row],[CUIT]],Lista_CUIT[#All],4,0)),"CUIT NO CARGADO")</f>
        <v>0</v>
      </c>
    </row>
    <row r="93" spans="2:18" x14ac:dyDescent="0.25">
      <c r="B93" s="387" t="s">
        <v>2883</v>
      </c>
      <c r="C93" s="547">
        <v>1</v>
      </c>
      <c r="D93" s="388">
        <v>126</v>
      </c>
      <c r="E93" s="389">
        <v>198681</v>
      </c>
      <c r="F93" s="390">
        <v>30577207190</v>
      </c>
      <c r="G93" s="391" t="str">
        <f>IFERROR(IF(compras_mes10[[#This Row],[CUIT]]="","-",VLOOKUP(compras_mes10[[#This Row],[CUIT]],Lista_CUIT[#All],2,0)),"CUIT NO CARGADO")</f>
        <v>COORDINACION ECOLOGICA AREA METROPOLITANA SOCIEDAD DEL ESTADO</v>
      </c>
      <c r="H93" s="46">
        <v>8181.82</v>
      </c>
      <c r="I93" s="392">
        <f>IF(compras_mes10[[#This Row],[NETO GRAVADO]]="","",compras_mes10[[#This Row],[NETO GRAVADO]]*0.21)</f>
        <v>1718.1822</v>
      </c>
      <c r="J93" s="85"/>
      <c r="K93" s="85"/>
      <c r="L93" s="85"/>
      <c r="M93" s="85"/>
      <c r="N93" s="85"/>
      <c r="O93" s="85">
        <v>245.45</v>
      </c>
      <c r="P93" s="393">
        <f>SUM(compras_mes10[[#This Row],[NETO GRAVADO]:[Otros / No Grav.]])</f>
        <v>10145.4522</v>
      </c>
      <c r="Q93" s="394" t="str">
        <f>IFERROR(IF(compras_mes10[[#This Row],[CUIT]]="","-",VLOOKUP(compras_mes10[[#This Row],[CUIT]],Lista_CUIT[#All],3,0)),"CUIT NO CARGADO")</f>
        <v>Gastos Limpieza</v>
      </c>
      <c r="R93" s="394">
        <f>IFERROR(IF(compras_mes10[[#This Row],[CUIT]]="","-",VLOOKUP(compras_mes10[[#This Row],[CUIT]],Lista_CUIT[#All],4,0)),"CUIT NO CARGADO")</f>
        <v>0</v>
      </c>
    </row>
    <row r="94" spans="2:18" x14ac:dyDescent="0.25">
      <c r="B94" s="387" t="s">
        <v>2883</v>
      </c>
      <c r="C94" s="547">
        <v>1</v>
      </c>
      <c r="D94" s="388">
        <v>5015</v>
      </c>
      <c r="E94" s="389">
        <v>1028106</v>
      </c>
      <c r="F94" s="390">
        <v>30574876474</v>
      </c>
      <c r="G94" s="391" t="str">
        <f>IFERROR(IF(compras_mes10[[#This Row],[CUIT]]="","-",VLOOKUP(compras_mes10[[#This Row],[CUIT]],Lista_CUIT[#All],2,0)),"CUIT NO CARGADO")</f>
        <v>AUTOPISTAS URBANAS S A</v>
      </c>
      <c r="H94" s="46">
        <v>106846.15</v>
      </c>
      <c r="I94" s="392">
        <f>IF(compras_mes10[[#This Row],[NETO GRAVADO]]="","",compras_mes10[[#This Row],[NETO GRAVADO]]*0.21)</f>
        <v>22437.691499999997</v>
      </c>
      <c r="J94" s="85"/>
      <c r="K94" s="85"/>
      <c r="L94" s="85"/>
      <c r="M94" s="85"/>
      <c r="N94" s="85"/>
      <c r="O94" s="85">
        <v>13889.98</v>
      </c>
      <c r="P94" s="393">
        <f>SUM(compras_mes10[[#This Row],[NETO GRAVADO]:[Otros / No Grav.]])</f>
        <v>143173.82149999999</v>
      </c>
      <c r="Q94" s="394" t="str">
        <f>IFERROR(IF(compras_mes10[[#This Row],[CUIT]]="","-",VLOOKUP(compras_mes10[[#This Row],[CUIT]],Lista_CUIT[#All],3,0)),"CUIT NO CARGADO")</f>
        <v>Peajes</v>
      </c>
      <c r="R94" s="394">
        <f>IFERROR(IF(compras_mes10[[#This Row],[CUIT]]="","-",VLOOKUP(compras_mes10[[#This Row],[CUIT]],Lista_CUIT[#All],4,0)),"CUIT NO CARGADO")</f>
        <v>0</v>
      </c>
    </row>
    <row r="95" spans="2:18" x14ac:dyDescent="0.25">
      <c r="B95" s="387" t="s">
        <v>2883</v>
      </c>
      <c r="C95" s="547">
        <v>1</v>
      </c>
      <c r="D95" s="388">
        <v>2</v>
      </c>
      <c r="E95" s="389">
        <v>4175</v>
      </c>
      <c r="F95" s="390">
        <v>30629863571</v>
      </c>
      <c r="G95" s="391" t="str">
        <f>IFERROR(IF(compras_mes10[[#This Row],[CUIT]]="","-",VLOOKUP(compras_mes10[[#This Row],[CUIT]],Lista_CUIT[#All],2,0)),"CUIT NO CARGADO")</f>
        <v>TECNIMAR S R L</v>
      </c>
      <c r="H95" s="46">
        <v>1922676</v>
      </c>
      <c r="I95" s="392">
        <f>IF(compras_mes10[[#This Row],[NETO GRAVADO]]="","",compras_mes10[[#This Row],[NETO GRAVADO]]*0.21)</f>
        <v>403761.95999999996</v>
      </c>
      <c r="J95" s="85"/>
      <c r="K95" s="85"/>
      <c r="L95" s="85"/>
      <c r="M95" s="85"/>
      <c r="N95" s="85"/>
      <c r="O95" s="85"/>
      <c r="P95" s="393">
        <f>SUM(compras_mes10[[#This Row],[NETO GRAVADO]:[Otros / No Grav.]])</f>
        <v>2326437.96</v>
      </c>
      <c r="Q95" s="394" t="str">
        <f>IFERROR(IF(compras_mes10[[#This Row],[CUIT]]="","-",VLOOKUP(compras_mes10[[#This Row],[CUIT]],Lista_CUIT[#All],3,0)),"CUIT NO CARGADO")</f>
        <v>Productos Venta</v>
      </c>
      <c r="R95" s="394">
        <f>IFERROR(IF(compras_mes10[[#This Row],[CUIT]]="","-",VLOOKUP(compras_mes10[[#This Row],[CUIT]],Lista_CUIT[#All],4,0)),"CUIT NO CARGADO")</f>
        <v>0</v>
      </c>
    </row>
    <row r="96" spans="2:18" x14ac:dyDescent="0.25">
      <c r="B96" s="387" t="s">
        <v>2884</v>
      </c>
      <c r="C96" s="547">
        <v>1</v>
      </c>
      <c r="D96" s="388">
        <v>4</v>
      </c>
      <c r="E96" s="389">
        <v>51262</v>
      </c>
      <c r="F96" s="390">
        <v>30709863076</v>
      </c>
      <c r="G96" s="391" t="str">
        <f>IFERROR(IF(compras_mes10[[#This Row],[CUIT]]="","-",VLOOKUP(compras_mes10[[#This Row],[CUIT]],Lista_CUIT[#All],2,0)),"CUIT NO CARGADO")</f>
        <v>INDUSTRIAS PLASTICOS SALTA S.R.L.</v>
      </c>
      <c r="H96" s="46">
        <v>40165.300000000003</v>
      </c>
      <c r="I96" s="392">
        <f>IF(compras_mes10[[#This Row],[NETO GRAVADO]]="","",compras_mes10[[#This Row],[NETO GRAVADO]]*0.21)</f>
        <v>8434.7129999999997</v>
      </c>
      <c r="J96" s="85"/>
      <c r="K96" s="85"/>
      <c r="L96" s="85"/>
      <c r="M96" s="85"/>
      <c r="N96" s="85"/>
      <c r="O96" s="85"/>
      <c r="P96" s="393">
        <f>SUM(compras_mes10[[#This Row],[NETO GRAVADO]:[Otros / No Grav.]])</f>
        <v>48600.013000000006</v>
      </c>
      <c r="Q96" s="394" t="str">
        <f>IFERROR(IF(compras_mes10[[#This Row],[CUIT]]="","-",VLOOKUP(compras_mes10[[#This Row],[CUIT]],Lista_CUIT[#All],3,0)),"CUIT NO CARGADO")</f>
        <v>Materia Prima</v>
      </c>
      <c r="R96" s="394">
        <f>IFERROR(IF(compras_mes10[[#This Row],[CUIT]]="","-",VLOOKUP(compras_mes10[[#This Row],[CUIT]],Lista_CUIT[#All],4,0)),"CUIT NO CARGADO")</f>
        <v>0</v>
      </c>
    </row>
    <row r="97" spans="2:18" x14ac:dyDescent="0.25">
      <c r="B97" s="387" t="s">
        <v>2884</v>
      </c>
      <c r="C97" s="547">
        <v>1</v>
      </c>
      <c r="D97" s="388">
        <v>6</v>
      </c>
      <c r="E97" s="389">
        <v>6184</v>
      </c>
      <c r="F97" s="390">
        <v>20232507978</v>
      </c>
      <c r="G97" s="391" t="str">
        <f>IFERROR(IF(compras_mes10[[#This Row],[CUIT]]="","-",VLOOKUP(compras_mes10[[#This Row],[CUIT]],Lista_CUIT[#All],2,0)),"CUIT NO CARGADO")</f>
        <v>RUA DIEGO ADRIAN</v>
      </c>
      <c r="H97" s="46">
        <v>425619.9</v>
      </c>
      <c r="I97" s="392">
        <f>IF(compras_mes10[[#This Row],[NETO GRAVADO]]="","",compras_mes10[[#This Row],[NETO GRAVADO]]*0.21)</f>
        <v>89380.179000000004</v>
      </c>
      <c r="J97" s="85"/>
      <c r="K97" s="85"/>
      <c r="L97" s="85"/>
      <c r="M97" s="85"/>
      <c r="N97" s="85"/>
      <c r="O97" s="85"/>
      <c r="P97" s="393">
        <f>SUM(compras_mes10[[#This Row],[NETO GRAVADO]:[Otros / No Grav.]])</f>
        <v>515000.07900000003</v>
      </c>
      <c r="Q97" s="394" t="str">
        <f>IFERROR(IF(compras_mes10[[#This Row],[CUIT]]="","-",VLOOKUP(compras_mes10[[#This Row],[CUIT]],Lista_CUIT[#All],3,0)),"CUIT NO CARGADO")</f>
        <v>Material de Empaque</v>
      </c>
      <c r="R97" s="394">
        <f>IFERROR(IF(compras_mes10[[#This Row],[CUIT]]="","-",VLOOKUP(compras_mes10[[#This Row],[CUIT]],Lista_CUIT[#All],4,0)),"CUIT NO CARGADO")</f>
        <v>0</v>
      </c>
    </row>
    <row r="98" spans="2:18" x14ac:dyDescent="0.25">
      <c r="B98" s="387" t="s">
        <v>2884</v>
      </c>
      <c r="C98" s="547">
        <v>1</v>
      </c>
      <c r="D98" s="388">
        <v>629</v>
      </c>
      <c r="E98" s="389">
        <v>6539969</v>
      </c>
      <c r="F98" s="390">
        <v>30663498513</v>
      </c>
      <c r="G98" s="391" t="str">
        <f>IFERROR(IF(compras_mes10[[#This Row],[CUIT]]="","-",VLOOKUP(compras_mes10[[#This Row],[CUIT]],Lista_CUIT[#All],2,0)),"CUIT NO CARGADO")</f>
        <v>GRUPO CONCES. DEL OESTE SA</v>
      </c>
      <c r="H98" s="46">
        <v>30390.59</v>
      </c>
      <c r="I98" s="392">
        <f>IF(compras_mes10[[#This Row],[NETO GRAVADO]]="","",compras_mes10[[#This Row],[NETO GRAVADO]]*0.21)</f>
        <v>6382.0239000000001</v>
      </c>
      <c r="J98" s="85"/>
      <c r="K98" s="85"/>
      <c r="L98" s="85"/>
      <c r="M98" s="85"/>
      <c r="N98" s="85"/>
      <c r="O98" s="85"/>
      <c r="P98" s="393">
        <f>SUM(compras_mes10[[#This Row],[NETO GRAVADO]:[Otros / No Grav.]])</f>
        <v>36772.613899999997</v>
      </c>
      <c r="Q98" s="394" t="str">
        <f>IFERROR(IF(compras_mes10[[#This Row],[CUIT]]="","-",VLOOKUP(compras_mes10[[#This Row],[CUIT]],Lista_CUIT[#All],3,0)),"CUIT NO CARGADO")</f>
        <v>Peajes</v>
      </c>
      <c r="R98" s="394">
        <f>IFERROR(IF(compras_mes10[[#This Row],[CUIT]]="","-",VLOOKUP(compras_mes10[[#This Row],[CUIT]],Lista_CUIT[#All],4,0)),"CUIT NO CARGADO")</f>
        <v>0</v>
      </c>
    </row>
    <row r="99" spans="2:18" x14ac:dyDescent="0.25">
      <c r="B99" s="387" t="s">
        <v>2884</v>
      </c>
      <c r="C99" s="547">
        <v>1</v>
      </c>
      <c r="D99" s="388">
        <v>711</v>
      </c>
      <c r="E99" s="389">
        <v>7734182</v>
      </c>
      <c r="F99" s="390">
        <v>30677237119</v>
      </c>
      <c r="G99" s="391" t="str">
        <f>IFERROR(IF(compras_mes10[[#This Row],[CUIT]]="","-",VLOOKUP(compras_mes10[[#This Row],[CUIT]],Lista_CUIT[#All],2,0)),"CUIT NO CARGADO")</f>
        <v>AUTOPISTAS DEL SOL S A</v>
      </c>
      <c r="H99" s="507">
        <v>14790.85</v>
      </c>
      <c r="I99" s="392">
        <f>IF(compras_mes10[[#This Row],[NETO GRAVADO]]="","",compras_mes10[[#This Row],[NETO GRAVADO]]*0.21)</f>
        <v>3106.0785000000001</v>
      </c>
      <c r="J99" s="392"/>
      <c r="K99" s="392"/>
      <c r="L99" s="392"/>
      <c r="M99" s="392"/>
      <c r="N99" s="392"/>
      <c r="O99" s="392">
        <v>443.73</v>
      </c>
      <c r="P99" s="393">
        <f>SUM(compras_mes10[[#This Row],[NETO GRAVADO]:[Otros / No Grav.]])</f>
        <v>18340.658500000001</v>
      </c>
      <c r="Q99" s="394" t="str">
        <f>IFERROR(IF(compras_mes10[[#This Row],[CUIT]]="","-",VLOOKUP(compras_mes10[[#This Row],[CUIT]],Lista_CUIT[#All],3,0)),"CUIT NO CARGADO")</f>
        <v>Peajes</v>
      </c>
      <c r="R99" s="394">
        <f>IFERROR(IF(compras_mes10[[#This Row],[CUIT]]="","-",VLOOKUP(compras_mes10[[#This Row],[CUIT]],Lista_CUIT[#All],4,0)),"CUIT NO CARGADO")</f>
        <v>0</v>
      </c>
    </row>
    <row r="100" spans="2:18" x14ac:dyDescent="0.25">
      <c r="B100" s="387" t="s">
        <v>2885</v>
      </c>
      <c r="C100" s="547">
        <v>1</v>
      </c>
      <c r="D100" s="388">
        <v>11</v>
      </c>
      <c r="E100" s="389">
        <v>96166</v>
      </c>
      <c r="F100" s="390">
        <v>30534051049</v>
      </c>
      <c r="G100" s="391" t="str">
        <f>IFERROR(IF(compras_mes10[[#This Row],[CUIT]]="","-",VLOOKUP(compras_mes10[[#This Row],[CUIT]],Lista_CUIT[#All],2,0)),"CUIT NO CARGADO")</f>
        <v>PLIN METAL S A</v>
      </c>
      <c r="H100" s="46">
        <v>40818.5</v>
      </c>
      <c r="I100" s="392">
        <f>IF(compras_mes10[[#This Row],[NETO GRAVADO]]="","",compras_mes10[[#This Row],[NETO GRAVADO]]*0.21)</f>
        <v>8571.8850000000002</v>
      </c>
      <c r="J100" s="85"/>
      <c r="K100" s="85"/>
      <c r="L100" s="85"/>
      <c r="M100" s="85"/>
      <c r="N100" s="85"/>
      <c r="O100" s="85">
        <v>2449.11</v>
      </c>
      <c r="P100" s="393">
        <f>SUM(compras_mes10[[#This Row],[NETO GRAVADO]:[Otros / No Grav.]])</f>
        <v>51839.495000000003</v>
      </c>
      <c r="Q100" s="394" t="str">
        <f>IFERROR(IF(compras_mes10[[#This Row],[CUIT]]="","-",VLOOKUP(compras_mes10[[#This Row],[CUIT]],Lista_CUIT[#All],3,0)),"CUIT NO CARGADO")</f>
        <v>Materia Prima</v>
      </c>
      <c r="R100" s="394">
        <f>IFERROR(IF(compras_mes10[[#This Row],[CUIT]]="","-",VLOOKUP(compras_mes10[[#This Row],[CUIT]],Lista_CUIT[#All],4,0)),"CUIT NO CARGADO")</f>
        <v>0</v>
      </c>
    </row>
    <row r="101" spans="2:18" x14ac:dyDescent="0.25">
      <c r="B101" s="387" t="s">
        <v>2885</v>
      </c>
      <c r="C101" s="547">
        <v>1</v>
      </c>
      <c r="D101" s="388">
        <v>3</v>
      </c>
      <c r="E101" s="389">
        <v>16528</v>
      </c>
      <c r="F101" s="390">
        <v>33715225889</v>
      </c>
      <c r="G101" s="391" t="str">
        <f>IFERROR(IF(compras_mes10[[#This Row],[CUIT]]="","-",VLOOKUP(compras_mes10[[#This Row],[CUIT]],Lista_CUIT[#All],2,0)),"CUIT NO CARGADO")</f>
        <v>DAS INFORMATICA S.R.L.</v>
      </c>
      <c r="H101" s="46">
        <v>29506.61</v>
      </c>
      <c r="I101" s="392">
        <f>IF(compras_mes10[[#This Row],[NETO GRAVADO]]="","",compras_mes10[[#This Row],[NETO GRAVADO]]*0.21)</f>
        <v>6196.3881000000001</v>
      </c>
      <c r="J101" s="85"/>
      <c r="K101" s="85"/>
      <c r="L101" s="85"/>
      <c r="M101" s="85"/>
      <c r="N101" s="85"/>
      <c r="O101" s="85"/>
      <c r="P101" s="393">
        <f>SUM(compras_mes10[[#This Row],[NETO GRAVADO]:[Otros / No Grav.]])</f>
        <v>35702.998099999997</v>
      </c>
      <c r="Q101" s="394" t="str">
        <f>IFERROR(IF(compras_mes10[[#This Row],[CUIT]]="","-",VLOOKUP(compras_mes10[[#This Row],[CUIT]],Lista_CUIT[#All],3,0)),"CUIT NO CARGADO")</f>
        <v>Serv. Tecnicos</v>
      </c>
      <c r="R101" s="394">
        <f>IFERROR(IF(compras_mes10[[#This Row],[CUIT]]="","-",VLOOKUP(compras_mes10[[#This Row],[CUIT]],Lista_CUIT[#All],4,0)),"CUIT NO CARGADO")</f>
        <v>0</v>
      </c>
    </row>
    <row r="102" spans="2:18" x14ac:dyDescent="0.25">
      <c r="B102" s="387" t="s">
        <v>2885</v>
      </c>
      <c r="C102" s="547">
        <v>1</v>
      </c>
      <c r="D102" s="388">
        <v>11</v>
      </c>
      <c r="E102" s="389">
        <v>43</v>
      </c>
      <c r="F102" s="390">
        <v>27128887186</v>
      </c>
      <c r="G102" s="391" t="str">
        <f>IFERROR(IF(compras_mes10[[#This Row],[CUIT]]="","-",VLOOKUP(compras_mes10[[#This Row],[CUIT]],Lista_CUIT[#All],2,0)),"CUIT NO CARGADO")</f>
        <v>CASAS MARIA DEL CARMEN</v>
      </c>
      <c r="H102" s="46">
        <v>40082.639999999999</v>
      </c>
      <c r="I102" s="392">
        <f>IF(compras_mes10[[#This Row],[NETO GRAVADO]]="","",compras_mes10[[#This Row],[NETO GRAVADO]]*0.21)</f>
        <v>8417.3544000000002</v>
      </c>
      <c r="J102" s="85"/>
      <c r="K102" s="85"/>
      <c r="L102" s="85"/>
      <c r="M102" s="85"/>
      <c r="N102" s="85"/>
      <c r="O102" s="85"/>
      <c r="P102" s="393">
        <f>SUM(compras_mes10[[#This Row],[NETO GRAVADO]:[Otros / No Grav.]])</f>
        <v>48499.994399999996</v>
      </c>
      <c r="Q102" s="394" t="str">
        <f>IFERROR(IF(compras_mes10[[#This Row],[CUIT]]="","-",VLOOKUP(compras_mes10[[#This Row],[CUIT]],Lista_CUIT[#All],3,0)),"CUIT NO CARGADO")</f>
        <v>Gastos Varios</v>
      </c>
      <c r="R102" s="394">
        <f>IFERROR(IF(compras_mes10[[#This Row],[CUIT]]="","-",VLOOKUP(compras_mes10[[#This Row],[CUIT]],Lista_CUIT[#All],4,0)),"CUIT NO CARGADO")</f>
        <v>0</v>
      </c>
    </row>
    <row r="103" spans="2:18" x14ac:dyDescent="0.25">
      <c r="B103" s="387" t="s">
        <v>2885</v>
      </c>
      <c r="C103" s="547">
        <v>1</v>
      </c>
      <c r="D103" s="388">
        <v>1005</v>
      </c>
      <c r="E103" s="389">
        <v>119467</v>
      </c>
      <c r="F103" s="390">
        <v>20338116978</v>
      </c>
      <c r="G103" s="391" t="str">
        <f>IFERROR(IF(compras_mes10[[#This Row],[CUIT]]="","-",VLOOKUP(compras_mes10[[#This Row],[CUIT]],Lista_CUIT[#All],2,0)),"CUIT NO CARGADO")</f>
        <v>HERBAS ESPINOZA GABRIEL MATIAS</v>
      </c>
      <c r="H103" s="46">
        <v>101322.31</v>
      </c>
      <c r="I103" s="392">
        <f>IF(compras_mes10[[#This Row],[NETO GRAVADO]]="","",compras_mes10[[#This Row],[NETO GRAVADO]]*0.21)</f>
        <v>21277.685099999999</v>
      </c>
      <c r="J103" s="392"/>
      <c r="K103" s="392"/>
      <c r="L103" s="392"/>
      <c r="M103" s="392"/>
      <c r="N103" s="392"/>
      <c r="O103" s="392"/>
      <c r="P103" s="393">
        <f>SUM(compras_mes10[[#This Row],[NETO GRAVADO]:[Otros / No Grav.]])</f>
        <v>122599.9951</v>
      </c>
      <c r="Q103" s="394" t="str">
        <f>IFERROR(IF(compras_mes10[[#This Row],[CUIT]]="","-",VLOOKUP(compras_mes10[[#This Row],[CUIT]],Lista_CUIT[#All],3,0)),"CUIT NO CARGADO")</f>
        <v>Gastos Varios</v>
      </c>
      <c r="R103" s="394">
        <f>IFERROR(IF(compras_mes10[[#This Row],[CUIT]]="","-",VLOOKUP(compras_mes10[[#This Row],[CUIT]],Lista_CUIT[#All],4,0)),"CUIT NO CARGADO")</f>
        <v>0</v>
      </c>
    </row>
    <row r="104" spans="2:18" x14ac:dyDescent="0.25">
      <c r="B104" s="387" t="s">
        <v>2885</v>
      </c>
      <c r="C104" s="547">
        <v>1</v>
      </c>
      <c r="D104" s="388">
        <v>2043</v>
      </c>
      <c r="E104" s="389">
        <v>49372</v>
      </c>
      <c r="F104" s="390">
        <v>30548083156</v>
      </c>
      <c r="G104" s="391" t="str">
        <f>IFERROR(IF(compras_mes10[[#This Row],[CUIT]]="","-",VLOOKUP(compras_mes10[[#This Row],[CUIT]],Lista_CUIT[#All],2,0)),"CUIT NO CARGADO")</f>
        <v>COTO CENTRO INTEGRAL DE COMERCIALIZACION SOCIEDAD ANONIMA</v>
      </c>
      <c r="H104" s="46">
        <v>147318.79</v>
      </c>
      <c r="I104" s="392">
        <v>10154.549999999999</v>
      </c>
      <c r="J104" s="85"/>
      <c r="K104" s="85">
        <v>10391.200000000001</v>
      </c>
      <c r="L104" s="85"/>
      <c r="M104" s="85"/>
      <c r="N104" s="85"/>
      <c r="O104" s="85">
        <v>6156.66</v>
      </c>
      <c r="P104" s="393">
        <f>SUM(compras_mes10[[#This Row],[NETO GRAVADO]:[Otros / No Grav.]])</f>
        <v>174021.2</v>
      </c>
      <c r="Q104" s="394" t="str">
        <f>IFERROR(IF(compras_mes10[[#This Row],[CUIT]]="","-",VLOOKUP(compras_mes10[[#This Row],[CUIT]],Lista_CUIT[#All],3,0)),"CUIT NO CARGADO")</f>
        <v>Gastos Varios</v>
      </c>
      <c r="R104" s="394">
        <f>IFERROR(IF(compras_mes10[[#This Row],[CUIT]]="","-",VLOOKUP(compras_mes10[[#This Row],[CUIT]],Lista_CUIT[#All],4,0)),"CUIT NO CARGADO")</f>
        <v>0</v>
      </c>
    </row>
    <row r="105" spans="2:18" x14ac:dyDescent="0.25">
      <c r="B105" s="387" t="s">
        <v>2885</v>
      </c>
      <c r="C105" s="547">
        <v>1</v>
      </c>
      <c r="D105" s="388">
        <v>3</v>
      </c>
      <c r="E105" s="389">
        <v>1206</v>
      </c>
      <c r="F105" s="390">
        <v>30718627792</v>
      </c>
      <c r="G105" s="391" t="str">
        <f>IFERROR(IF(compras_mes10[[#This Row],[CUIT]]="","-",VLOOKUP(compras_mes10[[#This Row],[CUIT]],Lista_CUIT[#All],2,0)),"CUIT NO CARGADO")</f>
        <v>GRUPO GAUSS S.R.L.</v>
      </c>
      <c r="H105" s="46">
        <v>58272.73</v>
      </c>
      <c r="I105" s="392">
        <f>IF(compras_mes10[[#This Row],[NETO GRAVADO]]="","",compras_mes10[[#This Row],[NETO GRAVADO]]*0.21)</f>
        <v>12237.273300000001</v>
      </c>
      <c r="J105" s="85"/>
      <c r="K105" s="85"/>
      <c r="L105" s="85"/>
      <c r="M105" s="85"/>
      <c r="N105" s="85"/>
      <c r="O105" s="85"/>
      <c r="P105" s="393">
        <f>SUM(compras_mes10[[#This Row],[NETO GRAVADO]:[Otros / No Grav.]])</f>
        <v>70510.003300000011</v>
      </c>
      <c r="Q105" s="394" t="str">
        <f>IFERROR(IF(compras_mes10[[#This Row],[CUIT]]="","-",VLOOKUP(compras_mes10[[#This Row],[CUIT]],Lista_CUIT[#All],3,0)),"CUIT NO CARGADO")</f>
        <v>MANTENIMIENTO</v>
      </c>
      <c r="R105" s="394">
        <f>IFERROR(IF(compras_mes10[[#This Row],[CUIT]]="","-",VLOOKUP(compras_mes10[[#This Row],[CUIT]],Lista_CUIT[#All],4,0)),"CUIT NO CARGADO")</f>
        <v>0</v>
      </c>
    </row>
    <row r="106" spans="2:18" x14ac:dyDescent="0.25">
      <c r="B106" s="387" t="s">
        <v>2885</v>
      </c>
      <c r="C106" s="547">
        <v>1</v>
      </c>
      <c r="D106" s="388">
        <v>3</v>
      </c>
      <c r="E106" s="389">
        <v>3578</v>
      </c>
      <c r="F106" s="390">
        <v>30714811513</v>
      </c>
      <c r="G106" s="391" t="str">
        <f>IFERROR(IF(compras_mes10[[#This Row],[CUIT]]="","-",VLOOKUP(compras_mes10[[#This Row],[CUIT]],Lista_CUIT[#All],2,0)),"CUIT NO CARGADO")</f>
        <v>METALSER AMOBLAMIENTOS S.R.L.</v>
      </c>
      <c r="H106" s="46">
        <v>140991.74</v>
      </c>
      <c r="I106" s="392">
        <f>IF(compras_mes10[[#This Row],[NETO GRAVADO]]="","",compras_mes10[[#This Row],[NETO GRAVADO]]*0.21)</f>
        <v>29608.265399999997</v>
      </c>
      <c r="J106" s="85"/>
      <c r="K106" s="85"/>
      <c r="L106" s="85"/>
      <c r="M106" s="85"/>
      <c r="N106" s="85"/>
      <c r="O106" s="85"/>
      <c r="P106" s="393">
        <f>SUM(compras_mes10[[#This Row],[NETO GRAVADO]:[Otros / No Grav.]])</f>
        <v>170600.00539999999</v>
      </c>
      <c r="Q106" s="394" t="str">
        <f>IFERROR(IF(compras_mes10[[#This Row],[CUIT]]="","-",VLOOKUP(compras_mes10[[#This Row],[CUIT]],Lista_CUIT[#All],3,0)),"CUIT NO CARGADO")</f>
        <v>MANTENIMIENTO</v>
      </c>
      <c r="R106" s="394">
        <f>IFERROR(IF(compras_mes10[[#This Row],[CUIT]]="","-",VLOOKUP(compras_mes10[[#This Row],[CUIT]],Lista_CUIT[#All],4,0)),"CUIT NO CARGADO")</f>
        <v>0</v>
      </c>
    </row>
    <row r="107" spans="2:18" x14ac:dyDescent="0.25">
      <c r="B107" s="387" t="s">
        <v>2885</v>
      </c>
      <c r="C107" s="547">
        <v>1</v>
      </c>
      <c r="D107" s="388">
        <v>2188</v>
      </c>
      <c r="E107" s="389">
        <v>160084</v>
      </c>
      <c r="F107" s="390">
        <v>30548083156</v>
      </c>
      <c r="G107" s="391" t="str">
        <f>IFERROR(IF(compras_mes10[[#This Row],[CUIT]]="","-",VLOOKUP(compras_mes10[[#This Row],[CUIT]],Lista_CUIT[#All],2,0)),"CUIT NO CARGADO")</f>
        <v>COTO CENTRO INTEGRAL DE COMERCIALIZACION SOCIEDAD ANONIMA</v>
      </c>
      <c r="H107" s="46">
        <v>78809.570000000007</v>
      </c>
      <c r="I107" s="392">
        <v>13594.71</v>
      </c>
      <c r="J107" s="85"/>
      <c r="K107" s="85">
        <v>1477.65</v>
      </c>
      <c r="L107" s="85"/>
      <c r="M107" s="85"/>
      <c r="N107" s="85"/>
      <c r="O107" s="85">
        <v>6637.14</v>
      </c>
      <c r="P107" s="393">
        <f>SUM(compras_mes10[[#This Row],[NETO GRAVADO]:[Otros / No Grav.]])</f>
        <v>100519.06999999999</v>
      </c>
      <c r="Q107" s="394" t="str">
        <f>IFERROR(IF(compras_mes10[[#This Row],[CUIT]]="","-",VLOOKUP(compras_mes10[[#This Row],[CUIT]],Lista_CUIT[#All],3,0)),"CUIT NO CARGADO")</f>
        <v>Gastos Varios</v>
      </c>
      <c r="R107" s="394">
        <f>IFERROR(IF(compras_mes10[[#This Row],[CUIT]]="","-",VLOOKUP(compras_mes10[[#This Row],[CUIT]],Lista_CUIT[#All],4,0)),"CUIT NO CARGADO")</f>
        <v>0</v>
      </c>
    </row>
    <row r="108" spans="2:18" x14ac:dyDescent="0.25">
      <c r="B108" s="387" t="s">
        <v>2885</v>
      </c>
      <c r="C108" s="547">
        <v>1</v>
      </c>
      <c r="D108" s="388">
        <v>1</v>
      </c>
      <c r="E108" s="389">
        <v>1536</v>
      </c>
      <c r="F108" s="390">
        <v>30717640175</v>
      </c>
      <c r="G108" s="391" t="str">
        <f>IFERROR(IF(compras_mes10[[#This Row],[CUIT]]="","-",VLOOKUP(compras_mes10[[#This Row],[CUIT]],Lista_CUIT[#All],2,0)),"CUIT NO CARGADO")</f>
        <v>GRUPO DE REPUESTOS EL MELLIZO</v>
      </c>
      <c r="H108" s="46">
        <v>23280.99</v>
      </c>
      <c r="I108" s="392">
        <f>IF(compras_mes10[[#This Row],[NETO GRAVADO]]="","",compras_mes10[[#This Row],[NETO GRAVADO]]*0.21)</f>
        <v>4889.0079000000005</v>
      </c>
      <c r="J108" s="85"/>
      <c r="K108" s="85"/>
      <c r="L108" s="85"/>
      <c r="M108" s="85"/>
      <c r="N108" s="85"/>
      <c r="O108" s="85"/>
      <c r="P108" s="393">
        <f>SUM(compras_mes10[[#This Row],[NETO GRAVADO]:[Otros / No Grav.]])</f>
        <v>28169.997900000002</v>
      </c>
      <c r="Q108" s="394" t="str">
        <f>IFERROR(IF(compras_mes10[[#This Row],[CUIT]]="","-",VLOOKUP(compras_mes10[[#This Row],[CUIT]],Lista_CUIT[#All],3,0)),"CUIT NO CARGADO")</f>
        <v>Gastos Varios</v>
      </c>
      <c r="R108" s="394">
        <f>IFERROR(IF(compras_mes10[[#This Row],[CUIT]]="","-",VLOOKUP(compras_mes10[[#This Row],[CUIT]],Lista_CUIT[#All],4,0)),"CUIT NO CARGADO")</f>
        <v>0</v>
      </c>
    </row>
    <row r="109" spans="2:18" x14ac:dyDescent="0.25">
      <c r="B109" s="387" t="s">
        <v>2885</v>
      </c>
      <c r="C109" s="547">
        <v>1</v>
      </c>
      <c r="D109" s="388">
        <v>4264</v>
      </c>
      <c r="E109" s="389">
        <v>6074754</v>
      </c>
      <c r="F109" s="390">
        <v>30639453738</v>
      </c>
      <c r="G109" s="391" t="str">
        <f>IFERROR(IF(compras_mes10[[#This Row],[CUIT]]="","-",VLOOKUP(compras_mes10[[#This Row],[CUIT]],Lista_CUIT[#All],2,0)),"CUIT NO CARGADO")</f>
        <v>TELECOM ARG SA</v>
      </c>
      <c r="H109" s="46">
        <v>71110</v>
      </c>
      <c r="I109" s="392">
        <f>IF(compras_mes10[[#This Row],[NETO GRAVADO]]="","",compras_mes10[[#This Row],[NETO GRAVADO]]*0.21)</f>
        <v>14933.099999999999</v>
      </c>
      <c r="J109" s="85"/>
      <c r="K109" s="85"/>
      <c r="L109" s="85"/>
      <c r="M109" s="85"/>
      <c r="N109" s="85"/>
      <c r="O109" s="85">
        <v>4751.3999999999996</v>
      </c>
      <c r="P109" s="393">
        <f>SUM(compras_mes10[[#This Row],[NETO GRAVADO]:[Otros / No Grav.]])</f>
        <v>90794.5</v>
      </c>
      <c r="Q109" s="394" t="str">
        <f>IFERROR(IF(compras_mes10[[#This Row],[CUIT]]="","-",VLOOKUP(compras_mes10[[#This Row],[CUIT]],Lista_CUIT[#All],3,0)),"CUIT NO CARGADO")</f>
        <v>Servicios Gas, Luz, etc.</v>
      </c>
      <c r="R109" s="394">
        <f>IFERROR(IF(compras_mes10[[#This Row],[CUIT]]="","-",VLOOKUP(compras_mes10[[#This Row],[CUIT]],Lista_CUIT[#All],4,0)),"CUIT NO CARGADO")</f>
        <v>0</v>
      </c>
    </row>
    <row r="110" spans="2:18" x14ac:dyDescent="0.25">
      <c r="B110" s="387" t="s">
        <v>2885</v>
      </c>
      <c r="C110" s="547">
        <v>1</v>
      </c>
      <c r="D110" s="388">
        <v>4264</v>
      </c>
      <c r="E110" s="389">
        <v>6040903</v>
      </c>
      <c r="F110" s="390">
        <v>30639453738</v>
      </c>
      <c r="G110" s="391" t="str">
        <f>IFERROR(IF(compras_mes10[[#This Row],[CUIT]]="","-",VLOOKUP(compras_mes10[[#This Row],[CUIT]],Lista_CUIT[#All],2,0)),"CUIT NO CARGADO")</f>
        <v>TELECOM ARG SA</v>
      </c>
      <c r="H110" s="46">
        <v>22800</v>
      </c>
      <c r="I110" s="392">
        <f>IF(compras_mes10[[#This Row],[NETO GRAVADO]]="","",compras_mes10[[#This Row],[NETO GRAVADO]]*0.21)</f>
        <v>4788</v>
      </c>
      <c r="J110" s="85"/>
      <c r="K110" s="85"/>
      <c r="L110" s="85"/>
      <c r="M110" s="85"/>
      <c r="N110" s="85"/>
      <c r="O110" s="85">
        <v>684</v>
      </c>
      <c r="P110" s="393">
        <f>SUM(compras_mes10[[#This Row],[NETO GRAVADO]:[Otros / No Grav.]])</f>
        <v>28272</v>
      </c>
      <c r="Q110" s="394" t="str">
        <f>IFERROR(IF(compras_mes10[[#This Row],[CUIT]]="","-",VLOOKUP(compras_mes10[[#This Row],[CUIT]],Lista_CUIT[#All],3,0)),"CUIT NO CARGADO")</f>
        <v>Servicios Gas, Luz, etc.</v>
      </c>
      <c r="R110" s="394">
        <f>IFERROR(IF(compras_mes10[[#This Row],[CUIT]]="","-",VLOOKUP(compras_mes10[[#This Row],[CUIT]],Lista_CUIT[#All],4,0)),"CUIT NO CARGADO")</f>
        <v>0</v>
      </c>
    </row>
    <row r="111" spans="2:18" x14ac:dyDescent="0.25">
      <c r="B111" s="387" t="s">
        <v>2885</v>
      </c>
      <c r="C111" s="547">
        <v>1</v>
      </c>
      <c r="D111" s="388">
        <v>1</v>
      </c>
      <c r="E111" s="389">
        <v>75</v>
      </c>
      <c r="F111" s="390">
        <v>30718531736</v>
      </c>
      <c r="G111" s="391" t="str">
        <f>IFERROR(IF(compras_mes10[[#This Row],[CUIT]]="","-",VLOOKUP(compras_mes10[[#This Row],[CUIT]],Lista_CUIT[#All],2,0)),"CUIT NO CARGADO")</f>
        <v>SOL ESTUDIO CREATIVO S. CAP I SECC IV</v>
      </c>
      <c r="H111" s="46">
        <v>16800000</v>
      </c>
      <c r="I111" s="392">
        <f>IF(compras_mes10[[#This Row],[NETO GRAVADO]]="","",compras_mes10[[#This Row],[NETO GRAVADO]]*0.21)</f>
        <v>3528000</v>
      </c>
      <c r="J111" s="85"/>
      <c r="K111" s="85"/>
      <c r="L111" s="85"/>
      <c r="M111" s="85"/>
      <c r="N111" s="85"/>
      <c r="O111" s="85"/>
      <c r="P111" s="393">
        <f>SUM(compras_mes10[[#This Row],[NETO GRAVADO]:[Otros / No Grav.]])</f>
        <v>20328000</v>
      </c>
      <c r="Q111" s="394" t="str">
        <f>IFERROR(IF(compras_mes10[[#This Row],[CUIT]]="","-",VLOOKUP(compras_mes10[[#This Row],[CUIT]],Lista_CUIT[#All],3,0)),"CUIT NO CARGADO")</f>
        <v>Productos Venta</v>
      </c>
      <c r="R111" s="394">
        <f>IFERROR(IF(compras_mes10[[#This Row],[CUIT]]="","-",VLOOKUP(compras_mes10[[#This Row],[CUIT]],Lista_CUIT[#All],4,0)),"CUIT NO CARGADO")</f>
        <v>0</v>
      </c>
    </row>
    <row r="112" spans="2:18" x14ac:dyDescent="0.25">
      <c r="B112" s="387" t="s">
        <v>2886</v>
      </c>
      <c r="C112" s="547">
        <v>1</v>
      </c>
      <c r="D112" s="388">
        <v>4</v>
      </c>
      <c r="E112" s="389">
        <v>1033</v>
      </c>
      <c r="F112" s="390">
        <v>27317740196</v>
      </c>
      <c r="G112" s="391" t="str">
        <f>IFERROR(IF(compras_mes10[[#This Row],[CUIT]]="","-",VLOOKUP(compras_mes10[[#This Row],[CUIT]],Lista_CUIT[#All],2,0)),"CUIT NO CARGADO")</f>
        <v>HOKAMA ROMINA PAOLA</v>
      </c>
      <c r="H112" s="46">
        <v>42236.36</v>
      </c>
      <c r="I112" s="392">
        <f>IF(compras_mes10[[#This Row],[NETO GRAVADO]]="","",compras_mes10[[#This Row],[NETO GRAVADO]]*0.21)</f>
        <v>8869.6355999999996</v>
      </c>
      <c r="J112" s="85"/>
      <c r="K112" s="85"/>
      <c r="L112" s="85"/>
      <c r="M112" s="85"/>
      <c r="N112" s="85"/>
      <c r="O112" s="85"/>
      <c r="P112" s="393">
        <f>SUM(compras_mes10[[#This Row],[NETO GRAVADO]:[Otros / No Grav.]])</f>
        <v>51105.995600000002</v>
      </c>
      <c r="Q112" s="394" t="str">
        <f>IFERROR(IF(compras_mes10[[#This Row],[CUIT]]="","-",VLOOKUP(compras_mes10[[#This Row],[CUIT]],Lista_CUIT[#All],3,0)),"CUIT NO CARGADO")</f>
        <v>Gastos Varios</v>
      </c>
      <c r="R112" s="394">
        <f>IFERROR(IF(compras_mes10[[#This Row],[CUIT]]="","-",VLOOKUP(compras_mes10[[#This Row],[CUIT]],Lista_CUIT[#All],4,0)),"CUIT NO CARGADO")</f>
        <v>0</v>
      </c>
    </row>
    <row r="113" spans="2:18" x14ac:dyDescent="0.25">
      <c r="B113" s="387" t="s">
        <v>2886</v>
      </c>
      <c r="C113" s="547">
        <v>1</v>
      </c>
      <c r="D113" s="388">
        <v>6854</v>
      </c>
      <c r="E113" s="389">
        <v>21669</v>
      </c>
      <c r="F113" s="390">
        <v>30678774495</v>
      </c>
      <c r="G113" s="391" t="str">
        <f>IFERROR(IF(compras_mes10[[#This Row],[CUIT]]="","-",VLOOKUP(compras_mes10[[#This Row],[CUIT]],Lista_CUIT[#All],2,0)),"CUIT NO CARGADO")</f>
        <v>OPER. DE EST. DE SERV. SA</v>
      </c>
      <c r="H113" s="46">
        <v>34296.61</v>
      </c>
      <c r="I113" s="392">
        <f>IF(compras_mes10[[#This Row],[NETO GRAVADO]]="","",compras_mes10[[#This Row],[NETO GRAVADO]]*0.21)</f>
        <v>7202.2880999999998</v>
      </c>
      <c r="J113" s="85"/>
      <c r="K113" s="85"/>
      <c r="L113" s="85"/>
      <c r="M113" s="85"/>
      <c r="N113" s="85"/>
      <c r="O113" s="85">
        <v>8501.07</v>
      </c>
      <c r="P113" s="393">
        <f>SUM(compras_mes10[[#This Row],[NETO GRAVADO]:[Otros / No Grav.]])</f>
        <v>49999.968099999998</v>
      </c>
      <c r="Q113" s="394" t="str">
        <f>IFERROR(IF(compras_mes10[[#This Row],[CUIT]]="","-",VLOOKUP(compras_mes10[[#This Row],[CUIT]],Lista_CUIT[#All],3,0)),"CUIT NO CARGADO")</f>
        <v>Combustible</v>
      </c>
      <c r="R113" s="394">
        <f>IFERROR(IF(compras_mes10[[#This Row],[CUIT]]="","-",VLOOKUP(compras_mes10[[#This Row],[CUIT]],Lista_CUIT[#All],4,0)),"CUIT NO CARGADO")</f>
        <v>0</v>
      </c>
    </row>
    <row r="114" spans="2:18" x14ac:dyDescent="0.25">
      <c r="B114" s="387" t="s">
        <v>2886</v>
      </c>
      <c r="C114" s="547">
        <v>1</v>
      </c>
      <c r="D114" s="388">
        <v>2084</v>
      </c>
      <c r="E114" s="389">
        <v>32168</v>
      </c>
      <c r="F114" s="390">
        <v>30548083156</v>
      </c>
      <c r="G114" s="93" t="str">
        <f>IFERROR(IF(compras_mes10[[#This Row],[CUIT]]="","-",VLOOKUP(compras_mes10[[#This Row],[CUIT]],Lista_CUIT[#All],2,0)),"CUIT NO CARGADO")</f>
        <v>COTO CENTRO INTEGRAL DE COMERCIALIZACION SOCIEDAD ANONIMA</v>
      </c>
      <c r="H114" s="94">
        <v>73392.740000000005</v>
      </c>
      <c r="I114" s="392">
        <f>IF(compras_mes10[[#This Row],[NETO GRAVADO]]="","",compras_mes10[[#This Row],[NETO GRAVADO]]*0.21)</f>
        <v>15412.475400000001</v>
      </c>
      <c r="J114" s="85"/>
      <c r="K114" s="85"/>
      <c r="L114" s="85"/>
      <c r="M114" s="85"/>
      <c r="N114" s="85"/>
      <c r="O114" s="85">
        <v>6605.34</v>
      </c>
      <c r="P114" s="87">
        <f>SUM(compras_mes10[[#This Row],[NETO GRAVADO]:[Otros / No Grav.]])</f>
        <v>95410.555399999997</v>
      </c>
      <c r="Q114" s="88" t="str">
        <f>IFERROR(IF(compras_mes10[[#This Row],[CUIT]]="","-",VLOOKUP(compras_mes10[[#This Row],[CUIT]],Lista_CUIT[#All],3,0)),"CUIT NO CARGADO")</f>
        <v>Gastos Varios</v>
      </c>
      <c r="R114" s="88">
        <f>IFERROR(IF(compras_mes10[[#This Row],[CUIT]]="","-",VLOOKUP(compras_mes10[[#This Row],[CUIT]],Lista_CUIT[#All],4,0)),"CUIT NO CARGADO")</f>
        <v>0</v>
      </c>
    </row>
    <row r="115" spans="2:18" x14ac:dyDescent="0.25">
      <c r="B115" s="387" t="s">
        <v>2886</v>
      </c>
      <c r="C115" s="547">
        <v>1</v>
      </c>
      <c r="D115" s="388">
        <v>9</v>
      </c>
      <c r="E115" s="389">
        <v>36</v>
      </c>
      <c r="F115" s="390">
        <v>30717906833</v>
      </c>
      <c r="G115" s="391" t="str">
        <f>IFERROR(IF(compras_mes10[[#This Row],[CUIT]]="","-",VLOOKUP(compras_mes10[[#This Row],[CUIT]],Lista_CUIT[#All],2,0)),"CUIT NO CARGADO")</f>
        <v>WALJUL</v>
      </c>
      <c r="H115" s="46">
        <v>50826.45</v>
      </c>
      <c r="I115" s="392">
        <f>IF(compras_mes10[[#This Row],[NETO GRAVADO]]="","",compras_mes10[[#This Row],[NETO GRAVADO]]*0.21)</f>
        <v>10673.554499999998</v>
      </c>
      <c r="J115" s="85"/>
      <c r="K115" s="85"/>
      <c r="L115" s="85"/>
      <c r="M115" s="85"/>
      <c r="N115" s="85"/>
      <c r="O115" s="85"/>
      <c r="P115" s="393">
        <f>SUM(compras_mes10[[#This Row],[NETO GRAVADO]:[Otros / No Grav.]])</f>
        <v>61500.004499999995</v>
      </c>
      <c r="Q115" s="394" t="str">
        <f>IFERROR(IF(compras_mes10[[#This Row],[CUIT]]="","-",VLOOKUP(compras_mes10[[#This Row],[CUIT]],Lista_CUIT[#All],3,0)),"CUIT NO CARGADO")</f>
        <v>Gastos Varios</v>
      </c>
      <c r="R115" s="394">
        <f>IFERROR(IF(compras_mes10[[#This Row],[CUIT]]="","-",VLOOKUP(compras_mes10[[#This Row],[CUIT]],Lista_CUIT[#All],4,0)),"CUIT NO CARGADO")</f>
        <v>0</v>
      </c>
    </row>
    <row r="116" spans="2:18" x14ac:dyDescent="0.25">
      <c r="B116" s="387" t="s">
        <v>2887</v>
      </c>
      <c r="C116" s="547">
        <v>1</v>
      </c>
      <c r="D116" s="388">
        <v>5</v>
      </c>
      <c r="E116" s="389">
        <v>877</v>
      </c>
      <c r="F116" s="390">
        <v>30718329805</v>
      </c>
      <c r="G116" s="391" t="str">
        <f>IFERROR(IF(compras_mes10[[#This Row],[CUIT]]="","-",VLOOKUP(compras_mes10[[#This Row],[CUIT]],Lista_CUIT[#All],2,0)),"CUIT NO CARGADO")</f>
        <v>CIEN POR CIENTO FOLLETOS SRL</v>
      </c>
      <c r="H116" s="46">
        <v>252396.69</v>
      </c>
      <c r="I116" s="392">
        <f>IF(compras_mes10[[#This Row],[NETO GRAVADO]]="","",compras_mes10[[#This Row],[NETO GRAVADO]]*0.21)</f>
        <v>53003.304899999996</v>
      </c>
      <c r="J116" s="392"/>
      <c r="K116" s="392"/>
      <c r="L116" s="392"/>
      <c r="M116" s="392"/>
      <c r="N116" s="392"/>
      <c r="O116" s="392"/>
      <c r="P116" s="393">
        <f>SUM(compras_mes10[[#This Row],[NETO GRAVADO]:[Otros / No Grav.]])</f>
        <v>305399.99489999999</v>
      </c>
      <c r="Q116" s="394" t="str">
        <f>IFERROR(IF(compras_mes10[[#This Row],[CUIT]]="","-",VLOOKUP(compras_mes10[[#This Row],[CUIT]],Lista_CUIT[#All],3,0)),"CUIT NO CARGADO")</f>
        <v>LIBRERÍA</v>
      </c>
      <c r="R116" s="394">
        <f>IFERROR(IF(compras_mes10[[#This Row],[CUIT]]="","-",VLOOKUP(compras_mes10[[#This Row],[CUIT]],Lista_CUIT[#All],4,0)),"CUIT NO CARGADO")</f>
        <v>0</v>
      </c>
    </row>
    <row r="117" spans="2:18" x14ac:dyDescent="0.25">
      <c r="B117" s="387" t="s">
        <v>2887</v>
      </c>
      <c r="C117" s="547">
        <v>1</v>
      </c>
      <c r="D117" s="388">
        <v>2</v>
      </c>
      <c r="E117" s="389">
        <v>4176</v>
      </c>
      <c r="F117" s="390">
        <v>30629863571</v>
      </c>
      <c r="G117" s="391" t="str">
        <f>IFERROR(IF(compras_mes10[[#This Row],[CUIT]]="","-",VLOOKUP(compras_mes10[[#This Row],[CUIT]],Lista_CUIT[#All],2,0)),"CUIT NO CARGADO")</f>
        <v>TECNIMAR S R L</v>
      </c>
      <c r="H117" s="46">
        <v>1763694</v>
      </c>
      <c r="I117" s="392">
        <f>IF(compras_mes10[[#This Row],[NETO GRAVADO]]="","",compras_mes10[[#This Row],[NETO GRAVADO]]*0.21)</f>
        <v>370375.74</v>
      </c>
      <c r="J117" s="392"/>
      <c r="K117" s="392"/>
      <c r="L117" s="392"/>
      <c r="M117" s="392"/>
      <c r="N117" s="392"/>
      <c r="O117" s="392"/>
      <c r="P117" s="393">
        <f>SUM(compras_mes10[[#This Row],[NETO GRAVADO]:[Otros / No Grav.]])</f>
        <v>2134069.7400000002</v>
      </c>
      <c r="Q117" s="394" t="str">
        <f>IFERROR(IF(compras_mes10[[#This Row],[CUIT]]="","-",VLOOKUP(compras_mes10[[#This Row],[CUIT]],Lista_CUIT[#All],3,0)),"CUIT NO CARGADO")</f>
        <v>Productos Venta</v>
      </c>
      <c r="R117" s="394">
        <f>IFERROR(IF(compras_mes10[[#This Row],[CUIT]]="","-",VLOOKUP(compras_mes10[[#This Row],[CUIT]],Lista_CUIT[#All],4,0)),"CUIT NO CARGADO")</f>
        <v>0</v>
      </c>
    </row>
    <row r="118" spans="2:18" x14ac:dyDescent="0.25">
      <c r="B118" s="387" t="s">
        <v>2887</v>
      </c>
      <c r="C118" s="547">
        <v>1</v>
      </c>
      <c r="D118" s="388">
        <v>2</v>
      </c>
      <c r="E118" s="389">
        <v>948</v>
      </c>
      <c r="F118" s="390">
        <v>20103069832</v>
      </c>
      <c r="G118" s="391" t="str">
        <f>IFERROR(IF(compras_mes10[[#This Row],[CUIT]]="","-",VLOOKUP(compras_mes10[[#This Row],[CUIT]],Lista_CUIT[#All],2,0)),"CUIT NO CARGADO")</f>
        <v>DE LUCA HECTOR RAFAEL FRANCI</v>
      </c>
      <c r="H118" s="46">
        <v>894600</v>
      </c>
      <c r="I118" s="392">
        <f>IF(compras_mes10[[#This Row],[NETO GRAVADO]]="","",compras_mes10[[#This Row],[NETO GRAVADO]]*0.21)</f>
        <v>187866</v>
      </c>
      <c r="J118" s="85"/>
      <c r="K118" s="85"/>
      <c r="L118" s="85"/>
      <c r="M118" s="85"/>
      <c r="N118" s="85"/>
      <c r="O118" s="85"/>
      <c r="P118" s="393">
        <f>SUM(compras_mes10[[#This Row],[NETO GRAVADO]:[Otros / No Grav.]])</f>
        <v>1082466</v>
      </c>
      <c r="Q118" s="394" t="str">
        <f>IFERROR(IF(compras_mes10[[#This Row],[CUIT]]="","-",VLOOKUP(compras_mes10[[#This Row],[CUIT]],Lista_CUIT[#All],3,0)),"CUIT NO CARGADO")</f>
        <v>Material de Empaque</v>
      </c>
      <c r="R118" s="394">
        <f>IFERROR(IF(compras_mes10[[#This Row],[CUIT]]="","-",VLOOKUP(compras_mes10[[#This Row],[CUIT]],Lista_CUIT[#All],4,0)),"CUIT NO CARGADO")</f>
        <v>0</v>
      </c>
    </row>
    <row r="119" spans="2:18" x14ac:dyDescent="0.25">
      <c r="B119" s="387" t="s">
        <v>2887</v>
      </c>
      <c r="C119" s="547">
        <v>1</v>
      </c>
      <c r="D119" s="388">
        <v>2</v>
      </c>
      <c r="E119" s="389">
        <v>2519</v>
      </c>
      <c r="F119" s="390">
        <v>20184094526</v>
      </c>
      <c r="G119" s="391" t="str">
        <f>IFERROR(IF(compras_mes10[[#This Row],[CUIT]]="","-",VLOOKUP(compras_mes10[[#This Row],[CUIT]],Lista_CUIT[#All],2,0)),"CUIT NO CARGADO")</f>
        <v>Di Blasio Carlos</v>
      </c>
      <c r="H119" s="46">
        <v>282000</v>
      </c>
      <c r="I119" s="392">
        <f>IF(compras_mes10[[#This Row],[NETO GRAVADO]]="","",compras_mes10[[#This Row],[NETO GRAVADO]]*0.21)</f>
        <v>59220</v>
      </c>
      <c r="J119" s="392"/>
      <c r="K119" s="392"/>
      <c r="L119" s="392"/>
      <c r="M119" s="392"/>
      <c r="N119" s="392"/>
      <c r="O119" s="392"/>
      <c r="P119" s="393">
        <f>SUM(compras_mes10[[#This Row],[NETO GRAVADO]:[Otros / No Grav.]])</f>
        <v>341220</v>
      </c>
      <c r="Q119" s="394" t="str">
        <f>IFERROR(IF(compras_mes10[[#This Row],[CUIT]]="","-",VLOOKUP(compras_mes10[[#This Row],[CUIT]],Lista_CUIT[#All],3,0)),"CUIT NO CARGADO")</f>
        <v>Gastos Varios</v>
      </c>
      <c r="R119" s="394">
        <f>IFERROR(IF(compras_mes10[[#This Row],[CUIT]]="","-",VLOOKUP(compras_mes10[[#This Row],[CUIT]],Lista_CUIT[#All],4,0)),"CUIT NO CARGADO")</f>
        <v>0</v>
      </c>
    </row>
    <row r="120" spans="2:18" x14ac:dyDescent="0.25">
      <c r="B120" s="387" t="s">
        <v>2888</v>
      </c>
      <c r="C120" s="547">
        <v>1</v>
      </c>
      <c r="D120" s="388">
        <v>634</v>
      </c>
      <c r="E120" s="389">
        <v>1147</v>
      </c>
      <c r="F120" s="390">
        <v>30697465983</v>
      </c>
      <c r="G120" s="391" t="str">
        <f>IFERROR(IF(compras_mes10[[#This Row],[CUIT]]="","-",VLOOKUP(compras_mes10[[#This Row],[CUIT]],Lista_CUIT[#All],2,0)),"CUIT NO CARGADO")</f>
        <v>NALDO LOMBARDI S A</v>
      </c>
      <c r="H120" s="46">
        <v>165288.43</v>
      </c>
      <c r="I120" s="392">
        <f>IF(compras_mes10[[#This Row],[NETO GRAVADO]]="","",compras_mes10[[#This Row],[NETO GRAVADO]]*0.21)</f>
        <v>34710.570299999999</v>
      </c>
      <c r="J120" s="85"/>
      <c r="K120" s="85"/>
      <c r="L120" s="85"/>
      <c r="M120" s="85"/>
      <c r="N120" s="85"/>
      <c r="O120" s="85"/>
      <c r="P120" s="393">
        <f>SUM(compras_mes10[[#This Row],[NETO GRAVADO]:[Otros / No Grav.]])</f>
        <v>199999.00029999999</v>
      </c>
      <c r="Q120" s="394" t="str">
        <f>IFERROR(IF(compras_mes10[[#This Row],[CUIT]]="","-",VLOOKUP(compras_mes10[[#This Row],[CUIT]],Lista_CUIT[#All],3,0)),"CUIT NO CARGADO")</f>
        <v>Gastos Varios</v>
      </c>
      <c r="R120" s="394">
        <f>IFERROR(IF(compras_mes10[[#This Row],[CUIT]]="","-",VLOOKUP(compras_mes10[[#This Row],[CUIT]],Lista_CUIT[#All],4,0)),"CUIT NO CARGADO")</f>
        <v>0</v>
      </c>
    </row>
    <row r="121" spans="2:18" x14ac:dyDescent="0.25">
      <c r="B121" s="387" t="s">
        <v>2888</v>
      </c>
      <c r="C121" s="547">
        <v>1</v>
      </c>
      <c r="D121" s="388">
        <v>2</v>
      </c>
      <c r="E121" s="389">
        <v>5202</v>
      </c>
      <c r="F121" s="390">
        <v>30718329805</v>
      </c>
      <c r="G121" s="45" t="str">
        <f>IFERROR(IF(compras_mes10[[#This Row],[CUIT]]="","-",VLOOKUP(compras_mes10[[#This Row],[CUIT]],Lista_CUIT[#All],2,0)),"CUIT NO CARGADO")</f>
        <v>CIEN POR CIENTO FOLLETOS SRL</v>
      </c>
      <c r="H121" s="46">
        <v>132396.69</v>
      </c>
      <c r="I121" s="392">
        <f>IF(compras_mes10[[#This Row],[NETO GRAVADO]]="","",compras_mes10[[#This Row],[NETO GRAVADO]]*0.21)</f>
        <v>27803.304899999999</v>
      </c>
      <c r="J121" s="85"/>
      <c r="K121" s="85"/>
      <c r="L121" s="85"/>
      <c r="M121" s="85"/>
      <c r="N121" s="85"/>
      <c r="O121" s="85"/>
      <c r="P121" s="48">
        <f>SUM(compras_mes10[[#This Row],[NETO GRAVADO]:[Otros / No Grav.]])</f>
        <v>160199.99489999999</v>
      </c>
      <c r="Q121" s="49" t="str">
        <f>IFERROR(IF(compras_mes10[[#This Row],[CUIT]]="","-",VLOOKUP(compras_mes10[[#This Row],[CUIT]],Lista_CUIT[#All],3,0)),"CUIT NO CARGADO")</f>
        <v>LIBRERÍA</v>
      </c>
      <c r="R121" s="49">
        <f>IFERROR(IF(compras_mes10[[#This Row],[CUIT]]="","-",VLOOKUP(compras_mes10[[#This Row],[CUIT]],Lista_CUIT[#All],4,0)),"CUIT NO CARGADO")</f>
        <v>0</v>
      </c>
    </row>
    <row r="122" spans="2:18" x14ac:dyDescent="0.25">
      <c r="B122" s="387" t="s">
        <v>2888</v>
      </c>
      <c r="C122" s="547">
        <v>1</v>
      </c>
      <c r="D122" s="388">
        <v>634</v>
      </c>
      <c r="E122" s="389">
        <v>1145</v>
      </c>
      <c r="F122" s="390">
        <v>30697465983</v>
      </c>
      <c r="G122" s="391" t="str">
        <f>IFERROR(IF(compras_mes10[[#This Row],[CUIT]]="","-",VLOOKUP(compras_mes10[[#This Row],[CUIT]],Lista_CUIT[#All],2,0)),"CUIT NO CARGADO")</f>
        <v>NALDO LOMBARDI S A</v>
      </c>
      <c r="H122" s="46">
        <v>11570.25</v>
      </c>
      <c r="I122" s="392">
        <f>IF(compras_mes10[[#This Row],[NETO GRAVADO]]="","",compras_mes10[[#This Row],[NETO GRAVADO]]*0.21)</f>
        <v>2429.7525000000001</v>
      </c>
      <c r="J122" s="85"/>
      <c r="K122" s="85"/>
      <c r="L122" s="85"/>
      <c r="M122" s="85"/>
      <c r="N122" s="85"/>
      <c r="O122" s="85"/>
      <c r="P122" s="393">
        <f>SUM(compras_mes10[[#This Row],[NETO GRAVADO]:[Otros / No Grav.]])</f>
        <v>14000.002500000001</v>
      </c>
      <c r="Q122" s="394" t="str">
        <f>IFERROR(IF(compras_mes10[[#This Row],[CUIT]]="","-",VLOOKUP(compras_mes10[[#This Row],[CUIT]],Lista_CUIT[#All],3,0)),"CUIT NO CARGADO")</f>
        <v>Gastos Varios</v>
      </c>
      <c r="R122" s="394">
        <f>IFERROR(IF(compras_mes10[[#This Row],[CUIT]]="","-",VLOOKUP(compras_mes10[[#This Row],[CUIT]],Lista_CUIT[#All],4,0)),"CUIT NO CARGADO")</f>
        <v>0</v>
      </c>
    </row>
    <row r="123" spans="2:18" x14ac:dyDescent="0.25">
      <c r="B123" s="387" t="s">
        <v>2888</v>
      </c>
      <c r="C123" s="547">
        <v>1</v>
      </c>
      <c r="D123" s="388">
        <v>1676</v>
      </c>
      <c r="E123" s="389">
        <v>32294</v>
      </c>
      <c r="F123" s="390">
        <v>30589621499</v>
      </c>
      <c r="G123" s="391" t="str">
        <f>IFERROR(IF(compras_mes10[[#This Row],[CUIT]]="","-",VLOOKUP(compras_mes10[[#This Row],[CUIT]],Lista_CUIT[#All],2,0)),"CUIT NO CARGADO")</f>
        <v>MAKRO SA</v>
      </c>
      <c r="H123" s="46">
        <v>78820.460000000006</v>
      </c>
      <c r="I123" s="392">
        <f>IF(compras_mes10[[#This Row],[NETO GRAVADO]]="","",compras_mes10[[#This Row],[NETO GRAVADO]]*0.21)</f>
        <v>16552.296600000001</v>
      </c>
      <c r="J123" s="85"/>
      <c r="K123" s="85"/>
      <c r="L123" s="85"/>
      <c r="M123" s="85"/>
      <c r="N123" s="85"/>
      <c r="O123" s="85">
        <v>7093.84</v>
      </c>
      <c r="P123" s="393">
        <f>SUM(compras_mes10[[#This Row],[NETO GRAVADO]:[Otros / No Grav.]])</f>
        <v>102466.5966</v>
      </c>
      <c r="Q123" s="394" t="str">
        <f>IFERROR(IF(compras_mes10[[#This Row],[CUIT]]="","-",VLOOKUP(compras_mes10[[#This Row],[CUIT]],Lista_CUIT[#All],3,0)),"CUIT NO CARGADO")</f>
        <v>Gastos Varios</v>
      </c>
      <c r="R123" s="394">
        <f>IFERROR(IF(compras_mes10[[#This Row],[CUIT]]="","-",VLOOKUP(compras_mes10[[#This Row],[CUIT]],Lista_CUIT[#All],4,0)),"CUIT NO CARGADO")</f>
        <v>0</v>
      </c>
    </row>
    <row r="124" spans="2:18" x14ac:dyDescent="0.25">
      <c r="B124" s="387" t="s">
        <v>2888</v>
      </c>
      <c r="C124" s="547">
        <v>1</v>
      </c>
      <c r="D124" s="388">
        <v>700</v>
      </c>
      <c r="E124" s="389">
        <v>2792252</v>
      </c>
      <c r="F124" s="390">
        <v>30715804812</v>
      </c>
      <c r="G124" s="391" t="str">
        <f>IFERROR(IF(compras_mes10[[#This Row],[CUIT]]="","-",VLOOKUP(compras_mes10[[#This Row],[CUIT]],Lista_CUIT[#All],2,0)),"CUIT NO CARGADO")</f>
        <v>CORREDORES VIALES SOCIEDAD ANONIMA</v>
      </c>
      <c r="H124" s="46">
        <v>8319.84</v>
      </c>
      <c r="I124" s="392">
        <f>IF(compras_mes10[[#This Row],[NETO GRAVADO]]="","",compras_mes10[[#This Row],[NETO GRAVADO]]*0.21)</f>
        <v>1747.1664000000001</v>
      </c>
      <c r="J124" s="85"/>
      <c r="K124" s="85"/>
      <c r="L124" s="85"/>
      <c r="M124" s="85"/>
      <c r="N124" s="85"/>
      <c r="O124" s="85"/>
      <c r="P124" s="393">
        <f>SUM(compras_mes10[[#This Row],[NETO GRAVADO]:[Otros / No Grav.]])</f>
        <v>10067.0064</v>
      </c>
      <c r="Q124" s="394" t="str">
        <f>IFERROR(IF(compras_mes10[[#This Row],[CUIT]]="","-",VLOOKUP(compras_mes10[[#This Row],[CUIT]],Lista_CUIT[#All],3,0)),"CUIT NO CARGADO")</f>
        <v>Peajes</v>
      </c>
      <c r="R124" s="394">
        <f>IFERROR(IF(compras_mes10[[#This Row],[CUIT]]="","-",VLOOKUP(compras_mes10[[#This Row],[CUIT]],Lista_CUIT[#All],4,0)),"CUIT NO CARGADO")</f>
        <v>0</v>
      </c>
    </row>
    <row r="125" spans="2:18" x14ac:dyDescent="0.25">
      <c r="B125" s="387" t="s">
        <v>2888</v>
      </c>
      <c r="C125" s="547">
        <v>1</v>
      </c>
      <c r="D125" s="388">
        <v>301</v>
      </c>
      <c r="E125" s="389">
        <v>126648</v>
      </c>
      <c r="F125" s="390">
        <v>30686978350</v>
      </c>
      <c r="G125" s="391" t="str">
        <f>IFERROR(IF(compras_mes10[[#This Row],[CUIT]]="","-",VLOOKUP(compras_mes10[[#This Row],[CUIT]],Lista_CUIT[#All],2,0)),"CUIT NO CARGADO")</f>
        <v>SPEED BUSINESS S. A.</v>
      </c>
      <c r="H125" s="46">
        <v>19537.189999999999</v>
      </c>
      <c r="I125" s="392">
        <f>IF(compras_mes10[[#This Row],[NETO GRAVADO]]="","",compras_mes10[[#This Row],[NETO GRAVADO]]*0.21)</f>
        <v>4102.8098999999993</v>
      </c>
      <c r="J125" s="85"/>
      <c r="K125" s="85"/>
      <c r="L125" s="85"/>
      <c r="M125" s="85"/>
      <c r="N125" s="85"/>
      <c r="O125" s="85"/>
      <c r="P125" s="393">
        <f>SUM(compras_mes10[[#This Row],[NETO GRAVADO]:[Otros / No Grav.]])</f>
        <v>23639.999899999999</v>
      </c>
      <c r="Q125" s="394" t="str">
        <f>IFERROR(IF(compras_mes10[[#This Row],[CUIT]]="","-",VLOOKUP(compras_mes10[[#This Row],[CUIT]],Lista_CUIT[#All],3,0)),"CUIT NO CARGADO")</f>
        <v>Gastos Comercializacion</v>
      </c>
      <c r="R125" s="394">
        <f>IFERROR(IF(compras_mes10[[#This Row],[CUIT]]="","-",VLOOKUP(compras_mes10[[#This Row],[CUIT]],Lista_CUIT[#All],4,0)),"CUIT NO CARGADO")</f>
        <v>0</v>
      </c>
    </row>
    <row r="126" spans="2:18" x14ac:dyDescent="0.25">
      <c r="B126" s="387" t="s">
        <v>2888</v>
      </c>
      <c r="C126" s="547">
        <v>1</v>
      </c>
      <c r="D126" s="388">
        <v>2</v>
      </c>
      <c r="E126" s="389">
        <v>4177</v>
      </c>
      <c r="F126" s="390">
        <v>30629863571</v>
      </c>
      <c r="G126" s="391" t="str">
        <f>IFERROR(IF(compras_mes10[[#This Row],[CUIT]]="","-",VLOOKUP(compras_mes10[[#This Row],[CUIT]],Lista_CUIT[#All],2,0)),"CUIT NO CARGADO")</f>
        <v>TECNIMAR S R L</v>
      </c>
      <c r="H126" s="46">
        <v>3027443</v>
      </c>
      <c r="I126" s="392">
        <f>IF(compras_mes10[[#This Row],[NETO GRAVADO]]="","",compras_mes10[[#This Row],[NETO GRAVADO]]*0.21)</f>
        <v>635763.03</v>
      </c>
      <c r="J126" s="85"/>
      <c r="K126" s="85"/>
      <c r="L126" s="85"/>
      <c r="M126" s="85"/>
      <c r="N126" s="85"/>
      <c r="O126" s="85"/>
      <c r="P126" s="393">
        <f>SUM(compras_mes10[[#This Row],[NETO GRAVADO]:[Otros / No Grav.]])</f>
        <v>3663206.0300000003</v>
      </c>
      <c r="Q126" s="394" t="str">
        <f>IFERROR(IF(compras_mes10[[#This Row],[CUIT]]="","-",VLOOKUP(compras_mes10[[#This Row],[CUIT]],Lista_CUIT[#All],3,0)),"CUIT NO CARGADO")</f>
        <v>Productos Venta</v>
      </c>
      <c r="R126" s="394">
        <f>IFERROR(IF(compras_mes10[[#This Row],[CUIT]]="","-",VLOOKUP(compras_mes10[[#This Row],[CUIT]],Lista_CUIT[#All],4,0)),"CUIT NO CARGADO")</f>
        <v>0</v>
      </c>
    </row>
    <row r="127" spans="2:18" x14ac:dyDescent="0.25">
      <c r="B127" s="387" t="s">
        <v>2888</v>
      </c>
      <c r="C127" s="547">
        <v>1</v>
      </c>
      <c r="D127" s="388">
        <v>2</v>
      </c>
      <c r="E127" s="389">
        <v>4178</v>
      </c>
      <c r="F127" s="390">
        <v>30629863571</v>
      </c>
      <c r="G127" s="391" t="str">
        <f>IFERROR(IF(compras_mes10[[#This Row],[CUIT]]="","-",VLOOKUP(compras_mes10[[#This Row],[CUIT]],Lista_CUIT[#All],2,0)),"CUIT NO CARGADO")</f>
        <v>TECNIMAR S R L</v>
      </c>
      <c r="H127" s="46">
        <v>33280</v>
      </c>
      <c r="I127" s="392">
        <f>IF(compras_mes10[[#This Row],[NETO GRAVADO]]="","",compras_mes10[[#This Row],[NETO GRAVADO]]*0.21)</f>
        <v>6988.8</v>
      </c>
      <c r="J127" s="85"/>
      <c r="K127" s="85"/>
      <c r="L127" s="85"/>
      <c r="M127" s="85"/>
      <c r="N127" s="85"/>
      <c r="O127" s="85"/>
      <c r="P127" s="393">
        <f>SUM(compras_mes10[[#This Row],[NETO GRAVADO]:[Otros / No Grav.]])</f>
        <v>40268.800000000003</v>
      </c>
      <c r="Q127" s="394" t="str">
        <f>IFERROR(IF(compras_mes10[[#This Row],[CUIT]]="","-",VLOOKUP(compras_mes10[[#This Row],[CUIT]],Lista_CUIT[#All],3,0)),"CUIT NO CARGADO")</f>
        <v>Productos Venta</v>
      </c>
      <c r="R127" s="394">
        <f>IFERROR(IF(compras_mes10[[#This Row],[CUIT]]="","-",VLOOKUP(compras_mes10[[#This Row],[CUIT]],Lista_CUIT[#All],4,0)),"CUIT NO CARGADO")</f>
        <v>0</v>
      </c>
    </row>
    <row r="128" spans="2:18" x14ac:dyDescent="0.25">
      <c r="B128" s="387" t="s">
        <v>2889</v>
      </c>
      <c r="C128" s="547">
        <v>1</v>
      </c>
      <c r="D128" s="388">
        <v>2084</v>
      </c>
      <c r="E128" s="389">
        <v>32253</v>
      </c>
      <c r="F128" s="390">
        <v>30548083156</v>
      </c>
      <c r="G128" s="391" t="str">
        <f>IFERROR(IF(compras_mes10[[#This Row],[CUIT]]="","-",VLOOKUP(compras_mes10[[#This Row],[CUIT]],Lista_CUIT[#All],2,0)),"CUIT NO CARGADO")</f>
        <v>COTO CENTRO INTEGRAL DE COMERCIALIZACION SOCIEDAD ANONIMA</v>
      </c>
      <c r="H128" s="46">
        <v>90855.56</v>
      </c>
      <c r="I128" s="392">
        <f>IF(compras_mes10[[#This Row],[NETO GRAVADO]]="","",compras_mes10[[#This Row],[NETO GRAVADO]]*0.21)</f>
        <v>19079.667599999997</v>
      </c>
      <c r="J128" s="85"/>
      <c r="K128" s="85"/>
      <c r="L128" s="85"/>
      <c r="M128" s="85"/>
      <c r="N128" s="85"/>
      <c r="O128" s="85">
        <v>8136.33</v>
      </c>
      <c r="P128" s="393">
        <f>SUM(compras_mes10[[#This Row],[NETO GRAVADO]:[Otros / No Grav.]])</f>
        <v>118071.5576</v>
      </c>
      <c r="Q128" s="394" t="str">
        <f>IFERROR(IF(compras_mes10[[#This Row],[CUIT]]="","-",VLOOKUP(compras_mes10[[#This Row],[CUIT]],Lista_CUIT[#All],3,0)),"CUIT NO CARGADO")</f>
        <v>Gastos Varios</v>
      </c>
      <c r="R128" s="394">
        <f>IFERROR(IF(compras_mes10[[#This Row],[CUIT]]="","-",VLOOKUP(compras_mes10[[#This Row],[CUIT]],Lista_CUIT[#All],4,0)),"CUIT NO CARGADO")</f>
        <v>0</v>
      </c>
    </row>
    <row r="129" spans="2:18" x14ac:dyDescent="0.25">
      <c r="B129" s="387" t="s">
        <v>2889</v>
      </c>
      <c r="C129" s="547">
        <v>1</v>
      </c>
      <c r="D129" s="388">
        <v>15</v>
      </c>
      <c r="E129" s="389">
        <v>20941</v>
      </c>
      <c r="F129" s="390">
        <v>30710373414</v>
      </c>
      <c r="G129" s="391" t="str">
        <f>IFERROR(IF(compras_mes10[[#This Row],[CUIT]]="","-",VLOOKUP(compras_mes10[[#This Row],[CUIT]],Lista_CUIT[#All],2,0)),"CUIT NO CARGADO")</f>
        <v>GRUPOS INTEGRADOS S.A.</v>
      </c>
      <c r="H129" s="46">
        <v>76104.98</v>
      </c>
      <c r="I129" s="85" t="s">
        <v>2411</v>
      </c>
      <c r="J129" s="85"/>
      <c r="K129" s="85">
        <f>compras_mes10[[#This Row],[NETO GRAVADO]]*0.105</f>
        <v>7991.022899999999</v>
      </c>
      <c r="L129" s="85"/>
      <c r="M129" s="85"/>
      <c r="N129" s="85"/>
      <c r="O129" s="85"/>
      <c r="P129" s="393">
        <f>SUM(compras_mes10[[#This Row],[NETO GRAVADO]:[Otros / No Grav.]])</f>
        <v>84096.002899999992</v>
      </c>
      <c r="Q129" s="394" t="str">
        <f>IFERROR(IF(compras_mes10[[#This Row],[CUIT]]="","-",VLOOKUP(compras_mes10[[#This Row],[CUIT]],Lista_CUIT[#All],3,0)),"CUIT NO CARGADO")</f>
        <v>Insumos</v>
      </c>
      <c r="R129" s="394">
        <f>IFERROR(IF(compras_mes10[[#This Row],[CUIT]]="","-",VLOOKUP(compras_mes10[[#This Row],[CUIT]],Lista_CUIT[#All],4,0)),"CUIT NO CARGADO")</f>
        <v>0</v>
      </c>
    </row>
    <row r="130" spans="2:18" x14ac:dyDescent="0.25">
      <c r="B130" s="387" t="s">
        <v>2889</v>
      </c>
      <c r="C130" s="547">
        <v>1</v>
      </c>
      <c r="D130" s="388">
        <v>11</v>
      </c>
      <c r="E130" s="389">
        <v>96557</v>
      </c>
      <c r="F130" s="390">
        <v>30534051049</v>
      </c>
      <c r="G130" s="391" t="str">
        <f>IFERROR(IF(compras_mes10[[#This Row],[CUIT]]="","-",VLOOKUP(compras_mes10[[#This Row],[CUIT]],Lista_CUIT[#All],2,0)),"CUIT NO CARGADO")</f>
        <v>PLIN METAL S A</v>
      </c>
      <c r="H130" s="46">
        <v>67480.55</v>
      </c>
      <c r="I130" s="392">
        <f>IF(compras_mes10[[#This Row],[NETO GRAVADO]]="","",compras_mes10[[#This Row],[NETO GRAVADO]]*0.21)</f>
        <v>14170.915500000001</v>
      </c>
      <c r="J130" s="85"/>
      <c r="K130" s="85"/>
      <c r="L130" s="85"/>
      <c r="M130" s="85"/>
      <c r="N130" s="85"/>
      <c r="O130" s="85">
        <v>4048.83</v>
      </c>
      <c r="P130" s="393">
        <f>SUM(compras_mes10[[#This Row],[NETO GRAVADO]:[Otros / No Grav.]])</f>
        <v>85700.295500000007</v>
      </c>
      <c r="Q130" s="394" t="str">
        <f>IFERROR(IF(compras_mes10[[#This Row],[CUIT]]="","-",VLOOKUP(compras_mes10[[#This Row],[CUIT]],Lista_CUIT[#All],3,0)),"CUIT NO CARGADO")</f>
        <v>Materia Prima</v>
      </c>
      <c r="R130" s="394">
        <f>IFERROR(IF(compras_mes10[[#This Row],[CUIT]]="","-",VLOOKUP(compras_mes10[[#This Row],[CUIT]],Lista_CUIT[#All],4,0)),"CUIT NO CARGADO")</f>
        <v>0</v>
      </c>
    </row>
    <row r="131" spans="2:18" x14ac:dyDescent="0.25">
      <c r="B131" s="387" t="s">
        <v>2889</v>
      </c>
      <c r="C131" s="547">
        <v>1</v>
      </c>
      <c r="D131" s="388">
        <v>4</v>
      </c>
      <c r="E131" s="389">
        <v>1784</v>
      </c>
      <c r="F131" s="390">
        <v>20431994942</v>
      </c>
      <c r="G131" s="391" t="str">
        <f>IFERROR(IF(compras_mes10[[#This Row],[CUIT]]="","-",VLOOKUP(compras_mes10[[#This Row],[CUIT]],Lista_CUIT[#All],2,0)),"CUIT NO CARGADO")</f>
        <v>CIOCCA SANTINO</v>
      </c>
      <c r="H131" s="46">
        <v>22314.05</v>
      </c>
      <c r="I131" s="392">
        <f>IF(compras_mes10[[#This Row],[NETO GRAVADO]]="","",compras_mes10[[#This Row],[NETO GRAVADO]]*0.21)</f>
        <v>4685.9504999999999</v>
      </c>
      <c r="J131" s="85"/>
      <c r="K131" s="85"/>
      <c r="L131" s="85"/>
      <c r="M131" s="85"/>
      <c r="N131" s="85"/>
      <c r="O131" s="85"/>
      <c r="P131" s="393">
        <f>SUM(compras_mes10[[#This Row],[NETO GRAVADO]:[Otros / No Grav.]])</f>
        <v>27000.000499999998</v>
      </c>
      <c r="Q131" s="394" t="str">
        <f>IFERROR(IF(compras_mes10[[#This Row],[CUIT]]="","-",VLOOKUP(compras_mes10[[#This Row],[CUIT]],Lista_CUIT[#All],3,0)),"CUIT NO CARGADO")</f>
        <v>Insumos</v>
      </c>
      <c r="R131" s="394">
        <f>IFERROR(IF(compras_mes10[[#This Row],[CUIT]]="","-",VLOOKUP(compras_mes10[[#This Row],[CUIT]],Lista_CUIT[#All],4,0)),"CUIT NO CARGADO")</f>
        <v>0</v>
      </c>
    </row>
    <row r="132" spans="2:18" x14ac:dyDescent="0.25">
      <c r="B132" s="387" t="s">
        <v>2889</v>
      </c>
      <c r="C132" s="547">
        <v>1</v>
      </c>
      <c r="D132" s="388">
        <v>5</v>
      </c>
      <c r="E132" s="389">
        <v>3410435</v>
      </c>
      <c r="F132" s="390">
        <v>30702652975</v>
      </c>
      <c r="G132" s="391" t="str">
        <f>IFERROR(IF(compras_mes10[[#This Row],[CUIT]]="","-",VLOOKUP(compras_mes10[[#This Row],[CUIT]],Lista_CUIT[#All],2,0)),"CUIT NO CARGADO")</f>
        <v>NSS SA</v>
      </c>
      <c r="H132" s="46">
        <v>37882.300000000003</v>
      </c>
      <c r="I132" s="392">
        <f>IF(compras_mes10[[#This Row],[NETO GRAVADO]]="","",compras_mes10[[#This Row],[NETO GRAVADO]]*0.21)</f>
        <v>7955.2830000000004</v>
      </c>
      <c r="J132" s="85"/>
      <c r="K132" s="85"/>
      <c r="L132" s="85"/>
      <c r="M132" s="85"/>
      <c r="N132" s="85"/>
      <c r="O132" s="85">
        <v>2272.94</v>
      </c>
      <c r="P132" s="393">
        <f>SUM(compras_mes10[[#This Row],[NETO GRAVADO]:[Otros / No Grav.]])</f>
        <v>48110.523000000008</v>
      </c>
      <c r="Q132" s="394" t="str">
        <f>IFERROR(IF(compras_mes10[[#This Row],[CUIT]]="","-",VLOOKUP(compras_mes10[[#This Row],[CUIT]],Lista_CUIT[#All],3,0)),"CUIT NO CARGADO")</f>
        <v>Servicios Gas, Luz, etc.</v>
      </c>
      <c r="R132" s="394">
        <f>IFERROR(IF(compras_mes10[[#This Row],[CUIT]]="","-",VLOOKUP(compras_mes10[[#This Row],[CUIT]],Lista_CUIT[#All],4,0)),"CUIT NO CARGADO")</f>
        <v>0</v>
      </c>
    </row>
    <row r="133" spans="2:18" x14ac:dyDescent="0.25">
      <c r="B133" s="387" t="s">
        <v>2889</v>
      </c>
      <c r="C133" s="547">
        <v>1</v>
      </c>
      <c r="D133" s="388">
        <v>4</v>
      </c>
      <c r="E133" s="389">
        <v>1047</v>
      </c>
      <c r="F133" s="390">
        <v>27317740196</v>
      </c>
      <c r="G133" s="391" t="str">
        <f>IFERROR(IF(compras_mes10[[#This Row],[CUIT]]="","-",VLOOKUP(compras_mes10[[#This Row],[CUIT]],Lista_CUIT[#All],2,0)),"CUIT NO CARGADO")</f>
        <v>HOKAMA ROMINA PAOLA</v>
      </c>
      <c r="H133" s="46">
        <v>41376.89</v>
      </c>
      <c r="I133" s="392">
        <f>IF(compras_mes10[[#This Row],[NETO GRAVADO]]="","",compras_mes10[[#This Row],[NETO GRAVADO]]*0.21)</f>
        <v>8689.1468999999997</v>
      </c>
      <c r="J133" s="85"/>
      <c r="K133" s="85"/>
      <c r="L133" s="85"/>
      <c r="M133" s="85"/>
      <c r="N133" s="85"/>
      <c r="O133" s="85"/>
      <c r="P133" s="393">
        <f>SUM(compras_mes10[[#This Row],[NETO GRAVADO]:[Otros / No Grav.]])</f>
        <v>50066.036899999999</v>
      </c>
      <c r="Q133" s="394" t="str">
        <f>IFERROR(IF(compras_mes10[[#This Row],[CUIT]]="","-",VLOOKUP(compras_mes10[[#This Row],[CUIT]],Lista_CUIT[#All],3,0)),"CUIT NO CARGADO")</f>
        <v>Gastos Varios</v>
      </c>
      <c r="R133" s="394">
        <f>IFERROR(IF(compras_mes10[[#This Row],[CUIT]]="","-",VLOOKUP(compras_mes10[[#This Row],[CUIT]],Lista_CUIT[#All],4,0)),"CUIT NO CARGADO")</f>
        <v>0</v>
      </c>
    </row>
    <row r="134" spans="2:18" x14ac:dyDescent="0.25">
      <c r="B134" s="387" t="s">
        <v>2889</v>
      </c>
      <c r="C134" s="547">
        <v>1</v>
      </c>
      <c r="D134" s="388">
        <v>5</v>
      </c>
      <c r="E134" s="389">
        <v>26895</v>
      </c>
      <c r="F134" s="390">
        <v>30715695207</v>
      </c>
      <c r="G134" s="391" t="str">
        <f>IFERROR(IF(compras_mes10[[#This Row],[CUIT]]="","-",VLOOKUP(compras_mes10[[#This Row],[CUIT]],Lista_CUIT[#All],2,0)),"CUIT NO CARGADO")</f>
        <v>EMPRESAS DE ANGELI S.R.L.</v>
      </c>
      <c r="H134" s="46">
        <v>14400</v>
      </c>
      <c r="I134" s="392">
        <f>IF(compras_mes10[[#This Row],[NETO GRAVADO]]="","",compras_mes10[[#This Row],[NETO GRAVADO]]*0.21)</f>
        <v>3024</v>
      </c>
      <c r="J134" s="85"/>
      <c r="K134" s="85"/>
      <c r="L134" s="85"/>
      <c r="M134" s="85"/>
      <c r="N134" s="85"/>
      <c r="O134" s="85"/>
      <c r="P134" s="393">
        <f>SUM(compras_mes10[[#This Row],[NETO GRAVADO]:[Otros / No Grav.]])</f>
        <v>17424</v>
      </c>
      <c r="Q134" s="394" t="str">
        <f>IFERROR(IF(compras_mes10[[#This Row],[CUIT]]="","-",VLOOKUP(compras_mes10[[#This Row],[CUIT]],Lista_CUIT[#All],3,0)),"CUIT NO CARGADO")</f>
        <v>Insumos</v>
      </c>
      <c r="R134" s="394">
        <f>IFERROR(IF(compras_mes10[[#This Row],[CUIT]]="","-",VLOOKUP(compras_mes10[[#This Row],[CUIT]],Lista_CUIT[#All],4,0)),"CUIT NO CARGADO")</f>
        <v>0</v>
      </c>
    </row>
    <row r="135" spans="2:18" x14ac:dyDescent="0.25">
      <c r="B135" s="387" t="s">
        <v>2889</v>
      </c>
      <c r="C135" s="547">
        <v>1</v>
      </c>
      <c r="D135" s="388">
        <v>6850</v>
      </c>
      <c r="E135" s="389">
        <v>28374</v>
      </c>
      <c r="F135" s="390">
        <v>30678774495</v>
      </c>
      <c r="G135" s="391" t="str">
        <f>IFERROR(IF(compras_mes10[[#This Row],[CUIT]]="","-",VLOOKUP(compras_mes10[[#This Row],[CUIT]],Lista_CUIT[#All],2,0)),"CUIT NO CARGADO")</f>
        <v>OPER. DE EST. DE SERV. SA</v>
      </c>
      <c r="H135" s="46">
        <v>16084.92</v>
      </c>
      <c r="I135" s="392">
        <f>IF(compras_mes10[[#This Row],[NETO GRAVADO]]="","",compras_mes10[[#This Row],[NETO GRAVADO]]*0.21)</f>
        <v>3377.8332</v>
      </c>
      <c r="J135" s="85"/>
      <c r="K135" s="85"/>
      <c r="L135" s="85"/>
      <c r="M135" s="85"/>
      <c r="N135" s="85"/>
      <c r="O135" s="85">
        <v>3327.18</v>
      </c>
      <c r="P135" s="393">
        <f>SUM(compras_mes10[[#This Row],[NETO GRAVADO]:[Otros / No Grav.]])</f>
        <v>22789.933199999999</v>
      </c>
      <c r="Q135" s="394" t="str">
        <f>IFERROR(IF(compras_mes10[[#This Row],[CUIT]]="","-",VLOOKUP(compras_mes10[[#This Row],[CUIT]],Lista_CUIT[#All],3,0)),"CUIT NO CARGADO")</f>
        <v>Combustible</v>
      </c>
      <c r="R135" s="394">
        <f>IFERROR(IF(compras_mes10[[#This Row],[CUIT]]="","-",VLOOKUP(compras_mes10[[#This Row],[CUIT]],Lista_CUIT[#All],4,0)),"CUIT NO CARGADO")</f>
        <v>0</v>
      </c>
    </row>
    <row r="136" spans="2:18" x14ac:dyDescent="0.25">
      <c r="B136" s="387" t="s">
        <v>2889</v>
      </c>
      <c r="C136" s="547">
        <v>1</v>
      </c>
      <c r="D136" s="388">
        <v>10</v>
      </c>
      <c r="E136" s="389">
        <v>138501</v>
      </c>
      <c r="F136" s="390">
        <v>30677041877</v>
      </c>
      <c r="G136" s="391" t="str">
        <f>IFERROR(IF(compras_mes10[[#This Row],[CUIT]]="","-",VLOOKUP(compras_mes10[[#This Row],[CUIT]],Lista_CUIT[#All],2,0)),"CUIT NO CARGADO")</f>
        <v>GARDEN LIFE S A</v>
      </c>
      <c r="H136" s="46">
        <v>143800.82999999999</v>
      </c>
      <c r="I136" s="392">
        <f>IF(compras_mes10[[#This Row],[NETO GRAVADO]]="","",compras_mes10[[#This Row],[NETO GRAVADO]]*0.21)</f>
        <v>30198.174299999995</v>
      </c>
      <c r="J136" s="85"/>
      <c r="K136" s="85"/>
      <c r="L136" s="85"/>
      <c r="M136" s="85"/>
      <c r="N136" s="85"/>
      <c r="O136" s="85"/>
      <c r="P136" s="393">
        <f>SUM(compras_mes10[[#This Row],[NETO GRAVADO]:[Otros / No Grav.]])</f>
        <v>173999.00429999997</v>
      </c>
      <c r="Q136" s="394" t="str">
        <f>IFERROR(IF(compras_mes10[[#This Row],[CUIT]]="","-",VLOOKUP(compras_mes10[[#This Row],[CUIT]],Lista_CUIT[#All],3,0)),"CUIT NO CARGADO")</f>
        <v>Insumos</v>
      </c>
      <c r="R136" s="394">
        <f>IFERROR(IF(compras_mes10[[#This Row],[CUIT]]="","-",VLOOKUP(compras_mes10[[#This Row],[CUIT]],Lista_CUIT[#All],4,0)),"CUIT NO CARGADO")</f>
        <v>0</v>
      </c>
    </row>
    <row r="137" spans="2:18" x14ac:dyDescent="0.25">
      <c r="B137" s="387" t="s">
        <v>2889</v>
      </c>
      <c r="C137" s="547">
        <v>1</v>
      </c>
      <c r="D137" s="388">
        <v>10</v>
      </c>
      <c r="E137" s="389">
        <v>138503</v>
      </c>
      <c r="F137" s="390">
        <v>30677041877</v>
      </c>
      <c r="G137" s="391" t="str">
        <f>IFERROR(IF(compras_mes10[[#This Row],[CUIT]]="","-",VLOOKUP(compras_mes10[[#This Row],[CUIT]],Lista_CUIT[#All],2,0)),"CUIT NO CARGADO")</f>
        <v>GARDEN LIFE S A</v>
      </c>
      <c r="H137" s="46">
        <v>143800.82999999999</v>
      </c>
      <c r="I137" s="392">
        <f>IF(compras_mes10[[#This Row],[NETO GRAVADO]]="","",compras_mes10[[#This Row],[NETO GRAVADO]]*0.21)</f>
        <v>30198.174299999995</v>
      </c>
      <c r="J137" s="85"/>
      <c r="K137" s="85"/>
      <c r="L137" s="85"/>
      <c r="M137" s="85"/>
      <c r="N137" s="85"/>
      <c r="O137" s="85"/>
      <c r="P137" s="393">
        <f>SUM(compras_mes10[[#This Row],[NETO GRAVADO]:[Otros / No Grav.]])</f>
        <v>173999.00429999997</v>
      </c>
      <c r="Q137" s="394" t="str">
        <f>IFERROR(IF(compras_mes10[[#This Row],[CUIT]]="","-",VLOOKUP(compras_mes10[[#This Row],[CUIT]],Lista_CUIT[#All],3,0)),"CUIT NO CARGADO")</f>
        <v>Insumos</v>
      </c>
      <c r="R137" s="394">
        <f>IFERROR(IF(compras_mes10[[#This Row],[CUIT]]="","-",VLOOKUP(compras_mes10[[#This Row],[CUIT]],Lista_CUIT[#All],4,0)),"CUIT NO CARGADO")</f>
        <v>0</v>
      </c>
    </row>
    <row r="138" spans="2:18" x14ac:dyDescent="0.25">
      <c r="B138" s="387" t="s">
        <v>2889</v>
      </c>
      <c r="C138" s="547">
        <v>1</v>
      </c>
      <c r="D138" s="388">
        <v>4</v>
      </c>
      <c r="E138" s="389">
        <v>1680</v>
      </c>
      <c r="F138" s="390">
        <v>30718164830</v>
      </c>
      <c r="G138" s="391" t="str">
        <f>IFERROR(IF(compras_mes10[[#This Row],[CUIT]]="","-",VLOOKUP(compras_mes10[[#This Row],[CUIT]],Lista_CUIT[#All],2,0)),"CUIT NO CARGADO")</f>
        <v>FULLGRAF LANUS S.R.L.</v>
      </c>
      <c r="H138" s="46">
        <v>382788.42</v>
      </c>
      <c r="I138" s="85" t="s">
        <v>2411</v>
      </c>
      <c r="J138" s="85"/>
      <c r="K138" s="85">
        <f>compras_mes10[[#This Row],[NETO GRAVADO]]*0.105</f>
        <v>40192.784099999997</v>
      </c>
      <c r="L138" s="85"/>
      <c r="M138" s="85"/>
      <c r="N138" s="85"/>
      <c r="O138" s="85"/>
      <c r="P138" s="393">
        <f>SUM(compras_mes10[[#This Row],[NETO GRAVADO]:[Otros / No Grav.]])</f>
        <v>422981.20409999997</v>
      </c>
      <c r="Q138" s="394" t="str">
        <f>IFERROR(IF(compras_mes10[[#This Row],[CUIT]]="","-",VLOOKUP(compras_mes10[[#This Row],[CUIT]],Lista_CUIT[#All],3,0)),"CUIT NO CARGADO")</f>
        <v>Insumos</v>
      </c>
      <c r="R138" s="394">
        <f>IFERROR(IF(compras_mes10[[#This Row],[CUIT]]="","-",VLOOKUP(compras_mes10[[#This Row],[CUIT]],Lista_CUIT[#All],4,0)),"CUIT NO CARGADO")</f>
        <v>0</v>
      </c>
    </row>
    <row r="139" spans="2:18" x14ac:dyDescent="0.25">
      <c r="B139" s="387" t="s">
        <v>2889</v>
      </c>
      <c r="C139" s="547">
        <v>1</v>
      </c>
      <c r="D139" s="388">
        <v>3</v>
      </c>
      <c r="E139" s="389">
        <v>1942</v>
      </c>
      <c r="F139" s="390">
        <v>30710284152</v>
      </c>
      <c r="G139" s="391" t="str">
        <f>IFERROR(IF(compras_mes10[[#This Row],[CUIT]]="","-",VLOOKUP(compras_mes10[[#This Row],[CUIT]],Lista_CUIT[#All],2,0)),"CUIT NO CARGADO")</f>
        <v>VITABGLASS S.R.L.</v>
      </c>
      <c r="H139" s="46">
        <v>1404940</v>
      </c>
      <c r="I139" s="392">
        <f>IF(compras_mes10[[#This Row],[NETO GRAVADO]]="","",compras_mes10[[#This Row],[NETO GRAVADO]]*0.21)</f>
        <v>295037.39999999997</v>
      </c>
      <c r="J139" s="85"/>
      <c r="K139" s="85"/>
      <c r="L139" s="85"/>
      <c r="M139" s="85"/>
      <c r="N139" s="85"/>
      <c r="O139" s="85"/>
      <c r="P139" s="393">
        <f>SUM(compras_mes10[[#This Row],[NETO GRAVADO]:[Otros / No Grav.]])</f>
        <v>1699977.4</v>
      </c>
      <c r="Q139" s="394" t="str">
        <f>IFERROR(IF(compras_mes10[[#This Row],[CUIT]]="","-",VLOOKUP(compras_mes10[[#This Row],[CUIT]],Lista_CUIT[#All],3,0)),"CUIT NO CARGADO")</f>
        <v>Envases</v>
      </c>
      <c r="R139" s="394">
        <f>IFERROR(IF(compras_mes10[[#This Row],[CUIT]]="","-",VLOOKUP(compras_mes10[[#This Row],[CUIT]],Lista_CUIT[#All],4,0)),"CUIT NO CARGADO")</f>
        <v>0</v>
      </c>
    </row>
    <row r="140" spans="2:18" x14ac:dyDescent="0.25">
      <c r="B140" s="387" t="s">
        <v>2889</v>
      </c>
      <c r="C140" s="547">
        <v>1</v>
      </c>
      <c r="D140" s="388">
        <v>2</v>
      </c>
      <c r="E140" s="389">
        <v>10666</v>
      </c>
      <c r="F140" s="390">
        <v>23180288899</v>
      </c>
      <c r="G140" s="391" t="str">
        <f>IFERROR(IF(compras_mes10[[#This Row],[CUIT]]="","-",VLOOKUP(compras_mes10[[#This Row],[CUIT]],Lista_CUIT[#All],2,0)),"CUIT NO CARGADO")</f>
        <v>ROMERO EMILIO</v>
      </c>
      <c r="H140" s="46">
        <v>1090000</v>
      </c>
      <c r="I140" s="392">
        <f>IF(compras_mes10[[#This Row],[NETO GRAVADO]]="","",compras_mes10[[#This Row],[NETO GRAVADO]]*0.21)</f>
        <v>228900</v>
      </c>
      <c r="J140" s="85"/>
      <c r="K140" s="85"/>
      <c r="L140" s="85"/>
      <c r="M140" s="85"/>
      <c r="N140" s="85"/>
      <c r="O140" s="85"/>
      <c r="P140" s="393">
        <f>SUM(compras_mes10[[#This Row],[NETO GRAVADO]:[Otros / No Grav.]])</f>
        <v>1318900</v>
      </c>
      <c r="Q140" s="394" t="str">
        <f>IFERROR(IF(compras_mes10[[#This Row],[CUIT]]="","-",VLOOKUP(compras_mes10[[#This Row],[CUIT]],Lista_CUIT[#All],3,0)),"CUIT NO CARGADO")</f>
        <v>Gastos Varios</v>
      </c>
      <c r="R140" s="394">
        <f>IFERROR(IF(compras_mes10[[#This Row],[CUIT]]="","-",VLOOKUP(compras_mes10[[#This Row],[CUIT]],Lista_CUIT[#All],4,0)),"CUIT NO CARGADO")</f>
        <v>0</v>
      </c>
    </row>
    <row r="141" spans="2:18" x14ac:dyDescent="0.25">
      <c r="B141" s="387" t="s">
        <v>2890</v>
      </c>
      <c r="C141" s="547">
        <v>1</v>
      </c>
      <c r="D141" s="388">
        <v>4</v>
      </c>
      <c r="E141" s="389">
        <v>11643</v>
      </c>
      <c r="F141" s="390">
        <v>30694547903</v>
      </c>
      <c r="G141" s="391" t="str">
        <f>IFERROR(IF(compras_mes10[[#This Row],[CUIT]]="","-",VLOOKUP(compras_mes10[[#This Row],[CUIT]],Lista_CUIT[#All],2,0)),"CUIT NO CARGADO")</f>
        <v>MULTICAJAS S A</v>
      </c>
      <c r="H141" s="46">
        <v>743801.65</v>
      </c>
      <c r="I141" s="392">
        <f>IF(compras_mes10[[#This Row],[NETO GRAVADO]]="","",compras_mes10[[#This Row],[NETO GRAVADO]]*0.21)</f>
        <v>156198.34649999999</v>
      </c>
      <c r="J141" s="85"/>
      <c r="K141" s="85"/>
      <c r="L141" s="85"/>
      <c r="M141" s="85"/>
      <c r="N141" s="85"/>
      <c r="O141" s="85"/>
      <c r="P141" s="393">
        <f>SUM(compras_mes10[[#This Row],[NETO GRAVADO]:[Otros / No Grav.]])</f>
        <v>899999.99650000001</v>
      </c>
      <c r="Q141" s="394" t="str">
        <f>IFERROR(IF(compras_mes10[[#This Row],[CUIT]]="","-",VLOOKUP(compras_mes10[[#This Row],[CUIT]],Lista_CUIT[#All],3,0)),"CUIT NO CARGADO")</f>
        <v>LIBRERÍA</v>
      </c>
      <c r="R141" s="394">
        <f>IFERROR(IF(compras_mes10[[#This Row],[CUIT]]="","-",VLOOKUP(compras_mes10[[#This Row],[CUIT]],Lista_CUIT[#All],4,0)),"CUIT NO CARGADO")</f>
        <v>0</v>
      </c>
    </row>
    <row r="142" spans="2:18" x14ac:dyDescent="0.25">
      <c r="B142" s="387" t="s">
        <v>2890</v>
      </c>
      <c r="C142" s="547">
        <v>1</v>
      </c>
      <c r="D142" s="388">
        <v>7</v>
      </c>
      <c r="E142" s="389">
        <v>336637</v>
      </c>
      <c r="F142" s="390">
        <v>30716821516</v>
      </c>
      <c r="G142" s="391" t="str">
        <f>IFERROR(IF(compras_mes10[[#This Row],[CUIT]]="","-",VLOOKUP(compras_mes10[[#This Row],[CUIT]],Lista_CUIT[#All],2,0)),"CUIT NO CARGADO")</f>
        <v>GETNET ARGENTINA S. A. U.</v>
      </c>
      <c r="H142" s="46">
        <v>0</v>
      </c>
      <c r="I142" s="392">
        <f>IF(compras_mes10[[#This Row],[NETO GRAVADO]]="","",compras_mes10[[#This Row],[NETO GRAVADO]]*0.21)</f>
        <v>0</v>
      </c>
      <c r="J142" s="85"/>
      <c r="K142" s="85"/>
      <c r="L142" s="85"/>
      <c r="M142" s="85"/>
      <c r="N142" s="85"/>
      <c r="O142" s="85"/>
      <c r="P142" s="393">
        <f>SUM(compras_mes10[[#This Row],[NETO GRAVADO]:[Otros / No Grav.]])</f>
        <v>0</v>
      </c>
      <c r="Q142" s="394" t="str">
        <f>IFERROR(IF(compras_mes10[[#This Row],[CUIT]]="","-",VLOOKUP(compras_mes10[[#This Row],[CUIT]],Lista_CUIT[#All],3,0)),"CUIT NO CARGADO")</f>
        <v>Gastos administrativos</v>
      </c>
      <c r="R142" s="394">
        <f>IFERROR(IF(compras_mes10[[#This Row],[CUIT]]="","-",VLOOKUP(compras_mes10[[#This Row],[CUIT]],Lista_CUIT[#All],4,0)),"CUIT NO CARGADO")</f>
        <v>0</v>
      </c>
    </row>
    <row r="143" spans="2:18" x14ac:dyDescent="0.25">
      <c r="B143" s="387" t="s">
        <v>2890</v>
      </c>
      <c r="C143" s="547">
        <v>1</v>
      </c>
      <c r="D143" s="388">
        <v>3</v>
      </c>
      <c r="E143" s="389">
        <v>33813</v>
      </c>
      <c r="F143" s="390">
        <v>20312616980</v>
      </c>
      <c r="G143" s="391" t="str">
        <f>IFERROR(IF(compras_mes10[[#This Row],[CUIT]]="","-",VLOOKUP(compras_mes10[[#This Row],[CUIT]],Lista_CUIT[#All],2,0)),"CUIT NO CARGADO")</f>
        <v>JUSTINIANO LOZANO PABLO ARIEL</v>
      </c>
      <c r="H143" s="46">
        <v>11268.6</v>
      </c>
      <c r="I143" s="392">
        <f>IF(compras_mes10[[#This Row],[NETO GRAVADO]]="","",compras_mes10[[#This Row],[NETO GRAVADO]]*0.21)</f>
        <v>2366.4059999999999</v>
      </c>
      <c r="J143" s="392"/>
      <c r="K143" s="392"/>
      <c r="L143" s="392"/>
      <c r="M143" s="392"/>
      <c r="N143" s="392"/>
      <c r="O143" s="392"/>
      <c r="P143" s="393">
        <f>SUM(compras_mes10[[#This Row],[NETO GRAVADO]:[Otros / No Grav.]])</f>
        <v>13635.006000000001</v>
      </c>
      <c r="Q143" s="394" t="str">
        <f>IFERROR(IF(compras_mes10[[#This Row],[CUIT]]="","-",VLOOKUP(compras_mes10[[#This Row],[CUIT]],Lista_CUIT[#All],3,0)),"CUIT NO CARGADO")</f>
        <v>Papeleria</v>
      </c>
      <c r="R143" s="394">
        <f>IFERROR(IF(compras_mes10[[#This Row],[CUIT]]="","-",VLOOKUP(compras_mes10[[#This Row],[CUIT]],Lista_CUIT[#All],4,0)),"CUIT NO CARGADO")</f>
        <v>0</v>
      </c>
    </row>
    <row r="144" spans="2:18" x14ac:dyDescent="0.25">
      <c r="B144" s="387" t="s">
        <v>2890</v>
      </c>
      <c r="C144" s="547">
        <v>1</v>
      </c>
      <c r="D144" s="388">
        <v>14</v>
      </c>
      <c r="E144" s="389">
        <v>19443</v>
      </c>
      <c r="F144" s="390">
        <v>30715186256</v>
      </c>
      <c r="G144" s="391" t="str">
        <f>IFERROR(IF(compras_mes10[[#This Row],[CUIT]]="","-",VLOOKUP(compras_mes10[[#This Row],[CUIT]],Lista_CUIT[#All],2,0)),"CUIT NO CARGADO")</f>
        <v>FRIGORIFICO ALIMENTIC</v>
      </c>
      <c r="H144" s="46">
        <v>91009.38</v>
      </c>
      <c r="I144" s="392">
        <v>5833.7</v>
      </c>
      <c r="J144" s="85"/>
      <c r="K144" s="85">
        <v>6639.14</v>
      </c>
      <c r="L144" s="85"/>
      <c r="M144" s="85"/>
      <c r="N144" s="85"/>
      <c r="O144" s="85"/>
      <c r="P144" s="393">
        <f>SUM(compras_mes10[[#This Row],[NETO GRAVADO]:[Otros / No Grav.]])</f>
        <v>103482.22</v>
      </c>
      <c r="Q144" s="394" t="str">
        <f>IFERROR(IF(compras_mes10[[#This Row],[CUIT]]="","-",VLOOKUP(compras_mes10[[#This Row],[CUIT]],Lista_CUIT[#All],3,0)),"CUIT NO CARGADO")</f>
        <v>Gastos Comercializacion - Feria</v>
      </c>
      <c r="R144" s="394">
        <f>IFERROR(IF(compras_mes10[[#This Row],[CUIT]]="","-",VLOOKUP(compras_mes10[[#This Row],[CUIT]],Lista_CUIT[#All],4,0)),"CUIT NO CARGADO")</f>
        <v>0</v>
      </c>
    </row>
    <row r="145" spans="2:18" x14ac:dyDescent="0.25">
      <c r="B145" s="387" t="s">
        <v>2890</v>
      </c>
      <c r="C145" s="547">
        <v>1</v>
      </c>
      <c r="D145" s="388">
        <v>3</v>
      </c>
      <c r="E145" s="389">
        <v>15326</v>
      </c>
      <c r="F145" s="390">
        <v>30708232439</v>
      </c>
      <c r="G145" s="391" t="str">
        <f>IFERROR(IF(compras_mes10[[#This Row],[CUIT]]="","-",VLOOKUP(compras_mes10[[#This Row],[CUIT]],Lista_CUIT[#All],2,0)),"CUIT NO CARGADO")</f>
        <v>LUMEN GLASS SRL</v>
      </c>
      <c r="H145" s="46">
        <v>3779371.05</v>
      </c>
      <c r="I145" s="392">
        <f>IF(compras_mes10[[#This Row],[NETO GRAVADO]]="","",compras_mes10[[#This Row],[NETO GRAVADO]]*0.21)</f>
        <v>793667.92049999989</v>
      </c>
      <c r="J145" s="85"/>
      <c r="K145" s="85"/>
      <c r="L145" s="85"/>
      <c r="M145" s="85"/>
      <c r="N145" s="85"/>
      <c r="O145" s="85"/>
      <c r="P145" s="393">
        <f>SUM(compras_mes10[[#This Row],[NETO GRAVADO]:[Otros / No Grav.]])</f>
        <v>4573038.9704999998</v>
      </c>
      <c r="Q145" s="394" t="str">
        <f>IFERROR(IF(compras_mes10[[#This Row],[CUIT]]="","-",VLOOKUP(compras_mes10[[#This Row],[CUIT]],Lista_CUIT[#All],3,0)),"CUIT NO CARGADO")</f>
        <v>Envases</v>
      </c>
      <c r="R145" s="394">
        <f>IFERROR(IF(compras_mes10[[#This Row],[CUIT]]="","-",VLOOKUP(compras_mes10[[#This Row],[CUIT]],Lista_CUIT[#All],4,0)),"CUIT NO CARGADO")</f>
        <v>0</v>
      </c>
    </row>
    <row r="146" spans="2:18" x14ac:dyDescent="0.25">
      <c r="B146" s="387" t="s">
        <v>2890</v>
      </c>
      <c r="C146" s="547">
        <v>1</v>
      </c>
      <c r="D146" s="388">
        <v>5015</v>
      </c>
      <c r="E146" s="389">
        <v>1034000</v>
      </c>
      <c r="F146" s="390">
        <v>30574876474</v>
      </c>
      <c r="G146" s="391" t="str">
        <f>IFERROR(IF(compras_mes10[[#This Row],[CUIT]]="","-",VLOOKUP(compras_mes10[[#This Row],[CUIT]],Lista_CUIT[#All],2,0)),"CUIT NO CARGADO")</f>
        <v>AUTOPISTAS URBANAS S A</v>
      </c>
      <c r="H146" s="46">
        <v>175214.16</v>
      </c>
      <c r="I146" s="392">
        <f>IF(compras_mes10[[#This Row],[NETO GRAVADO]]="","",compras_mes10[[#This Row],[NETO GRAVADO]]*0.21)</f>
        <v>36794.973599999998</v>
      </c>
      <c r="J146" s="85"/>
      <c r="K146" s="85"/>
      <c r="L146" s="85"/>
      <c r="M146" s="85"/>
      <c r="N146" s="85"/>
      <c r="O146" s="85">
        <v>22777.78</v>
      </c>
      <c r="P146" s="393">
        <f>SUM(compras_mes10[[#This Row],[NETO GRAVADO]:[Otros / No Grav.]])</f>
        <v>234786.9136</v>
      </c>
      <c r="Q146" s="394" t="str">
        <f>IFERROR(IF(compras_mes10[[#This Row],[CUIT]]="","-",VLOOKUP(compras_mes10[[#This Row],[CUIT]],Lista_CUIT[#All],3,0)),"CUIT NO CARGADO")</f>
        <v>Peajes</v>
      </c>
      <c r="R146" s="394">
        <f>IFERROR(IF(compras_mes10[[#This Row],[CUIT]]="","-",VLOOKUP(compras_mes10[[#This Row],[CUIT]],Lista_CUIT[#All],4,0)),"CUIT NO CARGADO")</f>
        <v>0</v>
      </c>
    </row>
    <row r="147" spans="2:18" x14ac:dyDescent="0.25">
      <c r="B147" s="387" t="s">
        <v>2890</v>
      </c>
      <c r="C147" s="547">
        <v>1</v>
      </c>
      <c r="D147" s="388">
        <v>2</v>
      </c>
      <c r="E147" s="389">
        <v>4180</v>
      </c>
      <c r="F147" s="390">
        <v>30629863571</v>
      </c>
      <c r="G147" s="391" t="str">
        <f>IFERROR(IF(compras_mes10[[#This Row],[CUIT]]="","-",VLOOKUP(compras_mes10[[#This Row],[CUIT]],Lista_CUIT[#All],2,0)),"CUIT NO CARGADO")</f>
        <v>TECNIMAR S R L</v>
      </c>
      <c r="H147" s="46">
        <v>1959930</v>
      </c>
      <c r="I147" s="392">
        <f>IF(compras_mes10[[#This Row],[NETO GRAVADO]]="","",compras_mes10[[#This Row],[NETO GRAVADO]]*0.21)</f>
        <v>411585.3</v>
      </c>
      <c r="J147" s="85"/>
      <c r="K147" s="85"/>
      <c r="L147" s="85"/>
      <c r="M147" s="85"/>
      <c r="N147" s="85"/>
      <c r="O147" s="85"/>
      <c r="P147" s="393">
        <f>SUM(compras_mes10[[#This Row],[NETO GRAVADO]:[Otros / No Grav.]])</f>
        <v>2371515.2999999998</v>
      </c>
      <c r="Q147" s="394" t="str">
        <f>IFERROR(IF(compras_mes10[[#This Row],[CUIT]]="","-",VLOOKUP(compras_mes10[[#This Row],[CUIT]],Lista_CUIT[#All],3,0)),"CUIT NO CARGADO")</f>
        <v>Productos Venta</v>
      </c>
      <c r="R147" s="394">
        <f>IFERROR(IF(compras_mes10[[#This Row],[CUIT]]="","-",VLOOKUP(compras_mes10[[#This Row],[CUIT]],Lista_CUIT[#All],4,0)),"CUIT NO CARGADO")</f>
        <v>0</v>
      </c>
    </row>
    <row r="148" spans="2:18" x14ac:dyDescent="0.25">
      <c r="B148" s="387" t="s">
        <v>2890</v>
      </c>
      <c r="C148" s="547">
        <v>1</v>
      </c>
      <c r="D148" s="388">
        <v>2</v>
      </c>
      <c r="E148" s="389">
        <v>9118</v>
      </c>
      <c r="F148" s="390">
        <v>30714284963</v>
      </c>
      <c r="G148" s="391" t="str">
        <f>IFERROR(IF(compras_mes10[[#This Row],[CUIT]]="","-",VLOOKUP(compras_mes10[[#This Row],[CUIT]],Lista_CUIT[#All],2,0)),"CUIT NO CARGADO")</f>
        <v>ENGYMAN SRL</v>
      </c>
      <c r="H148" s="46">
        <v>180000</v>
      </c>
      <c r="I148" s="392">
        <f>IF(compras_mes10[[#This Row],[NETO GRAVADO]]="","",compras_mes10[[#This Row],[NETO GRAVADO]]*0.21)</f>
        <v>37800</v>
      </c>
      <c r="J148" s="85"/>
      <c r="K148" s="85"/>
      <c r="L148" s="85"/>
      <c r="M148" s="85"/>
      <c r="N148" s="85"/>
      <c r="O148" s="85"/>
      <c r="P148" s="393">
        <f>SUM(compras_mes10[[#This Row],[NETO GRAVADO]:[Otros / No Grav.]])</f>
        <v>217800</v>
      </c>
      <c r="Q148" s="394" t="str">
        <f>IFERROR(IF(compras_mes10[[#This Row],[CUIT]]="","-",VLOOKUP(compras_mes10[[#This Row],[CUIT]],Lista_CUIT[#All],3,0)),"CUIT NO CARGADO")</f>
        <v>Gastos Varios</v>
      </c>
      <c r="R148" s="394">
        <f>IFERROR(IF(compras_mes10[[#This Row],[CUIT]]="","-",VLOOKUP(compras_mes10[[#This Row],[CUIT]],Lista_CUIT[#All],4,0)),"CUIT NO CARGADO")</f>
        <v>0</v>
      </c>
    </row>
    <row r="149" spans="2:18" x14ac:dyDescent="0.25">
      <c r="B149" s="387" t="s">
        <v>2891</v>
      </c>
      <c r="C149" s="547">
        <v>1</v>
      </c>
      <c r="D149" s="388">
        <v>2</v>
      </c>
      <c r="E149" s="389">
        <v>1137</v>
      </c>
      <c r="F149" s="390">
        <v>30718095421</v>
      </c>
      <c r="G149" s="391" t="str">
        <f>IFERROR(IF(compras_mes10[[#This Row],[CUIT]]="","-",VLOOKUP(compras_mes10[[#This Row],[CUIT]],Lista_CUIT[#All],2,0)),"CUIT NO CARGADO")</f>
        <v>EPA ENVASES S.R.L.</v>
      </c>
      <c r="H149" s="46">
        <v>261801.65</v>
      </c>
      <c r="I149" s="392">
        <f>IF(compras_mes10[[#This Row],[NETO GRAVADO]]="","",compras_mes10[[#This Row],[NETO GRAVADO]]*0.21)</f>
        <v>54978.3465</v>
      </c>
      <c r="J149" s="85"/>
      <c r="K149" s="85"/>
      <c r="L149" s="85"/>
      <c r="M149" s="85"/>
      <c r="N149" s="85"/>
      <c r="O149" s="85"/>
      <c r="P149" s="393">
        <f>SUM(compras_mes10[[#This Row],[NETO GRAVADO]:[Otros / No Grav.]])</f>
        <v>316779.99650000001</v>
      </c>
      <c r="Q149" s="394" t="str">
        <f>IFERROR(IF(compras_mes10[[#This Row],[CUIT]]="","-",VLOOKUP(compras_mes10[[#This Row],[CUIT]],Lista_CUIT[#All],3,0)),"CUIT NO CARGADO")</f>
        <v>Envases</v>
      </c>
      <c r="R149" s="394">
        <f>IFERROR(IF(compras_mes10[[#This Row],[CUIT]]="","-",VLOOKUP(compras_mes10[[#This Row],[CUIT]],Lista_CUIT[#All],4,0)),"CUIT NO CARGADO")</f>
        <v>0</v>
      </c>
    </row>
    <row r="150" spans="2:18" x14ac:dyDescent="0.25">
      <c r="B150" s="387" t="s">
        <v>2891</v>
      </c>
      <c r="C150" s="547">
        <v>1</v>
      </c>
      <c r="D150" s="388">
        <v>75</v>
      </c>
      <c r="E150" s="389">
        <v>330000</v>
      </c>
      <c r="F150" s="390">
        <v>30546741253</v>
      </c>
      <c r="G150" s="391" t="str">
        <f>IFERROR(IF(compras_mes10[[#This Row],[CUIT]]="","-",VLOOKUP(compras_mes10[[#This Row],[CUIT]],Lista_CUIT[#All],2,0)),"CUIT NO CARGADO")</f>
        <v>OSDE </v>
      </c>
      <c r="H150" s="46">
        <v>674370.15</v>
      </c>
      <c r="I150" s="85" t="s">
        <v>2411</v>
      </c>
      <c r="J150" s="85"/>
      <c r="K150" s="85">
        <f>compras_mes10[[#This Row],[NETO GRAVADO]]*0.105</f>
        <v>70808.865749999997</v>
      </c>
      <c r="L150" s="85"/>
      <c r="M150" s="85"/>
      <c r="N150" s="85"/>
      <c r="O150" s="85">
        <v>40462.21</v>
      </c>
      <c r="P150" s="393">
        <f>SUM(compras_mes10[[#This Row],[NETO GRAVADO]:[Otros / No Grav.]])</f>
        <v>785641.22574999998</v>
      </c>
      <c r="Q150" s="394" t="str">
        <f>IFERROR(IF(compras_mes10[[#This Row],[CUIT]]="","-",VLOOKUP(compras_mes10[[#This Row],[CUIT]],Lista_CUIT[#All],3,0)),"CUIT NO CARGADO")</f>
        <v>Prepaga corporativa</v>
      </c>
      <c r="R150" s="394">
        <f>IFERROR(IF(compras_mes10[[#This Row],[CUIT]]="","-",VLOOKUP(compras_mes10[[#This Row],[CUIT]],Lista_CUIT[#All],4,0)),"CUIT NO CARGADO")</f>
        <v>0</v>
      </c>
    </row>
    <row r="151" spans="2:18" x14ac:dyDescent="0.25">
      <c r="B151" s="387" t="s">
        <v>2892</v>
      </c>
      <c r="C151" s="547">
        <v>1</v>
      </c>
      <c r="D151" s="388">
        <v>6</v>
      </c>
      <c r="E151" s="389">
        <v>8469</v>
      </c>
      <c r="F151" s="390">
        <v>27286944588</v>
      </c>
      <c r="G151" s="391" t="str">
        <f>IFERROR(IF(compras_mes10[[#This Row],[CUIT]]="","-",VLOOKUP(compras_mes10[[#This Row],[CUIT]],Lista_CUIT[#All],2,0)),"CUIT NO CARGADO")</f>
        <v>CUSATI MARIA TERESA</v>
      </c>
      <c r="H151" s="46">
        <v>22819.83</v>
      </c>
      <c r="I151" s="392">
        <f>IF(compras_mes10[[#This Row],[NETO GRAVADO]]="","",compras_mes10[[#This Row],[NETO GRAVADO]]*0.21)</f>
        <v>4792.1643000000004</v>
      </c>
      <c r="J151" s="85"/>
      <c r="K151" s="85"/>
      <c r="L151" s="85"/>
      <c r="M151" s="85"/>
      <c r="N151" s="85"/>
      <c r="O151" s="85"/>
      <c r="P151" s="393">
        <f>SUM(compras_mes10[[#This Row],[NETO GRAVADO]:[Otros / No Grav.]])</f>
        <v>27611.994300000002</v>
      </c>
      <c r="Q151" s="394" t="str">
        <f>IFERROR(IF(compras_mes10[[#This Row],[CUIT]]="","-",VLOOKUP(compras_mes10[[#This Row],[CUIT]],Lista_CUIT[#All],3,0)),"CUIT NO CARGADO")</f>
        <v>Gastos Varios</v>
      </c>
      <c r="R151" s="394">
        <f>IFERROR(IF(compras_mes10[[#This Row],[CUIT]]="","-",VLOOKUP(compras_mes10[[#This Row],[CUIT]],Lista_CUIT[#All],4,0)),"CUIT NO CARGADO")</f>
        <v>0</v>
      </c>
    </row>
    <row r="152" spans="2:18" x14ac:dyDescent="0.25">
      <c r="B152" s="387" t="s">
        <v>2892</v>
      </c>
      <c r="C152" s="547">
        <v>1</v>
      </c>
      <c r="D152" s="388">
        <v>6</v>
      </c>
      <c r="E152" s="389">
        <v>8470</v>
      </c>
      <c r="F152" s="390">
        <v>27286944588</v>
      </c>
      <c r="G152" s="391" t="str">
        <f>IFERROR(IF(compras_mes10[[#This Row],[CUIT]]="","-",VLOOKUP(compras_mes10[[#This Row],[CUIT]],Lista_CUIT[#All],2,0)),"CUIT NO CARGADO")</f>
        <v>CUSATI MARIA TERESA</v>
      </c>
      <c r="H152" s="46">
        <v>5704.96</v>
      </c>
      <c r="I152" s="392">
        <f>IF(compras_mes10[[#This Row],[NETO GRAVADO]]="","",compras_mes10[[#This Row],[NETO GRAVADO]]*0.21)</f>
        <v>1198.0416</v>
      </c>
      <c r="J152" s="85"/>
      <c r="K152" s="85"/>
      <c r="L152" s="85"/>
      <c r="M152" s="85"/>
      <c r="N152" s="85"/>
      <c r="O152" s="85"/>
      <c r="P152" s="393">
        <f>SUM(compras_mes10[[#This Row],[NETO GRAVADO]:[Otros / No Grav.]])</f>
        <v>6903.0015999999996</v>
      </c>
      <c r="Q152" s="394" t="str">
        <f>IFERROR(IF(compras_mes10[[#This Row],[CUIT]]="","-",VLOOKUP(compras_mes10[[#This Row],[CUIT]],Lista_CUIT[#All],3,0)),"CUIT NO CARGADO")</f>
        <v>Gastos Varios</v>
      </c>
      <c r="R152" s="394">
        <f>IFERROR(IF(compras_mes10[[#This Row],[CUIT]]="","-",VLOOKUP(compras_mes10[[#This Row],[CUIT]],Lista_CUIT[#All],4,0)),"CUIT NO CARGADO")</f>
        <v>0</v>
      </c>
    </row>
    <row r="153" spans="2:18" x14ac:dyDescent="0.25">
      <c r="B153" s="387" t="s">
        <v>2892</v>
      </c>
      <c r="C153" s="547">
        <v>1</v>
      </c>
      <c r="D153" s="388">
        <v>3</v>
      </c>
      <c r="E153" s="389">
        <v>187</v>
      </c>
      <c r="F153" s="390">
        <v>20232842823</v>
      </c>
      <c r="G153" s="391" t="str">
        <f>IFERROR(IF(compras_mes10[[#This Row],[CUIT]]="","-",VLOOKUP(compras_mes10[[#This Row],[CUIT]],Lista_CUIT[#All],2,0)),"CUIT NO CARGADO")</f>
        <v>VEITMAN DAVID FERNANDO</v>
      </c>
      <c r="H153" s="46">
        <v>15702.48</v>
      </c>
      <c r="I153" s="392">
        <f>IF(compras_mes10[[#This Row],[NETO GRAVADO]]="","",compras_mes10[[#This Row],[NETO GRAVADO]]*0.21)</f>
        <v>3297.5207999999998</v>
      </c>
      <c r="J153" s="85"/>
      <c r="K153" s="85"/>
      <c r="L153" s="85"/>
      <c r="M153" s="85"/>
      <c r="N153" s="85"/>
      <c r="O153" s="85"/>
      <c r="P153" s="393">
        <f>SUM(compras_mes10[[#This Row],[NETO GRAVADO]:[Otros / No Grav.]])</f>
        <v>19000.000799999998</v>
      </c>
      <c r="Q153" s="394" t="str">
        <f>IFERROR(IF(compras_mes10[[#This Row],[CUIT]]="","-",VLOOKUP(compras_mes10[[#This Row],[CUIT]],Lista_CUIT[#All],3,0)),"CUIT NO CARGADO")</f>
        <v>Serv. Gaz, Luz, etc</v>
      </c>
      <c r="R153" s="394">
        <f>IFERROR(IF(compras_mes10[[#This Row],[CUIT]]="","-",VLOOKUP(compras_mes10[[#This Row],[CUIT]],Lista_CUIT[#All],4,0)),"CUIT NO CARGADO")</f>
        <v>0</v>
      </c>
    </row>
    <row r="154" spans="2:18" x14ac:dyDescent="0.25">
      <c r="B154" s="387" t="s">
        <v>2893</v>
      </c>
      <c r="C154" s="547">
        <v>1</v>
      </c>
      <c r="D154" s="388">
        <v>7</v>
      </c>
      <c r="E154" s="389">
        <v>2719</v>
      </c>
      <c r="F154" s="390">
        <v>20371136046</v>
      </c>
      <c r="G154" s="391" t="str">
        <f>IFERROR(IF(compras_mes10[[#This Row],[CUIT]]="","-",VLOOKUP(compras_mes10[[#This Row],[CUIT]],Lista_CUIT[#All],2,0)),"CUIT NO CARGADO")</f>
        <v>SCIARILLO NICOLAS DANIEL</v>
      </c>
      <c r="H154" s="46">
        <v>12354.55</v>
      </c>
      <c r="I154" s="392">
        <f>IF(compras_mes10[[#This Row],[NETO GRAVADO]]="","",compras_mes10[[#This Row],[NETO GRAVADO]]*0.21)</f>
        <v>2594.4554999999996</v>
      </c>
      <c r="J154" s="85"/>
      <c r="K154" s="85"/>
      <c r="L154" s="85"/>
      <c r="M154" s="85"/>
      <c r="N154" s="85"/>
      <c r="O154" s="85"/>
      <c r="P154" s="393">
        <f>SUM(compras_mes10[[#This Row],[NETO GRAVADO]:[Otros / No Grav.]])</f>
        <v>14949.005499999999</v>
      </c>
      <c r="Q154" s="394" t="str">
        <f>IFERROR(IF(compras_mes10[[#This Row],[CUIT]]="","-",VLOOKUP(compras_mes10[[#This Row],[CUIT]],Lista_CUIT[#All],3,0)),"CUIT NO CARGADO")</f>
        <v>Software Mantenimiento</v>
      </c>
      <c r="R154" s="394">
        <f>IFERROR(IF(compras_mes10[[#This Row],[CUIT]]="","-",VLOOKUP(compras_mes10[[#This Row],[CUIT]],Lista_CUIT[#All],4,0)),"CUIT NO CARGADO")</f>
        <v>0</v>
      </c>
    </row>
    <row r="155" spans="2:18" x14ac:dyDescent="0.25">
      <c r="B155" s="387" t="s">
        <v>2893</v>
      </c>
      <c r="C155" s="547">
        <v>1</v>
      </c>
      <c r="D155" s="388">
        <v>7</v>
      </c>
      <c r="E155" s="389">
        <v>2720</v>
      </c>
      <c r="F155" s="390">
        <v>20371136046</v>
      </c>
      <c r="G155" s="391" t="str">
        <f>IFERROR(IF(compras_mes10[[#This Row],[CUIT]]="","-",VLOOKUP(compras_mes10[[#This Row],[CUIT]],Lista_CUIT[#All],2,0)),"CUIT NO CARGADO")</f>
        <v>SCIARILLO NICOLAS DANIEL</v>
      </c>
      <c r="H155" s="46">
        <v>12354.55</v>
      </c>
      <c r="I155" s="392">
        <f>IF(compras_mes10[[#This Row],[NETO GRAVADO]]="","",compras_mes10[[#This Row],[NETO GRAVADO]]*0.21)</f>
        <v>2594.4554999999996</v>
      </c>
      <c r="J155" s="85"/>
      <c r="K155" s="85"/>
      <c r="L155" s="85"/>
      <c r="M155" s="85"/>
      <c r="N155" s="85"/>
      <c r="O155" s="85"/>
      <c r="P155" s="393">
        <f>SUM(compras_mes10[[#This Row],[NETO GRAVADO]:[Otros / No Grav.]])</f>
        <v>14949.005499999999</v>
      </c>
      <c r="Q155" s="394" t="str">
        <f>IFERROR(IF(compras_mes10[[#This Row],[CUIT]]="","-",VLOOKUP(compras_mes10[[#This Row],[CUIT]],Lista_CUIT[#All],3,0)),"CUIT NO CARGADO")</f>
        <v>Software Mantenimiento</v>
      </c>
      <c r="R155" s="394">
        <f>IFERROR(IF(compras_mes10[[#This Row],[CUIT]]="","-",VLOOKUP(compras_mes10[[#This Row],[CUIT]],Lista_CUIT[#All],4,0)),"CUIT NO CARGADO")</f>
        <v>0</v>
      </c>
    </row>
    <row r="156" spans="2:18" x14ac:dyDescent="0.25">
      <c r="B156" s="387" t="s">
        <v>2893</v>
      </c>
      <c r="C156" s="547">
        <v>1</v>
      </c>
      <c r="D156" s="388">
        <v>7</v>
      </c>
      <c r="E156" s="389">
        <v>2721</v>
      </c>
      <c r="F156" s="390">
        <v>20371136046</v>
      </c>
      <c r="G156" s="391" t="str">
        <f>IFERROR(IF(compras_mes10[[#This Row],[CUIT]]="","-",VLOOKUP(compras_mes10[[#This Row],[CUIT]],Lista_CUIT[#All],2,0)),"CUIT NO CARGADO")</f>
        <v>SCIARILLO NICOLAS DANIEL</v>
      </c>
      <c r="H156" s="46">
        <v>12354.55</v>
      </c>
      <c r="I156" s="392">
        <f>IF(compras_mes10[[#This Row],[NETO GRAVADO]]="","",compras_mes10[[#This Row],[NETO GRAVADO]]*0.21)</f>
        <v>2594.4554999999996</v>
      </c>
      <c r="J156" s="85"/>
      <c r="K156" s="85"/>
      <c r="L156" s="85"/>
      <c r="M156" s="85"/>
      <c r="N156" s="85"/>
      <c r="O156" s="85"/>
      <c r="P156" s="393">
        <f>SUM(compras_mes10[[#This Row],[NETO GRAVADO]:[Otros / No Grav.]])</f>
        <v>14949.005499999999</v>
      </c>
      <c r="Q156" s="394" t="str">
        <f>IFERROR(IF(compras_mes10[[#This Row],[CUIT]]="","-",VLOOKUP(compras_mes10[[#This Row],[CUIT]],Lista_CUIT[#All],3,0)),"CUIT NO CARGADO")</f>
        <v>Software Mantenimiento</v>
      </c>
      <c r="R156" s="394">
        <f>IFERROR(IF(compras_mes10[[#This Row],[CUIT]]="","-",VLOOKUP(compras_mes10[[#This Row],[CUIT]],Lista_CUIT[#All],4,0)),"CUIT NO CARGADO")</f>
        <v>0</v>
      </c>
    </row>
    <row r="157" spans="2:18" x14ac:dyDescent="0.25">
      <c r="B157" s="387" t="s">
        <v>2893</v>
      </c>
      <c r="C157" s="547">
        <v>1</v>
      </c>
      <c r="D157" s="388">
        <v>7</v>
      </c>
      <c r="E157" s="389">
        <v>2722</v>
      </c>
      <c r="F157" s="390">
        <v>20371136046</v>
      </c>
      <c r="G157" s="45" t="str">
        <f>IFERROR(IF(compras_mes10[[#This Row],[CUIT]]="","-",VLOOKUP(compras_mes10[[#This Row],[CUIT]],Lista_CUIT[#All],2,0)),"CUIT NO CARGADO")</f>
        <v>SCIARILLO NICOLAS DANIEL</v>
      </c>
      <c r="H157" s="46">
        <v>12354.55</v>
      </c>
      <c r="I157" s="392">
        <f>IF(compras_mes10[[#This Row],[NETO GRAVADO]]="","",compras_mes10[[#This Row],[NETO GRAVADO]]*0.21)</f>
        <v>2594.4554999999996</v>
      </c>
      <c r="J157" s="85"/>
      <c r="K157" s="85"/>
      <c r="L157" s="85"/>
      <c r="M157" s="85"/>
      <c r="N157" s="85"/>
      <c r="O157" s="85"/>
      <c r="P157" s="48">
        <f>SUM(compras_mes10[[#This Row],[NETO GRAVADO]:[Otros / No Grav.]])</f>
        <v>14949.005499999999</v>
      </c>
      <c r="Q157" s="49" t="str">
        <f>IFERROR(IF(compras_mes10[[#This Row],[CUIT]]="","-",VLOOKUP(compras_mes10[[#This Row],[CUIT]],Lista_CUIT[#All],3,0)),"CUIT NO CARGADO")</f>
        <v>Software Mantenimiento</v>
      </c>
      <c r="R157" s="49">
        <f>IFERROR(IF(compras_mes10[[#This Row],[CUIT]]="","-",VLOOKUP(compras_mes10[[#This Row],[CUIT]],Lista_CUIT[#All],4,0)),"CUIT NO CARGADO")</f>
        <v>0</v>
      </c>
    </row>
    <row r="158" spans="2:18" x14ac:dyDescent="0.25">
      <c r="B158" s="387" t="s">
        <v>2893</v>
      </c>
      <c r="C158" s="547">
        <v>1</v>
      </c>
      <c r="D158" s="388">
        <v>2215</v>
      </c>
      <c r="E158" s="389">
        <v>59104</v>
      </c>
      <c r="F158" s="390">
        <v>30548083156</v>
      </c>
      <c r="G158" s="391" t="str">
        <f>IFERROR(IF(compras_mes10[[#This Row],[CUIT]]="","-",VLOOKUP(compras_mes10[[#This Row],[CUIT]],Lista_CUIT[#All],2,0)),"CUIT NO CARGADO")</f>
        <v>COTO CENTRO INTEGRAL DE COMERCIALIZACION SOCIEDAD ANONIMA</v>
      </c>
      <c r="H158" s="46">
        <v>42221.599999999999</v>
      </c>
      <c r="I158" s="392">
        <v>7841.85</v>
      </c>
      <c r="J158" s="392"/>
      <c r="K158" s="392">
        <v>512.35</v>
      </c>
      <c r="L158" s="392"/>
      <c r="M158" s="392"/>
      <c r="N158" s="392"/>
      <c r="O158" s="392">
        <v>3651.84</v>
      </c>
      <c r="P158" s="393">
        <f>SUM(compras_mes10[[#This Row],[NETO GRAVADO]:[Otros / No Grav.]])</f>
        <v>54227.64</v>
      </c>
      <c r="Q158" s="394" t="str">
        <f>IFERROR(IF(compras_mes10[[#This Row],[CUIT]]="","-",VLOOKUP(compras_mes10[[#This Row],[CUIT]],Lista_CUIT[#All],3,0)),"CUIT NO CARGADO")</f>
        <v>Gastos Varios</v>
      </c>
      <c r="R158" s="394">
        <f>IFERROR(IF(compras_mes10[[#This Row],[CUIT]]="","-",VLOOKUP(compras_mes10[[#This Row],[CUIT]],Lista_CUIT[#All],4,0)),"CUIT NO CARGADO")</f>
        <v>0</v>
      </c>
    </row>
    <row r="159" spans="2:18" x14ac:dyDescent="0.25">
      <c r="B159" s="387" t="s">
        <v>2894</v>
      </c>
      <c r="C159" s="547">
        <v>1</v>
      </c>
      <c r="D159" s="388">
        <v>2</v>
      </c>
      <c r="E159" s="389">
        <v>1250</v>
      </c>
      <c r="F159" s="390">
        <v>27317740196</v>
      </c>
      <c r="G159" s="391" t="str">
        <f>IFERROR(IF(compras_mes10[[#This Row],[CUIT]]="","-",VLOOKUP(compras_mes10[[#This Row],[CUIT]],Lista_CUIT[#All],2,0)),"CUIT NO CARGADO")</f>
        <v>HOKAMA ROMINA PAOLA</v>
      </c>
      <c r="H159" s="507">
        <v>25276.85</v>
      </c>
      <c r="I159" s="392">
        <f>IF(compras_mes10[[#This Row],[NETO GRAVADO]]="","",compras_mes10[[#This Row],[NETO GRAVADO]]*0.21)</f>
        <v>5308.1384999999991</v>
      </c>
      <c r="J159" s="392"/>
      <c r="K159" s="392"/>
      <c r="L159" s="392"/>
      <c r="M159" s="392"/>
      <c r="N159" s="392"/>
      <c r="O159" s="392"/>
      <c r="P159" s="393">
        <f>SUM(compras_mes10[[#This Row],[NETO GRAVADO]:[Otros / No Grav.]])</f>
        <v>30584.988499999999</v>
      </c>
      <c r="Q159" s="394" t="str">
        <f>IFERROR(IF(compras_mes10[[#This Row],[CUIT]]="","-",VLOOKUP(compras_mes10[[#This Row],[CUIT]],Lista_CUIT[#All],3,0)),"CUIT NO CARGADO")</f>
        <v>Gastos Varios</v>
      </c>
      <c r="R159" s="394">
        <f>IFERROR(IF(compras_mes10[[#This Row],[CUIT]]="","-",VLOOKUP(compras_mes10[[#This Row],[CUIT]],Lista_CUIT[#All],4,0)),"CUIT NO CARGADO")</f>
        <v>0</v>
      </c>
    </row>
    <row r="160" spans="2:18" x14ac:dyDescent="0.25">
      <c r="B160" s="387" t="s">
        <v>2894</v>
      </c>
      <c r="C160" s="547">
        <v>1</v>
      </c>
      <c r="D160" s="388">
        <v>3</v>
      </c>
      <c r="E160" s="389">
        <v>3486</v>
      </c>
      <c r="F160" s="390">
        <v>20920906754</v>
      </c>
      <c r="G160" s="391" t="str">
        <f>IFERROR(IF(compras_mes10[[#This Row],[CUIT]]="","-",VLOOKUP(compras_mes10[[#This Row],[CUIT]],Lista_CUIT[#All],2,0)),"CUIT NO CARGADO")</f>
        <v>CORALES CARABALLO ANIBAL</v>
      </c>
      <c r="H160" s="46">
        <v>119835</v>
      </c>
      <c r="I160" s="392">
        <f>IF(compras_mes10[[#This Row],[NETO GRAVADO]]="","",compras_mes10[[#This Row],[NETO GRAVADO]]*0.21)</f>
        <v>25165.35</v>
      </c>
      <c r="J160" s="85"/>
      <c r="K160" s="85"/>
      <c r="L160" s="85"/>
      <c r="M160" s="85"/>
      <c r="N160" s="85"/>
      <c r="O160" s="85"/>
      <c r="P160" s="393">
        <f>SUM(compras_mes10[[#This Row],[NETO GRAVADO]:[Otros / No Grav.]])</f>
        <v>145000.35</v>
      </c>
      <c r="Q160" s="394" t="str">
        <f>IFERROR(IF(compras_mes10[[#This Row],[CUIT]]="","-",VLOOKUP(compras_mes10[[#This Row],[CUIT]],Lista_CUIT[#All],3,0)),"CUIT NO CARGADO")</f>
        <v>MANTENIMIENTO</v>
      </c>
      <c r="R160" s="394">
        <f>IFERROR(IF(compras_mes10[[#This Row],[CUIT]]="","-",VLOOKUP(compras_mes10[[#This Row],[CUIT]],Lista_CUIT[#All],4,0)),"CUIT NO CARGADO")</f>
        <v>0</v>
      </c>
    </row>
    <row r="161" spans="1:18" x14ac:dyDescent="0.25">
      <c r="B161" s="387" t="s">
        <v>2894</v>
      </c>
      <c r="C161" s="547">
        <v>1</v>
      </c>
      <c r="D161" s="388">
        <v>2</v>
      </c>
      <c r="E161" s="389">
        <v>4181</v>
      </c>
      <c r="F161" s="390">
        <v>30629863571</v>
      </c>
      <c r="G161" s="391" t="str">
        <f>IFERROR(IF(compras_mes10[[#This Row],[CUIT]]="","-",VLOOKUP(compras_mes10[[#This Row],[CUIT]],Lista_CUIT[#All],2,0)),"CUIT NO CARGADO")</f>
        <v>TECNIMAR S R L</v>
      </c>
      <c r="H161" s="46">
        <v>2660844</v>
      </c>
      <c r="I161" s="392">
        <f>IF(compras_mes10[[#This Row],[NETO GRAVADO]]="","",compras_mes10[[#This Row],[NETO GRAVADO]]*0.21)</f>
        <v>558777.24</v>
      </c>
      <c r="J161" s="85"/>
      <c r="K161" s="85"/>
      <c r="L161" s="85"/>
      <c r="M161" s="85"/>
      <c r="N161" s="85"/>
      <c r="O161" s="85"/>
      <c r="P161" s="393">
        <f>SUM(compras_mes10[[#This Row],[NETO GRAVADO]:[Otros / No Grav.]])</f>
        <v>3219621.24</v>
      </c>
      <c r="Q161" s="394" t="str">
        <f>IFERROR(IF(compras_mes10[[#This Row],[CUIT]]="","-",VLOOKUP(compras_mes10[[#This Row],[CUIT]],Lista_CUIT[#All],3,0)),"CUIT NO CARGADO")</f>
        <v>Productos Venta</v>
      </c>
      <c r="R161" s="394">
        <f>IFERROR(IF(compras_mes10[[#This Row],[CUIT]]="","-",VLOOKUP(compras_mes10[[#This Row],[CUIT]],Lista_CUIT[#All],4,0)),"CUIT NO CARGADO")</f>
        <v>0</v>
      </c>
    </row>
    <row r="162" spans="1:18" x14ac:dyDescent="0.25">
      <c r="B162" s="387" t="s">
        <v>2895</v>
      </c>
      <c r="C162" s="547">
        <v>1</v>
      </c>
      <c r="D162" s="388">
        <v>4</v>
      </c>
      <c r="E162" s="389">
        <v>1667955</v>
      </c>
      <c r="F162" s="390">
        <v>30716620634</v>
      </c>
      <c r="G162" s="391" t="str">
        <f>IFERROR(IF(compras_mes10[[#This Row],[CUIT]]="","-",VLOOKUP(compras_mes10[[#This Row],[CUIT]],Lista_CUIT[#All],2,0)),"CUIT NO CARGADO")</f>
        <v>FIRST LABEL S.R.L.</v>
      </c>
      <c r="H162" s="507">
        <v>30743.8</v>
      </c>
      <c r="I162" s="392">
        <f>IF(compras_mes10[[#This Row],[NETO GRAVADO]]="","",compras_mes10[[#This Row],[NETO GRAVADO]]*0.21)</f>
        <v>6456.1979999999994</v>
      </c>
      <c r="J162" s="392"/>
      <c r="K162" s="392"/>
      <c r="L162" s="392"/>
      <c r="M162" s="392"/>
      <c r="N162" s="392"/>
      <c r="O162" s="392">
        <v>2152.08</v>
      </c>
      <c r="P162" s="393">
        <f>SUM(compras_mes10[[#This Row],[NETO GRAVADO]:[Otros / No Grav.]])</f>
        <v>39352.078000000001</v>
      </c>
      <c r="Q162" s="394" t="str">
        <f>IFERROR(IF(compras_mes10[[#This Row],[CUIT]]="","-",VLOOKUP(compras_mes10[[#This Row],[CUIT]],Lista_CUIT[#All],3,0)),"CUIT NO CARGADO")</f>
        <v>Gastos Comercializacion</v>
      </c>
      <c r="R162" s="394">
        <f>IFERROR(IF(compras_mes10[[#This Row],[CUIT]]="","-",VLOOKUP(compras_mes10[[#This Row],[CUIT]],Lista_CUIT[#All],4,0)),"CUIT NO CARGADO")</f>
        <v>0</v>
      </c>
    </row>
    <row r="163" spans="1:18" x14ac:dyDescent="0.25">
      <c r="B163" s="387" t="s">
        <v>2895</v>
      </c>
      <c r="C163" s="547">
        <v>1</v>
      </c>
      <c r="D163" s="388">
        <v>11</v>
      </c>
      <c r="E163" s="389">
        <v>96919</v>
      </c>
      <c r="F163" s="390">
        <v>30534051049</v>
      </c>
      <c r="G163" s="391" t="str">
        <f>IFERROR(IF(compras_mes10[[#This Row],[CUIT]]="","-",VLOOKUP(compras_mes10[[#This Row],[CUIT]],Lista_CUIT[#All],2,0)),"CUIT NO CARGADO")</f>
        <v>PLIN METAL S A</v>
      </c>
      <c r="H163" s="46">
        <v>43311.9</v>
      </c>
      <c r="I163" s="392">
        <f>IF(compras_mes10[[#This Row],[NETO GRAVADO]]="","",compras_mes10[[#This Row],[NETO GRAVADO]]*0.21)</f>
        <v>9095.4989999999998</v>
      </c>
      <c r="J163" s="85"/>
      <c r="K163" s="85"/>
      <c r="L163" s="85"/>
      <c r="M163" s="85"/>
      <c r="N163" s="85"/>
      <c r="O163" s="85">
        <v>2598.71</v>
      </c>
      <c r="P163" s="393">
        <f>SUM(compras_mes10[[#This Row],[NETO GRAVADO]:[Otros / No Grav.]])</f>
        <v>55006.109000000004</v>
      </c>
      <c r="Q163" s="394" t="str">
        <f>IFERROR(IF(compras_mes10[[#This Row],[CUIT]]="","-",VLOOKUP(compras_mes10[[#This Row],[CUIT]],Lista_CUIT[#All],3,0)),"CUIT NO CARGADO")</f>
        <v>Materia Prima</v>
      </c>
      <c r="R163" s="394">
        <f>IFERROR(IF(compras_mes10[[#This Row],[CUIT]]="","-",VLOOKUP(compras_mes10[[#This Row],[CUIT]],Lista_CUIT[#All],4,0)),"CUIT NO CARGADO")</f>
        <v>0</v>
      </c>
    </row>
    <row r="164" spans="1:18" x14ac:dyDescent="0.25">
      <c r="B164" s="387" t="s">
        <v>2895</v>
      </c>
      <c r="C164" s="547">
        <v>1</v>
      </c>
      <c r="D164" s="388">
        <v>3</v>
      </c>
      <c r="E164" s="389">
        <v>42254</v>
      </c>
      <c r="F164" s="390">
        <v>20324801236</v>
      </c>
      <c r="G164" s="391" t="str">
        <f>IFERROR(IF(compras_mes10[[#This Row],[CUIT]]="","-",VLOOKUP(compras_mes10[[#This Row],[CUIT]],Lista_CUIT[#All],2,0)),"CUIT NO CARGADO")</f>
        <v>CAMPAGNA SEBASTIAN PABLO</v>
      </c>
      <c r="H164" s="46">
        <v>24177.75</v>
      </c>
      <c r="I164" s="392">
        <f>IF(compras_mes10[[#This Row],[NETO GRAVADO]]="","",compras_mes10[[#This Row],[NETO GRAVADO]]*0.21)</f>
        <v>5077.3274999999994</v>
      </c>
      <c r="J164" s="85"/>
      <c r="K164" s="85"/>
      <c r="L164" s="85"/>
      <c r="M164" s="85"/>
      <c r="N164" s="85"/>
      <c r="O164" s="85"/>
      <c r="P164" s="393">
        <f>SUM(compras_mes10[[#This Row],[NETO GRAVADO]:[Otros / No Grav.]])</f>
        <v>29255.077499999999</v>
      </c>
      <c r="Q164" s="394" t="str">
        <f>IFERROR(IF(compras_mes10[[#This Row],[CUIT]]="","-",VLOOKUP(compras_mes10[[#This Row],[CUIT]],Lista_CUIT[#All],3,0)),"CUIT NO CARGADO")</f>
        <v>MANTENIMIENTO</v>
      </c>
      <c r="R164" s="394">
        <f>IFERROR(IF(compras_mes10[[#This Row],[CUIT]]="","-",VLOOKUP(compras_mes10[[#This Row],[CUIT]],Lista_CUIT[#All],4,0)),"CUIT NO CARGADO")</f>
        <v>0</v>
      </c>
    </row>
    <row r="165" spans="1:18" x14ac:dyDescent="0.25">
      <c r="B165" s="387" t="s">
        <v>2895</v>
      </c>
      <c r="C165" s="547">
        <v>1</v>
      </c>
      <c r="D165" s="388">
        <v>3</v>
      </c>
      <c r="E165" s="389">
        <v>42255</v>
      </c>
      <c r="F165" s="390">
        <v>20324801236</v>
      </c>
      <c r="G165" s="391" t="str">
        <f>IFERROR(IF(compras_mes10[[#This Row],[CUIT]]="","-",VLOOKUP(compras_mes10[[#This Row],[CUIT]],Lista_CUIT[#All],2,0)),"CUIT NO CARGADO")</f>
        <v>CAMPAGNA SEBASTIAN PABLO</v>
      </c>
      <c r="H165" s="46">
        <v>24177.75</v>
      </c>
      <c r="I165" s="392">
        <f>IF(compras_mes10[[#This Row],[NETO GRAVADO]]="","",compras_mes10[[#This Row],[NETO GRAVADO]]*0.21)</f>
        <v>5077.3274999999994</v>
      </c>
      <c r="J165" s="85"/>
      <c r="K165" s="85"/>
      <c r="L165" s="85"/>
      <c r="M165" s="85"/>
      <c r="N165" s="85"/>
      <c r="O165" s="85"/>
      <c r="P165" s="393">
        <f>SUM(compras_mes10[[#This Row],[NETO GRAVADO]:[Otros / No Grav.]])</f>
        <v>29255.077499999999</v>
      </c>
      <c r="Q165" s="394" t="str">
        <f>IFERROR(IF(compras_mes10[[#This Row],[CUIT]]="","-",VLOOKUP(compras_mes10[[#This Row],[CUIT]],Lista_CUIT[#All],3,0)),"CUIT NO CARGADO")</f>
        <v>MANTENIMIENTO</v>
      </c>
      <c r="R165" s="394">
        <f>IFERROR(IF(compras_mes10[[#This Row],[CUIT]]="","-",VLOOKUP(compras_mes10[[#This Row],[CUIT]],Lista_CUIT[#All],4,0)),"CUIT NO CARGADO")</f>
        <v>0</v>
      </c>
    </row>
    <row r="166" spans="1:18" x14ac:dyDescent="0.25">
      <c r="B166" s="387" t="s">
        <v>2895</v>
      </c>
      <c r="C166" s="547">
        <v>1</v>
      </c>
      <c r="D166" s="388">
        <v>3</v>
      </c>
      <c r="E166" s="389">
        <v>42258</v>
      </c>
      <c r="F166" s="390">
        <v>20324801236</v>
      </c>
      <c r="G166" s="391" t="str">
        <f>IFERROR(IF(compras_mes10[[#This Row],[CUIT]]="","-",VLOOKUP(compras_mes10[[#This Row],[CUIT]],Lista_CUIT[#All],2,0)),"CUIT NO CARGADO")</f>
        <v>CAMPAGNA SEBASTIAN PABLO</v>
      </c>
      <c r="H166" s="46">
        <v>24177.75</v>
      </c>
      <c r="I166" s="392">
        <f>IF(compras_mes10[[#This Row],[NETO GRAVADO]]="","",compras_mes10[[#This Row],[NETO GRAVADO]]*0.21)</f>
        <v>5077.3274999999994</v>
      </c>
      <c r="J166" s="392"/>
      <c r="K166" s="392"/>
      <c r="L166" s="392"/>
      <c r="M166" s="392"/>
      <c r="N166" s="392"/>
      <c r="O166" s="392"/>
      <c r="P166" s="393">
        <f>SUM(compras_mes10[[#This Row],[NETO GRAVADO]:[Otros / No Grav.]])</f>
        <v>29255.077499999999</v>
      </c>
      <c r="Q166" s="394" t="str">
        <f>IFERROR(IF(compras_mes10[[#This Row],[CUIT]]="","-",VLOOKUP(compras_mes10[[#This Row],[CUIT]],Lista_CUIT[#All],3,0)),"CUIT NO CARGADO")</f>
        <v>MANTENIMIENTO</v>
      </c>
      <c r="R166" s="394">
        <f>IFERROR(IF(compras_mes10[[#This Row],[CUIT]]="","-",VLOOKUP(compras_mes10[[#This Row],[CUIT]],Lista_CUIT[#All],4,0)),"CUIT NO CARGADO")</f>
        <v>0</v>
      </c>
    </row>
    <row r="167" spans="1:18" x14ac:dyDescent="0.25">
      <c r="B167" s="387" t="s">
        <v>2895</v>
      </c>
      <c r="C167" s="547">
        <v>1</v>
      </c>
      <c r="D167" s="388">
        <v>3</v>
      </c>
      <c r="E167" s="389">
        <v>22709</v>
      </c>
      <c r="F167" s="390">
        <v>30540396295</v>
      </c>
      <c r="G167" s="391" t="str">
        <f>IFERROR(IF(compras_mes10[[#This Row],[CUIT]]="","-",VLOOKUP(compras_mes10[[#This Row],[CUIT]],Lista_CUIT[#All],2,0)),"CUIT NO CARGADO")</f>
        <v>ELECTRICIDAD JUJUY S A C E I</v>
      </c>
      <c r="H167" s="46">
        <v>35867.769999999997</v>
      </c>
      <c r="I167" s="392">
        <f>IF(compras_mes10[[#This Row],[NETO GRAVADO]]="","",compras_mes10[[#This Row],[NETO GRAVADO]]*0.21)</f>
        <v>7532.2316999999994</v>
      </c>
      <c r="J167" s="85"/>
      <c r="K167" s="85"/>
      <c r="L167" s="85"/>
      <c r="M167" s="85"/>
      <c r="N167" s="85"/>
      <c r="O167" s="85"/>
      <c r="P167" s="393">
        <f>SUM(compras_mes10[[#This Row],[NETO GRAVADO]:[Otros / No Grav.]])</f>
        <v>43400.001699999993</v>
      </c>
      <c r="Q167" s="394" t="str">
        <f>IFERROR(IF(compras_mes10[[#This Row],[CUIT]]="","-",VLOOKUP(compras_mes10[[#This Row],[CUIT]],Lista_CUIT[#All],3,0)),"CUIT NO CARGADO")</f>
        <v>Gastos Varios</v>
      </c>
      <c r="R167" s="394">
        <f>IFERROR(IF(compras_mes10[[#This Row],[CUIT]]="","-",VLOOKUP(compras_mes10[[#This Row],[CUIT]],Lista_CUIT[#All],4,0)),"CUIT NO CARGADO")</f>
        <v>0</v>
      </c>
    </row>
    <row r="168" spans="1:18" x14ac:dyDescent="0.25">
      <c r="B168" s="387" t="s">
        <v>2895</v>
      </c>
      <c r="C168" s="547">
        <v>1</v>
      </c>
      <c r="D168" s="388">
        <v>2</v>
      </c>
      <c r="E168" s="389">
        <v>480</v>
      </c>
      <c r="F168" s="390">
        <v>30717924548</v>
      </c>
      <c r="G168" s="391" t="str">
        <f>IFERROR(IF(compras_mes10[[#This Row],[CUIT]]="","-",VLOOKUP(compras_mes10[[#This Row],[CUIT]],Lista_CUIT[#All],2,0)),"CUIT NO CARGADO")</f>
        <v>GRUPO LEDUFT SA</v>
      </c>
      <c r="H168" s="46">
        <v>85166.94</v>
      </c>
      <c r="I168" s="392">
        <f>IF(compras_mes10[[#This Row],[NETO GRAVADO]]="","",compras_mes10[[#This Row],[NETO GRAVADO]]*0.21)</f>
        <v>17885.057400000002</v>
      </c>
      <c r="J168" s="85"/>
      <c r="K168" s="85"/>
      <c r="L168" s="85"/>
      <c r="M168" s="85"/>
      <c r="N168" s="85"/>
      <c r="O168" s="85"/>
      <c r="P168" s="393">
        <f>SUM(compras_mes10[[#This Row],[NETO GRAVADO]:[Otros / No Grav.]])</f>
        <v>103051.99740000001</v>
      </c>
      <c r="Q168" s="394" t="str">
        <f>IFERROR(IF(compras_mes10[[#This Row],[CUIT]]="","-",VLOOKUP(compras_mes10[[#This Row],[CUIT]],Lista_CUIT[#All],3,0)),"CUIT NO CARGADO")</f>
        <v>Gastos Varios</v>
      </c>
      <c r="R168" s="394">
        <f>IFERROR(IF(compras_mes10[[#This Row],[CUIT]]="","-",VLOOKUP(compras_mes10[[#This Row],[CUIT]],Lista_CUIT[#All],4,0)),"CUIT NO CARGADO")</f>
        <v>0</v>
      </c>
    </row>
    <row r="169" spans="1:18" x14ac:dyDescent="0.25">
      <c r="B169" s="387" t="s">
        <v>2895</v>
      </c>
      <c r="C169" s="547">
        <v>1</v>
      </c>
      <c r="D169" s="388">
        <v>7</v>
      </c>
      <c r="E169" s="389">
        <v>34357</v>
      </c>
      <c r="F169" s="390">
        <v>30710819552</v>
      </c>
      <c r="G169" s="391" t="str">
        <f>IFERROR(IF(compras_mes10[[#This Row],[CUIT]]="","-",VLOOKUP(compras_mes10[[#This Row],[CUIT]],Lista_CUIT[#All],2,0)),"CUIT NO CARGADO")</f>
        <v>EL CACIQUE Gastos Limpieza SRL</v>
      </c>
      <c r="H169" s="46">
        <v>47874.36</v>
      </c>
      <c r="I169" s="392">
        <f>IF(compras_mes10[[#This Row],[NETO GRAVADO]]="","",compras_mes10[[#This Row],[NETO GRAVADO]]*0.21)</f>
        <v>10053.615599999999</v>
      </c>
      <c r="J169" s="85"/>
      <c r="K169" s="85"/>
      <c r="L169" s="85"/>
      <c r="M169" s="85"/>
      <c r="N169" s="85"/>
      <c r="O169" s="85"/>
      <c r="P169" s="393">
        <f>SUM(compras_mes10[[#This Row],[NETO GRAVADO]:[Otros / No Grav.]])</f>
        <v>57927.975599999998</v>
      </c>
      <c r="Q169" s="394" t="str">
        <f>IFERROR(IF(compras_mes10[[#This Row],[CUIT]]="","-",VLOOKUP(compras_mes10[[#This Row],[CUIT]],Lista_CUIT[#All],3,0)),"CUIT NO CARGADO")</f>
        <v>Gastos Limpieza</v>
      </c>
      <c r="R169" s="394">
        <f>IFERROR(IF(compras_mes10[[#This Row],[CUIT]]="","-",VLOOKUP(compras_mes10[[#This Row],[CUIT]],Lista_CUIT[#All],4,0)),"CUIT NO CARGADO")</f>
        <v>0</v>
      </c>
    </row>
    <row r="170" spans="1:18" x14ac:dyDescent="0.25">
      <c r="B170" s="387" t="s">
        <v>2895</v>
      </c>
      <c r="C170" s="547">
        <v>1</v>
      </c>
      <c r="D170" s="388">
        <v>3034</v>
      </c>
      <c r="E170" s="389">
        <v>9582482</v>
      </c>
      <c r="F170" s="390">
        <v>30708574836</v>
      </c>
      <c r="G170" s="391" t="str">
        <f>IFERROR(IF(compras_mes10[[#This Row],[CUIT]]="","-",VLOOKUP(compras_mes10[[#This Row],[CUIT]],Lista_CUIT[#All],2,0)),"CUIT NO CARGADO")</f>
        <v>CORREO OFICIAL DE LA REPUBLICA ARGENTINA SOCIEDAD ANONIMA</v>
      </c>
      <c r="H170" s="46">
        <v>6009.92</v>
      </c>
      <c r="I170" s="392">
        <f>IF(compras_mes10[[#This Row],[NETO GRAVADO]]="","",compras_mes10[[#This Row],[NETO GRAVADO]]*0.21)</f>
        <v>1262.0832</v>
      </c>
      <c r="J170" s="85"/>
      <c r="K170" s="85"/>
      <c r="L170" s="85"/>
      <c r="M170" s="85"/>
      <c r="N170" s="85"/>
      <c r="O170" s="85"/>
      <c r="P170" s="393">
        <f>SUM(compras_mes10[[#This Row],[NETO GRAVADO]:[Otros / No Grav.]])</f>
        <v>7272.0032000000001</v>
      </c>
      <c r="Q170" s="394" t="str">
        <f>IFERROR(IF(compras_mes10[[#This Row],[CUIT]]="","-",VLOOKUP(compras_mes10[[#This Row],[CUIT]],Lista_CUIT[#All],3,0)),"CUIT NO CARGADO")</f>
        <v>MESAJERIA</v>
      </c>
      <c r="R170" s="394">
        <f>IFERROR(IF(compras_mes10[[#This Row],[CUIT]]="","-",VLOOKUP(compras_mes10[[#This Row],[CUIT]],Lista_CUIT[#All],4,0)),"CUIT NO CARGADO")</f>
        <v>0</v>
      </c>
    </row>
    <row r="171" spans="1:18" x14ac:dyDescent="0.25">
      <c r="B171" s="387" t="s">
        <v>2895</v>
      </c>
      <c r="C171" s="547">
        <v>1</v>
      </c>
      <c r="D171" s="388">
        <v>102</v>
      </c>
      <c r="E171" s="389">
        <v>3525</v>
      </c>
      <c r="F171" s="390">
        <v>27957981939</v>
      </c>
      <c r="G171" s="391" t="str">
        <f>IFERROR(IF(compras_mes10[[#This Row],[CUIT]]="","-",VLOOKUP(compras_mes10[[#This Row],[CUIT]],Lista_CUIT[#All],2,0)),"CUIT NO CARGADO")</f>
        <v>GARCIA VIELMA ANNY YULISTHNEYDA</v>
      </c>
      <c r="H171" s="46">
        <v>27271.9</v>
      </c>
      <c r="I171" s="392">
        <f>IF(compras_mes10[[#This Row],[NETO GRAVADO]]="","",compras_mes10[[#This Row],[NETO GRAVADO]]*0.21)</f>
        <v>5727.0990000000002</v>
      </c>
      <c r="J171" s="85"/>
      <c r="K171" s="85"/>
      <c r="L171" s="85"/>
      <c r="M171" s="85"/>
      <c r="N171" s="85"/>
      <c r="O171" s="85"/>
      <c r="P171" s="393">
        <f>SUM(compras_mes10[[#This Row],[NETO GRAVADO]:[Otros / No Grav.]])</f>
        <v>32998.999000000003</v>
      </c>
      <c r="Q171" s="394" t="str">
        <f>IFERROR(IF(compras_mes10[[#This Row],[CUIT]]="","-",VLOOKUP(compras_mes10[[#This Row],[CUIT]],Lista_CUIT[#All],3,0)),"CUIT NO CARGADO")</f>
        <v>Insumos</v>
      </c>
      <c r="R171" s="394">
        <f>IFERROR(IF(compras_mes10[[#This Row],[CUIT]]="","-",VLOOKUP(compras_mes10[[#This Row],[CUIT]],Lista_CUIT[#All],4,0)),"CUIT NO CARGADO")</f>
        <v>0</v>
      </c>
    </row>
    <row r="172" spans="1:18" x14ac:dyDescent="0.25">
      <c r="B172" s="387" t="s">
        <v>2895</v>
      </c>
      <c r="C172" s="547">
        <v>1</v>
      </c>
      <c r="D172" s="388">
        <v>4</v>
      </c>
      <c r="E172" s="389">
        <v>31461</v>
      </c>
      <c r="F172" s="390">
        <v>30552433595</v>
      </c>
      <c r="G172" s="391" t="str">
        <f>IFERROR(IF(compras_mes10[[#This Row],[CUIT]]="","-",VLOOKUP(compras_mes10[[#This Row],[CUIT]],Lista_CUIT[#All],2,0)),"CUIT NO CARGADO")</f>
        <v>PIROPLAST SRL</v>
      </c>
      <c r="H172" s="46">
        <v>3965214</v>
      </c>
      <c r="I172" s="392">
        <f>IF(compras_mes10[[#This Row],[NETO GRAVADO]]="","",compras_mes10[[#This Row],[NETO GRAVADO]]*0.21)</f>
        <v>832694.94</v>
      </c>
      <c r="J172" s="85"/>
      <c r="K172" s="85"/>
      <c r="L172" s="85"/>
      <c r="M172" s="85"/>
      <c r="N172" s="85"/>
      <c r="O172" s="85"/>
      <c r="P172" s="393">
        <f>SUM(compras_mes10[[#This Row],[NETO GRAVADO]:[Otros / No Grav.]])</f>
        <v>4797908.9399999995</v>
      </c>
      <c r="Q172" s="394" t="str">
        <f>IFERROR(IF(compras_mes10[[#This Row],[CUIT]]="","-",VLOOKUP(compras_mes10[[#This Row],[CUIT]],Lista_CUIT[#All],3,0)),"CUIT NO CARGADO")</f>
        <v>Material de Empaque</v>
      </c>
      <c r="R172" s="394">
        <f>IFERROR(IF(compras_mes10[[#This Row],[CUIT]]="","-",VLOOKUP(compras_mes10[[#This Row],[CUIT]],Lista_CUIT[#All],4,0)),"CUIT NO CARGADO")</f>
        <v>0</v>
      </c>
    </row>
    <row r="173" spans="1:18" x14ac:dyDescent="0.25">
      <c r="B173" s="387" t="s">
        <v>2895</v>
      </c>
      <c r="C173" s="547">
        <v>1</v>
      </c>
      <c r="D173" s="388">
        <v>10</v>
      </c>
      <c r="E173" s="389">
        <v>29656</v>
      </c>
      <c r="F173" s="390">
        <v>30576333230</v>
      </c>
      <c r="G173" s="391" t="str">
        <f>IFERROR(IF(compras_mes10[[#This Row],[CUIT]]="","-",VLOOKUP(compras_mes10[[#This Row],[CUIT]],Lista_CUIT[#All],2,0)),"CUIT NO CARGADO")</f>
        <v>RODRIGUEZ PEÑA 1101 S A E F</v>
      </c>
      <c r="H173" s="46">
        <v>20379.07</v>
      </c>
      <c r="I173" s="392">
        <f>IF(compras_mes10[[#This Row],[NETO GRAVADO]]="","",compras_mes10[[#This Row],[NETO GRAVADO]]*0.21)</f>
        <v>4279.6046999999999</v>
      </c>
      <c r="J173" s="85"/>
      <c r="K173" s="85"/>
      <c r="L173" s="85"/>
      <c r="M173" s="85"/>
      <c r="N173" s="85"/>
      <c r="O173" s="85">
        <v>341.39</v>
      </c>
      <c r="P173" s="393">
        <f>SUM(compras_mes10[[#This Row],[NETO GRAVADO]:[Otros / No Grav.]])</f>
        <v>25000.064699999999</v>
      </c>
      <c r="Q173" s="394" t="str">
        <f>IFERROR(IF(compras_mes10[[#This Row],[CUIT]]="","-",VLOOKUP(compras_mes10[[#This Row],[CUIT]],Lista_CUIT[#All],3,0)),"CUIT NO CARGADO")</f>
        <v>Combustible</v>
      </c>
      <c r="R173" s="394">
        <f>IFERROR(IF(compras_mes10[[#This Row],[CUIT]]="","-",VLOOKUP(compras_mes10[[#This Row],[CUIT]],Lista_CUIT[#All],4,0)),"CUIT NO CARGADO")</f>
        <v>0</v>
      </c>
    </row>
    <row r="174" spans="1:18" x14ac:dyDescent="0.25">
      <c r="A174" s="127"/>
      <c r="B174" s="387" t="s">
        <v>2895</v>
      </c>
      <c r="C174" s="547">
        <v>1</v>
      </c>
      <c r="D174" s="388">
        <v>2</v>
      </c>
      <c r="E174" s="389">
        <v>116</v>
      </c>
      <c r="F174" s="390">
        <v>20373784592</v>
      </c>
      <c r="G174" s="391" t="str">
        <f>IFERROR(IF(compras_mes10[[#This Row],[CUIT]]="","-",VLOOKUP(compras_mes10[[#This Row],[CUIT]],Lista_CUIT[#All],2,0)),"CUIT NO CARGADO")</f>
        <v>BORZACCHINI NICOLAS FEDERICO</v>
      </c>
      <c r="H174" s="46">
        <v>345000</v>
      </c>
      <c r="I174" s="392">
        <f>IF(compras_mes10[[#This Row],[NETO GRAVADO]]="","",compras_mes10[[#This Row],[NETO GRAVADO]]*0.21)</f>
        <v>72450</v>
      </c>
      <c r="J174" s="85"/>
      <c r="K174" s="85"/>
      <c r="L174" s="85"/>
      <c r="M174" s="85"/>
      <c r="N174" s="85"/>
      <c r="O174" s="85"/>
      <c r="P174" s="393">
        <f>SUM(compras_mes10[[#This Row],[NETO GRAVADO]:[Otros / No Grav.]])</f>
        <v>417450</v>
      </c>
      <c r="Q174" s="394" t="str">
        <f>IFERROR(IF(compras_mes10[[#This Row],[CUIT]]="","-",VLOOKUP(compras_mes10[[#This Row],[CUIT]],Lista_CUIT[#All],3,0)),"CUIT NO CARGADO")</f>
        <v>Honorarios Legales</v>
      </c>
      <c r="R174" s="394">
        <f>IFERROR(IF(compras_mes10[[#This Row],[CUIT]]="","-",VLOOKUP(compras_mes10[[#This Row],[CUIT]],Lista_CUIT[#All],4,0)),"CUIT NO CARGADO")</f>
        <v>0</v>
      </c>
    </row>
    <row r="175" spans="1:18" s="126" customFormat="1" x14ac:dyDescent="0.25">
      <c r="A175" s="127"/>
      <c r="B175" s="387" t="s">
        <v>2895</v>
      </c>
      <c r="C175" s="547">
        <v>1</v>
      </c>
      <c r="D175" s="388">
        <v>1</v>
      </c>
      <c r="E175" s="389">
        <v>354</v>
      </c>
      <c r="F175" s="390">
        <v>20077604627</v>
      </c>
      <c r="G175" s="391" t="str">
        <f>IFERROR(IF(compras_mes10[[#This Row],[CUIT]]="","-",VLOOKUP(compras_mes10[[#This Row],[CUIT]],Lista_CUIT[#All],2,0)),"CUIT NO CARGADO")</f>
        <v>OCAÑO ENRIQUE</v>
      </c>
      <c r="H175" s="46">
        <v>3950000</v>
      </c>
      <c r="I175" s="392">
        <f>IF(compras_mes10[[#This Row],[NETO GRAVADO]]="","",compras_mes10[[#This Row],[NETO GRAVADO]]*0.21)</f>
        <v>829500</v>
      </c>
      <c r="J175" s="85"/>
      <c r="K175" s="85"/>
      <c r="L175" s="85"/>
      <c r="M175" s="85"/>
      <c r="N175" s="85"/>
      <c r="O175" s="85"/>
      <c r="P175" s="393">
        <f>SUM(compras_mes10[[#This Row],[NETO GRAVADO]:[Otros / No Grav.]])</f>
        <v>4779500</v>
      </c>
      <c r="Q175" s="394" t="str">
        <f>IFERROR(IF(compras_mes10[[#This Row],[CUIT]]="","-",VLOOKUP(compras_mes10[[#This Row],[CUIT]],Lista_CUIT[#All],3,0)),"CUIT NO CARGADO")</f>
        <v>Material de Empaque</v>
      </c>
      <c r="R175" s="394">
        <f>IFERROR(IF(compras_mes10[[#This Row],[CUIT]]="","-",VLOOKUP(compras_mes10[[#This Row],[CUIT]],Lista_CUIT[#All],4,0)),"CUIT NO CARGADO")</f>
        <v>0</v>
      </c>
    </row>
    <row r="176" spans="1:18" x14ac:dyDescent="0.25">
      <c r="A176" s="127"/>
      <c r="B176" s="387" t="s">
        <v>2895</v>
      </c>
      <c r="C176" s="547">
        <v>1</v>
      </c>
      <c r="D176" s="388">
        <v>2</v>
      </c>
      <c r="E176" s="389">
        <v>4185</v>
      </c>
      <c r="F176" s="390">
        <v>30629863571</v>
      </c>
      <c r="G176" s="391" t="str">
        <f>IFERROR(IF(compras_mes10[[#This Row],[CUIT]]="","-",VLOOKUP(compras_mes10[[#This Row],[CUIT]],Lista_CUIT[#All],2,0)),"CUIT NO CARGADO")</f>
        <v>TECNIMAR S R L</v>
      </c>
      <c r="H176" s="46">
        <v>348000</v>
      </c>
      <c r="I176" s="392">
        <f>IF(compras_mes10[[#This Row],[NETO GRAVADO]]="","",compras_mes10[[#This Row],[NETO GRAVADO]]*0.21)</f>
        <v>73080</v>
      </c>
      <c r="J176" s="85"/>
      <c r="K176" s="85"/>
      <c r="L176" s="85"/>
      <c r="M176" s="85"/>
      <c r="N176" s="85"/>
      <c r="O176" s="85"/>
      <c r="P176" s="393">
        <f>SUM(compras_mes10[[#This Row],[NETO GRAVADO]:[Otros / No Grav.]])</f>
        <v>421080</v>
      </c>
      <c r="Q176" s="394" t="str">
        <f>IFERROR(IF(compras_mes10[[#This Row],[CUIT]]="","-",VLOOKUP(compras_mes10[[#This Row],[CUIT]],Lista_CUIT[#All],3,0)),"CUIT NO CARGADO")</f>
        <v>Productos Venta</v>
      </c>
      <c r="R176" s="394">
        <f>IFERROR(IF(compras_mes10[[#This Row],[CUIT]]="","-",VLOOKUP(compras_mes10[[#This Row],[CUIT]],Lista_CUIT[#All],4,0)),"CUIT NO CARGADO")</f>
        <v>0</v>
      </c>
    </row>
    <row r="177" spans="1:18" x14ac:dyDescent="0.25">
      <c r="A177" s="127"/>
      <c r="B177" s="387" t="s">
        <v>2896</v>
      </c>
      <c r="C177" s="547">
        <v>1</v>
      </c>
      <c r="D177" s="388">
        <v>5</v>
      </c>
      <c r="E177" s="389">
        <v>23510</v>
      </c>
      <c r="F177" s="390">
        <v>30532905555</v>
      </c>
      <c r="G177" s="391" t="str">
        <f>IFERROR(IF(compras_mes10[[#This Row],[CUIT]]="","-",VLOOKUP(compras_mes10[[#This Row],[CUIT]],Lista_CUIT[#All],2,0)),"CUIT NO CARGADO")</f>
        <v>UNTECO S.A.I.C. E I.</v>
      </c>
      <c r="H177" s="46">
        <v>770818.51</v>
      </c>
      <c r="I177" s="392">
        <f>IF(compras_mes10[[#This Row],[NETO GRAVADO]]="","",compras_mes10[[#This Row],[NETO GRAVADO]]*0.21)</f>
        <v>161871.88709999999</v>
      </c>
      <c r="J177" s="85"/>
      <c r="K177" s="85"/>
      <c r="L177" s="85"/>
      <c r="M177" s="85"/>
      <c r="N177" s="85"/>
      <c r="O177" s="85">
        <v>46249.11</v>
      </c>
      <c r="P177" s="393">
        <f>SUM(compras_mes10[[#This Row],[NETO GRAVADO]:[Otros / No Grav.]])</f>
        <v>978939.50709999993</v>
      </c>
      <c r="Q177" s="394" t="str">
        <f>IFERROR(IF(compras_mes10[[#This Row],[CUIT]]="","-",VLOOKUP(compras_mes10[[#This Row],[CUIT]],Lista_CUIT[#All],3,0)),"CUIT NO CARGADO")</f>
        <v>Productos Terminados</v>
      </c>
      <c r="R177" s="394">
        <f>IFERROR(IF(compras_mes10[[#This Row],[CUIT]]="","-",VLOOKUP(compras_mes10[[#This Row],[CUIT]],Lista_CUIT[#All],4,0)),"CUIT NO CARGADO")</f>
        <v>0</v>
      </c>
    </row>
    <row r="178" spans="1:18" x14ac:dyDescent="0.25">
      <c r="A178" s="127"/>
      <c r="B178" s="387" t="s">
        <v>2896</v>
      </c>
      <c r="C178" s="547">
        <v>1</v>
      </c>
      <c r="D178" s="388">
        <v>2188</v>
      </c>
      <c r="E178" s="389">
        <v>160928</v>
      </c>
      <c r="F178" s="390">
        <v>30548083156</v>
      </c>
      <c r="G178" s="391" t="str">
        <f>IFERROR(IF(compras_mes10[[#This Row],[CUIT]]="","-",VLOOKUP(compras_mes10[[#This Row],[CUIT]],Lista_CUIT[#All],2,0)),"CUIT NO CARGADO")</f>
        <v>COTO CENTRO INTEGRAL DE COMERCIALIZACION SOCIEDAD ANONIMA</v>
      </c>
      <c r="H178" s="46">
        <v>79231.17</v>
      </c>
      <c r="I178" s="392">
        <v>13382.65</v>
      </c>
      <c r="J178" s="85"/>
      <c r="K178" s="85">
        <v>1627.95</v>
      </c>
      <c r="L178" s="85"/>
      <c r="M178" s="85"/>
      <c r="N178" s="85"/>
      <c r="O178" s="85">
        <v>6601.81</v>
      </c>
      <c r="P178" s="393">
        <f>SUM(compras_mes10[[#This Row],[NETO GRAVADO]:[Otros / No Grav.]])</f>
        <v>100843.57999999999</v>
      </c>
      <c r="Q178" s="394" t="str">
        <f>IFERROR(IF(compras_mes10[[#This Row],[CUIT]]="","-",VLOOKUP(compras_mes10[[#This Row],[CUIT]],Lista_CUIT[#All],3,0)),"CUIT NO CARGADO")</f>
        <v>Gastos Varios</v>
      </c>
      <c r="R178" s="394">
        <f>IFERROR(IF(compras_mes10[[#This Row],[CUIT]]="","-",VLOOKUP(compras_mes10[[#This Row],[CUIT]],Lista_CUIT[#All],4,0)),"CUIT NO CARGADO")</f>
        <v>0</v>
      </c>
    </row>
    <row r="179" spans="1:18" x14ac:dyDescent="0.25">
      <c r="A179" s="127"/>
      <c r="B179" s="387" t="s">
        <v>2896</v>
      </c>
      <c r="C179" s="547">
        <v>1</v>
      </c>
      <c r="D179" s="388">
        <v>6852</v>
      </c>
      <c r="E179" s="389">
        <v>33601</v>
      </c>
      <c r="F179" s="390">
        <v>30678774495</v>
      </c>
      <c r="G179" s="391" t="str">
        <f>IFERROR(IF(compras_mes10[[#This Row],[CUIT]]="","-",VLOOKUP(compras_mes10[[#This Row],[CUIT]],Lista_CUIT[#All],2,0)),"CUIT NO CARGADO")</f>
        <v>OPER. DE EST. DE SERV. SA</v>
      </c>
      <c r="H179" s="46">
        <v>67965.08</v>
      </c>
      <c r="I179" s="392">
        <f>IF(compras_mes10[[#This Row],[NETO GRAVADO]]="","",compras_mes10[[#This Row],[NETO GRAVADO]]*0.21)</f>
        <v>14272.666799999999</v>
      </c>
      <c r="J179" s="85"/>
      <c r="K179" s="85"/>
      <c r="L179" s="85"/>
      <c r="M179" s="85"/>
      <c r="N179" s="85"/>
      <c r="O179" s="85">
        <v>16776.25</v>
      </c>
      <c r="P179" s="393">
        <f>SUM(compras_mes10[[#This Row],[NETO GRAVADO]:[Otros / No Grav.]])</f>
        <v>99013.996799999994</v>
      </c>
      <c r="Q179" s="394" t="str">
        <f>IFERROR(IF(compras_mes10[[#This Row],[CUIT]]="","-",VLOOKUP(compras_mes10[[#This Row],[CUIT]],Lista_CUIT[#All],3,0)),"CUIT NO CARGADO")</f>
        <v>Combustible</v>
      </c>
      <c r="R179" s="394">
        <f>IFERROR(IF(compras_mes10[[#This Row],[CUIT]]="","-",VLOOKUP(compras_mes10[[#This Row],[CUIT]],Lista_CUIT[#All],4,0)),"CUIT NO CARGADO")</f>
        <v>0</v>
      </c>
    </row>
    <row r="180" spans="1:18" x14ac:dyDescent="0.25">
      <c r="A180" s="127"/>
      <c r="B180" s="387" t="s">
        <v>2896</v>
      </c>
      <c r="C180" s="547">
        <v>1</v>
      </c>
      <c r="D180" s="388">
        <v>8265</v>
      </c>
      <c r="E180" s="389">
        <v>2757</v>
      </c>
      <c r="F180" s="390">
        <v>30590360763</v>
      </c>
      <c r="G180" s="391" t="str">
        <f>IFERROR(IF(compras_mes10[[#This Row],[CUIT]]="","-",VLOOKUP(compras_mes10[[#This Row],[CUIT]],Lista_CUIT[#All],2,0)),"CUIT NO CARGADO")</f>
        <v>CENCOSUD S.A</v>
      </c>
      <c r="H180" s="46">
        <v>36624.300000000003</v>
      </c>
      <c r="I180" s="392">
        <v>5110.29</v>
      </c>
      <c r="J180" s="85"/>
      <c r="K180" s="85">
        <v>1290.4100000000001</v>
      </c>
      <c r="L180" s="85"/>
      <c r="M180" s="85"/>
      <c r="N180" s="85"/>
      <c r="O180" s="85">
        <v>3111.84</v>
      </c>
      <c r="P180" s="393">
        <f>SUM(compras_mes10[[#This Row],[NETO GRAVADO]:[Otros / No Grav.]])</f>
        <v>46136.840000000011</v>
      </c>
      <c r="Q180" s="394" t="str">
        <f>IFERROR(IF(compras_mes10[[#This Row],[CUIT]]="","-",VLOOKUP(compras_mes10[[#This Row],[CUIT]],Lista_CUIT[#All],3,0)),"CUIT NO CARGADO")</f>
        <v>Gastos Varios</v>
      </c>
      <c r="R180" s="394">
        <f>IFERROR(IF(compras_mes10[[#This Row],[CUIT]]="","-",VLOOKUP(compras_mes10[[#This Row],[CUIT]],Lista_CUIT[#All],4,0)),"CUIT NO CARGADO")</f>
        <v>0</v>
      </c>
    </row>
    <row r="181" spans="1:18" x14ac:dyDescent="0.25">
      <c r="B181" s="387" t="s">
        <v>2896</v>
      </c>
      <c r="C181" s="547">
        <v>1</v>
      </c>
      <c r="D181" s="388">
        <v>63</v>
      </c>
      <c r="E181" s="389">
        <v>440510</v>
      </c>
      <c r="F181" s="390">
        <v>30703088534</v>
      </c>
      <c r="G181" s="45" t="str">
        <f>IFERROR(IF(compras_mes10[[#This Row],[CUIT]]="","-",VLOOKUP(compras_mes10[[#This Row],[CUIT]],Lista_CUIT[#All],2,0)),"CUIT NO CARGADO")</f>
        <v>MERCADO LIBRE SRL</v>
      </c>
      <c r="H181" s="46">
        <v>1679071.36</v>
      </c>
      <c r="I181" s="392">
        <f>IF(compras_mes10[[#This Row],[NETO GRAVADO]]="","",compras_mes10[[#This Row],[NETO GRAVADO]]*0.21)</f>
        <v>352604.98560000001</v>
      </c>
      <c r="J181" s="85"/>
      <c r="K181" s="85"/>
      <c r="L181" s="85"/>
      <c r="M181" s="85"/>
      <c r="N181" s="85"/>
      <c r="O181" s="85">
        <v>167907.1</v>
      </c>
      <c r="P181" s="48">
        <f>SUM(compras_mes10[[#This Row],[NETO GRAVADO]:[Otros / No Grav.]])</f>
        <v>2199583.4456000002</v>
      </c>
      <c r="Q181" s="49" t="str">
        <f>IFERROR(IF(compras_mes10[[#This Row],[CUIT]]="","-",VLOOKUP(compras_mes10[[#This Row],[CUIT]],Lista_CUIT[#All],3,0)),"CUIT NO CARGADO")</f>
        <v>Gastos Varios</v>
      </c>
      <c r="R181" s="49" t="str">
        <f>IFERROR(IF(compras_mes10[[#This Row],[CUIT]]="","-",VLOOKUP(compras_mes10[[#This Row],[CUIT]],Lista_CUIT[#All],4,0)),"CUIT NO CARGADO")</f>
        <v>CABA</v>
      </c>
    </row>
    <row r="182" spans="1:18" x14ac:dyDescent="0.25">
      <c r="B182" s="387" t="s">
        <v>2896</v>
      </c>
      <c r="C182" s="547">
        <v>1</v>
      </c>
      <c r="D182" s="388">
        <v>2</v>
      </c>
      <c r="E182" s="389">
        <v>2527</v>
      </c>
      <c r="F182" s="390">
        <v>20184094526</v>
      </c>
      <c r="G182" s="391" t="str">
        <f>IFERROR(IF(compras_mes10[[#This Row],[CUIT]]="","-",VLOOKUP(compras_mes10[[#This Row],[CUIT]],Lista_CUIT[#All],2,0)),"CUIT NO CARGADO")</f>
        <v>Di Blasio Carlos</v>
      </c>
      <c r="H182" s="46">
        <v>168000</v>
      </c>
      <c r="I182" s="392">
        <f>IF(compras_mes10[[#This Row],[NETO GRAVADO]]="","",compras_mes10[[#This Row],[NETO GRAVADO]]*0.21)</f>
        <v>35280</v>
      </c>
      <c r="J182" s="85"/>
      <c r="K182" s="85"/>
      <c r="L182" s="85"/>
      <c r="M182" s="85"/>
      <c r="N182" s="85"/>
      <c r="O182" s="85"/>
      <c r="P182" s="393">
        <f>SUM(compras_mes10[[#This Row],[NETO GRAVADO]:[Otros / No Grav.]])</f>
        <v>203280</v>
      </c>
      <c r="Q182" s="394" t="str">
        <f>IFERROR(IF(compras_mes10[[#This Row],[CUIT]]="","-",VLOOKUP(compras_mes10[[#This Row],[CUIT]],Lista_CUIT[#All],3,0)),"CUIT NO CARGADO")</f>
        <v>Gastos Varios</v>
      </c>
      <c r="R182" s="394">
        <f>IFERROR(IF(compras_mes10[[#This Row],[CUIT]]="","-",VLOOKUP(compras_mes10[[#This Row],[CUIT]],Lista_CUIT[#All],4,0)),"CUIT NO CARGADO")</f>
        <v>0</v>
      </c>
    </row>
    <row r="183" spans="1:18" x14ac:dyDescent="0.25">
      <c r="B183" s="387" t="s">
        <v>2896</v>
      </c>
      <c r="C183" s="547">
        <v>1</v>
      </c>
      <c r="D183" s="388">
        <v>2</v>
      </c>
      <c r="E183" s="389">
        <v>4186</v>
      </c>
      <c r="F183" s="390">
        <v>30629863571</v>
      </c>
      <c r="G183" s="391" t="str">
        <f>IFERROR(IF(compras_mes10[[#This Row],[CUIT]]="","-",VLOOKUP(compras_mes10[[#This Row],[CUIT]],Lista_CUIT[#All],2,0)),"CUIT NO CARGADO")</f>
        <v>TECNIMAR S R L</v>
      </c>
      <c r="H183" s="46">
        <v>2830100</v>
      </c>
      <c r="I183" s="392">
        <f>IF(compras_mes10[[#This Row],[NETO GRAVADO]]="","",compras_mes10[[#This Row],[NETO GRAVADO]]*0.21)</f>
        <v>594321</v>
      </c>
      <c r="J183" s="85"/>
      <c r="K183" s="85"/>
      <c r="L183" s="85"/>
      <c r="M183" s="85"/>
      <c r="N183" s="85"/>
      <c r="O183" s="85"/>
      <c r="P183" s="393">
        <f>SUM(compras_mes10[[#This Row],[NETO GRAVADO]:[Otros / No Grav.]])</f>
        <v>3424421</v>
      </c>
      <c r="Q183" s="394" t="str">
        <f>IFERROR(IF(compras_mes10[[#This Row],[CUIT]]="","-",VLOOKUP(compras_mes10[[#This Row],[CUIT]],Lista_CUIT[#All],3,0)),"CUIT NO CARGADO")</f>
        <v>Productos Venta</v>
      </c>
      <c r="R183" s="394">
        <f>IFERROR(IF(compras_mes10[[#This Row],[CUIT]]="","-",VLOOKUP(compras_mes10[[#This Row],[CUIT]],Lista_CUIT[#All],4,0)),"CUIT NO CARGADO")</f>
        <v>0</v>
      </c>
    </row>
    <row r="184" spans="1:18" x14ac:dyDescent="0.25">
      <c r="B184" s="387" t="s">
        <v>2897</v>
      </c>
      <c r="C184" s="547">
        <v>1</v>
      </c>
      <c r="D184" s="388">
        <v>4</v>
      </c>
      <c r="E184" s="389">
        <v>11662</v>
      </c>
      <c r="F184" s="390">
        <v>30694547903</v>
      </c>
      <c r="G184" s="391" t="str">
        <f>IFERROR(IF(compras_mes10[[#This Row],[CUIT]]="","-",VLOOKUP(compras_mes10[[#This Row],[CUIT]],Lista_CUIT[#All],2,0)),"CUIT NO CARGADO")</f>
        <v>MULTICAJAS S A</v>
      </c>
      <c r="H184" s="46">
        <v>972217.35</v>
      </c>
      <c r="I184" s="392">
        <f>IF(compras_mes10[[#This Row],[NETO GRAVADO]]="","",compras_mes10[[#This Row],[NETO GRAVADO]]*0.21)</f>
        <v>204165.64349999998</v>
      </c>
      <c r="J184" s="85"/>
      <c r="K184" s="85"/>
      <c r="L184" s="85"/>
      <c r="M184" s="85"/>
      <c r="N184" s="85"/>
      <c r="O184" s="85"/>
      <c r="P184" s="393">
        <f>SUM(compras_mes10[[#This Row],[NETO GRAVADO]:[Otros / No Grav.]])</f>
        <v>1176382.9934999999</v>
      </c>
      <c r="Q184" s="394" t="str">
        <f>IFERROR(IF(compras_mes10[[#This Row],[CUIT]]="","-",VLOOKUP(compras_mes10[[#This Row],[CUIT]],Lista_CUIT[#All],3,0)),"CUIT NO CARGADO")</f>
        <v>LIBRERÍA</v>
      </c>
      <c r="R184" s="394">
        <f>IFERROR(IF(compras_mes10[[#This Row],[CUIT]]="","-",VLOOKUP(compras_mes10[[#This Row],[CUIT]],Lista_CUIT[#All],4,0)),"CUIT NO CARGADO")</f>
        <v>0</v>
      </c>
    </row>
    <row r="185" spans="1:18" x14ac:dyDescent="0.25">
      <c r="B185" s="387" t="s">
        <v>2897</v>
      </c>
      <c r="C185" s="547">
        <v>1</v>
      </c>
      <c r="D185" s="388">
        <v>8</v>
      </c>
      <c r="E185" s="389">
        <v>103</v>
      </c>
      <c r="F185" s="390">
        <v>23329455319</v>
      </c>
      <c r="G185" s="391" t="str">
        <f>IFERROR(IF(compras_mes10[[#This Row],[CUIT]]="","-",VLOOKUP(compras_mes10[[#This Row],[CUIT]],Lista_CUIT[#All],2,0)),"CUIT NO CARGADO")</f>
        <v>REPETTO RAMIRO ANDRES</v>
      </c>
      <c r="H185" s="46">
        <v>16446.28</v>
      </c>
      <c r="I185" s="392">
        <f>IF(compras_mes10[[#This Row],[NETO GRAVADO]]="","",compras_mes10[[#This Row],[NETO GRAVADO]]*0.21)</f>
        <v>3453.7187999999996</v>
      </c>
      <c r="J185" s="85"/>
      <c r="K185" s="85"/>
      <c r="L185" s="85"/>
      <c r="M185" s="85"/>
      <c r="N185" s="85"/>
      <c r="O185" s="85"/>
      <c r="P185" s="393">
        <f>SUM(compras_mes10[[#This Row],[NETO GRAVADO]:[Otros / No Grav.]])</f>
        <v>19899.998799999998</v>
      </c>
      <c r="Q185" s="394" t="str">
        <f>IFERROR(IF(compras_mes10[[#This Row],[CUIT]]="","-",VLOOKUP(compras_mes10[[#This Row],[CUIT]],Lista_CUIT[#All],3,0)),"CUIT NO CARGADO")</f>
        <v>Gastos Varios</v>
      </c>
      <c r="R185" s="394">
        <f>IFERROR(IF(compras_mes10[[#This Row],[CUIT]]="","-",VLOOKUP(compras_mes10[[#This Row],[CUIT]],Lista_CUIT[#All],4,0)),"CUIT NO CARGADO")</f>
        <v>0</v>
      </c>
    </row>
    <row r="186" spans="1:18" x14ac:dyDescent="0.25">
      <c r="B186" s="546" t="s">
        <v>2897</v>
      </c>
      <c r="C186" s="547">
        <v>1</v>
      </c>
      <c r="D186" s="487">
        <v>4</v>
      </c>
      <c r="E186" s="548">
        <v>48901</v>
      </c>
      <c r="F186" s="549">
        <v>20222524564</v>
      </c>
      <c r="G186" s="550" t="str">
        <f>IFERROR(IF(compras_mes10[[#This Row],[CUIT]]="","-",VLOOKUP(compras_mes10[[#This Row],[CUIT]],Lista_CUIT[#All],2,0)),"CUIT NO CARGADO")</f>
        <v>LECHUGA JULIO CESAR</v>
      </c>
      <c r="H186" s="551">
        <v>63509.34</v>
      </c>
      <c r="I186" s="552">
        <f>IF(compras_mes10[[#This Row],[NETO GRAVADO]]="","",compras_mes10[[#This Row],[NETO GRAVADO]]*0.21)</f>
        <v>13336.961399999998</v>
      </c>
      <c r="J186" s="574"/>
      <c r="K186" s="574"/>
      <c r="L186" s="574"/>
      <c r="M186" s="574"/>
      <c r="N186" s="574"/>
      <c r="O186" s="574"/>
      <c r="P186" s="553">
        <f>SUM(compras_mes10[[#This Row],[NETO GRAVADO]:[Otros / No Grav.]])</f>
        <v>76846.301399999997</v>
      </c>
      <c r="Q186" s="554" t="str">
        <f>IFERROR(IF(compras_mes10[[#This Row],[CUIT]]="","-",VLOOKUP(compras_mes10[[#This Row],[CUIT]],Lista_CUIT[#All],3,0)),"CUIT NO CARGADO")</f>
        <v>Insumos</v>
      </c>
      <c r="R186" s="554">
        <f>IFERROR(IF(compras_mes10[[#This Row],[CUIT]]="","-",VLOOKUP(compras_mes10[[#This Row],[CUIT]],Lista_CUIT[#All],4,0)),"CUIT NO CARGADO")</f>
        <v>0</v>
      </c>
    </row>
    <row r="187" spans="1:18" x14ac:dyDescent="0.25">
      <c r="B187" s="546" t="s">
        <v>2897</v>
      </c>
      <c r="C187" s="547">
        <v>1</v>
      </c>
      <c r="D187" s="487">
        <v>339</v>
      </c>
      <c r="E187" s="548">
        <v>1821</v>
      </c>
      <c r="F187" s="549">
        <v>30685849751</v>
      </c>
      <c r="G187" s="550" t="str">
        <f>IFERROR(IF(compras_mes10[[#This Row],[CUIT]]="","-",VLOOKUP(compras_mes10[[#This Row],[CUIT]],Lista_CUIT[#All],2,0)),"CUIT NO CARGADO")</f>
        <v>DIA ARGENTINA S A</v>
      </c>
      <c r="H187" s="551">
        <v>11496.69</v>
      </c>
      <c r="I187" s="552">
        <f>IF(compras_mes10[[#This Row],[NETO GRAVADO]]="","",compras_mes10[[#This Row],[NETO GRAVADO]]*0.21)</f>
        <v>2414.3049000000001</v>
      </c>
      <c r="J187" s="574"/>
      <c r="K187" s="574"/>
      <c r="L187" s="574"/>
      <c r="M187" s="574"/>
      <c r="N187" s="574"/>
      <c r="O187" s="574">
        <v>689.8</v>
      </c>
      <c r="P187" s="553">
        <f>SUM(compras_mes10[[#This Row],[NETO GRAVADO]:[Otros / No Grav.]])</f>
        <v>14600.794900000001</v>
      </c>
      <c r="Q187" s="554" t="str">
        <f>IFERROR(IF(compras_mes10[[#This Row],[CUIT]]="","-",VLOOKUP(compras_mes10[[#This Row],[CUIT]],Lista_CUIT[#All],3,0)),"CUIT NO CARGADO")</f>
        <v>Gastos Varios</v>
      </c>
      <c r="R187" s="554">
        <f>IFERROR(IF(compras_mes10[[#This Row],[CUIT]]="","-",VLOOKUP(compras_mes10[[#This Row],[CUIT]],Lista_CUIT[#All],4,0)),"CUIT NO CARGADO")</f>
        <v>0</v>
      </c>
    </row>
    <row r="188" spans="1:18" x14ac:dyDescent="0.25">
      <c r="B188" s="546" t="s">
        <v>2897</v>
      </c>
      <c r="C188" s="547">
        <v>1</v>
      </c>
      <c r="D188" s="487">
        <v>11</v>
      </c>
      <c r="E188" s="548">
        <v>2477</v>
      </c>
      <c r="F188" s="549">
        <v>30715471562</v>
      </c>
      <c r="G188" s="550" t="str">
        <f>IFERROR(IF(compras_mes10[[#This Row],[CUIT]]="","-",VLOOKUP(compras_mes10[[#This Row],[CUIT]],Lista_CUIT[#All],2,0)),"CUIT NO CARGADO")</f>
        <v>INCAS DEL SUR S.A.</v>
      </c>
      <c r="H188" s="551">
        <v>11365.19</v>
      </c>
      <c r="I188" s="552">
        <f>IF(compras_mes10[[#This Row],[NETO GRAVADO]]="","",compras_mes10[[#This Row],[NETO GRAVADO]]*0.21)</f>
        <v>2386.6898999999999</v>
      </c>
      <c r="J188" s="574"/>
      <c r="K188" s="574"/>
      <c r="L188" s="574"/>
      <c r="M188" s="574"/>
      <c r="N188" s="574"/>
      <c r="O188" s="574"/>
      <c r="P188" s="553">
        <f>SUM(compras_mes10[[#This Row],[NETO GRAVADO]:[Otros / No Grav.]])</f>
        <v>13751.8799</v>
      </c>
      <c r="Q188" s="554" t="str">
        <f>IFERROR(IF(compras_mes10[[#This Row],[CUIT]]="","-",VLOOKUP(compras_mes10[[#This Row],[CUIT]],Lista_CUIT[#All],3,0)),"CUIT NO CARGADO")</f>
        <v>Ferreteria</v>
      </c>
      <c r="R188" s="554">
        <f>IFERROR(IF(compras_mes10[[#This Row],[CUIT]]="","-",VLOOKUP(compras_mes10[[#This Row],[CUIT]],Lista_CUIT[#All],4,0)),"CUIT NO CARGADO")</f>
        <v>0</v>
      </c>
    </row>
    <row r="189" spans="1:18" x14ac:dyDescent="0.25">
      <c r="B189" s="546" t="s">
        <v>2897</v>
      </c>
      <c r="C189" s="547">
        <v>1</v>
      </c>
      <c r="D189" s="487">
        <v>4</v>
      </c>
      <c r="E189" s="548">
        <v>49198</v>
      </c>
      <c r="F189" s="549">
        <v>30585948817</v>
      </c>
      <c r="G189" s="550" t="str">
        <f>IFERROR(IF(compras_mes10[[#This Row],[CUIT]]="","-",VLOOKUP(compras_mes10[[#This Row],[CUIT]],Lista_CUIT[#All],2,0)),"CUIT NO CARGADO")</f>
        <v xml:space="preserve">GLASCAR </v>
      </c>
      <c r="H189" s="551">
        <v>2572806.6</v>
      </c>
      <c r="I189" s="552">
        <f>IF(compras_mes10[[#This Row],[NETO GRAVADO]]="","",compras_mes10[[#This Row],[NETO GRAVADO]]*0.21)</f>
        <v>540289.38600000006</v>
      </c>
      <c r="J189" s="574"/>
      <c r="K189" s="574"/>
      <c r="L189" s="574"/>
      <c r="M189" s="574"/>
      <c r="N189" s="574"/>
      <c r="O189" s="574">
        <v>154368.4</v>
      </c>
      <c r="P189" s="553">
        <f>SUM(compras_mes10[[#This Row],[NETO GRAVADO]:[Otros / No Grav.]])</f>
        <v>3267464.3859999999</v>
      </c>
      <c r="Q189" s="554" t="str">
        <f>IFERROR(IF(compras_mes10[[#This Row],[CUIT]]="","-",VLOOKUP(compras_mes10[[#This Row],[CUIT]],Lista_CUIT[#All],3,0)),"CUIT NO CARGADO")</f>
        <v>Material de Empaque</v>
      </c>
      <c r="R189" s="554">
        <f>IFERROR(IF(compras_mes10[[#This Row],[CUIT]]="","-",VLOOKUP(compras_mes10[[#This Row],[CUIT]],Lista_CUIT[#All],4,0)),"CUIT NO CARGADO")</f>
        <v>0</v>
      </c>
    </row>
    <row r="190" spans="1:18" x14ac:dyDescent="0.25">
      <c r="B190" s="546" t="s">
        <v>2897</v>
      </c>
      <c r="C190" s="547">
        <v>1</v>
      </c>
      <c r="D190" s="487">
        <v>3</v>
      </c>
      <c r="E190" s="548">
        <v>2030</v>
      </c>
      <c r="F190" s="549">
        <v>30711829209</v>
      </c>
      <c r="G190" s="550" t="str">
        <f>IFERROR(IF(compras_mes10[[#This Row],[CUIT]]="","-",VLOOKUP(compras_mes10[[#This Row],[CUIT]],Lista_CUIT[#All],2,0)),"CUIT NO CARGADO")</f>
        <v>PROVERPINT S.R.L.</v>
      </c>
      <c r="H190" s="551">
        <v>18181.82</v>
      </c>
      <c r="I190" s="552">
        <f>IF(compras_mes10[[#This Row],[NETO GRAVADO]]="","",compras_mes10[[#This Row],[NETO GRAVADO]]*0.21)</f>
        <v>3818.1821999999997</v>
      </c>
      <c r="J190" s="574"/>
      <c r="K190" s="574"/>
      <c r="L190" s="574"/>
      <c r="M190" s="574"/>
      <c r="N190" s="574"/>
      <c r="O190" s="574"/>
      <c r="P190" s="553">
        <f>SUM(compras_mes10[[#This Row],[NETO GRAVADO]:[Otros / No Grav.]])</f>
        <v>22000.002199999999</v>
      </c>
      <c r="Q190" s="554" t="str">
        <f>IFERROR(IF(compras_mes10[[#This Row],[CUIT]]="","-",VLOOKUP(compras_mes10[[#This Row],[CUIT]],Lista_CUIT[#All],3,0)),"CUIT NO CARGADO")</f>
        <v>Ferreteria</v>
      </c>
      <c r="R190" s="554">
        <f>IFERROR(IF(compras_mes10[[#This Row],[CUIT]]="","-",VLOOKUP(compras_mes10[[#This Row],[CUIT]],Lista_CUIT[#All],4,0)),"CUIT NO CARGADO")</f>
        <v>0</v>
      </c>
    </row>
    <row r="191" spans="1:18" x14ac:dyDescent="0.25">
      <c r="B191" s="546" t="s">
        <v>2897</v>
      </c>
      <c r="C191" s="547">
        <v>1</v>
      </c>
      <c r="D191" s="487">
        <v>3</v>
      </c>
      <c r="E191" s="548">
        <v>2029</v>
      </c>
      <c r="F191" s="549">
        <v>30711829209</v>
      </c>
      <c r="G191" s="550" t="str">
        <f>IFERROR(IF(compras_mes10[[#This Row],[CUIT]]="","-",VLOOKUP(compras_mes10[[#This Row],[CUIT]],Lista_CUIT[#All],2,0)),"CUIT NO CARGADO")</f>
        <v>PROVERPINT S.R.L.</v>
      </c>
      <c r="H191" s="551">
        <v>14367</v>
      </c>
      <c r="I191" s="552">
        <f>IF(compras_mes10[[#This Row],[NETO GRAVADO]]="","",compras_mes10[[#This Row],[NETO GRAVADO]]*0.21)</f>
        <v>3017.0699999999997</v>
      </c>
      <c r="J191" s="574"/>
      <c r="K191" s="574"/>
      <c r="L191" s="574"/>
      <c r="M191" s="574"/>
      <c r="N191" s="574"/>
      <c r="O191" s="574"/>
      <c r="P191" s="553">
        <f>SUM(compras_mes10[[#This Row],[NETO GRAVADO]:[Otros / No Grav.]])</f>
        <v>17384.07</v>
      </c>
      <c r="Q191" s="554" t="str">
        <f>IFERROR(IF(compras_mes10[[#This Row],[CUIT]]="","-",VLOOKUP(compras_mes10[[#This Row],[CUIT]],Lista_CUIT[#All],3,0)),"CUIT NO CARGADO")</f>
        <v>Ferreteria</v>
      </c>
      <c r="R191" s="554">
        <f>IFERROR(IF(compras_mes10[[#This Row],[CUIT]]="","-",VLOOKUP(compras_mes10[[#This Row],[CUIT]],Lista_CUIT[#All],4,0)),"CUIT NO CARGADO")</f>
        <v>0</v>
      </c>
    </row>
    <row r="192" spans="1:18" x14ac:dyDescent="0.25">
      <c r="B192" s="546" t="s">
        <v>2897</v>
      </c>
      <c r="C192" s="547">
        <v>1</v>
      </c>
      <c r="D192" s="487">
        <v>2</v>
      </c>
      <c r="E192" s="548">
        <v>4187</v>
      </c>
      <c r="F192" s="549">
        <v>30629863571</v>
      </c>
      <c r="G192" s="550" t="str">
        <f>IFERROR(IF(compras_mes10[[#This Row],[CUIT]]="","-",VLOOKUP(compras_mes10[[#This Row],[CUIT]],Lista_CUIT[#All],2,0)),"CUIT NO CARGADO")</f>
        <v>TECNIMAR S R L</v>
      </c>
      <c r="H192" s="551">
        <v>5086480</v>
      </c>
      <c r="I192" s="552">
        <f>IF(compras_mes10[[#This Row],[NETO GRAVADO]]="","",compras_mes10[[#This Row],[NETO GRAVADO]]*0.21)</f>
        <v>1068160.8</v>
      </c>
      <c r="J192" s="574"/>
      <c r="K192" s="574"/>
      <c r="L192" s="574"/>
      <c r="M192" s="574"/>
      <c r="N192" s="574"/>
      <c r="O192" s="574"/>
      <c r="P192" s="553">
        <f>SUM(compras_mes10[[#This Row],[NETO GRAVADO]:[Otros / No Grav.]])</f>
        <v>6154640.7999999998</v>
      </c>
      <c r="Q192" s="554" t="str">
        <f>IFERROR(IF(compras_mes10[[#This Row],[CUIT]]="","-",VLOOKUP(compras_mes10[[#This Row],[CUIT]],Lista_CUIT[#All],3,0)),"CUIT NO CARGADO")</f>
        <v>Productos Venta</v>
      </c>
      <c r="R192" s="554">
        <f>IFERROR(IF(compras_mes10[[#This Row],[CUIT]]="","-",VLOOKUP(compras_mes10[[#This Row],[CUIT]],Lista_CUIT[#All],4,0)),"CUIT NO CARGADO")</f>
        <v>0</v>
      </c>
    </row>
    <row r="193" spans="2:18" x14ac:dyDescent="0.25">
      <c r="B193" s="546" t="s">
        <v>2898</v>
      </c>
      <c r="C193" s="547">
        <v>1</v>
      </c>
      <c r="D193" s="487">
        <v>3</v>
      </c>
      <c r="E193" s="548">
        <v>22762</v>
      </c>
      <c r="F193" s="549">
        <v>30540396295</v>
      </c>
      <c r="G193" s="550" t="str">
        <f>IFERROR(IF(compras_mes10[[#This Row],[CUIT]]="","-",VLOOKUP(compras_mes10[[#This Row],[CUIT]],Lista_CUIT[#All],2,0)),"CUIT NO CARGADO")</f>
        <v>ELECTRICIDAD JUJUY S A C E I</v>
      </c>
      <c r="H193" s="551">
        <v>39622.31</v>
      </c>
      <c r="I193" s="552">
        <f>IF(compras_mes10[[#This Row],[NETO GRAVADO]]="","",compras_mes10[[#This Row],[NETO GRAVADO]]*0.21)</f>
        <v>8320.6850999999988</v>
      </c>
      <c r="J193" s="574"/>
      <c r="K193" s="574"/>
      <c r="L193" s="574"/>
      <c r="M193" s="574"/>
      <c r="N193" s="574"/>
      <c r="O193" s="574"/>
      <c r="P193" s="553">
        <f>SUM(compras_mes10[[#This Row],[NETO GRAVADO]:[Otros / No Grav.]])</f>
        <v>47942.9951</v>
      </c>
      <c r="Q193" s="554" t="str">
        <f>IFERROR(IF(compras_mes10[[#This Row],[CUIT]]="","-",VLOOKUP(compras_mes10[[#This Row],[CUIT]],Lista_CUIT[#All],3,0)),"CUIT NO CARGADO")</f>
        <v>Gastos Varios</v>
      </c>
      <c r="R193" s="554">
        <f>IFERROR(IF(compras_mes10[[#This Row],[CUIT]]="","-",VLOOKUP(compras_mes10[[#This Row],[CUIT]],Lista_CUIT[#All],4,0)),"CUIT NO CARGADO")</f>
        <v>0</v>
      </c>
    </row>
    <row r="194" spans="2:18" x14ac:dyDescent="0.25">
      <c r="B194" s="546" t="s">
        <v>2898</v>
      </c>
      <c r="C194" s="547">
        <v>1</v>
      </c>
      <c r="D194" s="487">
        <v>6850</v>
      </c>
      <c r="E194" s="548">
        <v>28495</v>
      </c>
      <c r="F194" s="549">
        <v>30678774495</v>
      </c>
      <c r="G194" s="550" t="str">
        <f>IFERROR(IF(compras_mes10[[#This Row],[CUIT]]="","-",VLOOKUP(compras_mes10[[#This Row],[CUIT]],Lista_CUIT[#All],2,0)),"CUIT NO CARGADO")</f>
        <v>OPER. DE EST. DE SERV. SA</v>
      </c>
      <c r="H194" s="551">
        <v>35003.75</v>
      </c>
      <c r="I194" s="552">
        <f>IF(compras_mes10[[#This Row],[NETO GRAVADO]]="","",compras_mes10[[#This Row],[NETO GRAVADO]]*0.21)</f>
        <v>7350.7874999999995</v>
      </c>
      <c r="J194" s="574"/>
      <c r="K194" s="574"/>
      <c r="L194" s="574"/>
      <c r="M194" s="574"/>
      <c r="N194" s="574"/>
      <c r="O194" s="574">
        <v>8647.4</v>
      </c>
      <c r="P194" s="553">
        <f>SUM(compras_mes10[[#This Row],[NETO GRAVADO]:[Otros / No Grav.]])</f>
        <v>51001.9375</v>
      </c>
      <c r="Q194" s="554" t="str">
        <f>IFERROR(IF(compras_mes10[[#This Row],[CUIT]]="","-",VLOOKUP(compras_mes10[[#This Row],[CUIT]],Lista_CUIT[#All],3,0)),"CUIT NO CARGADO")</f>
        <v>Combustible</v>
      </c>
      <c r="R194" s="554">
        <f>IFERROR(IF(compras_mes10[[#This Row],[CUIT]]="","-",VLOOKUP(compras_mes10[[#This Row],[CUIT]],Lista_CUIT[#All],4,0)),"CUIT NO CARGADO")</f>
        <v>0</v>
      </c>
    </row>
    <row r="195" spans="2:18" x14ac:dyDescent="0.25">
      <c r="B195" s="546" t="s">
        <v>2898</v>
      </c>
      <c r="C195" s="547">
        <v>1</v>
      </c>
      <c r="D195" s="487">
        <v>2188</v>
      </c>
      <c r="E195" s="548">
        <v>161170</v>
      </c>
      <c r="F195" s="549">
        <v>30548083156</v>
      </c>
      <c r="G195" s="550" t="str">
        <f>IFERROR(IF(compras_mes10[[#This Row],[CUIT]]="","-",VLOOKUP(compras_mes10[[#This Row],[CUIT]],Lista_CUIT[#All],2,0)),"CUIT NO CARGADO")</f>
        <v>COTO CENTRO INTEGRAL DE COMERCIALIZACION SOCIEDAD ANONIMA</v>
      </c>
      <c r="H195" s="551">
        <v>74770.75</v>
      </c>
      <c r="I195" s="552">
        <v>15200.27</v>
      </c>
      <c r="J195" s="574"/>
      <c r="K195" s="574">
        <v>250.79</v>
      </c>
      <c r="L195" s="574"/>
      <c r="M195" s="574"/>
      <c r="N195" s="574"/>
      <c r="O195" s="574">
        <v>6115.29</v>
      </c>
      <c r="P195" s="553">
        <f>SUM(compras_mes10[[#This Row],[NETO GRAVADO]:[Otros / No Grav.]])</f>
        <v>96337.099999999991</v>
      </c>
      <c r="Q195" s="554" t="str">
        <f>IFERROR(IF(compras_mes10[[#This Row],[CUIT]]="","-",VLOOKUP(compras_mes10[[#This Row],[CUIT]],Lista_CUIT[#All],3,0)),"CUIT NO CARGADO")</f>
        <v>Gastos Varios</v>
      </c>
      <c r="R195" s="554">
        <f>IFERROR(IF(compras_mes10[[#This Row],[CUIT]]="","-",VLOOKUP(compras_mes10[[#This Row],[CUIT]],Lista_CUIT[#All],4,0)),"CUIT NO CARGADO")</f>
        <v>0</v>
      </c>
    </row>
    <row r="196" spans="2:18" x14ac:dyDescent="0.25">
      <c r="B196" s="546" t="s">
        <v>2898</v>
      </c>
      <c r="C196" s="547">
        <v>1</v>
      </c>
      <c r="D196" s="487">
        <v>11</v>
      </c>
      <c r="E196" s="548">
        <v>1230685</v>
      </c>
      <c r="F196" s="549">
        <v>33709585229</v>
      </c>
      <c r="G196" s="550" t="str">
        <f>IFERROR(IF(compras_mes10[[#This Row],[CUIT]]="","-",VLOOKUP(compras_mes10[[#This Row],[CUIT]],Lista_CUIT[#All],2,0)),"CUIT NO CARGADO")</f>
        <v>GOOGLE ARGENTINA S.R.L.</v>
      </c>
      <c r="H196" s="551">
        <v>164371.16</v>
      </c>
      <c r="I196" s="552">
        <f>IF(compras_mes10[[#This Row],[NETO GRAVADO]]="","",compras_mes10[[#This Row],[NETO GRAVADO]]*0.21)</f>
        <v>34517.943599999999</v>
      </c>
      <c r="J196" s="574"/>
      <c r="K196" s="574"/>
      <c r="L196" s="574"/>
      <c r="M196" s="574"/>
      <c r="N196" s="574"/>
      <c r="O196" s="574">
        <v>50449.61</v>
      </c>
      <c r="P196" s="553">
        <f>SUM(compras_mes10[[#This Row],[NETO GRAVADO]:[Otros / No Grav.]])</f>
        <v>249338.71360000002</v>
      </c>
      <c r="Q196" s="554" t="str">
        <f>IFERROR(IF(compras_mes10[[#This Row],[CUIT]]="","-",VLOOKUP(compras_mes10[[#This Row],[CUIT]],Lista_CUIT[#All],3,0)),"CUIT NO CARGADO")</f>
        <v>Gastos Comercializacion</v>
      </c>
      <c r="R196" s="554">
        <f>IFERROR(IF(compras_mes10[[#This Row],[CUIT]]="","-",VLOOKUP(compras_mes10[[#This Row],[CUIT]],Lista_CUIT[#All],4,0)),"CUIT NO CARGADO")</f>
        <v>0</v>
      </c>
    </row>
    <row r="197" spans="2:18" x14ac:dyDescent="0.25">
      <c r="B197" s="546" t="s">
        <v>2898</v>
      </c>
      <c r="C197" s="547">
        <v>1</v>
      </c>
      <c r="D197" s="487">
        <v>5015</v>
      </c>
      <c r="E197" s="548">
        <v>1036453</v>
      </c>
      <c r="F197" s="549">
        <v>30574876474</v>
      </c>
      <c r="G197" s="550" t="str">
        <f>IFERROR(IF(compras_mes10[[#This Row],[CUIT]]="","-",VLOOKUP(compras_mes10[[#This Row],[CUIT]],Lista_CUIT[#All],2,0)),"CUIT NO CARGADO")</f>
        <v>AUTOPISTAS URBANAS S A</v>
      </c>
      <c r="H197" s="551">
        <v>178635.6</v>
      </c>
      <c r="I197" s="552">
        <f>IF(compras_mes10[[#This Row],[NETO GRAVADO]]="","",compras_mes10[[#This Row],[NETO GRAVADO]]*0.21)</f>
        <v>37513.476000000002</v>
      </c>
      <c r="J197" s="574"/>
      <c r="K197" s="574"/>
      <c r="L197" s="574"/>
      <c r="M197" s="574"/>
      <c r="N197" s="574"/>
      <c r="O197" s="574">
        <v>23222.58</v>
      </c>
      <c r="P197" s="553">
        <f>SUM(compras_mes10[[#This Row],[NETO GRAVADO]:[Otros / No Grav.]])</f>
        <v>239371.65600000002</v>
      </c>
      <c r="Q197" s="554" t="str">
        <f>IFERROR(IF(compras_mes10[[#This Row],[CUIT]]="","-",VLOOKUP(compras_mes10[[#This Row],[CUIT]],Lista_CUIT[#All],3,0)),"CUIT NO CARGADO")</f>
        <v>Peajes</v>
      </c>
      <c r="R197" s="554">
        <f>IFERROR(IF(compras_mes10[[#This Row],[CUIT]]="","-",VLOOKUP(compras_mes10[[#This Row],[CUIT]],Lista_CUIT[#All],4,0)),"CUIT NO CARGADO")</f>
        <v>0</v>
      </c>
    </row>
    <row r="198" spans="2:18" x14ac:dyDescent="0.25">
      <c r="B198" s="546" t="s">
        <v>2898</v>
      </c>
      <c r="C198" s="547">
        <v>1</v>
      </c>
      <c r="D198" s="487">
        <v>50</v>
      </c>
      <c r="E198" s="548">
        <v>4709275</v>
      </c>
      <c r="F198" s="549">
        <v>30714112836</v>
      </c>
      <c r="G198" s="550" t="str">
        <f>IFERROR(IF(compras_mes10[[#This Row],[CUIT]]="","-",VLOOKUP(compras_mes10[[#This Row],[CUIT]],Lista_CUIT[#All],2,0)),"CUIT NO CARGADO")</f>
        <v>AUTOPISTAS DE BS AS</v>
      </c>
      <c r="H198" s="551">
        <v>44663.61</v>
      </c>
      <c r="I198" s="552">
        <f>IF(compras_mes10[[#This Row],[NETO GRAVADO]]="","",compras_mes10[[#This Row],[NETO GRAVADO]]*0.21)</f>
        <v>9379.3580999999995</v>
      </c>
      <c r="J198" s="574"/>
      <c r="K198" s="574"/>
      <c r="L198" s="574"/>
      <c r="M198" s="574"/>
      <c r="N198" s="574"/>
      <c r="O198" s="574">
        <v>1339.91</v>
      </c>
      <c r="P198" s="553">
        <f>SUM(compras_mes10[[#This Row],[NETO GRAVADO]:[Otros / No Grav.]])</f>
        <v>55382.878100000002</v>
      </c>
      <c r="Q198" s="554" t="str">
        <f>IFERROR(IF(compras_mes10[[#This Row],[CUIT]]="","-",VLOOKUP(compras_mes10[[#This Row],[CUIT]],Lista_CUIT[#All],3,0)),"CUIT NO CARGADO")</f>
        <v>Peajes</v>
      </c>
      <c r="R198" s="554">
        <f>IFERROR(IF(compras_mes10[[#This Row],[CUIT]]="","-",VLOOKUP(compras_mes10[[#This Row],[CUIT]],Lista_CUIT[#All],4,0)),"CUIT NO CARGADO")</f>
        <v>0</v>
      </c>
    </row>
    <row r="199" spans="2:18" x14ac:dyDescent="0.25">
      <c r="B199" s="546" t="s">
        <v>2898</v>
      </c>
      <c r="C199" s="547">
        <v>1</v>
      </c>
      <c r="D199" s="487">
        <v>126</v>
      </c>
      <c r="E199" s="548">
        <v>227695</v>
      </c>
      <c r="F199" s="549">
        <v>30577207190</v>
      </c>
      <c r="G199" s="550" t="str">
        <f>IFERROR(IF(compras_mes10[[#This Row],[CUIT]]="","-",VLOOKUP(compras_mes10[[#This Row],[CUIT]],Lista_CUIT[#All],2,0)),"CUIT NO CARGADO")</f>
        <v>COORDINACION ECOLOGICA AREA METROPOLITANA SOCIEDAD DEL ESTADO</v>
      </c>
      <c r="H199" s="551">
        <v>5206.6099999999997</v>
      </c>
      <c r="I199" s="552">
        <f>IF(compras_mes10[[#This Row],[NETO GRAVADO]]="","",compras_mes10[[#This Row],[NETO GRAVADO]]*0.21)</f>
        <v>1093.3880999999999</v>
      </c>
      <c r="J199" s="574"/>
      <c r="K199" s="574"/>
      <c r="L199" s="574"/>
      <c r="M199" s="574"/>
      <c r="N199" s="574"/>
      <c r="O199" s="574">
        <v>156.19999999999999</v>
      </c>
      <c r="P199" s="553">
        <f>SUM(compras_mes10[[#This Row],[NETO GRAVADO]:[Otros / No Grav.]])</f>
        <v>6456.1980999999996</v>
      </c>
      <c r="Q199" s="554" t="str">
        <f>IFERROR(IF(compras_mes10[[#This Row],[CUIT]]="","-",VLOOKUP(compras_mes10[[#This Row],[CUIT]],Lista_CUIT[#All],3,0)),"CUIT NO CARGADO")</f>
        <v>Gastos Limpieza</v>
      </c>
      <c r="R199" s="554">
        <f>IFERROR(IF(compras_mes10[[#This Row],[CUIT]]="","-",VLOOKUP(compras_mes10[[#This Row],[CUIT]],Lista_CUIT[#All],4,0)),"CUIT NO CARGADO")</f>
        <v>0</v>
      </c>
    </row>
    <row r="200" spans="2:18" x14ac:dyDescent="0.25">
      <c r="B200" s="546" t="s">
        <v>2898</v>
      </c>
      <c r="C200" s="547">
        <v>1</v>
      </c>
      <c r="D200" s="487">
        <v>2</v>
      </c>
      <c r="E200" s="548">
        <v>3494</v>
      </c>
      <c r="F200" s="549">
        <v>20240305128</v>
      </c>
      <c r="G200" s="550" t="str">
        <f>IFERROR(IF(compras_mes10[[#This Row],[CUIT]]="","-",VLOOKUP(compras_mes10[[#This Row],[CUIT]],Lista_CUIT[#All],2,0)),"CUIT NO CARGADO")</f>
        <v>Abraldes Diego Roberto</v>
      </c>
      <c r="H200" s="551">
        <v>90400</v>
      </c>
      <c r="I200" s="552">
        <f>IF(compras_mes10[[#This Row],[NETO GRAVADO]]="","",compras_mes10[[#This Row],[NETO GRAVADO]]*0.21)</f>
        <v>18984</v>
      </c>
      <c r="J200" s="574"/>
      <c r="K200" s="574"/>
      <c r="L200" s="574"/>
      <c r="M200" s="574"/>
      <c r="N200" s="574"/>
      <c r="O200" s="574"/>
      <c r="P200" s="553">
        <f>SUM(compras_mes10[[#This Row],[NETO GRAVADO]:[Otros / No Grav.]])</f>
        <v>109384</v>
      </c>
      <c r="Q200" s="554" t="str">
        <f>IFERROR(IF(compras_mes10[[#This Row],[CUIT]]="","-",VLOOKUP(compras_mes10[[#This Row],[CUIT]],Lista_CUIT[#All],3,0)),"CUIT NO CARGADO")</f>
        <v>LIBRERÍA</v>
      </c>
      <c r="R200" s="554">
        <f>IFERROR(IF(compras_mes10[[#This Row],[CUIT]]="","-",VLOOKUP(compras_mes10[[#This Row],[CUIT]],Lista_CUIT[#All],4,0)),"CUIT NO CARGADO")</f>
        <v>0</v>
      </c>
    </row>
    <row r="201" spans="2:18" x14ac:dyDescent="0.25">
      <c r="B201" s="546" t="s">
        <v>2898</v>
      </c>
      <c r="C201" s="547">
        <v>1</v>
      </c>
      <c r="D201" s="487">
        <v>2</v>
      </c>
      <c r="E201" s="548">
        <v>2503</v>
      </c>
      <c r="F201" s="549">
        <v>23040820604</v>
      </c>
      <c r="G201" s="550" t="str">
        <f>IFERROR(IF(compras_mes10[[#This Row],[CUIT]]="","-",VLOOKUP(compras_mes10[[#This Row],[CUIT]],Lista_CUIT[#All],2,0)),"CUIT NO CARGADO")</f>
        <v>BUSATTO ADELA</v>
      </c>
      <c r="H201" s="551">
        <v>28099.19</v>
      </c>
      <c r="I201" s="552">
        <f>IF(compras_mes10[[#This Row],[NETO GRAVADO]]="","",compras_mes10[[#This Row],[NETO GRAVADO]]*0.21)</f>
        <v>5900.8298999999997</v>
      </c>
      <c r="J201" s="574"/>
      <c r="K201" s="574"/>
      <c r="L201" s="574"/>
      <c r="M201" s="574"/>
      <c r="N201" s="574"/>
      <c r="O201" s="574"/>
      <c r="P201" s="553">
        <f>SUM(compras_mes10[[#This Row],[NETO GRAVADO]:[Otros / No Grav.]])</f>
        <v>34000.019899999999</v>
      </c>
      <c r="Q201" s="554" t="str">
        <f>IFERROR(IF(compras_mes10[[#This Row],[CUIT]]="","-",VLOOKUP(compras_mes10[[#This Row],[CUIT]],Lista_CUIT[#All],3,0)),"CUIT NO CARGADO")</f>
        <v>Gastos Varios</v>
      </c>
      <c r="R201" s="554">
        <f>IFERROR(IF(compras_mes10[[#This Row],[CUIT]]="","-",VLOOKUP(compras_mes10[[#This Row],[CUIT]],Lista_CUIT[#All],4,0)),"CUIT NO CARGADO")</f>
        <v>0</v>
      </c>
    </row>
    <row r="202" spans="2:18" x14ac:dyDescent="0.25">
      <c r="B202" s="546" t="s">
        <v>2898</v>
      </c>
      <c r="C202" s="547">
        <v>1</v>
      </c>
      <c r="D202" s="487">
        <v>2</v>
      </c>
      <c r="E202" s="548">
        <v>4189</v>
      </c>
      <c r="F202" s="549">
        <v>30629863571</v>
      </c>
      <c r="G202" s="550" t="str">
        <f>IFERROR(IF(compras_mes10[[#This Row],[CUIT]]="","-",VLOOKUP(compras_mes10[[#This Row],[CUIT]],Lista_CUIT[#All],2,0)),"CUIT NO CARGADO")</f>
        <v>TECNIMAR S R L</v>
      </c>
      <c r="H202" s="551">
        <v>2795471</v>
      </c>
      <c r="I202" s="552">
        <f>IF(compras_mes10[[#This Row],[NETO GRAVADO]]="","",compras_mes10[[#This Row],[NETO GRAVADO]]*0.21)</f>
        <v>587048.91</v>
      </c>
      <c r="J202" s="574"/>
      <c r="K202" s="574"/>
      <c r="L202" s="574"/>
      <c r="M202" s="574"/>
      <c r="N202" s="574"/>
      <c r="O202" s="574"/>
      <c r="P202" s="553">
        <f>SUM(compras_mes10[[#This Row],[NETO GRAVADO]:[Otros / No Grav.]])</f>
        <v>3382519.91</v>
      </c>
      <c r="Q202" s="554" t="str">
        <f>IFERROR(IF(compras_mes10[[#This Row],[CUIT]]="","-",VLOOKUP(compras_mes10[[#This Row],[CUIT]],Lista_CUIT[#All],3,0)),"CUIT NO CARGADO")</f>
        <v>Productos Venta</v>
      </c>
      <c r="R202" s="554">
        <f>IFERROR(IF(compras_mes10[[#This Row],[CUIT]]="","-",VLOOKUP(compras_mes10[[#This Row],[CUIT]],Lista_CUIT[#All],4,0)),"CUIT NO CARGADO")</f>
        <v>0</v>
      </c>
    </row>
    <row r="203" spans="2:18" x14ac:dyDescent="0.25">
      <c r="B203" s="546" t="s">
        <v>2872</v>
      </c>
      <c r="C203" s="547">
        <v>3</v>
      </c>
      <c r="D203" s="487">
        <v>8</v>
      </c>
      <c r="E203" s="548">
        <v>1366</v>
      </c>
      <c r="F203" s="549">
        <v>20309802021</v>
      </c>
      <c r="G203" s="550" t="str">
        <f>IFERROR(IF(compras_mes10[[#This Row],[CUIT]]="","-",VLOOKUP(compras_mes10[[#This Row],[CUIT]],Lista_CUIT[#All],2,0)),"CUIT NO CARGADO")</f>
        <v>BRUSCO ALEJANDRO RAUL</v>
      </c>
      <c r="H203" s="551">
        <v>-94082.72</v>
      </c>
      <c r="I203" s="552">
        <f>IF(compras_mes10[[#This Row],[NETO GRAVADO]]="","",compras_mes10[[#This Row],[NETO GRAVADO]]*0.21)</f>
        <v>-19757.371199999998</v>
      </c>
      <c r="J203" s="574"/>
      <c r="K203" s="574"/>
      <c r="L203" s="574"/>
      <c r="M203" s="574"/>
      <c r="N203" s="574"/>
      <c r="O203" s="574"/>
      <c r="P203" s="553">
        <f>SUM(compras_mes10[[#This Row],[NETO GRAVADO]:[Otros / No Grav.]])</f>
        <v>-113840.0912</v>
      </c>
      <c r="Q203" s="554" t="str">
        <f>IFERROR(IF(compras_mes10[[#This Row],[CUIT]]="","-",VLOOKUP(compras_mes10[[#This Row],[CUIT]],Lista_CUIT[#All],3,0)),"CUIT NO CARGADO")</f>
        <v>Insumos</v>
      </c>
      <c r="R203" s="554">
        <f>IFERROR(IF(compras_mes10[[#This Row],[CUIT]]="","-",VLOOKUP(compras_mes10[[#This Row],[CUIT]],Lista_CUIT[#All],4,0)),"CUIT NO CARGADO")</f>
        <v>0</v>
      </c>
    </row>
    <row r="204" spans="2:18" x14ac:dyDescent="0.25">
      <c r="B204" s="546" t="s">
        <v>2873</v>
      </c>
      <c r="C204" s="547">
        <v>3</v>
      </c>
      <c r="D204" s="487">
        <v>4</v>
      </c>
      <c r="E204" s="548">
        <v>1795</v>
      </c>
      <c r="F204" s="549">
        <v>30709863076</v>
      </c>
      <c r="G204" s="550" t="str">
        <f>IFERROR(IF(compras_mes10[[#This Row],[CUIT]]="","-",VLOOKUP(compras_mes10[[#This Row],[CUIT]],Lista_CUIT[#All],2,0)),"CUIT NO CARGADO")</f>
        <v>INDUSTRIAS PLASTICOS SALTA S.R.L.</v>
      </c>
      <c r="H204" s="551">
        <v>-148760.32999999999</v>
      </c>
      <c r="I204" s="552">
        <f>IF(compras_mes10[[#This Row],[NETO GRAVADO]]="","",compras_mes10[[#This Row],[NETO GRAVADO]]*0.21)</f>
        <v>-31239.669299999998</v>
      </c>
      <c r="J204" s="574"/>
      <c r="K204" s="574"/>
      <c r="L204" s="574"/>
      <c r="M204" s="574"/>
      <c r="N204" s="574"/>
      <c r="O204" s="574"/>
      <c r="P204" s="553">
        <f>SUM(compras_mes10[[#This Row],[NETO GRAVADO]:[Otros / No Grav.]])</f>
        <v>-179999.9993</v>
      </c>
      <c r="Q204" s="554" t="str">
        <f>IFERROR(IF(compras_mes10[[#This Row],[CUIT]]="","-",VLOOKUP(compras_mes10[[#This Row],[CUIT]],Lista_CUIT[#All],3,0)),"CUIT NO CARGADO")</f>
        <v>Materia Prima</v>
      </c>
      <c r="R204" s="554">
        <f>IFERROR(IF(compras_mes10[[#This Row],[CUIT]]="","-",VLOOKUP(compras_mes10[[#This Row],[CUIT]],Lista_CUIT[#All],4,0)),"CUIT NO CARGADO")</f>
        <v>0</v>
      </c>
    </row>
    <row r="205" spans="2:18" x14ac:dyDescent="0.25">
      <c r="B205" s="546" t="s">
        <v>2884</v>
      </c>
      <c r="C205" s="547">
        <v>3</v>
      </c>
      <c r="D205" s="487">
        <v>4</v>
      </c>
      <c r="E205" s="548">
        <v>247</v>
      </c>
      <c r="F205" s="549">
        <v>20313158676</v>
      </c>
      <c r="G205" s="550" t="str">
        <f>IFERROR(IF(compras_mes10[[#This Row],[CUIT]]="","-",VLOOKUP(compras_mes10[[#This Row],[CUIT]],Lista_CUIT[#All],2,0)),"CUIT NO CARGADO")</f>
        <v>SESMA PABLO NICOLAS</v>
      </c>
      <c r="H205" s="551">
        <v>-87387.08</v>
      </c>
      <c r="I205" s="552">
        <f>IF(compras_mes10[[#This Row],[NETO GRAVADO]]="","",compras_mes10[[#This Row],[NETO GRAVADO]]*0.21)</f>
        <v>-18351.286799999998</v>
      </c>
      <c r="J205" s="574"/>
      <c r="K205" s="574"/>
      <c r="L205" s="574"/>
      <c r="M205" s="574"/>
      <c r="N205" s="574"/>
      <c r="O205" s="574"/>
      <c r="P205" s="553">
        <f>SUM(compras_mes10[[#This Row],[NETO GRAVADO]:[Otros / No Grav.]])</f>
        <v>-105738.3668</v>
      </c>
      <c r="Q205" s="554" t="str">
        <f>IFERROR(IF(compras_mes10[[#This Row],[CUIT]]="","-",VLOOKUP(compras_mes10[[#This Row],[CUIT]],Lista_CUIT[#All],3,0)),"CUIT NO CARGADO")</f>
        <v>Ferreteria</v>
      </c>
      <c r="R205" s="554">
        <f>IFERROR(IF(compras_mes10[[#This Row],[CUIT]]="","-",VLOOKUP(compras_mes10[[#This Row],[CUIT]],Lista_CUIT[#All],4,0)),"CUIT NO CARGADO")</f>
        <v>0</v>
      </c>
    </row>
    <row r="206" spans="2:18" x14ac:dyDescent="0.25">
      <c r="B206" s="546" t="s">
        <v>2885</v>
      </c>
      <c r="C206" s="547">
        <v>3</v>
      </c>
      <c r="D206" s="487">
        <v>10</v>
      </c>
      <c r="E206" s="548">
        <v>3164</v>
      </c>
      <c r="F206" s="549">
        <v>30677041877</v>
      </c>
      <c r="G206" s="550" t="str">
        <f>IFERROR(IF(compras_mes10[[#This Row],[CUIT]]="","-",VLOOKUP(compras_mes10[[#This Row],[CUIT]],Lista_CUIT[#All],2,0)),"CUIT NO CARGADO")</f>
        <v>GARDEN LIFE S A</v>
      </c>
      <c r="H206" s="551">
        <v>-242314.05</v>
      </c>
      <c r="I206" s="552">
        <f>IF(compras_mes10[[#This Row],[NETO GRAVADO]]="","",compras_mes10[[#This Row],[NETO GRAVADO]]*0.21)</f>
        <v>-50885.950499999999</v>
      </c>
      <c r="J206" s="574"/>
      <c r="K206" s="574"/>
      <c r="L206" s="574"/>
      <c r="M206" s="574"/>
      <c r="N206" s="574"/>
      <c r="O206" s="574"/>
      <c r="P206" s="553">
        <f>SUM(compras_mes10[[#This Row],[NETO GRAVADO]:[Otros / No Grav.]])</f>
        <v>-293200.00049999997</v>
      </c>
      <c r="Q206" s="554" t="str">
        <f>IFERROR(IF(compras_mes10[[#This Row],[CUIT]]="","-",VLOOKUP(compras_mes10[[#This Row],[CUIT]],Lista_CUIT[#All],3,0)),"CUIT NO CARGADO")</f>
        <v>Insumos</v>
      </c>
      <c r="R206" s="554">
        <f>IFERROR(IF(compras_mes10[[#This Row],[CUIT]]="","-",VLOOKUP(compras_mes10[[#This Row],[CUIT]],Lista_CUIT[#All],4,0)),"CUIT NO CARGADO")</f>
        <v>0</v>
      </c>
    </row>
    <row r="207" spans="2:18" x14ac:dyDescent="0.25">
      <c r="B207" s="546" t="s">
        <v>2894</v>
      </c>
      <c r="C207" s="547">
        <v>3</v>
      </c>
      <c r="D207" s="487">
        <v>2</v>
      </c>
      <c r="E207" s="548">
        <v>28</v>
      </c>
      <c r="F207" s="549">
        <v>20103069832</v>
      </c>
      <c r="G207" s="550" t="str">
        <f>IFERROR(IF(compras_mes10[[#This Row],[CUIT]]="","-",VLOOKUP(compras_mes10[[#This Row],[CUIT]],Lista_CUIT[#All],2,0)),"CUIT NO CARGADO")</f>
        <v>DE LUCA HECTOR RAFAEL FRANCI</v>
      </c>
      <c r="H207" s="551">
        <v>-835506</v>
      </c>
      <c r="I207" s="552">
        <f>IF(compras_mes10[[#This Row],[NETO GRAVADO]]="","",compras_mes10[[#This Row],[NETO GRAVADO]]*0.21)</f>
        <v>-175456.25999999998</v>
      </c>
      <c r="J207" s="574"/>
      <c r="K207" s="574"/>
      <c r="L207" s="574"/>
      <c r="M207" s="574"/>
      <c r="N207" s="574"/>
      <c r="O207" s="574"/>
      <c r="P207" s="553">
        <f>SUM(compras_mes10[[#This Row],[NETO GRAVADO]:[Otros / No Grav.]])</f>
        <v>-1010962.26</v>
      </c>
      <c r="Q207" s="554" t="str">
        <f>IFERROR(IF(compras_mes10[[#This Row],[CUIT]]="","-",VLOOKUP(compras_mes10[[#This Row],[CUIT]],Lista_CUIT[#All],3,0)),"CUIT NO CARGADO")</f>
        <v>Material de Empaque</v>
      </c>
      <c r="R207" s="554">
        <f>IFERROR(IF(compras_mes10[[#This Row],[CUIT]]="","-",VLOOKUP(compras_mes10[[#This Row],[CUIT]],Lista_CUIT[#All],4,0)),"CUIT NO CARGADO")</f>
        <v>0</v>
      </c>
    </row>
    <row r="208" spans="2:18" x14ac:dyDescent="0.25">
      <c r="B208" s="546" t="s">
        <v>2898</v>
      </c>
      <c r="C208" s="547">
        <v>3</v>
      </c>
      <c r="D208" s="487">
        <v>12</v>
      </c>
      <c r="E208" s="548">
        <v>2790</v>
      </c>
      <c r="F208" s="549">
        <v>30532905555</v>
      </c>
      <c r="G208" s="550" t="str">
        <f>IFERROR(IF(compras_mes10[[#This Row],[CUIT]]="","-",VLOOKUP(compras_mes10[[#This Row],[CUIT]],Lista_CUIT[#All],2,0)),"CUIT NO CARGADO")</f>
        <v>UNTECO S.A.I.C. E I.</v>
      </c>
      <c r="H208" s="551">
        <v>-38540.93</v>
      </c>
      <c r="I208" s="552">
        <f>IF(compras_mes10[[#This Row],[NETO GRAVADO]]="","",compras_mes10[[#This Row],[NETO GRAVADO]]*0.21)</f>
        <v>-8093.5953</v>
      </c>
      <c r="J208" s="574"/>
      <c r="K208" s="574"/>
      <c r="L208" s="574"/>
      <c r="M208" s="574"/>
      <c r="N208" s="574"/>
      <c r="O208" s="574"/>
      <c r="P208" s="553">
        <f>SUM(compras_mes10[[#This Row],[NETO GRAVADO]:[Otros / No Grav.]])</f>
        <v>-46634.525300000001</v>
      </c>
      <c r="Q208" s="554" t="str">
        <f>IFERROR(IF(compras_mes10[[#This Row],[CUIT]]="","-",VLOOKUP(compras_mes10[[#This Row],[CUIT]],Lista_CUIT[#All],3,0)),"CUIT NO CARGADO")</f>
        <v>Productos Terminados</v>
      </c>
      <c r="R208" s="554">
        <f>IFERROR(IF(compras_mes10[[#This Row],[CUIT]]="","-",VLOOKUP(compras_mes10[[#This Row],[CUIT]],Lista_CUIT[#All],4,0)),"CUIT NO CARGADO")</f>
        <v>0</v>
      </c>
    </row>
    <row r="209" spans="2:18" x14ac:dyDescent="0.25">
      <c r="B209" s="546" t="s">
        <v>2898</v>
      </c>
      <c r="C209" s="547">
        <v>3</v>
      </c>
      <c r="D209" s="487">
        <v>11</v>
      </c>
      <c r="E209" s="548">
        <v>877194</v>
      </c>
      <c r="F209" s="549">
        <v>33709585229</v>
      </c>
      <c r="G209" s="550" t="str">
        <f>IFERROR(IF(compras_mes10[[#This Row],[CUIT]]="","-",VLOOKUP(compras_mes10[[#This Row],[CUIT]],Lista_CUIT[#All],2,0)),"CUIT NO CARGADO")</f>
        <v>GOOGLE ARGENTINA S.R.L.</v>
      </c>
      <c r="H209" s="551">
        <v>-243.56</v>
      </c>
      <c r="I209" s="552">
        <f>IF(compras_mes10[[#This Row],[NETO GRAVADO]]="","",compras_mes10[[#This Row],[NETO GRAVADO]]*0.21)</f>
        <v>-51.147599999999997</v>
      </c>
      <c r="J209" s="574"/>
      <c r="K209" s="574"/>
      <c r="L209" s="574"/>
      <c r="M209" s="574"/>
      <c r="N209" s="574"/>
      <c r="O209" s="574">
        <v>-67.44</v>
      </c>
      <c r="P209" s="553">
        <f>SUM(compras_mes10[[#This Row],[NETO GRAVADO]:[Otros / No Grav.]])</f>
        <v>-362.14760000000001</v>
      </c>
      <c r="Q209" s="554" t="str">
        <f>IFERROR(IF(compras_mes10[[#This Row],[CUIT]]="","-",VLOOKUP(compras_mes10[[#This Row],[CUIT]],Lista_CUIT[#All],3,0)),"CUIT NO CARGADO")</f>
        <v>Gastos Comercializacion</v>
      </c>
      <c r="R209" s="554">
        <f>IFERROR(IF(compras_mes10[[#This Row],[CUIT]]="","-",VLOOKUP(compras_mes10[[#This Row],[CUIT]],Lista_CUIT[#All],4,0)),"CUIT NO CARGADO")</f>
        <v>0</v>
      </c>
    </row>
    <row r="210" spans="2:18" x14ac:dyDescent="0.25">
      <c r="B210" s="546" t="s">
        <v>2873</v>
      </c>
      <c r="C210" s="547"/>
      <c r="D210" s="487">
        <v>9</v>
      </c>
      <c r="E210" s="548">
        <v>82046</v>
      </c>
      <c r="F210" s="549">
        <v>30696131003</v>
      </c>
      <c r="G210" s="550" t="str">
        <f>IFERROR(IF(compras_mes10[[#This Row],[CUIT]]="","-",VLOOKUP(compras_mes10[[#This Row],[CUIT]],Lista_CUIT[#All],2,0)),"CUIT NO CARGADO")</f>
        <v>Petrolfe S.A.</v>
      </c>
      <c r="H210" s="551">
        <v>39170</v>
      </c>
      <c r="I210" s="552">
        <f>IF(compras_mes10[[#This Row],[NETO GRAVADO]]="","",compras_mes10[[#This Row],[NETO GRAVADO]]*0.21)</f>
        <v>8225.6999999999989</v>
      </c>
      <c r="J210" s="574"/>
      <c r="K210" s="574"/>
      <c r="L210" s="574"/>
      <c r="M210" s="574"/>
      <c r="N210" s="574"/>
      <c r="O210" s="574">
        <v>5614.32</v>
      </c>
      <c r="P210" s="553">
        <f>SUM(compras_mes10[[#This Row],[NETO GRAVADO]:[Otros / No Grav.]])</f>
        <v>53010.02</v>
      </c>
      <c r="Q210" s="554" t="str">
        <f>IFERROR(IF(compras_mes10[[#This Row],[CUIT]]="","-",VLOOKUP(compras_mes10[[#This Row],[CUIT]],Lista_CUIT[#All],3,0)),"CUIT NO CARGADO")</f>
        <v>Combustible</v>
      </c>
      <c r="R210" s="554">
        <f>IFERROR(IF(compras_mes10[[#This Row],[CUIT]]="","-",VLOOKUP(compras_mes10[[#This Row],[CUIT]],Lista_CUIT[#All],4,0)),"CUIT NO CARGADO")</f>
        <v>0</v>
      </c>
    </row>
    <row r="211" spans="2:18" x14ac:dyDescent="0.25">
      <c r="B211" s="546" t="s">
        <v>2932</v>
      </c>
      <c r="C211" s="547"/>
      <c r="D211" s="487">
        <v>12</v>
      </c>
      <c r="E211" s="548">
        <v>74874</v>
      </c>
      <c r="F211" s="549">
        <v>30696131003</v>
      </c>
      <c r="G211" s="550" t="str">
        <f>IFERROR(IF(compras_mes10[[#This Row],[CUIT]]="","-",VLOOKUP(compras_mes10[[#This Row],[CUIT]],Lista_CUIT[#All],2,0)),"CUIT NO CARGADO")</f>
        <v>Petrolfe S.A.</v>
      </c>
      <c r="H211" s="551">
        <v>273101.19</v>
      </c>
      <c r="I211" s="552">
        <f>IF(compras_mes10[[#This Row],[NETO GRAVADO]]="","",compras_mes10[[#This Row],[NETO GRAVADO]]*0.21)</f>
        <v>57351.249899999995</v>
      </c>
      <c r="J211" s="574"/>
      <c r="K211" s="574"/>
      <c r="L211" s="574"/>
      <c r="M211" s="574"/>
      <c r="N211" s="574"/>
      <c r="O211" s="574">
        <v>35950.76</v>
      </c>
      <c r="P211" s="553">
        <f>SUM(compras_mes10[[#This Row],[NETO GRAVADO]:[Otros / No Grav.]])</f>
        <v>366403.19990000001</v>
      </c>
      <c r="Q211" s="554" t="str">
        <f>IFERROR(IF(compras_mes10[[#This Row],[CUIT]]="","-",VLOOKUP(compras_mes10[[#This Row],[CUIT]],Lista_CUIT[#All],3,0)),"CUIT NO CARGADO")</f>
        <v>Combustible</v>
      </c>
      <c r="R211" s="554">
        <f>IFERROR(IF(compras_mes10[[#This Row],[CUIT]]="","-",VLOOKUP(compras_mes10[[#This Row],[CUIT]],Lista_CUIT[#All],4,0)),"CUIT NO CARGADO")</f>
        <v>0</v>
      </c>
    </row>
    <row r="212" spans="2:18" x14ac:dyDescent="0.25">
      <c r="B212" s="546" t="s">
        <v>2878</v>
      </c>
      <c r="C212" s="547"/>
      <c r="D212" s="487">
        <v>7</v>
      </c>
      <c r="E212" s="548">
        <v>1239</v>
      </c>
      <c r="F212" s="549">
        <v>30708307145</v>
      </c>
      <c r="G212" s="550" t="str">
        <f>IFERROR(IF(compras_mes10[[#This Row],[CUIT]]="","-",VLOOKUP(compras_mes10[[#This Row],[CUIT]],Lista_CUIT[#All],2,0)),"CUIT NO CARGADO")</f>
        <v>BOEDOGOMA S.R.L.</v>
      </c>
      <c r="H212" s="551">
        <v>46859.519999999997</v>
      </c>
      <c r="I212" s="552">
        <f>IF(compras_mes10[[#This Row],[NETO GRAVADO]]="","",compras_mes10[[#This Row],[NETO GRAVADO]]*0.21)</f>
        <v>9840.4991999999984</v>
      </c>
      <c r="J212" s="574"/>
      <c r="K212" s="574"/>
      <c r="L212" s="574"/>
      <c r="M212" s="574"/>
      <c r="N212" s="574"/>
      <c r="O212" s="574"/>
      <c r="P212" s="553">
        <f>SUM(compras_mes10[[#This Row],[NETO GRAVADO]:[Otros / No Grav.]])</f>
        <v>56700.019199999995</v>
      </c>
      <c r="Q212" s="554" t="str">
        <f>IFERROR(IF(compras_mes10[[#This Row],[CUIT]]="","-",VLOOKUP(compras_mes10[[#This Row],[CUIT]],Lista_CUIT[#All],3,0)),"CUIT NO CARGADO")</f>
        <v>Gastos Varios</v>
      </c>
      <c r="R212" s="554">
        <f>IFERROR(IF(compras_mes10[[#This Row],[CUIT]]="","-",VLOOKUP(compras_mes10[[#This Row],[CUIT]],Lista_CUIT[#All],4,0)),"CUIT NO CARGADO")</f>
        <v>0</v>
      </c>
    </row>
    <row r="213" spans="2:18" x14ac:dyDescent="0.25">
      <c r="B213" s="546" t="s">
        <v>2880</v>
      </c>
      <c r="C213" s="547"/>
      <c r="D213" s="487">
        <v>12</v>
      </c>
      <c r="E213" s="548">
        <v>75247</v>
      </c>
      <c r="F213" s="549">
        <v>30696131003</v>
      </c>
      <c r="G213" s="550" t="str">
        <f>IFERROR(IF(compras_mes10[[#This Row],[CUIT]]="","-",VLOOKUP(compras_mes10[[#This Row],[CUIT]],Lista_CUIT[#All],2,0)),"CUIT NO CARGADO")</f>
        <v>Petrolfe S.A.</v>
      </c>
      <c r="H213" s="551">
        <v>139096.43</v>
      </c>
      <c r="I213" s="552">
        <f>IF(compras_mes10[[#This Row],[NETO GRAVADO]]="","",compras_mes10[[#This Row],[NETO GRAVADO]]*0.21)</f>
        <v>29210.250299999996</v>
      </c>
      <c r="J213" s="574"/>
      <c r="K213" s="574"/>
      <c r="L213" s="574"/>
      <c r="M213" s="574"/>
      <c r="N213" s="574"/>
      <c r="O213" s="574">
        <v>13329.23</v>
      </c>
      <c r="P213" s="553">
        <f>SUM(compras_mes10[[#This Row],[NETO GRAVADO]:[Otros / No Grav.]])</f>
        <v>181635.91029999999</v>
      </c>
      <c r="Q213" s="554" t="str">
        <f>IFERROR(IF(compras_mes10[[#This Row],[CUIT]]="","-",VLOOKUP(compras_mes10[[#This Row],[CUIT]],Lista_CUIT[#All],3,0)),"CUIT NO CARGADO")</f>
        <v>Combustible</v>
      </c>
      <c r="R213" s="554">
        <f>IFERROR(IF(compras_mes10[[#This Row],[CUIT]]="","-",VLOOKUP(compras_mes10[[#This Row],[CUIT]],Lista_CUIT[#All],4,0)),"CUIT NO CARGADO")</f>
        <v>0</v>
      </c>
    </row>
    <row r="214" spans="2:18" x14ac:dyDescent="0.25">
      <c r="B214" s="546" t="s">
        <v>2883</v>
      </c>
      <c r="C214" s="547"/>
      <c r="D214" s="487">
        <v>18</v>
      </c>
      <c r="E214" s="548">
        <v>47930</v>
      </c>
      <c r="F214" s="549">
        <v>30515800219</v>
      </c>
      <c r="G214" s="550" t="str">
        <f>IFERROR(IF(compras_mes10[[#This Row],[CUIT]]="","-",VLOOKUP(compras_mes10[[#This Row],[CUIT]],Lista_CUIT[#All],2,0)),"CUIT NO CARGADO")</f>
        <v>INCAT SRL</v>
      </c>
      <c r="H214" s="551">
        <v>16030.81</v>
      </c>
      <c r="I214" s="552">
        <f>IF(compras_mes10[[#This Row],[NETO GRAVADO]]="","",compras_mes10[[#This Row],[NETO GRAVADO]]*0.21)</f>
        <v>3366.4700999999995</v>
      </c>
      <c r="J214" s="574"/>
      <c r="K214" s="574"/>
      <c r="L214" s="574"/>
      <c r="M214" s="574"/>
      <c r="N214" s="574"/>
      <c r="O214" s="574">
        <v>3367.72</v>
      </c>
      <c r="P214" s="553">
        <f>SUM(compras_mes10[[#This Row],[NETO GRAVADO]:[Otros / No Grav.]])</f>
        <v>22765.000100000001</v>
      </c>
      <c r="Q214" s="554" t="str">
        <f>IFERROR(IF(compras_mes10[[#This Row],[CUIT]]="","-",VLOOKUP(compras_mes10[[#This Row],[CUIT]],Lista_CUIT[#All],3,0)),"CUIT NO CARGADO")</f>
        <v>Combustible</v>
      </c>
      <c r="R214" s="554" t="str">
        <f>IFERROR(IF(compras_mes10[[#This Row],[CUIT]]="","-",VLOOKUP(compras_mes10[[#This Row],[CUIT]],Lista_CUIT[#All],4,0)),"CUIT NO CARGADO")</f>
        <v>CABA</v>
      </c>
    </row>
    <row r="215" spans="2:18" x14ac:dyDescent="0.25">
      <c r="B215" s="546" t="s">
        <v>2885</v>
      </c>
      <c r="C215" s="547"/>
      <c r="D215" s="487">
        <v>23</v>
      </c>
      <c r="E215" s="548">
        <v>51680</v>
      </c>
      <c r="F215" s="549">
        <v>30515800219</v>
      </c>
      <c r="G215" s="550" t="str">
        <f>IFERROR(IF(compras_mes10[[#This Row],[CUIT]]="","-",VLOOKUP(compras_mes10[[#This Row],[CUIT]],Lista_CUIT[#All],2,0)),"CUIT NO CARGADO")</f>
        <v>INCAT SRL</v>
      </c>
      <c r="H215" s="551">
        <v>29292.67</v>
      </c>
      <c r="I215" s="552">
        <f>IF(compras_mes10[[#This Row],[NETO GRAVADO]]="","",compras_mes10[[#This Row],[NETO GRAVADO]]*0.21)</f>
        <v>6151.4606999999996</v>
      </c>
      <c r="J215" s="574"/>
      <c r="K215" s="574"/>
      <c r="L215" s="574"/>
      <c r="M215" s="574"/>
      <c r="N215" s="574"/>
      <c r="O215" s="574">
        <v>7557.95</v>
      </c>
      <c r="P215" s="553">
        <f>SUM(compras_mes10[[#This Row],[NETO GRAVADO]:[Otros / No Grav.]])</f>
        <v>43002.080699999991</v>
      </c>
      <c r="Q215" s="554" t="str">
        <f>IFERROR(IF(compras_mes10[[#This Row],[CUIT]]="","-",VLOOKUP(compras_mes10[[#This Row],[CUIT]],Lista_CUIT[#All],3,0)),"CUIT NO CARGADO")</f>
        <v>Combustible</v>
      </c>
      <c r="R215" s="554" t="str">
        <f>IFERROR(IF(compras_mes10[[#This Row],[CUIT]]="","-",VLOOKUP(compras_mes10[[#This Row],[CUIT]],Lista_CUIT[#All],4,0)),"CUIT NO CARGADO")</f>
        <v>CABA</v>
      </c>
    </row>
    <row r="216" spans="2:18" x14ac:dyDescent="0.25">
      <c r="B216" s="546" t="s">
        <v>2886</v>
      </c>
      <c r="C216" s="547"/>
      <c r="D216" s="487">
        <v>12</v>
      </c>
      <c r="E216" s="548">
        <v>75690</v>
      </c>
      <c r="F216" s="549">
        <v>30696131003</v>
      </c>
      <c r="G216" s="550" t="str">
        <f>IFERROR(IF(compras_mes10[[#This Row],[CUIT]]="","-",VLOOKUP(compras_mes10[[#This Row],[CUIT]],Lista_CUIT[#All],2,0)),"CUIT NO CARGADO")</f>
        <v>Petrolfe S.A.</v>
      </c>
      <c r="H216" s="551">
        <v>247118.48</v>
      </c>
      <c r="I216" s="552">
        <f>IF(compras_mes10[[#This Row],[NETO GRAVADO]]="","",compras_mes10[[#This Row],[NETO GRAVADO]]*0.21)</f>
        <v>51894.880799999999</v>
      </c>
      <c r="J216" s="574"/>
      <c r="K216" s="574"/>
      <c r="L216" s="574"/>
      <c r="M216" s="574"/>
      <c r="N216" s="574"/>
      <c r="O216" s="574">
        <v>31522.959999999999</v>
      </c>
      <c r="P216" s="553">
        <f>SUM(compras_mes10[[#This Row],[NETO GRAVADO]:[Otros / No Grav.]])</f>
        <v>330536.32080000004</v>
      </c>
      <c r="Q216" s="554" t="str">
        <f>IFERROR(IF(compras_mes10[[#This Row],[CUIT]]="","-",VLOOKUP(compras_mes10[[#This Row],[CUIT]],Lista_CUIT[#All],3,0)),"CUIT NO CARGADO")</f>
        <v>Combustible</v>
      </c>
      <c r="R216" s="554">
        <f>IFERROR(IF(compras_mes10[[#This Row],[CUIT]]="","-",VLOOKUP(compras_mes10[[#This Row],[CUIT]],Lista_CUIT[#All],4,0)),"CUIT NO CARGADO")</f>
        <v>0</v>
      </c>
    </row>
    <row r="217" spans="2:18" x14ac:dyDescent="0.25">
      <c r="B217" s="546" t="s">
        <v>2886</v>
      </c>
      <c r="C217" s="547"/>
      <c r="D217" s="487">
        <v>4</v>
      </c>
      <c r="E217" s="548">
        <v>10035</v>
      </c>
      <c r="F217" s="549">
        <v>30683553391</v>
      </c>
      <c r="G217" s="550" t="str">
        <f>IFERROR(IF(compras_mes10[[#This Row],[CUIT]]="","-",VLOOKUP(compras_mes10[[#This Row],[CUIT]],Lista_CUIT[#All],2,0)),"CUIT NO CARGADO")</f>
        <v>D ERAMO GUSTAVO Y D ERAMO PABLO SOC DE HECHO</v>
      </c>
      <c r="H217" s="551">
        <v>86776.86</v>
      </c>
      <c r="I217" s="552">
        <f>IF(compras_mes10[[#This Row],[NETO GRAVADO]]="","",compras_mes10[[#This Row],[NETO GRAVADO]]*0.21)</f>
        <v>18223.140599999999</v>
      </c>
      <c r="J217" s="574"/>
      <c r="K217" s="574"/>
      <c r="L217" s="574"/>
      <c r="M217" s="574"/>
      <c r="N217" s="574"/>
      <c r="O217" s="574"/>
      <c r="P217" s="553">
        <f>SUM(compras_mes10[[#This Row],[NETO GRAVADO]:[Otros / No Grav.]])</f>
        <v>105000.0006</v>
      </c>
      <c r="Q217" s="554" t="str">
        <f>IFERROR(IF(compras_mes10[[#This Row],[CUIT]]="","-",VLOOKUP(compras_mes10[[#This Row],[CUIT]],Lista_CUIT[#All],3,0)),"CUIT NO CARGADO")</f>
        <v>Combustible</v>
      </c>
      <c r="R217" s="554">
        <f>IFERROR(IF(compras_mes10[[#This Row],[CUIT]]="","-",VLOOKUP(compras_mes10[[#This Row],[CUIT]],Lista_CUIT[#All],4,0)),"CUIT NO CARGADO")</f>
        <v>0</v>
      </c>
    </row>
    <row r="218" spans="2:18" x14ac:dyDescent="0.25">
      <c r="B218" s="546" t="s">
        <v>2886</v>
      </c>
      <c r="C218" s="547"/>
      <c r="D218" s="487">
        <v>13</v>
      </c>
      <c r="E218" s="548">
        <v>127356</v>
      </c>
      <c r="F218" s="549">
        <v>30707841105</v>
      </c>
      <c r="G218" s="550" t="str">
        <f>IFERROR(IF(compras_mes10[[#This Row],[CUIT]]="","-",VLOOKUP(compras_mes10[[#This Row],[CUIT]],Lista_CUIT[#All],2,0)),"CUIT NO CARGADO")</f>
        <v>PETRO ARG SRL</v>
      </c>
      <c r="H218" s="551">
        <v>30168.48</v>
      </c>
      <c r="I218" s="552">
        <f>IF(compras_mes10[[#This Row],[NETO GRAVADO]]="","",compras_mes10[[#This Row],[NETO GRAVADO]]*0.21)</f>
        <v>6335.3807999999999</v>
      </c>
      <c r="J218" s="574"/>
      <c r="K218" s="574"/>
      <c r="L218" s="574"/>
      <c r="M218" s="574"/>
      <c r="N218" s="574"/>
      <c r="O218" s="574">
        <v>7502.13</v>
      </c>
      <c r="P218" s="553">
        <f>SUM(compras_mes10[[#This Row],[NETO GRAVADO]:[Otros / No Grav.]])</f>
        <v>44005.9908</v>
      </c>
      <c r="Q218" s="554" t="str">
        <f>IFERROR(IF(compras_mes10[[#This Row],[CUIT]]="","-",VLOOKUP(compras_mes10[[#This Row],[CUIT]],Lista_CUIT[#All],3,0)),"CUIT NO CARGADO")</f>
        <v>Combustible</v>
      </c>
      <c r="R218" s="554">
        <f>IFERROR(IF(compras_mes10[[#This Row],[CUIT]]="","-",VLOOKUP(compras_mes10[[#This Row],[CUIT]],Lista_CUIT[#All],4,0)),"CUIT NO CARGADO")</f>
        <v>0</v>
      </c>
    </row>
    <row r="219" spans="2:18" x14ac:dyDescent="0.25">
      <c r="B219" s="546" t="s">
        <v>2891</v>
      </c>
      <c r="C219" s="547"/>
      <c r="D219" s="487">
        <v>10</v>
      </c>
      <c r="E219" s="548">
        <v>615</v>
      </c>
      <c r="F219" s="549">
        <v>30708060387</v>
      </c>
      <c r="G219" s="550" t="str">
        <f>IFERROR(IF(compras_mes10[[#This Row],[CUIT]]="","-",VLOOKUP(compras_mes10[[#This Row],[CUIT]],Lista_CUIT[#All],2,0)),"CUIT NO CARGADO")</f>
        <v>CAYRE SOCIEDAD ANONIMA</v>
      </c>
      <c r="H219" s="551"/>
      <c r="I219" s="552" t="str">
        <f>IF(compras_mes10[[#This Row],[NETO GRAVADO]]="","",compras_mes10[[#This Row],[NETO GRAVADO]]*0.21)</f>
        <v/>
      </c>
      <c r="J219" s="574"/>
      <c r="K219" s="574"/>
      <c r="L219" s="574"/>
      <c r="M219" s="574"/>
      <c r="N219" s="574"/>
      <c r="O219" s="574">
        <v>70600</v>
      </c>
      <c r="P219" s="553">
        <f>SUM(compras_mes10[[#This Row],[NETO GRAVADO]:[Otros / No Grav.]])</f>
        <v>70600</v>
      </c>
      <c r="Q219" s="554" t="str">
        <f>IFERROR(IF(compras_mes10[[#This Row],[CUIT]]="","-",VLOOKUP(compras_mes10[[#This Row],[CUIT]],Lista_CUIT[#All],3,0)),"CUIT NO CARGADO")</f>
        <v>Catering</v>
      </c>
      <c r="R219" s="554">
        <f>IFERROR(IF(compras_mes10[[#This Row],[CUIT]]="","-",VLOOKUP(compras_mes10[[#This Row],[CUIT]],Lista_CUIT[#All],4,0)),"CUIT NO CARGADO")</f>
        <v>0</v>
      </c>
    </row>
    <row r="220" spans="2:18" x14ac:dyDescent="0.25">
      <c r="B220" s="546" t="s">
        <v>2891</v>
      </c>
      <c r="C220" s="547"/>
      <c r="D220" s="487">
        <v>13</v>
      </c>
      <c r="E220" s="548">
        <v>127811</v>
      </c>
      <c r="F220" s="549">
        <v>30707841105</v>
      </c>
      <c r="G220" s="550" t="str">
        <f>IFERROR(IF(compras_mes10[[#This Row],[CUIT]]="","-",VLOOKUP(compras_mes10[[#This Row],[CUIT]],Lista_CUIT[#All],2,0)),"CUIT NO CARGADO")</f>
        <v>PETRO ARG SRL</v>
      </c>
      <c r="H220" s="551">
        <v>32226.29</v>
      </c>
      <c r="I220" s="552">
        <f>IF(compras_mes10[[#This Row],[NETO GRAVADO]]="","",compras_mes10[[#This Row],[NETO GRAVADO]]*0.21)</f>
        <v>6767.5208999999995</v>
      </c>
      <c r="J220" s="574"/>
      <c r="K220" s="574"/>
      <c r="L220" s="574"/>
      <c r="M220" s="574"/>
      <c r="N220" s="574"/>
      <c r="O220" s="574">
        <v>8007.15</v>
      </c>
      <c r="P220" s="553">
        <f>SUM(compras_mes10[[#This Row],[NETO GRAVADO]:[Otros / No Grav.]])</f>
        <v>47000.960899999998</v>
      </c>
      <c r="Q220" s="554" t="str">
        <f>IFERROR(IF(compras_mes10[[#This Row],[CUIT]]="","-",VLOOKUP(compras_mes10[[#This Row],[CUIT]],Lista_CUIT[#All],3,0)),"CUIT NO CARGADO")</f>
        <v>Combustible</v>
      </c>
      <c r="R220" s="554">
        <f>IFERROR(IF(compras_mes10[[#This Row],[CUIT]]="","-",VLOOKUP(compras_mes10[[#This Row],[CUIT]],Lista_CUIT[#All],4,0)),"CUIT NO CARGADO")</f>
        <v>0</v>
      </c>
    </row>
    <row r="221" spans="2:18" x14ac:dyDescent="0.25">
      <c r="B221" s="546" t="s">
        <v>2892</v>
      </c>
      <c r="C221" s="547"/>
      <c r="D221" s="487">
        <v>12</v>
      </c>
      <c r="E221" s="548">
        <v>76100</v>
      </c>
      <c r="F221" s="549">
        <v>30696131003</v>
      </c>
      <c r="G221" s="550" t="str">
        <f>IFERROR(IF(compras_mes10[[#This Row],[CUIT]]="","-",VLOOKUP(compras_mes10[[#This Row],[CUIT]],Lista_CUIT[#All],2,0)),"CUIT NO CARGADO")</f>
        <v>Petrolfe S.A.</v>
      </c>
      <c r="H221" s="551">
        <v>199784.33</v>
      </c>
      <c r="I221" s="552">
        <f>IF(compras_mes10[[#This Row],[NETO GRAVADO]]="","",compras_mes10[[#This Row],[NETO GRAVADO]]*0.21)</f>
        <v>41954.709299999995</v>
      </c>
      <c r="J221" s="574"/>
      <c r="K221" s="574"/>
      <c r="L221" s="574"/>
      <c r="M221" s="574"/>
      <c r="N221" s="574"/>
      <c r="O221" s="574">
        <v>28154.26</v>
      </c>
      <c r="P221" s="553">
        <f>SUM(compras_mes10[[#This Row],[NETO GRAVADO]:[Otros / No Grav.]])</f>
        <v>269893.29929999996</v>
      </c>
      <c r="Q221" s="554" t="str">
        <f>IFERROR(IF(compras_mes10[[#This Row],[CUIT]]="","-",VLOOKUP(compras_mes10[[#This Row],[CUIT]],Lista_CUIT[#All],3,0)),"CUIT NO CARGADO")</f>
        <v>Combustible</v>
      </c>
      <c r="R221" s="554">
        <f>IFERROR(IF(compras_mes10[[#This Row],[CUIT]]="","-",VLOOKUP(compras_mes10[[#This Row],[CUIT]],Lista_CUIT[#All],4,0)),"CUIT NO CARGADO")</f>
        <v>0</v>
      </c>
    </row>
    <row r="222" spans="2:18" x14ac:dyDescent="0.25">
      <c r="B222" s="95" t="s">
        <v>103</v>
      </c>
      <c r="C222" s="95"/>
      <c r="D222" s="95"/>
      <c r="E222" s="95"/>
      <c r="F222" s="95"/>
      <c r="G222" s="96"/>
      <c r="H222" s="97">
        <f>SUBTOTAL(109,compras_mes10[NETO GRAVADO])</f>
        <v>116039509.33999997</v>
      </c>
      <c r="I222" s="97">
        <f>SUBTOTAL(109,compras_mes10[IVA 21 %])</f>
        <v>23163554.762100004</v>
      </c>
      <c r="J222" s="97">
        <f>SUBTOTAL(109,compras_mes10[IVA 27%])</f>
        <v>17694.9107</v>
      </c>
      <c r="K222" s="97">
        <f>SUBTOTAL(109,compras_mes10[IVA 10,5%])</f>
        <v>595489.76189999992</v>
      </c>
      <c r="L222" s="97">
        <f>SUBTOTAL(109,compras_mes10[PERC. IVA])</f>
        <v>0</v>
      </c>
      <c r="M222" s="97">
        <f>SUBTOTAL(109,compras_mes10[PERC IIBB 
BS AS])</f>
        <v>0</v>
      </c>
      <c r="N222" s="97">
        <f>SUBTOTAL(109,compras_mes10[PERC. IIBB CABA])</f>
        <v>0</v>
      </c>
      <c r="O222" s="97">
        <f>SUBTOTAL(109,compras_mes10[Otros / No Grav.])</f>
        <v>950698.73999999987</v>
      </c>
      <c r="P222" s="97">
        <f>SUBTOTAL(109,compras_mes10[TOTAL])</f>
        <v>140766947.51469997</v>
      </c>
      <c r="Q222" s="95"/>
      <c r="R222" s="95"/>
    </row>
    <row r="223" spans="2:18" x14ac:dyDescent="0.25">
      <c r="B223" s="40"/>
      <c r="C223" s="41"/>
      <c r="D223" s="42"/>
      <c r="E223" s="43"/>
      <c r="F223" s="44"/>
      <c r="G223" s="45"/>
      <c r="H223" s="46"/>
      <c r="I223" s="47"/>
      <c r="J223" s="47"/>
      <c r="K223" s="47"/>
      <c r="L223" s="47"/>
      <c r="M223" s="47"/>
      <c r="N223" s="47"/>
      <c r="O223" s="47"/>
      <c r="P223" s="48"/>
      <c r="Q223" s="49"/>
      <c r="R223" s="49"/>
    </row>
    <row r="224" spans="2:18" x14ac:dyDescent="0.25">
      <c r="B224" s="40"/>
      <c r="C224" s="41"/>
      <c r="D224" s="42"/>
      <c r="E224" s="43"/>
      <c r="F224" s="44"/>
      <c r="G224" s="45"/>
      <c r="H224" s="46"/>
      <c r="I224" s="47"/>
      <c r="J224" s="47"/>
      <c r="K224" s="47"/>
      <c r="L224" s="47"/>
      <c r="M224" s="47"/>
      <c r="N224" s="47"/>
      <c r="O224" s="47"/>
      <c r="P224" s="48"/>
      <c r="Q224" s="49"/>
      <c r="R224" s="49"/>
    </row>
    <row r="225" spans="2:18" x14ac:dyDescent="0.25">
      <c r="B225" s="40"/>
      <c r="C225" s="41"/>
      <c r="D225" s="42"/>
      <c r="E225" s="43"/>
      <c r="F225" s="44"/>
      <c r="G225" s="45"/>
      <c r="H225" s="46"/>
      <c r="I225" s="47"/>
      <c r="J225" s="47"/>
      <c r="K225" s="47"/>
      <c r="L225" s="47"/>
      <c r="M225" s="47"/>
      <c r="N225" s="47"/>
      <c r="O225" s="47"/>
      <c r="P225" s="48"/>
      <c r="Q225" s="49"/>
      <c r="R225" s="49"/>
    </row>
    <row r="226" spans="2:18" x14ac:dyDescent="0.25">
      <c r="B226" s="40"/>
      <c r="C226" s="41"/>
      <c r="D226" s="42"/>
      <c r="E226" s="43"/>
      <c r="F226" s="44"/>
      <c r="G226" s="45"/>
      <c r="H226" s="46"/>
      <c r="I226" s="47"/>
      <c r="J226" s="47"/>
      <c r="K226" s="47"/>
      <c r="L226" s="47"/>
    </row>
    <row r="227" spans="2:18" ht="21" x14ac:dyDescent="0.25">
      <c r="D227" s="581" t="s">
        <v>15</v>
      </c>
      <c r="E227" s="581"/>
      <c r="F227" s="581"/>
      <c r="G227" s="581"/>
      <c r="H227" s="581"/>
      <c r="I227" s="581"/>
      <c r="J227" s="581"/>
      <c r="K227" s="581"/>
      <c r="L227" s="581"/>
    </row>
    <row r="228" spans="2:18" ht="15.75" x14ac:dyDescent="0.25">
      <c r="D228" s="73" t="s">
        <v>0</v>
      </c>
      <c r="E228" s="74" t="s">
        <v>26</v>
      </c>
      <c r="F228" s="74" t="s">
        <v>16</v>
      </c>
      <c r="G228" s="74" t="s">
        <v>5</v>
      </c>
      <c r="H228" s="74" t="s">
        <v>17</v>
      </c>
      <c r="I228" s="74" t="s">
        <v>7</v>
      </c>
      <c r="J228" s="75" t="s">
        <v>18</v>
      </c>
      <c r="K228" s="75" t="s">
        <v>19</v>
      </c>
      <c r="L228" s="76" t="s">
        <v>20</v>
      </c>
      <c r="M228" s="239" t="s">
        <v>10</v>
      </c>
    </row>
    <row r="229" spans="2:18" x14ac:dyDescent="0.25">
      <c r="D229" s="50"/>
      <c r="E229" s="80"/>
      <c r="F229" s="80" t="s">
        <v>2314</v>
      </c>
      <c r="G229" s="81">
        <v>308604.67000000004</v>
      </c>
      <c r="H229" s="81">
        <v>64635.580799999996</v>
      </c>
      <c r="I229" s="81">
        <v>85.699950000000001</v>
      </c>
      <c r="J229" s="81">
        <v>13924.91</v>
      </c>
      <c r="K229" s="81">
        <v>20412.72</v>
      </c>
      <c r="L229" s="81"/>
      <c r="M229" s="238">
        <f>SUM(extracto_banco_mes10[[#This Row],[NETO]:[PERC IIBB]])</f>
        <v>407663.58074999996</v>
      </c>
    </row>
    <row r="230" spans="2:18" x14ac:dyDescent="0.25">
      <c r="D230" s="50"/>
      <c r="E230" s="79"/>
      <c r="F230" s="80" t="s">
        <v>2517</v>
      </c>
      <c r="G230" s="81">
        <v>69624.17</v>
      </c>
      <c r="H230" s="81">
        <v>14208.6</v>
      </c>
      <c r="I230" s="81">
        <v>206.23785000000001</v>
      </c>
      <c r="J230" s="81">
        <v>3198</v>
      </c>
      <c r="K230" s="81">
        <v>2029.8</v>
      </c>
      <c r="L230" s="81"/>
      <c r="M230" s="238">
        <f>SUM(extracto_banco_mes10[[#This Row],[NETO]:[PERC IIBB]])</f>
        <v>89266.807850000012</v>
      </c>
    </row>
    <row r="231" spans="2:18" x14ac:dyDescent="0.25">
      <c r="D231" s="50"/>
      <c r="E231" s="129"/>
      <c r="F231" s="80" t="s">
        <v>2809</v>
      </c>
      <c r="G231" s="130">
        <v>47044.1</v>
      </c>
      <c r="H231" s="130">
        <v>9879.2609999999986</v>
      </c>
      <c r="I231" s="130" t="s">
        <v>2411</v>
      </c>
      <c r="J231" s="130">
        <v>1014.67</v>
      </c>
      <c r="K231" s="130">
        <v>1411.32</v>
      </c>
      <c r="L231" s="130"/>
      <c r="M231" s="238">
        <f>SUM(extracto_banco_mes10[[#This Row],[NETO]:[PERC IIBB]])</f>
        <v>59349.350999999995</v>
      </c>
    </row>
    <row r="232" spans="2:18" x14ac:dyDescent="0.25">
      <c r="D232" s="50"/>
      <c r="E232" s="129"/>
      <c r="F232" s="80" t="s">
        <v>2312</v>
      </c>
      <c r="G232" s="130">
        <v>55983.46</v>
      </c>
      <c r="H232" s="130">
        <v>11550</v>
      </c>
      <c r="I232" s="130">
        <v>103.2633</v>
      </c>
      <c r="J232" s="130">
        <v>3300</v>
      </c>
      <c r="K232" s="130">
        <v>1650</v>
      </c>
      <c r="L232" s="130"/>
      <c r="M232" s="238">
        <f>SUM(extracto_banco_mes10[[#This Row],[NETO]:[PERC IIBB]])</f>
        <v>72586.723299999998</v>
      </c>
    </row>
    <row r="233" spans="2:18" x14ac:dyDescent="0.25">
      <c r="D233" s="50"/>
      <c r="E233" s="129"/>
      <c r="F233" s="80" t="s">
        <v>2184</v>
      </c>
      <c r="G233" s="130">
        <v>4958.67</v>
      </c>
      <c r="H233" s="130">
        <v>1041.3207</v>
      </c>
      <c r="I233" s="130" t="s">
        <v>2411</v>
      </c>
      <c r="J233" s="130">
        <v>352.89</v>
      </c>
      <c r="K233" s="130">
        <v>148.76</v>
      </c>
      <c r="L233" s="130"/>
      <c r="M233" s="238">
        <f>SUM(extracto_banco_mes10[[#This Row],[NETO]:[PERC IIBB]])</f>
        <v>6501.6407000000008</v>
      </c>
    </row>
    <row r="234" spans="2:18" x14ac:dyDescent="0.25">
      <c r="D234" s="50"/>
      <c r="E234" s="129"/>
      <c r="F234" s="80" t="s">
        <v>2811</v>
      </c>
      <c r="G234" s="130">
        <f>extracto_banco_mes10[[#This Row],[IVA 21%]]*100/21</f>
        <v>1467673.3333333335</v>
      </c>
      <c r="H234" s="130">
        <v>308211.40000000002</v>
      </c>
      <c r="I234" s="130"/>
      <c r="J234" s="130">
        <v>836636.89</v>
      </c>
      <c r="K234" s="130"/>
      <c r="L234" s="130"/>
      <c r="M234" s="238">
        <f>SUM(extracto_banco_mes10[[#This Row],[NETO]:[PERC IIBB]])</f>
        <v>2612521.6233333335</v>
      </c>
    </row>
    <row r="235" spans="2:18" x14ac:dyDescent="0.25">
      <c r="D235" s="50"/>
      <c r="E235" s="236"/>
      <c r="F235" s="235"/>
      <c r="G235" s="237"/>
      <c r="H235" s="237"/>
      <c r="I235" s="237"/>
      <c r="J235" s="237"/>
      <c r="K235" s="237"/>
      <c r="L235" s="237"/>
      <c r="M235" s="238">
        <f>SUM(extracto_banco_mes10[[#This Row],[NETO]:[PERC IIBB]])</f>
        <v>0</v>
      </c>
    </row>
    <row r="236" spans="2:18" x14ac:dyDescent="0.25">
      <c r="D236" s="50"/>
      <c r="E236" s="79"/>
      <c r="F236" s="80"/>
      <c r="G236" s="81"/>
      <c r="H236" s="81"/>
      <c r="I236" s="81"/>
      <c r="J236" s="81"/>
      <c r="K236" s="81"/>
      <c r="L236" s="81"/>
      <c r="M236" s="238">
        <f>SUM(extracto_banco_mes10[[#This Row],[NETO]:[PERC IIBB]])</f>
        <v>0</v>
      </c>
    </row>
    <row r="237" spans="2:18" x14ac:dyDescent="0.25">
      <c r="D237" s="50"/>
      <c r="E237" s="236"/>
      <c r="F237" s="235"/>
      <c r="G237" s="237"/>
      <c r="H237" s="237"/>
      <c r="I237" s="237"/>
      <c r="J237" s="237"/>
      <c r="K237" s="237"/>
      <c r="L237" s="237"/>
      <c r="M237" s="238">
        <f>SUM(extracto_banco_mes10[[#This Row],[NETO]:[PERC IIBB]])</f>
        <v>0</v>
      </c>
    </row>
    <row r="238" spans="2:18" x14ac:dyDescent="0.25">
      <c r="D238" s="82" t="s">
        <v>103</v>
      </c>
      <c r="E238" s="80"/>
      <c r="F238" s="80"/>
      <c r="G238" s="83">
        <f>SUBTOTAL(109,extracto_banco_mes10[NETO])</f>
        <v>1953888.4033333336</v>
      </c>
      <c r="H238" s="83">
        <f>SUBTOTAL(109,extracto_banco_mes10[IVA 21%])</f>
        <v>409526.16250000003</v>
      </c>
      <c r="I238" s="83">
        <f>SUBTOTAL(109,extracto_banco_mes10[IVA 10,5%])</f>
        <v>395.20110000000005</v>
      </c>
      <c r="J238" s="83">
        <f>SUBTOTAL(109,extracto_banco_mes10[RET IIBB CABA])</f>
        <v>858427.36</v>
      </c>
      <c r="K238" s="83">
        <f>SUBTOTAL(109,extracto_banco_mes10[PERC IVA])</f>
        <v>25652.6</v>
      </c>
      <c r="L238" s="83">
        <f>SUBTOTAL(109,extracto_banco_mes10[PERC IIBB])</f>
        <v>0</v>
      </c>
      <c r="M238" s="228"/>
    </row>
    <row r="242" spans="4:11" ht="21" x14ac:dyDescent="0.25">
      <c r="D242" s="581" t="s">
        <v>25</v>
      </c>
      <c r="E242" s="581"/>
      <c r="F242" s="581"/>
      <c r="G242" s="581"/>
      <c r="H242" s="581"/>
      <c r="I242" s="581"/>
      <c r="J242" s="581"/>
      <c r="K242" s="581"/>
    </row>
    <row r="243" spans="4:11" x14ac:dyDescent="0.25">
      <c r="D243" s="51" t="s">
        <v>0</v>
      </c>
      <c r="E243" s="51" t="s">
        <v>2</v>
      </c>
      <c r="F243" s="51" t="s">
        <v>74</v>
      </c>
      <c r="G243" s="51" t="s">
        <v>3</v>
      </c>
      <c r="H243" s="51" t="s">
        <v>4</v>
      </c>
      <c r="I243" s="52" t="s">
        <v>10</v>
      </c>
      <c r="J243" s="51" t="s">
        <v>13</v>
      </c>
      <c r="K243" s="51" t="s">
        <v>38</v>
      </c>
    </row>
    <row r="244" spans="4:11" x14ac:dyDescent="0.25">
      <c r="D244" s="50"/>
      <c r="E244" s="42"/>
      <c r="F244" s="43"/>
      <c r="G244" s="44"/>
      <c r="H244" s="123" t="str">
        <f>IFERROR(IF(factura_c_mes10[[#This Row],[CUIT]]="","-",VLOOKUP(factura_c_mes10[[#This Row],[CUIT]],Lista_CUIT[#All],2,0)),"CUIT NO CARGADO")</f>
        <v>-</v>
      </c>
      <c r="I244" s="124"/>
      <c r="J244" s="125" t="str">
        <f>IFERROR(IF(factura_c_mes10[[#This Row],[CUIT]]="","-",VLOOKUP(factura_c_mes10[[#This Row],[CUIT]],Lista_CUIT[#All],3,0)),"CUIT NO CARGADO")</f>
        <v>-</v>
      </c>
      <c r="K244" s="125" t="str">
        <f>IFERROR(IF(factura_c_mes10[[#This Row],[CUIT]]="","-",VLOOKUP(factura_c_mes10[[#This Row],[CUIT]],Lista_CUIT[#All],4,0)),"CUIT NO CARGADO")</f>
        <v>-</v>
      </c>
    </row>
    <row r="245" spans="4:11" x14ac:dyDescent="0.25">
      <c r="D245" s="50">
        <v>45944</v>
      </c>
      <c r="E245" s="42">
        <v>468</v>
      </c>
      <c r="F245" s="43">
        <v>488907</v>
      </c>
      <c r="G245" s="44">
        <v>30696170580</v>
      </c>
      <c r="H245" s="123" t="str">
        <f>IFERROR(IF(factura_c_mes10[[#This Row],[CUIT]]="","-",VLOOKUP(factura_c_mes10[[#This Row],[CUIT]],Lista_CUIT[#All],2,0)),"CUIT NO CARGADO")</f>
        <v>AEROPUERTOS ARGENTINA 2000 SA</v>
      </c>
      <c r="I245" s="124">
        <v>7557.03</v>
      </c>
      <c r="J245" s="125" t="str">
        <f>IFERROR(IF(factura_c_mes10[[#This Row],[CUIT]]="","-",VLOOKUP(factura_c_mes10[[#This Row],[CUIT]],Lista_CUIT[#All],3,0)),"CUIT NO CARGADO")</f>
        <v>Gastos Movilidad</v>
      </c>
      <c r="K245" s="125">
        <f>IFERROR(IF(factura_c_mes10[[#This Row],[CUIT]]="","-",VLOOKUP(factura_c_mes10[[#This Row],[CUIT]],Lista_CUIT[#All],4,0)),"CUIT NO CARGADO")</f>
        <v>0</v>
      </c>
    </row>
    <row r="246" spans="4:11" x14ac:dyDescent="0.25">
      <c r="D246" s="50">
        <v>45937</v>
      </c>
      <c r="E246" s="42">
        <v>2</v>
      </c>
      <c r="F246" s="43">
        <v>5815</v>
      </c>
      <c r="G246" s="44">
        <v>20136536320</v>
      </c>
      <c r="H246" s="123" t="str">
        <f>IFERROR(IF(factura_c_mes10[[#This Row],[CUIT]]="","-",VLOOKUP(factura_c_mes10[[#This Row],[CUIT]],Lista_CUIT[#All],2,0)),"CUIT NO CARGADO")</f>
        <v>FONTENLA ERNESTO MARIO</v>
      </c>
      <c r="I246" s="124">
        <v>21260</v>
      </c>
      <c r="J246" s="125" t="str">
        <f>IFERROR(IF(factura_c_mes10[[#This Row],[CUIT]]="","-",VLOOKUP(factura_c_mes10[[#This Row],[CUIT]],Lista_CUIT[#All],3,0)),"CUIT NO CARGADO")</f>
        <v>Gastos Varios</v>
      </c>
      <c r="K246" s="125" t="str">
        <f>IFERROR(IF(factura_c_mes10[[#This Row],[CUIT]]="","-",VLOOKUP(factura_c_mes10[[#This Row],[CUIT]],Lista_CUIT[#All],4,0)),"CUIT NO CARGADO")</f>
        <v>CABA</v>
      </c>
    </row>
    <row r="247" spans="4:11" x14ac:dyDescent="0.25">
      <c r="D247" s="50">
        <v>45938</v>
      </c>
      <c r="E247" s="42">
        <v>9</v>
      </c>
      <c r="F247" s="43">
        <v>27295</v>
      </c>
      <c r="G247" s="44">
        <v>23386637199</v>
      </c>
      <c r="H247" s="123" t="str">
        <f>IFERROR(IF(factura_c_mes10[[#This Row],[CUIT]]="","-",VLOOKUP(factura_c_mes10[[#This Row],[CUIT]],Lista_CUIT[#All],2,0)),"CUIT NO CARGADO")</f>
        <v>LOPEZ ALAN EZEQUIEL</v>
      </c>
      <c r="I247" s="124">
        <v>37914</v>
      </c>
      <c r="J247" s="125" t="str">
        <f>IFERROR(IF(factura_c_mes10[[#This Row],[CUIT]]="","-",VLOOKUP(factura_c_mes10[[#This Row],[CUIT]],Lista_CUIT[#All],3,0)),"CUIT NO CARGADO")</f>
        <v>Gastos Varios</v>
      </c>
      <c r="K247" s="125">
        <f>IFERROR(IF(factura_c_mes10[[#This Row],[CUIT]]="","-",VLOOKUP(factura_c_mes10[[#This Row],[CUIT]],Lista_CUIT[#All],4,0)),"CUIT NO CARGADO")</f>
        <v>0</v>
      </c>
    </row>
    <row r="248" spans="4:11" x14ac:dyDescent="0.25">
      <c r="D248" s="50">
        <v>45939</v>
      </c>
      <c r="E248" s="42">
        <v>2</v>
      </c>
      <c r="F248" s="43">
        <v>5819</v>
      </c>
      <c r="G248" s="44">
        <v>20136536320</v>
      </c>
      <c r="H248" s="123" t="str">
        <f>IFERROR(IF(factura_c_mes10[[#This Row],[CUIT]]="","-",VLOOKUP(factura_c_mes10[[#This Row],[CUIT]],Lista_CUIT[#All],2,0)),"CUIT NO CARGADO")</f>
        <v>FONTENLA ERNESTO MARIO</v>
      </c>
      <c r="I248" s="124">
        <v>13700</v>
      </c>
      <c r="J248" s="125" t="str">
        <f>IFERROR(IF(factura_c_mes10[[#This Row],[CUIT]]="","-",VLOOKUP(factura_c_mes10[[#This Row],[CUIT]],Lista_CUIT[#All],3,0)),"CUIT NO CARGADO")</f>
        <v>Gastos Varios</v>
      </c>
      <c r="K248" s="125" t="str">
        <f>IFERROR(IF(factura_c_mes10[[#This Row],[CUIT]]="","-",VLOOKUP(factura_c_mes10[[#This Row],[CUIT]],Lista_CUIT[#All],4,0)),"CUIT NO CARGADO")</f>
        <v>CABA</v>
      </c>
    </row>
    <row r="249" spans="4:11" x14ac:dyDescent="0.25">
      <c r="D249" s="50">
        <v>45945</v>
      </c>
      <c r="E249" s="42">
        <v>2</v>
      </c>
      <c r="F249" s="43">
        <v>5856</v>
      </c>
      <c r="G249" s="44">
        <v>20136536320</v>
      </c>
      <c r="H249" s="123" t="str">
        <f>IFERROR(IF(factura_c_mes10[[#This Row],[CUIT]]="","-",VLOOKUP(factura_c_mes10[[#This Row],[CUIT]],Lista_CUIT[#All],2,0)),"CUIT NO CARGADO")</f>
        <v>FONTENLA ERNESTO MARIO</v>
      </c>
      <c r="I249" s="124">
        <v>32000</v>
      </c>
      <c r="J249" s="125" t="str">
        <f>IFERROR(IF(factura_c_mes10[[#This Row],[CUIT]]="","-",VLOOKUP(factura_c_mes10[[#This Row],[CUIT]],Lista_CUIT[#All],3,0)),"CUIT NO CARGADO")</f>
        <v>Gastos Varios</v>
      </c>
      <c r="K249" s="125" t="str">
        <f>IFERROR(IF(factura_c_mes10[[#This Row],[CUIT]]="","-",VLOOKUP(factura_c_mes10[[#This Row],[CUIT]],Lista_CUIT[#All],4,0)),"CUIT NO CARGADO")</f>
        <v>CABA</v>
      </c>
    </row>
    <row r="250" spans="4:11" x14ac:dyDescent="0.25">
      <c r="D250" s="50">
        <v>45946</v>
      </c>
      <c r="E250" s="42">
        <v>3</v>
      </c>
      <c r="F250" s="43">
        <v>2067</v>
      </c>
      <c r="G250" s="44">
        <v>20173025557</v>
      </c>
      <c r="H250" s="123" t="str">
        <f>IFERROR(IF(factura_c_mes10[[#This Row],[CUIT]]="","-",VLOOKUP(factura_c_mes10[[#This Row],[CUIT]],Lista_CUIT[#All],2,0)),"CUIT NO CARGADO")</f>
        <v>MARAUDA HECTOR</v>
      </c>
      <c r="I250" s="124">
        <v>9000</v>
      </c>
      <c r="J250" s="125" t="str">
        <f>IFERROR(IF(factura_c_mes10[[#This Row],[CUIT]]="","-",VLOOKUP(factura_c_mes10[[#This Row],[CUIT]],Lista_CUIT[#All],3,0)),"CUIT NO CARGADO")</f>
        <v>Gastos Varios</v>
      </c>
      <c r="K250" s="125">
        <f>IFERROR(IF(factura_c_mes10[[#This Row],[CUIT]]="","-",VLOOKUP(factura_c_mes10[[#This Row],[CUIT]],Lista_CUIT[#All],4,0)),"CUIT NO CARGADO")</f>
        <v>0</v>
      </c>
    </row>
    <row r="251" spans="4:11" x14ac:dyDescent="0.25">
      <c r="D251" s="50">
        <v>45952</v>
      </c>
      <c r="E251" s="42">
        <v>5</v>
      </c>
      <c r="F251" s="43">
        <v>1950</v>
      </c>
      <c r="G251" s="44">
        <v>20927548322</v>
      </c>
      <c r="H251" s="123" t="str">
        <f>IFERROR(IF(factura_c_mes10[[#This Row],[CUIT]]="","-",VLOOKUP(factura_c_mes10[[#This Row],[CUIT]],Lista_CUIT[#All],2,0)),"CUIT NO CARGADO")</f>
        <v>FLAMMIA MARCOS ANTONIO</v>
      </c>
      <c r="I251" s="124">
        <v>4186</v>
      </c>
      <c r="J251" s="125" t="str">
        <f>IFERROR(IF(factura_c_mes10[[#This Row],[CUIT]]="","-",VLOOKUP(factura_c_mes10[[#This Row],[CUIT]],Lista_CUIT[#All],3,0)),"CUIT NO CARGADO")</f>
        <v>Gastos Varios</v>
      </c>
      <c r="K251" s="125">
        <f>IFERROR(IF(factura_c_mes10[[#This Row],[CUIT]]="","-",VLOOKUP(factura_c_mes10[[#This Row],[CUIT]],Lista_CUIT[#All],4,0)),"CUIT NO CARGADO")</f>
        <v>0</v>
      </c>
    </row>
    <row r="252" spans="4:11" x14ac:dyDescent="0.25">
      <c r="D252" s="50">
        <v>45952</v>
      </c>
      <c r="E252" s="42">
        <v>5</v>
      </c>
      <c r="F252" s="43">
        <v>1951</v>
      </c>
      <c r="G252" s="44">
        <v>20927548322</v>
      </c>
      <c r="H252" s="123" t="str">
        <f>IFERROR(IF(factura_c_mes10[[#This Row],[CUIT]]="","-",VLOOKUP(factura_c_mes10[[#This Row],[CUIT]],Lista_CUIT[#All],2,0)),"CUIT NO CARGADO")</f>
        <v>FLAMMIA MARCOS ANTONIO</v>
      </c>
      <c r="I252" s="124">
        <v>4186</v>
      </c>
      <c r="J252" s="125" t="str">
        <f>IFERROR(IF(factura_c_mes10[[#This Row],[CUIT]]="","-",VLOOKUP(factura_c_mes10[[#This Row],[CUIT]],Lista_CUIT[#All],3,0)),"CUIT NO CARGADO")</f>
        <v>Gastos Varios</v>
      </c>
      <c r="K252" s="125">
        <f>IFERROR(IF(factura_c_mes10[[#This Row],[CUIT]]="","-",VLOOKUP(factura_c_mes10[[#This Row],[CUIT]],Lista_CUIT[#All],4,0)),"CUIT NO CARGADO")</f>
        <v>0</v>
      </c>
    </row>
    <row r="253" spans="4:11" x14ac:dyDescent="0.25">
      <c r="D253" s="50">
        <v>45952</v>
      </c>
      <c r="E253" s="42">
        <v>5</v>
      </c>
      <c r="F253" s="43">
        <v>1952</v>
      </c>
      <c r="G253" s="44">
        <v>20927548322</v>
      </c>
      <c r="H253" s="123" t="str">
        <f>IFERROR(IF(factura_c_mes10[[#This Row],[CUIT]]="","-",VLOOKUP(factura_c_mes10[[#This Row],[CUIT]],Lista_CUIT[#All],2,0)),"CUIT NO CARGADO")</f>
        <v>FLAMMIA MARCOS ANTONIO</v>
      </c>
      <c r="I253" s="124">
        <v>4186</v>
      </c>
      <c r="J253" s="125" t="str">
        <f>IFERROR(IF(factura_c_mes10[[#This Row],[CUIT]]="","-",VLOOKUP(factura_c_mes10[[#This Row],[CUIT]],Lista_CUIT[#All],3,0)),"CUIT NO CARGADO")</f>
        <v>Gastos Varios</v>
      </c>
      <c r="K253" s="125">
        <f>IFERROR(IF(factura_c_mes10[[#This Row],[CUIT]]="","-",VLOOKUP(factura_c_mes10[[#This Row],[CUIT]],Lista_CUIT[#All],4,0)),"CUIT NO CARGADO")</f>
        <v>0</v>
      </c>
    </row>
    <row r="254" spans="4:11" x14ac:dyDescent="0.25">
      <c r="D254" s="50">
        <v>45952</v>
      </c>
      <c r="E254" s="42">
        <v>5</v>
      </c>
      <c r="F254" s="43">
        <v>1953</v>
      </c>
      <c r="G254" s="44">
        <v>20927548322</v>
      </c>
      <c r="H254" s="123" t="str">
        <f>IFERROR(IF(factura_c_mes10[[#This Row],[CUIT]]="","-",VLOOKUP(factura_c_mes10[[#This Row],[CUIT]],Lista_CUIT[#All],2,0)),"CUIT NO CARGADO")</f>
        <v>FLAMMIA MARCOS ANTONIO</v>
      </c>
      <c r="I254" s="124">
        <v>4186</v>
      </c>
      <c r="J254" s="125" t="str">
        <f>IFERROR(IF(factura_c_mes10[[#This Row],[CUIT]]="","-",VLOOKUP(factura_c_mes10[[#This Row],[CUIT]],Lista_CUIT[#All],3,0)),"CUIT NO CARGADO")</f>
        <v>Gastos Varios</v>
      </c>
      <c r="K254" s="125">
        <f>IFERROR(IF(factura_c_mes10[[#This Row],[CUIT]]="","-",VLOOKUP(factura_c_mes10[[#This Row],[CUIT]],Lista_CUIT[#All],4,0)),"CUIT NO CARGADO")</f>
        <v>0</v>
      </c>
    </row>
    <row r="255" spans="4:11" x14ac:dyDescent="0.25">
      <c r="D255" s="50">
        <v>45952</v>
      </c>
      <c r="E255" s="42">
        <v>5</v>
      </c>
      <c r="F255" s="43">
        <v>1954</v>
      </c>
      <c r="G255" s="44">
        <v>20927548322</v>
      </c>
      <c r="H255" s="123" t="str">
        <f>IFERROR(IF(factura_c_mes10[[#This Row],[CUIT]]="","-",VLOOKUP(factura_c_mes10[[#This Row],[CUIT]],Lista_CUIT[#All],2,0)),"CUIT NO CARGADO")</f>
        <v>FLAMMIA MARCOS ANTONIO</v>
      </c>
      <c r="I255" s="124">
        <v>4186</v>
      </c>
      <c r="J255" s="125" t="str">
        <f>IFERROR(IF(factura_c_mes10[[#This Row],[CUIT]]="","-",VLOOKUP(factura_c_mes10[[#This Row],[CUIT]],Lista_CUIT[#All],3,0)),"CUIT NO CARGADO")</f>
        <v>Gastos Varios</v>
      </c>
      <c r="K255" s="125">
        <f>IFERROR(IF(factura_c_mes10[[#This Row],[CUIT]]="","-",VLOOKUP(factura_c_mes10[[#This Row],[CUIT]],Lista_CUIT[#All],4,0)),"CUIT NO CARGADO")</f>
        <v>0</v>
      </c>
    </row>
    <row r="256" spans="4:11" x14ac:dyDescent="0.25">
      <c r="D256" s="50">
        <v>45954</v>
      </c>
      <c r="E256" s="42">
        <v>19</v>
      </c>
      <c r="F256" s="43">
        <v>8025</v>
      </c>
      <c r="G256" s="44">
        <v>33715179119</v>
      </c>
      <c r="H256" s="123" t="str">
        <f>IFERROR(IF(factura_c_mes10[[#This Row],[CUIT]]="","-",VLOOKUP(factura_c_mes10[[#This Row],[CUIT]],Lista_CUIT[#All],2,0)),"CUIT NO CARGADO")</f>
        <v>FONDO DE COOPERACION TECNICA Y FINANCIERA - CECBA - SL Y T - LEY 23.412</v>
      </c>
      <c r="I256" s="124">
        <v>17000</v>
      </c>
      <c r="J256" s="125" t="str">
        <f>IFERROR(IF(factura_c_mes10[[#This Row],[CUIT]]="","-",VLOOKUP(factura_c_mes10[[#This Row],[CUIT]],Lista_CUIT[#All],3,0)),"CUIT NO CARGADO")</f>
        <v>Gastos Varios</v>
      </c>
      <c r="K256" s="125">
        <f>IFERROR(IF(factura_c_mes10[[#This Row],[CUIT]]="","-",VLOOKUP(factura_c_mes10[[#This Row],[CUIT]],Lista_CUIT[#All],4,0)),"CUIT NO CARGADO")</f>
        <v>0</v>
      </c>
    </row>
    <row r="257" spans="4:11" x14ac:dyDescent="0.25">
      <c r="D257" s="50">
        <v>45954</v>
      </c>
      <c r="E257" s="42">
        <v>10</v>
      </c>
      <c r="F257" s="43">
        <v>301</v>
      </c>
      <c r="G257" s="44">
        <v>20302234389</v>
      </c>
      <c r="H257" s="53" t="str">
        <f>IFERROR(IF(factura_c_mes10[[#This Row],[CUIT]]="","-",VLOOKUP(factura_c_mes10[[#This Row],[CUIT]],Lista_CUIT[#All],2,0)),"CUIT NO CARGADO")</f>
        <v>VIGORELLI GUILLERMO DANIEL</v>
      </c>
      <c r="I257" s="81">
        <v>385000</v>
      </c>
      <c r="J257" s="54" t="str">
        <f>IFERROR(IF(factura_c_mes10[[#This Row],[CUIT]]="","-",VLOOKUP(factura_c_mes10[[#This Row],[CUIT]],Lista_CUIT[#All],3,0)),"CUIT NO CARGADO")</f>
        <v>Gastos Varios</v>
      </c>
      <c r="K257" s="54">
        <f>IFERROR(IF(factura_c_mes10[[#This Row],[CUIT]]="","-",VLOOKUP(factura_c_mes10[[#This Row],[CUIT]],Lista_CUIT[#All],4,0)),"CUIT NO CARGADO")</f>
        <v>0</v>
      </c>
    </row>
    <row r="258" spans="4:11" x14ac:dyDescent="0.25">
      <c r="D258" s="50">
        <v>45957</v>
      </c>
      <c r="E258" s="42">
        <v>2</v>
      </c>
      <c r="F258" s="43">
        <v>5904</v>
      </c>
      <c r="G258" s="44">
        <v>20136536320</v>
      </c>
      <c r="H258" s="53" t="str">
        <f>IFERROR(IF(factura_c_mes10[[#This Row],[CUIT]]="","-",VLOOKUP(factura_c_mes10[[#This Row],[CUIT]],Lista_CUIT[#All],2,0)),"CUIT NO CARGADO")</f>
        <v>FONTENLA ERNESTO MARIO</v>
      </c>
      <c r="I258" s="81">
        <v>30000</v>
      </c>
      <c r="J258" s="54" t="str">
        <f>IFERROR(IF(factura_c_mes10[[#This Row],[CUIT]]="","-",VLOOKUP(factura_c_mes10[[#This Row],[CUIT]],Lista_CUIT[#All],3,0)),"CUIT NO CARGADO")</f>
        <v>Gastos Varios</v>
      </c>
      <c r="K258" s="54" t="str">
        <f>IFERROR(IF(factura_c_mes10[[#This Row],[CUIT]]="","-",VLOOKUP(factura_c_mes10[[#This Row],[CUIT]],Lista_CUIT[#All],4,0)),"CUIT NO CARGADO")</f>
        <v>CABA</v>
      </c>
    </row>
    <row r="259" spans="4:11" x14ac:dyDescent="0.25">
      <c r="D259" s="50">
        <v>45931</v>
      </c>
      <c r="E259" s="42">
        <v>1</v>
      </c>
      <c r="F259" s="43">
        <v>3</v>
      </c>
      <c r="G259" s="44">
        <v>27332062498</v>
      </c>
      <c r="H259" s="123" t="str">
        <f>IFERROR(IF(factura_c_mes10[[#This Row],[CUIT]]="","-",VLOOKUP(factura_c_mes10[[#This Row],[CUIT]],Lista_CUIT[#All],2,0)),"CUIT NO CARGADO")</f>
        <v>CABRERA ROMINA ELISABETH</v>
      </c>
      <c r="I259" s="124">
        <v>363000</v>
      </c>
      <c r="J259" s="125" t="str">
        <f>IFERROR(IF(factura_c_mes10[[#This Row],[CUIT]]="","-",VLOOKUP(factura_c_mes10[[#This Row],[CUIT]],Lista_CUIT[#All],3,0)),"CUIT NO CARGADO")</f>
        <v>Gtos. Administrativos</v>
      </c>
      <c r="K259" s="125">
        <f>IFERROR(IF(factura_c_mes10[[#This Row],[CUIT]]="","-",VLOOKUP(factura_c_mes10[[#This Row],[CUIT]],Lista_CUIT[#All],4,0)),"CUIT NO CARGADO")</f>
        <v>0</v>
      </c>
    </row>
    <row r="260" spans="4:11" x14ac:dyDescent="0.25">
      <c r="D260" s="50">
        <v>45931</v>
      </c>
      <c r="E260" s="42">
        <v>1</v>
      </c>
      <c r="F260" s="43">
        <v>4</v>
      </c>
      <c r="G260" s="44">
        <v>27332062498</v>
      </c>
      <c r="H260" s="123" t="str">
        <f>IFERROR(IF(factura_c_mes10[[#This Row],[CUIT]]="","-",VLOOKUP(factura_c_mes10[[#This Row],[CUIT]],Lista_CUIT[#All],2,0)),"CUIT NO CARGADO")</f>
        <v>CABRERA ROMINA ELISABETH</v>
      </c>
      <c r="I260" s="124">
        <v>297000</v>
      </c>
      <c r="J260" s="125" t="str">
        <f>IFERROR(IF(factura_c_mes10[[#This Row],[CUIT]]="","-",VLOOKUP(factura_c_mes10[[#This Row],[CUIT]],Lista_CUIT[#All],3,0)),"CUIT NO CARGADO")</f>
        <v>Gtos. Administrativos</v>
      </c>
      <c r="K260" s="125">
        <f>IFERROR(IF(factura_c_mes10[[#This Row],[CUIT]]="","-",VLOOKUP(factura_c_mes10[[#This Row],[CUIT]],Lista_CUIT[#All],4,0)),"CUIT NO CARGADO")</f>
        <v>0</v>
      </c>
    </row>
    <row r="261" spans="4:11" x14ac:dyDescent="0.25">
      <c r="D261" s="50">
        <v>45931</v>
      </c>
      <c r="E261" s="42">
        <v>1</v>
      </c>
      <c r="F261" s="43">
        <v>1</v>
      </c>
      <c r="G261" s="44">
        <v>27332062498</v>
      </c>
      <c r="H261" s="123" t="str">
        <f>IFERROR(IF(factura_c_mes10[[#This Row],[CUIT]]="","-",VLOOKUP(factura_c_mes10[[#This Row],[CUIT]],Lista_CUIT[#All],2,0)),"CUIT NO CARGADO")</f>
        <v>CABRERA ROMINA ELISABETH</v>
      </c>
      <c r="I261" s="124">
        <v>321000</v>
      </c>
      <c r="J261" s="125" t="str">
        <f>IFERROR(IF(factura_c_mes10[[#This Row],[CUIT]]="","-",VLOOKUP(factura_c_mes10[[#This Row],[CUIT]],Lista_CUIT[#All],3,0)),"CUIT NO CARGADO")</f>
        <v>Gtos. Administrativos</v>
      </c>
      <c r="K261" s="125">
        <f>IFERROR(IF(factura_c_mes10[[#This Row],[CUIT]]="","-",VLOOKUP(factura_c_mes10[[#This Row],[CUIT]],Lista_CUIT[#All],4,0)),"CUIT NO CARGADO")</f>
        <v>0</v>
      </c>
    </row>
    <row r="262" spans="4:11" x14ac:dyDescent="0.25">
      <c r="D262" s="50">
        <v>45931</v>
      </c>
      <c r="E262" s="42">
        <v>1</v>
      </c>
      <c r="F262" s="43">
        <v>2</v>
      </c>
      <c r="G262" s="44">
        <v>27332062498</v>
      </c>
      <c r="H262" s="123" t="str">
        <f>IFERROR(IF(factura_c_mes10[[#This Row],[CUIT]]="","-",VLOOKUP(factura_c_mes10[[#This Row],[CUIT]],Lista_CUIT[#All],2,0)),"CUIT NO CARGADO")</f>
        <v>CABRERA ROMINA ELISABETH</v>
      </c>
      <c r="I262" s="124">
        <v>297000</v>
      </c>
      <c r="J262" s="125" t="str">
        <f>IFERROR(IF(factura_c_mes10[[#This Row],[CUIT]]="","-",VLOOKUP(factura_c_mes10[[#This Row],[CUIT]],Lista_CUIT[#All],3,0)),"CUIT NO CARGADO")</f>
        <v>Gtos. Administrativos</v>
      </c>
      <c r="K262" s="125">
        <f>IFERROR(IF(factura_c_mes10[[#This Row],[CUIT]]="","-",VLOOKUP(factura_c_mes10[[#This Row],[CUIT]],Lista_CUIT[#All],4,0)),"CUIT NO CARGADO")</f>
        <v>0</v>
      </c>
    </row>
    <row r="263" spans="4:11" x14ac:dyDescent="0.25">
      <c r="D263" s="50">
        <v>45936</v>
      </c>
      <c r="E263" s="42">
        <v>1</v>
      </c>
      <c r="F263" s="43">
        <v>19</v>
      </c>
      <c r="G263" s="44">
        <v>27250242536</v>
      </c>
      <c r="H263" s="123" t="str">
        <f>IFERROR(IF(factura_c_mes10[[#This Row],[CUIT]]="","-",VLOOKUP(factura_c_mes10[[#This Row],[CUIT]],Lista_CUIT[#All],2,0)),"CUIT NO CARGADO")</f>
        <v>TUNDIS AIDA ESPERANZA</v>
      </c>
      <c r="I263" s="124">
        <v>141000</v>
      </c>
      <c r="J263" s="125" t="str">
        <f>IFERROR(IF(factura_c_mes10[[#This Row],[CUIT]]="","-",VLOOKUP(factura_c_mes10[[#This Row],[CUIT]],Lista_CUIT[#All],3,0)),"CUIT NO CARGADO")</f>
        <v>Gtos. Administrativos</v>
      </c>
      <c r="K263" s="125">
        <f>IFERROR(IF(factura_c_mes10[[#This Row],[CUIT]]="","-",VLOOKUP(factura_c_mes10[[#This Row],[CUIT]],Lista_CUIT[#All],4,0)),"CUIT NO CARGADO")</f>
        <v>0</v>
      </c>
    </row>
    <row r="264" spans="4:11" x14ac:dyDescent="0.25">
      <c r="D264" s="50">
        <v>45938</v>
      </c>
      <c r="E264" s="42">
        <v>1</v>
      </c>
      <c r="F264" s="43">
        <v>17</v>
      </c>
      <c r="G264" s="44">
        <v>27203738418</v>
      </c>
      <c r="H264" s="123" t="str">
        <f>IFERROR(IF(factura_c_mes10[[#This Row],[CUIT]]="","-",VLOOKUP(factura_c_mes10[[#This Row],[CUIT]],Lista_CUIT[#All],2,0)),"CUIT NO CARGADO")</f>
        <v>CASTILLO DELIA CRISTINA</v>
      </c>
      <c r="I264" s="124">
        <v>1000000</v>
      </c>
      <c r="J264" s="125" t="str">
        <f>IFERROR(IF(factura_c_mes10[[#This Row],[CUIT]]="","-",VLOOKUP(factura_c_mes10[[#This Row],[CUIT]],Lista_CUIT[#All],3,0)),"CUIT NO CARGADO")</f>
        <v>Gtos. Administrativos</v>
      </c>
      <c r="K264" s="125">
        <f>IFERROR(IF(factura_c_mes10[[#This Row],[CUIT]]="","-",VLOOKUP(factura_c_mes10[[#This Row],[CUIT]],Lista_CUIT[#All],4,0)),"CUIT NO CARGADO")</f>
        <v>0</v>
      </c>
    </row>
    <row r="265" spans="4:11" x14ac:dyDescent="0.25">
      <c r="D265" s="50">
        <v>45939</v>
      </c>
      <c r="E265" s="42">
        <v>1</v>
      </c>
      <c r="F265" s="43">
        <v>3</v>
      </c>
      <c r="G265" s="44">
        <v>27176180485</v>
      </c>
      <c r="H265" s="123" t="str">
        <f>IFERROR(IF(factura_c_mes10[[#This Row],[CUIT]]="","-",VLOOKUP(factura_c_mes10[[#This Row],[CUIT]],Lista_CUIT[#All],2,0)),"CUIT NO CARGADO")</f>
        <v>GIMENEZ MARIANA BEATRIZ</v>
      </c>
      <c r="I265" s="124">
        <v>297600</v>
      </c>
      <c r="J265" s="125" t="str">
        <f>IFERROR(IF(factura_c_mes10[[#This Row],[CUIT]]="","-",VLOOKUP(factura_c_mes10[[#This Row],[CUIT]],Lista_CUIT[#All],3,0)),"CUIT NO CARGADO")</f>
        <v>Gtos. Administrativos</v>
      </c>
      <c r="K265" s="125">
        <f>IFERROR(IF(factura_c_mes10[[#This Row],[CUIT]]="","-",VLOOKUP(factura_c_mes10[[#This Row],[CUIT]],Lista_CUIT[#All],4,0)),"CUIT NO CARGADO")</f>
        <v>0</v>
      </c>
    </row>
    <row r="266" spans="4:11" x14ac:dyDescent="0.25">
      <c r="D266" s="50">
        <v>45945</v>
      </c>
      <c r="E266" s="42">
        <v>1</v>
      </c>
      <c r="F266" s="43">
        <v>20</v>
      </c>
      <c r="G266" s="44">
        <v>27250242536</v>
      </c>
      <c r="H266" s="123" t="str">
        <f>IFERROR(IF(factura_c_mes10[[#This Row],[CUIT]]="","-",VLOOKUP(factura_c_mes10[[#This Row],[CUIT]],Lista_CUIT[#All],2,0)),"CUIT NO CARGADO")</f>
        <v>TUNDIS AIDA ESPERANZA</v>
      </c>
      <c r="I266" s="124">
        <v>100500</v>
      </c>
      <c r="J266" s="125" t="str">
        <f>IFERROR(IF(factura_c_mes10[[#This Row],[CUIT]]="","-",VLOOKUP(factura_c_mes10[[#This Row],[CUIT]],Lista_CUIT[#All],3,0)),"CUIT NO CARGADO")</f>
        <v>Gtos. Administrativos</v>
      </c>
      <c r="K266" s="125">
        <f>IFERROR(IF(factura_c_mes10[[#This Row],[CUIT]]="","-",VLOOKUP(factura_c_mes10[[#This Row],[CUIT]],Lista_CUIT[#All],4,0)),"CUIT NO CARGADO")</f>
        <v>0</v>
      </c>
    </row>
    <row r="267" spans="4:11" x14ac:dyDescent="0.25">
      <c r="D267" s="50">
        <v>45938</v>
      </c>
      <c r="E267" s="42">
        <v>2</v>
      </c>
      <c r="F267" s="43">
        <v>25</v>
      </c>
      <c r="G267" s="44">
        <v>24180692653</v>
      </c>
      <c r="H267" s="123" t="str">
        <f>IFERROR(IF(factura_c_mes10[[#This Row],[CUIT]]="","-",VLOOKUP(factura_c_mes10[[#This Row],[CUIT]],Lista_CUIT[#All],2,0)),"CUIT NO CARGADO")</f>
        <v>CASTILLO JOSE MANUEL</v>
      </c>
      <c r="I267" s="124">
        <v>1400000</v>
      </c>
      <c r="J267" s="125" t="str">
        <f>IFERROR(IF(factura_c_mes10[[#This Row],[CUIT]]="","-",VLOOKUP(factura_c_mes10[[#This Row],[CUIT]],Lista_CUIT[#All],3,0)),"CUIT NO CARGADO")</f>
        <v>Honorarios Administrativos</v>
      </c>
      <c r="K267" s="125">
        <f>IFERROR(IF(factura_c_mes10[[#This Row],[CUIT]]="","-",VLOOKUP(factura_c_mes10[[#This Row],[CUIT]],Lista_CUIT[#All],4,0)),"CUIT NO CARGADO")</f>
        <v>0</v>
      </c>
    </row>
    <row r="268" spans="4:11" x14ac:dyDescent="0.25">
      <c r="D268" s="50">
        <v>45938</v>
      </c>
      <c r="E268" s="42">
        <v>2</v>
      </c>
      <c r="F268" s="43">
        <v>26</v>
      </c>
      <c r="G268" s="44">
        <v>24180692653</v>
      </c>
      <c r="H268" s="123" t="str">
        <f>IFERROR(IF(factura_c_mes10[[#This Row],[CUIT]]="","-",VLOOKUP(factura_c_mes10[[#This Row],[CUIT]],Lista_CUIT[#All],2,0)),"CUIT NO CARGADO")</f>
        <v>CASTILLO JOSE MANUEL</v>
      </c>
      <c r="I268" s="124">
        <v>1400000</v>
      </c>
      <c r="J268" s="125" t="str">
        <f>IFERROR(IF(factura_c_mes10[[#This Row],[CUIT]]="","-",VLOOKUP(factura_c_mes10[[#This Row],[CUIT]],Lista_CUIT[#All],3,0)),"CUIT NO CARGADO")</f>
        <v>Honorarios Administrativos</v>
      </c>
      <c r="K268" s="125">
        <f>IFERROR(IF(factura_c_mes10[[#This Row],[CUIT]]="","-",VLOOKUP(factura_c_mes10[[#This Row],[CUIT]],Lista_CUIT[#All],4,0)),"CUIT NO CARGADO")</f>
        <v>0</v>
      </c>
    </row>
    <row r="269" spans="4:11" x14ac:dyDescent="0.25">
      <c r="D269" s="50">
        <v>45938</v>
      </c>
      <c r="E269" s="42">
        <v>2</v>
      </c>
      <c r="F269" s="43">
        <v>32</v>
      </c>
      <c r="G269" s="44">
        <v>27226409799</v>
      </c>
      <c r="H269" s="123" t="str">
        <f>IFERROR(IF(factura_c_mes10[[#This Row],[CUIT]]="","-",VLOOKUP(factura_c_mes10[[#This Row],[CUIT]],Lista_CUIT[#All],2,0)),"CUIT NO CARGADO")</f>
        <v>CASTILLO BERTA YOLANDA</v>
      </c>
      <c r="I269" s="124">
        <v>1400000</v>
      </c>
      <c r="J269" s="125" t="str">
        <f>IFERROR(IF(factura_c_mes10[[#This Row],[CUIT]]="","-",VLOOKUP(factura_c_mes10[[#This Row],[CUIT]],Lista_CUIT[#All],3,0)),"CUIT NO CARGADO")</f>
        <v>Honorarios Administrativos</v>
      </c>
      <c r="K269" s="125">
        <f>IFERROR(IF(factura_c_mes10[[#This Row],[CUIT]]="","-",VLOOKUP(factura_c_mes10[[#This Row],[CUIT]],Lista_CUIT[#All],4,0)),"CUIT NO CARGADO")</f>
        <v>0</v>
      </c>
    </row>
    <row r="270" spans="4:11" x14ac:dyDescent="0.25">
      <c r="D270" s="50">
        <v>45938</v>
      </c>
      <c r="E270" s="42">
        <v>1</v>
      </c>
      <c r="F270" s="43">
        <v>31</v>
      </c>
      <c r="G270" s="44">
        <v>20420115882</v>
      </c>
      <c r="H270" s="123" t="str">
        <f>IFERROR(IF(factura_c_mes10[[#This Row],[CUIT]]="","-",VLOOKUP(factura_c_mes10[[#This Row],[CUIT]],Lista_CUIT[#All],2,0)),"CUIT NO CARGADO")</f>
        <v>CASTILLO MARIANO JAVIER</v>
      </c>
      <c r="I270" s="124">
        <v>322000</v>
      </c>
      <c r="J270" s="125" t="str">
        <f>IFERROR(IF(factura_c_mes10[[#This Row],[CUIT]]="","-",VLOOKUP(factura_c_mes10[[#This Row],[CUIT]],Lista_CUIT[#All],3,0)),"CUIT NO CARGADO")</f>
        <v>Honorarios Administrativos</v>
      </c>
      <c r="K270" s="125">
        <f>IFERROR(IF(factura_c_mes10[[#This Row],[CUIT]]="","-",VLOOKUP(factura_c_mes10[[#This Row],[CUIT]],Lista_CUIT[#All],4,0)),"CUIT NO CARGADO")</f>
        <v>0</v>
      </c>
    </row>
    <row r="271" spans="4:11" x14ac:dyDescent="0.25">
      <c r="D271" s="50">
        <v>45958</v>
      </c>
      <c r="E271" s="42">
        <v>1</v>
      </c>
      <c r="F271" s="43">
        <v>24</v>
      </c>
      <c r="G271" s="44">
        <v>27309116343</v>
      </c>
      <c r="H271" s="123" t="str">
        <f>IFERROR(IF(factura_c_mes10[[#This Row],[CUIT]]="","-",VLOOKUP(factura_c_mes10[[#This Row],[CUIT]],Lista_CUIT[#All],2,0)),"CUIT NO CARGADO")</f>
        <v>FERNANDEZ DANIELA NATALIA</v>
      </c>
      <c r="I271" s="124">
        <v>212500</v>
      </c>
      <c r="J271" s="125" t="str">
        <f>IFERROR(IF(factura_c_mes10[[#This Row],[CUIT]]="","-",VLOOKUP(factura_c_mes10[[#This Row],[CUIT]],Lista_CUIT[#All],3,0)),"CUIT NO CARGADO")</f>
        <v>Honorarios Administrativos</v>
      </c>
      <c r="K271" s="125">
        <f>IFERROR(IF(factura_c_mes10[[#This Row],[CUIT]]="","-",VLOOKUP(factura_c_mes10[[#This Row],[CUIT]],Lista_CUIT[#All],4,0)),"CUIT NO CARGADO")</f>
        <v>0</v>
      </c>
    </row>
    <row r="272" spans="4:11" x14ac:dyDescent="0.25">
      <c r="D272" s="50">
        <v>45932</v>
      </c>
      <c r="E272" s="42">
        <v>4</v>
      </c>
      <c r="F272" s="43">
        <v>69</v>
      </c>
      <c r="G272" s="44">
        <v>20086277523</v>
      </c>
      <c r="H272" s="123" t="str">
        <f>IFERROR(IF(factura_c_mes10[[#This Row],[CUIT]]="","-",VLOOKUP(factura_c_mes10[[#This Row],[CUIT]],Lista_CUIT[#All],2,0)),"CUIT NO CARGADO")</f>
        <v>BOTINDARI JUAN CARLOS</v>
      </c>
      <c r="I272" s="124">
        <v>315000</v>
      </c>
      <c r="J272" s="125" t="str">
        <f>IFERROR(IF(factura_c_mes10[[#This Row],[CUIT]]="","-",VLOOKUP(factura_c_mes10[[#This Row],[CUIT]],Lista_CUIT[#All],3,0)),"CUIT NO CARGADO")</f>
        <v>Honorarios Contables</v>
      </c>
      <c r="K272" s="125">
        <f>IFERROR(IF(factura_c_mes10[[#This Row],[CUIT]]="","-",VLOOKUP(factura_c_mes10[[#This Row],[CUIT]],Lista_CUIT[#All],4,0)),"CUIT NO CARGADO")</f>
        <v>0</v>
      </c>
    </row>
    <row r="273" spans="4:11" x14ac:dyDescent="0.25">
      <c r="D273" s="50">
        <v>45936</v>
      </c>
      <c r="E273" s="42">
        <v>2</v>
      </c>
      <c r="F273" s="43">
        <v>354</v>
      </c>
      <c r="G273" s="44">
        <v>23319210954</v>
      </c>
      <c r="H273" s="123" t="str">
        <f>IFERROR(IF(factura_c_mes10[[#This Row],[CUIT]]="","-",VLOOKUP(factura_c_mes10[[#This Row],[CUIT]],Lista_CUIT[#All],2,0)),"CUIT NO CARGADO")</f>
        <v>CAFFARATTI ROMINA PAOLA</v>
      </c>
      <c r="I273" s="124">
        <v>357600</v>
      </c>
      <c r="J273" s="125" t="str">
        <f>IFERROR(IF(factura_c_mes10[[#This Row],[CUIT]]="","-",VLOOKUP(factura_c_mes10[[#This Row],[CUIT]],Lista_CUIT[#All],3,0)),"CUIT NO CARGADO")</f>
        <v>Honorarios Contables</v>
      </c>
      <c r="K273" s="125">
        <f>IFERROR(IF(factura_c_mes10[[#This Row],[CUIT]]="","-",VLOOKUP(factura_c_mes10[[#This Row],[CUIT]],Lista_CUIT[#All],4,0)),"CUIT NO CARGADO")</f>
        <v>0</v>
      </c>
    </row>
    <row r="274" spans="4:11" x14ac:dyDescent="0.25">
      <c r="D274" s="50">
        <v>45936</v>
      </c>
      <c r="E274" s="42">
        <v>2</v>
      </c>
      <c r="F274" s="43">
        <v>355</v>
      </c>
      <c r="G274" s="44">
        <v>23319210954</v>
      </c>
      <c r="H274" s="123" t="str">
        <f>IFERROR(IF(factura_c_mes10[[#This Row],[CUIT]]="","-",VLOOKUP(factura_c_mes10[[#This Row],[CUIT]],Lista_CUIT[#All],2,0)),"CUIT NO CARGADO")</f>
        <v>CAFFARATTI ROMINA PAOLA</v>
      </c>
      <c r="I274" s="124">
        <v>40000</v>
      </c>
      <c r="J274" s="125" t="str">
        <f>IFERROR(IF(factura_c_mes10[[#This Row],[CUIT]]="","-",VLOOKUP(factura_c_mes10[[#This Row],[CUIT]],Lista_CUIT[#All],3,0)),"CUIT NO CARGADO")</f>
        <v>Honorarios Contables</v>
      </c>
      <c r="K274" s="125">
        <f>IFERROR(IF(factura_c_mes10[[#This Row],[CUIT]]="","-",VLOOKUP(factura_c_mes10[[#This Row],[CUIT]],Lista_CUIT[#All],4,0)),"CUIT NO CARGADO")</f>
        <v>0</v>
      </c>
    </row>
    <row r="275" spans="4:11" x14ac:dyDescent="0.25">
      <c r="D275" s="50">
        <v>45931</v>
      </c>
      <c r="E275" s="42">
        <v>3</v>
      </c>
      <c r="F275" s="43">
        <v>588</v>
      </c>
      <c r="G275" s="44">
        <v>20210551574</v>
      </c>
      <c r="H275" s="123" t="str">
        <f>IFERROR(IF(factura_c_mes10[[#This Row],[CUIT]]="","-",VLOOKUP(factura_c_mes10[[#This Row],[CUIT]],Lista_CUIT[#All],2,0)),"CUIT NO CARGADO")</f>
        <v>REUS JORGE DIEGO</v>
      </c>
      <c r="I275" s="124">
        <v>347000</v>
      </c>
      <c r="J275" s="125" t="str">
        <f>IFERROR(IF(factura_c_mes10[[#This Row],[CUIT]]="","-",VLOOKUP(factura_c_mes10[[#This Row],[CUIT]],Lista_CUIT[#All],3,0)),"CUIT NO CARGADO")</f>
        <v>Honorarios Legales</v>
      </c>
      <c r="K275" s="125">
        <f>IFERROR(IF(factura_c_mes10[[#This Row],[CUIT]]="","-",VLOOKUP(factura_c_mes10[[#This Row],[CUIT]],Lista_CUIT[#All],4,0)),"CUIT NO CARGADO")</f>
        <v>0</v>
      </c>
    </row>
    <row r="276" spans="4:11" x14ac:dyDescent="0.25">
      <c r="D276" s="50">
        <v>45939</v>
      </c>
      <c r="E276" s="42">
        <v>1</v>
      </c>
      <c r="F276" s="43">
        <v>23</v>
      </c>
      <c r="G276" s="44">
        <v>27344198948</v>
      </c>
      <c r="H276" s="123" t="str">
        <f>IFERROR(IF(factura_c_mes10[[#This Row],[CUIT]]="","-",VLOOKUP(factura_c_mes10[[#This Row],[CUIT]],Lista_CUIT[#All],2,0)),"CUIT NO CARGADO")</f>
        <v>RIZZELLO VANINA SOLEDAD</v>
      </c>
      <c r="I276" s="124">
        <v>528000</v>
      </c>
      <c r="J276" s="125" t="str">
        <f>IFERROR(IF(factura_c_mes10[[#This Row],[CUIT]]="","-",VLOOKUP(factura_c_mes10[[#This Row],[CUIT]],Lista_CUIT[#All],3,0)),"CUIT NO CARGADO")</f>
        <v>Honorarios Legales</v>
      </c>
      <c r="K276" s="125">
        <f>IFERROR(IF(factura_c_mes10[[#This Row],[CUIT]]="","-",VLOOKUP(factura_c_mes10[[#This Row],[CUIT]],Lista_CUIT[#All],4,0)),"CUIT NO CARGADO")</f>
        <v>0</v>
      </c>
    </row>
    <row r="277" spans="4:11" x14ac:dyDescent="0.25">
      <c r="D277" s="50">
        <v>45931</v>
      </c>
      <c r="E277" s="42">
        <v>1</v>
      </c>
      <c r="F277" s="43">
        <v>55</v>
      </c>
      <c r="G277" s="44">
        <v>27414720450</v>
      </c>
      <c r="H277" s="123" t="str">
        <f>IFERROR(IF(factura_c_mes10[[#This Row],[CUIT]]="","-",VLOOKUP(factura_c_mes10[[#This Row],[CUIT]],Lista_CUIT[#All],2,0)),"CUIT NO CARGADO")</f>
        <v>PREITI MICAELA ORIANA</v>
      </c>
      <c r="I277" s="124">
        <v>1350000</v>
      </c>
      <c r="J277" s="125" t="str">
        <f>IFERROR(IF(factura_c_mes10[[#This Row],[CUIT]]="","-",VLOOKUP(factura_c_mes10[[#This Row],[CUIT]],Lista_CUIT[#All],3,0)),"CUIT NO CARGADO")</f>
        <v>Honorarios Profesionales</v>
      </c>
      <c r="K277" s="125">
        <f>IFERROR(IF(factura_c_mes10[[#This Row],[CUIT]]="","-",VLOOKUP(factura_c_mes10[[#This Row],[CUIT]],Lista_CUIT[#All],4,0)),"CUIT NO CARGADO")</f>
        <v>0</v>
      </c>
    </row>
    <row r="278" spans="4:11" x14ac:dyDescent="0.25">
      <c r="D278" s="50">
        <v>45957</v>
      </c>
      <c r="E278" s="42">
        <v>4</v>
      </c>
      <c r="F278" s="43">
        <v>81</v>
      </c>
      <c r="G278" s="44">
        <v>20134305283</v>
      </c>
      <c r="H278" s="123" t="str">
        <f>IFERROR(IF(factura_c_mes10[[#This Row],[CUIT]]="","-",VLOOKUP(factura_c_mes10[[#This Row],[CUIT]],Lista_CUIT[#All],2,0)),"CUIT NO CARGADO")</f>
        <v>CHIARA STELLA MARIO ROBERTO</v>
      </c>
      <c r="I278" s="124">
        <v>640000</v>
      </c>
      <c r="J278" s="125" t="str">
        <f>IFERROR(IF(factura_c_mes10[[#This Row],[CUIT]]="","-",VLOOKUP(factura_c_mes10[[#This Row],[CUIT]],Lista_CUIT[#All],3,0)),"CUIT NO CARGADO")</f>
        <v>Honorarios Profesionales</v>
      </c>
      <c r="K278" s="125">
        <f>IFERROR(IF(factura_c_mes10[[#This Row],[CUIT]]="","-",VLOOKUP(factura_c_mes10[[#This Row],[CUIT]],Lista_CUIT[#All],4,0)),"CUIT NO CARGADO")</f>
        <v>0</v>
      </c>
    </row>
    <row r="279" spans="4:11" x14ac:dyDescent="0.25">
      <c r="D279" s="50">
        <v>45958</v>
      </c>
      <c r="E279" s="42">
        <v>1</v>
      </c>
      <c r="F279" s="43">
        <v>125</v>
      </c>
      <c r="G279" s="44">
        <v>20176922363</v>
      </c>
      <c r="H279" s="123" t="str">
        <f>IFERROR(IF(factura_c_mes10[[#This Row],[CUIT]]="","-",VLOOKUP(factura_c_mes10[[#This Row],[CUIT]],Lista_CUIT[#All],2,0)),"CUIT NO CARGADO")</f>
        <v>CASTILLO JUAN RAMON</v>
      </c>
      <c r="I279" s="124">
        <v>800000</v>
      </c>
      <c r="J279" s="125" t="str">
        <f>IFERROR(IF(factura_c_mes10[[#This Row],[CUIT]]="","-",VLOOKUP(factura_c_mes10[[#This Row],[CUIT]],Lista_CUIT[#All],3,0)),"CUIT NO CARGADO")</f>
        <v>Honorarios Profesionales</v>
      </c>
      <c r="K279" s="125">
        <f>IFERROR(IF(factura_c_mes10[[#This Row],[CUIT]]="","-",VLOOKUP(factura_c_mes10[[#This Row],[CUIT]],Lista_CUIT[#All],4,0)),"CUIT NO CARGADO")</f>
        <v>0</v>
      </c>
    </row>
    <row r="280" spans="4:11" x14ac:dyDescent="0.25">
      <c r="D280" s="50">
        <v>45958</v>
      </c>
      <c r="E280" s="42">
        <v>1</v>
      </c>
      <c r="F280" s="43">
        <v>126</v>
      </c>
      <c r="G280" s="44">
        <v>20176922363</v>
      </c>
      <c r="H280" s="123" t="str">
        <f>IFERROR(IF(factura_c_mes10[[#This Row],[CUIT]]="","-",VLOOKUP(factura_c_mes10[[#This Row],[CUIT]],Lista_CUIT[#All],2,0)),"CUIT NO CARGADO")</f>
        <v>CASTILLO JUAN RAMON</v>
      </c>
      <c r="I280" s="124">
        <v>2000000</v>
      </c>
      <c r="J280" s="125" t="str">
        <f>IFERROR(IF(factura_c_mes10[[#This Row],[CUIT]]="","-",VLOOKUP(factura_c_mes10[[#This Row],[CUIT]],Lista_CUIT[#All],3,0)),"CUIT NO CARGADO")</f>
        <v>Honorarios Profesionales</v>
      </c>
      <c r="K280" s="125">
        <f>IFERROR(IF(factura_c_mes10[[#This Row],[CUIT]]="","-",VLOOKUP(factura_c_mes10[[#This Row],[CUIT]],Lista_CUIT[#All],4,0)),"CUIT NO CARGADO")</f>
        <v>0</v>
      </c>
    </row>
    <row r="281" spans="4:11" x14ac:dyDescent="0.25">
      <c r="D281" s="50">
        <v>45960</v>
      </c>
      <c r="E281" s="42">
        <v>2</v>
      </c>
      <c r="F281" s="43">
        <v>820</v>
      </c>
      <c r="G281" s="44">
        <v>27218690160</v>
      </c>
      <c r="H281" s="53" t="str">
        <f>IFERROR(IF(factura_c_mes10[[#This Row],[CUIT]]="","-",VLOOKUP(factura_c_mes10[[#This Row],[CUIT]],Lista_CUIT[#All],2,0)),"CUIT NO CARGADO")</f>
        <v>RAMIREZ LAURA VERONICA</v>
      </c>
      <c r="I281" s="81">
        <v>37500</v>
      </c>
      <c r="J281" s="54" t="str">
        <f>IFERROR(IF(factura_c_mes10[[#This Row],[CUIT]]="","-",VLOOKUP(factura_c_mes10[[#This Row],[CUIT]],Lista_CUIT[#All],3,0)),"CUIT NO CARGADO")</f>
        <v>Honorarios Profesionales</v>
      </c>
      <c r="K281" s="54">
        <f>IFERROR(IF(factura_c_mes10[[#This Row],[CUIT]]="","-",VLOOKUP(factura_c_mes10[[#This Row],[CUIT]],Lista_CUIT[#All],4,0)),"CUIT NO CARGADO")</f>
        <v>0</v>
      </c>
    </row>
    <row r="282" spans="4:11" x14ac:dyDescent="0.25">
      <c r="D282" s="50">
        <v>45960</v>
      </c>
      <c r="E282" s="42">
        <v>2</v>
      </c>
      <c r="F282" s="43">
        <v>821</v>
      </c>
      <c r="G282" s="44">
        <v>27218690160</v>
      </c>
      <c r="H282" s="53" t="str">
        <f>IFERROR(IF(factura_c_mes10[[#This Row],[CUIT]]="","-",VLOOKUP(factura_c_mes10[[#This Row],[CUIT]],Lista_CUIT[#All],2,0)),"CUIT NO CARGADO")</f>
        <v>RAMIREZ LAURA VERONICA</v>
      </c>
      <c r="I282" s="81">
        <v>37500</v>
      </c>
      <c r="J282" s="54" t="str">
        <f>IFERROR(IF(factura_c_mes10[[#This Row],[CUIT]]="","-",VLOOKUP(factura_c_mes10[[#This Row],[CUIT]],Lista_CUIT[#All],3,0)),"CUIT NO CARGADO")</f>
        <v>Honorarios Profesionales</v>
      </c>
      <c r="K282" s="54">
        <f>IFERROR(IF(factura_c_mes10[[#This Row],[CUIT]]="","-",VLOOKUP(factura_c_mes10[[#This Row],[CUIT]],Lista_CUIT[#All],4,0)),"CUIT NO CARGADO")</f>
        <v>0</v>
      </c>
    </row>
    <row r="283" spans="4:11" x14ac:dyDescent="0.25">
      <c r="D283" s="50">
        <v>45961</v>
      </c>
      <c r="E283" s="42">
        <v>2</v>
      </c>
      <c r="F283" s="43">
        <v>1914</v>
      </c>
      <c r="G283" s="44">
        <v>20126445432</v>
      </c>
      <c r="H283" s="123" t="str">
        <f>IFERROR(IF(factura_c_mes10[[#This Row],[CUIT]]="","-",VLOOKUP(factura_c_mes10[[#This Row],[CUIT]],Lista_CUIT[#All],2,0)),"CUIT NO CARGADO")</f>
        <v>SCARSI OSCAR ALFREDO</v>
      </c>
      <c r="I283" s="124">
        <v>600000</v>
      </c>
      <c r="J283" s="125" t="str">
        <f>IFERROR(IF(factura_c_mes10[[#This Row],[CUIT]]="","-",VLOOKUP(factura_c_mes10[[#This Row],[CUIT]],Lista_CUIT[#All],3,0)),"CUIT NO CARGADO")</f>
        <v>Insumos</v>
      </c>
      <c r="K283" s="125">
        <f>IFERROR(IF(factura_c_mes10[[#This Row],[CUIT]]="","-",VLOOKUP(factura_c_mes10[[#This Row],[CUIT]],Lista_CUIT[#All],4,0)),"CUIT NO CARGADO")</f>
        <v>0</v>
      </c>
    </row>
    <row r="284" spans="4:11" x14ac:dyDescent="0.25">
      <c r="D284" s="50">
        <v>45961</v>
      </c>
      <c r="E284" s="42">
        <v>2</v>
      </c>
      <c r="F284" s="43">
        <v>1915</v>
      </c>
      <c r="G284" s="44">
        <v>20126445432</v>
      </c>
      <c r="H284" s="123" t="str">
        <f>IFERROR(IF(factura_c_mes10[[#This Row],[CUIT]]="","-",VLOOKUP(factura_c_mes10[[#This Row],[CUIT]],Lista_CUIT[#All],2,0)),"CUIT NO CARGADO")</f>
        <v>SCARSI OSCAR ALFREDO</v>
      </c>
      <c r="I284" s="124">
        <v>100000</v>
      </c>
      <c r="J284" s="125" t="str">
        <f>IFERROR(IF(factura_c_mes10[[#This Row],[CUIT]]="","-",VLOOKUP(factura_c_mes10[[#This Row],[CUIT]],Lista_CUIT[#All],3,0)),"CUIT NO CARGADO")</f>
        <v>Insumos</v>
      </c>
      <c r="K284" s="125">
        <f>IFERROR(IF(factura_c_mes10[[#This Row],[CUIT]]="","-",VLOOKUP(factura_c_mes10[[#This Row],[CUIT]],Lista_CUIT[#All],4,0)),"CUIT NO CARGADO")</f>
        <v>0</v>
      </c>
    </row>
    <row r="285" spans="4:11" x14ac:dyDescent="0.25">
      <c r="D285" s="50">
        <v>45961</v>
      </c>
      <c r="E285" s="42">
        <v>2</v>
      </c>
      <c r="F285" s="43">
        <v>1916</v>
      </c>
      <c r="G285" s="44">
        <v>20126445432</v>
      </c>
      <c r="H285" s="123" t="str">
        <f>IFERROR(IF(factura_c_mes10[[#This Row],[CUIT]]="","-",VLOOKUP(factura_c_mes10[[#This Row],[CUIT]],Lista_CUIT[#All],2,0)),"CUIT NO CARGADO")</f>
        <v>SCARSI OSCAR ALFREDO</v>
      </c>
      <c r="I285" s="124">
        <v>200000</v>
      </c>
      <c r="J285" s="125" t="str">
        <f>IFERROR(IF(factura_c_mes10[[#This Row],[CUIT]]="","-",VLOOKUP(factura_c_mes10[[#This Row],[CUIT]],Lista_CUIT[#All],3,0)),"CUIT NO CARGADO")</f>
        <v>Insumos</v>
      </c>
      <c r="K285" s="125">
        <f>IFERROR(IF(factura_c_mes10[[#This Row],[CUIT]]="","-",VLOOKUP(factura_c_mes10[[#This Row],[CUIT]],Lista_CUIT[#All],4,0)),"CUIT NO CARGADO")</f>
        <v>0</v>
      </c>
    </row>
    <row r="286" spans="4:11" ht="22.5" customHeight="1" x14ac:dyDescent="0.25">
      <c r="D286" s="50">
        <v>45943</v>
      </c>
      <c r="E286" s="42">
        <v>1</v>
      </c>
      <c r="F286" s="43">
        <v>139</v>
      </c>
      <c r="G286" s="44">
        <v>20299505430</v>
      </c>
      <c r="H286" s="123" t="str">
        <f>IFERROR(IF(factura_c_mes10[[#This Row],[CUIT]]="","-",VLOOKUP(factura_c_mes10[[#This Row],[CUIT]],Lista_CUIT[#All],2,0)),"CUIT NO CARGADO")</f>
        <v>PRADO EMILIANO HERNAN</v>
      </c>
      <c r="I286" s="124">
        <v>326782</v>
      </c>
      <c r="J286" s="125" t="str">
        <f>IFERROR(IF(factura_c_mes10[[#This Row],[CUIT]]="","-",VLOOKUP(factura_c_mes10[[#This Row],[CUIT]],Lista_CUIT[#All],3,0)),"CUIT NO CARGADO")</f>
        <v>Material de Empaque</v>
      </c>
      <c r="K286" s="125">
        <f>IFERROR(IF(factura_c_mes10[[#This Row],[CUIT]]="","-",VLOOKUP(factura_c_mes10[[#This Row],[CUIT]],Lista_CUIT[#All],4,0)),"CUIT NO CARGADO")</f>
        <v>0</v>
      </c>
    </row>
    <row r="287" spans="4:11" x14ac:dyDescent="0.25">
      <c r="D287" s="50">
        <v>45943</v>
      </c>
      <c r="E287" s="42">
        <v>1</v>
      </c>
      <c r="F287" s="43">
        <v>140</v>
      </c>
      <c r="G287" s="44">
        <v>20299505430</v>
      </c>
      <c r="H287" s="123" t="str">
        <f>IFERROR(IF(factura_c_mes10[[#This Row],[CUIT]]="","-",VLOOKUP(factura_c_mes10[[#This Row],[CUIT]],Lista_CUIT[#All],2,0)),"CUIT NO CARGADO")</f>
        <v>PRADO EMILIANO HERNAN</v>
      </c>
      <c r="I287" s="124">
        <v>119880</v>
      </c>
      <c r="J287" s="125" t="str">
        <f>IFERROR(IF(factura_c_mes10[[#This Row],[CUIT]]="","-",VLOOKUP(factura_c_mes10[[#This Row],[CUIT]],Lista_CUIT[#All],3,0)),"CUIT NO CARGADO")</f>
        <v>Material de Empaque</v>
      </c>
      <c r="K287" s="125">
        <f>IFERROR(IF(factura_c_mes10[[#This Row],[CUIT]]="","-",VLOOKUP(factura_c_mes10[[#This Row],[CUIT]],Lista_CUIT[#All],4,0)),"CUIT NO CARGADO")</f>
        <v>0</v>
      </c>
    </row>
    <row r="288" spans="4:11" x14ac:dyDescent="0.25">
      <c r="D288" s="50">
        <v>45946</v>
      </c>
      <c r="E288" s="42">
        <v>1</v>
      </c>
      <c r="F288" s="43">
        <v>141</v>
      </c>
      <c r="G288" s="44">
        <v>20299505430</v>
      </c>
      <c r="H288" s="123" t="str">
        <f>IFERROR(IF(factura_c_mes10[[#This Row],[CUIT]]="","-",VLOOKUP(factura_c_mes10[[#This Row],[CUIT]],Lista_CUIT[#All],2,0)),"CUIT NO CARGADO")</f>
        <v>PRADO EMILIANO HERNAN</v>
      </c>
      <c r="I288" s="124">
        <v>1402460</v>
      </c>
      <c r="J288" s="125" t="str">
        <f>IFERROR(IF(factura_c_mes10[[#This Row],[CUIT]]="","-",VLOOKUP(factura_c_mes10[[#This Row],[CUIT]],Lista_CUIT[#All],3,0)),"CUIT NO CARGADO")</f>
        <v>Material de Empaque</v>
      </c>
      <c r="K288" s="125">
        <f>IFERROR(IF(factura_c_mes10[[#This Row],[CUIT]]="","-",VLOOKUP(factura_c_mes10[[#This Row],[CUIT]],Lista_CUIT[#All],4,0)),"CUIT NO CARGADO")</f>
        <v>0</v>
      </c>
    </row>
    <row r="289" spans="2:18" x14ac:dyDescent="0.25">
      <c r="D289" s="55" t="s">
        <v>103</v>
      </c>
      <c r="E289" s="55"/>
      <c r="F289" s="55"/>
      <c r="G289" s="55"/>
      <c r="H289" s="57"/>
      <c r="I289" s="58">
        <f>SUBTOTAL(109,factura_c_mes10[TOTAL])</f>
        <v>17327683.030000001</v>
      </c>
      <c r="J289" s="55"/>
      <c r="K289" s="55"/>
    </row>
    <row r="290" spans="2:18" x14ac:dyDescent="0.25">
      <c r="B290" s="56"/>
      <c r="C290" s="56"/>
      <c r="L290" s="56"/>
      <c r="M290" s="56"/>
      <c r="N290" s="56"/>
      <c r="O290" s="56"/>
      <c r="P290" s="56"/>
      <c r="Q290" s="56"/>
      <c r="R290" s="56"/>
    </row>
    <row r="295" spans="2:18" ht="26.25" x14ac:dyDescent="0.25">
      <c r="B295" s="592" t="s">
        <v>29</v>
      </c>
      <c r="C295" s="592"/>
      <c r="D295" s="592"/>
      <c r="E295" s="592"/>
      <c r="F295" s="592"/>
      <c r="G295" s="592"/>
      <c r="H295" s="592"/>
      <c r="I295" s="592"/>
      <c r="J295" s="592"/>
      <c r="K295" s="593">
        <f>N1</f>
        <v>45931</v>
      </c>
      <c r="L295" s="593"/>
      <c r="M295" s="593"/>
    </row>
    <row r="297" spans="2:18" ht="21" x14ac:dyDescent="0.25">
      <c r="B297" s="594" t="s">
        <v>30</v>
      </c>
      <c r="C297" s="594"/>
    </row>
    <row r="298" spans="2:18" ht="15.75" x14ac:dyDescent="0.25">
      <c r="B298" s="60" t="s">
        <v>0</v>
      </c>
      <c r="C298" s="61" t="s">
        <v>1</v>
      </c>
      <c r="D298" s="61" t="s">
        <v>21</v>
      </c>
      <c r="E298" s="61" t="s">
        <v>22</v>
      </c>
      <c r="F298" s="61" t="s">
        <v>3</v>
      </c>
      <c r="G298" s="61" t="s">
        <v>4</v>
      </c>
      <c r="H298" s="61" t="s">
        <v>23</v>
      </c>
      <c r="I298" s="61" t="s">
        <v>17</v>
      </c>
      <c r="J298" s="61" t="s">
        <v>7</v>
      </c>
      <c r="K298" s="61" t="s">
        <v>24</v>
      </c>
      <c r="L298" s="61" t="s">
        <v>10</v>
      </c>
      <c r="M298" s="62" t="s">
        <v>38</v>
      </c>
    </row>
    <row r="299" spans="2:18" x14ac:dyDescent="0.25">
      <c r="B299" s="40"/>
      <c r="C299" s="41"/>
      <c r="D299" s="42"/>
      <c r="E299" s="43"/>
      <c r="F299" s="44"/>
      <c r="G299" s="98" t="str">
        <f>IFERROR(IF(venta_a_mes10[[#This Row],[CUIT]]="","-",VLOOKUP(venta_a_mes10[[#This Row],[CUIT]],Lista_CUIT[#All],2,0)),"CUIT NO CARGADO")</f>
        <v>-</v>
      </c>
      <c r="H299" s="99"/>
      <c r="I299" s="100">
        <f>venta_a_mes10[[#This Row],[IMPORTE NETO]]*0.21</f>
        <v>0</v>
      </c>
      <c r="J299" s="65"/>
      <c r="K299" s="65"/>
      <c r="L299" s="65">
        <f>SUM(venta_a_mes10[[#This Row],[IMPORTE NETO]:[EXENTO]])</f>
        <v>0</v>
      </c>
      <c r="M299" s="59"/>
    </row>
    <row r="300" spans="2:18" x14ac:dyDescent="0.25">
      <c r="B300" s="40"/>
      <c r="C300" s="41"/>
      <c r="D300" s="42"/>
      <c r="E300" s="43"/>
      <c r="F300" s="44"/>
      <c r="G300" s="98" t="str">
        <f>IFERROR(IF(venta_a_mes10[[#This Row],[CUIT]]="","-",VLOOKUP(venta_a_mes10[[#This Row],[CUIT]],Lista_CUIT[#All],2,0)),"CUIT NO CARGADO")</f>
        <v>-</v>
      </c>
      <c r="H300" s="99"/>
      <c r="I300" s="100">
        <f>venta_a_mes10[[#This Row],[IMPORTE NETO]]*0.21</f>
        <v>0</v>
      </c>
      <c r="J300" s="65"/>
      <c r="K300" s="65"/>
      <c r="L300" s="65">
        <f>SUM(venta_a_mes10[[#This Row],[IMPORTE NETO]:[EXENTO]])</f>
        <v>0</v>
      </c>
      <c r="M300" s="59"/>
    </row>
    <row r="301" spans="2:18" x14ac:dyDescent="0.25">
      <c r="B301" s="40"/>
      <c r="C301" s="41"/>
      <c r="D301" s="42"/>
      <c r="E301" s="43"/>
      <c r="F301" s="44"/>
      <c r="G301" s="98" t="str">
        <f>IFERROR(IF(venta_a_mes10[[#This Row],[CUIT]]="","-",VLOOKUP(venta_a_mes10[[#This Row],[CUIT]],Lista_CUIT[#All],2,0)),"CUIT NO CARGADO")</f>
        <v>-</v>
      </c>
      <c r="H301" s="99"/>
      <c r="I301" s="100">
        <f>venta_a_mes10[[#This Row],[IMPORTE NETO]]*0.21</f>
        <v>0</v>
      </c>
      <c r="J301" s="65"/>
      <c r="K301" s="65"/>
      <c r="L301" s="65">
        <f>SUM(venta_a_mes10[[#This Row],[IMPORTE NETO]:[EXENTO]])</f>
        <v>0</v>
      </c>
      <c r="M301" s="59"/>
    </row>
    <row r="302" spans="2:18" x14ac:dyDescent="0.25">
      <c r="B302" s="40"/>
      <c r="C302" s="41"/>
      <c r="D302" s="42"/>
      <c r="E302" s="43"/>
      <c r="F302" s="44"/>
      <c r="G302" s="98" t="str">
        <f>IFERROR(IF(venta_a_mes10[[#This Row],[CUIT]]="","-",VLOOKUP(venta_a_mes10[[#This Row],[CUIT]],Lista_CUIT[#All],2,0)),"CUIT NO CARGADO")</f>
        <v>-</v>
      </c>
      <c r="H302" s="99"/>
      <c r="I302" s="100">
        <f>venta_a_mes10[[#This Row],[IMPORTE NETO]]*0.21</f>
        <v>0</v>
      </c>
      <c r="J302" s="65"/>
      <c r="K302" s="65"/>
      <c r="L302" s="65">
        <f>SUM(venta_a_mes10[[#This Row],[IMPORTE NETO]:[EXENTO]])</f>
        <v>0</v>
      </c>
      <c r="M302" s="59"/>
    </row>
    <row r="303" spans="2:18" x14ac:dyDescent="0.25">
      <c r="B303" s="40"/>
      <c r="C303" s="41"/>
      <c r="D303" s="42"/>
      <c r="E303" s="43"/>
      <c r="F303" s="44"/>
      <c r="G303" s="98" t="str">
        <f>IFERROR(IF(venta_a_mes10[[#This Row],[CUIT]]="","-",VLOOKUP(venta_a_mes10[[#This Row],[CUIT]],Lista_CUIT[#All],2,0)),"CUIT NO CARGADO")</f>
        <v>-</v>
      </c>
      <c r="H303" s="99"/>
      <c r="I303" s="100">
        <f>venta_a_mes10[[#This Row],[IMPORTE NETO]]*0.21</f>
        <v>0</v>
      </c>
      <c r="J303" s="65"/>
      <c r="K303" s="65"/>
      <c r="L303" s="65">
        <f>SUM(venta_a_mes10[[#This Row],[IMPORTE NETO]:[EXENTO]])</f>
        <v>0</v>
      </c>
      <c r="M303" s="59"/>
    </row>
    <row r="304" spans="2:18" x14ac:dyDescent="0.25">
      <c r="B304" s="40"/>
      <c r="C304" s="41"/>
      <c r="D304" s="42"/>
      <c r="E304" s="43"/>
      <c r="F304" s="44"/>
      <c r="G304" s="98" t="str">
        <f>IFERROR(IF(venta_a_mes10[[#This Row],[CUIT]]="","-",VLOOKUP(venta_a_mes10[[#This Row],[CUIT]],Lista_CUIT[#All],2,0)),"CUIT NO CARGADO")</f>
        <v>-</v>
      </c>
      <c r="H304" s="99"/>
      <c r="I304" s="100">
        <f>venta_a_mes10[[#This Row],[IMPORTE NETO]]*0.21</f>
        <v>0</v>
      </c>
      <c r="J304" s="65"/>
      <c r="K304" s="65"/>
      <c r="L304" s="65">
        <f>SUM(venta_a_mes10[[#This Row],[IMPORTE NETO]:[EXENTO]])</f>
        <v>0</v>
      </c>
      <c r="M304" s="59"/>
    </row>
    <row r="305" spans="2:13" x14ac:dyDescent="0.25">
      <c r="B305" s="40"/>
      <c r="C305" s="41"/>
      <c r="D305" s="42"/>
      <c r="E305" s="43"/>
      <c r="F305" s="44"/>
      <c r="G305" s="98" t="str">
        <f>IFERROR(IF(venta_a_mes10[[#This Row],[CUIT]]="","-",VLOOKUP(venta_a_mes10[[#This Row],[CUIT]],Lista_CUIT[#All],2,0)),"CUIT NO CARGADO")</f>
        <v>-</v>
      </c>
      <c r="H305" s="99"/>
      <c r="I305" s="100">
        <f>venta_a_mes10[[#This Row],[IMPORTE NETO]]*0.21</f>
        <v>0</v>
      </c>
      <c r="J305" s="65"/>
      <c r="K305" s="65"/>
      <c r="L305" s="65">
        <f>SUM(venta_a_mes10[[#This Row],[IMPORTE NETO]:[EXENTO]])</f>
        <v>0</v>
      </c>
      <c r="M305" s="63"/>
    </row>
    <row r="306" spans="2:13" x14ac:dyDescent="0.25">
      <c r="B306" s="101"/>
      <c r="C306" s="102"/>
      <c r="D306" s="103"/>
      <c r="E306" s="104"/>
      <c r="F306" s="105"/>
      <c r="G306" s="98" t="str">
        <f>IFERROR(IF(venta_a_mes10[[#This Row],[CUIT]]="","-",VLOOKUP(venta_a_mes10[[#This Row],[CUIT]],Lista_CUIT[#All],2,0)),"CUIT NO CARGADO")</f>
        <v>-</v>
      </c>
      <c r="H306" s="106"/>
      <c r="I306" s="107">
        <f>venta_a_mes10[[#This Row],[IMPORTE NETO]]*0.21</f>
        <v>0</v>
      </c>
      <c r="J306" s="72"/>
      <c r="K306" s="72"/>
      <c r="L306" s="72">
        <f>SUM(venta_a_mes10[[#This Row],[IMPORTE NETO]:[EXENTO]])</f>
        <v>0</v>
      </c>
      <c r="M306" s="63"/>
    </row>
    <row r="307" spans="2:13" x14ac:dyDescent="0.25">
      <c r="B307" s="108"/>
      <c r="C307" s="109"/>
      <c r="D307" s="110"/>
      <c r="E307" s="111"/>
      <c r="F307" s="112"/>
      <c r="G307" s="98" t="str">
        <f>IFERROR(IF(venta_a_mes10[[#This Row],[CUIT]]="","-",VLOOKUP(venta_a_mes10[[#This Row],[CUIT]],Lista_CUIT[#All],2,0)),"CUIT NO CARGADO")</f>
        <v>-</v>
      </c>
      <c r="H307" s="99"/>
      <c r="I307" s="100">
        <f>venta_a_mes10[[#This Row],[IMPORTE NETO]]*0.21</f>
        <v>0</v>
      </c>
      <c r="J307" s="65"/>
      <c r="K307" s="65"/>
      <c r="L307" s="65">
        <f>SUM(venta_a_mes10[[#This Row],[IMPORTE NETO]:[EXENTO]])</f>
        <v>0</v>
      </c>
      <c r="M307" s="59"/>
    </row>
    <row r="308" spans="2:13" x14ac:dyDescent="0.25">
      <c r="B308" s="66" t="s">
        <v>103</v>
      </c>
      <c r="C308" s="67"/>
      <c r="D308" s="67"/>
      <c r="E308" s="67"/>
      <c r="F308" s="67"/>
      <c r="G308" s="67"/>
      <c r="H308" s="69">
        <f>SUBTOTAL(109,venta_a_mes10[IMPORTE NETO])</f>
        <v>0</v>
      </c>
      <c r="I308" s="70">
        <f>SUBTOTAL(109,venta_a_mes10[IVA 21%])</f>
        <v>0</v>
      </c>
      <c r="J308" s="71">
        <f>SUBTOTAL(109,venta_a_mes10[IVA 10,5%])</f>
        <v>0</v>
      </c>
      <c r="K308" s="71">
        <f>SUBTOTAL(109,venta_a_mes10[EXENTO])</f>
        <v>0</v>
      </c>
      <c r="L308" s="71">
        <f>SUBTOTAL(109,venta_a_mes10[TOTAL])</f>
        <v>0</v>
      </c>
      <c r="M308" s="68">
        <f>SUBTOTAL(103,venta_a_mes10[Provincia])</f>
        <v>0</v>
      </c>
    </row>
    <row r="311" spans="2:13" ht="21" x14ac:dyDescent="0.25">
      <c r="B311" s="594" t="s">
        <v>1991</v>
      </c>
      <c r="C311" s="594"/>
      <c r="G311" t="s">
        <v>1993</v>
      </c>
    </row>
    <row r="312" spans="2:13" ht="15.75" x14ac:dyDescent="0.25">
      <c r="B312" s="60" t="s">
        <v>0</v>
      </c>
      <c r="C312" s="61" t="s">
        <v>1</v>
      </c>
      <c r="D312" s="61" t="s">
        <v>21</v>
      </c>
      <c r="E312" s="61" t="s">
        <v>22</v>
      </c>
      <c r="F312" s="61" t="s">
        <v>3</v>
      </c>
      <c r="G312" s="61" t="s">
        <v>4</v>
      </c>
      <c r="H312" s="61" t="s">
        <v>23</v>
      </c>
      <c r="I312" s="61" t="s">
        <v>17</v>
      </c>
      <c r="J312" s="61" t="s">
        <v>7</v>
      </c>
      <c r="K312" s="61" t="s">
        <v>24</v>
      </c>
      <c r="L312" s="61" t="s">
        <v>10</v>
      </c>
      <c r="M312" s="62" t="s">
        <v>38</v>
      </c>
    </row>
    <row r="313" spans="2:13" x14ac:dyDescent="0.25">
      <c r="B313" s="40"/>
      <c r="C313" s="41"/>
      <c r="D313" s="42"/>
      <c r="E313" s="43"/>
      <c r="F313" s="44"/>
      <c r="G313" s="1" t="str">
        <f>IFERROR(IF(ventas_b_mes10[[#This Row],[CUIT]]="","-",VLOOKUP(ventas_b_mes10[[#This Row],[CUIT]],Lista_CUIT[#All],2,0)),"CUIT NO CARGADO")</f>
        <v>-</v>
      </c>
      <c r="H313" s="64"/>
      <c r="I313" s="64"/>
      <c r="J313" s="64"/>
      <c r="K313" s="64"/>
      <c r="L313" s="64"/>
      <c r="M313" s="59"/>
    </row>
    <row r="314" spans="2:13" x14ac:dyDescent="0.25">
      <c r="B314" s="40"/>
      <c r="C314" s="41"/>
      <c r="D314" s="42"/>
      <c r="E314" s="43"/>
      <c r="F314" s="44"/>
      <c r="G314" s="1" t="str">
        <f>IFERROR(IF(ventas_b_mes10[[#This Row],[CUIT]]="","-",VLOOKUP(ventas_b_mes10[[#This Row],[CUIT]],Lista_CUIT[#All],2,0)),"CUIT NO CARGADO")</f>
        <v>-</v>
      </c>
      <c r="H314" s="64"/>
      <c r="I314" s="64"/>
      <c r="J314" s="64"/>
      <c r="K314" s="64"/>
      <c r="L314" s="64"/>
      <c r="M314" s="59"/>
    </row>
    <row r="315" spans="2:13" x14ac:dyDescent="0.25">
      <c r="B315" s="240"/>
      <c r="C315" s="241"/>
      <c r="D315" s="242"/>
      <c r="E315" s="243"/>
      <c r="F315" s="44"/>
      <c r="G315" s="245" t="str">
        <f>IFERROR(IF(ventas_b_mes10[[#This Row],[CUIT]]="","-",VLOOKUP(ventas_b_mes10[[#This Row],[CUIT]],Lista_CUIT[#All],2,0)),"CUIT NO CARGADO")</f>
        <v>-</v>
      </c>
      <c r="H315" s="246"/>
      <c r="I315" s="247"/>
      <c r="J315" s="248"/>
      <c r="K315" s="248"/>
      <c r="L315" s="248"/>
      <c r="M315" s="249"/>
    </row>
    <row r="316" spans="2:13" x14ac:dyDescent="0.25">
      <c r="B316" s="240"/>
      <c r="C316" s="241"/>
      <c r="D316" s="242"/>
      <c r="E316" s="243"/>
      <c r="F316" s="44"/>
      <c r="G316" s="245" t="str">
        <f>IFERROR(IF(ventas_b_mes10[[#This Row],[CUIT]]="","-",VLOOKUP(ventas_b_mes10[[#This Row],[CUIT]],Lista_CUIT[#All],2,0)),"CUIT NO CARGADO")</f>
        <v>-</v>
      </c>
      <c r="H316" s="246"/>
      <c r="I316" s="247"/>
      <c r="J316" s="248"/>
      <c r="K316" s="248"/>
      <c r="L316" s="248"/>
      <c r="M316" s="249"/>
    </row>
    <row r="317" spans="2:13" x14ac:dyDescent="0.25">
      <c r="B317" s="240"/>
      <c r="C317" s="241"/>
      <c r="D317" s="242"/>
      <c r="E317" s="243"/>
      <c r="F317" s="44"/>
      <c r="G317" s="245" t="str">
        <f>IFERROR(IF(ventas_b_mes10[[#This Row],[CUIT]]="","-",VLOOKUP(ventas_b_mes10[[#This Row],[CUIT]],Lista_CUIT[#All],2,0)),"CUIT NO CARGADO")</f>
        <v>-</v>
      </c>
      <c r="H317" s="246"/>
      <c r="I317" s="247"/>
      <c r="J317" s="248"/>
      <c r="K317" s="248"/>
      <c r="L317" s="248"/>
      <c r="M317" s="249"/>
    </row>
    <row r="318" spans="2:13" x14ac:dyDescent="0.25">
      <c r="B318" s="260"/>
      <c r="C318" s="261"/>
      <c r="D318" s="262"/>
      <c r="E318" s="263"/>
      <c r="F318" s="264"/>
      <c r="G318" s="265" t="s">
        <v>1992</v>
      </c>
      <c r="H318" s="266"/>
      <c r="I318" s="247"/>
      <c r="J318" s="248"/>
      <c r="K318" s="248"/>
      <c r="L318" s="248"/>
      <c r="M318" s="249"/>
    </row>
    <row r="319" spans="2:13" x14ac:dyDescent="0.25">
      <c r="B319" s="260"/>
      <c r="C319" s="261"/>
      <c r="D319" s="262"/>
      <c r="E319" s="263"/>
      <c r="F319" s="264"/>
      <c r="G319" s="265" t="s">
        <v>1992</v>
      </c>
      <c r="H319" s="266"/>
      <c r="I319" s="247"/>
      <c r="J319" s="248"/>
      <c r="K319" s="248"/>
      <c r="L319" s="248"/>
      <c r="M319" s="249"/>
    </row>
    <row r="320" spans="2:13" x14ac:dyDescent="0.25">
      <c r="B320" s="260"/>
      <c r="C320" s="261"/>
      <c r="D320" s="262"/>
      <c r="E320" s="263"/>
      <c r="F320" s="264"/>
      <c r="G320" s="265" t="s">
        <v>1992</v>
      </c>
      <c r="H320" s="266"/>
      <c r="I320" s="247"/>
      <c r="J320" s="248"/>
      <c r="K320" s="248"/>
      <c r="L320" s="248"/>
      <c r="M320" s="249"/>
    </row>
    <row r="321" spans="2:13" x14ac:dyDescent="0.25">
      <c r="B321" s="260"/>
      <c r="C321" s="261"/>
      <c r="D321" s="262"/>
      <c r="E321" s="263"/>
      <c r="F321" s="264"/>
      <c r="G321" s="265" t="s">
        <v>1992</v>
      </c>
      <c r="H321" s="266"/>
      <c r="I321" s="247"/>
      <c r="J321" s="248"/>
      <c r="K321" s="248"/>
      <c r="L321" s="248"/>
      <c r="M321" s="249"/>
    </row>
    <row r="322" spans="2:13" x14ac:dyDescent="0.25">
      <c r="B322" s="260"/>
      <c r="C322" s="261"/>
      <c r="D322" s="262"/>
      <c r="E322" s="263"/>
      <c r="F322" s="264"/>
      <c r="G322" s="265" t="s">
        <v>1992</v>
      </c>
      <c r="H322" s="266"/>
      <c r="I322" s="247"/>
      <c r="J322" s="248"/>
      <c r="K322" s="248"/>
      <c r="L322" s="248"/>
      <c r="M322" s="249"/>
    </row>
    <row r="323" spans="2:13" x14ac:dyDescent="0.25">
      <c r="B323" s="260"/>
      <c r="C323" s="261"/>
      <c r="D323" s="262"/>
      <c r="E323" s="263"/>
      <c r="F323" s="264"/>
      <c r="G323" s="265" t="s">
        <v>1992</v>
      </c>
      <c r="H323" s="266"/>
      <c r="I323" s="247"/>
      <c r="J323" s="248"/>
      <c r="K323" s="248"/>
      <c r="L323" s="248"/>
      <c r="M323" s="249"/>
    </row>
    <row r="324" spans="2:13" x14ac:dyDescent="0.25">
      <c r="B324" s="260"/>
      <c r="C324" s="261"/>
      <c r="D324" s="262"/>
      <c r="E324" s="263"/>
      <c r="F324" s="264"/>
      <c r="G324" s="265" t="s">
        <v>1992</v>
      </c>
      <c r="H324" s="266"/>
      <c r="I324" s="247"/>
      <c r="J324" s="248"/>
      <c r="K324" s="248"/>
      <c r="L324" s="248"/>
      <c r="M324" s="249"/>
    </row>
    <row r="325" spans="2:13" x14ac:dyDescent="0.25">
      <c r="B325" s="260"/>
      <c r="C325" s="261"/>
      <c r="D325" s="262"/>
      <c r="E325" s="263"/>
      <c r="F325" s="264"/>
      <c r="G325" s="265" t="s">
        <v>1992</v>
      </c>
      <c r="H325" s="266"/>
      <c r="I325" s="247"/>
      <c r="J325" s="248"/>
      <c r="K325" s="248"/>
      <c r="L325" s="248"/>
      <c r="M325" s="249"/>
    </row>
    <row r="326" spans="2:13" x14ac:dyDescent="0.25">
      <c r="B326" s="260"/>
      <c r="C326" s="261"/>
      <c r="D326" s="262"/>
      <c r="E326" s="263"/>
      <c r="F326" s="264"/>
      <c r="G326" s="265" t="s">
        <v>1992</v>
      </c>
      <c r="H326" s="266"/>
      <c r="I326" s="247"/>
      <c r="J326" s="248"/>
      <c r="K326" s="248"/>
      <c r="L326" s="248"/>
      <c r="M326" s="249"/>
    </row>
    <row r="327" spans="2:13" x14ac:dyDescent="0.25">
      <c r="B327" s="260"/>
      <c r="C327" s="261"/>
      <c r="D327" s="262"/>
      <c r="E327" s="263"/>
      <c r="F327" s="264"/>
      <c r="G327" s="265" t="s">
        <v>1992</v>
      </c>
      <c r="H327" s="266"/>
      <c r="I327" s="247"/>
      <c r="J327" s="248"/>
      <c r="K327" s="248"/>
      <c r="L327" s="248"/>
      <c r="M327" s="249"/>
    </row>
    <row r="328" spans="2:13" x14ac:dyDescent="0.25">
      <c r="B328" s="260"/>
      <c r="C328" s="261"/>
      <c r="D328" s="262"/>
      <c r="E328" s="263"/>
      <c r="F328" s="264"/>
      <c r="G328" s="265" t="s">
        <v>1992</v>
      </c>
      <c r="H328" s="266"/>
      <c r="I328" s="247"/>
      <c r="J328" s="248"/>
      <c r="K328" s="248"/>
      <c r="L328" s="248"/>
      <c r="M328" s="249"/>
    </row>
    <row r="329" spans="2:13" x14ac:dyDescent="0.25">
      <c r="B329" s="260"/>
      <c r="C329" s="261"/>
      <c r="D329" s="262"/>
      <c r="E329" s="263"/>
      <c r="F329" s="264"/>
      <c r="G329" s="265" t="s">
        <v>1992</v>
      </c>
      <c r="H329" s="266"/>
      <c r="I329" s="247"/>
      <c r="J329" s="248"/>
      <c r="K329" s="248"/>
      <c r="L329" s="248"/>
      <c r="M329" s="249"/>
    </row>
    <row r="330" spans="2:13" x14ac:dyDescent="0.25">
      <c r="B330" s="260"/>
      <c r="C330" s="261"/>
      <c r="D330" s="262"/>
      <c r="E330" s="263"/>
      <c r="F330" s="264"/>
      <c r="G330" s="265" t="s">
        <v>1992</v>
      </c>
      <c r="H330" s="266"/>
      <c r="I330" s="247"/>
      <c r="J330" s="248"/>
      <c r="K330" s="248"/>
      <c r="L330" s="248"/>
      <c r="M330" s="249"/>
    </row>
    <row r="331" spans="2:13" x14ac:dyDescent="0.25">
      <c r="B331" s="260"/>
      <c r="C331" s="261"/>
      <c r="D331" s="262"/>
      <c r="E331" s="263"/>
      <c r="F331" s="264"/>
      <c r="G331" s="265" t="s">
        <v>1992</v>
      </c>
      <c r="H331" s="266"/>
      <c r="I331" s="247"/>
      <c r="J331" s="248"/>
      <c r="K331" s="248"/>
      <c r="L331" s="248"/>
      <c r="M331" s="249"/>
    </row>
    <row r="332" spans="2:13" x14ac:dyDescent="0.25">
      <c r="B332" s="260"/>
      <c r="C332" s="261"/>
      <c r="D332" s="262"/>
      <c r="E332" s="263"/>
      <c r="F332" s="264"/>
      <c r="G332" s="265" t="s">
        <v>1992</v>
      </c>
      <c r="H332" s="266"/>
      <c r="I332" s="247"/>
      <c r="J332" s="248"/>
      <c r="K332" s="248"/>
      <c r="L332" s="248"/>
      <c r="M332" s="249"/>
    </row>
    <row r="333" spans="2:13" x14ac:dyDescent="0.25">
      <c r="B333" s="240"/>
      <c r="C333" s="241"/>
      <c r="D333" s="242"/>
      <c r="E333" s="243"/>
      <c r="F333" s="244"/>
      <c r="G333" s="245" t="str">
        <f>IFERROR(IF(ventas_b_mes10[[#This Row],[CUIT]]="","-",VLOOKUP(ventas_b_mes10[[#This Row],[CUIT]],Lista_CUIT[#All],2,0)),"CUIT NO CARGADO")</f>
        <v>-</v>
      </c>
      <c r="H333" s="246"/>
      <c r="I333" s="247"/>
      <c r="J333" s="248"/>
      <c r="K333" s="248"/>
      <c r="L333" s="248"/>
      <c r="M333" s="249"/>
    </row>
    <row r="334" spans="2:13" x14ac:dyDescent="0.25">
      <c r="B334" s="240"/>
      <c r="C334" s="241"/>
      <c r="D334" s="242"/>
      <c r="E334" s="243"/>
      <c r="F334" s="244"/>
      <c r="G334" s="245" t="str">
        <f>IFERROR(IF(ventas_b_mes10[[#This Row],[CUIT]]="","-",VLOOKUP(ventas_b_mes10[[#This Row],[CUIT]],Lista_CUIT[#All],2,0)),"CUIT NO CARGADO")</f>
        <v>-</v>
      </c>
      <c r="H334" s="246"/>
      <c r="I334" s="247"/>
      <c r="J334" s="248"/>
      <c r="K334" s="248"/>
      <c r="L334" s="248"/>
      <c r="M334" s="249"/>
    </row>
    <row r="335" spans="2:13" x14ac:dyDescent="0.25">
      <c r="B335" s="40"/>
      <c r="C335" s="41"/>
      <c r="D335" s="42"/>
      <c r="E335" s="43"/>
      <c r="F335" s="44"/>
      <c r="G335" s="1" t="str">
        <f>IFERROR(IF(ventas_b_mes10[[#This Row],[CUIT]]="","-",VLOOKUP(ventas_b_mes10[[#This Row],[CUIT]],Lista_CUIT[#All],2,0)),"CUIT NO CARGADO")</f>
        <v>-</v>
      </c>
      <c r="H335" s="64"/>
      <c r="I335" s="64"/>
      <c r="J335" s="64"/>
      <c r="K335" s="64"/>
      <c r="L335" s="64"/>
      <c r="M335" s="59"/>
    </row>
    <row r="336" spans="2:13" x14ac:dyDescent="0.25">
      <c r="B336" s="40"/>
      <c r="C336" s="41"/>
      <c r="D336" s="42"/>
      <c r="E336" s="43"/>
      <c r="F336" s="44"/>
      <c r="G336" s="1" t="str">
        <f>IFERROR(IF(ventas_b_mes10[[#This Row],[CUIT]]="","-",VLOOKUP(ventas_b_mes10[[#This Row],[CUIT]],Lista_CUIT[#All],2,0)),"CUIT NO CARGADO")</f>
        <v>-</v>
      </c>
      <c r="H336" s="64"/>
      <c r="I336" s="64"/>
      <c r="J336" s="64"/>
      <c r="K336" s="64"/>
      <c r="L336" s="64"/>
      <c r="M336" s="59"/>
    </row>
    <row r="337" spans="2:13" x14ac:dyDescent="0.25">
      <c r="B337" s="40"/>
      <c r="C337" s="41"/>
      <c r="D337" s="42"/>
      <c r="E337" s="43"/>
      <c r="F337" s="44"/>
      <c r="G337" s="1" t="str">
        <f>IFERROR(IF(ventas_b_mes10[[#This Row],[CUIT]]="","-",VLOOKUP(ventas_b_mes10[[#This Row],[CUIT]],Lista_CUIT[#All],2,0)),"CUIT NO CARGADO")</f>
        <v>-</v>
      </c>
      <c r="H337" s="64"/>
      <c r="I337" s="64"/>
      <c r="J337" s="64"/>
      <c r="K337" s="64"/>
      <c r="L337" s="64"/>
      <c r="M337" s="59"/>
    </row>
    <row r="338" spans="2:13" x14ac:dyDescent="0.25">
      <c r="B338" s="40"/>
      <c r="C338" s="41"/>
      <c r="D338" s="42"/>
      <c r="E338" s="43"/>
      <c r="F338" s="44"/>
      <c r="G338" s="1" t="str">
        <f>IFERROR(IF(ventas_b_mes10[[#This Row],[CUIT]]="","-",VLOOKUP(ventas_b_mes10[[#This Row],[CUIT]],Lista_CUIT[#All],2,0)),"CUIT NO CARGADO")</f>
        <v>-</v>
      </c>
      <c r="H338" s="64"/>
      <c r="I338" s="64"/>
      <c r="J338" s="64"/>
      <c r="K338" s="64"/>
      <c r="L338" s="64"/>
      <c r="M338" s="59"/>
    </row>
    <row r="339" spans="2:13" x14ac:dyDescent="0.25">
      <c r="B339" s="250"/>
      <c r="C339" s="251"/>
      <c r="D339" s="252"/>
      <c r="E339" s="253"/>
      <c r="F339" s="254"/>
      <c r="G339" s="255" t="str">
        <f>IFERROR(IF(ventas_b_mes10[[#This Row],[CUIT]]="","-",VLOOKUP(ventas_b_mes10[[#This Row],[CUIT]],Lista_CUIT[#All],2,0)),"CUIT NO CARGADO")</f>
        <v>-</v>
      </c>
      <c r="H339" s="256"/>
      <c r="I339" s="257"/>
      <c r="J339" s="258"/>
      <c r="K339" s="258"/>
      <c r="L339" s="258"/>
      <c r="M339" s="259"/>
    </row>
    <row r="340" spans="2:13" x14ac:dyDescent="0.25">
      <c r="B340" s="250"/>
      <c r="C340" s="251"/>
      <c r="D340" s="252"/>
      <c r="E340" s="253"/>
      <c r="F340" s="254"/>
      <c r="G340" s="255" t="str">
        <f>IFERROR(IF(ventas_b_mes10[[#This Row],[CUIT]]="","-",VLOOKUP(ventas_b_mes10[[#This Row],[CUIT]],Lista_CUIT[#All],2,0)),"CUIT NO CARGADO")</f>
        <v>-</v>
      </c>
      <c r="H340" s="256"/>
      <c r="I340" s="257"/>
      <c r="J340" s="258"/>
      <c r="K340" s="258"/>
      <c r="L340" s="258"/>
      <c r="M340" s="259"/>
    </row>
    <row r="341" spans="2:13" x14ac:dyDescent="0.25">
      <c r="B341" s="250"/>
      <c r="C341" s="251"/>
      <c r="D341" s="252"/>
      <c r="E341" s="253"/>
      <c r="F341" s="254"/>
      <c r="G341" s="255" t="str">
        <f>IFERROR(IF(ventas_b_mes10[[#This Row],[CUIT]]="","-",VLOOKUP(ventas_b_mes10[[#This Row],[CUIT]],Lista_CUIT[#All],2,0)),"CUIT NO CARGADO")</f>
        <v>-</v>
      </c>
      <c r="H341" s="256"/>
      <c r="I341" s="257">
        <f>ventas_b_mes10[[#This Row],[IMPORTE NETO]]*0.21</f>
        <v>0</v>
      </c>
      <c r="J341" s="258"/>
      <c r="K341" s="258"/>
      <c r="L341" s="258"/>
      <c r="M341" s="259"/>
    </row>
    <row r="342" spans="2:13" x14ac:dyDescent="0.25">
      <c r="B342" s="250"/>
      <c r="C342" s="251"/>
      <c r="D342" s="252"/>
      <c r="E342" s="253"/>
      <c r="F342" s="254"/>
      <c r="G342" s="255" t="str">
        <f>IFERROR(IF(ventas_b_mes10[[#This Row],[CUIT]]="","-",VLOOKUP(ventas_b_mes10[[#This Row],[CUIT]],Lista_CUIT[#All],2,0)),"CUIT NO CARGADO")</f>
        <v>-</v>
      </c>
      <c r="H342" s="256"/>
      <c r="I342" s="257">
        <f>ventas_b_mes10[[#This Row],[IMPORTE NETO]]*0.21</f>
        <v>0</v>
      </c>
      <c r="J342" s="258"/>
      <c r="K342" s="258"/>
      <c r="L342" s="258"/>
      <c r="M342" s="259"/>
    </row>
    <row r="343" spans="2:13" x14ac:dyDescent="0.25">
      <c r="B343" s="250"/>
      <c r="C343" s="251"/>
      <c r="D343" s="252"/>
      <c r="E343" s="253"/>
      <c r="F343" s="254"/>
      <c r="G343" s="255" t="str">
        <f>IFERROR(IF(ventas_b_mes10[[#This Row],[CUIT]]="","-",VLOOKUP(ventas_b_mes10[[#This Row],[CUIT]],Lista_CUIT[#All],2,0)),"CUIT NO CARGADO")</f>
        <v>-</v>
      </c>
      <c r="H343" s="256"/>
      <c r="I343" s="257">
        <f>ventas_b_mes10[[#This Row],[IMPORTE NETO]]*0.21</f>
        <v>0</v>
      </c>
      <c r="J343" s="258"/>
      <c r="K343" s="258"/>
      <c r="L343" s="258"/>
      <c r="M343" s="259"/>
    </row>
    <row r="344" spans="2:13" x14ac:dyDescent="0.25">
      <c r="B344" s="250"/>
      <c r="C344" s="251"/>
      <c r="D344" s="252"/>
      <c r="E344" s="253"/>
      <c r="F344" s="254"/>
      <c r="G344" s="255" t="str">
        <f>IFERROR(IF(ventas_b_mes10[[#This Row],[CUIT]]="","-",VLOOKUP(ventas_b_mes10[[#This Row],[CUIT]],Lista_CUIT[#All],2,0)),"CUIT NO CARGADO")</f>
        <v>-</v>
      </c>
      <c r="H344" s="256"/>
      <c r="I344" s="257">
        <f>ventas_b_mes10[[#This Row],[IMPORTE NETO]]*0.21</f>
        <v>0</v>
      </c>
      <c r="J344" s="258"/>
      <c r="K344" s="258"/>
      <c r="L344" s="258"/>
      <c r="M344" s="259"/>
    </row>
    <row r="345" spans="2:13" x14ac:dyDescent="0.25">
      <c r="B345" s="250"/>
      <c r="C345" s="251"/>
      <c r="D345" s="252"/>
      <c r="E345" s="253"/>
      <c r="F345" s="254"/>
      <c r="G345" s="255" t="str">
        <f>IFERROR(IF(ventas_b_mes10[[#This Row],[CUIT]]="","-",VLOOKUP(ventas_b_mes10[[#This Row],[CUIT]],Lista_CUIT[#All],2,0)),"CUIT NO CARGADO")</f>
        <v>-</v>
      </c>
      <c r="H345" s="256"/>
      <c r="I345" s="257">
        <f>ventas_b_mes10[[#This Row],[IMPORTE NETO]]*0.21</f>
        <v>0</v>
      </c>
      <c r="J345" s="258"/>
      <c r="K345" s="258"/>
      <c r="L345" s="258"/>
      <c r="M345" s="259"/>
    </row>
    <row r="346" spans="2:13" ht="15.75" thickBot="1" x14ac:dyDescent="0.3">
      <c r="B346" s="66" t="s">
        <v>103</v>
      </c>
      <c r="C346" s="67"/>
      <c r="D346" s="67"/>
      <c r="E346" s="67"/>
      <c r="F346" s="67"/>
      <c r="G346" s="67"/>
      <c r="H346" s="77">
        <f>SUBTOTAL(109,ventas_b_mes10[IMPORTE NETO])</f>
        <v>0</v>
      </c>
      <c r="I346" s="77">
        <f>SUBTOTAL(109,ventas_b_mes10[IVA 21%])</f>
        <v>0</v>
      </c>
      <c r="J346" s="78">
        <f>SUBTOTAL(109,ventas_b_mes10[IVA 10,5%])</f>
        <v>0</v>
      </c>
      <c r="K346" s="78">
        <f>SUBTOTAL(109,ventas_b_mes10[EXENTO])</f>
        <v>0</v>
      </c>
      <c r="L346" s="78">
        <f>SUBTOTAL(109,ventas_b_mes10[TOTAL])</f>
        <v>0</v>
      </c>
      <c r="M346" s="68">
        <f>SUBTOTAL(103,ventas_b_mes10[Provincia])</f>
        <v>0</v>
      </c>
    </row>
    <row r="347" spans="2:13" ht="15.75" thickTop="1" x14ac:dyDescent="0.25">
      <c r="C347" s="588" t="s">
        <v>66</v>
      </c>
      <c r="D347" s="588"/>
      <c r="E347" s="588"/>
      <c r="F347" s="588"/>
      <c r="G347" s="588"/>
      <c r="H347" s="32"/>
      <c r="I347" s="32"/>
      <c r="J347" s="32"/>
    </row>
    <row r="348" spans="2:13" ht="15.75" x14ac:dyDescent="0.25">
      <c r="C348" s="113" t="s">
        <v>67</v>
      </c>
      <c r="D348" s="114" t="s">
        <v>68</v>
      </c>
      <c r="E348" s="114" t="s">
        <v>105</v>
      </c>
      <c r="F348" s="114" t="s">
        <v>3</v>
      </c>
      <c r="G348" s="114" t="s">
        <v>4</v>
      </c>
      <c r="H348" s="115" t="s">
        <v>69</v>
      </c>
      <c r="I348" s="115" t="s">
        <v>70</v>
      </c>
      <c r="J348" s="115" t="s">
        <v>71</v>
      </c>
      <c r="K348" s="115" t="s">
        <v>72</v>
      </c>
      <c r="L348" s="115" t="s">
        <v>73</v>
      </c>
    </row>
    <row r="349" spans="2:13" x14ac:dyDescent="0.25">
      <c r="C349" s="116"/>
      <c r="D349" s="117"/>
      <c r="E349" s="117"/>
      <c r="F349" s="118"/>
      <c r="G349" s="53" t="str">
        <f>IFERROR(IF(Retenciones_mes10[[#This Row],[CUIT]]="","-",VLOOKUP(Retenciones_mes10[[#This Row],[CUIT]],Lista_CUIT[#All],2,0)),"CUIT NO CARGADO")</f>
        <v>-</v>
      </c>
      <c r="H349" s="119"/>
      <c r="I349" s="119"/>
      <c r="J349" s="119"/>
      <c r="K349" s="119"/>
      <c r="L349" s="119"/>
    </row>
    <row r="350" spans="2:13" x14ac:dyDescent="0.25">
      <c r="C350" s="116"/>
      <c r="D350" s="117"/>
      <c r="E350" s="117"/>
      <c r="F350" s="118"/>
      <c r="G350" s="53" t="str">
        <f>IFERROR(IF(Retenciones_mes10[[#This Row],[CUIT]]="","-",VLOOKUP(Retenciones_mes10[[#This Row],[CUIT]],Lista_CUIT[#All],2,0)),"CUIT NO CARGADO")</f>
        <v>-</v>
      </c>
      <c r="H350" s="119"/>
      <c r="I350" s="119"/>
      <c r="J350" s="119"/>
      <c r="K350" s="119"/>
      <c r="L350" s="119"/>
    </row>
    <row r="351" spans="2:13" x14ac:dyDescent="0.25">
      <c r="C351" s="116"/>
      <c r="D351" s="117"/>
      <c r="E351" s="117"/>
      <c r="F351" s="118"/>
      <c r="G351" s="53" t="str">
        <f>IFERROR(IF(Retenciones_mes10[[#This Row],[CUIT]]="","-",VLOOKUP(Retenciones_mes10[[#This Row],[CUIT]],Lista_CUIT[#All],2,0)),"CUIT NO CARGADO")</f>
        <v>-</v>
      </c>
      <c r="H351" s="119"/>
      <c r="I351" s="119"/>
      <c r="J351" s="119"/>
      <c r="K351" s="119"/>
      <c r="L351" s="119"/>
    </row>
    <row r="352" spans="2:13" x14ac:dyDescent="0.25">
      <c r="C352" s="116"/>
      <c r="D352" s="117"/>
      <c r="E352" s="117"/>
      <c r="F352" s="118"/>
      <c r="G352" s="53" t="str">
        <f>IFERROR(IF(Retenciones_mes10[[#This Row],[CUIT]]="","-",VLOOKUP(Retenciones_mes10[[#This Row],[CUIT]],Lista_CUIT[#All],2,0)),"CUIT NO CARGADO")</f>
        <v>-</v>
      </c>
      <c r="H352" s="119"/>
      <c r="I352" s="119"/>
      <c r="J352" s="119"/>
      <c r="K352" s="119"/>
      <c r="L352" s="119"/>
    </row>
    <row r="353" spans="3:7" x14ac:dyDescent="0.25">
      <c r="D353" s="117"/>
      <c r="E353" s="117"/>
      <c r="G353" s="53" t="str">
        <f>IFERROR(IF(Retenciones_mes10[[#This Row],[CUIT]]="","-",VLOOKUP(Retenciones_mes10[[#This Row],[CUIT]],Lista_CUIT[#All],2,0)),"CUIT NO CARGADO")</f>
        <v>-</v>
      </c>
    </row>
    <row r="354" spans="3:7" x14ac:dyDescent="0.25">
      <c r="C354" s="33"/>
    </row>
  </sheetData>
  <mergeCells count="20">
    <mergeCell ref="C347:G347"/>
    <mergeCell ref="B4:E4"/>
    <mergeCell ref="G4:H4"/>
    <mergeCell ref="J4:K4"/>
    <mergeCell ref="M4:N4"/>
    <mergeCell ref="D242:K242"/>
    <mergeCell ref="B295:J295"/>
    <mergeCell ref="K295:M295"/>
    <mergeCell ref="B297:C297"/>
    <mergeCell ref="B311:C311"/>
    <mergeCell ref="P4:R4"/>
    <mergeCell ref="D227:L227"/>
    <mergeCell ref="B1:F1"/>
    <mergeCell ref="G1:M1"/>
    <mergeCell ref="N1:R1"/>
    <mergeCell ref="B3:E3"/>
    <mergeCell ref="G3:H3"/>
    <mergeCell ref="J3:K3"/>
    <mergeCell ref="M3:N3"/>
    <mergeCell ref="P3:R3"/>
  </mergeCells>
  <dataValidations count="12">
    <dataValidation type="custom" allowBlank="1" showInputMessage="1" showErrorMessage="1" sqref="L301:L303" xr:uid="{4E9A47BD-FE6C-406D-BFED-D4F8DBD2CC74}">
      <formula1>IF($C13=3,L13&lt;0,L13&gt;=0)</formula1>
    </dataValidation>
    <dataValidation type="custom" allowBlank="1" showInputMessage="1" showErrorMessage="1" sqref="L299:L300" xr:uid="{6C1F0797-0317-4EAE-9AFA-518F3FC47F70}">
      <formula1>IF($C9=3,L9&lt;0,L9&gt;=0)</formula1>
    </dataValidation>
    <dataValidation type="custom" allowBlank="1" showInputMessage="1" showErrorMessage="1" sqref="H299:K299 H301:K301 H303:K303 H305:K305" xr:uid="{49EA1A69-DE96-4FC1-A97D-74C091340BBF}">
      <formula1>IF($C299=3,H299&lt;0,H299&gt;=0)</formula1>
    </dataValidation>
    <dataValidation type="whole" allowBlank="1" showInputMessage="1" showErrorMessage="1" sqref="C223:C226 C299:C307 C9:C221" xr:uid="{82EC019E-0002-4731-9720-4A4AF2DC0D7A}">
      <formula1>1</formula1>
      <formula2>3</formula2>
    </dataValidation>
    <dataValidation type="date" allowBlank="1" showInputMessage="1" showErrorMessage="1" sqref="B9:B221 B299:B307 B223:B226 D244:D288 D229:D237 B313:B345" xr:uid="{A2621D76-7A6E-414C-9E9F-382912941CED}">
      <formula1>40179</formula1>
      <formula2>TODAY()</formula2>
    </dataValidation>
    <dataValidation type="whole" allowBlank="1" showInputMessage="1" showErrorMessage="1" sqref="F299:F307 G244:G288 F9:F221 F313:F345" xr:uid="{D7B67E29-D9C3-4B41-940B-4A3A24EE8965}">
      <formula1>20000000000</formula1>
      <formula2>33999999999</formula2>
    </dataValidation>
    <dataValidation type="whole" allowBlank="1" showInputMessage="1" showErrorMessage="1" sqref="E299:E307 F244:F288 E9:E221 E313:E345" xr:uid="{90B9B42B-FA86-40B4-8317-C20F66525965}">
      <formula1>1</formula1>
      <formula2>99999999</formula2>
    </dataValidation>
    <dataValidation type="whole" allowBlank="1" showInputMessage="1" showErrorMessage="1" sqref="D299:D307 E244:E288 D9:D221 D313:D345" xr:uid="{EC0ECA0D-CBDC-4998-A7F9-BE1726EA4D49}">
      <formula1>1</formula1>
      <formula2>9999</formula2>
    </dataValidation>
    <dataValidation type="whole" allowBlank="1" showInputMessage="1" showErrorMessage="1" sqref="C313:C345" xr:uid="{0D78DD7E-602F-4AC2-A6BD-7FCABEF40DEA}">
      <formula1>6</formula1>
      <formula2>8</formula2>
    </dataValidation>
    <dataValidation type="custom" allowBlank="1" showInputMessage="1" showErrorMessage="1" sqref="H313:L345" xr:uid="{14E9E494-B2B8-40C4-9B5F-6410D44949CC}">
      <formula1>IF($C313=8,H313&lt;0,H313&gt;=0)</formula1>
    </dataValidation>
    <dataValidation type="custom" allowBlank="1" showInputMessage="1" showErrorMessage="1" sqref="L304:L305" xr:uid="{B6A2AB99-72F4-424B-A57C-E03FE9E7DBDA}">
      <formula1>IF($C222=3,L222&lt;0,L222&gt;=0)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9:O221" xr:uid="{1FCD522F-C095-407C-91E7-BF7B605203E7}">
      <formula1>IF($C9=3,H9&lt;0,H9&gt;=0)</formula1>
    </dataValidation>
  </dataValidations>
  <pageMargins left="0.7" right="0.7" top="0.75" bottom="0.75" header="0.3" footer="0.3"/>
  <pageSetup paperSize="9" orientation="portrait" r:id="rId1"/>
  <ignoredErrors>
    <ignoredError sqref="I313:I340" calculatedColumn="1"/>
  </ignoredErrors>
  <tableParts count="6">
    <tablePart r:id="rId2"/>
    <tablePart r:id="rId3"/>
    <tablePart r:id="rId4"/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Z2612"/>
  <sheetViews>
    <sheetView showGridLines="0" topLeftCell="F1" zoomScale="70" zoomScaleNormal="70" workbookViewId="0">
      <selection activeCell="Q20" sqref="Q20"/>
    </sheetView>
  </sheetViews>
  <sheetFormatPr baseColWidth="10" defaultColWidth="0" defaultRowHeight="15" x14ac:dyDescent="0.25"/>
  <cols>
    <col min="1" max="1" width="0.7109375" customWidth="1"/>
    <col min="2" max="2" width="12.5703125" bestFit="1" customWidth="1"/>
    <col min="3" max="3" width="5.5703125" customWidth="1"/>
    <col min="4" max="4" width="19.140625" customWidth="1"/>
    <col min="5" max="5" width="12.85546875" customWidth="1"/>
    <col min="6" max="6" width="27" customWidth="1"/>
    <col min="7" max="7" width="26.7109375" customWidth="1"/>
    <col min="8" max="8" width="18.8554687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7109375" customWidth="1"/>
    <col min="14" max="14" width="18.85546875" bestFit="1" customWidth="1"/>
    <col min="15" max="15" width="18.5703125" customWidth="1"/>
    <col min="16" max="16" width="23.140625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95" t="e">
        <v>#REF!</v>
      </c>
      <c r="H1" s="595"/>
      <c r="I1" s="595"/>
      <c r="J1" s="595"/>
      <c r="K1" s="595"/>
      <c r="L1" s="595"/>
      <c r="M1" s="595"/>
      <c r="N1" s="584">
        <v>45962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SUM(compras_mes123[[#Totals],[NETO GRAVADO]])+extracto_banco_mes1256[[#Totals],[NETO]]</f>
        <v>106480282.9938096</v>
      </c>
      <c r="C4" s="589"/>
      <c r="D4" s="589"/>
      <c r="E4" s="589"/>
      <c r="F4" s="39"/>
      <c r="G4" s="590">
        <f>compras_mes123[[#Totals],[IVA 21 %]]+compras_mes123[[#Totals],[IVA 27%]]+compras_mes123[[#Totals],[IVA 10,5%]]+extracto_banco_mes1256[[#Totals],[IVA 21%]]+extracto_banco_mes1256[[#Totals],[IVA 10,5%]]</f>
        <v>21776244.266449973</v>
      </c>
      <c r="H4" s="590"/>
      <c r="I4" s="39"/>
      <c r="J4" s="591">
        <f>venta_a_mes1254[[#Totals],[IMPORTE NETO]]+ventas_b_mes1255[[#Totals],[IMPORTE NETO]]</f>
        <v>0</v>
      </c>
      <c r="K4" s="591"/>
      <c r="L4" s="39"/>
      <c r="M4" s="591">
        <f>venta_a_mes1254[[#Totals],[IVA 21%]]+venta_a_mes1254[[#Totals],[IVA 10,5%]]+ventas_b_mes1255[[#Totals],[IVA 21%]]+ventas_b_mes1255[[#Totals],[IVA 10,5%]]</f>
        <v>0</v>
      </c>
      <c r="N4" s="591"/>
      <c r="O4" s="39"/>
      <c r="P4" s="579">
        <f>G4-M4</f>
        <v>21776244.266449973</v>
      </c>
      <c r="Q4" s="580"/>
      <c r="R4" s="580"/>
    </row>
    <row r="5" spans="1:26" ht="13.15" customHeight="1" x14ac:dyDescent="0.25"/>
    <row r="7" spans="1:26" s="2" customForma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508" t="s">
        <v>2955</v>
      </c>
      <c r="C9" s="41">
        <v>1</v>
      </c>
      <c r="D9" s="509">
        <v>3</v>
      </c>
      <c r="E9" s="510">
        <v>22779</v>
      </c>
      <c r="F9" s="511">
        <v>30540396295</v>
      </c>
      <c r="G9" s="522" t="str">
        <f>IFERROR(IF(compras_mes123[[#This Row],[CUIT]]="","-",VLOOKUP(compras_mes123[[#This Row],[CUIT]],Lista_CUIT[#All],2,0)),"CUIT NO CARGADO")</f>
        <v>ELECTRICIDAD JUJUY S A C E I</v>
      </c>
      <c r="H9" s="516">
        <v>34671.08</v>
      </c>
      <c r="I9" s="85">
        <f>IF(compras_mes123[[#This Row],[NETO GRAVADO]]="","",compras_mes123[[#This Row],[NETO GRAVADO]]*0.21)</f>
        <v>7280.9268000000002</v>
      </c>
      <c r="J9" s="519"/>
      <c r="K9" s="519"/>
      <c r="L9" s="519"/>
      <c r="M9" s="519"/>
      <c r="N9" s="519"/>
      <c r="O9" s="519"/>
      <c r="P9" s="523">
        <f>SUM(compras_mes123[[#This Row],[NETO GRAVADO]:[Otros / No Grav.]])</f>
        <v>41952.006800000003</v>
      </c>
      <c r="Q9" s="524" t="str">
        <f>IFERROR(IF(compras_mes123[[#This Row],[CUIT]]="","-",VLOOKUP(compras_mes123[[#This Row],[CUIT]],Lista_CUIT[#All],3,0)),"CUIT NO CARGADO")</f>
        <v>Gastos Varios</v>
      </c>
      <c r="R9" s="524">
        <f>IFERROR(IF(compras_mes123[[#This Row],[CUIT]]="","-",VLOOKUP(compras_mes123[[#This Row],[CUIT]],Lista_CUIT[#All],4,0)),"CUIT NO CARGADO")</f>
        <v>0</v>
      </c>
    </row>
    <row r="10" spans="1:26" x14ac:dyDescent="0.25">
      <c r="B10" s="40" t="s">
        <v>2955</v>
      </c>
      <c r="C10" s="41">
        <v>1</v>
      </c>
      <c r="D10" s="42">
        <v>3</v>
      </c>
      <c r="E10" s="43">
        <v>22780</v>
      </c>
      <c r="F10" s="44">
        <v>30540396295</v>
      </c>
      <c r="G10" s="45" t="str">
        <f>IFERROR(IF(compras_mes123[[#This Row],[CUIT]]="","-",VLOOKUP(compras_mes123[[#This Row],[CUIT]],Lista_CUIT[#All],2,0)),"CUIT NO CARGADO")</f>
        <v>ELECTRICIDAD JUJUY S A C E I</v>
      </c>
      <c r="H10" s="46">
        <v>8677.69</v>
      </c>
      <c r="I10" s="85">
        <f>IF(compras_mes123[[#This Row],[NETO GRAVADO]]="","",compras_mes123[[#This Row],[NETO GRAVADO]]*0.21)</f>
        <v>1822.3149000000001</v>
      </c>
      <c r="J10" s="85"/>
      <c r="K10" s="85"/>
      <c r="L10" s="85"/>
      <c r="M10" s="85"/>
      <c r="N10" s="85"/>
      <c r="O10" s="85"/>
      <c r="P10" s="48">
        <f>SUM(compras_mes123[[#This Row],[NETO GRAVADO]:[Otros / No Grav.]])</f>
        <v>10500.0049</v>
      </c>
      <c r="Q10" s="49" t="str">
        <f>IFERROR(IF(compras_mes123[[#This Row],[CUIT]]="","-",VLOOKUP(compras_mes123[[#This Row],[CUIT]],Lista_CUIT[#All],3,0)),"CUIT NO CARGADO")</f>
        <v>Gastos Varios</v>
      </c>
      <c r="R10" s="49">
        <f>IFERROR(IF(compras_mes123[[#This Row],[CUIT]]="","-",VLOOKUP(compras_mes123[[#This Row],[CUIT]],Lista_CUIT[#All],4,0)),"CUIT NO CARGADO")</f>
        <v>0</v>
      </c>
    </row>
    <row r="11" spans="1:26" x14ac:dyDescent="0.25">
      <c r="B11" s="40" t="s">
        <v>2955</v>
      </c>
      <c r="C11" s="41">
        <v>1</v>
      </c>
      <c r="D11" s="42">
        <v>711</v>
      </c>
      <c r="E11" s="43">
        <v>7798572</v>
      </c>
      <c r="F11" s="44">
        <v>30677237119</v>
      </c>
      <c r="G11" s="45" t="str">
        <f>IFERROR(IF(compras_mes123[[#This Row],[CUIT]]="","-",VLOOKUP(compras_mes123[[#This Row],[CUIT]],Lista_CUIT[#All],2,0)),"CUIT NO CARGADO")</f>
        <v>AUTOPISTAS DEL SOL S A</v>
      </c>
      <c r="H11" s="46">
        <v>19066.22</v>
      </c>
      <c r="I11" s="85">
        <f>IF(compras_mes123[[#This Row],[NETO GRAVADO]]="","",compras_mes123[[#This Row],[NETO GRAVADO]]*0.21)</f>
        <v>4003.9061999999999</v>
      </c>
      <c r="J11" s="85"/>
      <c r="K11" s="85"/>
      <c r="L11" s="85"/>
      <c r="M11" s="85"/>
      <c r="N11" s="85"/>
      <c r="O11" s="85">
        <v>571.99</v>
      </c>
      <c r="P11" s="48">
        <f>SUM(compras_mes123[[#This Row],[NETO GRAVADO]:[Otros / No Grav.]])</f>
        <v>23642.116200000004</v>
      </c>
      <c r="Q11" s="49" t="str">
        <f>IFERROR(IF(compras_mes123[[#This Row],[CUIT]]="","-",VLOOKUP(compras_mes123[[#This Row],[CUIT]],Lista_CUIT[#All],3,0)),"CUIT NO CARGADO")</f>
        <v>Peajes</v>
      </c>
      <c r="R11" s="49">
        <f>IFERROR(IF(compras_mes123[[#This Row],[CUIT]]="","-",VLOOKUP(compras_mes123[[#This Row],[CUIT]],Lista_CUIT[#All],4,0)),"CUIT NO CARGADO")</f>
        <v>0</v>
      </c>
    </row>
    <row r="12" spans="1:26" x14ac:dyDescent="0.25">
      <c r="B12" s="40" t="s">
        <v>2955</v>
      </c>
      <c r="C12" s="41">
        <v>1</v>
      </c>
      <c r="D12" s="42">
        <v>629</v>
      </c>
      <c r="E12" s="43">
        <v>6584749</v>
      </c>
      <c r="F12" s="44">
        <v>30663498513</v>
      </c>
      <c r="G12" s="45" t="str">
        <f>IFERROR(IF(compras_mes123[[#This Row],[CUIT]]="","-",VLOOKUP(compras_mes123[[#This Row],[CUIT]],Lista_CUIT[#All],2,0)),"CUIT NO CARGADO")</f>
        <v>GRUPO CONCES. DEL OESTE SA</v>
      </c>
      <c r="H12" s="46">
        <v>36514.99</v>
      </c>
      <c r="I12" s="85">
        <f>IF(compras_mes123[[#This Row],[NETO GRAVADO]]="","",compras_mes123[[#This Row],[NETO GRAVADO]]*0.21)</f>
        <v>7668.147899999999</v>
      </c>
      <c r="J12" s="85"/>
      <c r="K12" s="85"/>
      <c r="L12" s="85"/>
      <c r="M12" s="85"/>
      <c r="N12" s="85"/>
      <c r="O12" s="85"/>
      <c r="P12" s="48">
        <f>SUM(compras_mes123[[#This Row],[NETO GRAVADO]:[Otros / No Grav.]])</f>
        <v>44183.137899999994</v>
      </c>
      <c r="Q12" s="49" t="str">
        <f>IFERROR(IF(compras_mes123[[#This Row],[CUIT]]="","-",VLOOKUP(compras_mes123[[#This Row],[CUIT]],Lista_CUIT[#All],3,0)),"CUIT NO CARGADO")</f>
        <v>Peajes</v>
      </c>
      <c r="R12" s="49">
        <f>IFERROR(IF(compras_mes123[[#This Row],[CUIT]]="","-",VLOOKUP(compras_mes123[[#This Row],[CUIT]],Lista_CUIT[#All],4,0)),"CUIT NO CARGADO")</f>
        <v>0</v>
      </c>
    </row>
    <row r="13" spans="1:26" x14ac:dyDescent="0.25">
      <c r="B13" s="40" t="s">
        <v>2955</v>
      </c>
      <c r="C13" s="41">
        <v>1</v>
      </c>
      <c r="D13" s="42">
        <v>2</v>
      </c>
      <c r="E13" s="43">
        <v>1270</v>
      </c>
      <c r="F13" s="44">
        <v>27317740196</v>
      </c>
      <c r="G13" s="45" t="str">
        <f>IFERROR(IF(compras_mes123[[#This Row],[CUIT]]="","-",VLOOKUP(compras_mes123[[#This Row],[CUIT]],Lista_CUIT[#All],2,0)),"CUIT NO CARGADO")</f>
        <v>HOKAMA ROMINA PAOLA</v>
      </c>
      <c r="H13" s="46">
        <v>55446.29</v>
      </c>
      <c r="I13" s="85">
        <f>IF(compras_mes123[[#This Row],[NETO GRAVADO]]="","",compras_mes123[[#This Row],[NETO GRAVADO]]*0.21)</f>
        <v>11643.7209</v>
      </c>
      <c r="J13" s="85"/>
      <c r="K13" s="85"/>
      <c r="L13" s="85"/>
      <c r="M13" s="85"/>
      <c r="N13" s="85"/>
      <c r="O13" s="85"/>
      <c r="P13" s="48">
        <f>SUM(compras_mes123[[#This Row],[NETO GRAVADO]:[Otros / No Grav.]])</f>
        <v>67090.010899999994</v>
      </c>
      <c r="Q13" s="49" t="str">
        <f>IFERROR(IF(compras_mes123[[#This Row],[CUIT]]="","-",VLOOKUP(compras_mes123[[#This Row],[CUIT]],Lista_CUIT[#All],3,0)),"CUIT NO CARGADO")</f>
        <v>Gastos Varios</v>
      </c>
      <c r="R13" s="49">
        <f>IFERROR(IF(compras_mes123[[#This Row],[CUIT]]="","-",VLOOKUP(compras_mes123[[#This Row],[CUIT]],Lista_CUIT[#All],4,0)),"CUIT NO CARGADO")</f>
        <v>0</v>
      </c>
    </row>
    <row r="14" spans="1:26" s="56" customFormat="1" ht="18.600000000000001" customHeight="1" x14ac:dyDescent="0.25">
      <c r="B14" s="40" t="s">
        <v>2955</v>
      </c>
      <c r="C14" s="41">
        <v>1</v>
      </c>
      <c r="D14" s="42">
        <v>1</v>
      </c>
      <c r="E14" s="43">
        <v>1065</v>
      </c>
      <c r="F14" s="44">
        <v>30715889486</v>
      </c>
      <c r="G14" s="45" t="str">
        <f>IFERROR(IF(compras_mes123[[#This Row],[CUIT]]="","-",VLOOKUP(compras_mes123[[#This Row],[CUIT]],Lista_CUIT[#All],2,0)),"CUIT NO CARGADO")</f>
        <v>EXPOESTETICA</v>
      </c>
      <c r="H14" s="46">
        <v>1440000</v>
      </c>
      <c r="I14" s="85">
        <f>IF(compras_mes123[[#This Row],[NETO GRAVADO]]="","",compras_mes123[[#This Row],[NETO GRAVADO]]*0.21)</f>
        <v>302400</v>
      </c>
      <c r="J14" s="85"/>
      <c r="K14" s="85"/>
      <c r="L14" s="85"/>
      <c r="M14" s="85"/>
      <c r="N14" s="85"/>
      <c r="O14" s="85"/>
      <c r="P14" s="48">
        <f>SUM(compras_mes123[[#This Row],[NETO GRAVADO]:[Otros / No Grav.]])</f>
        <v>1742400</v>
      </c>
      <c r="Q14" s="49" t="str">
        <f>IFERROR(IF(compras_mes123[[#This Row],[CUIT]]="","-",VLOOKUP(compras_mes123[[#This Row],[CUIT]],Lista_CUIT[#All],3,0)),"CUIT NO CARGADO")</f>
        <v>Gastos Comercializacion - Feria</v>
      </c>
      <c r="R14" s="49" t="str">
        <f>IFERROR(IF(compras_mes123[[#This Row],[CUIT]]="","-",VLOOKUP(compras_mes123[[#This Row],[CUIT]],Lista_CUIT[#All],4,0)),"CUIT NO CARGADO")</f>
        <v>BUENOS AIRES</v>
      </c>
    </row>
    <row r="15" spans="1:26" x14ac:dyDescent="0.25">
      <c r="B15" s="40" t="s">
        <v>2955</v>
      </c>
      <c r="C15" s="41">
        <v>1</v>
      </c>
      <c r="D15" s="42">
        <v>1</v>
      </c>
      <c r="E15" s="43">
        <v>660</v>
      </c>
      <c r="F15" s="44">
        <v>20131206144</v>
      </c>
      <c r="G15" s="45" t="str">
        <f>IFERROR(IF(compras_mes123[[#This Row],[CUIT]]="","-",VLOOKUP(compras_mes123[[#This Row],[CUIT]],Lista_CUIT[#All],2,0)),"CUIT NO CARGADO")</f>
        <v>CHAMORRO MANUEL</v>
      </c>
      <c r="H15" s="46">
        <v>1348074</v>
      </c>
      <c r="I15" s="85">
        <f>IF(compras_mes123[[#This Row],[NETO GRAVADO]]="","",compras_mes123[[#This Row],[NETO GRAVADO]]*0.21)</f>
        <v>283095.53999999998</v>
      </c>
      <c r="J15" s="85"/>
      <c r="K15" s="85"/>
      <c r="L15" s="85"/>
      <c r="M15" s="85"/>
      <c r="N15" s="85"/>
      <c r="O15" s="85"/>
      <c r="P15" s="48">
        <f>SUM(compras_mes123[[#This Row],[NETO GRAVADO]:[Otros / No Grav.]])</f>
        <v>1631169.54</v>
      </c>
      <c r="Q15" s="49" t="str">
        <f>IFERROR(IF(compras_mes123[[#This Row],[CUIT]]="","-",VLOOKUP(compras_mes123[[#This Row],[CUIT]],Lista_CUIT[#All],3,0)),"CUIT NO CARGADO")</f>
        <v>Alquiler</v>
      </c>
      <c r="R15" s="49">
        <f>IFERROR(IF(compras_mes123[[#This Row],[CUIT]]="","-",VLOOKUP(compras_mes123[[#This Row],[CUIT]],Lista_CUIT[#All],4,0)),"CUIT NO CARGADO")</f>
        <v>0</v>
      </c>
    </row>
    <row r="16" spans="1:26" x14ac:dyDescent="0.25">
      <c r="B16" s="40" t="s">
        <v>2956</v>
      </c>
      <c r="C16" s="41">
        <v>1</v>
      </c>
      <c r="D16" s="42">
        <v>2084</v>
      </c>
      <c r="E16" s="43">
        <v>32496</v>
      </c>
      <c r="F16" s="44">
        <v>30548083156</v>
      </c>
      <c r="G16" s="45" t="str">
        <f>IFERROR(IF(compras_mes123[[#This Row],[CUIT]]="","-",VLOOKUP(compras_mes123[[#This Row],[CUIT]],Lista_CUIT[#All],2,0)),"CUIT NO CARGADO")</f>
        <v>COTO CENTRO INTEGRAL DE COMERCIALIZACION SOCIEDAD ANONIMA</v>
      </c>
      <c r="H16" s="46">
        <v>43564.79</v>
      </c>
      <c r="I16" s="85">
        <f>IF(compras_mes123[[#This Row],[NETO GRAVADO]]="","",compras_mes123[[#This Row],[NETO GRAVADO]]*0.21)</f>
        <v>9148.6059000000005</v>
      </c>
      <c r="J16" s="85"/>
      <c r="K16" s="85"/>
      <c r="L16" s="85"/>
      <c r="M16" s="85"/>
      <c r="N16" s="85"/>
      <c r="O16" s="85">
        <v>3806.78</v>
      </c>
      <c r="P16" s="48">
        <f>SUM(compras_mes123[[#This Row],[NETO GRAVADO]:[Otros / No Grav.]])</f>
        <v>56520.175900000002</v>
      </c>
      <c r="Q16" s="49" t="str">
        <f>IFERROR(IF(compras_mes123[[#This Row],[CUIT]]="","-",VLOOKUP(compras_mes123[[#This Row],[CUIT]],Lista_CUIT[#All],3,0)),"CUIT NO CARGADO")</f>
        <v>Gastos Varios</v>
      </c>
      <c r="R16" s="49">
        <f>IFERROR(IF(compras_mes123[[#This Row],[CUIT]]="","-",VLOOKUP(compras_mes123[[#This Row],[CUIT]],Lista_CUIT[#All],4,0)),"CUIT NO CARGADO")</f>
        <v>0</v>
      </c>
    </row>
    <row r="17" spans="2:18" ht="14.45" customHeight="1" x14ac:dyDescent="0.25">
      <c r="B17" s="40" t="s">
        <v>2935</v>
      </c>
      <c r="C17" s="41">
        <v>1</v>
      </c>
      <c r="D17" s="42">
        <v>2199</v>
      </c>
      <c r="E17" s="43">
        <v>39991</v>
      </c>
      <c r="F17" s="44">
        <v>30548083156</v>
      </c>
      <c r="G17" s="45" t="str">
        <f>IFERROR(IF(compras_mes123[[#This Row],[CUIT]]="","-",VLOOKUP(compras_mes123[[#This Row],[CUIT]],Lista_CUIT[#All],2,0)),"CUIT NO CARGADO")</f>
        <v>COTO CENTRO INTEGRAL DE COMERCIALIZACION SOCIEDAD ANONIMA</v>
      </c>
      <c r="H17" s="46">
        <v>89060.6</v>
      </c>
      <c r="I17" s="85">
        <v>17108.8</v>
      </c>
      <c r="J17" s="85"/>
      <c r="K17" s="85">
        <v>796.96</v>
      </c>
      <c r="L17" s="85"/>
      <c r="M17" s="85"/>
      <c r="N17" s="85"/>
      <c r="O17" s="85">
        <v>4977.26</v>
      </c>
      <c r="P17" s="48">
        <f>SUM(compras_mes123[[#This Row],[NETO GRAVADO]:[Otros / No Grav.]])</f>
        <v>111943.62000000001</v>
      </c>
      <c r="Q17" s="49" t="str">
        <f>IFERROR(IF(compras_mes123[[#This Row],[CUIT]]="","-",VLOOKUP(compras_mes123[[#This Row],[CUIT]],Lista_CUIT[#All],3,0)),"CUIT NO CARGADO")</f>
        <v>Gastos Varios</v>
      </c>
      <c r="R17" s="49">
        <f>IFERROR(IF(compras_mes123[[#This Row],[CUIT]]="","-",VLOOKUP(compras_mes123[[#This Row],[CUIT]],Lista_CUIT[#All],4,0)),"CUIT NO CARGADO")</f>
        <v>0</v>
      </c>
    </row>
    <row r="18" spans="2:18" ht="14.45" customHeight="1" x14ac:dyDescent="0.25">
      <c r="B18" s="40" t="s">
        <v>2935</v>
      </c>
      <c r="C18" s="41">
        <v>1</v>
      </c>
      <c r="D18" s="42">
        <v>3</v>
      </c>
      <c r="E18" s="43">
        <v>38418</v>
      </c>
      <c r="F18" s="44">
        <v>33707953549</v>
      </c>
      <c r="G18" s="45" t="str">
        <f>IFERROR(IF(compras_mes123[[#This Row],[CUIT]]="","-",VLOOKUP(compras_mes123[[#This Row],[CUIT]],Lista_CUIT[#All],2,0)),"CUIT NO CARGADO")</f>
        <v>TELESMART</v>
      </c>
      <c r="H18" s="46">
        <v>31100</v>
      </c>
      <c r="I18" s="85">
        <f>IF(compras_mes123[[#This Row],[NETO GRAVADO]]="","",compras_mes123[[#This Row],[NETO GRAVADO]]*0.21)</f>
        <v>6531</v>
      </c>
      <c r="J18" s="85"/>
      <c r="K18" s="85"/>
      <c r="L18" s="85"/>
      <c r="M18" s="85"/>
      <c r="N18" s="85"/>
      <c r="O18" s="85"/>
      <c r="P18" s="48">
        <f>SUM(compras_mes123[[#This Row],[NETO GRAVADO]:[Otros / No Grav.]])</f>
        <v>37631</v>
      </c>
      <c r="Q18" s="49" t="str">
        <f>IFERROR(IF(compras_mes123[[#This Row],[CUIT]]="","-",VLOOKUP(compras_mes123[[#This Row],[CUIT]],Lista_CUIT[#All],3,0)),"CUIT NO CARGADO")</f>
        <v>Servicios Gas, Luz, etc.</v>
      </c>
      <c r="R18" s="49">
        <f>IFERROR(IF(compras_mes123[[#This Row],[CUIT]]="","-",VLOOKUP(compras_mes123[[#This Row],[CUIT]],Lista_CUIT[#All],4,0)),"CUIT NO CARGADO")</f>
        <v>0</v>
      </c>
    </row>
    <row r="19" spans="2:18" ht="15" customHeight="1" x14ac:dyDescent="0.25">
      <c r="B19" s="40" t="s">
        <v>2935</v>
      </c>
      <c r="C19" s="41">
        <v>1</v>
      </c>
      <c r="D19" s="42">
        <v>5</v>
      </c>
      <c r="E19" s="43">
        <v>5421</v>
      </c>
      <c r="F19" s="44">
        <v>30617209094</v>
      </c>
      <c r="G19" s="45" t="str">
        <f>IFERROR(IF(compras_mes123[[#This Row],[CUIT]]="","-",VLOOKUP(compras_mes123[[#This Row],[CUIT]],Lista_CUIT[#All],2,0)),"CUIT NO CARGADO")</f>
        <v>COSMETICA FACECOLOR SA</v>
      </c>
      <c r="H19" s="46">
        <v>8038675.7999999998</v>
      </c>
      <c r="I19" s="85">
        <f>IF(compras_mes123[[#This Row],[NETO GRAVADO]]="","",compras_mes123[[#This Row],[NETO GRAVADO]]*0.21)</f>
        <v>1688121.9179999998</v>
      </c>
      <c r="J19" s="85"/>
      <c r="K19" s="85"/>
      <c r="L19" s="85"/>
      <c r="M19" s="85"/>
      <c r="N19" s="85"/>
      <c r="O19" s="85"/>
      <c r="P19" s="48">
        <f>SUM(compras_mes123[[#This Row],[NETO GRAVADO]:[Otros / No Grav.]])</f>
        <v>9726797.7180000003</v>
      </c>
      <c r="Q19" s="49" t="str">
        <f>IFERROR(IF(compras_mes123[[#This Row],[CUIT]]="","-",VLOOKUP(compras_mes123[[#This Row],[CUIT]],Lista_CUIT[#All],3,0)),"CUIT NO CARGADO")</f>
        <v>Mercaderia</v>
      </c>
      <c r="R19" s="49">
        <f>IFERROR(IF(compras_mes123[[#This Row],[CUIT]]="","-",VLOOKUP(compras_mes123[[#This Row],[CUIT]],Lista_CUIT[#All],4,0)),"CUIT NO CARGADO")</f>
        <v>0</v>
      </c>
    </row>
    <row r="20" spans="2:18" ht="15" customHeight="1" x14ac:dyDescent="0.25">
      <c r="B20" s="40" t="s">
        <v>2935</v>
      </c>
      <c r="C20" s="41">
        <v>1</v>
      </c>
      <c r="D20" s="42">
        <v>3099</v>
      </c>
      <c r="E20" s="43">
        <v>614294</v>
      </c>
      <c r="F20" s="44">
        <v>30678814357</v>
      </c>
      <c r="G20" s="45" t="str">
        <f>IFERROR(IF(compras_mes123[[#This Row],[CUIT]]="","-",VLOOKUP(compras_mes123[[#This Row],[CUIT]],Lista_CUIT[#All],2,0)),"CUIT NO CARGADO")</f>
        <v>TELEFONICA MOVILES ARG</v>
      </c>
      <c r="H20" s="46">
        <v>62579.35</v>
      </c>
      <c r="I20" s="85" t="s">
        <v>2411</v>
      </c>
      <c r="J20" s="85">
        <f>compras_mes123[[#This Row],[NETO GRAVADO]]*0.27</f>
        <v>16896.424500000001</v>
      </c>
      <c r="K20" s="85"/>
      <c r="L20" s="85"/>
      <c r="M20" s="85"/>
      <c r="N20" s="85"/>
      <c r="O20" s="85">
        <v>3754.76</v>
      </c>
      <c r="P20" s="48">
        <f>SUM(compras_mes123[[#This Row],[NETO GRAVADO]:[Otros / No Grav.]])</f>
        <v>83230.534499999994</v>
      </c>
      <c r="Q20" s="49" t="str">
        <f>IFERROR(IF(compras_mes123[[#This Row],[CUIT]]="","-",VLOOKUP(compras_mes123[[#This Row],[CUIT]],Lista_CUIT[#All],3,0)),"CUIT NO CARGADO")</f>
        <v>Servicios Gas, Luz, etc.</v>
      </c>
      <c r="R20" s="49">
        <f>IFERROR(IF(compras_mes123[[#This Row],[CUIT]]="","-",VLOOKUP(compras_mes123[[#This Row],[CUIT]],Lista_CUIT[#All],4,0)),"CUIT NO CARGADO")</f>
        <v>0</v>
      </c>
    </row>
    <row r="21" spans="2:18" ht="15" customHeight="1" x14ac:dyDescent="0.25">
      <c r="B21" s="40" t="s">
        <v>2935</v>
      </c>
      <c r="C21" s="41">
        <v>1</v>
      </c>
      <c r="D21" s="42">
        <v>1</v>
      </c>
      <c r="E21" s="43">
        <v>1082484</v>
      </c>
      <c r="F21" s="44">
        <v>33716307749</v>
      </c>
      <c r="G21" s="45" t="str">
        <f>IFERROR(IF(compras_mes123[[#This Row],[CUIT]]="","-",VLOOKUP(compras_mes123[[#This Row],[CUIT]],Lista_CUIT[#All],2,0)),"CUIT NO CARGADO")</f>
        <v>VERISURE ARGENTINA MONITOREO DE ALARMAS SA</v>
      </c>
      <c r="H21" s="46">
        <v>62999</v>
      </c>
      <c r="I21" s="85">
        <f>IF(compras_mes123[[#This Row],[NETO GRAVADO]]="","",compras_mes123[[#This Row],[NETO GRAVADO]]*0.21)</f>
        <v>13229.789999999999</v>
      </c>
      <c r="J21" s="85"/>
      <c r="K21" s="85"/>
      <c r="L21" s="85"/>
      <c r="M21" s="85"/>
      <c r="N21" s="85"/>
      <c r="O21" s="85"/>
      <c r="P21" s="48">
        <f>SUM(compras_mes123[[#This Row],[NETO GRAVADO]:[Otros / No Grav.]])</f>
        <v>76228.789999999994</v>
      </c>
      <c r="Q21" s="49" t="str">
        <f>IFERROR(IF(compras_mes123[[#This Row],[CUIT]]="","-",VLOOKUP(compras_mes123[[#This Row],[CUIT]],Lista_CUIT[#All],3,0)),"CUIT NO CARGADO")</f>
        <v>Serv. Seguridad</v>
      </c>
      <c r="R21" s="49">
        <f>IFERROR(IF(compras_mes123[[#This Row],[CUIT]]="","-",VLOOKUP(compras_mes123[[#This Row],[CUIT]],Lista_CUIT[#All],4,0)),"CUIT NO CARGADO")</f>
        <v>0</v>
      </c>
    </row>
    <row r="22" spans="2:18" ht="15" customHeight="1" x14ac:dyDescent="0.25">
      <c r="B22" s="40" t="s">
        <v>2935</v>
      </c>
      <c r="C22" s="41">
        <v>1</v>
      </c>
      <c r="D22" s="42">
        <v>2</v>
      </c>
      <c r="E22" s="43">
        <v>332</v>
      </c>
      <c r="F22" s="44">
        <v>27309896063</v>
      </c>
      <c r="G22" s="45" t="str">
        <f>IFERROR(IF(compras_mes123[[#This Row],[CUIT]]="","-",VLOOKUP(compras_mes123[[#This Row],[CUIT]],Lista_CUIT[#All],2,0)),"CUIT NO CARGADO")</f>
        <v>BATTELLINI MARIA SOLEDAD</v>
      </c>
      <c r="H22" s="46">
        <v>720000</v>
      </c>
      <c r="I22" s="85">
        <f>IF(compras_mes123[[#This Row],[NETO GRAVADO]]="","",compras_mes123[[#This Row],[NETO GRAVADO]]*0.21)</f>
        <v>151200</v>
      </c>
      <c r="J22" s="85"/>
      <c r="K22" s="85"/>
      <c r="L22" s="85"/>
      <c r="M22" s="85"/>
      <c r="N22" s="85"/>
      <c r="O22" s="85"/>
      <c r="P22" s="48">
        <f>SUM(compras_mes123[[#This Row],[NETO GRAVADO]:[Otros / No Grav.]])</f>
        <v>871200</v>
      </c>
      <c r="Q22" s="49" t="str">
        <f>IFERROR(IF(compras_mes123[[#This Row],[CUIT]]="","-",VLOOKUP(compras_mes123[[#This Row],[CUIT]],Lista_CUIT[#All],3,0)),"CUIT NO CARGADO")</f>
        <v>Alquiler</v>
      </c>
      <c r="R22" s="49">
        <f>IFERROR(IF(compras_mes123[[#This Row],[CUIT]]="","-",VLOOKUP(compras_mes123[[#This Row],[CUIT]],Lista_CUIT[#All],4,0)),"CUIT NO CARGADO")</f>
        <v>0</v>
      </c>
    </row>
    <row r="23" spans="2:18" ht="15" customHeight="1" x14ac:dyDescent="0.25">
      <c r="B23" s="40" t="s">
        <v>2935</v>
      </c>
      <c r="C23" s="41">
        <v>1</v>
      </c>
      <c r="D23" s="42">
        <v>1</v>
      </c>
      <c r="E23" s="43">
        <v>79</v>
      </c>
      <c r="F23" s="44">
        <v>30718531736</v>
      </c>
      <c r="G23" s="45" t="str">
        <f>IFERROR(IF(compras_mes123[[#This Row],[CUIT]]="","-",VLOOKUP(compras_mes123[[#This Row],[CUIT]],Lista_CUIT[#All],2,0)),"CUIT NO CARGADO")</f>
        <v>SOL ESTUDIO CREATIVO S. CAP I SECC IV</v>
      </c>
      <c r="H23" s="46">
        <v>7200000</v>
      </c>
      <c r="I23" s="85">
        <f>IF(compras_mes123[[#This Row],[NETO GRAVADO]]="","",compras_mes123[[#This Row],[NETO GRAVADO]]*0.21)</f>
        <v>1512000</v>
      </c>
      <c r="J23" s="85"/>
      <c r="K23" s="85"/>
      <c r="L23" s="85"/>
      <c r="M23" s="85"/>
      <c r="N23" s="85"/>
      <c r="O23" s="85"/>
      <c r="P23" s="48">
        <f>SUM(compras_mes123[[#This Row],[NETO GRAVADO]:[Otros / No Grav.]])</f>
        <v>8712000</v>
      </c>
      <c r="Q23" s="49" t="str">
        <f>IFERROR(IF(compras_mes123[[#This Row],[CUIT]]="","-",VLOOKUP(compras_mes123[[#This Row],[CUIT]],Lista_CUIT[#All],3,0)),"CUIT NO CARGADO")</f>
        <v>Productos Venta</v>
      </c>
      <c r="R23" s="49">
        <f>IFERROR(IF(compras_mes123[[#This Row],[CUIT]]="","-",VLOOKUP(compras_mes123[[#This Row],[CUIT]],Lista_CUIT[#All],4,0)),"CUIT NO CARGADO")</f>
        <v>0</v>
      </c>
    </row>
    <row r="24" spans="2:18" x14ac:dyDescent="0.25">
      <c r="B24" s="40" t="s">
        <v>2935</v>
      </c>
      <c r="C24" s="41">
        <v>1</v>
      </c>
      <c r="D24" s="42">
        <v>2</v>
      </c>
      <c r="E24" s="43">
        <v>4190</v>
      </c>
      <c r="F24" s="44">
        <v>30629863571</v>
      </c>
      <c r="G24" s="45" t="str">
        <f>IFERROR(IF(compras_mes123[[#This Row],[CUIT]]="","-",VLOOKUP(compras_mes123[[#This Row],[CUIT]],Lista_CUIT[#All],2,0)),"CUIT NO CARGADO")</f>
        <v>TECNIMAR S R L</v>
      </c>
      <c r="H24" s="46">
        <v>7082500</v>
      </c>
      <c r="I24" s="85">
        <f>IF(compras_mes123[[#This Row],[NETO GRAVADO]]="","",compras_mes123[[#This Row],[NETO GRAVADO]]*0.21)</f>
        <v>1487325</v>
      </c>
      <c r="J24" s="85"/>
      <c r="K24" s="85"/>
      <c r="L24" s="85"/>
      <c r="M24" s="85"/>
      <c r="N24" s="85"/>
      <c r="O24" s="85"/>
      <c r="P24" s="48">
        <f>SUM(compras_mes123[[#This Row],[NETO GRAVADO]:[Otros / No Grav.]])</f>
        <v>8569825</v>
      </c>
      <c r="Q24" s="49" t="str">
        <f>IFERROR(IF(compras_mes123[[#This Row],[CUIT]]="","-",VLOOKUP(compras_mes123[[#This Row],[CUIT]],Lista_CUIT[#All],3,0)),"CUIT NO CARGADO")</f>
        <v>Productos Venta</v>
      </c>
      <c r="R24" s="49">
        <f>IFERROR(IF(compras_mes123[[#This Row],[CUIT]]="","-",VLOOKUP(compras_mes123[[#This Row],[CUIT]],Lista_CUIT[#All],4,0)),"CUIT NO CARGADO")</f>
        <v>0</v>
      </c>
    </row>
    <row r="25" spans="2:18" x14ac:dyDescent="0.25">
      <c r="B25" s="40" t="s">
        <v>2936</v>
      </c>
      <c r="C25" s="41">
        <v>1</v>
      </c>
      <c r="D25" s="42">
        <v>3</v>
      </c>
      <c r="E25" s="43">
        <v>161889</v>
      </c>
      <c r="F25" s="44">
        <v>30708708697</v>
      </c>
      <c r="G25" s="45" t="str">
        <f>IFERROR(IF(compras_mes123[[#This Row],[CUIT]]="","-",VLOOKUP(compras_mes123[[#This Row],[CUIT]],Lista_CUIT[#All],2,0)),"CUIT NO CARGADO")</f>
        <v>FERCOL LUBRICANTES S.R.L.</v>
      </c>
      <c r="H25" s="46">
        <v>0</v>
      </c>
      <c r="I25" s="85">
        <f>IF(compras_mes123[[#This Row],[NETO GRAVADO]]="","",compras_mes123[[#This Row],[NETO GRAVADO]]*0.21)</f>
        <v>0</v>
      </c>
      <c r="J25" s="85"/>
      <c r="K25" s="85"/>
      <c r="L25" s="85"/>
      <c r="M25" s="85"/>
      <c r="N25" s="85"/>
      <c r="O25" s="85">
        <v>3164700</v>
      </c>
      <c r="P25" s="48">
        <f>SUM(compras_mes123[[#This Row],[NETO GRAVADO]:[Otros / No Grav.]])</f>
        <v>3164700</v>
      </c>
      <c r="Q25" s="49" t="str">
        <f>IFERROR(IF(compras_mes123[[#This Row],[CUIT]]="","-",VLOOKUP(compras_mes123[[#This Row],[CUIT]],Lista_CUIT[#All],3,0)),"CUIT NO CARGADO")</f>
        <v>Alquiler</v>
      </c>
      <c r="R25" s="49">
        <f>IFERROR(IF(compras_mes123[[#This Row],[CUIT]]="","-",VLOOKUP(compras_mes123[[#This Row],[CUIT]],Lista_CUIT[#All],4,0)),"CUIT NO CARGADO")</f>
        <v>0</v>
      </c>
    </row>
    <row r="26" spans="2:18" x14ac:dyDescent="0.25">
      <c r="B26" s="40" t="s">
        <v>2936</v>
      </c>
      <c r="C26" s="41">
        <v>1</v>
      </c>
      <c r="D26" s="42">
        <v>23</v>
      </c>
      <c r="E26" s="43">
        <v>9134</v>
      </c>
      <c r="F26" s="44">
        <v>30679067431</v>
      </c>
      <c r="G26" s="45" t="str">
        <f>IFERROR(IF(compras_mes123[[#This Row],[CUIT]]="","-",VLOOKUP(compras_mes123[[#This Row],[CUIT]],Lista_CUIT[#All],2,0)),"CUIT NO CARGADO")</f>
        <v>LIBRERÍA PELUFFO SRL</v>
      </c>
      <c r="H26" s="46">
        <v>93586.78</v>
      </c>
      <c r="I26" s="85">
        <f>IF(compras_mes123[[#This Row],[NETO GRAVADO]]="","",compras_mes123[[#This Row],[NETO GRAVADO]]*0.21)</f>
        <v>19653.2238</v>
      </c>
      <c r="J26" s="85"/>
      <c r="K26" s="85"/>
      <c r="L26" s="85"/>
      <c r="M26" s="85"/>
      <c r="N26" s="85"/>
      <c r="O26" s="85"/>
      <c r="P26" s="48">
        <f>SUM(compras_mes123[[#This Row],[NETO GRAVADO]:[Otros / No Grav.]])</f>
        <v>113240.00380000001</v>
      </c>
      <c r="Q26" s="49" t="str">
        <f>IFERROR(IF(compras_mes123[[#This Row],[CUIT]]="","-",VLOOKUP(compras_mes123[[#This Row],[CUIT]],Lista_CUIT[#All],3,0)),"CUIT NO CARGADO")</f>
        <v>LIBRERÍA</v>
      </c>
      <c r="R26" s="49">
        <f>IFERROR(IF(compras_mes123[[#This Row],[CUIT]]="","-",VLOOKUP(compras_mes123[[#This Row],[CUIT]],Lista_CUIT[#All],4,0)),"CUIT NO CARGADO")</f>
        <v>0</v>
      </c>
    </row>
    <row r="27" spans="2:18" x14ac:dyDescent="0.25">
      <c r="B27" s="40" t="s">
        <v>2936</v>
      </c>
      <c r="C27" s="41">
        <v>1</v>
      </c>
      <c r="D27" s="42">
        <v>10</v>
      </c>
      <c r="E27" s="43">
        <v>7687</v>
      </c>
      <c r="F27" s="44">
        <v>30714683663</v>
      </c>
      <c r="G27" s="45" t="str">
        <f>IFERROR(IF(compras_mes123[[#This Row],[CUIT]]="","-",VLOOKUP(compras_mes123[[#This Row],[CUIT]],Lista_CUIT[#All],2,0)),"CUIT NO CARGADO")</f>
        <v>BAMBU ARGENTINA S.A.</v>
      </c>
      <c r="H27" s="46">
        <v>322350</v>
      </c>
      <c r="I27" s="85">
        <f>IF(compras_mes123[[#This Row],[NETO GRAVADO]]="","",compras_mes123[[#This Row],[NETO GRAVADO]]*0.21)</f>
        <v>67693.5</v>
      </c>
      <c r="J27" s="85"/>
      <c r="K27" s="85"/>
      <c r="L27" s="85"/>
      <c r="M27" s="85"/>
      <c r="N27" s="85"/>
      <c r="O27" s="85"/>
      <c r="P27" s="48">
        <f>SUM(compras_mes123[[#This Row],[NETO GRAVADO]:[Otros / No Grav.]])</f>
        <v>390043.5</v>
      </c>
      <c r="Q27" s="49" t="str">
        <f>IFERROR(IF(compras_mes123[[#This Row],[CUIT]]="","-",VLOOKUP(compras_mes123[[#This Row],[CUIT]],Lista_CUIT[#All],3,0)),"CUIT NO CARGADO")</f>
        <v>Productos Terminados</v>
      </c>
      <c r="R27" s="49">
        <f>IFERROR(IF(compras_mes123[[#This Row],[CUIT]]="","-",VLOOKUP(compras_mes123[[#This Row],[CUIT]],Lista_CUIT[#All],4,0)),"CUIT NO CARGADO")</f>
        <v>0</v>
      </c>
    </row>
    <row r="28" spans="2:18" ht="16.899999999999999" customHeight="1" x14ac:dyDescent="0.25">
      <c r="B28" s="40" t="s">
        <v>2936</v>
      </c>
      <c r="C28" s="41">
        <v>1</v>
      </c>
      <c r="D28" s="42">
        <v>10</v>
      </c>
      <c r="E28" s="43">
        <v>7689</v>
      </c>
      <c r="F28" s="44">
        <v>30714683663</v>
      </c>
      <c r="G28" s="45" t="str">
        <f>IFERROR(IF(compras_mes123[[#This Row],[CUIT]]="","-",VLOOKUP(compras_mes123[[#This Row],[CUIT]],Lista_CUIT[#All],2,0)),"CUIT NO CARGADO")</f>
        <v>BAMBU ARGENTINA S.A.</v>
      </c>
      <c r="H28" s="46">
        <v>522750</v>
      </c>
      <c r="I28" s="85">
        <f>IF(compras_mes123[[#This Row],[NETO GRAVADO]]="","",compras_mes123[[#This Row],[NETO GRAVADO]]*0.21)</f>
        <v>109777.5</v>
      </c>
      <c r="J28" s="85"/>
      <c r="K28" s="85"/>
      <c r="L28" s="85"/>
      <c r="M28" s="85"/>
      <c r="N28" s="85"/>
      <c r="O28" s="85"/>
      <c r="P28" s="48">
        <f>SUM(compras_mes123[[#This Row],[NETO GRAVADO]:[Otros / No Grav.]])</f>
        <v>632527.5</v>
      </c>
      <c r="Q28" s="49" t="str">
        <f>IFERROR(IF(compras_mes123[[#This Row],[CUIT]]="","-",VLOOKUP(compras_mes123[[#This Row],[CUIT]],Lista_CUIT[#All],3,0)),"CUIT NO CARGADO")</f>
        <v>Productos Terminados</v>
      </c>
      <c r="R28" s="49">
        <f>IFERROR(IF(compras_mes123[[#This Row],[CUIT]]="","-",VLOOKUP(compras_mes123[[#This Row],[CUIT]],Lista_CUIT[#All],4,0)),"CUIT NO CARGADO")</f>
        <v>0</v>
      </c>
    </row>
    <row r="29" spans="2:18" x14ac:dyDescent="0.25">
      <c r="B29" s="40" t="s">
        <v>2936</v>
      </c>
      <c r="C29" s="41">
        <v>1</v>
      </c>
      <c r="D29" s="42">
        <v>5</v>
      </c>
      <c r="E29" s="43">
        <v>31637</v>
      </c>
      <c r="F29" s="44">
        <v>20366883879</v>
      </c>
      <c r="G29" s="45" t="str">
        <f>IFERROR(IF(compras_mes123[[#This Row],[CUIT]]="","-",VLOOKUP(compras_mes123[[#This Row],[CUIT]],Lista_CUIT[#All],2,0)),"CUIT NO CARGADO")</f>
        <v>VACCARI DARIO</v>
      </c>
      <c r="H29" s="46">
        <v>35959.46</v>
      </c>
      <c r="I29" s="85">
        <f>IF(compras_mes123[[#This Row],[NETO GRAVADO]]="","",compras_mes123[[#This Row],[NETO GRAVADO]]*0.21)</f>
        <v>7551.4865999999993</v>
      </c>
      <c r="J29" s="85"/>
      <c r="K29" s="85"/>
      <c r="L29" s="85"/>
      <c r="M29" s="85"/>
      <c r="N29" s="85"/>
      <c r="O29" s="85"/>
      <c r="P29" s="48">
        <f>SUM(compras_mes123[[#This Row],[NETO GRAVADO]:[Otros / No Grav.]])</f>
        <v>43510.946599999996</v>
      </c>
      <c r="Q29" s="49" t="str">
        <f>IFERROR(IF(compras_mes123[[#This Row],[CUIT]]="","-",VLOOKUP(compras_mes123[[#This Row],[CUIT]],Lista_CUIT[#All],3,0)),"CUIT NO CARGADO")</f>
        <v>Muebles y Utiles</v>
      </c>
      <c r="R29" s="49">
        <f>IFERROR(IF(compras_mes123[[#This Row],[CUIT]]="","-",VLOOKUP(compras_mes123[[#This Row],[CUIT]],Lista_CUIT[#All],4,0)),"CUIT NO CARGADO")</f>
        <v>0</v>
      </c>
    </row>
    <row r="30" spans="2:18" x14ac:dyDescent="0.25">
      <c r="B30" s="40" t="s">
        <v>2936</v>
      </c>
      <c r="C30" s="41">
        <v>1</v>
      </c>
      <c r="D30" s="42">
        <v>63</v>
      </c>
      <c r="E30" s="43">
        <v>3552430</v>
      </c>
      <c r="F30" s="44">
        <v>30640897267</v>
      </c>
      <c r="G30" s="45" t="str">
        <f>IFERROR(IF(compras_mes123[[#This Row],[CUIT]]="","-",VLOOKUP(compras_mes123[[#This Row],[CUIT]],Lista_CUIT[#All],2,0)),"CUIT NO CARGADO")</f>
        <v>TELECENTRO S.A.</v>
      </c>
      <c r="H30" s="46">
        <v>33599.620000000003</v>
      </c>
      <c r="I30" s="85">
        <f>IF(compras_mes123[[#This Row],[NETO GRAVADO]]="","",compras_mes123[[#This Row],[NETO GRAVADO]]*0.21)</f>
        <v>7055.9202000000005</v>
      </c>
      <c r="J30" s="85"/>
      <c r="K30" s="85"/>
      <c r="L30" s="85"/>
      <c r="M30" s="85"/>
      <c r="N30" s="85"/>
      <c r="O30" s="85">
        <v>2015.97</v>
      </c>
      <c r="P30" s="48">
        <f>SUM(compras_mes123[[#This Row],[NETO GRAVADO]:[Otros / No Grav.]])</f>
        <v>42671.510200000004</v>
      </c>
      <c r="Q30" s="49" t="str">
        <f>IFERROR(IF(compras_mes123[[#This Row],[CUIT]]="","-",VLOOKUP(compras_mes123[[#This Row],[CUIT]],Lista_CUIT[#All],3,0)),"CUIT NO CARGADO")</f>
        <v>Servicios Gas, Luz, etc.</v>
      </c>
      <c r="R30" s="49">
        <f>IFERROR(IF(compras_mes123[[#This Row],[CUIT]]="","-",VLOOKUP(compras_mes123[[#This Row],[CUIT]],Lista_CUIT[#All],4,0)),"CUIT NO CARGADO")</f>
        <v>0</v>
      </c>
    </row>
    <row r="31" spans="2:18" x14ac:dyDescent="0.25">
      <c r="B31" s="40" t="s">
        <v>2936</v>
      </c>
      <c r="C31" s="41">
        <v>1</v>
      </c>
      <c r="D31" s="42">
        <v>63</v>
      </c>
      <c r="E31" s="43">
        <v>3561410</v>
      </c>
      <c r="F31" s="44">
        <v>30640897267</v>
      </c>
      <c r="G31" s="45" t="str">
        <f>IFERROR(IF(compras_mes123[[#This Row],[CUIT]]="","-",VLOOKUP(compras_mes123[[#This Row],[CUIT]],Lista_CUIT[#All],2,0)),"CUIT NO CARGADO")</f>
        <v>TELECENTRO S.A.</v>
      </c>
      <c r="H31" s="46">
        <v>18719.22</v>
      </c>
      <c r="I31" s="85">
        <f>IF(compras_mes123[[#This Row],[NETO GRAVADO]]="","",compras_mes123[[#This Row],[NETO GRAVADO]]*0.21)</f>
        <v>3931.0362</v>
      </c>
      <c r="J31" s="85"/>
      <c r="K31" s="85"/>
      <c r="L31" s="85"/>
      <c r="M31" s="85"/>
      <c r="N31" s="85"/>
      <c r="O31" s="85">
        <v>1123.1600000000001</v>
      </c>
      <c r="P31" s="48">
        <f>SUM(compras_mes123[[#This Row],[NETO GRAVADO]:[Otros / No Grav.]])</f>
        <v>23773.4162</v>
      </c>
      <c r="Q31" s="49" t="str">
        <f>IFERROR(IF(compras_mes123[[#This Row],[CUIT]]="","-",VLOOKUP(compras_mes123[[#This Row],[CUIT]],Lista_CUIT[#All],3,0)),"CUIT NO CARGADO")</f>
        <v>Servicios Gas, Luz, etc.</v>
      </c>
      <c r="R31" s="49">
        <f>IFERROR(IF(compras_mes123[[#This Row],[CUIT]]="","-",VLOOKUP(compras_mes123[[#This Row],[CUIT]],Lista_CUIT[#All],4,0)),"CUIT NO CARGADO")</f>
        <v>0</v>
      </c>
    </row>
    <row r="32" spans="2:18" x14ac:dyDescent="0.25">
      <c r="B32" s="40" t="s">
        <v>2936</v>
      </c>
      <c r="C32" s="41">
        <v>1</v>
      </c>
      <c r="D32" s="42">
        <v>63</v>
      </c>
      <c r="E32" s="43">
        <v>3542776</v>
      </c>
      <c r="F32" s="44">
        <v>30640897267</v>
      </c>
      <c r="G32" s="45" t="str">
        <f>IFERROR(IF(compras_mes123[[#This Row],[CUIT]]="","-",VLOOKUP(compras_mes123[[#This Row],[CUIT]],Lista_CUIT[#All],2,0)),"CUIT NO CARGADO")</f>
        <v>TELECENTRO S.A.</v>
      </c>
      <c r="H32" s="46">
        <v>43597.73</v>
      </c>
      <c r="I32" s="85">
        <f>IF(compras_mes123[[#This Row],[NETO GRAVADO]]="","",compras_mes123[[#This Row],[NETO GRAVADO]]*0.21)</f>
        <v>9155.5233000000007</v>
      </c>
      <c r="J32" s="85"/>
      <c r="K32" s="85"/>
      <c r="L32" s="85"/>
      <c r="M32" s="85"/>
      <c r="N32" s="85"/>
      <c r="O32" s="85">
        <v>2615.86</v>
      </c>
      <c r="P32" s="48">
        <f>SUM(compras_mes123[[#This Row],[NETO GRAVADO]:[Otros / No Grav.]])</f>
        <v>55369.113300000005</v>
      </c>
      <c r="Q32" s="49" t="str">
        <f>IFERROR(IF(compras_mes123[[#This Row],[CUIT]]="","-",VLOOKUP(compras_mes123[[#This Row],[CUIT]],Lista_CUIT[#All],3,0)),"CUIT NO CARGADO")</f>
        <v>Servicios Gas, Luz, etc.</v>
      </c>
      <c r="R32" s="49">
        <f>IFERROR(IF(compras_mes123[[#This Row],[CUIT]]="","-",VLOOKUP(compras_mes123[[#This Row],[CUIT]],Lista_CUIT[#All],4,0)),"CUIT NO CARGADO")</f>
        <v>0</v>
      </c>
    </row>
    <row r="33" spans="2:18" x14ac:dyDescent="0.25">
      <c r="B33" s="40" t="s">
        <v>2936</v>
      </c>
      <c r="C33" s="41">
        <v>1</v>
      </c>
      <c r="D33" s="42">
        <v>63</v>
      </c>
      <c r="E33" s="43">
        <v>3544008</v>
      </c>
      <c r="F33" s="44">
        <v>30640897267</v>
      </c>
      <c r="G33" s="45" t="str">
        <f>IFERROR(IF(compras_mes123[[#This Row],[CUIT]]="","-",VLOOKUP(compras_mes123[[#This Row],[CUIT]],Lista_CUIT[#All],2,0)),"CUIT NO CARGADO")</f>
        <v>TELECENTRO S.A.</v>
      </c>
      <c r="H33" s="46">
        <v>44111.61</v>
      </c>
      <c r="I33" s="85">
        <f>IF(compras_mes123[[#This Row],[NETO GRAVADO]]="","",compras_mes123[[#This Row],[NETO GRAVADO]]*0.21)</f>
        <v>9263.4380999999994</v>
      </c>
      <c r="J33" s="85"/>
      <c r="K33" s="85"/>
      <c r="L33" s="85"/>
      <c r="M33" s="85"/>
      <c r="N33" s="85"/>
      <c r="O33" s="85">
        <v>2646.7</v>
      </c>
      <c r="P33" s="48">
        <f>SUM(compras_mes123[[#This Row],[NETO GRAVADO]:[Otros / No Grav.]])</f>
        <v>56021.748099999997</v>
      </c>
      <c r="Q33" s="49" t="str">
        <f>IFERROR(IF(compras_mes123[[#This Row],[CUIT]]="","-",VLOOKUP(compras_mes123[[#This Row],[CUIT]],Lista_CUIT[#All],3,0)),"CUIT NO CARGADO")</f>
        <v>Servicios Gas, Luz, etc.</v>
      </c>
      <c r="R33" s="49">
        <f>IFERROR(IF(compras_mes123[[#This Row],[CUIT]]="","-",VLOOKUP(compras_mes123[[#This Row],[CUIT]],Lista_CUIT[#All],4,0)),"CUIT NO CARGADO")</f>
        <v>0</v>
      </c>
    </row>
    <row r="34" spans="2:18" x14ac:dyDescent="0.25">
      <c r="B34" s="40" t="s">
        <v>2936</v>
      </c>
      <c r="C34" s="41">
        <v>1</v>
      </c>
      <c r="D34" s="42">
        <v>1</v>
      </c>
      <c r="E34" s="43">
        <v>80</v>
      </c>
      <c r="F34" s="44">
        <v>30718531736</v>
      </c>
      <c r="G34" s="45" t="str">
        <f>IFERROR(IF(compras_mes123[[#This Row],[CUIT]]="","-",VLOOKUP(compras_mes123[[#This Row],[CUIT]],Lista_CUIT[#All],2,0)),"CUIT NO CARGADO")</f>
        <v>SOL ESTUDIO CREATIVO S. CAP I SECC IV</v>
      </c>
      <c r="H34" s="46">
        <v>6900000</v>
      </c>
      <c r="I34" s="85">
        <f>IF(compras_mes123[[#This Row],[NETO GRAVADO]]="","",compras_mes123[[#This Row],[NETO GRAVADO]]*0.21)</f>
        <v>1449000</v>
      </c>
      <c r="J34" s="85"/>
      <c r="K34" s="85"/>
      <c r="L34" s="85"/>
      <c r="M34" s="85"/>
      <c r="N34" s="85"/>
      <c r="O34" s="85"/>
      <c r="P34" s="48">
        <f>SUM(compras_mes123[[#This Row],[NETO GRAVADO]:[Otros / No Grav.]])</f>
        <v>8349000</v>
      </c>
      <c r="Q34" s="49" t="str">
        <f>IFERROR(IF(compras_mes123[[#This Row],[CUIT]]="","-",VLOOKUP(compras_mes123[[#This Row],[CUIT]],Lista_CUIT[#All],3,0)),"CUIT NO CARGADO")</f>
        <v>Productos Venta</v>
      </c>
      <c r="R34" s="49">
        <f>IFERROR(IF(compras_mes123[[#This Row],[CUIT]]="","-",VLOOKUP(compras_mes123[[#This Row],[CUIT]],Lista_CUIT[#All],4,0)),"CUIT NO CARGADO")</f>
        <v>0</v>
      </c>
    </row>
    <row r="35" spans="2:18" x14ac:dyDescent="0.25">
      <c r="B35" s="40" t="s">
        <v>2936</v>
      </c>
      <c r="C35" s="41">
        <v>1</v>
      </c>
      <c r="D35" s="42">
        <v>3</v>
      </c>
      <c r="E35" s="43">
        <v>161</v>
      </c>
      <c r="F35" s="44">
        <v>27210116120</v>
      </c>
      <c r="G35" s="45" t="str">
        <f>IFERROR(IF(compras_mes123[[#This Row],[CUIT]]="","-",VLOOKUP(compras_mes123[[#This Row],[CUIT]],Lista_CUIT[#All],2,0)),"CUIT NO CARGADO")</f>
        <v>Borrachetti Monica Adriana</v>
      </c>
      <c r="H35" s="46">
        <v>492000</v>
      </c>
      <c r="I35" s="85">
        <f>IF(compras_mes123[[#This Row],[NETO GRAVADO]]="","",compras_mes123[[#This Row],[NETO GRAVADO]]*0.21)</f>
        <v>103320</v>
      </c>
      <c r="J35" s="85"/>
      <c r="K35" s="85"/>
      <c r="L35" s="85"/>
      <c r="M35" s="85"/>
      <c r="N35" s="85"/>
      <c r="O35" s="85"/>
      <c r="P35" s="48">
        <f>SUM(compras_mes123[[#This Row],[NETO GRAVADO]:[Otros / No Grav.]])</f>
        <v>595320</v>
      </c>
      <c r="Q35" s="49" t="str">
        <f>IFERROR(IF(compras_mes123[[#This Row],[CUIT]]="","-",VLOOKUP(compras_mes123[[#This Row],[CUIT]],Lista_CUIT[#All],3,0)),"CUIT NO CARGADO")</f>
        <v>Honorarios Legales</v>
      </c>
      <c r="R35" s="49">
        <f>IFERROR(IF(compras_mes123[[#This Row],[CUIT]]="","-",VLOOKUP(compras_mes123[[#This Row],[CUIT]],Lista_CUIT[#All],4,0)),"CUIT NO CARGADO")</f>
        <v>0</v>
      </c>
    </row>
    <row r="36" spans="2:18" x14ac:dyDescent="0.25">
      <c r="B36" s="40" t="s">
        <v>2936</v>
      </c>
      <c r="C36" s="41">
        <v>1</v>
      </c>
      <c r="D36" s="42">
        <v>2</v>
      </c>
      <c r="E36" s="43">
        <v>4191</v>
      </c>
      <c r="F36" s="44">
        <v>30629863571</v>
      </c>
      <c r="G36" s="45" t="str">
        <f>IFERROR(IF(compras_mes123[[#This Row],[CUIT]]="","-",VLOOKUP(compras_mes123[[#This Row],[CUIT]],Lista_CUIT[#All],2,0)),"CUIT NO CARGADO")</f>
        <v>TECNIMAR S R L</v>
      </c>
      <c r="H36" s="46">
        <v>2320389</v>
      </c>
      <c r="I36" s="85">
        <f>IF(compras_mes123[[#This Row],[NETO GRAVADO]]="","",compras_mes123[[#This Row],[NETO GRAVADO]]*0.21)</f>
        <v>487281.69</v>
      </c>
      <c r="J36" s="85"/>
      <c r="K36" s="85"/>
      <c r="L36" s="85"/>
      <c r="M36" s="85"/>
      <c r="N36" s="85"/>
      <c r="O36" s="85"/>
      <c r="P36" s="48">
        <f>SUM(compras_mes123[[#This Row],[NETO GRAVADO]:[Otros / No Grav.]])</f>
        <v>2807670.69</v>
      </c>
      <c r="Q36" s="49" t="str">
        <f>IFERROR(IF(compras_mes123[[#This Row],[CUIT]]="","-",VLOOKUP(compras_mes123[[#This Row],[CUIT]],Lista_CUIT[#All],3,0)),"CUIT NO CARGADO")</f>
        <v>Productos Venta</v>
      </c>
      <c r="R36" s="49">
        <f>IFERROR(IF(compras_mes123[[#This Row],[CUIT]]="","-",VLOOKUP(compras_mes123[[#This Row],[CUIT]],Lista_CUIT[#All],4,0)),"CUIT NO CARGADO")</f>
        <v>0</v>
      </c>
    </row>
    <row r="37" spans="2:18" x14ac:dyDescent="0.25">
      <c r="B37" s="40" t="s">
        <v>2937</v>
      </c>
      <c r="C37" s="41">
        <v>1</v>
      </c>
      <c r="D37" s="42">
        <v>11281</v>
      </c>
      <c r="E37" s="43">
        <v>1781</v>
      </c>
      <c r="F37" s="44">
        <v>30687310434</v>
      </c>
      <c r="G37" s="45" t="str">
        <f>IFERROR(IF(compras_mes123[[#This Row],[CUIT]]="","-",VLOOKUP(compras_mes123[[#This Row],[CUIT]],Lista_CUIT[#All],2,0)),"CUIT NO CARGADO")</f>
        <v>INC  SOCIEDAD ANONIMA</v>
      </c>
      <c r="H37" s="46">
        <v>26728.66</v>
      </c>
      <c r="I37" s="85">
        <v>1485.45</v>
      </c>
      <c r="J37" s="85"/>
      <c r="K37" s="85">
        <v>2063.79</v>
      </c>
      <c r="L37" s="85"/>
      <c r="M37" s="85"/>
      <c r="N37" s="85"/>
      <c r="O37" s="85">
        <v>1308.9000000000001</v>
      </c>
      <c r="P37" s="48">
        <f>SUM(compras_mes123[[#This Row],[NETO GRAVADO]:[Otros / No Grav.]])</f>
        <v>31586.800000000003</v>
      </c>
      <c r="Q37" s="49" t="str">
        <f>IFERROR(IF(compras_mes123[[#This Row],[CUIT]]="","-",VLOOKUP(compras_mes123[[#This Row],[CUIT]],Lista_CUIT[#All],3,0)),"CUIT NO CARGADO")</f>
        <v>Combustible</v>
      </c>
      <c r="R37" s="49">
        <f>IFERROR(IF(compras_mes123[[#This Row],[CUIT]]="","-",VLOOKUP(compras_mes123[[#This Row],[CUIT]],Lista_CUIT[#All],4,0)),"CUIT NO CARGADO")</f>
        <v>0</v>
      </c>
    </row>
    <row r="38" spans="2:18" x14ac:dyDescent="0.25">
      <c r="B38" s="508" t="s">
        <v>2937</v>
      </c>
      <c r="C38" s="41">
        <v>1</v>
      </c>
      <c r="D38" s="509">
        <v>6854</v>
      </c>
      <c r="E38" s="510">
        <v>21868</v>
      </c>
      <c r="F38" s="511">
        <v>30678774495</v>
      </c>
      <c r="G38" s="522" t="str">
        <f>IFERROR(IF(compras_mes123[[#This Row],[CUIT]]="","-",VLOOKUP(compras_mes123[[#This Row],[CUIT]],Lista_CUIT[#All],2,0)),"CUIT NO CARGADO")</f>
        <v>OPER. DE EST. DE SERV. SA</v>
      </c>
      <c r="H38" s="516">
        <v>17710.41</v>
      </c>
      <c r="I38" s="85">
        <f>IF(compras_mes123[[#This Row],[NETO GRAVADO]]="","",compras_mes123[[#This Row],[NETO GRAVADO]]*0.21)</f>
        <v>3719.1860999999999</v>
      </c>
      <c r="J38" s="519"/>
      <c r="K38" s="519"/>
      <c r="L38" s="519"/>
      <c r="M38" s="519"/>
      <c r="N38" s="519"/>
      <c r="O38" s="519">
        <v>3890.4</v>
      </c>
      <c r="P38" s="523">
        <f>SUM(compras_mes123[[#This Row],[NETO GRAVADO]:[Otros / No Grav.]])</f>
        <v>25319.9961</v>
      </c>
      <c r="Q38" s="524" t="str">
        <f>IFERROR(IF(compras_mes123[[#This Row],[CUIT]]="","-",VLOOKUP(compras_mes123[[#This Row],[CUIT]],Lista_CUIT[#All],3,0)),"CUIT NO CARGADO")</f>
        <v>Combustible</v>
      </c>
      <c r="R38" s="524">
        <f>IFERROR(IF(compras_mes123[[#This Row],[CUIT]]="","-",VLOOKUP(compras_mes123[[#This Row],[CUIT]],Lista_CUIT[#All],4,0)),"CUIT NO CARGADO")</f>
        <v>0</v>
      </c>
    </row>
    <row r="39" spans="2:18" x14ac:dyDescent="0.25">
      <c r="B39" s="40" t="s">
        <v>2937</v>
      </c>
      <c r="C39" s="41">
        <v>1</v>
      </c>
      <c r="D39" s="42">
        <v>1</v>
      </c>
      <c r="E39" s="43">
        <v>71</v>
      </c>
      <c r="F39" s="44">
        <v>30717504824</v>
      </c>
      <c r="G39" s="45" t="str">
        <f>IFERROR(IF(compras_mes123[[#This Row],[CUIT]]="","-",VLOOKUP(compras_mes123[[#This Row],[CUIT]],Lista_CUIT[#All],2,0)),"CUIT NO CARGADO")</f>
        <v>FIDEICOMISO MAMBA</v>
      </c>
      <c r="H39" s="46">
        <v>3737556.57</v>
      </c>
      <c r="I39" s="85" t="s">
        <v>2411</v>
      </c>
      <c r="J39" s="85"/>
      <c r="K39" s="85">
        <f>compras_mes123[[#This Row],[NETO GRAVADO]]*0.105</f>
        <v>392443.43984999997</v>
      </c>
      <c r="L39" s="85"/>
      <c r="M39" s="85"/>
      <c r="N39" s="85"/>
      <c r="O39" s="85"/>
      <c r="P39" s="48">
        <f>SUM(compras_mes123[[#This Row],[NETO GRAVADO]:[Otros / No Grav.]])</f>
        <v>4130000.00985</v>
      </c>
      <c r="Q39" s="49" t="str">
        <f>IFERROR(IF(compras_mes123[[#This Row],[CUIT]]="","-",VLOOKUP(compras_mes123[[#This Row],[CUIT]],Lista_CUIT[#All],3,0)),"CUIT NO CARGADO")</f>
        <v>MANTENIMIENTO</v>
      </c>
      <c r="R39" s="49">
        <f>IFERROR(IF(compras_mes123[[#This Row],[CUIT]]="","-",VLOOKUP(compras_mes123[[#This Row],[CUIT]],Lista_CUIT[#All],4,0)),"CUIT NO CARGADO")</f>
        <v>0</v>
      </c>
    </row>
    <row r="40" spans="2:18" x14ac:dyDescent="0.25">
      <c r="B40" s="40" t="s">
        <v>2937</v>
      </c>
      <c r="C40" s="41">
        <v>1</v>
      </c>
      <c r="D40" s="42">
        <v>2</v>
      </c>
      <c r="E40" s="43">
        <v>4194</v>
      </c>
      <c r="F40" s="44">
        <v>30629863571</v>
      </c>
      <c r="G40" s="45" t="str">
        <f>IFERROR(IF(compras_mes123[[#This Row],[CUIT]]="","-",VLOOKUP(compras_mes123[[#This Row],[CUIT]],Lista_CUIT[#All],2,0)),"CUIT NO CARGADO")</f>
        <v>TECNIMAR S R L</v>
      </c>
      <c r="H40" s="46">
        <v>3502240</v>
      </c>
      <c r="I40" s="85">
        <f>IF(compras_mes123[[#This Row],[NETO GRAVADO]]="","",compras_mes123[[#This Row],[NETO GRAVADO]]*0.21)</f>
        <v>735470.4</v>
      </c>
      <c r="J40" s="85"/>
      <c r="K40" s="85"/>
      <c r="L40" s="85"/>
      <c r="M40" s="85"/>
      <c r="N40" s="85"/>
      <c r="O40" s="85"/>
      <c r="P40" s="48">
        <f>SUM(compras_mes123[[#This Row],[NETO GRAVADO]:[Otros / No Grav.]])</f>
        <v>4237710.4000000004</v>
      </c>
      <c r="Q40" s="49" t="str">
        <f>IFERROR(IF(compras_mes123[[#This Row],[CUIT]]="","-",VLOOKUP(compras_mes123[[#This Row],[CUIT]],Lista_CUIT[#All],3,0)),"CUIT NO CARGADO")</f>
        <v>Productos Venta</v>
      </c>
      <c r="R40" s="49">
        <f>IFERROR(IF(compras_mes123[[#This Row],[CUIT]]="","-",VLOOKUP(compras_mes123[[#This Row],[CUIT]],Lista_CUIT[#All],4,0)),"CUIT NO CARGADO")</f>
        <v>0</v>
      </c>
    </row>
    <row r="41" spans="2:18" x14ac:dyDescent="0.25">
      <c r="B41" s="40" t="s">
        <v>2938</v>
      </c>
      <c r="C41" s="41">
        <v>1</v>
      </c>
      <c r="D41" s="42">
        <v>5</v>
      </c>
      <c r="E41" s="43">
        <v>3853</v>
      </c>
      <c r="F41" s="44">
        <v>30711651779</v>
      </c>
      <c r="G41" s="45" t="str">
        <f>IFERROR(IF(compras_mes123[[#This Row],[CUIT]]="","-",VLOOKUP(compras_mes123[[#This Row],[CUIT]],Lista_CUIT[#All],2,0)),"CUIT NO CARGADO")</f>
        <v>INFOSOL BUENOS AIRES S.R.L.</v>
      </c>
      <c r="H41" s="46">
        <v>140495.87</v>
      </c>
      <c r="I41" s="85">
        <f>IF(compras_mes123[[#This Row],[NETO GRAVADO]]="","",compras_mes123[[#This Row],[NETO GRAVADO]]*0.21)</f>
        <v>29504.132699999998</v>
      </c>
      <c r="J41" s="85"/>
      <c r="K41" s="85"/>
      <c r="L41" s="85"/>
      <c r="M41" s="85"/>
      <c r="N41" s="85"/>
      <c r="O41" s="85"/>
      <c r="P41" s="48">
        <f>SUM(compras_mes123[[#This Row],[NETO GRAVADO]:[Otros / No Grav.]])</f>
        <v>170000.00269999998</v>
      </c>
      <c r="Q41" s="49" t="str">
        <f>IFERROR(IF(compras_mes123[[#This Row],[CUIT]]="","-",VLOOKUP(compras_mes123[[#This Row],[CUIT]],Lista_CUIT[#All],3,0)),"CUIT NO CARGADO")</f>
        <v>Servicios Informatica</v>
      </c>
      <c r="R41" s="49">
        <f>IFERROR(IF(compras_mes123[[#This Row],[CUIT]]="","-",VLOOKUP(compras_mes123[[#This Row],[CUIT]],Lista_CUIT[#All],4,0)),"CUIT NO CARGADO")</f>
        <v>0</v>
      </c>
    </row>
    <row r="42" spans="2:18" x14ac:dyDescent="0.25">
      <c r="B42" s="40" t="s">
        <v>2938</v>
      </c>
      <c r="C42" s="41">
        <v>1</v>
      </c>
      <c r="D42" s="42">
        <v>5</v>
      </c>
      <c r="E42" s="43">
        <v>27147</v>
      </c>
      <c r="F42" s="44">
        <v>30715695207</v>
      </c>
      <c r="G42" s="45" t="str">
        <f>IFERROR(IF(compras_mes123[[#This Row],[CUIT]]="","-",VLOOKUP(compras_mes123[[#This Row],[CUIT]],Lista_CUIT[#All],2,0)),"CUIT NO CARGADO")</f>
        <v>EMPRESAS DE ANGELI S.R.L.</v>
      </c>
      <c r="H42" s="46">
        <v>4929.12</v>
      </c>
      <c r="I42" s="85">
        <f>IF(compras_mes123[[#This Row],[NETO GRAVADO]]="","",compras_mes123[[#This Row],[NETO GRAVADO]]*0.21)</f>
        <v>1035.1152</v>
      </c>
      <c r="J42" s="85"/>
      <c r="K42" s="85"/>
      <c r="L42" s="85"/>
      <c r="M42" s="85"/>
      <c r="N42" s="85"/>
      <c r="O42" s="85"/>
      <c r="P42" s="48">
        <f>SUM(compras_mes123[[#This Row],[NETO GRAVADO]:[Otros / No Grav.]])</f>
        <v>5964.2352000000001</v>
      </c>
      <c r="Q42" s="49" t="str">
        <f>IFERROR(IF(compras_mes123[[#This Row],[CUIT]]="","-",VLOOKUP(compras_mes123[[#This Row],[CUIT]],Lista_CUIT[#All],3,0)),"CUIT NO CARGADO")</f>
        <v>Insumos</v>
      </c>
      <c r="R42" s="49">
        <f>IFERROR(IF(compras_mes123[[#This Row],[CUIT]]="","-",VLOOKUP(compras_mes123[[#This Row],[CUIT]],Lista_CUIT[#All],4,0)),"CUIT NO CARGADO")</f>
        <v>0</v>
      </c>
    </row>
    <row r="43" spans="2:18" x14ac:dyDescent="0.25">
      <c r="B43" s="40" t="s">
        <v>2938</v>
      </c>
      <c r="C43" s="41">
        <v>1</v>
      </c>
      <c r="D43" s="42">
        <v>11279</v>
      </c>
      <c r="E43" s="43">
        <v>1162</v>
      </c>
      <c r="F43" s="44">
        <v>30687310434</v>
      </c>
      <c r="G43" s="45" t="str">
        <f>IFERROR(IF(compras_mes123[[#This Row],[CUIT]]="","-",VLOOKUP(compras_mes123[[#This Row],[CUIT]],Lista_CUIT[#All],2,0)),"CUIT NO CARGADO")</f>
        <v>INC  SOCIEDAD ANONIMA</v>
      </c>
      <c r="H43" s="46">
        <v>17684.349999999999</v>
      </c>
      <c r="I43" s="85">
        <v>328.38</v>
      </c>
      <c r="J43" s="85"/>
      <c r="K43" s="85">
        <v>1692.67</v>
      </c>
      <c r="L43" s="85"/>
      <c r="M43" s="85"/>
      <c r="N43" s="85"/>
      <c r="O43" s="85">
        <v>930.39</v>
      </c>
      <c r="P43" s="48">
        <f>SUM(compras_mes123[[#This Row],[NETO GRAVADO]:[Otros / No Grav.]])</f>
        <v>20635.79</v>
      </c>
      <c r="Q43" s="49" t="str">
        <f>IFERROR(IF(compras_mes123[[#This Row],[CUIT]]="","-",VLOOKUP(compras_mes123[[#This Row],[CUIT]],Lista_CUIT[#All],3,0)),"CUIT NO CARGADO")</f>
        <v>Combustible</v>
      </c>
      <c r="R43" s="49">
        <f>IFERROR(IF(compras_mes123[[#This Row],[CUIT]]="","-",VLOOKUP(compras_mes123[[#This Row],[CUIT]],Lista_CUIT[#All],4,0)),"CUIT NO CARGADO")</f>
        <v>0</v>
      </c>
    </row>
    <row r="44" spans="2:18" x14ac:dyDescent="0.25">
      <c r="B44" s="40" t="s">
        <v>2938</v>
      </c>
      <c r="C44" s="41">
        <v>1</v>
      </c>
      <c r="D44" s="42">
        <v>14</v>
      </c>
      <c r="E44" s="43">
        <v>19661</v>
      </c>
      <c r="F44" s="44">
        <v>30715186256</v>
      </c>
      <c r="G44" s="45" t="str">
        <f>IFERROR(IF(compras_mes123[[#This Row],[CUIT]]="","-",VLOOKUP(compras_mes123[[#This Row],[CUIT]],Lista_CUIT[#All],2,0)),"CUIT NO CARGADO")</f>
        <v>FRIGORIFICO ALIMENTIC</v>
      </c>
      <c r="H44" s="46">
        <v>125755.64</v>
      </c>
      <c r="I44" s="85">
        <v>10257.879999999999</v>
      </c>
      <c r="J44" s="85"/>
      <c r="K44" s="85">
        <v>8075.4</v>
      </c>
      <c r="L44" s="85"/>
      <c r="M44" s="85"/>
      <c r="N44" s="85"/>
      <c r="O44" s="85"/>
      <c r="P44" s="48">
        <f>SUM(compras_mes123[[#This Row],[NETO GRAVADO]:[Otros / No Grav.]])</f>
        <v>144088.91999999998</v>
      </c>
      <c r="Q44" s="49" t="str">
        <f>IFERROR(IF(compras_mes123[[#This Row],[CUIT]]="","-",VLOOKUP(compras_mes123[[#This Row],[CUIT]],Lista_CUIT[#All],3,0)),"CUIT NO CARGADO")</f>
        <v>Gastos Comercializacion - Feria</v>
      </c>
      <c r="R44" s="49">
        <f>IFERROR(IF(compras_mes123[[#This Row],[CUIT]]="","-",VLOOKUP(compras_mes123[[#This Row],[CUIT]],Lista_CUIT[#All],4,0)),"CUIT NO CARGADO")</f>
        <v>0</v>
      </c>
    </row>
    <row r="45" spans="2:18" x14ac:dyDescent="0.25">
      <c r="B45" s="40" t="s">
        <v>2938</v>
      </c>
      <c r="C45" s="41">
        <v>1</v>
      </c>
      <c r="D45" s="42">
        <v>13</v>
      </c>
      <c r="E45" s="43">
        <v>522</v>
      </c>
      <c r="F45" s="44">
        <v>20107654861</v>
      </c>
      <c r="G45" s="45" t="str">
        <f>IFERROR(IF(compras_mes123[[#This Row],[CUIT]]="","-",VLOOKUP(compras_mes123[[#This Row],[CUIT]],Lista_CUIT[#All],2,0)),"CUIT NO CARGADO")</f>
        <v>PRATS EDUARDO FRANCISCO HU</v>
      </c>
      <c r="H45" s="46">
        <v>735537.19</v>
      </c>
      <c r="I45" s="85">
        <f>IF(compras_mes123[[#This Row],[NETO GRAVADO]]="","",compras_mes123[[#This Row],[NETO GRAVADO]]*0.21)</f>
        <v>154462.80989999999</v>
      </c>
      <c r="J45" s="85"/>
      <c r="K45" s="85"/>
      <c r="L45" s="85"/>
      <c r="M45" s="85"/>
      <c r="N45" s="85"/>
      <c r="O45" s="85"/>
      <c r="P45" s="48">
        <f>SUM(compras_mes123[[#This Row],[NETO GRAVADO]:[Otros / No Grav.]])</f>
        <v>889999.99989999994</v>
      </c>
      <c r="Q45" s="49" t="str">
        <f>IFERROR(IF(compras_mes123[[#This Row],[CUIT]]="","-",VLOOKUP(compras_mes123[[#This Row],[CUIT]],Lista_CUIT[#All],3,0)),"CUIT NO CARGADO")</f>
        <v>Serv. Informaticos</v>
      </c>
      <c r="R45" s="49">
        <f>IFERROR(IF(compras_mes123[[#This Row],[CUIT]]="","-",VLOOKUP(compras_mes123[[#This Row],[CUIT]],Lista_CUIT[#All],4,0)),"CUIT NO CARGADO")</f>
        <v>0</v>
      </c>
    </row>
    <row r="46" spans="2:18" x14ac:dyDescent="0.25">
      <c r="B46" s="40" t="s">
        <v>2938</v>
      </c>
      <c r="C46" s="41">
        <v>1</v>
      </c>
      <c r="D46" s="42">
        <v>700</v>
      </c>
      <c r="E46" s="43">
        <v>2828030</v>
      </c>
      <c r="F46" s="44">
        <v>30715804812</v>
      </c>
      <c r="G46" s="45" t="str">
        <f>IFERROR(IF(compras_mes123[[#This Row],[CUIT]]="","-",VLOOKUP(compras_mes123[[#This Row],[CUIT]],Lista_CUIT[#All],2,0)),"CUIT NO CARGADO")</f>
        <v>CORREDORES VIALES SOCIEDAD ANONIMA</v>
      </c>
      <c r="H46" s="46">
        <v>7903.84</v>
      </c>
      <c r="I46" s="85">
        <f>IF(compras_mes123[[#This Row],[NETO GRAVADO]]="","",compras_mes123[[#This Row],[NETO GRAVADO]]*0.21)</f>
        <v>1659.8063999999999</v>
      </c>
      <c r="J46" s="85"/>
      <c r="K46" s="85"/>
      <c r="L46" s="85"/>
      <c r="M46" s="85"/>
      <c r="N46" s="85"/>
      <c r="O46" s="85"/>
      <c r="P46" s="48">
        <f>SUM(compras_mes123[[#This Row],[NETO GRAVADO]:[Otros / No Grav.]])</f>
        <v>9563.6463999999996</v>
      </c>
      <c r="Q46" s="49" t="str">
        <f>IFERROR(IF(compras_mes123[[#This Row],[CUIT]]="","-",VLOOKUP(compras_mes123[[#This Row],[CUIT]],Lista_CUIT[#All],3,0)),"CUIT NO CARGADO")</f>
        <v>Peajes</v>
      </c>
      <c r="R46" s="49">
        <f>IFERROR(IF(compras_mes123[[#This Row],[CUIT]]="","-",VLOOKUP(compras_mes123[[#This Row],[CUIT]],Lista_CUIT[#All],4,0)),"CUIT NO CARGADO")</f>
        <v>0</v>
      </c>
    </row>
    <row r="47" spans="2:18" x14ac:dyDescent="0.25">
      <c r="B47" s="40" t="s">
        <v>2938</v>
      </c>
      <c r="C47" s="41">
        <v>1</v>
      </c>
      <c r="D47" s="42">
        <v>3</v>
      </c>
      <c r="E47" s="43">
        <v>2902</v>
      </c>
      <c r="F47" s="44">
        <v>30711557195</v>
      </c>
      <c r="G47" s="45" t="str">
        <f>IFERROR(IF(compras_mes123[[#This Row],[CUIT]]="","-",VLOOKUP(compras_mes123[[#This Row],[CUIT]],Lista_CUIT[#All],2,0)),"CUIT NO CARGADO")</f>
        <v>LOUPACK SA</v>
      </c>
      <c r="H47" s="46">
        <v>11379</v>
      </c>
      <c r="I47" s="85">
        <f>IF(compras_mes123[[#This Row],[NETO GRAVADO]]="","",compras_mes123[[#This Row],[NETO GRAVADO]]*0.21)</f>
        <v>2389.5899999999997</v>
      </c>
      <c r="J47" s="85"/>
      <c r="K47" s="85"/>
      <c r="L47" s="85"/>
      <c r="M47" s="85"/>
      <c r="N47" s="85"/>
      <c r="O47" s="85"/>
      <c r="P47" s="48">
        <f>SUM(compras_mes123[[#This Row],[NETO GRAVADO]:[Otros / No Grav.]])</f>
        <v>13768.59</v>
      </c>
      <c r="Q47" s="49" t="str">
        <f>IFERROR(IF(compras_mes123[[#This Row],[CUIT]]="","-",VLOOKUP(compras_mes123[[#This Row],[CUIT]],Lista_CUIT[#All],3,0)),"CUIT NO CARGADO")</f>
        <v>Embalajes</v>
      </c>
      <c r="R47" s="49">
        <f>IFERROR(IF(compras_mes123[[#This Row],[CUIT]]="","-",VLOOKUP(compras_mes123[[#This Row],[CUIT]],Lista_CUIT[#All],4,0)),"CUIT NO CARGADO")</f>
        <v>0</v>
      </c>
    </row>
    <row r="48" spans="2:18" x14ac:dyDescent="0.25">
      <c r="B48" s="40" t="s">
        <v>2938</v>
      </c>
      <c r="C48" s="41">
        <v>1</v>
      </c>
      <c r="D48" s="42">
        <v>3</v>
      </c>
      <c r="E48" s="43">
        <v>590</v>
      </c>
      <c r="F48" s="44">
        <v>20288651923</v>
      </c>
      <c r="G48" s="45" t="str">
        <f>IFERROR(IF(compras_mes123[[#This Row],[CUIT]]="","-",VLOOKUP(compras_mes123[[#This Row],[CUIT]],Lista_CUIT[#All],2,0)),"CUIT NO CARGADO")</f>
        <v>PILLAROU ANIBAL EDGARDO</v>
      </c>
      <c r="H48" s="46">
        <v>57851.24</v>
      </c>
      <c r="I48" s="85">
        <f>IF(compras_mes123[[#This Row],[NETO GRAVADO]]="","",compras_mes123[[#This Row],[NETO GRAVADO]]*0.21)</f>
        <v>12148.760399999999</v>
      </c>
      <c r="J48" s="85"/>
      <c r="K48" s="85"/>
      <c r="L48" s="85"/>
      <c r="M48" s="85"/>
      <c r="N48" s="85"/>
      <c r="O48" s="85">
        <v>40000</v>
      </c>
      <c r="P48" s="48">
        <f>SUM(compras_mes123[[#This Row],[NETO GRAVADO]:[Otros / No Grav.]])</f>
        <v>110000.00039999999</v>
      </c>
      <c r="Q48" s="49" t="str">
        <f>IFERROR(IF(compras_mes123[[#This Row],[CUIT]]="","-",VLOOKUP(compras_mes123[[#This Row],[CUIT]],Lista_CUIT[#All],3,0)),"CUIT NO CARGADO")</f>
        <v>Gastos Varios</v>
      </c>
      <c r="R48" s="49">
        <f>IFERROR(IF(compras_mes123[[#This Row],[CUIT]]="","-",VLOOKUP(compras_mes123[[#This Row],[CUIT]],Lista_CUIT[#All],4,0)),"CUIT NO CARGADO")</f>
        <v>0</v>
      </c>
    </row>
    <row r="49" spans="2:18" x14ac:dyDescent="0.25">
      <c r="B49" s="40" t="s">
        <v>2939</v>
      </c>
      <c r="C49" s="41">
        <v>1</v>
      </c>
      <c r="D49" s="42">
        <v>2</v>
      </c>
      <c r="E49" s="43">
        <v>281</v>
      </c>
      <c r="F49" s="44">
        <v>20244535853</v>
      </c>
      <c r="G49" s="45" t="str">
        <f>IFERROR(IF(compras_mes123[[#This Row],[CUIT]]="","-",VLOOKUP(compras_mes123[[#This Row],[CUIT]],Lista_CUIT[#All],2,0)),"CUIT NO CARGADO")</f>
        <v>ULIVARRI MARTIN MIGUEL</v>
      </c>
      <c r="H49" s="46">
        <v>8677.65</v>
      </c>
      <c r="I49" s="85">
        <f>IF(compras_mes123[[#This Row],[NETO GRAVADO]]="","",compras_mes123[[#This Row],[NETO GRAVADO]]*0.21)</f>
        <v>1822.3064999999999</v>
      </c>
      <c r="J49" s="85"/>
      <c r="K49" s="85"/>
      <c r="L49" s="85"/>
      <c r="M49" s="85"/>
      <c r="N49" s="85"/>
      <c r="O49" s="85"/>
      <c r="P49" s="48">
        <f>SUM(compras_mes123[[#This Row],[NETO GRAVADO]:[Otros / No Grav.]])</f>
        <v>10499.9565</v>
      </c>
      <c r="Q49" s="49" t="str">
        <f>IFERROR(IF(compras_mes123[[#This Row],[CUIT]]="","-",VLOOKUP(compras_mes123[[#This Row],[CUIT]],Lista_CUIT[#All],3,0)),"CUIT NO CARGADO")</f>
        <v>Software Mantenimiento</v>
      </c>
      <c r="R49" s="49">
        <f>IFERROR(IF(compras_mes123[[#This Row],[CUIT]]="","-",VLOOKUP(compras_mes123[[#This Row],[CUIT]],Lista_CUIT[#All],4,0)),"CUIT NO CARGADO")</f>
        <v>0</v>
      </c>
    </row>
    <row r="50" spans="2:18" x14ac:dyDescent="0.25">
      <c r="B50" s="40" t="s">
        <v>2939</v>
      </c>
      <c r="C50" s="41">
        <v>1</v>
      </c>
      <c r="D50" s="42">
        <v>4</v>
      </c>
      <c r="E50" s="43">
        <v>10928</v>
      </c>
      <c r="F50" s="44">
        <v>30716006391</v>
      </c>
      <c r="G50" s="45" t="str">
        <f>IFERROR(IF(compras_mes123[[#This Row],[CUIT]]="","-",VLOOKUP(compras_mes123[[#This Row],[CUIT]],Lista_CUIT[#All],2,0)),"CUIT NO CARGADO")</f>
        <v>ALISSING</v>
      </c>
      <c r="H50" s="46">
        <v>5911.74</v>
      </c>
      <c r="I50" s="85">
        <f>IF(compras_mes123[[#This Row],[NETO GRAVADO]]="","",compras_mes123[[#This Row],[NETO GRAVADO]]*0.21)</f>
        <v>1241.4653999999998</v>
      </c>
      <c r="J50" s="85"/>
      <c r="K50" s="85"/>
      <c r="L50" s="85"/>
      <c r="M50" s="85"/>
      <c r="N50" s="85"/>
      <c r="O50" s="85"/>
      <c r="P50" s="48">
        <f>SUM(compras_mes123[[#This Row],[NETO GRAVADO]:[Otros / No Grav.]])</f>
        <v>7153.2053999999998</v>
      </c>
      <c r="Q50" s="49" t="str">
        <f>IFERROR(IF(compras_mes123[[#This Row],[CUIT]]="","-",VLOOKUP(compras_mes123[[#This Row],[CUIT]],Lista_CUIT[#All],3,0)),"CUIT NO CARGADO")</f>
        <v>Gastos Varios</v>
      </c>
      <c r="R50" s="49">
        <f>IFERROR(IF(compras_mes123[[#This Row],[CUIT]]="","-",VLOOKUP(compras_mes123[[#This Row],[CUIT]],Lista_CUIT[#All],4,0)),"CUIT NO CARGADO")</f>
        <v>0</v>
      </c>
    </row>
    <row r="51" spans="2:18" x14ac:dyDescent="0.25">
      <c r="B51" s="40" t="s">
        <v>2939</v>
      </c>
      <c r="C51" s="41">
        <v>1</v>
      </c>
      <c r="D51" s="42">
        <v>4</v>
      </c>
      <c r="E51" s="43">
        <v>10929</v>
      </c>
      <c r="F51" s="44">
        <v>30716006391</v>
      </c>
      <c r="G51" s="45" t="str">
        <f>IFERROR(IF(compras_mes123[[#This Row],[CUIT]]="","-",VLOOKUP(compras_mes123[[#This Row],[CUIT]],Lista_CUIT[#All],2,0)),"CUIT NO CARGADO")</f>
        <v>ALISSING</v>
      </c>
      <c r="H51" s="46">
        <v>5911.74</v>
      </c>
      <c r="I51" s="85">
        <f>IF(compras_mes123[[#This Row],[NETO GRAVADO]]="","",compras_mes123[[#This Row],[NETO GRAVADO]]*0.21)</f>
        <v>1241.4653999999998</v>
      </c>
      <c r="J51" s="85"/>
      <c r="K51" s="85"/>
      <c r="L51" s="85"/>
      <c r="M51" s="85"/>
      <c r="N51" s="85"/>
      <c r="O51" s="85"/>
      <c r="P51" s="48">
        <f>SUM(compras_mes123[[#This Row],[NETO GRAVADO]:[Otros / No Grav.]])</f>
        <v>7153.2053999999998</v>
      </c>
      <c r="Q51" s="49" t="str">
        <f>IFERROR(IF(compras_mes123[[#This Row],[CUIT]]="","-",VLOOKUP(compras_mes123[[#This Row],[CUIT]],Lista_CUIT[#All],3,0)),"CUIT NO CARGADO")</f>
        <v>Gastos Varios</v>
      </c>
      <c r="R51" s="49">
        <f>IFERROR(IF(compras_mes123[[#This Row],[CUIT]]="","-",VLOOKUP(compras_mes123[[#This Row],[CUIT]],Lista_CUIT[#All],4,0)),"CUIT NO CARGADO")</f>
        <v>0</v>
      </c>
    </row>
    <row r="52" spans="2:18" x14ac:dyDescent="0.25">
      <c r="B52" s="40" t="s">
        <v>2939</v>
      </c>
      <c r="C52" s="41">
        <v>1</v>
      </c>
      <c r="D52" s="42">
        <v>4</v>
      </c>
      <c r="E52" s="43">
        <v>10930</v>
      </c>
      <c r="F52" s="44">
        <v>30716006391</v>
      </c>
      <c r="G52" s="45" t="str">
        <f>IFERROR(IF(compras_mes123[[#This Row],[CUIT]]="","-",VLOOKUP(compras_mes123[[#This Row],[CUIT]],Lista_CUIT[#All],2,0)),"CUIT NO CARGADO")</f>
        <v>ALISSING</v>
      </c>
      <c r="H52" s="46">
        <v>5911.74</v>
      </c>
      <c r="I52" s="85">
        <f>IF(compras_mes123[[#This Row],[NETO GRAVADO]]="","",compras_mes123[[#This Row],[NETO GRAVADO]]*0.21)</f>
        <v>1241.4653999999998</v>
      </c>
      <c r="J52" s="85"/>
      <c r="K52" s="85"/>
      <c r="L52" s="85"/>
      <c r="M52" s="85"/>
      <c r="N52" s="85"/>
      <c r="O52" s="85"/>
      <c r="P52" s="48">
        <f>SUM(compras_mes123[[#This Row],[NETO GRAVADO]:[Otros / No Grav.]])</f>
        <v>7153.2053999999998</v>
      </c>
      <c r="Q52" s="49" t="str">
        <f>IFERROR(IF(compras_mes123[[#This Row],[CUIT]]="","-",VLOOKUP(compras_mes123[[#This Row],[CUIT]],Lista_CUIT[#All],3,0)),"CUIT NO CARGADO")</f>
        <v>Gastos Varios</v>
      </c>
      <c r="R52" s="49">
        <f>IFERROR(IF(compras_mes123[[#This Row],[CUIT]]="","-",VLOOKUP(compras_mes123[[#This Row],[CUIT]],Lista_CUIT[#All],4,0)),"CUIT NO CARGADO")</f>
        <v>0</v>
      </c>
    </row>
    <row r="53" spans="2:18" x14ac:dyDescent="0.25">
      <c r="B53" s="40" t="s">
        <v>2939</v>
      </c>
      <c r="C53" s="41">
        <v>1</v>
      </c>
      <c r="D53" s="42">
        <v>4</v>
      </c>
      <c r="E53" s="43">
        <v>10931</v>
      </c>
      <c r="F53" s="44">
        <v>30716006391</v>
      </c>
      <c r="G53" s="45" t="str">
        <f>IFERROR(IF(compras_mes123[[#This Row],[CUIT]]="","-",VLOOKUP(compras_mes123[[#This Row],[CUIT]],Lista_CUIT[#All],2,0)),"CUIT NO CARGADO")</f>
        <v>ALISSING</v>
      </c>
      <c r="H53" s="46">
        <v>5911.74</v>
      </c>
      <c r="I53" s="85">
        <f>IF(compras_mes123[[#This Row],[NETO GRAVADO]]="","",compras_mes123[[#This Row],[NETO GRAVADO]]*0.21)</f>
        <v>1241.4653999999998</v>
      </c>
      <c r="J53" s="85"/>
      <c r="K53" s="85"/>
      <c r="L53" s="85"/>
      <c r="M53" s="85"/>
      <c r="N53" s="85"/>
      <c r="O53" s="85"/>
      <c r="P53" s="48">
        <f>SUM(compras_mes123[[#This Row],[NETO GRAVADO]:[Otros / No Grav.]])</f>
        <v>7153.2053999999998</v>
      </c>
      <c r="Q53" s="49" t="str">
        <f>IFERROR(IF(compras_mes123[[#This Row],[CUIT]]="","-",VLOOKUP(compras_mes123[[#This Row],[CUIT]],Lista_CUIT[#All],3,0)),"CUIT NO CARGADO")</f>
        <v>Gastos Varios</v>
      </c>
      <c r="R53" s="49">
        <f>IFERROR(IF(compras_mes123[[#This Row],[CUIT]]="","-",VLOOKUP(compras_mes123[[#This Row],[CUIT]],Lista_CUIT[#All],4,0)),"CUIT NO CARGADO")</f>
        <v>0</v>
      </c>
    </row>
    <row r="54" spans="2:18" x14ac:dyDescent="0.25">
      <c r="B54" s="40" t="s">
        <v>2939</v>
      </c>
      <c r="C54" s="41">
        <v>1</v>
      </c>
      <c r="D54" s="42">
        <v>4</v>
      </c>
      <c r="E54" s="43">
        <v>10932</v>
      </c>
      <c r="F54" s="44">
        <v>30716006391</v>
      </c>
      <c r="G54" s="45" t="str">
        <f>IFERROR(IF(compras_mes123[[#This Row],[CUIT]]="","-",VLOOKUP(compras_mes123[[#This Row],[CUIT]],Lista_CUIT[#All],2,0)),"CUIT NO CARGADO")</f>
        <v>ALISSING</v>
      </c>
      <c r="H54" s="46">
        <v>5911.74</v>
      </c>
      <c r="I54" s="85">
        <f>IF(compras_mes123[[#This Row],[NETO GRAVADO]]="","",compras_mes123[[#This Row],[NETO GRAVADO]]*0.21)</f>
        <v>1241.4653999999998</v>
      </c>
      <c r="J54" s="85"/>
      <c r="K54" s="85"/>
      <c r="L54" s="85"/>
      <c r="M54" s="85"/>
      <c r="N54" s="85"/>
      <c r="O54" s="85"/>
      <c r="P54" s="48">
        <f>SUM(compras_mes123[[#This Row],[NETO GRAVADO]:[Otros / No Grav.]])</f>
        <v>7153.2053999999998</v>
      </c>
      <c r="Q54" s="49" t="str">
        <f>IFERROR(IF(compras_mes123[[#This Row],[CUIT]]="","-",VLOOKUP(compras_mes123[[#This Row],[CUIT]],Lista_CUIT[#All],3,0)),"CUIT NO CARGADO")</f>
        <v>Gastos Varios</v>
      </c>
      <c r="R54" s="49">
        <f>IFERROR(IF(compras_mes123[[#This Row],[CUIT]]="","-",VLOOKUP(compras_mes123[[#This Row],[CUIT]],Lista_CUIT[#All],4,0)),"CUIT NO CARGADO")</f>
        <v>0</v>
      </c>
    </row>
    <row r="55" spans="2:18" x14ac:dyDescent="0.25">
      <c r="B55" s="40" t="s">
        <v>2939</v>
      </c>
      <c r="C55" s="41">
        <v>1</v>
      </c>
      <c r="D55" s="42">
        <v>4</v>
      </c>
      <c r="E55" s="43">
        <v>10933</v>
      </c>
      <c r="F55" s="44">
        <v>30716006391</v>
      </c>
      <c r="G55" s="45" t="str">
        <f>IFERROR(IF(compras_mes123[[#This Row],[CUIT]]="","-",VLOOKUP(compras_mes123[[#This Row],[CUIT]],Lista_CUIT[#All],2,0)),"CUIT NO CARGADO")</f>
        <v>ALISSING</v>
      </c>
      <c r="H55" s="46">
        <v>5911.74</v>
      </c>
      <c r="I55" s="85">
        <f>IF(compras_mes123[[#This Row],[NETO GRAVADO]]="","",compras_mes123[[#This Row],[NETO GRAVADO]]*0.21)</f>
        <v>1241.4653999999998</v>
      </c>
      <c r="J55" s="85"/>
      <c r="K55" s="85"/>
      <c r="L55" s="85"/>
      <c r="M55" s="85"/>
      <c r="N55" s="85"/>
      <c r="O55" s="85"/>
      <c r="P55" s="48">
        <f>SUM(compras_mes123[[#This Row],[NETO GRAVADO]:[Otros / No Grav.]])</f>
        <v>7153.2053999999998</v>
      </c>
      <c r="Q55" s="49" t="str">
        <f>IFERROR(IF(compras_mes123[[#This Row],[CUIT]]="","-",VLOOKUP(compras_mes123[[#This Row],[CUIT]],Lista_CUIT[#All],3,0)),"CUIT NO CARGADO")</f>
        <v>Gastos Varios</v>
      </c>
      <c r="R55" s="49">
        <f>IFERROR(IF(compras_mes123[[#This Row],[CUIT]]="","-",VLOOKUP(compras_mes123[[#This Row],[CUIT]],Lista_CUIT[#All],4,0)),"CUIT NO CARGADO")</f>
        <v>0</v>
      </c>
    </row>
    <row r="56" spans="2:18" x14ac:dyDescent="0.25">
      <c r="B56" s="40" t="s">
        <v>2939</v>
      </c>
      <c r="C56" s="41">
        <v>1</v>
      </c>
      <c r="D56" s="42">
        <v>4</v>
      </c>
      <c r="E56" s="43">
        <v>10934</v>
      </c>
      <c r="F56" s="44">
        <v>30716006391</v>
      </c>
      <c r="G56" s="45" t="str">
        <f>IFERROR(IF(compras_mes123[[#This Row],[CUIT]]="","-",VLOOKUP(compras_mes123[[#This Row],[CUIT]],Lista_CUIT[#All],2,0)),"CUIT NO CARGADO")</f>
        <v>ALISSING</v>
      </c>
      <c r="H56" s="46">
        <v>5911.74</v>
      </c>
      <c r="I56" s="85">
        <f>IF(compras_mes123[[#This Row],[NETO GRAVADO]]="","",compras_mes123[[#This Row],[NETO GRAVADO]]*0.21)</f>
        <v>1241.4653999999998</v>
      </c>
      <c r="J56" s="85"/>
      <c r="K56" s="85"/>
      <c r="L56" s="85"/>
      <c r="M56" s="85"/>
      <c r="N56" s="85"/>
      <c r="O56" s="85"/>
      <c r="P56" s="48">
        <f>SUM(compras_mes123[[#This Row],[NETO GRAVADO]:[Otros / No Grav.]])</f>
        <v>7153.2053999999998</v>
      </c>
      <c r="Q56" s="49" t="str">
        <f>IFERROR(IF(compras_mes123[[#This Row],[CUIT]]="","-",VLOOKUP(compras_mes123[[#This Row],[CUIT]],Lista_CUIT[#All],3,0)),"CUIT NO CARGADO")</f>
        <v>Gastos Varios</v>
      </c>
      <c r="R56" s="49">
        <f>IFERROR(IF(compras_mes123[[#This Row],[CUIT]]="","-",VLOOKUP(compras_mes123[[#This Row],[CUIT]],Lista_CUIT[#All],4,0)),"CUIT NO CARGADO")</f>
        <v>0</v>
      </c>
    </row>
    <row r="57" spans="2:18" x14ac:dyDescent="0.25">
      <c r="B57" s="40" t="s">
        <v>2939</v>
      </c>
      <c r="C57" s="41">
        <v>1</v>
      </c>
      <c r="D57" s="42">
        <v>4</v>
      </c>
      <c r="E57" s="43">
        <v>10935</v>
      </c>
      <c r="F57" s="44">
        <v>30716006391</v>
      </c>
      <c r="G57" s="45" t="str">
        <f>IFERROR(IF(compras_mes123[[#This Row],[CUIT]]="","-",VLOOKUP(compras_mes123[[#This Row],[CUIT]],Lista_CUIT[#All],2,0)),"CUIT NO CARGADO")</f>
        <v>ALISSING</v>
      </c>
      <c r="H57" s="46">
        <v>5911.74</v>
      </c>
      <c r="I57" s="85">
        <f>IF(compras_mes123[[#This Row],[NETO GRAVADO]]="","",compras_mes123[[#This Row],[NETO GRAVADO]]*0.21)</f>
        <v>1241.4653999999998</v>
      </c>
      <c r="J57" s="85"/>
      <c r="K57" s="85"/>
      <c r="L57" s="85"/>
      <c r="M57" s="85"/>
      <c r="N57" s="85"/>
      <c r="O57" s="85"/>
      <c r="P57" s="48">
        <f>SUM(compras_mes123[[#This Row],[NETO GRAVADO]:[Otros / No Grav.]])</f>
        <v>7153.2053999999998</v>
      </c>
      <c r="Q57" s="49" t="str">
        <f>IFERROR(IF(compras_mes123[[#This Row],[CUIT]]="","-",VLOOKUP(compras_mes123[[#This Row],[CUIT]],Lista_CUIT[#All],3,0)),"CUIT NO CARGADO")</f>
        <v>Gastos Varios</v>
      </c>
      <c r="R57" s="49">
        <f>IFERROR(IF(compras_mes123[[#This Row],[CUIT]]="","-",VLOOKUP(compras_mes123[[#This Row],[CUIT]],Lista_CUIT[#All],4,0)),"CUIT NO CARGADO")</f>
        <v>0</v>
      </c>
    </row>
    <row r="58" spans="2:18" x14ac:dyDescent="0.25">
      <c r="B58" s="40" t="s">
        <v>2939</v>
      </c>
      <c r="C58" s="41">
        <v>1</v>
      </c>
      <c r="D58" s="42">
        <v>4</v>
      </c>
      <c r="E58" s="43">
        <v>10936</v>
      </c>
      <c r="F58" s="44">
        <v>30716006391</v>
      </c>
      <c r="G58" s="45" t="str">
        <f>IFERROR(IF(compras_mes123[[#This Row],[CUIT]]="","-",VLOOKUP(compras_mes123[[#This Row],[CUIT]],Lista_CUIT[#All],2,0)),"CUIT NO CARGADO")</f>
        <v>ALISSING</v>
      </c>
      <c r="H58" s="46">
        <v>5911.74</v>
      </c>
      <c r="I58" s="85">
        <f>IF(compras_mes123[[#This Row],[NETO GRAVADO]]="","",compras_mes123[[#This Row],[NETO GRAVADO]]*0.21)</f>
        <v>1241.4653999999998</v>
      </c>
      <c r="J58" s="85"/>
      <c r="K58" s="85"/>
      <c r="L58" s="85"/>
      <c r="M58" s="85"/>
      <c r="N58" s="85"/>
      <c r="O58" s="85"/>
      <c r="P58" s="48">
        <f>SUM(compras_mes123[[#This Row],[NETO GRAVADO]:[Otros / No Grav.]])</f>
        <v>7153.2053999999998</v>
      </c>
      <c r="Q58" s="49" t="str">
        <f>IFERROR(IF(compras_mes123[[#This Row],[CUIT]]="","-",VLOOKUP(compras_mes123[[#This Row],[CUIT]],Lista_CUIT[#All],3,0)),"CUIT NO CARGADO")</f>
        <v>Gastos Varios</v>
      </c>
      <c r="R58" s="49">
        <f>IFERROR(IF(compras_mes123[[#This Row],[CUIT]]="","-",VLOOKUP(compras_mes123[[#This Row],[CUIT]],Lista_CUIT[#All],4,0)),"CUIT NO CARGADO")</f>
        <v>0</v>
      </c>
    </row>
    <row r="59" spans="2:18" x14ac:dyDescent="0.25">
      <c r="B59" s="40" t="s">
        <v>2939</v>
      </c>
      <c r="C59" s="41">
        <v>1</v>
      </c>
      <c r="D59" s="42">
        <v>4</v>
      </c>
      <c r="E59" s="43">
        <v>10937</v>
      </c>
      <c r="F59" s="44">
        <v>30716006391</v>
      </c>
      <c r="G59" s="45" t="str">
        <f>IFERROR(IF(compras_mes123[[#This Row],[CUIT]]="","-",VLOOKUP(compras_mes123[[#This Row],[CUIT]],Lista_CUIT[#All],2,0)),"CUIT NO CARGADO")</f>
        <v>ALISSING</v>
      </c>
      <c r="H59" s="46">
        <v>5911.74</v>
      </c>
      <c r="I59" s="85">
        <f>IF(compras_mes123[[#This Row],[NETO GRAVADO]]="","",compras_mes123[[#This Row],[NETO GRAVADO]]*0.21)</f>
        <v>1241.4653999999998</v>
      </c>
      <c r="J59" s="85"/>
      <c r="K59" s="85"/>
      <c r="L59" s="85"/>
      <c r="M59" s="85"/>
      <c r="N59" s="85"/>
      <c r="O59" s="85"/>
      <c r="P59" s="48">
        <f>SUM(compras_mes123[[#This Row],[NETO GRAVADO]:[Otros / No Grav.]])</f>
        <v>7153.2053999999998</v>
      </c>
      <c r="Q59" s="49" t="str">
        <f>IFERROR(IF(compras_mes123[[#This Row],[CUIT]]="","-",VLOOKUP(compras_mes123[[#This Row],[CUIT]],Lista_CUIT[#All],3,0)),"CUIT NO CARGADO")</f>
        <v>Gastos Varios</v>
      </c>
      <c r="R59" s="49">
        <f>IFERROR(IF(compras_mes123[[#This Row],[CUIT]]="","-",VLOOKUP(compras_mes123[[#This Row],[CUIT]],Lista_CUIT[#All],4,0)),"CUIT NO CARGADO")</f>
        <v>0</v>
      </c>
    </row>
    <row r="60" spans="2:18" x14ac:dyDescent="0.25">
      <c r="B60" s="40" t="s">
        <v>2939</v>
      </c>
      <c r="C60" s="41">
        <v>1</v>
      </c>
      <c r="D60" s="42">
        <v>2</v>
      </c>
      <c r="E60" s="43">
        <v>34854</v>
      </c>
      <c r="F60" s="44">
        <v>30717799514</v>
      </c>
      <c r="G60" s="45" t="str">
        <f>IFERROR(IF(compras_mes123[[#This Row],[CUIT]]="","-",VLOOKUP(compras_mes123[[#This Row],[CUIT]],Lista_CUIT[#All],2,0)),"CUIT NO CARGADO")</f>
        <v>MIX MASTER MAQ</v>
      </c>
      <c r="H60" s="46">
        <v>47995.040000000001</v>
      </c>
      <c r="I60" s="85">
        <f>IF(compras_mes123[[#This Row],[NETO GRAVADO]]="","",compras_mes123[[#This Row],[NETO GRAVADO]]*0.21)</f>
        <v>10078.9584</v>
      </c>
      <c r="J60" s="85"/>
      <c r="K60" s="85"/>
      <c r="L60" s="85"/>
      <c r="M60" s="85"/>
      <c r="N60" s="85"/>
      <c r="O60" s="85"/>
      <c r="P60" s="48">
        <f>SUM(compras_mes123[[#This Row],[NETO GRAVADO]:[Otros / No Grav.]])</f>
        <v>58073.998399999997</v>
      </c>
      <c r="Q60" s="49" t="str">
        <f>IFERROR(IF(compras_mes123[[#This Row],[CUIT]]="","-",VLOOKUP(compras_mes123[[#This Row],[CUIT]],Lista_CUIT[#All],3,0)),"CUIT NO CARGADO")</f>
        <v>Ferreteria</v>
      </c>
      <c r="R60" s="49">
        <f>IFERROR(IF(compras_mes123[[#This Row],[CUIT]]="","-",VLOOKUP(compras_mes123[[#This Row],[CUIT]],Lista_CUIT[#All],4,0)),"CUIT NO CARGADO")</f>
        <v>0</v>
      </c>
    </row>
    <row r="61" spans="2:18" x14ac:dyDescent="0.25">
      <c r="B61" s="40" t="s">
        <v>2939</v>
      </c>
      <c r="C61" s="41">
        <v>1</v>
      </c>
      <c r="D61" s="42">
        <v>5</v>
      </c>
      <c r="E61" s="43">
        <v>23676</v>
      </c>
      <c r="F61" s="44">
        <v>30532905555</v>
      </c>
      <c r="G61" s="45" t="str">
        <f>IFERROR(IF(compras_mes123[[#This Row],[CUIT]]="","-",VLOOKUP(compras_mes123[[#This Row],[CUIT]],Lista_CUIT[#All],2,0)),"CUIT NO CARGADO")</f>
        <v>UNTECO S.A.I.C. E I.</v>
      </c>
      <c r="H61" s="46">
        <v>302904.59000000003</v>
      </c>
      <c r="I61" s="85">
        <f>IF(compras_mes123[[#This Row],[NETO GRAVADO]]="","",compras_mes123[[#This Row],[NETO GRAVADO]]*0.21)</f>
        <v>63609.963900000002</v>
      </c>
      <c r="J61" s="85"/>
      <c r="K61" s="85"/>
      <c r="L61" s="85"/>
      <c r="M61" s="85"/>
      <c r="N61" s="85"/>
      <c r="O61" s="85">
        <v>9087.14</v>
      </c>
      <c r="P61" s="48">
        <f>SUM(compras_mes123[[#This Row],[NETO GRAVADO]:[Otros / No Grav.]])</f>
        <v>375601.69390000007</v>
      </c>
      <c r="Q61" s="49" t="str">
        <f>IFERROR(IF(compras_mes123[[#This Row],[CUIT]]="","-",VLOOKUP(compras_mes123[[#This Row],[CUIT]],Lista_CUIT[#All],3,0)),"CUIT NO CARGADO")</f>
        <v>Productos Terminados</v>
      </c>
      <c r="R61" s="49">
        <f>IFERROR(IF(compras_mes123[[#This Row],[CUIT]]="","-",VLOOKUP(compras_mes123[[#This Row],[CUIT]],Lista_CUIT[#All],4,0)),"CUIT NO CARGADO")</f>
        <v>0</v>
      </c>
    </row>
    <row r="62" spans="2:18" x14ac:dyDescent="0.25">
      <c r="B62" s="40" t="s">
        <v>2939</v>
      </c>
      <c r="C62" s="41">
        <v>1</v>
      </c>
      <c r="D62" s="42">
        <v>16</v>
      </c>
      <c r="E62" s="43">
        <v>28429</v>
      </c>
      <c r="F62" s="44">
        <v>30553547942</v>
      </c>
      <c r="G62" s="45" t="str">
        <f>IFERROR(IF(compras_mes123[[#This Row],[CUIT]]="","-",VLOOKUP(compras_mes123[[#This Row],[CUIT]],Lista_CUIT[#All],2,0)),"CUIT NO CARGADO")</f>
        <v>PINTURERIAS MAFER SA</v>
      </c>
      <c r="H62" s="46">
        <v>87834.37</v>
      </c>
      <c r="I62" s="85">
        <f>IF(compras_mes123[[#This Row],[NETO GRAVADO]]="","",compras_mes123[[#This Row],[NETO GRAVADO]]*0.21)</f>
        <v>18445.217699999997</v>
      </c>
      <c r="J62" s="85"/>
      <c r="K62" s="85"/>
      <c r="L62" s="85"/>
      <c r="M62" s="85"/>
      <c r="N62" s="85"/>
      <c r="O62" s="85"/>
      <c r="P62" s="48">
        <f>SUM(compras_mes123[[#This Row],[NETO GRAVADO]:[Otros / No Grav.]])</f>
        <v>106279.58769999999</v>
      </c>
      <c r="Q62" s="49" t="str">
        <f>IFERROR(IF(compras_mes123[[#This Row],[CUIT]]="","-",VLOOKUP(compras_mes123[[#This Row],[CUIT]],Lista_CUIT[#All],3,0)),"CUIT NO CARGADO")</f>
        <v>Mantenimiento Locales</v>
      </c>
      <c r="R62" s="49">
        <f>IFERROR(IF(compras_mes123[[#This Row],[CUIT]]="","-",VLOOKUP(compras_mes123[[#This Row],[CUIT]],Lista_CUIT[#All],4,0)),"CUIT NO CARGADO")</f>
        <v>0</v>
      </c>
    </row>
    <row r="63" spans="2:18" x14ac:dyDescent="0.25">
      <c r="B63" s="508" t="s">
        <v>2939</v>
      </c>
      <c r="C63" s="41">
        <v>1</v>
      </c>
      <c r="D63" s="509">
        <v>4</v>
      </c>
      <c r="E63" s="510">
        <v>64</v>
      </c>
      <c r="F63" s="511">
        <v>20262815367</v>
      </c>
      <c r="G63" s="522" t="str">
        <f>IFERROR(IF(compras_mes123[[#This Row],[CUIT]]="","-",VLOOKUP(compras_mes123[[#This Row],[CUIT]],Lista_CUIT[#All],2,0)),"CUIT NO CARGADO")</f>
        <v>CARDARELLO BASAVILBASO FEDERICO JORGE</v>
      </c>
      <c r="H63" s="516">
        <v>25537.19</v>
      </c>
      <c r="I63" s="85">
        <f>IF(compras_mes123[[#This Row],[NETO GRAVADO]]="","",compras_mes123[[#This Row],[NETO GRAVADO]]*0.21)</f>
        <v>5362.8098999999993</v>
      </c>
      <c r="J63" s="519"/>
      <c r="K63" s="519"/>
      <c r="L63" s="519"/>
      <c r="M63" s="519"/>
      <c r="N63" s="519"/>
      <c r="O63" s="519"/>
      <c r="P63" s="523">
        <f>SUM(compras_mes123[[#This Row],[NETO GRAVADO]:[Otros / No Grav.]])</f>
        <v>30899.999899999999</v>
      </c>
      <c r="Q63" s="524" t="str">
        <f>IFERROR(IF(compras_mes123[[#This Row],[CUIT]]="","-",VLOOKUP(compras_mes123[[#This Row],[CUIT]],Lista_CUIT[#All],3,0)),"CUIT NO CARGADO")</f>
        <v>Gastos Varios</v>
      </c>
      <c r="R63" s="524">
        <f>IFERROR(IF(compras_mes123[[#This Row],[CUIT]]="","-",VLOOKUP(compras_mes123[[#This Row],[CUIT]],Lista_CUIT[#All],4,0)),"CUIT NO CARGADO")</f>
        <v>0</v>
      </c>
    </row>
    <row r="64" spans="2:18" x14ac:dyDescent="0.25">
      <c r="B64" s="40" t="s">
        <v>2939</v>
      </c>
      <c r="C64" s="41">
        <v>1</v>
      </c>
      <c r="D64" s="42">
        <v>9363</v>
      </c>
      <c r="E64" s="43">
        <v>15762</v>
      </c>
      <c r="F64" s="44">
        <v>30590360763</v>
      </c>
      <c r="G64" s="45" t="str">
        <f>IFERROR(IF(compras_mes123[[#This Row],[CUIT]]="","-",VLOOKUP(compras_mes123[[#This Row],[CUIT]],Lista_CUIT[#All],2,0)),"CUIT NO CARGADO")</f>
        <v>CENCOSUD S.A</v>
      </c>
      <c r="H64" s="46">
        <v>52066.12</v>
      </c>
      <c r="I64" s="85">
        <f>IF(compras_mes123[[#This Row],[NETO GRAVADO]]="","",compras_mes123[[#This Row],[NETO GRAVADO]]*0.21)</f>
        <v>10933.885200000001</v>
      </c>
      <c r="J64" s="85"/>
      <c r="K64" s="85"/>
      <c r="L64" s="85"/>
      <c r="M64" s="85"/>
      <c r="N64" s="85"/>
      <c r="O64" s="85">
        <v>3123.96</v>
      </c>
      <c r="P64" s="48">
        <f>SUM(compras_mes123[[#This Row],[NETO GRAVADO]:[Otros / No Grav.]])</f>
        <v>66123.965200000006</v>
      </c>
      <c r="Q64" s="49" t="str">
        <f>IFERROR(IF(compras_mes123[[#This Row],[CUIT]]="","-",VLOOKUP(compras_mes123[[#This Row],[CUIT]],Lista_CUIT[#All],3,0)),"CUIT NO CARGADO")</f>
        <v>Gastos Varios</v>
      </c>
      <c r="R64" s="49">
        <f>IFERROR(IF(compras_mes123[[#This Row],[CUIT]]="","-",VLOOKUP(compras_mes123[[#This Row],[CUIT]],Lista_CUIT[#All],4,0)),"CUIT NO CARGADO")</f>
        <v>0</v>
      </c>
    </row>
    <row r="65" spans="2:18" x14ac:dyDescent="0.25">
      <c r="B65" s="40" t="s">
        <v>2939</v>
      </c>
      <c r="C65" s="41">
        <v>1</v>
      </c>
      <c r="D65" s="42">
        <v>3950</v>
      </c>
      <c r="E65" s="43">
        <v>5395921</v>
      </c>
      <c r="F65" s="44">
        <v>30639453738</v>
      </c>
      <c r="G65" s="45" t="str">
        <f>IFERROR(IF(compras_mes123[[#This Row],[CUIT]]="","-",VLOOKUP(compras_mes123[[#This Row],[CUIT]],Lista_CUIT[#All],2,0)),"CUIT NO CARGADO")</f>
        <v>TELECOM ARG SA</v>
      </c>
      <c r="H65" s="46">
        <v>336963.2</v>
      </c>
      <c r="I65" s="85">
        <v>70588.39</v>
      </c>
      <c r="J65" s="85">
        <v>223.56</v>
      </c>
      <c r="K65" s="85"/>
      <c r="L65" s="85"/>
      <c r="M65" s="85"/>
      <c r="N65" s="85"/>
      <c r="O65" s="85">
        <v>28674.27</v>
      </c>
      <c r="P65" s="48">
        <f>SUM(compras_mes123[[#This Row],[NETO GRAVADO]:[Otros / No Grav.]])</f>
        <v>436449.42000000004</v>
      </c>
      <c r="Q65" s="49" t="str">
        <f>IFERROR(IF(compras_mes123[[#This Row],[CUIT]]="","-",VLOOKUP(compras_mes123[[#This Row],[CUIT]],Lista_CUIT[#All],3,0)),"CUIT NO CARGADO")</f>
        <v>Servicios Gas, Luz, etc.</v>
      </c>
      <c r="R65" s="49">
        <f>IFERROR(IF(compras_mes123[[#This Row],[CUIT]]="","-",VLOOKUP(compras_mes123[[#This Row],[CUIT]],Lista_CUIT[#All],4,0)),"CUIT NO CARGADO")</f>
        <v>0</v>
      </c>
    </row>
    <row r="66" spans="2:18" x14ac:dyDescent="0.25">
      <c r="B66" s="40" t="s">
        <v>2939</v>
      </c>
      <c r="C66" s="41">
        <v>1</v>
      </c>
      <c r="D66" s="42">
        <v>3</v>
      </c>
      <c r="E66" s="43">
        <v>14769</v>
      </c>
      <c r="F66" s="44">
        <v>30715361813</v>
      </c>
      <c r="G66" s="45" t="str">
        <f>IFERROR(IF(compras_mes123[[#This Row],[CUIT]]="","-",VLOOKUP(compras_mes123[[#This Row],[CUIT]],Lista_CUIT[#All],2,0)),"CUIT NO CARGADO")</f>
        <v>PL PACKAGING S.R.L.</v>
      </c>
      <c r="H66" s="46">
        <v>12355.37</v>
      </c>
      <c r="I66" s="85">
        <f>IF(compras_mes123[[#This Row],[NETO GRAVADO]]="","",compras_mes123[[#This Row],[NETO GRAVADO]]*0.21)</f>
        <v>2594.6277</v>
      </c>
      <c r="J66" s="85"/>
      <c r="K66" s="85"/>
      <c r="L66" s="85"/>
      <c r="M66" s="85"/>
      <c r="N66" s="85"/>
      <c r="O66" s="85"/>
      <c r="P66" s="48">
        <f>SUM(compras_mes123[[#This Row],[NETO GRAVADO]:[Otros / No Grav.]])</f>
        <v>14949.9977</v>
      </c>
      <c r="Q66" s="49" t="str">
        <f>IFERROR(IF(compras_mes123[[#This Row],[CUIT]]="","-",VLOOKUP(compras_mes123[[#This Row],[CUIT]],Lista_CUIT[#All],3,0)),"CUIT NO CARGADO")</f>
        <v>MANTENIMIENTO</v>
      </c>
      <c r="R66" s="49">
        <f>IFERROR(IF(compras_mes123[[#This Row],[CUIT]]="","-",VLOOKUP(compras_mes123[[#This Row],[CUIT]],Lista_CUIT[#All],4,0)),"CUIT NO CARGADO")</f>
        <v>0</v>
      </c>
    </row>
    <row r="67" spans="2:18" x14ac:dyDescent="0.25">
      <c r="B67" s="40" t="s">
        <v>2939</v>
      </c>
      <c r="C67" s="41">
        <v>1</v>
      </c>
      <c r="D67" s="42">
        <v>3</v>
      </c>
      <c r="E67" s="43">
        <v>14770</v>
      </c>
      <c r="F67" s="44">
        <v>30715361813</v>
      </c>
      <c r="G67" s="45" t="str">
        <f>IFERROR(IF(compras_mes123[[#This Row],[CUIT]]="","-",VLOOKUP(compras_mes123[[#This Row],[CUIT]],Lista_CUIT[#All],2,0)),"CUIT NO CARGADO")</f>
        <v>PL PACKAGING S.R.L.</v>
      </c>
      <c r="H67" s="46">
        <v>12355.37</v>
      </c>
      <c r="I67" s="85">
        <f>IF(compras_mes123[[#This Row],[NETO GRAVADO]]="","",compras_mes123[[#This Row],[NETO GRAVADO]]*0.21)</f>
        <v>2594.6277</v>
      </c>
      <c r="J67" s="85"/>
      <c r="K67" s="85"/>
      <c r="L67" s="85"/>
      <c r="M67" s="85"/>
      <c r="N67" s="85"/>
      <c r="O67" s="85"/>
      <c r="P67" s="48">
        <f>SUM(compras_mes123[[#This Row],[NETO GRAVADO]:[Otros / No Grav.]])</f>
        <v>14949.9977</v>
      </c>
      <c r="Q67" s="49" t="str">
        <f>IFERROR(IF(compras_mes123[[#This Row],[CUIT]]="","-",VLOOKUP(compras_mes123[[#This Row],[CUIT]],Lista_CUIT[#All],3,0)),"CUIT NO CARGADO")</f>
        <v>MANTENIMIENTO</v>
      </c>
      <c r="R67" s="49">
        <f>IFERROR(IF(compras_mes123[[#This Row],[CUIT]]="","-",VLOOKUP(compras_mes123[[#This Row],[CUIT]],Lista_CUIT[#All],4,0)),"CUIT NO CARGADO")</f>
        <v>0</v>
      </c>
    </row>
    <row r="68" spans="2:18" x14ac:dyDescent="0.25">
      <c r="B68" s="40" t="s">
        <v>2939</v>
      </c>
      <c r="C68" s="41">
        <v>1</v>
      </c>
      <c r="D68" s="42">
        <v>3</v>
      </c>
      <c r="E68" s="43">
        <v>14771</v>
      </c>
      <c r="F68" s="44">
        <v>30715361813</v>
      </c>
      <c r="G68" s="45" t="str">
        <f>IFERROR(IF(compras_mes123[[#This Row],[CUIT]]="","-",VLOOKUP(compras_mes123[[#This Row],[CUIT]],Lista_CUIT[#All],2,0)),"CUIT NO CARGADO")</f>
        <v>PL PACKAGING S.R.L.</v>
      </c>
      <c r="H68" s="46">
        <v>12355.37</v>
      </c>
      <c r="I68" s="85">
        <f>IF(compras_mes123[[#This Row],[NETO GRAVADO]]="","",compras_mes123[[#This Row],[NETO GRAVADO]]*0.21)</f>
        <v>2594.6277</v>
      </c>
      <c r="J68" s="85"/>
      <c r="K68" s="85"/>
      <c r="L68" s="85"/>
      <c r="M68" s="85"/>
      <c r="N68" s="85"/>
      <c r="O68" s="85"/>
      <c r="P68" s="48">
        <f>SUM(compras_mes123[[#This Row],[NETO GRAVADO]:[Otros / No Grav.]])</f>
        <v>14949.9977</v>
      </c>
      <c r="Q68" s="49" t="str">
        <f>IFERROR(IF(compras_mes123[[#This Row],[CUIT]]="","-",VLOOKUP(compras_mes123[[#This Row],[CUIT]],Lista_CUIT[#All],3,0)),"CUIT NO CARGADO")</f>
        <v>MANTENIMIENTO</v>
      </c>
      <c r="R68" s="49">
        <f>IFERROR(IF(compras_mes123[[#This Row],[CUIT]]="","-",VLOOKUP(compras_mes123[[#This Row],[CUIT]],Lista_CUIT[#All],4,0)),"CUIT NO CARGADO")</f>
        <v>0</v>
      </c>
    </row>
    <row r="69" spans="2:18" x14ac:dyDescent="0.25">
      <c r="B69" s="40" t="s">
        <v>2939</v>
      </c>
      <c r="C69" s="41">
        <v>1</v>
      </c>
      <c r="D69" s="42">
        <v>1</v>
      </c>
      <c r="E69" s="43">
        <v>357</v>
      </c>
      <c r="F69" s="44">
        <v>20077604627</v>
      </c>
      <c r="G69" s="45" t="str">
        <f>IFERROR(IF(compras_mes123[[#This Row],[CUIT]]="","-",VLOOKUP(compras_mes123[[#This Row],[CUIT]],Lista_CUIT[#All],2,0)),"CUIT NO CARGADO")</f>
        <v>OCAÑO ENRIQUE</v>
      </c>
      <c r="H69" s="46">
        <v>562800</v>
      </c>
      <c r="I69" s="85">
        <f>IF(compras_mes123[[#This Row],[NETO GRAVADO]]="","",compras_mes123[[#This Row],[NETO GRAVADO]]*0.21)</f>
        <v>118188</v>
      </c>
      <c r="J69" s="85"/>
      <c r="K69" s="85"/>
      <c r="L69" s="85"/>
      <c r="M69" s="85"/>
      <c r="N69" s="85"/>
      <c r="O69" s="85"/>
      <c r="P69" s="48">
        <f>SUM(compras_mes123[[#This Row],[NETO GRAVADO]:[Otros / No Grav.]])</f>
        <v>680988</v>
      </c>
      <c r="Q69" s="49" t="str">
        <f>IFERROR(IF(compras_mes123[[#This Row],[CUIT]]="","-",VLOOKUP(compras_mes123[[#This Row],[CUIT]],Lista_CUIT[#All],3,0)),"CUIT NO CARGADO")</f>
        <v>Material de Empaque</v>
      </c>
      <c r="R69" s="49">
        <f>IFERROR(IF(compras_mes123[[#This Row],[CUIT]]="","-",VLOOKUP(compras_mes123[[#This Row],[CUIT]],Lista_CUIT[#All],4,0)),"CUIT NO CARGADO")</f>
        <v>0</v>
      </c>
    </row>
    <row r="70" spans="2:18" x14ac:dyDescent="0.25">
      <c r="B70" s="40" t="s">
        <v>2939</v>
      </c>
      <c r="C70" s="41">
        <v>1</v>
      </c>
      <c r="D70" s="42">
        <v>3</v>
      </c>
      <c r="E70" s="43">
        <v>2906</v>
      </c>
      <c r="F70" s="44">
        <v>30711557195</v>
      </c>
      <c r="G70" s="45" t="str">
        <f>IFERROR(IF(compras_mes123[[#This Row],[CUIT]]="","-",VLOOKUP(compras_mes123[[#This Row],[CUIT]],Lista_CUIT[#All],2,0)),"CUIT NO CARGADO")</f>
        <v>LOUPACK SA</v>
      </c>
      <c r="H70" s="46">
        <v>22742</v>
      </c>
      <c r="I70" s="85">
        <f>IF(compras_mes123[[#This Row],[NETO GRAVADO]]="","",compras_mes123[[#This Row],[NETO GRAVADO]]*0.21)</f>
        <v>4775.82</v>
      </c>
      <c r="J70" s="85"/>
      <c r="K70" s="85"/>
      <c r="L70" s="85"/>
      <c r="M70" s="85"/>
      <c r="N70" s="85"/>
      <c r="O70" s="85"/>
      <c r="P70" s="48">
        <f>SUM(compras_mes123[[#This Row],[NETO GRAVADO]:[Otros / No Grav.]])</f>
        <v>27517.82</v>
      </c>
      <c r="Q70" s="49" t="str">
        <f>IFERROR(IF(compras_mes123[[#This Row],[CUIT]]="","-",VLOOKUP(compras_mes123[[#This Row],[CUIT]],Lista_CUIT[#All],3,0)),"CUIT NO CARGADO")</f>
        <v>Embalajes</v>
      </c>
      <c r="R70" s="49">
        <f>IFERROR(IF(compras_mes123[[#This Row],[CUIT]]="","-",VLOOKUP(compras_mes123[[#This Row],[CUIT]],Lista_CUIT[#All],4,0)),"CUIT NO CARGADO")</f>
        <v>0</v>
      </c>
    </row>
    <row r="71" spans="2:18" x14ac:dyDescent="0.25">
      <c r="B71" s="40" t="s">
        <v>2957</v>
      </c>
      <c r="C71" s="41">
        <v>1</v>
      </c>
      <c r="D71" s="42">
        <v>5015</v>
      </c>
      <c r="E71" s="43">
        <v>1051923</v>
      </c>
      <c r="F71" s="44">
        <v>30574876474</v>
      </c>
      <c r="G71" s="45" t="str">
        <f>IFERROR(IF(compras_mes123[[#This Row],[CUIT]]="","-",VLOOKUP(compras_mes123[[#This Row],[CUIT]],Lista_CUIT[#All],2,0)),"CUIT NO CARGADO")</f>
        <v>AUTOPISTAS URBANAS S A</v>
      </c>
      <c r="H71" s="46">
        <v>119106.23</v>
      </c>
      <c r="I71" s="85">
        <f>IF(compras_mes123[[#This Row],[NETO GRAVADO]]="","",compras_mes123[[#This Row],[NETO GRAVADO]]*0.21)</f>
        <v>25012.308299999997</v>
      </c>
      <c r="J71" s="85"/>
      <c r="K71" s="85"/>
      <c r="L71" s="85"/>
      <c r="M71" s="85"/>
      <c r="N71" s="85"/>
      <c r="O71" s="85">
        <v>15483.76</v>
      </c>
      <c r="P71" s="48">
        <f>SUM(compras_mes123[[#This Row],[NETO GRAVADO]:[Otros / No Grav.]])</f>
        <v>159602.29829999999</v>
      </c>
      <c r="Q71" s="49" t="str">
        <f>IFERROR(IF(compras_mes123[[#This Row],[CUIT]]="","-",VLOOKUP(compras_mes123[[#This Row],[CUIT]],Lista_CUIT[#All],3,0)),"CUIT NO CARGADO")</f>
        <v>Peajes</v>
      </c>
      <c r="R71" s="49">
        <f>IFERROR(IF(compras_mes123[[#This Row],[CUIT]]="","-",VLOOKUP(compras_mes123[[#This Row],[CUIT]],Lista_CUIT[#All],4,0)),"CUIT NO CARGADO")</f>
        <v>0</v>
      </c>
    </row>
    <row r="72" spans="2:18" x14ac:dyDescent="0.25">
      <c r="B72" s="40" t="s">
        <v>2957</v>
      </c>
      <c r="C72" s="41">
        <v>1</v>
      </c>
      <c r="D72" s="42">
        <v>3</v>
      </c>
      <c r="E72" s="43">
        <v>14780</v>
      </c>
      <c r="F72" s="44">
        <v>30715361813</v>
      </c>
      <c r="G72" s="45" t="str">
        <f>IFERROR(IF(compras_mes123[[#This Row],[CUIT]]="","-",VLOOKUP(compras_mes123[[#This Row],[CUIT]],Lista_CUIT[#All],2,0)),"CUIT NO CARGADO")</f>
        <v>PL PACKAGING S.R.L.</v>
      </c>
      <c r="H72" s="46">
        <v>12355.37</v>
      </c>
      <c r="I72" s="85">
        <f>IF(compras_mes123[[#This Row],[NETO GRAVADO]]="","",compras_mes123[[#This Row],[NETO GRAVADO]]*0.21)</f>
        <v>2594.6277</v>
      </c>
      <c r="J72" s="85"/>
      <c r="K72" s="85"/>
      <c r="L72" s="85"/>
      <c r="M72" s="85"/>
      <c r="N72" s="85"/>
      <c r="O72" s="85" t="s">
        <v>2411</v>
      </c>
      <c r="P72" s="48">
        <f>SUM(compras_mes123[[#This Row],[NETO GRAVADO]:[Otros / No Grav.]])</f>
        <v>14949.9977</v>
      </c>
      <c r="Q72" s="49" t="str">
        <f>IFERROR(IF(compras_mes123[[#This Row],[CUIT]]="","-",VLOOKUP(compras_mes123[[#This Row],[CUIT]],Lista_CUIT[#All],3,0)),"CUIT NO CARGADO")</f>
        <v>MANTENIMIENTO</v>
      </c>
      <c r="R72" s="49">
        <f>IFERROR(IF(compras_mes123[[#This Row],[CUIT]]="","-",VLOOKUP(compras_mes123[[#This Row],[CUIT]],Lista_CUIT[#All],4,0)),"CUIT NO CARGADO")</f>
        <v>0</v>
      </c>
    </row>
    <row r="73" spans="2:18" x14ac:dyDescent="0.25">
      <c r="B73" s="40" t="s">
        <v>2958</v>
      </c>
      <c r="C73" s="41">
        <v>1</v>
      </c>
      <c r="D73" s="42">
        <v>6852</v>
      </c>
      <c r="E73" s="43">
        <v>33789</v>
      </c>
      <c r="F73" s="44">
        <v>30678774495</v>
      </c>
      <c r="G73" s="45" t="str">
        <f>IFERROR(IF(compras_mes123[[#This Row],[CUIT]]="","-",VLOOKUP(compras_mes123[[#This Row],[CUIT]],Lista_CUIT[#All],2,0)),"CUIT NO CARGADO")</f>
        <v>OPER. DE EST. DE SERV. SA</v>
      </c>
      <c r="H73" s="46">
        <v>34107.1</v>
      </c>
      <c r="I73" s="85">
        <f>IF(compras_mes123[[#This Row],[NETO GRAVADO]]="","",compras_mes123[[#This Row],[NETO GRAVADO]]*0.21)</f>
        <v>7162.4909999999991</v>
      </c>
      <c r="J73" s="85"/>
      <c r="K73" s="85"/>
      <c r="L73" s="85"/>
      <c r="M73" s="85"/>
      <c r="N73" s="85"/>
      <c r="O73" s="85">
        <v>8747.4</v>
      </c>
      <c r="P73" s="48">
        <f>SUM(compras_mes123[[#This Row],[NETO GRAVADO]:[Otros / No Grav.]])</f>
        <v>50016.991000000002</v>
      </c>
      <c r="Q73" s="49" t="str">
        <f>IFERROR(IF(compras_mes123[[#This Row],[CUIT]]="","-",VLOOKUP(compras_mes123[[#This Row],[CUIT]],Lista_CUIT[#All],3,0)),"CUIT NO CARGADO")</f>
        <v>Combustible</v>
      </c>
      <c r="R73" s="49">
        <f>IFERROR(IF(compras_mes123[[#This Row],[CUIT]]="","-",VLOOKUP(compras_mes123[[#This Row],[CUIT]],Lista_CUIT[#All],4,0)),"CUIT NO CARGADO")</f>
        <v>0</v>
      </c>
    </row>
    <row r="74" spans="2:18" x14ac:dyDescent="0.25">
      <c r="B74" s="40" t="s">
        <v>2958</v>
      </c>
      <c r="C74" s="41">
        <v>1</v>
      </c>
      <c r="D74" s="42">
        <v>3101</v>
      </c>
      <c r="E74" s="43">
        <v>402338</v>
      </c>
      <c r="F74" s="44">
        <v>30678814357</v>
      </c>
      <c r="G74" s="45" t="str">
        <f>IFERROR(IF(compras_mes123[[#This Row],[CUIT]]="","-",VLOOKUP(compras_mes123[[#This Row],[CUIT]],Lista_CUIT[#All],2,0)),"CUIT NO CARGADO")</f>
        <v>TELEFONICA MOVILES ARG</v>
      </c>
      <c r="H74" s="46">
        <v>27054.73</v>
      </c>
      <c r="I74" s="85" t="s">
        <v>2411</v>
      </c>
      <c r="J74" s="85">
        <f>compras_mes123[[#This Row],[NETO GRAVADO]]*0.27</f>
        <v>7304.7771000000002</v>
      </c>
      <c r="K74" s="85"/>
      <c r="L74" s="85"/>
      <c r="M74" s="85"/>
      <c r="N74" s="85"/>
      <c r="O74" s="85">
        <v>1623.28</v>
      </c>
      <c r="P74" s="48">
        <f>SUM(compras_mes123[[#This Row],[NETO GRAVADO]:[Otros / No Grav.]])</f>
        <v>35982.787100000001</v>
      </c>
      <c r="Q74" s="49" t="str">
        <f>IFERROR(IF(compras_mes123[[#This Row],[CUIT]]="","-",VLOOKUP(compras_mes123[[#This Row],[CUIT]],Lista_CUIT[#All],3,0)),"CUIT NO CARGADO")</f>
        <v>Servicios Gas, Luz, etc.</v>
      </c>
      <c r="R74" s="49">
        <f>IFERROR(IF(compras_mes123[[#This Row],[CUIT]]="","-",VLOOKUP(compras_mes123[[#This Row],[CUIT]],Lista_CUIT[#All],4,0)),"CUIT NO CARGADO")</f>
        <v>0</v>
      </c>
    </row>
    <row r="75" spans="2:18" x14ac:dyDescent="0.25">
      <c r="B75" s="40" t="s">
        <v>2959</v>
      </c>
      <c r="C75" s="41">
        <v>1</v>
      </c>
      <c r="D75" s="42">
        <v>4</v>
      </c>
      <c r="E75" s="43">
        <v>51505</v>
      </c>
      <c r="F75" s="44">
        <v>30709863076</v>
      </c>
      <c r="G75" s="45" t="str">
        <f>IFERROR(IF(compras_mes123[[#This Row],[CUIT]]="","-",VLOOKUP(compras_mes123[[#This Row],[CUIT]],Lista_CUIT[#All],2,0)),"CUIT NO CARGADO")</f>
        <v>INDUSTRIAS PLASTICOS SALTA S.R.L.</v>
      </c>
      <c r="H75" s="46">
        <v>742399.99</v>
      </c>
      <c r="I75" s="85">
        <f>IF(compras_mes123[[#This Row],[NETO GRAVADO]]="","",compras_mes123[[#This Row],[NETO GRAVADO]]*0.21)</f>
        <v>155903.99789999999</v>
      </c>
      <c r="J75" s="85"/>
      <c r="K75" s="85"/>
      <c r="L75" s="85"/>
      <c r="M75" s="85"/>
      <c r="N75" s="85"/>
      <c r="O75" s="85"/>
      <c r="P75" s="48">
        <f>SUM(compras_mes123[[#This Row],[NETO GRAVADO]:[Otros / No Grav.]])</f>
        <v>898303.98789999995</v>
      </c>
      <c r="Q75" s="49" t="str">
        <f>IFERROR(IF(compras_mes123[[#This Row],[CUIT]]="","-",VLOOKUP(compras_mes123[[#This Row],[CUIT]],Lista_CUIT[#All],3,0)),"CUIT NO CARGADO")</f>
        <v>Materia Prima</v>
      </c>
      <c r="R75" s="49">
        <f>IFERROR(IF(compras_mes123[[#This Row],[CUIT]]="","-",VLOOKUP(compras_mes123[[#This Row],[CUIT]],Lista_CUIT[#All],4,0)),"CUIT NO CARGADO")</f>
        <v>0</v>
      </c>
    </row>
    <row r="76" spans="2:18" x14ac:dyDescent="0.25">
      <c r="B76" s="40" t="s">
        <v>2959</v>
      </c>
      <c r="C76" s="41">
        <v>1</v>
      </c>
      <c r="D76" s="42">
        <v>1678</v>
      </c>
      <c r="E76" s="43">
        <v>63889</v>
      </c>
      <c r="F76" s="44">
        <v>30589621499</v>
      </c>
      <c r="G76" s="45" t="str">
        <f>IFERROR(IF(compras_mes123[[#This Row],[CUIT]]="","-",VLOOKUP(compras_mes123[[#This Row],[CUIT]],Lista_CUIT[#All],2,0)),"CUIT NO CARGADO")</f>
        <v>MAKRO SA</v>
      </c>
      <c r="H76" s="46">
        <v>162376.28</v>
      </c>
      <c r="I76" s="85">
        <v>33893.769999999997</v>
      </c>
      <c r="J76" s="85">
        <v>102.62</v>
      </c>
      <c r="K76" s="85"/>
      <c r="L76" s="85"/>
      <c r="M76" s="85"/>
      <c r="N76" s="85"/>
      <c r="O76" s="85">
        <v>10180.06</v>
      </c>
      <c r="P76" s="48">
        <f>SUM(compras_mes123[[#This Row],[NETO GRAVADO]:[Otros / No Grav.]])</f>
        <v>206552.72999999998</v>
      </c>
      <c r="Q76" s="49" t="str">
        <f>IFERROR(IF(compras_mes123[[#This Row],[CUIT]]="","-",VLOOKUP(compras_mes123[[#This Row],[CUIT]],Lista_CUIT[#All],3,0)),"CUIT NO CARGADO")</f>
        <v>Gastos Varios</v>
      </c>
      <c r="R76" s="49">
        <f>IFERROR(IF(compras_mes123[[#This Row],[CUIT]]="","-",VLOOKUP(compras_mes123[[#This Row],[CUIT]],Lista_CUIT[#All],4,0)),"CUIT NO CARGADO")</f>
        <v>0</v>
      </c>
    </row>
    <row r="77" spans="2:18" x14ac:dyDescent="0.25">
      <c r="B77" s="40" t="s">
        <v>2959</v>
      </c>
      <c r="C77" s="41">
        <v>1</v>
      </c>
      <c r="D77" s="42">
        <v>6</v>
      </c>
      <c r="E77" s="43">
        <v>3687</v>
      </c>
      <c r="F77" s="44">
        <v>30574603788</v>
      </c>
      <c r="G77" s="45" t="str">
        <f>IFERROR(IF(compras_mes123[[#This Row],[CUIT]]="","-",VLOOKUP(compras_mes123[[#This Row],[CUIT]],Lista_CUIT[#All],2,0)),"CUIT NO CARGADO")</f>
        <v>CODAC SRL</v>
      </c>
      <c r="H77" s="46">
        <v>4210372</v>
      </c>
      <c r="I77" s="85">
        <f>IF(compras_mes123[[#This Row],[NETO GRAVADO]]="","",compras_mes123[[#This Row],[NETO GRAVADO]]*0.21)</f>
        <v>884178.12</v>
      </c>
      <c r="J77" s="85"/>
      <c r="K77" s="85"/>
      <c r="L77" s="85"/>
      <c r="M77" s="85"/>
      <c r="N77" s="85"/>
      <c r="O77" s="85"/>
      <c r="P77" s="48">
        <f>SUM(compras_mes123[[#This Row],[NETO GRAVADO]:[Otros / No Grav.]])</f>
        <v>5094550.12</v>
      </c>
      <c r="Q77" s="49" t="str">
        <f>IFERROR(IF(compras_mes123[[#This Row],[CUIT]]="","-",VLOOKUP(compras_mes123[[#This Row],[CUIT]],Lista_CUIT[#All],3,0)),"CUIT NO CARGADO")</f>
        <v>Productos Venta</v>
      </c>
      <c r="R77" s="49" t="str">
        <f>IFERROR(IF(compras_mes123[[#This Row],[CUIT]]="","-",VLOOKUP(compras_mes123[[#This Row],[CUIT]],Lista_CUIT[#All],4,0)),"CUIT NO CARGADO")</f>
        <v>BUENOS AIRES</v>
      </c>
    </row>
    <row r="78" spans="2:18" x14ac:dyDescent="0.25">
      <c r="B78" s="40" t="s">
        <v>2959</v>
      </c>
      <c r="C78" s="41">
        <v>1</v>
      </c>
      <c r="D78" s="42">
        <v>3</v>
      </c>
      <c r="E78" s="43">
        <v>6</v>
      </c>
      <c r="F78" s="44">
        <v>27317740196</v>
      </c>
      <c r="G78" s="45" t="str">
        <f>IFERROR(IF(compras_mes123[[#This Row],[CUIT]]="","-",VLOOKUP(compras_mes123[[#This Row],[CUIT]],Lista_CUIT[#All],2,0)),"CUIT NO CARGADO")</f>
        <v>HOKAMA ROMINA PAOLA</v>
      </c>
      <c r="H78" s="46">
        <v>34051.24</v>
      </c>
      <c r="I78" s="85">
        <f>IF(compras_mes123[[#This Row],[NETO GRAVADO]]="","",compras_mes123[[#This Row],[NETO GRAVADO]]*0.21)</f>
        <v>7150.7603999999992</v>
      </c>
      <c r="J78" s="85"/>
      <c r="K78" s="85"/>
      <c r="L78" s="85"/>
      <c r="M78" s="85"/>
      <c r="N78" s="85"/>
      <c r="O78" s="85"/>
      <c r="P78" s="48">
        <f>SUM(compras_mes123[[#This Row],[NETO GRAVADO]:[Otros / No Grav.]])</f>
        <v>41202.000399999997</v>
      </c>
      <c r="Q78" s="49" t="str">
        <f>IFERROR(IF(compras_mes123[[#This Row],[CUIT]]="","-",VLOOKUP(compras_mes123[[#This Row],[CUIT]],Lista_CUIT[#All],3,0)),"CUIT NO CARGADO")</f>
        <v>Gastos Varios</v>
      </c>
      <c r="R78" s="49">
        <f>IFERROR(IF(compras_mes123[[#This Row],[CUIT]]="","-",VLOOKUP(compras_mes123[[#This Row],[CUIT]],Lista_CUIT[#All],4,0)),"CUIT NO CARGADO")</f>
        <v>0</v>
      </c>
    </row>
    <row r="79" spans="2:18" x14ac:dyDescent="0.25">
      <c r="B79" s="40" t="s">
        <v>2959</v>
      </c>
      <c r="C79" s="41">
        <v>1</v>
      </c>
      <c r="D79" s="42">
        <v>1</v>
      </c>
      <c r="E79" s="43">
        <v>358</v>
      </c>
      <c r="F79" s="44">
        <v>20077604627</v>
      </c>
      <c r="G79" s="45" t="str">
        <f>IFERROR(IF(compras_mes123[[#This Row],[CUIT]]="","-",VLOOKUP(compras_mes123[[#This Row],[CUIT]],Lista_CUIT[#All],2,0)),"CUIT NO CARGADO")</f>
        <v>OCAÑO ENRIQUE</v>
      </c>
      <c r="H79" s="46">
        <v>470840</v>
      </c>
      <c r="I79" s="85">
        <f>IF(compras_mes123[[#This Row],[NETO GRAVADO]]="","",compras_mes123[[#This Row],[NETO GRAVADO]]*0.21)</f>
        <v>98876.4</v>
      </c>
      <c r="J79" s="85"/>
      <c r="K79" s="85"/>
      <c r="L79" s="85"/>
      <c r="M79" s="85"/>
      <c r="N79" s="85"/>
      <c r="O79" s="85"/>
      <c r="P79" s="48">
        <f>SUM(compras_mes123[[#This Row],[NETO GRAVADO]:[Otros / No Grav.]])</f>
        <v>569716.4</v>
      </c>
      <c r="Q79" s="49" t="str">
        <f>IFERROR(IF(compras_mes123[[#This Row],[CUIT]]="","-",VLOOKUP(compras_mes123[[#This Row],[CUIT]],Lista_CUIT[#All],3,0)),"CUIT NO CARGADO")</f>
        <v>Material de Empaque</v>
      </c>
      <c r="R79" s="49">
        <f>IFERROR(IF(compras_mes123[[#This Row],[CUIT]]="","-",VLOOKUP(compras_mes123[[#This Row],[CUIT]],Lista_CUIT[#All],4,0)),"CUIT NO CARGADO")</f>
        <v>0</v>
      </c>
    </row>
    <row r="80" spans="2:18" x14ac:dyDescent="0.25">
      <c r="B80" s="40" t="s">
        <v>2960</v>
      </c>
      <c r="C80" s="41">
        <v>1</v>
      </c>
      <c r="D80" s="42">
        <v>3</v>
      </c>
      <c r="E80" s="43">
        <v>1816</v>
      </c>
      <c r="F80" s="44">
        <v>30611152775</v>
      </c>
      <c r="G80" s="45" t="str">
        <f>IFERROR(IF(compras_mes123[[#This Row],[CUIT]]="","-",VLOOKUP(compras_mes123[[#This Row],[CUIT]],Lista_CUIT[#All],2,0)),"CUIT NO CARGADO")</f>
        <v>SICIALL SA</v>
      </c>
      <c r="H80" s="46">
        <v>7077321</v>
      </c>
      <c r="I80" s="85">
        <f>IF(compras_mes123[[#This Row],[NETO GRAVADO]]="","",compras_mes123[[#This Row],[NETO GRAVADO]]*0.21)</f>
        <v>1486237.41</v>
      </c>
      <c r="J80" s="85"/>
      <c r="K80" s="85"/>
      <c r="L80" s="85"/>
      <c r="M80" s="85"/>
      <c r="N80" s="85"/>
      <c r="O80" s="85"/>
      <c r="P80" s="48">
        <f>SUM(compras_mes123[[#This Row],[NETO GRAVADO]:[Otros / No Grav.]])</f>
        <v>8563558.4100000001</v>
      </c>
      <c r="Q80" s="49" t="str">
        <f>IFERROR(IF(compras_mes123[[#This Row],[CUIT]]="","-",VLOOKUP(compras_mes123[[#This Row],[CUIT]],Lista_CUIT[#All],3,0)),"CUIT NO CARGADO")</f>
        <v>Envases</v>
      </c>
      <c r="R80" s="49">
        <f>IFERROR(IF(compras_mes123[[#This Row],[CUIT]]="","-",VLOOKUP(compras_mes123[[#This Row],[CUIT]],Lista_CUIT[#All],4,0)),"CUIT NO CARGADO")</f>
        <v>0</v>
      </c>
    </row>
    <row r="81" spans="2:18" x14ac:dyDescent="0.25">
      <c r="B81" s="40" t="s">
        <v>2960</v>
      </c>
      <c r="C81" s="41">
        <v>1</v>
      </c>
      <c r="D81" s="42">
        <v>4</v>
      </c>
      <c r="E81" s="43">
        <v>51531</v>
      </c>
      <c r="F81" s="44">
        <v>30709863076</v>
      </c>
      <c r="G81" s="45" t="str">
        <f>IFERROR(IF(compras_mes123[[#This Row],[CUIT]]="","-",VLOOKUP(compras_mes123[[#This Row],[CUIT]],Lista_CUIT[#All],2,0)),"CUIT NO CARGADO")</f>
        <v>INDUSTRIAS PLASTICOS SALTA S.R.L.</v>
      </c>
      <c r="H81" s="46">
        <v>1110000</v>
      </c>
      <c r="I81" s="85">
        <f>IF(compras_mes123[[#This Row],[NETO GRAVADO]]="","",compras_mes123[[#This Row],[NETO GRAVADO]]*0.21)</f>
        <v>233100</v>
      </c>
      <c r="J81" s="85"/>
      <c r="K81" s="85"/>
      <c r="L81" s="85"/>
      <c r="M81" s="85"/>
      <c r="N81" s="85"/>
      <c r="O81" s="85"/>
      <c r="P81" s="48">
        <f>SUM(compras_mes123[[#This Row],[NETO GRAVADO]:[Otros / No Grav.]])</f>
        <v>1343100</v>
      </c>
      <c r="Q81" s="49" t="str">
        <f>IFERROR(IF(compras_mes123[[#This Row],[CUIT]]="","-",VLOOKUP(compras_mes123[[#This Row],[CUIT]],Lista_CUIT[#All],3,0)),"CUIT NO CARGADO")</f>
        <v>Materia Prima</v>
      </c>
      <c r="R81" s="49">
        <f>IFERROR(IF(compras_mes123[[#This Row],[CUIT]]="","-",VLOOKUP(compras_mes123[[#This Row],[CUIT]],Lista_CUIT[#All],4,0)),"CUIT NO CARGADO")</f>
        <v>0</v>
      </c>
    </row>
    <row r="82" spans="2:18" x14ac:dyDescent="0.25">
      <c r="B82" s="40" t="s">
        <v>2960</v>
      </c>
      <c r="C82" s="41">
        <v>1</v>
      </c>
      <c r="D82" s="42">
        <v>3</v>
      </c>
      <c r="E82" s="43">
        <v>15372</v>
      </c>
      <c r="F82" s="44">
        <v>30708232439</v>
      </c>
      <c r="G82" s="45" t="str">
        <f>IFERROR(IF(compras_mes123[[#This Row],[CUIT]]="","-",VLOOKUP(compras_mes123[[#This Row],[CUIT]],Lista_CUIT[#All],2,0)),"CUIT NO CARGADO")</f>
        <v>LUMEN GLASS SRL</v>
      </c>
      <c r="H82" s="46">
        <v>1930158.75</v>
      </c>
      <c r="I82" s="85">
        <f>IF(compras_mes123[[#This Row],[NETO GRAVADO]]="","",compras_mes123[[#This Row],[NETO GRAVADO]]*0.21)</f>
        <v>405333.33749999997</v>
      </c>
      <c r="J82" s="85"/>
      <c r="K82" s="85"/>
      <c r="L82" s="85"/>
      <c r="M82" s="85"/>
      <c r="N82" s="85"/>
      <c r="O82" s="85"/>
      <c r="P82" s="48">
        <f>SUM(compras_mes123[[#This Row],[NETO GRAVADO]:[Otros / No Grav.]])</f>
        <v>2335492.0874999999</v>
      </c>
      <c r="Q82" s="49" t="str">
        <f>IFERROR(IF(compras_mes123[[#This Row],[CUIT]]="","-",VLOOKUP(compras_mes123[[#This Row],[CUIT]],Lista_CUIT[#All],3,0)),"CUIT NO CARGADO")</f>
        <v>Envases</v>
      </c>
      <c r="R82" s="49">
        <f>IFERROR(IF(compras_mes123[[#This Row],[CUIT]]="","-",VLOOKUP(compras_mes123[[#This Row],[CUIT]],Lista_CUIT[#All],4,0)),"CUIT NO CARGADO")</f>
        <v>0</v>
      </c>
    </row>
    <row r="83" spans="2:18" x14ac:dyDescent="0.25">
      <c r="B83" s="40" t="s">
        <v>2960</v>
      </c>
      <c r="C83" s="41">
        <v>1</v>
      </c>
      <c r="D83" s="42">
        <v>5</v>
      </c>
      <c r="E83" s="43">
        <v>3870</v>
      </c>
      <c r="F83" s="44">
        <v>30711651779</v>
      </c>
      <c r="G83" s="45" t="str">
        <f>IFERROR(IF(compras_mes123[[#This Row],[CUIT]]="","-",VLOOKUP(compras_mes123[[#This Row],[CUIT]],Lista_CUIT[#All],2,0)),"CUIT NO CARGADO")</f>
        <v>INFOSOL BUENOS AIRES S.R.L.</v>
      </c>
      <c r="H83" s="46">
        <v>140495.87</v>
      </c>
      <c r="I83" s="85">
        <f>IF(compras_mes123[[#This Row],[NETO GRAVADO]]="","",compras_mes123[[#This Row],[NETO GRAVADO]]*0.21)</f>
        <v>29504.132699999998</v>
      </c>
      <c r="J83" s="85"/>
      <c r="K83" s="85"/>
      <c r="L83" s="85"/>
      <c r="M83" s="85"/>
      <c r="N83" s="85"/>
      <c r="O83" s="85"/>
      <c r="P83" s="48">
        <f>SUM(compras_mes123[[#This Row],[NETO GRAVADO]:[Otros / No Grav.]])</f>
        <v>170000.00269999998</v>
      </c>
      <c r="Q83" s="49" t="str">
        <f>IFERROR(IF(compras_mes123[[#This Row],[CUIT]]="","-",VLOOKUP(compras_mes123[[#This Row],[CUIT]],Lista_CUIT[#All],3,0)),"CUIT NO CARGADO")</f>
        <v>Servicios Informatica</v>
      </c>
      <c r="R83" s="49">
        <f>IFERROR(IF(compras_mes123[[#This Row],[CUIT]]="","-",VLOOKUP(compras_mes123[[#This Row],[CUIT]],Lista_CUIT[#All],4,0)),"CUIT NO CARGADO")</f>
        <v>0</v>
      </c>
    </row>
    <row r="84" spans="2:18" x14ac:dyDescent="0.25">
      <c r="B84" s="40" t="s">
        <v>2960</v>
      </c>
      <c r="C84" s="41">
        <v>1</v>
      </c>
      <c r="D84" s="42">
        <v>28</v>
      </c>
      <c r="E84" s="43">
        <v>12418</v>
      </c>
      <c r="F84" s="44">
        <v>30542844562</v>
      </c>
      <c r="G84" s="45" t="str">
        <f>IFERROR(IF(compras_mes123[[#This Row],[CUIT]]="","-",VLOOKUP(compras_mes123[[#This Row],[CUIT]],Lista_CUIT[#All],2,0)),"CUIT NO CARGADO")</f>
        <v>SINDICATO PETROLERO DE CORDOBA</v>
      </c>
      <c r="H84" s="46">
        <v>40495.870000000003</v>
      </c>
      <c r="I84" s="85">
        <f>IF(compras_mes123[[#This Row],[NETO GRAVADO]]="","",compras_mes123[[#This Row],[NETO GRAVADO]]*0.21)</f>
        <v>8504.1327000000001</v>
      </c>
      <c r="J84" s="85"/>
      <c r="K84" s="85"/>
      <c r="L84" s="85"/>
      <c r="M84" s="85"/>
      <c r="N84" s="85"/>
      <c r="O84" s="85"/>
      <c r="P84" s="48">
        <f>SUM(compras_mes123[[#This Row],[NETO GRAVADO]:[Otros / No Grav.]])</f>
        <v>49000.002700000005</v>
      </c>
      <c r="Q84" s="49" t="str">
        <f>IFERROR(IF(compras_mes123[[#This Row],[CUIT]]="","-",VLOOKUP(compras_mes123[[#This Row],[CUIT]],Lista_CUIT[#All],3,0)),"CUIT NO CARGADO")</f>
        <v>Gastos Varios</v>
      </c>
      <c r="R84" s="49">
        <f>IFERROR(IF(compras_mes123[[#This Row],[CUIT]]="","-",VLOOKUP(compras_mes123[[#This Row],[CUIT]],Lista_CUIT[#All],4,0)),"CUIT NO CARGADO")</f>
        <v>0</v>
      </c>
    </row>
    <row r="85" spans="2:18" x14ac:dyDescent="0.25">
      <c r="B85" s="40" t="s">
        <v>2960</v>
      </c>
      <c r="C85" s="41">
        <v>1</v>
      </c>
      <c r="D85" s="42">
        <v>2</v>
      </c>
      <c r="E85" s="43">
        <v>11352</v>
      </c>
      <c r="F85" s="44">
        <v>33714677239</v>
      </c>
      <c r="G85" s="45" t="str">
        <f>IFERROR(IF(compras_mes123[[#This Row],[CUIT]]="","-",VLOOKUP(compras_mes123[[#This Row],[CUIT]],Lista_CUIT[#All],2,0)),"CUIT NO CARGADO")</f>
        <v xml:space="preserve">BOMBAS VAPORIZADORAS </v>
      </c>
      <c r="H85" s="46">
        <v>3468000</v>
      </c>
      <c r="I85" s="85">
        <f>IF(compras_mes123[[#This Row],[NETO GRAVADO]]="","",compras_mes123[[#This Row],[NETO GRAVADO]]*0.21)</f>
        <v>728280</v>
      </c>
      <c r="J85" s="85"/>
      <c r="K85" s="85"/>
      <c r="L85" s="85"/>
      <c r="M85" s="85"/>
      <c r="N85" s="85"/>
      <c r="O85" s="85"/>
      <c r="P85" s="48">
        <f>SUM(compras_mes123[[#This Row],[NETO GRAVADO]:[Otros / No Grav.]])</f>
        <v>4196280</v>
      </c>
      <c r="Q85" s="49" t="str">
        <f>IFERROR(IF(compras_mes123[[#This Row],[CUIT]]="","-",VLOOKUP(compras_mes123[[#This Row],[CUIT]],Lista_CUIT[#All],3,0)),"CUIT NO CARGADO")</f>
        <v>Productos Venta</v>
      </c>
      <c r="R85" s="49">
        <f>IFERROR(IF(compras_mes123[[#This Row],[CUIT]]="","-",VLOOKUP(compras_mes123[[#This Row],[CUIT]],Lista_CUIT[#All],4,0)),"CUIT NO CARGADO")</f>
        <v>0</v>
      </c>
    </row>
    <row r="86" spans="2:18" x14ac:dyDescent="0.25">
      <c r="B86" s="40" t="s">
        <v>2960</v>
      </c>
      <c r="C86" s="41">
        <v>1</v>
      </c>
      <c r="D86" s="42">
        <v>13</v>
      </c>
      <c r="E86" s="43">
        <v>2312</v>
      </c>
      <c r="F86" s="44">
        <v>30713628804</v>
      </c>
      <c r="G86" s="45" t="str">
        <f>IFERROR(IF(compras_mes123[[#This Row],[CUIT]]="","-",VLOOKUP(compras_mes123[[#This Row],[CUIT]],Lista_CUIT[#All],2,0)),"CUIT NO CARGADO")</f>
        <v>GNC AU VILLA MARIA SRL</v>
      </c>
      <c r="H86" s="46">
        <v>57430.89</v>
      </c>
      <c r="I86" s="85">
        <f>IF(compras_mes123[[#This Row],[NETO GRAVADO]]="","",compras_mes123[[#This Row],[NETO GRAVADO]]*0.21)</f>
        <v>12060.4869</v>
      </c>
      <c r="J86" s="85"/>
      <c r="K86" s="85"/>
      <c r="L86" s="85"/>
      <c r="M86" s="85"/>
      <c r="N86" s="85"/>
      <c r="O86" s="85">
        <v>11508.62</v>
      </c>
      <c r="P86" s="48">
        <f>SUM(compras_mes123[[#This Row],[NETO GRAVADO]:[Otros / No Grav.]])</f>
        <v>80999.996899999998</v>
      </c>
      <c r="Q86" s="49" t="str">
        <f>IFERROR(IF(compras_mes123[[#This Row],[CUIT]]="","-",VLOOKUP(compras_mes123[[#This Row],[CUIT]],Lista_CUIT[#All],3,0)),"CUIT NO CARGADO")</f>
        <v>Combustible</v>
      </c>
      <c r="R86" s="49">
        <f>IFERROR(IF(compras_mes123[[#This Row],[CUIT]]="","-",VLOOKUP(compras_mes123[[#This Row],[CUIT]],Lista_CUIT[#All],4,0)),"CUIT NO CARGADO")</f>
        <v>0</v>
      </c>
    </row>
    <row r="87" spans="2:18" x14ac:dyDescent="0.25">
      <c r="B87" s="40" t="s">
        <v>2960</v>
      </c>
      <c r="C87" s="41">
        <v>1</v>
      </c>
      <c r="D87" s="42">
        <v>13</v>
      </c>
      <c r="E87" s="43">
        <v>2313</v>
      </c>
      <c r="F87" s="44">
        <v>30713628804</v>
      </c>
      <c r="G87" s="45" t="str">
        <f>IFERROR(IF(compras_mes123[[#This Row],[CUIT]]="","-",VLOOKUP(compras_mes123[[#This Row],[CUIT]],Lista_CUIT[#All],2,0)),"CUIT NO CARGADO")</f>
        <v>GNC AU VILLA MARIA SRL</v>
      </c>
      <c r="H87" s="46">
        <v>57430.89</v>
      </c>
      <c r="I87" s="85">
        <f>IF(compras_mes123[[#This Row],[NETO GRAVADO]]="","",compras_mes123[[#This Row],[NETO GRAVADO]]*0.21)</f>
        <v>12060.4869</v>
      </c>
      <c r="J87" s="85"/>
      <c r="K87" s="85"/>
      <c r="L87" s="85"/>
      <c r="M87" s="85"/>
      <c r="N87" s="85"/>
      <c r="O87" s="85">
        <v>11508.62</v>
      </c>
      <c r="P87" s="48">
        <f>SUM(compras_mes123[[#This Row],[NETO GRAVADO]:[Otros / No Grav.]])</f>
        <v>80999.996899999998</v>
      </c>
      <c r="Q87" s="49" t="str">
        <f>IFERROR(IF(compras_mes123[[#This Row],[CUIT]]="","-",VLOOKUP(compras_mes123[[#This Row],[CUIT]],Lista_CUIT[#All],3,0)),"CUIT NO CARGADO")</f>
        <v>Combustible</v>
      </c>
      <c r="R87" s="49">
        <f>IFERROR(IF(compras_mes123[[#This Row],[CUIT]]="","-",VLOOKUP(compras_mes123[[#This Row],[CUIT]],Lista_CUIT[#All],4,0)),"CUIT NO CARGADO")</f>
        <v>0</v>
      </c>
    </row>
    <row r="88" spans="2:18" x14ac:dyDescent="0.25">
      <c r="B88" s="40" t="s">
        <v>2960</v>
      </c>
      <c r="C88" s="41">
        <v>1</v>
      </c>
      <c r="D88" s="42">
        <v>13</v>
      </c>
      <c r="E88" s="43">
        <v>2314</v>
      </c>
      <c r="F88" s="44">
        <v>30713628804</v>
      </c>
      <c r="G88" s="45" t="str">
        <f>IFERROR(IF(compras_mes123[[#This Row],[CUIT]]="","-",VLOOKUP(compras_mes123[[#This Row],[CUIT]],Lista_CUIT[#All],2,0)),"CUIT NO CARGADO")</f>
        <v>GNC AU VILLA MARIA SRL</v>
      </c>
      <c r="H88" s="46">
        <v>57430.89</v>
      </c>
      <c r="I88" s="85">
        <f>IF(compras_mes123[[#This Row],[NETO GRAVADO]]="","",compras_mes123[[#This Row],[NETO GRAVADO]]*0.21)</f>
        <v>12060.4869</v>
      </c>
      <c r="J88" s="85"/>
      <c r="K88" s="85"/>
      <c r="L88" s="85"/>
      <c r="M88" s="85"/>
      <c r="N88" s="85"/>
      <c r="O88" s="85">
        <v>11508.62</v>
      </c>
      <c r="P88" s="48">
        <f>SUM(compras_mes123[[#This Row],[NETO GRAVADO]:[Otros / No Grav.]])</f>
        <v>80999.996899999998</v>
      </c>
      <c r="Q88" s="49" t="str">
        <f>IFERROR(IF(compras_mes123[[#This Row],[CUIT]]="","-",VLOOKUP(compras_mes123[[#This Row],[CUIT]],Lista_CUIT[#All],3,0)),"CUIT NO CARGADO")</f>
        <v>Combustible</v>
      </c>
      <c r="R88" s="49">
        <f>IFERROR(IF(compras_mes123[[#This Row],[CUIT]]="","-",VLOOKUP(compras_mes123[[#This Row],[CUIT]],Lista_CUIT[#All],4,0)),"CUIT NO CARGADO")</f>
        <v>0</v>
      </c>
    </row>
    <row r="89" spans="2:18" x14ac:dyDescent="0.25">
      <c r="B89" s="40" t="s">
        <v>2960</v>
      </c>
      <c r="C89" s="41">
        <v>1</v>
      </c>
      <c r="D89" s="42">
        <v>14</v>
      </c>
      <c r="E89" s="43">
        <v>19722</v>
      </c>
      <c r="F89" s="44">
        <v>30715186256</v>
      </c>
      <c r="G89" s="45" t="str">
        <f>IFERROR(IF(compras_mes123[[#This Row],[CUIT]]="","-",VLOOKUP(compras_mes123[[#This Row],[CUIT]],Lista_CUIT[#All],2,0)),"CUIT NO CARGADO")</f>
        <v>FRIGORIFICO ALIMENTIC</v>
      </c>
      <c r="H89" s="46">
        <v>70387.789999999994</v>
      </c>
      <c r="I89" s="85">
        <v>3488</v>
      </c>
      <c r="J89" s="85"/>
      <c r="K89" s="85">
        <v>5646.72</v>
      </c>
      <c r="L89" s="85"/>
      <c r="M89" s="85"/>
      <c r="N89" s="85"/>
      <c r="O89" s="85"/>
      <c r="P89" s="48">
        <f>SUM(compras_mes123[[#This Row],[NETO GRAVADO]:[Otros / No Grav.]])</f>
        <v>79522.509999999995</v>
      </c>
      <c r="Q89" s="49" t="str">
        <f>IFERROR(IF(compras_mes123[[#This Row],[CUIT]]="","-",VLOOKUP(compras_mes123[[#This Row],[CUIT]],Lista_CUIT[#All],3,0)),"CUIT NO CARGADO")</f>
        <v>Gastos Comercializacion - Feria</v>
      </c>
      <c r="R89" s="49">
        <f>IFERROR(IF(compras_mes123[[#This Row],[CUIT]]="","-",VLOOKUP(compras_mes123[[#This Row],[CUIT]],Lista_CUIT[#All],4,0)),"CUIT NO CARGADO")</f>
        <v>0</v>
      </c>
    </row>
    <row r="90" spans="2:18" x14ac:dyDescent="0.25">
      <c r="B90" s="40" t="s">
        <v>2960</v>
      </c>
      <c r="C90" s="41">
        <v>1</v>
      </c>
      <c r="D90" s="42">
        <v>2</v>
      </c>
      <c r="E90" s="43">
        <v>4196</v>
      </c>
      <c r="F90" s="44">
        <v>30629863571</v>
      </c>
      <c r="G90" s="45" t="str">
        <f>IFERROR(IF(compras_mes123[[#This Row],[CUIT]]="","-",VLOOKUP(compras_mes123[[#This Row],[CUIT]],Lista_CUIT[#All],2,0)),"CUIT NO CARGADO")</f>
        <v>TECNIMAR S R L</v>
      </c>
      <c r="H90" s="46">
        <v>3290925</v>
      </c>
      <c r="I90" s="85">
        <f>IF(compras_mes123[[#This Row],[NETO GRAVADO]]="","",compras_mes123[[#This Row],[NETO GRAVADO]]*0.21)</f>
        <v>691094.25</v>
      </c>
      <c r="J90" s="85"/>
      <c r="K90" s="85"/>
      <c r="L90" s="85"/>
      <c r="M90" s="85"/>
      <c r="N90" s="85"/>
      <c r="O90" s="85"/>
      <c r="P90" s="48">
        <f>SUM(compras_mes123[[#This Row],[NETO GRAVADO]:[Otros / No Grav.]])</f>
        <v>3982019.25</v>
      </c>
      <c r="Q90" s="49" t="str">
        <f>IFERROR(IF(compras_mes123[[#This Row],[CUIT]]="","-",VLOOKUP(compras_mes123[[#This Row],[CUIT]],Lista_CUIT[#All],3,0)),"CUIT NO CARGADO")</f>
        <v>Productos Venta</v>
      </c>
      <c r="R90" s="49">
        <f>IFERROR(IF(compras_mes123[[#This Row],[CUIT]]="","-",VLOOKUP(compras_mes123[[#This Row],[CUIT]],Lista_CUIT[#All],4,0)),"CUIT NO CARGADO")</f>
        <v>0</v>
      </c>
    </row>
    <row r="91" spans="2:18" x14ac:dyDescent="0.25">
      <c r="B91" s="40" t="s">
        <v>2940</v>
      </c>
      <c r="C91" s="41">
        <v>1</v>
      </c>
      <c r="D91" s="42">
        <v>3</v>
      </c>
      <c r="E91" s="43">
        <v>2684</v>
      </c>
      <c r="F91" s="44">
        <v>27438028442</v>
      </c>
      <c r="G91" s="45" t="str">
        <f>IFERROR(IF(compras_mes123[[#This Row],[CUIT]]="","-",VLOOKUP(compras_mes123[[#This Row],[CUIT]],Lista_CUIT[#All],2,0)),"CUIT NO CARGADO")</f>
        <v>MARTIN FIORELLA    MERLINA</v>
      </c>
      <c r="H91" s="46">
        <v>9976.57</v>
      </c>
      <c r="I91" s="85">
        <f>IF(compras_mes123[[#This Row],[NETO GRAVADO]]="","",compras_mes123[[#This Row],[NETO GRAVADO]]*0.21)</f>
        <v>2095.0796999999998</v>
      </c>
      <c r="J91" s="85"/>
      <c r="K91" s="85"/>
      <c r="L91" s="85"/>
      <c r="M91" s="85"/>
      <c r="N91" s="85"/>
      <c r="O91" s="85"/>
      <c r="P91" s="48">
        <f>SUM(compras_mes123[[#This Row],[NETO GRAVADO]:[Otros / No Grav.]])</f>
        <v>12071.6497</v>
      </c>
      <c r="Q91" s="49" t="str">
        <f>IFERROR(IF(compras_mes123[[#This Row],[CUIT]]="","-",VLOOKUP(compras_mes123[[#This Row],[CUIT]],Lista_CUIT[#All],3,0)),"CUIT NO CARGADO")</f>
        <v>MANTENIMIENTO</v>
      </c>
      <c r="R91" s="49">
        <f>IFERROR(IF(compras_mes123[[#This Row],[CUIT]]="","-",VLOOKUP(compras_mes123[[#This Row],[CUIT]],Lista_CUIT[#All],4,0)),"CUIT NO CARGADO")</f>
        <v>0</v>
      </c>
    </row>
    <row r="92" spans="2:18" x14ac:dyDescent="0.25">
      <c r="B92" s="40" t="s">
        <v>2940</v>
      </c>
      <c r="C92" s="41">
        <v>1</v>
      </c>
      <c r="D92" s="42">
        <v>3</v>
      </c>
      <c r="E92" s="43">
        <v>2685</v>
      </c>
      <c r="F92" s="44">
        <v>27438028442</v>
      </c>
      <c r="G92" s="45" t="str">
        <f>IFERROR(IF(compras_mes123[[#This Row],[CUIT]]="","-",VLOOKUP(compras_mes123[[#This Row],[CUIT]],Lista_CUIT[#All],2,0)),"CUIT NO CARGADO")</f>
        <v>MARTIN FIORELLA    MERLINA</v>
      </c>
      <c r="H92" s="46">
        <v>9976.57</v>
      </c>
      <c r="I92" s="85">
        <f>IF(compras_mes123[[#This Row],[NETO GRAVADO]]="","",compras_mes123[[#This Row],[NETO GRAVADO]]*0.21)</f>
        <v>2095.0796999999998</v>
      </c>
      <c r="J92" s="85"/>
      <c r="K92" s="85"/>
      <c r="L92" s="85"/>
      <c r="M92" s="85"/>
      <c r="N92" s="85"/>
      <c r="O92" s="85"/>
      <c r="P92" s="48">
        <f>SUM(compras_mes123[[#This Row],[NETO GRAVADO]:[Otros / No Grav.]])</f>
        <v>12071.6497</v>
      </c>
      <c r="Q92" s="49" t="str">
        <f>IFERROR(IF(compras_mes123[[#This Row],[CUIT]]="","-",VLOOKUP(compras_mes123[[#This Row],[CUIT]],Lista_CUIT[#All],3,0)),"CUIT NO CARGADO")</f>
        <v>MANTENIMIENTO</v>
      </c>
      <c r="R92" s="49">
        <f>IFERROR(IF(compras_mes123[[#This Row],[CUIT]]="","-",VLOOKUP(compras_mes123[[#This Row],[CUIT]],Lista_CUIT[#All],4,0)),"CUIT NO CARGADO")</f>
        <v>0</v>
      </c>
    </row>
    <row r="93" spans="2:18" x14ac:dyDescent="0.25">
      <c r="B93" s="40" t="s">
        <v>2940</v>
      </c>
      <c r="C93" s="41">
        <v>1</v>
      </c>
      <c r="D93" s="42">
        <v>3</v>
      </c>
      <c r="E93" s="43">
        <v>2686</v>
      </c>
      <c r="F93" s="44">
        <v>27438028442</v>
      </c>
      <c r="G93" s="45" t="str">
        <f>IFERROR(IF(compras_mes123[[#This Row],[CUIT]]="","-",VLOOKUP(compras_mes123[[#This Row],[CUIT]],Lista_CUIT[#All],2,0)),"CUIT NO CARGADO")</f>
        <v>MARTIN FIORELLA    MERLINA</v>
      </c>
      <c r="H93" s="46">
        <v>9976.57</v>
      </c>
      <c r="I93" s="85">
        <f>IF(compras_mes123[[#This Row],[NETO GRAVADO]]="","",compras_mes123[[#This Row],[NETO GRAVADO]]*0.21)</f>
        <v>2095.0796999999998</v>
      </c>
      <c r="J93" s="85"/>
      <c r="K93" s="85"/>
      <c r="L93" s="85"/>
      <c r="M93" s="85"/>
      <c r="N93" s="85"/>
      <c r="O93" s="85"/>
      <c r="P93" s="48">
        <f>SUM(compras_mes123[[#This Row],[NETO GRAVADO]:[Otros / No Grav.]])</f>
        <v>12071.6497</v>
      </c>
      <c r="Q93" s="49" t="str">
        <f>IFERROR(IF(compras_mes123[[#This Row],[CUIT]]="","-",VLOOKUP(compras_mes123[[#This Row],[CUIT]],Lista_CUIT[#All],3,0)),"CUIT NO CARGADO")</f>
        <v>MANTENIMIENTO</v>
      </c>
      <c r="R93" s="49">
        <f>IFERROR(IF(compras_mes123[[#This Row],[CUIT]]="","-",VLOOKUP(compras_mes123[[#This Row],[CUIT]],Lista_CUIT[#All],4,0)),"CUIT NO CARGADO")</f>
        <v>0</v>
      </c>
    </row>
    <row r="94" spans="2:18" x14ac:dyDescent="0.25">
      <c r="B94" s="40" t="s">
        <v>2940</v>
      </c>
      <c r="C94" s="41">
        <v>1</v>
      </c>
      <c r="D94" s="42">
        <v>3</v>
      </c>
      <c r="E94" s="43">
        <v>2687</v>
      </c>
      <c r="F94" s="44">
        <v>27438028442</v>
      </c>
      <c r="G94" s="45" t="str">
        <f>IFERROR(IF(compras_mes123[[#This Row],[CUIT]]="","-",VLOOKUP(compras_mes123[[#This Row],[CUIT]],Lista_CUIT[#All],2,0)),"CUIT NO CARGADO")</f>
        <v>MARTIN FIORELLA    MERLINA</v>
      </c>
      <c r="H94" s="46">
        <v>9976.57</v>
      </c>
      <c r="I94" s="85">
        <f>IF(compras_mes123[[#This Row],[NETO GRAVADO]]="","",compras_mes123[[#This Row],[NETO GRAVADO]]*0.21)</f>
        <v>2095.0796999999998</v>
      </c>
      <c r="J94" s="85"/>
      <c r="K94" s="85"/>
      <c r="L94" s="85"/>
      <c r="M94" s="85"/>
      <c r="N94" s="85"/>
      <c r="O94" s="85"/>
      <c r="P94" s="48">
        <f>SUM(compras_mes123[[#This Row],[NETO GRAVADO]:[Otros / No Grav.]])</f>
        <v>12071.6497</v>
      </c>
      <c r="Q94" s="49" t="str">
        <f>IFERROR(IF(compras_mes123[[#This Row],[CUIT]]="","-",VLOOKUP(compras_mes123[[#This Row],[CUIT]],Lista_CUIT[#All],3,0)),"CUIT NO CARGADO")</f>
        <v>MANTENIMIENTO</v>
      </c>
      <c r="R94" s="49">
        <f>IFERROR(IF(compras_mes123[[#This Row],[CUIT]]="","-",VLOOKUP(compras_mes123[[#This Row],[CUIT]],Lista_CUIT[#All],4,0)),"CUIT NO CARGADO")</f>
        <v>0</v>
      </c>
    </row>
    <row r="95" spans="2:18" x14ac:dyDescent="0.25">
      <c r="B95" s="40" t="s">
        <v>2940</v>
      </c>
      <c r="C95" s="41">
        <v>1</v>
      </c>
      <c r="D95" s="42">
        <v>3</v>
      </c>
      <c r="E95" s="43">
        <v>2688</v>
      </c>
      <c r="F95" s="44">
        <v>27438028442</v>
      </c>
      <c r="G95" s="45" t="str">
        <f>IFERROR(IF(compras_mes123[[#This Row],[CUIT]]="","-",VLOOKUP(compras_mes123[[#This Row],[CUIT]],Lista_CUIT[#All],2,0)),"CUIT NO CARGADO")</f>
        <v>MARTIN FIORELLA    MERLINA</v>
      </c>
      <c r="H95" s="46">
        <v>9976.57</v>
      </c>
      <c r="I95" s="85">
        <f>IF(compras_mes123[[#This Row],[NETO GRAVADO]]="","",compras_mes123[[#This Row],[NETO GRAVADO]]*0.21)</f>
        <v>2095.0796999999998</v>
      </c>
      <c r="J95" s="85"/>
      <c r="K95" s="85"/>
      <c r="L95" s="85"/>
      <c r="M95" s="85"/>
      <c r="N95" s="85"/>
      <c r="O95" s="85"/>
      <c r="P95" s="48">
        <f>SUM(compras_mes123[[#This Row],[NETO GRAVADO]:[Otros / No Grav.]])</f>
        <v>12071.6497</v>
      </c>
      <c r="Q95" s="49" t="str">
        <f>IFERROR(IF(compras_mes123[[#This Row],[CUIT]]="","-",VLOOKUP(compras_mes123[[#This Row],[CUIT]],Lista_CUIT[#All],3,0)),"CUIT NO CARGADO")</f>
        <v>MANTENIMIENTO</v>
      </c>
      <c r="R95" s="49">
        <f>IFERROR(IF(compras_mes123[[#This Row],[CUIT]]="","-",VLOOKUP(compras_mes123[[#This Row],[CUIT]],Lista_CUIT[#All],4,0)),"CUIT NO CARGADO")</f>
        <v>0</v>
      </c>
    </row>
    <row r="96" spans="2:18" x14ac:dyDescent="0.25">
      <c r="B96" s="40" t="s">
        <v>2940</v>
      </c>
      <c r="C96" s="41">
        <v>1</v>
      </c>
      <c r="D96" s="42">
        <v>4</v>
      </c>
      <c r="E96" s="43">
        <v>11243</v>
      </c>
      <c r="F96" s="44">
        <v>30716006391</v>
      </c>
      <c r="G96" s="45" t="str">
        <f>IFERROR(IF(compras_mes123[[#This Row],[CUIT]]="","-",VLOOKUP(compras_mes123[[#This Row],[CUIT]],Lista_CUIT[#All],2,0)),"CUIT NO CARGADO")</f>
        <v>ALISSING</v>
      </c>
      <c r="H96" s="46">
        <v>5911.74</v>
      </c>
      <c r="I96" s="85">
        <f>IF(compras_mes123[[#This Row],[NETO GRAVADO]]="","",compras_mes123[[#This Row],[NETO GRAVADO]]*0.21)</f>
        <v>1241.4653999999998</v>
      </c>
      <c r="J96" s="85"/>
      <c r="K96" s="85"/>
      <c r="L96" s="85"/>
      <c r="M96" s="85"/>
      <c r="N96" s="85"/>
      <c r="O96" s="85"/>
      <c r="P96" s="48">
        <f>SUM(compras_mes123[[#This Row],[NETO GRAVADO]:[Otros / No Grav.]])</f>
        <v>7153.2053999999998</v>
      </c>
      <c r="Q96" s="49" t="str">
        <f>IFERROR(IF(compras_mes123[[#This Row],[CUIT]]="","-",VLOOKUP(compras_mes123[[#This Row],[CUIT]],Lista_CUIT[#All],3,0)),"CUIT NO CARGADO")</f>
        <v>Gastos Varios</v>
      </c>
      <c r="R96" s="49">
        <f>IFERROR(IF(compras_mes123[[#This Row],[CUIT]]="","-",VLOOKUP(compras_mes123[[#This Row],[CUIT]],Lista_CUIT[#All],4,0)),"CUIT NO CARGADO")</f>
        <v>0</v>
      </c>
    </row>
    <row r="97" spans="2:18" x14ac:dyDescent="0.25">
      <c r="B97" s="40" t="s">
        <v>2940</v>
      </c>
      <c r="C97" s="41">
        <v>1</v>
      </c>
      <c r="D97" s="42">
        <v>5</v>
      </c>
      <c r="E97" s="43">
        <v>23221</v>
      </c>
      <c r="F97" s="44">
        <v>23342113729</v>
      </c>
      <c r="G97" s="45" t="str">
        <f>IFERROR(IF(compras_mes123[[#This Row],[CUIT]]="","-",VLOOKUP(compras_mes123[[#This Row],[CUIT]],Lista_CUIT[#All],2,0)),"CUIT NO CARGADO")</f>
        <v>FEDELE SANTIAGO PABLO</v>
      </c>
      <c r="H97" s="46">
        <v>20661.16</v>
      </c>
      <c r="I97" s="85">
        <f>IF(compras_mes123[[#This Row],[NETO GRAVADO]]="","",compras_mes123[[#This Row],[NETO GRAVADO]]*0.21)</f>
        <v>4338.8436000000002</v>
      </c>
      <c r="J97" s="85"/>
      <c r="K97" s="85"/>
      <c r="L97" s="85"/>
      <c r="M97" s="85"/>
      <c r="N97" s="85"/>
      <c r="O97" s="85"/>
      <c r="P97" s="48">
        <f>SUM(compras_mes123[[#This Row],[NETO GRAVADO]:[Otros / No Grav.]])</f>
        <v>25000.0036</v>
      </c>
      <c r="Q97" s="49" t="str">
        <f>IFERROR(IF(compras_mes123[[#This Row],[CUIT]]="","-",VLOOKUP(compras_mes123[[#This Row],[CUIT]],Lista_CUIT[#All],3,0)),"CUIT NO CARGADO")</f>
        <v>Insumos</v>
      </c>
      <c r="R97" s="49">
        <f>IFERROR(IF(compras_mes123[[#This Row],[CUIT]]="","-",VLOOKUP(compras_mes123[[#This Row],[CUIT]],Lista_CUIT[#All],4,0)),"CUIT NO CARGADO")</f>
        <v>0</v>
      </c>
    </row>
    <row r="98" spans="2:18" x14ac:dyDescent="0.25">
      <c r="B98" s="512" t="s">
        <v>2940</v>
      </c>
      <c r="C98" s="41">
        <v>1</v>
      </c>
      <c r="D98" s="267">
        <v>5</v>
      </c>
      <c r="E98" s="268">
        <v>23222</v>
      </c>
      <c r="F98" s="44">
        <v>23342113729</v>
      </c>
      <c r="G98" s="525" t="str">
        <f>IFERROR(IF(compras_mes123[[#This Row],[CUIT]]="","-",VLOOKUP(compras_mes123[[#This Row],[CUIT]],Lista_CUIT[#All],2,0)),"CUIT NO CARGADO")</f>
        <v>FEDELE SANTIAGO PABLO</v>
      </c>
      <c r="H98" s="517">
        <v>237603.31</v>
      </c>
      <c r="I98" s="85">
        <f>IF(compras_mes123[[#This Row],[NETO GRAVADO]]="","",compras_mes123[[#This Row],[NETO GRAVADO]]*0.21)</f>
        <v>49896.695099999997</v>
      </c>
      <c r="J98" s="520"/>
      <c r="K98" s="520"/>
      <c r="L98" s="520"/>
      <c r="M98" s="520"/>
      <c r="N98" s="520"/>
      <c r="O98" s="520"/>
      <c r="P98" s="526">
        <f>SUM(compras_mes123[[#This Row],[NETO GRAVADO]:[Otros / No Grav.]])</f>
        <v>287500.00510000001</v>
      </c>
      <c r="Q98" s="270" t="str">
        <f>IFERROR(IF(compras_mes123[[#This Row],[CUIT]]="","-",VLOOKUP(compras_mes123[[#This Row],[CUIT]],Lista_CUIT[#All],3,0)),"CUIT NO CARGADO")</f>
        <v>Insumos</v>
      </c>
      <c r="R98" s="270">
        <f>IFERROR(IF(compras_mes123[[#This Row],[CUIT]]="","-",VLOOKUP(compras_mes123[[#This Row],[CUIT]],Lista_CUIT[#All],4,0)),"CUIT NO CARGADO")</f>
        <v>0</v>
      </c>
    </row>
    <row r="99" spans="2:18" x14ac:dyDescent="0.25">
      <c r="B99" s="40" t="s">
        <v>2961</v>
      </c>
      <c r="C99" s="41">
        <v>1</v>
      </c>
      <c r="D99" s="42">
        <v>10</v>
      </c>
      <c r="E99" s="43">
        <v>11255</v>
      </c>
      <c r="F99" s="44">
        <v>30684766690</v>
      </c>
      <c r="G99" s="45" t="str">
        <f>IFERROR(IF(compras_mes123[[#This Row],[CUIT]]="","-",VLOOKUP(compras_mes123[[#This Row],[CUIT]],Lista_CUIT[#All],2,0)),"CUIT NO CARGADO")</f>
        <v>LITMANOVICH A Y J</v>
      </c>
      <c r="H99" s="46">
        <v>10222</v>
      </c>
      <c r="I99" s="85">
        <f>IF(compras_mes123[[#This Row],[NETO GRAVADO]]="","",compras_mes123[[#This Row],[NETO GRAVADO]]*0.21)</f>
        <v>2146.62</v>
      </c>
      <c r="J99" s="85"/>
      <c r="K99" s="85"/>
      <c r="L99" s="85"/>
      <c r="M99" s="85"/>
      <c r="N99" s="85"/>
      <c r="O99" s="85"/>
      <c r="P99" s="48">
        <f>SUM(compras_mes123[[#This Row],[NETO GRAVADO]:[Otros / No Grav.]])</f>
        <v>12368.619999999999</v>
      </c>
      <c r="Q99" s="49" t="str">
        <f>IFERROR(IF(compras_mes123[[#This Row],[CUIT]]="","-",VLOOKUP(compras_mes123[[#This Row],[CUIT]],Lista_CUIT[#All],3,0)),"CUIT NO CARGADO")</f>
        <v>MANTENIMIENTO</v>
      </c>
      <c r="R99" s="49">
        <f>IFERROR(IF(compras_mes123[[#This Row],[CUIT]]="","-",VLOOKUP(compras_mes123[[#This Row],[CUIT]],Lista_CUIT[#All],4,0)),"CUIT NO CARGADO")</f>
        <v>0</v>
      </c>
    </row>
    <row r="100" spans="2:18" x14ac:dyDescent="0.25">
      <c r="B100" s="40" t="s">
        <v>2961</v>
      </c>
      <c r="C100" s="41">
        <v>1</v>
      </c>
      <c r="D100" s="42">
        <v>2</v>
      </c>
      <c r="E100" s="43">
        <v>4197</v>
      </c>
      <c r="F100" s="44">
        <v>30629863571</v>
      </c>
      <c r="G100" s="45" t="str">
        <f>IFERROR(IF(compras_mes123[[#This Row],[CUIT]]="","-",VLOOKUP(compras_mes123[[#This Row],[CUIT]],Lista_CUIT[#All],2,0)),"CUIT NO CARGADO")</f>
        <v>TECNIMAR S R L</v>
      </c>
      <c r="H100" s="46">
        <v>3479568</v>
      </c>
      <c r="I100" s="85">
        <f>IF(compras_mes123[[#This Row],[NETO GRAVADO]]="","",compras_mes123[[#This Row],[NETO GRAVADO]]*0.21)</f>
        <v>730709.28</v>
      </c>
      <c r="J100" s="85"/>
      <c r="K100" s="85"/>
      <c r="L100" s="85"/>
      <c r="M100" s="85"/>
      <c r="N100" s="85"/>
      <c r="O100" s="85"/>
      <c r="P100" s="48">
        <f>SUM(compras_mes123[[#This Row],[NETO GRAVADO]:[Otros / No Grav.]])</f>
        <v>4210277.28</v>
      </c>
      <c r="Q100" s="49" t="str">
        <f>IFERROR(IF(compras_mes123[[#This Row],[CUIT]]="","-",VLOOKUP(compras_mes123[[#This Row],[CUIT]],Lista_CUIT[#All],3,0)),"CUIT NO CARGADO")</f>
        <v>Productos Venta</v>
      </c>
      <c r="R100" s="49">
        <f>IFERROR(IF(compras_mes123[[#This Row],[CUIT]]="","-",VLOOKUP(compras_mes123[[#This Row],[CUIT]],Lista_CUIT[#All],4,0)),"CUIT NO CARGADO")</f>
        <v>0</v>
      </c>
    </row>
    <row r="101" spans="2:18" x14ac:dyDescent="0.25">
      <c r="B101" s="40" t="s">
        <v>2941</v>
      </c>
      <c r="C101" s="41">
        <v>1</v>
      </c>
      <c r="D101" s="42">
        <v>6</v>
      </c>
      <c r="E101" s="43">
        <v>109834</v>
      </c>
      <c r="F101" s="44">
        <v>30709382019</v>
      </c>
      <c r="G101" s="45" t="str">
        <f>IFERROR(IF(compras_mes123[[#This Row],[CUIT]]="","-",VLOOKUP(compras_mes123[[#This Row],[CUIT]],Lista_CUIT[#All],2,0)),"CUIT NO CARGADO")</f>
        <v>G - COMMERCE S.A.</v>
      </c>
      <c r="H101" s="46">
        <v>156958.68</v>
      </c>
      <c r="I101" s="85">
        <f>IF(compras_mes123[[#This Row],[NETO GRAVADO]]="","",compras_mes123[[#This Row],[NETO GRAVADO]]*0.21)</f>
        <v>32961.322799999994</v>
      </c>
      <c r="J101" s="85"/>
      <c r="K101" s="85"/>
      <c r="L101" s="85"/>
      <c r="M101" s="85"/>
      <c r="N101" s="85"/>
      <c r="O101" s="85"/>
      <c r="P101" s="48">
        <f>SUM(compras_mes123[[#This Row],[NETO GRAVADO]:[Otros / No Grav.]])</f>
        <v>189920.00279999999</v>
      </c>
      <c r="Q101" s="49" t="str">
        <f>IFERROR(IF(compras_mes123[[#This Row],[CUIT]]="","-",VLOOKUP(compras_mes123[[#This Row],[CUIT]],Lista_CUIT[#All],3,0)),"CUIT NO CARGADO")</f>
        <v>Material de Empaque</v>
      </c>
      <c r="R101" s="49">
        <f>IFERROR(IF(compras_mes123[[#This Row],[CUIT]]="","-",VLOOKUP(compras_mes123[[#This Row],[CUIT]],Lista_CUIT[#All],4,0)),"CUIT NO CARGADO")</f>
        <v>0</v>
      </c>
    </row>
    <row r="102" spans="2:18" x14ac:dyDescent="0.25">
      <c r="B102" s="40" t="s">
        <v>2941</v>
      </c>
      <c r="C102" s="41">
        <v>1</v>
      </c>
      <c r="D102" s="42">
        <v>2199</v>
      </c>
      <c r="E102" s="43">
        <v>40162</v>
      </c>
      <c r="F102" s="44">
        <v>30548083156</v>
      </c>
      <c r="G102" s="45" t="str">
        <f>IFERROR(IF(compras_mes123[[#This Row],[CUIT]]="","-",VLOOKUP(compras_mes123[[#This Row],[CUIT]],Lista_CUIT[#All],2,0)),"CUIT NO CARGADO")</f>
        <v>COTO CENTRO INTEGRAL DE COMERCIALIZACION SOCIEDAD ANONIMA</v>
      </c>
      <c r="H102" s="46">
        <v>80555.69</v>
      </c>
      <c r="I102" s="85">
        <v>11879.79</v>
      </c>
      <c r="J102" s="85"/>
      <c r="K102" s="85">
        <v>2518.4499999999998</v>
      </c>
      <c r="L102" s="85"/>
      <c r="M102" s="85"/>
      <c r="N102" s="85"/>
      <c r="O102" s="85">
        <v>3970.15</v>
      </c>
      <c r="P102" s="48">
        <f>SUM(compras_mes123[[#This Row],[NETO GRAVADO]:[Otros / No Grav.]])</f>
        <v>98924.08</v>
      </c>
      <c r="Q102" s="49" t="str">
        <f>IFERROR(IF(compras_mes123[[#This Row],[CUIT]]="","-",VLOOKUP(compras_mes123[[#This Row],[CUIT]],Lista_CUIT[#All],3,0)),"CUIT NO CARGADO")</f>
        <v>Gastos Varios</v>
      </c>
      <c r="R102" s="49">
        <f>IFERROR(IF(compras_mes123[[#This Row],[CUIT]]="","-",VLOOKUP(compras_mes123[[#This Row],[CUIT]],Lista_CUIT[#All],4,0)),"CUIT NO CARGADO")</f>
        <v>0</v>
      </c>
    </row>
    <row r="103" spans="2:18" x14ac:dyDescent="0.25">
      <c r="B103" s="40" t="s">
        <v>2941</v>
      </c>
      <c r="C103" s="41">
        <v>1</v>
      </c>
      <c r="D103" s="42">
        <v>15</v>
      </c>
      <c r="E103" s="43">
        <v>115116</v>
      </c>
      <c r="F103" s="44">
        <v>33708907869</v>
      </c>
      <c r="G103" s="45" t="str">
        <f>IFERROR(IF(compras_mes123[[#This Row],[CUIT]]="","-",VLOOKUP(compras_mes123[[#This Row],[CUIT]],Lista_CUIT[#All],2,0)),"CUIT NO CARGADO")</f>
        <v>SERCAP INSUMOS SRL</v>
      </c>
      <c r="H103" s="46">
        <v>36280.99</v>
      </c>
      <c r="I103" s="85">
        <f>IF(compras_mes123[[#This Row],[NETO GRAVADO]]="","",compras_mes123[[#This Row],[NETO GRAVADO]]*0.21)</f>
        <v>7619.0078999999996</v>
      </c>
      <c r="J103" s="85"/>
      <c r="K103" s="85"/>
      <c r="L103" s="85"/>
      <c r="M103" s="85"/>
      <c r="N103" s="85"/>
      <c r="O103" s="85"/>
      <c r="P103" s="48">
        <f>SUM(compras_mes123[[#This Row],[NETO GRAVADO]:[Otros / No Grav.]])</f>
        <v>43899.997899999995</v>
      </c>
      <c r="Q103" s="49" t="str">
        <f>IFERROR(IF(compras_mes123[[#This Row],[CUIT]]="","-",VLOOKUP(compras_mes123[[#This Row],[CUIT]],Lista_CUIT[#All],3,0)),"CUIT NO CARGADO")</f>
        <v>Gastos Varios</v>
      </c>
      <c r="R103" s="49">
        <f>IFERROR(IF(compras_mes123[[#This Row],[CUIT]]="","-",VLOOKUP(compras_mes123[[#This Row],[CUIT]],Lista_CUIT[#All],4,0)),"CUIT NO CARGADO")</f>
        <v>0</v>
      </c>
    </row>
    <row r="104" spans="2:18" x14ac:dyDescent="0.25">
      <c r="B104" s="40" t="s">
        <v>2941</v>
      </c>
      <c r="C104" s="41">
        <v>1</v>
      </c>
      <c r="D104" s="42">
        <v>3</v>
      </c>
      <c r="E104" s="43">
        <v>162307</v>
      </c>
      <c r="F104" s="44">
        <v>30708708697</v>
      </c>
      <c r="G104" s="45" t="str">
        <f>IFERROR(IF(compras_mes123[[#This Row],[CUIT]]="","-",VLOOKUP(compras_mes123[[#This Row],[CUIT]],Lista_CUIT[#All],2,0)),"CUIT NO CARGADO")</f>
        <v>FERCOL LUBRICANTES S.R.L.</v>
      </c>
      <c r="H104" s="46">
        <v>3164700</v>
      </c>
      <c r="I104" s="85">
        <f>IF(compras_mes123[[#This Row],[NETO GRAVADO]]="","",compras_mes123[[#This Row],[NETO GRAVADO]]*0.21)</f>
        <v>664587</v>
      </c>
      <c r="J104" s="85"/>
      <c r="K104" s="85"/>
      <c r="L104" s="85"/>
      <c r="M104" s="85"/>
      <c r="N104" s="85"/>
      <c r="O104" s="85"/>
      <c r="P104" s="48">
        <f>SUM(compras_mes123[[#This Row],[NETO GRAVADO]:[Otros / No Grav.]])</f>
        <v>3829287</v>
      </c>
      <c r="Q104" s="49" t="str">
        <f>IFERROR(IF(compras_mes123[[#This Row],[CUIT]]="","-",VLOOKUP(compras_mes123[[#This Row],[CUIT]],Lista_CUIT[#All],3,0)),"CUIT NO CARGADO")</f>
        <v>Alquiler</v>
      </c>
      <c r="R104" s="49">
        <f>IFERROR(IF(compras_mes123[[#This Row],[CUIT]]="","-",VLOOKUP(compras_mes123[[#This Row],[CUIT]],Lista_CUIT[#All],4,0)),"CUIT NO CARGADO")</f>
        <v>0</v>
      </c>
    </row>
    <row r="105" spans="2:18" x14ac:dyDescent="0.25">
      <c r="B105" s="40" t="s">
        <v>2941</v>
      </c>
      <c r="C105" s="41">
        <v>1</v>
      </c>
      <c r="D105" s="42">
        <v>104</v>
      </c>
      <c r="E105" s="43">
        <v>11178605</v>
      </c>
      <c r="F105" s="44">
        <v>30715804812</v>
      </c>
      <c r="G105" s="45" t="str">
        <f>IFERROR(IF(compras_mes123[[#This Row],[CUIT]]="","-",VLOOKUP(compras_mes123[[#This Row],[CUIT]],Lista_CUIT[#All],2,0)),"CUIT NO CARGADO")</f>
        <v>CORREDORES VIALES SOCIEDAD ANONIMA</v>
      </c>
      <c r="H105" s="46">
        <v>8319.8799999999992</v>
      </c>
      <c r="I105" s="85">
        <f>IF(compras_mes123[[#This Row],[NETO GRAVADO]]="","",compras_mes123[[#This Row],[NETO GRAVADO]]*0.21)</f>
        <v>1747.1747999999998</v>
      </c>
      <c r="J105" s="85"/>
      <c r="K105" s="85"/>
      <c r="L105" s="85"/>
      <c r="M105" s="85"/>
      <c r="N105" s="85"/>
      <c r="O105" s="85">
        <v>249.6</v>
      </c>
      <c r="P105" s="48">
        <f>SUM(compras_mes123[[#This Row],[NETO GRAVADO]:[Otros / No Grav.]])</f>
        <v>10316.654799999998</v>
      </c>
      <c r="Q105" s="49" t="str">
        <f>IFERROR(IF(compras_mes123[[#This Row],[CUIT]]="","-",VLOOKUP(compras_mes123[[#This Row],[CUIT]],Lista_CUIT[#All],3,0)),"CUIT NO CARGADO")</f>
        <v>Peajes</v>
      </c>
      <c r="R105" s="49">
        <f>IFERROR(IF(compras_mes123[[#This Row],[CUIT]]="","-",VLOOKUP(compras_mes123[[#This Row],[CUIT]],Lista_CUIT[#All],4,0)),"CUIT NO CARGADO")</f>
        <v>0</v>
      </c>
    </row>
    <row r="106" spans="2:18" x14ac:dyDescent="0.25">
      <c r="B106" s="40" t="s">
        <v>2941</v>
      </c>
      <c r="C106" s="41">
        <v>1</v>
      </c>
      <c r="D106" s="42">
        <v>2</v>
      </c>
      <c r="E106" s="43">
        <v>4198</v>
      </c>
      <c r="F106" s="44">
        <v>30629863571</v>
      </c>
      <c r="G106" s="45" t="str">
        <f>IFERROR(IF(compras_mes123[[#This Row],[CUIT]]="","-",VLOOKUP(compras_mes123[[#This Row],[CUIT]],Lista_CUIT[#All],2,0)),"CUIT NO CARGADO")</f>
        <v>TECNIMAR S R L</v>
      </c>
      <c r="H106" s="46">
        <v>817190</v>
      </c>
      <c r="I106" s="85">
        <f>IF(compras_mes123[[#This Row],[NETO GRAVADO]]="","",compras_mes123[[#This Row],[NETO GRAVADO]]*0.21)</f>
        <v>171609.9</v>
      </c>
      <c r="J106" s="85"/>
      <c r="K106" s="85"/>
      <c r="L106" s="85"/>
      <c r="M106" s="85"/>
      <c r="N106" s="85"/>
      <c r="O106" s="85"/>
      <c r="P106" s="48">
        <f>SUM(compras_mes123[[#This Row],[NETO GRAVADO]:[Otros / No Grav.]])</f>
        <v>988799.9</v>
      </c>
      <c r="Q106" s="49" t="str">
        <f>IFERROR(IF(compras_mes123[[#This Row],[CUIT]]="","-",VLOOKUP(compras_mes123[[#This Row],[CUIT]],Lista_CUIT[#All],3,0)),"CUIT NO CARGADO")</f>
        <v>Productos Venta</v>
      </c>
      <c r="R106" s="49">
        <f>IFERROR(IF(compras_mes123[[#This Row],[CUIT]]="","-",VLOOKUP(compras_mes123[[#This Row],[CUIT]],Lista_CUIT[#All],4,0)),"CUIT NO CARGADO")</f>
        <v>0</v>
      </c>
    </row>
    <row r="107" spans="2:18" x14ac:dyDescent="0.25">
      <c r="B107" s="40" t="s">
        <v>2962</v>
      </c>
      <c r="C107" s="41">
        <v>1</v>
      </c>
      <c r="D107" s="42">
        <v>14</v>
      </c>
      <c r="E107" s="43">
        <v>19792</v>
      </c>
      <c r="F107" s="44">
        <v>30715186256</v>
      </c>
      <c r="G107" s="45" t="str">
        <f>IFERROR(IF(compras_mes123[[#This Row],[CUIT]]="","-",VLOOKUP(compras_mes123[[#This Row],[CUIT]],Lista_CUIT[#All],2,0)),"CUIT NO CARGADO")</f>
        <v>FRIGORIFICO ALIMENTIC</v>
      </c>
      <c r="H107" s="46">
        <v>197730.06</v>
      </c>
      <c r="I107" s="85">
        <v>5241.0200000000004</v>
      </c>
      <c r="J107" s="85"/>
      <c r="K107" s="85">
        <v>18141.150000000001</v>
      </c>
      <c r="L107" s="85"/>
      <c r="M107" s="85"/>
      <c r="N107" s="85"/>
      <c r="O107" s="85"/>
      <c r="P107" s="48">
        <f>SUM(compras_mes123[[#This Row],[NETO GRAVADO]:[Otros / No Grav.]])</f>
        <v>221112.22999999998</v>
      </c>
      <c r="Q107" s="49" t="str">
        <f>IFERROR(IF(compras_mes123[[#This Row],[CUIT]]="","-",VLOOKUP(compras_mes123[[#This Row],[CUIT]],Lista_CUIT[#All],3,0)),"CUIT NO CARGADO")</f>
        <v>Gastos Comercializacion - Feria</v>
      </c>
      <c r="R107" s="49">
        <f>IFERROR(IF(compras_mes123[[#This Row],[CUIT]]="","-",VLOOKUP(compras_mes123[[#This Row],[CUIT]],Lista_CUIT[#All],4,0)),"CUIT NO CARGADO")</f>
        <v>0</v>
      </c>
    </row>
    <row r="108" spans="2:18" x14ac:dyDescent="0.25">
      <c r="B108" s="40" t="s">
        <v>2962</v>
      </c>
      <c r="C108" s="41">
        <v>1</v>
      </c>
      <c r="D108" s="42">
        <v>104</v>
      </c>
      <c r="E108" s="43">
        <v>11299321</v>
      </c>
      <c r="F108" s="44">
        <v>30715804812</v>
      </c>
      <c r="G108" s="45" t="str">
        <f>IFERROR(IF(compras_mes123[[#This Row],[CUIT]]="","-",VLOOKUP(compras_mes123[[#This Row],[CUIT]],Lista_CUIT[#All],2,0)),"CUIT NO CARGADO")</f>
        <v>CORREDORES VIALES SOCIEDAD ANONIMA</v>
      </c>
      <c r="H108" s="46">
        <v>2079.9699999999998</v>
      </c>
      <c r="I108" s="85">
        <f>IF(compras_mes123[[#This Row],[NETO GRAVADO]]="","",compras_mes123[[#This Row],[NETO GRAVADO]]*0.21)</f>
        <v>436.79369999999994</v>
      </c>
      <c r="J108" s="85"/>
      <c r="K108" s="85"/>
      <c r="L108" s="85"/>
      <c r="M108" s="85"/>
      <c r="N108" s="85"/>
      <c r="O108" s="85">
        <v>62.4</v>
      </c>
      <c r="P108" s="48">
        <f>SUM(compras_mes123[[#This Row],[NETO GRAVADO]:[Otros / No Grav.]])</f>
        <v>2579.1636999999996</v>
      </c>
      <c r="Q108" s="49" t="str">
        <f>IFERROR(IF(compras_mes123[[#This Row],[CUIT]]="","-",VLOOKUP(compras_mes123[[#This Row],[CUIT]],Lista_CUIT[#All],3,0)),"CUIT NO CARGADO")</f>
        <v>Peajes</v>
      </c>
      <c r="R108" s="49">
        <f>IFERROR(IF(compras_mes123[[#This Row],[CUIT]]="","-",VLOOKUP(compras_mes123[[#This Row],[CUIT]],Lista_CUIT[#All],4,0)),"CUIT NO CARGADO")</f>
        <v>0</v>
      </c>
    </row>
    <row r="109" spans="2:18" x14ac:dyDescent="0.25">
      <c r="B109" s="40" t="s">
        <v>2962</v>
      </c>
      <c r="C109" s="41">
        <v>1</v>
      </c>
      <c r="D109" s="42">
        <v>2188</v>
      </c>
      <c r="E109" s="43">
        <v>162350</v>
      </c>
      <c r="F109" s="44">
        <v>30548083156</v>
      </c>
      <c r="G109" s="45" t="str">
        <f>IFERROR(IF(compras_mes123[[#This Row],[CUIT]]="","-",VLOOKUP(compras_mes123[[#This Row],[CUIT]],Lista_CUIT[#All],2,0)),"CUIT NO CARGADO")</f>
        <v>COTO CENTRO INTEGRAL DE COMERCIALIZACION SOCIEDAD ANONIMA</v>
      </c>
      <c r="H109" s="46">
        <v>122576.34</v>
      </c>
      <c r="I109" s="85">
        <v>22287.5</v>
      </c>
      <c r="J109" s="85"/>
      <c r="K109" s="85">
        <v>1726.77</v>
      </c>
      <c r="L109" s="85"/>
      <c r="M109" s="85"/>
      <c r="N109" s="85"/>
      <c r="O109" s="85">
        <v>7107.9</v>
      </c>
      <c r="P109" s="48">
        <f>SUM(compras_mes123[[#This Row],[NETO GRAVADO]:[Otros / No Grav.]])</f>
        <v>153698.50999999998</v>
      </c>
      <c r="Q109" s="49" t="str">
        <f>IFERROR(IF(compras_mes123[[#This Row],[CUIT]]="","-",VLOOKUP(compras_mes123[[#This Row],[CUIT]],Lista_CUIT[#All],3,0)),"CUIT NO CARGADO")</f>
        <v>Gastos Varios</v>
      </c>
      <c r="R109" s="49">
        <f>IFERROR(IF(compras_mes123[[#This Row],[CUIT]]="","-",VLOOKUP(compras_mes123[[#This Row],[CUIT]],Lista_CUIT[#All],4,0)),"CUIT NO CARGADO")</f>
        <v>0</v>
      </c>
    </row>
    <row r="110" spans="2:18" x14ac:dyDescent="0.25">
      <c r="B110" s="40" t="s">
        <v>2962</v>
      </c>
      <c r="C110" s="41">
        <v>1</v>
      </c>
      <c r="D110" s="42">
        <v>40</v>
      </c>
      <c r="E110" s="43">
        <v>1257</v>
      </c>
      <c r="F110" s="44">
        <v>30714275670</v>
      </c>
      <c r="G110" s="45" t="str">
        <f>IFERROR(IF(compras_mes123[[#This Row],[CUIT]]="","-",VLOOKUP(compras_mes123[[#This Row],[CUIT]],Lista_CUIT[#All],2,0)),"CUIT NO CARGADO")</f>
        <v>PLA GROUP S.A.</v>
      </c>
      <c r="H110" s="46">
        <v>34059.129999999997</v>
      </c>
      <c r="I110" s="85">
        <f>IF(compras_mes123[[#This Row],[NETO GRAVADO]]="","",compras_mes123[[#This Row],[NETO GRAVADO]]*0.21)</f>
        <v>7152.4172999999992</v>
      </c>
      <c r="J110" s="85"/>
      <c r="K110" s="85"/>
      <c r="L110" s="85"/>
      <c r="M110" s="85"/>
      <c r="N110" s="85"/>
      <c r="O110" s="85"/>
      <c r="P110" s="48">
        <f>SUM(compras_mes123[[#This Row],[NETO GRAVADO]:[Otros / No Grav.]])</f>
        <v>41211.547299999998</v>
      </c>
      <c r="Q110" s="49" t="str">
        <f>IFERROR(IF(compras_mes123[[#This Row],[CUIT]]="","-",VLOOKUP(compras_mes123[[#This Row],[CUIT]],Lista_CUIT[#All],3,0)),"CUIT NO CARGADO")</f>
        <v>Catering</v>
      </c>
      <c r="R110" s="49">
        <f>IFERROR(IF(compras_mes123[[#This Row],[CUIT]]="","-",VLOOKUP(compras_mes123[[#This Row],[CUIT]],Lista_CUIT[#All],4,0)),"CUIT NO CARGADO")</f>
        <v>0</v>
      </c>
    </row>
    <row r="111" spans="2:18" x14ac:dyDescent="0.25">
      <c r="B111" s="40" t="s">
        <v>2962</v>
      </c>
      <c r="C111" s="41">
        <v>1</v>
      </c>
      <c r="D111" s="42">
        <v>4</v>
      </c>
      <c r="E111" s="43">
        <v>66</v>
      </c>
      <c r="F111" s="44">
        <v>20262815367</v>
      </c>
      <c r="G111" s="45" t="str">
        <f>IFERROR(IF(compras_mes123[[#This Row],[CUIT]]="","-",VLOOKUP(compras_mes123[[#This Row],[CUIT]],Lista_CUIT[#All],2,0)),"CUIT NO CARGADO")</f>
        <v>CARDARELLO BASAVILBASO FEDERICO JORGE</v>
      </c>
      <c r="H111" s="46">
        <v>17685.95</v>
      </c>
      <c r="I111" s="85">
        <f>IF(compras_mes123[[#This Row],[NETO GRAVADO]]="","",compras_mes123[[#This Row],[NETO GRAVADO]]*0.21)</f>
        <v>3714.0495000000001</v>
      </c>
      <c r="J111" s="85"/>
      <c r="K111" s="85"/>
      <c r="L111" s="85"/>
      <c r="M111" s="85"/>
      <c r="N111" s="85"/>
      <c r="O111" s="85"/>
      <c r="P111" s="48">
        <f>SUM(compras_mes123[[#This Row],[NETO GRAVADO]:[Otros / No Grav.]])</f>
        <v>21399.999500000002</v>
      </c>
      <c r="Q111" s="49" t="str">
        <f>IFERROR(IF(compras_mes123[[#This Row],[CUIT]]="","-",VLOOKUP(compras_mes123[[#This Row],[CUIT]],Lista_CUIT[#All],3,0)),"CUIT NO CARGADO")</f>
        <v>Gastos Varios</v>
      </c>
      <c r="R111" s="49">
        <f>IFERROR(IF(compras_mes123[[#This Row],[CUIT]]="","-",VLOOKUP(compras_mes123[[#This Row],[CUIT]],Lista_CUIT[#All],4,0)),"CUIT NO CARGADO")</f>
        <v>0</v>
      </c>
    </row>
    <row r="112" spans="2:18" x14ac:dyDescent="0.25">
      <c r="B112" s="40" t="s">
        <v>2962</v>
      </c>
      <c r="C112" s="41">
        <v>1</v>
      </c>
      <c r="D112" s="42">
        <v>50</v>
      </c>
      <c r="E112" s="43">
        <v>4742749</v>
      </c>
      <c r="F112" s="44">
        <v>30714112836</v>
      </c>
      <c r="G112" s="45" t="str">
        <f>IFERROR(IF(compras_mes123[[#This Row],[CUIT]]="","-",VLOOKUP(compras_mes123[[#This Row],[CUIT]],Lista_CUIT[#All],2,0)),"CUIT NO CARGADO")</f>
        <v>AUTOPISTAS DE BS AS</v>
      </c>
      <c r="H112" s="46">
        <v>36396.410000000003</v>
      </c>
      <c r="I112" s="85">
        <f>IF(compras_mes123[[#This Row],[NETO GRAVADO]]="","",compras_mes123[[#This Row],[NETO GRAVADO]]*0.21)</f>
        <v>7643.2461000000003</v>
      </c>
      <c r="J112" s="85"/>
      <c r="K112" s="85"/>
      <c r="L112" s="85"/>
      <c r="M112" s="85"/>
      <c r="N112" s="85"/>
      <c r="O112" s="85">
        <v>1091.8900000000001</v>
      </c>
      <c r="P112" s="48">
        <f>SUM(compras_mes123[[#This Row],[NETO GRAVADO]:[Otros / No Grav.]])</f>
        <v>45131.546100000007</v>
      </c>
      <c r="Q112" s="49" t="str">
        <f>IFERROR(IF(compras_mes123[[#This Row],[CUIT]]="","-",VLOOKUP(compras_mes123[[#This Row],[CUIT]],Lista_CUIT[#All],3,0)),"CUIT NO CARGADO")</f>
        <v>Peajes</v>
      </c>
      <c r="R112" s="49">
        <f>IFERROR(IF(compras_mes123[[#This Row],[CUIT]]="","-",VLOOKUP(compras_mes123[[#This Row],[CUIT]],Lista_CUIT[#All],4,0)),"CUIT NO CARGADO")</f>
        <v>0</v>
      </c>
    </row>
    <row r="113" spans="1:18" x14ac:dyDescent="0.25">
      <c r="B113" s="40" t="s">
        <v>2962</v>
      </c>
      <c r="C113" s="41">
        <v>1</v>
      </c>
      <c r="D113" s="42">
        <v>126</v>
      </c>
      <c r="E113" s="43">
        <v>255917</v>
      </c>
      <c r="F113" s="44">
        <v>30577207190</v>
      </c>
      <c r="G113" s="45" t="str">
        <f>IFERROR(IF(compras_mes123[[#This Row],[CUIT]]="","-",VLOOKUP(compras_mes123[[#This Row],[CUIT]],Lista_CUIT[#All],2,0)),"CUIT NO CARGADO")</f>
        <v>COORDINACION ECOLOGICA AREA METROPOLITANA SOCIEDAD DEL ESTADO</v>
      </c>
      <c r="H113" s="46">
        <v>7447.93</v>
      </c>
      <c r="I113" s="85">
        <f>IF(compras_mes123[[#This Row],[NETO GRAVADO]]="","",compras_mes123[[#This Row],[NETO GRAVADO]]*0.21)</f>
        <v>1564.0653</v>
      </c>
      <c r="J113" s="85"/>
      <c r="K113" s="85"/>
      <c r="L113" s="85"/>
      <c r="M113" s="85"/>
      <c r="N113" s="85"/>
      <c r="O113" s="85">
        <v>223.44</v>
      </c>
      <c r="P113" s="48">
        <f>SUM(compras_mes123[[#This Row],[NETO GRAVADO]:[Otros / No Grav.]])</f>
        <v>9235.435300000001</v>
      </c>
      <c r="Q113" s="49" t="str">
        <f>IFERROR(IF(compras_mes123[[#This Row],[CUIT]]="","-",VLOOKUP(compras_mes123[[#This Row],[CUIT]],Lista_CUIT[#All],3,0)),"CUIT NO CARGADO")</f>
        <v>Gastos Limpieza</v>
      </c>
      <c r="R113" s="49">
        <f>IFERROR(IF(compras_mes123[[#This Row],[CUIT]]="","-",VLOOKUP(compras_mes123[[#This Row],[CUIT]],Lista_CUIT[#All],4,0)),"CUIT NO CARGADO")</f>
        <v>0</v>
      </c>
    </row>
    <row r="114" spans="1:18" x14ac:dyDescent="0.25">
      <c r="B114" s="40" t="s">
        <v>2942</v>
      </c>
      <c r="C114" s="41">
        <v>1</v>
      </c>
      <c r="D114" s="42">
        <v>5015</v>
      </c>
      <c r="E114" s="43">
        <v>1054308</v>
      </c>
      <c r="F114" s="44">
        <v>30574876474</v>
      </c>
      <c r="G114" s="45" t="str">
        <f>IFERROR(IF(compras_mes123[[#This Row],[CUIT]]="","-",VLOOKUP(compras_mes123[[#This Row],[CUIT]],Lista_CUIT[#All],2,0)),"CUIT NO CARGADO")</f>
        <v>AUTOPISTAS URBANAS S A</v>
      </c>
      <c r="H114" s="46">
        <v>169948.59</v>
      </c>
      <c r="I114" s="85">
        <f>IF(compras_mes123[[#This Row],[NETO GRAVADO]]="","",compras_mes123[[#This Row],[NETO GRAVADO]]*0.21)</f>
        <v>35689.2039</v>
      </c>
      <c r="J114" s="85"/>
      <c r="K114" s="85"/>
      <c r="L114" s="85"/>
      <c r="M114" s="85"/>
      <c r="N114" s="85"/>
      <c r="O114" s="85">
        <v>22093.26</v>
      </c>
      <c r="P114" s="48">
        <f>SUM(compras_mes123[[#This Row],[NETO GRAVADO]:[Otros / No Grav.]])</f>
        <v>227731.0539</v>
      </c>
      <c r="Q114" s="49" t="str">
        <f>IFERROR(IF(compras_mes123[[#This Row],[CUIT]]="","-",VLOOKUP(compras_mes123[[#This Row],[CUIT]],Lista_CUIT[#All],3,0)),"CUIT NO CARGADO")</f>
        <v>Peajes</v>
      </c>
      <c r="R114" s="49">
        <f>IFERROR(IF(compras_mes123[[#This Row],[CUIT]]="","-",VLOOKUP(compras_mes123[[#This Row],[CUIT]],Lista_CUIT[#All],4,0)),"CUIT NO CARGADO")</f>
        <v>0</v>
      </c>
    </row>
    <row r="115" spans="1:18" x14ac:dyDescent="0.25">
      <c r="B115" s="40" t="s">
        <v>2942</v>
      </c>
      <c r="C115" s="41">
        <v>1</v>
      </c>
      <c r="D115" s="42">
        <v>711</v>
      </c>
      <c r="E115" s="43">
        <v>7861930</v>
      </c>
      <c r="F115" s="44">
        <v>30677237119</v>
      </c>
      <c r="G115" s="45" t="str">
        <f>IFERROR(IF(compras_mes123[[#This Row],[CUIT]]="","-",VLOOKUP(compras_mes123[[#This Row],[CUIT]],Lista_CUIT[#All],2,0)),"CUIT NO CARGADO")</f>
        <v>AUTOPISTAS DEL SOL S A</v>
      </c>
      <c r="H115" s="46">
        <v>10977.53</v>
      </c>
      <c r="I115" s="85">
        <f>IF(compras_mes123[[#This Row],[NETO GRAVADO]]="","",compras_mes123[[#This Row],[NETO GRAVADO]]*0.21)</f>
        <v>2305.2813000000001</v>
      </c>
      <c r="J115" s="85"/>
      <c r="K115" s="85"/>
      <c r="L115" s="85"/>
      <c r="M115" s="85"/>
      <c r="N115" s="85"/>
      <c r="O115" s="85">
        <v>329.33</v>
      </c>
      <c r="P115" s="48">
        <f>SUM(compras_mes123[[#This Row],[NETO GRAVADO]:[Otros / No Grav.]])</f>
        <v>13612.141300000001</v>
      </c>
      <c r="Q115" s="49" t="str">
        <f>IFERROR(IF(compras_mes123[[#This Row],[CUIT]]="","-",VLOOKUP(compras_mes123[[#This Row],[CUIT]],Lista_CUIT[#All],3,0)),"CUIT NO CARGADO")</f>
        <v>Peajes</v>
      </c>
      <c r="R115" s="49">
        <f>IFERROR(IF(compras_mes123[[#This Row],[CUIT]]="","-",VLOOKUP(compras_mes123[[#This Row],[CUIT]],Lista_CUIT[#All],4,0)),"CUIT NO CARGADO")</f>
        <v>0</v>
      </c>
    </row>
    <row r="116" spans="1:18" x14ac:dyDescent="0.25">
      <c r="B116" s="40" t="s">
        <v>2942</v>
      </c>
      <c r="C116" s="41">
        <v>1</v>
      </c>
      <c r="D116" s="42">
        <v>629</v>
      </c>
      <c r="E116" s="43">
        <v>6628320</v>
      </c>
      <c r="F116" s="44">
        <v>30663498513</v>
      </c>
      <c r="G116" s="45" t="str">
        <f>IFERROR(IF(compras_mes123[[#This Row],[CUIT]]="","-",VLOOKUP(compras_mes123[[#This Row],[CUIT]],Lista_CUIT[#All],2,0)),"CUIT NO CARGADO")</f>
        <v>GRUPO CONCES. DEL OESTE SA</v>
      </c>
      <c r="H116" s="46">
        <v>29697.26</v>
      </c>
      <c r="I116" s="85">
        <f>IF(compras_mes123[[#This Row],[NETO GRAVADO]]="","",compras_mes123[[#This Row],[NETO GRAVADO]]*0.21)</f>
        <v>6236.4245999999994</v>
      </c>
      <c r="J116" s="85"/>
      <c r="K116" s="85"/>
      <c r="L116" s="85"/>
      <c r="M116" s="85"/>
      <c r="N116" s="85"/>
      <c r="O116" s="85"/>
      <c r="P116" s="48">
        <f>SUM(compras_mes123[[#This Row],[NETO GRAVADO]:[Otros / No Grav.]])</f>
        <v>35933.684600000001</v>
      </c>
      <c r="Q116" s="49" t="str">
        <f>IFERROR(IF(compras_mes123[[#This Row],[CUIT]]="","-",VLOOKUP(compras_mes123[[#This Row],[CUIT]],Lista_CUIT[#All],3,0)),"CUIT NO CARGADO")</f>
        <v>Peajes</v>
      </c>
      <c r="R116" s="49">
        <f>IFERROR(IF(compras_mes123[[#This Row],[CUIT]]="","-",VLOOKUP(compras_mes123[[#This Row],[CUIT]],Lista_CUIT[#All],4,0)),"CUIT NO CARGADO")</f>
        <v>0</v>
      </c>
    </row>
    <row r="117" spans="1:18" x14ac:dyDescent="0.25">
      <c r="B117" s="40" t="s">
        <v>2943</v>
      </c>
      <c r="C117" s="41">
        <v>1</v>
      </c>
      <c r="D117" s="42">
        <v>3</v>
      </c>
      <c r="E117" s="43">
        <v>3758</v>
      </c>
      <c r="F117" s="44">
        <v>30715168673</v>
      </c>
      <c r="G117" s="45" t="str">
        <f>IFERROR(IF(compras_mes123[[#This Row],[CUIT]]="","-",VLOOKUP(compras_mes123[[#This Row],[CUIT]],Lista_CUIT[#All],2,0)),"CUIT NO CARGADO")</f>
        <v>BL8 SOLUCIONES</v>
      </c>
      <c r="H117" s="46">
        <v>64049.59</v>
      </c>
      <c r="I117" s="85">
        <f>IF(compras_mes123[[#This Row],[NETO GRAVADO]]="","",compras_mes123[[#This Row],[NETO GRAVADO]]*0.21)</f>
        <v>13450.4139</v>
      </c>
      <c r="J117" s="85"/>
      <c r="K117" s="85"/>
      <c r="L117" s="85"/>
      <c r="M117" s="85"/>
      <c r="N117" s="85"/>
      <c r="O117" s="85"/>
      <c r="P117" s="48">
        <f>SUM(compras_mes123[[#This Row],[NETO GRAVADO]:[Otros / No Grav.]])</f>
        <v>77500.003899999996</v>
      </c>
      <c r="Q117" s="49" t="str">
        <f>IFERROR(IF(compras_mes123[[#This Row],[CUIT]]="","-",VLOOKUP(compras_mes123[[#This Row],[CUIT]],Lista_CUIT[#All],3,0)),"CUIT NO CARGADO")</f>
        <v>Gastos Varios</v>
      </c>
      <c r="R117" s="49">
        <f>IFERROR(IF(compras_mes123[[#This Row],[CUIT]]="","-",VLOOKUP(compras_mes123[[#This Row],[CUIT]],Lista_CUIT[#All],4,0)),"CUIT NO CARGADO")</f>
        <v>0</v>
      </c>
    </row>
    <row r="118" spans="1:18" x14ac:dyDescent="0.25">
      <c r="B118" s="40" t="s">
        <v>2943</v>
      </c>
      <c r="C118" s="41">
        <v>1</v>
      </c>
      <c r="D118" s="42">
        <v>5</v>
      </c>
      <c r="E118" s="43">
        <v>25416</v>
      </c>
      <c r="F118" s="44">
        <v>30710550294</v>
      </c>
      <c r="G118" s="45" t="str">
        <f>IFERROR(IF(compras_mes123[[#This Row],[CUIT]]="","-",VLOOKUP(compras_mes123[[#This Row],[CUIT]],Lista_CUIT[#All],2,0)),"CUIT NO CARGADO")</f>
        <v>MITRE ELECTRICIDAD SRL</v>
      </c>
      <c r="H118" s="46">
        <v>7454.79</v>
      </c>
      <c r="I118" s="85">
        <f>IF(compras_mes123[[#This Row],[NETO GRAVADO]]="","",compras_mes123[[#This Row],[NETO GRAVADO]]*0.21)</f>
        <v>1565.5058999999999</v>
      </c>
      <c r="J118" s="85"/>
      <c r="K118" s="85"/>
      <c r="L118" s="85"/>
      <c r="M118" s="85"/>
      <c r="N118" s="85"/>
      <c r="O118" s="85"/>
      <c r="P118" s="48">
        <f>SUM(compras_mes123[[#This Row],[NETO GRAVADO]:[Otros / No Grav.]])</f>
        <v>9020.2958999999992</v>
      </c>
      <c r="Q118" s="49" t="str">
        <f>IFERROR(IF(compras_mes123[[#This Row],[CUIT]]="","-",VLOOKUP(compras_mes123[[#This Row],[CUIT]],Lista_CUIT[#All],3,0)),"CUIT NO CARGADO")</f>
        <v>MANTENIMIENTO</v>
      </c>
      <c r="R118" s="49">
        <f>IFERROR(IF(compras_mes123[[#This Row],[CUIT]]="","-",VLOOKUP(compras_mes123[[#This Row],[CUIT]],Lista_CUIT[#All],4,0)),"CUIT NO CARGADO")</f>
        <v>0</v>
      </c>
    </row>
    <row r="119" spans="1:18" x14ac:dyDescent="0.25">
      <c r="B119" s="40" t="s">
        <v>2943</v>
      </c>
      <c r="C119" s="41">
        <v>1</v>
      </c>
      <c r="D119" s="42">
        <v>7</v>
      </c>
      <c r="E119" s="43">
        <v>4088</v>
      </c>
      <c r="F119" s="44">
        <v>27319349672</v>
      </c>
      <c r="G119" s="45" t="str">
        <f>IFERROR(IF(compras_mes123[[#This Row],[CUIT]]="","-",VLOOKUP(compras_mes123[[#This Row],[CUIT]],Lista_CUIT[#All],2,0)),"CUIT NO CARGADO")</f>
        <v>ANDREONE ANDREA FABIANA</v>
      </c>
      <c r="H119" s="46">
        <v>12396.69</v>
      </c>
      <c r="I119" s="85">
        <f>IF(compras_mes123[[#This Row],[NETO GRAVADO]]="","",compras_mes123[[#This Row],[NETO GRAVADO]]*0.21)</f>
        <v>2603.3049000000001</v>
      </c>
      <c r="J119" s="85"/>
      <c r="K119" s="85"/>
      <c r="L119" s="85"/>
      <c r="M119" s="85"/>
      <c r="N119" s="85"/>
      <c r="O119" s="85"/>
      <c r="P119" s="48">
        <f>SUM(compras_mes123[[#This Row],[NETO GRAVADO]:[Otros / No Grav.]])</f>
        <v>14999.994900000002</v>
      </c>
      <c r="Q119" s="49" t="str">
        <f>IFERROR(IF(compras_mes123[[#This Row],[CUIT]]="","-",VLOOKUP(compras_mes123[[#This Row],[CUIT]],Lista_CUIT[#All],3,0)),"CUIT NO CARGADO")</f>
        <v>Gastos Varios</v>
      </c>
      <c r="R119" s="49">
        <f>IFERROR(IF(compras_mes123[[#This Row],[CUIT]]="","-",VLOOKUP(compras_mes123[[#This Row],[CUIT]],Lista_CUIT[#All],4,0)),"CUIT NO CARGADO")</f>
        <v>0</v>
      </c>
    </row>
    <row r="120" spans="1:18" x14ac:dyDescent="0.25">
      <c r="B120" s="40" t="s">
        <v>2943</v>
      </c>
      <c r="C120" s="41">
        <v>1</v>
      </c>
      <c r="D120" s="42">
        <v>1</v>
      </c>
      <c r="E120" s="43">
        <v>1587</v>
      </c>
      <c r="F120" s="44">
        <v>30717640175</v>
      </c>
      <c r="G120" s="45" t="str">
        <f>IFERROR(IF(compras_mes123[[#This Row],[CUIT]]="","-",VLOOKUP(compras_mes123[[#This Row],[CUIT]],Lista_CUIT[#All],2,0)),"CUIT NO CARGADO")</f>
        <v>GRUPO DE REPUESTOS EL MELLIZO</v>
      </c>
      <c r="H120" s="46">
        <v>9049.58</v>
      </c>
      <c r="I120" s="85">
        <f>IF(compras_mes123[[#This Row],[NETO GRAVADO]]="","",compras_mes123[[#This Row],[NETO GRAVADO]]*0.21)</f>
        <v>1900.4117999999999</v>
      </c>
      <c r="J120" s="85"/>
      <c r="K120" s="85"/>
      <c r="L120" s="85"/>
      <c r="M120" s="85"/>
      <c r="N120" s="85"/>
      <c r="O120" s="85"/>
      <c r="P120" s="48">
        <f>SUM(compras_mes123[[#This Row],[NETO GRAVADO]:[Otros / No Grav.]])</f>
        <v>10949.9918</v>
      </c>
      <c r="Q120" s="49" t="str">
        <f>IFERROR(IF(compras_mes123[[#This Row],[CUIT]]="","-",VLOOKUP(compras_mes123[[#This Row],[CUIT]],Lista_CUIT[#All],3,0)),"CUIT NO CARGADO")</f>
        <v>Gastos Varios</v>
      </c>
      <c r="R120" s="49">
        <f>IFERROR(IF(compras_mes123[[#This Row],[CUIT]]="","-",VLOOKUP(compras_mes123[[#This Row],[CUIT]],Lista_CUIT[#All],4,0)),"CUIT NO CARGADO")</f>
        <v>0</v>
      </c>
    </row>
    <row r="121" spans="1:18" x14ac:dyDescent="0.25">
      <c r="A121">
        <v>3</v>
      </c>
      <c r="B121" s="40" t="s">
        <v>2943</v>
      </c>
      <c r="C121" s="41">
        <v>1</v>
      </c>
      <c r="D121" s="42">
        <v>3</v>
      </c>
      <c r="E121" s="43">
        <v>3751</v>
      </c>
      <c r="F121" s="44">
        <v>30715168673</v>
      </c>
      <c r="G121" s="45" t="str">
        <f>IFERROR(IF(compras_mes123[[#This Row],[CUIT]]="","-",VLOOKUP(compras_mes123[[#This Row],[CUIT]],Lista_CUIT[#All],2,0)),"CUIT NO CARGADO")</f>
        <v>BL8 SOLUCIONES</v>
      </c>
      <c r="H121" s="46">
        <v>68057.850000000006</v>
      </c>
      <c r="I121" s="85">
        <f>IF(compras_mes123[[#This Row],[NETO GRAVADO]]="","",compras_mes123[[#This Row],[NETO GRAVADO]]*0.21)</f>
        <v>14292.148500000001</v>
      </c>
      <c r="J121" s="85"/>
      <c r="K121" s="85"/>
      <c r="L121" s="85"/>
      <c r="M121" s="85"/>
      <c r="N121" s="85"/>
      <c r="O121" s="85"/>
      <c r="P121" s="48">
        <f>SUM(compras_mes123[[#This Row],[NETO GRAVADO]:[Otros / No Grav.]])</f>
        <v>82349.998500000002</v>
      </c>
      <c r="Q121" s="49" t="str">
        <f>IFERROR(IF(compras_mes123[[#This Row],[CUIT]]="","-",VLOOKUP(compras_mes123[[#This Row],[CUIT]],Lista_CUIT[#All],3,0)),"CUIT NO CARGADO")</f>
        <v>Gastos Varios</v>
      </c>
      <c r="R121" s="49">
        <f>IFERROR(IF(compras_mes123[[#This Row],[CUIT]]="","-",VLOOKUP(compras_mes123[[#This Row],[CUIT]],Lista_CUIT[#All],4,0)),"CUIT NO CARGADO")</f>
        <v>0</v>
      </c>
    </row>
    <row r="122" spans="1:18" x14ac:dyDescent="0.25">
      <c r="B122" s="40" t="s">
        <v>2943</v>
      </c>
      <c r="C122" s="41">
        <v>1</v>
      </c>
      <c r="D122" s="42">
        <v>4264</v>
      </c>
      <c r="E122" s="43">
        <v>6115398</v>
      </c>
      <c r="F122" s="44">
        <v>30639453738</v>
      </c>
      <c r="G122" s="45" t="str">
        <f>IFERROR(IF(compras_mes123[[#This Row],[CUIT]]="","-",VLOOKUP(compras_mes123[[#This Row],[CUIT]],Lista_CUIT[#All],2,0)),"CUIT NO CARGADO")</f>
        <v>TELECOM ARG SA</v>
      </c>
      <c r="H122" s="46">
        <v>23235</v>
      </c>
      <c r="I122" s="85">
        <f>IF(compras_mes123[[#This Row],[NETO GRAVADO]]="","",compras_mes123[[#This Row],[NETO GRAVADO]]*0.21)</f>
        <v>4879.3499999999995</v>
      </c>
      <c r="J122" s="85"/>
      <c r="K122" s="85"/>
      <c r="L122" s="85"/>
      <c r="M122" s="85"/>
      <c r="N122" s="85"/>
      <c r="O122" s="85">
        <v>697.05</v>
      </c>
      <c r="P122" s="48">
        <f>SUM(compras_mes123[[#This Row],[NETO GRAVADO]:[Otros / No Grav.]])</f>
        <v>28811.399999999998</v>
      </c>
      <c r="Q122" s="49" t="str">
        <f>IFERROR(IF(compras_mes123[[#This Row],[CUIT]]="","-",VLOOKUP(compras_mes123[[#This Row],[CUIT]],Lista_CUIT[#All],3,0)),"CUIT NO CARGADO")</f>
        <v>Servicios Gas, Luz, etc.</v>
      </c>
      <c r="R122" s="49">
        <f>IFERROR(IF(compras_mes123[[#This Row],[CUIT]]="","-",VLOOKUP(compras_mes123[[#This Row],[CUIT]],Lista_CUIT[#All],4,0)),"CUIT NO CARGADO")</f>
        <v>0</v>
      </c>
    </row>
    <row r="123" spans="1:18" x14ac:dyDescent="0.25">
      <c r="B123" s="40" t="s">
        <v>2943</v>
      </c>
      <c r="C123" s="41">
        <v>1</v>
      </c>
      <c r="D123" s="42">
        <v>4264</v>
      </c>
      <c r="E123" s="43">
        <v>6148756</v>
      </c>
      <c r="F123" s="44">
        <v>30639453738</v>
      </c>
      <c r="G123" s="45" t="str">
        <f>IFERROR(IF(compras_mes123[[#This Row],[CUIT]]="","-",VLOOKUP(compras_mes123[[#This Row],[CUIT]],Lista_CUIT[#All],2,0)),"CUIT NO CARGADO")</f>
        <v>TELECOM ARG SA</v>
      </c>
      <c r="H123" s="46">
        <v>72517.5</v>
      </c>
      <c r="I123" s="85">
        <f>IF(compras_mes123[[#This Row],[NETO GRAVADO]]="","",compras_mes123[[#This Row],[NETO GRAVADO]]*0.21)</f>
        <v>15228.674999999999</v>
      </c>
      <c r="J123" s="85"/>
      <c r="K123" s="85"/>
      <c r="L123" s="85"/>
      <c r="M123" s="85"/>
      <c r="N123" s="85"/>
      <c r="O123" s="85">
        <v>4845.83</v>
      </c>
      <c r="P123" s="48">
        <f>SUM(compras_mes123[[#This Row],[NETO GRAVADO]:[Otros / No Grav.]])</f>
        <v>92592.005000000005</v>
      </c>
      <c r="Q123" s="49" t="str">
        <f>IFERROR(IF(compras_mes123[[#This Row],[CUIT]]="","-",VLOOKUP(compras_mes123[[#This Row],[CUIT]],Lista_CUIT[#All],3,0)),"CUIT NO CARGADO")</f>
        <v>Servicios Gas, Luz, etc.</v>
      </c>
      <c r="R123" s="49">
        <f>IFERROR(IF(compras_mes123[[#This Row],[CUIT]]="","-",VLOOKUP(compras_mes123[[#This Row],[CUIT]],Lista_CUIT[#All],4,0)),"CUIT NO CARGADO")</f>
        <v>0</v>
      </c>
    </row>
    <row r="124" spans="1:18" x14ac:dyDescent="0.25">
      <c r="B124" s="508" t="s">
        <v>2944</v>
      </c>
      <c r="C124" s="41">
        <v>1</v>
      </c>
      <c r="D124" s="509">
        <v>4</v>
      </c>
      <c r="E124" s="510">
        <v>51629</v>
      </c>
      <c r="F124" s="511">
        <v>30709863076</v>
      </c>
      <c r="G124" s="522" t="str">
        <f>IFERROR(IF(compras_mes123[[#This Row],[CUIT]]="","-",VLOOKUP(compras_mes123[[#This Row],[CUIT]],Lista_CUIT[#All],2,0)),"CUIT NO CARGADO")</f>
        <v>INDUSTRIAS PLASTICOS SALTA S.R.L.</v>
      </c>
      <c r="H124" s="516">
        <v>1312510</v>
      </c>
      <c r="I124" s="85">
        <f>IF(compras_mes123[[#This Row],[NETO GRAVADO]]="","",compras_mes123[[#This Row],[NETO GRAVADO]]*0.21)</f>
        <v>275627.09999999998</v>
      </c>
      <c r="J124" s="519"/>
      <c r="K124" s="519"/>
      <c r="L124" s="519"/>
      <c r="M124" s="519"/>
      <c r="N124" s="519"/>
      <c r="O124" s="519"/>
      <c r="P124" s="523">
        <f>SUM(compras_mes123[[#This Row],[NETO GRAVADO]:[Otros / No Grav.]])</f>
        <v>1588137.1</v>
      </c>
      <c r="Q124" s="524" t="str">
        <f>IFERROR(IF(compras_mes123[[#This Row],[CUIT]]="","-",VLOOKUP(compras_mes123[[#This Row],[CUIT]],Lista_CUIT[#All],3,0)),"CUIT NO CARGADO")</f>
        <v>Materia Prima</v>
      </c>
      <c r="R124" s="524">
        <f>IFERROR(IF(compras_mes123[[#This Row],[CUIT]]="","-",VLOOKUP(compras_mes123[[#This Row],[CUIT]],Lista_CUIT[#All],4,0)),"CUIT NO CARGADO")</f>
        <v>0</v>
      </c>
    </row>
    <row r="125" spans="1:18" x14ac:dyDescent="0.25">
      <c r="B125" s="40" t="s">
        <v>2944</v>
      </c>
      <c r="C125" s="41">
        <v>1</v>
      </c>
      <c r="D125" s="42">
        <v>3034</v>
      </c>
      <c r="E125" s="43">
        <v>9733804</v>
      </c>
      <c r="F125" s="44">
        <v>30708574836</v>
      </c>
      <c r="G125" s="45" t="str">
        <f>IFERROR(IF(compras_mes123[[#This Row],[CUIT]]="","-",VLOOKUP(compras_mes123[[#This Row],[CUIT]],Lista_CUIT[#All],2,0)),"CUIT NO CARGADO")</f>
        <v>CORREO OFICIAL DE LA REPUBLICA ARGENTINA SOCIEDAD ANONIMA</v>
      </c>
      <c r="H125" s="46">
        <v>8758.68</v>
      </c>
      <c r="I125" s="85">
        <f>IF(compras_mes123[[#This Row],[NETO GRAVADO]]="","",compras_mes123[[#This Row],[NETO GRAVADO]]*0.21)</f>
        <v>1839.3227999999999</v>
      </c>
      <c r="J125" s="85"/>
      <c r="K125" s="85"/>
      <c r="L125" s="85"/>
      <c r="M125" s="85"/>
      <c r="N125" s="85"/>
      <c r="O125" s="85"/>
      <c r="P125" s="48">
        <f>SUM(compras_mes123[[#This Row],[NETO GRAVADO]:[Otros / No Grav.]])</f>
        <v>10598.0028</v>
      </c>
      <c r="Q125" s="49" t="str">
        <f>IFERROR(IF(compras_mes123[[#This Row],[CUIT]]="","-",VLOOKUP(compras_mes123[[#This Row],[CUIT]],Lista_CUIT[#All],3,0)),"CUIT NO CARGADO")</f>
        <v>MESAJERIA</v>
      </c>
      <c r="R125" s="49">
        <f>IFERROR(IF(compras_mes123[[#This Row],[CUIT]]="","-",VLOOKUP(compras_mes123[[#This Row],[CUIT]],Lista_CUIT[#All],4,0)),"CUIT NO CARGADO")</f>
        <v>0</v>
      </c>
    </row>
    <row r="126" spans="1:18" x14ac:dyDescent="0.25">
      <c r="B126" s="40" t="s">
        <v>2944</v>
      </c>
      <c r="C126" s="41">
        <v>1</v>
      </c>
      <c r="D126" s="42">
        <v>5</v>
      </c>
      <c r="E126" s="43">
        <v>25426</v>
      </c>
      <c r="F126" s="44">
        <v>30710550294</v>
      </c>
      <c r="G126" s="45" t="str">
        <f>IFERROR(IF(compras_mes123[[#This Row],[CUIT]]="","-",VLOOKUP(compras_mes123[[#This Row],[CUIT]],Lista_CUIT[#All],2,0)),"CUIT NO CARGADO")</f>
        <v>MITRE ELECTRICIDAD SRL</v>
      </c>
      <c r="H126" s="46">
        <v>2982.63</v>
      </c>
      <c r="I126" s="85">
        <f>IF(compras_mes123[[#This Row],[NETO GRAVADO]]="","",compras_mes123[[#This Row],[NETO GRAVADO]]*0.21)</f>
        <v>626.35230000000001</v>
      </c>
      <c r="J126" s="85"/>
      <c r="K126" s="85"/>
      <c r="L126" s="85"/>
      <c r="M126" s="85"/>
      <c r="N126" s="85"/>
      <c r="O126" s="85"/>
      <c r="P126" s="48">
        <f>SUM(compras_mes123[[#This Row],[NETO GRAVADO]:[Otros / No Grav.]])</f>
        <v>3608.9823000000001</v>
      </c>
      <c r="Q126" s="49" t="str">
        <f>IFERROR(IF(compras_mes123[[#This Row],[CUIT]]="","-",VLOOKUP(compras_mes123[[#This Row],[CUIT]],Lista_CUIT[#All],3,0)),"CUIT NO CARGADO")</f>
        <v>MANTENIMIENTO</v>
      </c>
      <c r="R126" s="49">
        <f>IFERROR(IF(compras_mes123[[#This Row],[CUIT]]="","-",VLOOKUP(compras_mes123[[#This Row],[CUIT]],Lista_CUIT[#All],4,0)),"CUIT NO CARGADO")</f>
        <v>0</v>
      </c>
    </row>
    <row r="127" spans="1:18" x14ac:dyDescent="0.25">
      <c r="B127" s="40" t="s">
        <v>2944</v>
      </c>
      <c r="C127" s="41">
        <v>1</v>
      </c>
      <c r="D127" s="42">
        <v>7300</v>
      </c>
      <c r="E127" s="43">
        <v>49898</v>
      </c>
      <c r="F127" s="44">
        <v>30678774495</v>
      </c>
      <c r="G127" s="45" t="str">
        <f>IFERROR(IF(compras_mes123[[#This Row],[CUIT]]="","-",VLOOKUP(compras_mes123[[#This Row],[CUIT]],Lista_CUIT[#All],2,0)),"CUIT NO CARGADO")</f>
        <v>OPER. DE EST. DE SERV. SA</v>
      </c>
      <c r="H127" s="46">
        <v>67384.66</v>
      </c>
      <c r="I127" s="85">
        <f>IF(compras_mes123[[#This Row],[NETO GRAVADO]]="","",compras_mes123[[#This Row],[NETO GRAVADO]]*0.21)</f>
        <v>14150.7786</v>
      </c>
      <c r="J127" s="85"/>
      <c r="K127" s="85"/>
      <c r="L127" s="85"/>
      <c r="M127" s="85"/>
      <c r="N127" s="85"/>
      <c r="O127" s="85">
        <v>16564.580000000002</v>
      </c>
      <c r="P127" s="48">
        <f>SUM(compras_mes123[[#This Row],[NETO GRAVADO]:[Otros / No Grav.]])</f>
        <v>98100.01860000001</v>
      </c>
      <c r="Q127" s="49" t="str">
        <f>IFERROR(IF(compras_mes123[[#This Row],[CUIT]]="","-",VLOOKUP(compras_mes123[[#This Row],[CUIT]],Lista_CUIT[#All],3,0)),"CUIT NO CARGADO")</f>
        <v>Combustible</v>
      </c>
      <c r="R127" s="49">
        <f>IFERROR(IF(compras_mes123[[#This Row],[CUIT]]="","-",VLOOKUP(compras_mes123[[#This Row],[CUIT]],Lista_CUIT[#All],4,0)),"CUIT NO CARGADO")</f>
        <v>0</v>
      </c>
    </row>
    <row r="128" spans="1:18" x14ac:dyDescent="0.25">
      <c r="B128" s="40" t="s">
        <v>2944</v>
      </c>
      <c r="C128" s="41">
        <v>1</v>
      </c>
      <c r="D128" s="42">
        <v>2</v>
      </c>
      <c r="E128" s="43">
        <v>956</v>
      </c>
      <c r="F128" s="44">
        <v>20103069832</v>
      </c>
      <c r="G128" s="45" t="str">
        <f>IFERROR(IF(compras_mes123[[#This Row],[CUIT]]="","-",VLOOKUP(compras_mes123[[#This Row],[CUIT]],Lista_CUIT[#All],2,0)),"CUIT NO CARGADO")</f>
        <v>DE LUCA HECTOR RAFAEL FRANCI</v>
      </c>
      <c r="H128" s="46">
        <v>8386850</v>
      </c>
      <c r="I128" s="85">
        <f>IF(compras_mes123[[#This Row],[NETO GRAVADO]]="","",compras_mes123[[#This Row],[NETO GRAVADO]]*0.21)</f>
        <v>1761238.5</v>
      </c>
      <c r="J128" s="85"/>
      <c r="K128" s="85"/>
      <c r="L128" s="85"/>
      <c r="M128" s="85"/>
      <c r="N128" s="85"/>
      <c r="O128" s="85"/>
      <c r="P128" s="48">
        <f>SUM(compras_mes123[[#This Row],[NETO GRAVADO]:[Otros / No Grav.]])</f>
        <v>10148088.5</v>
      </c>
      <c r="Q128" s="49" t="str">
        <f>IFERROR(IF(compras_mes123[[#This Row],[CUIT]]="","-",VLOOKUP(compras_mes123[[#This Row],[CUIT]],Lista_CUIT[#All],3,0)),"CUIT NO CARGADO")</f>
        <v>Material de Empaque</v>
      </c>
      <c r="R128" s="49">
        <f>IFERROR(IF(compras_mes123[[#This Row],[CUIT]]="","-",VLOOKUP(compras_mes123[[#This Row],[CUIT]],Lista_CUIT[#All],4,0)),"CUIT NO CARGADO")</f>
        <v>0</v>
      </c>
    </row>
    <row r="129" spans="2:18" x14ac:dyDescent="0.25">
      <c r="B129" s="512" t="s">
        <v>2944</v>
      </c>
      <c r="C129" s="41">
        <v>1</v>
      </c>
      <c r="D129" s="267">
        <v>2</v>
      </c>
      <c r="E129" s="268">
        <v>4200</v>
      </c>
      <c r="F129" s="44">
        <v>30629863571</v>
      </c>
      <c r="G129" s="525" t="str">
        <f>IFERROR(IF(compras_mes123[[#This Row],[CUIT]]="","-",VLOOKUP(compras_mes123[[#This Row],[CUIT]],Lista_CUIT[#All],2,0)),"CUIT NO CARGADO")</f>
        <v>TECNIMAR S R L</v>
      </c>
      <c r="H129" s="517">
        <v>3568077</v>
      </c>
      <c r="I129" s="85">
        <f>IF(compras_mes123[[#This Row],[NETO GRAVADO]]="","",compras_mes123[[#This Row],[NETO GRAVADO]]*0.21)</f>
        <v>749296.16999999993</v>
      </c>
      <c r="J129" s="520"/>
      <c r="K129" s="520"/>
      <c r="L129" s="520"/>
      <c r="M129" s="520"/>
      <c r="N129" s="520"/>
      <c r="O129" s="520"/>
      <c r="P129" s="526">
        <f>SUM(compras_mes123[[#This Row],[NETO GRAVADO]:[Otros / No Grav.]])</f>
        <v>4317373.17</v>
      </c>
      <c r="Q129" s="270" t="str">
        <f>IFERROR(IF(compras_mes123[[#This Row],[CUIT]]="","-",VLOOKUP(compras_mes123[[#This Row],[CUIT]],Lista_CUIT[#All],3,0)),"CUIT NO CARGADO")</f>
        <v>Productos Venta</v>
      </c>
      <c r="R129" s="270">
        <f>IFERROR(IF(compras_mes123[[#This Row],[CUIT]]="","-",VLOOKUP(compras_mes123[[#This Row],[CUIT]],Lista_CUIT[#All],4,0)),"CUIT NO CARGADO")</f>
        <v>0</v>
      </c>
    </row>
    <row r="130" spans="2:18" x14ac:dyDescent="0.25">
      <c r="B130" s="508" t="s">
        <v>2945</v>
      </c>
      <c r="C130" s="41">
        <v>1</v>
      </c>
      <c r="D130" s="509">
        <v>7</v>
      </c>
      <c r="E130" s="510">
        <v>368484</v>
      </c>
      <c r="F130" s="511">
        <v>30716821516</v>
      </c>
      <c r="G130" s="522" t="str">
        <f>IFERROR(IF(compras_mes123[[#This Row],[CUIT]]="","-",VLOOKUP(compras_mes123[[#This Row],[CUIT]],Lista_CUIT[#All],2,0)),"CUIT NO CARGADO")</f>
        <v>GETNET ARGENTINA S. A. U.</v>
      </c>
      <c r="H130" s="516">
        <v>0</v>
      </c>
      <c r="I130" s="85">
        <f>IF(compras_mes123[[#This Row],[NETO GRAVADO]]="","",compras_mes123[[#This Row],[NETO GRAVADO]]*0.21)</f>
        <v>0</v>
      </c>
      <c r="J130" s="519"/>
      <c r="K130" s="519"/>
      <c r="L130" s="519"/>
      <c r="M130" s="519"/>
      <c r="N130" s="519"/>
      <c r="O130" s="519"/>
      <c r="P130" s="523">
        <f>SUM(compras_mes123[[#This Row],[NETO GRAVADO]:[Otros / No Grav.]])</f>
        <v>0</v>
      </c>
      <c r="Q130" s="524" t="str">
        <f>IFERROR(IF(compras_mes123[[#This Row],[CUIT]]="","-",VLOOKUP(compras_mes123[[#This Row],[CUIT]],Lista_CUIT[#All],3,0)),"CUIT NO CARGADO")</f>
        <v>Gastos administrativos</v>
      </c>
      <c r="R130" s="524">
        <f>IFERROR(IF(compras_mes123[[#This Row],[CUIT]]="","-",VLOOKUP(compras_mes123[[#This Row],[CUIT]],Lista_CUIT[#All],4,0)),"CUIT NO CARGADO")</f>
        <v>0</v>
      </c>
    </row>
    <row r="131" spans="2:18" x14ac:dyDescent="0.25">
      <c r="B131" s="40" t="s">
        <v>2945</v>
      </c>
      <c r="C131" s="41">
        <v>1</v>
      </c>
      <c r="D131" s="42">
        <v>6854</v>
      </c>
      <c r="E131" s="43">
        <v>22035</v>
      </c>
      <c r="F131" s="44">
        <v>30678774495</v>
      </c>
      <c r="G131" s="45" t="str">
        <f>IFERROR(IF(compras_mes123[[#This Row],[CUIT]]="","-",VLOOKUP(compras_mes123[[#This Row],[CUIT]],Lista_CUIT[#All],2,0)),"CUIT NO CARGADO")</f>
        <v>OPER. DE EST. DE SERV. SA</v>
      </c>
      <c r="H131" s="46">
        <v>16451.900000000001</v>
      </c>
      <c r="I131" s="85">
        <f>IF(compras_mes123[[#This Row],[NETO GRAVADO]]="","",compras_mes123[[#This Row],[NETO GRAVADO]]*0.21)</f>
        <v>3454.8990000000003</v>
      </c>
      <c r="J131" s="85"/>
      <c r="K131" s="85"/>
      <c r="L131" s="85"/>
      <c r="M131" s="85"/>
      <c r="N131" s="85"/>
      <c r="O131" s="85">
        <v>3413.25</v>
      </c>
      <c r="P131" s="48">
        <f>SUM(compras_mes123[[#This Row],[NETO GRAVADO]:[Otros / No Grav.]])</f>
        <v>23320.049000000003</v>
      </c>
      <c r="Q131" s="49" t="str">
        <f>IFERROR(IF(compras_mes123[[#This Row],[CUIT]]="","-",VLOOKUP(compras_mes123[[#This Row],[CUIT]],Lista_CUIT[#All],3,0)),"CUIT NO CARGADO")</f>
        <v>Combustible</v>
      </c>
      <c r="R131" s="49">
        <f>IFERROR(IF(compras_mes123[[#This Row],[CUIT]]="","-",VLOOKUP(compras_mes123[[#This Row],[CUIT]],Lista_CUIT[#All],4,0)),"CUIT NO CARGADO")</f>
        <v>0</v>
      </c>
    </row>
    <row r="132" spans="2:18" x14ac:dyDescent="0.25">
      <c r="B132" s="508" t="s">
        <v>2945</v>
      </c>
      <c r="C132" s="41">
        <v>1</v>
      </c>
      <c r="D132" s="509">
        <v>5</v>
      </c>
      <c r="E132" s="510">
        <v>25437</v>
      </c>
      <c r="F132" s="511">
        <v>30710550294</v>
      </c>
      <c r="G132" s="522" t="str">
        <f>IFERROR(IF(compras_mes123[[#This Row],[CUIT]]="","-",VLOOKUP(compras_mes123[[#This Row],[CUIT]],Lista_CUIT[#All],2,0)),"CUIT NO CARGADO")</f>
        <v>MITRE ELECTRICIDAD SRL</v>
      </c>
      <c r="H132" s="516">
        <v>5356.76</v>
      </c>
      <c r="I132" s="85">
        <f>IF(compras_mes123[[#This Row],[NETO GRAVADO]]="","",compras_mes123[[#This Row],[NETO GRAVADO]]*0.21)</f>
        <v>1124.9195999999999</v>
      </c>
      <c r="J132" s="519"/>
      <c r="K132" s="519"/>
      <c r="L132" s="519"/>
      <c r="M132" s="519"/>
      <c r="N132" s="519"/>
      <c r="O132" s="519"/>
      <c r="P132" s="523">
        <f>SUM(compras_mes123[[#This Row],[NETO GRAVADO]:[Otros / No Grav.]])</f>
        <v>6481.6796000000004</v>
      </c>
      <c r="Q132" s="524" t="str">
        <f>IFERROR(IF(compras_mes123[[#This Row],[CUIT]]="","-",VLOOKUP(compras_mes123[[#This Row],[CUIT]],Lista_CUIT[#All],3,0)),"CUIT NO CARGADO")</f>
        <v>MANTENIMIENTO</v>
      </c>
      <c r="R132" s="524">
        <f>IFERROR(IF(compras_mes123[[#This Row],[CUIT]]="","-",VLOOKUP(compras_mes123[[#This Row],[CUIT]],Lista_CUIT[#All],4,0)),"CUIT NO CARGADO")</f>
        <v>0</v>
      </c>
    </row>
    <row r="133" spans="2:18" x14ac:dyDescent="0.25">
      <c r="B133" s="513" t="s">
        <v>2945</v>
      </c>
      <c r="C133" s="41">
        <v>1</v>
      </c>
      <c r="D133" s="514">
        <v>5</v>
      </c>
      <c r="E133" s="515">
        <v>10628</v>
      </c>
      <c r="F133" s="44">
        <v>30683773820</v>
      </c>
      <c r="G133" s="527" t="str">
        <f>IFERROR(IF(compras_mes123[[#This Row],[CUIT]]="","-",VLOOKUP(compras_mes123[[#This Row],[CUIT]],Lista_CUIT[#All],2,0)),"CUIT NO CARGADO")</f>
        <v>DISTRIMAZ SRL</v>
      </c>
      <c r="H133" s="518">
        <v>17107.439999999999</v>
      </c>
      <c r="I133" s="85">
        <f>IF(compras_mes123[[#This Row],[NETO GRAVADO]]="","",compras_mes123[[#This Row],[NETO GRAVADO]]*0.21)</f>
        <v>3592.5623999999998</v>
      </c>
      <c r="J133" s="521"/>
      <c r="K133" s="521"/>
      <c r="L133" s="521"/>
      <c r="M133" s="521"/>
      <c r="N133" s="521"/>
      <c r="O133" s="521"/>
      <c r="P133" s="528">
        <f>SUM(compras_mes123[[#This Row],[NETO GRAVADO]:[Otros / No Grav.]])</f>
        <v>20700.002399999998</v>
      </c>
      <c r="Q133" s="529" t="str">
        <f>IFERROR(IF(compras_mes123[[#This Row],[CUIT]]="","-",VLOOKUP(compras_mes123[[#This Row],[CUIT]],Lista_CUIT[#All],3,0)),"CUIT NO CARGADO")</f>
        <v>Servicios Gas, Luz, etc.</v>
      </c>
      <c r="R133" s="529">
        <f>IFERROR(IF(compras_mes123[[#This Row],[CUIT]]="","-",VLOOKUP(compras_mes123[[#This Row],[CUIT]],Lista_CUIT[#All],4,0)),"CUIT NO CARGADO")</f>
        <v>0</v>
      </c>
    </row>
    <row r="134" spans="2:18" x14ac:dyDescent="0.25">
      <c r="B134" s="40" t="s">
        <v>2945</v>
      </c>
      <c r="C134" s="41">
        <v>1</v>
      </c>
      <c r="D134" s="42">
        <v>1</v>
      </c>
      <c r="E134" s="43">
        <v>360</v>
      </c>
      <c r="F134" s="44">
        <v>20077604627</v>
      </c>
      <c r="G134" s="45" t="str">
        <f>IFERROR(IF(compras_mes123[[#This Row],[CUIT]]="","-",VLOOKUP(compras_mes123[[#This Row],[CUIT]],Lista_CUIT[#All],2,0)),"CUIT NO CARGADO")</f>
        <v>OCAÑO ENRIQUE</v>
      </c>
      <c r="H134" s="46">
        <v>1257360</v>
      </c>
      <c r="I134" s="85">
        <f>IF(compras_mes123[[#This Row],[NETO GRAVADO]]="","",compras_mes123[[#This Row],[NETO GRAVADO]]*0.21)</f>
        <v>264045.59999999998</v>
      </c>
      <c r="J134" s="85"/>
      <c r="K134" s="85"/>
      <c r="L134" s="85"/>
      <c r="M134" s="85"/>
      <c r="N134" s="85"/>
      <c r="O134" s="85"/>
      <c r="P134" s="48">
        <f>SUM(compras_mes123[[#This Row],[NETO GRAVADO]:[Otros / No Grav.]])</f>
        <v>1521405.6</v>
      </c>
      <c r="Q134" s="49" t="str">
        <f>IFERROR(IF(compras_mes123[[#This Row],[CUIT]]="","-",VLOOKUP(compras_mes123[[#This Row],[CUIT]],Lista_CUIT[#All],3,0)),"CUIT NO CARGADO")</f>
        <v>Material de Empaque</v>
      </c>
      <c r="R134" s="49">
        <f>IFERROR(IF(compras_mes123[[#This Row],[CUIT]]="","-",VLOOKUP(compras_mes123[[#This Row],[CUIT]],Lista_CUIT[#All],4,0)),"CUIT NO CARGADO")</f>
        <v>0</v>
      </c>
    </row>
    <row r="135" spans="2:18" x14ac:dyDescent="0.25">
      <c r="B135" s="40" t="s">
        <v>2945</v>
      </c>
      <c r="C135" s="41">
        <v>1</v>
      </c>
      <c r="D135" s="42">
        <v>1</v>
      </c>
      <c r="E135" s="43">
        <v>361</v>
      </c>
      <c r="F135" s="44">
        <v>20077604627</v>
      </c>
      <c r="G135" s="45" t="str">
        <f>IFERROR(IF(compras_mes123[[#This Row],[CUIT]]="","-",VLOOKUP(compras_mes123[[#This Row],[CUIT]],Lista_CUIT[#All],2,0)),"CUIT NO CARGADO")</f>
        <v>OCAÑO ENRIQUE</v>
      </c>
      <c r="H135" s="46">
        <v>487000</v>
      </c>
      <c r="I135" s="85">
        <f>IF(compras_mes123[[#This Row],[NETO GRAVADO]]="","",compras_mes123[[#This Row],[NETO GRAVADO]]*0.21)</f>
        <v>102270</v>
      </c>
      <c r="J135" s="85"/>
      <c r="K135" s="85"/>
      <c r="L135" s="85"/>
      <c r="M135" s="85"/>
      <c r="N135" s="85"/>
      <c r="O135" s="85"/>
      <c r="P135" s="48">
        <f>SUM(compras_mes123[[#This Row],[NETO GRAVADO]:[Otros / No Grav.]])</f>
        <v>589270</v>
      </c>
      <c r="Q135" s="49" t="str">
        <f>IFERROR(IF(compras_mes123[[#This Row],[CUIT]]="","-",VLOOKUP(compras_mes123[[#This Row],[CUIT]],Lista_CUIT[#All],3,0)),"CUIT NO CARGADO")</f>
        <v>Material de Empaque</v>
      </c>
      <c r="R135" s="49">
        <f>IFERROR(IF(compras_mes123[[#This Row],[CUIT]]="","-",VLOOKUP(compras_mes123[[#This Row],[CUIT]],Lista_CUIT[#All],4,0)),"CUIT NO CARGADO")</f>
        <v>0</v>
      </c>
    </row>
    <row r="136" spans="2:18" x14ac:dyDescent="0.25">
      <c r="B136" s="40" t="s">
        <v>2945</v>
      </c>
      <c r="C136" s="41">
        <v>1</v>
      </c>
      <c r="D136" s="42">
        <v>2</v>
      </c>
      <c r="E136" s="43">
        <v>4201</v>
      </c>
      <c r="F136" s="44">
        <v>30629863571</v>
      </c>
      <c r="G136" s="45" t="str">
        <f>IFERROR(IF(compras_mes123[[#This Row],[CUIT]]="","-",VLOOKUP(compras_mes123[[#This Row],[CUIT]],Lista_CUIT[#All],2,0)),"CUIT NO CARGADO")</f>
        <v>TECNIMAR S R L</v>
      </c>
      <c r="H136" s="46">
        <v>3022232</v>
      </c>
      <c r="I136" s="85">
        <f>IF(compras_mes123[[#This Row],[NETO GRAVADO]]="","",compras_mes123[[#This Row],[NETO GRAVADO]]*0.21)</f>
        <v>634668.72</v>
      </c>
      <c r="J136" s="85"/>
      <c r="K136" s="85"/>
      <c r="L136" s="85"/>
      <c r="M136" s="85"/>
      <c r="N136" s="85"/>
      <c r="O136" s="85"/>
      <c r="P136" s="48">
        <f>SUM(compras_mes123[[#This Row],[NETO GRAVADO]:[Otros / No Grav.]])</f>
        <v>3656900.7199999997</v>
      </c>
      <c r="Q136" s="49" t="str">
        <f>IFERROR(IF(compras_mes123[[#This Row],[CUIT]]="","-",VLOOKUP(compras_mes123[[#This Row],[CUIT]],Lista_CUIT[#All],3,0)),"CUIT NO CARGADO")</f>
        <v>Productos Venta</v>
      </c>
      <c r="R136" s="49">
        <f>IFERROR(IF(compras_mes123[[#This Row],[CUIT]]="","-",VLOOKUP(compras_mes123[[#This Row],[CUIT]],Lista_CUIT[#All],4,0)),"CUIT NO CARGADO")</f>
        <v>0</v>
      </c>
    </row>
    <row r="137" spans="2:18" x14ac:dyDescent="0.25">
      <c r="B137" s="40" t="s">
        <v>2963</v>
      </c>
      <c r="C137" s="41">
        <v>1</v>
      </c>
      <c r="D137" s="42">
        <v>5</v>
      </c>
      <c r="E137" s="43">
        <v>3432442</v>
      </c>
      <c r="F137" s="44">
        <v>30702652975</v>
      </c>
      <c r="G137" s="45" t="str">
        <f>IFERROR(IF(compras_mes123[[#This Row],[CUIT]]="","-",VLOOKUP(compras_mes123[[#This Row],[CUIT]],Lista_CUIT[#All],2,0)),"CUIT NO CARGADO")</f>
        <v>NSS SA</v>
      </c>
      <c r="H137" s="46">
        <v>37882.300000000003</v>
      </c>
      <c r="I137" s="85">
        <f>IF(compras_mes123[[#This Row],[NETO GRAVADO]]="","",compras_mes123[[#This Row],[NETO GRAVADO]]*0.21)</f>
        <v>7955.2830000000004</v>
      </c>
      <c r="J137" s="85"/>
      <c r="K137" s="85"/>
      <c r="L137" s="85"/>
      <c r="M137" s="85"/>
      <c r="N137" s="85"/>
      <c r="O137" s="85">
        <v>1136.47</v>
      </c>
      <c r="P137" s="48">
        <f>SUM(compras_mes123[[#This Row],[NETO GRAVADO]:[Otros / No Grav.]])</f>
        <v>46974.053000000007</v>
      </c>
      <c r="Q137" s="49" t="str">
        <f>IFERROR(IF(compras_mes123[[#This Row],[CUIT]]="","-",VLOOKUP(compras_mes123[[#This Row],[CUIT]],Lista_CUIT[#All],3,0)),"CUIT NO CARGADO")</f>
        <v>Servicios Gas, Luz, etc.</v>
      </c>
      <c r="R137" s="49">
        <f>IFERROR(IF(compras_mes123[[#This Row],[CUIT]]="","-",VLOOKUP(compras_mes123[[#This Row],[CUIT]],Lista_CUIT[#All],4,0)),"CUIT NO CARGADO")</f>
        <v>0</v>
      </c>
    </row>
    <row r="138" spans="2:18" x14ac:dyDescent="0.25">
      <c r="B138" s="40" t="s">
        <v>2963</v>
      </c>
      <c r="C138" s="41">
        <v>1</v>
      </c>
      <c r="D138" s="42">
        <v>1678</v>
      </c>
      <c r="E138" s="43">
        <v>64359</v>
      </c>
      <c r="F138" s="44">
        <v>30589621499</v>
      </c>
      <c r="G138" s="45" t="str">
        <f>IFERROR(IF(compras_mes123[[#This Row],[CUIT]]="","-",VLOOKUP(compras_mes123[[#This Row],[CUIT]],Lista_CUIT[#All],2,0)),"CUIT NO CARGADO")</f>
        <v>MAKRO SA</v>
      </c>
      <c r="H138" s="46">
        <v>83208.97</v>
      </c>
      <c r="I138" s="85">
        <f>IF(compras_mes123[[#This Row],[NETO GRAVADO]]="","",compras_mes123[[#This Row],[NETO GRAVADO]]*0.21)</f>
        <v>17473.883699999998</v>
      </c>
      <c r="J138" s="85"/>
      <c r="K138" s="85"/>
      <c r="L138" s="85"/>
      <c r="M138" s="85"/>
      <c r="N138" s="85"/>
      <c r="O138" s="85">
        <v>4992.54</v>
      </c>
      <c r="P138" s="48">
        <f>SUM(compras_mes123[[#This Row],[NETO GRAVADO]:[Otros / No Grav.]])</f>
        <v>105675.3937</v>
      </c>
      <c r="Q138" s="49" t="str">
        <f>IFERROR(IF(compras_mes123[[#This Row],[CUIT]]="","-",VLOOKUP(compras_mes123[[#This Row],[CUIT]],Lista_CUIT[#All],3,0)),"CUIT NO CARGADO")</f>
        <v>Gastos Varios</v>
      </c>
      <c r="R138" s="49">
        <f>IFERROR(IF(compras_mes123[[#This Row],[CUIT]]="","-",VLOOKUP(compras_mes123[[#This Row],[CUIT]],Lista_CUIT[#All],4,0)),"CUIT NO CARGADO")</f>
        <v>0</v>
      </c>
    </row>
    <row r="139" spans="2:18" x14ac:dyDescent="0.25">
      <c r="B139" s="40" t="s">
        <v>2963</v>
      </c>
      <c r="C139" s="41">
        <v>1</v>
      </c>
      <c r="D139" s="42">
        <v>6</v>
      </c>
      <c r="E139" s="43">
        <v>11710</v>
      </c>
      <c r="F139" s="44">
        <v>20349755115</v>
      </c>
      <c r="G139" s="45" t="str">
        <f>IFERROR(IF(compras_mes123[[#This Row],[CUIT]]="","-",VLOOKUP(compras_mes123[[#This Row],[CUIT]],Lista_CUIT[#All],2,0)),"CUIT NO CARGADO")</f>
        <v>BEJARANO TOMAS ESTANISLAO</v>
      </c>
      <c r="H139" s="46">
        <v>22214.87</v>
      </c>
      <c r="I139" s="85">
        <f>IF(compras_mes123[[#This Row],[NETO GRAVADO]]="","",compras_mes123[[#This Row],[NETO GRAVADO]]*0.21)</f>
        <v>4665.1226999999999</v>
      </c>
      <c r="J139" s="85"/>
      <c r="K139" s="85"/>
      <c r="L139" s="85"/>
      <c r="M139" s="85"/>
      <c r="N139" s="85"/>
      <c r="O139" s="85"/>
      <c r="P139" s="48">
        <f>SUM(compras_mes123[[#This Row],[NETO GRAVADO]:[Otros / No Grav.]])</f>
        <v>26879.992699999999</v>
      </c>
      <c r="Q139" s="49" t="str">
        <f>IFERROR(IF(compras_mes123[[#This Row],[CUIT]]="","-",VLOOKUP(compras_mes123[[#This Row],[CUIT]],Lista_CUIT[#All],3,0)),"CUIT NO CARGADO")</f>
        <v>Ferreteria</v>
      </c>
      <c r="R139" s="49">
        <f>IFERROR(IF(compras_mes123[[#This Row],[CUIT]]="","-",VLOOKUP(compras_mes123[[#This Row],[CUIT]],Lista_CUIT[#All],4,0)),"CUIT NO CARGADO")</f>
        <v>0</v>
      </c>
    </row>
    <row r="140" spans="2:18" x14ac:dyDescent="0.25">
      <c r="B140" s="40" t="s">
        <v>2963</v>
      </c>
      <c r="C140" s="41">
        <v>1</v>
      </c>
      <c r="D140" s="42">
        <v>3</v>
      </c>
      <c r="E140" s="43">
        <v>162</v>
      </c>
      <c r="F140" s="44">
        <v>27210116120</v>
      </c>
      <c r="G140" s="45" t="str">
        <f>IFERROR(IF(compras_mes123[[#This Row],[CUIT]]="","-",VLOOKUP(compras_mes123[[#This Row],[CUIT]],Lista_CUIT[#All],2,0)),"CUIT NO CARGADO")</f>
        <v>Borrachetti Monica Adriana</v>
      </c>
      <c r="H140" s="46">
        <v>500000</v>
      </c>
      <c r="I140" s="85">
        <f>IF(compras_mes123[[#This Row],[NETO GRAVADO]]="","",compras_mes123[[#This Row],[NETO GRAVADO]]*0.21)</f>
        <v>105000</v>
      </c>
      <c r="J140" s="85"/>
      <c r="K140" s="85"/>
      <c r="L140" s="85"/>
      <c r="M140" s="85"/>
      <c r="N140" s="85"/>
      <c r="O140" s="85"/>
      <c r="P140" s="48">
        <f>SUM(compras_mes123[[#This Row],[NETO GRAVADO]:[Otros / No Grav.]])</f>
        <v>605000</v>
      </c>
      <c r="Q140" s="49" t="str">
        <f>IFERROR(IF(compras_mes123[[#This Row],[CUIT]]="","-",VLOOKUP(compras_mes123[[#This Row],[CUIT]],Lista_CUIT[#All],3,0)),"CUIT NO CARGADO")</f>
        <v>Honorarios Legales</v>
      </c>
      <c r="R140" s="49">
        <f>IFERROR(IF(compras_mes123[[#This Row],[CUIT]]="","-",VLOOKUP(compras_mes123[[#This Row],[CUIT]],Lista_CUIT[#All],4,0)),"CUIT NO CARGADO")</f>
        <v>0</v>
      </c>
    </row>
    <row r="141" spans="2:18" x14ac:dyDescent="0.25">
      <c r="B141" s="40" t="s">
        <v>2963</v>
      </c>
      <c r="C141" s="41">
        <v>1</v>
      </c>
      <c r="D141" s="42">
        <v>2</v>
      </c>
      <c r="E141" s="43">
        <v>4203</v>
      </c>
      <c r="F141" s="44">
        <v>30629863571</v>
      </c>
      <c r="G141" s="45" t="str">
        <f>IFERROR(IF(compras_mes123[[#This Row],[CUIT]]="","-",VLOOKUP(compras_mes123[[#This Row],[CUIT]],Lista_CUIT[#All],2,0)),"CUIT NO CARGADO")</f>
        <v>TECNIMAR S R L</v>
      </c>
      <c r="H141" s="46">
        <v>1388812</v>
      </c>
      <c r="I141" s="85">
        <f>IF(compras_mes123[[#This Row],[NETO GRAVADO]]="","",compras_mes123[[#This Row],[NETO GRAVADO]]*0.21)</f>
        <v>291650.51999999996</v>
      </c>
      <c r="J141" s="85"/>
      <c r="K141" s="85"/>
      <c r="L141" s="85"/>
      <c r="M141" s="85"/>
      <c r="N141" s="85"/>
      <c r="O141" s="85"/>
      <c r="P141" s="48">
        <f>SUM(compras_mes123[[#This Row],[NETO GRAVADO]:[Otros / No Grav.]])</f>
        <v>1680462.52</v>
      </c>
      <c r="Q141" s="49" t="str">
        <f>IFERROR(IF(compras_mes123[[#This Row],[CUIT]]="","-",VLOOKUP(compras_mes123[[#This Row],[CUIT]],Lista_CUIT[#All],3,0)),"CUIT NO CARGADO")</f>
        <v>Productos Venta</v>
      </c>
      <c r="R141" s="49">
        <f>IFERROR(IF(compras_mes123[[#This Row],[CUIT]]="","-",VLOOKUP(compras_mes123[[#This Row],[CUIT]],Lista_CUIT[#All],4,0)),"CUIT NO CARGADO")</f>
        <v>0</v>
      </c>
    </row>
    <row r="142" spans="2:18" x14ac:dyDescent="0.25">
      <c r="B142" s="40" t="s">
        <v>2946</v>
      </c>
      <c r="C142" s="41">
        <v>1</v>
      </c>
      <c r="D142" s="42">
        <v>2188</v>
      </c>
      <c r="E142" s="43">
        <v>162805</v>
      </c>
      <c r="F142" s="44">
        <v>30548083156</v>
      </c>
      <c r="G142" s="45" t="str">
        <f>IFERROR(IF(compras_mes123[[#This Row],[CUIT]]="","-",VLOOKUP(compras_mes123[[#This Row],[CUIT]],Lista_CUIT[#All],2,0)),"CUIT NO CARGADO")</f>
        <v>COTO CENTRO INTEGRAL DE COMERCIALIZACION SOCIEDAD ANONIMA</v>
      </c>
      <c r="H142" s="46">
        <v>70338.59</v>
      </c>
      <c r="I142" s="85">
        <v>11589.7</v>
      </c>
      <c r="J142" s="85">
        <v>1590.7</v>
      </c>
      <c r="K142" s="85"/>
      <c r="L142" s="85"/>
      <c r="M142" s="85"/>
      <c r="N142" s="85"/>
      <c r="O142" s="85">
        <v>3965.14</v>
      </c>
      <c r="P142" s="48">
        <f>SUM(compras_mes123[[#This Row],[NETO GRAVADO]:[Otros / No Grav.]])</f>
        <v>87484.12999999999</v>
      </c>
      <c r="Q142" s="49" t="str">
        <f>IFERROR(IF(compras_mes123[[#This Row],[CUIT]]="","-",VLOOKUP(compras_mes123[[#This Row],[CUIT]],Lista_CUIT[#All],3,0)),"CUIT NO CARGADO")</f>
        <v>Gastos Varios</v>
      </c>
      <c r="R142" s="49">
        <f>IFERROR(IF(compras_mes123[[#This Row],[CUIT]]="","-",VLOOKUP(compras_mes123[[#This Row],[CUIT]],Lista_CUIT[#All],4,0)),"CUIT NO CARGADO")</f>
        <v>0</v>
      </c>
    </row>
    <row r="143" spans="2:18" x14ac:dyDescent="0.25">
      <c r="B143" s="40" t="s">
        <v>2946</v>
      </c>
      <c r="C143" s="41">
        <v>1</v>
      </c>
      <c r="D143" s="42">
        <v>14</v>
      </c>
      <c r="E143" s="43">
        <v>19881</v>
      </c>
      <c r="F143" s="44">
        <v>30715186256</v>
      </c>
      <c r="G143" s="45" t="str">
        <f>IFERROR(IF(compras_mes123[[#This Row],[CUIT]]="","-",VLOOKUP(compras_mes123[[#This Row],[CUIT]],Lista_CUIT[#All],2,0)),"CUIT NO CARGADO")</f>
        <v>FRIGORIFICO ALIMENTIC</v>
      </c>
      <c r="H143" s="46">
        <v>86496.14</v>
      </c>
      <c r="I143" s="85">
        <v>6186.59</v>
      </c>
      <c r="J143" s="85">
        <v>5988.8</v>
      </c>
      <c r="K143" s="85"/>
      <c r="L143" s="85"/>
      <c r="M143" s="85"/>
      <c r="N143" s="85"/>
      <c r="O143" s="85"/>
      <c r="P143" s="48">
        <f>SUM(compras_mes123[[#This Row],[NETO GRAVADO]:[Otros / No Grav.]])</f>
        <v>98671.53</v>
      </c>
      <c r="Q143" s="49" t="str">
        <f>IFERROR(IF(compras_mes123[[#This Row],[CUIT]]="","-",VLOOKUP(compras_mes123[[#This Row],[CUIT]],Lista_CUIT[#All],3,0)),"CUIT NO CARGADO")</f>
        <v>Gastos Comercializacion - Feria</v>
      </c>
      <c r="R143" s="49">
        <f>IFERROR(IF(compras_mes123[[#This Row],[CUIT]]="","-",VLOOKUP(compras_mes123[[#This Row],[CUIT]],Lista_CUIT[#All],4,0)),"CUIT NO CARGADO")</f>
        <v>0</v>
      </c>
    </row>
    <row r="144" spans="2:18" x14ac:dyDescent="0.25">
      <c r="B144" s="40" t="s">
        <v>2946</v>
      </c>
      <c r="C144" s="41">
        <v>1</v>
      </c>
      <c r="D144" s="42">
        <v>2199</v>
      </c>
      <c r="E144" s="43">
        <v>40288</v>
      </c>
      <c r="F144" s="44">
        <v>30548083156</v>
      </c>
      <c r="G144" s="45" t="str">
        <f>IFERROR(IF(compras_mes123[[#This Row],[CUIT]]="","-",VLOOKUP(compras_mes123[[#This Row],[CUIT]],Lista_CUIT[#All],2,0)),"CUIT NO CARGADO")</f>
        <v>COTO CENTRO INTEGRAL DE COMERCIALIZACION SOCIEDAD ANONIMA</v>
      </c>
      <c r="H144" s="46">
        <v>41292.26</v>
      </c>
      <c r="I144" s="85">
        <f>IF(compras_mes123[[#This Row],[NETO GRAVADO]]="","",compras_mes123[[#This Row],[NETO GRAVADO]]*0.21)</f>
        <v>8671.374600000001</v>
      </c>
      <c r="J144" s="85"/>
      <c r="K144" s="85"/>
      <c r="L144" s="85"/>
      <c r="M144" s="85"/>
      <c r="N144" s="85"/>
      <c r="O144" s="85">
        <v>2417.4699999999998</v>
      </c>
      <c r="P144" s="48">
        <f>SUM(compras_mes123[[#This Row],[NETO GRAVADO]:[Otros / No Grav.]])</f>
        <v>52381.104600000006</v>
      </c>
      <c r="Q144" s="49" t="str">
        <f>IFERROR(IF(compras_mes123[[#This Row],[CUIT]]="","-",VLOOKUP(compras_mes123[[#This Row],[CUIT]],Lista_CUIT[#All],3,0)),"CUIT NO CARGADO")</f>
        <v>Gastos Varios</v>
      </c>
      <c r="R144" s="49">
        <f>IFERROR(IF(compras_mes123[[#This Row],[CUIT]]="","-",VLOOKUP(compras_mes123[[#This Row],[CUIT]],Lista_CUIT[#All],4,0)),"CUIT NO CARGADO")</f>
        <v>0</v>
      </c>
    </row>
    <row r="145" spans="2:18" x14ac:dyDescent="0.25">
      <c r="B145" s="40" t="s">
        <v>2946</v>
      </c>
      <c r="C145" s="41">
        <v>1</v>
      </c>
      <c r="D145" s="42">
        <v>7</v>
      </c>
      <c r="E145" s="43">
        <v>4142</v>
      </c>
      <c r="F145" s="44">
        <v>27319349672</v>
      </c>
      <c r="G145" s="45" t="str">
        <f>IFERROR(IF(compras_mes123[[#This Row],[CUIT]]="","-",VLOOKUP(compras_mes123[[#This Row],[CUIT]],Lista_CUIT[#All],2,0)),"CUIT NO CARGADO")</f>
        <v>ANDREONE ANDREA FABIANA</v>
      </c>
      <c r="H145" s="46">
        <v>2892.56</v>
      </c>
      <c r="I145" s="85">
        <f>IF(compras_mes123[[#This Row],[NETO GRAVADO]]="","",compras_mes123[[#This Row],[NETO GRAVADO]]*0.21)</f>
        <v>607.43759999999997</v>
      </c>
      <c r="J145" s="85"/>
      <c r="K145" s="85"/>
      <c r="L145" s="85"/>
      <c r="M145" s="85"/>
      <c r="N145" s="85"/>
      <c r="O145" s="85"/>
      <c r="P145" s="48">
        <f>SUM(compras_mes123[[#This Row],[NETO GRAVADO]:[Otros / No Grav.]])</f>
        <v>3499.9975999999997</v>
      </c>
      <c r="Q145" s="49" t="str">
        <f>IFERROR(IF(compras_mes123[[#This Row],[CUIT]]="","-",VLOOKUP(compras_mes123[[#This Row],[CUIT]],Lista_CUIT[#All],3,0)),"CUIT NO CARGADO")</f>
        <v>Gastos Varios</v>
      </c>
      <c r="R145" s="49">
        <f>IFERROR(IF(compras_mes123[[#This Row],[CUIT]]="","-",VLOOKUP(compras_mes123[[#This Row],[CUIT]],Lista_CUIT[#All],4,0)),"CUIT NO CARGADO")</f>
        <v>0</v>
      </c>
    </row>
    <row r="146" spans="2:18" x14ac:dyDescent="0.25">
      <c r="B146" s="40" t="s">
        <v>2946</v>
      </c>
      <c r="C146" s="41">
        <v>1</v>
      </c>
      <c r="D146" s="42">
        <v>3950</v>
      </c>
      <c r="E146" s="43">
        <v>5469876</v>
      </c>
      <c r="F146" s="44">
        <v>30639453738</v>
      </c>
      <c r="G146" s="45" t="str">
        <f>IFERROR(IF(compras_mes123[[#This Row],[CUIT]]="","-",VLOOKUP(compras_mes123[[#This Row],[CUIT]],Lista_CUIT[#All],2,0)),"CUIT NO CARGADO")</f>
        <v>TELECOM ARG SA</v>
      </c>
      <c r="H146" s="46">
        <v>20606.29</v>
      </c>
      <c r="I146" s="85">
        <f>IF(compras_mes123[[#This Row],[NETO GRAVADO]]="","",compras_mes123[[#This Row],[NETO GRAVADO]]*0.21)</f>
        <v>4327.3208999999997</v>
      </c>
      <c r="J146" s="85"/>
      <c r="K146" s="85"/>
      <c r="L146" s="85"/>
      <c r="M146" s="85"/>
      <c r="N146" s="85"/>
      <c r="O146" s="85">
        <v>1854.57</v>
      </c>
      <c r="P146" s="48">
        <f>SUM(compras_mes123[[#This Row],[NETO GRAVADO]:[Otros / No Grav.]])</f>
        <v>26788.180899999999</v>
      </c>
      <c r="Q146" s="49" t="str">
        <f>IFERROR(IF(compras_mes123[[#This Row],[CUIT]]="","-",VLOOKUP(compras_mes123[[#This Row],[CUIT]],Lista_CUIT[#All],3,0)),"CUIT NO CARGADO")</f>
        <v>Servicios Gas, Luz, etc.</v>
      </c>
      <c r="R146" s="49">
        <f>IFERROR(IF(compras_mes123[[#This Row],[CUIT]]="","-",VLOOKUP(compras_mes123[[#This Row],[CUIT]],Lista_CUIT[#All],4,0)),"CUIT NO CARGADO")</f>
        <v>0</v>
      </c>
    </row>
    <row r="147" spans="2:18" x14ac:dyDescent="0.25">
      <c r="B147" s="40" t="s">
        <v>2964</v>
      </c>
      <c r="C147" s="41">
        <v>1</v>
      </c>
      <c r="D147" s="42">
        <v>4</v>
      </c>
      <c r="E147" s="43">
        <v>3070</v>
      </c>
      <c r="F147" s="44">
        <v>23177130079</v>
      </c>
      <c r="G147" s="45" t="str">
        <f>IFERROR(IF(compras_mes123[[#This Row],[CUIT]]="","-",VLOOKUP(compras_mes123[[#This Row],[CUIT]],Lista_CUIT[#All],2,0)),"CUIT NO CARGADO")</f>
        <v>NATALI HUGO ARIEL</v>
      </c>
      <c r="H147" s="46">
        <v>28099.17</v>
      </c>
      <c r="I147" s="85">
        <f>IF(compras_mes123[[#This Row],[NETO GRAVADO]]="","",compras_mes123[[#This Row],[NETO GRAVADO]]*0.21)</f>
        <v>5900.8256999999994</v>
      </c>
      <c r="J147" s="85"/>
      <c r="K147" s="85"/>
      <c r="L147" s="85"/>
      <c r="M147" s="85"/>
      <c r="N147" s="85"/>
      <c r="O147" s="85"/>
      <c r="P147" s="48">
        <f>SUM(compras_mes123[[#This Row],[NETO GRAVADO]:[Otros / No Grav.]])</f>
        <v>33999.995699999999</v>
      </c>
      <c r="Q147" s="49" t="str">
        <f>IFERROR(IF(compras_mes123[[#This Row],[CUIT]]="","-",VLOOKUP(compras_mes123[[#This Row],[CUIT]],Lista_CUIT[#All],3,0)),"CUIT NO CARGADO")</f>
        <v>Gastos Varios</v>
      </c>
      <c r="R147" s="49">
        <f>IFERROR(IF(compras_mes123[[#This Row],[CUIT]]="","-",VLOOKUP(compras_mes123[[#This Row],[CUIT]],Lista_CUIT[#All],4,0)),"CUIT NO CARGADO")</f>
        <v>0</v>
      </c>
    </row>
    <row r="148" spans="2:18" x14ac:dyDescent="0.25">
      <c r="B148" s="40" t="s">
        <v>2964</v>
      </c>
      <c r="C148" s="41">
        <v>1</v>
      </c>
      <c r="D148" s="42">
        <v>8</v>
      </c>
      <c r="E148" s="43">
        <v>130</v>
      </c>
      <c r="F148" s="44">
        <v>23329455319</v>
      </c>
      <c r="G148" s="45" t="str">
        <f>IFERROR(IF(compras_mes123[[#This Row],[CUIT]]="","-",VLOOKUP(compras_mes123[[#This Row],[CUIT]],Lista_CUIT[#All],2,0)),"CUIT NO CARGADO")</f>
        <v>REPETTO RAMIRO ANDRES</v>
      </c>
      <c r="H148" s="46">
        <v>11983.47</v>
      </c>
      <c r="I148" s="85">
        <f>IF(compras_mes123[[#This Row],[NETO GRAVADO]]="","",compras_mes123[[#This Row],[NETO GRAVADO]]*0.21)</f>
        <v>2516.5286999999998</v>
      </c>
      <c r="J148" s="85"/>
      <c r="K148" s="85"/>
      <c r="L148" s="85"/>
      <c r="M148" s="85"/>
      <c r="N148" s="85"/>
      <c r="O148" s="85"/>
      <c r="P148" s="48">
        <f>SUM(compras_mes123[[#This Row],[NETO GRAVADO]:[Otros / No Grav.]])</f>
        <v>14499.9987</v>
      </c>
      <c r="Q148" s="49" t="str">
        <f>IFERROR(IF(compras_mes123[[#This Row],[CUIT]]="","-",VLOOKUP(compras_mes123[[#This Row],[CUIT]],Lista_CUIT[#All],3,0)),"CUIT NO CARGADO")</f>
        <v>Gastos Varios</v>
      </c>
      <c r="R148" s="49">
        <f>IFERROR(IF(compras_mes123[[#This Row],[CUIT]]="","-",VLOOKUP(compras_mes123[[#This Row],[CUIT]],Lista_CUIT[#All],4,0)),"CUIT NO CARGADO")</f>
        <v>0</v>
      </c>
    </row>
    <row r="149" spans="2:18" x14ac:dyDescent="0.25">
      <c r="B149" s="40" t="s">
        <v>2965</v>
      </c>
      <c r="C149" s="41">
        <v>1</v>
      </c>
      <c r="D149" s="42">
        <v>5015</v>
      </c>
      <c r="E149" s="43">
        <v>1069437</v>
      </c>
      <c r="F149" s="44">
        <v>30574876474</v>
      </c>
      <c r="G149" s="45" t="str">
        <f>IFERROR(IF(compras_mes123[[#This Row],[CUIT]]="","-",VLOOKUP(compras_mes123[[#This Row],[CUIT]],Lista_CUIT[#All],2,0)),"CUIT NO CARGADO")</f>
        <v>AUTOPISTAS URBANAS S A</v>
      </c>
      <c r="H149" s="46">
        <v>157382.39999999999</v>
      </c>
      <c r="I149" s="85">
        <f>IF(compras_mes123[[#This Row],[NETO GRAVADO]]="","",compras_mes123[[#This Row],[NETO GRAVADO]]*0.21)</f>
        <v>33050.303999999996</v>
      </c>
      <c r="J149" s="85"/>
      <c r="K149" s="85"/>
      <c r="L149" s="85"/>
      <c r="M149" s="85"/>
      <c r="N149" s="85"/>
      <c r="O149" s="85">
        <v>20459.66</v>
      </c>
      <c r="P149" s="48">
        <f>SUM(compras_mes123[[#This Row],[NETO GRAVADO]:[Otros / No Grav.]])</f>
        <v>210892.364</v>
      </c>
      <c r="Q149" s="49" t="str">
        <f>IFERROR(IF(compras_mes123[[#This Row],[CUIT]]="","-",VLOOKUP(compras_mes123[[#This Row],[CUIT]],Lista_CUIT[#All],3,0)),"CUIT NO CARGADO")</f>
        <v>Peajes</v>
      </c>
      <c r="R149" s="49">
        <f>IFERROR(IF(compras_mes123[[#This Row],[CUIT]]="","-",VLOOKUP(compras_mes123[[#This Row],[CUIT]],Lista_CUIT[#All],4,0)),"CUIT NO CARGADO")</f>
        <v>0</v>
      </c>
    </row>
    <row r="150" spans="2:18" x14ac:dyDescent="0.25">
      <c r="B150" s="40" t="s">
        <v>2947</v>
      </c>
      <c r="C150" s="41">
        <v>1</v>
      </c>
      <c r="D150" s="42">
        <v>4</v>
      </c>
      <c r="E150" s="43">
        <v>1167</v>
      </c>
      <c r="F150" s="44">
        <v>27317740196</v>
      </c>
      <c r="G150" s="45" t="str">
        <f>IFERROR(IF(compras_mes123[[#This Row],[CUIT]]="","-",VLOOKUP(compras_mes123[[#This Row],[CUIT]],Lista_CUIT[#All],2,0)),"CUIT NO CARGADO")</f>
        <v>HOKAMA ROMINA PAOLA</v>
      </c>
      <c r="H150" s="46">
        <v>26795.86</v>
      </c>
      <c r="I150" s="85">
        <f>IF(compras_mes123[[#This Row],[NETO GRAVADO]]="","",compras_mes123[[#This Row],[NETO GRAVADO]]*0.21)</f>
        <v>5627.1305999999995</v>
      </c>
      <c r="J150" s="85"/>
      <c r="K150" s="85"/>
      <c r="L150" s="85"/>
      <c r="M150" s="85"/>
      <c r="N150" s="85"/>
      <c r="O150" s="85"/>
      <c r="P150" s="48">
        <f>SUM(compras_mes123[[#This Row],[NETO GRAVADO]:[Otros / No Grav.]])</f>
        <v>32422.990600000001</v>
      </c>
      <c r="Q150" s="49" t="str">
        <f>IFERROR(IF(compras_mes123[[#This Row],[CUIT]]="","-",VLOOKUP(compras_mes123[[#This Row],[CUIT]],Lista_CUIT[#All],3,0)),"CUIT NO CARGADO")</f>
        <v>Gastos Varios</v>
      </c>
      <c r="R150" s="49">
        <f>IFERROR(IF(compras_mes123[[#This Row],[CUIT]]="","-",VLOOKUP(compras_mes123[[#This Row],[CUIT]],Lista_CUIT[#All],4,0)),"CUIT NO CARGADO")</f>
        <v>0</v>
      </c>
    </row>
    <row r="151" spans="2:18" x14ac:dyDescent="0.25">
      <c r="B151" s="40" t="s">
        <v>2947</v>
      </c>
      <c r="C151" s="41">
        <v>1</v>
      </c>
      <c r="D151" s="42">
        <v>700</v>
      </c>
      <c r="E151" s="43">
        <v>2859564</v>
      </c>
      <c r="F151" s="44">
        <v>30715804812</v>
      </c>
      <c r="G151" s="45" t="str">
        <f>IFERROR(IF(compras_mes123[[#This Row],[CUIT]]="","-",VLOOKUP(compras_mes123[[#This Row],[CUIT]],Lista_CUIT[#All],2,0)),"CUIT NO CARGADO")</f>
        <v>CORREDORES VIALES SOCIEDAD ANONIMA</v>
      </c>
      <c r="H151" s="46">
        <v>8319.83</v>
      </c>
      <c r="I151" s="85">
        <f>IF(compras_mes123[[#This Row],[NETO GRAVADO]]="","",compras_mes123[[#This Row],[NETO GRAVADO]]*0.21)</f>
        <v>1747.1642999999999</v>
      </c>
      <c r="J151" s="85"/>
      <c r="K151" s="85"/>
      <c r="L151" s="85"/>
      <c r="M151" s="85"/>
      <c r="N151" s="85"/>
      <c r="O151" s="85"/>
      <c r="P151" s="48">
        <f>SUM(compras_mes123[[#This Row],[NETO GRAVADO]:[Otros / No Grav.]])</f>
        <v>10066.9943</v>
      </c>
      <c r="Q151" s="49" t="str">
        <f>IFERROR(IF(compras_mes123[[#This Row],[CUIT]]="","-",VLOOKUP(compras_mes123[[#This Row],[CUIT]],Lista_CUIT[#All],3,0)),"CUIT NO CARGADO")</f>
        <v>Peajes</v>
      </c>
      <c r="R151" s="49">
        <f>IFERROR(IF(compras_mes123[[#This Row],[CUIT]]="","-",VLOOKUP(compras_mes123[[#This Row],[CUIT]],Lista_CUIT[#All],4,0)),"CUIT NO CARGADO")</f>
        <v>0</v>
      </c>
    </row>
    <row r="152" spans="2:18" x14ac:dyDescent="0.25">
      <c r="B152" s="40" t="s">
        <v>2966</v>
      </c>
      <c r="C152" s="41">
        <v>1</v>
      </c>
      <c r="D152" s="42">
        <v>22</v>
      </c>
      <c r="E152" s="43">
        <v>1778</v>
      </c>
      <c r="F152" s="44">
        <v>20170366205</v>
      </c>
      <c r="G152" s="45" t="str">
        <f>IFERROR(IF(compras_mes123[[#This Row],[CUIT]]="","-",VLOOKUP(compras_mes123[[#This Row],[CUIT]],Lista_CUIT[#All],2,0)),"CUIT NO CARGADO")</f>
        <v>LUQUE ADRIAN ULISES</v>
      </c>
      <c r="H152" s="46">
        <v>12561.98</v>
      </c>
      <c r="I152" s="85">
        <f>IF(compras_mes123[[#This Row],[NETO GRAVADO]]="","",compras_mes123[[#This Row],[NETO GRAVADO]]*0.21)</f>
        <v>2638.0157999999997</v>
      </c>
      <c r="J152" s="85"/>
      <c r="K152" s="85"/>
      <c r="L152" s="85"/>
      <c r="M152" s="85"/>
      <c r="N152" s="85"/>
      <c r="O152" s="85"/>
      <c r="P152" s="48">
        <f>SUM(compras_mes123[[#This Row],[NETO GRAVADO]:[Otros / No Grav.]])</f>
        <v>15199.995799999999</v>
      </c>
      <c r="Q152" s="49" t="str">
        <f>IFERROR(IF(compras_mes123[[#This Row],[CUIT]]="","-",VLOOKUP(compras_mes123[[#This Row],[CUIT]],Lista_CUIT[#All],3,0)),"CUIT NO CARGADO")</f>
        <v>Papeleria</v>
      </c>
      <c r="R152" s="49">
        <f>IFERROR(IF(compras_mes123[[#This Row],[CUIT]]="","-",VLOOKUP(compras_mes123[[#This Row],[CUIT]],Lista_CUIT[#All],4,0)),"CUIT NO CARGADO")</f>
        <v>0</v>
      </c>
    </row>
    <row r="153" spans="2:18" x14ac:dyDescent="0.25">
      <c r="B153" s="40" t="s">
        <v>2966</v>
      </c>
      <c r="C153" s="41">
        <v>1</v>
      </c>
      <c r="D153" s="42">
        <v>22</v>
      </c>
      <c r="E153" s="43">
        <v>1779</v>
      </c>
      <c r="F153" s="44">
        <v>20170366205</v>
      </c>
      <c r="G153" s="45" t="str">
        <f>IFERROR(IF(compras_mes123[[#This Row],[CUIT]]="","-",VLOOKUP(compras_mes123[[#This Row],[CUIT]],Lista_CUIT[#All],2,0)),"CUIT NO CARGADO")</f>
        <v>LUQUE ADRIAN ULISES</v>
      </c>
      <c r="H153" s="46">
        <v>12561.98</v>
      </c>
      <c r="I153" s="85">
        <f>IF(compras_mes123[[#This Row],[NETO GRAVADO]]="","",compras_mes123[[#This Row],[NETO GRAVADO]]*0.21)</f>
        <v>2638.0157999999997</v>
      </c>
      <c r="J153" s="85"/>
      <c r="K153" s="85"/>
      <c r="L153" s="85"/>
      <c r="M153" s="85"/>
      <c r="N153" s="85"/>
      <c r="O153" s="85"/>
      <c r="P153" s="48">
        <f>SUM(compras_mes123[[#This Row],[NETO GRAVADO]:[Otros / No Grav.]])</f>
        <v>15199.995799999999</v>
      </c>
      <c r="Q153" s="49" t="str">
        <f>IFERROR(IF(compras_mes123[[#This Row],[CUIT]]="","-",VLOOKUP(compras_mes123[[#This Row],[CUIT]],Lista_CUIT[#All],3,0)),"CUIT NO CARGADO")</f>
        <v>Papeleria</v>
      </c>
      <c r="R153" s="49">
        <f>IFERROR(IF(compras_mes123[[#This Row],[CUIT]]="","-",VLOOKUP(compras_mes123[[#This Row],[CUIT]],Lista_CUIT[#All],4,0)),"CUIT NO CARGADO")</f>
        <v>0</v>
      </c>
    </row>
    <row r="154" spans="2:18" x14ac:dyDescent="0.25">
      <c r="B154" s="40" t="s">
        <v>2966</v>
      </c>
      <c r="C154" s="41">
        <v>1</v>
      </c>
      <c r="D154" s="42">
        <v>22</v>
      </c>
      <c r="E154" s="43">
        <v>1780</v>
      </c>
      <c r="F154" s="44">
        <v>20170366205</v>
      </c>
      <c r="G154" s="45" t="str">
        <f>IFERROR(IF(compras_mes123[[#This Row],[CUIT]]="","-",VLOOKUP(compras_mes123[[#This Row],[CUIT]],Lista_CUIT[#All],2,0)),"CUIT NO CARGADO")</f>
        <v>LUQUE ADRIAN ULISES</v>
      </c>
      <c r="H154" s="46">
        <v>12561.98</v>
      </c>
      <c r="I154" s="85">
        <f>IF(compras_mes123[[#This Row],[NETO GRAVADO]]="","",compras_mes123[[#This Row],[NETO GRAVADO]]*0.21)</f>
        <v>2638.0157999999997</v>
      </c>
      <c r="J154" s="85"/>
      <c r="K154" s="85"/>
      <c r="L154" s="85"/>
      <c r="M154" s="85"/>
      <c r="N154" s="85"/>
      <c r="O154" s="85"/>
      <c r="P154" s="48">
        <f>SUM(compras_mes123[[#This Row],[NETO GRAVADO]:[Otros / No Grav.]])</f>
        <v>15199.995799999999</v>
      </c>
      <c r="Q154" s="49" t="str">
        <f>IFERROR(IF(compras_mes123[[#This Row],[CUIT]]="","-",VLOOKUP(compras_mes123[[#This Row],[CUIT]],Lista_CUIT[#All],3,0)),"CUIT NO CARGADO")</f>
        <v>Papeleria</v>
      </c>
      <c r="R154" s="49">
        <f>IFERROR(IF(compras_mes123[[#This Row],[CUIT]]="","-",VLOOKUP(compras_mes123[[#This Row],[CUIT]],Lista_CUIT[#All],4,0)),"CUIT NO CARGADO")</f>
        <v>0</v>
      </c>
    </row>
    <row r="155" spans="2:18" x14ac:dyDescent="0.25">
      <c r="B155" s="40" t="s">
        <v>2966</v>
      </c>
      <c r="C155" s="41">
        <v>1</v>
      </c>
      <c r="D155" s="42">
        <v>22</v>
      </c>
      <c r="E155" s="43">
        <v>1781</v>
      </c>
      <c r="F155" s="44">
        <v>20170366205</v>
      </c>
      <c r="G155" s="45" t="str">
        <f>IFERROR(IF(compras_mes123[[#This Row],[CUIT]]="","-",VLOOKUP(compras_mes123[[#This Row],[CUIT]],Lista_CUIT[#All],2,0)),"CUIT NO CARGADO")</f>
        <v>LUQUE ADRIAN ULISES</v>
      </c>
      <c r="H155" s="46">
        <v>12561.98</v>
      </c>
      <c r="I155" s="85">
        <f>IF(compras_mes123[[#This Row],[NETO GRAVADO]]="","",compras_mes123[[#This Row],[NETO GRAVADO]]*0.21)</f>
        <v>2638.0157999999997</v>
      </c>
      <c r="J155" s="85"/>
      <c r="K155" s="85"/>
      <c r="L155" s="85"/>
      <c r="M155" s="85"/>
      <c r="N155" s="85"/>
      <c r="O155" s="85"/>
      <c r="P155" s="48">
        <f>SUM(compras_mes123[[#This Row],[NETO GRAVADO]:[Otros / No Grav.]])</f>
        <v>15199.995799999999</v>
      </c>
      <c r="Q155" s="49" t="str">
        <f>IFERROR(IF(compras_mes123[[#This Row],[CUIT]]="","-",VLOOKUP(compras_mes123[[#This Row],[CUIT]],Lista_CUIT[#All],3,0)),"CUIT NO CARGADO")</f>
        <v>Papeleria</v>
      </c>
      <c r="R155" s="49">
        <f>IFERROR(IF(compras_mes123[[#This Row],[CUIT]]="","-",VLOOKUP(compras_mes123[[#This Row],[CUIT]],Lista_CUIT[#All],4,0)),"CUIT NO CARGADO")</f>
        <v>0</v>
      </c>
    </row>
    <row r="156" spans="2:18" x14ac:dyDescent="0.25">
      <c r="B156" s="40" t="s">
        <v>2966</v>
      </c>
      <c r="C156" s="41">
        <v>1</v>
      </c>
      <c r="D156" s="42">
        <v>1</v>
      </c>
      <c r="E156" s="43">
        <v>748</v>
      </c>
      <c r="F156" s="44">
        <v>27314704482</v>
      </c>
      <c r="G156" s="45" t="str">
        <f>IFERROR(IF(compras_mes123[[#This Row],[CUIT]]="","-",VLOOKUP(compras_mes123[[#This Row],[CUIT]],Lista_CUIT[#All],2,0)),"CUIT NO CARGADO")</f>
        <v>TEXEIRA JESICA SOLANGE</v>
      </c>
      <c r="H156" s="46">
        <v>468411.81</v>
      </c>
      <c r="I156" s="85" t="s">
        <v>2411</v>
      </c>
      <c r="J156" s="85"/>
      <c r="K156" s="85">
        <v>49183.24</v>
      </c>
      <c r="L156" s="85"/>
      <c r="M156" s="85"/>
      <c r="N156" s="85"/>
      <c r="O156" s="85"/>
      <c r="P156" s="48">
        <f>SUM(compras_mes123[[#This Row],[NETO GRAVADO]:[Otros / No Grav.]])</f>
        <v>517595.05</v>
      </c>
      <c r="Q156" s="49" t="str">
        <f>IFERROR(IF(compras_mes123[[#This Row],[CUIT]]="","-",VLOOKUP(compras_mes123[[#This Row],[CUIT]],Lista_CUIT[#All],3,0)),"CUIT NO CARGADO")</f>
        <v>Insumos</v>
      </c>
      <c r="R156" s="49">
        <f>IFERROR(IF(compras_mes123[[#This Row],[CUIT]]="","-",VLOOKUP(compras_mes123[[#This Row],[CUIT]],Lista_CUIT[#All],4,0)),"CUIT NO CARGADO")</f>
        <v>0</v>
      </c>
    </row>
    <row r="157" spans="2:18" x14ac:dyDescent="0.25">
      <c r="B157" s="40" t="s">
        <v>2966</v>
      </c>
      <c r="C157" s="41">
        <v>1</v>
      </c>
      <c r="D157" s="42">
        <v>6</v>
      </c>
      <c r="E157" s="43">
        <v>11541</v>
      </c>
      <c r="F157" s="44">
        <v>33710167309</v>
      </c>
      <c r="G157" s="45" t="str">
        <f>IFERROR(IF(compras_mes123[[#This Row],[CUIT]]="","-",VLOOKUP(compras_mes123[[#This Row],[CUIT]],Lista_CUIT[#All],2,0)),"CUIT NO CARGADO")</f>
        <v>MAT. ESCO SA</v>
      </c>
      <c r="H157" s="46">
        <v>8181.86</v>
      </c>
      <c r="I157" s="85">
        <f>IF(compras_mes123[[#This Row],[NETO GRAVADO]]="","",compras_mes123[[#This Row],[NETO GRAVADO]]*0.21)</f>
        <v>1718.1905999999999</v>
      </c>
      <c r="J157" s="85"/>
      <c r="K157" s="85"/>
      <c r="L157" s="85"/>
      <c r="M157" s="85"/>
      <c r="N157" s="85"/>
      <c r="O157" s="85"/>
      <c r="P157" s="48">
        <f>SUM(compras_mes123[[#This Row],[NETO GRAVADO]:[Otros / No Grav.]])</f>
        <v>9900.0505999999987</v>
      </c>
      <c r="Q157" s="49" t="str">
        <f>IFERROR(IF(compras_mes123[[#This Row],[CUIT]]="","-",VLOOKUP(compras_mes123[[#This Row],[CUIT]],Lista_CUIT[#All],3,0)),"CUIT NO CARGADO")</f>
        <v>Gastos Varios</v>
      </c>
      <c r="R157" s="49">
        <f>IFERROR(IF(compras_mes123[[#This Row],[CUIT]]="","-",VLOOKUP(compras_mes123[[#This Row],[CUIT]],Lista_CUIT[#All],4,0)),"CUIT NO CARGADO")</f>
        <v>0</v>
      </c>
    </row>
    <row r="158" spans="2:18" x14ac:dyDescent="0.25">
      <c r="B158" s="508" t="s">
        <v>2966</v>
      </c>
      <c r="C158" s="41">
        <v>1</v>
      </c>
      <c r="D158" s="509">
        <v>6</v>
      </c>
      <c r="E158" s="510">
        <v>11543</v>
      </c>
      <c r="F158" s="511">
        <v>33710167309</v>
      </c>
      <c r="G158" s="522" t="str">
        <f>IFERROR(IF(compras_mes123[[#This Row],[CUIT]]="","-",VLOOKUP(compras_mes123[[#This Row],[CUIT]],Lista_CUIT[#All],2,0)),"CUIT NO CARGADO")</f>
        <v>MAT. ESCO SA</v>
      </c>
      <c r="H158" s="516">
        <v>23140.48</v>
      </c>
      <c r="I158" s="85">
        <f>IF(compras_mes123[[#This Row],[NETO GRAVADO]]="","",compras_mes123[[#This Row],[NETO GRAVADO]]*0.21)</f>
        <v>4859.5007999999998</v>
      </c>
      <c r="J158" s="519"/>
      <c r="K158" s="519"/>
      <c r="L158" s="519"/>
      <c r="M158" s="519"/>
      <c r="N158" s="519"/>
      <c r="O158" s="519"/>
      <c r="P158" s="523">
        <f>SUM(compras_mes123[[#This Row],[NETO GRAVADO]:[Otros / No Grav.]])</f>
        <v>27999.980799999998</v>
      </c>
      <c r="Q158" s="524" t="str">
        <f>IFERROR(IF(compras_mes123[[#This Row],[CUIT]]="","-",VLOOKUP(compras_mes123[[#This Row],[CUIT]],Lista_CUIT[#All],3,0)),"CUIT NO CARGADO")</f>
        <v>Gastos Varios</v>
      </c>
      <c r="R158" s="524">
        <f>IFERROR(IF(compras_mes123[[#This Row],[CUIT]]="","-",VLOOKUP(compras_mes123[[#This Row],[CUIT]],Lista_CUIT[#All],4,0)),"CUIT NO CARGADO")</f>
        <v>0</v>
      </c>
    </row>
    <row r="159" spans="2:18" x14ac:dyDescent="0.25">
      <c r="B159" s="508" t="s">
        <v>2967</v>
      </c>
      <c r="C159" s="41">
        <v>1</v>
      </c>
      <c r="D159" s="509">
        <v>79</v>
      </c>
      <c r="E159" s="510">
        <v>333607</v>
      </c>
      <c r="F159" s="511">
        <v>30546741253</v>
      </c>
      <c r="G159" s="522" t="str">
        <f>IFERROR(IF(compras_mes123[[#This Row],[CUIT]]="","-",VLOOKUP(compras_mes123[[#This Row],[CUIT]],Lista_CUIT[#All],2,0)),"CUIT NO CARGADO")</f>
        <v>OSDE </v>
      </c>
      <c r="H159" s="516">
        <v>688531.23</v>
      </c>
      <c r="I159" s="85" t="s">
        <v>2411</v>
      </c>
      <c r="J159" s="519"/>
      <c r="K159" s="519">
        <f>compras_mes123[[#This Row],[NETO GRAVADO]]*0.105</f>
        <v>72295.779150000002</v>
      </c>
      <c r="L159" s="519"/>
      <c r="M159" s="519"/>
      <c r="N159" s="519"/>
      <c r="O159" s="519">
        <v>20655.939999999999</v>
      </c>
      <c r="P159" s="523">
        <f>SUM(compras_mes123[[#This Row],[NETO GRAVADO]:[Otros / No Grav.]])</f>
        <v>781482.94914999988</v>
      </c>
      <c r="Q159" s="524" t="str">
        <f>IFERROR(IF(compras_mes123[[#This Row],[CUIT]]="","-",VLOOKUP(compras_mes123[[#This Row],[CUIT]],Lista_CUIT[#All],3,0)),"CUIT NO CARGADO")</f>
        <v>Prepaga corporativa</v>
      </c>
      <c r="R159" s="524">
        <f>IFERROR(IF(compras_mes123[[#This Row],[CUIT]]="","-",VLOOKUP(compras_mes123[[#This Row],[CUIT]],Lista_CUIT[#All],4,0)),"CUIT NO CARGADO")</f>
        <v>0</v>
      </c>
    </row>
    <row r="160" spans="2:18" x14ac:dyDescent="0.25">
      <c r="B160" s="40" t="s">
        <v>2967</v>
      </c>
      <c r="C160" s="41">
        <v>1</v>
      </c>
      <c r="D160" s="42">
        <v>2188</v>
      </c>
      <c r="E160" s="43">
        <v>163124</v>
      </c>
      <c r="F160" s="44">
        <v>30548083156</v>
      </c>
      <c r="G160" s="45" t="str">
        <f>IFERROR(IF(compras_mes123[[#This Row],[CUIT]]="","-",VLOOKUP(compras_mes123[[#This Row],[CUIT]],Lista_CUIT[#All],2,0)),"CUIT NO CARGADO")</f>
        <v>COTO CENTRO INTEGRAL DE COMERCIALIZACION SOCIEDAD ANONIMA</v>
      </c>
      <c r="H160" s="46">
        <v>18617.400000000001</v>
      </c>
      <c r="I160" s="85">
        <v>2921.92</v>
      </c>
      <c r="J160" s="85"/>
      <c r="K160" s="85">
        <v>493.87</v>
      </c>
      <c r="L160" s="85"/>
      <c r="M160" s="85"/>
      <c r="N160" s="85"/>
      <c r="O160" s="85">
        <v>911.53</v>
      </c>
      <c r="P160" s="48">
        <f>SUM(compras_mes123[[#This Row],[NETO GRAVADO]:[Otros / No Grav.]])</f>
        <v>22944.719999999998</v>
      </c>
      <c r="Q160" s="49" t="str">
        <f>IFERROR(IF(compras_mes123[[#This Row],[CUIT]]="","-",VLOOKUP(compras_mes123[[#This Row],[CUIT]],Lista_CUIT[#All],3,0)),"CUIT NO CARGADO")</f>
        <v>Gastos Varios</v>
      </c>
      <c r="R160" s="49">
        <f>IFERROR(IF(compras_mes123[[#This Row],[CUIT]]="","-",VLOOKUP(compras_mes123[[#This Row],[CUIT]],Lista_CUIT[#All],4,0)),"CUIT NO CARGADO")</f>
        <v>0</v>
      </c>
    </row>
    <row r="161" spans="2:18" x14ac:dyDescent="0.25">
      <c r="B161" s="40" t="s">
        <v>2967</v>
      </c>
      <c r="C161" s="41">
        <v>1</v>
      </c>
      <c r="D161" s="42">
        <v>7</v>
      </c>
      <c r="E161" s="43">
        <v>4174</v>
      </c>
      <c r="F161" s="44">
        <v>27319349672</v>
      </c>
      <c r="G161" s="45" t="str">
        <f>IFERROR(IF(compras_mes123[[#This Row],[CUIT]]="","-",VLOOKUP(compras_mes123[[#This Row],[CUIT]],Lista_CUIT[#All],2,0)),"CUIT NO CARGADO")</f>
        <v>ANDREONE ANDREA FABIANA</v>
      </c>
      <c r="H161" s="46">
        <v>2164.48</v>
      </c>
      <c r="I161" s="85">
        <f>IF(compras_mes123[[#This Row],[NETO GRAVADO]]="","",compras_mes123[[#This Row],[NETO GRAVADO]]*0.21)</f>
        <v>454.54079999999999</v>
      </c>
      <c r="J161" s="85"/>
      <c r="K161" s="85"/>
      <c r="L161" s="85"/>
      <c r="M161" s="85"/>
      <c r="N161" s="85"/>
      <c r="O161" s="85"/>
      <c r="P161" s="48">
        <f>SUM(compras_mes123[[#This Row],[NETO GRAVADO]:[Otros / No Grav.]])</f>
        <v>2619.0208000000002</v>
      </c>
      <c r="Q161" s="49" t="str">
        <f>IFERROR(IF(compras_mes123[[#This Row],[CUIT]]="","-",VLOOKUP(compras_mes123[[#This Row],[CUIT]],Lista_CUIT[#All],3,0)),"CUIT NO CARGADO")</f>
        <v>Gastos Varios</v>
      </c>
      <c r="R161" s="49">
        <f>IFERROR(IF(compras_mes123[[#This Row],[CUIT]]="","-",VLOOKUP(compras_mes123[[#This Row],[CUIT]],Lista_CUIT[#All],4,0)),"CUIT NO CARGADO")</f>
        <v>0</v>
      </c>
    </row>
    <row r="162" spans="2:18" x14ac:dyDescent="0.25">
      <c r="B162" s="40" t="s">
        <v>2967</v>
      </c>
      <c r="C162" s="41">
        <v>1</v>
      </c>
      <c r="D162" s="42">
        <v>2</v>
      </c>
      <c r="E162" s="43">
        <v>17</v>
      </c>
      <c r="F162" s="44">
        <v>23958112564</v>
      </c>
      <c r="G162" s="45" t="str">
        <f>IFERROR(IF(compras_mes123[[#This Row],[CUIT]]="","-",VLOOKUP(compras_mes123[[#This Row],[CUIT]],Lista_CUIT[#All],2,0)),"CUIT NO CARGADO")</f>
        <v>DELGADO BURGUILLOS ROSMAR JOSE</v>
      </c>
      <c r="H162" s="46">
        <v>697253</v>
      </c>
      <c r="I162" s="85">
        <f>IF(compras_mes123[[#This Row],[NETO GRAVADO]]="","",compras_mes123[[#This Row],[NETO GRAVADO]]*0.21)</f>
        <v>146423.13</v>
      </c>
      <c r="J162" s="85"/>
      <c r="K162" s="85"/>
      <c r="L162" s="85"/>
      <c r="M162" s="85"/>
      <c r="N162" s="85"/>
      <c r="O162" s="85"/>
      <c r="P162" s="48">
        <f>SUM(compras_mes123[[#This Row],[NETO GRAVADO]:[Otros / No Grav.]])</f>
        <v>843676.13</v>
      </c>
      <c r="Q162" s="49" t="str">
        <f>IFERROR(IF(compras_mes123[[#This Row],[CUIT]]="","-",VLOOKUP(compras_mes123[[#This Row],[CUIT]],Lista_CUIT[#All],3,0)),"CUIT NO CARGADO")</f>
        <v>Insumos</v>
      </c>
      <c r="R162" s="49">
        <f>IFERROR(IF(compras_mes123[[#This Row],[CUIT]]="","-",VLOOKUP(compras_mes123[[#This Row],[CUIT]],Lista_CUIT[#All],4,0)),"CUIT NO CARGADO")</f>
        <v>0</v>
      </c>
    </row>
    <row r="163" spans="2:18" x14ac:dyDescent="0.25">
      <c r="B163" s="40" t="s">
        <v>2967</v>
      </c>
      <c r="C163" s="41">
        <v>1</v>
      </c>
      <c r="D163" s="42">
        <v>3</v>
      </c>
      <c r="E163" s="43">
        <v>11078</v>
      </c>
      <c r="F163" s="44">
        <v>27412102431</v>
      </c>
      <c r="G163" s="45" t="str">
        <f>IFERROR(IF(compras_mes123[[#This Row],[CUIT]]="","-",VLOOKUP(compras_mes123[[#This Row],[CUIT]],Lista_CUIT[#All],2,0)),"CUIT NO CARGADO")</f>
        <v>ALVEZ ARIANA SOL</v>
      </c>
      <c r="H163" s="46">
        <v>51239.67</v>
      </c>
      <c r="I163" s="85">
        <f>IF(compras_mes123[[#This Row],[NETO GRAVADO]]="","",compras_mes123[[#This Row],[NETO GRAVADO]]*0.21)</f>
        <v>10760.330699999999</v>
      </c>
      <c r="J163" s="85"/>
      <c r="K163" s="85"/>
      <c r="L163" s="85"/>
      <c r="M163" s="85"/>
      <c r="N163" s="85"/>
      <c r="O163" s="85"/>
      <c r="P163" s="48">
        <f>SUM(compras_mes123[[#This Row],[NETO GRAVADO]:[Otros / No Grav.]])</f>
        <v>62000.000699999997</v>
      </c>
      <c r="Q163" s="49" t="str">
        <f>IFERROR(IF(compras_mes123[[#This Row],[CUIT]]="","-",VLOOKUP(compras_mes123[[#This Row],[CUIT]],Lista_CUIT[#All],3,0)),"CUIT NO CARGADO")</f>
        <v>Software Mantenimiento</v>
      </c>
      <c r="R163" s="49">
        <f>IFERROR(IF(compras_mes123[[#This Row],[CUIT]]="","-",VLOOKUP(compras_mes123[[#This Row],[CUIT]],Lista_CUIT[#All],4,0)),"CUIT NO CARGADO")</f>
        <v>0</v>
      </c>
    </row>
    <row r="164" spans="2:18" x14ac:dyDescent="0.25">
      <c r="B164" s="40" t="s">
        <v>2967</v>
      </c>
      <c r="C164" s="41">
        <v>1</v>
      </c>
      <c r="D164" s="42">
        <v>1</v>
      </c>
      <c r="E164" s="43">
        <v>362</v>
      </c>
      <c r="F164" s="44">
        <v>20077604627</v>
      </c>
      <c r="G164" s="45" t="str">
        <f>IFERROR(IF(compras_mes123[[#This Row],[CUIT]]="","-",VLOOKUP(compras_mes123[[#This Row],[CUIT]],Lista_CUIT[#All],2,0)),"CUIT NO CARGADO")</f>
        <v>OCAÑO ENRIQUE</v>
      </c>
      <c r="H164" s="46">
        <v>714840</v>
      </c>
      <c r="I164" s="85">
        <f>IF(compras_mes123[[#This Row],[NETO GRAVADO]]="","",compras_mes123[[#This Row],[NETO GRAVADO]]*0.21)</f>
        <v>150116.4</v>
      </c>
      <c r="J164" s="85"/>
      <c r="K164" s="85"/>
      <c r="L164" s="85"/>
      <c r="M164" s="85"/>
      <c r="N164" s="85"/>
      <c r="O164" s="85"/>
      <c r="P164" s="48">
        <f>SUM(compras_mes123[[#This Row],[NETO GRAVADO]:[Otros / No Grav.]])</f>
        <v>864956.4</v>
      </c>
      <c r="Q164" s="49" t="str">
        <f>IFERROR(IF(compras_mes123[[#This Row],[CUIT]]="","-",VLOOKUP(compras_mes123[[#This Row],[CUIT]],Lista_CUIT[#All],3,0)),"CUIT NO CARGADO")</f>
        <v>Material de Empaque</v>
      </c>
      <c r="R164" s="49">
        <f>IFERROR(IF(compras_mes123[[#This Row],[CUIT]]="","-",VLOOKUP(compras_mes123[[#This Row],[CUIT]],Lista_CUIT[#All],4,0)),"CUIT NO CARGADO")</f>
        <v>0</v>
      </c>
    </row>
    <row r="165" spans="2:18" x14ac:dyDescent="0.25">
      <c r="B165" s="40" t="s">
        <v>2967</v>
      </c>
      <c r="C165" s="41">
        <v>1</v>
      </c>
      <c r="D165" s="42">
        <v>2</v>
      </c>
      <c r="E165" s="43">
        <v>4204</v>
      </c>
      <c r="F165" s="44">
        <v>30629863571</v>
      </c>
      <c r="G165" s="45" t="str">
        <f>IFERROR(IF(compras_mes123[[#This Row],[CUIT]]="","-",VLOOKUP(compras_mes123[[#This Row],[CUIT]],Lista_CUIT[#All],2,0)),"CUIT NO CARGADO")</f>
        <v>TECNIMAR S R L</v>
      </c>
      <c r="H165" s="46">
        <v>4081979</v>
      </c>
      <c r="I165" s="85">
        <f>IF(compras_mes123[[#This Row],[NETO GRAVADO]]="","",compras_mes123[[#This Row],[NETO GRAVADO]]*0.21)</f>
        <v>857215.59</v>
      </c>
      <c r="J165" s="85"/>
      <c r="K165" s="85"/>
      <c r="L165" s="85"/>
      <c r="M165" s="85"/>
      <c r="N165" s="85"/>
      <c r="O165" s="85"/>
      <c r="P165" s="48">
        <f>SUM(compras_mes123[[#This Row],[NETO GRAVADO]:[Otros / No Grav.]])</f>
        <v>4939194.59</v>
      </c>
      <c r="Q165" s="49" t="str">
        <f>IFERROR(IF(compras_mes123[[#This Row],[CUIT]]="","-",VLOOKUP(compras_mes123[[#This Row],[CUIT]],Lista_CUIT[#All],3,0)),"CUIT NO CARGADO")</f>
        <v>Productos Venta</v>
      </c>
      <c r="R165" s="49">
        <f>IFERROR(IF(compras_mes123[[#This Row],[CUIT]]="","-",VLOOKUP(compras_mes123[[#This Row],[CUIT]],Lista_CUIT[#All],4,0)),"CUIT NO CARGADO")</f>
        <v>0</v>
      </c>
    </row>
    <row r="166" spans="2:18" x14ac:dyDescent="0.25">
      <c r="B166" s="40" t="s">
        <v>2968</v>
      </c>
      <c r="C166" s="41">
        <v>1</v>
      </c>
      <c r="D166" s="42">
        <v>12</v>
      </c>
      <c r="E166" s="43">
        <v>10353</v>
      </c>
      <c r="F166" s="44">
        <v>30707528008</v>
      </c>
      <c r="G166" s="45" t="str">
        <f>IFERROR(IF(compras_mes123[[#This Row],[CUIT]]="","-",VLOOKUP(compras_mes123[[#This Row],[CUIT]],Lista_CUIT[#All],2,0)),"CUIT NO CARGADO")</f>
        <v>PINTURERIA NORTE S R L</v>
      </c>
      <c r="H166" s="46">
        <v>5839.21</v>
      </c>
      <c r="I166" s="85">
        <f>IF(compras_mes123[[#This Row],[NETO GRAVADO]]="","",compras_mes123[[#This Row],[NETO GRAVADO]]*0.21)</f>
        <v>1226.2340999999999</v>
      </c>
      <c r="J166" s="85"/>
      <c r="K166" s="85"/>
      <c r="L166" s="85"/>
      <c r="M166" s="85"/>
      <c r="N166" s="85"/>
      <c r="O166" s="85"/>
      <c r="P166" s="48">
        <f>SUM(compras_mes123[[#This Row],[NETO GRAVADO]:[Otros / No Grav.]])</f>
        <v>7065.4440999999997</v>
      </c>
      <c r="Q166" s="49" t="str">
        <f>IFERROR(IF(compras_mes123[[#This Row],[CUIT]]="","-",VLOOKUP(compras_mes123[[#This Row],[CUIT]],Lista_CUIT[#All],3,0)),"CUIT NO CARGADO")</f>
        <v>Mantenimiento Locales</v>
      </c>
      <c r="R166" s="49">
        <f>IFERROR(IF(compras_mes123[[#This Row],[CUIT]]="","-",VLOOKUP(compras_mes123[[#This Row],[CUIT]],Lista_CUIT[#All],4,0)),"CUIT NO CARGADO")</f>
        <v>0</v>
      </c>
    </row>
    <row r="167" spans="2:18" x14ac:dyDescent="0.25">
      <c r="B167" s="40" t="s">
        <v>2968</v>
      </c>
      <c r="C167" s="41">
        <v>1</v>
      </c>
      <c r="D167" s="42">
        <v>4</v>
      </c>
      <c r="E167" s="43">
        <v>1005</v>
      </c>
      <c r="F167" s="44">
        <v>33716304669</v>
      </c>
      <c r="G167" s="45" t="str">
        <f>IFERROR(IF(compras_mes123[[#This Row],[CUIT]]="","-",VLOOKUP(compras_mes123[[#This Row],[CUIT]],Lista_CUIT[#All],2,0)),"CUIT NO CARGADO")</f>
        <v>HEYCO LATAM S.A.</v>
      </c>
      <c r="H167" s="46">
        <v>205785.12</v>
      </c>
      <c r="I167" s="85">
        <f>IF(compras_mes123[[#This Row],[NETO GRAVADO]]="","",compras_mes123[[#This Row],[NETO GRAVADO]]*0.21)</f>
        <v>43214.875199999995</v>
      </c>
      <c r="J167" s="85"/>
      <c r="K167" s="85"/>
      <c r="L167" s="85"/>
      <c r="M167" s="85"/>
      <c r="N167" s="85"/>
      <c r="O167" s="85"/>
      <c r="P167" s="48">
        <f>SUM(compras_mes123[[#This Row],[NETO GRAVADO]:[Otros / No Grav.]])</f>
        <v>248999.9952</v>
      </c>
      <c r="Q167" s="49" t="str">
        <f>IFERROR(IF(compras_mes123[[#This Row],[CUIT]]="","-",VLOOKUP(compras_mes123[[#This Row],[CUIT]],Lista_CUIT[#All],3,0)),"CUIT NO CARGADO")</f>
        <v>LIBRERÍA</v>
      </c>
      <c r="R167" s="49">
        <f>IFERROR(IF(compras_mes123[[#This Row],[CUIT]]="","-",VLOOKUP(compras_mes123[[#This Row],[CUIT]],Lista_CUIT[#All],4,0)),"CUIT NO CARGADO")</f>
        <v>0</v>
      </c>
    </row>
    <row r="168" spans="2:18" x14ac:dyDescent="0.25">
      <c r="B168" s="40" t="s">
        <v>2968</v>
      </c>
      <c r="C168" s="41">
        <v>1</v>
      </c>
      <c r="D168" s="42">
        <v>7296</v>
      </c>
      <c r="E168" s="43">
        <v>44326</v>
      </c>
      <c r="F168" s="44">
        <v>30678774495</v>
      </c>
      <c r="G168" s="45" t="str">
        <f>IFERROR(IF(compras_mes123[[#This Row],[CUIT]]="","-",VLOOKUP(compras_mes123[[#This Row],[CUIT]],Lista_CUIT[#All],2,0)),"CUIT NO CARGADO")</f>
        <v>OPER. DE EST. DE SERV. SA</v>
      </c>
      <c r="H168" s="46">
        <v>40080.26</v>
      </c>
      <c r="I168" s="85">
        <f>IF(compras_mes123[[#This Row],[NETO GRAVADO]]="","",compras_mes123[[#This Row],[NETO GRAVADO]]*0.21)</f>
        <v>8416.8546000000006</v>
      </c>
      <c r="J168" s="85"/>
      <c r="K168" s="85"/>
      <c r="L168" s="85"/>
      <c r="M168" s="85"/>
      <c r="N168" s="85"/>
      <c r="O168" s="85">
        <v>9509.92</v>
      </c>
      <c r="P168" s="48">
        <f>SUM(compras_mes123[[#This Row],[NETO GRAVADO]:[Otros / No Grav.]])</f>
        <v>58007.034599999999</v>
      </c>
      <c r="Q168" s="49" t="str">
        <f>IFERROR(IF(compras_mes123[[#This Row],[CUIT]]="","-",VLOOKUP(compras_mes123[[#This Row],[CUIT]],Lista_CUIT[#All],3,0)),"CUIT NO CARGADO")</f>
        <v>Combustible</v>
      </c>
      <c r="R168" s="49">
        <f>IFERROR(IF(compras_mes123[[#This Row],[CUIT]]="","-",VLOOKUP(compras_mes123[[#This Row],[CUIT]],Lista_CUIT[#All],4,0)),"CUIT NO CARGADO")</f>
        <v>0</v>
      </c>
    </row>
    <row r="169" spans="2:18" x14ac:dyDescent="0.25">
      <c r="B169" s="40" t="s">
        <v>2968</v>
      </c>
      <c r="C169" s="41">
        <v>1</v>
      </c>
      <c r="D169" s="42">
        <v>32</v>
      </c>
      <c r="E169" s="43">
        <v>645</v>
      </c>
      <c r="F169" s="44">
        <v>30718627318</v>
      </c>
      <c r="G169" s="45" t="str">
        <f>IFERROR(IF(compras_mes123[[#This Row],[CUIT]]="","-",VLOOKUP(compras_mes123[[#This Row],[CUIT]],Lista_CUIT[#All],2,0)),"CUIT NO CARGADO")</f>
        <v>EMUBI S.R.L</v>
      </c>
      <c r="H169" s="46">
        <v>54252.89</v>
      </c>
      <c r="I169" s="85">
        <f>IF(compras_mes123[[#This Row],[NETO GRAVADO]]="","",compras_mes123[[#This Row],[NETO GRAVADO]]*0.21)</f>
        <v>11393.106899999999</v>
      </c>
      <c r="J169" s="85"/>
      <c r="K169" s="85"/>
      <c r="L169" s="85"/>
      <c r="M169" s="85"/>
      <c r="N169" s="85"/>
      <c r="O169" s="85"/>
      <c r="P169" s="48">
        <f>SUM(compras_mes123[[#This Row],[NETO GRAVADO]:[Otros / No Grav.]])</f>
        <v>65645.996899999998</v>
      </c>
      <c r="Q169" s="49" t="str">
        <f>IFERROR(IF(compras_mes123[[#This Row],[CUIT]]="","-",VLOOKUP(compras_mes123[[#This Row],[CUIT]],Lista_CUIT[#All],3,0)),"CUIT NO CARGADO")</f>
        <v>Papeleria</v>
      </c>
      <c r="R169" s="49">
        <f>IFERROR(IF(compras_mes123[[#This Row],[CUIT]]="","-",VLOOKUP(compras_mes123[[#This Row],[CUIT]],Lista_CUIT[#All],4,0)),"CUIT NO CARGADO")</f>
        <v>0</v>
      </c>
    </row>
    <row r="170" spans="2:18" x14ac:dyDescent="0.25">
      <c r="B170" s="40" t="s">
        <v>2968</v>
      </c>
      <c r="C170" s="41">
        <v>1</v>
      </c>
      <c r="D170" s="42">
        <v>32</v>
      </c>
      <c r="E170" s="43">
        <v>646</v>
      </c>
      <c r="F170" s="44">
        <v>30718627318</v>
      </c>
      <c r="G170" s="45" t="str">
        <f>IFERROR(IF(compras_mes123[[#This Row],[CUIT]]="","-",VLOOKUP(compras_mes123[[#This Row],[CUIT]],Lista_CUIT[#All],2,0)),"CUIT NO CARGADO")</f>
        <v>EMUBI S.R.L</v>
      </c>
      <c r="H170" s="46">
        <v>54252.89</v>
      </c>
      <c r="I170" s="85">
        <f>IF(compras_mes123[[#This Row],[NETO GRAVADO]]="","",compras_mes123[[#This Row],[NETO GRAVADO]]*0.21)</f>
        <v>11393.106899999999</v>
      </c>
      <c r="J170" s="85"/>
      <c r="K170" s="85"/>
      <c r="L170" s="85"/>
      <c r="M170" s="85"/>
      <c r="N170" s="85"/>
      <c r="O170" s="85"/>
      <c r="P170" s="48">
        <f>SUM(compras_mes123[[#This Row],[NETO GRAVADO]:[Otros / No Grav.]])</f>
        <v>65645.996899999998</v>
      </c>
      <c r="Q170" s="49" t="str">
        <f>IFERROR(IF(compras_mes123[[#This Row],[CUIT]]="","-",VLOOKUP(compras_mes123[[#This Row],[CUIT]],Lista_CUIT[#All],3,0)),"CUIT NO CARGADO")</f>
        <v>Papeleria</v>
      </c>
      <c r="R170" s="49">
        <f>IFERROR(IF(compras_mes123[[#This Row],[CUIT]]="","-",VLOOKUP(compras_mes123[[#This Row],[CUIT]],Lista_CUIT[#All],4,0)),"CUIT NO CARGADO")</f>
        <v>0</v>
      </c>
    </row>
    <row r="171" spans="2:18" x14ac:dyDescent="0.25">
      <c r="B171" s="40" t="s">
        <v>2968</v>
      </c>
      <c r="C171" s="41">
        <v>1</v>
      </c>
      <c r="D171" s="42">
        <v>32</v>
      </c>
      <c r="E171" s="43">
        <v>647</v>
      </c>
      <c r="F171" s="44">
        <v>30718627318</v>
      </c>
      <c r="G171" s="45" t="str">
        <f>IFERROR(IF(compras_mes123[[#This Row],[CUIT]]="","-",VLOOKUP(compras_mes123[[#This Row],[CUIT]],Lista_CUIT[#All],2,0)),"CUIT NO CARGADO")</f>
        <v>EMUBI S.R.L</v>
      </c>
      <c r="H171" s="46">
        <v>54252.89</v>
      </c>
      <c r="I171" s="85">
        <f>IF(compras_mes123[[#This Row],[NETO GRAVADO]]="","",compras_mes123[[#This Row],[NETO GRAVADO]]*0.21)</f>
        <v>11393.106899999999</v>
      </c>
      <c r="J171" s="85"/>
      <c r="K171" s="85"/>
      <c r="L171" s="85"/>
      <c r="M171" s="85"/>
      <c r="N171" s="85"/>
      <c r="O171" s="85"/>
      <c r="P171" s="48">
        <f>SUM(compras_mes123[[#This Row],[NETO GRAVADO]:[Otros / No Grav.]])</f>
        <v>65645.996899999998</v>
      </c>
      <c r="Q171" s="49" t="str">
        <f>IFERROR(IF(compras_mes123[[#This Row],[CUIT]]="","-",VLOOKUP(compras_mes123[[#This Row],[CUIT]],Lista_CUIT[#All],3,0)),"CUIT NO CARGADO")</f>
        <v>Papeleria</v>
      </c>
      <c r="R171" s="49">
        <f>IFERROR(IF(compras_mes123[[#This Row],[CUIT]]="","-",VLOOKUP(compras_mes123[[#This Row],[CUIT]],Lista_CUIT[#All],4,0)),"CUIT NO CARGADO")</f>
        <v>0</v>
      </c>
    </row>
    <row r="172" spans="2:18" x14ac:dyDescent="0.25">
      <c r="B172" s="40" t="s">
        <v>2968</v>
      </c>
      <c r="C172" s="41">
        <v>1</v>
      </c>
      <c r="D172" s="42">
        <v>30</v>
      </c>
      <c r="E172" s="43">
        <v>211294</v>
      </c>
      <c r="F172" s="44">
        <v>30695056342</v>
      </c>
      <c r="G172" s="45" t="str">
        <f>IFERROR(IF(compras_mes123[[#This Row],[CUIT]]="","-",VLOOKUP(compras_mes123[[#This Row],[CUIT]],Lista_CUIT[#All],2,0)),"CUIT NO CARGADO")</f>
        <v>AVENIDA MAIPU 4199 S C S</v>
      </c>
      <c r="H172" s="46">
        <v>75701.649999999994</v>
      </c>
      <c r="I172" s="85">
        <f>IF(compras_mes123[[#This Row],[NETO GRAVADO]]="","",compras_mes123[[#This Row],[NETO GRAVADO]]*0.21)</f>
        <v>15897.346499999998</v>
      </c>
      <c r="J172" s="85"/>
      <c r="K172" s="85"/>
      <c r="L172" s="85"/>
      <c r="M172" s="85"/>
      <c r="N172" s="85"/>
      <c r="O172" s="85"/>
      <c r="P172" s="48">
        <f>SUM(compras_mes123[[#This Row],[NETO GRAVADO]:[Otros / No Grav.]])</f>
        <v>91598.996499999994</v>
      </c>
      <c r="Q172" s="49" t="str">
        <f>IFERROR(IF(compras_mes123[[#This Row],[CUIT]]="","-",VLOOKUP(compras_mes123[[#This Row],[CUIT]],Lista_CUIT[#All],3,0)),"CUIT NO CARGADO")</f>
        <v>Gastos Cosmetica</v>
      </c>
      <c r="R172" s="49">
        <f>IFERROR(IF(compras_mes123[[#This Row],[CUIT]]="","-",VLOOKUP(compras_mes123[[#This Row],[CUIT]],Lista_CUIT[#All],4,0)),"CUIT NO CARGADO")</f>
        <v>0</v>
      </c>
    </row>
    <row r="173" spans="2:18" x14ac:dyDescent="0.25">
      <c r="B173" s="40" t="s">
        <v>2968</v>
      </c>
      <c r="C173" s="41">
        <v>1</v>
      </c>
      <c r="D173" s="42">
        <v>2</v>
      </c>
      <c r="E173" s="43">
        <v>1253</v>
      </c>
      <c r="F173" s="44">
        <v>30718095421</v>
      </c>
      <c r="G173" s="45" t="str">
        <f>IFERROR(IF(compras_mes123[[#This Row],[CUIT]]="","-",VLOOKUP(compras_mes123[[#This Row],[CUIT]],Lista_CUIT[#All],2,0)),"CUIT NO CARGADO")</f>
        <v>EPA ENVASES S.R.L.</v>
      </c>
      <c r="H173" s="46">
        <v>523603.3</v>
      </c>
      <c r="I173" s="85">
        <f>IF(compras_mes123[[#This Row],[NETO GRAVADO]]="","",compras_mes123[[#This Row],[NETO GRAVADO]]*0.21)</f>
        <v>109956.693</v>
      </c>
      <c r="J173" s="85"/>
      <c r="K173" s="85"/>
      <c r="L173" s="85"/>
      <c r="M173" s="85"/>
      <c r="N173" s="85"/>
      <c r="O173" s="85"/>
      <c r="P173" s="48">
        <f>SUM(compras_mes123[[#This Row],[NETO GRAVADO]:[Otros / No Grav.]])</f>
        <v>633559.99300000002</v>
      </c>
      <c r="Q173" s="49" t="str">
        <f>IFERROR(IF(compras_mes123[[#This Row],[CUIT]]="","-",VLOOKUP(compras_mes123[[#This Row],[CUIT]],Lista_CUIT[#All],3,0)),"CUIT NO CARGADO")</f>
        <v>Envases</v>
      </c>
      <c r="R173" s="49">
        <f>IFERROR(IF(compras_mes123[[#This Row],[CUIT]]="","-",VLOOKUP(compras_mes123[[#This Row],[CUIT]],Lista_CUIT[#All],4,0)),"CUIT NO CARGADO")</f>
        <v>0</v>
      </c>
    </row>
    <row r="174" spans="2:18" x14ac:dyDescent="0.25">
      <c r="B174" s="40" t="s">
        <v>2968</v>
      </c>
      <c r="C174" s="41">
        <v>1</v>
      </c>
      <c r="D174" s="42">
        <v>1</v>
      </c>
      <c r="E174" s="43">
        <v>1598</v>
      </c>
      <c r="F174" s="44">
        <v>30717640175</v>
      </c>
      <c r="G174" s="45" t="str">
        <f>IFERROR(IF(compras_mes123[[#This Row],[CUIT]]="","-",VLOOKUP(compras_mes123[[#This Row],[CUIT]],Lista_CUIT[#All],2,0)),"CUIT NO CARGADO")</f>
        <v>GRUPO DE REPUESTOS EL MELLIZO</v>
      </c>
      <c r="H174" s="46">
        <v>3884.3</v>
      </c>
      <c r="I174" s="85">
        <f>IF(compras_mes123[[#This Row],[NETO GRAVADO]]="","",compras_mes123[[#This Row],[NETO GRAVADO]]*0.21)</f>
        <v>815.70299999999997</v>
      </c>
      <c r="J174" s="85"/>
      <c r="K174" s="85"/>
      <c r="L174" s="85"/>
      <c r="M174" s="85"/>
      <c r="N174" s="85"/>
      <c r="O174" s="85"/>
      <c r="P174" s="48">
        <f>SUM(compras_mes123[[#This Row],[NETO GRAVADO]:[Otros / No Grav.]])</f>
        <v>4700.0030000000006</v>
      </c>
      <c r="Q174" s="49" t="str">
        <f>IFERROR(IF(compras_mes123[[#This Row],[CUIT]]="","-",VLOOKUP(compras_mes123[[#This Row],[CUIT]],Lista_CUIT[#All],3,0)),"CUIT NO CARGADO")</f>
        <v>Gastos Varios</v>
      </c>
      <c r="R174" s="49">
        <f>IFERROR(IF(compras_mes123[[#This Row],[CUIT]]="","-",VLOOKUP(compras_mes123[[#This Row],[CUIT]],Lista_CUIT[#All],4,0)),"CUIT NO CARGADO")</f>
        <v>0</v>
      </c>
    </row>
    <row r="175" spans="2:18" x14ac:dyDescent="0.25">
      <c r="B175" s="40" t="s">
        <v>2968</v>
      </c>
      <c r="C175" s="41">
        <v>1</v>
      </c>
      <c r="D175" s="42">
        <v>4</v>
      </c>
      <c r="E175" s="43">
        <v>31764</v>
      </c>
      <c r="F175" s="44">
        <v>30552433595</v>
      </c>
      <c r="G175" s="45" t="str">
        <f>IFERROR(IF(compras_mes123[[#This Row],[CUIT]]="","-",VLOOKUP(compras_mes123[[#This Row],[CUIT]],Lista_CUIT[#All],2,0)),"CUIT NO CARGADO")</f>
        <v>PIROPLAST SRL</v>
      </c>
      <c r="H175" s="46">
        <v>2474128.12</v>
      </c>
      <c r="I175" s="85">
        <f>IF(compras_mes123[[#This Row],[NETO GRAVADO]]="","",compras_mes123[[#This Row],[NETO GRAVADO]]*0.21)</f>
        <v>519566.90519999998</v>
      </c>
      <c r="J175" s="85"/>
      <c r="K175" s="85"/>
      <c r="L175" s="85"/>
      <c r="M175" s="85"/>
      <c r="N175" s="85"/>
      <c r="O175" s="85"/>
      <c r="P175" s="48">
        <f>SUM(compras_mes123[[#This Row],[NETO GRAVADO]:[Otros / No Grav.]])</f>
        <v>2993695.0252</v>
      </c>
      <c r="Q175" s="49" t="str">
        <f>IFERROR(IF(compras_mes123[[#This Row],[CUIT]]="","-",VLOOKUP(compras_mes123[[#This Row],[CUIT]],Lista_CUIT[#All],3,0)),"CUIT NO CARGADO")</f>
        <v>Material de Empaque</v>
      </c>
      <c r="R175" s="49">
        <f>IFERROR(IF(compras_mes123[[#This Row],[CUIT]]="","-",VLOOKUP(compras_mes123[[#This Row],[CUIT]],Lista_CUIT[#All],4,0)),"CUIT NO CARGADO")</f>
        <v>0</v>
      </c>
    </row>
    <row r="176" spans="2:18" x14ac:dyDescent="0.25">
      <c r="B176" s="40" t="s">
        <v>2948</v>
      </c>
      <c r="C176" s="41">
        <v>1</v>
      </c>
      <c r="D176" s="42">
        <v>2188</v>
      </c>
      <c r="E176" s="43">
        <v>163301</v>
      </c>
      <c r="F176" s="44">
        <v>30548083156</v>
      </c>
      <c r="G176" s="45" t="str">
        <f>IFERROR(IF(compras_mes123[[#This Row],[CUIT]]="","-",VLOOKUP(compras_mes123[[#This Row],[CUIT]],Lista_CUIT[#All],2,0)),"CUIT NO CARGADO")</f>
        <v>COTO CENTRO INTEGRAL DE COMERCIALIZACION SOCIEDAD ANONIMA</v>
      </c>
      <c r="H176" s="46">
        <v>66847.58</v>
      </c>
      <c r="I176" s="85">
        <v>11673.81</v>
      </c>
      <c r="J176" s="85"/>
      <c r="K176" s="85">
        <v>1182.0899999999999</v>
      </c>
      <c r="L176" s="85"/>
      <c r="M176" s="85"/>
      <c r="N176" s="85"/>
      <c r="O176" s="85">
        <v>3523.94</v>
      </c>
      <c r="P176" s="48">
        <f>SUM(compras_mes123[[#This Row],[NETO GRAVADO]:[Otros / No Grav.]])</f>
        <v>83227.42</v>
      </c>
      <c r="Q176" s="49" t="str">
        <f>IFERROR(IF(compras_mes123[[#This Row],[CUIT]]="","-",VLOOKUP(compras_mes123[[#This Row],[CUIT]],Lista_CUIT[#All],3,0)),"CUIT NO CARGADO")</f>
        <v>Gastos Varios</v>
      </c>
      <c r="R176" s="49">
        <f>IFERROR(IF(compras_mes123[[#This Row],[CUIT]]="","-",VLOOKUP(compras_mes123[[#This Row],[CUIT]],Lista_CUIT[#All],4,0)),"CUIT NO CARGADO")</f>
        <v>0</v>
      </c>
    </row>
    <row r="177" spans="2:18" x14ac:dyDescent="0.25">
      <c r="B177" s="40" t="s">
        <v>2948</v>
      </c>
      <c r="C177" s="41">
        <v>1</v>
      </c>
      <c r="D177" s="42">
        <v>3034</v>
      </c>
      <c r="E177" s="43">
        <v>9799201</v>
      </c>
      <c r="F177" s="44">
        <v>30708574836</v>
      </c>
      <c r="G177" s="45" t="str">
        <f>IFERROR(IF(compras_mes123[[#This Row],[CUIT]]="","-",VLOOKUP(compras_mes123[[#This Row],[CUIT]],Lista_CUIT[#All],2,0)),"CUIT NO CARGADO")</f>
        <v>CORREO OFICIAL DE LA REPUBLICA ARGENTINA SOCIEDAD ANONIMA</v>
      </c>
      <c r="H177" s="46">
        <v>6310.74</v>
      </c>
      <c r="I177" s="85">
        <f>IF(compras_mes123[[#This Row],[NETO GRAVADO]]="","",compras_mes123[[#This Row],[NETO GRAVADO]]*0.21)</f>
        <v>1325.2554</v>
      </c>
      <c r="J177" s="85"/>
      <c r="K177" s="85"/>
      <c r="L177" s="85"/>
      <c r="M177" s="85"/>
      <c r="N177" s="85"/>
      <c r="O177" s="85"/>
      <c r="P177" s="48">
        <f>SUM(compras_mes123[[#This Row],[NETO GRAVADO]:[Otros / No Grav.]])</f>
        <v>7635.9953999999998</v>
      </c>
      <c r="Q177" s="49" t="str">
        <f>IFERROR(IF(compras_mes123[[#This Row],[CUIT]]="","-",VLOOKUP(compras_mes123[[#This Row],[CUIT]],Lista_CUIT[#All],3,0)),"CUIT NO CARGADO")</f>
        <v>MESAJERIA</v>
      </c>
      <c r="R177" s="49">
        <f>IFERROR(IF(compras_mes123[[#This Row],[CUIT]]="","-",VLOOKUP(compras_mes123[[#This Row],[CUIT]],Lista_CUIT[#All],4,0)),"CUIT NO CARGADO")</f>
        <v>0</v>
      </c>
    </row>
    <row r="178" spans="2:18" x14ac:dyDescent="0.25">
      <c r="B178" s="40" t="s">
        <v>2948</v>
      </c>
      <c r="C178" s="41">
        <v>1</v>
      </c>
      <c r="D178" s="42">
        <v>3</v>
      </c>
      <c r="E178" s="43">
        <v>31216</v>
      </c>
      <c r="F178" s="44">
        <v>20292504455</v>
      </c>
      <c r="G178" s="45" t="str">
        <f>IFERROR(IF(compras_mes123[[#This Row],[CUIT]]="","-",VLOOKUP(compras_mes123[[#This Row],[CUIT]],Lista_CUIT[#All],2,0)),"CUIT NO CARGADO")</f>
        <v>GARCIA FERNANDO DAVID</v>
      </c>
      <c r="H178" s="46">
        <v>62479.34</v>
      </c>
      <c r="I178" s="85">
        <f>IF(compras_mes123[[#This Row],[NETO GRAVADO]]="","",compras_mes123[[#This Row],[NETO GRAVADO]]*0.21)</f>
        <v>13120.661399999999</v>
      </c>
      <c r="J178" s="85"/>
      <c r="K178" s="85"/>
      <c r="L178" s="85"/>
      <c r="M178" s="85"/>
      <c r="N178" s="85"/>
      <c r="O178" s="85"/>
      <c r="P178" s="48">
        <f>SUM(compras_mes123[[#This Row],[NETO GRAVADO]:[Otros / No Grav.]])</f>
        <v>75600.001399999994</v>
      </c>
      <c r="Q178" s="49" t="str">
        <f>IFERROR(IF(compras_mes123[[#This Row],[CUIT]]="","-",VLOOKUP(compras_mes123[[#This Row],[CUIT]],Lista_CUIT[#All],3,0)),"CUIT NO CARGADO")</f>
        <v>Papeleria</v>
      </c>
      <c r="R178" s="49">
        <f>IFERROR(IF(compras_mes123[[#This Row],[CUIT]]="","-",VLOOKUP(compras_mes123[[#This Row],[CUIT]],Lista_CUIT[#All],4,0)),"CUIT NO CARGADO")</f>
        <v>0</v>
      </c>
    </row>
    <row r="179" spans="2:18" x14ac:dyDescent="0.25">
      <c r="B179" s="40" t="s">
        <v>2948</v>
      </c>
      <c r="C179" s="41">
        <v>1</v>
      </c>
      <c r="D179" s="42">
        <v>6852</v>
      </c>
      <c r="E179" s="43">
        <v>34174</v>
      </c>
      <c r="F179" s="44">
        <v>30678774495</v>
      </c>
      <c r="G179" s="45" t="str">
        <f>IFERROR(IF(compras_mes123[[#This Row],[CUIT]]="","-",VLOOKUP(compras_mes123[[#This Row],[CUIT]],Lista_CUIT[#All],2,0)),"CUIT NO CARGADO")</f>
        <v>OPER. DE EST. DE SERV. SA</v>
      </c>
      <c r="H179" s="46">
        <v>18203.400000000001</v>
      </c>
      <c r="I179" s="85">
        <f>IF(compras_mes123[[#This Row],[NETO GRAVADO]]="","",compras_mes123[[#This Row],[NETO GRAVADO]]*0.21)</f>
        <v>3822.7139999999999</v>
      </c>
      <c r="J179" s="85"/>
      <c r="K179" s="85"/>
      <c r="L179" s="85"/>
      <c r="M179" s="85"/>
      <c r="N179" s="85"/>
      <c r="O179" s="85">
        <v>3676.97</v>
      </c>
      <c r="P179" s="48">
        <f>SUM(compras_mes123[[#This Row],[NETO GRAVADO]:[Otros / No Grav.]])</f>
        <v>25703.084000000003</v>
      </c>
      <c r="Q179" s="49" t="str">
        <f>IFERROR(IF(compras_mes123[[#This Row],[CUIT]]="","-",VLOOKUP(compras_mes123[[#This Row],[CUIT]],Lista_CUIT[#All],3,0)),"CUIT NO CARGADO")</f>
        <v>Combustible</v>
      </c>
      <c r="R179" s="49">
        <f>IFERROR(IF(compras_mes123[[#This Row],[CUIT]]="","-",VLOOKUP(compras_mes123[[#This Row],[CUIT]],Lista_CUIT[#All],4,0)),"CUIT NO CARGADO")</f>
        <v>0</v>
      </c>
    </row>
    <row r="180" spans="2:18" x14ac:dyDescent="0.25">
      <c r="B180" s="40" t="s">
        <v>2948</v>
      </c>
      <c r="C180" s="41">
        <v>1</v>
      </c>
      <c r="D180" s="42">
        <v>12</v>
      </c>
      <c r="E180" s="43">
        <v>74616</v>
      </c>
      <c r="F180" s="44">
        <v>30560298796</v>
      </c>
      <c r="G180" s="45" t="str">
        <f>IFERROR(IF(compras_mes123[[#This Row],[CUIT]]="","-",VLOOKUP(compras_mes123[[#This Row],[CUIT]],Lista_CUIT[#All],2,0)),"CUIT NO CARGADO")</f>
        <v>EL AUDITOR S A</v>
      </c>
      <c r="H180" s="46">
        <v>48530.720000000001</v>
      </c>
      <c r="I180" s="85">
        <f>IF(compras_mes123[[#This Row],[NETO GRAVADO]]="","",compras_mes123[[#This Row],[NETO GRAVADO]]*0.21)</f>
        <v>10191.4512</v>
      </c>
      <c r="J180" s="85"/>
      <c r="K180" s="85"/>
      <c r="L180" s="85"/>
      <c r="M180" s="85"/>
      <c r="N180" s="85"/>
      <c r="O180" s="85"/>
      <c r="P180" s="48">
        <f>SUM(compras_mes123[[#This Row],[NETO GRAVADO]:[Otros / No Grav.]])</f>
        <v>58722.171199999997</v>
      </c>
      <c r="Q180" s="49" t="str">
        <f>IFERROR(IF(compras_mes123[[#This Row],[CUIT]]="","-",VLOOKUP(compras_mes123[[#This Row],[CUIT]],Lista_CUIT[#All],3,0)),"CUIT NO CARGADO")</f>
        <v>Gastos Varios</v>
      </c>
      <c r="R180" s="49">
        <f>IFERROR(IF(compras_mes123[[#This Row],[CUIT]]="","-",VLOOKUP(compras_mes123[[#This Row],[CUIT]],Lista_CUIT[#All],4,0)),"CUIT NO CARGADO")</f>
        <v>0</v>
      </c>
    </row>
    <row r="181" spans="2:18" x14ac:dyDescent="0.25">
      <c r="B181" s="40" t="s">
        <v>2948</v>
      </c>
      <c r="C181" s="41">
        <v>1</v>
      </c>
      <c r="D181" s="42">
        <v>12</v>
      </c>
      <c r="E181" s="43">
        <v>74617</v>
      </c>
      <c r="F181" s="44">
        <v>30560298796</v>
      </c>
      <c r="G181" s="45" t="str">
        <f>IFERROR(IF(compras_mes123[[#This Row],[CUIT]]="","-",VLOOKUP(compras_mes123[[#This Row],[CUIT]],Lista_CUIT[#All],2,0)),"CUIT NO CARGADO")</f>
        <v>EL AUDITOR S A</v>
      </c>
      <c r="H181" s="46">
        <v>37089.800000000003</v>
      </c>
      <c r="I181" s="85">
        <f>IF(compras_mes123[[#This Row],[NETO GRAVADO]]="","",compras_mes123[[#This Row],[NETO GRAVADO]]*0.21)</f>
        <v>7788.8580000000002</v>
      </c>
      <c r="J181" s="85"/>
      <c r="K181" s="85"/>
      <c r="L181" s="85"/>
      <c r="M181" s="85"/>
      <c r="N181" s="85"/>
      <c r="O181" s="85"/>
      <c r="P181" s="48">
        <f>SUM(compras_mes123[[#This Row],[NETO GRAVADO]:[Otros / No Grav.]])</f>
        <v>44878.658000000003</v>
      </c>
      <c r="Q181" s="49" t="str">
        <f>IFERROR(IF(compras_mes123[[#This Row],[CUIT]]="","-",VLOOKUP(compras_mes123[[#This Row],[CUIT]],Lista_CUIT[#All],3,0)),"CUIT NO CARGADO")</f>
        <v>Gastos Varios</v>
      </c>
      <c r="R181" s="49">
        <f>IFERROR(IF(compras_mes123[[#This Row],[CUIT]]="","-",VLOOKUP(compras_mes123[[#This Row],[CUIT]],Lista_CUIT[#All],4,0)),"CUIT NO CARGADO")</f>
        <v>0</v>
      </c>
    </row>
    <row r="182" spans="2:18" x14ac:dyDescent="0.25">
      <c r="B182" s="40" t="s">
        <v>2948</v>
      </c>
      <c r="C182" s="41">
        <v>1</v>
      </c>
      <c r="D182" s="42">
        <v>1</v>
      </c>
      <c r="E182" s="43">
        <v>363</v>
      </c>
      <c r="F182" s="44">
        <v>20077604627</v>
      </c>
      <c r="G182" s="45" t="str">
        <f>IFERROR(IF(compras_mes123[[#This Row],[CUIT]]="","-",VLOOKUP(compras_mes123[[#This Row],[CUIT]],Lista_CUIT[#All],2,0)),"CUIT NO CARGADO")</f>
        <v>OCAÑO ENRIQUE</v>
      </c>
      <c r="H182" s="46">
        <v>923240</v>
      </c>
      <c r="I182" s="85">
        <f>IF(compras_mes123[[#This Row],[NETO GRAVADO]]="","",compras_mes123[[#This Row],[NETO GRAVADO]]*0.21)</f>
        <v>193880.4</v>
      </c>
      <c r="J182" s="85"/>
      <c r="K182" s="85"/>
      <c r="L182" s="85"/>
      <c r="M182" s="85"/>
      <c r="N182" s="85"/>
      <c r="O182" s="85"/>
      <c r="P182" s="48">
        <f>SUM(compras_mes123[[#This Row],[NETO GRAVADO]:[Otros / No Grav.]])</f>
        <v>1117120.3999999999</v>
      </c>
      <c r="Q182" s="49" t="str">
        <f>IFERROR(IF(compras_mes123[[#This Row],[CUIT]]="","-",VLOOKUP(compras_mes123[[#This Row],[CUIT]],Lista_CUIT[#All],3,0)),"CUIT NO CARGADO")</f>
        <v>Material de Empaque</v>
      </c>
      <c r="R182" s="49">
        <f>IFERROR(IF(compras_mes123[[#This Row],[CUIT]]="","-",VLOOKUP(compras_mes123[[#This Row],[CUIT]],Lista_CUIT[#All],4,0)),"CUIT NO CARGADO")</f>
        <v>0</v>
      </c>
    </row>
    <row r="183" spans="2:18" x14ac:dyDescent="0.25">
      <c r="B183" s="40" t="s">
        <v>2948</v>
      </c>
      <c r="C183" s="41">
        <v>1</v>
      </c>
      <c r="D183" s="42">
        <v>2</v>
      </c>
      <c r="E183" s="43">
        <v>4206</v>
      </c>
      <c r="F183" s="44">
        <v>30629863571</v>
      </c>
      <c r="G183" s="45" t="str">
        <f>IFERROR(IF(compras_mes123[[#This Row],[CUIT]]="","-",VLOOKUP(compras_mes123[[#This Row],[CUIT]],Lista_CUIT[#All],2,0)),"CUIT NO CARGADO")</f>
        <v>TECNIMAR S R L</v>
      </c>
      <c r="H183" s="46">
        <v>1311870</v>
      </c>
      <c r="I183" s="85">
        <f>IF(compras_mes123[[#This Row],[NETO GRAVADO]]="","",compras_mes123[[#This Row],[NETO GRAVADO]]*0.21)</f>
        <v>275492.7</v>
      </c>
      <c r="J183" s="85"/>
      <c r="K183" s="85"/>
      <c r="L183" s="85"/>
      <c r="M183" s="85"/>
      <c r="N183" s="85"/>
      <c r="O183" s="85"/>
      <c r="P183" s="48">
        <f>SUM(compras_mes123[[#This Row],[NETO GRAVADO]:[Otros / No Grav.]])</f>
        <v>1587362.7</v>
      </c>
      <c r="Q183" s="49" t="str">
        <f>IFERROR(IF(compras_mes123[[#This Row],[CUIT]]="","-",VLOOKUP(compras_mes123[[#This Row],[CUIT]],Lista_CUIT[#All],3,0)),"CUIT NO CARGADO")</f>
        <v>Productos Venta</v>
      </c>
      <c r="R183" s="49">
        <f>IFERROR(IF(compras_mes123[[#This Row],[CUIT]]="","-",VLOOKUP(compras_mes123[[#This Row],[CUIT]],Lista_CUIT[#All],4,0)),"CUIT NO CARGADO")</f>
        <v>0</v>
      </c>
    </row>
    <row r="184" spans="2:18" x14ac:dyDescent="0.25">
      <c r="B184" s="40" t="s">
        <v>2949</v>
      </c>
      <c r="C184" s="41">
        <v>1</v>
      </c>
      <c r="D184" s="42">
        <v>2199</v>
      </c>
      <c r="E184" s="43">
        <v>40433</v>
      </c>
      <c r="F184" s="44">
        <v>30548083156</v>
      </c>
      <c r="G184" s="45" t="str">
        <f>IFERROR(IF(compras_mes123[[#This Row],[CUIT]]="","-",VLOOKUP(compras_mes123[[#This Row],[CUIT]],Lista_CUIT[#All],2,0)),"CUIT NO CARGADO")</f>
        <v>COTO CENTRO INTEGRAL DE COMERCIALIZACION SOCIEDAD ANONIMA</v>
      </c>
      <c r="H184" s="46">
        <v>51216.91</v>
      </c>
      <c r="I184" s="85">
        <v>7735.32</v>
      </c>
      <c r="J184" s="85"/>
      <c r="K184" s="85">
        <v>1510.12</v>
      </c>
      <c r="L184" s="85"/>
      <c r="M184" s="85"/>
      <c r="N184" s="85"/>
      <c r="O184" s="85">
        <v>2719.84</v>
      </c>
      <c r="P184" s="48">
        <f>SUM(compras_mes123[[#This Row],[NETO GRAVADO]:[Otros / No Grav.]])</f>
        <v>63182.19</v>
      </c>
      <c r="Q184" s="49" t="str">
        <f>IFERROR(IF(compras_mes123[[#This Row],[CUIT]]="","-",VLOOKUP(compras_mes123[[#This Row],[CUIT]],Lista_CUIT[#All],3,0)),"CUIT NO CARGADO")</f>
        <v>Gastos Varios</v>
      </c>
      <c r="R184" s="49">
        <f>IFERROR(IF(compras_mes123[[#This Row],[CUIT]]="","-",VLOOKUP(compras_mes123[[#This Row],[CUIT]],Lista_CUIT[#All],4,0)),"CUIT NO CARGADO")</f>
        <v>0</v>
      </c>
    </row>
    <row r="185" spans="2:18" x14ac:dyDescent="0.25">
      <c r="B185" s="40" t="s">
        <v>2949</v>
      </c>
      <c r="C185" s="41">
        <v>1</v>
      </c>
      <c r="D185" s="42">
        <v>14</v>
      </c>
      <c r="E185" s="43">
        <v>19973</v>
      </c>
      <c r="F185" s="44">
        <v>30715186256</v>
      </c>
      <c r="G185" s="45" t="str">
        <f>IFERROR(IF(compras_mes123[[#This Row],[CUIT]]="","-",VLOOKUP(compras_mes123[[#This Row],[CUIT]],Lista_CUIT[#All],2,0)),"CUIT NO CARGADO")</f>
        <v>FRIGORIFICO ALIMENTIC</v>
      </c>
      <c r="H185" s="46">
        <v>231905.69</v>
      </c>
      <c r="I185" s="85">
        <v>5916.97</v>
      </c>
      <c r="J185" s="85"/>
      <c r="K185" s="85">
        <v>21391.61</v>
      </c>
      <c r="L185" s="85"/>
      <c r="M185" s="85"/>
      <c r="N185" s="85"/>
      <c r="O185" s="85"/>
      <c r="P185" s="48">
        <f>SUM(compras_mes123[[#This Row],[NETO GRAVADO]:[Otros / No Grav.]])</f>
        <v>259214.27000000002</v>
      </c>
      <c r="Q185" s="49" t="str">
        <f>IFERROR(IF(compras_mes123[[#This Row],[CUIT]]="","-",VLOOKUP(compras_mes123[[#This Row],[CUIT]],Lista_CUIT[#All],3,0)),"CUIT NO CARGADO")</f>
        <v>Gastos Comercializacion - Feria</v>
      </c>
      <c r="R185" s="49">
        <f>IFERROR(IF(compras_mes123[[#This Row],[CUIT]]="","-",VLOOKUP(compras_mes123[[#This Row],[CUIT]],Lista_CUIT[#All],4,0)),"CUIT NO CARGADO")</f>
        <v>0</v>
      </c>
    </row>
    <row r="186" spans="2:18" x14ac:dyDescent="0.25">
      <c r="B186" s="40" t="s">
        <v>2949</v>
      </c>
      <c r="C186" s="41">
        <v>1</v>
      </c>
      <c r="D186" s="42">
        <v>22</v>
      </c>
      <c r="E186" s="43">
        <v>3333294</v>
      </c>
      <c r="F186" s="44">
        <v>30703088534</v>
      </c>
      <c r="G186" s="45" t="str">
        <f>IFERROR(IF(compras_mes123[[#This Row],[CUIT]]="","-",VLOOKUP(compras_mes123[[#This Row],[CUIT]],Lista_CUIT[#All],2,0)),"CUIT NO CARGADO")</f>
        <v>MERCADO LIBRE SRL</v>
      </c>
      <c r="H186" s="46">
        <v>1758350.48</v>
      </c>
      <c r="I186" s="85">
        <f>IF(compras_mes123[[#This Row],[NETO GRAVADO]]="","",compras_mes123[[#This Row],[NETO GRAVADO]]*0.21)</f>
        <v>369253.60079999996</v>
      </c>
      <c r="J186" s="85"/>
      <c r="K186" s="85"/>
      <c r="L186" s="85"/>
      <c r="M186" s="85"/>
      <c r="N186" s="85"/>
      <c r="O186" s="85">
        <v>123084.55</v>
      </c>
      <c r="P186" s="48">
        <f>SUM(compras_mes123[[#This Row],[NETO GRAVADO]:[Otros / No Grav.]])</f>
        <v>2250688.6307999999</v>
      </c>
      <c r="Q186" s="49" t="str">
        <f>IFERROR(IF(compras_mes123[[#This Row],[CUIT]]="","-",VLOOKUP(compras_mes123[[#This Row],[CUIT]],Lista_CUIT[#All],3,0)),"CUIT NO CARGADO")</f>
        <v>Gastos Varios</v>
      </c>
      <c r="R186" s="49" t="str">
        <f>IFERROR(IF(compras_mes123[[#This Row],[CUIT]]="","-",VLOOKUP(compras_mes123[[#This Row],[CUIT]],Lista_CUIT[#All],4,0)),"CUIT NO CARGADO")</f>
        <v>CABA</v>
      </c>
    </row>
    <row r="187" spans="2:18" x14ac:dyDescent="0.25">
      <c r="B187" s="40" t="s">
        <v>2969</v>
      </c>
      <c r="C187" s="41">
        <v>1</v>
      </c>
      <c r="D187" s="42">
        <v>2084</v>
      </c>
      <c r="E187" s="43">
        <v>33090</v>
      </c>
      <c r="F187" s="44">
        <v>30548083156</v>
      </c>
      <c r="G187" s="45" t="str">
        <f>IFERROR(IF(compras_mes123[[#This Row],[CUIT]]="","-",VLOOKUP(compras_mes123[[#This Row],[CUIT]],Lista_CUIT[#All],2,0)),"CUIT NO CARGADO")</f>
        <v>COTO CENTRO INTEGRAL DE COMERCIALIZACION SOCIEDAD ANONIMA</v>
      </c>
      <c r="H187" s="46">
        <v>101743.95</v>
      </c>
      <c r="I187" s="85">
        <f>IF(compras_mes123[[#This Row],[NETO GRAVADO]]="","",compras_mes123[[#This Row],[NETO GRAVADO]]*0.21)</f>
        <v>21366.229499999998</v>
      </c>
      <c r="J187" s="85"/>
      <c r="K187" s="85"/>
      <c r="L187" s="85"/>
      <c r="M187" s="85"/>
      <c r="N187" s="85"/>
      <c r="O187" s="85">
        <v>5971.94</v>
      </c>
      <c r="P187" s="48">
        <f>SUM(compras_mes123[[#This Row],[NETO GRAVADO]:[Otros / No Grav.]])</f>
        <v>129082.1195</v>
      </c>
      <c r="Q187" s="49" t="str">
        <f>IFERROR(IF(compras_mes123[[#This Row],[CUIT]]="","-",VLOOKUP(compras_mes123[[#This Row],[CUIT]],Lista_CUIT[#All],3,0)),"CUIT NO CARGADO")</f>
        <v>Gastos Varios</v>
      </c>
      <c r="R187" s="49">
        <f>IFERROR(IF(compras_mes123[[#This Row],[CUIT]]="","-",VLOOKUP(compras_mes123[[#This Row],[CUIT]],Lista_CUIT[#All],4,0)),"CUIT NO CARGADO")</f>
        <v>0</v>
      </c>
    </row>
    <row r="188" spans="2:18" x14ac:dyDescent="0.25">
      <c r="B188" s="40" t="s">
        <v>2969</v>
      </c>
      <c r="C188" s="41">
        <v>1</v>
      </c>
      <c r="D188" s="42">
        <v>4</v>
      </c>
      <c r="E188" s="43">
        <v>69</v>
      </c>
      <c r="F188" s="44">
        <v>20262815367</v>
      </c>
      <c r="G188" s="45" t="str">
        <f>IFERROR(IF(compras_mes123[[#This Row],[CUIT]]="","-",VLOOKUP(compras_mes123[[#This Row],[CUIT]],Lista_CUIT[#All],2,0)),"CUIT NO CARGADO")</f>
        <v>CARDARELLO BASAVILBASO FEDERICO JORGE</v>
      </c>
      <c r="H188" s="46">
        <v>17933.88</v>
      </c>
      <c r="I188" s="85">
        <f>IF(compras_mes123[[#This Row],[NETO GRAVADO]]="","",compras_mes123[[#This Row],[NETO GRAVADO]]*0.21)</f>
        <v>3766.1148000000003</v>
      </c>
      <c r="J188" s="85"/>
      <c r="K188" s="85"/>
      <c r="L188" s="85"/>
      <c r="M188" s="85"/>
      <c r="N188" s="85"/>
      <c r="O188" s="85"/>
      <c r="P188" s="48">
        <f>SUM(compras_mes123[[#This Row],[NETO GRAVADO]:[Otros / No Grav.]])</f>
        <v>21699.9948</v>
      </c>
      <c r="Q188" s="49" t="str">
        <f>IFERROR(IF(compras_mes123[[#This Row],[CUIT]]="","-",VLOOKUP(compras_mes123[[#This Row],[CUIT]],Lista_CUIT[#All],3,0)),"CUIT NO CARGADO")</f>
        <v>Gastos Varios</v>
      </c>
      <c r="R188" s="49">
        <f>IFERROR(IF(compras_mes123[[#This Row],[CUIT]]="","-",VLOOKUP(compras_mes123[[#This Row],[CUIT]],Lista_CUIT[#All],4,0)),"CUIT NO CARGADO")</f>
        <v>0</v>
      </c>
    </row>
    <row r="189" spans="2:18" x14ac:dyDescent="0.25">
      <c r="B189" s="40" t="s">
        <v>2969</v>
      </c>
      <c r="C189" s="41">
        <v>1</v>
      </c>
      <c r="D189" s="42">
        <v>4</v>
      </c>
      <c r="E189" s="43">
        <v>1186</v>
      </c>
      <c r="F189" s="44">
        <v>27317740196</v>
      </c>
      <c r="G189" s="45" t="str">
        <f>IFERROR(IF(compras_mes123[[#This Row],[CUIT]]="","-",VLOOKUP(compras_mes123[[#This Row],[CUIT]],Lista_CUIT[#All],2,0)),"CUIT NO CARGADO")</f>
        <v>HOKAMA ROMINA PAOLA</v>
      </c>
      <c r="H189" s="46">
        <v>17193.39</v>
      </c>
      <c r="I189" s="85">
        <f>IF(compras_mes123[[#This Row],[NETO GRAVADO]]="","",compras_mes123[[#This Row],[NETO GRAVADO]]*0.21)</f>
        <v>3610.6118999999999</v>
      </c>
      <c r="J189" s="85"/>
      <c r="K189" s="85"/>
      <c r="L189" s="85"/>
      <c r="M189" s="85"/>
      <c r="N189" s="85"/>
      <c r="O189" s="85"/>
      <c r="P189" s="48">
        <f>SUM(compras_mes123[[#This Row],[NETO GRAVADO]:[Otros / No Grav.]])</f>
        <v>20804.001899999999</v>
      </c>
      <c r="Q189" s="49" t="str">
        <f>IFERROR(IF(compras_mes123[[#This Row],[CUIT]]="","-",VLOOKUP(compras_mes123[[#This Row],[CUIT]],Lista_CUIT[#All],3,0)),"CUIT NO CARGADO")</f>
        <v>Gastos Varios</v>
      </c>
      <c r="R189" s="49">
        <f>IFERROR(IF(compras_mes123[[#This Row],[CUIT]]="","-",VLOOKUP(compras_mes123[[#This Row],[CUIT]],Lista_CUIT[#All],4,0)),"CUIT NO CARGADO")</f>
        <v>0</v>
      </c>
    </row>
    <row r="190" spans="2:18" x14ac:dyDescent="0.25">
      <c r="B190" s="40" t="s">
        <v>2969</v>
      </c>
      <c r="C190" s="41">
        <v>1</v>
      </c>
      <c r="D190" s="42">
        <v>11281</v>
      </c>
      <c r="E190" s="43">
        <v>1798</v>
      </c>
      <c r="F190" s="44">
        <v>30687310434</v>
      </c>
      <c r="G190" s="45" t="str">
        <f>IFERROR(IF(compras_mes123[[#This Row],[CUIT]]="","-",VLOOKUP(compras_mes123[[#This Row],[CUIT]],Lista_CUIT[#All],2,0)),"CUIT NO CARGADO")</f>
        <v>INC  SOCIEDAD ANONIMA</v>
      </c>
      <c r="H190" s="46">
        <v>33418.959999999999</v>
      </c>
      <c r="I190" s="85">
        <v>649.09</v>
      </c>
      <c r="J190" s="85"/>
      <c r="K190" s="85">
        <v>3184.45</v>
      </c>
      <c r="L190" s="85"/>
      <c r="M190" s="85"/>
      <c r="N190" s="85"/>
      <c r="O190" s="85">
        <v>1550.22</v>
      </c>
      <c r="P190" s="48">
        <f>SUM(compras_mes123[[#This Row],[NETO GRAVADO]:[Otros / No Grav.]])</f>
        <v>38802.719999999994</v>
      </c>
      <c r="Q190" s="49" t="str">
        <f>IFERROR(IF(compras_mes123[[#This Row],[CUIT]]="","-",VLOOKUP(compras_mes123[[#This Row],[CUIT]],Lista_CUIT[#All],3,0)),"CUIT NO CARGADO")</f>
        <v>Combustible</v>
      </c>
      <c r="R190" s="49">
        <f>IFERROR(IF(compras_mes123[[#This Row],[CUIT]]="","-",VLOOKUP(compras_mes123[[#This Row],[CUIT]],Lista_CUIT[#All],4,0)),"CUIT NO CARGADO")</f>
        <v>0</v>
      </c>
    </row>
    <row r="191" spans="2:18" x14ac:dyDescent="0.25">
      <c r="B191" s="40" t="s">
        <v>2969</v>
      </c>
      <c r="C191" s="41">
        <v>1</v>
      </c>
      <c r="D191" s="42">
        <v>5015</v>
      </c>
      <c r="E191" s="43">
        <v>1071820</v>
      </c>
      <c r="F191" s="44">
        <v>30574876474</v>
      </c>
      <c r="G191" s="45" t="str">
        <f>IFERROR(IF(compras_mes123[[#This Row],[CUIT]]="","-",VLOOKUP(compras_mes123[[#This Row],[CUIT]],Lista_CUIT[#All],2,0)),"CUIT NO CARGADO")</f>
        <v>AUTOPISTAS URBANAS S A</v>
      </c>
      <c r="H191" s="46">
        <v>108878.36</v>
      </c>
      <c r="I191" s="85">
        <f>IF(compras_mes123[[#This Row],[NETO GRAVADO]]="","",compras_mes123[[#This Row],[NETO GRAVADO]]*0.21)</f>
        <v>22864.455599999998</v>
      </c>
      <c r="J191" s="85"/>
      <c r="K191" s="85"/>
      <c r="L191" s="85"/>
      <c r="M191" s="85"/>
      <c r="N191" s="85"/>
      <c r="O191" s="85">
        <v>14154.16</v>
      </c>
      <c r="P191" s="48">
        <f>SUM(compras_mes123[[#This Row],[NETO GRAVADO]:[Otros / No Grav.]])</f>
        <v>145896.97560000001</v>
      </c>
      <c r="Q191" s="49" t="str">
        <f>IFERROR(IF(compras_mes123[[#This Row],[CUIT]]="","-",VLOOKUP(compras_mes123[[#This Row],[CUIT]],Lista_CUIT[#All],3,0)),"CUIT NO CARGADO")</f>
        <v>Peajes</v>
      </c>
      <c r="R191" s="49">
        <f>IFERROR(IF(compras_mes123[[#This Row],[CUIT]]="","-",VLOOKUP(compras_mes123[[#This Row],[CUIT]],Lista_CUIT[#All],4,0)),"CUIT NO CARGADO")</f>
        <v>0</v>
      </c>
    </row>
    <row r="192" spans="2:18" x14ac:dyDescent="0.25">
      <c r="B192" s="40" t="s">
        <v>2969</v>
      </c>
      <c r="C192" s="41">
        <v>1</v>
      </c>
      <c r="D192" s="42">
        <v>126</v>
      </c>
      <c r="E192" s="43">
        <v>285218</v>
      </c>
      <c r="F192" s="44">
        <v>30577207190</v>
      </c>
      <c r="G192" s="45" t="str">
        <f>IFERROR(IF(compras_mes123[[#This Row],[CUIT]]="","-",VLOOKUP(compras_mes123[[#This Row],[CUIT]],Lista_CUIT[#All],2,0)),"CUIT NO CARGADO")</f>
        <v>COORDINACION ECOLOGICA AREA METROPOLITANA SOCIEDAD DEL ESTADO</v>
      </c>
      <c r="H192" s="46">
        <v>8935.5400000000009</v>
      </c>
      <c r="I192" s="85">
        <f>IF(compras_mes123[[#This Row],[NETO GRAVADO]]="","",compras_mes123[[#This Row],[NETO GRAVADO]]*0.21)</f>
        <v>1876.4634000000001</v>
      </c>
      <c r="J192" s="85"/>
      <c r="K192" s="85"/>
      <c r="L192" s="85"/>
      <c r="M192" s="85"/>
      <c r="N192" s="85"/>
      <c r="O192" s="85">
        <v>268.07</v>
      </c>
      <c r="P192" s="48">
        <f>SUM(compras_mes123[[#This Row],[NETO GRAVADO]:[Otros / No Grav.]])</f>
        <v>11080.073400000001</v>
      </c>
      <c r="Q192" s="49" t="str">
        <f>IFERROR(IF(compras_mes123[[#This Row],[CUIT]]="","-",VLOOKUP(compras_mes123[[#This Row],[CUIT]],Lista_CUIT[#All],3,0)),"CUIT NO CARGADO")</f>
        <v>Gastos Limpieza</v>
      </c>
      <c r="R192" s="49">
        <f>IFERROR(IF(compras_mes123[[#This Row],[CUIT]]="","-",VLOOKUP(compras_mes123[[#This Row],[CUIT]],Lista_CUIT[#All],4,0)),"CUIT NO CARGADO")</f>
        <v>0</v>
      </c>
    </row>
    <row r="193" spans="2:18" x14ac:dyDescent="0.25">
      <c r="B193" s="40" t="s">
        <v>2969</v>
      </c>
      <c r="C193" s="41">
        <v>1</v>
      </c>
      <c r="D193" s="42">
        <v>50</v>
      </c>
      <c r="E193" s="43">
        <v>4780491</v>
      </c>
      <c r="F193" s="44">
        <v>30714112836</v>
      </c>
      <c r="G193" s="45" t="str">
        <f>IFERROR(IF(compras_mes123[[#This Row],[CUIT]]="","-",VLOOKUP(compras_mes123[[#This Row],[CUIT]],Lista_CUIT[#All],2,0)),"CUIT NO CARGADO")</f>
        <v>AUTOPISTAS DE BS AS</v>
      </c>
      <c r="H193" s="46">
        <v>30830.34</v>
      </c>
      <c r="I193" s="85">
        <f>IF(compras_mes123[[#This Row],[NETO GRAVADO]]="","",compras_mes123[[#This Row],[NETO GRAVADO]]*0.21)</f>
        <v>6474.3714</v>
      </c>
      <c r="J193" s="85"/>
      <c r="K193" s="85"/>
      <c r="L193" s="85"/>
      <c r="M193" s="85"/>
      <c r="N193" s="85"/>
      <c r="O193" s="85">
        <v>924.91</v>
      </c>
      <c r="P193" s="48">
        <f>SUM(compras_mes123[[#This Row],[NETO GRAVADO]:[Otros / No Grav.]])</f>
        <v>38229.621400000004</v>
      </c>
      <c r="Q193" s="49" t="str">
        <f>IFERROR(IF(compras_mes123[[#This Row],[CUIT]]="","-",VLOOKUP(compras_mes123[[#This Row],[CUIT]],Lista_CUIT[#All],3,0)),"CUIT NO CARGADO")</f>
        <v>Peajes</v>
      </c>
      <c r="R193" s="49">
        <f>IFERROR(IF(compras_mes123[[#This Row],[CUIT]]="","-",VLOOKUP(compras_mes123[[#This Row],[CUIT]],Lista_CUIT[#All],4,0)),"CUIT NO CARGADO")</f>
        <v>0</v>
      </c>
    </row>
    <row r="194" spans="2:18" x14ac:dyDescent="0.25">
      <c r="B194" s="40" t="s">
        <v>2969</v>
      </c>
      <c r="C194" s="41">
        <v>1</v>
      </c>
      <c r="D194" s="42">
        <v>11</v>
      </c>
      <c r="E194" s="43">
        <v>1249149</v>
      </c>
      <c r="F194" s="44">
        <v>33709585229</v>
      </c>
      <c r="G194" s="45" t="str">
        <f>IFERROR(IF(compras_mes123[[#This Row],[CUIT]]="","-",VLOOKUP(compras_mes123[[#This Row],[CUIT]],Lista_CUIT[#All],2,0)),"CUIT NO CARGADO")</f>
        <v>GOOGLE ARGENTINA S.R.L.</v>
      </c>
      <c r="H194" s="46">
        <v>167773.05</v>
      </c>
      <c r="I194" s="85">
        <f>IF(compras_mes123[[#This Row],[NETO GRAVADO]]="","",compras_mes123[[#This Row],[NETO GRAVADO]]*0.21)</f>
        <v>35232.340499999998</v>
      </c>
      <c r="J194" s="85"/>
      <c r="K194" s="85"/>
      <c r="L194" s="85"/>
      <c r="M194" s="85"/>
      <c r="N194" s="85"/>
      <c r="O194" s="85">
        <v>46460.55</v>
      </c>
      <c r="P194" s="48">
        <f>SUM(compras_mes123[[#This Row],[NETO GRAVADO]:[Otros / No Grav.]])</f>
        <v>249465.94049999997</v>
      </c>
      <c r="Q194" s="49" t="str">
        <f>IFERROR(IF(compras_mes123[[#This Row],[CUIT]]="","-",VLOOKUP(compras_mes123[[#This Row],[CUIT]],Lista_CUIT[#All],3,0)),"CUIT NO CARGADO")</f>
        <v>Gastos Comercializacion</v>
      </c>
      <c r="R194" s="49">
        <f>IFERROR(IF(compras_mes123[[#This Row],[CUIT]]="","-",VLOOKUP(compras_mes123[[#This Row],[CUIT]],Lista_CUIT[#All],4,0)),"CUIT NO CARGADO")</f>
        <v>0</v>
      </c>
    </row>
    <row r="195" spans="2:18" x14ac:dyDescent="0.25">
      <c r="B195" s="40" t="s">
        <v>2969</v>
      </c>
      <c r="C195" s="41">
        <v>1</v>
      </c>
      <c r="D195" s="42">
        <v>600</v>
      </c>
      <c r="E195" s="43">
        <v>811658</v>
      </c>
      <c r="F195" s="44">
        <v>30692975533</v>
      </c>
      <c r="G195" s="45" t="str">
        <f>IFERROR(IF(compras_mes123[[#This Row],[CUIT]]="","-",VLOOKUP(compras_mes123[[#This Row],[CUIT]],Lista_CUIT[#All],2,0)),"CUIT NO CARGADO")</f>
        <v>CAMINOS DE LAS SIERRAS S. A.</v>
      </c>
      <c r="H195" s="46">
        <v>2148.7600000000002</v>
      </c>
      <c r="I195" s="85">
        <f>IF(compras_mes123[[#This Row],[NETO GRAVADO]]="","",compras_mes123[[#This Row],[NETO GRAVADO]]*0.21)</f>
        <v>451.23960000000005</v>
      </c>
      <c r="J195" s="85"/>
      <c r="K195" s="85"/>
      <c r="L195" s="85"/>
      <c r="M195" s="85"/>
      <c r="N195" s="85"/>
      <c r="O195" s="85"/>
      <c r="P195" s="48">
        <f>SUM(compras_mes123[[#This Row],[NETO GRAVADO]:[Otros / No Grav.]])</f>
        <v>2599.9996000000001</v>
      </c>
      <c r="Q195" s="49" t="str">
        <f>IFERROR(IF(compras_mes123[[#This Row],[CUIT]]="","-",VLOOKUP(compras_mes123[[#This Row],[CUIT]],Lista_CUIT[#All],3,0)),"CUIT NO CARGADO")</f>
        <v>Peajes</v>
      </c>
      <c r="R195" s="49">
        <f>IFERROR(IF(compras_mes123[[#This Row],[CUIT]]="","-",VLOOKUP(compras_mes123[[#This Row],[CUIT]],Lista_CUIT[#All],4,0)),"CUIT NO CARGADO")</f>
        <v>0</v>
      </c>
    </row>
    <row r="196" spans="2:18" x14ac:dyDescent="0.25">
      <c r="B196" s="40" t="s">
        <v>2935</v>
      </c>
      <c r="C196" s="41">
        <v>3</v>
      </c>
      <c r="D196" s="42">
        <v>1</v>
      </c>
      <c r="E196" s="43">
        <v>2</v>
      </c>
      <c r="F196" s="44">
        <v>30718531736</v>
      </c>
      <c r="G196" s="45" t="str">
        <f>IFERROR(IF(compras_mes123[[#This Row],[CUIT]]="","-",VLOOKUP(compras_mes123[[#This Row],[CUIT]],Lista_CUIT[#All],2,0)),"CUIT NO CARGADO")</f>
        <v>SOL ESTUDIO CREATIVO S. CAP I SECC IV</v>
      </c>
      <c r="H196" s="46">
        <v>-7200000</v>
      </c>
      <c r="I196" s="85">
        <f>IF(compras_mes123[[#This Row],[NETO GRAVADO]]="","",compras_mes123[[#This Row],[NETO GRAVADO]]*0.21)</f>
        <v>-1512000</v>
      </c>
      <c r="J196" s="85"/>
      <c r="K196" s="85"/>
      <c r="L196" s="85"/>
      <c r="M196" s="85"/>
      <c r="N196" s="85"/>
      <c r="O196" s="85"/>
      <c r="P196" s="48">
        <f>SUM(compras_mes123[[#This Row],[NETO GRAVADO]:[Otros / No Grav.]])</f>
        <v>-8712000</v>
      </c>
      <c r="Q196" s="49" t="str">
        <f>IFERROR(IF(compras_mes123[[#This Row],[CUIT]]="","-",VLOOKUP(compras_mes123[[#This Row],[CUIT]],Lista_CUIT[#All],3,0)),"CUIT NO CARGADO")</f>
        <v>Productos Venta</v>
      </c>
      <c r="R196" s="49">
        <f>IFERROR(IF(compras_mes123[[#This Row],[CUIT]]="","-",VLOOKUP(compras_mes123[[#This Row],[CUIT]],Lista_CUIT[#All],4,0)),"CUIT NO CARGADO")</f>
        <v>0</v>
      </c>
    </row>
    <row r="197" spans="2:18" x14ac:dyDescent="0.25">
      <c r="B197" s="40" t="s">
        <v>2936</v>
      </c>
      <c r="C197" s="41">
        <v>3</v>
      </c>
      <c r="D197" s="42">
        <v>10</v>
      </c>
      <c r="E197" s="43">
        <v>791</v>
      </c>
      <c r="F197" s="44">
        <v>30714683663</v>
      </c>
      <c r="G197" s="45" t="str">
        <f>IFERROR(IF(compras_mes123[[#This Row],[CUIT]]="","-",VLOOKUP(compras_mes123[[#This Row],[CUIT]],Lista_CUIT[#All],2,0)),"CUIT NO CARGADO")</f>
        <v>BAMBU ARGENTINA S.A.</v>
      </c>
      <c r="H197" s="46">
        <v>-306350</v>
      </c>
      <c r="I197" s="85">
        <f>IF(compras_mes123[[#This Row],[NETO GRAVADO]]="","",compras_mes123[[#This Row],[NETO GRAVADO]]*0.21)</f>
        <v>-64333.5</v>
      </c>
      <c r="J197" s="85"/>
      <c r="K197" s="85"/>
      <c r="L197" s="85"/>
      <c r="M197" s="85"/>
      <c r="N197" s="85"/>
      <c r="O197" s="85"/>
      <c r="P197" s="48">
        <f>SUM(compras_mes123[[#This Row],[NETO GRAVADO]:[Otros / No Grav.]])</f>
        <v>-370683.5</v>
      </c>
      <c r="Q197" s="49" t="str">
        <f>IFERROR(IF(compras_mes123[[#This Row],[CUIT]]="","-",VLOOKUP(compras_mes123[[#This Row],[CUIT]],Lista_CUIT[#All],3,0)),"CUIT NO CARGADO")</f>
        <v>Productos Terminados</v>
      </c>
      <c r="R197" s="49">
        <f>IFERROR(IF(compras_mes123[[#This Row],[CUIT]]="","-",VLOOKUP(compras_mes123[[#This Row],[CUIT]],Lista_CUIT[#All],4,0)),"CUIT NO CARGADO")</f>
        <v>0</v>
      </c>
    </row>
    <row r="198" spans="2:18" x14ac:dyDescent="0.25">
      <c r="B198" s="40" t="s">
        <v>2957</v>
      </c>
      <c r="C198" s="41">
        <v>3</v>
      </c>
      <c r="D198" s="42">
        <v>4</v>
      </c>
      <c r="E198" s="43">
        <v>2024</v>
      </c>
      <c r="F198" s="44">
        <v>30716006391</v>
      </c>
      <c r="G198" s="45" t="str">
        <f>IFERROR(IF(compras_mes123[[#This Row],[CUIT]]="","-",VLOOKUP(compras_mes123[[#This Row],[CUIT]],Lista_CUIT[#All],2,0)),"CUIT NO CARGADO")</f>
        <v>ALISSING</v>
      </c>
      <c r="H198" s="46">
        <v>-5911.74</v>
      </c>
      <c r="I198" s="85">
        <f>IF(compras_mes123[[#This Row],[NETO GRAVADO]]="","",compras_mes123[[#This Row],[NETO GRAVADO]]*0.21)</f>
        <v>-1241.4653999999998</v>
      </c>
      <c r="J198" s="85"/>
      <c r="K198" s="85"/>
      <c r="L198" s="85"/>
      <c r="M198" s="85"/>
      <c r="N198" s="85"/>
      <c r="O198" s="85"/>
      <c r="P198" s="48">
        <f>SUM(compras_mes123[[#This Row],[NETO GRAVADO]:[Otros / No Grav.]])</f>
        <v>-7153.2053999999998</v>
      </c>
      <c r="Q198" s="49" t="str">
        <f>IFERROR(IF(compras_mes123[[#This Row],[CUIT]]="","-",VLOOKUP(compras_mes123[[#This Row],[CUIT]],Lista_CUIT[#All],3,0)),"CUIT NO CARGADO")</f>
        <v>Gastos Varios</v>
      </c>
      <c r="R198" s="49">
        <f>IFERROR(IF(compras_mes123[[#This Row],[CUIT]]="","-",VLOOKUP(compras_mes123[[#This Row],[CUIT]],Lista_CUIT[#All],4,0)),"CUIT NO CARGADO")</f>
        <v>0</v>
      </c>
    </row>
    <row r="199" spans="2:18" x14ac:dyDescent="0.25">
      <c r="B199" s="40" t="s">
        <v>2959</v>
      </c>
      <c r="C199" s="41">
        <v>3</v>
      </c>
      <c r="D199" s="42">
        <v>12</v>
      </c>
      <c r="E199" s="43">
        <v>2918</v>
      </c>
      <c r="F199" s="44">
        <v>30532905555</v>
      </c>
      <c r="G199" s="45" t="str">
        <f>IFERROR(IF(compras_mes123[[#This Row],[CUIT]]="","-",VLOOKUP(compras_mes123[[#This Row],[CUIT]],Lista_CUIT[#All],2,0)),"CUIT NO CARGADO")</f>
        <v>UNTECO S.A.I.C. E I.</v>
      </c>
      <c r="H199" s="46">
        <v>-15145.23</v>
      </c>
      <c r="I199" s="85">
        <f>IF(compras_mes123[[#This Row],[NETO GRAVADO]]="","",compras_mes123[[#This Row],[NETO GRAVADO]]*0.21)</f>
        <v>-3180.4982999999997</v>
      </c>
      <c r="J199" s="85"/>
      <c r="K199" s="85"/>
      <c r="L199" s="85"/>
      <c r="M199" s="85"/>
      <c r="N199" s="85"/>
      <c r="O199" s="85"/>
      <c r="P199" s="48">
        <f>SUM(compras_mes123[[#This Row],[NETO GRAVADO]:[Otros / No Grav.]])</f>
        <v>-18325.728299999999</v>
      </c>
      <c r="Q199" s="49" t="str">
        <f>IFERROR(IF(compras_mes123[[#This Row],[CUIT]]="","-",VLOOKUP(compras_mes123[[#This Row],[CUIT]],Lista_CUIT[#All],3,0)),"CUIT NO CARGADO")</f>
        <v>Productos Terminados</v>
      </c>
      <c r="R199" s="49">
        <f>IFERROR(IF(compras_mes123[[#This Row],[CUIT]]="","-",VLOOKUP(compras_mes123[[#This Row],[CUIT]],Lista_CUIT[#All],4,0)),"CUIT NO CARGADO")</f>
        <v>0</v>
      </c>
    </row>
    <row r="200" spans="2:18" x14ac:dyDescent="0.25">
      <c r="B200" s="40" t="s">
        <v>2960</v>
      </c>
      <c r="C200" s="41">
        <v>3</v>
      </c>
      <c r="D200" s="42">
        <v>3</v>
      </c>
      <c r="E200" s="43">
        <v>205</v>
      </c>
      <c r="F200" s="44">
        <v>30611152775</v>
      </c>
      <c r="G200" s="45" t="str">
        <f>IFERROR(IF(compras_mes123[[#This Row],[CUIT]]="","-",VLOOKUP(compras_mes123[[#This Row],[CUIT]],Lista_CUIT[#All],2,0)),"CUIT NO CARGADO")</f>
        <v>SICIALL SA</v>
      </c>
      <c r="H200" s="46">
        <v>-2775420</v>
      </c>
      <c r="I200" s="85">
        <f>IF(compras_mes123[[#This Row],[NETO GRAVADO]]="","",compras_mes123[[#This Row],[NETO GRAVADO]]*0.21)</f>
        <v>-582838.19999999995</v>
      </c>
      <c r="J200" s="85"/>
      <c r="K200" s="85"/>
      <c r="L200" s="85"/>
      <c r="M200" s="85"/>
      <c r="N200" s="85"/>
      <c r="O200" s="85"/>
      <c r="P200" s="48">
        <f>SUM(compras_mes123[[#This Row],[NETO GRAVADO]:[Otros / No Grav.]])</f>
        <v>-3358258.2</v>
      </c>
      <c r="Q200" s="49" t="str">
        <f>IFERROR(IF(compras_mes123[[#This Row],[CUIT]]="","-",VLOOKUP(compras_mes123[[#This Row],[CUIT]],Lista_CUIT[#All],3,0)),"CUIT NO CARGADO")</f>
        <v>Envases</v>
      </c>
      <c r="R200" s="49">
        <f>IFERROR(IF(compras_mes123[[#This Row],[CUIT]]="","-",VLOOKUP(compras_mes123[[#This Row],[CUIT]],Lista_CUIT[#All],4,0)),"CUIT NO CARGADO")</f>
        <v>0</v>
      </c>
    </row>
    <row r="201" spans="2:18" x14ac:dyDescent="0.25">
      <c r="B201" s="40" t="s">
        <v>2941</v>
      </c>
      <c r="C201" s="41">
        <v>3</v>
      </c>
      <c r="D201" s="42">
        <v>3</v>
      </c>
      <c r="E201" s="43">
        <v>8102</v>
      </c>
      <c r="F201" s="44">
        <v>30708708697</v>
      </c>
      <c r="G201" s="45" t="str">
        <f>IFERROR(IF(compras_mes123[[#This Row],[CUIT]]="","-",VLOOKUP(compras_mes123[[#This Row],[CUIT]],Lista_CUIT[#All],2,0)),"CUIT NO CARGADO")</f>
        <v>FERCOL LUBRICANTES S.R.L.</v>
      </c>
      <c r="H201" s="46">
        <v>0</v>
      </c>
      <c r="I201" s="85">
        <f>IF(compras_mes123[[#This Row],[NETO GRAVADO]]="","",compras_mes123[[#This Row],[NETO GRAVADO]]*0.21)</f>
        <v>0</v>
      </c>
      <c r="J201" s="85"/>
      <c r="K201" s="85"/>
      <c r="L201" s="85"/>
      <c r="M201" s="85"/>
      <c r="N201" s="85"/>
      <c r="O201" s="85">
        <v>-3164700</v>
      </c>
      <c r="P201" s="48">
        <f>SUM(compras_mes123[[#This Row],[NETO GRAVADO]:[Otros / No Grav.]])</f>
        <v>-3164700</v>
      </c>
      <c r="Q201" s="49" t="str">
        <f>IFERROR(IF(compras_mes123[[#This Row],[CUIT]]="","-",VLOOKUP(compras_mes123[[#This Row],[CUIT]],Lista_CUIT[#All],3,0)),"CUIT NO CARGADO")</f>
        <v>Alquiler</v>
      </c>
      <c r="R201" s="49">
        <f>IFERROR(IF(compras_mes123[[#This Row],[CUIT]]="","-",VLOOKUP(compras_mes123[[#This Row],[CUIT]],Lista_CUIT[#All],4,0)),"CUIT NO CARGADO")</f>
        <v>0</v>
      </c>
    </row>
    <row r="202" spans="2:18" x14ac:dyDescent="0.25">
      <c r="B202" s="40" t="s">
        <v>2949</v>
      </c>
      <c r="C202" s="41">
        <v>3</v>
      </c>
      <c r="D202" s="42">
        <v>23</v>
      </c>
      <c r="E202" s="43">
        <v>110577</v>
      </c>
      <c r="F202" s="44">
        <v>30703088534</v>
      </c>
      <c r="G202" s="45" t="str">
        <f>IFERROR(IF(compras_mes123[[#This Row],[CUIT]]="","-",VLOOKUP(compras_mes123[[#This Row],[CUIT]],Lista_CUIT[#All],2,0)),"CUIT NO CARGADO")</f>
        <v>MERCADO LIBRE SRL</v>
      </c>
      <c r="H202" s="46">
        <v>-457.44</v>
      </c>
      <c r="I202" s="85">
        <f>IF(compras_mes123[[#This Row],[NETO GRAVADO]]="","",compras_mes123[[#This Row],[NETO GRAVADO]]*0.21)</f>
        <v>-96.062399999999997</v>
      </c>
      <c r="J202" s="85"/>
      <c r="K202" s="85"/>
      <c r="L202" s="85"/>
      <c r="M202" s="85"/>
      <c r="N202" s="85"/>
      <c r="O202" s="85">
        <v>-18.29</v>
      </c>
      <c r="P202" s="48">
        <f>SUM(compras_mes123[[#This Row],[NETO GRAVADO]:[Otros / No Grav.]])</f>
        <v>-571.79239999999993</v>
      </c>
      <c r="Q202" s="49" t="str">
        <f>IFERROR(IF(compras_mes123[[#This Row],[CUIT]]="","-",VLOOKUP(compras_mes123[[#This Row],[CUIT]],Lista_CUIT[#All],3,0)),"CUIT NO CARGADO")</f>
        <v>Gastos Varios</v>
      </c>
      <c r="R202" s="49" t="str">
        <f>IFERROR(IF(compras_mes123[[#This Row],[CUIT]]="","-",VLOOKUP(compras_mes123[[#This Row],[CUIT]],Lista_CUIT[#All],4,0)),"CUIT NO CARGADO")</f>
        <v>CABA</v>
      </c>
    </row>
    <row r="203" spans="2:18" x14ac:dyDescent="0.25">
      <c r="B203" s="40" t="s">
        <v>2969</v>
      </c>
      <c r="C203" s="41">
        <v>3</v>
      </c>
      <c r="D203" s="42">
        <v>11</v>
      </c>
      <c r="E203" s="43">
        <v>891204</v>
      </c>
      <c r="F203" s="44">
        <v>33709585229</v>
      </c>
      <c r="G203" s="45" t="str">
        <f>IFERROR(IF(compras_mes123[[#This Row],[CUIT]]="","-",VLOOKUP(compras_mes123[[#This Row],[CUIT]],Lista_CUIT[#All],2,0)),"CUIT NO CARGADO")</f>
        <v>GOOGLE ARGENTINA S.R.L.</v>
      </c>
      <c r="H203" s="46">
        <v>-53.17</v>
      </c>
      <c r="I203" s="85">
        <f>IF(compras_mes123[[#This Row],[NETO GRAVADO]]="","",compras_mes123[[#This Row],[NETO GRAVADO]]*0.21)</f>
        <v>-11.165699999999999</v>
      </c>
      <c r="J203" s="85"/>
      <c r="K203" s="85"/>
      <c r="L203" s="85"/>
      <c r="M203" s="85"/>
      <c r="N203" s="85"/>
      <c r="O203" s="85">
        <v>-12.07</v>
      </c>
      <c r="P203" s="48">
        <f>SUM(compras_mes123[[#This Row],[NETO GRAVADO]:[Otros / No Grav.]])</f>
        <v>-76.405699999999996</v>
      </c>
      <c r="Q203" s="49" t="str">
        <f>IFERROR(IF(compras_mes123[[#This Row],[CUIT]]="","-",VLOOKUP(compras_mes123[[#This Row],[CUIT]],Lista_CUIT[#All],3,0)),"CUIT NO CARGADO")</f>
        <v>Gastos Comercializacion</v>
      </c>
      <c r="R203" s="49">
        <f>IFERROR(IF(compras_mes123[[#This Row],[CUIT]]="","-",VLOOKUP(compras_mes123[[#This Row],[CUIT]],Lista_CUIT[#All],4,0)),"CUIT NO CARGADO")</f>
        <v>0</v>
      </c>
    </row>
    <row r="204" spans="2:18" x14ac:dyDescent="0.25">
      <c r="B204" s="546" t="s">
        <v>2955</v>
      </c>
      <c r="C204" s="547">
        <v>1</v>
      </c>
      <c r="D204" s="487">
        <v>12</v>
      </c>
      <c r="E204" s="548">
        <v>76561</v>
      </c>
      <c r="F204" s="549">
        <v>30696131003</v>
      </c>
      <c r="G204" s="550" t="str">
        <f>IFERROR(IF(compras_mes123[[#This Row],[CUIT]]="","-",VLOOKUP(compras_mes123[[#This Row],[CUIT]],Lista_CUIT[#All],2,0)),"CUIT NO CARGADO")</f>
        <v>Petrolfe S.A.</v>
      </c>
      <c r="H204" s="551">
        <v>213492.19</v>
      </c>
      <c r="I204" s="552">
        <f>IF(compras_mes123[[#This Row],[NETO GRAVADO]]="","",compras_mes123[[#This Row],[NETO GRAVADO]]*0.21)</f>
        <v>44833.359899999996</v>
      </c>
      <c r="J204" s="552"/>
      <c r="K204" s="552"/>
      <c r="L204" s="552"/>
      <c r="M204" s="552"/>
      <c r="N204" s="552"/>
      <c r="O204" s="552">
        <v>29942.240000000002</v>
      </c>
      <c r="P204" s="553">
        <f>SUM(compras_mes123[[#This Row],[NETO GRAVADO]:[Otros / No Grav.]])</f>
        <v>288267.78989999997</v>
      </c>
      <c r="Q204" s="554" t="str">
        <f>IFERROR(IF(compras_mes123[[#This Row],[CUIT]]="","-",VLOOKUP(compras_mes123[[#This Row],[CUIT]],Lista_CUIT[#All],3,0)),"CUIT NO CARGADO")</f>
        <v>Combustible</v>
      </c>
      <c r="R204" s="554">
        <f>IFERROR(IF(compras_mes123[[#This Row],[CUIT]]="","-",VLOOKUP(compras_mes123[[#This Row],[CUIT]],Lista_CUIT[#All],4,0)),"CUIT NO CARGADO")</f>
        <v>0</v>
      </c>
    </row>
    <row r="205" spans="2:18" x14ac:dyDescent="0.25">
      <c r="B205" s="546" t="s">
        <v>2938</v>
      </c>
      <c r="C205" s="547">
        <v>1</v>
      </c>
      <c r="D205" s="487">
        <v>11</v>
      </c>
      <c r="E205" s="548">
        <v>49186</v>
      </c>
      <c r="F205" s="549">
        <v>30696131003</v>
      </c>
      <c r="G205" s="550" t="str">
        <f>IFERROR(IF(compras_mes123[[#This Row],[CUIT]]="","-",VLOOKUP(compras_mes123[[#This Row],[CUIT]],Lista_CUIT[#All],2,0)),"CUIT NO CARGADO")</f>
        <v>Petrolfe S.A.</v>
      </c>
      <c r="H205" s="551">
        <v>45471.95</v>
      </c>
      <c r="I205" s="552">
        <f>IF(compras_mes123[[#This Row],[NETO GRAVADO]]="","",compras_mes123[[#This Row],[NETO GRAVADO]]*0.21)</f>
        <v>9549.1094999999987</v>
      </c>
      <c r="J205" s="552"/>
      <c r="K205" s="552"/>
      <c r="L205" s="552"/>
      <c r="M205" s="552"/>
      <c r="N205" s="552"/>
      <c r="O205" s="552">
        <v>6194.87</v>
      </c>
      <c r="P205" s="553">
        <f>SUM(compras_mes123[[#This Row],[NETO GRAVADO]:[Otros / No Grav.]])</f>
        <v>61215.929499999998</v>
      </c>
      <c r="Q205" s="554" t="str">
        <f>IFERROR(IF(compras_mes123[[#This Row],[CUIT]]="","-",VLOOKUP(compras_mes123[[#This Row],[CUIT]],Lista_CUIT[#All],3,0)),"CUIT NO CARGADO")</f>
        <v>Combustible</v>
      </c>
      <c r="R205" s="554">
        <f>IFERROR(IF(compras_mes123[[#This Row],[CUIT]]="","-",VLOOKUP(compras_mes123[[#This Row],[CUIT]],Lista_CUIT[#All],4,0)),"CUIT NO CARGADO")</f>
        <v>0</v>
      </c>
    </row>
    <row r="206" spans="2:18" x14ac:dyDescent="0.25">
      <c r="B206" s="546" t="s">
        <v>2957</v>
      </c>
      <c r="C206" s="547">
        <v>1</v>
      </c>
      <c r="D206" s="487">
        <v>5</v>
      </c>
      <c r="E206" s="548">
        <v>1213</v>
      </c>
      <c r="F206" s="549">
        <v>30710900430</v>
      </c>
      <c r="G206" s="550" t="str">
        <f>IFERROR(IF(compras_mes123[[#This Row],[CUIT]]="","-",VLOOKUP(compras_mes123[[#This Row],[CUIT]],Lista_CUIT[#All],2,0)),"CUIT NO CARGADO")</f>
        <v>FERRETERIA BALLESTER S.R.L</v>
      </c>
      <c r="H206" s="551">
        <v>6198.33</v>
      </c>
      <c r="I206" s="552">
        <f>IF(compras_mes123[[#This Row],[NETO GRAVADO]]="","",compras_mes123[[#This Row],[NETO GRAVADO]]*0.21)</f>
        <v>1301.6493</v>
      </c>
      <c r="J206" s="552"/>
      <c r="K206" s="552"/>
      <c r="L206" s="552"/>
      <c r="M206" s="552"/>
      <c r="N206" s="552"/>
      <c r="O206" s="552"/>
      <c r="P206" s="553">
        <f>SUM(compras_mes123[[#This Row],[NETO GRAVADO]:[Otros / No Grav.]])</f>
        <v>7499.9793</v>
      </c>
      <c r="Q206" s="554" t="str">
        <f>IFERROR(IF(compras_mes123[[#This Row],[CUIT]]="","-",VLOOKUP(compras_mes123[[#This Row],[CUIT]],Lista_CUIT[#All],3,0)),"CUIT NO CARGADO")</f>
        <v>Ferreteria</v>
      </c>
      <c r="R206" s="554">
        <f>IFERROR(IF(compras_mes123[[#This Row],[CUIT]]="","-",VLOOKUP(compras_mes123[[#This Row],[CUIT]],Lista_CUIT[#All],4,0)),"CUIT NO CARGADO")</f>
        <v>0</v>
      </c>
    </row>
    <row r="207" spans="2:18" x14ac:dyDescent="0.25">
      <c r="B207" s="546" t="s">
        <v>2957</v>
      </c>
      <c r="C207" s="547">
        <v>1</v>
      </c>
      <c r="D207" s="487">
        <v>12</v>
      </c>
      <c r="E207" s="548">
        <v>76929</v>
      </c>
      <c r="F207" s="549">
        <v>30696131003</v>
      </c>
      <c r="G207" s="550" t="str">
        <f>IFERROR(IF(compras_mes123[[#This Row],[CUIT]]="","-",VLOOKUP(compras_mes123[[#This Row],[CUIT]],Lista_CUIT[#All],2,0)),"CUIT NO CARGADO")</f>
        <v>Petrolfe S.A.</v>
      </c>
      <c r="H207" s="551">
        <v>291629.90000000002</v>
      </c>
      <c r="I207" s="552">
        <f>IF(compras_mes123[[#This Row],[NETO GRAVADO]]="","",compras_mes123[[#This Row],[NETO GRAVADO]]*0.21)</f>
        <v>61242.279000000002</v>
      </c>
      <c r="J207" s="552"/>
      <c r="K207" s="552"/>
      <c r="L207" s="552"/>
      <c r="M207" s="552"/>
      <c r="N207" s="552"/>
      <c r="O207" s="552">
        <v>35382.15</v>
      </c>
      <c r="P207" s="553">
        <f>SUM(compras_mes123[[#This Row],[NETO GRAVADO]:[Otros / No Grav.]])</f>
        <v>388254.32900000003</v>
      </c>
      <c r="Q207" s="554" t="str">
        <f>IFERROR(IF(compras_mes123[[#This Row],[CUIT]]="","-",VLOOKUP(compras_mes123[[#This Row],[CUIT]],Lista_CUIT[#All],3,0)),"CUIT NO CARGADO")</f>
        <v>Combustible</v>
      </c>
      <c r="R207" s="554">
        <f>IFERROR(IF(compras_mes123[[#This Row],[CUIT]]="","-",VLOOKUP(compras_mes123[[#This Row],[CUIT]],Lista_CUIT[#All],4,0)),"CUIT NO CARGADO")</f>
        <v>0</v>
      </c>
    </row>
    <row r="208" spans="2:18" x14ac:dyDescent="0.25">
      <c r="B208" s="546" t="s">
        <v>2941</v>
      </c>
      <c r="C208" s="547">
        <v>1</v>
      </c>
      <c r="D208" s="487">
        <v>3</v>
      </c>
      <c r="E208" s="548">
        <v>23356</v>
      </c>
      <c r="F208" s="549">
        <v>30714946389</v>
      </c>
      <c r="G208" s="550" t="str">
        <f>IFERROR(IF(compras_mes123[[#This Row],[CUIT]]="","-",VLOOKUP(compras_mes123[[#This Row],[CUIT]],Lista_CUIT[#All],2,0)),"CUIT NO CARGADO")</f>
        <v>DESCARTABLES Y EMBALAJES SAN ISIDRO S.R.L.</v>
      </c>
      <c r="H208" s="551">
        <v>21363.62</v>
      </c>
      <c r="I208" s="552">
        <f>IF(compras_mes123[[#This Row],[NETO GRAVADO]]="","",compras_mes123[[#This Row],[NETO GRAVADO]]*0.21)</f>
        <v>4486.3601999999992</v>
      </c>
      <c r="J208" s="552"/>
      <c r="K208" s="552"/>
      <c r="L208" s="552"/>
      <c r="M208" s="552"/>
      <c r="N208" s="552"/>
      <c r="O208" s="552"/>
      <c r="P208" s="553">
        <f>SUM(compras_mes123[[#This Row],[NETO GRAVADO]:[Otros / No Grav.]])</f>
        <v>25849.980199999998</v>
      </c>
      <c r="Q208" s="554" t="str">
        <f>IFERROR(IF(compras_mes123[[#This Row],[CUIT]]="","-",VLOOKUP(compras_mes123[[#This Row],[CUIT]],Lista_CUIT[#All],3,0)),"CUIT NO CARGADO")</f>
        <v>Material de Empaque</v>
      </c>
      <c r="R208" s="554">
        <f>IFERROR(IF(compras_mes123[[#This Row],[CUIT]]="","-",VLOOKUP(compras_mes123[[#This Row],[CUIT]],Lista_CUIT[#All],4,0)),"CUIT NO CARGADO")</f>
        <v>0</v>
      </c>
    </row>
    <row r="209" spans="2:18" x14ac:dyDescent="0.25">
      <c r="B209" s="546" t="s">
        <v>2941</v>
      </c>
      <c r="C209" s="547">
        <v>1</v>
      </c>
      <c r="D209" s="487">
        <v>6</v>
      </c>
      <c r="E209" s="548">
        <v>1159</v>
      </c>
      <c r="F209" s="549">
        <v>30711966400</v>
      </c>
      <c r="G209" s="550" t="str">
        <f>IFERROR(IF(compras_mes123[[#This Row],[CUIT]]="","-",VLOOKUP(compras_mes123[[#This Row],[CUIT]],Lista_CUIT[#All],2,0)),"CUIT NO CARGADO")</f>
        <v>TORTORELLA S.A</v>
      </c>
      <c r="H209" s="551">
        <v>128677.67</v>
      </c>
      <c r="I209" s="552">
        <f>IF(compras_mes123[[#This Row],[NETO GRAVADO]]="","",compras_mes123[[#This Row],[NETO GRAVADO]]*0.21)</f>
        <v>27022.310699999998</v>
      </c>
      <c r="J209" s="552"/>
      <c r="K209" s="552"/>
      <c r="L209" s="552"/>
      <c r="M209" s="552"/>
      <c r="N209" s="552"/>
      <c r="O209" s="552"/>
      <c r="P209" s="553">
        <f>SUM(compras_mes123[[#This Row],[NETO GRAVADO]:[Otros / No Grav.]])</f>
        <v>155699.98069999999</v>
      </c>
      <c r="Q209" s="554" t="str">
        <f>IFERROR(IF(compras_mes123[[#This Row],[CUIT]]="","-",VLOOKUP(compras_mes123[[#This Row],[CUIT]],Lista_CUIT[#All],3,0)),"CUIT NO CARGADO")</f>
        <v>Gastos Varios</v>
      </c>
      <c r="R209" s="554">
        <f>IFERROR(IF(compras_mes123[[#This Row],[CUIT]]="","-",VLOOKUP(compras_mes123[[#This Row],[CUIT]],Lista_CUIT[#All],4,0)),"CUIT NO CARGADO")</f>
        <v>0</v>
      </c>
    </row>
    <row r="210" spans="2:18" x14ac:dyDescent="0.25">
      <c r="B210" s="546" t="s">
        <v>2962</v>
      </c>
      <c r="C210" s="547">
        <v>1</v>
      </c>
      <c r="D210" s="487">
        <v>12</v>
      </c>
      <c r="E210" s="548">
        <v>77399</v>
      </c>
      <c r="F210" s="549">
        <v>30696131003</v>
      </c>
      <c r="G210" s="550" t="str">
        <f>IFERROR(IF(compras_mes123[[#This Row],[CUIT]]="","-",VLOOKUP(compras_mes123[[#This Row],[CUIT]],Lista_CUIT[#All],2,0)),"CUIT NO CARGADO")</f>
        <v>Petrolfe S.A.</v>
      </c>
      <c r="H210" s="551">
        <v>303309.09999999998</v>
      </c>
      <c r="I210" s="552">
        <f>IF(compras_mes123[[#This Row],[NETO GRAVADO]]="","",compras_mes123[[#This Row],[NETO GRAVADO]]*0.21)</f>
        <v>63694.910999999993</v>
      </c>
      <c r="J210" s="552"/>
      <c r="K210" s="552"/>
      <c r="L210" s="552"/>
      <c r="M210" s="552"/>
      <c r="N210" s="552"/>
      <c r="O210" s="552">
        <v>38019.599999999999</v>
      </c>
      <c r="P210" s="553">
        <f>SUM(compras_mes123[[#This Row],[NETO GRAVADO]:[Otros / No Grav.]])</f>
        <v>405023.61099999992</v>
      </c>
      <c r="Q210" s="554" t="str">
        <f>IFERROR(IF(compras_mes123[[#This Row],[CUIT]]="","-",VLOOKUP(compras_mes123[[#This Row],[CUIT]],Lista_CUIT[#All],3,0)),"CUIT NO CARGADO")</f>
        <v>Combustible</v>
      </c>
      <c r="R210" s="554">
        <f>IFERROR(IF(compras_mes123[[#This Row],[CUIT]]="","-",VLOOKUP(compras_mes123[[#This Row],[CUIT]],Lista_CUIT[#All],4,0)),"CUIT NO CARGADO")</f>
        <v>0</v>
      </c>
    </row>
    <row r="211" spans="2:18" x14ac:dyDescent="0.25">
      <c r="B211" s="546" t="s">
        <v>2964</v>
      </c>
      <c r="C211" s="547">
        <v>1</v>
      </c>
      <c r="D211" s="487">
        <v>12</v>
      </c>
      <c r="E211" s="548">
        <v>77888</v>
      </c>
      <c r="F211" s="549">
        <v>30696131003</v>
      </c>
      <c r="G211" s="550" t="str">
        <f>IFERROR(IF(compras_mes123[[#This Row],[CUIT]]="","-",VLOOKUP(compras_mes123[[#This Row],[CUIT]],Lista_CUIT[#All],2,0)),"CUIT NO CARGADO")</f>
        <v>Petrolfe S.A.</v>
      </c>
      <c r="H211" s="551">
        <v>230710.43</v>
      </c>
      <c r="I211" s="552">
        <f>IF(compras_mes123[[#This Row],[NETO GRAVADO]]="","",compras_mes123[[#This Row],[NETO GRAVADO]]*0.21)</f>
        <v>48449.190299999995</v>
      </c>
      <c r="J211" s="552"/>
      <c r="K211" s="552"/>
      <c r="L211" s="552"/>
      <c r="M211" s="552"/>
      <c r="N211" s="552"/>
      <c r="O211" s="552">
        <v>25607.82</v>
      </c>
      <c r="P211" s="553">
        <f>SUM(compras_mes123[[#This Row],[NETO GRAVADO]:[Otros / No Grav.]])</f>
        <v>304767.44030000002</v>
      </c>
      <c r="Q211" s="554" t="str">
        <f>IFERROR(IF(compras_mes123[[#This Row],[CUIT]]="","-",VLOOKUP(compras_mes123[[#This Row],[CUIT]],Lista_CUIT[#All],3,0)),"CUIT NO CARGADO")</f>
        <v>Combustible</v>
      </c>
      <c r="R211" s="554">
        <f>IFERROR(IF(compras_mes123[[#This Row],[CUIT]]="","-",VLOOKUP(compras_mes123[[#This Row],[CUIT]],Lista_CUIT[#All],4,0)),"CUIT NO CARGADO")</f>
        <v>0</v>
      </c>
    </row>
    <row r="212" spans="2:18" x14ac:dyDescent="0.25">
      <c r="B212" s="546" t="s">
        <v>2949</v>
      </c>
      <c r="C212" s="547">
        <v>1</v>
      </c>
      <c r="D212" s="487">
        <v>12</v>
      </c>
      <c r="E212" s="548">
        <v>78210</v>
      </c>
      <c r="F212" s="549">
        <v>30696131003</v>
      </c>
      <c r="G212" s="550" t="str">
        <f>IFERROR(IF(compras_mes123[[#This Row],[CUIT]]="","-",VLOOKUP(compras_mes123[[#This Row],[CUIT]],Lista_CUIT[#All],2,0)),"CUIT NO CARGADO")</f>
        <v>Petrolfe S.A.</v>
      </c>
      <c r="H212" s="551">
        <v>228790.76</v>
      </c>
      <c r="I212" s="552">
        <f>IF(compras_mes123[[#This Row],[NETO GRAVADO]]="","",compras_mes123[[#This Row],[NETO GRAVADO]]*0.21)</f>
        <v>48046.059600000001</v>
      </c>
      <c r="J212" s="552"/>
      <c r="K212" s="552"/>
      <c r="L212" s="552"/>
      <c r="M212" s="552"/>
      <c r="N212" s="552"/>
      <c r="O212" s="552">
        <v>28581.94</v>
      </c>
      <c r="P212" s="553">
        <f>SUM(compras_mes123[[#This Row],[NETO GRAVADO]:[Otros / No Grav.]])</f>
        <v>305418.75959999999</v>
      </c>
      <c r="Q212" s="554" t="str">
        <f>IFERROR(IF(compras_mes123[[#This Row],[CUIT]]="","-",VLOOKUP(compras_mes123[[#This Row],[CUIT]],Lista_CUIT[#All],3,0)),"CUIT NO CARGADO")</f>
        <v>Combustible</v>
      </c>
      <c r="R212" s="554">
        <f>IFERROR(IF(compras_mes123[[#This Row],[CUIT]]="","-",VLOOKUP(compras_mes123[[#This Row],[CUIT]],Lista_CUIT[#All],4,0)),"CUIT NO CARGADO")</f>
        <v>0</v>
      </c>
    </row>
    <row r="213" spans="2:18" x14ac:dyDescent="0.25">
      <c r="B213" s="546"/>
      <c r="C213" s="547"/>
      <c r="D213" s="487"/>
      <c r="E213" s="548"/>
      <c r="F213" s="549"/>
      <c r="G213" s="550" t="str">
        <f>IFERROR(IF(compras_mes123[[#This Row],[CUIT]]="","-",VLOOKUP(compras_mes123[[#This Row],[CUIT]],Lista_CUIT[#All],2,0)),"CUIT NO CARGADO")</f>
        <v>-</v>
      </c>
      <c r="H213" s="551"/>
      <c r="I213" s="552" t="str">
        <f>IF(compras_mes123[[#This Row],[NETO GRAVADO]]="","",compras_mes123[[#This Row],[NETO GRAVADO]]*0.21)</f>
        <v/>
      </c>
      <c r="J213" s="552"/>
      <c r="K213" s="552"/>
      <c r="L213" s="552"/>
      <c r="M213" s="552"/>
      <c r="N213" s="552"/>
      <c r="O213" s="552"/>
      <c r="P213" s="553">
        <f>SUM(compras_mes123[[#This Row],[NETO GRAVADO]:[Otros / No Grav.]])</f>
        <v>0</v>
      </c>
      <c r="Q213" s="554" t="str">
        <f>IFERROR(IF(compras_mes123[[#This Row],[CUIT]]="","-",VLOOKUP(compras_mes123[[#This Row],[CUIT]],Lista_CUIT[#All],3,0)),"CUIT NO CARGADO")</f>
        <v>-</v>
      </c>
      <c r="R213" s="554" t="str">
        <f>IFERROR(IF(compras_mes123[[#This Row],[CUIT]]="","-",VLOOKUP(compras_mes123[[#This Row],[CUIT]],Lista_CUIT[#All],4,0)),"CUIT NO CARGADO")</f>
        <v>-</v>
      </c>
    </row>
    <row r="214" spans="2:18" x14ac:dyDescent="0.25">
      <c r="B214" s="40"/>
      <c r="C214" s="41"/>
      <c r="D214" s="42"/>
      <c r="E214" s="43"/>
      <c r="F214" s="44"/>
      <c r="G214" s="45" t="str">
        <f>IFERROR(IF(compras_mes123[[#This Row],[CUIT]]="","-",VLOOKUP(compras_mes123[[#This Row],[CUIT]],Lista_CUIT[#All],2,0)),"CUIT NO CARGADO")</f>
        <v>-</v>
      </c>
      <c r="H214" s="46"/>
      <c r="I214" s="85" t="str">
        <f>IF(compras_mes123[[#This Row],[NETO GRAVADO]]="","",compras_mes123[[#This Row],[NETO GRAVADO]]*0.21)</f>
        <v/>
      </c>
      <c r="J214" s="85"/>
      <c r="K214" s="85"/>
      <c r="L214" s="85"/>
      <c r="M214" s="85"/>
      <c r="N214" s="85"/>
      <c r="O214" s="85"/>
      <c r="P214" s="48">
        <f>SUM(compras_mes123[[#This Row],[NETO GRAVADO]:[Otros / No Grav.]])</f>
        <v>0</v>
      </c>
      <c r="Q214" s="49" t="str">
        <f>IFERROR(IF(compras_mes123[[#This Row],[CUIT]]="","-",VLOOKUP(compras_mes123[[#This Row],[CUIT]],Lista_CUIT[#All],3,0)),"CUIT NO CARGADO")</f>
        <v>-</v>
      </c>
      <c r="R214" s="49" t="str">
        <f>IFERROR(IF(compras_mes123[[#This Row],[CUIT]]="","-",VLOOKUP(compras_mes123[[#This Row],[CUIT]],Lista_CUIT[#All],4,0)),"CUIT NO CARGADO")</f>
        <v>-</v>
      </c>
    </row>
    <row r="215" spans="2:18" x14ac:dyDescent="0.25">
      <c r="B215" s="40"/>
      <c r="C215" s="41"/>
      <c r="D215" s="42"/>
      <c r="E215" s="43"/>
      <c r="F215" s="44"/>
      <c r="G215" s="45" t="str">
        <f>IFERROR(IF(compras_mes123[[#This Row],[CUIT]]="","-",VLOOKUP(compras_mes123[[#This Row],[CUIT]],Lista_CUIT[#All],2,0)),"CUIT NO CARGADO")</f>
        <v>-</v>
      </c>
      <c r="H215" s="46"/>
      <c r="I215" s="85" t="str">
        <f>IF(compras_mes123[[#This Row],[NETO GRAVADO]]="","",compras_mes123[[#This Row],[NETO GRAVADO]]*0.21)</f>
        <v/>
      </c>
      <c r="J215" s="85"/>
      <c r="K215" s="85"/>
      <c r="L215" s="85"/>
      <c r="M215" s="85"/>
      <c r="N215" s="85"/>
      <c r="O215" s="85"/>
      <c r="P215" s="48">
        <f>SUM(compras_mes123[[#This Row],[NETO GRAVADO]:[Otros / No Grav.]])</f>
        <v>0</v>
      </c>
      <c r="Q215" s="49" t="str">
        <f>IFERROR(IF(compras_mes123[[#This Row],[CUIT]]="","-",VLOOKUP(compras_mes123[[#This Row],[CUIT]],Lista_CUIT[#All],3,0)),"CUIT NO CARGADO")</f>
        <v>-</v>
      </c>
      <c r="R215" s="49" t="str">
        <f>IFERROR(IF(compras_mes123[[#This Row],[CUIT]]="","-",VLOOKUP(compras_mes123[[#This Row],[CUIT]],Lista_CUIT[#All],4,0)),"CUIT NO CARGADO")</f>
        <v>-</v>
      </c>
    </row>
    <row r="216" spans="2:18" x14ac:dyDescent="0.25">
      <c r="B216" s="40"/>
      <c r="C216" s="41"/>
      <c r="D216" s="42"/>
      <c r="E216" s="43"/>
      <c r="F216" s="44"/>
      <c r="G216" s="45" t="str">
        <f>IFERROR(IF(compras_mes123[[#This Row],[CUIT]]="","-",VLOOKUP(compras_mes123[[#This Row],[CUIT]],Lista_CUIT[#All],2,0)),"CUIT NO CARGADO")</f>
        <v>-</v>
      </c>
      <c r="H216" s="46"/>
      <c r="I216" s="85" t="str">
        <f>IF(compras_mes123[[#This Row],[NETO GRAVADO]]="","",compras_mes123[[#This Row],[NETO GRAVADO]]*0.21)</f>
        <v/>
      </c>
      <c r="J216" s="85"/>
      <c r="K216" s="85"/>
      <c r="L216" s="85"/>
      <c r="M216" s="85"/>
      <c r="N216" s="85"/>
      <c r="O216" s="85"/>
      <c r="P216" s="48">
        <f>SUM(compras_mes123[[#This Row],[NETO GRAVADO]:[Otros / No Grav.]])</f>
        <v>0</v>
      </c>
      <c r="Q216" s="49" t="str">
        <f>IFERROR(IF(compras_mes123[[#This Row],[CUIT]]="","-",VLOOKUP(compras_mes123[[#This Row],[CUIT]],Lista_CUIT[#All],3,0)),"CUIT NO CARGADO")</f>
        <v>-</v>
      </c>
      <c r="R216" s="49" t="str">
        <f>IFERROR(IF(compras_mes123[[#This Row],[CUIT]]="","-",VLOOKUP(compras_mes123[[#This Row],[CUIT]],Lista_CUIT[#All],4,0)),"CUIT NO CARGADO")</f>
        <v>-</v>
      </c>
    </row>
    <row r="217" spans="2:18" x14ac:dyDescent="0.25">
      <c r="B217" s="40"/>
      <c r="C217" s="41"/>
      <c r="D217" s="42"/>
      <c r="E217" s="43"/>
      <c r="F217" s="44"/>
      <c r="G217" s="45" t="str">
        <f>IFERROR(IF(compras_mes123[[#This Row],[CUIT]]="","-",VLOOKUP(compras_mes123[[#This Row],[CUIT]],Lista_CUIT[#All],2,0)),"CUIT NO CARGADO")</f>
        <v>-</v>
      </c>
      <c r="H217" s="46"/>
      <c r="I217" s="85" t="str">
        <f>IF(compras_mes123[[#This Row],[NETO GRAVADO]]="","",compras_mes123[[#This Row],[NETO GRAVADO]]*0.21)</f>
        <v/>
      </c>
      <c r="J217" s="85"/>
      <c r="K217" s="85"/>
      <c r="L217" s="85"/>
      <c r="M217" s="85"/>
      <c r="N217" s="85"/>
      <c r="O217" s="85"/>
      <c r="P217" s="48">
        <f>SUM(compras_mes123[[#This Row],[NETO GRAVADO]:[Otros / No Grav.]])</f>
        <v>0</v>
      </c>
      <c r="Q217" s="49" t="str">
        <f>IFERROR(IF(compras_mes123[[#This Row],[CUIT]]="","-",VLOOKUP(compras_mes123[[#This Row],[CUIT]],Lista_CUIT[#All],3,0)),"CUIT NO CARGADO")</f>
        <v>-</v>
      </c>
      <c r="R217" s="49" t="str">
        <f>IFERROR(IF(compras_mes123[[#This Row],[CUIT]]="","-",VLOOKUP(compras_mes123[[#This Row],[CUIT]],Lista_CUIT[#All],4,0)),"CUIT NO CARGADO")</f>
        <v>-</v>
      </c>
    </row>
    <row r="218" spans="2:18" x14ac:dyDescent="0.25">
      <c r="B218" s="40"/>
      <c r="C218" s="41"/>
      <c r="D218" s="42"/>
      <c r="E218" s="43"/>
      <c r="F218" s="44"/>
      <c r="G218" s="45" t="str">
        <f>IFERROR(IF(compras_mes123[[#This Row],[CUIT]]="","-",VLOOKUP(compras_mes123[[#This Row],[CUIT]],Lista_CUIT[#All],2,0)),"CUIT NO CARGADO")</f>
        <v>-</v>
      </c>
      <c r="H218" s="46"/>
      <c r="I218" s="85" t="str">
        <f>IF(compras_mes123[[#This Row],[NETO GRAVADO]]="","",compras_mes123[[#This Row],[NETO GRAVADO]]*0.21)</f>
        <v/>
      </c>
      <c r="J218" s="85"/>
      <c r="K218" s="85"/>
      <c r="L218" s="85"/>
      <c r="M218" s="85"/>
      <c r="N218" s="85"/>
      <c r="O218" s="85"/>
      <c r="P218" s="48">
        <f>SUM(compras_mes123[[#This Row],[NETO GRAVADO]:[Otros / No Grav.]])</f>
        <v>0</v>
      </c>
      <c r="Q218" s="49" t="str">
        <f>IFERROR(IF(compras_mes123[[#This Row],[CUIT]]="","-",VLOOKUP(compras_mes123[[#This Row],[CUIT]],Lista_CUIT[#All],3,0)),"CUIT NO CARGADO")</f>
        <v>-</v>
      </c>
      <c r="R218" s="49" t="str">
        <f>IFERROR(IF(compras_mes123[[#This Row],[CUIT]]="","-",VLOOKUP(compras_mes123[[#This Row],[CUIT]],Lista_CUIT[#All],4,0)),"CUIT NO CARGADO")</f>
        <v>-</v>
      </c>
    </row>
    <row r="219" spans="2:18" x14ac:dyDescent="0.25">
      <c r="B219" s="40"/>
      <c r="C219" s="41"/>
      <c r="D219" s="42"/>
      <c r="E219" s="43"/>
      <c r="F219" s="44"/>
      <c r="G219" s="45" t="str">
        <f>IFERROR(IF(compras_mes123[[#This Row],[CUIT]]="","-",VLOOKUP(compras_mes123[[#This Row],[CUIT]],Lista_CUIT[#All],2,0)),"CUIT NO CARGADO")</f>
        <v>-</v>
      </c>
      <c r="H219" s="46"/>
      <c r="I219" s="85" t="str">
        <f>IF(compras_mes123[[#This Row],[NETO GRAVADO]]="","",compras_mes123[[#This Row],[NETO GRAVADO]]*0.21)</f>
        <v/>
      </c>
      <c r="J219" s="85"/>
      <c r="K219" s="85"/>
      <c r="L219" s="85"/>
      <c r="M219" s="85"/>
      <c r="N219" s="85"/>
      <c r="O219" s="85"/>
      <c r="P219" s="48">
        <f>SUM(compras_mes123[[#This Row],[NETO GRAVADO]:[Otros / No Grav.]])</f>
        <v>0</v>
      </c>
      <c r="Q219" s="49" t="str">
        <f>IFERROR(IF(compras_mes123[[#This Row],[CUIT]]="","-",VLOOKUP(compras_mes123[[#This Row],[CUIT]],Lista_CUIT[#All],3,0)),"CUIT NO CARGADO")</f>
        <v>-</v>
      </c>
      <c r="R219" s="49" t="str">
        <f>IFERROR(IF(compras_mes123[[#This Row],[CUIT]]="","-",VLOOKUP(compras_mes123[[#This Row],[CUIT]],Lista_CUIT[#All],4,0)),"CUIT NO CARGADO")</f>
        <v>-</v>
      </c>
    </row>
    <row r="220" spans="2:18" x14ac:dyDescent="0.25">
      <c r="B220" s="40"/>
      <c r="C220" s="41"/>
      <c r="D220" s="42"/>
      <c r="E220" s="43"/>
      <c r="F220" s="44"/>
      <c r="G220" s="45" t="str">
        <f>IFERROR(IF(compras_mes123[[#This Row],[CUIT]]="","-",VLOOKUP(compras_mes123[[#This Row],[CUIT]],Lista_CUIT[#All],2,0)),"CUIT NO CARGADO")</f>
        <v>-</v>
      </c>
      <c r="H220" s="46"/>
      <c r="I220" s="85" t="str">
        <f>IF(compras_mes123[[#This Row],[NETO GRAVADO]]="","",compras_mes123[[#This Row],[NETO GRAVADO]]*0.21)</f>
        <v/>
      </c>
      <c r="J220" s="85"/>
      <c r="K220" s="85"/>
      <c r="L220" s="85"/>
      <c r="M220" s="85"/>
      <c r="N220" s="85"/>
      <c r="O220" s="85"/>
      <c r="P220" s="48">
        <f>SUM(compras_mes123[[#This Row],[NETO GRAVADO]:[Otros / No Grav.]])</f>
        <v>0</v>
      </c>
      <c r="Q220" s="49" t="str">
        <f>IFERROR(IF(compras_mes123[[#This Row],[CUIT]]="","-",VLOOKUP(compras_mes123[[#This Row],[CUIT]],Lista_CUIT[#All],3,0)),"CUIT NO CARGADO")</f>
        <v>-</v>
      </c>
      <c r="R220" s="49" t="str">
        <f>IFERROR(IF(compras_mes123[[#This Row],[CUIT]]="","-",VLOOKUP(compras_mes123[[#This Row],[CUIT]],Lista_CUIT[#All],4,0)),"CUIT NO CARGADO")</f>
        <v>-</v>
      </c>
    </row>
    <row r="221" spans="2:18" x14ac:dyDescent="0.25">
      <c r="B221" s="95" t="s">
        <v>103</v>
      </c>
      <c r="C221" s="95"/>
      <c r="D221" s="95"/>
      <c r="E221" s="95"/>
      <c r="F221" s="95"/>
      <c r="G221" s="96"/>
      <c r="H221" s="97">
        <f>SUBTOTAL(109,compras_mes123[NETO GRAVADO])</f>
        <v>106201413.67000008</v>
      </c>
      <c r="I221" s="97">
        <f>SUBTOTAL(109,compras_mes123[IVA 21 %])</f>
        <v>21103242.600999974</v>
      </c>
      <c r="J221" s="97">
        <f>SUBTOTAL(109,compras_mes123[IVA 27%])</f>
        <v>32106.881600000001</v>
      </c>
      <c r="K221" s="97">
        <f>SUBTOTAL(109,compras_mes123[IVA 10,5%])</f>
        <v>582346.50899999985</v>
      </c>
      <c r="L221" s="97">
        <f>SUBTOTAL(109,compras_mes123[PERC. IVA])</f>
        <v>0</v>
      </c>
      <c r="M221" s="97">
        <f>SUBTOTAL(109,compras_mes123[PERC IIBB 
BS AS])</f>
        <v>0</v>
      </c>
      <c r="N221" s="97">
        <f>SUBTOTAL(109,compras_mes123[PERC. IIBB CABA])</f>
        <v>0</v>
      </c>
      <c r="O221" s="97">
        <f>SUBTOTAL(109,compras_mes123[Otros / No Grav.])</f>
        <v>671673.2300000001</v>
      </c>
      <c r="P221" s="97">
        <f>SUBTOTAL(109,compras_mes123[TOTAL])</f>
        <v>128590782.89159997</v>
      </c>
      <c r="Q221" s="95"/>
      <c r="R221" s="95"/>
    </row>
    <row r="222" spans="2:18" x14ac:dyDescent="0.25">
      <c r="B222" s="40"/>
      <c r="C222" s="41"/>
      <c r="D222" s="42"/>
      <c r="E222" s="43"/>
      <c r="F222" s="44"/>
      <c r="G222" s="45"/>
      <c r="H222" s="46"/>
      <c r="I222" s="47"/>
      <c r="J222" s="47"/>
      <c r="K222" s="47"/>
      <c r="L222" s="47"/>
      <c r="M222" s="47"/>
      <c r="N222" s="47"/>
      <c r="O222" s="47"/>
      <c r="P222" s="48"/>
      <c r="Q222" s="49"/>
      <c r="R222" s="49"/>
    </row>
    <row r="223" spans="2:18" x14ac:dyDescent="0.25">
      <c r="B223" s="40"/>
      <c r="C223" s="41"/>
      <c r="D223" s="42"/>
      <c r="E223" s="43"/>
      <c r="F223" s="44"/>
      <c r="G223" s="45"/>
      <c r="H223" s="46"/>
      <c r="I223" s="47"/>
      <c r="J223" s="47"/>
      <c r="K223" s="47"/>
      <c r="L223" s="47"/>
      <c r="M223" s="47"/>
      <c r="N223" s="47"/>
      <c r="O223" s="47"/>
      <c r="P223" s="48"/>
      <c r="Q223" s="49"/>
      <c r="R223" s="49"/>
    </row>
    <row r="224" spans="2:18" x14ac:dyDescent="0.25">
      <c r="B224" s="40"/>
      <c r="C224" s="41"/>
      <c r="D224" s="42"/>
      <c r="E224" s="43"/>
      <c r="F224" s="44"/>
      <c r="G224" s="45"/>
      <c r="H224" s="46"/>
      <c r="I224" s="46"/>
      <c r="J224" s="47"/>
      <c r="K224" s="47"/>
      <c r="L224" s="47"/>
      <c r="M224" s="47"/>
      <c r="N224" s="47"/>
      <c r="O224" s="47"/>
      <c r="P224" s="48"/>
      <c r="Q224" s="49"/>
      <c r="R224" s="49"/>
    </row>
    <row r="225" spans="2:12" x14ac:dyDescent="0.25">
      <c r="B225" s="40"/>
      <c r="C225" s="41"/>
      <c r="D225" s="42"/>
      <c r="E225" s="43"/>
      <c r="F225" s="44"/>
      <c r="G225" s="45"/>
      <c r="H225" s="46"/>
      <c r="I225" s="47"/>
      <c r="J225" s="47"/>
      <c r="K225" s="47"/>
      <c r="L225" s="47"/>
    </row>
    <row r="226" spans="2:12" ht="21" x14ac:dyDescent="0.25">
      <c r="D226" s="581" t="s">
        <v>15</v>
      </c>
      <c r="E226" s="581"/>
      <c r="F226" s="581"/>
      <c r="G226" s="581"/>
      <c r="H226" s="581"/>
      <c r="I226" s="581"/>
      <c r="J226" s="581"/>
      <c r="K226" s="581"/>
      <c r="L226" s="581"/>
    </row>
    <row r="227" spans="2:12" ht="15.75" x14ac:dyDescent="0.25">
      <c r="D227" s="73" t="s">
        <v>0</v>
      </c>
      <c r="E227" s="74" t="s">
        <v>26</v>
      </c>
      <c r="F227" s="74" t="s">
        <v>16</v>
      </c>
      <c r="G227" s="74" t="s">
        <v>5</v>
      </c>
      <c r="H227" s="74" t="s">
        <v>17</v>
      </c>
      <c r="I227" s="74" t="s">
        <v>7</v>
      </c>
      <c r="J227" s="75" t="s">
        <v>18</v>
      </c>
      <c r="K227" s="75" t="s">
        <v>19</v>
      </c>
      <c r="L227" s="76" t="s">
        <v>20</v>
      </c>
    </row>
    <row r="228" spans="2:12" x14ac:dyDescent="0.25">
      <c r="D228" s="50"/>
      <c r="E228" s="155"/>
      <c r="F228" s="80" t="s">
        <v>2377</v>
      </c>
      <c r="G228" s="81">
        <v>132787.09523809524</v>
      </c>
      <c r="H228" s="81">
        <f>extracto_banco_mes1256[[#This Row],[NETO]]*0.21</f>
        <v>27885.289999999997</v>
      </c>
      <c r="I228" s="81"/>
      <c r="J228" s="81">
        <v>3993.12</v>
      </c>
      <c r="K228" s="81">
        <v>3893.31</v>
      </c>
      <c r="L228" s="81"/>
    </row>
    <row r="229" spans="2:12" x14ac:dyDescent="0.25">
      <c r="D229" s="50"/>
      <c r="E229" s="155"/>
      <c r="F229" s="80" t="s">
        <v>2445</v>
      </c>
      <c r="G229" s="81">
        <v>67971.03</v>
      </c>
      <c r="H229" s="81">
        <v>14245.35</v>
      </c>
      <c r="I229" s="81">
        <v>14.283149999999999</v>
      </c>
      <c r="J229" s="81">
        <v>2035.05</v>
      </c>
      <c r="K229" s="81">
        <v>2035.05</v>
      </c>
      <c r="L229" s="81"/>
    </row>
    <row r="230" spans="2:12" x14ac:dyDescent="0.25">
      <c r="D230" s="50"/>
      <c r="E230" s="155"/>
      <c r="F230" s="80" t="s">
        <v>2809</v>
      </c>
      <c r="G230" s="81">
        <v>7128.1</v>
      </c>
      <c r="H230" s="81">
        <f>extracto_banco_mes1256[[#This Row],[NETO]]*0.21</f>
        <v>1496.9010000000001</v>
      </c>
      <c r="I230" s="81"/>
      <c r="J230" s="81">
        <v>827.04</v>
      </c>
      <c r="K230" s="81">
        <v>213.84</v>
      </c>
      <c r="L230" s="81"/>
    </row>
    <row r="231" spans="2:12" x14ac:dyDescent="0.25">
      <c r="D231" s="50"/>
      <c r="E231" s="155"/>
      <c r="F231" s="80" t="s">
        <v>2375</v>
      </c>
      <c r="G231" s="81">
        <v>66024.428571428565</v>
      </c>
      <c r="H231" s="81">
        <f>extracto_banco_mes1256[[#This Row],[NETO]]*0.21</f>
        <v>13865.129999999997</v>
      </c>
      <c r="I231" s="81"/>
      <c r="J231" s="81">
        <v>2311.4700000000003</v>
      </c>
      <c r="K231" s="81">
        <v>1980.73</v>
      </c>
      <c r="L231" s="81"/>
    </row>
    <row r="232" spans="2:12" x14ac:dyDescent="0.25">
      <c r="D232" s="50"/>
      <c r="E232" s="155"/>
      <c r="F232" s="80" t="s">
        <v>2448</v>
      </c>
      <c r="G232" s="81">
        <v>4958.67</v>
      </c>
      <c r="H232" s="81">
        <f>extracto_banco_mes1256[[#This Row],[NETO]]*0.21</f>
        <v>1041.3207</v>
      </c>
      <c r="I232" s="81"/>
      <c r="J232" s="81"/>
      <c r="K232" s="81">
        <v>148.76</v>
      </c>
      <c r="L232" s="81"/>
    </row>
    <row r="233" spans="2:12" x14ac:dyDescent="0.25">
      <c r="D233" s="50"/>
      <c r="E233" s="155"/>
      <c r="F233" s="235"/>
      <c r="G233" s="81"/>
      <c r="H233" s="81">
        <f>extracto_banco_mes1256[[#This Row],[NETO]]*0.21</f>
        <v>0</v>
      </c>
      <c r="I233" s="81"/>
      <c r="J233" s="81"/>
      <c r="K233" s="81"/>
      <c r="L233" s="81"/>
    </row>
    <row r="234" spans="2:12" x14ac:dyDescent="0.25">
      <c r="D234" s="50"/>
      <c r="E234" s="155"/>
      <c r="F234" s="235"/>
      <c r="G234" s="81"/>
      <c r="H234" s="81">
        <f>extracto_banco_mes1256[[#This Row],[NETO]]*0.21</f>
        <v>0</v>
      </c>
      <c r="I234" s="81"/>
      <c r="J234" s="81"/>
      <c r="K234" s="81"/>
      <c r="L234" s="81"/>
    </row>
    <row r="235" spans="2:12" x14ac:dyDescent="0.25">
      <c r="D235" s="50"/>
      <c r="E235" s="155"/>
      <c r="F235" s="235"/>
      <c r="G235" s="81"/>
      <c r="H235" s="81">
        <f>extracto_banco_mes1256[[#This Row],[NETO]]*0.21</f>
        <v>0</v>
      </c>
      <c r="I235" s="81"/>
      <c r="J235" s="81"/>
      <c r="K235" s="81"/>
      <c r="L235" s="81"/>
    </row>
    <row r="236" spans="2:12" x14ac:dyDescent="0.25">
      <c r="D236" s="50"/>
      <c r="E236" s="155"/>
      <c r="F236" s="235"/>
      <c r="G236" s="81"/>
      <c r="H236" s="81">
        <f>extracto_banco_mes1256[[#This Row],[NETO]]*0.21</f>
        <v>0</v>
      </c>
      <c r="I236" s="81"/>
      <c r="J236" s="81"/>
      <c r="K236" s="81"/>
      <c r="L236" s="81"/>
    </row>
    <row r="237" spans="2:12" x14ac:dyDescent="0.25">
      <c r="D237" s="50"/>
      <c r="E237" s="155"/>
      <c r="F237" s="80"/>
      <c r="G237" s="81"/>
      <c r="H237" s="81">
        <f>extracto_banco_mes1256[[#This Row],[NETO]]*0.21</f>
        <v>0</v>
      </c>
      <c r="I237" s="81"/>
      <c r="J237" s="81"/>
      <c r="K237" s="81"/>
      <c r="L237" s="81"/>
    </row>
    <row r="238" spans="2:12" x14ac:dyDescent="0.25">
      <c r="D238" s="82" t="s">
        <v>103</v>
      </c>
      <c r="E238" s="80"/>
      <c r="F238" s="80"/>
      <c r="G238" s="83">
        <f>SUBTOTAL(109,extracto_banco_mes1256[NETO])</f>
        <v>278869.32380952378</v>
      </c>
      <c r="H238" s="83">
        <f>SUBTOTAL(109,extracto_banco_mes1256[IVA 21%])</f>
        <v>58533.991699999991</v>
      </c>
      <c r="I238" s="83">
        <f>SUBTOTAL(109,extracto_banco_mes1256[IVA 10,5%])</f>
        <v>14.283149999999999</v>
      </c>
      <c r="J238" s="83">
        <f>SUBTOTAL(109,extracto_banco_mes1256[RET IIBB CABA])</f>
        <v>9166.68</v>
      </c>
      <c r="K238" s="83">
        <f>SUBTOTAL(109,extracto_banco_mes1256[PERC IVA])</f>
        <v>8271.69</v>
      </c>
      <c r="L238" s="83">
        <f>SUBTOTAL(109,extracto_banco_mes1256[PERC IIBB])</f>
        <v>0</v>
      </c>
    </row>
    <row r="239" spans="2:12" x14ac:dyDescent="0.25">
      <c r="I239" s="274">
        <f>H232/100*21</f>
        <v>218.677347</v>
      </c>
    </row>
    <row r="242" spans="4:11" ht="21" x14ac:dyDescent="0.25">
      <c r="D242" s="581" t="s">
        <v>1133</v>
      </c>
      <c r="E242" s="581"/>
      <c r="F242" s="581"/>
      <c r="G242" s="581"/>
      <c r="H242" s="581"/>
      <c r="I242" s="581"/>
      <c r="J242" s="581"/>
      <c r="K242" s="581"/>
    </row>
    <row r="243" spans="4:11" x14ac:dyDescent="0.25">
      <c r="D243" s="51" t="s">
        <v>0</v>
      </c>
      <c r="E243" s="51" t="s">
        <v>2</v>
      </c>
      <c r="F243" s="51" t="s">
        <v>74</v>
      </c>
      <c r="G243" s="51" t="s">
        <v>3</v>
      </c>
      <c r="H243" s="51" t="s">
        <v>4</v>
      </c>
      <c r="I243" s="52" t="s">
        <v>10</v>
      </c>
      <c r="J243" s="51" t="s">
        <v>13</v>
      </c>
      <c r="K243" s="51" t="s">
        <v>38</v>
      </c>
    </row>
    <row r="244" spans="4:11" x14ac:dyDescent="0.25">
      <c r="D244" s="271"/>
      <c r="E244" s="267"/>
      <c r="F244" s="268"/>
      <c r="G244" s="269"/>
      <c r="H244" s="271" t="str">
        <f>IFERROR(IF(factura_c_mes1242[[#This Row],[CUIT]]="","-",VLOOKUP(factura_c_mes1242[[#This Row],[CUIT]],Lista_CUIT[#All],2,0)),"CUIT NO CARGADO")</f>
        <v>-</v>
      </c>
      <c r="I244" s="273"/>
      <c r="J244" s="270" t="str">
        <f>IFERROR(IF(factura_c_mes1242[[#This Row],[CUIT]]="","-",VLOOKUP(factura_c_mes1242[[#This Row],[CUIT]],Lista_CUIT[#All],3,0)),"CUIT NO CARGADO")</f>
        <v>-</v>
      </c>
      <c r="K244" s="270" t="str">
        <f>IFERROR(IF(factura_c_mes1242[[#This Row],[CUIT]]="","-",VLOOKUP(factura_c_mes1242[[#This Row],[CUIT]],Lista_CUIT[#All],4,0)),"CUIT NO CARGADO")</f>
        <v>-</v>
      </c>
    </row>
    <row r="245" spans="4:11" x14ac:dyDescent="0.25">
      <c r="D245" s="271"/>
      <c r="E245" s="267"/>
      <c r="F245" s="268"/>
      <c r="G245" s="269"/>
      <c r="H245" s="271" t="str">
        <f>IFERROR(IF(factura_c_mes1242[[#This Row],[CUIT]]="","-",VLOOKUP(factura_c_mes1242[[#This Row],[CUIT]],Lista_CUIT[#All],2,0)),"CUIT NO CARGADO")</f>
        <v>-</v>
      </c>
      <c r="I245" s="273"/>
      <c r="J245" s="270" t="str">
        <f>IFERROR(IF(factura_c_mes1242[[#This Row],[CUIT]]="","-",VLOOKUP(factura_c_mes1242[[#This Row],[CUIT]],Lista_CUIT[#All],3,0)),"CUIT NO CARGADO")</f>
        <v>-</v>
      </c>
      <c r="K245" s="270" t="str">
        <f>IFERROR(IF(factura_c_mes1242[[#This Row],[CUIT]]="","-",VLOOKUP(factura_c_mes1242[[#This Row],[CUIT]],Lista_CUIT[#All],4,0)),"CUIT NO CARGADO")</f>
        <v>-</v>
      </c>
    </row>
    <row r="246" spans="4:11" x14ac:dyDescent="0.25">
      <c r="D246" s="271"/>
      <c r="E246" s="267"/>
      <c r="F246" s="268"/>
      <c r="G246" s="269"/>
      <c r="H246" s="271" t="str">
        <f>IFERROR(IF(factura_c_mes1242[[#This Row],[CUIT]]="","-",VLOOKUP(factura_c_mes1242[[#This Row],[CUIT]],Lista_CUIT[#All],2,0)),"CUIT NO CARGADO")</f>
        <v>-</v>
      </c>
      <c r="I246" s="273"/>
      <c r="J246" s="270" t="str">
        <f>IFERROR(IF(factura_c_mes1242[[#This Row],[CUIT]]="","-",VLOOKUP(factura_c_mes1242[[#This Row],[CUIT]],Lista_CUIT[#All],3,0)),"CUIT NO CARGADO")</f>
        <v>-</v>
      </c>
      <c r="K246" s="270" t="str">
        <f>IFERROR(IF(factura_c_mes1242[[#This Row],[CUIT]]="","-",VLOOKUP(factura_c_mes1242[[#This Row],[CUIT]],Lista_CUIT[#All],4,0)),"CUIT NO CARGADO")</f>
        <v>-</v>
      </c>
    </row>
    <row r="247" spans="4:11" x14ac:dyDescent="0.25">
      <c r="D247" s="50"/>
      <c r="E247" s="267"/>
      <c r="F247" s="268"/>
      <c r="G247" s="269"/>
      <c r="H247" s="50" t="str">
        <f>IFERROR(IF(factura_c_mes1242[[#This Row],[CUIT]]="","-",VLOOKUP(factura_c_mes1242[[#This Row],[CUIT]],Lista_CUIT[#All],2,0)),"CUIT NO CARGADO")</f>
        <v>-</v>
      </c>
      <c r="I247" s="272"/>
      <c r="J247" s="270" t="str">
        <f>IFERROR(IF(factura_c_mes1242[[#This Row],[CUIT]]="","-",VLOOKUP(factura_c_mes1242[[#This Row],[CUIT]],Lista_CUIT[#All],3,0)),"CUIT NO CARGADO")</f>
        <v>-</v>
      </c>
      <c r="K247" s="270" t="str">
        <f>IFERROR(IF(factura_c_mes1242[[#This Row],[CUIT]]="","-",VLOOKUP(factura_c_mes1242[[#This Row],[CUIT]],Lista_CUIT[#All],4,0)),"CUIT NO CARGADO")</f>
        <v>-</v>
      </c>
    </row>
    <row r="248" spans="4:11" x14ac:dyDescent="0.25">
      <c r="D248" s="50"/>
      <c r="E248" s="267"/>
      <c r="F248" s="268"/>
      <c r="G248" s="269"/>
      <c r="H248" s="50" t="str">
        <f>IFERROR(IF(factura_c_mes1242[[#This Row],[CUIT]]="","-",VLOOKUP(factura_c_mes1242[[#This Row],[CUIT]],Lista_CUIT[#All],2,0)),"CUIT NO CARGADO")</f>
        <v>-</v>
      </c>
      <c r="I248" s="272"/>
      <c r="J248" s="270" t="str">
        <f>IFERROR(IF(factura_c_mes1242[[#This Row],[CUIT]]="","-",VLOOKUP(factura_c_mes1242[[#This Row],[CUIT]],Lista_CUIT[#All],3,0)),"CUIT NO CARGADO")</f>
        <v>-</v>
      </c>
      <c r="K248" s="270" t="str">
        <f>IFERROR(IF(factura_c_mes1242[[#This Row],[CUIT]]="","-",VLOOKUP(factura_c_mes1242[[#This Row],[CUIT]],Lista_CUIT[#All],4,0)),"CUIT NO CARGADO")</f>
        <v>-</v>
      </c>
    </row>
    <row r="249" spans="4:11" x14ac:dyDescent="0.25">
      <c r="D249" s="50"/>
      <c r="E249" s="267"/>
      <c r="F249" s="268"/>
      <c r="G249" s="269"/>
      <c r="H249" s="50" t="str">
        <f>IFERROR(IF(factura_c_mes1242[[#This Row],[CUIT]]="","-",VLOOKUP(factura_c_mes1242[[#This Row],[CUIT]],Lista_CUIT[#All],2,0)),"CUIT NO CARGADO")</f>
        <v>-</v>
      </c>
      <c r="I249" s="272"/>
      <c r="J249" s="270" t="str">
        <f>IFERROR(IF(factura_c_mes1242[[#This Row],[CUIT]]="","-",VLOOKUP(factura_c_mes1242[[#This Row],[CUIT]],Lista_CUIT[#All],3,0)),"CUIT NO CARGADO")</f>
        <v>-</v>
      </c>
      <c r="K249" s="270" t="str">
        <f>IFERROR(IF(factura_c_mes1242[[#This Row],[CUIT]]="","-",VLOOKUP(factura_c_mes1242[[#This Row],[CUIT]],Lista_CUIT[#All],4,0)),"CUIT NO CARGADO")</f>
        <v>-</v>
      </c>
    </row>
    <row r="250" spans="4:11" x14ac:dyDescent="0.25">
      <c r="D250" s="50"/>
      <c r="E250" s="267"/>
      <c r="F250" s="268"/>
      <c r="G250" s="269"/>
      <c r="H250" s="50" t="str">
        <f>IFERROR(IF(factura_c_mes1242[[#This Row],[CUIT]]="","-",VLOOKUP(factura_c_mes1242[[#This Row],[CUIT]],Lista_CUIT[#All],2,0)),"CUIT NO CARGADO")</f>
        <v>-</v>
      </c>
      <c r="I250" s="272"/>
      <c r="J250" s="270" t="str">
        <f>IFERROR(IF(factura_c_mes1242[[#This Row],[CUIT]]="","-",VLOOKUP(factura_c_mes1242[[#This Row],[CUIT]],Lista_CUIT[#All],3,0)),"CUIT NO CARGADO")</f>
        <v>-</v>
      </c>
      <c r="K250" s="270" t="str">
        <f>IFERROR(IF(factura_c_mes1242[[#This Row],[CUIT]]="","-",VLOOKUP(factura_c_mes1242[[#This Row],[CUIT]],Lista_CUIT[#All],4,0)),"CUIT NO CARGADO")</f>
        <v>-</v>
      </c>
    </row>
    <row r="251" spans="4:11" x14ac:dyDescent="0.25">
      <c r="D251" s="50"/>
      <c r="E251" s="267"/>
      <c r="F251" s="268"/>
      <c r="G251" s="269"/>
      <c r="H251" s="50" t="str">
        <f>IFERROR(IF(factura_c_mes1242[[#This Row],[CUIT]]="","-",VLOOKUP(factura_c_mes1242[[#This Row],[CUIT]],Lista_CUIT[#All],2,0)),"CUIT NO CARGADO")</f>
        <v>-</v>
      </c>
      <c r="I251" s="272"/>
      <c r="J251" s="270" t="str">
        <f>IFERROR(IF(factura_c_mes1242[[#This Row],[CUIT]]="","-",VLOOKUP(factura_c_mes1242[[#This Row],[CUIT]],Lista_CUIT[#All],3,0)),"CUIT NO CARGADO")</f>
        <v>-</v>
      </c>
      <c r="K251" s="270" t="str">
        <f>IFERROR(IF(factura_c_mes1242[[#This Row],[CUIT]]="","-",VLOOKUP(factura_c_mes1242[[#This Row],[CUIT]],Lista_CUIT[#All],4,0)),"CUIT NO CARGADO")</f>
        <v>-</v>
      </c>
    </row>
    <row r="252" spans="4:11" x14ac:dyDescent="0.25">
      <c r="D252" s="50"/>
      <c r="E252" s="267"/>
      <c r="F252" s="268"/>
      <c r="G252" s="269"/>
      <c r="H252" s="50" t="str">
        <f>IFERROR(IF(factura_c_mes1242[[#This Row],[CUIT]]="","-",VLOOKUP(factura_c_mes1242[[#This Row],[CUIT]],Lista_CUIT[#All],2,0)),"CUIT NO CARGADO")</f>
        <v>-</v>
      </c>
      <c r="I252" s="272"/>
      <c r="J252" s="270" t="str">
        <f>IFERROR(IF(factura_c_mes1242[[#This Row],[CUIT]]="","-",VLOOKUP(factura_c_mes1242[[#This Row],[CUIT]],Lista_CUIT[#All],3,0)),"CUIT NO CARGADO")</f>
        <v>-</v>
      </c>
      <c r="K252" s="270" t="str">
        <f>IFERROR(IF(factura_c_mes1242[[#This Row],[CUIT]]="","-",VLOOKUP(factura_c_mes1242[[#This Row],[CUIT]],Lista_CUIT[#All],4,0)),"CUIT NO CARGADO")</f>
        <v>-</v>
      </c>
    </row>
    <row r="253" spans="4:11" x14ac:dyDescent="0.25">
      <c r="D253" s="50"/>
      <c r="E253" s="50"/>
      <c r="F253" s="50"/>
      <c r="G253" s="50"/>
      <c r="H253" s="50" t="str">
        <f>IFERROR(IF(factura_c_mes1242[[#This Row],[CUIT]]="","-",VLOOKUP(factura_c_mes1242[[#This Row],[CUIT]],Lista_CUIT[#All],2,0)),"CUIT NO CARGADO")</f>
        <v>-</v>
      </c>
      <c r="I253" s="272"/>
      <c r="J253" s="270" t="str">
        <f>IFERROR(IF(factura_c_mes1242[[#This Row],[CUIT]]="","-",VLOOKUP(factura_c_mes1242[[#This Row],[CUIT]],Lista_CUIT[#All],3,0)),"CUIT NO CARGADO")</f>
        <v>-</v>
      </c>
      <c r="K253" s="270" t="str">
        <f>IFERROR(IF(factura_c_mes1242[[#This Row],[CUIT]]="","-",VLOOKUP(factura_c_mes1242[[#This Row],[CUIT]],Lista_CUIT[#All],4,0)),"CUIT NO CARGADO")</f>
        <v>-</v>
      </c>
    </row>
    <row r="254" spans="4:11" x14ac:dyDescent="0.25">
      <c r="D254" s="50"/>
      <c r="E254" s="50"/>
      <c r="F254" s="50"/>
      <c r="G254" s="50"/>
      <c r="H254" s="50" t="str">
        <f>IFERROR(IF(factura_c_mes1242[[#This Row],[CUIT]]="","-",VLOOKUP(factura_c_mes1242[[#This Row],[CUIT]],Lista_CUIT[#All],2,0)),"CUIT NO CARGADO")</f>
        <v>-</v>
      </c>
      <c r="I254" s="272"/>
      <c r="J254" s="50" t="str">
        <f>IFERROR(IF(factura_c_mes1242[[#This Row],[CUIT]]="","-",VLOOKUP(factura_c_mes1242[[#This Row],[CUIT]],Lista_CUIT[#All],3,0)),"CUIT NO CARGADO")</f>
        <v>-</v>
      </c>
      <c r="K254" s="50" t="str">
        <f>IFERROR(IF(factura_c_mes1242[[#This Row],[CUIT]]="","-",VLOOKUP(factura_c_mes1242[[#This Row],[CUIT]],Lista_CUIT[#All],4,0)),"CUIT NO CARGADO")</f>
        <v>-</v>
      </c>
    </row>
    <row r="255" spans="4:11" x14ac:dyDescent="0.25">
      <c r="D255" s="271" t="s">
        <v>2943</v>
      </c>
      <c r="E255" s="267">
        <v>1</v>
      </c>
      <c r="F255" s="268">
        <v>107</v>
      </c>
      <c r="G255" s="269">
        <v>27248210732</v>
      </c>
      <c r="H255" s="271" t="str">
        <f>IFERROR(IF(factura_c_mes1242[[#This Row],[CUIT]]="","-",VLOOKUP(factura_c_mes1242[[#This Row],[CUIT]],Lista_CUIT[#All],2,0)),"CUIT NO CARGADO")</f>
        <v>CHARPENTIER SILVANA</v>
      </c>
      <c r="I255" s="273">
        <v>150000</v>
      </c>
      <c r="J255" s="270" t="str">
        <f>IFERROR(IF(factura_c_mes1242[[#This Row],[CUIT]]="","-",VLOOKUP(factura_c_mes1242[[#This Row],[CUIT]],Lista_CUIT[#All],3,0)),"CUIT NO CARGADO")</f>
        <v>Gastos Cosmeticos</v>
      </c>
      <c r="K255" s="270">
        <f>IFERROR(IF(factura_c_mes1242[[#This Row],[CUIT]]="","-",VLOOKUP(factura_c_mes1242[[#This Row],[CUIT]],Lista_CUIT[#All],4,0)),"CUIT NO CARGADO")</f>
        <v>0</v>
      </c>
    </row>
    <row r="256" spans="4:11" x14ac:dyDescent="0.25">
      <c r="D256" s="271" t="s">
        <v>2938</v>
      </c>
      <c r="E256" s="267">
        <v>2</v>
      </c>
      <c r="F256" s="268">
        <v>5976</v>
      </c>
      <c r="G256" s="269">
        <v>20136536320</v>
      </c>
      <c r="H256" s="271" t="str">
        <f>IFERROR(IF(factura_c_mes1242[[#This Row],[CUIT]]="","-",VLOOKUP(factura_c_mes1242[[#This Row],[CUIT]],Lista_CUIT[#All],2,0)),"CUIT NO CARGADO")</f>
        <v>FONTENLA ERNESTO MARIO</v>
      </c>
      <c r="I256" s="273">
        <v>20500</v>
      </c>
      <c r="J256" s="270" t="str">
        <f>IFERROR(IF(factura_c_mes1242[[#This Row],[CUIT]]="","-",VLOOKUP(factura_c_mes1242[[#This Row],[CUIT]],Lista_CUIT[#All],3,0)),"CUIT NO CARGADO")</f>
        <v>Gastos Varios</v>
      </c>
      <c r="K256" s="270" t="str">
        <f>IFERROR(IF(factura_c_mes1242[[#This Row],[CUIT]]="","-",VLOOKUP(factura_c_mes1242[[#This Row],[CUIT]],Lista_CUIT[#All],4,0)),"CUIT NO CARGADO")</f>
        <v>CABA</v>
      </c>
    </row>
    <row r="257" spans="4:11" x14ac:dyDescent="0.25">
      <c r="D257" s="271" t="s">
        <v>2941</v>
      </c>
      <c r="E257" s="267">
        <v>1</v>
      </c>
      <c r="F257" s="268">
        <v>96</v>
      </c>
      <c r="G257" s="269">
        <v>27320941550</v>
      </c>
      <c r="H257" s="271" t="str">
        <f>IFERROR(IF(factura_c_mes1242[[#This Row],[CUIT]]="","-",VLOOKUP(factura_c_mes1242[[#This Row],[CUIT]],Lista_CUIT[#All],2,0)),"CUIT NO CARGADO")</f>
        <v>SARALEGUY AGOSTINA</v>
      </c>
      <c r="I257" s="273">
        <v>10911.6</v>
      </c>
      <c r="J257" s="270" t="str">
        <f>IFERROR(IF(factura_c_mes1242[[#This Row],[CUIT]]="","-",VLOOKUP(factura_c_mes1242[[#This Row],[CUIT]],Lista_CUIT[#All],3,0)),"CUIT NO CARGADO")</f>
        <v>Gastos Varios</v>
      </c>
      <c r="K257" s="270">
        <f>IFERROR(IF(factura_c_mes1242[[#This Row],[CUIT]]="","-",VLOOKUP(factura_c_mes1242[[#This Row],[CUIT]],Lista_CUIT[#All],4,0)),"CUIT NO CARGADO")</f>
        <v>0</v>
      </c>
    </row>
    <row r="258" spans="4:11" x14ac:dyDescent="0.25">
      <c r="D258" s="271" t="s">
        <v>2941</v>
      </c>
      <c r="E258" s="267">
        <v>1</v>
      </c>
      <c r="F258" s="268">
        <v>97</v>
      </c>
      <c r="G258" s="269">
        <v>27320941550</v>
      </c>
      <c r="H258" s="271" t="str">
        <f>IFERROR(IF(factura_c_mes1242[[#This Row],[CUIT]]="","-",VLOOKUP(factura_c_mes1242[[#This Row],[CUIT]],Lista_CUIT[#All],2,0)),"CUIT NO CARGADO")</f>
        <v>SARALEGUY AGOSTINA</v>
      </c>
      <c r="I258" s="273">
        <v>65469.599999999999</v>
      </c>
      <c r="J258" s="270" t="str">
        <f>IFERROR(IF(factura_c_mes1242[[#This Row],[CUIT]]="","-",VLOOKUP(factura_c_mes1242[[#This Row],[CUIT]],Lista_CUIT[#All],3,0)),"CUIT NO CARGADO")</f>
        <v>Gastos Varios</v>
      </c>
      <c r="K258" s="270">
        <f>IFERROR(IF(factura_c_mes1242[[#This Row],[CUIT]]="","-",VLOOKUP(factura_c_mes1242[[#This Row],[CUIT]],Lista_CUIT[#All],4,0)),"CUIT NO CARGADO")</f>
        <v>0</v>
      </c>
    </row>
    <row r="259" spans="4:11" x14ac:dyDescent="0.25">
      <c r="D259" s="271" t="s">
        <v>2942</v>
      </c>
      <c r="E259" s="267">
        <v>3</v>
      </c>
      <c r="F259" s="268">
        <v>2126</v>
      </c>
      <c r="G259" s="269">
        <v>20173025557</v>
      </c>
      <c r="H259" s="271" t="str">
        <f>IFERROR(IF(factura_c_mes1242[[#This Row],[CUIT]]="","-",VLOOKUP(factura_c_mes1242[[#This Row],[CUIT]],Lista_CUIT[#All],2,0)),"CUIT NO CARGADO")</f>
        <v>MARAUDA HECTOR</v>
      </c>
      <c r="I259" s="273">
        <v>10000</v>
      </c>
      <c r="J259" s="270" t="str">
        <f>IFERROR(IF(factura_c_mes1242[[#This Row],[CUIT]]="","-",VLOOKUP(factura_c_mes1242[[#This Row],[CUIT]],Lista_CUIT[#All],3,0)),"CUIT NO CARGADO")</f>
        <v>Gastos Varios</v>
      </c>
      <c r="K259" s="270">
        <f>IFERROR(IF(factura_c_mes1242[[#This Row],[CUIT]]="","-",VLOOKUP(factura_c_mes1242[[#This Row],[CUIT]],Lista_CUIT[#All],4,0)),"CUIT NO CARGADO")</f>
        <v>0</v>
      </c>
    </row>
    <row r="260" spans="4:11" x14ac:dyDescent="0.25">
      <c r="D260" s="271" t="s">
        <v>2943</v>
      </c>
      <c r="E260" s="267">
        <v>10</v>
      </c>
      <c r="F260" s="268">
        <v>313</v>
      </c>
      <c r="G260" s="269">
        <v>20302234389</v>
      </c>
      <c r="H260" s="271" t="str">
        <f>IFERROR(IF(factura_c_mes1242[[#This Row],[CUIT]]="","-",VLOOKUP(factura_c_mes1242[[#This Row],[CUIT]],Lista_CUIT[#All],2,0)),"CUIT NO CARGADO")</f>
        <v>VIGORELLI GUILLERMO DANIEL</v>
      </c>
      <c r="I260" s="273">
        <v>385000</v>
      </c>
      <c r="J260" s="270" t="str">
        <f>IFERROR(IF(factura_c_mes1242[[#This Row],[CUIT]]="","-",VLOOKUP(factura_c_mes1242[[#This Row],[CUIT]],Lista_CUIT[#All],3,0)),"CUIT NO CARGADO")</f>
        <v>Gastos Varios</v>
      </c>
      <c r="K260" s="270">
        <f>IFERROR(IF(factura_c_mes1242[[#This Row],[CUIT]]="","-",VLOOKUP(factura_c_mes1242[[#This Row],[CUIT]],Lista_CUIT[#All],4,0)),"CUIT NO CARGADO")</f>
        <v>0</v>
      </c>
    </row>
    <row r="261" spans="4:11" x14ac:dyDescent="0.25">
      <c r="D261" s="50" t="s">
        <v>2938</v>
      </c>
      <c r="E261" s="267">
        <v>1</v>
      </c>
      <c r="F261" s="268">
        <v>19</v>
      </c>
      <c r="G261" s="269">
        <v>27203738418</v>
      </c>
      <c r="H261" s="50" t="str">
        <f>IFERROR(IF(factura_c_mes1242[[#This Row],[CUIT]]="","-",VLOOKUP(factura_c_mes1242[[#This Row],[CUIT]],Lista_CUIT[#All],2,0)),"CUIT NO CARGADO")</f>
        <v>CASTILLO DELIA CRISTINA</v>
      </c>
      <c r="I261" s="272">
        <v>1000000</v>
      </c>
      <c r="J261" s="270" t="str">
        <f>IFERROR(IF(factura_c_mes1242[[#This Row],[CUIT]]="","-",VLOOKUP(factura_c_mes1242[[#This Row],[CUIT]],Lista_CUIT[#All],3,0)),"CUIT NO CARGADO")</f>
        <v>Gtos. Administrativos</v>
      </c>
      <c r="K261" s="270">
        <f>IFERROR(IF(factura_c_mes1242[[#This Row],[CUIT]]="","-",VLOOKUP(factura_c_mes1242[[#This Row],[CUIT]],Lista_CUIT[#All],4,0)),"CUIT NO CARGADO")</f>
        <v>0</v>
      </c>
    </row>
    <row r="262" spans="4:11" x14ac:dyDescent="0.25">
      <c r="D262" s="271" t="s">
        <v>2938</v>
      </c>
      <c r="E262" s="267">
        <v>1</v>
      </c>
      <c r="F262" s="268">
        <v>12</v>
      </c>
      <c r="G262" s="269">
        <v>20472017056</v>
      </c>
      <c r="H262" s="271" t="str">
        <f>IFERROR(IF(factura_c_mes1242[[#This Row],[CUIT]]="","-",VLOOKUP(factura_c_mes1242[[#This Row],[CUIT]],Lista_CUIT[#All],2,0)),"CUIT NO CARGADO")</f>
        <v>BARUCCO BAUTISTA</v>
      </c>
      <c r="I262" s="273">
        <v>287000</v>
      </c>
      <c r="J262" s="270" t="str">
        <f>IFERROR(IF(factura_c_mes1242[[#This Row],[CUIT]]="","-",VLOOKUP(factura_c_mes1242[[#This Row],[CUIT]],Lista_CUIT[#All],3,0)),"CUIT NO CARGADO")</f>
        <v>Gtos. Administrativos</v>
      </c>
      <c r="K262" s="270">
        <f>IFERROR(IF(factura_c_mes1242[[#This Row],[CUIT]]="","-",VLOOKUP(factura_c_mes1242[[#This Row],[CUIT]],Lista_CUIT[#All],4,0)),"CUIT NO CARGADO")</f>
        <v>0</v>
      </c>
    </row>
    <row r="263" spans="4:11" x14ac:dyDescent="0.25">
      <c r="D263" s="271" t="s">
        <v>2939</v>
      </c>
      <c r="E263" s="267">
        <v>1</v>
      </c>
      <c r="F263" s="268">
        <v>119</v>
      </c>
      <c r="G263" s="269">
        <v>27182116373</v>
      </c>
      <c r="H263" s="271" t="str">
        <f>IFERROR(IF(factura_c_mes1242[[#This Row],[CUIT]]="","-",VLOOKUP(factura_c_mes1242[[#This Row],[CUIT]],Lista_CUIT[#All],2,0)),"CUIT NO CARGADO")</f>
        <v>DOMINGUEZ SILVINA INES</v>
      </c>
      <c r="I263" s="273">
        <v>150000</v>
      </c>
      <c r="J263" s="270" t="str">
        <f>IFERROR(IF(factura_c_mes1242[[#This Row],[CUIT]]="","-",VLOOKUP(factura_c_mes1242[[#This Row],[CUIT]],Lista_CUIT[#All],3,0)),"CUIT NO CARGADO")</f>
        <v>Gtos. Administrativos</v>
      </c>
      <c r="K263" s="270">
        <f>IFERROR(IF(factura_c_mes1242[[#This Row],[CUIT]]="","-",VLOOKUP(factura_c_mes1242[[#This Row],[CUIT]],Lista_CUIT[#All],4,0)),"CUIT NO CARGADO")</f>
        <v>0</v>
      </c>
    </row>
    <row r="264" spans="4:11" x14ac:dyDescent="0.25">
      <c r="D264" s="271" t="s">
        <v>2943</v>
      </c>
      <c r="E264" s="267">
        <v>1</v>
      </c>
      <c r="F264" s="268">
        <v>4</v>
      </c>
      <c r="G264" s="269">
        <v>27176180485</v>
      </c>
      <c r="H264" s="271" t="str">
        <f>IFERROR(IF(factura_c_mes1242[[#This Row],[CUIT]]="","-",VLOOKUP(factura_c_mes1242[[#This Row],[CUIT]],Lista_CUIT[#All],2,0)),"CUIT NO CARGADO")</f>
        <v>GIMENEZ MARIANA BEATRIZ</v>
      </c>
      <c r="I264" s="273">
        <v>297600</v>
      </c>
      <c r="J264" s="270" t="str">
        <f>IFERROR(IF(factura_c_mes1242[[#This Row],[CUIT]]="","-",VLOOKUP(factura_c_mes1242[[#This Row],[CUIT]],Lista_CUIT[#All],3,0)),"CUIT NO CARGADO")</f>
        <v>Gtos. Administrativos</v>
      </c>
      <c r="K264" s="270">
        <f>IFERROR(IF(factura_c_mes1242[[#This Row],[CUIT]]="","-",VLOOKUP(factura_c_mes1242[[#This Row],[CUIT]],Lista_CUIT[#All],4,0)),"CUIT NO CARGADO")</f>
        <v>0</v>
      </c>
    </row>
    <row r="265" spans="4:11" x14ac:dyDescent="0.25">
      <c r="D265" s="271" t="s">
        <v>2946</v>
      </c>
      <c r="E265" s="267">
        <v>3</v>
      </c>
      <c r="F265" s="268">
        <v>146</v>
      </c>
      <c r="G265" s="269">
        <v>20170295537</v>
      </c>
      <c r="H265" s="271" t="str">
        <f>IFERROR(IF(factura_c_mes1242[[#This Row],[CUIT]]="","-",VLOOKUP(factura_c_mes1242[[#This Row],[CUIT]],Lista_CUIT[#All],2,0)),"CUIT NO CARGADO")</f>
        <v>GAGO DE BRITO CLAUDIO ALEJANDRO</v>
      </c>
      <c r="I265" s="273">
        <v>630000</v>
      </c>
      <c r="J265" s="270" t="str">
        <f>IFERROR(IF(factura_c_mes1242[[#This Row],[CUIT]]="","-",VLOOKUP(factura_c_mes1242[[#This Row],[CUIT]],Lista_CUIT[#All],3,0)),"CUIT NO CARGADO")</f>
        <v>Gtos. Administrativos</v>
      </c>
      <c r="K265" s="270">
        <f>IFERROR(IF(factura_c_mes1242[[#This Row],[CUIT]]="","-",VLOOKUP(factura_c_mes1242[[#This Row],[CUIT]],Lista_CUIT[#All],4,0)),"CUIT NO CARGADO")</f>
        <v>0</v>
      </c>
    </row>
    <row r="266" spans="4:11" x14ac:dyDescent="0.25">
      <c r="D266" s="271" t="s">
        <v>2938</v>
      </c>
      <c r="E266" s="267">
        <v>2</v>
      </c>
      <c r="F266" s="268">
        <v>35</v>
      </c>
      <c r="G266" s="269">
        <v>27226409799</v>
      </c>
      <c r="H266" s="271" t="str">
        <f>IFERROR(IF(factura_c_mes1242[[#This Row],[CUIT]]="","-",VLOOKUP(factura_c_mes1242[[#This Row],[CUIT]],Lista_CUIT[#All],2,0)),"CUIT NO CARGADO")</f>
        <v>CASTILLO BERTA YOLANDA</v>
      </c>
      <c r="I266" s="273">
        <v>1400000</v>
      </c>
      <c r="J266" s="270" t="str">
        <f>IFERROR(IF(factura_c_mes1242[[#This Row],[CUIT]]="","-",VLOOKUP(factura_c_mes1242[[#This Row],[CUIT]],Lista_CUIT[#All],3,0)),"CUIT NO CARGADO")</f>
        <v>Honorarios Administrativos</v>
      </c>
      <c r="K266" s="270">
        <f>IFERROR(IF(factura_c_mes1242[[#This Row],[CUIT]]="","-",VLOOKUP(factura_c_mes1242[[#This Row],[CUIT]],Lista_CUIT[#All],4,0)),"CUIT NO CARGADO")</f>
        <v>0</v>
      </c>
    </row>
    <row r="267" spans="4:11" x14ac:dyDescent="0.25">
      <c r="D267" s="271" t="s">
        <v>2938</v>
      </c>
      <c r="E267" s="267">
        <v>2</v>
      </c>
      <c r="F267" s="268">
        <v>27</v>
      </c>
      <c r="G267" s="269">
        <v>24180692653</v>
      </c>
      <c r="H267" s="271" t="str">
        <f>IFERROR(IF(factura_c_mes1242[[#This Row],[CUIT]]="","-",VLOOKUP(factura_c_mes1242[[#This Row],[CUIT]],Lista_CUIT[#All],2,0)),"CUIT NO CARGADO")</f>
        <v>CASTILLO JOSE MANUEL</v>
      </c>
      <c r="I267" s="273">
        <v>1400000</v>
      </c>
      <c r="J267" s="270" t="str">
        <f>IFERROR(IF(factura_c_mes1242[[#This Row],[CUIT]]="","-",VLOOKUP(factura_c_mes1242[[#This Row],[CUIT]],Lista_CUIT[#All],3,0)),"CUIT NO CARGADO")</f>
        <v>Honorarios Administrativos</v>
      </c>
      <c r="K267" s="270">
        <f>IFERROR(IF(factura_c_mes1242[[#This Row],[CUIT]]="","-",VLOOKUP(factura_c_mes1242[[#This Row],[CUIT]],Lista_CUIT[#All],4,0)),"CUIT NO CARGADO")</f>
        <v>0</v>
      </c>
    </row>
    <row r="268" spans="4:11" x14ac:dyDescent="0.25">
      <c r="D268" s="50" t="s">
        <v>2940</v>
      </c>
      <c r="E268" s="267">
        <v>1</v>
      </c>
      <c r="F268" s="268">
        <v>25</v>
      </c>
      <c r="G268" s="269">
        <v>27309116343</v>
      </c>
      <c r="H268" s="50" t="str">
        <f>IFERROR(IF(factura_c_mes1242[[#This Row],[CUIT]]="","-",VLOOKUP(factura_c_mes1242[[#This Row],[CUIT]],Lista_CUIT[#All],2,0)),"CUIT NO CARGADO")</f>
        <v>FERNANDEZ DANIELA NATALIA</v>
      </c>
      <c r="I268" s="272">
        <v>150000</v>
      </c>
      <c r="J268" s="270" t="str">
        <f>IFERROR(IF(factura_c_mes1242[[#This Row],[CUIT]]="","-",VLOOKUP(factura_c_mes1242[[#This Row],[CUIT]],Lista_CUIT[#All],3,0)),"CUIT NO CARGADO")</f>
        <v>Honorarios Administrativos</v>
      </c>
      <c r="K268" s="270">
        <f>IFERROR(IF(factura_c_mes1242[[#This Row],[CUIT]]="","-",VLOOKUP(factura_c_mes1242[[#This Row],[CUIT]],Lista_CUIT[#All],4,0)),"CUIT NO CARGADO")</f>
        <v>0</v>
      </c>
    </row>
    <row r="269" spans="4:11" x14ac:dyDescent="0.25">
      <c r="D269" s="271" t="s">
        <v>2944</v>
      </c>
      <c r="E269" s="267">
        <v>1</v>
      </c>
      <c r="F269" s="268">
        <v>26</v>
      </c>
      <c r="G269" s="269">
        <v>27309116343</v>
      </c>
      <c r="H269" s="271" t="str">
        <f>IFERROR(IF(factura_c_mes1242[[#This Row],[CUIT]]="","-",VLOOKUP(factura_c_mes1242[[#This Row],[CUIT]],Lista_CUIT[#All],2,0)),"CUIT NO CARGADO")</f>
        <v>FERNANDEZ DANIELA NATALIA</v>
      </c>
      <c r="I269" s="273">
        <v>187500</v>
      </c>
      <c r="J269" s="270" t="str">
        <f>IFERROR(IF(factura_c_mes1242[[#This Row],[CUIT]]="","-",VLOOKUP(factura_c_mes1242[[#This Row],[CUIT]],Lista_CUIT[#All],3,0)),"CUIT NO CARGADO")</f>
        <v>Honorarios Administrativos</v>
      </c>
      <c r="K269" s="270">
        <f>IFERROR(IF(factura_c_mes1242[[#This Row],[CUIT]]="","-",VLOOKUP(factura_c_mes1242[[#This Row],[CUIT]],Lista_CUIT[#All],4,0)),"CUIT NO CARGADO")</f>
        <v>0</v>
      </c>
    </row>
    <row r="270" spans="4:11" x14ac:dyDescent="0.25">
      <c r="D270" s="271" t="s">
        <v>2935</v>
      </c>
      <c r="E270" s="267">
        <v>4</v>
      </c>
      <c r="F270" s="268">
        <v>82</v>
      </c>
      <c r="G270" s="269">
        <v>20086277523</v>
      </c>
      <c r="H270" s="271" t="str">
        <f>IFERROR(IF(factura_c_mes1242[[#This Row],[CUIT]]="","-",VLOOKUP(factura_c_mes1242[[#This Row],[CUIT]],Lista_CUIT[#All],2,0)),"CUIT NO CARGADO")</f>
        <v>BOTINDARI JUAN CARLOS</v>
      </c>
      <c r="I270" s="273">
        <v>315000</v>
      </c>
      <c r="J270" s="270" t="str">
        <f>IFERROR(IF(factura_c_mes1242[[#This Row],[CUIT]]="","-",VLOOKUP(factura_c_mes1242[[#This Row],[CUIT]],Lista_CUIT[#All],3,0)),"CUIT NO CARGADO")</f>
        <v>Honorarios Contables</v>
      </c>
      <c r="K270" s="270">
        <f>IFERROR(IF(factura_c_mes1242[[#This Row],[CUIT]]="","-",VLOOKUP(factura_c_mes1242[[#This Row],[CUIT]],Lista_CUIT[#All],4,0)),"CUIT NO CARGADO")</f>
        <v>0</v>
      </c>
    </row>
    <row r="271" spans="4:11" x14ac:dyDescent="0.25">
      <c r="D271" s="271" t="s">
        <v>2938</v>
      </c>
      <c r="E271" s="267">
        <v>2</v>
      </c>
      <c r="F271" s="268">
        <v>357</v>
      </c>
      <c r="G271" s="269">
        <v>23319210954</v>
      </c>
      <c r="H271" s="271" t="str">
        <f>IFERROR(IF(factura_c_mes1242[[#This Row],[CUIT]]="","-",VLOOKUP(factura_c_mes1242[[#This Row],[CUIT]],Lista_CUIT[#All],2,0)),"CUIT NO CARGADO")</f>
        <v>CAFFARATTI ROMINA PAOLA</v>
      </c>
      <c r="I271" s="273">
        <v>375500</v>
      </c>
      <c r="J271" s="270" t="str">
        <f>IFERROR(IF(factura_c_mes1242[[#This Row],[CUIT]]="","-",VLOOKUP(factura_c_mes1242[[#This Row],[CUIT]],Lista_CUIT[#All],3,0)),"CUIT NO CARGADO")</f>
        <v>Honorarios Contables</v>
      </c>
      <c r="K271" s="270">
        <f>IFERROR(IF(factura_c_mes1242[[#This Row],[CUIT]]="","-",VLOOKUP(factura_c_mes1242[[#This Row],[CUIT]],Lista_CUIT[#All],4,0)),"CUIT NO CARGADO")</f>
        <v>0</v>
      </c>
    </row>
    <row r="272" spans="4:11" x14ac:dyDescent="0.25">
      <c r="D272" s="271" t="s">
        <v>2935</v>
      </c>
      <c r="E272" s="267">
        <v>3</v>
      </c>
      <c r="F272" s="268">
        <v>595</v>
      </c>
      <c r="G272" s="269">
        <v>20210551574</v>
      </c>
      <c r="H272" s="271" t="str">
        <f>IFERROR(IF(factura_c_mes1242[[#This Row],[CUIT]]="","-",VLOOKUP(factura_c_mes1242[[#This Row],[CUIT]],Lista_CUIT[#All],2,0)),"CUIT NO CARGADO")</f>
        <v>REUS JORGE DIEGO</v>
      </c>
      <c r="I272" s="273">
        <v>355000</v>
      </c>
      <c r="J272" s="270" t="str">
        <f>IFERROR(IF(factura_c_mes1242[[#This Row],[CUIT]]="","-",VLOOKUP(factura_c_mes1242[[#This Row],[CUIT]],Lista_CUIT[#All],3,0)),"CUIT NO CARGADO")</f>
        <v>Honorarios Legales</v>
      </c>
      <c r="K272" s="270">
        <f>IFERROR(IF(factura_c_mes1242[[#This Row],[CUIT]]="","-",VLOOKUP(factura_c_mes1242[[#This Row],[CUIT]],Lista_CUIT[#All],4,0)),"CUIT NO CARGADO")</f>
        <v>0</v>
      </c>
    </row>
    <row r="273" spans="2:18" x14ac:dyDescent="0.25">
      <c r="D273" s="271" t="s">
        <v>2937</v>
      </c>
      <c r="E273" s="267">
        <v>1</v>
      </c>
      <c r="F273" s="268">
        <v>2</v>
      </c>
      <c r="G273" s="269">
        <v>27280216572</v>
      </c>
      <c r="H273" s="271" t="str">
        <f>IFERROR(IF(factura_c_mes1242[[#This Row],[CUIT]]="","-",VLOOKUP(factura_c_mes1242[[#This Row],[CUIT]],Lista_CUIT[#All],2,0)),"CUIT NO CARGADO")</f>
        <v>SANCHEZ ANALIA VERINICA</v>
      </c>
      <c r="I273" s="273">
        <v>1300000</v>
      </c>
      <c r="J273" s="270" t="str">
        <f>IFERROR(IF(factura_c_mes1242[[#This Row],[CUIT]]="","-",VLOOKUP(factura_c_mes1242[[#This Row],[CUIT]],Lista_CUIT[#All],3,0)),"CUIT NO CARGADO")</f>
        <v>Honorarios Legales</v>
      </c>
      <c r="K273" s="270">
        <f>IFERROR(IF(factura_c_mes1242[[#This Row],[CUIT]]="","-",VLOOKUP(factura_c_mes1242[[#This Row],[CUIT]],Lista_CUIT[#All],4,0)),"CUIT NO CARGADO")</f>
        <v>0</v>
      </c>
    </row>
    <row r="274" spans="2:18" x14ac:dyDescent="0.25">
      <c r="D274" s="271" t="s">
        <v>2943</v>
      </c>
      <c r="E274" s="267">
        <v>1</v>
      </c>
      <c r="F274" s="268">
        <v>25</v>
      </c>
      <c r="G274" s="269">
        <v>27344198948</v>
      </c>
      <c r="H274" s="271" t="str">
        <f>IFERROR(IF(factura_c_mes1242[[#This Row],[CUIT]]="","-",VLOOKUP(factura_c_mes1242[[#This Row],[CUIT]],Lista_CUIT[#All],2,0)),"CUIT NO CARGADO")</f>
        <v>RIZZELLO VANINA SOLEDAD</v>
      </c>
      <c r="I274" s="273">
        <v>600000</v>
      </c>
      <c r="J274" s="270" t="str">
        <f>IFERROR(IF(factura_c_mes1242[[#This Row],[CUIT]]="","-",VLOOKUP(factura_c_mes1242[[#This Row],[CUIT]],Lista_CUIT[#All],3,0)),"CUIT NO CARGADO")</f>
        <v>Honorarios Legales</v>
      </c>
      <c r="K274" s="270">
        <f>IFERROR(IF(factura_c_mes1242[[#This Row],[CUIT]]="","-",VLOOKUP(factura_c_mes1242[[#This Row],[CUIT]],Lista_CUIT[#All],4,0)),"CUIT NO CARGADO")</f>
        <v>0</v>
      </c>
    </row>
    <row r="275" spans="2:18" ht="17.100000000000001" customHeight="1" x14ac:dyDescent="0.25">
      <c r="D275" s="271" t="s">
        <v>2936</v>
      </c>
      <c r="E275" s="267">
        <v>2</v>
      </c>
      <c r="F275" s="268">
        <v>356</v>
      </c>
      <c r="G275" s="269">
        <v>27065444777</v>
      </c>
      <c r="H275" s="271" t="str">
        <f>IFERROR(IF(factura_c_mes1242[[#This Row],[CUIT]]="","-",VLOOKUP(factura_c_mes1242[[#This Row],[CUIT]],Lista_CUIT[#All],2,0)),"CUIT NO CARGADO")</f>
        <v>CARNEVALE MABEL HAYDEE</v>
      </c>
      <c r="I275" s="273">
        <v>280000</v>
      </c>
      <c r="J275" s="270" t="str">
        <f>IFERROR(IF(factura_c_mes1242[[#This Row],[CUIT]]="","-",VLOOKUP(factura_c_mes1242[[#This Row],[CUIT]],Lista_CUIT[#All],3,0)),"CUIT NO CARGADO")</f>
        <v>Honorarios Profesionales</v>
      </c>
      <c r="K275" s="270">
        <f>IFERROR(IF(factura_c_mes1242[[#This Row],[CUIT]]="","-",VLOOKUP(factura_c_mes1242[[#This Row],[CUIT]],Lista_CUIT[#All],4,0)),"CUIT NO CARGADO")</f>
        <v>0</v>
      </c>
    </row>
    <row r="276" spans="2:18" ht="17.100000000000001" customHeight="1" x14ac:dyDescent="0.25">
      <c r="D276" s="271" t="s">
        <v>2945</v>
      </c>
      <c r="E276" s="267">
        <v>2</v>
      </c>
      <c r="F276" s="268">
        <v>358</v>
      </c>
      <c r="G276" s="269">
        <v>27065444777</v>
      </c>
      <c r="H276" s="271" t="str">
        <f>IFERROR(IF(factura_c_mes1242[[#This Row],[CUIT]]="","-",VLOOKUP(factura_c_mes1242[[#This Row],[CUIT]],Lista_CUIT[#All],2,0)),"CUIT NO CARGADO")</f>
        <v>CARNEVALE MABEL HAYDEE</v>
      </c>
      <c r="I276" s="273">
        <v>60000</v>
      </c>
      <c r="J276" s="270" t="str">
        <f>IFERROR(IF(factura_c_mes1242[[#This Row],[CUIT]]="","-",VLOOKUP(factura_c_mes1242[[#This Row],[CUIT]],Lista_CUIT[#All],3,0)),"CUIT NO CARGADO")</f>
        <v>Honorarios Profesionales</v>
      </c>
      <c r="K276" s="270">
        <f>IFERROR(IF(factura_c_mes1242[[#This Row],[CUIT]]="","-",VLOOKUP(factura_c_mes1242[[#This Row],[CUIT]],Lista_CUIT[#All],4,0)),"CUIT NO CARGADO")</f>
        <v>0</v>
      </c>
    </row>
    <row r="277" spans="2:18" ht="17.100000000000001" customHeight="1" x14ac:dyDescent="0.25">
      <c r="D277" s="271" t="s">
        <v>2948</v>
      </c>
      <c r="E277" s="267">
        <v>1</v>
      </c>
      <c r="F277" s="268">
        <v>127</v>
      </c>
      <c r="G277" s="269">
        <v>20176922363</v>
      </c>
      <c r="H277" s="271" t="str">
        <f>IFERROR(IF(factura_c_mes1242[[#This Row],[CUIT]]="","-",VLOOKUP(factura_c_mes1242[[#This Row],[CUIT]],Lista_CUIT[#All],2,0)),"CUIT NO CARGADO")</f>
        <v>CASTILLO JUAN RAMON</v>
      </c>
      <c r="I277" s="273">
        <v>800000</v>
      </c>
      <c r="J277" s="270" t="str">
        <f>IFERROR(IF(factura_c_mes1242[[#This Row],[CUIT]]="","-",VLOOKUP(factura_c_mes1242[[#This Row],[CUIT]],Lista_CUIT[#All],3,0)),"CUIT NO CARGADO")</f>
        <v>Honorarios Profesionales</v>
      </c>
      <c r="K277" s="270">
        <f>IFERROR(IF(factura_c_mes1242[[#This Row],[CUIT]]="","-",VLOOKUP(factura_c_mes1242[[#This Row],[CUIT]],Lista_CUIT[#All],4,0)),"CUIT NO CARGADO")</f>
        <v>0</v>
      </c>
    </row>
    <row r="278" spans="2:18" ht="17.100000000000001" customHeight="1" x14ac:dyDescent="0.25">
      <c r="D278" s="271" t="s">
        <v>2948</v>
      </c>
      <c r="E278" s="267">
        <v>1</v>
      </c>
      <c r="F278" s="268">
        <v>128</v>
      </c>
      <c r="G278" s="269">
        <v>20176922363</v>
      </c>
      <c r="H278" s="271" t="str">
        <f>IFERROR(IF(factura_c_mes1242[[#This Row],[CUIT]]="","-",VLOOKUP(factura_c_mes1242[[#This Row],[CUIT]],Lista_CUIT[#All],2,0)),"CUIT NO CARGADO")</f>
        <v>CASTILLO JUAN RAMON</v>
      </c>
      <c r="I278" s="273">
        <v>3000000</v>
      </c>
      <c r="J278" s="270" t="str">
        <f>IFERROR(IF(factura_c_mes1242[[#This Row],[CUIT]]="","-",VLOOKUP(factura_c_mes1242[[#This Row],[CUIT]],Lista_CUIT[#All],3,0)),"CUIT NO CARGADO")</f>
        <v>Honorarios Profesionales</v>
      </c>
      <c r="K278" s="270">
        <f>IFERROR(IF(factura_c_mes1242[[#This Row],[CUIT]]="","-",VLOOKUP(factura_c_mes1242[[#This Row],[CUIT]],Lista_CUIT[#All],4,0)),"CUIT NO CARGADO")</f>
        <v>0</v>
      </c>
    </row>
    <row r="279" spans="2:18" x14ac:dyDescent="0.25">
      <c r="D279" s="271" t="s">
        <v>2948</v>
      </c>
      <c r="E279" s="267">
        <v>2</v>
      </c>
      <c r="F279" s="268">
        <v>831</v>
      </c>
      <c r="G279" s="269">
        <v>27218690160</v>
      </c>
      <c r="H279" s="271" t="str">
        <f>IFERROR(IF(factura_c_mes1242[[#This Row],[CUIT]]="","-",VLOOKUP(factura_c_mes1242[[#This Row],[CUIT]],Lista_CUIT[#All],2,0)),"CUIT NO CARGADO")</f>
        <v>RAMIREZ LAURA VERONICA</v>
      </c>
      <c r="I279" s="273">
        <v>37500</v>
      </c>
      <c r="J279" s="270" t="str">
        <f>IFERROR(IF(factura_c_mes1242[[#This Row],[CUIT]]="","-",VLOOKUP(factura_c_mes1242[[#This Row],[CUIT]],Lista_CUIT[#All],3,0)),"CUIT NO CARGADO")</f>
        <v>Honorarios Profesionales</v>
      </c>
      <c r="K279" s="270">
        <f>IFERROR(IF(factura_c_mes1242[[#This Row],[CUIT]]="","-",VLOOKUP(factura_c_mes1242[[#This Row],[CUIT]],Lista_CUIT[#All],4,0)),"CUIT NO CARGADO")</f>
        <v>0</v>
      </c>
    </row>
    <row r="280" spans="2:18" ht="17.100000000000001" customHeight="1" x14ac:dyDescent="0.25">
      <c r="D280" s="271" t="s">
        <v>2949</v>
      </c>
      <c r="E280" s="267">
        <v>2</v>
      </c>
      <c r="F280" s="268">
        <v>832</v>
      </c>
      <c r="G280" s="269">
        <v>27218690160</v>
      </c>
      <c r="H280" s="271" t="str">
        <f>IFERROR(IF(factura_c_mes1242[[#This Row],[CUIT]]="","-",VLOOKUP(factura_c_mes1242[[#This Row],[CUIT]],Lista_CUIT[#All],2,0)),"CUIT NO CARGADO")</f>
        <v>RAMIREZ LAURA VERONICA</v>
      </c>
      <c r="I280" s="273">
        <v>37500</v>
      </c>
      <c r="J280" s="270" t="str">
        <f>IFERROR(IF(factura_c_mes1242[[#This Row],[CUIT]]="","-",VLOOKUP(factura_c_mes1242[[#This Row],[CUIT]],Lista_CUIT[#All],3,0)),"CUIT NO CARGADO")</f>
        <v>Honorarios Profesionales</v>
      </c>
      <c r="K280" s="270">
        <f>IFERROR(IF(factura_c_mes1242[[#This Row],[CUIT]]="","-",VLOOKUP(factura_c_mes1242[[#This Row],[CUIT]],Lista_CUIT[#All],4,0)),"CUIT NO CARGADO")</f>
        <v>0</v>
      </c>
    </row>
    <row r="281" spans="2:18" x14ac:dyDescent="0.25">
      <c r="D281" s="271" t="s">
        <v>2947</v>
      </c>
      <c r="E281" s="267">
        <v>1</v>
      </c>
      <c r="F281" s="268">
        <v>145</v>
      </c>
      <c r="G281" s="269">
        <v>20299505430</v>
      </c>
      <c r="H281" s="271" t="str">
        <f>IFERROR(IF(factura_c_mes1242[[#This Row],[CUIT]]="","-",VLOOKUP(factura_c_mes1242[[#This Row],[CUIT]],Lista_CUIT[#All],2,0)),"CUIT NO CARGADO")</f>
        <v>PRADO EMILIANO HERNAN</v>
      </c>
      <c r="I281" s="273">
        <v>354450</v>
      </c>
      <c r="J281" s="270" t="str">
        <f>IFERROR(IF(factura_c_mes1242[[#This Row],[CUIT]]="","-",VLOOKUP(factura_c_mes1242[[#This Row],[CUIT]],Lista_CUIT[#All],3,0)),"CUIT NO CARGADO")</f>
        <v>Material de Empaque</v>
      </c>
      <c r="K281" s="270">
        <f>IFERROR(IF(factura_c_mes1242[[#This Row],[CUIT]]="","-",VLOOKUP(factura_c_mes1242[[#This Row],[CUIT]],Lista_CUIT[#All],4,0)),"CUIT NO CARGADO")</f>
        <v>0</v>
      </c>
    </row>
    <row r="282" spans="2:18" x14ac:dyDescent="0.25">
      <c r="B282" s="56"/>
      <c r="C282" s="56"/>
      <c r="D282" s="55" t="s">
        <v>103</v>
      </c>
      <c r="E282" s="55"/>
      <c r="F282" s="55"/>
      <c r="G282" s="55"/>
      <c r="H282" s="57"/>
      <c r="I282" s="58">
        <f>SUBTOTAL(109,factura_c_mes1242[TOTAL])</f>
        <v>13658931.199999999</v>
      </c>
      <c r="J282" s="55"/>
      <c r="K282" s="55"/>
      <c r="L282" s="56"/>
      <c r="M282" s="56"/>
      <c r="N282" s="56"/>
      <c r="O282" s="56"/>
      <c r="P282" s="56"/>
      <c r="Q282" s="56"/>
      <c r="R282" s="56"/>
    </row>
    <row r="287" spans="2:18" ht="26.25" x14ac:dyDescent="0.25">
      <c r="B287" s="592" t="s">
        <v>29</v>
      </c>
      <c r="C287" s="592"/>
      <c r="D287" s="592"/>
      <c r="E287" s="592"/>
      <c r="F287" s="592"/>
      <c r="G287" s="592"/>
      <c r="H287" s="592"/>
      <c r="I287" s="592"/>
      <c r="J287" s="592"/>
      <c r="K287" s="593">
        <f>N1</f>
        <v>45962</v>
      </c>
      <c r="L287" s="593"/>
      <c r="M287" s="593"/>
    </row>
    <row r="289" spans="2:13" ht="21" x14ac:dyDescent="0.25">
      <c r="B289" s="594" t="s">
        <v>30</v>
      </c>
      <c r="C289" s="594"/>
    </row>
    <row r="290" spans="2:13" ht="31.5" x14ac:dyDescent="0.25">
      <c r="B290" s="60" t="s">
        <v>0</v>
      </c>
      <c r="C290" s="61" t="s">
        <v>1</v>
      </c>
      <c r="D290" s="61" t="s">
        <v>21</v>
      </c>
      <c r="E290" s="61" t="s">
        <v>22</v>
      </c>
      <c r="F290" s="61" t="s">
        <v>3</v>
      </c>
      <c r="G290" s="61" t="s">
        <v>4</v>
      </c>
      <c r="H290" s="61" t="s">
        <v>23</v>
      </c>
      <c r="I290" s="61" t="s">
        <v>17</v>
      </c>
      <c r="J290" s="61" t="s">
        <v>7</v>
      </c>
      <c r="K290" s="61" t="s">
        <v>24</v>
      </c>
      <c r="L290" s="61" t="s">
        <v>10</v>
      </c>
      <c r="M290" s="62" t="s">
        <v>38</v>
      </c>
    </row>
    <row r="291" spans="2:13" x14ac:dyDescent="0.25">
      <c r="B291" s="40"/>
      <c r="C291" s="41"/>
      <c r="D291" s="42"/>
      <c r="E291" s="43"/>
      <c r="F291" s="44"/>
      <c r="G291" s="98" t="str">
        <f>IFERROR(IF(venta_a_mes1254[[#This Row],[CUIT]]="","-",VLOOKUP(venta_a_mes1254[[#This Row],[CUIT]],Lista_CUIT[#All],2,0)),"CUIT NO CARGADO")</f>
        <v>-</v>
      </c>
      <c r="H291" s="99"/>
      <c r="I291" s="100">
        <f>venta_a_mes1254[[#This Row],[IMPORTE NETO]]*0.21</f>
        <v>0</v>
      </c>
      <c r="J291" s="65"/>
      <c r="K291" s="65"/>
      <c r="L291" s="65">
        <f>SUM(venta_a_mes1254[[#This Row],[IMPORTE NETO]:[EXENTO]])</f>
        <v>0</v>
      </c>
      <c r="M291" s="59"/>
    </row>
    <row r="292" spans="2:13" x14ac:dyDescent="0.25">
      <c r="B292" s="40"/>
      <c r="C292" s="41"/>
      <c r="D292" s="42"/>
      <c r="E292" s="43"/>
      <c r="F292" s="44"/>
      <c r="G292" s="98" t="str">
        <f>IFERROR(IF(venta_a_mes1254[[#This Row],[CUIT]]="","-",VLOOKUP(venta_a_mes1254[[#This Row],[CUIT]],Lista_CUIT[#All],2,0)),"CUIT NO CARGADO")</f>
        <v>-</v>
      </c>
      <c r="H292" s="99"/>
      <c r="I292" s="100">
        <f>venta_a_mes1254[[#This Row],[IMPORTE NETO]]*0.21</f>
        <v>0</v>
      </c>
      <c r="J292" s="65"/>
      <c r="K292" s="65"/>
      <c r="L292" s="65">
        <f>SUM(venta_a_mes1254[[#This Row],[IMPORTE NETO]:[EXENTO]])</f>
        <v>0</v>
      </c>
      <c r="M292" s="59"/>
    </row>
    <row r="293" spans="2:13" x14ac:dyDescent="0.25">
      <c r="B293" s="40"/>
      <c r="C293" s="41"/>
      <c r="D293" s="42"/>
      <c r="E293" s="43"/>
      <c r="F293" s="44"/>
      <c r="G293" s="98" t="str">
        <f>IFERROR(IF(venta_a_mes1254[[#This Row],[CUIT]]="","-",VLOOKUP(venta_a_mes1254[[#This Row],[CUIT]],Lista_CUIT[#All],2,0)),"CUIT NO CARGADO")</f>
        <v>-</v>
      </c>
      <c r="H293" s="99"/>
      <c r="I293" s="100">
        <f>venta_a_mes1254[[#This Row],[IMPORTE NETO]]*0.21</f>
        <v>0</v>
      </c>
      <c r="J293" s="65"/>
      <c r="K293" s="65"/>
      <c r="L293" s="65">
        <f>SUM(venta_a_mes1254[[#This Row],[IMPORTE NETO]:[EXENTO]])</f>
        <v>0</v>
      </c>
      <c r="M293" s="59"/>
    </row>
    <row r="294" spans="2:13" x14ac:dyDescent="0.25">
      <c r="B294" s="40"/>
      <c r="C294" s="41"/>
      <c r="D294" s="42"/>
      <c r="E294" s="43"/>
      <c r="F294" s="44"/>
      <c r="G294" s="98" t="str">
        <f>IFERROR(IF(venta_a_mes1254[[#This Row],[CUIT]]="","-",VLOOKUP(venta_a_mes1254[[#This Row],[CUIT]],Lista_CUIT[#All],2,0)),"CUIT NO CARGADO")</f>
        <v>-</v>
      </c>
      <c r="H294" s="99"/>
      <c r="I294" s="100">
        <f>venta_a_mes1254[[#This Row],[IMPORTE NETO]]*0.21</f>
        <v>0</v>
      </c>
      <c r="J294" s="65"/>
      <c r="K294" s="65"/>
      <c r="L294" s="65">
        <f>SUM(venta_a_mes1254[[#This Row],[IMPORTE NETO]:[EXENTO]])</f>
        <v>0</v>
      </c>
      <c r="M294" s="59"/>
    </row>
    <row r="295" spans="2:13" x14ac:dyDescent="0.25">
      <c r="B295" s="40"/>
      <c r="C295" s="41"/>
      <c r="D295" s="42"/>
      <c r="E295" s="43"/>
      <c r="F295" s="44"/>
      <c r="G295" s="98" t="str">
        <f>IFERROR(IF(venta_a_mes1254[[#This Row],[CUIT]]="","-",VLOOKUP(venta_a_mes1254[[#This Row],[CUIT]],Lista_CUIT[#All],2,0)),"CUIT NO CARGADO")</f>
        <v>-</v>
      </c>
      <c r="H295" s="99"/>
      <c r="I295" s="100">
        <f>venta_a_mes1254[[#This Row],[IMPORTE NETO]]*0.21</f>
        <v>0</v>
      </c>
      <c r="J295" s="65"/>
      <c r="K295" s="65"/>
      <c r="L295" s="65">
        <f>SUM(venta_a_mes1254[[#This Row],[IMPORTE NETO]:[EXENTO]])</f>
        <v>0</v>
      </c>
      <c r="M295" s="59"/>
    </row>
    <row r="296" spans="2:13" x14ac:dyDescent="0.25">
      <c r="B296" s="40"/>
      <c r="C296" s="41"/>
      <c r="D296" s="42"/>
      <c r="E296" s="43"/>
      <c r="F296" s="44"/>
      <c r="G296" s="98" t="str">
        <f>IFERROR(IF(venta_a_mes1254[[#This Row],[CUIT]]="","-",VLOOKUP(venta_a_mes1254[[#This Row],[CUIT]],Lista_CUIT[#All],2,0)),"CUIT NO CARGADO")</f>
        <v>-</v>
      </c>
      <c r="H296" s="99"/>
      <c r="I296" s="100">
        <f>venta_a_mes1254[[#This Row],[IMPORTE NETO]]*0.21</f>
        <v>0</v>
      </c>
      <c r="J296" s="65"/>
      <c r="K296" s="65"/>
      <c r="L296" s="65">
        <f>SUM(venta_a_mes1254[[#This Row],[IMPORTE NETO]:[EXENTO]])</f>
        <v>0</v>
      </c>
      <c r="M296" s="59"/>
    </row>
    <row r="297" spans="2:13" x14ac:dyDescent="0.25">
      <c r="B297" s="40"/>
      <c r="C297" s="41"/>
      <c r="D297" s="42"/>
      <c r="E297" s="43"/>
      <c r="F297" s="44"/>
      <c r="G297" s="98" t="str">
        <f>IFERROR(IF(venta_a_mes1254[[#This Row],[CUIT]]="","-",VLOOKUP(venta_a_mes1254[[#This Row],[CUIT]],Lista_CUIT[#All],2,0)),"CUIT NO CARGADO")</f>
        <v>-</v>
      </c>
      <c r="H297" s="99"/>
      <c r="I297" s="100">
        <f>venta_a_mes1254[[#This Row],[IMPORTE NETO]]*0.21</f>
        <v>0</v>
      </c>
      <c r="J297" s="65"/>
      <c r="K297" s="65"/>
      <c r="L297" s="65">
        <f>SUM(venta_a_mes1254[[#This Row],[IMPORTE NETO]:[EXENTO]])</f>
        <v>0</v>
      </c>
      <c r="M297" s="63"/>
    </row>
    <row r="298" spans="2:13" x14ac:dyDescent="0.25">
      <c r="B298" s="101"/>
      <c r="C298" s="41"/>
      <c r="D298" s="103"/>
      <c r="E298" s="104"/>
      <c r="F298" s="105"/>
      <c r="G298" s="98" t="str">
        <f>IFERROR(IF(venta_a_mes1254[[#This Row],[CUIT]]="","-",VLOOKUP(venta_a_mes1254[[#This Row],[CUIT]],Lista_CUIT[#All],2,0)),"CUIT NO CARGADO")</f>
        <v>-</v>
      </c>
      <c r="H298" s="106"/>
      <c r="I298" s="107">
        <f>venta_a_mes1254[[#This Row],[IMPORTE NETO]]*0.21</f>
        <v>0</v>
      </c>
      <c r="J298" s="72"/>
      <c r="K298" s="72"/>
      <c r="L298" s="72">
        <f>SUM(venta_a_mes1254[[#This Row],[IMPORTE NETO]:[EXENTO]])</f>
        <v>0</v>
      </c>
      <c r="M298" s="63"/>
    </row>
    <row r="299" spans="2:13" x14ac:dyDescent="0.25">
      <c r="B299" s="108"/>
      <c r="C299" s="41"/>
      <c r="D299" s="110"/>
      <c r="E299" s="111"/>
      <c r="F299" s="112"/>
      <c r="G299" s="98" t="str">
        <f>IFERROR(IF(venta_a_mes1254[[#This Row],[CUIT]]="","-",VLOOKUP(venta_a_mes1254[[#This Row],[CUIT]],Lista_CUIT[#All],2,0)),"CUIT NO CARGADO")</f>
        <v>-</v>
      </c>
      <c r="H299" s="99"/>
      <c r="I299" s="100">
        <f>venta_a_mes1254[[#This Row],[IMPORTE NETO]]*0.21</f>
        <v>0</v>
      </c>
      <c r="J299" s="65"/>
      <c r="K299" s="65"/>
      <c r="L299" s="65">
        <f>SUM(venta_a_mes1254[[#This Row],[IMPORTE NETO]:[EXENTO]])</f>
        <v>0</v>
      </c>
      <c r="M299" s="59"/>
    </row>
    <row r="300" spans="2:13" x14ac:dyDescent="0.25">
      <c r="B300" s="101"/>
      <c r="C300" s="41"/>
      <c r="D300" s="103"/>
      <c r="E300" s="104"/>
      <c r="F300" s="105"/>
      <c r="G300" s="133" t="str">
        <f>IFERROR(IF(venta_a_mes1254[[#This Row],[CUIT]]="","-",VLOOKUP(venta_a_mes1254[[#This Row],[CUIT]],Lista_CUIT[#All],2,0)),"CUIT NO CARGADO")</f>
        <v>-</v>
      </c>
      <c r="H300" s="106"/>
      <c r="I300" s="107">
        <f>venta_a_mes1254[[#This Row],[IMPORTE NETO]]*0.21</f>
        <v>0</v>
      </c>
      <c r="J300" s="72"/>
      <c r="K300" s="72"/>
      <c r="L300" s="72">
        <f>SUM(venta_a_mes1254[[#This Row],[IMPORTE NETO]:[EXENTO]])</f>
        <v>0</v>
      </c>
      <c r="M300" s="63"/>
    </row>
    <row r="301" spans="2:13" x14ac:dyDescent="0.25">
      <c r="B301" s="101"/>
      <c r="C301" s="41"/>
      <c r="D301" s="103"/>
      <c r="E301" s="104"/>
      <c r="F301" s="105"/>
      <c r="G301" s="133" t="str">
        <f>IFERROR(IF(venta_a_mes1254[[#This Row],[CUIT]]="","-",VLOOKUP(venta_a_mes1254[[#This Row],[CUIT]],Lista_CUIT[#All],2,0)),"CUIT NO CARGADO")</f>
        <v>-</v>
      </c>
      <c r="H301" s="106"/>
      <c r="I301" s="107">
        <f>venta_a_mes1254[[#This Row],[IMPORTE NETO]]*0.21</f>
        <v>0</v>
      </c>
      <c r="J301" s="72"/>
      <c r="K301" s="72"/>
      <c r="L301" s="72">
        <f>SUM(venta_a_mes1254[[#This Row],[IMPORTE NETO]:[EXENTO]])</f>
        <v>0</v>
      </c>
      <c r="M301" s="63"/>
    </row>
    <row r="302" spans="2:13" x14ac:dyDescent="0.25">
      <c r="B302" s="108"/>
      <c r="C302" s="41"/>
      <c r="D302" s="110"/>
      <c r="E302" s="111"/>
      <c r="F302" s="112"/>
      <c r="G302" s="98" t="str">
        <f>IFERROR(IF(venta_a_mes1254[[#This Row],[CUIT]]="","-",VLOOKUP(venta_a_mes1254[[#This Row],[CUIT]],Lista_CUIT[#All],2,0)),"CUIT NO CARGADO")</f>
        <v>-</v>
      </c>
      <c r="H302" s="99"/>
      <c r="I302" s="100">
        <f>venta_a_mes1254[[#This Row],[IMPORTE NETO]]*0.21</f>
        <v>0</v>
      </c>
      <c r="J302" s="65"/>
      <c r="K302" s="65"/>
      <c r="L302" s="65">
        <f>SUM(venta_a_mes1254[[#This Row],[IMPORTE NETO]:[EXENTO]])</f>
        <v>0</v>
      </c>
      <c r="M302" s="59"/>
    </row>
    <row r="303" spans="2:13" x14ac:dyDescent="0.25">
      <c r="B303" s="108"/>
      <c r="C303" s="41"/>
      <c r="D303" s="110"/>
      <c r="E303" s="111"/>
      <c r="F303" s="112"/>
      <c r="G303" s="98" t="str">
        <f>IFERROR(IF(venta_a_mes1254[[#This Row],[CUIT]]="","-",VLOOKUP(venta_a_mes1254[[#This Row],[CUIT]],Lista_CUIT[#All],2,0)),"CUIT NO CARGADO")</f>
        <v>-</v>
      </c>
      <c r="H303" s="99"/>
      <c r="I303" s="100">
        <f>venta_a_mes1254[[#This Row],[IMPORTE NETO]]*0.21</f>
        <v>0</v>
      </c>
      <c r="J303" s="65"/>
      <c r="K303" s="65"/>
      <c r="L303" s="65">
        <f>SUM(venta_a_mes1254[[#This Row],[IMPORTE NETO]:[EXENTO]])</f>
        <v>0</v>
      </c>
      <c r="M303" s="59"/>
    </row>
    <row r="304" spans="2:13" x14ac:dyDescent="0.25">
      <c r="B304" s="108"/>
      <c r="C304" s="41"/>
      <c r="D304" s="110"/>
      <c r="E304" s="111"/>
      <c r="F304" s="112"/>
      <c r="G304" s="98" t="str">
        <f>IFERROR(IF(venta_a_mes1254[[#This Row],[CUIT]]="","-",VLOOKUP(venta_a_mes1254[[#This Row],[CUIT]],Lista_CUIT[#All],2,0)),"CUIT NO CARGADO")</f>
        <v>-</v>
      </c>
      <c r="H304" s="99"/>
      <c r="I304" s="100">
        <f>venta_a_mes1254[[#This Row],[IMPORTE NETO]]*0.21</f>
        <v>0</v>
      </c>
      <c r="J304" s="65"/>
      <c r="K304" s="65"/>
      <c r="L304" s="65">
        <f>SUM(venta_a_mes1254[[#This Row],[IMPORTE NETO]:[EXENTO]])</f>
        <v>0</v>
      </c>
      <c r="M304" s="59"/>
    </row>
    <row r="305" spans="2:13" x14ac:dyDescent="0.25">
      <c r="B305" s="108"/>
      <c r="C305" s="41"/>
      <c r="D305" s="110"/>
      <c r="E305" s="111"/>
      <c r="F305" s="112"/>
      <c r="G305" s="98" t="str">
        <f>IFERROR(IF(venta_a_mes1254[[#This Row],[CUIT]]="","-",VLOOKUP(venta_a_mes1254[[#This Row],[CUIT]],Lista_CUIT[#All],2,0)),"CUIT NO CARGADO")</f>
        <v>-</v>
      </c>
      <c r="H305" s="99"/>
      <c r="I305" s="100">
        <f>venta_a_mes1254[[#This Row],[IMPORTE NETO]]*0.21</f>
        <v>0</v>
      </c>
      <c r="J305" s="65"/>
      <c r="K305" s="65"/>
      <c r="L305" s="65">
        <f>SUM(venta_a_mes1254[[#This Row],[IMPORTE NETO]:[EXENTO]])</f>
        <v>0</v>
      </c>
      <c r="M305" s="59"/>
    </row>
    <row r="306" spans="2:13" x14ac:dyDescent="0.25">
      <c r="B306" s="108"/>
      <c r="C306" s="41"/>
      <c r="D306" s="110"/>
      <c r="E306" s="111"/>
      <c r="F306" s="112"/>
      <c r="G306" s="98" t="str">
        <f>IFERROR(IF(venta_a_mes1254[[#This Row],[CUIT]]="","-",VLOOKUP(venta_a_mes1254[[#This Row],[CUIT]],Lista_CUIT[#All],2,0)),"CUIT NO CARGADO")</f>
        <v>-</v>
      </c>
      <c r="H306" s="99"/>
      <c r="I306" s="100">
        <f>venta_a_mes1254[[#This Row],[IMPORTE NETO]]*0.21</f>
        <v>0</v>
      </c>
      <c r="J306" s="65"/>
      <c r="K306" s="65"/>
      <c r="L306" s="65">
        <f>SUM(venta_a_mes1254[[#This Row],[IMPORTE NETO]:[EXENTO]])</f>
        <v>0</v>
      </c>
      <c r="M306" s="59"/>
    </row>
    <row r="307" spans="2:13" x14ac:dyDescent="0.25">
      <c r="B307" s="108"/>
      <c r="C307" s="41"/>
      <c r="D307" s="110"/>
      <c r="E307" s="111"/>
      <c r="F307" s="112"/>
      <c r="G307" s="98" t="str">
        <f>IFERROR(IF(venta_a_mes1254[[#This Row],[CUIT]]="","-",VLOOKUP(venta_a_mes1254[[#This Row],[CUIT]],Lista_CUIT[#All],2,0)),"CUIT NO CARGADO")</f>
        <v>-</v>
      </c>
      <c r="H307" s="99"/>
      <c r="I307" s="100">
        <f>venta_a_mes1254[[#This Row],[IMPORTE NETO]]*0.21</f>
        <v>0</v>
      </c>
      <c r="J307" s="65"/>
      <c r="K307" s="65"/>
      <c r="L307" s="65">
        <f>SUM(venta_a_mes1254[[#This Row],[IMPORTE NETO]:[EXENTO]])</f>
        <v>0</v>
      </c>
      <c r="M307" s="59"/>
    </row>
    <row r="308" spans="2:13" x14ac:dyDescent="0.25">
      <c r="B308" s="108"/>
      <c r="C308" s="41"/>
      <c r="D308" s="110"/>
      <c r="E308" s="111"/>
      <c r="F308" s="112"/>
      <c r="G308" s="98" t="str">
        <f>IFERROR(IF(venta_a_mes1254[[#This Row],[CUIT]]="","-",VLOOKUP(venta_a_mes1254[[#This Row],[CUIT]],Lista_CUIT[#All],2,0)),"CUIT NO CARGADO")</f>
        <v>-</v>
      </c>
      <c r="H308" s="99"/>
      <c r="I308" s="100">
        <f>venta_a_mes1254[[#This Row],[IMPORTE NETO]]*0.21</f>
        <v>0</v>
      </c>
      <c r="J308" s="65"/>
      <c r="K308" s="65"/>
      <c r="L308" s="65">
        <f>SUM(venta_a_mes1254[[#This Row],[IMPORTE NETO]:[EXENTO]])</f>
        <v>0</v>
      </c>
      <c r="M308" s="59"/>
    </row>
    <row r="309" spans="2:13" x14ac:dyDescent="0.25">
      <c r="B309" s="108"/>
      <c r="C309" s="41"/>
      <c r="D309" s="110"/>
      <c r="E309" s="111"/>
      <c r="F309" s="112"/>
      <c r="G309" s="98" t="str">
        <f>IFERROR(IF(venta_a_mes1254[[#This Row],[CUIT]]="","-",VLOOKUP(venta_a_mes1254[[#This Row],[CUIT]],Lista_CUIT[#All],2,0)),"CUIT NO CARGADO")</f>
        <v>-</v>
      </c>
      <c r="H309" s="99"/>
      <c r="I309" s="100">
        <f>venta_a_mes1254[[#This Row],[IMPORTE NETO]]*0.21</f>
        <v>0</v>
      </c>
      <c r="J309" s="65"/>
      <c r="K309" s="65"/>
      <c r="L309" s="65">
        <f>SUM(venta_a_mes1254[[#This Row],[IMPORTE NETO]:[EXENTO]])</f>
        <v>0</v>
      </c>
      <c r="M309" s="59"/>
    </row>
    <row r="310" spans="2:13" x14ac:dyDescent="0.25">
      <c r="B310" s="108"/>
      <c r="C310" s="41"/>
      <c r="D310" s="110"/>
      <c r="E310" s="111"/>
      <c r="F310" s="112"/>
      <c r="G310" s="98" t="str">
        <f>IFERROR(IF(venta_a_mes1254[[#This Row],[CUIT]]="","-",VLOOKUP(venta_a_mes1254[[#This Row],[CUIT]],Lista_CUIT[#All],2,0)),"CUIT NO CARGADO")</f>
        <v>-</v>
      </c>
      <c r="H310" s="99"/>
      <c r="I310" s="100">
        <f>venta_a_mes1254[[#This Row],[IMPORTE NETO]]*0.21</f>
        <v>0</v>
      </c>
      <c r="J310" s="65"/>
      <c r="K310" s="65"/>
      <c r="L310" s="65">
        <f>SUM(venta_a_mes1254[[#This Row],[IMPORTE NETO]:[EXENTO]])</f>
        <v>0</v>
      </c>
      <c r="M310" s="59"/>
    </row>
    <row r="311" spans="2:13" x14ac:dyDescent="0.25">
      <c r="B311" s="108"/>
      <c r="C311" s="41"/>
      <c r="D311" s="110"/>
      <c r="E311" s="111"/>
      <c r="F311" s="112"/>
      <c r="G311" s="98" t="str">
        <f>IFERROR(IF(venta_a_mes1254[[#This Row],[CUIT]]="","-",VLOOKUP(venta_a_mes1254[[#This Row],[CUIT]],Lista_CUIT[#All],2,0)),"CUIT NO CARGADO")</f>
        <v>-</v>
      </c>
      <c r="H311" s="99"/>
      <c r="I311" s="100">
        <f>venta_a_mes1254[[#This Row],[IMPORTE NETO]]*0.21</f>
        <v>0</v>
      </c>
      <c r="J311" s="65"/>
      <c r="K311" s="65"/>
      <c r="L311" s="65">
        <f>SUM(venta_a_mes1254[[#This Row],[IMPORTE NETO]:[EXENTO]])</f>
        <v>0</v>
      </c>
      <c r="M311" s="59"/>
    </row>
    <row r="312" spans="2:13" x14ac:dyDescent="0.25">
      <c r="B312" s="108"/>
      <c r="C312" s="41"/>
      <c r="D312" s="110"/>
      <c r="E312" s="111"/>
      <c r="F312" s="112"/>
      <c r="G312" s="98" t="str">
        <f>IFERROR(IF(venta_a_mes1254[[#This Row],[CUIT]]="","-",VLOOKUP(venta_a_mes1254[[#This Row],[CUIT]],Lista_CUIT[#All],2,0)),"CUIT NO CARGADO")</f>
        <v>-</v>
      </c>
      <c r="H312" s="99"/>
      <c r="I312" s="100">
        <f>venta_a_mes1254[[#This Row],[IMPORTE NETO]]*0.21</f>
        <v>0</v>
      </c>
      <c r="J312" s="65"/>
      <c r="K312" s="65"/>
      <c r="L312" s="65">
        <f>SUM(venta_a_mes1254[[#This Row],[IMPORTE NETO]:[EXENTO]])</f>
        <v>0</v>
      </c>
      <c r="M312" s="59"/>
    </row>
    <row r="313" spans="2:13" x14ac:dyDescent="0.25">
      <c r="B313" s="108"/>
      <c r="C313" s="41"/>
      <c r="D313" s="110"/>
      <c r="E313" s="111"/>
      <c r="F313" s="112"/>
      <c r="G313" s="98" t="str">
        <f>IFERROR(IF(venta_a_mes1254[[#This Row],[CUIT]]="","-",VLOOKUP(venta_a_mes1254[[#This Row],[CUIT]],Lista_CUIT[#All],2,0)),"CUIT NO CARGADO")</f>
        <v>-</v>
      </c>
      <c r="H313" s="99"/>
      <c r="I313" s="100">
        <f>venta_a_mes1254[[#This Row],[IMPORTE NETO]]*0.21</f>
        <v>0</v>
      </c>
      <c r="J313" s="65"/>
      <c r="K313" s="65"/>
      <c r="L313" s="65">
        <f>SUM(venta_a_mes1254[[#This Row],[IMPORTE NETO]:[EXENTO]])</f>
        <v>0</v>
      </c>
      <c r="M313" s="59"/>
    </row>
    <row r="314" spans="2:13" x14ac:dyDescent="0.25">
      <c r="B314" s="108"/>
      <c r="C314" s="41"/>
      <c r="D314" s="110"/>
      <c r="E314" s="111"/>
      <c r="F314" s="112"/>
      <c r="G314" s="98" t="str">
        <f>IFERROR(IF(venta_a_mes1254[[#This Row],[CUIT]]="","-",VLOOKUP(venta_a_mes1254[[#This Row],[CUIT]],Lista_CUIT[#All],2,0)),"CUIT NO CARGADO")</f>
        <v>-</v>
      </c>
      <c r="H314" s="99"/>
      <c r="I314" s="100">
        <f>venta_a_mes1254[[#This Row],[IMPORTE NETO]]*0.21</f>
        <v>0</v>
      </c>
      <c r="J314" s="65"/>
      <c r="K314" s="65"/>
      <c r="L314" s="65">
        <f>SUM(venta_a_mes1254[[#This Row],[IMPORTE NETO]:[EXENTO]])</f>
        <v>0</v>
      </c>
      <c r="M314" s="59"/>
    </row>
    <row r="315" spans="2:13" x14ac:dyDescent="0.25">
      <c r="B315" s="108"/>
      <c r="C315" s="41"/>
      <c r="D315" s="110"/>
      <c r="E315" s="111"/>
      <c r="F315" s="112"/>
      <c r="G315" s="98" t="str">
        <f>IFERROR(IF(venta_a_mes1254[[#This Row],[CUIT]]="","-",VLOOKUP(venta_a_mes1254[[#This Row],[CUIT]],Lista_CUIT[#All],2,0)),"CUIT NO CARGADO")</f>
        <v>-</v>
      </c>
      <c r="H315" s="99"/>
      <c r="I315" s="100">
        <f>venta_a_mes1254[[#This Row],[IMPORTE NETO]]*0.21</f>
        <v>0</v>
      </c>
      <c r="J315" s="65"/>
      <c r="K315" s="65"/>
      <c r="L315" s="65">
        <f>SUM(venta_a_mes1254[[#This Row],[IMPORTE NETO]:[EXENTO]])</f>
        <v>0</v>
      </c>
      <c r="M315" s="59"/>
    </row>
    <row r="316" spans="2:13" x14ac:dyDescent="0.25">
      <c r="B316" s="108"/>
      <c r="C316" s="41"/>
      <c r="D316" s="110"/>
      <c r="E316" s="111"/>
      <c r="F316" s="112"/>
      <c r="G316" s="98" t="str">
        <f>IFERROR(IF(venta_a_mes1254[[#This Row],[CUIT]]="","-",VLOOKUP(venta_a_mes1254[[#This Row],[CUIT]],Lista_CUIT[#All],2,0)),"CUIT NO CARGADO")</f>
        <v>-</v>
      </c>
      <c r="H316" s="99"/>
      <c r="I316" s="100">
        <f>venta_a_mes1254[[#This Row],[IMPORTE NETO]]*0.21</f>
        <v>0</v>
      </c>
      <c r="J316" s="65"/>
      <c r="K316" s="65"/>
      <c r="L316" s="65">
        <f>SUM(venta_a_mes1254[[#This Row],[IMPORTE NETO]:[EXENTO]])</f>
        <v>0</v>
      </c>
      <c r="M316" s="59"/>
    </row>
    <row r="317" spans="2:13" x14ac:dyDescent="0.25">
      <c r="B317" s="108"/>
      <c r="C317" s="41"/>
      <c r="D317" s="110"/>
      <c r="E317" s="111"/>
      <c r="F317" s="112"/>
      <c r="G317" s="98" t="str">
        <f>IFERROR(IF(venta_a_mes1254[[#This Row],[CUIT]]="","-",VLOOKUP(venta_a_mes1254[[#This Row],[CUIT]],Lista_CUIT[#All],2,0)),"CUIT NO CARGADO")</f>
        <v>-</v>
      </c>
      <c r="H317" s="99"/>
      <c r="I317" s="100">
        <f>venta_a_mes1254[[#This Row],[IMPORTE NETO]]*0.21</f>
        <v>0</v>
      </c>
      <c r="J317" s="65"/>
      <c r="K317" s="65"/>
      <c r="L317" s="65">
        <f>SUM(venta_a_mes1254[[#This Row],[IMPORTE NETO]:[EXENTO]])</f>
        <v>0</v>
      </c>
      <c r="M317" s="59"/>
    </row>
    <row r="318" spans="2:13" x14ac:dyDescent="0.25">
      <c r="B318" s="108"/>
      <c r="C318" s="41"/>
      <c r="D318" s="110"/>
      <c r="E318" s="111"/>
      <c r="F318" s="112"/>
      <c r="G318" s="98" t="str">
        <f>IFERROR(IF(venta_a_mes1254[[#This Row],[CUIT]]="","-",VLOOKUP(venta_a_mes1254[[#This Row],[CUIT]],Lista_CUIT[#All],2,0)),"CUIT NO CARGADO")</f>
        <v>-</v>
      </c>
      <c r="H318" s="99"/>
      <c r="I318" s="100">
        <f>venta_a_mes1254[[#This Row],[IMPORTE NETO]]*0.21</f>
        <v>0</v>
      </c>
      <c r="J318" s="65"/>
      <c r="K318" s="65"/>
      <c r="L318" s="65">
        <f>SUM(venta_a_mes1254[[#This Row],[IMPORTE NETO]:[EXENTO]])</f>
        <v>0</v>
      </c>
      <c r="M318" s="59"/>
    </row>
    <row r="319" spans="2:13" x14ac:dyDescent="0.25">
      <c r="B319" s="108"/>
      <c r="C319" s="41"/>
      <c r="D319" s="110"/>
      <c r="E319" s="111"/>
      <c r="F319" s="112"/>
      <c r="G319" s="98" t="str">
        <f>IFERROR(IF(venta_a_mes1254[[#This Row],[CUIT]]="","-",VLOOKUP(venta_a_mes1254[[#This Row],[CUIT]],Lista_CUIT[#All],2,0)),"CUIT NO CARGADO")</f>
        <v>-</v>
      </c>
      <c r="H319" s="99"/>
      <c r="I319" s="100">
        <f>venta_a_mes1254[[#This Row],[IMPORTE NETO]]*0.21</f>
        <v>0</v>
      </c>
      <c r="J319" s="65"/>
      <c r="K319" s="65"/>
      <c r="L319" s="65">
        <f>SUM(venta_a_mes1254[[#This Row],[IMPORTE NETO]:[EXENTO]])</f>
        <v>0</v>
      </c>
      <c r="M319" s="59"/>
    </row>
    <row r="320" spans="2:13" x14ac:dyDescent="0.25">
      <c r="B320" s="108"/>
      <c r="C320" s="41"/>
      <c r="D320" s="110"/>
      <c r="E320" s="111"/>
      <c r="F320" s="112"/>
      <c r="G320" s="98" t="str">
        <f>IFERROR(IF(venta_a_mes1254[[#This Row],[CUIT]]="","-",VLOOKUP(venta_a_mes1254[[#This Row],[CUIT]],Lista_CUIT[#All],2,0)),"CUIT NO CARGADO")</f>
        <v>-</v>
      </c>
      <c r="H320" s="99"/>
      <c r="I320" s="100">
        <f>venta_a_mes1254[[#This Row],[IMPORTE NETO]]*0.21</f>
        <v>0</v>
      </c>
      <c r="J320" s="65"/>
      <c r="K320" s="65"/>
      <c r="L320" s="65">
        <f>SUM(venta_a_mes1254[[#This Row],[IMPORTE NETO]:[EXENTO]])</f>
        <v>0</v>
      </c>
      <c r="M320" s="59"/>
    </row>
    <row r="321" spans="2:13" x14ac:dyDescent="0.25">
      <c r="B321" s="108"/>
      <c r="C321" s="41"/>
      <c r="D321" s="110"/>
      <c r="E321" s="111"/>
      <c r="F321" s="112"/>
      <c r="G321" s="98" t="str">
        <f>IFERROR(IF(venta_a_mes1254[[#This Row],[CUIT]]="","-",VLOOKUP(venta_a_mes1254[[#This Row],[CUIT]],Lista_CUIT[#All],2,0)),"CUIT NO CARGADO")</f>
        <v>-</v>
      </c>
      <c r="H321" s="99"/>
      <c r="I321" s="100">
        <f>venta_a_mes1254[[#This Row],[IMPORTE NETO]]*0.21</f>
        <v>0</v>
      </c>
      <c r="J321" s="65"/>
      <c r="K321" s="65"/>
      <c r="L321" s="65">
        <f>SUM(venta_a_mes1254[[#This Row],[IMPORTE NETO]:[EXENTO]])</f>
        <v>0</v>
      </c>
      <c r="M321" s="59"/>
    </row>
    <row r="322" spans="2:13" x14ac:dyDescent="0.25">
      <c r="B322" s="108"/>
      <c r="C322" s="41"/>
      <c r="D322" s="110"/>
      <c r="E322" s="111"/>
      <c r="F322" s="112"/>
      <c r="G322" s="98" t="str">
        <f>IFERROR(IF(venta_a_mes1254[[#This Row],[CUIT]]="","-",VLOOKUP(venta_a_mes1254[[#This Row],[CUIT]],Lista_CUIT[#All],2,0)),"CUIT NO CARGADO")</f>
        <v>-</v>
      </c>
      <c r="H322" s="99"/>
      <c r="I322" s="100">
        <f>venta_a_mes1254[[#This Row],[IMPORTE NETO]]*0.21</f>
        <v>0</v>
      </c>
      <c r="J322" s="65"/>
      <c r="K322" s="65"/>
      <c r="L322" s="65">
        <f>SUM(venta_a_mes1254[[#This Row],[IMPORTE NETO]:[EXENTO]])</f>
        <v>0</v>
      </c>
      <c r="M322" s="59"/>
    </row>
    <row r="323" spans="2:13" x14ac:dyDescent="0.25">
      <c r="B323" s="108"/>
      <c r="C323" s="41"/>
      <c r="D323" s="110"/>
      <c r="E323" s="111"/>
      <c r="F323" s="112"/>
      <c r="G323" s="98" t="str">
        <f>IFERROR(IF(venta_a_mes1254[[#This Row],[CUIT]]="","-",VLOOKUP(venta_a_mes1254[[#This Row],[CUIT]],Lista_CUIT[#All],2,0)),"CUIT NO CARGADO")</f>
        <v>-</v>
      </c>
      <c r="H323" s="99"/>
      <c r="I323" s="100">
        <f>venta_a_mes1254[[#This Row],[IMPORTE NETO]]*0.21</f>
        <v>0</v>
      </c>
      <c r="J323" s="65"/>
      <c r="K323" s="65"/>
      <c r="L323" s="65">
        <f>SUM(venta_a_mes1254[[#This Row],[IMPORTE NETO]:[EXENTO]])</f>
        <v>0</v>
      </c>
      <c r="M323" s="59"/>
    </row>
    <row r="324" spans="2:13" x14ac:dyDescent="0.25">
      <c r="B324" s="108"/>
      <c r="C324" s="41"/>
      <c r="D324" s="110"/>
      <c r="E324" s="111"/>
      <c r="F324" s="112"/>
      <c r="G324" s="98" t="str">
        <f>IFERROR(IF(venta_a_mes1254[[#This Row],[CUIT]]="","-",VLOOKUP(venta_a_mes1254[[#This Row],[CUIT]],Lista_CUIT[#All],2,0)),"CUIT NO CARGADO")</f>
        <v>-</v>
      </c>
      <c r="H324" s="99"/>
      <c r="I324" s="100">
        <f>venta_a_mes1254[[#This Row],[IMPORTE NETO]]*0.21</f>
        <v>0</v>
      </c>
      <c r="J324" s="65"/>
      <c r="K324" s="65"/>
      <c r="L324" s="65">
        <f>SUM(venta_a_mes1254[[#This Row],[IMPORTE NETO]:[EXENTO]])</f>
        <v>0</v>
      </c>
      <c r="M324" s="59"/>
    </row>
    <row r="325" spans="2:13" x14ac:dyDescent="0.25">
      <c r="B325" s="108"/>
      <c r="C325" s="41"/>
      <c r="D325" s="110"/>
      <c r="E325" s="111"/>
      <c r="F325" s="112"/>
      <c r="G325" s="98" t="str">
        <f>IFERROR(IF(venta_a_mes1254[[#This Row],[CUIT]]="","-",VLOOKUP(venta_a_mes1254[[#This Row],[CUIT]],Lista_CUIT[#All],2,0)),"CUIT NO CARGADO")</f>
        <v>-</v>
      </c>
      <c r="H325" s="99"/>
      <c r="I325" s="100">
        <f>venta_a_mes1254[[#This Row],[IMPORTE NETO]]*0.21</f>
        <v>0</v>
      </c>
      <c r="J325" s="65"/>
      <c r="K325" s="65"/>
      <c r="L325" s="65">
        <f>SUM(venta_a_mes1254[[#This Row],[IMPORTE NETO]:[EXENTO]])</f>
        <v>0</v>
      </c>
      <c r="M325" s="59"/>
    </row>
    <row r="326" spans="2:13" x14ac:dyDescent="0.25">
      <c r="B326" s="108"/>
      <c r="C326" s="41"/>
      <c r="D326" s="110"/>
      <c r="E326" s="111"/>
      <c r="F326" s="112"/>
      <c r="G326" s="98" t="str">
        <f>IFERROR(IF(venta_a_mes1254[[#This Row],[CUIT]]="","-",VLOOKUP(venta_a_mes1254[[#This Row],[CUIT]],Lista_CUIT[#All],2,0)),"CUIT NO CARGADO")</f>
        <v>-</v>
      </c>
      <c r="H326" s="99"/>
      <c r="I326" s="100">
        <f>venta_a_mes1254[[#This Row],[IMPORTE NETO]]*0.21</f>
        <v>0</v>
      </c>
      <c r="J326" s="65"/>
      <c r="K326" s="65"/>
      <c r="L326" s="65">
        <f>SUM(venta_a_mes1254[[#This Row],[IMPORTE NETO]:[EXENTO]])</f>
        <v>0</v>
      </c>
      <c r="M326" s="59"/>
    </row>
    <row r="327" spans="2:13" x14ac:dyDescent="0.25">
      <c r="B327" s="108"/>
      <c r="C327" s="41"/>
      <c r="D327" s="110"/>
      <c r="E327" s="111"/>
      <c r="F327" s="112"/>
      <c r="G327" s="98" t="str">
        <f>IFERROR(IF(venta_a_mes1254[[#This Row],[CUIT]]="","-",VLOOKUP(venta_a_mes1254[[#This Row],[CUIT]],Lista_CUIT[#All],2,0)),"CUIT NO CARGADO")</f>
        <v>-</v>
      </c>
      <c r="H327" s="99"/>
      <c r="I327" s="100">
        <f>venta_a_mes1254[[#This Row],[IMPORTE NETO]]*0.21</f>
        <v>0</v>
      </c>
      <c r="J327" s="65"/>
      <c r="K327" s="65"/>
      <c r="L327" s="65">
        <f>SUM(venta_a_mes1254[[#This Row],[IMPORTE NETO]:[EXENTO]])</f>
        <v>0</v>
      </c>
      <c r="M327" s="59"/>
    </row>
    <row r="328" spans="2:13" x14ac:dyDescent="0.25">
      <c r="B328" s="108"/>
      <c r="C328" s="41"/>
      <c r="D328" s="110"/>
      <c r="E328" s="111"/>
      <c r="F328" s="112"/>
      <c r="G328" s="98" t="str">
        <f>IFERROR(IF(venta_a_mes1254[[#This Row],[CUIT]]="","-",VLOOKUP(venta_a_mes1254[[#This Row],[CUIT]],Lista_CUIT[#All],2,0)),"CUIT NO CARGADO")</f>
        <v>-</v>
      </c>
      <c r="H328" s="99"/>
      <c r="I328" s="100">
        <f>venta_a_mes1254[[#This Row],[IMPORTE NETO]]*0.21</f>
        <v>0</v>
      </c>
      <c r="J328" s="65"/>
      <c r="K328" s="65"/>
      <c r="L328" s="65">
        <f>SUM(venta_a_mes1254[[#This Row],[IMPORTE NETO]:[EXENTO]])</f>
        <v>0</v>
      </c>
      <c r="M328" s="59"/>
    </row>
    <row r="329" spans="2:13" x14ac:dyDescent="0.25">
      <c r="B329" s="108"/>
      <c r="C329" s="41"/>
      <c r="D329" s="110"/>
      <c r="E329" s="111"/>
      <c r="F329" s="112"/>
      <c r="G329" s="98" t="str">
        <f>IFERROR(IF(venta_a_mes1254[[#This Row],[CUIT]]="","-",VLOOKUP(venta_a_mes1254[[#This Row],[CUIT]],Lista_CUIT[#All],2,0)),"CUIT NO CARGADO")</f>
        <v>-</v>
      </c>
      <c r="H329" s="99"/>
      <c r="I329" s="100">
        <f>venta_a_mes1254[[#This Row],[IMPORTE NETO]]*0.21</f>
        <v>0</v>
      </c>
      <c r="J329" s="65"/>
      <c r="K329" s="65"/>
      <c r="L329" s="65">
        <f>SUM(venta_a_mes1254[[#This Row],[IMPORTE NETO]:[EXENTO]])</f>
        <v>0</v>
      </c>
      <c r="M329" s="59"/>
    </row>
    <row r="330" spans="2:13" x14ac:dyDescent="0.25">
      <c r="B330" s="108"/>
      <c r="C330" s="41"/>
      <c r="D330" s="110"/>
      <c r="E330" s="111"/>
      <c r="F330" s="112"/>
      <c r="G330" s="98" t="str">
        <f>IFERROR(IF(venta_a_mes1254[[#This Row],[CUIT]]="","-",VLOOKUP(venta_a_mes1254[[#This Row],[CUIT]],Lista_CUIT[#All],2,0)),"CUIT NO CARGADO")</f>
        <v>-</v>
      </c>
      <c r="H330" s="99"/>
      <c r="I330" s="100">
        <f>venta_a_mes1254[[#This Row],[IMPORTE NETO]]*0.21</f>
        <v>0</v>
      </c>
      <c r="J330" s="65"/>
      <c r="K330" s="65"/>
      <c r="L330" s="65">
        <f>SUM(venta_a_mes1254[[#This Row],[IMPORTE NETO]:[EXENTO]])</f>
        <v>0</v>
      </c>
      <c r="M330" s="59"/>
    </row>
    <row r="331" spans="2:13" x14ac:dyDescent="0.25">
      <c r="B331" s="108"/>
      <c r="C331" s="41"/>
      <c r="D331" s="110"/>
      <c r="E331" s="111"/>
      <c r="F331" s="112"/>
      <c r="G331" s="98" t="str">
        <f>IFERROR(IF(venta_a_mes1254[[#This Row],[CUIT]]="","-",VLOOKUP(venta_a_mes1254[[#This Row],[CUIT]],Lista_CUIT[#All],2,0)),"CUIT NO CARGADO")</f>
        <v>-</v>
      </c>
      <c r="H331" s="99"/>
      <c r="I331" s="100">
        <f>venta_a_mes1254[[#This Row],[IMPORTE NETO]]*0.21</f>
        <v>0</v>
      </c>
      <c r="J331" s="65"/>
      <c r="K331" s="65"/>
      <c r="L331" s="65">
        <f>SUM(venta_a_mes1254[[#This Row],[IMPORTE NETO]:[EXENTO]])</f>
        <v>0</v>
      </c>
      <c r="M331" s="59"/>
    </row>
    <row r="332" spans="2:13" x14ac:dyDescent="0.25">
      <c r="B332" s="108"/>
      <c r="C332" s="41"/>
      <c r="D332" s="110"/>
      <c r="E332" s="111"/>
      <c r="F332" s="112"/>
      <c r="G332" s="98" t="str">
        <f>IFERROR(IF(venta_a_mes1254[[#This Row],[CUIT]]="","-",VLOOKUP(venta_a_mes1254[[#This Row],[CUIT]],Lista_CUIT[#All],2,0)),"CUIT NO CARGADO")</f>
        <v>-</v>
      </c>
      <c r="H332" s="99"/>
      <c r="I332" s="100">
        <f>venta_a_mes1254[[#This Row],[IMPORTE NETO]]*0.21</f>
        <v>0</v>
      </c>
      <c r="J332" s="65"/>
      <c r="K332" s="65"/>
      <c r="L332" s="65">
        <f>SUM(venta_a_mes1254[[#This Row],[IMPORTE NETO]:[EXENTO]])</f>
        <v>0</v>
      </c>
      <c r="M332" s="59"/>
    </row>
    <row r="333" spans="2:13" x14ac:dyDescent="0.25">
      <c r="B333" s="108"/>
      <c r="C333" s="41"/>
      <c r="D333" s="110"/>
      <c r="E333" s="111"/>
      <c r="F333" s="112"/>
      <c r="G333" s="98" t="str">
        <f>IFERROR(IF(venta_a_mes1254[[#This Row],[CUIT]]="","-",VLOOKUP(venta_a_mes1254[[#This Row],[CUIT]],Lista_CUIT[#All],2,0)),"CUIT NO CARGADO")</f>
        <v>-</v>
      </c>
      <c r="H333" s="99"/>
      <c r="I333" s="100">
        <f>venta_a_mes1254[[#This Row],[IMPORTE NETO]]*0.21</f>
        <v>0</v>
      </c>
      <c r="J333" s="65"/>
      <c r="K333" s="65"/>
      <c r="L333" s="65">
        <f>SUM(venta_a_mes1254[[#This Row],[IMPORTE NETO]:[EXENTO]])</f>
        <v>0</v>
      </c>
      <c r="M333" s="59"/>
    </row>
    <row r="334" spans="2:13" x14ac:dyDescent="0.25">
      <c r="B334" s="108"/>
      <c r="C334" s="41"/>
      <c r="D334" s="110"/>
      <c r="E334" s="111"/>
      <c r="F334" s="112"/>
      <c r="G334" s="98" t="str">
        <f>IFERROR(IF(venta_a_mes1254[[#This Row],[CUIT]]="","-",VLOOKUP(venta_a_mes1254[[#This Row],[CUIT]],Lista_CUIT[#All],2,0)),"CUIT NO CARGADO")</f>
        <v>-</v>
      </c>
      <c r="H334" s="99"/>
      <c r="I334" s="100">
        <f>venta_a_mes1254[[#This Row],[IMPORTE NETO]]*0.21</f>
        <v>0</v>
      </c>
      <c r="J334" s="65"/>
      <c r="K334" s="65"/>
      <c r="L334" s="65">
        <f>SUM(venta_a_mes1254[[#This Row],[IMPORTE NETO]:[EXENTO]])</f>
        <v>0</v>
      </c>
      <c r="M334" s="59"/>
    </row>
    <row r="335" spans="2:13" x14ac:dyDescent="0.25">
      <c r="B335" s="108"/>
      <c r="C335" s="41"/>
      <c r="D335" s="110"/>
      <c r="E335" s="111"/>
      <c r="F335" s="112"/>
      <c r="G335" s="98" t="str">
        <f>IFERROR(IF(venta_a_mes1254[[#This Row],[CUIT]]="","-",VLOOKUP(venta_a_mes1254[[#This Row],[CUIT]],Lista_CUIT[#All],2,0)),"CUIT NO CARGADO")</f>
        <v>-</v>
      </c>
      <c r="H335" s="99"/>
      <c r="I335" s="100">
        <f>venta_a_mes1254[[#This Row],[IMPORTE NETO]]*0.21</f>
        <v>0</v>
      </c>
      <c r="J335" s="65"/>
      <c r="K335" s="65"/>
      <c r="L335" s="65">
        <f>SUM(venta_a_mes1254[[#This Row],[IMPORTE NETO]:[EXENTO]])</f>
        <v>0</v>
      </c>
      <c r="M335" s="59"/>
    </row>
    <row r="336" spans="2:13" x14ac:dyDescent="0.25">
      <c r="B336" s="108"/>
      <c r="C336" s="41"/>
      <c r="D336" s="110"/>
      <c r="E336" s="111"/>
      <c r="F336" s="112"/>
      <c r="G336" s="98" t="str">
        <f>IFERROR(IF(venta_a_mes1254[[#This Row],[CUIT]]="","-",VLOOKUP(venta_a_mes1254[[#This Row],[CUIT]],Lista_CUIT[#All],2,0)),"CUIT NO CARGADO")</f>
        <v>-</v>
      </c>
      <c r="H336" s="99"/>
      <c r="I336" s="100">
        <f>venta_a_mes1254[[#This Row],[IMPORTE NETO]]*0.21</f>
        <v>0</v>
      </c>
      <c r="J336" s="65"/>
      <c r="K336" s="65"/>
      <c r="L336" s="65">
        <f>SUM(venta_a_mes1254[[#This Row],[IMPORTE NETO]:[EXENTO]])</f>
        <v>0</v>
      </c>
      <c r="M336" s="59"/>
    </row>
    <row r="337" spans="2:13" x14ac:dyDescent="0.25">
      <c r="B337" s="108"/>
      <c r="C337" s="41"/>
      <c r="D337" s="110"/>
      <c r="E337" s="111"/>
      <c r="F337" s="112"/>
      <c r="G337" s="98" t="str">
        <f>IFERROR(IF(venta_a_mes1254[[#This Row],[CUIT]]="","-",VLOOKUP(venta_a_mes1254[[#This Row],[CUIT]],Lista_CUIT[#All],2,0)),"CUIT NO CARGADO")</f>
        <v>-</v>
      </c>
      <c r="H337" s="99"/>
      <c r="I337" s="100">
        <f>venta_a_mes1254[[#This Row],[IMPORTE NETO]]*0.21</f>
        <v>0</v>
      </c>
      <c r="J337" s="65"/>
      <c r="K337" s="65"/>
      <c r="L337" s="65">
        <f>SUM(venta_a_mes1254[[#This Row],[IMPORTE NETO]:[EXENTO]])</f>
        <v>0</v>
      </c>
      <c r="M337" s="59"/>
    </row>
    <row r="338" spans="2:13" x14ac:dyDescent="0.25">
      <c r="B338" s="108"/>
      <c r="C338" s="41"/>
      <c r="D338" s="110"/>
      <c r="E338" s="111"/>
      <c r="F338" s="112"/>
      <c r="G338" s="98" t="str">
        <f>IFERROR(IF(venta_a_mes1254[[#This Row],[CUIT]]="","-",VLOOKUP(venta_a_mes1254[[#This Row],[CUIT]],Lista_CUIT[#All],2,0)),"CUIT NO CARGADO")</f>
        <v>-</v>
      </c>
      <c r="H338" s="99"/>
      <c r="I338" s="100">
        <f>venta_a_mes1254[[#This Row],[IMPORTE NETO]]*0.21</f>
        <v>0</v>
      </c>
      <c r="J338" s="65"/>
      <c r="K338" s="65"/>
      <c r="L338" s="65">
        <f>SUM(venta_a_mes1254[[#This Row],[IMPORTE NETO]:[EXENTO]])</f>
        <v>0</v>
      </c>
      <c r="M338" s="59"/>
    </row>
    <row r="339" spans="2:13" x14ac:dyDescent="0.25">
      <c r="B339" s="108"/>
      <c r="C339" s="41"/>
      <c r="D339" s="110"/>
      <c r="E339" s="111"/>
      <c r="F339" s="112"/>
      <c r="G339" s="98" t="str">
        <f>IFERROR(IF(venta_a_mes1254[[#This Row],[CUIT]]="","-",VLOOKUP(venta_a_mes1254[[#This Row],[CUIT]],Lista_CUIT[#All],2,0)),"CUIT NO CARGADO")</f>
        <v>-</v>
      </c>
      <c r="H339" s="99"/>
      <c r="I339" s="100">
        <f>venta_a_mes1254[[#This Row],[IMPORTE NETO]]*0.21</f>
        <v>0</v>
      </c>
      <c r="J339" s="65"/>
      <c r="K339" s="65"/>
      <c r="L339" s="65">
        <f>SUM(venta_a_mes1254[[#This Row],[IMPORTE NETO]:[EXENTO]])</f>
        <v>0</v>
      </c>
      <c r="M339" s="59"/>
    </row>
    <row r="340" spans="2:13" x14ac:dyDescent="0.25">
      <c r="B340" s="108"/>
      <c r="C340" s="41"/>
      <c r="D340" s="110"/>
      <c r="E340" s="111"/>
      <c r="F340" s="112"/>
      <c r="G340" s="98" t="str">
        <f>IFERROR(IF(venta_a_mes1254[[#This Row],[CUIT]]="","-",VLOOKUP(venta_a_mes1254[[#This Row],[CUIT]],Lista_CUIT[#All],2,0)),"CUIT NO CARGADO")</f>
        <v>-</v>
      </c>
      <c r="H340" s="99"/>
      <c r="I340" s="100">
        <f>venta_a_mes1254[[#This Row],[IMPORTE NETO]]*0.21</f>
        <v>0</v>
      </c>
      <c r="J340" s="65"/>
      <c r="K340" s="65"/>
      <c r="L340" s="65">
        <f>SUM(venta_a_mes1254[[#This Row],[IMPORTE NETO]:[EXENTO]])</f>
        <v>0</v>
      </c>
      <c r="M340" s="59"/>
    </row>
    <row r="341" spans="2:13" x14ac:dyDescent="0.25">
      <c r="B341" s="108"/>
      <c r="C341" s="41"/>
      <c r="D341" s="110"/>
      <c r="E341" s="111"/>
      <c r="F341" s="112"/>
      <c r="G341" s="98" t="str">
        <f>IFERROR(IF(venta_a_mes1254[[#This Row],[CUIT]]="","-",VLOOKUP(venta_a_mes1254[[#This Row],[CUIT]],Lista_CUIT[#All],2,0)),"CUIT NO CARGADO")</f>
        <v>-</v>
      </c>
      <c r="H341" s="99"/>
      <c r="I341" s="100">
        <f>venta_a_mes1254[[#This Row],[IMPORTE NETO]]*0.21</f>
        <v>0</v>
      </c>
      <c r="J341" s="65"/>
      <c r="K341" s="65"/>
      <c r="L341" s="65">
        <f>SUM(venta_a_mes1254[[#This Row],[IMPORTE NETO]:[EXENTO]])</f>
        <v>0</v>
      </c>
      <c r="M341" s="59"/>
    </row>
    <row r="342" spans="2:13" x14ac:dyDescent="0.25">
      <c r="B342" s="108"/>
      <c r="C342" s="41"/>
      <c r="D342" s="110"/>
      <c r="E342" s="111"/>
      <c r="F342" s="112"/>
      <c r="G342" s="98" t="str">
        <f>IFERROR(IF(venta_a_mes1254[[#This Row],[CUIT]]="","-",VLOOKUP(venta_a_mes1254[[#This Row],[CUIT]],Lista_CUIT[#All],2,0)),"CUIT NO CARGADO")</f>
        <v>-</v>
      </c>
      <c r="H342" s="99"/>
      <c r="I342" s="100">
        <f>venta_a_mes1254[[#This Row],[IMPORTE NETO]]*0.21</f>
        <v>0</v>
      </c>
      <c r="J342" s="65"/>
      <c r="K342" s="65"/>
      <c r="L342" s="65">
        <f>SUM(venta_a_mes1254[[#This Row],[IMPORTE NETO]:[EXENTO]])</f>
        <v>0</v>
      </c>
      <c r="M342" s="59"/>
    </row>
    <row r="343" spans="2:13" x14ac:dyDescent="0.25">
      <c r="B343" s="108"/>
      <c r="C343" s="41"/>
      <c r="D343" s="110"/>
      <c r="E343" s="111"/>
      <c r="F343" s="112"/>
      <c r="G343" s="98" t="str">
        <f>IFERROR(IF(venta_a_mes1254[[#This Row],[CUIT]]="","-",VLOOKUP(venta_a_mes1254[[#This Row],[CUIT]],Lista_CUIT[#All],2,0)),"CUIT NO CARGADO")</f>
        <v>-</v>
      </c>
      <c r="H343" s="99"/>
      <c r="I343" s="100">
        <f>venta_a_mes1254[[#This Row],[IMPORTE NETO]]*0.21</f>
        <v>0</v>
      </c>
      <c r="J343" s="65"/>
      <c r="K343" s="65"/>
      <c r="L343" s="65">
        <f>SUM(venta_a_mes1254[[#This Row],[IMPORTE NETO]:[EXENTO]])</f>
        <v>0</v>
      </c>
      <c r="M343" s="59"/>
    </row>
    <row r="344" spans="2:13" x14ac:dyDescent="0.25">
      <c r="B344" s="108"/>
      <c r="C344" s="41"/>
      <c r="D344" s="110"/>
      <c r="E344" s="111"/>
      <c r="F344" s="112"/>
      <c r="G344" s="98" t="str">
        <f>IFERROR(IF(venta_a_mes1254[[#This Row],[CUIT]]="","-",VLOOKUP(venta_a_mes1254[[#This Row],[CUIT]],Lista_CUIT[#All],2,0)),"CUIT NO CARGADO")</f>
        <v>-</v>
      </c>
      <c r="H344" s="99"/>
      <c r="I344" s="100">
        <f>venta_a_mes1254[[#This Row],[IMPORTE NETO]]*0.21</f>
        <v>0</v>
      </c>
      <c r="J344" s="65"/>
      <c r="K344" s="65"/>
      <c r="L344" s="65">
        <f>SUM(venta_a_mes1254[[#This Row],[IMPORTE NETO]:[EXENTO]])</f>
        <v>0</v>
      </c>
      <c r="M344" s="59"/>
    </row>
    <row r="345" spans="2:13" x14ac:dyDescent="0.25">
      <c r="B345" s="108"/>
      <c r="C345" s="41"/>
      <c r="D345" s="110"/>
      <c r="E345" s="111"/>
      <c r="F345" s="112"/>
      <c r="G345" s="98" t="str">
        <f>IFERROR(IF(venta_a_mes1254[[#This Row],[CUIT]]="","-",VLOOKUP(venta_a_mes1254[[#This Row],[CUIT]],Lista_CUIT[#All],2,0)),"CUIT NO CARGADO")</f>
        <v>-</v>
      </c>
      <c r="H345" s="99"/>
      <c r="I345" s="100">
        <f>venta_a_mes1254[[#This Row],[IMPORTE NETO]]*0.21</f>
        <v>0</v>
      </c>
      <c r="J345" s="65"/>
      <c r="K345" s="65"/>
      <c r="L345" s="65">
        <f>SUM(venta_a_mes1254[[#This Row],[IMPORTE NETO]:[EXENTO]])</f>
        <v>0</v>
      </c>
      <c r="M345" s="59"/>
    </row>
    <row r="346" spans="2:13" x14ac:dyDescent="0.25">
      <c r="B346" s="108"/>
      <c r="C346" s="41"/>
      <c r="D346" s="110"/>
      <c r="E346" s="111"/>
      <c r="F346" s="112"/>
      <c r="G346" s="98" t="str">
        <f>IFERROR(IF(venta_a_mes1254[[#This Row],[CUIT]]="","-",VLOOKUP(venta_a_mes1254[[#This Row],[CUIT]],Lista_CUIT[#All],2,0)),"CUIT NO CARGADO")</f>
        <v>-</v>
      </c>
      <c r="H346" s="99"/>
      <c r="I346" s="100">
        <f>venta_a_mes1254[[#This Row],[IMPORTE NETO]]*0.21</f>
        <v>0</v>
      </c>
      <c r="J346" s="65"/>
      <c r="K346" s="65"/>
      <c r="L346" s="65">
        <f>SUM(venta_a_mes1254[[#This Row],[IMPORTE NETO]:[EXENTO]])</f>
        <v>0</v>
      </c>
      <c r="M346" s="59"/>
    </row>
    <row r="347" spans="2:13" x14ac:dyDescent="0.25">
      <c r="B347" s="108"/>
      <c r="C347" s="41"/>
      <c r="D347" s="110"/>
      <c r="E347" s="111"/>
      <c r="F347" s="112"/>
      <c r="G347" s="98" t="str">
        <f>IFERROR(IF(venta_a_mes1254[[#This Row],[CUIT]]="","-",VLOOKUP(venta_a_mes1254[[#This Row],[CUIT]],Lista_CUIT[#All],2,0)),"CUIT NO CARGADO")</f>
        <v>-</v>
      </c>
      <c r="H347" s="99"/>
      <c r="I347" s="100">
        <f>venta_a_mes1254[[#This Row],[IMPORTE NETO]]*0.21</f>
        <v>0</v>
      </c>
      <c r="J347" s="65"/>
      <c r="K347" s="65"/>
      <c r="L347" s="65">
        <f>SUM(venta_a_mes1254[[#This Row],[IMPORTE NETO]:[EXENTO]])</f>
        <v>0</v>
      </c>
      <c r="M347" s="59"/>
    </row>
    <row r="348" spans="2:13" x14ac:dyDescent="0.25">
      <c r="B348" s="108"/>
      <c r="C348" s="41"/>
      <c r="D348" s="110"/>
      <c r="E348" s="111"/>
      <c r="F348" s="112"/>
      <c r="G348" s="98" t="str">
        <f>IFERROR(IF(venta_a_mes1254[[#This Row],[CUIT]]="","-",VLOOKUP(venta_a_mes1254[[#This Row],[CUIT]],Lista_CUIT[#All],2,0)),"CUIT NO CARGADO")</f>
        <v>-</v>
      </c>
      <c r="H348" s="99"/>
      <c r="I348" s="100">
        <f>venta_a_mes1254[[#This Row],[IMPORTE NETO]]*0.21</f>
        <v>0</v>
      </c>
      <c r="J348" s="65"/>
      <c r="K348" s="65"/>
      <c r="L348" s="65">
        <f>SUM(venta_a_mes1254[[#This Row],[IMPORTE NETO]:[EXENTO]])</f>
        <v>0</v>
      </c>
      <c r="M348" s="59"/>
    </row>
    <row r="349" spans="2:13" x14ac:dyDescent="0.25">
      <c r="B349" s="108"/>
      <c r="C349" s="41"/>
      <c r="D349" s="110"/>
      <c r="E349" s="111"/>
      <c r="F349" s="112"/>
      <c r="G349" s="98" t="str">
        <f>IFERROR(IF(venta_a_mes1254[[#This Row],[CUIT]]="","-",VLOOKUP(venta_a_mes1254[[#This Row],[CUIT]],Lista_CUIT[#All],2,0)),"CUIT NO CARGADO")</f>
        <v>-</v>
      </c>
      <c r="H349" s="99"/>
      <c r="I349" s="100">
        <f>venta_a_mes1254[[#This Row],[IMPORTE NETO]]*0.21</f>
        <v>0</v>
      </c>
      <c r="J349" s="65"/>
      <c r="K349" s="65"/>
      <c r="L349" s="65">
        <f>SUM(venta_a_mes1254[[#This Row],[IMPORTE NETO]:[EXENTO]])</f>
        <v>0</v>
      </c>
      <c r="M349" s="59"/>
    </row>
    <row r="350" spans="2:13" x14ac:dyDescent="0.25">
      <c r="B350" s="108"/>
      <c r="C350" s="41"/>
      <c r="D350" s="110"/>
      <c r="E350" s="111"/>
      <c r="F350" s="112"/>
      <c r="G350" s="98" t="str">
        <f>IFERROR(IF(venta_a_mes1254[[#This Row],[CUIT]]="","-",VLOOKUP(venta_a_mes1254[[#This Row],[CUIT]],Lista_CUIT[#All],2,0)),"CUIT NO CARGADO")</f>
        <v>-</v>
      </c>
      <c r="H350" s="99"/>
      <c r="I350" s="100">
        <f>venta_a_mes1254[[#This Row],[IMPORTE NETO]]*0.21</f>
        <v>0</v>
      </c>
      <c r="J350" s="65"/>
      <c r="K350" s="65"/>
      <c r="L350" s="65">
        <f>SUM(venta_a_mes1254[[#This Row],[IMPORTE NETO]:[EXENTO]])</f>
        <v>0</v>
      </c>
      <c r="M350" s="59"/>
    </row>
    <row r="351" spans="2:13" x14ac:dyDescent="0.25">
      <c r="B351" s="108"/>
      <c r="C351" s="41"/>
      <c r="D351" s="110"/>
      <c r="E351" s="111"/>
      <c r="F351" s="112"/>
      <c r="G351" s="98" t="str">
        <f>IFERROR(IF(venta_a_mes1254[[#This Row],[CUIT]]="","-",VLOOKUP(venta_a_mes1254[[#This Row],[CUIT]],Lista_CUIT[#All],2,0)),"CUIT NO CARGADO")</f>
        <v>-</v>
      </c>
      <c r="H351" s="99"/>
      <c r="I351" s="100">
        <f>venta_a_mes1254[[#This Row],[IMPORTE NETO]]*0.21</f>
        <v>0</v>
      </c>
      <c r="J351" s="65"/>
      <c r="K351" s="65"/>
      <c r="L351" s="65">
        <f>SUM(venta_a_mes1254[[#This Row],[IMPORTE NETO]:[EXENTO]])</f>
        <v>0</v>
      </c>
      <c r="M351" s="59"/>
    </row>
    <row r="352" spans="2:13" x14ac:dyDescent="0.25">
      <c r="B352" s="108"/>
      <c r="C352" s="41"/>
      <c r="D352" s="110"/>
      <c r="E352" s="111"/>
      <c r="F352" s="112"/>
      <c r="G352" s="98" t="str">
        <f>IFERROR(IF(venta_a_mes1254[[#This Row],[CUIT]]="","-",VLOOKUP(venta_a_mes1254[[#This Row],[CUIT]],Lista_CUIT[#All],2,0)),"CUIT NO CARGADO")</f>
        <v>-</v>
      </c>
      <c r="H352" s="99"/>
      <c r="I352" s="100">
        <f>venta_a_mes1254[[#This Row],[IMPORTE NETO]]*0.21</f>
        <v>0</v>
      </c>
      <c r="J352" s="65"/>
      <c r="K352" s="65"/>
      <c r="L352" s="65">
        <f>SUM(venta_a_mes1254[[#This Row],[IMPORTE NETO]:[EXENTO]])</f>
        <v>0</v>
      </c>
      <c r="M352" s="59"/>
    </row>
    <row r="353" spans="2:13" x14ac:dyDescent="0.25">
      <c r="B353" s="108"/>
      <c r="C353" s="41"/>
      <c r="D353" s="110"/>
      <c r="E353" s="111"/>
      <c r="F353" s="112"/>
      <c r="G353" s="98" t="str">
        <f>IFERROR(IF(venta_a_mes1254[[#This Row],[CUIT]]="","-",VLOOKUP(venta_a_mes1254[[#This Row],[CUIT]],Lista_CUIT[#All],2,0)),"CUIT NO CARGADO")</f>
        <v>-</v>
      </c>
      <c r="H353" s="99"/>
      <c r="I353" s="100">
        <f>venta_a_mes1254[[#This Row],[IMPORTE NETO]]*0.21</f>
        <v>0</v>
      </c>
      <c r="J353" s="65"/>
      <c r="K353" s="65"/>
      <c r="L353" s="65">
        <f>SUM(venta_a_mes1254[[#This Row],[IMPORTE NETO]:[EXENTO]])</f>
        <v>0</v>
      </c>
      <c r="M353" s="59"/>
    </row>
    <row r="354" spans="2:13" x14ac:dyDescent="0.25">
      <c r="B354" s="108"/>
      <c r="C354" s="41"/>
      <c r="D354" s="110"/>
      <c r="E354" s="111"/>
      <c r="F354" s="112"/>
      <c r="G354" s="98" t="str">
        <f>IFERROR(IF(venta_a_mes1254[[#This Row],[CUIT]]="","-",VLOOKUP(venta_a_mes1254[[#This Row],[CUIT]],Lista_CUIT[#All],2,0)),"CUIT NO CARGADO")</f>
        <v>-</v>
      </c>
      <c r="H354" s="99"/>
      <c r="I354" s="100">
        <f>venta_a_mes1254[[#This Row],[IMPORTE NETO]]*0.21</f>
        <v>0</v>
      </c>
      <c r="J354" s="65"/>
      <c r="K354" s="65"/>
      <c r="L354" s="65">
        <f>SUM(venta_a_mes1254[[#This Row],[IMPORTE NETO]:[EXENTO]])</f>
        <v>0</v>
      </c>
      <c r="M354" s="59"/>
    </row>
    <row r="355" spans="2:13" x14ac:dyDescent="0.25">
      <c r="B355" s="108"/>
      <c r="C355" s="41"/>
      <c r="D355" s="110"/>
      <c r="E355" s="111"/>
      <c r="F355" s="112"/>
      <c r="G355" s="98" t="str">
        <f>IFERROR(IF(venta_a_mes1254[[#This Row],[CUIT]]="","-",VLOOKUP(venta_a_mes1254[[#This Row],[CUIT]],Lista_CUIT[#All],2,0)),"CUIT NO CARGADO")</f>
        <v>-</v>
      </c>
      <c r="H355" s="99"/>
      <c r="I355" s="100">
        <f>venta_a_mes1254[[#This Row],[IMPORTE NETO]]*0.21</f>
        <v>0</v>
      </c>
      <c r="J355" s="65"/>
      <c r="K355" s="65"/>
      <c r="L355" s="65">
        <f>SUM(venta_a_mes1254[[#This Row],[IMPORTE NETO]:[EXENTO]])</f>
        <v>0</v>
      </c>
      <c r="M355" s="59"/>
    </row>
    <row r="356" spans="2:13" x14ac:dyDescent="0.25">
      <c r="B356" s="108"/>
      <c r="C356" s="41"/>
      <c r="D356" s="110"/>
      <c r="E356" s="111"/>
      <c r="F356" s="112"/>
      <c r="G356" s="98" t="str">
        <f>IFERROR(IF(venta_a_mes1254[[#This Row],[CUIT]]="","-",VLOOKUP(venta_a_mes1254[[#This Row],[CUIT]],Lista_CUIT[#All],2,0)),"CUIT NO CARGADO")</f>
        <v>-</v>
      </c>
      <c r="H356" s="99"/>
      <c r="I356" s="100">
        <f>venta_a_mes1254[[#This Row],[IMPORTE NETO]]*0.21</f>
        <v>0</v>
      </c>
      <c r="J356" s="65"/>
      <c r="K356" s="65"/>
      <c r="L356" s="65">
        <f>SUM(venta_a_mes1254[[#This Row],[IMPORTE NETO]:[EXENTO]])</f>
        <v>0</v>
      </c>
      <c r="M356" s="59"/>
    </row>
    <row r="357" spans="2:13" x14ac:dyDescent="0.25">
      <c r="B357" s="108"/>
      <c r="C357" s="41"/>
      <c r="D357" s="110"/>
      <c r="E357" s="111"/>
      <c r="F357" s="112"/>
      <c r="G357" s="98" t="str">
        <f>IFERROR(IF(venta_a_mes1254[[#This Row],[CUIT]]="","-",VLOOKUP(venta_a_mes1254[[#This Row],[CUIT]],Lista_CUIT[#All],2,0)),"CUIT NO CARGADO")</f>
        <v>-</v>
      </c>
      <c r="H357" s="99"/>
      <c r="I357" s="100">
        <f>venta_a_mes1254[[#This Row],[IMPORTE NETO]]*0.21</f>
        <v>0</v>
      </c>
      <c r="J357" s="65"/>
      <c r="K357" s="65"/>
      <c r="L357" s="65">
        <f>SUM(venta_a_mes1254[[#This Row],[IMPORTE NETO]:[EXENTO]])</f>
        <v>0</v>
      </c>
      <c r="M357" s="59"/>
    </row>
    <row r="358" spans="2:13" x14ac:dyDescent="0.25">
      <c r="B358" s="108"/>
      <c r="C358" s="41"/>
      <c r="D358" s="110"/>
      <c r="E358" s="111"/>
      <c r="F358" s="112"/>
      <c r="G358" s="98" t="str">
        <f>IFERROR(IF(venta_a_mes1254[[#This Row],[CUIT]]="","-",VLOOKUP(venta_a_mes1254[[#This Row],[CUIT]],Lista_CUIT[#All],2,0)),"CUIT NO CARGADO")</f>
        <v>-</v>
      </c>
      <c r="H358" s="99"/>
      <c r="I358" s="100">
        <f>venta_a_mes1254[[#This Row],[IMPORTE NETO]]*0.21</f>
        <v>0</v>
      </c>
      <c r="J358" s="65"/>
      <c r="K358" s="65"/>
      <c r="L358" s="65">
        <f>SUM(venta_a_mes1254[[#This Row],[IMPORTE NETO]:[EXENTO]])</f>
        <v>0</v>
      </c>
      <c r="M358" s="59"/>
    </row>
    <row r="359" spans="2:13" x14ac:dyDescent="0.25">
      <c r="B359" s="108"/>
      <c r="C359" s="41"/>
      <c r="D359" s="110"/>
      <c r="E359" s="111"/>
      <c r="F359" s="112"/>
      <c r="G359" s="98" t="str">
        <f>IFERROR(IF(venta_a_mes1254[[#This Row],[CUIT]]="","-",VLOOKUP(venta_a_mes1254[[#This Row],[CUIT]],Lista_CUIT[#All],2,0)),"CUIT NO CARGADO")</f>
        <v>-</v>
      </c>
      <c r="H359" s="99"/>
      <c r="I359" s="100">
        <f>venta_a_mes1254[[#This Row],[IMPORTE NETO]]*0.21</f>
        <v>0</v>
      </c>
      <c r="J359" s="65"/>
      <c r="K359" s="65"/>
      <c r="L359" s="65">
        <f>SUM(venta_a_mes1254[[#This Row],[IMPORTE NETO]:[EXENTO]])</f>
        <v>0</v>
      </c>
      <c r="M359" s="59"/>
    </row>
    <row r="360" spans="2:13" x14ac:dyDescent="0.25">
      <c r="B360" s="108"/>
      <c r="C360" s="41"/>
      <c r="D360" s="110"/>
      <c r="E360" s="111"/>
      <c r="F360" s="112"/>
      <c r="G360" s="98" t="str">
        <f>IFERROR(IF(venta_a_mes1254[[#This Row],[CUIT]]="","-",VLOOKUP(venta_a_mes1254[[#This Row],[CUIT]],Lista_CUIT[#All],2,0)),"CUIT NO CARGADO")</f>
        <v>-</v>
      </c>
      <c r="H360" s="99"/>
      <c r="I360" s="100">
        <f>venta_a_mes1254[[#This Row],[IMPORTE NETO]]*0.21</f>
        <v>0</v>
      </c>
      <c r="J360" s="65"/>
      <c r="K360" s="65"/>
      <c r="L360" s="65">
        <f>SUM(venta_a_mes1254[[#This Row],[IMPORTE NETO]:[EXENTO]])</f>
        <v>0</v>
      </c>
      <c r="M360" s="59"/>
    </row>
    <row r="361" spans="2:13" x14ac:dyDescent="0.25">
      <c r="B361" s="108"/>
      <c r="C361" s="41"/>
      <c r="D361" s="110"/>
      <c r="E361" s="111"/>
      <c r="F361" s="112"/>
      <c r="G361" s="98" t="str">
        <f>IFERROR(IF(venta_a_mes1254[[#This Row],[CUIT]]="","-",VLOOKUP(venta_a_mes1254[[#This Row],[CUIT]],Lista_CUIT[#All],2,0)),"CUIT NO CARGADO")</f>
        <v>-</v>
      </c>
      <c r="H361" s="99"/>
      <c r="I361" s="100">
        <f>venta_a_mes1254[[#This Row],[IMPORTE NETO]]*0.21</f>
        <v>0</v>
      </c>
      <c r="J361" s="65"/>
      <c r="K361" s="65"/>
      <c r="L361" s="65">
        <f>SUM(venta_a_mes1254[[#This Row],[IMPORTE NETO]:[EXENTO]])</f>
        <v>0</v>
      </c>
      <c r="M361" s="59"/>
    </row>
    <row r="362" spans="2:13" x14ac:dyDescent="0.25">
      <c r="B362" s="108"/>
      <c r="C362" s="41"/>
      <c r="D362" s="110"/>
      <c r="E362" s="111"/>
      <c r="F362" s="112"/>
      <c r="G362" s="98" t="str">
        <f>IFERROR(IF(venta_a_mes1254[[#This Row],[CUIT]]="","-",VLOOKUP(venta_a_mes1254[[#This Row],[CUIT]],Lista_CUIT[#All],2,0)),"CUIT NO CARGADO")</f>
        <v>-</v>
      </c>
      <c r="H362" s="99"/>
      <c r="I362" s="100">
        <f>venta_a_mes1254[[#This Row],[IMPORTE NETO]]*0.21</f>
        <v>0</v>
      </c>
      <c r="J362" s="65"/>
      <c r="K362" s="65"/>
      <c r="L362" s="65">
        <f>SUM(venta_a_mes1254[[#This Row],[IMPORTE NETO]:[EXENTO]])</f>
        <v>0</v>
      </c>
      <c r="M362" s="59"/>
    </row>
    <row r="363" spans="2:13" x14ac:dyDescent="0.25">
      <c r="B363" s="108"/>
      <c r="C363" s="41"/>
      <c r="D363" s="110"/>
      <c r="E363" s="111"/>
      <c r="F363" s="112"/>
      <c r="G363" s="98" t="str">
        <f>IFERROR(IF(venta_a_mes1254[[#This Row],[CUIT]]="","-",VLOOKUP(venta_a_mes1254[[#This Row],[CUIT]],Lista_CUIT[#All],2,0)),"CUIT NO CARGADO")</f>
        <v>-</v>
      </c>
      <c r="H363" s="99"/>
      <c r="I363" s="100">
        <f>venta_a_mes1254[[#This Row],[IMPORTE NETO]]*0.21</f>
        <v>0</v>
      </c>
      <c r="J363" s="65"/>
      <c r="K363" s="65"/>
      <c r="L363" s="65">
        <f>SUM(venta_a_mes1254[[#This Row],[IMPORTE NETO]:[EXENTO]])</f>
        <v>0</v>
      </c>
      <c r="M363" s="59"/>
    </row>
    <row r="364" spans="2:13" x14ac:dyDescent="0.25">
      <c r="B364" s="108"/>
      <c r="C364" s="41"/>
      <c r="D364" s="110"/>
      <c r="E364" s="111"/>
      <c r="F364" s="112"/>
      <c r="G364" s="98" t="str">
        <f>IFERROR(IF(venta_a_mes1254[[#This Row],[CUIT]]="","-",VLOOKUP(venta_a_mes1254[[#This Row],[CUIT]],Lista_CUIT[#All],2,0)),"CUIT NO CARGADO")</f>
        <v>-</v>
      </c>
      <c r="H364" s="99"/>
      <c r="I364" s="100">
        <f>venta_a_mes1254[[#This Row],[IMPORTE NETO]]*0.21</f>
        <v>0</v>
      </c>
      <c r="J364" s="65"/>
      <c r="K364" s="65"/>
      <c r="L364" s="65">
        <f>SUM(venta_a_mes1254[[#This Row],[IMPORTE NETO]:[EXENTO]])</f>
        <v>0</v>
      </c>
      <c r="M364" s="59"/>
    </row>
    <row r="365" spans="2:13" x14ac:dyDescent="0.25">
      <c r="B365" s="108"/>
      <c r="C365" s="41"/>
      <c r="D365" s="110"/>
      <c r="E365" s="111"/>
      <c r="F365" s="112"/>
      <c r="G365" s="98" t="str">
        <f>IFERROR(IF(venta_a_mes1254[[#This Row],[CUIT]]="","-",VLOOKUP(venta_a_mes1254[[#This Row],[CUIT]],Lista_CUIT[#All],2,0)),"CUIT NO CARGADO")</f>
        <v>-</v>
      </c>
      <c r="H365" s="99"/>
      <c r="I365" s="100">
        <f>venta_a_mes1254[[#This Row],[IMPORTE NETO]]*0.21</f>
        <v>0</v>
      </c>
      <c r="J365" s="65"/>
      <c r="K365" s="65"/>
      <c r="L365" s="65">
        <f>SUM(venta_a_mes1254[[#This Row],[IMPORTE NETO]:[EXENTO]])</f>
        <v>0</v>
      </c>
      <c r="M365" s="59"/>
    </row>
    <row r="366" spans="2:13" x14ac:dyDescent="0.25">
      <c r="B366" s="108"/>
      <c r="C366" s="41"/>
      <c r="D366" s="110"/>
      <c r="E366" s="111"/>
      <c r="F366" s="112"/>
      <c r="G366" s="98" t="str">
        <f>IFERROR(IF(venta_a_mes1254[[#This Row],[CUIT]]="","-",VLOOKUP(venta_a_mes1254[[#This Row],[CUIT]],Lista_CUIT[#All],2,0)),"CUIT NO CARGADO")</f>
        <v>-</v>
      </c>
      <c r="H366" s="99"/>
      <c r="I366" s="100">
        <f>venta_a_mes1254[[#This Row],[IMPORTE NETO]]*0.21</f>
        <v>0</v>
      </c>
      <c r="J366" s="65"/>
      <c r="K366" s="65"/>
      <c r="L366" s="65">
        <f>SUM(venta_a_mes1254[[#This Row],[IMPORTE NETO]:[EXENTO]])</f>
        <v>0</v>
      </c>
      <c r="M366" s="59"/>
    </row>
    <row r="367" spans="2:13" x14ac:dyDescent="0.25">
      <c r="B367" s="108"/>
      <c r="C367" s="41"/>
      <c r="D367" s="110"/>
      <c r="E367" s="111"/>
      <c r="F367" s="112"/>
      <c r="G367" s="98" t="str">
        <f>IFERROR(IF(venta_a_mes1254[[#This Row],[CUIT]]="","-",VLOOKUP(venta_a_mes1254[[#This Row],[CUIT]],Lista_CUIT[#All],2,0)),"CUIT NO CARGADO")</f>
        <v>-</v>
      </c>
      <c r="H367" s="99"/>
      <c r="I367" s="100">
        <f>venta_a_mes1254[[#This Row],[IMPORTE NETO]]*0.21</f>
        <v>0</v>
      </c>
      <c r="J367" s="65"/>
      <c r="K367" s="65"/>
      <c r="L367" s="65">
        <f>SUM(venta_a_mes1254[[#This Row],[IMPORTE NETO]:[EXENTO]])</f>
        <v>0</v>
      </c>
      <c r="M367" s="59"/>
    </row>
    <row r="368" spans="2:13" x14ac:dyDescent="0.25">
      <c r="B368" s="108"/>
      <c r="C368" s="41"/>
      <c r="D368" s="110"/>
      <c r="E368" s="111"/>
      <c r="F368" s="112"/>
      <c r="G368" s="98" t="str">
        <f>IFERROR(IF(venta_a_mes1254[[#This Row],[CUIT]]="","-",VLOOKUP(venta_a_mes1254[[#This Row],[CUIT]],Lista_CUIT[#All],2,0)),"CUIT NO CARGADO")</f>
        <v>-</v>
      </c>
      <c r="H368" s="99"/>
      <c r="I368" s="100">
        <f>venta_a_mes1254[[#This Row],[IMPORTE NETO]]*0.21</f>
        <v>0</v>
      </c>
      <c r="J368" s="65"/>
      <c r="K368" s="65"/>
      <c r="L368" s="65">
        <f>SUM(venta_a_mes1254[[#This Row],[IMPORTE NETO]:[EXENTO]])</f>
        <v>0</v>
      </c>
      <c r="M368" s="59"/>
    </row>
    <row r="369" spans="2:13" x14ac:dyDescent="0.25">
      <c r="B369" s="108"/>
      <c r="C369" s="41"/>
      <c r="D369" s="110"/>
      <c r="E369" s="111"/>
      <c r="F369" s="112"/>
      <c r="G369" s="98" t="str">
        <f>IFERROR(IF(venta_a_mes1254[[#This Row],[CUIT]]="","-",VLOOKUP(venta_a_mes1254[[#This Row],[CUIT]],Lista_CUIT[#All],2,0)),"CUIT NO CARGADO")</f>
        <v>-</v>
      </c>
      <c r="H369" s="99"/>
      <c r="I369" s="100">
        <f>venta_a_mes1254[[#This Row],[IMPORTE NETO]]*0.21</f>
        <v>0</v>
      </c>
      <c r="J369" s="65"/>
      <c r="K369" s="65"/>
      <c r="L369" s="65">
        <f>SUM(venta_a_mes1254[[#This Row],[IMPORTE NETO]:[EXENTO]])</f>
        <v>0</v>
      </c>
      <c r="M369" s="59"/>
    </row>
    <row r="370" spans="2:13" x14ac:dyDescent="0.25">
      <c r="B370" s="108"/>
      <c r="C370" s="41"/>
      <c r="D370" s="110"/>
      <c r="E370" s="111"/>
      <c r="F370" s="112"/>
      <c r="G370" s="98" t="str">
        <f>IFERROR(IF(venta_a_mes1254[[#This Row],[CUIT]]="","-",VLOOKUP(venta_a_mes1254[[#This Row],[CUIT]],Lista_CUIT[#All],2,0)),"CUIT NO CARGADO")</f>
        <v>-</v>
      </c>
      <c r="H370" s="99"/>
      <c r="I370" s="100">
        <f>venta_a_mes1254[[#This Row],[IMPORTE NETO]]*0.21</f>
        <v>0</v>
      </c>
      <c r="J370" s="65"/>
      <c r="K370" s="65"/>
      <c r="L370" s="65">
        <f>SUM(venta_a_mes1254[[#This Row],[IMPORTE NETO]:[EXENTO]])</f>
        <v>0</v>
      </c>
      <c r="M370" s="59"/>
    </row>
    <row r="371" spans="2:13" x14ac:dyDescent="0.25">
      <c r="B371" s="108"/>
      <c r="C371" s="41"/>
      <c r="D371" s="110"/>
      <c r="E371" s="111"/>
      <c r="F371" s="112"/>
      <c r="G371" s="98" t="str">
        <f>IFERROR(IF(venta_a_mes1254[[#This Row],[CUIT]]="","-",VLOOKUP(venta_a_mes1254[[#This Row],[CUIT]],Lista_CUIT[#All],2,0)),"CUIT NO CARGADO")</f>
        <v>-</v>
      </c>
      <c r="H371" s="99"/>
      <c r="I371" s="100">
        <f>venta_a_mes1254[[#This Row],[IMPORTE NETO]]*0.21</f>
        <v>0</v>
      </c>
      <c r="J371" s="65"/>
      <c r="K371" s="65"/>
      <c r="L371" s="65">
        <f>SUM(venta_a_mes1254[[#This Row],[IMPORTE NETO]:[EXENTO]])</f>
        <v>0</v>
      </c>
      <c r="M371" s="59"/>
    </row>
    <row r="372" spans="2:13" x14ac:dyDescent="0.25">
      <c r="B372" s="108"/>
      <c r="C372" s="41"/>
      <c r="D372" s="110"/>
      <c r="E372" s="111"/>
      <c r="F372" s="112"/>
      <c r="G372" s="98" t="str">
        <f>IFERROR(IF(venta_a_mes1254[[#This Row],[CUIT]]="","-",VLOOKUP(venta_a_mes1254[[#This Row],[CUIT]],Lista_CUIT[#All],2,0)),"CUIT NO CARGADO")</f>
        <v>-</v>
      </c>
      <c r="H372" s="99"/>
      <c r="I372" s="100">
        <f>venta_a_mes1254[[#This Row],[IMPORTE NETO]]*0.21</f>
        <v>0</v>
      </c>
      <c r="J372" s="65"/>
      <c r="K372" s="65"/>
      <c r="L372" s="65">
        <f>SUM(venta_a_mes1254[[#This Row],[IMPORTE NETO]:[EXENTO]])</f>
        <v>0</v>
      </c>
      <c r="M372" s="59"/>
    </row>
    <row r="373" spans="2:13" x14ac:dyDescent="0.25">
      <c r="B373" s="108"/>
      <c r="C373" s="41"/>
      <c r="D373" s="110"/>
      <c r="E373" s="111"/>
      <c r="F373" s="112"/>
      <c r="G373" s="98" t="str">
        <f>IFERROR(IF(venta_a_mes1254[[#This Row],[CUIT]]="","-",VLOOKUP(venta_a_mes1254[[#This Row],[CUIT]],Lista_CUIT[#All],2,0)),"CUIT NO CARGADO")</f>
        <v>-</v>
      </c>
      <c r="H373" s="99"/>
      <c r="I373" s="100">
        <f>venta_a_mes1254[[#This Row],[IMPORTE NETO]]*0.21</f>
        <v>0</v>
      </c>
      <c r="J373" s="65"/>
      <c r="K373" s="65"/>
      <c r="L373" s="65">
        <f>SUM(venta_a_mes1254[[#This Row],[IMPORTE NETO]:[EXENTO]])</f>
        <v>0</v>
      </c>
      <c r="M373" s="59"/>
    </row>
    <row r="374" spans="2:13" x14ac:dyDescent="0.25">
      <c r="B374" s="108"/>
      <c r="C374" s="41"/>
      <c r="D374" s="110"/>
      <c r="E374" s="111"/>
      <c r="F374" s="112"/>
      <c r="G374" s="98" t="str">
        <f>IFERROR(IF(venta_a_mes1254[[#This Row],[CUIT]]="","-",VLOOKUP(venta_a_mes1254[[#This Row],[CUIT]],Lista_CUIT[#All],2,0)),"CUIT NO CARGADO")</f>
        <v>-</v>
      </c>
      <c r="H374" s="99"/>
      <c r="I374" s="100">
        <f>venta_a_mes1254[[#This Row],[IMPORTE NETO]]*0.21</f>
        <v>0</v>
      </c>
      <c r="J374" s="65"/>
      <c r="K374" s="65"/>
      <c r="L374" s="65">
        <f>SUM(venta_a_mes1254[[#This Row],[IMPORTE NETO]:[EXENTO]])</f>
        <v>0</v>
      </c>
      <c r="M374" s="59"/>
    </row>
    <row r="375" spans="2:13" x14ac:dyDescent="0.25">
      <c r="B375" s="108"/>
      <c r="C375" s="41"/>
      <c r="D375" s="110"/>
      <c r="E375" s="111"/>
      <c r="F375" s="112"/>
      <c r="G375" s="98" t="str">
        <f>IFERROR(IF(venta_a_mes1254[[#This Row],[CUIT]]="","-",VLOOKUP(venta_a_mes1254[[#This Row],[CUIT]],Lista_CUIT[#All],2,0)),"CUIT NO CARGADO")</f>
        <v>-</v>
      </c>
      <c r="H375" s="99"/>
      <c r="I375" s="100">
        <f>venta_a_mes1254[[#This Row],[IMPORTE NETO]]*0.21</f>
        <v>0</v>
      </c>
      <c r="J375" s="65"/>
      <c r="K375" s="65"/>
      <c r="L375" s="65">
        <f>SUM(venta_a_mes1254[[#This Row],[IMPORTE NETO]:[EXENTO]])</f>
        <v>0</v>
      </c>
      <c r="M375" s="59"/>
    </row>
    <row r="376" spans="2:13" x14ac:dyDescent="0.25">
      <c r="B376" s="108"/>
      <c r="C376" s="41"/>
      <c r="D376" s="110"/>
      <c r="E376" s="111"/>
      <c r="F376" s="112"/>
      <c r="G376" s="98" t="str">
        <f>IFERROR(IF(venta_a_mes1254[[#This Row],[CUIT]]="","-",VLOOKUP(venta_a_mes1254[[#This Row],[CUIT]],Lista_CUIT[#All],2,0)),"CUIT NO CARGADO")</f>
        <v>-</v>
      </c>
      <c r="H376" s="99"/>
      <c r="I376" s="100">
        <f>venta_a_mes1254[[#This Row],[IMPORTE NETO]]*0.21</f>
        <v>0</v>
      </c>
      <c r="J376" s="65"/>
      <c r="K376" s="65"/>
      <c r="L376" s="65">
        <f>SUM(venta_a_mes1254[[#This Row],[IMPORTE NETO]:[EXENTO]])</f>
        <v>0</v>
      </c>
      <c r="M376" s="59"/>
    </row>
    <row r="377" spans="2:13" x14ac:dyDescent="0.25">
      <c r="B377" s="108"/>
      <c r="C377" s="41"/>
      <c r="D377" s="110"/>
      <c r="E377" s="111"/>
      <c r="F377" s="112"/>
      <c r="G377" s="98" t="str">
        <f>IFERROR(IF(venta_a_mes1254[[#This Row],[CUIT]]="","-",VLOOKUP(venta_a_mes1254[[#This Row],[CUIT]],Lista_CUIT[#All],2,0)),"CUIT NO CARGADO")</f>
        <v>-</v>
      </c>
      <c r="H377" s="99"/>
      <c r="I377" s="100">
        <f>venta_a_mes1254[[#This Row],[IMPORTE NETO]]*0.21</f>
        <v>0</v>
      </c>
      <c r="J377" s="65"/>
      <c r="K377" s="65"/>
      <c r="L377" s="65">
        <f>SUM(venta_a_mes1254[[#This Row],[IMPORTE NETO]:[EXENTO]])</f>
        <v>0</v>
      </c>
      <c r="M377" s="59"/>
    </row>
    <row r="378" spans="2:13" x14ac:dyDescent="0.25">
      <c r="B378" s="108"/>
      <c r="C378" s="41"/>
      <c r="D378" s="110"/>
      <c r="E378" s="111"/>
      <c r="F378" s="112"/>
      <c r="G378" s="98" t="str">
        <f>IFERROR(IF(venta_a_mes1254[[#This Row],[CUIT]]="","-",VLOOKUP(venta_a_mes1254[[#This Row],[CUIT]],Lista_CUIT[#All],2,0)),"CUIT NO CARGADO")</f>
        <v>-</v>
      </c>
      <c r="H378" s="99"/>
      <c r="I378" s="100">
        <f>venta_a_mes1254[[#This Row],[IMPORTE NETO]]*0.21</f>
        <v>0</v>
      </c>
      <c r="J378" s="65"/>
      <c r="K378" s="65"/>
      <c r="L378" s="65">
        <f>SUM(venta_a_mes1254[[#This Row],[IMPORTE NETO]:[EXENTO]])</f>
        <v>0</v>
      </c>
      <c r="M378" s="59"/>
    </row>
    <row r="379" spans="2:13" x14ac:dyDescent="0.25">
      <c r="B379" s="108"/>
      <c r="C379" s="41"/>
      <c r="D379" s="110"/>
      <c r="E379" s="111"/>
      <c r="F379" s="112"/>
      <c r="G379" s="98" t="str">
        <f>IFERROR(IF(venta_a_mes1254[[#This Row],[CUIT]]="","-",VLOOKUP(venta_a_mes1254[[#This Row],[CUIT]],Lista_CUIT[#All],2,0)),"CUIT NO CARGADO")</f>
        <v>-</v>
      </c>
      <c r="H379" s="99"/>
      <c r="I379" s="100">
        <f>venta_a_mes1254[[#This Row],[IMPORTE NETO]]*0.21</f>
        <v>0</v>
      </c>
      <c r="J379" s="65"/>
      <c r="K379" s="65"/>
      <c r="L379" s="65">
        <f>SUM(venta_a_mes1254[[#This Row],[IMPORTE NETO]:[EXENTO]])</f>
        <v>0</v>
      </c>
      <c r="M379" s="59"/>
    </row>
    <row r="380" spans="2:13" x14ac:dyDescent="0.25">
      <c r="B380" s="108"/>
      <c r="C380" s="41"/>
      <c r="D380" s="110"/>
      <c r="E380" s="111"/>
      <c r="F380" s="112"/>
      <c r="G380" s="98" t="str">
        <f>IFERROR(IF(venta_a_mes1254[[#This Row],[CUIT]]="","-",VLOOKUP(venta_a_mes1254[[#This Row],[CUIT]],Lista_CUIT[#All],2,0)),"CUIT NO CARGADO")</f>
        <v>-</v>
      </c>
      <c r="H380" s="99"/>
      <c r="I380" s="100">
        <f>venta_a_mes1254[[#This Row],[IMPORTE NETO]]*0.21</f>
        <v>0</v>
      </c>
      <c r="J380" s="65"/>
      <c r="K380" s="65"/>
      <c r="L380" s="65">
        <f>SUM(venta_a_mes1254[[#This Row],[IMPORTE NETO]:[EXENTO]])</f>
        <v>0</v>
      </c>
      <c r="M380" s="59"/>
    </row>
    <row r="381" spans="2:13" x14ac:dyDescent="0.25">
      <c r="B381" s="108"/>
      <c r="C381" s="41"/>
      <c r="D381" s="110"/>
      <c r="E381" s="111"/>
      <c r="F381" s="112"/>
      <c r="G381" s="98" t="str">
        <f>IFERROR(IF(venta_a_mes1254[[#This Row],[CUIT]]="","-",VLOOKUP(venta_a_mes1254[[#This Row],[CUIT]],Lista_CUIT[#All],2,0)),"CUIT NO CARGADO")</f>
        <v>-</v>
      </c>
      <c r="H381" s="99"/>
      <c r="I381" s="100">
        <f>venta_a_mes1254[[#This Row],[IMPORTE NETO]]*0.21</f>
        <v>0</v>
      </c>
      <c r="J381" s="65"/>
      <c r="K381" s="65"/>
      <c r="L381" s="65">
        <f>SUM(venta_a_mes1254[[#This Row],[IMPORTE NETO]:[EXENTO]])</f>
        <v>0</v>
      </c>
      <c r="M381" s="59"/>
    </row>
    <row r="382" spans="2:13" x14ac:dyDescent="0.25">
      <c r="B382" s="108"/>
      <c r="C382" s="41"/>
      <c r="D382" s="110"/>
      <c r="E382" s="111"/>
      <c r="F382" s="112"/>
      <c r="G382" s="98" t="str">
        <f>IFERROR(IF(venta_a_mes1254[[#This Row],[CUIT]]="","-",VLOOKUP(venta_a_mes1254[[#This Row],[CUIT]],Lista_CUIT[#All],2,0)),"CUIT NO CARGADO")</f>
        <v>-</v>
      </c>
      <c r="H382" s="99"/>
      <c r="I382" s="100">
        <f>venta_a_mes1254[[#This Row],[IMPORTE NETO]]*0.21</f>
        <v>0</v>
      </c>
      <c r="J382" s="65"/>
      <c r="K382" s="65"/>
      <c r="L382" s="65">
        <f>SUM(venta_a_mes1254[[#This Row],[IMPORTE NETO]:[EXENTO]])</f>
        <v>0</v>
      </c>
      <c r="M382" s="59"/>
    </row>
    <row r="383" spans="2:13" x14ac:dyDescent="0.25">
      <c r="B383" s="108"/>
      <c r="C383" s="41"/>
      <c r="D383" s="110"/>
      <c r="E383" s="111"/>
      <c r="F383" s="112"/>
      <c r="G383" s="98" t="str">
        <f>IFERROR(IF(venta_a_mes1254[[#This Row],[CUIT]]="","-",VLOOKUP(venta_a_mes1254[[#This Row],[CUIT]],Lista_CUIT[#All],2,0)),"CUIT NO CARGADO")</f>
        <v>-</v>
      </c>
      <c r="H383" s="99"/>
      <c r="I383" s="100">
        <f>venta_a_mes1254[[#This Row],[IMPORTE NETO]]*0.21</f>
        <v>0</v>
      </c>
      <c r="J383" s="65"/>
      <c r="K383" s="65"/>
      <c r="L383" s="65">
        <f>SUM(venta_a_mes1254[[#This Row],[IMPORTE NETO]:[EXENTO]])</f>
        <v>0</v>
      </c>
      <c r="M383" s="59"/>
    </row>
    <row r="384" spans="2:13" x14ac:dyDescent="0.25">
      <c r="B384" s="108"/>
      <c r="C384" s="41"/>
      <c r="D384" s="110"/>
      <c r="E384" s="111"/>
      <c r="F384" s="112"/>
      <c r="G384" s="98" t="str">
        <f>IFERROR(IF(venta_a_mes1254[[#This Row],[CUIT]]="","-",VLOOKUP(venta_a_mes1254[[#This Row],[CUIT]],Lista_CUIT[#All],2,0)),"CUIT NO CARGADO")</f>
        <v>-</v>
      </c>
      <c r="H384" s="99"/>
      <c r="I384" s="100">
        <f>venta_a_mes1254[[#This Row],[IMPORTE NETO]]*0.21</f>
        <v>0</v>
      </c>
      <c r="J384" s="65"/>
      <c r="K384" s="65"/>
      <c r="L384" s="65">
        <f>SUM(venta_a_mes1254[[#This Row],[IMPORTE NETO]:[EXENTO]])</f>
        <v>0</v>
      </c>
      <c r="M384" s="59"/>
    </row>
    <row r="385" spans="2:13" x14ac:dyDescent="0.25">
      <c r="B385" s="108"/>
      <c r="C385" s="41"/>
      <c r="D385" s="110"/>
      <c r="E385" s="111"/>
      <c r="F385" s="112"/>
      <c r="G385" s="98" t="str">
        <f>IFERROR(IF(venta_a_mes1254[[#This Row],[CUIT]]="","-",VLOOKUP(venta_a_mes1254[[#This Row],[CUIT]],Lista_CUIT[#All],2,0)),"CUIT NO CARGADO")</f>
        <v>-</v>
      </c>
      <c r="H385" s="99"/>
      <c r="I385" s="100">
        <f>venta_a_mes1254[[#This Row],[IMPORTE NETO]]*0.21</f>
        <v>0</v>
      </c>
      <c r="J385" s="65"/>
      <c r="K385" s="65"/>
      <c r="L385" s="65">
        <f>SUM(venta_a_mes1254[[#This Row],[IMPORTE NETO]:[EXENTO]])</f>
        <v>0</v>
      </c>
      <c r="M385" s="59"/>
    </row>
    <row r="386" spans="2:13" x14ac:dyDescent="0.25">
      <c r="B386" s="108"/>
      <c r="C386" s="41"/>
      <c r="D386" s="110"/>
      <c r="E386" s="111"/>
      <c r="F386" s="112"/>
      <c r="G386" s="98" t="str">
        <f>IFERROR(IF(venta_a_mes1254[[#This Row],[CUIT]]="","-",VLOOKUP(venta_a_mes1254[[#This Row],[CUIT]],Lista_CUIT[#All],2,0)),"CUIT NO CARGADO")</f>
        <v>-</v>
      </c>
      <c r="H386" s="99"/>
      <c r="I386" s="100">
        <f>venta_a_mes1254[[#This Row],[IMPORTE NETO]]*0.21</f>
        <v>0</v>
      </c>
      <c r="J386" s="65"/>
      <c r="K386" s="65"/>
      <c r="L386" s="65">
        <f>SUM(venta_a_mes1254[[#This Row],[IMPORTE NETO]:[EXENTO]])</f>
        <v>0</v>
      </c>
      <c r="M386" s="59"/>
    </row>
    <row r="387" spans="2:13" x14ac:dyDescent="0.25">
      <c r="B387" s="108"/>
      <c r="C387" s="41"/>
      <c r="D387" s="110"/>
      <c r="E387" s="111"/>
      <c r="F387" s="112"/>
      <c r="G387" s="98" t="str">
        <f>IFERROR(IF(venta_a_mes1254[[#This Row],[CUIT]]="","-",VLOOKUP(venta_a_mes1254[[#This Row],[CUIT]],Lista_CUIT[#All],2,0)),"CUIT NO CARGADO")</f>
        <v>-</v>
      </c>
      <c r="H387" s="99"/>
      <c r="I387" s="100">
        <f>venta_a_mes1254[[#This Row],[IMPORTE NETO]]*0.21</f>
        <v>0</v>
      </c>
      <c r="J387" s="65"/>
      <c r="K387" s="65"/>
      <c r="L387" s="65">
        <f>SUM(venta_a_mes1254[[#This Row],[IMPORTE NETO]:[EXENTO]])</f>
        <v>0</v>
      </c>
      <c r="M387" s="59"/>
    </row>
    <row r="388" spans="2:13" x14ac:dyDescent="0.25">
      <c r="B388" s="108"/>
      <c r="C388" s="41"/>
      <c r="D388" s="110"/>
      <c r="E388" s="111"/>
      <c r="F388" s="112"/>
      <c r="G388" s="98" t="str">
        <f>IFERROR(IF(venta_a_mes1254[[#This Row],[CUIT]]="","-",VLOOKUP(venta_a_mes1254[[#This Row],[CUIT]],Lista_CUIT[#All],2,0)),"CUIT NO CARGADO")</f>
        <v>-</v>
      </c>
      <c r="H388" s="99"/>
      <c r="I388" s="100">
        <f>venta_a_mes1254[[#This Row],[IMPORTE NETO]]*0.21</f>
        <v>0</v>
      </c>
      <c r="J388" s="65"/>
      <c r="K388" s="65"/>
      <c r="L388" s="65">
        <f>SUM(venta_a_mes1254[[#This Row],[IMPORTE NETO]:[EXENTO]])</f>
        <v>0</v>
      </c>
      <c r="M388" s="59"/>
    </row>
    <row r="389" spans="2:13" x14ac:dyDescent="0.25">
      <c r="B389" s="108"/>
      <c r="C389" s="41"/>
      <c r="D389" s="110"/>
      <c r="E389" s="111"/>
      <c r="F389" s="112"/>
      <c r="G389" s="98" t="str">
        <f>IFERROR(IF(venta_a_mes1254[[#This Row],[CUIT]]="","-",VLOOKUP(venta_a_mes1254[[#This Row],[CUIT]],Lista_CUIT[#All],2,0)),"CUIT NO CARGADO")</f>
        <v>-</v>
      </c>
      <c r="H389" s="99"/>
      <c r="I389" s="100">
        <f>venta_a_mes1254[[#This Row],[IMPORTE NETO]]*0.21</f>
        <v>0</v>
      </c>
      <c r="J389" s="65"/>
      <c r="K389" s="65"/>
      <c r="L389" s="65">
        <f>SUM(venta_a_mes1254[[#This Row],[IMPORTE NETO]:[EXENTO]])</f>
        <v>0</v>
      </c>
      <c r="M389" s="59"/>
    </row>
    <row r="390" spans="2:13" x14ac:dyDescent="0.25">
      <c r="B390" s="108"/>
      <c r="C390" s="41"/>
      <c r="D390" s="110"/>
      <c r="E390" s="111"/>
      <c r="F390" s="112"/>
      <c r="G390" s="98" t="str">
        <f>IFERROR(IF(venta_a_mes1254[[#This Row],[CUIT]]="","-",VLOOKUP(venta_a_mes1254[[#This Row],[CUIT]],Lista_CUIT[#All],2,0)),"CUIT NO CARGADO")</f>
        <v>-</v>
      </c>
      <c r="H390" s="99"/>
      <c r="I390" s="100">
        <f>venta_a_mes1254[[#This Row],[IMPORTE NETO]]*0.21</f>
        <v>0</v>
      </c>
      <c r="J390" s="65"/>
      <c r="K390" s="65"/>
      <c r="L390" s="65">
        <f>SUM(venta_a_mes1254[[#This Row],[IMPORTE NETO]:[EXENTO]])</f>
        <v>0</v>
      </c>
      <c r="M390" s="59"/>
    </row>
    <row r="391" spans="2:13" x14ac:dyDescent="0.25">
      <c r="B391" s="108"/>
      <c r="C391" s="41"/>
      <c r="D391" s="110"/>
      <c r="E391" s="111"/>
      <c r="F391" s="112"/>
      <c r="G391" s="98" t="str">
        <f>IFERROR(IF(venta_a_mes1254[[#This Row],[CUIT]]="","-",VLOOKUP(venta_a_mes1254[[#This Row],[CUIT]],Lista_CUIT[#All],2,0)),"CUIT NO CARGADO")</f>
        <v>-</v>
      </c>
      <c r="H391" s="99"/>
      <c r="I391" s="100">
        <f>venta_a_mes1254[[#This Row],[IMPORTE NETO]]*0.21</f>
        <v>0</v>
      </c>
      <c r="J391" s="65"/>
      <c r="K391" s="65"/>
      <c r="L391" s="65">
        <f>SUM(venta_a_mes1254[[#This Row],[IMPORTE NETO]:[EXENTO]])</f>
        <v>0</v>
      </c>
      <c r="M391" s="59"/>
    </row>
    <row r="392" spans="2:13" x14ac:dyDescent="0.25">
      <c r="B392" s="108"/>
      <c r="C392" s="41"/>
      <c r="D392" s="110"/>
      <c r="E392" s="111"/>
      <c r="F392" s="112"/>
      <c r="G392" s="98" t="str">
        <f>IFERROR(IF(venta_a_mes1254[[#This Row],[CUIT]]="","-",VLOOKUP(venta_a_mes1254[[#This Row],[CUIT]],Lista_CUIT[#All],2,0)),"CUIT NO CARGADO")</f>
        <v>-</v>
      </c>
      <c r="H392" s="99"/>
      <c r="I392" s="100">
        <f>venta_a_mes1254[[#This Row],[IMPORTE NETO]]*0.21</f>
        <v>0</v>
      </c>
      <c r="J392" s="65"/>
      <c r="K392" s="65"/>
      <c r="L392" s="65">
        <f>SUM(venta_a_mes1254[[#This Row],[IMPORTE NETO]:[EXENTO]])</f>
        <v>0</v>
      </c>
      <c r="M392" s="59"/>
    </row>
    <row r="393" spans="2:13" x14ac:dyDescent="0.25">
      <c r="B393" s="108"/>
      <c r="C393" s="41"/>
      <c r="D393" s="110"/>
      <c r="E393" s="111"/>
      <c r="F393" s="112"/>
      <c r="G393" s="98" t="str">
        <f>IFERROR(IF(venta_a_mes1254[[#This Row],[CUIT]]="","-",VLOOKUP(venta_a_mes1254[[#This Row],[CUIT]],Lista_CUIT[#All],2,0)),"CUIT NO CARGADO")</f>
        <v>-</v>
      </c>
      <c r="H393" s="99"/>
      <c r="I393" s="100">
        <f>venta_a_mes1254[[#This Row],[IMPORTE NETO]]*0.21</f>
        <v>0</v>
      </c>
      <c r="J393" s="65"/>
      <c r="K393" s="65"/>
      <c r="L393" s="65">
        <f>SUM(venta_a_mes1254[[#This Row],[IMPORTE NETO]:[EXENTO]])</f>
        <v>0</v>
      </c>
      <c r="M393" s="59"/>
    </row>
    <row r="394" spans="2:13" x14ac:dyDescent="0.25">
      <c r="B394" s="108"/>
      <c r="C394" s="41"/>
      <c r="D394" s="110"/>
      <c r="E394" s="111"/>
      <c r="F394" s="112"/>
      <c r="G394" s="98" t="str">
        <f>IFERROR(IF(venta_a_mes1254[[#This Row],[CUIT]]="","-",VLOOKUP(venta_a_mes1254[[#This Row],[CUIT]],Lista_CUIT[#All],2,0)),"CUIT NO CARGADO")</f>
        <v>-</v>
      </c>
      <c r="H394" s="99"/>
      <c r="I394" s="100">
        <f>venta_a_mes1254[[#This Row],[IMPORTE NETO]]*0.21</f>
        <v>0</v>
      </c>
      <c r="J394" s="65"/>
      <c r="K394" s="65"/>
      <c r="L394" s="65">
        <f>SUM(venta_a_mes1254[[#This Row],[IMPORTE NETO]:[EXENTO]])</f>
        <v>0</v>
      </c>
      <c r="M394" s="59"/>
    </row>
    <row r="395" spans="2:13" x14ac:dyDescent="0.25">
      <c r="B395" s="108"/>
      <c r="C395" s="41"/>
      <c r="D395" s="110"/>
      <c r="E395" s="111"/>
      <c r="F395" s="112"/>
      <c r="G395" s="98" t="str">
        <f>IFERROR(IF(venta_a_mes1254[[#This Row],[CUIT]]="","-",VLOOKUP(venta_a_mes1254[[#This Row],[CUIT]],Lista_CUIT[#All],2,0)),"CUIT NO CARGADO")</f>
        <v>-</v>
      </c>
      <c r="H395" s="99"/>
      <c r="I395" s="100">
        <f>venta_a_mes1254[[#This Row],[IMPORTE NETO]]*0.21</f>
        <v>0</v>
      </c>
      <c r="J395" s="65"/>
      <c r="K395" s="65"/>
      <c r="L395" s="65">
        <f>SUM(venta_a_mes1254[[#This Row],[IMPORTE NETO]:[EXENTO]])</f>
        <v>0</v>
      </c>
      <c r="M395" s="59"/>
    </row>
    <row r="396" spans="2:13" x14ac:dyDescent="0.25">
      <c r="B396" s="108"/>
      <c r="C396" s="41"/>
      <c r="D396" s="110"/>
      <c r="E396" s="111"/>
      <c r="F396" s="112"/>
      <c r="G396" s="98" t="str">
        <f>IFERROR(IF(venta_a_mes1254[[#This Row],[CUIT]]="","-",VLOOKUP(venta_a_mes1254[[#This Row],[CUIT]],Lista_CUIT[#All],2,0)),"CUIT NO CARGADO")</f>
        <v>-</v>
      </c>
      <c r="H396" s="99"/>
      <c r="I396" s="100">
        <f>venta_a_mes1254[[#This Row],[IMPORTE NETO]]*0.21</f>
        <v>0</v>
      </c>
      <c r="J396" s="65"/>
      <c r="K396" s="65"/>
      <c r="L396" s="65">
        <f>SUM(venta_a_mes1254[[#This Row],[IMPORTE NETO]:[EXENTO]])</f>
        <v>0</v>
      </c>
      <c r="M396" s="59"/>
    </row>
    <row r="397" spans="2:13" x14ac:dyDescent="0.25">
      <c r="B397" s="108"/>
      <c r="C397" s="41"/>
      <c r="D397" s="110"/>
      <c r="E397" s="111"/>
      <c r="F397" s="112"/>
      <c r="G397" s="98" t="str">
        <f>IFERROR(IF(venta_a_mes1254[[#This Row],[CUIT]]="","-",VLOOKUP(venta_a_mes1254[[#This Row],[CUIT]],Lista_CUIT[#All],2,0)),"CUIT NO CARGADO")</f>
        <v>-</v>
      </c>
      <c r="H397" s="99"/>
      <c r="I397" s="100">
        <f>venta_a_mes1254[[#This Row],[IMPORTE NETO]]*0.21</f>
        <v>0</v>
      </c>
      <c r="J397" s="65"/>
      <c r="K397" s="65"/>
      <c r="L397" s="65">
        <f>SUM(venta_a_mes1254[[#This Row],[IMPORTE NETO]:[EXENTO]])</f>
        <v>0</v>
      </c>
      <c r="M397" s="59"/>
    </row>
    <row r="398" spans="2:13" x14ac:dyDescent="0.25">
      <c r="B398" s="108"/>
      <c r="C398" s="41"/>
      <c r="D398" s="110"/>
      <c r="E398" s="111"/>
      <c r="F398" s="112"/>
      <c r="G398" s="98" t="str">
        <f>IFERROR(IF(venta_a_mes1254[[#This Row],[CUIT]]="","-",VLOOKUP(venta_a_mes1254[[#This Row],[CUIT]],Lista_CUIT[#All],2,0)),"CUIT NO CARGADO")</f>
        <v>-</v>
      </c>
      <c r="H398" s="99"/>
      <c r="I398" s="100">
        <f>venta_a_mes1254[[#This Row],[IMPORTE NETO]]*0.21</f>
        <v>0</v>
      </c>
      <c r="J398" s="65"/>
      <c r="K398" s="65"/>
      <c r="L398" s="65">
        <f>SUM(venta_a_mes1254[[#This Row],[IMPORTE NETO]:[EXENTO]])</f>
        <v>0</v>
      </c>
      <c r="M398" s="59"/>
    </row>
    <row r="399" spans="2:13" x14ac:dyDescent="0.25">
      <c r="B399" s="108"/>
      <c r="C399" s="41"/>
      <c r="D399" s="110"/>
      <c r="E399" s="111"/>
      <c r="F399" s="112"/>
      <c r="G399" s="98" t="str">
        <f>IFERROR(IF(venta_a_mes1254[[#This Row],[CUIT]]="","-",VLOOKUP(venta_a_mes1254[[#This Row],[CUIT]],Lista_CUIT[#All],2,0)),"CUIT NO CARGADO")</f>
        <v>-</v>
      </c>
      <c r="H399" s="99"/>
      <c r="I399" s="100">
        <f>venta_a_mes1254[[#This Row],[IMPORTE NETO]]*0.21</f>
        <v>0</v>
      </c>
      <c r="J399" s="65"/>
      <c r="K399" s="65"/>
      <c r="L399" s="65">
        <f>SUM(venta_a_mes1254[[#This Row],[IMPORTE NETO]:[EXENTO]])</f>
        <v>0</v>
      </c>
      <c r="M399" s="59"/>
    </row>
    <row r="400" spans="2:13" x14ac:dyDescent="0.25">
      <c r="B400" s="108"/>
      <c r="C400" s="41"/>
      <c r="D400" s="110"/>
      <c r="E400" s="111"/>
      <c r="F400" s="112"/>
      <c r="G400" s="98" t="str">
        <f>IFERROR(IF(venta_a_mes1254[[#This Row],[CUIT]]="","-",VLOOKUP(venta_a_mes1254[[#This Row],[CUIT]],Lista_CUIT[#All],2,0)),"CUIT NO CARGADO")</f>
        <v>-</v>
      </c>
      <c r="H400" s="99"/>
      <c r="I400" s="100">
        <f>venta_a_mes1254[[#This Row],[IMPORTE NETO]]*0.21</f>
        <v>0</v>
      </c>
      <c r="J400" s="65"/>
      <c r="K400" s="65"/>
      <c r="L400" s="65">
        <f>SUM(venta_a_mes1254[[#This Row],[IMPORTE NETO]:[EXENTO]])</f>
        <v>0</v>
      </c>
      <c r="M400" s="59"/>
    </row>
    <row r="401" spans="2:13" x14ac:dyDescent="0.25">
      <c r="B401" s="108"/>
      <c r="C401" s="41"/>
      <c r="D401" s="110"/>
      <c r="E401" s="111"/>
      <c r="F401" s="112"/>
      <c r="G401" s="98" t="str">
        <f>IFERROR(IF(venta_a_mes1254[[#This Row],[CUIT]]="","-",VLOOKUP(venta_a_mes1254[[#This Row],[CUIT]],Lista_CUIT[#All],2,0)),"CUIT NO CARGADO")</f>
        <v>-</v>
      </c>
      <c r="H401" s="99"/>
      <c r="I401" s="100">
        <f>venta_a_mes1254[[#This Row],[IMPORTE NETO]]*0.21</f>
        <v>0</v>
      </c>
      <c r="J401" s="65"/>
      <c r="K401" s="65"/>
      <c r="L401" s="65">
        <f>SUM(venta_a_mes1254[[#This Row],[IMPORTE NETO]:[EXENTO]])</f>
        <v>0</v>
      </c>
      <c r="M401" s="59"/>
    </row>
    <row r="402" spans="2:13" x14ac:dyDescent="0.25">
      <c r="B402" s="108"/>
      <c r="C402" s="41"/>
      <c r="D402" s="110"/>
      <c r="E402" s="111"/>
      <c r="F402" s="112"/>
      <c r="G402" s="98" t="str">
        <f>IFERROR(IF(venta_a_mes1254[[#This Row],[CUIT]]="","-",VLOOKUP(venta_a_mes1254[[#This Row],[CUIT]],Lista_CUIT[#All],2,0)),"CUIT NO CARGADO")</f>
        <v>-</v>
      </c>
      <c r="H402" s="99"/>
      <c r="I402" s="100">
        <f>venta_a_mes1254[[#This Row],[IMPORTE NETO]]*0.21</f>
        <v>0</v>
      </c>
      <c r="J402" s="65"/>
      <c r="K402" s="65"/>
      <c r="L402" s="65">
        <f>SUM(venta_a_mes1254[[#This Row],[IMPORTE NETO]:[EXENTO]])</f>
        <v>0</v>
      </c>
      <c r="M402" s="59"/>
    </row>
    <row r="403" spans="2:13" x14ac:dyDescent="0.25">
      <c r="B403" s="108"/>
      <c r="C403" s="41"/>
      <c r="D403" s="110"/>
      <c r="E403" s="111"/>
      <c r="F403" s="112"/>
      <c r="G403" s="98" t="str">
        <f>IFERROR(IF(venta_a_mes1254[[#This Row],[CUIT]]="","-",VLOOKUP(venta_a_mes1254[[#This Row],[CUIT]],Lista_CUIT[#All],2,0)),"CUIT NO CARGADO")</f>
        <v>-</v>
      </c>
      <c r="H403" s="99"/>
      <c r="I403" s="100">
        <f>venta_a_mes1254[[#This Row],[IMPORTE NETO]]*0.21</f>
        <v>0</v>
      </c>
      <c r="J403" s="65"/>
      <c r="K403" s="65"/>
      <c r="L403" s="65">
        <f>SUM(venta_a_mes1254[[#This Row],[IMPORTE NETO]:[EXENTO]])</f>
        <v>0</v>
      </c>
      <c r="M403" s="59"/>
    </row>
    <row r="404" spans="2:13" x14ac:dyDescent="0.25">
      <c r="B404" s="108"/>
      <c r="C404" s="41"/>
      <c r="D404" s="110"/>
      <c r="E404" s="111"/>
      <c r="F404" s="112"/>
      <c r="G404" s="98" t="str">
        <f>IFERROR(IF(venta_a_mes1254[[#This Row],[CUIT]]="","-",VLOOKUP(venta_a_mes1254[[#This Row],[CUIT]],Lista_CUIT[#All],2,0)),"CUIT NO CARGADO")</f>
        <v>-</v>
      </c>
      <c r="H404" s="99"/>
      <c r="I404" s="100">
        <f>venta_a_mes1254[[#This Row],[IMPORTE NETO]]*0.21</f>
        <v>0</v>
      </c>
      <c r="J404" s="65"/>
      <c r="K404" s="65"/>
      <c r="L404" s="65">
        <f>SUM(venta_a_mes1254[[#This Row],[IMPORTE NETO]:[EXENTO]])</f>
        <v>0</v>
      </c>
      <c r="M404" s="59"/>
    </row>
    <row r="405" spans="2:13" x14ac:dyDescent="0.25">
      <c r="B405" s="108"/>
      <c r="C405" s="41"/>
      <c r="D405" s="110"/>
      <c r="E405" s="111"/>
      <c r="F405" s="112"/>
      <c r="G405" s="98" t="str">
        <f>IFERROR(IF(venta_a_mes1254[[#This Row],[CUIT]]="","-",VLOOKUP(venta_a_mes1254[[#This Row],[CUIT]],Lista_CUIT[#All],2,0)),"CUIT NO CARGADO")</f>
        <v>-</v>
      </c>
      <c r="H405" s="99"/>
      <c r="I405" s="100">
        <f>venta_a_mes1254[[#This Row],[IMPORTE NETO]]*0.21</f>
        <v>0</v>
      </c>
      <c r="J405" s="65"/>
      <c r="K405" s="65"/>
      <c r="L405" s="65">
        <f>SUM(venta_a_mes1254[[#This Row],[IMPORTE NETO]:[EXENTO]])</f>
        <v>0</v>
      </c>
      <c r="M405" s="59"/>
    </row>
    <row r="406" spans="2:13" x14ac:dyDescent="0.25">
      <c r="B406" s="108"/>
      <c r="C406" s="41"/>
      <c r="D406" s="110"/>
      <c r="E406" s="111"/>
      <c r="F406" s="112"/>
      <c r="G406" s="98" t="str">
        <f>IFERROR(IF(venta_a_mes1254[[#This Row],[CUIT]]="","-",VLOOKUP(venta_a_mes1254[[#This Row],[CUIT]],Lista_CUIT[#All],2,0)),"CUIT NO CARGADO")</f>
        <v>-</v>
      </c>
      <c r="H406" s="99"/>
      <c r="I406" s="100">
        <f>venta_a_mes1254[[#This Row],[IMPORTE NETO]]*0.21</f>
        <v>0</v>
      </c>
      <c r="J406" s="65"/>
      <c r="K406" s="65"/>
      <c r="L406" s="65">
        <f>SUM(venta_a_mes1254[[#This Row],[IMPORTE NETO]:[EXENTO]])</f>
        <v>0</v>
      </c>
      <c r="M406" s="59"/>
    </row>
    <row r="407" spans="2:13" x14ac:dyDescent="0.25">
      <c r="B407" s="108"/>
      <c r="C407" s="41"/>
      <c r="D407" s="110"/>
      <c r="E407" s="111"/>
      <c r="F407" s="112"/>
      <c r="G407" s="98" t="str">
        <f>IFERROR(IF(venta_a_mes1254[[#This Row],[CUIT]]="","-",VLOOKUP(venta_a_mes1254[[#This Row],[CUIT]],Lista_CUIT[#All],2,0)),"CUIT NO CARGADO")</f>
        <v>-</v>
      </c>
      <c r="H407" s="99"/>
      <c r="I407" s="100">
        <f>venta_a_mes1254[[#This Row],[IMPORTE NETO]]*0.21</f>
        <v>0</v>
      </c>
      <c r="J407" s="65"/>
      <c r="K407" s="65"/>
      <c r="L407" s="65">
        <f>SUM(venta_a_mes1254[[#This Row],[IMPORTE NETO]:[EXENTO]])</f>
        <v>0</v>
      </c>
      <c r="M407" s="59"/>
    </row>
    <row r="408" spans="2:13" x14ac:dyDescent="0.25">
      <c r="B408" s="108"/>
      <c r="C408" s="41"/>
      <c r="D408" s="110"/>
      <c r="E408" s="111"/>
      <c r="F408" s="112"/>
      <c r="G408" s="98" t="str">
        <f>IFERROR(IF(venta_a_mes1254[[#This Row],[CUIT]]="","-",VLOOKUP(venta_a_mes1254[[#This Row],[CUIT]],Lista_CUIT[#All],2,0)),"CUIT NO CARGADO")</f>
        <v>-</v>
      </c>
      <c r="H408" s="99"/>
      <c r="I408" s="100">
        <f>venta_a_mes1254[[#This Row],[IMPORTE NETO]]*0.21</f>
        <v>0</v>
      </c>
      <c r="J408" s="65"/>
      <c r="K408" s="65"/>
      <c r="L408" s="65">
        <f>SUM(venta_a_mes1254[[#This Row],[IMPORTE NETO]:[EXENTO]])</f>
        <v>0</v>
      </c>
      <c r="M408" s="59"/>
    </row>
    <row r="409" spans="2:13" x14ac:dyDescent="0.25">
      <c r="B409" s="108"/>
      <c r="C409" s="41"/>
      <c r="D409" s="110"/>
      <c r="E409" s="111"/>
      <c r="F409" s="112"/>
      <c r="G409" s="98" t="str">
        <f>IFERROR(IF(venta_a_mes1254[[#This Row],[CUIT]]="","-",VLOOKUP(venta_a_mes1254[[#This Row],[CUIT]],Lista_CUIT[#All],2,0)),"CUIT NO CARGADO")</f>
        <v>-</v>
      </c>
      <c r="H409" s="99"/>
      <c r="I409" s="100">
        <f>venta_a_mes1254[[#This Row],[IMPORTE NETO]]*0.21</f>
        <v>0</v>
      </c>
      <c r="J409" s="65"/>
      <c r="K409" s="65"/>
      <c r="L409" s="65">
        <f>SUM(venta_a_mes1254[[#This Row],[IMPORTE NETO]:[EXENTO]])</f>
        <v>0</v>
      </c>
      <c r="M409" s="59"/>
    </row>
    <row r="410" spans="2:13" x14ac:dyDescent="0.25">
      <c r="B410" s="108"/>
      <c r="C410" s="41"/>
      <c r="D410" s="110"/>
      <c r="E410" s="111"/>
      <c r="F410" s="112"/>
      <c r="G410" s="98" t="str">
        <f>IFERROR(IF(venta_a_mes1254[[#This Row],[CUIT]]="","-",VLOOKUP(venta_a_mes1254[[#This Row],[CUIT]],Lista_CUIT[#All],2,0)),"CUIT NO CARGADO")</f>
        <v>-</v>
      </c>
      <c r="H410" s="99"/>
      <c r="I410" s="100">
        <f>venta_a_mes1254[[#This Row],[IMPORTE NETO]]*0.21</f>
        <v>0</v>
      </c>
      <c r="J410" s="65"/>
      <c r="K410" s="65"/>
      <c r="L410" s="65">
        <f>SUM(venta_a_mes1254[[#This Row],[IMPORTE NETO]:[EXENTO]])</f>
        <v>0</v>
      </c>
      <c r="M410" s="59"/>
    </row>
    <row r="411" spans="2:13" x14ac:dyDescent="0.25">
      <c r="B411" s="108"/>
      <c r="C411" s="41"/>
      <c r="D411" s="110"/>
      <c r="E411" s="111"/>
      <c r="F411" s="112"/>
      <c r="G411" s="98" t="str">
        <f>IFERROR(IF(venta_a_mes1254[[#This Row],[CUIT]]="","-",VLOOKUP(venta_a_mes1254[[#This Row],[CUIT]],Lista_CUIT[#All],2,0)),"CUIT NO CARGADO")</f>
        <v>-</v>
      </c>
      <c r="H411" s="99"/>
      <c r="I411" s="100">
        <f>venta_a_mes1254[[#This Row],[IMPORTE NETO]]*0.21</f>
        <v>0</v>
      </c>
      <c r="J411" s="65"/>
      <c r="K411" s="65"/>
      <c r="L411" s="65">
        <f>SUM(venta_a_mes1254[[#This Row],[IMPORTE NETO]:[EXENTO]])</f>
        <v>0</v>
      </c>
      <c r="M411" s="59"/>
    </row>
    <row r="412" spans="2:13" x14ac:dyDescent="0.25">
      <c r="B412" s="108"/>
      <c r="C412" s="41"/>
      <c r="D412" s="110"/>
      <c r="E412" s="111"/>
      <c r="F412" s="112"/>
      <c r="G412" s="98" t="str">
        <f>IFERROR(IF(venta_a_mes1254[[#This Row],[CUIT]]="","-",VLOOKUP(venta_a_mes1254[[#This Row],[CUIT]],Lista_CUIT[#All],2,0)),"CUIT NO CARGADO")</f>
        <v>-</v>
      </c>
      <c r="H412" s="99"/>
      <c r="I412" s="100">
        <f>venta_a_mes1254[[#This Row],[IMPORTE NETO]]*0.21</f>
        <v>0</v>
      </c>
      <c r="J412" s="65"/>
      <c r="K412" s="65"/>
      <c r="L412" s="65">
        <f>SUM(venta_a_mes1254[[#This Row],[IMPORTE NETO]:[EXENTO]])</f>
        <v>0</v>
      </c>
      <c r="M412" s="59"/>
    </row>
    <row r="413" spans="2:13" x14ac:dyDescent="0.25">
      <c r="B413" s="108"/>
      <c r="C413" s="41"/>
      <c r="D413" s="110"/>
      <c r="E413" s="111"/>
      <c r="F413" s="112"/>
      <c r="G413" s="98" t="str">
        <f>IFERROR(IF(venta_a_mes1254[[#This Row],[CUIT]]="","-",VLOOKUP(venta_a_mes1254[[#This Row],[CUIT]],Lista_CUIT[#All],2,0)),"CUIT NO CARGADO")</f>
        <v>-</v>
      </c>
      <c r="H413" s="99"/>
      <c r="I413" s="100">
        <f>venta_a_mes1254[[#This Row],[IMPORTE NETO]]*0.21</f>
        <v>0</v>
      </c>
      <c r="J413" s="65"/>
      <c r="K413" s="65"/>
      <c r="L413" s="65">
        <f>SUM(venta_a_mes1254[[#This Row],[IMPORTE NETO]:[EXENTO]])</f>
        <v>0</v>
      </c>
      <c r="M413" s="59"/>
    </row>
    <row r="414" spans="2:13" x14ac:dyDescent="0.25">
      <c r="B414" s="108"/>
      <c r="C414" s="41"/>
      <c r="D414" s="110"/>
      <c r="E414" s="111"/>
      <c r="F414" s="112"/>
      <c r="G414" s="98" t="str">
        <f>IFERROR(IF(venta_a_mes1254[[#This Row],[CUIT]]="","-",VLOOKUP(venta_a_mes1254[[#This Row],[CUIT]],Lista_CUIT[#All],2,0)),"CUIT NO CARGADO")</f>
        <v>-</v>
      </c>
      <c r="H414" s="99"/>
      <c r="I414" s="100">
        <f>venta_a_mes1254[[#This Row],[IMPORTE NETO]]*0.21</f>
        <v>0</v>
      </c>
      <c r="J414" s="65"/>
      <c r="K414" s="65"/>
      <c r="L414" s="65">
        <f>SUM(venta_a_mes1254[[#This Row],[IMPORTE NETO]:[EXENTO]])</f>
        <v>0</v>
      </c>
      <c r="M414" s="59"/>
    </row>
    <row r="415" spans="2:13" x14ac:dyDescent="0.25">
      <c r="B415" s="108"/>
      <c r="C415" s="41"/>
      <c r="D415" s="110"/>
      <c r="E415" s="111"/>
      <c r="F415" s="112"/>
      <c r="G415" s="98" t="str">
        <f>IFERROR(IF(venta_a_mes1254[[#This Row],[CUIT]]="","-",VLOOKUP(venta_a_mes1254[[#This Row],[CUIT]],Lista_CUIT[#All],2,0)),"CUIT NO CARGADO")</f>
        <v>-</v>
      </c>
      <c r="H415" s="99"/>
      <c r="I415" s="100">
        <f>venta_a_mes1254[[#This Row],[IMPORTE NETO]]*0.21</f>
        <v>0</v>
      </c>
      <c r="J415" s="65"/>
      <c r="K415" s="65"/>
      <c r="L415" s="65">
        <f>SUM(venta_a_mes1254[[#This Row],[IMPORTE NETO]:[EXENTO]])</f>
        <v>0</v>
      </c>
      <c r="M415" s="59"/>
    </row>
    <row r="416" spans="2:13" x14ac:dyDescent="0.25">
      <c r="B416" s="108"/>
      <c r="C416" s="41"/>
      <c r="D416" s="110"/>
      <c r="E416" s="111"/>
      <c r="F416" s="112"/>
      <c r="G416" s="98" t="str">
        <f>IFERROR(IF(venta_a_mes1254[[#This Row],[CUIT]]="","-",VLOOKUP(venta_a_mes1254[[#This Row],[CUIT]],Lista_CUIT[#All],2,0)),"CUIT NO CARGADO")</f>
        <v>-</v>
      </c>
      <c r="H416" s="99"/>
      <c r="I416" s="100">
        <f>venta_a_mes1254[[#This Row],[IMPORTE NETO]]*0.21</f>
        <v>0</v>
      </c>
      <c r="J416" s="65"/>
      <c r="K416" s="65"/>
      <c r="L416" s="65">
        <f>SUM(venta_a_mes1254[[#This Row],[IMPORTE NETO]:[EXENTO]])</f>
        <v>0</v>
      </c>
      <c r="M416" s="59"/>
    </row>
    <row r="417" spans="2:13" x14ac:dyDescent="0.25">
      <c r="B417" s="108"/>
      <c r="C417" s="41"/>
      <c r="D417" s="110"/>
      <c r="E417" s="111"/>
      <c r="F417" s="112"/>
      <c r="G417" s="98" t="str">
        <f>IFERROR(IF(venta_a_mes1254[[#This Row],[CUIT]]="","-",VLOOKUP(venta_a_mes1254[[#This Row],[CUIT]],Lista_CUIT[#All],2,0)),"CUIT NO CARGADO")</f>
        <v>-</v>
      </c>
      <c r="H417" s="99"/>
      <c r="I417" s="100">
        <f>venta_a_mes1254[[#This Row],[IMPORTE NETO]]*0.21</f>
        <v>0</v>
      </c>
      <c r="J417" s="65"/>
      <c r="K417" s="65"/>
      <c r="L417" s="65">
        <f>SUM(venta_a_mes1254[[#This Row],[IMPORTE NETO]:[EXENTO]])</f>
        <v>0</v>
      </c>
      <c r="M417" s="59"/>
    </row>
    <row r="418" spans="2:13" x14ac:dyDescent="0.25">
      <c r="B418" s="108"/>
      <c r="C418" s="41"/>
      <c r="D418" s="110"/>
      <c r="E418" s="111"/>
      <c r="F418" s="112"/>
      <c r="G418" s="98" t="str">
        <f>IFERROR(IF(venta_a_mes1254[[#This Row],[CUIT]]="","-",VLOOKUP(venta_a_mes1254[[#This Row],[CUIT]],Lista_CUIT[#All],2,0)),"CUIT NO CARGADO")</f>
        <v>-</v>
      </c>
      <c r="H418" s="99"/>
      <c r="I418" s="100">
        <f>venta_a_mes1254[[#This Row],[IMPORTE NETO]]*0.21</f>
        <v>0</v>
      </c>
      <c r="J418" s="65"/>
      <c r="K418" s="65"/>
      <c r="L418" s="65">
        <f>SUM(venta_a_mes1254[[#This Row],[IMPORTE NETO]:[EXENTO]])</f>
        <v>0</v>
      </c>
      <c r="M418" s="59"/>
    </row>
    <row r="419" spans="2:13" x14ac:dyDescent="0.25">
      <c r="B419" s="108"/>
      <c r="C419" s="41"/>
      <c r="D419" s="110"/>
      <c r="E419" s="111"/>
      <c r="F419" s="112"/>
      <c r="G419" s="98" t="str">
        <f>IFERROR(IF(venta_a_mes1254[[#This Row],[CUIT]]="","-",VLOOKUP(venta_a_mes1254[[#This Row],[CUIT]],Lista_CUIT[#All],2,0)),"CUIT NO CARGADO")</f>
        <v>-</v>
      </c>
      <c r="H419" s="99"/>
      <c r="I419" s="100">
        <f>venta_a_mes1254[[#This Row],[IMPORTE NETO]]*0.21</f>
        <v>0</v>
      </c>
      <c r="J419" s="65"/>
      <c r="K419" s="65"/>
      <c r="L419" s="65">
        <f>SUM(venta_a_mes1254[[#This Row],[IMPORTE NETO]:[EXENTO]])</f>
        <v>0</v>
      </c>
      <c r="M419" s="59"/>
    </row>
    <row r="420" spans="2:13" x14ac:dyDescent="0.25">
      <c r="B420" s="108"/>
      <c r="C420" s="41"/>
      <c r="D420" s="110"/>
      <c r="E420" s="111"/>
      <c r="F420" s="112"/>
      <c r="G420" s="98" t="str">
        <f>IFERROR(IF(venta_a_mes1254[[#This Row],[CUIT]]="","-",VLOOKUP(venta_a_mes1254[[#This Row],[CUIT]],Lista_CUIT[#All],2,0)),"CUIT NO CARGADO")</f>
        <v>-</v>
      </c>
      <c r="H420" s="99"/>
      <c r="I420" s="100">
        <f>venta_a_mes1254[[#This Row],[IMPORTE NETO]]*0.21</f>
        <v>0</v>
      </c>
      <c r="J420" s="65"/>
      <c r="K420" s="65"/>
      <c r="L420" s="65">
        <f>SUM(venta_a_mes1254[[#This Row],[IMPORTE NETO]:[EXENTO]])</f>
        <v>0</v>
      </c>
      <c r="M420" s="59"/>
    </row>
    <row r="421" spans="2:13" x14ac:dyDescent="0.25">
      <c r="B421" s="108"/>
      <c r="C421" s="41"/>
      <c r="D421" s="110"/>
      <c r="E421" s="111"/>
      <c r="F421" s="112"/>
      <c r="G421" s="98" t="str">
        <f>IFERROR(IF(venta_a_mes1254[[#This Row],[CUIT]]="","-",VLOOKUP(venta_a_mes1254[[#This Row],[CUIT]],Lista_CUIT[#All],2,0)),"CUIT NO CARGADO")</f>
        <v>-</v>
      </c>
      <c r="H421" s="99"/>
      <c r="I421" s="100">
        <f>venta_a_mes1254[[#This Row],[IMPORTE NETO]]*0.21</f>
        <v>0</v>
      </c>
      <c r="J421" s="65"/>
      <c r="K421" s="65"/>
      <c r="L421" s="65">
        <f>SUM(venta_a_mes1254[[#This Row],[IMPORTE NETO]:[EXENTO]])</f>
        <v>0</v>
      </c>
      <c r="M421" s="59"/>
    </row>
    <row r="422" spans="2:13" x14ac:dyDescent="0.25">
      <c r="B422" s="108"/>
      <c r="C422" s="41"/>
      <c r="D422" s="110"/>
      <c r="E422" s="111"/>
      <c r="F422" s="112"/>
      <c r="G422" s="98" t="str">
        <f>IFERROR(IF(venta_a_mes1254[[#This Row],[CUIT]]="","-",VLOOKUP(venta_a_mes1254[[#This Row],[CUIT]],Lista_CUIT[#All],2,0)),"CUIT NO CARGADO")</f>
        <v>-</v>
      </c>
      <c r="H422" s="99"/>
      <c r="I422" s="100">
        <f>venta_a_mes1254[[#This Row],[IMPORTE NETO]]*0.21</f>
        <v>0</v>
      </c>
      <c r="J422" s="65"/>
      <c r="K422" s="65"/>
      <c r="L422" s="65">
        <f>SUM(venta_a_mes1254[[#This Row],[IMPORTE NETO]:[EXENTO]])</f>
        <v>0</v>
      </c>
      <c r="M422" s="59"/>
    </row>
    <row r="423" spans="2:13" x14ac:dyDescent="0.25">
      <c r="B423" s="108"/>
      <c r="C423" s="41"/>
      <c r="D423" s="110"/>
      <c r="E423" s="111"/>
      <c r="F423" s="112"/>
      <c r="G423" s="98" t="str">
        <f>IFERROR(IF(venta_a_mes1254[[#This Row],[CUIT]]="","-",VLOOKUP(venta_a_mes1254[[#This Row],[CUIT]],Lista_CUIT[#All],2,0)),"CUIT NO CARGADO")</f>
        <v>-</v>
      </c>
      <c r="H423" s="99"/>
      <c r="I423" s="100">
        <f>venta_a_mes1254[[#This Row],[IMPORTE NETO]]*0.21</f>
        <v>0</v>
      </c>
      <c r="J423" s="65"/>
      <c r="K423" s="65"/>
      <c r="L423" s="65">
        <f>SUM(venta_a_mes1254[[#This Row],[IMPORTE NETO]:[EXENTO]])</f>
        <v>0</v>
      </c>
      <c r="M423" s="59"/>
    </row>
    <row r="424" spans="2:13" x14ac:dyDescent="0.25">
      <c r="B424" s="108"/>
      <c r="C424" s="41"/>
      <c r="D424" s="110"/>
      <c r="E424" s="111"/>
      <c r="F424" s="112"/>
      <c r="G424" s="98" t="str">
        <f>IFERROR(IF(venta_a_mes1254[[#This Row],[CUIT]]="","-",VLOOKUP(venta_a_mes1254[[#This Row],[CUIT]],Lista_CUIT[#All],2,0)),"CUIT NO CARGADO")</f>
        <v>-</v>
      </c>
      <c r="H424" s="99"/>
      <c r="I424" s="100">
        <f>venta_a_mes1254[[#This Row],[IMPORTE NETO]]*0.21</f>
        <v>0</v>
      </c>
      <c r="J424" s="65"/>
      <c r="K424" s="65"/>
      <c r="L424" s="65">
        <f>SUM(venta_a_mes1254[[#This Row],[IMPORTE NETO]:[EXENTO]])</f>
        <v>0</v>
      </c>
      <c r="M424" s="59"/>
    </row>
    <row r="425" spans="2:13" x14ac:dyDescent="0.25">
      <c r="B425" s="108"/>
      <c r="C425" s="41"/>
      <c r="D425" s="110"/>
      <c r="E425" s="111"/>
      <c r="F425" s="112"/>
      <c r="G425" s="98" t="str">
        <f>IFERROR(IF(venta_a_mes1254[[#This Row],[CUIT]]="","-",VLOOKUP(venta_a_mes1254[[#This Row],[CUIT]],Lista_CUIT[#All],2,0)),"CUIT NO CARGADO")</f>
        <v>-</v>
      </c>
      <c r="H425" s="99"/>
      <c r="I425" s="100">
        <f>venta_a_mes1254[[#This Row],[IMPORTE NETO]]*0.21</f>
        <v>0</v>
      </c>
      <c r="J425" s="65"/>
      <c r="K425" s="65"/>
      <c r="L425" s="65">
        <f>SUM(venta_a_mes1254[[#This Row],[IMPORTE NETO]:[EXENTO]])</f>
        <v>0</v>
      </c>
      <c r="M425" s="59"/>
    </row>
    <row r="426" spans="2:13" x14ac:dyDescent="0.25">
      <c r="B426" s="108"/>
      <c r="C426" s="41"/>
      <c r="D426" s="110"/>
      <c r="E426" s="111"/>
      <c r="F426" s="112"/>
      <c r="G426" s="98" t="str">
        <f>IFERROR(IF(venta_a_mes1254[[#This Row],[CUIT]]="","-",VLOOKUP(venta_a_mes1254[[#This Row],[CUIT]],Lista_CUIT[#All],2,0)),"CUIT NO CARGADO")</f>
        <v>-</v>
      </c>
      <c r="H426" s="99"/>
      <c r="I426" s="100">
        <f>venta_a_mes1254[[#This Row],[IMPORTE NETO]]*0.21</f>
        <v>0</v>
      </c>
      <c r="J426" s="65"/>
      <c r="K426" s="65"/>
      <c r="L426" s="65">
        <f>SUM(venta_a_mes1254[[#This Row],[IMPORTE NETO]:[EXENTO]])</f>
        <v>0</v>
      </c>
      <c r="M426" s="59"/>
    </row>
    <row r="427" spans="2:13" x14ac:dyDescent="0.25">
      <c r="B427" s="108"/>
      <c r="C427" s="41"/>
      <c r="D427" s="110"/>
      <c r="E427" s="111"/>
      <c r="F427" s="112"/>
      <c r="G427" s="98" t="str">
        <f>IFERROR(IF(venta_a_mes1254[[#This Row],[CUIT]]="","-",VLOOKUP(venta_a_mes1254[[#This Row],[CUIT]],Lista_CUIT[#All],2,0)),"CUIT NO CARGADO")</f>
        <v>-</v>
      </c>
      <c r="H427" s="99"/>
      <c r="I427" s="100">
        <f>venta_a_mes1254[[#This Row],[IMPORTE NETO]]*0.21</f>
        <v>0</v>
      </c>
      <c r="J427" s="65"/>
      <c r="K427" s="65"/>
      <c r="L427" s="65">
        <f>SUM(venta_a_mes1254[[#This Row],[IMPORTE NETO]:[EXENTO]])</f>
        <v>0</v>
      </c>
      <c r="M427" s="59"/>
    </row>
    <row r="428" spans="2:13" x14ac:dyDescent="0.25">
      <c r="B428" s="108"/>
      <c r="C428" s="41"/>
      <c r="D428" s="110"/>
      <c r="E428" s="111"/>
      <c r="F428" s="112"/>
      <c r="G428" s="98" t="str">
        <f>IFERROR(IF(venta_a_mes1254[[#This Row],[CUIT]]="","-",VLOOKUP(venta_a_mes1254[[#This Row],[CUIT]],Lista_CUIT[#All],2,0)),"CUIT NO CARGADO")</f>
        <v>-</v>
      </c>
      <c r="H428" s="99"/>
      <c r="I428" s="100">
        <f>venta_a_mes1254[[#This Row],[IMPORTE NETO]]*0.21</f>
        <v>0</v>
      </c>
      <c r="J428" s="65"/>
      <c r="K428" s="65"/>
      <c r="L428" s="65">
        <f>SUM(venta_a_mes1254[[#This Row],[IMPORTE NETO]:[EXENTO]])</f>
        <v>0</v>
      </c>
      <c r="M428" s="59"/>
    </row>
    <row r="429" spans="2:13" x14ac:dyDescent="0.25">
      <c r="B429" s="108"/>
      <c r="C429" s="41"/>
      <c r="D429" s="110"/>
      <c r="E429" s="111"/>
      <c r="F429" s="112"/>
      <c r="G429" s="98" t="str">
        <f>IFERROR(IF(venta_a_mes1254[[#This Row],[CUIT]]="","-",VLOOKUP(venta_a_mes1254[[#This Row],[CUIT]],Lista_CUIT[#All],2,0)),"CUIT NO CARGADO")</f>
        <v>-</v>
      </c>
      <c r="H429" s="99"/>
      <c r="I429" s="100">
        <f>venta_a_mes1254[[#This Row],[IMPORTE NETO]]*0.21</f>
        <v>0</v>
      </c>
      <c r="J429" s="65"/>
      <c r="K429" s="65"/>
      <c r="L429" s="65">
        <f>SUM(venta_a_mes1254[[#This Row],[IMPORTE NETO]:[EXENTO]])</f>
        <v>0</v>
      </c>
      <c r="M429" s="59"/>
    </row>
    <row r="430" spans="2:13" x14ac:dyDescent="0.25">
      <c r="B430" s="108"/>
      <c r="C430" s="41"/>
      <c r="D430" s="110"/>
      <c r="E430" s="111"/>
      <c r="F430" s="112"/>
      <c r="G430" s="98" t="str">
        <f>IFERROR(IF(venta_a_mes1254[[#This Row],[CUIT]]="","-",VLOOKUP(venta_a_mes1254[[#This Row],[CUIT]],Lista_CUIT[#All],2,0)),"CUIT NO CARGADO")</f>
        <v>-</v>
      </c>
      <c r="H430" s="99"/>
      <c r="I430" s="100">
        <f>venta_a_mes1254[[#This Row],[IMPORTE NETO]]*0.21</f>
        <v>0</v>
      </c>
      <c r="J430" s="65"/>
      <c r="K430" s="65"/>
      <c r="L430" s="65">
        <f>SUM(venta_a_mes1254[[#This Row],[IMPORTE NETO]:[EXENTO]])</f>
        <v>0</v>
      </c>
      <c r="M430" s="59"/>
    </row>
    <row r="431" spans="2:13" x14ac:dyDescent="0.25">
      <c r="B431" s="108"/>
      <c r="C431" s="41"/>
      <c r="D431" s="110"/>
      <c r="E431" s="111"/>
      <c r="F431" s="112"/>
      <c r="G431" s="98" t="str">
        <f>IFERROR(IF(venta_a_mes1254[[#This Row],[CUIT]]="","-",VLOOKUP(venta_a_mes1254[[#This Row],[CUIT]],Lista_CUIT[#All],2,0)),"CUIT NO CARGADO")</f>
        <v>-</v>
      </c>
      <c r="H431" s="99"/>
      <c r="I431" s="100">
        <f>venta_a_mes1254[[#This Row],[IMPORTE NETO]]*0.21</f>
        <v>0</v>
      </c>
      <c r="J431" s="65"/>
      <c r="K431" s="65"/>
      <c r="L431" s="65">
        <f>SUM(venta_a_mes1254[[#This Row],[IMPORTE NETO]:[EXENTO]])</f>
        <v>0</v>
      </c>
      <c r="M431" s="59"/>
    </row>
    <row r="432" spans="2:13" x14ac:dyDescent="0.25">
      <c r="B432" s="108"/>
      <c r="C432" s="41"/>
      <c r="D432" s="110"/>
      <c r="E432" s="111"/>
      <c r="F432" s="112"/>
      <c r="G432" s="98" t="str">
        <f>IFERROR(IF(venta_a_mes1254[[#This Row],[CUIT]]="","-",VLOOKUP(venta_a_mes1254[[#This Row],[CUIT]],Lista_CUIT[#All],2,0)),"CUIT NO CARGADO")</f>
        <v>-</v>
      </c>
      <c r="H432" s="99"/>
      <c r="I432" s="100">
        <f>venta_a_mes1254[[#This Row],[IMPORTE NETO]]*0.21</f>
        <v>0</v>
      </c>
      <c r="J432" s="65"/>
      <c r="K432" s="65"/>
      <c r="L432" s="65">
        <f>SUM(venta_a_mes1254[[#This Row],[IMPORTE NETO]:[EXENTO]])</f>
        <v>0</v>
      </c>
      <c r="M432" s="59"/>
    </row>
    <row r="433" spans="2:13" x14ac:dyDescent="0.25">
      <c r="B433" s="108"/>
      <c r="C433" s="41"/>
      <c r="D433" s="110"/>
      <c r="E433" s="111"/>
      <c r="F433" s="112"/>
      <c r="G433" s="98" t="str">
        <f>IFERROR(IF(venta_a_mes1254[[#This Row],[CUIT]]="","-",VLOOKUP(venta_a_mes1254[[#This Row],[CUIT]],Lista_CUIT[#All],2,0)),"CUIT NO CARGADO")</f>
        <v>-</v>
      </c>
      <c r="H433" s="99"/>
      <c r="I433" s="100">
        <f>venta_a_mes1254[[#This Row],[IMPORTE NETO]]*0.21</f>
        <v>0</v>
      </c>
      <c r="J433" s="65"/>
      <c r="K433" s="65"/>
      <c r="L433" s="65">
        <f>SUM(venta_a_mes1254[[#This Row],[IMPORTE NETO]:[EXENTO]])</f>
        <v>0</v>
      </c>
      <c r="M433" s="59"/>
    </row>
    <row r="434" spans="2:13" x14ac:dyDescent="0.25">
      <c r="B434" s="108"/>
      <c r="C434" s="41"/>
      <c r="D434" s="110"/>
      <c r="E434" s="111"/>
      <c r="F434" s="112"/>
      <c r="G434" s="98" t="str">
        <f>IFERROR(IF(venta_a_mes1254[[#This Row],[CUIT]]="","-",VLOOKUP(venta_a_mes1254[[#This Row],[CUIT]],Lista_CUIT[#All],2,0)),"CUIT NO CARGADO")</f>
        <v>-</v>
      </c>
      <c r="H434" s="99"/>
      <c r="I434" s="100">
        <f>venta_a_mes1254[[#This Row],[IMPORTE NETO]]*0.21</f>
        <v>0</v>
      </c>
      <c r="J434" s="65"/>
      <c r="K434" s="65"/>
      <c r="L434" s="65">
        <f>SUM(venta_a_mes1254[[#This Row],[IMPORTE NETO]:[EXENTO]])</f>
        <v>0</v>
      </c>
      <c r="M434" s="59"/>
    </row>
    <row r="435" spans="2:13" x14ac:dyDescent="0.25">
      <c r="B435" s="108"/>
      <c r="C435" s="41"/>
      <c r="D435" s="110"/>
      <c r="E435" s="111"/>
      <c r="F435" s="112"/>
      <c r="G435" s="98" t="str">
        <f>IFERROR(IF(venta_a_mes1254[[#This Row],[CUIT]]="","-",VLOOKUP(venta_a_mes1254[[#This Row],[CUIT]],Lista_CUIT[#All],2,0)),"CUIT NO CARGADO")</f>
        <v>-</v>
      </c>
      <c r="H435" s="99"/>
      <c r="I435" s="100">
        <f>venta_a_mes1254[[#This Row],[IMPORTE NETO]]*0.21</f>
        <v>0</v>
      </c>
      <c r="J435" s="65"/>
      <c r="K435" s="65"/>
      <c r="L435" s="65">
        <f>SUM(venta_a_mes1254[[#This Row],[IMPORTE NETO]:[EXENTO]])</f>
        <v>0</v>
      </c>
      <c r="M435" s="59"/>
    </row>
    <row r="436" spans="2:13" x14ac:dyDescent="0.25">
      <c r="B436" s="108"/>
      <c r="C436" s="41"/>
      <c r="D436" s="110"/>
      <c r="E436" s="111"/>
      <c r="F436" s="112"/>
      <c r="G436" s="98" t="str">
        <f>IFERROR(IF(venta_a_mes1254[[#This Row],[CUIT]]="","-",VLOOKUP(venta_a_mes1254[[#This Row],[CUIT]],Lista_CUIT[#All],2,0)),"CUIT NO CARGADO")</f>
        <v>-</v>
      </c>
      <c r="H436" s="99"/>
      <c r="I436" s="100">
        <f>venta_a_mes1254[[#This Row],[IMPORTE NETO]]*0.21</f>
        <v>0</v>
      </c>
      <c r="J436" s="65"/>
      <c r="K436" s="65"/>
      <c r="L436" s="65">
        <f>SUM(venta_a_mes1254[[#This Row],[IMPORTE NETO]:[EXENTO]])</f>
        <v>0</v>
      </c>
      <c r="M436" s="59"/>
    </row>
    <row r="437" spans="2:13" x14ac:dyDescent="0.25">
      <c r="B437" s="108"/>
      <c r="C437" s="41"/>
      <c r="D437" s="110"/>
      <c r="E437" s="111"/>
      <c r="F437" s="112"/>
      <c r="G437" s="98" t="str">
        <f>IFERROR(IF(venta_a_mes1254[[#This Row],[CUIT]]="","-",VLOOKUP(venta_a_mes1254[[#This Row],[CUIT]],Lista_CUIT[#All],2,0)),"CUIT NO CARGADO")</f>
        <v>-</v>
      </c>
      <c r="H437" s="99"/>
      <c r="I437" s="100">
        <f>venta_a_mes1254[[#This Row],[IMPORTE NETO]]*0.21</f>
        <v>0</v>
      </c>
      <c r="J437" s="65"/>
      <c r="K437" s="65"/>
      <c r="L437" s="65">
        <f>SUM(venta_a_mes1254[[#This Row],[IMPORTE NETO]:[EXENTO]])</f>
        <v>0</v>
      </c>
      <c r="M437" s="59"/>
    </row>
    <row r="438" spans="2:13" x14ac:dyDescent="0.25">
      <c r="B438" s="108"/>
      <c r="C438" s="41"/>
      <c r="D438" s="110"/>
      <c r="E438" s="111"/>
      <c r="F438" s="112"/>
      <c r="G438" s="98" t="str">
        <f>IFERROR(IF(venta_a_mes1254[[#This Row],[CUIT]]="","-",VLOOKUP(venta_a_mes1254[[#This Row],[CUIT]],Lista_CUIT[#All],2,0)),"CUIT NO CARGADO")</f>
        <v>-</v>
      </c>
      <c r="H438" s="99"/>
      <c r="I438" s="100">
        <f>venta_a_mes1254[[#This Row],[IMPORTE NETO]]*0.21</f>
        <v>0</v>
      </c>
      <c r="J438" s="65"/>
      <c r="K438" s="65"/>
      <c r="L438" s="65">
        <f>SUM(venta_a_mes1254[[#This Row],[IMPORTE NETO]:[EXENTO]])</f>
        <v>0</v>
      </c>
      <c r="M438" s="59"/>
    </row>
    <row r="439" spans="2:13" x14ac:dyDescent="0.25">
      <c r="B439" s="108"/>
      <c r="C439" s="41"/>
      <c r="D439" s="110"/>
      <c r="E439" s="111"/>
      <c r="F439" s="112"/>
      <c r="G439" s="98" t="str">
        <f>IFERROR(IF(venta_a_mes1254[[#This Row],[CUIT]]="","-",VLOOKUP(venta_a_mes1254[[#This Row],[CUIT]],Lista_CUIT[#All],2,0)),"CUIT NO CARGADO")</f>
        <v>-</v>
      </c>
      <c r="H439" s="99"/>
      <c r="I439" s="100">
        <f>venta_a_mes1254[[#This Row],[IMPORTE NETO]]*0.21</f>
        <v>0</v>
      </c>
      <c r="J439" s="65"/>
      <c r="K439" s="65"/>
      <c r="L439" s="65">
        <f>SUM(venta_a_mes1254[[#This Row],[IMPORTE NETO]:[EXENTO]])</f>
        <v>0</v>
      </c>
      <c r="M439" s="59"/>
    </row>
    <row r="440" spans="2:13" x14ac:dyDescent="0.25">
      <c r="B440" s="108"/>
      <c r="C440" s="41"/>
      <c r="D440" s="110"/>
      <c r="E440" s="111"/>
      <c r="F440" s="112"/>
      <c r="G440" s="98" t="str">
        <f>IFERROR(IF(venta_a_mes1254[[#This Row],[CUIT]]="","-",VLOOKUP(venta_a_mes1254[[#This Row],[CUIT]],Lista_CUIT[#All],2,0)),"CUIT NO CARGADO")</f>
        <v>-</v>
      </c>
      <c r="H440" s="99"/>
      <c r="I440" s="100">
        <f>venta_a_mes1254[[#This Row],[IMPORTE NETO]]*0.21</f>
        <v>0</v>
      </c>
      <c r="J440" s="65"/>
      <c r="K440" s="65"/>
      <c r="L440" s="65">
        <f>SUM(venta_a_mes1254[[#This Row],[IMPORTE NETO]:[EXENTO]])</f>
        <v>0</v>
      </c>
      <c r="M440" s="59"/>
    </row>
    <row r="441" spans="2:13" x14ac:dyDescent="0.25">
      <c r="B441" s="108"/>
      <c r="C441" s="41"/>
      <c r="D441" s="110"/>
      <c r="E441" s="111"/>
      <c r="F441" s="112"/>
      <c r="G441" s="98" t="str">
        <f>IFERROR(IF(venta_a_mes1254[[#This Row],[CUIT]]="","-",VLOOKUP(venta_a_mes1254[[#This Row],[CUIT]],Lista_CUIT[#All],2,0)),"CUIT NO CARGADO")</f>
        <v>-</v>
      </c>
      <c r="H441" s="99"/>
      <c r="I441" s="100">
        <f>venta_a_mes1254[[#This Row],[IMPORTE NETO]]*0.21</f>
        <v>0</v>
      </c>
      <c r="J441" s="65"/>
      <c r="K441" s="65"/>
      <c r="L441" s="65">
        <f>SUM(venta_a_mes1254[[#This Row],[IMPORTE NETO]:[EXENTO]])</f>
        <v>0</v>
      </c>
      <c r="M441" s="59"/>
    </row>
    <row r="442" spans="2:13" x14ac:dyDescent="0.25">
      <c r="B442" s="108"/>
      <c r="C442" s="41"/>
      <c r="D442" s="110"/>
      <c r="E442" s="111"/>
      <c r="F442" s="112"/>
      <c r="G442" s="98" t="str">
        <f>IFERROR(IF(venta_a_mes1254[[#This Row],[CUIT]]="","-",VLOOKUP(venta_a_mes1254[[#This Row],[CUIT]],Lista_CUIT[#All],2,0)),"CUIT NO CARGADO")</f>
        <v>-</v>
      </c>
      <c r="H442" s="99"/>
      <c r="I442" s="100">
        <f>venta_a_mes1254[[#This Row],[IMPORTE NETO]]*0.21</f>
        <v>0</v>
      </c>
      <c r="J442" s="65"/>
      <c r="K442" s="65"/>
      <c r="L442" s="65">
        <f>SUM(venta_a_mes1254[[#This Row],[IMPORTE NETO]:[EXENTO]])</f>
        <v>0</v>
      </c>
      <c r="M442" s="59"/>
    </row>
    <row r="443" spans="2:13" x14ac:dyDescent="0.25">
      <c r="B443" s="108"/>
      <c r="C443" s="41"/>
      <c r="D443" s="110"/>
      <c r="E443" s="111"/>
      <c r="F443" s="112"/>
      <c r="G443" s="98" t="str">
        <f>IFERROR(IF(venta_a_mes1254[[#This Row],[CUIT]]="","-",VLOOKUP(venta_a_mes1254[[#This Row],[CUIT]],Lista_CUIT[#All],2,0)),"CUIT NO CARGADO")</f>
        <v>-</v>
      </c>
      <c r="H443" s="99"/>
      <c r="I443" s="100">
        <f>venta_a_mes1254[[#This Row],[IMPORTE NETO]]*0.21</f>
        <v>0</v>
      </c>
      <c r="J443" s="65"/>
      <c r="K443" s="65"/>
      <c r="L443" s="65">
        <f>SUM(venta_a_mes1254[[#This Row],[IMPORTE NETO]:[EXENTO]])</f>
        <v>0</v>
      </c>
      <c r="M443" s="59"/>
    </row>
    <row r="444" spans="2:13" x14ac:dyDescent="0.25">
      <c r="B444" s="108"/>
      <c r="C444" s="41"/>
      <c r="D444" s="110"/>
      <c r="E444" s="111"/>
      <c r="F444" s="112"/>
      <c r="G444" s="98" t="str">
        <f>IFERROR(IF(venta_a_mes1254[[#This Row],[CUIT]]="","-",VLOOKUP(venta_a_mes1254[[#This Row],[CUIT]],Lista_CUIT[#All],2,0)),"CUIT NO CARGADO")</f>
        <v>-</v>
      </c>
      <c r="H444" s="99"/>
      <c r="I444" s="100">
        <f>venta_a_mes1254[[#This Row],[IMPORTE NETO]]*0.21</f>
        <v>0</v>
      </c>
      <c r="J444" s="65"/>
      <c r="K444" s="65"/>
      <c r="L444" s="65">
        <f>SUM(venta_a_mes1254[[#This Row],[IMPORTE NETO]:[EXENTO]])</f>
        <v>0</v>
      </c>
      <c r="M444" s="59"/>
    </row>
    <row r="445" spans="2:13" x14ac:dyDescent="0.25">
      <c r="B445" s="108"/>
      <c r="C445" s="41"/>
      <c r="D445" s="110"/>
      <c r="E445" s="111"/>
      <c r="F445" s="112"/>
      <c r="G445" s="98" t="str">
        <f>IFERROR(IF(venta_a_mes1254[[#This Row],[CUIT]]="","-",VLOOKUP(venta_a_mes1254[[#This Row],[CUIT]],Lista_CUIT[#All],2,0)),"CUIT NO CARGADO")</f>
        <v>-</v>
      </c>
      <c r="H445" s="99"/>
      <c r="I445" s="100">
        <f>venta_a_mes1254[[#This Row],[IMPORTE NETO]]*0.21</f>
        <v>0</v>
      </c>
      <c r="J445" s="65"/>
      <c r="K445" s="65"/>
      <c r="L445" s="65">
        <f>SUM(venta_a_mes1254[[#This Row],[IMPORTE NETO]:[EXENTO]])</f>
        <v>0</v>
      </c>
      <c r="M445" s="59"/>
    </row>
    <row r="446" spans="2:13" x14ac:dyDescent="0.25">
      <c r="B446" s="108"/>
      <c r="C446" s="41"/>
      <c r="D446" s="110"/>
      <c r="E446" s="111"/>
      <c r="F446" s="112"/>
      <c r="G446" s="98" t="str">
        <f>IFERROR(IF(venta_a_mes1254[[#This Row],[CUIT]]="","-",VLOOKUP(venta_a_mes1254[[#This Row],[CUIT]],Lista_CUIT[#All],2,0)),"CUIT NO CARGADO")</f>
        <v>-</v>
      </c>
      <c r="H446" s="99"/>
      <c r="I446" s="100">
        <f>venta_a_mes1254[[#This Row],[IMPORTE NETO]]*0.21</f>
        <v>0</v>
      </c>
      <c r="J446" s="65"/>
      <c r="K446" s="65"/>
      <c r="L446" s="65">
        <f>SUM(venta_a_mes1254[[#This Row],[IMPORTE NETO]:[EXENTO]])</f>
        <v>0</v>
      </c>
      <c r="M446" s="59"/>
    </row>
    <row r="447" spans="2:13" x14ac:dyDescent="0.25">
      <c r="B447" s="108"/>
      <c r="C447" s="41"/>
      <c r="D447" s="110"/>
      <c r="E447" s="111"/>
      <c r="F447" s="112"/>
      <c r="G447" s="98" t="str">
        <f>IFERROR(IF(venta_a_mes1254[[#This Row],[CUIT]]="","-",VLOOKUP(venta_a_mes1254[[#This Row],[CUIT]],Lista_CUIT[#All],2,0)),"CUIT NO CARGADO")</f>
        <v>-</v>
      </c>
      <c r="H447" s="99"/>
      <c r="I447" s="100">
        <f>venta_a_mes1254[[#This Row],[IMPORTE NETO]]*0.21</f>
        <v>0</v>
      </c>
      <c r="J447" s="65"/>
      <c r="K447" s="65"/>
      <c r="L447" s="65">
        <f>SUM(venta_a_mes1254[[#This Row],[IMPORTE NETO]:[EXENTO]])</f>
        <v>0</v>
      </c>
      <c r="M447" s="59"/>
    </row>
    <row r="448" spans="2:13" x14ac:dyDescent="0.25">
      <c r="B448" s="108"/>
      <c r="C448" s="41"/>
      <c r="D448" s="110"/>
      <c r="E448" s="111"/>
      <c r="F448" s="112"/>
      <c r="G448" s="98" t="str">
        <f>IFERROR(IF(venta_a_mes1254[[#This Row],[CUIT]]="","-",VLOOKUP(venta_a_mes1254[[#This Row],[CUIT]],Lista_CUIT[#All],2,0)),"CUIT NO CARGADO")</f>
        <v>-</v>
      </c>
      <c r="H448" s="99"/>
      <c r="I448" s="100">
        <f>venta_a_mes1254[[#This Row],[IMPORTE NETO]]*0.21</f>
        <v>0</v>
      </c>
      <c r="J448" s="65"/>
      <c r="K448" s="65"/>
      <c r="L448" s="65">
        <f>SUM(venta_a_mes1254[[#This Row],[IMPORTE NETO]:[EXENTO]])</f>
        <v>0</v>
      </c>
      <c r="M448" s="59"/>
    </row>
    <row r="449" spans="2:13" x14ac:dyDescent="0.25">
      <c r="B449" s="108"/>
      <c r="C449" s="41"/>
      <c r="D449" s="110"/>
      <c r="E449" s="111"/>
      <c r="F449" s="112"/>
      <c r="G449" s="98" t="str">
        <f>IFERROR(IF(venta_a_mes1254[[#This Row],[CUIT]]="","-",VLOOKUP(venta_a_mes1254[[#This Row],[CUIT]],Lista_CUIT[#All],2,0)),"CUIT NO CARGADO")</f>
        <v>-</v>
      </c>
      <c r="H449" s="99"/>
      <c r="I449" s="100">
        <f>venta_a_mes1254[[#This Row],[IMPORTE NETO]]*0.21</f>
        <v>0</v>
      </c>
      <c r="J449" s="65"/>
      <c r="K449" s="65"/>
      <c r="L449" s="65">
        <f>SUM(venta_a_mes1254[[#This Row],[IMPORTE NETO]:[EXENTO]])</f>
        <v>0</v>
      </c>
      <c r="M449" s="59"/>
    </row>
    <row r="450" spans="2:13" x14ac:dyDescent="0.25">
      <c r="B450" s="108"/>
      <c r="C450" s="41"/>
      <c r="D450" s="110"/>
      <c r="E450" s="111"/>
      <c r="F450" s="112"/>
      <c r="G450" s="98" t="str">
        <f>IFERROR(IF(venta_a_mes1254[[#This Row],[CUIT]]="","-",VLOOKUP(venta_a_mes1254[[#This Row],[CUIT]],Lista_CUIT[#All],2,0)),"CUIT NO CARGADO")</f>
        <v>-</v>
      </c>
      <c r="H450" s="99"/>
      <c r="I450" s="100">
        <f>venta_a_mes1254[[#This Row],[IMPORTE NETO]]*0.21</f>
        <v>0</v>
      </c>
      <c r="J450" s="65"/>
      <c r="K450" s="65"/>
      <c r="L450" s="65">
        <f>SUM(venta_a_mes1254[[#This Row],[IMPORTE NETO]:[EXENTO]])</f>
        <v>0</v>
      </c>
      <c r="M450" s="59"/>
    </row>
    <row r="451" spans="2:13" x14ac:dyDescent="0.25">
      <c r="B451" s="108"/>
      <c r="C451" s="41"/>
      <c r="D451" s="110"/>
      <c r="E451" s="111"/>
      <c r="F451" s="112"/>
      <c r="G451" s="98" t="str">
        <f>IFERROR(IF(venta_a_mes1254[[#This Row],[CUIT]]="","-",VLOOKUP(venta_a_mes1254[[#This Row],[CUIT]],Lista_CUIT[#All],2,0)),"CUIT NO CARGADO")</f>
        <v>-</v>
      </c>
      <c r="H451" s="99"/>
      <c r="I451" s="100">
        <f>venta_a_mes1254[[#This Row],[IMPORTE NETO]]*0.21</f>
        <v>0</v>
      </c>
      <c r="J451" s="65"/>
      <c r="K451" s="65"/>
      <c r="L451" s="65">
        <f>SUM(venta_a_mes1254[[#This Row],[IMPORTE NETO]:[EXENTO]])</f>
        <v>0</v>
      </c>
      <c r="M451" s="59"/>
    </row>
    <row r="452" spans="2:13" x14ac:dyDescent="0.25">
      <c r="B452" s="108"/>
      <c r="C452" s="41"/>
      <c r="D452" s="110"/>
      <c r="E452" s="111"/>
      <c r="F452" s="112"/>
      <c r="G452" s="98" t="str">
        <f>IFERROR(IF(venta_a_mes1254[[#This Row],[CUIT]]="","-",VLOOKUP(venta_a_mes1254[[#This Row],[CUIT]],Lista_CUIT[#All],2,0)),"CUIT NO CARGADO")</f>
        <v>-</v>
      </c>
      <c r="H452" s="99"/>
      <c r="I452" s="100">
        <f>venta_a_mes1254[[#This Row],[IMPORTE NETO]]*0.21</f>
        <v>0</v>
      </c>
      <c r="J452" s="65"/>
      <c r="K452" s="65"/>
      <c r="L452" s="65">
        <f>SUM(venta_a_mes1254[[#This Row],[IMPORTE NETO]:[EXENTO]])</f>
        <v>0</v>
      </c>
      <c r="M452" s="59"/>
    </row>
    <row r="453" spans="2:13" x14ac:dyDescent="0.25">
      <c r="B453" s="108"/>
      <c r="C453" s="41"/>
      <c r="D453" s="110"/>
      <c r="E453" s="111"/>
      <c r="F453" s="112"/>
      <c r="G453" s="98" t="str">
        <f>IFERROR(IF(venta_a_mes1254[[#This Row],[CUIT]]="","-",VLOOKUP(venta_a_mes1254[[#This Row],[CUIT]],Lista_CUIT[#All],2,0)),"CUIT NO CARGADO")</f>
        <v>-</v>
      </c>
      <c r="H453" s="99"/>
      <c r="I453" s="100">
        <f>venta_a_mes1254[[#This Row],[IMPORTE NETO]]*0.21</f>
        <v>0</v>
      </c>
      <c r="J453" s="65"/>
      <c r="K453" s="65"/>
      <c r="L453" s="65">
        <f>SUM(venta_a_mes1254[[#This Row],[IMPORTE NETO]:[EXENTO]])</f>
        <v>0</v>
      </c>
      <c r="M453" s="59"/>
    </row>
    <row r="454" spans="2:13" x14ac:dyDescent="0.25">
      <c r="B454" s="108"/>
      <c r="C454" s="41"/>
      <c r="D454" s="110"/>
      <c r="E454" s="111"/>
      <c r="F454" s="112"/>
      <c r="G454" s="98" t="str">
        <f>IFERROR(IF(venta_a_mes1254[[#This Row],[CUIT]]="","-",VLOOKUP(venta_a_mes1254[[#This Row],[CUIT]],Lista_CUIT[#All],2,0)),"CUIT NO CARGADO")</f>
        <v>-</v>
      </c>
      <c r="H454" s="99"/>
      <c r="I454" s="100">
        <f>venta_a_mes1254[[#This Row],[IMPORTE NETO]]*0.21</f>
        <v>0</v>
      </c>
      <c r="J454" s="65"/>
      <c r="K454" s="65"/>
      <c r="L454" s="65">
        <f>SUM(venta_a_mes1254[[#This Row],[IMPORTE NETO]:[EXENTO]])</f>
        <v>0</v>
      </c>
      <c r="M454" s="59"/>
    </row>
    <row r="455" spans="2:13" x14ac:dyDescent="0.25">
      <c r="B455" s="108"/>
      <c r="C455" s="41"/>
      <c r="D455" s="110"/>
      <c r="E455" s="111"/>
      <c r="F455" s="112"/>
      <c r="G455" s="98" t="str">
        <f>IFERROR(IF(venta_a_mes1254[[#This Row],[CUIT]]="","-",VLOOKUP(venta_a_mes1254[[#This Row],[CUIT]],Lista_CUIT[#All],2,0)),"CUIT NO CARGADO")</f>
        <v>-</v>
      </c>
      <c r="H455" s="99"/>
      <c r="I455" s="100">
        <f>venta_a_mes1254[[#This Row],[IMPORTE NETO]]*0.21</f>
        <v>0</v>
      </c>
      <c r="J455" s="65"/>
      <c r="K455" s="65"/>
      <c r="L455" s="65">
        <f>SUM(venta_a_mes1254[[#This Row],[IMPORTE NETO]:[EXENTO]])</f>
        <v>0</v>
      </c>
      <c r="M455" s="59"/>
    </row>
    <row r="456" spans="2:13" x14ac:dyDescent="0.25">
      <c r="B456" s="108"/>
      <c r="C456" s="41"/>
      <c r="D456" s="110"/>
      <c r="E456" s="111"/>
      <c r="F456" s="112"/>
      <c r="G456" s="98" t="str">
        <f>IFERROR(IF(venta_a_mes1254[[#This Row],[CUIT]]="","-",VLOOKUP(venta_a_mes1254[[#This Row],[CUIT]],Lista_CUIT[#All],2,0)),"CUIT NO CARGADO")</f>
        <v>-</v>
      </c>
      <c r="H456" s="99"/>
      <c r="I456" s="100">
        <f>venta_a_mes1254[[#This Row],[IMPORTE NETO]]*0.21</f>
        <v>0</v>
      </c>
      <c r="J456" s="65"/>
      <c r="K456" s="65"/>
      <c r="L456" s="65">
        <f>SUM(venta_a_mes1254[[#This Row],[IMPORTE NETO]:[EXENTO]])</f>
        <v>0</v>
      </c>
      <c r="M456" s="59"/>
    </row>
    <row r="457" spans="2:13" x14ac:dyDescent="0.25">
      <c r="B457" s="108"/>
      <c r="C457" s="41"/>
      <c r="D457" s="110"/>
      <c r="E457" s="111"/>
      <c r="F457" s="112"/>
      <c r="G457" s="98" t="str">
        <f>IFERROR(IF(venta_a_mes1254[[#This Row],[CUIT]]="","-",VLOOKUP(venta_a_mes1254[[#This Row],[CUIT]],Lista_CUIT[#All],2,0)),"CUIT NO CARGADO")</f>
        <v>-</v>
      </c>
      <c r="H457" s="99"/>
      <c r="I457" s="100">
        <f>venta_a_mes1254[[#This Row],[IMPORTE NETO]]*0.21</f>
        <v>0</v>
      </c>
      <c r="J457" s="65"/>
      <c r="K457" s="65"/>
      <c r="L457" s="65">
        <f>SUM(venta_a_mes1254[[#This Row],[IMPORTE NETO]:[EXENTO]])</f>
        <v>0</v>
      </c>
      <c r="M457" s="59"/>
    </row>
    <row r="458" spans="2:13" x14ac:dyDescent="0.25">
      <c r="B458" s="108"/>
      <c r="C458" s="41"/>
      <c r="D458" s="110"/>
      <c r="E458" s="111"/>
      <c r="F458" s="112"/>
      <c r="G458" s="98" t="str">
        <f>IFERROR(IF(venta_a_mes1254[[#This Row],[CUIT]]="","-",VLOOKUP(venta_a_mes1254[[#This Row],[CUIT]],Lista_CUIT[#All],2,0)),"CUIT NO CARGADO")</f>
        <v>-</v>
      </c>
      <c r="H458" s="99"/>
      <c r="I458" s="100">
        <f>venta_a_mes1254[[#This Row],[IMPORTE NETO]]*0.21</f>
        <v>0</v>
      </c>
      <c r="J458" s="65"/>
      <c r="K458" s="65"/>
      <c r="L458" s="65">
        <f>SUM(venta_a_mes1254[[#This Row],[IMPORTE NETO]:[EXENTO]])</f>
        <v>0</v>
      </c>
      <c r="M458" s="59"/>
    </row>
    <row r="459" spans="2:13" x14ac:dyDescent="0.25">
      <c r="B459" s="108"/>
      <c r="C459" s="41"/>
      <c r="D459" s="110"/>
      <c r="E459" s="111"/>
      <c r="F459" s="112"/>
      <c r="G459" s="98" t="str">
        <f>IFERROR(IF(venta_a_mes1254[[#This Row],[CUIT]]="","-",VLOOKUP(venta_a_mes1254[[#This Row],[CUIT]],Lista_CUIT[#All],2,0)),"CUIT NO CARGADO")</f>
        <v>-</v>
      </c>
      <c r="H459" s="99"/>
      <c r="I459" s="100">
        <f>venta_a_mes1254[[#This Row],[IMPORTE NETO]]*0.21</f>
        <v>0</v>
      </c>
      <c r="J459" s="65"/>
      <c r="K459" s="65"/>
      <c r="L459" s="65">
        <f>SUM(venta_a_mes1254[[#This Row],[IMPORTE NETO]:[EXENTO]])</f>
        <v>0</v>
      </c>
      <c r="M459" s="59"/>
    </row>
    <row r="460" spans="2:13" x14ac:dyDescent="0.25">
      <c r="B460" s="108"/>
      <c r="C460" s="41"/>
      <c r="D460" s="110"/>
      <c r="E460" s="111"/>
      <c r="F460" s="112"/>
      <c r="G460" s="98" t="str">
        <f>IFERROR(IF(venta_a_mes1254[[#This Row],[CUIT]]="","-",VLOOKUP(venta_a_mes1254[[#This Row],[CUIT]],Lista_CUIT[#All],2,0)),"CUIT NO CARGADO")</f>
        <v>-</v>
      </c>
      <c r="H460" s="99"/>
      <c r="I460" s="100">
        <f>venta_a_mes1254[[#This Row],[IMPORTE NETO]]*0.21</f>
        <v>0</v>
      </c>
      <c r="J460" s="65"/>
      <c r="K460" s="65"/>
      <c r="L460" s="65">
        <f>SUM(venta_a_mes1254[[#This Row],[IMPORTE NETO]:[EXENTO]])</f>
        <v>0</v>
      </c>
      <c r="M460" s="59"/>
    </row>
    <row r="461" spans="2:13" x14ac:dyDescent="0.25">
      <c r="B461" s="108"/>
      <c r="C461" s="41"/>
      <c r="D461" s="110"/>
      <c r="E461" s="111"/>
      <c r="F461" s="112"/>
      <c r="G461" s="98" t="str">
        <f>IFERROR(IF(venta_a_mes1254[[#This Row],[CUIT]]="","-",VLOOKUP(venta_a_mes1254[[#This Row],[CUIT]],Lista_CUIT[#All],2,0)),"CUIT NO CARGADO")</f>
        <v>-</v>
      </c>
      <c r="H461" s="99"/>
      <c r="I461" s="100">
        <f>venta_a_mes1254[[#This Row],[IMPORTE NETO]]*0.21</f>
        <v>0</v>
      </c>
      <c r="J461" s="65"/>
      <c r="K461" s="65"/>
      <c r="L461" s="65">
        <f>SUM(venta_a_mes1254[[#This Row],[IMPORTE NETO]:[EXENTO]])</f>
        <v>0</v>
      </c>
      <c r="M461" s="59"/>
    </row>
    <row r="462" spans="2:13" x14ac:dyDescent="0.25">
      <c r="B462" s="108"/>
      <c r="C462" s="41"/>
      <c r="D462" s="110"/>
      <c r="E462" s="111"/>
      <c r="F462" s="112"/>
      <c r="G462" s="98" t="str">
        <f>IFERROR(IF(venta_a_mes1254[[#This Row],[CUIT]]="","-",VLOOKUP(venta_a_mes1254[[#This Row],[CUIT]],Lista_CUIT[#All],2,0)),"CUIT NO CARGADO")</f>
        <v>-</v>
      </c>
      <c r="H462" s="99"/>
      <c r="I462" s="100">
        <f>venta_a_mes1254[[#This Row],[IMPORTE NETO]]*0.21</f>
        <v>0</v>
      </c>
      <c r="J462" s="65"/>
      <c r="K462" s="65"/>
      <c r="L462" s="65">
        <f>SUM(venta_a_mes1254[[#This Row],[IMPORTE NETO]:[EXENTO]])</f>
        <v>0</v>
      </c>
      <c r="M462" s="59"/>
    </row>
    <row r="463" spans="2:13" x14ac:dyDescent="0.25">
      <c r="B463" s="108"/>
      <c r="C463" s="41"/>
      <c r="D463" s="110"/>
      <c r="E463" s="111"/>
      <c r="F463" s="112"/>
      <c r="G463" s="98" t="str">
        <f>IFERROR(IF(venta_a_mes1254[[#This Row],[CUIT]]="","-",VLOOKUP(venta_a_mes1254[[#This Row],[CUIT]],Lista_CUIT[#All],2,0)),"CUIT NO CARGADO")</f>
        <v>-</v>
      </c>
      <c r="H463" s="99"/>
      <c r="I463" s="100">
        <f>venta_a_mes1254[[#This Row],[IMPORTE NETO]]*0.21</f>
        <v>0</v>
      </c>
      <c r="J463" s="65"/>
      <c r="K463" s="65"/>
      <c r="L463" s="65">
        <f>SUM(venta_a_mes1254[[#This Row],[IMPORTE NETO]:[EXENTO]])</f>
        <v>0</v>
      </c>
      <c r="M463" s="59"/>
    </row>
    <row r="464" spans="2:13" x14ac:dyDescent="0.25">
      <c r="B464" s="108"/>
      <c r="C464" s="41"/>
      <c r="D464" s="110"/>
      <c r="E464" s="111"/>
      <c r="F464" s="112"/>
      <c r="G464" s="98" t="str">
        <f>IFERROR(IF(venta_a_mes1254[[#This Row],[CUIT]]="","-",VLOOKUP(venta_a_mes1254[[#This Row],[CUIT]],Lista_CUIT[#All],2,0)),"CUIT NO CARGADO")</f>
        <v>-</v>
      </c>
      <c r="H464" s="99"/>
      <c r="I464" s="100">
        <f>venta_a_mes1254[[#This Row],[IMPORTE NETO]]*0.21</f>
        <v>0</v>
      </c>
      <c r="J464" s="65"/>
      <c r="K464" s="65"/>
      <c r="L464" s="65">
        <f>SUM(venta_a_mes1254[[#This Row],[IMPORTE NETO]:[EXENTO]])</f>
        <v>0</v>
      </c>
      <c r="M464" s="59"/>
    </row>
    <row r="465" spans="2:13" x14ac:dyDescent="0.25">
      <c r="B465" s="108"/>
      <c r="C465" s="41"/>
      <c r="D465" s="110"/>
      <c r="E465" s="111"/>
      <c r="F465" s="112"/>
      <c r="G465" s="98" t="str">
        <f>IFERROR(IF(venta_a_mes1254[[#This Row],[CUIT]]="","-",VLOOKUP(venta_a_mes1254[[#This Row],[CUIT]],Lista_CUIT[#All],2,0)),"CUIT NO CARGADO")</f>
        <v>-</v>
      </c>
      <c r="H465" s="99"/>
      <c r="I465" s="100">
        <f>venta_a_mes1254[[#This Row],[IMPORTE NETO]]*0.21</f>
        <v>0</v>
      </c>
      <c r="J465" s="65"/>
      <c r="K465" s="65"/>
      <c r="L465" s="65">
        <f>SUM(venta_a_mes1254[[#This Row],[IMPORTE NETO]:[EXENTO]])</f>
        <v>0</v>
      </c>
      <c r="M465" s="59"/>
    </row>
    <row r="466" spans="2:13" x14ac:dyDescent="0.25">
      <c r="B466" s="108"/>
      <c r="C466" s="41"/>
      <c r="D466" s="110"/>
      <c r="E466" s="111"/>
      <c r="F466" s="112"/>
      <c r="G466" s="98" t="str">
        <f>IFERROR(IF(venta_a_mes1254[[#This Row],[CUIT]]="","-",VLOOKUP(venta_a_mes1254[[#This Row],[CUIT]],Lista_CUIT[#All],2,0)),"CUIT NO CARGADO")</f>
        <v>-</v>
      </c>
      <c r="H466" s="99"/>
      <c r="I466" s="100">
        <f>venta_a_mes1254[[#This Row],[IMPORTE NETO]]*0.21</f>
        <v>0</v>
      </c>
      <c r="J466" s="65"/>
      <c r="K466" s="65"/>
      <c r="L466" s="65">
        <f>SUM(venta_a_mes1254[[#This Row],[IMPORTE NETO]:[EXENTO]])</f>
        <v>0</v>
      </c>
      <c r="M466" s="59"/>
    </row>
    <row r="467" spans="2:13" x14ac:dyDescent="0.25">
      <c r="B467" s="108"/>
      <c r="C467" s="41"/>
      <c r="D467" s="110"/>
      <c r="E467" s="111"/>
      <c r="F467" s="112"/>
      <c r="G467" s="98" t="str">
        <f>IFERROR(IF(venta_a_mes1254[[#This Row],[CUIT]]="","-",VLOOKUP(venta_a_mes1254[[#This Row],[CUIT]],Lista_CUIT[#All],2,0)),"CUIT NO CARGADO")</f>
        <v>-</v>
      </c>
      <c r="H467" s="99"/>
      <c r="I467" s="100">
        <f>venta_a_mes1254[[#This Row],[IMPORTE NETO]]*0.21</f>
        <v>0</v>
      </c>
      <c r="J467" s="65"/>
      <c r="K467" s="65"/>
      <c r="L467" s="65">
        <f>SUM(venta_a_mes1254[[#This Row],[IMPORTE NETO]:[EXENTO]])</f>
        <v>0</v>
      </c>
      <c r="M467" s="59"/>
    </row>
    <row r="468" spans="2:13" x14ac:dyDescent="0.25">
      <c r="B468" s="108"/>
      <c r="C468" s="41"/>
      <c r="D468" s="110"/>
      <c r="E468" s="111"/>
      <c r="F468" s="112"/>
      <c r="G468" s="98" t="str">
        <f>IFERROR(IF(venta_a_mes1254[[#This Row],[CUIT]]="","-",VLOOKUP(venta_a_mes1254[[#This Row],[CUIT]],Lista_CUIT[#All],2,0)),"CUIT NO CARGADO")</f>
        <v>-</v>
      </c>
      <c r="H468" s="99"/>
      <c r="I468" s="100">
        <f>venta_a_mes1254[[#This Row],[IMPORTE NETO]]*0.21</f>
        <v>0</v>
      </c>
      <c r="J468" s="65"/>
      <c r="K468" s="65"/>
      <c r="L468" s="65">
        <f>SUM(venta_a_mes1254[[#This Row],[IMPORTE NETO]:[EXENTO]])</f>
        <v>0</v>
      </c>
      <c r="M468" s="59"/>
    </row>
    <row r="469" spans="2:13" x14ac:dyDescent="0.25">
      <c r="B469" s="108"/>
      <c r="C469" s="41"/>
      <c r="D469" s="110"/>
      <c r="E469" s="111"/>
      <c r="F469" s="112"/>
      <c r="G469" s="98" t="str">
        <f>IFERROR(IF(venta_a_mes1254[[#This Row],[CUIT]]="","-",VLOOKUP(venta_a_mes1254[[#This Row],[CUIT]],Lista_CUIT[#All],2,0)),"CUIT NO CARGADO")</f>
        <v>-</v>
      </c>
      <c r="H469" s="99"/>
      <c r="I469" s="100">
        <f>venta_a_mes1254[[#This Row],[IMPORTE NETO]]*0.21</f>
        <v>0</v>
      </c>
      <c r="J469" s="65"/>
      <c r="K469" s="65"/>
      <c r="L469" s="65">
        <f>SUM(venta_a_mes1254[[#This Row],[IMPORTE NETO]:[EXENTO]])</f>
        <v>0</v>
      </c>
      <c r="M469" s="59"/>
    </row>
    <row r="470" spans="2:13" x14ac:dyDescent="0.25">
      <c r="B470" s="108"/>
      <c r="C470" s="41"/>
      <c r="D470" s="110"/>
      <c r="E470" s="111"/>
      <c r="F470" s="112"/>
      <c r="G470" s="98" t="str">
        <f>IFERROR(IF(venta_a_mes1254[[#This Row],[CUIT]]="","-",VLOOKUP(venta_a_mes1254[[#This Row],[CUIT]],Lista_CUIT[#All],2,0)),"CUIT NO CARGADO")</f>
        <v>-</v>
      </c>
      <c r="H470" s="99"/>
      <c r="I470" s="100">
        <f>venta_a_mes1254[[#This Row],[IMPORTE NETO]]*0.21</f>
        <v>0</v>
      </c>
      <c r="J470" s="65"/>
      <c r="K470" s="65"/>
      <c r="L470" s="65">
        <f>SUM(venta_a_mes1254[[#This Row],[IMPORTE NETO]:[EXENTO]])</f>
        <v>0</v>
      </c>
      <c r="M470" s="59"/>
    </row>
    <row r="471" spans="2:13" x14ac:dyDescent="0.25">
      <c r="B471" s="108"/>
      <c r="C471" s="41"/>
      <c r="D471" s="110"/>
      <c r="E471" s="111"/>
      <c r="F471" s="112"/>
      <c r="G471" s="98" t="str">
        <f>IFERROR(IF(venta_a_mes1254[[#This Row],[CUIT]]="","-",VLOOKUP(venta_a_mes1254[[#This Row],[CUIT]],Lista_CUIT[#All],2,0)),"CUIT NO CARGADO")</f>
        <v>-</v>
      </c>
      <c r="H471" s="99"/>
      <c r="I471" s="100">
        <f>venta_a_mes1254[[#This Row],[IMPORTE NETO]]*0.21</f>
        <v>0</v>
      </c>
      <c r="J471" s="65"/>
      <c r="K471" s="65"/>
      <c r="L471" s="65">
        <f>SUM(venta_a_mes1254[[#This Row],[IMPORTE NETO]:[EXENTO]])</f>
        <v>0</v>
      </c>
      <c r="M471" s="59"/>
    </row>
    <row r="472" spans="2:13" x14ac:dyDescent="0.25">
      <c r="B472" s="108"/>
      <c r="C472" s="41"/>
      <c r="D472" s="110"/>
      <c r="E472" s="111"/>
      <c r="F472" s="112"/>
      <c r="G472" s="98" t="str">
        <f>IFERROR(IF(venta_a_mes1254[[#This Row],[CUIT]]="","-",VLOOKUP(venta_a_mes1254[[#This Row],[CUIT]],Lista_CUIT[#All],2,0)),"CUIT NO CARGADO")</f>
        <v>-</v>
      </c>
      <c r="H472" s="99"/>
      <c r="I472" s="100">
        <f>venta_a_mes1254[[#This Row],[IMPORTE NETO]]*0.21</f>
        <v>0</v>
      </c>
      <c r="J472" s="65"/>
      <c r="K472" s="65"/>
      <c r="L472" s="65">
        <f>SUM(venta_a_mes1254[[#This Row],[IMPORTE NETO]:[EXENTO]])</f>
        <v>0</v>
      </c>
      <c r="M472" s="59"/>
    </row>
    <row r="473" spans="2:13" x14ac:dyDescent="0.25">
      <c r="B473" s="108"/>
      <c r="C473" s="41"/>
      <c r="D473" s="110"/>
      <c r="E473" s="111"/>
      <c r="F473" s="112"/>
      <c r="G473" s="98" t="str">
        <f>IFERROR(IF(venta_a_mes1254[[#This Row],[CUIT]]="","-",VLOOKUP(venta_a_mes1254[[#This Row],[CUIT]],Lista_CUIT[#All],2,0)),"CUIT NO CARGADO")</f>
        <v>-</v>
      </c>
      <c r="H473" s="99"/>
      <c r="I473" s="100">
        <f>venta_a_mes1254[[#This Row],[IMPORTE NETO]]*0.21</f>
        <v>0</v>
      </c>
      <c r="J473" s="65"/>
      <c r="K473" s="65"/>
      <c r="L473" s="65">
        <f>SUM(venta_a_mes1254[[#This Row],[IMPORTE NETO]:[EXENTO]])</f>
        <v>0</v>
      </c>
      <c r="M473" s="59"/>
    </row>
    <row r="474" spans="2:13" x14ac:dyDescent="0.25">
      <c r="B474" s="108"/>
      <c r="C474" s="41"/>
      <c r="D474" s="110"/>
      <c r="E474" s="111"/>
      <c r="F474" s="112"/>
      <c r="G474" s="98" t="str">
        <f>IFERROR(IF(venta_a_mes1254[[#This Row],[CUIT]]="","-",VLOOKUP(venta_a_mes1254[[#This Row],[CUIT]],Lista_CUIT[#All],2,0)),"CUIT NO CARGADO")</f>
        <v>-</v>
      </c>
      <c r="H474" s="99"/>
      <c r="I474" s="100">
        <f>venta_a_mes1254[[#This Row],[IMPORTE NETO]]*0.21</f>
        <v>0</v>
      </c>
      <c r="J474" s="65"/>
      <c r="K474" s="65"/>
      <c r="L474" s="65">
        <f>SUM(venta_a_mes1254[[#This Row],[IMPORTE NETO]:[EXENTO]])</f>
        <v>0</v>
      </c>
      <c r="M474" s="59"/>
    </row>
    <row r="475" spans="2:13" x14ac:dyDescent="0.25">
      <c r="B475" s="108"/>
      <c r="C475" s="41"/>
      <c r="D475" s="110"/>
      <c r="E475" s="111"/>
      <c r="F475" s="112"/>
      <c r="G475" s="98" t="str">
        <f>IFERROR(IF(venta_a_mes1254[[#This Row],[CUIT]]="","-",VLOOKUP(venta_a_mes1254[[#This Row],[CUIT]],Lista_CUIT[#All],2,0)),"CUIT NO CARGADO")</f>
        <v>-</v>
      </c>
      <c r="H475" s="99"/>
      <c r="I475" s="100">
        <f>venta_a_mes1254[[#This Row],[IMPORTE NETO]]*0.21</f>
        <v>0</v>
      </c>
      <c r="J475" s="65"/>
      <c r="K475" s="65"/>
      <c r="L475" s="65">
        <f>SUM(venta_a_mes1254[[#This Row],[IMPORTE NETO]:[EXENTO]])</f>
        <v>0</v>
      </c>
      <c r="M475" s="59"/>
    </row>
    <row r="476" spans="2:13" x14ac:dyDescent="0.25">
      <c r="B476" s="108"/>
      <c r="C476" s="41"/>
      <c r="D476" s="110"/>
      <c r="E476" s="111"/>
      <c r="F476" s="112"/>
      <c r="G476" s="98" t="str">
        <f>IFERROR(IF(venta_a_mes1254[[#This Row],[CUIT]]="","-",VLOOKUP(venta_a_mes1254[[#This Row],[CUIT]],Lista_CUIT[#All],2,0)),"CUIT NO CARGADO")</f>
        <v>-</v>
      </c>
      <c r="H476" s="99"/>
      <c r="I476" s="100">
        <f>venta_a_mes1254[[#This Row],[IMPORTE NETO]]*0.21</f>
        <v>0</v>
      </c>
      <c r="J476" s="65"/>
      <c r="K476" s="65"/>
      <c r="L476" s="65">
        <f>SUM(venta_a_mes1254[[#This Row],[IMPORTE NETO]:[EXENTO]])</f>
        <v>0</v>
      </c>
      <c r="M476" s="59"/>
    </row>
    <row r="477" spans="2:13" x14ac:dyDescent="0.25">
      <c r="B477" s="108"/>
      <c r="C477" s="41"/>
      <c r="D477" s="110"/>
      <c r="E477" s="111"/>
      <c r="F477" s="112"/>
      <c r="G477" s="98" t="str">
        <f>IFERROR(IF(venta_a_mes1254[[#This Row],[CUIT]]="","-",VLOOKUP(venta_a_mes1254[[#This Row],[CUIT]],Lista_CUIT[#All],2,0)),"CUIT NO CARGADO")</f>
        <v>-</v>
      </c>
      <c r="H477" s="99"/>
      <c r="I477" s="100">
        <f>venta_a_mes1254[[#This Row],[IMPORTE NETO]]*0.21</f>
        <v>0</v>
      </c>
      <c r="J477" s="65"/>
      <c r="K477" s="65"/>
      <c r="L477" s="65">
        <f>SUM(venta_a_mes1254[[#This Row],[IMPORTE NETO]:[EXENTO]])</f>
        <v>0</v>
      </c>
      <c r="M477" s="59"/>
    </row>
    <row r="478" spans="2:13" x14ac:dyDescent="0.25">
      <c r="B478" s="66" t="s">
        <v>103</v>
      </c>
      <c r="C478" s="67"/>
      <c r="D478" s="67"/>
      <c r="E478" s="67"/>
      <c r="F478" s="67"/>
      <c r="G478" s="67"/>
      <c r="H478" s="69">
        <f>SUBTOTAL(109,venta_a_mes1254[IMPORTE NETO])</f>
        <v>0</v>
      </c>
      <c r="I478" s="70">
        <f>SUBTOTAL(109,venta_a_mes1254[IVA 21%])</f>
        <v>0</v>
      </c>
      <c r="J478" s="71">
        <f>SUBTOTAL(109,venta_a_mes1254[IVA 10,5%])</f>
        <v>0</v>
      </c>
      <c r="K478" s="71">
        <f>SUBTOTAL(109,venta_a_mes1254[EXENTO])</f>
        <v>0</v>
      </c>
      <c r="L478" s="71">
        <f>SUBTOTAL(109,venta_a_mes1254[TOTAL])</f>
        <v>0</v>
      </c>
      <c r="M478" s="68">
        <f>SUBTOTAL(103,venta_a_mes1254[Provincia])</f>
        <v>0</v>
      </c>
    </row>
    <row r="479" spans="2:13" x14ac:dyDescent="0.25">
      <c r="B479" s="146"/>
      <c r="C479" s="146"/>
      <c r="D479" s="146"/>
      <c r="E479" s="146"/>
      <c r="F479" s="146"/>
      <c r="G479" s="146"/>
      <c r="H479" s="148"/>
      <c r="I479" s="149"/>
      <c r="J479" s="150"/>
      <c r="K479" s="150"/>
      <c r="L479" s="150"/>
      <c r="M479" s="147"/>
    </row>
    <row r="480" spans="2:13" ht="21" x14ac:dyDescent="0.25">
      <c r="B480" s="594" t="s">
        <v>31</v>
      </c>
      <c r="C480" s="594"/>
    </row>
    <row r="481" spans="2:13" ht="31.5" x14ac:dyDescent="0.25">
      <c r="B481" s="60" t="s">
        <v>0</v>
      </c>
      <c r="C481" s="61" t="s">
        <v>1</v>
      </c>
      <c r="D481" s="61" t="s">
        <v>21</v>
      </c>
      <c r="E481" s="61" t="s">
        <v>22</v>
      </c>
      <c r="F481" s="61" t="s">
        <v>3</v>
      </c>
      <c r="G481" s="61" t="s">
        <v>4</v>
      </c>
      <c r="H481" s="61" t="s">
        <v>23</v>
      </c>
      <c r="I481" s="61" t="s">
        <v>17</v>
      </c>
      <c r="J481" s="61" t="s">
        <v>7</v>
      </c>
      <c r="K481" s="61" t="s">
        <v>24</v>
      </c>
      <c r="L481" s="61" t="s">
        <v>10</v>
      </c>
      <c r="M481" s="62" t="s">
        <v>38</v>
      </c>
    </row>
    <row r="482" spans="2:13" x14ac:dyDescent="0.25">
      <c r="B482" s="134"/>
      <c r="C482" s="135"/>
      <c r="D482" s="136"/>
      <c r="E482" s="137"/>
      <c r="F482" s="138"/>
      <c r="G482" s="1" t="str">
        <f>IFERROR(IF(ventas_b_mes1255[[#This Row],[CUIT]]="","-",VLOOKUP(ventas_b_mes1255[[#This Row],[CUIT]],Lista_CUIT[#All],2,0)),"CUIT NO CARGADO")</f>
        <v>-</v>
      </c>
      <c r="H482" s="99">
        <f>ventas_b_mes1255[[#This Row],[TOTAL]]/1.21</f>
        <v>0</v>
      </c>
      <c r="I482" s="64">
        <f>ventas_b_mes1255[[#This Row],[IMPORTE NETO]]*0.21</f>
        <v>0</v>
      </c>
      <c r="J482" s="140"/>
      <c r="K482" s="140"/>
      <c r="L482" s="140"/>
      <c r="M482" s="59"/>
    </row>
    <row r="483" spans="2:13" x14ac:dyDescent="0.25">
      <c r="B483" s="134"/>
      <c r="C483" s="135"/>
      <c r="D483" s="136"/>
      <c r="E483" s="137"/>
      <c r="F483" s="138"/>
      <c r="G483" s="1" t="str">
        <f>IFERROR(IF(ventas_b_mes1255[[#This Row],[CUIT]]="","-",VLOOKUP(ventas_b_mes1255[[#This Row],[CUIT]],Lista_CUIT[#All],2,0)),"CUIT NO CARGADO")</f>
        <v>-</v>
      </c>
      <c r="H483" s="99">
        <f>ventas_b_mes1255[[#This Row],[TOTAL]]/1.21</f>
        <v>0</v>
      </c>
      <c r="I483" s="64">
        <f>ventas_b_mes1255[[#This Row],[IMPORTE NETO]]*0.21</f>
        <v>0</v>
      </c>
      <c r="J483" s="140"/>
      <c r="K483" s="140"/>
      <c r="L483" s="140"/>
      <c r="M483" s="59"/>
    </row>
    <row r="484" spans="2:13" x14ac:dyDescent="0.25">
      <c r="B484" s="134"/>
      <c r="C484" s="135"/>
      <c r="D484" s="136"/>
      <c r="E484" s="137"/>
      <c r="F484" s="138"/>
      <c r="G484" s="1" t="str">
        <f>IFERROR(IF(ventas_b_mes1255[[#This Row],[CUIT]]="","-",VLOOKUP(ventas_b_mes1255[[#This Row],[CUIT]],Lista_CUIT[#All],2,0)),"CUIT NO CARGADO")</f>
        <v>-</v>
      </c>
      <c r="H484" s="99">
        <f>ventas_b_mes1255[[#This Row],[TOTAL]]/1.21</f>
        <v>0</v>
      </c>
      <c r="I484" s="64">
        <f>ventas_b_mes1255[[#This Row],[IMPORTE NETO]]*0.21</f>
        <v>0</v>
      </c>
      <c r="J484" s="140"/>
      <c r="K484" s="140"/>
      <c r="L484" s="140"/>
      <c r="M484" s="59"/>
    </row>
    <row r="485" spans="2:13" x14ac:dyDescent="0.25">
      <c r="B485" s="134"/>
      <c r="C485" s="135"/>
      <c r="D485" s="136"/>
      <c r="E485" s="137"/>
      <c r="F485" s="138"/>
      <c r="G485" s="1" t="str">
        <f>IFERROR(IF(ventas_b_mes1255[[#This Row],[CUIT]]="","-",VLOOKUP(ventas_b_mes1255[[#This Row],[CUIT]],Lista_CUIT[#All],2,0)),"CUIT NO CARGADO")</f>
        <v>-</v>
      </c>
      <c r="H485" s="99">
        <f>ventas_b_mes1255[[#This Row],[TOTAL]]/1.21</f>
        <v>0</v>
      </c>
      <c r="I485" s="64">
        <f>ventas_b_mes1255[[#This Row],[IMPORTE NETO]]*0.21</f>
        <v>0</v>
      </c>
      <c r="J485" s="140"/>
      <c r="K485" s="140"/>
      <c r="L485" s="140"/>
      <c r="M485" s="59"/>
    </row>
    <row r="486" spans="2:13" x14ac:dyDescent="0.25">
      <c r="B486" s="134"/>
      <c r="C486" s="135"/>
      <c r="D486" s="136"/>
      <c r="E486" s="137"/>
      <c r="F486" s="138"/>
      <c r="G486" s="1" t="str">
        <f>IFERROR(IF(ventas_b_mes1255[[#This Row],[CUIT]]="","-",VLOOKUP(ventas_b_mes1255[[#This Row],[CUIT]],Lista_CUIT[#All],2,0)),"CUIT NO CARGADO")</f>
        <v>-</v>
      </c>
      <c r="H486" s="99">
        <f>ventas_b_mes1255[[#This Row],[TOTAL]]/1.21</f>
        <v>0</v>
      </c>
      <c r="I486" s="64">
        <f>ventas_b_mes1255[[#This Row],[IMPORTE NETO]]*0.21</f>
        <v>0</v>
      </c>
      <c r="J486" s="140"/>
      <c r="K486" s="140"/>
      <c r="L486" s="140"/>
      <c r="M486" s="59"/>
    </row>
    <row r="487" spans="2:13" x14ac:dyDescent="0.25">
      <c r="B487" s="134"/>
      <c r="C487" s="135"/>
      <c r="D487" s="136"/>
      <c r="E487" s="137"/>
      <c r="F487" s="138"/>
      <c r="G487" s="1" t="str">
        <f>IFERROR(IF(ventas_b_mes1255[[#This Row],[CUIT]]="","-",VLOOKUP(ventas_b_mes1255[[#This Row],[CUIT]],Lista_CUIT[#All],2,0)),"CUIT NO CARGADO")</f>
        <v>-</v>
      </c>
      <c r="H487" s="99">
        <f>ventas_b_mes1255[[#This Row],[TOTAL]]/1.21</f>
        <v>0</v>
      </c>
      <c r="I487" s="64">
        <f>ventas_b_mes1255[[#This Row],[IMPORTE NETO]]*0.21</f>
        <v>0</v>
      </c>
      <c r="J487" s="140"/>
      <c r="K487" s="140"/>
      <c r="L487" s="140"/>
      <c r="M487" s="59"/>
    </row>
    <row r="488" spans="2:13" x14ac:dyDescent="0.25">
      <c r="B488" s="134"/>
      <c r="C488" s="135"/>
      <c r="D488" s="136"/>
      <c r="E488" s="137"/>
      <c r="F488" s="138"/>
      <c r="G488" s="1" t="str">
        <f>IFERROR(IF(ventas_b_mes1255[[#This Row],[CUIT]]="","-",VLOOKUP(ventas_b_mes1255[[#This Row],[CUIT]],Lista_CUIT[#All],2,0)),"CUIT NO CARGADO")</f>
        <v>-</v>
      </c>
      <c r="H488" s="99">
        <f>ventas_b_mes1255[[#This Row],[TOTAL]]/1.21</f>
        <v>0</v>
      </c>
      <c r="I488" s="64">
        <f>ventas_b_mes1255[[#This Row],[IMPORTE NETO]]*0.21</f>
        <v>0</v>
      </c>
      <c r="J488" s="140"/>
      <c r="K488" s="140"/>
      <c r="L488" s="140"/>
      <c r="M488" s="59"/>
    </row>
    <row r="489" spans="2:13" x14ac:dyDescent="0.25">
      <c r="B489" s="134"/>
      <c r="C489" s="135"/>
      <c r="D489" s="136"/>
      <c r="E489" s="137"/>
      <c r="F489" s="138"/>
      <c r="G489" s="1" t="str">
        <f>IFERROR(IF(ventas_b_mes1255[[#This Row],[CUIT]]="","-",VLOOKUP(ventas_b_mes1255[[#This Row],[CUIT]],Lista_CUIT[#All],2,0)),"CUIT NO CARGADO")</f>
        <v>-</v>
      </c>
      <c r="H489" s="99">
        <f>ventas_b_mes1255[[#This Row],[TOTAL]]/1.21</f>
        <v>0</v>
      </c>
      <c r="I489" s="64">
        <f>ventas_b_mes1255[[#This Row],[IMPORTE NETO]]*0.21</f>
        <v>0</v>
      </c>
      <c r="J489" s="140"/>
      <c r="K489" s="140"/>
      <c r="L489" s="140"/>
      <c r="M489" s="59"/>
    </row>
    <row r="490" spans="2:13" x14ac:dyDescent="0.25">
      <c r="B490" s="134"/>
      <c r="C490" s="135"/>
      <c r="D490" s="136"/>
      <c r="E490" s="137"/>
      <c r="F490" s="138"/>
      <c r="G490" s="1" t="str">
        <f>IFERROR(IF(ventas_b_mes1255[[#This Row],[CUIT]]="","-",VLOOKUP(ventas_b_mes1255[[#This Row],[CUIT]],Lista_CUIT[#All],2,0)),"CUIT NO CARGADO")</f>
        <v>-</v>
      </c>
      <c r="H490" s="99">
        <f>ventas_b_mes1255[[#This Row],[TOTAL]]/1.21</f>
        <v>0</v>
      </c>
      <c r="I490" s="64">
        <f>ventas_b_mes1255[[#This Row],[IMPORTE NETO]]*0.21</f>
        <v>0</v>
      </c>
      <c r="J490" s="140"/>
      <c r="K490" s="140"/>
      <c r="L490" s="140"/>
      <c r="M490" s="59"/>
    </row>
    <row r="491" spans="2:13" x14ac:dyDescent="0.25">
      <c r="B491" s="134"/>
      <c r="C491" s="135"/>
      <c r="D491" s="136"/>
      <c r="E491" s="137"/>
      <c r="F491" s="138"/>
      <c r="G491" s="1" t="str">
        <f>IFERROR(IF(ventas_b_mes1255[[#This Row],[CUIT]]="","-",VLOOKUP(ventas_b_mes1255[[#This Row],[CUIT]],Lista_CUIT[#All],2,0)),"CUIT NO CARGADO")</f>
        <v>-</v>
      </c>
      <c r="H491" s="99">
        <f>ventas_b_mes1255[[#This Row],[TOTAL]]/1.21</f>
        <v>0</v>
      </c>
      <c r="I491" s="64">
        <f>ventas_b_mes1255[[#This Row],[IMPORTE NETO]]*0.21</f>
        <v>0</v>
      </c>
      <c r="J491" s="140"/>
      <c r="K491" s="140"/>
      <c r="L491" s="140"/>
      <c r="M491" s="59"/>
    </row>
    <row r="492" spans="2:13" x14ac:dyDescent="0.25">
      <c r="B492" s="134"/>
      <c r="C492" s="135"/>
      <c r="D492" s="136"/>
      <c r="E492" s="137"/>
      <c r="F492" s="138"/>
      <c r="G492" s="1" t="str">
        <f>IFERROR(IF(ventas_b_mes1255[[#This Row],[CUIT]]="","-",VLOOKUP(ventas_b_mes1255[[#This Row],[CUIT]],Lista_CUIT[#All],2,0)),"CUIT NO CARGADO")</f>
        <v>-</v>
      </c>
      <c r="H492" s="99">
        <f>ventas_b_mes1255[[#This Row],[TOTAL]]/1.21</f>
        <v>0</v>
      </c>
      <c r="I492" s="64">
        <f>ventas_b_mes1255[[#This Row],[IMPORTE NETO]]*0.21</f>
        <v>0</v>
      </c>
      <c r="J492" s="140"/>
      <c r="K492" s="140"/>
      <c r="L492" s="140"/>
      <c r="M492" s="59"/>
    </row>
    <row r="493" spans="2:13" x14ac:dyDescent="0.25">
      <c r="B493" s="134"/>
      <c r="C493" s="135"/>
      <c r="D493" s="136"/>
      <c r="E493" s="137"/>
      <c r="F493" s="138"/>
      <c r="G493" s="1" t="str">
        <f>IFERROR(IF(ventas_b_mes1255[[#This Row],[CUIT]]="","-",VLOOKUP(ventas_b_mes1255[[#This Row],[CUIT]],Lista_CUIT[#All],2,0)),"CUIT NO CARGADO")</f>
        <v>-</v>
      </c>
      <c r="H493" s="99">
        <f>ventas_b_mes1255[[#This Row],[TOTAL]]/1.21</f>
        <v>0</v>
      </c>
      <c r="I493" s="64">
        <f>ventas_b_mes1255[[#This Row],[IMPORTE NETO]]*0.21</f>
        <v>0</v>
      </c>
      <c r="J493" s="140"/>
      <c r="K493" s="140"/>
      <c r="L493" s="140"/>
      <c r="M493" s="59"/>
    </row>
    <row r="494" spans="2:13" x14ac:dyDescent="0.25">
      <c r="B494" s="134"/>
      <c r="C494" s="135"/>
      <c r="D494" s="136"/>
      <c r="E494" s="137"/>
      <c r="F494" s="138"/>
      <c r="G494" s="1" t="str">
        <f>IFERROR(IF(ventas_b_mes1255[[#This Row],[CUIT]]="","-",VLOOKUP(ventas_b_mes1255[[#This Row],[CUIT]],Lista_CUIT[#All],2,0)),"CUIT NO CARGADO")</f>
        <v>-</v>
      </c>
      <c r="H494" s="99">
        <f>ventas_b_mes1255[[#This Row],[TOTAL]]/1.21</f>
        <v>0</v>
      </c>
      <c r="I494" s="64">
        <f>ventas_b_mes1255[[#This Row],[IMPORTE NETO]]*0.21</f>
        <v>0</v>
      </c>
      <c r="J494" s="140"/>
      <c r="K494" s="140"/>
      <c r="L494" s="140"/>
      <c r="M494" s="59"/>
    </row>
    <row r="495" spans="2:13" x14ac:dyDescent="0.25">
      <c r="B495" s="134"/>
      <c r="C495" s="135"/>
      <c r="D495" s="136"/>
      <c r="E495" s="137"/>
      <c r="F495" s="138"/>
      <c r="G495" s="1" t="str">
        <f>IFERROR(IF(ventas_b_mes1255[[#This Row],[CUIT]]="","-",VLOOKUP(ventas_b_mes1255[[#This Row],[CUIT]],Lista_CUIT[#All],2,0)),"CUIT NO CARGADO")</f>
        <v>-</v>
      </c>
      <c r="H495" s="99">
        <f>ventas_b_mes1255[[#This Row],[TOTAL]]/1.21</f>
        <v>0</v>
      </c>
      <c r="I495" s="64">
        <f>ventas_b_mes1255[[#This Row],[IMPORTE NETO]]*0.21</f>
        <v>0</v>
      </c>
      <c r="J495" s="140"/>
      <c r="K495" s="140"/>
      <c r="L495" s="140"/>
      <c r="M495" s="59"/>
    </row>
    <row r="496" spans="2:13" x14ac:dyDescent="0.25">
      <c r="B496" s="134"/>
      <c r="C496" s="135"/>
      <c r="D496" s="136"/>
      <c r="E496" s="137"/>
      <c r="F496" s="138"/>
      <c r="G496" s="1" t="str">
        <f>IFERROR(IF(ventas_b_mes1255[[#This Row],[CUIT]]="","-",VLOOKUP(ventas_b_mes1255[[#This Row],[CUIT]],Lista_CUIT[#All],2,0)),"CUIT NO CARGADO")</f>
        <v>-</v>
      </c>
      <c r="H496" s="99">
        <f>ventas_b_mes1255[[#This Row],[TOTAL]]/1.21</f>
        <v>0</v>
      </c>
      <c r="I496" s="64">
        <f>ventas_b_mes1255[[#This Row],[IMPORTE NETO]]*0.21</f>
        <v>0</v>
      </c>
      <c r="J496" s="140"/>
      <c r="K496" s="140"/>
      <c r="L496" s="140"/>
      <c r="M496" s="59"/>
    </row>
    <row r="497" spans="2:13" x14ac:dyDescent="0.25">
      <c r="B497" s="134"/>
      <c r="C497" s="135"/>
      <c r="D497" s="136"/>
      <c r="E497" s="137"/>
      <c r="F497" s="138"/>
      <c r="G497" s="1" t="str">
        <f>IFERROR(IF(ventas_b_mes1255[[#This Row],[CUIT]]="","-",VLOOKUP(ventas_b_mes1255[[#This Row],[CUIT]],Lista_CUIT[#All],2,0)),"CUIT NO CARGADO")</f>
        <v>-</v>
      </c>
      <c r="H497" s="99">
        <f>ventas_b_mes1255[[#This Row],[TOTAL]]/1.21</f>
        <v>0</v>
      </c>
      <c r="I497" s="64">
        <f>ventas_b_mes1255[[#This Row],[IMPORTE NETO]]*0.21</f>
        <v>0</v>
      </c>
      <c r="J497" s="140"/>
      <c r="K497" s="140"/>
      <c r="L497" s="140"/>
      <c r="M497" s="59"/>
    </row>
    <row r="498" spans="2:13" x14ac:dyDescent="0.25">
      <c r="B498" s="134"/>
      <c r="C498" s="135"/>
      <c r="D498" s="136"/>
      <c r="E498" s="137"/>
      <c r="F498" s="138"/>
      <c r="G498" s="1" t="str">
        <f>IFERROR(IF(ventas_b_mes1255[[#This Row],[CUIT]]="","-",VLOOKUP(ventas_b_mes1255[[#This Row],[CUIT]],Lista_CUIT[#All],2,0)),"CUIT NO CARGADO")</f>
        <v>-</v>
      </c>
      <c r="H498" s="99">
        <f>ventas_b_mes1255[[#This Row],[TOTAL]]/1.21</f>
        <v>0</v>
      </c>
      <c r="I498" s="64">
        <f>ventas_b_mes1255[[#This Row],[IMPORTE NETO]]*0.21</f>
        <v>0</v>
      </c>
      <c r="J498" s="140"/>
      <c r="K498" s="140"/>
      <c r="L498" s="140"/>
      <c r="M498" s="59"/>
    </row>
    <row r="499" spans="2:13" x14ac:dyDescent="0.25">
      <c r="B499" s="134"/>
      <c r="C499" s="135"/>
      <c r="D499" s="136"/>
      <c r="E499" s="137"/>
      <c r="F499" s="138"/>
      <c r="G499" s="1" t="str">
        <f>IFERROR(IF(ventas_b_mes1255[[#This Row],[CUIT]]="","-",VLOOKUP(ventas_b_mes1255[[#This Row],[CUIT]],Lista_CUIT[#All],2,0)),"CUIT NO CARGADO")</f>
        <v>-</v>
      </c>
      <c r="H499" s="99">
        <f>ventas_b_mes1255[[#This Row],[TOTAL]]/1.21</f>
        <v>0</v>
      </c>
      <c r="I499" s="64">
        <f>ventas_b_mes1255[[#This Row],[IMPORTE NETO]]*0.21</f>
        <v>0</v>
      </c>
      <c r="J499" s="140"/>
      <c r="K499" s="140"/>
      <c r="L499" s="140"/>
      <c r="M499" s="59"/>
    </row>
    <row r="500" spans="2:13" x14ac:dyDescent="0.25">
      <c r="B500" s="134"/>
      <c r="C500" s="135"/>
      <c r="D500" s="136"/>
      <c r="E500" s="137"/>
      <c r="F500" s="138"/>
      <c r="G500" s="1" t="str">
        <f>IFERROR(IF(ventas_b_mes1255[[#This Row],[CUIT]]="","-",VLOOKUP(ventas_b_mes1255[[#This Row],[CUIT]],Lista_CUIT[#All],2,0)),"CUIT NO CARGADO")</f>
        <v>-</v>
      </c>
      <c r="H500" s="99">
        <f>ventas_b_mes1255[[#This Row],[TOTAL]]/1.21</f>
        <v>0</v>
      </c>
      <c r="I500" s="64">
        <f>ventas_b_mes1255[[#This Row],[IMPORTE NETO]]*0.21</f>
        <v>0</v>
      </c>
      <c r="J500" s="140"/>
      <c r="K500" s="140"/>
      <c r="L500" s="140"/>
      <c r="M500" s="59"/>
    </row>
    <row r="501" spans="2:13" x14ac:dyDescent="0.25">
      <c r="B501" s="134"/>
      <c r="C501" s="135"/>
      <c r="D501" s="136"/>
      <c r="E501" s="137"/>
      <c r="F501" s="138"/>
      <c r="G501" s="1" t="str">
        <f>IFERROR(IF(ventas_b_mes1255[[#This Row],[CUIT]]="","-",VLOOKUP(ventas_b_mes1255[[#This Row],[CUIT]],Lista_CUIT[#All],2,0)),"CUIT NO CARGADO")</f>
        <v>-</v>
      </c>
      <c r="H501" s="99">
        <f>ventas_b_mes1255[[#This Row],[TOTAL]]/1.21</f>
        <v>0</v>
      </c>
      <c r="I501" s="64">
        <f>ventas_b_mes1255[[#This Row],[IMPORTE NETO]]*0.21</f>
        <v>0</v>
      </c>
      <c r="J501" s="140"/>
      <c r="K501" s="140"/>
      <c r="L501" s="140"/>
      <c r="M501" s="59"/>
    </row>
    <row r="502" spans="2:13" x14ac:dyDescent="0.25">
      <c r="B502" s="134"/>
      <c r="C502" s="135"/>
      <c r="D502" s="136"/>
      <c r="E502" s="137"/>
      <c r="F502" s="138"/>
      <c r="G502" s="1" t="str">
        <f>IFERROR(IF(ventas_b_mes1255[[#This Row],[CUIT]]="","-",VLOOKUP(ventas_b_mes1255[[#This Row],[CUIT]],Lista_CUIT[#All],2,0)),"CUIT NO CARGADO")</f>
        <v>-</v>
      </c>
      <c r="H502" s="99">
        <f>ventas_b_mes1255[[#This Row],[TOTAL]]/1.21</f>
        <v>0</v>
      </c>
      <c r="I502" s="64">
        <f>ventas_b_mes1255[[#This Row],[IMPORTE NETO]]*0.21</f>
        <v>0</v>
      </c>
      <c r="J502" s="140"/>
      <c r="K502" s="140"/>
      <c r="L502" s="140"/>
      <c r="M502" s="59"/>
    </row>
    <row r="503" spans="2:13" x14ac:dyDescent="0.25">
      <c r="B503" s="134"/>
      <c r="C503" s="135"/>
      <c r="D503" s="136"/>
      <c r="E503" s="137"/>
      <c r="F503" s="138"/>
      <c r="G503" s="1" t="str">
        <f>IFERROR(IF(ventas_b_mes1255[[#This Row],[CUIT]]="","-",VLOOKUP(ventas_b_mes1255[[#This Row],[CUIT]],Lista_CUIT[#All],2,0)),"CUIT NO CARGADO")</f>
        <v>-</v>
      </c>
      <c r="H503" s="99">
        <f>ventas_b_mes1255[[#This Row],[TOTAL]]/1.21</f>
        <v>0</v>
      </c>
      <c r="I503" s="64">
        <f>ventas_b_mes1255[[#This Row],[IMPORTE NETO]]*0.21</f>
        <v>0</v>
      </c>
      <c r="J503" s="140"/>
      <c r="K503" s="140"/>
      <c r="L503" s="140"/>
      <c r="M503" s="59"/>
    </row>
    <row r="504" spans="2:13" x14ac:dyDescent="0.25">
      <c r="B504" s="134"/>
      <c r="C504" s="135"/>
      <c r="D504" s="136"/>
      <c r="E504" s="137"/>
      <c r="F504" s="138"/>
      <c r="G504" s="1" t="str">
        <f>IFERROR(IF(ventas_b_mes1255[[#This Row],[CUIT]]="","-",VLOOKUP(ventas_b_mes1255[[#This Row],[CUIT]],Lista_CUIT[#All],2,0)),"CUIT NO CARGADO")</f>
        <v>-</v>
      </c>
      <c r="H504" s="99">
        <f>ventas_b_mes1255[[#This Row],[TOTAL]]/1.21</f>
        <v>0</v>
      </c>
      <c r="I504" s="64">
        <f>ventas_b_mes1255[[#This Row],[IMPORTE NETO]]*0.21</f>
        <v>0</v>
      </c>
      <c r="J504" s="140"/>
      <c r="K504" s="140"/>
      <c r="L504" s="140"/>
      <c r="M504" s="59"/>
    </row>
    <row r="505" spans="2:13" x14ac:dyDescent="0.25">
      <c r="B505" s="134"/>
      <c r="C505" s="135"/>
      <c r="D505" s="136"/>
      <c r="E505" s="137"/>
      <c r="F505" s="138"/>
      <c r="G505" s="1" t="str">
        <f>IFERROR(IF(ventas_b_mes1255[[#This Row],[CUIT]]="","-",VLOOKUP(ventas_b_mes1255[[#This Row],[CUIT]],Lista_CUIT[#All],2,0)),"CUIT NO CARGADO")</f>
        <v>-</v>
      </c>
      <c r="H505" s="99">
        <f>ventas_b_mes1255[[#This Row],[TOTAL]]/1.21</f>
        <v>0</v>
      </c>
      <c r="I505" s="64">
        <f>ventas_b_mes1255[[#This Row],[IMPORTE NETO]]*0.21</f>
        <v>0</v>
      </c>
      <c r="J505" s="140"/>
      <c r="K505" s="140"/>
      <c r="L505" s="140"/>
      <c r="M505" s="59"/>
    </row>
    <row r="506" spans="2:13" x14ac:dyDescent="0.25">
      <c r="B506" s="134"/>
      <c r="C506" s="135"/>
      <c r="D506" s="136"/>
      <c r="E506" s="137"/>
      <c r="F506" s="138"/>
      <c r="G506" s="1" t="str">
        <f>IFERROR(IF(ventas_b_mes1255[[#This Row],[CUIT]]="","-",VLOOKUP(ventas_b_mes1255[[#This Row],[CUIT]],Lista_CUIT[#All],2,0)),"CUIT NO CARGADO")</f>
        <v>-</v>
      </c>
      <c r="H506" s="99">
        <f>ventas_b_mes1255[[#This Row],[TOTAL]]/1.21</f>
        <v>0</v>
      </c>
      <c r="I506" s="64">
        <f>ventas_b_mes1255[[#This Row],[IMPORTE NETO]]*0.21</f>
        <v>0</v>
      </c>
      <c r="J506" s="140"/>
      <c r="K506" s="140"/>
      <c r="L506" s="140"/>
      <c r="M506" s="59"/>
    </row>
    <row r="507" spans="2:13" x14ac:dyDescent="0.25">
      <c r="B507" s="134"/>
      <c r="C507" s="135"/>
      <c r="D507" s="136"/>
      <c r="E507" s="137"/>
      <c r="F507" s="138"/>
      <c r="G507" s="1" t="str">
        <f>IFERROR(IF(ventas_b_mes1255[[#This Row],[CUIT]]="","-",VLOOKUP(ventas_b_mes1255[[#This Row],[CUIT]],Lista_CUIT[#All],2,0)),"CUIT NO CARGADO")</f>
        <v>-</v>
      </c>
      <c r="H507" s="99">
        <f>ventas_b_mes1255[[#This Row],[TOTAL]]/1.21</f>
        <v>0</v>
      </c>
      <c r="I507" s="64">
        <f>ventas_b_mes1255[[#This Row],[IMPORTE NETO]]*0.21</f>
        <v>0</v>
      </c>
      <c r="J507" s="140"/>
      <c r="K507" s="140"/>
      <c r="L507" s="140"/>
      <c r="M507" s="59"/>
    </row>
    <row r="508" spans="2:13" x14ac:dyDescent="0.25">
      <c r="B508" s="134"/>
      <c r="C508" s="135"/>
      <c r="D508" s="136"/>
      <c r="E508" s="137"/>
      <c r="F508" s="138"/>
      <c r="G508" s="1" t="str">
        <f>IFERROR(IF(ventas_b_mes1255[[#This Row],[CUIT]]="","-",VLOOKUP(ventas_b_mes1255[[#This Row],[CUIT]],Lista_CUIT[#All],2,0)),"CUIT NO CARGADO")</f>
        <v>-</v>
      </c>
      <c r="H508" s="99">
        <f>ventas_b_mes1255[[#This Row],[TOTAL]]/1.21</f>
        <v>0</v>
      </c>
      <c r="I508" s="64">
        <f>ventas_b_mes1255[[#This Row],[IMPORTE NETO]]*0.21</f>
        <v>0</v>
      </c>
      <c r="J508" s="140"/>
      <c r="K508" s="140"/>
      <c r="L508" s="140"/>
      <c r="M508" s="59"/>
    </row>
    <row r="509" spans="2:13" x14ac:dyDescent="0.25">
      <c r="B509" s="134"/>
      <c r="C509" s="135"/>
      <c r="D509" s="136"/>
      <c r="E509" s="137"/>
      <c r="F509" s="138"/>
      <c r="G509" s="1" t="str">
        <f>IFERROR(IF(ventas_b_mes1255[[#This Row],[CUIT]]="","-",VLOOKUP(ventas_b_mes1255[[#This Row],[CUIT]],Lista_CUIT[#All],2,0)),"CUIT NO CARGADO")</f>
        <v>-</v>
      </c>
      <c r="H509" s="99">
        <f>ventas_b_mes1255[[#This Row],[TOTAL]]/1.21</f>
        <v>0</v>
      </c>
      <c r="I509" s="64">
        <f>ventas_b_mes1255[[#This Row],[IMPORTE NETO]]*0.21</f>
        <v>0</v>
      </c>
      <c r="J509" s="140"/>
      <c r="K509" s="140"/>
      <c r="L509" s="140"/>
      <c r="M509" s="59"/>
    </row>
    <row r="510" spans="2:13" x14ac:dyDescent="0.25">
      <c r="B510" s="134"/>
      <c r="C510" s="135"/>
      <c r="D510" s="136"/>
      <c r="E510" s="137"/>
      <c r="F510" s="138"/>
      <c r="G510" s="1" t="str">
        <f>IFERROR(IF(ventas_b_mes1255[[#This Row],[CUIT]]="","-",VLOOKUP(ventas_b_mes1255[[#This Row],[CUIT]],Lista_CUIT[#All],2,0)),"CUIT NO CARGADO")</f>
        <v>-</v>
      </c>
      <c r="H510" s="99">
        <f>ventas_b_mes1255[[#This Row],[TOTAL]]/1.21</f>
        <v>0</v>
      </c>
      <c r="I510" s="64">
        <f>ventas_b_mes1255[[#This Row],[IMPORTE NETO]]*0.21</f>
        <v>0</v>
      </c>
      <c r="J510" s="140"/>
      <c r="K510" s="140"/>
      <c r="L510" s="140"/>
      <c r="M510" s="59"/>
    </row>
    <row r="511" spans="2:13" x14ac:dyDescent="0.25">
      <c r="B511" s="134"/>
      <c r="C511" s="135"/>
      <c r="D511" s="136"/>
      <c r="E511" s="137"/>
      <c r="F511" s="138"/>
      <c r="G511" s="1" t="str">
        <f>IFERROR(IF(ventas_b_mes1255[[#This Row],[CUIT]]="","-",VLOOKUP(ventas_b_mes1255[[#This Row],[CUIT]],Lista_CUIT[#All],2,0)),"CUIT NO CARGADO")</f>
        <v>-</v>
      </c>
      <c r="H511" s="99">
        <f>ventas_b_mes1255[[#This Row],[TOTAL]]/1.21</f>
        <v>0</v>
      </c>
      <c r="I511" s="64">
        <f>ventas_b_mes1255[[#This Row],[IMPORTE NETO]]*0.21</f>
        <v>0</v>
      </c>
      <c r="J511" s="140"/>
      <c r="K511" s="140"/>
      <c r="L511" s="140"/>
      <c r="M511" s="59"/>
    </row>
    <row r="512" spans="2:13" x14ac:dyDescent="0.25">
      <c r="B512" s="134"/>
      <c r="C512" s="135"/>
      <c r="D512" s="136"/>
      <c r="E512" s="137"/>
      <c r="F512" s="138"/>
      <c r="G512" s="1" t="str">
        <f>IFERROR(IF(ventas_b_mes1255[[#This Row],[CUIT]]="","-",VLOOKUP(ventas_b_mes1255[[#This Row],[CUIT]],Lista_CUIT[#All],2,0)),"CUIT NO CARGADO")</f>
        <v>-</v>
      </c>
      <c r="H512" s="99">
        <f>ventas_b_mes1255[[#This Row],[TOTAL]]/1.21</f>
        <v>0</v>
      </c>
      <c r="I512" s="64">
        <f>ventas_b_mes1255[[#This Row],[IMPORTE NETO]]*0.21</f>
        <v>0</v>
      </c>
      <c r="J512" s="140"/>
      <c r="K512" s="140"/>
      <c r="L512" s="140"/>
      <c r="M512" s="59"/>
    </row>
    <row r="513" spans="2:13" x14ac:dyDescent="0.25">
      <c r="B513" s="134"/>
      <c r="C513" s="135"/>
      <c r="D513" s="136"/>
      <c r="E513" s="137"/>
      <c r="F513" s="138"/>
      <c r="G513" s="1" t="str">
        <f>IFERROR(IF(ventas_b_mes1255[[#This Row],[CUIT]]="","-",VLOOKUP(ventas_b_mes1255[[#This Row],[CUIT]],Lista_CUIT[#All],2,0)),"CUIT NO CARGADO")</f>
        <v>-</v>
      </c>
      <c r="H513" s="99">
        <f>ventas_b_mes1255[[#This Row],[TOTAL]]/1.21</f>
        <v>0</v>
      </c>
      <c r="I513" s="64">
        <f>ventas_b_mes1255[[#This Row],[IMPORTE NETO]]*0.21</f>
        <v>0</v>
      </c>
      <c r="J513" s="140"/>
      <c r="K513" s="140"/>
      <c r="L513" s="140"/>
      <c r="M513" s="59"/>
    </row>
    <row r="514" spans="2:13" x14ac:dyDescent="0.25">
      <c r="B514" s="134"/>
      <c r="C514" s="135"/>
      <c r="D514" s="136"/>
      <c r="E514" s="137"/>
      <c r="F514" s="138"/>
      <c r="G514" s="1" t="str">
        <f>IFERROR(IF(ventas_b_mes1255[[#This Row],[CUIT]]="","-",VLOOKUP(ventas_b_mes1255[[#This Row],[CUIT]],Lista_CUIT[#All],2,0)),"CUIT NO CARGADO")</f>
        <v>-</v>
      </c>
      <c r="H514" s="99">
        <f>ventas_b_mes1255[[#This Row],[TOTAL]]/1.21</f>
        <v>0</v>
      </c>
      <c r="I514" s="64">
        <f>ventas_b_mes1255[[#This Row],[IMPORTE NETO]]*0.21</f>
        <v>0</v>
      </c>
      <c r="J514" s="140"/>
      <c r="K514" s="140"/>
      <c r="L514" s="140"/>
      <c r="M514" s="59"/>
    </row>
    <row r="515" spans="2:13" x14ac:dyDescent="0.25">
      <c r="B515" s="134"/>
      <c r="C515" s="135"/>
      <c r="D515" s="136"/>
      <c r="E515" s="137"/>
      <c r="F515" s="138"/>
      <c r="G515" s="1" t="str">
        <f>IFERROR(IF(ventas_b_mes1255[[#This Row],[CUIT]]="","-",VLOOKUP(ventas_b_mes1255[[#This Row],[CUIT]],Lista_CUIT[#All],2,0)),"CUIT NO CARGADO")</f>
        <v>-</v>
      </c>
      <c r="H515" s="99">
        <f>ventas_b_mes1255[[#This Row],[TOTAL]]/1.21</f>
        <v>0</v>
      </c>
      <c r="I515" s="64">
        <f>ventas_b_mes1255[[#This Row],[IMPORTE NETO]]*0.21</f>
        <v>0</v>
      </c>
      <c r="J515" s="140"/>
      <c r="K515" s="140"/>
      <c r="L515" s="140"/>
      <c r="M515" s="59"/>
    </row>
    <row r="516" spans="2:13" x14ac:dyDescent="0.25">
      <c r="B516" s="134"/>
      <c r="C516" s="135"/>
      <c r="D516" s="136"/>
      <c r="E516" s="137"/>
      <c r="F516" s="138"/>
      <c r="G516" s="1" t="str">
        <f>IFERROR(IF(ventas_b_mes1255[[#This Row],[CUIT]]="","-",VLOOKUP(ventas_b_mes1255[[#This Row],[CUIT]],Lista_CUIT[#All],2,0)),"CUIT NO CARGADO")</f>
        <v>-</v>
      </c>
      <c r="H516" s="99">
        <f>ventas_b_mes1255[[#This Row],[TOTAL]]/1.21</f>
        <v>0</v>
      </c>
      <c r="I516" s="64">
        <f>ventas_b_mes1255[[#This Row],[IMPORTE NETO]]*0.21</f>
        <v>0</v>
      </c>
      <c r="J516" s="140"/>
      <c r="K516" s="140"/>
      <c r="L516" s="140"/>
      <c r="M516" s="59"/>
    </row>
    <row r="517" spans="2:13" x14ac:dyDescent="0.25">
      <c r="B517" s="134"/>
      <c r="C517" s="135"/>
      <c r="D517" s="136"/>
      <c r="E517" s="137"/>
      <c r="F517" s="138"/>
      <c r="G517" s="1" t="str">
        <f>IFERROR(IF(ventas_b_mes1255[[#This Row],[CUIT]]="","-",VLOOKUP(ventas_b_mes1255[[#This Row],[CUIT]],Lista_CUIT[#All],2,0)),"CUIT NO CARGADO")</f>
        <v>-</v>
      </c>
      <c r="H517" s="99">
        <f>ventas_b_mes1255[[#This Row],[TOTAL]]/1.21</f>
        <v>0</v>
      </c>
      <c r="I517" s="64">
        <f>ventas_b_mes1255[[#This Row],[IMPORTE NETO]]*0.21</f>
        <v>0</v>
      </c>
      <c r="J517" s="140"/>
      <c r="K517" s="140"/>
      <c r="L517" s="140"/>
      <c r="M517" s="59"/>
    </row>
    <row r="518" spans="2:13" x14ac:dyDescent="0.25">
      <c r="B518" s="134"/>
      <c r="C518" s="135"/>
      <c r="D518" s="136"/>
      <c r="E518" s="137"/>
      <c r="F518" s="138"/>
      <c r="G518" s="1" t="str">
        <f>IFERROR(IF(ventas_b_mes1255[[#This Row],[CUIT]]="","-",VLOOKUP(ventas_b_mes1255[[#This Row],[CUIT]],Lista_CUIT[#All],2,0)),"CUIT NO CARGADO")</f>
        <v>-</v>
      </c>
      <c r="H518" s="99">
        <f>ventas_b_mes1255[[#This Row],[TOTAL]]/1.21</f>
        <v>0</v>
      </c>
      <c r="I518" s="64">
        <f>ventas_b_mes1255[[#This Row],[IMPORTE NETO]]*0.21</f>
        <v>0</v>
      </c>
      <c r="J518" s="140"/>
      <c r="K518" s="140"/>
      <c r="L518" s="140"/>
      <c r="M518" s="59"/>
    </row>
    <row r="519" spans="2:13" x14ac:dyDescent="0.25">
      <c r="B519" s="134"/>
      <c r="C519" s="135"/>
      <c r="D519" s="136"/>
      <c r="E519" s="137"/>
      <c r="F519" s="138"/>
      <c r="G519" s="1" t="str">
        <f>IFERROR(IF(ventas_b_mes1255[[#This Row],[CUIT]]="","-",VLOOKUP(ventas_b_mes1255[[#This Row],[CUIT]],Lista_CUIT[#All],2,0)),"CUIT NO CARGADO")</f>
        <v>-</v>
      </c>
      <c r="H519" s="99">
        <f>ventas_b_mes1255[[#This Row],[TOTAL]]/1.21</f>
        <v>0</v>
      </c>
      <c r="I519" s="64">
        <f>ventas_b_mes1255[[#This Row],[IMPORTE NETO]]*0.21</f>
        <v>0</v>
      </c>
      <c r="J519" s="140"/>
      <c r="K519" s="140"/>
      <c r="L519" s="140"/>
      <c r="M519" s="59"/>
    </row>
    <row r="520" spans="2:13" x14ac:dyDescent="0.25">
      <c r="B520" s="134"/>
      <c r="C520" s="135"/>
      <c r="D520" s="136"/>
      <c r="E520" s="137"/>
      <c r="F520" s="138"/>
      <c r="G520" s="1" t="str">
        <f>IFERROR(IF(ventas_b_mes1255[[#This Row],[CUIT]]="","-",VLOOKUP(ventas_b_mes1255[[#This Row],[CUIT]],Lista_CUIT[#All],2,0)),"CUIT NO CARGADO")</f>
        <v>-</v>
      </c>
      <c r="H520" s="99">
        <f>ventas_b_mes1255[[#This Row],[TOTAL]]/1.21</f>
        <v>0</v>
      </c>
      <c r="I520" s="64">
        <f>ventas_b_mes1255[[#This Row],[IMPORTE NETO]]*0.21</f>
        <v>0</v>
      </c>
      <c r="J520" s="140"/>
      <c r="K520" s="140"/>
      <c r="L520" s="140"/>
      <c r="M520" s="59"/>
    </row>
    <row r="521" spans="2:13" x14ac:dyDescent="0.25">
      <c r="B521" s="134"/>
      <c r="C521" s="135"/>
      <c r="D521" s="136"/>
      <c r="E521" s="137"/>
      <c r="F521" s="138"/>
      <c r="G521" s="1" t="str">
        <f>IFERROR(IF(ventas_b_mes1255[[#This Row],[CUIT]]="","-",VLOOKUP(ventas_b_mes1255[[#This Row],[CUIT]],Lista_CUIT[#All],2,0)),"CUIT NO CARGADO")</f>
        <v>-</v>
      </c>
      <c r="H521" s="99">
        <f>ventas_b_mes1255[[#This Row],[TOTAL]]/1.21</f>
        <v>0</v>
      </c>
      <c r="I521" s="64">
        <f>ventas_b_mes1255[[#This Row],[IMPORTE NETO]]*0.21</f>
        <v>0</v>
      </c>
      <c r="J521" s="140"/>
      <c r="K521" s="140"/>
      <c r="L521" s="140"/>
      <c r="M521" s="59"/>
    </row>
    <row r="522" spans="2:13" x14ac:dyDescent="0.25">
      <c r="B522" s="134"/>
      <c r="C522" s="135"/>
      <c r="D522" s="136"/>
      <c r="E522" s="137"/>
      <c r="F522" s="138"/>
      <c r="G522" s="1" t="str">
        <f>IFERROR(IF(ventas_b_mes1255[[#This Row],[CUIT]]="","-",VLOOKUP(ventas_b_mes1255[[#This Row],[CUIT]],Lista_CUIT[#All],2,0)),"CUIT NO CARGADO")</f>
        <v>-</v>
      </c>
      <c r="H522" s="99">
        <f>ventas_b_mes1255[[#This Row],[TOTAL]]/1.21</f>
        <v>0</v>
      </c>
      <c r="I522" s="64">
        <f>ventas_b_mes1255[[#This Row],[IMPORTE NETO]]*0.21</f>
        <v>0</v>
      </c>
      <c r="J522" s="140"/>
      <c r="K522" s="140"/>
      <c r="L522" s="140"/>
      <c r="M522" s="59"/>
    </row>
    <row r="523" spans="2:13" x14ac:dyDescent="0.25">
      <c r="B523" s="134"/>
      <c r="C523" s="135"/>
      <c r="D523" s="136"/>
      <c r="E523" s="137"/>
      <c r="F523" s="138"/>
      <c r="G523" s="1" t="str">
        <f>IFERROR(IF(ventas_b_mes1255[[#This Row],[CUIT]]="","-",VLOOKUP(ventas_b_mes1255[[#This Row],[CUIT]],Lista_CUIT[#All],2,0)),"CUIT NO CARGADO")</f>
        <v>-</v>
      </c>
      <c r="H523" s="99">
        <f>ventas_b_mes1255[[#This Row],[TOTAL]]/1.21</f>
        <v>0</v>
      </c>
      <c r="I523" s="64">
        <f>ventas_b_mes1255[[#This Row],[IMPORTE NETO]]*0.21</f>
        <v>0</v>
      </c>
      <c r="J523" s="140"/>
      <c r="K523" s="140"/>
      <c r="L523" s="140"/>
      <c r="M523" s="59"/>
    </row>
    <row r="524" spans="2:13" x14ac:dyDescent="0.25">
      <c r="B524" s="134"/>
      <c r="C524" s="135"/>
      <c r="D524" s="136"/>
      <c r="E524" s="137"/>
      <c r="F524" s="138"/>
      <c r="G524" s="1" t="str">
        <f>IFERROR(IF(ventas_b_mes1255[[#This Row],[CUIT]]="","-",VLOOKUP(ventas_b_mes1255[[#This Row],[CUIT]],Lista_CUIT[#All],2,0)),"CUIT NO CARGADO")</f>
        <v>-</v>
      </c>
      <c r="H524" s="99">
        <f>ventas_b_mes1255[[#This Row],[TOTAL]]/1.21</f>
        <v>0</v>
      </c>
      <c r="I524" s="64">
        <f>ventas_b_mes1255[[#This Row],[IMPORTE NETO]]*0.21</f>
        <v>0</v>
      </c>
      <c r="J524" s="140"/>
      <c r="K524" s="140"/>
      <c r="L524" s="140"/>
      <c r="M524" s="59"/>
    </row>
    <row r="525" spans="2:13" x14ac:dyDescent="0.25">
      <c r="B525" s="134"/>
      <c r="C525" s="135"/>
      <c r="D525" s="136"/>
      <c r="E525" s="137"/>
      <c r="F525" s="138"/>
      <c r="G525" s="1" t="str">
        <f>IFERROR(IF(ventas_b_mes1255[[#This Row],[CUIT]]="","-",VLOOKUP(ventas_b_mes1255[[#This Row],[CUIT]],Lista_CUIT[#All],2,0)),"CUIT NO CARGADO")</f>
        <v>-</v>
      </c>
      <c r="H525" s="99">
        <f>ventas_b_mes1255[[#This Row],[TOTAL]]/1.21</f>
        <v>0</v>
      </c>
      <c r="I525" s="64">
        <f>ventas_b_mes1255[[#This Row],[IMPORTE NETO]]*0.21</f>
        <v>0</v>
      </c>
      <c r="J525" s="140"/>
      <c r="K525" s="140"/>
      <c r="L525" s="140"/>
      <c r="M525" s="59"/>
    </row>
    <row r="526" spans="2:13" x14ac:dyDescent="0.25">
      <c r="B526" s="134"/>
      <c r="C526" s="135"/>
      <c r="D526" s="136"/>
      <c r="E526" s="137"/>
      <c r="F526" s="138"/>
      <c r="G526" s="1" t="str">
        <f>IFERROR(IF(ventas_b_mes1255[[#This Row],[CUIT]]="","-",VLOOKUP(ventas_b_mes1255[[#This Row],[CUIT]],Lista_CUIT[#All],2,0)),"CUIT NO CARGADO")</f>
        <v>-</v>
      </c>
      <c r="H526" s="99">
        <f>ventas_b_mes1255[[#This Row],[TOTAL]]/1.21</f>
        <v>0</v>
      </c>
      <c r="I526" s="64">
        <f>ventas_b_mes1255[[#This Row],[IMPORTE NETO]]*0.21</f>
        <v>0</v>
      </c>
      <c r="J526" s="140"/>
      <c r="K526" s="140"/>
      <c r="L526" s="140"/>
      <c r="M526" s="59"/>
    </row>
    <row r="527" spans="2:13" x14ac:dyDescent="0.25">
      <c r="B527" s="134"/>
      <c r="C527" s="135"/>
      <c r="D527" s="136"/>
      <c r="E527" s="137"/>
      <c r="F527" s="138"/>
      <c r="G527" s="1" t="str">
        <f>IFERROR(IF(ventas_b_mes1255[[#This Row],[CUIT]]="","-",VLOOKUP(ventas_b_mes1255[[#This Row],[CUIT]],Lista_CUIT[#All],2,0)),"CUIT NO CARGADO")</f>
        <v>-</v>
      </c>
      <c r="H527" s="99">
        <f>ventas_b_mes1255[[#This Row],[TOTAL]]/1.21</f>
        <v>0</v>
      </c>
      <c r="I527" s="64">
        <f>ventas_b_mes1255[[#This Row],[IMPORTE NETO]]*0.21</f>
        <v>0</v>
      </c>
      <c r="J527" s="140"/>
      <c r="K527" s="140"/>
      <c r="L527" s="140"/>
      <c r="M527" s="59"/>
    </row>
    <row r="528" spans="2:13" x14ac:dyDescent="0.25">
      <c r="B528" s="134"/>
      <c r="C528" s="135"/>
      <c r="D528" s="136"/>
      <c r="E528" s="137"/>
      <c r="F528" s="138"/>
      <c r="G528" s="1" t="str">
        <f>IFERROR(IF(ventas_b_mes1255[[#This Row],[CUIT]]="","-",VLOOKUP(ventas_b_mes1255[[#This Row],[CUIT]],Lista_CUIT[#All],2,0)),"CUIT NO CARGADO")</f>
        <v>-</v>
      </c>
      <c r="H528" s="99">
        <f>ventas_b_mes1255[[#This Row],[TOTAL]]/1.21</f>
        <v>0</v>
      </c>
      <c r="I528" s="64">
        <f>ventas_b_mes1255[[#This Row],[IMPORTE NETO]]*0.21</f>
        <v>0</v>
      </c>
      <c r="J528" s="140"/>
      <c r="K528" s="140"/>
      <c r="L528" s="140"/>
      <c r="M528" s="59"/>
    </row>
    <row r="529" spans="2:13" x14ac:dyDescent="0.25">
      <c r="B529" s="134"/>
      <c r="C529" s="135"/>
      <c r="D529" s="136"/>
      <c r="E529" s="137"/>
      <c r="F529" s="138"/>
      <c r="G529" s="1" t="str">
        <f>IFERROR(IF(ventas_b_mes1255[[#This Row],[CUIT]]="","-",VLOOKUP(ventas_b_mes1255[[#This Row],[CUIT]],Lista_CUIT[#All],2,0)),"CUIT NO CARGADO")</f>
        <v>-</v>
      </c>
      <c r="H529" s="99">
        <f>ventas_b_mes1255[[#This Row],[TOTAL]]/1.21</f>
        <v>0</v>
      </c>
      <c r="I529" s="64">
        <f>ventas_b_mes1255[[#This Row],[IMPORTE NETO]]*0.21</f>
        <v>0</v>
      </c>
      <c r="J529" s="140"/>
      <c r="K529" s="140"/>
      <c r="L529" s="140"/>
      <c r="M529" s="59"/>
    </row>
    <row r="530" spans="2:13" x14ac:dyDescent="0.25">
      <c r="B530" s="134"/>
      <c r="C530" s="135"/>
      <c r="D530" s="136"/>
      <c r="E530" s="137"/>
      <c r="F530" s="138"/>
      <c r="G530" s="1" t="str">
        <f>IFERROR(IF(ventas_b_mes1255[[#This Row],[CUIT]]="","-",VLOOKUP(ventas_b_mes1255[[#This Row],[CUIT]],Lista_CUIT[#All],2,0)),"CUIT NO CARGADO")</f>
        <v>-</v>
      </c>
      <c r="H530" s="99">
        <f>ventas_b_mes1255[[#This Row],[TOTAL]]/1.21</f>
        <v>0</v>
      </c>
      <c r="I530" s="64">
        <f>ventas_b_mes1255[[#This Row],[IMPORTE NETO]]*0.21</f>
        <v>0</v>
      </c>
      <c r="J530" s="140"/>
      <c r="K530" s="140"/>
      <c r="L530" s="140"/>
      <c r="M530" s="59"/>
    </row>
    <row r="531" spans="2:13" x14ac:dyDescent="0.25">
      <c r="B531" s="134"/>
      <c r="C531" s="135"/>
      <c r="D531" s="136"/>
      <c r="E531" s="137"/>
      <c r="F531" s="138"/>
      <c r="G531" s="1" t="str">
        <f>IFERROR(IF(ventas_b_mes1255[[#This Row],[CUIT]]="","-",VLOOKUP(ventas_b_mes1255[[#This Row],[CUIT]],Lista_CUIT[#All],2,0)),"CUIT NO CARGADO")</f>
        <v>-</v>
      </c>
      <c r="H531" s="99">
        <f>ventas_b_mes1255[[#This Row],[TOTAL]]/1.21</f>
        <v>0</v>
      </c>
      <c r="I531" s="64">
        <f>ventas_b_mes1255[[#This Row],[IMPORTE NETO]]*0.21</f>
        <v>0</v>
      </c>
      <c r="J531" s="140"/>
      <c r="K531" s="140"/>
      <c r="L531" s="140"/>
      <c r="M531" s="59"/>
    </row>
    <row r="532" spans="2:13" x14ac:dyDescent="0.25">
      <c r="B532" s="134"/>
      <c r="C532" s="135"/>
      <c r="D532" s="136"/>
      <c r="E532" s="137"/>
      <c r="F532" s="138"/>
      <c r="G532" s="1" t="str">
        <f>IFERROR(IF(ventas_b_mes1255[[#This Row],[CUIT]]="","-",VLOOKUP(ventas_b_mes1255[[#This Row],[CUIT]],Lista_CUIT[#All],2,0)),"CUIT NO CARGADO")</f>
        <v>-</v>
      </c>
      <c r="H532" s="99">
        <f>ventas_b_mes1255[[#This Row],[TOTAL]]/1.21</f>
        <v>0</v>
      </c>
      <c r="I532" s="64">
        <f>ventas_b_mes1255[[#This Row],[IMPORTE NETO]]*0.21</f>
        <v>0</v>
      </c>
      <c r="J532" s="140"/>
      <c r="K532" s="140"/>
      <c r="L532" s="140"/>
      <c r="M532" s="59"/>
    </row>
    <row r="533" spans="2:13" x14ac:dyDescent="0.25">
      <c r="B533" s="134"/>
      <c r="C533" s="135"/>
      <c r="D533" s="136"/>
      <c r="E533" s="137"/>
      <c r="F533" s="138"/>
      <c r="G533" s="1" t="str">
        <f>IFERROR(IF(ventas_b_mes1255[[#This Row],[CUIT]]="","-",VLOOKUP(ventas_b_mes1255[[#This Row],[CUIT]],Lista_CUIT[#All],2,0)),"CUIT NO CARGADO")</f>
        <v>-</v>
      </c>
      <c r="H533" s="99">
        <f>ventas_b_mes1255[[#This Row],[TOTAL]]/1.21</f>
        <v>0</v>
      </c>
      <c r="I533" s="64">
        <f>ventas_b_mes1255[[#This Row],[IMPORTE NETO]]*0.21</f>
        <v>0</v>
      </c>
      <c r="J533" s="140"/>
      <c r="K533" s="140"/>
      <c r="L533" s="140"/>
      <c r="M533" s="59"/>
    </row>
    <row r="534" spans="2:13" x14ac:dyDescent="0.25">
      <c r="B534" s="134"/>
      <c r="C534" s="135"/>
      <c r="D534" s="136"/>
      <c r="E534" s="137"/>
      <c r="F534" s="138"/>
      <c r="G534" s="1" t="str">
        <f>IFERROR(IF(ventas_b_mes1255[[#This Row],[CUIT]]="","-",VLOOKUP(ventas_b_mes1255[[#This Row],[CUIT]],Lista_CUIT[#All],2,0)),"CUIT NO CARGADO")</f>
        <v>-</v>
      </c>
      <c r="H534" s="99">
        <f>ventas_b_mes1255[[#This Row],[TOTAL]]/1.21</f>
        <v>0</v>
      </c>
      <c r="I534" s="64">
        <f>ventas_b_mes1255[[#This Row],[IMPORTE NETO]]*0.21</f>
        <v>0</v>
      </c>
      <c r="J534" s="140"/>
      <c r="K534" s="140"/>
      <c r="L534" s="140"/>
      <c r="M534" s="59"/>
    </row>
    <row r="535" spans="2:13" x14ac:dyDescent="0.25">
      <c r="B535" s="134"/>
      <c r="C535" s="135"/>
      <c r="D535" s="136"/>
      <c r="E535" s="137"/>
      <c r="F535" s="138"/>
      <c r="G535" s="1" t="str">
        <f>IFERROR(IF(ventas_b_mes1255[[#This Row],[CUIT]]="","-",VLOOKUP(ventas_b_mes1255[[#This Row],[CUIT]],Lista_CUIT[#All],2,0)),"CUIT NO CARGADO")</f>
        <v>-</v>
      </c>
      <c r="H535" s="99">
        <f>ventas_b_mes1255[[#This Row],[TOTAL]]/1.21</f>
        <v>0</v>
      </c>
      <c r="I535" s="64">
        <f>ventas_b_mes1255[[#This Row],[IMPORTE NETO]]*0.21</f>
        <v>0</v>
      </c>
      <c r="J535" s="140"/>
      <c r="K535" s="140"/>
      <c r="L535" s="140"/>
      <c r="M535" s="59"/>
    </row>
    <row r="536" spans="2:13" x14ac:dyDescent="0.25">
      <c r="B536" s="134"/>
      <c r="C536" s="135"/>
      <c r="D536" s="136"/>
      <c r="E536" s="137"/>
      <c r="F536" s="138"/>
      <c r="G536" s="1" t="str">
        <f>IFERROR(IF(ventas_b_mes1255[[#This Row],[CUIT]]="","-",VLOOKUP(ventas_b_mes1255[[#This Row],[CUIT]],Lista_CUIT[#All],2,0)),"CUIT NO CARGADO")</f>
        <v>-</v>
      </c>
      <c r="H536" s="99">
        <f>ventas_b_mes1255[[#This Row],[TOTAL]]/1.21</f>
        <v>0</v>
      </c>
      <c r="I536" s="64">
        <f>ventas_b_mes1255[[#This Row],[IMPORTE NETO]]*0.21</f>
        <v>0</v>
      </c>
      <c r="J536" s="140"/>
      <c r="K536" s="140"/>
      <c r="L536" s="140"/>
      <c r="M536" s="59"/>
    </row>
    <row r="537" spans="2:13" x14ac:dyDescent="0.25">
      <c r="B537" s="134"/>
      <c r="C537" s="135"/>
      <c r="D537" s="136"/>
      <c r="E537" s="137"/>
      <c r="F537" s="138"/>
      <c r="G537" s="1" t="str">
        <f>IFERROR(IF(ventas_b_mes1255[[#This Row],[CUIT]]="","-",VLOOKUP(ventas_b_mes1255[[#This Row],[CUIT]],Lista_CUIT[#All],2,0)),"CUIT NO CARGADO")</f>
        <v>-</v>
      </c>
      <c r="H537" s="99">
        <f>ventas_b_mes1255[[#This Row],[TOTAL]]/1.21</f>
        <v>0</v>
      </c>
      <c r="I537" s="64">
        <f>ventas_b_mes1255[[#This Row],[IMPORTE NETO]]*0.21</f>
        <v>0</v>
      </c>
      <c r="J537" s="140"/>
      <c r="K537" s="140"/>
      <c r="L537" s="140"/>
      <c r="M537" s="59"/>
    </row>
    <row r="538" spans="2:13" x14ac:dyDescent="0.25">
      <c r="B538" s="134"/>
      <c r="C538" s="135"/>
      <c r="D538" s="136"/>
      <c r="E538" s="137"/>
      <c r="F538" s="138"/>
      <c r="G538" s="1" t="str">
        <f>IFERROR(IF(ventas_b_mes1255[[#This Row],[CUIT]]="","-",VLOOKUP(ventas_b_mes1255[[#This Row],[CUIT]],Lista_CUIT[#All],2,0)),"CUIT NO CARGADO")</f>
        <v>-</v>
      </c>
      <c r="H538" s="99">
        <f>ventas_b_mes1255[[#This Row],[TOTAL]]/1.21</f>
        <v>0</v>
      </c>
      <c r="I538" s="64">
        <f>ventas_b_mes1255[[#This Row],[IMPORTE NETO]]*0.21</f>
        <v>0</v>
      </c>
      <c r="J538" s="140"/>
      <c r="K538" s="140"/>
      <c r="L538" s="140"/>
      <c r="M538" s="59"/>
    </row>
    <row r="539" spans="2:13" x14ac:dyDescent="0.25">
      <c r="B539" s="134"/>
      <c r="C539" s="135"/>
      <c r="D539" s="136"/>
      <c r="E539" s="137"/>
      <c r="F539" s="138"/>
      <c r="G539" s="1" t="str">
        <f>IFERROR(IF(ventas_b_mes1255[[#This Row],[CUIT]]="","-",VLOOKUP(ventas_b_mes1255[[#This Row],[CUIT]],Lista_CUIT[#All],2,0)),"CUIT NO CARGADO")</f>
        <v>-</v>
      </c>
      <c r="H539" s="99">
        <f>ventas_b_mes1255[[#This Row],[TOTAL]]/1.21</f>
        <v>0</v>
      </c>
      <c r="I539" s="64">
        <f>ventas_b_mes1255[[#This Row],[IMPORTE NETO]]*0.21</f>
        <v>0</v>
      </c>
      <c r="J539" s="140"/>
      <c r="K539" s="140"/>
      <c r="L539" s="140"/>
      <c r="M539" s="59"/>
    </row>
    <row r="540" spans="2:13" x14ac:dyDescent="0.25">
      <c r="B540" s="134"/>
      <c r="C540" s="135"/>
      <c r="D540" s="136"/>
      <c r="E540" s="137"/>
      <c r="F540" s="138"/>
      <c r="G540" s="1" t="str">
        <f>IFERROR(IF(ventas_b_mes1255[[#This Row],[CUIT]]="","-",VLOOKUP(ventas_b_mes1255[[#This Row],[CUIT]],Lista_CUIT[#All],2,0)),"CUIT NO CARGADO")</f>
        <v>-</v>
      </c>
      <c r="H540" s="99">
        <f>ventas_b_mes1255[[#This Row],[TOTAL]]/1.21</f>
        <v>0</v>
      </c>
      <c r="I540" s="64">
        <f>ventas_b_mes1255[[#This Row],[IMPORTE NETO]]*0.21</f>
        <v>0</v>
      </c>
      <c r="J540" s="140"/>
      <c r="K540" s="140"/>
      <c r="L540" s="140"/>
      <c r="M540" s="59"/>
    </row>
    <row r="541" spans="2:13" x14ac:dyDescent="0.25">
      <c r="B541" s="134"/>
      <c r="C541" s="135"/>
      <c r="D541" s="136"/>
      <c r="E541" s="137"/>
      <c r="F541" s="138"/>
      <c r="G541" s="1" t="str">
        <f>IFERROR(IF(ventas_b_mes1255[[#This Row],[CUIT]]="","-",VLOOKUP(ventas_b_mes1255[[#This Row],[CUIT]],Lista_CUIT[#All],2,0)),"CUIT NO CARGADO")</f>
        <v>-</v>
      </c>
      <c r="H541" s="99">
        <f>ventas_b_mes1255[[#This Row],[TOTAL]]/1.21</f>
        <v>0</v>
      </c>
      <c r="I541" s="64">
        <f>ventas_b_mes1255[[#This Row],[IMPORTE NETO]]*0.21</f>
        <v>0</v>
      </c>
      <c r="J541" s="140"/>
      <c r="K541" s="140"/>
      <c r="L541" s="140"/>
      <c r="M541" s="59"/>
    </row>
    <row r="542" spans="2:13" x14ac:dyDescent="0.25">
      <c r="B542" s="134"/>
      <c r="C542" s="135"/>
      <c r="D542" s="136"/>
      <c r="E542" s="137"/>
      <c r="F542" s="138"/>
      <c r="G542" s="1" t="str">
        <f>IFERROR(IF(ventas_b_mes1255[[#This Row],[CUIT]]="","-",VLOOKUP(ventas_b_mes1255[[#This Row],[CUIT]],Lista_CUIT[#All],2,0)),"CUIT NO CARGADO")</f>
        <v>-</v>
      </c>
      <c r="H542" s="99">
        <f>ventas_b_mes1255[[#This Row],[TOTAL]]/1.21</f>
        <v>0</v>
      </c>
      <c r="I542" s="64">
        <f>ventas_b_mes1255[[#This Row],[IMPORTE NETO]]*0.21</f>
        <v>0</v>
      </c>
      <c r="J542" s="140"/>
      <c r="K542" s="140"/>
      <c r="L542" s="140"/>
      <c r="M542" s="59"/>
    </row>
    <row r="543" spans="2:13" x14ac:dyDescent="0.25">
      <c r="B543" s="134"/>
      <c r="C543" s="135"/>
      <c r="D543" s="136"/>
      <c r="E543" s="137"/>
      <c r="F543" s="138"/>
      <c r="G543" s="1" t="str">
        <f>IFERROR(IF(ventas_b_mes1255[[#This Row],[CUIT]]="","-",VLOOKUP(ventas_b_mes1255[[#This Row],[CUIT]],Lista_CUIT[#All],2,0)),"CUIT NO CARGADO")</f>
        <v>-</v>
      </c>
      <c r="H543" s="99">
        <f>ventas_b_mes1255[[#This Row],[TOTAL]]/1.21</f>
        <v>0</v>
      </c>
      <c r="I543" s="64">
        <f>ventas_b_mes1255[[#This Row],[IMPORTE NETO]]*0.21</f>
        <v>0</v>
      </c>
      <c r="J543" s="140"/>
      <c r="K543" s="140"/>
      <c r="L543" s="140"/>
      <c r="M543" s="59"/>
    </row>
    <row r="544" spans="2:13" x14ac:dyDescent="0.25">
      <c r="B544" s="134"/>
      <c r="C544" s="135"/>
      <c r="D544" s="136"/>
      <c r="E544" s="137"/>
      <c r="F544" s="138"/>
      <c r="G544" s="1" t="str">
        <f>IFERROR(IF(ventas_b_mes1255[[#This Row],[CUIT]]="","-",VLOOKUP(ventas_b_mes1255[[#This Row],[CUIT]],Lista_CUIT[#All],2,0)),"CUIT NO CARGADO")</f>
        <v>-</v>
      </c>
      <c r="H544" s="99">
        <f>ventas_b_mes1255[[#This Row],[TOTAL]]/1.21</f>
        <v>0</v>
      </c>
      <c r="I544" s="64">
        <f>ventas_b_mes1255[[#This Row],[IMPORTE NETO]]*0.21</f>
        <v>0</v>
      </c>
      <c r="J544" s="140"/>
      <c r="K544" s="140"/>
      <c r="L544" s="140"/>
      <c r="M544" s="59"/>
    </row>
    <row r="545" spans="2:13" x14ac:dyDescent="0.25">
      <c r="B545" s="134"/>
      <c r="C545" s="135"/>
      <c r="D545" s="136"/>
      <c r="E545" s="137"/>
      <c r="F545" s="138"/>
      <c r="G545" s="1" t="str">
        <f>IFERROR(IF(ventas_b_mes1255[[#This Row],[CUIT]]="","-",VLOOKUP(ventas_b_mes1255[[#This Row],[CUIT]],Lista_CUIT[#All],2,0)),"CUIT NO CARGADO")</f>
        <v>-</v>
      </c>
      <c r="H545" s="99">
        <f>ventas_b_mes1255[[#This Row],[TOTAL]]/1.21</f>
        <v>0</v>
      </c>
      <c r="I545" s="64">
        <f>ventas_b_mes1255[[#This Row],[IMPORTE NETO]]*0.21</f>
        <v>0</v>
      </c>
      <c r="J545" s="140"/>
      <c r="K545" s="140"/>
      <c r="L545" s="140"/>
      <c r="M545" s="59"/>
    </row>
    <row r="546" spans="2:13" x14ac:dyDescent="0.25">
      <c r="B546" s="134"/>
      <c r="C546" s="135"/>
      <c r="D546" s="136"/>
      <c r="E546" s="137"/>
      <c r="F546" s="138"/>
      <c r="G546" s="1" t="str">
        <f>IFERROR(IF(ventas_b_mes1255[[#This Row],[CUIT]]="","-",VLOOKUP(ventas_b_mes1255[[#This Row],[CUIT]],Lista_CUIT[#All],2,0)),"CUIT NO CARGADO")</f>
        <v>-</v>
      </c>
      <c r="H546" s="99">
        <f>ventas_b_mes1255[[#This Row],[TOTAL]]/1.21</f>
        <v>0</v>
      </c>
      <c r="I546" s="64">
        <f>ventas_b_mes1255[[#This Row],[IMPORTE NETO]]*0.21</f>
        <v>0</v>
      </c>
      <c r="J546" s="140"/>
      <c r="K546" s="140"/>
      <c r="L546" s="140"/>
      <c r="M546" s="59"/>
    </row>
    <row r="547" spans="2:13" x14ac:dyDescent="0.25">
      <c r="B547" s="134"/>
      <c r="C547" s="135"/>
      <c r="D547" s="136"/>
      <c r="E547" s="137"/>
      <c r="F547" s="138"/>
      <c r="G547" s="1" t="str">
        <f>IFERROR(IF(ventas_b_mes1255[[#This Row],[CUIT]]="","-",VLOOKUP(ventas_b_mes1255[[#This Row],[CUIT]],Lista_CUIT[#All],2,0)),"CUIT NO CARGADO")</f>
        <v>-</v>
      </c>
      <c r="H547" s="99">
        <f>ventas_b_mes1255[[#This Row],[TOTAL]]/1.21</f>
        <v>0</v>
      </c>
      <c r="I547" s="64">
        <f>ventas_b_mes1255[[#This Row],[IMPORTE NETO]]*0.21</f>
        <v>0</v>
      </c>
      <c r="J547" s="140"/>
      <c r="K547" s="140"/>
      <c r="L547" s="140"/>
      <c r="M547" s="59"/>
    </row>
    <row r="548" spans="2:13" x14ac:dyDescent="0.25">
      <c r="B548" s="134"/>
      <c r="C548" s="135"/>
      <c r="D548" s="136"/>
      <c r="E548" s="137"/>
      <c r="F548" s="138"/>
      <c r="G548" s="1" t="str">
        <f>IFERROR(IF(ventas_b_mes1255[[#This Row],[CUIT]]="","-",VLOOKUP(ventas_b_mes1255[[#This Row],[CUIT]],Lista_CUIT[#All],2,0)),"CUIT NO CARGADO")</f>
        <v>-</v>
      </c>
      <c r="H548" s="99">
        <f>ventas_b_mes1255[[#This Row],[TOTAL]]/1.21</f>
        <v>0</v>
      </c>
      <c r="I548" s="64">
        <f>ventas_b_mes1255[[#This Row],[IMPORTE NETO]]*0.21</f>
        <v>0</v>
      </c>
      <c r="J548" s="140"/>
      <c r="K548" s="140"/>
      <c r="L548" s="140"/>
      <c r="M548" s="59"/>
    </row>
    <row r="549" spans="2:13" x14ac:dyDescent="0.25">
      <c r="B549" s="134"/>
      <c r="C549" s="135"/>
      <c r="D549" s="136"/>
      <c r="E549" s="137"/>
      <c r="F549" s="138"/>
      <c r="G549" s="1" t="str">
        <f>IFERROR(IF(ventas_b_mes1255[[#This Row],[CUIT]]="","-",VLOOKUP(ventas_b_mes1255[[#This Row],[CUIT]],Lista_CUIT[#All],2,0)),"CUIT NO CARGADO")</f>
        <v>-</v>
      </c>
      <c r="H549" s="99">
        <f>ventas_b_mes1255[[#This Row],[TOTAL]]/1.21</f>
        <v>0</v>
      </c>
      <c r="I549" s="64">
        <f>ventas_b_mes1255[[#This Row],[IMPORTE NETO]]*0.21</f>
        <v>0</v>
      </c>
      <c r="J549" s="140"/>
      <c r="K549" s="140"/>
      <c r="L549" s="140"/>
      <c r="M549" s="59"/>
    </row>
    <row r="550" spans="2:13" x14ac:dyDescent="0.25">
      <c r="B550" s="134"/>
      <c r="C550" s="135"/>
      <c r="D550" s="136"/>
      <c r="E550" s="137"/>
      <c r="F550" s="138"/>
      <c r="G550" s="1" t="str">
        <f>IFERROR(IF(ventas_b_mes1255[[#This Row],[CUIT]]="","-",VLOOKUP(ventas_b_mes1255[[#This Row],[CUIT]],Lista_CUIT[#All],2,0)),"CUIT NO CARGADO")</f>
        <v>-</v>
      </c>
      <c r="H550" s="99">
        <f>ventas_b_mes1255[[#This Row],[TOTAL]]/1.21</f>
        <v>0</v>
      </c>
      <c r="I550" s="64">
        <f>ventas_b_mes1255[[#This Row],[IMPORTE NETO]]*0.21</f>
        <v>0</v>
      </c>
      <c r="J550" s="140"/>
      <c r="K550" s="140"/>
      <c r="L550" s="140"/>
      <c r="M550" s="59"/>
    </row>
    <row r="551" spans="2:13" x14ac:dyDescent="0.25">
      <c r="B551" s="134"/>
      <c r="C551" s="135"/>
      <c r="D551" s="136"/>
      <c r="E551" s="137"/>
      <c r="F551" s="138"/>
      <c r="G551" s="1" t="str">
        <f>IFERROR(IF(ventas_b_mes1255[[#This Row],[CUIT]]="","-",VLOOKUP(ventas_b_mes1255[[#This Row],[CUIT]],Lista_CUIT[#All],2,0)),"CUIT NO CARGADO")</f>
        <v>-</v>
      </c>
      <c r="H551" s="99">
        <f>ventas_b_mes1255[[#This Row],[TOTAL]]/1.21</f>
        <v>0</v>
      </c>
      <c r="I551" s="64">
        <f>ventas_b_mes1255[[#This Row],[IMPORTE NETO]]*0.21</f>
        <v>0</v>
      </c>
      <c r="J551" s="140"/>
      <c r="K551" s="140"/>
      <c r="L551" s="140"/>
      <c r="M551" s="59"/>
    </row>
    <row r="552" spans="2:13" x14ac:dyDescent="0.25">
      <c r="B552" s="134"/>
      <c r="C552" s="135"/>
      <c r="D552" s="136"/>
      <c r="E552" s="137"/>
      <c r="F552" s="138"/>
      <c r="G552" s="1" t="str">
        <f>IFERROR(IF(ventas_b_mes1255[[#This Row],[CUIT]]="","-",VLOOKUP(ventas_b_mes1255[[#This Row],[CUIT]],Lista_CUIT[#All],2,0)),"CUIT NO CARGADO")</f>
        <v>-</v>
      </c>
      <c r="H552" s="99">
        <f>ventas_b_mes1255[[#This Row],[TOTAL]]/1.21</f>
        <v>0</v>
      </c>
      <c r="I552" s="64">
        <f>ventas_b_mes1255[[#This Row],[IMPORTE NETO]]*0.21</f>
        <v>0</v>
      </c>
      <c r="J552" s="140"/>
      <c r="K552" s="140"/>
      <c r="L552" s="140"/>
      <c r="M552" s="59"/>
    </row>
    <row r="553" spans="2:13" x14ac:dyDescent="0.25">
      <c r="B553" s="134"/>
      <c r="C553" s="135"/>
      <c r="D553" s="136"/>
      <c r="E553" s="137"/>
      <c r="F553" s="138"/>
      <c r="G553" s="1" t="str">
        <f>IFERROR(IF(ventas_b_mes1255[[#This Row],[CUIT]]="","-",VLOOKUP(ventas_b_mes1255[[#This Row],[CUIT]],Lista_CUIT[#All],2,0)),"CUIT NO CARGADO")</f>
        <v>-</v>
      </c>
      <c r="H553" s="99">
        <f>ventas_b_mes1255[[#This Row],[TOTAL]]/1.21</f>
        <v>0</v>
      </c>
      <c r="I553" s="64">
        <f>ventas_b_mes1255[[#This Row],[IMPORTE NETO]]*0.21</f>
        <v>0</v>
      </c>
      <c r="J553" s="140"/>
      <c r="K553" s="140"/>
      <c r="L553" s="140"/>
      <c r="M553" s="59"/>
    </row>
    <row r="554" spans="2:13" x14ac:dyDescent="0.25">
      <c r="B554" s="134"/>
      <c r="C554" s="135"/>
      <c r="D554" s="136"/>
      <c r="E554" s="137"/>
      <c r="F554" s="138"/>
      <c r="G554" s="1" t="str">
        <f>IFERROR(IF(ventas_b_mes1255[[#This Row],[CUIT]]="","-",VLOOKUP(ventas_b_mes1255[[#This Row],[CUIT]],Lista_CUIT[#All],2,0)),"CUIT NO CARGADO")</f>
        <v>-</v>
      </c>
      <c r="H554" s="99">
        <f>ventas_b_mes1255[[#This Row],[TOTAL]]/1.21</f>
        <v>0</v>
      </c>
      <c r="I554" s="64">
        <f>ventas_b_mes1255[[#This Row],[IMPORTE NETO]]*0.21</f>
        <v>0</v>
      </c>
      <c r="J554" s="140"/>
      <c r="K554" s="140"/>
      <c r="L554" s="140"/>
      <c r="M554" s="59"/>
    </row>
    <row r="555" spans="2:13" x14ac:dyDescent="0.25">
      <c r="B555" s="134"/>
      <c r="C555" s="135"/>
      <c r="D555" s="136"/>
      <c r="E555" s="137"/>
      <c r="F555" s="138"/>
      <c r="G555" s="1" t="str">
        <f>IFERROR(IF(ventas_b_mes1255[[#This Row],[CUIT]]="","-",VLOOKUP(ventas_b_mes1255[[#This Row],[CUIT]],Lista_CUIT[#All],2,0)),"CUIT NO CARGADO")</f>
        <v>-</v>
      </c>
      <c r="H555" s="99">
        <f>ventas_b_mes1255[[#This Row],[TOTAL]]/1.21</f>
        <v>0</v>
      </c>
      <c r="I555" s="64">
        <f>ventas_b_mes1255[[#This Row],[IMPORTE NETO]]*0.21</f>
        <v>0</v>
      </c>
      <c r="J555" s="140"/>
      <c r="K555" s="140"/>
      <c r="L555" s="140"/>
      <c r="M555" s="59"/>
    </row>
    <row r="556" spans="2:13" x14ac:dyDescent="0.25">
      <c r="B556" s="134"/>
      <c r="C556" s="135"/>
      <c r="D556" s="136"/>
      <c r="E556" s="137"/>
      <c r="F556" s="138"/>
      <c r="G556" s="1" t="str">
        <f>IFERROR(IF(ventas_b_mes1255[[#This Row],[CUIT]]="","-",VLOOKUP(ventas_b_mes1255[[#This Row],[CUIT]],Lista_CUIT[#All],2,0)),"CUIT NO CARGADO")</f>
        <v>-</v>
      </c>
      <c r="H556" s="99">
        <f>ventas_b_mes1255[[#This Row],[TOTAL]]/1.21</f>
        <v>0</v>
      </c>
      <c r="I556" s="64">
        <f>ventas_b_mes1255[[#This Row],[IMPORTE NETO]]*0.21</f>
        <v>0</v>
      </c>
      <c r="J556" s="140"/>
      <c r="K556" s="140"/>
      <c r="L556" s="140"/>
      <c r="M556" s="59"/>
    </row>
    <row r="557" spans="2:13" x14ac:dyDescent="0.25">
      <c r="B557" s="134"/>
      <c r="C557" s="135"/>
      <c r="D557" s="136"/>
      <c r="E557" s="137"/>
      <c r="F557" s="138"/>
      <c r="G557" s="1" t="str">
        <f>IFERROR(IF(ventas_b_mes1255[[#This Row],[CUIT]]="","-",VLOOKUP(ventas_b_mes1255[[#This Row],[CUIT]],Lista_CUIT[#All],2,0)),"CUIT NO CARGADO")</f>
        <v>-</v>
      </c>
      <c r="H557" s="99">
        <f>ventas_b_mes1255[[#This Row],[TOTAL]]/1.21</f>
        <v>0</v>
      </c>
      <c r="I557" s="64">
        <f>ventas_b_mes1255[[#This Row],[IMPORTE NETO]]*0.21</f>
        <v>0</v>
      </c>
      <c r="J557" s="140"/>
      <c r="K557" s="140"/>
      <c r="L557" s="140"/>
      <c r="M557" s="59"/>
    </row>
    <row r="558" spans="2:13" x14ac:dyDescent="0.25">
      <c r="B558" s="134"/>
      <c r="C558" s="135"/>
      <c r="D558" s="136"/>
      <c r="E558" s="137"/>
      <c r="F558" s="138"/>
      <c r="G558" s="1" t="str">
        <f>IFERROR(IF(ventas_b_mes1255[[#This Row],[CUIT]]="","-",VLOOKUP(ventas_b_mes1255[[#This Row],[CUIT]],Lista_CUIT[#All],2,0)),"CUIT NO CARGADO")</f>
        <v>-</v>
      </c>
      <c r="H558" s="99">
        <f>ventas_b_mes1255[[#This Row],[TOTAL]]/1.21</f>
        <v>0</v>
      </c>
      <c r="I558" s="64">
        <f>ventas_b_mes1255[[#This Row],[IMPORTE NETO]]*0.21</f>
        <v>0</v>
      </c>
      <c r="J558" s="140"/>
      <c r="K558" s="140"/>
      <c r="L558" s="140"/>
      <c r="M558" s="59"/>
    </row>
    <row r="559" spans="2:13" x14ac:dyDescent="0.25">
      <c r="B559" s="134"/>
      <c r="C559" s="135"/>
      <c r="D559" s="136"/>
      <c r="E559" s="137"/>
      <c r="F559" s="138"/>
      <c r="G559" s="1" t="str">
        <f>IFERROR(IF(ventas_b_mes1255[[#This Row],[CUIT]]="","-",VLOOKUP(ventas_b_mes1255[[#This Row],[CUIT]],Lista_CUIT[#All],2,0)),"CUIT NO CARGADO")</f>
        <v>-</v>
      </c>
      <c r="H559" s="99">
        <f>ventas_b_mes1255[[#This Row],[TOTAL]]/1.21</f>
        <v>0</v>
      </c>
      <c r="I559" s="64">
        <f>ventas_b_mes1255[[#This Row],[IMPORTE NETO]]*0.21</f>
        <v>0</v>
      </c>
      <c r="J559" s="140"/>
      <c r="K559" s="140"/>
      <c r="L559" s="140"/>
      <c r="M559" s="59"/>
    </row>
    <row r="560" spans="2:13" x14ac:dyDescent="0.25">
      <c r="B560" s="134"/>
      <c r="C560" s="135"/>
      <c r="D560" s="136"/>
      <c r="E560" s="137"/>
      <c r="F560" s="138"/>
      <c r="G560" s="1" t="str">
        <f>IFERROR(IF(ventas_b_mes1255[[#This Row],[CUIT]]="","-",VLOOKUP(ventas_b_mes1255[[#This Row],[CUIT]],Lista_CUIT[#All],2,0)),"CUIT NO CARGADO")</f>
        <v>-</v>
      </c>
      <c r="H560" s="99">
        <f>ventas_b_mes1255[[#This Row],[TOTAL]]/1.21</f>
        <v>0</v>
      </c>
      <c r="I560" s="64">
        <f>ventas_b_mes1255[[#This Row],[IMPORTE NETO]]*0.21</f>
        <v>0</v>
      </c>
      <c r="J560" s="140"/>
      <c r="K560" s="140"/>
      <c r="L560" s="140"/>
      <c r="M560" s="59"/>
    </row>
    <row r="561" spans="2:13" x14ac:dyDescent="0.25">
      <c r="B561" s="134"/>
      <c r="C561" s="135"/>
      <c r="D561" s="136"/>
      <c r="E561" s="137"/>
      <c r="F561" s="138"/>
      <c r="G561" s="1" t="str">
        <f>IFERROR(IF(ventas_b_mes1255[[#This Row],[CUIT]]="","-",VLOOKUP(ventas_b_mes1255[[#This Row],[CUIT]],Lista_CUIT[#All],2,0)),"CUIT NO CARGADO")</f>
        <v>-</v>
      </c>
      <c r="H561" s="99">
        <f>ventas_b_mes1255[[#This Row],[TOTAL]]/1.21</f>
        <v>0</v>
      </c>
      <c r="I561" s="64">
        <f>ventas_b_mes1255[[#This Row],[IMPORTE NETO]]*0.21</f>
        <v>0</v>
      </c>
      <c r="J561" s="140"/>
      <c r="K561" s="140"/>
      <c r="L561" s="140"/>
      <c r="M561" s="59"/>
    </row>
    <row r="562" spans="2:13" x14ac:dyDescent="0.25">
      <c r="B562" s="134"/>
      <c r="C562" s="135"/>
      <c r="D562" s="136"/>
      <c r="E562" s="137"/>
      <c r="F562" s="138"/>
      <c r="G562" s="1" t="str">
        <f>IFERROR(IF(ventas_b_mes1255[[#This Row],[CUIT]]="","-",VLOOKUP(ventas_b_mes1255[[#This Row],[CUIT]],Lista_CUIT[#All],2,0)),"CUIT NO CARGADO")</f>
        <v>-</v>
      </c>
      <c r="H562" s="99">
        <f>ventas_b_mes1255[[#This Row],[TOTAL]]/1.21</f>
        <v>0</v>
      </c>
      <c r="I562" s="64">
        <f>ventas_b_mes1255[[#This Row],[IMPORTE NETO]]*0.21</f>
        <v>0</v>
      </c>
      <c r="J562" s="140"/>
      <c r="K562" s="140"/>
      <c r="L562" s="140"/>
      <c r="M562" s="59"/>
    </row>
    <row r="563" spans="2:13" x14ac:dyDescent="0.25">
      <c r="B563" s="134"/>
      <c r="C563" s="135"/>
      <c r="D563" s="136"/>
      <c r="E563" s="137"/>
      <c r="F563" s="138"/>
      <c r="G563" s="1" t="str">
        <f>IFERROR(IF(ventas_b_mes1255[[#This Row],[CUIT]]="","-",VLOOKUP(ventas_b_mes1255[[#This Row],[CUIT]],Lista_CUIT[#All],2,0)),"CUIT NO CARGADO")</f>
        <v>-</v>
      </c>
      <c r="H563" s="99">
        <f>ventas_b_mes1255[[#This Row],[TOTAL]]/1.21</f>
        <v>0</v>
      </c>
      <c r="I563" s="64">
        <f>ventas_b_mes1255[[#This Row],[IMPORTE NETO]]*0.21</f>
        <v>0</v>
      </c>
      <c r="J563" s="140"/>
      <c r="K563" s="140"/>
      <c r="L563" s="140"/>
      <c r="M563" s="59"/>
    </row>
    <row r="564" spans="2:13" x14ac:dyDescent="0.25">
      <c r="B564" s="134"/>
      <c r="C564" s="135"/>
      <c r="D564" s="136"/>
      <c r="E564" s="137"/>
      <c r="F564" s="138"/>
      <c r="G564" s="1" t="str">
        <f>IFERROR(IF(ventas_b_mes1255[[#This Row],[CUIT]]="","-",VLOOKUP(ventas_b_mes1255[[#This Row],[CUIT]],Lista_CUIT[#All],2,0)),"CUIT NO CARGADO")</f>
        <v>-</v>
      </c>
      <c r="H564" s="99">
        <f>ventas_b_mes1255[[#This Row],[TOTAL]]/1.21</f>
        <v>0</v>
      </c>
      <c r="I564" s="64">
        <f>ventas_b_mes1255[[#This Row],[IMPORTE NETO]]*0.21</f>
        <v>0</v>
      </c>
      <c r="J564" s="140"/>
      <c r="K564" s="140"/>
      <c r="L564" s="140"/>
      <c r="M564" s="59"/>
    </row>
    <row r="565" spans="2:13" x14ac:dyDescent="0.25">
      <c r="B565" s="134"/>
      <c r="C565" s="135"/>
      <c r="D565" s="136"/>
      <c r="E565" s="137"/>
      <c r="F565" s="138"/>
      <c r="G565" s="1" t="str">
        <f>IFERROR(IF(ventas_b_mes1255[[#This Row],[CUIT]]="","-",VLOOKUP(ventas_b_mes1255[[#This Row],[CUIT]],Lista_CUIT[#All],2,0)),"CUIT NO CARGADO")</f>
        <v>-</v>
      </c>
      <c r="H565" s="99">
        <f>ventas_b_mes1255[[#This Row],[TOTAL]]/1.21</f>
        <v>0</v>
      </c>
      <c r="I565" s="64">
        <f>ventas_b_mes1255[[#This Row],[IMPORTE NETO]]*0.21</f>
        <v>0</v>
      </c>
      <c r="J565" s="140"/>
      <c r="K565" s="140"/>
      <c r="L565" s="140"/>
      <c r="M565" s="59"/>
    </row>
    <row r="566" spans="2:13" x14ac:dyDescent="0.25">
      <c r="B566" s="134"/>
      <c r="C566" s="135"/>
      <c r="D566" s="136"/>
      <c r="E566" s="137"/>
      <c r="F566" s="138"/>
      <c r="G566" s="1" t="str">
        <f>IFERROR(IF(ventas_b_mes1255[[#This Row],[CUIT]]="","-",VLOOKUP(ventas_b_mes1255[[#This Row],[CUIT]],Lista_CUIT[#All],2,0)),"CUIT NO CARGADO")</f>
        <v>-</v>
      </c>
      <c r="H566" s="99">
        <f>ventas_b_mes1255[[#This Row],[TOTAL]]/1.21</f>
        <v>0</v>
      </c>
      <c r="I566" s="64">
        <f>ventas_b_mes1255[[#This Row],[IMPORTE NETO]]*0.21</f>
        <v>0</v>
      </c>
      <c r="J566" s="140"/>
      <c r="K566" s="140"/>
      <c r="L566" s="140"/>
      <c r="M566" s="59"/>
    </row>
    <row r="567" spans="2:13" x14ac:dyDescent="0.25">
      <c r="B567" s="134"/>
      <c r="C567" s="135"/>
      <c r="D567" s="136"/>
      <c r="E567" s="137"/>
      <c r="F567" s="138"/>
      <c r="G567" s="1" t="str">
        <f>IFERROR(IF(ventas_b_mes1255[[#This Row],[CUIT]]="","-",VLOOKUP(ventas_b_mes1255[[#This Row],[CUIT]],Lista_CUIT[#All],2,0)),"CUIT NO CARGADO")</f>
        <v>-</v>
      </c>
      <c r="H567" s="99">
        <f>ventas_b_mes1255[[#This Row],[TOTAL]]/1.21</f>
        <v>0</v>
      </c>
      <c r="I567" s="64">
        <f>ventas_b_mes1255[[#This Row],[IMPORTE NETO]]*0.21</f>
        <v>0</v>
      </c>
      <c r="J567" s="140"/>
      <c r="K567" s="140"/>
      <c r="L567" s="140"/>
      <c r="M567" s="59"/>
    </row>
    <row r="568" spans="2:13" x14ac:dyDescent="0.25">
      <c r="B568" s="134"/>
      <c r="C568" s="135"/>
      <c r="D568" s="136"/>
      <c r="E568" s="137"/>
      <c r="F568" s="138"/>
      <c r="G568" s="1" t="str">
        <f>IFERROR(IF(ventas_b_mes1255[[#This Row],[CUIT]]="","-",VLOOKUP(ventas_b_mes1255[[#This Row],[CUIT]],Lista_CUIT[#All],2,0)),"CUIT NO CARGADO")</f>
        <v>-</v>
      </c>
      <c r="H568" s="99">
        <f>ventas_b_mes1255[[#This Row],[TOTAL]]/1.21</f>
        <v>0</v>
      </c>
      <c r="I568" s="64">
        <f>ventas_b_mes1255[[#This Row],[IMPORTE NETO]]*0.21</f>
        <v>0</v>
      </c>
      <c r="J568" s="140"/>
      <c r="K568" s="140"/>
      <c r="L568" s="140"/>
      <c r="M568" s="59"/>
    </row>
    <row r="569" spans="2:13" x14ac:dyDescent="0.25">
      <c r="B569" s="134"/>
      <c r="C569" s="135"/>
      <c r="D569" s="136"/>
      <c r="E569" s="137"/>
      <c r="F569" s="138"/>
      <c r="G569" s="1" t="str">
        <f>IFERROR(IF(ventas_b_mes1255[[#This Row],[CUIT]]="","-",VLOOKUP(ventas_b_mes1255[[#This Row],[CUIT]],Lista_CUIT[#All],2,0)),"CUIT NO CARGADO")</f>
        <v>-</v>
      </c>
      <c r="H569" s="99">
        <f>ventas_b_mes1255[[#This Row],[TOTAL]]/1.21</f>
        <v>0</v>
      </c>
      <c r="I569" s="64">
        <f>ventas_b_mes1255[[#This Row],[IMPORTE NETO]]*0.21</f>
        <v>0</v>
      </c>
      <c r="J569" s="140"/>
      <c r="K569" s="140"/>
      <c r="L569" s="140"/>
      <c r="M569" s="59"/>
    </row>
    <row r="570" spans="2:13" x14ac:dyDescent="0.25">
      <c r="B570" s="134"/>
      <c r="C570" s="135"/>
      <c r="D570" s="136"/>
      <c r="E570" s="137"/>
      <c r="F570" s="138"/>
      <c r="G570" s="1" t="str">
        <f>IFERROR(IF(ventas_b_mes1255[[#This Row],[CUIT]]="","-",VLOOKUP(ventas_b_mes1255[[#This Row],[CUIT]],Lista_CUIT[#All],2,0)),"CUIT NO CARGADO")</f>
        <v>-</v>
      </c>
      <c r="H570" s="99">
        <f>ventas_b_mes1255[[#This Row],[TOTAL]]/1.21</f>
        <v>0</v>
      </c>
      <c r="I570" s="64">
        <f>ventas_b_mes1255[[#This Row],[IMPORTE NETO]]*0.21</f>
        <v>0</v>
      </c>
      <c r="J570" s="140"/>
      <c r="K570" s="140"/>
      <c r="L570" s="140"/>
      <c r="M570" s="59"/>
    </row>
    <row r="571" spans="2:13" x14ac:dyDescent="0.25">
      <c r="B571" s="134"/>
      <c r="C571" s="135"/>
      <c r="D571" s="136"/>
      <c r="E571" s="137"/>
      <c r="F571" s="138"/>
      <c r="G571" s="1" t="str">
        <f>IFERROR(IF(ventas_b_mes1255[[#This Row],[CUIT]]="","-",VLOOKUP(ventas_b_mes1255[[#This Row],[CUIT]],Lista_CUIT[#All],2,0)),"CUIT NO CARGADO")</f>
        <v>-</v>
      </c>
      <c r="H571" s="99">
        <f>ventas_b_mes1255[[#This Row],[TOTAL]]/1.21</f>
        <v>0</v>
      </c>
      <c r="I571" s="64">
        <f>ventas_b_mes1255[[#This Row],[IMPORTE NETO]]*0.21</f>
        <v>0</v>
      </c>
      <c r="J571" s="140"/>
      <c r="K571" s="140"/>
      <c r="L571" s="140"/>
      <c r="M571" s="59"/>
    </row>
    <row r="572" spans="2:13" x14ac:dyDescent="0.25">
      <c r="B572" s="134"/>
      <c r="C572" s="135"/>
      <c r="D572" s="136"/>
      <c r="E572" s="137"/>
      <c r="F572" s="138"/>
      <c r="G572" s="1" t="str">
        <f>IFERROR(IF(ventas_b_mes1255[[#This Row],[CUIT]]="","-",VLOOKUP(ventas_b_mes1255[[#This Row],[CUIT]],Lista_CUIT[#All],2,0)),"CUIT NO CARGADO")</f>
        <v>-</v>
      </c>
      <c r="H572" s="99">
        <f>ventas_b_mes1255[[#This Row],[TOTAL]]/1.21</f>
        <v>0</v>
      </c>
      <c r="I572" s="64">
        <f>ventas_b_mes1255[[#This Row],[IMPORTE NETO]]*0.21</f>
        <v>0</v>
      </c>
      <c r="J572" s="140"/>
      <c r="K572" s="140"/>
      <c r="L572" s="140"/>
      <c r="M572" s="59"/>
    </row>
    <row r="573" spans="2:13" x14ac:dyDescent="0.25">
      <c r="B573" s="134"/>
      <c r="C573" s="135"/>
      <c r="D573" s="136"/>
      <c r="E573" s="137"/>
      <c r="F573" s="138"/>
      <c r="G573" s="1" t="str">
        <f>IFERROR(IF(ventas_b_mes1255[[#This Row],[CUIT]]="","-",VLOOKUP(ventas_b_mes1255[[#This Row],[CUIT]],Lista_CUIT[#All],2,0)),"CUIT NO CARGADO")</f>
        <v>-</v>
      </c>
      <c r="H573" s="99">
        <f>ventas_b_mes1255[[#This Row],[TOTAL]]/1.21</f>
        <v>0</v>
      </c>
      <c r="I573" s="64">
        <f>ventas_b_mes1255[[#This Row],[IMPORTE NETO]]*0.21</f>
        <v>0</v>
      </c>
      <c r="J573" s="140"/>
      <c r="K573" s="140"/>
      <c r="L573" s="140"/>
      <c r="M573" s="59"/>
    </row>
    <row r="574" spans="2:13" x14ac:dyDescent="0.25">
      <c r="B574" s="134"/>
      <c r="C574" s="135"/>
      <c r="D574" s="136"/>
      <c r="E574" s="137"/>
      <c r="F574" s="138"/>
      <c r="G574" s="1" t="str">
        <f>IFERROR(IF(ventas_b_mes1255[[#This Row],[CUIT]]="","-",VLOOKUP(ventas_b_mes1255[[#This Row],[CUIT]],Lista_CUIT[#All],2,0)),"CUIT NO CARGADO")</f>
        <v>-</v>
      </c>
      <c r="H574" s="99">
        <f>ventas_b_mes1255[[#This Row],[TOTAL]]/1.21</f>
        <v>0</v>
      </c>
      <c r="I574" s="64">
        <f>ventas_b_mes1255[[#This Row],[IMPORTE NETO]]*0.21</f>
        <v>0</v>
      </c>
      <c r="J574" s="140"/>
      <c r="K574" s="140"/>
      <c r="L574" s="140"/>
      <c r="M574" s="59"/>
    </row>
    <row r="575" spans="2:13" x14ac:dyDescent="0.25">
      <c r="B575" s="134"/>
      <c r="C575" s="135"/>
      <c r="D575" s="136"/>
      <c r="E575" s="137"/>
      <c r="F575" s="138"/>
      <c r="G575" s="1" t="str">
        <f>IFERROR(IF(ventas_b_mes1255[[#This Row],[CUIT]]="","-",VLOOKUP(ventas_b_mes1255[[#This Row],[CUIT]],Lista_CUIT[#All],2,0)),"CUIT NO CARGADO")</f>
        <v>-</v>
      </c>
      <c r="H575" s="99">
        <f>ventas_b_mes1255[[#This Row],[TOTAL]]/1.21</f>
        <v>0</v>
      </c>
      <c r="I575" s="64">
        <f>ventas_b_mes1255[[#This Row],[IMPORTE NETO]]*0.21</f>
        <v>0</v>
      </c>
      <c r="J575" s="140"/>
      <c r="K575" s="140"/>
      <c r="L575" s="140"/>
      <c r="M575" s="59"/>
    </row>
    <row r="576" spans="2:13" x14ac:dyDescent="0.25">
      <c r="B576" s="134"/>
      <c r="C576" s="135"/>
      <c r="D576" s="136"/>
      <c r="E576" s="137"/>
      <c r="F576" s="138"/>
      <c r="G576" s="1" t="str">
        <f>IFERROR(IF(ventas_b_mes1255[[#This Row],[CUIT]]="","-",VLOOKUP(ventas_b_mes1255[[#This Row],[CUIT]],Lista_CUIT[#All],2,0)),"CUIT NO CARGADO")</f>
        <v>-</v>
      </c>
      <c r="H576" s="99">
        <f>ventas_b_mes1255[[#This Row],[TOTAL]]/1.21</f>
        <v>0</v>
      </c>
      <c r="I576" s="64">
        <f>ventas_b_mes1255[[#This Row],[IMPORTE NETO]]*0.21</f>
        <v>0</v>
      </c>
      <c r="J576" s="140"/>
      <c r="K576" s="140"/>
      <c r="L576" s="140"/>
      <c r="M576" s="59"/>
    </row>
    <row r="577" spans="2:13" x14ac:dyDescent="0.25">
      <c r="B577" s="134"/>
      <c r="C577" s="135"/>
      <c r="D577" s="136"/>
      <c r="E577" s="137"/>
      <c r="F577" s="138"/>
      <c r="G577" s="1" t="str">
        <f>IFERROR(IF(ventas_b_mes1255[[#This Row],[CUIT]]="","-",VLOOKUP(ventas_b_mes1255[[#This Row],[CUIT]],Lista_CUIT[#All],2,0)),"CUIT NO CARGADO")</f>
        <v>-</v>
      </c>
      <c r="H577" s="99">
        <f>ventas_b_mes1255[[#This Row],[TOTAL]]/1.21</f>
        <v>0</v>
      </c>
      <c r="I577" s="64">
        <f>ventas_b_mes1255[[#This Row],[IMPORTE NETO]]*0.21</f>
        <v>0</v>
      </c>
      <c r="J577" s="140"/>
      <c r="K577" s="140"/>
      <c r="L577" s="140"/>
      <c r="M577" s="59"/>
    </row>
    <row r="578" spans="2:13" x14ac:dyDescent="0.25">
      <c r="B578" s="134"/>
      <c r="C578" s="135"/>
      <c r="D578" s="136"/>
      <c r="E578" s="137"/>
      <c r="F578" s="138"/>
      <c r="G578" s="1" t="str">
        <f>IFERROR(IF(ventas_b_mes1255[[#This Row],[CUIT]]="","-",VLOOKUP(ventas_b_mes1255[[#This Row],[CUIT]],Lista_CUIT[#All],2,0)),"CUIT NO CARGADO")</f>
        <v>-</v>
      </c>
      <c r="H578" s="99">
        <f>ventas_b_mes1255[[#This Row],[TOTAL]]/1.21</f>
        <v>0</v>
      </c>
      <c r="I578" s="64">
        <f>ventas_b_mes1255[[#This Row],[IMPORTE NETO]]*0.21</f>
        <v>0</v>
      </c>
      <c r="J578" s="140"/>
      <c r="K578" s="140"/>
      <c r="L578" s="140"/>
      <c r="M578" s="59"/>
    </row>
    <row r="579" spans="2:13" x14ac:dyDescent="0.25">
      <c r="B579" s="134"/>
      <c r="C579" s="135"/>
      <c r="D579" s="136"/>
      <c r="E579" s="137"/>
      <c r="F579" s="138"/>
      <c r="G579" s="1" t="str">
        <f>IFERROR(IF(ventas_b_mes1255[[#This Row],[CUIT]]="","-",VLOOKUP(ventas_b_mes1255[[#This Row],[CUIT]],Lista_CUIT[#All],2,0)),"CUIT NO CARGADO")</f>
        <v>-</v>
      </c>
      <c r="H579" s="99">
        <f>ventas_b_mes1255[[#This Row],[TOTAL]]/1.21</f>
        <v>0</v>
      </c>
      <c r="I579" s="64">
        <f>ventas_b_mes1255[[#This Row],[IMPORTE NETO]]*0.21</f>
        <v>0</v>
      </c>
      <c r="J579" s="140"/>
      <c r="K579" s="140"/>
      <c r="L579" s="140"/>
      <c r="M579" s="59"/>
    </row>
    <row r="580" spans="2:13" x14ac:dyDescent="0.25">
      <c r="B580" s="134"/>
      <c r="C580" s="135"/>
      <c r="D580" s="136"/>
      <c r="E580" s="137"/>
      <c r="F580" s="138"/>
      <c r="G580" s="1" t="str">
        <f>IFERROR(IF(ventas_b_mes1255[[#This Row],[CUIT]]="","-",VLOOKUP(ventas_b_mes1255[[#This Row],[CUIT]],Lista_CUIT[#All],2,0)),"CUIT NO CARGADO")</f>
        <v>-</v>
      </c>
      <c r="H580" s="99">
        <f>ventas_b_mes1255[[#This Row],[TOTAL]]/1.21</f>
        <v>0</v>
      </c>
      <c r="I580" s="64">
        <f>ventas_b_mes1255[[#This Row],[IMPORTE NETO]]*0.21</f>
        <v>0</v>
      </c>
      <c r="J580" s="140"/>
      <c r="K580" s="140"/>
      <c r="L580" s="140"/>
      <c r="M580" s="59"/>
    </row>
    <row r="581" spans="2:13" x14ac:dyDescent="0.25">
      <c r="B581" s="134"/>
      <c r="C581" s="135"/>
      <c r="D581" s="136"/>
      <c r="E581" s="137"/>
      <c r="F581" s="138"/>
      <c r="G581" s="1" t="str">
        <f>IFERROR(IF(ventas_b_mes1255[[#This Row],[CUIT]]="","-",VLOOKUP(ventas_b_mes1255[[#This Row],[CUIT]],Lista_CUIT[#All],2,0)),"CUIT NO CARGADO")</f>
        <v>-</v>
      </c>
      <c r="H581" s="99">
        <f>ventas_b_mes1255[[#This Row],[TOTAL]]/1.21</f>
        <v>0</v>
      </c>
      <c r="I581" s="64">
        <f>ventas_b_mes1255[[#This Row],[IMPORTE NETO]]*0.21</f>
        <v>0</v>
      </c>
      <c r="J581" s="140"/>
      <c r="K581" s="140"/>
      <c r="L581" s="140"/>
      <c r="M581" s="59"/>
    </row>
    <row r="582" spans="2:13" x14ac:dyDescent="0.25">
      <c r="B582" s="134"/>
      <c r="C582" s="135"/>
      <c r="D582" s="136"/>
      <c r="E582" s="137"/>
      <c r="F582" s="138"/>
      <c r="G582" s="1" t="str">
        <f>IFERROR(IF(ventas_b_mes1255[[#This Row],[CUIT]]="","-",VLOOKUP(ventas_b_mes1255[[#This Row],[CUIT]],Lista_CUIT[#All],2,0)),"CUIT NO CARGADO")</f>
        <v>-</v>
      </c>
      <c r="H582" s="99">
        <f>ventas_b_mes1255[[#This Row],[TOTAL]]/1.21</f>
        <v>0</v>
      </c>
      <c r="I582" s="64">
        <f>ventas_b_mes1255[[#This Row],[IMPORTE NETO]]*0.21</f>
        <v>0</v>
      </c>
      <c r="J582" s="140"/>
      <c r="K582" s="140"/>
      <c r="L582" s="140"/>
      <c r="M582" s="59"/>
    </row>
    <row r="583" spans="2:13" x14ac:dyDescent="0.25">
      <c r="B583" s="134"/>
      <c r="C583" s="135"/>
      <c r="D583" s="136"/>
      <c r="E583" s="137"/>
      <c r="F583" s="138"/>
      <c r="G583" s="1" t="str">
        <f>IFERROR(IF(ventas_b_mes1255[[#This Row],[CUIT]]="","-",VLOOKUP(ventas_b_mes1255[[#This Row],[CUIT]],Lista_CUIT[#All],2,0)),"CUIT NO CARGADO")</f>
        <v>-</v>
      </c>
      <c r="H583" s="99">
        <f>ventas_b_mes1255[[#This Row],[TOTAL]]/1.21</f>
        <v>0</v>
      </c>
      <c r="I583" s="64">
        <f>ventas_b_mes1255[[#This Row],[IMPORTE NETO]]*0.21</f>
        <v>0</v>
      </c>
      <c r="J583" s="140"/>
      <c r="K583" s="140"/>
      <c r="L583" s="140"/>
      <c r="M583" s="59"/>
    </row>
    <row r="584" spans="2:13" x14ac:dyDescent="0.25">
      <c r="B584" s="134"/>
      <c r="C584" s="135"/>
      <c r="D584" s="136"/>
      <c r="E584" s="137"/>
      <c r="F584" s="138"/>
      <c r="G584" s="1" t="str">
        <f>IFERROR(IF(ventas_b_mes1255[[#This Row],[CUIT]]="","-",VLOOKUP(ventas_b_mes1255[[#This Row],[CUIT]],Lista_CUIT[#All],2,0)),"CUIT NO CARGADO")</f>
        <v>-</v>
      </c>
      <c r="H584" s="99">
        <f>ventas_b_mes1255[[#This Row],[TOTAL]]/1.21</f>
        <v>0</v>
      </c>
      <c r="I584" s="64">
        <f>ventas_b_mes1255[[#This Row],[IMPORTE NETO]]*0.21</f>
        <v>0</v>
      </c>
      <c r="J584" s="140"/>
      <c r="K584" s="140"/>
      <c r="L584" s="140"/>
      <c r="M584" s="59"/>
    </row>
    <row r="585" spans="2:13" x14ac:dyDescent="0.25">
      <c r="B585" s="134"/>
      <c r="C585" s="135"/>
      <c r="D585" s="136"/>
      <c r="E585" s="137"/>
      <c r="F585" s="138"/>
      <c r="G585" s="1" t="str">
        <f>IFERROR(IF(ventas_b_mes1255[[#This Row],[CUIT]]="","-",VLOOKUP(ventas_b_mes1255[[#This Row],[CUIT]],Lista_CUIT[#All],2,0)),"CUIT NO CARGADO")</f>
        <v>-</v>
      </c>
      <c r="H585" s="99">
        <f>ventas_b_mes1255[[#This Row],[TOTAL]]/1.21</f>
        <v>0</v>
      </c>
      <c r="I585" s="64">
        <f>ventas_b_mes1255[[#This Row],[IMPORTE NETO]]*0.21</f>
        <v>0</v>
      </c>
      <c r="J585" s="140"/>
      <c r="K585" s="140"/>
      <c r="L585" s="140"/>
      <c r="M585" s="59"/>
    </row>
    <row r="586" spans="2:13" x14ac:dyDescent="0.25">
      <c r="B586" s="134"/>
      <c r="C586" s="135"/>
      <c r="D586" s="136"/>
      <c r="E586" s="137"/>
      <c r="F586" s="138"/>
      <c r="G586" s="1" t="str">
        <f>IFERROR(IF(ventas_b_mes1255[[#This Row],[CUIT]]="","-",VLOOKUP(ventas_b_mes1255[[#This Row],[CUIT]],Lista_CUIT[#All],2,0)),"CUIT NO CARGADO")</f>
        <v>-</v>
      </c>
      <c r="H586" s="99">
        <f>ventas_b_mes1255[[#This Row],[TOTAL]]/1.21</f>
        <v>0</v>
      </c>
      <c r="I586" s="64">
        <f>ventas_b_mes1255[[#This Row],[IMPORTE NETO]]*0.21</f>
        <v>0</v>
      </c>
      <c r="J586" s="140"/>
      <c r="K586" s="140"/>
      <c r="L586" s="140"/>
      <c r="M586" s="59"/>
    </row>
    <row r="587" spans="2:13" x14ac:dyDescent="0.25">
      <c r="B587" s="134"/>
      <c r="C587" s="135"/>
      <c r="D587" s="136"/>
      <c r="E587" s="137"/>
      <c r="F587" s="138"/>
      <c r="G587" s="1" t="str">
        <f>IFERROR(IF(ventas_b_mes1255[[#This Row],[CUIT]]="","-",VLOOKUP(ventas_b_mes1255[[#This Row],[CUIT]],Lista_CUIT[#All],2,0)),"CUIT NO CARGADO")</f>
        <v>-</v>
      </c>
      <c r="H587" s="99">
        <f>ventas_b_mes1255[[#This Row],[TOTAL]]/1.21</f>
        <v>0</v>
      </c>
      <c r="I587" s="64">
        <f>ventas_b_mes1255[[#This Row],[IMPORTE NETO]]*0.21</f>
        <v>0</v>
      </c>
      <c r="J587" s="140"/>
      <c r="K587" s="140"/>
      <c r="L587" s="140"/>
      <c r="M587" s="59"/>
    </row>
    <row r="588" spans="2:13" x14ac:dyDescent="0.25">
      <c r="B588" s="134"/>
      <c r="C588" s="135"/>
      <c r="D588" s="136"/>
      <c r="E588" s="137"/>
      <c r="F588" s="138"/>
      <c r="G588" s="1" t="str">
        <f>IFERROR(IF(ventas_b_mes1255[[#This Row],[CUIT]]="","-",VLOOKUP(ventas_b_mes1255[[#This Row],[CUIT]],Lista_CUIT[#All],2,0)),"CUIT NO CARGADO")</f>
        <v>-</v>
      </c>
      <c r="H588" s="99">
        <f>ventas_b_mes1255[[#This Row],[TOTAL]]/1.21</f>
        <v>0</v>
      </c>
      <c r="I588" s="64">
        <f>ventas_b_mes1255[[#This Row],[IMPORTE NETO]]*0.21</f>
        <v>0</v>
      </c>
      <c r="J588" s="140"/>
      <c r="K588" s="140"/>
      <c r="L588" s="140"/>
      <c r="M588" s="59"/>
    </row>
    <row r="589" spans="2:13" x14ac:dyDescent="0.25">
      <c r="B589" s="134"/>
      <c r="C589" s="135"/>
      <c r="D589" s="136"/>
      <c r="E589" s="137"/>
      <c r="F589" s="138"/>
      <c r="G589" s="1" t="str">
        <f>IFERROR(IF(ventas_b_mes1255[[#This Row],[CUIT]]="","-",VLOOKUP(ventas_b_mes1255[[#This Row],[CUIT]],Lista_CUIT[#All],2,0)),"CUIT NO CARGADO")</f>
        <v>-</v>
      </c>
      <c r="H589" s="99">
        <f>ventas_b_mes1255[[#This Row],[TOTAL]]/1.21</f>
        <v>0</v>
      </c>
      <c r="I589" s="64">
        <f>ventas_b_mes1255[[#This Row],[IMPORTE NETO]]*0.21</f>
        <v>0</v>
      </c>
      <c r="J589" s="140"/>
      <c r="K589" s="140"/>
      <c r="L589" s="140"/>
      <c r="M589" s="59"/>
    </row>
    <row r="590" spans="2:13" x14ac:dyDescent="0.25">
      <c r="B590" s="134"/>
      <c r="C590" s="135"/>
      <c r="D590" s="136"/>
      <c r="E590" s="137"/>
      <c r="F590" s="138"/>
      <c r="G590" s="1" t="str">
        <f>IFERROR(IF(ventas_b_mes1255[[#This Row],[CUIT]]="","-",VLOOKUP(ventas_b_mes1255[[#This Row],[CUIT]],Lista_CUIT[#All],2,0)),"CUIT NO CARGADO")</f>
        <v>-</v>
      </c>
      <c r="H590" s="99">
        <f>ventas_b_mes1255[[#This Row],[TOTAL]]/1.21</f>
        <v>0</v>
      </c>
      <c r="I590" s="64">
        <f>ventas_b_mes1255[[#This Row],[IMPORTE NETO]]*0.21</f>
        <v>0</v>
      </c>
      <c r="J590" s="140"/>
      <c r="K590" s="140"/>
      <c r="L590" s="140"/>
      <c r="M590" s="59"/>
    </row>
    <row r="591" spans="2:13" x14ac:dyDescent="0.25">
      <c r="B591" s="134"/>
      <c r="C591" s="135"/>
      <c r="D591" s="136"/>
      <c r="E591" s="137"/>
      <c r="F591" s="138"/>
      <c r="G591" s="1" t="str">
        <f>IFERROR(IF(ventas_b_mes1255[[#This Row],[CUIT]]="","-",VLOOKUP(ventas_b_mes1255[[#This Row],[CUIT]],Lista_CUIT[#All],2,0)),"CUIT NO CARGADO")</f>
        <v>-</v>
      </c>
      <c r="H591" s="99">
        <f>ventas_b_mes1255[[#This Row],[TOTAL]]/1.21</f>
        <v>0</v>
      </c>
      <c r="I591" s="64">
        <f>ventas_b_mes1255[[#This Row],[IMPORTE NETO]]*0.21</f>
        <v>0</v>
      </c>
      <c r="J591" s="140"/>
      <c r="K591" s="140"/>
      <c r="L591" s="140"/>
      <c r="M591" s="59"/>
    </row>
    <row r="592" spans="2:13" x14ac:dyDescent="0.25">
      <c r="B592" s="134"/>
      <c r="C592" s="135"/>
      <c r="D592" s="136"/>
      <c r="E592" s="137"/>
      <c r="F592" s="138"/>
      <c r="G592" s="1" t="str">
        <f>IFERROR(IF(ventas_b_mes1255[[#This Row],[CUIT]]="","-",VLOOKUP(ventas_b_mes1255[[#This Row],[CUIT]],Lista_CUIT[#All],2,0)),"CUIT NO CARGADO")</f>
        <v>-</v>
      </c>
      <c r="H592" s="99">
        <f>ventas_b_mes1255[[#This Row],[TOTAL]]/1.21</f>
        <v>0</v>
      </c>
      <c r="I592" s="64">
        <f>ventas_b_mes1255[[#This Row],[IMPORTE NETO]]*0.21</f>
        <v>0</v>
      </c>
      <c r="J592" s="140"/>
      <c r="K592" s="140"/>
      <c r="L592" s="140"/>
      <c r="M592" s="59"/>
    </row>
    <row r="593" spans="2:13" x14ac:dyDescent="0.25">
      <c r="B593" s="40"/>
      <c r="C593" s="135"/>
      <c r="D593" s="42"/>
      <c r="E593" s="43"/>
      <c r="F593" s="112"/>
      <c r="G593" s="1" t="str">
        <f>IFERROR(IF(ventas_b_mes1255[[#This Row],[CUIT]]="","-",VLOOKUP(ventas_b_mes1255[[#This Row],[CUIT]],Lista_CUIT[#All],2,0)),"CUIT NO CARGADO")</f>
        <v>-</v>
      </c>
      <c r="H593" s="99">
        <f>ventas_b_mes1255[[#This Row],[TOTAL]]/1.21</f>
        <v>0</v>
      </c>
      <c r="I593" s="64">
        <f>ventas_b_mes1255[[#This Row],[IMPORTE NETO]]*0.21</f>
        <v>0</v>
      </c>
      <c r="J593" s="64"/>
      <c r="K593" s="64"/>
      <c r="L593" s="64"/>
      <c r="M593" s="59"/>
    </row>
    <row r="594" spans="2:13" x14ac:dyDescent="0.25">
      <c r="B594" s="40"/>
      <c r="C594" s="135"/>
      <c r="D594" s="42"/>
      <c r="E594" s="43"/>
      <c r="F594" s="112"/>
      <c r="G594" s="1" t="str">
        <f>IFERROR(IF(ventas_b_mes1255[[#This Row],[CUIT]]="","-",VLOOKUP(ventas_b_mes1255[[#This Row],[CUIT]],Lista_CUIT[#All],2,0)),"CUIT NO CARGADO")</f>
        <v>-</v>
      </c>
      <c r="H594" s="99">
        <f>ventas_b_mes1255[[#This Row],[TOTAL]]/1.21</f>
        <v>0</v>
      </c>
      <c r="I594" s="64">
        <f>ventas_b_mes1255[[#This Row],[IMPORTE NETO]]*0.21</f>
        <v>0</v>
      </c>
      <c r="J594" s="64"/>
      <c r="K594" s="64"/>
      <c r="L594" s="64"/>
      <c r="M594" s="59"/>
    </row>
    <row r="595" spans="2:13" x14ac:dyDescent="0.25">
      <c r="B595" s="40"/>
      <c r="C595" s="135"/>
      <c r="D595" s="42"/>
      <c r="E595" s="43"/>
      <c r="F595" s="112"/>
      <c r="G595" s="1" t="str">
        <f>IFERROR(IF(ventas_b_mes1255[[#This Row],[CUIT]]="","-",VLOOKUP(ventas_b_mes1255[[#This Row],[CUIT]],Lista_CUIT[#All],2,0)),"CUIT NO CARGADO")</f>
        <v>-</v>
      </c>
      <c r="H595" s="99">
        <f>ventas_b_mes1255[[#This Row],[TOTAL]]/1.21</f>
        <v>0</v>
      </c>
      <c r="I595" s="64">
        <f>ventas_b_mes1255[[#This Row],[IMPORTE NETO]]*0.21</f>
        <v>0</v>
      </c>
      <c r="J595" s="64"/>
      <c r="K595" s="64"/>
      <c r="L595" s="64"/>
      <c r="M595" s="59"/>
    </row>
    <row r="596" spans="2:13" x14ac:dyDescent="0.25">
      <c r="B596" s="40"/>
      <c r="C596" s="135"/>
      <c r="D596" s="42"/>
      <c r="E596" s="43"/>
      <c r="F596" s="112"/>
      <c r="G596" s="1" t="str">
        <f>IFERROR(IF(ventas_b_mes1255[[#This Row],[CUIT]]="","-",VLOOKUP(ventas_b_mes1255[[#This Row],[CUIT]],Lista_CUIT[#All],2,0)),"CUIT NO CARGADO")</f>
        <v>-</v>
      </c>
      <c r="H596" s="99">
        <f>ventas_b_mes1255[[#This Row],[TOTAL]]/1.21</f>
        <v>0</v>
      </c>
      <c r="I596" s="64">
        <f>ventas_b_mes1255[[#This Row],[IMPORTE NETO]]*0.21</f>
        <v>0</v>
      </c>
      <c r="J596" s="64"/>
      <c r="K596" s="64"/>
      <c r="L596" s="64"/>
      <c r="M596" s="59"/>
    </row>
    <row r="597" spans="2:13" x14ac:dyDescent="0.25">
      <c r="B597" s="40"/>
      <c r="C597" s="135"/>
      <c r="D597" s="42"/>
      <c r="E597" s="43"/>
      <c r="F597" s="112"/>
      <c r="G597" s="1" t="str">
        <f>IFERROR(IF(ventas_b_mes1255[[#This Row],[CUIT]]="","-",VLOOKUP(ventas_b_mes1255[[#This Row],[CUIT]],Lista_CUIT[#All],2,0)),"CUIT NO CARGADO")</f>
        <v>-</v>
      </c>
      <c r="H597" s="99">
        <f>ventas_b_mes1255[[#This Row],[TOTAL]]/1.21</f>
        <v>0</v>
      </c>
      <c r="I597" s="64">
        <f>ventas_b_mes1255[[#This Row],[IMPORTE NETO]]*0.21</f>
        <v>0</v>
      </c>
      <c r="J597" s="64"/>
      <c r="K597" s="64"/>
      <c r="L597" s="64"/>
      <c r="M597" s="59"/>
    </row>
    <row r="598" spans="2:13" x14ac:dyDescent="0.25">
      <c r="B598" s="40"/>
      <c r="C598" s="135"/>
      <c r="D598" s="42"/>
      <c r="E598" s="43"/>
      <c r="F598" s="112"/>
      <c r="G598" s="1" t="str">
        <f>IFERROR(IF(ventas_b_mes1255[[#This Row],[CUIT]]="","-",VLOOKUP(ventas_b_mes1255[[#This Row],[CUIT]],Lista_CUIT[#All],2,0)),"CUIT NO CARGADO")</f>
        <v>-</v>
      </c>
      <c r="H598" s="99">
        <f>ventas_b_mes1255[[#This Row],[TOTAL]]/1.21</f>
        <v>0</v>
      </c>
      <c r="I598" s="64">
        <f>ventas_b_mes1255[[#This Row],[IMPORTE NETO]]*0.21</f>
        <v>0</v>
      </c>
      <c r="J598" s="64"/>
      <c r="K598" s="64"/>
      <c r="L598" s="64"/>
      <c r="M598" s="59"/>
    </row>
    <row r="599" spans="2:13" x14ac:dyDescent="0.25">
      <c r="B599" s="134"/>
      <c r="C599" s="135"/>
      <c r="D599" s="136"/>
      <c r="E599" s="137"/>
      <c r="F599" s="138"/>
      <c r="G599" s="1" t="str">
        <f>IFERROR(IF(ventas_b_mes1255[[#This Row],[CUIT]]="","-",VLOOKUP(ventas_b_mes1255[[#This Row],[CUIT]],Lista_CUIT[#All],2,0)),"CUIT NO CARGADO")</f>
        <v>-</v>
      </c>
      <c r="H599" s="99">
        <f>ventas_b_mes1255[[#This Row],[TOTAL]]/1.21</f>
        <v>0</v>
      </c>
      <c r="I599" s="64">
        <f>ventas_b_mes1255[[#This Row],[IMPORTE NETO]]*0.21</f>
        <v>0</v>
      </c>
      <c r="J599" s="140"/>
      <c r="K599" s="140"/>
      <c r="L599" s="140"/>
      <c r="M599" s="59"/>
    </row>
    <row r="600" spans="2:13" x14ac:dyDescent="0.25">
      <c r="B600" s="134"/>
      <c r="C600" s="135"/>
      <c r="D600" s="136"/>
      <c r="E600" s="137"/>
      <c r="F600" s="138"/>
      <c r="G600" s="1" t="str">
        <f>IFERROR(IF(ventas_b_mes1255[[#This Row],[CUIT]]="","-",VLOOKUP(ventas_b_mes1255[[#This Row],[CUIT]],Lista_CUIT[#All],2,0)),"CUIT NO CARGADO")</f>
        <v>-</v>
      </c>
      <c r="H600" s="99">
        <f>ventas_b_mes1255[[#This Row],[TOTAL]]/1.21</f>
        <v>0</v>
      </c>
      <c r="I600" s="64">
        <f>ventas_b_mes1255[[#This Row],[IMPORTE NETO]]*0.21</f>
        <v>0</v>
      </c>
      <c r="J600" s="140"/>
      <c r="K600" s="140"/>
      <c r="L600" s="140"/>
      <c r="M600" s="59"/>
    </row>
    <row r="601" spans="2:13" x14ac:dyDescent="0.25">
      <c r="B601" s="134"/>
      <c r="C601" s="135"/>
      <c r="D601" s="136"/>
      <c r="E601" s="137"/>
      <c r="F601" s="138"/>
      <c r="G601" s="1" t="str">
        <f>IFERROR(IF(ventas_b_mes1255[[#This Row],[CUIT]]="","-",VLOOKUP(ventas_b_mes1255[[#This Row],[CUIT]],Lista_CUIT[#All],2,0)),"CUIT NO CARGADO")</f>
        <v>-</v>
      </c>
      <c r="H601" s="99">
        <f>ventas_b_mes1255[[#This Row],[TOTAL]]/1.21</f>
        <v>0</v>
      </c>
      <c r="I601" s="64">
        <f>ventas_b_mes1255[[#This Row],[IMPORTE NETO]]*0.21</f>
        <v>0</v>
      </c>
      <c r="J601" s="140"/>
      <c r="K601" s="140"/>
      <c r="L601" s="140"/>
      <c r="M601" s="59"/>
    </row>
    <row r="602" spans="2:13" x14ac:dyDescent="0.25">
      <c r="B602" s="134"/>
      <c r="C602" s="135"/>
      <c r="D602" s="136"/>
      <c r="E602" s="137"/>
      <c r="F602" s="138"/>
      <c r="G602" s="1" t="str">
        <f>IFERROR(IF(ventas_b_mes1255[[#This Row],[CUIT]]="","-",VLOOKUP(ventas_b_mes1255[[#This Row],[CUIT]],Lista_CUIT[#All],2,0)),"CUIT NO CARGADO")</f>
        <v>-</v>
      </c>
      <c r="H602" s="99">
        <f>ventas_b_mes1255[[#This Row],[TOTAL]]/1.21</f>
        <v>0</v>
      </c>
      <c r="I602" s="64">
        <f>ventas_b_mes1255[[#This Row],[IMPORTE NETO]]*0.21</f>
        <v>0</v>
      </c>
      <c r="J602" s="140"/>
      <c r="K602" s="140"/>
      <c r="L602" s="140"/>
      <c r="M602" s="59"/>
    </row>
    <row r="603" spans="2:13" x14ac:dyDescent="0.25">
      <c r="B603" s="134"/>
      <c r="C603" s="135"/>
      <c r="D603" s="136"/>
      <c r="E603" s="137"/>
      <c r="F603" s="138"/>
      <c r="G603" s="1" t="str">
        <f>IFERROR(IF(ventas_b_mes1255[[#This Row],[CUIT]]="","-",VLOOKUP(ventas_b_mes1255[[#This Row],[CUIT]],Lista_CUIT[#All],2,0)),"CUIT NO CARGADO")</f>
        <v>-</v>
      </c>
      <c r="H603" s="99">
        <f>ventas_b_mes1255[[#This Row],[TOTAL]]/1.21</f>
        <v>0</v>
      </c>
      <c r="I603" s="64">
        <f>ventas_b_mes1255[[#This Row],[IMPORTE NETO]]*0.21</f>
        <v>0</v>
      </c>
      <c r="J603" s="140"/>
      <c r="K603" s="140"/>
      <c r="L603" s="140"/>
      <c r="M603" s="59"/>
    </row>
    <row r="604" spans="2:13" x14ac:dyDescent="0.25">
      <c r="B604" s="134"/>
      <c r="C604" s="135"/>
      <c r="D604" s="136"/>
      <c r="E604" s="137"/>
      <c r="F604" s="138"/>
      <c r="G604" s="1" t="str">
        <f>IFERROR(IF(ventas_b_mes1255[[#This Row],[CUIT]]="","-",VLOOKUP(ventas_b_mes1255[[#This Row],[CUIT]],Lista_CUIT[#All],2,0)),"CUIT NO CARGADO")</f>
        <v>-</v>
      </c>
      <c r="H604" s="99">
        <f>ventas_b_mes1255[[#This Row],[TOTAL]]/1.21</f>
        <v>0</v>
      </c>
      <c r="I604" s="64">
        <f>ventas_b_mes1255[[#This Row],[IMPORTE NETO]]*0.21</f>
        <v>0</v>
      </c>
      <c r="J604" s="140"/>
      <c r="K604" s="140"/>
      <c r="L604" s="140"/>
      <c r="M604" s="59"/>
    </row>
    <row r="605" spans="2:13" x14ac:dyDescent="0.25">
      <c r="B605" s="134"/>
      <c r="C605" s="135"/>
      <c r="D605" s="136"/>
      <c r="E605" s="137"/>
      <c r="F605" s="138"/>
      <c r="G605" s="1" t="str">
        <f>IFERROR(IF(ventas_b_mes1255[[#This Row],[CUIT]]="","-",VLOOKUP(ventas_b_mes1255[[#This Row],[CUIT]],Lista_CUIT[#All],2,0)),"CUIT NO CARGADO")</f>
        <v>-</v>
      </c>
      <c r="H605" s="99">
        <f>ventas_b_mes1255[[#This Row],[TOTAL]]/1.21</f>
        <v>0</v>
      </c>
      <c r="I605" s="64">
        <f>ventas_b_mes1255[[#This Row],[IMPORTE NETO]]*0.21</f>
        <v>0</v>
      </c>
      <c r="J605" s="140"/>
      <c r="K605" s="140"/>
      <c r="L605" s="140"/>
      <c r="M605" s="59"/>
    </row>
    <row r="606" spans="2:13" x14ac:dyDescent="0.25">
      <c r="B606" s="134"/>
      <c r="C606" s="135"/>
      <c r="D606" s="136"/>
      <c r="E606" s="137"/>
      <c r="F606" s="138"/>
      <c r="G606" s="1" t="str">
        <f>IFERROR(IF(ventas_b_mes1255[[#This Row],[CUIT]]="","-",VLOOKUP(ventas_b_mes1255[[#This Row],[CUIT]],Lista_CUIT[#All],2,0)),"CUIT NO CARGADO")</f>
        <v>-</v>
      </c>
      <c r="H606" s="99">
        <f>ventas_b_mes1255[[#This Row],[TOTAL]]/1.21</f>
        <v>0</v>
      </c>
      <c r="I606" s="64">
        <f>ventas_b_mes1255[[#This Row],[IMPORTE NETO]]*0.21</f>
        <v>0</v>
      </c>
      <c r="J606" s="140"/>
      <c r="K606" s="140"/>
      <c r="L606" s="140"/>
      <c r="M606" s="59"/>
    </row>
    <row r="607" spans="2:13" x14ac:dyDescent="0.25">
      <c r="B607" s="134"/>
      <c r="C607" s="135"/>
      <c r="D607" s="136"/>
      <c r="E607" s="137"/>
      <c r="F607" s="138"/>
      <c r="G607" s="1" t="str">
        <f>IFERROR(IF(ventas_b_mes1255[[#This Row],[CUIT]]="","-",VLOOKUP(ventas_b_mes1255[[#This Row],[CUIT]],Lista_CUIT[#All],2,0)),"CUIT NO CARGADO")</f>
        <v>-</v>
      </c>
      <c r="H607" s="99">
        <f>ventas_b_mes1255[[#This Row],[TOTAL]]/1.21</f>
        <v>0</v>
      </c>
      <c r="I607" s="64">
        <f>ventas_b_mes1255[[#This Row],[IMPORTE NETO]]*0.21</f>
        <v>0</v>
      </c>
      <c r="J607" s="140"/>
      <c r="K607" s="140"/>
      <c r="L607" s="140"/>
      <c r="M607" s="59"/>
    </row>
    <row r="608" spans="2:13" x14ac:dyDescent="0.25">
      <c r="B608" s="134"/>
      <c r="C608" s="135"/>
      <c r="D608" s="136"/>
      <c r="E608" s="137"/>
      <c r="F608" s="138"/>
      <c r="G608" s="1" t="str">
        <f>IFERROR(IF(ventas_b_mes1255[[#This Row],[CUIT]]="","-",VLOOKUP(ventas_b_mes1255[[#This Row],[CUIT]],Lista_CUIT[#All],2,0)),"CUIT NO CARGADO")</f>
        <v>-</v>
      </c>
      <c r="H608" s="99">
        <f>ventas_b_mes1255[[#This Row],[TOTAL]]/1.21</f>
        <v>0</v>
      </c>
      <c r="I608" s="64">
        <f>ventas_b_mes1255[[#This Row],[IMPORTE NETO]]*0.21</f>
        <v>0</v>
      </c>
      <c r="J608" s="140"/>
      <c r="K608" s="140"/>
      <c r="L608" s="140"/>
      <c r="M608" s="59"/>
    </row>
    <row r="609" spans="2:13" x14ac:dyDescent="0.25">
      <c r="B609" s="134"/>
      <c r="C609" s="135"/>
      <c r="D609" s="136"/>
      <c r="E609" s="137"/>
      <c r="F609" s="138"/>
      <c r="G609" s="1" t="str">
        <f>IFERROR(IF(ventas_b_mes1255[[#This Row],[CUIT]]="","-",VLOOKUP(ventas_b_mes1255[[#This Row],[CUIT]],Lista_CUIT[#All],2,0)),"CUIT NO CARGADO")</f>
        <v>-</v>
      </c>
      <c r="H609" s="99">
        <f>ventas_b_mes1255[[#This Row],[TOTAL]]/1.21</f>
        <v>0</v>
      </c>
      <c r="I609" s="64">
        <f>ventas_b_mes1255[[#This Row],[IMPORTE NETO]]*0.21</f>
        <v>0</v>
      </c>
      <c r="J609" s="140"/>
      <c r="K609" s="140"/>
      <c r="L609" s="140"/>
      <c r="M609" s="59"/>
    </row>
    <row r="610" spans="2:13" x14ac:dyDescent="0.25">
      <c r="B610" s="134"/>
      <c r="C610" s="135"/>
      <c r="D610" s="136"/>
      <c r="E610" s="137"/>
      <c r="F610" s="138"/>
      <c r="G610" s="1" t="str">
        <f>IFERROR(IF(ventas_b_mes1255[[#This Row],[CUIT]]="","-",VLOOKUP(ventas_b_mes1255[[#This Row],[CUIT]],Lista_CUIT[#All],2,0)),"CUIT NO CARGADO")</f>
        <v>-</v>
      </c>
      <c r="H610" s="99">
        <f>ventas_b_mes1255[[#This Row],[TOTAL]]/1.21</f>
        <v>0</v>
      </c>
      <c r="I610" s="64">
        <f>ventas_b_mes1255[[#This Row],[IMPORTE NETO]]*0.21</f>
        <v>0</v>
      </c>
      <c r="J610" s="140"/>
      <c r="K610" s="140"/>
      <c r="L610" s="140"/>
      <c r="M610" s="59"/>
    </row>
    <row r="611" spans="2:13" x14ac:dyDescent="0.25">
      <c r="B611" s="134"/>
      <c r="C611" s="135"/>
      <c r="D611" s="136"/>
      <c r="E611" s="137"/>
      <c r="F611" s="138"/>
      <c r="G611" s="1" t="str">
        <f>IFERROR(IF(ventas_b_mes1255[[#This Row],[CUIT]]="","-",VLOOKUP(ventas_b_mes1255[[#This Row],[CUIT]],Lista_CUIT[#All],2,0)),"CUIT NO CARGADO")</f>
        <v>-</v>
      </c>
      <c r="H611" s="99">
        <f>ventas_b_mes1255[[#This Row],[TOTAL]]/1.21</f>
        <v>0</v>
      </c>
      <c r="I611" s="64">
        <f>ventas_b_mes1255[[#This Row],[IMPORTE NETO]]*0.21</f>
        <v>0</v>
      </c>
      <c r="J611" s="140"/>
      <c r="K611" s="140"/>
      <c r="L611" s="140"/>
      <c r="M611" s="59"/>
    </row>
    <row r="612" spans="2:13" x14ac:dyDescent="0.25">
      <c r="B612" s="134"/>
      <c r="C612" s="135"/>
      <c r="D612" s="136"/>
      <c r="E612" s="137"/>
      <c r="F612" s="138"/>
      <c r="G612" s="1" t="str">
        <f>IFERROR(IF(ventas_b_mes1255[[#This Row],[CUIT]]="","-",VLOOKUP(ventas_b_mes1255[[#This Row],[CUIT]],Lista_CUIT[#All],2,0)),"CUIT NO CARGADO")</f>
        <v>-</v>
      </c>
      <c r="H612" s="99">
        <f>ventas_b_mes1255[[#This Row],[TOTAL]]/1.21</f>
        <v>0</v>
      </c>
      <c r="I612" s="64">
        <f>ventas_b_mes1255[[#This Row],[IMPORTE NETO]]*0.21</f>
        <v>0</v>
      </c>
      <c r="J612" s="140"/>
      <c r="K612" s="140"/>
      <c r="L612" s="140"/>
      <c r="M612" s="59"/>
    </row>
    <row r="613" spans="2:13" x14ac:dyDescent="0.25">
      <c r="B613" s="134"/>
      <c r="C613" s="135"/>
      <c r="D613" s="136"/>
      <c r="E613" s="137"/>
      <c r="F613" s="138"/>
      <c r="G613" s="1" t="str">
        <f>IFERROR(IF(ventas_b_mes1255[[#This Row],[CUIT]]="","-",VLOOKUP(ventas_b_mes1255[[#This Row],[CUIT]],Lista_CUIT[#All],2,0)),"CUIT NO CARGADO")</f>
        <v>-</v>
      </c>
      <c r="H613" s="99">
        <f>ventas_b_mes1255[[#This Row],[TOTAL]]/1.21</f>
        <v>0</v>
      </c>
      <c r="I613" s="64">
        <f>ventas_b_mes1255[[#This Row],[IMPORTE NETO]]*0.21</f>
        <v>0</v>
      </c>
      <c r="J613" s="140"/>
      <c r="K613" s="140"/>
      <c r="L613" s="140"/>
      <c r="M613" s="59"/>
    </row>
    <row r="614" spans="2:13" x14ac:dyDescent="0.25">
      <c r="B614" s="134"/>
      <c r="C614" s="135"/>
      <c r="D614" s="136"/>
      <c r="E614" s="137"/>
      <c r="F614" s="138"/>
      <c r="G614" s="1" t="str">
        <f>IFERROR(IF(ventas_b_mes1255[[#This Row],[CUIT]]="","-",VLOOKUP(ventas_b_mes1255[[#This Row],[CUIT]],Lista_CUIT[#All],2,0)),"CUIT NO CARGADO")</f>
        <v>-</v>
      </c>
      <c r="H614" s="99">
        <f>ventas_b_mes1255[[#This Row],[TOTAL]]/1.21</f>
        <v>0</v>
      </c>
      <c r="I614" s="64">
        <f>ventas_b_mes1255[[#This Row],[IMPORTE NETO]]*0.21</f>
        <v>0</v>
      </c>
      <c r="J614" s="140"/>
      <c r="K614" s="140"/>
      <c r="L614" s="140"/>
      <c r="M614" s="59"/>
    </row>
    <row r="615" spans="2:13" x14ac:dyDescent="0.25">
      <c r="B615" s="134"/>
      <c r="C615" s="135"/>
      <c r="D615" s="136"/>
      <c r="E615" s="137"/>
      <c r="F615" s="138"/>
      <c r="G615" s="1" t="str">
        <f>IFERROR(IF(ventas_b_mes1255[[#This Row],[CUIT]]="","-",VLOOKUP(ventas_b_mes1255[[#This Row],[CUIT]],Lista_CUIT[#All],2,0)),"CUIT NO CARGADO")</f>
        <v>-</v>
      </c>
      <c r="H615" s="99">
        <f>ventas_b_mes1255[[#This Row],[TOTAL]]/1.21</f>
        <v>0</v>
      </c>
      <c r="I615" s="64">
        <f>ventas_b_mes1255[[#This Row],[IMPORTE NETO]]*0.21</f>
        <v>0</v>
      </c>
      <c r="J615" s="140"/>
      <c r="K615" s="140"/>
      <c r="L615" s="140"/>
      <c r="M615" s="59"/>
    </row>
    <row r="616" spans="2:13" x14ac:dyDescent="0.25">
      <c r="B616" s="134"/>
      <c r="C616" s="135"/>
      <c r="D616" s="136"/>
      <c r="E616" s="137"/>
      <c r="F616" s="138"/>
      <c r="G616" s="1" t="str">
        <f>IFERROR(IF(ventas_b_mes1255[[#This Row],[CUIT]]="","-",VLOOKUP(ventas_b_mes1255[[#This Row],[CUIT]],Lista_CUIT[#All],2,0)),"CUIT NO CARGADO")</f>
        <v>-</v>
      </c>
      <c r="H616" s="99">
        <f>ventas_b_mes1255[[#This Row],[TOTAL]]/1.21</f>
        <v>0</v>
      </c>
      <c r="I616" s="64">
        <f>ventas_b_mes1255[[#This Row],[IMPORTE NETO]]*0.21</f>
        <v>0</v>
      </c>
      <c r="J616" s="140"/>
      <c r="K616" s="140"/>
      <c r="L616" s="140"/>
      <c r="M616" s="59"/>
    </row>
    <row r="617" spans="2:13" x14ac:dyDescent="0.25">
      <c r="B617" s="134"/>
      <c r="C617" s="135"/>
      <c r="D617" s="136"/>
      <c r="E617" s="137"/>
      <c r="F617" s="138"/>
      <c r="G617" s="1" t="str">
        <f>IFERROR(IF(ventas_b_mes1255[[#This Row],[CUIT]]="","-",VLOOKUP(ventas_b_mes1255[[#This Row],[CUIT]],Lista_CUIT[#All],2,0)),"CUIT NO CARGADO")</f>
        <v>-</v>
      </c>
      <c r="H617" s="99">
        <f>ventas_b_mes1255[[#This Row],[TOTAL]]/1.21</f>
        <v>0</v>
      </c>
      <c r="I617" s="64">
        <f>ventas_b_mes1255[[#This Row],[IMPORTE NETO]]*0.21</f>
        <v>0</v>
      </c>
      <c r="J617" s="140"/>
      <c r="K617" s="140"/>
      <c r="L617" s="140"/>
      <c r="M617" s="59"/>
    </row>
    <row r="618" spans="2:13" x14ac:dyDescent="0.25">
      <c r="B618" s="134"/>
      <c r="C618" s="135"/>
      <c r="D618" s="136"/>
      <c r="E618" s="137"/>
      <c r="F618" s="138"/>
      <c r="G618" s="1" t="str">
        <f>IFERROR(IF(ventas_b_mes1255[[#This Row],[CUIT]]="","-",VLOOKUP(ventas_b_mes1255[[#This Row],[CUIT]],Lista_CUIT[#All],2,0)),"CUIT NO CARGADO")</f>
        <v>-</v>
      </c>
      <c r="H618" s="99">
        <f>ventas_b_mes1255[[#This Row],[TOTAL]]/1.21</f>
        <v>0</v>
      </c>
      <c r="I618" s="64">
        <f>ventas_b_mes1255[[#This Row],[IMPORTE NETO]]*0.21</f>
        <v>0</v>
      </c>
      <c r="J618" s="140"/>
      <c r="K618" s="140"/>
      <c r="L618" s="140"/>
      <c r="M618" s="59"/>
    </row>
    <row r="619" spans="2:13" x14ac:dyDescent="0.25">
      <c r="B619" s="134"/>
      <c r="C619" s="135"/>
      <c r="D619" s="136"/>
      <c r="E619" s="137"/>
      <c r="F619" s="138"/>
      <c r="G619" s="1" t="str">
        <f>IFERROR(IF(ventas_b_mes1255[[#This Row],[CUIT]]="","-",VLOOKUP(ventas_b_mes1255[[#This Row],[CUIT]],Lista_CUIT[#All],2,0)),"CUIT NO CARGADO")</f>
        <v>-</v>
      </c>
      <c r="H619" s="99">
        <f>ventas_b_mes1255[[#This Row],[TOTAL]]/1.21</f>
        <v>0</v>
      </c>
      <c r="I619" s="64">
        <f>ventas_b_mes1255[[#This Row],[IMPORTE NETO]]*0.21</f>
        <v>0</v>
      </c>
      <c r="J619" s="140"/>
      <c r="K619" s="140"/>
      <c r="L619" s="140"/>
      <c r="M619" s="59"/>
    </row>
    <row r="620" spans="2:13" x14ac:dyDescent="0.25">
      <c r="B620" s="134"/>
      <c r="C620" s="135"/>
      <c r="D620" s="136"/>
      <c r="E620" s="137"/>
      <c r="F620" s="138"/>
      <c r="G620" s="1" t="str">
        <f>IFERROR(IF(ventas_b_mes1255[[#This Row],[CUIT]]="","-",VLOOKUP(ventas_b_mes1255[[#This Row],[CUIT]],Lista_CUIT[#All],2,0)),"CUIT NO CARGADO")</f>
        <v>-</v>
      </c>
      <c r="H620" s="99">
        <f>ventas_b_mes1255[[#This Row],[TOTAL]]/1.21</f>
        <v>0</v>
      </c>
      <c r="I620" s="64">
        <f>ventas_b_mes1255[[#This Row],[IMPORTE NETO]]*0.21</f>
        <v>0</v>
      </c>
      <c r="J620" s="140"/>
      <c r="K620" s="140"/>
      <c r="L620" s="140"/>
      <c r="M620" s="59"/>
    </row>
    <row r="621" spans="2:13" x14ac:dyDescent="0.25">
      <c r="B621" s="134"/>
      <c r="C621" s="135"/>
      <c r="D621" s="136"/>
      <c r="E621" s="137"/>
      <c r="F621" s="138"/>
      <c r="G621" s="1" t="str">
        <f>IFERROR(IF(ventas_b_mes1255[[#This Row],[CUIT]]="","-",VLOOKUP(ventas_b_mes1255[[#This Row],[CUIT]],Lista_CUIT[#All],2,0)),"CUIT NO CARGADO")</f>
        <v>-</v>
      </c>
      <c r="H621" s="99">
        <f>ventas_b_mes1255[[#This Row],[TOTAL]]/1.21</f>
        <v>0</v>
      </c>
      <c r="I621" s="64">
        <f>ventas_b_mes1255[[#This Row],[IMPORTE NETO]]*0.21</f>
        <v>0</v>
      </c>
      <c r="J621" s="140"/>
      <c r="K621" s="140"/>
      <c r="L621" s="140"/>
      <c r="M621" s="59"/>
    </row>
    <row r="622" spans="2:13" x14ac:dyDescent="0.25">
      <c r="B622" s="134"/>
      <c r="C622" s="135"/>
      <c r="D622" s="136"/>
      <c r="E622" s="137"/>
      <c r="F622" s="138"/>
      <c r="G622" s="1" t="str">
        <f>IFERROR(IF(ventas_b_mes1255[[#This Row],[CUIT]]="","-",VLOOKUP(ventas_b_mes1255[[#This Row],[CUIT]],Lista_CUIT[#All],2,0)),"CUIT NO CARGADO")</f>
        <v>-</v>
      </c>
      <c r="H622" s="99">
        <f>ventas_b_mes1255[[#This Row],[TOTAL]]/1.21</f>
        <v>0</v>
      </c>
      <c r="I622" s="64">
        <f>ventas_b_mes1255[[#This Row],[IMPORTE NETO]]*0.21</f>
        <v>0</v>
      </c>
      <c r="J622" s="140"/>
      <c r="K622" s="140"/>
      <c r="L622" s="140"/>
      <c r="M622" s="59"/>
    </row>
    <row r="623" spans="2:13" x14ac:dyDescent="0.25">
      <c r="B623" s="134"/>
      <c r="C623" s="135"/>
      <c r="D623" s="136"/>
      <c r="E623" s="137"/>
      <c r="F623" s="138"/>
      <c r="G623" s="1" t="str">
        <f>IFERROR(IF(ventas_b_mes1255[[#This Row],[CUIT]]="","-",VLOOKUP(ventas_b_mes1255[[#This Row],[CUIT]],Lista_CUIT[#All],2,0)),"CUIT NO CARGADO")</f>
        <v>-</v>
      </c>
      <c r="H623" s="99">
        <f>ventas_b_mes1255[[#This Row],[TOTAL]]/1.21</f>
        <v>0</v>
      </c>
      <c r="I623" s="64">
        <f>ventas_b_mes1255[[#This Row],[IMPORTE NETO]]*0.21</f>
        <v>0</v>
      </c>
      <c r="J623" s="140"/>
      <c r="K623" s="140"/>
      <c r="L623" s="140"/>
      <c r="M623" s="59"/>
    </row>
    <row r="624" spans="2:13" x14ac:dyDescent="0.25">
      <c r="B624" s="134"/>
      <c r="C624" s="135"/>
      <c r="D624" s="136"/>
      <c r="E624" s="137"/>
      <c r="F624" s="138"/>
      <c r="G624" s="1" t="str">
        <f>IFERROR(IF(ventas_b_mes1255[[#This Row],[CUIT]]="","-",VLOOKUP(ventas_b_mes1255[[#This Row],[CUIT]],Lista_CUIT[#All],2,0)),"CUIT NO CARGADO")</f>
        <v>-</v>
      </c>
      <c r="H624" s="99">
        <f>ventas_b_mes1255[[#This Row],[TOTAL]]/1.21</f>
        <v>0</v>
      </c>
      <c r="I624" s="64">
        <f>ventas_b_mes1255[[#This Row],[IMPORTE NETO]]*0.21</f>
        <v>0</v>
      </c>
      <c r="J624" s="140"/>
      <c r="K624" s="140"/>
      <c r="L624" s="140"/>
      <c r="M624" s="59"/>
    </row>
    <row r="625" spans="2:13" x14ac:dyDescent="0.25">
      <c r="B625" s="134"/>
      <c r="C625" s="135"/>
      <c r="D625" s="136"/>
      <c r="E625" s="137"/>
      <c r="F625" s="138"/>
      <c r="G625" s="1" t="str">
        <f>IFERROR(IF(ventas_b_mes1255[[#This Row],[CUIT]]="","-",VLOOKUP(ventas_b_mes1255[[#This Row],[CUIT]],Lista_CUIT[#All],2,0)),"CUIT NO CARGADO")</f>
        <v>-</v>
      </c>
      <c r="H625" s="99">
        <f>ventas_b_mes1255[[#This Row],[TOTAL]]/1.21</f>
        <v>0</v>
      </c>
      <c r="I625" s="64">
        <f>ventas_b_mes1255[[#This Row],[IMPORTE NETO]]*0.21</f>
        <v>0</v>
      </c>
      <c r="J625" s="140"/>
      <c r="K625" s="140"/>
      <c r="L625" s="140"/>
      <c r="M625" s="59"/>
    </row>
    <row r="626" spans="2:13" x14ac:dyDescent="0.25">
      <c r="B626" s="134"/>
      <c r="C626" s="135"/>
      <c r="D626" s="136"/>
      <c r="E626" s="137"/>
      <c r="F626" s="138"/>
      <c r="G626" s="1" t="str">
        <f>IFERROR(IF(ventas_b_mes1255[[#This Row],[CUIT]]="","-",VLOOKUP(ventas_b_mes1255[[#This Row],[CUIT]],Lista_CUIT[#All],2,0)),"CUIT NO CARGADO")</f>
        <v>-</v>
      </c>
      <c r="H626" s="99">
        <f>ventas_b_mes1255[[#This Row],[TOTAL]]/1.21</f>
        <v>0</v>
      </c>
      <c r="I626" s="64">
        <f>ventas_b_mes1255[[#This Row],[IMPORTE NETO]]*0.21</f>
        <v>0</v>
      </c>
      <c r="J626" s="140"/>
      <c r="K626" s="140"/>
      <c r="L626" s="140"/>
      <c r="M626" s="59"/>
    </row>
    <row r="627" spans="2:13" x14ac:dyDescent="0.25">
      <c r="B627" s="134"/>
      <c r="C627" s="135"/>
      <c r="D627" s="136"/>
      <c r="E627" s="137"/>
      <c r="F627" s="138"/>
      <c r="G627" s="1" t="str">
        <f>IFERROR(IF(ventas_b_mes1255[[#This Row],[CUIT]]="","-",VLOOKUP(ventas_b_mes1255[[#This Row],[CUIT]],Lista_CUIT[#All],2,0)),"CUIT NO CARGADO")</f>
        <v>-</v>
      </c>
      <c r="H627" s="99">
        <f>ventas_b_mes1255[[#This Row],[TOTAL]]/1.21</f>
        <v>0</v>
      </c>
      <c r="I627" s="64">
        <f>ventas_b_mes1255[[#This Row],[IMPORTE NETO]]*0.21</f>
        <v>0</v>
      </c>
      <c r="J627" s="140"/>
      <c r="K627" s="140"/>
      <c r="L627" s="140"/>
      <c r="M627" s="59"/>
    </row>
    <row r="628" spans="2:13" x14ac:dyDescent="0.25">
      <c r="B628" s="134"/>
      <c r="C628" s="135"/>
      <c r="D628" s="136"/>
      <c r="E628" s="137"/>
      <c r="F628" s="138"/>
      <c r="G628" s="1" t="str">
        <f>IFERROR(IF(ventas_b_mes1255[[#This Row],[CUIT]]="","-",VLOOKUP(ventas_b_mes1255[[#This Row],[CUIT]],Lista_CUIT[#All],2,0)),"CUIT NO CARGADO")</f>
        <v>-</v>
      </c>
      <c r="H628" s="99">
        <f>ventas_b_mes1255[[#This Row],[TOTAL]]/1.21</f>
        <v>0</v>
      </c>
      <c r="I628" s="64">
        <f>ventas_b_mes1255[[#This Row],[IMPORTE NETO]]*0.21</f>
        <v>0</v>
      </c>
      <c r="J628" s="140"/>
      <c r="K628" s="140"/>
      <c r="L628" s="140"/>
      <c r="M628" s="59"/>
    </row>
    <row r="629" spans="2:13" x14ac:dyDescent="0.25">
      <c r="B629" s="134"/>
      <c r="C629" s="135"/>
      <c r="D629" s="136"/>
      <c r="E629" s="137"/>
      <c r="F629" s="138"/>
      <c r="G629" s="1" t="str">
        <f>IFERROR(IF(ventas_b_mes1255[[#This Row],[CUIT]]="","-",VLOOKUP(ventas_b_mes1255[[#This Row],[CUIT]],Lista_CUIT[#All],2,0)),"CUIT NO CARGADO")</f>
        <v>-</v>
      </c>
      <c r="H629" s="99">
        <f>ventas_b_mes1255[[#This Row],[TOTAL]]/1.21</f>
        <v>0</v>
      </c>
      <c r="I629" s="64">
        <f>ventas_b_mes1255[[#This Row],[IMPORTE NETO]]*0.21</f>
        <v>0</v>
      </c>
      <c r="J629" s="140"/>
      <c r="K629" s="140"/>
      <c r="L629" s="140"/>
      <c r="M629" s="59"/>
    </row>
    <row r="630" spans="2:13" x14ac:dyDescent="0.25">
      <c r="B630" s="134"/>
      <c r="C630" s="135"/>
      <c r="D630" s="136"/>
      <c r="E630" s="137"/>
      <c r="F630" s="138"/>
      <c r="G630" s="1" t="str">
        <f>IFERROR(IF(ventas_b_mes1255[[#This Row],[CUIT]]="","-",VLOOKUP(ventas_b_mes1255[[#This Row],[CUIT]],Lista_CUIT[#All],2,0)),"CUIT NO CARGADO")</f>
        <v>-</v>
      </c>
      <c r="H630" s="99">
        <f>ventas_b_mes1255[[#This Row],[TOTAL]]/1.21</f>
        <v>0</v>
      </c>
      <c r="I630" s="64">
        <f>ventas_b_mes1255[[#This Row],[IMPORTE NETO]]*0.21</f>
        <v>0</v>
      </c>
      <c r="J630" s="140"/>
      <c r="K630" s="140"/>
      <c r="L630" s="140"/>
      <c r="M630" s="59"/>
    </row>
    <row r="631" spans="2:13" x14ac:dyDescent="0.25">
      <c r="B631" s="134"/>
      <c r="C631" s="135"/>
      <c r="D631" s="136"/>
      <c r="E631" s="137"/>
      <c r="F631" s="138"/>
      <c r="G631" s="1" t="str">
        <f>IFERROR(IF(ventas_b_mes1255[[#This Row],[CUIT]]="","-",VLOOKUP(ventas_b_mes1255[[#This Row],[CUIT]],Lista_CUIT[#All],2,0)),"CUIT NO CARGADO")</f>
        <v>-</v>
      </c>
      <c r="H631" s="99">
        <f>ventas_b_mes1255[[#This Row],[TOTAL]]/1.21</f>
        <v>0</v>
      </c>
      <c r="I631" s="64">
        <f>ventas_b_mes1255[[#This Row],[IMPORTE NETO]]*0.21</f>
        <v>0</v>
      </c>
      <c r="J631" s="140"/>
      <c r="K631" s="140"/>
      <c r="L631" s="140"/>
      <c r="M631" s="59"/>
    </row>
    <row r="632" spans="2:13" x14ac:dyDescent="0.25">
      <c r="B632" s="134"/>
      <c r="C632" s="135"/>
      <c r="D632" s="136"/>
      <c r="E632" s="137"/>
      <c r="F632" s="138"/>
      <c r="G632" s="1" t="str">
        <f>IFERROR(IF(ventas_b_mes1255[[#This Row],[CUIT]]="","-",VLOOKUP(ventas_b_mes1255[[#This Row],[CUIT]],Lista_CUIT[#All],2,0)),"CUIT NO CARGADO")</f>
        <v>-</v>
      </c>
      <c r="H632" s="99">
        <f>ventas_b_mes1255[[#This Row],[TOTAL]]/1.21</f>
        <v>0</v>
      </c>
      <c r="I632" s="64">
        <f>ventas_b_mes1255[[#This Row],[IMPORTE NETO]]*0.21</f>
        <v>0</v>
      </c>
      <c r="J632" s="140"/>
      <c r="K632" s="140"/>
      <c r="L632" s="140"/>
      <c r="M632" s="59"/>
    </row>
    <row r="633" spans="2:13" x14ac:dyDescent="0.25">
      <c r="B633" s="134"/>
      <c r="C633" s="135"/>
      <c r="D633" s="136"/>
      <c r="E633" s="137"/>
      <c r="F633" s="138"/>
      <c r="G633" s="1" t="str">
        <f>IFERROR(IF(ventas_b_mes1255[[#This Row],[CUIT]]="","-",VLOOKUP(ventas_b_mes1255[[#This Row],[CUIT]],Lista_CUIT[#All],2,0)),"CUIT NO CARGADO")</f>
        <v>-</v>
      </c>
      <c r="H633" s="99">
        <f>ventas_b_mes1255[[#This Row],[TOTAL]]/1.21</f>
        <v>0</v>
      </c>
      <c r="I633" s="64">
        <f>ventas_b_mes1255[[#This Row],[IMPORTE NETO]]*0.21</f>
        <v>0</v>
      </c>
      <c r="J633" s="140"/>
      <c r="K633" s="140"/>
      <c r="L633" s="140"/>
      <c r="M633" s="59"/>
    </row>
    <row r="634" spans="2:13" x14ac:dyDescent="0.25">
      <c r="B634" s="134"/>
      <c r="C634" s="135"/>
      <c r="D634" s="136"/>
      <c r="E634" s="137"/>
      <c r="F634" s="138"/>
      <c r="G634" s="1" t="str">
        <f>IFERROR(IF(ventas_b_mes1255[[#This Row],[CUIT]]="","-",VLOOKUP(ventas_b_mes1255[[#This Row],[CUIT]],Lista_CUIT[#All],2,0)),"CUIT NO CARGADO")</f>
        <v>-</v>
      </c>
      <c r="H634" s="99">
        <f>ventas_b_mes1255[[#This Row],[TOTAL]]/1.21</f>
        <v>0</v>
      </c>
      <c r="I634" s="64">
        <f>ventas_b_mes1255[[#This Row],[IMPORTE NETO]]*0.21</f>
        <v>0</v>
      </c>
      <c r="J634" s="140"/>
      <c r="K634" s="140"/>
      <c r="L634" s="140"/>
      <c r="M634" s="59"/>
    </row>
    <row r="635" spans="2:13" x14ac:dyDescent="0.25">
      <c r="B635" s="134"/>
      <c r="C635" s="135"/>
      <c r="D635" s="136"/>
      <c r="E635" s="137"/>
      <c r="F635" s="138"/>
      <c r="G635" s="1" t="str">
        <f>IFERROR(IF(ventas_b_mes1255[[#This Row],[CUIT]]="","-",VLOOKUP(ventas_b_mes1255[[#This Row],[CUIT]],Lista_CUIT[#All],2,0)),"CUIT NO CARGADO")</f>
        <v>-</v>
      </c>
      <c r="H635" s="99">
        <f>ventas_b_mes1255[[#This Row],[TOTAL]]/1.21</f>
        <v>0</v>
      </c>
      <c r="I635" s="64">
        <f>ventas_b_mes1255[[#This Row],[IMPORTE NETO]]*0.21</f>
        <v>0</v>
      </c>
      <c r="J635" s="140"/>
      <c r="K635" s="140"/>
      <c r="L635" s="140"/>
      <c r="M635" s="59"/>
    </row>
    <row r="636" spans="2:13" x14ac:dyDescent="0.25">
      <c r="B636" s="134"/>
      <c r="C636" s="135"/>
      <c r="D636" s="136"/>
      <c r="E636" s="137"/>
      <c r="F636" s="138"/>
      <c r="G636" s="1" t="str">
        <f>IFERROR(IF(ventas_b_mes1255[[#This Row],[CUIT]]="","-",VLOOKUP(ventas_b_mes1255[[#This Row],[CUIT]],Lista_CUIT[#All],2,0)),"CUIT NO CARGADO")</f>
        <v>-</v>
      </c>
      <c r="H636" s="99">
        <f>ventas_b_mes1255[[#This Row],[TOTAL]]/1.21</f>
        <v>0</v>
      </c>
      <c r="I636" s="64">
        <f>ventas_b_mes1255[[#This Row],[IMPORTE NETO]]*0.21</f>
        <v>0</v>
      </c>
      <c r="J636" s="140"/>
      <c r="K636" s="140"/>
      <c r="L636" s="140"/>
      <c r="M636" s="59"/>
    </row>
    <row r="637" spans="2:13" x14ac:dyDescent="0.25">
      <c r="B637" s="134"/>
      <c r="C637" s="135"/>
      <c r="D637" s="136"/>
      <c r="E637" s="137"/>
      <c r="F637" s="138"/>
      <c r="G637" s="1" t="str">
        <f>IFERROR(IF(ventas_b_mes1255[[#This Row],[CUIT]]="","-",VLOOKUP(ventas_b_mes1255[[#This Row],[CUIT]],Lista_CUIT[#All],2,0)),"CUIT NO CARGADO")</f>
        <v>-</v>
      </c>
      <c r="H637" s="99">
        <f>ventas_b_mes1255[[#This Row],[TOTAL]]/1.21</f>
        <v>0</v>
      </c>
      <c r="I637" s="64">
        <f>ventas_b_mes1255[[#This Row],[IMPORTE NETO]]*0.21</f>
        <v>0</v>
      </c>
      <c r="J637" s="140"/>
      <c r="K637" s="140"/>
      <c r="L637" s="140"/>
      <c r="M637" s="59"/>
    </row>
    <row r="638" spans="2:13" x14ac:dyDescent="0.25">
      <c r="B638" s="134"/>
      <c r="C638" s="135"/>
      <c r="D638" s="136"/>
      <c r="E638" s="137"/>
      <c r="F638" s="138"/>
      <c r="G638" s="1" t="str">
        <f>IFERROR(IF(ventas_b_mes1255[[#This Row],[CUIT]]="","-",VLOOKUP(ventas_b_mes1255[[#This Row],[CUIT]],Lista_CUIT[#All],2,0)),"CUIT NO CARGADO")</f>
        <v>-</v>
      </c>
      <c r="H638" s="99">
        <f>ventas_b_mes1255[[#This Row],[TOTAL]]/1.21</f>
        <v>0</v>
      </c>
      <c r="I638" s="64">
        <f>ventas_b_mes1255[[#This Row],[IMPORTE NETO]]*0.21</f>
        <v>0</v>
      </c>
      <c r="J638" s="140"/>
      <c r="K638" s="140"/>
      <c r="L638" s="140"/>
      <c r="M638" s="59"/>
    </row>
    <row r="639" spans="2:13" x14ac:dyDescent="0.25">
      <c r="B639" s="134"/>
      <c r="C639" s="135"/>
      <c r="D639" s="136"/>
      <c r="E639" s="137"/>
      <c r="F639" s="138"/>
      <c r="G639" s="1" t="str">
        <f>IFERROR(IF(ventas_b_mes1255[[#This Row],[CUIT]]="","-",VLOOKUP(ventas_b_mes1255[[#This Row],[CUIT]],Lista_CUIT[#All],2,0)),"CUIT NO CARGADO")</f>
        <v>-</v>
      </c>
      <c r="H639" s="99">
        <f>ventas_b_mes1255[[#This Row],[TOTAL]]/1.21</f>
        <v>0</v>
      </c>
      <c r="I639" s="64">
        <f>ventas_b_mes1255[[#This Row],[IMPORTE NETO]]*0.21</f>
        <v>0</v>
      </c>
      <c r="J639" s="140"/>
      <c r="K639" s="140"/>
      <c r="L639" s="140"/>
      <c r="M639" s="59"/>
    </row>
    <row r="640" spans="2:13" x14ac:dyDescent="0.25">
      <c r="B640" s="134"/>
      <c r="C640" s="135"/>
      <c r="D640" s="136"/>
      <c r="E640" s="137"/>
      <c r="F640" s="138"/>
      <c r="G640" s="1" t="str">
        <f>IFERROR(IF(ventas_b_mes1255[[#This Row],[CUIT]]="","-",VLOOKUP(ventas_b_mes1255[[#This Row],[CUIT]],Lista_CUIT[#All],2,0)),"CUIT NO CARGADO")</f>
        <v>-</v>
      </c>
      <c r="H640" s="99">
        <f>ventas_b_mes1255[[#This Row],[TOTAL]]/1.21</f>
        <v>0</v>
      </c>
      <c r="I640" s="64">
        <f>ventas_b_mes1255[[#This Row],[IMPORTE NETO]]*0.21</f>
        <v>0</v>
      </c>
      <c r="J640" s="140"/>
      <c r="K640" s="140"/>
      <c r="L640" s="140"/>
      <c r="M640" s="59"/>
    </row>
    <row r="641" spans="2:13" x14ac:dyDescent="0.25">
      <c r="B641" s="134"/>
      <c r="C641" s="135"/>
      <c r="D641" s="136"/>
      <c r="E641" s="137"/>
      <c r="F641" s="138"/>
      <c r="G641" s="1" t="str">
        <f>IFERROR(IF(ventas_b_mes1255[[#This Row],[CUIT]]="","-",VLOOKUP(ventas_b_mes1255[[#This Row],[CUIT]],Lista_CUIT[#All],2,0)),"CUIT NO CARGADO")</f>
        <v>-</v>
      </c>
      <c r="H641" s="99">
        <f>ventas_b_mes1255[[#This Row],[TOTAL]]/1.21</f>
        <v>0</v>
      </c>
      <c r="I641" s="64">
        <f>ventas_b_mes1255[[#This Row],[IMPORTE NETO]]*0.21</f>
        <v>0</v>
      </c>
      <c r="J641" s="140"/>
      <c r="K641" s="140"/>
      <c r="L641" s="140"/>
      <c r="M641" s="59"/>
    </row>
    <row r="642" spans="2:13" x14ac:dyDescent="0.25">
      <c r="B642" s="134"/>
      <c r="C642" s="135"/>
      <c r="D642" s="136"/>
      <c r="E642" s="137"/>
      <c r="F642" s="138"/>
      <c r="G642" s="1" t="str">
        <f>IFERROR(IF(ventas_b_mes1255[[#This Row],[CUIT]]="","-",VLOOKUP(ventas_b_mes1255[[#This Row],[CUIT]],Lista_CUIT[#All],2,0)),"CUIT NO CARGADO")</f>
        <v>-</v>
      </c>
      <c r="H642" s="99">
        <f>ventas_b_mes1255[[#This Row],[TOTAL]]/1.21</f>
        <v>0</v>
      </c>
      <c r="I642" s="64">
        <f>ventas_b_mes1255[[#This Row],[IMPORTE NETO]]*0.21</f>
        <v>0</v>
      </c>
      <c r="J642" s="140"/>
      <c r="K642" s="140"/>
      <c r="L642" s="140"/>
      <c r="M642" s="59"/>
    </row>
    <row r="643" spans="2:13" x14ac:dyDescent="0.25">
      <c r="B643" s="134"/>
      <c r="C643" s="135"/>
      <c r="D643" s="136"/>
      <c r="E643" s="137"/>
      <c r="F643" s="138"/>
      <c r="G643" s="1" t="str">
        <f>IFERROR(IF(ventas_b_mes1255[[#This Row],[CUIT]]="","-",VLOOKUP(ventas_b_mes1255[[#This Row],[CUIT]],Lista_CUIT[#All],2,0)),"CUIT NO CARGADO")</f>
        <v>-</v>
      </c>
      <c r="H643" s="99">
        <f>ventas_b_mes1255[[#This Row],[TOTAL]]/1.21</f>
        <v>0</v>
      </c>
      <c r="I643" s="64">
        <f>ventas_b_mes1255[[#This Row],[IMPORTE NETO]]*0.21</f>
        <v>0</v>
      </c>
      <c r="J643" s="140"/>
      <c r="K643" s="140"/>
      <c r="L643" s="140"/>
      <c r="M643" s="59"/>
    </row>
    <row r="644" spans="2:13" x14ac:dyDescent="0.25">
      <c r="B644" s="134"/>
      <c r="C644" s="135"/>
      <c r="D644" s="136"/>
      <c r="E644" s="137"/>
      <c r="F644" s="138"/>
      <c r="G644" s="1" t="str">
        <f>IFERROR(IF(ventas_b_mes1255[[#This Row],[CUIT]]="","-",VLOOKUP(ventas_b_mes1255[[#This Row],[CUIT]],Lista_CUIT[#All],2,0)),"CUIT NO CARGADO")</f>
        <v>-</v>
      </c>
      <c r="H644" s="99">
        <f>ventas_b_mes1255[[#This Row],[TOTAL]]/1.21</f>
        <v>0</v>
      </c>
      <c r="I644" s="64">
        <f>ventas_b_mes1255[[#This Row],[IMPORTE NETO]]*0.21</f>
        <v>0</v>
      </c>
      <c r="J644" s="140"/>
      <c r="K644" s="140"/>
      <c r="L644" s="140"/>
      <c r="M644" s="59"/>
    </row>
    <row r="645" spans="2:13" x14ac:dyDescent="0.25">
      <c r="B645" s="134"/>
      <c r="C645" s="135"/>
      <c r="D645" s="136"/>
      <c r="E645" s="137"/>
      <c r="F645" s="138"/>
      <c r="G645" s="1" t="str">
        <f>IFERROR(IF(ventas_b_mes1255[[#This Row],[CUIT]]="","-",VLOOKUP(ventas_b_mes1255[[#This Row],[CUIT]],Lista_CUIT[#All],2,0)),"CUIT NO CARGADO")</f>
        <v>-</v>
      </c>
      <c r="H645" s="99">
        <f>ventas_b_mes1255[[#This Row],[TOTAL]]/1.21</f>
        <v>0</v>
      </c>
      <c r="I645" s="64">
        <f>ventas_b_mes1255[[#This Row],[IMPORTE NETO]]*0.21</f>
        <v>0</v>
      </c>
      <c r="J645" s="140"/>
      <c r="K645" s="140"/>
      <c r="L645" s="140"/>
      <c r="M645" s="59"/>
    </row>
    <row r="646" spans="2:13" x14ac:dyDescent="0.25">
      <c r="B646" s="134"/>
      <c r="C646" s="135"/>
      <c r="D646" s="136"/>
      <c r="E646" s="137"/>
      <c r="F646" s="138"/>
      <c r="G646" s="1" t="str">
        <f>IFERROR(IF(ventas_b_mes1255[[#This Row],[CUIT]]="","-",VLOOKUP(ventas_b_mes1255[[#This Row],[CUIT]],Lista_CUIT[#All],2,0)),"CUIT NO CARGADO")</f>
        <v>-</v>
      </c>
      <c r="H646" s="99">
        <f>ventas_b_mes1255[[#This Row],[TOTAL]]/1.21</f>
        <v>0</v>
      </c>
      <c r="I646" s="64">
        <f>ventas_b_mes1255[[#This Row],[IMPORTE NETO]]*0.21</f>
        <v>0</v>
      </c>
      <c r="J646" s="140"/>
      <c r="K646" s="140"/>
      <c r="L646" s="140"/>
      <c r="M646" s="59"/>
    </row>
    <row r="647" spans="2:13" x14ac:dyDescent="0.25">
      <c r="B647" s="134"/>
      <c r="C647" s="135"/>
      <c r="D647" s="136"/>
      <c r="E647" s="137"/>
      <c r="F647" s="138"/>
      <c r="G647" s="1" t="str">
        <f>IFERROR(IF(ventas_b_mes1255[[#This Row],[CUIT]]="","-",VLOOKUP(ventas_b_mes1255[[#This Row],[CUIT]],Lista_CUIT[#All],2,0)),"CUIT NO CARGADO")</f>
        <v>-</v>
      </c>
      <c r="H647" s="99">
        <f>ventas_b_mes1255[[#This Row],[TOTAL]]/1.21</f>
        <v>0</v>
      </c>
      <c r="I647" s="64">
        <f>ventas_b_mes1255[[#This Row],[IMPORTE NETO]]*0.21</f>
        <v>0</v>
      </c>
      <c r="J647" s="140"/>
      <c r="K647" s="140"/>
      <c r="L647" s="140"/>
      <c r="M647" s="59"/>
    </row>
    <row r="648" spans="2:13" x14ac:dyDescent="0.25">
      <c r="B648" s="134"/>
      <c r="C648" s="135"/>
      <c r="D648" s="136"/>
      <c r="E648" s="137"/>
      <c r="F648" s="138"/>
      <c r="G648" s="1" t="str">
        <f>IFERROR(IF(ventas_b_mes1255[[#This Row],[CUIT]]="","-",VLOOKUP(ventas_b_mes1255[[#This Row],[CUIT]],Lista_CUIT[#All],2,0)),"CUIT NO CARGADO")</f>
        <v>-</v>
      </c>
      <c r="H648" s="99">
        <f>ventas_b_mes1255[[#This Row],[TOTAL]]/1.21</f>
        <v>0</v>
      </c>
      <c r="I648" s="64">
        <f>ventas_b_mes1255[[#This Row],[IMPORTE NETO]]*0.21</f>
        <v>0</v>
      </c>
      <c r="J648" s="140"/>
      <c r="K648" s="140"/>
      <c r="L648" s="140"/>
      <c r="M648" s="59"/>
    </row>
    <row r="649" spans="2:13" x14ac:dyDescent="0.25">
      <c r="B649" s="134"/>
      <c r="C649" s="135"/>
      <c r="D649" s="136"/>
      <c r="E649" s="137"/>
      <c r="F649" s="138"/>
      <c r="G649" s="1" t="str">
        <f>IFERROR(IF(ventas_b_mes1255[[#This Row],[CUIT]]="","-",VLOOKUP(ventas_b_mes1255[[#This Row],[CUIT]],Lista_CUIT[#All],2,0)),"CUIT NO CARGADO")</f>
        <v>-</v>
      </c>
      <c r="H649" s="99">
        <f>ventas_b_mes1255[[#This Row],[TOTAL]]/1.21</f>
        <v>0</v>
      </c>
      <c r="I649" s="64">
        <f>ventas_b_mes1255[[#This Row],[IMPORTE NETO]]*0.21</f>
        <v>0</v>
      </c>
      <c r="J649" s="140"/>
      <c r="K649" s="140"/>
      <c r="L649" s="140"/>
      <c r="M649" s="59"/>
    </row>
    <row r="650" spans="2:13" x14ac:dyDescent="0.25">
      <c r="B650" s="134"/>
      <c r="C650" s="135"/>
      <c r="D650" s="136"/>
      <c r="E650" s="137"/>
      <c r="F650" s="138"/>
      <c r="G650" s="1" t="str">
        <f>IFERROR(IF(ventas_b_mes1255[[#This Row],[CUIT]]="","-",VLOOKUP(ventas_b_mes1255[[#This Row],[CUIT]],Lista_CUIT[#All],2,0)),"CUIT NO CARGADO")</f>
        <v>-</v>
      </c>
      <c r="H650" s="99">
        <f>ventas_b_mes1255[[#This Row],[TOTAL]]/1.21</f>
        <v>0</v>
      </c>
      <c r="I650" s="64">
        <f>ventas_b_mes1255[[#This Row],[IMPORTE NETO]]*0.21</f>
        <v>0</v>
      </c>
      <c r="J650" s="140"/>
      <c r="K650" s="140"/>
      <c r="L650" s="140"/>
      <c r="M650" s="59"/>
    </row>
    <row r="651" spans="2:13" x14ac:dyDescent="0.25">
      <c r="B651" s="134"/>
      <c r="C651" s="135"/>
      <c r="D651" s="136"/>
      <c r="E651" s="137"/>
      <c r="F651" s="138"/>
      <c r="G651" s="1" t="str">
        <f>IFERROR(IF(ventas_b_mes1255[[#This Row],[CUIT]]="","-",VLOOKUP(ventas_b_mes1255[[#This Row],[CUIT]],Lista_CUIT[#All],2,0)),"CUIT NO CARGADO")</f>
        <v>-</v>
      </c>
      <c r="H651" s="99">
        <f>ventas_b_mes1255[[#This Row],[TOTAL]]/1.21</f>
        <v>0</v>
      </c>
      <c r="I651" s="64">
        <f>ventas_b_mes1255[[#This Row],[IMPORTE NETO]]*0.21</f>
        <v>0</v>
      </c>
      <c r="J651" s="140"/>
      <c r="K651" s="140"/>
      <c r="L651" s="140"/>
      <c r="M651" s="59"/>
    </row>
    <row r="652" spans="2:13" x14ac:dyDescent="0.25">
      <c r="B652" s="134"/>
      <c r="C652" s="135"/>
      <c r="D652" s="136"/>
      <c r="E652" s="137"/>
      <c r="F652" s="138"/>
      <c r="G652" s="1" t="str">
        <f>IFERROR(IF(ventas_b_mes1255[[#This Row],[CUIT]]="","-",VLOOKUP(ventas_b_mes1255[[#This Row],[CUIT]],Lista_CUIT[#All],2,0)),"CUIT NO CARGADO")</f>
        <v>-</v>
      </c>
      <c r="H652" s="99">
        <f>ventas_b_mes1255[[#This Row],[TOTAL]]/1.21</f>
        <v>0</v>
      </c>
      <c r="I652" s="64">
        <f>ventas_b_mes1255[[#This Row],[IMPORTE NETO]]*0.21</f>
        <v>0</v>
      </c>
      <c r="J652" s="140"/>
      <c r="K652" s="140"/>
      <c r="L652" s="140"/>
      <c r="M652" s="59"/>
    </row>
    <row r="653" spans="2:13" x14ac:dyDescent="0.25">
      <c r="B653" s="134"/>
      <c r="C653" s="135"/>
      <c r="D653" s="136"/>
      <c r="E653" s="137"/>
      <c r="F653" s="138"/>
      <c r="G653" s="1" t="str">
        <f>IFERROR(IF(ventas_b_mes1255[[#This Row],[CUIT]]="","-",VLOOKUP(ventas_b_mes1255[[#This Row],[CUIT]],Lista_CUIT[#All],2,0)),"CUIT NO CARGADO")</f>
        <v>-</v>
      </c>
      <c r="H653" s="99">
        <f>ventas_b_mes1255[[#This Row],[TOTAL]]/1.21</f>
        <v>0</v>
      </c>
      <c r="I653" s="64">
        <f>ventas_b_mes1255[[#This Row],[IMPORTE NETO]]*0.21</f>
        <v>0</v>
      </c>
      <c r="J653" s="140"/>
      <c r="K653" s="140"/>
      <c r="L653" s="140"/>
      <c r="M653" s="59"/>
    </row>
    <row r="654" spans="2:13" x14ac:dyDescent="0.25">
      <c r="B654" s="134"/>
      <c r="C654" s="135"/>
      <c r="D654" s="136"/>
      <c r="E654" s="137"/>
      <c r="F654" s="138"/>
      <c r="G654" s="1" t="str">
        <f>IFERROR(IF(ventas_b_mes1255[[#This Row],[CUIT]]="","-",VLOOKUP(ventas_b_mes1255[[#This Row],[CUIT]],Lista_CUIT[#All],2,0)),"CUIT NO CARGADO")</f>
        <v>-</v>
      </c>
      <c r="H654" s="99">
        <f>ventas_b_mes1255[[#This Row],[TOTAL]]/1.21</f>
        <v>0</v>
      </c>
      <c r="I654" s="64">
        <f>ventas_b_mes1255[[#This Row],[IMPORTE NETO]]*0.21</f>
        <v>0</v>
      </c>
      <c r="J654" s="140"/>
      <c r="K654" s="140"/>
      <c r="L654" s="140"/>
      <c r="M654" s="59"/>
    </row>
    <row r="655" spans="2:13" x14ac:dyDescent="0.25">
      <c r="B655" s="134"/>
      <c r="C655" s="135"/>
      <c r="D655" s="136"/>
      <c r="E655" s="137"/>
      <c r="F655" s="138"/>
      <c r="G655" s="1" t="str">
        <f>IFERROR(IF(ventas_b_mes1255[[#This Row],[CUIT]]="","-",VLOOKUP(ventas_b_mes1255[[#This Row],[CUIT]],Lista_CUIT[#All],2,0)),"CUIT NO CARGADO")</f>
        <v>-</v>
      </c>
      <c r="H655" s="99">
        <f>ventas_b_mes1255[[#This Row],[TOTAL]]/1.21</f>
        <v>0</v>
      </c>
      <c r="I655" s="64">
        <f>ventas_b_mes1255[[#This Row],[IMPORTE NETO]]*0.21</f>
        <v>0</v>
      </c>
      <c r="J655" s="140"/>
      <c r="K655" s="140"/>
      <c r="L655" s="140"/>
      <c r="M655" s="59"/>
    </row>
    <row r="656" spans="2:13" x14ac:dyDescent="0.25">
      <c r="B656" s="134"/>
      <c r="C656" s="135"/>
      <c r="D656" s="136"/>
      <c r="E656" s="137"/>
      <c r="F656" s="138"/>
      <c r="G656" s="1" t="str">
        <f>IFERROR(IF(ventas_b_mes1255[[#This Row],[CUIT]]="","-",VLOOKUP(ventas_b_mes1255[[#This Row],[CUIT]],Lista_CUIT[#All],2,0)),"CUIT NO CARGADO")</f>
        <v>-</v>
      </c>
      <c r="H656" s="99">
        <f>ventas_b_mes1255[[#This Row],[TOTAL]]/1.21</f>
        <v>0</v>
      </c>
      <c r="I656" s="64">
        <f>ventas_b_mes1255[[#This Row],[IMPORTE NETO]]*0.21</f>
        <v>0</v>
      </c>
      <c r="J656" s="140"/>
      <c r="K656" s="140"/>
      <c r="L656" s="140"/>
      <c r="M656" s="59"/>
    </row>
    <row r="657" spans="2:13" x14ac:dyDescent="0.25">
      <c r="B657" s="134"/>
      <c r="C657" s="135"/>
      <c r="D657" s="136"/>
      <c r="E657" s="137"/>
      <c r="F657" s="138"/>
      <c r="G657" s="1" t="str">
        <f>IFERROR(IF(ventas_b_mes1255[[#This Row],[CUIT]]="","-",VLOOKUP(ventas_b_mes1255[[#This Row],[CUIT]],Lista_CUIT[#All],2,0)),"CUIT NO CARGADO")</f>
        <v>-</v>
      </c>
      <c r="H657" s="99">
        <f>ventas_b_mes1255[[#This Row],[TOTAL]]/1.21</f>
        <v>0</v>
      </c>
      <c r="I657" s="64">
        <f>ventas_b_mes1255[[#This Row],[IMPORTE NETO]]*0.21</f>
        <v>0</v>
      </c>
      <c r="J657" s="140"/>
      <c r="K657" s="140"/>
      <c r="L657" s="140"/>
      <c r="M657" s="59"/>
    </row>
    <row r="658" spans="2:13" x14ac:dyDescent="0.25">
      <c r="B658" s="134"/>
      <c r="C658" s="135"/>
      <c r="D658" s="136"/>
      <c r="E658" s="137"/>
      <c r="F658" s="138"/>
      <c r="G658" s="1" t="str">
        <f>IFERROR(IF(ventas_b_mes1255[[#This Row],[CUIT]]="","-",VLOOKUP(ventas_b_mes1255[[#This Row],[CUIT]],Lista_CUIT[#All],2,0)),"CUIT NO CARGADO")</f>
        <v>-</v>
      </c>
      <c r="H658" s="99">
        <f>ventas_b_mes1255[[#This Row],[TOTAL]]/1.21</f>
        <v>0</v>
      </c>
      <c r="I658" s="64">
        <f>ventas_b_mes1255[[#This Row],[IMPORTE NETO]]*0.21</f>
        <v>0</v>
      </c>
      <c r="J658" s="140"/>
      <c r="K658" s="140"/>
      <c r="L658" s="140"/>
      <c r="M658" s="59"/>
    </row>
    <row r="659" spans="2:13" x14ac:dyDescent="0.25">
      <c r="B659" s="134"/>
      <c r="C659" s="135"/>
      <c r="D659" s="136"/>
      <c r="E659" s="137"/>
      <c r="F659" s="138"/>
      <c r="G659" s="1" t="str">
        <f>IFERROR(IF(ventas_b_mes1255[[#This Row],[CUIT]]="","-",VLOOKUP(ventas_b_mes1255[[#This Row],[CUIT]],Lista_CUIT[#All],2,0)),"CUIT NO CARGADO")</f>
        <v>-</v>
      </c>
      <c r="H659" s="99">
        <f>ventas_b_mes1255[[#This Row],[TOTAL]]/1.21</f>
        <v>0</v>
      </c>
      <c r="I659" s="64">
        <f>ventas_b_mes1255[[#This Row],[IMPORTE NETO]]*0.21</f>
        <v>0</v>
      </c>
      <c r="J659" s="140"/>
      <c r="K659" s="140"/>
      <c r="L659" s="140"/>
      <c r="M659" s="59"/>
    </row>
    <row r="660" spans="2:13" x14ac:dyDescent="0.25">
      <c r="B660" s="134"/>
      <c r="C660" s="135"/>
      <c r="D660" s="136"/>
      <c r="E660" s="137"/>
      <c r="F660" s="138"/>
      <c r="G660" s="1" t="str">
        <f>IFERROR(IF(ventas_b_mes1255[[#This Row],[CUIT]]="","-",VLOOKUP(ventas_b_mes1255[[#This Row],[CUIT]],Lista_CUIT[#All],2,0)),"CUIT NO CARGADO")</f>
        <v>-</v>
      </c>
      <c r="H660" s="99">
        <f>ventas_b_mes1255[[#This Row],[TOTAL]]/1.21</f>
        <v>0</v>
      </c>
      <c r="I660" s="64">
        <f>ventas_b_mes1255[[#This Row],[IMPORTE NETO]]*0.21</f>
        <v>0</v>
      </c>
      <c r="J660" s="140"/>
      <c r="K660" s="140"/>
      <c r="L660" s="140"/>
      <c r="M660" s="59"/>
    </row>
    <row r="661" spans="2:13" x14ac:dyDescent="0.25">
      <c r="B661" s="134"/>
      <c r="C661" s="135"/>
      <c r="D661" s="136"/>
      <c r="E661" s="137"/>
      <c r="F661" s="138"/>
      <c r="G661" s="1" t="str">
        <f>IFERROR(IF(ventas_b_mes1255[[#This Row],[CUIT]]="","-",VLOOKUP(ventas_b_mes1255[[#This Row],[CUIT]],Lista_CUIT[#All],2,0)),"CUIT NO CARGADO")</f>
        <v>-</v>
      </c>
      <c r="H661" s="99">
        <f>ventas_b_mes1255[[#This Row],[TOTAL]]/1.21</f>
        <v>0</v>
      </c>
      <c r="I661" s="64">
        <f>ventas_b_mes1255[[#This Row],[IMPORTE NETO]]*0.21</f>
        <v>0</v>
      </c>
      <c r="J661" s="140"/>
      <c r="K661" s="140"/>
      <c r="L661" s="140"/>
      <c r="M661" s="59"/>
    </row>
    <row r="662" spans="2:13" x14ac:dyDescent="0.25">
      <c r="B662" s="134"/>
      <c r="C662" s="135"/>
      <c r="D662" s="136"/>
      <c r="E662" s="137"/>
      <c r="F662" s="138"/>
      <c r="G662" s="1" t="str">
        <f>IFERROR(IF(ventas_b_mes1255[[#This Row],[CUIT]]="","-",VLOOKUP(ventas_b_mes1255[[#This Row],[CUIT]],Lista_CUIT[#All],2,0)),"CUIT NO CARGADO")</f>
        <v>-</v>
      </c>
      <c r="H662" s="99">
        <f>ventas_b_mes1255[[#This Row],[TOTAL]]/1.21</f>
        <v>0</v>
      </c>
      <c r="I662" s="64">
        <f>ventas_b_mes1255[[#This Row],[IMPORTE NETO]]*0.21</f>
        <v>0</v>
      </c>
      <c r="J662" s="140"/>
      <c r="K662" s="140"/>
      <c r="L662" s="140"/>
      <c r="M662" s="59"/>
    </row>
    <row r="663" spans="2:13" x14ac:dyDescent="0.25">
      <c r="B663" s="134"/>
      <c r="C663" s="135"/>
      <c r="D663" s="136"/>
      <c r="E663" s="137"/>
      <c r="F663" s="138"/>
      <c r="G663" s="1" t="str">
        <f>IFERROR(IF(ventas_b_mes1255[[#This Row],[CUIT]]="","-",VLOOKUP(ventas_b_mes1255[[#This Row],[CUIT]],Lista_CUIT[#All],2,0)),"CUIT NO CARGADO")</f>
        <v>-</v>
      </c>
      <c r="H663" s="99">
        <f>ventas_b_mes1255[[#This Row],[TOTAL]]/1.21</f>
        <v>0</v>
      </c>
      <c r="I663" s="64">
        <f>ventas_b_mes1255[[#This Row],[IMPORTE NETO]]*0.21</f>
        <v>0</v>
      </c>
      <c r="J663" s="140"/>
      <c r="K663" s="140"/>
      <c r="L663" s="140"/>
      <c r="M663" s="59"/>
    </row>
    <row r="664" spans="2:13" x14ac:dyDescent="0.25">
      <c r="B664" s="134"/>
      <c r="C664" s="135"/>
      <c r="D664" s="136"/>
      <c r="E664" s="137"/>
      <c r="F664" s="138"/>
      <c r="G664" s="1" t="str">
        <f>IFERROR(IF(ventas_b_mes1255[[#This Row],[CUIT]]="","-",VLOOKUP(ventas_b_mes1255[[#This Row],[CUIT]],Lista_CUIT[#All],2,0)),"CUIT NO CARGADO")</f>
        <v>-</v>
      </c>
      <c r="H664" s="99">
        <f>ventas_b_mes1255[[#This Row],[TOTAL]]/1.21</f>
        <v>0</v>
      </c>
      <c r="I664" s="64">
        <f>ventas_b_mes1255[[#This Row],[IMPORTE NETO]]*0.21</f>
        <v>0</v>
      </c>
      <c r="J664" s="140"/>
      <c r="K664" s="140"/>
      <c r="L664" s="140"/>
      <c r="M664" s="59"/>
    </row>
    <row r="665" spans="2:13" x14ac:dyDescent="0.25">
      <c r="B665" s="134"/>
      <c r="C665" s="135"/>
      <c r="D665" s="136"/>
      <c r="E665" s="137"/>
      <c r="F665" s="138"/>
      <c r="G665" s="1" t="str">
        <f>IFERROR(IF(ventas_b_mes1255[[#This Row],[CUIT]]="","-",VLOOKUP(ventas_b_mes1255[[#This Row],[CUIT]],Lista_CUIT[#All],2,0)),"CUIT NO CARGADO")</f>
        <v>-</v>
      </c>
      <c r="H665" s="99">
        <f>ventas_b_mes1255[[#This Row],[TOTAL]]/1.21</f>
        <v>0</v>
      </c>
      <c r="I665" s="64">
        <f>ventas_b_mes1255[[#This Row],[IMPORTE NETO]]*0.21</f>
        <v>0</v>
      </c>
      <c r="J665" s="140"/>
      <c r="K665" s="140"/>
      <c r="L665" s="140"/>
      <c r="M665" s="59"/>
    </row>
    <row r="666" spans="2:13" x14ac:dyDescent="0.25">
      <c r="B666" s="134"/>
      <c r="C666" s="135"/>
      <c r="D666" s="136"/>
      <c r="E666" s="137"/>
      <c r="F666" s="138"/>
      <c r="G666" s="1" t="str">
        <f>IFERROR(IF(ventas_b_mes1255[[#This Row],[CUIT]]="","-",VLOOKUP(ventas_b_mes1255[[#This Row],[CUIT]],Lista_CUIT[#All],2,0)),"CUIT NO CARGADO")</f>
        <v>-</v>
      </c>
      <c r="H666" s="99">
        <f>ventas_b_mes1255[[#This Row],[TOTAL]]/1.21</f>
        <v>0</v>
      </c>
      <c r="I666" s="64">
        <f>ventas_b_mes1255[[#This Row],[IMPORTE NETO]]*0.21</f>
        <v>0</v>
      </c>
      <c r="J666" s="140"/>
      <c r="K666" s="140"/>
      <c r="L666" s="140"/>
      <c r="M666" s="59"/>
    </row>
    <row r="667" spans="2:13" x14ac:dyDescent="0.25">
      <c r="B667" s="134"/>
      <c r="C667" s="135"/>
      <c r="D667" s="136"/>
      <c r="E667" s="137"/>
      <c r="F667" s="138"/>
      <c r="G667" s="1" t="str">
        <f>IFERROR(IF(ventas_b_mes1255[[#This Row],[CUIT]]="","-",VLOOKUP(ventas_b_mes1255[[#This Row],[CUIT]],Lista_CUIT[#All],2,0)),"CUIT NO CARGADO")</f>
        <v>-</v>
      </c>
      <c r="H667" s="99">
        <f>ventas_b_mes1255[[#This Row],[TOTAL]]/1.21</f>
        <v>0</v>
      </c>
      <c r="I667" s="64">
        <f>ventas_b_mes1255[[#This Row],[IMPORTE NETO]]*0.21</f>
        <v>0</v>
      </c>
      <c r="J667" s="140"/>
      <c r="K667" s="140"/>
      <c r="L667" s="140"/>
      <c r="M667" s="59"/>
    </row>
    <row r="668" spans="2:13" x14ac:dyDescent="0.25">
      <c r="B668" s="134"/>
      <c r="C668" s="135"/>
      <c r="D668" s="136"/>
      <c r="E668" s="137"/>
      <c r="F668" s="138"/>
      <c r="G668" s="1" t="str">
        <f>IFERROR(IF(ventas_b_mes1255[[#This Row],[CUIT]]="","-",VLOOKUP(ventas_b_mes1255[[#This Row],[CUIT]],Lista_CUIT[#All],2,0)),"CUIT NO CARGADO")</f>
        <v>-</v>
      </c>
      <c r="H668" s="99">
        <f>ventas_b_mes1255[[#This Row],[TOTAL]]/1.21</f>
        <v>0</v>
      </c>
      <c r="I668" s="64">
        <f>ventas_b_mes1255[[#This Row],[IMPORTE NETO]]*0.21</f>
        <v>0</v>
      </c>
      <c r="J668" s="140"/>
      <c r="K668" s="140"/>
      <c r="L668" s="140"/>
      <c r="M668" s="59"/>
    </row>
    <row r="669" spans="2:13" x14ac:dyDescent="0.25">
      <c r="B669" s="134"/>
      <c r="C669" s="135"/>
      <c r="D669" s="136"/>
      <c r="E669" s="137"/>
      <c r="F669" s="138"/>
      <c r="G669" s="1" t="str">
        <f>IFERROR(IF(ventas_b_mes1255[[#This Row],[CUIT]]="","-",VLOOKUP(ventas_b_mes1255[[#This Row],[CUIT]],Lista_CUIT[#All],2,0)),"CUIT NO CARGADO")</f>
        <v>-</v>
      </c>
      <c r="H669" s="99">
        <f>ventas_b_mes1255[[#This Row],[TOTAL]]/1.21</f>
        <v>0</v>
      </c>
      <c r="I669" s="64">
        <f>ventas_b_mes1255[[#This Row],[IMPORTE NETO]]*0.21</f>
        <v>0</v>
      </c>
      <c r="J669" s="140"/>
      <c r="K669" s="140"/>
      <c r="L669" s="140"/>
      <c r="M669" s="59"/>
    </row>
    <row r="670" spans="2:13" x14ac:dyDescent="0.25">
      <c r="B670" s="134"/>
      <c r="C670" s="135"/>
      <c r="D670" s="136"/>
      <c r="E670" s="137"/>
      <c r="F670" s="138"/>
      <c r="G670" s="1" t="str">
        <f>IFERROR(IF(ventas_b_mes1255[[#This Row],[CUIT]]="","-",VLOOKUP(ventas_b_mes1255[[#This Row],[CUIT]],Lista_CUIT[#All],2,0)),"CUIT NO CARGADO")</f>
        <v>-</v>
      </c>
      <c r="H670" s="99">
        <f>ventas_b_mes1255[[#This Row],[TOTAL]]/1.21</f>
        <v>0</v>
      </c>
      <c r="I670" s="64">
        <f>ventas_b_mes1255[[#This Row],[IMPORTE NETO]]*0.21</f>
        <v>0</v>
      </c>
      <c r="J670" s="140"/>
      <c r="K670" s="140"/>
      <c r="L670" s="140"/>
      <c r="M670" s="59"/>
    </row>
    <row r="671" spans="2:13" x14ac:dyDescent="0.25">
      <c r="B671" s="134"/>
      <c r="C671" s="135"/>
      <c r="D671" s="136"/>
      <c r="E671" s="137"/>
      <c r="F671" s="138"/>
      <c r="G671" s="1" t="str">
        <f>IFERROR(IF(ventas_b_mes1255[[#This Row],[CUIT]]="","-",VLOOKUP(ventas_b_mes1255[[#This Row],[CUIT]],Lista_CUIT[#All],2,0)),"CUIT NO CARGADO")</f>
        <v>-</v>
      </c>
      <c r="H671" s="99">
        <f>ventas_b_mes1255[[#This Row],[TOTAL]]/1.21</f>
        <v>0</v>
      </c>
      <c r="I671" s="64">
        <f>ventas_b_mes1255[[#This Row],[IMPORTE NETO]]*0.21</f>
        <v>0</v>
      </c>
      <c r="J671" s="140"/>
      <c r="K671" s="140"/>
      <c r="L671" s="140"/>
      <c r="M671" s="59"/>
    </row>
    <row r="672" spans="2:13" x14ac:dyDescent="0.25">
      <c r="B672" s="134"/>
      <c r="C672" s="135"/>
      <c r="D672" s="136"/>
      <c r="E672" s="137"/>
      <c r="F672" s="138"/>
      <c r="G672" s="1" t="str">
        <f>IFERROR(IF(ventas_b_mes1255[[#This Row],[CUIT]]="","-",VLOOKUP(ventas_b_mes1255[[#This Row],[CUIT]],Lista_CUIT[#All],2,0)),"CUIT NO CARGADO")</f>
        <v>-</v>
      </c>
      <c r="H672" s="99">
        <f>ventas_b_mes1255[[#This Row],[TOTAL]]/1.21</f>
        <v>0</v>
      </c>
      <c r="I672" s="64">
        <f>ventas_b_mes1255[[#This Row],[IMPORTE NETO]]*0.21</f>
        <v>0</v>
      </c>
      <c r="J672" s="140"/>
      <c r="K672" s="140"/>
      <c r="L672" s="140"/>
      <c r="M672" s="59"/>
    </row>
    <row r="673" spans="2:13" x14ac:dyDescent="0.25">
      <c r="B673" s="134"/>
      <c r="C673" s="135"/>
      <c r="D673" s="136"/>
      <c r="E673" s="137"/>
      <c r="F673" s="138"/>
      <c r="G673" s="1" t="str">
        <f>IFERROR(IF(ventas_b_mes1255[[#This Row],[CUIT]]="","-",VLOOKUP(ventas_b_mes1255[[#This Row],[CUIT]],Lista_CUIT[#All],2,0)),"CUIT NO CARGADO")</f>
        <v>-</v>
      </c>
      <c r="H673" s="99">
        <f>ventas_b_mes1255[[#This Row],[TOTAL]]/1.21</f>
        <v>0</v>
      </c>
      <c r="I673" s="64">
        <f>ventas_b_mes1255[[#This Row],[IMPORTE NETO]]*0.21</f>
        <v>0</v>
      </c>
      <c r="J673" s="140"/>
      <c r="K673" s="140"/>
      <c r="L673" s="140"/>
      <c r="M673" s="59"/>
    </row>
    <row r="674" spans="2:13" x14ac:dyDescent="0.25">
      <c r="B674" s="134"/>
      <c r="C674" s="135"/>
      <c r="D674" s="136"/>
      <c r="E674" s="137"/>
      <c r="F674" s="138"/>
      <c r="G674" s="1" t="str">
        <f>IFERROR(IF(ventas_b_mes1255[[#This Row],[CUIT]]="","-",VLOOKUP(ventas_b_mes1255[[#This Row],[CUIT]],Lista_CUIT[#All],2,0)),"CUIT NO CARGADO")</f>
        <v>-</v>
      </c>
      <c r="H674" s="99">
        <f>ventas_b_mes1255[[#This Row],[TOTAL]]/1.21</f>
        <v>0</v>
      </c>
      <c r="I674" s="64">
        <f>ventas_b_mes1255[[#This Row],[IMPORTE NETO]]*0.21</f>
        <v>0</v>
      </c>
      <c r="J674" s="140"/>
      <c r="K674" s="140"/>
      <c r="L674" s="140"/>
      <c r="M674" s="59"/>
    </row>
    <row r="675" spans="2:13" x14ac:dyDescent="0.25">
      <c r="B675" s="134"/>
      <c r="C675" s="135"/>
      <c r="D675" s="136"/>
      <c r="E675" s="137"/>
      <c r="F675" s="138"/>
      <c r="G675" s="1" t="str">
        <f>IFERROR(IF(ventas_b_mes1255[[#This Row],[CUIT]]="","-",VLOOKUP(ventas_b_mes1255[[#This Row],[CUIT]],Lista_CUIT[#All],2,0)),"CUIT NO CARGADO")</f>
        <v>-</v>
      </c>
      <c r="H675" s="99">
        <f>ventas_b_mes1255[[#This Row],[TOTAL]]/1.21</f>
        <v>0</v>
      </c>
      <c r="I675" s="64">
        <f>ventas_b_mes1255[[#This Row],[IMPORTE NETO]]*0.21</f>
        <v>0</v>
      </c>
      <c r="J675" s="140"/>
      <c r="K675" s="140"/>
      <c r="L675" s="140"/>
      <c r="M675" s="59"/>
    </row>
    <row r="676" spans="2:13" x14ac:dyDescent="0.25">
      <c r="B676" s="134"/>
      <c r="C676" s="135"/>
      <c r="D676" s="136"/>
      <c r="E676" s="137"/>
      <c r="F676" s="138"/>
      <c r="G676" s="1" t="str">
        <f>IFERROR(IF(ventas_b_mes1255[[#This Row],[CUIT]]="","-",VLOOKUP(ventas_b_mes1255[[#This Row],[CUIT]],Lista_CUIT[#All],2,0)),"CUIT NO CARGADO")</f>
        <v>-</v>
      </c>
      <c r="H676" s="99">
        <f>ventas_b_mes1255[[#This Row],[TOTAL]]/1.21</f>
        <v>0</v>
      </c>
      <c r="I676" s="64">
        <f>ventas_b_mes1255[[#This Row],[IMPORTE NETO]]*0.21</f>
        <v>0</v>
      </c>
      <c r="J676" s="140"/>
      <c r="K676" s="140"/>
      <c r="L676" s="140"/>
      <c r="M676" s="59"/>
    </row>
    <row r="677" spans="2:13" x14ac:dyDescent="0.25">
      <c r="B677" s="134"/>
      <c r="C677" s="135"/>
      <c r="D677" s="136"/>
      <c r="E677" s="137"/>
      <c r="F677" s="138"/>
      <c r="G677" s="1" t="str">
        <f>IFERROR(IF(ventas_b_mes1255[[#This Row],[CUIT]]="","-",VLOOKUP(ventas_b_mes1255[[#This Row],[CUIT]],Lista_CUIT[#All],2,0)),"CUIT NO CARGADO")</f>
        <v>-</v>
      </c>
      <c r="H677" s="99">
        <f>ventas_b_mes1255[[#This Row],[TOTAL]]/1.21</f>
        <v>0</v>
      </c>
      <c r="I677" s="64">
        <f>ventas_b_mes1255[[#This Row],[IMPORTE NETO]]*0.21</f>
        <v>0</v>
      </c>
      <c r="J677" s="140"/>
      <c r="K677" s="140"/>
      <c r="L677" s="140"/>
      <c r="M677" s="59"/>
    </row>
    <row r="678" spans="2:13" x14ac:dyDescent="0.25">
      <c r="B678" s="134"/>
      <c r="C678" s="135"/>
      <c r="D678" s="136"/>
      <c r="E678" s="137"/>
      <c r="F678" s="138"/>
      <c r="G678" s="1" t="str">
        <f>IFERROR(IF(ventas_b_mes1255[[#This Row],[CUIT]]="","-",VLOOKUP(ventas_b_mes1255[[#This Row],[CUIT]],Lista_CUIT[#All],2,0)),"CUIT NO CARGADO")</f>
        <v>-</v>
      </c>
      <c r="H678" s="99">
        <f>ventas_b_mes1255[[#This Row],[TOTAL]]/1.21</f>
        <v>0</v>
      </c>
      <c r="I678" s="64">
        <f>ventas_b_mes1255[[#This Row],[IMPORTE NETO]]*0.21</f>
        <v>0</v>
      </c>
      <c r="J678" s="140"/>
      <c r="K678" s="140"/>
      <c r="L678" s="140"/>
      <c r="M678" s="59"/>
    </row>
    <row r="679" spans="2:13" x14ac:dyDescent="0.25">
      <c r="B679" s="134"/>
      <c r="C679" s="135"/>
      <c r="D679" s="136"/>
      <c r="E679" s="137"/>
      <c r="F679" s="138"/>
      <c r="G679" s="1" t="str">
        <f>IFERROR(IF(ventas_b_mes1255[[#This Row],[CUIT]]="","-",VLOOKUP(ventas_b_mes1255[[#This Row],[CUIT]],Lista_CUIT[#All],2,0)),"CUIT NO CARGADO")</f>
        <v>-</v>
      </c>
      <c r="H679" s="99">
        <f>ventas_b_mes1255[[#This Row],[TOTAL]]/1.21</f>
        <v>0</v>
      </c>
      <c r="I679" s="64">
        <f>ventas_b_mes1255[[#This Row],[IMPORTE NETO]]*0.21</f>
        <v>0</v>
      </c>
      <c r="J679" s="140"/>
      <c r="K679" s="140"/>
      <c r="L679" s="140"/>
      <c r="M679" s="59"/>
    </row>
    <row r="680" spans="2:13" x14ac:dyDescent="0.25">
      <c r="B680" s="134"/>
      <c r="C680" s="135"/>
      <c r="D680" s="136"/>
      <c r="E680" s="137"/>
      <c r="F680" s="138"/>
      <c r="G680" s="1" t="str">
        <f>IFERROR(IF(ventas_b_mes1255[[#This Row],[CUIT]]="","-",VLOOKUP(ventas_b_mes1255[[#This Row],[CUIT]],Lista_CUIT[#All],2,0)),"CUIT NO CARGADO")</f>
        <v>-</v>
      </c>
      <c r="H680" s="99">
        <f>ventas_b_mes1255[[#This Row],[TOTAL]]/1.21</f>
        <v>0</v>
      </c>
      <c r="I680" s="64">
        <f>ventas_b_mes1255[[#This Row],[IMPORTE NETO]]*0.21</f>
        <v>0</v>
      </c>
      <c r="J680" s="140"/>
      <c r="K680" s="140"/>
      <c r="L680" s="140"/>
      <c r="M680" s="59"/>
    </row>
    <row r="681" spans="2:13" x14ac:dyDescent="0.25">
      <c r="B681" s="134"/>
      <c r="C681" s="135"/>
      <c r="D681" s="136"/>
      <c r="E681" s="137"/>
      <c r="F681" s="138"/>
      <c r="G681" s="1" t="str">
        <f>IFERROR(IF(ventas_b_mes1255[[#This Row],[CUIT]]="","-",VLOOKUP(ventas_b_mes1255[[#This Row],[CUIT]],Lista_CUIT[#All],2,0)),"CUIT NO CARGADO")</f>
        <v>-</v>
      </c>
      <c r="H681" s="99">
        <f>ventas_b_mes1255[[#This Row],[TOTAL]]/1.21</f>
        <v>0</v>
      </c>
      <c r="I681" s="64">
        <f>ventas_b_mes1255[[#This Row],[IMPORTE NETO]]*0.21</f>
        <v>0</v>
      </c>
      <c r="J681" s="140"/>
      <c r="K681" s="140"/>
      <c r="L681" s="140"/>
      <c r="M681" s="59"/>
    </row>
    <row r="682" spans="2:13" x14ac:dyDescent="0.25">
      <c r="B682" s="134"/>
      <c r="C682" s="135"/>
      <c r="D682" s="136"/>
      <c r="E682" s="137"/>
      <c r="F682" s="138"/>
      <c r="G682" s="1" t="str">
        <f>IFERROR(IF(ventas_b_mes1255[[#This Row],[CUIT]]="","-",VLOOKUP(ventas_b_mes1255[[#This Row],[CUIT]],Lista_CUIT[#All],2,0)),"CUIT NO CARGADO")</f>
        <v>-</v>
      </c>
      <c r="H682" s="99">
        <f>ventas_b_mes1255[[#This Row],[TOTAL]]/1.21</f>
        <v>0</v>
      </c>
      <c r="I682" s="64">
        <f>ventas_b_mes1255[[#This Row],[IMPORTE NETO]]*0.21</f>
        <v>0</v>
      </c>
      <c r="J682" s="140"/>
      <c r="K682" s="140"/>
      <c r="L682" s="140"/>
      <c r="M682" s="59"/>
    </row>
    <row r="683" spans="2:13" x14ac:dyDescent="0.25">
      <c r="B683" s="134"/>
      <c r="C683" s="135"/>
      <c r="D683" s="136"/>
      <c r="E683" s="137"/>
      <c r="F683" s="138"/>
      <c r="G683" s="1" t="str">
        <f>IFERROR(IF(ventas_b_mes1255[[#This Row],[CUIT]]="","-",VLOOKUP(ventas_b_mes1255[[#This Row],[CUIT]],Lista_CUIT[#All],2,0)),"CUIT NO CARGADO")</f>
        <v>-</v>
      </c>
      <c r="H683" s="99">
        <f>ventas_b_mes1255[[#This Row],[TOTAL]]/1.21</f>
        <v>0</v>
      </c>
      <c r="I683" s="64">
        <f>ventas_b_mes1255[[#This Row],[IMPORTE NETO]]*0.21</f>
        <v>0</v>
      </c>
      <c r="J683" s="140"/>
      <c r="K683" s="140"/>
      <c r="L683" s="140"/>
      <c r="M683" s="59"/>
    </row>
    <row r="684" spans="2:13" x14ac:dyDescent="0.25">
      <c r="B684" s="134"/>
      <c r="C684" s="135"/>
      <c r="D684" s="136"/>
      <c r="E684" s="137"/>
      <c r="F684" s="138"/>
      <c r="G684" s="1" t="str">
        <f>IFERROR(IF(ventas_b_mes1255[[#This Row],[CUIT]]="","-",VLOOKUP(ventas_b_mes1255[[#This Row],[CUIT]],Lista_CUIT[#All],2,0)),"CUIT NO CARGADO")</f>
        <v>-</v>
      </c>
      <c r="H684" s="99">
        <f>ventas_b_mes1255[[#This Row],[TOTAL]]/1.21</f>
        <v>0</v>
      </c>
      <c r="I684" s="64">
        <f>ventas_b_mes1255[[#This Row],[IMPORTE NETO]]*0.21</f>
        <v>0</v>
      </c>
      <c r="J684" s="140"/>
      <c r="K684" s="140"/>
      <c r="L684" s="140"/>
      <c r="M684" s="59"/>
    </row>
    <row r="685" spans="2:13" x14ac:dyDescent="0.25">
      <c r="B685" s="134"/>
      <c r="C685" s="135"/>
      <c r="D685" s="136"/>
      <c r="E685" s="137"/>
      <c r="F685" s="138"/>
      <c r="G685" s="1" t="str">
        <f>IFERROR(IF(ventas_b_mes1255[[#This Row],[CUIT]]="","-",VLOOKUP(ventas_b_mes1255[[#This Row],[CUIT]],Lista_CUIT[#All],2,0)),"CUIT NO CARGADO")</f>
        <v>-</v>
      </c>
      <c r="H685" s="99">
        <f>ventas_b_mes1255[[#This Row],[TOTAL]]/1.21</f>
        <v>0</v>
      </c>
      <c r="I685" s="64">
        <f>ventas_b_mes1255[[#This Row],[IMPORTE NETO]]*0.21</f>
        <v>0</v>
      </c>
      <c r="J685" s="140"/>
      <c r="K685" s="140"/>
      <c r="L685" s="140"/>
      <c r="M685" s="59"/>
    </row>
    <row r="686" spans="2:13" x14ac:dyDescent="0.25">
      <c r="B686" s="134"/>
      <c r="C686" s="135"/>
      <c r="D686" s="136"/>
      <c r="E686" s="137"/>
      <c r="F686" s="138"/>
      <c r="G686" s="1" t="str">
        <f>IFERROR(IF(ventas_b_mes1255[[#This Row],[CUIT]]="","-",VLOOKUP(ventas_b_mes1255[[#This Row],[CUIT]],Lista_CUIT[#All],2,0)),"CUIT NO CARGADO")</f>
        <v>-</v>
      </c>
      <c r="H686" s="99">
        <f>ventas_b_mes1255[[#This Row],[TOTAL]]/1.21</f>
        <v>0</v>
      </c>
      <c r="I686" s="64">
        <f>ventas_b_mes1255[[#This Row],[IMPORTE NETO]]*0.21</f>
        <v>0</v>
      </c>
      <c r="J686" s="140"/>
      <c r="K686" s="140"/>
      <c r="L686" s="140"/>
      <c r="M686" s="59"/>
    </row>
    <row r="687" spans="2:13" x14ac:dyDescent="0.25">
      <c r="B687" s="134"/>
      <c r="C687" s="135"/>
      <c r="D687" s="136"/>
      <c r="E687" s="137"/>
      <c r="F687" s="138"/>
      <c r="G687" s="1" t="str">
        <f>IFERROR(IF(ventas_b_mes1255[[#This Row],[CUIT]]="","-",VLOOKUP(ventas_b_mes1255[[#This Row],[CUIT]],Lista_CUIT[#All],2,0)),"CUIT NO CARGADO")</f>
        <v>-</v>
      </c>
      <c r="H687" s="99">
        <f>ventas_b_mes1255[[#This Row],[TOTAL]]/1.21</f>
        <v>0</v>
      </c>
      <c r="I687" s="64">
        <f>ventas_b_mes1255[[#This Row],[IMPORTE NETO]]*0.21</f>
        <v>0</v>
      </c>
      <c r="J687" s="140"/>
      <c r="K687" s="140"/>
      <c r="L687" s="140"/>
      <c r="M687" s="59"/>
    </row>
    <row r="688" spans="2:13" x14ac:dyDescent="0.25">
      <c r="B688" s="134"/>
      <c r="C688" s="135"/>
      <c r="D688" s="136"/>
      <c r="E688" s="137"/>
      <c r="F688" s="138"/>
      <c r="G688" s="1" t="str">
        <f>IFERROR(IF(ventas_b_mes1255[[#This Row],[CUIT]]="","-",VLOOKUP(ventas_b_mes1255[[#This Row],[CUIT]],Lista_CUIT[#All],2,0)),"CUIT NO CARGADO")</f>
        <v>-</v>
      </c>
      <c r="H688" s="99">
        <f>ventas_b_mes1255[[#This Row],[TOTAL]]/1.21</f>
        <v>0</v>
      </c>
      <c r="I688" s="64">
        <f>ventas_b_mes1255[[#This Row],[IMPORTE NETO]]*0.21</f>
        <v>0</v>
      </c>
      <c r="J688" s="140"/>
      <c r="K688" s="140"/>
      <c r="L688" s="140"/>
      <c r="M688" s="59"/>
    </row>
    <row r="689" spans="2:13" x14ac:dyDescent="0.25">
      <c r="B689" s="134"/>
      <c r="C689" s="135"/>
      <c r="D689" s="136"/>
      <c r="E689" s="137"/>
      <c r="F689" s="138"/>
      <c r="G689" s="1" t="str">
        <f>IFERROR(IF(ventas_b_mes1255[[#This Row],[CUIT]]="","-",VLOOKUP(ventas_b_mes1255[[#This Row],[CUIT]],Lista_CUIT[#All],2,0)),"CUIT NO CARGADO")</f>
        <v>-</v>
      </c>
      <c r="H689" s="99">
        <f>ventas_b_mes1255[[#This Row],[TOTAL]]/1.21</f>
        <v>0</v>
      </c>
      <c r="I689" s="64">
        <f>ventas_b_mes1255[[#This Row],[IMPORTE NETO]]*0.21</f>
        <v>0</v>
      </c>
      <c r="J689" s="140"/>
      <c r="K689" s="140"/>
      <c r="L689" s="140"/>
      <c r="M689" s="59"/>
    </row>
    <row r="690" spans="2:13" x14ac:dyDescent="0.25">
      <c r="B690" s="134"/>
      <c r="C690" s="135"/>
      <c r="D690" s="136"/>
      <c r="E690" s="137"/>
      <c r="F690" s="138"/>
      <c r="G690" s="1" t="str">
        <f>IFERROR(IF(ventas_b_mes1255[[#This Row],[CUIT]]="","-",VLOOKUP(ventas_b_mes1255[[#This Row],[CUIT]],Lista_CUIT[#All],2,0)),"CUIT NO CARGADO")</f>
        <v>-</v>
      </c>
      <c r="H690" s="99">
        <f>ventas_b_mes1255[[#This Row],[TOTAL]]/1.21</f>
        <v>0</v>
      </c>
      <c r="I690" s="64">
        <f>ventas_b_mes1255[[#This Row],[IMPORTE NETO]]*0.21</f>
        <v>0</v>
      </c>
      <c r="J690" s="140"/>
      <c r="K690" s="140"/>
      <c r="L690" s="140"/>
      <c r="M690" s="59"/>
    </row>
    <row r="691" spans="2:13" x14ac:dyDescent="0.25">
      <c r="B691" s="134"/>
      <c r="C691" s="135"/>
      <c r="D691" s="136"/>
      <c r="E691" s="137"/>
      <c r="F691" s="138"/>
      <c r="G691" s="1" t="str">
        <f>IFERROR(IF(ventas_b_mes1255[[#This Row],[CUIT]]="","-",VLOOKUP(ventas_b_mes1255[[#This Row],[CUIT]],Lista_CUIT[#All],2,0)),"CUIT NO CARGADO")</f>
        <v>-</v>
      </c>
      <c r="H691" s="99">
        <f>ventas_b_mes1255[[#This Row],[TOTAL]]/1.21</f>
        <v>0</v>
      </c>
      <c r="I691" s="64">
        <f>ventas_b_mes1255[[#This Row],[IMPORTE NETO]]*0.21</f>
        <v>0</v>
      </c>
      <c r="J691" s="140"/>
      <c r="K691" s="140"/>
      <c r="L691" s="140"/>
      <c r="M691" s="59"/>
    </row>
    <row r="692" spans="2:13" x14ac:dyDescent="0.25">
      <c r="B692" s="134"/>
      <c r="C692" s="135"/>
      <c r="D692" s="136"/>
      <c r="E692" s="137"/>
      <c r="F692" s="138"/>
      <c r="G692" s="1" t="str">
        <f>IFERROR(IF(ventas_b_mes1255[[#This Row],[CUIT]]="","-",VLOOKUP(ventas_b_mes1255[[#This Row],[CUIT]],Lista_CUIT[#All],2,0)),"CUIT NO CARGADO")</f>
        <v>-</v>
      </c>
      <c r="H692" s="99">
        <f>ventas_b_mes1255[[#This Row],[TOTAL]]/1.21</f>
        <v>0</v>
      </c>
      <c r="I692" s="64">
        <f>ventas_b_mes1255[[#This Row],[IMPORTE NETO]]*0.21</f>
        <v>0</v>
      </c>
      <c r="J692" s="140"/>
      <c r="K692" s="140"/>
      <c r="L692" s="140"/>
      <c r="M692" s="59"/>
    </row>
    <row r="693" spans="2:13" x14ac:dyDescent="0.25">
      <c r="B693" s="134"/>
      <c r="C693" s="135"/>
      <c r="D693" s="136"/>
      <c r="E693" s="137"/>
      <c r="F693" s="138"/>
      <c r="G693" s="1" t="str">
        <f>IFERROR(IF(ventas_b_mes1255[[#This Row],[CUIT]]="","-",VLOOKUP(ventas_b_mes1255[[#This Row],[CUIT]],Lista_CUIT[#All],2,0)),"CUIT NO CARGADO")</f>
        <v>-</v>
      </c>
      <c r="H693" s="99">
        <f>ventas_b_mes1255[[#This Row],[TOTAL]]/1.21</f>
        <v>0</v>
      </c>
      <c r="I693" s="64">
        <f>ventas_b_mes1255[[#This Row],[IMPORTE NETO]]*0.21</f>
        <v>0</v>
      </c>
      <c r="J693" s="140"/>
      <c r="K693" s="140"/>
      <c r="L693" s="140"/>
      <c r="M693" s="59"/>
    </row>
    <row r="694" spans="2:13" x14ac:dyDescent="0.25">
      <c r="B694" s="134"/>
      <c r="C694" s="135"/>
      <c r="D694" s="136"/>
      <c r="E694" s="137"/>
      <c r="F694" s="138"/>
      <c r="G694" s="1" t="str">
        <f>IFERROR(IF(ventas_b_mes1255[[#This Row],[CUIT]]="","-",VLOOKUP(ventas_b_mes1255[[#This Row],[CUIT]],Lista_CUIT[#All],2,0)),"CUIT NO CARGADO")</f>
        <v>-</v>
      </c>
      <c r="H694" s="99">
        <f>ventas_b_mes1255[[#This Row],[TOTAL]]/1.21</f>
        <v>0</v>
      </c>
      <c r="I694" s="64">
        <f>ventas_b_mes1255[[#This Row],[IMPORTE NETO]]*0.21</f>
        <v>0</v>
      </c>
      <c r="J694" s="140"/>
      <c r="K694" s="140"/>
      <c r="L694" s="140"/>
      <c r="M694" s="59"/>
    </row>
    <row r="695" spans="2:13" x14ac:dyDescent="0.25">
      <c r="B695" s="134"/>
      <c r="C695" s="135"/>
      <c r="D695" s="136"/>
      <c r="E695" s="137"/>
      <c r="F695" s="138"/>
      <c r="G695" s="1" t="str">
        <f>IFERROR(IF(ventas_b_mes1255[[#This Row],[CUIT]]="","-",VLOOKUP(ventas_b_mes1255[[#This Row],[CUIT]],Lista_CUIT[#All],2,0)),"CUIT NO CARGADO")</f>
        <v>-</v>
      </c>
      <c r="H695" s="99">
        <f>ventas_b_mes1255[[#This Row],[TOTAL]]/1.21</f>
        <v>0</v>
      </c>
      <c r="I695" s="64">
        <f>ventas_b_mes1255[[#This Row],[IMPORTE NETO]]*0.21</f>
        <v>0</v>
      </c>
      <c r="J695" s="140"/>
      <c r="K695" s="140"/>
      <c r="L695" s="140"/>
      <c r="M695" s="59"/>
    </row>
    <row r="696" spans="2:13" x14ac:dyDescent="0.25">
      <c r="B696" s="134"/>
      <c r="C696" s="135"/>
      <c r="D696" s="136"/>
      <c r="E696" s="137"/>
      <c r="F696" s="138"/>
      <c r="G696" s="1" t="str">
        <f>IFERROR(IF(ventas_b_mes1255[[#This Row],[CUIT]]="","-",VLOOKUP(ventas_b_mes1255[[#This Row],[CUIT]],Lista_CUIT[#All],2,0)),"CUIT NO CARGADO")</f>
        <v>-</v>
      </c>
      <c r="H696" s="99">
        <f>ventas_b_mes1255[[#This Row],[TOTAL]]/1.21</f>
        <v>0</v>
      </c>
      <c r="I696" s="64">
        <f>ventas_b_mes1255[[#This Row],[IMPORTE NETO]]*0.21</f>
        <v>0</v>
      </c>
      <c r="J696" s="140"/>
      <c r="K696" s="140"/>
      <c r="L696" s="140"/>
      <c r="M696" s="59"/>
    </row>
    <row r="697" spans="2:13" x14ac:dyDescent="0.25">
      <c r="B697" s="134"/>
      <c r="C697" s="135"/>
      <c r="D697" s="136"/>
      <c r="E697" s="137"/>
      <c r="F697" s="138"/>
      <c r="G697" s="1" t="str">
        <f>IFERROR(IF(ventas_b_mes1255[[#This Row],[CUIT]]="","-",VLOOKUP(ventas_b_mes1255[[#This Row],[CUIT]],Lista_CUIT[#All],2,0)),"CUIT NO CARGADO")</f>
        <v>-</v>
      </c>
      <c r="H697" s="99">
        <f>ventas_b_mes1255[[#This Row],[TOTAL]]/1.21</f>
        <v>0</v>
      </c>
      <c r="I697" s="64">
        <f>ventas_b_mes1255[[#This Row],[IMPORTE NETO]]*0.21</f>
        <v>0</v>
      </c>
      <c r="J697" s="140"/>
      <c r="K697" s="140"/>
      <c r="L697" s="140"/>
      <c r="M697" s="59"/>
    </row>
    <row r="698" spans="2:13" x14ac:dyDescent="0.25">
      <c r="B698" s="134"/>
      <c r="C698" s="135"/>
      <c r="D698" s="136"/>
      <c r="E698" s="137"/>
      <c r="F698" s="138"/>
      <c r="G698" s="1" t="str">
        <f>IFERROR(IF(ventas_b_mes1255[[#This Row],[CUIT]]="","-",VLOOKUP(ventas_b_mes1255[[#This Row],[CUIT]],Lista_CUIT[#All],2,0)),"CUIT NO CARGADO")</f>
        <v>-</v>
      </c>
      <c r="H698" s="99">
        <f>ventas_b_mes1255[[#This Row],[TOTAL]]/1.21</f>
        <v>0</v>
      </c>
      <c r="I698" s="64">
        <f>ventas_b_mes1255[[#This Row],[IMPORTE NETO]]*0.21</f>
        <v>0</v>
      </c>
      <c r="J698" s="140"/>
      <c r="K698" s="140"/>
      <c r="L698" s="140"/>
      <c r="M698" s="59"/>
    </row>
    <row r="699" spans="2:13" x14ac:dyDescent="0.25">
      <c r="B699" s="134"/>
      <c r="C699" s="135"/>
      <c r="D699" s="136"/>
      <c r="E699" s="137"/>
      <c r="F699" s="138"/>
      <c r="G699" s="1" t="str">
        <f>IFERROR(IF(ventas_b_mes1255[[#This Row],[CUIT]]="","-",VLOOKUP(ventas_b_mes1255[[#This Row],[CUIT]],Lista_CUIT[#All],2,0)),"CUIT NO CARGADO")</f>
        <v>-</v>
      </c>
      <c r="H699" s="99">
        <f>ventas_b_mes1255[[#This Row],[TOTAL]]/1.21</f>
        <v>0</v>
      </c>
      <c r="I699" s="64">
        <f>ventas_b_mes1255[[#This Row],[IMPORTE NETO]]*0.21</f>
        <v>0</v>
      </c>
      <c r="J699" s="140"/>
      <c r="K699" s="140"/>
      <c r="L699" s="140"/>
      <c r="M699" s="59"/>
    </row>
    <row r="700" spans="2:13" x14ac:dyDescent="0.25">
      <c r="B700" s="134"/>
      <c r="C700" s="135"/>
      <c r="D700" s="136"/>
      <c r="E700" s="137"/>
      <c r="F700" s="138"/>
      <c r="G700" s="1" t="str">
        <f>IFERROR(IF(ventas_b_mes1255[[#This Row],[CUIT]]="","-",VLOOKUP(ventas_b_mes1255[[#This Row],[CUIT]],Lista_CUIT[#All],2,0)),"CUIT NO CARGADO")</f>
        <v>-</v>
      </c>
      <c r="H700" s="99">
        <f>ventas_b_mes1255[[#This Row],[TOTAL]]/1.21</f>
        <v>0</v>
      </c>
      <c r="I700" s="64">
        <f>ventas_b_mes1255[[#This Row],[IMPORTE NETO]]*0.21</f>
        <v>0</v>
      </c>
      <c r="J700" s="140"/>
      <c r="K700" s="140"/>
      <c r="L700" s="140"/>
      <c r="M700" s="59"/>
    </row>
    <row r="701" spans="2:13" x14ac:dyDescent="0.25">
      <c r="B701" s="134"/>
      <c r="C701" s="135"/>
      <c r="D701" s="136"/>
      <c r="E701" s="137"/>
      <c r="F701" s="138"/>
      <c r="G701" s="1" t="str">
        <f>IFERROR(IF(ventas_b_mes1255[[#This Row],[CUIT]]="","-",VLOOKUP(ventas_b_mes1255[[#This Row],[CUIT]],Lista_CUIT[#All],2,0)),"CUIT NO CARGADO")</f>
        <v>-</v>
      </c>
      <c r="H701" s="99">
        <f>ventas_b_mes1255[[#This Row],[TOTAL]]/1.21</f>
        <v>0</v>
      </c>
      <c r="I701" s="64">
        <f>ventas_b_mes1255[[#This Row],[IMPORTE NETO]]*0.21</f>
        <v>0</v>
      </c>
      <c r="J701" s="140"/>
      <c r="K701" s="140"/>
      <c r="L701" s="140"/>
      <c r="M701" s="59"/>
    </row>
    <row r="702" spans="2:13" x14ac:dyDescent="0.25">
      <c r="B702" s="134"/>
      <c r="C702" s="135"/>
      <c r="D702" s="136"/>
      <c r="E702" s="137"/>
      <c r="F702" s="138"/>
      <c r="G702" s="1" t="str">
        <f>IFERROR(IF(ventas_b_mes1255[[#This Row],[CUIT]]="","-",VLOOKUP(ventas_b_mes1255[[#This Row],[CUIT]],Lista_CUIT[#All],2,0)),"CUIT NO CARGADO")</f>
        <v>-</v>
      </c>
      <c r="H702" s="99">
        <f>ventas_b_mes1255[[#This Row],[TOTAL]]/1.21</f>
        <v>0</v>
      </c>
      <c r="I702" s="64">
        <f>ventas_b_mes1255[[#This Row],[IMPORTE NETO]]*0.21</f>
        <v>0</v>
      </c>
      <c r="J702" s="140"/>
      <c r="K702" s="140"/>
      <c r="L702" s="140"/>
      <c r="M702" s="59"/>
    </row>
    <row r="703" spans="2:13" x14ac:dyDescent="0.25">
      <c r="B703" s="134"/>
      <c r="C703" s="135"/>
      <c r="D703" s="136"/>
      <c r="E703" s="137"/>
      <c r="F703" s="138"/>
      <c r="G703" s="1" t="str">
        <f>IFERROR(IF(ventas_b_mes1255[[#This Row],[CUIT]]="","-",VLOOKUP(ventas_b_mes1255[[#This Row],[CUIT]],Lista_CUIT[#All],2,0)),"CUIT NO CARGADO")</f>
        <v>-</v>
      </c>
      <c r="H703" s="99">
        <f>ventas_b_mes1255[[#This Row],[TOTAL]]/1.21</f>
        <v>0</v>
      </c>
      <c r="I703" s="64">
        <f>ventas_b_mes1255[[#This Row],[IMPORTE NETO]]*0.21</f>
        <v>0</v>
      </c>
      <c r="J703" s="140"/>
      <c r="K703" s="140"/>
      <c r="L703" s="140"/>
      <c r="M703" s="59"/>
    </row>
    <row r="704" spans="2:13" x14ac:dyDescent="0.25">
      <c r="B704" s="134"/>
      <c r="C704" s="135"/>
      <c r="D704" s="136"/>
      <c r="E704" s="137"/>
      <c r="F704" s="138"/>
      <c r="G704" s="1" t="str">
        <f>IFERROR(IF(ventas_b_mes1255[[#This Row],[CUIT]]="","-",VLOOKUP(ventas_b_mes1255[[#This Row],[CUIT]],Lista_CUIT[#All],2,0)),"CUIT NO CARGADO")</f>
        <v>-</v>
      </c>
      <c r="H704" s="99">
        <f>ventas_b_mes1255[[#This Row],[TOTAL]]/1.21</f>
        <v>0</v>
      </c>
      <c r="I704" s="64">
        <f>ventas_b_mes1255[[#This Row],[IMPORTE NETO]]*0.21</f>
        <v>0</v>
      </c>
      <c r="J704" s="140"/>
      <c r="K704" s="140"/>
      <c r="L704" s="140"/>
      <c r="M704" s="59"/>
    </row>
    <row r="705" spans="2:13" x14ac:dyDescent="0.25">
      <c r="B705" s="134"/>
      <c r="C705" s="135"/>
      <c r="D705" s="136"/>
      <c r="E705" s="137"/>
      <c r="F705" s="138"/>
      <c r="G705" s="1" t="str">
        <f>IFERROR(IF(ventas_b_mes1255[[#This Row],[CUIT]]="","-",VLOOKUP(ventas_b_mes1255[[#This Row],[CUIT]],Lista_CUIT[#All],2,0)),"CUIT NO CARGADO")</f>
        <v>-</v>
      </c>
      <c r="H705" s="99">
        <f>ventas_b_mes1255[[#This Row],[TOTAL]]/1.21</f>
        <v>0</v>
      </c>
      <c r="I705" s="64">
        <f>ventas_b_mes1255[[#This Row],[IMPORTE NETO]]*0.21</f>
        <v>0</v>
      </c>
      <c r="J705" s="140"/>
      <c r="K705" s="140"/>
      <c r="L705" s="140"/>
      <c r="M705" s="59"/>
    </row>
    <row r="706" spans="2:13" x14ac:dyDescent="0.25">
      <c r="B706" s="134"/>
      <c r="C706" s="135"/>
      <c r="D706" s="136"/>
      <c r="E706" s="137"/>
      <c r="F706" s="138"/>
      <c r="G706" s="1" t="str">
        <f>IFERROR(IF(ventas_b_mes1255[[#This Row],[CUIT]]="","-",VLOOKUP(ventas_b_mes1255[[#This Row],[CUIT]],Lista_CUIT[#All],2,0)),"CUIT NO CARGADO")</f>
        <v>-</v>
      </c>
      <c r="H706" s="99">
        <f>ventas_b_mes1255[[#This Row],[TOTAL]]/1.21</f>
        <v>0</v>
      </c>
      <c r="I706" s="64">
        <f>ventas_b_mes1255[[#This Row],[IMPORTE NETO]]*0.21</f>
        <v>0</v>
      </c>
      <c r="J706" s="140"/>
      <c r="K706" s="140"/>
      <c r="L706" s="140"/>
      <c r="M706" s="59"/>
    </row>
    <row r="707" spans="2:13" x14ac:dyDescent="0.25">
      <c r="B707" s="134"/>
      <c r="C707" s="135"/>
      <c r="D707" s="136"/>
      <c r="E707" s="137"/>
      <c r="F707" s="138"/>
      <c r="G707" s="1" t="str">
        <f>IFERROR(IF(ventas_b_mes1255[[#This Row],[CUIT]]="","-",VLOOKUP(ventas_b_mes1255[[#This Row],[CUIT]],Lista_CUIT[#All],2,0)),"CUIT NO CARGADO")</f>
        <v>-</v>
      </c>
      <c r="H707" s="99">
        <f>ventas_b_mes1255[[#This Row],[TOTAL]]/1.21</f>
        <v>0</v>
      </c>
      <c r="I707" s="64">
        <f>ventas_b_mes1255[[#This Row],[IMPORTE NETO]]*0.21</f>
        <v>0</v>
      </c>
      <c r="J707" s="140"/>
      <c r="K707" s="140"/>
      <c r="L707" s="140"/>
      <c r="M707" s="59"/>
    </row>
    <row r="708" spans="2:13" x14ac:dyDescent="0.25">
      <c r="B708" s="134"/>
      <c r="C708" s="135"/>
      <c r="D708" s="136"/>
      <c r="E708" s="137"/>
      <c r="F708" s="138"/>
      <c r="G708" s="1" t="str">
        <f>IFERROR(IF(ventas_b_mes1255[[#This Row],[CUIT]]="","-",VLOOKUP(ventas_b_mes1255[[#This Row],[CUIT]],Lista_CUIT[#All],2,0)),"CUIT NO CARGADO")</f>
        <v>-</v>
      </c>
      <c r="H708" s="99">
        <f>ventas_b_mes1255[[#This Row],[TOTAL]]/1.21</f>
        <v>0</v>
      </c>
      <c r="I708" s="64">
        <f>ventas_b_mes1255[[#This Row],[IMPORTE NETO]]*0.21</f>
        <v>0</v>
      </c>
      <c r="J708" s="140"/>
      <c r="K708" s="140"/>
      <c r="L708" s="140"/>
      <c r="M708" s="59"/>
    </row>
    <row r="709" spans="2:13" x14ac:dyDescent="0.25">
      <c r="B709" s="134"/>
      <c r="C709" s="135"/>
      <c r="D709" s="136"/>
      <c r="E709" s="137"/>
      <c r="F709" s="138"/>
      <c r="G709" s="1" t="str">
        <f>IFERROR(IF(ventas_b_mes1255[[#This Row],[CUIT]]="","-",VLOOKUP(ventas_b_mes1255[[#This Row],[CUIT]],Lista_CUIT[#All],2,0)),"CUIT NO CARGADO")</f>
        <v>-</v>
      </c>
      <c r="H709" s="99">
        <f>ventas_b_mes1255[[#This Row],[TOTAL]]/1.21</f>
        <v>0</v>
      </c>
      <c r="I709" s="64">
        <f>ventas_b_mes1255[[#This Row],[IMPORTE NETO]]*0.21</f>
        <v>0</v>
      </c>
      <c r="J709" s="140"/>
      <c r="K709" s="140"/>
      <c r="L709" s="140"/>
      <c r="M709" s="59"/>
    </row>
    <row r="710" spans="2:13" x14ac:dyDescent="0.25">
      <c r="B710" s="134"/>
      <c r="C710" s="135"/>
      <c r="D710" s="136"/>
      <c r="E710" s="137"/>
      <c r="F710" s="138"/>
      <c r="G710" s="1" t="str">
        <f>IFERROR(IF(ventas_b_mes1255[[#This Row],[CUIT]]="","-",VLOOKUP(ventas_b_mes1255[[#This Row],[CUIT]],Lista_CUIT[#All],2,0)),"CUIT NO CARGADO")</f>
        <v>-</v>
      </c>
      <c r="H710" s="99">
        <f>ventas_b_mes1255[[#This Row],[TOTAL]]/1.21</f>
        <v>0</v>
      </c>
      <c r="I710" s="64">
        <f>ventas_b_mes1255[[#This Row],[IMPORTE NETO]]*0.21</f>
        <v>0</v>
      </c>
      <c r="J710" s="140"/>
      <c r="K710" s="140"/>
      <c r="L710" s="140"/>
      <c r="M710" s="59"/>
    </row>
    <row r="711" spans="2:13" x14ac:dyDescent="0.25">
      <c r="B711" s="134"/>
      <c r="C711" s="135"/>
      <c r="D711" s="136"/>
      <c r="E711" s="137"/>
      <c r="F711" s="138"/>
      <c r="G711" s="1" t="str">
        <f>IFERROR(IF(ventas_b_mes1255[[#This Row],[CUIT]]="","-",VLOOKUP(ventas_b_mes1255[[#This Row],[CUIT]],Lista_CUIT[#All],2,0)),"CUIT NO CARGADO")</f>
        <v>-</v>
      </c>
      <c r="H711" s="99">
        <f>ventas_b_mes1255[[#This Row],[TOTAL]]/1.21</f>
        <v>0</v>
      </c>
      <c r="I711" s="64">
        <f>ventas_b_mes1255[[#This Row],[IMPORTE NETO]]*0.21</f>
        <v>0</v>
      </c>
      <c r="J711" s="140"/>
      <c r="K711" s="140"/>
      <c r="L711" s="140"/>
      <c r="M711" s="59"/>
    </row>
    <row r="712" spans="2:13" x14ac:dyDescent="0.25">
      <c r="B712" s="134"/>
      <c r="C712" s="135"/>
      <c r="D712" s="136"/>
      <c r="E712" s="137"/>
      <c r="F712" s="138"/>
      <c r="G712" s="1" t="str">
        <f>IFERROR(IF(ventas_b_mes1255[[#This Row],[CUIT]]="","-",VLOOKUP(ventas_b_mes1255[[#This Row],[CUIT]],Lista_CUIT[#All],2,0)),"CUIT NO CARGADO")</f>
        <v>-</v>
      </c>
      <c r="H712" s="99">
        <f>ventas_b_mes1255[[#This Row],[TOTAL]]/1.21</f>
        <v>0</v>
      </c>
      <c r="I712" s="64">
        <f>ventas_b_mes1255[[#This Row],[IMPORTE NETO]]*0.21</f>
        <v>0</v>
      </c>
      <c r="J712" s="140"/>
      <c r="K712" s="140"/>
      <c r="L712" s="140"/>
      <c r="M712" s="59"/>
    </row>
    <row r="713" spans="2:13" x14ac:dyDescent="0.25">
      <c r="B713" s="134"/>
      <c r="C713" s="135"/>
      <c r="D713" s="136"/>
      <c r="E713" s="137"/>
      <c r="F713" s="138"/>
      <c r="G713" s="1" t="str">
        <f>IFERROR(IF(ventas_b_mes1255[[#This Row],[CUIT]]="","-",VLOOKUP(ventas_b_mes1255[[#This Row],[CUIT]],Lista_CUIT[#All],2,0)),"CUIT NO CARGADO")</f>
        <v>-</v>
      </c>
      <c r="H713" s="99">
        <f>ventas_b_mes1255[[#This Row],[TOTAL]]/1.21</f>
        <v>0</v>
      </c>
      <c r="I713" s="64">
        <f>ventas_b_mes1255[[#This Row],[IMPORTE NETO]]*0.21</f>
        <v>0</v>
      </c>
      <c r="J713" s="140"/>
      <c r="K713" s="140"/>
      <c r="L713" s="140"/>
      <c r="M713" s="59"/>
    </row>
    <row r="714" spans="2:13" x14ac:dyDescent="0.25">
      <c r="B714" s="134"/>
      <c r="C714" s="135"/>
      <c r="D714" s="136"/>
      <c r="E714" s="137"/>
      <c r="F714" s="138"/>
      <c r="G714" s="1" t="str">
        <f>IFERROR(IF(ventas_b_mes1255[[#This Row],[CUIT]]="","-",VLOOKUP(ventas_b_mes1255[[#This Row],[CUIT]],Lista_CUIT[#All],2,0)),"CUIT NO CARGADO")</f>
        <v>-</v>
      </c>
      <c r="H714" s="99">
        <f>ventas_b_mes1255[[#This Row],[TOTAL]]/1.21</f>
        <v>0</v>
      </c>
      <c r="I714" s="64">
        <f>ventas_b_mes1255[[#This Row],[IMPORTE NETO]]*0.21</f>
        <v>0</v>
      </c>
      <c r="J714" s="140"/>
      <c r="K714" s="140"/>
      <c r="L714" s="140"/>
      <c r="M714" s="59"/>
    </row>
    <row r="715" spans="2:13" x14ac:dyDescent="0.25">
      <c r="B715" s="134"/>
      <c r="C715" s="135"/>
      <c r="D715" s="136"/>
      <c r="E715" s="137"/>
      <c r="F715" s="138"/>
      <c r="G715" s="1" t="str">
        <f>IFERROR(IF(ventas_b_mes1255[[#This Row],[CUIT]]="","-",VLOOKUP(ventas_b_mes1255[[#This Row],[CUIT]],Lista_CUIT[#All],2,0)),"CUIT NO CARGADO")</f>
        <v>-</v>
      </c>
      <c r="H715" s="99">
        <f>ventas_b_mes1255[[#This Row],[TOTAL]]/1.21</f>
        <v>0</v>
      </c>
      <c r="I715" s="64">
        <f>ventas_b_mes1255[[#This Row],[IMPORTE NETO]]*0.21</f>
        <v>0</v>
      </c>
      <c r="J715" s="140"/>
      <c r="K715" s="140"/>
      <c r="L715" s="140"/>
      <c r="M715" s="59"/>
    </row>
    <row r="716" spans="2:13" x14ac:dyDescent="0.25">
      <c r="B716" s="134"/>
      <c r="C716" s="135"/>
      <c r="D716" s="136"/>
      <c r="E716" s="137"/>
      <c r="F716" s="138"/>
      <c r="G716" s="1" t="str">
        <f>IFERROR(IF(ventas_b_mes1255[[#This Row],[CUIT]]="","-",VLOOKUP(ventas_b_mes1255[[#This Row],[CUIT]],Lista_CUIT[#All],2,0)),"CUIT NO CARGADO")</f>
        <v>-</v>
      </c>
      <c r="H716" s="99">
        <f>ventas_b_mes1255[[#This Row],[TOTAL]]/1.21</f>
        <v>0</v>
      </c>
      <c r="I716" s="64">
        <f>ventas_b_mes1255[[#This Row],[IMPORTE NETO]]*0.21</f>
        <v>0</v>
      </c>
      <c r="J716" s="140"/>
      <c r="K716" s="140"/>
      <c r="L716" s="140"/>
      <c r="M716" s="59"/>
    </row>
    <row r="717" spans="2:13" x14ac:dyDescent="0.25">
      <c r="B717" s="134"/>
      <c r="C717" s="135"/>
      <c r="D717" s="136"/>
      <c r="E717" s="137"/>
      <c r="F717" s="138"/>
      <c r="G717" s="1" t="str">
        <f>IFERROR(IF(ventas_b_mes1255[[#This Row],[CUIT]]="","-",VLOOKUP(ventas_b_mes1255[[#This Row],[CUIT]],Lista_CUIT[#All],2,0)),"CUIT NO CARGADO")</f>
        <v>-</v>
      </c>
      <c r="H717" s="99">
        <f>ventas_b_mes1255[[#This Row],[TOTAL]]/1.21</f>
        <v>0</v>
      </c>
      <c r="I717" s="64">
        <f>ventas_b_mes1255[[#This Row],[IMPORTE NETO]]*0.21</f>
        <v>0</v>
      </c>
      <c r="J717" s="140"/>
      <c r="K717" s="140"/>
      <c r="L717" s="140"/>
      <c r="M717" s="59"/>
    </row>
    <row r="718" spans="2:13" x14ac:dyDescent="0.25">
      <c r="B718" s="134"/>
      <c r="C718" s="135"/>
      <c r="D718" s="136"/>
      <c r="E718" s="137"/>
      <c r="F718" s="138"/>
      <c r="G718" s="1" t="str">
        <f>IFERROR(IF(ventas_b_mes1255[[#This Row],[CUIT]]="","-",VLOOKUP(ventas_b_mes1255[[#This Row],[CUIT]],Lista_CUIT[#All],2,0)),"CUIT NO CARGADO")</f>
        <v>-</v>
      </c>
      <c r="H718" s="99">
        <f>ventas_b_mes1255[[#This Row],[TOTAL]]/1.21</f>
        <v>0</v>
      </c>
      <c r="I718" s="64">
        <f>ventas_b_mes1255[[#This Row],[IMPORTE NETO]]*0.21</f>
        <v>0</v>
      </c>
      <c r="J718" s="140"/>
      <c r="K718" s="140"/>
      <c r="L718" s="140"/>
      <c r="M718" s="59"/>
    </row>
    <row r="719" spans="2:13" x14ac:dyDescent="0.25">
      <c r="B719" s="134"/>
      <c r="C719" s="135"/>
      <c r="D719" s="136"/>
      <c r="E719" s="137"/>
      <c r="F719" s="138"/>
      <c r="G719" s="1" t="str">
        <f>IFERROR(IF(ventas_b_mes1255[[#This Row],[CUIT]]="","-",VLOOKUP(ventas_b_mes1255[[#This Row],[CUIT]],Lista_CUIT[#All],2,0)),"CUIT NO CARGADO")</f>
        <v>-</v>
      </c>
      <c r="H719" s="99">
        <f>ventas_b_mes1255[[#This Row],[TOTAL]]/1.21</f>
        <v>0</v>
      </c>
      <c r="I719" s="64">
        <f>ventas_b_mes1255[[#This Row],[IMPORTE NETO]]*0.21</f>
        <v>0</v>
      </c>
      <c r="J719" s="140"/>
      <c r="K719" s="140"/>
      <c r="L719" s="140"/>
      <c r="M719" s="59"/>
    </row>
    <row r="720" spans="2:13" x14ac:dyDescent="0.25">
      <c r="B720" s="134"/>
      <c r="C720" s="135"/>
      <c r="D720" s="136"/>
      <c r="E720" s="137"/>
      <c r="F720" s="138"/>
      <c r="G720" s="1" t="str">
        <f>IFERROR(IF(ventas_b_mes1255[[#This Row],[CUIT]]="","-",VLOOKUP(ventas_b_mes1255[[#This Row],[CUIT]],Lista_CUIT[#All],2,0)),"CUIT NO CARGADO")</f>
        <v>-</v>
      </c>
      <c r="H720" s="99">
        <f>ventas_b_mes1255[[#This Row],[TOTAL]]/1.21</f>
        <v>0</v>
      </c>
      <c r="I720" s="64">
        <f>ventas_b_mes1255[[#This Row],[IMPORTE NETO]]*0.21</f>
        <v>0</v>
      </c>
      <c r="J720" s="140"/>
      <c r="K720" s="140"/>
      <c r="L720" s="140"/>
      <c r="M720" s="59"/>
    </row>
    <row r="721" spans="2:13" x14ac:dyDescent="0.25">
      <c r="B721" s="134"/>
      <c r="C721" s="135"/>
      <c r="D721" s="136"/>
      <c r="E721" s="137"/>
      <c r="F721" s="138"/>
      <c r="G721" s="1" t="str">
        <f>IFERROR(IF(ventas_b_mes1255[[#This Row],[CUIT]]="","-",VLOOKUP(ventas_b_mes1255[[#This Row],[CUIT]],Lista_CUIT[#All],2,0)),"CUIT NO CARGADO")</f>
        <v>-</v>
      </c>
      <c r="H721" s="99">
        <f>ventas_b_mes1255[[#This Row],[TOTAL]]/1.21</f>
        <v>0</v>
      </c>
      <c r="I721" s="64">
        <f>ventas_b_mes1255[[#This Row],[IMPORTE NETO]]*0.21</f>
        <v>0</v>
      </c>
      <c r="J721" s="140"/>
      <c r="K721" s="140"/>
      <c r="L721" s="140"/>
      <c r="M721" s="59"/>
    </row>
    <row r="722" spans="2:13" x14ac:dyDescent="0.25">
      <c r="B722" s="134"/>
      <c r="C722" s="135"/>
      <c r="D722" s="136"/>
      <c r="E722" s="137"/>
      <c r="F722" s="138"/>
      <c r="G722" s="1" t="str">
        <f>IFERROR(IF(ventas_b_mes1255[[#This Row],[CUIT]]="","-",VLOOKUP(ventas_b_mes1255[[#This Row],[CUIT]],Lista_CUIT[#All],2,0)),"CUIT NO CARGADO")</f>
        <v>-</v>
      </c>
      <c r="H722" s="99">
        <f>ventas_b_mes1255[[#This Row],[TOTAL]]/1.21</f>
        <v>0</v>
      </c>
      <c r="I722" s="64">
        <f>ventas_b_mes1255[[#This Row],[IMPORTE NETO]]*0.21</f>
        <v>0</v>
      </c>
      <c r="J722" s="140"/>
      <c r="K722" s="140"/>
      <c r="L722" s="140"/>
      <c r="M722" s="59"/>
    </row>
    <row r="723" spans="2:13" x14ac:dyDescent="0.25">
      <c r="B723" s="134"/>
      <c r="C723" s="135"/>
      <c r="D723" s="136"/>
      <c r="E723" s="137"/>
      <c r="F723" s="138"/>
      <c r="G723" s="1" t="str">
        <f>IFERROR(IF(ventas_b_mes1255[[#This Row],[CUIT]]="","-",VLOOKUP(ventas_b_mes1255[[#This Row],[CUIT]],Lista_CUIT[#All],2,0)),"CUIT NO CARGADO")</f>
        <v>-</v>
      </c>
      <c r="H723" s="99">
        <f>ventas_b_mes1255[[#This Row],[TOTAL]]/1.21</f>
        <v>0</v>
      </c>
      <c r="I723" s="64">
        <f>ventas_b_mes1255[[#This Row],[IMPORTE NETO]]*0.21</f>
        <v>0</v>
      </c>
      <c r="J723" s="140"/>
      <c r="K723" s="140"/>
      <c r="L723" s="140"/>
      <c r="M723" s="59"/>
    </row>
    <row r="724" spans="2:13" x14ac:dyDescent="0.25">
      <c r="B724" s="134"/>
      <c r="C724" s="135"/>
      <c r="D724" s="136"/>
      <c r="E724" s="137"/>
      <c r="F724" s="138"/>
      <c r="G724" s="1" t="str">
        <f>IFERROR(IF(ventas_b_mes1255[[#This Row],[CUIT]]="","-",VLOOKUP(ventas_b_mes1255[[#This Row],[CUIT]],Lista_CUIT[#All],2,0)),"CUIT NO CARGADO")</f>
        <v>-</v>
      </c>
      <c r="H724" s="99">
        <f>ventas_b_mes1255[[#This Row],[TOTAL]]/1.21</f>
        <v>0</v>
      </c>
      <c r="I724" s="64">
        <f>ventas_b_mes1255[[#This Row],[IMPORTE NETO]]*0.21</f>
        <v>0</v>
      </c>
      <c r="J724" s="140"/>
      <c r="K724" s="140"/>
      <c r="L724" s="140"/>
      <c r="M724" s="59"/>
    </row>
    <row r="725" spans="2:13" x14ac:dyDescent="0.25">
      <c r="B725" s="134"/>
      <c r="C725" s="135"/>
      <c r="D725" s="136"/>
      <c r="E725" s="137"/>
      <c r="F725" s="138"/>
      <c r="G725" s="1" t="str">
        <f>IFERROR(IF(ventas_b_mes1255[[#This Row],[CUIT]]="","-",VLOOKUP(ventas_b_mes1255[[#This Row],[CUIT]],Lista_CUIT[#All],2,0)),"CUIT NO CARGADO")</f>
        <v>-</v>
      </c>
      <c r="H725" s="99">
        <f>ventas_b_mes1255[[#This Row],[TOTAL]]/1.21</f>
        <v>0</v>
      </c>
      <c r="I725" s="64">
        <f>ventas_b_mes1255[[#This Row],[IMPORTE NETO]]*0.21</f>
        <v>0</v>
      </c>
      <c r="J725" s="140"/>
      <c r="K725" s="140"/>
      <c r="L725" s="140"/>
      <c r="M725" s="59"/>
    </row>
    <row r="726" spans="2:13" x14ac:dyDescent="0.25">
      <c r="B726" s="134"/>
      <c r="C726" s="135"/>
      <c r="D726" s="136"/>
      <c r="E726" s="137"/>
      <c r="F726" s="138"/>
      <c r="G726" s="1" t="str">
        <f>IFERROR(IF(ventas_b_mes1255[[#This Row],[CUIT]]="","-",VLOOKUP(ventas_b_mes1255[[#This Row],[CUIT]],Lista_CUIT[#All],2,0)),"CUIT NO CARGADO")</f>
        <v>-</v>
      </c>
      <c r="H726" s="99">
        <f>ventas_b_mes1255[[#This Row],[TOTAL]]/1.21</f>
        <v>0</v>
      </c>
      <c r="I726" s="64">
        <f>ventas_b_mes1255[[#This Row],[IMPORTE NETO]]*0.21</f>
        <v>0</v>
      </c>
      <c r="J726" s="140"/>
      <c r="K726" s="140"/>
      <c r="L726" s="140"/>
      <c r="M726" s="59"/>
    </row>
    <row r="727" spans="2:13" x14ac:dyDescent="0.25">
      <c r="B727" s="134"/>
      <c r="C727" s="135"/>
      <c r="D727" s="136"/>
      <c r="E727" s="137"/>
      <c r="F727" s="138"/>
      <c r="G727" s="1" t="str">
        <f>IFERROR(IF(ventas_b_mes1255[[#This Row],[CUIT]]="","-",VLOOKUP(ventas_b_mes1255[[#This Row],[CUIT]],Lista_CUIT[#All],2,0)),"CUIT NO CARGADO")</f>
        <v>-</v>
      </c>
      <c r="H727" s="99">
        <f>ventas_b_mes1255[[#This Row],[TOTAL]]/1.21</f>
        <v>0</v>
      </c>
      <c r="I727" s="64">
        <f>ventas_b_mes1255[[#This Row],[IMPORTE NETO]]*0.21</f>
        <v>0</v>
      </c>
      <c r="J727" s="140"/>
      <c r="K727" s="140"/>
      <c r="L727" s="140"/>
      <c r="M727" s="59"/>
    </row>
    <row r="728" spans="2:13" x14ac:dyDescent="0.25">
      <c r="B728" s="134"/>
      <c r="C728" s="135"/>
      <c r="D728" s="136"/>
      <c r="E728" s="137"/>
      <c r="F728" s="138"/>
      <c r="G728" s="1" t="str">
        <f>IFERROR(IF(ventas_b_mes1255[[#This Row],[CUIT]]="","-",VLOOKUP(ventas_b_mes1255[[#This Row],[CUIT]],Lista_CUIT[#All],2,0)),"CUIT NO CARGADO")</f>
        <v>-</v>
      </c>
      <c r="H728" s="99">
        <f>ventas_b_mes1255[[#This Row],[TOTAL]]/1.21</f>
        <v>0</v>
      </c>
      <c r="I728" s="64">
        <f>ventas_b_mes1255[[#This Row],[IMPORTE NETO]]*0.21</f>
        <v>0</v>
      </c>
      <c r="J728" s="140"/>
      <c r="K728" s="140"/>
      <c r="L728" s="140"/>
      <c r="M728" s="59"/>
    </row>
    <row r="729" spans="2:13" x14ac:dyDescent="0.25">
      <c r="B729" s="134"/>
      <c r="C729" s="135"/>
      <c r="D729" s="136"/>
      <c r="E729" s="137"/>
      <c r="F729" s="138"/>
      <c r="G729" s="1" t="str">
        <f>IFERROR(IF(ventas_b_mes1255[[#This Row],[CUIT]]="","-",VLOOKUP(ventas_b_mes1255[[#This Row],[CUIT]],Lista_CUIT[#All],2,0)),"CUIT NO CARGADO")</f>
        <v>-</v>
      </c>
      <c r="H729" s="99">
        <f>ventas_b_mes1255[[#This Row],[TOTAL]]/1.21</f>
        <v>0</v>
      </c>
      <c r="I729" s="64">
        <f>ventas_b_mes1255[[#This Row],[IMPORTE NETO]]*0.21</f>
        <v>0</v>
      </c>
      <c r="J729" s="140"/>
      <c r="K729" s="140"/>
      <c r="L729" s="140"/>
      <c r="M729" s="59"/>
    </row>
    <row r="730" spans="2:13" x14ac:dyDescent="0.25">
      <c r="B730" s="134"/>
      <c r="C730" s="135"/>
      <c r="D730" s="136"/>
      <c r="E730" s="137"/>
      <c r="F730" s="138"/>
      <c r="G730" s="1" t="str">
        <f>IFERROR(IF(ventas_b_mes1255[[#This Row],[CUIT]]="","-",VLOOKUP(ventas_b_mes1255[[#This Row],[CUIT]],Lista_CUIT[#All],2,0)),"CUIT NO CARGADO")</f>
        <v>-</v>
      </c>
      <c r="H730" s="99">
        <f>ventas_b_mes1255[[#This Row],[TOTAL]]/1.21</f>
        <v>0</v>
      </c>
      <c r="I730" s="64">
        <f>ventas_b_mes1255[[#This Row],[IMPORTE NETO]]*0.21</f>
        <v>0</v>
      </c>
      <c r="J730" s="140"/>
      <c r="K730" s="140"/>
      <c r="L730" s="140"/>
      <c r="M730" s="59"/>
    </row>
    <row r="731" spans="2:13" x14ac:dyDescent="0.25">
      <c r="B731" s="134"/>
      <c r="C731" s="135"/>
      <c r="D731" s="136"/>
      <c r="E731" s="137"/>
      <c r="F731" s="138"/>
      <c r="G731" s="1" t="str">
        <f>IFERROR(IF(ventas_b_mes1255[[#This Row],[CUIT]]="","-",VLOOKUP(ventas_b_mes1255[[#This Row],[CUIT]],Lista_CUIT[#All],2,0)),"CUIT NO CARGADO")</f>
        <v>-</v>
      </c>
      <c r="H731" s="99">
        <f>ventas_b_mes1255[[#This Row],[TOTAL]]/1.21</f>
        <v>0</v>
      </c>
      <c r="I731" s="64">
        <f>ventas_b_mes1255[[#This Row],[IMPORTE NETO]]*0.21</f>
        <v>0</v>
      </c>
      <c r="J731" s="140"/>
      <c r="K731" s="140"/>
      <c r="L731" s="140"/>
      <c r="M731" s="59"/>
    </row>
    <row r="732" spans="2:13" x14ac:dyDescent="0.25">
      <c r="B732" s="134"/>
      <c r="C732" s="135"/>
      <c r="D732" s="136"/>
      <c r="E732" s="137"/>
      <c r="F732" s="138"/>
      <c r="G732" s="1" t="str">
        <f>IFERROR(IF(ventas_b_mes1255[[#This Row],[CUIT]]="","-",VLOOKUP(ventas_b_mes1255[[#This Row],[CUIT]],Lista_CUIT[#All],2,0)),"CUIT NO CARGADO")</f>
        <v>-</v>
      </c>
      <c r="H732" s="99">
        <f>ventas_b_mes1255[[#This Row],[TOTAL]]/1.21</f>
        <v>0</v>
      </c>
      <c r="I732" s="64">
        <f>ventas_b_mes1255[[#This Row],[IMPORTE NETO]]*0.21</f>
        <v>0</v>
      </c>
      <c r="J732" s="140"/>
      <c r="K732" s="140"/>
      <c r="L732" s="140"/>
      <c r="M732" s="59"/>
    </row>
    <row r="733" spans="2:13" x14ac:dyDescent="0.25">
      <c r="B733" s="134"/>
      <c r="C733" s="135"/>
      <c r="D733" s="136"/>
      <c r="E733" s="137"/>
      <c r="F733" s="138"/>
      <c r="G733" s="1" t="str">
        <f>IFERROR(IF(ventas_b_mes1255[[#This Row],[CUIT]]="","-",VLOOKUP(ventas_b_mes1255[[#This Row],[CUIT]],Lista_CUIT[#All],2,0)),"CUIT NO CARGADO")</f>
        <v>-</v>
      </c>
      <c r="H733" s="99">
        <f>ventas_b_mes1255[[#This Row],[TOTAL]]/1.21</f>
        <v>0</v>
      </c>
      <c r="I733" s="64">
        <f>ventas_b_mes1255[[#This Row],[IMPORTE NETO]]*0.21</f>
        <v>0</v>
      </c>
      <c r="J733" s="140"/>
      <c r="K733" s="140"/>
      <c r="L733" s="140"/>
      <c r="M733" s="59"/>
    </row>
    <row r="734" spans="2:13" x14ac:dyDescent="0.25">
      <c r="B734" s="134"/>
      <c r="C734" s="135"/>
      <c r="D734" s="136"/>
      <c r="E734" s="137"/>
      <c r="F734" s="138"/>
      <c r="G734" s="1" t="str">
        <f>IFERROR(IF(ventas_b_mes1255[[#This Row],[CUIT]]="","-",VLOOKUP(ventas_b_mes1255[[#This Row],[CUIT]],Lista_CUIT[#All],2,0)),"CUIT NO CARGADO")</f>
        <v>-</v>
      </c>
      <c r="H734" s="99">
        <f>ventas_b_mes1255[[#This Row],[TOTAL]]/1.21</f>
        <v>0</v>
      </c>
      <c r="I734" s="64">
        <f>ventas_b_mes1255[[#This Row],[IMPORTE NETO]]*0.21</f>
        <v>0</v>
      </c>
      <c r="J734" s="140"/>
      <c r="K734" s="140"/>
      <c r="L734" s="140"/>
      <c r="M734" s="59"/>
    </row>
    <row r="735" spans="2:13" x14ac:dyDescent="0.25">
      <c r="B735" s="134"/>
      <c r="C735" s="135"/>
      <c r="D735" s="136"/>
      <c r="E735" s="137"/>
      <c r="F735" s="138"/>
      <c r="G735" s="1" t="str">
        <f>IFERROR(IF(ventas_b_mes1255[[#This Row],[CUIT]]="","-",VLOOKUP(ventas_b_mes1255[[#This Row],[CUIT]],Lista_CUIT[#All],2,0)),"CUIT NO CARGADO")</f>
        <v>-</v>
      </c>
      <c r="H735" s="99">
        <f>ventas_b_mes1255[[#This Row],[TOTAL]]/1.21</f>
        <v>0</v>
      </c>
      <c r="I735" s="64">
        <f>ventas_b_mes1255[[#This Row],[IMPORTE NETO]]*0.21</f>
        <v>0</v>
      </c>
      <c r="J735" s="140"/>
      <c r="K735" s="140"/>
      <c r="L735" s="140"/>
      <c r="M735" s="59"/>
    </row>
    <row r="736" spans="2:13" x14ac:dyDescent="0.25">
      <c r="B736" s="134"/>
      <c r="C736" s="135"/>
      <c r="D736" s="136"/>
      <c r="E736" s="137"/>
      <c r="F736" s="138"/>
      <c r="G736" s="1" t="str">
        <f>IFERROR(IF(ventas_b_mes1255[[#This Row],[CUIT]]="","-",VLOOKUP(ventas_b_mes1255[[#This Row],[CUIT]],Lista_CUIT[#All],2,0)),"CUIT NO CARGADO")</f>
        <v>-</v>
      </c>
      <c r="H736" s="99">
        <f>ventas_b_mes1255[[#This Row],[TOTAL]]/1.21</f>
        <v>0</v>
      </c>
      <c r="I736" s="64">
        <f>ventas_b_mes1255[[#This Row],[IMPORTE NETO]]*0.21</f>
        <v>0</v>
      </c>
      <c r="J736" s="140"/>
      <c r="K736" s="140"/>
      <c r="L736" s="140"/>
      <c r="M736" s="59"/>
    </row>
    <row r="737" spans="2:13" x14ac:dyDescent="0.25">
      <c r="B737" s="134"/>
      <c r="C737" s="135"/>
      <c r="D737" s="136"/>
      <c r="E737" s="137"/>
      <c r="F737" s="138"/>
      <c r="G737" s="1" t="str">
        <f>IFERROR(IF(ventas_b_mes1255[[#This Row],[CUIT]]="","-",VLOOKUP(ventas_b_mes1255[[#This Row],[CUIT]],Lista_CUIT[#All],2,0)),"CUIT NO CARGADO")</f>
        <v>-</v>
      </c>
      <c r="H737" s="99">
        <f>ventas_b_mes1255[[#This Row],[TOTAL]]/1.21</f>
        <v>0</v>
      </c>
      <c r="I737" s="64">
        <f>ventas_b_mes1255[[#This Row],[IMPORTE NETO]]*0.21</f>
        <v>0</v>
      </c>
      <c r="J737" s="140"/>
      <c r="K737" s="140"/>
      <c r="L737" s="140"/>
      <c r="M737" s="59"/>
    </row>
    <row r="738" spans="2:13" x14ac:dyDescent="0.25">
      <c r="B738" s="134"/>
      <c r="C738" s="135"/>
      <c r="D738" s="136"/>
      <c r="E738" s="137"/>
      <c r="F738" s="138"/>
      <c r="G738" s="1" t="str">
        <f>IFERROR(IF(ventas_b_mes1255[[#This Row],[CUIT]]="","-",VLOOKUP(ventas_b_mes1255[[#This Row],[CUIT]],Lista_CUIT[#All],2,0)),"CUIT NO CARGADO")</f>
        <v>-</v>
      </c>
      <c r="H738" s="99">
        <f>ventas_b_mes1255[[#This Row],[TOTAL]]/1.21</f>
        <v>0</v>
      </c>
      <c r="I738" s="64">
        <f>ventas_b_mes1255[[#This Row],[IMPORTE NETO]]*0.21</f>
        <v>0</v>
      </c>
      <c r="J738" s="140"/>
      <c r="K738" s="140"/>
      <c r="L738" s="140"/>
      <c r="M738" s="59"/>
    </row>
    <row r="739" spans="2:13" x14ac:dyDescent="0.25">
      <c r="B739" s="134"/>
      <c r="C739" s="135"/>
      <c r="D739" s="136"/>
      <c r="E739" s="137"/>
      <c r="F739" s="138"/>
      <c r="G739" s="1" t="str">
        <f>IFERROR(IF(ventas_b_mes1255[[#This Row],[CUIT]]="","-",VLOOKUP(ventas_b_mes1255[[#This Row],[CUIT]],Lista_CUIT[#All],2,0)),"CUIT NO CARGADO")</f>
        <v>-</v>
      </c>
      <c r="H739" s="99">
        <f>ventas_b_mes1255[[#This Row],[TOTAL]]/1.21</f>
        <v>0</v>
      </c>
      <c r="I739" s="64">
        <f>ventas_b_mes1255[[#This Row],[IMPORTE NETO]]*0.21</f>
        <v>0</v>
      </c>
      <c r="J739" s="140"/>
      <c r="K739" s="140"/>
      <c r="L739" s="140"/>
      <c r="M739" s="59"/>
    </row>
    <row r="740" spans="2:13" x14ac:dyDescent="0.25">
      <c r="B740" s="134"/>
      <c r="C740" s="135"/>
      <c r="D740" s="136"/>
      <c r="E740" s="137"/>
      <c r="F740" s="138"/>
      <c r="G740" s="1" t="str">
        <f>IFERROR(IF(ventas_b_mes1255[[#This Row],[CUIT]]="","-",VLOOKUP(ventas_b_mes1255[[#This Row],[CUIT]],Lista_CUIT[#All],2,0)),"CUIT NO CARGADO")</f>
        <v>-</v>
      </c>
      <c r="H740" s="99">
        <f>ventas_b_mes1255[[#This Row],[TOTAL]]/1.21</f>
        <v>0</v>
      </c>
      <c r="I740" s="64">
        <f>ventas_b_mes1255[[#This Row],[IMPORTE NETO]]*0.21</f>
        <v>0</v>
      </c>
      <c r="J740" s="140"/>
      <c r="K740" s="140"/>
      <c r="L740" s="140"/>
      <c r="M740" s="59"/>
    </row>
    <row r="741" spans="2:13" x14ac:dyDescent="0.25">
      <c r="B741" s="134"/>
      <c r="C741" s="135"/>
      <c r="D741" s="136"/>
      <c r="E741" s="137"/>
      <c r="F741" s="138"/>
      <c r="G741" s="1" t="str">
        <f>IFERROR(IF(ventas_b_mes1255[[#This Row],[CUIT]]="","-",VLOOKUP(ventas_b_mes1255[[#This Row],[CUIT]],Lista_CUIT[#All],2,0)),"CUIT NO CARGADO")</f>
        <v>-</v>
      </c>
      <c r="H741" s="99">
        <f>ventas_b_mes1255[[#This Row],[TOTAL]]/1.21</f>
        <v>0</v>
      </c>
      <c r="I741" s="64">
        <f>ventas_b_mes1255[[#This Row],[IMPORTE NETO]]*0.21</f>
        <v>0</v>
      </c>
      <c r="J741" s="140"/>
      <c r="K741" s="140"/>
      <c r="L741" s="140"/>
      <c r="M741" s="59"/>
    </row>
    <row r="742" spans="2:13" x14ac:dyDescent="0.25">
      <c r="B742" s="134"/>
      <c r="C742" s="135"/>
      <c r="D742" s="136"/>
      <c r="E742" s="137"/>
      <c r="F742" s="138"/>
      <c r="G742" s="1" t="str">
        <f>IFERROR(IF(ventas_b_mes1255[[#This Row],[CUIT]]="","-",VLOOKUP(ventas_b_mes1255[[#This Row],[CUIT]],Lista_CUIT[#All],2,0)),"CUIT NO CARGADO")</f>
        <v>-</v>
      </c>
      <c r="H742" s="99">
        <f>ventas_b_mes1255[[#This Row],[TOTAL]]/1.21</f>
        <v>0</v>
      </c>
      <c r="I742" s="64">
        <f>ventas_b_mes1255[[#This Row],[IMPORTE NETO]]*0.21</f>
        <v>0</v>
      </c>
      <c r="J742" s="140"/>
      <c r="K742" s="140"/>
      <c r="L742" s="140"/>
      <c r="M742" s="59"/>
    </row>
    <row r="743" spans="2:13" x14ac:dyDescent="0.25">
      <c r="B743" s="134"/>
      <c r="C743" s="135"/>
      <c r="D743" s="136"/>
      <c r="E743" s="137"/>
      <c r="F743" s="138"/>
      <c r="G743" s="1" t="str">
        <f>IFERROR(IF(ventas_b_mes1255[[#This Row],[CUIT]]="","-",VLOOKUP(ventas_b_mes1255[[#This Row],[CUIT]],Lista_CUIT[#All],2,0)),"CUIT NO CARGADO")</f>
        <v>-</v>
      </c>
      <c r="H743" s="99">
        <f>ventas_b_mes1255[[#This Row],[TOTAL]]/1.21</f>
        <v>0</v>
      </c>
      <c r="I743" s="64">
        <f>ventas_b_mes1255[[#This Row],[IMPORTE NETO]]*0.21</f>
        <v>0</v>
      </c>
      <c r="J743" s="140"/>
      <c r="K743" s="140"/>
      <c r="L743" s="140"/>
      <c r="M743" s="59"/>
    </row>
    <row r="744" spans="2:13" x14ac:dyDescent="0.25">
      <c r="B744" s="134"/>
      <c r="C744" s="135"/>
      <c r="D744" s="136"/>
      <c r="E744" s="137"/>
      <c r="F744" s="138"/>
      <c r="G744" s="1" t="str">
        <f>IFERROR(IF(ventas_b_mes1255[[#This Row],[CUIT]]="","-",VLOOKUP(ventas_b_mes1255[[#This Row],[CUIT]],Lista_CUIT[#All],2,0)),"CUIT NO CARGADO")</f>
        <v>-</v>
      </c>
      <c r="H744" s="99">
        <f>ventas_b_mes1255[[#This Row],[TOTAL]]/1.21</f>
        <v>0</v>
      </c>
      <c r="I744" s="64">
        <f>ventas_b_mes1255[[#This Row],[IMPORTE NETO]]*0.21</f>
        <v>0</v>
      </c>
      <c r="J744" s="140"/>
      <c r="K744" s="140"/>
      <c r="L744" s="140"/>
      <c r="M744" s="59"/>
    </row>
    <row r="745" spans="2:13" x14ac:dyDescent="0.25">
      <c r="B745" s="134"/>
      <c r="C745" s="135"/>
      <c r="D745" s="136"/>
      <c r="E745" s="137"/>
      <c r="F745" s="138"/>
      <c r="G745" s="1" t="str">
        <f>IFERROR(IF(ventas_b_mes1255[[#This Row],[CUIT]]="","-",VLOOKUP(ventas_b_mes1255[[#This Row],[CUIT]],Lista_CUIT[#All],2,0)),"CUIT NO CARGADO")</f>
        <v>-</v>
      </c>
      <c r="H745" s="99">
        <f>ventas_b_mes1255[[#This Row],[TOTAL]]/1.21</f>
        <v>0</v>
      </c>
      <c r="I745" s="64">
        <f>ventas_b_mes1255[[#This Row],[IMPORTE NETO]]*0.21</f>
        <v>0</v>
      </c>
      <c r="J745" s="140"/>
      <c r="K745" s="140"/>
      <c r="L745" s="140"/>
      <c r="M745" s="59"/>
    </row>
    <row r="746" spans="2:13" x14ac:dyDescent="0.25">
      <c r="B746" s="134"/>
      <c r="C746" s="135"/>
      <c r="D746" s="136"/>
      <c r="E746" s="137"/>
      <c r="F746" s="138"/>
      <c r="G746" s="1" t="str">
        <f>IFERROR(IF(ventas_b_mes1255[[#This Row],[CUIT]]="","-",VLOOKUP(ventas_b_mes1255[[#This Row],[CUIT]],Lista_CUIT[#All],2,0)),"CUIT NO CARGADO")</f>
        <v>-</v>
      </c>
      <c r="H746" s="99">
        <f>ventas_b_mes1255[[#This Row],[TOTAL]]/1.21</f>
        <v>0</v>
      </c>
      <c r="I746" s="64">
        <f>ventas_b_mes1255[[#This Row],[IMPORTE NETO]]*0.21</f>
        <v>0</v>
      </c>
      <c r="J746" s="140"/>
      <c r="K746" s="140"/>
      <c r="L746" s="140"/>
      <c r="M746" s="59"/>
    </row>
    <row r="747" spans="2:13" x14ac:dyDescent="0.25">
      <c r="B747" s="134"/>
      <c r="C747" s="135"/>
      <c r="D747" s="136"/>
      <c r="E747" s="137"/>
      <c r="F747" s="138"/>
      <c r="G747" s="1" t="str">
        <f>IFERROR(IF(ventas_b_mes1255[[#This Row],[CUIT]]="","-",VLOOKUP(ventas_b_mes1255[[#This Row],[CUIT]],Lista_CUIT[#All],2,0)),"CUIT NO CARGADO")</f>
        <v>-</v>
      </c>
      <c r="H747" s="99">
        <f>ventas_b_mes1255[[#This Row],[TOTAL]]/1.21</f>
        <v>0</v>
      </c>
      <c r="I747" s="64">
        <f>ventas_b_mes1255[[#This Row],[IMPORTE NETO]]*0.21</f>
        <v>0</v>
      </c>
      <c r="J747" s="140"/>
      <c r="K747" s="140"/>
      <c r="L747" s="140"/>
      <c r="M747" s="59"/>
    </row>
    <row r="748" spans="2:13" x14ac:dyDescent="0.25">
      <c r="B748" s="134"/>
      <c r="C748" s="135"/>
      <c r="D748" s="136"/>
      <c r="E748" s="137"/>
      <c r="F748" s="138"/>
      <c r="G748" s="1" t="str">
        <f>IFERROR(IF(ventas_b_mes1255[[#This Row],[CUIT]]="","-",VLOOKUP(ventas_b_mes1255[[#This Row],[CUIT]],Lista_CUIT[#All],2,0)),"CUIT NO CARGADO")</f>
        <v>-</v>
      </c>
      <c r="H748" s="99">
        <f>ventas_b_mes1255[[#This Row],[TOTAL]]/1.21</f>
        <v>0</v>
      </c>
      <c r="I748" s="64">
        <f>ventas_b_mes1255[[#This Row],[IMPORTE NETO]]*0.21</f>
        <v>0</v>
      </c>
      <c r="J748" s="140"/>
      <c r="K748" s="140"/>
      <c r="L748" s="140"/>
      <c r="M748" s="59"/>
    </row>
    <row r="749" spans="2:13" x14ac:dyDescent="0.25">
      <c r="B749" s="134"/>
      <c r="C749" s="135"/>
      <c r="D749" s="136"/>
      <c r="E749" s="137"/>
      <c r="F749" s="138"/>
      <c r="G749" s="1" t="str">
        <f>IFERROR(IF(ventas_b_mes1255[[#This Row],[CUIT]]="","-",VLOOKUP(ventas_b_mes1255[[#This Row],[CUIT]],Lista_CUIT[#All],2,0)),"CUIT NO CARGADO")</f>
        <v>-</v>
      </c>
      <c r="H749" s="99">
        <f>ventas_b_mes1255[[#This Row],[TOTAL]]/1.21</f>
        <v>0</v>
      </c>
      <c r="I749" s="64">
        <f>ventas_b_mes1255[[#This Row],[IMPORTE NETO]]*0.21</f>
        <v>0</v>
      </c>
      <c r="J749" s="140"/>
      <c r="K749" s="140"/>
      <c r="L749" s="140"/>
      <c r="M749" s="59"/>
    </row>
    <row r="750" spans="2:13" x14ac:dyDescent="0.25">
      <c r="B750" s="134"/>
      <c r="C750" s="135"/>
      <c r="D750" s="136"/>
      <c r="E750" s="137"/>
      <c r="F750" s="138"/>
      <c r="G750" s="1" t="str">
        <f>IFERROR(IF(ventas_b_mes1255[[#This Row],[CUIT]]="","-",VLOOKUP(ventas_b_mes1255[[#This Row],[CUIT]],Lista_CUIT[#All],2,0)),"CUIT NO CARGADO")</f>
        <v>-</v>
      </c>
      <c r="H750" s="99">
        <f>ventas_b_mes1255[[#This Row],[TOTAL]]/1.21</f>
        <v>0</v>
      </c>
      <c r="I750" s="64">
        <f>ventas_b_mes1255[[#This Row],[IMPORTE NETO]]*0.21</f>
        <v>0</v>
      </c>
      <c r="J750" s="140"/>
      <c r="K750" s="140"/>
      <c r="L750" s="140"/>
      <c r="M750" s="59"/>
    </row>
    <row r="751" spans="2:13" x14ac:dyDescent="0.25">
      <c r="B751" s="134"/>
      <c r="C751" s="135"/>
      <c r="D751" s="136"/>
      <c r="E751" s="137"/>
      <c r="F751" s="138"/>
      <c r="G751" s="1" t="str">
        <f>IFERROR(IF(ventas_b_mes1255[[#This Row],[CUIT]]="","-",VLOOKUP(ventas_b_mes1255[[#This Row],[CUIT]],Lista_CUIT[#All],2,0)),"CUIT NO CARGADO")</f>
        <v>-</v>
      </c>
      <c r="H751" s="99">
        <f>ventas_b_mes1255[[#This Row],[TOTAL]]/1.21</f>
        <v>0</v>
      </c>
      <c r="I751" s="64">
        <f>ventas_b_mes1255[[#This Row],[IMPORTE NETO]]*0.21</f>
        <v>0</v>
      </c>
      <c r="J751" s="140"/>
      <c r="K751" s="140"/>
      <c r="L751" s="140"/>
      <c r="M751" s="59"/>
    </row>
    <row r="752" spans="2:13" x14ac:dyDescent="0.25">
      <c r="B752" s="134"/>
      <c r="C752" s="135"/>
      <c r="D752" s="136"/>
      <c r="E752" s="137"/>
      <c r="F752" s="138"/>
      <c r="G752" s="1" t="str">
        <f>IFERROR(IF(ventas_b_mes1255[[#This Row],[CUIT]]="","-",VLOOKUP(ventas_b_mes1255[[#This Row],[CUIT]],Lista_CUIT[#All],2,0)),"CUIT NO CARGADO")</f>
        <v>-</v>
      </c>
      <c r="H752" s="99">
        <f>ventas_b_mes1255[[#This Row],[TOTAL]]/1.21</f>
        <v>0</v>
      </c>
      <c r="I752" s="64">
        <f>ventas_b_mes1255[[#This Row],[IMPORTE NETO]]*0.21</f>
        <v>0</v>
      </c>
      <c r="J752" s="140"/>
      <c r="K752" s="140"/>
      <c r="L752" s="140"/>
      <c r="M752" s="59"/>
    </row>
    <row r="753" spans="2:13" x14ac:dyDescent="0.25">
      <c r="B753" s="134"/>
      <c r="C753" s="135"/>
      <c r="D753" s="136"/>
      <c r="E753" s="137"/>
      <c r="F753" s="138"/>
      <c r="G753" s="1" t="str">
        <f>IFERROR(IF(ventas_b_mes1255[[#This Row],[CUIT]]="","-",VLOOKUP(ventas_b_mes1255[[#This Row],[CUIT]],Lista_CUIT[#All],2,0)),"CUIT NO CARGADO")</f>
        <v>-</v>
      </c>
      <c r="H753" s="99">
        <f>ventas_b_mes1255[[#This Row],[TOTAL]]/1.21</f>
        <v>0</v>
      </c>
      <c r="I753" s="64">
        <f>ventas_b_mes1255[[#This Row],[IMPORTE NETO]]*0.21</f>
        <v>0</v>
      </c>
      <c r="J753" s="140"/>
      <c r="K753" s="140"/>
      <c r="L753" s="140"/>
      <c r="M753" s="59"/>
    </row>
    <row r="754" spans="2:13" x14ac:dyDescent="0.25">
      <c r="B754" s="134"/>
      <c r="C754" s="135"/>
      <c r="D754" s="136"/>
      <c r="E754" s="137"/>
      <c r="F754" s="138"/>
      <c r="G754" s="1" t="str">
        <f>IFERROR(IF(ventas_b_mes1255[[#This Row],[CUIT]]="","-",VLOOKUP(ventas_b_mes1255[[#This Row],[CUIT]],Lista_CUIT[#All],2,0)),"CUIT NO CARGADO")</f>
        <v>-</v>
      </c>
      <c r="H754" s="99">
        <f>ventas_b_mes1255[[#This Row],[TOTAL]]/1.21</f>
        <v>0</v>
      </c>
      <c r="I754" s="64">
        <f>ventas_b_mes1255[[#This Row],[IMPORTE NETO]]*0.21</f>
        <v>0</v>
      </c>
      <c r="J754" s="140"/>
      <c r="K754" s="140"/>
      <c r="L754" s="140"/>
      <c r="M754" s="59"/>
    </row>
    <row r="755" spans="2:13" x14ac:dyDescent="0.25">
      <c r="B755" s="134"/>
      <c r="C755" s="135"/>
      <c r="D755" s="136"/>
      <c r="E755" s="137"/>
      <c r="F755" s="138"/>
      <c r="G755" s="1" t="str">
        <f>IFERROR(IF(ventas_b_mes1255[[#This Row],[CUIT]]="","-",VLOOKUP(ventas_b_mes1255[[#This Row],[CUIT]],Lista_CUIT[#All],2,0)),"CUIT NO CARGADO")</f>
        <v>-</v>
      </c>
      <c r="H755" s="99">
        <f>ventas_b_mes1255[[#This Row],[TOTAL]]/1.21</f>
        <v>0</v>
      </c>
      <c r="I755" s="64">
        <f>ventas_b_mes1255[[#This Row],[IMPORTE NETO]]*0.21</f>
        <v>0</v>
      </c>
      <c r="J755" s="140"/>
      <c r="K755" s="140"/>
      <c r="L755" s="140"/>
      <c r="M755" s="59"/>
    </row>
    <row r="756" spans="2:13" x14ac:dyDescent="0.25">
      <c r="B756" s="134"/>
      <c r="C756" s="135"/>
      <c r="D756" s="136"/>
      <c r="E756" s="137"/>
      <c r="F756" s="138"/>
      <c r="G756" s="1" t="str">
        <f>IFERROR(IF(ventas_b_mes1255[[#This Row],[CUIT]]="","-",VLOOKUP(ventas_b_mes1255[[#This Row],[CUIT]],Lista_CUIT[#All],2,0)),"CUIT NO CARGADO")</f>
        <v>-</v>
      </c>
      <c r="H756" s="99">
        <f>ventas_b_mes1255[[#This Row],[TOTAL]]/1.21</f>
        <v>0</v>
      </c>
      <c r="I756" s="64">
        <f>ventas_b_mes1255[[#This Row],[IMPORTE NETO]]*0.21</f>
        <v>0</v>
      </c>
      <c r="J756" s="140"/>
      <c r="K756" s="140"/>
      <c r="L756" s="140"/>
      <c r="M756" s="59"/>
    </row>
    <row r="757" spans="2:13" x14ac:dyDescent="0.25">
      <c r="B757" s="134"/>
      <c r="C757" s="135"/>
      <c r="D757" s="136"/>
      <c r="E757" s="137"/>
      <c r="F757" s="138"/>
      <c r="G757" s="1" t="str">
        <f>IFERROR(IF(ventas_b_mes1255[[#This Row],[CUIT]]="","-",VLOOKUP(ventas_b_mes1255[[#This Row],[CUIT]],Lista_CUIT[#All],2,0)),"CUIT NO CARGADO")</f>
        <v>-</v>
      </c>
      <c r="H757" s="99">
        <f>ventas_b_mes1255[[#This Row],[TOTAL]]/1.21</f>
        <v>0</v>
      </c>
      <c r="I757" s="64">
        <f>ventas_b_mes1255[[#This Row],[IMPORTE NETO]]*0.21</f>
        <v>0</v>
      </c>
      <c r="J757" s="140"/>
      <c r="K757" s="140"/>
      <c r="L757" s="140"/>
      <c r="M757" s="59"/>
    </row>
    <row r="758" spans="2:13" x14ac:dyDescent="0.25">
      <c r="B758" s="134"/>
      <c r="C758" s="135"/>
      <c r="D758" s="136"/>
      <c r="E758" s="137"/>
      <c r="F758" s="138"/>
      <c r="G758" s="1" t="str">
        <f>IFERROR(IF(ventas_b_mes1255[[#This Row],[CUIT]]="","-",VLOOKUP(ventas_b_mes1255[[#This Row],[CUIT]],Lista_CUIT[#All],2,0)),"CUIT NO CARGADO")</f>
        <v>-</v>
      </c>
      <c r="H758" s="99">
        <f>ventas_b_mes1255[[#This Row],[TOTAL]]/1.21</f>
        <v>0</v>
      </c>
      <c r="I758" s="64">
        <f>ventas_b_mes1255[[#This Row],[IMPORTE NETO]]*0.21</f>
        <v>0</v>
      </c>
      <c r="J758" s="140"/>
      <c r="K758" s="140"/>
      <c r="L758" s="140"/>
      <c r="M758" s="59"/>
    </row>
    <row r="759" spans="2:13" x14ac:dyDescent="0.25">
      <c r="B759" s="134"/>
      <c r="C759" s="135"/>
      <c r="D759" s="136"/>
      <c r="E759" s="137"/>
      <c r="F759" s="138"/>
      <c r="G759" s="1" t="str">
        <f>IFERROR(IF(ventas_b_mes1255[[#This Row],[CUIT]]="","-",VLOOKUP(ventas_b_mes1255[[#This Row],[CUIT]],Lista_CUIT[#All],2,0)),"CUIT NO CARGADO")</f>
        <v>-</v>
      </c>
      <c r="H759" s="99">
        <f>ventas_b_mes1255[[#This Row],[TOTAL]]/1.21</f>
        <v>0</v>
      </c>
      <c r="I759" s="64">
        <f>ventas_b_mes1255[[#This Row],[IMPORTE NETO]]*0.21</f>
        <v>0</v>
      </c>
      <c r="J759" s="140"/>
      <c r="K759" s="140"/>
      <c r="L759" s="140"/>
      <c r="M759" s="59"/>
    </row>
    <row r="760" spans="2:13" x14ac:dyDescent="0.25">
      <c r="B760" s="134"/>
      <c r="C760" s="135"/>
      <c r="D760" s="136"/>
      <c r="E760" s="137"/>
      <c r="F760" s="138"/>
      <c r="G760" s="1" t="str">
        <f>IFERROR(IF(ventas_b_mes1255[[#This Row],[CUIT]]="","-",VLOOKUP(ventas_b_mes1255[[#This Row],[CUIT]],Lista_CUIT[#All],2,0)),"CUIT NO CARGADO")</f>
        <v>-</v>
      </c>
      <c r="H760" s="99">
        <f>ventas_b_mes1255[[#This Row],[TOTAL]]/1.21</f>
        <v>0</v>
      </c>
      <c r="I760" s="64">
        <f>ventas_b_mes1255[[#This Row],[IMPORTE NETO]]*0.21</f>
        <v>0</v>
      </c>
      <c r="J760" s="140"/>
      <c r="K760" s="140"/>
      <c r="L760" s="140"/>
      <c r="M760" s="59"/>
    </row>
    <row r="761" spans="2:13" x14ac:dyDescent="0.25">
      <c r="B761" s="134"/>
      <c r="C761" s="135"/>
      <c r="D761" s="136"/>
      <c r="E761" s="137"/>
      <c r="F761" s="138"/>
      <c r="G761" s="1" t="str">
        <f>IFERROR(IF(ventas_b_mes1255[[#This Row],[CUIT]]="","-",VLOOKUP(ventas_b_mes1255[[#This Row],[CUIT]],Lista_CUIT[#All],2,0)),"CUIT NO CARGADO")</f>
        <v>-</v>
      </c>
      <c r="H761" s="99">
        <f>ventas_b_mes1255[[#This Row],[TOTAL]]/1.21</f>
        <v>0</v>
      </c>
      <c r="I761" s="64">
        <f>ventas_b_mes1255[[#This Row],[IMPORTE NETO]]*0.21</f>
        <v>0</v>
      </c>
      <c r="J761" s="140"/>
      <c r="K761" s="140"/>
      <c r="L761" s="140"/>
      <c r="M761" s="59"/>
    </row>
    <row r="762" spans="2:13" x14ac:dyDescent="0.25">
      <c r="B762" s="134"/>
      <c r="C762" s="135"/>
      <c r="D762" s="136"/>
      <c r="E762" s="137"/>
      <c r="F762" s="138"/>
      <c r="G762" s="1" t="str">
        <f>IFERROR(IF(ventas_b_mes1255[[#This Row],[CUIT]]="","-",VLOOKUP(ventas_b_mes1255[[#This Row],[CUIT]],Lista_CUIT[#All],2,0)),"CUIT NO CARGADO")</f>
        <v>-</v>
      </c>
      <c r="H762" s="99">
        <f>ventas_b_mes1255[[#This Row],[TOTAL]]/1.21</f>
        <v>0</v>
      </c>
      <c r="I762" s="64">
        <f>ventas_b_mes1255[[#This Row],[IMPORTE NETO]]*0.21</f>
        <v>0</v>
      </c>
      <c r="J762" s="140"/>
      <c r="K762" s="140"/>
      <c r="L762" s="140"/>
      <c r="M762" s="59"/>
    </row>
    <row r="763" spans="2:13" x14ac:dyDescent="0.25">
      <c r="B763" s="134"/>
      <c r="C763" s="135"/>
      <c r="D763" s="136"/>
      <c r="E763" s="137"/>
      <c r="F763" s="138"/>
      <c r="G763" s="1" t="str">
        <f>IFERROR(IF(ventas_b_mes1255[[#This Row],[CUIT]]="","-",VLOOKUP(ventas_b_mes1255[[#This Row],[CUIT]],Lista_CUIT[#All],2,0)),"CUIT NO CARGADO")</f>
        <v>-</v>
      </c>
      <c r="H763" s="99">
        <f>ventas_b_mes1255[[#This Row],[TOTAL]]/1.21</f>
        <v>0</v>
      </c>
      <c r="I763" s="64">
        <f>ventas_b_mes1255[[#This Row],[IMPORTE NETO]]*0.21</f>
        <v>0</v>
      </c>
      <c r="J763" s="140"/>
      <c r="K763" s="140"/>
      <c r="L763" s="140"/>
      <c r="M763" s="59"/>
    </row>
    <row r="764" spans="2:13" x14ac:dyDescent="0.25">
      <c r="B764" s="134"/>
      <c r="C764" s="135"/>
      <c r="D764" s="136"/>
      <c r="E764" s="137"/>
      <c r="F764" s="138"/>
      <c r="G764" s="1" t="str">
        <f>IFERROR(IF(ventas_b_mes1255[[#This Row],[CUIT]]="","-",VLOOKUP(ventas_b_mes1255[[#This Row],[CUIT]],Lista_CUIT[#All],2,0)),"CUIT NO CARGADO")</f>
        <v>-</v>
      </c>
      <c r="H764" s="99">
        <f>ventas_b_mes1255[[#This Row],[TOTAL]]/1.21</f>
        <v>0</v>
      </c>
      <c r="I764" s="64">
        <f>ventas_b_mes1255[[#This Row],[IMPORTE NETO]]*0.21</f>
        <v>0</v>
      </c>
      <c r="J764" s="140"/>
      <c r="K764" s="140"/>
      <c r="L764" s="140"/>
      <c r="M764" s="59"/>
    </row>
    <row r="765" spans="2:13" x14ac:dyDescent="0.25">
      <c r="B765" s="134"/>
      <c r="C765" s="135"/>
      <c r="D765" s="136"/>
      <c r="E765" s="137"/>
      <c r="F765" s="138"/>
      <c r="G765" s="1" t="str">
        <f>IFERROR(IF(ventas_b_mes1255[[#This Row],[CUIT]]="","-",VLOOKUP(ventas_b_mes1255[[#This Row],[CUIT]],Lista_CUIT[#All],2,0)),"CUIT NO CARGADO")</f>
        <v>-</v>
      </c>
      <c r="H765" s="99">
        <f>ventas_b_mes1255[[#This Row],[TOTAL]]/1.21</f>
        <v>0</v>
      </c>
      <c r="I765" s="64">
        <f>ventas_b_mes1255[[#This Row],[IMPORTE NETO]]*0.21</f>
        <v>0</v>
      </c>
      <c r="J765" s="140"/>
      <c r="K765" s="140"/>
      <c r="L765" s="140"/>
      <c r="M765" s="59"/>
    </row>
    <row r="766" spans="2:13" x14ac:dyDescent="0.25">
      <c r="B766" s="134"/>
      <c r="C766" s="135"/>
      <c r="D766" s="136"/>
      <c r="E766" s="137"/>
      <c r="F766" s="138"/>
      <c r="G766" s="1" t="str">
        <f>IFERROR(IF(ventas_b_mes1255[[#This Row],[CUIT]]="","-",VLOOKUP(ventas_b_mes1255[[#This Row],[CUIT]],Lista_CUIT[#All],2,0)),"CUIT NO CARGADO")</f>
        <v>-</v>
      </c>
      <c r="H766" s="99">
        <f>ventas_b_mes1255[[#This Row],[TOTAL]]/1.21</f>
        <v>0</v>
      </c>
      <c r="I766" s="64">
        <f>ventas_b_mes1255[[#This Row],[IMPORTE NETO]]*0.21</f>
        <v>0</v>
      </c>
      <c r="J766" s="140"/>
      <c r="K766" s="140"/>
      <c r="L766" s="140"/>
      <c r="M766" s="59"/>
    </row>
    <row r="767" spans="2:13" x14ac:dyDescent="0.25">
      <c r="B767" s="134"/>
      <c r="C767" s="135"/>
      <c r="D767" s="136"/>
      <c r="E767" s="137"/>
      <c r="F767" s="138"/>
      <c r="G767" s="1" t="str">
        <f>IFERROR(IF(ventas_b_mes1255[[#This Row],[CUIT]]="","-",VLOOKUP(ventas_b_mes1255[[#This Row],[CUIT]],Lista_CUIT[#All],2,0)),"CUIT NO CARGADO")</f>
        <v>-</v>
      </c>
      <c r="H767" s="99">
        <f>ventas_b_mes1255[[#This Row],[TOTAL]]/1.21</f>
        <v>0</v>
      </c>
      <c r="I767" s="64">
        <f>ventas_b_mes1255[[#This Row],[IMPORTE NETO]]*0.21</f>
        <v>0</v>
      </c>
      <c r="J767" s="140"/>
      <c r="K767" s="140"/>
      <c r="L767" s="140"/>
      <c r="M767" s="59"/>
    </row>
    <row r="768" spans="2:13" x14ac:dyDescent="0.25">
      <c r="B768" s="134"/>
      <c r="C768" s="135"/>
      <c r="D768" s="136"/>
      <c r="E768" s="137"/>
      <c r="F768" s="138"/>
      <c r="G768" s="1" t="str">
        <f>IFERROR(IF(ventas_b_mes1255[[#This Row],[CUIT]]="","-",VLOOKUP(ventas_b_mes1255[[#This Row],[CUIT]],Lista_CUIT[#All],2,0)),"CUIT NO CARGADO")</f>
        <v>-</v>
      </c>
      <c r="H768" s="99">
        <f>ventas_b_mes1255[[#This Row],[TOTAL]]/1.21</f>
        <v>0</v>
      </c>
      <c r="I768" s="64">
        <f>ventas_b_mes1255[[#This Row],[IMPORTE NETO]]*0.21</f>
        <v>0</v>
      </c>
      <c r="J768" s="140"/>
      <c r="K768" s="140"/>
      <c r="L768" s="140"/>
      <c r="M768" s="59"/>
    </row>
    <row r="769" spans="2:13" x14ac:dyDescent="0.25">
      <c r="B769" s="134"/>
      <c r="C769" s="135"/>
      <c r="D769" s="136"/>
      <c r="E769" s="137"/>
      <c r="F769" s="138"/>
      <c r="G769" s="1" t="str">
        <f>IFERROR(IF(ventas_b_mes1255[[#This Row],[CUIT]]="","-",VLOOKUP(ventas_b_mes1255[[#This Row],[CUIT]],Lista_CUIT[#All],2,0)),"CUIT NO CARGADO")</f>
        <v>-</v>
      </c>
      <c r="H769" s="99">
        <f>ventas_b_mes1255[[#This Row],[TOTAL]]/1.21</f>
        <v>0</v>
      </c>
      <c r="I769" s="64">
        <f>ventas_b_mes1255[[#This Row],[IMPORTE NETO]]*0.21</f>
        <v>0</v>
      </c>
      <c r="J769" s="140"/>
      <c r="K769" s="140"/>
      <c r="L769" s="140"/>
      <c r="M769" s="59"/>
    </row>
    <row r="770" spans="2:13" x14ac:dyDescent="0.25">
      <c r="B770" s="141"/>
      <c r="C770" s="135"/>
      <c r="D770" s="142"/>
      <c r="E770" s="143"/>
      <c r="F770" s="112"/>
      <c r="G770" s="144" t="str">
        <f>IFERROR(IF(ventas_b_mes1255[[#This Row],[CUIT]]="","-",VLOOKUP(ventas_b_mes1255[[#This Row],[CUIT]],Lista_CUIT[#All],2,0)),"CUIT NO CARGADO")</f>
        <v>-</v>
      </c>
      <c r="H770" s="99">
        <f>ventas_b_mes1255[[#This Row],[TOTAL]]/1.21</f>
        <v>0</v>
      </c>
      <c r="I770" s="64">
        <f>ventas_b_mes1255[[#This Row],[IMPORTE NETO]]*0.21</f>
        <v>0</v>
      </c>
      <c r="J770" s="145"/>
      <c r="K770" s="145"/>
      <c r="L770" s="145"/>
      <c r="M770" s="63"/>
    </row>
    <row r="771" spans="2:13" x14ac:dyDescent="0.25">
      <c r="B771" s="141"/>
      <c r="C771" s="135"/>
      <c r="D771" s="142"/>
      <c r="E771" s="143"/>
      <c r="F771" s="112"/>
      <c r="G771" s="144" t="str">
        <f>IFERROR(IF(ventas_b_mes1255[[#This Row],[CUIT]]="","-",VLOOKUP(ventas_b_mes1255[[#This Row],[CUIT]],Lista_CUIT[#All],2,0)),"CUIT NO CARGADO")</f>
        <v>-</v>
      </c>
      <c r="H771" s="99">
        <f>ventas_b_mes1255[[#This Row],[TOTAL]]/1.21</f>
        <v>0</v>
      </c>
      <c r="I771" s="64">
        <f>ventas_b_mes1255[[#This Row],[IMPORTE NETO]]*0.21</f>
        <v>0</v>
      </c>
      <c r="J771" s="145"/>
      <c r="K771" s="145"/>
      <c r="L771" s="145"/>
      <c r="M771" s="63"/>
    </row>
    <row r="772" spans="2:13" x14ac:dyDescent="0.25">
      <c r="B772" s="141"/>
      <c r="C772" s="135"/>
      <c r="D772" s="142"/>
      <c r="E772" s="143"/>
      <c r="F772" s="112"/>
      <c r="G772" s="144" t="str">
        <f>IFERROR(IF(ventas_b_mes1255[[#This Row],[CUIT]]="","-",VLOOKUP(ventas_b_mes1255[[#This Row],[CUIT]],Lista_CUIT[#All],2,0)),"CUIT NO CARGADO")</f>
        <v>-</v>
      </c>
      <c r="H772" s="99">
        <f>ventas_b_mes1255[[#This Row],[TOTAL]]/1.21</f>
        <v>0</v>
      </c>
      <c r="I772" s="64">
        <f>ventas_b_mes1255[[#This Row],[IMPORTE NETO]]*0.21</f>
        <v>0</v>
      </c>
      <c r="J772" s="145"/>
      <c r="K772" s="145"/>
      <c r="L772" s="145"/>
      <c r="M772" s="63"/>
    </row>
    <row r="773" spans="2:13" x14ac:dyDescent="0.25">
      <c r="B773" s="141"/>
      <c r="C773" s="135"/>
      <c r="D773" s="142"/>
      <c r="E773" s="143"/>
      <c r="F773" s="112"/>
      <c r="G773" s="144" t="str">
        <f>IFERROR(IF(ventas_b_mes1255[[#This Row],[CUIT]]="","-",VLOOKUP(ventas_b_mes1255[[#This Row],[CUIT]],Lista_CUIT[#All],2,0)),"CUIT NO CARGADO")</f>
        <v>-</v>
      </c>
      <c r="H773" s="99">
        <f>ventas_b_mes1255[[#This Row],[TOTAL]]/1.21</f>
        <v>0</v>
      </c>
      <c r="I773" s="64">
        <f>ventas_b_mes1255[[#This Row],[IMPORTE NETO]]*0.21</f>
        <v>0</v>
      </c>
      <c r="J773" s="145"/>
      <c r="K773" s="145"/>
      <c r="L773" s="145"/>
      <c r="M773" s="63"/>
    </row>
    <row r="774" spans="2:13" x14ac:dyDescent="0.25">
      <c r="B774" s="141"/>
      <c r="C774" s="135"/>
      <c r="D774" s="142"/>
      <c r="E774" s="143"/>
      <c r="F774" s="112"/>
      <c r="G774" s="144" t="str">
        <f>IFERROR(IF(ventas_b_mes1255[[#This Row],[CUIT]]="","-",VLOOKUP(ventas_b_mes1255[[#This Row],[CUIT]],Lista_CUIT[#All],2,0)),"CUIT NO CARGADO")</f>
        <v>-</v>
      </c>
      <c r="H774" s="99">
        <f>ventas_b_mes1255[[#This Row],[TOTAL]]/1.21</f>
        <v>0</v>
      </c>
      <c r="I774" s="64">
        <f>ventas_b_mes1255[[#This Row],[IMPORTE NETO]]*0.21</f>
        <v>0</v>
      </c>
      <c r="J774" s="145"/>
      <c r="K774" s="145"/>
      <c r="L774" s="145"/>
      <c r="M774" s="63"/>
    </row>
    <row r="775" spans="2:13" x14ac:dyDescent="0.25">
      <c r="B775" s="141"/>
      <c r="C775" s="135"/>
      <c r="D775" s="142"/>
      <c r="E775" s="143"/>
      <c r="F775" s="112"/>
      <c r="G775" s="144" t="str">
        <f>IFERROR(IF(ventas_b_mes1255[[#This Row],[CUIT]]="","-",VLOOKUP(ventas_b_mes1255[[#This Row],[CUIT]],Lista_CUIT[#All],2,0)),"CUIT NO CARGADO")</f>
        <v>-</v>
      </c>
      <c r="H775" s="99">
        <f>ventas_b_mes1255[[#This Row],[TOTAL]]/1.21</f>
        <v>0</v>
      </c>
      <c r="I775" s="64">
        <f>ventas_b_mes1255[[#This Row],[IMPORTE NETO]]*0.21</f>
        <v>0</v>
      </c>
      <c r="J775" s="145"/>
      <c r="K775" s="145"/>
      <c r="L775" s="145"/>
      <c r="M775" s="63"/>
    </row>
    <row r="776" spans="2:13" x14ac:dyDescent="0.25">
      <c r="B776" s="141"/>
      <c r="C776" s="135"/>
      <c r="D776" s="142"/>
      <c r="E776" s="143"/>
      <c r="F776" s="112"/>
      <c r="G776" s="144" t="str">
        <f>IFERROR(IF(ventas_b_mes1255[[#This Row],[CUIT]]="","-",VLOOKUP(ventas_b_mes1255[[#This Row],[CUIT]],Lista_CUIT[#All],2,0)),"CUIT NO CARGADO")</f>
        <v>-</v>
      </c>
      <c r="H776" s="99">
        <f>ventas_b_mes1255[[#This Row],[TOTAL]]/1.21</f>
        <v>0</v>
      </c>
      <c r="I776" s="64">
        <f>ventas_b_mes1255[[#This Row],[IMPORTE NETO]]*0.21</f>
        <v>0</v>
      </c>
      <c r="J776" s="145"/>
      <c r="K776" s="145"/>
      <c r="L776" s="145"/>
      <c r="M776" s="63"/>
    </row>
    <row r="777" spans="2:13" x14ac:dyDescent="0.25">
      <c r="B777" s="134"/>
      <c r="C777" s="135"/>
      <c r="D777" s="136"/>
      <c r="E777" s="137"/>
      <c r="F777" s="112"/>
      <c r="G777" s="1" t="str">
        <f>IFERROR(IF(ventas_b_mes1255[[#This Row],[CUIT]]="","-",VLOOKUP(ventas_b_mes1255[[#This Row],[CUIT]],Lista_CUIT[#All],2,0)),"CUIT NO CARGADO")</f>
        <v>-</v>
      </c>
      <c r="H777" s="99">
        <f>ventas_b_mes1255[[#This Row],[TOTAL]]/1.21</f>
        <v>0</v>
      </c>
      <c r="I777" s="64">
        <f>ventas_b_mes1255[[#This Row],[IMPORTE NETO]]*0.21</f>
        <v>0</v>
      </c>
      <c r="J777" s="140"/>
      <c r="K777" s="140"/>
      <c r="L777" s="140"/>
      <c r="M777" s="59"/>
    </row>
    <row r="778" spans="2:13" x14ac:dyDescent="0.25">
      <c r="B778" s="134"/>
      <c r="C778" s="135"/>
      <c r="D778" s="136"/>
      <c r="E778" s="137"/>
      <c r="F778" s="112"/>
      <c r="G778" s="1" t="str">
        <f>IFERROR(IF(ventas_b_mes1255[[#This Row],[CUIT]]="","-",VLOOKUP(ventas_b_mes1255[[#This Row],[CUIT]],Lista_CUIT[#All],2,0)),"CUIT NO CARGADO")</f>
        <v>-</v>
      </c>
      <c r="H778" s="99">
        <f>ventas_b_mes1255[[#This Row],[TOTAL]]/1.21</f>
        <v>0</v>
      </c>
      <c r="I778" s="64">
        <f>ventas_b_mes1255[[#This Row],[IMPORTE NETO]]*0.21</f>
        <v>0</v>
      </c>
      <c r="J778" s="140"/>
      <c r="K778" s="140"/>
      <c r="L778" s="140"/>
      <c r="M778" s="59"/>
    </row>
    <row r="779" spans="2:13" x14ac:dyDescent="0.25">
      <c r="B779" s="134"/>
      <c r="C779" s="135"/>
      <c r="D779" s="136"/>
      <c r="E779" s="137"/>
      <c r="F779" s="112"/>
      <c r="G779" s="1" t="str">
        <f>IFERROR(IF(ventas_b_mes1255[[#This Row],[CUIT]]="","-",VLOOKUP(ventas_b_mes1255[[#This Row],[CUIT]],Lista_CUIT[#All],2,0)),"CUIT NO CARGADO")</f>
        <v>-</v>
      </c>
      <c r="H779" s="99">
        <f>ventas_b_mes1255[[#This Row],[TOTAL]]/1.21</f>
        <v>0</v>
      </c>
      <c r="I779" s="64">
        <f>ventas_b_mes1255[[#This Row],[IMPORTE NETO]]*0.21</f>
        <v>0</v>
      </c>
      <c r="J779" s="140"/>
      <c r="K779" s="140"/>
      <c r="L779" s="140"/>
      <c r="M779" s="59"/>
    </row>
    <row r="780" spans="2:13" x14ac:dyDescent="0.25">
      <c r="B780" s="134"/>
      <c r="C780" s="135"/>
      <c r="D780" s="136"/>
      <c r="E780" s="137"/>
      <c r="F780" s="112"/>
      <c r="G780" s="1" t="str">
        <f>IFERROR(IF(ventas_b_mes1255[[#This Row],[CUIT]]="","-",VLOOKUP(ventas_b_mes1255[[#This Row],[CUIT]],Lista_CUIT[#All],2,0)),"CUIT NO CARGADO")</f>
        <v>-</v>
      </c>
      <c r="H780" s="99">
        <f>ventas_b_mes1255[[#This Row],[TOTAL]]/1.21</f>
        <v>0</v>
      </c>
      <c r="I780" s="64">
        <f>ventas_b_mes1255[[#This Row],[IMPORTE NETO]]*0.21</f>
        <v>0</v>
      </c>
      <c r="J780" s="140"/>
      <c r="K780" s="140"/>
      <c r="L780" s="140"/>
      <c r="M780" s="59"/>
    </row>
    <row r="781" spans="2:13" x14ac:dyDescent="0.25">
      <c r="B781" s="134"/>
      <c r="C781" s="135"/>
      <c r="D781" s="136"/>
      <c r="E781" s="137"/>
      <c r="F781" s="112"/>
      <c r="G781" s="1" t="str">
        <f>IFERROR(IF(ventas_b_mes1255[[#This Row],[CUIT]]="","-",VLOOKUP(ventas_b_mes1255[[#This Row],[CUIT]],Lista_CUIT[#All],2,0)),"CUIT NO CARGADO")</f>
        <v>-</v>
      </c>
      <c r="H781" s="99">
        <f>ventas_b_mes1255[[#This Row],[TOTAL]]/1.21</f>
        <v>0</v>
      </c>
      <c r="I781" s="64">
        <f>ventas_b_mes1255[[#This Row],[IMPORTE NETO]]*0.21</f>
        <v>0</v>
      </c>
      <c r="J781" s="140"/>
      <c r="K781" s="140"/>
      <c r="L781" s="140"/>
      <c r="M781" s="59"/>
    </row>
    <row r="782" spans="2:13" x14ac:dyDescent="0.25">
      <c r="B782" s="134"/>
      <c r="C782" s="135"/>
      <c r="D782" s="136"/>
      <c r="E782" s="137"/>
      <c r="F782" s="112"/>
      <c r="G782" s="1" t="str">
        <f>IFERROR(IF(ventas_b_mes1255[[#This Row],[CUIT]]="","-",VLOOKUP(ventas_b_mes1255[[#This Row],[CUIT]],Lista_CUIT[#All],2,0)),"CUIT NO CARGADO")</f>
        <v>-</v>
      </c>
      <c r="H782" s="99">
        <f>ventas_b_mes1255[[#This Row],[TOTAL]]/1.21</f>
        <v>0</v>
      </c>
      <c r="I782" s="64">
        <f>ventas_b_mes1255[[#This Row],[IMPORTE NETO]]*0.21</f>
        <v>0</v>
      </c>
      <c r="J782" s="140"/>
      <c r="K782" s="140"/>
      <c r="L782" s="140"/>
      <c r="M782" s="59"/>
    </row>
    <row r="783" spans="2:13" x14ac:dyDescent="0.25">
      <c r="B783" s="134"/>
      <c r="C783" s="135"/>
      <c r="D783" s="136"/>
      <c r="E783" s="137"/>
      <c r="F783" s="112"/>
      <c r="G783" s="1" t="str">
        <f>IFERROR(IF(ventas_b_mes1255[[#This Row],[CUIT]]="","-",VLOOKUP(ventas_b_mes1255[[#This Row],[CUIT]],Lista_CUIT[#All],2,0)),"CUIT NO CARGADO")</f>
        <v>-</v>
      </c>
      <c r="H783" s="99">
        <f>ventas_b_mes1255[[#This Row],[TOTAL]]/1.21</f>
        <v>0</v>
      </c>
      <c r="I783" s="64">
        <f>ventas_b_mes1255[[#This Row],[IMPORTE NETO]]*0.21</f>
        <v>0</v>
      </c>
      <c r="J783" s="140"/>
      <c r="K783" s="140"/>
      <c r="L783" s="140"/>
      <c r="M783" s="59"/>
    </row>
    <row r="784" spans="2:13" x14ac:dyDescent="0.25">
      <c r="B784" s="134"/>
      <c r="C784" s="135"/>
      <c r="D784" s="136"/>
      <c r="E784" s="137"/>
      <c r="F784" s="112"/>
      <c r="G784" s="1" t="str">
        <f>IFERROR(IF(ventas_b_mes1255[[#This Row],[CUIT]]="","-",VLOOKUP(ventas_b_mes1255[[#This Row],[CUIT]],Lista_CUIT[#All],2,0)),"CUIT NO CARGADO")</f>
        <v>-</v>
      </c>
      <c r="H784" s="99">
        <f>ventas_b_mes1255[[#This Row],[TOTAL]]/1.21</f>
        <v>0</v>
      </c>
      <c r="I784" s="64">
        <f>ventas_b_mes1255[[#This Row],[IMPORTE NETO]]*0.21</f>
        <v>0</v>
      </c>
      <c r="J784" s="140"/>
      <c r="K784" s="140"/>
      <c r="L784" s="140"/>
      <c r="M784" s="59"/>
    </row>
    <row r="785" spans="2:13" x14ac:dyDescent="0.25">
      <c r="B785" s="134"/>
      <c r="C785" s="135"/>
      <c r="D785" s="136"/>
      <c r="E785" s="137"/>
      <c r="F785" s="112"/>
      <c r="G785" s="1" t="str">
        <f>IFERROR(IF(ventas_b_mes1255[[#This Row],[CUIT]]="","-",VLOOKUP(ventas_b_mes1255[[#This Row],[CUIT]],Lista_CUIT[#All],2,0)),"CUIT NO CARGADO")</f>
        <v>-</v>
      </c>
      <c r="H785" s="99">
        <f>ventas_b_mes1255[[#This Row],[TOTAL]]/1.21</f>
        <v>0</v>
      </c>
      <c r="I785" s="64">
        <f>ventas_b_mes1255[[#This Row],[IMPORTE NETO]]*0.21</f>
        <v>0</v>
      </c>
      <c r="J785" s="140"/>
      <c r="K785" s="140"/>
      <c r="L785" s="140"/>
      <c r="M785" s="59"/>
    </row>
    <row r="786" spans="2:13" x14ac:dyDescent="0.25">
      <c r="B786" s="134"/>
      <c r="C786" s="135"/>
      <c r="D786" s="136"/>
      <c r="E786" s="137"/>
      <c r="F786" s="112"/>
      <c r="G786" s="1" t="str">
        <f>IFERROR(IF(ventas_b_mes1255[[#This Row],[CUIT]]="","-",VLOOKUP(ventas_b_mes1255[[#This Row],[CUIT]],Lista_CUIT[#All],2,0)),"CUIT NO CARGADO")</f>
        <v>-</v>
      </c>
      <c r="H786" s="99">
        <f>ventas_b_mes1255[[#This Row],[TOTAL]]/1.21</f>
        <v>0</v>
      </c>
      <c r="I786" s="64">
        <f>ventas_b_mes1255[[#This Row],[IMPORTE NETO]]*0.21</f>
        <v>0</v>
      </c>
      <c r="J786" s="140"/>
      <c r="K786" s="140"/>
      <c r="L786" s="140"/>
      <c r="M786" s="59"/>
    </row>
    <row r="787" spans="2:13" x14ac:dyDescent="0.25">
      <c r="B787" s="134"/>
      <c r="C787" s="135"/>
      <c r="D787" s="136"/>
      <c r="E787" s="137"/>
      <c r="F787" s="112"/>
      <c r="G787" s="1" t="str">
        <f>IFERROR(IF(ventas_b_mes1255[[#This Row],[CUIT]]="","-",VLOOKUP(ventas_b_mes1255[[#This Row],[CUIT]],Lista_CUIT[#All],2,0)),"CUIT NO CARGADO")</f>
        <v>-</v>
      </c>
      <c r="H787" s="99">
        <f>ventas_b_mes1255[[#This Row],[TOTAL]]/1.21</f>
        <v>0</v>
      </c>
      <c r="I787" s="64">
        <f>ventas_b_mes1255[[#This Row],[IMPORTE NETO]]*0.21</f>
        <v>0</v>
      </c>
      <c r="J787" s="140"/>
      <c r="K787" s="140"/>
      <c r="L787" s="140"/>
      <c r="M787" s="59"/>
    </row>
    <row r="788" spans="2:13" x14ac:dyDescent="0.25">
      <c r="B788" s="134"/>
      <c r="C788" s="135"/>
      <c r="D788" s="136"/>
      <c r="E788" s="137"/>
      <c r="F788" s="112"/>
      <c r="G788" s="1" t="str">
        <f>IFERROR(IF(ventas_b_mes1255[[#This Row],[CUIT]]="","-",VLOOKUP(ventas_b_mes1255[[#This Row],[CUIT]],Lista_CUIT[#All],2,0)),"CUIT NO CARGADO")</f>
        <v>-</v>
      </c>
      <c r="H788" s="99">
        <f>ventas_b_mes1255[[#This Row],[TOTAL]]/1.21</f>
        <v>0</v>
      </c>
      <c r="I788" s="64">
        <f>ventas_b_mes1255[[#This Row],[IMPORTE NETO]]*0.21</f>
        <v>0</v>
      </c>
      <c r="J788" s="140"/>
      <c r="K788" s="140"/>
      <c r="L788" s="140"/>
      <c r="M788" s="59"/>
    </row>
    <row r="789" spans="2:13" x14ac:dyDescent="0.25">
      <c r="B789" s="134"/>
      <c r="C789" s="135"/>
      <c r="D789" s="136"/>
      <c r="E789" s="137"/>
      <c r="F789" s="112"/>
      <c r="G789" s="1" t="str">
        <f>IFERROR(IF(ventas_b_mes1255[[#This Row],[CUIT]]="","-",VLOOKUP(ventas_b_mes1255[[#This Row],[CUIT]],Lista_CUIT[#All],2,0)),"CUIT NO CARGADO")</f>
        <v>-</v>
      </c>
      <c r="H789" s="99">
        <f>ventas_b_mes1255[[#This Row],[TOTAL]]/1.21</f>
        <v>0</v>
      </c>
      <c r="I789" s="64">
        <f>ventas_b_mes1255[[#This Row],[IMPORTE NETO]]*0.21</f>
        <v>0</v>
      </c>
      <c r="J789" s="140"/>
      <c r="K789" s="140"/>
      <c r="L789" s="140"/>
      <c r="M789" s="59"/>
    </row>
    <row r="790" spans="2:13" x14ac:dyDescent="0.25">
      <c r="B790" s="134"/>
      <c r="C790" s="135"/>
      <c r="D790" s="136"/>
      <c r="E790" s="137"/>
      <c r="F790" s="112"/>
      <c r="G790" s="1" t="str">
        <f>IFERROR(IF(ventas_b_mes1255[[#This Row],[CUIT]]="","-",VLOOKUP(ventas_b_mes1255[[#This Row],[CUIT]],Lista_CUIT[#All],2,0)),"CUIT NO CARGADO")</f>
        <v>-</v>
      </c>
      <c r="H790" s="99">
        <f>ventas_b_mes1255[[#This Row],[TOTAL]]/1.21</f>
        <v>0</v>
      </c>
      <c r="I790" s="64">
        <f>ventas_b_mes1255[[#This Row],[IMPORTE NETO]]*0.21</f>
        <v>0</v>
      </c>
      <c r="J790" s="140"/>
      <c r="K790" s="140"/>
      <c r="L790" s="140"/>
      <c r="M790" s="59"/>
    </row>
    <row r="791" spans="2:13" x14ac:dyDescent="0.25">
      <c r="B791" s="134"/>
      <c r="C791" s="135"/>
      <c r="D791" s="136"/>
      <c r="E791" s="137"/>
      <c r="F791" s="112"/>
      <c r="G791" s="1" t="str">
        <f>IFERROR(IF(ventas_b_mes1255[[#This Row],[CUIT]]="","-",VLOOKUP(ventas_b_mes1255[[#This Row],[CUIT]],Lista_CUIT[#All],2,0)),"CUIT NO CARGADO")</f>
        <v>-</v>
      </c>
      <c r="H791" s="99">
        <f>ventas_b_mes1255[[#This Row],[TOTAL]]/1.21</f>
        <v>0</v>
      </c>
      <c r="I791" s="64">
        <f>ventas_b_mes1255[[#This Row],[IMPORTE NETO]]*0.21</f>
        <v>0</v>
      </c>
      <c r="J791" s="140"/>
      <c r="K791" s="140"/>
      <c r="L791" s="140"/>
      <c r="M791" s="59"/>
    </row>
    <row r="792" spans="2:13" x14ac:dyDescent="0.25">
      <c r="B792" s="134"/>
      <c r="C792" s="135"/>
      <c r="D792" s="136"/>
      <c r="E792" s="137"/>
      <c r="F792" s="112"/>
      <c r="G792" s="1" t="str">
        <f>IFERROR(IF(ventas_b_mes1255[[#This Row],[CUIT]]="","-",VLOOKUP(ventas_b_mes1255[[#This Row],[CUIT]],Lista_CUIT[#All],2,0)),"CUIT NO CARGADO")</f>
        <v>-</v>
      </c>
      <c r="H792" s="99">
        <f>ventas_b_mes1255[[#This Row],[TOTAL]]/1.21</f>
        <v>0</v>
      </c>
      <c r="I792" s="64">
        <f>ventas_b_mes1255[[#This Row],[IMPORTE NETO]]*0.21</f>
        <v>0</v>
      </c>
      <c r="J792" s="140"/>
      <c r="K792" s="140"/>
      <c r="L792" s="140"/>
      <c r="M792" s="59"/>
    </row>
    <row r="793" spans="2:13" x14ac:dyDescent="0.25">
      <c r="B793" s="134"/>
      <c r="C793" s="135"/>
      <c r="D793" s="136"/>
      <c r="E793" s="137"/>
      <c r="F793" s="112"/>
      <c r="G793" s="1" t="str">
        <f>IFERROR(IF(ventas_b_mes1255[[#This Row],[CUIT]]="","-",VLOOKUP(ventas_b_mes1255[[#This Row],[CUIT]],Lista_CUIT[#All],2,0)),"CUIT NO CARGADO")</f>
        <v>-</v>
      </c>
      <c r="H793" s="99">
        <f>ventas_b_mes1255[[#This Row],[TOTAL]]/1.21</f>
        <v>0</v>
      </c>
      <c r="I793" s="64">
        <f>ventas_b_mes1255[[#This Row],[IMPORTE NETO]]*0.21</f>
        <v>0</v>
      </c>
      <c r="J793" s="140"/>
      <c r="K793" s="140"/>
      <c r="L793" s="140"/>
      <c r="M793" s="59"/>
    </row>
    <row r="794" spans="2:13" x14ac:dyDescent="0.25">
      <c r="B794" s="134"/>
      <c r="C794" s="135"/>
      <c r="D794" s="136"/>
      <c r="E794" s="137"/>
      <c r="F794" s="112"/>
      <c r="G794" s="1" t="str">
        <f>IFERROR(IF(ventas_b_mes1255[[#This Row],[CUIT]]="","-",VLOOKUP(ventas_b_mes1255[[#This Row],[CUIT]],Lista_CUIT[#All],2,0)),"CUIT NO CARGADO")</f>
        <v>-</v>
      </c>
      <c r="H794" s="99">
        <f>ventas_b_mes1255[[#This Row],[TOTAL]]/1.21</f>
        <v>0</v>
      </c>
      <c r="I794" s="64">
        <f>ventas_b_mes1255[[#This Row],[IMPORTE NETO]]*0.21</f>
        <v>0</v>
      </c>
      <c r="J794" s="140"/>
      <c r="K794" s="140"/>
      <c r="L794" s="140"/>
      <c r="M794" s="59"/>
    </row>
    <row r="795" spans="2:13" x14ac:dyDescent="0.25">
      <c r="B795" s="134"/>
      <c r="C795" s="135"/>
      <c r="D795" s="136"/>
      <c r="E795" s="137"/>
      <c r="F795" s="112"/>
      <c r="G795" s="1" t="str">
        <f>IFERROR(IF(ventas_b_mes1255[[#This Row],[CUIT]]="","-",VLOOKUP(ventas_b_mes1255[[#This Row],[CUIT]],Lista_CUIT[#All],2,0)),"CUIT NO CARGADO")</f>
        <v>-</v>
      </c>
      <c r="H795" s="99">
        <f>ventas_b_mes1255[[#This Row],[TOTAL]]/1.21</f>
        <v>0</v>
      </c>
      <c r="I795" s="64">
        <f>ventas_b_mes1255[[#This Row],[IMPORTE NETO]]*0.21</f>
        <v>0</v>
      </c>
      <c r="J795" s="140"/>
      <c r="K795" s="140"/>
      <c r="L795" s="140"/>
      <c r="M795" s="59"/>
    </row>
    <row r="796" spans="2:13" x14ac:dyDescent="0.25">
      <c r="B796" s="134"/>
      <c r="C796" s="135"/>
      <c r="D796" s="136"/>
      <c r="E796" s="137"/>
      <c r="F796" s="112"/>
      <c r="G796" s="1" t="str">
        <f>IFERROR(IF(ventas_b_mes1255[[#This Row],[CUIT]]="","-",VLOOKUP(ventas_b_mes1255[[#This Row],[CUIT]],Lista_CUIT[#All],2,0)),"CUIT NO CARGADO")</f>
        <v>-</v>
      </c>
      <c r="H796" s="99">
        <f>ventas_b_mes1255[[#This Row],[TOTAL]]/1.21</f>
        <v>0</v>
      </c>
      <c r="I796" s="64">
        <f>ventas_b_mes1255[[#This Row],[IMPORTE NETO]]*0.21</f>
        <v>0</v>
      </c>
      <c r="J796" s="140"/>
      <c r="K796" s="140"/>
      <c r="L796" s="140"/>
      <c r="M796" s="59"/>
    </row>
    <row r="797" spans="2:13" x14ac:dyDescent="0.25">
      <c r="B797" s="134"/>
      <c r="C797" s="135"/>
      <c r="D797" s="136"/>
      <c r="E797" s="137"/>
      <c r="F797" s="112"/>
      <c r="G797" s="1" t="str">
        <f>IFERROR(IF(ventas_b_mes1255[[#This Row],[CUIT]]="","-",VLOOKUP(ventas_b_mes1255[[#This Row],[CUIT]],Lista_CUIT[#All],2,0)),"CUIT NO CARGADO")</f>
        <v>-</v>
      </c>
      <c r="H797" s="99">
        <f>ventas_b_mes1255[[#This Row],[TOTAL]]/1.21</f>
        <v>0</v>
      </c>
      <c r="I797" s="64">
        <f>ventas_b_mes1255[[#This Row],[IMPORTE NETO]]*0.21</f>
        <v>0</v>
      </c>
      <c r="J797" s="140"/>
      <c r="K797" s="140"/>
      <c r="L797" s="140"/>
      <c r="M797" s="59"/>
    </row>
    <row r="798" spans="2:13" x14ac:dyDescent="0.25">
      <c r="B798" s="134"/>
      <c r="C798" s="135"/>
      <c r="D798" s="136"/>
      <c r="E798" s="137"/>
      <c r="F798" s="112"/>
      <c r="G798" s="1" t="str">
        <f>IFERROR(IF(ventas_b_mes1255[[#This Row],[CUIT]]="","-",VLOOKUP(ventas_b_mes1255[[#This Row],[CUIT]],Lista_CUIT[#All],2,0)),"CUIT NO CARGADO")</f>
        <v>-</v>
      </c>
      <c r="H798" s="99">
        <f>ventas_b_mes1255[[#This Row],[TOTAL]]/1.21</f>
        <v>0</v>
      </c>
      <c r="I798" s="64">
        <f>ventas_b_mes1255[[#This Row],[IMPORTE NETO]]*0.21</f>
        <v>0</v>
      </c>
      <c r="J798" s="140"/>
      <c r="K798" s="140"/>
      <c r="L798" s="140"/>
      <c r="M798" s="59"/>
    </row>
    <row r="799" spans="2:13" x14ac:dyDescent="0.25">
      <c r="B799" s="134"/>
      <c r="C799" s="135"/>
      <c r="D799" s="136"/>
      <c r="E799" s="137"/>
      <c r="F799" s="112"/>
      <c r="G799" s="1" t="str">
        <f>IFERROR(IF(ventas_b_mes1255[[#This Row],[CUIT]]="","-",VLOOKUP(ventas_b_mes1255[[#This Row],[CUIT]],Lista_CUIT[#All],2,0)),"CUIT NO CARGADO")</f>
        <v>-</v>
      </c>
      <c r="H799" s="99">
        <f>ventas_b_mes1255[[#This Row],[TOTAL]]/1.21</f>
        <v>0</v>
      </c>
      <c r="I799" s="64">
        <f>ventas_b_mes1255[[#This Row],[IMPORTE NETO]]*0.21</f>
        <v>0</v>
      </c>
      <c r="J799" s="140"/>
      <c r="K799" s="140"/>
      <c r="L799" s="140"/>
      <c r="M799" s="59"/>
    </row>
    <row r="800" spans="2:13" x14ac:dyDescent="0.25">
      <c r="B800" s="134"/>
      <c r="C800" s="135"/>
      <c r="D800" s="136"/>
      <c r="E800" s="137"/>
      <c r="F800" s="112"/>
      <c r="G800" s="1" t="str">
        <f>IFERROR(IF(ventas_b_mes1255[[#This Row],[CUIT]]="","-",VLOOKUP(ventas_b_mes1255[[#This Row],[CUIT]],Lista_CUIT[#All],2,0)),"CUIT NO CARGADO")</f>
        <v>-</v>
      </c>
      <c r="H800" s="99">
        <f>ventas_b_mes1255[[#This Row],[TOTAL]]/1.21</f>
        <v>0</v>
      </c>
      <c r="I800" s="64">
        <f>ventas_b_mes1255[[#This Row],[IMPORTE NETO]]*0.21</f>
        <v>0</v>
      </c>
      <c r="J800" s="140"/>
      <c r="K800" s="140"/>
      <c r="L800" s="140"/>
      <c r="M800" s="59"/>
    </row>
    <row r="801" spans="2:13" x14ac:dyDescent="0.25">
      <c r="B801" s="134"/>
      <c r="C801" s="135"/>
      <c r="D801" s="136"/>
      <c r="E801" s="137"/>
      <c r="F801" s="112"/>
      <c r="G801" s="1" t="str">
        <f>IFERROR(IF(ventas_b_mes1255[[#This Row],[CUIT]]="","-",VLOOKUP(ventas_b_mes1255[[#This Row],[CUIT]],Lista_CUIT[#All],2,0)),"CUIT NO CARGADO")</f>
        <v>-</v>
      </c>
      <c r="H801" s="99">
        <f>ventas_b_mes1255[[#This Row],[TOTAL]]/1.21</f>
        <v>0</v>
      </c>
      <c r="I801" s="64">
        <f>ventas_b_mes1255[[#This Row],[IMPORTE NETO]]*0.21</f>
        <v>0</v>
      </c>
      <c r="J801" s="140"/>
      <c r="K801" s="140"/>
      <c r="L801" s="140"/>
      <c r="M801" s="59"/>
    </row>
    <row r="802" spans="2:13" x14ac:dyDescent="0.25">
      <c r="B802" s="134"/>
      <c r="C802" s="135"/>
      <c r="D802" s="136"/>
      <c r="E802" s="137"/>
      <c r="F802" s="112"/>
      <c r="G802" s="1" t="str">
        <f>IFERROR(IF(ventas_b_mes1255[[#This Row],[CUIT]]="","-",VLOOKUP(ventas_b_mes1255[[#This Row],[CUIT]],Lista_CUIT[#All],2,0)),"CUIT NO CARGADO")</f>
        <v>-</v>
      </c>
      <c r="H802" s="99">
        <f>ventas_b_mes1255[[#This Row],[TOTAL]]/1.21</f>
        <v>0</v>
      </c>
      <c r="I802" s="64">
        <f>ventas_b_mes1255[[#This Row],[IMPORTE NETO]]*0.21</f>
        <v>0</v>
      </c>
      <c r="J802" s="140"/>
      <c r="K802" s="140"/>
      <c r="L802" s="140"/>
      <c r="M802" s="59"/>
    </row>
    <row r="803" spans="2:13" x14ac:dyDescent="0.25">
      <c r="B803" s="134"/>
      <c r="C803" s="135"/>
      <c r="D803" s="136"/>
      <c r="E803" s="137"/>
      <c r="F803" s="112"/>
      <c r="G803" s="1" t="str">
        <f>IFERROR(IF(ventas_b_mes1255[[#This Row],[CUIT]]="","-",VLOOKUP(ventas_b_mes1255[[#This Row],[CUIT]],Lista_CUIT[#All],2,0)),"CUIT NO CARGADO")</f>
        <v>-</v>
      </c>
      <c r="H803" s="99">
        <f>ventas_b_mes1255[[#This Row],[TOTAL]]/1.21</f>
        <v>0</v>
      </c>
      <c r="I803" s="64">
        <f>ventas_b_mes1255[[#This Row],[IMPORTE NETO]]*0.21</f>
        <v>0</v>
      </c>
      <c r="J803" s="140"/>
      <c r="K803" s="140"/>
      <c r="L803" s="140"/>
      <c r="M803" s="59"/>
    </row>
    <row r="804" spans="2:13" x14ac:dyDescent="0.25">
      <c r="B804" s="134"/>
      <c r="C804" s="135"/>
      <c r="D804" s="136"/>
      <c r="E804" s="137"/>
      <c r="F804" s="112"/>
      <c r="G804" s="1" t="str">
        <f>IFERROR(IF(ventas_b_mes1255[[#This Row],[CUIT]]="","-",VLOOKUP(ventas_b_mes1255[[#This Row],[CUIT]],Lista_CUIT[#All],2,0)),"CUIT NO CARGADO")</f>
        <v>-</v>
      </c>
      <c r="H804" s="99">
        <f>ventas_b_mes1255[[#This Row],[TOTAL]]/1.21</f>
        <v>0</v>
      </c>
      <c r="I804" s="64">
        <f>ventas_b_mes1255[[#This Row],[IMPORTE NETO]]*0.21</f>
        <v>0</v>
      </c>
      <c r="J804" s="140"/>
      <c r="K804" s="140"/>
      <c r="L804" s="140"/>
      <c r="M804" s="59"/>
    </row>
    <row r="805" spans="2:13" x14ac:dyDescent="0.25">
      <c r="B805" s="134"/>
      <c r="C805" s="135"/>
      <c r="D805" s="136"/>
      <c r="E805" s="137"/>
      <c r="F805" s="112"/>
      <c r="G805" s="1" t="str">
        <f>IFERROR(IF(ventas_b_mes1255[[#This Row],[CUIT]]="","-",VLOOKUP(ventas_b_mes1255[[#This Row],[CUIT]],Lista_CUIT[#All],2,0)),"CUIT NO CARGADO")</f>
        <v>-</v>
      </c>
      <c r="H805" s="99">
        <f>ventas_b_mes1255[[#This Row],[TOTAL]]/1.21</f>
        <v>0</v>
      </c>
      <c r="I805" s="64">
        <f>ventas_b_mes1255[[#This Row],[IMPORTE NETO]]*0.21</f>
        <v>0</v>
      </c>
      <c r="J805" s="140"/>
      <c r="K805" s="140"/>
      <c r="L805" s="140"/>
      <c r="M805" s="59"/>
    </row>
    <row r="806" spans="2:13" x14ac:dyDescent="0.25">
      <c r="B806" s="134"/>
      <c r="C806" s="135"/>
      <c r="D806" s="136"/>
      <c r="E806" s="137"/>
      <c r="F806" s="112"/>
      <c r="G806" s="1" t="str">
        <f>IFERROR(IF(ventas_b_mes1255[[#This Row],[CUIT]]="","-",VLOOKUP(ventas_b_mes1255[[#This Row],[CUIT]],Lista_CUIT[#All],2,0)),"CUIT NO CARGADO")</f>
        <v>-</v>
      </c>
      <c r="H806" s="99">
        <f>ventas_b_mes1255[[#This Row],[TOTAL]]/1.21</f>
        <v>0</v>
      </c>
      <c r="I806" s="64">
        <f>ventas_b_mes1255[[#This Row],[IMPORTE NETO]]*0.21</f>
        <v>0</v>
      </c>
      <c r="J806" s="140"/>
      <c r="K806" s="140"/>
      <c r="L806" s="140"/>
      <c r="M806" s="59"/>
    </row>
    <row r="807" spans="2:13" x14ac:dyDescent="0.25">
      <c r="B807" s="134"/>
      <c r="C807" s="135"/>
      <c r="D807" s="136"/>
      <c r="E807" s="137"/>
      <c r="F807" s="112"/>
      <c r="G807" s="1" t="str">
        <f>IFERROR(IF(ventas_b_mes1255[[#This Row],[CUIT]]="","-",VLOOKUP(ventas_b_mes1255[[#This Row],[CUIT]],Lista_CUIT[#All],2,0)),"CUIT NO CARGADO")</f>
        <v>-</v>
      </c>
      <c r="H807" s="99">
        <f>ventas_b_mes1255[[#This Row],[TOTAL]]/1.21</f>
        <v>0</v>
      </c>
      <c r="I807" s="64">
        <f>ventas_b_mes1255[[#This Row],[IMPORTE NETO]]*0.21</f>
        <v>0</v>
      </c>
      <c r="J807" s="140"/>
      <c r="K807" s="140"/>
      <c r="L807" s="140"/>
      <c r="M807" s="59"/>
    </row>
    <row r="808" spans="2:13" x14ac:dyDescent="0.25">
      <c r="B808" s="134"/>
      <c r="C808" s="135"/>
      <c r="D808" s="136"/>
      <c r="E808" s="137"/>
      <c r="F808" s="112"/>
      <c r="G808" s="1" t="str">
        <f>IFERROR(IF(ventas_b_mes1255[[#This Row],[CUIT]]="","-",VLOOKUP(ventas_b_mes1255[[#This Row],[CUIT]],Lista_CUIT[#All],2,0)),"CUIT NO CARGADO")</f>
        <v>-</v>
      </c>
      <c r="H808" s="99">
        <f>ventas_b_mes1255[[#This Row],[TOTAL]]/1.21</f>
        <v>0</v>
      </c>
      <c r="I808" s="64">
        <f>ventas_b_mes1255[[#This Row],[IMPORTE NETO]]*0.21</f>
        <v>0</v>
      </c>
      <c r="J808" s="140"/>
      <c r="K808" s="140"/>
      <c r="L808" s="140"/>
      <c r="M808" s="59"/>
    </row>
    <row r="809" spans="2:13" x14ac:dyDescent="0.25">
      <c r="B809" s="134"/>
      <c r="C809" s="135"/>
      <c r="D809" s="136"/>
      <c r="E809" s="137"/>
      <c r="F809" s="112"/>
      <c r="G809" s="1" t="str">
        <f>IFERROR(IF(ventas_b_mes1255[[#This Row],[CUIT]]="","-",VLOOKUP(ventas_b_mes1255[[#This Row],[CUIT]],Lista_CUIT[#All],2,0)),"CUIT NO CARGADO")</f>
        <v>-</v>
      </c>
      <c r="H809" s="99">
        <f>ventas_b_mes1255[[#This Row],[TOTAL]]/1.21</f>
        <v>0</v>
      </c>
      <c r="I809" s="64">
        <f>ventas_b_mes1255[[#This Row],[IMPORTE NETO]]*0.21</f>
        <v>0</v>
      </c>
      <c r="J809" s="140"/>
      <c r="K809" s="140"/>
      <c r="L809" s="140"/>
      <c r="M809" s="59"/>
    </row>
    <row r="810" spans="2:13" x14ac:dyDescent="0.25">
      <c r="B810" s="134"/>
      <c r="C810" s="135"/>
      <c r="D810" s="136"/>
      <c r="E810" s="137"/>
      <c r="F810" s="112"/>
      <c r="G810" s="1" t="str">
        <f>IFERROR(IF(ventas_b_mes1255[[#This Row],[CUIT]]="","-",VLOOKUP(ventas_b_mes1255[[#This Row],[CUIT]],Lista_CUIT[#All],2,0)),"CUIT NO CARGADO")</f>
        <v>-</v>
      </c>
      <c r="H810" s="99">
        <f>ventas_b_mes1255[[#This Row],[TOTAL]]/1.21</f>
        <v>0</v>
      </c>
      <c r="I810" s="64">
        <f>ventas_b_mes1255[[#This Row],[IMPORTE NETO]]*0.21</f>
        <v>0</v>
      </c>
      <c r="J810" s="140"/>
      <c r="K810" s="140"/>
      <c r="L810" s="140"/>
      <c r="M810" s="59"/>
    </row>
    <row r="811" spans="2:13" x14ac:dyDescent="0.25">
      <c r="B811" s="134"/>
      <c r="C811" s="135"/>
      <c r="D811" s="136"/>
      <c r="E811" s="137"/>
      <c r="F811" s="112"/>
      <c r="G811" s="1" t="str">
        <f>IFERROR(IF(ventas_b_mes1255[[#This Row],[CUIT]]="","-",VLOOKUP(ventas_b_mes1255[[#This Row],[CUIT]],Lista_CUIT[#All],2,0)),"CUIT NO CARGADO")</f>
        <v>-</v>
      </c>
      <c r="H811" s="99">
        <f>ventas_b_mes1255[[#This Row],[TOTAL]]/1.21</f>
        <v>0</v>
      </c>
      <c r="I811" s="64">
        <f>ventas_b_mes1255[[#This Row],[IMPORTE NETO]]*0.21</f>
        <v>0</v>
      </c>
      <c r="J811" s="140"/>
      <c r="K811" s="140"/>
      <c r="L811" s="140"/>
      <c r="M811" s="59"/>
    </row>
    <row r="812" spans="2:13" x14ac:dyDescent="0.25">
      <c r="B812" s="134"/>
      <c r="C812" s="135"/>
      <c r="D812" s="136"/>
      <c r="E812" s="137"/>
      <c r="F812" s="112"/>
      <c r="G812" s="1" t="str">
        <f>IFERROR(IF(ventas_b_mes1255[[#This Row],[CUIT]]="","-",VLOOKUP(ventas_b_mes1255[[#This Row],[CUIT]],Lista_CUIT[#All],2,0)),"CUIT NO CARGADO")</f>
        <v>-</v>
      </c>
      <c r="H812" s="99">
        <f>ventas_b_mes1255[[#This Row],[TOTAL]]/1.21</f>
        <v>0</v>
      </c>
      <c r="I812" s="64">
        <f>ventas_b_mes1255[[#This Row],[IMPORTE NETO]]*0.21</f>
        <v>0</v>
      </c>
      <c r="J812" s="140"/>
      <c r="K812" s="140"/>
      <c r="L812" s="140"/>
      <c r="M812" s="59"/>
    </row>
    <row r="813" spans="2:13" x14ac:dyDescent="0.25">
      <c r="B813" s="134"/>
      <c r="C813" s="135"/>
      <c r="D813" s="136"/>
      <c r="E813" s="137"/>
      <c r="F813" s="112"/>
      <c r="G813" s="1" t="str">
        <f>IFERROR(IF(ventas_b_mes1255[[#This Row],[CUIT]]="","-",VLOOKUP(ventas_b_mes1255[[#This Row],[CUIT]],Lista_CUIT[#All],2,0)),"CUIT NO CARGADO")</f>
        <v>-</v>
      </c>
      <c r="H813" s="99">
        <f>ventas_b_mes1255[[#This Row],[TOTAL]]/1.21</f>
        <v>0</v>
      </c>
      <c r="I813" s="64">
        <f>ventas_b_mes1255[[#This Row],[IMPORTE NETO]]*0.21</f>
        <v>0</v>
      </c>
      <c r="J813" s="140"/>
      <c r="K813" s="140"/>
      <c r="L813" s="140"/>
      <c r="M813" s="59"/>
    </row>
    <row r="814" spans="2:13" x14ac:dyDescent="0.25">
      <c r="B814" s="134"/>
      <c r="C814" s="135"/>
      <c r="D814" s="136"/>
      <c r="E814" s="137"/>
      <c r="F814" s="112"/>
      <c r="G814" s="1" t="str">
        <f>IFERROR(IF(ventas_b_mes1255[[#This Row],[CUIT]]="","-",VLOOKUP(ventas_b_mes1255[[#This Row],[CUIT]],Lista_CUIT[#All],2,0)),"CUIT NO CARGADO")</f>
        <v>-</v>
      </c>
      <c r="H814" s="99">
        <f>ventas_b_mes1255[[#This Row],[TOTAL]]/1.21</f>
        <v>0</v>
      </c>
      <c r="I814" s="64">
        <f>ventas_b_mes1255[[#This Row],[IMPORTE NETO]]*0.21</f>
        <v>0</v>
      </c>
      <c r="J814" s="140"/>
      <c r="K814" s="140"/>
      <c r="L814" s="140"/>
      <c r="M814" s="59"/>
    </row>
    <row r="815" spans="2:13" x14ac:dyDescent="0.25">
      <c r="B815" s="134"/>
      <c r="C815" s="135"/>
      <c r="D815" s="136"/>
      <c r="E815" s="137"/>
      <c r="F815" s="112"/>
      <c r="G815" s="1" t="str">
        <f>IFERROR(IF(ventas_b_mes1255[[#This Row],[CUIT]]="","-",VLOOKUP(ventas_b_mes1255[[#This Row],[CUIT]],Lista_CUIT[#All],2,0)),"CUIT NO CARGADO")</f>
        <v>-</v>
      </c>
      <c r="H815" s="99">
        <f>ventas_b_mes1255[[#This Row],[TOTAL]]/1.21</f>
        <v>0</v>
      </c>
      <c r="I815" s="64">
        <f>ventas_b_mes1255[[#This Row],[IMPORTE NETO]]*0.21</f>
        <v>0</v>
      </c>
      <c r="J815" s="140"/>
      <c r="K815" s="140"/>
      <c r="L815" s="140"/>
      <c r="M815" s="59"/>
    </row>
    <row r="816" spans="2:13" x14ac:dyDescent="0.25">
      <c r="B816" s="134"/>
      <c r="C816" s="135"/>
      <c r="D816" s="136"/>
      <c r="E816" s="137"/>
      <c r="F816" s="112"/>
      <c r="G816" s="1" t="str">
        <f>IFERROR(IF(ventas_b_mes1255[[#This Row],[CUIT]]="","-",VLOOKUP(ventas_b_mes1255[[#This Row],[CUIT]],Lista_CUIT[#All],2,0)),"CUIT NO CARGADO")</f>
        <v>-</v>
      </c>
      <c r="H816" s="99">
        <f>ventas_b_mes1255[[#This Row],[TOTAL]]/1.21</f>
        <v>0</v>
      </c>
      <c r="I816" s="64">
        <f>ventas_b_mes1255[[#This Row],[IMPORTE NETO]]*0.21</f>
        <v>0</v>
      </c>
      <c r="J816" s="140"/>
      <c r="K816" s="140"/>
      <c r="L816" s="140"/>
      <c r="M816" s="59"/>
    </row>
    <row r="817" spans="2:13" x14ac:dyDescent="0.25">
      <c r="B817" s="134"/>
      <c r="C817" s="135"/>
      <c r="D817" s="136"/>
      <c r="E817" s="137"/>
      <c r="F817" s="112"/>
      <c r="G817" s="1" t="str">
        <f>IFERROR(IF(ventas_b_mes1255[[#This Row],[CUIT]]="","-",VLOOKUP(ventas_b_mes1255[[#This Row],[CUIT]],Lista_CUIT[#All],2,0)),"CUIT NO CARGADO")</f>
        <v>-</v>
      </c>
      <c r="H817" s="99">
        <f>ventas_b_mes1255[[#This Row],[TOTAL]]/1.21</f>
        <v>0</v>
      </c>
      <c r="I817" s="64">
        <f>ventas_b_mes1255[[#This Row],[IMPORTE NETO]]*0.21</f>
        <v>0</v>
      </c>
      <c r="J817" s="140"/>
      <c r="K817" s="140"/>
      <c r="L817" s="140"/>
      <c r="M817" s="59"/>
    </row>
    <row r="818" spans="2:13" x14ac:dyDescent="0.25">
      <c r="B818" s="134"/>
      <c r="C818" s="135"/>
      <c r="D818" s="136"/>
      <c r="E818" s="137"/>
      <c r="F818" s="112"/>
      <c r="G818" s="1" t="str">
        <f>IFERROR(IF(ventas_b_mes1255[[#This Row],[CUIT]]="","-",VLOOKUP(ventas_b_mes1255[[#This Row],[CUIT]],Lista_CUIT[#All],2,0)),"CUIT NO CARGADO")</f>
        <v>-</v>
      </c>
      <c r="H818" s="99">
        <f>ventas_b_mes1255[[#This Row],[TOTAL]]/1.21</f>
        <v>0</v>
      </c>
      <c r="I818" s="64">
        <f>ventas_b_mes1255[[#This Row],[IMPORTE NETO]]*0.21</f>
        <v>0</v>
      </c>
      <c r="J818" s="140"/>
      <c r="K818" s="140"/>
      <c r="L818" s="140"/>
      <c r="M818" s="59"/>
    </row>
    <row r="819" spans="2:13" x14ac:dyDescent="0.25">
      <c r="B819" s="134"/>
      <c r="C819" s="135"/>
      <c r="D819" s="136"/>
      <c r="E819" s="137"/>
      <c r="F819" s="112"/>
      <c r="G819" s="1" t="str">
        <f>IFERROR(IF(ventas_b_mes1255[[#This Row],[CUIT]]="","-",VLOOKUP(ventas_b_mes1255[[#This Row],[CUIT]],Lista_CUIT[#All],2,0)),"CUIT NO CARGADO")</f>
        <v>-</v>
      </c>
      <c r="H819" s="99">
        <f>ventas_b_mes1255[[#This Row],[TOTAL]]/1.21</f>
        <v>0</v>
      </c>
      <c r="I819" s="64">
        <f>ventas_b_mes1255[[#This Row],[IMPORTE NETO]]*0.21</f>
        <v>0</v>
      </c>
      <c r="J819" s="140"/>
      <c r="K819" s="140"/>
      <c r="L819" s="140"/>
      <c r="M819" s="59"/>
    </row>
    <row r="820" spans="2:13" x14ac:dyDescent="0.25">
      <c r="B820" s="134"/>
      <c r="C820" s="135"/>
      <c r="D820" s="136"/>
      <c r="E820" s="137"/>
      <c r="F820" s="112"/>
      <c r="G820" s="1" t="str">
        <f>IFERROR(IF(ventas_b_mes1255[[#This Row],[CUIT]]="","-",VLOOKUP(ventas_b_mes1255[[#This Row],[CUIT]],Lista_CUIT[#All],2,0)),"CUIT NO CARGADO")</f>
        <v>-</v>
      </c>
      <c r="H820" s="99">
        <f>ventas_b_mes1255[[#This Row],[TOTAL]]/1.21</f>
        <v>0</v>
      </c>
      <c r="I820" s="64">
        <f>ventas_b_mes1255[[#This Row],[IMPORTE NETO]]*0.21</f>
        <v>0</v>
      </c>
      <c r="J820" s="140"/>
      <c r="K820" s="140"/>
      <c r="L820" s="140"/>
      <c r="M820" s="59"/>
    </row>
    <row r="821" spans="2:13" x14ac:dyDescent="0.25">
      <c r="B821" s="134"/>
      <c r="C821" s="135"/>
      <c r="D821" s="136"/>
      <c r="E821" s="137"/>
      <c r="F821" s="112"/>
      <c r="G821" s="1" t="str">
        <f>IFERROR(IF(ventas_b_mes1255[[#This Row],[CUIT]]="","-",VLOOKUP(ventas_b_mes1255[[#This Row],[CUIT]],Lista_CUIT[#All],2,0)),"CUIT NO CARGADO")</f>
        <v>-</v>
      </c>
      <c r="H821" s="99">
        <f>ventas_b_mes1255[[#This Row],[TOTAL]]/1.21</f>
        <v>0</v>
      </c>
      <c r="I821" s="64">
        <f>ventas_b_mes1255[[#This Row],[IMPORTE NETO]]*0.21</f>
        <v>0</v>
      </c>
      <c r="J821" s="140"/>
      <c r="K821" s="140"/>
      <c r="L821" s="140"/>
      <c r="M821" s="59"/>
    </row>
    <row r="822" spans="2:13" x14ac:dyDescent="0.25">
      <c r="B822" s="134"/>
      <c r="C822" s="135"/>
      <c r="D822" s="136"/>
      <c r="E822" s="137"/>
      <c r="F822" s="112"/>
      <c r="G822" s="1" t="str">
        <f>IFERROR(IF(ventas_b_mes1255[[#This Row],[CUIT]]="","-",VLOOKUP(ventas_b_mes1255[[#This Row],[CUIT]],Lista_CUIT[#All],2,0)),"CUIT NO CARGADO")</f>
        <v>-</v>
      </c>
      <c r="H822" s="99">
        <f>ventas_b_mes1255[[#This Row],[TOTAL]]/1.21</f>
        <v>0</v>
      </c>
      <c r="I822" s="64">
        <f>ventas_b_mes1255[[#This Row],[IMPORTE NETO]]*0.21</f>
        <v>0</v>
      </c>
      <c r="J822" s="140"/>
      <c r="K822" s="140"/>
      <c r="L822" s="140"/>
      <c r="M822" s="59"/>
    </row>
    <row r="823" spans="2:13" x14ac:dyDescent="0.25">
      <c r="B823" s="134"/>
      <c r="C823" s="135"/>
      <c r="D823" s="136"/>
      <c r="E823" s="137"/>
      <c r="F823" s="112"/>
      <c r="G823" s="1" t="str">
        <f>IFERROR(IF(ventas_b_mes1255[[#This Row],[CUIT]]="","-",VLOOKUP(ventas_b_mes1255[[#This Row],[CUIT]],Lista_CUIT[#All],2,0)),"CUIT NO CARGADO")</f>
        <v>-</v>
      </c>
      <c r="H823" s="99">
        <f>ventas_b_mes1255[[#This Row],[TOTAL]]/1.21</f>
        <v>0</v>
      </c>
      <c r="I823" s="64">
        <f>ventas_b_mes1255[[#This Row],[IMPORTE NETO]]*0.21</f>
        <v>0</v>
      </c>
      <c r="J823" s="140"/>
      <c r="K823" s="140"/>
      <c r="L823" s="140"/>
      <c r="M823" s="59"/>
    </row>
    <row r="824" spans="2:13" x14ac:dyDescent="0.25">
      <c r="B824" s="134"/>
      <c r="C824" s="135"/>
      <c r="D824" s="136"/>
      <c r="E824" s="137"/>
      <c r="F824" s="112"/>
      <c r="G824" s="1" t="str">
        <f>IFERROR(IF(ventas_b_mes1255[[#This Row],[CUIT]]="","-",VLOOKUP(ventas_b_mes1255[[#This Row],[CUIT]],Lista_CUIT[#All],2,0)),"CUIT NO CARGADO")</f>
        <v>-</v>
      </c>
      <c r="H824" s="99">
        <f>ventas_b_mes1255[[#This Row],[TOTAL]]/1.21</f>
        <v>0</v>
      </c>
      <c r="I824" s="64">
        <f>ventas_b_mes1255[[#This Row],[IMPORTE NETO]]*0.21</f>
        <v>0</v>
      </c>
      <c r="J824" s="140"/>
      <c r="K824" s="140"/>
      <c r="L824" s="140"/>
      <c r="M824" s="59"/>
    </row>
    <row r="825" spans="2:13" x14ac:dyDescent="0.25">
      <c r="B825" s="134"/>
      <c r="C825" s="135"/>
      <c r="D825" s="136"/>
      <c r="E825" s="137"/>
      <c r="F825" s="112"/>
      <c r="G825" s="1" t="str">
        <f>IFERROR(IF(ventas_b_mes1255[[#This Row],[CUIT]]="","-",VLOOKUP(ventas_b_mes1255[[#This Row],[CUIT]],Lista_CUIT[#All],2,0)),"CUIT NO CARGADO")</f>
        <v>-</v>
      </c>
      <c r="H825" s="99">
        <f>ventas_b_mes1255[[#This Row],[TOTAL]]/1.21</f>
        <v>0</v>
      </c>
      <c r="I825" s="64">
        <f>ventas_b_mes1255[[#This Row],[IMPORTE NETO]]*0.21</f>
        <v>0</v>
      </c>
      <c r="J825" s="140"/>
      <c r="K825" s="140"/>
      <c r="L825" s="140"/>
      <c r="M825" s="59"/>
    </row>
    <row r="826" spans="2:13" x14ac:dyDescent="0.25">
      <c r="B826" s="134"/>
      <c r="C826" s="135"/>
      <c r="D826" s="136"/>
      <c r="E826" s="137"/>
      <c r="F826" s="112"/>
      <c r="G826" s="1" t="str">
        <f>IFERROR(IF(ventas_b_mes1255[[#This Row],[CUIT]]="","-",VLOOKUP(ventas_b_mes1255[[#This Row],[CUIT]],Lista_CUIT[#All],2,0)),"CUIT NO CARGADO")</f>
        <v>-</v>
      </c>
      <c r="H826" s="99">
        <f>ventas_b_mes1255[[#This Row],[TOTAL]]/1.21</f>
        <v>0</v>
      </c>
      <c r="I826" s="64">
        <f>ventas_b_mes1255[[#This Row],[IMPORTE NETO]]*0.21</f>
        <v>0</v>
      </c>
      <c r="J826" s="140"/>
      <c r="K826" s="140"/>
      <c r="L826" s="140"/>
      <c r="M826" s="59"/>
    </row>
    <row r="827" spans="2:13" x14ac:dyDescent="0.25">
      <c r="B827" s="134"/>
      <c r="C827" s="135"/>
      <c r="D827" s="136"/>
      <c r="E827" s="137"/>
      <c r="F827" s="112"/>
      <c r="G827" s="1" t="str">
        <f>IFERROR(IF(ventas_b_mes1255[[#This Row],[CUIT]]="","-",VLOOKUP(ventas_b_mes1255[[#This Row],[CUIT]],Lista_CUIT[#All],2,0)),"CUIT NO CARGADO")</f>
        <v>-</v>
      </c>
      <c r="H827" s="99">
        <f>ventas_b_mes1255[[#This Row],[TOTAL]]/1.21</f>
        <v>0</v>
      </c>
      <c r="I827" s="64">
        <f>ventas_b_mes1255[[#This Row],[IMPORTE NETO]]*0.21</f>
        <v>0</v>
      </c>
      <c r="J827" s="140"/>
      <c r="K827" s="140"/>
      <c r="L827" s="140"/>
      <c r="M827" s="59"/>
    </row>
    <row r="828" spans="2:13" x14ac:dyDescent="0.25">
      <c r="B828" s="134"/>
      <c r="C828" s="135"/>
      <c r="D828" s="136"/>
      <c r="E828" s="137"/>
      <c r="F828" s="112"/>
      <c r="G828" s="1" t="str">
        <f>IFERROR(IF(ventas_b_mes1255[[#This Row],[CUIT]]="","-",VLOOKUP(ventas_b_mes1255[[#This Row],[CUIT]],Lista_CUIT[#All],2,0)),"CUIT NO CARGADO")</f>
        <v>-</v>
      </c>
      <c r="H828" s="99">
        <f>ventas_b_mes1255[[#This Row],[TOTAL]]/1.21</f>
        <v>0</v>
      </c>
      <c r="I828" s="64">
        <f>ventas_b_mes1255[[#This Row],[IMPORTE NETO]]*0.21</f>
        <v>0</v>
      </c>
      <c r="J828" s="140"/>
      <c r="K828" s="140"/>
      <c r="L828" s="140"/>
      <c r="M828" s="59"/>
    </row>
    <row r="829" spans="2:13" x14ac:dyDescent="0.25">
      <c r="B829" s="134"/>
      <c r="C829" s="135"/>
      <c r="D829" s="136"/>
      <c r="E829" s="137"/>
      <c r="F829" s="112"/>
      <c r="G829" s="1" t="str">
        <f>IFERROR(IF(ventas_b_mes1255[[#This Row],[CUIT]]="","-",VLOOKUP(ventas_b_mes1255[[#This Row],[CUIT]],Lista_CUIT[#All],2,0)),"CUIT NO CARGADO")</f>
        <v>-</v>
      </c>
      <c r="H829" s="99">
        <f>ventas_b_mes1255[[#This Row],[TOTAL]]/1.21</f>
        <v>0</v>
      </c>
      <c r="I829" s="64">
        <f>ventas_b_mes1255[[#This Row],[IMPORTE NETO]]*0.21</f>
        <v>0</v>
      </c>
      <c r="J829" s="140"/>
      <c r="K829" s="140"/>
      <c r="L829" s="140"/>
      <c r="M829" s="59"/>
    </row>
    <row r="830" spans="2:13" x14ac:dyDescent="0.25">
      <c r="B830" s="134"/>
      <c r="C830" s="135"/>
      <c r="D830" s="136"/>
      <c r="E830" s="137"/>
      <c r="F830" s="112"/>
      <c r="G830" s="1" t="str">
        <f>IFERROR(IF(ventas_b_mes1255[[#This Row],[CUIT]]="","-",VLOOKUP(ventas_b_mes1255[[#This Row],[CUIT]],Lista_CUIT[#All],2,0)),"CUIT NO CARGADO")</f>
        <v>-</v>
      </c>
      <c r="H830" s="99">
        <f>ventas_b_mes1255[[#This Row],[TOTAL]]/1.21</f>
        <v>0</v>
      </c>
      <c r="I830" s="64">
        <f>ventas_b_mes1255[[#This Row],[IMPORTE NETO]]*0.21</f>
        <v>0</v>
      </c>
      <c r="J830" s="140"/>
      <c r="K830" s="140"/>
      <c r="L830" s="140"/>
      <c r="M830" s="59"/>
    </row>
    <row r="831" spans="2:13" x14ac:dyDescent="0.25">
      <c r="B831" s="134"/>
      <c r="C831" s="135"/>
      <c r="D831" s="136"/>
      <c r="E831" s="137"/>
      <c r="F831" s="112"/>
      <c r="G831" s="1" t="str">
        <f>IFERROR(IF(ventas_b_mes1255[[#This Row],[CUIT]]="","-",VLOOKUP(ventas_b_mes1255[[#This Row],[CUIT]],Lista_CUIT[#All],2,0)),"CUIT NO CARGADO")</f>
        <v>-</v>
      </c>
      <c r="H831" s="99">
        <f>ventas_b_mes1255[[#This Row],[TOTAL]]/1.21</f>
        <v>0</v>
      </c>
      <c r="I831" s="64">
        <f>ventas_b_mes1255[[#This Row],[IMPORTE NETO]]*0.21</f>
        <v>0</v>
      </c>
      <c r="J831" s="140"/>
      <c r="K831" s="140"/>
      <c r="L831" s="140"/>
      <c r="M831" s="59"/>
    </row>
    <row r="832" spans="2:13" x14ac:dyDescent="0.25">
      <c r="B832" s="134"/>
      <c r="C832" s="135"/>
      <c r="D832" s="136"/>
      <c r="E832" s="137"/>
      <c r="F832" s="112"/>
      <c r="G832" s="1" t="str">
        <f>IFERROR(IF(ventas_b_mes1255[[#This Row],[CUIT]]="","-",VLOOKUP(ventas_b_mes1255[[#This Row],[CUIT]],Lista_CUIT[#All],2,0)),"CUIT NO CARGADO")</f>
        <v>-</v>
      </c>
      <c r="H832" s="99">
        <f>ventas_b_mes1255[[#This Row],[TOTAL]]/1.21</f>
        <v>0</v>
      </c>
      <c r="I832" s="64">
        <f>ventas_b_mes1255[[#This Row],[IMPORTE NETO]]*0.21</f>
        <v>0</v>
      </c>
      <c r="J832" s="140"/>
      <c r="K832" s="140"/>
      <c r="L832" s="140"/>
      <c r="M832" s="59"/>
    </row>
    <row r="833" spans="2:13" x14ac:dyDescent="0.25">
      <c r="B833" s="134"/>
      <c r="C833" s="135"/>
      <c r="D833" s="136"/>
      <c r="E833" s="137"/>
      <c r="F833" s="112"/>
      <c r="G833" s="1" t="str">
        <f>IFERROR(IF(ventas_b_mes1255[[#This Row],[CUIT]]="","-",VLOOKUP(ventas_b_mes1255[[#This Row],[CUIT]],Lista_CUIT[#All],2,0)),"CUIT NO CARGADO")</f>
        <v>-</v>
      </c>
      <c r="H833" s="99">
        <f>ventas_b_mes1255[[#This Row],[TOTAL]]/1.21</f>
        <v>0</v>
      </c>
      <c r="I833" s="64">
        <f>ventas_b_mes1255[[#This Row],[IMPORTE NETO]]*0.21</f>
        <v>0</v>
      </c>
      <c r="J833" s="140"/>
      <c r="K833" s="140"/>
      <c r="L833" s="140"/>
      <c r="M833" s="59"/>
    </row>
    <row r="834" spans="2:13" x14ac:dyDescent="0.25">
      <c r="B834" s="134"/>
      <c r="C834" s="135"/>
      <c r="D834" s="136"/>
      <c r="E834" s="137"/>
      <c r="F834" s="112"/>
      <c r="G834" s="1" t="str">
        <f>IFERROR(IF(ventas_b_mes1255[[#This Row],[CUIT]]="","-",VLOOKUP(ventas_b_mes1255[[#This Row],[CUIT]],Lista_CUIT[#All],2,0)),"CUIT NO CARGADO")</f>
        <v>-</v>
      </c>
      <c r="H834" s="99">
        <f>ventas_b_mes1255[[#This Row],[TOTAL]]/1.21</f>
        <v>0</v>
      </c>
      <c r="I834" s="64">
        <f>ventas_b_mes1255[[#This Row],[IMPORTE NETO]]*0.21</f>
        <v>0</v>
      </c>
      <c r="J834" s="140"/>
      <c r="K834" s="140"/>
      <c r="L834" s="140"/>
      <c r="M834" s="59"/>
    </row>
    <row r="835" spans="2:13" x14ac:dyDescent="0.25">
      <c r="B835" s="134"/>
      <c r="C835" s="135"/>
      <c r="D835" s="136"/>
      <c r="E835" s="137"/>
      <c r="F835" s="112"/>
      <c r="G835" s="1" t="str">
        <f>IFERROR(IF(ventas_b_mes1255[[#This Row],[CUIT]]="","-",VLOOKUP(ventas_b_mes1255[[#This Row],[CUIT]],Lista_CUIT[#All],2,0)),"CUIT NO CARGADO")</f>
        <v>-</v>
      </c>
      <c r="H835" s="99">
        <f>ventas_b_mes1255[[#This Row],[TOTAL]]/1.21</f>
        <v>0</v>
      </c>
      <c r="I835" s="64">
        <f>ventas_b_mes1255[[#This Row],[IMPORTE NETO]]*0.21</f>
        <v>0</v>
      </c>
      <c r="J835" s="140"/>
      <c r="K835" s="140"/>
      <c r="L835" s="140"/>
      <c r="M835" s="59"/>
    </row>
    <row r="836" spans="2:13" x14ac:dyDescent="0.25">
      <c r="B836" s="134"/>
      <c r="C836" s="135"/>
      <c r="D836" s="136"/>
      <c r="E836" s="137"/>
      <c r="F836" s="112"/>
      <c r="G836" s="1" t="str">
        <f>IFERROR(IF(ventas_b_mes1255[[#This Row],[CUIT]]="","-",VLOOKUP(ventas_b_mes1255[[#This Row],[CUIT]],Lista_CUIT[#All],2,0)),"CUIT NO CARGADO")</f>
        <v>-</v>
      </c>
      <c r="H836" s="99">
        <f>ventas_b_mes1255[[#This Row],[TOTAL]]/1.21</f>
        <v>0</v>
      </c>
      <c r="I836" s="64">
        <f>ventas_b_mes1255[[#This Row],[IMPORTE NETO]]*0.21</f>
        <v>0</v>
      </c>
      <c r="J836" s="140"/>
      <c r="K836" s="140"/>
      <c r="L836" s="140"/>
      <c r="M836" s="59"/>
    </row>
    <row r="837" spans="2:13" x14ac:dyDescent="0.25">
      <c r="B837" s="134"/>
      <c r="C837" s="135"/>
      <c r="D837" s="136"/>
      <c r="E837" s="137"/>
      <c r="F837" s="112"/>
      <c r="G837" s="1" t="str">
        <f>IFERROR(IF(ventas_b_mes1255[[#This Row],[CUIT]]="","-",VLOOKUP(ventas_b_mes1255[[#This Row],[CUIT]],Lista_CUIT[#All],2,0)),"CUIT NO CARGADO")</f>
        <v>-</v>
      </c>
      <c r="H837" s="99">
        <f>ventas_b_mes1255[[#This Row],[TOTAL]]/1.21</f>
        <v>0</v>
      </c>
      <c r="I837" s="64">
        <f>ventas_b_mes1255[[#This Row],[IMPORTE NETO]]*0.21</f>
        <v>0</v>
      </c>
      <c r="J837" s="140"/>
      <c r="K837" s="140"/>
      <c r="L837" s="140"/>
      <c r="M837" s="59"/>
    </row>
    <row r="838" spans="2:13" x14ac:dyDescent="0.25">
      <c r="B838" s="134"/>
      <c r="C838" s="135"/>
      <c r="D838" s="136"/>
      <c r="E838" s="137"/>
      <c r="F838" s="112"/>
      <c r="G838" s="1" t="str">
        <f>IFERROR(IF(ventas_b_mes1255[[#This Row],[CUIT]]="","-",VLOOKUP(ventas_b_mes1255[[#This Row],[CUIT]],Lista_CUIT[#All],2,0)),"CUIT NO CARGADO")</f>
        <v>-</v>
      </c>
      <c r="H838" s="99">
        <f>ventas_b_mes1255[[#This Row],[TOTAL]]/1.21</f>
        <v>0</v>
      </c>
      <c r="I838" s="64">
        <f>ventas_b_mes1255[[#This Row],[IMPORTE NETO]]*0.21</f>
        <v>0</v>
      </c>
      <c r="J838" s="140"/>
      <c r="K838" s="140"/>
      <c r="L838" s="140"/>
      <c r="M838" s="59"/>
    </row>
    <row r="839" spans="2:13" x14ac:dyDescent="0.25">
      <c r="B839" s="134"/>
      <c r="C839" s="135"/>
      <c r="D839" s="136"/>
      <c r="E839" s="137"/>
      <c r="F839" s="112"/>
      <c r="G839" s="1" t="str">
        <f>IFERROR(IF(ventas_b_mes1255[[#This Row],[CUIT]]="","-",VLOOKUP(ventas_b_mes1255[[#This Row],[CUIT]],Lista_CUIT[#All],2,0)),"CUIT NO CARGADO")</f>
        <v>-</v>
      </c>
      <c r="H839" s="99">
        <f>ventas_b_mes1255[[#This Row],[TOTAL]]/1.21</f>
        <v>0</v>
      </c>
      <c r="I839" s="64">
        <f>ventas_b_mes1255[[#This Row],[IMPORTE NETO]]*0.21</f>
        <v>0</v>
      </c>
      <c r="J839" s="140"/>
      <c r="K839" s="140"/>
      <c r="L839" s="140"/>
      <c r="M839" s="59"/>
    </row>
    <row r="840" spans="2:13" x14ac:dyDescent="0.25">
      <c r="B840" s="134"/>
      <c r="C840" s="135"/>
      <c r="D840" s="136"/>
      <c r="E840" s="137"/>
      <c r="F840" s="112"/>
      <c r="G840" s="1" t="str">
        <f>IFERROR(IF(ventas_b_mes1255[[#This Row],[CUIT]]="","-",VLOOKUP(ventas_b_mes1255[[#This Row],[CUIT]],Lista_CUIT[#All],2,0)),"CUIT NO CARGADO")</f>
        <v>-</v>
      </c>
      <c r="H840" s="99">
        <f>ventas_b_mes1255[[#This Row],[TOTAL]]/1.21</f>
        <v>0</v>
      </c>
      <c r="I840" s="64">
        <f>ventas_b_mes1255[[#This Row],[IMPORTE NETO]]*0.21</f>
        <v>0</v>
      </c>
      <c r="J840" s="140"/>
      <c r="K840" s="140"/>
      <c r="L840" s="140"/>
      <c r="M840" s="59"/>
    </row>
    <row r="841" spans="2:13" x14ac:dyDescent="0.25">
      <c r="B841" s="134"/>
      <c r="C841" s="135"/>
      <c r="D841" s="136"/>
      <c r="E841" s="137"/>
      <c r="F841" s="112"/>
      <c r="G841" s="1" t="str">
        <f>IFERROR(IF(ventas_b_mes1255[[#This Row],[CUIT]]="","-",VLOOKUP(ventas_b_mes1255[[#This Row],[CUIT]],Lista_CUIT[#All],2,0)),"CUIT NO CARGADO")</f>
        <v>-</v>
      </c>
      <c r="H841" s="99">
        <f>ventas_b_mes1255[[#This Row],[TOTAL]]/1.21</f>
        <v>0</v>
      </c>
      <c r="I841" s="64">
        <f>ventas_b_mes1255[[#This Row],[IMPORTE NETO]]*0.21</f>
        <v>0</v>
      </c>
      <c r="J841" s="140"/>
      <c r="K841" s="140"/>
      <c r="L841" s="140"/>
      <c r="M841" s="59"/>
    </row>
    <row r="842" spans="2:13" x14ac:dyDescent="0.25">
      <c r="B842" s="134"/>
      <c r="C842" s="135"/>
      <c r="D842" s="136"/>
      <c r="E842" s="137"/>
      <c r="F842" s="112"/>
      <c r="G842" s="1" t="str">
        <f>IFERROR(IF(ventas_b_mes1255[[#This Row],[CUIT]]="","-",VLOOKUP(ventas_b_mes1255[[#This Row],[CUIT]],Lista_CUIT[#All],2,0)),"CUIT NO CARGADO")</f>
        <v>-</v>
      </c>
      <c r="H842" s="99">
        <f>ventas_b_mes1255[[#This Row],[TOTAL]]/1.21</f>
        <v>0</v>
      </c>
      <c r="I842" s="64">
        <f>ventas_b_mes1255[[#This Row],[IMPORTE NETO]]*0.21</f>
        <v>0</v>
      </c>
      <c r="J842" s="140"/>
      <c r="K842" s="140"/>
      <c r="L842" s="140"/>
      <c r="M842" s="59"/>
    </row>
    <row r="843" spans="2:13" x14ac:dyDescent="0.25">
      <c r="B843" s="134"/>
      <c r="C843" s="135"/>
      <c r="D843" s="136"/>
      <c r="E843" s="137"/>
      <c r="F843" s="112"/>
      <c r="G843" s="1" t="str">
        <f>IFERROR(IF(ventas_b_mes1255[[#This Row],[CUIT]]="","-",VLOOKUP(ventas_b_mes1255[[#This Row],[CUIT]],Lista_CUIT[#All],2,0)),"CUIT NO CARGADO")</f>
        <v>-</v>
      </c>
      <c r="H843" s="99">
        <f>ventas_b_mes1255[[#This Row],[TOTAL]]/1.21</f>
        <v>0</v>
      </c>
      <c r="I843" s="64">
        <f>ventas_b_mes1255[[#This Row],[IMPORTE NETO]]*0.21</f>
        <v>0</v>
      </c>
      <c r="J843" s="140"/>
      <c r="K843" s="140"/>
      <c r="L843" s="140"/>
      <c r="M843" s="59"/>
    </row>
    <row r="844" spans="2:13" x14ac:dyDescent="0.25">
      <c r="B844" s="134"/>
      <c r="C844" s="135"/>
      <c r="D844" s="136"/>
      <c r="E844" s="137"/>
      <c r="F844" s="112"/>
      <c r="G844" s="1" t="str">
        <f>IFERROR(IF(ventas_b_mes1255[[#This Row],[CUIT]]="","-",VLOOKUP(ventas_b_mes1255[[#This Row],[CUIT]],Lista_CUIT[#All],2,0)),"CUIT NO CARGADO")</f>
        <v>-</v>
      </c>
      <c r="H844" s="99">
        <f>ventas_b_mes1255[[#This Row],[TOTAL]]/1.21</f>
        <v>0</v>
      </c>
      <c r="I844" s="64">
        <f>ventas_b_mes1255[[#This Row],[IMPORTE NETO]]*0.21</f>
        <v>0</v>
      </c>
      <c r="J844" s="140"/>
      <c r="K844" s="140"/>
      <c r="L844" s="140"/>
      <c r="M844" s="59"/>
    </row>
    <row r="845" spans="2:13" x14ac:dyDescent="0.25">
      <c r="B845" s="134"/>
      <c r="C845" s="135"/>
      <c r="D845" s="136"/>
      <c r="E845" s="137"/>
      <c r="F845" s="112"/>
      <c r="G845" s="1" t="str">
        <f>IFERROR(IF(ventas_b_mes1255[[#This Row],[CUIT]]="","-",VLOOKUP(ventas_b_mes1255[[#This Row],[CUIT]],Lista_CUIT[#All],2,0)),"CUIT NO CARGADO")</f>
        <v>-</v>
      </c>
      <c r="H845" s="99">
        <f>ventas_b_mes1255[[#This Row],[TOTAL]]/1.21</f>
        <v>0</v>
      </c>
      <c r="I845" s="64">
        <f>ventas_b_mes1255[[#This Row],[IMPORTE NETO]]*0.21</f>
        <v>0</v>
      </c>
      <c r="J845" s="140"/>
      <c r="K845" s="140"/>
      <c r="L845" s="140"/>
      <c r="M845" s="59"/>
    </row>
    <row r="846" spans="2:13" x14ac:dyDescent="0.25">
      <c r="B846" s="134"/>
      <c r="C846" s="135"/>
      <c r="D846" s="136"/>
      <c r="E846" s="137"/>
      <c r="F846" s="112"/>
      <c r="G846" s="1" t="str">
        <f>IFERROR(IF(ventas_b_mes1255[[#This Row],[CUIT]]="","-",VLOOKUP(ventas_b_mes1255[[#This Row],[CUIT]],Lista_CUIT[#All],2,0)),"CUIT NO CARGADO")</f>
        <v>-</v>
      </c>
      <c r="H846" s="99">
        <f>ventas_b_mes1255[[#This Row],[TOTAL]]/1.21</f>
        <v>0</v>
      </c>
      <c r="I846" s="64">
        <f>ventas_b_mes1255[[#This Row],[IMPORTE NETO]]*0.21</f>
        <v>0</v>
      </c>
      <c r="J846" s="140"/>
      <c r="K846" s="140"/>
      <c r="L846" s="140"/>
      <c r="M846" s="59"/>
    </row>
    <row r="847" spans="2:13" x14ac:dyDescent="0.25">
      <c r="B847" s="134"/>
      <c r="C847" s="135"/>
      <c r="D847" s="136"/>
      <c r="E847" s="137"/>
      <c r="F847" s="112"/>
      <c r="G847" s="1" t="str">
        <f>IFERROR(IF(ventas_b_mes1255[[#This Row],[CUIT]]="","-",VLOOKUP(ventas_b_mes1255[[#This Row],[CUIT]],Lista_CUIT[#All],2,0)),"CUIT NO CARGADO")</f>
        <v>-</v>
      </c>
      <c r="H847" s="99">
        <f>ventas_b_mes1255[[#This Row],[TOTAL]]/1.21</f>
        <v>0</v>
      </c>
      <c r="I847" s="64">
        <f>ventas_b_mes1255[[#This Row],[IMPORTE NETO]]*0.21</f>
        <v>0</v>
      </c>
      <c r="J847" s="140"/>
      <c r="K847" s="140"/>
      <c r="L847" s="140"/>
      <c r="M847" s="59"/>
    </row>
    <row r="848" spans="2:13" x14ac:dyDescent="0.25">
      <c r="B848" s="134"/>
      <c r="C848" s="135"/>
      <c r="D848" s="136"/>
      <c r="E848" s="137"/>
      <c r="F848" s="112"/>
      <c r="G848" s="1" t="str">
        <f>IFERROR(IF(ventas_b_mes1255[[#This Row],[CUIT]]="","-",VLOOKUP(ventas_b_mes1255[[#This Row],[CUIT]],Lista_CUIT[#All],2,0)),"CUIT NO CARGADO")</f>
        <v>-</v>
      </c>
      <c r="H848" s="99">
        <f>ventas_b_mes1255[[#This Row],[TOTAL]]/1.21</f>
        <v>0</v>
      </c>
      <c r="I848" s="64">
        <f>ventas_b_mes1255[[#This Row],[IMPORTE NETO]]*0.21</f>
        <v>0</v>
      </c>
      <c r="J848" s="140"/>
      <c r="K848" s="140"/>
      <c r="L848" s="140"/>
      <c r="M848" s="59"/>
    </row>
    <row r="849" spans="2:13" x14ac:dyDescent="0.25">
      <c r="B849" s="134"/>
      <c r="C849" s="135"/>
      <c r="D849" s="136"/>
      <c r="E849" s="137"/>
      <c r="F849" s="112"/>
      <c r="G849" s="1" t="str">
        <f>IFERROR(IF(ventas_b_mes1255[[#This Row],[CUIT]]="","-",VLOOKUP(ventas_b_mes1255[[#This Row],[CUIT]],Lista_CUIT[#All],2,0)),"CUIT NO CARGADO")</f>
        <v>-</v>
      </c>
      <c r="H849" s="99">
        <f>ventas_b_mes1255[[#This Row],[TOTAL]]/1.21</f>
        <v>0</v>
      </c>
      <c r="I849" s="64">
        <f>ventas_b_mes1255[[#This Row],[IMPORTE NETO]]*0.21</f>
        <v>0</v>
      </c>
      <c r="J849" s="140"/>
      <c r="K849" s="140"/>
      <c r="L849" s="140"/>
      <c r="M849" s="59"/>
    </row>
    <row r="850" spans="2:13" x14ac:dyDescent="0.25">
      <c r="B850" s="134"/>
      <c r="C850" s="135"/>
      <c r="D850" s="136"/>
      <c r="E850" s="137"/>
      <c r="F850" s="112"/>
      <c r="G850" s="1" t="str">
        <f>IFERROR(IF(ventas_b_mes1255[[#This Row],[CUIT]]="","-",VLOOKUP(ventas_b_mes1255[[#This Row],[CUIT]],Lista_CUIT[#All],2,0)),"CUIT NO CARGADO")</f>
        <v>-</v>
      </c>
      <c r="H850" s="99">
        <f>ventas_b_mes1255[[#This Row],[TOTAL]]/1.21</f>
        <v>0</v>
      </c>
      <c r="I850" s="64">
        <f>ventas_b_mes1255[[#This Row],[IMPORTE NETO]]*0.21</f>
        <v>0</v>
      </c>
      <c r="J850" s="140"/>
      <c r="K850" s="140"/>
      <c r="L850" s="140"/>
      <c r="M850" s="59"/>
    </row>
    <row r="851" spans="2:13" x14ac:dyDescent="0.25">
      <c r="B851" s="134"/>
      <c r="C851" s="135"/>
      <c r="D851" s="136"/>
      <c r="E851" s="137"/>
      <c r="F851" s="112"/>
      <c r="G851" s="1" t="str">
        <f>IFERROR(IF(ventas_b_mes1255[[#This Row],[CUIT]]="","-",VLOOKUP(ventas_b_mes1255[[#This Row],[CUIT]],Lista_CUIT[#All],2,0)),"CUIT NO CARGADO")</f>
        <v>-</v>
      </c>
      <c r="H851" s="99">
        <f>ventas_b_mes1255[[#This Row],[TOTAL]]/1.21</f>
        <v>0</v>
      </c>
      <c r="I851" s="64">
        <f>ventas_b_mes1255[[#This Row],[IMPORTE NETO]]*0.21</f>
        <v>0</v>
      </c>
      <c r="J851" s="140"/>
      <c r="K851" s="140"/>
      <c r="L851" s="140"/>
      <c r="M851" s="59"/>
    </row>
    <row r="852" spans="2:13" x14ac:dyDescent="0.25">
      <c r="B852" s="134"/>
      <c r="C852" s="135"/>
      <c r="D852" s="136"/>
      <c r="E852" s="137"/>
      <c r="F852" s="112"/>
      <c r="G852" s="1" t="str">
        <f>IFERROR(IF(ventas_b_mes1255[[#This Row],[CUIT]]="","-",VLOOKUP(ventas_b_mes1255[[#This Row],[CUIT]],Lista_CUIT[#All],2,0)),"CUIT NO CARGADO")</f>
        <v>-</v>
      </c>
      <c r="H852" s="99">
        <f>ventas_b_mes1255[[#This Row],[TOTAL]]/1.21</f>
        <v>0</v>
      </c>
      <c r="I852" s="64">
        <f>ventas_b_mes1255[[#This Row],[IMPORTE NETO]]*0.21</f>
        <v>0</v>
      </c>
      <c r="J852" s="140"/>
      <c r="K852" s="140"/>
      <c r="L852" s="140"/>
      <c r="M852" s="59"/>
    </row>
    <row r="853" spans="2:13" x14ac:dyDescent="0.25">
      <c r="B853" s="134"/>
      <c r="C853" s="135"/>
      <c r="D853" s="136"/>
      <c r="E853" s="137"/>
      <c r="F853" s="112"/>
      <c r="G853" s="1" t="str">
        <f>IFERROR(IF(ventas_b_mes1255[[#This Row],[CUIT]]="","-",VLOOKUP(ventas_b_mes1255[[#This Row],[CUIT]],Lista_CUIT[#All],2,0)),"CUIT NO CARGADO")</f>
        <v>-</v>
      </c>
      <c r="H853" s="99">
        <f>ventas_b_mes1255[[#This Row],[TOTAL]]/1.21</f>
        <v>0</v>
      </c>
      <c r="I853" s="64">
        <f>ventas_b_mes1255[[#This Row],[IMPORTE NETO]]*0.21</f>
        <v>0</v>
      </c>
      <c r="J853" s="140"/>
      <c r="K853" s="140"/>
      <c r="L853" s="140"/>
      <c r="M853" s="59"/>
    </row>
    <row r="854" spans="2:13" x14ac:dyDescent="0.25">
      <c r="B854" s="134"/>
      <c r="C854" s="135"/>
      <c r="D854" s="136"/>
      <c r="E854" s="137"/>
      <c r="F854" s="112"/>
      <c r="G854" s="1" t="str">
        <f>IFERROR(IF(ventas_b_mes1255[[#This Row],[CUIT]]="","-",VLOOKUP(ventas_b_mes1255[[#This Row],[CUIT]],Lista_CUIT[#All],2,0)),"CUIT NO CARGADO")</f>
        <v>-</v>
      </c>
      <c r="H854" s="99">
        <f>ventas_b_mes1255[[#This Row],[TOTAL]]/1.21</f>
        <v>0</v>
      </c>
      <c r="I854" s="64">
        <f>ventas_b_mes1255[[#This Row],[IMPORTE NETO]]*0.21</f>
        <v>0</v>
      </c>
      <c r="J854" s="140"/>
      <c r="K854" s="140"/>
      <c r="L854" s="140"/>
      <c r="M854" s="59"/>
    </row>
    <row r="855" spans="2:13" x14ac:dyDescent="0.25">
      <c r="B855" s="134"/>
      <c r="C855" s="135"/>
      <c r="D855" s="136"/>
      <c r="E855" s="137"/>
      <c r="F855" s="112"/>
      <c r="G855" s="1" t="str">
        <f>IFERROR(IF(ventas_b_mes1255[[#This Row],[CUIT]]="","-",VLOOKUP(ventas_b_mes1255[[#This Row],[CUIT]],Lista_CUIT[#All],2,0)),"CUIT NO CARGADO")</f>
        <v>-</v>
      </c>
      <c r="H855" s="99">
        <f>ventas_b_mes1255[[#This Row],[TOTAL]]/1.21</f>
        <v>0</v>
      </c>
      <c r="I855" s="64">
        <f>ventas_b_mes1255[[#This Row],[IMPORTE NETO]]*0.21</f>
        <v>0</v>
      </c>
      <c r="J855" s="140"/>
      <c r="K855" s="140"/>
      <c r="L855" s="140"/>
      <c r="M855" s="59"/>
    </row>
    <row r="856" spans="2:13" x14ac:dyDescent="0.25">
      <c r="B856" s="134"/>
      <c r="C856" s="135"/>
      <c r="D856" s="136"/>
      <c r="E856" s="137"/>
      <c r="F856" s="112"/>
      <c r="G856" s="1" t="str">
        <f>IFERROR(IF(ventas_b_mes1255[[#This Row],[CUIT]]="","-",VLOOKUP(ventas_b_mes1255[[#This Row],[CUIT]],Lista_CUIT[#All],2,0)),"CUIT NO CARGADO")</f>
        <v>-</v>
      </c>
      <c r="H856" s="99">
        <f>ventas_b_mes1255[[#This Row],[TOTAL]]/1.21</f>
        <v>0</v>
      </c>
      <c r="I856" s="64">
        <f>ventas_b_mes1255[[#This Row],[IMPORTE NETO]]*0.21</f>
        <v>0</v>
      </c>
      <c r="J856" s="140"/>
      <c r="K856" s="140"/>
      <c r="L856" s="140"/>
      <c r="M856" s="59"/>
    </row>
    <row r="857" spans="2:13" x14ac:dyDescent="0.25">
      <c r="B857" s="134"/>
      <c r="C857" s="135"/>
      <c r="D857" s="136"/>
      <c r="E857" s="137"/>
      <c r="F857" s="112"/>
      <c r="G857" s="1" t="str">
        <f>IFERROR(IF(ventas_b_mes1255[[#This Row],[CUIT]]="","-",VLOOKUP(ventas_b_mes1255[[#This Row],[CUIT]],Lista_CUIT[#All],2,0)),"CUIT NO CARGADO")</f>
        <v>-</v>
      </c>
      <c r="H857" s="99">
        <f>ventas_b_mes1255[[#This Row],[TOTAL]]/1.21</f>
        <v>0</v>
      </c>
      <c r="I857" s="64">
        <f>ventas_b_mes1255[[#This Row],[IMPORTE NETO]]*0.21</f>
        <v>0</v>
      </c>
      <c r="J857" s="140"/>
      <c r="K857" s="140"/>
      <c r="L857" s="140"/>
      <c r="M857" s="59"/>
    </row>
    <row r="858" spans="2:13" x14ac:dyDescent="0.25">
      <c r="B858" s="134"/>
      <c r="C858" s="135"/>
      <c r="D858" s="136"/>
      <c r="E858" s="137"/>
      <c r="F858" s="112"/>
      <c r="G858" s="1" t="str">
        <f>IFERROR(IF(ventas_b_mes1255[[#This Row],[CUIT]]="","-",VLOOKUP(ventas_b_mes1255[[#This Row],[CUIT]],Lista_CUIT[#All],2,0)),"CUIT NO CARGADO")</f>
        <v>-</v>
      </c>
      <c r="H858" s="99">
        <f>ventas_b_mes1255[[#This Row],[TOTAL]]/1.21</f>
        <v>0</v>
      </c>
      <c r="I858" s="64">
        <f>ventas_b_mes1255[[#This Row],[IMPORTE NETO]]*0.21</f>
        <v>0</v>
      </c>
      <c r="J858" s="140"/>
      <c r="K858" s="140"/>
      <c r="L858" s="140"/>
      <c r="M858" s="59"/>
    </row>
    <row r="859" spans="2:13" x14ac:dyDescent="0.25">
      <c r="B859" s="134"/>
      <c r="C859" s="135"/>
      <c r="D859" s="136"/>
      <c r="E859" s="137"/>
      <c r="F859" s="112"/>
      <c r="G859" s="1" t="str">
        <f>IFERROR(IF(ventas_b_mes1255[[#This Row],[CUIT]]="","-",VLOOKUP(ventas_b_mes1255[[#This Row],[CUIT]],Lista_CUIT[#All],2,0)),"CUIT NO CARGADO")</f>
        <v>-</v>
      </c>
      <c r="H859" s="99">
        <f>ventas_b_mes1255[[#This Row],[TOTAL]]/1.21</f>
        <v>0</v>
      </c>
      <c r="I859" s="64">
        <f>ventas_b_mes1255[[#This Row],[IMPORTE NETO]]*0.21</f>
        <v>0</v>
      </c>
      <c r="J859" s="140"/>
      <c r="K859" s="140"/>
      <c r="L859" s="140"/>
      <c r="M859" s="59"/>
    </row>
    <row r="860" spans="2:13" x14ac:dyDescent="0.25">
      <c r="B860" s="134"/>
      <c r="C860" s="135"/>
      <c r="D860" s="136"/>
      <c r="E860" s="137"/>
      <c r="F860" s="112"/>
      <c r="G860" s="1" t="str">
        <f>IFERROR(IF(ventas_b_mes1255[[#This Row],[CUIT]]="","-",VLOOKUP(ventas_b_mes1255[[#This Row],[CUIT]],Lista_CUIT[#All],2,0)),"CUIT NO CARGADO")</f>
        <v>-</v>
      </c>
      <c r="H860" s="99">
        <f>ventas_b_mes1255[[#This Row],[TOTAL]]/1.21</f>
        <v>0</v>
      </c>
      <c r="I860" s="64">
        <f>ventas_b_mes1255[[#This Row],[IMPORTE NETO]]*0.21</f>
        <v>0</v>
      </c>
      <c r="J860" s="140"/>
      <c r="K860" s="140"/>
      <c r="L860" s="140"/>
      <c r="M860" s="59"/>
    </row>
    <row r="861" spans="2:13" x14ac:dyDescent="0.25">
      <c r="B861" s="134"/>
      <c r="C861" s="135"/>
      <c r="D861" s="136"/>
      <c r="E861" s="137"/>
      <c r="F861" s="112"/>
      <c r="G861" s="1" t="str">
        <f>IFERROR(IF(ventas_b_mes1255[[#This Row],[CUIT]]="","-",VLOOKUP(ventas_b_mes1255[[#This Row],[CUIT]],Lista_CUIT[#All],2,0)),"CUIT NO CARGADO")</f>
        <v>-</v>
      </c>
      <c r="H861" s="99">
        <f>ventas_b_mes1255[[#This Row],[TOTAL]]/1.21</f>
        <v>0</v>
      </c>
      <c r="I861" s="64">
        <f>ventas_b_mes1255[[#This Row],[IMPORTE NETO]]*0.21</f>
        <v>0</v>
      </c>
      <c r="J861" s="140"/>
      <c r="K861" s="140"/>
      <c r="L861" s="140"/>
      <c r="M861" s="59"/>
    </row>
    <row r="862" spans="2:13" x14ac:dyDescent="0.25">
      <c r="B862" s="134"/>
      <c r="C862" s="135"/>
      <c r="D862" s="136"/>
      <c r="E862" s="137"/>
      <c r="F862" s="112"/>
      <c r="G862" s="1" t="str">
        <f>IFERROR(IF(ventas_b_mes1255[[#This Row],[CUIT]]="","-",VLOOKUP(ventas_b_mes1255[[#This Row],[CUIT]],Lista_CUIT[#All],2,0)),"CUIT NO CARGADO")</f>
        <v>-</v>
      </c>
      <c r="H862" s="99">
        <f>ventas_b_mes1255[[#This Row],[TOTAL]]/1.21</f>
        <v>0</v>
      </c>
      <c r="I862" s="64">
        <f>ventas_b_mes1255[[#This Row],[IMPORTE NETO]]*0.21</f>
        <v>0</v>
      </c>
      <c r="J862" s="140"/>
      <c r="K862" s="140"/>
      <c r="L862" s="140"/>
      <c r="M862" s="59"/>
    </row>
    <row r="863" spans="2:13" x14ac:dyDescent="0.25">
      <c r="B863" s="134"/>
      <c r="C863" s="135"/>
      <c r="D863" s="136"/>
      <c r="E863" s="137"/>
      <c r="F863" s="112"/>
      <c r="G863" s="1" t="str">
        <f>IFERROR(IF(ventas_b_mes1255[[#This Row],[CUIT]]="","-",VLOOKUP(ventas_b_mes1255[[#This Row],[CUIT]],Lista_CUIT[#All],2,0)),"CUIT NO CARGADO")</f>
        <v>-</v>
      </c>
      <c r="H863" s="99">
        <f>ventas_b_mes1255[[#This Row],[TOTAL]]/1.21</f>
        <v>0</v>
      </c>
      <c r="I863" s="64">
        <f>ventas_b_mes1255[[#This Row],[IMPORTE NETO]]*0.21</f>
        <v>0</v>
      </c>
      <c r="J863" s="140"/>
      <c r="K863" s="140"/>
      <c r="L863" s="140"/>
      <c r="M863" s="59"/>
    </row>
    <row r="864" spans="2:13" x14ac:dyDescent="0.25">
      <c r="B864" s="134"/>
      <c r="C864" s="135"/>
      <c r="D864" s="136"/>
      <c r="E864" s="137"/>
      <c r="F864" s="112"/>
      <c r="G864" s="1" t="str">
        <f>IFERROR(IF(ventas_b_mes1255[[#This Row],[CUIT]]="","-",VLOOKUP(ventas_b_mes1255[[#This Row],[CUIT]],Lista_CUIT[#All],2,0)),"CUIT NO CARGADO")</f>
        <v>-</v>
      </c>
      <c r="H864" s="99">
        <f>ventas_b_mes1255[[#This Row],[TOTAL]]/1.21</f>
        <v>0</v>
      </c>
      <c r="I864" s="64">
        <f>ventas_b_mes1255[[#This Row],[IMPORTE NETO]]*0.21</f>
        <v>0</v>
      </c>
      <c r="J864" s="140"/>
      <c r="K864" s="140"/>
      <c r="L864" s="140"/>
      <c r="M864" s="59"/>
    </row>
    <row r="865" spans="2:13" x14ac:dyDescent="0.25">
      <c r="B865" s="134"/>
      <c r="C865" s="135"/>
      <c r="D865" s="136"/>
      <c r="E865" s="137"/>
      <c r="F865" s="112"/>
      <c r="G865" s="1" t="str">
        <f>IFERROR(IF(ventas_b_mes1255[[#This Row],[CUIT]]="","-",VLOOKUP(ventas_b_mes1255[[#This Row],[CUIT]],Lista_CUIT[#All],2,0)),"CUIT NO CARGADO")</f>
        <v>-</v>
      </c>
      <c r="H865" s="99">
        <f>ventas_b_mes1255[[#This Row],[TOTAL]]/1.21</f>
        <v>0</v>
      </c>
      <c r="I865" s="64">
        <f>ventas_b_mes1255[[#This Row],[IMPORTE NETO]]*0.21</f>
        <v>0</v>
      </c>
      <c r="J865" s="140"/>
      <c r="K865" s="140"/>
      <c r="L865" s="140"/>
      <c r="M865" s="59"/>
    </row>
    <row r="866" spans="2:13" x14ac:dyDescent="0.25">
      <c r="B866" s="134"/>
      <c r="C866" s="135"/>
      <c r="D866" s="136"/>
      <c r="E866" s="137"/>
      <c r="F866" s="112"/>
      <c r="G866" s="1" t="str">
        <f>IFERROR(IF(ventas_b_mes1255[[#This Row],[CUIT]]="","-",VLOOKUP(ventas_b_mes1255[[#This Row],[CUIT]],Lista_CUIT[#All],2,0)),"CUIT NO CARGADO")</f>
        <v>-</v>
      </c>
      <c r="H866" s="99">
        <f>ventas_b_mes1255[[#This Row],[TOTAL]]/1.21</f>
        <v>0</v>
      </c>
      <c r="I866" s="64">
        <f>ventas_b_mes1255[[#This Row],[IMPORTE NETO]]*0.21</f>
        <v>0</v>
      </c>
      <c r="J866" s="140"/>
      <c r="K866" s="140"/>
      <c r="L866" s="140"/>
      <c r="M866" s="59"/>
    </row>
    <row r="867" spans="2:13" x14ac:dyDescent="0.25">
      <c r="B867" s="134"/>
      <c r="C867" s="135"/>
      <c r="D867" s="136"/>
      <c r="E867" s="137"/>
      <c r="F867" s="112"/>
      <c r="G867" s="1" t="str">
        <f>IFERROR(IF(ventas_b_mes1255[[#This Row],[CUIT]]="","-",VLOOKUP(ventas_b_mes1255[[#This Row],[CUIT]],Lista_CUIT[#All],2,0)),"CUIT NO CARGADO")</f>
        <v>-</v>
      </c>
      <c r="H867" s="99">
        <f>ventas_b_mes1255[[#This Row],[TOTAL]]/1.21</f>
        <v>0</v>
      </c>
      <c r="I867" s="64">
        <f>ventas_b_mes1255[[#This Row],[IMPORTE NETO]]*0.21</f>
        <v>0</v>
      </c>
      <c r="J867" s="140"/>
      <c r="K867" s="140"/>
      <c r="L867" s="140"/>
      <c r="M867" s="59"/>
    </row>
    <row r="868" spans="2:13" x14ac:dyDescent="0.25">
      <c r="B868" s="134"/>
      <c r="C868" s="135"/>
      <c r="D868" s="136"/>
      <c r="E868" s="137"/>
      <c r="F868" s="112"/>
      <c r="G868" s="1" t="str">
        <f>IFERROR(IF(ventas_b_mes1255[[#This Row],[CUIT]]="","-",VLOOKUP(ventas_b_mes1255[[#This Row],[CUIT]],Lista_CUIT[#All],2,0)),"CUIT NO CARGADO")</f>
        <v>-</v>
      </c>
      <c r="H868" s="99">
        <f>ventas_b_mes1255[[#This Row],[TOTAL]]/1.21</f>
        <v>0</v>
      </c>
      <c r="I868" s="64">
        <f>ventas_b_mes1255[[#This Row],[IMPORTE NETO]]*0.21</f>
        <v>0</v>
      </c>
      <c r="J868" s="140"/>
      <c r="K868" s="140"/>
      <c r="L868" s="140"/>
      <c r="M868" s="59"/>
    </row>
    <row r="869" spans="2:13" x14ac:dyDescent="0.25">
      <c r="B869" s="134"/>
      <c r="C869" s="135"/>
      <c r="D869" s="136"/>
      <c r="E869" s="137"/>
      <c r="F869" s="112"/>
      <c r="G869" s="1" t="str">
        <f>IFERROR(IF(ventas_b_mes1255[[#This Row],[CUIT]]="","-",VLOOKUP(ventas_b_mes1255[[#This Row],[CUIT]],Lista_CUIT[#All],2,0)),"CUIT NO CARGADO")</f>
        <v>-</v>
      </c>
      <c r="H869" s="99">
        <f>ventas_b_mes1255[[#This Row],[TOTAL]]/1.21</f>
        <v>0</v>
      </c>
      <c r="I869" s="64">
        <f>ventas_b_mes1255[[#This Row],[IMPORTE NETO]]*0.21</f>
        <v>0</v>
      </c>
      <c r="J869" s="140"/>
      <c r="K869" s="140"/>
      <c r="L869" s="140"/>
      <c r="M869" s="59"/>
    </row>
    <row r="870" spans="2:13" x14ac:dyDescent="0.25">
      <c r="B870" s="134"/>
      <c r="C870" s="135"/>
      <c r="D870" s="136"/>
      <c r="E870" s="137"/>
      <c r="F870" s="112"/>
      <c r="G870" s="1" t="str">
        <f>IFERROR(IF(ventas_b_mes1255[[#This Row],[CUIT]]="","-",VLOOKUP(ventas_b_mes1255[[#This Row],[CUIT]],Lista_CUIT[#All],2,0)),"CUIT NO CARGADO")</f>
        <v>-</v>
      </c>
      <c r="H870" s="99">
        <f>ventas_b_mes1255[[#This Row],[TOTAL]]/1.21</f>
        <v>0</v>
      </c>
      <c r="I870" s="64">
        <f>ventas_b_mes1255[[#This Row],[IMPORTE NETO]]*0.21</f>
        <v>0</v>
      </c>
      <c r="J870" s="140"/>
      <c r="K870" s="140"/>
      <c r="L870" s="140"/>
      <c r="M870" s="59"/>
    </row>
    <row r="871" spans="2:13" x14ac:dyDescent="0.25">
      <c r="B871" s="134"/>
      <c r="C871" s="135"/>
      <c r="D871" s="136"/>
      <c r="E871" s="137"/>
      <c r="F871" s="112"/>
      <c r="G871" s="1" t="str">
        <f>IFERROR(IF(ventas_b_mes1255[[#This Row],[CUIT]]="","-",VLOOKUP(ventas_b_mes1255[[#This Row],[CUIT]],Lista_CUIT[#All],2,0)),"CUIT NO CARGADO")</f>
        <v>-</v>
      </c>
      <c r="H871" s="99">
        <f>ventas_b_mes1255[[#This Row],[TOTAL]]/1.21</f>
        <v>0</v>
      </c>
      <c r="I871" s="64">
        <f>ventas_b_mes1255[[#This Row],[IMPORTE NETO]]*0.21</f>
        <v>0</v>
      </c>
      <c r="J871" s="140"/>
      <c r="K871" s="140"/>
      <c r="L871" s="140"/>
      <c r="M871" s="59"/>
    </row>
    <row r="872" spans="2:13" x14ac:dyDescent="0.25">
      <c r="B872" s="134"/>
      <c r="C872" s="135"/>
      <c r="D872" s="136"/>
      <c r="E872" s="137"/>
      <c r="F872" s="112"/>
      <c r="G872" s="1" t="str">
        <f>IFERROR(IF(ventas_b_mes1255[[#This Row],[CUIT]]="","-",VLOOKUP(ventas_b_mes1255[[#This Row],[CUIT]],Lista_CUIT[#All],2,0)),"CUIT NO CARGADO")</f>
        <v>-</v>
      </c>
      <c r="H872" s="99">
        <f>ventas_b_mes1255[[#This Row],[TOTAL]]/1.21</f>
        <v>0</v>
      </c>
      <c r="I872" s="64">
        <f>ventas_b_mes1255[[#This Row],[IMPORTE NETO]]*0.21</f>
        <v>0</v>
      </c>
      <c r="J872" s="140"/>
      <c r="K872" s="140"/>
      <c r="L872" s="140"/>
      <c r="M872" s="59"/>
    </row>
    <row r="873" spans="2:13" x14ac:dyDescent="0.25">
      <c r="B873" s="134"/>
      <c r="C873" s="135"/>
      <c r="D873" s="136"/>
      <c r="E873" s="137"/>
      <c r="F873" s="112"/>
      <c r="G873" s="1" t="str">
        <f>IFERROR(IF(ventas_b_mes1255[[#This Row],[CUIT]]="","-",VLOOKUP(ventas_b_mes1255[[#This Row],[CUIT]],Lista_CUIT[#All],2,0)),"CUIT NO CARGADO")</f>
        <v>-</v>
      </c>
      <c r="H873" s="99">
        <f>ventas_b_mes1255[[#This Row],[TOTAL]]/1.21</f>
        <v>0</v>
      </c>
      <c r="I873" s="64">
        <f>ventas_b_mes1255[[#This Row],[IMPORTE NETO]]*0.21</f>
        <v>0</v>
      </c>
      <c r="J873" s="140"/>
      <c r="K873" s="140"/>
      <c r="L873" s="140"/>
      <c r="M873" s="59"/>
    </row>
    <row r="874" spans="2:13" x14ac:dyDescent="0.25">
      <c r="B874" s="134"/>
      <c r="C874" s="135"/>
      <c r="D874" s="136"/>
      <c r="E874" s="137"/>
      <c r="F874" s="112"/>
      <c r="G874" s="1" t="str">
        <f>IFERROR(IF(ventas_b_mes1255[[#This Row],[CUIT]]="","-",VLOOKUP(ventas_b_mes1255[[#This Row],[CUIT]],Lista_CUIT[#All],2,0)),"CUIT NO CARGADO")</f>
        <v>-</v>
      </c>
      <c r="H874" s="99">
        <f>ventas_b_mes1255[[#This Row],[TOTAL]]/1.21</f>
        <v>0</v>
      </c>
      <c r="I874" s="64">
        <f>ventas_b_mes1255[[#This Row],[IMPORTE NETO]]*0.21</f>
        <v>0</v>
      </c>
      <c r="J874" s="140"/>
      <c r="K874" s="140"/>
      <c r="L874" s="140"/>
      <c r="M874" s="59"/>
    </row>
    <row r="875" spans="2:13" x14ac:dyDescent="0.25">
      <c r="B875" s="134"/>
      <c r="C875" s="135"/>
      <c r="D875" s="136"/>
      <c r="E875" s="137"/>
      <c r="F875" s="112"/>
      <c r="G875" s="1" t="str">
        <f>IFERROR(IF(ventas_b_mes1255[[#This Row],[CUIT]]="","-",VLOOKUP(ventas_b_mes1255[[#This Row],[CUIT]],Lista_CUIT[#All],2,0)),"CUIT NO CARGADO")</f>
        <v>-</v>
      </c>
      <c r="H875" s="99">
        <f>ventas_b_mes1255[[#This Row],[TOTAL]]/1.21</f>
        <v>0</v>
      </c>
      <c r="I875" s="64">
        <f>ventas_b_mes1255[[#This Row],[IMPORTE NETO]]*0.21</f>
        <v>0</v>
      </c>
      <c r="J875" s="140"/>
      <c r="K875" s="140"/>
      <c r="L875" s="140"/>
      <c r="M875" s="59"/>
    </row>
    <row r="876" spans="2:13" x14ac:dyDescent="0.25">
      <c r="B876" s="134"/>
      <c r="C876" s="135"/>
      <c r="D876" s="136"/>
      <c r="E876" s="137"/>
      <c r="F876" s="112"/>
      <c r="G876" s="1" t="str">
        <f>IFERROR(IF(ventas_b_mes1255[[#This Row],[CUIT]]="","-",VLOOKUP(ventas_b_mes1255[[#This Row],[CUIT]],Lista_CUIT[#All],2,0)),"CUIT NO CARGADO")</f>
        <v>-</v>
      </c>
      <c r="H876" s="99">
        <f>ventas_b_mes1255[[#This Row],[TOTAL]]/1.21</f>
        <v>0</v>
      </c>
      <c r="I876" s="64">
        <f>ventas_b_mes1255[[#This Row],[IMPORTE NETO]]*0.21</f>
        <v>0</v>
      </c>
      <c r="J876" s="140"/>
      <c r="K876" s="140"/>
      <c r="L876" s="140"/>
      <c r="M876" s="59"/>
    </row>
    <row r="877" spans="2:13" x14ac:dyDescent="0.25">
      <c r="B877" s="134"/>
      <c r="C877" s="135"/>
      <c r="D877" s="136"/>
      <c r="E877" s="137"/>
      <c r="F877" s="112"/>
      <c r="G877" s="1" t="str">
        <f>IFERROR(IF(ventas_b_mes1255[[#This Row],[CUIT]]="","-",VLOOKUP(ventas_b_mes1255[[#This Row],[CUIT]],Lista_CUIT[#All],2,0)),"CUIT NO CARGADO")</f>
        <v>-</v>
      </c>
      <c r="H877" s="99">
        <f>ventas_b_mes1255[[#This Row],[TOTAL]]/1.21</f>
        <v>0</v>
      </c>
      <c r="I877" s="64">
        <f>ventas_b_mes1255[[#This Row],[IMPORTE NETO]]*0.21</f>
        <v>0</v>
      </c>
      <c r="J877" s="140"/>
      <c r="K877" s="140"/>
      <c r="L877" s="140"/>
      <c r="M877" s="59"/>
    </row>
    <row r="878" spans="2:13" x14ac:dyDescent="0.25">
      <c r="B878" s="134"/>
      <c r="C878" s="135"/>
      <c r="D878" s="136"/>
      <c r="E878" s="137"/>
      <c r="F878" s="112"/>
      <c r="G878" s="1" t="str">
        <f>IFERROR(IF(ventas_b_mes1255[[#This Row],[CUIT]]="","-",VLOOKUP(ventas_b_mes1255[[#This Row],[CUIT]],Lista_CUIT[#All],2,0)),"CUIT NO CARGADO")</f>
        <v>-</v>
      </c>
      <c r="H878" s="99">
        <f>ventas_b_mes1255[[#This Row],[TOTAL]]/1.21</f>
        <v>0</v>
      </c>
      <c r="I878" s="64">
        <f>ventas_b_mes1255[[#This Row],[IMPORTE NETO]]*0.21</f>
        <v>0</v>
      </c>
      <c r="J878" s="140"/>
      <c r="K878" s="140"/>
      <c r="L878" s="140"/>
      <c r="M878" s="59"/>
    </row>
    <row r="879" spans="2:13" x14ac:dyDescent="0.25">
      <c r="B879" s="134"/>
      <c r="C879" s="135"/>
      <c r="D879" s="136"/>
      <c r="E879" s="137"/>
      <c r="F879" s="112"/>
      <c r="G879" s="1" t="str">
        <f>IFERROR(IF(ventas_b_mes1255[[#This Row],[CUIT]]="","-",VLOOKUP(ventas_b_mes1255[[#This Row],[CUIT]],Lista_CUIT[#All],2,0)),"CUIT NO CARGADO")</f>
        <v>-</v>
      </c>
      <c r="H879" s="99">
        <f>ventas_b_mes1255[[#This Row],[TOTAL]]/1.21</f>
        <v>0</v>
      </c>
      <c r="I879" s="64">
        <f>ventas_b_mes1255[[#This Row],[IMPORTE NETO]]*0.21</f>
        <v>0</v>
      </c>
      <c r="J879" s="140"/>
      <c r="K879" s="140"/>
      <c r="L879" s="140"/>
      <c r="M879" s="59"/>
    </row>
    <row r="880" spans="2:13" x14ac:dyDescent="0.25">
      <c r="B880" s="134"/>
      <c r="C880" s="135"/>
      <c r="D880" s="136"/>
      <c r="E880" s="137"/>
      <c r="F880" s="112"/>
      <c r="G880" s="1" t="str">
        <f>IFERROR(IF(ventas_b_mes1255[[#This Row],[CUIT]]="","-",VLOOKUP(ventas_b_mes1255[[#This Row],[CUIT]],Lista_CUIT[#All],2,0)),"CUIT NO CARGADO")</f>
        <v>-</v>
      </c>
      <c r="H880" s="99">
        <f>ventas_b_mes1255[[#This Row],[TOTAL]]/1.21</f>
        <v>0</v>
      </c>
      <c r="I880" s="64">
        <f>ventas_b_mes1255[[#This Row],[IMPORTE NETO]]*0.21</f>
        <v>0</v>
      </c>
      <c r="J880" s="140"/>
      <c r="K880" s="140"/>
      <c r="L880" s="140"/>
      <c r="M880" s="59"/>
    </row>
    <row r="881" spans="2:13" x14ac:dyDescent="0.25">
      <c r="B881" s="134"/>
      <c r="C881" s="135"/>
      <c r="D881" s="136"/>
      <c r="E881" s="137"/>
      <c r="F881" s="112"/>
      <c r="G881" s="1" t="str">
        <f>IFERROR(IF(ventas_b_mes1255[[#This Row],[CUIT]]="","-",VLOOKUP(ventas_b_mes1255[[#This Row],[CUIT]],Lista_CUIT[#All],2,0)),"CUIT NO CARGADO")</f>
        <v>-</v>
      </c>
      <c r="H881" s="99">
        <f>ventas_b_mes1255[[#This Row],[TOTAL]]/1.21</f>
        <v>0</v>
      </c>
      <c r="I881" s="64">
        <f>ventas_b_mes1255[[#This Row],[IMPORTE NETO]]*0.21</f>
        <v>0</v>
      </c>
      <c r="J881" s="140"/>
      <c r="K881" s="140"/>
      <c r="L881" s="140"/>
      <c r="M881" s="59"/>
    </row>
    <row r="882" spans="2:13" x14ac:dyDescent="0.25">
      <c r="B882" s="134"/>
      <c r="C882" s="135"/>
      <c r="D882" s="136"/>
      <c r="E882" s="137"/>
      <c r="F882" s="112"/>
      <c r="G882" s="1" t="str">
        <f>IFERROR(IF(ventas_b_mes1255[[#This Row],[CUIT]]="","-",VLOOKUP(ventas_b_mes1255[[#This Row],[CUIT]],Lista_CUIT[#All],2,0)),"CUIT NO CARGADO")</f>
        <v>-</v>
      </c>
      <c r="H882" s="99">
        <f>ventas_b_mes1255[[#This Row],[TOTAL]]/1.21</f>
        <v>0</v>
      </c>
      <c r="I882" s="64">
        <f>ventas_b_mes1255[[#This Row],[IMPORTE NETO]]*0.21</f>
        <v>0</v>
      </c>
      <c r="J882" s="140"/>
      <c r="K882" s="140"/>
      <c r="L882" s="140"/>
      <c r="M882" s="59"/>
    </row>
    <row r="883" spans="2:13" x14ac:dyDescent="0.25">
      <c r="B883" s="134"/>
      <c r="C883" s="135"/>
      <c r="D883" s="136"/>
      <c r="E883" s="137"/>
      <c r="F883" s="112"/>
      <c r="G883" s="1" t="str">
        <f>IFERROR(IF(ventas_b_mes1255[[#This Row],[CUIT]]="","-",VLOOKUP(ventas_b_mes1255[[#This Row],[CUIT]],Lista_CUIT[#All],2,0)),"CUIT NO CARGADO")</f>
        <v>-</v>
      </c>
      <c r="H883" s="99">
        <f>ventas_b_mes1255[[#This Row],[TOTAL]]/1.21</f>
        <v>0</v>
      </c>
      <c r="I883" s="64">
        <f>ventas_b_mes1255[[#This Row],[IMPORTE NETO]]*0.21</f>
        <v>0</v>
      </c>
      <c r="J883" s="140"/>
      <c r="K883" s="140"/>
      <c r="L883" s="140"/>
      <c r="M883" s="59"/>
    </row>
    <row r="884" spans="2:13" x14ac:dyDescent="0.25">
      <c r="B884" s="134"/>
      <c r="C884" s="135"/>
      <c r="D884" s="136"/>
      <c r="E884" s="137"/>
      <c r="F884" s="112"/>
      <c r="G884" s="1" t="str">
        <f>IFERROR(IF(ventas_b_mes1255[[#This Row],[CUIT]]="","-",VLOOKUP(ventas_b_mes1255[[#This Row],[CUIT]],Lista_CUIT[#All],2,0)),"CUIT NO CARGADO")</f>
        <v>-</v>
      </c>
      <c r="H884" s="99">
        <f>ventas_b_mes1255[[#This Row],[TOTAL]]/1.21</f>
        <v>0</v>
      </c>
      <c r="I884" s="64">
        <f>ventas_b_mes1255[[#This Row],[IMPORTE NETO]]*0.21</f>
        <v>0</v>
      </c>
      <c r="J884" s="140"/>
      <c r="K884" s="140"/>
      <c r="L884" s="140"/>
      <c r="M884" s="59"/>
    </row>
    <row r="885" spans="2:13" x14ac:dyDescent="0.25">
      <c r="B885" s="134"/>
      <c r="C885" s="135"/>
      <c r="D885" s="136"/>
      <c r="E885" s="137"/>
      <c r="F885" s="112"/>
      <c r="G885" s="1" t="str">
        <f>IFERROR(IF(ventas_b_mes1255[[#This Row],[CUIT]]="","-",VLOOKUP(ventas_b_mes1255[[#This Row],[CUIT]],Lista_CUIT[#All],2,0)),"CUIT NO CARGADO")</f>
        <v>-</v>
      </c>
      <c r="H885" s="99">
        <f>ventas_b_mes1255[[#This Row],[TOTAL]]/1.21</f>
        <v>0</v>
      </c>
      <c r="I885" s="64">
        <f>ventas_b_mes1255[[#This Row],[IMPORTE NETO]]*0.21</f>
        <v>0</v>
      </c>
      <c r="J885" s="140"/>
      <c r="K885" s="140"/>
      <c r="L885" s="140"/>
      <c r="M885" s="59"/>
    </row>
    <row r="886" spans="2:13" x14ac:dyDescent="0.25">
      <c r="B886" s="134"/>
      <c r="C886" s="135"/>
      <c r="D886" s="136"/>
      <c r="E886" s="137"/>
      <c r="F886" s="112"/>
      <c r="G886" s="1" t="str">
        <f>IFERROR(IF(ventas_b_mes1255[[#This Row],[CUIT]]="","-",VLOOKUP(ventas_b_mes1255[[#This Row],[CUIT]],Lista_CUIT[#All],2,0)),"CUIT NO CARGADO")</f>
        <v>-</v>
      </c>
      <c r="H886" s="99">
        <f>ventas_b_mes1255[[#This Row],[TOTAL]]/1.21</f>
        <v>0</v>
      </c>
      <c r="I886" s="64">
        <f>ventas_b_mes1255[[#This Row],[IMPORTE NETO]]*0.21</f>
        <v>0</v>
      </c>
      <c r="J886" s="140"/>
      <c r="K886" s="140"/>
      <c r="L886" s="140"/>
      <c r="M886" s="59"/>
    </row>
    <row r="887" spans="2:13" x14ac:dyDescent="0.25">
      <c r="B887" s="134"/>
      <c r="C887" s="135"/>
      <c r="D887" s="136"/>
      <c r="E887" s="137"/>
      <c r="F887" s="112"/>
      <c r="G887" s="1" t="str">
        <f>IFERROR(IF(ventas_b_mes1255[[#This Row],[CUIT]]="","-",VLOOKUP(ventas_b_mes1255[[#This Row],[CUIT]],Lista_CUIT[#All],2,0)),"CUIT NO CARGADO")</f>
        <v>-</v>
      </c>
      <c r="H887" s="99">
        <f>ventas_b_mes1255[[#This Row],[TOTAL]]/1.21</f>
        <v>0</v>
      </c>
      <c r="I887" s="64">
        <f>ventas_b_mes1255[[#This Row],[IMPORTE NETO]]*0.21</f>
        <v>0</v>
      </c>
      <c r="J887" s="140"/>
      <c r="K887" s="140"/>
      <c r="L887" s="140"/>
      <c r="M887" s="59"/>
    </row>
    <row r="888" spans="2:13" x14ac:dyDescent="0.25">
      <c r="B888" s="134"/>
      <c r="C888" s="135"/>
      <c r="D888" s="136"/>
      <c r="E888" s="137"/>
      <c r="F888" s="112"/>
      <c r="G888" s="1" t="str">
        <f>IFERROR(IF(ventas_b_mes1255[[#This Row],[CUIT]]="","-",VLOOKUP(ventas_b_mes1255[[#This Row],[CUIT]],Lista_CUIT[#All],2,0)),"CUIT NO CARGADO")</f>
        <v>-</v>
      </c>
      <c r="H888" s="99">
        <f>ventas_b_mes1255[[#This Row],[TOTAL]]/1.21</f>
        <v>0</v>
      </c>
      <c r="I888" s="64">
        <f>ventas_b_mes1255[[#This Row],[IMPORTE NETO]]*0.21</f>
        <v>0</v>
      </c>
      <c r="J888" s="140"/>
      <c r="K888" s="140"/>
      <c r="L888" s="140"/>
      <c r="M888" s="59"/>
    </row>
    <row r="889" spans="2:13" x14ac:dyDescent="0.25">
      <c r="B889" s="134"/>
      <c r="C889" s="135"/>
      <c r="D889" s="136"/>
      <c r="E889" s="137"/>
      <c r="F889" s="112"/>
      <c r="G889" s="1" t="str">
        <f>IFERROR(IF(ventas_b_mes1255[[#This Row],[CUIT]]="","-",VLOOKUP(ventas_b_mes1255[[#This Row],[CUIT]],Lista_CUIT[#All],2,0)),"CUIT NO CARGADO")</f>
        <v>-</v>
      </c>
      <c r="H889" s="99">
        <f>ventas_b_mes1255[[#This Row],[TOTAL]]/1.21</f>
        <v>0</v>
      </c>
      <c r="I889" s="64">
        <f>ventas_b_mes1255[[#This Row],[IMPORTE NETO]]*0.21</f>
        <v>0</v>
      </c>
      <c r="J889" s="140"/>
      <c r="K889" s="140"/>
      <c r="L889" s="140"/>
      <c r="M889" s="59"/>
    </row>
    <row r="890" spans="2:13" x14ac:dyDescent="0.25">
      <c r="B890" s="134"/>
      <c r="C890" s="135"/>
      <c r="D890" s="136"/>
      <c r="E890" s="137"/>
      <c r="F890" s="112"/>
      <c r="G890" s="1" t="str">
        <f>IFERROR(IF(ventas_b_mes1255[[#This Row],[CUIT]]="","-",VLOOKUP(ventas_b_mes1255[[#This Row],[CUIT]],Lista_CUIT[#All],2,0)),"CUIT NO CARGADO")</f>
        <v>-</v>
      </c>
      <c r="H890" s="99">
        <f>ventas_b_mes1255[[#This Row],[TOTAL]]/1.21</f>
        <v>0</v>
      </c>
      <c r="I890" s="64">
        <f>ventas_b_mes1255[[#This Row],[IMPORTE NETO]]*0.21</f>
        <v>0</v>
      </c>
      <c r="J890" s="140"/>
      <c r="K890" s="140"/>
      <c r="L890" s="140"/>
      <c r="M890" s="59"/>
    </row>
    <row r="891" spans="2:13" x14ac:dyDescent="0.25">
      <c r="B891" s="134"/>
      <c r="C891" s="135"/>
      <c r="D891" s="136"/>
      <c r="E891" s="137"/>
      <c r="F891" s="112"/>
      <c r="G891" s="1" t="str">
        <f>IFERROR(IF(ventas_b_mes1255[[#This Row],[CUIT]]="","-",VLOOKUP(ventas_b_mes1255[[#This Row],[CUIT]],Lista_CUIT[#All],2,0)),"CUIT NO CARGADO")</f>
        <v>-</v>
      </c>
      <c r="H891" s="99">
        <f>ventas_b_mes1255[[#This Row],[TOTAL]]/1.21</f>
        <v>0</v>
      </c>
      <c r="I891" s="64">
        <f>ventas_b_mes1255[[#This Row],[IMPORTE NETO]]*0.21</f>
        <v>0</v>
      </c>
      <c r="J891" s="140"/>
      <c r="K891" s="140"/>
      <c r="L891" s="140"/>
      <c r="M891" s="59"/>
    </row>
    <row r="892" spans="2:13" x14ac:dyDescent="0.25">
      <c r="B892" s="134"/>
      <c r="C892" s="135"/>
      <c r="D892" s="136"/>
      <c r="E892" s="137"/>
      <c r="F892" s="112"/>
      <c r="G892" s="1" t="str">
        <f>IFERROR(IF(ventas_b_mes1255[[#This Row],[CUIT]]="","-",VLOOKUP(ventas_b_mes1255[[#This Row],[CUIT]],Lista_CUIT[#All],2,0)),"CUIT NO CARGADO")</f>
        <v>-</v>
      </c>
      <c r="H892" s="99">
        <f>ventas_b_mes1255[[#This Row],[TOTAL]]/1.21</f>
        <v>0</v>
      </c>
      <c r="I892" s="64">
        <f>ventas_b_mes1255[[#This Row],[IMPORTE NETO]]*0.21</f>
        <v>0</v>
      </c>
      <c r="J892" s="140"/>
      <c r="K892" s="140"/>
      <c r="L892" s="140"/>
      <c r="M892" s="59"/>
    </row>
    <row r="893" spans="2:13" x14ac:dyDescent="0.25">
      <c r="B893" s="134"/>
      <c r="C893" s="135"/>
      <c r="D893" s="136"/>
      <c r="E893" s="137"/>
      <c r="F893" s="112"/>
      <c r="G893" s="1" t="str">
        <f>IFERROR(IF(ventas_b_mes1255[[#This Row],[CUIT]]="","-",VLOOKUP(ventas_b_mes1255[[#This Row],[CUIT]],Lista_CUIT[#All],2,0)),"CUIT NO CARGADO")</f>
        <v>-</v>
      </c>
      <c r="H893" s="99">
        <f>ventas_b_mes1255[[#This Row],[TOTAL]]/1.21</f>
        <v>0</v>
      </c>
      <c r="I893" s="64">
        <f>ventas_b_mes1255[[#This Row],[IMPORTE NETO]]*0.21</f>
        <v>0</v>
      </c>
      <c r="J893" s="140"/>
      <c r="K893" s="140"/>
      <c r="L893" s="140"/>
      <c r="M893" s="59"/>
    </row>
    <row r="894" spans="2:13" x14ac:dyDescent="0.25">
      <c r="B894" s="134"/>
      <c r="C894" s="135"/>
      <c r="D894" s="136"/>
      <c r="E894" s="137"/>
      <c r="F894" s="112"/>
      <c r="G894" s="1" t="str">
        <f>IFERROR(IF(ventas_b_mes1255[[#This Row],[CUIT]]="","-",VLOOKUP(ventas_b_mes1255[[#This Row],[CUIT]],Lista_CUIT[#All],2,0)),"CUIT NO CARGADO")</f>
        <v>-</v>
      </c>
      <c r="H894" s="99">
        <f>ventas_b_mes1255[[#This Row],[TOTAL]]/1.21</f>
        <v>0</v>
      </c>
      <c r="I894" s="64">
        <f>ventas_b_mes1255[[#This Row],[IMPORTE NETO]]*0.21</f>
        <v>0</v>
      </c>
      <c r="J894" s="140"/>
      <c r="K894" s="140"/>
      <c r="L894" s="140"/>
      <c r="M894" s="59"/>
    </row>
    <row r="895" spans="2:13" x14ac:dyDescent="0.25">
      <c r="B895" s="134"/>
      <c r="C895" s="135"/>
      <c r="D895" s="136"/>
      <c r="E895" s="137"/>
      <c r="F895" s="112"/>
      <c r="G895" s="1" t="str">
        <f>IFERROR(IF(ventas_b_mes1255[[#This Row],[CUIT]]="","-",VLOOKUP(ventas_b_mes1255[[#This Row],[CUIT]],Lista_CUIT[#All],2,0)),"CUIT NO CARGADO")</f>
        <v>-</v>
      </c>
      <c r="H895" s="99">
        <f>ventas_b_mes1255[[#This Row],[TOTAL]]/1.21</f>
        <v>0</v>
      </c>
      <c r="I895" s="64">
        <f>ventas_b_mes1255[[#This Row],[IMPORTE NETO]]*0.21</f>
        <v>0</v>
      </c>
      <c r="J895" s="140"/>
      <c r="K895" s="140"/>
      <c r="L895" s="140"/>
      <c r="M895" s="59"/>
    </row>
    <row r="896" spans="2:13" x14ac:dyDescent="0.25">
      <c r="B896" s="134"/>
      <c r="C896" s="135"/>
      <c r="D896" s="136"/>
      <c r="E896" s="137"/>
      <c r="F896" s="112"/>
      <c r="G896" s="1" t="str">
        <f>IFERROR(IF(ventas_b_mes1255[[#This Row],[CUIT]]="","-",VLOOKUP(ventas_b_mes1255[[#This Row],[CUIT]],Lista_CUIT[#All],2,0)),"CUIT NO CARGADO")</f>
        <v>-</v>
      </c>
      <c r="H896" s="99">
        <f>ventas_b_mes1255[[#This Row],[TOTAL]]/1.21</f>
        <v>0</v>
      </c>
      <c r="I896" s="64">
        <f>ventas_b_mes1255[[#This Row],[IMPORTE NETO]]*0.21</f>
        <v>0</v>
      </c>
      <c r="J896" s="140"/>
      <c r="K896" s="140"/>
      <c r="L896" s="140"/>
      <c r="M896" s="59"/>
    </row>
    <row r="897" spans="2:13" x14ac:dyDescent="0.25">
      <c r="B897" s="134"/>
      <c r="C897" s="135"/>
      <c r="D897" s="136"/>
      <c r="E897" s="137"/>
      <c r="F897" s="112"/>
      <c r="G897" s="1" t="str">
        <f>IFERROR(IF(ventas_b_mes1255[[#This Row],[CUIT]]="","-",VLOOKUP(ventas_b_mes1255[[#This Row],[CUIT]],Lista_CUIT[#All],2,0)),"CUIT NO CARGADO")</f>
        <v>-</v>
      </c>
      <c r="H897" s="99">
        <f>ventas_b_mes1255[[#This Row],[TOTAL]]/1.21</f>
        <v>0</v>
      </c>
      <c r="I897" s="64">
        <f>ventas_b_mes1255[[#This Row],[IMPORTE NETO]]*0.21</f>
        <v>0</v>
      </c>
      <c r="J897" s="140"/>
      <c r="K897" s="140"/>
      <c r="L897" s="140"/>
      <c r="M897" s="59"/>
    </row>
    <row r="898" spans="2:13" x14ac:dyDescent="0.25">
      <c r="B898" s="134"/>
      <c r="C898" s="135"/>
      <c r="D898" s="136"/>
      <c r="E898" s="137"/>
      <c r="F898" s="112"/>
      <c r="G898" s="1" t="str">
        <f>IFERROR(IF(ventas_b_mes1255[[#This Row],[CUIT]]="","-",VLOOKUP(ventas_b_mes1255[[#This Row],[CUIT]],Lista_CUIT[#All],2,0)),"CUIT NO CARGADO")</f>
        <v>-</v>
      </c>
      <c r="H898" s="99">
        <f>ventas_b_mes1255[[#This Row],[TOTAL]]/1.21</f>
        <v>0</v>
      </c>
      <c r="I898" s="64">
        <f>ventas_b_mes1255[[#This Row],[IMPORTE NETO]]*0.21</f>
        <v>0</v>
      </c>
      <c r="J898" s="140"/>
      <c r="K898" s="140"/>
      <c r="L898" s="140"/>
      <c r="M898" s="59"/>
    </row>
    <row r="899" spans="2:13" x14ac:dyDescent="0.25">
      <c r="B899" s="134"/>
      <c r="C899" s="135"/>
      <c r="D899" s="136"/>
      <c r="E899" s="137"/>
      <c r="F899" s="112"/>
      <c r="G899" s="1" t="str">
        <f>IFERROR(IF(ventas_b_mes1255[[#This Row],[CUIT]]="","-",VLOOKUP(ventas_b_mes1255[[#This Row],[CUIT]],Lista_CUIT[#All],2,0)),"CUIT NO CARGADO")</f>
        <v>-</v>
      </c>
      <c r="H899" s="99">
        <f>ventas_b_mes1255[[#This Row],[TOTAL]]/1.21</f>
        <v>0</v>
      </c>
      <c r="I899" s="64">
        <f>ventas_b_mes1255[[#This Row],[IMPORTE NETO]]*0.21</f>
        <v>0</v>
      </c>
      <c r="J899" s="140"/>
      <c r="K899" s="140"/>
      <c r="L899" s="140"/>
      <c r="M899" s="59"/>
    </row>
    <row r="900" spans="2:13" x14ac:dyDescent="0.25">
      <c r="B900" s="134"/>
      <c r="C900" s="135"/>
      <c r="D900" s="136"/>
      <c r="E900" s="137"/>
      <c r="F900" s="112"/>
      <c r="G900" s="1" t="str">
        <f>IFERROR(IF(ventas_b_mes1255[[#This Row],[CUIT]]="","-",VLOOKUP(ventas_b_mes1255[[#This Row],[CUIT]],Lista_CUIT[#All],2,0)),"CUIT NO CARGADO")</f>
        <v>-</v>
      </c>
      <c r="H900" s="99">
        <f>ventas_b_mes1255[[#This Row],[TOTAL]]/1.21</f>
        <v>0</v>
      </c>
      <c r="I900" s="64">
        <f>ventas_b_mes1255[[#This Row],[IMPORTE NETO]]*0.21</f>
        <v>0</v>
      </c>
      <c r="J900" s="140"/>
      <c r="K900" s="140"/>
      <c r="L900" s="140"/>
      <c r="M900" s="59"/>
    </row>
    <row r="901" spans="2:13" x14ac:dyDescent="0.25">
      <c r="B901" s="134"/>
      <c r="C901" s="135"/>
      <c r="D901" s="136"/>
      <c r="E901" s="137"/>
      <c r="F901" s="112"/>
      <c r="G901" s="1" t="str">
        <f>IFERROR(IF(ventas_b_mes1255[[#This Row],[CUIT]]="","-",VLOOKUP(ventas_b_mes1255[[#This Row],[CUIT]],Lista_CUIT[#All],2,0)),"CUIT NO CARGADO")</f>
        <v>-</v>
      </c>
      <c r="H901" s="99">
        <f>ventas_b_mes1255[[#This Row],[TOTAL]]/1.21</f>
        <v>0</v>
      </c>
      <c r="I901" s="64">
        <f>ventas_b_mes1255[[#This Row],[IMPORTE NETO]]*0.21</f>
        <v>0</v>
      </c>
      <c r="J901" s="140"/>
      <c r="K901" s="140"/>
      <c r="L901" s="140"/>
      <c r="M901" s="59"/>
    </row>
    <row r="902" spans="2:13" x14ac:dyDescent="0.25">
      <c r="B902" s="134"/>
      <c r="C902" s="135"/>
      <c r="D902" s="136"/>
      <c r="E902" s="137"/>
      <c r="F902" s="112"/>
      <c r="G902" s="1" t="str">
        <f>IFERROR(IF(ventas_b_mes1255[[#This Row],[CUIT]]="","-",VLOOKUP(ventas_b_mes1255[[#This Row],[CUIT]],Lista_CUIT[#All],2,0)),"CUIT NO CARGADO")</f>
        <v>-</v>
      </c>
      <c r="H902" s="99">
        <f>ventas_b_mes1255[[#This Row],[TOTAL]]/1.21</f>
        <v>0</v>
      </c>
      <c r="I902" s="64">
        <f>ventas_b_mes1255[[#This Row],[IMPORTE NETO]]*0.21</f>
        <v>0</v>
      </c>
      <c r="J902" s="140"/>
      <c r="K902" s="140"/>
      <c r="L902" s="140"/>
      <c r="M902" s="59"/>
    </row>
    <row r="903" spans="2:13" x14ac:dyDescent="0.25">
      <c r="B903" s="134"/>
      <c r="C903" s="135"/>
      <c r="D903" s="136"/>
      <c r="E903" s="137"/>
      <c r="F903" s="112"/>
      <c r="G903" s="1" t="str">
        <f>IFERROR(IF(ventas_b_mes1255[[#This Row],[CUIT]]="","-",VLOOKUP(ventas_b_mes1255[[#This Row],[CUIT]],Lista_CUIT[#All],2,0)),"CUIT NO CARGADO")</f>
        <v>-</v>
      </c>
      <c r="H903" s="99">
        <f>ventas_b_mes1255[[#This Row],[TOTAL]]/1.21</f>
        <v>0</v>
      </c>
      <c r="I903" s="64">
        <f>ventas_b_mes1255[[#This Row],[IMPORTE NETO]]*0.21</f>
        <v>0</v>
      </c>
      <c r="J903" s="140"/>
      <c r="K903" s="140"/>
      <c r="L903" s="140"/>
      <c r="M903" s="59"/>
    </row>
    <row r="904" spans="2:13" x14ac:dyDescent="0.25">
      <c r="B904" s="134"/>
      <c r="C904" s="135"/>
      <c r="D904" s="136"/>
      <c r="E904" s="137"/>
      <c r="F904" s="112"/>
      <c r="G904" s="1" t="str">
        <f>IFERROR(IF(ventas_b_mes1255[[#This Row],[CUIT]]="","-",VLOOKUP(ventas_b_mes1255[[#This Row],[CUIT]],Lista_CUIT[#All],2,0)),"CUIT NO CARGADO")</f>
        <v>-</v>
      </c>
      <c r="H904" s="99">
        <f>ventas_b_mes1255[[#This Row],[TOTAL]]/1.21</f>
        <v>0</v>
      </c>
      <c r="I904" s="64">
        <f>ventas_b_mes1255[[#This Row],[IMPORTE NETO]]*0.21</f>
        <v>0</v>
      </c>
      <c r="J904" s="140"/>
      <c r="K904" s="140"/>
      <c r="L904" s="140"/>
      <c r="M904" s="59"/>
    </row>
    <row r="905" spans="2:13" x14ac:dyDescent="0.25">
      <c r="B905" s="134"/>
      <c r="C905" s="135"/>
      <c r="D905" s="136"/>
      <c r="E905" s="137"/>
      <c r="F905" s="112"/>
      <c r="G905" s="1" t="str">
        <f>IFERROR(IF(ventas_b_mes1255[[#This Row],[CUIT]]="","-",VLOOKUP(ventas_b_mes1255[[#This Row],[CUIT]],Lista_CUIT[#All],2,0)),"CUIT NO CARGADO")</f>
        <v>-</v>
      </c>
      <c r="H905" s="99">
        <f>ventas_b_mes1255[[#This Row],[TOTAL]]/1.21</f>
        <v>0</v>
      </c>
      <c r="I905" s="64">
        <f>ventas_b_mes1255[[#This Row],[IMPORTE NETO]]*0.21</f>
        <v>0</v>
      </c>
      <c r="J905" s="140"/>
      <c r="K905" s="140"/>
      <c r="L905" s="140"/>
      <c r="M905" s="59"/>
    </row>
    <row r="906" spans="2:13" x14ac:dyDescent="0.25">
      <c r="B906" s="134"/>
      <c r="C906" s="135"/>
      <c r="D906" s="136"/>
      <c r="E906" s="137"/>
      <c r="F906" s="112"/>
      <c r="G906" s="1" t="str">
        <f>IFERROR(IF(ventas_b_mes1255[[#This Row],[CUIT]]="","-",VLOOKUP(ventas_b_mes1255[[#This Row],[CUIT]],Lista_CUIT[#All],2,0)),"CUIT NO CARGADO")</f>
        <v>-</v>
      </c>
      <c r="H906" s="99">
        <f>ventas_b_mes1255[[#This Row],[TOTAL]]/1.21</f>
        <v>0</v>
      </c>
      <c r="I906" s="64">
        <f>ventas_b_mes1255[[#This Row],[IMPORTE NETO]]*0.21</f>
        <v>0</v>
      </c>
      <c r="J906" s="140"/>
      <c r="K906" s="140"/>
      <c r="L906" s="140"/>
      <c r="M906" s="59"/>
    </row>
    <row r="907" spans="2:13" x14ac:dyDescent="0.25">
      <c r="B907" s="134"/>
      <c r="C907" s="135"/>
      <c r="D907" s="136"/>
      <c r="E907" s="137"/>
      <c r="F907" s="112"/>
      <c r="G907" s="1" t="str">
        <f>IFERROR(IF(ventas_b_mes1255[[#This Row],[CUIT]]="","-",VLOOKUP(ventas_b_mes1255[[#This Row],[CUIT]],Lista_CUIT[#All],2,0)),"CUIT NO CARGADO")</f>
        <v>-</v>
      </c>
      <c r="H907" s="99">
        <f>ventas_b_mes1255[[#This Row],[TOTAL]]/1.21</f>
        <v>0</v>
      </c>
      <c r="I907" s="64">
        <f>ventas_b_mes1255[[#This Row],[IMPORTE NETO]]*0.21</f>
        <v>0</v>
      </c>
      <c r="J907" s="140"/>
      <c r="K907" s="140"/>
      <c r="L907" s="140"/>
      <c r="M907" s="59"/>
    </row>
    <row r="908" spans="2:13" x14ac:dyDescent="0.25">
      <c r="B908" s="134"/>
      <c r="C908" s="135"/>
      <c r="D908" s="136"/>
      <c r="E908" s="137"/>
      <c r="F908" s="112"/>
      <c r="G908" s="1" t="str">
        <f>IFERROR(IF(ventas_b_mes1255[[#This Row],[CUIT]]="","-",VLOOKUP(ventas_b_mes1255[[#This Row],[CUIT]],Lista_CUIT[#All],2,0)),"CUIT NO CARGADO")</f>
        <v>-</v>
      </c>
      <c r="H908" s="99">
        <f>ventas_b_mes1255[[#This Row],[TOTAL]]/1.21</f>
        <v>0</v>
      </c>
      <c r="I908" s="64">
        <f>ventas_b_mes1255[[#This Row],[IMPORTE NETO]]*0.21</f>
        <v>0</v>
      </c>
      <c r="J908" s="140"/>
      <c r="K908" s="140"/>
      <c r="L908" s="140"/>
      <c r="M908" s="59"/>
    </row>
    <row r="909" spans="2:13" x14ac:dyDescent="0.25">
      <c r="B909" s="134"/>
      <c r="C909" s="135"/>
      <c r="D909" s="136"/>
      <c r="E909" s="137"/>
      <c r="F909" s="112"/>
      <c r="G909" s="1" t="str">
        <f>IFERROR(IF(ventas_b_mes1255[[#This Row],[CUIT]]="","-",VLOOKUP(ventas_b_mes1255[[#This Row],[CUIT]],Lista_CUIT[#All],2,0)),"CUIT NO CARGADO")</f>
        <v>-</v>
      </c>
      <c r="H909" s="99">
        <f>ventas_b_mes1255[[#This Row],[TOTAL]]/1.21</f>
        <v>0</v>
      </c>
      <c r="I909" s="64">
        <f>ventas_b_mes1255[[#This Row],[IMPORTE NETO]]*0.21</f>
        <v>0</v>
      </c>
      <c r="J909" s="140"/>
      <c r="K909" s="140"/>
      <c r="L909" s="140"/>
      <c r="M909" s="59"/>
    </row>
    <row r="910" spans="2:13" x14ac:dyDescent="0.25">
      <c r="B910" s="134"/>
      <c r="C910" s="135"/>
      <c r="D910" s="136"/>
      <c r="E910" s="137"/>
      <c r="F910" s="112"/>
      <c r="G910" s="1" t="str">
        <f>IFERROR(IF(ventas_b_mes1255[[#This Row],[CUIT]]="","-",VLOOKUP(ventas_b_mes1255[[#This Row],[CUIT]],Lista_CUIT[#All],2,0)),"CUIT NO CARGADO")</f>
        <v>-</v>
      </c>
      <c r="H910" s="99">
        <f>ventas_b_mes1255[[#This Row],[TOTAL]]/1.21</f>
        <v>0</v>
      </c>
      <c r="I910" s="64">
        <f>ventas_b_mes1255[[#This Row],[IMPORTE NETO]]*0.21</f>
        <v>0</v>
      </c>
      <c r="J910" s="140"/>
      <c r="K910" s="140"/>
      <c r="L910" s="140"/>
      <c r="M910" s="59"/>
    </row>
    <row r="911" spans="2:13" x14ac:dyDescent="0.25">
      <c r="B911" s="134"/>
      <c r="C911" s="135"/>
      <c r="D911" s="136"/>
      <c r="E911" s="137"/>
      <c r="F911" s="112"/>
      <c r="G911" s="1" t="str">
        <f>IFERROR(IF(ventas_b_mes1255[[#This Row],[CUIT]]="","-",VLOOKUP(ventas_b_mes1255[[#This Row],[CUIT]],Lista_CUIT[#All],2,0)),"CUIT NO CARGADO")</f>
        <v>-</v>
      </c>
      <c r="H911" s="99">
        <f>ventas_b_mes1255[[#This Row],[TOTAL]]/1.21</f>
        <v>0</v>
      </c>
      <c r="I911" s="64">
        <f>ventas_b_mes1255[[#This Row],[IMPORTE NETO]]*0.21</f>
        <v>0</v>
      </c>
      <c r="J911" s="140"/>
      <c r="K911" s="140"/>
      <c r="L911" s="140"/>
      <c r="M911" s="59"/>
    </row>
    <row r="912" spans="2:13" x14ac:dyDescent="0.25">
      <c r="B912" s="134"/>
      <c r="C912" s="135"/>
      <c r="D912" s="136"/>
      <c r="E912" s="137"/>
      <c r="F912" s="112"/>
      <c r="G912" s="1" t="str">
        <f>IFERROR(IF(ventas_b_mes1255[[#This Row],[CUIT]]="","-",VLOOKUP(ventas_b_mes1255[[#This Row],[CUIT]],Lista_CUIT[#All],2,0)),"CUIT NO CARGADO")</f>
        <v>-</v>
      </c>
      <c r="H912" s="99">
        <f>ventas_b_mes1255[[#This Row],[TOTAL]]/1.21</f>
        <v>0</v>
      </c>
      <c r="I912" s="64">
        <f>ventas_b_mes1255[[#This Row],[IMPORTE NETO]]*0.21</f>
        <v>0</v>
      </c>
      <c r="J912" s="140"/>
      <c r="K912" s="140"/>
      <c r="L912" s="140"/>
      <c r="M912" s="59"/>
    </row>
    <row r="913" spans="2:13" x14ac:dyDescent="0.25">
      <c r="B913" s="134"/>
      <c r="C913" s="135"/>
      <c r="D913" s="136"/>
      <c r="E913" s="137"/>
      <c r="F913" s="112"/>
      <c r="G913" s="1" t="str">
        <f>IFERROR(IF(ventas_b_mes1255[[#This Row],[CUIT]]="","-",VLOOKUP(ventas_b_mes1255[[#This Row],[CUIT]],Lista_CUIT[#All],2,0)),"CUIT NO CARGADO")</f>
        <v>-</v>
      </c>
      <c r="H913" s="99">
        <f>ventas_b_mes1255[[#This Row],[TOTAL]]/1.21</f>
        <v>0</v>
      </c>
      <c r="I913" s="64">
        <f>ventas_b_mes1255[[#This Row],[IMPORTE NETO]]*0.21</f>
        <v>0</v>
      </c>
      <c r="J913" s="140"/>
      <c r="K913" s="140"/>
      <c r="L913" s="140"/>
      <c r="M913" s="59"/>
    </row>
    <row r="914" spans="2:13" x14ac:dyDescent="0.25">
      <c r="B914" s="134"/>
      <c r="C914" s="135"/>
      <c r="D914" s="136"/>
      <c r="E914" s="137"/>
      <c r="F914" s="112"/>
      <c r="G914" s="1" t="str">
        <f>IFERROR(IF(ventas_b_mes1255[[#This Row],[CUIT]]="","-",VLOOKUP(ventas_b_mes1255[[#This Row],[CUIT]],Lista_CUIT[#All],2,0)),"CUIT NO CARGADO")</f>
        <v>-</v>
      </c>
      <c r="H914" s="99">
        <f>ventas_b_mes1255[[#This Row],[TOTAL]]/1.21</f>
        <v>0</v>
      </c>
      <c r="I914" s="64">
        <f>ventas_b_mes1255[[#This Row],[IMPORTE NETO]]*0.21</f>
        <v>0</v>
      </c>
      <c r="J914" s="140"/>
      <c r="K914" s="140"/>
      <c r="L914" s="140"/>
      <c r="M914" s="59"/>
    </row>
    <row r="915" spans="2:13" x14ac:dyDescent="0.25">
      <c r="B915" s="134"/>
      <c r="C915" s="135"/>
      <c r="D915" s="136"/>
      <c r="E915" s="137"/>
      <c r="F915" s="112"/>
      <c r="G915" s="1" t="str">
        <f>IFERROR(IF(ventas_b_mes1255[[#This Row],[CUIT]]="","-",VLOOKUP(ventas_b_mes1255[[#This Row],[CUIT]],Lista_CUIT[#All],2,0)),"CUIT NO CARGADO")</f>
        <v>-</v>
      </c>
      <c r="H915" s="99">
        <f>ventas_b_mes1255[[#This Row],[TOTAL]]/1.21</f>
        <v>0</v>
      </c>
      <c r="I915" s="64">
        <f>ventas_b_mes1255[[#This Row],[IMPORTE NETO]]*0.21</f>
        <v>0</v>
      </c>
      <c r="J915" s="140"/>
      <c r="K915" s="140"/>
      <c r="L915" s="140"/>
      <c r="M915" s="59"/>
    </row>
    <row r="916" spans="2:13" x14ac:dyDescent="0.25">
      <c r="B916" s="134"/>
      <c r="C916" s="135"/>
      <c r="D916" s="136"/>
      <c r="E916" s="137"/>
      <c r="F916" s="112"/>
      <c r="G916" s="1" t="str">
        <f>IFERROR(IF(ventas_b_mes1255[[#This Row],[CUIT]]="","-",VLOOKUP(ventas_b_mes1255[[#This Row],[CUIT]],Lista_CUIT[#All],2,0)),"CUIT NO CARGADO")</f>
        <v>-</v>
      </c>
      <c r="H916" s="99">
        <f>ventas_b_mes1255[[#This Row],[TOTAL]]/1.21</f>
        <v>0</v>
      </c>
      <c r="I916" s="64">
        <f>ventas_b_mes1255[[#This Row],[IMPORTE NETO]]*0.21</f>
        <v>0</v>
      </c>
      <c r="J916" s="140"/>
      <c r="K916" s="140"/>
      <c r="L916" s="140"/>
      <c r="M916" s="59"/>
    </row>
    <row r="917" spans="2:13" x14ac:dyDescent="0.25">
      <c r="B917" s="134"/>
      <c r="C917" s="135"/>
      <c r="D917" s="136"/>
      <c r="E917" s="137"/>
      <c r="F917" s="112"/>
      <c r="G917" s="1" t="str">
        <f>IFERROR(IF(ventas_b_mes1255[[#This Row],[CUIT]]="","-",VLOOKUP(ventas_b_mes1255[[#This Row],[CUIT]],Lista_CUIT[#All],2,0)),"CUIT NO CARGADO")</f>
        <v>-</v>
      </c>
      <c r="H917" s="99">
        <f>ventas_b_mes1255[[#This Row],[TOTAL]]/1.21</f>
        <v>0</v>
      </c>
      <c r="I917" s="64">
        <f>ventas_b_mes1255[[#This Row],[IMPORTE NETO]]*0.21</f>
        <v>0</v>
      </c>
      <c r="J917" s="140"/>
      <c r="K917" s="140"/>
      <c r="L917" s="140"/>
      <c r="M917" s="59"/>
    </row>
    <row r="918" spans="2:13" x14ac:dyDescent="0.25">
      <c r="B918" s="134"/>
      <c r="C918" s="135"/>
      <c r="D918" s="136"/>
      <c r="E918" s="137"/>
      <c r="F918" s="112"/>
      <c r="G918" s="1" t="str">
        <f>IFERROR(IF(ventas_b_mes1255[[#This Row],[CUIT]]="","-",VLOOKUP(ventas_b_mes1255[[#This Row],[CUIT]],Lista_CUIT[#All],2,0)),"CUIT NO CARGADO")</f>
        <v>-</v>
      </c>
      <c r="H918" s="99">
        <f>ventas_b_mes1255[[#This Row],[TOTAL]]/1.21</f>
        <v>0</v>
      </c>
      <c r="I918" s="64">
        <f>ventas_b_mes1255[[#This Row],[IMPORTE NETO]]*0.21</f>
        <v>0</v>
      </c>
      <c r="J918" s="140"/>
      <c r="K918" s="140"/>
      <c r="L918" s="140"/>
      <c r="M918" s="59"/>
    </row>
    <row r="919" spans="2:13" x14ac:dyDescent="0.25">
      <c r="B919" s="134"/>
      <c r="C919" s="135"/>
      <c r="D919" s="136"/>
      <c r="E919" s="137"/>
      <c r="F919" s="112"/>
      <c r="G919" s="1" t="str">
        <f>IFERROR(IF(ventas_b_mes1255[[#This Row],[CUIT]]="","-",VLOOKUP(ventas_b_mes1255[[#This Row],[CUIT]],Lista_CUIT[#All],2,0)),"CUIT NO CARGADO")</f>
        <v>-</v>
      </c>
      <c r="H919" s="99">
        <f>ventas_b_mes1255[[#This Row],[TOTAL]]/1.21</f>
        <v>0</v>
      </c>
      <c r="I919" s="64">
        <f>ventas_b_mes1255[[#This Row],[IMPORTE NETO]]*0.21</f>
        <v>0</v>
      </c>
      <c r="J919" s="140"/>
      <c r="K919" s="140"/>
      <c r="L919" s="140"/>
      <c r="M919" s="59"/>
    </row>
    <row r="920" spans="2:13" x14ac:dyDescent="0.25">
      <c r="B920" s="134"/>
      <c r="C920" s="135"/>
      <c r="D920" s="136"/>
      <c r="E920" s="137"/>
      <c r="F920" s="112"/>
      <c r="G920" s="1" t="str">
        <f>IFERROR(IF(ventas_b_mes1255[[#This Row],[CUIT]]="","-",VLOOKUP(ventas_b_mes1255[[#This Row],[CUIT]],Lista_CUIT[#All],2,0)),"CUIT NO CARGADO")</f>
        <v>-</v>
      </c>
      <c r="H920" s="99">
        <f>ventas_b_mes1255[[#This Row],[TOTAL]]/1.21</f>
        <v>0</v>
      </c>
      <c r="I920" s="64">
        <f>ventas_b_mes1255[[#This Row],[IMPORTE NETO]]*0.21</f>
        <v>0</v>
      </c>
      <c r="J920" s="140"/>
      <c r="K920" s="140"/>
      <c r="L920" s="140"/>
      <c r="M920" s="59"/>
    </row>
    <row r="921" spans="2:13" x14ac:dyDescent="0.25">
      <c r="B921" s="134"/>
      <c r="C921" s="135"/>
      <c r="D921" s="136"/>
      <c r="E921" s="137"/>
      <c r="F921" s="112"/>
      <c r="G921" s="1" t="str">
        <f>IFERROR(IF(ventas_b_mes1255[[#This Row],[CUIT]]="","-",VLOOKUP(ventas_b_mes1255[[#This Row],[CUIT]],Lista_CUIT[#All],2,0)),"CUIT NO CARGADO")</f>
        <v>-</v>
      </c>
      <c r="H921" s="99">
        <f>ventas_b_mes1255[[#This Row],[TOTAL]]/1.21</f>
        <v>0</v>
      </c>
      <c r="I921" s="64">
        <f>ventas_b_mes1255[[#This Row],[IMPORTE NETO]]*0.21</f>
        <v>0</v>
      </c>
      <c r="J921" s="140"/>
      <c r="K921" s="140"/>
      <c r="L921" s="140"/>
      <c r="M921" s="59"/>
    </row>
    <row r="922" spans="2:13" x14ac:dyDescent="0.25">
      <c r="B922" s="134"/>
      <c r="C922" s="135"/>
      <c r="D922" s="136"/>
      <c r="E922" s="137"/>
      <c r="F922" s="112"/>
      <c r="G922" s="1" t="str">
        <f>IFERROR(IF(ventas_b_mes1255[[#This Row],[CUIT]]="","-",VLOOKUP(ventas_b_mes1255[[#This Row],[CUIT]],Lista_CUIT[#All],2,0)),"CUIT NO CARGADO")</f>
        <v>-</v>
      </c>
      <c r="H922" s="99">
        <f>ventas_b_mes1255[[#This Row],[TOTAL]]/1.21</f>
        <v>0</v>
      </c>
      <c r="I922" s="64">
        <f>ventas_b_mes1255[[#This Row],[IMPORTE NETO]]*0.21</f>
        <v>0</v>
      </c>
      <c r="J922" s="140"/>
      <c r="K922" s="140"/>
      <c r="L922" s="140"/>
      <c r="M922" s="59"/>
    </row>
    <row r="923" spans="2:13" x14ac:dyDescent="0.25">
      <c r="B923" s="134"/>
      <c r="C923" s="135"/>
      <c r="D923" s="136"/>
      <c r="E923" s="137"/>
      <c r="F923" s="112"/>
      <c r="G923" s="1" t="str">
        <f>IFERROR(IF(ventas_b_mes1255[[#This Row],[CUIT]]="","-",VLOOKUP(ventas_b_mes1255[[#This Row],[CUIT]],Lista_CUIT[#All],2,0)),"CUIT NO CARGADO")</f>
        <v>-</v>
      </c>
      <c r="H923" s="99">
        <f>ventas_b_mes1255[[#This Row],[TOTAL]]/1.21</f>
        <v>0</v>
      </c>
      <c r="I923" s="64">
        <f>ventas_b_mes1255[[#This Row],[IMPORTE NETO]]*0.21</f>
        <v>0</v>
      </c>
      <c r="J923" s="140"/>
      <c r="K923" s="140"/>
      <c r="L923" s="140"/>
      <c r="M923" s="59"/>
    </row>
    <row r="924" spans="2:13" x14ac:dyDescent="0.25">
      <c r="B924" s="134"/>
      <c r="C924" s="135"/>
      <c r="D924" s="136"/>
      <c r="E924" s="137"/>
      <c r="F924" s="112"/>
      <c r="G924" s="1" t="str">
        <f>IFERROR(IF(ventas_b_mes1255[[#This Row],[CUIT]]="","-",VLOOKUP(ventas_b_mes1255[[#This Row],[CUIT]],Lista_CUIT[#All],2,0)),"CUIT NO CARGADO")</f>
        <v>-</v>
      </c>
      <c r="H924" s="99">
        <f>ventas_b_mes1255[[#This Row],[TOTAL]]/1.21</f>
        <v>0</v>
      </c>
      <c r="I924" s="64">
        <f>ventas_b_mes1255[[#This Row],[IMPORTE NETO]]*0.21</f>
        <v>0</v>
      </c>
      <c r="J924" s="140"/>
      <c r="K924" s="140"/>
      <c r="L924" s="140"/>
      <c r="M924" s="59"/>
    </row>
    <row r="925" spans="2:13" x14ac:dyDescent="0.25">
      <c r="B925" s="134"/>
      <c r="C925" s="135"/>
      <c r="D925" s="136"/>
      <c r="E925" s="137"/>
      <c r="F925" s="112"/>
      <c r="G925" s="1" t="str">
        <f>IFERROR(IF(ventas_b_mes1255[[#This Row],[CUIT]]="","-",VLOOKUP(ventas_b_mes1255[[#This Row],[CUIT]],Lista_CUIT[#All],2,0)),"CUIT NO CARGADO")</f>
        <v>-</v>
      </c>
      <c r="H925" s="99">
        <f>ventas_b_mes1255[[#This Row],[TOTAL]]/1.21</f>
        <v>0</v>
      </c>
      <c r="I925" s="64">
        <f>ventas_b_mes1255[[#This Row],[IMPORTE NETO]]*0.21</f>
        <v>0</v>
      </c>
      <c r="J925" s="140"/>
      <c r="K925" s="140"/>
      <c r="L925" s="140"/>
      <c r="M925" s="59"/>
    </row>
    <row r="926" spans="2:13" x14ac:dyDescent="0.25">
      <c r="B926" s="134"/>
      <c r="C926" s="135"/>
      <c r="D926" s="136"/>
      <c r="E926" s="137"/>
      <c r="F926" s="112"/>
      <c r="G926" s="1" t="str">
        <f>IFERROR(IF(ventas_b_mes1255[[#This Row],[CUIT]]="","-",VLOOKUP(ventas_b_mes1255[[#This Row],[CUIT]],Lista_CUIT[#All],2,0)),"CUIT NO CARGADO")</f>
        <v>-</v>
      </c>
      <c r="H926" s="99">
        <f>ventas_b_mes1255[[#This Row],[TOTAL]]/1.21</f>
        <v>0</v>
      </c>
      <c r="I926" s="64">
        <f>ventas_b_mes1255[[#This Row],[IMPORTE NETO]]*0.21</f>
        <v>0</v>
      </c>
      <c r="J926" s="140"/>
      <c r="K926" s="140"/>
      <c r="L926" s="140"/>
      <c r="M926" s="59"/>
    </row>
    <row r="927" spans="2:13" x14ac:dyDescent="0.25">
      <c r="B927" s="134"/>
      <c r="C927" s="135"/>
      <c r="D927" s="136"/>
      <c r="E927" s="137"/>
      <c r="F927" s="112"/>
      <c r="G927" s="1" t="str">
        <f>IFERROR(IF(ventas_b_mes1255[[#This Row],[CUIT]]="","-",VLOOKUP(ventas_b_mes1255[[#This Row],[CUIT]],Lista_CUIT[#All],2,0)),"CUIT NO CARGADO")</f>
        <v>-</v>
      </c>
      <c r="H927" s="99">
        <f>ventas_b_mes1255[[#This Row],[TOTAL]]/1.21</f>
        <v>0</v>
      </c>
      <c r="I927" s="64">
        <f>ventas_b_mes1255[[#This Row],[IMPORTE NETO]]*0.21</f>
        <v>0</v>
      </c>
      <c r="J927" s="140"/>
      <c r="K927" s="140"/>
      <c r="L927" s="140"/>
      <c r="M927" s="59"/>
    </row>
    <row r="928" spans="2:13" x14ac:dyDescent="0.25">
      <c r="B928" s="134"/>
      <c r="C928" s="135"/>
      <c r="D928" s="136"/>
      <c r="E928" s="137"/>
      <c r="F928" s="112"/>
      <c r="G928" s="1" t="str">
        <f>IFERROR(IF(ventas_b_mes1255[[#This Row],[CUIT]]="","-",VLOOKUP(ventas_b_mes1255[[#This Row],[CUIT]],Lista_CUIT[#All],2,0)),"CUIT NO CARGADO")</f>
        <v>-</v>
      </c>
      <c r="H928" s="99">
        <f>ventas_b_mes1255[[#This Row],[TOTAL]]/1.21</f>
        <v>0</v>
      </c>
      <c r="I928" s="64">
        <f>ventas_b_mes1255[[#This Row],[IMPORTE NETO]]*0.21</f>
        <v>0</v>
      </c>
      <c r="J928" s="140"/>
      <c r="K928" s="140"/>
      <c r="L928" s="140"/>
      <c r="M928" s="59"/>
    </row>
    <row r="929" spans="2:13" x14ac:dyDescent="0.25">
      <c r="B929" s="134"/>
      <c r="C929" s="135"/>
      <c r="D929" s="136"/>
      <c r="E929" s="137"/>
      <c r="F929" s="112"/>
      <c r="G929" s="1" t="str">
        <f>IFERROR(IF(ventas_b_mes1255[[#This Row],[CUIT]]="","-",VLOOKUP(ventas_b_mes1255[[#This Row],[CUIT]],Lista_CUIT[#All],2,0)),"CUIT NO CARGADO")</f>
        <v>-</v>
      </c>
      <c r="H929" s="99">
        <f>ventas_b_mes1255[[#This Row],[TOTAL]]/1.21</f>
        <v>0</v>
      </c>
      <c r="I929" s="64">
        <f>ventas_b_mes1255[[#This Row],[IMPORTE NETO]]*0.21</f>
        <v>0</v>
      </c>
      <c r="J929" s="140"/>
      <c r="K929" s="140"/>
      <c r="L929" s="140"/>
      <c r="M929" s="59"/>
    </row>
    <row r="930" spans="2:13" x14ac:dyDescent="0.25">
      <c r="B930" s="134"/>
      <c r="C930" s="135"/>
      <c r="D930" s="136"/>
      <c r="E930" s="137"/>
      <c r="F930" s="112"/>
      <c r="G930" s="1" t="str">
        <f>IFERROR(IF(ventas_b_mes1255[[#This Row],[CUIT]]="","-",VLOOKUP(ventas_b_mes1255[[#This Row],[CUIT]],Lista_CUIT[#All],2,0)),"CUIT NO CARGADO")</f>
        <v>-</v>
      </c>
      <c r="H930" s="99">
        <f>ventas_b_mes1255[[#This Row],[TOTAL]]/1.21</f>
        <v>0</v>
      </c>
      <c r="I930" s="64">
        <f>ventas_b_mes1255[[#This Row],[IMPORTE NETO]]*0.21</f>
        <v>0</v>
      </c>
      <c r="J930" s="140"/>
      <c r="K930" s="140"/>
      <c r="L930" s="140"/>
      <c r="M930" s="59"/>
    </row>
    <row r="931" spans="2:13" x14ac:dyDescent="0.25">
      <c r="B931" s="134"/>
      <c r="C931" s="135"/>
      <c r="D931" s="136"/>
      <c r="E931" s="137"/>
      <c r="F931" s="112"/>
      <c r="G931" s="1" t="str">
        <f>IFERROR(IF(ventas_b_mes1255[[#This Row],[CUIT]]="","-",VLOOKUP(ventas_b_mes1255[[#This Row],[CUIT]],Lista_CUIT[#All],2,0)),"CUIT NO CARGADO")</f>
        <v>-</v>
      </c>
      <c r="H931" s="99">
        <f>ventas_b_mes1255[[#This Row],[TOTAL]]/1.21</f>
        <v>0</v>
      </c>
      <c r="I931" s="64">
        <f>ventas_b_mes1255[[#This Row],[IMPORTE NETO]]*0.21</f>
        <v>0</v>
      </c>
      <c r="J931" s="140"/>
      <c r="K931" s="140"/>
      <c r="L931" s="140"/>
      <c r="M931" s="59"/>
    </row>
    <row r="932" spans="2:13" x14ac:dyDescent="0.25">
      <c r="B932" s="134"/>
      <c r="C932" s="135"/>
      <c r="D932" s="136"/>
      <c r="E932" s="137"/>
      <c r="F932" s="112"/>
      <c r="G932" s="1" t="str">
        <f>IFERROR(IF(ventas_b_mes1255[[#This Row],[CUIT]]="","-",VLOOKUP(ventas_b_mes1255[[#This Row],[CUIT]],Lista_CUIT[#All],2,0)),"CUIT NO CARGADO")</f>
        <v>-</v>
      </c>
      <c r="H932" s="99">
        <f>ventas_b_mes1255[[#This Row],[TOTAL]]/1.21</f>
        <v>0</v>
      </c>
      <c r="I932" s="64">
        <f>ventas_b_mes1255[[#This Row],[IMPORTE NETO]]*0.21</f>
        <v>0</v>
      </c>
      <c r="J932" s="140"/>
      <c r="K932" s="140"/>
      <c r="L932" s="140"/>
      <c r="M932" s="59"/>
    </row>
    <row r="933" spans="2:13" x14ac:dyDescent="0.25">
      <c r="B933" s="134"/>
      <c r="C933" s="135"/>
      <c r="D933" s="136"/>
      <c r="E933" s="137"/>
      <c r="F933" s="112"/>
      <c r="G933" s="1" t="str">
        <f>IFERROR(IF(ventas_b_mes1255[[#This Row],[CUIT]]="","-",VLOOKUP(ventas_b_mes1255[[#This Row],[CUIT]],Lista_CUIT[#All],2,0)),"CUIT NO CARGADO")</f>
        <v>-</v>
      </c>
      <c r="H933" s="99">
        <f>ventas_b_mes1255[[#This Row],[TOTAL]]/1.21</f>
        <v>0</v>
      </c>
      <c r="I933" s="64">
        <f>ventas_b_mes1255[[#This Row],[IMPORTE NETO]]*0.21</f>
        <v>0</v>
      </c>
      <c r="J933" s="140"/>
      <c r="K933" s="140"/>
      <c r="L933" s="140"/>
      <c r="M933" s="59"/>
    </row>
    <row r="934" spans="2:13" x14ac:dyDescent="0.25">
      <c r="B934" s="134"/>
      <c r="C934" s="135"/>
      <c r="D934" s="136"/>
      <c r="E934" s="137"/>
      <c r="F934" s="112"/>
      <c r="G934" s="1" t="str">
        <f>IFERROR(IF(ventas_b_mes1255[[#This Row],[CUIT]]="","-",VLOOKUP(ventas_b_mes1255[[#This Row],[CUIT]],Lista_CUIT[#All],2,0)),"CUIT NO CARGADO")</f>
        <v>-</v>
      </c>
      <c r="H934" s="99">
        <f>ventas_b_mes1255[[#This Row],[TOTAL]]/1.21</f>
        <v>0</v>
      </c>
      <c r="I934" s="64">
        <f>ventas_b_mes1255[[#This Row],[IMPORTE NETO]]*0.21</f>
        <v>0</v>
      </c>
      <c r="J934" s="140"/>
      <c r="K934" s="140"/>
      <c r="L934" s="140"/>
      <c r="M934" s="59"/>
    </row>
    <row r="935" spans="2:13" x14ac:dyDescent="0.25">
      <c r="B935" s="134"/>
      <c r="C935" s="135"/>
      <c r="D935" s="136"/>
      <c r="E935" s="137"/>
      <c r="F935" s="112"/>
      <c r="G935" s="1" t="str">
        <f>IFERROR(IF(ventas_b_mes1255[[#This Row],[CUIT]]="","-",VLOOKUP(ventas_b_mes1255[[#This Row],[CUIT]],Lista_CUIT[#All],2,0)),"CUIT NO CARGADO")</f>
        <v>-</v>
      </c>
      <c r="H935" s="99">
        <f>ventas_b_mes1255[[#This Row],[TOTAL]]/1.21</f>
        <v>0</v>
      </c>
      <c r="I935" s="64">
        <f>ventas_b_mes1255[[#This Row],[IMPORTE NETO]]*0.21</f>
        <v>0</v>
      </c>
      <c r="J935" s="140"/>
      <c r="K935" s="140"/>
      <c r="L935" s="140"/>
      <c r="M935" s="59"/>
    </row>
    <row r="936" spans="2:13" x14ac:dyDescent="0.25">
      <c r="B936" s="134"/>
      <c r="C936" s="135"/>
      <c r="D936" s="136"/>
      <c r="E936" s="137"/>
      <c r="F936" s="112"/>
      <c r="G936" s="1" t="str">
        <f>IFERROR(IF(ventas_b_mes1255[[#This Row],[CUIT]]="","-",VLOOKUP(ventas_b_mes1255[[#This Row],[CUIT]],Lista_CUIT[#All],2,0)),"CUIT NO CARGADO")</f>
        <v>-</v>
      </c>
      <c r="H936" s="99">
        <f>ventas_b_mes1255[[#This Row],[TOTAL]]/1.21</f>
        <v>0</v>
      </c>
      <c r="I936" s="64">
        <f>ventas_b_mes1255[[#This Row],[IMPORTE NETO]]*0.21</f>
        <v>0</v>
      </c>
      <c r="J936" s="140"/>
      <c r="K936" s="140"/>
      <c r="L936" s="140"/>
      <c r="M936" s="59"/>
    </row>
    <row r="937" spans="2:13" x14ac:dyDescent="0.25">
      <c r="B937" s="134"/>
      <c r="C937" s="135"/>
      <c r="D937" s="136"/>
      <c r="E937" s="137"/>
      <c r="F937" s="112"/>
      <c r="G937" s="1" t="str">
        <f>IFERROR(IF(ventas_b_mes1255[[#This Row],[CUIT]]="","-",VLOOKUP(ventas_b_mes1255[[#This Row],[CUIT]],Lista_CUIT[#All],2,0)),"CUIT NO CARGADO")</f>
        <v>-</v>
      </c>
      <c r="H937" s="99">
        <f>ventas_b_mes1255[[#This Row],[TOTAL]]/1.21</f>
        <v>0</v>
      </c>
      <c r="I937" s="64">
        <f>ventas_b_mes1255[[#This Row],[IMPORTE NETO]]*0.21</f>
        <v>0</v>
      </c>
      <c r="J937" s="140"/>
      <c r="K937" s="140"/>
      <c r="L937" s="140"/>
      <c r="M937" s="59"/>
    </row>
    <row r="938" spans="2:13" x14ac:dyDescent="0.25">
      <c r="B938" s="134"/>
      <c r="C938" s="135"/>
      <c r="D938" s="136"/>
      <c r="E938" s="137"/>
      <c r="F938" s="112"/>
      <c r="G938" s="1" t="str">
        <f>IFERROR(IF(ventas_b_mes1255[[#This Row],[CUIT]]="","-",VLOOKUP(ventas_b_mes1255[[#This Row],[CUIT]],Lista_CUIT[#All],2,0)),"CUIT NO CARGADO")</f>
        <v>-</v>
      </c>
      <c r="H938" s="99">
        <f>ventas_b_mes1255[[#This Row],[TOTAL]]/1.21</f>
        <v>0</v>
      </c>
      <c r="I938" s="64">
        <f>ventas_b_mes1255[[#This Row],[IMPORTE NETO]]*0.21</f>
        <v>0</v>
      </c>
      <c r="J938" s="140"/>
      <c r="K938" s="140"/>
      <c r="L938" s="140"/>
      <c r="M938" s="59"/>
    </row>
    <row r="939" spans="2:13" x14ac:dyDescent="0.25">
      <c r="B939" s="134"/>
      <c r="C939" s="135"/>
      <c r="D939" s="136"/>
      <c r="E939" s="137"/>
      <c r="F939" s="112"/>
      <c r="G939" s="1" t="str">
        <f>IFERROR(IF(ventas_b_mes1255[[#This Row],[CUIT]]="","-",VLOOKUP(ventas_b_mes1255[[#This Row],[CUIT]],Lista_CUIT[#All],2,0)),"CUIT NO CARGADO")</f>
        <v>-</v>
      </c>
      <c r="H939" s="99">
        <f>ventas_b_mes1255[[#This Row],[TOTAL]]/1.21</f>
        <v>0</v>
      </c>
      <c r="I939" s="64">
        <f>ventas_b_mes1255[[#This Row],[IMPORTE NETO]]*0.21</f>
        <v>0</v>
      </c>
      <c r="J939" s="140"/>
      <c r="K939" s="140"/>
      <c r="L939" s="140"/>
      <c r="M939" s="59"/>
    </row>
    <row r="940" spans="2:13" x14ac:dyDescent="0.25">
      <c r="B940" s="134"/>
      <c r="C940" s="135"/>
      <c r="D940" s="136"/>
      <c r="E940" s="137"/>
      <c r="F940" s="112"/>
      <c r="G940" s="1" t="str">
        <f>IFERROR(IF(ventas_b_mes1255[[#This Row],[CUIT]]="","-",VLOOKUP(ventas_b_mes1255[[#This Row],[CUIT]],Lista_CUIT[#All],2,0)),"CUIT NO CARGADO")</f>
        <v>-</v>
      </c>
      <c r="H940" s="99">
        <f>ventas_b_mes1255[[#This Row],[TOTAL]]/1.21</f>
        <v>0</v>
      </c>
      <c r="I940" s="64">
        <f>ventas_b_mes1255[[#This Row],[IMPORTE NETO]]*0.21</f>
        <v>0</v>
      </c>
      <c r="J940" s="140"/>
      <c r="K940" s="140"/>
      <c r="L940" s="140"/>
      <c r="M940" s="59"/>
    </row>
    <row r="941" spans="2:13" x14ac:dyDescent="0.25">
      <c r="B941" s="134"/>
      <c r="C941" s="41"/>
      <c r="D941" s="136"/>
      <c r="E941" s="137"/>
      <c r="F941" s="112"/>
      <c r="G941" s="1" t="str">
        <f>IFERROR(IF(ventas_b_mes1255[[#This Row],[CUIT]]="","-",VLOOKUP(ventas_b_mes1255[[#This Row],[CUIT]],Lista_CUIT[#All],2,0)),"CUIT NO CARGADO")</f>
        <v>-</v>
      </c>
      <c r="H941" s="99">
        <f>ventas_b_mes1255[[#This Row],[TOTAL]]/1.21</f>
        <v>0</v>
      </c>
      <c r="I941" s="64">
        <f>ventas_b_mes1255[[#This Row],[IMPORTE NETO]]*0.21</f>
        <v>0</v>
      </c>
      <c r="J941" s="140"/>
      <c r="K941" s="140"/>
      <c r="L941" s="140"/>
      <c r="M941" s="59"/>
    </row>
    <row r="942" spans="2:13" x14ac:dyDescent="0.25">
      <c r="B942" s="134"/>
      <c r="C942" s="41"/>
      <c r="D942" s="136"/>
      <c r="E942" s="137"/>
      <c r="F942" s="112"/>
      <c r="G942" s="1" t="str">
        <f>IFERROR(IF(ventas_b_mes1255[[#This Row],[CUIT]]="","-",VLOOKUP(ventas_b_mes1255[[#This Row],[CUIT]],Lista_CUIT[#All],2,0)),"CUIT NO CARGADO")</f>
        <v>-</v>
      </c>
      <c r="H942" s="99">
        <f>ventas_b_mes1255[[#This Row],[TOTAL]]/1.21</f>
        <v>0</v>
      </c>
      <c r="I942" s="64">
        <f>ventas_b_mes1255[[#This Row],[IMPORTE NETO]]*0.21</f>
        <v>0</v>
      </c>
      <c r="J942" s="140"/>
      <c r="K942" s="140"/>
      <c r="L942" s="140"/>
      <c r="M942" s="59"/>
    </row>
    <row r="943" spans="2:13" x14ac:dyDescent="0.25">
      <c r="B943" s="134"/>
      <c r="C943" s="41"/>
      <c r="D943" s="136"/>
      <c r="E943" s="137"/>
      <c r="F943" s="112"/>
      <c r="G943" s="1" t="str">
        <f>IFERROR(IF(ventas_b_mes1255[[#This Row],[CUIT]]="","-",VLOOKUP(ventas_b_mes1255[[#This Row],[CUIT]],Lista_CUIT[#All],2,0)),"CUIT NO CARGADO")</f>
        <v>-</v>
      </c>
      <c r="H943" s="99">
        <f>ventas_b_mes1255[[#This Row],[TOTAL]]/1.21</f>
        <v>0</v>
      </c>
      <c r="I943" s="64">
        <f>ventas_b_mes1255[[#This Row],[IMPORTE NETO]]*0.21</f>
        <v>0</v>
      </c>
      <c r="J943" s="140"/>
      <c r="K943" s="140"/>
      <c r="L943" s="140"/>
      <c r="M943" s="59"/>
    </row>
    <row r="944" spans="2:13" x14ac:dyDescent="0.25">
      <c r="B944" s="134"/>
      <c r="C944" s="41"/>
      <c r="D944" s="136"/>
      <c r="E944" s="137"/>
      <c r="F944" s="112"/>
      <c r="G944" s="1" t="str">
        <f>IFERROR(IF(ventas_b_mes1255[[#This Row],[CUIT]]="","-",VLOOKUP(ventas_b_mes1255[[#This Row],[CUIT]],Lista_CUIT[#All],2,0)),"CUIT NO CARGADO")</f>
        <v>-</v>
      </c>
      <c r="H944" s="99">
        <f>ventas_b_mes1255[[#This Row],[TOTAL]]/1.21</f>
        <v>0</v>
      </c>
      <c r="I944" s="64">
        <f>ventas_b_mes1255[[#This Row],[IMPORTE NETO]]*0.21</f>
        <v>0</v>
      </c>
      <c r="J944" s="140"/>
      <c r="K944" s="140"/>
      <c r="L944" s="140"/>
      <c r="M944" s="59"/>
    </row>
    <row r="945" spans="2:13" x14ac:dyDescent="0.25">
      <c r="B945" s="134"/>
      <c r="C945" s="41"/>
      <c r="D945" s="136"/>
      <c r="E945" s="137"/>
      <c r="F945" s="112"/>
      <c r="G945" s="1" t="str">
        <f>IFERROR(IF(ventas_b_mes1255[[#This Row],[CUIT]]="","-",VLOOKUP(ventas_b_mes1255[[#This Row],[CUIT]],Lista_CUIT[#All],2,0)),"CUIT NO CARGADO")</f>
        <v>-</v>
      </c>
      <c r="H945" s="99">
        <f>ventas_b_mes1255[[#This Row],[TOTAL]]/1.21</f>
        <v>0</v>
      </c>
      <c r="I945" s="64">
        <f>ventas_b_mes1255[[#This Row],[IMPORTE NETO]]*0.21</f>
        <v>0</v>
      </c>
      <c r="J945" s="140"/>
      <c r="K945" s="140"/>
      <c r="L945" s="140"/>
      <c r="M945" s="59"/>
    </row>
    <row r="946" spans="2:13" x14ac:dyDescent="0.25">
      <c r="B946" s="134"/>
      <c r="C946" s="41"/>
      <c r="D946" s="136"/>
      <c r="E946" s="137"/>
      <c r="F946" s="112"/>
      <c r="G946" s="1" t="str">
        <f>IFERROR(IF(ventas_b_mes1255[[#This Row],[CUIT]]="","-",VLOOKUP(ventas_b_mes1255[[#This Row],[CUIT]],Lista_CUIT[#All],2,0)),"CUIT NO CARGADO")</f>
        <v>-</v>
      </c>
      <c r="H946" s="99">
        <f>ventas_b_mes1255[[#This Row],[TOTAL]]/1.21</f>
        <v>0</v>
      </c>
      <c r="I946" s="64">
        <f>ventas_b_mes1255[[#This Row],[IMPORTE NETO]]*0.21</f>
        <v>0</v>
      </c>
      <c r="J946" s="140"/>
      <c r="K946" s="140"/>
      <c r="L946" s="140"/>
      <c r="M946" s="59"/>
    </row>
    <row r="947" spans="2:13" x14ac:dyDescent="0.25">
      <c r="B947" s="134"/>
      <c r="C947" s="41"/>
      <c r="D947" s="136"/>
      <c r="E947" s="137"/>
      <c r="F947" s="112"/>
      <c r="G947" s="1" t="str">
        <f>IFERROR(IF(ventas_b_mes1255[[#This Row],[CUIT]]="","-",VLOOKUP(ventas_b_mes1255[[#This Row],[CUIT]],Lista_CUIT[#All],2,0)),"CUIT NO CARGADO")</f>
        <v>-</v>
      </c>
      <c r="H947" s="99">
        <f>ventas_b_mes1255[[#This Row],[TOTAL]]/1.21</f>
        <v>0</v>
      </c>
      <c r="I947" s="64">
        <f>ventas_b_mes1255[[#This Row],[IMPORTE NETO]]*0.21</f>
        <v>0</v>
      </c>
      <c r="J947" s="140"/>
      <c r="K947" s="140"/>
      <c r="L947" s="140"/>
      <c r="M947" s="59"/>
    </row>
    <row r="948" spans="2:13" x14ac:dyDescent="0.25">
      <c r="B948" s="134"/>
      <c r="C948" s="41"/>
      <c r="D948" s="136"/>
      <c r="E948" s="137"/>
      <c r="F948" s="112"/>
      <c r="G948" s="1" t="str">
        <f>IFERROR(IF(ventas_b_mes1255[[#This Row],[CUIT]]="","-",VLOOKUP(ventas_b_mes1255[[#This Row],[CUIT]],Lista_CUIT[#All],2,0)),"CUIT NO CARGADO")</f>
        <v>-</v>
      </c>
      <c r="H948" s="99">
        <f>ventas_b_mes1255[[#This Row],[TOTAL]]/1.21</f>
        <v>0</v>
      </c>
      <c r="I948" s="64">
        <f>ventas_b_mes1255[[#This Row],[IMPORTE NETO]]*0.21</f>
        <v>0</v>
      </c>
      <c r="J948" s="140"/>
      <c r="K948" s="140"/>
      <c r="L948" s="140"/>
      <c r="M948" s="59"/>
    </row>
    <row r="949" spans="2:13" x14ac:dyDescent="0.25">
      <c r="B949" s="134"/>
      <c r="C949" s="41"/>
      <c r="D949" s="136"/>
      <c r="E949" s="137"/>
      <c r="F949" s="112"/>
      <c r="G949" s="1" t="str">
        <f>IFERROR(IF(ventas_b_mes1255[[#This Row],[CUIT]]="","-",VLOOKUP(ventas_b_mes1255[[#This Row],[CUIT]],Lista_CUIT[#All],2,0)),"CUIT NO CARGADO")</f>
        <v>-</v>
      </c>
      <c r="H949" s="99">
        <f>ventas_b_mes1255[[#This Row],[TOTAL]]/1.21</f>
        <v>0</v>
      </c>
      <c r="I949" s="64">
        <f>ventas_b_mes1255[[#This Row],[IMPORTE NETO]]*0.21</f>
        <v>0</v>
      </c>
      <c r="J949" s="140"/>
      <c r="K949" s="140"/>
      <c r="L949" s="140"/>
      <c r="M949" s="59"/>
    </row>
    <row r="950" spans="2:13" x14ac:dyDescent="0.25">
      <c r="B950" s="134"/>
      <c r="C950" s="41"/>
      <c r="D950" s="136"/>
      <c r="E950" s="137"/>
      <c r="F950" s="112"/>
      <c r="G950" s="1" t="str">
        <f>IFERROR(IF(ventas_b_mes1255[[#This Row],[CUIT]]="","-",VLOOKUP(ventas_b_mes1255[[#This Row],[CUIT]],Lista_CUIT[#All],2,0)),"CUIT NO CARGADO")</f>
        <v>-</v>
      </c>
      <c r="H950" s="99">
        <f>ventas_b_mes1255[[#This Row],[TOTAL]]/1.21</f>
        <v>0</v>
      </c>
      <c r="I950" s="64">
        <f>ventas_b_mes1255[[#This Row],[IMPORTE NETO]]*0.21</f>
        <v>0</v>
      </c>
      <c r="J950" s="140"/>
      <c r="K950" s="140"/>
      <c r="L950" s="140"/>
      <c r="M950" s="59"/>
    </row>
    <row r="951" spans="2:13" x14ac:dyDescent="0.25">
      <c r="B951" s="134"/>
      <c r="C951" s="41"/>
      <c r="D951" s="136"/>
      <c r="E951" s="137"/>
      <c r="F951" s="112"/>
      <c r="G951" s="1" t="str">
        <f>IFERROR(IF(ventas_b_mes1255[[#This Row],[CUIT]]="","-",VLOOKUP(ventas_b_mes1255[[#This Row],[CUIT]],Lista_CUIT[#All],2,0)),"CUIT NO CARGADO")</f>
        <v>-</v>
      </c>
      <c r="H951" s="99">
        <f>ventas_b_mes1255[[#This Row],[TOTAL]]/1.21</f>
        <v>0</v>
      </c>
      <c r="I951" s="64">
        <f>ventas_b_mes1255[[#This Row],[IMPORTE NETO]]*0.21</f>
        <v>0</v>
      </c>
      <c r="J951" s="140"/>
      <c r="K951" s="140"/>
      <c r="L951" s="140"/>
      <c r="M951" s="59"/>
    </row>
    <row r="952" spans="2:13" x14ac:dyDescent="0.25">
      <c r="B952" s="134"/>
      <c r="C952" s="41"/>
      <c r="D952" s="136"/>
      <c r="E952" s="137"/>
      <c r="F952" s="112"/>
      <c r="G952" s="1" t="str">
        <f>IFERROR(IF(ventas_b_mes1255[[#This Row],[CUIT]]="","-",VLOOKUP(ventas_b_mes1255[[#This Row],[CUIT]],Lista_CUIT[#All],2,0)),"CUIT NO CARGADO")</f>
        <v>-</v>
      </c>
      <c r="H952" s="99">
        <f>ventas_b_mes1255[[#This Row],[TOTAL]]/1.21</f>
        <v>0</v>
      </c>
      <c r="I952" s="64">
        <f>ventas_b_mes1255[[#This Row],[IMPORTE NETO]]*0.21</f>
        <v>0</v>
      </c>
      <c r="J952" s="140"/>
      <c r="K952" s="140"/>
      <c r="L952" s="140"/>
      <c r="M952" s="59"/>
    </row>
    <row r="953" spans="2:13" x14ac:dyDescent="0.25">
      <c r="B953" s="134"/>
      <c r="C953" s="41"/>
      <c r="D953" s="136"/>
      <c r="E953" s="137"/>
      <c r="F953" s="112"/>
      <c r="G953" s="1" t="str">
        <f>IFERROR(IF(ventas_b_mes1255[[#This Row],[CUIT]]="","-",VLOOKUP(ventas_b_mes1255[[#This Row],[CUIT]],Lista_CUIT[#All],2,0)),"CUIT NO CARGADO")</f>
        <v>-</v>
      </c>
      <c r="H953" s="99">
        <f>ventas_b_mes1255[[#This Row],[TOTAL]]/1.21</f>
        <v>0</v>
      </c>
      <c r="I953" s="64">
        <f>ventas_b_mes1255[[#This Row],[IMPORTE NETO]]*0.21</f>
        <v>0</v>
      </c>
      <c r="J953" s="140"/>
      <c r="K953" s="140"/>
      <c r="L953" s="140"/>
      <c r="M953" s="59"/>
    </row>
    <row r="954" spans="2:13" x14ac:dyDescent="0.25">
      <c r="B954" s="134"/>
      <c r="C954" s="41"/>
      <c r="D954" s="136"/>
      <c r="E954" s="137"/>
      <c r="F954" s="112"/>
      <c r="G954" s="1" t="str">
        <f>IFERROR(IF(ventas_b_mes1255[[#This Row],[CUIT]]="","-",VLOOKUP(ventas_b_mes1255[[#This Row],[CUIT]],Lista_CUIT[#All],2,0)),"CUIT NO CARGADO")</f>
        <v>-</v>
      </c>
      <c r="H954" s="99">
        <f>ventas_b_mes1255[[#This Row],[TOTAL]]/1.21</f>
        <v>0</v>
      </c>
      <c r="I954" s="64">
        <f>ventas_b_mes1255[[#This Row],[IMPORTE NETO]]*0.21</f>
        <v>0</v>
      </c>
      <c r="J954" s="140"/>
      <c r="K954" s="140"/>
      <c r="L954" s="140"/>
      <c r="M954" s="59"/>
    </row>
    <row r="955" spans="2:13" x14ac:dyDescent="0.25">
      <c r="B955" s="134"/>
      <c r="C955" s="41"/>
      <c r="D955" s="136"/>
      <c r="E955" s="137"/>
      <c r="F955" s="112"/>
      <c r="G955" s="1" t="str">
        <f>IFERROR(IF(ventas_b_mes1255[[#This Row],[CUIT]]="","-",VLOOKUP(ventas_b_mes1255[[#This Row],[CUIT]],Lista_CUIT[#All],2,0)),"CUIT NO CARGADO")</f>
        <v>-</v>
      </c>
      <c r="H955" s="99">
        <f>ventas_b_mes1255[[#This Row],[TOTAL]]/1.21</f>
        <v>0</v>
      </c>
      <c r="I955" s="64">
        <f>ventas_b_mes1255[[#This Row],[IMPORTE NETO]]*0.21</f>
        <v>0</v>
      </c>
      <c r="J955" s="140"/>
      <c r="K955" s="140"/>
      <c r="L955" s="140"/>
      <c r="M955" s="59"/>
    </row>
    <row r="956" spans="2:13" x14ac:dyDescent="0.25">
      <c r="B956" s="134"/>
      <c r="C956" s="41"/>
      <c r="D956" s="136"/>
      <c r="E956" s="137"/>
      <c r="F956" s="112"/>
      <c r="G956" s="1" t="str">
        <f>IFERROR(IF(ventas_b_mes1255[[#This Row],[CUIT]]="","-",VLOOKUP(ventas_b_mes1255[[#This Row],[CUIT]],Lista_CUIT[#All],2,0)),"CUIT NO CARGADO")</f>
        <v>-</v>
      </c>
      <c r="H956" s="99">
        <f>ventas_b_mes1255[[#This Row],[TOTAL]]/1.21</f>
        <v>0</v>
      </c>
      <c r="I956" s="64">
        <f>ventas_b_mes1255[[#This Row],[IMPORTE NETO]]*0.21</f>
        <v>0</v>
      </c>
      <c r="J956" s="140"/>
      <c r="K956" s="140"/>
      <c r="L956" s="140"/>
      <c r="M956" s="59"/>
    </row>
    <row r="957" spans="2:13" x14ac:dyDescent="0.25">
      <c r="B957" s="134"/>
      <c r="C957" s="41"/>
      <c r="D957" s="136"/>
      <c r="E957" s="137"/>
      <c r="F957" s="112"/>
      <c r="G957" s="1" t="str">
        <f>IFERROR(IF(ventas_b_mes1255[[#This Row],[CUIT]]="","-",VLOOKUP(ventas_b_mes1255[[#This Row],[CUIT]],Lista_CUIT[#All],2,0)),"CUIT NO CARGADO")</f>
        <v>-</v>
      </c>
      <c r="H957" s="99">
        <f>ventas_b_mes1255[[#This Row],[TOTAL]]/1.21</f>
        <v>0</v>
      </c>
      <c r="I957" s="64">
        <f>ventas_b_mes1255[[#This Row],[IMPORTE NETO]]*0.21</f>
        <v>0</v>
      </c>
      <c r="J957" s="140"/>
      <c r="K957" s="140"/>
      <c r="L957" s="140"/>
      <c r="M957" s="59"/>
    </row>
    <row r="958" spans="2:13" x14ac:dyDescent="0.25">
      <c r="B958" s="134"/>
      <c r="C958" s="41"/>
      <c r="D958" s="136"/>
      <c r="E958" s="137"/>
      <c r="F958" s="112"/>
      <c r="G958" s="1" t="str">
        <f>IFERROR(IF(ventas_b_mes1255[[#This Row],[CUIT]]="","-",VLOOKUP(ventas_b_mes1255[[#This Row],[CUIT]],Lista_CUIT[#All],2,0)),"CUIT NO CARGADO")</f>
        <v>-</v>
      </c>
      <c r="H958" s="99">
        <f>ventas_b_mes1255[[#This Row],[TOTAL]]/1.21</f>
        <v>0</v>
      </c>
      <c r="I958" s="64">
        <f>ventas_b_mes1255[[#This Row],[IMPORTE NETO]]*0.21</f>
        <v>0</v>
      </c>
      <c r="J958" s="140"/>
      <c r="K958" s="140"/>
      <c r="L958" s="140"/>
      <c r="M958" s="59"/>
    </row>
    <row r="959" spans="2:13" x14ac:dyDescent="0.25">
      <c r="B959" s="134"/>
      <c r="C959" s="41"/>
      <c r="D959" s="136"/>
      <c r="E959" s="137"/>
      <c r="F959" s="112"/>
      <c r="G959" s="1" t="str">
        <f>IFERROR(IF(ventas_b_mes1255[[#This Row],[CUIT]]="","-",VLOOKUP(ventas_b_mes1255[[#This Row],[CUIT]],Lista_CUIT[#All],2,0)),"CUIT NO CARGADO")</f>
        <v>-</v>
      </c>
      <c r="H959" s="99">
        <f>ventas_b_mes1255[[#This Row],[TOTAL]]/1.21</f>
        <v>0</v>
      </c>
      <c r="I959" s="64">
        <f>ventas_b_mes1255[[#This Row],[IMPORTE NETO]]*0.21</f>
        <v>0</v>
      </c>
      <c r="J959" s="140"/>
      <c r="K959" s="140"/>
      <c r="L959" s="140"/>
      <c r="M959" s="59"/>
    </row>
    <row r="960" spans="2:13" x14ac:dyDescent="0.25">
      <c r="B960" s="134"/>
      <c r="C960" s="41"/>
      <c r="D960" s="136"/>
      <c r="E960" s="137"/>
      <c r="F960" s="112"/>
      <c r="G960" s="1" t="str">
        <f>IFERROR(IF(ventas_b_mes1255[[#This Row],[CUIT]]="","-",VLOOKUP(ventas_b_mes1255[[#This Row],[CUIT]],Lista_CUIT[#All],2,0)),"CUIT NO CARGADO")</f>
        <v>-</v>
      </c>
      <c r="H960" s="99">
        <f>ventas_b_mes1255[[#This Row],[TOTAL]]/1.21</f>
        <v>0</v>
      </c>
      <c r="I960" s="64">
        <f>ventas_b_mes1255[[#This Row],[IMPORTE NETO]]*0.21</f>
        <v>0</v>
      </c>
      <c r="J960" s="140"/>
      <c r="K960" s="140"/>
      <c r="L960" s="140"/>
      <c r="M960" s="59"/>
    </row>
    <row r="961" spans="2:13" x14ac:dyDescent="0.25">
      <c r="B961" s="134"/>
      <c r="C961" s="41"/>
      <c r="D961" s="136"/>
      <c r="E961" s="137"/>
      <c r="F961" s="112"/>
      <c r="G961" s="1" t="str">
        <f>IFERROR(IF(ventas_b_mes1255[[#This Row],[CUIT]]="","-",VLOOKUP(ventas_b_mes1255[[#This Row],[CUIT]],Lista_CUIT[#All],2,0)),"CUIT NO CARGADO")</f>
        <v>-</v>
      </c>
      <c r="H961" s="99">
        <f>ventas_b_mes1255[[#This Row],[TOTAL]]/1.21</f>
        <v>0</v>
      </c>
      <c r="I961" s="64">
        <f>ventas_b_mes1255[[#This Row],[IMPORTE NETO]]*0.21</f>
        <v>0</v>
      </c>
      <c r="J961" s="140"/>
      <c r="K961" s="140"/>
      <c r="L961" s="140"/>
      <c r="M961" s="59"/>
    </row>
    <row r="962" spans="2:13" x14ac:dyDescent="0.25">
      <c r="B962" s="134"/>
      <c r="C962" s="41"/>
      <c r="D962" s="136"/>
      <c r="E962" s="137"/>
      <c r="F962" s="112"/>
      <c r="G962" s="1" t="str">
        <f>IFERROR(IF(ventas_b_mes1255[[#This Row],[CUIT]]="","-",VLOOKUP(ventas_b_mes1255[[#This Row],[CUIT]],Lista_CUIT[#All],2,0)),"CUIT NO CARGADO")</f>
        <v>-</v>
      </c>
      <c r="H962" s="99">
        <f>ventas_b_mes1255[[#This Row],[TOTAL]]/1.21</f>
        <v>0</v>
      </c>
      <c r="I962" s="64">
        <f>ventas_b_mes1255[[#This Row],[IMPORTE NETO]]*0.21</f>
        <v>0</v>
      </c>
      <c r="J962" s="140"/>
      <c r="K962" s="140"/>
      <c r="L962" s="140"/>
      <c r="M962" s="59"/>
    </row>
    <row r="963" spans="2:13" x14ac:dyDescent="0.25">
      <c r="B963" s="134"/>
      <c r="C963" s="41"/>
      <c r="D963" s="136"/>
      <c r="E963" s="137"/>
      <c r="F963" s="112"/>
      <c r="G963" s="1" t="str">
        <f>IFERROR(IF(ventas_b_mes1255[[#This Row],[CUIT]]="","-",VLOOKUP(ventas_b_mes1255[[#This Row],[CUIT]],Lista_CUIT[#All],2,0)),"CUIT NO CARGADO")</f>
        <v>-</v>
      </c>
      <c r="H963" s="99">
        <f>ventas_b_mes1255[[#This Row],[TOTAL]]/1.21</f>
        <v>0</v>
      </c>
      <c r="I963" s="64">
        <f>ventas_b_mes1255[[#This Row],[IMPORTE NETO]]*0.21</f>
        <v>0</v>
      </c>
      <c r="J963" s="140"/>
      <c r="K963" s="140"/>
      <c r="L963" s="140"/>
      <c r="M963" s="59"/>
    </row>
    <row r="964" spans="2:13" x14ac:dyDescent="0.25">
      <c r="B964" s="134"/>
      <c r="C964" s="41"/>
      <c r="D964" s="136"/>
      <c r="E964" s="137"/>
      <c r="F964" s="112"/>
      <c r="G964" s="1" t="str">
        <f>IFERROR(IF(ventas_b_mes1255[[#This Row],[CUIT]]="","-",VLOOKUP(ventas_b_mes1255[[#This Row],[CUIT]],Lista_CUIT[#All],2,0)),"CUIT NO CARGADO")</f>
        <v>-</v>
      </c>
      <c r="H964" s="99">
        <f>ventas_b_mes1255[[#This Row],[TOTAL]]/1.21</f>
        <v>0</v>
      </c>
      <c r="I964" s="64">
        <f>ventas_b_mes1255[[#This Row],[IMPORTE NETO]]*0.21</f>
        <v>0</v>
      </c>
      <c r="J964" s="140"/>
      <c r="K964" s="140"/>
      <c r="L964" s="140"/>
      <c r="M964" s="59"/>
    </row>
    <row r="965" spans="2:13" x14ac:dyDescent="0.25">
      <c r="B965" s="134"/>
      <c r="C965" s="41"/>
      <c r="D965" s="136"/>
      <c r="E965" s="137"/>
      <c r="F965" s="112"/>
      <c r="G965" s="1" t="str">
        <f>IFERROR(IF(ventas_b_mes1255[[#This Row],[CUIT]]="","-",VLOOKUP(ventas_b_mes1255[[#This Row],[CUIT]],Lista_CUIT[#All],2,0)),"CUIT NO CARGADO")</f>
        <v>-</v>
      </c>
      <c r="H965" s="99">
        <f>ventas_b_mes1255[[#This Row],[TOTAL]]/1.21</f>
        <v>0</v>
      </c>
      <c r="I965" s="64">
        <f>ventas_b_mes1255[[#This Row],[IMPORTE NETO]]*0.21</f>
        <v>0</v>
      </c>
      <c r="J965" s="140"/>
      <c r="K965" s="140"/>
      <c r="L965" s="140"/>
      <c r="M965" s="59"/>
    </row>
    <row r="966" spans="2:13" x14ac:dyDescent="0.25">
      <c r="B966" s="134"/>
      <c r="C966" s="41"/>
      <c r="D966" s="136"/>
      <c r="E966" s="137"/>
      <c r="F966" s="112"/>
      <c r="G966" s="1" t="str">
        <f>IFERROR(IF(ventas_b_mes1255[[#This Row],[CUIT]]="","-",VLOOKUP(ventas_b_mes1255[[#This Row],[CUIT]],Lista_CUIT[#All],2,0)),"CUIT NO CARGADO")</f>
        <v>-</v>
      </c>
      <c r="H966" s="99">
        <f>ventas_b_mes1255[[#This Row],[TOTAL]]/1.21</f>
        <v>0</v>
      </c>
      <c r="I966" s="64">
        <f>ventas_b_mes1255[[#This Row],[IMPORTE NETO]]*0.21</f>
        <v>0</v>
      </c>
      <c r="J966" s="140"/>
      <c r="K966" s="140"/>
      <c r="L966" s="140"/>
      <c r="M966" s="59"/>
    </row>
    <row r="967" spans="2:13" x14ac:dyDescent="0.25">
      <c r="B967" s="134"/>
      <c r="C967" s="41"/>
      <c r="D967" s="136"/>
      <c r="E967" s="137"/>
      <c r="F967" s="112"/>
      <c r="G967" s="1" t="str">
        <f>IFERROR(IF(ventas_b_mes1255[[#This Row],[CUIT]]="","-",VLOOKUP(ventas_b_mes1255[[#This Row],[CUIT]],Lista_CUIT[#All],2,0)),"CUIT NO CARGADO")</f>
        <v>-</v>
      </c>
      <c r="H967" s="99">
        <f>ventas_b_mes1255[[#This Row],[TOTAL]]/1.21</f>
        <v>0</v>
      </c>
      <c r="I967" s="64">
        <f>ventas_b_mes1255[[#This Row],[IMPORTE NETO]]*0.21</f>
        <v>0</v>
      </c>
      <c r="J967" s="140"/>
      <c r="K967" s="140"/>
      <c r="L967" s="140"/>
      <c r="M967" s="59"/>
    </row>
    <row r="968" spans="2:13" x14ac:dyDescent="0.25">
      <c r="B968" s="134"/>
      <c r="C968" s="41"/>
      <c r="D968" s="136"/>
      <c r="E968" s="137"/>
      <c r="F968" s="112"/>
      <c r="G968" s="1" t="str">
        <f>IFERROR(IF(ventas_b_mes1255[[#This Row],[CUIT]]="","-",VLOOKUP(ventas_b_mes1255[[#This Row],[CUIT]],Lista_CUIT[#All],2,0)),"CUIT NO CARGADO")</f>
        <v>-</v>
      </c>
      <c r="H968" s="99">
        <f>ventas_b_mes1255[[#This Row],[TOTAL]]/1.21</f>
        <v>0</v>
      </c>
      <c r="I968" s="64">
        <f>ventas_b_mes1255[[#This Row],[IMPORTE NETO]]*0.21</f>
        <v>0</v>
      </c>
      <c r="J968" s="140"/>
      <c r="K968" s="140"/>
      <c r="L968" s="140"/>
      <c r="M968" s="59"/>
    </row>
    <row r="969" spans="2:13" x14ac:dyDescent="0.25">
      <c r="B969" s="134"/>
      <c r="C969" s="41"/>
      <c r="D969" s="136"/>
      <c r="E969" s="137"/>
      <c r="F969" s="112"/>
      <c r="G969" s="1" t="str">
        <f>IFERROR(IF(ventas_b_mes1255[[#This Row],[CUIT]]="","-",VLOOKUP(ventas_b_mes1255[[#This Row],[CUIT]],Lista_CUIT[#All],2,0)),"CUIT NO CARGADO")</f>
        <v>-</v>
      </c>
      <c r="H969" s="99">
        <f>ventas_b_mes1255[[#This Row],[TOTAL]]/1.21</f>
        <v>0</v>
      </c>
      <c r="I969" s="64">
        <f>ventas_b_mes1255[[#This Row],[IMPORTE NETO]]*0.21</f>
        <v>0</v>
      </c>
      <c r="J969" s="140"/>
      <c r="K969" s="140"/>
      <c r="L969" s="140"/>
      <c r="M969" s="59"/>
    </row>
    <row r="970" spans="2:13" x14ac:dyDescent="0.25">
      <c r="B970" s="134"/>
      <c r="C970" s="41"/>
      <c r="D970" s="136"/>
      <c r="E970" s="137"/>
      <c r="F970" s="112"/>
      <c r="G970" s="1" t="str">
        <f>IFERROR(IF(ventas_b_mes1255[[#This Row],[CUIT]]="","-",VLOOKUP(ventas_b_mes1255[[#This Row],[CUIT]],Lista_CUIT[#All],2,0)),"CUIT NO CARGADO")</f>
        <v>-</v>
      </c>
      <c r="H970" s="99">
        <f>ventas_b_mes1255[[#This Row],[TOTAL]]/1.21</f>
        <v>0</v>
      </c>
      <c r="I970" s="64">
        <f>ventas_b_mes1255[[#This Row],[IMPORTE NETO]]*0.21</f>
        <v>0</v>
      </c>
      <c r="J970" s="140"/>
      <c r="K970" s="140"/>
      <c r="L970" s="140"/>
      <c r="M970" s="59"/>
    </row>
    <row r="971" spans="2:13" x14ac:dyDescent="0.25">
      <c r="B971" s="134"/>
      <c r="C971" s="41"/>
      <c r="D971" s="136"/>
      <c r="E971" s="137"/>
      <c r="F971" s="112"/>
      <c r="G971" s="1" t="str">
        <f>IFERROR(IF(ventas_b_mes1255[[#This Row],[CUIT]]="","-",VLOOKUP(ventas_b_mes1255[[#This Row],[CUIT]],Lista_CUIT[#All],2,0)),"CUIT NO CARGADO")</f>
        <v>-</v>
      </c>
      <c r="H971" s="99">
        <f>ventas_b_mes1255[[#This Row],[TOTAL]]/1.21</f>
        <v>0</v>
      </c>
      <c r="I971" s="64">
        <f>ventas_b_mes1255[[#This Row],[IMPORTE NETO]]*0.21</f>
        <v>0</v>
      </c>
      <c r="J971" s="140"/>
      <c r="K971" s="140"/>
      <c r="L971" s="140"/>
      <c r="M971" s="59"/>
    </row>
    <row r="972" spans="2:13" x14ac:dyDescent="0.25">
      <c r="B972" s="134"/>
      <c r="C972" s="41"/>
      <c r="D972" s="136"/>
      <c r="E972" s="137"/>
      <c r="F972" s="112"/>
      <c r="G972" s="1" t="str">
        <f>IFERROR(IF(ventas_b_mes1255[[#This Row],[CUIT]]="","-",VLOOKUP(ventas_b_mes1255[[#This Row],[CUIT]],Lista_CUIT[#All],2,0)),"CUIT NO CARGADO")</f>
        <v>-</v>
      </c>
      <c r="H972" s="99">
        <f>ventas_b_mes1255[[#This Row],[TOTAL]]/1.21</f>
        <v>0</v>
      </c>
      <c r="I972" s="64">
        <f>ventas_b_mes1255[[#This Row],[IMPORTE NETO]]*0.21</f>
        <v>0</v>
      </c>
      <c r="J972" s="140"/>
      <c r="K972" s="140"/>
      <c r="L972" s="140"/>
      <c r="M972" s="59"/>
    </row>
    <row r="973" spans="2:13" x14ac:dyDescent="0.25">
      <c r="B973" s="134"/>
      <c r="C973" s="41"/>
      <c r="D973" s="136"/>
      <c r="E973" s="137"/>
      <c r="F973" s="112"/>
      <c r="G973" s="1" t="str">
        <f>IFERROR(IF(ventas_b_mes1255[[#This Row],[CUIT]]="","-",VLOOKUP(ventas_b_mes1255[[#This Row],[CUIT]],Lista_CUIT[#All],2,0)),"CUIT NO CARGADO")</f>
        <v>-</v>
      </c>
      <c r="H973" s="99">
        <f>ventas_b_mes1255[[#This Row],[TOTAL]]/1.21</f>
        <v>0</v>
      </c>
      <c r="I973" s="64">
        <f>ventas_b_mes1255[[#This Row],[IMPORTE NETO]]*0.21</f>
        <v>0</v>
      </c>
      <c r="J973" s="140"/>
      <c r="K973" s="140"/>
      <c r="L973" s="140"/>
      <c r="M973" s="59"/>
    </row>
    <row r="974" spans="2:13" x14ac:dyDescent="0.25">
      <c r="B974" s="134"/>
      <c r="C974" s="41"/>
      <c r="D974" s="136"/>
      <c r="E974" s="137"/>
      <c r="F974" s="112"/>
      <c r="G974" s="1" t="str">
        <f>IFERROR(IF(ventas_b_mes1255[[#This Row],[CUIT]]="","-",VLOOKUP(ventas_b_mes1255[[#This Row],[CUIT]],Lista_CUIT[#All],2,0)),"CUIT NO CARGADO")</f>
        <v>-</v>
      </c>
      <c r="H974" s="99">
        <f>ventas_b_mes1255[[#This Row],[TOTAL]]/1.21</f>
        <v>0</v>
      </c>
      <c r="I974" s="64">
        <f>ventas_b_mes1255[[#This Row],[IMPORTE NETO]]*0.21</f>
        <v>0</v>
      </c>
      <c r="J974" s="140"/>
      <c r="K974" s="140"/>
      <c r="L974" s="140"/>
      <c r="M974" s="59"/>
    </row>
    <row r="975" spans="2:13" x14ac:dyDescent="0.25">
      <c r="B975" s="134"/>
      <c r="C975" s="41"/>
      <c r="D975" s="136"/>
      <c r="E975" s="137"/>
      <c r="F975" s="112"/>
      <c r="G975" s="1" t="str">
        <f>IFERROR(IF(ventas_b_mes1255[[#This Row],[CUIT]]="","-",VLOOKUP(ventas_b_mes1255[[#This Row],[CUIT]],Lista_CUIT[#All],2,0)),"CUIT NO CARGADO")</f>
        <v>-</v>
      </c>
      <c r="H975" s="99">
        <f>ventas_b_mes1255[[#This Row],[TOTAL]]/1.21</f>
        <v>0</v>
      </c>
      <c r="I975" s="64">
        <f>ventas_b_mes1255[[#This Row],[IMPORTE NETO]]*0.21</f>
        <v>0</v>
      </c>
      <c r="J975" s="140"/>
      <c r="K975" s="140"/>
      <c r="L975" s="140"/>
      <c r="M975" s="59"/>
    </row>
    <row r="976" spans="2:13" x14ac:dyDescent="0.25">
      <c r="B976" s="134"/>
      <c r="C976" s="41"/>
      <c r="D976" s="136"/>
      <c r="E976" s="137"/>
      <c r="F976" s="112"/>
      <c r="G976" s="1" t="str">
        <f>IFERROR(IF(ventas_b_mes1255[[#This Row],[CUIT]]="","-",VLOOKUP(ventas_b_mes1255[[#This Row],[CUIT]],Lista_CUIT[#All],2,0)),"CUIT NO CARGADO")</f>
        <v>-</v>
      </c>
      <c r="H976" s="99">
        <f>ventas_b_mes1255[[#This Row],[TOTAL]]/1.21</f>
        <v>0</v>
      </c>
      <c r="I976" s="64">
        <f>ventas_b_mes1255[[#This Row],[IMPORTE NETO]]*0.21</f>
        <v>0</v>
      </c>
      <c r="J976" s="140"/>
      <c r="K976" s="140"/>
      <c r="L976" s="140"/>
      <c r="M976" s="59"/>
    </row>
    <row r="977" spans="2:13" x14ac:dyDescent="0.25">
      <c r="B977" s="134"/>
      <c r="C977" s="41"/>
      <c r="D977" s="136"/>
      <c r="E977" s="137"/>
      <c r="F977" s="112"/>
      <c r="G977" s="1" t="str">
        <f>IFERROR(IF(ventas_b_mes1255[[#This Row],[CUIT]]="","-",VLOOKUP(ventas_b_mes1255[[#This Row],[CUIT]],Lista_CUIT[#All],2,0)),"CUIT NO CARGADO")</f>
        <v>-</v>
      </c>
      <c r="H977" s="99">
        <f>ventas_b_mes1255[[#This Row],[TOTAL]]/1.21</f>
        <v>0</v>
      </c>
      <c r="I977" s="64">
        <f>ventas_b_mes1255[[#This Row],[IMPORTE NETO]]*0.21</f>
        <v>0</v>
      </c>
      <c r="J977" s="140"/>
      <c r="K977" s="140"/>
      <c r="L977" s="140"/>
      <c r="M977" s="59"/>
    </row>
    <row r="978" spans="2:13" x14ac:dyDescent="0.25">
      <c r="B978" s="134"/>
      <c r="C978" s="41"/>
      <c r="D978" s="136"/>
      <c r="E978" s="137"/>
      <c r="F978" s="112"/>
      <c r="G978" s="1" t="str">
        <f>IFERROR(IF(ventas_b_mes1255[[#This Row],[CUIT]]="","-",VLOOKUP(ventas_b_mes1255[[#This Row],[CUIT]],Lista_CUIT[#All],2,0)),"CUIT NO CARGADO")</f>
        <v>-</v>
      </c>
      <c r="H978" s="99">
        <f>ventas_b_mes1255[[#This Row],[TOTAL]]/1.21</f>
        <v>0</v>
      </c>
      <c r="I978" s="64">
        <f>ventas_b_mes1255[[#This Row],[IMPORTE NETO]]*0.21</f>
        <v>0</v>
      </c>
      <c r="J978" s="140"/>
      <c r="K978" s="140"/>
      <c r="L978" s="140"/>
      <c r="M978" s="59"/>
    </row>
    <row r="979" spans="2:13" x14ac:dyDescent="0.25">
      <c r="B979" s="134"/>
      <c r="C979" s="41"/>
      <c r="D979" s="136"/>
      <c r="E979" s="137"/>
      <c r="F979" s="112"/>
      <c r="G979" s="1" t="str">
        <f>IFERROR(IF(ventas_b_mes1255[[#This Row],[CUIT]]="","-",VLOOKUP(ventas_b_mes1255[[#This Row],[CUIT]],Lista_CUIT[#All],2,0)),"CUIT NO CARGADO")</f>
        <v>-</v>
      </c>
      <c r="H979" s="99">
        <f>ventas_b_mes1255[[#This Row],[TOTAL]]/1.21</f>
        <v>0</v>
      </c>
      <c r="I979" s="64">
        <f>ventas_b_mes1255[[#This Row],[IMPORTE NETO]]*0.21</f>
        <v>0</v>
      </c>
      <c r="J979" s="140"/>
      <c r="K979" s="140"/>
      <c r="L979" s="140"/>
      <c r="M979" s="59"/>
    </row>
    <row r="980" spans="2:13" x14ac:dyDescent="0.25">
      <c r="B980" s="134"/>
      <c r="C980" s="41"/>
      <c r="D980" s="136"/>
      <c r="E980" s="137"/>
      <c r="F980" s="112"/>
      <c r="G980" s="1" t="str">
        <f>IFERROR(IF(ventas_b_mes1255[[#This Row],[CUIT]]="","-",VLOOKUP(ventas_b_mes1255[[#This Row],[CUIT]],Lista_CUIT[#All],2,0)),"CUIT NO CARGADO")</f>
        <v>-</v>
      </c>
      <c r="H980" s="99">
        <f>ventas_b_mes1255[[#This Row],[TOTAL]]/1.21</f>
        <v>0</v>
      </c>
      <c r="I980" s="64">
        <f>ventas_b_mes1255[[#This Row],[IMPORTE NETO]]*0.21</f>
        <v>0</v>
      </c>
      <c r="J980" s="140"/>
      <c r="K980" s="140"/>
      <c r="L980" s="140"/>
      <c r="M980" s="59"/>
    </row>
    <row r="981" spans="2:13" x14ac:dyDescent="0.25">
      <c r="B981" s="134"/>
      <c r="C981" s="41"/>
      <c r="D981" s="136"/>
      <c r="E981" s="137"/>
      <c r="F981" s="112"/>
      <c r="G981" s="1" t="str">
        <f>IFERROR(IF(ventas_b_mes1255[[#This Row],[CUIT]]="","-",VLOOKUP(ventas_b_mes1255[[#This Row],[CUIT]],Lista_CUIT[#All],2,0)),"CUIT NO CARGADO")</f>
        <v>-</v>
      </c>
      <c r="H981" s="99">
        <f>ventas_b_mes1255[[#This Row],[TOTAL]]/1.21</f>
        <v>0</v>
      </c>
      <c r="I981" s="64">
        <f>ventas_b_mes1255[[#This Row],[IMPORTE NETO]]*0.21</f>
        <v>0</v>
      </c>
      <c r="J981" s="140"/>
      <c r="K981" s="140"/>
      <c r="L981" s="140"/>
      <c r="M981" s="59"/>
    </row>
    <row r="982" spans="2:13" x14ac:dyDescent="0.25">
      <c r="B982" s="134"/>
      <c r="C982" s="41"/>
      <c r="D982" s="136"/>
      <c r="E982" s="137"/>
      <c r="F982" s="112"/>
      <c r="G982" s="1" t="str">
        <f>IFERROR(IF(ventas_b_mes1255[[#This Row],[CUIT]]="","-",VLOOKUP(ventas_b_mes1255[[#This Row],[CUIT]],Lista_CUIT[#All],2,0)),"CUIT NO CARGADO")</f>
        <v>-</v>
      </c>
      <c r="H982" s="99">
        <f>ventas_b_mes1255[[#This Row],[TOTAL]]/1.21</f>
        <v>0</v>
      </c>
      <c r="I982" s="64">
        <f>ventas_b_mes1255[[#This Row],[IMPORTE NETO]]*0.21</f>
        <v>0</v>
      </c>
      <c r="J982" s="140"/>
      <c r="K982" s="140"/>
      <c r="L982" s="140"/>
      <c r="M982" s="59"/>
    </row>
    <row r="983" spans="2:13" x14ac:dyDescent="0.25">
      <c r="B983" s="134"/>
      <c r="C983" s="41"/>
      <c r="D983" s="136"/>
      <c r="E983" s="137"/>
      <c r="F983" s="112"/>
      <c r="G983" s="1" t="str">
        <f>IFERROR(IF(ventas_b_mes1255[[#This Row],[CUIT]]="","-",VLOOKUP(ventas_b_mes1255[[#This Row],[CUIT]],Lista_CUIT[#All],2,0)),"CUIT NO CARGADO")</f>
        <v>-</v>
      </c>
      <c r="H983" s="99">
        <f>ventas_b_mes1255[[#This Row],[TOTAL]]/1.21</f>
        <v>0</v>
      </c>
      <c r="I983" s="64">
        <f>ventas_b_mes1255[[#This Row],[IMPORTE NETO]]*0.21</f>
        <v>0</v>
      </c>
      <c r="J983" s="140"/>
      <c r="K983" s="140"/>
      <c r="L983" s="140"/>
      <c r="M983" s="59"/>
    </row>
    <row r="984" spans="2:13" x14ac:dyDescent="0.25">
      <c r="B984" s="134"/>
      <c r="C984" s="41"/>
      <c r="D984" s="136"/>
      <c r="E984" s="137"/>
      <c r="F984" s="112"/>
      <c r="G984" s="1" t="str">
        <f>IFERROR(IF(ventas_b_mes1255[[#This Row],[CUIT]]="","-",VLOOKUP(ventas_b_mes1255[[#This Row],[CUIT]],Lista_CUIT[#All],2,0)),"CUIT NO CARGADO")</f>
        <v>-</v>
      </c>
      <c r="H984" s="99">
        <f>ventas_b_mes1255[[#This Row],[TOTAL]]/1.21</f>
        <v>0</v>
      </c>
      <c r="I984" s="64">
        <f>ventas_b_mes1255[[#This Row],[IMPORTE NETO]]*0.21</f>
        <v>0</v>
      </c>
      <c r="J984" s="140"/>
      <c r="K984" s="140"/>
      <c r="L984" s="140"/>
      <c r="M984" s="59"/>
    </row>
    <row r="985" spans="2:13" x14ac:dyDescent="0.25">
      <c r="B985" s="134"/>
      <c r="C985" s="41"/>
      <c r="D985" s="136"/>
      <c r="E985" s="137"/>
      <c r="F985" s="112"/>
      <c r="G985" s="1" t="str">
        <f>IFERROR(IF(ventas_b_mes1255[[#This Row],[CUIT]]="","-",VLOOKUP(ventas_b_mes1255[[#This Row],[CUIT]],Lista_CUIT[#All],2,0)),"CUIT NO CARGADO")</f>
        <v>-</v>
      </c>
      <c r="H985" s="99">
        <f>ventas_b_mes1255[[#This Row],[TOTAL]]/1.21</f>
        <v>0</v>
      </c>
      <c r="I985" s="64">
        <f>ventas_b_mes1255[[#This Row],[IMPORTE NETO]]*0.21</f>
        <v>0</v>
      </c>
      <c r="J985" s="140"/>
      <c r="K985" s="140"/>
      <c r="L985" s="140"/>
      <c r="M985" s="59"/>
    </row>
    <row r="986" spans="2:13" x14ac:dyDescent="0.25">
      <c r="B986" s="134"/>
      <c r="C986" s="41"/>
      <c r="D986" s="136"/>
      <c r="E986" s="137"/>
      <c r="F986" s="112"/>
      <c r="G986" s="1" t="str">
        <f>IFERROR(IF(ventas_b_mes1255[[#This Row],[CUIT]]="","-",VLOOKUP(ventas_b_mes1255[[#This Row],[CUIT]],Lista_CUIT[#All],2,0)),"CUIT NO CARGADO")</f>
        <v>-</v>
      </c>
      <c r="H986" s="99">
        <f>ventas_b_mes1255[[#This Row],[TOTAL]]/1.21</f>
        <v>0</v>
      </c>
      <c r="I986" s="64">
        <f>ventas_b_mes1255[[#This Row],[IMPORTE NETO]]*0.21</f>
        <v>0</v>
      </c>
      <c r="J986" s="140"/>
      <c r="K986" s="140"/>
      <c r="L986" s="140"/>
      <c r="M986" s="59"/>
    </row>
    <row r="987" spans="2:13" x14ac:dyDescent="0.25">
      <c r="B987" s="134"/>
      <c r="C987" s="41"/>
      <c r="D987" s="136"/>
      <c r="E987" s="137"/>
      <c r="F987" s="112"/>
      <c r="G987" s="1" t="str">
        <f>IFERROR(IF(ventas_b_mes1255[[#This Row],[CUIT]]="","-",VLOOKUP(ventas_b_mes1255[[#This Row],[CUIT]],Lista_CUIT[#All],2,0)),"CUIT NO CARGADO")</f>
        <v>-</v>
      </c>
      <c r="H987" s="99">
        <f>ventas_b_mes1255[[#This Row],[TOTAL]]/1.21</f>
        <v>0</v>
      </c>
      <c r="I987" s="64">
        <f>ventas_b_mes1255[[#This Row],[IMPORTE NETO]]*0.21</f>
        <v>0</v>
      </c>
      <c r="J987" s="140"/>
      <c r="K987" s="140"/>
      <c r="L987" s="140"/>
      <c r="M987" s="59"/>
    </row>
    <row r="988" spans="2:13" x14ac:dyDescent="0.25">
      <c r="B988" s="134"/>
      <c r="C988" s="41"/>
      <c r="D988" s="136"/>
      <c r="E988" s="137"/>
      <c r="F988" s="112"/>
      <c r="G988" s="1" t="str">
        <f>IFERROR(IF(ventas_b_mes1255[[#This Row],[CUIT]]="","-",VLOOKUP(ventas_b_mes1255[[#This Row],[CUIT]],Lista_CUIT[#All],2,0)),"CUIT NO CARGADO")</f>
        <v>-</v>
      </c>
      <c r="H988" s="99">
        <f>ventas_b_mes1255[[#This Row],[TOTAL]]/1.21</f>
        <v>0</v>
      </c>
      <c r="I988" s="64">
        <f>ventas_b_mes1255[[#This Row],[IMPORTE NETO]]*0.21</f>
        <v>0</v>
      </c>
      <c r="J988" s="140"/>
      <c r="K988" s="140"/>
      <c r="L988" s="140"/>
      <c r="M988" s="59"/>
    </row>
    <row r="989" spans="2:13" x14ac:dyDescent="0.25">
      <c r="B989" s="134"/>
      <c r="C989" s="41"/>
      <c r="D989" s="136"/>
      <c r="E989" s="137"/>
      <c r="F989" s="112"/>
      <c r="G989" s="1" t="str">
        <f>IFERROR(IF(ventas_b_mes1255[[#This Row],[CUIT]]="","-",VLOOKUP(ventas_b_mes1255[[#This Row],[CUIT]],Lista_CUIT[#All],2,0)),"CUIT NO CARGADO")</f>
        <v>-</v>
      </c>
      <c r="H989" s="99">
        <f>ventas_b_mes1255[[#This Row],[TOTAL]]/1.21</f>
        <v>0</v>
      </c>
      <c r="I989" s="64">
        <f>ventas_b_mes1255[[#This Row],[IMPORTE NETO]]*0.21</f>
        <v>0</v>
      </c>
      <c r="J989" s="140"/>
      <c r="K989" s="140"/>
      <c r="L989" s="140"/>
      <c r="M989" s="59"/>
    </row>
    <row r="990" spans="2:13" x14ac:dyDescent="0.25">
      <c r="B990" s="134"/>
      <c r="C990" s="41"/>
      <c r="D990" s="136"/>
      <c r="E990" s="137"/>
      <c r="F990" s="112"/>
      <c r="G990" s="1" t="str">
        <f>IFERROR(IF(ventas_b_mes1255[[#This Row],[CUIT]]="","-",VLOOKUP(ventas_b_mes1255[[#This Row],[CUIT]],Lista_CUIT[#All],2,0)),"CUIT NO CARGADO")</f>
        <v>-</v>
      </c>
      <c r="H990" s="99">
        <f>ventas_b_mes1255[[#This Row],[TOTAL]]/1.21</f>
        <v>0</v>
      </c>
      <c r="I990" s="64">
        <f>ventas_b_mes1255[[#This Row],[IMPORTE NETO]]*0.21</f>
        <v>0</v>
      </c>
      <c r="J990" s="140"/>
      <c r="K990" s="140"/>
      <c r="L990" s="140"/>
      <c r="M990" s="59"/>
    </row>
    <row r="991" spans="2:13" x14ac:dyDescent="0.25">
      <c r="B991" s="134"/>
      <c r="C991" s="41"/>
      <c r="D991" s="136"/>
      <c r="E991" s="137"/>
      <c r="F991" s="112"/>
      <c r="G991" s="1" t="str">
        <f>IFERROR(IF(ventas_b_mes1255[[#This Row],[CUIT]]="","-",VLOOKUP(ventas_b_mes1255[[#This Row],[CUIT]],Lista_CUIT[#All],2,0)),"CUIT NO CARGADO")</f>
        <v>-</v>
      </c>
      <c r="H991" s="99">
        <f>ventas_b_mes1255[[#This Row],[TOTAL]]/1.21</f>
        <v>0</v>
      </c>
      <c r="I991" s="64">
        <f>ventas_b_mes1255[[#This Row],[IMPORTE NETO]]*0.21</f>
        <v>0</v>
      </c>
      <c r="J991" s="140"/>
      <c r="K991" s="140"/>
      <c r="L991" s="140"/>
      <c r="M991" s="59"/>
    </row>
    <row r="992" spans="2:13" x14ac:dyDescent="0.25">
      <c r="B992" s="134"/>
      <c r="C992" s="41"/>
      <c r="D992" s="136"/>
      <c r="E992" s="137"/>
      <c r="F992" s="112"/>
      <c r="G992" s="1" t="str">
        <f>IFERROR(IF(ventas_b_mes1255[[#This Row],[CUIT]]="","-",VLOOKUP(ventas_b_mes1255[[#This Row],[CUIT]],Lista_CUIT[#All],2,0)),"CUIT NO CARGADO")</f>
        <v>-</v>
      </c>
      <c r="H992" s="99">
        <f>ventas_b_mes1255[[#This Row],[TOTAL]]/1.21</f>
        <v>0</v>
      </c>
      <c r="I992" s="64">
        <f>ventas_b_mes1255[[#This Row],[IMPORTE NETO]]*0.21</f>
        <v>0</v>
      </c>
      <c r="J992" s="140"/>
      <c r="K992" s="140"/>
      <c r="L992" s="140"/>
      <c r="M992" s="59"/>
    </row>
    <row r="993" spans="2:13" x14ac:dyDescent="0.25">
      <c r="B993" s="134"/>
      <c r="C993" s="41"/>
      <c r="D993" s="136"/>
      <c r="E993" s="137"/>
      <c r="F993" s="112"/>
      <c r="G993" s="1" t="str">
        <f>IFERROR(IF(ventas_b_mes1255[[#This Row],[CUIT]]="","-",VLOOKUP(ventas_b_mes1255[[#This Row],[CUIT]],Lista_CUIT[#All],2,0)),"CUIT NO CARGADO")</f>
        <v>-</v>
      </c>
      <c r="H993" s="99">
        <f>ventas_b_mes1255[[#This Row],[TOTAL]]/1.21</f>
        <v>0</v>
      </c>
      <c r="I993" s="64">
        <f>ventas_b_mes1255[[#This Row],[IMPORTE NETO]]*0.21</f>
        <v>0</v>
      </c>
      <c r="J993" s="140"/>
      <c r="K993" s="140"/>
      <c r="L993" s="140"/>
      <c r="M993" s="59"/>
    </row>
    <row r="994" spans="2:13" x14ac:dyDescent="0.25">
      <c r="B994" s="134"/>
      <c r="C994" s="41"/>
      <c r="D994" s="136"/>
      <c r="E994" s="137"/>
      <c r="F994" s="112"/>
      <c r="G994" s="1" t="str">
        <f>IFERROR(IF(ventas_b_mes1255[[#This Row],[CUIT]]="","-",VLOOKUP(ventas_b_mes1255[[#This Row],[CUIT]],Lista_CUIT[#All],2,0)),"CUIT NO CARGADO")</f>
        <v>-</v>
      </c>
      <c r="H994" s="99">
        <f>ventas_b_mes1255[[#This Row],[TOTAL]]/1.21</f>
        <v>0</v>
      </c>
      <c r="I994" s="64">
        <f>ventas_b_mes1255[[#This Row],[IMPORTE NETO]]*0.21</f>
        <v>0</v>
      </c>
      <c r="J994" s="140"/>
      <c r="K994" s="140"/>
      <c r="L994" s="140"/>
      <c r="M994" s="59"/>
    </row>
    <row r="995" spans="2:13" x14ac:dyDescent="0.25">
      <c r="B995" s="134"/>
      <c r="C995" s="41"/>
      <c r="D995" s="136"/>
      <c r="E995" s="137"/>
      <c r="F995" s="112"/>
      <c r="G995" s="1" t="str">
        <f>IFERROR(IF(ventas_b_mes1255[[#This Row],[CUIT]]="","-",VLOOKUP(ventas_b_mes1255[[#This Row],[CUIT]],Lista_CUIT[#All],2,0)),"CUIT NO CARGADO")</f>
        <v>-</v>
      </c>
      <c r="H995" s="99">
        <f>ventas_b_mes1255[[#This Row],[TOTAL]]/1.21</f>
        <v>0</v>
      </c>
      <c r="I995" s="64">
        <f>ventas_b_mes1255[[#This Row],[IMPORTE NETO]]*0.21</f>
        <v>0</v>
      </c>
      <c r="J995" s="140"/>
      <c r="K995" s="140"/>
      <c r="L995" s="140"/>
      <c r="M995" s="59"/>
    </row>
    <row r="996" spans="2:13" x14ac:dyDescent="0.25">
      <c r="B996" s="134"/>
      <c r="C996" s="41"/>
      <c r="D996" s="136"/>
      <c r="E996" s="137"/>
      <c r="F996" s="112"/>
      <c r="G996" s="1" t="str">
        <f>IFERROR(IF(ventas_b_mes1255[[#This Row],[CUIT]]="","-",VLOOKUP(ventas_b_mes1255[[#This Row],[CUIT]],Lista_CUIT[#All],2,0)),"CUIT NO CARGADO")</f>
        <v>-</v>
      </c>
      <c r="H996" s="99">
        <f>ventas_b_mes1255[[#This Row],[TOTAL]]/1.21</f>
        <v>0</v>
      </c>
      <c r="I996" s="64">
        <f>ventas_b_mes1255[[#This Row],[IMPORTE NETO]]*0.21</f>
        <v>0</v>
      </c>
      <c r="J996" s="140"/>
      <c r="K996" s="140"/>
      <c r="L996" s="140"/>
      <c r="M996" s="59"/>
    </row>
    <row r="997" spans="2:13" x14ac:dyDescent="0.25">
      <c r="B997" s="134"/>
      <c r="C997" s="41"/>
      <c r="D997" s="136"/>
      <c r="E997" s="137"/>
      <c r="F997" s="112"/>
      <c r="G997" s="1" t="str">
        <f>IFERROR(IF(ventas_b_mes1255[[#This Row],[CUIT]]="","-",VLOOKUP(ventas_b_mes1255[[#This Row],[CUIT]],Lista_CUIT[#All],2,0)),"CUIT NO CARGADO")</f>
        <v>-</v>
      </c>
      <c r="H997" s="99">
        <f>ventas_b_mes1255[[#This Row],[TOTAL]]/1.21</f>
        <v>0</v>
      </c>
      <c r="I997" s="64">
        <f>ventas_b_mes1255[[#This Row],[IMPORTE NETO]]*0.21</f>
        <v>0</v>
      </c>
      <c r="J997" s="140"/>
      <c r="K997" s="140"/>
      <c r="L997" s="140"/>
      <c r="M997" s="59"/>
    </row>
    <row r="998" spans="2:13" x14ac:dyDescent="0.25">
      <c r="B998" s="134"/>
      <c r="C998" s="41"/>
      <c r="D998" s="136"/>
      <c r="E998" s="137"/>
      <c r="F998" s="112"/>
      <c r="G998" s="1" t="str">
        <f>IFERROR(IF(ventas_b_mes1255[[#This Row],[CUIT]]="","-",VLOOKUP(ventas_b_mes1255[[#This Row],[CUIT]],Lista_CUIT[#All],2,0)),"CUIT NO CARGADO")</f>
        <v>-</v>
      </c>
      <c r="H998" s="99">
        <f>ventas_b_mes1255[[#This Row],[TOTAL]]/1.21</f>
        <v>0</v>
      </c>
      <c r="I998" s="64">
        <f>ventas_b_mes1255[[#This Row],[IMPORTE NETO]]*0.21</f>
        <v>0</v>
      </c>
      <c r="J998" s="140"/>
      <c r="K998" s="140"/>
      <c r="L998" s="140"/>
      <c r="M998" s="59"/>
    </row>
    <row r="999" spans="2:13" x14ac:dyDescent="0.25">
      <c r="B999" s="134"/>
      <c r="C999" s="41"/>
      <c r="D999" s="136"/>
      <c r="E999" s="137"/>
      <c r="F999" s="112"/>
      <c r="G999" s="1" t="str">
        <f>IFERROR(IF(ventas_b_mes1255[[#This Row],[CUIT]]="","-",VLOOKUP(ventas_b_mes1255[[#This Row],[CUIT]],Lista_CUIT[#All],2,0)),"CUIT NO CARGADO")</f>
        <v>-</v>
      </c>
      <c r="H999" s="99">
        <f>ventas_b_mes1255[[#This Row],[TOTAL]]/1.21</f>
        <v>0</v>
      </c>
      <c r="I999" s="64">
        <f>ventas_b_mes1255[[#This Row],[IMPORTE NETO]]*0.21</f>
        <v>0</v>
      </c>
      <c r="J999" s="140"/>
      <c r="K999" s="140"/>
      <c r="L999" s="140"/>
      <c r="M999" s="59"/>
    </row>
    <row r="1000" spans="2:13" x14ac:dyDescent="0.25">
      <c r="B1000" s="134"/>
      <c r="C1000" s="41"/>
      <c r="D1000" s="136"/>
      <c r="E1000" s="137"/>
      <c r="F1000" s="112"/>
      <c r="G1000" s="1" t="str">
        <f>IFERROR(IF(ventas_b_mes1255[[#This Row],[CUIT]]="","-",VLOOKUP(ventas_b_mes1255[[#This Row],[CUIT]],Lista_CUIT[#All],2,0)),"CUIT NO CARGADO")</f>
        <v>-</v>
      </c>
      <c r="H1000" s="99">
        <f>ventas_b_mes1255[[#This Row],[TOTAL]]/1.21</f>
        <v>0</v>
      </c>
      <c r="I1000" s="64">
        <f>ventas_b_mes1255[[#This Row],[IMPORTE NETO]]*0.21</f>
        <v>0</v>
      </c>
      <c r="J1000" s="140"/>
      <c r="K1000" s="140"/>
      <c r="L1000" s="140"/>
      <c r="M1000" s="59"/>
    </row>
    <row r="1001" spans="2:13" x14ac:dyDescent="0.25">
      <c r="B1001" s="134"/>
      <c r="C1001" s="41"/>
      <c r="D1001" s="136"/>
      <c r="E1001" s="137"/>
      <c r="F1001" s="112"/>
      <c r="G1001" s="1" t="str">
        <f>IFERROR(IF(ventas_b_mes1255[[#This Row],[CUIT]]="","-",VLOOKUP(ventas_b_mes1255[[#This Row],[CUIT]],Lista_CUIT[#All],2,0)),"CUIT NO CARGADO")</f>
        <v>-</v>
      </c>
      <c r="H1001" s="99">
        <f>ventas_b_mes1255[[#This Row],[TOTAL]]/1.21</f>
        <v>0</v>
      </c>
      <c r="I1001" s="64">
        <f>ventas_b_mes1255[[#This Row],[IMPORTE NETO]]*0.21</f>
        <v>0</v>
      </c>
      <c r="J1001" s="140"/>
      <c r="K1001" s="140"/>
      <c r="L1001" s="140"/>
      <c r="M1001" s="59"/>
    </row>
    <row r="1002" spans="2:13" x14ac:dyDescent="0.25">
      <c r="B1002" s="134"/>
      <c r="C1002" s="41"/>
      <c r="D1002" s="136"/>
      <c r="E1002" s="137"/>
      <c r="F1002" s="112"/>
      <c r="G1002" s="1" t="str">
        <f>IFERROR(IF(ventas_b_mes1255[[#This Row],[CUIT]]="","-",VLOOKUP(ventas_b_mes1255[[#This Row],[CUIT]],Lista_CUIT[#All],2,0)),"CUIT NO CARGADO")</f>
        <v>-</v>
      </c>
      <c r="H1002" s="99">
        <f>ventas_b_mes1255[[#This Row],[TOTAL]]/1.21</f>
        <v>0</v>
      </c>
      <c r="I1002" s="64">
        <f>ventas_b_mes1255[[#This Row],[IMPORTE NETO]]*0.21</f>
        <v>0</v>
      </c>
      <c r="J1002" s="140"/>
      <c r="K1002" s="140"/>
      <c r="L1002" s="140"/>
      <c r="M1002" s="59"/>
    </row>
    <row r="1003" spans="2:13" x14ac:dyDescent="0.25">
      <c r="B1003" s="134"/>
      <c r="C1003" s="41"/>
      <c r="D1003" s="136"/>
      <c r="E1003" s="137"/>
      <c r="F1003" s="112"/>
      <c r="G1003" s="1" t="str">
        <f>IFERROR(IF(ventas_b_mes1255[[#This Row],[CUIT]]="","-",VLOOKUP(ventas_b_mes1255[[#This Row],[CUIT]],Lista_CUIT[#All],2,0)),"CUIT NO CARGADO")</f>
        <v>-</v>
      </c>
      <c r="H1003" s="99">
        <f>ventas_b_mes1255[[#This Row],[TOTAL]]/1.21</f>
        <v>0</v>
      </c>
      <c r="I1003" s="64">
        <f>ventas_b_mes1255[[#This Row],[IMPORTE NETO]]*0.21</f>
        <v>0</v>
      </c>
      <c r="J1003" s="140"/>
      <c r="K1003" s="140"/>
      <c r="L1003" s="140"/>
      <c r="M1003" s="59"/>
    </row>
    <row r="1004" spans="2:13" x14ac:dyDescent="0.25">
      <c r="B1004" s="134"/>
      <c r="C1004" s="41"/>
      <c r="D1004" s="136"/>
      <c r="E1004" s="137"/>
      <c r="F1004" s="112"/>
      <c r="G1004" s="1" t="str">
        <f>IFERROR(IF(ventas_b_mes1255[[#This Row],[CUIT]]="","-",VLOOKUP(ventas_b_mes1255[[#This Row],[CUIT]],Lista_CUIT[#All],2,0)),"CUIT NO CARGADO")</f>
        <v>-</v>
      </c>
      <c r="H1004" s="99">
        <f>ventas_b_mes1255[[#This Row],[TOTAL]]/1.21</f>
        <v>0</v>
      </c>
      <c r="I1004" s="64">
        <f>ventas_b_mes1255[[#This Row],[IMPORTE NETO]]*0.21</f>
        <v>0</v>
      </c>
      <c r="J1004" s="140"/>
      <c r="K1004" s="140"/>
      <c r="L1004" s="140"/>
      <c r="M1004" s="59"/>
    </row>
    <row r="1005" spans="2:13" x14ac:dyDescent="0.25">
      <c r="B1005" s="134"/>
      <c r="C1005" s="41"/>
      <c r="D1005" s="136"/>
      <c r="E1005" s="137"/>
      <c r="F1005" s="112"/>
      <c r="G1005" s="1" t="str">
        <f>IFERROR(IF(ventas_b_mes1255[[#This Row],[CUIT]]="","-",VLOOKUP(ventas_b_mes1255[[#This Row],[CUIT]],Lista_CUIT[#All],2,0)),"CUIT NO CARGADO")</f>
        <v>-</v>
      </c>
      <c r="H1005" s="99">
        <f>ventas_b_mes1255[[#This Row],[TOTAL]]/1.21</f>
        <v>0</v>
      </c>
      <c r="I1005" s="64">
        <f>ventas_b_mes1255[[#This Row],[IMPORTE NETO]]*0.21</f>
        <v>0</v>
      </c>
      <c r="J1005" s="140"/>
      <c r="K1005" s="140"/>
      <c r="L1005" s="140"/>
      <c r="M1005" s="59"/>
    </row>
    <row r="1006" spans="2:13" x14ac:dyDescent="0.25">
      <c r="B1006" s="134"/>
      <c r="C1006" s="41"/>
      <c r="D1006" s="136"/>
      <c r="E1006" s="137"/>
      <c r="F1006" s="112"/>
      <c r="G1006" s="1" t="str">
        <f>IFERROR(IF(ventas_b_mes1255[[#This Row],[CUIT]]="","-",VLOOKUP(ventas_b_mes1255[[#This Row],[CUIT]],Lista_CUIT[#All],2,0)),"CUIT NO CARGADO")</f>
        <v>-</v>
      </c>
      <c r="H1006" s="99">
        <f>ventas_b_mes1255[[#This Row],[TOTAL]]/1.21</f>
        <v>0</v>
      </c>
      <c r="I1006" s="64">
        <f>ventas_b_mes1255[[#This Row],[IMPORTE NETO]]*0.21</f>
        <v>0</v>
      </c>
      <c r="J1006" s="140"/>
      <c r="K1006" s="140"/>
      <c r="L1006" s="140"/>
      <c r="M1006" s="59"/>
    </row>
    <row r="1007" spans="2:13" x14ac:dyDescent="0.25">
      <c r="B1007" s="134"/>
      <c r="C1007" s="41"/>
      <c r="D1007" s="136"/>
      <c r="E1007" s="137"/>
      <c r="F1007" s="112"/>
      <c r="G1007" s="1" t="str">
        <f>IFERROR(IF(ventas_b_mes1255[[#This Row],[CUIT]]="","-",VLOOKUP(ventas_b_mes1255[[#This Row],[CUIT]],Lista_CUIT[#All],2,0)),"CUIT NO CARGADO")</f>
        <v>-</v>
      </c>
      <c r="H1007" s="99">
        <f>ventas_b_mes1255[[#This Row],[TOTAL]]/1.21</f>
        <v>0</v>
      </c>
      <c r="I1007" s="64">
        <f>ventas_b_mes1255[[#This Row],[IMPORTE NETO]]*0.21</f>
        <v>0</v>
      </c>
      <c r="J1007" s="140"/>
      <c r="K1007" s="140"/>
      <c r="L1007" s="140"/>
      <c r="M1007" s="59"/>
    </row>
    <row r="1008" spans="2:13" x14ac:dyDescent="0.25">
      <c r="B1008" s="134"/>
      <c r="C1008" s="41"/>
      <c r="D1008" s="136"/>
      <c r="E1008" s="137"/>
      <c r="F1008" s="112"/>
      <c r="G1008" s="1" t="str">
        <f>IFERROR(IF(ventas_b_mes1255[[#This Row],[CUIT]]="","-",VLOOKUP(ventas_b_mes1255[[#This Row],[CUIT]],Lista_CUIT[#All],2,0)),"CUIT NO CARGADO")</f>
        <v>-</v>
      </c>
      <c r="H1008" s="99">
        <f>ventas_b_mes1255[[#This Row],[TOTAL]]/1.21</f>
        <v>0</v>
      </c>
      <c r="I1008" s="64">
        <f>ventas_b_mes1255[[#This Row],[IMPORTE NETO]]*0.21</f>
        <v>0</v>
      </c>
      <c r="J1008" s="140"/>
      <c r="K1008" s="140"/>
      <c r="L1008" s="140"/>
      <c r="M1008" s="59"/>
    </row>
    <row r="1009" spans="2:13" x14ac:dyDescent="0.25">
      <c r="B1009" s="134"/>
      <c r="C1009" s="41"/>
      <c r="D1009" s="136"/>
      <c r="E1009" s="137"/>
      <c r="F1009" s="138"/>
      <c r="G1009" s="1" t="str">
        <f>IFERROR(IF(ventas_b_mes1255[[#This Row],[CUIT]]="","-",VLOOKUP(ventas_b_mes1255[[#This Row],[CUIT]],Lista_CUIT[#All],2,0)),"CUIT NO CARGADO")</f>
        <v>-</v>
      </c>
      <c r="H1009" s="99">
        <f>ventas_b_mes1255[[#This Row],[TOTAL]]/1.21</f>
        <v>0</v>
      </c>
      <c r="I1009" s="64">
        <f>ventas_b_mes1255[[#This Row],[IMPORTE NETO]]*0.21</f>
        <v>0</v>
      </c>
      <c r="J1009" s="140"/>
      <c r="K1009" s="140"/>
      <c r="L1009" s="140"/>
      <c r="M1009" s="59"/>
    </row>
    <row r="1010" spans="2:13" x14ac:dyDescent="0.25">
      <c r="B1010" s="134"/>
      <c r="C1010" s="41"/>
      <c r="D1010" s="136"/>
      <c r="E1010" s="137"/>
      <c r="F1010" s="138"/>
      <c r="G1010" s="1" t="str">
        <f>IFERROR(IF(ventas_b_mes1255[[#This Row],[CUIT]]="","-",VLOOKUP(ventas_b_mes1255[[#This Row],[CUIT]],Lista_CUIT[#All],2,0)),"CUIT NO CARGADO")</f>
        <v>-</v>
      </c>
      <c r="H1010" s="99">
        <f>ventas_b_mes1255[[#This Row],[TOTAL]]/1.21</f>
        <v>0</v>
      </c>
      <c r="I1010" s="64">
        <f>ventas_b_mes1255[[#This Row],[IMPORTE NETO]]*0.21</f>
        <v>0</v>
      </c>
      <c r="J1010" s="140"/>
      <c r="K1010" s="140"/>
      <c r="L1010" s="140"/>
      <c r="M1010" s="59"/>
    </row>
    <row r="1011" spans="2:13" x14ac:dyDescent="0.25">
      <c r="B1011" s="134"/>
      <c r="C1011" s="41"/>
      <c r="D1011" s="136"/>
      <c r="E1011" s="137"/>
      <c r="F1011" s="138"/>
      <c r="G1011" s="1" t="str">
        <f>IFERROR(IF(ventas_b_mes1255[[#This Row],[CUIT]]="","-",VLOOKUP(ventas_b_mes1255[[#This Row],[CUIT]],Lista_CUIT[#All],2,0)),"CUIT NO CARGADO")</f>
        <v>-</v>
      </c>
      <c r="H1011" s="99">
        <f>ventas_b_mes1255[[#This Row],[TOTAL]]/1.21</f>
        <v>0</v>
      </c>
      <c r="I1011" s="64">
        <f>ventas_b_mes1255[[#This Row],[IMPORTE NETO]]*0.21</f>
        <v>0</v>
      </c>
      <c r="J1011" s="140"/>
      <c r="K1011" s="140"/>
      <c r="L1011" s="140"/>
      <c r="M1011" s="59"/>
    </row>
    <row r="1012" spans="2:13" x14ac:dyDescent="0.25">
      <c r="B1012" s="134"/>
      <c r="C1012" s="41"/>
      <c r="D1012" s="136"/>
      <c r="E1012" s="137"/>
      <c r="F1012" s="138"/>
      <c r="G1012" s="1" t="str">
        <f>IFERROR(IF(ventas_b_mes1255[[#This Row],[CUIT]]="","-",VLOOKUP(ventas_b_mes1255[[#This Row],[CUIT]],Lista_CUIT[#All],2,0)),"CUIT NO CARGADO")</f>
        <v>-</v>
      </c>
      <c r="H1012" s="99">
        <f>ventas_b_mes1255[[#This Row],[TOTAL]]/1.21</f>
        <v>0</v>
      </c>
      <c r="I1012" s="64">
        <f>ventas_b_mes1255[[#This Row],[IMPORTE NETO]]*0.21</f>
        <v>0</v>
      </c>
      <c r="J1012" s="140"/>
      <c r="K1012" s="140"/>
      <c r="L1012" s="140"/>
      <c r="M1012" s="59"/>
    </row>
    <row r="1013" spans="2:13" x14ac:dyDescent="0.25">
      <c r="B1013" s="134"/>
      <c r="C1013" s="41"/>
      <c r="D1013" s="136"/>
      <c r="E1013" s="137"/>
      <c r="F1013" s="138"/>
      <c r="G1013" s="1" t="str">
        <f>IFERROR(IF(ventas_b_mes1255[[#This Row],[CUIT]]="","-",VLOOKUP(ventas_b_mes1255[[#This Row],[CUIT]],Lista_CUIT[#All],2,0)),"CUIT NO CARGADO")</f>
        <v>-</v>
      </c>
      <c r="H1013" s="99">
        <f>ventas_b_mes1255[[#This Row],[TOTAL]]/1.21</f>
        <v>0</v>
      </c>
      <c r="I1013" s="64">
        <f>ventas_b_mes1255[[#This Row],[IMPORTE NETO]]*0.21</f>
        <v>0</v>
      </c>
      <c r="J1013" s="140"/>
      <c r="K1013" s="140"/>
      <c r="L1013" s="140"/>
      <c r="M1013" s="59"/>
    </row>
    <row r="1014" spans="2:13" x14ac:dyDescent="0.25">
      <c r="B1014" s="134"/>
      <c r="C1014" s="41"/>
      <c r="D1014" s="136"/>
      <c r="E1014" s="137"/>
      <c r="F1014" s="138"/>
      <c r="G1014" s="1" t="str">
        <f>IFERROR(IF(ventas_b_mes1255[[#This Row],[CUIT]]="","-",VLOOKUP(ventas_b_mes1255[[#This Row],[CUIT]],Lista_CUIT[#All],2,0)),"CUIT NO CARGADO")</f>
        <v>-</v>
      </c>
      <c r="H1014" s="99">
        <f>ventas_b_mes1255[[#This Row],[TOTAL]]/1.21</f>
        <v>0</v>
      </c>
      <c r="I1014" s="64">
        <f>ventas_b_mes1255[[#This Row],[IMPORTE NETO]]*0.21</f>
        <v>0</v>
      </c>
      <c r="J1014" s="140"/>
      <c r="K1014" s="140"/>
      <c r="L1014" s="140"/>
      <c r="M1014" s="59"/>
    </row>
    <row r="1015" spans="2:13" x14ac:dyDescent="0.25">
      <c r="B1015" s="134"/>
      <c r="C1015" s="41"/>
      <c r="D1015" s="136"/>
      <c r="E1015" s="137"/>
      <c r="F1015" s="138"/>
      <c r="G1015" s="1" t="str">
        <f>IFERROR(IF(ventas_b_mes1255[[#This Row],[CUIT]]="","-",VLOOKUP(ventas_b_mes1255[[#This Row],[CUIT]],Lista_CUIT[#All],2,0)),"CUIT NO CARGADO")</f>
        <v>-</v>
      </c>
      <c r="H1015" s="99">
        <f>ventas_b_mes1255[[#This Row],[TOTAL]]/1.21</f>
        <v>0</v>
      </c>
      <c r="I1015" s="64">
        <f>ventas_b_mes1255[[#This Row],[IMPORTE NETO]]*0.21</f>
        <v>0</v>
      </c>
      <c r="J1015" s="140"/>
      <c r="K1015" s="140"/>
      <c r="L1015" s="140"/>
      <c r="M1015" s="59"/>
    </row>
    <row r="1016" spans="2:13" x14ac:dyDescent="0.25">
      <c r="B1016" s="134"/>
      <c r="C1016" s="41"/>
      <c r="D1016" s="136"/>
      <c r="E1016" s="137"/>
      <c r="F1016" s="138"/>
      <c r="G1016" s="1" t="str">
        <f>IFERROR(IF(ventas_b_mes1255[[#This Row],[CUIT]]="","-",VLOOKUP(ventas_b_mes1255[[#This Row],[CUIT]],Lista_CUIT[#All],2,0)),"CUIT NO CARGADO")</f>
        <v>-</v>
      </c>
      <c r="H1016" s="99">
        <f>ventas_b_mes1255[[#This Row],[TOTAL]]/1.21</f>
        <v>0</v>
      </c>
      <c r="I1016" s="64">
        <f>ventas_b_mes1255[[#This Row],[IMPORTE NETO]]*0.21</f>
        <v>0</v>
      </c>
      <c r="J1016" s="140"/>
      <c r="K1016" s="140"/>
      <c r="L1016" s="140"/>
      <c r="M1016" s="59"/>
    </row>
    <row r="1017" spans="2:13" x14ac:dyDescent="0.25">
      <c r="B1017" s="134"/>
      <c r="C1017" s="41"/>
      <c r="D1017" s="136"/>
      <c r="E1017" s="137"/>
      <c r="F1017" s="138"/>
      <c r="G1017" s="1" t="str">
        <f>IFERROR(IF(ventas_b_mes1255[[#This Row],[CUIT]]="","-",VLOOKUP(ventas_b_mes1255[[#This Row],[CUIT]],Lista_CUIT[#All],2,0)),"CUIT NO CARGADO")</f>
        <v>-</v>
      </c>
      <c r="H1017" s="99">
        <f>ventas_b_mes1255[[#This Row],[TOTAL]]/1.21</f>
        <v>0</v>
      </c>
      <c r="I1017" s="64">
        <f>ventas_b_mes1255[[#This Row],[IMPORTE NETO]]*0.21</f>
        <v>0</v>
      </c>
      <c r="J1017" s="140"/>
      <c r="K1017" s="140"/>
      <c r="L1017" s="140"/>
      <c r="M1017" s="59"/>
    </row>
    <row r="1018" spans="2:13" x14ac:dyDescent="0.25">
      <c r="B1018" s="134"/>
      <c r="C1018" s="41"/>
      <c r="D1018" s="136"/>
      <c r="E1018" s="137"/>
      <c r="F1018" s="138"/>
      <c r="G1018" s="1" t="str">
        <f>IFERROR(IF(ventas_b_mes1255[[#This Row],[CUIT]]="","-",VLOOKUP(ventas_b_mes1255[[#This Row],[CUIT]],Lista_CUIT[#All],2,0)),"CUIT NO CARGADO")</f>
        <v>-</v>
      </c>
      <c r="H1018" s="99">
        <f>ventas_b_mes1255[[#This Row],[TOTAL]]/1.21</f>
        <v>0</v>
      </c>
      <c r="I1018" s="64">
        <f>ventas_b_mes1255[[#This Row],[IMPORTE NETO]]*0.21</f>
        <v>0</v>
      </c>
      <c r="J1018" s="140"/>
      <c r="K1018" s="140"/>
      <c r="L1018" s="140"/>
      <c r="M1018" s="59"/>
    </row>
    <row r="1019" spans="2:13" x14ac:dyDescent="0.25">
      <c r="B1019" s="134"/>
      <c r="C1019" s="41"/>
      <c r="D1019" s="136"/>
      <c r="E1019" s="137"/>
      <c r="F1019" s="138"/>
      <c r="G1019" s="1" t="str">
        <f>IFERROR(IF(ventas_b_mes1255[[#This Row],[CUIT]]="","-",VLOOKUP(ventas_b_mes1255[[#This Row],[CUIT]],Lista_CUIT[#All],2,0)),"CUIT NO CARGADO")</f>
        <v>-</v>
      </c>
      <c r="H1019" s="99">
        <f>ventas_b_mes1255[[#This Row],[TOTAL]]/1.21</f>
        <v>0</v>
      </c>
      <c r="I1019" s="64">
        <f>ventas_b_mes1255[[#This Row],[IMPORTE NETO]]*0.21</f>
        <v>0</v>
      </c>
      <c r="J1019" s="140"/>
      <c r="K1019" s="140"/>
      <c r="L1019" s="140"/>
      <c r="M1019" s="59"/>
    </row>
    <row r="1020" spans="2:13" x14ac:dyDescent="0.25">
      <c r="B1020" s="134"/>
      <c r="C1020" s="41"/>
      <c r="D1020" s="136"/>
      <c r="E1020" s="137"/>
      <c r="F1020" s="138"/>
      <c r="G1020" s="1" t="str">
        <f>IFERROR(IF(ventas_b_mes1255[[#This Row],[CUIT]]="","-",VLOOKUP(ventas_b_mes1255[[#This Row],[CUIT]],Lista_CUIT[#All],2,0)),"CUIT NO CARGADO")</f>
        <v>-</v>
      </c>
      <c r="H1020" s="99">
        <f>ventas_b_mes1255[[#This Row],[TOTAL]]/1.21</f>
        <v>0</v>
      </c>
      <c r="I1020" s="64">
        <f>ventas_b_mes1255[[#This Row],[IMPORTE NETO]]*0.21</f>
        <v>0</v>
      </c>
      <c r="J1020" s="140"/>
      <c r="K1020" s="140"/>
      <c r="L1020" s="140"/>
      <c r="M1020" s="59"/>
    </row>
    <row r="1021" spans="2:13" x14ac:dyDescent="0.25">
      <c r="B1021" s="134"/>
      <c r="C1021" s="41"/>
      <c r="D1021" s="136"/>
      <c r="E1021" s="137"/>
      <c r="F1021" s="138"/>
      <c r="G1021" s="1" t="str">
        <f>IFERROR(IF(ventas_b_mes1255[[#This Row],[CUIT]]="","-",VLOOKUP(ventas_b_mes1255[[#This Row],[CUIT]],Lista_CUIT[#All],2,0)),"CUIT NO CARGADO")</f>
        <v>-</v>
      </c>
      <c r="H1021" s="99">
        <f>ventas_b_mes1255[[#This Row],[TOTAL]]/1.21</f>
        <v>0</v>
      </c>
      <c r="I1021" s="64">
        <f>ventas_b_mes1255[[#This Row],[IMPORTE NETO]]*0.21</f>
        <v>0</v>
      </c>
      <c r="J1021" s="140"/>
      <c r="K1021" s="140"/>
      <c r="L1021" s="140"/>
      <c r="M1021" s="59"/>
    </row>
    <row r="1022" spans="2:13" x14ac:dyDescent="0.25">
      <c r="B1022" s="134"/>
      <c r="C1022" s="41"/>
      <c r="D1022" s="136"/>
      <c r="E1022" s="137"/>
      <c r="F1022" s="138"/>
      <c r="G1022" s="1" t="str">
        <f>IFERROR(IF(ventas_b_mes1255[[#This Row],[CUIT]]="","-",VLOOKUP(ventas_b_mes1255[[#This Row],[CUIT]],Lista_CUIT[#All],2,0)),"CUIT NO CARGADO")</f>
        <v>-</v>
      </c>
      <c r="H1022" s="99">
        <f>ventas_b_mes1255[[#This Row],[TOTAL]]/1.21</f>
        <v>0</v>
      </c>
      <c r="I1022" s="64">
        <f>ventas_b_mes1255[[#This Row],[IMPORTE NETO]]*0.21</f>
        <v>0</v>
      </c>
      <c r="J1022" s="140"/>
      <c r="K1022" s="140"/>
      <c r="L1022" s="140"/>
      <c r="M1022" s="59"/>
    </row>
    <row r="1023" spans="2:13" x14ac:dyDescent="0.25">
      <c r="B1023" s="134"/>
      <c r="C1023" s="41"/>
      <c r="D1023" s="136"/>
      <c r="E1023" s="137"/>
      <c r="F1023" s="138"/>
      <c r="G1023" s="1" t="str">
        <f>IFERROR(IF(ventas_b_mes1255[[#This Row],[CUIT]]="","-",VLOOKUP(ventas_b_mes1255[[#This Row],[CUIT]],Lista_CUIT[#All],2,0)),"CUIT NO CARGADO")</f>
        <v>-</v>
      </c>
      <c r="H1023" s="99">
        <f>ventas_b_mes1255[[#This Row],[TOTAL]]/1.21</f>
        <v>0</v>
      </c>
      <c r="I1023" s="64">
        <f>ventas_b_mes1255[[#This Row],[IMPORTE NETO]]*0.21</f>
        <v>0</v>
      </c>
      <c r="J1023" s="140"/>
      <c r="K1023" s="140"/>
      <c r="L1023" s="140"/>
      <c r="M1023" s="59"/>
    </row>
    <row r="1024" spans="2:13" x14ac:dyDescent="0.25">
      <c r="B1024" s="134"/>
      <c r="C1024" s="41"/>
      <c r="D1024" s="136"/>
      <c r="E1024" s="137"/>
      <c r="F1024" s="138"/>
      <c r="G1024" s="1" t="str">
        <f>IFERROR(IF(ventas_b_mes1255[[#This Row],[CUIT]]="","-",VLOOKUP(ventas_b_mes1255[[#This Row],[CUIT]],Lista_CUIT[#All],2,0)),"CUIT NO CARGADO")</f>
        <v>-</v>
      </c>
      <c r="H1024" s="99">
        <f>ventas_b_mes1255[[#This Row],[TOTAL]]/1.21</f>
        <v>0</v>
      </c>
      <c r="I1024" s="64">
        <f>ventas_b_mes1255[[#This Row],[IMPORTE NETO]]*0.21</f>
        <v>0</v>
      </c>
      <c r="J1024" s="140"/>
      <c r="K1024" s="140"/>
      <c r="L1024" s="140"/>
      <c r="M1024" s="59"/>
    </row>
    <row r="1025" spans="2:13" x14ac:dyDescent="0.25">
      <c r="B1025" s="134"/>
      <c r="C1025" s="41"/>
      <c r="D1025" s="136"/>
      <c r="E1025" s="137"/>
      <c r="F1025" s="138"/>
      <c r="G1025" s="1" t="str">
        <f>IFERROR(IF(ventas_b_mes1255[[#This Row],[CUIT]]="","-",VLOOKUP(ventas_b_mes1255[[#This Row],[CUIT]],Lista_CUIT[#All],2,0)),"CUIT NO CARGADO")</f>
        <v>-</v>
      </c>
      <c r="H1025" s="99">
        <f>ventas_b_mes1255[[#This Row],[TOTAL]]/1.21</f>
        <v>0</v>
      </c>
      <c r="I1025" s="64">
        <f>ventas_b_mes1255[[#This Row],[IMPORTE NETO]]*0.21</f>
        <v>0</v>
      </c>
      <c r="J1025" s="140"/>
      <c r="K1025" s="140"/>
      <c r="L1025" s="140"/>
      <c r="M1025" s="59"/>
    </row>
    <row r="1026" spans="2:13" x14ac:dyDescent="0.25">
      <c r="B1026" s="134"/>
      <c r="C1026" s="41"/>
      <c r="D1026" s="136"/>
      <c r="E1026" s="137"/>
      <c r="F1026" s="138"/>
      <c r="G1026" s="1" t="str">
        <f>IFERROR(IF(ventas_b_mes1255[[#This Row],[CUIT]]="","-",VLOOKUP(ventas_b_mes1255[[#This Row],[CUIT]],Lista_CUIT[#All],2,0)),"CUIT NO CARGADO")</f>
        <v>-</v>
      </c>
      <c r="H1026" s="99">
        <f>ventas_b_mes1255[[#This Row],[TOTAL]]/1.21</f>
        <v>0</v>
      </c>
      <c r="I1026" s="64">
        <f>ventas_b_mes1255[[#This Row],[IMPORTE NETO]]*0.21</f>
        <v>0</v>
      </c>
      <c r="J1026" s="140"/>
      <c r="K1026" s="140"/>
      <c r="L1026" s="140"/>
      <c r="M1026" s="59"/>
    </row>
    <row r="1027" spans="2:13" x14ac:dyDescent="0.25">
      <c r="B1027" s="134"/>
      <c r="C1027" s="41"/>
      <c r="D1027" s="136"/>
      <c r="E1027" s="137"/>
      <c r="F1027" s="138"/>
      <c r="G1027" s="1" t="str">
        <f>IFERROR(IF(ventas_b_mes1255[[#This Row],[CUIT]]="","-",VLOOKUP(ventas_b_mes1255[[#This Row],[CUIT]],Lista_CUIT[#All],2,0)),"CUIT NO CARGADO")</f>
        <v>-</v>
      </c>
      <c r="H1027" s="99">
        <f>ventas_b_mes1255[[#This Row],[TOTAL]]/1.21</f>
        <v>0</v>
      </c>
      <c r="I1027" s="64">
        <f>ventas_b_mes1255[[#This Row],[IMPORTE NETO]]*0.21</f>
        <v>0</v>
      </c>
      <c r="J1027" s="140"/>
      <c r="K1027" s="140"/>
      <c r="L1027" s="140"/>
      <c r="M1027" s="59"/>
    </row>
    <row r="1028" spans="2:13" x14ac:dyDescent="0.25">
      <c r="B1028" s="134"/>
      <c r="C1028" s="41"/>
      <c r="D1028" s="136"/>
      <c r="E1028" s="137"/>
      <c r="F1028" s="138"/>
      <c r="G1028" s="1" t="str">
        <f>IFERROR(IF(ventas_b_mes1255[[#This Row],[CUIT]]="","-",VLOOKUP(ventas_b_mes1255[[#This Row],[CUIT]],Lista_CUIT[#All],2,0)),"CUIT NO CARGADO")</f>
        <v>-</v>
      </c>
      <c r="H1028" s="99">
        <f>ventas_b_mes1255[[#This Row],[TOTAL]]/1.21</f>
        <v>0</v>
      </c>
      <c r="I1028" s="64">
        <f>ventas_b_mes1255[[#This Row],[IMPORTE NETO]]*0.21</f>
        <v>0</v>
      </c>
      <c r="J1028" s="140"/>
      <c r="K1028" s="140"/>
      <c r="L1028" s="140"/>
      <c r="M1028" s="59"/>
    </row>
    <row r="1029" spans="2:13" x14ac:dyDescent="0.25">
      <c r="B1029" s="134"/>
      <c r="C1029" s="41"/>
      <c r="D1029" s="136"/>
      <c r="E1029" s="137"/>
      <c r="F1029" s="138"/>
      <c r="G1029" s="1" t="str">
        <f>IFERROR(IF(ventas_b_mes1255[[#This Row],[CUIT]]="","-",VLOOKUP(ventas_b_mes1255[[#This Row],[CUIT]],Lista_CUIT[#All],2,0)),"CUIT NO CARGADO")</f>
        <v>-</v>
      </c>
      <c r="H1029" s="99">
        <f>ventas_b_mes1255[[#This Row],[TOTAL]]/1.21</f>
        <v>0</v>
      </c>
      <c r="I1029" s="64">
        <f>ventas_b_mes1255[[#This Row],[IMPORTE NETO]]*0.21</f>
        <v>0</v>
      </c>
      <c r="J1029" s="140"/>
      <c r="K1029" s="140"/>
      <c r="L1029" s="140"/>
      <c r="M1029" s="59"/>
    </row>
    <row r="1030" spans="2:13" x14ac:dyDescent="0.25">
      <c r="B1030" s="134"/>
      <c r="C1030" s="41"/>
      <c r="D1030" s="136"/>
      <c r="E1030" s="137"/>
      <c r="F1030" s="138"/>
      <c r="G1030" s="1" t="str">
        <f>IFERROR(IF(ventas_b_mes1255[[#This Row],[CUIT]]="","-",VLOOKUP(ventas_b_mes1255[[#This Row],[CUIT]],Lista_CUIT[#All],2,0)),"CUIT NO CARGADO")</f>
        <v>-</v>
      </c>
      <c r="H1030" s="99">
        <f>ventas_b_mes1255[[#This Row],[TOTAL]]/1.21</f>
        <v>0</v>
      </c>
      <c r="I1030" s="64">
        <f>ventas_b_mes1255[[#This Row],[IMPORTE NETO]]*0.21</f>
        <v>0</v>
      </c>
      <c r="J1030" s="140"/>
      <c r="K1030" s="140"/>
      <c r="L1030" s="140"/>
      <c r="M1030" s="59"/>
    </row>
    <row r="1031" spans="2:13" x14ac:dyDescent="0.25">
      <c r="B1031" s="134"/>
      <c r="C1031" s="41"/>
      <c r="D1031" s="136"/>
      <c r="E1031" s="137"/>
      <c r="F1031" s="138"/>
      <c r="G1031" s="1" t="str">
        <f>IFERROR(IF(ventas_b_mes1255[[#This Row],[CUIT]]="","-",VLOOKUP(ventas_b_mes1255[[#This Row],[CUIT]],Lista_CUIT[#All],2,0)),"CUIT NO CARGADO")</f>
        <v>-</v>
      </c>
      <c r="H1031" s="99">
        <f>ventas_b_mes1255[[#This Row],[TOTAL]]/1.21</f>
        <v>0</v>
      </c>
      <c r="I1031" s="64">
        <f>ventas_b_mes1255[[#This Row],[IMPORTE NETO]]*0.21</f>
        <v>0</v>
      </c>
      <c r="J1031" s="140"/>
      <c r="K1031" s="140"/>
      <c r="L1031" s="140"/>
      <c r="M1031" s="59"/>
    </row>
    <row r="1032" spans="2:13" x14ac:dyDescent="0.25">
      <c r="B1032" s="134"/>
      <c r="C1032" s="41"/>
      <c r="D1032" s="136"/>
      <c r="E1032" s="137"/>
      <c r="F1032" s="138"/>
      <c r="G1032" s="1" t="str">
        <f>IFERROR(IF(ventas_b_mes1255[[#This Row],[CUIT]]="","-",VLOOKUP(ventas_b_mes1255[[#This Row],[CUIT]],Lista_CUIT[#All],2,0)),"CUIT NO CARGADO")</f>
        <v>-</v>
      </c>
      <c r="H1032" s="99">
        <f>ventas_b_mes1255[[#This Row],[TOTAL]]/1.21</f>
        <v>0</v>
      </c>
      <c r="I1032" s="64">
        <f>ventas_b_mes1255[[#This Row],[IMPORTE NETO]]*0.21</f>
        <v>0</v>
      </c>
      <c r="J1032" s="140"/>
      <c r="K1032" s="140"/>
      <c r="L1032" s="140"/>
      <c r="M1032" s="59"/>
    </row>
    <row r="1033" spans="2:13" x14ac:dyDescent="0.25">
      <c r="B1033" s="134"/>
      <c r="C1033" s="41"/>
      <c r="D1033" s="136"/>
      <c r="E1033" s="137"/>
      <c r="F1033" s="138"/>
      <c r="G1033" s="1" t="str">
        <f>IFERROR(IF(ventas_b_mes1255[[#This Row],[CUIT]]="","-",VLOOKUP(ventas_b_mes1255[[#This Row],[CUIT]],Lista_CUIT[#All],2,0)),"CUIT NO CARGADO")</f>
        <v>-</v>
      </c>
      <c r="H1033" s="99">
        <f>ventas_b_mes1255[[#This Row],[TOTAL]]/1.21</f>
        <v>0</v>
      </c>
      <c r="I1033" s="64">
        <f>ventas_b_mes1255[[#This Row],[IMPORTE NETO]]*0.21</f>
        <v>0</v>
      </c>
      <c r="J1033" s="140"/>
      <c r="K1033" s="140"/>
      <c r="L1033" s="140"/>
      <c r="M1033" s="59"/>
    </row>
    <row r="1034" spans="2:13" x14ac:dyDescent="0.25">
      <c r="B1034" s="134"/>
      <c r="C1034" s="41"/>
      <c r="D1034" s="136"/>
      <c r="E1034" s="137"/>
      <c r="F1034" s="138"/>
      <c r="G1034" s="1" t="str">
        <f>IFERROR(IF(ventas_b_mes1255[[#This Row],[CUIT]]="","-",VLOOKUP(ventas_b_mes1255[[#This Row],[CUIT]],Lista_CUIT[#All],2,0)),"CUIT NO CARGADO")</f>
        <v>-</v>
      </c>
      <c r="H1034" s="99">
        <f>ventas_b_mes1255[[#This Row],[TOTAL]]/1.21</f>
        <v>0</v>
      </c>
      <c r="I1034" s="64">
        <f>ventas_b_mes1255[[#This Row],[IMPORTE NETO]]*0.21</f>
        <v>0</v>
      </c>
      <c r="J1034" s="140"/>
      <c r="K1034" s="140"/>
      <c r="L1034" s="140"/>
      <c r="M1034" s="59"/>
    </row>
    <row r="1035" spans="2:13" x14ac:dyDescent="0.25">
      <c r="B1035" s="134"/>
      <c r="C1035" s="41"/>
      <c r="D1035" s="136"/>
      <c r="E1035" s="137"/>
      <c r="F1035" s="138"/>
      <c r="G1035" s="1" t="str">
        <f>IFERROR(IF(ventas_b_mes1255[[#This Row],[CUIT]]="","-",VLOOKUP(ventas_b_mes1255[[#This Row],[CUIT]],Lista_CUIT[#All],2,0)),"CUIT NO CARGADO")</f>
        <v>-</v>
      </c>
      <c r="H1035" s="99">
        <f>ventas_b_mes1255[[#This Row],[TOTAL]]/1.21</f>
        <v>0</v>
      </c>
      <c r="I1035" s="64">
        <f>ventas_b_mes1255[[#This Row],[IMPORTE NETO]]*0.21</f>
        <v>0</v>
      </c>
      <c r="J1035" s="140"/>
      <c r="K1035" s="140"/>
      <c r="L1035" s="140"/>
      <c r="M1035" s="59"/>
    </row>
    <row r="1036" spans="2:13" x14ac:dyDescent="0.25">
      <c r="B1036" s="134"/>
      <c r="C1036" s="41"/>
      <c r="D1036" s="136"/>
      <c r="E1036" s="137"/>
      <c r="F1036" s="138"/>
      <c r="G1036" s="1" t="str">
        <f>IFERROR(IF(ventas_b_mes1255[[#This Row],[CUIT]]="","-",VLOOKUP(ventas_b_mes1255[[#This Row],[CUIT]],Lista_CUIT[#All],2,0)),"CUIT NO CARGADO")</f>
        <v>-</v>
      </c>
      <c r="H1036" s="99">
        <f>ventas_b_mes1255[[#This Row],[TOTAL]]/1.21</f>
        <v>0</v>
      </c>
      <c r="I1036" s="64">
        <f>ventas_b_mes1255[[#This Row],[IMPORTE NETO]]*0.21</f>
        <v>0</v>
      </c>
      <c r="J1036" s="140"/>
      <c r="K1036" s="140"/>
      <c r="L1036" s="140"/>
      <c r="M1036" s="59"/>
    </row>
    <row r="1037" spans="2:13" x14ac:dyDescent="0.25">
      <c r="B1037" s="134"/>
      <c r="C1037" s="41"/>
      <c r="D1037" s="136"/>
      <c r="E1037" s="137"/>
      <c r="F1037" s="138"/>
      <c r="G1037" s="1" t="str">
        <f>IFERROR(IF(ventas_b_mes1255[[#This Row],[CUIT]]="","-",VLOOKUP(ventas_b_mes1255[[#This Row],[CUIT]],Lista_CUIT[#All],2,0)),"CUIT NO CARGADO")</f>
        <v>-</v>
      </c>
      <c r="H1037" s="99">
        <f>ventas_b_mes1255[[#This Row],[TOTAL]]/1.21</f>
        <v>0</v>
      </c>
      <c r="I1037" s="64">
        <f>ventas_b_mes1255[[#This Row],[IMPORTE NETO]]*0.21</f>
        <v>0</v>
      </c>
      <c r="J1037" s="140"/>
      <c r="K1037" s="140"/>
      <c r="L1037" s="140"/>
      <c r="M1037" s="59"/>
    </row>
    <row r="1038" spans="2:13" x14ac:dyDescent="0.25">
      <c r="B1038" s="134"/>
      <c r="C1038" s="41"/>
      <c r="D1038" s="136"/>
      <c r="E1038" s="137"/>
      <c r="F1038" s="138"/>
      <c r="G1038" s="1" t="str">
        <f>IFERROR(IF(ventas_b_mes1255[[#This Row],[CUIT]]="","-",VLOOKUP(ventas_b_mes1255[[#This Row],[CUIT]],Lista_CUIT[#All],2,0)),"CUIT NO CARGADO")</f>
        <v>-</v>
      </c>
      <c r="H1038" s="99">
        <f>ventas_b_mes1255[[#This Row],[TOTAL]]/1.21</f>
        <v>0</v>
      </c>
      <c r="I1038" s="64">
        <f>ventas_b_mes1255[[#This Row],[IMPORTE NETO]]*0.21</f>
        <v>0</v>
      </c>
      <c r="J1038" s="140"/>
      <c r="K1038" s="140"/>
      <c r="L1038" s="140"/>
      <c r="M1038" s="59"/>
    </row>
    <row r="1039" spans="2:13" x14ac:dyDescent="0.25">
      <c r="B1039" s="134"/>
      <c r="C1039" s="41"/>
      <c r="D1039" s="136"/>
      <c r="E1039" s="137"/>
      <c r="F1039" s="138"/>
      <c r="G1039" s="1" t="str">
        <f>IFERROR(IF(ventas_b_mes1255[[#This Row],[CUIT]]="","-",VLOOKUP(ventas_b_mes1255[[#This Row],[CUIT]],Lista_CUIT[#All],2,0)),"CUIT NO CARGADO")</f>
        <v>-</v>
      </c>
      <c r="H1039" s="99">
        <f>ventas_b_mes1255[[#This Row],[TOTAL]]/1.21</f>
        <v>0</v>
      </c>
      <c r="I1039" s="64">
        <f>ventas_b_mes1255[[#This Row],[IMPORTE NETO]]*0.21</f>
        <v>0</v>
      </c>
      <c r="J1039" s="140"/>
      <c r="K1039" s="140"/>
      <c r="L1039" s="140"/>
      <c r="M1039" s="59"/>
    </row>
    <row r="1040" spans="2:13" x14ac:dyDescent="0.25">
      <c r="B1040" s="134"/>
      <c r="C1040" s="41"/>
      <c r="D1040" s="136"/>
      <c r="E1040" s="137"/>
      <c r="F1040" s="138"/>
      <c r="G1040" s="1" t="str">
        <f>IFERROR(IF(ventas_b_mes1255[[#This Row],[CUIT]]="","-",VLOOKUP(ventas_b_mes1255[[#This Row],[CUIT]],Lista_CUIT[#All],2,0)),"CUIT NO CARGADO")</f>
        <v>-</v>
      </c>
      <c r="H1040" s="99">
        <f>ventas_b_mes1255[[#This Row],[TOTAL]]/1.21</f>
        <v>0</v>
      </c>
      <c r="I1040" s="64">
        <f>ventas_b_mes1255[[#This Row],[IMPORTE NETO]]*0.21</f>
        <v>0</v>
      </c>
      <c r="J1040" s="140"/>
      <c r="K1040" s="140"/>
      <c r="L1040" s="140"/>
      <c r="M1040" s="59"/>
    </row>
    <row r="1041" spans="2:13" x14ac:dyDescent="0.25">
      <c r="B1041" s="134"/>
      <c r="C1041" s="41"/>
      <c r="D1041" s="136"/>
      <c r="E1041" s="137"/>
      <c r="F1041" s="138"/>
      <c r="G1041" s="1" t="str">
        <f>IFERROR(IF(ventas_b_mes1255[[#This Row],[CUIT]]="","-",VLOOKUP(ventas_b_mes1255[[#This Row],[CUIT]],Lista_CUIT[#All],2,0)),"CUIT NO CARGADO")</f>
        <v>-</v>
      </c>
      <c r="H1041" s="99">
        <f>ventas_b_mes1255[[#This Row],[TOTAL]]/1.21</f>
        <v>0</v>
      </c>
      <c r="I1041" s="64">
        <f>ventas_b_mes1255[[#This Row],[IMPORTE NETO]]*0.21</f>
        <v>0</v>
      </c>
      <c r="J1041" s="140"/>
      <c r="K1041" s="140"/>
      <c r="L1041" s="140"/>
      <c r="M1041" s="59"/>
    </row>
    <row r="1042" spans="2:13" x14ac:dyDescent="0.25">
      <c r="B1042" s="134"/>
      <c r="C1042" s="41"/>
      <c r="D1042" s="136"/>
      <c r="E1042" s="137"/>
      <c r="F1042" s="138"/>
      <c r="G1042" s="1" t="str">
        <f>IFERROR(IF(ventas_b_mes1255[[#This Row],[CUIT]]="","-",VLOOKUP(ventas_b_mes1255[[#This Row],[CUIT]],Lista_CUIT[#All],2,0)),"CUIT NO CARGADO")</f>
        <v>-</v>
      </c>
      <c r="H1042" s="99">
        <f>ventas_b_mes1255[[#This Row],[TOTAL]]/1.21</f>
        <v>0</v>
      </c>
      <c r="I1042" s="64">
        <f>ventas_b_mes1255[[#This Row],[IMPORTE NETO]]*0.21</f>
        <v>0</v>
      </c>
      <c r="J1042" s="140"/>
      <c r="K1042" s="140"/>
      <c r="L1042" s="140"/>
      <c r="M1042" s="59"/>
    </row>
    <row r="1043" spans="2:13" x14ac:dyDescent="0.25">
      <c r="B1043" s="134"/>
      <c r="C1043" s="41"/>
      <c r="D1043" s="136"/>
      <c r="E1043" s="137"/>
      <c r="F1043" s="138"/>
      <c r="G1043" s="1" t="str">
        <f>IFERROR(IF(ventas_b_mes1255[[#This Row],[CUIT]]="","-",VLOOKUP(ventas_b_mes1255[[#This Row],[CUIT]],Lista_CUIT[#All],2,0)),"CUIT NO CARGADO")</f>
        <v>-</v>
      </c>
      <c r="H1043" s="99">
        <f>ventas_b_mes1255[[#This Row],[TOTAL]]/1.21</f>
        <v>0</v>
      </c>
      <c r="I1043" s="64">
        <f>ventas_b_mes1255[[#This Row],[IMPORTE NETO]]*0.21</f>
        <v>0</v>
      </c>
      <c r="J1043" s="140"/>
      <c r="K1043" s="140"/>
      <c r="L1043" s="140"/>
      <c r="M1043" s="59"/>
    </row>
    <row r="1044" spans="2:13" x14ac:dyDescent="0.25">
      <c r="B1044" s="134"/>
      <c r="C1044" s="41"/>
      <c r="D1044" s="136"/>
      <c r="E1044" s="137"/>
      <c r="F1044" s="138"/>
      <c r="G1044" s="1" t="str">
        <f>IFERROR(IF(ventas_b_mes1255[[#This Row],[CUIT]]="","-",VLOOKUP(ventas_b_mes1255[[#This Row],[CUIT]],Lista_CUIT[#All],2,0)),"CUIT NO CARGADO")</f>
        <v>-</v>
      </c>
      <c r="H1044" s="99">
        <f>ventas_b_mes1255[[#This Row],[TOTAL]]/1.21</f>
        <v>0</v>
      </c>
      <c r="I1044" s="64">
        <f>ventas_b_mes1255[[#This Row],[IMPORTE NETO]]*0.21</f>
        <v>0</v>
      </c>
      <c r="J1044" s="140"/>
      <c r="K1044" s="140"/>
      <c r="L1044" s="140"/>
      <c r="M1044" s="59"/>
    </row>
    <row r="1045" spans="2:13" x14ac:dyDescent="0.25">
      <c r="B1045" s="134"/>
      <c r="C1045" s="41"/>
      <c r="D1045" s="136"/>
      <c r="E1045" s="137"/>
      <c r="F1045" s="138"/>
      <c r="G1045" s="1" t="str">
        <f>IFERROR(IF(ventas_b_mes1255[[#This Row],[CUIT]]="","-",VLOOKUP(ventas_b_mes1255[[#This Row],[CUIT]],Lista_CUIT[#All],2,0)),"CUIT NO CARGADO")</f>
        <v>-</v>
      </c>
      <c r="H1045" s="99">
        <f>ventas_b_mes1255[[#This Row],[TOTAL]]/1.21</f>
        <v>0</v>
      </c>
      <c r="I1045" s="64">
        <f>ventas_b_mes1255[[#This Row],[IMPORTE NETO]]*0.21</f>
        <v>0</v>
      </c>
      <c r="J1045" s="140"/>
      <c r="K1045" s="140"/>
      <c r="L1045" s="140"/>
      <c r="M1045" s="59"/>
    </row>
    <row r="1046" spans="2:13" x14ac:dyDescent="0.25">
      <c r="B1046" s="134"/>
      <c r="C1046" s="41"/>
      <c r="D1046" s="136"/>
      <c r="E1046" s="137"/>
      <c r="F1046" s="138"/>
      <c r="G1046" s="1" t="str">
        <f>IFERROR(IF(ventas_b_mes1255[[#This Row],[CUIT]]="","-",VLOOKUP(ventas_b_mes1255[[#This Row],[CUIT]],Lista_CUIT[#All],2,0)),"CUIT NO CARGADO")</f>
        <v>-</v>
      </c>
      <c r="H1046" s="99">
        <f>ventas_b_mes1255[[#This Row],[TOTAL]]/1.21</f>
        <v>0</v>
      </c>
      <c r="I1046" s="64">
        <f>ventas_b_mes1255[[#This Row],[IMPORTE NETO]]*0.21</f>
        <v>0</v>
      </c>
      <c r="J1046" s="140"/>
      <c r="K1046" s="140"/>
      <c r="L1046" s="140"/>
      <c r="M1046" s="59"/>
    </row>
    <row r="1047" spans="2:13" x14ac:dyDescent="0.25">
      <c r="B1047" s="134"/>
      <c r="C1047" s="41"/>
      <c r="D1047" s="136"/>
      <c r="E1047" s="137"/>
      <c r="F1047" s="138"/>
      <c r="G1047" s="1" t="str">
        <f>IFERROR(IF(ventas_b_mes1255[[#This Row],[CUIT]]="","-",VLOOKUP(ventas_b_mes1255[[#This Row],[CUIT]],Lista_CUIT[#All],2,0)),"CUIT NO CARGADO")</f>
        <v>-</v>
      </c>
      <c r="H1047" s="99">
        <f>ventas_b_mes1255[[#This Row],[TOTAL]]/1.21</f>
        <v>0</v>
      </c>
      <c r="I1047" s="64">
        <f>ventas_b_mes1255[[#This Row],[IMPORTE NETO]]*0.21</f>
        <v>0</v>
      </c>
      <c r="J1047" s="140"/>
      <c r="K1047" s="140"/>
      <c r="L1047" s="140"/>
      <c r="M1047" s="59"/>
    </row>
    <row r="1048" spans="2:13" x14ac:dyDescent="0.25">
      <c r="B1048" s="134"/>
      <c r="C1048" s="41"/>
      <c r="D1048" s="136"/>
      <c r="E1048" s="137"/>
      <c r="F1048" s="138"/>
      <c r="G1048" s="1" t="str">
        <f>IFERROR(IF(ventas_b_mes1255[[#This Row],[CUIT]]="","-",VLOOKUP(ventas_b_mes1255[[#This Row],[CUIT]],Lista_CUIT[#All],2,0)),"CUIT NO CARGADO")</f>
        <v>-</v>
      </c>
      <c r="H1048" s="99">
        <f>ventas_b_mes1255[[#This Row],[TOTAL]]/1.21</f>
        <v>0</v>
      </c>
      <c r="I1048" s="64">
        <f>ventas_b_mes1255[[#This Row],[IMPORTE NETO]]*0.21</f>
        <v>0</v>
      </c>
      <c r="J1048" s="140"/>
      <c r="K1048" s="140"/>
      <c r="L1048" s="140"/>
      <c r="M1048" s="59"/>
    </row>
    <row r="1049" spans="2:13" x14ac:dyDescent="0.25">
      <c r="B1049" s="134"/>
      <c r="C1049" s="41"/>
      <c r="D1049" s="136"/>
      <c r="E1049" s="137"/>
      <c r="F1049" s="138"/>
      <c r="G1049" s="1" t="str">
        <f>IFERROR(IF(ventas_b_mes1255[[#This Row],[CUIT]]="","-",VLOOKUP(ventas_b_mes1255[[#This Row],[CUIT]],Lista_CUIT[#All],2,0)),"CUIT NO CARGADO")</f>
        <v>-</v>
      </c>
      <c r="H1049" s="99">
        <f>ventas_b_mes1255[[#This Row],[TOTAL]]/1.21</f>
        <v>0</v>
      </c>
      <c r="I1049" s="64">
        <f>ventas_b_mes1255[[#This Row],[IMPORTE NETO]]*0.21</f>
        <v>0</v>
      </c>
      <c r="J1049" s="140"/>
      <c r="K1049" s="140"/>
      <c r="L1049" s="140"/>
      <c r="M1049" s="59"/>
    </row>
    <row r="1050" spans="2:13" x14ac:dyDescent="0.25">
      <c r="B1050" s="134"/>
      <c r="C1050" s="41"/>
      <c r="D1050" s="136"/>
      <c r="E1050" s="137"/>
      <c r="F1050" s="138"/>
      <c r="G1050" s="1" t="str">
        <f>IFERROR(IF(ventas_b_mes1255[[#This Row],[CUIT]]="","-",VLOOKUP(ventas_b_mes1255[[#This Row],[CUIT]],Lista_CUIT[#All],2,0)),"CUIT NO CARGADO")</f>
        <v>-</v>
      </c>
      <c r="H1050" s="99">
        <f>ventas_b_mes1255[[#This Row],[TOTAL]]/1.21</f>
        <v>0</v>
      </c>
      <c r="I1050" s="64">
        <f>ventas_b_mes1255[[#This Row],[IMPORTE NETO]]*0.21</f>
        <v>0</v>
      </c>
      <c r="J1050" s="140"/>
      <c r="K1050" s="140"/>
      <c r="L1050" s="140"/>
      <c r="M1050" s="59"/>
    </row>
    <row r="1051" spans="2:13" x14ac:dyDescent="0.25">
      <c r="B1051" s="134"/>
      <c r="C1051" s="41"/>
      <c r="D1051" s="136"/>
      <c r="E1051" s="137"/>
      <c r="F1051" s="138"/>
      <c r="G1051" s="1" t="str">
        <f>IFERROR(IF(ventas_b_mes1255[[#This Row],[CUIT]]="","-",VLOOKUP(ventas_b_mes1255[[#This Row],[CUIT]],Lista_CUIT[#All],2,0)),"CUIT NO CARGADO")</f>
        <v>-</v>
      </c>
      <c r="H1051" s="99">
        <f>ventas_b_mes1255[[#This Row],[TOTAL]]/1.21</f>
        <v>0</v>
      </c>
      <c r="I1051" s="64">
        <f>ventas_b_mes1255[[#This Row],[IMPORTE NETO]]*0.21</f>
        <v>0</v>
      </c>
      <c r="J1051" s="140"/>
      <c r="K1051" s="140"/>
      <c r="L1051" s="140"/>
      <c r="M1051" s="59"/>
    </row>
    <row r="1052" spans="2:13" x14ac:dyDescent="0.25">
      <c r="B1052" s="134"/>
      <c r="C1052" s="41"/>
      <c r="D1052" s="136"/>
      <c r="E1052" s="137"/>
      <c r="F1052" s="138"/>
      <c r="G1052" s="1" t="str">
        <f>IFERROR(IF(ventas_b_mes1255[[#This Row],[CUIT]]="","-",VLOOKUP(ventas_b_mes1255[[#This Row],[CUIT]],Lista_CUIT[#All],2,0)),"CUIT NO CARGADO")</f>
        <v>-</v>
      </c>
      <c r="H1052" s="99">
        <f>ventas_b_mes1255[[#This Row],[TOTAL]]/1.21</f>
        <v>0</v>
      </c>
      <c r="I1052" s="64">
        <f>ventas_b_mes1255[[#This Row],[IMPORTE NETO]]*0.21</f>
        <v>0</v>
      </c>
      <c r="J1052" s="140"/>
      <c r="K1052" s="140"/>
      <c r="L1052" s="140"/>
      <c r="M1052" s="59"/>
    </row>
    <row r="1053" spans="2:13" x14ac:dyDescent="0.25">
      <c r="B1053" s="134"/>
      <c r="C1053" s="41"/>
      <c r="D1053" s="136"/>
      <c r="E1053" s="137"/>
      <c r="F1053" s="138"/>
      <c r="G1053" s="1" t="str">
        <f>IFERROR(IF(ventas_b_mes1255[[#This Row],[CUIT]]="","-",VLOOKUP(ventas_b_mes1255[[#This Row],[CUIT]],Lista_CUIT[#All],2,0)),"CUIT NO CARGADO")</f>
        <v>-</v>
      </c>
      <c r="H1053" s="99">
        <f>ventas_b_mes1255[[#This Row],[TOTAL]]/1.21</f>
        <v>0</v>
      </c>
      <c r="I1053" s="64">
        <f>ventas_b_mes1255[[#This Row],[IMPORTE NETO]]*0.21</f>
        <v>0</v>
      </c>
      <c r="J1053" s="140"/>
      <c r="K1053" s="140"/>
      <c r="L1053" s="140"/>
      <c r="M1053" s="59"/>
    </row>
    <row r="1054" spans="2:13" x14ac:dyDescent="0.25">
      <c r="B1054" s="134"/>
      <c r="C1054" s="41"/>
      <c r="D1054" s="136"/>
      <c r="E1054" s="137"/>
      <c r="F1054" s="138"/>
      <c r="G1054" s="1" t="str">
        <f>IFERROR(IF(ventas_b_mes1255[[#This Row],[CUIT]]="","-",VLOOKUP(ventas_b_mes1255[[#This Row],[CUIT]],Lista_CUIT[#All],2,0)),"CUIT NO CARGADO")</f>
        <v>-</v>
      </c>
      <c r="H1054" s="99">
        <f>ventas_b_mes1255[[#This Row],[TOTAL]]/1.21</f>
        <v>0</v>
      </c>
      <c r="I1054" s="64">
        <f>ventas_b_mes1255[[#This Row],[IMPORTE NETO]]*0.21</f>
        <v>0</v>
      </c>
      <c r="J1054" s="140"/>
      <c r="K1054" s="140"/>
      <c r="L1054" s="140"/>
      <c r="M1054" s="59"/>
    </row>
    <row r="1055" spans="2:13" x14ac:dyDescent="0.25">
      <c r="B1055" s="134"/>
      <c r="C1055" s="41"/>
      <c r="D1055" s="136"/>
      <c r="E1055" s="137"/>
      <c r="F1055" s="138"/>
      <c r="G1055" s="1" t="str">
        <f>IFERROR(IF(ventas_b_mes1255[[#This Row],[CUIT]]="","-",VLOOKUP(ventas_b_mes1255[[#This Row],[CUIT]],Lista_CUIT[#All],2,0)),"CUIT NO CARGADO")</f>
        <v>-</v>
      </c>
      <c r="H1055" s="99">
        <f>ventas_b_mes1255[[#This Row],[TOTAL]]/1.21</f>
        <v>0</v>
      </c>
      <c r="I1055" s="64">
        <f>ventas_b_mes1255[[#This Row],[IMPORTE NETO]]*0.21</f>
        <v>0</v>
      </c>
      <c r="J1055" s="140"/>
      <c r="K1055" s="140"/>
      <c r="L1055" s="140"/>
      <c r="M1055" s="59"/>
    </row>
    <row r="1056" spans="2:13" x14ac:dyDescent="0.25">
      <c r="B1056" s="134"/>
      <c r="C1056" s="41"/>
      <c r="D1056" s="136"/>
      <c r="E1056" s="137"/>
      <c r="F1056" s="138"/>
      <c r="G1056" s="1" t="str">
        <f>IFERROR(IF(ventas_b_mes1255[[#This Row],[CUIT]]="","-",VLOOKUP(ventas_b_mes1255[[#This Row],[CUIT]],Lista_CUIT[#All],2,0)),"CUIT NO CARGADO")</f>
        <v>-</v>
      </c>
      <c r="H1056" s="99">
        <f>ventas_b_mes1255[[#This Row],[TOTAL]]/1.21</f>
        <v>0</v>
      </c>
      <c r="I1056" s="64">
        <f>ventas_b_mes1255[[#This Row],[IMPORTE NETO]]*0.21</f>
        <v>0</v>
      </c>
      <c r="J1056" s="140"/>
      <c r="K1056" s="140"/>
      <c r="L1056" s="140"/>
      <c r="M1056" s="59"/>
    </row>
    <row r="1057" spans="2:13" x14ac:dyDescent="0.25">
      <c r="B1057" s="134"/>
      <c r="C1057" s="41"/>
      <c r="D1057" s="136"/>
      <c r="E1057" s="137"/>
      <c r="F1057" s="138"/>
      <c r="G1057" s="1" t="str">
        <f>IFERROR(IF(ventas_b_mes1255[[#This Row],[CUIT]]="","-",VLOOKUP(ventas_b_mes1255[[#This Row],[CUIT]],Lista_CUIT[#All],2,0)),"CUIT NO CARGADO")</f>
        <v>-</v>
      </c>
      <c r="H1057" s="99">
        <f>ventas_b_mes1255[[#This Row],[TOTAL]]/1.21</f>
        <v>0</v>
      </c>
      <c r="I1057" s="64">
        <f>ventas_b_mes1255[[#This Row],[IMPORTE NETO]]*0.21</f>
        <v>0</v>
      </c>
      <c r="J1057" s="140"/>
      <c r="K1057" s="140"/>
      <c r="L1057" s="140"/>
      <c r="M1057" s="59"/>
    </row>
    <row r="1058" spans="2:13" x14ac:dyDescent="0.25">
      <c r="B1058" s="134"/>
      <c r="C1058" s="41"/>
      <c r="D1058" s="136"/>
      <c r="E1058" s="137"/>
      <c r="F1058" s="138"/>
      <c r="G1058" s="1" t="str">
        <f>IFERROR(IF(ventas_b_mes1255[[#This Row],[CUIT]]="","-",VLOOKUP(ventas_b_mes1255[[#This Row],[CUIT]],Lista_CUIT[#All],2,0)),"CUIT NO CARGADO")</f>
        <v>-</v>
      </c>
      <c r="H1058" s="99">
        <f>ventas_b_mes1255[[#This Row],[TOTAL]]/1.21</f>
        <v>0</v>
      </c>
      <c r="I1058" s="64">
        <f>ventas_b_mes1255[[#This Row],[IMPORTE NETO]]*0.21</f>
        <v>0</v>
      </c>
      <c r="J1058" s="140"/>
      <c r="K1058" s="140"/>
      <c r="L1058" s="140"/>
      <c r="M1058" s="59"/>
    </row>
    <row r="1059" spans="2:13" x14ac:dyDescent="0.25">
      <c r="B1059" s="134"/>
      <c r="C1059" s="41"/>
      <c r="D1059" s="136"/>
      <c r="E1059" s="137"/>
      <c r="F1059" s="138"/>
      <c r="G1059" s="1" t="str">
        <f>IFERROR(IF(ventas_b_mes1255[[#This Row],[CUIT]]="","-",VLOOKUP(ventas_b_mes1255[[#This Row],[CUIT]],Lista_CUIT[#All],2,0)),"CUIT NO CARGADO")</f>
        <v>-</v>
      </c>
      <c r="H1059" s="99">
        <f>ventas_b_mes1255[[#This Row],[TOTAL]]/1.21</f>
        <v>0</v>
      </c>
      <c r="I1059" s="64">
        <f>ventas_b_mes1255[[#This Row],[IMPORTE NETO]]*0.21</f>
        <v>0</v>
      </c>
      <c r="J1059" s="140"/>
      <c r="K1059" s="140"/>
      <c r="L1059" s="140"/>
      <c r="M1059" s="59"/>
    </row>
    <row r="1060" spans="2:13" x14ac:dyDescent="0.25">
      <c r="B1060" s="134"/>
      <c r="C1060" s="41"/>
      <c r="D1060" s="136"/>
      <c r="E1060" s="137"/>
      <c r="F1060" s="138"/>
      <c r="G1060" s="1" t="str">
        <f>IFERROR(IF(ventas_b_mes1255[[#This Row],[CUIT]]="","-",VLOOKUP(ventas_b_mes1255[[#This Row],[CUIT]],Lista_CUIT[#All],2,0)),"CUIT NO CARGADO")</f>
        <v>-</v>
      </c>
      <c r="H1060" s="99">
        <f>ventas_b_mes1255[[#This Row],[TOTAL]]/1.21</f>
        <v>0</v>
      </c>
      <c r="I1060" s="64">
        <f>ventas_b_mes1255[[#This Row],[IMPORTE NETO]]*0.21</f>
        <v>0</v>
      </c>
      <c r="J1060" s="140"/>
      <c r="K1060" s="140"/>
      <c r="L1060" s="140"/>
      <c r="M1060" s="59"/>
    </row>
    <row r="1061" spans="2:13" x14ac:dyDescent="0.25">
      <c r="B1061" s="134"/>
      <c r="C1061" s="41"/>
      <c r="D1061" s="136"/>
      <c r="E1061" s="137"/>
      <c r="F1061" s="138"/>
      <c r="G1061" s="1" t="str">
        <f>IFERROR(IF(ventas_b_mes1255[[#This Row],[CUIT]]="","-",VLOOKUP(ventas_b_mes1255[[#This Row],[CUIT]],Lista_CUIT[#All],2,0)),"CUIT NO CARGADO")</f>
        <v>-</v>
      </c>
      <c r="H1061" s="99">
        <f>ventas_b_mes1255[[#This Row],[TOTAL]]/1.21</f>
        <v>0</v>
      </c>
      <c r="I1061" s="64">
        <f>ventas_b_mes1255[[#This Row],[IMPORTE NETO]]*0.21</f>
        <v>0</v>
      </c>
      <c r="J1061" s="140"/>
      <c r="K1061" s="140"/>
      <c r="L1061" s="140"/>
      <c r="M1061" s="59"/>
    </row>
    <row r="1062" spans="2:13" x14ac:dyDescent="0.25">
      <c r="B1062" s="134"/>
      <c r="C1062" s="41"/>
      <c r="D1062" s="136"/>
      <c r="E1062" s="137"/>
      <c r="F1062" s="138"/>
      <c r="G1062" s="1" t="str">
        <f>IFERROR(IF(ventas_b_mes1255[[#This Row],[CUIT]]="","-",VLOOKUP(ventas_b_mes1255[[#This Row],[CUIT]],Lista_CUIT[#All],2,0)),"CUIT NO CARGADO")</f>
        <v>-</v>
      </c>
      <c r="H1062" s="99">
        <f>ventas_b_mes1255[[#This Row],[TOTAL]]/1.21</f>
        <v>0</v>
      </c>
      <c r="I1062" s="64">
        <f>ventas_b_mes1255[[#This Row],[IMPORTE NETO]]*0.21</f>
        <v>0</v>
      </c>
      <c r="J1062" s="140"/>
      <c r="K1062" s="140"/>
      <c r="L1062" s="140"/>
      <c r="M1062" s="59"/>
    </row>
    <row r="1063" spans="2:13" x14ac:dyDescent="0.25">
      <c r="B1063" s="134"/>
      <c r="C1063" s="41"/>
      <c r="D1063" s="136"/>
      <c r="E1063" s="137"/>
      <c r="F1063" s="138"/>
      <c r="G1063" s="1" t="str">
        <f>IFERROR(IF(ventas_b_mes1255[[#This Row],[CUIT]]="","-",VLOOKUP(ventas_b_mes1255[[#This Row],[CUIT]],Lista_CUIT[#All],2,0)),"CUIT NO CARGADO")</f>
        <v>-</v>
      </c>
      <c r="H1063" s="99">
        <f>ventas_b_mes1255[[#This Row],[TOTAL]]/1.21</f>
        <v>0</v>
      </c>
      <c r="I1063" s="64">
        <f>ventas_b_mes1255[[#This Row],[IMPORTE NETO]]*0.21</f>
        <v>0</v>
      </c>
      <c r="J1063" s="140"/>
      <c r="K1063" s="140"/>
      <c r="L1063" s="140"/>
      <c r="M1063" s="59"/>
    </row>
    <row r="1064" spans="2:13" x14ac:dyDescent="0.25">
      <c r="B1064" s="134"/>
      <c r="C1064" s="41"/>
      <c r="D1064" s="136"/>
      <c r="E1064" s="137"/>
      <c r="F1064" s="138"/>
      <c r="G1064" s="1" t="str">
        <f>IFERROR(IF(ventas_b_mes1255[[#This Row],[CUIT]]="","-",VLOOKUP(ventas_b_mes1255[[#This Row],[CUIT]],Lista_CUIT[#All],2,0)),"CUIT NO CARGADO")</f>
        <v>-</v>
      </c>
      <c r="H1064" s="99">
        <f>ventas_b_mes1255[[#This Row],[TOTAL]]/1.21</f>
        <v>0</v>
      </c>
      <c r="I1064" s="64">
        <f>ventas_b_mes1255[[#This Row],[IMPORTE NETO]]*0.21</f>
        <v>0</v>
      </c>
      <c r="J1064" s="140"/>
      <c r="K1064" s="140"/>
      <c r="L1064" s="140"/>
      <c r="M1064" s="59"/>
    </row>
    <row r="1065" spans="2:13" x14ac:dyDescent="0.25">
      <c r="B1065" s="134"/>
      <c r="C1065" s="41"/>
      <c r="D1065" s="136"/>
      <c r="E1065" s="137"/>
      <c r="F1065" s="138"/>
      <c r="G1065" s="1" t="str">
        <f>IFERROR(IF(ventas_b_mes1255[[#This Row],[CUIT]]="","-",VLOOKUP(ventas_b_mes1255[[#This Row],[CUIT]],Lista_CUIT[#All],2,0)),"CUIT NO CARGADO")</f>
        <v>-</v>
      </c>
      <c r="H1065" s="99">
        <f>ventas_b_mes1255[[#This Row],[TOTAL]]/1.21</f>
        <v>0</v>
      </c>
      <c r="I1065" s="64">
        <f>ventas_b_mes1255[[#This Row],[IMPORTE NETO]]*0.21</f>
        <v>0</v>
      </c>
      <c r="J1065" s="140"/>
      <c r="K1065" s="140"/>
      <c r="L1065" s="140"/>
      <c r="M1065" s="59"/>
    </row>
    <row r="1066" spans="2:13" x14ac:dyDescent="0.25">
      <c r="B1066" s="134"/>
      <c r="C1066" s="41"/>
      <c r="D1066" s="136"/>
      <c r="E1066" s="137"/>
      <c r="F1066" s="138"/>
      <c r="G1066" s="1" t="str">
        <f>IFERROR(IF(ventas_b_mes1255[[#This Row],[CUIT]]="","-",VLOOKUP(ventas_b_mes1255[[#This Row],[CUIT]],Lista_CUIT[#All],2,0)),"CUIT NO CARGADO")</f>
        <v>-</v>
      </c>
      <c r="H1066" s="99">
        <f>ventas_b_mes1255[[#This Row],[TOTAL]]/1.21</f>
        <v>0</v>
      </c>
      <c r="I1066" s="64">
        <f>ventas_b_mes1255[[#This Row],[IMPORTE NETO]]*0.21</f>
        <v>0</v>
      </c>
      <c r="J1066" s="140"/>
      <c r="K1066" s="140"/>
      <c r="L1066" s="140"/>
      <c r="M1066" s="59"/>
    </row>
    <row r="1067" spans="2:13" x14ac:dyDescent="0.25">
      <c r="B1067" s="134"/>
      <c r="C1067" s="41"/>
      <c r="D1067" s="136"/>
      <c r="E1067" s="137"/>
      <c r="F1067" s="138"/>
      <c r="G1067" s="1" t="str">
        <f>IFERROR(IF(ventas_b_mes1255[[#This Row],[CUIT]]="","-",VLOOKUP(ventas_b_mes1255[[#This Row],[CUIT]],Lista_CUIT[#All],2,0)),"CUIT NO CARGADO")</f>
        <v>-</v>
      </c>
      <c r="H1067" s="99">
        <f>ventas_b_mes1255[[#This Row],[TOTAL]]/1.21</f>
        <v>0</v>
      </c>
      <c r="I1067" s="64">
        <f>ventas_b_mes1255[[#This Row],[IMPORTE NETO]]*0.21</f>
        <v>0</v>
      </c>
      <c r="J1067" s="140"/>
      <c r="K1067" s="140"/>
      <c r="L1067" s="140"/>
      <c r="M1067" s="59"/>
    </row>
    <row r="1068" spans="2:13" x14ac:dyDescent="0.25">
      <c r="B1068" s="134"/>
      <c r="C1068" s="41"/>
      <c r="D1068" s="136"/>
      <c r="E1068" s="137"/>
      <c r="F1068" s="138"/>
      <c r="G1068" s="1" t="str">
        <f>IFERROR(IF(ventas_b_mes1255[[#This Row],[CUIT]]="","-",VLOOKUP(ventas_b_mes1255[[#This Row],[CUIT]],Lista_CUIT[#All],2,0)),"CUIT NO CARGADO")</f>
        <v>-</v>
      </c>
      <c r="H1068" s="99">
        <f>ventas_b_mes1255[[#This Row],[TOTAL]]/1.21</f>
        <v>0</v>
      </c>
      <c r="I1068" s="64">
        <f>ventas_b_mes1255[[#This Row],[IMPORTE NETO]]*0.21</f>
        <v>0</v>
      </c>
      <c r="J1068" s="140"/>
      <c r="K1068" s="140"/>
      <c r="L1068" s="140"/>
      <c r="M1068" s="59"/>
    </row>
    <row r="1069" spans="2:13" x14ac:dyDescent="0.25">
      <c r="B1069" s="134"/>
      <c r="C1069" s="41"/>
      <c r="D1069" s="136"/>
      <c r="E1069" s="137"/>
      <c r="F1069" s="138"/>
      <c r="G1069" s="1" t="str">
        <f>IFERROR(IF(ventas_b_mes1255[[#This Row],[CUIT]]="","-",VLOOKUP(ventas_b_mes1255[[#This Row],[CUIT]],Lista_CUIT[#All],2,0)),"CUIT NO CARGADO")</f>
        <v>-</v>
      </c>
      <c r="H1069" s="99">
        <f>ventas_b_mes1255[[#This Row],[TOTAL]]/1.21</f>
        <v>0</v>
      </c>
      <c r="I1069" s="64">
        <f>ventas_b_mes1255[[#This Row],[IMPORTE NETO]]*0.21</f>
        <v>0</v>
      </c>
      <c r="J1069" s="140"/>
      <c r="K1069" s="140"/>
      <c r="L1069" s="140"/>
      <c r="M1069" s="59"/>
    </row>
    <row r="1070" spans="2:13" x14ac:dyDescent="0.25">
      <c r="B1070" s="134"/>
      <c r="C1070" s="41"/>
      <c r="D1070" s="136"/>
      <c r="E1070" s="137"/>
      <c r="F1070" s="138"/>
      <c r="G1070" s="1" t="str">
        <f>IFERROR(IF(ventas_b_mes1255[[#This Row],[CUIT]]="","-",VLOOKUP(ventas_b_mes1255[[#This Row],[CUIT]],Lista_CUIT[#All],2,0)),"CUIT NO CARGADO")</f>
        <v>-</v>
      </c>
      <c r="H1070" s="99">
        <f>ventas_b_mes1255[[#This Row],[TOTAL]]/1.21</f>
        <v>0</v>
      </c>
      <c r="I1070" s="64">
        <f>ventas_b_mes1255[[#This Row],[IMPORTE NETO]]*0.21</f>
        <v>0</v>
      </c>
      <c r="J1070" s="140"/>
      <c r="K1070" s="140"/>
      <c r="L1070" s="140"/>
      <c r="M1070" s="59"/>
    </row>
    <row r="1071" spans="2:13" x14ac:dyDescent="0.25">
      <c r="B1071" s="134"/>
      <c r="C1071" s="41"/>
      <c r="D1071" s="136"/>
      <c r="E1071" s="137"/>
      <c r="F1071" s="138"/>
      <c r="G1071" s="1" t="str">
        <f>IFERROR(IF(ventas_b_mes1255[[#This Row],[CUIT]]="","-",VLOOKUP(ventas_b_mes1255[[#This Row],[CUIT]],Lista_CUIT[#All],2,0)),"CUIT NO CARGADO")</f>
        <v>-</v>
      </c>
      <c r="H1071" s="99">
        <f>ventas_b_mes1255[[#This Row],[TOTAL]]/1.21</f>
        <v>0</v>
      </c>
      <c r="I1071" s="64">
        <f>ventas_b_mes1255[[#This Row],[IMPORTE NETO]]*0.21</f>
        <v>0</v>
      </c>
      <c r="J1071" s="140"/>
      <c r="K1071" s="140"/>
      <c r="L1071" s="140"/>
      <c r="M1071" s="59"/>
    </row>
    <row r="1072" spans="2:13" x14ac:dyDescent="0.25">
      <c r="B1072" s="134"/>
      <c r="C1072" s="41"/>
      <c r="D1072" s="136"/>
      <c r="E1072" s="137"/>
      <c r="F1072" s="138"/>
      <c r="G1072" s="1" t="str">
        <f>IFERROR(IF(ventas_b_mes1255[[#This Row],[CUIT]]="","-",VLOOKUP(ventas_b_mes1255[[#This Row],[CUIT]],Lista_CUIT[#All],2,0)),"CUIT NO CARGADO")</f>
        <v>-</v>
      </c>
      <c r="H1072" s="99">
        <f>ventas_b_mes1255[[#This Row],[TOTAL]]/1.21</f>
        <v>0</v>
      </c>
      <c r="I1072" s="64">
        <f>ventas_b_mes1255[[#This Row],[IMPORTE NETO]]*0.21</f>
        <v>0</v>
      </c>
      <c r="J1072" s="140"/>
      <c r="K1072" s="140"/>
      <c r="L1072" s="140"/>
      <c r="M1072" s="59"/>
    </row>
    <row r="1073" spans="2:13" x14ac:dyDescent="0.25">
      <c r="B1073" s="134"/>
      <c r="C1073" s="41"/>
      <c r="D1073" s="136"/>
      <c r="E1073" s="137"/>
      <c r="F1073" s="138"/>
      <c r="G1073" s="1" t="str">
        <f>IFERROR(IF(ventas_b_mes1255[[#This Row],[CUIT]]="","-",VLOOKUP(ventas_b_mes1255[[#This Row],[CUIT]],Lista_CUIT[#All],2,0)),"CUIT NO CARGADO")</f>
        <v>-</v>
      </c>
      <c r="H1073" s="99">
        <f>ventas_b_mes1255[[#This Row],[TOTAL]]/1.21</f>
        <v>0</v>
      </c>
      <c r="I1073" s="64">
        <f>ventas_b_mes1255[[#This Row],[IMPORTE NETO]]*0.21</f>
        <v>0</v>
      </c>
      <c r="J1073" s="140"/>
      <c r="K1073" s="140"/>
      <c r="L1073" s="140"/>
      <c r="M1073" s="59"/>
    </row>
    <row r="1074" spans="2:13" x14ac:dyDescent="0.25">
      <c r="B1074" s="134"/>
      <c r="C1074" s="41"/>
      <c r="D1074" s="136"/>
      <c r="E1074" s="137"/>
      <c r="F1074" s="138"/>
      <c r="G1074" s="1" t="str">
        <f>IFERROR(IF(ventas_b_mes1255[[#This Row],[CUIT]]="","-",VLOOKUP(ventas_b_mes1255[[#This Row],[CUIT]],Lista_CUIT[#All],2,0)),"CUIT NO CARGADO")</f>
        <v>-</v>
      </c>
      <c r="H1074" s="99">
        <f>ventas_b_mes1255[[#This Row],[TOTAL]]/1.21</f>
        <v>0</v>
      </c>
      <c r="I1074" s="64">
        <f>ventas_b_mes1255[[#This Row],[IMPORTE NETO]]*0.21</f>
        <v>0</v>
      </c>
      <c r="J1074" s="140"/>
      <c r="K1074" s="140"/>
      <c r="L1074" s="140"/>
      <c r="M1074" s="59"/>
    </row>
    <row r="1075" spans="2:13" x14ac:dyDescent="0.25">
      <c r="B1075" s="134"/>
      <c r="C1075" s="41"/>
      <c r="D1075" s="136"/>
      <c r="E1075" s="137"/>
      <c r="F1075" s="138"/>
      <c r="G1075" s="1" t="str">
        <f>IFERROR(IF(ventas_b_mes1255[[#This Row],[CUIT]]="","-",VLOOKUP(ventas_b_mes1255[[#This Row],[CUIT]],Lista_CUIT[#All],2,0)),"CUIT NO CARGADO")</f>
        <v>-</v>
      </c>
      <c r="H1075" s="99">
        <f>ventas_b_mes1255[[#This Row],[TOTAL]]/1.21</f>
        <v>0</v>
      </c>
      <c r="I1075" s="64">
        <f>ventas_b_mes1255[[#This Row],[IMPORTE NETO]]*0.21</f>
        <v>0</v>
      </c>
      <c r="J1075" s="140"/>
      <c r="K1075" s="140"/>
      <c r="L1075" s="140"/>
      <c r="M1075" s="59"/>
    </row>
    <row r="1076" spans="2:13" x14ac:dyDescent="0.25">
      <c r="B1076" s="134"/>
      <c r="C1076" s="41"/>
      <c r="D1076" s="136"/>
      <c r="E1076" s="137"/>
      <c r="F1076" s="138"/>
      <c r="G1076" s="1" t="str">
        <f>IFERROR(IF(ventas_b_mes1255[[#This Row],[CUIT]]="","-",VLOOKUP(ventas_b_mes1255[[#This Row],[CUIT]],Lista_CUIT[#All],2,0)),"CUIT NO CARGADO")</f>
        <v>-</v>
      </c>
      <c r="H1076" s="99">
        <f>ventas_b_mes1255[[#This Row],[TOTAL]]/1.21</f>
        <v>0</v>
      </c>
      <c r="I1076" s="64">
        <f>ventas_b_mes1255[[#This Row],[IMPORTE NETO]]*0.21</f>
        <v>0</v>
      </c>
      <c r="J1076" s="140"/>
      <c r="K1076" s="140"/>
      <c r="L1076" s="140"/>
      <c r="M1076" s="59"/>
    </row>
    <row r="1077" spans="2:13" x14ac:dyDescent="0.25">
      <c r="B1077" s="134"/>
      <c r="C1077" s="41"/>
      <c r="D1077" s="136"/>
      <c r="E1077" s="137"/>
      <c r="F1077" s="138"/>
      <c r="G1077" s="1" t="str">
        <f>IFERROR(IF(ventas_b_mes1255[[#This Row],[CUIT]]="","-",VLOOKUP(ventas_b_mes1255[[#This Row],[CUIT]],Lista_CUIT[#All],2,0)),"CUIT NO CARGADO")</f>
        <v>-</v>
      </c>
      <c r="H1077" s="99">
        <f>ventas_b_mes1255[[#This Row],[TOTAL]]/1.21</f>
        <v>0</v>
      </c>
      <c r="I1077" s="64">
        <f>ventas_b_mes1255[[#This Row],[IMPORTE NETO]]*0.21</f>
        <v>0</v>
      </c>
      <c r="J1077" s="140"/>
      <c r="K1077" s="140"/>
      <c r="L1077" s="140"/>
      <c r="M1077" s="59"/>
    </row>
    <row r="1078" spans="2:13" x14ac:dyDescent="0.25">
      <c r="B1078" s="134"/>
      <c r="C1078" s="41"/>
      <c r="D1078" s="136"/>
      <c r="E1078" s="137"/>
      <c r="F1078" s="138"/>
      <c r="G1078" s="1" t="str">
        <f>IFERROR(IF(ventas_b_mes1255[[#This Row],[CUIT]]="","-",VLOOKUP(ventas_b_mes1255[[#This Row],[CUIT]],Lista_CUIT[#All],2,0)),"CUIT NO CARGADO")</f>
        <v>-</v>
      </c>
      <c r="H1078" s="99">
        <f>ventas_b_mes1255[[#This Row],[TOTAL]]/1.21</f>
        <v>0</v>
      </c>
      <c r="I1078" s="64">
        <f>ventas_b_mes1255[[#This Row],[IMPORTE NETO]]*0.21</f>
        <v>0</v>
      </c>
      <c r="J1078" s="140"/>
      <c r="K1078" s="140"/>
      <c r="L1078" s="140"/>
      <c r="M1078" s="59"/>
    </row>
    <row r="1079" spans="2:13" x14ac:dyDescent="0.25">
      <c r="B1079" s="134"/>
      <c r="C1079" s="41"/>
      <c r="D1079" s="136"/>
      <c r="E1079" s="137"/>
      <c r="F1079" s="138"/>
      <c r="G1079" s="1" t="str">
        <f>IFERROR(IF(ventas_b_mes1255[[#This Row],[CUIT]]="","-",VLOOKUP(ventas_b_mes1255[[#This Row],[CUIT]],Lista_CUIT[#All],2,0)),"CUIT NO CARGADO")</f>
        <v>-</v>
      </c>
      <c r="H1079" s="99">
        <f>ventas_b_mes1255[[#This Row],[TOTAL]]/1.21</f>
        <v>0</v>
      </c>
      <c r="I1079" s="64">
        <f>ventas_b_mes1255[[#This Row],[IMPORTE NETO]]*0.21</f>
        <v>0</v>
      </c>
      <c r="J1079" s="140"/>
      <c r="K1079" s="140"/>
      <c r="L1079" s="140"/>
      <c r="M1079" s="59"/>
    </row>
    <row r="1080" spans="2:13" x14ac:dyDescent="0.25">
      <c r="B1080" s="134"/>
      <c r="C1080" s="41"/>
      <c r="D1080" s="136"/>
      <c r="E1080" s="137"/>
      <c r="F1080" s="138"/>
      <c r="G1080" s="1" t="str">
        <f>IFERROR(IF(ventas_b_mes1255[[#This Row],[CUIT]]="","-",VLOOKUP(ventas_b_mes1255[[#This Row],[CUIT]],Lista_CUIT[#All],2,0)),"CUIT NO CARGADO")</f>
        <v>-</v>
      </c>
      <c r="H1080" s="99">
        <f>ventas_b_mes1255[[#This Row],[TOTAL]]/1.21</f>
        <v>0</v>
      </c>
      <c r="I1080" s="64">
        <f>ventas_b_mes1255[[#This Row],[IMPORTE NETO]]*0.21</f>
        <v>0</v>
      </c>
      <c r="J1080" s="140"/>
      <c r="K1080" s="140"/>
      <c r="L1080" s="140"/>
      <c r="M1080" s="59"/>
    </row>
    <row r="1081" spans="2:13" x14ac:dyDescent="0.25">
      <c r="B1081" s="134"/>
      <c r="C1081" s="41"/>
      <c r="D1081" s="136"/>
      <c r="E1081" s="137"/>
      <c r="F1081" s="138"/>
      <c r="G1081" s="1" t="str">
        <f>IFERROR(IF(ventas_b_mes1255[[#This Row],[CUIT]]="","-",VLOOKUP(ventas_b_mes1255[[#This Row],[CUIT]],Lista_CUIT[#All],2,0)),"CUIT NO CARGADO")</f>
        <v>-</v>
      </c>
      <c r="H1081" s="99">
        <f>ventas_b_mes1255[[#This Row],[TOTAL]]/1.21</f>
        <v>0</v>
      </c>
      <c r="I1081" s="64">
        <f>ventas_b_mes1255[[#This Row],[IMPORTE NETO]]*0.21</f>
        <v>0</v>
      </c>
      <c r="J1081" s="140"/>
      <c r="K1081" s="140"/>
      <c r="L1081" s="140"/>
      <c r="M1081" s="59"/>
    </row>
    <row r="1082" spans="2:13" x14ac:dyDescent="0.25">
      <c r="B1082" s="134"/>
      <c r="C1082" s="41"/>
      <c r="D1082" s="136"/>
      <c r="E1082" s="137"/>
      <c r="F1082" s="138"/>
      <c r="G1082" s="1" t="str">
        <f>IFERROR(IF(ventas_b_mes1255[[#This Row],[CUIT]]="","-",VLOOKUP(ventas_b_mes1255[[#This Row],[CUIT]],Lista_CUIT[#All],2,0)),"CUIT NO CARGADO")</f>
        <v>-</v>
      </c>
      <c r="H1082" s="99">
        <f>ventas_b_mes1255[[#This Row],[TOTAL]]/1.21</f>
        <v>0</v>
      </c>
      <c r="I1082" s="64">
        <f>ventas_b_mes1255[[#This Row],[IMPORTE NETO]]*0.21</f>
        <v>0</v>
      </c>
      <c r="J1082" s="140"/>
      <c r="K1082" s="140"/>
      <c r="L1082" s="140"/>
      <c r="M1082" s="59"/>
    </row>
    <row r="1083" spans="2:13" x14ac:dyDescent="0.25">
      <c r="B1083" s="134"/>
      <c r="C1083" s="41"/>
      <c r="D1083" s="136"/>
      <c r="E1083" s="137"/>
      <c r="F1083" s="138"/>
      <c r="G1083" s="1" t="str">
        <f>IFERROR(IF(ventas_b_mes1255[[#This Row],[CUIT]]="","-",VLOOKUP(ventas_b_mes1255[[#This Row],[CUIT]],Lista_CUIT[#All],2,0)),"CUIT NO CARGADO")</f>
        <v>-</v>
      </c>
      <c r="H1083" s="99">
        <f>ventas_b_mes1255[[#This Row],[TOTAL]]/1.21</f>
        <v>0</v>
      </c>
      <c r="I1083" s="64">
        <f>ventas_b_mes1255[[#This Row],[IMPORTE NETO]]*0.21</f>
        <v>0</v>
      </c>
      <c r="J1083" s="140"/>
      <c r="K1083" s="140"/>
      <c r="L1083" s="140"/>
      <c r="M1083" s="59"/>
    </row>
    <row r="1084" spans="2:13" x14ac:dyDescent="0.25">
      <c r="B1084" s="134"/>
      <c r="C1084" s="41"/>
      <c r="D1084" s="136"/>
      <c r="E1084" s="137"/>
      <c r="F1084" s="138"/>
      <c r="G1084" s="1" t="str">
        <f>IFERROR(IF(ventas_b_mes1255[[#This Row],[CUIT]]="","-",VLOOKUP(ventas_b_mes1255[[#This Row],[CUIT]],Lista_CUIT[#All],2,0)),"CUIT NO CARGADO")</f>
        <v>-</v>
      </c>
      <c r="H1084" s="99">
        <f>ventas_b_mes1255[[#This Row],[TOTAL]]/1.21</f>
        <v>0</v>
      </c>
      <c r="I1084" s="64">
        <f>ventas_b_mes1255[[#This Row],[IMPORTE NETO]]*0.21</f>
        <v>0</v>
      </c>
      <c r="J1084" s="140"/>
      <c r="K1084" s="140"/>
      <c r="L1084" s="140"/>
      <c r="M1084" s="59"/>
    </row>
    <row r="1085" spans="2:13" x14ac:dyDescent="0.25">
      <c r="B1085" s="134"/>
      <c r="C1085" s="41"/>
      <c r="D1085" s="136"/>
      <c r="E1085" s="137"/>
      <c r="F1085" s="138"/>
      <c r="G1085" s="1" t="str">
        <f>IFERROR(IF(ventas_b_mes1255[[#This Row],[CUIT]]="","-",VLOOKUP(ventas_b_mes1255[[#This Row],[CUIT]],Lista_CUIT[#All],2,0)),"CUIT NO CARGADO")</f>
        <v>-</v>
      </c>
      <c r="H1085" s="99">
        <f>ventas_b_mes1255[[#This Row],[TOTAL]]/1.21</f>
        <v>0</v>
      </c>
      <c r="I1085" s="64">
        <f>ventas_b_mes1255[[#This Row],[IMPORTE NETO]]*0.21</f>
        <v>0</v>
      </c>
      <c r="J1085" s="140"/>
      <c r="K1085" s="140"/>
      <c r="L1085" s="140"/>
      <c r="M1085" s="59"/>
    </row>
    <row r="1086" spans="2:13" x14ac:dyDescent="0.25">
      <c r="B1086" s="134"/>
      <c r="C1086" s="41"/>
      <c r="D1086" s="136"/>
      <c r="E1086" s="137"/>
      <c r="F1086" s="138"/>
      <c r="G1086" s="1" t="str">
        <f>IFERROR(IF(ventas_b_mes1255[[#This Row],[CUIT]]="","-",VLOOKUP(ventas_b_mes1255[[#This Row],[CUIT]],Lista_CUIT[#All],2,0)),"CUIT NO CARGADO")</f>
        <v>-</v>
      </c>
      <c r="H1086" s="99">
        <f>ventas_b_mes1255[[#This Row],[TOTAL]]/1.21</f>
        <v>0</v>
      </c>
      <c r="I1086" s="64">
        <f>ventas_b_mes1255[[#This Row],[IMPORTE NETO]]*0.21</f>
        <v>0</v>
      </c>
      <c r="J1086" s="140"/>
      <c r="K1086" s="140"/>
      <c r="L1086" s="140"/>
      <c r="M1086" s="59"/>
    </row>
    <row r="1087" spans="2:13" x14ac:dyDescent="0.25">
      <c r="B1087" s="134"/>
      <c r="C1087" s="41"/>
      <c r="D1087" s="136"/>
      <c r="E1087" s="137"/>
      <c r="F1087" s="138"/>
      <c r="G1087" s="1" t="str">
        <f>IFERROR(IF(ventas_b_mes1255[[#This Row],[CUIT]]="","-",VLOOKUP(ventas_b_mes1255[[#This Row],[CUIT]],Lista_CUIT[#All],2,0)),"CUIT NO CARGADO")</f>
        <v>-</v>
      </c>
      <c r="H1087" s="99">
        <f>ventas_b_mes1255[[#This Row],[TOTAL]]/1.21</f>
        <v>0</v>
      </c>
      <c r="I1087" s="64">
        <f>ventas_b_mes1255[[#This Row],[IMPORTE NETO]]*0.21</f>
        <v>0</v>
      </c>
      <c r="J1087" s="140"/>
      <c r="K1087" s="140"/>
      <c r="L1087" s="140"/>
      <c r="M1087" s="59"/>
    </row>
    <row r="1088" spans="2:13" x14ac:dyDescent="0.25">
      <c r="B1088" s="134"/>
      <c r="C1088" s="41"/>
      <c r="D1088" s="136"/>
      <c r="E1088" s="137"/>
      <c r="F1088" s="138"/>
      <c r="G1088" s="1" t="str">
        <f>IFERROR(IF(ventas_b_mes1255[[#This Row],[CUIT]]="","-",VLOOKUP(ventas_b_mes1255[[#This Row],[CUIT]],Lista_CUIT[#All],2,0)),"CUIT NO CARGADO")</f>
        <v>-</v>
      </c>
      <c r="H1088" s="99">
        <f>ventas_b_mes1255[[#This Row],[TOTAL]]/1.21</f>
        <v>0</v>
      </c>
      <c r="I1088" s="64">
        <f>ventas_b_mes1255[[#This Row],[IMPORTE NETO]]*0.21</f>
        <v>0</v>
      </c>
      <c r="J1088" s="140"/>
      <c r="K1088" s="140"/>
      <c r="L1088" s="140"/>
      <c r="M1088" s="59"/>
    </row>
    <row r="1089" spans="2:13" x14ac:dyDescent="0.25">
      <c r="B1089" s="134"/>
      <c r="C1089" s="41"/>
      <c r="D1089" s="136"/>
      <c r="E1089" s="137"/>
      <c r="F1089" s="138"/>
      <c r="G1089" s="1" t="str">
        <f>IFERROR(IF(ventas_b_mes1255[[#This Row],[CUIT]]="","-",VLOOKUP(ventas_b_mes1255[[#This Row],[CUIT]],Lista_CUIT[#All],2,0)),"CUIT NO CARGADO")</f>
        <v>-</v>
      </c>
      <c r="H1089" s="99">
        <f>ventas_b_mes1255[[#This Row],[TOTAL]]/1.21</f>
        <v>0</v>
      </c>
      <c r="I1089" s="64">
        <f>ventas_b_mes1255[[#This Row],[IMPORTE NETO]]*0.21</f>
        <v>0</v>
      </c>
      <c r="J1089" s="140"/>
      <c r="K1089" s="140"/>
      <c r="L1089" s="140"/>
      <c r="M1089" s="59"/>
    </row>
    <row r="1090" spans="2:13" x14ac:dyDescent="0.25">
      <c r="B1090" s="134"/>
      <c r="C1090" s="41"/>
      <c r="D1090" s="136"/>
      <c r="E1090" s="137"/>
      <c r="F1090" s="138"/>
      <c r="G1090" s="1" t="str">
        <f>IFERROR(IF(ventas_b_mes1255[[#This Row],[CUIT]]="","-",VLOOKUP(ventas_b_mes1255[[#This Row],[CUIT]],Lista_CUIT[#All],2,0)),"CUIT NO CARGADO")</f>
        <v>-</v>
      </c>
      <c r="H1090" s="99">
        <f>ventas_b_mes1255[[#This Row],[TOTAL]]/1.21</f>
        <v>0</v>
      </c>
      <c r="I1090" s="64">
        <f>ventas_b_mes1255[[#This Row],[IMPORTE NETO]]*0.21</f>
        <v>0</v>
      </c>
      <c r="J1090" s="140"/>
      <c r="K1090" s="140"/>
      <c r="L1090" s="140"/>
      <c r="M1090" s="59"/>
    </row>
    <row r="1091" spans="2:13" x14ac:dyDescent="0.25">
      <c r="B1091" s="134"/>
      <c r="C1091" s="41"/>
      <c r="D1091" s="136"/>
      <c r="E1091" s="137"/>
      <c r="F1091" s="138"/>
      <c r="G1091" s="1" t="str">
        <f>IFERROR(IF(ventas_b_mes1255[[#This Row],[CUIT]]="","-",VLOOKUP(ventas_b_mes1255[[#This Row],[CUIT]],Lista_CUIT[#All],2,0)),"CUIT NO CARGADO")</f>
        <v>-</v>
      </c>
      <c r="H1091" s="99">
        <f>ventas_b_mes1255[[#This Row],[TOTAL]]/1.21</f>
        <v>0</v>
      </c>
      <c r="I1091" s="64">
        <f>ventas_b_mes1255[[#This Row],[IMPORTE NETO]]*0.21</f>
        <v>0</v>
      </c>
      <c r="J1091" s="140"/>
      <c r="K1091" s="140"/>
      <c r="L1091" s="140"/>
      <c r="M1091" s="59"/>
    </row>
    <row r="1092" spans="2:13" x14ac:dyDescent="0.25">
      <c r="B1092" s="134"/>
      <c r="C1092" s="41"/>
      <c r="D1092" s="136"/>
      <c r="E1092" s="137"/>
      <c r="F1092" s="138"/>
      <c r="G1092" s="1" t="str">
        <f>IFERROR(IF(ventas_b_mes1255[[#This Row],[CUIT]]="","-",VLOOKUP(ventas_b_mes1255[[#This Row],[CUIT]],Lista_CUIT[#All],2,0)),"CUIT NO CARGADO")</f>
        <v>-</v>
      </c>
      <c r="H1092" s="99">
        <f>ventas_b_mes1255[[#This Row],[TOTAL]]/1.21</f>
        <v>0</v>
      </c>
      <c r="I1092" s="64">
        <f>ventas_b_mes1255[[#This Row],[IMPORTE NETO]]*0.21</f>
        <v>0</v>
      </c>
      <c r="J1092" s="140"/>
      <c r="K1092" s="140"/>
      <c r="L1092" s="140"/>
      <c r="M1092" s="59"/>
    </row>
    <row r="1093" spans="2:13" x14ac:dyDescent="0.25">
      <c r="B1093" s="134"/>
      <c r="C1093" s="41"/>
      <c r="D1093" s="136"/>
      <c r="E1093" s="137"/>
      <c r="F1093" s="138"/>
      <c r="G1093" s="1" t="str">
        <f>IFERROR(IF(ventas_b_mes1255[[#This Row],[CUIT]]="","-",VLOOKUP(ventas_b_mes1255[[#This Row],[CUIT]],Lista_CUIT[#All],2,0)),"CUIT NO CARGADO")</f>
        <v>-</v>
      </c>
      <c r="H1093" s="99">
        <f>ventas_b_mes1255[[#This Row],[TOTAL]]/1.21</f>
        <v>0</v>
      </c>
      <c r="I1093" s="64">
        <f>ventas_b_mes1255[[#This Row],[IMPORTE NETO]]*0.21</f>
        <v>0</v>
      </c>
      <c r="J1093" s="140"/>
      <c r="K1093" s="140"/>
      <c r="L1093" s="140"/>
      <c r="M1093" s="59"/>
    </row>
    <row r="1094" spans="2:13" x14ac:dyDescent="0.25">
      <c r="B1094" s="134"/>
      <c r="C1094" s="41"/>
      <c r="D1094" s="136"/>
      <c r="E1094" s="137"/>
      <c r="F1094" s="138"/>
      <c r="G1094" s="1" t="str">
        <f>IFERROR(IF(ventas_b_mes1255[[#This Row],[CUIT]]="","-",VLOOKUP(ventas_b_mes1255[[#This Row],[CUIT]],Lista_CUIT[#All],2,0)),"CUIT NO CARGADO")</f>
        <v>-</v>
      </c>
      <c r="H1094" s="99">
        <f>ventas_b_mes1255[[#This Row],[TOTAL]]/1.21</f>
        <v>0</v>
      </c>
      <c r="I1094" s="64">
        <f>ventas_b_mes1255[[#This Row],[IMPORTE NETO]]*0.21</f>
        <v>0</v>
      </c>
      <c r="J1094" s="140"/>
      <c r="K1094" s="140"/>
      <c r="L1094" s="140"/>
      <c r="M1094" s="59"/>
    </row>
    <row r="1095" spans="2:13" x14ac:dyDescent="0.25">
      <c r="B1095" s="134"/>
      <c r="C1095" s="41"/>
      <c r="D1095" s="136"/>
      <c r="E1095" s="137"/>
      <c r="F1095" s="138"/>
      <c r="G1095" s="1" t="str">
        <f>IFERROR(IF(ventas_b_mes1255[[#This Row],[CUIT]]="","-",VLOOKUP(ventas_b_mes1255[[#This Row],[CUIT]],Lista_CUIT[#All],2,0)),"CUIT NO CARGADO")</f>
        <v>-</v>
      </c>
      <c r="H1095" s="99">
        <f>ventas_b_mes1255[[#This Row],[TOTAL]]/1.21</f>
        <v>0</v>
      </c>
      <c r="I1095" s="64">
        <f>ventas_b_mes1255[[#This Row],[IMPORTE NETO]]*0.21</f>
        <v>0</v>
      </c>
      <c r="J1095" s="140"/>
      <c r="K1095" s="140"/>
      <c r="L1095" s="140"/>
      <c r="M1095" s="59"/>
    </row>
    <row r="1096" spans="2:13" x14ac:dyDescent="0.25">
      <c r="B1096" s="134"/>
      <c r="C1096" s="41"/>
      <c r="D1096" s="136"/>
      <c r="E1096" s="137"/>
      <c r="F1096" s="138"/>
      <c r="G1096" s="1" t="str">
        <f>IFERROR(IF(ventas_b_mes1255[[#This Row],[CUIT]]="","-",VLOOKUP(ventas_b_mes1255[[#This Row],[CUIT]],Lista_CUIT[#All],2,0)),"CUIT NO CARGADO")</f>
        <v>-</v>
      </c>
      <c r="H1096" s="99">
        <f>ventas_b_mes1255[[#This Row],[TOTAL]]/1.21</f>
        <v>0</v>
      </c>
      <c r="I1096" s="64">
        <f>ventas_b_mes1255[[#This Row],[IMPORTE NETO]]*0.21</f>
        <v>0</v>
      </c>
      <c r="J1096" s="140"/>
      <c r="K1096" s="140"/>
      <c r="L1096" s="140"/>
      <c r="M1096" s="59"/>
    </row>
    <row r="1097" spans="2:13" x14ac:dyDescent="0.25">
      <c r="B1097" s="134"/>
      <c r="C1097" s="41"/>
      <c r="D1097" s="136"/>
      <c r="E1097" s="137"/>
      <c r="F1097" s="138"/>
      <c r="G1097" s="1" t="str">
        <f>IFERROR(IF(ventas_b_mes1255[[#This Row],[CUIT]]="","-",VLOOKUP(ventas_b_mes1255[[#This Row],[CUIT]],Lista_CUIT[#All],2,0)),"CUIT NO CARGADO")</f>
        <v>-</v>
      </c>
      <c r="H1097" s="99">
        <f>ventas_b_mes1255[[#This Row],[TOTAL]]/1.21</f>
        <v>0</v>
      </c>
      <c r="I1097" s="64">
        <f>ventas_b_mes1255[[#This Row],[IMPORTE NETO]]*0.21</f>
        <v>0</v>
      </c>
      <c r="J1097" s="140"/>
      <c r="K1097" s="140"/>
      <c r="L1097" s="140"/>
      <c r="M1097" s="59"/>
    </row>
    <row r="1098" spans="2:13" x14ac:dyDescent="0.25">
      <c r="B1098" s="134"/>
      <c r="C1098" s="41"/>
      <c r="D1098" s="136"/>
      <c r="E1098" s="137"/>
      <c r="F1098" s="138"/>
      <c r="G1098" s="1" t="str">
        <f>IFERROR(IF(ventas_b_mes1255[[#This Row],[CUIT]]="","-",VLOOKUP(ventas_b_mes1255[[#This Row],[CUIT]],Lista_CUIT[#All],2,0)),"CUIT NO CARGADO")</f>
        <v>-</v>
      </c>
      <c r="H1098" s="99">
        <f>ventas_b_mes1255[[#This Row],[TOTAL]]/1.21</f>
        <v>0</v>
      </c>
      <c r="I1098" s="64">
        <f>ventas_b_mes1255[[#This Row],[IMPORTE NETO]]*0.21</f>
        <v>0</v>
      </c>
      <c r="J1098" s="140"/>
      <c r="K1098" s="140"/>
      <c r="L1098" s="140"/>
      <c r="M1098" s="59"/>
    </row>
    <row r="1099" spans="2:13" x14ac:dyDescent="0.25">
      <c r="B1099" s="134"/>
      <c r="C1099" s="41"/>
      <c r="D1099" s="136"/>
      <c r="E1099" s="137"/>
      <c r="F1099" s="138"/>
      <c r="G1099" s="1" t="str">
        <f>IFERROR(IF(ventas_b_mes1255[[#This Row],[CUIT]]="","-",VLOOKUP(ventas_b_mes1255[[#This Row],[CUIT]],Lista_CUIT[#All],2,0)),"CUIT NO CARGADO")</f>
        <v>-</v>
      </c>
      <c r="H1099" s="99">
        <f>ventas_b_mes1255[[#This Row],[TOTAL]]/1.21</f>
        <v>0</v>
      </c>
      <c r="I1099" s="64">
        <f>ventas_b_mes1255[[#This Row],[IMPORTE NETO]]*0.21</f>
        <v>0</v>
      </c>
      <c r="J1099" s="140"/>
      <c r="K1099" s="140"/>
      <c r="L1099" s="140"/>
      <c r="M1099" s="59"/>
    </row>
    <row r="1100" spans="2:13" x14ac:dyDescent="0.25">
      <c r="B1100" s="134"/>
      <c r="C1100" s="41"/>
      <c r="D1100" s="136"/>
      <c r="E1100" s="137"/>
      <c r="F1100" s="138"/>
      <c r="G1100" s="1" t="str">
        <f>IFERROR(IF(ventas_b_mes1255[[#This Row],[CUIT]]="","-",VLOOKUP(ventas_b_mes1255[[#This Row],[CUIT]],Lista_CUIT[#All],2,0)),"CUIT NO CARGADO")</f>
        <v>-</v>
      </c>
      <c r="H1100" s="99">
        <f>ventas_b_mes1255[[#This Row],[TOTAL]]/1.21</f>
        <v>0</v>
      </c>
      <c r="I1100" s="64">
        <f>ventas_b_mes1255[[#This Row],[IMPORTE NETO]]*0.21</f>
        <v>0</v>
      </c>
      <c r="J1100" s="140"/>
      <c r="K1100" s="140"/>
      <c r="L1100" s="140"/>
      <c r="M1100" s="59"/>
    </row>
    <row r="1101" spans="2:13" x14ac:dyDescent="0.25">
      <c r="B1101" s="134"/>
      <c r="C1101" s="41"/>
      <c r="D1101" s="136"/>
      <c r="E1101" s="137"/>
      <c r="F1101" s="138"/>
      <c r="G1101" s="1" t="str">
        <f>IFERROR(IF(ventas_b_mes1255[[#This Row],[CUIT]]="","-",VLOOKUP(ventas_b_mes1255[[#This Row],[CUIT]],Lista_CUIT[#All],2,0)),"CUIT NO CARGADO")</f>
        <v>-</v>
      </c>
      <c r="H1101" s="99">
        <f>ventas_b_mes1255[[#This Row],[TOTAL]]/1.21</f>
        <v>0</v>
      </c>
      <c r="I1101" s="64">
        <f>ventas_b_mes1255[[#This Row],[IMPORTE NETO]]*0.21</f>
        <v>0</v>
      </c>
      <c r="J1101" s="140"/>
      <c r="K1101" s="140"/>
      <c r="L1101" s="140"/>
      <c r="M1101" s="59"/>
    </row>
    <row r="1102" spans="2:13" x14ac:dyDescent="0.25">
      <c r="B1102" s="134"/>
      <c r="C1102" s="41"/>
      <c r="D1102" s="136"/>
      <c r="E1102" s="137"/>
      <c r="F1102" s="138"/>
      <c r="G1102" s="1" t="str">
        <f>IFERROR(IF(ventas_b_mes1255[[#This Row],[CUIT]]="","-",VLOOKUP(ventas_b_mes1255[[#This Row],[CUIT]],Lista_CUIT[#All],2,0)),"CUIT NO CARGADO")</f>
        <v>-</v>
      </c>
      <c r="H1102" s="99">
        <f>ventas_b_mes1255[[#This Row],[TOTAL]]/1.21</f>
        <v>0</v>
      </c>
      <c r="I1102" s="64">
        <f>ventas_b_mes1255[[#This Row],[IMPORTE NETO]]*0.21</f>
        <v>0</v>
      </c>
      <c r="J1102" s="140"/>
      <c r="K1102" s="140"/>
      <c r="L1102" s="140"/>
      <c r="M1102" s="59"/>
    </row>
    <row r="1103" spans="2:13" x14ac:dyDescent="0.25">
      <c r="B1103" s="134"/>
      <c r="C1103" s="41"/>
      <c r="D1103" s="136"/>
      <c r="E1103" s="137"/>
      <c r="F1103" s="138"/>
      <c r="G1103" s="1" t="str">
        <f>IFERROR(IF(ventas_b_mes1255[[#This Row],[CUIT]]="","-",VLOOKUP(ventas_b_mes1255[[#This Row],[CUIT]],Lista_CUIT[#All],2,0)),"CUIT NO CARGADO")</f>
        <v>-</v>
      </c>
      <c r="H1103" s="99">
        <f>ventas_b_mes1255[[#This Row],[TOTAL]]/1.21</f>
        <v>0</v>
      </c>
      <c r="I1103" s="64">
        <f>ventas_b_mes1255[[#This Row],[IMPORTE NETO]]*0.21</f>
        <v>0</v>
      </c>
      <c r="J1103" s="140"/>
      <c r="K1103" s="140"/>
      <c r="L1103" s="140"/>
      <c r="M1103" s="59"/>
    </row>
    <row r="1104" spans="2:13" x14ac:dyDescent="0.25">
      <c r="B1104" s="134"/>
      <c r="C1104" s="41"/>
      <c r="D1104" s="136"/>
      <c r="E1104" s="137"/>
      <c r="F1104" s="138"/>
      <c r="G1104" s="1" t="str">
        <f>IFERROR(IF(ventas_b_mes1255[[#This Row],[CUIT]]="","-",VLOOKUP(ventas_b_mes1255[[#This Row],[CUIT]],Lista_CUIT[#All],2,0)),"CUIT NO CARGADO")</f>
        <v>-</v>
      </c>
      <c r="H1104" s="99">
        <f>ventas_b_mes1255[[#This Row],[TOTAL]]/1.21</f>
        <v>0</v>
      </c>
      <c r="I1104" s="64">
        <f>ventas_b_mes1255[[#This Row],[IMPORTE NETO]]*0.21</f>
        <v>0</v>
      </c>
      <c r="J1104" s="140"/>
      <c r="K1104" s="140"/>
      <c r="L1104" s="140"/>
      <c r="M1104" s="59"/>
    </row>
    <row r="1105" spans="2:13" x14ac:dyDescent="0.25">
      <c r="B1105" s="134"/>
      <c r="C1105" s="41"/>
      <c r="D1105" s="136"/>
      <c r="E1105" s="137"/>
      <c r="F1105" s="138"/>
      <c r="G1105" s="1" t="str">
        <f>IFERROR(IF(ventas_b_mes1255[[#This Row],[CUIT]]="","-",VLOOKUP(ventas_b_mes1255[[#This Row],[CUIT]],Lista_CUIT[#All],2,0)),"CUIT NO CARGADO")</f>
        <v>-</v>
      </c>
      <c r="H1105" s="99">
        <f>ventas_b_mes1255[[#This Row],[TOTAL]]/1.21</f>
        <v>0</v>
      </c>
      <c r="I1105" s="64">
        <f>ventas_b_mes1255[[#This Row],[IMPORTE NETO]]*0.21</f>
        <v>0</v>
      </c>
      <c r="J1105" s="140"/>
      <c r="K1105" s="140"/>
      <c r="L1105" s="140"/>
      <c r="M1105" s="59"/>
    </row>
    <row r="1106" spans="2:13" x14ac:dyDescent="0.25">
      <c r="B1106" s="134"/>
      <c r="C1106" s="41"/>
      <c r="D1106" s="136"/>
      <c r="E1106" s="137"/>
      <c r="F1106" s="138"/>
      <c r="G1106" s="1" t="str">
        <f>IFERROR(IF(ventas_b_mes1255[[#This Row],[CUIT]]="","-",VLOOKUP(ventas_b_mes1255[[#This Row],[CUIT]],Lista_CUIT[#All],2,0)),"CUIT NO CARGADO")</f>
        <v>-</v>
      </c>
      <c r="H1106" s="99">
        <f>ventas_b_mes1255[[#This Row],[TOTAL]]/1.21</f>
        <v>0</v>
      </c>
      <c r="I1106" s="64">
        <f>ventas_b_mes1255[[#This Row],[IMPORTE NETO]]*0.21</f>
        <v>0</v>
      </c>
      <c r="J1106" s="140"/>
      <c r="K1106" s="140"/>
      <c r="L1106" s="140"/>
      <c r="M1106" s="59"/>
    </row>
    <row r="1107" spans="2:13" x14ac:dyDescent="0.25">
      <c r="B1107" s="134"/>
      <c r="C1107" s="41"/>
      <c r="D1107" s="136"/>
      <c r="E1107" s="137"/>
      <c r="F1107" s="138"/>
      <c r="G1107" s="1" t="str">
        <f>IFERROR(IF(ventas_b_mes1255[[#This Row],[CUIT]]="","-",VLOOKUP(ventas_b_mes1255[[#This Row],[CUIT]],Lista_CUIT[#All],2,0)),"CUIT NO CARGADO")</f>
        <v>-</v>
      </c>
      <c r="H1107" s="99">
        <f>ventas_b_mes1255[[#This Row],[TOTAL]]/1.21</f>
        <v>0</v>
      </c>
      <c r="I1107" s="64">
        <f>ventas_b_mes1255[[#This Row],[IMPORTE NETO]]*0.21</f>
        <v>0</v>
      </c>
      <c r="J1107" s="140"/>
      <c r="K1107" s="140"/>
      <c r="L1107" s="140"/>
      <c r="M1107" s="59"/>
    </row>
    <row r="1108" spans="2:13" x14ac:dyDescent="0.25">
      <c r="B1108" s="134"/>
      <c r="C1108" s="41"/>
      <c r="D1108" s="136"/>
      <c r="E1108" s="137"/>
      <c r="F1108" s="138"/>
      <c r="G1108" s="1" t="str">
        <f>IFERROR(IF(ventas_b_mes1255[[#This Row],[CUIT]]="","-",VLOOKUP(ventas_b_mes1255[[#This Row],[CUIT]],Lista_CUIT[#All],2,0)),"CUIT NO CARGADO")</f>
        <v>-</v>
      </c>
      <c r="H1108" s="99">
        <f>ventas_b_mes1255[[#This Row],[TOTAL]]/1.21</f>
        <v>0</v>
      </c>
      <c r="I1108" s="64">
        <f>ventas_b_mes1255[[#This Row],[IMPORTE NETO]]*0.21</f>
        <v>0</v>
      </c>
      <c r="J1108" s="140"/>
      <c r="K1108" s="140"/>
      <c r="L1108" s="140"/>
      <c r="M1108" s="59"/>
    </row>
    <row r="1109" spans="2:13" x14ac:dyDescent="0.25">
      <c r="B1109" s="134"/>
      <c r="C1109" s="41"/>
      <c r="D1109" s="136"/>
      <c r="E1109" s="137"/>
      <c r="F1109" s="138"/>
      <c r="G1109" s="1" t="str">
        <f>IFERROR(IF(ventas_b_mes1255[[#This Row],[CUIT]]="","-",VLOOKUP(ventas_b_mes1255[[#This Row],[CUIT]],Lista_CUIT[#All],2,0)),"CUIT NO CARGADO")</f>
        <v>-</v>
      </c>
      <c r="H1109" s="99">
        <f>ventas_b_mes1255[[#This Row],[TOTAL]]/1.21</f>
        <v>0</v>
      </c>
      <c r="I1109" s="64">
        <f>ventas_b_mes1255[[#This Row],[IMPORTE NETO]]*0.21</f>
        <v>0</v>
      </c>
      <c r="J1109" s="140"/>
      <c r="K1109" s="140"/>
      <c r="L1109" s="140"/>
      <c r="M1109" s="59"/>
    </row>
    <row r="1110" spans="2:13" x14ac:dyDescent="0.25">
      <c r="B1110" s="134"/>
      <c r="C1110" s="41"/>
      <c r="D1110" s="136"/>
      <c r="E1110" s="137"/>
      <c r="F1110" s="138"/>
      <c r="G1110" s="1" t="str">
        <f>IFERROR(IF(ventas_b_mes1255[[#This Row],[CUIT]]="","-",VLOOKUP(ventas_b_mes1255[[#This Row],[CUIT]],Lista_CUIT[#All],2,0)),"CUIT NO CARGADO")</f>
        <v>-</v>
      </c>
      <c r="H1110" s="99">
        <f>ventas_b_mes1255[[#This Row],[TOTAL]]/1.21</f>
        <v>0</v>
      </c>
      <c r="I1110" s="64">
        <f>ventas_b_mes1255[[#This Row],[IMPORTE NETO]]*0.21</f>
        <v>0</v>
      </c>
      <c r="J1110" s="140"/>
      <c r="K1110" s="140"/>
      <c r="L1110" s="140"/>
      <c r="M1110" s="59"/>
    </row>
    <row r="1111" spans="2:13" x14ac:dyDescent="0.25">
      <c r="B1111" s="134"/>
      <c r="C1111" s="41"/>
      <c r="D1111" s="136"/>
      <c r="E1111" s="137"/>
      <c r="F1111" s="138"/>
      <c r="G1111" s="1" t="str">
        <f>IFERROR(IF(ventas_b_mes1255[[#This Row],[CUIT]]="","-",VLOOKUP(ventas_b_mes1255[[#This Row],[CUIT]],Lista_CUIT[#All],2,0)),"CUIT NO CARGADO")</f>
        <v>-</v>
      </c>
      <c r="H1111" s="99">
        <f>ventas_b_mes1255[[#This Row],[TOTAL]]/1.21</f>
        <v>0</v>
      </c>
      <c r="I1111" s="64">
        <f>ventas_b_mes1255[[#This Row],[IMPORTE NETO]]*0.21</f>
        <v>0</v>
      </c>
      <c r="J1111" s="140"/>
      <c r="K1111" s="140"/>
      <c r="L1111" s="140"/>
      <c r="M1111" s="59"/>
    </row>
    <row r="1112" spans="2:13" x14ac:dyDescent="0.25">
      <c r="B1112" s="134"/>
      <c r="C1112" s="41"/>
      <c r="D1112" s="136"/>
      <c r="E1112" s="137"/>
      <c r="F1112" s="138"/>
      <c r="G1112" s="1" t="str">
        <f>IFERROR(IF(ventas_b_mes1255[[#This Row],[CUIT]]="","-",VLOOKUP(ventas_b_mes1255[[#This Row],[CUIT]],Lista_CUIT[#All],2,0)),"CUIT NO CARGADO")</f>
        <v>-</v>
      </c>
      <c r="H1112" s="99">
        <f>ventas_b_mes1255[[#This Row],[TOTAL]]/1.21</f>
        <v>0</v>
      </c>
      <c r="I1112" s="64">
        <f>ventas_b_mes1255[[#This Row],[IMPORTE NETO]]*0.21</f>
        <v>0</v>
      </c>
      <c r="J1112" s="140"/>
      <c r="K1112" s="140"/>
      <c r="L1112" s="140"/>
      <c r="M1112" s="59"/>
    </row>
    <row r="1113" spans="2:13" x14ac:dyDescent="0.25">
      <c r="B1113" s="134"/>
      <c r="C1113" s="41"/>
      <c r="D1113" s="136"/>
      <c r="E1113" s="137"/>
      <c r="F1113" s="138"/>
      <c r="G1113" s="1" t="str">
        <f>IFERROR(IF(ventas_b_mes1255[[#This Row],[CUIT]]="","-",VLOOKUP(ventas_b_mes1255[[#This Row],[CUIT]],Lista_CUIT[#All],2,0)),"CUIT NO CARGADO")</f>
        <v>-</v>
      </c>
      <c r="H1113" s="99">
        <f>ventas_b_mes1255[[#This Row],[TOTAL]]/1.21</f>
        <v>0</v>
      </c>
      <c r="I1113" s="64">
        <f>ventas_b_mes1255[[#This Row],[IMPORTE NETO]]*0.21</f>
        <v>0</v>
      </c>
      <c r="J1113" s="140"/>
      <c r="K1113" s="140"/>
      <c r="L1113" s="140"/>
      <c r="M1113" s="59"/>
    </row>
    <row r="1114" spans="2:13" x14ac:dyDescent="0.25">
      <c r="B1114" s="134"/>
      <c r="C1114" s="41"/>
      <c r="D1114" s="136"/>
      <c r="E1114" s="137"/>
      <c r="F1114" s="138"/>
      <c r="G1114" s="1" t="str">
        <f>IFERROR(IF(ventas_b_mes1255[[#This Row],[CUIT]]="","-",VLOOKUP(ventas_b_mes1255[[#This Row],[CUIT]],Lista_CUIT[#All],2,0)),"CUIT NO CARGADO")</f>
        <v>-</v>
      </c>
      <c r="H1114" s="99">
        <f>ventas_b_mes1255[[#This Row],[TOTAL]]/1.21</f>
        <v>0</v>
      </c>
      <c r="I1114" s="64">
        <f>ventas_b_mes1255[[#This Row],[IMPORTE NETO]]*0.21</f>
        <v>0</v>
      </c>
      <c r="J1114" s="140"/>
      <c r="K1114" s="140"/>
      <c r="L1114" s="140"/>
      <c r="M1114" s="59"/>
    </row>
    <row r="1115" spans="2:13" x14ac:dyDescent="0.25">
      <c r="B1115" s="134"/>
      <c r="C1115" s="41"/>
      <c r="D1115" s="136"/>
      <c r="E1115" s="137"/>
      <c r="F1115" s="138"/>
      <c r="G1115" s="1" t="str">
        <f>IFERROR(IF(ventas_b_mes1255[[#This Row],[CUIT]]="","-",VLOOKUP(ventas_b_mes1255[[#This Row],[CUIT]],Lista_CUIT[#All],2,0)),"CUIT NO CARGADO")</f>
        <v>-</v>
      </c>
      <c r="H1115" s="99">
        <f>ventas_b_mes1255[[#This Row],[TOTAL]]/1.21</f>
        <v>0</v>
      </c>
      <c r="I1115" s="64">
        <f>ventas_b_mes1255[[#This Row],[IMPORTE NETO]]*0.21</f>
        <v>0</v>
      </c>
      <c r="J1115" s="140"/>
      <c r="K1115" s="140"/>
      <c r="L1115" s="140"/>
      <c r="M1115" s="59"/>
    </row>
    <row r="1116" spans="2:13" x14ac:dyDescent="0.25">
      <c r="B1116" s="134"/>
      <c r="C1116" s="41"/>
      <c r="D1116" s="136"/>
      <c r="E1116" s="137"/>
      <c r="F1116" s="138"/>
      <c r="G1116" s="1" t="str">
        <f>IFERROR(IF(ventas_b_mes1255[[#This Row],[CUIT]]="","-",VLOOKUP(ventas_b_mes1255[[#This Row],[CUIT]],Lista_CUIT[#All],2,0)),"CUIT NO CARGADO")</f>
        <v>-</v>
      </c>
      <c r="H1116" s="99">
        <f>ventas_b_mes1255[[#This Row],[TOTAL]]/1.21</f>
        <v>0</v>
      </c>
      <c r="I1116" s="64">
        <f>ventas_b_mes1255[[#This Row],[IMPORTE NETO]]*0.21</f>
        <v>0</v>
      </c>
      <c r="J1116" s="140"/>
      <c r="K1116" s="140"/>
      <c r="L1116" s="140"/>
      <c r="M1116" s="59"/>
    </row>
    <row r="1117" spans="2:13" x14ac:dyDescent="0.25">
      <c r="B1117" s="134"/>
      <c r="C1117" s="41"/>
      <c r="D1117" s="136"/>
      <c r="E1117" s="137"/>
      <c r="F1117" s="138"/>
      <c r="G1117" s="1" t="str">
        <f>IFERROR(IF(ventas_b_mes1255[[#This Row],[CUIT]]="","-",VLOOKUP(ventas_b_mes1255[[#This Row],[CUIT]],Lista_CUIT[#All],2,0)),"CUIT NO CARGADO")</f>
        <v>-</v>
      </c>
      <c r="H1117" s="99">
        <f>ventas_b_mes1255[[#This Row],[TOTAL]]/1.21</f>
        <v>0</v>
      </c>
      <c r="I1117" s="64">
        <f>ventas_b_mes1255[[#This Row],[IMPORTE NETO]]*0.21</f>
        <v>0</v>
      </c>
      <c r="J1117" s="140"/>
      <c r="K1117" s="140"/>
      <c r="L1117" s="140"/>
      <c r="M1117" s="59"/>
    </row>
    <row r="1118" spans="2:13" x14ac:dyDescent="0.25">
      <c r="B1118" s="134"/>
      <c r="C1118" s="41"/>
      <c r="D1118" s="136"/>
      <c r="E1118" s="137"/>
      <c r="F1118" s="138"/>
      <c r="G1118" s="1" t="str">
        <f>IFERROR(IF(ventas_b_mes1255[[#This Row],[CUIT]]="","-",VLOOKUP(ventas_b_mes1255[[#This Row],[CUIT]],Lista_CUIT[#All],2,0)),"CUIT NO CARGADO")</f>
        <v>-</v>
      </c>
      <c r="H1118" s="99">
        <f>ventas_b_mes1255[[#This Row],[TOTAL]]/1.21</f>
        <v>0</v>
      </c>
      <c r="I1118" s="64">
        <f>ventas_b_mes1255[[#This Row],[IMPORTE NETO]]*0.21</f>
        <v>0</v>
      </c>
      <c r="J1118" s="140"/>
      <c r="K1118" s="140"/>
      <c r="L1118" s="140"/>
      <c r="M1118" s="59"/>
    </row>
    <row r="1119" spans="2:13" x14ac:dyDescent="0.25">
      <c r="B1119" s="134"/>
      <c r="C1119" s="41"/>
      <c r="D1119" s="136"/>
      <c r="E1119" s="137"/>
      <c r="F1119" s="138"/>
      <c r="G1119" s="1" t="str">
        <f>IFERROR(IF(ventas_b_mes1255[[#This Row],[CUIT]]="","-",VLOOKUP(ventas_b_mes1255[[#This Row],[CUIT]],Lista_CUIT[#All],2,0)),"CUIT NO CARGADO")</f>
        <v>-</v>
      </c>
      <c r="H1119" s="99">
        <f>ventas_b_mes1255[[#This Row],[TOTAL]]/1.21</f>
        <v>0</v>
      </c>
      <c r="I1119" s="64">
        <f>ventas_b_mes1255[[#This Row],[IMPORTE NETO]]*0.21</f>
        <v>0</v>
      </c>
      <c r="J1119" s="140"/>
      <c r="K1119" s="140"/>
      <c r="L1119" s="140"/>
      <c r="M1119" s="59"/>
    </row>
    <row r="1120" spans="2:13" x14ac:dyDescent="0.25">
      <c r="B1120" s="134"/>
      <c r="C1120" s="41"/>
      <c r="D1120" s="136"/>
      <c r="E1120" s="137"/>
      <c r="F1120" s="138"/>
      <c r="G1120" s="1" t="str">
        <f>IFERROR(IF(ventas_b_mes1255[[#This Row],[CUIT]]="","-",VLOOKUP(ventas_b_mes1255[[#This Row],[CUIT]],Lista_CUIT[#All],2,0)),"CUIT NO CARGADO")</f>
        <v>-</v>
      </c>
      <c r="H1120" s="99">
        <f>ventas_b_mes1255[[#This Row],[TOTAL]]/1.21</f>
        <v>0</v>
      </c>
      <c r="I1120" s="64">
        <f>ventas_b_mes1255[[#This Row],[IMPORTE NETO]]*0.21</f>
        <v>0</v>
      </c>
      <c r="J1120" s="140"/>
      <c r="K1120" s="140"/>
      <c r="L1120" s="140"/>
      <c r="M1120" s="59"/>
    </row>
    <row r="1121" spans="2:13" x14ac:dyDescent="0.25">
      <c r="B1121" s="134"/>
      <c r="C1121" s="41"/>
      <c r="D1121" s="136"/>
      <c r="E1121" s="137"/>
      <c r="F1121" s="138"/>
      <c r="G1121" s="1" t="str">
        <f>IFERROR(IF(ventas_b_mes1255[[#This Row],[CUIT]]="","-",VLOOKUP(ventas_b_mes1255[[#This Row],[CUIT]],Lista_CUIT[#All],2,0)),"CUIT NO CARGADO")</f>
        <v>-</v>
      </c>
      <c r="H1121" s="99">
        <f>ventas_b_mes1255[[#This Row],[TOTAL]]/1.21</f>
        <v>0</v>
      </c>
      <c r="I1121" s="64">
        <f>ventas_b_mes1255[[#This Row],[IMPORTE NETO]]*0.21</f>
        <v>0</v>
      </c>
      <c r="J1121" s="140"/>
      <c r="K1121" s="140"/>
      <c r="L1121" s="140"/>
      <c r="M1121" s="59"/>
    </row>
    <row r="1122" spans="2:13" x14ac:dyDescent="0.25">
      <c r="B1122" s="134"/>
      <c r="C1122" s="41"/>
      <c r="D1122" s="136"/>
      <c r="E1122" s="137"/>
      <c r="F1122" s="138"/>
      <c r="G1122" s="1" t="str">
        <f>IFERROR(IF(ventas_b_mes1255[[#This Row],[CUIT]]="","-",VLOOKUP(ventas_b_mes1255[[#This Row],[CUIT]],Lista_CUIT[#All],2,0)),"CUIT NO CARGADO")</f>
        <v>-</v>
      </c>
      <c r="H1122" s="99">
        <f>ventas_b_mes1255[[#This Row],[TOTAL]]/1.21</f>
        <v>0</v>
      </c>
      <c r="I1122" s="64">
        <f>ventas_b_mes1255[[#This Row],[IMPORTE NETO]]*0.21</f>
        <v>0</v>
      </c>
      <c r="J1122" s="140"/>
      <c r="K1122" s="140"/>
      <c r="L1122" s="140"/>
      <c r="M1122" s="59"/>
    </row>
    <row r="1123" spans="2:13" x14ac:dyDescent="0.25">
      <c r="B1123" s="134"/>
      <c r="C1123" s="41"/>
      <c r="D1123" s="136"/>
      <c r="E1123" s="137"/>
      <c r="F1123" s="138"/>
      <c r="G1123" s="1" t="str">
        <f>IFERROR(IF(ventas_b_mes1255[[#This Row],[CUIT]]="","-",VLOOKUP(ventas_b_mes1255[[#This Row],[CUIT]],Lista_CUIT[#All],2,0)),"CUIT NO CARGADO")</f>
        <v>-</v>
      </c>
      <c r="H1123" s="99">
        <f>ventas_b_mes1255[[#This Row],[TOTAL]]/1.21</f>
        <v>0</v>
      </c>
      <c r="I1123" s="64">
        <f>ventas_b_mes1255[[#This Row],[IMPORTE NETO]]*0.21</f>
        <v>0</v>
      </c>
      <c r="J1123" s="140"/>
      <c r="K1123" s="140"/>
      <c r="L1123" s="140"/>
      <c r="M1123" s="59"/>
    </row>
    <row r="1124" spans="2:13" x14ac:dyDescent="0.25">
      <c r="B1124" s="134"/>
      <c r="C1124" s="41"/>
      <c r="D1124" s="136"/>
      <c r="E1124" s="137"/>
      <c r="F1124" s="138"/>
      <c r="G1124" s="1" t="str">
        <f>IFERROR(IF(ventas_b_mes1255[[#This Row],[CUIT]]="","-",VLOOKUP(ventas_b_mes1255[[#This Row],[CUIT]],Lista_CUIT[#All],2,0)),"CUIT NO CARGADO")</f>
        <v>-</v>
      </c>
      <c r="H1124" s="99">
        <f>ventas_b_mes1255[[#This Row],[TOTAL]]/1.21</f>
        <v>0</v>
      </c>
      <c r="I1124" s="64">
        <f>ventas_b_mes1255[[#This Row],[IMPORTE NETO]]*0.21</f>
        <v>0</v>
      </c>
      <c r="J1124" s="140"/>
      <c r="K1124" s="140"/>
      <c r="L1124" s="140"/>
      <c r="M1124" s="59"/>
    </row>
    <row r="1125" spans="2:13" x14ac:dyDescent="0.25">
      <c r="B1125" s="134"/>
      <c r="C1125" s="41"/>
      <c r="D1125" s="136"/>
      <c r="E1125" s="137"/>
      <c r="F1125" s="138"/>
      <c r="G1125" s="1" t="str">
        <f>IFERROR(IF(ventas_b_mes1255[[#This Row],[CUIT]]="","-",VLOOKUP(ventas_b_mes1255[[#This Row],[CUIT]],Lista_CUIT[#All],2,0)),"CUIT NO CARGADO")</f>
        <v>-</v>
      </c>
      <c r="H1125" s="99">
        <f>ventas_b_mes1255[[#This Row],[TOTAL]]/1.21</f>
        <v>0</v>
      </c>
      <c r="I1125" s="64">
        <f>ventas_b_mes1255[[#This Row],[IMPORTE NETO]]*0.21</f>
        <v>0</v>
      </c>
      <c r="J1125" s="140"/>
      <c r="K1125" s="140"/>
      <c r="L1125" s="140"/>
      <c r="M1125" s="59"/>
    </row>
    <row r="1126" spans="2:13" x14ac:dyDescent="0.25">
      <c r="B1126" s="134"/>
      <c r="C1126" s="41"/>
      <c r="D1126" s="136"/>
      <c r="E1126" s="137"/>
      <c r="F1126" s="138"/>
      <c r="G1126" s="1" t="str">
        <f>IFERROR(IF(ventas_b_mes1255[[#This Row],[CUIT]]="","-",VLOOKUP(ventas_b_mes1255[[#This Row],[CUIT]],Lista_CUIT[#All],2,0)),"CUIT NO CARGADO")</f>
        <v>-</v>
      </c>
      <c r="H1126" s="99">
        <f>ventas_b_mes1255[[#This Row],[TOTAL]]/1.21</f>
        <v>0</v>
      </c>
      <c r="I1126" s="64">
        <f>ventas_b_mes1255[[#This Row],[IMPORTE NETO]]*0.21</f>
        <v>0</v>
      </c>
      <c r="J1126" s="140"/>
      <c r="K1126" s="140"/>
      <c r="L1126" s="140"/>
      <c r="M1126" s="59"/>
    </row>
    <row r="1127" spans="2:13" x14ac:dyDescent="0.25">
      <c r="B1127" s="134"/>
      <c r="C1127" s="41"/>
      <c r="D1127" s="136"/>
      <c r="E1127" s="137"/>
      <c r="F1127" s="138"/>
      <c r="G1127" s="1" t="str">
        <f>IFERROR(IF(ventas_b_mes1255[[#This Row],[CUIT]]="","-",VLOOKUP(ventas_b_mes1255[[#This Row],[CUIT]],Lista_CUIT[#All],2,0)),"CUIT NO CARGADO")</f>
        <v>-</v>
      </c>
      <c r="H1127" s="99">
        <f>ventas_b_mes1255[[#This Row],[TOTAL]]/1.21</f>
        <v>0</v>
      </c>
      <c r="I1127" s="64">
        <f>ventas_b_mes1255[[#This Row],[IMPORTE NETO]]*0.21</f>
        <v>0</v>
      </c>
      <c r="J1127" s="140"/>
      <c r="K1127" s="140"/>
      <c r="L1127" s="140"/>
      <c r="M1127" s="59"/>
    </row>
    <row r="1128" spans="2:13" x14ac:dyDescent="0.25">
      <c r="B1128" s="134"/>
      <c r="C1128" s="41"/>
      <c r="D1128" s="136"/>
      <c r="E1128" s="137"/>
      <c r="F1128" s="138"/>
      <c r="G1128" s="1" t="str">
        <f>IFERROR(IF(ventas_b_mes1255[[#This Row],[CUIT]]="","-",VLOOKUP(ventas_b_mes1255[[#This Row],[CUIT]],Lista_CUIT[#All],2,0)),"CUIT NO CARGADO")</f>
        <v>-</v>
      </c>
      <c r="H1128" s="99">
        <f>ventas_b_mes1255[[#This Row],[TOTAL]]/1.21</f>
        <v>0</v>
      </c>
      <c r="I1128" s="64">
        <f>ventas_b_mes1255[[#This Row],[IMPORTE NETO]]*0.21</f>
        <v>0</v>
      </c>
      <c r="J1128" s="140"/>
      <c r="K1128" s="140"/>
      <c r="L1128" s="140"/>
      <c r="M1128" s="59"/>
    </row>
    <row r="1129" spans="2:13" x14ac:dyDescent="0.25">
      <c r="B1129" s="134"/>
      <c r="C1129" s="41"/>
      <c r="D1129" s="136"/>
      <c r="E1129" s="137"/>
      <c r="F1129" s="138"/>
      <c r="G1129" s="1" t="str">
        <f>IFERROR(IF(ventas_b_mes1255[[#This Row],[CUIT]]="","-",VLOOKUP(ventas_b_mes1255[[#This Row],[CUIT]],Lista_CUIT[#All],2,0)),"CUIT NO CARGADO")</f>
        <v>-</v>
      </c>
      <c r="H1129" s="99">
        <f>ventas_b_mes1255[[#This Row],[TOTAL]]/1.21</f>
        <v>0</v>
      </c>
      <c r="I1129" s="64">
        <f>ventas_b_mes1255[[#This Row],[IMPORTE NETO]]*0.21</f>
        <v>0</v>
      </c>
      <c r="J1129" s="140"/>
      <c r="K1129" s="140"/>
      <c r="L1129" s="140"/>
      <c r="M1129" s="59"/>
    </row>
    <row r="1130" spans="2:13" x14ac:dyDescent="0.25">
      <c r="B1130" s="134"/>
      <c r="C1130" s="41"/>
      <c r="D1130" s="136"/>
      <c r="E1130" s="137"/>
      <c r="F1130" s="138"/>
      <c r="G1130" s="1" t="str">
        <f>IFERROR(IF(ventas_b_mes1255[[#This Row],[CUIT]]="","-",VLOOKUP(ventas_b_mes1255[[#This Row],[CUIT]],Lista_CUIT[#All],2,0)),"CUIT NO CARGADO")</f>
        <v>-</v>
      </c>
      <c r="H1130" s="99">
        <f>ventas_b_mes1255[[#This Row],[TOTAL]]/1.21</f>
        <v>0</v>
      </c>
      <c r="I1130" s="64">
        <f>ventas_b_mes1255[[#This Row],[IMPORTE NETO]]*0.21</f>
        <v>0</v>
      </c>
      <c r="J1130" s="140"/>
      <c r="K1130" s="140"/>
      <c r="L1130" s="140"/>
      <c r="M1130" s="59"/>
    </row>
    <row r="1131" spans="2:13" x14ac:dyDescent="0.25">
      <c r="B1131" s="134"/>
      <c r="C1131" s="41"/>
      <c r="D1131" s="136"/>
      <c r="E1131" s="137"/>
      <c r="F1131" s="138"/>
      <c r="G1131" s="1" t="str">
        <f>IFERROR(IF(ventas_b_mes1255[[#This Row],[CUIT]]="","-",VLOOKUP(ventas_b_mes1255[[#This Row],[CUIT]],Lista_CUIT[#All],2,0)),"CUIT NO CARGADO")</f>
        <v>-</v>
      </c>
      <c r="H1131" s="99">
        <f>ventas_b_mes1255[[#This Row],[TOTAL]]/1.21</f>
        <v>0</v>
      </c>
      <c r="I1131" s="64">
        <f>ventas_b_mes1255[[#This Row],[IMPORTE NETO]]*0.21</f>
        <v>0</v>
      </c>
      <c r="J1131" s="140"/>
      <c r="K1131" s="140"/>
      <c r="L1131" s="140"/>
      <c r="M1131" s="59"/>
    </row>
    <row r="1132" spans="2:13" x14ac:dyDescent="0.25">
      <c r="B1132" s="134"/>
      <c r="C1132" s="41"/>
      <c r="D1132" s="136"/>
      <c r="E1132" s="137"/>
      <c r="F1132" s="138"/>
      <c r="G1132" s="1" t="str">
        <f>IFERROR(IF(ventas_b_mes1255[[#This Row],[CUIT]]="","-",VLOOKUP(ventas_b_mes1255[[#This Row],[CUIT]],Lista_CUIT[#All],2,0)),"CUIT NO CARGADO")</f>
        <v>-</v>
      </c>
      <c r="H1132" s="99">
        <f>ventas_b_mes1255[[#This Row],[TOTAL]]/1.21</f>
        <v>0</v>
      </c>
      <c r="I1132" s="64">
        <f>ventas_b_mes1255[[#This Row],[IMPORTE NETO]]*0.21</f>
        <v>0</v>
      </c>
      <c r="J1132" s="140"/>
      <c r="K1132" s="140"/>
      <c r="L1132" s="140"/>
      <c r="M1132" s="59"/>
    </row>
    <row r="1133" spans="2:13" x14ac:dyDescent="0.25">
      <c r="B1133" s="134"/>
      <c r="C1133" s="41"/>
      <c r="D1133" s="136"/>
      <c r="E1133" s="137"/>
      <c r="F1133" s="138"/>
      <c r="G1133" s="1" t="str">
        <f>IFERROR(IF(ventas_b_mes1255[[#This Row],[CUIT]]="","-",VLOOKUP(ventas_b_mes1255[[#This Row],[CUIT]],Lista_CUIT[#All],2,0)),"CUIT NO CARGADO")</f>
        <v>-</v>
      </c>
      <c r="H1133" s="99">
        <f>ventas_b_mes1255[[#This Row],[TOTAL]]/1.21</f>
        <v>0</v>
      </c>
      <c r="I1133" s="64">
        <f>ventas_b_mes1255[[#This Row],[IMPORTE NETO]]*0.21</f>
        <v>0</v>
      </c>
      <c r="J1133" s="140"/>
      <c r="K1133" s="140"/>
      <c r="L1133" s="140"/>
      <c r="M1133" s="59"/>
    </row>
    <row r="1134" spans="2:13" x14ac:dyDescent="0.25">
      <c r="B1134" s="134"/>
      <c r="C1134" s="41"/>
      <c r="D1134" s="136"/>
      <c r="E1134" s="137"/>
      <c r="F1134" s="138"/>
      <c r="G1134" s="1" t="str">
        <f>IFERROR(IF(ventas_b_mes1255[[#This Row],[CUIT]]="","-",VLOOKUP(ventas_b_mes1255[[#This Row],[CUIT]],Lista_CUIT[#All],2,0)),"CUIT NO CARGADO")</f>
        <v>-</v>
      </c>
      <c r="H1134" s="99">
        <f>ventas_b_mes1255[[#This Row],[TOTAL]]/1.21</f>
        <v>0</v>
      </c>
      <c r="I1134" s="64">
        <f>ventas_b_mes1255[[#This Row],[IMPORTE NETO]]*0.21</f>
        <v>0</v>
      </c>
      <c r="J1134" s="140"/>
      <c r="K1134" s="140"/>
      <c r="L1134" s="140"/>
      <c r="M1134" s="59"/>
    </row>
    <row r="1135" spans="2:13" x14ac:dyDescent="0.25">
      <c r="B1135" s="134"/>
      <c r="C1135" s="41"/>
      <c r="D1135" s="136"/>
      <c r="E1135" s="137"/>
      <c r="F1135" s="138"/>
      <c r="G1135" s="1" t="str">
        <f>IFERROR(IF(ventas_b_mes1255[[#This Row],[CUIT]]="","-",VLOOKUP(ventas_b_mes1255[[#This Row],[CUIT]],Lista_CUIT[#All],2,0)),"CUIT NO CARGADO")</f>
        <v>-</v>
      </c>
      <c r="H1135" s="99">
        <f>ventas_b_mes1255[[#This Row],[TOTAL]]/1.21</f>
        <v>0</v>
      </c>
      <c r="I1135" s="64">
        <f>ventas_b_mes1255[[#This Row],[IMPORTE NETO]]*0.21</f>
        <v>0</v>
      </c>
      <c r="J1135" s="140"/>
      <c r="K1135" s="140"/>
      <c r="L1135" s="140"/>
      <c r="M1135" s="59"/>
    </row>
    <row r="1136" spans="2:13" x14ac:dyDescent="0.25">
      <c r="B1136" s="134"/>
      <c r="C1136" s="41"/>
      <c r="D1136" s="136"/>
      <c r="E1136" s="137"/>
      <c r="F1136" s="138"/>
      <c r="G1136" s="1" t="str">
        <f>IFERROR(IF(ventas_b_mes1255[[#This Row],[CUIT]]="","-",VLOOKUP(ventas_b_mes1255[[#This Row],[CUIT]],Lista_CUIT[#All],2,0)),"CUIT NO CARGADO")</f>
        <v>-</v>
      </c>
      <c r="H1136" s="99">
        <f>ventas_b_mes1255[[#This Row],[TOTAL]]/1.21</f>
        <v>0</v>
      </c>
      <c r="I1136" s="64">
        <f>ventas_b_mes1255[[#This Row],[IMPORTE NETO]]*0.21</f>
        <v>0</v>
      </c>
      <c r="J1136" s="140"/>
      <c r="K1136" s="140"/>
      <c r="L1136" s="140"/>
      <c r="M1136" s="59"/>
    </row>
    <row r="1137" spans="2:13" x14ac:dyDescent="0.25">
      <c r="B1137" s="134"/>
      <c r="C1137" s="41"/>
      <c r="D1137" s="136"/>
      <c r="E1137" s="137"/>
      <c r="F1137" s="138"/>
      <c r="G1137" s="1" t="str">
        <f>IFERROR(IF(ventas_b_mes1255[[#This Row],[CUIT]]="","-",VLOOKUP(ventas_b_mes1255[[#This Row],[CUIT]],Lista_CUIT[#All],2,0)),"CUIT NO CARGADO")</f>
        <v>-</v>
      </c>
      <c r="H1137" s="99">
        <f>ventas_b_mes1255[[#This Row],[TOTAL]]/1.21</f>
        <v>0</v>
      </c>
      <c r="I1137" s="64">
        <f>ventas_b_mes1255[[#This Row],[IMPORTE NETO]]*0.21</f>
        <v>0</v>
      </c>
      <c r="J1137" s="140"/>
      <c r="K1137" s="140"/>
      <c r="L1137" s="140"/>
      <c r="M1137" s="59"/>
    </row>
    <row r="1138" spans="2:13" x14ac:dyDescent="0.25">
      <c r="B1138" s="134"/>
      <c r="C1138" s="41"/>
      <c r="D1138" s="136"/>
      <c r="E1138" s="137"/>
      <c r="F1138" s="138"/>
      <c r="G1138" s="1" t="str">
        <f>IFERROR(IF(ventas_b_mes1255[[#This Row],[CUIT]]="","-",VLOOKUP(ventas_b_mes1255[[#This Row],[CUIT]],Lista_CUIT[#All],2,0)),"CUIT NO CARGADO")</f>
        <v>-</v>
      </c>
      <c r="H1138" s="99">
        <f>ventas_b_mes1255[[#This Row],[TOTAL]]/1.21</f>
        <v>0</v>
      </c>
      <c r="I1138" s="64">
        <f>ventas_b_mes1255[[#This Row],[IMPORTE NETO]]*0.21</f>
        <v>0</v>
      </c>
      <c r="J1138" s="140"/>
      <c r="K1138" s="140"/>
      <c r="L1138" s="140"/>
      <c r="M1138" s="59"/>
    </row>
    <row r="1139" spans="2:13" x14ac:dyDescent="0.25">
      <c r="B1139" s="134"/>
      <c r="C1139" s="41"/>
      <c r="D1139" s="136"/>
      <c r="E1139" s="137"/>
      <c r="F1139" s="138"/>
      <c r="G1139" s="1" t="str">
        <f>IFERROR(IF(ventas_b_mes1255[[#This Row],[CUIT]]="","-",VLOOKUP(ventas_b_mes1255[[#This Row],[CUIT]],Lista_CUIT[#All],2,0)),"CUIT NO CARGADO")</f>
        <v>-</v>
      </c>
      <c r="H1139" s="99">
        <f>ventas_b_mes1255[[#This Row],[TOTAL]]/1.21</f>
        <v>0</v>
      </c>
      <c r="I1139" s="64">
        <f>ventas_b_mes1255[[#This Row],[IMPORTE NETO]]*0.21</f>
        <v>0</v>
      </c>
      <c r="J1139" s="140"/>
      <c r="K1139" s="140"/>
      <c r="L1139" s="140"/>
      <c r="M1139" s="59"/>
    </row>
    <row r="1140" spans="2:13" x14ac:dyDescent="0.25">
      <c r="B1140" s="134"/>
      <c r="C1140" s="41"/>
      <c r="D1140" s="136"/>
      <c r="E1140" s="137"/>
      <c r="F1140" s="138"/>
      <c r="G1140" s="1" t="str">
        <f>IFERROR(IF(ventas_b_mes1255[[#This Row],[CUIT]]="","-",VLOOKUP(ventas_b_mes1255[[#This Row],[CUIT]],Lista_CUIT[#All],2,0)),"CUIT NO CARGADO")</f>
        <v>-</v>
      </c>
      <c r="H1140" s="99">
        <f>ventas_b_mes1255[[#This Row],[TOTAL]]/1.21</f>
        <v>0</v>
      </c>
      <c r="I1140" s="64">
        <f>ventas_b_mes1255[[#This Row],[IMPORTE NETO]]*0.21</f>
        <v>0</v>
      </c>
      <c r="J1140" s="140"/>
      <c r="K1140" s="140"/>
      <c r="L1140" s="140"/>
      <c r="M1140" s="59"/>
    </row>
    <row r="1141" spans="2:13" x14ac:dyDescent="0.25">
      <c r="B1141" s="134"/>
      <c r="C1141" s="41"/>
      <c r="D1141" s="136"/>
      <c r="E1141" s="137"/>
      <c r="F1141" s="138"/>
      <c r="G1141" s="1" t="str">
        <f>IFERROR(IF(ventas_b_mes1255[[#This Row],[CUIT]]="","-",VLOOKUP(ventas_b_mes1255[[#This Row],[CUIT]],Lista_CUIT[#All],2,0)),"CUIT NO CARGADO")</f>
        <v>-</v>
      </c>
      <c r="H1141" s="99">
        <f>ventas_b_mes1255[[#This Row],[TOTAL]]/1.21</f>
        <v>0</v>
      </c>
      <c r="I1141" s="64">
        <f>ventas_b_mes1255[[#This Row],[IMPORTE NETO]]*0.21</f>
        <v>0</v>
      </c>
      <c r="J1141" s="140"/>
      <c r="K1141" s="140"/>
      <c r="L1141" s="140"/>
      <c r="M1141" s="59"/>
    </row>
    <row r="1142" spans="2:13" x14ac:dyDescent="0.25">
      <c r="B1142" s="134"/>
      <c r="C1142" s="41"/>
      <c r="D1142" s="136"/>
      <c r="E1142" s="137"/>
      <c r="F1142" s="138"/>
      <c r="G1142" s="1" t="str">
        <f>IFERROR(IF(ventas_b_mes1255[[#This Row],[CUIT]]="","-",VLOOKUP(ventas_b_mes1255[[#This Row],[CUIT]],Lista_CUIT[#All],2,0)),"CUIT NO CARGADO")</f>
        <v>-</v>
      </c>
      <c r="H1142" s="99">
        <f>ventas_b_mes1255[[#This Row],[TOTAL]]/1.21</f>
        <v>0</v>
      </c>
      <c r="I1142" s="64">
        <f>ventas_b_mes1255[[#This Row],[IMPORTE NETO]]*0.21</f>
        <v>0</v>
      </c>
      <c r="J1142" s="140"/>
      <c r="K1142" s="140"/>
      <c r="L1142" s="140"/>
      <c r="M1142" s="59"/>
    </row>
    <row r="1143" spans="2:13" x14ac:dyDescent="0.25">
      <c r="B1143" s="134"/>
      <c r="C1143" s="41"/>
      <c r="D1143" s="136"/>
      <c r="E1143" s="137"/>
      <c r="F1143" s="138"/>
      <c r="G1143" s="1" t="str">
        <f>IFERROR(IF(ventas_b_mes1255[[#This Row],[CUIT]]="","-",VLOOKUP(ventas_b_mes1255[[#This Row],[CUIT]],Lista_CUIT[#All],2,0)),"CUIT NO CARGADO")</f>
        <v>-</v>
      </c>
      <c r="H1143" s="99">
        <f>ventas_b_mes1255[[#This Row],[TOTAL]]/1.21</f>
        <v>0</v>
      </c>
      <c r="I1143" s="64">
        <f>ventas_b_mes1255[[#This Row],[IMPORTE NETO]]*0.21</f>
        <v>0</v>
      </c>
      <c r="J1143" s="140"/>
      <c r="K1143" s="140"/>
      <c r="L1143" s="140"/>
      <c r="M1143" s="59"/>
    </row>
    <row r="1144" spans="2:13" x14ac:dyDescent="0.25">
      <c r="B1144" s="134"/>
      <c r="C1144" s="41"/>
      <c r="D1144" s="136"/>
      <c r="E1144" s="137"/>
      <c r="F1144" s="138"/>
      <c r="G1144" s="1" t="str">
        <f>IFERROR(IF(ventas_b_mes1255[[#This Row],[CUIT]]="","-",VLOOKUP(ventas_b_mes1255[[#This Row],[CUIT]],Lista_CUIT[#All],2,0)),"CUIT NO CARGADO")</f>
        <v>-</v>
      </c>
      <c r="H1144" s="99">
        <f>ventas_b_mes1255[[#This Row],[TOTAL]]/1.21</f>
        <v>0</v>
      </c>
      <c r="I1144" s="64">
        <f>ventas_b_mes1255[[#This Row],[IMPORTE NETO]]*0.21</f>
        <v>0</v>
      </c>
      <c r="J1144" s="140"/>
      <c r="K1144" s="140"/>
      <c r="L1144" s="140"/>
      <c r="M1144" s="59"/>
    </row>
    <row r="1145" spans="2:13" x14ac:dyDescent="0.25">
      <c r="B1145" s="134"/>
      <c r="C1145" s="41"/>
      <c r="D1145" s="136"/>
      <c r="E1145" s="137"/>
      <c r="F1145" s="138"/>
      <c r="G1145" s="1" t="str">
        <f>IFERROR(IF(ventas_b_mes1255[[#This Row],[CUIT]]="","-",VLOOKUP(ventas_b_mes1255[[#This Row],[CUIT]],Lista_CUIT[#All],2,0)),"CUIT NO CARGADO")</f>
        <v>-</v>
      </c>
      <c r="H1145" s="99">
        <f>ventas_b_mes1255[[#This Row],[TOTAL]]/1.21</f>
        <v>0</v>
      </c>
      <c r="I1145" s="64">
        <f>ventas_b_mes1255[[#This Row],[IMPORTE NETO]]*0.21</f>
        <v>0</v>
      </c>
      <c r="J1145" s="140"/>
      <c r="K1145" s="140"/>
      <c r="L1145" s="140"/>
      <c r="M1145" s="59"/>
    </row>
    <row r="1146" spans="2:13" x14ac:dyDescent="0.25">
      <c r="B1146" s="134"/>
      <c r="C1146" s="41"/>
      <c r="D1146" s="136"/>
      <c r="E1146" s="137"/>
      <c r="F1146" s="138"/>
      <c r="G1146" s="1" t="str">
        <f>IFERROR(IF(ventas_b_mes1255[[#This Row],[CUIT]]="","-",VLOOKUP(ventas_b_mes1255[[#This Row],[CUIT]],Lista_CUIT[#All],2,0)),"CUIT NO CARGADO")</f>
        <v>-</v>
      </c>
      <c r="H1146" s="99">
        <f>ventas_b_mes1255[[#This Row],[TOTAL]]/1.21</f>
        <v>0</v>
      </c>
      <c r="I1146" s="64">
        <f>ventas_b_mes1255[[#This Row],[IMPORTE NETO]]*0.21</f>
        <v>0</v>
      </c>
      <c r="J1146" s="140"/>
      <c r="K1146" s="140"/>
      <c r="L1146" s="140"/>
      <c r="M1146" s="59"/>
    </row>
    <row r="1147" spans="2:13" x14ac:dyDescent="0.25">
      <c r="B1147" s="134"/>
      <c r="C1147" s="41"/>
      <c r="D1147" s="136"/>
      <c r="E1147" s="137"/>
      <c r="F1147" s="138"/>
      <c r="G1147" s="1" t="str">
        <f>IFERROR(IF(ventas_b_mes1255[[#This Row],[CUIT]]="","-",VLOOKUP(ventas_b_mes1255[[#This Row],[CUIT]],Lista_CUIT[#All],2,0)),"CUIT NO CARGADO")</f>
        <v>-</v>
      </c>
      <c r="H1147" s="99">
        <f>ventas_b_mes1255[[#This Row],[TOTAL]]/1.21</f>
        <v>0</v>
      </c>
      <c r="I1147" s="64">
        <f>ventas_b_mes1255[[#This Row],[IMPORTE NETO]]*0.21</f>
        <v>0</v>
      </c>
      <c r="J1147" s="140"/>
      <c r="K1147" s="140"/>
      <c r="L1147" s="140"/>
      <c r="M1147" s="59"/>
    </row>
    <row r="1148" spans="2:13" x14ac:dyDescent="0.25">
      <c r="B1148" s="134"/>
      <c r="C1148" s="41"/>
      <c r="D1148" s="136"/>
      <c r="E1148" s="137"/>
      <c r="F1148" s="138"/>
      <c r="G1148" s="1" t="str">
        <f>IFERROR(IF(ventas_b_mes1255[[#This Row],[CUIT]]="","-",VLOOKUP(ventas_b_mes1255[[#This Row],[CUIT]],Lista_CUIT[#All],2,0)),"CUIT NO CARGADO")</f>
        <v>-</v>
      </c>
      <c r="H1148" s="99">
        <f>ventas_b_mes1255[[#This Row],[TOTAL]]/1.21</f>
        <v>0</v>
      </c>
      <c r="I1148" s="64">
        <f>ventas_b_mes1255[[#This Row],[IMPORTE NETO]]*0.21</f>
        <v>0</v>
      </c>
      <c r="J1148" s="140"/>
      <c r="K1148" s="140"/>
      <c r="L1148" s="140"/>
      <c r="M1148" s="59"/>
    </row>
    <row r="1149" spans="2:13" x14ac:dyDescent="0.25">
      <c r="B1149" s="134"/>
      <c r="C1149" s="41"/>
      <c r="D1149" s="136"/>
      <c r="E1149" s="137"/>
      <c r="F1149" s="138"/>
      <c r="G1149" s="1" t="str">
        <f>IFERROR(IF(ventas_b_mes1255[[#This Row],[CUIT]]="","-",VLOOKUP(ventas_b_mes1255[[#This Row],[CUIT]],Lista_CUIT[#All],2,0)),"CUIT NO CARGADO")</f>
        <v>-</v>
      </c>
      <c r="H1149" s="99">
        <f>ventas_b_mes1255[[#This Row],[TOTAL]]/1.21</f>
        <v>0</v>
      </c>
      <c r="I1149" s="64">
        <f>ventas_b_mes1255[[#This Row],[IMPORTE NETO]]*0.21</f>
        <v>0</v>
      </c>
      <c r="J1149" s="140"/>
      <c r="K1149" s="140"/>
      <c r="L1149" s="140"/>
      <c r="M1149" s="59"/>
    </row>
    <row r="1150" spans="2:13" x14ac:dyDescent="0.25">
      <c r="B1150" s="134"/>
      <c r="C1150" s="41"/>
      <c r="D1150" s="136"/>
      <c r="E1150" s="137"/>
      <c r="F1150" s="138"/>
      <c r="G1150" s="1" t="str">
        <f>IFERROR(IF(ventas_b_mes1255[[#This Row],[CUIT]]="","-",VLOOKUP(ventas_b_mes1255[[#This Row],[CUIT]],Lista_CUIT[#All],2,0)),"CUIT NO CARGADO")</f>
        <v>-</v>
      </c>
      <c r="H1150" s="99">
        <f>ventas_b_mes1255[[#This Row],[TOTAL]]/1.21</f>
        <v>0</v>
      </c>
      <c r="I1150" s="64">
        <f>ventas_b_mes1255[[#This Row],[IMPORTE NETO]]*0.21</f>
        <v>0</v>
      </c>
      <c r="J1150" s="140"/>
      <c r="K1150" s="140"/>
      <c r="L1150" s="140"/>
      <c r="M1150" s="59"/>
    </row>
    <row r="1151" spans="2:13" x14ac:dyDescent="0.25">
      <c r="B1151" s="134"/>
      <c r="C1151" s="41"/>
      <c r="D1151" s="136"/>
      <c r="E1151" s="137"/>
      <c r="F1151" s="138"/>
      <c r="G1151" s="1" t="str">
        <f>IFERROR(IF(ventas_b_mes1255[[#This Row],[CUIT]]="","-",VLOOKUP(ventas_b_mes1255[[#This Row],[CUIT]],Lista_CUIT[#All],2,0)),"CUIT NO CARGADO")</f>
        <v>-</v>
      </c>
      <c r="H1151" s="99">
        <f>ventas_b_mes1255[[#This Row],[TOTAL]]/1.21</f>
        <v>0</v>
      </c>
      <c r="I1151" s="64">
        <f>ventas_b_mes1255[[#This Row],[IMPORTE NETO]]*0.21</f>
        <v>0</v>
      </c>
      <c r="J1151" s="140"/>
      <c r="K1151" s="140"/>
      <c r="L1151" s="140"/>
      <c r="M1151" s="59"/>
    </row>
    <row r="1152" spans="2:13" x14ac:dyDescent="0.25">
      <c r="B1152" s="134"/>
      <c r="C1152" s="41"/>
      <c r="D1152" s="136"/>
      <c r="E1152" s="137"/>
      <c r="F1152" s="138"/>
      <c r="G1152" s="1" t="str">
        <f>IFERROR(IF(ventas_b_mes1255[[#This Row],[CUIT]]="","-",VLOOKUP(ventas_b_mes1255[[#This Row],[CUIT]],Lista_CUIT[#All],2,0)),"CUIT NO CARGADO")</f>
        <v>-</v>
      </c>
      <c r="H1152" s="99">
        <f>ventas_b_mes1255[[#This Row],[TOTAL]]/1.21</f>
        <v>0</v>
      </c>
      <c r="I1152" s="64">
        <f>ventas_b_mes1255[[#This Row],[IMPORTE NETO]]*0.21</f>
        <v>0</v>
      </c>
      <c r="J1152" s="140"/>
      <c r="K1152" s="140"/>
      <c r="L1152" s="140"/>
      <c r="M1152" s="59"/>
    </row>
    <row r="1153" spans="2:13" x14ac:dyDescent="0.25">
      <c r="B1153" s="134"/>
      <c r="C1153" s="41"/>
      <c r="D1153" s="136"/>
      <c r="E1153" s="137"/>
      <c r="F1153" s="138"/>
      <c r="G1153" s="1" t="str">
        <f>IFERROR(IF(ventas_b_mes1255[[#This Row],[CUIT]]="","-",VLOOKUP(ventas_b_mes1255[[#This Row],[CUIT]],Lista_CUIT[#All],2,0)),"CUIT NO CARGADO")</f>
        <v>-</v>
      </c>
      <c r="H1153" s="99">
        <f>ventas_b_mes1255[[#This Row],[TOTAL]]/1.21</f>
        <v>0</v>
      </c>
      <c r="I1153" s="64">
        <f>ventas_b_mes1255[[#This Row],[IMPORTE NETO]]*0.21</f>
        <v>0</v>
      </c>
      <c r="J1153" s="140"/>
      <c r="K1153" s="140"/>
      <c r="L1153" s="140"/>
      <c r="M1153" s="59"/>
    </row>
    <row r="1154" spans="2:13" x14ac:dyDescent="0.25">
      <c r="B1154" s="134"/>
      <c r="C1154" s="41"/>
      <c r="D1154" s="136"/>
      <c r="E1154" s="137"/>
      <c r="F1154" s="138"/>
      <c r="G1154" s="1" t="str">
        <f>IFERROR(IF(ventas_b_mes1255[[#This Row],[CUIT]]="","-",VLOOKUP(ventas_b_mes1255[[#This Row],[CUIT]],Lista_CUIT[#All],2,0)),"CUIT NO CARGADO")</f>
        <v>-</v>
      </c>
      <c r="H1154" s="99">
        <f>ventas_b_mes1255[[#This Row],[TOTAL]]/1.21</f>
        <v>0</v>
      </c>
      <c r="I1154" s="64">
        <f>ventas_b_mes1255[[#This Row],[IMPORTE NETO]]*0.21</f>
        <v>0</v>
      </c>
      <c r="J1154" s="140"/>
      <c r="K1154" s="140"/>
      <c r="L1154" s="140"/>
      <c r="M1154" s="59"/>
    </row>
    <row r="1155" spans="2:13" x14ac:dyDescent="0.25">
      <c r="B1155" s="134"/>
      <c r="C1155" s="41"/>
      <c r="D1155" s="136"/>
      <c r="E1155" s="137"/>
      <c r="F1155" s="138"/>
      <c r="G1155" s="1" t="str">
        <f>IFERROR(IF(ventas_b_mes1255[[#This Row],[CUIT]]="","-",VLOOKUP(ventas_b_mes1255[[#This Row],[CUIT]],Lista_CUIT[#All],2,0)),"CUIT NO CARGADO")</f>
        <v>-</v>
      </c>
      <c r="H1155" s="99">
        <f>ventas_b_mes1255[[#This Row],[TOTAL]]/1.21</f>
        <v>0</v>
      </c>
      <c r="I1155" s="64">
        <f>ventas_b_mes1255[[#This Row],[IMPORTE NETO]]*0.21</f>
        <v>0</v>
      </c>
      <c r="J1155" s="140"/>
      <c r="K1155" s="140"/>
      <c r="L1155" s="140"/>
      <c r="M1155" s="59"/>
    </row>
    <row r="1156" spans="2:13" x14ac:dyDescent="0.25">
      <c r="B1156" s="134"/>
      <c r="C1156" s="41"/>
      <c r="D1156" s="136"/>
      <c r="E1156" s="137"/>
      <c r="F1156" s="138"/>
      <c r="G1156" s="1" t="str">
        <f>IFERROR(IF(ventas_b_mes1255[[#This Row],[CUIT]]="","-",VLOOKUP(ventas_b_mes1255[[#This Row],[CUIT]],Lista_CUIT[#All],2,0)),"CUIT NO CARGADO")</f>
        <v>-</v>
      </c>
      <c r="H1156" s="99">
        <f>ventas_b_mes1255[[#This Row],[TOTAL]]/1.21</f>
        <v>0</v>
      </c>
      <c r="I1156" s="64">
        <f>ventas_b_mes1255[[#This Row],[IMPORTE NETO]]*0.21</f>
        <v>0</v>
      </c>
      <c r="J1156" s="140"/>
      <c r="K1156" s="140"/>
      <c r="L1156" s="140"/>
      <c r="M1156" s="59"/>
    </row>
    <row r="1157" spans="2:13" x14ac:dyDescent="0.25">
      <c r="B1157" s="134"/>
      <c r="C1157" s="41"/>
      <c r="D1157" s="136"/>
      <c r="E1157" s="137"/>
      <c r="F1157" s="138"/>
      <c r="G1157" s="1" t="str">
        <f>IFERROR(IF(ventas_b_mes1255[[#This Row],[CUIT]]="","-",VLOOKUP(ventas_b_mes1255[[#This Row],[CUIT]],Lista_CUIT[#All],2,0)),"CUIT NO CARGADO")</f>
        <v>-</v>
      </c>
      <c r="H1157" s="99">
        <f>ventas_b_mes1255[[#This Row],[TOTAL]]/1.21</f>
        <v>0</v>
      </c>
      <c r="I1157" s="64">
        <f>ventas_b_mes1255[[#This Row],[IMPORTE NETO]]*0.21</f>
        <v>0</v>
      </c>
      <c r="J1157" s="140"/>
      <c r="K1157" s="140"/>
      <c r="L1157" s="140"/>
      <c r="M1157" s="59"/>
    </row>
    <row r="1158" spans="2:13" x14ac:dyDescent="0.25">
      <c r="B1158" s="134"/>
      <c r="C1158" s="41"/>
      <c r="D1158" s="136"/>
      <c r="E1158" s="137"/>
      <c r="F1158" s="138"/>
      <c r="G1158" s="1" t="str">
        <f>IFERROR(IF(ventas_b_mes1255[[#This Row],[CUIT]]="","-",VLOOKUP(ventas_b_mes1255[[#This Row],[CUIT]],Lista_CUIT[#All],2,0)),"CUIT NO CARGADO")</f>
        <v>-</v>
      </c>
      <c r="H1158" s="99">
        <f>ventas_b_mes1255[[#This Row],[TOTAL]]/1.21</f>
        <v>0</v>
      </c>
      <c r="I1158" s="64">
        <f>ventas_b_mes1255[[#This Row],[IMPORTE NETO]]*0.21</f>
        <v>0</v>
      </c>
      <c r="J1158" s="140"/>
      <c r="K1158" s="140"/>
      <c r="L1158" s="140"/>
      <c r="M1158" s="59"/>
    </row>
    <row r="1159" spans="2:13" x14ac:dyDescent="0.25">
      <c r="B1159" s="134"/>
      <c r="C1159" s="41"/>
      <c r="D1159" s="136"/>
      <c r="E1159" s="137"/>
      <c r="F1159" s="138"/>
      <c r="G1159" s="1" t="str">
        <f>IFERROR(IF(ventas_b_mes1255[[#This Row],[CUIT]]="","-",VLOOKUP(ventas_b_mes1255[[#This Row],[CUIT]],Lista_CUIT[#All],2,0)),"CUIT NO CARGADO")</f>
        <v>-</v>
      </c>
      <c r="H1159" s="99">
        <f>ventas_b_mes1255[[#This Row],[TOTAL]]/1.21</f>
        <v>0</v>
      </c>
      <c r="I1159" s="64">
        <f>ventas_b_mes1255[[#This Row],[IMPORTE NETO]]*0.21</f>
        <v>0</v>
      </c>
      <c r="J1159" s="140"/>
      <c r="K1159" s="140"/>
      <c r="L1159" s="140"/>
      <c r="M1159" s="59"/>
    </row>
    <row r="1160" spans="2:13" x14ac:dyDescent="0.25">
      <c r="B1160" s="134"/>
      <c r="C1160" s="41"/>
      <c r="D1160" s="136"/>
      <c r="E1160" s="137"/>
      <c r="F1160" s="138"/>
      <c r="G1160" s="1" t="str">
        <f>IFERROR(IF(ventas_b_mes1255[[#This Row],[CUIT]]="","-",VLOOKUP(ventas_b_mes1255[[#This Row],[CUIT]],Lista_CUIT[#All],2,0)),"CUIT NO CARGADO")</f>
        <v>-</v>
      </c>
      <c r="H1160" s="99">
        <f>ventas_b_mes1255[[#This Row],[TOTAL]]/1.21</f>
        <v>0</v>
      </c>
      <c r="I1160" s="64">
        <f>ventas_b_mes1255[[#This Row],[IMPORTE NETO]]*0.21</f>
        <v>0</v>
      </c>
      <c r="J1160" s="140"/>
      <c r="K1160" s="140"/>
      <c r="L1160" s="140"/>
      <c r="M1160" s="59"/>
    </row>
    <row r="1161" spans="2:13" x14ac:dyDescent="0.25">
      <c r="B1161" s="134"/>
      <c r="C1161" s="41"/>
      <c r="D1161" s="136"/>
      <c r="E1161" s="137"/>
      <c r="F1161" s="138"/>
      <c r="G1161" s="1" t="str">
        <f>IFERROR(IF(ventas_b_mes1255[[#This Row],[CUIT]]="","-",VLOOKUP(ventas_b_mes1255[[#This Row],[CUIT]],Lista_CUIT[#All],2,0)),"CUIT NO CARGADO")</f>
        <v>-</v>
      </c>
      <c r="H1161" s="99">
        <f>ventas_b_mes1255[[#This Row],[TOTAL]]/1.21</f>
        <v>0</v>
      </c>
      <c r="I1161" s="64">
        <f>ventas_b_mes1255[[#This Row],[IMPORTE NETO]]*0.21</f>
        <v>0</v>
      </c>
      <c r="J1161" s="140"/>
      <c r="K1161" s="140"/>
      <c r="L1161" s="140"/>
      <c r="M1161" s="59"/>
    </row>
    <row r="1162" spans="2:13" x14ac:dyDescent="0.25">
      <c r="B1162" s="134"/>
      <c r="C1162" s="41"/>
      <c r="D1162" s="136"/>
      <c r="E1162" s="137"/>
      <c r="F1162" s="138"/>
      <c r="G1162" s="1" t="str">
        <f>IFERROR(IF(ventas_b_mes1255[[#This Row],[CUIT]]="","-",VLOOKUP(ventas_b_mes1255[[#This Row],[CUIT]],Lista_CUIT[#All],2,0)),"CUIT NO CARGADO")</f>
        <v>-</v>
      </c>
      <c r="H1162" s="99">
        <f>ventas_b_mes1255[[#This Row],[TOTAL]]/1.21</f>
        <v>0</v>
      </c>
      <c r="I1162" s="64">
        <f>ventas_b_mes1255[[#This Row],[IMPORTE NETO]]*0.21</f>
        <v>0</v>
      </c>
      <c r="J1162" s="140"/>
      <c r="K1162" s="140"/>
      <c r="L1162" s="140"/>
      <c r="M1162" s="59"/>
    </row>
    <row r="1163" spans="2:13" x14ac:dyDescent="0.25">
      <c r="B1163" s="134"/>
      <c r="C1163" s="41"/>
      <c r="D1163" s="136"/>
      <c r="E1163" s="137"/>
      <c r="F1163" s="138"/>
      <c r="G1163" s="1" t="str">
        <f>IFERROR(IF(ventas_b_mes1255[[#This Row],[CUIT]]="","-",VLOOKUP(ventas_b_mes1255[[#This Row],[CUIT]],Lista_CUIT[#All],2,0)),"CUIT NO CARGADO")</f>
        <v>-</v>
      </c>
      <c r="H1163" s="99">
        <f>ventas_b_mes1255[[#This Row],[TOTAL]]/1.21</f>
        <v>0</v>
      </c>
      <c r="I1163" s="64">
        <f>ventas_b_mes1255[[#This Row],[IMPORTE NETO]]*0.21</f>
        <v>0</v>
      </c>
      <c r="J1163" s="140"/>
      <c r="K1163" s="140"/>
      <c r="L1163" s="140"/>
      <c r="M1163" s="59"/>
    </row>
    <row r="1164" spans="2:13" x14ac:dyDescent="0.25">
      <c r="B1164" s="134"/>
      <c r="C1164" s="41"/>
      <c r="D1164" s="136"/>
      <c r="E1164" s="137"/>
      <c r="F1164" s="138"/>
      <c r="G1164" s="1" t="str">
        <f>IFERROR(IF(ventas_b_mes1255[[#This Row],[CUIT]]="","-",VLOOKUP(ventas_b_mes1255[[#This Row],[CUIT]],Lista_CUIT[#All],2,0)),"CUIT NO CARGADO")</f>
        <v>-</v>
      </c>
      <c r="H1164" s="99">
        <f>ventas_b_mes1255[[#This Row],[TOTAL]]/1.21</f>
        <v>0</v>
      </c>
      <c r="I1164" s="64">
        <f>ventas_b_mes1255[[#This Row],[IMPORTE NETO]]*0.21</f>
        <v>0</v>
      </c>
      <c r="J1164" s="140"/>
      <c r="K1164" s="140"/>
      <c r="L1164" s="140"/>
      <c r="M1164" s="59"/>
    </row>
    <row r="1165" spans="2:13" x14ac:dyDescent="0.25">
      <c r="B1165" s="134"/>
      <c r="C1165" s="41"/>
      <c r="D1165" s="136"/>
      <c r="E1165" s="137"/>
      <c r="F1165" s="138"/>
      <c r="G1165" s="1" t="str">
        <f>IFERROR(IF(ventas_b_mes1255[[#This Row],[CUIT]]="","-",VLOOKUP(ventas_b_mes1255[[#This Row],[CUIT]],Lista_CUIT[#All],2,0)),"CUIT NO CARGADO")</f>
        <v>-</v>
      </c>
      <c r="H1165" s="99">
        <f>ventas_b_mes1255[[#This Row],[TOTAL]]/1.21</f>
        <v>0</v>
      </c>
      <c r="I1165" s="64">
        <f>ventas_b_mes1255[[#This Row],[IMPORTE NETO]]*0.21</f>
        <v>0</v>
      </c>
      <c r="J1165" s="140"/>
      <c r="K1165" s="140"/>
      <c r="L1165" s="140"/>
      <c r="M1165" s="59"/>
    </row>
    <row r="1166" spans="2:13" x14ac:dyDescent="0.25">
      <c r="B1166" s="134"/>
      <c r="C1166" s="41"/>
      <c r="D1166" s="136"/>
      <c r="E1166" s="137"/>
      <c r="F1166" s="138"/>
      <c r="G1166" s="1" t="str">
        <f>IFERROR(IF(ventas_b_mes1255[[#This Row],[CUIT]]="","-",VLOOKUP(ventas_b_mes1255[[#This Row],[CUIT]],Lista_CUIT[#All],2,0)),"CUIT NO CARGADO")</f>
        <v>-</v>
      </c>
      <c r="H1166" s="99">
        <f>ventas_b_mes1255[[#This Row],[TOTAL]]/1.21</f>
        <v>0</v>
      </c>
      <c r="I1166" s="64">
        <f>ventas_b_mes1255[[#This Row],[IMPORTE NETO]]*0.21</f>
        <v>0</v>
      </c>
      <c r="J1166" s="140"/>
      <c r="K1166" s="140"/>
      <c r="L1166" s="140"/>
      <c r="M1166" s="59"/>
    </row>
    <row r="1167" spans="2:13" x14ac:dyDescent="0.25">
      <c r="B1167" s="134"/>
      <c r="C1167" s="41"/>
      <c r="D1167" s="136"/>
      <c r="E1167" s="137"/>
      <c r="F1167" s="138"/>
      <c r="G1167" s="1" t="str">
        <f>IFERROR(IF(ventas_b_mes1255[[#This Row],[CUIT]]="","-",VLOOKUP(ventas_b_mes1255[[#This Row],[CUIT]],Lista_CUIT[#All],2,0)),"CUIT NO CARGADO")</f>
        <v>-</v>
      </c>
      <c r="H1167" s="99">
        <f>ventas_b_mes1255[[#This Row],[TOTAL]]/1.21</f>
        <v>0</v>
      </c>
      <c r="I1167" s="64">
        <f>ventas_b_mes1255[[#This Row],[IMPORTE NETO]]*0.21</f>
        <v>0</v>
      </c>
      <c r="J1167" s="140"/>
      <c r="K1167" s="140"/>
      <c r="L1167" s="140"/>
      <c r="M1167" s="59"/>
    </row>
    <row r="1168" spans="2:13" x14ac:dyDescent="0.25">
      <c r="B1168" s="134"/>
      <c r="C1168" s="41"/>
      <c r="D1168" s="136"/>
      <c r="E1168" s="137"/>
      <c r="F1168" s="138"/>
      <c r="G1168" s="1" t="str">
        <f>IFERROR(IF(ventas_b_mes1255[[#This Row],[CUIT]]="","-",VLOOKUP(ventas_b_mes1255[[#This Row],[CUIT]],Lista_CUIT[#All],2,0)),"CUIT NO CARGADO")</f>
        <v>-</v>
      </c>
      <c r="H1168" s="99">
        <f>ventas_b_mes1255[[#This Row],[TOTAL]]/1.21</f>
        <v>0</v>
      </c>
      <c r="I1168" s="64">
        <f>ventas_b_mes1255[[#This Row],[IMPORTE NETO]]*0.21</f>
        <v>0</v>
      </c>
      <c r="J1168" s="140"/>
      <c r="K1168" s="140"/>
      <c r="L1168" s="140"/>
      <c r="M1168" s="59"/>
    </row>
    <row r="1169" spans="2:13" x14ac:dyDescent="0.25">
      <c r="B1169" s="134"/>
      <c r="C1169" s="41"/>
      <c r="D1169" s="136"/>
      <c r="E1169" s="137"/>
      <c r="F1169" s="138"/>
      <c r="G1169" s="1" t="str">
        <f>IFERROR(IF(ventas_b_mes1255[[#This Row],[CUIT]]="","-",VLOOKUP(ventas_b_mes1255[[#This Row],[CUIT]],Lista_CUIT[#All],2,0)),"CUIT NO CARGADO")</f>
        <v>-</v>
      </c>
      <c r="H1169" s="99">
        <f>ventas_b_mes1255[[#This Row],[TOTAL]]/1.21</f>
        <v>0</v>
      </c>
      <c r="I1169" s="64">
        <f>ventas_b_mes1255[[#This Row],[IMPORTE NETO]]*0.21</f>
        <v>0</v>
      </c>
      <c r="J1169" s="140"/>
      <c r="K1169" s="140"/>
      <c r="L1169" s="140"/>
      <c r="M1169" s="59"/>
    </row>
    <row r="1170" spans="2:13" x14ac:dyDescent="0.25">
      <c r="B1170" s="134"/>
      <c r="C1170" s="41"/>
      <c r="D1170" s="136"/>
      <c r="E1170" s="137"/>
      <c r="F1170" s="138"/>
      <c r="G1170" s="1" t="str">
        <f>IFERROR(IF(ventas_b_mes1255[[#This Row],[CUIT]]="","-",VLOOKUP(ventas_b_mes1255[[#This Row],[CUIT]],Lista_CUIT[#All],2,0)),"CUIT NO CARGADO")</f>
        <v>-</v>
      </c>
      <c r="H1170" s="99">
        <f>ventas_b_mes1255[[#This Row],[TOTAL]]/1.21</f>
        <v>0</v>
      </c>
      <c r="I1170" s="64">
        <f>ventas_b_mes1255[[#This Row],[IMPORTE NETO]]*0.21</f>
        <v>0</v>
      </c>
      <c r="J1170" s="140"/>
      <c r="K1170" s="140"/>
      <c r="L1170" s="140"/>
      <c r="M1170" s="59"/>
    </row>
    <row r="1171" spans="2:13" x14ac:dyDescent="0.25">
      <c r="B1171" s="134"/>
      <c r="C1171" s="41"/>
      <c r="D1171" s="136"/>
      <c r="E1171" s="137"/>
      <c r="F1171" s="138"/>
      <c r="G1171" s="1" t="str">
        <f>IFERROR(IF(ventas_b_mes1255[[#This Row],[CUIT]]="","-",VLOOKUP(ventas_b_mes1255[[#This Row],[CUIT]],Lista_CUIT[#All],2,0)),"CUIT NO CARGADO")</f>
        <v>-</v>
      </c>
      <c r="H1171" s="99">
        <f>ventas_b_mes1255[[#This Row],[TOTAL]]/1.21</f>
        <v>0</v>
      </c>
      <c r="I1171" s="64">
        <f>ventas_b_mes1255[[#This Row],[IMPORTE NETO]]*0.21</f>
        <v>0</v>
      </c>
      <c r="J1171" s="140"/>
      <c r="K1171" s="140"/>
      <c r="L1171" s="140"/>
      <c r="M1171" s="59"/>
    </row>
    <row r="1172" spans="2:13" x14ac:dyDescent="0.25">
      <c r="B1172" s="134"/>
      <c r="C1172" s="41"/>
      <c r="D1172" s="136"/>
      <c r="E1172" s="137"/>
      <c r="F1172" s="138"/>
      <c r="G1172" s="1" t="str">
        <f>IFERROR(IF(ventas_b_mes1255[[#This Row],[CUIT]]="","-",VLOOKUP(ventas_b_mes1255[[#This Row],[CUIT]],Lista_CUIT[#All],2,0)),"CUIT NO CARGADO")</f>
        <v>-</v>
      </c>
      <c r="H1172" s="99">
        <f>ventas_b_mes1255[[#This Row],[TOTAL]]/1.21</f>
        <v>0</v>
      </c>
      <c r="I1172" s="64">
        <f>ventas_b_mes1255[[#This Row],[IMPORTE NETO]]*0.21</f>
        <v>0</v>
      </c>
      <c r="J1172" s="140"/>
      <c r="K1172" s="140"/>
      <c r="L1172" s="140"/>
      <c r="M1172" s="59"/>
    </row>
    <row r="1173" spans="2:13" x14ac:dyDescent="0.25">
      <c r="B1173" s="134"/>
      <c r="C1173" s="41"/>
      <c r="D1173" s="136"/>
      <c r="E1173" s="137"/>
      <c r="F1173" s="138"/>
      <c r="G1173" s="1" t="str">
        <f>IFERROR(IF(ventas_b_mes1255[[#This Row],[CUIT]]="","-",VLOOKUP(ventas_b_mes1255[[#This Row],[CUIT]],Lista_CUIT[#All],2,0)),"CUIT NO CARGADO")</f>
        <v>-</v>
      </c>
      <c r="H1173" s="99">
        <f>ventas_b_mes1255[[#This Row],[TOTAL]]/1.21</f>
        <v>0</v>
      </c>
      <c r="I1173" s="64">
        <f>ventas_b_mes1255[[#This Row],[IMPORTE NETO]]*0.21</f>
        <v>0</v>
      </c>
      <c r="J1173" s="140"/>
      <c r="K1173" s="140"/>
      <c r="L1173" s="140"/>
      <c r="M1173" s="59"/>
    </row>
    <row r="1174" spans="2:13" x14ac:dyDescent="0.25">
      <c r="B1174" s="134"/>
      <c r="C1174" s="41"/>
      <c r="D1174" s="136"/>
      <c r="E1174" s="137"/>
      <c r="F1174" s="138"/>
      <c r="G1174" s="1" t="str">
        <f>IFERROR(IF(ventas_b_mes1255[[#This Row],[CUIT]]="","-",VLOOKUP(ventas_b_mes1255[[#This Row],[CUIT]],Lista_CUIT[#All],2,0)),"CUIT NO CARGADO")</f>
        <v>-</v>
      </c>
      <c r="H1174" s="99">
        <f>ventas_b_mes1255[[#This Row],[TOTAL]]/1.21</f>
        <v>0</v>
      </c>
      <c r="I1174" s="64">
        <f>ventas_b_mes1255[[#This Row],[IMPORTE NETO]]*0.21</f>
        <v>0</v>
      </c>
      <c r="J1174" s="140"/>
      <c r="K1174" s="140"/>
      <c r="L1174" s="140"/>
      <c r="M1174" s="59"/>
    </row>
    <row r="1175" spans="2:13" x14ac:dyDescent="0.25">
      <c r="B1175" s="134"/>
      <c r="C1175" s="41"/>
      <c r="D1175" s="136"/>
      <c r="E1175" s="137"/>
      <c r="F1175" s="138"/>
      <c r="G1175" s="1" t="str">
        <f>IFERROR(IF(ventas_b_mes1255[[#This Row],[CUIT]]="","-",VLOOKUP(ventas_b_mes1255[[#This Row],[CUIT]],Lista_CUIT[#All],2,0)),"CUIT NO CARGADO")</f>
        <v>-</v>
      </c>
      <c r="H1175" s="99">
        <f>ventas_b_mes1255[[#This Row],[TOTAL]]/1.21</f>
        <v>0</v>
      </c>
      <c r="I1175" s="64">
        <f>ventas_b_mes1255[[#This Row],[IMPORTE NETO]]*0.21</f>
        <v>0</v>
      </c>
      <c r="J1175" s="140"/>
      <c r="K1175" s="140"/>
      <c r="L1175" s="140"/>
      <c r="M1175" s="59"/>
    </row>
    <row r="1176" spans="2:13" x14ac:dyDescent="0.25">
      <c r="B1176" s="134"/>
      <c r="C1176" s="41"/>
      <c r="D1176" s="136"/>
      <c r="E1176" s="137"/>
      <c r="F1176" s="138"/>
      <c r="G1176" s="1" t="str">
        <f>IFERROR(IF(ventas_b_mes1255[[#This Row],[CUIT]]="","-",VLOOKUP(ventas_b_mes1255[[#This Row],[CUIT]],Lista_CUIT[#All],2,0)),"CUIT NO CARGADO")</f>
        <v>-</v>
      </c>
      <c r="H1176" s="99">
        <f>ventas_b_mes1255[[#This Row],[TOTAL]]/1.21</f>
        <v>0</v>
      </c>
      <c r="I1176" s="64">
        <f>ventas_b_mes1255[[#This Row],[IMPORTE NETO]]*0.21</f>
        <v>0</v>
      </c>
      <c r="J1176" s="140"/>
      <c r="K1176" s="140"/>
      <c r="L1176" s="140"/>
      <c r="M1176" s="59"/>
    </row>
    <row r="1177" spans="2:13" x14ac:dyDescent="0.25">
      <c r="B1177" s="134"/>
      <c r="C1177" s="41"/>
      <c r="D1177" s="136"/>
      <c r="E1177" s="137"/>
      <c r="F1177" s="138"/>
      <c r="G1177" s="1" t="str">
        <f>IFERROR(IF(ventas_b_mes1255[[#This Row],[CUIT]]="","-",VLOOKUP(ventas_b_mes1255[[#This Row],[CUIT]],Lista_CUIT[#All],2,0)),"CUIT NO CARGADO")</f>
        <v>-</v>
      </c>
      <c r="H1177" s="99">
        <f>ventas_b_mes1255[[#This Row],[TOTAL]]/1.21</f>
        <v>0</v>
      </c>
      <c r="I1177" s="64">
        <f>ventas_b_mes1255[[#This Row],[IMPORTE NETO]]*0.21</f>
        <v>0</v>
      </c>
      <c r="J1177" s="140"/>
      <c r="K1177" s="140"/>
      <c r="L1177" s="140"/>
      <c r="M1177" s="59"/>
    </row>
    <row r="1178" spans="2:13" x14ac:dyDescent="0.25">
      <c r="B1178" s="134"/>
      <c r="C1178" s="41"/>
      <c r="D1178" s="136"/>
      <c r="E1178" s="137"/>
      <c r="F1178" s="138"/>
      <c r="G1178" s="1" t="str">
        <f>IFERROR(IF(ventas_b_mes1255[[#This Row],[CUIT]]="","-",VLOOKUP(ventas_b_mes1255[[#This Row],[CUIT]],Lista_CUIT[#All],2,0)),"CUIT NO CARGADO")</f>
        <v>-</v>
      </c>
      <c r="H1178" s="99">
        <f>ventas_b_mes1255[[#This Row],[TOTAL]]/1.21</f>
        <v>0</v>
      </c>
      <c r="I1178" s="64">
        <f>ventas_b_mes1255[[#This Row],[IMPORTE NETO]]*0.21</f>
        <v>0</v>
      </c>
      <c r="J1178" s="140"/>
      <c r="K1178" s="140"/>
      <c r="L1178" s="140"/>
      <c r="M1178" s="59"/>
    </row>
    <row r="1179" spans="2:13" x14ac:dyDescent="0.25">
      <c r="B1179" s="134"/>
      <c r="C1179" s="41"/>
      <c r="D1179" s="136"/>
      <c r="E1179" s="137"/>
      <c r="F1179" s="138"/>
      <c r="G1179" s="1" t="str">
        <f>IFERROR(IF(ventas_b_mes1255[[#This Row],[CUIT]]="","-",VLOOKUP(ventas_b_mes1255[[#This Row],[CUIT]],Lista_CUIT[#All],2,0)),"CUIT NO CARGADO")</f>
        <v>-</v>
      </c>
      <c r="H1179" s="99">
        <f>ventas_b_mes1255[[#This Row],[TOTAL]]/1.21</f>
        <v>0</v>
      </c>
      <c r="I1179" s="64">
        <f>ventas_b_mes1255[[#This Row],[IMPORTE NETO]]*0.21</f>
        <v>0</v>
      </c>
      <c r="J1179" s="140"/>
      <c r="K1179" s="140"/>
      <c r="L1179" s="140"/>
      <c r="M1179" s="59"/>
    </row>
    <row r="1180" spans="2:13" x14ac:dyDescent="0.25">
      <c r="B1180" s="134"/>
      <c r="C1180" s="41"/>
      <c r="D1180" s="136"/>
      <c r="E1180" s="137"/>
      <c r="F1180" s="138"/>
      <c r="G1180" s="1" t="str">
        <f>IFERROR(IF(ventas_b_mes1255[[#This Row],[CUIT]]="","-",VLOOKUP(ventas_b_mes1255[[#This Row],[CUIT]],Lista_CUIT[#All],2,0)),"CUIT NO CARGADO")</f>
        <v>-</v>
      </c>
      <c r="H1180" s="99">
        <f>ventas_b_mes1255[[#This Row],[TOTAL]]/1.21</f>
        <v>0</v>
      </c>
      <c r="I1180" s="64">
        <f>ventas_b_mes1255[[#This Row],[IMPORTE NETO]]*0.21</f>
        <v>0</v>
      </c>
      <c r="J1180" s="140"/>
      <c r="K1180" s="140"/>
      <c r="L1180" s="140"/>
      <c r="M1180" s="59"/>
    </row>
    <row r="1181" spans="2:13" x14ac:dyDescent="0.25">
      <c r="B1181" s="134"/>
      <c r="C1181" s="41"/>
      <c r="D1181" s="136"/>
      <c r="E1181" s="137"/>
      <c r="F1181" s="138"/>
      <c r="G1181" s="1" t="str">
        <f>IFERROR(IF(ventas_b_mes1255[[#This Row],[CUIT]]="","-",VLOOKUP(ventas_b_mes1255[[#This Row],[CUIT]],Lista_CUIT[#All],2,0)),"CUIT NO CARGADO")</f>
        <v>-</v>
      </c>
      <c r="H1181" s="99">
        <f>ventas_b_mes1255[[#This Row],[TOTAL]]/1.21</f>
        <v>0</v>
      </c>
      <c r="I1181" s="64">
        <f>ventas_b_mes1255[[#This Row],[IMPORTE NETO]]*0.21</f>
        <v>0</v>
      </c>
      <c r="J1181" s="140"/>
      <c r="K1181" s="140"/>
      <c r="L1181" s="140"/>
      <c r="M1181" s="59"/>
    </row>
    <row r="1182" spans="2:13" x14ac:dyDescent="0.25">
      <c r="B1182" s="134"/>
      <c r="C1182" s="41"/>
      <c r="D1182" s="136"/>
      <c r="E1182" s="137"/>
      <c r="F1182" s="138"/>
      <c r="G1182" s="1" t="str">
        <f>IFERROR(IF(ventas_b_mes1255[[#This Row],[CUIT]]="","-",VLOOKUP(ventas_b_mes1255[[#This Row],[CUIT]],Lista_CUIT[#All],2,0)),"CUIT NO CARGADO")</f>
        <v>-</v>
      </c>
      <c r="H1182" s="99">
        <f>ventas_b_mes1255[[#This Row],[TOTAL]]/1.21</f>
        <v>0</v>
      </c>
      <c r="I1182" s="64">
        <f>ventas_b_mes1255[[#This Row],[IMPORTE NETO]]*0.21</f>
        <v>0</v>
      </c>
      <c r="J1182" s="140"/>
      <c r="K1182" s="140"/>
      <c r="L1182" s="140"/>
      <c r="M1182" s="59"/>
    </row>
    <row r="1183" spans="2:13" x14ac:dyDescent="0.25">
      <c r="B1183" s="134"/>
      <c r="C1183" s="41"/>
      <c r="D1183" s="136"/>
      <c r="E1183" s="137"/>
      <c r="F1183" s="138"/>
      <c r="G1183" s="1" t="str">
        <f>IFERROR(IF(ventas_b_mes1255[[#This Row],[CUIT]]="","-",VLOOKUP(ventas_b_mes1255[[#This Row],[CUIT]],Lista_CUIT[#All],2,0)),"CUIT NO CARGADO")</f>
        <v>-</v>
      </c>
      <c r="H1183" s="99">
        <f>ventas_b_mes1255[[#This Row],[TOTAL]]/1.21</f>
        <v>0</v>
      </c>
      <c r="I1183" s="64">
        <f>ventas_b_mes1255[[#This Row],[IMPORTE NETO]]*0.21</f>
        <v>0</v>
      </c>
      <c r="J1183" s="140"/>
      <c r="K1183" s="140"/>
      <c r="L1183" s="140"/>
      <c r="M1183" s="59"/>
    </row>
    <row r="1184" spans="2:13" x14ac:dyDescent="0.25">
      <c r="B1184" s="134"/>
      <c r="C1184" s="41"/>
      <c r="D1184" s="136"/>
      <c r="E1184" s="137"/>
      <c r="F1184" s="138"/>
      <c r="G1184" s="1" t="str">
        <f>IFERROR(IF(ventas_b_mes1255[[#This Row],[CUIT]]="","-",VLOOKUP(ventas_b_mes1255[[#This Row],[CUIT]],Lista_CUIT[#All],2,0)),"CUIT NO CARGADO")</f>
        <v>-</v>
      </c>
      <c r="H1184" s="99">
        <f>ventas_b_mes1255[[#This Row],[TOTAL]]/1.21</f>
        <v>0</v>
      </c>
      <c r="I1184" s="64">
        <f>ventas_b_mes1255[[#This Row],[IMPORTE NETO]]*0.21</f>
        <v>0</v>
      </c>
      <c r="J1184" s="140"/>
      <c r="K1184" s="140"/>
      <c r="L1184" s="140"/>
      <c r="M1184" s="59"/>
    </row>
    <row r="1185" spans="2:13" x14ac:dyDescent="0.25">
      <c r="B1185" s="134"/>
      <c r="C1185" s="41"/>
      <c r="D1185" s="136"/>
      <c r="E1185" s="137"/>
      <c r="F1185" s="138"/>
      <c r="G1185" s="1" t="str">
        <f>IFERROR(IF(ventas_b_mes1255[[#This Row],[CUIT]]="","-",VLOOKUP(ventas_b_mes1255[[#This Row],[CUIT]],Lista_CUIT[#All],2,0)),"CUIT NO CARGADO")</f>
        <v>-</v>
      </c>
      <c r="H1185" s="99">
        <f>ventas_b_mes1255[[#This Row],[TOTAL]]/1.21</f>
        <v>0</v>
      </c>
      <c r="I1185" s="64">
        <f>ventas_b_mes1255[[#This Row],[IMPORTE NETO]]*0.21</f>
        <v>0</v>
      </c>
      <c r="J1185" s="140"/>
      <c r="K1185" s="140"/>
      <c r="L1185" s="140"/>
      <c r="M1185" s="59"/>
    </row>
    <row r="1186" spans="2:13" x14ac:dyDescent="0.25">
      <c r="B1186" s="134"/>
      <c r="C1186" s="41"/>
      <c r="D1186" s="136"/>
      <c r="E1186" s="137"/>
      <c r="F1186" s="138"/>
      <c r="G1186" s="1" t="str">
        <f>IFERROR(IF(ventas_b_mes1255[[#This Row],[CUIT]]="","-",VLOOKUP(ventas_b_mes1255[[#This Row],[CUIT]],Lista_CUIT[#All],2,0)),"CUIT NO CARGADO")</f>
        <v>-</v>
      </c>
      <c r="H1186" s="99">
        <f>ventas_b_mes1255[[#This Row],[TOTAL]]/1.21</f>
        <v>0</v>
      </c>
      <c r="I1186" s="64">
        <f>ventas_b_mes1255[[#This Row],[IMPORTE NETO]]*0.21</f>
        <v>0</v>
      </c>
      <c r="J1186" s="140"/>
      <c r="K1186" s="140"/>
      <c r="L1186" s="140"/>
      <c r="M1186" s="59"/>
    </row>
    <row r="1187" spans="2:13" x14ac:dyDescent="0.25">
      <c r="B1187" s="134"/>
      <c r="C1187" s="41"/>
      <c r="D1187" s="136"/>
      <c r="E1187" s="137"/>
      <c r="F1187" s="138"/>
      <c r="G1187" s="1" t="str">
        <f>IFERROR(IF(ventas_b_mes1255[[#This Row],[CUIT]]="","-",VLOOKUP(ventas_b_mes1255[[#This Row],[CUIT]],Lista_CUIT[#All],2,0)),"CUIT NO CARGADO")</f>
        <v>-</v>
      </c>
      <c r="H1187" s="99">
        <f>ventas_b_mes1255[[#This Row],[TOTAL]]/1.21</f>
        <v>0</v>
      </c>
      <c r="I1187" s="64">
        <f>ventas_b_mes1255[[#This Row],[IMPORTE NETO]]*0.21</f>
        <v>0</v>
      </c>
      <c r="J1187" s="140"/>
      <c r="K1187" s="140"/>
      <c r="L1187" s="140"/>
      <c r="M1187" s="59"/>
    </row>
    <row r="1188" spans="2:13" x14ac:dyDescent="0.25">
      <c r="B1188" s="134"/>
      <c r="C1188" s="41"/>
      <c r="D1188" s="136"/>
      <c r="E1188" s="137"/>
      <c r="F1188" s="138"/>
      <c r="G1188" s="1" t="str">
        <f>IFERROR(IF(ventas_b_mes1255[[#This Row],[CUIT]]="","-",VLOOKUP(ventas_b_mes1255[[#This Row],[CUIT]],Lista_CUIT[#All],2,0)),"CUIT NO CARGADO")</f>
        <v>-</v>
      </c>
      <c r="H1188" s="99">
        <f>ventas_b_mes1255[[#This Row],[TOTAL]]/1.21</f>
        <v>0</v>
      </c>
      <c r="I1188" s="64">
        <f>ventas_b_mes1255[[#This Row],[IMPORTE NETO]]*0.21</f>
        <v>0</v>
      </c>
      <c r="J1188" s="140"/>
      <c r="K1188" s="140"/>
      <c r="L1188" s="140"/>
      <c r="M1188" s="59"/>
    </row>
    <row r="1189" spans="2:13" x14ac:dyDescent="0.25">
      <c r="B1189" s="134"/>
      <c r="C1189" s="41"/>
      <c r="D1189" s="136"/>
      <c r="E1189" s="137"/>
      <c r="F1189" s="138"/>
      <c r="G1189" s="1" t="str">
        <f>IFERROR(IF(ventas_b_mes1255[[#This Row],[CUIT]]="","-",VLOOKUP(ventas_b_mes1255[[#This Row],[CUIT]],Lista_CUIT[#All],2,0)),"CUIT NO CARGADO")</f>
        <v>-</v>
      </c>
      <c r="H1189" s="99">
        <f>ventas_b_mes1255[[#This Row],[TOTAL]]/1.21</f>
        <v>0</v>
      </c>
      <c r="I1189" s="64">
        <f>ventas_b_mes1255[[#This Row],[IMPORTE NETO]]*0.21</f>
        <v>0</v>
      </c>
      <c r="J1189" s="140"/>
      <c r="K1189" s="140"/>
      <c r="L1189" s="140"/>
      <c r="M1189" s="59"/>
    </row>
    <row r="1190" spans="2:13" x14ac:dyDescent="0.25">
      <c r="B1190" s="134"/>
      <c r="C1190" s="41"/>
      <c r="D1190" s="136"/>
      <c r="E1190" s="137"/>
      <c r="F1190" s="138"/>
      <c r="G1190" s="1" t="str">
        <f>IFERROR(IF(ventas_b_mes1255[[#This Row],[CUIT]]="","-",VLOOKUP(ventas_b_mes1255[[#This Row],[CUIT]],Lista_CUIT[#All],2,0)),"CUIT NO CARGADO")</f>
        <v>-</v>
      </c>
      <c r="H1190" s="99">
        <f>ventas_b_mes1255[[#This Row],[TOTAL]]/1.21</f>
        <v>0</v>
      </c>
      <c r="I1190" s="64">
        <f>ventas_b_mes1255[[#This Row],[IMPORTE NETO]]*0.21</f>
        <v>0</v>
      </c>
      <c r="J1190" s="140"/>
      <c r="K1190" s="140"/>
      <c r="L1190" s="140"/>
      <c r="M1190" s="59"/>
    </row>
    <row r="1191" spans="2:13" x14ac:dyDescent="0.25">
      <c r="B1191" s="134"/>
      <c r="C1191" s="41"/>
      <c r="D1191" s="136"/>
      <c r="E1191" s="137"/>
      <c r="F1191" s="138"/>
      <c r="G1191" s="1" t="str">
        <f>IFERROR(IF(ventas_b_mes1255[[#This Row],[CUIT]]="","-",VLOOKUP(ventas_b_mes1255[[#This Row],[CUIT]],Lista_CUIT[#All],2,0)),"CUIT NO CARGADO")</f>
        <v>-</v>
      </c>
      <c r="H1191" s="99">
        <f>ventas_b_mes1255[[#This Row],[TOTAL]]/1.21</f>
        <v>0</v>
      </c>
      <c r="I1191" s="64">
        <f>ventas_b_mes1255[[#This Row],[IMPORTE NETO]]*0.21</f>
        <v>0</v>
      </c>
      <c r="J1191" s="140"/>
      <c r="K1191" s="140"/>
      <c r="L1191" s="140"/>
      <c r="M1191" s="59"/>
    </row>
    <row r="1192" spans="2:13" x14ac:dyDescent="0.25">
      <c r="B1192" s="134"/>
      <c r="C1192" s="41"/>
      <c r="D1192" s="136"/>
      <c r="E1192" s="137"/>
      <c r="F1192" s="138"/>
      <c r="G1192" s="1" t="str">
        <f>IFERROR(IF(ventas_b_mes1255[[#This Row],[CUIT]]="","-",VLOOKUP(ventas_b_mes1255[[#This Row],[CUIT]],Lista_CUIT[#All],2,0)),"CUIT NO CARGADO")</f>
        <v>-</v>
      </c>
      <c r="H1192" s="99">
        <f>ventas_b_mes1255[[#This Row],[TOTAL]]/1.21</f>
        <v>0</v>
      </c>
      <c r="I1192" s="64">
        <f>ventas_b_mes1255[[#This Row],[IMPORTE NETO]]*0.21</f>
        <v>0</v>
      </c>
      <c r="J1192" s="140"/>
      <c r="K1192" s="140"/>
      <c r="L1192" s="140"/>
      <c r="M1192" s="59"/>
    </row>
    <row r="1193" spans="2:13" x14ac:dyDescent="0.25">
      <c r="B1193" s="134"/>
      <c r="C1193" s="41"/>
      <c r="D1193" s="136"/>
      <c r="E1193" s="137"/>
      <c r="F1193" s="138"/>
      <c r="G1193" s="1" t="str">
        <f>IFERROR(IF(ventas_b_mes1255[[#This Row],[CUIT]]="","-",VLOOKUP(ventas_b_mes1255[[#This Row],[CUIT]],Lista_CUIT[#All],2,0)),"CUIT NO CARGADO")</f>
        <v>-</v>
      </c>
      <c r="H1193" s="99">
        <f>ventas_b_mes1255[[#This Row],[TOTAL]]/1.21</f>
        <v>0</v>
      </c>
      <c r="I1193" s="64">
        <f>ventas_b_mes1255[[#This Row],[IMPORTE NETO]]*0.21</f>
        <v>0</v>
      </c>
      <c r="J1193" s="140"/>
      <c r="K1193" s="140"/>
      <c r="L1193" s="140"/>
      <c r="M1193" s="59"/>
    </row>
    <row r="1194" spans="2:13" x14ac:dyDescent="0.25">
      <c r="B1194" s="134"/>
      <c r="C1194" s="41"/>
      <c r="D1194" s="136"/>
      <c r="E1194" s="137"/>
      <c r="F1194" s="138"/>
      <c r="G1194" s="1" t="str">
        <f>IFERROR(IF(ventas_b_mes1255[[#This Row],[CUIT]]="","-",VLOOKUP(ventas_b_mes1255[[#This Row],[CUIT]],Lista_CUIT[#All],2,0)),"CUIT NO CARGADO")</f>
        <v>-</v>
      </c>
      <c r="H1194" s="99">
        <f>ventas_b_mes1255[[#This Row],[TOTAL]]/1.21</f>
        <v>0</v>
      </c>
      <c r="I1194" s="64">
        <f>ventas_b_mes1255[[#This Row],[IMPORTE NETO]]*0.21</f>
        <v>0</v>
      </c>
      <c r="J1194" s="140"/>
      <c r="K1194" s="140"/>
      <c r="L1194" s="140"/>
      <c r="M1194" s="59"/>
    </row>
    <row r="1195" spans="2:13" x14ac:dyDescent="0.25">
      <c r="B1195" s="134"/>
      <c r="C1195" s="41"/>
      <c r="D1195" s="136"/>
      <c r="E1195" s="137"/>
      <c r="F1195" s="138"/>
      <c r="G1195" s="1" t="str">
        <f>IFERROR(IF(ventas_b_mes1255[[#This Row],[CUIT]]="","-",VLOOKUP(ventas_b_mes1255[[#This Row],[CUIT]],Lista_CUIT[#All],2,0)),"CUIT NO CARGADO")</f>
        <v>-</v>
      </c>
      <c r="H1195" s="99">
        <f>ventas_b_mes1255[[#This Row],[TOTAL]]/1.21</f>
        <v>0</v>
      </c>
      <c r="I1195" s="64">
        <f>ventas_b_mes1255[[#This Row],[IMPORTE NETO]]*0.21</f>
        <v>0</v>
      </c>
      <c r="J1195" s="140"/>
      <c r="K1195" s="140"/>
      <c r="L1195" s="140"/>
      <c r="M1195" s="59"/>
    </row>
    <row r="1196" spans="2:13" x14ac:dyDescent="0.25">
      <c r="B1196" s="134"/>
      <c r="C1196" s="41"/>
      <c r="D1196" s="136"/>
      <c r="E1196" s="137"/>
      <c r="F1196" s="138"/>
      <c r="G1196" s="1" t="str">
        <f>IFERROR(IF(ventas_b_mes1255[[#This Row],[CUIT]]="","-",VLOOKUP(ventas_b_mes1255[[#This Row],[CUIT]],Lista_CUIT[#All],2,0)),"CUIT NO CARGADO")</f>
        <v>-</v>
      </c>
      <c r="H1196" s="99">
        <f>ventas_b_mes1255[[#This Row],[TOTAL]]/1.21</f>
        <v>0</v>
      </c>
      <c r="I1196" s="64">
        <f>ventas_b_mes1255[[#This Row],[IMPORTE NETO]]*0.21</f>
        <v>0</v>
      </c>
      <c r="J1196" s="140"/>
      <c r="K1196" s="140"/>
      <c r="L1196" s="140"/>
      <c r="M1196" s="59"/>
    </row>
    <row r="1197" spans="2:13" x14ac:dyDescent="0.25">
      <c r="B1197" s="134"/>
      <c r="C1197" s="41"/>
      <c r="D1197" s="136"/>
      <c r="E1197" s="137"/>
      <c r="F1197" s="138"/>
      <c r="G1197" s="1" t="str">
        <f>IFERROR(IF(ventas_b_mes1255[[#This Row],[CUIT]]="","-",VLOOKUP(ventas_b_mes1255[[#This Row],[CUIT]],Lista_CUIT[#All],2,0)),"CUIT NO CARGADO")</f>
        <v>-</v>
      </c>
      <c r="H1197" s="99">
        <f>ventas_b_mes1255[[#This Row],[TOTAL]]/1.21</f>
        <v>0</v>
      </c>
      <c r="I1197" s="64">
        <f>ventas_b_mes1255[[#This Row],[IMPORTE NETO]]*0.21</f>
        <v>0</v>
      </c>
      <c r="J1197" s="140"/>
      <c r="K1197" s="140"/>
      <c r="L1197" s="140"/>
      <c r="M1197" s="59"/>
    </row>
    <row r="1198" spans="2:13" x14ac:dyDescent="0.25">
      <c r="B1198" s="134"/>
      <c r="C1198" s="41"/>
      <c r="D1198" s="136"/>
      <c r="E1198" s="137"/>
      <c r="F1198" s="138"/>
      <c r="G1198" s="1" t="str">
        <f>IFERROR(IF(ventas_b_mes1255[[#This Row],[CUIT]]="","-",VLOOKUP(ventas_b_mes1255[[#This Row],[CUIT]],Lista_CUIT[#All],2,0)),"CUIT NO CARGADO")</f>
        <v>-</v>
      </c>
      <c r="H1198" s="99">
        <f>ventas_b_mes1255[[#This Row],[TOTAL]]/1.21</f>
        <v>0</v>
      </c>
      <c r="I1198" s="64">
        <f>ventas_b_mes1255[[#This Row],[IMPORTE NETO]]*0.21</f>
        <v>0</v>
      </c>
      <c r="J1198" s="140"/>
      <c r="K1198" s="140"/>
      <c r="L1198" s="140"/>
      <c r="M1198" s="59"/>
    </row>
    <row r="1199" spans="2:13" x14ac:dyDescent="0.25">
      <c r="B1199" s="134"/>
      <c r="C1199" s="41"/>
      <c r="D1199" s="136"/>
      <c r="E1199" s="137"/>
      <c r="F1199" s="138"/>
      <c r="G1199" s="1" t="str">
        <f>IFERROR(IF(ventas_b_mes1255[[#This Row],[CUIT]]="","-",VLOOKUP(ventas_b_mes1255[[#This Row],[CUIT]],Lista_CUIT[#All],2,0)),"CUIT NO CARGADO")</f>
        <v>-</v>
      </c>
      <c r="H1199" s="99">
        <f>ventas_b_mes1255[[#This Row],[TOTAL]]/1.21</f>
        <v>0</v>
      </c>
      <c r="I1199" s="64">
        <f>ventas_b_mes1255[[#This Row],[IMPORTE NETO]]*0.21</f>
        <v>0</v>
      </c>
      <c r="J1199" s="140"/>
      <c r="K1199" s="140"/>
      <c r="L1199" s="140"/>
      <c r="M1199" s="59"/>
    </row>
    <row r="1200" spans="2:13" x14ac:dyDescent="0.25">
      <c r="B1200" s="134"/>
      <c r="C1200" s="41"/>
      <c r="D1200" s="136"/>
      <c r="E1200" s="137"/>
      <c r="F1200" s="138"/>
      <c r="G1200" s="1" t="str">
        <f>IFERROR(IF(ventas_b_mes1255[[#This Row],[CUIT]]="","-",VLOOKUP(ventas_b_mes1255[[#This Row],[CUIT]],Lista_CUIT[#All],2,0)),"CUIT NO CARGADO")</f>
        <v>-</v>
      </c>
      <c r="H1200" s="99">
        <f>ventas_b_mes1255[[#This Row],[TOTAL]]/1.21</f>
        <v>0</v>
      </c>
      <c r="I1200" s="64">
        <f>ventas_b_mes1255[[#This Row],[IMPORTE NETO]]*0.21</f>
        <v>0</v>
      </c>
      <c r="J1200" s="140"/>
      <c r="K1200" s="140"/>
      <c r="L1200" s="140"/>
      <c r="M1200" s="59"/>
    </row>
    <row r="1201" spans="2:13" x14ac:dyDescent="0.25">
      <c r="B1201" s="134"/>
      <c r="C1201" s="41"/>
      <c r="D1201" s="136"/>
      <c r="E1201" s="137"/>
      <c r="F1201" s="138"/>
      <c r="G1201" s="1" t="str">
        <f>IFERROR(IF(ventas_b_mes1255[[#This Row],[CUIT]]="","-",VLOOKUP(ventas_b_mes1255[[#This Row],[CUIT]],Lista_CUIT[#All],2,0)),"CUIT NO CARGADO")</f>
        <v>-</v>
      </c>
      <c r="H1201" s="99">
        <f>ventas_b_mes1255[[#This Row],[TOTAL]]/1.21</f>
        <v>0</v>
      </c>
      <c r="I1201" s="64">
        <f>ventas_b_mes1255[[#This Row],[IMPORTE NETO]]*0.21</f>
        <v>0</v>
      </c>
      <c r="J1201" s="140"/>
      <c r="K1201" s="140"/>
      <c r="L1201" s="140"/>
      <c r="M1201" s="59"/>
    </row>
    <row r="1202" spans="2:13" x14ac:dyDescent="0.25">
      <c r="B1202" s="134"/>
      <c r="C1202" s="41"/>
      <c r="D1202" s="136"/>
      <c r="E1202" s="137"/>
      <c r="F1202" s="138"/>
      <c r="G1202" s="1" t="str">
        <f>IFERROR(IF(ventas_b_mes1255[[#This Row],[CUIT]]="","-",VLOOKUP(ventas_b_mes1255[[#This Row],[CUIT]],Lista_CUIT[#All],2,0)),"CUIT NO CARGADO")</f>
        <v>-</v>
      </c>
      <c r="H1202" s="99">
        <f>ventas_b_mes1255[[#This Row],[TOTAL]]/1.21</f>
        <v>0</v>
      </c>
      <c r="I1202" s="64">
        <f>ventas_b_mes1255[[#This Row],[IMPORTE NETO]]*0.21</f>
        <v>0</v>
      </c>
      <c r="J1202" s="140"/>
      <c r="K1202" s="140"/>
      <c r="L1202" s="140"/>
      <c r="M1202" s="59"/>
    </row>
    <row r="1203" spans="2:13" x14ac:dyDescent="0.25">
      <c r="B1203" s="134"/>
      <c r="C1203" s="41"/>
      <c r="D1203" s="136"/>
      <c r="E1203" s="137"/>
      <c r="F1203" s="138"/>
      <c r="G1203" s="1" t="str">
        <f>IFERROR(IF(ventas_b_mes1255[[#This Row],[CUIT]]="","-",VLOOKUP(ventas_b_mes1255[[#This Row],[CUIT]],Lista_CUIT[#All],2,0)),"CUIT NO CARGADO")</f>
        <v>-</v>
      </c>
      <c r="H1203" s="99">
        <f>ventas_b_mes1255[[#This Row],[TOTAL]]/1.21</f>
        <v>0</v>
      </c>
      <c r="I1203" s="64">
        <f>ventas_b_mes1255[[#This Row],[IMPORTE NETO]]*0.21</f>
        <v>0</v>
      </c>
      <c r="J1203" s="140"/>
      <c r="K1203" s="140"/>
      <c r="L1203" s="140"/>
      <c r="M1203" s="59"/>
    </row>
    <row r="1204" spans="2:13" x14ac:dyDescent="0.25">
      <c r="B1204" s="134"/>
      <c r="C1204" s="41"/>
      <c r="D1204" s="136"/>
      <c r="E1204" s="137"/>
      <c r="F1204" s="138"/>
      <c r="G1204" s="1" t="str">
        <f>IFERROR(IF(ventas_b_mes1255[[#This Row],[CUIT]]="","-",VLOOKUP(ventas_b_mes1255[[#This Row],[CUIT]],Lista_CUIT[#All],2,0)),"CUIT NO CARGADO")</f>
        <v>-</v>
      </c>
      <c r="H1204" s="99">
        <f>ventas_b_mes1255[[#This Row],[TOTAL]]/1.21</f>
        <v>0</v>
      </c>
      <c r="I1204" s="64">
        <f>ventas_b_mes1255[[#This Row],[IMPORTE NETO]]*0.21</f>
        <v>0</v>
      </c>
      <c r="J1204" s="140"/>
      <c r="K1204" s="140"/>
      <c r="L1204" s="140"/>
      <c r="M1204" s="59"/>
    </row>
    <row r="1205" spans="2:13" x14ac:dyDescent="0.25">
      <c r="B1205" s="134"/>
      <c r="C1205" s="41"/>
      <c r="D1205" s="136"/>
      <c r="E1205" s="137"/>
      <c r="F1205" s="138"/>
      <c r="G1205" s="1" t="str">
        <f>IFERROR(IF(ventas_b_mes1255[[#This Row],[CUIT]]="","-",VLOOKUP(ventas_b_mes1255[[#This Row],[CUIT]],Lista_CUIT[#All],2,0)),"CUIT NO CARGADO")</f>
        <v>-</v>
      </c>
      <c r="H1205" s="99">
        <f>ventas_b_mes1255[[#This Row],[TOTAL]]/1.21</f>
        <v>0</v>
      </c>
      <c r="I1205" s="64">
        <f>ventas_b_mes1255[[#This Row],[IMPORTE NETO]]*0.21</f>
        <v>0</v>
      </c>
      <c r="J1205" s="140"/>
      <c r="K1205" s="140"/>
      <c r="L1205" s="140"/>
      <c r="M1205" s="59"/>
    </row>
    <row r="1206" spans="2:13" x14ac:dyDescent="0.25">
      <c r="B1206" s="134"/>
      <c r="C1206" s="41"/>
      <c r="D1206" s="136"/>
      <c r="E1206" s="137"/>
      <c r="F1206" s="138"/>
      <c r="G1206" s="1" t="str">
        <f>IFERROR(IF(ventas_b_mes1255[[#This Row],[CUIT]]="","-",VLOOKUP(ventas_b_mes1255[[#This Row],[CUIT]],Lista_CUIT[#All],2,0)),"CUIT NO CARGADO")</f>
        <v>-</v>
      </c>
      <c r="H1206" s="99">
        <f>ventas_b_mes1255[[#This Row],[TOTAL]]/1.21</f>
        <v>0</v>
      </c>
      <c r="I1206" s="64">
        <f>ventas_b_mes1255[[#This Row],[IMPORTE NETO]]*0.21</f>
        <v>0</v>
      </c>
      <c r="J1206" s="140"/>
      <c r="K1206" s="140"/>
      <c r="L1206" s="140"/>
      <c r="M1206" s="59"/>
    </row>
    <row r="1207" spans="2:13" x14ac:dyDescent="0.25">
      <c r="B1207" s="134"/>
      <c r="C1207" s="41"/>
      <c r="D1207" s="136"/>
      <c r="E1207" s="137"/>
      <c r="F1207" s="138"/>
      <c r="G1207" s="1" t="str">
        <f>IFERROR(IF(ventas_b_mes1255[[#This Row],[CUIT]]="","-",VLOOKUP(ventas_b_mes1255[[#This Row],[CUIT]],Lista_CUIT[#All],2,0)),"CUIT NO CARGADO")</f>
        <v>-</v>
      </c>
      <c r="H1207" s="99">
        <f>ventas_b_mes1255[[#This Row],[TOTAL]]/1.21</f>
        <v>0</v>
      </c>
      <c r="I1207" s="64">
        <f>ventas_b_mes1255[[#This Row],[IMPORTE NETO]]*0.21</f>
        <v>0</v>
      </c>
      <c r="J1207" s="140"/>
      <c r="K1207" s="140"/>
      <c r="L1207" s="140"/>
      <c r="M1207" s="59"/>
    </row>
    <row r="1208" spans="2:13" x14ac:dyDescent="0.25">
      <c r="B1208" s="134"/>
      <c r="C1208" s="41"/>
      <c r="D1208" s="136"/>
      <c r="E1208" s="137"/>
      <c r="F1208" s="138"/>
      <c r="G1208" s="1" t="str">
        <f>IFERROR(IF(ventas_b_mes1255[[#This Row],[CUIT]]="","-",VLOOKUP(ventas_b_mes1255[[#This Row],[CUIT]],Lista_CUIT[#All],2,0)),"CUIT NO CARGADO")</f>
        <v>-</v>
      </c>
      <c r="H1208" s="99">
        <f>ventas_b_mes1255[[#This Row],[TOTAL]]/1.21</f>
        <v>0</v>
      </c>
      <c r="I1208" s="64">
        <f>ventas_b_mes1255[[#This Row],[IMPORTE NETO]]*0.21</f>
        <v>0</v>
      </c>
      <c r="J1208" s="140"/>
      <c r="K1208" s="140"/>
      <c r="L1208" s="140"/>
      <c r="M1208" s="59"/>
    </row>
    <row r="1209" spans="2:13" x14ac:dyDescent="0.25">
      <c r="B1209" s="134"/>
      <c r="C1209" s="41"/>
      <c r="D1209" s="136"/>
      <c r="E1209" s="137"/>
      <c r="F1209" s="138"/>
      <c r="G1209" s="1" t="str">
        <f>IFERROR(IF(ventas_b_mes1255[[#This Row],[CUIT]]="","-",VLOOKUP(ventas_b_mes1255[[#This Row],[CUIT]],Lista_CUIT[#All],2,0)),"CUIT NO CARGADO")</f>
        <v>-</v>
      </c>
      <c r="H1209" s="99">
        <f>ventas_b_mes1255[[#This Row],[TOTAL]]/1.21</f>
        <v>0</v>
      </c>
      <c r="I1209" s="64">
        <f>ventas_b_mes1255[[#This Row],[IMPORTE NETO]]*0.21</f>
        <v>0</v>
      </c>
      <c r="J1209" s="140"/>
      <c r="K1209" s="140"/>
      <c r="L1209" s="140"/>
      <c r="M1209" s="59"/>
    </row>
    <row r="1210" spans="2:13" x14ac:dyDescent="0.25">
      <c r="B1210" s="134"/>
      <c r="C1210" s="41"/>
      <c r="D1210" s="136"/>
      <c r="E1210" s="137"/>
      <c r="F1210" s="138"/>
      <c r="G1210" s="1" t="str">
        <f>IFERROR(IF(ventas_b_mes1255[[#This Row],[CUIT]]="","-",VLOOKUP(ventas_b_mes1255[[#This Row],[CUIT]],Lista_CUIT[#All],2,0)),"CUIT NO CARGADO")</f>
        <v>-</v>
      </c>
      <c r="H1210" s="99">
        <f>ventas_b_mes1255[[#This Row],[TOTAL]]/1.21</f>
        <v>0</v>
      </c>
      <c r="I1210" s="64">
        <f>ventas_b_mes1255[[#This Row],[IMPORTE NETO]]*0.21</f>
        <v>0</v>
      </c>
      <c r="J1210" s="140"/>
      <c r="K1210" s="140"/>
      <c r="L1210" s="140"/>
      <c r="M1210" s="59"/>
    </row>
    <row r="1211" spans="2:13" x14ac:dyDescent="0.25">
      <c r="B1211" s="134"/>
      <c r="C1211" s="41"/>
      <c r="D1211" s="136"/>
      <c r="E1211" s="137"/>
      <c r="F1211" s="138"/>
      <c r="G1211" s="1" t="str">
        <f>IFERROR(IF(ventas_b_mes1255[[#This Row],[CUIT]]="","-",VLOOKUP(ventas_b_mes1255[[#This Row],[CUIT]],Lista_CUIT[#All],2,0)),"CUIT NO CARGADO")</f>
        <v>-</v>
      </c>
      <c r="H1211" s="99">
        <f>ventas_b_mes1255[[#This Row],[TOTAL]]/1.21</f>
        <v>0</v>
      </c>
      <c r="I1211" s="64">
        <f>ventas_b_mes1255[[#This Row],[IMPORTE NETO]]*0.21</f>
        <v>0</v>
      </c>
      <c r="J1211" s="140"/>
      <c r="K1211" s="140"/>
      <c r="L1211" s="140"/>
      <c r="M1211" s="59"/>
    </row>
    <row r="1212" spans="2:13" x14ac:dyDescent="0.25">
      <c r="B1212" s="134"/>
      <c r="C1212" s="41"/>
      <c r="D1212" s="136"/>
      <c r="E1212" s="137"/>
      <c r="F1212" s="138"/>
      <c r="G1212" s="1" t="str">
        <f>IFERROR(IF(ventas_b_mes1255[[#This Row],[CUIT]]="","-",VLOOKUP(ventas_b_mes1255[[#This Row],[CUIT]],Lista_CUIT[#All],2,0)),"CUIT NO CARGADO")</f>
        <v>-</v>
      </c>
      <c r="H1212" s="99">
        <f>ventas_b_mes1255[[#This Row],[TOTAL]]/1.21</f>
        <v>0</v>
      </c>
      <c r="I1212" s="64">
        <f>ventas_b_mes1255[[#This Row],[IMPORTE NETO]]*0.21</f>
        <v>0</v>
      </c>
      <c r="J1212" s="140"/>
      <c r="K1212" s="140"/>
      <c r="L1212" s="140"/>
      <c r="M1212" s="59"/>
    </row>
    <row r="1213" spans="2:13" x14ac:dyDescent="0.25">
      <c r="B1213" s="134"/>
      <c r="C1213" s="41"/>
      <c r="D1213" s="136"/>
      <c r="E1213" s="137"/>
      <c r="F1213" s="138"/>
      <c r="G1213" s="1" t="str">
        <f>IFERROR(IF(ventas_b_mes1255[[#This Row],[CUIT]]="","-",VLOOKUP(ventas_b_mes1255[[#This Row],[CUIT]],Lista_CUIT[#All],2,0)),"CUIT NO CARGADO")</f>
        <v>-</v>
      </c>
      <c r="H1213" s="99">
        <f>ventas_b_mes1255[[#This Row],[TOTAL]]/1.21</f>
        <v>0</v>
      </c>
      <c r="I1213" s="64">
        <f>ventas_b_mes1255[[#This Row],[IMPORTE NETO]]*0.21</f>
        <v>0</v>
      </c>
      <c r="J1213" s="140"/>
      <c r="K1213" s="140"/>
      <c r="L1213" s="140"/>
      <c r="M1213" s="59"/>
    </row>
    <row r="1214" spans="2:13" x14ac:dyDescent="0.25">
      <c r="B1214" s="134"/>
      <c r="C1214" s="41"/>
      <c r="D1214" s="136"/>
      <c r="E1214" s="137"/>
      <c r="F1214" s="138"/>
      <c r="G1214" s="1" t="str">
        <f>IFERROR(IF(ventas_b_mes1255[[#This Row],[CUIT]]="","-",VLOOKUP(ventas_b_mes1255[[#This Row],[CUIT]],Lista_CUIT[#All],2,0)),"CUIT NO CARGADO")</f>
        <v>-</v>
      </c>
      <c r="H1214" s="99">
        <f>ventas_b_mes1255[[#This Row],[TOTAL]]/1.21</f>
        <v>0</v>
      </c>
      <c r="I1214" s="64">
        <f>ventas_b_mes1255[[#This Row],[IMPORTE NETO]]*0.21</f>
        <v>0</v>
      </c>
      <c r="J1214" s="140"/>
      <c r="K1214" s="140"/>
      <c r="L1214" s="140"/>
      <c r="M1214" s="59"/>
    </row>
    <row r="1215" spans="2:13" x14ac:dyDescent="0.25">
      <c r="B1215" s="134"/>
      <c r="C1215" s="41"/>
      <c r="D1215" s="136"/>
      <c r="E1215" s="137"/>
      <c r="F1215" s="138"/>
      <c r="G1215" s="1" t="str">
        <f>IFERROR(IF(ventas_b_mes1255[[#This Row],[CUIT]]="","-",VLOOKUP(ventas_b_mes1255[[#This Row],[CUIT]],Lista_CUIT[#All],2,0)),"CUIT NO CARGADO")</f>
        <v>-</v>
      </c>
      <c r="H1215" s="99">
        <f>ventas_b_mes1255[[#This Row],[TOTAL]]/1.21</f>
        <v>0</v>
      </c>
      <c r="I1215" s="64">
        <f>ventas_b_mes1255[[#This Row],[IMPORTE NETO]]*0.21</f>
        <v>0</v>
      </c>
      <c r="J1215" s="140"/>
      <c r="K1215" s="140"/>
      <c r="L1215" s="140"/>
      <c r="M1215" s="59"/>
    </row>
    <row r="1216" spans="2:13" x14ac:dyDescent="0.25">
      <c r="B1216" s="134"/>
      <c r="C1216" s="41"/>
      <c r="D1216" s="136"/>
      <c r="E1216" s="137"/>
      <c r="F1216" s="138"/>
      <c r="G1216" s="1" t="str">
        <f>IFERROR(IF(ventas_b_mes1255[[#This Row],[CUIT]]="","-",VLOOKUP(ventas_b_mes1255[[#This Row],[CUIT]],Lista_CUIT[#All],2,0)),"CUIT NO CARGADO")</f>
        <v>-</v>
      </c>
      <c r="H1216" s="99">
        <f>ventas_b_mes1255[[#This Row],[TOTAL]]/1.21</f>
        <v>0</v>
      </c>
      <c r="I1216" s="64">
        <f>ventas_b_mes1255[[#This Row],[IMPORTE NETO]]*0.21</f>
        <v>0</v>
      </c>
      <c r="J1216" s="140"/>
      <c r="K1216" s="140"/>
      <c r="L1216" s="140"/>
      <c r="M1216" s="59"/>
    </row>
    <row r="1217" spans="2:13" x14ac:dyDescent="0.25">
      <c r="B1217" s="134"/>
      <c r="C1217" s="41"/>
      <c r="D1217" s="136"/>
      <c r="E1217" s="137"/>
      <c r="F1217" s="138"/>
      <c r="G1217" s="1" t="str">
        <f>IFERROR(IF(ventas_b_mes1255[[#This Row],[CUIT]]="","-",VLOOKUP(ventas_b_mes1255[[#This Row],[CUIT]],Lista_CUIT[#All],2,0)),"CUIT NO CARGADO")</f>
        <v>-</v>
      </c>
      <c r="H1217" s="99">
        <f>ventas_b_mes1255[[#This Row],[TOTAL]]/1.21</f>
        <v>0</v>
      </c>
      <c r="I1217" s="64">
        <f>ventas_b_mes1255[[#This Row],[IMPORTE NETO]]*0.21</f>
        <v>0</v>
      </c>
      <c r="J1217" s="140"/>
      <c r="K1217" s="140"/>
      <c r="L1217" s="140"/>
      <c r="M1217" s="59"/>
    </row>
    <row r="1218" spans="2:13" x14ac:dyDescent="0.25">
      <c r="B1218" s="134"/>
      <c r="C1218" s="41"/>
      <c r="D1218" s="136"/>
      <c r="E1218" s="137"/>
      <c r="F1218" s="138"/>
      <c r="G1218" s="1" t="str">
        <f>IFERROR(IF(ventas_b_mes1255[[#This Row],[CUIT]]="","-",VLOOKUP(ventas_b_mes1255[[#This Row],[CUIT]],Lista_CUIT[#All],2,0)),"CUIT NO CARGADO")</f>
        <v>-</v>
      </c>
      <c r="H1218" s="99">
        <f>ventas_b_mes1255[[#This Row],[TOTAL]]/1.21</f>
        <v>0</v>
      </c>
      <c r="I1218" s="64">
        <f>ventas_b_mes1255[[#This Row],[IMPORTE NETO]]*0.21</f>
        <v>0</v>
      </c>
      <c r="J1218" s="140"/>
      <c r="K1218" s="140"/>
      <c r="L1218" s="140"/>
      <c r="M1218" s="59"/>
    </row>
    <row r="1219" spans="2:13" x14ac:dyDescent="0.25">
      <c r="B1219" s="134"/>
      <c r="C1219" s="41"/>
      <c r="D1219" s="136"/>
      <c r="E1219" s="137"/>
      <c r="F1219" s="138"/>
      <c r="G1219" s="1" t="str">
        <f>IFERROR(IF(ventas_b_mes1255[[#This Row],[CUIT]]="","-",VLOOKUP(ventas_b_mes1255[[#This Row],[CUIT]],Lista_CUIT[#All],2,0)),"CUIT NO CARGADO")</f>
        <v>-</v>
      </c>
      <c r="H1219" s="99">
        <f>ventas_b_mes1255[[#This Row],[TOTAL]]/1.21</f>
        <v>0</v>
      </c>
      <c r="I1219" s="64">
        <f>ventas_b_mes1255[[#This Row],[IMPORTE NETO]]*0.21</f>
        <v>0</v>
      </c>
      <c r="J1219" s="140"/>
      <c r="K1219" s="140"/>
      <c r="L1219" s="140"/>
      <c r="M1219" s="59"/>
    </row>
    <row r="1220" spans="2:13" x14ac:dyDescent="0.25">
      <c r="B1220" s="134"/>
      <c r="C1220" s="41"/>
      <c r="D1220" s="136"/>
      <c r="E1220" s="137"/>
      <c r="F1220" s="138"/>
      <c r="G1220" s="1" t="str">
        <f>IFERROR(IF(ventas_b_mes1255[[#This Row],[CUIT]]="","-",VLOOKUP(ventas_b_mes1255[[#This Row],[CUIT]],Lista_CUIT[#All],2,0)),"CUIT NO CARGADO")</f>
        <v>-</v>
      </c>
      <c r="H1220" s="99">
        <f>ventas_b_mes1255[[#This Row],[TOTAL]]/1.21</f>
        <v>0</v>
      </c>
      <c r="I1220" s="64">
        <f>ventas_b_mes1255[[#This Row],[IMPORTE NETO]]*0.21</f>
        <v>0</v>
      </c>
      <c r="J1220" s="140"/>
      <c r="K1220" s="140"/>
      <c r="L1220" s="140"/>
      <c r="M1220" s="59"/>
    </row>
    <row r="1221" spans="2:13" x14ac:dyDescent="0.25">
      <c r="B1221" s="134"/>
      <c r="C1221" s="41"/>
      <c r="D1221" s="136"/>
      <c r="E1221" s="137"/>
      <c r="F1221" s="138"/>
      <c r="G1221" s="1" t="str">
        <f>IFERROR(IF(ventas_b_mes1255[[#This Row],[CUIT]]="","-",VLOOKUP(ventas_b_mes1255[[#This Row],[CUIT]],Lista_CUIT[#All],2,0)),"CUIT NO CARGADO")</f>
        <v>-</v>
      </c>
      <c r="H1221" s="99">
        <f>ventas_b_mes1255[[#This Row],[TOTAL]]/1.21</f>
        <v>0</v>
      </c>
      <c r="I1221" s="64">
        <f>ventas_b_mes1255[[#This Row],[IMPORTE NETO]]*0.21</f>
        <v>0</v>
      </c>
      <c r="J1221" s="140"/>
      <c r="K1221" s="140"/>
      <c r="L1221" s="140"/>
      <c r="M1221" s="59"/>
    </row>
    <row r="1222" spans="2:13" x14ac:dyDescent="0.25">
      <c r="B1222" s="134"/>
      <c r="C1222" s="41"/>
      <c r="D1222" s="136"/>
      <c r="E1222" s="137"/>
      <c r="F1222" s="138"/>
      <c r="G1222" s="1" t="str">
        <f>IFERROR(IF(ventas_b_mes1255[[#This Row],[CUIT]]="","-",VLOOKUP(ventas_b_mes1255[[#This Row],[CUIT]],Lista_CUIT[#All],2,0)),"CUIT NO CARGADO")</f>
        <v>-</v>
      </c>
      <c r="H1222" s="99">
        <f>ventas_b_mes1255[[#This Row],[TOTAL]]/1.21</f>
        <v>0</v>
      </c>
      <c r="I1222" s="64">
        <f>ventas_b_mes1255[[#This Row],[IMPORTE NETO]]*0.21</f>
        <v>0</v>
      </c>
      <c r="J1222" s="140"/>
      <c r="K1222" s="140"/>
      <c r="L1222" s="140"/>
      <c r="M1222" s="59"/>
    </row>
    <row r="1223" spans="2:13" x14ac:dyDescent="0.25">
      <c r="B1223" s="134"/>
      <c r="C1223" s="41"/>
      <c r="D1223" s="136"/>
      <c r="E1223" s="137"/>
      <c r="F1223" s="138"/>
      <c r="G1223" s="1" t="str">
        <f>IFERROR(IF(ventas_b_mes1255[[#This Row],[CUIT]]="","-",VLOOKUP(ventas_b_mes1255[[#This Row],[CUIT]],Lista_CUIT[#All],2,0)),"CUIT NO CARGADO")</f>
        <v>-</v>
      </c>
      <c r="H1223" s="99">
        <f>ventas_b_mes1255[[#This Row],[TOTAL]]/1.21</f>
        <v>0</v>
      </c>
      <c r="I1223" s="64">
        <f>ventas_b_mes1255[[#This Row],[IMPORTE NETO]]*0.21</f>
        <v>0</v>
      </c>
      <c r="J1223" s="140"/>
      <c r="K1223" s="140"/>
      <c r="L1223" s="140"/>
      <c r="M1223" s="59"/>
    </row>
    <row r="1224" spans="2:13" x14ac:dyDescent="0.25">
      <c r="B1224" s="134"/>
      <c r="C1224" s="41"/>
      <c r="D1224" s="136"/>
      <c r="E1224" s="137"/>
      <c r="F1224" s="138"/>
      <c r="G1224" s="1" t="str">
        <f>IFERROR(IF(ventas_b_mes1255[[#This Row],[CUIT]]="","-",VLOOKUP(ventas_b_mes1255[[#This Row],[CUIT]],Lista_CUIT[#All],2,0)),"CUIT NO CARGADO")</f>
        <v>-</v>
      </c>
      <c r="H1224" s="99">
        <f>ventas_b_mes1255[[#This Row],[TOTAL]]/1.21</f>
        <v>0</v>
      </c>
      <c r="I1224" s="64">
        <f>ventas_b_mes1255[[#This Row],[IMPORTE NETO]]*0.21</f>
        <v>0</v>
      </c>
      <c r="J1224" s="140"/>
      <c r="K1224" s="140"/>
      <c r="L1224" s="140"/>
      <c r="M1224" s="59"/>
    </row>
    <row r="1225" spans="2:13" x14ac:dyDescent="0.25">
      <c r="B1225" s="134"/>
      <c r="C1225" s="41"/>
      <c r="D1225" s="136"/>
      <c r="E1225" s="137"/>
      <c r="F1225" s="138"/>
      <c r="G1225" s="1" t="str">
        <f>IFERROR(IF(ventas_b_mes1255[[#This Row],[CUIT]]="","-",VLOOKUP(ventas_b_mes1255[[#This Row],[CUIT]],Lista_CUIT[#All],2,0)),"CUIT NO CARGADO")</f>
        <v>-</v>
      </c>
      <c r="H1225" s="99">
        <f>ventas_b_mes1255[[#This Row],[TOTAL]]/1.21</f>
        <v>0</v>
      </c>
      <c r="I1225" s="64">
        <f>ventas_b_mes1255[[#This Row],[IMPORTE NETO]]*0.21</f>
        <v>0</v>
      </c>
      <c r="J1225" s="140"/>
      <c r="K1225" s="140"/>
      <c r="L1225" s="140"/>
      <c r="M1225" s="59"/>
    </row>
    <row r="1226" spans="2:13" x14ac:dyDescent="0.25">
      <c r="B1226" s="134"/>
      <c r="C1226" s="41"/>
      <c r="D1226" s="136"/>
      <c r="E1226" s="137"/>
      <c r="F1226" s="138"/>
      <c r="G1226" s="1" t="str">
        <f>IFERROR(IF(ventas_b_mes1255[[#This Row],[CUIT]]="","-",VLOOKUP(ventas_b_mes1255[[#This Row],[CUIT]],Lista_CUIT[#All],2,0)),"CUIT NO CARGADO")</f>
        <v>-</v>
      </c>
      <c r="H1226" s="99">
        <f>ventas_b_mes1255[[#This Row],[TOTAL]]/1.21</f>
        <v>0</v>
      </c>
      <c r="I1226" s="64">
        <f>ventas_b_mes1255[[#This Row],[IMPORTE NETO]]*0.21</f>
        <v>0</v>
      </c>
      <c r="J1226" s="140"/>
      <c r="K1226" s="140"/>
      <c r="L1226" s="140"/>
      <c r="M1226" s="59"/>
    </row>
    <row r="1227" spans="2:13" x14ac:dyDescent="0.25">
      <c r="B1227" s="134"/>
      <c r="C1227" s="41"/>
      <c r="D1227" s="136"/>
      <c r="E1227" s="137"/>
      <c r="F1227" s="138"/>
      <c r="G1227" s="1" t="str">
        <f>IFERROR(IF(ventas_b_mes1255[[#This Row],[CUIT]]="","-",VLOOKUP(ventas_b_mes1255[[#This Row],[CUIT]],Lista_CUIT[#All],2,0)),"CUIT NO CARGADO")</f>
        <v>-</v>
      </c>
      <c r="H1227" s="99">
        <f>ventas_b_mes1255[[#This Row],[TOTAL]]/1.21</f>
        <v>0</v>
      </c>
      <c r="I1227" s="64">
        <f>ventas_b_mes1255[[#This Row],[IMPORTE NETO]]*0.21</f>
        <v>0</v>
      </c>
      <c r="J1227" s="140"/>
      <c r="K1227" s="140"/>
      <c r="L1227" s="140"/>
      <c r="M1227" s="59"/>
    </row>
    <row r="1228" spans="2:13" x14ac:dyDescent="0.25">
      <c r="B1228" s="134"/>
      <c r="C1228" s="41"/>
      <c r="D1228" s="136"/>
      <c r="E1228" s="137"/>
      <c r="F1228" s="138"/>
      <c r="G1228" s="1" t="str">
        <f>IFERROR(IF(ventas_b_mes1255[[#This Row],[CUIT]]="","-",VLOOKUP(ventas_b_mes1255[[#This Row],[CUIT]],Lista_CUIT[#All],2,0)),"CUIT NO CARGADO")</f>
        <v>-</v>
      </c>
      <c r="H1228" s="99">
        <f>ventas_b_mes1255[[#This Row],[TOTAL]]/1.21</f>
        <v>0</v>
      </c>
      <c r="I1228" s="64">
        <f>ventas_b_mes1255[[#This Row],[IMPORTE NETO]]*0.21</f>
        <v>0</v>
      </c>
      <c r="J1228" s="140"/>
      <c r="K1228" s="140"/>
      <c r="L1228" s="140"/>
      <c r="M1228" s="59"/>
    </row>
    <row r="1229" spans="2:13" x14ac:dyDescent="0.25">
      <c r="B1229" s="134"/>
      <c r="C1229" s="41"/>
      <c r="D1229" s="136"/>
      <c r="E1229" s="137"/>
      <c r="F1229" s="138"/>
      <c r="G1229" s="1" t="str">
        <f>IFERROR(IF(ventas_b_mes1255[[#This Row],[CUIT]]="","-",VLOOKUP(ventas_b_mes1255[[#This Row],[CUIT]],Lista_CUIT[#All],2,0)),"CUIT NO CARGADO")</f>
        <v>-</v>
      </c>
      <c r="H1229" s="99">
        <f>ventas_b_mes1255[[#This Row],[TOTAL]]/1.21</f>
        <v>0</v>
      </c>
      <c r="I1229" s="64">
        <f>ventas_b_mes1255[[#This Row],[IMPORTE NETO]]*0.21</f>
        <v>0</v>
      </c>
      <c r="J1229" s="140"/>
      <c r="K1229" s="140"/>
      <c r="L1229" s="140"/>
      <c r="M1229" s="59"/>
    </row>
    <row r="1230" spans="2:13" x14ac:dyDescent="0.25">
      <c r="B1230" s="134"/>
      <c r="C1230" s="41"/>
      <c r="D1230" s="136"/>
      <c r="E1230" s="137"/>
      <c r="F1230" s="138"/>
      <c r="G1230" s="1" t="str">
        <f>IFERROR(IF(ventas_b_mes1255[[#This Row],[CUIT]]="","-",VLOOKUP(ventas_b_mes1255[[#This Row],[CUIT]],Lista_CUIT[#All],2,0)),"CUIT NO CARGADO")</f>
        <v>-</v>
      </c>
      <c r="H1230" s="99">
        <f>ventas_b_mes1255[[#This Row],[TOTAL]]/1.21</f>
        <v>0</v>
      </c>
      <c r="I1230" s="64">
        <f>ventas_b_mes1255[[#This Row],[IMPORTE NETO]]*0.21</f>
        <v>0</v>
      </c>
      <c r="J1230" s="140"/>
      <c r="K1230" s="140"/>
      <c r="L1230" s="140"/>
      <c r="M1230" s="59"/>
    </row>
    <row r="1231" spans="2:13" x14ac:dyDescent="0.25">
      <c r="B1231" s="134"/>
      <c r="C1231" s="41"/>
      <c r="D1231" s="136"/>
      <c r="E1231" s="137"/>
      <c r="F1231" s="138"/>
      <c r="G1231" s="1" t="str">
        <f>IFERROR(IF(ventas_b_mes1255[[#This Row],[CUIT]]="","-",VLOOKUP(ventas_b_mes1255[[#This Row],[CUIT]],Lista_CUIT[#All],2,0)),"CUIT NO CARGADO")</f>
        <v>-</v>
      </c>
      <c r="H1231" s="99">
        <f>ventas_b_mes1255[[#This Row],[TOTAL]]/1.21</f>
        <v>0</v>
      </c>
      <c r="I1231" s="64">
        <f>ventas_b_mes1255[[#This Row],[IMPORTE NETO]]*0.21</f>
        <v>0</v>
      </c>
      <c r="J1231" s="140"/>
      <c r="K1231" s="140"/>
      <c r="L1231" s="140"/>
      <c r="M1231" s="59"/>
    </row>
    <row r="1232" spans="2:13" x14ac:dyDescent="0.25">
      <c r="B1232" s="134"/>
      <c r="C1232" s="41"/>
      <c r="D1232" s="136"/>
      <c r="E1232" s="137"/>
      <c r="F1232" s="138"/>
      <c r="G1232" s="1" t="str">
        <f>IFERROR(IF(ventas_b_mes1255[[#This Row],[CUIT]]="","-",VLOOKUP(ventas_b_mes1255[[#This Row],[CUIT]],Lista_CUIT[#All],2,0)),"CUIT NO CARGADO")</f>
        <v>-</v>
      </c>
      <c r="H1232" s="99">
        <f>ventas_b_mes1255[[#This Row],[TOTAL]]/1.21</f>
        <v>0</v>
      </c>
      <c r="I1232" s="64">
        <f>ventas_b_mes1255[[#This Row],[IMPORTE NETO]]*0.21</f>
        <v>0</v>
      </c>
      <c r="J1232" s="140"/>
      <c r="K1232" s="140"/>
      <c r="L1232" s="140"/>
      <c r="M1232" s="59"/>
    </row>
    <row r="1233" spans="2:13" x14ac:dyDescent="0.25">
      <c r="B1233" s="134"/>
      <c r="C1233" s="41"/>
      <c r="D1233" s="136"/>
      <c r="E1233" s="137"/>
      <c r="F1233" s="138"/>
      <c r="G1233" s="1" t="str">
        <f>IFERROR(IF(ventas_b_mes1255[[#This Row],[CUIT]]="","-",VLOOKUP(ventas_b_mes1255[[#This Row],[CUIT]],Lista_CUIT[#All],2,0)),"CUIT NO CARGADO")</f>
        <v>-</v>
      </c>
      <c r="H1233" s="99">
        <f>ventas_b_mes1255[[#This Row],[TOTAL]]/1.21</f>
        <v>0</v>
      </c>
      <c r="I1233" s="64">
        <f>ventas_b_mes1255[[#This Row],[IMPORTE NETO]]*0.21</f>
        <v>0</v>
      </c>
      <c r="J1233" s="140"/>
      <c r="K1233" s="140"/>
      <c r="L1233" s="140"/>
      <c r="M1233" s="59"/>
    </row>
    <row r="1234" spans="2:13" x14ac:dyDescent="0.25">
      <c r="B1234" s="134"/>
      <c r="C1234" s="41"/>
      <c r="D1234" s="136"/>
      <c r="E1234" s="137"/>
      <c r="F1234" s="138"/>
      <c r="G1234" s="1" t="str">
        <f>IFERROR(IF(ventas_b_mes1255[[#This Row],[CUIT]]="","-",VLOOKUP(ventas_b_mes1255[[#This Row],[CUIT]],Lista_CUIT[#All],2,0)),"CUIT NO CARGADO")</f>
        <v>-</v>
      </c>
      <c r="H1234" s="99">
        <f>ventas_b_mes1255[[#This Row],[TOTAL]]/1.21</f>
        <v>0</v>
      </c>
      <c r="I1234" s="64">
        <f>ventas_b_mes1255[[#This Row],[IMPORTE NETO]]*0.21</f>
        <v>0</v>
      </c>
      <c r="J1234" s="140"/>
      <c r="K1234" s="140"/>
      <c r="L1234" s="140"/>
      <c r="M1234" s="59"/>
    </row>
    <row r="1235" spans="2:13" x14ac:dyDescent="0.25">
      <c r="B1235" s="134"/>
      <c r="C1235" s="41"/>
      <c r="D1235" s="136"/>
      <c r="E1235" s="137"/>
      <c r="F1235" s="138"/>
      <c r="G1235" s="1" t="str">
        <f>IFERROR(IF(ventas_b_mes1255[[#This Row],[CUIT]]="","-",VLOOKUP(ventas_b_mes1255[[#This Row],[CUIT]],Lista_CUIT[#All],2,0)),"CUIT NO CARGADO")</f>
        <v>-</v>
      </c>
      <c r="H1235" s="99">
        <f>ventas_b_mes1255[[#This Row],[TOTAL]]/1.21</f>
        <v>0</v>
      </c>
      <c r="I1235" s="64">
        <f>ventas_b_mes1255[[#This Row],[IMPORTE NETO]]*0.21</f>
        <v>0</v>
      </c>
      <c r="J1235" s="140"/>
      <c r="K1235" s="140"/>
      <c r="L1235" s="140"/>
      <c r="M1235" s="59"/>
    </row>
    <row r="1236" spans="2:13" x14ac:dyDescent="0.25">
      <c r="B1236" s="134"/>
      <c r="C1236" s="41"/>
      <c r="D1236" s="136"/>
      <c r="E1236" s="137"/>
      <c r="F1236" s="138"/>
      <c r="G1236" s="1" t="str">
        <f>IFERROR(IF(ventas_b_mes1255[[#This Row],[CUIT]]="","-",VLOOKUP(ventas_b_mes1255[[#This Row],[CUIT]],Lista_CUIT[#All],2,0)),"CUIT NO CARGADO")</f>
        <v>-</v>
      </c>
      <c r="H1236" s="99">
        <f>ventas_b_mes1255[[#This Row],[TOTAL]]/1.21</f>
        <v>0</v>
      </c>
      <c r="I1236" s="64">
        <f>ventas_b_mes1255[[#This Row],[IMPORTE NETO]]*0.21</f>
        <v>0</v>
      </c>
      <c r="J1236" s="140"/>
      <c r="K1236" s="140"/>
      <c r="L1236" s="140"/>
      <c r="M1236" s="59"/>
    </row>
    <row r="1237" spans="2:13" x14ac:dyDescent="0.25">
      <c r="B1237" s="134"/>
      <c r="C1237" s="41"/>
      <c r="D1237" s="136"/>
      <c r="E1237" s="137"/>
      <c r="F1237" s="138"/>
      <c r="G1237" s="1" t="str">
        <f>IFERROR(IF(ventas_b_mes1255[[#This Row],[CUIT]]="","-",VLOOKUP(ventas_b_mes1255[[#This Row],[CUIT]],Lista_CUIT[#All],2,0)),"CUIT NO CARGADO")</f>
        <v>-</v>
      </c>
      <c r="H1237" s="99">
        <f>ventas_b_mes1255[[#This Row],[TOTAL]]/1.21</f>
        <v>0</v>
      </c>
      <c r="I1237" s="64">
        <f>ventas_b_mes1255[[#This Row],[IMPORTE NETO]]*0.21</f>
        <v>0</v>
      </c>
      <c r="J1237" s="140"/>
      <c r="K1237" s="140"/>
      <c r="L1237" s="140"/>
      <c r="M1237" s="59"/>
    </row>
    <row r="1238" spans="2:13" x14ac:dyDescent="0.25">
      <c r="B1238" s="134"/>
      <c r="C1238" s="41"/>
      <c r="D1238" s="136"/>
      <c r="E1238" s="137"/>
      <c r="F1238" s="138"/>
      <c r="G1238" s="1" t="str">
        <f>IFERROR(IF(ventas_b_mes1255[[#This Row],[CUIT]]="","-",VLOOKUP(ventas_b_mes1255[[#This Row],[CUIT]],Lista_CUIT[#All],2,0)),"CUIT NO CARGADO")</f>
        <v>-</v>
      </c>
      <c r="H1238" s="99">
        <f>ventas_b_mes1255[[#This Row],[TOTAL]]/1.21</f>
        <v>0</v>
      </c>
      <c r="I1238" s="64">
        <f>ventas_b_mes1255[[#This Row],[IMPORTE NETO]]*0.21</f>
        <v>0</v>
      </c>
      <c r="J1238" s="140"/>
      <c r="K1238" s="140"/>
      <c r="L1238" s="140"/>
      <c r="M1238" s="59"/>
    </row>
    <row r="1239" spans="2:13" x14ac:dyDescent="0.25">
      <c r="B1239" s="134"/>
      <c r="C1239" s="41"/>
      <c r="D1239" s="136"/>
      <c r="E1239" s="137"/>
      <c r="F1239" s="138"/>
      <c r="G1239" s="1" t="str">
        <f>IFERROR(IF(ventas_b_mes1255[[#This Row],[CUIT]]="","-",VLOOKUP(ventas_b_mes1255[[#This Row],[CUIT]],Lista_CUIT[#All],2,0)),"CUIT NO CARGADO")</f>
        <v>-</v>
      </c>
      <c r="H1239" s="99">
        <f>ventas_b_mes1255[[#This Row],[TOTAL]]/1.21</f>
        <v>0</v>
      </c>
      <c r="I1239" s="64">
        <f>ventas_b_mes1255[[#This Row],[IMPORTE NETO]]*0.21</f>
        <v>0</v>
      </c>
      <c r="J1239" s="140"/>
      <c r="K1239" s="140"/>
      <c r="L1239" s="140"/>
      <c r="M1239" s="59"/>
    </row>
    <row r="1240" spans="2:13" x14ac:dyDescent="0.25">
      <c r="B1240" s="134"/>
      <c r="C1240" s="41"/>
      <c r="D1240" s="136"/>
      <c r="E1240" s="137"/>
      <c r="F1240" s="138"/>
      <c r="G1240" s="1" t="str">
        <f>IFERROR(IF(ventas_b_mes1255[[#This Row],[CUIT]]="","-",VLOOKUP(ventas_b_mes1255[[#This Row],[CUIT]],Lista_CUIT[#All],2,0)),"CUIT NO CARGADO")</f>
        <v>-</v>
      </c>
      <c r="H1240" s="99">
        <f>ventas_b_mes1255[[#This Row],[TOTAL]]/1.21</f>
        <v>0</v>
      </c>
      <c r="I1240" s="64">
        <f>ventas_b_mes1255[[#This Row],[IMPORTE NETO]]*0.21</f>
        <v>0</v>
      </c>
      <c r="J1240" s="140"/>
      <c r="K1240" s="140"/>
      <c r="L1240" s="140"/>
      <c r="M1240" s="59"/>
    </row>
    <row r="1241" spans="2:13" x14ac:dyDescent="0.25">
      <c r="B1241" s="134"/>
      <c r="C1241" s="41"/>
      <c r="D1241" s="136"/>
      <c r="E1241" s="137"/>
      <c r="F1241" s="138"/>
      <c r="G1241" s="1" t="str">
        <f>IFERROR(IF(ventas_b_mes1255[[#This Row],[CUIT]]="","-",VLOOKUP(ventas_b_mes1255[[#This Row],[CUIT]],Lista_CUIT[#All],2,0)),"CUIT NO CARGADO")</f>
        <v>-</v>
      </c>
      <c r="H1241" s="99">
        <f>ventas_b_mes1255[[#This Row],[TOTAL]]/1.21</f>
        <v>0</v>
      </c>
      <c r="I1241" s="64">
        <f>ventas_b_mes1255[[#This Row],[IMPORTE NETO]]*0.21</f>
        <v>0</v>
      </c>
      <c r="J1241" s="140"/>
      <c r="K1241" s="140"/>
      <c r="L1241" s="140"/>
      <c r="M1241" s="59"/>
    </row>
    <row r="1242" spans="2:13" x14ac:dyDescent="0.25">
      <c r="B1242" s="134"/>
      <c r="C1242" s="41"/>
      <c r="D1242" s="136"/>
      <c r="E1242" s="137"/>
      <c r="F1242" s="138"/>
      <c r="G1242" s="1" t="str">
        <f>IFERROR(IF(ventas_b_mes1255[[#This Row],[CUIT]]="","-",VLOOKUP(ventas_b_mes1255[[#This Row],[CUIT]],Lista_CUIT[#All],2,0)),"CUIT NO CARGADO")</f>
        <v>-</v>
      </c>
      <c r="H1242" s="99">
        <f>ventas_b_mes1255[[#This Row],[TOTAL]]/1.21</f>
        <v>0</v>
      </c>
      <c r="I1242" s="64">
        <f>ventas_b_mes1255[[#This Row],[IMPORTE NETO]]*0.21</f>
        <v>0</v>
      </c>
      <c r="J1242" s="140"/>
      <c r="K1242" s="140"/>
      <c r="L1242" s="140"/>
      <c r="M1242" s="59"/>
    </row>
    <row r="1243" spans="2:13" x14ac:dyDescent="0.25">
      <c r="B1243" s="134"/>
      <c r="C1243" s="41"/>
      <c r="D1243" s="136"/>
      <c r="E1243" s="137"/>
      <c r="F1243" s="138"/>
      <c r="G1243" s="1" t="str">
        <f>IFERROR(IF(ventas_b_mes1255[[#This Row],[CUIT]]="","-",VLOOKUP(ventas_b_mes1255[[#This Row],[CUIT]],Lista_CUIT[#All],2,0)),"CUIT NO CARGADO")</f>
        <v>-</v>
      </c>
      <c r="H1243" s="99">
        <f>ventas_b_mes1255[[#This Row],[TOTAL]]/1.21</f>
        <v>0</v>
      </c>
      <c r="I1243" s="64">
        <f>ventas_b_mes1255[[#This Row],[IMPORTE NETO]]*0.21</f>
        <v>0</v>
      </c>
      <c r="J1243" s="140"/>
      <c r="K1243" s="140"/>
      <c r="L1243" s="140"/>
      <c r="M1243" s="59"/>
    </row>
    <row r="1244" spans="2:13" x14ac:dyDescent="0.25">
      <c r="B1244" s="134"/>
      <c r="C1244" s="41"/>
      <c r="D1244" s="136"/>
      <c r="E1244" s="137"/>
      <c r="F1244" s="138"/>
      <c r="G1244" s="1" t="str">
        <f>IFERROR(IF(ventas_b_mes1255[[#This Row],[CUIT]]="","-",VLOOKUP(ventas_b_mes1255[[#This Row],[CUIT]],Lista_CUIT[#All],2,0)),"CUIT NO CARGADO")</f>
        <v>-</v>
      </c>
      <c r="H1244" s="99">
        <f>ventas_b_mes1255[[#This Row],[TOTAL]]/1.21</f>
        <v>0</v>
      </c>
      <c r="I1244" s="64">
        <f>ventas_b_mes1255[[#This Row],[IMPORTE NETO]]*0.21</f>
        <v>0</v>
      </c>
      <c r="J1244" s="140"/>
      <c r="K1244" s="140"/>
      <c r="L1244" s="140"/>
      <c r="M1244" s="59"/>
    </row>
    <row r="1245" spans="2:13" x14ac:dyDescent="0.25">
      <c r="B1245" s="134"/>
      <c r="C1245" s="41"/>
      <c r="D1245" s="136"/>
      <c r="E1245" s="137"/>
      <c r="F1245" s="138"/>
      <c r="G1245" s="1" t="str">
        <f>IFERROR(IF(ventas_b_mes1255[[#This Row],[CUIT]]="","-",VLOOKUP(ventas_b_mes1255[[#This Row],[CUIT]],Lista_CUIT[#All],2,0)),"CUIT NO CARGADO")</f>
        <v>-</v>
      </c>
      <c r="H1245" s="99">
        <f>ventas_b_mes1255[[#This Row],[TOTAL]]/1.21</f>
        <v>0</v>
      </c>
      <c r="I1245" s="64">
        <f>ventas_b_mes1255[[#This Row],[IMPORTE NETO]]*0.21</f>
        <v>0</v>
      </c>
      <c r="J1245" s="140"/>
      <c r="K1245" s="140"/>
      <c r="L1245" s="140"/>
      <c r="M1245" s="59"/>
    </row>
    <row r="1246" spans="2:13" x14ac:dyDescent="0.25">
      <c r="B1246" s="134"/>
      <c r="C1246" s="41"/>
      <c r="D1246" s="136"/>
      <c r="E1246" s="137"/>
      <c r="F1246" s="138"/>
      <c r="G1246" s="1" t="str">
        <f>IFERROR(IF(ventas_b_mes1255[[#This Row],[CUIT]]="","-",VLOOKUP(ventas_b_mes1255[[#This Row],[CUIT]],Lista_CUIT[#All],2,0)),"CUIT NO CARGADO")</f>
        <v>-</v>
      </c>
      <c r="H1246" s="99">
        <f>ventas_b_mes1255[[#This Row],[TOTAL]]/1.21</f>
        <v>0</v>
      </c>
      <c r="I1246" s="64">
        <f>ventas_b_mes1255[[#This Row],[IMPORTE NETO]]*0.21</f>
        <v>0</v>
      </c>
      <c r="J1246" s="140"/>
      <c r="K1246" s="140"/>
      <c r="L1246" s="140"/>
      <c r="M1246" s="59"/>
    </row>
    <row r="1247" spans="2:13" x14ac:dyDescent="0.25">
      <c r="B1247" s="134"/>
      <c r="C1247" s="41"/>
      <c r="D1247" s="136"/>
      <c r="E1247" s="137"/>
      <c r="F1247" s="138"/>
      <c r="G1247" s="1" t="str">
        <f>IFERROR(IF(ventas_b_mes1255[[#This Row],[CUIT]]="","-",VLOOKUP(ventas_b_mes1255[[#This Row],[CUIT]],Lista_CUIT[#All],2,0)),"CUIT NO CARGADO")</f>
        <v>-</v>
      </c>
      <c r="H1247" s="99">
        <f>ventas_b_mes1255[[#This Row],[TOTAL]]/1.21</f>
        <v>0</v>
      </c>
      <c r="I1247" s="64">
        <f>ventas_b_mes1255[[#This Row],[IMPORTE NETO]]*0.21</f>
        <v>0</v>
      </c>
      <c r="J1247" s="140"/>
      <c r="K1247" s="140"/>
      <c r="L1247" s="140"/>
      <c r="M1247" s="59"/>
    </row>
    <row r="1248" spans="2:13" x14ac:dyDescent="0.25">
      <c r="B1248" s="134"/>
      <c r="C1248" s="41"/>
      <c r="D1248" s="136"/>
      <c r="E1248" s="137"/>
      <c r="F1248" s="138"/>
      <c r="G1248" s="1" t="str">
        <f>IFERROR(IF(ventas_b_mes1255[[#This Row],[CUIT]]="","-",VLOOKUP(ventas_b_mes1255[[#This Row],[CUIT]],Lista_CUIT[#All],2,0)),"CUIT NO CARGADO")</f>
        <v>-</v>
      </c>
      <c r="H1248" s="99">
        <f>ventas_b_mes1255[[#This Row],[TOTAL]]/1.21</f>
        <v>0</v>
      </c>
      <c r="I1248" s="64">
        <f>ventas_b_mes1255[[#This Row],[IMPORTE NETO]]*0.21</f>
        <v>0</v>
      </c>
      <c r="J1248" s="140"/>
      <c r="K1248" s="140"/>
      <c r="L1248" s="140"/>
      <c r="M1248" s="59"/>
    </row>
    <row r="1249" spans="2:13" x14ac:dyDescent="0.25">
      <c r="B1249" s="134"/>
      <c r="C1249" s="41"/>
      <c r="D1249" s="136"/>
      <c r="E1249" s="137"/>
      <c r="F1249" s="138"/>
      <c r="G1249" s="1" t="str">
        <f>IFERROR(IF(ventas_b_mes1255[[#This Row],[CUIT]]="","-",VLOOKUP(ventas_b_mes1255[[#This Row],[CUIT]],Lista_CUIT[#All],2,0)),"CUIT NO CARGADO")</f>
        <v>-</v>
      </c>
      <c r="H1249" s="99">
        <f>ventas_b_mes1255[[#This Row],[TOTAL]]/1.21</f>
        <v>0</v>
      </c>
      <c r="I1249" s="64">
        <f>ventas_b_mes1255[[#This Row],[IMPORTE NETO]]*0.21</f>
        <v>0</v>
      </c>
      <c r="J1249" s="140"/>
      <c r="K1249" s="140"/>
      <c r="L1249" s="140"/>
      <c r="M1249" s="59"/>
    </row>
    <row r="1250" spans="2:13" x14ac:dyDescent="0.25">
      <c r="B1250" s="134"/>
      <c r="C1250" s="41"/>
      <c r="D1250" s="136"/>
      <c r="E1250" s="137"/>
      <c r="F1250" s="138"/>
      <c r="G1250" s="1" t="str">
        <f>IFERROR(IF(ventas_b_mes1255[[#This Row],[CUIT]]="","-",VLOOKUP(ventas_b_mes1255[[#This Row],[CUIT]],Lista_CUIT[#All],2,0)),"CUIT NO CARGADO")</f>
        <v>-</v>
      </c>
      <c r="H1250" s="99">
        <f>ventas_b_mes1255[[#This Row],[TOTAL]]/1.21</f>
        <v>0</v>
      </c>
      <c r="I1250" s="64">
        <f>ventas_b_mes1255[[#This Row],[IMPORTE NETO]]*0.21</f>
        <v>0</v>
      </c>
      <c r="J1250" s="140"/>
      <c r="K1250" s="140"/>
      <c r="L1250" s="140"/>
      <c r="M1250" s="59"/>
    </row>
    <row r="1251" spans="2:13" x14ac:dyDescent="0.25">
      <c r="B1251" s="134"/>
      <c r="C1251" s="41"/>
      <c r="D1251" s="136"/>
      <c r="E1251" s="137"/>
      <c r="F1251" s="138"/>
      <c r="G1251" s="1" t="str">
        <f>IFERROR(IF(ventas_b_mes1255[[#This Row],[CUIT]]="","-",VLOOKUP(ventas_b_mes1255[[#This Row],[CUIT]],Lista_CUIT[#All],2,0)),"CUIT NO CARGADO")</f>
        <v>-</v>
      </c>
      <c r="H1251" s="99">
        <f>ventas_b_mes1255[[#This Row],[TOTAL]]/1.21</f>
        <v>0</v>
      </c>
      <c r="I1251" s="64">
        <f>ventas_b_mes1255[[#This Row],[IMPORTE NETO]]*0.21</f>
        <v>0</v>
      </c>
      <c r="J1251" s="140"/>
      <c r="K1251" s="140"/>
      <c r="L1251" s="140"/>
      <c r="M1251" s="59"/>
    </row>
    <row r="1252" spans="2:13" x14ac:dyDescent="0.25">
      <c r="B1252" s="134"/>
      <c r="C1252" s="41"/>
      <c r="D1252" s="136"/>
      <c r="E1252" s="137"/>
      <c r="F1252" s="138"/>
      <c r="G1252" s="1" t="str">
        <f>IFERROR(IF(ventas_b_mes1255[[#This Row],[CUIT]]="","-",VLOOKUP(ventas_b_mes1255[[#This Row],[CUIT]],Lista_CUIT[#All],2,0)),"CUIT NO CARGADO")</f>
        <v>-</v>
      </c>
      <c r="H1252" s="99">
        <f>ventas_b_mes1255[[#This Row],[TOTAL]]/1.21</f>
        <v>0</v>
      </c>
      <c r="I1252" s="64">
        <f>ventas_b_mes1255[[#This Row],[IMPORTE NETO]]*0.21</f>
        <v>0</v>
      </c>
      <c r="J1252" s="140"/>
      <c r="K1252" s="140"/>
      <c r="L1252" s="140"/>
      <c r="M1252" s="59"/>
    </row>
    <row r="1253" spans="2:13" x14ac:dyDescent="0.25">
      <c r="B1253" s="134"/>
      <c r="C1253" s="41"/>
      <c r="D1253" s="136"/>
      <c r="E1253" s="137"/>
      <c r="F1253" s="138"/>
      <c r="G1253" s="1" t="str">
        <f>IFERROR(IF(ventas_b_mes1255[[#This Row],[CUIT]]="","-",VLOOKUP(ventas_b_mes1255[[#This Row],[CUIT]],Lista_CUIT[#All],2,0)),"CUIT NO CARGADO")</f>
        <v>-</v>
      </c>
      <c r="H1253" s="99">
        <f>ventas_b_mes1255[[#This Row],[TOTAL]]/1.21</f>
        <v>0</v>
      </c>
      <c r="I1253" s="64">
        <f>ventas_b_mes1255[[#This Row],[IMPORTE NETO]]*0.21</f>
        <v>0</v>
      </c>
      <c r="J1253" s="140"/>
      <c r="K1253" s="140"/>
      <c r="L1253" s="140"/>
      <c r="M1253" s="59"/>
    </row>
    <row r="1254" spans="2:13" x14ac:dyDescent="0.25">
      <c r="B1254" s="134"/>
      <c r="C1254" s="41"/>
      <c r="D1254" s="136"/>
      <c r="E1254" s="137"/>
      <c r="F1254" s="138"/>
      <c r="G1254" s="1" t="str">
        <f>IFERROR(IF(ventas_b_mes1255[[#This Row],[CUIT]]="","-",VLOOKUP(ventas_b_mes1255[[#This Row],[CUIT]],Lista_CUIT[#All],2,0)),"CUIT NO CARGADO")</f>
        <v>-</v>
      </c>
      <c r="H1254" s="99">
        <f>ventas_b_mes1255[[#This Row],[TOTAL]]/1.21</f>
        <v>0</v>
      </c>
      <c r="I1254" s="64">
        <f>ventas_b_mes1255[[#This Row],[IMPORTE NETO]]*0.21</f>
        <v>0</v>
      </c>
      <c r="J1254" s="140"/>
      <c r="K1254" s="140"/>
      <c r="L1254" s="140"/>
      <c r="M1254" s="59"/>
    </row>
    <row r="1255" spans="2:13" x14ac:dyDescent="0.25">
      <c r="B1255" s="134"/>
      <c r="C1255" s="41"/>
      <c r="D1255" s="136"/>
      <c r="E1255" s="137"/>
      <c r="F1255" s="138"/>
      <c r="G1255" s="1" t="str">
        <f>IFERROR(IF(ventas_b_mes1255[[#This Row],[CUIT]]="","-",VLOOKUP(ventas_b_mes1255[[#This Row],[CUIT]],Lista_CUIT[#All],2,0)),"CUIT NO CARGADO")</f>
        <v>-</v>
      </c>
      <c r="H1255" s="99">
        <f>ventas_b_mes1255[[#This Row],[TOTAL]]/1.21</f>
        <v>0</v>
      </c>
      <c r="I1255" s="64">
        <f>ventas_b_mes1255[[#This Row],[IMPORTE NETO]]*0.21</f>
        <v>0</v>
      </c>
      <c r="J1255" s="140"/>
      <c r="K1255" s="140"/>
      <c r="L1255" s="140"/>
      <c r="M1255" s="59"/>
    </row>
    <row r="1256" spans="2:13" x14ac:dyDescent="0.25">
      <c r="B1256" s="134"/>
      <c r="C1256" s="41"/>
      <c r="D1256" s="136"/>
      <c r="E1256" s="137"/>
      <c r="F1256" s="138"/>
      <c r="G1256" s="1" t="str">
        <f>IFERROR(IF(ventas_b_mes1255[[#This Row],[CUIT]]="","-",VLOOKUP(ventas_b_mes1255[[#This Row],[CUIT]],Lista_CUIT[#All],2,0)),"CUIT NO CARGADO")</f>
        <v>-</v>
      </c>
      <c r="H1256" s="99">
        <f>ventas_b_mes1255[[#This Row],[TOTAL]]/1.21</f>
        <v>0</v>
      </c>
      <c r="I1256" s="64">
        <f>ventas_b_mes1255[[#This Row],[IMPORTE NETO]]*0.21</f>
        <v>0</v>
      </c>
      <c r="J1256" s="140"/>
      <c r="K1256" s="140"/>
      <c r="L1256" s="140"/>
      <c r="M1256" s="59"/>
    </row>
    <row r="1257" spans="2:13" x14ac:dyDescent="0.25">
      <c r="B1257" s="134"/>
      <c r="C1257" s="41"/>
      <c r="D1257" s="136"/>
      <c r="E1257" s="137"/>
      <c r="F1257" s="138"/>
      <c r="G1257" s="1" t="str">
        <f>IFERROR(IF(ventas_b_mes1255[[#This Row],[CUIT]]="","-",VLOOKUP(ventas_b_mes1255[[#This Row],[CUIT]],Lista_CUIT[#All],2,0)),"CUIT NO CARGADO")</f>
        <v>-</v>
      </c>
      <c r="H1257" s="99">
        <f>ventas_b_mes1255[[#This Row],[TOTAL]]/1.21</f>
        <v>0</v>
      </c>
      <c r="I1257" s="64">
        <f>ventas_b_mes1255[[#This Row],[IMPORTE NETO]]*0.21</f>
        <v>0</v>
      </c>
      <c r="J1257" s="140"/>
      <c r="K1257" s="140"/>
      <c r="L1257" s="140"/>
      <c r="M1257" s="59"/>
    </row>
    <row r="1258" spans="2:13" x14ac:dyDescent="0.25">
      <c r="B1258" s="134"/>
      <c r="C1258" s="41"/>
      <c r="D1258" s="136"/>
      <c r="E1258" s="137"/>
      <c r="F1258" s="138"/>
      <c r="G1258" s="1" t="str">
        <f>IFERROR(IF(ventas_b_mes1255[[#This Row],[CUIT]]="","-",VLOOKUP(ventas_b_mes1255[[#This Row],[CUIT]],Lista_CUIT[#All],2,0)),"CUIT NO CARGADO")</f>
        <v>-</v>
      </c>
      <c r="H1258" s="99">
        <f>ventas_b_mes1255[[#This Row],[TOTAL]]/1.21</f>
        <v>0</v>
      </c>
      <c r="I1258" s="64">
        <f>ventas_b_mes1255[[#This Row],[IMPORTE NETO]]*0.21</f>
        <v>0</v>
      </c>
      <c r="J1258" s="140"/>
      <c r="K1258" s="140"/>
      <c r="L1258" s="140"/>
      <c r="M1258" s="59"/>
    </row>
    <row r="1259" spans="2:13" x14ac:dyDescent="0.25">
      <c r="B1259" s="134"/>
      <c r="C1259" s="41"/>
      <c r="D1259" s="136"/>
      <c r="E1259" s="137"/>
      <c r="F1259" s="138"/>
      <c r="G1259" s="1" t="str">
        <f>IFERROR(IF(ventas_b_mes1255[[#This Row],[CUIT]]="","-",VLOOKUP(ventas_b_mes1255[[#This Row],[CUIT]],Lista_CUIT[#All],2,0)),"CUIT NO CARGADO")</f>
        <v>-</v>
      </c>
      <c r="H1259" s="99">
        <f>ventas_b_mes1255[[#This Row],[TOTAL]]/1.21</f>
        <v>0</v>
      </c>
      <c r="I1259" s="64">
        <f>ventas_b_mes1255[[#This Row],[IMPORTE NETO]]*0.21</f>
        <v>0</v>
      </c>
      <c r="J1259" s="140"/>
      <c r="K1259" s="140"/>
      <c r="L1259" s="140"/>
      <c r="M1259" s="59"/>
    </row>
    <row r="1260" spans="2:13" x14ac:dyDescent="0.25">
      <c r="B1260" s="134"/>
      <c r="C1260" s="41"/>
      <c r="D1260" s="136"/>
      <c r="E1260" s="137"/>
      <c r="F1260" s="138"/>
      <c r="G1260" s="1" t="str">
        <f>IFERROR(IF(ventas_b_mes1255[[#This Row],[CUIT]]="","-",VLOOKUP(ventas_b_mes1255[[#This Row],[CUIT]],Lista_CUIT[#All],2,0)),"CUIT NO CARGADO")</f>
        <v>-</v>
      </c>
      <c r="H1260" s="99">
        <f>ventas_b_mes1255[[#This Row],[TOTAL]]/1.21</f>
        <v>0</v>
      </c>
      <c r="I1260" s="64">
        <f>ventas_b_mes1255[[#This Row],[IMPORTE NETO]]*0.21</f>
        <v>0</v>
      </c>
      <c r="J1260" s="140"/>
      <c r="K1260" s="140"/>
      <c r="L1260" s="140"/>
      <c r="M1260" s="59"/>
    </row>
    <row r="1261" spans="2:13" x14ac:dyDescent="0.25">
      <c r="B1261" s="134"/>
      <c r="C1261" s="41"/>
      <c r="D1261" s="136"/>
      <c r="E1261" s="137"/>
      <c r="F1261" s="138"/>
      <c r="G1261" s="1" t="str">
        <f>IFERROR(IF(ventas_b_mes1255[[#This Row],[CUIT]]="","-",VLOOKUP(ventas_b_mes1255[[#This Row],[CUIT]],Lista_CUIT[#All],2,0)),"CUIT NO CARGADO")</f>
        <v>-</v>
      </c>
      <c r="H1261" s="99">
        <f>ventas_b_mes1255[[#This Row],[TOTAL]]/1.21</f>
        <v>0</v>
      </c>
      <c r="I1261" s="64">
        <f>ventas_b_mes1255[[#This Row],[IMPORTE NETO]]*0.21</f>
        <v>0</v>
      </c>
      <c r="J1261" s="140"/>
      <c r="K1261" s="140"/>
      <c r="L1261" s="140"/>
      <c r="M1261" s="59"/>
    </row>
    <row r="1262" spans="2:13" x14ac:dyDescent="0.25">
      <c r="B1262" s="134"/>
      <c r="C1262" s="41"/>
      <c r="D1262" s="136"/>
      <c r="E1262" s="137"/>
      <c r="F1262" s="138"/>
      <c r="G1262" s="1" t="str">
        <f>IFERROR(IF(ventas_b_mes1255[[#This Row],[CUIT]]="","-",VLOOKUP(ventas_b_mes1255[[#This Row],[CUIT]],Lista_CUIT[#All],2,0)),"CUIT NO CARGADO")</f>
        <v>-</v>
      </c>
      <c r="H1262" s="99">
        <f>ventas_b_mes1255[[#This Row],[TOTAL]]/1.21</f>
        <v>0</v>
      </c>
      <c r="I1262" s="64">
        <f>ventas_b_mes1255[[#This Row],[IMPORTE NETO]]*0.21</f>
        <v>0</v>
      </c>
      <c r="J1262" s="140"/>
      <c r="K1262" s="140"/>
      <c r="L1262" s="140"/>
      <c r="M1262" s="59"/>
    </row>
    <row r="1263" spans="2:13" x14ac:dyDescent="0.25">
      <c r="B1263" s="134"/>
      <c r="C1263" s="41"/>
      <c r="D1263" s="136"/>
      <c r="E1263" s="137"/>
      <c r="F1263" s="138"/>
      <c r="G1263" s="1" t="str">
        <f>IFERROR(IF(ventas_b_mes1255[[#This Row],[CUIT]]="","-",VLOOKUP(ventas_b_mes1255[[#This Row],[CUIT]],Lista_CUIT[#All],2,0)),"CUIT NO CARGADO")</f>
        <v>-</v>
      </c>
      <c r="H1263" s="99">
        <f>ventas_b_mes1255[[#This Row],[TOTAL]]/1.21</f>
        <v>0</v>
      </c>
      <c r="I1263" s="64">
        <f>ventas_b_mes1255[[#This Row],[IMPORTE NETO]]*0.21</f>
        <v>0</v>
      </c>
      <c r="J1263" s="140"/>
      <c r="K1263" s="140"/>
      <c r="L1263" s="140"/>
      <c r="M1263" s="59"/>
    </row>
    <row r="1264" spans="2:13" x14ac:dyDescent="0.25">
      <c r="B1264" s="134"/>
      <c r="C1264" s="41"/>
      <c r="D1264" s="136"/>
      <c r="E1264" s="137"/>
      <c r="F1264" s="138"/>
      <c r="G1264" s="1" t="str">
        <f>IFERROR(IF(ventas_b_mes1255[[#This Row],[CUIT]]="","-",VLOOKUP(ventas_b_mes1255[[#This Row],[CUIT]],Lista_CUIT[#All],2,0)),"CUIT NO CARGADO")</f>
        <v>-</v>
      </c>
      <c r="H1264" s="99">
        <f>ventas_b_mes1255[[#This Row],[TOTAL]]/1.21</f>
        <v>0</v>
      </c>
      <c r="I1264" s="64">
        <f>ventas_b_mes1255[[#This Row],[IMPORTE NETO]]*0.21</f>
        <v>0</v>
      </c>
      <c r="J1264" s="140"/>
      <c r="K1264" s="140"/>
      <c r="L1264" s="140"/>
      <c r="M1264" s="59"/>
    </row>
    <row r="1265" spans="2:13" x14ac:dyDescent="0.25">
      <c r="B1265" s="134"/>
      <c r="C1265" s="41"/>
      <c r="D1265" s="136"/>
      <c r="E1265" s="137"/>
      <c r="F1265" s="138"/>
      <c r="G1265" s="1" t="str">
        <f>IFERROR(IF(ventas_b_mes1255[[#This Row],[CUIT]]="","-",VLOOKUP(ventas_b_mes1255[[#This Row],[CUIT]],Lista_CUIT[#All],2,0)),"CUIT NO CARGADO")</f>
        <v>-</v>
      </c>
      <c r="H1265" s="99">
        <f>ventas_b_mes1255[[#This Row],[TOTAL]]/1.21</f>
        <v>0</v>
      </c>
      <c r="I1265" s="64">
        <f>ventas_b_mes1255[[#This Row],[IMPORTE NETO]]*0.21</f>
        <v>0</v>
      </c>
      <c r="J1265" s="140"/>
      <c r="K1265" s="140"/>
      <c r="L1265" s="140"/>
      <c r="M1265" s="59"/>
    </row>
    <row r="1266" spans="2:13" x14ac:dyDescent="0.25">
      <c r="B1266" s="134"/>
      <c r="C1266" s="41"/>
      <c r="D1266" s="136"/>
      <c r="E1266" s="137"/>
      <c r="F1266" s="138"/>
      <c r="G1266" s="1" t="str">
        <f>IFERROR(IF(ventas_b_mes1255[[#This Row],[CUIT]]="","-",VLOOKUP(ventas_b_mes1255[[#This Row],[CUIT]],Lista_CUIT[#All],2,0)),"CUIT NO CARGADO")</f>
        <v>-</v>
      </c>
      <c r="H1266" s="99">
        <f>ventas_b_mes1255[[#This Row],[TOTAL]]/1.21</f>
        <v>0</v>
      </c>
      <c r="I1266" s="64">
        <f>ventas_b_mes1255[[#This Row],[IMPORTE NETO]]*0.21</f>
        <v>0</v>
      </c>
      <c r="J1266" s="140"/>
      <c r="K1266" s="140"/>
      <c r="L1266" s="140"/>
      <c r="M1266" s="59"/>
    </row>
    <row r="1267" spans="2:13" x14ac:dyDescent="0.25">
      <c r="B1267" s="134"/>
      <c r="C1267" s="41"/>
      <c r="D1267" s="136"/>
      <c r="E1267" s="137"/>
      <c r="F1267" s="138"/>
      <c r="G1267" s="1" t="str">
        <f>IFERROR(IF(ventas_b_mes1255[[#This Row],[CUIT]]="","-",VLOOKUP(ventas_b_mes1255[[#This Row],[CUIT]],Lista_CUIT[#All],2,0)),"CUIT NO CARGADO")</f>
        <v>-</v>
      </c>
      <c r="H1267" s="99">
        <f>ventas_b_mes1255[[#This Row],[TOTAL]]/1.21</f>
        <v>0</v>
      </c>
      <c r="I1267" s="64">
        <f>ventas_b_mes1255[[#This Row],[IMPORTE NETO]]*0.21</f>
        <v>0</v>
      </c>
      <c r="J1267" s="140"/>
      <c r="K1267" s="140"/>
      <c r="L1267" s="140"/>
      <c r="M1267" s="59"/>
    </row>
    <row r="1268" spans="2:13" x14ac:dyDescent="0.25">
      <c r="B1268" s="134"/>
      <c r="C1268" s="41"/>
      <c r="D1268" s="136"/>
      <c r="E1268" s="137"/>
      <c r="F1268" s="138"/>
      <c r="G1268" s="1" t="str">
        <f>IFERROR(IF(ventas_b_mes1255[[#This Row],[CUIT]]="","-",VLOOKUP(ventas_b_mes1255[[#This Row],[CUIT]],Lista_CUIT[#All],2,0)),"CUIT NO CARGADO")</f>
        <v>-</v>
      </c>
      <c r="H1268" s="99">
        <f>ventas_b_mes1255[[#This Row],[TOTAL]]/1.21</f>
        <v>0</v>
      </c>
      <c r="I1268" s="64">
        <f>ventas_b_mes1255[[#This Row],[IMPORTE NETO]]*0.21</f>
        <v>0</v>
      </c>
      <c r="J1268" s="140"/>
      <c r="K1268" s="140"/>
      <c r="L1268" s="140"/>
      <c r="M1268" s="59"/>
    </row>
    <row r="1269" spans="2:13" x14ac:dyDescent="0.25">
      <c r="B1269" s="134"/>
      <c r="C1269" s="41"/>
      <c r="D1269" s="136"/>
      <c r="E1269" s="137"/>
      <c r="F1269" s="138"/>
      <c r="G1269" s="1" t="str">
        <f>IFERROR(IF(ventas_b_mes1255[[#This Row],[CUIT]]="","-",VLOOKUP(ventas_b_mes1255[[#This Row],[CUIT]],Lista_CUIT[#All],2,0)),"CUIT NO CARGADO")</f>
        <v>-</v>
      </c>
      <c r="H1269" s="99">
        <f>ventas_b_mes1255[[#This Row],[TOTAL]]/1.21</f>
        <v>0</v>
      </c>
      <c r="I1269" s="64">
        <f>ventas_b_mes1255[[#This Row],[IMPORTE NETO]]*0.21</f>
        <v>0</v>
      </c>
      <c r="J1269" s="140"/>
      <c r="K1269" s="140"/>
      <c r="L1269" s="140"/>
      <c r="M1269" s="59"/>
    </row>
    <row r="1270" spans="2:13" x14ac:dyDescent="0.25">
      <c r="B1270" s="134"/>
      <c r="C1270" s="41"/>
      <c r="D1270" s="136"/>
      <c r="E1270" s="137"/>
      <c r="F1270" s="138"/>
      <c r="G1270" s="1" t="str">
        <f>IFERROR(IF(ventas_b_mes1255[[#This Row],[CUIT]]="","-",VLOOKUP(ventas_b_mes1255[[#This Row],[CUIT]],Lista_CUIT[#All],2,0)),"CUIT NO CARGADO")</f>
        <v>-</v>
      </c>
      <c r="H1270" s="99">
        <f>ventas_b_mes1255[[#This Row],[TOTAL]]/1.21</f>
        <v>0</v>
      </c>
      <c r="I1270" s="64">
        <f>ventas_b_mes1255[[#This Row],[IMPORTE NETO]]*0.21</f>
        <v>0</v>
      </c>
      <c r="J1270" s="140"/>
      <c r="K1270" s="140"/>
      <c r="L1270" s="140"/>
      <c r="M1270" s="59"/>
    </row>
    <row r="1271" spans="2:13" x14ac:dyDescent="0.25">
      <c r="B1271" s="134"/>
      <c r="C1271" s="41"/>
      <c r="D1271" s="136"/>
      <c r="E1271" s="137"/>
      <c r="F1271" s="138"/>
      <c r="G1271" s="1" t="str">
        <f>IFERROR(IF(ventas_b_mes1255[[#This Row],[CUIT]]="","-",VLOOKUP(ventas_b_mes1255[[#This Row],[CUIT]],Lista_CUIT[#All],2,0)),"CUIT NO CARGADO")</f>
        <v>-</v>
      </c>
      <c r="H1271" s="99">
        <f>ventas_b_mes1255[[#This Row],[TOTAL]]/1.21</f>
        <v>0</v>
      </c>
      <c r="I1271" s="64">
        <f>ventas_b_mes1255[[#This Row],[IMPORTE NETO]]*0.21</f>
        <v>0</v>
      </c>
      <c r="J1271" s="140"/>
      <c r="K1271" s="140"/>
      <c r="L1271" s="140"/>
      <c r="M1271" s="59"/>
    </row>
    <row r="1272" spans="2:13" x14ac:dyDescent="0.25">
      <c r="B1272" s="134"/>
      <c r="C1272" s="41"/>
      <c r="D1272" s="136"/>
      <c r="E1272" s="137"/>
      <c r="F1272" s="138"/>
      <c r="G1272" s="1" t="str">
        <f>IFERROR(IF(ventas_b_mes1255[[#This Row],[CUIT]]="","-",VLOOKUP(ventas_b_mes1255[[#This Row],[CUIT]],Lista_CUIT[#All],2,0)),"CUIT NO CARGADO")</f>
        <v>-</v>
      </c>
      <c r="H1272" s="99">
        <f>ventas_b_mes1255[[#This Row],[TOTAL]]/1.21</f>
        <v>0</v>
      </c>
      <c r="I1272" s="64">
        <f>ventas_b_mes1255[[#This Row],[IMPORTE NETO]]*0.21</f>
        <v>0</v>
      </c>
      <c r="J1272" s="140"/>
      <c r="K1272" s="140"/>
      <c r="L1272" s="140"/>
      <c r="M1272" s="59"/>
    </row>
    <row r="1273" spans="2:13" x14ac:dyDescent="0.25">
      <c r="B1273" s="134"/>
      <c r="C1273" s="41"/>
      <c r="D1273" s="136"/>
      <c r="E1273" s="137"/>
      <c r="F1273" s="138"/>
      <c r="G1273" s="1" t="str">
        <f>IFERROR(IF(ventas_b_mes1255[[#This Row],[CUIT]]="","-",VLOOKUP(ventas_b_mes1255[[#This Row],[CUIT]],Lista_CUIT[#All],2,0)),"CUIT NO CARGADO")</f>
        <v>-</v>
      </c>
      <c r="H1273" s="99">
        <f>ventas_b_mes1255[[#This Row],[TOTAL]]/1.21</f>
        <v>0</v>
      </c>
      <c r="I1273" s="64">
        <f>ventas_b_mes1255[[#This Row],[IMPORTE NETO]]*0.21</f>
        <v>0</v>
      </c>
      <c r="J1273" s="140"/>
      <c r="K1273" s="140"/>
      <c r="L1273" s="140"/>
      <c r="M1273" s="59"/>
    </row>
    <row r="1274" spans="2:13" x14ac:dyDescent="0.25">
      <c r="B1274" s="134"/>
      <c r="C1274" s="41"/>
      <c r="D1274" s="136"/>
      <c r="E1274" s="137"/>
      <c r="F1274" s="138"/>
      <c r="G1274" s="1" t="str">
        <f>IFERROR(IF(ventas_b_mes1255[[#This Row],[CUIT]]="","-",VLOOKUP(ventas_b_mes1255[[#This Row],[CUIT]],Lista_CUIT[#All],2,0)),"CUIT NO CARGADO")</f>
        <v>-</v>
      </c>
      <c r="H1274" s="99">
        <f>ventas_b_mes1255[[#This Row],[TOTAL]]/1.21</f>
        <v>0</v>
      </c>
      <c r="I1274" s="64">
        <f>ventas_b_mes1255[[#This Row],[IMPORTE NETO]]*0.21</f>
        <v>0</v>
      </c>
      <c r="J1274" s="140"/>
      <c r="K1274" s="140"/>
      <c r="L1274" s="140"/>
      <c r="M1274" s="59"/>
    </row>
    <row r="1275" spans="2:13" x14ac:dyDescent="0.25">
      <c r="B1275" s="134"/>
      <c r="C1275" s="41"/>
      <c r="D1275" s="136"/>
      <c r="E1275" s="137"/>
      <c r="F1275" s="138"/>
      <c r="G1275" s="1" t="str">
        <f>IFERROR(IF(ventas_b_mes1255[[#This Row],[CUIT]]="","-",VLOOKUP(ventas_b_mes1255[[#This Row],[CUIT]],Lista_CUIT[#All],2,0)),"CUIT NO CARGADO")</f>
        <v>-</v>
      </c>
      <c r="H1275" s="99">
        <f>ventas_b_mes1255[[#This Row],[TOTAL]]/1.21</f>
        <v>0</v>
      </c>
      <c r="I1275" s="64">
        <f>ventas_b_mes1255[[#This Row],[IMPORTE NETO]]*0.21</f>
        <v>0</v>
      </c>
      <c r="J1275" s="140"/>
      <c r="K1275" s="140"/>
      <c r="L1275" s="140"/>
      <c r="M1275" s="59"/>
    </row>
    <row r="1276" spans="2:13" x14ac:dyDescent="0.25">
      <c r="B1276" s="134"/>
      <c r="C1276" s="41"/>
      <c r="D1276" s="136"/>
      <c r="E1276" s="137"/>
      <c r="F1276" s="138"/>
      <c r="G1276" s="1" t="str">
        <f>IFERROR(IF(ventas_b_mes1255[[#This Row],[CUIT]]="","-",VLOOKUP(ventas_b_mes1255[[#This Row],[CUIT]],Lista_CUIT[#All],2,0)),"CUIT NO CARGADO")</f>
        <v>-</v>
      </c>
      <c r="H1276" s="99">
        <f>ventas_b_mes1255[[#This Row],[TOTAL]]/1.21</f>
        <v>0</v>
      </c>
      <c r="I1276" s="64">
        <f>ventas_b_mes1255[[#This Row],[IMPORTE NETO]]*0.21</f>
        <v>0</v>
      </c>
      <c r="J1276" s="140"/>
      <c r="K1276" s="140"/>
      <c r="L1276" s="140"/>
      <c r="M1276" s="59"/>
    </row>
    <row r="1277" spans="2:13" x14ac:dyDescent="0.25">
      <c r="B1277" s="134"/>
      <c r="C1277" s="41"/>
      <c r="D1277" s="136"/>
      <c r="E1277" s="137"/>
      <c r="F1277" s="138"/>
      <c r="G1277" s="1" t="str">
        <f>IFERROR(IF(ventas_b_mes1255[[#This Row],[CUIT]]="","-",VLOOKUP(ventas_b_mes1255[[#This Row],[CUIT]],Lista_CUIT[#All],2,0)),"CUIT NO CARGADO")</f>
        <v>-</v>
      </c>
      <c r="H1277" s="99">
        <f>ventas_b_mes1255[[#This Row],[TOTAL]]/1.21</f>
        <v>0</v>
      </c>
      <c r="I1277" s="64">
        <f>ventas_b_mes1255[[#This Row],[IMPORTE NETO]]*0.21</f>
        <v>0</v>
      </c>
      <c r="J1277" s="140"/>
      <c r="K1277" s="140"/>
      <c r="L1277" s="140"/>
      <c r="M1277" s="59"/>
    </row>
    <row r="1278" spans="2:13" x14ac:dyDescent="0.25">
      <c r="B1278" s="134"/>
      <c r="C1278" s="41"/>
      <c r="D1278" s="136"/>
      <c r="E1278" s="137"/>
      <c r="F1278" s="138"/>
      <c r="G1278" s="1" t="str">
        <f>IFERROR(IF(ventas_b_mes1255[[#This Row],[CUIT]]="","-",VLOOKUP(ventas_b_mes1255[[#This Row],[CUIT]],Lista_CUIT[#All],2,0)),"CUIT NO CARGADO")</f>
        <v>-</v>
      </c>
      <c r="H1278" s="99">
        <f>ventas_b_mes1255[[#This Row],[TOTAL]]/1.21</f>
        <v>0</v>
      </c>
      <c r="I1278" s="64">
        <f>ventas_b_mes1255[[#This Row],[IMPORTE NETO]]*0.21</f>
        <v>0</v>
      </c>
      <c r="J1278" s="140"/>
      <c r="K1278" s="140"/>
      <c r="L1278" s="140"/>
      <c r="M1278" s="59"/>
    </row>
    <row r="1279" spans="2:13" x14ac:dyDescent="0.25">
      <c r="B1279" s="134"/>
      <c r="C1279" s="41"/>
      <c r="D1279" s="136"/>
      <c r="E1279" s="137"/>
      <c r="F1279" s="138"/>
      <c r="G1279" s="1" t="str">
        <f>IFERROR(IF(ventas_b_mes1255[[#This Row],[CUIT]]="","-",VLOOKUP(ventas_b_mes1255[[#This Row],[CUIT]],Lista_CUIT[#All],2,0)),"CUIT NO CARGADO")</f>
        <v>-</v>
      </c>
      <c r="H1279" s="99">
        <f>ventas_b_mes1255[[#This Row],[TOTAL]]/1.21</f>
        <v>0</v>
      </c>
      <c r="I1279" s="64">
        <f>ventas_b_mes1255[[#This Row],[IMPORTE NETO]]*0.21</f>
        <v>0</v>
      </c>
      <c r="J1279" s="140"/>
      <c r="K1279" s="140"/>
      <c r="L1279" s="140"/>
      <c r="M1279" s="59"/>
    </row>
    <row r="1280" spans="2:13" x14ac:dyDescent="0.25">
      <c r="B1280" s="134"/>
      <c r="C1280" s="41"/>
      <c r="D1280" s="136"/>
      <c r="E1280" s="137"/>
      <c r="F1280" s="138"/>
      <c r="G1280" s="1" t="str">
        <f>IFERROR(IF(ventas_b_mes1255[[#This Row],[CUIT]]="","-",VLOOKUP(ventas_b_mes1255[[#This Row],[CUIT]],Lista_CUIT[#All],2,0)),"CUIT NO CARGADO")</f>
        <v>-</v>
      </c>
      <c r="H1280" s="99">
        <f>ventas_b_mes1255[[#This Row],[TOTAL]]/1.21</f>
        <v>0</v>
      </c>
      <c r="I1280" s="64">
        <f>ventas_b_mes1255[[#This Row],[IMPORTE NETO]]*0.21</f>
        <v>0</v>
      </c>
      <c r="J1280" s="140"/>
      <c r="K1280" s="140"/>
      <c r="L1280" s="140"/>
      <c r="M1280" s="59"/>
    </row>
    <row r="1281" spans="2:13" x14ac:dyDescent="0.25">
      <c r="B1281" s="134"/>
      <c r="C1281" s="41"/>
      <c r="D1281" s="136"/>
      <c r="E1281" s="137"/>
      <c r="F1281" s="138"/>
      <c r="G1281" s="1" t="str">
        <f>IFERROR(IF(ventas_b_mes1255[[#This Row],[CUIT]]="","-",VLOOKUP(ventas_b_mes1255[[#This Row],[CUIT]],Lista_CUIT[#All],2,0)),"CUIT NO CARGADO")</f>
        <v>-</v>
      </c>
      <c r="H1281" s="99">
        <f>ventas_b_mes1255[[#This Row],[TOTAL]]/1.21</f>
        <v>0</v>
      </c>
      <c r="I1281" s="64">
        <f>ventas_b_mes1255[[#This Row],[IMPORTE NETO]]*0.21</f>
        <v>0</v>
      </c>
      <c r="J1281" s="140"/>
      <c r="K1281" s="140"/>
      <c r="L1281" s="140"/>
      <c r="M1281" s="59"/>
    </row>
    <row r="1282" spans="2:13" x14ac:dyDescent="0.25">
      <c r="B1282" s="134"/>
      <c r="C1282" s="41"/>
      <c r="D1282" s="136"/>
      <c r="E1282" s="137"/>
      <c r="F1282" s="138"/>
      <c r="G1282" s="1" t="str">
        <f>IFERROR(IF(ventas_b_mes1255[[#This Row],[CUIT]]="","-",VLOOKUP(ventas_b_mes1255[[#This Row],[CUIT]],Lista_CUIT[#All],2,0)),"CUIT NO CARGADO")</f>
        <v>-</v>
      </c>
      <c r="H1282" s="99">
        <f>ventas_b_mes1255[[#This Row],[TOTAL]]/1.21</f>
        <v>0</v>
      </c>
      <c r="I1282" s="64">
        <f>ventas_b_mes1255[[#This Row],[IMPORTE NETO]]*0.21</f>
        <v>0</v>
      </c>
      <c r="J1282" s="140"/>
      <c r="K1282" s="140"/>
      <c r="L1282" s="140"/>
      <c r="M1282" s="59"/>
    </row>
    <row r="1283" spans="2:13" x14ac:dyDescent="0.25">
      <c r="B1283" s="134"/>
      <c r="C1283" s="41"/>
      <c r="D1283" s="136"/>
      <c r="E1283" s="137"/>
      <c r="F1283" s="138"/>
      <c r="G1283" s="1" t="str">
        <f>IFERROR(IF(ventas_b_mes1255[[#This Row],[CUIT]]="","-",VLOOKUP(ventas_b_mes1255[[#This Row],[CUIT]],Lista_CUIT[#All],2,0)),"CUIT NO CARGADO")</f>
        <v>-</v>
      </c>
      <c r="H1283" s="99">
        <f>ventas_b_mes1255[[#This Row],[TOTAL]]/1.21</f>
        <v>0</v>
      </c>
      <c r="I1283" s="64">
        <f>ventas_b_mes1255[[#This Row],[IMPORTE NETO]]*0.21</f>
        <v>0</v>
      </c>
      <c r="J1283" s="140"/>
      <c r="K1283" s="140"/>
      <c r="L1283" s="140"/>
      <c r="M1283" s="59"/>
    </row>
    <row r="1284" spans="2:13" x14ac:dyDescent="0.25">
      <c r="B1284" s="134"/>
      <c r="C1284" s="41"/>
      <c r="D1284" s="136"/>
      <c r="E1284" s="137"/>
      <c r="F1284" s="138"/>
      <c r="G1284" s="1" t="str">
        <f>IFERROR(IF(ventas_b_mes1255[[#This Row],[CUIT]]="","-",VLOOKUP(ventas_b_mes1255[[#This Row],[CUIT]],Lista_CUIT[#All],2,0)),"CUIT NO CARGADO")</f>
        <v>-</v>
      </c>
      <c r="H1284" s="99">
        <f>ventas_b_mes1255[[#This Row],[TOTAL]]/1.21</f>
        <v>0</v>
      </c>
      <c r="I1284" s="64">
        <f>ventas_b_mes1255[[#This Row],[IMPORTE NETO]]*0.21</f>
        <v>0</v>
      </c>
      <c r="J1284" s="140"/>
      <c r="K1284" s="140"/>
      <c r="L1284" s="140"/>
      <c r="M1284" s="59"/>
    </row>
    <row r="1285" spans="2:13" x14ac:dyDescent="0.25">
      <c r="B1285" s="134"/>
      <c r="C1285" s="41"/>
      <c r="D1285" s="136"/>
      <c r="E1285" s="137"/>
      <c r="F1285" s="138"/>
      <c r="G1285" s="1" t="str">
        <f>IFERROR(IF(ventas_b_mes1255[[#This Row],[CUIT]]="","-",VLOOKUP(ventas_b_mes1255[[#This Row],[CUIT]],Lista_CUIT[#All],2,0)),"CUIT NO CARGADO")</f>
        <v>-</v>
      </c>
      <c r="H1285" s="99">
        <f>ventas_b_mes1255[[#This Row],[TOTAL]]/1.21</f>
        <v>0</v>
      </c>
      <c r="I1285" s="64">
        <f>ventas_b_mes1255[[#This Row],[IMPORTE NETO]]*0.21</f>
        <v>0</v>
      </c>
      <c r="J1285" s="140"/>
      <c r="K1285" s="140"/>
      <c r="L1285" s="140"/>
      <c r="M1285" s="59"/>
    </row>
    <row r="1286" spans="2:13" x14ac:dyDescent="0.25">
      <c r="B1286" s="134"/>
      <c r="C1286" s="41"/>
      <c r="D1286" s="136"/>
      <c r="E1286" s="137"/>
      <c r="F1286" s="138"/>
      <c r="G1286" s="1" t="str">
        <f>IFERROR(IF(ventas_b_mes1255[[#This Row],[CUIT]]="","-",VLOOKUP(ventas_b_mes1255[[#This Row],[CUIT]],Lista_CUIT[#All],2,0)),"CUIT NO CARGADO")</f>
        <v>-</v>
      </c>
      <c r="H1286" s="99">
        <f>ventas_b_mes1255[[#This Row],[TOTAL]]/1.21</f>
        <v>0</v>
      </c>
      <c r="I1286" s="64">
        <f>ventas_b_mes1255[[#This Row],[IMPORTE NETO]]*0.21</f>
        <v>0</v>
      </c>
      <c r="J1286" s="140"/>
      <c r="K1286" s="140"/>
      <c r="L1286" s="140"/>
      <c r="M1286" s="59"/>
    </row>
    <row r="1287" spans="2:13" x14ac:dyDescent="0.25">
      <c r="B1287" s="134"/>
      <c r="C1287" s="41"/>
      <c r="D1287" s="136"/>
      <c r="E1287" s="137"/>
      <c r="F1287" s="138"/>
      <c r="G1287" s="1" t="str">
        <f>IFERROR(IF(ventas_b_mes1255[[#This Row],[CUIT]]="","-",VLOOKUP(ventas_b_mes1255[[#This Row],[CUIT]],Lista_CUIT[#All],2,0)),"CUIT NO CARGADO")</f>
        <v>-</v>
      </c>
      <c r="H1287" s="99">
        <f>ventas_b_mes1255[[#This Row],[TOTAL]]/1.21</f>
        <v>0</v>
      </c>
      <c r="I1287" s="64">
        <f>ventas_b_mes1255[[#This Row],[IMPORTE NETO]]*0.21</f>
        <v>0</v>
      </c>
      <c r="J1287" s="140"/>
      <c r="K1287" s="140"/>
      <c r="L1287" s="140"/>
      <c r="M1287" s="59"/>
    </row>
    <row r="1288" spans="2:13" x14ac:dyDescent="0.25">
      <c r="B1288" s="134"/>
      <c r="C1288" s="41"/>
      <c r="D1288" s="136"/>
      <c r="E1288" s="137"/>
      <c r="F1288" s="138"/>
      <c r="G1288" s="1" t="str">
        <f>IFERROR(IF(ventas_b_mes1255[[#This Row],[CUIT]]="","-",VLOOKUP(ventas_b_mes1255[[#This Row],[CUIT]],Lista_CUIT[#All],2,0)),"CUIT NO CARGADO")</f>
        <v>-</v>
      </c>
      <c r="H1288" s="99">
        <f>ventas_b_mes1255[[#This Row],[TOTAL]]/1.21</f>
        <v>0</v>
      </c>
      <c r="I1288" s="64">
        <f>ventas_b_mes1255[[#This Row],[IMPORTE NETO]]*0.21</f>
        <v>0</v>
      </c>
      <c r="J1288" s="140"/>
      <c r="K1288" s="140"/>
      <c r="L1288" s="140"/>
      <c r="M1288" s="59"/>
    </row>
    <row r="1289" spans="2:13" x14ac:dyDescent="0.25">
      <c r="B1289" s="134"/>
      <c r="C1289" s="41"/>
      <c r="D1289" s="136"/>
      <c r="E1289" s="137"/>
      <c r="F1289" s="138"/>
      <c r="G1289" s="1" t="str">
        <f>IFERROR(IF(ventas_b_mes1255[[#This Row],[CUIT]]="","-",VLOOKUP(ventas_b_mes1255[[#This Row],[CUIT]],Lista_CUIT[#All],2,0)),"CUIT NO CARGADO")</f>
        <v>-</v>
      </c>
      <c r="H1289" s="99">
        <f>ventas_b_mes1255[[#This Row],[TOTAL]]/1.21</f>
        <v>0</v>
      </c>
      <c r="I1289" s="64">
        <f>ventas_b_mes1255[[#This Row],[IMPORTE NETO]]*0.21</f>
        <v>0</v>
      </c>
      <c r="J1289" s="140"/>
      <c r="K1289" s="140"/>
      <c r="L1289" s="140"/>
      <c r="M1289" s="59"/>
    </row>
    <row r="1290" spans="2:13" x14ac:dyDescent="0.25">
      <c r="B1290" s="134"/>
      <c r="C1290" s="41"/>
      <c r="D1290" s="136"/>
      <c r="E1290" s="137"/>
      <c r="F1290" s="138"/>
      <c r="G1290" s="1" t="str">
        <f>IFERROR(IF(ventas_b_mes1255[[#This Row],[CUIT]]="","-",VLOOKUP(ventas_b_mes1255[[#This Row],[CUIT]],Lista_CUIT[#All],2,0)),"CUIT NO CARGADO")</f>
        <v>-</v>
      </c>
      <c r="H1290" s="99">
        <f>ventas_b_mes1255[[#This Row],[TOTAL]]/1.21</f>
        <v>0</v>
      </c>
      <c r="I1290" s="64">
        <f>ventas_b_mes1255[[#This Row],[IMPORTE NETO]]*0.21</f>
        <v>0</v>
      </c>
      <c r="J1290" s="140"/>
      <c r="K1290" s="140"/>
      <c r="L1290" s="140"/>
      <c r="M1290" s="59"/>
    </row>
    <row r="1291" spans="2:13" x14ac:dyDescent="0.25">
      <c r="B1291" s="134"/>
      <c r="C1291" s="41"/>
      <c r="D1291" s="136"/>
      <c r="E1291" s="137"/>
      <c r="F1291" s="138"/>
      <c r="G1291" s="1" t="str">
        <f>IFERROR(IF(ventas_b_mes1255[[#This Row],[CUIT]]="","-",VLOOKUP(ventas_b_mes1255[[#This Row],[CUIT]],Lista_CUIT[#All],2,0)),"CUIT NO CARGADO")</f>
        <v>-</v>
      </c>
      <c r="H1291" s="99">
        <f>ventas_b_mes1255[[#This Row],[TOTAL]]/1.21</f>
        <v>0</v>
      </c>
      <c r="I1291" s="64">
        <f>ventas_b_mes1255[[#This Row],[IMPORTE NETO]]*0.21</f>
        <v>0</v>
      </c>
      <c r="J1291" s="140"/>
      <c r="K1291" s="140"/>
      <c r="L1291" s="140"/>
      <c r="M1291" s="59"/>
    </row>
    <row r="1292" spans="2:13" x14ac:dyDescent="0.25">
      <c r="B1292" s="134"/>
      <c r="C1292" s="41"/>
      <c r="D1292" s="136"/>
      <c r="E1292" s="137"/>
      <c r="F1292" s="138"/>
      <c r="G1292" s="1" t="str">
        <f>IFERROR(IF(ventas_b_mes1255[[#This Row],[CUIT]]="","-",VLOOKUP(ventas_b_mes1255[[#This Row],[CUIT]],Lista_CUIT[#All],2,0)),"CUIT NO CARGADO")</f>
        <v>-</v>
      </c>
      <c r="H1292" s="99">
        <f>ventas_b_mes1255[[#This Row],[TOTAL]]/1.21</f>
        <v>0</v>
      </c>
      <c r="I1292" s="64">
        <f>ventas_b_mes1255[[#This Row],[IMPORTE NETO]]*0.21</f>
        <v>0</v>
      </c>
      <c r="J1292" s="140"/>
      <c r="K1292" s="140"/>
      <c r="L1292" s="140"/>
      <c r="M1292" s="59"/>
    </row>
    <row r="1293" spans="2:13" x14ac:dyDescent="0.25">
      <c r="B1293" s="134"/>
      <c r="C1293" s="41"/>
      <c r="D1293" s="136"/>
      <c r="E1293" s="137"/>
      <c r="F1293" s="138"/>
      <c r="G1293" s="1" t="str">
        <f>IFERROR(IF(ventas_b_mes1255[[#This Row],[CUIT]]="","-",VLOOKUP(ventas_b_mes1255[[#This Row],[CUIT]],Lista_CUIT[#All],2,0)),"CUIT NO CARGADO")</f>
        <v>-</v>
      </c>
      <c r="H1293" s="99">
        <f>ventas_b_mes1255[[#This Row],[TOTAL]]/1.21</f>
        <v>0</v>
      </c>
      <c r="I1293" s="64">
        <f>ventas_b_mes1255[[#This Row],[IMPORTE NETO]]*0.21</f>
        <v>0</v>
      </c>
      <c r="J1293" s="140"/>
      <c r="K1293" s="140"/>
      <c r="L1293" s="140"/>
      <c r="M1293" s="59"/>
    </row>
    <row r="1294" spans="2:13" x14ac:dyDescent="0.25">
      <c r="B1294" s="134"/>
      <c r="C1294" s="41"/>
      <c r="D1294" s="136"/>
      <c r="E1294" s="137"/>
      <c r="F1294" s="138"/>
      <c r="G1294" s="1" t="str">
        <f>IFERROR(IF(ventas_b_mes1255[[#This Row],[CUIT]]="","-",VLOOKUP(ventas_b_mes1255[[#This Row],[CUIT]],Lista_CUIT[#All],2,0)),"CUIT NO CARGADO")</f>
        <v>-</v>
      </c>
      <c r="H1294" s="99">
        <f>ventas_b_mes1255[[#This Row],[TOTAL]]/1.21</f>
        <v>0</v>
      </c>
      <c r="I1294" s="64">
        <f>ventas_b_mes1255[[#This Row],[IMPORTE NETO]]*0.21</f>
        <v>0</v>
      </c>
      <c r="J1294" s="140"/>
      <c r="K1294" s="140"/>
      <c r="L1294" s="140"/>
      <c r="M1294" s="59"/>
    </row>
    <row r="1295" spans="2:13" x14ac:dyDescent="0.25">
      <c r="B1295" s="134"/>
      <c r="C1295" s="41"/>
      <c r="D1295" s="136"/>
      <c r="E1295" s="137"/>
      <c r="F1295" s="138"/>
      <c r="G1295" s="1" t="str">
        <f>IFERROR(IF(ventas_b_mes1255[[#This Row],[CUIT]]="","-",VLOOKUP(ventas_b_mes1255[[#This Row],[CUIT]],Lista_CUIT[#All],2,0)),"CUIT NO CARGADO")</f>
        <v>-</v>
      </c>
      <c r="H1295" s="99">
        <f>ventas_b_mes1255[[#This Row],[TOTAL]]/1.21</f>
        <v>0</v>
      </c>
      <c r="I1295" s="64">
        <f>ventas_b_mes1255[[#This Row],[IMPORTE NETO]]*0.21</f>
        <v>0</v>
      </c>
      <c r="J1295" s="140"/>
      <c r="K1295" s="140"/>
      <c r="L1295" s="140"/>
      <c r="M1295" s="59"/>
    </row>
    <row r="1296" spans="2:13" x14ac:dyDescent="0.25">
      <c r="B1296" s="134"/>
      <c r="C1296" s="41"/>
      <c r="D1296" s="136"/>
      <c r="E1296" s="137"/>
      <c r="F1296" s="138"/>
      <c r="G1296" s="1" t="str">
        <f>IFERROR(IF(ventas_b_mes1255[[#This Row],[CUIT]]="","-",VLOOKUP(ventas_b_mes1255[[#This Row],[CUIT]],Lista_CUIT[#All],2,0)),"CUIT NO CARGADO")</f>
        <v>-</v>
      </c>
      <c r="H1296" s="99">
        <f>ventas_b_mes1255[[#This Row],[TOTAL]]/1.21</f>
        <v>0</v>
      </c>
      <c r="I1296" s="64">
        <f>ventas_b_mes1255[[#This Row],[IMPORTE NETO]]*0.21</f>
        <v>0</v>
      </c>
      <c r="J1296" s="140"/>
      <c r="K1296" s="140"/>
      <c r="L1296" s="140"/>
      <c r="M1296" s="59"/>
    </row>
    <row r="1297" spans="2:13" x14ac:dyDescent="0.25">
      <c r="B1297" s="134"/>
      <c r="C1297" s="41"/>
      <c r="D1297" s="136"/>
      <c r="E1297" s="137"/>
      <c r="F1297" s="138"/>
      <c r="G1297" s="1" t="str">
        <f>IFERROR(IF(ventas_b_mes1255[[#This Row],[CUIT]]="","-",VLOOKUP(ventas_b_mes1255[[#This Row],[CUIT]],Lista_CUIT[#All],2,0)),"CUIT NO CARGADO")</f>
        <v>-</v>
      </c>
      <c r="H1297" s="99">
        <f>ventas_b_mes1255[[#This Row],[TOTAL]]/1.21</f>
        <v>0</v>
      </c>
      <c r="I1297" s="64">
        <f>ventas_b_mes1255[[#This Row],[IMPORTE NETO]]*0.21</f>
        <v>0</v>
      </c>
      <c r="J1297" s="140"/>
      <c r="K1297" s="140"/>
      <c r="L1297" s="140"/>
      <c r="M1297" s="59"/>
    </row>
    <row r="1298" spans="2:13" x14ac:dyDescent="0.25">
      <c r="B1298" s="134"/>
      <c r="C1298" s="41"/>
      <c r="D1298" s="136"/>
      <c r="E1298" s="137"/>
      <c r="F1298" s="138"/>
      <c r="G1298" s="1" t="str">
        <f>IFERROR(IF(ventas_b_mes1255[[#This Row],[CUIT]]="","-",VLOOKUP(ventas_b_mes1255[[#This Row],[CUIT]],Lista_CUIT[#All],2,0)),"CUIT NO CARGADO")</f>
        <v>-</v>
      </c>
      <c r="H1298" s="99">
        <f>ventas_b_mes1255[[#This Row],[TOTAL]]/1.21</f>
        <v>0</v>
      </c>
      <c r="I1298" s="64">
        <f>ventas_b_mes1255[[#This Row],[IMPORTE NETO]]*0.21</f>
        <v>0</v>
      </c>
      <c r="J1298" s="140"/>
      <c r="K1298" s="140"/>
      <c r="L1298" s="140"/>
      <c r="M1298" s="59"/>
    </row>
    <row r="1299" spans="2:13" x14ac:dyDescent="0.25">
      <c r="B1299" s="134"/>
      <c r="C1299" s="41"/>
      <c r="D1299" s="136"/>
      <c r="E1299" s="137"/>
      <c r="F1299" s="138"/>
      <c r="G1299" s="1" t="str">
        <f>IFERROR(IF(ventas_b_mes1255[[#This Row],[CUIT]]="","-",VLOOKUP(ventas_b_mes1255[[#This Row],[CUIT]],Lista_CUIT[#All],2,0)),"CUIT NO CARGADO")</f>
        <v>-</v>
      </c>
      <c r="H1299" s="99">
        <f>ventas_b_mes1255[[#This Row],[TOTAL]]/1.21</f>
        <v>0</v>
      </c>
      <c r="I1299" s="64">
        <f>ventas_b_mes1255[[#This Row],[IMPORTE NETO]]*0.21</f>
        <v>0</v>
      </c>
      <c r="J1299" s="140"/>
      <c r="K1299" s="140"/>
      <c r="L1299" s="140"/>
      <c r="M1299" s="59"/>
    </row>
    <row r="1300" spans="2:13" x14ac:dyDescent="0.25">
      <c r="B1300" s="134"/>
      <c r="C1300" s="41"/>
      <c r="D1300" s="136"/>
      <c r="E1300" s="137"/>
      <c r="F1300" s="138"/>
      <c r="G1300" s="1" t="str">
        <f>IFERROR(IF(ventas_b_mes1255[[#This Row],[CUIT]]="","-",VLOOKUP(ventas_b_mes1255[[#This Row],[CUIT]],Lista_CUIT[#All],2,0)),"CUIT NO CARGADO")</f>
        <v>-</v>
      </c>
      <c r="H1300" s="99">
        <f>ventas_b_mes1255[[#This Row],[TOTAL]]/1.21</f>
        <v>0</v>
      </c>
      <c r="I1300" s="64">
        <f>ventas_b_mes1255[[#This Row],[IMPORTE NETO]]*0.21</f>
        <v>0</v>
      </c>
      <c r="J1300" s="140"/>
      <c r="K1300" s="140"/>
      <c r="L1300" s="140"/>
      <c r="M1300" s="59"/>
    </row>
    <row r="1301" spans="2:13" x14ac:dyDescent="0.25">
      <c r="B1301" s="134"/>
      <c r="C1301" s="41"/>
      <c r="D1301" s="136"/>
      <c r="E1301" s="137"/>
      <c r="F1301" s="138"/>
      <c r="G1301" s="1" t="str">
        <f>IFERROR(IF(ventas_b_mes1255[[#This Row],[CUIT]]="","-",VLOOKUP(ventas_b_mes1255[[#This Row],[CUIT]],Lista_CUIT[#All],2,0)),"CUIT NO CARGADO")</f>
        <v>-</v>
      </c>
      <c r="H1301" s="99">
        <f>ventas_b_mes1255[[#This Row],[TOTAL]]/1.21</f>
        <v>0</v>
      </c>
      <c r="I1301" s="64">
        <f>ventas_b_mes1255[[#This Row],[IMPORTE NETO]]*0.21</f>
        <v>0</v>
      </c>
      <c r="J1301" s="140"/>
      <c r="K1301" s="140"/>
      <c r="L1301" s="140"/>
      <c r="M1301" s="59"/>
    </row>
    <row r="1302" spans="2:13" x14ac:dyDescent="0.25">
      <c r="B1302" s="134"/>
      <c r="C1302" s="41"/>
      <c r="D1302" s="136"/>
      <c r="E1302" s="137"/>
      <c r="F1302" s="138"/>
      <c r="G1302" s="1" t="str">
        <f>IFERROR(IF(ventas_b_mes1255[[#This Row],[CUIT]]="","-",VLOOKUP(ventas_b_mes1255[[#This Row],[CUIT]],Lista_CUIT[#All],2,0)),"CUIT NO CARGADO")</f>
        <v>-</v>
      </c>
      <c r="H1302" s="99">
        <f>ventas_b_mes1255[[#This Row],[TOTAL]]/1.21</f>
        <v>0</v>
      </c>
      <c r="I1302" s="64">
        <f>ventas_b_mes1255[[#This Row],[IMPORTE NETO]]*0.21</f>
        <v>0</v>
      </c>
      <c r="J1302" s="140"/>
      <c r="K1302" s="140"/>
      <c r="L1302" s="140"/>
      <c r="M1302" s="59"/>
    </row>
    <row r="1303" spans="2:13" x14ac:dyDescent="0.25">
      <c r="B1303" s="134"/>
      <c r="C1303" s="41"/>
      <c r="D1303" s="136"/>
      <c r="E1303" s="137"/>
      <c r="F1303" s="138"/>
      <c r="G1303" s="1" t="str">
        <f>IFERROR(IF(ventas_b_mes1255[[#This Row],[CUIT]]="","-",VLOOKUP(ventas_b_mes1255[[#This Row],[CUIT]],Lista_CUIT[#All],2,0)),"CUIT NO CARGADO")</f>
        <v>-</v>
      </c>
      <c r="H1303" s="99">
        <f>ventas_b_mes1255[[#This Row],[TOTAL]]/1.21</f>
        <v>0</v>
      </c>
      <c r="I1303" s="64">
        <f>ventas_b_mes1255[[#This Row],[IMPORTE NETO]]*0.21</f>
        <v>0</v>
      </c>
      <c r="J1303" s="140"/>
      <c r="K1303" s="140"/>
      <c r="L1303" s="140"/>
      <c r="M1303" s="59"/>
    </row>
    <row r="1304" spans="2:13" x14ac:dyDescent="0.25">
      <c r="B1304" s="134"/>
      <c r="C1304" s="41"/>
      <c r="D1304" s="136"/>
      <c r="E1304" s="137"/>
      <c r="F1304" s="138"/>
      <c r="G1304" s="1" t="str">
        <f>IFERROR(IF(ventas_b_mes1255[[#This Row],[CUIT]]="","-",VLOOKUP(ventas_b_mes1255[[#This Row],[CUIT]],Lista_CUIT[#All],2,0)),"CUIT NO CARGADO")</f>
        <v>-</v>
      </c>
      <c r="H1304" s="99">
        <f>ventas_b_mes1255[[#This Row],[TOTAL]]/1.21</f>
        <v>0</v>
      </c>
      <c r="I1304" s="64">
        <f>ventas_b_mes1255[[#This Row],[IMPORTE NETO]]*0.21</f>
        <v>0</v>
      </c>
      <c r="J1304" s="140"/>
      <c r="K1304" s="140"/>
      <c r="L1304" s="140"/>
      <c r="M1304" s="59"/>
    </row>
    <row r="1305" spans="2:13" x14ac:dyDescent="0.25">
      <c r="B1305" s="134"/>
      <c r="C1305" s="41"/>
      <c r="D1305" s="136"/>
      <c r="E1305" s="137"/>
      <c r="F1305" s="138"/>
      <c r="G1305" s="1" t="str">
        <f>IFERROR(IF(ventas_b_mes1255[[#This Row],[CUIT]]="","-",VLOOKUP(ventas_b_mes1255[[#This Row],[CUIT]],Lista_CUIT[#All],2,0)),"CUIT NO CARGADO")</f>
        <v>-</v>
      </c>
      <c r="H1305" s="99">
        <f>ventas_b_mes1255[[#This Row],[TOTAL]]/1.21</f>
        <v>0</v>
      </c>
      <c r="I1305" s="64">
        <f>ventas_b_mes1255[[#This Row],[IMPORTE NETO]]*0.21</f>
        <v>0</v>
      </c>
      <c r="J1305" s="140"/>
      <c r="K1305" s="140"/>
      <c r="L1305" s="140"/>
      <c r="M1305" s="59"/>
    </row>
    <row r="1306" spans="2:13" x14ac:dyDescent="0.25">
      <c r="B1306" s="134"/>
      <c r="C1306" s="41"/>
      <c r="D1306" s="136"/>
      <c r="E1306" s="137"/>
      <c r="F1306" s="138"/>
      <c r="G1306" s="1" t="str">
        <f>IFERROR(IF(ventas_b_mes1255[[#This Row],[CUIT]]="","-",VLOOKUP(ventas_b_mes1255[[#This Row],[CUIT]],Lista_CUIT[#All],2,0)),"CUIT NO CARGADO")</f>
        <v>-</v>
      </c>
      <c r="H1306" s="99">
        <f>ventas_b_mes1255[[#This Row],[TOTAL]]/1.21</f>
        <v>0</v>
      </c>
      <c r="I1306" s="64">
        <f>ventas_b_mes1255[[#This Row],[IMPORTE NETO]]*0.21</f>
        <v>0</v>
      </c>
      <c r="J1306" s="140"/>
      <c r="K1306" s="140"/>
      <c r="L1306" s="140"/>
      <c r="M1306" s="59"/>
    </row>
    <row r="1307" spans="2:13" x14ac:dyDescent="0.25">
      <c r="B1307" s="134"/>
      <c r="C1307" s="41"/>
      <c r="D1307" s="136"/>
      <c r="E1307" s="137"/>
      <c r="F1307" s="138"/>
      <c r="G1307" s="1" t="str">
        <f>IFERROR(IF(ventas_b_mes1255[[#This Row],[CUIT]]="","-",VLOOKUP(ventas_b_mes1255[[#This Row],[CUIT]],Lista_CUIT[#All],2,0)),"CUIT NO CARGADO")</f>
        <v>-</v>
      </c>
      <c r="H1307" s="99">
        <f>ventas_b_mes1255[[#This Row],[TOTAL]]/1.21</f>
        <v>0</v>
      </c>
      <c r="I1307" s="64">
        <f>ventas_b_mes1255[[#This Row],[IMPORTE NETO]]*0.21</f>
        <v>0</v>
      </c>
      <c r="J1307" s="140"/>
      <c r="K1307" s="140"/>
      <c r="L1307" s="140"/>
      <c r="M1307" s="59"/>
    </row>
    <row r="1308" spans="2:13" x14ac:dyDescent="0.25">
      <c r="B1308" s="134"/>
      <c r="C1308" s="41"/>
      <c r="D1308" s="136"/>
      <c r="E1308" s="137"/>
      <c r="F1308" s="138"/>
      <c r="G1308" s="1" t="str">
        <f>IFERROR(IF(ventas_b_mes1255[[#This Row],[CUIT]]="","-",VLOOKUP(ventas_b_mes1255[[#This Row],[CUIT]],Lista_CUIT[#All],2,0)),"CUIT NO CARGADO")</f>
        <v>-</v>
      </c>
      <c r="H1308" s="99">
        <f>ventas_b_mes1255[[#This Row],[TOTAL]]/1.21</f>
        <v>0</v>
      </c>
      <c r="I1308" s="64">
        <f>ventas_b_mes1255[[#This Row],[IMPORTE NETO]]*0.21</f>
        <v>0</v>
      </c>
      <c r="J1308" s="140"/>
      <c r="K1308" s="140"/>
      <c r="L1308" s="140"/>
      <c r="M1308" s="59"/>
    </row>
    <row r="1309" spans="2:13" x14ac:dyDescent="0.25">
      <c r="B1309" s="134"/>
      <c r="C1309" s="41"/>
      <c r="D1309" s="136"/>
      <c r="E1309" s="137"/>
      <c r="F1309" s="138"/>
      <c r="G1309" s="1" t="str">
        <f>IFERROR(IF(ventas_b_mes1255[[#This Row],[CUIT]]="","-",VLOOKUP(ventas_b_mes1255[[#This Row],[CUIT]],Lista_CUIT[#All],2,0)),"CUIT NO CARGADO")</f>
        <v>-</v>
      </c>
      <c r="H1309" s="99">
        <f>ventas_b_mes1255[[#This Row],[TOTAL]]/1.21</f>
        <v>0</v>
      </c>
      <c r="I1309" s="64">
        <f>ventas_b_mes1255[[#This Row],[IMPORTE NETO]]*0.21</f>
        <v>0</v>
      </c>
      <c r="J1309" s="140"/>
      <c r="K1309" s="140"/>
      <c r="L1309" s="140"/>
      <c r="M1309" s="59"/>
    </row>
    <row r="1310" spans="2:13" x14ac:dyDescent="0.25">
      <c r="B1310" s="134"/>
      <c r="C1310" s="41"/>
      <c r="D1310" s="136"/>
      <c r="E1310" s="137"/>
      <c r="F1310" s="138"/>
      <c r="G1310" s="1" t="str">
        <f>IFERROR(IF(ventas_b_mes1255[[#This Row],[CUIT]]="","-",VLOOKUP(ventas_b_mes1255[[#This Row],[CUIT]],Lista_CUIT[#All],2,0)),"CUIT NO CARGADO")</f>
        <v>-</v>
      </c>
      <c r="H1310" s="99">
        <f>ventas_b_mes1255[[#This Row],[TOTAL]]/1.21</f>
        <v>0</v>
      </c>
      <c r="I1310" s="64">
        <f>ventas_b_mes1255[[#This Row],[IMPORTE NETO]]*0.21</f>
        <v>0</v>
      </c>
      <c r="J1310" s="140"/>
      <c r="K1310" s="140"/>
      <c r="L1310" s="140"/>
      <c r="M1310" s="59"/>
    </row>
    <row r="1311" spans="2:13" x14ac:dyDescent="0.25">
      <c r="B1311" s="134"/>
      <c r="C1311" s="41"/>
      <c r="D1311" s="136"/>
      <c r="E1311" s="137"/>
      <c r="F1311" s="138"/>
      <c r="G1311" s="1" t="str">
        <f>IFERROR(IF(ventas_b_mes1255[[#This Row],[CUIT]]="","-",VLOOKUP(ventas_b_mes1255[[#This Row],[CUIT]],Lista_CUIT[#All],2,0)),"CUIT NO CARGADO")</f>
        <v>-</v>
      </c>
      <c r="H1311" s="99">
        <f>ventas_b_mes1255[[#This Row],[TOTAL]]/1.21</f>
        <v>0</v>
      </c>
      <c r="I1311" s="64">
        <f>ventas_b_mes1255[[#This Row],[IMPORTE NETO]]*0.21</f>
        <v>0</v>
      </c>
      <c r="J1311" s="140"/>
      <c r="K1311" s="140"/>
      <c r="L1311" s="140"/>
      <c r="M1311" s="59"/>
    </row>
    <row r="1312" spans="2:13" x14ac:dyDescent="0.25">
      <c r="B1312" s="134"/>
      <c r="C1312" s="41"/>
      <c r="D1312" s="136"/>
      <c r="E1312" s="137"/>
      <c r="F1312" s="138"/>
      <c r="G1312" s="1" t="str">
        <f>IFERROR(IF(ventas_b_mes1255[[#This Row],[CUIT]]="","-",VLOOKUP(ventas_b_mes1255[[#This Row],[CUIT]],Lista_CUIT[#All],2,0)),"CUIT NO CARGADO")</f>
        <v>-</v>
      </c>
      <c r="H1312" s="99">
        <f>ventas_b_mes1255[[#This Row],[TOTAL]]/1.21</f>
        <v>0</v>
      </c>
      <c r="I1312" s="64">
        <f>ventas_b_mes1255[[#This Row],[IMPORTE NETO]]*0.21</f>
        <v>0</v>
      </c>
      <c r="J1312" s="140"/>
      <c r="K1312" s="140"/>
      <c r="L1312" s="140"/>
      <c r="M1312" s="59"/>
    </row>
    <row r="1313" spans="2:13" x14ac:dyDescent="0.25">
      <c r="B1313" s="134"/>
      <c r="C1313" s="41"/>
      <c r="D1313" s="136"/>
      <c r="E1313" s="137"/>
      <c r="F1313" s="138"/>
      <c r="G1313" s="1" t="str">
        <f>IFERROR(IF(ventas_b_mes1255[[#This Row],[CUIT]]="","-",VLOOKUP(ventas_b_mes1255[[#This Row],[CUIT]],Lista_CUIT[#All],2,0)),"CUIT NO CARGADO")</f>
        <v>-</v>
      </c>
      <c r="H1313" s="99">
        <f>ventas_b_mes1255[[#This Row],[TOTAL]]/1.21</f>
        <v>0</v>
      </c>
      <c r="I1313" s="64">
        <f>ventas_b_mes1255[[#This Row],[IMPORTE NETO]]*0.21</f>
        <v>0</v>
      </c>
      <c r="J1313" s="140"/>
      <c r="K1313" s="140"/>
      <c r="L1313" s="140"/>
      <c r="M1313" s="59"/>
    </row>
    <row r="1314" spans="2:13" x14ac:dyDescent="0.25">
      <c r="B1314" s="134"/>
      <c r="C1314" s="41"/>
      <c r="D1314" s="136"/>
      <c r="E1314" s="137"/>
      <c r="F1314" s="138"/>
      <c r="G1314" s="1" t="str">
        <f>IFERROR(IF(ventas_b_mes1255[[#This Row],[CUIT]]="","-",VLOOKUP(ventas_b_mes1255[[#This Row],[CUIT]],Lista_CUIT[#All],2,0)),"CUIT NO CARGADO")</f>
        <v>-</v>
      </c>
      <c r="H1314" s="99">
        <f>ventas_b_mes1255[[#This Row],[TOTAL]]/1.21</f>
        <v>0</v>
      </c>
      <c r="I1314" s="64">
        <f>ventas_b_mes1255[[#This Row],[IMPORTE NETO]]*0.21</f>
        <v>0</v>
      </c>
      <c r="J1314" s="140"/>
      <c r="K1314" s="140"/>
      <c r="L1314" s="140"/>
      <c r="M1314" s="59"/>
    </row>
    <row r="1315" spans="2:13" x14ac:dyDescent="0.25">
      <c r="B1315" s="134"/>
      <c r="C1315" s="41"/>
      <c r="D1315" s="136"/>
      <c r="E1315" s="137"/>
      <c r="F1315" s="138"/>
      <c r="G1315" s="1" t="str">
        <f>IFERROR(IF(ventas_b_mes1255[[#This Row],[CUIT]]="","-",VLOOKUP(ventas_b_mes1255[[#This Row],[CUIT]],Lista_CUIT[#All],2,0)),"CUIT NO CARGADO")</f>
        <v>-</v>
      </c>
      <c r="H1315" s="99">
        <f>ventas_b_mes1255[[#This Row],[TOTAL]]/1.21</f>
        <v>0</v>
      </c>
      <c r="I1315" s="64">
        <f>ventas_b_mes1255[[#This Row],[IMPORTE NETO]]*0.21</f>
        <v>0</v>
      </c>
      <c r="J1315" s="140"/>
      <c r="K1315" s="140"/>
      <c r="L1315" s="140"/>
      <c r="M1315" s="59"/>
    </row>
    <row r="1316" spans="2:13" x14ac:dyDescent="0.25">
      <c r="B1316" s="134"/>
      <c r="C1316" s="41"/>
      <c r="D1316" s="136"/>
      <c r="E1316" s="137"/>
      <c r="F1316" s="138"/>
      <c r="G1316" s="1" t="str">
        <f>IFERROR(IF(ventas_b_mes1255[[#This Row],[CUIT]]="","-",VLOOKUP(ventas_b_mes1255[[#This Row],[CUIT]],Lista_CUIT[#All],2,0)),"CUIT NO CARGADO")</f>
        <v>-</v>
      </c>
      <c r="H1316" s="99">
        <f>ventas_b_mes1255[[#This Row],[TOTAL]]/1.21</f>
        <v>0</v>
      </c>
      <c r="I1316" s="64">
        <f>ventas_b_mes1255[[#This Row],[IMPORTE NETO]]*0.21</f>
        <v>0</v>
      </c>
      <c r="J1316" s="140"/>
      <c r="K1316" s="140"/>
      <c r="L1316" s="140"/>
      <c r="M1316" s="59"/>
    </row>
    <row r="1317" spans="2:13" x14ac:dyDescent="0.25">
      <c r="B1317" s="134"/>
      <c r="C1317" s="41"/>
      <c r="D1317" s="136"/>
      <c r="E1317" s="137"/>
      <c r="F1317" s="138"/>
      <c r="G1317" s="1" t="str">
        <f>IFERROR(IF(ventas_b_mes1255[[#This Row],[CUIT]]="","-",VLOOKUP(ventas_b_mes1255[[#This Row],[CUIT]],Lista_CUIT[#All],2,0)),"CUIT NO CARGADO")</f>
        <v>-</v>
      </c>
      <c r="H1317" s="99">
        <f>ventas_b_mes1255[[#This Row],[TOTAL]]/1.21</f>
        <v>0</v>
      </c>
      <c r="I1317" s="64">
        <f>ventas_b_mes1255[[#This Row],[IMPORTE NETO]]*0.21</f>
        <v>0</v>
      </c>
      <c r="J1317" s="140"/>
      <c r="K1317" s="140"/>
      <c r="L1317" s="140"/>
      <c r="M1317" s="59"/>
    </row>
    <row r="1318" spans="2:13" x14ac:dyDescent="0.25">
      <c r="B1318" s="134"/>
      <c r="C1318" s="41"/>
      <c r="D1318" s="136"/>
      <c r="E1318" s="137"/>
      <c r="F1318" s="138"/>
      <c r="G1318" s="1" t="str">
        <f>IFERROR(IF(ventas_b_mes1255[[#This Row],[CUIT]]="","-",VLOOKUP(ventas_b_mes1255[[#This Row],[CUIT]],Lista_CUIT[#All],2,0)),"CUIT NO CARGADO")</f>
        <v>-</v>
      </c>
      <c r="H1318" s="99">
        <f>ventas_b_mes1255[[#This Row],[TOTAL]]/1.21</f>
        <v>0</v>
      </c>
      <c r="I1318" s="64">
        <f>ventas_b_mes1255[[#This Row],[IMPORTE NETO]]*0.21</f>
        <v>0</v>
      </c>
      <c r="J1318" s="140"/>
      <c r="K1318" s="140"/>
      <c r="L1318" s="140"/>
      <c r="M1318" s="59"/>
    </row>
    <row r="1319" spans="2:13" x14ac:dyDescent="0.25">
      <c r="B1319" s="134"/>
      <c r="C1319" s="41"/>
      <c r="D1319" s="136"/>
      <c r="E1319" s="137"/>
      <c r="F1319" s="138"/>
      <c r="G1319" s="1" t="str">
        <f>IFERROR(IF(ventas_b_mes1255[[#This Row],[CUIT]]="","-",VLOOKUP(ventas_b_mes1255[[#This Row],[CUIT]],Lista_CUIT[#All],2,0)),"CUIT NO CARGADO")</f>
        <v>-</v>
      </c>
      <c r="H1319" s="99">
        <f>ventas_b_mes1255[[#This Row],[TOTAL]]/1.21</f>
        <v>0</v>
      </c>
      <c r="I1319" s="64">
        <f>ventas_b_mes1255[[#This Row],[IMPORTE NETO]]*0.21</f>
        <v>0</v>
      </c>
      <c r="J1319" s="140"/>
      <c r="K1319" s="140"/>
      <c r="L1319" s="140"/>
      <c r="M1319" s="59"/>
    </row>
    <row r="1320" spans="2:13" x14ac:dyDescent="0.25">
      <c r="B1320" s="134"/>
      <c r="C1320" s="41"/>
      <c r="D1320" s="136"/>
      <c r="E1320" s="137"/>
      <c r="F1320" s="138"/>
      <c r="G1320" s="1" t="str">
        <f>IFERROR(IF(ventas_b_mes1255[[#This Row],[CUIT]]="","-",VLOOKUP(ventas_b_mes1255[[#This Row],[CUIT]],Lista_CUIT[#All],2,0)),"CUIT NO CARGADO")</f>
        <v>-</v>
      </c>
      <c r="H1320" s="99">
        <f>ventas_b_mes1255[[#This Row],[TOTAL]]/1.21</f>
        <v>0</v>
      </c>
      <c r="I1320" s="64">
        <f>ventas_b_mes1255[[#This Row],[IMPORTE NETO]]*0.21</f>
        <v>0</v>
      </c>
      <c r="J1320" s="140"/>
      <c r="K1320" s="140"/>
      <c r="L1320" s="140"/>
      <c r="M1320" s="59"/>
    </row>
    <row r="1321" spans="2:13" x14ac:dyDescent="0.25">
      <c r="B1321" s="134"/>
      <c r="C1321" s="41"/>
      <c r="D1321" s="136"/>
      <c r="E1321" s="137"/>
      <c r="F1321" s="138"/>
      <c r="G1321" s="1" t="str">
        <f>IFERROR(IF(ventas_b_mes1255[[#This Row],[CUIT]]="","-",VLOOKUP(ventas_b_mes1255[[#This Row],[CUIT]],Lista_CUIT[#All],2,0)),"CUIT NO CARGADO")</f>
        <v>-</v>
      </c>
      <c r="H1321" s="99">
        <f>ventas_b_mes1255[[#This Row],[TOTAL]]/1.21</f>
        <v>0</v>
      </c>
      <c r="I1321" s="64">
        <f>ventas_b_mes1255[[#This Row],[IMPORTE NETO]]*0.21</f>
        <v>0</v>
      </c>
      <c r="J1321" s="140"/>
      <c r="K1321" s="140"/>
      <c r="L1321" s="140"/>
      <c r="M1321" s="59"/>
    </row>
    <row r="1322" spans="2:13" x14ac:dyDescent="0.25">
      <c r="B1322" s="134"/>
      <c r="C1322" s="41"/>
      <c r="D1322" s="136"/>
      <c r="E1322" s="137"/>
      <c r="F1322" s="138"/>
      <c r="G1322" s="1" t="str">
        <f>IFERROR(IF(ventas_b_mes1255[[#This Row],[CUIT]]="","-",VLOOKUP(ventas_b_mes1255[[#This Row],[CUIT]],Lista_CUIT[#All],2,0)),"CUIT NO CARGADO")</f>
        <v>-</v>
      </c>
      <c r="H1322" s="99">
        <f>ventas_b_mes1255[[#This Row],[TOTAL]]/1.21</f>
        <v>0</v>
      </c>
      <c r="I1322" s="64">
        <f>ventas_b_mes1255[[#This Row],[IMPORTE NETO]]*0.21</f>
        <v>0</v>
      </c>
      <c r="J1322" s="140"/>
      <c r="K1322" s="140"/>
      <c r="L1322" s="140"/>
      <c r="M1322" s="59"/>
    </row>
    <row r="1323" spans="2:13" x14ac:dyDescent="0.25">
      <c r="B1323" s="134"/>
      <c r="C1323" s="41"/>
      <c r="D1323" s="136"/>
      <c r="E1323" s="137"/>
      <c r="F1323" s="138"/>
      <c r="G1323" s="1" t="str">
        <f>IFERROR(IF(ventas_b_mes1255[[#This Row],[CUIT]]="","-",VLOOKUP(ventas_b_mes1255[[#This Row],[CUIT]],Lista_CUIT[#All],2,0)),"CUIT NO CARGADO")</f>
        <v>-</v>
      </c>
      <c r="H1323" s="99">
        <f>ventas_b_mes1255[[#This Row],[TOTAL]]/1.21</f>
        <v>0</v>
      </c>
      <c r="I1323" s="64">
        <f>ventas_b_mes1255[[#This Row],[IMPORTE NETO]]*0.21</f>
        <v>0</v>
      </c>
      <c r="J1323" s="140"/>
      <c r="K1323" s="140"/>
      <c r="L1323" s="140"/>
      <c r="M1323" s="59"/>
    </row>
    <row r="1324" spans="2:13" x14ac:dyDescent="0.25">
      <c r="B1324" s="134"/>
      <c r="C1324" s="41"/>
      <c r="D1324" s="136"/>
      <c r="E1324" s="137"/>
      <c r="F1324" s="138"/>
      <c r="G1324" s="1" t="str">
        <f>IFERROR(IF(ventas_b_mes1255[[#This Row],[CUIT]]="","-",VLOOKUP(ventas_b_mes1255[[#This Row],[CUIT]],Lista_CUIT[#All],2,0)),"CUIT NO CARGADO")</f>
        <v>-</v>
      </c>
      <c r="H1324" s="99">
        <f>ventas_b_mes1255[[#This Row],[TOTAL]]/1.21</f>
        <v>0</v>
      </c>
      <c r="I1324" s="64">
        <f>ventas_b_mes1255[[#This Row],[IMPORTE NETO]]*0.21</f>
        <v>0</v>
      </c>
      <c r="J1324" s="140"/>
      <c r="K1324" s="140"/>
      <c r="L1324" s="140"/>
      <c r="M1324" s="59"/>
    </row>
    <row r="1325" spans="2:13" x14ac:dyDescent="0.25">
      <c r="B1325" s="134"/>
      <c r="C1325" s="41"/>
      <c r="D1325" s="136"/>
      <c r="E1325" s="137"/>
      <c r="F1325" s="138"/>
      <c r="G1325" s="1" t="str">
        <f>IFERROR(IF(ventas_b_mes1255[[#This Row],[CUIT]]="","-",VLOOKUP(ventas_b_mes1255[[#This Row],[CUIT]],Lista_CUIT[#All],2,0)),"CUIT NO CARGADO")</f>
        <v>-</v>
      </c>
      <c r="H1325" s="99">
        <f>ventas_b_mes1255[[#This Row],[TOTAL]]/1.21</f>
        <v>0</v>
      </c>
      <c r="I1325" s="64">
        <f>ventas_b_mes1255[[#This Row],[IMPORTE NETO]]*0.21</f>
        <v>0</v>
      </c>
      <c r="J1325" s="140"/>
      <c r="K1325" s="140"/>
      <c r="L1325" s="140"/>
      <c r="M1325" s="59"/>
    </row>
    <row r="1326" spans="2:13" x14ac:dyDescent="0.25">
      <c r="B1326" s="134"/>
      <c r="C1326" s="41"/>
      <c r="D1326" s="136"/>
      <c r="E1326" s="137"/>
      <c r="F1326" s="138"/>
      <c r="G1326" s="1" t="str">
        <f>IFERROR(IF(ventas_b_mes1255[[#This Row],[CUIT]]="","-",VLOOKUP(ventas_b_mes1255[[#This Row],[CUIT]],Lista_CUIT[#All],2,0)),"CUIT NO CARGADO")</f>
        <v>-</v>
      </c>
      <c r="H1326" s="99">
        <f>ventas_b_mes1255[[#This Row],[TOTAL]]/1.21</f>
        <v>0</v>
      </c>
      <c r="I1326" s="64">
        <f>ventas_b_mes1255[[#This Row],[IMPORTE NETO]]*0.21</f>
        <v>0</v>
      </c>
      <c r="J1326" s="140"/>
      <c r="K1326" s="140"/>
      <c r="L1326" s="140"/>
      <c r="M1326" s="59"/>
    </row>
    <row r="1327" spans="2:13" x14ac:dyDescent="0.25">
      <c r="B1327" s="134"/>
      <c r="C1327" s="41"/>
      <c r="D1327" s="136"/>
      <c r="E1327" s="137"/>
      <c r="F1327" s="138"/>
      <c r="G1327" s="1" t="str">
        <f>IFERROR(IF(ventas_b_mes1255[[#This Row],[CUIT]]="","-",VLOOKUP(ventas_b_mes1255[[#This Row],[CUIT]],Lista_CUIT[#All],2,0)),"CUIT NO CARGADO")</f>
        <v>-</v>
      </c>
      <c r="H1327" s="99">
        <f>ventas_b_mes1255[[#This Row],[TOTAL]]/1.21</f>
        <v>0</v>
      </c>
      <c r="I1327" s="64">
        <f>ventas_b_mes1255[[#This Row],[IMPORTE NETO]]*0.21</f>
        <v>0</v>
      </c>
      <c r="J1327" s="140"/>
      <c r="K1327" s="140"/>
      <c r="L1327" s="140"/>
      <c r="M1327" s="59"/>
    </row>
    <row r="1328" spans="2:13" x14ac:dyDescent="0.25">
      <c r="B1328" s="134"/>
      <c r="C1328" s="41"/>
      <c r="D1328" s="136"/>
      <c r="E1328" s="137"/>
      <c r="F1328" s="138"/>
      <c r="G1328" s="1" t="str">
        <f>IFERROR(IF(ventas_b_mes1255[[#This Row],[CUIT]]="","-",VLOOKUP(ventas_b_mes1255[[#This Row],[CUIT]],Lista_CUIT[#All],2,0)),"CUIT NO CARGADO")</f>
        <v>-</v>
      </c>
      <c r="H1328" s="99">
        <f>ventas_b_mes1255[[#This Row],[TOTAL]]/1.21</f>
        <v>0</v>
      </c>
      <c r="I1328" s="64">
        <f>ventas_b_mes1255[[#This Row],[IMPORTE NETO]]*0.21</f>
        <v>0</v>
      </c>
      <c r="J1328" s="140"/>
      <c r="K1328" s="140"/>
      <c r="L1328" s="140"/>
      <c r="M1328" s="59"/>
    </row>
    <row r="1329" spans="2:13" x14ac:dyDescent="0.25">
      <c r="B1329" s="134"/>
      <c r="C1329" s="41"/>
      <c r="D1329" s="136"/>
      <c r="E1329" s="137"/>
      <c r="F1329" s="138"/>
      <c r="G1329" s="1" t="str">
        <f>IFERROR(IF(ventas_b_mes1255[[#This Row],[CUIT]]="","-",VLOOKUP(ventas_b_mes1255[[#This Row],[CUIT]],Lista_CUIT[#All],2,0)),"CUIT NO CARGADO")</f>
        <v>-</v>
      </c>
      <c r="H1329" s="99">
        <f>ventas_b_mes1255[[#This Row],[TOTAL]]/1.21</f>
        <v>0</v>
      </c>
      <c r="I1329" s="64">
        <f>ventas_b_mes1255[[#This Row],[IMPORTE NETO]]*0.21</f>
        <v>0</v>
      </c>
      <c r="J1329" s="140"/>
      <c r="K1329" s="140"/>
      <c r="L1329" s="140"/>
      <c r="M1329" s="59"/>
    </row>
    <row r="1330" spans="2:13" x14ac:dyDescent="0.25">
      <c r="B1330" s="134"/>
      <c r="C1330" s="41"/>
      <c r="D1330" s="136"/>
      <c r="E1330" s="137"/>
      <c r="F1330" s="138"/>
      <c r="G1330" s="1" t="str">
        <f>IFERROR(IF(ventas_b_mes1255[[#This Row],[CUIT]]="","-",VLOOKUP(ventas_b_mes1255[[#This Row],[CUIT]],Lista_CUIT[#All],2,0)),"CUIT NO CARGADO")</f>
        <v>-</v>
      </c>
      <c r="H1330" s="99">
        <f>ventas_b_mes1255[[#This Row],[TOTAL]]/1.21</f>
        <v>0</v>
      </c>
      <c r="I1330" s="64">
        <f>ventas_b_mes1255[[#This Row],[IMPORTE NETO]]*0.21</f>
        <v>0</v>
      </c>
      <c r="J1330" s="140"/>
      <c r="K1330" s="140"/>
      <c r="L1330" s="140"/>
      <c r="M1330" s="59"/>
    </row>
    <row r="1331" spans="2:13" x14ac:dyDescent="0.25">
      <c r="B1331" s="134"/>
      <c r="C1331" s="41"/>
      <c r="D1331" s="136"/>
      <c r="E1331" s="137"/>
      <c r="F1331" s="138"/>
      <c r="G1331" s="1" t="str">
        <f>IFERROR(IF(ventas_b_mes1255[[#This Row],[CUIT]]="","-",VLOOKUP(ventas_b_mes1255[[#This Row],[CUIT]],Lista_CUIT[#All],2,0)),"CUIT NO CARGADO")</f>
        <v>-</v>
      </c>
      <c r="H1331" s="99">
        <f>ventas_b_mes1255[[#This Row],[TOTAL]]/1.21</f>
        <v>0</v>
      </c>
      <c r="I1331" s="64">
        <f>ventas_b_mes1255[[#This Row],[IMPORTE NETO]]*0.21</f>
        <v>0</v>
      </c>
      <c r="J1331" s="140"/>
      <c r="K1331" s="140"/>
      <c r="L1331" s="140"/>
      <c r="M1331" s="59"/>
    </row>
    <row r="1332" spans="2:13" x14ac:dyDescent="0.25">
      <c r="B1332" s="134"/>
      <c r="C1332" s="41"/>
      <c r="D1332" s="136"/>
      <c r="E1332" s="137"/>
      <c r="F1332" s="138"/>
      <c r="G1332" s="1" t="str">
        <f>IFERROR(IF(ventas_b_mes1255[[#This Row],[CUIT]]="","-",VLOOKUP(ventas_b_mes1255[[#This Row],[CUIT]],Lista_CUIT[#All],2,0)),"CUIT NO CARGADO")</f>
        <v>-</v>
      </c>
      <c r="H1332" s="99">
        <f>ventas_b_mes1255[[#This Row],[TOTAL]]/1.21</f>
        <v>0</v>
      </c>
      <c r="I1332" s="64">
        <f>ventas_b_mes1255[[#This Row],[IMPORTE NETO]]*0.21</f>
        <v>0</v>
      </c>
      <c r="J1332" s="140"/>
      <c r="K1332" s="140"/>
      <c r="L1332" s="140"/>
      <c r="M1332" s="59"/>
    </row>
    <row r="1333" spans="2:13" x14ac:dyDescent="0.25">
      <c r="B1333" s="134"/>
      <c r="C1333" s="41"/>
      <c r="D1333" s="136"/>
      <c r="E1333" s="137"/>
      <c r="F1333" s="138"/>
      <c r="G1333" s="1" t="str">
        <f>IFERROR(IF(ventas_b_mes1255[[#This Row],[CUIT]]="","-",VLOOKUP(ventas_b_mes1255[[#This Row],[CUIT]],Lista_CUIT[#All],2,0)),"CUIT NO CARGADO")</f>
        <v>-</v>
      </c>
      <c r="H1333" s="99">
        <f>ventas_b_mes1255[[#This Row],[TOTAL]]/1.21</f>
        <v>0</v>
      </c>
      <c r="I1333" s="64">
        <f>ventas_b_mes1255[[#This Row],[IMPORTE NETO]]*0.21</f>
        <v>0</v>
      </c>
      <c r="J1333" s="140"/>
      <c r="K1333" s="140"/>
      <c r="L1333" s="140"/>
      <c r="M1333" s="59"/>
    </row>
    <row r="1334" spans="2:13" x14ac:dyDescent="0.25">
      <c r="B1334" s="134"/>
      <c r="C1334" s="41"/>
      <c r="D1334" s="136"/>
      <c r="E1334" s="137"/>
      <c r="F1334" s="138"/>
      <c r="G1334" s="1" t="str">
        <f>IFERROR(IF(ventas_b_mes1255[[#This Row],[CUIT]]="","-",VLOOKUP(ventas_b_mes1255[[#This Row],[CUIT]],Lista_CUIT[#All],2,0)),"CUIT NO CARGADO")</f>
        <v>-</v>
      </c>
      <c r="H1334" s="99">
        <f>ventas_b_mes1255[[#This Row],[TOTAL]]/1.21</f>
        <v>0</v>
      </c>
      <c r="I1334" s="64">
        <f>ventas_b_mes1255[[#This Row],[IMPORTE NETO]]*0.21</f>
        <v>0</v>
      </c>
      <c r="J1334" s="140"/>
      <c r="K1334" s="140"/>
      <c r="L1334" s="140"/>
      <c r="M1334" s="59"/>
    </row>
    <row r="1335" spans="2:13" x14ac:dyDescent="0.25">
      <c r="B1335" s="134"/>
      <c r="C1335" s="41"/>
      <c r="D1335" s="136"/>
      <c r="E1335" s="137"/>
      <c r="F1335" s="138"/>
      <c r="G1335" s="1" t="str">
        <f>IFERROR(IF(ventas_b_mes1255[[#This Row],[CUIT]]="","-",VLOOKUP(ventas_b_mes1255[[#This Row],[CUIT]],Lista_CUIT[#All],2,0)),"CUIT NO CARGADO")</f>
        <v>-</v>
      </c>
      <c r="H1335" s="99">
        <f>ventas_b_mes1255[[#This Row],[TOTAL]]/1.21</f>
        <v>0</v>
      </c>
      <c r="I1335" s="64">
        <f>ventas_b_mes1255[[#This Row],[IMPORTE NETO]]*0.21</f>
        <v>0</v>
      </c>
      <c r="J1335" s="140"/>
      <c r="K1335" s="140"/>
      <c r="L1335" s="140"/>
      <c r="M1335" s="59"/>
    </row>
    <row r="1336" spans="2:13" x14ac:dyDescent="0.25">
      <c r="B1336" s="134"/>
      <c r="C1336" s="41"/>
      <c r="D1336" s="136"/>
      <c r="E1336" s="137"/>
      <c r="F1336" s="138"/>
      <c r="G1336" s="1" t="str">
        <f>IFERROR(IF(ventas_b_mes1255[[#This Row],[CUIT]]="","-",VLOOKUP(ventas_b_mes1255[[#This Row],[CUIT]],Lista_CUIT[#All],2,0)),"CUIT NO CARGADO")</f>
        <v>-</v>
      </c>
      <c r="H1336" s="99">
        <f>ventas_b_mes1255[[#This Row],[TOTAL]]/1.21</f>
        <v>0</v>
      </c>
      <c r="I1336" s="64">
        <f>ventas_b_mes1255[[#This Row],[IMPORTE NETO]]*0.21</f>
        <v>0</v>
      </c>
      <c r="J1336" s="140"/>
      <c r="K1336" s="140"/>
      <c r="L1336" s="140"/>
      <c r="M1336" s="59"/>
    </row>
    <row r="1337" spans="2:13" x14ac:dyDescent="0.25">
      <c r="B1337" s="134"/>
      <c r="C1337" s="41"/>
      <c r="D1337" s="136"/>
      <c r="E1337" s="137"/>
      <c r="F1337" s="138"/>
      <c r="G1337" s="1" t="str">
        <f>IFERROR(IF(ventas_b_mes1255[[#This Row],[CUIT]]="","-",VLOOKUP(ventas_b_mes1255[[#This Row],[CUIT]],Lista_CUIT[#All],2,0)),"CUIT NO CARGADO")</f>
        <v>-</v>
      </c>
      <c r="H1337" s="99">
        <f>ventas_b_mes1255[[#This Row],[TOTAL]]/1.21</f>
        <v>0</v>
      </c>
      <c r="I1337" s="64">
        <f>ventas_b_mes1255[[#This Row],[IMPORTE NETO]]*0.21</f>
        <v>0</v>
      </c>
      <c r="J1337" s="140"/>
      <c r="K1337" s="140"/>
      <c r="L1337" s="140"/>
      <c r="M1337" s="59"/>
    </row>
    <row r="1338" spans="2:13" x14ac:dyDescent="0.25">
      <c r="B1338" s="134"/>
      <c r="C1338" s="41"/>
      <c r="D1338" s="136"/>
      <c r="E1338" s="137"/>
      <c r="F1338" s="138"/>
      <c r="G1338" s="1" t="str">
        <f>IFERROR(IF(ventas_b_mes1255[[#This Row],[CUIT]]="","-",VLOOKUP(ventas_b_mes1255[[#This Row],[CUIT]],Lista_CUIT[#All],2,0)),"CUIT NO CARGADO")</f>
        <v>-</v>
      </c>
      <c r="H1338" s="99">
        <f>ventas_b_mes1255[[#This Row],[TOTAL]]/1.21</f>
        <v>0</v>
      </c>
      <c r="I1338" s="64">
        <f>ventas_b_mes1255[[#This Row],[IMPORTE NETO]]*0.21</f>
        <v>0</v>
      </c>
      <c r="J1338" s="140"/>
      <c r="K1338" s="140"/>
      <c r="L1338" s="140"/>
      <c r="M1338" s="59"/>
    </row>
    <row r="1339" spans="2:13" x14ac:dyDescent="0.25">
      <c r="B1339" s="134"/>
      <c r="C1339" s="41"/>
      <c r="D1339" s="136"/>
      <c r="E1339" s="137"/>
      <c r="F1339" s="138"/>
      <c r="G1339" s="1" t="str">
        <f>IFERROR(IF(ventas_b_mes1255[[#This Row],[CUIT]]="","-",VLOOKUP(ventas_b_mes1255[[#This Row],[CUIT]],Lista_CUIT[#All],2,0)),"CUIT NO CARGADO")</f>
        <v>-</v>
      </c>
      <c r="H1339" s="99">
        <f>ventas_b_mes1255[[#This Row],[TOTAL]]/1.21</f>
        <v>0</v>
      </c>
      <c r="I1339" s="64">
        <f>ventas_b_mes1255[[#This Row],[IMPORTE NETO]]*0.21</f>
        <v>0</v>
      </c>
      <c r="J1339" s="140"/>
      <c r="K1339" s="140"/>
      <c r="L1339" s="140"/>
      <c r="M1339" s="59"/>
    </row>
    <row r="1340" spans="2:13" x14ac:dyDescent="0.25">
      <c r="B1340" s="134"/>
      <c r="C1340" s="41"/>
      <c r="D1340" s="136"/>
      <c r="E1340" s="137"/>
      <c r="F1340" s="138"/>
      <c r="G1340" s="1" t="str">
        <f>IFERROR(IF(ventas_b_mes1255[[#This Row],[CUIT]]="","-",VLOOKUP(ventas_b_mes1255[[#This Row],[CUIT]],Lista_CUIT[#All],2,0)),"CUIT NO CARGADO")</f>
        <v>-</v>
      </c>
      <c r="H1340" s="99">
        <f>ventas_b_mes1255[[#This Row],[TOTAL]]/1.21</f>
        <v>0</v>
      </c>
      <c r="I1340" s="64">
        <f>ventas_b_mes1255[[#This Row],[IMPORTE NETO]]*0.21</f>
        <v>0</v>
      </c>
      <c r="J1340" s="140"/>
      <c r="K1340" s="140"/>
      <c r="L1340" s="140"/>
      <c r="M1340" s="59"/>
    </row>
    <row r="1341" spans="2:13" x14ac:dyDescent="0.25">
      <c r="B1341" s="134"/>
      <c r="C1341" s="41"/>
      <c r="D1341" s="136"/>
      <c r="E1341" s="137"/>
      <c r="F1341" s="138"/>
      <c r="G1341" s="1" t="str">
        <f>IFERROR(IF(ventas_b_mes1255[[#This Row],[CUIT]]="","-",VLOOKUP(ventas_b_mes1255[[#This Row],[CUIT]],Lista_CUIT[#All],2,0)),"CUIT NO CARGADO")</f>
        <v>-</v>
      </c>
      <c r="H1341" s="99">
        <f>ventas_b_mes1255[[#This Row],[TOTAL]]/1.21</f>
        <v>0</v>
      </c>
      <c r="I1341" s="64">
        <f>ventas_b_mes1255[[#This Row],[IMPORTE NETO]]*0.21</f>
        <v>0</v>
      </c>
      <c r="J1341" s="140"/>
      <c r="K1341" s="140"/>
      <c r="L1341" s="140"/>
      <c r="M1341" s="59"/>
    </row>
    <row r="1342" spans="2:13" x14ac:dyDescent="0.25">
      <c r="B1342" s="134"/>
      <c r="C1342" s="41"/>
      <c r="D1342" s="136"/>
      <c r="E1342" s="137"/>
      <c r="F1342" s="138"/>
      <c r="G1342" s="1" t="str">
        <f>IFERROR(IF(ventas_b_mes1255[[#This Row],[CUIT]]="","-",VLOOKUP(ventas_b_mes1255[[#This Row],[CUIT]],Lista_CUIT[#All],2,0)),"CUIT NO CARGADO")</f>
        <v>-</v>
      </c>
      <c r="H1342" s="99">
        <f>ventas_b_mes1255[[#This Row],[TOTAL]]/1.21</f>
        <v>0</v>
      </c>
      <c r="I1342" s="64">
        <f>ventas_b_mes1255[[#This Row],[IMPORTE NETO]]*0.21</f>
        <v>0</v>
      </c>
      <c r="J1342" s="140"/>
      <c r="K1342" s="140"/>
      <c r="L1342" s="140"/>
      <c r="M1342" s="59"/>
    </row>
    <row r="1343" spans="2:13" x14ac:dyDescent="0.25">
      <c r="B1343" s="134"/>
      <c r="C1343" s="41"/>
      <c r="D1343" s="136"/>
      <c r="E1343" s="137"/>
      <c r="F1343" s="138"/>
      <c r="G1343" s="1" t="str">
        <f>IFERROR(IF(ventas_b_mes1255[[#This Row],[CUIT]]="","-",VLOOKUP(ventas_b_mes1255[[#This Row],[CUIT]],Lista_CUIT[#All],2,0)),"CUIT NO CARGADO")</f>
        <v>-</v>
      </c>
      <c r="H1343" s="99">
        <f>ventas_b_mes1255[[#This Row],[TOTAL]]/1.21</f>
        <v>0</v>
      </c>
      <c r="I1343" s="64">
        <f>ventas_b_mes1255[[#This Row],[IMPORTE NETO]]*0.21</f>
        <v>0</v>
      </c>
      <c r="J1343" s="140"/>
      <c r="K1343" s="140"/>
      <c r="L1343" s="140"/>
      <c r="M1343" s="59"/>
    </row>
    <row r="1344" spans="2:13" x14ac:dyDescent="0.25">
      <c r="B1344" s="134"/>
      <c r="C1344" s="41"/>
      <c r="D1344" s="136"/>
      <c r="E1344" s="137"/>
      <c r="F1344" s="138"/>
      <c r="G1344" s="1" t="str">
        <f>IFERROR(IF(ventas_b_mes1255[[#This Row],[CUIT]]="","-",VLOOKUP(ventas_b_mes1255[[#This Row],[CUIT]],Lista_CUIT[#All],2,0)),"CUIT NO CARGADO")</f>
        <v>-</v>
      </c>
      <c r="H1344" s="99">
        <f>ventas_b_mes1255[[#This Row],[TOTAL]]/1.21</f>
        <v>0</v>
      </c>
      <c r="I1344" s="64">
        <f>ventas_b_mes1255[[#This Row],[IMPORTE NETO]]*0.21</f>
        <v>0</v>
      </c>
      <c r="J1344" s="140"/>
      <c r="K1344" s="140"/>
      <c r="L1344" s="140"/>
      <c r="M1344" s="59"/>
    </row>
    <row r="1345" spans="2:13" x14ac:dyDescent="0.25">
      <c r="B1345" s="134"/>
      <c r="C1345" s="41"/>
      <c r="D1345" s="136"/>
      <c r="E1345" s="137"/>
      <c r="F1345" s="138"/>
      <c r="G1345" s="1" t="str">
        <f>IFERROR(IF(ventas_b_mes1255[[#This Row],[CUIT]]="","-",VLOOKUP(ventas_b_mes1255[[#This Row],[CUIT]],Lista_CUIT[#All],2,0)),"CUIT NO CARGADO")</f>
        <v>-</v>
      </c>
      <c r="H1345" s="99">
        <f>ventas_b_mes1255[[#This Row],[TOTAL]]/1.21</f>
        <v>0</v>
      </c>
      <c r="I1345" s="64">
        <f>ventas_b_mes1255[[#This Row],[IMPORTE NETO]]*0.21</f>
        <v>0</v>
      </c>
      <c r="J1345" s="140"/>
      <c r="K1345" s="140"/>
      <c r="L1345" s="140"/>
      <c r="M1345" s="59"/>
    </row>
    <row r="1346" spans="2:13" x14ac:dyDescent="0.25">
      <c r="B1346" s="134"/>
      <c r="C1346" s="41"/>
      <c r="D1346" s="136"/>
      <c r="E1346" s="137"/>
      <c r="F1346" s="138"/>
      <c r="G1346" s="1" t="str">
        <f>IFERROR(IF(ventas_b_mes1255[[#This Row],[CUIT]]="","-",VLOOKUP(ventas_b_mes1255[[#This Row],[CUIT]],Lista_CUIT[#All],2,0)),"CUIT NO CARGADO")</f>
        <v>-</v>
      </c>
      <c r="H1346" s="99">
        <f>ventas_b_mes1255[[#This Row],[TOTAL]]/1.21</f>
        <v>0</v>
      </c>
      <c r="I1346" s="64">
        <f>ventas_b_mes1255[[#This Row],[IMPORTE NETO]]*0.21</f>
        <v>0</v>
      </c>
      <c r="J1346" s="140"/>
      <c r="K1346" s="140"/>
      <c r="L1346" s="140"/>
      <c r="M1346" s="59"/>
    </row>
    <row r="1347" spans="2:13" x14ac:dyDescent="0.25">
      <c r="B1347" s="134"/>
      <c r="C1347" s="41"/>
      <c r="D1347" s="136"/>
      <c r="E1347" s="137"/>
      <c r="F1347" s="138"/>
      <c r="G1347" s="1" t="str">
        <f>IFERROR(IF(ventas_b_mes1255[[#This Row],[CUIT]]="","-",VLOOKUP(ventas_b_mes1255[[#This Row],[CUIT]],Lista_CUIT[#All],2,0)),"CUIT NO CARGADO")</f>
        <v>-</v>
      </c>
      <c r="H1347" s="99">
        <f>ventas_b_mes1255[[#This Row],[TOTAL]]/1.21</f>
        <v>0</v>
      </c>
      <c r="I1347" s="64">
        <f>ventas_b_mes1255[[#This Row],[IMPORTE NETO]]*0.21</f>
        <v>0</v>
      </c>
      <c r="J1347" s="140"/>
      <c r="K1347" s="140"/>
      <c r="L1347" s="140"/>
      <c r="M1347" s="59"/>
    </row>
    <row r="1348" spans="2:13" x14ac:dyDescent="0.25">
      <c r="B1348" s="134"/>
      <c r="C1348" s="41"/>
      <c r="D1348" s="136"/>
      <c r="E1348" s="137"/>
      <c r="F1348" s="138"/>
      <c r="G1348" s="1" t="str">
        <f>IFERROR(IF(ventas_b_mes1255[[#This Row],[CUIT]]="","-",VLOOKUP(ventas_b_mes1255[[#This Row],[CUIT]],Lista_CUIT[#All],2,0)),"CUIT NO CARGADO")</f>
        <v>-</v>
      </c>
      <c r="H1348" s="99">
        <f>ventas_b_mes1255[[#This Row],[TOTAL]]/1.21</f>
        <v>0</v>
      </c>
      <c r="I1348" s="64">
        <f>ventas_b_mes1255[[#This Row],[IMPORTE NETO]]*0.21</f>
        <v>0</v>
      </c>
      <c r="J1348" s="140"/>
      <c r="K1348" s="140"/>
      <c r="L1348" s="140"/>
      <c r="M1348" s="59"/>
    </row>
    <row r="1349" spans="2:13" x14ac:dyDescent="0.25">
      <c r="B1349" s="134"/>
      <c r="C1349" s="41"/>
      <c r="D1349" s="136"/>
      <c r="E1349" s="137"/>
      <c r="F1349" s="138"/>
      <c r="G1349" s="1" t="str">
        <f>IFERROR(IF(ventas_b_mes1255[[#This Row],[CUIT]]="","-",VLOOKUP(ventas_b_mes1255[[#This Row],[CUIT]],Lista_CUIT[#All],2,0)),"CUIT NO CARGADO")</f>
        <v>-</v>
      </c>
      <c r="H1349" s="99">
        <f>ventas_b_mes1255[[#This Row],[TOTAL]]/1.21</f>
        <v>0</v>
      </c>
      <c r="I1349" s="64">
        <f>ventas_b_mes1255[[#This Row],[IMPORTE NETO]]*0.21</f>
        <v>0</v>
      </c>
      <c r="J1349" s="140"/>
      <c r="K1349" s="140"/>
      <c r="L1349" s="140"/>
      <c r="M1349" s="59"/>
    </row>
    <row r="1350" spans="2:13" x14ac:dyDescent="0.25">
      <c r="B1350" s="134"/>
      <c r="C1350" s="41"/>
      <c r="D1350" s="136"/>
      <c r="E1350" s="137"/>
      <c r="F1350" s="138"/>
      <c r="G1350" s="1" t="str">
        <f>IFERROR(IF(ventas_b_mes1255[[#This Row],[CUIT]]="","-",VLOOKUP(ventas_b_mes1255[[#This Row],[CUIT]],Lista_CUIT[#All],2,0)),"CUIT NO CARGADO")</f>
        <v>-</v>
      </c>
      <c r="H1350" s="99">
        <f>ventas_b_mes1255[[#This Row],[TOTAL]]/1.21</f>
        <v>0</v>
      </c>
      <c r="I1350" s="64">
        <f>ventas_b_mes1255[[#This Row],[IMPORTE NETO]]*0.21</f>
        <v>0</v>
      </c>
      <c r="J1350" s="140"/>
      <c r="K1350" s="140"/>
      <c r="L1350" s="140"/>
      <c r="M1350" s="59"/>
    </row>
    <row r="1351" spans="2:13" x14ac:dyDescent="0.25">
      <c r="B1351" s="134"/>
      <c r="C1351" s="41"/>
      <c r="D1351" s="136"/>
      <c r="E1351" s="137"/>
      <c r="F1351" s="138"/>
      <c r="G1351" s="1" t="str">
        <f>IFERROR(IF(ventas_b_mes1255[[#This Row],[CUIT]]="","-",VLOOKUP(ventas_b_mes1255[[#This Row],[CUIT]],Lista_CUIT[#All],2,0)),"CUIT NO CARGADO")</f>
        <v>-</v>
      </c>
      <c r="H1351" s="99">
        <f>ventas_b_mes1255[[#This Row],[TOTAL]]/1.21</f>
        <v>0</v>
      </c>
      <c r="I1351" s="64">
        <f>ventas_b_mes1255[[#This Row],[IMPORTE NETO]]*0.21</f>
        <v>0</v>
      </c>
      <c r="J1351" s="140"/>
      <c r="K1351" s="140"/>
      <c r="L1351" s="140"/>
      <c r="M1351" s="59"/>
    </row>
    <row r="1352" spans="2:13" x14ac:dyDescent="0.25">
      <c r="B1352" s="134"/>
      <c r="C1352" s="41"/>
      <c r="D1352" s="136"/>
      <c r="E1352" s="137"/>
      <c r="F1352" s="138"/>
      <c r="G1352" s="1" t="str">
        <f>IFERROR(IF(ventas_b_mes1255[[#This Row],[CUIT]]="","-",VLOOKUP(ventas_b_mes1255[[#This Row],[CUIT]],Lista_CUIT[#All],2,0)),"CUIT NO CARGADO")</f>
        <v>-</v>
      </c>
      <c r="H1352" s="99">
        <f>ventas_b_mes1255[[#This Row],[TOTAL]]/1.21</f>
        <v>0</v>
      </c>
      <c r="I1352" s="64">
        <f>ventas_b_mes1255[[#This Row],[IMPORTE NETO]]*0.21</f>
        <v>0</v>
      </c>
      <c r="J1352" s="140"/>
      <c r="K1352" s="140"/>
      <c r="L1352" s="140"/>
      <c r="M1352" s="59"/>
    </row>
    <row r="1353" spans="2:13" x14ac:dyDescent="0.25">
      <c r="B1353" s="134"/>
      <c r="C1353" s="41"/>
      <c r="D1353" s="136"/>
      <c r="E1353" s="137"/>
      <c r="F1353" s="138"/>
      <c r="G1353" s="1" t="str">
        <f>IFERROR(IF(ventas_b_mes1255[[#This Row],[CUIT]]="","-",VLOOKUP(ventas_b_mes1255[[#This Row],[CUIT]],Lista_CUIT[#All],2,0)),"CUIT NO CARGADO")</f>
        <v>-</v>
      </c>
      <c r="H1353" s="99">
        <f>ventas_b_mes1255[[#This Row],[TOTAL]]/1.21</f>
        <v>0</v>
      </c>
      <c r="I1353" s="64">
        <f>ventas_b_mes1255[[#This Row],[IMPORTE NETO]]*0.21</f>
        <v>0</v>
      </c>
      <c r="J1353" s="140"/>
      <c r="K1353" s="140"/>
      <c r="L1353" s="140"/>
      <c r="M1353" s="59"/>
    </row>
    <row r="1354" spans="2:13" x14ac:dyDescent="0.25">
      <c r="B1354" s="134"/>
      <c r="C1354" s="41"/>
      <c r="D1354" s="136"/>
      <c r="E1354" s="137"/>
      <c r="F1354" s="138"/>
      <c r="G1354" s="1" t="str">
        <f>IFERROR(IF(ventas_b_mes1255[[#This Row],[CUIT]]="","-",VLOOKUP(ventas_b_mes1255[[#This Row],[CUIT]],Lista_CUIT[#All],2,0)),"CUIT NO CARGADO")</f>
        <v>-</v>
      </c>
      <c r="H1354" s="99">
        <f>ventas_b_mes1255[[#This Row],[TOTAL]]/1.21</f>
        <v>0</v>
      </c>
      <c r="I1354" s="64">
        <f>ventas_b_mes1255[[#This Row],[IMPORTE NETO]]*0.21</f>
        <v>0</v>
      </c>
      <c r="J1354" s="140"/>
      <c r="K1354" s="140"/>
      <c r="L1354" s="140"/>
      <c r="M1354" s="59"/>
    </row>
    <row r="1355" spans="2:13" x14ac:dyDescent="0.25">
      <c r="B1355" s="134"/>
      <c r="C1355" s="41"/>
      <c r="D1355" s="136"/>
      <c r="E1355" s="137"/>
      <c r="F1355" s="138"/>
      <c r="G1355" s="1" t="str">
        <f>IFERROR(IF(ventas_b_mes1255[[#This Row],[CUIT]]="","-",VLOOKUP(ventas_b_mes1255[[#This Row],[CUIT]],Lista_CUIT[#All],2,0)),"CUIT NO CARGADO")</f>
        <v>-</v>
      </c>
      <c r="H1355" s="99">
        <f>ventas_b_mes1255[[#This Row],[TOTAL]]/1.21</f>
        <v>0</v>
      </c>
      <c r="I1355" s="64">
        <f>ventas_b_mes1255[[#This Row],[IMPORTE NETO]]*0.21</f>
        <v>0</v>
      </c>
      <c r="J1355" s="140"/>
      <c r="K1355" s="140"/>
      <c r="L1355" s="140"/>
      <c r="M1355" s="59"/>
    </row>
    <row r="1356" spans="2:13" x14ac:dyDescent="0.25">
      <c r="B1356" s="134"/>
      <c r="C1356" s="41"/>
      <c r="D1356" s="136"/>
      <c r="E1356" s="137"/>
      <c r="F1356" s="138"/>
      <c r="G1356" s="1" t="str">
        <f>IFERROR(IF(ventas_b_mes1255[[#This Row],[CUIT]]="","-",VLOOKUP(ventas_b_mes1255[[#This Row],[CUIT]],Lista_CUIT[#All],2,0)),"CUIT NO CARGADO")</f>
        <v>-</v>
      </c>
      <c r="H1356" s="99">
        <f>ventas_b_mes1255[[#This Row],[TOTAL]]/1.21</f>
        <v>0</v>
      </c>
      <c r="I1356" s="64">
        <f>ventas_b_mes1255[[#This Row],[IMPORTE NETO]]*0.21</f>
        <v>0</v>
      </c>
      <c r="J1356" s="140"/>
      <c r="K1356" s="140"/>
      <c r="L1356" s="140"/>
      <c r="M1356" s="59"/>
    </row>
    <row r="1357" spans="2:13" x14ac:dyDescent="0.25">
      <c r="B1357" s="134"/>
      <c r="C1357" s="41"/>
      <c r="D1357" s="136"/>
      <c r="E1357" s="137"/>
      <c r="F1357" s="138"/>
      <c r="G1357" s="1" t="str">
        <f>IFERROR(IF(ventas_b_mes1255[[#This Row],[CUIT]]="","-",VLOOKUP(ventas_b_mes1255[[#This Row],[CUIT]],Lista_CUIT[#All],2,0)),"CUIT NO CARGADO")</f>
        <v>-</v>
      </c>
      <c r="H1357" s="99">
        <f>ventas_b_mes1255[[#This Row],[TOTAL]]/1.21</f>
        <v>0</v>
      </c>
      <c r="I1357" s="64">
        <f>ventas_b_mes1255[[#This Row],[IMPORTE NETO]]*0.21</f>
        <v>0</v>
      </c>
      <c r="J1357" s="140"/>
      <c r="K1357" s="140"/>
      <c r="L1357" s="140"/>
      <c r="M1357" s="59"/>
    </row>
    <row r="1358" spans="2:13" x14ac:dyDescent="0.25">
      <c r="B1358" s="134"/>
      <c r="C1358" s="41"/>
      <c r="D1358" s="136"/>
      <c r="E1358" s="137"/>
      <c r="F1358" s="138"/>
      <c r="G1358" s="1" t="str">
        <f>IFERROR(IF(ventas_b_mes1255[[#This Row],[CUIT]]="","-",VLOOKUP(ventas_b_mes1255[[#This Row],[CUIT]],Lista_CUIT[#All],2,0)),"CUIT NO CARGADO")</f>
        <v>-</v>
      </c>
      <c r="H1358" s="99">
        <f>ventas_b_mes1255[[#This Row],[TOTAL]]/1.21</f>
        <v>0</v>
      </c>
      <c r="I1358" s="64">
        <f>ventas_b_mes1255[[#This Row],[IMPORTE NETO]]*0.21</f>
        <v>0</v>
      </c>
      <c r="J1358" s="140"/>
      <c r="K1358" s="140"/>
      <c r="L1358" s="140"/>
      <c r="M1358" s="59"/>
    </row>
    <row r="1359" spans="2:13" x14ac:dyDescent="0.25">
      <c r="B1359" s="134"/>
      <c r="C1359" s="41"/>
      <c r="D1359" s="136"/>
      <c r="E1359" s="137"/>
      <c r="F1359" s="138"/>
      <c r="G1359" s="1" t="str">
        <f>IFERROR(IF(ventas_b_mes1255[[#This Row],[CUIT]]="","-",VLOOKUP(ventas_b_mes1255[[#This Row],[CUIT]],Lista_CUIT[#All],2,0)),"CUIT NO CARGADO")</f>
        <v>-</v>
      </c>
      <c r="H1359" s="99">
        <f>ventas_b_mes1255[[#This Row],[TOTAL]]/1.21</f>
        <v>0</v>
      </c>
      <c r="I1359" s="64">
        <f>ventas_b_mes1255[[#This Row],[IMPORTE NETO]]*0.21</f>
        <v>0</v>
      </c>
      <c r="J1359" s="140"/>
      <c r="K1359" s="140"/>
      <c r="L1359" s="140"/>
      <c r="M1359" s="59"/>
    </row>
    <row r="1360" spans="2:13" x14ac:dyDescent="0.25">
      <c r="B1360" s="134"/>
      <c r="C1360" s="41"/>
      <c r="D1360" s="136"/>
      <c r="E1360" s="137"/>
      <c r="F1360" s="138"/>
      <c r="G1360" s="1" t="str">
        <f>IFERROR(IF(ventas_b_mes1255[[#This Row],[CUIT]]="","-",VLOOKUP(ventas_b_mes1255[[#This Row],[CUIT]],Lista_CUIT[#All],2,0)),"CUIT NO CARGADO")</f>
        <v>-</v>
      </c>
      <c r="H1360" s="99">
        <f>ventas_b_mes1255[[#This Row],[TOTAL]]/1.21</f>
        <v>0</v>
      </c>
      <c r="I1360" s="64">
        <f>ventas_b_mes1255[[#This Row],[IMPORTE NETO]]*0.21</f>
        <v>0</v>
      </c>
      <c r="J1360" s="140"/>
      <c r="K1360" s="140"/>
      <c r="L1360" s="140"/>
      <c r="M1360" s="59"/>
    </row>
    <row r="1361" spans="2:13" x14ac:dyDescent="0.25">
      <c r="B1361" s="134"/>
      <c r="C1361" s="41"/>
      <c r="D1361" s="136"/>
      <c r="E1361" s="137"/>
      <c r="F1361" s="138"/>
      <c r="G1361" s="1" t="str">
        <f>IFERROR(IF(ventas_b_mes1255[[#This Row],[CUIT]]="","-",VLOOKUP(ventas_b_mes1255[[#This Row],[CUIT]],Lista_CUIT[#All],2,0)),"CUIT NO CARGADO")</f>
        <v>-</v>
      </c>
      <c r="H1361" s="99">
        <f>ventas_b_mes1255[[#This Row],[TOTAL]]/1.21</f>
        <v>0</v>
      </c>
      <c r="I1361" s="64">
        <f>ventas_b_mes1255[[#This Row],[IMPORTE NETO]]*0.21</f>
        <v>0</v>
      </c>
      <c r="J1361" s="140"/>
      <c r="K1361" s="140"/>
      <c r="L1361" s="140"/>
      <c r="M1361" s="59"/>
    </row>
    <row r="1362" spans="2:13" x14ac:dyDescent="0.25">
      <c r="B1362" s="134"/>
      <c r="C1362" s="41"/>
      <c r="D1362" s="136"/>
      <c r="E1362" s="137"/>
      <c r="F1362" s="138"/>
      <c r="G1362" s="1" t="str">
        <f>IFERROR(IF(ventas_b_mes1255[[#This Row],[CUIT]]="","-",VLOOKUP(ventas_b_mes1255[[#This Row],[CUIT]],Lista_CUIT[#All],2,0)),"CUIT NO CARGADO")</f>
        <v>-</v>
      </c>
      <c r="H1362" s="99">
        <f>ventas_b_mes1255[[#This Row],[TOTAL]]/1.21</f>
        <v>0</v>
      </c>
      <c r="I1362" s="64">
        <f>ventas_b_mes1255[[#This Row],[IMPORTE NETO]]*0.21</f>
        <v>0</v>
      </c>
      <c r="J1362" s="140"/>
      <c r="K1362" s="140"/>
      <c r="L1362" s="140"/>
      <c r="M1362" s="59"/>
    </row>
    <row r="1363" spans="2:13" x14ac:dyDescent="0.25">
      <c r="B1363" s="134"/>
      <c r="C1363" s="41"/>
      <c r="D1363" s="136"/>
      <c r="E1363" s="137"/>
      <c r="F1363" s="138"/>
      <c r="G1363" s="1" t="str">
        <f>IFERROR(IF(ventas_b_mes1255[[#This Row],[CUIT]]="","-",VLOOKUP(ventas_b_mes1255[[#This Row],[CUIT]],Lista_CUIT[#All],2,0)),"CUIT NO CARGADO")</f>
        <v>-</v>
      </c>
      <c r="H1363" s="99">
        <f>ventas_b_mes1255[[#This Row],[TOTAL]]/1.21</f>
        <v>0</v>
      </c>
      <c r="I1363" s="64">
        <f>ventas_b_mes1255[[#This Row],[IMPORTE NETO]]*0.21</f>
        <v>0</v>
      </c>
      <c r="J1363" s="140"/>
      <c r="K1363" s="140"/>
      <c r="L1363" s="140"/>
      <c r="M1363" s="59"/>
    </row>
    <row r="1364" spans="2:13" x14ac:dyDescent="0.25">
      <c r="B1364" s="134"/>
      <c r="C1364" s="41"/>
      <c r="D1364" s="136"/>
      <c r="E1364" s="137"/>
      <c r="F1364" s="138"/>
      <c r="G1364" s="1" t="str">
        <f>IFERROR(IF(ventas_b_mes1255[[#This Row],[CUIT]]="","-",VLOOKUP(ventas_b_mes1255[[#This Row],[CUIT]],Lista_CUIT[#All],2,0)),"CUIT NO CARGADO")</f>
        <v>-</v>
      </c>
      <c r="H1364" s="99">
        <f>ventas_b_mes1255[[#This Row],[TOTAL]]/1.21</f>
        <v>0</v>
      </c>
      <c r="I1364" s="64">
        <f>ventas_b_mes1255[[#This Row],[IMPORTE NETO]]*0.21</f>
        <v>0</v>
      </c>
      <c r="J1364" s="140"/>
      <c r="K1364" s="140"/>
      <c r="L1364" s="140"/>
      <c r="M1364" s="59"/>
    </row>
    <row r="1365" spans="2:13" x14ac:dyDescent="0.25">
      <c r="B1365" s="134"/>
      <c r="C1365" s="41"/>
      <c r="D1365" s="136"/>
      <c r="E1365" s="137"/>
      <c r="F1365" s="138"/>
      <c r="G1365" s="1" t="str">
        <f>IFERROR(IF(ventas_b_mes1255[[#This Row],[CUIT]]="","-",VLOOKUP(ventas_b_mes1255[[#This Row],[CUIT]],Lista_CUIT[#All],2,0)),"CUIT NO CARGADO")</f>
        <v>-</v>
      </c>
      <c r="H1365" s="99">
        <f>ventas_b_mes1255[[#This Row],[TOTAL]]/1.21</f>
        <v>0</v>
      </c>
      <c r="I1365" s="64">
        <f>ventas_b_mes1255[[#This Row],[IMPORTE NETO]]*0.21</f>
        <v>0</v>
      </c>
      <c r="J1365" s="140"/>
      <c r="K1365" s="140"/>
      <c r="L1365" s="140"/>
      <c r="M1365" s="59"/>
    </row>
    <row r="1366" spans="2:13" x14ac:dyDescent="0.25">
      <c r="B1366" s="134"/>
      <c r="C1366" s="41"/>
      <c r="D1366" s="136"/>
      <c r="E1366" s="137"/>
      <c r="F1366" s="138"/>
      <c r="G1366" s="1" t="str">
        <f>IFERROR(IF(ventas_b_mes1255[[#This Row],[CUIT]]="","-",VLOOKUP(ventas_b_mes1255[[#This Row],[CUIT]],Lista_CUIT[#All],2,0)),"CUIT NO CARGADO")</f>
        <v>-</v>
      </c>
      <c r="H1366" s="99">
        <f>ventas_b_mes1255[[#This Row],[TOTAL]]/1.21</f>
        <v>0</v>
      </c>
      <c r="I1366" s="64">
        <f>ventas_b_mes1255[[#This Row],[IMPORTE NETO]]*0.21</f>
        <v>0</v>
      </c>
      <c r="J1366" s="140"/>
      <c r="K1366" s="140"/>
      <c r="L1366" s="140"/>
      <c r="M1366" s="59"/>
    </row>
    <row r="1367" spans="2:13" x14ac:dyDescent="0.25">
      <c r="B1367" s="134"/>
      <c r="C1367" s="41"/>
      <c r="D1367" s="136"/>
      <c r="E1367" s="137"/>
      <c r="F1367" s="138"/>
      <c r="G1367" s="1" t="str">
        <f>IFERROR(IF(ventas_b_mes1255[[#This Row],[CUIT]]="","-",VLOOKUP(ventas_b_mes1255[[#This Row],[CUIT]],Lista_CUIT[#All],2,0)),"CUIT NO CARGADO")</f>
        <v>-</v>
      </c>
      <c r="H1367" s="99">
        <f>ventas_b_mes1255[[#This Row],[TOTAL]]/1.21</f>
        <v>0</v>
      </c>
      <c r="I1367" s="64">
        <f>ventas_b_mes1255[[#This Row],[IMPORTE NETO]]*0.21</f>
        <v>0</v>
      </c>
      <c r="J1367" s="140"/>
      <c r="K1367" s="140"/>
      <c r="L1367" s="140"/>
      <c r="M1367" s="59"/>
    </row>
    <row r="1368" spans="2:13" x14ac:dyDescent="0.25">
      <c r="B1368" s="134"/>
      <c r="C1368" s="41"/>
      <c r="D1368" s="136"/>
      <c r="E1368" s="137"/>
      <c r="F1368" s="138"/>
      <c r="G1368" s="1" t="str">
        <f>IFERROR(IF(ventas_b_mes1255[[#This Row],[CUIT]]="","-",VLOOKUP(ventas_b_mes1255[[#This Row],[CUIT]],Lista_CUIT[#All],2,0)),"CUIT NO CARGADO")</f>
        <v>-</v>
      </c>
      <c r="H1368" s="99">
        <f>ventas_b_mes1255[[#This Row],[TOTAL]]/1.21</f>
        <v>0</v>
      </c>
      <c r="I1368" s="64">
        <f>ventas_b_mes1255[[#This Row],[IMPORTE NETO]]*0.21</f>
        <v>0</v>
      </c>
      <c r="J1368" s="140"/>
      <c r="K1368" s="140"/>
      <c r="L1368" s="140"/>
      <c r="M1368" s="59"/>
    </row>
    <row r="1369" spans="2:13" x14ac:dyDescent="0.25">
      <c r="B1369" s="134"/>
      <c r="C1369" s="41"/>
      <c r="D1369" s="136"/>
      <c r="E1369" s="137"/>
      <c r="F1369" s="138"/>
      <c r="G1369" s="1" t="str">
        <f>IFERROR(IF(ventas_b_mes1255[[#This Row],[CUIT]]="","-",VLOOKUP(ventas_b_mes1255[[#This Row],[CUIT]],Lista_CUIT[#All],2,0)),"CUIT NO CARGADO")</f>
        <v>-</v>
      </c>
      <c r="H1369" s="99">
        <f>ventas_b_mes1255[[#This Row],[TOTAL]]/1.21</f>
        <v>0</v>
      </c>
      <c r="I1369" s="64">
        <f>ventas_b_mes1255[[#This Row],[IMPORTE NETO]]*0.21</f>
        <v>0</v>
      </c>
      <c r="J1369" s="140"/>
      <c r="K1369" s="140"/>
      <c r="L1369" s="140"/>
      <c r="M1369" s="59"/>
    </row>
    <row r="1370" spans="2:13" x14ac:dyDescent="0.25">
      <c r="B1370" s="134"/>
      <c r="C1370" s="41"/>
      <c r="D1370" s="136"/>
      <c r="E1370" s="137"/>
      <c r="F1370" s="138"/>
      <c r="G1370" s="1" t="str">
        <f>IFERROR(IF(ventas_b_mes1255[[#This Row],[CUIT]]="","-",VLOOKUP(ventas_b_mes1255[[#This Row],[CUIT]],Lista_CUIT[#All],2,0)),"CUIT NO CARGADO")</f>
        <v>-</v>
      </c>
      <c r="H1370" s="99">
        <f>ventas_b_mes1255[[#This Row],[TOTAL]]/1.21</f>
        <v>0</v>
      </c>
      <c r="I1370" s="64">
        <f>ventas_b_mes1255[[#This Row],[IMPORTE NETO]]*0.21</f>
        <v>0</v>
      </c>
      <c r="J1370" s="140"/>
      <c r="K1370" s="140"/>
      <c r="L1370" s="140"/>
      <c r="M1370" s="59"/>
    </row>
    <row r="1371" spans="2:13" x14ac:dyDescent="0.25">
      <c r="B1371" s="134"/>
      <c r="C1371" s="41"/>
      <c r="D1371" s="136"/>
      <c r="E1371" s="137"/>
      <c r="F1371" s="138"/>
      <c r="G1371" s="1" t="str">
        <f>IFERROR(IF(ventas_b_mes1255[[#This Row],[CUIT]]="","-",VLOOKUP(ventas_b_mes1255[[#This Row],[CUIT]],Lista_CUIT[#All],2,0)),"CUIT NO CARGADO")</f>
        <v>-</v>
      </c>
      <c r="H1371" s="99">
        <f>ventas_b_mes1255[[#This Row],[TOTAL]]/1.21</f>
        <v>0</v>
      </c>
      <c r="I1371" s="64">
        <f>ventas_b_mes1255[[#This Row],[IMPORTE NETO]]*0.21</f>
        <v>0</v>
      </c>
      <c r="J1371" s="140"/>
      <c r="K1371" s="140"/>
      <c r="L1371" s="140"/>
      <c r="M1371" s="59"/>
    </row>
    <row r="1372" spans="2:13" x14ac:dyDescent="0.25">
      <c r="B1372" s="134"/>
      <c r="C1372" s="41"/>
      <c r="D1372" s="136"/>
      <c r="E1372" s="137"/>
      <c r="F1372" s="138"/>
      <c r="G1372" s="1" t="str">
        <f>IFERROR(IF(ventas_b_mes1255[[#This Row],[CUIT]]="","-",VLOOKUP(ventas_b_mes1255[[#This Row],[CUIT]],Lista_CUIT[#All],2,0)),"CUIT NO CARGADO")</f>
        <v>-</v>
      </c>
      <c r="H1372" s="99">
        <f>ventas_b_mes1255[[#This Row],[TOTAL]]/1.21</f>
        <v>0</v>
      </c>
      <c r="I1372" s="64">
        <f>ventas_b_mes1255[[#This Row],[IMPORTE NETO]]*0.21</f>
        <v>0</v>
      </c>
      <c r="J1372" s="140"/>
      <c r="K1372" s="140"/>
      <c r="L1372" s="140"/>
      <c r="M1372" s="59"/>
    </row>
    <row r="1373" spans="2:13" x14ac:dyDescent="0.25">
      <c r="B1373" s="134"/>
      <c r="C1373" s="41"/>
      <c r="D1373" s="136"/>
      <c r="E1373" s="137"/>
      <c r="F1373" s="138"/>
      <c r="G1373" s="1" t="str">
        <f>IFERROR(IF(ventas_b_mes1255[[#This Row],[CUIT]]="","-",VLOOKUP(ventas_b_mes1255[[#This Row],[CUIT]],Lista_CUIT[#All],2,0)),"CUIT NO CARGADO")</f>
        <v>-</v>
      </c>
      <c r="H1373" s="99">
        <f>ventas_b_mes1255[[#This Row],[TOTAL]]/1.21</f>
        <v>0</v>
      </c>
      <c r="I1373" s="64">
        <f>ventas_b_mes1255[[#This Row],[IMPORTE NETO]]*0.21</f>
        <v>0</v>
      </c>
      <c r="J1373" s="140"/>
      <c r="K1373" s="140"/>
      <c r="L1373" s="140"/>
      <c r="M1373" s="59"/>
    </row>
    <row r="1374" spans="2:13" x14ac:dyDescent="0.25">
      <c r="B1374" s="134"/>
      <c r="C1374" s="41"/>
      <c r="D1374" s="136"/>
      <c r="E1374" s="137"/>
      <c r="F1374" s="138"/>
      <c r="G1374" s="1" t="str">
        <f>IFERROR(IF(ventas_b_mes1255[[#This Row],[CUIT]]="","-",VLOOKUP(ventas_b_mes1255[[#This Row],[CUIT]],Lista_CUIT[#All],2,0)),"CUIT NO CARGADO")</f>
        <v>-</v>
      </c>
      <c r="H1374" s="99">
        <f>ventas_b_mes1255[[#This Row],[TOTAL]]/1.21</f>
        <v>0</v>
      </c>
      <c r="I1374" s="64">
        <f>ventas_b_mes1255[[#This Row],[IMPORTE NETO]]*0.21</f>
        <v>0</v>
      </c>
      <c r="J1374" s="140"/>
      <c r="K1374" s="140"/>
      <c r="L1374" s="140"/>
      <c r="M1374" s="59"/>
    </row>
    <row r="1375" spans="2:13" x14ac:dyDescent="0.25">
      <c r="B1375" s="134"/>
      <c r="C1375" s="41"/>
      <c r="D1375" s="136"/>
      <c r="E1375" s="137"/>
      <c r="F1375" s="138"/>
      <c r="G1375" s="1" t="str">
        <f>IFERROR(IF(ventas_b_mes1255[[#This Row],[CUIT]]="","-",VLOOKUP(ventas_b_mes1255[[#This Row],[CUIT]],Lista_CUIT[#All],2,0)),"CUIT NO CARGADO")</f>
        <v>-</v>
      </c>
      <c r="H1375" s="99">
        <f>ventas_b_mes1255[[#This Row],[TOTAL]]/1.21</f>
        <v>0</v>
      </c>
      <c r="I1375" s="64">
        <f>ventas_b_mes1255[[#This Row],[IMPORTE NETO]]*0.21</f>
        <v>0</v>
      </c>
      <c r="J1375" s="140"/>
      <c r="K1375" s="140"/>
      <c r="L1375" s="140"/>
      <c r="M1375" s="59"/>
    </row>
    <row r="1376" spans="2:13" x14ac:dyDescent="0.25">
      <c r="B1376" s="134"/>
      <c r="C1376" s="41"/>
      <c r="D1376" s="136"/>
      <c r="E1376" s="137"/>
      <c r="F1376" s="138"/>
      <c r="G1376" s="1" t="str">
        <f>IFERROR(IF(ventas_b_mes1255[[#This Row],[CUIT]]="","-",VLOOKUP(ventas_b_mes1255[[#This Row],[CUIT]],Lista_CUIT[#All],2,0)),"CUIT NO CARGADO")</f>
        <v>-</v>
      </c>
      <c r="H1376" s="99">
        <f>ventas_b_mes1255[[#This Row],[TOTAL]]/1.21</f>
        <v>0</v>
      </c>
      <c r="I1376" s="64">
        <f>ventas_b_mes1255[[#This Row],[IMPORTE NETO]]*0.21</f>
        <v>0</v>
      </c>
      <c r="J1376" s="140"/>
      <c r="K1376" s="140"/>
      <c r="L1376" s="140"/>
      <c r="M1376" s="59"/>
    </row>
    <row r="1377" spans="2:13" x14ac:dyDescent="0.25">
      <c r="B1377" s="134"/>
      <c r="C1377" s="41"/>
      <c r="D1377" s="136"/>
      <c r="E1377" s="137"/>
      <c r="F1377" s="138"/>
      <c r="G1377" s="1" t="str">
        <f>IFERROR(IF(ventas_b_mes1255[[#This Row],[CUIT]]="","-",VLOOKUP(ventas_b_mes1255[[#This Row],[CUIT]],Lista_CUIT[#All],2,0)),"CUIT NO CARGADO")</f>
        <v>-</v>
      </c>
      <c r="H1377" s="99">
        <f>ventas_b_mes1255[[#This Row],[TOTAL]]/1.21</f>
        <v>0</v>
      </c>
      <c r="I1377" s="64">
        <f>ventas_b_mes1255[[#This Row],[IMPORTE NETO]]*0.21</f>
        <v>0</v>
      </c>
      <c r="J1377" s="140"/>
      <c r="K1377" s="140"/>
      <c r="L1377" s="140"/>
      <c r="M1377" s="59"/>
    </row>
    <row r="1378" spans="2:13" x14ac:dyDescent="0.25">
      <c r="B1378" s="134"/>
      <c r="C1378" s="41"/>
      <c r="D1378" s="136"/>
      <c r="E1378" s="137"/>
      <c r="F1378" s="138"/>
      <c r="G1378" s="1" t="str">
        <f>IFERROR(IF(ventas_b_mes1255[[#This Row],[CUIT]]="","-",VLOOKUP(ventas_b_mes1255[[#This Row],[CUIT]],Lista_CUIT[#All],2,0)),"CUIT NO CARGADO")</f>
        <v>-</v>
      </c>
      <c r="H1378" s="99">
        <f>ventas_b_mes1255[[#This Row],[TOTAL]]/1.21</f>
        <v>0</v>
      </c>
      <c r="I1378" s="64">
        <f>ventas_b_mes1255[[#This Row],[IMPORTE NETO]]*0.21</f>
        <v>0</v>
      </c>
      <c r="J1378" s="140"/>
      <c r="K1378" s="140"/>
      <c r="L1378" s="140"/>
      <c r="M1378" s="59"/>
    </row>
    <row r="1379" spans="2:13" x14ac:dyDescent="0.25">
      <c r="B1379" s="134"/>
      <c r="C1379" s="41"/>
      <c r="D1379" s="136"/>
      <c r="E1379" s="137"/>
      <c r="F1379" s="138"/>
      <c r="G1379" s="1" t="str">
        <f>IFERROR(IF(ventas_b_mes1255[[#This Row],[CUIT]]="","-",VLOOKUP(ventas_b_mes1255[[#This Row],[CUIT]],Lista_CUIT[#All],2,0)),"CUIT NO CARGADO")</f>
        <v>-</v>
      </c>
      <c r="H1379" s="99">
        <f>ventas_b_mes1255[[#This Row],[TOTAL]]/1.21</f>
        <v>0</v>
      </c>
      <c r="I1379" s="64">
        <f>ventas_b_mes1255[[#This Row],[IMPORTE NETO]]*0.21</f>
        <v>0</v>
      </c>
      <c r="J1379" s="140"/>
      <c r="K1379" s="140"/>
      <c r="L1379" s="140"/>
      <c r="M1379" s="59"/>
    </row>
    <row r="1380" spans="2:13" x14ac:dyDescent="0.25">
      <c r="B1380" s="134"/>
      <c r="C1380" s="41"/>
      <c r="D1380" s="136"/>
      <c r="E1380" s="137"/>
      <c r="F1380" s="138"/>
      <c r="G1380" s="1" t="str">
        <f>IFERROR(IF(ventas_b_mes1255[[#This Row],[CUIT]]="","-",VLOOKUP(ventas_b_mes1255[[#This Row],[CUIT]],Lista_CUIT[#All],2,0)),"CUIT NO CARGADO")</f>
        <v>-</v>
      </c>
      <c r="H1380" s="99">
        <f>ventas_b_mes1255[[#This Row],[TOTAL]]/1.21</f>
        <v>0</v>
      </c>
      <c r="I1380" s="64">
        <f>ventas_b_mes1255[[#This Row],[IMPORTE NETO]]*0.21</f>
        <v>0</v>
      </c>
      <c r="J1380" s="140"/>
      <c r="K1380" s="140"/>
      <c r="L1380" s="140"/>
      <c r="M1380" s="59"/>
    </row>
    <row r="1381" spans="2:13" x14ac:dyDescent="0.25">
      <c r="B1381" s="134"/>
      <c r="C1381" s="41"/>
      <c r="D1381" s="136"/>
      <c r="E1381" s="137"/>
      <c r="F1381" s="138"/>
      <c r="G1381" s="1" t="str">
        <f>IFERROR(IF(ventas_b_mes1255[[#This Row],[CUIT]]="","-",VLOOKUP(ventas_b_mes1255[[#This Row],[CUIT]],Lista_CUIT[#All],2,0)),"CUIT NO CARGADO")</f>
        <v>-</v>
      </c>
      <c r="H1381" s="99">
        <f>ventas_b_mes1255[[#This Row],[TOTAL]]/1.21</f>
        <v>0</v>
      </c>
      <c r="I1381" s="64">
        <f>ventas_b_mes1255[[#This Row],[IMPORTE NETO]]*0.21</f>
        <v>0</v>
      </c>
      <c r="J1381" s="140"/>
      <c r="K1381" s="140"/>
      <c r="L1381" s="140"/>
      <c r="M1381" s="59"/>
    </row>
    <row r="1382" spans="2:13" x14ac:dyDescent="0.25">
      <c r="B1382" s="134"/>
      <c r="C1382" s="41"/>
      <c r="D1382" s="136"/>
      <c r="E1382" s="137"/>
      <c r="F1382" s="138"/>
      <c r="G1382" s="1" t="str">
        <f>IFERROR(IF(ventas_b_mes1255[[#This Row],[CUIT]]="","-",VLOOKUP(ventas_b_mes1255[[#This Row],[CUIT]],Lista_CUIT[#All],2,0)),"CUIT NO CARGADO")</f>
        <v>-</v>
      </c>
      <c r="H1382" s="99">
        <f>ventas_b_mes1255[[#This Row],[TOTAL]]/1.21</f>
        <v>0</v>
      </c>
      <c r="I1382" s="64">
        <f>ventas_b_mes1255[[#This Row],[IMPORTE NETO]]*0.21</f>
        <v>0</v>
      </c>
      <c r="J1382" s="140"/>
      <c r="K1382" s="140"/>
      <c r="L1382" s="140"/>
      <c r="M1382" s="59"/>
    </row>
    <row r="1383" spans="2:13" x14ac:dyDescent="0.25">
      <c r="B1383" s="134"/>
      <c r="C1383" s="41"/>
      <c r="D1383" s="136"/>
      <c r="E1383" s="137"/>
      <c r="F1383" s="138"/>
      <c r="G1383" s="1" t="str">
        <f>IFERROR(IF(ventas_b_mes1255[[#This Row],[CUIT]]="","-",VLOOKUP(ventas_b_mes1255[[#This Row],[CUIT]],Lista_CUIT[#All],2,0)),"CUIT NO CARGADO")</f>
        <v>-</v>
      </c>
      <c r="H1383" s="99">
        <f>ventas_b_mes1255[[#This Row],[TOTAL]]/1.21</f>
        <v>0</v>
      </c>
      <c r="I1383" s="64">
        <f>ventas_b_mes1255[[#This Row],[IMPORTE NETO]]*0.21</f>
        <v>0</v>
      </c>
      <c r="J1383" s="140"/>
      <c r="K1383" s="140"/>
      <c r="L1383" s="140"/>
      <c r="M1383" s="59"/>
    </row>
    <row r="1384" spans="2:13" x14ac:dyDescent="0.25">
      <c r="B1384" s="134"/>
      <c r="C1384" s="41"/>
      <c r="D1384" s="136"/>
      <c r="E1384" s="137"/>
      <c r="F1384" s="138"/>
      <c r="G1384" s="1" t="str">
        <f>IFERROR(IF(ventas_b_mes1255[[#This Row],[CUIT]]="","-",VLOOKUP(ventas_b_mes1255[[#This Row],[CUIT]],Lista_CUIT[#All],2,0)),"CUIT NO CARGADO")</f>
        <v>-</v>
      </c>
      <c r="H1384" s="99">
        <f>ventas_b_mes1255[[#This Row],[TOTAL]]/1.21</f>
        <v>0</v>
      </c>
      <c r="I1384" s="64">
        <f>ventas_b_mes1255[[#This Row],[IMPORTE NETO]]*0.21</f>
        <v>0</v>
      </c>
      <c r="J1384" s="140"/>
      <c r="K1384" s="140"/>
      <c r="L1384" s="140"/>
      <c r="M1384" s="59"/>
    </row>
    <row r="1385" spans="2:13" x14ac:dyDescent="0.25">
      <c r="B1385" s="134"/>
      <c r="C1385" s="41"/>
      <c r="D1385" s="136"/>
      <c r="E1385" s="137"/>
      <c r="F1385" s="138"/>
      <c r="G1385" s="1" t="str">
        <f>IFERROR(IF(ventas_b_mes1255[[#This Row],[CUIT]]="","-",VLOOKUP(ventas_b_mes1255[[#This Row],[CUIT]],Lista_CUIT[#All],2,0)),"CUIT NO CARGADO")</f>
        <v>-</v>
      </c>
      <c r="H1385" s="99">
        <f>ventas_b_mes1255[[#This Row],[TOTAL]]/1.21</f>
        <v>0</v>
      </c>
      <c r="I1385" s="64">
        <f>ventas_b_mes1255[[#This Row],[IMPORTE NETO]]*0.21</f>
        <v>0</v>
      </c>
      <c r="J1385" s="140"/>
      <c r="K1385" s="140"/>
      <c r="L1385" s="140"/>
      <c r="M1385" s="59"/>
    </row>
    <row r="1386" spans="2:13" x14ac:dyDescent="0.25">
      <c r="B1386" s="134"/>
      <c r="C1386" s="41"/>
      <c r="D1386" s="136"/>
      <c r="E1386" s="137"/>
      <c r="F1386" s="138"/>
      <c r="G1386" s="1" t="str">
        <f>IFERROR(IF(ventas_b_mes1255[[#This Row],[CUIT]]="","-",VLOOKUP(ventas_b_mes1255[[#This Row],[CUIT]],Lista_CUIT[#All],2,0)),"CUIT NO CARGADO")</f>
        <v>-</v>
      </c>
      <c r="H1386" s="99">
        <f>ventas_b_mes1255[[#This Row],[TOTAL]]/1.21</f>
        <v>0</v>
      </c>
      <c r="I1386" s="64">
        <f>ventas_b_mes1255[[#This Row],[IMPORTE NETO]]*0.21</f>
        <v>0</v>
      </c>
      <c r="J1386" s="140"/>
      <c r="K1386" s="140"/>
      <c r="L1386" s="140"/>
      <c r="M1386" s="59"/>
    </row>
    <row r="1387" spans="2:13" x14ac:dyDescent="0.25">
      <c r="B1387" s="134"/>
      <c r="C1387" s="41"/>
      <c r="D1387" s="136"/>
      <c r="E1387" s="137"/>
      <c r="F1387" s="138"/>
      <c r="G1387" s="1" t="str">
        <f>IFERROR(IF(ventas_b_mes1255[[#This Row],[CUIT]]="","-",VLOOKUP(ventas_b_mes1255[[#This Row],[CUIT]],Lista_CUIT[#All],2,0)),"CUIT NO CARGADO")</f>
        <v>-</v>
      </c>
      <c r="H1387" s="99">
        <f>ventas_b_mes1255[[#This Row],[TOTAL]]/1.21</f>
        <v>0</v>
      </c>
      <c r="I1387" s="64">
        <f>ventas_b_mes1255[[#This Row],[IMPORTE NETO]]*0.21</f>
        <v>0</v>
      </c>
      <c r="J1387" s="140"/>
      <c r="K1387" s="140"/>
      <c r="L1387" s="140"/>
      <c r="M1387" s="59"/>
    </row>
    <row r="1388" spans="2:13" x14ac:dyDescent="0.25">
      <c r="B1388" s="134"/>
      <c r="C1388" s="41"/>
      <c r="D1388" s="136"/>
      <c r="E1388" s="137"/>
      <c r="F1388" s="138"/>
      <c r="G1388" s="1" t="str">
        <f>IFERROR(IF(ventas_b_mes1255[[#This Row],[CUIT]]="","-",VLOOKUP(ventas_b_mes1255[[#This Row],[CUIT]],Lista_CUIT[#All],2,0)),"CUIT NO CARGADO")</f>
        <v>-</v>
      </c>
      <c r="H1388" s="99">
        <f>ventas_b_mes1255[[#This Row],[TOTAL]]/1.21</f>
        <v>0</v>
      </c>
      <c r="I1388" s="64">
        <f>ventas_b_mes1255[[#This Row],[IMPORTE NETO]]*0.21</f>
        <v>0</v>
      </c>
      <c r="J1388" s="140"/>
      <c r="K1388" s="140"/>
      <c r="L1388" s="140"/>
      <c r="M1388" s="59"/>
    </row>
    <row r="1389" spans="2:13" x14ac:dyDescent="0.25">
      <c r="B1389" s="134"/>
      <c r="C1389" s="41"/>
      <c r="D1389" s="136"/>
      <c r="E1389" s="137"/>
      <c r="F1389" s="138"/>
      <c r="G1389" s="1" t="str">
        <f>IFERROR(IF(ventas_b_mes1255[[#This Row],[CUIT]]="","-",VLOOKUP(ventas_b_mes1255[[#This Row],[CUIT]],Lista_CUIT[#All],2,0)),"CUIT NO CARGADO")</f>
        <v>-</v>
      </c>
      <c r="H1389" s="99">
        <f>ventas_b_mes1255[[#This Row],[TOTAL]]/1.21</f>
        <v>0</v>
      </c>
      <c r="I1389" s="64">
        <f>ventas_b_mes1255[[#This Row],[IMPORTE NETO]]*0.21</f>
        <v>0</v>
      </c>
      <c r="J1389" s="140"/>
      <c r="K1389" s="140"/>
      <c r="L1389" s="140"/>
      <c r="M1389" s="59"/>
    </row>
    <row r="1390" spans="2:13" x14ac:dyDescent="0.25">
      <c r="B1390" s="134"/>
      <c r="C1390" s="41"/>
      <c r="D1390" s="136"/>
      <c r="E1390" s="137"/>
      <c r="F1390" s="138"/>
      <c r="G1390" s="1" t="str">
        <f>IFERROR(IF(ventas_b_mes1255[[#This Row],[CUIT]]="","-",VLOOKUP(ventas_b_mes1255[[#This Row],[CUIT]],Lista_CUIT[#All],2,0)),"CUIT NO CARGADO")</f>
        <v>-</v>
      </c>
      <c r="H1390" s="99">
        <f>ventas_b_mes1255[[#This Row],[TOTAL]]/1.21</f>
        <v>0</v>
      </c>
      <c r="I1390" s="64">
        <f>ventas_b_mes1255[[#This Row],[IMPORTE NETO]]*0.21</f>
        <v>0</v>
      </c>
      <c r="J1390" s="140"/>
      <c r="K1390" s="140"/>
      <c r="L1390" s="140"/>
      <c r="M1390" s="59"/>
    </row>
    <row r="1391" spans="2:13" x14ac:dyDescent="0.25">
      <c r="B1391" s="134"/>
      <c r="C1391" s="41"/>
      <c r="D1391" s="136"/>
      <c r="E1391" s="137"/>
      <c r="F1391" s="138"/>
      <c r="G1391" s="1" t="str">
        <f>IFERROR(IF(ventas_b_mes1255[[#This Row],[CUIT]]="","-",VLOOKUP(ventas_b_mes1255[[#This Row],[CUIT]],Lista_CUIT[#All],2,0)),"CUIT NO CARGADO")</f>
        <v>-</v>
      </c>
      <c r="H1391" s="99">
        <f>ventas_b_mes1255[[#This Row],[TOTAL]]/1.21</f>
        <v>0</v>
      </c>
      <c r="I1391" s="64">
        <f>ventas_b_mes1255[[#This Row],[IMPORTE NETO]]*0.21</f>
        <v>0</v>
      </c>
      <c r="J1391" s="140"/>
      <c r="K1391" s="140"/>
      <c r="L1391" s="140"/>
      <c r="M1391" s="59"/>
    </row>
    <row r="1392" spans="2:13" x14ac:dyDescent="0.25">
      <c r="B1392" s="134"/>
      <c r="C1392" s="41"/>
      <c r="D1392" s="136"/>
      <c r="E1392" s="137"/>
      <c r="F1392" s="138"/>
      <c r="G1392" s="1" t="str">
        <f>IFERROR(IF(ventas_b_mes1255[[#This Row],[CUIT]]="","-",VLOOKUP(ventas_b_mes1255[[#This Row],[CUIT]],Lista_CUIT[#All],2,0)),"CUIT NO CARGADO")</f>
        <v>-</v>
      </c>
      <c r="H1392" s="99">
        <f>ventas_b_mes1255[[#This Row],[TOTAL]]/1.21</f>
        <v>0</v>
      </c>
      <c r="I1392" s="64">
        <f>ventas_b_mes1255[[#This Row],[IMPORTE NETO]]*0.21</f>
        <v>0</v>
      </c>
      <c r="J1392" s="140"/>
      <c r="K1392" s="140"/>
      <c r="L1392" s="140"/>
      <c r="M1392" s="59"/>
    </row>
    <row r="1393" spans="2:13" x14ac:dyDescent="0.25">
      <c r="B1393" s="134"/>
      <c r="C1393" s="41"/>
      <c r="D1393" s="136"/>
      <c r="E1393" s="137"/>
      <c r="F1393" s="138"/>
      <c r="G1393" s="1" t="str">
        <f>IFERROR(IF(ventas_b_mes1255[[#This Row],[CUIT]]="","-",VLOOKUP(ventas_b_mes1255[[#This Row],[CUIT]],Lista_CUIT[#All],2,0)),"CUIT NO CARGADO")</f>
        <v>-</v>
      </c>
      <c r="H1393" s="99">
        <f>ventas_b_mes1255[[#This Row],[TOTAL]]/1.21</f>
        <v>0</v>
      </c>
      <c r="I1393" s="64">
        <f>ventas_b_mes1255[[#This Row],[IMPORTE NETO]]*0.21</f>
        <v>0</v>
      </c>
      <c r="J1393" s="140"/>
      <c r="K1393" s="140"/>
      <c r="L1393" s="140"/>
      <c r="M1393" s="59"/>
    </row>
    <row r="1394" spans="2:13" x14ac:dyDescent="0.25">
      <c r="B1394" s="134"/>
      <c r="C1394" s="41"/>
      <c r="D1394" s="136"/>
      <c r="E1394" s="137"/>
      <c r="F1394" s="138"/>
      <c r="G1394" s="1" t="str">
        <f>IFERROR(IF(ventas_b_mes1255[[#This Row],[CUIT]]="","-",VLOOKUP(ventas_b_mes1255[[#This Row],[CUIT]],Lista_CUIT[#All],2,0)),"CUIT NO CARGADO")</f>
        <v>-</v>
      </c>
      <c r="H1394" s="99">
        <f>ventas_b_mes1255[[#This Row],[TOTAL]]/1.21</f>
        <v>0</v>
      </c>
      <c r="I1394" s="64">
        <f>ventas_b_mes1255[[#This Row],[IMPORTE NETO]]*0.21</f>
        <v>0</v>
      </c>
      <c r="J1394" s="140"/>
      <c r="K1394" s="140"/>
      <c r="L1394" s="140"/>
      <c r="M1394" s="59"/>
    </row>
    <row r="1395" spans="2:13" x14ac:dyDescent="0.25">
      <c r="B1395" s="134"/>
      <c r="C1395" s="41"/>
      <c r="D1395" s="136"/>
      <c r="E1395" s="137"/>
      <c r="F1395" s="138"/>
      <c r="G1395" s="1" t="str">
        <f>IFERROR(IF(ventas_b_mes1255[[#This Row],[CUIT]]="","-",VLOOKUP(ventas_b_mes1255[[#This Row],[CUIT]],Lista_CUIT[#All],2,0)),"CUIT NO CARGADO")</f>
        <v>-</v>
      </c>
      <c r="H1395" s="99">
        <f>ventas_b_mes1255[[#This Row],[TOTAL]]/1.21</f>
        <v>0</v>
      </c>
      <c r="I1395" s="64">
        <f>ventas_b_mes1255[[#This Row],[IMPORTE NETO]]*0.21</f>
        <v>0</v>
      </c>
      <c r="J1395" s="140"/>
      <c r="K1395" s="140"/>
      <c r="L1395" s="140"/>
      <c r="M1395" s="59"/>
    </row>
    <row r="1396" spans="2:13" x14ac:dyDescent="0.25">
      <c r="B1396" s="134"/>
      <c r="C1396" s="41"/>
      <c r="D1396" s="136"/>
      <c r="E1396" s="137"/>
      <c r="F1396" s="138"/>
      <c r="G1396" s="1" t="str">
        <f>IFERROR(IF(ventas_b_mes1255[[#This Row],[CUIT]]="","-",VLOOKUP(ventas_b_mes1255[[#This Row],[CUIT]],Lista_CUIT[#All],2,0)),"CUIT NO CARGADO")</f>
        <v>-</v>
      </c>
      <c r="H1396" s="99">
        <f>ventas_b_mes1255[[#This Row],[TOTAL]]/1.21</f>
        <v>0</v>
      </c>
      <c r="I1396" s="64">
        <f>ventas_b_mes1255[[#This Row],[IMPORTE NETO]]*0.21</f>
        <v>0</v>
      </c>
      <c r="J1396" s="140"/>
      <c r="K1396" s="140"/>
      <c r="L1396" s="140"/>
      <c r="M1396" s="59"/>
    </row>
    <row r="1397" spans="2:13" x14ac:dyDescent="0.25">
      <c r="B1397" s="134"/>
      <c r="C1397" s="41"/>
      <c r="D1397" s="136"/>
      <c r="E1397" s="137"/>
      <c r="F1397" s="138"/>
      <c r="G1397" s="1" t="str">
        <f>IFERROR(IF(ventas_b_mes1255[[#This Row],[CUIT]]="","-",VLOOKUP(ventas_b_mes1255[[#This Row],[CUIT]],Lista_CUIT[#All],2,0)),"CUIT NO CARGADO")</f>
        <v>-</v>
      </c>
      <c r="H1397" s="99">
        <f>ventas_b_mes1255[[#This Row],[TOTAL]]/1.21</f>
        <v>0</v>
      </c>
      <c r="I1397" s="64">
        <f>ventas_b_mes1255[[#This Row],[IMPORTE NETO]]*0.21</f>
        <v>0</v>
      </c>
      <c r="J1397" s="140"/>
      <c r="K1397" s="140"/>
      <c r="L1397" s="140"/>
      <c r="M1397" s="59"/>
    </row>
    <row r="1398" spans="2:13" x14ac:dyDescent="0.25">
      <c r="B1398" s="134"/>
      <c r="C1398" s="41"/>
      <c r="D1398" s="136"/>
      <c r="E1398" s="137"/>
      <c r="F1398" s="138"/>
      <c r="G1398" s="1" t="str">
        <f>IFERROR(IF(ventas_b_mes1255[[#This Row],[CUIT]]="","-",VLOOKUP(ventas_b_mes1255[[#This Row],[CUIT]],Lista_CUIT[#All],2,0)),"CUIT NO CARGADO")</f>
        <v>-</v>
      </c>
      <c r="H1398" s="99">
        <f>ventas_b_mes1255[[#This Row],[TOTAL]]/1.21</f>
        <v>0</v>
      </c>
      <c r="I1398" s="64">
        <f>ventas_b_mes1255[[#This Row],[IMPORTE NETO]]*0.21</f>
        <v>0</v>
      </c>
      <c r="J1398" s="140"/>
      <c r="K1398" s="140"/>
      <c r="L1398" s="140"/>
      <c r="M1398" s="59"/>
    </row>
    <row r="1399" spans="2:13" x14ac:dyDescent="0.25">
      <c r="B1399" s="134"/>
      <c r="C1399" s="41"/>
      <c r="D1399" s="136"/>
      <c r="E1399" s="137"/>
      <c r="F1399" s="138"/>
      <c r="G1399" s="1" t="str">
        <f>IFERROR(IF(ventas_b_mes1255[[#This Row],[CUIT]]="","-",VLOOKUP(ventas_b_mes1255[[#This Row],[CUIT]],Lista_CUIT[#All],2,0)),"CUIT NO CARGADO")</f>
        <v>-</v>
      </c>
      <c r="H1399" s="99">
        <f>ventas_b_mes1255[[#This Row],[TOTAL]]/1.21</f>
        <v>0</v>
      </c>
      <c r="I1399" s="64">
        <f>ventas_b_mes1255[[#This Row],[IMPORTE NETO]]*0.21</f>
        <v>0</v>
      </c>
      <c r="J1399" s="140"/>
      <c r="K1399" s="140"/>
      <c r="L1399" s="140"/>
      <c r="M1399" s="59"/>
    </row>
    <row r="1400" spans="2:13" x14ac:dyDescent="0.25">
      <c r="B1400" s="134"/>
      <c r="C1400" s="41"/>
      <c r="D1400" s="136"/>
      <c r="E1400" s="137"/>
      <c r="F1400" s="138"/>
      <c r="G1400" s="1" t="str">
        <f>IFERROR(IF(ventas_b_mes1255[[#This Row],[CUIT]]="","-",VLOOKUP(ventas_b_mes1255[[#This Row],[CUIT]],Lista_CUIT[#All],2,0)),"CUIT NO CARGADO")</f>
        <v>-</v>
      </c>
      <c r="H1400" s="99">
        <f>ventas_b_mes1255[[#This Row],[TOTAL]]/1.21</f>
        <v>0</v>
      </c>
      <c r="I1400" s="64">
        <f>ventas_b_mes1255[[#This Row],[IMPORTE NETO]]*0.21</f>
        <v>0</v>
      </c>
      <c r="J1400" s="140"/>
      <c r="K1400" s="140"/>
      <c r="L1400" s="140"/>
      <c r="M1400" s="59"/>
    </row>
    <row r="1401" spans="2:13" x14ac:dyDescent="0.25">
      <c r="B1401" s="134"/>
      <c r="C1401" s="41"/>
      <c r="D1401" s="136"/>
      <c r="E1401" s="137"/>
      <c r="F1401" s="138"/>
      <c r="G1401" s="1" t="str">
        <f>IFERROR(IF(ventas_b_mes1255[[#This Row],[CUIT]]="","-",VLOOKUP(ventas_b_mes1255[[#This Row],[CUIT]],Lista_CUIT[#All],2,0)),"CUIT NO CARGADO")</f>
        <v>-</v>
      </c>
      <c r="H1401" s="99">
        <f>ventas_b_mes1255[[#This Row],[TOTAL]]/1.21</f>
        <v>0</v>
      </c>
      <c r="I1401" s="64">
        <f>ventas_b_mes1255[[#This Row],[IMPORTE NETO]]*0.21</f>
        <v>0</v>
      </c>
      <c r="J1401" s="140"/>
      <c r="K1401" s="140"/>
      <c r="L1401" s="140"/>
      <c r="M1401" s="59"/>
    </row>
    <row r="1402" spans="2:13" x14ac:dyDescent="0.25">
      <c r="B1402" s="134"/>
      <c r="C1402" s="41"/>
      <c r="D1402" s="136"/>
      <c r="E1402" s="137"/>
      <c r="F1402" s="138"/>
      <c r="G1402" s="1" t="str">
        <f>IFERROR(IF(ventas_b_mes1255[[#This Row],[CUIT]]="","-",VLOOKUP(ventas_b_mes1255[[#This Row],[CUIT]],Lista_CUIT[#All],2,0)),"CUIT NO CARGADO")</f>
        <v>-</v>
      </c>
      <c r="H1402" s="99">
        <f>ventas_b_mes1255[[#This Row],[TOTAL]]/1.21</f>
        <v>0</v>
      </c>
      <c r="I1402" s="64">
        <f>ventas_b_mes1255[[#This Row],[IMPORTE NETO]]*0.21</f>
        <v>0</v>
      </c>
      <c r="J1402" s="140"/>
      <c r="K1402" s="140"/>
      <c r="L1402" s="140"/>
      <c r="M1402" s="59"/>
    </row>
    <row r="1403" spans="2:13" x14ac:dyDescent="0.25">
      <c r="B1403" s="134"/>
      <c r="C1403" s="41"/>
      <c r="D1403" s="136"/>
      <c r="E1403" s="137"/>
      <c r="F1403" s="138"/>
      <c r="G1403" s="1" t="str">
        <f>IFERROR(IF(ventas_b_mes1255[[#This Row],[CUIT]]="","-",VLOOKUP(ventas_b_mes1255[[#This Row],[CUIT]],Lista_CUIT[#All],2,0)),"CUIT NO CARGADO")</f>
        <v>-</v>
      </c>
      <c r="H1403" s="99">
        <f>ventas_b_mes1255[[#This Row],[TOTAL]]/1.21</f>
        <v>0</v>
      </c>
      <c r="I1403" s="64">
        <f>ventas_b_mes1255[[#This Row],[IMPORTE NETO]]*0.21</f>
        <v>0</v>
      </c>
      <c r="J1403" s="140"/>
      <c r="K1403" s="140"/>
      <c r="L1403" s="140"/>
      <c r="M1403" s="59"/>
    </row>
    <row r="1404" spans="2:13" x14ac:dyDescent="0.25">
      <c r="B1404" s="134"/>
      <c r="C1404" s="41"/>
      <c r="D1404" s="136"/>
      <c r="E1404" s="137"/>
      <c r="F1404" s="138"/>
      <c r="G1404" s="1" t="str">
        <f>IFERROR(IF(ventas_b_mes1255[[#This Row],[CUIT]]="","-",VLOOKUP(ventas_b_mes1255[[#This Row],[CUIT]],Lista_CUIT[#All],2,0)),"CUIT NO CARGADO")</f>
        <v>-</v>
      </c>
      <c r="H1404" s="99">
        <f>ventas_b_mes1255[[#This Row],[TOTAL]]/1.21</f>
        <v>0</v>
      </c>
      <c r="I1404" s="64">
        <f>ventas_b_mes1255[[#This Row],[IMPORTE NETO]]*0.21</f>
        <v>0</v>
      </c>
      <c r="J1404" s="140"/>
      <c r="K1404" s="140"/>
      <c r="L1404" s="140"/>
      <c r="M1404" s="59"/>
    </row>
    <row r="1405" spans="2:13" x14ac:dyDescent="0.25">
      <c r="B1405" s="134"/>
      <c r="C1405" s="41"/>
      <c r="D1405" s="136"/>
      <c r="E1405" s="137"/>
      <c r="F1405" s="138"/>
      <c r="G1405" s="1" t="str">
        <f>IFERROR(IF(ventas_b_mes1255[[#This Row],[CUIT]]="","-",VLOOKUP(ventas_b_mes1255[[#This Row],[CUIT]],Lista_CUIT[#All],2,0)),"CUIT NO CARGADO")</f>
        <v>-</v>
      </c>
      <c r="H1405" s="99">
        <f>ventas_b_mes1255[[#This Row],[TOTAL]]/1.21</f>
        <v>0</v>
      </c>
      <c r="I1405" s="64">
        <f>ventas_b_mes1255[[#This Row],[IMPORTE NETO]]*0.21</f>
        <v>0</v>
      </c>
      <c r="J1405" s="140"/>
      <c r="K1405" s="140"/>
      <c r="L1405" s="140"/>
      <c r="M1405" s="59"/>
    </row>
    <row r="1406" spans="2:13" x14ac:dyDescent="0.25">
      <c r="B1406" s="134"/>
      <c r="C1406" s="41"/>
      <c r="D1406" s="136"/>
      <c r="E1406" s="137"/>
      <c r="F1406" s="138"/>
      <c r="G1406" s="1" t="str">
        <f>IFERROR(IF(ventas_b_mes1255[[#This Row],[CUIT]]="","-",VLOOKUP(ventas_b_mes1255[[#This Row],[CUIT]],Lista_CUIT[#All],2,0)),"CUIT NO CARGADO")</f>
        <v>-</v>
      </c>
      <c r="H1406" s="99">
        <f>ventas_b_mes1255[[#This Row],[TOTAL]]/1.21</f>
        <v>0</v>
      </c>
      <c r="I1406" s="64">
        <f>ventas_b_mes1255[[#This Row],[IMPORTE NETO]]*0.21</f>
        <v>0</v>
      </c>
      <c r="J1406" s="140"/>
      <c r="K1406" s="140"/>
      <c r="L1406" s="140"/>
      <c r="M1406" s="59"/>
    </row>
    <row r="1407" spans="2:13" x14ac:dyDescent="0.25">
      <c r="B1407" s="134"/>
      <c r="C1407" s="41"/>
      <c r="D1407" s="136"/>
      <c r="E1407" s="137"/>
      <c r="F1407" s="138"/>
      <c r="G1407" s="1" t="str">
        <f>IFERROR(IF(ventas_b_mes1255[[#This Row],[CUIT]]="","-",VLOOKUP(ventas_b_mes1255[[#This Row],[CUIT]],Lista_CUIT[#All],2,0)),"CUIT NO CARGADO")</f>
        <v>-</v>
      </c>
      <c r="H1407" s="99">
        <f>ventas_b_mes1255[[#This Row],[TOTAL]]/1.21</f>
        <v>0</v>
      </c>
      <c r="I1407" s="64">
        <f>ventas_b_mes1255[[#This Row],[IMPORTE NETO]]*0.21</f>
        <v>0</v>
      </c>
      <c r="J1407" s="140"/>
      <c r="K1407" s="140"/>
      <c r="L1407" s="140"/>
      <c r="M1407" s="59"/>
    </row>
    <row r="1408" spans="2:13" x14ac:dyDescent="0.25">
      <c r="B1408" s="134"/>
      <c r="C1408" s="41"/>
      <c r="D1408" s="136"/>
      <c r="E1408" s="137"/>
      <c r="F1408" s="138"/>
      <c r="G1408" s="1" t="str">
        <f>IFERROR(IF(ventas_b_mes1255[[#This Row],[CUIT]]="","-",VLOOKUP(ventas_b_mes1255[[#This Row],[CUIT]],Lista_CUIT[#All],2,0)),"CUIT NO CARGADO")</f>
        <v>-</v>
      </c>
      <c r="H1408" s="99">
        <f>ventas_b_mes1255[[#This Row],[TOTAL]]/1.21</f>
        <v>0</v>
      </c>
      <c r="I1408" s="64">
        <f>ventas_b_mes1255[[#This Row],[IMPORTE NETO]]*0.21</f>
        <v>0</v>
      </c>
      <c r="J1408" s="140"/>
      <c r="K1408" s="140"/>
      <c r="L1408" s="140"/>
      <c r="M1408" s="59"/>
    </row>
    <row r="1409" spans="2:13" x14ac:dyDescent="0.25">
      <c r="B1409" s="134"/>
      <c r="C1409" s="41"/>
      <c r="D1409" s="136"/>
      <c r="E1409" s="137"/>
      <c r="F1409" s="138"/>
      <c r="G1409" s="1" t="str">
        <f>IFERROR(IF(ventas_b_mes1255[[#This Row],[CUIT]]="","-",VLOOKUP(ventas_b_mes1255[[#This Row],[CUIT]],Lista_CUIT[#All],2,0)),"CUIT NO CARGADO")</f>
        <v>-</v>
      </c>
      <c r="H1409" s="99">
        <f>ventas_b_mes1255[[#This Row],[TOTAL]]/1.21</f>
        <v>0</v>
      </c>
      <c r="I1409" s="64">
        <f>ventas_b_mes1255[[#This Row],[IMPORTE NETO]]*0.21</f>
        <v>0</v>
      </c>
      <c r="J1409" s="140"/>
      <c r="K1409" s="140"/>
      <c r="L1409" s="140"/>
      <c r="M1409" s="59"/>
    </row>
    <row r="1410" spans="2:13" x14ac:dyDescent="0.25">
      <c r="B1410" s="134"/>
      <c r="C1410" s="41"/>
      <c r="D1410" s="136"/>
      <c r="E1410" s="137"/>
      <c r="F1410" s="138"/>
      <c r="G1410" s="1" t="str">
        <f>IFERROR(IF(ventas_b_mes1255[[#This Row],[CUIT]]="","-",VLOOKUP(ventas_b_mes1255[[#This Row],[CUIT]],Lista_CUIT[#All],2,0)),"CUIT NO CARGADO")</f>
        <v>-</v>
      </c>
      <c r="H1410" s="99">
        <f>ventas_b_mes1255[[#This Row],[TOTAL]]/1.21</f>
        <v>0</v>
      </c>
      <c r="I1410" s="64">
        <f>ventas_b_mes1255[[#This Row],[IMPORTE NETO]]*0.21</f>
        <v>0</v>
      </c>
      <c r="J1410" s="140"/>
      <c r="K1410" s="140"/>
      <c r="L1410" s="140"/>
      <c r="M1410" s="59"/>
    </row>
    <row r="1411" spans="2:13" x14ac:dyDescent="0.25">
      <c r="B1411" s="134"/>
      <c r="C1411" s="41"/>
      <c r="D1411" s="136"/>
      <c r="E1411" s="137"/>
      <c r="F1411" s="138"/>
      <c r="G1411" s="1" t="str">
        <f>IFERROR(IF(ventas_b_mes1255[[#This Row],[CUIT]]="","-",VLOOKUP(ventas_b_mes1255[[#This Row],[CUIT]],Lista_CUIT[#All],2,0)),"CUIT NO CARGADO")</f>
        <v>-</v>
      </c>
      <c r="H1411" s="99">
        <f>ventas_b_mes1255[[#This Row],[TOTAL]]/1.21</f>
        <v>0</v>
      </c>
      <c r="I1411" s="64">
        <f>ventas_b_mes1255[[#This Row],[IMPORTE NETO]]*0.21</f>
        <v>0</v>
      </c>
      <c r="J1411" s="140"/>
      <c r="K1411" s="140"/>
      <c r="L1411" s="140"/>
      <c r="M1411" s="59"/>
    </row>
    <row r="1412" spans="2:13" x14ac:dyDescent="0.25">
      <c r="B1412" s="134"/>
      <c r="C1412" s="41"/>
      <c r="D1412" s="136"/>
      <c r="E1412" s="137"/>
      <c r="F1412" s="138"/>
      <c r="G1412" s="1" t="str">
        <f>IFERROR(IF(ventas_b_mes1255[[#This Row],[CUIT]]="","-",VLOOKUP(ventas_b_mes1255[[#This Row],[CUIT]],Lista_CUIT[#All],2,0)),"CUIT NO CARGADO")</f>
        <v>-</v>
      </c>
      <c r="H1412" s="99">
        <f>ventas_b_mes1255[[#This Row],[TOTAL]]/1.21</f>
        <v>0</v>
      </c>
      <c r="I1412" s="64">
        <f>ventas_b_mes1255[[#This Row],[IMPORTE NETO]]*0.21</f>
        <v>0</v>
      </c>
      <c r="J1412" s="140"/>
      <c r="K1412" s="140"/>
      <c r="L1412" s="140"/>
      <c r="M1412" s="59"/>
    </row>
    <row r="1413" spans="2:13" x14ac:dyDescent="0.25">
      <c r="B1413" s="134"/>
      <c r="C1413" s="41"/>
      <c r="D1413" s="136"/>
      <c r="E1413" s="137"/>
      <c r="F1413" s="138"/>
      <c r="G1413" s="1" t="str">
        <f>IFERROR(IF(ventas_b_mes1255[[#This Row],[CUIT]]="","-",VLOOKUP(ventas_b_mes1255[[#This Row],[CUIT]],Lista_CUIT[#All],2,0)),"CUIT NO CARGADO")</f>
        <v>-</v>
      </c>
      <c r="H1413" s="99">
        <f>ventas_b_mes1255[[#This Row],[TOTAL]]/1.21</f>
        <v>0</v>
      </c>
      <c r="I1413" s="64">
        <f>ventas_b_mes1255[[#This Row],[IMPORTE NETO]]*0.21</f>
        <v>0</v>
      </c>
      <c r="J1413" s="140"/>
      <c r="K1413" s="140"/>
      <c r="L1413" s="140"/>
      <c r="M1413" s="59"/>
    </row>
    <row r="1414" spans="2:13" x14ac:dyDescent="0.25">
      <c r="B1414" s="134"/>
      <c r="C1414" s="41"/>
      <c r="D1414" s="136"/>
      <c r="E1414" s="137"/>
      <c r="F1414" s="138"/>
      <c r="G1414" s="1" t="str">
        <f>IFERROR(IF(ventas_b_mes1255[[#This Row],[CUIT]]="","-",VLOOKUP(ventas_b_mes1255[[#This Row],[CUIT]],Lista_CUIT[#All],2,0)),"CUIT NO CARGADO")</f>
        <v>-</v>
      </c>
      <c r="H1414" s="99">
        <f>ventas_b_mes1255[[#This Row],[TOTAL]]/1.21</f>
        <v>0</v>
      </c>
      <c r="I1414" s="64">
        <f>ventas_b_mes1255[[#This Row],[IMPORTE NETO]]*0.21</f>
        <v>0</v>
      </c>
      <c r="J1414" s="140"/>
      <c r="K1414" s="140"/>
      <c r="L1414" s="140"/>
      <c r="M1414" s="59"/>
    </row>
    <row r="1415" spans="2:13" x14ac:dyDescent="0.25">
      <c r="B1415" s="134"/>
      <c r="C1415" s="41"/>
      <c r="D1415" s="136"/>
      <c r="E1415" s="137"/>
      <c r="F1415" s="138"/>
      <c r="G1415" s="1" t="str">
        <f>IFERROR(IF(ventas_b_mes1255[[#This Row],[CUIT]]="","-",VLOOKUP(ventas_b_mes1255[[#This Row],[CUIT]],Lista_CUIT[#All],2,0)),"CUIT NO CARGADO")</f>
        <v>-</v>
      </c>
      <c r="H1415" s="99">
        <f>ventas_b_mes1255[[#This Row],[TOTAL]]/1.21</f>
        <v>0</v>
      </c>
      <c r="I1415" s="64">
        <f>ventas_b_mes1255[[#This Row],[IMPORTE NETO]]*0.21</f>
        <v>0</v>
      </c>
      <c r="J1415" s="140"/>
      <c r="K1415" s="140"/>
      <c r="L1415" s="140"/>
      <c r="M1415" s="59"/>
    </row>
    <row r="1416" spans="2:13" x14ac:dyDescent="0.25">
      <c r="B1416" s="134"/>
      <c r="C1416" s="41"/>
      <c r="D1416" s="136"/>
      <c r="E1416" s="137"/>
      <c r="F1416" s="138"/>
      <c r="G1416" s="1" t="str">
        <f>IFERROR(IF(ventas_b_mes1255[[#This Row],[CUIT]]="","-",VLOOKUP(ventas_b_mes1255[[#This Row],[CUIT]],Lista_CUIT[#All],2,0)),"CUIT NO CARGADO")</f>
        <v>-</v>
      </c>
      <c r="H1416" s="99">
        <f>ventas_b_mes1255[[#This Row],[TOTAL]]/1.21</f>
        <v>0</v>
      </c>
      <c r="I1416" s="64">
        <f>ventas_b_mes1255[[#This Row],[IMPORTE NETO]]*0.21</f>
        <v>0</v>
      </c>
      <c r="J1416" s="140"/>
      <c r="K1416" s="140"/>
      <c r="L1416" s="140"/>
      <c r="M1416" s="59"/>
    </row>
    <row r="1417" spans="2:13" x14ac:dyDescent="0.25">
      <c r="B1417" s="134"/>
      <c r="C1417" s="41"/>
      <c r="D1417" s="136"/>
      <c r="E1417" s="137"/>
      <c r="F1417" s="138"/>
      <c r="G1417" s="1" t="str">
        <f>IFERROR(IF(ventas_b_mes1255[[#This Row],[CUIT]]="","-",VLOOKUP(ventas_b_mes1255[[#This Row],[CUIT]],Lista_CUIT[#All],2,0)),"CUIT NO CARGADO")</f>
        <v>-</v>
      </c>
      <c r="H1417" s="99">
        <f>ventas_b_mes1255[[#This Row],[TOTAL]]/1.21</f>
        <v>0</v>
      </c>
      <c r="I1417" s="64">
        <f>ventas_b_mes1255[[#This Row],[IMPORTE NETO]]*0.21</f>
        <v>0</v>
      </c>
      <c r="J1417" s="140"/>
      <c r="K1417" s="140"/>
      <c r="L1417" s="140"/>
      <c r="M1417" s="59"/>
    </row>
    <row r="1418" spans="2:13" x14ac:dyDescent="0.25">
      <c r="B1418" s="134"/>
      <c r="C1418" s="41"/>
      <c r="D1418" s="136"/>
      <c r="E1418" s="137"/>
      <c r="F1418" s="138"/>
      <c r="G1418" s="1" t="str">
        <f>IFERROR(IF(ventas_b_mes1255[[#This Row],[CUIT]]="","-",VLOOKUP(ventas_b_mes1255[[#This Row],[CUIT]],Lista_CUIT[#All],2,0)),"CUIT NO CARGADO")</f>
        <v>-</v>
      </c>
      <c r="H1418" s="99">
        <f>ventas_b_mes1255[[#This Row],[TOTAL]]/1.21</f>
        <v>0</v>
      </c>
      <c r="I1418" s="64">
        <f>ventas_b_mes1255[[#This Row],[IMPORTE NETO]]*0.21</f>
        <v>0</v>
      </c>
      <c r="J1418" s="140"/>
      <c r="K1418" s="140"/>
      <c r="L1418" s="140"/>
      <c r="M1418" s="59"/>
    </row>
    <row r="1419" spans="2:13" x14ac:dyDescent="0.25">
      <c r="B1419" s="134"/>
      <c r="C1419" s="41"/>
      <c r="D1419" s="136"/>
      <c r="E1419" s="137"/>
      <c r="F1419" s="138"/>
      <c r="G1419" s="1" t="str">
        <f>IFERROR(IF(ventas_b_mes1255[[#This Row],[CUIT]]="","-",VLOOKUP(ventas_b_mes1255[[#This Row],[CUIT]],Lista_CUIT[#All],2,0)),"CUIT NO CARGADO")</f>
        <v>-</v>
      </c>
      <c r="H1419" s="99">
        <f>ventas_b_mes1255[[#This Row],[TOTAL]]/1.21</f>
        <v>0</v>
      </c>
      <c r="I1419" s="64">
        <f>ventas_b_mes1255[[#This Row],[IMPORTE NETO]]*0.21</f>
        <v>0</v>
      </c>
      <c r="J1419" s="140"/>
      <c r="K1419" s="140"/>
      <c r="L1419" s="140"/>
      <c r="M1419" s="59"/>
    </row>
    <row r="1420" spans="2:13" x14ac:dyDescent="0.25">
      <c r="B1420" s="134"/>
      <c r="C1420" s="41"/>
      <c r="D1420" s="136"/>
      <c r="E1420" s="137"/>
      <c r="F1420" s="138"/>
      <c r="G1420" s="1" t="str">
        <f>IFERROR(IF(ventas_b_mes1255[[#This Row],[CUIT]]="","-",VLOOKUP(ventas_b_mes1255[[#This Row],[CUIT]],Lista_CUIT[#All],2,0)),"CUIT NO CARGADO")</f>
        <v>-</v>
      </c>
      <c r="H1420" s="99">
        <f>ventas_b_mes1255[[#This Row],[TOTAL]]/1.21</f>
        <v>0</v>
      </c>
      <c r="I1420" s="64">
        <f>ventas_b_mes1255[[#This Row],[IMPORTE NETO]]*0.21</f>
        <v>0</v>
      </c>
      <c r="J1420" s="140"/>
      <c r="K1420" s="140"/>
      <c r="L1420" s="140"/>
      <c r="M1420" s="59"/>
    </row>
    <row r="1421" spans="2:13" x14ac:dyDescent="0.25">
      <c r="B1421" s="134"/>
      <c r="C1421" s="41"/>
      <c r="D1421" s="136"/>
      <c r="E1421" s="137"/>
      <c r="F1421" s="138"/>
      <c r="G1421" s="1" t="str">
        <f>IFERROR(IF(ventas_b_mes1255[[#This Row],[CUIT]]="","-",VLOOKUP(ventas_b_mes1255[[#This Row],[CUIT]],Lista_CUIT[#All],2,0)),"CUIT NO CARGADO")</f>
        <v>-</v>
      </c>
      <c r="H1421" s="99">
        <f>ventas_b_mes1255[[#This Row],[TOTAL]]/1.21</f>
        <v>0</v>
      </c>
      <c r="I1421" s="64">
        <f>ventas_b_mes1255[[#This Row],[IMPORTE NETO]]*0.21</f>
        <v>0</v>
      </c>
      <c r="J1421" s="140"/>
      <c r="K1421" s="140"/>
      <c r="L1421" s="140"/>
      <c r="M1421" s="59"/>
    </row>
    <row r="1422" spans="2:13" x14ac:dyDescent="0.25">
      <c r="B1422" s="134"/>
      <c r="C1422" s="41"/>
      <c r="D1422" s="136"/>
      <c r="E1422" s="137"/>
      <c r="F1422" s="138"/>
      <c r="G1422" s="1" t="str">
        <f>IFERROR(IF(ventas_b_mes1255[[#This Row],[CUIT]]="","-",VLOOKUP(ventas_b_mes1255[[#This Row],[CUIT]],Lista_CUIT[#All],2,0)),"CUIT NO CARGADO")</f>
        <v>-</v>
      </c>
      <c r="H1422" s="99">
        <f>ventas_b_mes1255[[#This Row],[TOTAL]]/1.21</f>
        <v>0</v>
      </c>
      <c r="I1422" s="64">
        <f>ventas_b_mes1255[[#This Row],[IMPORTE NETO]]*0.21</f>
        <v>0</v>
      </c>
      <c r="J1422" s="140"/>
      <c r="K1422" s="140"/>
      <c r="L1422" s="140"/>
      <c r="M1422" s="59"/>
    </row>
    <row r="1423" spans="2:13" x14ac:dyDescent="0.25">
      <c r="B1423" s="134"/>
      <c r="C1423" s="41"/>
      <c r="D1423" s="136"/>
      <c r="E1423" s="137"/>
      <c r="F1423" s="138"/>
      <c r="G1423" s="1" t="str">
        <f>IFERROR(IF(ventas_b_mes1255[[#This Row],[CUIT]]="","-",VLOOKUP(ventas_b_mes1255[[#This Row],[CUIT]],Lista_CUIT[#All],2,0)),"CUIT NO CARGADO")</f>
        <v>-</v>
      </c>
      <c r="H1423" s="99">
        <f>ventas_b_mes1255[[#This Row],[TOTAL]]/1.21</f>
        <v>0</v>
      </c>
      <c r="I1423" s="64">
        <f>ventas_b_mes1255[[#This Row],[IMPORTE NETO]]*0.21</f>
        <v>0</v>
      </c>
      <c r="J1423" s="140"/>
      <c r="K1423" s="140"/>
      <c r="L1423" s="140"/>
      <c r="M1423" s="59"/>
    </row>
    <row r="1424" spans="2:13" x14ac:dyDescent="0.25">
      <c r="B1424" s="134"/>
      <c r="C1424" s="41"/>
      <c r="D1424" s="136"/>
      <c r="E1424" s="137"/>
      <c r="F1424" s="138"/>
      <c r="G1424" s="1" t="str">
        <f>IFERROR(IF(ventas_b_mes1255[[#This Row],[CUIT]]="","-",VLOOKUP(ventas_b_mes1255[[#This Row],[CUIT]],Lista_CUIT[#All],2,0)),"CUIT NO CARGADO")</f>
        <v>-</v>
      </c>
      <c r="H1424" s="99">
        <f>ventas_b_mes1255[[#This Row],[TOTAL]]/1.21</f>
        <v>0</v>
      </c>
      <c r="I1424" s="64">
        <f>ventas_b_mes1255[[#This Row],[IMPORTE NETO]]*0.21</f>
        <v>0</v>
      </c>
      <c r="J1424" s="140"/>
      <c r="K1424" s="140"/>
      <c r="L1424" s="140"/>
      <c r="M1424" s="59"/>
    </row>
    <row r="1425" spans="2:13" x14ac:dyDescent="0.25">
      <c r="B1425" s="134"/>
      <c r="C1425" s="41"/>
      <c r="D1425" s="136"/>
      <c r="E1425" s="137"/>
      <c r="F1425" s="138"/>
      <c r="G1425" s="1" t="str">
        <f>IFERROR(IF(ventas_b_mes1255[[#This Row],[CUIT]]="","-",VLOOKUP(ventas_b_mes1255[[#This Row],[CUIT]],Lista_CUIT[#All],2,0)),"CUIT NO CARGADO")</f>
        <v>-</v>
      </c>
      <c r="H1425" s="99">
        <f>ventas_b_mes1255[[#This Row],[TOTAL]]/1.21</f>
        <v>0</v>
      </c>
      <c r="I1425" s="64">
        <f>ventas_b_mes1255[[#This Row],[IMPORTE NETO]]*0.21</f>
        <v>0</v>
      </c>
      <c r="J1425" s="140"/>
      <c r="K1425" s="140"/>
      <c r="L1425" s="140"/>
      <c r="M1425" s="59"/>
    </row>
    <row r="1426" spans="2:13" x14ac:dyDescent="0.25">
      <c r="B1426" s="134"/>
      <c r="C1426" s="41"/>
      <c r="D1426" s="136"/>
      <c r="E1426" s="137"/>
      <c r="F1426" s="138"/>
      <c r="G1426" s="1" t="str">
        <f>IFERROR(IF(ventas_b_mes1255[[#This Row],[CUIT]]="","-",VLOOKUP(ventas_b_mes1255[[#This Row],[CUIT]],Lista_CUIT[#All],2,0)),"CUIT NO CARGADO")</f>
        <v>-</v>
      </c>
      <c r="H1426" s="99">
        <f>ventas_b_mes1255[[#This Row],[TOTAL]]/1.21</f>
        <v>0</v>
      </c>
      <c r="I1426" s="64">
        <f>ventas_b_mes1255[[#This Row],[IMPORTE NETO]]*0.21</f>
        <v>0</v>
      </c>
      <c r="J1426" s="140"/>
      <c r="K1426" s="140"/>
      <c r="L1426" s="140"/>
      <c r="M1426" s="59"/>
    </row>
    <row r="1427" spans="2:13" x14ac:dyDescent="0.25">
      <c r="B1427" s="134"/>
      <c r="C1427" s="41"/>
      <c r="D1427" s="136"/>
      <c r="E1427" s="137"/>
      <c r="F1427" s="138"/>
      <c r="G1427" s="1" t="str">
        <f>IFERROR(IF(ventas_b_mes1255[[#This Row],[CUIT]]="","-",VLOOKUP(ventas_b_mes1255[[#This Row],[CUIT]],Lista_CUIT[#All],2,0)),"CUIT NO CARGADO")</f>
        <v>-</v>
      </c>
      <c r="H1427" s="99">
        <f>ventas_b_mes1255[[#This Row],[TOTAL]]/1.21</f>
        <v>0</v>
      </c>
      <c r="I1427" s="64">
        <f>ventas_b_mes1255[[#This Row],[IMPORTE NETO]]*0.21</f>
        <v>0</v>
      </c>
      <c r="J1427" s="140"/>
      <c r="K1427" s="140"/>
      <c r="L1427" s="140"/>
      <c r="M1427" s="59"/>
    </row>
    <row r="1428" spans="2:13" x14ac:dyDescent="0.25">
      <c r="B1428" s="134"/>
      <c r="C1428" s="41"/>
      <c r="D1428" s="136"/>
      <c r="E1428" s="137"/>
      <c r="F1428" s="138"/>
      <c r="G1428" s="1" t="str">
        <f>IFERROR(IF(ventas_b_mes1255[[#This Row],[CUIT]]="","-",VLOOKUP(ventas_b_mes1255[[#This Row],[CUIT]],Lista_CUIT[#All],2,0)),"CUIT NO CARGADO")</f>
        <v>-</v>
      </c>
      <c r="H1428" s="99">
        <f>ventas_b_mes1255[[#This Row],[TOTAL]]/1.21</f>
        <v>0</v>
      </c>
      <c r="I1428" s="64">
        <f>ventas_b_mes1255[[#This Row],[IMPORTE NETO]]*0.21</f>
        <v>0</v>
      </c>
      <c r="J1428" s="140"/>
      <c r="K1428" s="140"/>
      <c r="L1428" s="140"/>
      <c r="M1428" s="59"/>
    </row>
    <row r="1429" spans="2:13" x14ac:dyDescent="0.25">
      <c r="B1429" s="134"/>
      <c r="C1429" s="41"/>
      <c r="D1429" s="136"/>
      <c r="E1429" s="137"/>
      <c r="F1429" s="138"/>
      <c r="G1429" s="1" t="str">
        <f>IFERROR(IF(ventas_b_mes1255[[#This Row],[CUIT]]="","-",VLOOKUP(ventas_b_mes1255[[#This Row],[CUIT]],Lista_CUIT[#All],2,0)),"CUIT NO CARGADO")</f>
        <v>-</v>
      </c>
      <c r="H1429" s="99">
        <f>ventas_b_mes1255[[#This Row],[TOTAL]]/1.21</f>
        <v>0</v>
      </c>
      <c r="I1429" s="64">
        <f>ventas_b_mes1255[[#This Row],[IMPORTE NETO]]*0.21</f>
        <v>0</v>
      </c>
      <c r="J1429" s="140"/>
      <c r="K1429" s="140"/>
      <c r="L1429" s="140"/>
      <c r="M1429" s="59"/>
    </row>
    <row r="1430" spans="2:13" x14ac:dyDescent="0.25">
      <c r="B1430" s="134"/>
      <c r="C1430" s="41"/>
      <c r="D1430" s="136"/>
      <c r="E1430" s="137"/>
      <c r="F1430" s="138"/>
      <c r="G1430" s="1" t="str">
        <f>IFERROR(IF(ventas_b_mes1255[[#This Row],[CUIT]]="","-",VLOOKUP(ventas_b_mes1255[[#This Row],[CUIT]],Lista_CUIT[#All],2,0)),"CUIT NO CARGADO")</f>
        <v>-</v>
      </c>
      <c r="H1430" s="99">
        <f>ventas_b_mes1255[[#This Row],[TOTAL]]/1.21</f>
        <v>0</v>
      </c>
      <c r="I1430" s="64">
        <f>ventas_b_mes1255[[#This Row],[IMPORTE NETO]]*0.21</f>
        <v>0</v>
      </c>
      <c r="J1430" s="140"/>
      <c r="K1430" s="140"/>
      <c r="L1430" s="140"/>
      <c r="M1430" s="59"/>
    </row>
    <row r="1431" spans="2:13" x14ac:dyDescent="0.25">
      <c r="B1431" s="134"/>
      <c r="C1431" s="41"/>
      <c r="D1431" s="136"/>
      <c r="E1431" s="137"/>
      <c r="F1431" s="138"/>
      <c r="G1431" s="1" t="str">
        <f>IFERROR(IF(ventas_b_mes1255[[#This Row],[CUIT]]="","-",VLOOKUP(ventas_b_mes1255[[#This Row],[CUIT]],Lista_CUIT[#All],2,0)),"CUIT NO CARGADO")</f>
        <v>-</v>
      </c>
      <c r="H1431" s="99">
        <f>ventas_b_mes1255[[#This Row],[TOTAL]]/1.21</f>
        <v>0</v>
      </c>
      <c r="I1431" s="64">
        <f>ventas_b_mes1255[[#This Row],[IMPORTE NETO]]*0.21</f>
        <v>0</v>
      </c>
      <c r="J1431" s="140"/>
      <c r="K1431" s="140"/>
      <c r="L1431" s="140"/>
      <c r="M1431" s="59"/>
    </row>
    <row r="1432" spans="2:13" x14ac:dyDescent="0.25">
      <c r="B1432" s="134"/>
      <c r="C1432" s="41"/>
      <c r="D1432" s="136"/>
      <c r="E1432" s="137"/>
      <c r="F1432" s="138"/>
      <c r="G1432" s="1" t="str">
        <f>IFERROR(IF(ventas_b_mes1255[[#This Row],[CUIT]]="","-",VLOOKUP(ventas_b_mes1255[[#This Row],[CUIT]],Lista_CUIT[#All],2,0)),"CUIT NO CARGADO")</f>
        <v>-</v>
      </c>
      <c r="H1432" s="99">
        <f>ventas_b_mes1255[[#This Row],[TOTAL]]/1.21</f>
        <v>0</v>
      </c>
      <c r="I1432" s="64">
        <f>ventas_b_mes1255[[#This Row],[IMPORTE NETO]]*0.21</f>
        <v>0</v>
      </c>
      <c r="J1432" s="140"/>
      <c r="K1432" s="140"/>
      <c r="L1432" s="140"/>
      <c r="M1432" s="59"/>
    </row>
    <row r="1433" spans="2:13" x14ac:dyDescent="0.25">
      <c r="B1433" s="134"/>
      <c r="C1433" s="41"/>
      <c r="D1433" s="136"/>
      <c r="E1433" s="137"/>
      <c r="F1433" s="138"/>
      <c r="G1433" s="1" t="str">
        <f>IFERROR(IF(ventas_b_mes1255[[#This Row],[CUIT]]="","-",VLOOKUP(ventas_b_mes1255[[#This Row],[CUIT]],Lista_CUIT[#All],2,0)),"CUIT NO CARGADO")</f>
        <v>-</v>
      </c>
      <c r="H1433" s="99">
        <f>ventas_b_mes1255[[#This Row],[TOTAL]]/1.21</f>
        <v>0</v>
      </c>
      <c r="I1433" s="64">
        <f>ventas_b_mes1255[[#This Row],[IMPORTE NETO]]*0.21</f>
        <v>0</v>
      </c>
      <c r="J1433" s="140"/>
      <c r="K1433" s="140"/>
      <c r="L1433" s="140"/>
      <c r="M1433" s="59"/>
    </row>
    <row r="1434" spans="2:13" x14ac:dyDescent="0.25">
      <c r="B1434" s="134"/>
      <c r="C1434" s="41"/>
      <c r="D1434" s="136"/>
      <c r="E1434" s="137"/>
      <c r="F1434" s="138"/>
      <c r="G1434" s="1" t="str">
        <f>IFERROR(IF(ventas_b_mes1255[[#This Row],[CUIT]]="","-",VLOOKUP(ventas_b_mes1255[[#This Row],[CUIT]],Lista_CUIT[#All],2,0)),"CUIT NO CARGADO")</f>
        <v>-</v>
      </c>
      <c r="H1434" s="99">
        <f>ventas_b_mes1255[[#This Row],[TOTAL]]/1.21</f>
        <v>0</v>
      </c>
      <c r="I1434" s="64">
        <f>ventas_b_mes1255[[#This Row],[IMPORTE NETO]]*0.21</f>
        <v>0</v>
      </c>
      <c r="J1434" s="140"/>
      <c r="K1434" s="140"/>
      <c r="L1434" s="140"/>
      <c r="M1434" s="59"/>
    </row>
    <row r="1435" spans="2:13" x14ac:dyDescent="0.25">
      <c r="B1435" s="134"/>
      <c r="C1435" s="41"/>
      <c r="D1435" s="136"/>
      <c r="E1435" s="137"/>
      <c r="F1435" s="138"/>
      <c r="G1435" s="1" t="str">
        <f>IFERROR(IF(ventas_b_mes1255[[#This Row],[CUIT]]="","-",VLOOKUP(ventas_b_mes1255[[#This Row],[CUIT]],Lista_CUIT[#All],2,0)),"CUIT NO CARGADO")</f>
        <v>-</v>
      </c>
      <c r="H1435" s="99">
        <f>ventas_b_mes1255[[#This Row],[TOTAL]]/1.21</f>
        <v>0</v>
      </c>
      <c r="I1435" s="64">
        <f>ventas_b_mes1255[[#This Row],[IMPORTE NETO]]*0.21</f>
        <v>0</v>
      </c>
      <c r="J1435" s="140"/>
      <c r="K1435" s="140"/>
      <c r="L1435" s="140"/>
      <c r="M1435" s="59"/>
    </row>
    <row r="1436" spans="2:13" x14ac:dyDescent="0.25">
      <c r="B1436" s="134"/>
      <c r="C1436" s="41"/>
      <c r="D1436" s="136"/>
      <c r="E1436" s="137"/>
      <c r="F1436" s="138"/>
      <c r="G1436" s="1" t="str">
        <f>IFERROR(IF(ventas_b_mes1255[[#This Row],[CUIT]]="","-",VLOOKUP(ventas_b_mes1255[[#This Row],[CUIT]],Lista_CUIT[#All],2,0)),"CUIT NO CARGADO")</f>
        <v>-</v>
      </c>
      <c r="H1436" s="99">
        <f>ventas_b_mes1255[[#This Row],[TOTAL]]/1.21</f>
        <v>0</v>
      </c>
      <c r="I1436" s="64">
        <f>ventas_b_mes1255[[#This Row],[IMPORTE NETO]]*0.21</f>
        <v>0</v>
      </c>
      <c r="J1436" s="140"/>
      <c r="K1436" s="140"/>
      <c r="L1436" s="140"/>
      <c r="M1436" s="59"/>
    </row>
    <row r="1437" spans="2:13" x14ac:dyDescent="0.25">
      <c r="B1437" s="134"/>
      <c r="C1437" s="41"/>
      <c r="D1437" s="136"/>
      <c r="E1437" s="137"/>
      <c r="F1437" s="138"/>
      <c r="G1437" s="1" t="str">
        <f>IFERROR(IF(ventas_b_mes1255[[#This Row],[CUIT]]="","-",VLOOKUP(ventas_b_mes1255[[#This Row],[CUIT]],Lista_CUIT[#All],2,0)),"CUIT NO CARGADO")</f>
        <v>-</v>
      </c>
      <c r="H1437" s="99">
        <f>ventas_b_mes1255[[#This Row],[TOTAL]]/1.21</f>
        <v>0</v>
      </c>
      <c r="I1437" s="64">
        <f>ventas_b_mes1255[[#This Row],[IMPORTE NETO]]*0.21</f>
        <v>0</v>
      </c>
      <c r="J1437" s="140"/>
      <c r="K1437" s="140"/>
      <c r="L1437" s="140"/>
      <c r="M1437" s="59"/>
    </row>
    <row r="1438" spans="2:13" x14ac:dyDescent="0.25">
      <c r="B1438" s="134"/>
      <c r="C1438" s="41"/>
      <c r="D1438" s="136"/>
      <c r="E1438" s="137"/>
      <c r="F1438" s="138"/>
      <c r="G1438" s="1" t="str">
        <f>IFERROR(IF(ventas_b_mes1255[[#This Row],[CUIT]]="","-",VLOOKUP(ventas_b_mes1255[[#This Row],[CUIT]],Lista_CUIT[#All],2,0)),"CUIT NO CARGADO")</f>
        <v>-</v>
      </c>
      <c r="H1438" s="99">
        <f>ventas_b_mes1255[[#This Row],[TOTAL]]/1.21</f>
        <v>0</v>
      </c>
      <c r="I1438" s="64">
        <f>ventas_b_mes1255[[#This Row],[IMPORTE NETO]]*0.21</f>
        <v>0</v>
      </c>
      <c r="J1438" s="140"/>
      <c r="K1438" s="140"/>
      <c r="L1438" s="140"/>
      <c r="M1438" s="59"/>
    </row>
    <row r="1439" spans="2:13" x14ac:dyDescent="0.25">
      <c r="B1439" s="134"/>
      <c r="C1439" s="41"/>
      <c r="D1439" s="136"/>
      <c r="E1439" s="137"/>
      <c r="F1439" s="138"/>
      <c r="G1439" s="1" t="str">
        <f>IFERROR(IF(ventas_b_mes1255[[#This Row],[CUIT]]="","-",VLOOKUP(ventas_b_mes1255[[#This Row],[CUIT]],Lista_CUIT[#All],2,0)),"CUIT NO CARGADO")</f>
        <v>-</v>
      </c>
      <c r="H1439" s="99">
        <f>ventas_b_mes1255[[#This Row],[TOTAL]]/1.21</f>
        <v>0</v>
      </c>
      <c r="I1439" s="64">
        <f>ventas_b_mes1255[[#This Row],[IMPORTE NETO]]*0.21</f>
        <v>0</v>
      </c>
      <c r="J1439" s="140"/>
      <c r="K1439" s="140"/>
      <c r="L1439" s="140"/>
      <c r="M1439" s="59"/>
    </row>
    <row r="1440" spans="2:13" x14ac:dyDescent="0.25">
      <c r="B1440" s="134"/>
      <c r="C1440" s="41"/>
      <c r="D1440" s="136"/>
      <c r="E1440" s="137"/>
      <c r="F1440" s="138"/>
      <c r="G1440" s="1" t="str">
        <f>IFERROR(IF(ventas_b_mes1255[[#This Row],[CUIT]]="","-",VLOOKUP(ventas_b_mes1255[[#This Row],[CUIT]],Lista_CUIT[#All],2,0)),"CUIT NO CARGADO")</f>
        <v>-</v>
      </c>
      <c r="H1440" s="99">
        <f>ventas_b_mes1255[[#This Row],[TOTAL]]/1.21</f>
        <v>0</v>
      </c>
      <c r="I1440" s="64">
        <f>ventas_b_mes1255[[#This Row],[IMPORTE NETO]]*0.21</f>
        <v>0</v>
      </c>
      <c r="J1440" s="140"/>
      <c r="K1440" s="140"/>
      <c r="L1440" s="140"/>
      <c r="M1440" s="59"/>
    </row>
    <row r="1441" spans="2:13" x14ac:dyDescent="0.25">
      <c r="B1441" s="134"/>
      <c r="C1441" s="41"/>
      <c r="D1441" s="136"/>
      <c r="E1441" s="137"/>
      <c r="F1441" s="138"/>
      <c r="G1441" s="1" t="str">
        <f>IFERROR(IF(ventas_b_mes1255[[#This Row],[CUIT]]="","-",VLOOKUP(ventas_b_mes1255[[#This Row],[CUIT]],Lista_CUIT[#All],2,0)),"CUIT NO CARGADO")</f>
        <v>-</v>
      </c>
      <c r="H1441" s="99">
        <f>ventas_b_mes1255[[#This Row],[TOTAL]]/1.21</f>
        <v>0</v>
      </c>
      <c r="I1441" s="64">
        <f>ventas_b_mes1255[[#This Row],[IMPORTE NETO]]*0.21</f>
        <v>0</v>
      </c>
      <c r="J1441" s="140"/>
      <c r="K1441" s="140"/>
      <c r="L1441" s="140"/>
      <c r="M1441" s="59"/>
    </row>
    <row r="1442" spans="2:13" x14ac:dyDescent="0.25">
      <c r="B1442" s="134"/>
      <c r="C1442" s="41"/>
      <c r="D1442" s="136"/>
      <c r="E1442" s="137"/>
      <c r="F1442" s="138"/>
      <c r="G1442" s="1" t="str">
        <f>IFERROR(IF(ventas_b_mes1255[[#This Row],[CUIT]]="","-",VLOOKUP(ventas_b_mes1255[[#This Row],[CUIT]],Lista_CUIT[#All],2,0)),"CUIT NO CARGADO")</f>
        <v>-</v>
      </c>
      <c r="H1442" s="99">
        <f>ventas_b_mes1255[[#This Row],[TOTAL]]/1.21</f>
        <v>0</v>
      </c>
      <c r="I1442" s="64">
        <f>ventas_b_mes1255[[#This Row],[IMPORTE NETO]]*0.21</f>
        <v>0</v>
      </c>
      <c r="J1442" s="140"/>
      <c r="K1442" s="140"/>
      <c r="L1442" s="140"/>
      <c r="M1442" s="59"/>
    </row>
    <row r="1443" spans="2:13" x14ac:dyDescent="0.25">
      <c r="B1443" s="134"/>
      <c r="C1443" s="41"/>
      <c r="D1443" s="136"/>
      <c r="E1443" s="137"/>
      <c r="F1443" s="138"/>
      <c r="G1443" s="1" t="str">
        <f>IFERROR(IF(ventas_b_mes1255[[#This Row],[CUIT]]="","-",VLOOKUP(ventas_b_mes1255[[#This Row],[CUIT]],Lista_CUIT[#All],2,0)),"CUIT NO CARGADO")</f>
        <v>-</v>
      </c>
      <c r="H1443" s="99">
        <f>ventas_b_mes1255[[#This Row],[TOTAL]]/1.21</f>
        <v>0</v>
      </c>
      <c r="I1443" s="64">
        <f>ventas_b_mes1255[[#This Row],[IMPORTE NETO]]*0.21</f>
        <v>0</v>
      </c>
      <c r="J1443" s="140"/>
      <c r="K1443" s="140"/>
      <c r="L1443" s="140"/>
      <c r="M1443" s="59"/>
    </row>
    <row r="1444" spans="2:13" x14ac:dyDescent="0.25">
      <c r="B1444" s="134"/>
      <c r="C1444" s="41"/>
      <c r="D1444" s="136"/>
      <c r="E1444" s="137"/>
      <c r="F1444" s="138"/>
      <c r="G1444" s="1" t="str">
        <f>IFERROR(IF(ventas_b_mes1255[[#This Row],[CUIT]]="","-",VLOOKUP(ventas_b_mes1255[[#This Row],[CUIT]],Lista_CUIT[#All],2,0)),"CUIT NO CARGADO")</f>
        <v>-</v>
      </c>
      <c r="H1444" s="99">
        <f>ventas_b_mes1255[[#This Row],[TOTAL]]/1.21</f>
        <v>0</v>
      </c>
      <c r="I1444" s="64">
        <f>ventas_b_mes1255[[#This Row],[IMPORTE NETO]]*0.21</f>
        <v>0</v>
      </c>
      <c r="J1444" s="140"/>
      <c r="K1444" s="140"/>
      <c r="L1444" s="140"/>
      <c r="M1444" s="59"/>
    </row>
    <row r="1445" spans="2:13" x14ac:dyDescent="0.25">
      <c r="B1445" s="134"/>
      <c r="C1445" s="41"/>
      <c r="D1445" s="136"/>
      <c r="E1445" s="137"/>
      <c r="F1445" s="138"/>
      <c r="G1445" s="1" t="str">
        <f>IFERROR(IF(ventas_b_mes1255[[#This Row],[CUIT]]="","-",VLOOKUP(ventas_b_mes1255[[#This Row],[CUIT]],Lista_CUIT[#All],2,0)),"CUIT NO CARGADO")</f>
        <v>-</v>
      </c>
      <c r="H1445" s="99">
        <f>ventas_b_mes1255[[#This Row],[TOTAL]]/1.21</f>
        <v>0</v>
      </c>
      <c r="I1445" s="64">
        <f>ventas_b_mes1255[[#This Row],[IMPORTE NETO]]*0.21</f>
        <v>0</v>
      </c>
      <c r="J1445" s="140"/>
      <c r="K1445" s="140"/>
      <c r="L1445" s="140"/>
      <c r="M1445" s="59"/>
    </row>
    <row r="1446" spans="2:13" x14ac:dyDescent="0.25">
      <c r="B1446" s="134"/>
      <c r="C1446" s="41"/>
      <c r="D1446" s="136"/>
      <c r="E1446" s="137"/>
      <c r="F1446" s="138"/>
      <c r="G1446" s="1" t="str">
        <f>IFERROR(IF(ventas_b_mes1255[[#This Row],[CUIT]]="","-",VLOOKUP(ventas_b_mes1255[[#This Row],[CUIT]],Lista_CUIT[#All],2,0)),"CUIT NO CARGADO")</f>
        <v>-</v>
      </c>
      <c r="H1446" s="99">
        <f>ventas_b_mes1255[[#This Row],[TOTAL]]/1.21</f>
        <v>0</v>
      </c>
      <c r="I1446" s="64">
        <f>ventas_b_mes1255[[#This Row],[IMPORTE NETO]]*0.21</f>
        <v>0</v>
      </c>
      <c r="J1446" s="140"/>
      <c r="K1446" s="140"/>
      <c r="L1446" s="140"/>
      <c r="M1446" s="59"/>
    </row>
    <row r="1447" spans="2:13" x14ac:dyDescent="0.25">
      <c r="B1447" s="134"/>
      <c r="C1447" s="41"/>
      <c r="D1447" s="136"/>
      <c r="E1447" s="137"/>
      <c r="F1447" s="138"/>
      <c r="G1447" s="1" t="str">
        <f>IFERROR(IF(ventas_b_mes1255[[#This Row],[CUIT]]="","-",VLOOKUP(ventas_b_mes1255[[#This Row],[CUIT]],Lista_CUIT[#All],2,0)),"CUIT NO CARGADO")</f>
        <v>-</v>
      </c>
      <c r="H1447" s="99">
        <f>ventas_b_mes1255[[#This Row],[TOTAL]]/1.21</f>
        <v>0</v>
      </c>
      <c r="I1447" s="64">
        <f>ventas_b_mes1255[[#This Row],[IMPORTE NETO]]*0.21</f>
        <v>0</v>
      </c>
      <c r="J1447" s="140"/>
      <c r="K1447" s="140"/>
      <c r="L1447" s="140"/>
      <c r="M1447" s="59"/>
    </row>
    <row r="1448" spans="2:13" x14ac:dyDescent="0.25">
      <c r="B1448" s="134"/>
      <c r="C1448" s="41"/>
      <c r="D1448" s="136"/>
      <c r="E1448" s="137"/>
      <c r="F1448" s="138"/>
      <c r="G1448" s="1" t="str">
        <f>IFERROR(IF(ventas_b_mes1255[[#This Row],[CUIT]]="","-",VLOOKUP(ventas_b_mes1255[[#This Row],[CUIT]],Lista_CUIT[#All],2,0)),"CUIT NO CARGADO")</f>
        <v>-</v>
      </c>
      <c r="H1448" s="99">
        <f>ventas_b_mes1255[[#This Row],[TOTAL]]/1.21</f>
        <v>0</v>
      </c>
      <c r="I1448" s="64">
        <f>ventas_b_mes1255[[#This Row],[IMPORTE NETO]]*0.21</f>
        <v>0</v>
      </c>
      <c r="J1448" s="140"/>
      <c r="K1448" s="140"/>
      <c r="L1448" s="140"/>
      <c r="M1448" s="59"/>
    </row>
    <row r="1449" spans="2:13" x14ac:dyDescent="0.25">
      <c r="B1449" s="134"/>
      <c r="C1449" s="41"/>
      <c r="D1449" s="136"/>
      <c r="E1449" s="137"/>
      <c r="F1449" s="138"/>
      <c r="G1449" s="1" t="str">
        <f>IFERROR(IF(ventas_b_mes1255[[#This Row],[CUIT]]="","-",VLOOKUP(ventas_b_mes1255[[#This Row],[CUIT]],Lista_CUIT[#All],2,0)),"CUIT NO CARGADO")</f>
        <v>-</v>
      </c>
      <c r="H1449" s="99">
        <f>ventas_b_mes1255[[#This Row],[TOTAL]]/1.21</f>
        <v>0</v>
      </c>
      <c r="I1449" s="64">
        <f>ventas_b_mes1255[[#This Row],[IMPORTE NETO]]*0.21</f>
        <v>0</v>
      </c>
      <c r="J1449" s="140"/>
      <c r="K1449" s="140"/>
      <c r="L1449" s="140"/>
      <c r="M1449" s="59"/>
    </row>
    <row r="1450" spans="2:13" x14ac:dyDescent="0.25">
      <c r="B1450" s="134"/>
      <c r="C1450" s="41"/>
      <c r="D1450" s="136"/>
      <c r="E1450" s="137"/>
      <c r="F1450" s="138"/>
      <c r="G1450" s="1" t="str">
        <f>IFERROR(IF(ventas_b_mes1255[[#This Row],[CUIT]]="","-",VLOOKUP(ventas_b_mes1255[[#This Row],[CUIT]],Lista_CUIT[#All],2,0)),"CUIT NO CARGADO")</f>
        <v>-</v>
      </c>
      <c r="H1450" s="99">
        <f>ventas_b_mes1255[[#This Row],[TOTAL]]/1.21</f>
        <v>0</v>
      </c>
      <c r="I1450" s="64">
        <f>ventas_b_mes1255[[#This Row],[IMPORTE NETO]]*0.21</f>
        <v>0</v>
      </c>
      <c r="J1450" s="140"/>
      <c r="K1450" s="140"/>
      <c r="L1450" s="140"/>
      <c r="M1450" s="59"/>
    </row>
    <row r="1451" spans="2:13" x14ac:dyDescent="0.25">
      <c r="B1451" s="134"/>
      <c r="C1451" s="41"/>
      <c r="D1451" s="136"/>
      <c r="E1451" s="137"/>
      <c r="F1451" s="138"/>
      <c r="G1451" s="1" t="str">
        <f>IFERROR(IF(ventas_b_mes1255[[#This Row],[CUIT]]="","-",VLOOKUP(ventas_b_mes1255[[#This Row],[CUIT]],Lista_CUIT[#All],2,0)),"CUIT NO CARGADO")</f>
        <v>-</v>
      </c>
      <c r="H1451" s="99">
        <f>ventas_b_mes1255[[#This Row],[TOTAL]]/1.21</f>
        <v>0</v>
      </c>
      <c r="I1451" s="64">
        <f>ventas_b_mes1255[[#This Row],[IMPORTE NETO]]*0.21</f>
        <v>0</v>
      </c>
      <c r="J1451" s="140"/>
      <c r="K1451" s="140"/>
      <c r="L1451" s="140"/>
      <c r="M1451" s="59"/>
    </row>
    <row r="1452" spans="2:13" x14ac:dyDescent="0.25">
      <c r="B1452" s="134"/>
      <c r="C1452" s="41"/>
      <c r="D1452" s="136"/>
      <c r="E1452" s="137"/>
      <c r="F1452" s="138"/>
      <c r="G1452" s="1" t="str">
        <f>IFERROR(IF(ventas_b_mes1255[[#This Row],[CUIT]]="","-",VLOOKUP(ventas_b_mes1255[[#This Row],[CUIT]],Lista_CUIT[#All],2,0)),"CUIT NO CARGADO")</f>
        <v>-</v>
      </c>
      <c r="H1452" s="99">
        <f>ventas_b_mes1255[[#This Row],[TOTAL]]/1.21</f>
        <v>0</v>
      </c>
      <c r="I1452" s="64">
        <f>ventas_b_mes1255[[#This Row],[IMPORTE NETO]]*0.21</f>
        <v>0</v>
      </c>
      <c r="J1452" s="140"/>
      <c r="K1452" s="140"/>
      <c r="L1452" s="140"/>
      <c r="M1452" s="59"/>
    </row>
    <row r="1453" spans="2:13" x14ac:dyDescent="0.25">
      <c r="B1453" s="134"/>
      <c r="C1453" s="41"/>
      <c r="D1453" s="136"/>
      <c r="E1453" s="137"/>
      <c r="F1453" s="138"/>
      <c r="G1453" s="1" t="str">
        <f>IFERROR(IF(ventas_b_mes1255[[#This Row],[CUIT]]="","-",VLOOKUP(ventas_b_mes1255[[#This Row],[CUIT]],Lista_CUIT[#All],2,0)),"CUIT NO CARGADO")</f>
        <v>-</v>
      </c>
      <c r="H1453" s="99">
        <f>ventas_b_mes1255[[#This Row],[TOTAL]]/1.21</f>
        <v>0</v>
      </c>
      <c r="I1453" s="64">
        <f>ventas_b_mes1255[[#This Row],[IMPORTE NETO]]*0.21</f>
        <v>0</v>
      </c>
      <c r="J1453" s="140"/>
      <c r="K1453" s="140"/>
      <c r="L1453" s="140"/>
      <c r="M1453" s="59"/>
    </row>
    <row r="1454" spans="2:13" x14ac:dyDescent="0.25">
      <c r="B1454" s="134"/>
      <c r="C1454" s="41"/>
      <c r="D1454" s="136"/>
      <c r="E1454" s="137"/>
      <c r="F1454" s="138"/>
      <c r="G1454" s="1" t="str">
        <f>IFERROR(IF(ventas_b_mes1255[[#This Row],[CUIT]]="","-",VLOOKUP(ventas_b_mes1255[[#This Row],[CUIT]],Lista_CUIT[#All],2,0)),"CUIT NO CARGADO")</f>
        <v>-</v>
      </c>
      <c r="H1454" s="99">
        <f>ventas_b_mes1255[[#This Row],[TOTAL]]/1.21</f>
        <v>0</v>
      </c>
      <c r="I1454" s="64">
        <f>ventas_b_mes1255[[#This Row],[IMPORTE NETO]]*0.21</f>
        <v>0</v>
      </c>
      <c r="J1454" s="140"/>
      <c r="K1454" s="140"/>
      <c r="L1454" s="140"/>
      <c r="M1454" s="59"/>
    </row>
    <row r="1455" spans="2:13" x14ac:dyDescent="0.25">
      <c r="B1455" s="134"/>
      <c r="C1455" s="41"/>
      <c r="D1455" s="136"/>
      <c r="E1455" s="137"/>
      <c r="F1455" s="138"/>
      <c r="G1455" s="1" t="str">
        <f>IFERROR(IF(ventas_b_mes1255[[#This Row],[CUIT]]="","-",VLOOKUP(ventas_b_mes1255[[#This Row],[CUIT]],Lista_CUIT[#All],2,0)),"CUIT NO CARGADO")</f>
        <v>-</v>
      </c>
      <c r="H1455" s="99">
        <f>ventas_b_mes1255[[#This Row],[TOTAL]]/1.21</f>
        <v>0</v>
      </c>
      <c r="I1455" s="64">
        <f>ventas_b_mes1255[[#This Row],[IMPORTE NETO]]*0.21</f>
        <v>0</v>
      </c>
      <c r="J1455" s="140"/>
      <c r="K1455" s="140"/>
      <c r="L1455" s="140"/>
      <c r="M1455" s="59"/>
    </row>
    <row r="1456" spans="2:13" x14ac:dyDescent="0.25">
      <c r="B1456" s="134"/>
      <c r="C1456" s="41"/>
      <c r="D1456" s="136"/>
      <c r="E1456" s="137"/>
      <c r="F1456" s="138"/>
      <c r="G1456" s="1" t="str">
        <f>IFERROR(IF(ventas_b_mes1255[[#This Row],[CUIT]]="","-",VLOOKUP(ventas_b_mes1255[[#This Row],[CUIT]],Lista_CUIT[#All],2,0)),"CUIT NO CARGADO")</f>
        <v>-</v>
      </c>
      <c r="H1456" s="99">
        <f>ventas_b_mes1255[[#This Row],[TOTAL]]/1.21</f>
        <v>0</v>
      </c>
      <c r="I1456" s="64">
        <f>ventas_b_mes1255[[#This Row],[IMPORTE NETO]]*0.21</f>
        <v>0</v>
      </c>
      <c r="J1456" s="140"/>
      <c r="K1456" s="140"/>
      <c r="L1456" s="140"/>
      <c r="M1456" s="59"/>
    </row>
    <row r="1457" spans="2:13" x14ac:dyDescent="0.25">
      <c r="B1457" s="134"/>
      <c r="C1457" s="41"/>
      <c r="D1457" s="136"/>
      <c r="E1457" s="137"/>
      <c r="F1457" s="138"/>
      <c r="G1457" s="1" t="str">
        <f>IFERROR(IF(ventas_b_mes1255[[#This Row],[CUIT]]="","-",VLOOKUP(ventas_b_mes1255[[#This Row],[CUIT]],Lista_CUIT[#All],2,0)),"CUIT NO CARGADO")</f>
        <v>-</v>
      </c>
      <c r="H1457" s="99">
        <f>ventas_b_mes1255[[#This Row],[TOTAL]]/1.21</f>
        <v>0</v>
      </c>
      <c r="I1457" s="64">
        <f>ventas_b_mes1255[[#This Row],[IMPORTE NETO]]*0.21</f>
        <v>0</v>
      </c>
      <c r="J1457" s="140"/>
      <c r="K1457" s="140"/>
      <c r="L1457" s="140"/>
      <c r="M1457" s="59"/>
    </row>
    <row r="1458" spans="2:13" x14ac:dyDescent="0.25">
      <c r="B1458" s="134"/>
      <c r="C1458" s="41"/>
      <c r="D1458" s="136"/>
      <c r="E1458" s="137"/>
      <c r="F1458" s="138"/>
      <c r="G1458" s="1" t="str">
        <f>IFERROR(IF(ventas_b_mes1255[[#This Row],[CUIT]]="","-",VLOOKUP(ventas_b_mes1255[[#This Row],[CUIT]],Lista_CUIT[#All],2,0)),"CUIT NO CARGADO")</f>
        <v>-</v>
      </c>
      <c r="H1458" s="99">
        <f>ventas_b_mes1255[[#This Row],[TOTAL]]/1.21</f>
        <v>0</v>
      </c>
      <c r="I1458" s="64">
        <f>ventas_b_mes1255[[#This Row],[IMPORTE NETO]]*0.21</f>
        <v>0</v>
      </c>
      <c r="J1458" s="140"/>
      <c r="K1458" s="140"/>
      <c r="L1458" s="140"/>
      <c r="M1458" s="59"/>
    </row>
    <row r="1459" spans="2:13" x14ac:dyDescent="0.25">
      <c r="B1459" s="134"/>
      <c r="C1459" s="41"/>
      <c r="D1459" s="136"/>
      <c r="E1459" s="137"/>
      <c r="F1459" s="138"/>
      <c r="G1459" s="1" t="str">
        <f>IFERROR(IF(ventas_b_mes1255[[#This Row],[CUIT]]="","-",VLOOKUP(ventas_b_mes1255[[#This Row],[CUIT]],Lista_CUIT[#All],2,0)),"CUIT NO CARGADO")</f>
        <v>-</v>
      </c>
      <c r="H1459" s="99">
        <f>ventas_b_mes1255[[#This Row],[TOTAL]]/1.21</f>
        <v>0</v>
      </c>
      <c r="I1459" s="64">
        <f>ventas_b_mes1255[[#This Row],[IMPORTE NETO]]*0.21</f>
        <v>0</v>
      </c>
      <c r="J1459" s="140"/>
      <c r="K1459" s="140"/>
      <c r="L1459" s="140"/>
      <c r="M1459" s="59"/>
    </row>
    <row r="1460" spans="2:13" x14ac:dyDescent="0.25">
      <c r="B1460" s="134"/>
      <c r="C1460" s="41"/>
      <c r="D1460" s="136"/>
      <c r="E1460" s="137"/>
      <c r="F1460" s="138"/>
      <c r="G1460" s="1" t="str">
        <f>IFERROR(IF(ventas_b_mes1255[[#This Row],[CUIT]]="","-",VLOOKUP(ventas_b_mes1255[[#This Row],[CUIT]],Lista_CUIT[#All],2,0)),"CUIT NO CARGADO")</f>
        <v>-</v>
      </c>
      <c r="H1460" s="99">
        <f>ventas_b_mes1255[[#This Row],[TOTAL]]/1.21</f>
        <v>0</v>
      </c>
      <c r="I1460" s="64">
        <f>ventas_b_mes1255[[#This Row],[IMPORTE NETO]]*0.21</f>
        <v>0</v>
      </c>
      <c r="J1460" s="140"/>
      <c r="K1460" s="140"/>
      <c r="L1460" s="140"/>
      <c r="M1460" s="59"/>
    </row>
    <row r="1461" spans="2:13" x14ac:dyDescent="0.25">
      <c r="B1461" s="134"/>
      <c r="C1461" s="41"/>
      <c r="D1461" s="136"/>
      <c r="E1461" s="137"/>
      <c r="F1461" s="138"/>
      <c r="G1461" s="1" t="str">
        <f>IFERROR(IF(ventas_b_mes1255[[#This Row],[CUIT]]="","-",VLOOKUP(ventas_b_mes1255[[#This Row],[CUIT]],Lista_CUIT[#All],2,0)),"CUIT NO CARGADO")</f>
        <v>-</v>
      </c>
      <c r="H1461" s="99">
        <f>ventas_b_mes1255[[#This Row],[TOTAL]]/1.21</f>
        <v>0</v>
      </c>
      <c r="I1461" s="64">
        <f>ventas_b_mes1255[[#This Row],[IMPORTE NETO]]*0.21</f>
        <v>0</v>
      </c>
      <c r="J1461" s="140"/>
      <c r="K1461" s="140"/>
      <c r="L1461" s="140"/>
      <c r="M1461" s="59"/>
    </row>
    <row r="1462" spans="2:13" x14ac:dyDescent="0.25">
      <c r="B1462" s="134"/>
      <c r="C1462" s="41"/>
      <c r="D1462" s="136"/>
      <c r="E1462" s="137"/>
      <c r="F1462" s="138"/>
      <c r="G1462" s="1" t="str">
        <f>IFERROR(IF(ventas_b_mes1255[[#This Row],[CUIT]]="","-",VLOOKUP(ventas_b_mes1255[[#This Row],[CUIT]],Lista_CUIT[#All],2,0)),"CUIT NO CARGADO")</f>
        <v>-</v>
      </c>
      <c r="H1462" s="99">
        <f>ventas_b_mes1255[[#This Row],[TOTAL]]/1.21</f>
        <v>0</v>
      </c>
      <c r="I1462" s="64">
        <f>ventas_b_mes1255[[#This Row],[IMPORTE NETO]]*0.21</f>
        <v>0</v>
      </c>
      <c r="J1462" s="140"/>
      <c r="K1462" s="140"/>
      <c r="L1462" s="140"/>
      <c r="M1462" s="59"/>
    </row>
    <row r="1463" spans="2:13" x14ac:dyDescent="0.25">
      <c r="B1463" s="134"/>
      <c r="C1463" s="41"/>
      <c r="D1463" s="136"/>
      <c r="E1463" s="137"/>
      <c r="F1463" s="138"/>
      <c r="G1463" s="1" t="str">
        <f>IFERROR(IF(ventas_b_mes1255[[#This Row],[CUIT]]="","-",VLOOKUP(ventas_b_mes1255[[#This Row],[CUIT]],Lista_CUIT[#All],2,0)),"CUIT NO CARGADO")</f>
        <v>-</v>
      </c>
      <c r="H1463" s="99">
        <f>ventas_b_mes1255[[#This Row],[TOTAL]]/1.21</f>
        <v>0</v>
      </c>
      <c r="I1463" s="64">
        <f>ventas_b_mes1255[[#This Row],[IMPORTE NETO]]*0.21</f>
        <v>0</v>
      </c>
      <c r="J1463" s="140"/>
      <c r="K1463" s="140"/>
      <c r="L1463" s="140"/>
      <c r="M1463" s="59"/>
    </row>
    <row r="1464" spans="2:13" x14ac:dyDescent="0.25">
      <c r="B1464" s="134"/>
      <c r="C1464" s="41"/>
      <c r="D1464" s="136"/>
      <c r="E1464" s="137"/>
      <c r="F1464" s="138"/>
      <c r="G1464" s="1" t="str">
        <f>IFERROR(IF(ventas_b_mes1255[[#This Row],[CUIT]]="","-",VLOOKUP(ventas_b_mes1255[[#This Row],[CUIT]],Lista_CUIT[#All],2,0)),"CUIT NO CARGADO")</f>
        <v>-</v>
      </c>
      <c r="H1464" s="99">
        <f>ventas_b_mes1255[[#This Row],[TOTAL]]/1.21</f>
        <v>0</v>
      </c>
      <c r="I1464" s="64">
        <f>ventas_b_mes1255[[#This Row],[IMPORTE NETO]]*0.21</f>
        <v>0</v>
      </c>
      <c r="J1464" s="140"/>
      <c r="K1464" s="140"/>
      <c r="L1464" s="140"/>
      <c r="M1464" s="59"/>
    </row>
    <row r="1465" spans="2:13" x14ac:dyDescent="0.25">
      <c r="B1465" s="134"/>
      <c r="C1465" s="41"/>
      <c r="D1465" s="136"/>
      <c r="E1465" s="137"/>
      <c r="F1465" s="138"/>
      <c r="G1465" s="1" t="str">
        <f>IFERROR(IF(ventas_b_mes1255[[#This Row],[CUIT]]="","-",VLOOKUP(ventas_b_mes1255[[#This Row],[CUIT]],Lista_CUIT[#All],2,0)),"CUIT NO CARGADO")</f>
        <v>-</v>
      </c>
      <c r="H1465" s="99">
        <f>ventas_b_mes1255[[#This Row],[TOTAL]]/1.21</f>
        <v>0</v>
      </c>
      <c r="I1465" s="64">
        <f>ventas_b_mes1255[[#This Row],[IMPORTE NETO]]*0.21</f>
        <v>0</v>
      </c>
      <c r="J1465" s="140"/>
      <c r="K1465" s="140"/>
      <c r="L1465" s="140"/>
      <c r="M1465" s="59"/>
    </row>
    <row r="1466" spans="2:13" x14ac:dyDescent="0.25">
      <c r="B1466" s="134"/>
      <c r="C1466" s="41"/>
      <c r="D1466" s="136"/>
      <c r="E1466" s="137"/>
      <c r="F1466" s="138"/>
      <c r="G1466" s="1" t="str">
        <f>IFERROR(IF(ventas_b_mes1255[[#This Row],[CUIT]]="","-",VLOOKUP(ventas_b_mes1255[[#This Row],[CUIT]],Lista_CUIT[#All],2,0)),"CUIT NO CARGADO")</f>
        <v>-</v>
      </c>
      <c r="H1466" s="99">
        <f>ventas_b_mes1255[[#This Row],[TOTAL]]/1.21</f>
        <v>0</v>
      </c>
      <c r="I1466" s="64">
        <f>ventas_b_mes1255[[#This Row],[IMPORTE NETO]]*0.21</f>
        <v>0</v>
      </c>
      <c r="J1466" s="140"/>
      <c r="K1466" s="140"/>
      <c r="L1466" s="140"/>
      <c r="M1466" s="59"/>
    </row>
    <row r="1467" spans="2:13" x14ac:dyDescent="0.25">
      <c r="B1467" s="134"/>
      <c r="C1467" s="41"/>
      <c r="D1467" s="136"/>
      <c r="E1467" s="137"/>
      <c r="F1467" s="138"/>
      <c r="G1467" s="1" t="str">
        <f>IFERROR(IF(ventas_b_mes1255[[#This Row],[CUIT]]="","-",VLOOKUP(ventas_b_mes1255[[#This Row],[CUIT]],Lista_CUIT[#All],2,0)),"CUIT NO CARGADO")</f>
        <v>-</v>
      </c>
      <c r="H1467" s="99">
        <f>ventas_b_mes1255[[#This Row],[TOTAL]]/1.21</f>
        <v>0</v>
      </c>
      <c r="I1467" s="64">
        <f>ventas_b_mes1255[[#This Row],[IMPORTE NETO]]*0.21</f>
        <v>0</v>
      </c>
      <c r="J1467" s="140"/>
      <c r="K1467" s="140"/>
      <c r="L1467" s="140"/>
      <c r="M1467" s="59"/>
    </row>
    <row r="1468" spans="2:13" x14ac:dyDescent="0.25">
      <c r="B1468" s="134"/>
      <c r="C1468" s="41"/>
      <c r="D1468" s="136"/>
      <c r="E1468" s="137"/>
      <c r="F1468" s="138"/>
      <c r="G1468" s="1" t="str">
        <f>IFERROR(IF(ventas_b_mes1255[[#This Row],[CUIT]]="","-",VLOOKUP(ventas_b_mes1255[[#This Row],[CUIT]],Lista_CUIT[#All],2,0)),"CUIT NO CARGADO")</f>
        <v>-</v>
      </c>
      <c r="H1468" s="99">
        <f>ventas_b_mes1255[[#This Row],[TOTAL]]/1.21</f>
        <v>0</v>
      </c>
      <c r="I1468" s="64">
        <f>ventas_b_mes1255[[#This Row],[IMPORTE NETO]]*0.21</f>
        <v>0</v>
      </c>
      <c r="J1468" s="140"/>
      <c r="K1468" s="140"/>
      <c r="L1468" s="140"/>
      <c r="M1468" s="59"/>
    </row>
    <row r="1469" spans="2:13" x14ac:dyDescent="0.25">
      <c r="B1469" s="134"/>
      <c r="C1469" s="41"/>
      <c r="D1469" s="136"/>
      <c r="E1469" s="137"/>
      <c r="F1469" s="138"/>
      <c r="G1469" s="1" t="str">
        <f>IFERROR(IF(ventas_b_mes1255[[#This Row],[CUIT]]="","-",VLOOKUP(ventas_b_mes1255[[#This Row],[CUIT]],Lista_CUIT[#All],2,0)),"CUIT NO CARGADO")</f>
        <v>-</v>
      </c>
      <c r="H1469" s="99">
        <f>ventas_b_mes1255[[#This Row],[TOTAL]]/1.21</f>
        <v>0</v>
      </c>
      <c r="I1469" s="64">
        <f>ventas_b_mes1255[[#This Row],[IMPORTE NETO]]*0.21</f>
        <v>0</v>
      </c>
      <c r="J1469" s="140"/>
      <c r="K1469" s="140"/>
      <c r="L1469" s="140"/>
      <c r="M1469" s="59"/>
    </row>
    <row r="1470" spans="2:13" x14ac:dyDescent="0.25">
      <c r="B1470" s="134"/>
      <c r="C1470" s="41"/>
      <c r="D1470" s="136"/>
      <c r="E1470" s="137"/>
      <c r="F1470" s="138"/>
      <c r="G1470" s="1" t="str">
        <f>IFERROR(IF(ventas_b_mes1255[[#This Row],[CUIT]]="","-",VLOOKUP(ventas_b_mes1255[[#This Row],[CUIT]],Lista_CUIT[#All],2,0)),"CUIT NO CARGADO")</f>
        <v>-</v>
      </c>
      <c r="H1470" s="99">
        <f>ventas_b_mes1255[[#This Row],[TOTAL]]/1.21</f>
        <v>0</v>
      </c>
      <c r="I1470" s="64">
        <f>ventas_b_mes1255[[#This Row],[IMPORTE NETO]]*0.21</f>
        <v>0</v>
      </c>
      <c r="J1470" s="140"/>
      <c r="K1470" s="140"/>
      <c r="L1470" s="140"/>
      <c r="M1470" s="59"/>
    </row>
    <row r="1471" spans="2:13" x14ac:dyDescent="0.25">
      <c r="B1471" s="134"/>
      <c r="C1471" s="41"/>
      <c r="D1471" s="136"/>
      <c r="E1471" s="137"/>
      <c r="F1471" s="138"/>
      <c r="G1471" s="1" t="str">
        <f>IFERROR(IF(ventas_b_mes1255[[#This Row],[CUIT]]="","-",VLOOKUP(ventas_b_mes1255[[#This Row],[CUIT]],Lista_CUIT[#All],2,0)),"CUIT NO CARGADO")</f>
        <v>-</v>
      </c>
      <c r="H1471" s="99">
        <f>ventas_b_mes1255[[#This Row],[TOTAL]]/1.21</f>
        <v>0</v>
      </c>
      <c r="I1471" s="64">
        <f>ventas_b_mes1255[[#This Row],[IMPORTE NETO]]*0.21</f>
        <v>0</v>
      </c>
      <c r="J1471" s="140"/>
      <c r="K1471" s="140"/>
      <c r="L1471" s="140"/>
      <c r="M1471" s="59"/>
    </row>
    <row r="1472" spans="2:13" x14ac:dyDescent="0.25">
      <c r="B1472" s="134"/>
      <c r="C1472" s="41"/>
      <c r="D1472" s="136"/>
      <c r="E1472" s="137"/>
      <c r="F1472" s="138"/>
      <c r="G1472" s="1" t="str">
        <f>IFERROR(IF(ventas_b_mes1255[[#This Row],[CUIT]]="","-",VLOOKUP(ventas_b_mes1255[[#This Row],[CUIT]],Lista_CUIT[#All],2,0)),"CUIT NO CARGADO")</f>
        <v>-</v>
      </c>
      <c r="H1472" s="99">
        <f>ventas_b_mes1255[[#This Row],[TOTAL]]/1.21</f>
        <v>0</v>
      </c>
      <c r="I1472" s="64">
        <f>ventas_b_mes1255[[#This Row],[IMPORTE NETO]]*0.21</f>
        <v>0</v>
      </c>
      <c r="J1472" s="140"/>
      <c r="K1472" s="140"/>
      <c r="L1472" s="140"/>
      <c r="M1472" s="59"/>
    </row>
    <row r="1473" spans="2:13" x14ac:dyDescent="0.25">
      <c r="B1473" s="134"/>
      <c r="C1473" s="41"/>
      <c r="D1473" s="136"/>
      <c r="E1473" s="137"/>
      <c r="F1473" s="138"/>
      <c r="G1473" s="1" t="str">
        <f>IFERROR(IF(ventas_b_mes1255[[#This Row],[CUIT]]="","-",VLOOKUP(ventas_b_mes1255[[#This Row],[CUIT]],Lista_CUIT[#All],2,0)),"CUIT NO CARGADO")</f>
        <v>-</v>
      </c>
      <c r="H1473" s="99">
        <f>ventas_b_mes1255[[#This Row],[TOTAL]]/1.21</f>
        <v>0</v>
      </c>
      <c r="I1473" s="64">
        <f>ventas_b_mes1255[[#This Row],[IMPORTE NETO]]*0.21</f>
        <v>0</v>
      </c>
      <c r="J1473" s="140"/>
      <c r="K1473" s="140"/>
      <c r="L1473" s="140"/>
      <c r="M1473" s="59"/>
    </row>
    <row r="1474" spans="2:13" x14ac:dyDescent="0.25">
      <c r="B1474" s="134"/>
      <c r="C1474" s="41"/>
      <c r="D1474" s="136"/>
      <c r="E1474" s="137"/>
      <c r="F1474" s="138"/>
      <c r="G1474" s="1" t="str">
        <f>IFERROR(IF(ventas_b_mes1255[[#This Row],[CUIT]]="","-",VLOOKUP(ventas_b_mes1255[[#This Row],[CUIT]],Lista_CUIT[#All],2,0)),"CUIT NO CARGADO")</f>
        <v>-</v>
      </c>
      <c r="H1474" s="99">
        <f>ventas_b_mes1255[[#This Row],[TOTAL]]/1.21</f>
        <v>0</v>
      </c>
      <c r="I1474" s="64">
        <f>ventas_b_mes1255[[#This Row],[IMPORTE NETO]]*0.21</f>
        <v>0</v>
      </c>
      <c r="J1474" s="140"/>
      <c r="K1474" s="140"/>
      <c r="L1474" s="140"/>
      <c r="M1474" s="59"/>
    </row>
    <row r="1475" spans="2:13" x14ac:dyDescent="0.25">
      <c r="B1475" s="134"/>
      <c r="C1475" s="41"/>
      <c r="D1475" s="136"/>
      <c r="E1475" s="137"/>
      <c r="F1475" s="138"/>
      <c r="G1475" s="1" t="str">
        <f>IFERROR(IF(ventas_b_mes1255[[#This Row],[CUIT]]="","-",VLOOKUP(ventas_b_mes1255[[#This Row],[CUIT]],Lista_CUIT[#All],2,0)),"CUIT NO CARGADO")</f>
        <v>-</v>
      </c>
      <c r="H1475" s="99">
        <f>ventas_b_mes1255[[#This Row],[TOTAL]]/1.21</f>
        <v>0</v>
      </c>
      <c r="I1475" s="64">
        <f>ventas_b_mes1255[[#This Row],[IMPORTE NETO]]*0.21</f>
        <v>0</v>
      </c>
      <c r="J1475" s="140"/>
      <c r="K1475" s="140"/>
      <c r="L1475" s="140"/>
      <c r="M1475" s="59"/>
    </row>
    <row r="1476" spans="2:13" x14ac:dyDescent="0.25">
      <c r="B1476" s="134"/>
      <c r="C1476" s="41"/>
      <c r="D1476" s="136"/>
      <c r="E1476" s="137"/>
      <c r="F1476" s="138"/>
      <c r="G1476" s="1" t="str">
        <f>IFERROR(IF(ventas_b_mes1255[[#This Row],[CUIT]]="","-",VLOOKUP(ventas_b_mes1255[[#This Row],[CUIT]],Lista_CUIT[#All],2,0)),"CUIT NO CARGADO")</f>
        <v>-</v>
      </c>
      <c r="H1476" s="99">
        <f>ventas_b_mes1255[[#This Row],[TOTAL]]/1.21</f>
        <v>0</v>
      </c>
      <c r="I1476" s="64">
        <f>ventas_b_mes1255[[#This Row],[IMPORTE NETO]]*0.21</f>
        <v>0</v>
      </c>
      <c r="J1476" s="140"/>
      <c r="K1476" s="140"/>
      <c r="L1476" s="140"/>
      <c r="M1476" s="59"/>
    </row>
    <row r="1477" spans="2:13" x14ac:dyDescent="0.25">
      <c r="B1477" s="134"/>
      <c r="C1477" s="41"/>
      <c r="D1477" s="136"/>
      <c r="E1477" s="137"/>
      <c r="F1477" s="138"/>
      <c r="G1477" s="1" t="str">
        <f>IFERROR(IF(ventas_b_mes1255[[#This Row],[CUIT]]="","-",VLOOKUP(ventas_b_mes1255[[#This Row],[CUIT]],Lista_CUIT[#All],2,0)),"CUIT NO CARGADO")</f>
        <v>-</v>
      </c>
      <c r="H1477" s="99">
        <f>ventas_b_mes1255[[#This Row],[TOTAL]]/1.21</f>
        <v>0</v>
      </c>
      <c r="I1477" s="64">
        <f>ventas_b_mes1255[[#This Row],[IMPORTE NETO]]*0.21</f>
        <v>0</v>
      </c>
      <c r="J1477" s="140"/>
      <c r="K1477" s="140"/>
      <c r="L1477" s="140"/>
      <c r="M1477" s="59"/>
    </row>
    <row r="1478" spans="2:13" x14ac:dyDescent="0.25">
      <c r="B1478" s="134"/>
      <c r="C1478" s="41"/>
      <c r="D1478" s="136"/>
      <c r="E1478" s="137"/>
      <c r="F1478" s="138"/>
      <c r="G1478" s="1" t="str">
        <f>IFERROR(IF(ventas_b_mes1255[[#This Row],[CUIT]]="","-",VLOOKUP(ventas_b_mes1255[[#This Row],[CUIT]],Lista_CUIT[#All],2,0)),"CUIT NO CARGADO")</f>
        <v>-</v>
      </c>
      <c r="H1478" s="99">
        <f>ventas_b_mes1255[[#This Row],[TOTAL]]/1.21</f>
        <v>0</v>
      </c>
      <c r="I1478" s="64">
        <f>ventas_b_mes1255[[#This Row],[IMPORTE NETO]]*0.21</f>
        <v>0</v>
      </c>
      <c r="J1478" s="140"/>
      <c r="K1478" s="140"/>
      <c r="L1478" s="140"/>
      <c r="M1478" s="59"/>
    </row>
    <row r="1479" spans="2:13" x14ac:dyDescent="0.25">
      <c r="B1479" s="134"/>
      <c r="C1479" s="41"/>
      <c r="D1479" s="136"/>
      <c r="E1479" s="137"/>
      <c r="F1479" s="138"/>
      <c r="G1479" s="1" t="str">
        <f>IFERROR(IF(ventas_b_mes1255[[#This Row],[CUIT]]="","-",VLOOKUP(ventas_b_mes1255[[#This Row],[CUIT]],Lista_CUIT[#All],2,0)),"CUIT NO CARGADO")</f>
        <v>-</v>
      </c>
      <c r="H1479" s="99">
        <f>ventas_b_mes1255[[#This Row],[TOTAL]]/1.21</f>
        <v>0</v>
      </c>
      <c r="I1479" s="64">
        <f>ventas_b_mes1255[[#This Row],[IMPORTE NETO]]*0.21</f>
        <v>0</v>
      </c>
      <c r="J1479" s="140"/>
      <c r="K1479" s="140"/>
      <c r="L1479" s="140"/>
      <c r="M1479" s="59"/>
    </row>
    <row r="1480" spans="2:13" x14ac:dyDescent="0.25">
      <c r="B1480" s="134"/>
      <c r="C1480" s="41"/>
      <c r="D1480" s="136"/>
      <c r="E1480" s="137"/>
      <c r="F1480" s="138"/>
      <c r="G1480" s="1" t="str">
        <f>IFERROR(IF(ventas_b_mes1255[[#This Row],[CUIT]]="","-",VLOOKUP(ventas_b_mes1255[[#This Row],[CUIT]],Lista_CUIT[#All],2,0)),"CUIT NO CARGADO")</f>
        <v>-</v>
      </c>
      <c r="H1480" s="99">
        <f>ventas_b_mes1255[[#This Row],[TOTAL]]/1.21</f>
        <v>0</v>
      </c>
      <c r="I1480" s="64">
        <f>ventas_b_mes1255[[#This Row],[IMPORTE NETO]]*0.21</f>
        <v>0</v>
      </c>
      <c r="J1480" s="140"/>
      <c r="K1480" s="140"/>
      <c r="L1480" s="140"/>
      <c r="M1480" s="59"/>
    </row>
    <row r="1481" spans="2:13" x14ac:dyDescent="0.25">
      <c r="B1481" s="134"/>
      <c r="C1481" s="41"/>
      <c r="D1481" s="136"/>
      <c r="E1481" s="137"/>
      <c r="F1481" s="138"/>
      <c r="G1481" s="1" t="str">
        <f>IFERROR(IF(ventas_b_mes1255[[#This Row],[CUIT]]="","-",VLOOKUP(ventas_b_mes1255[[#This Row],[CUIT]],Lista_CUIT[#All],2,0)),"CUIT NO CARGADO")</f>
        <v>-</v>
      </c>
      <c r="H1481" s="99">
        <f>ventas_b_mes1255[[#This Row],[TOTAL]]/1.21</f>
        <v>0</v>
      </c>
      <c r="I1481" s="64">
        <f>ventas_b_mes1255[[#This Row],[IMPORTE NETO]]*0.21</f>
        <v>0</v>
      </c>
      <c r="J1481" s="140"/>
      <c r="K1481" s="140"/>
      <c r="L1481" s="140"/>
      <c r="M1481" s="59"/>
    </row>
    <row r="1482" spans="2:13" x14ac:dyDescent="0.25">
      <c r="B1482" s="134"/>
      <c r="C1482" s="41"/>
      <c r="D1482" s="136"/>
      <c r="E1482" s="137"/>
      <c r="F1482" s="138"/>
      <c r="G1482" s="1" t="str">
        <f>IFERROR(IF(ventas_b_mes1255[[#This Row],[CUIT]]="","-",VLOOKUP(ventas_b_mes1255[[#This Row],[CUIT]],Lista_CUIT[#All],2,0)),"CUIT NO CARGADO")</f>
        <v>-</v>
      </c>
      <c r="H1482" s="99">
        <f>ventas_b_mes1255[[#This Row],[TOTAL]]/1.21</f>
        <v>0</v>
      </c>
      <c r="I1482" s="64">
        <f>ventas_b_mes1255[[#This Row],[IMPORTE NETO]]*0.21</f>
        <v>0</v>
      </c>
      <c r="J1482" s="140"/>
      <c r="K1482" s="140"/>
      <c r="L1482" s="140"/>
      <c r="M1482" s="59"/>
    </row>
    <row r="1483" spans="2:13" x14ac:dyDescent="0.25">
      <c r="B1483" s="134"/>
      <c r="C1483" s="41"/>
      <c r="D1483" s="136"/>
      <c r="E1483" s="137"/>
      <c r="F1483" s="138"/>
      <c r="G1483" s="1" t="str">
        <f>IFERROR(IF(ventas_b_mes1255[[#This Row],[CUIT]]="","-",VLOOKUP(ventas_b_mes1255[[#This Row],[CUIT]],Lista_CUIT[#All],2,0)),"CUIT NO CARGADO")</f>
        <v>-</v>
      </c>
      <c r="H1483" s="99">
        <f>ventas_b_mes1255[[#This Row],[TOTAL]]/1.21</f>
        <v>0</v>
      </c>
      <c r="I1483" s="64">
        <f>ventas_b_mes1255[[#This Row],[IMPORTE NETO]]*0.21</f>
        <v>0</v>
      </c>
      <c r="J1483" s="140"/>
      <c r="K1483" s="140"/>
      <c r="L1483" s="140"/>
      <c r="M1483" s="59"/>
    </row>
    <row r="1484" spans="2:13" x14ac:dyDescent="0.25">
      <c r="B1484" s="134"/>
      <c r="C1484" s="41"/>
      <c r="D1484" s="136"/>
      <c r="E1484" s="137"/>
      <c r="F1484" s="138"/>
      <c r="G1484" s="1" t="str">
        <f>IFERROR(IF(ventas_b_mes1255[[#This Row],[CUIT]]="","-",VLOOKUP(ventas_b_mes1255[[#This Row],[CUIT]],Lista_CUIT[#All],2,0)),"CUIT NO CARGADO")</f>
        <v>-</v>
      </c>
      <c r="H1484" s="99">
        <f>ventas_b_mes1255[[#This Row],[TOTAL]]/1.21</f>
        <v>0</v>
      </c>
      <c r="I1484" s="64">
        <f>ventas_b_mes1255[[#This Row],[IMPORTE NETO]]*0.21</f>
        <v>0</v>
      </c>
      <c r="J1484" s="140"/>
      <c r="K1484" s="140"/>
      <c r="L1484" s="140"/>
      <c r="M1484" s="59"/>
    </row>
    <row r="1485" spans="2:13" x14ac:dyDescent="0.25">
      <c r="B1485" s="134"/>
      <c r="C1485" s="41"/>
      <c r="D1485" s="136"/>
      <c r="E1485" s="137"/>
      <c r="F1485" s="138"/>
      <c r="G1485" s="1" t="str">
        <f>IFERROR(IF(ventas_b_mes1255[[#This Row],[CUIT]]="","-",VLOOKUP(ventas_b_mes1255[[#This Row],[CUIT]],Lista_CUIT[#All],2,0)),"CUIT NO CARGADO")</f>
        <v>-</v>
      </c>
      <c r="H1485" s="99">
        <f>ventas_b_mes1255[[#This Row],[TOTAL]]/1.21</f>
        <v>0</v>
      </c>
      <c r="I1485" s="64">
        <f>ventas_b_mes1255[[#This Row],[IMPORTE NETO]]*0.21</f>
        <v>0</v>
      </c>
      <c r="J1485" s="140"/>
      <c r="K1485" s="140"/>
      <c r="L1485" s="140"/>
      <c r="M1485" s="59"/>
    </row>
    <row r="1486" spans="2:13" x14ac:dyDescent="0.25">
      <c r="B1486" s="134"/>
      <c r="C1486" s="41"/>
      <c r="D1486" s="136"/>
      <c r="E1486" s="137"/>
      <c r="F1486" s="138"/>
      <c r="G1486" s="1" t="str">
        <f>IFERROR(IF(ventas_b_mes1255[[#This Row],[CUIT]]="","-",VLOOKUP(ventas_b_mes1255[[#This Row],[CUIT]],Lista_CUIT[#All],2,0)),"CUIT NO CARGADO")</f>
        <v>-</v>
      </c>
      <c r="H1486" s="99">
        <f>ventas_b_mes1255[[#This Row],[TOTAL]]/1.21</f>
        <v>0</v>
      </c>
      <c r="I1486" s="64">
        <f>ventas_b_mes1255[[#This Row],[IMPORTE NETO]]*0.21</f>
        <v>0</v>
      </c>
      <c r="J1486" s="140"/>
      <c r="K1486" s="140"/>
      <c r="L1486" s="140"/>
      <c r="M1486" s="59"/>
    </row>
    <row r="1487" spans="2:13" x14ac:dyDescent="0.25">
      <c r="B1487" s="134"/>
      <c r="C1487" s="41"/>
      <c r="D1487" s="136"/>
      <c r="E1487" s="137"/>
      <c r="F1487" s="138"/>
      <c r="G1487" s="1" t="str">
        <f>IFERROR(IF(ventas_b_mes1255[[#This Row],[CUIT]]="","-",VLOOKUP(ventas_b_mes1255[[#This Row],[CUIT]],Lista_CUIT[#All],2,0)),"CUIT NO CARGADO")</f>
        <v>-</v>
      </c>
      <c r="H1487" s="99">
        <f>ventas_b_mes1255[[#This Row],[TOTAL]]/1.21</f>
        <v>0</v>
      </c>
      <c r="I1487" s="64">
        <f>ventas_b_mes1255[[#This Row],[IMPORTE NETO]]*0.21</f>
        <v>0</v>
      </c>
      <c r="J1487" s="140"/>
      <c r="K1487" s="140"/>
      <c r="L1487" s="140"/>
      <c r="M1487" s="59"/>
    </row>
    <row r="1488" spans="2:13" x14ac:dyDescent="0.25">
      <c r="B1488" s="134"/>
      <c r="C1488" s="41"/>
      <c r="D1488" s="136"/>
      <c r="E1488" s="137"/>
      <c r="F1488" s="138"/>
      <c r="G1488" s="1" t="str">
        <f>IFERROR(IF(ventas_b_mes1255[[#This Row],[CUIT]]="","-",VLOOKUP(ventas_b_mes1255[[#This Row],[CUIT]],Lista_CUIT[#All],2,0)),"CUIT NO CARGADO")</f>
        <v>-</v>
      </c>
      <c r="H1488" s="99">
        <f>ventas_b_mes1255[[#This Row],[TOTAL]]/1.21</f>
        <v>0</v>
      </c>
      <c r="I1488" s="64">
        <f>ventas_b_mes1255[[#This Row],[IMPORTE NETO]]*0.21</f>
        <v>0</v>
      </c>
      <c r="J1488" s="140"/>
      <c r="K1488" s="140"/>
      <c r="L1488" s="140"/>
      <c r="M1488" s="59"/>
    </row>
    <row r="1489" spans="2:13" x14ac:dyDescent="0.25">
      <c r="B1489" s="134"/>
      <c r="C1489" s="41"/>
      <c r="D1489" s="136"/>
      <c r="E1489" s="137"/>
      <c r="F1489" s="138"/>
      <c r="G1489" s="1" t="str">
        <f>IFERROR(IF(ventas_b_mes1255[[#This Row],[CUIT]]="","-",VLOOKUP(ventas_b_mes1255[[#This Row],[CUIT]],Lista_CUIT[#All],2,0)),"CUIT NO CARGADO")</f>
        <v>-</v>
      </c>
      <c r="H1489" s="99">
        <f>ventas_b_mes1255[[#This Row],[TOTAL]]/1.21</f>
        <v>0</v>
      </c>
      <c r="I1489" s="64">
        <f>ventas_b_mes1255[[#This Row],[IMPORTE NETO]]*0.21</f>
        <v>0</v>
      </c>
      <c r="J1489" s="140"/>
      <c r="K1489" s="140"/>
      <c r="L1489" s="140"/>
      <c r="M1489" s="59"/>
    </row>
    <row r="1490" spans="2:13" x14ac:dyDescent="0.25">
      <c r="B1490" s="134"/>
      <c r="C1490" s="41"/>
      <c r="D1490" s="136"/>
      <c r="E1490" s="137"/>
      <c r="F1490" s="138"/>
      <c r="G1490" s="1" t="str">
        <f>IFERROR(IF(ventas_b_mes1255[[#This Row],[CUIT]]="","-",VLOOKUP(ventas_b_mes1255[[#This Row],[CUIT]],Lista_CUIT[#All],2,0)),"CUIT NO CARGADO")</f>
        <v>-</v>
      </c>
      <c r="H1490" s="99">
        <f>ventas_b_mes1255[[#This Row],[TOTAL]]/1.21</f>
        <v>0</v>
      </c>
      <c r="I1490" s="64">
        <f>ventas_b_mes1255[[#This Row],[IMPORTE NETO]]*0.21</f>
        <v>0</v>
      </c>
      <c r="J1490" s="140"/>
      <c r="K1490" s="140"/>
      <c r="L1490" s="140"/>
      <c r="M1490" s="59"/>
    </row>
    <row r="1491" spans="2:13" x14ac:dyDescent="0.25">
      <c r="B1491" s="134"/>
      <c r="C1491" s="41"/>
      <c r="D1491" s="136"/>
      <c r="E1491" s="137"/>
      <c r="F1491" s="138"/>
      <c r="G1491" s="1" t="str">
        <f>IFERROR(IF(ventas_b_mes1255[[#This Row],[CUIT]]="","-",VLOOKUP(ventas_b_mes1255[[#This Row],[CUIT]],Lista_CUIT[#All],2,0)),"CUIT NO CARGADO")</f>
        <v>-</v>
      </c>
      <c r="H1491" s="99">
        <f>ventas_b_mes1255[[#This Row],[TOTAL]]/1.21</f>
        <v>0</v>
      </c>
      <c r="I1491" s="64">
        <f>ventas_b_mes1255[[#This Row],[IMPORTE NETO]]*0.21</f>
        <v>0</v>
      </c>
      <c r="J1491" s="140"/>
      <c r="K1491" s="140"/>
      <c r="L1491" s="140"/>
      <c r="M1491" s="59"/>
    </row>
    <row r="1492" spans="2:13" x14ac:dyDescent="0.25">
      <c r="B1492" s="134"/>
      <c r="C1492" s="41"/>
      <c r="D1492" s="136"/>
      <c r="E1492" s="137"/>
      <c r="F1492" s="138"/>
      <c r="G1492" s="1" t="str">
        <f>IFERROR(IF(ventas_b_mes1255[[#This Row],[CUIT]]="","-",VLOOKUP(ventas_b_mes1255[[#This Row],[CUIT]],Lista_CUIT[#All],2,0)),"CUIT NO CARGADO")</f>
        <v>-</v>
      </c>
      <c r="H1492" s="99">
        <f>ventas_b_mes1255[[#This Row],[TOTAL]]/1.21</f>
        <v>0</v>
      </c>
      <c r="I1492" s="64">
        <f>ventas_b_mes1255[[#This Row],[IMPORTE NETO]]*0.21</f>
        <v>0</v>
      </c>
      <c r="J1492" s="140"/>
      <c r="K1492" s="140"/>
      <c r="L1492" s="140"/>
      <c r="M1492" s="59"/>
    </row>
    <row r="1493" spans="2:13" x14ac:dyDescent="0.25">
      <c r="B1493" s="134"/>
      <c r="C1493" s="41"/>
      <c r="D1493" s="136"/>
      <c r="E1493" s="137"/>
      <c r="F1493" s="138"/>
      <c r="G1493" s="1" t="str">
        <f>IFERROR(IF(ventas_b_mes1255[[#This Row],[CUIT]]="","-",VLOOKUP(ventas_b_mes1255[[#This Row],[CUIT]],Lista_CUIT[#All],2,0)),"CUIT NO CARGADO")</f>
        <v>-</v>
      </c>
      <c r="H1493" s="99">
        <f>ventas_b_mes1255[[#This Row],[TOTAL]]/1.21</f>
        <v>0</v>
      </c>
      <c r="I1493" s="64">
        <f>ventas_b_mes1255[[#This Row],[IMPORTE NETO]]*0.21</f>
        <v>0</v>
      </c>
      <c r="J1493" s="140"/>
      <c r="K1493" s="140"/>
      <c r="L1493" s="140"/>
      <c r="M1493" s="59"/>
    </row>
    <row r="1494" spans="2:13" x14ac:dyDescent="0.25">
      <c r="B1494" s="134"/>
      <c r="C1494" s="41"/>
      <c r="D1494" s="136"/>
      <c r="E1494" s="137"/>
      <c r="F1494" s="138"/>
      <c r="G1494" s="1" t="str">
        <f>IFERROR(IF(ventas_b_mes1255[[#This Row],[CUIT]]="","-",VLOOKUP(ventas_b_mes1255[[#This Row],[CUIT]],Lista_CUIT[#All],2,0)),"CUIT NO CARGADO")</f>
        <v>-</v>
      </c>
      <c r="H1494" s="99">
        <f>ventas_b_mes1255[[#This Row],[TOTAL]]/1.21</f>
        <v>0</v>
      </c>
      <c r="I1494" s="64">
        <f>ventas_b_mes1255[[#This Row],[IMPORTE NETO]]*0.21</f>
        <v>0</v>
      </c>
      <c r="J1494" s="140"/>
      <c r="K1494" s="140"/>
      <c r="L1494" s="140"/>
      <c r="M1494" s="59"/>
    </row>
    <row r="1495" spans="2:13" x14ac:dyDescent="0.25">
      <c r="B1495" s="134"/>
      <c r="C1495" s="41"/>
      <c r="D1495" s="136"/>
      <c r="E1495" s="137"/>
      <c r="F1495" s="138"/>
      <c r="G1495" s="1" t="str">
        <f>IFERROR(IF(ventas_b_mes1255[[#This Row],[CUIT]]="","-",VLOOKUP(ventas_b_mes1255[[#This Row],[CUIT]],Lista_CUIT[#All],2,0)),"CUIT NO CARGADO")</f>
        <v>-</v>
      </c>
      <c r="H1495" s="99">
        <f>ventas_b_mes1255[[#This Row],[TOTAL]]/1.21</f>
        <v>0</v>
      </c>
      <c r="I1495" s="64">
        <f>ventas_b_mes1255[[#This Row],[IMPORTE NETO]]*0.21</f>
        <v>0</v>
      </c>
      <c r="J1495" s="140"/>
      <c r="K1495" s="140"/>
      <c r="L1495" s="140"/>
      <c r="M1495" s="59"/>
    </row>
    <row r="1496" spans="2:13" x14ac:dyDescent="0.25">
      <c r="B1496" s="134"/>
      <c r="C1496" s="41"/>
      <c r="D1496" s="136"/>
      <c r="E1496" s="137"/>
      <c r="F1496" s="138"/>
      <c r="G1496" s="1" t="str">
        <f>IFERROR(IF(ventas_b_mes1255[[#This Row],[CUIT]]="","-",VLOOKUP(ventas_b_mes1255[[#This Row],[CUIT]],Lista_CUIT[#All],2,0)),"CUIT NO CARGADO")</f>
        <v>-</v>
      </c>
      <c r="H1496" s="99">
        <f>ventas_b_mes1255[[#This Row],[TOTAL]]/1.21</f>
        <v>0</v>
      </c>
      <c r="I1496" s="64">
        <f>ventas_b_mes1255[[#This Row],[IMPORTE NETO]]*0.21</f>
        <v>0</v>
      </c>
      <c r="J1496" s="140"/>
      <c r="K1496" s="140"/>
      <c r="L1496" s="140"/>
      <c r="M1496" s="59"/>
    </row>
    <row r="1497" spans="2:13" x14ac:dyDescent="0.25">
      <c r="B1497" s="134"/>
      <c r="C1497" s="41"/>
      <c r="D1497" s="136"/>
      <c r="E1497" s="137"/>
      <c r="F1497" s="138"/>
      <c r="G1497" s="1" t="str">
        <f>IFERROR(IF(ventas_b_mes1255[[#This Row],[CUIT]]="","-",VLOOKUP(ventas_b_mes1255[[#This Row],[CUIT]],Lista_CUIT[#All],2,0)),"CUIT NO CARGADO")</f>
        <v>-</v>
      </c>
      <c r="H1497" s="99">
        <f>ventas_b_mes1255[[#This Row],[TOTAL]]/1.21</f>
        <v>0</v>
      </c>
      <c r="I1497" s="64">
        <f>ventas_b_mes1255[[#This Row],[IMPORTE NETO]]*0.21</f>
        <v>0</v>
      </c>
      <c r="J1497" s="140"/>
      <c r="K1497" s="140"/>
      <c r="L1497" s="140"/>
      <c r="M1497" s="59"/>
    </row>
    <row r="1498" spans="2:13" x14ac:dyDescent="0.25">
      <c r="B1498" s="134"/>
      <c r="C1498" s="41"/>
      <c r="D1498" s="136"/>
      <c r="E1498" s="137"/>
      <c r="F1498" s="138"/>
      <c r="G1498" s="1" t="str">
        <f>IFERROR(IF(ventas_b_mes1255[[#This Row],[CUIT]]="","-",VLOOKUP(ventas_b_mes1255[[#This Row],[CUIT]],Lista_CUIT[#All],2,0)),"CUIT NO CARGADO")</f>
        <v>-</v>
      </c>
      <c r="H1498" s="99">
        <f>ventas_b_mes1255[[#This Row],[TOTAL]]/1.21</f>
        <v>0</v>
      </c>
      <c r="I1498" s="64">
        <f>ventas_b_mes1255[[#This Row],[IMPORTE NETO]]*0.21</f>
        <v>0</v>
      </c>
      <c r="J1498" s="140"/>
      <c r="K1498" s="140"/>
      <c r="L1498" s="140"/>
      <c r="M1498" s="59"/>
    </row>
    <row r="1499" spans="2:13" x14ac:dyDescent="0.25">
      <c r="B1499" s="134"/>
      <c r="C1499" s="41"/>
      <c r="D1499" s="136"/>
      <c r="E1499" s="137"/>
      <c r="F1499" s="138"/>
      <c r="G1499" s="1" t="str">
        <f>IFERROR(IF(ventas_b_mes1255[[#This Row],[CUIT]]="","-",VLOOKUP(ventas_b_mes1255[[#This Row],[CUIT]],Lista_CUIT[#All],2,0)),"CUIT NO CARGADO")</f>
        <v>-</v>
      </c>
      <c r="H1499" s="99">
        <f>ventas_b_mes1255[[#This Row],[TOTAL]]/1.21</f>
        <v>0</v>
      </c>
      <c r="I1499" s="64">
        <f>ventas_b_mes1255[[#This Row],[IMPORTE NETO]]*0.21</f>
        <v>0</v>
      </c>
      <c r="J1499" s="140"/>
      <c r="K1499" s="140"/>
      <c r="L1499" s="140"/>
      <c r="M1499" s="59"/>
    </row>
    <row r="1500" spans="2:13" x14ac:dyDescent="0.25">
      <c r="B1500" s="134"/>
      <c r="C1500" s="41"/>
      <c r="D1500" s="136"/>
      <c r="E1500" s="137"/>
      <c r="F1500" s="138"/>
      <c r="G1500" s="1" t="str">
        <f>IFERROR(IF(ventas_b_mes1255[[#This Row],[CUIT]]="","-",VLOOKUP(ventas_b_mes1255[[#This Row],[CUIT]],Lista_CUIT[#All],2,0)),"CUIT NO CARGADO")</f>
        <v>-</v>
      </c>
      <c r="H1500" s="99">
        <f>ventas_b_mes1255[[#This Row],[TOTAL]]/1.21</f>
        <v>0</v>
      </c>
      <c r="I1500" s="64">
        <f>ventas_b_mes1255[[#This Row],[IMPORTE NETO]]*0.21</f>
        <v>0</v>
      </c>
      <c r="J1500" s="140"/>
      <c r="K1500" s="140"/>
      <c r="L1500" s="140"/>
      <c r="M1500" s="59"/>
    </row>
    <row r="1501" spans="2:13" x14ac:dyDescent="0.25">
      <c r="B1501" s="134"/>
      <c r="C1501" s="41"/>
      <c r="D1501" s="136"/>
      <c r="E1501" s="137"/>
      <c r="F1501" s="138"/>
      <c r="G1501" s="1" t="str">
        <f>IFERROR(IF(ventas_b_mes1255[[#This Row],[CUIT]]="","-",VLOOKUP(ventas_b_mes1255[[#This Row],[CUIT]],Lista_CUIT[#All],2,0)),"CUIT NO CARGADO")</f>
        <v>-</v>
      </c>
      <c r="H1501" s="99">
        <f>ventas_b_mes1255[[#This Row],[TOTAL]]/1.21</f>
        <v>0</v>
      </c>
      <c r="I1501" s="64">
        <f>ventas_b_mes1255[[#This Row],[IMPORTE NETO]]*0.21</f>
        <v>0</v>
      </c>
      <c r="J1501" s="140"/>
      <c r="K1501" s="140"/>
      <c r="L1501" s="140"/>
      <c r="M1501" s="59"/>
    </row>
    <row r="1502" spans="2:13" x14ac:dyDescent="0.25">
      <c r="B1502" s="134"/>
      <c r="C1502" s="41"/>
      <c r="D1502" s="136"/>
      <c r="E1502" s="137"/>
      <c r="F1502" s="138"/>
      <c r="G1502" s="1" t="str">
        <f>IFERROR(IF(ventas_b_mes1255[[#This Row],[CUIT]]="","-",VLOOKUP(ventas_b_mes1255[[#This Row],[CUIT]],Lista_CUIT[#All],2,0)),"CUIT NO CARGADO")</f>
        <v>-</v>
      </c>
      <c r="H1502" s="99">
        <f>ventas_b_mes1255[[#This Row],[TOTAL]]/1.21</f>
        <v>0</v>
      </c>
      <c r="I1502" s="64">
        <f>ventas_b_mes1255[[#This Row],[IMPORTE NETO]]*0.21</f>
        <v>0</v>
      </c>
      <c r="J1502" s="140"/>
      <c r="K1502" s="140"/>
      <c r="L1502" s="140"/>
      <c r="M1502" s="59"/>
    </row>
    <row r="1503" spans="2:13" x14ac:dyDescent="0.25">
      <c r="B1503" s="134"/>
      <c r="C1503" s="41"/>
      <c r="D1503" s="136"/>
      <c r="E1503" s="137"/>
      <c r="F1503" s="138"/>
      <c r="G1503" s="1" t="str">
        <f>IFERROR(IF(ventas_b_mes1255[[#This Row],[CUIT]]="","-",VLOOKUP(ventas_b_mes1255[[#This Row],[CUIT]],Lista_CUIT[#All],2,0)),"CUIT NO CARGADO")</f>
        <v>-</v>
      </c>
      <c r="H1503" s="99">
        <f>ventas_b_mes1255[[#This Row],[TOTAL]]/1.21</f>
        <v>0</v>
      </c>
      <c r="I1503" s="64">
        <f>ventas_b_mes1255[[#This Row],[IMPORTE NETO]]*0.21</f>
        <v>0</v>
      </c>
      <c r="J1503" s="140"/>
      <c r="K1503" s="140"/>
      <c r="L1503" s="140"/>
      <c r="M1503" s="59"/>
    </row>
    <row r="1504" spans="2:13" x14ac:dyDescent="0.25">
      <c r="B1504" s="134"/>
      <c r="C1504" s="41"/>
      <c r="D1504" s="136"/>
      <c r="E1504" s="137"/>
      <c r="F1504" s="138"/>
      <c r="G1504" s="1" t="str">
        <f>IFERROR(IF(ventas_b_mes1255[[#This Row],[CUIT]]="","-",VLOOKUP(ventas_b_mes1255[[#This Row],[CUIT]],Lista_CUIT[#All],2,0)),"CUIT NO CARGADO")</f>
        <v>-</v>
      </c>
      <c r="H1504" s="99">
        <f>ventas_b_mes1255[[#This Row],[TOTAL]]/1.21</f>
        <v>0</v>
      </c>
      <c r="I1504" s="64">
        <f>ventas_b_mes1255[[#This Row],[IMPORTE NETO]]*0.21</f>
        <v>0</v>
      </c>
      <c r="J1504" s="140"/>
      <c r="K1504" s="140"/>
      <c r="L1504" s="140"/>
      <c r="M1504" s="59"/>
    </row>
    <row r="1505" spans="2:13" x14ac:dyDescent="0.25">
      <c r="B1505" s="134"/>
      <c r="C1505" s="41"/>
      <c r="D1505" s="136"/>
      <c r="E1505" s="137"/>
      <c r="F1505" s="138"/>
      <c r="G1505" s="1" t="str">
        <f>IFERROR(IF(ventas_b_mes1255[[#This Row],[CUIT]]="","-",VLOOKUP(ventas_b_mes1255[[#This Row],[CUIT]],Lista_CUIT[#All],2,0)),"CUIT NO CARGADO")</f>
        <v>-</v>
      </c>
      <c r="H1505" s="99">
        <f>ventas_b_mes1255[[#This Row],[TOTAL]]/1.21</f>
        <v>0</v>
      </c>
      <c r="I1505" s="64">
        <f>ventas_b_mes1255[[#This Row],[IMPORTE NETO]]*0.21</f>
        <v>0</v>
      </c>
      <c r="J1505" s="140"/>
      <c r="K1505" s="140"/>
      <c r="L1505" s="140"/>
      <c r="M1505" s="59"/>
    </row>
    <row r="1506" spans="2:13" x14ac:dyDescent="0.25">
      <c r="B1506" s="134"/>
      <c r="C1506" s="41"/>
      <c r="D1506" s="136"/>
      <c r="E1506" s="137"/>
      <c r="F1506" s="138"/>
      <c r="G1506" s="1" t="str">
        <f>IFERROR(IF(ventas_b_mes1255[[#This Row],[CUIT]]="","-",VLOOKUP(ventas_b_mes1255[[#This Row],[CUIT]],Lista_CUIT[#All],2,0)),"CUIT NO CARGADO")</f>
        <v>-</v>
      </c>
      <c r="H1506" s="99">
        <f>ventas_b_mes1255[[#This Row],[TOTAL]]/1.21</f>
        <v>0</v>
      </c>
      <c r="I1506" s="64">
        <f>ventas_b_mes1255[[#This Row],[IMPORTE NETO]]*0.21</f>
        <v>0</v>
      </c>
      <c r="J1506" s="140"/>
      <c r="K1506" s="140"/>
      <c r="L1506" s="140"/>
      <c r="M1506" s="59"/>
    </row>
    <row r="1507" spans="2:13" x14ac:dyDescent="0.25">
      <c r="B1507" s="134"/>
      <c r="C1507" s="41"/>
      <c r="D1507" s="136"/>
      <c r="E1507" s="137"/>
      <c r="F1507" s="138"/>
      <c r="G1507" s="1" t="str">
        <f>IFERROR(IF(ventas_b_mes1255[[#This Row],[CUIT]]="","-",VLOOKUP(ventas_b_mes1255[[#This Row],[CUIT]],Lista_CUIT[#All],2,0)),"CUIT NO CARGADO")</f>
        <v>-</v>
      </c>
      <c r="H1507" s="99">
        <f>ventas_b_mes1255[[#This Row],[TOTAL]]/1.21</f>
        <v>0</v>
      </c>
      <c r="I1507" s="64">
        <f>ventas_b_mes1255[[#This Row],[IMPORTE NETO]]*0.21</f>
        <v>0</v>
      </c>
      <c r="J1507" s="140"/>
      <c r="K1507" s="140"/>
      <c r="L1507" s="140"/>
      <c r="M1507" s="59"/>
    </row>
    <row r="1508" spans="2:13" x14ac:dyDescent="0.25">
      <c r="B1508" s="134"/>
      <c r="C1508" s="41"/>
      <c r="D1508" s="136"/>
      <c r="E1508" s="137"/>
      <c r="F1508" s="138"/>
      <c r="G1508" s="1" t="str">
        <f>IFERROR(IF(ventas_b_mes1255[[#This Row],[CUIT]]="","-",VLOOKUP(ventas_b_mes1255[[#This Row],[CUIT]],Lista_CUIT[#All],2,0)),"CUIT NO CARGADO")</f>
        <v>-</v>
      </c>
      <c r="H1508" s="99">
        <f>ventas_b_mes1255[[#This Row],[TOTAL]]/1.21</f>
        <v>0</v>
      </c>
      <c r="I1508" s="64">
        <f>ventas_b_mes1255[[#This Row],[IMPORTE NETO]]*0.21</f>
        <v>0</v>
      </c>
      <c r="J1508" s="140"/>
      <c r="K1508" s="140"/>
      <c r="L1508" s="140"/>
      <c r="M1508" s="59"/>
    </row>
    <row r="1509" spans="2:13" x14ac:dyDescent="0.25">
      <c r="B1509" s="134"/>
      <c r="C1509" s="41"/>
      <c r="D1509" s="136"/>
      <c r="E1509" s="137"/>
      <c r="F1509" s="138"/>
      <c r="G1509" s="1" t="str">
        <f>IFERROR(IF(ventas_b_mes1255[[#This Row],[CUIT]]="","-",VLOOKUP(ventas_b_mes1255[[#This Row],[CUIT]],Lista_CUIT[#All],2,0)),"CUIT NO CARGADO")</f>
        <v>-</v>
      </c>
      <c r="H1509" s="99">
        <f>ventas_b_mes1255[[#This Row],[TOTAL]]/1.21</f>
        <v>0</v>
      </c>
      <c r="I1509" s="64">
        <f>ventas_b_mes1255[[#This Row],[IMPORTE NETO]]*0.21</f>
        <v>0</v>
      </c>
      <c r="J1509" s="140"/>
      <c r="K1509" s="140"/>
      <c r="L1509" s="140"/>
      <c r="M1509" s="59"/>
    </row>
    <row r="1510" spans="2:13" x14ac:dyDescent="0.25">
      <c r="B1510" s="134"/>
      <c r="C1510" s="41"/>
      <c r="D1510" s="136"/>
      <c r="E1510" s="137"/>
      <c r="F1510" s="138"/>
      <c r="G1510" s="1" t="str">
        <f>IFERROR(IF(ventas_b_mes1255[[#This Row],[CUIT]]="","-",VLOOKUP(ventas_b_mes1255[[#This Row],[CUIT]],Lista_CUIT[#All],2,0)),"CUIT NO CARGADO")</f>
        <v>-</v>
      </c>
      <c r="H1510" s="99">
        <f>ventas_b_mes1255[[#This Row],[TOTAL]]/1.21</f>
        <v>0</v>
      </c>
      <c r="I1510" s="64">
        <f>ventas_b_mes1255[[#This Row],[IMPORTE NETO]]*0.21</f>
        <v>0</v>
      </c>
      <c r="J1510" s="140"/>
      <c r="K1510" s="140"/>
      <c r="L1510" s="140"/>
      <c r="M1510" s="59"/>
    </row>
    <row r="1511" spans="2:13" x14ac:dyDescent="0.25">
      <c r="B1511" s="134"/>
      <c r="C1511" s="41"/>
      <c r="D1511" s="136"/>
      <c r="E1511" s="137"/>
      <c r="F1511" s="138"/>
      <c r="G1511" s="1" t="str">
        <f>IFERROR(IF(ventas_b_mes1255[[#This Row],[CUIT]]="","-",VLOOKUP(ventas_b_mes1255[[#This Row],[CUIT]],Lista_CUIT[#All],2,0)),"CUIT NO CARGADO")</f>
        <v>-</v>
      </c>
      <c r="H1511" s="99">
        <f>ventas_b_mes1255[[#This Row],[TOTAL]]/1.21</f>
        <v>0</v>
      </c>
      <c r="I1511" s="64">
        <f>ventas_b_mes1255[[#This Row],[IMPORTE NETO]]*0.21</f>
        <v>0</v>
      </c>
      <c r="J1511" s="140"/>
      <c r="K1511" s="140"/>
      <c r="L1511" s="140"/>
      <c r="M1511" s="59"/>
    </row>
    <row r="1512" spans="2:13" x14ac:dyDescent="0.25">
      <c r="B1512" s="134"/>
      <c r="C1512" s="41"/>
      <c r="D1512" s="136"/>
      <c r="E1512" s="137"/>
      <c r="F1512" s="138"/>
      <c r="G1512" s="1" t="str">
        <f>IFERROR(IF(ventas_b_mes1255[[#This Row],[CUIT]]="","-",VLOOKUP(ventas_b_mes1255[[#This Row],[CUIT]],Lista_CUIT[#All],2,0)),"CUIT NO CARGADO")</f>
        <v>-</v>
      </c>
      <c r="H1512" s="99">
        <f>ventas_b_mes1255[[#This Row],[TOTAL]]/1.21</f>
        <v>0</v>
      </c>
      <c r="I1512" s="64">
        <f>ventas_b_mes1255[[#This Row],[IMPORTE NETO]]*0.21</f>
        <v>0</v>
      </c>
      <c r="J1512" s="140"/>
      <c r="K1512" s="140"/>
      <c r="L1512" s="140"/>
      <c r="M1512" s="59"/>
    </row>
    <row r="1513" spans="2:13" x14ac:dyDescent="0.25">
      <c r="B1513" s="134"/>
      <c r="C1513" s="41"/>
      <c r="D1513" s="136"/>
      <c r="E1513" s="137"/>
      <c r="F1513" s="138"/>
      <c r="G1513" s="1" t="str">
        <f>IFERROR(IF(ventas_b_mes1255[[#This Row],[CUIT]]="","-",VLOOKUP(ventas_b_mes1255[[#This Row],[CUIT]],Lista_CUIT[#All],2,0)),"CUIT NO CARGADO")</f>
        <v>-</v>
      </c>
      <c r="H1513" s="99">
        <f>ventas_b_mes1255[[#This Row],[TOTAL]]/1.21</f>
        <v>0</v>
      </c>
      <c r="I1513" s="64">
        <f>ventas_b_mes1255[[#This Row],[IMPORTE NETO]]*0.21</f>
        <v>0</v>
      </c>
      <c r="J1513" s="140"/>
      <c r="K1513" s="140"/>
      <c r="L1513" s="140"/>
      <c r="M1513" s="59"/>
    </row>
    <row r="1514" spans="2:13" x14ac:dyDescent="0.25">
      <c r="B1514" s="134"/>
      <c r="C1514" s="41"/>
      <c r="D1514" s="136"/>
      <c r="E1514" s="137"/>
      <c r="F1514" s="138"/>
      <c r="G1514" s="1" t="str">
        <f>IFERROR(IF(ventas_b_mes1255[[#This Row],[CUIT]]="","-",VLOOKUP(ventas_b_mes1255[[#This Row],[CUIT]],Lista_CUIT[#All],2,0)),"CUIT NO CARGADO")</f>
        <v>-</v>
      </c>
      <c r="H1514" s="99">
        <f>ventas_b_mes1255[[#This Row],[TOTAL]]/1.21</f>
        <v>0</v>
      </c>
      <c r="I1514" s="64">
        <f>ventas_b_mes1255[[#This Row],[IMPORTE NETO]]*0.21</f>
        <v>0</v>
      </c>
      <c r="J1514" s="140"/>
      <c r="K1514" s="140"/>
      <c r="L1514" s="140"/>
      <c r="M1514" s="59"/>
    </row>
    <row r="1515" spans="2:13" x14ac:dyDescent="0.25">
      <c r="B1515" s="134"/>
      <c r="C1515" s="41"/>
      <c r="D1515" s="136"/>
      <c r="E1515" s="137"/>
      <c r="F1515" s="138"/>
      <c r="G1515" s="1" t="str">
        <f>IFERROR(IF(ventas_b_mes1255[[#This Row],[CUIT]]="","-",VLOOKUP(ventas_b_mes1255[[#This Row],[CUIT]],Lista_CUIT[#All],2,0)),"CUIT NO CARGADO")</f>
        <v>-</v>
      </c>
      <c r="H1515" s="99">
        <f>ventas_b_mes1255[[#This Row],[TOTAL]]/1.21</f>
        <v>0</v>
      </c>
      <c r="I1515" s="64">
        <f>ventas_b_mes1255[[#This Row],[IMPORTE NETO]]*0.21</f>
        <v>0</v>
      </c>
      <c r="J1515" s="140"/>
      <c r="K1515" s="140"/>
      <c r="L1515" s="140"/>
      <c r="M1515" s="59"/>
    </row>
    <row r="1516" spans="2:13" x14ac:dyDescent="0.25">
      <c r="B1516" s="134"/>
      <c r="C1516" s="41"/>
      <c r="D1516" s="136"/>
      <c r="E1516" s="137"/>
      <c r="F1516" s="138"/>
      <c r="G1516" s="1" t="str">
        <f>IFERROR(IF(ventas_b_mes1255[[#This Row],[CUIT]]="","-",VLOOKUP(ventas_b_mes1255[[#This Row],[CUIT]],Lista_CUIT[#All],2,0)),"CUIT NO CARGADO")</f>
        <v>-</v>
      </c>
      <c r="H1516" s="99">
        <f>ventas_b_mes1255[[#This Row],[TOTAL]]/1.21</f>
        <v>0</v>
      </c>
      <c r="I1516" s="64">
        <f>ventas_b_mes1255[[#This Row],[IMPORTE NETO]]*0.21</f>
        <v>0</v>
      </c>
      <c r="J1516" s="140"/>
      <c r="K1516" s="140"/>
      <c r="L1516" s="140"/>
      <c r="M1516" s="59"/>
    </row>
    <row r="1517" spans="2:13" x14ac:dyDescent="0.25">
      <c r="B1517" s="134"/>
      <c r="C1517" s="41"/>
      <c r="D1517" s="136"/>
      <c r="E1517" s="137"/>
      <c r="F1517" s="138"/>
      <c r="G1517" s="1" t="str">
        <f>IFERROR(IF(ventas_b_mes1255[[#This Row],[CUIT]]="","-",VLOOKUP(ventas_b_mes1255[[#This Row],[CUIT]],Lista_CUIT[#All],2,0)),"CUIT NO CARGADO")</f>
        <v>-</v>
      </c>
      <c r="H1517" s="99">
        <f>ventas_b_mes1255[[#This Row],[TOTAL]]/1.21</f>
        <v>0</v>
      </c>
      <c r="I1517" s="64">
        <f>ventas_b_mes1255[[#This Row],[IMPORTE NETO]]*0.21</f>
        <v>0</v>
      </c>
      <c r="J1517" s="140"/>
      <c r="K1517" s="140"/>
      <c r="L1517" s="140"/>
      <c r="M1517" s="59"/>
    </row>
    <row r="1518" spans="2:13" x14ac:dyDescent="0.25">
      <c r="B1518" s="134"/>
      <c r="C1518" s="41"/>
      <c r="D1518" s="136"/>
      <c r="E1518" s="137"/>
      <c r="F1518" s="138"/>
      <c r="G1518" s="1" t="str">
        <f>IFERROR(IF(ventas_b_mes1255[[#This Row],[CUIT]]="","-",VLOOKUP(ventas_b_mes1255[[#This Row],[CUIT]],Lista_CUIT[#All],2,0)),"CUIT NO CARGADO")</f>
        <v>-</v>
      </c>
      <c r="H1518" s="99">
        <f>ventas_b_mes1255[[#This Row],[TOTAL]]/1.21</f>
        <v>0</v>
      </c>
      <c r="I1518" s="64">
        <f>ventas_b_mes1255[[#This Row],[IMPORTE NETO]]*0.21</f>
        <v>0</v>
      </c>
      <c r="J1518" s="140"/>
      <c r="K1518" s="140"/>
      <c r="L1518" s="140"/>
      <c r="M1518" s="59"/>
    </row>
    <row r="1519" spans="2:13" x14ac:dyDescent="0.25">
      <c r="B1519" s="134"/>
      <c r="C1519" s="41"/>
      <c r="D1519" s="136"/>
      <c r="E1519" s="137"/>
      <c r="F1519" s="138"/>
      <c r="G1519" s="1" t="str">
        <f>IFERROR(IF(ventas_b_mes1255[[#This Row],[CUIT]]="","-",VLOOKUP(ventas_b_mes1255[[#This Row],[CUIT]],Lista_CUIT[#All],2,0)),"CUIT NO CARGADO")</f>
        <v>-</v>
      </c>
      <c r="H1519" s="99">
        <f>ventas_b_mes1255[[#This Row],[TOTAL]]/1.21</f>
        <v>0</v>
      </c>
      <c r="I1519" s="64">
        <f>ventas_b_mes1255[[#This Row],[IMPORTE NETO]]*0.21</f>
        <v>0</v>
      </c>
      <c r="J1519" s="140"/>
      <c r="K1519" s="140"/>
      <c r="L1519" s="140"/>
      <c r="M1519" s="59"/>
    </row>
    <row r="1520" spans="2:13" x14ac:dyDescent="0.25">
      <c r="B1520" s="134"/>
      <c r="C1520" s="41"/>
      <c r="D1520" s="136"/>
      <c r="E1520" s="137"/>
      <c r="F1520" s="138"/>
      <c r="G1520" s="1" t="str">
        <f>IFERROR(IF(ventas_b_mes1255[[#This Row],[CUIT]]="","-",VLOOKUP(ventas_b_mes1255[[#This Row],[CUIT]],Lista_CUIT[#All],2,0)),"CUIT NO CARGADO")</f>
        <v>-</v>
      </c>
      <c r="H1520" s="99">
        <f>ventas_b_mes1255[[#This Row],[TOTAL]]/1.21</f>
        <v>0</v>
      </c>
      <c r="I1520" s="64">
        <f>ventas_b_mes1255[[#This Row],[IMPORTE NETO]]*0.21</f>
        <v>0</v>
      </c>
      <c r="J1520" s="140"/>
      <c r="K1520" s="140"/>
      <c r="L1520" s="140"/>
      <c r="M1520" s="59"/>
    </row>
    <row r="1521" spans="2:13" x14ac:dyDescent="0.25">
      <c r="B1521" s="134"/>
      <c r="C1521" s="41"/>
      <c r="D1521" s="136"/>
      <c r="E1521" s="137"/>
      <c r="F1521" s="138"/>
      <c r="G1521" s="1" t="str">
        <f>IFERROR(IF(ventas_b_mes1255[[#This Row],[CUIT]]="","-",VLOOKUP(ventas_b_mes1255[[#This Row],[CUIT]],Lista_CUIT[#All],2,0)),"CUIT NO CARGADO")</f>
        <v>-</v>
      </c>
      <c r="H1521" s="99">
        <f>ventas_b_mes1255[[#This Row],[TOTAL]]/1.21</f>
        <v>0</v>
      </c>
      <c r="I1521" s="64">
        <f>ventas_b_mes1255[[#This Row],[IMPORTE NETO]]*0.21</f>
        <v>0</v>
      </c>
      <c r="J1521" s="140"/>
      <c r="K1521" s="140"/>
      <c r="L1521" s="140"/>
      <c r="M1521" s="59"/>
    </row>
    <row r="1522" spans="2:13" x14ac:dyDescent="0.25">
      <c r="B1522" s="134"/>
      <c r="C1522" s="41"/>
      <c r="D1522" s="136"/>
      <c r="E1522" s="137"/>
      <c r="F1522" s="138"/>
      <c r="G1522" s="1" t="str">
        <f>IFERROR(IF(ventas_b_mes1255[[#This Row],[CUIT]]="","-",VLOOKUP(ventas_b_mes1255[[#This Row],[CUIT]],Lista_CUIT[#All],2,0)),"CUIT NO CARGADO")</f>
        <v>-</v>
      </c>
      <c r="H1522" s="99">
        <f>ventas_b_mes1255[[#This Row],[TOTAL]]/1.21</f>
        <v>0</v>
      </c>
      <c r="I1522" s="64">
        <f>ventas_b_mes1255[[#This Row],[IMPORTE NETO]]*0.21</f>
        <v>0</v>
      </c>
      <c r="J1522" s="140"/>
      <c r="K1522" s="140"/>
      <c r="L1522" s="140"/>
      <c r="M1522" s="59"/>
    </row>
    <row r="1523" spans="2:13" x14ac:dyDescent="0.25">
      <c r="B1523" s="134"/>
      <c r="C1523" s="41"/>
      <c r="D1523" s="136"/>
      <c r="E1523" s="137"/>
      <c r="F1523" s="138"/>
      <c r="G1523" s="1" t="str">
        <f>IFERROR(IF(ventas_b_mes1255[[#This Row],[CUIT]]="","-",VLOOKUP(ventas_b_mes1255[[#This Row],[CUIT]],Lista_CUIT[#All],2,0)),"CUIT NO CARGADO")</f>
        <v>-</v>
      </c>
      <c r="H1523" s="99">
        <f>ventas_b_mes1255[[#This Row],[TOTAL]]/1.21</f>
        <v>0</v>
      </c>
      <c r="I1523" s="64">
        <f>ventas_b_mes1255[[#This Row],[IMPORTE NETO]]*0.21</f>
        <v>0</v>
      </c>
      <c r="J1523" s="140"/>
      <c r="K1523" s="140"/>
      <c r="L1523" s="140"/>
      <c r="M1523" s="59"/>
    </row>
    <row r="1524" spans="2:13" x14ac:dyDescent="0.25">
      <c r="B1524" s="134"/>
      <c r="C1524" s="41"/>
      <c r="D1524" s="136"/>
      <c r="E1524" s="137"/>
      <c r="F1524" s="138"/>
      <c r="G1524" s="1" t="str">
        <f>IFERROR(IF(ventas_b_mes1255[[#This Row],[CUIT]]="","-",VLOOKUP(ventas_b_mes1255[[#This Row],[CUIT]],Lista_CUIT[#All],2,0)),"CUIT NO CARGADO")</f>
        <v>-</v>
      </c>
      <c r="H1524" s="99">
        <f>ventas_b_mes1255[[#This Row],[TOTAL]]/1.21</f>
        <v>0</v>
      </c>
      <c r="I1524" s="64">
        <f>ventas_b_mes1255[[#This Row],[IMPORTE NETO]]*0.21</f>
        <v>0</v>
      </c>
      <c r="J1524" s="140"/>
      <c r="K1524" s="140"/>
      <c r="L1524" s="140"/>
      <c r="M1524" s="59"/>
    </row>
    <row r="1525" spans="2:13" x14ac:dyDescent="0.25">
      <c r="B1525" s="134"/>
      <c r="C1525" s="41"/>
      <c r="D1525" s="136"/>
      <c r="E1525" s="137"/>
      <c r="F1525" s="138"/>
      <c r="G1525" s="1" t="str">
        <f>IFERROR(IF(ventas_b_mes1255[[#This Row],[CUIT]]="","-",VLOOKUP(ventas_b_mes1255[[#This Row],[CUIT]],Lista_CUIT[#All],2,0)),"CUIT NO CARGADO")</f>
        <v>-</v>
      </c>
      <c r="H1525" s="99">
        <f>ventas_b_mes1255[[#This Row],[TOTAL]]/1.21</f>
        <v>0</v>
      </c>
      <c r="I1525" s="64">
        <f>ventas_b_mes1255[[#This Row],[IMPORTE NETO]]*0.21</f>
        <v>0</v>
      </c>
      <c r="J1525" s="140"/>
      <c r="K1525" s="140"/>
      <c r="L1525" s="140"/>
      <c r="M1525" s="59"/>
    </row>
    <row r="1526" spans="2:13" x14ac:dyDescent="0.25">
      <c r="B1526" s="134"/>
      <c r="C1526" s="41"/>
      <c r="D1526" s="136"/>
      <c r="E1526" s="137"/>
      <c r="F1526" s="138"/>
      <c r="G1526" s="1" t="str">
        <f>IFERROR(IF(ventas_b_mes1255[[#This Row],[CUIT]]="","-",VLOOKUP(ventas_b_mes1255[[#This Row],[CUIT]],Lista_CUIT[#All],2,0)),"CUIT NO CARGADO")</f>
        <v>-</v>
      </c>
      <c r="H1526" s="99">
        <f>ventas_b_mes1255[[#This Row],[TOTAL]]/1.21</f>
        <v>0</v>
      </c>
      <c r="I1526" s="64">
        <f>ventas_b_mes1255[[#This Row],[IMPORTE NETO]]*0.21</f>
        <v>0</v>
      </c>
      <c r="J1526" s="140"/>
      <c r="K1526" s="140"/>
      <c r="L1526" s="140"/>
      <c r="M1526" s="59"/>
    </row>
    <row r="1527" spans="2:13" x14ac:dyDescent="0.25">
      <c r="B1527" s="134"/>
      <c r="C1527" s="41"/>
      <c r="D1527" s="136"/>
      <c r="E1527" s="137"/>
      <c r="F1527" s="138"/>
      <c r="G1527" s="1" t="str">
        <f>IFERROR(IF(ventas_b_mes1255[[#This Row],[CUIT]]="","-",VLOOKUP(ventas_b_mes1255[[#This Row],[CUIT]],Lista_CUIT[#All],2,0)),"CUIT NO CARGADO")</f>
        <v>-</v>
      </c>
      <c r="H1527" s="99">
        <f>ventas_b_mes1255[[#This Row],[TOTAL]]/1.21</f>
        <v>0</v>
      </c>
      <c r="I1527" s="64">
        <f>ventas_b_mes1255[[#This Row],[IMPORTE NETO]]*0.21</f>
        <v>0</v>
      </c>
      <c r="J1527" s="140"/>
      <c r="K1527" s="140"/>
      <c r="L1527" s="140"/>
      <c r="M1527" s="59"/>
    </row>
    <row r="1528" spans="2:13" x14ac:dyDescent="0.25">
      <c r="B1528" s="134"/>
      <c r="C1528" s="41"/>
      <c r="D1528" s="136"/>
      <c r="E1528" s="137"/>
      <c r="F1528" s="138"/>
      <c r="G1528" s="1" t="str">
        <f>IFERROR(IF(ventas_b_mes1255[[#This Row],[CUIT]]="","-",VLOOKUP(ventas_b_mes1255[[#This Row],[CUIT]],Lista_CUIT[#All],2,0)),"CUIT NO CARGADO")</f>
        <v>-</v>
      </c>
      <c r="H1528" s="99">
        <f>ventas_b_mes1255[[#This Row],[TOTAL]]/1.21</f>
        <v>0</v>
      </c>
      <c r="I1528" s="64">
        <f>ventas_b_mes1255[[#This Row],[IMPORTE NETO]]*0.21</f>
        <v>0</v>
      </c>
      <c r="J1528" s="140"/>
      <c r="K1528" s="140"/>
      <c r="L1528" s="140"/>
      <c r="M1528" s="59"/>
    </row>
    <row r="1529" spans="2:13" x14ac:dyDescent="0.25">
      <c r="B1529" s="134"/>
      <c r="C1529" s="41"/>
      <c r="D1529" s="136"/>
      <c r="E1529" s="137"/>
      <c r="F1529" s="138"/>
      <c r="G1529" s="1" t="str">
        <f>IFERROR(IF(ventas_b_mes1255[[#This Row],[CUIT]]="","-",VLOOKUP(ventas_b_mes1255[[#This Row],[CUIT]],Lista_CUIT[#All],2,0)),"CUIT NO CARGADO")</f>
        <v>-</v>
      </c>
      <c r="H1529" s="99">
        <f>ventas_b_mes1255[[#This Row],[TOTAL]]/1.21</f>
        <v>0</v>
      </c>
      <c r="I1529" s="64">
        <f>ventas_b_mes1255[[#This Row],[IMPORTE NETO]]*0.21</f>
        <v>0</v>
      </c>
      <c r="J1529" s="140"/>
      <c r="K1529" s="140"/>
      <c r="L1529" s="140"/>
      <c r="M1529" s="59"/>
    </row>
    <row r="1530" spans="2:13" x14ac:dyDescent="0.25">
      <c r="B1530" s="134"/>
      <c r="C1530" s="41"/>
      <c r="D1530" s="136"/>
      <c r="E1530" s="137"/>
      <c r="F1530" s="138"/>
      <c r="G1530" s="1" t="str">
        <f>IFERROR(IF(ventas_b_mes1255[[#This Row],[CUIT]]="","-",VLOOKUP(ventas_b_mes1255[[#This Row],[CUIT]],Lista_CUIT[#All],2,0)),"CUIT NO CARGADO")</f>
        <v>-</v>
      </c>
      <c r="H1530" s="99">
        <f>ventas_b_mes1255[[#This Row],[TOTAL]]/1.21</f>
        <v>0</v>
      </c>
      <c r="I1530" s="64">
        <f>ventas_b_mes1255[[#This Row],[IMPORTE NETO]]*0.21</f>
        <v>0</v>
      </c>
      <c r="J1530" s="140"/>
      <c r="K1530" s="140"/>
      <c r="L1530" s="140"/>
      <c r="M1530" s="59"/>
    </row>
    <row r="1531" spans="2:13" x14ac:dyDescent="0.25">
      <c r="B1531" s="134"/>
      <c r="C1531" s="41"/>
      <c r="D1531" s="136"/>
      <c r="E1531" s="137"/>
      <c r="F1531" s="138"/>
      <c r="G1531" s="1" t="str">
        <f>IFERROR(IF(ventas_b_mes1255[[#This Row],[CUIT]]="","-",VLOOKUP(ventas_b_mes1255[[#This Row],[CUIT]],Lista_CUIT[#All],2,0)),"CUIT NO CARGADO")</f>
        <v>-</v>
      </c>
      <c r="H1531" s="99">
        <f>ventas_b_mes1255[[#This Row],[TOTAL]]/1.21</f>
        <v>0</v>
      </c>
      <c r="I1531" s="64">
        <f>ventas_b_mes1255[[#This Row],[IMPORTE NETO]]*0.21</f>
        <v>0</v>
      </c>
      <c r="J1531" s="140"/>
      <c r="K1531" s="140"/>
      <c r="L1531" s="140"/>
      <c r="M1531" s="59"/>
    </row>
    <row r="1532" spans="2:13" x14ac:dyDescent="0.25">
      <c r="B1532" s="134"/>
      <c r="C1532" s="41"/>
      <c r="D1532" s="136"/>
      <c r="E1532" s="137"/>
      <c r="F1532" s="138"/>
      <c r="G1532" s="1" t="str">
        <f>IFERROR(IF(ventas_b_mes1255[[#This Row],[CUIT]]="","-",VLOOKUP(ventas_b_mes1255[[#This Row],[CUIT]],Lista_CUIT[#All],2,0)),"CUIT NO CARGADO")</f>
        <v>-</v>
      </c>
      <c r="H1532" s="99">
        <f>ventas_b_mes1255[[#This Row],[TOTAL]]/1.21</f>
        <v>0</v>
      </c>
      <c r="I1532" s="64">
        <f>ventas_b_mes1255[[#This Row],[IMPORTE NETO]]*0.21</f>
        <v>0</v>
      </c>
      <c r="J1532" s="140"/>
      <c r="K1532" s="140"/>
      <c r="L1532" s="140"/>
      <c r="M1532" s="59"/>
    </row>
    <row r="1533" spans="2:13" x14ac:dyDescent="0.25">
      <c r="B1533" s="134"/>
      <c r="C1533" s="41"/>
      <c r="D1533" s="136"/>
      <c r="E1533" s="137"/>
      <c r="F1533" s="138"/>
      <c r="G1533" s="1" t="str">
        <f>IFERROR(IF(ventas_b_mes1255[[#This Row],[CUIT]]="","-",VLOOKUP(ventas_b_mes1255[[#This Row],[CUIT]],Lista_CUIT[#All],2,0)),"CUIT NO CARGADO")</f>
        <v>-</v>
      </c>
      <c r="H1533" s="99">
        <f>ventas_b_mes1255[[#This Row],[TOTAL]]/1.21</f>
        <v>0</v>
      </c>
      <c r="I1533" s="64">
        <f>ventas_b_mes1255[[#This Row],[IMPORTE NETO]]*0.21</f>
        <v>0</v>
      </c>
      <c r="J1533" s="140"/>
      <c r="K1533" s="140"/>
      <c r="L1533" s="140"/>
      <c r="M1533" s="59"/>
    </row>
    <row r="1534" spans="2:13" x14ac:dyDescent="0.25">
      <c r="B1534" s="134"/>
      <c r="C1534" s="41"/>
      <c r="D1534" s="136"/>
      <c r="E1534" s="137"/>
      <c r="F1534" s="138"/>
      <c r="G1534" s="1" t="str">
        <f>IFERROR(IF(ventas_b_mes1255[[#This Row],[CUIT]]="","-",VLOOKUP(ventas_b_mes1255[[#This Row],[CUIT]],Lista_CUIT[#All],2,0)),"CUIT NO CARGADO")</f>
        <v>-</v>
      </c>
      <c r="H1534" s="99">
        <f>ventas_b_mes1255[[#This Row],[TOTAL]]/1.21</f>
        <v>0</v>
      </c>
      <c r="I1534" s="64">
        <f>ventas_b_mes1255[[#This Row],[IMPORTE NETO]]*0.21</f>
        <v>0</v>
      </c>
      <c r="J1534" s="140"/>
      <c r="K1534" s="140"/>
      <c r="L1534" s="140"/>
      <c r="M1534" s="59"/>
    </row>
    <row r="1535" spans="2:13" x14ac:dyDescent="0.25">
      <c r="B1535" s="134"/>
      <c r="C1535" s="41"/>
      <c r="D1535" s="136"/>
      <c r="E1535" s="137"/>
      <c r="F1535" s="138"/>
      <c r="G1535" s="1" t="str">
        <f>IFERROR(IF(ventas_b_mes1255[[#This Row],[CUIT]]="","-",VLOOKUP(ventas_b_mes1255[[#This Row],[CUIT]],Lista_CUIT[#All],2,0)),"CUIT NO CARGADO")</f>
        <v>-</v>
      </c>
      <c r="H1535" s="99">
        <f>ventas_b_mes1255[[#This Row],[TOTAL]]/1.21</f>
        <v>0</v>
      </c>
      <c r="I1535" s="64">
        <f>ventas_b_mes1255[[#This Row],[IMPORTE NETO]]*0.21</f>
        <v>0</v>
      </c>
      <c r="J1535" s="140"/>
      <c r="K1535" s="140"/>
      <c r="L1535" s="140"/>
      <c r="M1535" s="59"/>
    </row>
    <row r="1536" spans="2:13" x14ac:dyDescent="0.25">
      <c r="B1536" s="134"/>
      <c r="C1536" s="41"/>
      <c r="D1536" s="136"/>
      <c r="E1536" s="137"/>
      <c r="F1536" s="138"/>
      <c r="G1536" s="1" t="str">
        <f>IFERROR(IF(ventas_b_mes1255[[#This Row],[CUIT]]="","-",VLOOKUP(ventas_b_mes1255[[#This Row],[CUIT]],Lista_CUIT[#All],2,0)),"CUIT NO CARGADO")</f>
        <v>-</v>
      </c>
      <c r="H1536" s="99">
        <f>ventas_b_mes1255[[#This Row],[TOTAL]]/1.21</f>
        <v>0</v>
      </c>
      <c r="I1536" s="64">
        <f>ventas_b_mes1255[[#This Row],[IMPORTE NETO]]*0.21</f>
        <v>0</v>
      </c>
      <c r="J1536" s="140"/>
      <c r="K1536" s="140"/>
      <c r="L1536" s="140"/>
      <c r="M1536" s="59"/>
    </row>
    <row r="1537" spans="2:13" x14ac:dyDescent="0.25">
      <c r="B1537" s="134"/>
      <c r="C1537" s="41"/>
      <c r="D1537" s="136"/>
      <c r="E1537" s="137"/>
      <c r="F1537" s="138"/>
      <c r="G1537" s="1" t="str">
        <f>IFERROR(IF(ventas_b_mes1255[[#This Row],[CUIT]]="","-",VLOOKUP(ventas_b_mes1255[[#This Row],[CUIT]],Lista_CUIT[#All],2,0)),"CUIT NO CARGADO")</f>
        <v>-</v>
      </c>
      <c r="H1537" s="99">
        <f>ventas_b_mes1255[[#This Row],[TOTAL]]/1.21</f>
        <v>0</v>
      </c>
      <c r="I1537" s="64">
        <f>ventas_b_mes1255[[#This Row],[IMPORTE NETO]]*0.21</f>
        <v>0</v>
      </c>
      <c r="J1537" s="140"/>
      <c r="K1537" s="140"/>
      <c r="L1537" s="140"/>
      <c r="M1537" s="59"/>
    </row>
    <row r="1538" spans="2:13" x14ac:dyDescent="0.25">
      <c r="B1538" s="134"/>
      <c r="C1538" s="41"/>
      <c r="D1538" s="136"/>
      <c r="E1538" s="137"/>
      <c r="F1538" s="138"/>
      <c r="G1538" s="1" t="str">
        <f>IFERROR(IF(ventas_b_mes1255[[#This Row],[CUIT]]="","-",VLOOKUP(ventas_b_mes1255[[#This Row],[CUIT]],Lista_CUIT[#All],2,0)),"CUIT NO CARGADO")</f>
        <v>-</v>
      </c>
      <c r="H1538" s="99">
        <f>ventas_b_mes1255[[#This Row],[TOTAL]]/1.21</f>
        <v>0</v>
      </c>
      <c r="I1538" s="64">
        <f>ventas_b_mes1255[[#This Row],[IMPORTE NETO]]*0.21</f>
        <v>0</v>
      </c>
      <c r="J1538" s="140"/>
      <c r="K1538" s="140"/>
      <c r="L1538" s="140"/>
      <c r="M1538" s="59"/>
    </row>
    <row r="1539" spans="2:13" x14ac:dyDescent="0.25">
      <c r="B1539" s="134"/>
      <c r="C1539" s="41"/>
      <c r="D1539" s="136"/>
      <c r="E1539" s="137"/>
      <c r="F1539" s="138"/>
      <c r="G1539" s="1" t="str">
        <f>IFERROR(IF(ventas_b_mes1255[[#This Row],[CUIT]]="","-",VLOOKUP(ventas_b_mes1255[[#This Row],[CUIT]],Lista_CUIT[#All],2,0)),"CUIT NO CARGADO")</f>
        <v>-</v>
      </c>
      <c r="H1539" s="99">
        <f>ventas_b_mes1255[[#This Row],[TOTAL]]/1.21</f>
        <v>0</v>
      </c>
      <c r="I1539" s="64">
        <f>ventas_b_mes1255[[#This Row],[IMPORTE NETO]]*0.21</f>
        <v>0</v>
      </c>
      <c r="J1539" s="140"/>
      <c r="K1539" s="140"/>
      <c r="L1539" s="140"/>
      <c r="M1539" s="59"/>
    </row>
    <row r="1540" spans="2:13" x14ac:dyDescent="0.25">
      <c r="B1540" s="134"/>
      <c r="C1540" s="41"/>
      <c r="D1540" s="136"/>
      <c r="E1540" s="137"/>
      <c r="F1540" s="138"/>
      <c r="G1540" s="1" t="str">
        <f>IFERROR(IF(ventas_b_mes1255[[#This Row],[CUIT]]="","-",VLOOKUP(ventas_b_mes1255[[#This Row],[CUIT]],Lista_CUIT[#All],2,0)),"CUIT NO CARGADO")</f>
        <v>-</v>
      </c>
      <c r="H1540" s="99">
        <f>ventas_b_mes1255[[#This Row],[TOTAL]]/1.21</f>
        <v>0</v>
      </c>
      <c r="I1540" s="64">
        <f>ventas_b_mes1255[[#This Row],[IMPORTE NETO]]*0.21</f>
        <v>0</v>
      </c>
      <c r="J1540" s="140"/>
      <c r="K1540" s="140"/>
      <c r="L1540" s="140"/>
      <c r="M1540" s="59"/>
    </row>
    <row r="1541" spans="2:13" x14ac:dyDescent="0.25">
      <c r="B1541" s="134"/>
      <c r="C1541" s="41"/>
      <c r="D1541" s="136"/>
      <c r="E1541" s="137"/>
      <c r="F1541" s="138"/>
      <c r="G1541" s="1" t="str">
        <f>IFERROR(IF(ventas_b_mes1255[[#This Row],[CUIT]]="","-",VLOOKUP(ventas_b_mes1255[[#This Row],[CUIT]],Lista_CUIT[#All],2,0)),"CUIT NO CARGADO")</f>
        <v>-</v>
      </c>
      <c r="H1541" s="99">
        <f>ventas_b_mes1255[[#This Row],[TOTAL]]/1.21</f>
        <v>0</v>
      </c>
      <c r="I1541" s="64">
        <f>ventas_b_mes1255[[#This Row],[IMPORTE NETO]]*0.21</f>
        <v>0</v>
      </c>
      <c r="J1541" s="140"/>
      <c r="K1541" s="140"/>
      <c r="L1541" s="140"/>
      <c r="M1541" s="59"/>
    </row>
    <row r="1542" spans="2:13" x14ac:dyDescent="0.25">
      <c r="B1542" s="134"/>
      <c r="C1542" s="41"/>
      <c r="D1542" s="136"/>
      <c r="E1542" s="137"/>
      <c r="F1542" s="138"/>
      <c r="G1542" s="1" t="str">
        <f>IFERROR(IF(ventas_b_mes1255[[#This Row],[CUIT]]="","-",VLOOKUP(ventas_b_mes1255[[#This Row],[CUIT]],Lista_CUIT[#All],2,0)),"CUIT NO CARGADO")</f>
        <v>-</v>
      </c>
      <c r="H1542" s="99">
        <f>ventas_b_mes1255[[#This Row],[TOTAL]]/1.21</f>
        <v>0</v>
      </c>
      <c r="I1542" s="64">
        <f>ventas_b_mes1255[[#This Row],[IMPORTE NETO]]*0.21</f>
        <v>0</v>
      </c>
      <c r="J1542" s="140"/>
      <c r="K1542" s="140"/>
      <c r="L1542" s="140"/>
      <c r="M1542" s="59"/>
    </row>
    <row r="1543" spans="2:13" x14ac:dyDescent="0.25">
      <c r="B1543" s="134"/>
      <c r="C1543" s="41"/>
      <c r="D1543" s="136"/>
      <c r="E1543" s="137"/>
      <c r="F1543" s="138"/>
      <c r="G1543" s="1" t="str">
        <f>IFERROR(IF(ventas_b_mes1255[[#This Row],[CUIT]]="","-",VLOOKUP(ventas_b_mes1255[[#This Row],[CUIT]],Lista_CUIT[#All],2,0)),"CUIT NO CARGADO")</f>
        <v>-</v>
      </c>
      <c r="H1543" s="99">
        <f>ventas_b_mes1255[[#This Row],[TOTAL]]/1.21</f>
        <v>0</v>
      </c>
      <c r="I1543" s="64">
        <f>ventas_b_mes1255[[#This Row],[IMPORTE NETO]]*0.21</f>
        <v>0</v>
      </c>
      <c r="J1543" s="140"/>
      <c r="K1543" s="140"/>
      <c r="L1543" s="140"/>
      <c r="M1543" s="59"/>
    </row>
    <row r="1544" spans="2:13" x14ac:dyDescent="0.25">
      <c r="B1544" s="134"/>
      <c r="C1544" s="41"/>
      <c r="D1544" s="136"/>
      <c r="E1544" s="137"/>
      <c r="F1544" s="138"/>
      <c r="G1544" s="1" t="str">
        <f>IFERROR(IF(ventas_b_mes1255[[#This Row],[CUIT]]="","-",VLOOKUP(ventas_b_mes1255[[#This Row],[CUIT]],Lista_CUIT[#All],2,0)),"CUIT NO CARGADO")</f>
        <v>-</v>
      </c>
      <c r="H1544" s="99">
        <f>ventas_b_mes1255[[#This Row],[TOTAL]]/1.21</f>
        <v>0</v>
      </c>
      <c r="I1544" s="64">
        <f>ventas_b_mes1255[[#This Row],[IMPORTE NETO]]*0.21</f>
        <v>0</v>
      </c>
      <c r="J1544" s="140"/>
      <c r="K1544" s="140"/>
      <c r="L1544" s="140"/>
      <c r="M1544" s="59"/>
    </row>
    <row r="1545" spans="2:13" x14ac:dyDescent="0.25">
      <c r="B1545" s="134"/>
      <c r="C1545" s="41"/>
      <c r="D1545" s="136"/>
      <c r="E1545" s="137"/>
      <c r="F1545" s="138"/>
      <c r="G1545" s="1" t="str">
        <f>IFERROR(IF(ventas_b_mes1255[[#This Row],[CUIT]]="","-",VLOOKUP(ventas_b_mes1255[[#This Row],[CUIT]],Lista_CUIT[#All],2,0)),"CUIT NO CARGADO")</f>
        <v>-</v>
      </c>
      <c r="H1545" s="99">
        <f>ventas_b_mes1255[[#This Row],[TOTAL]]/1.21</f>
        <v>0</v>
      </c>
      <c r="I1545" s="64">
        <f>ventas_b_mes1255[[#This Row],[IMPORTE NETO]]*0.21</f>
        <v>0</v>
      </c>
      <c r="J1545" s="140"/>
      <c r="K1545" s="140"/>
      <c r="L1545" s="140"/>
      <c r="M1545" s="59"/>
    </row>
    <row r="1546" spans="2:13" x14ac:dyDescent="0.25">
      <c r="B1546" s="134"/>
      <c r="C1546" s="41"/>
      <c r="D1546" s="136"/>
      <c r="E1546" s="137"/>
      <c r="F1546" s="138"/>
      <c r="G1546" s="1" t="str">
        <f>IFERROR(IF(ventas_b_mes1255[[#This Row],[CUIT]]="","-",VLOOKUP(ventas_b_mes1255[[#This Row],[CUIT]],Lista_CUIT[#All],2,0)),"CUIT NO CARGADO")</f>
        <v>-</v>
      </c>
      <c r="H1546" s="99">
        <f>ventas_b_mes1255[[#This Row],[TOTAL]]/1.21</f>
        <v>0</v>
      </c>
      <c r="I1546" s="64">
        <f>ventas_b_mes1255[[#This Row],[IMPORTE NETO]]*0.21</f>
        <v>0</v>
      </c>
      <c r="J1546" s="140"/>
      <c r="K1546" s="140"/>
      <c r="L1546" s="140"/>
      <c r="M1546" s="59"/>
    </row>
    <row r="1547" spans="2:13" x14ac:dyDescent="0.25">
      <c r="B1547" s="134"/>
      <c r="C1547" s="41"/>
      <c r="D1547" s="136"/>
      <c r="E1547" s="137"/>
      <c r="F1547" s="138"/>
      <c r="G1547" s="1" t="str">
        <f>IFERROR(IF(ventas_b_mes1255[[#This Row],[CUIT]]="","-",VLOOKUP(ventas_b_mes1255[[#This Row],[CUIT]],Lista_CUIT[#All],2,0)),"CUIT NO CARGADO")</f>
        <v>-</v>
      </c>
      <c r="H1547" s="99">
        <f>ventas_b_mes1255[[#This Row],[TOTAL]]/1.21</f>
        <v>0</v>
      </c>
      <c r="I1547" s="64">
        <f>ventas_b_mes1255[[#This Row],[IMPORTE NETO]]*0.21</f>
        <v>0</v>
      </c>
      <c r="J1547" s="140"/>
      <c r="K1547" s="140"/>
      <c r="L1547" s="140"/>
      <c r="M1547" s="59"/>
    </row>
    <row r="1548" spans="2:13" x14ac:dyDescent="0.25">
      <c r="B1548" s="134"/>
      <c r="C1548" s="41"/>
      <c r="D1548" s="136"/>
      <c r="E1548" s="137"/>
      <c r="F1548" s="138"/>
      <c r="G1548" s="1" t="str">
        <f>IFERROR(IF(ventas_b_mes1255[[#This Row],[CUIT]]="","-",VLOOKUP(ventas_b_mes1255[[#This Row],[CUIT]],Lista_CUIT[#All],2,0)),"CUIT NO CARGADO")</f>
        <v>-</v>
      </c>
      <c r="H1548" s="99">
        <f>ventas_b_mes1255[[#This Row],[TOTAL]]/1.21</f>
        <v>0</v>
      </c>
      <c r="I1548" s="64">
        <f>ventas_b_mes1255[[#This Row],[IMPORTE NETO]]*0.21</f>
        <v>0</v>
      </c>
      <c r="J1548" s="140"/>
      <c r="K1548" s="140"/>
      <c r="L1548" s="140"/>
      <c r="M1548" s="59"/>
    </row>
    <row r="1549" spans="2:13" x14ac:dyDescent="0.25">
      <c r="B1549" s="134"/>
      <c r="C1549" s="41"/>
      <c r="D1549" s="136"/>
      <c r="E1549" s="137"/>
      <c r="F1549" s="138"/>
      <c r="G1549" s="1" t="str">
        <f>IFERROR(IF(ventas_b_mes1255[[#This Row],[CUIT]]="","-",VLOOKUP(ventas_b_mes1255[[#This Row],[CUIT]],Lista_CUIT[#All],2,0)),"CUIT NO CARGADO")</f>
        <v>-</v>
      </c>
      <c r="H1549" s="99">
        <f>ventas_b_mes1255[[#This Row],[TOTAL]]/1.21</f>
        <v>0</v>
      </c>
      <c r="I1549" s="64">
        <f>ventas_b_mes1255[[#This Row],[IMPORTE NETO]]*0.21</f>
        <v>0</v>
      </c>
      <c r="J1549" s="140"/>
      <c r="K1549" s="140"/>
      <c r="L1549" s="140"/>
      <c r="M1549" s="59"/>
    </row>
    <row r="1550" spans="2:13" x14ac:dyDescent="0.25">
      <c r="B1550" s="134"/>
      <c r="C1550" s="41"/>
      <c r="D1550" s="136"/>
      <c r="E1550" s="137"/>
      <c r="F1550" s="138"/>
      <c r="G1550" s="1" t="str">
        <f>IFERROR(IF(ventas_b_mes1255[[#This Row],[CUIT]]="","-",VLOOKUP(ventas_b_mes1255[[#This Row],[CUIT]],Lista_CUIT[#All],2,0)),"CUIT NO CARGADO")</f>
        <v>-</v>
      </c>
      <c r="H1550" s="99">
        <f>ventas_b_mes1255[[#This Row],[TOTAL]]/1.21</f>
        <v>0</v>
      </c>
      <c r="I1550" s="64">
        <f>ventas_b_mes1255[[#This Row],[IMPORTE NETO]]*0.21</f>
        <v>0</v>
      </c>
      <c r="J1550" s="140"/>
      <c r="K1550" s="140"/>
      <c r="L1550" s="140"/>
      <c r="M1550" s="59"/>
    </row>
    <row r="1551" spans="2:13" x14ac:dyDescent="0.25">
      <c r="B1551" s="134"/>
      <c r="C1551" s="41"/>
      <c r="D1551" s="136"/>
      <c r="E1551" s="137"/>
      <c r="F1551" s="138"/>
      <c r="G1551" s="1" t="str">
        <f>IFERROR(IF(ventas_b_mes1255[[#This Row],[CUIT]]="","-",VLOOKUP(ventas_b_mes1255[[#This Row],[CUIT]],Lista_CUIT[#All],2,0)),"CUIT NO CARGADO")</f>
        <v>-</v>
      </c>
      <c r="H1551" s="99">
        <f>ventas_b_mes1255[[#This Row],[TOTAL]]/1.21</f>
        <v>0</v>
      </c>
      <c r="I1551" s="64">
        <f>ventas_b_mes1255[[#This Row],[IMPORTE NETO]]*0.21</f>
        <v>0</v>
      </c>
      <c r="J1551" s="140"/>
      <c r="K1551" s="140"/>
      <c r="L1551" s="140"/>
      <c r="M1551" s="59"/>
    </row>
    <row r="1552" spans="2:13" x14ac:dyDescent="0.25">
      <c r="B1552" s="134"/>
      <c r="C1552" s="41"/>
      <c r="D1552" s="136"/>
      <c r="E1552" s="137"/>
      <c r="F1552" s="138"/>
      <c r="G1552" s="1" t="str">
        <f>IFERROR(IF(ventas_b_mes1255[[#This Row],[CUIT]]="","-",VLOOKUP(ventas_b_mes1255[[#This Row],[CUIT]],Lista_CUIT[#All],2,0)),"CUIT NO CARGADO")</f>
        <v>-</v>
      </c>
      <c r="H1552" s="99">
        <f>ventas_b_mes1255[[#This Row],[TOTAL]]/1.21</f>
        <v>0</v>
      </c>
      <c r="I1552" s="64">
        <f>ventas_b_mes1255[[#This Row],[IMPORTE NETO]]*0.21</f>
        <v>0</v>
      </c>
      <c r="J1552" s="140"/>
      <c r="K1552" s="140"/>
      <c r="L1552" s="140"/>
      <c r="M1552" s="59"/>
    </row>
    <row r="1553" spans="2:13" x14ac:dyDescent="0.25">
      <c r="B1553" s="134"/>
      <c r="C1553" s="41"/>
      <c r="D1553" s="136"/>
      <c r="E1553" s="137"/>
      <c r="F1553" s="138"/>
      <c r="G1553" s="1" t="str">
        <f>IFERROR(IF(ventas_b_mes1255[[#This Row],[CUIT]]="","-",VLOOKUP(ventas_b_mes1255[[#This Row],[CUIT]],Lista_CUIT[#All],2,0)),"CUIT NO CARGADO")</f>
        <v>-</v>
      </c>
      <c r="H1553" s="99">
        <f>ventas_b_mes1255[[#This Row],[TOTAL]]/1.21</f>
        <v>0</v>
      </c>
      <c r="I1553" s="64">
        <f>ventas_b_mes1255[[#This Row],[IMPORTE NETO]]*0.21</f>
        <v>0</v>
      </c>
      <c r="J1553" s="140"/>
      <c r="K1553" s="140"/>
      <c r="L1553" s="140"/>
      <c r="M1553" s="59"/>
    </row>
    <row r="1554" spans="2:13" x14ac:dyDescent="0.25">
      <c r="B1554" s="134"/>
      <c r="C1554" s="41"/>
      <c r="D1554" s="136"/>
      <c r="E1554" s="137"/>
      <c r="F1554" s="138"/>
      <c r="G1554" s="1" t="str">
        <f>IFERROR(IF(ventas_b_mes1255[[#This Row],[CUIT]]="","-",VLOOKUP(ventas_b_mes1255[[#This Row],[CUIT]],Lista_CUIT[#All],2,0)),"CUIT NO CARGADO")</f>
        <v>-</v>
      </c>
      <c r="H1554" s="99">
        <f>ventas_b_mes1255[[#This Row],[TOTAL]]/1.21</f>
        <v>0</v>
      </c>
      <c r="I1554" s="64">
        <f>ventas_b_mes1255[[#This Row],[IMPORTE NETO]]*0.21</f>
        <v>0</v>
      </c>
      <c r="J1554" s="140"/>
      <c r="K1554" s="140"/>
      <c r="L1554" s="140"/>
      <c r="M1554" s="59"/>
    </row>
    <row r="1555" spans="2:13" x14ac:dyDescent="0.25">
      <c r="B1555" s="134"/>
      <c r="C1555" s="41"/>
      <c r="D1555" s="136"/>
      <c r="E1555" s="137"/>
      <c r="F1555" s="138"/>
      <c r="G1555" s="1" t="str">
        <f>IFERROR(IF(ventas_b_mes1255[[#This Row],[CUIT]]="","-",VLOOKUP(ventas_b_mes1255[[#This Row],[CUIT]],Lista_CUIT[#All],2,0)),"CUIT NO CARGADO")</f>
        <v>-</v>
      </c>
      <c r="H1555" s="99">
        <f>ventas_b_mes1255[[#This Row],[TOTAL]]/1.21</f>
        <v>0</v>
      </c>
      <c r="I1555" s="64">
        <f>ventas_b_mes1255[[#This Row],[IMPORTE NETO]]*0.21</f>
        <v>0</v>
      </c>
      <c r="J1555" s="140"/>
      <c r="K1555" s="140"/>
      <c r="L1555" s="140"/>
      <c r="M1555" s="59"/>
    </row>
    <row r="1556" spans="2:13" x14ac:dyDescent="0.25">
      <c r="B1556" s="134"/>
      <c r="C1556" s="41"/>
      <c r="D1556" s="136"/>
      <c r="E1556" s="137"/>
      <c r="F1556" s="138"/>
      <c r="G1556" s="1" t="str">
        <f>IFERROR(IF(ventas_b_mes1255[[#This Row],[CUIT]]="","-",VLOOKUP(ventas_b_mes1255[[#This Row],[CUIT]],Lista_CUIT[#All],2,0)),"CUIT NO CARGADO")</f>
        <v>-</v>
      </c>
      <c r="H1556" s="99">
        <f>ventas_b_mes1255[[#This Row],[TOTAL]]/1.21</f>
        <v>0</v>
      </c>
      <c r="I1556" s="64">
        <f>ventas_b_mes1255[[#This Row],[IMPORTE NETO]]*0.21</f>
        <v>0</v>
      </c>
      <c r="J1556" s="140"/>
      <c r="K1556" s="140"/>
      <c r="L1556" s="140"/>
      <c r="M1556" s="59"/>
    </row>
    <row r="1557" spans="2:13" x14ac:dyDescent="0.25">
      <c r="B1557" s="134"/>
      <c r="C1557" s="41"/>
      <c r="D1557" s="136"/>
      <c r="E1557" s="137"/>
      <c r="F1557" s="138"/>
      <c r="G1557" s="1" t="str">
        <f>IFERROR(IF(ventas_b_mes1255[[#This Row],[CUIT]]="","-",VLOOKUP(ventas_b_mes1255[[#This Row],[CUIT]],Lista_CUIT[#All],2,0)),"CUIT NO CARGADO")</f>
        <v>-</v>
      </c>
      <c r="H1557" s="99">
        <f>ventas_b_mes1255[[#This Row],[TOTAL]]/1.21</f>
        <v>0</v>
      </c>
      <c r="I1557" s="64">
        <f>ventas_b_mes1255[[#This Row],[IMPORTE NETO]]*0.21</f>
        <v>0</v>
      </c>
      <c r="J1557" s="140"/>
      <c r="K1557" s="140"/>
      <c r="L1557" s="140"/>
      <c r="M1557" s="59"/>
    </row>
    <row r="1558" spans="2:13" x14ac:dyDescent="0.25">
      <c r="B1558" s="134"/>
      <c r="C1558" s="41"/>
      <c r="D1558" s="136"/>
      <c r="E1558" s="137"/>
      <c r="F1558" s="138"/>
      <c r="G1558" s="1" t="str">
        <f>IFERROR(IF(ventas_b_mes1255[[#This Row],[CUIT]]="","-",VLOOKUP(ventas_b_mes1255[[#This Row],[CUIT]],Lista_CUIT[#All],2,0)),"CUIT NO CARGADO")</f>
        <v>-</v>
      </c>
      <c r="H1558" s="99">
        <f>ventas_b_mes1255[[#This Row],[TOTAL]]/1.21</f>
        <v>0</v>
      </c>
      <c r="I1558" s="64">
        <f>ventas_b_mes1255[[#This Row],[IMPORTE NETO]]*0.21</f>
        <v>0</v>
      </c>
      <c r="J1558" s="140"/>
      <c r="K1558" s="140"/>
      <c r="L1558" s="140"/>
      <c r="M1558" s="59"/>
    </row>
    <row r="1559" spans="2:13" x14ac:dyDescent="0.25">
      <c r="B1559" s="134"/>
      <c r="C1559" s="41"/>
      <c r="D1559" s="136"/>
      <c r="E1559" s="137"/>
      <c r="F1559" s="138"/>
      <c r="G1559" s="1" t="str">
        <f>IFERROR(IF(ventas_b_mes1255[[#This Row],[CUIT]]="","-",VLOOKUP(ventas_b_mes1255[[#This Row],[CUIT]],Lista_CUIT[#All],2,0)),"CUIT NO CARGADO")</f>
        <v>-</v>
      </c>
      <c r="H1559" s="99">
        <f>ventas_b_mes1255[[#This Row],[TOTAL]]/1.21</f>
        <v>0</v>
      </c>
      <c r="I1559" s="64">
        <f>ventas_b_mes1255[[#This Row],[IMPORTE NETO]]*0.21</f>
        <v>0</v>
      </c>
      <c r="J1559" s="140"/>
      <c r="K1559" s="140"/>
      <c r="L1559" s="140"/>
      <c r="M1559" s="59"/>
    </row>
    <row r="1560" spans="2:13" x14ac:dyDescent="0.25">
      <c r="B1560" s="134"/>
      <c r="C1560" s="41"/>
      <c r="D1560" s="136"/>
      <c r="E1560" s="137"/>
      <c r="F1560" s="138"/>
      <c r="G1560" s="1" t="str">
        <f>IFERROR(IF(ventas_b_mes1255[[#This Row],[CUIT]]="","-",VLOOKUP(ventas_b_mes1255[[#This Row],[CUIT]],Lista_CUIT[#All],2,0)),"CUIT NO CARGADO")</f>
        <v>-</v>
      </c>
      <c r="H1560" s="99">
        <f>ventas_b_mes1255[[#This Row],[TOTAL]]/1.21</f>
        <v>0</v>
      </c>
      <c r="I1560" s="64">
        <f>ventas_b_mes1255[[#This Row],[IMPORTE NETO]]*0.21</f>
        <v>0</v>
      </c>
      <c r="J1560" s="140"/>
      <c r="K1560" s="140"/>
      <c r="L1560" s="140"/>
      <c r="M1560" s="59"/>
    </row>
    <row r="1561" spans="2:13" x14ac:dyDescent="0.25">
      <c r="B1561" s="134"/>
      <c r="C1561" s="41"/>
      <c r="D1561" s="136"/>
      <c r="E1561" s="137"/>
      <c r="F1561" s="138"/>
      <c r="G1561" s="1" t="str">
        <f>IFERROR(IF(ventas_b_mes1255[[#This Row],[CUIT]]="","-",VLOOKUP(ventas_b_mes1255[[#This Row],[CUIT]],Lista_CUIT[#All],2,0)),"CUIT NO CARGADO")</f>
        <v>-</v>
      </c>
      <c r="H1561" s="99">
        <f>ventas_b_mes1255[[#This Row],[TOTAL]]/1.21</f>
        <v>0</v>
      </c>
      <c r="I1561" s="64">
        <f>ventas_b_mes1255[[#This Row],[IMPORTE NETO]]*0.21</f>
        <v>0</v>
      </c>
      <c r="J1561" s="140"/>
      <c r="K1561" s="140"/>
      <c r="L1561" s="140"/>
      <c r="M1561" s="59"/>
    </row>
    <row r="1562" spans="2:13" x14ac:dyDescent="0.25">
      <c r="B1562" s="134"/>
      <c r="C1562" s="41"/>
      <c r="D1562" s="136"/>
      <c r="E1562" s="137"/>
      <c r="F1562" s="138"/>
      <c r="G1562" s="1" t="str">
        <f>IFERROR(IF(ventas_b_mes1255[[#This Row],[CUIT]]="","-",VLOOKUP(ventas_b_mes1255[[#This Row],[CUIT]],Lista_CUIT[#All],2,0)),"CUIT NO CARGADO")</f>
        <v>-</v>
      </c>
      <c r="H1562" s="99">
        <f>ventas_b_mes1255[[#This Row],[TOTAL]]/1.21</f>
        <v>0</v>
      </c>
      <c r="I1562" s="64">
        <f>ventas_b_mes1255[[#This Row],[IMPORTE NETO]]*0.21</f>
        <v>0</v>
      </c>
      <c r="J1562" s="140"/>
      <c r="K1562" s="140"/>
      <c r="L1562" s="140"/>
      <c r="M1562" s="59"/>
    </row>
    <row r="1563" spans="2:13" x14ac:dyDescent="0.25">
      <c r="B1563" s="134"/>
      <c r="C1563" s="41"/>
      <c r="D1563" s="136"/>
      <c r="E1563" s="137"/>
      <c r="F1563" s="138"/>
      <c r="G1563" s="1" t="str">
        <f>IFERROR(IF(ventas_b_mes1255[[#This Row],[CUIT]]="","-",VLOOKUP(ventas_b_mes1255[[#This Row],[CUIT]],Lista_CUIT[#All],2,0)),"CUIT NO CARGADO")</f>
        <v>-</v>
      </c>
      <c r="H1563" s="99">
        <f>ventas_b_mes1255[[#This Row],[TOTAL]]/1.21</f>
        <v>0</v>
      </c>
      <c r="I1563" s="64">
        <f>ventas_b_mes1255[[#This Row],[IMPORTE NETO]]*0.21</f>
        <v>0</v>
      </c>
      <c r="J1563" s="140"/>
      <c r="K1563" s="140"/>
      <c r="L1563" s="140"/>
      <c r="M1563" s="59"/>
    </row>
    <row r="1564" spans="2:13" x14ac:dyDescent="0.25">
      <c r="B1564" s="134"/>
      <c r="C1564" s="41"/>
      <c r="D1564" s="136"/>
      <c r="E1564" s="137"/>
      <c r="F1564" s="138"/>
      <c r="G1564" s="1" t="str">
        <f>IFERROR(IF(ventas_b_mes1255[[#This Row],[CUIT]]="","-",VLOOKUP(ventas_b_mes1255[[#This Row],[CUIT]],Lista_CUIT[#All],2,0)),"CUIT NO CARGADO")</f>
        <v>-</v>
      </c>
      <c r="H1564" s="99">
        <f>ventas_b_mes1255[[#This Row],[TOTAL]]/1.21</f>
        <v>0</v>
      </c>
      <c r="I1564" s="64">
        <f>ventas_b_mes1255[[#This Row],[IMPORTE NETO]]*0.21</f>
        <v>0</v>
      </c>
      <c r="J1564" s="140"/>
      <c r="K1564" s="140"/>
      <c r="L1564" s="140"/>
      <c r="M1564" s="59"/>
    </row>
    <row r="1565" spans="2:13" x14ac:dyDescent="0.25">
      <c r="B1565" s="134"/>
      <c r="C1565" s="41"/>
      <c r="D1565" s="136"/>
      <c r="E1565" s="137"/>
      <c r="F1565" s="138"/>
      <c r="G1565" s="1" t="str">
        <f>IFERROR(IF(ventas_b_mes1255[[#This Row],[CUIT]]="","-",VLOOKUP(ventas_b_mes1255[[#This Row],[CUIT]],Lista_CUIT[#All],2,0)),"CUIT NO CARGADO")</f>
        <v>-</v>
      </c>
      <c r="H1565" s="99">
        <f>ventas_b_mes1255[[#This Row],[TOTAL]]/1.21</f>
        <v>0</v>
      </c>
      <c r="I1565" s="64">
        <f>ventas_b_mes1255[[#This Row],[IMPORTE NETO]]*0.21</f>
        <v>0</v>
      </c>
      <c r="J1565" s="140"/>
      <c r="K1565" s="140"/>
      <c r="L1565" s="140"/>
      <c r="M1565" s="59"/>
    </row>
    <row r="1566" spans="2:13" x14ac:dyDescent="0.25">
      <c r="B1566" s="134"/>
      <c r="C1566" s="41"/>
      <c r="D1566" s="136"/>
      <c r="E1566" s="137"/>
      <c r="F1566" s="138"/>
      <c r="G1566" s="1" t="str">
        <f>IFERROR(IF(ventas_b_mes1255[[#This Row],[CUIT]]="","-",VLOOKUP(ventas_b_mes1255[[#This Row],[CUIT]],Lista_CUIT[#All],2,0)),"CUIT NO CARGADO")</f>
        <v>-</v>
      </c>
      <c r="H1566" s="99">
        <f>ventas_b_mes1255[[#This Row],[TOTAL]]/1.21</f>
        <v>0</v>
      </c>
      <c r="I1566" s="64">
        <f>ventas_b_mes1255[[#This Row],[IMPORTE NETO]]*0.21</f>
        <v>0</v>
      </c>
      <c r="J1566" s="140"/>
      <c r="K1566" s="140"/>
      <c r="L1566" s="140"/>
      <c r="M1566" s="59"/>
    </row>
    <row r="1567" spans="2:13" x14ac:dyDescent="0.25">
      <c r="B1567" s="134"/>
      <c r="C1567" s="41"/>
      <c r="D1567" s="136"/>
      <c r="E1567" s="137"/>
      <c r="F1567" s="138"/>
      <c r="G1567" s="1" t="str">
        <f>IFERROR(IF(ventas_b_mes1255[[#This Row],[CUIT]]="","-",VLOOKUP(ventas_b_mes1255[[#This Row],[CUIT]],Lista_CUIT[#All],2,0)),"CUIT NO CARGADO")</f>
        <v>-</v>
      </c>
      <c r="H1567" s="99">
        <f>ventas_b_mes1255[[#This Row],[TOTAL]]/1.21</f>
        <v>0</v>
      </c>
      <c r="I1567" s="64">
        <f>ventas_b_mes1255[[#This Row],[IMPORTE NETO]]*0.21</f>
        <v>0</v>
      </c>
      <c r="J1567" s="140"/>
      <c r="K1567" s="140"/>
      <c r="L1567" s="140"/>
      <c r="M1567" s="59"/>
    </row>
    <row r="1568" spans="2:13" x14ac:dyDescent="0.25">
      <c r="B1568" s="134"/>
      <c r="C1568" s="41"/>
      <c r="D1568" s="136"/>
      <c r="E1568" s="137"/>
      <c r="F1568" s="138"/>
      <c r="G1568" s="1" t="str">
        <f>IFERROR(IF(ventas_b_mes1255[[#This Row],[CUIT]]="","-",VLOOKUP(ventas_b_mes1255[[#This Row],[CUIT]],Lista_CUIT[#All],2,0)),"CUIT NO CARGADO")</f>
        <v>-</v>
      </c>
      <c r="H1568" s="99">
        <f>ventas_b_mes1255[[#This Row],[TOTAL]]/1.21</f>
        <v>0</v>
      </c>
      <c r="I1568" s="64">
        <f>ventas_b_mes1255[[#This Row],[IMPORTE NETO]]*0.21</f>
        <v>0</v>
      </c>
      <c r="J1568" s="140"/>
      <c r="K1568" s="140"/>
      <c r="L1568" s="140"/>
      <c r="M1568" s="59"/>
    </row>
    <row r="1569" spans="2:13" x14ac:dyDescent="0.25">
      <c r="B1569" s="134"/>
      <c r="C1569" s="41"/>
      <c r="D1569" s="136"/>
      <c r="E1569" s="137"/>
      <c r="F1569" s="138"/>
      <c r="G1569" s="1" t="str">
        <f>IFERROR(IF(ventas_b_mes1255[[#This Row],[CUIT]]="","-",VLOOKUP(ventas_b_mes1255[[#This Row],[CUIT]],Lista_CUIT[#All],2,0)),"CUIT NO CARGADO")</f>
        <v>-</v>
      </c>
      <c r="H1569" s="99">
        <f>ventas_b_mes1255[[#This Row],[TOTAL]]/1.21</f>
        <v>0</v>
      </c>
      <c r="I1569" s="64">
        <f>ventas_b_mes1255[[#This Row],[IMPORTE NETO]]*0.21</f>
        <v>0</v>
      </c>
      <c r="J1569" s="140"/>
      <c r="K1569" s="140"/>
      <c r="L1569" s="140"/>
      <c r="M1569" s="59"/>
    </row>
    <row r="1570" spans="2:13" x14ac:dyDescent="0.25">
      <c r="B1570" s="134"/>
      <c r="C1570" s="41"/>
      <c r="D1570" s="136"/>
      <c r="E1570" s="137"/>
      <c r="F1570" s="138"/>
      <c r="G1570" s="1" t="str">
        <f>IFERROR(IF(ventas_b_mes1255[[#This Row],[CUIT]]="","-",VLOOKUP(ventas_b_mes1255[[#This Row],[CUIT]],Lista_CUIT[#All],2,0)),"CUIT NO CARGADO")</f>
        <v>-</v>
      </c>
      <c r="H1570" s="99">
        <f>ventas_b_mes1255[[#This Row],[TOTAL]]/1.21</f>
        <v>0</v>
      </c>
      <c r="I1570" s="64">
        <f>ventas_b_mes1255[[#This Row],[IMPORTE NETO]]*0.21</f>
        <v>0</v>
      </c>
      <c r="J1570" s="140"/>
      <c r="K1570" s="140"/>
      <c r="L1570" s="140"/>
      <c r="M1570" s="59"/>
    </row>
    <row r="1571" spans="2:13" x14ac:dyDescent="0.25">
      <c r="B1571" s="134"/>
      <c r="C1571" s="41"/>
      <c r="D1571" s="136"/>
      <c r="E1571" s="137"/>
      <c r="F1571" s="138"/>
      <c r="G1571" s="1" t="str">
        <f>IFERROR(IF(ventas_b_mes1255[[#This Row],[CUIT]]="","-",VLOOKUP(ventas_b_mes1255[[#This Row],[CUIT]],Lista_CUIT[#All],2,0)),"CUIT NO CARGADO")</f>
        <v>-</v>
      </c>
      <c r="H1571" s="99">
        <f>ventas_b_mes1255[[#This Row],[TOTAL]]/1.21</f>
        <v>0</v>
      </c>
      <c r="I1571" s="64">
        <f>ventas_b_mes1255[[#This Row],[IMPORTE NETO]]*0.21</f>
        <v>0</v>
      </c>
      <c r="J1571" s="140"/>
      <c r="K1571" s="140"/>
      <c r="L1571" s="140"/>
      <c r="M1571" s="59"/>
    </row>
    <row r="1572" spans="2:13" x14ac:dyDescent="0.25">
      <c r="B1572" s="134"/>
      <c r="C1572" s="41"/>
      <c r="D1572" s="136"/>
      <c r="E1572" s="137"/>
      <c r="F1572" s="138"/>
      <c r="G1572" s="1" t="str">
        <f>IFERROR(IF(ventas_b_mes1255[[#This Row],[CUIT]]="","-",VLOOKUP(ventas_b_mes1255[[#This Row],[CUIT]],Lista_CUIT[#All],2,0)),"CUIT NO CARGADO")</f>
        <v>-</v>
      </c>
      <c r="H1572" s="99">
        <f>ventas_b_mes1255[[#This Row],[TOTAL]]/1.21</f>
        <v>0</v>
      </c>
      <c r="I1572" s="64">
        <f>ventas_b_mes1255[[#This Row],[IMPORTE NETO]]*0.21</f>
        <v>0</v>
      </c>
      <c r="J1572" s="140"/>
      <c r="K1572" s="140"/>
      <c r="L1572" s="140"/>
      <c r="M1572" s="59"/>
    </row>
    <row r="1573" spans="2:13" x14ac:dyDescent="0.25">
      <c r="B1573" s="134"/>
      <c r="C1573" s="41"/>
      <c r="D1573" s="136"/>
      <c r="E1573" s="137"/>
      <c r="F1573" s="138"/>
      <c r="G1573" s="1" t="str">
        <f>IFERROR(IF(ventas_b_mes1255[[#This Row],[CUIT]]="","-",VLOOKUP(ventas_b_mes1255[[#This Row],[CUIT]],Lista_CUIT[#All],2,0)),"CUIT NO CARGADO")</f>
        <v>-</v>
      </c>
      <c r="H1573" s="99">
        <f>ventas_b_mes1255[[#This Row],[TOTAL]]/1.21</f>
        <v>0</v>
      </c>
      <c r="I1573" s="64">
        <f>ventas_b_mes1255[[#This Row],[IMPORTE NETO]]*0.21</f>
        <v>0</v>
      </c>
      <c r="J1573" s="140"/>
      <c r="K1573" s="140"/>
      <c r="L1573" s="140"/>
      <c r="M1573" s="59"/>
    </row>
    <row r="1574" spans="2:13" x14ac:dyDescent="0.25">
      <c r="B1574" s="134"/>
      <c r="C1574" s="41"/>
      <c r="D1574" s="136"/>
      <c r="E1574" s="137"/>
      <c r="F1574" s="138"/>
      <c r="G1574" s="1" t="str">
        <f>IFERROR(IF(ventas_b_mes1255[[#This Row],[CUIT]]="","-",VLOOKUP(ventas_b_mes1255[[#This Row],[CUIT]],Lista_CUIT[#All],2,0)),"CUIT NO CARGADO")</f>
        <v>-</v>
      </c>
      <c r="H1574" s="99">
        <f>ventas_b_mes1255[[#This Row],[TOTAL]]/1.21</f>
        <v>0</v>
      </c>
      <c r="I1574" s="64">
        <f>ventas_b_mes1255[[#This Row],[IMPORTE NETO]]*0.21</f>
        <v>0</v>
      </c>
      <c r="J1574" s="140"/>
      <c r="K1574" s="140"/>
      <c r="L1574" s="140"/>
      <c r="M1574" s="59"/>
    </row>
    <row r="1575" spans="2:13" x14ac:dyDescent="0.25">
      <c r="B1575" s="134"/>
      <c r="C1575" s="41"/>
      <c r="D1575" s="136"/>
      <c r="E1575" s="137"/>
      <c r="F1575" s="138"/>
      <c r="G1575" s="1" t="str">
        <f>IFERROR(IF(ventas_b_mes1255[[#This Row],[CUIT]]="","-",VLOOKUP(ventas_b_mes1255[[#This Row],[CUIT]],Lista_CUIT[#All],2,0)),"CUIT NO CARGADO")</f>
        <v>-</v>
      </c>
      <c r="H1575" s="99">
        <f>ventas_b_mes1255[[#This Row],[TOTAL]]/1.21</f>
        <v>0</v>
      </c>
      <c r="I1575" s="64">
        <f>ventas_b_mes1255[[#This Row],[IMPORTE NETO]]*0.21</f>
        <v>0</v>
      </c>
      <c r="J1575" s="140"/>
      <c r="K1575" s="140"/>
      <c r="L1575" s="140"/>
      <c r="M1575" s="59"/>
    </row>
    <row r="1576" spans="2:13" x14ac:dyDescent="0.25">
      <c r="B1576" s="134"/>
      <c r="C1576" s="41"/>
      <c r="D1576" s="136"/>
      <c r="E1576" s="137"/>
      <c r="F1576" s="138"/>
      <c r="G1576" s="1" t="str">
        <f>IFERROR(IF(ventas_b_mes1255[[#This Row],[CUIT]]="","-",VLOOKUP(ventas_b_mes1255[[#This Row],[CUIT]],Lista_CUIT[#All],2,0)),"CUIT NO CARGADO")</f>
        <v>-</v>
      </c>
      <c r="H1576" s="99">
        <f>ventas_b_mes1255[[#This Row],[TOTAL]]/1.21</f>
        <v>0</v>
      </c>
      <c r="I1576" s="64">
        <f>ventas_b_mes1255[[#This Row],[IMPORTE NETO]]*0.21</f>
        <v>0</v>
      </c>
      <c r="J1576" s="140"/>
      <c r="K1576" s="140"/>
      <c r="L1576" s="140"/>
      <c r="M1576" s="59"/>
    </row>
    <row r="1577" spans="2:13" x14ac:dyDescent="0.25">
      <c r="B1577" s="134"/>
      <c r="C1577" s="41"/>
      <c r="D1577" s="136"/>
      <c r="E1577" s="137"/>
      <c r="F1577" s="138"/>
      <c r="G1577" s="1" t="str">
        <f>IFERROR(IF(ventas_b_mes1255[[#This Row],[CUIT]]="","-",VLOOKUP(ventas_b_mes1255[[#This Row],[CUIT]],Lista_CUIT[#All],2,0)),"CUIT NO CARGADO")</f>
        <v>-</v>
      </c>
      <c r="H1577" s="99">
        <f>ventas_b_mes1255[[#This Row],[TOTAL]]/1.21</f>
        <v>0</v>
      </c>
      <c r="I1577" s="64">
        <f>ventas_b_mes1255[[#This Row],[IMPORTE NETO]]*0.21</f>
        <v>0</v>
      </c>
      <c r="J1577" s="140"/>
      <c r="K1577" s="140"/>
      <c r="L1577" s="140"/>
      <c r="M1577" s="59"/>
    </row>
    <row r="1578" spans="2:13" x14ac:dyDescent="0.25">
      <c r="B1578" s="134"/>
      <c r="C1578" s="41"/>
      <c r="D1578" s="136"/>
      <c r="E1578" s="137"/>
      <c r="F1578" s="138"/>
      <c r="G1578" s="1" t="str">
        <f>IFERROR(IF(ventas_b_mes1255[[#This Row],[CUIT]]="","-",VLOOKUP(ventas_b_mes1255[[#This Row],[CUIT]],Lista_CUIT[#All],2,0)),"CUIT NO CARGADO")</f>
        <v>-</v>
      </c>
      <c r="H1578" s="99">
        <f>ventas_b_mes1255[[#This Row],[TOTAL]]/1.21</f>
        <v>0</v>
      </c>
      <c r="I1578" s="64">
        <f>ventas_b_mes1255[[#This Row],[IMPORTE NETO]]*0.21</f>
        <v>0</v>
      </c>
      <c r="J1578" s="140"/>
      <c r="K1578" s="140"/>
      <c r="L1578" s="140"/>
      <c r="M1578" s="59"/>
    </row>
    <row r="1579" spans="2:13" x14ac:dyDescent="0.25">
      <c r="B1579" s="134"/>
      <c r="C1579" s="41"/>
      <c r="D1579" s="136"/>
      <c r="E1579" s="137"/>
      <c r="F1579" s="138"/>
      <c r="G1579" s="1" t="str">
        <f>IFERROR(IF(ventas_b_mes1255[[#This Row],[CUIT]]="","-",VLOOKUP(ventas_b_mes1255[[#This Row],[CUIT]],Lista_CUIT[#All],2,0)),"CUIT NO CARGADO")</f>
        <v>-</v>
      </c>
      <c r="H1579" s="99">
        <f>ventas_b_mes1255[[#This Row],[TOTAL]]/1.21</f>
        <v>0</v>
      </c>
      <c r="I1579" s="64">
        <f>ventas_b_mes1255[[#This Row],[IMPORTE NETO]]*0.21</f>
        <v>0</v>
      </c>
      <c r="J1579" s="140"/>
      <c r="K1579" s="140"/>
      <c r="L1579" s="140"/>
      <c r="M1579" s="59"/>
    </row>
    <row r="1580" spans="2:13" x14ac:dyDescent="0.25">
      <c r="B1580" s="134"/>
      <c r="C1580" s="41"/>
      <c r="D1580" s="136"/>
      <c r="E1580" s="137"/>
      <c r="F1580" s="138"/>
      <c r="G1580" s="1" t="str">
        <f>IFERROR(IF(ventas_b_mes1255[[#This Row],[CUIT]]="","-",VLOOKUP(ventas_b_mes1255[[#This Row],[CUIT]],Lista_CUIT[#All],2,0)),"CUIT NO CARGADO")</f>
        <v>-</v>
      </c>
      <c r="H1580" s="99">
        <f>ventas_b_mes1255[[#This Row],[TOTAL]]/1.21</f>
        <v>0</v>
      </c>
      <c r="I1580" s="64">
        <f>ventas_b_mes1255[[#This Row],[IMPORTE NETO]]*0.21</f>
        <v>0</v>
      </c>
      <c r="J1580" s="140"/>
      <c r="K1580" s="140"/>
      <c r="L1580" s="140"/>
      <c r="M1580" s="59"/>
    </row>
    <row r="1581" spans="2:13" x14ac:dyDescent="0.25">
      <c r="B1581" s="134"/>
      <c r="C1581" s="41"/>
      <c r="D1581" s="136"/>
      <c r="E1581" s="137"/>
      <c r="F1581" s="138"/>
      <c r="G1581" s="1" t="str">
        <f>IFERROR(IF(ventas_b_mes1255[[#This Row],[CUIT]]="","-",VLOOKUP(ventas_b_mes1255[[#This Row],[CUIT]],Lista_CUIT[#All],2,0)),"CUIT NO CARGADO")</f>
        <v>-</v>
      </c>
      <c r="H1581" s="99">
        <f>ventas_b_mes1255[[#This Row],[TOTAL]]/1.21</f>
        <v>0</v>
      </c>
      <c r="I1581" s="64">
        <f>ventas_b_mes1255[[#This Row],[IMPORTE NETO]]*0.21</f>
        <v>0</v>
      </c>
      <c r="J1581" s="140"/>
      <c r="K1581" s="140"/>
      <c r="L1581" s="140"/>
      <c r="M1581" s="59"/>
    </row>
    <row r="1582" spans="2:13" x14ac:dyDescent="0.25">
      <c r="B1582" s="134"/>
      <c r="C1582" s="41"/>
      <c r="D1582" s="136"/>
      <c r="E1582" s="137"/>
      <c r="F1582" s="138"/>
      <c r="G1582" s="1" t="str">
        <f>IFERROR(IF(ventas_b_mes1255[[#This Row],[CUIT]]="","-",VLOOKUP(ventas_b_mes1255[[#This Row],[CUIT]],Lista_CUIT[#All],2,0)),"CUIT NO CARGADO")</f>
        <v>-</v>
      </c>
      <c r="H1582" s="99">
        <f>ventas_b_mes1255[[#This Row],[TOTAL]]/1.21</f>
        <v>0</v>
      </c>
      <c r="I1582" s="64">
        <f>ventas_b_mes1255[[#This Row],[IMPORTE NETO]]*0.21</f>
        <v>0</v>
      </c>
      <c r="J1582" s="140"/>
      <c r="K1582" s="140"/>
      <c r="L1582" s="140"/>
      <c r="M1582" s="59"/>
    </row>
    <row r="1583" spans="2:13" x14ac:dyDescent="0.25">
      <c r="B1583" s="134"/>
      <c r="C1583" s="41"/>
      <c r="D1583" s="136"/>
      <c r="E1583" s="137"/>
      <c r="F1583" s="138"/>
      <c r="G1583" s="1" t="str">
        <f>IFERROR(IF(ventas_b_mes1255[[#This Row],[CUIT]]="","-",VLOOKUP(ventas_b_mes1255[[#This Row],[CUIT]],Lista_CUIT[#All],2,0)),"CUIT NO CARGADO")</f>
        <v>-</v>
      </c>
      <c r="H1583" s="99">
        <f>ventas_b_mes1255[[#This Row],[TOTAL]]/1.21</f>
        <v>0</v>
      </c>
      <c r="I1583" s="64">
        <f>ventas_b_mes1255[[#This Row],[IMPORTE NETO]]*0.21</f>
        <v>0</v>
      </c>
      <c r="J1583" s="140"/>
      <c r="K1583" s="140"/>
      <c r="L1583" s="140"/>
      <c r="M1583" s="59"/>
    </row>
    <row r="1584" spans="2:13" x14ac:dyDescent="0.25">
      <c r="B1584" s="134"/>
      <c r="C1584" s="41"/>
      <c r="D1584" s="136"/>
      <c r="E1584" s="137"/>
      <c r="F1584" s="138"/>
      <c r="G1584" s="1" t="str">
        <f>IFERROR(IF(ventas_b_mes1255[[#This Row],[CUIT]]="","-",VLOOKUP(ventas_b_mes1255[[#This Row],[CUIT]],Lista_CUIT[#All],2,0)),"CUIT NO CARGADO")</f>
        <v>-</v>
      </c>
      <c r="H1584" s="99">
        <f>ventas_b_mes1255[[#This Row],[TOTAL]]/1.21</f>
        <v>0</v>
      </c>
      <c r="I1584" s="64">
        <f>ventas_b_mes1255[[#This Row],[IMPORTE NETO]]*0.21</f>
        <v>0</v>
      </c>
      <c r="J1584" s="140"/>
      <c r="K1584" s="140"/>
      <c r="L1584" s="140"/>
      <c r="M1584" s="59"/>
    </row>
    <row r="1585" spans="2:13" x14ac:dyDescent="0.25">
      <c r="B1585" s="134"/>
      <c r="C1585" s="41"/>
      <c r="D1585" s="136"/>
      <c r="E1585" s="137"/>
      <c r="F1585" s="138"/>
      <c r="G1585" s="1" t="str">
        <f>IFERROR(IF(ventas_b_mes1255[[#This Row],[CUIT]]="","-",VLOOKUP(ventas_b_mes1255[[#This Row],[CUIT]],Lista_CUIT[#All],2,0)),"CUIT NO CARGADO")</f>
        <v>-</v>
      </c>
      <c r="H1585" s="99">
        <f>ventas_b_mes1255[[#This Row],[TOTAL]]/1.21</f>
        <v>0</v>
      </c>
      <c r="I1585" s="64">
        <f>ventas_b_mes1255[[#This Row],[IMPORTE NETO]]*0.21</f>
        <v>0</v>
      </c>
      <c r="J1585" s="140"/>
      <c r="K1585" s="140"/>
      <c r="L1585" s="140"/>
      <c r="M1585" s="59"/>
    </row>
    <row r="1586" spans="2:13" x14ac:dyDescent="0.25">
      <c r="B1586" s="134"/>
      <c r="C1586" s="41"/>
      <c r="D1586" s="136"/>
      <c r="E1586" s="137"/>
      <c r="F1586" s="138"/>
      <c r="G1586" s="1" t="str">
        <f>IFERROR(IF(ventas_b_mes1255[[#This Row],[CUIT]]="","-",VLOOKUP(ventas_b_mes1255[[#This Row],[CUIT]],Lista_CUIT[#All],2,0)),"CUIT NO CARGADO")</f>
        <v>-</v>
      </c>
      <c r="H1586" s="99">
        <f>ventas_b_mes1255[[#This Row],[TOTAL]]/1.21</f>
        <v>0</v>
      </c>
      <c r="I1586" s="64">
        <f>ventas_b_mes1255[[#This Row],[IMPORTE NETO]]*0.21</f>
        <v>0</v>
      </c>
      <c r="J1586" s="140"/>
      <c r="K1586" s="140"/>
      <c r="L1586" s="140"/>
      <c r="M1586" s="59"/>
    </row>
    <row r="1587" spans="2:13" x14ac:dyDescent="0.25">
      <c r="B1587" s="134"/>
      <c r="C1587" s="41"/>
      <c r="D1587" s="136"/>
      <c r="E1587" s="137"/>
      <c r="F1587" s="138"/>
      <c r="G1587" s="1" t="str">
        <f>IFERROR(IF(ventas_b_mes1255[[#This Row],[CUIT]]="","-",VLOOKUP(ventas_b_mes1255[[#This Row],[CUIT]],Lista_CUIT[#All],2,0)),"CUIT NO CARGADO")</f>
        <v>-</v>
      </c>
      <c r="H1587" s="99">
        <f>ventas_b_mes1255[[#This Row],[TOTAL]]/1.21</f>
        <v>0</v>
      </c>
      <c r="I1587" s="64">
        <f>ventas_b_mes1255[[#This Row],[IMPORTE NETO]]*0.21</f>
        <v>0</v>
      </c>
      <c r="J1587" s="140"/>
      <c r="K1587" s="140"/>
      <c r="L1587" s="140"/>
      <c r="M1587" s="59"/>
    </row>
    <row r="1588" spans="2:13" x14ac:dyDescent="0.25">
      <c r="B1588" s="134"/>
      <c r="C1588" s="41"/>
      <c r="D1588" s="136"/>
      <c r="E1588" s="137"/>
      <c r="F1588" s="138"/>
      <c r="G1588" s="1" t="str">
        <f>IFERROR(IF(ventas_b_mes1255[[#This Row],[CUIT]]="","-",VLOOKUP(ventas_b_mes1255[[#This Row],[CUIT]],Lista_CUIT[#All],2,0)),"CUIT NO CARGADO")</f>
        <v>-</v>
      </c>
      <c r="H1588" s="99">
        <f>ventas_b_mes1255[[#This Row],[TOTAL]]/1.21</f>
        <v>0</v>
      </c>
      <c r="I1588" s="64">
        <f>ventas_b_mes1255[[#This Row],[IMPORTE NETO]]*0.21</f>
        <v>0</v>
      </c>
      <c r="J1588" s="140"/>
      <c r="K1588" s="140"/>
      <c r="L1588" s="140"/>
      <c r="M1588" s="59"/>
    </row>
    <row r="1589" spans="2:13" x14ac:dyDescent="0.25">
      <c r="B1589" s="134"/>
      <c r="C1589" s="41"/>
      <c r="D1589" s="136"/>
      <c r="E1589" s="137"/>
      <c r="F1589" s="138"/>
      <c r="G1589" s="1" t="str">
        <f>IFERROR(IF(ventas_b_mes1255[[#This Row],[CUIT]]="","-",VLOOKUP(ventas_b_mes1255[[#This Row],[CUIT]],Lista_CUIT[#All],2,0)),"CUIT NO CARGADO")</f>
        <v>-</v>
      </c>
      <c r="H1589" s="99">
        <f>ventas_b_mes1255[[#This Row],[TOTAL]]/1.21</f>
        <v>0</v>
      </c>
      <c r="I1589" s="64">
        <f>ventas_b_mes1255[[#This Row],[IMPORTE NETO]]*0.21</f>
        <v>0</v>
      </c>
      <c r="J1589" s="140"/>
      <c r="K1589" s="140"/>
      <c r="L1589" s="140"/>
      <c r="M1589" s="59"/>
    </row>
    <row r="1590" spans="2:13" x14ac:dyDescent="0.25">
      <c r="B1590" s="134"/>
      <c r="C1590" s="41"/>
      <c r="D1590" s="136"/>
      <c r="E1590" s="137"/>
      <c r="F1590" s="138"/>
      <c r="G1590" s="1" t="str">
        <f>IFERROR(IF(ventas_b_mes1255[[#This Row],[CUIT]]="","-",VLOOKUP(ventas_b_mes1255[[#This Row],[CUIT]],Lista_CUIT[#All],2,0)),"CUIT NO CARGADO")</f>
        <v>-</v>
      </c>
      <c r="H1590" s="99">
        <f>ventas_b_mes1255[[#This Row],[TOTAL]]/1.21</f>
        <v>0</v>
      </c>
      <c r="I1590" s="64">
        <f>ventas_b_mes1255[[#This Row],[IMPORTE NETO]]*0.21</f>
        <v>0</v>
      </c>
      <c r="J1590" s="140"/>
      <c r="K1590" s="140"/>
      <c r="L1590" s="140"/>
      <c r="M1590" s="59"/>
    </row>
    <row r="1591" spans="2:13" x14ac:dyDescent="0.25">
      <c r="B1591" s="134"/>
      <c r="C1591" s="41"/>
      <c r="D1591" s="136"/>
      <c r="E1591" s="137"/>
      <c r="F1591" s="138"/>
      <c r="G1591" s="1" t="str">
        <f>IFERROR(IF(ventas_b_mes1255[[#This Row],[CUIT]]="","-",VLOOKUP(ventas_b_mes1255[[#This Row],[CUIT]],Lista_CUIT[#All],2,0)),"CUIT NO CARGADO")</f>
        <v>-</v>
      </c>
      <c r="H1591" s="99">
        <f>ventas_b_mes1255[[#This Row],[TOTAL]]/1.21</f>
        <v>0</v>
      </c>
      <c r="I1591" s="64">
        <f>ventas_b_mes1255[[#This Row],[IMPORTE NETO]]*0.21</f>
        <v>0</v>
      </c>
      <c r="J1591" s="140"/>
      <c r="K1591" s="140"/>
      <c r="L1591" s="140"/>
      <c r="M1591" s="59"/>
    </row>
    <row r="1592" spans="2:13" x14ac:dyDescent="0.25">
      <c r="B1592" s="134"/>
      <c r="C1592" s="41"/>
      <c r="D1592" s="136"/>
      <c r="E1592" s="137"/>
      <c r="F1592" s="138"/>
      <c r="G1592" s="1" t="str">
        <f>IFERROR(IF(ventas_b_mes1255[[#This Row],[CUIT]]="","-",VLOOKUP(ventas_b_mes1255[[#This Row],[CUIT]],Lista_CUIT[#All],2,0)),"CUIT NO CARGADO")</f>
        <v>-</v>
      </c>
      <c r="H1592" s="99">
        <f>ventas_b_mes1255[[#This Row],[TOTAL]]/1.21</f>
        <v>0</v>
      </c>
      <c r="I1592" s="64">
        <f>ventas_b_mes1255[[#This Row],[IMPORTE NETO]]*0.21</f>
        <v>0</v>
      </c>
      <c r="J1592" s="140"/>
      <c r="K1592" s="140"/>
      <c r="L1592" s="140"/>
      <c r="M1592" s="59"/>
    </row>
    <row r="1593" spans="2:13" x14ac:dyDescent="0.25">
      <c r="B1593" s="134"/>
      <c r="C1593" s="41"/>
      <c r="D1593" s="136"/>
      <c r="E1593" s="137"/>
      <c r="F1593" s="138"/>
      <c r="G1593" s="1" t="str">
        <f>IFERROR(IF(ventas_b_mes1255[[#This Row],[CUIT]]="","-",VLOOKUP(ventas_b_mes1255[[#This Row],[CUIT]],Lista_CUIT[#All],2,0)),"CUIT NO CARGADO")</f>
        <v>-</v>
      </c>
      <c r="H1593" s="99">
        <f>ventas_b_mes1255[[#This Row],[TOTAL]]/1.21</f>
        <v>0</v>
      </c>
      <c r="I1593" s="64">
        <f>ventas_b_mes1255[[#This Row],[IMPORTE NETO]]*0.21</f>
        <v>0</v>
      </c>
      <c r="J1593" s="140"/>
      <c r="K1593" s="140"/>
      <c r="L1593" s="140"/>
      <c r="M1593" s="59"/>
    </row>
    <row r="1594" spans="2:13" x14ac:dyDescent="0.25">
      <c r="B1594" s="134"/>
      <c r="C1594" s="41"/>
      <c r="D1594" s="136"/>
      <c r="E1594" s="137"/>
      <c r="F1594" s="138"/>
      <c r="G1594" s="1" t="str">
        <f>IFERROR(IF(ventas_b_mes1255[[#This Row],[CUIT]]="","-",VLOOKUP(ventas_b_mes1255[[#This Row],[CUIT]],Lista_CUIT[#All],2,0)),"CUIT NO CARGADO")</f>
        <v>-</v>
      </c>
      <c r="H1594" s="99">
        <f>ventas_b_mes1255[[#This Row],[TOTAL]]/1.21</f>
        <v>0</v>
      </c>
      <c r="I1594" s="64">
        <f>ventas_b_mes1255[[#This Row],[IMPORTE NETO]]*0.21</f>
        <v>0</v>
      </c>
      <c r="J1594" s="140"/>
      <c r="K1594" s="140"/>
      <c r="L1594" s="140"/>
      <c r="M1594" s="59"/>
    </row>
    <row r="1595" spans="2:13" x14ac:dyDescent="0.25">
      <c r="B1595" s="134"/>
      <c r="C1595" s="41"/>
      <c r="D1595" s="136"/>
      <c r="E1595" s="137"/>
      <c r="F1595" s="138"/>
      <c r="G1595" s="1" t="str">
        <f>IFERROR(IF(ventas_b_mes1255[[#This Row],[CUIT]]="","-",VLOOKUP(ventas_b_mes1255[[#This Row],[CUIT]],Lista_CUIT[#All],2,0)),"CUIT NO CARGADO")</f>
        <v>-</v>
      </c>
      <c r="H1595" s="99">
        <f>ventas_b_mes1255[[#This Row],[TOTAL]]/1.21</f>
        <v>0</v>
      </c>
      <c r="I1595" s="64">
        <f>ventas_b_mes1255[[#This Row],[IMPORTE NETO]]*0.21</f>
        <v>0</v>
      </c>
      <c r="J1595" s="140"/>
      <c r="K1595" s="140"/>
      <c r="L1595" s="140"/>
      <c r="M1595" s="59"/>
    </row>
    <row r="1596" spans="2:13" x14ac:dyDescent="0.25">
      <c r="B1596" s="134"/>
      <c r="C1596" s="41"/>
      <c r="D1596" s="136"/>
      <c r="E1596" s="137"/>
      <c r="F1596" s="138"/>
      <c r="G1596" s="1" t="str">
        <f>IFERROR(IF(ventas_b_mes1255[[#This Row],[CUIT]]="","-",VLOOKUP(ventas_b_mes1255[[#This Row],[CUIT]],Lista_CUIT[#All],2,0)),"CUIT NO CARGADO")</f>
        <v>-</v>
      </c>
      <c r="H1596" s="99">
        <f>ventas_b_mes1255[[#This Row],[TOTAL]]/1.21</f>
        <v>0</v>
      </c>
      <c r="I1596" s="64">
        <f>ventas_b_mes1255[[#This Row],[IMPORTE NETO]]*0.21</f>
        <v>0</v>
      </c>
      <c r="J1596" s="140"/>
      <c r="K1596" s="140"/>
      <c r="L1596" s="140"/>
      <c r="M1596" s="59"/>
    </row>
    <row r="1597" spans="2:13" x14ac:dyDescent="0.25">
      <c r="B1597" s="134"/>
      <c r="C1597" s="41"/>
      <c r="D1597" s="136"/>
      <c r="E1597" s="137"/>
      <c r="F1597" s="138"/>
      <c r="G1597" s="1" t="str">
        <f>IFERROR(IF(ventas_b_mes1255[[#This Row],[CUIT]]="","-",VLOOKUP(ventas_b_mes1255[[#This Row],[CUIT]],Lista_CUIT[#All],2,0)),"CUIT NO CARGADO")</f>
        <v>-</v>
      </c>
      <c r="H1597" s="99">
        <f>ventas_b_mes1255[[#This Row],[TOTAL]]/1.21</f>
        <v>0</v>
      </c>
      <c r="I1597" s="64">
        <f>ventas_b_mes1255[[#This Row],[IMPORTE NETO]]*0.21</f>
        <v>0</v>
      </c>
      <c r="J1597" s="140"/>
      <c r="K1597" s="140"/>
      <c r="L1597" s="140"/>
      <c r="M1597" s="59"/>
    </row>
    <row r="1598" spans="2:13" x14ac:dyDescent="0.25">
      <c r="B1598" s="134"/>
      <c r="C1598" s="41"/>
      <c r="D1598" s="136"/>
      <c r="E1598" s="137"/>
      <c r="F1598" s="138"/>
      <c r="G1598" s="1" t="str">
        <f>IFERROR(IF(ventas_b_mes1255[[#This Row],[CUIT]]="","-",VLOOKUP(ventas_b_mes1255[[#This Row],[CUIT]],Lista_CUIT[#All],2,0)),"CUIT NO CARGADO")</f>
        <v>-</v>
      </c>
      <c r="H1598" s="99">
        <f>ventas_b_mes1255[[#This Row],[TOTAL]]/1.21</f>
        <v>0</v>
      </c>
      <c r="I1598" s="64">
        <f>ventas_b_mes1255[[#This Row],[IMPORTE NETO]]*0.21</f>
        <v>0</v>
      </c>
      <c r="J1598" s="140"/>
      <c r="K1598" s="140"/>
      <c r="L1598" s="140"/>
      <c r="M1598" s="59"/>
    </row>
    <row r="1599" spans="2:13" x14ac:dyDescent="0.25">
      <c r="B1599" s="134"/>
      <c r="C1599" s="41"/>
      <c r="D1599" s="136"/>
      <c r="E1599" s="137"/>
      <c r="F1599" s="138"/>
      <c r="G1599" s="1" t="str">
        <f>IFERROR(IF(ventas_b_mes1255[[#This Row],[CUIT]]="","-",VLOOKUP(ventas_b_mes1255[[#This Row],[CUIT]],Lista_CUIT[#All],2,0)),"CUIT NO CARGADO")</f>
        <v>-</v>
      </c>
      <c r="H1599" s="99">
        <f>ventas_b_mes1255[[#This Row],[TOTAL]]/1.21</f>
        <v>0</v>
      </c>
      <c r="I1599" s="64">
        <f>ventas_b_mes1255[[#This Row],[IMPORTE NETO]]*0.21</f>
        <v>0</v>
      </c>
      <c r="J1599" s="140"/>
      <c r="K1599" s="140"/>
      <c r="L1599" s="140"/>
      <c r="M1599" s="59"/>
    </row>
    <row r="1600" spans="2:13" x14ac:dyDescent="0.25">
      <c r="B1600" s="134"/>
      <c r="C1600" s="41"/>
      <c r="D1600" s="136"/>
      <c r="E1600" s="137"/>
      <c r="F1600" s="138"/>
      <c r="G1600" s="1" t="str">
        <f>IFERROR(IF(ventas_b_mes1255[[#This Row],[CUIT]]="","-",VLOOKUP(ventas_b_mes1255[[#This Row],[CUIT]],Lista_CUIT[#All],2,0)),"CUIT NO CARGADO")</f>
        <v>-</v>
      </c>
      <c r="H1600" s="99">
        <f>ventas_b_mes1255[[#This Row],[TOTAL]]/1.21</f>
        <v>0</v>
      </c>
      <c r="I1600" s="64">
        <f>ventas_b_mes1255[[#This Row],[IMPORTE NETO]]*0.21</f>
        <v>0</v>
      </c>
      <c r="J1600" s="140"/>
      <c r="K1600" s="140"/>
      <c r="L1600" s="140"/>
      <c r="M1600" s="59"/>
    </row>
    <row r="1601" spans="2:13" x14ac:dyDescent="0.25">
      <c r="B1601" s="134"/>
      <c r="C1601" s="41"/>
      <c r="D1601" s="136"/>
      <c r="E1601" s="137"/>
      <c r="F1601" s="138"/>
      <c r="G1601" s="1" t="str">
        <f>IFERROR(IF(ventas_b_mes1255[[#This Row],[CUIT]]="","-",VLOOKUP(ventas_b_mes1255[[#This Row],[CUIT]],Lista_CUIT[#All],2,0)),"CUIT NO CARGADO")</f>
        <v>-</v>
      </c>
      <c r="H1601" s="99">
        <f>ventas_b_mes1255[[#This Row],[TOTAL]]/1.21</f>
        <v>0</v>
      </c>
      <c r="I1601" s="64">
        <f>ventas_b_mes1255[[#This Row],[IMPORTE NETO]]*0.21</f>
        <v>0</v>
      </c>
      <c r="J1601" s="140"/>
      <c r="K1601" s="140"/>
      <c r="L1601" s="140"/>
      <c r="M1601" s="59"/>
    </row>
    <row r="1602" spans="2:13" x14ac:dyDescent="0.25">
      <c r="B1602" s="134"/>
      <c r="C1602" s="41"/>
      <c r="D1602" s="136"/>
      <c r="E1602" s="137"/>
      <c r="F1602" s="138"/>
      <c r="G1602" s="1" t="str">
        <f>IFERROR(IF(ventas_b_mes1255[[#This Row],[CUIT]]="","-",VLOOKUP(ventas_b_mes1255[[#This Row],[CUIT]],Lista_CUIT[#All],2,0)),"CUIT NO CARGADO")</f>
        <v>-</v>
      </c>
      <c r="H1602" s="99">
        <f>ventas_b_mes1255[[#This Row],[TOTAL]]/1.21</f>
        <v>0</v>
      </c>
      <c r="I1602" s="64">
        <f>ventas_b_mes1255[[#This Row],[IMPORTE NETO]]*0.21</f>
        <v>0</v>
      </c>
      <c r="J1602" s="140"/>
      <c r="K1602" s="140"/>
      <c r="L1602" s="140"/>
      <c r="M1602" s="59"/>
    </row>
    <row r="1603" spans="2:13" x14ac:dyDescent="0.25">
      <c r="B1603" s="134"/>
      <c r="C1603" s="41"/>
      <c r="D1603" s="136"/>
      <c r="E1603" s="137"/>
      <c r="F1603" s="138"/>
      <c r="G1603" s="1" t="str">
        <f>IFERROR(IF(ventas_b_mes1255[[#This Row],[CUIT]]="","-",VLOOKUP(ventas_b_mes1255[[#This Row],[CUIT]],Lista_CUIT[#All],2,0)),"CUIT NO CARGADO")</f>
        <v>-</v>
      </c>
      <c r="H1603" s="99">
        <f>ventas_b_mes1255[[#This Row],[TOTAL]]/1.21</f>
        <v>0</v>
      </c>
      <c r="I1603" s="64">
        <f>ventas_b_mes1255[[#This Row],[IMPORTE NETO]]*0.21</f>
        <v>0</v>
      </c>
      <c r="J1603" s="140"/>
      <c r="K1603" s="140"/>
      <c r="L1603" s="140"/>
      <c r="M1603" s="59"/>
    </row>
    <row r="1604" spans="2:13" x14ac:dyDescent="0.25">
      <c r="B1604" s="134"/>
      <c r="C1604" s="41"/>
      <c r="D1604" s="136"/>
      <c r="E1604" s="137"/>
      <c r="F1604" s="138"/>
      <c r="G1604" s="1" t="str">
        <f>IFERROR(IF(ventas_b_mes1255[[#This Row],[CUIT]]="","-",VLOOKUP(ventas_b_mes1255[[#This Row],[CUIT]],Lista_CUIT[#All],2,0)),"CUIT NO CARGADO")</f>
        <v>-</v>
      </c>
      <c r="H1604" s="99">
        <f>ventas_b_mes1255[[#This Row],[TOTAL]]/1.21</f>
        <v>0</v>
      </c>
      <c r="I1604" s="64">
        <f>ventas_b_mes1255[[#This Row],[IMPORTE NETO]]*0.21</f>
        <v>0</v>
      </c>
      <c r="J1604" s="140"/>
      <c r="K1604" s="140"/>
      <c r="L1604" s="140"/>
      <c r="M1604" s="59"/>
    </row>
    <row r="1605" spans="2:13" x14ac:dyDescent="0.25">
      <c r="B1605" s="134"/>
      <c r="C1605" s="41"/>
      <c r="D1605" s="136"/>
      <c r="E1605" s="137"/>
      <c r="F1605" s="138"/>
      <c r="G1605" s="1" t="str">
        <f>IFERROR(IF(ventas_b_mes1255[[#This Row],[CUIT]]="","-",VLOOKUP(ventas_b_mes1255[[#This Row],[CUIT]],Lista_CUIT[#All],2,0)),"CUIT NO CARGADO")</f>
        <v>-</v>
      </c>
      <c r="H1605" s="99">
        <f>ventas_b_mes1255[[#This Row],[TOTAL]]/1.21</f>
        <v>0</v>
      </c>
      <c r="I1605" s="64">
        <f>ventas_b_mes1255[[#This Row],[IMPORTE NETO]]*0.21</f>
        <v>0</v>
      </c>
      <c r="J1605" s="140"/>
      <c r="K1605" s="140"/>
      <c r="L1605" s="140"/>
      <c r="M1605" s="59"/>
    </row>
    <row r="1606" spans="2:13" x14ac:dyDescent="0.25">
      <c r="B1606" s="134"/>
      <c r="C1606" s="41"/>
      <c r="D1606" s="136"/>
      <c r="E1606" s="137"/>
      <c r="F1606" s="138"/>
      <c r="G1606" s="1" t="str">
        <f>IFERROR(IF(ventas_b_mes1255[[#This Row],[CUIT]]="","-",VLOOKUP(ventas_b_mes1255[[#This Row],[CUIT]],Lista_CUIT[#All],2,0)),"CUIT NO CARGADO")</f>
        <v>-</v>
      </c>
      <c r="H1606" s="99">
        <f>ventas_b_mes1255[[#This Row],[TOTAL]]/1.21</f>
        <v>0</v>
      </c>
      <c r="I1606" s="64">
        <f>ventas_b_mes1255[[#This Row],[IMPORTE NETO]]*0.21</f>
        <v>0</v>
      </c>
      <c r="J1606" s="140"/>
      <c r="K1606" s="140"/>
      <c r="L1606" s="140"/>
      <c r="M1606" s="59"/>
    </row>
    <row r="1607" spans="2:13" x14ac:dyDescent="0.25">
      <c r="B1607" s="134"/>
      <c r="C1607" s="41"/>
      <c r="D1607" s="136"/>
      <c r="E1607" s="137"/>
      <c r="F1607" s="138"/>
      <c r="G1607" s="1" t="str">
        <f>IFERROR(IF(ventas_b_mes1255[[#This Row],[CUIT]]="","-",VLOOKUP(ventas_b_mes1255[[#This Row],[CUIT]],Lista_CUIT[#All],2,0)),"CUIT NO CARGADO")</f>
        <v>-</v>
      </c>
      <c r="H1607" s="99">
        <f>ventas_b_mes1255[[#This Row],[TOTAL]]/1.21</f>
        <v>0</v>
      </c>
      <c r="I1607" s="64">
        <f>ventas_b_mes1255[[#This Row],[IMPORTE NETO]]*0.21</f>
        <v>0</v>
      </c>
      <c r="J1607" s="140"/>
      <c r="K1607" s="140"/>
      <c r="L1607" s="140"/>
      <c r="M1607" s="59"/>
    </row>
    <row r="1608" spans="2:13" x14ac:dyDescent="0.25">
      <c r="B1608" s="134"/>
      <c r="C1608" s="41"/>
      <c r="D1608" s="136"/>
      <c r="E1608" s="137"/>
      <c r="F1608" s="138"/>
      <c r="G1608" s="1" t="str">
        <f>IFERROR(IF(ventas_b_mes1255[[#This Row],[CUIT]]="","-",VLOOKUP(ventas_b_mes1255[[#This Row],[CUIT]],Lista_CUIT[#All],2,0)),"CUIT NO CARGADO")</f>
        <v>-</v>
      </c>
      <c r="H1608" s="99">
        <f>ventas_b_mes1255[[#This Row],[TOTAL]]/1.21</f>
        <v>0</v>
      </c>
      <c r="I1608" s="64">
        <f>ventas_b_mes1255[[#This Row],[IMPORTE NETO]]*0.21</f>
        <v>0</v>
      </c>
      <c r="J1608" s="140"/>
      <c r="K1608" s="140"/>
      <c r="L1608" s="140"/>
      <c r="M1608" s="59"/>
    </row>
    <row r="1609" spans="2:13" x14ac:dyDescent="0.25">
      <c r="B1609" s="134"/>
      <c r="C1609" s="41"/>
      <c r="D1609" s="136"/>
      <c r="E1609" s="137"/>
      <c r="F1609" s="138"/>
      <c r="G1609" s="1" t="str">
        <f>IFERROR(IF(ventas_b_mes1255[[#This Row],[CUIT]]="","-",VLOOKUP(ventas_b_mes1255[[#This Row],[CUIT]],Lista_CUIT[#All],2,0)),"CUIT NO CARGADO")</f>
        <v>-</v>
      </c>
      <c r="H1609" s="99">
        <f>ventas_b_mes1255[[#This Row],[TOTAL]]/1.21</f>
        <v>0</v>
      </c>
      <c r="I1609" s="64">
        <f>ventas_b_mes1255[[#This Row],[IMPORTE NETO]]*0.21</f>
        <v>0</v>
      </c>
      <c r="J1609" s="140"/>
      <c r="K1609" s="140"/>
      <c r="L1609" s="140"/>
      <c r="M1609" s="59"/>
    </row>
    <row r="1610" spans="2:13" x14ac:dyDescent="0.25">
      <c r="B1610" s="134"/>
      <c r="C1610" s="41"/>
      <c r="D1610" s="136"/>
      <c r="E1610" s="137"/>
      <c r="F1610" s="138"/>
      <c r="G1610" s="1" t="str">
        <f>IFERROR(IF(ventas_b_mes1255[[#This Row],[CUIT]]="","-",VLOOKUP(ventas_b_mes1255[[#This Row],[CUIT]],Lista_CUIT[#All],2,0)),"CUIT NO CARGADO")</f>
        <v>-</v>
      </c>
      <c r="H1610" s="99">
        <f>ventas_b_mes1255[[#This Row],[TOTAL]]/1.21</f>
        <v>0</v>
      </c>
      <c r="I1610" s="64">
        <f>ventas_b_mes1255[[#This Row],[IMPORTE NETO]]*0.21</f>
        <v>0</v>
      </c>
      <c r="J1610" s="140"/>
      <c r="K1610" s="140"/>
      <c r="L1610" s="140"/>
      <c r="M1610" s="59"/>
    </row>
    <row r="1611" spans="2:13" x14ac:dyDescent="0.25">
      <c r="B1611" s="134"/>
      <c r="C1611" s="41"/>
      <c r="D1611" s="136"/>
      <c r="E1611" s="137"/>
      <c r="F1611" s="138"/>
      <c r="G1611" s="1" t="str">
        <f>IFERROR(IF(ventas_b_mes1255[[#This Row],[CUIT]]="","-",VLOOKUP(ventas_b_mes1255[[#This Row],[CUIT]],Lista_CUIT[#All],2,0)),"CUIT NO CARGADO")</f>
        <v>-</v>
      </c>
      <c r="H1611" s="99">
        <f>ventas_b_mes1255[[#This Row],[TOTAL]]/1.21</f>
        <v>0</v>
      </c>
      <c r="I1611" s="64">
        <f>ventas_b_mes1255[[#This Row],[IMPORTE NETO]]*0.21</f>
        <v>0</v>
      </c>
      <c r="J1611" s="140"/>
      <c r="K1611" s="140"/>
      <c r="L1611" s="140"/>
      <c r="M1611" s="59"/>
    </row>
    <row r="1612" spans="2:13" x14ac:dyDescent="0.25">
      <c r="B1612" s="134"/>
      <c r="C1612" s="41"/>
      <c r="D1612" s="136"/>
      <c r="E1612" s="137"/>
      <c r="F1612" s="138"/>
      <c r="G1612" s="1" t="str">
        <f>IFERROR(IF(ventas_b_mes1255[[#This Row],[CUIT]]="","-",VLOOKUP(ventas_b_mes1255[[#This Row],[CUIT]],Lista_CUIT[#All],2,0)),"CUIT NO CARGADO")</f>
        <v>-</v>
      </c>
      <c r="H1612" s="99">
        <f>ventas_b_mes1255[[#This Row],[TOTAL]]/1.21</f>
        <v>0</v>
      </c>
      <c r="I1612" s="64">
        <f>ventas_b_mes1255[[#This Row],[IMPORTE NETO]]*0.21</f>
        <v>0</v>
      </c>
      <c r="J1612" s="140"/>
      <c r="K1612" s="140"/>
      <c r="L1612" s="140"/>
      <c r="M1612" s="59"/>
    </row>
    <row r="1613" spans="2:13" x14ac:dyDescent="0.25">
      <c r="B1613" s="134"/>
      <c r="C1613" s="41"/>
      <c r="D1613" s="136"/>
      <c r="E1613" s="137"/>
      <c r="F1613" s="138"/>
      <c r="G1613" s="1" t="str">
        <f>IFERROR(IF(ventas_b_mes1255[[#This Row],[CUIT]]="","-",VLOOKUP(ventas_b_mes1255[[#This Row],[CUIT]],Lista_CUIT[#All],2,0)),"CUIT NO CARGADO")</f>
        <v>-</v>
      </c>
      <c r="H1613" s="99">
        <f>ventas_b_mes1255[[#This Row],[TOTAL]]/1.21</f>
        <v>0</v>
      </c>
      <c r="I1613" s="64">
        <f>ventas_b_mes1255[[#This Row],[IMPORTE NETO]]*0.21</f>
        <v>0</v>
      </c>
      <c r="J1613" s="140"/>
      <c r="K1613" s="140"/>
      <c r="L1613" s="140"/>
      <c r="M1613" s="59"/>
    </row>
    <row r="1614" spans="2:13" x14ac:dyDescent="0.25">
      <c r="B1614" s="134"/>
      <c r="C1614" s="41"/>
      <c r="D1614" s="136"/>
      <c r="E1614" s="137"/>
      <c r="F1614" s="138"/>
      <c r="G1614" s="1" t="str">
        <f>IFERROR(IF(ventas_b_mes1255[[#This Row],[CUIT]]="","-",VLOOKUP(ventas_b_mes1255[[#This Row],[CUIT]],Lista_CUIT[#All],2,0)),"CUIT NO CARGADO")</f>
        <v>-</v>
      </c>
      <c r="H1614" s="99">
        <f>ventas_b_mes1255[[#This Row],[TOTAL]]/1.21</f>
        <v>0</v>
      </c>
      <c r="I1614" s="64">
        <f>ventas_b_mes1255[[#This Row],[IMPORTE NETO]]*0.21</f>
        <v>0</v>
      </c>
      <c r="J1614" s="140"/>
      <c r="K1614" s="140"/>
      <c r="L1614" s="140"/>
      <c r="M1614" s="59"/>
    </row>
    <row r="1615" spans="2:13" x14ac:dyDescent="0.25">
      <c r="B1615" s="134"/>
      <c r="C1615" s="41"/>
      <c r="D1615" s="136"/>
      <c r="E1615" s="137"/>
      <c r="F1615" s="138"/>
      <c r="G1615" s="1" t="str">
        <f>IFERROR(IF(ventas_b_mes1255[[#This Row],[CUIT]]="","-",VLOOKUP(ventas_b_mes1255[[#This Row],[CUIT]],Lista_CUIT[#All],2,0)),"CUIT NO CARGADO")</f>
        <v>-</v>
      </c>
      <c r="H1615" s="99">
        <f>ventas_b_mes1255[[#This Row],[TOTAL]]/1.21</f>
        <v>0</v>
      </c>
      <c r="I1615" s="64">
        <f>ventas_b_mes1255[[#This Row],[IMPORTE NETO]]*0.21</f>
        <v>0</v>
      </c>
      <c r="J1615" s="140"/>
      <c r="K1615" s="140"/>
      <c r="L1615" s="140"/>
      <c r="M1615" s="59"/>
    </row>
    <row r="1616" spans="2:13" x14ac:dyDescent="0.25">
      <c r="B1616" s="134"/>
      <c r="C1616" s="41"/>
      <c r="D1616" s="136"/>
      <c r="E1616" s="137"/>
      <c r="F1616" s="138"/>
      <c r="G1616" s="1" t="str">
        <f>IFERROR(IF(ventas_b_mes1255[[#This Row],[CUIT]]="","-",VLOOKUP(ventas_b_mes1255[[#This Row],[CUIT]],Lista_CUIT[#All],2,0)),"CUIT NO CARGADO")</f>
        <v>-</v>
      </c>
      <c r="H1616" s="99">
        <f>ventas_b_mes1255[[#This Row],[TOTAL]]/1.21</f>
        <v>0</v>
      </c>
      <c r="I1616" s="64">
        <f>ventas_b_mes1255[[#This Row],[IMPORTE NETO]]*0.21</f>
        <v>0</v>
      </c>
      <c r="J1616" s="140"/>
      <c r="K1616" s="140"/>
      <c r="L1616" s="140"/>
      <c r="M1616" s="59"/>
    </row>
    <row r="1617" spans="2:13" x14ac:dyDescent="0.25">
      <c r="B1617" s="134"/>
      <c r="C1617" s="41"/>
      <c r="D1617" s="136"/>
      <c r="E1617" s="137"/>
      <c r="F1617" s="138"/>
      <c r="G1617" s="1" t="str">
        <f>IFERROR(IF(ventas_b_mes1255[[#This Row],[CUIT]]="","-",VLOOKUP(ventas_b_mes1255[[#This Row],[CUIT]],Lista_CUIT[#All],2,0)),"CUIT NO CARGADO")</f>
        <v>-</v>
      </c>
      <c r="H1617" s="99">
        <f>ventas_b_mes1255[[#This Row],[TOTAL]]/1.21</f>
        <v>0</v>
      </c>
      <c r="I1617" s="64">
        <f>ventas_b_mes1255[[#This Row],[IMPORTE NETO]]*0.21</f>
        <v>0</v>
      </c>
      <c r="J1617" s="140"/>
      <c r="K1617" s="140"/>
      <c r="L1617" s="140"/>
      <c r="M1617" s="59"/>
    </row>
    <row r="1618" spans="2:13" x14ac:dyDescent="0.25">
      <c r="B1618" s="134"/>
      <c r="C1618" s="41"/>
      <c r="D1618" s="136"/>
      <c r="E1618" s="137"/>
      <c r="F1618" s="138"/>
      <c r="G1618" s="1" t="str">
        <f>IFERROR(IF(ventas_b_mes1255[[#This Row],[CUIT]]="","-",VLOOKUP(ventas_b_mes1255[[#This Row],[CUIT]],Lista_CUIT[#All],2,0)),"CUIT NO CARGADO")</f>
        <v>-</v>
      </c>
      <c r="H1618" s="99">
        <f>ventas_b_mes1255[[#This Row],[TOTAL]]/1.21</f>
        <v>0</v>
      </c>
      <c r="I1618" s="64">
        <f>ventas_b_mes1255[[#This Row],[IMPORTE NETO]]*0.21</f>
        <v>0</v>
      </c>
      <c r="J1618" s="140"/>
      <c r="K1618" s="140"/>
      <c r="L1618" s="140"/>
      <c r="M1618" s="59"/>
    </row>
    <row r="1619" spans="2:13" x14ac:dyDescent="0.25">
      <c r="B1619" s="134"/>
      <c r="C1619" s="41"/>
      <c r="D1619" s="136"/>
      <c r="E1619" s="137"/>
      <c r="F1619" s="138"/>
      <c r="G1619" s="1" t="str">
        <f>IFERROR(IF(ventas_b_mes1255[[#This Row],[CUIT]]="","-",VLOOKUP(ventas_b_mes1255[[#This Row],[CUIT]],Lista_CUIT[#All],2,0)),"CUIT NO CARGADO")</f>
        <v>-</v>
      </c>
      <c r="H1619" s="99">
        <f>ventas_b_mes1255[[#This Row],[TOTAL]]/1.21</f>
        <v>0</v>
      </c>
      <c r="I1619" s="64">
        <f>ventas_b_mes1255[[#This Row],[IMPORTE NETO]]*0.21</f>
        <v>0</v>
      </c>
      <c r="J1619" s="140"/>
      <c r="K1619" s="140"/>
      <c r="L1619" s="140"/>
      <c r="M1619" s="59"/>
    </row>
    <row r="1620" spans="2:13" x14ac:dyDescent="0.25">
      <c r="B1620" s="134"/>
      <c r="C1620" s="41"/>
      <c r="D1620" s="136"/>
      <c r="E1620" s="137"/>
      <c r="F1620" s="138"/>
      <c r="G1620" s="1" t="str">
        <f>IFERROR(IF(ventas_b_mes1255[[#This Row],[CUIT]]="","-",VLOOKUP(ventas_b_mes1255[[#This Row],[CUIT]],Lista_CUIT[#All],2,0)),"CUIT NO CARGADO")</f>
        <v>-</v>
      </c>
      <c r="H1620" s="99">
        <f>ventas_b_mes1255[[#This Row],[TOTAL]]/1.21</f>
        <v>0</v>
      </c>
      <c r="I1620" s="64">
        <f>ventas_b_mes1255[[#This Row],[IMPORTE NETO]]*0.21</f>
        <v>0</v>
      </c>
      <c r="J1620" s="140"/>
      <c r="K1620" s="140"/>
      <c r="L1620" s="140"/>
      <c r="M1620" s="59"/>
    </row>
    <row r="1621" spans="2:13" x14ac:dyDescent="0.25">
      <c r="B1621" s="134"/>
      <c r="C1621" s="41"/>
      <c r="D1621" s="136"/>
      <c r="E1621" s="137"/>
      <c r="F1621" s="138"/>
      <c r="G1621" s="1" t="str">
        <f>IFERROR(IF(ventas_b_mes1255[[#This Row],[CUIT]]="","-",VLOOKUP(ventas_b_mes1255[[#This Row],[CUIT]],Lista_CUIT[#All],2,0)),"CUIT NO CARGADO")</f>
        <v>-</v>
      </c>
      <c r="H1621" s="99">
        <f>ventas_b_mes1255[[#This Row],[TOTAL]]/1.21</f>
        <v>0</v>
      </c>
      <c r="I1621" s="64">
        <f>ventas_b_mes1255[[#This Row],[IMPORTE NETO]]*0.21</f>
        <v>0</v>
      </c>
      <c r="J1621" s="140"/>
      <c r="K1621" s="140"/>
      <c r="L1621" s="140"/>
      <c r="M1621" s="59"/>
    </row>
    <row r="1622" spans="2:13" x14ac:dyDescent="0.25">
      <c r="B1622" s="134"/>
      <c r="C1622" s="41"/>
      <c r="D1622" s="136"/>
      <c r="E1622" s="137"/>
      <c r="F1622" s="138"/>
      <c r="G1622" s="1" t="str">
        <f>IFERROR(IF(ventas_b_mes1255[[#This Row],[CUIT]]="","-",VLOOKUP(ventas_b_mes1255[[#This Row],[CUIT]],Lista_CUIT[#All],2,0)),"CUIT NO CARGADO")</f>
        <v>-</v>
      </c>
      <c r="H1622" s="99">
        <f>ventas_b_mes1255[[#This Row],[TOTAL]]/1.21</f>
        <v>0</v>
      </c>
      <c r="I1622" s="64">
        <f>ventas_b_mes1255[[#This Row],[IMPORTE NETO]]*0.21</f>
        <v>0</v>
      </c>
      <c r="J1622" s="140"/>
      <c r="K1622" s="140"/>
      <c r="L1622" s="140"/>
      <c r="M1622" s="59"/>
    </row>
    <row r="1623" spans="2:13" x14ac:dyDescent="0.25">
      <c r="B1623" s="134"/>
      <c r="C1623" s="41"/>
      <c r="D1623" s="136"/>
      <c r="E1623" s="137"/>
      <c r="F1623" s="138"/>
      <c r="G1623" s="1" t="str">
        <f>IFERROR(IF(ventas_b_mes1255[[#This Row],[CUIT]]="","-",VLOOKUP(ventas_b_mes1255[[#This Row],[CUIT]],Lista_CUIT[#All],2,0)),"CUIT NO CARGADO")</f>
        <v>-</v>
      </c>
      <c r="H1623" s="99">
        <f>ventas_b_mes1255[[#This Row],[TOTAL]]/1.21</f>
        <v>0</v>
      </c>
      <c r="I1623" s="64">
        <f>ventas_b_mes1255[[#This Row],[IMPORTE NETO]]*0.21</f>
        <v>0</v>
      </c>
      <c r="J1623" s="140"/>
      <c r="K1623" s="140"/>
      <c r="L1623" s="140"/>
      <c r="M1623" s="59"/>
    </row>
    <row r="1624" spans="2:13" x14ac:dyDescent="0.25">
      <c r="B1624" s="134"/>
      <c r="C1624" s="41"/>
      <c r="D1624" s="136"/>
      <c r="E1624" s="137"/>
      <c r="F1624" s="138"/>
      <c r="G1624" s="1" t="str">
        <f>IFERROR(IF(ventas_b_mes1255[[#This Row],[CUIT]]="","-",VLOOKUP(ventas_b_mes1255[[#This Row],[CUIT]],Lista_CUIT[#All],2,0)),"CUIT NO CARGADO")</f>
        <v>-</v>
      </c>
      <c r="H1624" s="99">
        <f>ventas_b_mes1255[[#This Row],[TOTAL]]/1.21</f>
        <v>0</v>
      </c>
      <c r="I1624" s="64">
        <f>ventas_b_mes1255[[#This Row],[IMPORTE NETO]]*0.21</f>
        <v>0</v>
      </c>
      <c r="J1624" s="140"/>
      <c r="K1624" s="140"/>
      <c r="L1624" s="140"/>
      <c r="M1624" s="59"/>
    </row>
    <row r="1625" spans="2:13" x14ac:dyDescent="0.25">
      <c r="B1625" s="134"/>
      <c r="C1625" s="41"/>
      <c r="D1625" s="136"/>
      <c r="E1625" s="137"/>
      <c r="F1625" s="138"/>
      <c r="G1625" s="1" t="str">
        <f>IFERROR(IF(ventas_b_mes1255[[#This Row],[CUIT]]="","-",VLOOKUP(ventas_b_mes1255[[#This Row],[CUIT]],Lista_CUIT[#All],2,0)),"CUIT NO CARGADO")</f>
        <v>-</v>
      </c>
      <c r="H1625" s="99">
        <f>ventas_b_mes1255[[#This Row],[TOTAL]]/1.21</f>
        <v>0</v>
      </c>
      <c r="I1625" s="64">
        <f>ventas_b_mes1255[[#This Row],[IMPORTE NETO]]*0.21</f>
        <v>0</v>
      </c>
      <c r="J1625" s="140"/>
      <c r="K1625" s="140"/>
      <c r="L1625" s="140"/>
      <c r="M1625" s="59"/>
    </row>
    <row r="1626" spans="2:13" x14ac:dyDescent="0.25">
      <c r="B1626" s="134"/>
      <c r="C1626" s="41"/>
      <c r="D1626" s="136"/>
      <c r="E1626" s="137"/>
      <c r="F1626" s="138"/>
      <c r="G1626" s="1" t="str">
        <f>IFERROR(IF(ventas_b_mes1255[[#This Row],[CUIT]]="","-",VLOOKUP(ventas_b_mes1255[[#This Row],[CUIT]],Lista_CUIT[#All],2,0)),"CUIT NO CARGADO")</f>
        <v>-</v>
      </c>
      <c r="H1626" s="99">
        <f>ventas_b_mes1255[[#This Row],[TOTAL]]/1.21</f>
        <v>0</v>
      </c>
      <c r="I1626" s="64">
        <f>ventas_b_mes1255[[#This Row],[IMPORTE NETO]]*0.21</f>
        <v>0</v>
      </c>
      <c r="J1626" s="140"/>
      <c r="K1626" s="140"/>
      <c r="L1626" s="140"/>
      <c r="M1626" s="59"/>
    </row>
    <row r="1627" spans="2:13" x14ac:dyDescent="0.25">
      <c r="B1627" s="134"/>
      <c r="C1627" s="41"/>
      <c r="D1627" s="136"/>
      <c r="E1627" s="137"/>
      <c r="F1627" s="138"/>
      <c r="G1627" s="1" t="str">
        <f>IFERROR(IF(ventas_b_mes1255[[#This Row],[CUIT]]="","-",VLOOKUP(ventas_b_mes1255[[#This Row],[CUIT]],Lista_CUIT[#All],2,0)),"CUIT NO CARGADO")</f>
        <v>-</v>
      </c>
      <c r="H1627" s="99">
        <f>ventas_b_mes1255[[#This Row],[TOTAL]]/1.21</f>
        <v>0</v>
      </c>
      <c r="I1627" s="64">
        <f>ventas_b_mes1255[[#This Row],[IMPORTE NETO]]*0.21</f>
        <v>0</v>
      </c>
      <c r="J1627" s="140"/>
      <c r="K1627" s="140"/>
      <c r="L1627" s="140"/>
      <c r="M1627" s="59"/>
    </row>
    <row r="1628" spans="2:13" x14ac:dyDescent="0.25">
      <c r="B1628" s="134"/>
      <c r="C1628" s="41"/>
      <c r="D1628" s="136"/>
      <c r="E1628" s="137"/>
      <c r="F1628" s="138"/>
      <c r="G1628" s="1" t="str">
        <f>IFERROR(IF(ventas_b_mes1255[[#This Row],[CUIT]]="","-",VLOOKUP(ventas_b_mes1255[[#This Row],[CUIT]],Lista_CUIT[#All],2,0)),"CUIT NO CARGADO")</f>
        <v>-</v>
      </c>
      <c r="H1628" s="99">
        <f>ventas_b_mes1255[[#This Row],[TOTAL]]/1.21</f>
        <v>0</v>
      </c>
      <c r="I1628" s="64">
        <f>ventas_b_mes1255[[#This Row],[IMPORTE NETO]]*0.21</f>
        <v>0</v>
      </c>
      <c r="J1628" s="140"/>
      <c r="K1628" s="140"/>
      <c r="L1628" s="140"/>
      <c r="M1628" s="59"/>
    </row>
    <row r="1629" spans="2:13" x14ac:dyDescent="0.25">
      <c r="B1629" s="134"/>
      <c r="C1629" s="41"/>
      <c r="D1629" s="136"/>
      <c r="E1629" s="137"/>
      <c r="F1629" s="138"/>
      <c r="G1629" s="1" t="str">
        <f>IFERROR(IF(ventas_b_mes1255[[#This Row],[CUIT]]="","-",VLOOKUP(ventas_b_mes1255[[#This Row],[CUIT]],Lista_CUIT[#All],2,0)),"CUIT NO CARGADO")</f>
        <v>-</v>
      </c>
      <c r="H1629" s="99">
        <f>ventas_b_mes1255[[#This Row],[TOTAL]]/1.21</f>
        <v>0</v>
      </c>
      <c r="I1629" s="64">
        <f>ventas_b_mes1255[[#This Row],[IMPORTE NETO]]*0.21</f>
        <v>0</v>
      </c>
      <c r="J1629" s="140"/>
      <c r="K1629" s="140"/>
      <c r="L1629" s="140"/>
      <c r="M1629" s="59"/>
    </row>
    <row r="1630" spans="2:13" x14ac:dyDescent="0.25">
      <c r="B1630" s="134"/>
      <c r="C1630" s="41"/>
      <c r="D1630" s="136"/>
      <c r="E1630" s="137"/>
      <c r="F1630" s="138"/>
      <c r="G1630" s="1" t="str">
        <f>IFERROR(IF(ventas_b_mes1255[[#This Row],[CUIT]]="","-",VLOOKUP(ventas_b_mes1255[[#This Row],[CUIT]],Lista_CUIT[#All],2,0)),"CUIT NO CARGADO")</f>
        <v>-</v>
      </c>
      <c r="H1630" s="99">
        <f>ventas_b_mes1255[[#This Row],[TOTAL]]/1.21</f>
        <v>0</v>
      </c>
      <c r="I1630" s="64">
        <f>ventas_b_mes1255[[#This Row],[IMPORTE NETO]]*0.21</f>
        <v>0</v>
      </c>
      <c r="J1630" s="140"/>
      <c r="K1630" s="140"/>
      <c r="L1630" s="140"/>
      <c r="M1630" s="59"/>
    </row>
    <row r="1631" spans="2:13" x14ac:dyDescent="0.25">
      <c r="B1631" s="134"/>
      <c r="C1631" s="41"/>
      <c r="D1631" s="136"/>
      <c r="E1631" s="137"/>
      <c r="F1631" s="138"/>
      <c r="G1631" s="1" t="str">
        <f>IFERROR(IF(ventas_b_mes1255[[#This Row],[CUIT]]="","-",VLOOKUP(ventas_b_mes1255[[#This Row],[CUIT]],Lista_CUIT[#All],2,0)),"CUIT NO CARGADO")</f>
        <v>-</v>
      </c>
      <c r="H1631" s="99">
        <f>ventas_b_mes1255[[#This Row],[TOTAL]]/1.21</f>
        <v>0</v>
      </c>
      <c r="I1631" s="64">
        <f>ventas_b_mes1255[[#This Row],[IMPORTE NETO]]*0.21</f>
        <v>0</v>
      </c>
      <c r="J1631" s="140"/>
      <c r="K1631" s="140"/>
      <c r="L1631" s="140"/>
      <c r="M1631" s="59"/>
    </row>
    <row r="1632" spans="2:13" x14ac:dyDescent="0.25">
      <c r="B1632" s="134"/>
      <c r="C1632" s="41"/>
      <c r="D1632" s="136"/>
      <c r="E1632" s="137"/>
      <c r="F1632" s="138"/>
      <c r="G1632" s="1" t="str">
        <f>IFERROR(IF(ventas_b_mes1255[[#This Row],[CUIT]]="","-",VLOOKUP(ventas_b_mes1255[[#This Row],[CUIT]],Lista_CUIT[#All],2,0)),"CUIT NO CARGADO")</f>
        <v>-</v>
      </c>
      <c r="H1632" s="99">
        <f>ventas_b_mes1255[[#This Row],[TOTAL]]/1.21</f>
        <v>0</v>
      </c>
      <c r="I1632" s="64">
        <f>ventas_b_mes1255[[#This Row],[IMPORTE NETO]]*0.21</f>
        <v>0</v>
      </c>
      <c r="J1632" s="140"/>
      <c r="K1632" s="140"/>
      <c r="L1632" s="140"/>
      <c r="M1632" s="59"/>
    </row>
    <row r="1633" spans="2:13" x14ac:dyDescent="0.25">
      <c r="B1633" s="134"/>
      <c r="C1633" s="41"/>
      <c r="D1633" s="136"/>
      <c r="E1633" s="137"/>
      <c r="F1633" s="138"/>
      <c r="G1633" s="1" t="str">
        <f>IFERROR(IF(ventas_b_mes1255[[#This Row],[CUIT]]="","-",VLOOKUP(ventas_b_mes1255[[#This Row],[CUIT]],Lista_CUIT[#All],2,0)),"CUIT NO CARGADO")</f>
        <v>-</v>
      </c>
      <c r="H1633" s="99">
        <f>ventas_b_mes1255[[#This Row],[TOTAL]]/1.21</f>
        <v>0</v>
      </c>
      <c r="I1633" s="64">
        <f>ventas_b_mes1255[[#This Row],[IMPORTE NETO]]*0.21</f>
        <v>0</v>
      </c>
      <c r="J1633" s="140"/>
      <c r="K1633" s="140"/>
      <c r="L1633" s="140"/>
      <c r="M1633" s="59"/>
    </row>
    <row r="1634" spans="2:13" x14ac:dyDescent="0.25">
      <c r="B1634" s="134"/>
      <c r="C1634" s="41"/>
      <c r="D1634" s="136"/>
      <c r="E1634" s="137"/>
      <c r="F1634" s="138"/>
      <c r="G1634" s="1" t="str">
        <f>IFERROR(IF(ventas_b_mes1255[[#This Row],[CUIT]]="","-",VLOOKUP(ventas_b_mes1255[[#This Row],[CUIT]],Lista_CUIT[#All],2,0)),"CUIT NO CARGADO")</f>
        <v>-</v>
      </c>
      <c r="H1634" s="99">
        <f>ventas_b_mes1255[[#This Row],[TOTAL]]/1.21</f>
        <v>0</v>
      </c>
      <c r="I1634" s="64">
        <f>ventas_b_mes1255[[#This Row],[IMPORTE NETO]]*0.21</f>
        <v>0</v>
      </c>
      <c r="J1634" s="140"/>
      <c r="K1634" s="140"/>
      <c r="L1634" s="140"/>
      <c r="M1634" s="59"/>
    </row>
    <row r="1635" spans="2:13" x14ac:dyDescent="0.25">
      <c r="B1635" s="134"/>
      <c r="C1635" s="41"/>
      <c r="D1635" s="136"/>
      <c r="E1635" s="137"/>
      <c r="F1635" s="138"/>
      <c r="G1635" s="1" t="str">
        <f>IFERROR(IF(ventas_b_mes1255[[#This Row],[CUIT]]="","-",VLOOKUP(ventas_b_mes1255[[#This Row],[CUIT]],Lista_CUIT[#All],2,0)),"CUIT NO CARGADO")</f>
        <v>-</v>
      </c>
      <c r="H1635" s="99">
        <f>ventas_b_mes1255[[#This Row],[TOTAL]]/1.21</f>
        <v>0</v>
      </c>
      <c r="I1635" s="64">
        <f>ventas_b_mes1255[[#This Row],[IMPORTE NETO]]*0.21</f>
        <v>0</v>
      </c>
      <c r="J1635" s="140"/>
      <c r="K1635" s="140"/>
      <c r="L1635" s="140"/>
      <c r="M1635" s="59"/>
    </row>
    <row r="1636" spans="2:13" x14ac:dyDescent="0.25">
      <c r="B1636" s="134"/>
      <c r="C1636" s="41"/>
      <c r="D1636" s="136"/>
      <c r="E1636" s="137"/>
      <c r="F1636" s="138"/>
      <c r="G1636" s="1" t="str">
        <f>IFERROR(IF(ventas_b_mes1255[[#This Row],[CUIT]]="","-",VLOOKUP(ventas_b_mes1255[[#This Row],[CUIT]],Lista_CUIT[#All],2,0)),"CUIT NO CARGADO")</f>
        <v>-</v>
      </c>
      <c r="H1636" s="99">
        <f>ventas_b_mes1255[[#This Row],[TOTAL]]/1.21</f>
        <v>0</v>
      </c>
      <c r="I1636" s="64">
        <f>ventas_b_mes1255[[#This Row],[IMPORTE NETO]]*0.21</f>
        <v>0</v>
      </c>
      <c r="J1636" s="140"/>
      <c r="K1636" s="140"/>
      <c r="L1636" s="140"/>
      <c r="M1636" s="59"/>
    </row>
    <row r="1637" spans="2:13" x14ac:dyDescent="0.25">
      <c r="B1637" s="134"/>
      <c r="C1637" s="41"/>
      <c r="D1637" s="136"/>
      <c r="E1637" s="137"/>
      <c r="F1637" s="138"/>
      <c r="G1637" s="1" t="str">
        <f>IFERROR(IF(ventas_b_mes1255[[#This Row],[CUIT]]="","-",VLOOKUP(ventas_b_mes1255[[#This Row],[CUIT]],Lista_CUIT[#All],2,0)),"CUIT NO CARGADO")</f>
        <v>-</v>
      </c>
      <c r="H1637" s="99">
        <f>ventas_b_mes1255[[#This Row],[TOTAL]]/1.21</f>
        <v>0</v>
      </c>
      <c r="I1637" s="64">
        <f>ventas_b_mes1255[[#This Row],[IMPORTE NETO]]*0.21</f>
        <v>0</v>
      </c>
      <c r="J1637" s="140"/>
      <c r="K1637" s="140"/>
      <c r="L1637" s="140"/>
      <c r="M1637" s="59"/>
    </row>
    <row r="1638" spans="2:13" x14ac:dyDescent="0.25">
      <c r="B1638" s="134"/>
      <c r="C1638" s="41"/>
      <c r="D1638" s="136"/>
      <c r="E1638" s="137"/>
      <c r="F1638" s="138"/>
      <c r="G1638" s="1" t="str">
        <f>IFERROR(IF(ventas_b_mes1255[[#This Row],[CUIT]]="","-",VLOOKUP(ventas_b_mes1255[[#This Row],[CUIT]],Lista_CUIT[#All],2,0)),"CUIT NO CARGADO")</f>
        <v>-</v>
      </c>
      <c r="H1638" s="99">
        <f>ventas_b_mes1255[[#This Row],[TOTAL]]/1.21</f>
        <v>0</v>
      </c>
      <c r="I1638" s="64">
        <f>ventas_b_mes1255[[#This Row],[IMPORTE NETO]]*0.21</f>
        <v>0</v>
      </c>
      <c r="J1638" s="140"/>
      <c r="K1638" s="140"/>
      <c r="L1638" s="140"/>
      <c r="M1638" s="59"/>
    </row>
    <row r="1639" spans="2:13" x14ac:dyDescent="0.25">
      <c r="B1639" s="134"/>
      <c r="C1639" s="41"/>
      <c r="D1639" s="136"/>
      <c r="E1639" s="137"/>
      <c r="F1639" s="138"/>
      <c r="G1639" s="1" t="str">
        <f>IFERROR(IF(ventas_b_mes1255[[#This Row],[CUIT]]="","-",VLOOKUP(ventas_b_mes1255[[#This Row],[CUIT]],Lista_CUIT[#All],2,0)),"CUIT NO CARGADO")</f>
        <v>-</v>
      </c>
      <c r="H1639" s="99">
        <f>ventas_b_mes1255[[#This Row],[TOTAL]]/1.21</f>
        <v>0</v>
      </c>
      <c r="I1639" s="64">
        <f>ventas_b_mes1255[[#This Row],[IMPORTE NETO]]*0.21</f>
        <v>0</v>
      </c>
      <c r="J1639" s="140"/>
      <c r="K1639" s="140"/>
      <c r="L1639" s="140"/>
      <c r="M1639" s="59"/>
    </row>
    <row r="1640" spans="2:13" x14ac:dyDescent="0.25">
      <c r="B1640" s="134"/>
      <c r="C1640" s="41"/>
      <c r="D1640" s="136"/>
      <c r="E1640" s="137"/>
      <c r="F1640" s="138"/>
      <c r="G1640" s="1" t="str">
        <f>IFERROR(IF(ventas_b_mes1255[[#This Row],[CUIT]]="","-",VLOOKUP(ventas_b_mes1255[[#This Row],[CUIT]],Lista_CUIT[#All],2,0)),"CUIT NO CARGADO")</f>
        <v>-</v>
      </c>
      <c r="H1640" s="99">
        <f>ventas_b_mes1255[[#This Row],[TOTAL]]/1.21</f>
        <v>0</v>
      </c>
      <c r="I1640" s="64">
        <f>ventas_b_mes1255[[#This Row],[IMPORTE NETO]]*0.21</f>
        <v>0</v>
      </c>
      <c r="J1640" s="140"/>
      <c r="K1640" s="140"/>
      <c r="L1640" s="140"/>
      <c r="M1640" s="59"/>
    </row>
    <row r="1641" spans="2:13" x14ac:dyDescent="0.25">
      <c r="B1641" s="134"/>
      <c r="C1641" s="41"/>
      <c r="D1641" s="136"/>
      <c r="E1641" s="137"/>
      <c r="F1641" s="138"/>
      <c r="G1641" s="1" t="str">
        <f>IFERROR(IF(ventas_b_mes1255[[#This Row],[CUIT]]="","-",VLOOKUP(ventas_b_mes1255[[#This Row],[CUIT]],Lista_CUIT[#All],2,0)),"CUIT NO CARGADO")</f>
        <v>-</v>
      </c>
      <c r="H1641" s="99">
        <f>ventas_b_mes1255[[#This Row],[TOTAL]]/1.21</f>
        <v>0</v>
      </c>
      <c r="I1641" s="64">
        <f>ventas_b_mes1255[[#This Row],[IMPORTE NETO]]*0.21</f>
        <v>0</v>
      </c>
      <c r="J1641" s="140"/>
      <c r="K1641" s="140"/>
      <c r="L1641" s="140"/>
      <c r="M1641" s="59"/>
    </row>
    <row r="1642" spans="2:13" x14ac:dyDescent="0.25">
      <c r="B1642" s="134"/>
      <c r="C1642" s="41"/>
      <c r="D1642" s="136"/>
      <c r="E1642" s="137"/>
      <c r="F1642" s="138"/>
      <c r="G1642" s="1" t="str">
        <f>IFERROR(IF(ventas_b_mes1255[[#This Row],[CUIT]]="","-",VLOOKUP(ventas_b_mes1255[[#This Row],[CUIT]],Lista_CUIT[#All],2,0)),"CUIT NO CARGADO")</f>
        <v>-</v>
      </c>
      <c r="H1642" s="99">
        <f>ventas_b_mes1255[[#This Row],[TOTAL]]/1.21</f>
        <v>0</v>
      </c>
      <c r="I1642" s="64">
        <f>ventas_b_mes1255[[#This Row],[IMPORTE NETO]]*0.21</f>
        <v>0</v>
      </c>
      <c r="J1642" s="140"/>
      <c r="K1642" s="140"/>
      <c r="L1642" s="140"/>
      <c r="M1642" s="59"/>
    </row>
    <row r="1643" spans="2:13" x14ac:dyDescent="0.25">
      <c r="B1643" s="134"/>
      <c r="C1643" s="41"/>
      <c r="D1643" s="136"/>
      <c r="E1643" s="137"/>
      <c r="F1643" s="138"/>
      <c r="G1643" s="1" t="str">
        <f>IFERROR(IF(ventas_b_mes1255[[#This Row],[CUIT]]="","-",VLOOKUP(ventas_b_mes1255[[#This Row],[CUIT]],Lista_CUIT[#All],2,0)),"CUIT NO CARGADO")</f>
        <v>-</v>
      </c>
      <c r="H1643" s="99">
        <f>ventas_b_mes1255[[#This Row],[TOTAL]]/1.21</f>
        <v>0</v>
      </c>
      <c r="I1643" s="64">
        <f>ventas_b_mes1255[[#This Row],[IMPORTE NETO]]*0.21</f>
        <v>0</v>
      </c>
      <c r="J1643" s="140"/>
      <c r="K1643" s="140"/>
      <c r="L1643" s="140"/>
      <c r="M1643" s="59"/>
    </row>
    <row r="1644" spans="2:13" x14ac:dyDescent="0.25">
      <c r="B1644" s="134"/>
      <c r="C1644" s="41"/>
      <c r="D1644" s="136"/>
      <c r="E1644" s="137"/>
      <c r="F1644" s="138"/>
      <c r="G1644" s="1" t="str">
        <f>IFERROR(IF(ventas_b_mes1255[[#This Row],[CUIT]]="","-",VLOOKUP(ventas_b_mes1255[[#This Row],[CUIT]],Lista_CUIT[#All],2,0)),"CUIT NO CARGADO")</f>
        <v>-</v>
      </c>
      <c r="H1644" s="99">
        <f>ventas_b_mes1255[[#This Row],[TOTAL]]/1.21</f>
        <v>0</v>
      </c>
      <c r="I1644" s="64">
        <f>ventas_b_mes1255[[#This Row],[IMPORTE NETO]]*0.21</f>
        <v>0</v>
      </c>
      <c r="J1644" s="140"/>
      <c r="K1644" s="140"/>
      <c r="L1644" s="140"/>
      <c r="M1644" s="59"/>
    </row>
    <row r="1645" spans="2:13" x14ac:dyDescent="0.25">
      <c r="B1645" s="134"/>
      <c r="C1645" s="41"/>
      <c r="D1645" s="136"/>
      <c r="E1645" s="137"/>
      <c r="F1645" s="138"/>
      <c r="G1645" s="1" t="str">
        <f>IFERROR(IF(ventas_b_mes1255[[#This Row],[CUIT]]="","-",VLOOKUP(ventas_b_mes1255[[#This Row],[CUIT]],Lista_CUIT[#All],2,0)),"CUIT NO CARGADO")</f>
        <v>-</v>
      </c>
      <c r="H1645" s="99">
        <f>ventas_b_mes1255[[#This Row],[TOTAL]]/1.21</f>
        <v>0</v>
      </c>
      <c r="I1645" s="64">
        <f>ventas_b_mes1255[[#This Row],[IMPORTE NETO]]*0.21</f>
        <v>0</v>
      </c>
      <c r="J1645" s="140"/>
      <c r="K1645" s="140"/>
      <c r="L1645" s="140"/>
      <c r="M1645" s="59"/>
    </row>
    <row r="1646" spans="2:13" x14ac:dyDescent="0.25">
      <c r="B1646" s="134"/>
      <c r="C1646" s="41"/>
      <c r="D1646" s="136"/>
      <c r="E1646" s="137"/>
      <c r="F1646" s="138"/>
      <c r="G1646" s="1" t="str">
        <f>IFERROR(IF(ventas_b_mes1255[[#This Row],[CUIT]]="","-",VLOOKUP(ventas_b_mes1255[[#This Row],[CUIT]],Lista_CUIT[#All],2,0)),"CUIT NO CARGADO")</f>
        <v>-</v>
      </c>
      <c r="H1646" s="99">
        <f>ventas_b_mes1255[[#This Row],[TOTAL]]/1.21</f>
        <v>0</v>
      </c>
      <c r="I1646" s="64">
        <f>ventas_b_mes1255[[#This Row],[IMPORTE NETO]]*0.21</f>
        <v>0</v>
      </c>
      <c r="J1646" s="140"/>
      <c r="K1646" s="140"/>
      <c r="L1646" s="140"/>
      <c r="M1646" s="59"/>
    </row>
    <row r="1647" spans="2:13" x14ac:dyDescent="0.25">
      <c r="B1647" s="134"/>
      <c r="C1647" s="41"/>
      <c r="D1647" s="136"/>
      <c r="E1647" s="137"/>
      <c r="F1647" s="138"/>
      <c r="G1647" s="1" t="str">
        <f>IFERROR(IF(ventas_b_mes1255[[#This Row],[CUIT]]="","-",VLOOKUP(ventas_b_mes1255[[#This Row],[CUIT]],Lista_CUIT[#All],2,0)),"CUIT NO CARGADO")</f>
        <v>-</v>
      </c>
      <c r="H1647" s="99">
        <f>ventas_b_mes1255[[#This Row],[TOTAL]]/1.21</f>
        <v>0</v>
      </c>
      <c r="I1647" s="64">
        <f>ventas_b_mes1255[[#This Row],[IMPORTE NETO]]*0.21</f>
        <v>0</v>
      </c>
      <c r="J1647" s="140"/>
      <c r="K1647" s="140"/>
      <c r="L1647" s="140"/>
      <c r="M1647" s="59"/>
    </row>
    <row r="1648" spans="2:13" x14ac:dyDescent="0.25">
      <c r="B1648" s="134"/>
      <c r="C1648" s="41"/>
      <c r="D1648" s="136"/>
      <c r="E1648" s="137"/>
      <c r="F1648" s="138"/>
      <c r="G1648" s="1" t="str">
        <f>IFERROR(IF(ventas_b_mes1255[[#This Row],[CUIT]]="","-",VLOOKUP(ventas_b_mes1255[[#This Row],[CUIT]],Lista_CUIT[#All],2,0)),"CUIT NO CARGADO")</f>
        <v>-</v>
      </c>
      <c r="H1648" s="99">
        <f>ventas_b_mes1255[[#This Row],[TOTAL]]/1.21</f>
        <v>0</v>
      </c>
      <c r="I1648" s="64">
        <f>ventas_b_mes1255[[#This Row],[IMPORTE NETO]]*0.21</f>
        <v>0</v>
      </c>
      <c r="J1648" s="140"/>
      <c r="K1648" s="140"/>
      <c r="L1648" s="140"/>
      <c r="M1648" s="59"/>
    </row>
    <row r="1649" spans="2:13" x14ac:dyDescent="0.25">
      <c r="B1649" s="134"/>
      <c r="C1649" s="41"/>
      <c r="D1649" s="136"/>
      <c r="E1649" s="137"/>
      <c r="F1649" s="138"/>
      <c r="G1649" s="1" t="str">
        <f>IFERROR(IF(ventas_b_mes1255[[#This Row],[CUIT]]="","-",VLOOKUP(ventas_b_mes1255[[#This Row],[CUIT]],Lista_CUIT[#All],2,0)),"CUIT NO CARGADO")</f>
        <v>-</v>
      </c>
      <c r="H1649" s="99">
        <f>ventas_b_mes1255[[#This Row],[TOTAL]]/1.21</f>
        <v>0</v>
      </c>
      <c r="I1649" s="64">
        <f>ventas_b_mes1255[[#This Row],[IMPORTE NETO]]*0.21</f>
        <v>0</v>
      </c>
      <c r="J1649" s="140"/>
      <c r="K1649" s="140"/>
      <c r="L1649" s="140"/>
      <c r="M1649" s="59"/>
    </row>
    <row r="1650" spans="2:13" x14ac:dyDescent="0.25">
      <c r="B1650" s="134"/>
      <c r="C1650" s="41"/>
      <c r="D1650" s="136"/>
      <c r="E1650" s="137"/>
      <c r="F1650" s="138"/>
      <c r="G1650" s="1" t="str">
        <f>IFERROR(IF(ventas_b_mes1255[[#This Row],[CUIT]]="","-",VLOOKUP(ventas_b_mes1255[[#This Row],[CUIT]],Lista_CUIT[#All],2,0)),"CUIT NO CARGADO")</f>
        <v>-</v>
      </c>
      <c r="H1650" s="99">
        <f>ventas_b_mes1255[[#This Row],[TOTAL]]/1.21</f>
        <v>0</v>
      </c>
      <c r="I1650" s="64">
        <f>ventas_b_mes1255[[#This Row],[IMPORTE NETO]]*0.21</f>
        <v>0</v>
      </c>
      <c r="J1650" s="140"/>
      <c r="K1650" s="140"/>
      <c r="L1650" s="140"/>
      <c r="M1650" s="59"/>
    </row>
    <row r="1651" spans="2:13" x14ac:dyDescent="0.25">
      <c r="B1651" s="134"/>
      <c r="C1651" s="41"/>
      <c r="D1651" s="136"/>
      <c r="E1651" s="137"/>
      <c r="F1651" s="138"/>
      <c r="G1651" s="1" t="str">
        <f>IFERROR(IF(ventas_b_mes1255[[#This Row],[CUIT]]="","-",VLOOKUP(ventas_b_mes1255[[#This Row],[CUIT]],Lista_CUIT[#All],2,0)),"CUIT NO CARGADO")</f>
        <v>-</v>
      </c>
      <c r="H1651" s="99">
        <f>ventas_b_mes1255[[#This Row],[TOTAL]]/1.21</f>
        <v>0</v>
      </c>
      <c r="I1651" s="64">
        <f>ventas_b_mes1255[[#This Row],[IMPORTE NETO]]*0.21</f>
        <v>0</v>
      </c>
      <c r="J1651" s="140"/>
      <c r="K1651" s="140"/>
      <c r="L1651" s="140"/>
      <c r="M1651" s="59"/>
    </row>
    <row r="1652" spans="2:13" x14ac:dyDescent="0.25">
      <c r="B1652" s="134"/>
      <c r="C1652" s="41"/>
      <c r="D1652" s="136"/>
      <c r="E1652" s="137"/>
      <c r="F1652" s="138"/>
      <c r="G1652" s="1" t="str">
        <f>IFERROR(IF(ventas_b_mes1255[[#This Row],[CUIT]]="","-",VLOOKUP(ventas_b_mes1255[[#This Row],[CUIT]],Lista_CUIT[#All],2,0)),"CUIT NO CARGADO")</f>
        <v>-</v>
      </c>
      <c r="H1652" s="99">
        <f>ventas_b_mes1255[[#This Row],[TOTAL]]/1.21</f>
        <v>0</v>
      </c>
      <c r="I1652" s="64">
        <f>ventas_b_mes1255[[#This Row],[IMPORTE NETO]]*0.21</f>
        <v>0</v>
      </c>
      <c r="J1652" s="140"/>
      <c r="K1652" s="140"/>
      <c r="L1652" s="140"/>
      <c r="M1652" s="59"/>
    </row>
    <row r="1653" spans="2:13" x14ac:dyDescent="0.25">
      <c r="B1653" s="134"/>
      <c r="C1653" s="41"/>
      <c r="D1653" s="136"/>
      <c r="E1653" s="137"/>
      <c r="F1653" s="138"/>
      <c r="G1653" s="1" t="str">
        <f>IFERROR(IF(ventas_b_mes1255[[#This Row],[CUIT]]="","-",VLOOKUP(ventas_b_mes1255[[#This Row],[CUIT]],Lista_CUIT[#All],2,0)),"CUIT NO CARGADO")</f>
        <v>-</v>
      </c>
      <c r="H1653" s="99">
        <f>ventas_b_mes1255[[#This Row],[TOTAL]]/1.21</f>
        <v>0</v>
      </c>
      <c r="I1653" s="64">
        <f>ventas_b_mes1255[[#This Row],[IMPORTE NETO]]*0.21</f>
        <v>0</v>
      </c>
      <c r="J1653" s="140"/>
      <c r="K1653" s="140"/>
      <c r="L1653" s="140"/>
      <c r="M1653" s="59"/>
    </row>
    <row r="1654" spans="2:13" x14ac:dyDescent="0.25">
      <c r="B1654" s="134"/>
      <c r="C1654" s="41"/>
      <c r="D1654" s="136"/>
      <c r="E1654" s="137"/>
      <c r="F1654" s="138"/>
      <c r="G1654" s="1" t="str">
        <f>IFERROR(IF(ventas_b_mes1255[[#This Row],[CUIT]]="","-",VLOOKUP(ventas_b_mes1255[[#This Row],[CUIT]],Lista_CUIT[#All],2,0)),"CUIT NO CARGADO")</f>
        <v>-</v>
      </c>
      <c r="H1654" s="99">
        <f>ventas_b_mes1255[[#This Row],[TOTAL]]/1.21</f>
        <v>0</v>
      </c>
      <c r="I1654" s="64">
        <f>ventas_b_mes1255[[#This Row],[IMPORTE NETO]]*0.21</f>
        <v>0</v>
      </c>
      <c r="J1654" s="140"/>
      <c r="K1654" s="140"/>
      <c r="L1654" s="140"/>
      <c r="M1654" s="59"/>
    </row>
    <row r="1655" spans="2:13" x14ac:dyDescent="0.25">
      <c r="B1655" s="134"/>
      <c r="C1655" s="41"/>
      <c r="D1655" s="136"/>
      <c r="E1655" s="137"/>
      <c r="F1655" s="138"/>
      <c r="G1655" s="1" t="str">
        <f>IFERROR(IF(ventas_b_mes1255[[#This Row],[CUIT]]="","-",VLOOKUP(ventas_b_mes1255[[#This Row],[CUIT]],Lista_CUIT[#All],2,0)),"CUIT NO CARGADO")</f>
        <v>-</v>
      </c>
      <c r="H1655" s="99">
        <f>ventas_b_mes1255[[#This Row],[TOTAL]]/1.21</f>
        <v>0</v>
      </c>
      <c r="I1655" s="64">
        <f>ventas_b_mes1255[[#This Row],[IMPORTE NETO]]*0.21</f>
        <v>0</v>
      </c>
      <c r="J1655" s="140"/>
      <c r="K1655" s="140"/>
      <c r="L1655" s="140"/>
      <c r="M1655" s="59"/>
    </row>
    <row r="1656" spans="2:13" x14ac:dyDescent="0.25">
      <c r="B1656" s="134"/>
      <c r="C1656" s="41"/>
      <c r="D1656" s="136"/>
      <c r="E1656" s="137"/>
      <c r="F1656" s="138"/>
      <c r="G1656" s="1" t="str">
        <f>IFERROR(IF(ventas_b_mes1255[[#This Row],[CUIT]]="","-",VLOOKUP(ventas_b_mes1255[[#This Row],[CUIT]],Lista_CUIT[#All],2,0)),"CUIT NO CARGADO")</f>
        <v>-</v>
      </c>
      <c r="H1656" s="99">
        <f>ventas_b_mes1255[[#This Row],[TOTAL]]/1.21</f>
        <v>0</v>
      </c>
      <c r="I1656" s="64">
        <f>ventas_b_mes1255[[#This Row],[IMPORTE NETO]]*0.21</f>
        <v>0</v>
      </c>
      <c r="J1656" s="140"/>
      <c r="K1656" s="140"/>
      <c r="L1656" s="140"/>
      <c r="M1656" s="59"/>
    </row>
    <row r="1657" spans="2:13" x14ac:dyDescent="0.25">
      <c r="B1657" s="134"/>
      <c r="C1657" s="41"/>
      <c r="D1657" s="136"/>
      <c r="E1657" s="137"/>
      <c r="F1657" s="138"/>
      <c r="G1657" s="1" t="str">
        <f>IFERROR(IF(ventas_b_mes1255[[#This Row],[CUIT]]="","-",VLOOKUP(ventas_b_mes1255[[#This Row],[CUIT]],Lista_CUIT[#All],2,0)),"CUIT NO CARGADO")</f>
        <v>-</v>
      </c>
      <c r="H1657" s="99">
        <f>ventas_b_mes1255[[#This Row],[TOTAL]]/1.21</f>
        <v>0</v>
      </c>
      <c r="I1657" s="64">
        <f>ventas_b_mes1255[[#This Row],[IMPORTE NETO]]*0.21</f>
        <v>0</v>
      </c>
      <c r="J1657" s="140"/>
      <c r="K1657" s="140"/>
      <c r="L1657" s="140"/>
      <c r="M1657" s="59"/>
    </row>
    <row r="1658" spans="2:13" x14ac:dyDescent="0.25">
      <c r="B1658" s="134"/>
      <c r="C1658" s="41"/>
      <c r="D1658" s="136"/>
      <c r="E1658" s="137"/>
      <c r="F1658" s="138"/>
      <c r="G1658" s="1" t="str">
        <f>IFERROR(IF(ventas_b_mes1255[[#This Row],[CUIT]]="","-",VLOOKUP(ventas_b_mes1255[[#This Row],[CUIT]],Lista_CUIT[#All],2,0)),"CUIT NO CARGADO")</f>
        <v>-</v>
      </c>
      <c r="H1658" s="99">
        <f>ventas_b_mes1255[[#This Row],[TOTAL]]/1.21</f>
        <v>0</v>
      </c>
      <c r="I1658" s="64">
        <f>ventas_b_mes1255[[#This Row],[IMPORTE NETO]]*0.21</f>
        <v>0</v>
      </c>
      <c r="J1658" s="140"/>
      <c r="K1658" s="140"/>
      <c r="L1658" s="140"/>
      <c r="M1658" s="59"/>
    </row>
    <row r="1659" spans="2:13" x14ac:dyDescent="0.25">
      <c r="B1659" s="134"/>
      <c r="C1659" s="41"/>
      <c r="D1659" s="136"/>
      <c r="E1659" s="137"/>
      <c r="F1659" s="138"/>
      <c r="G1659" s="1" t="str">
        <f>IFERROR(IF(ventas_b_mes1255[[#This Row],[CUIT]]="","-",VLOOKUP(ventas_b_mes1255[[#This Row],[CUIT]],Lista_CUIT[#All],2,0)),"CUIT NO CARGADO")</f>
        <v>-</v>
      </c>
      <c r="H1659" s="99">
        <f>ventas_b_mes1255[[#This Row],[TOTAL]]/1.21</f>
        <v>0</v>
      </c>
      <c r="I1659" s="64">
        <f>ventas_b_mes1255[[#This Row],[IMPORTE NETO]]*0.21</f>
        <v>0</v>
      </c>
      <c r="J1659" s="140"/>
      <c r="K1659" s="140"/>
      <c r="L1659" s="140"/>
      <c r="M1659" s="59"/>
    </row>
    <row r="1660" spans="2:13" x14ac:dyDescent="0.25">
      <c r="B1660" s="134"/>
      <c r="C1660" s="41"/>
      <c r="D1660" s="136"/>
      <c r="E1660" s="137"/>
      <c r="F1660" s="138"/>
      <c r="G1660" s="1" t="str">
        <f>IFERROR(IF(ventas_b_mes1255[[#This Row],[CUIT]]="","-",VLOOKUP(ventas_b_mes1255[[#This Row],[CUIT]],Lista_CUIT[#All],2,0)),"CUIT NO CARGADO")</f>
        <v>-</v>
      </c>
      <c r="H1660" s="99">
        <f>ventas_b_mes1255[[#This Row],[TOTAL]]/1.21</f>
        <v>0</v>
      </c>
      <c r="I1660" s="64">
        <f>ventas_b_mes1255[[#This Row],[IMPORTE NETO]]*0.21</f>
        <v>0</v>
      </c>
      <c r="J1660" s="140"/>
      <c r="K1660" s="140"/>
      <c r="L1660" s="140"/>
      <c r="M1660" s="59"/>
    </row>
    <row r="1661" spans="2:13" x14ac:dyDescent="0.25">
      <c r="B1661" s="134"/>
      <c r="C1661" s="41"/>
      <c r="D1661" s="136"/>
      <c r="E1661" s="137"/>
      <c r="F1661" s="138"/>
      <c r="G1661" s="1" t="str">
        <f>IFERROR(IF(ventas_b_mes1255[[#This Row],[CUIT]]="","-",VLOOKUP(ventas_b_mes1255[[#This Row],[CUIT]],Lista_CUIT[#All],2,0)),"CUIT NO CARGADO")</f>
        <v>-</v>
      </c>
      <c r="H1661" s="99">
        <f>ventas_b_mes1255[[#This Row],[TOTAL]]/1.21</f>
        <v>0</v>
      </c>
      <c r="I1661" s="64">
        <f>ventas_b_mes1255[[#This Row],[IMPORTE NETO]]*0.21</f>
        <v>0</v>
      </c>
      <c r="J1661" s="140"/>
      <c r="K1661" s="140"/>
      <c r="L1661" s="140"/>
      <c r="M1661" s="59"/>
    </row>
    <row r="1662" spans="2:13" x14ac:dyDescent="0.25">
      <c r="B1662" s="134"/>
      <c r="C1662" s="41"/>
      <c r="D1662" s="136"/>
      <c r="E1662" s="137"/>
      <c r="F1662" s="138"/>
      <c r="G1662" s="1" t="str">
        <f>IFERROR(IF(ventas_b_mes1255[[#This Row],[CUIT]]="","-",VLOOKUP(ventas_b_mes1255[[#This Row],[CUIT]],Lista_CUIT[#All],2,0)),"CUIT NO CARGADO")</f>
        <v>-</v>
      </c>
      <c r="H1662" s="99">
        <f>ventas_b_mes1255[[#This Row],[TOTAL]]/1.21</f>
        <v>0</v>
      </c>
      <c r="I1662" s="64">
        <f>ventas_b_mes1255[[#This Row],[IMPORTE NETO]]*0.21</f>
        <v>0</v>
      </c>
      <c r="J1662" s="140"/>
      <c r="K1662" s="140"/>
      <c r="L1662" s="140"/>
      <c r="M1662" s="59"/>
    </row>
    <row r="1663" spans="2:13" x14ac:dyDescent="0.25">
      <c r="B1663" s="134"/>
      <c r="C1663" s="41"/>
      <c r="D1663" s="136"/>
      <c r="E1663" s="137"/>
      <c r="F1663" s="138"/>
      <c r="G1663" s="1" t="str">
        <f>IFERROR(IF(ventas_b_mes1255[[#This Row],[CUIT]]="","-",VLOOKUP(ventas_b_mes1255[[#This Row],[CUIT]],Lista_CUIT[#All],2,0)),"CUIT NO CARGADO")</f>
        <v>-</v>
      </c>
      <c r="H1663" s="99">
        <f>ventas_b_mes1255[[#This Row],[TOTAL]]/1.21</f>
        <v>0</v>
      </c>
      <c r="I1663" s="64">
        <f>ventas_b_mes1255[[#This Row],[IMPORTE NETO]]*0.21</f>
        <v>0</v>
      </c>
      <c r="J1663" s="140"/>
      <c r="K1663" s="140"/>
      <c r="L1663" s="140"/>
      <c r="M1663" s="59"/>
    </row>
    <row r="1664" spans="2:13" x14ac:dyDescent="0.25">
      <c r="B1664" s="134"/>
      <c r="C1664" s="41"/>
      <c r="D1664" s="136"/>
      <c r="E1664" s="137"/>
      <c r="F1664" s="138"/>
      <c r="G1664" s="1" t="str">
        <f>IFERROR(IF(ventas_b_mes1255[[#This Row],[CUIT]]="","-",VLOOKUP(ventas_b_mes1255[[#This Row],[CUIT]],Lista_CUIT[#All],2,0)),"CUIT NO CARGADO")</f>
        <v>-</v>
      </c>
      <c r="H1664" s="99">
        <f>ventas_b_mes1255[[#This Row],[TOTAL]]/1.21</f>
        <v>0</v>
      </c>
      <c r="I1664" s="64">
        <f>ventas_b_mes1255[[#This Row],[IMPORTE NETO]]*0.21</f>
        <v>0</v>
      </c>
      <c r="J1664" s="140"/>
      <c r="K1664" s="140"/>
      <c r="L1664" s="140"/>
      <c r="M1664" s="59"/>
    </row>
    <row r="1665" spans="2:13" x14ac:dyDescent="0.25">
      <c r="B1665" s="134"/>
      <c r="C1665" s="41"/>
      <c r="D1665" s="136"/>
      <c r="E1665" s="137"/>
      <c r="F1665" s="138"/>
      <c r="G1665" s="1" t="str">
        <f>IFERROR(IF(ventas_b_mes1255[[#This Row],[CUIT]]="","-",VLOOKUP(ventas_b_mes1255[[#This Row],[CUIT]],Lista_CUIT[#All],2,0)),"CUIT NO CARGADO")</f>
        <v>-</v>
      </c>
      <c r="H1665" s="99">
        <f>ventas_b_mes1255[[#This Row],[TOTAL]]/1.21</f>
        <v>0</v>
      </c>
      <c r="I1665" s="64">
        <f>ventas_b_mes1255[[#This Row],[IMPORTE NETO]]*0.21</f>
        <v>0</v>
      </c>
      <c r="J1665" s="140"/>
      <c r="K1665" s="140"/>
      <c r="L1665" s="140"/>
      <c r="M1665" s="59"/>
    </row>
    <row r="1666" spans="2:13" x14ac:dyDescent="0.25">
      <c r="B1666" s="134"/>
      <c r="C1666" s="41"/>
      <c r="D1666" s="136"/>
      <c r="E1666" s="137"/>
      <c r="F1666" s="138"/>
      <c r="G1666" s="1" t="str">
        <f>IFERROR(IF(ventas_b_mes1255[[#This Row],[CUIT]]="","-",VLOOKUP(ventas_b_mes1255[[#This Row],[CUIT]],Lista_CUIT[#All],2,0)),"CUIT NO CARGADO")</f>
        <v>-</v>
      </c>
      <c r="H1666" s="99">
        <f>ventas_b_mes1255[[#This Row],[TOTAL]]/1.21</f>
        <v>0</v>
      </c>
      <c r="I1666" s="64">
        <f>ventas_b_mes1255[[#This Row],[IMPORTE NETO]]*0.21</f>
        <v>0</v>
      </c>
      <c r="J1666" s="140"/>
      <c r="K1666" s="140"/>
      <c r="L1666" s="140"/>
      <c r="M1666" s="59"/>
    </row>
    <row r="1667" spans="2:13" x14ac:dyDescent="0.25">
      <c r="B1667" s="134"/>
      <c r="C1667" s="41"/>
      <c r="D1667" s="136"/>
      <c r="E1667" s="137"/>
      <c r="F1667" s="138"/>
      <c r="G1667" s="1" t="str">
        <f>IFERROR(IF(ventas_b_mes1255[[#This Row],[CUIT]]="","-",VLOOKUP(ventas_b_mes1255[[#This Row],[CUIT]],Lista_CUIT[#All],2,0)),"CUIT NO CARGADO")</f>
        <v>-</v>
      </c>
      <c r="H1667" s="99">
        <f>ventas_b_mes1255[[#This Row],[TOTAL]]/1.21</f>
        <v>0</v>
      </c>
      <c r="I1667" s="64">
        <f>ventas_b_mes1255[[#This Row],[IMPORTE NETO]]*0.21</f>
        <v>0</v>
      </c>
      <c r="J1667" s="140"/>
      <c r="K1667" s="140"/>
      <c r="L1667" s="140"/>
      <c r="M1667" s="59"/>
    </row>
    <row r="1668" spans="2:13" x14ac:dyDescent="0.25">
      <c r="B1668" s="134"/>
      <c r="C1668" s="41"/>
      <c r="D1668" s="136"/>
      <c r="E1668" s="137"/>
      <c r="F1668" s="138"/>
      <c r="G1668" s="1" t="str">
        <f>IFERROR(IF(ventas_b_mes1255[[#This Row],[CUIT]]="","-",VLOOKUP(ventas_b_mes1255[[#This Row],[CUIT]],Lista_CUIT[#All],2,0)),"CUIT NO CARGADO")</f>
        <v>-</v>
      </c>
      <c r="H1668" s="99">
        <f>ventas_b_mes1255[[#This Row],[TOTAL]]/1.21</f>
        <v>0</v>
      </c>
      <c r="I1668" s="64">
        <f>ventas_b_mes1255[[#This Row],[IMPORTE NETO]]*0.21</f>
        <v>0</v>
      </c>
      <c r="J1668" s="140"/>
      <c r="K1668" s="140"/>
      <c r="L1668" s="140"/>
      <c r="M1668" s="59"/>
    </row>
    <row r="1669" spans="2:13" x14ac:dyDescent="0.25">
      <c r="B1669" s="134"/>
      <c r="C1669" s="41"/>
      <c r="D1669" s="136"/>
      <c r="E1669" s="137"/>
      <c r="F1669" s="138"/>
      <c r="G1669" s="1" t="str">
        <f>IFERROR(IF(ventas_b_mes1255[[#This Row],[CUIT]]="","-",VLOOKUP(ventas_b_mes1255[[#This Row],[CUIT]],Lista_CUIT[#All],2,0)),"CUIT NO CARGADO")</f>
        <v>-</v>
      </c>
      <c r="H1669" s="99">
        <f>ventas_b_mes1255[[#This Row],[TOTAL]]/1.21</f>
        <v>0</v>
      </c>
      <c r="I1669" s="64">
        <f>ventas_b_mes1255[[#This Row],[IMPORTE NETO]]*0.21</f>
        <v>0</v>
      </c>
      <c r="J1669" s="140"/>
      <c r="K1669" s="140"/>
      <c r="L1669" s="140"/>
      <c r="M1669" s="59"/>
    </row>
    <row r="1670" spans="2:13" x14ac:dyDescent="0.25">
      <c r="B1670" s="134"/>
      <c r="C1670" s="41"/>
      <c r="D1670" s="136"/>
      <c r="E1670" s="137"/>
      <c r="F1670" s="138"/>
      <c r="G1670" s="1" t="str">
        <f>IFERROR(IF(ventas_b_mes1255[[#This Row],[CUIT]]="","-",VLOOKUP(ventas_b_mes1255[[#This Row],[CUIT]],Lista_CUIT[#All],2,0)),"CUIT NO CARGADO")</f>
        <v>-</v>
      </c>
      <c r="H1670" s="99">
        <f>ventas_b_mes1255[[#This Row],[TOTAL]]/1.21</f>
        <v>0</v>
      </c>
      <c r="I1670" s="64">
        <f>ventas_b_mes1255[[#This Row],[IMPORTE NETO]]*0.21</f>
        <v>0</v>
      </c>
      <c r="J1670" s="140"/>
      <c r="K1670" s="140"/>
      <c r="L1670" s="140"/>
      <c r="M1670" s="59"/>
    </row>
    <row r="1671" spans="2:13" x14ac:dyDescent="0.25">
      <c r="B1671" s="134"/>
      <c r="C1671" s="41"/>
      <c r="D1671" s="136"/>
      <c r="E1671" s="137"/>
      <c r="F1671" s="138"/>
      <c r="G1671" s="1" t="str">
        <f>IFERROR(IF(ventas_b_mes1255[[#This Row],[CUIT]]="","-",VLOOKUP(ventas_b_mes1255[[#This Row],[CUIT]],Lista_CUIT[#All],2,0)),"CUIT NO CARGADO")</f>
        <v>-</v>
      </c>
      <c r="H1671" s="99">
        <f>ventas_b_mes1255[[#This Row],[TOTAL]]/1.21</f>
        <v>0</v>
      </c>
      <c r="I1671" s="64">
        <f>ventas_b_mes1255[[#This Row],[IMPORTE NETO]]*0.21</f>
        <v>0</v>
      </c>
      <c r="J1671" s="140"/>
      <c r="K1671" s="140"/>
      <c r="L1671" s="140"/>
      <c r="M1671" s="59"/>
    </row>
    <row r="1672" spans="2:13" x14ac:dyDescent="0.25">
      <c r="B1672" s="134"/>
      <c r="C1672" s="41"/>
      <c r="D1672" s="136"/>
      <c r="E1672" s="137"/>
      <c r="F1672" s="138"/>
      <c r="G1672" s="1" t="str">
        <f>IFERROR(IF(ventas_b_mes1255[[#This Row],[CUIT]]="","-",VLOOKUP(ventas_b_mes1255[[#This Row],[CUIT]],Lista_CUIT[#All],2,0)),"CUIT NO CARGADO")</f>
        <v>-</v>
      </c>
      <c r="H1672" s="99">
        <f>ventas_b_mes1255[[#This Row],[TOTAL]]/1.21</f>
        <v>0</v>
      </c>
      <c r="I1672" s="64">
        <f>ventas_b_mes1255[[#This Row],[IMPORTE NETO]]*0.21</f>
        <v>0</v>
      </c>
      <c r="J1672" s="140"/>
      <c r="K1672" s="140"/>
      <c r="L1672" s="140"/>
      <c r="M1672" s="59"/>
    </row>
    <row r="1673" spans="2:13" x14ac:dyDescent="0.25">
      <c r="B1673" s="134"/>
      <c r="C1673" s="41"/>
      <c r="D1673" s="136"/>
      <c r="E1673" s="137"/>
      <c r="F1673" s="138"/>
      <c r="G1673" s="1" t="str">
        <f>IFERROR(IF(ventas_b_mes1255[[#This Row],[CUIT]]="","-",VLOOKUP(ventas_b_mes1255[[#This Row],[CUIT]],Lista_CUIT[#All],2,0)),"CUIT NO CARGADO")</f>
        <v>-</v>
      </c>
      <c r="H1673" s="99">
        <f>ventas_b_mes1255[[#This Row],[TOTAL]]/1.21</f>
        <v>0</v>
      </c>
      <c r="I1673" s="64">
        <f>ventas_b_mes1255[[#This Row],[IMPORTE NETO]]*0.21</f>
        <v>0</v>
      </c>
      <c r="J1673" s="140"/>
      <c r="K1673" s="140"/>
      <c r="L1673" s="140"/>
      <c r="M1673" s="59"/>
    </row>
    <row r="1674" spans="2:13" x14ac:dyDescent="0.25">
      <c r="B1674" s="134"/>
      <c r="C1674" s="41"/>
      <c r="D1674" s="136"/>
      <c r="E1674" s="137"/>
      <c r="F1674" s="138"/>
      <c r="G1674" s="1" t="str">
        <f>IFERROR(IF(ventas_b_mes1255[[#This Row],[CUIT]]="","-",VLOOKUP(ventas_b_mes1255[[#This Row],[CUIT]],Lista_CUIT[#All],2,0)),"CUIT NO CARGADO")</f>
        <v>-</v>
      </c>
      <c r="H1674" s="99">
        <f>ventas_b_mes1255[[#This Row],[TOTAL]]/1.21</f>
        <v>0</v>
      </c>
      <c r="I1674" s="64">
        <f>ventas_b_mes1255[[#This Row],[IMPORTE NETO]]*0.21</f>
        <v>0</v>
      </c>
      <c r="J1674" s="140"/>
      <c r="K1674" s="140"/>
      <c r="L1674" s="140"/>
      <c r="M1674" s="59"/>
    </row>
    <row r="1675" spans="2:13" x14ac:dyDescent="0.25">
      <c r="B1675" s="134"/>
      <c r="C1675" s="41"/>
      <c r="D1675" s="136"/>
      <c r="E1675" s="137"/>
      <c r="F1675" s="138"/>
      <c r="G1675" s="1" t="str">
        <f>IFERROR(IF(ventas_b_mes1255[[#This Row],[CUIT]]="","-",VLOOKUP(ventas_b_mes1255[[#This Row],[CUIT]],Lista_CUIT[#All],2,0)),"CUIT NO CARGADO")</f>
        <v>-</v>
      </c>
      <c r="H1675" s="99">
        <f>ventas_b_mes1255[[#This Row],[TOTAL]]/1.21</f>
        <v>0</v>
      </c>
      <c r="I1675" s="64">
        <f>ventas_b_mes1255[[#This Row],[IMPORTE NETO]]*0.21</f>
        <v>0</v>
      </c>
      <c r="J1675" s="140"/>
      <c r="K1675" s="140"/>
      <c r="L1675" s="140"/>
      <c r="M1675" s="59"/>
    </row>
    <row r="1676" spans="2:13" x14ac:dyDescent="0.25">
      <c r="B1676" s="134"/>
      <c r="C1676" s="41"/>
      <c r="D1676" s="136"/>
      <c r="E1676" s="137"/>
      <c r="F1676" s="138"/>
      <c r="G1676" s="1" t="str">
        <f>IFERROR(IF(ventas_b_mes1255[[#This Row],[CUIT]]="","-",VLOOKUP(ventas_b_mes1255[[#This Row],[CUIT]],Lista_CUIT[#All],2,0)),"CUIT NO CARGADO")</f>
        <v>-</v>
      </c>
      <c r="H1676" s="99">
        <f>ventas_b_mes1255[[#This Row],[TOTAL]]/1.21</f>
        <v>0</v>
      </c>
      <c r="I1676" s="64"/>
      <c r="J1676" s="140"/>
      <c r="K1676" s="140"/>
      <c r="L1676" s="140"/>
      <c r="M1676" s="59"/>
    </row>
    <row r="1677" spans="2:13" x14ac:dyDescent="0.25">
      <c r="B1677" s="134"/>
      <c r="C1677" s="41"/>
      <c r="D1677" s="136"/>
      <c r="E1677" s="137"/>
      <c r="F1677" s="138"/>
      <c r="G1677" s="1" t="str">
        <f>IFERROR(IF(ventas_b_mes1255[[#This Row],[CUIT]]="","-",VLOOKUP(ventas_b_mes1255[[#This Row],[CUIT]],Lista_CUIT[#All],2,0)),"CUIT NO CARGADO")</f>
        <v>-</v>
      </c>
      <c r="H1677" s="99">
        <f>ventas_b_mes1255[[#This Row],[TOTAL]]/1.21</f>
        <v>0</v>
      </c>
      <c r="I1677" s="64">
        <f>ventas_b_mes1255[[#This Row],[IMPORTE NETO]]*0.21</f>
        <v>0</v>
      </c>
      <c r="J1677" s="140"/>
      <c r="K1677" s="140"/>
      <c r="L1677" s="140"/>
      <c r="M1677" s="59"/>
    </row>
    <row r="1678" spans="2:13" x14ac:dyDescent="0.25">
      <c r="B1678" s="134"/>
      <c r="C1678" s="41"/>
      <c r="D1678" s="136"/>
      <c r="E1678" s="137"/>
      <c r="F1678" s="138"/>
      <c r="G1678" s="1" t="str">
        <f>IFERROR(IF(ventas_b_mes1255[[#This Row],[CUIT]]="","-",VLOOKUP(ventas_b_mes1255[[#This Row],[CUIT]],Lista_CUIT[#All],2,0)),"CUIT NO CARGADO")</f>
        <v>-</v>
      </c>
      <c r="H1678" s="99">
        <f>ventas_b_mes1255[[#This Row],[TOTAL]]/1.21</f>
        <v>0</v>
      </c>
      <c r="I1678" s="64">
        <f>ventas_b_mes1255[[#This Row],[IMPORTE NETO]]*0.21</f>
        <v>0</v>
      </c>
      <c r="J1678" s="140"/>
      <c r="K1678" s="140"/>
      <c r="L1678" s="140"/>
      <c r="M1678" s="59"/>
    </row>
    <row r="1679" spans="2:13" x14ac:dyDescent="0.25">
      <c r="B1679" s="134"/>
      <c r="C1679" s="41"/>
      <c r="D1679" s="136"/>
      <c r="E1679" s="137"/>
      <c r="F1679" s="138"/>
      <c r="G1679" s="1" t="str">
        <f>IFERROR(IF(ventas_b_mes1255[[#This Row],[CUIT]]="","-",VLOOKUP(ventas_b_mes1255[[#This Row],[CUIT]],Lista_CUIT[#All],2,0)),"CUIT NO CARGADO")</f>
        <v>-</v>
      </c>
      <c r="H1679" s="99">
        <f>ventas_b_mes1255[[#This Row],[TOTAL]]/1.21</f>
        <v>0</v>
      </c>
      <c r="I1679" s="64">
        <f>ventas_b_mes1255[[#This Row],[IMPORTE NETO]]*0.21</f>
        <v>0</v>
      </c>
      <c r="J1679" s="140"/>
      <c r="K1679" s="140"/>
      <c r="L1679" s="140"/>
      <c r="M1679" s="59"/>
    </row>
    <row r="1680" spans="2:13" x14ac:dyDescent="0.25">
      <c r="B1680" s="134"/>
      <c r="C1680" s="41"/>
      <c r="D1680" s="136"/>
      <c r="E1680" s="137"/>
      <c r="F1680" s="138"/>
      <c r="G1680" s="1" t="str">
        <f>IFERROR(IF(ventas_b_mes1255[[#This Row],[CUIT]]="","-",VLOOKUP(ventas_b_mes1255[[#This Row],[CUIT]],Lista_CUIT[#All],2,0)),"CUIT NO CARGADO")</f>
        <v>-</v>
      </c>
      <c r="H1680" s="99">
        <f>ventas_b_mes1255[[#This Row],[TOTAL]]/1.21</f>
        <v>0</v>
      </c>
      <c r="I1680" s="64">
        <f>ventas_b_mes1255[[#This Row],[IMPORTE NETO]]*0.21</f>
        <v>0</v>
      </c>
      <c r="J1680" s="140"/>
      <c r="K1680" s="140"/>
      <c r="L1680" s="140"/>
      <c r="M1680" s="59"/>
    </row>
    <row r="1681" spans="2:13" x14ac:dyDescent="0.25">
      <c r="B1681" s="134"/>
      <c r="C1681" s="41"/>
      <c r="D1681" s="136"/>
      <c r="E1681" s="137"/>
      <c r="F1681" s="138"/>
      <c r="G1681" s="1" t="str">
        <f>IFERROR(IF(ventas_b_mes1255[[#This Row],[CUIT]]="","-",VLOOKUP(ventas_b_mes1255[[#This Row],[CUIT]],Lista_CUIT[#All],2,0)),"CUIT NO CARGADO")</f>
        <v>-</v>
      </c>
      <c r="H1681" s="99">
        <f>ventas_b_mes1255[[#This Row],[TOTAL]]/1.21</f>
        <v>0</v>
      </c>
      <c r="I1681" s="64">
        <f>ventas_b_mes1255[[#This Row],[IMPORTE NETO]]*0.21</f>
        <v>0</v>
      </c>
      <c r="J1681" s="140"/>
      <c r="K1681" s="140"/>
      <c r="L1681" s="140"/>
      <c r="M1681" s="59"/>
    </row>
    <row r="1682" spans="2:13" x14ac:dyDescent="0.25">
      <c r="B1682" s="134"/>
      <c r="C1682" s="41"/>
      <c r="D1682" s="136"/>
      <c r="E1682" s="137"/>
      <c r="F1682" s="138"/>
      <c r="G1682" s="1" t="str">
        <f>IFERROR(IF(ventas_b_mes1255[[#This Row],[CUIT]]="","-",VLOOKUP(ventas_b_mes1255[[#This Row],[CUIT]],Lista_CUIT[#All],2,0)),"CUIT NO CARGADO")</f>
        <v>-</v>
      </c>
      <c r="H1682" s="99">
        <f>ventas_b_mes1255[[#This Row],[TOTAL]]/1.21</f>
        <v>0</v>
      </c>
      <c r="I1682" s="64">
        <f>ventas_b_mes1255[[#This Row],[IMPORTE NETO]]*0.21</f>
        <v>0</v>
      </c>
      <c r="J1682" s="140"/>
      <c r="K1682" s="140"/>
      <c r="L1682" s="140"/>
      <c r="M1682" s="59"/>
    </row>
    <row r="1683" spans="2:13" x14ac:dyDescent="0.25">
      <c r="B1683" s="134"/>
      <c r="C1683" s="41"/>
      <c r="D1683" s="136"/>
      <c r="E1683" s="137"/>
      <c r="F1683" s="138"/>
      <c r="G1683" s="1" t="str">
        <f>IFERROR(IF(ventas_b_mes1255[[#This Row],[CUIT]]="","-",VLOOKUP(ventas_b_mes1255[[#This Row],[CUIT]],Lista_CUIT[#All],2,0)),"CUIT NO CARGADO")</f>
        <v>-</v>
      </c>
      <c r="H1683" s="99">
        <f>ventas_b_mes1255[[#This Row],[TOTAL]]/1.21</f>
        <v>0</v>
      </c>
      <c r="I1683" s="64">
        <f>ventas_b_mes1255[[#This Row],[IMPORTE NETO]]*0.21</f>
        <v>0</v>
      </c>
      <c r="J1683" s="140"/>
      <c r="K1683" s="140"/>
      <c r="L1683" s="140"/>
      <c r="M1683" s="59"/>
    </row>
    <row r="1684" spans="2:13" x14ac:dyDescent="0.25">
      <c r="B1684" s="134"/>
      <c r="C1684" s="41"/>
      <c r="D1684" s="136"/>
      <c r="E1684" s="137"/>
      <c r="F1684" s="138"/>
      <c r="G1684" s="1" t="str">
        <f>IFERROR(IF(ventas_b_mes1255[[#This Row],[CUIT]]="","-",VLOOKUP(ventas_b_mes1255[[#This Row],[CUIT]],Lista_CUIT[#All],2,0)),"CUIT NO CARGADO")</f>
        <v>-</v>
      </c>
      <c r="H1684" s="99">
        <f>ventas_b_mes1255[[#This Row],[TOTAL]]/1.21</f>
        <v>0</v>
      </c>
      <c r="I1684" s="64">
        <f>ventas_b_mes1255[[#This Row],[IMPORTE NETO]]*0.21</f>
        <v>0</v>
      </c>
      <c r="J1684" s="140"/>
      <c r="K1684" s="140"/>
      <c r="L1684" s="140"/>
      <c r="M1684" s="59"/>
    </row>
    <row r="1685" spans="2:13" x14ac:dyDescent="0.25">
      <c r="B1685" s="134"/>
      <c r="C1685" s="41"/>
      <c r="D1685" s="136"/>
      <c r="E1685" s="137"/>
      <c r="F1685" s="138"/>
      <c r="G1685" s="1" t="str">
        <f>IFERROR(IF(ventas_b_mes1255[[#This Row],[CUIT]]="","-",VLOOKUP(ventas_b_mes1255[[#This Row],[CUIT]],Lista_CUIT[#All],2,0)),"CUIT NO CARGADO")</f>
        <v>-</v>
      </c>
      <c r="H1685" s="99">
        <f>ventas_b_mes1255[[#This Row],[TOTAL]]/1.21</f>
        <v>0</v>
      </c>
      <c r="I1685" s="64">
        <f>ventas_b_mes1255[[#This Row],[IMPORTE NETO]]*0.21</f>
        <v>0</v>
      </c>
      <c r="J1685" s="140"/>
      <c r="K1685" s="140"/>
      <c r="L1685" s="140"/>
      <c r="M1685" s="59"/>
    </row>
    <row r="1686" spans="2:13" x14ac:dyDescent="0.25">
      <c r="B1686" s="134"/>
      <c r="C1686" s="41"/>
      <c r="D1686" s="136"/>
      <c r="E1686" s="137"/>
      <c r="F1686" s="138"/>
      <c r="G1686" s="1" t="str">
        <f>IFERROR(IF(ventas_b_mes1255[[#This Row],[CUIT]]="","-",VLOOKUP(ventas_b_mes1255[[#This Row],[CUIT]],Lista_CUIT[#All],2,0)),"CUIT NO CARGADO")</f>
        <v>-</v>
      </c>
      <c r="H1686" s="99">
        <f>ventas_b_mes1255[[#This Row],[TOTAL]]/1.21</f>
        <v>0</v>
      </c>
      <c r="I1686" s="64">
        <f>ventas_b_mes1255[[#This Row],[IMPORTE NETO]]*0.21</f>
        <v>0</v>
      </c>
      <c r="J1686" s="140"/>
      <c r="K1686" s="140"/>
      <c r="L1686" s="140"/>
      <c r="M1686" s="59"/>
    </row>
    <row r="1687" spans="2:13" x14ac:dyDescent="0.25">
      <c r="B1687" s="134"/>
      <c r="C1687" s="41"/>
      <c r="D1687" s="136"/>
      <c r="E1687" s="137"/>
      <c r="F1687" s="138"/>
      <c r="G1687" s="1" t="str">
        <f>IFERROR(IF(ventas_b_mes1255[[#This Row],[CUIT]]="","-",VLOOKUP(ventas_b_mes1255[[#This Row],[CUIT]],Lista_CUIT[#All],2,0)),"CUIT NO CARGADO")</f>
        <v>-</v>
      </c>
      <c r="H1687" s="99">
        <f>ventas_b_mes1255[[#This Row],[TOTAL]]/1.21</f>
        <v>0</v>
      </c>
      <c r="I1687" s="64">
        <f>ventas_b_mes1255[[#This Row],[IMPORTE NETO]]*0.21</f>
        <v>0</v>
      </c>
      <c r="J1687" s="140"/>
      <c r="K1687" s="140"/>
      <c r="L1687" s="140"/>
      <c r="M1687" s="59"/>
    </row>
    <row r="1688" spans="2:13" x14ac:dyDescent="0.25">
      <c r="B1688" s="134"/>
      <c r="C1688" s="41"/>
      <c r="D1688" s="136"/>
      <c r="E1688" s="137"/>
      <c r="F1688" s="138"/>
      <c r="G1688" s="1" t="str">
        <f>IFERROR(IF(ventas_b_mes1255[[#This Row],[CUIT]]="","-",VLOOKUP(ventas_b_mes1255[[#This Row],[CUIT]],Lista_CUIT[#All],2,0)),"CUIT NO CARGADO")</f>
        <v>-</v>
      </c>
      <c r="H1688" s="99">
        <f>ventas_b_mes1255[[#This Row],[TOTAL]]/1.21</f>
        <v>0</v>
      </c>
      <c r="I1688" s="64">
        <f>ventas_b_mes1255[[#This Row],[IMPORTE NETO]]*0.21</f>
        <v>0</v>
      </c>
      <c r="J1688" s="140"/>
      <c r="K1688" s="140"/>
      <c r="L1688" s="140"/>
      <c r="M1688" s="59"/>
    </row>
    <row r="1689" spans="2:13" x14ac:dyDescent="0.25">
      <c r="B1689" s="134"/>
      <c r="C1689" s="41"/>
      <c r="D1689" s="136"/>
      <c r="E1689" s="137"/>
      <c r="F1689" s="138"/>
      <c r="G1689" s="1" t="str">
        <f>IFERROR(IF(ventas_b_mes1255[[#This Row],[CUIT]]="","-",VLOOKUP(ventas_b_mes1255[[#This Row],[CUIT]],Lista_CUIT[#All],2,0)),"CUIT NO CARGADO")</f>
        <v>-</v>
      </c>
      <c r="H1689" s="99">
        <f>ventas_b_mes1255[[#This Row],[TOTAL]]/1.21</f>
        <v>0</v>
      </c>
      <c r="I1689" s="64">
        <f>ventas_b_mes1255[[#This Row],[IMPORTE NETO]]*0.21</f>
        <v>0</v>
      </c>
      <c r="J1689" s="140"/>
      <c r="K1689" s="140"/>
      <c r="L1689" s="140"/>
      <c r="M1689" s="59"/>
    </row>
    <row r="1690" spans="2:13" x14ac:dyDescent="0.25">
      <c r="B1690" s="134"/>
      <c r="C1690" s="41"/>
      <c r="D1690" s="136"/>
      <c r="E1690" s="137"/>
      <c r="F1690" s="138"/>
      <c r="G1690" s="1" t="str">
        <f>IFERROR(IF(ventas_b_mes1255[[#This Row],[CUIT]]="","-",VLOOKUP(ventas_b_mes1255[[#This Row],[CUIT]],Lista_CUIT[#All],2,0)),"CUIT NO CARGADO")</f>
        <v>-</v>
      </c>
      <c r="H1690" s="99">
        <f>ventas_b_mes1255[[#This Row],[TOTAL]]/1.21</f>
        <v>0</v>
      </c>
      <c r="I1690" s="64">
        <f>ventas_b_mes1255[[#This Row],[IMPORTE NETO]]*0.21</f>
        <v>0</v>
      </c>
      <c r="J1690" s="140"/>
      <c r="K1690" s="140"/>
      <c r="L1690" s="140"/>
      <c r="M1690" s="59"/>
    </row>
    <row r="1691" spans="2:13" x14ac:dyDescent="0.25">
      <c r="B1691" s="134"/>
      <c r="C1691" s="41"/>
      <c r="D1691" s="136"/>
      <c r="E1691" s="137"/>
      <c r="F1691" s="138"/>
      <c r="G1691" s="1" t="str">
        <f>IFERROR(IF(ventas_b_mes1255[[#This Row],[CUIT]]="","-",VLOOKUP(ventas_b_mes1255[[#This Row],[CUIT]],Lista_CUIT[#All],2,0)),"CUIT NO CARGADO")</f>
        <v>-</v>
      </c>
      <c r="H1691" s="99">
        <f>ventas_b_mes1255[[#This Row],[TOTAL]]/1.21</f>
        <v>0</v>
      </c>
      <c r="I1691" s="64">
        <f>ventas_b_mes1255[[#This Row],[IMPORTE NETO]]*0.21</f>
        <v>0</v>
      </c>
      <c r="J1691" s="140"/>
      <c r="K1691" s="140"/>
      <c r="L1691" s="140"/>
      <c r="M1691" s="59"/>
    </row>
    <row r="1692" spans="2:13" x14ac:dyDescent="0.25">
      <c r="B1692" s="134"/>
      <c r="C1692" s="41"/>
      <c r="D1692" s="136"/>
      <c r="E1692" s="137"/>
      <c r="F1692" s="138"/>
      <c r="G1692" s="1" t="str">
        <f>IFERROR(IF(ventas_b_mes1255[[#This Row],[CUIT]]="","-",VLOOKUP(ventas_b_mes1255[[#This Row],[CUIT]],Lista_CUIT[#All],2,0)),"CUIT NO CARGADO")</f>
        <v>-</v>
      </c>
      <c r="H1692" s="99">
        <f>ventas_b_mes1255[[#This Row],[TOTAL]]/1.21</f>
        <v>0</v>
      </c>
      <c r="I1692" s="64">
        <f>ventas_b_mes1255[[#This Row],[IMPORTE NETO]]*0.21</f>
        <v>0</v>
      </c>
      <c r="J1692" s="140"/>
      <c r="K1692" s="140"/>
      <c r="L1692" s="140"/>
      <c r="M1692" s="59"/>
    </row>
    <row r="1693" spans="2:13" x14ac:dyDescent="0.25">
      <c r="B1693" s="134"/>
      <c r="C1693" s="41"/>
      <c r="D1693" s="136"/>
      <c r="E1693" s="137"/>
      <c r="F1693" s="138"/>
      <c r="G1693" s="1" t="str">
        <f>IFERROR(IF(ventas_b_mes1255[[#This Row],[CUIT]]="","-",VLOOKUP(ventas_b_mes1255[[#This Row],[CUIT]],Lista_CUIT[#All],2,0)),"CUIT NO CARGADO")</f>
        <v>-</v>
      </c>
      <c r="H1693" s="99">
        <f>ventas_b_mes1255[[#This Row],[TOTAL]]/1.21</f>
        <v>0</v>
      </c>
      <c r="I1693" s="64">
        <f>ventas_b_mes1255[[#This Row],[IMPORTE NETO]]*0.21</f>
        <v>0</v>
      </c>
      <c r="J1693" s="140"/>
      <c r="K1693" s="140"/>
      <c r="L1693" s="140"/>
      <c r="M1693" s="59"/>
    </row>
    <row r="1694" spans="2:13" x14ac:dyDescent="0.25">
      <c r="B1694" s="134"/>
      <c r="C1694" s="41"/>
      <c r="D1694" s="136"/>
      <c r="E1694" s="137"/>
      <c r="F1694" s="138"/>
      <c r="G1694" s="1" t="str">
        <f>IFERROR(IF(ventas_b_mes1255[[#This Row],[CUIT]]="","-",VLOOKUP(ventas_b_mes1255[[#This Row],[CUIT]],Lista_CUIT[#All],2,0)),"CUIT NO CARGADO")</f>
        <v>-</v>
      </c>
      <c r="H1694" s="99">
        <f>ventas_b_mes1255[[#This Row],[TOTAL]]/1.21</f>
        <v>0</v>
      </c>
      <c r="I1694" s="64">
        <f>ventas_b_mes1255[[#This Row],[IMPORTE NETO]]*0.21</f>
        <v>0</v>
      </c>
      <c r="J1694" s="140"/>
      <c r="K1694" s="140"/>
      <c r="L1694" s="140"/>
      <c r="M1694" s="59"/>
    </row>
    <row r="1695" spans="2:13" x14ac:dyDescent="0.25">
      <c r="B1695" s="134"/>
      <c r="C1695" s="41"/>
      <c r="D1695" s="136"/>
      <c r="E1695" s="137"/>
      <c r="F1695" s="138"/>
      <c r="G1695" s="1" t="str">
        <f>IFERROR(IF(ventas_b_mes1255[[#This Row],[CUIT]]="","-",VLOOKUP(ventas_b_mes1255[[#This Row],[CUIT]],Lista_CUIT[#All],2,0)),"CUIT NO CARGADO")</f>
        <v>-</v>
      </c>
      <c r="H1695" s="99">
        <f>ventas_b_mes1255[[#This Row],[TOTAL]]/1.21</f>
        <v>0</v>
      </c>
      <c r="I1695" s="64">
        <f>ventas_b_mes1255[[#This Row],[IMPORTE NETO]]*0.21</f>
        <v>0</v>
      </c>
      <c r="J1695" s="140"/>
      <c r="K1695" s="140"/>
      <c r="L1695" s="140"/>
      <c r="M1695" s="59"/>
    </row>
    <row r="1696" spans="2:13" x14ac:dyDescent="0.25">
      <c r="B1696" s="134"/>
      <c r="C1696" s="41"/>
      <c r="D1696" s="136"/>
      <c r="E1696" s="137"/>
      <c r="F1696" s="138"/>
      <c r="G1696" s="1" t="str">
        <f>IFERROR(IF(ventas_b_mes1255[[#This Row],[CUIT]]="","-",VLOOKUP(ventas_b_mes1255[[#This Row],[CUIT]],Lista_CUIT[#All],2,0)),"CUIT NO CARGADO")</f>
        <v>-</v>
      </c>
      <c r="H1696" s="99">
        <f>ventas_b_mes1255[[#This Row],[TOTAL]]/1.21</f>
        <v>0</v>
      </c>
      <c r="I1696" s="64">
        <f>ventas_b_mes1255[[#This Row],[IMPORTE NETO]]*0.21</f>
        <v>0</v>
      </c>
      <c r="J1696" s="140"/>
      <c r="K1696" s="140"/>
      <c r="L1696" s="140"/>
      <c r="M1696" s="59"/>
    </row>
    <row r="1697" spans="2:13" x14ac:dyDescent="0.25">
      <c r="B1697" s="134"/>
      <c r="C1697" s="41"/>
      <c r="D1697" s="136"/>
      <c r="E1697" s="137"/>
      <c r="F1697" s="138"/>
      <c r="G1697" s="1" t="str">
        <f>IFERROR(IF(ventas_b_mes1255[[#This Row],[CUIT]]="","-",VLOOKUP(ventas_b_mes1255[[#This Row],[CUIT]],Lista_CUIT[#All],2,0)),"CUIT NO CARGADO")</f>
        <v>-</v>
      </c>
      <c r="H1697" s="99">
        <f>ventas_b_mes1255[[#This Row],[TOTAL]]/1.21</f>
        <v>0</v>
      </c>
      <c r="I1697" s="64">
        <f>ventas_b_mes1255[[#This Row],[IMPORTE NETO]]*0.21</f>
        <v>0</v>
      </c>
      <c r="J1697" s="140"/>
      <c r="K1697" s="140"/>
      <c r="L1697" s="140"/>
      <c r="M1697" s="59"/>
    </row>
    <row r="1698" spans="2:13" x14ac:dyDescent="0.25">
      <c r="B1698" s="134"/>
      <c r="C1698" s="41"/>
      <c r="D1698" s="136"/>
      <c r="E1698" s="137"/>
      <c r="F1698" s="138"/>
      <c r="G1698" s="1" t="str">
        <f>IFERROR(IF(ventas_b_mes1255[[#This Row],[CUIT]]="","-",VLOOKUP(ventas_b_mes1255[[#This Row],[CUIT]],Lista_CUIT[#All],2,0)),"CUIT NO CARGADO")</f>
        <v>-</v>
      </c>
      <c r="H1698" s="99">
        <f>ventas_b_mes1255[[#This Row],[TOTAL]]/1.21</f>
        <v>0</v>
      </c>
      <c r="I1698" s="64">
        <f>ventas_b_mes1255[[#This Row],[IMPORTE NETO]]*0.21</f>
        <v>0</v>
      </c>
      <c r="J1698" s="140"/>
      <c r="K1698" s="140"/>
      <c r="L1698" s="140"/>
      <c r="M1698" s="59"/>
    </row>
    <row r="1699" spans="2:13" x14ac:dyDescent="0.25">
      <c r="B1699" s="134"/>
      <c r="C1699" s="41"/>
      <c r="D1699" s="136"/>
      <c r="E1699" s="137"/>
      <c r="F1699" s="138"/>
      <c r="G1699" s="1" t="str">
        <f>IFERROR(IF(ventas_b_mes1255[[#This Row],[CUIT]]="","-",VLOOKUP(ventas_b_mes1255[[#This Row],[CUIT]],Lista_CUIT[#All],2,0)),"CUIT NO CARGADO")</f>
        <v>-</v>
      </c>
      <c r="H1699" s="99">
        <f>ventas_b_mes1255[[#This Row],[TOTAL]]/1.21</f>
        <v>0</v>
      </c>
      <c r="I1699" s="64">
        <f>ventas_b_mes1255[[#This Row],[IMPORTE NETO]]*0.21</f>
        <v>0</v>
      </c>
      <c r="J1699" s="140"/>
      <c r="K1699" s="140"/>
      <c r="L1699" s="140"/>
      <c r="M1699" s="59"/>
    </row>
    <row r="1700" spans="2:13" x14ac:dyDescent="0.25">
      <c r="B1700" s="134"/>
      <c r="C1700" s="41"/>
      <c r="D1700" s="136"/>
      <c r="E1700" s="137"/>
      <c r="F1700" s="138"/>
      <c r="G1700" s="1" t="str">
        <f>IFERROR(IF(ventas_b_mes1255[[#This Row],[CUIT]]="","-",VLOOKUP(ventas_b_mes1255[[#This Row],[CUIT]],Lista_CUIT[#All],2,0)),"CUIT NO CARGADO")</f>
        <v>-</v>
      </c>
      <c r="H1700" s="99">
        <f>ventas_b_mes1255[[#This Row],[TOTAL]]/1.21</f>
        <v>0</v>
      </c>
      <c r="I1700" s="64">
        <f>ventas_b_mes1255[[#This Row],[IMPORTE NETO]]*0.21</f>
        <v>0</v>
      </c>
      <c r="J1700" s="140"/>
      <c r="K1700" s="140"/>
      <c r="L1700" s="140"/>
      <c r="M1700" s="59"/>
    </row>
    <row r="1701" spans="2:13" x14ac:dyDescent="0.25">
      <c r="B1701" s="134"/>
      <c r="C1701" s="41"/>
      <c r="D1701" s="136"/>
      <c r="E1701" s="137"/>
      <c r="F1701" s="138"/>
      <c r="G1701" s="1" t="str">
        <f>IFERROR(IF(ventas_b_mes1255[[#This Row],[CUIT]]="","-",VLOOKUP(ventas_b_mes1255[[#This Row],[CUIT]],Lista_CUIT[#All],2,0)),"CUIT NO CARGADO")</f>
        <v>-</v>
      </c>
      <c r="H1701" s="99">
        <f>ventas_b_mes1255[[#This Row],[TOTAL]]/1.21</f>
        <v>0</v>
      </c>
      <c r="I1701" s="64">
        <f>ventas_b_mes1255[[#This Row],[IMPORTE NETO]]*0.21</f>
        <v>0</v>
      </c>
      <c r="J1701" s="140"/>
      <c r="K1701" s="140"/>
      <c r="L1701" s="140"/>
      <c r="M1701" s="59"/>
    </row>
    <row r="1702" spans="2:13" x14ac:dyDescent="0.25">
      <c r="B1702" s="134"/>
      <c r="C1702" s="41"/>
      <c r="D1702" s="136"/>
      <c r="E1702" s="137"/>
      <c r="F1702" s="138"/>
      <c r="G1702" s="1" t="str">
        <f>IFERROR(IF(ventas_b_mes1255[[#This Row],[CUIT]]="","-",VLOOKUP(ventas_b_mes1255[[#This Row],[CUIT]],Lista_CUIT[#All],2,0)),"CUIT NO CARGADO")</f>
        <v>-</v>
      </c>
      <c r="H1702" s="99">
        <f>ventas_b_mes1255[[#This Row],[TOTAL]]/1.21</f>
        <v>0</v>
      </c>
      <c r="I1702" s="64">
        <f>ventas_b_mes1255[[#This Row],[IMPORTE NETO]]*0.21</f>
        <v>0</v>
      </c>
      <c r="J1702" s="140"/>
      <c r="K1702" s="140"/>
      <c r="L1702" s="140"/>
      <c r="M1702" s="59"/>
    </row>
    <row r="1703" spans="2:13" x14ac:dyDescent="0.25">
      <c r="B1703" s="134"/>
      <c r="C1703" s="41"/>
      <c r="D1703" s="136"/>
      <c r="E1703" s="137"/>
      <c r="F1703" s="138"/>
      <c r="G1703" s="1" t="str">
        <f>IFERROR(IF(ventas_b_mes1255[[#This Row],[CUIT]]="","-",VLOOKUP(ventas_b_mes1255[[#This Row],[CUIT]],Lista_CUIT[#All],2,0)),"CUIT NO CARGADO")</f>
        <v>-</v>
      </c>
      <c r="H1703" s="99">
        <f>ventas_b_mes1255[[#This Row],[TOTAL]]/1.21</f>
        <v>0</v>
      </c>
      <c r="I1703" s="64">
        <f>ventas_b_mes1255[[#This Row],[IMPORTE NETO]]*0.21</f>
        <v>0</v>
      </c>
      <c r="J1703" s="140"/>
      <c r="K1703" s="140"/>
      <c r="L1703" s="140"/>
      <c r="M1703" s="59"/>
    </row>
    <row r="1704" spans="2:13" x14ac:dyDescent="0.25">
      <c r="B1704" s="134"/>
      <c r="C1704" s="41"/>
      <c r="D1704" s="136"/>
      <c r="E1704" s="137"/>
      <c r="F1704" s="138"/>
      <c r="G1704" s="1" t="str">
        <f>IFERROR(IF(ventas_b_mes1255[[#This Row],[CUIT]]="","-",VLOOKUP(ventas_b_mes1255[[#This Row],[CUIT]],Lista_CUIT[#All],2,0)),"CUIT NO CARGADO")</f>
        <v>-</v>
      </c>
      <c r="H1704" s="99">
        <f>ventas_b_mes1255[[#This Row],[TOTAL]]/1.21</f>
        <v>0</v>
      </c>
      <c r="I1704" s="64">
        <f>ventas_b_mes1255[[#This Row],[IMPORTE NETO]]*0.21</f>
        <v>0</v>
      </c>
      <c r="J1704" s="140"/>
      <c r="K1704" s="140"/>
      <c r="L1704" s="140"/>
      <c r="M1704" s="59"/>
    </row>
    <row r="1705" spans="2:13" x14ac:dyDescent="0.25">
      <c r="B1705" s="134"/>
      <c r="C1705" s="41"/>
      <c r="D1705" s="136"/>
      <c r="E1705" s="137"/>
      <c r="F1705" s="138"/>
      <c r="G1705" s="1" t="str">
        <f>IFERROR(IF(ventas_b_mes1255[[#This Row],[CUIT]]="","-",VLOOKUP(ventas_b_mes1255[[#This Row],[CUIT]],Lista_CUIT[#All],2,0)),"CUIT NO CARGADO")</f>
        <v>-</v>
      </c>
      <c r="H1705" s="99">
        <f>ventas_b_mes1255[[#This Row],[TOTAL]]/1.21</f>
        <v>0</v>
      </c>
      <c r="I1705" s="64">
        <f>ventas_b_mes1255[[#This Row],[IMPORTE NETO]]*0.21</f>
        <v>0</v>
      </c>
      <c r="J1705" s="140"/>
      <c r="K1705" s="140"/>
      <c r="L1705" s="140"/>
      <c r="M1705" s="59"/>
    </row>
    <row r="1706" spans="2:13" x14ac:dyDescent="0.25">
      <c r="B1706" s="134"/>
      <c r="C1706" s="41"/>
      <c r="D1706" s="136"/>
      <c r="E1706" s="137"/>
      <c r="F1706" s="138"/>
      <c r="G1706" s="1" t="str">
        <f>IFERROR(IF(ventas_b_mes1255[[#This Row],[CUIT]]="","-",VLOOKUP(ventas_b_mes1255[[#This Row],[CUIT]],Lista_CUIT[#All],2,0)),"CUIT NO CARGADO")</f>
        <v>-</v>
      </c>
      <c r="H1706" s="99">
        <f>ventas_b_mes1255[[#This Row],[TOTAL]]/1.21</f>
        <v>0</v>
      </c>
      <c r="I1706" s="64">
        <f>ventas_b_mes1255[[#This Row],[IMPORTE NETO]]*0.21</f>
        <v>0</v>
      </c>
      <c r="J1706" s="140"/>
      <c r="K1706" s="140"/>
      <c r="L1706" s="140"/>
      <c r="M1706" s="59"/>
    </row>
    <row r="1707" spans="2:13" x14ac:dyDescent="0.25">
      <c r="B1707" s="134"/>
      <c r="C1707" s="41"/>
      <c r="D1707" s="136"/>
      <c r="E1707" s="137"/>
      <c r="F1707" s="138"/>
      <c r="G1707" s="1" t="str">
        <f>IFERROR(IF(ventas_b_mes1255[[#This Row],[CUIT]]="","-",VLOOKUP(ventas_b_mes1255[[#This Row],[CUIT]],Lista_CUIT[#All],2,0)),"CUIT NO CARGADO")</f>
        <v>-</v>
      </c>
      <c r="H1707" s="99">
        <f>ventas_b_mes1255[[#This Row],[TOTAL]]/1.21</f>
        <v>0</v>
      </c>
      <c r="I1707" s="64">
        <f>ventas_b_mes1255[[#This Row],[IMPORTE NETO]]*0.21</f>
        <v>0</v>
      </c>
      <c r="J1707" s="140"/>
      <c r="K1707" s="140"/>
      <c r="L1707" s="140"/>
      <c r="M1707" s="59"/>
    </row>
    <row r="1708" spans="2:13" x14ac:dyDescent="0.25">
      <c r="B1708" s="134"/>
      <c r="C1708" s="41"/>
      <c r="D1708" s="136"/>
      <c r="E1708" s="137"/>
      <c r="F1708" s="138"/>
      <c r="G1708" s="1" t="str">
        <f>IFERROR(IF(ventas_b_mes1255[[#This Row],[CUIT]]="","-",VLOOKUP(ventas_b_mes1255[[#This Row],[CUIT]],Lista_CUIT[#All],2,0)),"CUIT NO CARGADO")</f>
        <v>-</v>
      </c>
      <c r="H1708" s="99">
        <f>ventas_b_mes1255[[#This Row],[TOTAL]]/1.21</f>
        <v>0</v>
      </c>
      <c r="I1708" s="64">
        <f>ventas_b_mes1255[[#This Row],[IMPORTE NETO]]*0.21</f>
        <v>0</v>
      </c>
      <c r="J1708" s="140"/>
      <c r="K1708" s="140"/>
      <c r="L1708" s="140"/>
      <c r="M1708" s="59"/>
    </row>
    <row r="1709" spans="2:13" x14ac:dyDescent="0.25">
      <c r="B1709" s="134"/>
      <c r="C1709" s="41"/>
      <c r="D1709" s="136"/>
      <c r="E1709" s="137"/>
      <c r="F1709" s="138"/>
      <c r="G1709" s="1" t="str">
        <f>IFERROR(IF(ventas_b_mes1255[[#This Row],[CUIT]]="","-",VLOOKUP(ventas_b_mes1255[[#This Row],[CUIT]],Lista_CUIT[#All],2,0)),"CUIT NO CARGADO")</f>
        <v>-</v>
      </c>
      <c r="H1709" s="99">
        <f>ventas_b_mes1255[[#This Row],[TOTAL]]/1.21</f>
        <v>0</v>
      </c>
      <c r="I1709" s="64">
        <f>ventas_b_mes1255[[#This Row],[IMPORTE NETO]]*0.21</f>
        <v>0</v>
      </c>
      <c r="J1709" s="140"/>
      <c r="K1709" s="140"/>
      <c r="L1709" s="140"/>
      <c r="M1709" s="59"/>
    </row>
    <row r="1710" spans="2:13" x14ac:dyDescent="0.25">
      <c r="B1710" s="134"/>
      <c r="C1710" s="41"/>
      <c r="D1710" s="136"/>
      <c r="E1710" s="137"/>
      <c r="F1710" s="138"/>
      <c r="G1710" s="1" t="str">
        <f>IFERROR(IF(ventas_b_mes1255[[#This Row],[CUIT]]="","-",VLOOKUP(ventas_b_mes1255[[#This Row],[CUIT]],Lista_CUIT[#All],2,0)),"CUIT NO CARGADO")</f>
        <v>-</v>
      </c>
      <c r="H1710" s="99">
        <f>ventas_b_mes1255[[#This Row],[TOTAL]]/1.21</f>
        <v>0</v>
      </c>
      <c r="I1710" s="64">
        <f>ventas_b_mes1255[[#This Row],[IMPORTE NETO]]*0.21</f>
        <v>0</v>
      </c>
      <c r="J1710" s="140"/>
      <c r="K1710" s="140"/>
      <c r="L1710" s="140"/>
      <c r="M1710" s="59"/>
    </row>
    <row r="1711" spans="2:13" x14ac:dyDescent="0.25">
      <c r="B1711" s="134"/>
      <c r="C1711" s="41"/>
      <c r="D1711" s="136"/>
      <c r="E1711" s="137"/>
      <c r="F1711" s="138"/>
      <c r="G1711" s="1" t="str">
        <f>IFERROR(IF(ventas_b_mes1255[[#This Row],[CUIT]]="","-",VLOOKUP(ventas_b_mes1255[[#This Row],[CUIT]],Lista_CUIT[#All],2,0)),"CUIT NO CARGADO")</f>
        <v>-</v>
      </c>
      <c r="H1711" s="99">
        <f>ventas_b_mes1255[[#This Row],[TOTAL]]/1.21</f>
        <v>0</v>
      </c>
      <c r="I1711" s="64">
        <f>ventas_b_mes1255[[#This Row],[IMPORTE NETO]]*0.21</f>
        <v>0</v>
      </c>
      <c r="J1711" s="140"/>
      <c r="K1711" s="140"/>
      <c r="L1711" s="140"/>
      <c r="M1711" s="59"/>
    </row>
    <row r="1712" spans="2:13" x14ac:dyDescent="0.25">
      <c r="B1712" s="134"/>
      <c r="C1712" s="41"/>
      <c r="D1712" s="136"/>
      <c r="E1712" s="137"/>
      <c r="F1712" s="138"/>
      <c r="G1712" s="1" t="str">
        <f>IFERROR(IF(ventas_b_mes1255[[#This Row],[CUIT]]="","-",VLOOKUP(ventas_b_mes1255[[#This Row],[CUIT]],Lista_CUIT[#All],2,0)),"CUIT NO CARGADO")</f>
        <v>-</v>
      </c>
      <c r="H1712" s="99">
        <f>ventas_b_mes1255[[#This Row],[TOTAL]]/1.21</f>
        <v>0</v>
      </c>
      <c r="I1712" s="64">
        <f>ventas_b_mes1255[[#This Row],[IMPORTE NETO]]*0.21</f>
        <v>0</v>
      </c>
      <c r="J1712" s="140"/>
      <c r="K1712" s="140"/>
      <c r="L1712" s="140"/>
      <c r="M1712" s="59"/>
    </row>
    <row r="1713" spans="2:13" x14ac:dyDescent="0.25">
      <c r="B1713" s="134"/>
      <c r="C1713" s="41"/>
      <c r="D1713" s="136"/>
      <c r="E1713" s="137"/>
      <c r="F1713" s="138"/>
      <c r="G1713" s="1" t="str">
        <f>IFERROR(IF(ventas_b_mes1255[[#This Row],[CUIT]]="","-",VLOOKUP(ventas_b_mes1255[[#This Row],[CUIT]],Lista_CUIT[#All],2,0)),"CUIT NO CARGADO")</f>
        <v>-</v>
      </c>
      <c r="H1713" s="99">
        <f>ventas_b_mes1255[[#This Row],[TOTAL]]/1.21</f>
        <v>0</v>
      </c>
      <c r="I1713" s="64">
        <f>ventas_b_mes1255[[#This Row],[IMPORTE NETO]]*0.21</f>
        <v>0</v>
      </c>
      <c r="J1713" s="140"/>
      <c r="K1713" s="140"/>
      <c r="L1713" s="140"/>
      <c r="M1713" s="59"/>
    </row>
    <row r="1714" spans="2:13" x14ac:dyDescent="0.25">
      <c r="B1714" s="134"/>
      <c r="C1714" s="41"/>
      <c r="D1714" s="136"/>
      <c r="E1714" s="137"/>
      <c r="F1714" s="138"/>
      <c r="G1714" s="1" t="str">
        <f>IFERROR(IF(ventas_b_mes1255[[#This Row],[CUIT]]="","-",VLOOKUP(ventas_b_mes1255[[#This Row],[CUIT]],Lista_CUIT[#All],2,0)),"CUIT NO CARGADO")</f>
        <v>-</v>
      </c>
      <c r="H1714" s="99">
        <f>ventas_b_mes1255[[#This Row],[TOTAL]]/1.21</f>
        <v>0</v>
      </c>
      <c r="I1714" s="64">
        <f>ventas_b_mes1255[[#This Row],[IMPORTE NETO]]*0.21</f>
        <v>0</v>
      </c>
      <c r="J1714" s="140"/>
      <c r="K1714" s="140"/>
      <c r="L1714" s="140"/>
      <c r="M1714" s="59"/>
    </row>
    <row r="1715" spans="2:13" x14ac:dyDescent="0.25">
      <c r="B1715" s="134"/>
      <c r="C1715" s="41"/>
      <c r="D1715" s="136"/>
      <c r="E1715" s="137"/>
      <c r="F1715" s="138"/>
      <c r="G1715" s="1" t="str">
        <f>IFERROR(IF(ventas_b_mes1255[[#This Row],[CUIT]]="","-",VLOOKUP(ventas_b_mes1255[[#This Row],[CUIT]],Lista_CUIT[#All],2,0)),"CUIT NO CARGADO")</f>
        <v>-</v>
      </c>
      <c r="H1715" s="99">
        <f>ventas_b_mes1255[[#This Row],[TOTAL]]/1.21</f>
        <v>0</v>
      </c>
      <c r="I1715" s="64">
        <f>ventas_b_mes1255[[#This Row],[IMPORTE NETO]]*0.21</f>
        <v>0</v>
      </c>
      <c r="J1715" s="140"/>
      <c r="K1715" s="140"/>
      <c r="L1715" s="140"/>
      <c r="M1715" s="59"/>
    </row>
    <row r="1716" spans="2:13" x14ac:dyDescent="0.25">
      <c r="B1716" s="134"/>
      <c r="C1716" s="41"/>
      <c r="D1716" s="136"/>
      <c r="E1716" s="137"/>
      <c r="F1716" s="138"/>
      <c r="G1716" s="1" t="str">
        <f>IFERROR(IF(ventas_b_mes1255[[#This Row],[CUIT]]="","-",VLOOKUP(ventas_b_mes1255[[#This Row],[CUIT]],Lista_CUIT[#All],2,0)),"CUIT NO CARGADO")</f>
        <v>-</v>
      </c>
      <c r="H1716" s="99">
        <f>ventas_b_mes1255[[#This Row],[TOTAL]]/1.21</f>
        <v>0</v>
      </c>
      <c r="I1716" s="64">
        <f>ventas_b_mes1255[[#This Row],[IMPORTE NETO]]*0.21</f>
        <v>0</v>
      </c>
      <c r="J1716" s="140"/>
      <c r="K1716" s="140"/>
      <c r="L1716" s="140"/>
      <c r="M1716" s="59"/>
    </row>
    <row r="1717" spans="2:13" x14ac:dyDescent="0.25">
      <c r="B1717" s="134"/>
      <c r="C1717" s="41"/>
      <c r="D1717" s="136"/>
      <c r="E1717" s="137"/>
      <c r="F1717" s="138"/>
      <c r="G1717" s="1" t="str">
        <f>IFERROR(IF(ventas_b_mes1255[[#This Row],[CUIT]]="","-",VLOOKUP(ventas_b_mes1255[[#This Row],[CUIT]],Lista_CUIT[#All],2,0)),"CUIT NO CARGADO")</f>
        <v>-</v>
      </c>
      <c r="H1717" s="99">
        <f>ventas_b_mes1255[[#This Row],[TOTAL]]/1.21</f>
        <v>0</v>
      </c>
      <c r="I1717" s="64">
        <f>ventas_b_mes1255[[#This Row],[IMPORTE NETO]]*0.21</f>
        <v>0</v>
      </c>
      <c r="J1717" s="140"/>
      <c r="K1717" s="140"/>
      <c r="L1717" s="140"/>
      <c r="M1717" s="59"/>
    </row>
    <row r="1718" spans="2:13" x14ac:dyDescent="0.25">
      <c r="B1718" s="134"/>
      <c r="C1718" s="41"/>
      <c r="D1718" s="136"/>
      <c r="E1718" s="137"/>
      <c r="F1718" s="138"/>
      <c r="G1718" s="1" t="str">
        <f>IFERROR(IF(ventas_b_mes1255[[#This Row],[CUIT]]="","-",VLOOKUP(ventas_b_mes1255[[#This Row],[CUIT]],Lista_CUIT[#All],2,0)),"CUIT NO CARGADO")</f>
        <v>-</v>
      </c>
      <c r="H1718" s="99">
        <f>ventas_b_mes1255[[#This Row],[TOTAL]]/1.21</f>
        <v>0</v>
      </c>
      <c r="I1718" s="64">
        <f>ventas_b_mes1255[[#This Row],[IMPORTE NETO]]*0.21</f>
        <v>0</v>
      </c>
      <c r="J1718" s="140"/>
      <c r="K1718" s="140"/>
      <c r="L1718" s="140"/>
      <c r="M1718" s="59"/>
    </row>
    <row r="1719" spans="2:13" x14ac:dyDescent="0.25">
      <c r="B1719" s="134"/>
      <c r="C1719" s="41"/>
      <c r="D1719" s="136"/>
      <c r="E1719" s="137"/>
      <c r="F1719" s="138"/>
      <c r="G1719" s="1" t="str">
        <f>IFERROR(IF(ventas_b_mes1255[[#This Row],[CUIT]]="","-",VLOOKUP(ventas_b_mes1255[[#This Row],[CUIT]],Lista_CUIT[#All],2,0)),"CUIT NO CARGADO")</f>
        <v>-</v>
      </c>
      <c r="H1719" s="99">
        <f>ventas_b_mes1255[[#This Row],[TOTAL]]/1.21</f>
        <v>0</v>
      </c>
      <c r="I1719" s="64">
        <f>ventas_b_mes1255[[#This Row],[IMPORTE NETO]]*0.21</f>
        <v>0</v>
      </c>
      <c r="J1719" s="140"/>
      <c r="K1719" s="140"/>
      <c r="L1719" s="140"/>
      <c r="M1719" s="59"/>
    </row>
    <row r="1720" spans="2:13" x14ac:dyDescent="0.25">
      <c r="B1720" s="134"/>
      <c r="C1720" s="41"/>
      <c r="D1720" s="136"/>
      <c r="E1720" s="137"/>
      <c r="F1720" s="138"/>
      <c r="G1720" s="1" t="str">
        <f>IFERROR(IF(ventas_b_mes1255[[#This Row],[CUIT]]="","-",VLOOKUP(ventas_b_mes1255[[#This Row],[CUIT]],Lista_CUIT[#All],2,0)),"CUIT NO CARGADO")</f>
        <v>-</v>
      </c>
      <c r="H1720" s="99">
        <f>ventas_b_mes1255[[#This Row],[TOTAL]]/1.21</f>
        <v>0</v>
      </c>
      <c r="I1720" s="64">
        <f>ventas_b_mes1255[[#This Row],[IMPORTE NETO]]*0.21</f>
        <v>0</v>
      </c>
      <c r="J1720" s="140"/>
      <c r="K1720" s="140"/>
      <c r="L1720" s="140"/>
      <c r="M1720" s="59"/>
    </row>
    <row r="1721" spans="2:13" x14ac:dyDescent="0.25">
      <c r="B1721" s="134"/>
      <c r="C1721" s="41"/>
      <c r="D1721" s="136"/>
      <c r="E1721" s="137"/>
      <c r="F1721" s="138"/>
      <c r="G1721" s="1" t="str">
        <f>IFERROR(IF(ventas_b_mes1255[[#This Row],[CUIT]]="","-",VLOOKUP(ventas_b_mes1255[[#This Row],[CUIT]],Lista_CUIT[#All],2,0)),"CUIT NO CARGADO")</f>
        <v>-</v>
      </c>
      <c r="H1721" s="99">
        <f>ventas_b_mes1255[[#This Row],[TOTAL]]/1.21</f>
        <v>0</v>
      </c>
      <c r="I1721" s="64">
        <f>ventas_b_mes1255[[#This Row],[IMPORTE NETO]]*0.21</f>
        <v>0</v>
      </c>
      <c r="J1721" s="140"/>
      <c r="K1721" s="140"/>
      <c r="L1721" s="140"/>
      <c r="M1721" s="59"/>
    </row>
    <row r="1722" spans="2:13" x14ac:dyDescent="0.25">
      <c r="B1722" s="134"/>
      <c r="C1722" s="41"/>
      <c r="D1722" s="136"/>
      <c r="E1722" s="137"/>
      <c r="F1722" s="138"/>
      <c r="G1722" s="1" t="str">
        <f>IFERROR(IF(ventas_b_mes1255[[#This Row],[CUIT]]="","-",VLOOKUP(ventas_b_mes1255[[#This Row],[CUIT]],Lista_CUIT[#All],2,0)),"CUIT NO CARGADO")</f>
        <v>-</v>
      </c>
      <c r="H1722" s="99">
        <f>ventas_b_mes1255[[#This Row],[TOTAL]]/1.21</f>
        <v>0</v>
      </c>
      <c r="I1722" s="64">
        <f>ventas_b_mes1255[[#This Row],[IMPORTE NETO]]*0.21</f>
        <v>0</v>
      </c>
      <c r="J1722" s="140"/>
      <c r="K1722" s="140"/>
      <c r="L1722" s="140"/>
      <c r="M1722" s="59"/>
    </row>
    <row r="1723" spans="2:13" x14ac:dyDescent="0.25">
      <c r="B1723" s="134"/>
      <c r="C1723" s="41"/>
      <c r="D1723" s="136"/>
      <c r="E1723" s="137"/>
      <c r="F1723" s="138"/>
      <c r="G1723" s="1" t="str">
        <f>IFERROR(IF(ventas_b_mes1255[[#This Row],[CUIT]]="","-",VLOOKUP(ventas_b_mes1255[[#This Row],[CUIT]],Lista_CUIT[#All],2,0)),"CUIT NO CARGADO")</f>
        <v>-</v>
      </c>
      <c r="H1723" s="99">
        <f>ventas_b_mes1255[[#This Row],[TOTAL]]/1.21</f>
        <v>0</v>
      </c>
      <c r="I1723" s="64">
        <f>ventas_b_mes1255[[#This Row],[IMPORTE NETO]]*0.21</f>
        <v>0</v>
      </c>
      <c r="J1723" s="140"/>
      <c r="K1723" s="140"/>
      <c r="L1723" s="140"/>
      <c r="M1723" s="59"/>
    </row>
    <row r="1724" spans="2:13" x14ac:dyDescent="0.25">
      <c r="B1724" s="134"/>
      <c r="C1724" s="41"/>
      <c r="D1724" s="136"/>
      <c r="E1724" s="137"/>
      <c r="F1724" s="138"/>
      <c r="G1724" s="1" t="str">
        <f>IFERROR(IF(ventas_b_mes1255[[#This Row],[CUIT]]="","-",VLOOKUP(ventas_b_mes1255[[#This Row],[CUIT]],Lista_CUIT[#All],2,0)),"CUIT NO CARGADO")</f>
        <v>-</v>
      </c>
      <c r="H1724" s="99">
        <f>ventas_b_mes1255[[#This Row],[TOTAL]]/1.21</f>
        <v>0</v>
      </c>
      <c r="I1724" s="64">
        <f>ventas_b_mes1255[[#This Row],[IMPORTE NETO]]*0.21</f>
        <v>0</v>
      </c>
      <c r="J1724" s="140"/>
      <c r="K1724" s="140"/>
      <c r="L1724" s="140"/>
      <c r="M1724" s="59"/>
    </row>
    <row r="1725" spans="2:13" x14ac:dyDescent="0.25">
      <c r="B1725" s="134"/>
      <c r="C1725" s="41"/>
      <c r="D1725" s="136"/>
      <c r="E1725" s="137"/>
      <c r="F1725" s="138"/>
      <c r="G1725" s="1" t="str">
        <f>IFERROR(IF(ventas_b_mes1255[[#This Row],[CUIT]]="","-",VLOOKUP(ventas_b_mes1255[[#This Row],[CUIT]],Lista_CUIT[#All],2,0)),"CUIT NO CARGADO")</f>
        <v>-</v>
      </c>
      <c r="H1725" s="99">
        <f>ventas_b_mes1255[[#This Row],[TOTAL]]/1.21</f>
        <v>0</v>
      </c>
      <c r="I1725" s="64">
        <f>ventas_b_mes1255[[#This Row],[IMPORTE NETO]]*0.21</f>
        <v>0</v>
      </c>
      <c r="J1725" s="140"/>
      <c r="K1725" s="140"/>
      <c r="L1725" s="140"/>
      <c r="M1725" s="59"/>
    </row>
    <row r="1726" spans="2:13" x14ac:dyDescent="0.25">
      <c r="B1726" s="134"/>
      <c r="C1726" s="41"/>
      <c r="D1726" s="136"/>
      <c r="E1726" s="137"/>
      <c r="F1726" s="138"/>
      <c r="G1726" s="1" t="str">
        <f>IFERROR(IF(ventas_b_mes1255[[#This Row],[CUIT]]="","-",VLOOKUP(ventas_b_mes1255[[#This Row],[CUIT]],Lista_CUIT[#All],2,0)),"CUIT NO CARGADO")</f>
        <v>-</v>
      </c>
      <c r="H1726" s="99">
        <f>ventas_b_mes1255[[#This Row],[TOTAL]]/1.21</f>
        <v>0</v>
      </c>
      <c r="I1726" s="64">
        <f>ventas_b_mes1255[[#This Row],[IMPORTE NETO]]*0.21</f>
        <v>0</v>
      </c>
      <c r="J1726" s="140"/>
      <c r="K1726" s="140"/>
      <c r="L1726" s="140"/>
      <c r="M1726" s="59"/>
    </row>
    <row r="1727" spans="2:13" x14ac:dyDescent="0.25">
      <c r="B1727" s="134"/>
      <c r="C1727" s="41"/>
      <c r="D1727" s="136"/>
      <c r="E1727" s="137"/>
      <c r="F1727" s="138"/>
      <c r="G1727" s="1" t="str">
        <f>IFERROR(IF(ventas_b_mes1255[[#This Row],[CUIT]]="","-",VLOOKUP(ventas_b_mes1255[[#This Row],[CUIT]],Lista_CUIT[#All],2,0)),"CUIT NO CARGADO")</f>
        <v>-</v>
      </c>
      <c r="H1727" s="99">
        <f>ventas_b_mes1255[[#This Row],[TOTAL]]/1.21</f>
        <v>0</v>
      </c>
      <c r="I1727" s="64">
        <f>ventas_b_mes1255[[#This Row],[IMPORTE NETO]]*0.21</f>
        <v>0</v>
      </c>
      <c r="J1727" s="140"/>
      <c r="K1727" s="140"/>
      <c r="L1727" s="140"/>
      <c r="M1727" s="59"/>
    </row>
    <row r="1728" spans="2:13" x14ac:dyDescent="0.25">
      <c r="B1728" s="134"/>
      <c r="C1728" s="41"/>
      <c r="D1728" s="136"/>
      <c r="E1728" s="137"/>
      <c r="F1728" s="138"/>
      <c r="G1728" s="1" t="str">
        <f>IFERROR(IF(ventas_b_mes1255[[#This Row],[CUIT]]="","-",VLOOKUP(ventas_b_mes1255[[#This Row],[CUIT]],Lista_CUIT[#All],2,0)),"CUIT NO CARGADO")</f>
        <v>-</v>
      </c>
      <c r="H1728" s="99">
        <f>ventas_b_mes1255[[#This Row],[TOTAL]]/1.21</f>
        <v>0</v>
      </c>
      <c r="I1728" s="64">
        <f>ventas_b_mes1255[[#This Row],[IMPORTE NETO]]*0.21</f>
        <v>0</v>
      </c>
      <c r="J1728" s="140"/>
      <c r="K1728" s="140"/>
      <c r="L1728" s="140"/>
      <c r="M1728" s="59"/>
    </row>
    <row r="1729" spans="2:13" x14ac:dyDescent="0.25">
      <c r="B1729" s="134"/>
      <c r="C1729" s="41"/>
      <c r="D1729" s="136"/>
      <c r="E1729" s="137"/>
      <c r="F1729" s="138"/>
      <c r="G1729" s="1" t="str">
        <f>IFERROR(IF(ventas_b_mes1255[[#This Row],[CUIT]]="","-",VLOOKUP(ventas_b_mes1255[[#This Row],[CUIT]],Lista_CUIT[#All],2,0)),"CUIT NO CARGADO")</f>
        <v>-</v>
      </c>
      <c r="H1729" s="99">
        <f>ventas_b_mes1255[[#This Row],[TOTAL]]/1.21</f>
        <v>0</v>
      </c>
      <c r="I1729" s="64">
        <f>ventas_b_mes1255[[#This Row],[IMPORTE NETO]]*0.21</f>
        <v>0</v>
      </c>
      <c r="J1729" s="140"/>
      <c r="K1729" s="140"/>
      <c r="L1729" s="140"/>
      <c r="M1729" s="59"/>
    </row>
    <row r="1730" spans="2:13" x14ac:dyDescent="0.25">
      <c r="B1730" s="134"/>
      <c r="C1730" s="41"/>
      <c r="D1730" s="136"/>
      <c r="E1730" s="137"/>
      <c r="F1730" s="138"/>
      <c r="G1730" s="1" t="str">
        <f>IFERROR(IF(ventas_b_mes1255[[#This Row],[CUIT]]="","-",VLOOKUP(ventas_b_mes1255[[#This Row],[CUIT]],Lista_CUIT[#All],2,0)),"CUIT NO CARGADO")</f>
        <v>-</v>
      </c>
      <c r="H1730" s="99">
        <f>ventas_b_mes1255[[#This Row],[TOTAL]]/1.21</f>
        <v>0</v>
      </c>
      <c r="I1730" s="64">
        <f>ventas_b_mes1255[[#This Row],[IMPORTE NETO]]*0.21</f>
        <v>0</v>
      </c>
      <c r="J1730" s="140"/>
      <c r="K1730" s="140"/>
      <c r="L1730" s="140"/>
      <c r="M1730" s="59"/>
    </row>
    <row r="1731" spans="2:13" x14ac:dyDescent="0.25">
      <c r="B1731" s="134"/>
      <c r="C1731" s="41"/>
      <c r="D1731" s="136"/>
      <c r="E1731" s="137"/>
      <c r="F1731" s="138"/>
      <c r="G1731" s="1" t="str">
        <f>IFERROR(IF(ventas_b_mes1255[[#This Row],[CUIT]]="","-",VLOOKUP(ventas_b_mes1255[[#This Row],[CUIT]],Lista_CUIT[#All],2,0)),"CUIT NO CARGADO")</f>
        <v>-</v>
      </c>
      <c r="H1731" s="99">
        <f>ventas_b_mes1255[[#This Row],[TOTAL]]/1.21</f>
        <v>0</v>
      </c>
      <c r="I1731" s="64">
        <f>ventas_b_mes1255[[#This Row],[IMPORTE NETO]]*0.21</f>
        <v>0</v>
      </c>
      <c r="J1731" s="140"/>
      <c r="K1731" s="140"/>
      <c r="L1731" s="140"/>
      <c r="M1731" s="59"/>
    </row>
    <row r="1732" spans="2:13" x14ac:dyDescent="0.25">
      <c r="B1732" s="134"/>
      <c r="C1732" s="41"/>
      <c r="D1732" s="136"/>
      <c r="E1732" s="137"/>
      <c r="F1732" s="138"/>
      <c r="G1732" s="1" t="str">
        <f>IFERROR(IF(ventas_b_mes1255[[#This Row],[CUIT]]="","-",VLOOKUP(ventas_b_mes1255[[#This Row],[CUIT]],Lista_CUIT[#All],2,0)),"CUIT NO CARGADO")</f>
        <v>-</v>
      </c>
      <c r="H1732" s="99">
        <f>ventas_b_mes1255[[#This Row],[TOTAL]]/1.21</f>
        <v>0</v>
      </c>
      <c r="I1732" s="64">
        <f>ventas_b_mes1255[[#This Row],[IMPORTE NETO]]*0.21</f>
        <v>0</v>
      </c>
      <c r="J1732" s="140"/>
      <c r="K1732" s="140"/>
      <c r="L1732" s="140"/>
      <c r="M1732" s="59"/>
    </row>
    <row r="1733" spans="2:13" x14ac:dyDescent="0.25">
      <c r="B1733" s="134"/>
      <c r="C1733" s="41"/>
      <c r="D1733" s="136"/>
      <c r="E1733" s="137"/>
      <c r="F1733" s="138"/>
      <c r="G1733" s="1" t="str">
        <f>IFERROR(IF(ventas_b_mes1255[[#This Row],[CUIT]]="","-",VLOOKUP(ventas_b_mes1255[[#This Row],[CUIT]],Lista_CUIT[#All],2,0)),"CUIT NO CARGADO")</f>
        <v>-</v>
      </c>
      <c r="H1733" s="99">
        <f>ventas_b_mes1255[[#This Row],[TOTAL]]/1.21</f>
        <v>0</v>
      </c>
      <c r="I1733" s="64">
        <f>ventas_b_mes1255[[#This Row],[IMPORTE NETO]]*0.21</f>
        <v>0</v>
      </c>
      <c r="J1733" s="140"/>
      <c r="K1733" s="140"/>
      <c r="L1733" s="140"/>
      <c r="M1733" s="59"/>
    </row>
    <row r="1734" spans="2:13" x14ac:dyDescent="0.25">
      <c r="B1734" s="134"/>
      <c r="C1734" s="41"/>
      <c r="D1734" s="136"/>
      <c r="E1734" s="137"/>
      <c r="F1734" s="138"/>
      <c r="G1734" s="1" t="str">
        <f>IFERROR(IF(ventas_b_mes1255[[#This Row],[CUIT]]="","-",VLOOKUP(ventas_b_mes1255[[#This Row],[CUIT]],Lista_CUIT[#All],2,0)),"CUIT NO CARGADO")</f>
        <v>-</v>
      </c>
      <c r="H1734" s="99">
        <f>ventas_b_mes1255[[#This Row],[TOTAL]]/1.21</f>
        <v>0</v>
      </c>
      <c r="I1734" s="64">
        <f>ventas_b_mes1255[[#This Row],[IMPORTE NETO]]*0.21</f>
        <v>0</v>
      </c>
      <c r="J1734" s="140"/>
      <c r="K1734" s="140"/>
      <c r="L1734" s="140"/>
      <c r="M1734" s="59"/>
    </row>
    <row r="1735" spans="2:13" x14ac:dyDescent="0.25">
      <c r="B1735" s="134"/>
      <c r="C1735" s="41"/>
      <c r="D1735" s="136"/>
      <c r="E1735" s="137"/>
      <c r="F1735" s="138"/>
      <c r="G1735" s="1" t="str">
        <f>IFERROR(IF(ventas_b_mes1255[[#This Row],[CUIT]]="","-",VLOOKUP(ventas_b_mes1255[[#This Row],[CUIT]],Lista_CUIT[#All],2,0)),"CUIT NO CARGADO")</f>
        <v>-</v>
      </c>
      <c r="H1735" s="99">
        <f>ventas_b_mes1255[[#This Row],[TOTAL]]/1.21</f>
        <v>0</v>
      </c>
      <c r="I1735" s="64">
        <f>ventas_b_mes1255[[#This Row],[IMPORTE NETO]]*0.21</f>
        <v>0</v>
      </c>
      <c r="J1735" s="140"/>
      <c r="K1735" s="140"/>
      <c r="L1735" s="140"/>
      <c r="M1735" s="59"/>
    </row>
    <row r="1736" spans="2:13" x14ac:dyDescent="0.25">
      <c r="B1736" s="134"/>
      <c r="C1736" s="41"/>
      <c r="D1736" s="136"/>
      <c r="E1736" s="137"/>
      <c r="F1736" s="138"/>
      <c r="G1736" s="1" t="str">
        <f>IFERROR(IF(ventas_b_mes1255[[#This Row],[CUIT]]="","-",VLOOKUP(ventas_b_mes1255[[#This Row],[CUIT]],Lista_CUIT[#All],2,0)),"CUIT NO CARGADO")</f>
        <v>-</v>
      </c>
      <c r="H1736" s="99">
        <f>ventas_b_mes1255[[#This Row],[TOTAL]]/1.21</f>
        <v>0</v>
      </c>
      <c r="I1736" s="64">
        <f>ventas_b_mes1255[[#This Row],[IMPORTE NETO]]*0.21</f>
        <v>0</v>
      </c>
      <c r="J1736" s="140"/>
      <c r="K1736" s="140"/>
      <c r="L1736" s="140"/>
      <c r="M1736" s="59"/>
    </row>
    <row r="1737" spans="2:13" x14ac:dyDescent="0.25">
      <c r="B1737" s="134"/>
      <c r="C1737" s="41"/>
      <c r="D1737" s="136"/>
      <c r="E1737" s="137"/>
      <c r="F1737" s="138"/>
      <c r="G1737" s="1" t="str">
        <f>IFERROR(IF(ventas_b_mes1255[[#This Row],[CUIT]]="","-",VLOOKUP(ventas_b_mes1255[[#This Row],[CUIT]],Lista_CUIT[#All],2,0)),"CUIT NO CARGADO")</f>
        <v>-</v>
      </c>
      <c r="H1737" s="99">
        <f>ventas_b_mes1255[[#This Row],[TOTAL]]/1.21</f>
        <v>0</v>
      </c>
      <c r="I1737" s="64">
        <f>ventas_b_mes1255[[#This Row],[IMPORTE NETO]]*0.21</f>
        <v>0</v>
      </c>
      <c r="J1737" s="140"/>
      <c r="K1737" s="140"/>
      <c r="L1737" s="140"/>
      <c r="M1737" s="59"/>
    </row>
    <row r="1738" spans="2:13" x14ac:dyDescent="0.25">
      <c r="B1738" s="134"/>
      <c r="C1738" s="41"/>
      <c r="D1738" s="136"/>
      <c r="E1738" s="137"/>
      <c r="F1738" s="138"/>
      <c r="G1738" s="1" t="str">
        <f>IFERROR(IF(ventas_b_mes1255[[#This Row],[CUIT]]="","-",VLOOKUP(ventas_b_mes1255[[#This Row],[CUIT]],Lista_CUIT[#All],2,0)),"CUIT NO CARGADO")</f>
        <v>-</v>
      </c>
      <c r="H1738" s="99">
        <f>ventas_b_mes1255[[#This Row],[TOTAL]]/1.21</f>
        <v>0</v>
      </c>
      <c r="I1738" s="64">
        <f>ventas_b_mes1255[[#This Row],[IMPORTE NETO]]*0.21</f>
        <v>0</v>
      </c>
      <c r="J1738" s="140"/>
      <c r="K1738" s="140"/>
      <c r="L1738" s="140"/>
      <c r="M1738" s="59"/>
    </row>
    <row r="1739" spans="2:13" x14ac:dyDescent="0.25">
      <c r="B1739" s="134"/>
      <c r="C1739" s="41"/>
      <c r="D1739" s="136"/>
      <c r="E1739" s="137"/>
      <c r="F1739" s="138"/>
      <c r="G1739" s="1" t="str">
        <f>IFERROR(IF(ventas_b_mes1255[[#This Row],[CUIT]]="","-",VLOOKUP(ventas_b_mes1255[[#This Row],[CUIT]],Lista_CUIT[#All],2,0)),"CUIT NO CARGADO")</f>
        <v>-</v>
      </c>
      <c r="H1739" s="99">
        <f>ventas_b_mes1255[[#This Row],[TOTAL]]/1.21</f>
        <v>0</v>
      </c>
      <c r="I1739" s="64">
        <f>ventas_b_mes1255[[#This Row],[IMPORTE NETO]]*0.21</f>
        <v>0</v>
      </c>
      <c r="J1739" s="140"/>
      <c r="K1739" s="140"/>
      <c r="L1739" s="140"/>
      <c r="M1739" s="59"/>
    </row>
    <row r="1740" spans="2:13" x14ac:dyDescent="0.25">
      <c r="B1740" s="134"/>
      <c r="C1740" s="41"/>
      <c r="D1740" s="136"/>
      <c r="E1740" s="137"/>
      <c r="F1740" s="138"/>
      <c r="G1740" s="1" t="str">
        <f>IFERROR(IF(ventas_b_mes1255[[#This Row],[CUIT]]="","-",VLOOKUP(ventas_b_mes1255[[#This Row],[CUIT]],Lista_CUIT[#All],2,0)),"CUIT NO CARGADO")</f>
        <v>-</v>
      </c>
      <c r="H1740" s="99">
        <f>ventas_b_mes1255[[#This Row],[TOTAL]]/1.21</f>
        <v>0</v>
      </c>
      <c r="I1740" s="64">
        <f>ventas_b_mes1255[[#This Row],[IMPORTE NETO]]*0.21</f>
        <v>0</v>
      </c>
      <c r="J1740" s="140"/>
      <c r="K1740" s="140"/>
      <c r="L1740" s="140"/>
      <c r="M1740" s="59"/>
    </row>
    <row r="1741" spans="2:13" x14ac:dyDescent="0.25">
      <c r="B1741" s="134"/>
      <c r="C1741" s="41"/>
      <c r="D1741" s="136"/>
      <c r="E1741" s="137"/>
      <c r="F1741" s="138"/>
      <c r="G1741" s="1" t="str">
        <f>IFERROR(IF(ventas_b_mes1255[[#This Row],[CUIT]]="","-",VLOOKUP(ventas_b_mes1255[[#This Row],[CUIT]],Lista_CUIT[#All],2,0)),"CUIT NO CARGADO")</f>
        <v>-</v>
      </c>
      <c r="H1741" s="99">
        <f>ventas_b_mes1255[[#This Row],[TOTAL]]/1.21</f>
        <v>0</v>
      </c>
      <c r="I1741" s="64">
        <f>ventas_b_mes1255[[#This Row],[IMPORTE NETO]]*0.21</f>
        <v>0</v>
      </c>
      <c r="J1741" s="140"/>
      <c r="K1741" s="140"/>
      <c r="L1741" s="140"/>
      <c r="M1741" s="59"/>
    </row>
    <row r="1742" spans="2:13" x14ac:dyDescent="0.25">
      <c r="B1742" s="134"/>
      <c r="C1742" s="41"/>
      <c r="D1742" s="136"/>
      <c r="E1742" s="137"/>
      <c r="F1742" s="138"/>
      <c r="G1742" s="1" t="str">
        <f>IFERROR(IF(ventas_b_mes1255[[#This Row],[CUIT]]="","-",VLOOKUP(ventas_b_mes1255[[#This Row],[CUIT]],Lista_CUIT[#All],2,0)),"CUIT NO CARGADO")</f>
        <v>-</v>
      </c>
      <c r="H1742" s="99">
        <f>ventas_b_mes1255[[#This Row],[TOTAL]]/1.21</f>
        <v>0</v>
      </c>
      <c r="I1742" s="64">
        <f>ventas_b_mes1255[[#This Row],[IMPORTE NETO]]*0.21</f>
        <v>0</v>
      </c>
      <c r="J1742" s="140"/>
      <c r="K1742" s="140"/>
      <c r="L1742" s="140"/>
      <c r="M1742" s="59"/>
    </row>
    <row r="1743" spans="2:13" x14ac:dyDescent="0.25">
      <c r="B1743" s="134"/>
      <c r="C1743" s="41"/>
      <c r="D1743" s="136"/>
      <c r="E1743" s="137"/>
      <c r="F1743" s="138"/>
      <c r="G1743" s="1" t="str">
        <f>IFERROR(IF(ventas_b_mes1255[[#This Row],[CUIT]]="","-",VLOOKUP(ventas_b_mes1255[[#This Row],[CUIT]],Lista_CUIT[#All],2,0)),"CUIT NO CARGADO")</f>
        <v>-</v>
      </c>
      <c r="H1743" s="99">
        <f>ventas_b_mes1255[[#This Row],[TOTAL]]/1.21</f>
        <v>0</v>
      </c>
      <c r="I1743" s="64">
        <f>ventas_b_mes1255[[#This Row],[IMPORTE NETO]]*0.21</f>
        <v>0</v>
      </c>
      <c r="J1743" s="140"/>
      <c r="K1743" s="140"/>
      <c r="L1743" s="140"/>
      <c r="M1743" s="59"/>
    </row>
    <row r="1744" spans="2:13" x14ac:dyDescent="0.25">
      <c r="B1744" s="134"/>
      <c r="C1744" s="41"/>
      <c r="D1744" s="136"/>
      <c r="E1744" s="137"/>
      <c r="F1744" s="138"/>
      <c r="G1744" s="1" t="str">
        <f>IFERROR(IF(ventas_b_mes1255[[#This Row],[CUIT]]="","-",VLOOKUP(ventas_b_mes1255[[#This Row],[CUIT]],Lista_CUIT[#All],2,0)),"CUIT NO CARGADO")</f>
        <v>-</v>
      </c>
      <c r="H1744" s="99">
        <f>ventas_b_mes1255[[#This Row],[TOTAL]]/1.21</f>
        <v>0</v>
      </c>
      <c r="I1744" s="64">
        <f>ventas_b_mes1255[[#This Row],[IMPORTE NETO]]*0.21</f>
        <v>0</v>
      </c>
      <c r="J1744" s="140"/>
      <c r="K1744" s="140"/>
      <c r="L1744" s="140"/>
      <c r="M1744" s="59"/>
    </row>
    <row r="1745" spans="2:13" x14ac:dyDescent="0.25">
      <c r="B1745" s="134"/>
      <c r="C1745" s="41"/>
      <c r="D1745" s="136"/>
      <c r="E1745" s="137"/>
      <c r="F1745" s="138"/>
      <c r="G1745" s="1" t="str">
        <f>IFERROR(IF(ventas_b_mes1255[[#This Row],[CUIT]]="","-",VLOOKUP(ventas_b_mes1255[[#This Row],[CUIT]],Lista_CUIT[#All],2,0)),"CUIT NO CARGADO")</f>
        <v>-</v>
      </c>
      <c r="H1745" s="99">
        <f>ventas_b_mes1255[[#This Row],[TOTAL]]/1.21</f>
        <v>0</v>
      </c>
      <c r="I1745" s="64">
        <f>ventas_b_mes1255[[#This Row],[IMPORTE NETO]]*0.21</f>
        <v>0</v>
      </c>
      <c r="J1745" s="140"/>
      <c r="K1745" s="140"/>
      <c r="L1745" s="140"/>
      <c r="M1745" s="59"/>
    </row>
    <row r="1746" spans="2:13" x14ac:dyDescent="0.25">
      <c r="B1746" s="134"/>
      <c r="C1746" s="41"/>
      <c r="D1746" s="136"/>
      <c r="E1746" s="137"/>
      <c r="F1746" s="138"/>
      <c r="G1746" s="1" t="str">
        <f>IFERROR(IF(ventas_b_mes1255[[#This Row],[CUIT]]="","-",VLOOKUP(ventas_b_mes1255[[#This Row],[CUIT]],Lista_CUIT[#All],2,0)),"CUIT NO CARGADO")</f>
        <v>-</v>
      </c>
      <c r="H1746" s="99">
        <f>ventas_b_mes1255[[#This Row],[TOTAL]]/1.21</f>
        <v>0</v>
      </c>
      <c r="I1746" s="64">
        <f>ventas_b_mes1255[[#This Row],[IMPORTE NETO]]*0.21</f>
        <v>0</v>
      </c>
      <c r="J1746" s="140"/>
      <c r="K1746" s="140"/>
      <c r="L1746" s="140"/>
      <c r="M1746" s="59"/>
    </row>
    <row r="1747" spans="2:13" x14ac:dyDescent="0.25">
      <c r="B1747" s="134"/>
      <c r="C1747" s="41"/>
      <c r="D1747" s="136"/>
      <c r="E1747" s="137"/>
      <c r="F1747" s="138"/>
      <c r="G1747" s="1" t="str">
        <f>IFERROR(IF(ventas_b_mes1255[[#This Row],[CUIT]]="","-",VLOOKUP(ventas_b_mes1255[[#This Row],[CUIT]],Lista_CUIT[#All],2,0)),"CUIT NO CARGADO")</f>
        <v>-</v>
      </c>
      <c r="H1747" s="99">
        <f>ventas_b_mes1255[[#This Row],[TOTAL]]/1.21</f>
        <v>0</v>
      </c>
      <c r="I1747" s="64">
        <f>ventas_b_mes1255[[#This Row],[IMPORTE NETO]]*0.21</f>
        <v>0</v>
      </c>
      <c r="J1747" s="140"/>
      <c r="K1747" s="140"/>
      <c r="L1747" s="140"/>
      <c r="M1747" s="59"/>
    </row>
    <row r="1748" spans="2:13" x14ac:dyDescent="0.25">
      <c r="B1748" s="134"/>
      <c r="C1748" s="41"/>
      <c r="D1748" s="136"/>
      <c r="E1748" s="137"/>
      <c r="F1748" s="138"/>
      <c r="G1748" s="1" t="str">
        <f>IFERROR(IF(ventas_b_mes1255[[#This Row],[CUIT]]="","-",VLOOKUP(ventas_b_mes1255[[#This Row],[CUIT]],Lista_CUIT[#All],2,0)),"CUIT NO CARGADO")</f>
        <v>-</v>
      </c>
      <c r="H1748" s="99">
        <f>ventas_b_mes1255[[#This Row],[TOTAL]]/1.21</f>
        <v>0</v>
      </c>
      <c r="I1748" s="64">
        <f>ventas_b_mes1255[[#This Row],[IMPORTE NETO]]*0.21</f>
        <v>0</v>
      </c>
      <c r="J1748" s="140"/>
      <c r="K1748" s="140"/>
      <c r="L1748" s="140"/>
      <c r="M1748" s="59"/>
    </row>
    <row r="1749" spans="2:13" x14ac:dyDescent="0.25">
      <c r="B1749" s="134"/>
      <c r="C1749" s="41"/>
      <c r="D1749" s="136"/>
      <c r="E1749" s="137"/>
      <c r="F1749" s="138"/>
      <c r="G1749" s="1" t="str">
        <f>IFERROR(IF(ventas_b_mes1255[[#This Row],[CUIT]]="","-",VLOOKUP(ventas_b_mes1255[[#This Row],[CUIT]],Lista_CUIT[#All],2,0)),"CUIT NO CARGADO")</f>
        <v>-</v>
      </c>
      <c r="H1749" s="99">
        <f>ventas_b_mes1255[[#This Row],[TOTAL]]/1.21</f>
        <v>0</v>
      </c>
      <c r="I1749" s="64">
        <f>ventas_b_mes1255[[#This Row],[IMPORTE NETO]]*0.21</f>
        <v>0</v>
      </c>
      <c r="J1749" s="140"/>
      <c r="K1749" s="140"/>
      <c r="L1749" s="140"/>
      <c r="M1749" s="59"/>
    </row>
    <row r="1750" spans="2:13" x14ac:dyDescent="0.25">
      <c r="B1750" s="134"/>
      <c r="C1750" s="41"/>
      <c r="D1750" s="136"/>
      <c r="E1750" s="137"/>
      <c r="F1750" s="138"/>
      <c r="G1750" s="1" t="str">
        <f>IFERROR(IF(ventas_b_mes1255[[#This Row],[CUIT]]="","-",VLOOKUP(ventas_b_mes1255[[#This Row],[CUIT]],Lista_CUIT[#All],2,0)),"CUIT NO CARGADO")</f>
        <v>-</v>
      </c>
      <c r="H1750" s="99">
        <f>ventas_b_mes1255[[#This Row],[TOTAL]]/1.21</f>
        <v>0</v>
      </c>
      <c r="I1750" s="64">
        <f>ventas_b_mes1255[[#This Row],[IMPORTE NETO]]*0.21</f>
        <v>0</v>
      </c>
      <c r="J1750" s="140"/>
      <c r="K1750" s="140"/>
      <c r="L1750" s="140"/>
      <c r="M1750" s="59"/>
    </row>
    <row r="1751" spans="2:13" x14ac:dyDescent="0.25">
      <c r="B1751" s="134"/>
      <c r="C1751" s="41"/>
      <c r="D1751" s="136"/>
      <c r="E1751" s="137"/>
      <c r="F1751" s="138"/>
      <c r="G1751" s="1" t="str">
        <f>IFERROR(IF(ventas_b_mes1255[[#This Row],[CUIT]]="","-",VLOOKUP(ventas_b_mes1255[[#This Row],[CUIT]],Lista_CUIT[#All],2,0)),"CUIT NO CARGADO")</f>
        <v>-</v>
      </c>
      <c r="H1751" s="99">
        <f>ventas_b_mes1255[[#This Row],[TOTAL]]/1.21</f>
        <v>0</v>
      </c>
      <c r="I1751" s="64">
        <f>ventas_b_mes1255[[#This Row],[IMPORTE NETO]]*0.21</f>
        <v>0</v>
      </c>
      <c r="J1751" s="140"/>
      <c r="K1751" s="140"/>
      <c r="L1751" s="140"/>
      <c r="M1751" s="59"/>
    </row>
    <row r="1752" spans="2:13" x14ac:dyDescent="0.25">
      <c r="B1752" s="134"/>
      <c r="C1752" s="41"/>
      <c r="D1752" s="136"/>
      <c r="E1752" s="137"/>
      <c r="F1752" s="138"/>
      <c r="G1752" s="1" t="str">
        <f>IFERROR(IF(ventas_b_mes1255[[#This Row],[CUIT]]="","-",VLOOKUP(ventas_b_mes1255[[#This Row],[CUIT]],Lista_CUIT[#All],2,0)),"CUIT NO CARGADO")</f>
        <v>-</v>
      </c>
      <c r="H1752" s="99">
        <f>ventas_b_mes1255[[#This Row],[TOTAL]]/1.21</f>
        <v>0</v>
      </c>
      <c r="I1752" s="64">
        <f>ventas_b_mes1255[[#This Row],[IMPORTE NETO]]*0.21</f>
        <v>0</v>
      </c>
      <c r="J1752" s="140"/>
      <c r="K1752" s="140"/>
      <c r="L1752" s="140"/>
      <c r="M1752" s="59"/>
    </row>
    <row r="1753" spans="2:13" x14ac:dyDescent="0.25">
      <c r="B1753" s="134"/>
      <c r="C1753" s="41"/>
      <c r="D1753" s="136"/>
      <c r="E1753" s="137"/>
      <c r="F1753" s="138"/>
      <c r="G1753" s="1" t="str">
        <f>IFERROR(IF(ventas_b_mes1255[[#This Row],[CUIT]]="","-",VLOOKUP(ventas_b_mes1255[[#This Row],[CUIT]],Lista_CUIT[#All],2,0)),"CUIT NO CARGADO")</f>
        <v>-</v>
      </c>
      <c r="H1753" s="99">
        <f>ventas_b_mes1255[[#This Row],[TOTAL]]/1.21</f>
        <v>0</v>
      </c>
      <c r="I1753" s="64">
        <f>ventas_b_mes1255[[#This Row],[IMPORTE NETO]]*0.21</f>
        <v>0</v>
      </c>
      <c r="J1753" s="140"/>
      <c r="K1753" s="140"/>
      <c r="L1753" s="140"/>
      <c r="M1753" s="59"/>
    </row>
    <row r="1754" spans="2:13" x14ac:dyDescent="0.25">
      <c r="B1754" s="134"/>
      <c r="C1754" s="41"/>
      <c r="D1754" s="136"/>
      <c r="E1754" s="137"/>
      <c r="F1754" s="138"/>
      <c r="G1754" s="1" t="str">
        <f>IFERROR(IF(ventas_b_mes1255[[#This Row],[CUIT]]="","-",VLOOKUP(ventas_b_mes1255[[#This Row],[CUIT]],Lista_CUIT[#All],2,0)),"CUIT NO CARGADO")</f>
        <v>-</v>
      </c>
      <c r="H1754" s="99">
        <f>ventas_b_mes1255[[#This Row],[TOTAL]]/1.21</f>
        <v>0</v>
      </c>
      <c r="I1754" s="64">
        <f>ventas_b_mes1255[[#This Row],[IMPORTE NETO]]*0.21</f>
        <v>0</v>
      </c>
      <c r="J1754" s="140"/>
      <c r="K1754" s="140"/>
      <c r="L1754" s="140"/>
      <c r="M1754" s="59"/>
    </row>
    <row r="1755" spans="2:13" x14ac:dyDescent="0.25">
      <c r="B1755" s="134"/>
      <c r="C1755" s="41"/>
      <c r="D1755" s="136"/>
      <c r="E1755" s="137"/>
      <c r="F1755" s="138"/>
      <c r="G1755" s="1" t="str">
        <f>IFERROR(IF(ventas_b_mes1255[[#This Row],[CUIT]]="","-",VLOOKUP(ventas_b_mes1255[[#This Row],[CUIT]],Lista_CUIT[#All],2,0)),"CUIT NO CARGADO")</f>
        <v>-</v>
      </c>
      <c r="H1755" s="99">
        <f>ventas_b_mes1255[[#This Row],[TOTAL]]/1.21</f>
        <v>0</v>
      </c>
      <c r="I1755" s="64">
        <f>ventas_b_mes1255[[#This Row],[IMPORTE NETO]]*0.21</f>
        <v>0</v>
      </c>
      <c r="J1755" s="140"/>
      <c r="K1755" s="140"/>
      <c r="L1755" s="140"/>
      <c r="M1755" s="59"/>
    </row>
    <row r="1756" spans="2:13" x14ac:dyDescent="0.25">
      <c r="B1756" s="134"/>
      <c r="C1756" s="41"/>
      <c r="D1756" s="136"/>
      <c r="E1756" s="137"/>
      <c r="F1756" s="138"/>
      <c r="G1756" s="1" t="str">
        <f>IFERROR(IF(ventas_b_mes1255[[#This Row],[CUIT]]="","-",VLOOKUP(ventas_b_mes1255[[#This Row],[CUIT]],Lista_CUIT[#All],2,0)),"CUIT NO CARGADO")</f>
        <v>-</v>
      </c>
      <c r="H1756" s="99">
        <f>ventas_b_mes1255[[#This Row],[TOTAL]]/1.21</f>
        <v>0</v>
      </c>
      <c r="I1756" s="64">
        <f>ventas_b_mes1255[[#This Row],[IMPORTE NETO]]*0.21</f>
        <v>0</v>
      </c>
      <c r="J1756" s="140"/>
      <c r="K1756" s="140"/>
      <c r="L1756" s="140"/>
      <c r="M1756" s="59"/>
    </row>
    <row r="1757" spans="2:13" x14ac:dyDescent="0.25">
      <c r="B1757" s="134"/>
      <c r="C1757" s="41"/>
      <c r="D1757" s="136"/>
      <c r="E1757" s="137"/>
      <c r="F1757" s="138"/>
      <c r="G1757" s="1" t="str">
        <f>IFERROR(IF(ventas_b_mes1255[[#This Row],[CUIT]]="","-",VLOOKUP(ventas_b_mes1255[[#This Row],[CUIT]],Lista_CUIT[#All],2,0)),"CUIT NO CARGADO")</f>
        <v>-</v>
      </c>
      <c r="H1757" s="99">
        <f>ventas_b_mes1255[[#This Row],[TOTAL]]/1.21</f>
        <v>0</v>
      </c>
      <c r="I1757" s="64">
        <f>ventas_b_mes1255[[#This Row],[IMPORTE NETO]]*0.21</f>
        <v>0</v>
      </c>
      <c r="J1757" s="140"/>
      <c r="K1757" s="140"/>
      <c r="L1757" s="140"/>
      <c r="M1757" s="59"/>
    </row>
    <row r="1758" spans="2:13" x14ac:dyDescent="0.25">
      <c r="B1758" s="134"/>
      <c r="C1758" s="41"/>
      <c r="D1758" s="136"/>
      <c r="E1758" s="137"/>
      <c r="F1758" s="138"/>
      <c r="G1758" s="1" t="str">
        <f>IFERROR(IF(ventas_b_mes1255[[#This Row],[CUIT]]="","-",VLOOKUP(ventas_b_mes1255[[#This Row],[CUIT]],Lista_CUIT[#All],2,0)),"CUIT NO CARGADO")</f>
        <v>-</v>
      </c>
      <c r="H1758" s="99">
        <f>ventas_b_mes1255[[#This Row],[TOTAL]]/1.21</f>
        <v>0</v>
      </c>
      <c r="I1758" s="64">
        <f>ventas_b_mes1255[[#This Row],[IMPORTE NETO]]*0.21</f>
        <v>0</v>
      </c>
      <c r="J1758" s="140"/>
      <c r="K1758" s="140"/>
      <c r="L1758" s="140"/>
      <c r="M1758" s="59"/>
    </row>
    <row r="1759" spans="2:13" x14ac:dyDescent="0.25">
      <c r="B1759" s="134"/>
      <c r="C1759" s="41"/>
      <c r="D1759" s="136"/>
      <c r="E1759" s="137"/>
      <c r="F1759" s="138"/>
      <c r="G1759" s="1" t="str">
        <f>IFERROR(IF(ventas_b_mes1255[[#This Row],[CUIT]]="","-",VLOOKUP(ventas_b_mes1255[[#This Row],[CUIT]],Lista_CUIT[#All],2,0)),"CUIT NO CARGADO")</f>
        <v>-</v>
      </c>
      <c r="H1759" s="99">
        <f>ventas_b_mes1255[[#This Row],[TOTAL]]/1.21</f>
        <v>0</v>
      </c>
      <c r="I1759" s="64">
        <f>ventas_b_mes1255[[#This Row],[IMPORTE NETO]]*0.21</f>
        <v>0</v>
      </c>
      <c r="J1759" s="140"/>
      <c r="K1759" s="140"/>
      <c r="L1759" s="140"/>
      <c r="M1759" s="59"/>
    </row>
    <row r="1760" spans="2:13" x14ac:dyDescent="0.25">
      <c r="B1760" s="134"/>
      <c r="C1760" s="41"/>
      <c r="D1760" s="136"/>
      <c r="E1760" s="137"/>
      <c r="F1760" s="138"/>
      <c r="G1760" s="1" t="str">
        <f>IFERROR(IF(ventas_b_mes1255[[#This Row],[CUIT]]="","-",VLOOKUP(ventas_b_mes1255[[#This Row],[CUIT]],Lista_CUIT[#All],2,0)),"CUIT NO CARGADO")</f>
        <v>-</v>
      </c>
      <c r="H1760" s="99">
        <f>ventas_b_mes1255[[#This Row],[TOTAL]]/1.21</f>
        <v>0</v>
      </c>
      <c r="I1760" s="64">
        <f>ventas_b_mes1255[[#This Row],[IMPORTE NETO]]*0.21</f>
        <v>0</v>
      </c>
      <c r="J1760" s="140"/>
      <c r="K1760" s="140"/>
      <c r="L1760" s="140"/>
      <c r="M1760" s="59"/>
    </row>
    <row r="1761" spans="2:13" x14ac:dyDescent="0.25">
      <c r="B1761" s="134"/>
      <c r="C1761" s="41"/>
      <c r="D1761" s="136"/>
      <c r="E1761" s="137"/>
      <c r="F1761" s="138"/>
      <c r="G1761" s="1" t="str">
        <f>IFERROR(IF(ventas_b_mes1255[[#This Row],[CUIT]]="","-",VLOOKUP(ventas_b_mes1255[[#This Row],[CUIT]],Lista_CUIT[#All],2,0)),"CUIT NO CARGADO")</f>
        <v>-</v>
      </c>
      <c r="H1761" s="99">
        <f>ventas_b_mes1255[[#This Row],[TOTAL]]/1.21</f>
        <v>0</v>
      </c>
      <c r="I1761" s="64">
        <f>ventas_b_mes1255[[#This Row],[IMPORTE NETO]]*0.21</f>
        <v>0</v>
      </c>
      <c r="J1761" s="140"/>
      <c r="K1761" s="140"/>
      <c r="L1761" s="140"/>
      <c r="M1761" s="59"/>
    </row>
    <row r="1762" spans="2:13" x14ac:dyDescent="0.25">
      <c r="B1762" s="134"/>
      <c r="C1762" s="41"/>
      <c r="D1762" s="136"/>
      <c r="E1762" s="137"/>
      <c r="F1762" s="138"/>
      <c r="G1762" s="1" t="str">
        <f>IFERROR(IF(ventas_b_mes1255[[#This Row],[CUIT]]="","-",VLOOKUP(ventas_b_mes1255[[#This Row],[CUIT]],Lista_CUIT[#All],2,0)),"CUIT NO CARGADO")</f>
        <v>-</v>
      </c>
      <c r="H1762" s="99">
        <f>ventas_b_mes1255[[#This Row],[TOTAL]]/1.21</f>
        <v>0</v>
      </c>
      <c r="I1762" s="64">
        <f>ventas_b_mes1255[[#This Row],[IMPORTE NETO]]*0.21</f>
        <v>0</v>
      </c>
      <c r="J1762" s="140"/>
      <c r="K1762" s="140"/>
      <c r="L1762" s="140"/>
      <c r="M1762" s="59"/>
    </row>
    <row r="1763" spans="2:13" x14ac:dyDescent="0.25">
      <c r="B1763" s="134"/>
      <c r="C1763" s="41"/>
      <c r="D1763" s="136"/>
      <c r="E1763" s="137"/>
      <c r="F1763" s="138"/>
      <c r="G1763" s="1" t="str">
        <f>IFERROR(IF(ventas_b_mes1255[[#This Row],[CUIT]]="","-",VLOOKUP(ventas_b_mes1255[[#This Row],[CUIT]],Lista_CUIT[#All],2,0)),"CUIT NO CARGADO")</f>
        <v>-</v>
      </c>
      <c r="H1763" s="99">
        <f>ventas_b_mes1255[[#This Row],[TOTAL]]/1.21</f>
        <v>0</v>
      </c>
      <c r="I1763" s="64">
        <f>ventas_b_mes1255[[#This Row],[IMPORTE NETO]]*0.21</f>
        <v>0</v>
      </c>
      <c r="J1763" s="140"/>
      <c r="K1763" s="140"/>
      <c r="L1763" s="140"/>
      <c r="M1763" s="59"/>
    </row>
    <row r="1764" spans="2:13" x14ac:dyDescent="0.25">
      <c r="B1764" s="134"/>
      <c r="C1764" s="41"/>
      <c r="D1764" s="136"/>
      <c r="E1764" s="137"/>
      <c r="F1764" s="138"/>
      <c r="G1764" s="1" t="str">
        <f>IFERROR(IF(ventas_b_mes1255[[#This Row],[CUIT]]="","-",VLOOKUP(ventas_b_mes1255[[#This Row],[CUIT]],Lista_CUIT[#All],2,0)),"CUIT NO CARGADO")</f>
        <v>-</v>
      </c>
      <c r="H1764" s="99">
        <f>ventas_b_mes1255[[#This Row],[TOTAL]]/1.21</f>
        <v>0</v>
      </c>
      <c r="I1764" s="64">
        <f>ventas_b_mes1255[[#This Row],[IMPORTE NETO]]*0.21</f>
        <v>0</v>
      </c>
      <c r="J1764" s="140"/>
      <c r="K1764" s="140"/>
      <c r="L1764" s="140"/>
      <c r="M1764" s="59"/>
    </row>
    <row r="1765" spans="2:13" x14ac:dyDescent="0.25">
      <c r="B1765" s="134"/>
      <c r="C1765" s="41"/>
      <c r="D1765" s="136"/>
      <c r="E1765" s="137"/>
      <c r="F1765" s="138"/>
      <c r="G1765" s="1" t="str">
        <f>IFERROR(IF(ventas_b_mes1255[[#This Row],[CUIT]]="","-",VLOOKUP(ventas_b_mes1255[[#This Row],[CUIT]],Lista_CUIT[#All],2,0)),"CUIT NO CARGADO")</f>
        <v>-</v>
      </c>
      <c r="H1765" s="99">
        <f>ventas_b_mes1255[[#This Row],[TOTAL]]/1.21</f>
        <v>0</v>
      </c>
      <c r="I1765" s="64">
        <f>ventas_b_mes1255[[#This Row],[IMPORTE NETO]]*0.21</f>
        <v>0</v>
      </c>
      <c r="J1765" s="140"/>
      <c r="K1765" s="140"/>
      <c r="L1765" s="140"/>
      <c r="M1765" s="59"/>
    </row>
    <row r="1766" spans="2:13" x14ac:dyDescent="0.25">
      <c r="B1766" s="134"/>
      <c r="C1766" s="41"/>
      <c r="D1766" s="136"/>
      <c r="E1766" s="137"/>
      <c r="F1766" s="138"/>
      <c r="G1766" s="1" t="str">
        <f>IFERROR(IF(ventas_b_mes1255[[#This Row],[CUIT]]="","-",VLOOKUP(ventas_b_mes1255[[#This Row],[CUIT]],Lista_CUIT[#All],2,0)),"CUIT NO CARGADO")</f>
        <v>-</v>
      </c>
      <c r="H1766" s="99">
        <f>ventas_b_mes1255[[#This Row],[TOTAL]]/1.21</f>
        <v>0</v>
      </c>
      <c r="I1766" s="64">
        <f>ventas_b_mes1255[[#This Row],[IMPORTE NETO]]*0.21</f>
        <v>0</v>
      </c>
      <c r="J1766" s="140"/>
      <c r="K1766" s="140"/>
      <c r="L1766" s="140"/>
      <c r="M1766" s="59"/>
    </row>
    <row r="1767" spans="2:13" x14ac:dyDescent="0.25">
      <c r="B1767" s="134"/>
      <c r="C1767" s="41"/>
      <c r="D1767" s="136"/>
      <c r="E1767" s="137"/>
      <c r="F1767" s="138"/>
      <c r="G1767" s="1" t="str">
        <f>IFERROR(IF(ventas_b_mes1255[[#This Row],[CUIT]]="","-",VLOOKUP(ventas_b_mes1255[[#This Row],[CUIT]],Lista_CUIT[#All],2,0)),"CUIT NO CARGADO")</f>
        <v>-</v>
      </c>
      <c r="H1767" s="99">
        <f>ventas_b_mes1255[[#This Row],[TOTAL]]/1.21</f>
        <v>0</v>
      </c>
      <c r="I1767" s="64">
        <f>ventas_b_mes1255[[#This Row],[IMPORTE NETO]]*0.21</f>
        <v>0</v>
      </c>
      <c r="J1767" s="140"/>
      <c r="K1767" s="140"/>
      <c r="L1767" s="140"/>
      <c r="M1767" s="59"/>
    </row>
    <row r="1768" spans="2:13" x14ac:dyDescent="0.25">
      <c r="B1768" s="134"/>
      <c r="C1768" s="41"/>
      <c r="D1768" s="136"/>
      <c r="E1768" s="137"/>
      <c r="F1768" s="138"/>
      <c r="G1768" s="1" t="str">
        <f>IFERROR(IF(ventas_b_mes1255[[#This Row],[CUIT]]="","-",VLOOKUP(ventas_b_mes1255[[#This Row],[CUIT]],Lista_CUIT[#All],2,0)),"CUIT NO CARGADO")</f>
        <v>-</v>
      </c>
      <c r="H1768" s="99">
        <f>ventas_b_mes1255[[#This Row],[TOTAL]]/1.21</f>
        <v>0</v>
      </c>
      <c r="I1768" s="64">
        <f>ventas_b_mes1255[[#This Row],[IMPORTE NETO]]*0.21</f>
        <v>0</v>
      </c>
      <c r="J1768" s="140"/>
      <c r="K1768" s="140"/>
      <c r="L1768" s="140"/>
      <c r="M1768" s="59"/>
    </row>
    <row r="1769" spans="2:13" x14ac:dyDescent="0.25">
      <c r="B1769" s="134"/>
      <c r="C1769" s="41"/>
      <c r="D1769" s="136"/>
      <c r="E1769" s="137"/>
      <c r="F1769" s="138"/>
      <c r="G1769" s="1" t="str">
        <f>IFERROR(IF(ventas_b_mes1255[[#This Row],[CUIT]]="","-",VLOOKUP(ventas_b_mes1255[[#This Row],[CUIT]],Lista_CUIT[#All],2,0)),"CUIT NO CARGADO")</f>
        <v>-</v>
      </c>
      <c r="H1769" s="99">
        <f>ventas_b_mes1255[[#This Row],[TOTAL]]/1.21</f>
        <v>0</v>
      </c>
      <c r="I1769" s="64">
        <f>ventas_b_mes1255[[#This Row],[IMPORTE NETO]]*0.21</f>
        <v>0</v>
      </c>
      <c r="J1769" s="140"/>
      <c r="K1769" s="140"/>
      <c r="L1769" s="140"/>
      <c r="M1769" s="59"/>
    </row>
    <row r="1770" spans="2:13" x14ac:dyDescent="0.25">
      <c r="B1770" s="134"/>
      <c r="C1770" s="41"/>
      <c r="D1770" s="136"/>
      <c r="E1770" s="137"/>
      <c r="F1770" s="138"/>
      <c r="G1770" s="1" t="str">
        <f>IFERROR(IF(ventas_b_mes1255[[#This Row],[CUIT]]="","-",VLOOKUP(ventas_b_mes1255[[#This Row],[CUIT]],Lista_CUIT[#All],2,0)),"CUIT NO CARGADO")</f>
        <v>-</v>
      </c>
      <c r="H1770" s="99">
        <f>ventas_b_mes1255[[#This Row],[TOTAL]]/1.21</f>
        <v>0</v>
      </c>
      <c r="I1770" s="64">
        <f>ventas_b_mes1255[[#This Row],[IMPORTE NETO]]*0.21</f>
        <v>0</v>
      </c>
      <c r="J1770" s="140"/>
      <c r="K1770" s="140"/>
      <c r="L1770" s="140"/>
      <c r="M1770" s="59"/>
    </row>
    <row r="1771" spans="2:13" x14ac:dyDescent="0.25">
      <c r="B1771" s="134"/>
      <c r="C1771" s="41"/>
      <c r="D1771" s="136"/>
      <c r="E1771" s="137"/>
      <c r="F1771" s="138"/>
      <c r="G1771" s="1" t="str">
        <f>IFERROR(IF(ventas_b_mes1255[[#This Row],[CUIT]]="","-",VLOOKUP(ventas_b_mes1255[[#This Row],[CUIT]],Lista_CUIT[#All],2,0)),"CUIT NO CARGADO")</f>
        <v>-</v>
      </c>
      <c r="H1771" s="99">
        <f>ventas_b_mes1255[[#This Row],[TOTAL]]/1.21</f>
        <v>0</v>
      </c>
      <c r="I1771" s="64">
        <f>ventas_b_mes1255[[#This Row],[IMPORTE NETO]]*0.21</f>
        <v>0</v>
      </c>
      <c r="J1771" s="140"/>
      <c r="K1771" s="140"/>
      <c r="L1771" s="140"/>
      <c r="M1771" s="59"/>
    </row>
    <row r="1772" spans="2:13" x14ac:dyDescent="0.25">
      <c r="B1772" s="134"/>
      <c r="C1772" s="41"/>
      <c r="D1772" s="136"/>
      <c r="E1772" s="137"/>
      <c r="F1772" s="138"/>
      <c r="G1772" s="1" t="str">
        <f>IFERROR(IF(ventas_b_mes1255[[#This Row],[CUIT]]="","-",VLOOKUP(ventas_b_mes1255[[#This Row],[CUIT]],Lista_CUIT[#All],2,0)),"CUIT NO CARGADO")</f>
        <v>-</v>
      </c>
      <c r="H1772" s="99">
        <f>ventas_b_mes1255[[#This Row],[TOTAL]]/1.21</f>
        <v>0</v>
      </c>
      <c r="I1772" s="64">
        <f>ventas_b_mes1255[[#This Row],[IMPORTE NETO]]*0.21</f>
        <v>0</v>
      </c>
      <c r="J1772" s="140"/>
      <c r="K1772" s="140"/>
      <c r="L1772" s="140"/>
      <c r="M1772" s="59"/>
    </row>
    <row r="1773" spans="2:13" x14ac:dyDescent="0.25">
      <c r="B1773" s="134"/>
      <c r="C1773" s="41"/>
      <c r="D1773" s="136"/>
      <c r="E1773" s="137"/>
      <c r="F1773" s="138"/>
      <c r="G1773" s="1" t="str">
        <f>IFERROR(IF(ventas_b_mes1255[[#This Row],[CUIT]]="","-",VLOOKUP(ventas_b_mes1255[[#This Row],[CUIT]],Lista_CUIT[#All],2,0)),"CUIT NO CARGADO")</f>
        <v>-</v>
      </c>
      <c r="H1773" s="99">
        <f>ventas_b_mes1255[[#This Row],[TOTAL]]/1.21</f>
        <v>0</v>
      </c>
      <c r="I1773" s="64">
        <f>ventas_b_mes1255[[#This Row],[IMPORTE NETO]]*0.21</f>
        <v>0</v>
      </c>
      <c r="J1773" s="140"/>
      <c r="K1773" s="140"/>
      <c r="L1773" s="140"/>
      <c r="M1773" s="59"/>
    </row>
    <row r="1774" spans="2:13" x14ac:dyDescent="0.25">
      <c r="B1774" s="134"/>
      <c r="C1774" s="41"/>
      <c r="D1774" s="136"/>
      <c r="E1774" s="137"/>
      <c r="F1774" s="138"/>
      <c r="G1774" s="1" t="str">
        <f>IFERROR(IF(ventas_b_mes1255[[#This Row],[CUIT]]="","-",VLOOKUP(ventas_b_mes1255[[#This Row],[CUIT]],Lista_CUIT[#All],2,0)),"CUIT NO CARGADO")</f>
        <v>-</v>
      </c>
      <c r="H1774" s="99">
        <f>ventas_b_mes1255[[#This Row],[TOTAL]]/1.21</f>
        <v>0</v>
      </c>
      <c r="I1774" s="64">
        <f>ventas_b_mes1255[[#This Row],[IMPORTE NETO]]*0.21</f>
        <v>0</v>
      </c>
      <c r="J1774" s="140"/>
      <c r="K1774" s="140"/>
      <c r="L1774" s="140"/>
      <c r="M1774" s="59"/>
    </row>
    <row r="1775" spans="2:13" x14ac:dyDescent="0.25">
      <c r="B1775" s="134"/>
      <c r="C1775" s="41"/>
      <c r="D1775" s="136"/>
      <c r="E1775" s="137"/>
      <c r="F1775" s="138"/>
      <c r="G1775" s="1" t="str">
        <f>IFERROR(IF(ventas_b_mes1255[[#This Row],[CUIT]]="","-",VLOOKUP(ventas_b_mes1255[[#This Row],[CUIT]],Lista_CUIT[#All],2,0)),"CUIT NO CARGADO")</f>
        <v>-</v>
      </c>
      <c r="H1775" s="99">
        <f>ventas_b_mes1255[[#This Row],[TOTAL]]/1.21</f>
        <v>0</v>
      </c>
      <c r="I1775" s="64">
        <f>ventas_b_mes1255[[#This Row],[IMPORTE NETO]]*0.21</f>
        <v>0</v>
      </c>
      <c r="J1775" s="140"/>
      <c r="K1775" s="140"/>
      <c r="L1775" s="140"/>
      <c r="M1775" s="59"/>
    </row>
    <row r="1776" spans="2:13" x14ac:dyDescent="0.25">
      <c r="B1776" s="134"/>
      <c r="C1776" s="41"/>
      <c r="D1776" s="136"/>
      <c r="E1776" s="137"/>
      <c r="F1776" s="138"/>
      <c r="G1776" s="1" t="str">
        <f>IFERROR(IF(ventas_b_mes1255[[#This Row],[CUIT]]="","-",VLOOKUP(ventas_b_mes1255[[#This Row],[CUIT]],Lista_CUIT[#All],2,0)),"CUIT NO CARGADO")</f>
        <v>-</v>
      </c>
      <c r="H1776" s="99">
        <f>ventas_b_mes1255[[#This Row],[TOTAL]]/1.21</f>
        <v>0</v>
      </c>
      <c r="I1776" s="64">
        <f>ventas_b_mes1255[[#This Row],[IMPORTE NETO]]*0.21</f>
        <v>0</v>
      </c>
      <c r="J1776" s="140"/>
      <c r="K1776" s="140"/>
      <c r="L1776" s="140"/>
      <c r="M1776" s="59"/>
    </row>
    <row r="1777" spans="2:13" x14ac:dyDescent="0.25">
      <c r="B1777" s="134"/>
      <c r="C1777" s="41"/>
      <c r="D1777" s="136"/>
      <c r="E1777" s="137"/>
      <c r="F1777" s="138"/>
      <c r="G1777" s="1" t="str">
        <f>IFERROR(IF(ventas_b_mes1255[[#This Row],[CUIT]]="","-",VLOOKUP(ventas_b_mes1255[[#This Row],[CUIT]],Lista_CUIT[#All],2,0)),"CUIT NO CARGADO")</f>
        <v>-</v>
      </c>
      <c r="H1777" s="99">
        <f>ventas_b_mes1255[[#This Row],[TOTAL]]/1.21</f>
        <v>0</v>
      </c>
      <c r="I1777" s="64">
        <f>ventas_b_mes1255[[#This Row],[IMPORTE NETO]]*0.21</f>
        <v>0</v>
      </c>
      <c r="J1777" s="140"/>
      <c r="K1777" s="140"/>
      <c r="L1777" s="140"/>
      <c r="M1777" s="59"/>
    </row>
    <row r="1778" spans="2:13" x14ac:dyDescent="0.25">
      <c r="B1778" s="134"/>
      <c r="C1778" s="41"/>
      <c r="D1778" s="136"/>
      <c r="E1778" s="137"/>
      <c r="F1778" s="138"/>
      <c r="G1778" s="1" t="str">
        <f>IFERROR(IF(ventas_b_mes1255[[#This Row],[CUIT]]="","-",VLOOKUP(ventas_b_mes1255[[#This Row],[CUIT]],Lista_CUIT[#All],2,0)),"CUIT NO CARGADO")</f>
        <v>-</v>
      </c>
      <c r="H1778" s="99">
        <f>ventas_b_mes1255[[#This Row],[TOTAL]]/1.21</f>
        <v>0</v>
      </c>
      <c r="I1778" s="64">
        <f>ventas_b_mes1255[[#This Row],[IMPORTE NETO]]*0.21</f>
        <v>0</v>
      </c>
      <c r="J1778" s="140"/>
      <c r="K1778" s="140"/>
      <c r="L1778" s="140"/>
      <c r="M1778" s="59"/>
    </row>
    <row r="1779" spans="2:13" x14ac:dyDescent="0.25">
      <c r="B1779" s="134"/>
      <c r="C1779" s="41"/>
      <c r="D1779" s="136"/>
      <c r="E1779" s="137"/>
      <c r="F1779" s="138"/>
      <c r="G1779" s="1" t="str">
        <f>IFERROR(IF(ventas_b_mes1255[[#This Row],[CUIT]]="","-",VLOOKUP(ventas_b_mes1255[[#This Row],[CUIT]],Lista_CUIT[#All],2,0)),"CUIT NO CARGADO")</f>
        <v>-</v>
      </c>
      <c r="H1779" s="99">
        <f>ventas_b_mes1255[[#This Row],[TOTAL]]/1.21</f>
        <v>0</v>
      </c>
      <c r="I1779" s="64">
        <f>ventas_b_mes1255[[#This Row],[IMPORTE NETO]]*0.21</f>
        <v>0</v>
      </c>
      <c r="J1779" s="140"/>
      <c r="K1779" s="140"/>
      <c r="L1779" s="140"/>
      <c r="M1779" s="59"/>
    </row>
    <row r="1780" spans="2:13" x14ac:dyDescent="0.25">
      <c r="B1780" s="134"/>
      <c r="C1780" s="41"/>
      <c r="D1780" s="136"/>
      <c r="E1780" s="137"/>
      <c r="F1780" s="138"/>
      <c r="G1780" s="1" t="str">
        <f>IFERROR(IF(ventas_b_mes1255[[#This Row],[CUIT]]="","-",VLOOKUP(ventas_b_mes1255[[#This Row],[CUIT]],Lista_CUIT[#All],2,0)),"CUIT NO CARGADO")</f>
        <v>-</v>
      </c>
      <c r="H1780" s="99">
        <f>ventas_b_mes1255[[#This Row],[TOTAL]]/1.21</f>
        <v>0</v>
      </c>
      <c r="I1780" s="64">
        <f>ventas_b_mes1255[[#This Row],[IMPORTE NETO]]*0.21</f>
        <v>0</v>
      </c>
      <c r="J1780" s="140"/>
      <c r="K1780" s="140"/>
      <c r="L1780" s="140"/>
      <c r="M1780" s="59"/>
    </row>
    <row r="1781" spans="2:13" x14ac:dyDescent="0.25">
      <c r="B1781" s="134"/>
      <c r="C1781" s="41"/>
      <c r="D1781" s="136"/>
      <c r="E1781" s="137"/>
      <c r="F1781" s="138"/>
      <c r="G1781" s="1" t="str">
        <f>IFERROR(IF(ventas_b_mes1255[[#This Row],[CUIT]]="","-",VLOOKUP(ventas_b_mes1255[[#This Row],[CUIT]],Lista_CUIT[#All],2,0)),"CUIT NO CARGADO")</f>
        <v>-</v>
      </c>
      <c r="H1781" s="99">
        <f>ventas_b_mes1255[[#This Row],[TOTAL]]/1.21</f>
        <v>0</v>
      </c>
      <c r="I1781" s="64">
        <f>ventas_b_mes1255[[#This Row],[IMPORTE NETO]]*0.21</f>
        <v>0</v>
      </c>
      <c r="J1781" s="140"/>
      <c r="K1781" s="140"/>
      <c r="L1781" s="140"/>
      <c r="M1781" s="59"/>
    </row>
    <row r="1782" spans="2:13" x14ac:dyDescent="0.25">
      <c r="B1782" s="134"/>
      <c r="C1782" s="41"/>
      <c r="D1782" s="136"/>
      <c r="E1782" s="137"/>
      <c r="F1782" s="138"/>
      <c r="G1782" s="1" t="str">
        <f>IFERROR(IF(ventas_b_mes1255[[#This Row],[CUIT]]="","-",VLOOKUP(ventas_b_mes1255[[#This Row],[CUIT]],Lista_CUIT[#All],2,0)),"CUIT NO CARGADO")</f>
        <v>-</v>
      </c>
      <c r="H1782" s="99">
        <f>ventas_b_mes1255[[#This Row],[TOTAL]]/1.21</f>
        <v>0</v>
      </c>
      <c r="I1782" s="64">
        <f>ventas_b_mes1255[[#This Row],[IMPORTE NETO]]*0.21</f>
        <v>0</v>
      </c>
      <c r="J1782" s="140"/>
      <c r="K1782" s="140"/>
      <c r="L1782" s="140"/>
      <c r="M1782" s="59"/>
    </row>
    <row r="1783" spans="2:13" x14ac:dyDescent="0.25">
      <c r="B1783" s="134"/>
      <c r="C1783" s="41"/>
      <c r="D1783" s="136"/>
      <c r="E1783" s="137"/>
      <c r="F1783" s="138"/>
      <c r="G1783" s="1" t="str">
        <f>IFERROR(IF(ventas_b_mes1255[[#This Row],[CUIT]]="","-",VLOOKUP(ventas_b_mes1255[[#This Row],[CUIT]],Lista_CUIT[#All],2,0)),"CUIT NO CARGADO")</f>
        <v>-</v>
      </c>
      <c r="H1783" s="99">
        <f>ventas_b_mes1255[[#This Row],[TOTAL]]/1.21</f>
        <v>0</v>
      </c>
      <c r="I1783" s="64">
        <f>ventas_b_mes1255[[#This Row],[IMPORTE NETO]]*0.21</f>
        <v>0</v>
      </c>
      <c r="J1783" s="140"/>
      <c r="K1783" s="140"/>
      <c r="L1783" s="140"/>
      <c r="M1783" s="59"/>
    </row>
    <row r="1784" spans="2:13" x14ac:dyDescent="0.25">
      <c r="B1784" s="134"/>
      <c r="C1784" s="41"/>
      <c r="D1784" s="136"/>
      <c r="E1784" s="137"/>
      <c r="F1784" s="138"/>
      <c r="G1784" s="1" t="str">
        <f>IFERROR(IF(ventas_b_mes1255[[#This Row],[CUIT]]="","-",VLOOKUP(ventas_b_mes1255[[#This Row],[CUIT]],Lista_CUIT[#All],2,0)),"CUIT NO CARGADO")</f>
        <v>-</v>
      </c>
      <c r="H1784" s="99">
        <f>ventas_b_mes1255[[#This Row],[TOTAL]]/1.21</f>
        <v>0</v>
      </c>
      <c r="I1784" s="64">
        <f>ventas_b_mes1255[[#This Row],[IMPORTE NETO]]*0.21</f>
        <v>0</v>
      </c>
      <c r="J1784" s="140"/>
      <c r="K1784" s="140"/>
      <c r="L1784" s="140"/>
      <c r="M1784" s="59"/>
    </row>
    <row r="1785" spans="2:13" x14ac:dyDescent="0.25">
      <c r="B1785" s="134"/>
      <c r="C1785" s="41"/>
      <c r="D1785" s="136"/>
      <c r="E1785" s="137"/>
      <c r="F1785" s="138"/>
      <c r="G1785" s="1" t="str">
        <f>IFERROR(IF(ventas_b_mes1255[[#This Row],[CUIT]]="","-",VLOOKUP(ventas_b_mes1255[[#This Row],[CUIT]],Lista_CUIT[#All],2,0)),"CUIT NO CARGADO")</f>
        <v>-</v>
      </c>
      <c r="H1785" s="99">
        <f>ventas_b_mes1255[[#This Row],[TOTAL]]/1.21</f>
        <v>0</v>
      </c>
      <c r="I1785" s="64">
        <f>ventas_b_mes1255[[#This Row],[IMPORTE NETO]]*0.21</f>
        <v>0</v>
      </c>
      <c r="J1785" s="140"/>
      <c r="K1785" s="140"/>
      <c r="L1785" s="140"/>
      <c r="M1785" s="59"/>
    </row>
    <row r="1786" spans="2:13" x14ac:dyDescent="0.25">
      <c r="B1786" s="134"/>
      <c r="C1786" s="41"/>
      <c r="D1786" s="136"/>
      <c r="E1786" s="137"/>
      <c r="F1786" s="138"/>
      <c r="G1786" s="1" t="str">
        <f>IFERROR(IF(ventas_b_mes1255[[#This Row],[CUIT]]="","-",VLOOKUP(ventas_b_mes1255[[#This Row],[CUIT]],Lista_CUIT[#All],2,0)),"CUIT NO CARGADO")</f>
        <v>-</v>
      </c>
      <c r="H1786" s="99">
        <f>ventas_b_mes1255[[#This Row],[TOTAL]]/1.21</f>
        <v>0</v>
      </c>
      <c r="I1786" s="64">
        <f>ventas_b_mes1255[[#This Row],[IMPORTE NETO]]*0.21</f>
        <v>0</v>
      </c>
      <c r="J1786" s="140"/>
      <c r="K1786" s="140"/>
      <c r="L1786" s="140"/>
      <c r="M1786" s="59"/>
    </row>
    <row r="1787" spans="2:13" x14ac:dyDescent="0.25">
      <c r="B1787" s="134"/>
      <c r="C1787" s="41"/>
      <c r="D1787" s="136"/>
      <c r="E1787" s="137"/>
      <c r="F1787" s="138"/>
      <c r="G1787" s="1" t="str">
        <f>IFERROR(IF(ventas_b_mes1255[[#This Row],[CUIT]]="","-",VLOOKUP(ventas_b_mes1255[[#This Row],[CUIT]],Lista_CUIT[#All],2,0)),"CUIT NO CARGADO")</f>
        <v>-</v>
      </c>
      <c r="H1787" s="99">
        <f>ventas_b_mes1255[[#This Row],[TOTAL]]/1.21</f>
        <v>0</v>
      </c>
      <c r="I1787" s="64">
        <f>ventas_b_mes1255[[#This Row],[IMPORTE NETO]]*0.21</f>
        <v>0</v>
      </c>
      <c r="J1787" s="140"/>
      <c r="K1787" s="140"/>
      <c r="L1787" s="140"/>
      <c r="M1787" s="59"/>
    </row>
    <row r="1788" spans="2:13" x14ac:dyDescent="0.25">
      <c r="B1788" s="134"/>
      <c r="C1788" s="41"/>
      <c r="D1788" s="136"/>
      <c r="E1788" s="137"/>
      <c r="F1788" s="138"/>
      <c r="G1788" s="1" t="str">
        <f>IFERROR(IF(ventas_b_mes1255[[#This Row],[CUIT]]="","-",VLOOKUP(ventas_b_mes1255[[#This Row],[CUIT]],Lista_CUIT[#All],2,0)),"CUIT NO CARGADO")</f>
        <v>-</v>
      </c>
      <c r="H1788" s="99">
        <f>ventas_b_mes1255[[#This Row],[TOTAL]]/1.21</f>
        <v>0</v>
      </c>
      <c r="I1788" s="64">
        <f>ventas_b_mes1255[[#This Row],[IMPORTE NETO]]*0.21</f>
        <v>0</v>
      </c>
      <c r="J1788" s="140"/>
      <c r="K1788" s="140"/>
      <c r="L1788" s="140"/>
      <c r="M1788" s="59"/>
    </row>
    <row r="1789" spans="2:13" x14ac:dyDescent="0.25">
      <c r="B1789" s="134"/>
      <c r="C1789" s="41"/>
      <c r="D1789" s="136"/>
      <c r="E1789" s="137"/>
      <c r="F1789" s="138"/>
      <c r="G1789" s="1" t="str">
        <f>IFERROR(IF(ventas_b_mes1255[[#This Row],[CUIT]]="","-",VLOOKUP(ventas_b_mes1255[[#This Row],[CUIT]],Lista_CUIT[#All],2,0)),"CUIT NO CARGADO")</f>
        <v>-</v>
      </c>
      <c r="H1789" s="99">
        <f>ventas_b_mes1255[[#This Row],[TOTAL]]/1.21</f>
        <v>0</v>
      </c>
      <c r="I1789" s="64">
        <f>ventas_b_mes1255[[#This Row],[IMPORTE NETO]]*0.21</f>
        <v>0</v>
      </c>
      <c r="J1789" s="140"/>
      <c r="K1789" s="140"/>
      <c r="L1789" s="140"/>
      <c r="M1789" s="59"/>
    </row>
    <row r="1790" spans="2:13" x14ac:dyDescent="0.25">
      <c r="B1790" s="134"/>
      <c r="C1790" s="41"/>
      <c r="D1790" s="136"/>
      <c r="E1790" s="137"/>
      <c r="F1790" s="138"/>
      <c r="G1790" s="1" t="str">
        <f>IFERROR(IF(ventas_b_mes1255[[#This Row],[CUIT]]="","-",VLOOKUP(ventas_b_mes1255[[#This Row],[CUIT]],Lista_CUIT[#All],2,0)),"CUIT NO CARGADO")</f>
        <v>-</v>
      </c>
      <c r="H1790" s="99">
        <f>ventas_b_mes1255[[#This Row],[TOTAL]]/1.21</f>
        <v>0</v>
      </c>
      <c r="I1790" s="64">
        <f>ventas_b_mes1255[[#This Row],[IMPORTE NETO]]*0.21</f>
        <v>0</v>
      </c>
      <c r="J1790" s="140"/>
      <c r="K1790" s="140"/>
      <c r="L1790" s="140"/>
      <c r="M1790" s="59"/>
    </row>
    <row r="1791" spans="2:13" x14ac:dyDescent="0.25">
      <c r="B1791" s="134"/>
      <c r="C1791" s="41"/>
      <c r="D1791" s="136"/>
      <c r="E1791" s="137"/>
      <c r="F1791" s="138"/>
      <c r="G1791" s="1" t="str">
        <f>IFERROR(IF(ventas_b_mes1255[[#This Row],[CUIT]]="","-",VLOOKUP(ventas_b_mes1255[[#This Row],[CUIT]],Lista_CUIT[#All],2,0)),"CUIT NO CARGADO")</f>
        <v>-</v>
      </c>
      <c r="H1791" s="99">
        <f>ventas_b_mes1255[[#This Row],[TOTAL]]/1.21</f>
        <v>0</v>
      </c>
      <c r="I1791" s="64">
        <f>ventas_b_mes1255[[#This Row],[IMPORTE NETO]]*0.21</f>
        <v>0</v>
      </c>
      <c r="J1791" s="140"/>
      <c r="K1791" s="140"/>
      <c r="L1791" s="140"/>
      <c r="M1791" s="59"/>
    </row>
    <row r="1792" spans="2:13" x14ac:dyDescent="0.25">
      <c r="B1792" s="134"/>
      <c r="C1792" s="41"/>
      <c r="D1792" s="136"/>
      <c r="E1792" s="137"/>
      <c r="F1792" s="138"/>
      <c r="G1792" s="1" t="str">
        <f>IFERROR(IF(ventas_b_mes1255[[#This Row],[CUIT]]="","-",VLOOKUP(ventas_b_mes1255[[#This Row],[CUIT]],Lista_CUIT[#All],2,0)),"CUIT NO CARGADO")</f>
        <v>-</v>
      </c>
      <c r="H1792" s="99">
        <f>ventas_b_mes1255[[#This Row],[TOTAL]]/1.21</f>
        <v>0</v>
      </c>
      <c r="I1792" s="64">
        <f>ventas_b_mes1255[[#This Row],[IMPORTE NETO]]*0.21</f>
        <v>0</v>
      </c>
      <c r="J1792" s="140"/>
      <c r="K1792" s="140"/>
      <c r="L1792" s="140"/>
      <c r="M1792" s="59"/>
    </row>
    <row r="1793" spans="2:13" x14ac:dyDescent="0.25">
      <c r="B1793" s="134"/>
      <c r="C1793" s="41"/>
      <c r="D1793" s="136"/>
      <c r="E1793" s="137"/>
      <c r="F1793" s="138"/>
      <c r="G1793" s="1" t="str">
        <f>IFERROR(IF(ventas_b_mes1255[[#This Row],[CUIT]]="","-",VLOOKUP(ventas_b_mes1255[[#This Row],[CUIT]],Lista_CUIT[#All],2,0)),"CUIT NO CARGADO")</f>
        <v>-</v>
      </c>
      <c r="H1793" s="99">
        <f>ventas_b_mes1255[[#This Row],[TOTAL]]/1.21</f>
        <v>0</v>
      </c>
      <c r="I1793" s="64">
        <f>ventas_b_mes1255[[#This Row],[IMPORTE NETO]]*0.21</f>
        <v>0</v>
      </c>
      <c r="J1793" s="140"/>
      <c r="K1793" s="140"/>
      <c r="L1793" s="140"/>
      <c r="M1793" s="59"/>
    </row>
    <row r="1794" spans="2:13" x14ac:dyDescent="0.25">
      <c r="B1794" s="134"/>
      <c r="C1794" s="41"/>
      <c r="D1794" s="136"/>
      <c r="E1794" s="137"/>
      <c r="F1794" s="138"/>
      <c r="G1794" s="1" t="str">
        <f>IFERROR(IF(ventas_b_mes1255[[#This Row],[CUIT]]="","-",VLOOKUP(ventas_b_mes1255[[#This Row],[CUIT]],Lista_CUIT[#All],2,0)),"CUIT NO CARGADO")</f>
        <v>-</v>
      </c>
      <c r="H1794" s="99">
        <f>ventas_b_mes1255[[#This Row],[TOTAL]]/1.21</f>
        <v>0</v>
      </c>
      <c r="I1794" s="64">
        <f>ventas_b_mes1255[[#This Row],[IMPORTE NETO]]*0.21</f>
        <v>0</v>
      </c>
      <c r="J1794" s="140"/>
      <c r="K1794" s="140"/>
      <c r="L1794" s="140"/>
      <c r="M1794" s="59"/>
    </row>
    <row r="1795" spans="2:13" x14ac:dyDescent="0.25">
      <c r="B1795" s="134"/>
      <c r="C1795" s="41"/>
      <c r="D1795" s="136"/>
      <c r="E1795" s="137"/>
      <c r="F1795" s="138"/>
      <c r="G1795" s="1" t="str">
        <f>IFERROR(IF(ventas_b_mes1255[[#This Row],[CUIT]]="","-",VLOOKUP(ventas_b_mes1255[[#This Row],[CUIT]],Lista_CUIT[#All],2,0)),"CUIT NO CARGADO")</f>
        <v>-</v>
      </c>
      <c r="H1795" s="99">
        <f>ventas_b_mes1255[[#This Row],[TOTAL]]/1.21</f>
        <v>0</v>
      </c>
      <c r="I1795" s="64">
        <f>ventas_b_mes1255[[#This Row],[IMPORTE NETO]]*0.21</f>
        <v>0</v>
      </c>
      <c r="J1795" s="140"/>
      <c r="K1795" s="140"/>
      <c r="L1795" s="140"/>
      <c r="M1795" s="59"/>
    </row>
    <row r="1796" spans="2:13" x14ac:dyDescent="0.25">
      <c r="B1796" s="134"/>
      <c r="C1796" s="41"/>
      <c r="D1796" s="136"/>
      <c r="E1796" s="137"/>
      <c r="F1796" s="138"/>
      <c r="G1796" s="1" t="str">
        <f>IFERROR(IF(ventas_b_mes1255[[#This Row],[CUIT]]="","-",VLOOKUP(ventas_b_mes1255[[#This Row],[CUIT]],Lista_CUIT[#All],2,0)),"CUIT NO CARGADO")</f>
        <v>-</v>
      </c>
      <c r="H1796" s="99">
        <f>ventas_b_mes1255[[#This Row],[TOTAL]]/1.21</f>
        <v>0</v>
      </c>
      <c r="I1796" s="64">
        <f>ventas_b_mes1255[[#This Row],[IMPORTE NETO]]*0.21</f>
        <v>0</v>
      </c>
      <c r="J1796" s="140"/>
      <c r="K1796" s="140"/>
      <c r="L1796" s="140"/>
      <c r="M1796" s="59"/>
    </row>
    <row r="1797" spans="2:13" x14ac:dyDescent="0.25">
      <c r="B1797" s="134"/>
      <c r="C1797" s="41"/>
      <c r="D1797" s="136"/>
      <c r="E1797" s="137"/>
      <c r="F1797" s="138"/>
      <c r="G1797" s="1" t="str">
        <f>IFERROR(IF(ventas_b_mes1255[[#This Row],[CUIT]]="","-",VLOOKUP(ventas_b_mes1255[[#This Row],[CUIT]],Lista_CUIT[#All],2,0)),"CUIT NO CARGADO")</f>
        <v>-</v>
      </c>
      <c r="H1797" s="99">
        <f>ventas_b_mes1255[[#This Row],[TOTAL]]/1.21</f>
        <v>0</v>
      </c>
      <c r="I1797" s="64">
        <f>ventas_b_mes1255[[#This Row],[IMPORTE NETO]]*0.21</f>
        <v>0</v>
      </c>
      <c r="J1797" s="140"/>
      <c r="K1797" s="140"/>
      <c r="L1797" s="140"/>
      <c r="M1797" s="59"/>
    </row>
    <row r="1798" spans="2:13" x14ac:dyDescent="0.25">
      <c r="B1798" s="134"/>
      <c r="C1798" s="41"/>
      <c r="D1798" s="136"/>
      <c r="E1798" s="137"/>
      <c r="F1798" s="138"/>
      <c r="G1798" s="1" t="str">
        <f>IFERROR(IF(ventas_b_mes1255[[#This Row],[CUIT]]="","-",VLOOKUP(ventas_b_mes1255[[#This Row],[CUIT]],Lista_CUIT[#All],2,0)),"CUIT NO CARGADO")</f>
        <v>-</v>
      </c>
      <c r="H1798" s="99">
        <f>ventas_b_mes1255[[#This Row],[TOTAL]]/1.21</f>
        <v>0</v>
      </c>
      <c r="I1798" s="64">
        <f>ventas_b_mes1255[[#This Row],[IMPORTE NETO]]*0.21</f>
        <v>0</v>
      </c>
      <c r="J1798" s="140"/>
      <c r="K1798" s="140"/>
      <c r="L1798" s="140"/>
      <c r="M1798" s="59"/>
    </row>
    <row r="1799" spans="2:13" x14ac:dyDescent="0.25">
      <c r="B1799" s="134"/>
      <c r="C1799" s="41"/>
      <c r="D1799" s="136"/>
      <c r="E1799" s="137"/>
      <c r="F1799" s="138"/>
      <c r="G1799" s="1" t="str">
        <f>IFERROR(IF(ventas_b_mes1255[[#This Row],[CUIT]]="","-",VLOOKUP(ventas_b_mes1255[[#This Row],[CUIT]],Lista_CUIT[#All],2,0)),"CUIT NO CARGADO")</f>
        <v>-</v>
      </c>
      <c r="H1799" s="99">
        <f>ventas_b_mes1255[[#This Row],[TOTAL]]/1.21</f>
        <v>0</v>
      </c>
      <c r="I1799" s="64">
        <f>ventas_b_mes1255[[#This Row],[IMPORTE NETO]]*0.21</f>
        <v>0</v>
      </c>
      <c r="J1799" s="140"/>
      <c r="K1799" s="140"/>
      <c r="L1799" s="140"/>
      <c r="M1799" s="59"/>
    </row>
    <row r="1800" spans="2:13" x14ac:dyDescent="0.25">
      <c r="B1800" s="134"/>
      <c r="C1800" s="41"/>
      <c r="D1800" s="136"/>
      <c r="E1800" s="137"/>
      <c r="F1800" s="138"/>
      <c r="G1800" s="1" t="str">
        <f>IFERROR(IF(ventas_b_mes1255[[#This Row],[CUIT]]="","-",VLOOKUP(ventas_b_mes1255[[#This Row],[CUIT]],Lista_CUIT[#All],2,0)),"CUIT NO CARGADO")</f>
        <v>-</v>
      </c>
      <c r="H1800" s="99">
        <f>ventas_b_mes1255[[#This Row],[TOTAL]]/1.21</f>
        <v>0</v>
      </c>
      <c r="I1800" s="64">
        <f>ventas_b_mes1255[[#This Row],[IMPORTE NETO]]*0.21</f>
        <v>0</v>
      </c>
      <c r="J1800" s="140"/>
      <c r="K1800" s="140"/>
      <c r="L1800" s="140"/>
      <c r="M1800" s="59"/>
    </row>
    <row r="1801" spans="2:13" x14ac:dyDescent="0.25">
      <c r="B1801" s="134"/>
      <c r="C1801" s="41"/>
      <c r="D1801" s="136"/>
      <c r="E1801" s="137"/>
      <c r="F1801" s="138"/>
      <c r="G1801" s="1" t="str">
        <f>IFERROR(IF(ventas_b_mes1255[[#This Row],[CUIT]]="","-",VLOOKUP(ventas_b_mes1255[[#This Row],[CUIT]],Lista_CUIT[#All],2,0)),"CUIT NO CARGADO")</f>
        <v>-</v>
      </c>
      <c r="H1801" s="99">
        <f>ventas_b_mes1255[[#This Row],[TOTAL]]/1.21</f>
        <v>0</v>
      </c>
      <c r="I1801" s="64">
        <f>ventas_b_mes1255[[#This Row],[IMPORTE NETO]]*0.21</f>
        <v>0</v>
      </c>
      <c r="J1801" s="140"/>
      <c r="K1801" s="140"/>
      <c r="L1801" s="140"/>
      <c r="M1801" s="59"/>
    </row>
    <row r="1802" spans="2:13" x14ac:dyDescent="0.25">
      <c r="B1802" s="134"/>
      <c r="C1802" s="41"/>
      <c r="D1802" s="136"/>
      <c r="E1802" s="137"/>
      <c r="F1802" s="138"/>
      <c r="G1802" s="1" t="str">
        <f>IFERROR(IF(ventas_b_mes1255[[#This Row],[CUIT]]="","-",VLOOKUP(ventas_b_mes1255[[#This Row],[CUIT]],Lista_CUIT[#All],2,0)),"CUIT NO CARGADO")</f>
        <v>-</v>
      </c>
      <c r="H1802" s="99">
        <f>ventas_b_mes1255[[#This Row],[TOTAL]]/1.21</f>
        <v>0</v>
      </c>
      <c r="I1802" s="64">
        <f>ventas_b_mes1255[[#This Row],[IMPORTE NETO]]*0.21</f>
        <v>0</v>
      </c>
      <c r="J1802" s="140"/>
      <c r="K1802" s="140"/>
      <c r="L1802" s="140"/>
      <c r="M1802" s="59"/>
    </row>
    <row r="1803" spans="2:13" x14ac:dyDescent="0.25">
      <c r="B1803" s="134"/>
      <c r="C1803" s="41"/>
      <c r="D1803" s="136"/>
      <c r="E1803" s="137"/>
      <c r="F1803" s="138"/>
      <c r="G1803" s="1" t="str">
        <f>IFERROR(IF(ventas_b_mes1255[[#This Row],[CUIT]]="","-",VLOOKUP(ventas_b_mes1255[[#This Row],[CUIT]],Lista_CUIT[#All],2,0)),"CUIT NO CARGADO")</f>
        <v>-</v>
      </c>
      <c r="H1803" s="99">
        <f>ventas_b_mes1255[[#This Row],[TOTAL]]/1.21</f>
        <v>0</v>
      </c>
      <c r="I1803" s="64">
        <f>ventas_b_mes1255[[#This Row],[IMPORTE NETO]]*0.21</f>
        <v>0</v>
      </c>
      <c r="J1803" s="140"/>
      <c r="K1803" s="140"/>
      <c r="L1803" s="140"/>
      <c r="M1803" s="59"/>
    </row>
    <row r="1804" spans="2:13" x14ac:dyDescent="0.25">
      <c r="B1804" s="134"/>
      <c r="C1804" s="41"/>
      <c r="D1804" s="136"/>
      <c r="E1804" s="137"/>
      <c r="F1804" s="138"/>
      <c r="G1804" s="1" t="str">
        <f>IFERROR(IF(ventas_b_mes1255[[#This Row],[CUIT]]="","-",VLOOKUP(ventas_b_mes1255[[#This Row],[CUIT]],Lista_CUIT[#All],2,0)),"CUIT NO CARGADO")</f>
        <v>-</v>
      </c>
      <c r="H1804" s="99">
        <f>ventas_b_mes1255[[#This Row],[TOTAL]]/1.21</f>
        <v>0</v>
      </c>
      <c r="I1804" s="64">
        <f>ventas_b_mes1255[[#This Row],[IMPORTE NETO]]*0.21</f>
        <v>0</v>
      </c>
      <c r="J1804" s="140"/>
      <c r="K1804" s="140"/>
      <c r="L1804" s="140"/>
      <c r="M1804" s="59"/>
    </row>
    <row r="1805" spans="2:13" x14ac:dyDescent="0.25">
      <c r="B1805" s="134"/>
      <c r="C1805" s="41"/>
      <c r="D1805" s="136"/>
      <c r="E1805" s="137"/>
      <c r="F1805" s="138"/>
      <c r="G1805" s="1" t="str">
        <f>IFERROR(IF(ventas_b_mes1255[[#This Row],[CUIT]]="","-",VLOOKUP(ventas_b_mes1255[[#This Row],[CUIT]],Lista_CUIT[#All],2,0)),"CUIT NO CARGADO")</f>
        <v>-</v>
      </c>
      <c r="H1805" s="99">
        <f>ventas_b_mes1255[[#This Row],[TOTAL]]/1.21</f>
        <v>0</v>
      </c>
      <c r="I1805" s="64">
        <f>ventas_b_mes1255[[#This Row],[IMPORTE NETO]]*0.21</f>
        <v>0</v>
      </c>
      <c r="J1805" s="140"/>
      <c r="K1805" s="140"/>
      <c r="L1805" s="140"/>
      <c r="M1805" s="59"/>
    </row>
    <row r="1806" spans="2:13" x14ac:dyDescent="0.25">
      <c r="B1806" s="134"/>
      <c r="C1806" s="41"/>
      <c r="D1806" s="136"/>
      <c r="E1806" s="137"/>
      <c r="F1806" s="138"/>
      <c r="G1806" s="1" t="str">
        <f>IFERROR(IF(ventas_b_mes1255[[#This Row],[CUIT]]="","-",VLOOKUP(ventas_b_mes1255[[#This Row],[CUIT]],Lista_CUIT[#All],2,0)),"CUIT NO CARGADO")</f>
        <v>-</v>
      </c>
      <c r="H1806" s="99">
        <f>ventas_b_mes1255[[#This Row],[TOTAL]]/1.21</f>
        <v>0</v>
      </c>
      <c r="I1806" s="64">
        <f>ventas_b_mes1255[[#This Row],[IMPORTE NETO]]*0.21</f>
        <v>0</v>
      </c>
      <c r="J1806" s="140"/>
      <c r="K1806" s="140"/>
      <c r="L1806" s="140"/>
      <c r="M1806" s="59"/>
    </row>
    <row r="1807" spans="2:13" x14ac:dyDescent="0.25">
      <c r="B1807" s="134"/>
      <c r="C1807" s="41"/>
      <c r="D1807" s="136"/>
      <c r="E1807" s="137"/>
      <c r="F1807" s="138"/>
      <c r="G1807" s="1" t="str">
        <f>IFERROR(IF(ventas_b_mes1255[[#This Row],[CUIT]]="","-",VLOOKUP(ventas_b_mes1255[[#This Row],[CUIT]],Lista_CUIT[#All],2,0)),"CUIT NO CARGADO")</f>
        <v>-</v>
      </c>
      <c r="H1807" s="99">
        <f>ventas_b_mes1255[[#This Row],[TOTAL]]/1.21</f>
        <v>0</v>
      </c>
      <c r="I1807" s="64">
        <f>ventas_b_mes1255[[#This Row],[IMPORTE NETO]]*0.21</f>
        <v>0</v>
      </c>
      <c r="J1807" s="140"/>
      <c r="K1807" s="140"/>
      <c r="L1807" s="140"/>
      <c r="M1807" s="59"/>
    </row>
    <row r="1808" spans="2:13" x14ac:dyDescent="0.25">
      <c r="B1808" s="134"/>
      <c r="C1808" s="41"/>
      <c r="D1808" s="136"/>
      <c r="E1808" s="137"/>
      <c r="F1808" s="138"/>
      <c r="G1808" s="1" t="str">
        <f>IFERROR(IF(ventas_b_mes1255[[#This Row],[CUIT]]="","-",VLOOKUP(ventas_b_mes1255[[#This Row],[CUIT]],Lista_CUIT[#All],2,0)),"CUIT NO CARGADO")</f>
        <v>-</v>
      </c>
      <c r="H1808" s="99">
        <f>ventas_b_mes1255[[#This Row],[TOTAL]]/1.21</f>
        <v>0</v>
      </c>
      <c r="I1808" s="64">
        <f>ventas_b_mes1255[[#This Row],[IMPORTE NETO]]*0.21</f>
        <v>0</v>
      </c>
      <c r="J1808" s="140"/>
      <c r="K1808" s="140"/>
      <c r="L1808" s="140"/>
      <c r="M1808" s="59"/>
    </row>
    <row r="1809" spans="2:13" x14ac:dyDescent="0.25">
      <c r="B1809" s="134"/>
      <c r="C1809" s="41"/>
      <c r="D1809" s="136"/>
      <c r="E1809" s="137"/>
      <c r="F1809" s="138"/>
      <c r="G1809" s="1" t="str">
        <f>IFERROR(IF(ventas_b_mes1255[[#This Row],[CUIT]]="","-",VLOOKUP(ventas_b_mes1255[[#This Row],[CUIT]],Lista_CUIT[#All],2,0)),"CUIT NO CARGADO")</f>
        <v>-</v>
      </c>
      <c r="H1809" s="99">
        <f>ventas_b_mes1255[[#This Row],[TOTAL]]/1.21</f>
        <v>0</v>
      </c>
      <c r="I1809" s="64">
        <f>ventas_b_mes1255[[#This Row],[IMPORTE NETO]]*0.21</f>
        <v>0</v>
      </c>
      <c r="J1809" s="140"/>
      <c r="K1809" s="140"/>
      <c r="L1809" s="140"/>
      <c r="M1809" s="59"/>
    </row>
    <row r="1810" spans="2:13" x14ac:dyDescent="0.25">
      <c r="B1810" s="134"/>
      <c r="C1810" s="41"/>
      <c r="D1810" s="136"/>
      <c r="E1810" s="137"/>
      <c r="F1810" s="138"/>
      <c r="G1810" s="1" t="str">
        <f>IFERROR(IF(ventas_b_mes1255[[#This Row],[CUIT]]="","-",VLOOKUP(ventas_b_mes1255[[#This Row],[CUIT]],Lista_CUIT[#All],2,0)),"CUIT NO CARGADO")</f>
        <v>-</v>
      </c>
      <c r="H1810" s="99">
        <f>ventas_b_mes1255[[#This Row],[TOTAL]]/1.21</f>
        <v>0</v>
      </c>
      <c r="I1810" s="64">
        <f>ventas_b_mes1255[[#This Row],[IMPORTE NETO]]*0.21</f>
        <v>0</v>
      </c>
      <c r="J1810" s="140"/>
      <c r="K1810" s="140"/>
      <c r="L1810" s="140"/>
      <c r="M1810" s="59"/>
    </row>
    <row r="1811" spans="2:13" x14ac:dyDescent="0.25">
      <c r="B1811" s="134"/>
      <c r="C1811" s="41"/>
      <c r="D1811" s="136"/>
      <c r="E1811" s="137"/>
      <c r="F1811" s="138"/>
      <c r="G1811" s="1" t="str">
        <f>IFERROR(IF(ventas_b_mes1255[[#This Row],[CUIT]]="","-",VLOOKUP(ventas_b_mes1255[[#This Row],[CUIT]],Lista_CUIT[#All],2,0)),"CUIT NO CARGADO")</f>
        <v>-</v>
      </c>
      <c r="H1811" s="99">
        <f>ventas_b_mes1255[[#This Row],[TOTAL]]/1.21</f>
        <v>0</v>
      </c>
      <c r="I1811" s="64">
        <f>ventas_b_mes1255[[#This Row],[IMPORTE NETO]]*0.21</f>
        <v>0</v>
      </c>
      <c r="J1811" s="140"/>
      <c r="K1811" s="140"/>
      <c r="L1811" s="140"/>
      <c r="M1811" s="59"/>
    </row>
    <row r="1812" spans="2:13" x14ac:dyDescent="0.25">
      <c r="B1812" s="134"/>
      <c r="C1812" s="41"/>
      <c r="D1812" s="136"/>
      <c r="E1812" s="137"/>
      <c r="F1812" s="138"/>
      <c r="G1812" s="1" t="str">
        <f>IFERROR(IF(ventas_b_mes1255[[#This Row],[CUIT]]="","-",VLOOKUP(ventas_b_mes1255[[#This Row],[CUIT]],Lista_CUIT[#All],2,0)),"CUIT NO CARGADO")</f>
        <v>-</v>
      </c>
      <c r="H1812" s="99">
        <f>ventas_b_mes1255[[#This Row],[TOTAL]]/1.21</f>
        <v>0</v>
      </c>
      <c r="I1812" s="64">
        <f>ventas_b_mes1255[[#This Row],[IMPORTE NETO]]*0.21</f>
        <v>0</v>
      </c>
      <c r="J1812" s="140"/>
      <c r="K1812" s="140"/>
      <c r="L1812" s="140"/>
      <c r="M1812" s="59"/>
    </row>
    <row r="1813" spans="2:13" x14ac:dyDescent="0.25">
      <c r="B1813" s="134"/>
      <c r="C1813" s="41"/>
      <c r="D1813" s="136"/>
      <c r="E1813" s="137"/>
      <c r="F1813" s="138"/>
      <c r="G1813" s="1" t="str">
        <f>IFERROR(IF(ventas_b_mes1255[[#This Row],[CUIT]]="","-",VLOOKUP(ventas_b_mes1255[[#This Row],[CUIT]],Lista_CUIT[#All],2,0)),"CUIT NO CARGADO")</f>
        <v>-</v>
      </c>
      <c r="H1813" s="99">
        <f>ventas_b_mes1255[[#This Row],[TOTAL]]/1.21</f>
        <v>0</v>
      </c>
      <c r="I1813" s="64">
        <f>ventas_b_mes1255[[#This Row],[IMPORTE NETO]]*0.21</f>
        <v>0</v>
      </c>
      <c r="J1813" s="140"/>
      <c r="K1813" s="140"/>
      <c r="L1813" s="140"/>
      <c r="M1813" s="59"/>
    </row>
    <row r="1814" spans="2:13" x14ac:dyDescent="0.25">
      <c r="B1814" s="134"/>
      <c r="C1814" s="41"/>
      <c r="D1814" s="136"/>
      <c r="E1814" s="137"/>
      <c r="F1814" s="138"/>
      <c r="G1814" s="1" t="str">
        <f>IFERROR(IF(ventas_b_mes1255[[#This Row],[CUIT]]="","-",VLOOKUP(ventas_b_mes1255[[#This Row],[CUIT]],Lista_CUIT[#All],2,0)),"CUIT NO CARGADO")</f>
        <v>-</v>
      </c>
      <c r="H1814" s="99">
        <f>ventas_b_mes1255[[#This Row],[TOTAL]]/1.21</f>
        <v>0</v>
      </c>
      <c r="I1814" s="64">
        <f>ventas_b_mes1255[[#This Row],[IMPORTE NETO]]*0.21</f>
        <v>0</v>
      </c>
      <c r="J1814" s="140"/>
      <c r="K1814" s="140"/>
      <c r="L1814" s="140"/>
      <c r="M1814" s="59"/>
    </row>
    <row r="1815" spans="2:13" x14ac:dyDescent="0.25">
      <c r="B1815" s="134"/>
      <c r="C1815" s="41"/>
      <c r="D1815" s="136"/>
      <c r="E1815" s="137"/>
      <c r="F1815" s="138"/>
      <c r="G1815" s="1" t="str">
        <f>IFERROR(IF(ventas_b_mes1255[[#This Row],[CUIT]]="","-",VLOOKUP(ventas_b_mes1255[[#This Row],[CUIT]],Lista_CUIT[#All],2,0)),"CUIT NO CARGADO")</f>
        <v>-</v>
      </c>
      <c r="H1815" s="99">
        <f>ventas_b_mes1255[[#This Row],[TOTAL]]/1.21</f>
        <v>0</v>
      </c>
      <c r="I1815" s="64">
        <f>ventas_b_mes1255[[#This Row],[IMPORTE NETO]]*0.21</f>
        <v>0</v>
      </c>
      <c r="J1815" s="140"/>
      <c r="K1815" s="140"/>
      <c r="L1815" s="140"/>
      <c r="M1815" s="59"/>
    </row>
    <row r="1816" spans="2:13" x14ac:dyDescent="0.25">
      <c r="B1816" s="134"/>
      <c r="C1816" s="41"/>
      <c r="D1816" s="136"/>
      <c r="E1816" s="137"/>
      <c r="F1816" s="138"/>
      <c r="G1816" s="1" t="str">
        <f>IFERROR(IF(ventas_b_mes1255[[#This Row],[CUIT]]="","-",VLOOKUP(ventas_b_mes1255[[#This Row],[CUIT]],Lista_CUIT[#All],2,0)),"CUIT NO CARGADO")</f>
        <v>-</v>
      </c>
      <c r="H1816" s="99">
        <f>ventas_b_mes1255[[#This Row],[TOTAL]]/1.21</f>
        <v>0</v>
      </c>
      <c r="I1816" s="64">
        <f>ventas_b_mes1255[[#This Row],[IMPORTE NETO]]*0.21</f>
        <v>0</v>
      </c>
      <c r="J1816" s="140"/>
      <c r="K1816" s="140"/>
      <c r="L1816" s="140"/>
      <c r="M1816" s="59"/>
    </row>
    <row r="1817" spans="2:13" x14ac:dyDescent="0.25">
      <c r="B1817" s="134"/>
      <c r="C1817" s="41"/>
      <c r="D1817" s="136"/>
      <c r="E1817" s="137"/>
      <c r="F1817" s="138"/>
      <c r="G1817" s="1" t="str">
        <f>IFERROR(IF(ventas_b_mes1255[[#This Row],[CUIT]]="","-",VLOOKUP(ventas_b_mes1255[[#This Row],[CUIT]],Lista_CUIT[#All],2,0)),"CUIT NO CARGADO")</f>
        <v>-</v>
      </c>
      <c r="H1817" s="99">
        <f>ventas_b_mes1255[[#This Row],[TOTAL]]/1.21</f>
        <v>0</v>
      </c>
      <c r="I1817" s="64">
        <f>ventas_b_mes1255[[#This Row],[IMPORTE NETO]]*0.21</f>
        <v>0</v>
      </c>
      <c r="J1817" s="140"/>
      <c r="K1817" s="140"/>
      <c r="L1817" s="140"/>
      <c r="M1817" s="59"/>
    </row>
    <row r="1818" spans="2:13" x14ac:dyDescent="0.25">
      <c r="B1818" s="134"/>
      <c r="C1818" s="41"/>
      <c r="D1818" s="136"/>
      <c r="E1818" s="137"/>
      <c r="F1818" s="138"/>
      <c r="G1818" s="1" t="str">
        <f>IFERROR(IF(ventas_b_mes1255[[#This Row],[CUIT]]="","-",VLOOKUP(ventas_b_mes1255[[#This Row],[CUIT]],Lista_CUIT[#All],2,0)),"CUIT NO CARGADO")</f>
        <v>-</v>
      </c>
      <c r="H1818" s="99">
        <f>ventas_b_mes1255[[#This Row],[TOTAL]]/1.21</f>
        <v>0</v>
      </c>
      <c r="I1818" s="64">
        <f>ventas_b_mes1255[[#This Row],[IMPORTE NETO]]*0.21</f>
        <v>0</v>
      </c>
      <c r="J1818" s="140"/>
      <c r="K1818" s="140"/>
      <c r="L1818" s="140"/>
      <c r="M1818" s="59"/>
    </row>
    <row r="1819" spans="2:13" x14ac:dyDescent="0.25">
      <c r="B1819" s="134"/>
      <c r="C1819" s="41"/>
      <c r="D1819" s="136"/>
      <c r="E1819" s="137"/>
      <c r="F1819" s="138"/>
      <c r="G1819" s="1" t="str">
        <f>IFERROR(IF(ventas_b_mes1255[[#This Row],[CUIT]]="","-",VLOOKUP(ventas_b_mes1255[[#This Row],[CUIT]],Lista_CUIT[#All],2,0)),"CUIT NO CARGADO")</f>
        <v>-</v>
      </c>
      <c r="H1819" s="99">
        <f>ventas_b_mes1255[[#This Row],[TOTAL]]/1.21</f>
        <v>0</v>
      </c>
      <c r="I1819" s="64">
        <f>ventas_b_mes1255[[#This Row],[IMPORTE NETO]]*0.21</f>
        <v>0</v>
      </c>
      <c r="J1819" s="140"/>
      <c r="K1819" s="140"/>
      <c r="L1819" s="140"/>
      <c r="M1819" s="59"/>
    </row>
    <row r="1820" spans="2:13" x14ac:dyDescent="0.25">
      <c r="B1820" s="134"/>
      <c r="C1820" s="41"/>
      <c r="D1820" s="136"/>
      <c r="E1820" s="137"/>
      <c r="F1820" s="138"/>
      <c r="G1820" s="1" t="str">
        <f>IFERROR(IF(ventas_b_mes1255[[#This Row],[CUIT]]="","-",VLOOKUP(ventas_b_mes1255[[#This Row],[CUIT]],Lista_CUIT[#All],2,0)),"CUIT NO CARGADO")</f>
        <v>-</v>
      </c>
      <c r="H1820" s="99">
        <f>ventas_b_mes1255[[#This Row],[TOTAL]]/1.21</f>
        <v>0</v>
      </c>
      <c r="I1820" s="64">
        <f>ventas_b_mes1255[[#This Row],[IMPORTE NETO]]*0.21</f>
        <v>0</v>
      </c>
      <c r="J1820" s="140"/>
      <c r="K1820" s="140"/>
      <c r="L1820" s="140"/>
      <c r="M1820" s="59"/>
    </row>
    <row r="1821" spans="2:13" x14ac:dyDescent="0.25">
      <c r="B1821" s="134"/>
      <c r="C1821" s="41"/>
      <c r="D1821" s="136"/>
      <c r="E1821" s="137"/>
      <c r="F1821" s="138"/>
      <c r="G1821" s="1" t="str">
        <f>IFERROR(IF(ventas_b_mes1255[[#This Row],[CUIT]]="","-",VLOOKUP(ventas_b_mes1255[[#This Row],[CUIT]],Lista_CUIT[#All],2,0)),"CUIT NO CARGADO")</f>
        <v>-</v>
      </c>
      <c r="H1821" s="99">
        <f>ventas_b_mes1255[[#This Row],[TOTAL]]/1.21</f>
        <v>0</v>
      </c>
      <c r="I1821" s="64">
        <f>ventas_b_mes1255[[#This Row],[IMPORTE NETO]]*0.21</f>
        <v>0</v>
      </c>
      <c r="J1821" s="140"/>
      <c r="K1821" s="140"/>
      <c r="L1821" s="140"/>
      <c r="M1821" s="59"/>
    </row>
    <row r="1822" spans="2:13" x14ac:dyDescent="0.25">
      <c r="B1822" s="134"/>
      <c r="C1822" s="41"/>
      <c r="D1822" s="136"/>
      <c r="E1822" s="137"/>
      <c r="F1822" s="138"/>
      <c r="G1822" s="1" t="str">
        <f>IFERROR(IF(ventas_b_mes1255[[#This Row],[CUIT]]="","-",VLOOKUP(ventas_b_mes1255[[#This Row],[CUIT]],Lista_CUIT[#All],2,0)),"CUIT NO CARGADO")</f>
        <v>-</v>
      </c>
      <c r="H1822" s="99">
        <f>ventas_b_mes1255[[#This Row],[TOTAL]]/1.21</f>
        <v>0</v>
      </c>
      <c r="I1822" s="64">
        <f>ventas_b_mes1255[[#This Row],[IMPORTE NETO]]*0.21</f>
        <v>0</v>
      </c>
      <c r="J1822" s="140"/>
      <c r="K1822" s="140"/>
      <c r="L1822" s="140"/>
      <c r="M1822" s="59"/>
    </row>
    <row r="1823" spans="2:13" x14ac:dyDescent="0.25">
      <c r="B1823" s="134"/>
      <c r="C1823" s="41"/>
      <c r="D1823" s="136"/>
      <c r="E1823" s="137"/>
      <c r="F1823" s="138"/>
      <c r="G1823" s="1" t="str">
        <f>IFERROR(IF(ventas_b_mes1255[[#This Row],[CUIT]]="","-",VLOOKUP(ventas_b_mes1255[[#This Row],[CUIT]],Lista_CUIT[#All],2,0)),"CUIT NO CARGADO")</f>
        <v>-</v>
      </c>
      <c r="H1823" s="99">
        <f>ventas_b_mes1255[[#This Row],[TOTAL]]/1.21</f>
        <v>0</v>
      </c>
      <c r="I1823" s="64">
        <f>ventas_b_mes1255[[#This Row],[IMPORTE NETO]]*0.21</f>
        <v>0</v>
      </c>
      <c r="J1823" s="140"/>
      <c r="K1823" s="140"/>
      <c r="L1823" s="140"/>
      <c r="M1823" s="59"/>
    </row>
    <row r="1824" spans="2:13" x14ac:dyDescent="0.25">
      <c r="B1824" s="134"/>
      <c r="C1824" s="41"/>
      <c r="D1824" s="136"/>
      <c r="E1824" s="137"/>
      <c r="F1824" s="138"/>
      <c r="G1824" s="1" t="str">
        <f>IFERROR(IF(ventas_b_mes1255[[#This Row],[CUIT]]="","-",VLOOKUP(ventas_b_mes1255[[#This Row],[CUIT]],Lista_CUIT[#All],2,0)),"CUIT NO CARGADO")</f>
        <v>-</v>
      </c>
      <c r="H1824" s="99">
        <f>ventas_b_mes1255[[#This Row],[TOTAL]]/1.21</f>
        <v>0</v>
      </c>
      <c r="I1824" s="64">
        <f>ventas_b_mes1255[[#This Row],[IMPORTE NETO]]*0.21</f>
        <v>0</v>
      </c>
      <c r="J1824" s="140"/>
      <c r="K1824" s="140"/>
      <c r="L1824" s="140"/>
      <c r="M1824" s="59"/>
    </row>
    <row r="1825" spans="2:13" x14ac:dyDescent="0.25">
      <c r="B1825" s="134"/>
      <c r="C1825" s="41"/>
      <c r="D1825" s="136"/>
      <c r="E1825" s="137"/>
      <c r="F1825" s="138"/>
      <c r="G1825" s="1" t="str">
        <f>IFERROR(IF(ventas_b_mes1255[[#This Row],[CUIT]]="","-",VLOOKUP(ventas_b_mes1255[[#This Row],[CUIT]],Lista_CUIT[#All],2,0)),"CUIT NO CARGADO")</f>
        <v>-</v>
      </c>
      <c r="H1825" s="99">
        <f>ventas_b_mes1255[[#This Row],[TOTAL]]/1.21</f>
        <v>0</v>
      </c>
      <c r="I1825" s="64">
        <f>ventas_b_mes1255[[#This Row],[IMPORTE NETO]]*0.21</f>
        <v>0</v>
      </c>
      <c r="J1825" s="140"/>
      <c r="K1825" s="140"/>
      <c r="L1825" s="140"/>
      <c r="M1825" s="59"/>
    </row>
    <row r="1826" spans="2:13" x14ac:dyDescent="0.25">
      <c r="B1826" s="134"/>
      <c r="C1826" s="41"/>
      <c r="D1826" s="136"/>
      <c r="E1826" s="137"/>
      <c r="F1826" s="138"/>
      <c r="G1826" s="1" t="str">
        <f>IFERROR(IF(ventas_b_mes1255[[#This Row],[CUIT]]="","-",VLOOKUP(ventas_b_mes1255[[#This Row],[CUIT]],Lista_CUIT[#All],2,0)),"CUIT NO CARGADO")</f>
        <v>-</v>
      </c>
      <c r="H1826" s="99">
        <f>ventas_b_mes1255[[#This Row],[TOTAL]]/1.21</f>
        <v>0</v>
      </c>
      <c r="I1826" s="64">
        <f>ventas_b_mes1255[[#This Row],[IMPORTE NETO]]*0.21</f>
        <v>0</v>
      </c>
      <c r="J1826" s="140"/>
      <c r="K1826" s="140"/>
      <c r="L1826" s="140"/>
      <c r="M1826" s="59"/>
    </row>
    <row r="1827" spans="2:13" x14ac:dyDescent="0.25">
      <c r="B1827" s="134"/>
      <c r="C1827" s="41"/>
      <c r="D1827" s="136"/>
      <c r="E1827" s="137"/>
      <c r="F1827" s="138"/>
      <c r="G1827" s="1" t="str">
        <f>IFERROR(IF(ventas_b_mes1255[[#This Row],[CUIT]]="","-",VLOOKUP(ventas_b_mes1255[[#This Row],[CUIT]],Lista_CUIT[#All],2,0)),"CUIT NO CARGADO")</f>
        <v>-</v>
      </c>
      <c r="H1827" s="99">
        <f>ventas_b_mes1255[[#This Row],[TOTAL]]/1.21</f>
        <v>0</v>
      </c>
      <c r="I1827" s="64">
        <f>ventas_b_mes1255[[#This Row],[IMPORTE NETO]]*0.21</f>
        <v>0</v>
      </c>
      <c r="J1827" s="140"/>
      <c r="K1827" s="140"/>
      <c r="L1827" s="140"/>
      <c r="M1827" s="59"/>
    </row>
    <row r="1828" spans="2:13" x14ac:dyDescent="0.25">
      <c r="B1828" s="134"/>
      <c r="C1828" s="41"/>
      <c r="D1828" s="136"/>
      <c r="E1828" s="137"/>
      <c r="F1828" s="138"/>
      <c r="G1828" s="1" t="str">
        <f>IFERROR(IF(ventas_b_mes1255[[#This Row],[CUIT]]="","-",VLOOKUP(ventas_b_mes1255[[#This Row],[CUIT]],Lista_CUIT[#All],2,0)),"CUIT NO CARGADO")</f>
        <v>-</v>
      </c>
      <c r="H1828" s="99">
        <f>ventas_b_mes1255[[#This Row],[TOTAL]]/1.21</f>
        <v>0</v>
      </c>
      <c r="I1828" s="64">
        <f>ventas_b_mes1255[[#This Row],[IMPORTE NETO]]*0.21</f>
        <v>0</v>
      </c>
      <c r="J1828" s="140"/>
      <c r="K1828" s="140"/>
      <c r="L1828" s="140"/>
      <c r="M1828" s="59"/>
    </row>
    <row r="1829" spans="2:13" x14ac:dyDescent="0.25">
      <c r="B1829" s="134"/>
      <c r="C1829" s="41"/>
      <c r="D1829" s="136"/>
      <c r="E1829" s="137"/>
      <c r="F1829" s="138"/>
      <c r="G1829" s="1" t="str">
        <f>IFERROR(IF(ventas_b_mes1255[[#This Row],[CUIT]]="","-",VLOOKUP(ventas_b_mes1255[[#This Row],[CUIT]],Lista_CUIT[#All],2,0)),"CUIT NO CARGADO")</f>
        <v>-</v>
      </c>
      <c r="H1829" s="99">
        <f>ventas_b_mes1255[[#This Row],[TOTAL]]/1.21</f>
        <v>0</v>
      </c>
      <c r="I1829" s="64">
        <f>ventas_b_mes1255[[#This Row],[IMPORTE NETO]]*0.21</f>
        <v>0</v>
      </c>
      <c r="J1829" s="140"/>
      <c r="K1829" s="140"/>
      <c r="L1829" s="140"/>
      <c r="M1829" s="59"/>
    </row>
    <row r="1830" spans="2:13" x14ac:dyDescent="0.25">
      <c r="B1830" s="134"/>
      <c r="C1830" s="41"/>
      <c r="D1830" s="136"/>
      <c r="E1830" s="137"/>
      <c r="F1830" s="138"/>
      <c r="G1830" s="1" t="str">
        <f>IFERROR(IF(ventas_b_mes1255[[#This Row],[CUIT]]="","-",VLOOKUP(ventas_b_mes1255[[#This Row],[CUIT]],Lista_CUIT[#All],2,0)),"CUIT NO CARGADO")</f>
        <v>-</v>
      </c>
      <c r="H1830" s="99">
        <f>ventas_b_mes1255[[#This Row],[TOTAL]]/1.21</f>
        <v>0</v>
      </c>
      <c r="I1830" s="64">
        <f>ventas_b_mes1255[[#This Row],[IMPORTE NETO]]*0.21</f>
        <v>0</v>
      </c>
      <c r="J1830" s="140"/>
      <c r="K1830" s="140"/>
      <c r="L1830" s="140"/>
      <c r="M1830" s="59"/>
    </row>
    <row r="1831" spans="2:13" x14ac:dyDescent="0.25">
      <c r="B1831" s="134"/>
      <c r="C1831" s="41"/>
      <c r="D1831" s="136"/>
      <c r="E1831" s="137"/>
      <c r="F1831" s="138"/>
      <c r="G1831" s="1" t="str">
        <f>IFERROR(IF(ventas_b_mes1255[[#This Row],[CUIT]]="","-",VLOOKUP(ventas_b_mes1255[[#This Row],[CUIT]],Lista_CUIT[#All],2,0)),"CUIT NO CARGADO")</f>
        <v>-</v>
      </c>
      <c r="H1831" s="99">
        <f>ventas_b_mes1255[[#This Row],[TOTAL]]/1.21</f>
        <v>0</v>
      </c>
      <c r="I1831" s="64">
        <f>ventas_b_mes1255[[#This Row],[IMPORTE NETO]]*0.21</f>
        <v>0</v>
      </c>
      <c r="J1831" s="140"/>
      <c r="K1831" s="140"/>
      <c r="L1831" s="140"/>
      <c r="M1831" s="59"/>
    </row>
    <row r="1832" spans="2:13" x14ac:dyDescent="0.25">
      <c r="B1832" s="134"/>
      <c r="C1832" s="41"/>
      <c r="D1832" s="136"/>
      <c r="E1832" s="137"/>
      <c r="F1832" s="138"/>
      <c r="G1832" s="1" t="str">
        <f>IFERROR(IF(ventas_b_mes1255[[#This Row],[CUIT]]="","-",VLOOKUP(ventas_b_mes1255[[#This Row],[CUIT]],Lista_CUIT[#All],2,0)),"CUIT NO CARGADO")</f>
        <v>-</v>
      </c>
      <c r="H1832" s="99">
        <f>ventas_b_mes1255[[#This Row],[TOTAL]]/1.21</f>
        <v>0</v>
      </c>
      <c r="I1832" s="64">
        <f>ventas_b_mes1255[[#This Row],[IMPORTE NETO]]*0.21</f>
        <v>0</v>
      </c>
      <c r="J1832" s="140"/>
      <c r="K1832" s="140"/>
      <c r="L1832" s="140"/>
      <c r="M1832" s="59"/>
    </row>
    <row r="1833" spans="2:13" x14ac:dyDescent="0.25">
      <c r="B1833" s="134"/>
      <c r="C1833" s="41"/>
      <c r="D1833" s="136"/>
      <c r="E1833" s="137"/>
      <c r="F1833" s="138"/>
      <c r="G1833" s="1" t="str">
        <f>IFERROR(IF(ventas_b_mes1255[[#This Row],[CUIT]]="","-",VLOOKUP(ventas_b_mes1255[[#This Row],[CUIT]],Lista_CUIT[#All],2,0)),"CUIT NO CARGADO")</f>
        <v>-</v>
      </c>
      <c r="H1833" s="99">
        <f>ventas_b_mes1255[[#This Row],[TOTAL]]/1.21</f>
        <v>0</v>
      </c>
      <c r="I1833" s="64">
        <f>ventas_b_mes1255[[#This Row],[IMPORTE NETO]]*0.21</f>
        <v>0</v>
      </c>
      <c r="J1833" s="140"/>
      <c r="K1833" s="140"/>
      <c r="L1833" s="140"/>
      <c r="M1833" s="59"/>
    </row>
    <row r="1834" spans="2:13" x14ac:dyDescent="0.25">
      <c r="B1834" s="134"/>
      <c r="C1834" s="41"/>
      <c r="D1834" s="136"/>
      <c r="E1834" s="137"/>
      <c r="F1834" s="138"/>
      <c r="G1834" s="1" t="str">
        <f>IFERROR(IF(ventas_b_mes1255[[#This Row],[CUIT]]="","-",VLOOKUP(ventas_b_mes1255[[#This Row],[CUIT]],Lista_CUIT[#All],2,0)),"CUIT NO CARGADO")</f>
        <v>-</v>
      </c>
      <c r="H1834" s="99">
        <f>ventas_b_mes1255[[#This Row],[TOTAL]]/1.21</f>
        <v>0</v>
      </c>
      <c r="I1834" s="64">
        <f>ventas_b_mes1255[[#This Row],[IMPORTE NETO]]*0.21</f>
        <v>0</v>
      </c>
      <c r="J1834" s="140"/>
      <c r="K1834" s="140"/>
      <c r="L1834" s="140"/>
      <c r="M1834" s="59"/>
    </row>
    <row r="1835" spans="2:13" x14ac:dyDescent="0.25">
      <c r="B1835" s="134"/>
      <c r="C1835" s="41"/>
      <c r="D1835" s="136"/>
      <c r="E1835" s="137"/>
      <c r="F1835" s="138"/>
      <c r="G1835" s="1" t="str">
        <f>IFERROR(IF(ventas_b_mes1255[[#This Row],[CUIT]]="","-",VLOOKUP(ventas_b_mes1255[[#This Row],[CUIT]],Lista_CUIT[#All],2,0)),"CUIT NO CARGADO")</f>
        <v>-</v>
      </c>
      <c r="H1835" s="99">
        <f>ventas_b_mes1255[[#This Row],[TOTAL]]/1.21</f>
        <v>0</v>
      </c>
      <c r="I1835" s="64">
        <f>ventas_b_mes1255[[#This Row],[IMPORTE NETO]]*0.21</f>
        <v>0</v>
      </c>
      <c r="J1835" s="140"/>
      <c r="K1835" s="140"/>
      <c r="L1835" s="140"/>
      <c r="M1835" s="59"/>
    </row>
    <row r="1836" spans="2:13" x14ac:dyDescent="0.25">
      <c r="B1836" s="134"/>
      <c r="C1836" s="41"/>
      <c r="D1836" s="136"/>
      <c r="E1836" s="137"/>
      <c r="F1836" s="138"/>
      <c r="G1836" s="1" t="str">
        <f>IFERROR(IF(ventas_b_mes1255[[#This Row],[CUIT]]="","-",VLOOKUP(ventas_b_mes1255[[#This Row],[CUIT]],Lista_CUIT[#All],2,0)),"CUIT NO CARGADO")</f>
        <v>-</v>
      </c>
      <c r="H1836" s="99">
        <f>ventas_b_mes1255[[#This Row],[TOTAL]]/1.21</f>
        <v>0</v>
      </c>
      <c r="I1836" s="64">
        <f>ventas_b_mes1255[[#This Row],[IMPORTE NETO]]*0.21</f>
        <v>0</v>
      </c>
      <c r="J1836" s="140"/>
      <c r="K1836" s="140"/>
      <c r="L1836" s="140"/>
      <c r="M1836" s="59"/>
    </row>
    <row r="1837" spans="2:13" x14ac:dyDescent="0.25">
      <c r="B1837" s="134"/>
      <c r="C1837" s="41"/>
      <c r="D1837" s="136"/>
      <c r="E1837" s="137"/>
      <c r="F1837" s="138"/>
      <c r="G1837" s="1" t="str">
        <f>IFERROR(IF(ventas_b_mes1255[[#This Row],[CUIT]]="","-",VLOOKUP(ventas_b_mes1255[[#This Row],[CUIT]],Lista_CUIT[#All],2,0)),"CUIT NO CARGADO")</f>
        <v>-</v>
      </c>
      <c r="H1837" s="99">
        <f>ventas_b_mes1255[[#This Row],[TOTAL]]/1.21</f>
        <v>0</v>
      </c>
      <c r="I1837" s="64">
        <f>ventas_b_mes1255[[#This Row],[IMPORTE NETO]]*0.21</f>
        <v>0</v>
      </c>
      <c r="J1837" s="140"/>
      <c r="K1837" s="140"/>
      <c r="L1837" s="140"/>
      <c r="M1837" s="59"/>
    </row>
    <row r="1838" spans="2:13" x14ac:dyDescent="0.25">
      <c r="B1838" s="134"/>
      <c r="C1838" s="41"/>
      <c r="D1838" s="136"/>
      <c r="E1838" s="137"/>
      <c r="F1838" s="138"/>
      <c r="G1838" s="1" t="str">
        <f>IFERROR(IF(ventas_b_mes1255[[#This Row],[CUIT]]="","-",VLOOKUP(ventas_b_mes1255[[#This Row],[CUIT]],Lista_CUIT[#All],2,0)),"CUIT NO CARGADO")</f>
        <v>-</v>
      </c>
      <c r="H1838" s="99">
        <f>ventas_b_mes1255[[#This Row],[TOTAL]]/1.21</f>
        <v>0</v>
      </c>
      <c r="I1838" s="64">
        <f>ventas_b_mes1255[[#This Row],[IMPORTE NETO]]*0.21</f>
        <v>0</v>
      </c>
      <c r="J1838" s="140"/>
      <c r="K1838" s="140"/>
      <c r="L1838" s="140"/>
      <c r="M1838" s="59"/>
    </row>
    <row r="1839" spans="2:13" x14ac:dyDescent="0.25">
      <c r="B1839" s="134"/>
      <c r="C1839" s="41"/>
      <c r="D1839" s="136"/>
      <c r="E1839" s="137"/>
      <c r="F1839" s="138"/>
      <c r="G1839" s="1" t="str">
        <f>IFERROR(IF(ventas_b_mes1255[[#This Row],[CUIT]]="","-",VLOOKUP(ventas_b_mes1255[[#This Row],[CUIT]],Lista_CUIT[#All],2,0)),"CUIT NO CARGADO")</f>
        <v>-</v>
      </c>
      <c r="H1839" s="99">
        <f>ventas_b_mes1255[[#This Row],[TOTAL]]/1.21</f>
        <v>0</v>
      </c>
      <c r="I1839" s="64">
        <f>ventas_b_mes1255[[#This Row],[IMPORTE NETO]]*0.21</f>
        <v>0</v>
      </c>
      <c r="J1839" s="140"/>
      <c r="K1839" s="140"/>
      <c r="L1839" s="140"/>
      <c r="M1839" s="59"/>
    </row>
    <row r="1840" spans="2:13" x14ac:dyDescent="0.25">
      <c r="B1840" s="134"/>
      <c r="C1840" s="41"/>
      <c r="D1840" s="136"/>
      <c r="E1840" s="137"/>
      <c r="F1840" s="138"/>
      <c r="G1840" s="1" t="str">
        <f>IFERROR(IF(ventas_b_mes1255[[#This Row],[CUIT]]="","-",VLOOKUP(ventas_b_mes1255[[#This Row],[CUIT]],Lista_CUIT[#All],2,0)),"CUIT NO CARGADO")</f>
        <v>-</v>
      </c>
      <c r="H1840" s="99">
        <f>ventas_b_mes1255[[#This Row],[TOTAL]]/1.21</f>
        <v>0</v>
      </c>
      <c r="I1840" s="64">
        <f>ventas_b_mes1255[[#This Row],[IMPORTE NETO]]*0.21</f>
        <v>0</v>
      </c>
      <c r="J1840" s="140"/>
      <c r="K1840" s="140"/>
      <c r="L1840" s="140"/>
      <c r="M1840" s="59"/>
    </row>
    <row r="1841" spans="2:13" x14ac:dyDescent="0.25">
      <c r="B1841" s="134"/>
      <c r="C1841" s="41"/>
      <c r="D1841" s="136"/>
      <c r="E1841" s="137"/>
      <c r="F1841" s="138"/>
      <c r="G1841" s="1" t="str">
        <f>IFERROR(IF(ventas_b_mes1255[[#This Row],[CUIT]]="","-",VLOOKUP(ventas_b_mes1255[[#This Row],[CUIT]],Lista_CUIT[#All],2,0)),"CUIT NO CARGADO")</f>
        <v>-</v>
      </c>
      <c r="H1841" s="99">
        <f>ventas_b_mes1255[[#This Row],[TOTAL]]/1.21</f>
        <v>0</v>
      </c>
      <c r="I1841" s="64">
        <f>ventas_b_mes1255[[#This Row],[IMPORTE NETO]]*0.21</f>
        <v>0</v>
      </c>
      <c r="J1841" s="140"/>
      <c r="K1841" s="140"/>
      <c r="L1841" s="140"/>
      <c r="M1841" s="59"/>
    </row>
    <row r="1842" spans="2:13" x14ac:dyDescent="0.25">
      <c r="B1842" s="134"/>
      <c r="C1842" s="41"/>
      <c r="D1842" s="136"/>
      <c r="E1842" s="137"/>
      <c r="F1842" s="138"/>
      <c r="G1842" s="1" t="str">
        <f>IFERROR(IF(ventas_b_mes1255[[#This Row],[CUIT]]="","-",VLOOKUP(ventas_b_mes1255[[#This Row],[CUIT]],Lista_CUIT[#All],2,0)),"CUIT NO CARGADO")</f>
        <v>-</v>
      </c>
      <c r="H1842" s="99">
        <f>ventas_b_mes1255[[#This Row],[TOTAL]]/1.21</f>
        <v>0</v>
      </c>
      <c r="I1842" s="64">
        <f>ventas_b_mes1255[[#This Row],[IMPORTE NETO]]*0.21</f>
        <v>0</v>
      </c>
      <c r="J1842" s="140"/>
      <c r="K1842" s="140"/>
      <c r="L1842" s="140"/>
      <c r="M1842" s="59"/>
    </row>
    <row r="1843" spans="2:13" x14ac:dyDescent="0.25">
      <c r="B1843" s="134"/>
      <c r="C1843" s="41"/>
      <c r="D1843" s="136"/>
      <c r="E1843" s="137"/>
      <c r="F1843" s="138"/>
      <c r="G1843" s="1" t="str">
        <f>IFERROR(IF(ventas_b_mes1255[[#This Row],[CUIT]]="","-",VLOOKUP(ventas_b_mes1255[[#This Row],[CUIT]],Lista_CUIT[#All],2,0)),"CUIT NO CARGADO")</f>
        <v>-</v>
      </c>
      <c r="H1843" s="99">
        <f>ventas_b_mes1255[[#This Row],[TOTAL]]/1.21</f>
        <v>0</v>
      </c>
      <c r="I1843" s="64">
        <f>ventas_b_mes1255[[#This Row],[IMPORTE NETO]]*0.21</f>
        <v>0</v>
      </c>
      <c r="J1843" s="140"/>
      <c r="K1843" s="140"/>
      <c r="L1843" s="140"/>
      <c r="M1843" s="59"/>
    </row>
    <row r="1844" spans="2:13" x14ac:dyDescent="0.25">
      <c r="B1844" s="134"/>
      <c r="C1844" s="41"/>
      <c r="D1844" s="136"/>
      <c r="E1844" s="137"/>
      <c r="F1844" s="138"/>
      <c r="G1844" s="1" t="str">
        <f>IFERROR(IF(ventas_b_mes1255[[#This Row],[CUIT]]="","-",VLOOKUP(ventas_b_mes1255[[#This Row],[CUIT]],Lista_CUIT[#All],2,0)),"CUIT NO CARGADO")</f>
        <v>-</v>
      </c>
      <c r="H1844" s="99">
        <f>ventas_b_mes1255[[#This Row],[TOTAL]]/1.21</f>
        <v>0</v>
      </c>
      <c r="I1844" s="64">
        <f>ventas_b_mes1255[[#This Row],[IMPORTE NETO]]*0.21</f>
        <v>0</v>
      </c>
      <c r="J1844" s="140"/>
      <c r="K1844" s="140"/>
      <c r="L1844" s="140"/>
      <c r="M1844" s="59"/>
    </row>
    <row r="1845" spans="2:13" x14ac:dyDescent="0.25">
      <c r="B1845" s="134"/>
      <c r="C1845" s="41"/>
      <c r="D1845" s="136"/>
      <c r="E1845" s="137"/>
      <c r="F1845" s="138"/>
      <c r="G1845" s="1" t="str">
        <f>IFERROR(IF(ventas_b_mes1255[[#This Row],[CUIT]]="","-",VLOOKUP(ventas_b_mes1255[[#This Row],[CUIT]],Lista_CUIT[#All],2,0)),"CUIT NO CARGADO")</f>
        <v>-</v>
      </c>
      <c r="H1845" s="99">
        <f>ventas_b_mes1255[[#This Row],[TOTAL]]/1.21</f>
        <v>0</v>
      </c>
      <c r="I1845" s="64">
        <f>ventas_b_mes1255[[#This Row],[IMPORTE NETO]]*0.21</f>
        <v>0</v>
      </c>
      <c r="J1845" s="140"/>
      <c r="K1845" s="140"/>
      <c r="L1845" s="140"/>
      <c r="M1845" s="59"/>
    </row>
    <row r="1846" spans="2:13" x14ac:dyDescent="0.25">
      <c r="B1846" s="134"/>
      <c r="C1846" s="41"/>
      <c r="D1846" s="136"/>
      <c r="E1846" s="137"/>
      <c r="F1846" s="138"/>
      <c r="G1846" s="1" t="str">
        <f>IFERROR(IF(ventas_b_mes1255[[#This Row],[CUIT]]="","-",VLOOKUP(ventas_b_mes1255[[#This Row],[CUIT]],Lista_CUIT[#All],2,0)),"CUIT NO CARGADO")</f>
        <v>-</v>
      </c>
      <c r="H1846" s="99">
        <f>ventas_b_mes1255[[#This Row],[TOTAL]]/1.21</f>
        <v>0</v>
      </c>
      <c r="I1846" s="64">
        <f>ventas_b_mes1255[[#This Row],[IMPORTE NETO]]*0.21</f>
        <v>0</v>
      </c>
      <c r="J1846" s="140"/>
      <c r="K1846" s="140"/>
      <c r="L1846" s="140"/>
      <c r="M1846" s="59"/>
    </row>
    <row r="1847" spans="2:13" x14ac:dyDescent="0.25">
      <c r="B1847" s="134"/>
      <c r="C1847" s="41"/>
      <c r="D1847" s="136"/>
      <c r="E1847" s="137"/>
      <c r="F1847" s="138"/>
      <c r="G1847" s="1" t="str">
        <f>IFERROR(IF(ventas_b_mes1255[[#This Row],[CUIT]]="","-",VLOOKUP(ventas_b_mes1255[[#This Row],[CUIT]],Lista_CUIT[#All],2,0)),"CUIT NO CARGADO")</f>
        <v>-</v>
      </c>
      <c r="H1847" s="99">
        <f>ventas_b_mes1255[[#This Row],[TOTAL]]/1.21</f>
        <v>0</v>
      </c>
      <c r="I1847" s="64">
        <f>ventas_b_mes1255[[#This Row],[IMPORTE NETO]]*0.21</f>
        <v>0</v>
      </c>
      <c r="J1847" s="140"/>
      <c r="K1847" s="140"/>
      <c r="L1847" s="140"/>
      <c r="M1847" s="59"/>
    </row>
    <row r="1848" spans="2:13" x14ac:dyDescent="0.25">
      <c r="B1848" s="134"/>
      <c r="C1848" s="41"/>
      <c r="D1848" s="136"/>
      <c r="E1848" s="137"/>
      <c r="F1848" s="138"/>
      <c r="G1848" s="1" t="str">
        <f>IFERROR(IF(ventas_b_mes1255[[#This Row],[CUIT]]="","-",VLOOKUP(ventas_b_mes1255[[#This Row],[CUIT]],Lista_CUIT[#All],2,0)),"CUIT NO CARGADO")</f>
        <v>-</v>
      </c>
      <c r="H1848" s="99">
        <f>ventas_b_mes1255[[#This Row],[TOTAL]]/1.21</f>
        <v>0</v>
      </c>
      <c r="I1848" s="64">
        <f>ventas_b_mes1255[[#This Row],[IMPORTE NETO]]*0.21</f>
        <v>0</v>
      </c>
      <c r="J1848" s="140"/>
      <c r="K1848" s="140"/>
      <c r="L1848" s="140"/>
      <c r="M1848" s="59"/>
    </row>
    <row r="1849" spans="2:13" x14ac:dyDescent="0.25">
      <c r="B1849" s="134"/>
      <c r="C1849" s="41"/>
      <c r="D1849" s="136"/>
      <c r="E1849" s="137"/>
      <c r="F1849" s="138"/>
      <c r="G1849" s="1" t="str">
        <f>IFERROR(IF(ventas_b_mes1255[[#This Row],[CUIT]]="","-",VLOOKUP(ventas_b_mes1255[[#This Row],[CUIT]],Lista_CUIT[#All],2,0)),"CUIT NO CARGADO")</f>
        <v>-</v>
      </c>
      <c r="H1849" s="99">
        <f>ventas_b_mes1255[[#This Row],[TOTAL]]/1.21</f>
        <v>0</v>
      </c>
      <c r="I1849" s="64">
        <f>ventas_b_mes1255[[#This Row],[IMPORTE NETO]]*0.21</f>
        <v>0</v>
      </c>
      <c r="J1849" s="140"/>
      <c r="K1849" s="140"/>
      <c r="L1849" s="140"/>
      <c r="M1849" s="59"/>
    </row>
    <row r="1850" spans="2:13" x14ac:dyDescent="0.25">
      <c r="B1850" s="134"/>
      <c r="C1850" s="41"/>
      <c r="D1850" s="136"/>
      <c r="E1850" s="137"/>
      <c r="F1850" s="138"/>
      <c r="G1850" s="1" t="str">
        <f>IFERROR(IF(ventas_b_mes1255[[#This Row],[CUIT]]="","-",VLOOKUP(ventas_b_mes1255[[#This Row],[CUIT]],Lista_CUIT[#All],2,0)),"CUIT NO CARGADO")</f>
        <v>-</v>
      </c>
      <c r="H1850" s="99">
        <f>ventas_b_mes1255[[#This Row],[TOTAL]]/1.21</f>
        <v>0</v>
      </c>
      <c r="I1850" s="64">
        <f>ventas_b_mes1255[[#This Row],[IMPORTE NETO]]*0.21</f>
        <v>0</v>
      </c>
      <c r="J1850" s="140"/>
      <c r="K1850" s="140"/>
      <c r="L1850" s="140"/>
      <c r="M1850" s="59"/>
    </row>
    <row r="1851" spans="2:13" x14ac:dyDescent="0.25">
      <c r="B1851" s="134"/>
      <c r="C1851" s="41"/>
      <c r="D1851" s="136"/>
      <c r="E1851" s="137"/>
      <c r="F1851" s="138"/>
      <c r="G1851" s="1" t="str">
        <f>IFERROR(IF(ventas_b_mes1255[[#This Row],[CUIT]]="","-",VLOOKUP(ventas_b_mes1255[[#This Row],[CUIT]],Lista_CUIT[#All],2,0)),"CUIT NO CARGADO")</f>
        <v>-</v>
      </c>
      <c r="H1851" s="99">
        <f>ventas_b_mes1255[[#This Row],[TOTAL]]/1.21</f>
        <v>0</v>
      </c>
      <c r="I1851" s="64">
        <f>ventas_b_mes1255[[#This Row],[IMPORTE NETO]]*0.21</f>
        <v>0</v>
      </c>
      <c r="J1851" s="140"/>
      <c r="K1851" s="140"/>
      <c r="L1851" s="140"/>
      <c r="M1851" s="59"/>
    </row>
    <row r="1852" spans="2:13" x14ac:dyDescent="0.25">
      <c r="B1852" s="134"/>
      <c r="C1852" s="41"/>
      <c r="D1852" s="136"/>
      <c r="E1852" s="137"/>
      <c r="F1852" s="138"/>
      <c r="G1852" s="1" t="str">
        <f>IFERROR(IF(ventas_b_mes1255[[#This Row],[CUIT]]="","-",VLOOKUP(ventas_b_mes1255[[#This Row],[CUIT]],Lista_CUIT[#All],2,0)),"CUIT NO CARGADO")</f>
        <v>-</v>
      </c>
      <c r="H1852" s="99">
        <f>ventas_b_mes1255[[#This Row],[TOTAL]]/1.21</f>
        <v>0</v>
      </c>
      <c r="I1852" s="64">
        <f>ventas_b_mes1255[[#This Row],[IMPORTE NETO]]*0.21</f>
        <v>0</v>
      </c>
      <c r="J1852" s="140"/>
      <c r="K1852" s="140"/>
      <c r="L1852" s="140"/>
      <c r="M1852" s="59"/>
    </row>
    <row r="1853" spans="2:13" x14ac:dyDescent="0.25">
      <c r="B1853" s="134"/>
      <c r="C1853" s="41"/>
      <c r="D1853" s="136"/>
      <c r="E1853" s="137"/>
      <c r="F1853" s="138"/>
      <c r="G1853" s="1" t="str">
        <f>IFERROR(IF(ventas_b_mes1255[[#This Row],[CUIT]]="","-",VLOOKUP(ventas_b_mes1255[[#This Row],[CUIT]],Lista_CUIT[#All],2,0)),"CUIT NO CARGADO")</f>
        <v>-</v>
      </c>
      <c r="H1853" s="99">
        <f>ventas_b_mes1255[[#This Row],[TOTAL]]/1.21</f>
        <v>0</v>
      </c>
      <c r="I1853" s="64">
        <f>ventas_b_mes1255[[#This Row],[IMPORTE NETO]]*0.21</f>
        <v>0</v>
      </c>
      <c r="J1853" s="140"/>
      <c r="K1853" s="140"/>
      <c r="L1853" s="140"/>
      <c r="M1853" s="59"/>
    </row>
    <row r="1854" spans="2:13" x14ac:dyDescent="0.25">
      <c r="B1854" s="134"/>
      <c r="C1854" s="41"/>
      <c r="D1854" s="136"/>
      <c r="E1854" s="137"/>
      <c r="F1854" s="138"/>
      <c r="G1854" s="1" t="str">
        <f>IFERROR(IF(ventas_b_mes1255[[#This Row],[CUIT]]="","-",VLOOKUP(ventas_b_mes1255[[#This Row],[CUIT]],Lista_CUIT[#All],2,0)),"CUIT NO CARGADO")</f>
        <v>-</v>
      </c>
      <c r="H1854" s="99">
        <f>ventas_b_mes1255[[#This Row],[TOTAL]]/1.21</f>
        <v>0</v>
      </c>
      <c r="I1854" s="64">
        <f>ventas_b_mes1255[[#This Row],[IMPORTE NETO]]*0.21</f>
        <v>0</v>
      </c>
      <c r="J1854" s="140"/>
      <c r="K1854" s="140"/>
      <c r="L1854" s="140"/>
      <c r="M1854" s="59"/>
    </row>
    <row r="1855" spans="2:13" x14ac:dyDescent="0.25">
      <c r="B1855" s="134"/>
      <c r="C1855" s="41"/>
      <c r="D1855" s="136"/>
      <c r="E1855" s="137"/>
      <c r="F1855" s="138"/>
      <c r="G1855" s="1" t="str">
        <f>IFERROR(IF(ventas_b_mes1255[[#This Row],[CUIT]]="","-",VLOOKUP(ventas_b_mes1255[[#This Row],[CUIT]],Lista_CUIT[#All],2,0)),"CUIT NO CARGADO")</f>
        <v>-</v>
      </c>
      <c r="H1855" s="99">
        <f>ventas_b_mes1255[[#This Row],[TOTAL]]/1.21</f>
        <v>0</v>
      </c>
      <c r="I1855" s="64">
        <f>ventas_b_mes1255[[#This Row],[IMPORTE NETO]]*0.21</f>
        <v>0</v>
      </c>
      <c r="J1855" s="140"/>
      <c r="K1855" s="140"/>
      <c r="L1855" s="140"/>
      <c r="M1855" s="59"/>
    </row>
    <row r="1856" spans="2:13" x14ac:dyDescent="0.25">
      <c r="B1856" s="134"/>
      <c r="C1856" s="41"/>
      <c r="D1856" s="136"/>
      <c r="E1856" s="137"/>
      <c r="F1856" s="138"/>
      <c r="G1856" s="1" t="str">
        <f>IFERROR(IF(ventas_b_mes1255[[#This Row],[CUIT]]="","-",VLOOKUP(ventas_b_mes1255[[#This Row],[CUIT]],Lista_CUIT[#All],2,0)),"CUIT NO CARGADO")</f>
        <v>-</v>
      </c>
      <c r="H1856" s="99">
        <f>ventas_b_mes1255[[#This Row],[TOTAL]]/1.21</f>
        <v>0</v>
      </c>
      <c r="I1856" s="64">
        <f>ventas_b_mes1255[[#This Row],[IMPORTE NETO]]*0.21</f>
        <v>0</v>
      </c>
      <c r="J1856" s="140"/>
      <c r="K1856" s="140"/>
      <c r="L1856" s="140"/>
      <c r="M1856" s="59"/>
    </row>
    <row r="1857" spans="2:13" x14ac:dyDescent="0.25">
      <c r="B1857" s="134"/>
      <c r="C1857" s="41"/>
      <c r="D1857" s="136"/>
      <c r="E1857" s="137"/>
      <c r="F1857" s="138"/>
      <c r="G1857" s="1" t="str">
        <f>IFERROR(IF(ventas_b_mes1255[[#This Row],[CUIT]]="","-",VLOOKUP(ventas_b_mes1255[[#This Row],[CUIT]],Lista_CUIT[#All],2,0)),"CUIT NO CARGADO")</f>
        <v>-</v>
      </c>
      <c r="H1857" s="99">
        <f>ventas_b_mes1255[[#This Row],[TOTAL]]/1.21</f>
        <v>0</v>
      </c>
      <c r="I1857" s="64">
        <f>ventas_b_mes1255[[#This Row],[IMPORTE NETO]]*0.21</f>
        <v>0</v>
      </c>
      <c r="J1857" s="140"/>
      <c r="K1857" s="140"/>
      <c r="L1857" s="140"/>
      <c r="M1857" s="59"/>
    </row>
    <row r="1858" spans="2:13" x14ac:dyDescent="0.25">
      <c r="B1858" s="134"/>
      <c r="C1858" s="41"/>
      <c r="D1858" s="136"/>
      <c r="E1858" s="137"/>
      <c r="F1858" s="138"/>
      <c r="G1858" s="1" t="str">
        <f>IFERROR(IF(ventas_b_mes1255[[#This Row],[CUIT]]="","-",VLOOKUP(ventas_b_mes1255[[#This Row],[CUIT]],Lista_CUIT[#All],2,0)),"CUIT NO CARGADO")</f>
        <v>-</v>
      </c>
      <c r="H1858" s="99">
        <f>ventas_b_mes1255[[#This Row],[TOTAL]]/1.21</f>
        <v>0</v>
      </c>
      <c r="I1858" s="64">
        <f>ventas_b_mes1255[[#This Row],[IMPORTE NETO]]*0.21</f>
        <v>0</v>
      </c>
      <c r="J1858" s="140"/>
      <c r="K1858" s="140"/>
      <c r="L1858" s="140"/>
      <c r="M1858" s="59"/>
    </row>
    <row r="1859" spans="2:13" x14ac:dyDescent="0.25">
      <c r="B1859" s="134"/>
      <c r="C1859" s="41"/>
      <c r="D1859" s="136"/>
      <c r="E1859" s="137"/>
      <c r="F1859" s="138"/>
      <c r="G1859" s="1" t="str">
        <f>IFERROR(IF(ventas_b_mes1255[[#This Row],[CUIT]]="","-",VLOOKUP(ventas_b_mes1255[[#This Row],[CUIT]],Lista_CUIT[#All],2,0)),"CUIT NO CARGADO")</f>
        <v>-</v>
      </c>
      <c r="H1859" s="99">
        <f>ventas_b_mes1255[[#This Row],[TOTAL]]/1.21</f>
        <v>0</v>
      </c>
      <c r="I1859" s="64">
        <f>ventas_b_mes1255[[#This Row],[IMPORTE NETO]]*0.21</f>
        <v>0</v>
      </c>
      <c r="J1859" s="140"/>
      <c r="K1859" s="140"/>
      <c r="L1859" s="140"/>
      <c r="M1859" s="59"/>
    </row>
    <row r="1860" spans="2:13" x14ac:dyDescent="0.25">
      <c r="B1860" s="134"/>
      <c r="C1860" s="41"/>
      <c r="D1860" s="136"/>
      <c r="E1860" s="137"/>
      <c r="F1860" s="138"/>
      <c r="G1860" s="1" t="str">
        <f>IFERROR(IF(ventas_b_mes1255[[#This Row],[CUIT]]="","-",VLOOKUP(ventas_b_mes1255[[#This Row],[CUIT]],Lista_CUIT[#All],2,0)),"CUIT NO CARGADO")</f>
        <v>-</v>
      </c>
      <c r="H1860" s="99">
        <f>ventas_b_mes1255[[#This Row],[TOTAL]]/1.21</f>
        <v>0</v>
      </c>
      <c r="I1860" s="64">
        <f>ventas_b_mes1255[[#This Row],[IMPORTE NETO]]*0.21</f>
        <v>0</v>
      </c>
      <c r="J1860" s="140"/>
      <c r="K1860" s="140"/>
      <c r="L1860" s="140"/>
      <c r="M1860" s="59"/>
    </row>
    <row r="1861" spans="2:13" x14ac:dyDescent="0.25">
      <c r="B1861" s="134"/>
      <c r="C1861" s="41"/>
      <c r="D1861" s="136"/>
      <c r="E1861" s="137"/>
      <c r="F1861" s="138"/>
      <c r="G1861" s="1" t="str">
        <f>IFERROR(IF(ventas_b_mes1255[[#This Row],[CUIT]]="","-",VLOOKUP(ventas_b_mes1255[[#This Row],[CUIT]],Lista_CUIT[#All],2,0)),"CUIT NO CARGADO")</f>
        <v>-</v>
      </c>
      <c r="H1861" s="99">
        <f>ventas_b_mes1255[[#This Row],[TOTAL]]/1.21</f>
        <v>0</v>
      </c>
      <c r="I1861" s="64">
        <f>ventas_b_mes1255[[#This Row],[IMPORTE NETO]]*0.21</f>
        <v>0</v>
      </c>
      <c r="J1861" s="140"/>
      <c r="K1861" s="140"/>
      <c r="L1861" s="140"/>
      <c r="M1861" s="59"/>
    </row>
    <row r="1862" spans="2:13" x14ac:dyDescent="0.25">
      <c r="B1862" s="134"/>
      <c r="C1862" s="41"/>
      <c r="D1862" s="136"/>
      <c r="E1862" s="137"/>
      <c r="F1862" s="138"/>
      <c r="G1862" s="1" t="str">
        <f>IFERROR(IF(ventas_b_mes1255[[#This Row],[CUIT]]="","-",VLOOKUP(ventas_b_mes1255[[#This Row],[CUIT]],Lista_CUIT[#All],2,0)),"CUIT NO CARGADO")</f>
        <v>-</v>
      </c>
      <c r="H1862" s="99">
        <f>ventas_b_mes1255[[#This Row],[TOTAL]]/1.21</f>
        <v>0</v>
      </c>
      <c r="I1862" s="64">
        <f>ventas_b_mes1255[[#This Row],[IMPORTE NETO]]*0.21</f>
        <v>0</v>
      </c>
      <c r="J1862" s="140"/>
      <c r="K1862" s="140"/>
      <c r="L1862" s="140"/>
      <c r="M1862" s="59"/>
    </row>
    <row r="1863" spans="2:13" x14ac:dyDescent="0.25">
      <c r="B1863" s="134"/>
      <c r="C1863" s="41"/>
      <c r="D1863" s="136"/>
      <c r="E1863" s="137"/>
      <c r="F1863" s="138"/>
      <c r="G1863" s="1" t="str">
        <f>IFERROR(IF(ventas_b_mes1255[[#This Row],[CUIT]]="","-",VLOOKUP(ventas_b_mes1255[[#This Row],[CUIT]],Lista_CUIT[#All],2,0)),"CUIT NO CARGADO")</f>
        <v>-</v>
      </c>
      <c r="H1863" s="99">
        <f>ventas_b_mes1255[[#This Row],[TOTAL]]/1.21</f>
        <v>0</v>
      </c>
      <c r="I1863" s="64">
        <f>ventas_b_mes1255[[#This Row],[IMPORTE NETO]]*0.21</f>
        <v>0</v>
      </c>
      <c r="J1863" s="140"/>
      <c r="K1863" s="140"/>
      <c r="L1863" s="140"/>
      <c r="M1863" s="59"/>
    </row>
    <row r="1864" spans="2:13" x14ac:dyDescent="0.25">
      <c r="B1864" s="134"/>
      <c r="C1864" s="41"/>
      <c r="D1864" s="136"/>
      <c r="E1864" s="137"/>
      <c r="F1864" s="138"/>
      <c r="G1864" s="1" t="str">
        <f>IFERROR(IF(ventas_b_mes1255[[#This Row],[CUIT]]="","-",VLOOKUP(ventas_b_mes1255[[#This Row],[CUIT]],Lista_CUIT[#All],2,0)),"CUIT NO CARGADO")</f>
        <v>-</v>
      </c>
      <c r="H1864" s="99">
        <f>ventas_b_mes1255[[#This Row],[TOTAL]]/1.21</f>
        <v>0</v>
      </c>
      <c r="I1864" s="64">
        <f>ventas_b_mes1255[[#This Row],[IMPORTE NETO]]*0.21</f>
        <v>0</v>
      </c>
      <c r="J1864" s="140"/>
      <c r="K1864" s="140"/>
      <c r="L1864" s="140"/>
      <c r="M1864" s="59"/>
    </row>
    <row r="1865" spans="2:13" x14ac:dyDescent="0.25">
      <c r="B1865" s="134"/>
      <c r="C1865" s="41"/>
      <c r="D1865" s="136"/>
      <c r="E1865" s="137"/>
      <c r="F1865" s="138"/>
      <c r="G1865" s="1" t="str">
        <f>IFERROR(IF(ventas_b_mes1255[[#This Row],[CUIT]]="","-",VLOOKUP(ventas_b_mes1255[[#This Row],[CUIT]],Lista_CUIT[#All],2,0)),"CUIT NO CARGADO")</f>
        <v>-</v>
      </c>
      <c r="H1865" s="99">
        <f>ventas_b_mes1255[[#This Row],[TOTAL]]/1.21</f>
        <v>0</v>
      </c>
      <c r="I1865" s="64">
        <f>ventas_b_mes1255[[#This Row],[IMPORTE NETO]]*0.21</f>
        <v>0</v>
      </c>
      <c r="J1865" s="140"/>
      <c r="K1865" s="140"/>
      <c r="L1865" s="140"/>
      <c r="M1865" s="59"/>
    </row>
    <row r="1866" spans="2:13" x14ac:dyDescent="0.25">
      <c r="B1866" s="134"/>
      <c r="C1866" s="41"/>
      <c r="D1866" s="136"/>
      <c r="E1866" s="137"/>
      <c r="F1866" s="138"/>
      <c r="G1866" s="1" t="str">
        <f>IFERROR(IF(ventas_b_mes1255[[#This Row],[CUIT]]="","-",VLOOKUP(ventas_b_mes1255[[#This Row],[CUIT]],Lista_CUIT[#All],2,0)),"CUIT NO CARGADO")</f>
        <v>-</v>
      </c>
      <c r="H1866" s="99">
        <f>ventas_b_mes1255[[#This Row],[TOTAL]]/1.21</f>
        <v>0</v>
      </c>
      <c r="I1866" s="64">
        <f>ventas_b_mes1255[[#This Row],[IMPORTE NETO]]*0.21</f>
        <v>0</v>
      </c>
      <c r="J1866" s="140"/>
      <c r="K1866" s="140"/>
      <c r="L1866" s="140"/>
      <c r="M1866" s="59"/>
    </row>
    <row r="1867" spans="2:13" x14ac:dyDescent="0.25">
      <c r="B1867" s="134"/>
      <c r="C1867" s="41"/>
      <c r="D1867" s="136"/>
      <c r="E1867" s="137"/>
      <c r="F1867" s="138"/>
      <c r="G1867" s="1" t="str">
        <f>IFERROR(IF(ventas_b_mes1255[[#This Row],[CUIT]]="","-",VLOOKUP(ventas_b_mes1255[[#This Row],[CUIT]],Lista_CUIT[#All],2,0)),"CUIT NO CARGADO")</f>
        <v>-</v>
      </c>
      <c r="H1867" s="99">
        <f>ventas_b_mes1255[[#This Row],[TOTAL]]/1.21</f>
        <v>0</v>
      </c>
      <c r="I1867" s="64">
        <f>ventas_b_mes1255[[#This Row],[IMPORTE NETO]]*0.21</f>
        <v>0</v>
      </c>
      <c r="J1867" s="140"/>
      <c r="K1867" s="140"/>
      <c r="L1867" s="140"/>
      <c r="M1867" s="59"/>
    </row>
    <row r="1868" spans="2:13" x14ac:dyDescent="0.25">
      <c r="B1868" s="134"/>
      <c r="C1868" s="41"/>
      <c r="D1868" s="136"/>
      <c r="E1868" s="137"/>
      <c r="F1868" s="138"/>
      <c r="G1868" s="1" t="str">
        <f>IFERROR(IF(ventas_b_mes1255[[#This Row],[CUIT]]="","-",VLOOKUP(ventas_b_mes1255[[#This Row],[CUIT]],Lista_CUIT[#All],2,0)),"CUIT NO CARGADO")</f>
        <v>-</v>
      </c>
      <c r="H1868" s="99">
        <f>ventas_b_mes1255[[#This Row],[TOTAL]]/1.21</f>
        <v>0</v>
      </c>
      <c r="I1868" s="64">
        <f>ventas_b_mes1255[[#This Row],[IMPORTE NETO]]*0.21</f>
        <v>0</v>
      </c>
      <c r="J1868" s="140"/>
      <c r="K1868" s="140"/>
      <c r="L1868" s="140"/>
      <c r="M1868" s="59"/>
    </row>
    <row r="1869" spans="2:13" x14ac:dyDescent="0.25">
      <c r="B1869" s="134"/>
      <c r="C1869" s="41"/>
      <c r="D1869" s="136"/>
      <c r="E1869" s="137"/>
      <c r="F1869" s="138"/>
      <c r="G1869" s="1" t="str">
        <f>IFERROR(IF(ventas_b_mes1255[[#This Row],[CUIT]]="","-",VLOOKUP(ventas_b_mes1255[[#This Row],[CUIT]],Lista_CUIT[#All],2,0)),"CUIT NO CARGADO")</f>
        <v>-</v>
      </c>
      <c r="H1869" s="99">
        <f>ventas_b_mes1255[[#This Row],[TOTAL]]/1.21</f>
        <v>0</v>
      </c>
      <c r="I1869" s="64">
        <f>ventas_b_mes1255[[#This Row],[IMPORTE NETO]]*0.21</f>
        <v>0</v>
      </c>
      <c r="J1869" s="140"/>
      <c r="K1869" s="140"/>
      <c r="L1869" s="140"/>
      <c r="M1869" s="59"/>
    </row>
    <row r="1870" spans="2:13" x14ac:dyDescent="0.25">
      <c r="B1870" s="134"/>
      <c r="C1870" s="41"/>
      <c r="D1870" s="136"/>
      <c r="E1870" s="137"/>
      <c r="F1870" s="138"/>
      <c r="G1870" s="1" t="str">
        <f>IFERROR(IF(ventas_b_mes1255[[#This Row],[CUIT]]="","-",VLOOKUP(ventas_b_mes1255[[#This Row],[CUIT]],Lista_CUIT[#All],2,0)),"CUIT NO CARGADO")</f>
        <v>-</v>
      </c>
      <c r="H1870" s="99">
        <f>ventas_b_mes1255[[#This Row],[TOTAL]]/1.21</f>
        <v>0</v>
      </c>
      <c r="I1870" s="64">
        <f>ventas_b_mes1255[[#This Row],[IMPORTE NETO]]*0.21</f>
        <v>0</v>
      </c>
      <c r="J1870" s="140"/>
      <c r="K1870" s="140"/>
      <c r="L1870" s="140"/>
      <c r="M1870" s="59"/>
    </row>
    <row r="1871" spans="2:13" x14ac:dyDescent="0.25">
      <c r="B1871" s="134"/>
      <c r="C1871" s="41"/>
      <c r="D1871" s="136"/>
      <c r="E1871" s="137"/>
      <c r="F1871" s="138"/>
      <c r="G1871" s="1" t="str">
        <f>IFERROR(IF(ventas_b_mes1255[[#This Row],[CUIT]]="","-",VLOOKUP(ventas_b_mes1255[[#This Row],[CUIT]],Lista_CUIT[#All],2,0)),"CUIT NO CARGADO")</f>
        <v>-</v>
      </c>
      <c r="H1871" s="99">
        <f>ventas_b_mes1255[[#This Row],[TOTAL]]/1.21</f>
        <v>0</v>
      </c>
      <c r="I1871" s="64">
        <f>ventas_b_mes1255[[#This Row],[IMPORTE NETO]]*0.21</f>
        <v>0</v>
      </c>
      <c r="J1871" s="140"/>
      <c r="K1871" s="140"/>
      <c r="L1871" s="140"/>
      <c r="M1871" s="59"/>
    </row>
    <row r="1872" spans="2:13" x14ac:dyDescent="0.25">
      <c r="B1872" s="134"/>
      <c r="C1872" s="41"/>
      <c r="D1872" s="136"/>
      <c r="E1872" s="137"/>
      <c r="F1872" s="138"/>
      <c r="G1872" s="1" t="str">
        <f>IFERROR(IF(ventas_b_mes1255[[#This Row],[CUIT]]="","-",VLOOKUP(ventas_b_mes1255[[#This Row],[CUIT]],Lista_CUIT[#All],2,0)),"CUIT NO CARGADO")</f>
        <v>-</v>
      </c>
      <c r="H1872" s="99">
        <f>ventas_b_mes1255[[#This Row],[TOTAL]]/1.21</f>
        <v>0</v>
      </c>
      <c r="I1872" s="64">
        <f>ventas_b_mes1255[[#This Row],[IMPORTE NETO]]*0.21</f>
        <v>0</v>
      </c>
      <c r="J1872" s="140"/>
      <c r="K1872" s="140"/>
      <c r="L1872" s="140"/>
      <c r="M1872" s="59"/>
    </row>
    <row r="1873" spans="2:13" x14ac:dyDescent="0.25">
      <c r="B1873" s="134"/>
      <c r="C1873" s="41"/>
      <c r="D1873" s="136"/>
      <c r="E1873" s="137"/>
      <c r="F1873" s="138"/>
      <c r="G1873" s="1" t="str">
        <f>IFERROR(IF(ventas_b_mes1255[[#This Row],[CUIT]]="","-",VLOOKUP(ventas_b_mes1255[[#This Row],[CUIT]],Lista_CUIT[#All],2,0)),"CUIT NO CARGADO")</f>
        <v>-</v>
      </c>
      <c r="H1873" s="99">
        <f>ventas_b_mes1255[[#This Row],[TOTAL]]/1.21</f>
        <v>0</v>
      </c>
      <c r="I1873" s="64">
        <f>ventas_b_mes1255[[#This Row],[IMPORTE NETO]]*0.21</f>
        <v>0</v>
      </c>
      <c r="J1873" s="140"/>
      <c r="K1873" s="140"/>
      <c r="L1873" s="140"/>
      <c r="M1873" s="59"/>
    </row>
    <row r="1874" spans="2:13" x14ac:dyDescent="0.25">
      <c r="B1874" s="134"/>
      <c r="C1874" s="41"/>
      <c r="D1874" s="136"/>
      <c r="E1874" s="137"/>
      <c r="F1874" s="138"/>
      <c r="G1874" s="1" t="str">
        <f>IFERROR(IF(ventas_b_mes1255[[#This Row],[CUIT]]="","-",VLOOKUP(ventas_b_mes1255[[#This Row],[CUIT]],Lista_CUIT[#All],2,0)),"CUIT NO CARGADO")</f>
        <v>-</v>
      </c>
      <c r="H1874" s="99">
        <f>ventas_b_mes1255[[#This Row],[TOTAL]]/1.21</f>
        <v>0</v>
      </c>
      <c r="I1874" s="64">
        <f>ventas_b_mes1255[[#This Row],[IMPORTE NETO]]*0.21</f>
        <v>0</v>
      </c>
      <c r="J1874" s="140"/>
      <c r="K1874" s="140"/>
      <c r="L1874" s="140"/>
      <c r="M1874" s="59"/>
    </row>
    <row r="1875" spans="2:13" x14ac:dyDescent="0.25">
      <c r="B1875" s="134"/>
      <c r="C1875" s="41"/>
      <c r="D1875" s="136"/>
      <c r="E1875" s="137"/>
      <c r="F1875" s="138"/>
      <c r="G1875" s="1" t="str">
        <f>IFERROR(IF(ventas_b_mes1255[[#This Row],[CUIT]]="","-",VLOOKUP(ventas_b_mes1255[[#This Row],[CUIT]],Lista_CUIT[#All],2,0)),"CUIT NO CARGADO")</f>
        <v>-</v>
      </c>
      <c r="H1875" s="99">
        <f>ventas_b_mes1255[[#This Row],[TOTAL]]/1.21</f>
        <v>0</v>
      </c>
      <c r="I1875" s="64">
        <f>ventas_b_mes1255[[#This Row],[IMPORTE NETO]]*0.21</f>
        <v>0</v>
      </c>
      <c r="J1875" s="140"/>
      <c r="K1875" s="140"/>
      <c r="L1875" s="140"/>
      <c r="M1875" s="59"/>
    </row>
    <row r="1876" spans="2:13" x14ac:dyDescent="0.25">
      <c r="B1876" s="134"/>
      <c r="C1876" s="41"/>
      <c r="D1876" s="136"/>
      <c r="E1876" s="137"/>
      <c r="F1876" s="138"/>
      <c r="G1876" s="1" t="str">
        <f>IFERROR(IF(ventas_b_mes1255[[#This Row],[CUIT]]="","-",VLOOKUP(ventas_b_mes1255[[#This Row],[CUIT]],Lista_CUIT[#All],2,0)),"CUIT NO CARGADO")</f>
        <v>-</v>
      </c>
      <c r="H1876" s="99">
        <f>ventas_b_mes1255[[#This Row],[TOTAL]]/1.21</f>
        <v>0</v>
      </c>
      <c r="I1876" s="64">
        <f>ventas_b_mes1255[[#This Row],[IMPORTE NETO]]*0.21</f>
        <v>0</v>
      </c>
      <c r="J1876" s="140"/>
      <c r="K1876" s="140"/>
      <c r="L1876" s="140"/>
      <c r="M1876" s="59"/>
    </row>
    <row r="1877" spans="2:13" x14ac:dyDescent="0.25">
      <c r="B1877" s="134"/>
      <c r="C1877" s="41"/>
      <c r="D1877" s="136"/>
      <c r="E1877" s="137"/>
      <c r="F1877" s="138"/>
      <c r="G1877" s="1" t="str">
        <f>IFERROR(IF(ventas_b_mes1255[[#This Row],[CUIT]]="","-",VLOOKUP(ventas_b_mes1255[[#This Row],[CUIT]],Lista_CUIT[#All],2,0)),"CUIT NO CARGADO")</f>
        <v>-</v>
      </c>
      <c r="H1877" s="99">
        <f>ventas_b_mes1255[[#This Row],[TOTAL]]/1.21</f>
        <v>0</v>
      </c>
      <c r="I1877" s="64">
        <f>ventas_b_mes1255[[#This Row],[IMPORTE NETO]]*0.21</f>
        <v>0</v>
      </c>
      <c r="J1877" s="140"/>
      <c r="K1877" s="140"/>
      <c r="L1877" s="140"/>
      <c r="M1877" s="59"/>
    </row>
    <row r="1878" spans="2:13" x14ac:dyDescent="0.25">
      <c r="B1878" s="134"/>
      <c r="C1878" s="41"/>
      <c r="D1878" s="136"/>
      <c r="E1878" s="137"/>
      <c r="F1878" s="138"/>
      <c r="G1878" s="1" t="str">
        <f>IFERROR(IF(ventas_b_mes1255[[#This Row],[CUIT]]="","-",VLOOKUP(ventas_b_mes1255[[#This Row],[CUIT]],Lista_CUIT[#All],2,0)),"CUIT NO CARGADO")</f>
        <v>-</v>
      </c>
      <c r="H1878" s="99">
        <f>ventas_b_mes1255[[#This Row],[TOTAL]]/1.21</f>
        <v>0</v>
      </c>
      <c r="I1878" s="64">
        <f>ventas_b_mes1255[[#This Row],[IMPORTE NETO]]*0.21</f>
        <v>0</v>
      </c>
      <c r="J1878" s="140"/>
      <c r="K1878" s="140"/>
      <c r="L1878" s="140"/>
      <c r="M1878" s="59"/>
    </row>
    <row r="1879" spans="2:13" x14ac:dyDescent="0.25">
      <c r="B1879" s="134"/>
      <c r="C1879" s="41"/>
      <c r="D1879" s="136"/>
      <c r="E1879" s="137"/>
      <c r="F1879" s="138"/>
      <c r="G1879" s="1" t="str">
        <f>IFERROR(IF(ventas_b_mes1255[[#This Row],[CUIT]]="","-",VLOOKUP(ventas_b_mes1255[[#This Row],[CUIT]],Lista_CUIT[#All],2,0)),"CUIT NO CARGADO")</f>
        <v>-</v>
      </c>
      <c r="H1879" s="99">
        <f>ventas_b_mes1255[[#This Row],[TOTAL]]/1.21</f>
        <v>0</v>
      </c>
      <c r="I1879" s="64">
        <f>ventas_b_mes1255[[#This Row],[IMPORTE NETO]]*0.21</f>
        <v>0</v>
      </c>
      <c r="J1879" s="140"/>
      <c r="K1879" s="140"/>
      <c r="L1879" s="140"/>
      <c r="M1879" s="59"/>
    </row>
    <row r="1880" spans="2:13" x14ac:dyDescent="0.25">
      <c r="B1880" s="134"/>
      <c r="C1880" s="41"/>
      <c r="D1880" s="136"/>
      <c r="E1880" s="137"/>
      <c r="F1880" s="138"/>
      <c r="G1880" s="1" t="str">
        <f>IFERROR(IF(ventas_b_mes1255[[#This Row],[CUIT]]="","-",VLOOKUP(ventas_b_mes1255[[#This Row],[CUIT]],Lista_CUIT[#All],2,0)),"CUIT NO CARGADO")</f>
        <v>-</v>
      </c>
      <c r="H1880" s="99">
        <f>ventas_b_mes1255[[#This Row],[TOTAL]]/1.21</f>
        <v>0</v>
      </c>
      <c r="I1880" s="64">
        <f>ventas_b_mes1255[[#This Row],[IMPORTE NETO]]*0.21</f>
        <v>0</v>
      </c>
      <c r="J1880" s="140"/>
      <c r="K1880" s="140"/>
      <c r="L1880" s="140"/>
      <c r="M1880" s="59"/>
    </row>
    <row r="1881" spans="2:13" x14ac:dyDescent="0.25">
      <c r="B1881" s="134"/>
      <c r="C1881" s="41"/>
      <c r="D1881" s="136"/>
      <c r="E1881" s="137"/>
      <c r="F1881" s="138"/>
      <c r="G1881" s="1" t="str">
        <f>IFERROR(IF(ventas_b_mes1255[[#This Row],[CUIT]]="","-",VLOOKUP(ventas_b_mes1255[[#This Row],[CUIT]],Lista_CUIT[#All],2,0)),"CUIT NO CARGADO")</f>
        <v>-</v>
      </c>
      <c r="H1881" s="99">
        <f>ventas_b_mes1255[[#This Row],[TOTAL]]/1.21</f>
        <v>0</v>
      </c>
      <c r="I1881" s="64">
        <f>ventas_b_mes1255[[#This Row],[IMPORTE NETO]]*0.21</f>
        <v>0</v>
      </c>
      <c r="J1881" s="140"/>
      <c r="K1881" s="140"/>
      <c r="L1881" s="140"/>
      <c r="M1881" s="59"/>
    </row>
    <row r="1882" spans="2:13" x14ac:dyDescent="0.25">
      <c r="B1882" s="134"/>
      <c r="C1882" s="41"/>
      <c r="D1882" s="136"/>
      <c r="E1882" s="137"/>
      <c r="F1882" s="138"/>
      <c r="G1882" s="1" t="str">
        <f>IFERROR(IF(ventas_b_mes1255[[#This Row],[CUIT]]="","-",VLOOKUP(ventas_b_mes1255[[#This Row],[CUIT]],Lista_CUIT[#All],2,0)),"CUIT NO CARGADO")</f>
        <v>-</v>
      </c>
      <c r="H1882" s="99">
        <f>ventas_b_mes1255[[#This Row],[TOTAL]]/1.21</f>
        <v>0</v>
      </c>
      <c r="I1882" s="64">
        <f>ventas_b_mes1255[[#This Row],[IMPORTE NETO]]*0.21</f>
        <v>0</v>
      </c>
      <c r="J1882" s="140"/>
      <c r="K1882" s="140"/>
      <c r="L1882" s="140"/>
      <c r="M1882" s="59"/>
    </row>
    <row r="1883" spans="2:13" x14ac:dyDescent="0.25">
      <c r="B1883" s="134"/>
      <c r="C1883" s="41"/>
      <c r="D1883" s="136"/>
      <c r="E1883" s="137"/>
      <c r="F1883" s="138"/>
      <c r="G1883" s="1" t="str">
        <f>IFERROR(IF(ventas_b_mes1255[[#This Row],[CUIT]]="","-",VLOOKUP(ventas_b_mes1255[[#This Row],[CUIT]],Lista_CUIT[#All],2,0)),"CUIT NO CARGADO")</f>
        <v>-</v>
      </c>
      <c r="H1883" s="99">
        <f>ventas_b_mes1255[[#This Row],[TOTAL]]/1.21</f>
        <v>0</v>
      </c>
      <c r="I1883" s="64">
        <f>ventas_b_mes1255[[#This Row],[IMPORTE NETO]]*0.21</f>
        <v>0</v>
      </c>
      <c r="J1883" s="140"/>
      <c r="K1883" s="140"/>
      <c r="L1883" s="140"/>
      <c r="M1883" s="59"/>
    </row>
    <row r="1884" spans="2:13" x14ac:dyDescent="0.25">
      <c r="B1884" s="134"/>
      <c r="C1884" s="41"/>
      <c r="D1884" s="136"/>
      <c r="E1884" s="137"/>
      <c r="F1884" s="138"/>
      <c r="G1884" s="1" t="str">
        <f>IFERROR(IF(ventas_b_mes1255[[#This Row],[CUIT]]="","-",VLOOKUP(ventas_b_mes1255[[#This Row],[CUIT]],Lista_CUIT[#All],2,0)),"CUIT NO CARGADO")</f>
        <v>-</v>
      </c>
      <c r="H1884" s="99">
        <f>ventas_b_mes1255[[#This Row],[TOTAL]]/1.21</f>
        <v>0</v>
      </c>
      <c r="I1884" s="64">
        <f>ventas_b_mes1255[[#This Row],[IMPORTE NETO]]*0.21</f>
        <v>0</v>
      </c>
      <c r="J1884" s="140"/>
      <c r="K1884" s="140"/>
      <c r="L1884" s="140"/>
      <c r="M1884" s="59"/>
    </row>
    <row r="1885" spans="2:13" x14ac:dyDescent="0.25">
      <c r="B1885" s="134"/>
      <c r="C1885" s="41"/>
      <c r="D1885" s="136"/>
      <c r="E1885" s="137"/>
      <c r="F1885" s="138"/>
      <c r="G1885" s="1" t="str">
        <f>IFERROR(IF(ventas_b_mes1255[[#This Row],[CUIT]]="","-",VLOOKUP(ventas_b_mes1255[[#This Row],[CUIT]],Lista_CUIT[#All],2,0)),"CUIT NO CARGADO")</f>
        <v>-</v>
      </c>
      <c r="H1885" s="99">
        <f>ventas_b_mes1255[[#This Row],[TOTAL]]/1.21</f>
        <v>0</v>
      </c>
      <c r="I1885" s="64">
        <f>ventas_b_mes1255[[#This Row],[IMPORTE NETO]]*0.21</f>
        <v>0</v>
      </c>
      <c r="J1885" s="140"/>
      <c r="K1885" s="140"/>
      <c r="L1885" s="140"/>
      <c r="M1885" s="59"/>
    </row>
    <row r="1886" spans="2:13" x14ac:dyDescent="0.25">
      <c r="B1886" s="134"/>
      <c r="C1886" s="41"/>
      <c r="D1886" s="136"/>
      <c r="E1886" s="137"/>
      <c r="F1886" s="138"/>
      <c r="G1886" s="1" t="str">
        <f>IFERROR(IF(ventas_b_mes1255[[#This Row],[CUIT]]="","-",VLOOKUP(ventas_b_mes1255[[#This Row],[CUIT]],Lista_CUIT[#All],2,0)),"CUIT NO CARGADO")</f>
        <v>-</v>
      </c>
      <c r="H1886" s="99">
        <f>ventas_b_mes1255[[#This Row],[TOTAL]]/1.21</f>
        <v>0</v>
      </c>
      <c r="I1886" s="64">
        <f>ventas_b_mes1255[[#This Row],[IMPORTE NETO]]*0.21</f>
        <v>0</v>
      </c>
      <c r="J1886" s="140"/>
      <c r="K1886" s="140"/>
      <c r="L1886" s="140"/>
      <c r="M1886" s="59"/>
    </row>
    <row r="1887" spans="2:13" x14ac:dyDescent="0.25">
      <c r="B1887" s="134"/>
      <c r="C1887" s="41"/>
      <c r="D1887" s="136"/>
      <c r="E1887" s="137"/>
      <c r="F1887" s="138"/>
      <c r="G1887" s="1" t="str">
        <f>IFERROR(IF(ventas_b_mes1255[[#This Row],[CUIT]]="","-",VLOOKUP(ventas_b_mes1255[[#This Row],[CUIT]],Lista_CUIT[#All],2,0)),"CUIT NO CARGADO")</f>
        <v>-</v>
      </c>
      <c r="H1887" s="99">
        <f>ventas_b_mes1255[[#This Row],[TOTAL]]/1.21</f>
        <v>0</v>
      </c>
      <c r="I1887" s="64">
        <f>ventas_b_mes1255[[#This Row],[IMPORTE NETO]]*0.21</f>
        <v>0</v>
      </c>
      <c r="J1887" s="140"/>
      <c r="K1887" s="140"/>
      <c r="L1887" s="140"/>
      <c r="M1887" s="59"/>
    </row>
    <row r="1888" spans="2:13" x14ac:dyDescent="0.25">
      <c r="B1888" s="134"/>
      <c r="C1888" s="41"/>
      <c r="D1888" s="136"/>
      <c r="E1888" s="137"/>
      <c r="F1888" s="138"/>
      <c r="G1888" s="1" t="str">
        <f>IFERROR(IF(ventas_b_mes1255[[#This Row],[CUIT]]="","-",VLOOKUP(ventas_b_mes1255[[#This Row],[CUIT]],Lista_CUIT[#All],2,0)),"CUIT NO CARGADO")</f>
        <v>-</v>
      </c>
      <c r="H1888" s="99">
        <f>ventas_b_mes1255[[#This Row],[TOTAL]]/1.21</f>
        <v>0</v>
      </c>
      <c r="I1888" s="64">
        <f>ventas_b_mes1255[[#This Row],[IMPORTE NETO]]*0.21</f>
        <v>0</v>
      </c>
      <c r="J1888" s="140"/>
      <c r="K1888" s="140"/>
      <c r="L1888" s="140"/>
      <c r="M1888" s="59"/>
    </row>
    <row r="1889" spans="2:13" x14ac:dyDescent="0.25">
      <c r="B1889" s="134"/>
      <c r="C1889" s="41"/>
      <c r="D1889" s="136"/>
      <c r="E1889" s="137"/>
      <c r="F1889" s="138"/>
      <c r="G1889" s="1" t="str">
        <f>IFERROR(IF(ventas_b_mes1255[[#This Row],[CUIT]]="","-",VLOOKUP(ventas_b_mes1255[[#This Row],[CUIT]],Lista_CUIT[#All],2,0)),"CUIT NO CARGADO")</f>
        <v>-</v>
      </c>
      <c r="H1889" s="99">
        <f>ventas_b_mes1255[[#This Row],[TOTAL]]/1.21</f>
        <v>0</v>
      </c>
      <c r="I1889" s="64">
        <f>ventas_b_mes1255[[#This Row],[IMPORTE NETO]]*0.21</f>
        <v>0</v>
      </c>
      <c r="J1889" s="140"/>
      <c r="K1889" s="140"/>
      <c r="L1889" s="140"/>
      <c r="M1889" s="59"/>
    </row>
    <row r="1890" spans="2:13" x14ac:dyDescent="0.25">
      <c r="B1890" s="134"/>
      <c r="C1890" s="41"/>
      <c r="D1890" s="136"/>
      <c r="E1890" s="137"/>
      <c r="F1890" s="138"/>
      <c r="G1890" s="1" t="str">
        <f>IFERROR(IF(ventas_b_mes1255[[#This Row],[CUIT]]="","-",VLOOKUP(ventas_b_mes1255[[#This Row],[CUIT]],Lista_CUIT[#All],2,0)),"CUIT NO CARGADO")</f>
        <v>-</v>
      </c>
      <c r="H1890" s="99">
        <f>ventas_b_mes1255[[#This Row],[TOTAL]]/1.21</f>
        <v>0</v>
      </c>
      <c r="I1890" s="64">
        <f>ventas_b_mes1255[[#This Row],[IMPORTE NETO]]*0.21</f>
        <v>0</v>
      </c>
      <c r="J1890" s="140"/>
      <c r="K1890" s="140"/>
      <c r="L1890" s="140"/>
      <c r="M1890" s="59"/>
    </row>
    <row r="1891" spans="2:13" x14ac:dyDescent="0.25">
      <c r="B1891" s="134"/>
      <c r="C1891" s="41"/>
      <c r="D1891" s="136"/>
      <c r="E1891" s="137"/>
      <c r="F1891" s="138"/>
      <c r="G1891" s="1" t="str">
        <f>IFERROR(IF(ventas_b_mes1255[[#This Row],[CUIT]]="","-",VLOOKUP(ventas_b_mes1255[[#This Row],[CUIT]],Lista_CUIT[#All],2,0)),"CUIT NO CARGADO")</f>
        <v>-</v>
      </c>
      <c r="H1891" s="99">
        <f>ventas_b_mes1255[[#This Row],[TOTAL]]/1.21</f>
        <v>0</v>
      </c>
      <c r="I1891" s="64">
        <f>ventas_b_mes1255[[#This Row],[IMPORTE NETO]]*0.21</f>
        <v>0</v>
      </c>
      <c r="J1891" s="140"/>
      <c r="K1891" s="140"/>
      <c r="L1891" s="140"/>
      <c r="M1891" s="59"/>
    </row>
    <row r="1892" spans="2:13" x14ac:dyDescent="0.25">
      <c r="B1892" s="134"/>
      <c r="C1892" s="41"/>
      <c r="D1892" s="136"/>
      <c r="E1892" s="137"/>
      <c r="F1892" s="138"/>
      <c r="G1892" s="1" t="str">
        <f>IFERROR(IF(ventas_b_mes1255[[#This Row],[CUIT]]="","-",VLOOKUP(ventas_b_mes1255[[#This Row],[CUIT]],Lista_CUIT[#All],2,0)),"CUIT NO CARGADO")</f>
        <v>-</v>
      </c>
      <c r="H1892" s="99">
        <f>ventas_b_mes1255[[#This Row],[TOTAL]]/1.21</f>
        <v>0</v>
      </c>
      <c r="I1892" s="64">
        <f>ventas_b_mes1255[[#This Row],[IMPORTE NETO]]*0.21</f>
        <v>0</v>
      </c>
      <c r="J1892" s="140"/>
      <c r="K1892" s="140"/>
      <c r="L1892" s="140"/>
      <c r="M1892" s="59"/>
    </row>
    <row r="1893" spans="2:13" x14ac:dyDescent="0.25">
      <c r="B1893" s="134"/>
      <c r="C1893" s="41"/>
      <c r="D1893" s="136"/>
      <c r="E1893" s="137"/>
      <c r="F1893" s="138"/>
      <c r="G1893" s="1" t="str">
        <f>IFERROR(IF(ventas_b_mes1255[[#This Row],[CUIT]]="","-",VLOOKUP(ventas_b_mes1255[[#This Row],[CUIT]],Lista_CUIT[#All],2,0)),"CUIT NO CARGADO")</f>
        <v>-</v>
      </c>
      <c r="H1893" s="99">
        <f>ventas_b_mes1255[[#This Row],[TOTAL]]/1.21</f>
        <v>0</v>
      </c>
      <c r="I1893" s="64">
        <f>ventas_b_mes1255[[#This Row],[IMPORTE NETO]]*0.21</f>
        <v>0</v>
      </c>
      <c r="J1893" s="140"/>
      <c r="K1893" s="140"/>
      <c r="L1893" s="140"/>
      <c r="M1893" s="59"/>
    </row>
    <row r="1894" spans="2:13" x14ac:dyDescent="0.25">
      <c r="B1894" s="134"/>
      <c r="C1894" s="41"/>
      <c r="D1894" s="136"/>
      <c r="E1894" s="137"/>
      <c r="F1894" s="138"/>
      <c r="G1894" s="1" t="str">
        <f>IFERROR(IF(ventas_b_mes1255[[#This Row],[CUIT]]="","-",VLOOKUP(ventas_b_mes1255[[#This Row],[CUIT]],Lista_CUIT[#All],2,0)),"CUIT NO CARGADO")</f>
        <v>-</v>
      </c>
      <c r="H1894" s="99">
        <f>ventas_b_mes1255[[#This Row],[TOTAL]]/1.21</f>
        <v>0</v>
      </c>
      <c r="I1894" s="64">
        <f>ventas_b_mes1255[[#This Row],[IMPORTE NETO]]*0.21</f>
        <v>0</v>
      </c>
      <c r="J1894" s="140"/>
      <c r="K1894" s="140"/>
      <c r="L1894" s="140"/>
      <c r="M1894" s="59"/>
    </row>
    <row r="1895" spans="2:13" x14ac:dyDescent="0.25">
      <c r="B1895" s="134"/>
      <c r="C1895" s="41"/>
      <c r="D1895" s="136"/>
      <c r="E1895" s="137"/>
      <c r="F1895" s="138"/>
      <c r="G1895" s="1" t="str">
        <f>IFERROR(IF(ventas_b_mes1255[[#This Row],[CUIT]]="","-",VLOOKUP(ventas_b_mes1255[[#This Row],[CUIT]],Lista_CUIT[#All],2,0)),"CUIT NO CARGADO")</f>
        <v>-</v>
      </c>
      <c r="H1895" s="99">
        <f>ventas_b_mes1255[[#This Row],[TOTAL]]/1.21</f>
        <v>0</v>
      </c>
      <c r="I1895" s="64">
        <f>ventas_b_mes1255[[#This Row],[IMPORTE NETO]]*0.21</f>
        <v>0</v>
      </c>
      <c r="J1895" s="140"/>
      <c r="K1895" s="140"/>
      <c r="L1895" s="140"/>
      <c r="M1895" s="59"/>
    </row>
    <row r="1896" spans="2:13" x14ac:dyDescent="0.25">
      <c r="B1896" s="134"/>
      <c r="C1896" s="41"/>
      <c r="D1896" s="136"/>
      <c r="E1896" s="137"/>
      <c r="F1896" s="138"/>
      <c r="G1896" s="1" t="str">
        <f>IFERROR(IF(ventas_b_mes1255[[#This Row],[CUIT]]="","-",VLOOKUP(ventas_b_mes1255[[#This Row],[CUIT]],Lista_CUIT[#All],2,0)),"CUIT NO CARGADO")</f>
        <v>-</v>
      </c>
      <c r="H1896" s="99">
        <f>ventas_b_mes1255[[#This Row],[TOTAL]]/1.21</f>
        <v>0</v>
      </c>
      <c r="I1896" s="64">
        <f>ventas_b_mes1255[[#This Row],[IMPORTE NETO]]*0.21</f>
        <v>0</v>
      </c>
      <c r="J1896" s="140"/>
      <c r="K1896" s="140"/>
      <c r="L1896" s="140"/>
      <c r="M1896" s="59"/>
    </row>
    <row r="1897" spans="2:13" x14ac:dyDescent="0.25">
      <c r="B1897" s="134"/>
      <c r="C1897" s="41"/>
      <c r="D1897" s="136"/>
      <c r="E1897" s="137"/>
      <c r="F1897" s="138"/>
      <c r="G1897" s="1" t="str">
        <f>IFERROR(IF(ventas_b_mes1255[[#This Row],[CUIT]]="","-",VLOOKUP(ventas_b_mes1255[[#This Row],[CUIT]],Lista_CUIT[#All],2,0)),"CUIT NO CARGADO")</f>
        <v>-</v>
      </c>
      <c r="H1897" s="99">
        <f>ventas_b_mes1255[[#This Row],[TOTAL]]/1.21</f>
        <v>0</v>
      </c>
      <c r="I1897" s="64">
        <f>ventas_b_mes1255[[#This Row],[IMPORTE NETO]]*0.21</f>
        <v>0</v>
      </c>
      <c r="J1897" s="140"/>
      <c r="K1897" s="140"/>
      <c r="L1897" s="140"/>
      <c r="M1897" s="59"/>
    </row>
    <row r="1898" spans="2:13" x14ac:dyDescent="0.25">
      <c r="B1898" s="134"/>
      <c r="C1898" s="41"/>
      <c r="D1898" s="136"/>
      <c r="E1898" s="137"/>
      <c r="F1898" s="138"/>
      <c r="G1898" s="1" t="str">
        <f>IFERROR(IF(ventas_b_mes1255[[#This Row],[CUIT]]="","-",VLOOKUP(ventas_b_mes1255[[#This Row],[CUIT]],Lista_CUIT[#All],2,0)),"CUIT NO CARGADO")</f>
        <v>-</v>
      </c>
      <c r="H1898" s="99">
        <f>ventas_b_mes1255[[#This Row],[TOTAL]]/1.21</f>
        <v>0</v>
      </c>
      <c r="I1898" s="64">
        <f>ventas_b_mes1255[[#This Row],[IMPORTE NETO]]*0.21</f>
        <v>0</v>
      </c>
      <c r="J1898" s="140"/>
      <c r="K1898" s="140"/>
      <c r="L1898" s="140"/>
      <c r="M1898" s="59"/>
    </row>
    <row r="1899" spans="2:13" x14ac:dyDescent="0.25">
      <c r="B1899" s="134"/>
      <c r="C1899" s="41"/>
      <c r="D1899" s="136"/>
      <c r="E1899" s="137"/>
      <c r="F1899" s="138"/>
      <c r="G1899" s="1" t="str">
        <f>IFERROR(IF(ventas_b_mes1255[[#This Row],[CUIT]]="","-",VLOOKUP(ventas_b_mes1255[[#This Row],[CUIT]],Lista_CUIT[#All],2,0)),"CUIT NO CARGADO")</f>
        <v>-</v>
      </c>
      <c r="H1899" s="99">
        <f>ventas_b_mes1255[[#This Row],[TOTAL]]/1.21</f>
        <v>0</v>
      </c>
      <c r="I1899" s="64">
        <f>ventas_b_mes1255[[#This Row],[IMPORTE NETO]]*0.21</f>
        <v>0</v>
      </c>
      <c r="J1899" s="140"/>
      <c r="K1899" s="140"/>
      <c r="L1899" s="140"/>
      <c r="M1899" s="59"/>
    </row>
    <row r="1900" spans="2:13" x14ac:dyDescent="0.25">
      <c r="B1900" s="134"/>
      <c r="C1900" s="41"/>
      <c r="D1900" s="136"/>
      <c r="E1900" s="137"/>
      <c r="F1900" s="138"/>
      <c r="G1900" s="1" t="str">
        <f>IFERROR(IF(ventas_b_mes1255[[#This Row],[CUIT]]="","-",VLOOKUP(ventas_b_mes1255[[#This Row],[CUIT]],Lista_CUIT[#All],2,0)),"CUIT NO CARGADO")</f>
        <v>-</v>
      </c>
      <c r="H1900" s="99">
        <f>ventas_b_mes1255[[#This Row],[TOTAL]]/1.21</f>
        <v>0</v>
      </c>
      <c r="I1900" s="64">
        <f>ventas_b_mes1255[[#This Row],[IMPORTE NETO]]*0.21</f>
        <v>0</v>
      </c>
      <c r="J1900" s="140"/>
      <c r="K1900" s="140"/>
      <c r="L1900" s="140"/>
      <c r="M1900" s="59"/>
    </row>
    <row r="1901" spans="2:13" x14ac:dyDescent="0.25">
      <c r="B1901" s="134"/>
      <c r="C1901" s="41"/>
      <c r="D1901" s="136"/>
      <c r="E1901" s="137"/>
      <c r="F1901" s="138"/>
      <c r="G1901" s="1" t="str">
        <f>IFERROR(IF(ventas_b_mes1255[[#This Row],[CUIT]]="","-",VLOOKUP(ventas_b_mes1255[[#This Row],[CUIT]],Lista_CUIT[#All],2,0)),"CUIT NO CARGADO")</f>
        <v>-</v>
      </c>
      <c r="H1901" s="99">
        <f>ventas_b_mes1255[[#This Row],[TOTAL]]/1.21</f>
        <v>0</v>
      </c>
      <c r="I1901" s="64">
        <f>ventas_b_mes1255[[#This Row],[IMPORTE NETO]]*0.21</f>
        <v>0</v>
      </c>
      <c r="J1901" s="140"/>
      <c r="K1901" s="140"/>
      <c r="L1901" s="140"/>
      <c r="M1901" s="59"/>
    </row>
    <row r="1902" spans="2:13" x14ac:dyDescent="0.25">
      <c r="B1902" s="134"/>
      <c r="C1902" s="41"/>
      <c r="D1902" s="136"/>
      <c r="E1902" s="137"/>
      <c r="F1902" s="138"/>
      <c r="G1902" s="1" t="str">
        <f>IFERROR(IF(ventas_b_mes1255[[#This Row],[CUIT]]="","-",VLOOKUP(ventas_b_mes1255[[#This Row],[CUIT]],Lista_CUIT[#All],2,0)),"CUIT NO CARGADO")</f>
        <v>-</v>
      </c>
      <c r="H1902" s="99">
        <f>ventas_b_mes1255[[#This Row],[TOTAL]]/1.21</f>
        <v>0</v>
      </c>
      <c r="I1902" s="64">
        <f>ventas_b_mes1255[[#This Row],[IMPORTE NETO]]*0.21</f>
        <v>0</v>
      </c>
      <c r="J1902" s="140"/>
      <c r="K1902" s="140"/>
      <c r="L1902" s="140"/>
      <c r="M1902" s="59"/>
    </row>
    <row r="1903" spans="2:13" x14ac:dyDescent="0.25">
      <c r="B1903" s="134"/>
      <c r="C1903" s="41"/>
      <c r="D1903" s="136"/>
      <c r="E1903" s="137"/>
      <c r="F1903" s="138"/>
      <c r="G1903" s="1" t="str">
        <f>IFERROR(IF(ventas_b_mes1255[[#This Row],[CUIT]]="","-",VLOOKUP(ventas_b_mes1255[[#This Row],[CUIT]],Lista_CUIT[#All],2,0)),"CUIT NO CARGADO")</f>
        <v>-</v>
      </c>
      <c r="H1903" s="99">
        <f>ventas_b_mes1255[[#This Row],[TOTAL]]/1.21</f>
        <v>0</v>
      </c>
      <c r="I1903" s="64">
        <f>ventas_b_mes1255[[#This Row],[IMPORTE NETO]]*0.21</f>
        <v>0</v>
      </c>
      <c r="J1903" s="140"/>
      <c r="K1903" s="140"/>
      <c r="L1903" s="140"/>
      <c r="M1903" s="59"/>
    </row>
    <row r="1904" spans="2:13" x14ac:dyDescent="0.25">
      <c r="B1904" s="134"/>
      <c r="C1904" s="41"/>
      <c r="D1904" s="136"/>
      <c r="E1904" s="137"/>
      <c r="F1904" s="138"/>
      <c r="G1904" s="1" t="str">
        <f>IFERROR(IF(ventas_b_mes1255[[#This Row],[CUIT]]="","-",VLOOKUP(ventas_b_mes1255[[#This Row],[CUIT]],Lista_CUIT[#All],2,0)),"CUIT NO CARGADO")</f>
        <v>-</v>
      </c>
      <c r="H1904" s="99">
        <f>ventas_b_mes1255[[#This Row],[TOTAL]]/1.21</f>
        <v>0</v>
      </c>
      <c r="I1904" s="64">
        <f>ventas_b_mes1255[[#This Row],[IMPORTE NETO]]*0.21</f>
        <v>0</v>
      </c>
      <c r="J1904" s="140"/>
      <c r="K1904" s="140"/>
      <c r="L1904" s="140"/>
      <c r="M1904" s="59"/>
    </row>
    <row r="1905" spans="2:13" x14ac:dyDescent="0.25">
      <c r="B1905" s="134"/>
      <c r="C1905" s="41"/>
      <c r="D1905" s="136"/>
      <c r="E1905" s="137"/>
      <c r="F1905" s="138"/>
      <c r="G1905" s="1" t="str">
        <f>IFERROR(IF(ventas_b_mes1255[[#This Row],[CUIT]]="","-",VLOOKUP(ventas_b_mes1255[[#This Row],[CUIT]],Lista_CUIT[#All],2,0)),"CUIT NO CARGADO")</f>
        <v>-</v>
      </c>
      <c r="H1905" s="99">
        <f>ventas_b_mes1255[[#This Row],[TOTAL]]/1.21</f>
        <v>0</v>
      </c>
      <c r="I1905" s="64">
        <f>ventas_b_mes1255[[#This Row],[IMPORTE NETO]]*0.21</f>
        <v>0</v>
      </c>
      <c r="J1905" s="140"/>
      <c r="K1905" s="140"/>
      <c r="L1905" s="140"/>
      <c r="M1905" s="59"/>
    </row>
    <row r="1906" spans="2:13" x14ac:dyDescent="0.25">
      <c r="B1906" s="134"/>
      <c r="C1906" s="41"/>
      <c r="D1906" s="136"/>
      <c r="E1906" s="137"/>
      <c r="F1906" s="138"/>
      <c r="G1906" s="1" t="str">
        <f>IFERROR(IF(ventas_b_mes1255[[#This Row],[CUIT]]="","-",VLOOKUP(ventas_b_mes1255[[#This Row],[CUIT]],Lista_CUIT[#All],2,0)),"CUIT NO CARGADO")</f>
        <v>-</v>
      </c>
      <c r="H1906" s="99">
        <f>ventas_b_mes1255[[#This Row],[TOTAL]]/1.21</f>
        <v>0</v>
      </c>
      <c r="I1906" s="64">
        <f>ventas_b_mes1255[[#This Row],[IMPORTE NETO]]*0.21</f>
        <v>0</v>
      </c>
      <c r="J1906" s="140"/>
      <c r="K1906" s="140"/>
      <c r="L1906" s="140"/>
      <c r="M1906" s="59"/>
    </row>
    <row r="1907" spans="2:13" x14ac:dyDescent="0.25">
      <c r="B1907" s="134"/>
      <c r="C1907" s="41"/>
      <c r="D1907" s="136"/>
      <c r="E1907" s="137"/>
      <c r="F1907" s="138"/>
      <c r="G1907" s="1" t="str">
        <f>IFERROR(IF(ventas_b_mes1255[[#This Row],[CUIT]]="","-",VLOOKUP(ventas_b_mes1255[[#This Row],[CUIT]],Lista_CUIT[#All],2,0)),"CUIT NO CARGADO")</f>
        <v>-</v>
      </c>
      <c r="H1907" s="99">
        <f>ventas_b_mes1255[[#This Row],[TOTAL]]/1.21</f>
        <v>0</v>
      </c>
      <c r="I1907" s="64">
        <f>ventas_b_mes1255[[#This Row],[IMPORTE NETO]]*0.21</f>
        <v>0</v>
      </c>
      <c r="J1907" s="140"/>
      <c r="K1907" s="140"/>
      <c r="L1907" s="140"/>
      <c r="M1907" s="59"/>
    </row>
    <row r="1908" spans="2:13" x14ac:dyDescent="0.25">
      <c r="B1908" s="134"/>
      <c r="C1908" s="41"/>
      <c r="D1908" s="136"/>
      <c r="E1908" s="137"/>
      <c r="F1908" s="138"/>
      <c r="G1908" s="1" t="str">
        <f>IFERROR(IF(ventas_b_mes1255[[#This Row],[CUIT]]="","-",VLOOKUP(ventas_b_mes1255[[#This Row],[CUIT]],Lista_CUIT[#All],2,0)),"CUIT NO CARGADO")</f>
        <v>-</v>
      </c>
      <c r="H1908" s="99">
        <f>ventas_b_mes1255[[#This Row],[TOTAL]]/1.21</f>
        <v>0</v>
      </c>
      <c r="I1908" s="64">
        <f>ventas_b_mes1255[[#This Row],[IMPORTE NETO]]*0.21</f>
        <v>0</v>
      </c>
      <c r="J1908" s="140"/>
      <c r="K1908" s="140"/>
      <c r="L1908" s="140"/>
      <c r="M1908" s="59"/>
    </row>
    <row r="1909" spans="2:13" x14ac:dyDescent="0.25">
      <c r="B1909" s="134"/>
      <c r="C1909" s="41"/>
      <c r="D1909" s="136"/>
      <c r="E1909" s="137"/>
      <c r="F1909" s="138"/>
      <c r="G1909" s="1" t="str">
        <f>IFERROR(IF(ventas_b_mes1255[[#This Row],[CUIT]]="","-",VLOOKUP(ventas_b_mes1255[[#This Row],[CUIT]],Lista_CUIT[#All],2,0)),"CUIT NO CARGADO")</f>
        <v>-</v>
      </c>
      <c r="H1909" s="99">
        <f>ventas_b_mes1255[[#This Row],[TOTAL]]/1.21</f>
        <v>0</v>
      </c>
      <c r="I1909" s="64">
        <f>ventas_b_mes1255[[#This Row],[IMPORTE NETO]]*0.21</f>
        <v>0</v>
      </c>
      <c r="J1909" s="140"/>
      <c r="K1909" s="140"/>
      <c r="L1909" s="140"/>
      <c r="M1909" s="59"/>
    </row>
    <row r="1910" spans="2:13" x14ac:dyDescent="0.25">
      <c r="B1910" s="134"/>
      <c r="C1910" s="41"/>
      <c r="D1910" s="136"/>
      <c r="E1910" s="137"/>
      <c r="F1910" s="138"/>
      <c r="G1910" s="1" t="str">
        <f>IFERROR(IF(ventas_b_mes1255[[#This Row],[CUIT]]="","-",VLOOKUP(ventas_b_mes1255[[#This Row],[CUIT]],Lista_CUIT[#All],2,0)),"CUIT NO CARGADO")</f>
        <v>-</v>
      </c>
      <c r="H1910" s="99">
        <f>ventas_b_mes1255[[#This Row],[TOTAL]]/1.21</f>
        <v>0</v>
      </c>
      <c r="I1910" s="64">
        <f>ventas_b_mes1255[[#This Row],[IMPORTE NETO]]*0.21</f>
        <v>0</v>
      </c>
      <c r="J1910" s="140"/>
      <c r="K1910" s="140"/>
      <c r="L1910" s="140"/>
      <c r="M1910" s="59"/>
    </row>
    <row r="1911" spans="2:13" x14ac:dyDescent="0.25">
      <c r="B1911" s="134"/>
      <c r="C1911" s="41"/>
      <c r="D1911" s="136"/>
      <c r="E1911" s="137"/>
      <c r="F1911" s="138"/>
      <c r="G1911" s="1" t="str">
        <f>IFERROR(IF(ventas_b_mes1255[[#This Row],[CUIT]]="","-",VLOOKUP(ventas_b_mes1255[[#This Row],[CUIT]],Lista_CUIT[#All],2,0)),"CUIT NO CARGADO")</f>
        <v>-</v>
      </c>
      <c r="H1911" s="99">
        <f>ventas_b_mes1255[[#This Row],[TOTAL]]/1.21</f>
        <v>0</v>
      </c>
      <c r="I1911" s="64">
        <f>ventas_b_mes1255[[#This Row],[IMPORTE NETO]]*0.21</f>
        <v>0</v>
      </c>
      <c r="J1911" s="140"/>
      <c r="K1911" s="140"/>
      <c r="L1911" s="140"/>
      <c r="M1911" s="59"/>
    </row>
    <row r="1912" spans="2:13" x14ac:dyDescent="0.25">
      <c r="B1912" s="134"/>
      <c r="C1912" s="41"/>
      <c r="D1912" s="136"/>
      <c r="E1912" s="137"/>
      <c r="F1912" s="138"/>
      <c r="G1912" s="1" t="str">
        <f>IFERROR(IF(ventas_b_mes1255[[#This Row],[CUIT]]="","-",VLOOKUP(ventas_b_mes1255[[#This Row],[CUIT]],Lista_CUIT[#All],2,0)),"CUIT NO CARGADO")</f>
        <v>-</v>
      </c>
      <c r="H1912" s="99">
        <f>ventas_b_mes1255[[#This Row],[TOTAL]]/1.21</f>
        <v>0</v>
      </c>
      <c r="I1912" s="64">
        <f>ventas_b_mes1255[[#This Row],[IMPORTE NETO]]*0.21</f>
        <v>0</v>
      </c>
      <c r="J1912" s="140"/>
      <c r="K1912" s="140"/>
      <c r="L1912" s="140"/>
      <c r="M1912" s="59"/>
    </row>
    <row r="1913" spans="2:13" x14ac:dyDescent="0.25">
      <c r="B1913" s="134"/>
      <c r="C1913" s="41"/>
      <c r="D1913" s="136"/>
      <c r="E1913" s="137"/>
      <c r="F1913" s="138"/>
      <c r="G1913" s="1" t="str">
        <f>IFERROR(IF(ventas_b_mes1255[[#This Row],[CUIT]]="","-",VLOOKUP(ventas_b_mes1255[[#This Row],[CUIT]],Lista_CUIT[#All],2,0)),"CUIT NO CARGADO")</f>
        <v>-</v>
      </c>
      <c r="H1913" s="99">
        <f>ventas_b_mes1255[[#This Row],[TOTAL]]/1.21</f>
        <v>0</v>
      </c>
      <c r="I1913" s="64">
        <f>ventas_b_mes1255[[#This Row],[IMPORTE NETO]]*0.21</f>
        <v>0</v>
      </c>
      <c r="J1913" s="140"/>
      <c r="K1913" s="140"/>
      <c r="L1913" s="140"/>
      <c r="M1913" s="59"/>
    </row>
    <row r="1914" spans="2:13" x14ac:dyDescent="0.25">
      <c r="B1914" s="134"/>
      <c r="C1914" s="41"/>
      <c r="D1914" s="136"/>
      <c r="E1914" s="137"/>
      <c r="F1914" s="138"/>
      <c r="G1914" s="1" t="str">
        <f>IFERROR(IF(ventas_b_mes1255[[#This Row],[CUIT]]="","-",VLOOKUP(ventas_b_mes1255[[#This Row],[CUIT]],Lista_CUIT[#All],2,0)),"CUIT NO CARGADO")</f>
        <v>-</v>
      </c>
      <c r="H1914" s="99">
        <f>ventas_b_mes1255[[#This Row],[TOTAL]]/1.21</f>
        <v>0</v>
      </c>
      <c r="I1914" s="64">
        <f>ventas_b_mes1255[[#This Row],[IMPORTE NETO]]*0.21</f>
        <v>0</v>
      </c>
      <c r="J1914" s="140"/>
      <c r="K1914" s="140"/>
      <c r="L1914" s="140"/>
      <c r="M1914" s="59"/>
    </row>
    <row r="1915" spans="2:13" x14ac:dyDescent="0.25">
      <c r="B1915" s="134"/>
      <c r="C1915" s="41"/>
      <c r="D1915" s="136"/>
      <c r="E1915" s="137"/>
      <c r="F1915" s="138"/>
      <c r="G1915" s="1" t="str">
        <f>IFERROR(IF(ventas_b_mes1255[[#This Row],[CUIT]]="","-",VLOOKUP(ventas_b_mes1255[[#This Row],[CUIT]],Lista_CUIT[#All],2,0)),"CUIT NO CARGADO")</f>
        <v>-</v>
      </c>
      <c r="H1915" s="99">
        <f>ventas_b_mes1255[[#This Row],[TOTAL]]/1.21</f>
        <v>0</v>
      </c>
      <c r="I1915" s="64">
        <f>ventas_b_mes1255[[#This Row],[IMPORTE NETO]]*0.21</f>
        <v>0</v>
      </c>
      <c r="J1915" s="140"/>
      <c r="K1915" s="140"/>
      <c r="L1915" s="140"/>
      <c r="M1915" s="59"/>
    </row>
    <row r="1916" spans="2:13" x14ac:dyDescent="0.25">
      <c r="B1916" s="134"/>
      <c r="C1916" s="41"/>
      <c r="D1916" s="136"/>
      <c r="E1916" s="137"/>
      <c r="F1916" s="138"/>
      <c r="G1916" s="1" t="str">
        <f>IFERROR(IF(ventas_b_mes1255[[#This Row],[CUIT]]="","-",VLOOKUP(ventas_b_mes1255[[#This Row],[CUIT]],Lista_CUIT[#All],2,0)),"CUIT NO CARGADO")</f>
        <v>-</v>
      </c>
      <c r="H1916" s="99">
        <f>ventas_b_mes1255[[#This Row],[TOTAL]]/1.21</f>
        <v>0</v>
      </c>
      <c r="I1916" s="64">
        <f>ventas_b_mes1255[[#This Row],[IMPORTE NETO]]*0.21</f>
        <v>0</v>
      </c>
      <c r="J1916" s="140"/>
      <c r="K1916" s="140"/>
      <c r="L1916" s="140"/>
      <c r="M1916" s="59"/>
    </row>
    <row r="1917" spans="2:13" x14ac:dyDescent="0.25">
      <c r="B1917" s="134"/>
      <c r="C1917" s="41"/>
      <c r="D1917" s="136"/>
      <c r="E1917" s="137"/>
      <c r="F1917" s="138"/>
      <c r="G1917" s="1" t="str">
        <f>IFERROR(IF(ventas_b_mes1255[[#This Row],[CUIT]]="","-",VLOOKUP(ventas_b_mes1255[[#This Row],[CUIT]],Lista_CUIT[#All],2,0)),"CUIT NO CARGADO")</f>
        <v>-</v>
      </c>
      <c r="H1917" s="99">
        <f>ventas_b_mes1255[[#This Row],[TOTAL]]/1.21</f>
        <v>0</v>
      </c>
      <c r="I1917" s="64">
        <f>ventas_b_mes1255[[#This Row],[IMPORTE NETO]]*0.21</f>
        <v>0</v>
      </c>
      <c r="J1917" s="140"/>
      <c r="K1917" s="140"/>
      <c r="L1917" s="140"/>
      <c r="M1917" s="59"/>
    </row>
    <row r="1918" spans="2:13" x14ac:dyDescent="0.25">
      <c r="B1918" s="134"/>
      <c r="C1918" s="41"/>
      <c r="D1918" s="136"/>
      <c r="E1918" s="137"/>
      <c r="F1918" s="138"/>
      <c r="G1918" s="1" t="str">
        <f>IFERROR(IF(ventas_b_mes1255[[#This Row],[CUIT]]="","-",VLOOKUP(ventas_b_mes1255[[#This Row],[CUIT]],Lista_CUIT[#All],2,0)),"CUIT NO CARGADO")</f>
        <v>-</v>
      </c>
      <c r="H1918" s="99">
        <f>ventas_b_mes1255[[#This Row],[TOTAL]]/1.21</f>
        <v>0</v>
      </c>
      <c r="I1918" s="64">
        <f>ventas_b_mes1255[[#This Row],[IMPORTE NETO]]*0.21</f>
        <v>0</v>
      </c>
      <c r="J1918" s="140"/>
      <c r="K1918" s="140"/>
      <c r="L1918" s="140"/>
      <c r="M1918" s="59"/>
    </row>
    <row r="1919" spans="2:13" x14ac:dyDescent="0.25">
      <c r="B1919" s="134"/>
      <c r="C1919" s="41"/>
      <c r="D1919" s="136"/>
      <c r="E1919" s="137"/>
      <c r="F1919" s="138"/>
      <c r="G1919" s="1" t="str">
        <f>IFERROR(IF(ventas_b_mes1255[[#This Row],[CUIT]]="","-",VLOOKUP(ventas_b_mes1255[[#This Row],[CUIT]],Lista_CUIT[#All],2,0)),"CUIT NO CARGADO")</f>
        <v>-</v>
      </c>
      <c r="H1919" s="99">
        <f>ventas_b_mes1255[[#This Row],[TOTAL]]/1.21</f>
        <v>0</v>
      </c>
      <c r="I1919" s="64">
        <f>ventas_b_mes1255[[#This Row],[IMPORTE NETO]]*0.21</f>
        <v>0</v>
      </c>
      <c r="J1919" s="140"/>
      <c r="K1919" s="140"/>
      <c r="L1919" s="140"/>
      <c r="M1919" s="59"/>
    </row>
    <row r="1920" spans="2:13" x14ac:dyDescent="0.25">
      <c r="B1920" s="134"/>
      <c r="C1920" s="41"/>
      <c r="D1920" s="136"/>
      <c r="E1920" s="137"/>
      <c r="F1920" s="138"/>
      <c r="G1920" s="1" t="str">
        <f>IFERROR(IF(ventas_b_mes1255[[#This Row],[CUIT]]="","-",VLOOKUP(ventas_b_mes1255[[#This Row],[CUIT]],Lista_CUIT[#All],2,0)),"CUIT NO CARGADO")</f>
        <v>-</v>
      </c>
      <c r="H1920" s="99">
        <f>ventas_b_mes1255[[#This Row],[TOTAL]]/1.21</f>
        <v>0</v>
      </c>
      <c r="I1920" s="64">
        <f>ventas_b_mes1255[[#This Row],[IMPORTE NETO]]*0.21</f>
        <v>0</v>
      </c>
      <c r="J1920" s="140"/>
      <c r="K1920" s="140"/>
      <c r="L1920" s="140"/>
      <c r="M1920" s="59"/>
    </row>
    <row r="1921" spans="2:13" x14ac:dyDescent="0.25">
      <c r="B1921" s="134"/>
      <c r="C1921" s="41"/>
      <c r="D1921" s="136"/>
      <c r="E1921" s="137"/>
      <c r="F1921" s="138"/>
      <c r="G1921" s="1" t="str">
        <f>IFERROR(IF(ventas_b_mes1255[[#This Row],[CUIT]]="","-",VLOOKUP(ventas_b_mes1255[[#This Row],[CUIT]],Lista_CUIT[#All],2,0)),"CUIT NO CARGADO")</f>
        <v>-</v>
      </c>
      <c r="H1921" s="99">
        <f>ventas_b_mes1255[[#This Row],[TOTAL]]/1.21</f>
        <v>0</v>
      </c>
      <c r="I1921" s="64">
        <f>ventas_b_mes1255[[#This Row],[IMPORTE NETO]]*0.21</f>
        <v>0</v>
      </c>
      <c r="J1921" s="140"/>
      <c r="K1921" s="140"/>
      <c r="L1921" s="140"/>
      <c r="M1921" s="59"/>
    </row>
    <row r="1922" spans="2:13" x14ac:dyDescent="0.25">
      <c r="B1922" s="134"/>
      <c r="C1922" s="41"/>
      <c r="D1922" s="136"/>
      <c r="E1922" s="137"/>
      <c r="F1922" s="138"/>
      <c r="G1922" s="1" t="str">
        <f>IFERROR(IF(ventas_b_mes1255[[#This Row],[CUIT]]="","-",VLOOKUP(ventas_b_mes1255[[#This Row],[CUIT]],Lista_CUIT[#All],2,0)),"CUIT NO CARGADO")</f>
        <v>-</v>
      </c>
      <c r="H1922" s="99">
        <f>ventas_b_mes1255[[#This Row],[TOTAL]]/1.21</f>
        <v>0</v>
      </c>
      <c r="I1922" s="64">
        <f>ventas_b_mes1255[[#This Row],[IMPORTE NETO]]*0.21</f>
        <v>0</v>
      </c>
      <c r="J1922" s="140"/>
      <c r="K1922" s="140"/>
      <c r="L1922" s="140"/>
      <c r="M1922" s="59"/>
    </row>
    <row r="1923" spans="2:13" x14ac:dyDescent="0.25">
      <c r="B1923" s="134"/>
      <c r="C1923" s="41"/>
      <c r="D1923" s="136"/>
      <c r="E1923" s="137"/>
      <c r="F1923" s="138"/>
      <c r="G1923" s="1" t="str">
        <f>IFERROR(IF(ventas_b_mes1255[[#This Row],[CUIT]]="","-",VLOOKUP(ventas_b_mes1255[[#This Row],[CUIT]],Lista_CUIT[#All],2,0)),"CUIT NO CARGADO")</f>
        <v>-</v>
      </c>
      <c r="H1923" s="99">
        <f>ventas_b_mes1255[[#This Row],[TOTAL]]/1.21</f>
        <v>0</v>
      </c>
      <c r="I1923" s="64">
        <f>ventas_b_mes1255[[#This Row],[IMPORTE NETO]]*0.21</f>
        <v>0</v>
      </c>
      <c r="J1923" s="140"/>
      <c r="K1923" s="140"/>
      <c r="L1923" s="140"/>
      <c r="M1923" s="59"/>
    </row>
    <row r="1924" spans="2:13" x14ac:dyDescent="0.25">
      <c r="B1924" s="134"/>
      <c r="C1924" s="41"/>
      <c r="D1924" s="136"/>
      <c r="E1924" s="137"/>
      <c r="F1924" s="138"/>
      <c r="G1924" s="1" t="str">
        <f>IFERROR(IF(ventas_b_mes1255[[#This Row],[CUIT]]="","-",VLOOKUP(ventas_b_mes1255[[#This Row],[CUIT]],Lista_CUIT[#All],2,0)),"CUIT NO CARGADO")</f>
        <v>-</v>
      </c>
      <c r="H1924" s="99">
        <f>ventas_b_mes1255[[#This Row],[TOTAL]]/1.21</f>
        <v>0</v>
      </c>
      <c r="I1924" s="64">
        <f>ventas_b_mes1255[[#This Row],[IMPORTE NETO]]*0.21</f>
        <v>0</v>
      </c>
      <c r="J1924" s="140"/>
      <c r="K1924" s="140"/>
      <c r="L1924" s="140"/>
      <c r="M1924" s="59"/>
    </row>
    <row r="1925" spans="2:13" x14ac:dyDescent="0.25">
      <c r="B1925" s="134"/>
      <c r="C1925" s="41"/>
      <c r="D1925" s="136"/>
      <c r="E1925" s="137"/>
      <c r="F1925" s="138"/>
      <c r="G1925" s="1" t="str">
        <f>IFERROR(IF(ventas_b_mes1255[[#This Row],[CUIT]]="","-",VLOOKUP(ventas_b_mes1255[[#This Row],[CUIT]],Lista_CUIT[#All],2,0)),"CUIT NO CARGADO")</f>
        <v>-</v>
      </c>
      <c r="H1925" s="99">
        <f>ventas_b_mes1255[[#This Row],[TOTAL]]/1.21</f>
        <v>0</v>
      </c>
      <c r="I1925" s="64">
        <f>ventas_b_mes1255[[#This Row],[IMPORTE NETO]]*0.21</f>
        <v>0</v>
      </c>
      <c r="J1925" s="140"/>
      <c r="K1925" s="140"/>
      <c r="L1925" s="140"/>
      <c r="M1925" s="59"/>
    </row>
    <row r="1926" spans="2:13" x14ac:dyDescent="0.25">
      <c r="B1926" s="134"/>
      <c r="C1926" s="41"/>
      <c r="D1926" s="136"/>
      <c r="E1926" s="137"/>
      <c r="F1926" s="138"/>
      <c r="G1926" s="1" t="str">
        <f>IFERROR(IF(ventas_b_mes1255[[#This Row],[CUIT]]="","-",VLOOKUP(ventas_b_mes1255[[#This Row],[CUIT]],Lista_CUIT[#All],2,0)),"CUIT NO CARGADO")</f>
        <v>-</v>
      </c>
      <c r="H1926" s="99">
        <f>ventas_b_mes1255[[#This Row],[TOTAL]]/1.21</f>
        <v>0</v>
      </c>
      <c r="I1926" s="64">
        <f>ventas_b_mes1255[[#This Row],[IMPORTE NETO]]*0.21</f>
        <v>0</v>
      </c>
      <c r="J1926" s="140"/>
      <c r="K1926" s="140"/>
      <c r="L1926" s="140"/>
      <c r="M1926" s="59"/>
    </row>
    <row r="1927" spans="2:13" x14ac:dyDescent="0.25">
      <c r="B1927" s="134"/>
      <c r="C1927" s="41"/>
      <c r="D1927" s="136"/>
      <c r="E1927" s="137"/>
      <c r="F1927" s="138"/>
      <c r="G1927" s="1" t="str">
        <f>IFERROR(IF(ventas_b_mes1255[[#This Row],[CUIT]]="","-",VLOOKUP(ventas_b_mes1255[[#This Row],[CUIT]],Lista_CUIT[#All],2,0)),"CUIT NO CARGADO")</f>
        <v>-</v>
      </c>
      <c r="H1927" s="99">
        <f>ventas_b_mes1255[[#This Row],[TOTAL]]/1.21</f>
        <v>0</v>
      </c>
      <c r="I1927" s="64">
        <f>ventas_b_mes1255[[#This Row],[IMPORTE NETO]]*0.21</f>
        <v>0</v>
      </c>
      <c r="J1927" s="140"/>
      <c r="K1927" s="140"/>
      <c r="L1927" s="140"/>
      <c r="M1927" s="59"/>
    </row>
    <row r="1928" spans="2:13" x14ac:dyDescent="0.25">
      <c r="B1928" s="134"/>
      <c r="C1928" s="41"/>
      <c r="D1928" s="136"/>
      <c r="E1928" s="137"/>
      <c r="F1928" s="138"/>
      <c r="G1928" s="1" t="str">
        <f>IFERROR(IF(ventas_b_mes1255[[#This Row],[CUIT]]="","-",VLOOKUP(ventas_b_mes1255[[#This Row],[CUIT]],Lista_CUIT[#All],2,0)),"CUIT NO CARGADO")</f>
        <v>-</v>
      </c>
      <c r="H1928" s="99">
        <f>ventas_b_mes1255[[#This Row],[TOTAL]]/1.21</f>
        <v>0</v>
      </c>
      <c r="I1928" s="64">
        <f>ventas_b_mes1255[[#This Row],[IMPORTE NETO]]*0.21</f>
        <v>0</v>
      </c>
      <c r="J1928" s="140"/>
      <c r="K1928" s="140"/>
      <c r="L1928" s="140"/>
      <c r="M1928" s="59"/>
    </row>
    <row r="1929" spans="2:13" x14ac:dyDescent="0.25">
      <c r="B1929" s="134"/>
      <c r="C1929" s="41"/>
      <c r="D1929" s="136"/>
      <c r="E1929" s="137"/>
      <c r="F1929" s="138"/>
      <c r="G1929" s="1" t="str">
        <f>IFERROR(IF(ventas_b_mes1255[[#This Row],[CUIT]]="","-",VLOOKUP(ventas_b_mes1255[[#This Row],[CUIT]],Lista_CUIT[#All],2,0)),"CUIT NO CARGADO")</f>
        <v>-</v>
      </c>
      <c r="H1929" s="99">
        <f>ventas_b_mes1255[[#This Row],[TOTAL]]/1.21</f>
        <v>0</v>
      </c>
      <c r="I1929" s="64">
        <f>ventas_b_mes1255[[#This Row],[IMPORTE NETO]]*0.21</f>
        <v>0</v>
      </c>
      <c r="J1929" s="140"/>
      <c r="K1929" s="140"/>
      <c r="L1929" s="140"/>
      <c r="M1929" s="59"/>
    </row>
    <row r="1930" spans="2:13" x14ac:dyDescent="0.25">
      <c r="B1930" s="134"/>
      <c r="C1930" s="41"/>
      <c r="D1930" s="136"/>
      <c r="E1930" s="137"/>
      <c r="F1930" s="138"/>
      <c r="G1930" s="1" t="str">
        <f>IFERROR(IF(ventas_b_mes1255[[#This Row],[CUIT]]="","-",VLOOKUP(ventas_b_mes1255[[#This Row],[CUIT]],Lista_CUIT[#All],2,0)),"CUIT NO CARGADO")</f>
        <v>-</v>
      </c>
      <c r="H1930" s="99">
        <f>ventas_b_mes1255[[#This Row],[TOTAL]]/1.21</f>
        <v>0</v>
      </c>
      <c r="I1930" s="64">
        <f>ventas_b_mes1255[[#This Row],[IMPORTE NETO]]*0.21</f>
        <v>0</v>
      </c>
      <c r="J1930" s="140"/>
      <c r="K1930" s="140"/>
      <c r="L1930" s="140"/>
      <c r="M1930" s="59"/>
    </row>
    <row r="1931" spans="2:13" x14ac:dyDescent="0.25">
      <c r="B1931" s="134"/>
      <c r="C1931" s="41"/>
      <c r="D1931" s="136"/>
      <c r="E1931" s="137"/>
      <c r="F1931" s="138"/>
      <c r="G1931" s="1" t="str">
        <f>IFERROR(IF(ventas_b_mes1255[[#This Row],[CUIT]]="","-",VLOOKUP(ventas_b_mes1255[[#This Row],[CUIT]],Lista_CUIT[#All],2,0)),"CUIT NO CARGADO")</f>
        <v>-</v>
      </c>
      <c r="H1931" s="99">
        <f>ventas_b_mes1255[[#This Row],[TOTAL]]/1.21</f>
        <v>0</v>
      </c>
      <c r="I1931" s="64">
        <f>ventas_b_mes1255[[#This Row],[IMPORTE NETO]]*0.21</f>
        <v>0</v>
      </c>
      <c r="J1931" s="140"/>
      <c r="K1931" s="140"/>
      <c r="L1931" s="140"/>
      <c r="M1931" s="59"/>
    </row>
    <row r="1932" spans="2:13" x14ac:dyDescent="0.25">
      <c r="B1932" s="134"/>
      <c r="C1932" s="41"/>
      <c r="D1932" s="136"/>
      <c r="E1932" s="137"/>
      <c r="F1932" s="138"/>
      <c r="G1932" s="1" t="str">
        <f>IFERROR(IF(ventas_b_mes1255[[#This Row],[CUIT]]="","-",VLOOKUP(ventas_b_mes1255[[#This Row],[CUIT]],Lista_CUIT[#All],2,0)),"CUIT NO CARGADO")</f>
        <v>-</v>
      </c>
      <c r="H1932" s="99">
        <f>ventas_b_mes1255[[#This Row],[TOTAL]]/1.21</f>
        <v>0</v>
      </c>
      <c r="I1932" s="64">
        <f>ventas_b_mes1255[[#This Row],[IMPORTE NETO]]*0.21</f>
        <v>0</v>
      </c>
      <c r="J1932" s="140"/>
      <c r="K1932" s="140"/>
      <c r="L1932" s="140"/>
      <c r="M1932" s="59"/>
    </row>
    <row r="1933" spans="2:13" x14ac:dyDescent="0.25">
      <c r="B1933" s="134"/>
      <c r="C1933" s="41"/>
      <c r="D1933" s="136"/>
      <c r="E1933" s="137"/>
      <c r="F1933" s="138"/>
      <c r="G1933" s="1" t="str">
        <f>IFERROR(IF(ventas_b_mes1255[[#This Row],[CUIT]]="","-",VLOOKUP(ventas_b_mes1255[[#This Row],[CUIT]],Lista_CUIT[#All],2,0)),"CUIT NO CARGADO")</f>
        <v>-</v>
      </c>
      <c r="H1933" s="99">
        <f>ventas_b_mes1255[[#This Row],[TOTAL]]/1.21</f>
        <v>0</v>
      </c>
      <c r="I1933" s="64">
        <f>ventas_b_mes1255[[#This Row],[IMPORTE NETO]]*0.21</f>
        <v>0</v>
      </c>
      <c r="J1933" s="140"/>
      <c r="K1933" s="140"/>
      <c r="L1933" s="140"/>
      <c r="M1933" s="59"/>
    </row>
    <row r="1934" spans="2:13" x14ac:dyDescent="0.25">
      <c r="B1934" s="134"/>
      <c r="C1934" s="41"/>
      <c r="D1934" s="136"/>
      <c r="E1934" s="137"/>
      <c r="F1934" s="138"/>
      <c r="G1934" s="1" t="str">
        <f>IFERROR(IF(ventas_b_mes1255[[#This Row],[CUIT]]="","-",VLOOKUP(ventas_b_mes1255[[#This Row],[CUIT]],Lista_CUIT[#All],2,0)),"CUIT NO CARGADO")</f>
        <v>-</v>
      </c>
      <c r="H1934" s="99">
        <f>ventas_b_mes1255[[#This Row],[TOTAL]]/1.21</f>
        <v>0</v>
      </c>
      <c r="I1934" s="64">
        <f>ventas_b_mes1255[[#This Row],[IMPORTE NETO]]*0.21</f>
        <v>0</v>
      </c>
      <c r="J1934" s="140"/>
      <c r="K1934" s="140"/>
      <c r="L1934" s="140"/>
      <c r="M1934" s="59"/>
    </row>
    <row r="1935" spans="2:13" x14ac:dyDescent="0.25">
      <c r="B1935" s="134"/>
      <c r="C1935" s="41"/>
      <c r="D1935" s="136"/>
      <c r="E1935" s="137"/>
      <c r="F1935" s="138"/>
      <c r="G1935" s="1" t="str">
        <f>IFERROR(IF(ventas_b_mes1255[[#This Row],[CUIT]]="","-",VLOOKUP(ventas_b_mes1255[[#This Row],[CUIT]],Lista_CUIT[#All],2,0)),"CUIT NO CARGADO")</f>
        <v>-</v>
      </c>
      <c r="H1935" s="99">
        <f>ventas_b_mes1255[[#This Row],[TOTAL]]/1.21</f>
        <v>0</v>
      </c>
      <c r="I1935" s="64">
        <f>ventas_b_mes1255[[#This Row],[IMPORTE NETO]]*0.21</f>
        <v>0</v>
      </c>
      <c r="J1935" s="140"/>
      <c r="K1935" s="140"/>
      <c r="L1935" s="140"/>
      <c r="M1935" s="59"/>
    </row>
    <row r="1936" spans="2:13" x14ac:dyDescent="0.25">
      <c r="B1936" s="134"/>
      <c r="C1936" s="41"/>
      <c r="D1936" s="136"/>
      <c r="E1936" s="137"/>
      <c r="F1936" s="138"/>
      <c r="G1936" s="1" t="str">
        <f>IFERROR(IF(ventas_b_mes1255[[#This Row],[CUIT]]="","-",VLOOKUP(ventas_b_mes1255[[#This Row],[CUIT]],Lista_CUIT[#All],2,0)),"CUIT NO CARGADO")</f>
        <v>-</v>
      </c>
      <c r="H1936" s="99">
        <f>ventas_b_mes1255[[#This Row],[TOTAL]]/1.21</f>
        <v>0</v>
      </c>
      <c r="I1936" s="64">
        <f>ventas_b_mes1255[[#This Row],[IMPORTE NETO]]*0.21</f>
        <v>0</v>
      </c>
      <c r="J1936" s="140"/>
      <c r="K1936" s="140"/>
      <c r="L1936" s="140"/>
      <c r="M1936" s="59"/>
    </row>
    <row r="1937" spans="2:13" x14ac:dyDescent="0.25">
      <c r="B1937" s="134"/>
      <c r="C1937" s="41"/>
      <c r="D1937" s="136"/>
      <c r="E1937" s="137"/>
      <c r="F1937" s="138"/>
      <c r="G1937" s="1" t="str">
        <f>IFERROR(IF(ventas_b_mes1255[[#This Row],[CUIT]]="","-",VLOOKUP(ventas_b_mes1255[[#This Row],[CUIT]],Lista_CUIT[#All],2,0)),"CUIT NO CARGADO")</f>
        <v>-</v>
      </c>
      <c r="H1937" s="99">
        <f>ventas_b_mes1255[[#This Row],[TOTAL]]/1.21</f>
        <v>0</v>
      </c>
      <c r="I1937" s="64">
        <f>ventas_b_mes1255[[#This Row],[IMPORTE NETO]]*0.21</f>
        <v>0</v>
      </c>
      <c r="J1937" s="140"/>
      <c r="K1937" s="140"/>
      <c r="L1937" s="140"/>
      <c r="M1937" s="59"/>
    </row>
    <row r="1938" spans="2:13" x14ac:dyDescent="0.25">
      <c r="B1938" s="134"/>
      <c r="C1938" s="41"/>
      <c r="D1938" s="136"/>
      <c r="E1938" s="137"/>
      <c r="F1938" s="138"/>
      <c r="G1938" s="1" t="str">
        <f>IFERROR(IF(ventas_b_mes1255[[#This Row],[CUIT]]="","-",VLOOKUP(ventas_b_mes1255[[#This Row],[CUIT]],Lista_CUIT[#All],2,0)),"CUIT NO CARGADO")</f>
        <v>-</v>
      </c>
      <c r="H1938" s="99">
        <f>ventas_b_mes1255[[#This Row],[TOTAL]]/1.21</f>
        <v>0</v>
      </c>
      <c r="I1938" s="64">
        <f>ventas_b_mes1255[[#This Row],[IMPORTE NETO]]*0.21</f>
        <v>0</v>
      </c>
      <c r="J1938" s="140"/>
      <c r="K1938" s="140"/>
      <c r="L1938" s="140"/>
      <c r="M1938" s="59"/>
    </row>
    <row r="1939" spans="2:13" x14ac:dyDescent="0.25">
      <c r="B1939" s="134"/>
      <c r="C1939" s="41"/>
      <c r="D1939" s="136"/>
      <c r="E1939" s="137"/>
      <c r="F1939" s="138"/>
      <c r="G1939" s="1" t="str">
        <f>IFERROR(IF(ventas_b_mes1255[[#This Row],[CUIT]]="","-",VLOOKUP(ventas_b_mes1255[[#This Row],[CUIT]],Lista_CUIT[#All],2,0)),"CUIT NO CARGADO")</f>
        <v>-</v>
      </c>
      <c r="H1939" s="99">
        <f>ventas_b_mes1255[[#This Row],[TOTAL]]/1.21</f>
        <v>0</v>
      </c>
      <c r="I1939" s="64">
        <f>ventas_b_mes1255[[#This Row],[IMPORTE NETO]]*0.21</f>
        <v>0</v>
      </c>
      <c r="J1939" s="140"/>
      <c r="K1939" s="140"/>
      <c r="L1939" s="140"/>
      <c r="M1939" s="59"/>
    </row>
    <row r="1940" spans="2:13" x14ac:dyDescent="0.25">
      <c r="B1940" s="134"/>
      <c r="C1940" s="41"/>
      <c r="D1940" s="136"/>
      <c r="E1940" s="137"/>
      <c r="F1940" s="138"/>
      <c r="G1940" s="1" t="str">
        <f>IFERROR(IF(ventas_b_mes1255[[#This Row],[CUIT]]="","-",VLOOKUP(ventas_b_mes1255[[#This Row],[CUIT]],Lista_CUIT[#All],2,0)),"CUIT NO CARGADO")</f>
        <v>-</v>
      </c>
      <c r="H1940" s="99">
        <f>ventas_b_mes1255[[#This Row],[TOTAL]]/1.21</f>
        <v>0</v>
      </c>
      <c r="I1940" s="64">
        <f>ventas_b_mes1255[[#This Row],[IMPORTE NETO]]*0.21</f>
        <v>0</v>
      </c>
      <c r="J1940" s="140"/>
      <c r="K1940" s="140"/>
      <c r="L1940" s="140"/>
      <c r="M1940" s="59"/>
    </row>
    <row r="1941" spans="2:13" x14ac:dyDescent="0.25">
      <c r="B1941" s="134"/>
      <c r="C1941" s="41"/>
      <c r="D1941" s="136"/>
      <c r="E1941" s="137"/>
      <c r="F1941" s="138"/>
      <c r="G1941" s="1" t="str">
        <f>IFERROR(IF(ventas_b_mes1255[[#This Row],[CUIT]]="","-",VLOOKUP(ventas_b_mes1255[[#This Row],[CUIT]],Lista_CUIT[#All],2,0)),"CUIT NO CARGADO")</f>
        <v>-</v>
      </c>
      <c r="H1941" s="99">
        <f>ventas_b_mes1255[[#This Row],[TOTAL]]/1.21</f>
        <v>0</v>
      </c>
      <c r="I1941" s="64">
        <f>ventas_b_mes1255[[#This Row],[IMPORTE NETO]]*0.21</f>
        <v>0</v>
      </c>
      <c r="J1941" s="140"/>
      <c r="K1941" s="140"/>
      <c r="L1941" s="140"/>
      <c r="M1941" s="59"/>
    </row>
    <row r="1942" spans="2:13" x14ac:dyDescent="0.25">
      <c r="B1942" s="134"/>
      <c r="C1942" s="41"/>
      <c r="D1942" s="136"/>
      <c r="E1942" s="137"/>
      <c r="F1942" s="138"/>
      <c r="G1942" s="1" t="str">
        <f>IFERROR(IF(ventas_b_mes1255[[#This Row],[CUIT]]="","-",VLOOKUP(ventas_b_mes1255[[#This Row],[CUIT]],Lista_CUIT[#All],2,0)),"CUIT NO CARGADO")</f>
        <v>-</v>
      </c>
      <c r="H1942" s="99">
        <f>ventas_b_mes1255[[#This Row],[TOTAL]]/1.21</f>
        <v>0</v>
      </c>
      <c r="I1942" s="64">
        <f>ventas_b_mes1255[[#This Row],[IMPORTE NETO]]*0.21</f>
        <v>0</v>
      </c>
      <c r="J1942" s="140"/>
      <c r="K1942" s="140"/>
      <c r="L1942" s="140"/>
      <c r="M1942" s="59"/>
    </row>
    <row r="1943" spans="2:13" x14ac:dyDescent="0.25">
      <c r="B1943" s="134"/>
      <c r="C1943" s="41"/>
      <c r="D1943" s="136"/>
      <c r="E1943" s="137"/>
      <c r="F1943" s="138"/>
      <c r="G1943" s="1" t="str">
        <f>IFERROR(IF(ventas_b_mes1255[[#This Row],[CUIT]]="","-",VLOOKUP(ventas_b_mes1255[[#This Row],[CUIT]],Lista_CUIT[#All],2,0)),"CUIT NO CARGADO")</f>
        <v>-</v>
      </c>
      <c r="H1943" s="99">
        <f>ventas_b_mes1255[[#This Row],[TOTAL]]/1.21</f>
        <v>0</v>
      </c>
      <c r="I1943" s="64">
        <f>ventas_b_mes1255[[#This Row],[IMPORTE NETO]]*0.21</f>
        <v>0</v>
      </c>
      <c r="J1943" s="140"/>
      <c r="K1943" s="140"/>
      <c r="L1943" s="140"/>
      <c r="M1943" s="59"/>
    </row>
    <row r="1944" spans="2:13" x14ac:dyDescent="0.25">
      <c r="B1944" s="134"/>
      <c r="C1944" s="41"/>
      <c r="D1944" s="136"/>
      <c r="E1944" s="137"/>
      <c r="F1944" s="138"/>
      <c r="G1944" s="1" t="str">
        <f>IFERROR(IF(ventas_b_mes1255[[#This Row],[CUIT]]="","-",VLOOKUP(ventas_b_mes1255[[#This Row],[CUIT]],Lista_CUIT[#All],2,0)),"CUIT NO CARGADO")</f>
        <v>-</v>
      </c>
      <c r="H1944" s="99">
        <f>ventas_b_mes1255[[#This Row],[TOTAL]]/1.21</f>
        <v>0</v>
      </c>
      <c r="I1944" s="64">
        <f>ventas_b_mes1255[[#This Row],[IMPORTE NETO]]*0.21</f>
        <v>0</v>
      </c>
      <c r="J1944" s="140"/>
      <c r="K1944" s="140"/>
      <c r="L1944" s="140"/>
      <c r="M1944" s="59"/>
    </row>
    <row r="1945" spans="2:13" x14ac:dyDescent="0.25">
      <c r="B1945" s="134"/>
      <c r="C1945" s="41"/>
      <c r="D1945" s="136"/>
      <c r="E1945" s="137"/>
      <c r="F1945" s="138"/>
      <c r="G1945" s="1" t="str">
        <f>IFERROR(IF(ventas_b_mes1255[[#This Row],[CUIT]]="","-",VLOOKUP(ventas_b_mes1255[[#This Row],[CUIT]],Lista_CUIT[#All],2,0)),"CUIT NO CARGADO")</f>
        <v>-</v>
      </c>
      <c r="H1945" s="99">
        <f>ventas_b_mes1255[[#This Row],[TOTAL]]/1.21</f>
        <v>0</v>
      </c>
      <c r="I1945" s="64">
        <f>ventas_b_mes1255[[#This Row],[IMPORTE NETO]]*0.21</f>
        <v>0</v>
      </c>
      <c r="J1945" s="140"/>
      <c r="K1945" s="140"/>
      <c r="L1945" s="140"/>
      <c r="M1945" s="59"/>
    </row>
    <row r="1946" spans="2:13" x14ac:dyDescent="0.25">
      <c r="B1946" s="134"/>
      <c r="C1946" s="41"/>
      <c r="D1946" s="136"/>
      <c r="E1946" s="137"/>
      <c r="F1946" s="138"/>
      <c r="G1946" s="1" t="str">
        <f>IFERROR(IF(ventas_b_mes1255[[#This Row],[CUIT]]="","-",VLOOKUP(ventas_b_mes1255[[#This Row],[CUIT]],Lista_CUIT[#All],2,0)),"CUIT NO CARGADO")</f>
        <v>-</v>
      </c>
      <c r="H1946" s="99">
        <f>ventas_b_mes1255[[#This Row],[TOTAL]]/1.21</f>
        <v>0</v>
      </c>
      <c r="I1946" s="64">
        <f>ventas_b_mes1255[[#This Row],[IMPORTE NETO]]*0.21</f>
        <v>0</v>
      </c>
      <c r="J1946" s="140"/>
      <c r="K1946" s="140"/>
      <c r="L1946" s="140"/>
      <c r="M1946" s="59"/>
    </row>
    <row r="1947" spans="2:13" x14ac:dyDescent="0.25">
      <c r="B1947" s="134"/>
      <c r="C1947" s="41"/>
      <c r="D1947" s="136"/>
      <c r="E1947" s="137"/>
      <c r="F1947" s="138"/>
      <c r="G1947" s="1" t="str">
        <f>IFERROR(IF(ventas_b_mes1255[[#This Row],[CUIT]]="","-",VLOOKUP(ventas_b_mes1255[[#This Row],[CUIT]],Lista_CUIT[#All],2,0)),"CUIT NO CARGADO")</f>
        <v>-</v>
      </c>
      <c r="H1947" s="99">
        <f>ventas_b_mes1255[[#This Row],[TOTAL]]/1.21</f>
        <v>0</v>
      </c>
      <c r="I1947" s="64">
        <f>ventas_b_mes1255[[#This Row],[IMPORTE NETO]]*0.21</f>
        <v>0</v>
      </c>
      <c r="J1947" s="140"/>
      <c r="K1947" s="140"/>
      <c r="L1947" s="140"/>
      <c r="M1947" s="59"/>
    </row>
    <row r="1948" spans="2:13" x14ac:dyDescent="0.25">
      <c r="B1948" s="134"/>
      <c r="C1948" s="41"/>
      <c r="D1948" s="136"/>
      <c r="E1948" s="137"/>
      <c r="F1948" s="138"/>
      <c r="G1948" s="1" t="str">
        <f>IFERROR(IF(ventas_b_mes1255[[#This Row],[CUIT]]="","-",VLOOKUP(ventas_b_mes1255[[#This Row],[CUIT]],Lista_CUIT[#All],2,0)),"CUIT NO CARGADO")</f>
        <v>-</v>
      </c>
      <c r="H1948" s="99">
        <f>ventas_b_mes1255[[#This Row],[TOTAL]]/1.21</f>
        <v>0</v>
      </c>
      <c r="I1948" s="64">
        <f>ventas_b_mes1255[[#This Row],[IMPORTE NETO]]*0.21</f>
        <v>0</v>
      </c>
      <c r="J1948" s="140"/>
      <c r="K1948" s="140"/>
      <c r="L1948" s="140"/>
      <c r="M1948" s="59"/>
    </row>
    <row r="1949" spans="2:13" x14ac:dyDescent="0.25">
      <c r="B1949" s="134"/>
      <c r="C1949" s="41"/>
      <c r="D1949" s="136"/>
      <c r="E1949" s="137"/>
      <c r="F1949" s="138"/>
      <c r="G1949" s="1" t="str">
        <f>IFERROR(IF(ventas_b_mes1255[[#This Row],[CUIT]]="","-",VLOOKUP(ventas_b_mes1255[[#This Row],[CUIT]],Lista_CUIT[#All],2,0)),"CUIT NO CARGADO")</f>
        <v>-</v>
      </c>
      <c r="H1949" s="99">
        <f>ventas_b_mes1255[[#This Row],[TOTAL]]/1.21</f>
        <v>0</v>
      </c>
      <c r="I1949" s="64">
        <f>ventas_b_mes1255[[#This Row],[IMPORTE NETO]]*0.21</f>
        <v>0</v>
      </c>
      <c r="J1949" s="140"/>
      <c r="K1949" s="140"/>
      <c r="L1949" s="140"/>
      <c r="M1949" s="59"/>
    </row>
    <row r="1950" spans="2:13" x14ac:dyDescent="0.25">
      <c r="B1950" s="134"/>
      <c r="C1950" s="41"/>
      <c r="D1950" s="136"/>
      <c r="E1950" s="137"/>
      <c r="F1950" s="138"/>
      <c r="G1950" s="1" t="str">
        <f>IFERROR(IF(ventas_b_mes1255[[#This Row],[CUIT]]="","-",VLOOKUP(ventas_b_mes1255[[#This Row],[CUIT]],Lista_CUIT[#All],2,0)),"CUIT NO CARGADO")</f>
        <v>-</v>
      </c>
      <c r="H1950" s="99">
        <f>ventas_b_mes1255[[#This Row],[TOTAL]]/1.21</f>
        <v>0</v>
      </c>
      <c r="I1950" s="64">
        <f>ventas_b_mes1255[[#This Row],[IMPORTE NETO]]*0.21</f>
        <v>0</v>
      </c>
      <c r="J1950" s="140"/>
      <c r="K1950" s="140"/>
      <c r="L1950" s="140"/>
      <c r="M1950" s="59"/>
    </row>
    <row r="1951" spans="2:13" x14ac:dyDescent="0.25">
      <c r="B1951" s="134"/>
      <c r="C1951" s="41"/>
      <c r="D1951" s="136"/>
      <c r="E1951" s="137"/>
      <c r="F1951" s="138"/>
      <c r="G1951" s="1" t="str">
        <f>IFERROR(IF(ventas_b_mes1255[[#This Row],[CUIT]]="","-",VLOOKUP(ventas_b_mes1255[[#This Row],[CUIT]],Lista_CUIT[#All],2,0)),"CUIT NO CARGADO")</f>
        <v>-</v>
      </c>
      <c r="H1951" s="99">
        <f>ventas_b_mes1255[[#This Row],[TOTAL]]/1.21</f>
        <v>0</v>
      </c>
      <c r="I1951" s="64">
        <f>ventas_b_mes1255[[#This Row],[IMPORTE NETO]]*0.21</f>
        <v>0</v>
      </c>
      <c r="J1951" s="140"/>
      <c r="K1951" s="140"/>
      <c r="L1951" s="140"/>
      <c r="M1951" s="59"/>
    </row>
    <row r="1952" spans="2:13" x14ac:dyDescent="0.25">
      <c r="B1952" s="134"/>
      <c r="C1952" s="41"/>
      <c r="D1952" s="136"/>
      <c r="E1952" s="137"/>
      <c r="F1952" s="138"/>
      <c r="G1952" s="1" t="str">
        <f>IFERROR(IF(ventas_b_mes1255[[#This Row],[CUIT]]="","-",VLOOKUP(ventas_b_mes1255[[#This Row],[CUIT]],Lista_CUIT[#All],2,0)),"CUIT NO CARGADO")</f>
        <v>-</v>
      </c>
      <c r="H1952" s="99">
        <f>ventas_b_mes1255[[#This Row],[TOTAL]]/1.21</f>
        <v>0</v>
      </c>
      <c r="I1952" s="64">
        <f>ventas_b_mes1255[[#This Row],[IMPORTE NETO]]*0.21</f>
        <v>0</v>
      </c>
      <c r="J1952" s="140"/>
      <c r="K1952" s="140"/>
      <c r="L1952" s="140"/>
      <c r="M1952" s="59"/>
    </row>
    <row r="1953" spans="2:13" x14ac:dyDescent="0.25">
      <c r="B1953" s="134"/>
      <c r="C1953" s="41"/>
      <c r="D1953" s="136"/>
      <c r="E1953" s="137"/>
      <c r="F1953" s="138"/>
      <c r="G1953" s="1" t="str">
        <f>IFERROR(IF(ventas_b_mes1255[[#This Row],[CUIT]]="","-",VLOOKUP(ventas_b_mes1255[[#This Row],[CUIT]],Lista_CUIT[#All],2,0)),"CUIT NO CARGADO")</f>
        <v>-</v>
      </c>
      <c r="H1953" s="99">
        <f>ventas_b_mes1255[[#This Row],[TOTAL]]/1.21</f>
        <v>0</v>
      </c>
      <c r="I1953" s="64">
        <f>ventas_b_mes1255[[#This Row],[IMPORTE NETO]]*0.21</f>
        <v>0</v>
      </c>
      <c r="J1953" s="140"/>
      <c r="K1953" s="140"/>
      <c r="L1953" s="140"/>
      <c r="M1953" s="59"/>
    </row>
    <row r="1954" spans="2:13" x14ac:dyDescent="0.25">
      <c r="B1954" s="134"/>
      <c r="C1954" s="41"/>
      <c r="D1954" s="136"/>
      <c r="E1954" s="137"/>
      <c r="F1954" s="138"/>
      <c r="G1954" s="1" t="str">
        <f>IFERROR(IF(ventas_b_mes1255[[#This Row],[CUIT]]="","-",VLOOKUP(ventas_b_mes1255[[#This Row],[CUIT]],Lista_CUIT[#All],2,0)),"CUIT NO CARGADO")</f>
        <v>-</v>
      </c>
      <c r="H1954" s="99">
        <f>ventas_b_mes1255[[#This Row],[TOTAL]]/1.21</f>
        <v>0</v>
      </c>
      <c r="I1954" s="64">
        <f>ventas_b_mes1255[[#This Row],[IMPORTE NETO]]*0.21</f>
        <v>0</v>
      </c>
      <c r="J1954" s="140"/>
      <c r="K1954" s="140"/>
      <c r="L1954" s="140"/>
      <c r="M1954" s="59"/>
    </row>
    <row r="1955" spans="2:13" x14ac:dyDescent="0.25">
      <c r="B1955" s="134"/>
      <c r="C1955" s="41"/>
      <c r="D1955" s="136"/>
      <c r="E1955" s="137"/>
      <c r="F1955" s="138"/>
      <c r="G1955" s="1" t="str">
        <f>IFERROR(IF(ventas_b_mes1255[[#This Row],[CUIT]]="","-",VLOOKUP(ventas_b_mes1255[[#This Row],[CUIT]],Lista_CUIT[#All],2,0)),"CUIT NO CARGADO")</f>
        <v>-</v>
      </c>
      <c r="H1955" s="99">
        <f>ventas_b_mes1255[[#This Row],[TOTAL]]/1.21</f>
        <v>0</v>
      </c>
      <c r="I1955" s="64">
        <f>ventas_b_mes1255[[#This Row],[IMPORTE NETO]]*0.21</f>
        <v>0</v>
      </c>
      <c r="J1955" s="140"/>
      <c r="K1955" s="140"/>
      <c r="L1955" s="140"/>
      <c r="M1955" s="59"/>
    </row>
    <row r="1956" spans="2:13" x14ac:dyDescent="0.25">
      <c r="B1956" s="134"/>
      <c r="C1956" s="41"/>
      <c r="D1956" s="136"/>
      <c r="E1956" s="137"/>
      <c r="F1956" s="138"/>
      <c r="G1956" s="1" t="str">
        <f>IFERROR(IF(ventas_b_mes1255[[#This Row],[CUIT]]="","-",VLOOKUP(ventas_b_mes1255[[#This Row],[CUIT]],Lista_CUIT[#All],2,0)),"CUIT NO CARGADO")</f>
        <v>-</v>
      </c>
      <c r="H1956" s="99">
        <f>ventas_b_mes1255[[#This Row],[TOTAL]]/1.21</f>
        <v>0</v>
      </c>
      <c r="I1956" s="64">
        <f>ventas_b_mes1255[[#This Row],[IMPORTE NETO]]*0.21</f>
        <v>0</v>
      </c>
      <c r="J1956" s="140"/>
      <c r="K1956" s="140"/>
      <c r="L1956" s="140"/>
      <c r="M1956" s="59"/>
    </row>
    <row r="1957" spans="2:13" x14ac:dyDescent="0.25">
      <c r="B1957" s="134"/>
      <c r="C1957" s="41"/>
      <c r="D1957" s="136"/>
      <c r="E1957" s="137"/>
      <c r="F1957" s="138"/>
      <c r="G1957" s="1" t="str">
        <f>IFERROR(IF(ventas_b_mes1255[[#This Row],[CUIT]]="","-",VLOOKUP(ventas_b_mes1255[[#This Row],[CUIT]],Lista_CUIT[#All],2,0)),"CUIT NO CARGADO")</f>
        <v>-</v>
      </c>
      <c r="H1957" s="99">
        <f>ventas_b_mes1255[[#This Row],[TOTAL]]/1.21</f>
        <v>0</v>
      </c>
      <c r="I1957" s="64">
        <f>ventas_b_mes1255[[#This Row],[IMPORTE NETO]]*0.21</f>
        <v>0</v>
      </c>
      <c r="J1957" s="140"/>
      <c r="K1957" s="140"/>
      <c r="L1957" s="140"/>
      <c r="M1957" s="59"/>
    </row>
    <row r="1958" spans="2:13" x14ac:dyDescent="0.25">
      <c r="B1958" s="134"/>
      <c r="C1958" s="41"/>
      <c r="D1958" s="136"/>
      <c r="E1958" s="137"/>
      <c r="F1958" s="138"/>
      <c r="G1958" s="1" t="str">
        <f>IFERROR(IF(ventas_b_mes1255[[#This Row],[CUIT]]="","-",VLOOKUP(ventas_b_mes1255[[#This Row],[CUIT]],Lista_CUIT[#All],2,0)),"CUIT NO CARGADO")</f>
        <v>-</v>
      </c>
      <c r="H1958" s="99">
        <f>ventas_b_mes1255[[#This Row],[TOTAL]]/1.21</f>
        <v>0</v>
      </c>
      <c r="I1958" s="64">
        <f>ventas_b_mes1255[[#This Row],[IMPORTE NETO]]*0.21</f>
        <v>0</v>
      </c>
      <c r="J1958" s="140"/>
      <c r="K1958" s="140"/>
      <c r="L1958" s="140"/>
      <c r="M1958" s="59"/>
    </row>
    <row r="1959" spans="2:13" x14ac:dyDescent="0.25">
      <c r="B1959" s="134"/>
      <c r="C1959" s="41"/>
      <c r="D1959" s="136"/>
      <c r="E1959" s="137"/>
      <c r="F1959" s="138"/>
      <c r="G1959" s="1" t="str">
        <f>IFERROR(IF(ventas_b_mes1255[[#This Row],[CUIT]]="","-",VLOOKUP(ventas_b_mes1255[[#This Row],[CUIT]],Lista_CUIT[#All],2,0)),"CUIT NO CARGADO")</f>
        <v>-</v>
      </c>
      <c r="H1959" s="99">
        <f>ventas_b_mes1255[[#This Row],[TOTAL]]/1.21</f>
        <v>0</v>
      </c>
      <c r="I1959" s="64">
        <f>ventas_b_mes1255[[#This Row],[IMPORTE NETO]]*0.21</f>
        <v>0</v>
      </c>
      <c r="J1959" s="140"/>
      <c r="K1959" s="140"/>
      <c r="L1959" s="140"/>
      <c r="M1959" s="59"/>
    </row>
    <row r="1960" spans="2:13" x14ac:dyDescent="0.25">
      <c r="B1960" s="134"/>
      <c r="C1960" s="41"/>
      <c r="D1960" s="136"/>
      <c r="E1960" s="137"/>
      <c r="F1960" s="138"/>
      <c r="G1960" s="1" t="str">
        <f>IFERROR(IF(ventas_b_mes1255[[#This Row],[CUIT]]="","-",VLOOKUP(ventas_b_mes1255[[#This Row],[CUIT]],Lista_CUIT[#All],2,0)),"CUIT NO CARGADO")</f>
        <v>-</v>
      </c>
      <c r="H1960" s="99">
        <f>ventas_b_mes1255[[#This Row],[TOTAL]]/1.21</f>
        <v>0</v>
      </c>
      <c r="I1960" s="64">
        <f>ventas_b_mes1255[[#This Row],[IMPORTE NETO]]*0.21</f>
        <v>0</v>
      </c>
      <c r="J1960" s="140"/>
      <c r="K1960" s="140"/>
      <c r="L1960" s="140"/>
      <c r="M1960" s="59"/>
    </row>
    <row r="1961" spans="2:13" x14ac:dyDescent="0.25">
      <c r="B1961" s="134"/>
      <c r="C1961" s="41"/>
      <c r="D1961" s="136"/>
      <c r="E1961" s="137"/>
      <c r="F1961" s="138"/>
      <c r="G1961" s="1" t="str">
        <f>IFERROR(IF(ventas_b_mes1255[[#This Row],[CUIT]]="","-",VLOOKUP(ventas_b_mes1255[[#This Row],[CUIT]],Lista_CUIT[#All],2,0)),"CUIT NO CARGADO")</f>
        <v>-</v>
      </c>
      <c r="H1961" s="99">
        <f>ventas_b_mes1255[[#This Row],[TOTAL]]/1.21</f>
        <v>0</v>
      </c>
      <c r="I1961" s="64">
        <f>ventas_b_mes1255[[#This Row],[IMPORTE NETO]]*0.21</f>
        <v>0</v>
      </c>
      <c r="J1961" s="140"/>
      <c r="K1961" s="140"/>
      <c r="L1961" s="140"/>
      <c r="M1961" s="59"/>
    </row>
    <row r="1962" spans="2:13" x14ac:dyDescent="0.25">
      <c r="B1962" s="134"/>
      <c r="C1962" s="41"/>
      <c r="D1962" s="136"/>
      <c r="E1962" s="137"/>
      <c r="F1962" s="138"/>
      <c r="G1962" s="1" t="str">
        <f>IFERROR(IF(ventas_b_mes1255[[#This Row],[CUIT]]="","-",VLOOKUP(ventas_b_mes1255[[#This Row],[CUIT]],Lista_CUIT[#All],2,0)),"CUIT NO CARGADO")</f>
        <v>-</v>
      </c>
      <c r="H1962" s="99">
        <f>ventas_b_mes1255[[#This Row],[TOTAL]]/1.21</f>
        <v>0</v>
      </c>
      <c r="I1962" s="64">
        <f>ventas_b_mes1255[[#This Row],[IMPORTE NETO]]*0.21</f>
        <v>0</v>
      </c>
      <c r="J1962" s="140"/>
      <c r="K1962" s="140"/>
      <c r="L1962" s="140"/>
      <c r="M1962" s="59"/>
    </row>
    <row r="1963" spans="2:13" x14ac:dyDescent="0.25">
      <c r="B1963" s="134"/>
      <c r="C1963" s="41"/>
      <c r="D1963" s="136"/>
      <c r="E1963" s="137"/>
      <c r="F1963" s="138"/>
      <c r="G1963" s="1" t="str">
        <f>IFERROR(IF(ventas_b_mes1255[[#This Row],[CUIT]]="","-",VLOOKUP(ventas_b_mes1255[[#This Row],[CUIT]],Lista_CUIT[#All],2,0)),"CUIT NO CARGADO")</f>
        <v>-</v>
      </c>
      <c r="H1963" s="99">
        <f>ventas_b_mes1255[[#This Row],[TOTAL]]/1.21</f>
        <v>0</v>
      </c>
      <c r="I1963" s="64">
        <f>ventas_b_mes1255[[#This Row],[IMPORTE NETO]]*0.21</f>
        <v>0</v>
      </c>
      <c r="J1963" s="140"/>
      <c r="K1963" s="140"/>
      <c r="L1963" s="140"/>
      <c r="M1963" s="59"/>
    </row>
    <row r="1964" spans="2:13" x14ac:dyDescent="0.25">
      <c r="B1964" s="134"/>
      <c r="C1964" s="41"/>
      <c r="D1964" s="136"/>
      <c r="E1964" s="137"/>
      <c r="F1964" s="138"/>
      <c r="G1964" s="1" t="str">
        <f>IFERROR(IF(ventas_b_mes1255[[#This Row],[CUIT]]="","-",VLOOKUP(ventas_b_mes1255[[#This Row],[CUIT]],Lista_CUIT[#All],2,0)),"CUIT NO CARGADO")</f>
        <v>-</v>
      </c>
      <c r="H1964" s="99">
        <f>ventas_b_mes1255[[#This Row],[TOTAL]]/1.21</f>
        <v>0</v>
      </c>
      <c r="I1964" s="64">
        <f>ventas_b_mes1255[[#This Row],[IMPORTE NETO]]*0.21</f>
        <v>0</v>
      </c>
      <c r="J1964" s="140"/>
      <c r="K1964" s="140"/>
      <c r="L1964" s="140"/>
      <c r="M1964" s="59"/>
    </row>
    <row r="1965" spans="2:13" x14ac:dyDescent="0.25">
      <c r="B1965" s="134"/>
      <c r="C1965" s="41"/>
      <c r="D1965" s="136"/>
      <c r="E1965" s="137"/>
      <c r="F1965" s="138"/>
      <c r="G1965" s="1" t="str">
        <f>IFERROR(IF(ventas_b_mes1255[[#This Row],[CUIT]]="","-",VLOOKUP(ventas_b_mes1255[[#This Row],[CUIT]],Lista_CUIT[#All],2,0)),"CUIT NO CARGADO")</f>
        <v>-</v>
      </c>
      <c r="H1965" s="99">
        <f>ventas_b_mes1255[[#This Row],[TOTAL]]/1.21</f>
        <v>0</v>
      </c>
      <c r="I1965" s="64">
        <f>ventas_b_mes1255[[#This Row],[IMPORTE NETO]]*0.21</f>
        <v>0</v>
      </c>
      <c r="J1965" s="140"/>
      <c r="K1965" s="140"/>
      <c r="L1965" s="140"/>
      <c r="M1965" s="59"/>
    </row>
    <row r="1966" spans="2:13" x14ac:dyDescent="0.25">
      <c r="B1966" s="134"/>
      <c r="C1966" s="41"/>
      <c r="D1966" s="136"/>
      <c r="E1966" s="137"/>
      <c r="F1966" s="138"/>
      <c r="G1966" s="1" t="str">
        <f>IFERROR(IF(ventas_b_mes1255[[#This Row],[CUIT]]="","-",VLOOKUP(ventas_b_mes1255[[#This Row],[CUIT]],Lista_CUIT[#All],2,0)),"CUIT NO CARGADO")</f>
        <v>-</v>
      </c>
      <c r="H1966" s="99">
        <f>ventas_b_mes1255[[#This Row],[TOTAL]]/1.21</f>
        <v>0</v>
      </c>
      <c r="I1966" s="64">
        <f>ventas_b_mes1255[[#This Row],[IMPORTE NETO]]*0.21</f>
        <v>0</v>
      </c>
      <c r="J1966" s="140"/>
      <c r="K1966" s="140"/>
      <c r="L1966" s="140"/>
      <c r="M1966" s="59"/>
    </row>
    <row r="1967" spans="2:13" x14ac:dyDescent="0.25">
      <c r="B1967" s="134"/>
      <c r="C1967" s="41"/>
      <c r="D1967" s="136"/>
      <c r="E1967" s="137"/>
      <c r="F1967" s="138"/>
      <c r="G1967" s="1" t="str">
        <f>IFERROR(IF(ventas_b_mes1255[[#This Row],[CUIT]]="","-",VLOOKUP(ventas_b_mes1255[[#This Row],[CUIT]],Lista_CUIT[#All],2,0)),"CUIT NO CARGADO")</f>
        <v>-</v>
      </c>
      <c r="H1967" s="99">
        <f>ventas_b_mes1255[[#This Row],[TOTAL]]/1.21</f>
        <v>0</v>
      </c>
      <c r="I1967" s="64">
        <f>ventas_b_mes1255[[#This Row],[IMPORTE NETO]]*0.21</f>
        <v>0</v>
      </c>
      <c r="J1967" s="140"/>
      <c r="K1967" s="140"/>
      <c r="L1967" s="140"/>
      <c r="M1967" s="59"/>
    </row>
    <row r="1968" spans="2:13" x14ac:dyDescent="0.25">
      <c r="B1968" s="134"/>
      <c r="C1968" s="41"/>
      <c r="D1968" s="136"/>
      <c r="E1968" s="137"/>
      <c r="F1968" s="138"/>
      <c r="G1968" s="1" t="str">
        <f>IFERROR(IF(ventas_b_mes1255[[#This Row],[CUIT]]="","-",VLOOKUP(ventas_b_mes1255[[#This Row],[CUIT]],Lista_CUIT[#All],2,0)),"CUIT NO CARGADO")</f>
        <v>-</v>
      </c>
      <c r="H1968" s="99">
        <f>ventas_b_mes1255[[#This Row],[TOTAL]]/1.21</f>
        <v>0</v>
      </c>
      <c r="I1968" s="64">
        <f>ventas_b_mes1255[[#This Row],[IMPORTE NETO]]*0.21</f>
        <v>0</v>
      </c>
      <c r="J1968" s="140"/>
      <c r="K1968" s="140"/>
      <c r="L1968" s="140"/>
      <c r="M1968" s="59"/>
    </row>
    <row r="1969" spans="2:13" x14ac:dyDescent="0.25">
      <c r="B1969" s="134"/>
      <c r="C1969" s="41"/>
      <c r="D1969" s="136"/>
      <c r="E1969" s="137"/>
      <c r="F1969" s="138"/>
      <c r="G1969" s="1" t="str">
        <f>IFERROR(IF(ventas_b_mes1255[[#This Row],[CUIT]]="","-",VLOOKUP(ventas_b_mes1255[[#This Row],[CUIT]],Lista_CUIT[#All],2,0)),"CUIT NO CARGADO")</f>
        <v>-</v>
      </c>
      <c r="H1969" s="99">
        <f>ventas_b_mes1255[[#This Row],[TOTAL]]/1.21</f>
        <v>0</v>
      </c>
      <c r="I1969" s="64">
        <f>ventas_b_mes1255[[#This Row],[IMPORTE NETO]]*0.21</f>
        <v>0</v>
      </c>
      <c r="J1969" s="140"/>
      <c r="K1969" s="140"/>
      <c r="L1969" s="140"/>
      <c r="M1969" s="59"/>
    </row>
    <row r="1970" spans="2:13" x14ac:dyDescent="0.25">
      <c r="B1970" s="134"/>
      <c r="C1970" s="41"/>
      <c r="D1970" s="136"/>
      <c r="E1970" s="137"/>
      <c r="F1970" s="138"/>
      <c r="G1970" s="1" t="str">
        <f>IFERROR(IF(ventas_b_mes1255[[#This Row],[CUIT]]="","-",VLOOKUP(ventas_b_mes1255[[#This Row],[CUIT]],Lista_CUIT[#All],2,0)),"CUIT NO CARGADO")</f>
        <v>-</v>
      </c>
      <c r="H1970" s="99">
        <f>ventas_b_mes1255[[#This Row],[TOTAL]]/1.21</f>
        <v>0</v>
      </c>
      <c r="I1970" s="64">
        <f>ventas_b_mes1255[[#This Row],[IMPORTE NETO]]*0.21</f>
        <v>0</v>
      </c>
      <c r="J1970" s="140"/>
      <c r="K1970" s="140"/>
      <c r="L1970" s="140"/>
      <c r="M1970" s="59"/>
    </row>
    <row r="1971" spans="2:13" x14ac:dyDescent="0.25">
      <c r="B1971" s="134"/>
      <c r="C1971" s="41"/>
      <c r="D1971" s="136"/>
      <c r="E1971" s="137"/>
      <c r="F1971" s="138"/>
      <c r="G1971" s="1" t="str">
        <f>IFERROR(IF(ventas_b_mes1255[[#This Row],[CUIT]]="","-",VLOOKUP(ventas_b_mes1255[[#This Row],[CUIT]],Lista_CUIT[#All],2,0)),"CUIT NO CARGADO")</f>
        <v>-</v>
      </c>
      <c r="H1971" s="99">
        <f>ventas_b_mes1255[[#This Row],[TOTAL]]/1.21</f>
        <v>0</v>
      </c>
      <c r="I1971" s="64">
        <f>ventas_b_mes1255[[#This Row],[IMPORTE NETO]]*0.21</f>
        <v>0</v>
      </c>
      <c r="J1971" s="140"/>
      <c r="K1971" s="140"/>
      <c r="L1971" s="140"/>
      <c r="M1971" s="59"/>
    </row>
    <row r="1972" spans="2:13" x14ac:dyDescent="0.25">
      <c r="B1972" s="134"/>
      <c r="C1972" s="41"/>
      <c r="D1972" s="136"/>
      <c r="E1972" s="137"/>
      <c r="F1972" s="138"/>
      <c r="G1972" s="1" t="str">
        <f>IFERROR(IF(ventas_b_mes1255[[#This Row],[CUIT]]="","-",VLOOKUP(ventas_b_mes1255[[#This Row],[CUIT]],Lista_CUIT[#All],2,0)),"CUIT NO CARGADO")</f>
        <v>-</v>
      </c>
      <c r="H1972" s="99">
        <f>ventas_b_mes1255[[#This Row],[TOTAL]]/1.21</f>
        <v>0</v>
      </c>
      <c r="I1972" s="64">
        <f>ventas_b_mes1255[[#This Row],[IMPORTE NETO]]*0.21</f>
        <v>0</v>
      </c>
      <c r="J1972" s="140"/>
      <c r="K1972" s="140"/>
      <c r="L1972" s="140"/>
      <c r="M1972" s="59"/>
    </row>
    <row r="1973" spans="2:13" x14ac:dyDescent="0.25">
      <c r="B1973" s="134"/>
      <c r="C1973" s="41"/>
      <c r="D1973" s="136"/>
      <c r="E1973" s="137"/>
      <c r="F1973" s="138"/>
      <c r="G1973" s="1" t="str">
        <f>IFERROR(IF(ventas_b_mes1255[[#This Row],[CUIT]]="","-",VLOOKUP(ventas_b_mes1255[[#This Row],[CUIT]],Lista_CUIT[#All],2,0)),"CUIT NO CARGADO")</f>
        <v>-</v>
      </c>
      <c r="H1973" s="99">
        <f>ventas_b_mes1255[[#This Row],[TOTAL]]/1.21</f>
        <v>0</v>
      </c>
      <c r="I1973" s="64">
        <f>ventas_b_mes1255[[#This Row],[IMPORTE NETO]]*0.21</f>
        <v>0</v>
      </c>
      <c r="J1973" s="140"/>
      <c r="K1973" s="140"/>
      <c r="L1973" s="140"/>
      <c r="M1973" s="59"/>
    </row>
    <row r="1974" spans="2:13" x14ac:dyDescent="0.25">
      <c r="B1974" s="134"/>
      <c r="C1974" s="41"/>
      <c r="D1974" s="136"/>
      <c r="E1974" s="137"/>
      <c r="F1974" s="138"/>
      <c r="G1974" s="1" t="str">
        <f>IFERROR(IF(ventas_b_mes1255[[#This Row],[CUIT]]="","-",VLOOKUP(ventas_b_mes1255[[#This Row],[CUIT]],Lista_CUIT[#All],2,0)),"CUIT NO CARGADO")</f>
        <v>-</v>
      </c>
      <c r="H1974" s="99">
        <f>ventas_b_mes1255[[#This Row],[TOTAL]]/1.21</f>
        <v>0</v>
      </c>
      <c r="I1974" s="64">
        <f>ventas_b_mes1255[[#This Row],[IMPORTE NETO]]*0.21</f>
        <v>0</v>
      </c>
      <c r="J1974" s="140"/>
      <c r="K1974" s="140"/>
      <c r="L1974" s="140"/>
      <c r="M1974" s="59"/>
    </row>
    <row r="1975" spans="2:13" x14ac:dyDescent="0.25">
      <c r="B1975" s="134"/>
      <c r="C1975" s="41"/>
      <c r="D1975" s="136"/>
      <c r="E1975" s="137"/>
      <c r="F1975" s="138"/>
      <c r="G1975" s="1" t="str">
        <f>IFERROR(IF(ventas_b_mes1255[[#This Row],[CUIT]]="","-",VLOOKUP(ventas_b_mes1255[[#This Row],[CUIT]],Lista_CUIT[#All],2,0)),"CUIT NO CARGADO")</f>
        <v>-</v>
      </c>
      <c r="H1975" s="99">
        <f>ventas_b_mes1255[[#This Row],[TOTAL]]/1.21</f>
        <v>0</v>
      </c>
      <c r="I1975" s="64">
        <f>ventas_b_mes1255[[#This Row],[IMPORTE NETO]]*0.21</f>
        <v>0</v>
      </c>
      <c r="J1975" s="140"/>
      <c r="K1975" s="140"/>
      <c r="L1975" s="140"/>
      <c r="M1975" s="59"/>
    </row>
    <row r="1976" spans="2:13" x14ac:dyDescent="0.25">
      <c r="B1976" s="134"/>
      <c r="C1976" s="41"/>
      <c r="D1976" s="136"/>
      <c r="E1976" s="137"/>
      <c r="F1976" s="138"/>
      <c r="G1976" s="1" t="str">
        <f>IFERROR(IF(ventas_b_mes1255[[#This Row],[CUIT]]="","-",VLOOKUP(ventas_b_mes1255[[#This Row],[CUIT]],Lista_CUIT[#All],2,0)),"CUIT NO CARGADO")</f>
        <v>-</v>
      </c>
      <c r="H1976" s="99">
        <f>ventas_b_mes1255[[#This Row],[TOTAL]]/1.21</f>
        <v>0</v>
      </c>
      <c r="I1976" s="64">
        <f>ventas_b_mes1255[[#This Row],[IMPORTE NETO]]*0.21</f>
        <v>0</v>
      </c>
      <c r="J1976" s="140"/>
      <c r="K1976" s="140"/>
      <c r="L1976" s="140"/>
      <c r="M1976" s="59"/>
    </row>
    <row r="1977" spans="2:13" x14ac:dyDescent="0.25">
      <c r="B1977" s="134"/>
      <c r="C1977" s="41"/>
      <c r="D1977" s="136"/>
      <c r="E1977" s="137"/>
      <c r="F1977" s="138"/>
      <c r="G1977" s="1" t="str">
        <f>IFERROR(IF(ventas_b_mes1255[[#This Row],[CUIT]]="","-",VLOOKUP(ventas_b_mes1255[[#This Row],[CUIT]],Lista_CUIT[#All],2,0)),"CUIT NO CARGADO")</f>
        <v>-</v>
      </c>
      <c r="H1977" s="99">
        <f>ventas_b_mes1255[[#This Row],[TOTAL]]/1.21</f>
        <v>0</v>
      </c>
      <c r="I1977" s="64">
        <f>ventas_b_mes1255[[#This Row],[IMPORTE NETO]]*0.21</f>
        <v>0</v>
      </c>
      <c r="J1977" s="140"/>
      <c r="K1977" s="140"/>
      <c r="L1977" s="140"/>
      <c r="M1977" s="59"/>
    </row>
    <row r="1978" spans="2:13" x14ac:dyDescent="0.25">
      <c r="B1978" s="134"/>
      <c r="C1978" s="41"/>
      <c r="D1978" s="136"/>
      <c r="E1978" s="137"/>
      <c r="F1978" s="138"/>
      <c r="G1978" s="1" t="str">
        <f>IFERROR(IF(ventas_b_mes1255[[#This Row],[CUIT]]="","-",VLOOKUP(ventas_b_mes1255[[#This Row],[CUIT]],Lista_CUIT[#All],2,0)),"CUIT NO CARGADO")</f>
        <v>-</v>
      </c>
      <c r="H1978" s="99">
        <f>ventas_b_mes1255[[#This Row],[TOTAL]]/1.21</f>
        <v>0</v>
      </c>
      <c r="I1978" s="64">
        <f>ventas_b_mes1255[[#This Row],[IMPORTE NETO]]*0.21</f>
        <v>0</v>
      </c>
      <c r="J1978" s="140"/>
      <c r="K1978" s="140"/>
      <c r="L1978" s="140"/>
      <c r="M1978" s="59"/>
    </row>
    <row r="1979" spans="2:13" x14ac:dyDescent="0.25">
      <c r="B1979" s="134"/>
      <c r="C1979" s="41"/>
      <c r="D1979" s="136"/>
      <c r="E1979" s="137"/>
      <c r="F1979" s="138"/>
      <c r="G1979" s="1" t="str">
        <f>IFERROR(IF(ventas_b_mes1255[[#This Row],[CUIT]]="","-",VLOOKUP(ventas_b_mes1255[[#This Row],[CUIT]],Lista_CUIT[#All],2,0)),"CUIT NO CARGADO")</f>
        <v>-</v>
      </c>
      <c r="H1979" s="99">
        <f>ventas_b_mes1255[[#This Row],[TOTAL]]/1.21</f>
        <v>0</v>
      </c>
      <c r="I1979" s="64">
        <f>ventas_b_mes1255[[#This Row],[IMPORTE NETO]]*0.21</f>
        <v>0</v>
      </c>
      <c r="J1979" s="140"/>
      <c r="K1979" s="140"/>
      <c r="L1979" s="140"/>
      <c r="M1979" s="59"/>
    </row>
    <row r="1980" spans="2:13" x14ac:dyDescent="0.25">
      <c r="B1980" s="134"/>
      <c r="C1980" s="41"/>
      <c r="D1980" s="136"/>
      <c r="E1980" s="137"/>
      <c r="F1980" s="138"/>
      <c r="G1980" s="1" t="str">
        <f>IFERROR(IF(ventas_b_mes1255[[#This Row],[CUIT]]="","-",VLOOKUP(ventas_b_mes1255[[#This Row],[CUIT]],Lista_CUIT[#All],2,0)),"CUIT NO CARGADO")</f>
        <v>-</v>
      </c>
      <c r="H1980" s="99">
        <f>ventas_b_mes1255[[#This Row],[TOTAL]]/1.21</f>
        <v>0</v>
      </c>
      <c r="I1980" s="64">
        <f>ventas_b_mes1255[[#This Row],[IMPORTE NETO]]*0.21</f>
        <v>0</v>
      </c>
      <c r="J1980" s="140"/>
      <c r="K1980" s="140"/>
      <c r="L1980" s="140"/>
      <c r="M1980" s="59"/>
    </row>
    <row r="1981" spans="2:13" x14ac:dyDescent="0.25">
      <c r="B1981" s="134"/>
      <c r="C1981" s="41"/>
      <c r="D1981" s="136"/>
      <c r="E1981" s="137"/>
      <c r="F1981" s="138"/>
      <c r="G1981" s="1" t="str">
        <f>IFERROR(IF(ventas_b_mes1255[[#This Row],[CUIT]]="","-",VLOOKUP(ventas_b_mes1255[[#This Row],[CUIT]],Lista_CUIT[#All],2,0)),"CUIT NO CARGADO")</f>
        <v>-</v>
      </c>
      <c r="H1981" s="99">
        <f>ventas_b_mes1255[[#This Row],[TOTAL]]/1.21</f>
        <v>0</v>
      </c>
      <c r="I1981" s="64">
        <f>ventas_b_mes1255[[#This Row],[IMPORTE NETO]]*0.21</f>
        <v>0</v>
      </c>
      <c r="J1981" s="140"/>
      <c r="K1981" s="140"/>
      <c r="L1981" s="140"/>
      <c r="M1981" s="59"/>
    </row>
    <row r="1982" spans="2:13" x14ac:dyDescent="0.25">
      <c r="B1982" s="134"/>
      <c r="C1982" s="41"/>
      <c r="D1982" s="136"/>
      <c r="E1982" s="137"/>
      <c r="F1982" s="138"/>
      <c r="G1982" s="1" t="str">
        <f>IFERROR(IF(ventas_b_mes1255[[#This Row],[CUIT]]="","-",VLOOKUP(ventas_b_mes1255[[#This Row],[CUIT]],Lista_CUIT[#All],2,0)),"CUIT NO CARGADO")</f>
        <v>-</v>
      </c>
      <c r="H1982" s="99">
        <f>ventas_b_mes1255[[#This Row],[TOTAL]]/1.21</f>
        <v>0</v>
      </c>
      <c r="I1982" s="64">
        <f>ventas_b_mes1255[[#This Row],[IMPORTE NETO]]*0.21</f>
        <v>0</v>
      </c>
      <c r="J1982" s="140"/>
      <c r="K1982" s="140"/>
      <c r="L1982" s="140"/>
      <c r="M1982" s="59"/>
    </row>
    <row r="1983" spans="2:13" x14ac:dyDescent="0.25">
      <c r="B1983" s="134"/>
      <c r="C1983" s="41"/>
      <c r="D1983" s="136"/>
      <c r="E1983" s="137"/>
      <c r="F1983" s="138"/>
      <c r="G1983" s="1" t="str">
        <f>IFERROR(IF(ventas_b_mes1255[[#This Row],[CUIT]]="","-",VLOOKUP(ventas_b_mes1255[[#This Row],[CUIT]],Lista_CUIT[#All],2,0)),"CUIT NO CARGADO")</f>
        <v>-</v>
      </c>
      <c r="H1983" s="99">
        <f>ventas_b_mes1255[[#This Row],[TOTAL]]/1.21</f>
        <v>0</v>
      </c>
      <c r="I1983" s="64">
        <f>ventas_b_mes1255[[#This Row],[IMPORTE NETO]]*0.21</f>
        <v>0</v>
      </c>
      <c r="J1983" s="140"/>
      <c r="K1983" s="140"/>
      <c r="L1983" s="140"/>
      <c r="M1983" s="59"/>
    </row>
    <row r="1984" spans="2:13" x14ac:dyDescent="0.25">
      <c r="B1984" s="134"/>
      <c r="C1984" s="41"/>
      <c r="D1984" s="136"/>
      <c r="E1984" s="137"/>
      <c r="F1984" s="138"/>
      <c r="G1984" s="1" t="str">
        <f>IFERROR(IF(ventas_b_mes1255[[#This Row],[CUIT]]="","-",VLOOKUP(ventas_b_mes1255[[#This Row],[CUIT]],Lista_CUIT[#All],2,0)),"CUIT NO CARGADO")</f>
        <v>-</v>
      </c>
      <c r="H1984" s="99">
        <f>ventas_b_mes1255[[#This Row],[TOTAL]]/1.21</f>
        <v>0</v>
      </c>
      <c r="I1984" s="64">
        <f>ventas_b_mes1255[[#This Row],[IMPORTE NETO]]*0.21</f>
        <v>0</v>
      </c>
      <c r="J1984" s="140"/>
      <c r="K1984" s="140"/>
      <c r="L1984" s="140"/>
      <c r="M1984" s="59"/>
    </row>
    <row r="1985" spans="2:13" x14ac:dyDescent="0.25">
      <c r="B1985" s="134"/>
      <c r="C1985" s="41"/>
      <c r="D1985" s="136"/>
      <c r="E1985" s="137"/>
      <c r="F1985" s="138"/>
      <c r="G1985" s="1" t="str">
        <f>IFERROR(IF(ventas_b_mes1255[[#This Row],[CUIT]]="","-",VLOOKUP(ventas_b_mes1255[[#This Row],[CUIT]],Lista_CUIT[#All],2,0)),"CUIT NO CARGADO")</f>
        <v>-</v>
      </c>
      <c r="H1985" s="99">
        <f>ventas_b_mes1255[[#This Row],[TOTAL]]/1.21</f>
        <v>0</v>
      </c>
      <c r="I1985" s="64">
        <f>ventas_b_mes1255[[#This Row],[IMPORTE NETO]]*0.21</f>
        <v>0</v>
      </c>
      <c r="J1985" s="140"/>
      <c r="K1985" s="140"/>
      <c r="L1985" s="140"/>
      <c r="M1985" s="59"/>
    </row>
    <row r="1986" spans="2:13" x14ac:dyDescent="0.25">
      <c r="B1986" s="134"/>
      <c r="C1986" s="41"/>
      <c r="D1986" s="136"/>
      <c r="E1986" s="137"/>
      <c r="F1986" s="138"/>
      <c r="G1986" s="1" t="str">
        <f>IFERROR(IF(ventas_b_mes1255[[#This Row],[CUIT]]="","-",VLOOKUP(ventas_b_mes1255[[#This Row],[CUIT]],Lista_CUIT[#All],2,0)),"CUIT NO CARGADO")</f>
        <v>-</v>
      </c>
      <c r="H1986" s="99">
        <f>ventas_b_mes1255[[#This Row],[TOTAL]]/1.21</f>
        <v>0</v>
      </c>
      <c r="I1986" s="64">
        <f>ventas_b_mes1255[[#This Row],[IMPORTE NETO]]*0.21</f>
        <v>0</v>
      </c>
      <c r="J1986" s="140"/>
      <c r="K1986" s="140"/>
      <c r="L1986" s="140"/>
      <c r="M1986" s="59"/>
    </row>
    <row r="1987" spans="2:13" x14ac:dyDescent="0.25">
      <c r="B1987" s="134"/>
      <c r="C1987" s="41"/>
      <c r="D1987" s="136"/>
      <c r="E1987" s="137"/>
      <c r="F1987" s="138"/>
      <c r="G1987" s="1" t="str">
        <f>IFERROR(IF(ventas_b_mes1255[[#This Row],[CUIT]]="","-",VLOOKUP(ventas_b_mes1255[[#This Row],[CUIT]],Lista_CUIT[#All],2,0)),"CUIT NO CARGADO")</f>
        <v>-</v>
      </c>
      <c r="H1987" s="99">
        <f>ventas_b_mes1255[[#This Row],[TOTAL]]/1.21</f>
        <v>0</v>
      </c>
      <c r="I1987" s="64">
        <f>ventas_b_mes1255[[#This Row],[IMPORTE NETO]]*0.21</f>
        <v>0</v>
      </c>
      <c r="J1987" s="140"/>
      <c r="K1987" s="140"/>
      <c r="L1987" s="140"/>
      <c r="M1987" s="59"/>
    </row>
    <row r="1988" spans="2:13" x14ac:dyDescent="0.25">
      <c r="B1988" s="134"/>
      <c r="C1988" s="41"/>
      <c r="D1988" s="136"/>
      <c r="E1988" s="137"/>
      <c r="F1988" s="138"/>
      <c r="G1988" s="1" t="str">
        <f>IFERROR(IF(ventas_b_mes1255[[#This Row],[CUIT]]="","-",VLOOKUP(ventas_b_mes1255[[#This Row],[CUIT]],Lista_CUIT[#All],2,0)),"CUIT NO CARGADO")</f>
        <v>-</v>
      </c>
      <c r="H1988" s="99">
        <f>ventas_b_mes1255[[#This Row],[TOTAL]]/1.21</f>
        <v>0</v>
      </c>
      <c r="I1988" s="64">
        <f>ventas_b_mes1255[[#This Row],[IMPORTE NETO]]*0.21</f>
        <v>0</v>
      </c>
      <c r="J1988" s="140"/>
      <c r="K1988" s="140"/>
      <c r="L1988" s="140"/>
      <c r="M1988" s="59"/>
    </row>
    <row r="1989" spans="2:13" x14ac:dyDescent="0.25">
      <c r="B1989" s="134"/>
      <c r="C1989" s="41"/>
      <c r="D1989" s="136"/>
      <c r="E1989" s="137"/>
      <c r="F1989" s="138"/>
      <c r="G1989" s="1" t="str">
        <f>IFERROR(IF(ventas_b_mes1255[[#This Row],[CUIT]]="","-",VLOOKUP(ventas_b_mes1255[[#This Row],[CUIT]],Lista_CUIT[#All],2,0)),"CUIT NO CARGADO")</f>
        <v>-</v>
      </c>
      <c r="H1989" s="99">
        <f>ventas_b_mes1255[[#This Row],[TOTAL]]/1.21</f>
        <v>0</v>
      </c>
      <c r="I1989" s="64">
        <f>ventas_b_mes1255[[#This Row],[IMPORTE NETO]]*0.21</f>
        <v>0</v>
      </c>
      <c r="J1989" s="140"/>
      <c r="K1989" s="140"/>
      <c r="L1989" s="140"/>
      <c r="M1989" s="59"/>
    </row>
    <row r="1990" spans="2:13" x14ac:dyDescent="0.25">
      <c r="B1990" s="134"/>
      <c r="C1990" s="41"/>
      <c r="D1990" s="136"/>
      <c r="E1990" s="137"/>
      <c r="F1990" s="138"/>
      <c r="G1990" s="1" t="str">
        <f>IFERROR(IF(ventas_b_mes1255[[#This Row],[CUIT]]="","-",VLOOKUP(ventas_b_mes1255[[#This Row],[CUIT]],Lista_CUIT[#All],2,0)),"CUIT NO CARGADO")</f>
        <v>-</v>
      </c>
      <c r="H1990" s="99">
        <f>ventas_b_mes1255[[#This Row],[TOTAL]]/1.21</f>
        <v>0</v>
      </c>
      <c r="I1990" s="64">
        <f>ventas_b_mes1255[[#This Row],[IMPORTE NETO]]*0.21</f>
        <v>0</v>
      </c>
      <c r="J1990" s="140"/>
      <c r="K1990" s="140"/>
      <c r="L1990" s="140"/>
      <c r="M1990" s="59"/>
    </row>
    <row r="1991" spans="2:13" x14ac:dyDescent="0.25">
      <c r="B1991" s="134"/>
      <c r="C1991" s="41"/>
      <c r="D1991" s="136"/>
      <c r="E1991" s="137"/>
      <c r="F1991" s="138"/>
      <c r="G1991" s="1" t="str">
        <f>IFERROR(IF(ventas_b_mes1255[[#This Row],[CUIT]]="","-",VLOOKUP(ventas_b_mes1255[[#This Row],[CUIT]],Lista_CUIT[#All],2,0)),"CUIT NO CARGADO")</f>
        <v>-</v>
      </c>
      <c r="H1991" s="99">
        <f>ventas_b_mes1255[[#This Row],[TOTAL]]/1.21</f>
        <v>0</v>
      </c>
      <c r="I1991" s="64">
        <f>ventas_b_mes1255[[#This Row],[IMPORTE NETO]]*0.21</f>
        <v>0</v>
      </c>
      <c r="J1991" s="140"/>
      <c r="K1991" s="140"/>
      <c r="L1991" s="140"/>
      <c r="M1991" s="59"/>
    </row>
    <row r="1992" spans="2:13" x14ac:dyDescent="0.25">
      <c r="B1992" s="134"/>
      <c r="C1992" s="41"/>
      <c r="D1992" s="136"/>
      <c r="E1992" s="137"/>
      <c r="F1992" s="138"/>
      <c r="G1992" s="1" t="str">
        <f>IFERROR(IF(ventas_b_mes1255[[#This Row],[CUIT]]="","-",VLOOKUP(ventas_b_mes1255[[#This Row],[CUIT]],Lista_CUIT[#All],2,0)),"CUIT NO CARGADO")</f>
        <v>-</v>
      </c>
      <c r="H1992" s="99">
        <f>ventas_b_mes1255[[#This Row],[TOTAL]]/1.21</f>
        <v>0</v>
      </c>
      <c r="I1992" s="64">
        <f>ventas_b_mes1255[[#This Row],[IMPORTE NETO]]*0.21</f>
        <v>0</v>
      </c>
      <c r="J1992" s="140"/>
      <c r="K1992" s="140"/>
      <c r="L1992" s="140"/>
      <c r="M1992" s="59"/>
    </row>
    <row r="1993" spans="2:13" x14ac:dyDescent="0.25">
      <c r="B1993" s="134"/>
      <c r="C1993" s="41"/>
      <c r="D1993" s="136"/>
      <c r="E1993" s="137"/>
      <c r="F1993" s="138"/>
      <c r="G1993" s="1" t="str">
        <f>IFERROR(IF(ventas_b_mes1255[[#This Row],[CUIT]]="","-",VLOOKUP(ventas_b_mes1255[[#This Row],[CUIT]],Lista_CUIT[#All],2,0)),"CUIT NO CARGADO")</f>
        <v>-</v>
      </c>
      <c r="H1993" s="99">
        <f>ventas_b_mes1255[[#This Row],[TOTAL]]/1.21</f>
        <v>0</v>
      </c>
      <c r="I1993" s="64">
        <f>ventas_b_mes1255[[#This Row],[IMPORTE NETO]]*0.21</f>
        <v>0</v>
      </c>
      <c r="J1993" s="140"/>
      <c r="K1993" s="140"/>
      <c r="L1993" s="140"/>
      <c r="M1993" s="59"/>
    </row>
    <row r="1994" spans="2:13" x14ac:dyDescent="0.25">
      <c r="B1994" s="134"/>
      <c r="C1994" s="41"/>
      <c r="D1994" s="136"/>
      <c r="E1994" s="137"/>
      <c r="F1994" s="138"/>
      <c r="G1994" s="1" t="str">
        <f>IFERROR(IF(ventas_b_mes1255[[#This Row],[CUIT]]="","-",VLOOKUP(ventas_b_mes1255[[#This Row],[CUIT]],Lista_CUIT[#All],2,0)),"CUIT NO CARGADO")</f>
        <v>-</v>
      </c>
      <c r="H1994" s="99">
        <f>ventas_b_mes1255[[#This Row],[TOTAL]]/1.21</f>
        <v>0</v>
      </c>
      <c r="I1994" s="64">
        <f>ventas_b_mes1255[[#This Row],[IMPORTE NETO]]*0.21</f>
        <v>0</v>
      </c>
      <c r="J1994" s="140"/>
      <c r="K1994" s="140"/>
      <c r="L1994" s="140"/>
      <c r="M1994" s="59"/>
    </row>
    <row r="1995" spans="2:13" x14ac:dyDescent="0.25">
      <c r="B1995" s="134"/>
      <c r="C1995" s="41"/>
      <c r="D1995" s="136"/>
      <c r="E1995" s="137"/>
      <c r="F1995" s="138"/>
      <c r="G1995" s="1" t="str">
        <f>IFERROR(IF(ventas_b_mes1255[[#This Row],[CUIT]]="","-",VLOOKUP(ventas_b_mes1255[[#This Row],[CUIT]],Lista_CUIT[#All],2,0)),"CUIT NO CARGADO")</f>
        <v>-</v>
      </c>
      <c r="H1995" s="99">
        <f>ventas_b_mes1255[[#This Row],[TOTAL]]/1.21</f>
        <v>0</v>
      </c>
      <c r="I1995" s="64">
        <f>ventas_b_mes1255[[#This Row],[IMPORTE NETO]]*0.21</f>
        <v>0</v>
      </c>
      <c r="J1995" s="140"/>
      <c r="K1995" s="140"/>
      <c r="L1995" s="140"/>
      <c r="M1995" s="59"/>
    </row>
    <row r="1996" spans="2:13" x14ac:dyDescent="0.25">
      <c r="B1996" s="134"/>
      <c r="C1996" s="41"/>
      <c r="D1996" s="136"/>
      <c r="E1996" s="137"/>
      <c r="F1996" s="138"/>
      <c r="G1996" s="1" t="str">
        <f>IFERROR(IF(ventas_b_mes1255[[#This Row],[CUIT]]="","-",VLOOKUP(ventas_b_mes1255[[#This Row],[CUIT]],Lista_CUIT[#All],2,0)),"CUIT NO CARGADO")</f>
        <v>-</v>
      </c>
      <c r="H1996" s="99">
        <f>ventas_b_mes1255[[#This Row],[TOTAL]]/1.21</f>
        <v>0</v>
      </c>
      <c r="I1996" s="64">
        <f>ventas_b_mes1255[[#This Row],[IMPORTE NETO]]*0.21</f>
        <v>0</v>
      </c>
      <c r="J1996" s="140"/>
      <c r="K1996" s="140"/>
      <c r="L1996" s="140"/>
      <c r="M1996" s="59"/>
    </row>
    <row r="1997" spans="2:13" x14ac:dyDescent="0.25">
      <c r="B1997" s="134"/>
      <c r="C1997" s="41"/>
      <c r="D1997" s="136"/>
      <c r="E1997" s="137"/>
      <c r="F1997" s="138"/>
      <c r="G1997" s="1" t="str">
        <f>IFERROR(IF(ventas_b_mes1255[[#This Row],[CUIT]]="","-",VLOOKUP(ventas_b_mes1255[[#This Row],[CUIT]],Lista_CUIT[#All],2,0)),"CUIT NO CARGADO")</f>
        <v>-</v>
      </c>
      <c r="H1997" s="99">
        <f>ventas_b_mes1255[[#This Row],[TOTAL]]/1.21</f>
        <v>0</v>
      </c>
      <c r="I1997" s="64">
        <f>ventas_b_mes1255[[#This Row],[IMPORTE NETO]]*0.21</f>
        <v>0</v>
      </c>
      <c r="J1997" s="140"/>
      <c r="K1997" s="140"/>
      <c r="L1997" s="140"/>
      <c r="M1997" s="59"/>
    </row>
    <row r="1998" spans="2:13" x14ac:dyDescent="0.25">
      <c r="B1998" s="134"/>
      <c r="C1998" s="41"/>
      <c r="D1998" s="136"/>
      <c r="E1998" s="137"/>
      <c r="F1998" s="138"/>
      <c r="G1998" s="1" t="str">
        <f>IFERROR(IF(ventas_b_mes1255[[#This Row],[CUIT]]="","-",VLOOKUP(ventas_b_mes1255[[#This Row],[CUIT]],Lista_CUIT[#All],2,0)),"CUIT NO CARGADO")</f>
        <v>-</v>
      </c>
      <c r="H1998" s="99">
        <f>ventas_b_mes1255[[#This Row],[TOTAL]]/1.21</f>
        <v>0</v>
      </c>
      <c r="I1998" s="64">
        <f>ventas_b_mes1255[[#This Row],[IMPORTE NETO]]*0.21</f>
        <v>0</v>
      </c>
      <c r="J1998" s="140"/>
      <c r="K1998" s="140"/>
      <c r="L1998" s="140"/>
      <c r="M1998" s="59"/>
    </row>
    <row r="1999" spans="2:13" x14ac:dyDescent="0.25">
      <c r="B1999" s="134"/>
      <c r="C1999" s="41"/>
      <c r="D1999" s="136"/>
      <c r="E1999" s="137"/>
      <c r="F1999" s="138"/>
      <c r="G1999" s="1" t="str">
        <f>IFERROR(IF(ventas_b_mes1255[[#This Row],[CUIT]]="","-",VLOOKUP(ventas_b_mes1255[[#This Row],[CUIT]],Lista_CUIT[#All],2,0)),"CUIT NO CARGADO")</f>
        <v>-</v>
      </c>
      <c r="H1999" s="99">
        <f>ventas_b_mes1255[[#This Row],[TOTAL]]/1.21</f>
        <v>0</v>
      </c>
      <c r="I1999" s="64">
        <f>ventas_b_mes1255[[#This Row],[IMPORTE NETO]]*0.21</f>
        <v>0</v>
      </c>
      <c r="J1999" s="140"/>
      <c r="K1999" s="140"/>
      <c r="L1999" s="140"/>
      <c r="M1999" s="59"/>
    </row>
    <row r="2000" spans="2:13" x14ac:dyDescent="0.25">
      <c r="B2000" s="134"/>
      <c r="C2000" s="41"/>
      <c r="D2000" s="136"/>
      <c r="E2000" s="137"/>
      <c r="F2000" s="138"/>
      <c r="G2000" s="1" t="str">
        <f>IFERROR(IF(ventas_b_mes1255[[#This Row],[CUIT]]="","-",VLOOKUP(ventas_b_mes1255[[#This Row],[CUIT]],Lista_CUIT[#All],2,0)),"CUIT NO CARGADO")</f>
        <v>-</v>
      </c>
      <c r="H2000" s="99">
        <f>ventas_b_mes1255[[#This Row],[TOTAL]]/1.21</f>
        <v>0</v>
      </c>
      <c r="I2000" s="64">
        <f>ventas_b_mes1255[[#This Row],[IMPORTE NETO]]*0.21</f>
        <v>0</v>
      </c>
      <c r="J2000" s="140"/>
      <c r="K2000" s="140"/>
      <c r="L2000" s="140"/>
      <c r="M2000" s="59"/>
    </row>
    <row r="2001" spans="2:13" x14ac:dyDescent="0.25">
      <c r="B2001" s="134"/>
      <c r="C2001" s="41"/>
      <c r="D2001" s="136"/>
      <c r="E2001" s="137"/>
      <c r="F2001" s="138"/>
      <c r="G2001" s="1" t="str">
        <f>IFERROR(IF(ventas_b_mes1255[[#This Row],[CUIT]]="","-",VLOOKUP(ventas_b_mes1255[[#This Row],[CUIT]],Lista_CUIT[#All],2,0)),"CUIT NO CARGADO")</f>
        <v>-</v>
      </c>
      <c r="H2001" s="99">
        <f>ventas_b_mes1255[[#This Row],[TOTAL]]/1.21</f>
        <v>0</v>
      </c>
      <c r="I2001" s="64">
        <f>ventas_b_mes1255[[#This Row],[IMPORTE NETO]]*0.21</f>
        <v>0</v>
      </c>
      <c r="J2001" s="140"/>
      <c r="K2001" s="140"/>
      <c r="L2001" s="140"/>
      <c r="M2001" s="59"/>
    </row>
    <row r="2002" spans="2:13" x14ac:dyDescent="0.25">
      <c r="B2002" s="134"/>
      <c r="C2002" s="41"/>
      <c r="D2002" s="136"/>
      <c r="E2002" s="137"/>
      <c r="F2002" s="138"/>
      <c r="G2002" s="1" t="str">
        <f>IFERROR(IF(ventas_b_mes1255[[#This Row],[CUIT]]="","-",VLOOKUP(ventas_b_mes1255[[#This Row],[CUIT]],Lista_CUIT[#All],2,0)),"CUIT NO CARGADO")</f>
        <v>-</v>
      </c>
      <c r="H2002" s="99">
        <f>ventas_b_mes1255[[#This Row],[TOTAL]]/1.21</f>
        <v>0</v>
      </c>
      <c r="I2002" s="64">
        <f>ventas_b_mes1255[[#This Row],[IMPORTE NETO]]*0.21</f>
        <v>0</v>
      </c>
      <c r="J2002" s="140"/>
      <c r="K2002" s="140"/>
      <c r="L2002" s="140"/>
      <c r="M2002" s="59"/>
    </row>
    <row r="2003" spans="2:13" x14ac:dyDescent="0.25">
      <c r="B2003" s="134"/>
      <c r="C2003" s="41"/>
      <c r="D2003" s="136"/>
      <c r="E2003" s="137"/>
      <c r="F2003" s="138"/>
      <c r="G2003" s="1" t="str">
        <f>IFERROR(IF(ventas_b_mes1255[[#This Row],[CUIT]]="","-",VLOOKUP(ventas_b_mes1255[[#This Row],[CUIT]],Lista_CUIT[#All],2,0)),"CUIT NO CARGADO")</f>
        <v>-</v>
      </c>
      <c r="H2003" s="99">
        <f>ventas_b_mes1255[[#This Row],[TOTAL]]/1.21</f>
        <v>0</v>
      </c>
      <c r="I2003" s="64">
        <f>ventas_b_mes1255[[#This Row],[IMPORTE NETO]]*0.21</f>
        <v>0</v>
      </c>
      <c r="J2003" s="140"/>
      <c r="K2003" s="140"/>
      <c r="L2003" s="140"/>
      <c r="M2003" s="59"/>
    </row>
    <row r="2004" spans="2:13" x14ac:dyDescent="0.25">
      <c r="B2004" s="134"/>
      <c r="C2004" s="41"/>
      <c r="D2004" s="136"/>
      <c r="E2004" s="137"/>
      <c r="F2004" s="138"/>
      <c r="G2004" s="1" t="str">
        <f>IFERROR(IF(ventas_b_mes1255[[#This Row],[CUIT]]="","-",VLOOKUP(ventas_b_mes1255[[#This Row],[CUIT]],Lista_CUIT[#All],2,0)),"CUIT NO CARGADO")</f>
        <v>-</v>
      </c>
      <c r="H2004" s="99">
        <f>ventas_b_mes1255[[#This Row],[TOTAL]]/1.21</f>
        <v>0</v>
      </c>
      <c r="I2004" s="64">
        <f>ventas_b_mes1255[[#This Row],[IMPORTE NETO]]*0.21</f>
        <v>0</v>
      </c>
      <c r="J2004" s="140"/>
      <c r="K2004" s="140"/>
      <c r="L2004" s="140"/>
      <c r="M2004" s="59"/>
    </row>
    <row r="2005" spans="2:13" x14ac:dyDescent="0.25">
      <c r="B2005" s="134"/>
      <c r="C2005" s="41"/>
      <c r="D2005" s="136"/>
      <c r="E2005" s="137"/>
      <c r="F2005" s="138"/>
      <c r="G2005" s="1" t="str">
        <f>IFERROR(IF(ventas_b_mes1255[[#This Row],[CUIT]]="","-",VLOOKUP(ventas_b_mes1255[[#This Row],[CUIT]],Lista_CUIT[#All],2,0)),"CUIT NO CARGADO")</f>
        <v>-</v>
      </c>
      <c r="H2005" s="99">
        <f>ventas_b_mes1255[[#This Row],[TOTAL]]/1.21</f>
        <v>0</v>
      </c>
      <c r="I2005" s="64">
        <f>ventas_b_mes1255[[#This Row],[IMPORTE NETO]]*0.21</f>
        <v>0</v>
      </c>
      <c r="J2005" s="140"/>
      <c r="K2005" s="140"/>
      <c r="L2005" s="140"/>
      <c r="M2005" s="59"/>
    </row>
    <row r="2006" spans="2:13" x14ac:dyDescent="0.25">
      <c r="B2006" s="134"/>
      <c r="C2006" s="41"/>
      <c r="D2006" s="136"/>
      <c r="E2006" s="137"/>
      <c r="F2006" s="138"/>
      <c r="G2006" s="1" t="str">
        <f>IFERROR(IF(ventas_b_mes1255[[#This Row],[CUIT]]="","-",VLOOKUP(ventas_b_mes1255[[#This Row],[CUIT]],Lista_CUIT[#All],2,0)),"CUIT NO CARGADO")</f>
        <v>-</v>
      </c>
      <c r="H2006" s="99">
        <f>ventas_b_mes1255[[#This Row],[TOTAL]]/1.21</f>
        <v>0</v>
      </c>
      <c r="I2006" s="64">
        <f>ventas_b_mes1255[[#This Row],[IMPORTE NETO]]*0.21</f>
        <v>0</v>
      </c>
      <c r="J2006" s="140"/>
      <c r="K2006" s="140"/>
      <c r="L2006" s="140"/>
      <c r="M2006" s="59"/>
    </row>
    <row r="2007" spans="2:13" x14ac:dyDescent="0.25">
      <c r="B2007" s="134"/>
      <c r="C2007" s="41"/>
      <c r="D2007" s="136"/>
      <c r="E2007" s="137"/>
      <c r="F2007" s="138"/>
      <c r="G2007" s="1" t="str">
        <f>IFERROR(IF(ventas_b_mes1255[[#This Row],[CUIT]]="","-",VLOOKUP(ventas_b_mes1255[[#This Row],[CUIT]],Lista_CUIT[#All],2,0)),"CUIT NO CARGADO")</f>
        <v>-</v>
      </c>
      <c r="H2007" s="99">
        <f>ventas_b_mes1255[[#This Row],[TOTAL]]/1.21</f>
        <v>0</v>
      </c>
      <c r="I2007" s="64">
        <f>ventas_b_mes1255[[#This Row],[IMPORTE NETO]]*0.21</f>
        <v>0</v>
      </c>
      <c r="J2007" s="140"/>
      <c r="K2007" s="140"/>
      <c r="L2007" s="140"/>
      <c r="M2007" s="59"/>
    </row>
    <row r="2008" spans="2:13" x14ac:dyDescent="0.25">
      <c r="B2008" s="134"/>
      <c r="C2008" s="41"/>
      <c r="D2008" s="136"/>
      <c r="E2008" s="137"/>
      <c r="F2008" s="138"/>
      <c r="G2008" s="1" t="str">
        <f>IFERROR(IF(ventas_b_mes1255[[#This Row],[CUIT]]="","-",VLOOKUP(ventas_b_mes1255[[#This Row],[CUIT]],Lista_CUIT[#All],2,0)),"CUIT NO CARGADO")</f>
        <v>-</v>
      </c>
      <c r="H2008" s="99">
        <f>ventas_b_mes1255[[#This Row],[TOTAL]]/1.21</f>
        <v>0</v>
      </c>
      <c r="I2008" s="64">
        <f>ventas_b_mes1255[[#This Row],[IMPORTE NETO]]*0.21</f>
        <v>0</v>
      </c>
      <c r="J2008" s="140"/>
      <c r="K2008" s="140"/>
      <c r="L2008" s="140"/>
      <c r="M2008" s="59"/>
    </row>
    <row r="2009" spans="2:13" x14ac:dyDescent="0.25">
      <c r="B2009" s="134"/>
      <c r="C2009" s="41"/>
      <c r="D2009" s="136"/>
      <c r="E2009" s="137"/>
      <c r="F2009" s="138"/>
      <c r="G2009" s="1" t="str">
        <f>IFERROR(IF(ventas_b_mes1255[[#This Row],[CUIT]]="","-",VLOOKUP(ventas_b_mes1255[[#This Row],[CUIT]],Lista_CUIT[#All],2,0)),"CUIT NO CARGADO")</f>
        <v>-</v>
      </c>
      <c r="H2009" s="99">
        <f>ventas_b_mes1255[[#This Row],[TOTAL]]/1.21</f>
        <v>0</v>
      </c>
      <c r="I2009" s="64">
        <f>ventas_b_mes1255[[#This Row],[IMPORTE NETO]]*0.21</f>
        <v>0</v>
      </c>
      <c r="J2009" s="140"/>
      <c r="K2009" s="140"/>
      <c r="L2009" s="140"/>
      <c r="M2009" s="59"/>
    </row>
    <row r="2010" spans="2:13" x14ac:dyDescent="0.25">
      <c r="B2010" s="134"/>
      <c r="C2010" s="41"/>
      <c r="D2010" s="136"/>
      <c r="E2010" s="137"/>
      <c r="F2010" s="138"/>
      <c r="G2010" s="1" t="str">
        <f>IFERROR(IF(ventas_b_mes1255[[#This Row],[CUIT]]="","-",VLOOKUP(ventas_b_mes1255[[#This Row],[CUIT]],Lista_CUIT[#All],2,0)),"CUIT NO CARGADO")</f>
        <v>-</v>
      </c>
      <c r="H2010" s="99">
        <f>ventas_b_mes1255[[#This Row],[TOTAL]]/1.21</f>
        <v>0</v>
      </c>
      <c r="I2010" s="64">
        <f>ventas_b_mes1255[[#This Row],[IMPORTE NETO]]*0.21</f>
        <v>0</v>
      </c>
      <c r="J2010" s="140"/>
      <c r="K2010" s="140"/>
      <c r="L2010" s="140"/>
      <c r="M2010" s="59"/>
    </row>
    <row r="2011" spans="2:13" x14ac:dyDescent="0.25">
      <c r="B2011" s="134"/>
      <c r="C2011" s="41"/>
      <c r="D2011" s="136"/>
      <c r="E2011" s="137"/>
      <c r="F2011" s="138"/>
      <c r="G2011" s="1" t="str">
        <f>IFERROR(IF(ventas_b_mes1255[[#This Row],[CUIT]]="","-",VLOOKUP(ventas_b_mes1255[[#This Row],[CUIT]],Lista_CUIT[#All],2,0)),"CUIT NO CARGADO")</f>
        <v>-</v>
      </c>
      <c r="H2011" s="99">
        <f>ventas_b_mes1255[[#This Row],[TOTAL]]/1.21</f>
        <v>0</v>
      </c>
      <c r="I2011" s="64">
        <f>ventas_b_mes1255[[#This Row],[IMPORTE NETO]]*0.21</f>
        <v>0</v>
      </c>
      <c r="J2011" s="140"/>
      <c r="K2011" s="140"/>
      <c r="L2011" s="140"/>
      <c r="M2011" s="59"/>
    </row>
    <row r="2012" spans="2:13" x14ac:dyDescent="0.25">
      <c r="B2012" s="134"/>
      <c r="C2012" s="41"/>
      <c r="D2012" s="136"/>
      <c r="E2012" s="137"/>
      <c r="F2012" s="138"/>
      <c r="G2012" s="1" t="str">
        <f>IFERROR(IF(ventas_b_mes1255[[#This Row],[CUIT]]="","-",VLOOKUP(ventas_b_mes1255[[#This Row],[CUIT]],Lista_CUIT[#All],2,0)),"CUIT NO CARGADO")</f>
        <v>-</v>
      </c>
      <c r="H2012" s="99">
        <f>ventas_b_mes1255[[#This Row],[TOTAL]]/1.21</f>
        <v>0</v>
      </c>
      <c r="I2012" s="64">
        <f>ventas_b_mes1255[[#This Row],[IMPORTE NETO]]*0.21</f>
        <v>0</v>
      </c>
      <c r="J2012" s="140"/>
      <c r="K2012" s="140"/>
      <c r="L2012" s="140"/>
      <c r="M2012" s="59"/>
    </row>
    <row r="2013" spans="2:13" x14ac:dyDescent="0.25">
      <c r="B2013" s="134"/>
      <c r="C2013" s="41"/>
      <c r="D2013" s="136"/>
      <c r="E2013" s="137"/>
      <c r="F2013" s="138"/>
      <c r="G2013" s="1" t="str">
        <f>IFERROR(IF(ventas_b_mes1255[[#This Row],[CUIT]]="","-",VLOOKUP(ventas_b_mes1255[[#This Row],[CUIT]],Lista_CUIT[#All],2,0)),"CUIT NO CARGADO")</f>
        <v>-</v>
      </c>
      <c r="H2013" s="99">
        <f>ventas_b_mes1255[[#This Row],[TOTAL]]/1.21</f>
        <v>0</v>
      </c>
      <c r="I2013" s="64">
        <f>ventas_b_mes1255[[#This Row],[IMPORTE NETO]]*0.21</f>
        <v>0</v>
      </c>
      <c r="J2013" s="140"/>
      <c r="K2013" s="140"/>
      <c r="L2013" s="140"/>
      <c r="M2013" s="59"/>
    </row>
    <row r="2014" spans="2:13" x14ac:dyDescent="0.25">
      <c r="B2014" s="134"/>
      <c r="C2014" s="41"/>
      <c r="D2014" s="136"/>
      <c r="E2014" s="137"/>
      <c r="F2014" s="138"/>
      <c r="G2014" s="1" t="str">
        <f>IFERROR(IF(ventas_b_mes1255[[#This Row],[CUIT]]="","-",VLOOKUP(ventas_b_mes1255[[#This Row],[CUIT]],Lista_CUIT[#All],2,0)),"CUIT NO CARGADO")</f>
        <v>-</v>
      </c>
      <c r="H2014" s="99">
        <f>ventas_b_mes1255[[#This Row],[TOTAL]]/1.21</f>
        <v>0</v>
      </c>
      <c r="I2014" s="64">
        <f>ventas_b_mes1255[[#This Row],[IMPORTE NETO]]*0.21</f>
        <v>0</v>
      </c>
      <c r="J2014" s="140"/>
      <c r="K2014" s="140"/>
      <c r="L2014" s="140"/>
      <c r="M2014" s="59"/>
    </row>
    <row r="2015" spans="2:13" x14ac:dyDescent="0.25">
      <c r="B2015" s="134"/>
      <c r="C2015" s="41"/>
      <c r="D2015" s="136"/>
      <c r="E2015" s="137"/>
      <c r="F2015" s="138"/>
      <c r="G2015" s="1" t="str">
        <f>IFERROR(IF(ventas_b_mes1255[[#This Row],[CUIT]]="","-",VLOOKUP(ventas_b_mes1255[[#This Row],[CUIT]],Lista_CUIT[#All],2,0)),"CUIT NO CARGADO")</f>
        <v>-</v>
      </c>
      <c r="H2015" s="99">
        <f>ventas_b_mes1255[[#This Row],[TOTAL]]/1.21</f>
        <v>0</v>
      </c>
      <c r="I2015" s="64">
        <f>ventas_b_mes1255[[#This Row],[IMPORTE NETO]]*0.21</f>
        <v>0</v>
      </c>
      <c r="J2015" s="140"/>
      <c r="K2015" s="140"/>
      <c r="L2015" s="140"/>
      <c r="M2015" s="59"/>
    </row>
    <row r="2016" spans="2:13" x14ac:dyDescent="0.25">
      <c r="B2016" s="134"/>
      <c r="C2016" s="41"/>
      <c r="D2016" s="136"/>
      <c r="E2016" s="137"/>
      <c r="F2016" s="138"/>
      <c r="G2016" s="1" t="str">
        <f>IFERROR(IF(ventas_b_mes1255[[#This Row],[CUIT]]="","-",VLOOKUP(ventas_b_mes1255[[#This Row],[CUIT]],Lista_CUIT[#All],2,0)),"CUIT NO CARGADO")</f>
        <v>-</v>
      </c>
      <c r="H2016" s="99">
        <f>ventas_b_mes1255[[#This Row],[TOTAL]]/1.21</f>
        <v>0</v>
      </c>
      <c r="I2016" s="64">
        <f>ventas_b_mes1255[[#This Row],[IMPORTE NETO]]*0.21</f>
        <v>0</v>
      </c>
      <c r="J2016" s="140"/>
      <c r="K2016" s="140"/>
      <c r="L2016" s="140"/>
      <c r="M2016" s="59"/>
    </row>
    <row r="2017" spans="2:13" x14ac:dyDescent="0.25">
      <c r="B2017" s="134"/>
      <c r="C2017" s="41"/>
      <c r="D2017" s="136"/>
      <c r="E2017" s="137"/>
      <c r="F2017" s="138"/>
      <c r="G2017" s="1" t="str">
        <f>IFERROR(IF(ventas_b_mes1255[[#This Row],[CUIT]]="","-",VLOOKUP(ventas_b_mes1255[[#This Row],[CUIT]],Lista_CUIT[#All],2,0)),"CUIT NO CARGADO")</f>
        <v>-</v>
      </c>
      <c r="H2017" s="99">
        <f>ventas_b_mes1255[[#This Row],[TOTAL]]/1.21</f>
        <v>0</v>
      </c>
      <c r="I2017" s="64">
        <f>ventas_b_mes1255[[#This Row],[IMPORTE NETO]]*0.21</f>
        <v>0</v>
      </c>
      <c r="J2017" s="140"/>
      <c r="K2017" s="140"/>
      <c r="L2017" s="140"/>
      <c r="M2017" s="59"/>
    </row>
    <row r="2018" spans="2:13" x14ac:dyDescent="0.25">
      <c r="B2018" s="134"/>
      <c r="C2018" s="41"/>
      <c r="D2018" s="136"/>
      <c r="E2018" s="137"/>
      <c r="F2018" s="138"/>
      <c r="G2018" s="1" t="str">
        <f>IFERROR(IF(ventas_b_mes1255[[#This Row],[CUIT]]="","-",VLOOKUP(ventas_b_mes1255[[#This Row],[CUIT]],Lista_CUIT[#All],2,0)),"CUIT NO CARGADO")</f>
        <v>-</v>
      </c>
      <c r="H2018" s="99">
        <f>ventas_b_mes1255[[#This Row],[TOTAL]]/1.21</f>
        <v>0</v>
      </c>
      <c r="I2018" s="64">
        <f>ventas_b_mes1255[[#This Row],[IMPORTE NETO]]*0.21</f>
        <v>0</v>
      </c>
      <c r="J2018" s="140"/>
      <c r="K2018" s="140"/>
      <c r="L2018" s="140"/>
      <c r="M2018" s="59"/>
    </row>
    <row r="2019" spans="2:13" x14ac:dyDescent="0.25">
      <c r="B2019" s="134"/>
      <c r="C2019" s="41"/>
      <c r="D2019" s="136"/>
      <c r="E2019" s="137"/>
      <c r="F2019" s="138"/>
      <c r="G2019" s="1" t="str">
        <f>IFERROR(IF(ventas_b_mes1255[[#This Row],[CUIT]]="","-",VLOOKUP(ventas_b_mes1255[[#This Row],[CUIT]],Lista_CUIT[#All],2,0)),"CUIT NO CARGADO")</f>
        <v>-</v>
      </c>
      <c r="H2019" s="99">
        <f>ventas_b_mes1255[[#This Row],[TOTAL]]/1.21</f>
        <v>0</v>
      </c>
      <c r="I2019" s="64">
        <f>ventas_b_mes1255[[#This Row],[IMPORTE NETO]]*0.21</f>
        <v>0</v>
      </c>
      <c r="J2019" s="140"/>
      <c r="K2019" s="140"/>
      <c r="L2019" s="140"/>
      <c r="M2019" s="59"/>
    </row>
    <row r="2020" spans="2:13" x14ac:dyDescent="0.25">
      <c r="B2020" s="134"/>
      <c r="C2020" s="41"/>
      <c r="D2020" s="136"/>
      <c r="E2020" s="137"/>
      <c r="F2020" s="138"/>
      <c r="G2020" s="1" t="str">
        <f>IFERROR(IF(ventas_b_mes1255[[#This Row],[CUIT]]="","-",VLOOKUP(ventas_b_mes1255[[#This Row],[CUIT]],Lista_CUIT[#All],2,0)),"CUIT NO CARGADO")</f>
        <v>-</v>
      </c>
      <c r="H2020" s="99">
        <f>ventas_b_mes1255[[#This Row],[TOTAL]]/1.21</f>
        <v>0</v>
      </c>
      <c r="I2020" s="64">
        <f>ventas_b_mes1255[[#This Row],[IMPORTE NETO]]*0.21</f>
        <v>0</v>
      </c>
      <c r="J2020" s="140"/>
      <c r="K2020" s="140"/>
      <c r="L2020" s="140"/>
      <c r="M2020" s="59"/>
    </row>
    <row r="2021" spans="2:13" x14ac:dyDescent="0.25">
      <c r="B2021" s="134"/>
      <c r="C2021" s="41"/>
      <c r="D2021" s="136"/>
      <c r="E2021" s="137"/>
      <c r="F2021" s="138"/>
      <c r="G2021" s="1" t="str">
        <f>IFERROR(IF(ventas_b_mes1255[[#This Row],[CUIT]]="","-",VLOOKUP(ventas_b_mes1255[[#This Row],[CUIT]],Lista_CUIT[#All],2,0)),"CUIT NO CARGADO")</f>
        <v>-</v>
      </c>
      <c r="H2021" s="99">
        <f>ventas_b_mes1255[[#This Row],[TOTAL]]/1.21</f>
        <v>0</v>
      </c>
      <c r="I2021" s="64">
        <f>ventas_b_mes1255[[#This Row],[IMPORTE NETO]]*0.21</f>
        <v>0</v>
      </c>
      <c r="J2021" s="140"/>
      <c r="K2021" s="140"/>
      <c r="L2021" s="140"/>
      <c r="M2021" s="59"/>
    </row>
    <row r="2022" spans="2:13" x14ac:dyDescent="0.25">
      <c r="B2022" s="134"/>
      <c r="C2022" s="41"/>
      <c r="D2022" s="136"/>
      <c r="E2022" s="137"/>
      <c r="F2022" s="138"/>
      <c r="G2022" s="1" t="str">
        <f>IFERROR(IF(ventas_b_mes1255[[#This Row],[CUIT]]="","-",VLOOKUP(ventas_b_mes1255[[#This Row],[CUIT]],Lista_CUIT[#All],2,0)),"CUIT NO CARGADO")</f>
        <v>-</v>
      </c>
      <c r="H2022" s="99">
        <f>ventas_b_mes1255[[#This Row],[TOTAL]]/1.21</f>
        <v>0</v>
      </c>
      <c r="I2022" s="64">
        <f>ventas_b_mes1255[[#This Row],[IMPORTE NETO]]*0.21</f>
        <v>0</v>
      </c>
      <c r="J2022" s="140"/>
      <c r="K2022" s="140"/>
      <c r="L2022" s="140"/>
      <c r="M2022" s="59"/>
    </row>
    <row r="2023" spans="2:13" x14ac:dyDescent="0.25">
      <c r="B2023" s="134"/>
      <c r="C2023" s="41"/>
      <c r="D2023" s="136"/>
      <c r="E2023" s="137"/>
      <c r="F2023" s="138"/>
      <c r="G2023" s="1" t="str">
        <f>IFERROR(IF(ventas_b_mes1255[[#This Row],[CUIT]]="","-",VLOOKUP(ventas_b_mes1255[[#This Row],[CUIT]],Lista_CUIT[#All],2,0)),"CUIT NO CARGADO")</f>
        <v>-</v>
      </c>
      <c r="H2023" s="99">
        <f>ventas_b_mes1255[[#This Row],[TOTAL]]/1.21</f>
        <v>0</v>
      </c>
      <c r="I2023" s="64">
        <f>ventas_b_mes1255[[#This Row],[IMPORTE NETO]]*0.21</f>
        <v>0</v>
      </c>
      <c r="J2023" s="140"/>
      <c r="K2023" s="140"/>
      <c r="L2023" s="140"/>
      <c r="M2023" s="59"/>
    </row>
    <row r="2024" spans="2:13" x14ac:dyDescent="0.25">
      <c r="B2024" s="134"/>
      <c r="C2024" s="41"/>
      <c r="D2024" s="136"/>
      <c r="E2024" s="137"/>
      <c r="F2024" s="138"/>
      <c r="G2024" s="1" t="str">
        <f>IFERROR(IF(ventas_b_mes1255[[#This Row],[CUIT]]="","-",VLOOKUP(ventas_b_mes1255[[#This Row],[CUIT]],Lista_CUIT[#All],2,0)),"CUIT NO CARGADO")</f>
        <v>-</v>
      </c>
      <c r="H2024" s="99">
        <f>ventas_b_mes1255[[#This Row],[TOTAL]]/1.21</f>
        <v>0</v>
      </c>
      <c r="I2024" s="64">
        <f>ventas_b_mes1255[[#This Row],[IMPORTE NETO]]*0.21</f>
        <v>0</v>
      </c>
      <c r="J2024" s="140"/>
      <c r="K2024" s="140"/>
      <c r="L2024" s="140"/>
      <c r="M2024" s="59"/>
    </row>
    <row r="2025" spans="2:13" x14ac:dyDescent="0.25">
      <c r="B2025" s="134"/>
      <c r="C2025" s="41"/>
      <c r="D2025" s="136"/>
      <c r="E2025" s="137"/>
      <c r="F2025" s="138"/>
      <c r="G2025" s="1" t="str">
        <f>IFERROR(IF(ventas_b_mes1255[[#This Row],[CUIT]]="","-",VLOOKUP(ventas_b_mes1255[[#This Row],[CUIT]],Lista_CUIT[#All],2,0)),"CUIT NO CARGADO")</f>
        <v>-</v>
      </c>
      <c r="H2025" s="99">
        <f>ventas_b_mes1255[[#This Row],[TOTAL]]/1.21</f>
        <v>0</v>
      </c>
      <c r="I2025" s="64">
        <f>ventas_b_mes1255[[#This Row],[IMPORTE NETO]]*0.21</f>
        <v>0</v>
      </c>
      <c r="J2025" s="140"/>
      <c r="K2025" s="140"/>
      <c r="L2025" s="140"/>
      <c r="M2025" s="59"/>
    </row>
    <row r="2026" spans="2:13" x14ac:dyDescent="0.25">
      <c r="B2026" s="134"/>
      <c r="C2026" s="41"/>
      <c r="D2026" s="136"/>
      <c r="E2026" s="137"/>
      <c r="F2026" s="138"/>
      <c r="G2026" s="1" t="str">
        <f>IFERROR(IF(ventas_b_mes1255[[#This Row],[CUIT]]="","-",VLOOKUP(ventas_b_mes1255[[#This Row],[CUIT]],Lista_CUIT[#All],2,0)),"CUIT NO CARGADO")</f>
        <v>-</v>
      </c>
      <c r="H2026" s="99">
        <f>ventas_b_mes1255[[#This Row],[TOTAL]]/1.21</f>
        <v>0</v>
      </c>
      <c r="I2026" s="64">
        <f>ventas_b_mes1255[[#This Row],[IMPORTE NETO]]*0.21</f>
        <v>0</v>
      </c>
      <c r="J2026" s="140"/>
      <c r="K2026" s="140"/>
      <c r="L2026" s="140"/>
      <c r="M2026" s="59"/>
    </row>
    <row r="2027" spans="2:13" x14ac:dyDescent="0.25">
      <c r="B2027" s="134"/>
      <c r="C2027" s="41"/>
      <c r="D2027" s="136"/>
      <c r="E2027" s="137"/>
      <c r="F2027" s="138"/>
      <c r="G2027" s="1" t="str">
        <f>IFERROR(IF(ventas_b_mes1255[[#This Row],[CUIT]]="","-",VLOOKUP(ventas_b_mes1255[[#This Row],[CUIT]],Lista_CUIT[#All],2,0)),"CUIT NO CARGADO")</f>
        <v>-</v>
      </c>
      <c r="H2027" s="99">
        <f>ventas_b_mes1255[[#This Row],[TOTAL]]/1.21</f>
        <v>0</v>
      </c>
      <c r="I2027" s="64">
        <f>ventas_b_mes1255[[#This Row],[IMPORTE NETO]]*0.21</f>
        <v>0</v>
      </c>
      <c r="J2027" s="140"/>
      <c r="K2027" s="140"/>
      <c r="L2027" s="140"/>
      <c r="M2027" s="59"/>
    </row>
    <row r="2028" spans="2:13" x14ac:dyDescent="0.25">
      <c r="B2028" s="134"/>
      <c r="C2028" s="41"/>
      <c r="D2028" s="136"/>
      <c r="E2028" s="137"/>
      <c r="F2028" s="138"/>
      <c r="G2028" s="1" t="str">
        <f>IFERROR(IF(ventas_b_mes1255[[#This Row],[CUIT]]="","-",VLOOKUP(ventas_b_mes1255[[#This Row],[CUIT]],Lista_CUIT[#All],2,0)),"CUIT NO CARGADO")</f>
        <v>-</v>
      </c>
      <c r="H2028" s="99">
        <f>ventas_b_mes1255[[#This Row],[TOTAL]]/1.21</f>
        <v>0</v>
      </c>
      <c r="I2028" s="64">
        <f>ventas_b_mes1255[[#This Row],[IMPORTE NETO]]*0.21</f>
        <v>0</v>
      </c>
      <c r="J2028" s="140"/>
      <c r="K2028" s="140"/>
      <c r="L2028" s="140"/>
      <c r="M2028" s="59"/>
    </row>
    <row r="2029" spans="2:13" x14ac:dyDescent="0.25">
      <c r="B2029" s="134"/>
      <c r="C2029" s="41"/>
      <c r="D2029" s="136"/>
      <c r="E2029" s="137"/>
      <c r="F2029" s="138"/>
      <c r="G2029" s="1" t="str">
        <f>IFERROR(IF(ventas_b_mes1255[[#This Row],[CUIT]]="","-",VLOOKUP(ventas_b_mes1255[[#This Row],[CUIT]],Lista_CUIT[#All],2,0)),"CUIT NO CARGADO")</f>
        <v>-</v>
      </c>
      <c r="H2029" s="99">
        <f>ventas_b_mes1255[[#This Row],[TOTAL]]/1.21</f>
        <v>0</v>
      </c>
      <c r="I2029" s="64">
        <f>ventas_b_mes1255[[#This Row],[IMPORTE NETO]]*0.21</f>
        <v>0</v>
      </c>
      <c r="J2029" s="140"/>
      <c r="K2029" s="140"/>
      <c r="L2029" s="140"/>
      <c r="M2029" s="59"/>
    </row>
    <row r="2030" spans="2:13" x14ac:dyDescent="0.25">
      <c r="B2030" s="134"/>
      <c r="C2030" s="41"/>
      <c r="D2030" s="136"/>
      <c r="E2030" s="137"/>
      <c r="F2030" s="138"/>
      <c r="G2030" s="1" t="str">
        <f>IFERROR(IF(ventas_b_mes1255[[#This Row],[CUIT]]="","-",VLOOKUP(ventas_b_mes1255[[#This Row],[CUIT]],Lista_CUIT[#All],2,0)),"CUIT NO CARGADO")</f>
        <v>-</v>
      </c>
      <c r="H2030" s="99">
        <f>ventas_b_mes1255[[#This Row],[TOTAL]]/1.21</f>
        <v>0</v>
      </c>
      <c r="I2030" s="64">
        <f>ventas_b_mes1255[[#This Row],[IMPORTE NETO]]*0.21</f>
        <v>0</v>
      </c>
      <c r="J2030" s="140"/>
      <c r="K2030" s="140"/>
      <c r="L2030" s="140"/>
      <c r="M2030" s="59"/>
    </row>
    <row r="2031" spans="2:13" x14ac:dyDescent="0.25">
      <c r="B2031" s="134"/>
      <c r="C2031" s="41"/>
      <c r="D2031" s="136"/>
      <c r="E2031" s="137"/>
      <c r="F2031" s="138"/>
      <c r="G2031" s="1" t="str">
        <f>IFERROR(IF(ventas_b_mes1255[[#This Row],[CUIT]]="","-",VLOOKUP(ventas_b_mes1255[[#This Row],[CUIT]],Lista_CUIT[#All],2,0)),"CUIT NO CARGADO")</f>
        <v>-</v>
      </c>
      <c r="H2031" s="99">
        <f>ventas_b_mes1255[[#This Row],[TOTAL]]/1.21</f>
        <v>0</v>
      </c>
      <c r="I2031" s="64">
        <f>ventas_b_mes1255[[#This Row],[IMPORTE NETO]]*0.21</f>
        <v>0</v>
      </c>
      <c r="J2031" s="140"/>
      <c r="K2031" s="140"/>
      <c r="L2031" s="140"/>
      <c r="M2031" s="59"/>
    </row>
    <row r="2032" spans="2:13" x14ac:dyDescent="0.25">
      <c r="B2032" s="134"/>
      <c r="C2032" s="41"/>
      <c r="D2032" s="136"/>
      <c r="E2032" s="137"/>
      <c r="F2032" s="138"/>
      <c r="G2032" s="1" t="str">
        <f>IFERROR(IF(ventas_b_mes1255[[#This Row],[CUIT]]="","-",VLOOKUP(ventas_b_mes1255[[#This Row],[CUIT]],Lista_CUIT[#All],2,0)),"CUIT NO CARGADO")</f>
        <v>-</v>
      </c>
      <c r="H2032" s="99">
        <f>ventas_b_mes1255[[#This Row],[TOTAL]]/1.21</f>
        <v>0</v>
      </c>
      <c r="I2032" s="64">
        <f>ventas_b_mes1255[[#This Row],[IMPORTE NETO]]*0.21</f>
        <v>0</v>
      </c>
      <c r="J2032" s="140"/>
      <c r="K2032" s="140"/>
      <c r="L2032" s="140"/>
      <c r="M2032" s="59"/>
    </row>
    <row r="2033" spans="2:13" x14ac:dyDescent="0.25">
      <c r="B2033" s="134"/>
      <c r="C2033" s="41"/>
      <c r="D2033" s="136"/>
      <c r="E2033" s="137"/>
      <c r="F2033" s="138"/>
      <c r="G2033" s="1" t="str">
        <f>IFERROR(IF(ventas_b_mes1255[[#This Row],[CUIT]]="","-",VLOOKUP(ventas_b_mes1255[[#This Row],[CUIT]],Lista_CUIT[#All],2,0)),"CUIT NO CARGADO")</f>
        <v>-</v>
      </c>
      <c r="H2033" s="99">
        <f>ventas_b_mes1255[[#This Row],[TOTAL]]/1.21</f>
        <v>0</v>
      </c>
      <c r="I2033" s="64">
        <f>ventas_b_mes1255[[#This Row],[IMPORTE NETO]]*0.21</f>
        <v>0</v>
      </c>
      <c r="J2033" s="140"/>
      <c r="K2033" s="140"/>
      <c r="L2033" s="140"/>
      <c r="M2033" s="59"/>
    </row>
    <row r="2034" spans="2:13" x14ac:dyDescent="0.25">
      <c r="B2034" s="134"/>
      <c r="C2034" s="41"/>
      <c r="D2034" s="136"/>
      <c r="E2034" s="137"/>
      <c r="F2034" s="138"/>
      <c r="G2034" s="1" t="str">
        <f>IFERROR(IF(ventas_b_mes1255[[#This Row],[CUIT]]="","-",VLOOKUP(ventas_b_mes1255[[#This Row],[CUIT]],Lista_CUIT[#All],2,0)),"CUIT NO CARGADO")</f>
        <v>-</v>
      </c>
      <c r="H2034" s="99">
        <f>ventas_b_mes1255[[#This Row],[TOTAL]]/1.21</f>
        <v>0</v>
      </c>
      <c r="I2034" s="64">
        <f>ventas_b_mes1255[[#This Row],[IMPORTE NETO]]*0.21</f>
        <v>0</v>
      </c>
      <c r="J2034" s="140"/>
      <c r="K2034" s="140"/>
      <c r="L2034" s="140"/>
      <c r="M2034" s="59"/>
    </row>
    <row r="2035" spans="2:13" x14ac:dyDescent="0.25">
      <c r="B2035" s="134"/>
      <c r="C2035" s="41"/>
      <c r="D2035" s="136"/>
      <c r="E2035" s="137"/>
      <c r="F2035" s="138"/>
      <c r="G2035" s="1" t="str">
        <f>IFERROR(IF(ventas_b_mes1255[[#This Row],[CUIT]]="","-",VLOOKUP(ventas_b_mes1255[[#This Row],[CUIT]],Lista_CUIT[#All],2,0)),"CUIT NO CARGADO")</f>
        <v>-</v>
      </c>
      <c r="H2035" s="99">
        <f>ventas_b_mes1255[[#This Row],[TOTAL]]/1.21</f>
        <v>0</v>
      </c>
      <c r="I2035" s="64">
        <f>ventas_b_mes1255[[#This Row],[IMPORTE NETO]]*0.21</f>
        <v>0</v>
      </c>
      <c r="J2035" s="140"/>
      <c r="K2035" s="140"/>
      <c r="L2035" s="140"/>
      <c r="M2035" s="59"/>
    </row>
    <row r="2036" spans="2:13" x14ac:dyDescent="0.25">
      <c r="B2036" s="134"/>
      <c r="C2036" s="41"/>
      <c r="D2036" s="136"/>
      <c r="E2036" s="137"/>
      <c r="F2036" s="138"/>
      <c r="G2036" s="1" t="str">
        <f>IFERROR(IF(ventas_b_mes1255[[#This Row],[CUIT]]="","-",VLOOKUP(ventas_b_mes1255[[#This Row],[CUIT]],Lista_CUIT[#All],2,0)),"CUIT NO CARGADO")</f>
        <v>-</v>
      </c>
      <c r="H2036" s="99">
        <f>ventas_b_mes1255[[#This Row],[TOTAL]]/1.21</f>
        <v>0</v>
      </c>
      <c r="I2036" s="64">
        <f>ventas_b_mes1255[[#This Row],[IMPORTE NETO]]*0.21</f>
        <v>0</v>
      </c>
      <c r="J2036" s="140"/>
      <c r="K2036" s="140"/>
      <c r="L2036" s="140"/>
      <c r="M2036" s="59"/>
    </row>
    <row r="2037" spans="2:13" x14ac:dyDescent="0.25">
      <c r="B2037" s="134"/>
      <c r="C2037" s="41"/>
      <c r="D2037" s="136"/>
      <c r="E2037" s="137"/>
      <c r="F2037" s="138"/>
      <c r="G2037" s="1" t="str">
        <f>IFERROR(IF(ventas_b_mes1255[[#This Row],[CUIT]]="","-",VLOOKUP(ventas_b_mes1255[[#This Row],[CUIT]],Lista_CUIT[#All],2,0)),"CUIT NO CARGADO")</f>
        <v>-</v>
      </c>
      <c r="H2037" s="99">
        <f>ventas_b_mes1255[[#This Row],[TOTAL]]/1.21</f>
        <v>0</v>
      </c>
      <c r="I2037" s="64">
        <f>ventas_b_mes1255[[#This Row],[IMPORTE NETO]]*0.21</f>
        <v>0</v>
      </c>
      <c r="J2037" s="140"/>
      <c r="K2037" s="140"/>
      <c r="L2037" s="140"/>
      <c r="M2037" s="59"/>
    </row>
    <row r="2038" spans="2:13" x14ac:dyDescent="0.25">
      <c r="B2038" s="134"/>
      <c r="C2038" s="41"/>
      <c r="D2038" s="136"/>
      <c r="E2038" s="137"/>
      <c r="F2038" s="138"/>
      <c r="G2038" s="1" t="str">
        <f>IFERROR(IF(ventas_b_mes1255[[#This Row],[CUIT]]="","-",VLOOKUP(ventas_b_mes1255[[#This Row],[CUIT]],Lista_CUIT[#All],2,0)),"CUIT NO CARGADO")</f>
        <v>-</v>
      </c>
      <c r="H2038" s="99">
        <f>ventas_b_mes1255[[#This Row],[TOTAL]]/1.21</f>
        <v>0</v>
      </c>
      <c r="I2038" s="64">
        <f>ventas_b_mes1255[[#This Row],[IMPORTE NETO]]*0.21</f>
        <v>0</v>
      </c>
      <c r="J2038" s="140"/>
      <c r="K2038" s="140"/>
      <c r="L2038" s="140"/>
      <c r="M2038" s="59"/>
    </row>
    <row r="2039" spans="2:13" x14ac:dyDescent="0.25">
      <c r="B2039" s="134"/>
      <c r="C2039" s="41"/>
      <c r="D2039" s="136"/>
      <c r="E2039" s="137"/>
      <c r="F2039" s="138"/>
      <c r="G2039" s="1" t="str">
        <f>IFERROR(IF(ventas_b_mes1255[[#This Row],[CUIT]]="","-",VLOOKUP(ventas_b_mes1255[[#This Row],[CUIT]],Lista_CUIT[#All],2,0)),"CUIT NO CARGADO")</f>
        <v>-</v>
      </c>
      <c r="H2039" s="99">
        <f>ventas_b_mes1255[[#This Row],[TOTAL]]/1.21</f>
        <v>0</v>
      </c>
      <c r="I2039" s="64">
        <f>ventas_b_mes1255[[#This Row],[IMPORTE NETO]]*0.21</f>
        <v>0</v>
      </c>
      <c r="J2039" s="140"/>
      <c r="K2039" s="140"/>
      <c r="L2039" s="140"/>
      <c r="M2039" s="59"/>
    </row>
    <row r="2040" spans="2:13" x14ac:dyDescent="0.25">
      <c r="B2040" s="134"/>
      <c r="C2040" s="41"/>
      <c r="D2040" s="136"/>
      <c r="E2040" s="137"/>
      <c r="F2040" s="138"/>
      <c r="G2040" s="1" t="str">
        <f>IFERROR(IF(ventas_b_mes1255[[#This Row],[CUIT]]="","-",VLOOKUP(ventas_b_mes1255[[#This Row],[CUIT]],Lista_CUIT[#All],2,0)),"CUIT NO CARGADO")</f>
        <v>-</v>
      </c>
      <c r="H2040" s="99">
        <f>ventas_b_mes1255[[#This Row],[TOTAL]]/1.21</f>
        <v>0</v>
      </c>
      <c r="I2040" s="64">
        <f>ventas_b_mes1255[[#This Row],[IMPORTE NETO]]*0.21</f>
        <v>0</v>
      </c>
      <c r="J2040" s="140"/>
      <c r="K2040" s="140"/>
      <c r="L2040" s="140"/>
      <c r="M2040" s="59"/>
    </row>
    <row r="2041" spans="2:13" x14ac:dyDescent="0.25">
      <c r="B2041" s="134"/>
      <c r="C2041" s="41"/>
      <c r="D2041" s="136"/>
      <c r="E2041" s="137"/>
      <c r="F2041" s="138"/>
      <c r="G2041" s="1" t="str">
        <f>IFERROR(IF(ventas_b_mes1255[[#This Row],[CUIT]]="","-",VLOOKUP(ventas_b_mes1255[[#This Row],[CUIT]],Lista_CUIT[#All],2,0)),"CUIT NO CARGADO")</f>
        <v>-</v>
      </c>
      <c r="H2041" s="99">
        <f>ventas_b_mes1255[[#This Row],[TOTAL]]/1.21</f>
        <v>0</v>
      </c>
      <c r="I2041" s="64">
        <f>ventas_b_mes1255[[#This Row],[IMPORTE NETO]]*0.21</f>
        <v>0</v>
      </c>
      <c r="J2041" s="140"/>
      <c r="K2041" s="140"/>
      <c r="L2041" s="140"/>
      <c r="M2041" s="59"/>
    </row>
    <row r="2042" spans="2:13" x14ac:dyDescent="0.25">
      <c r="B2042" s="134"/>
      <c r="C2042" s="41"/>
      <c r="D2042" s="136"/>
      <c r="E2042" s="137"/>
      <c r="F2042" s="138"/>
      <c r="G2042" s="1" t="str">
        <f>IFERROR(IF(ventas_b_mes1255[[#This Row],[CUIT]]="","-",VLOOKUP(ventas_b_mes1255[[#This Row],[CUIT]],Lista_CUIT[#All],2,0)),"CUIT NO CARGADO")</f>
        <v>-</v>
      </c>
      <c r="H2042" s="99">
        <f>ventas_b_mes1255[[#This Row],[TOTAL]]/1.21</f>
        <v>0</v>
      </c>
      <c r="I2042" s="64">
        <f>ventas_b_mes1255[[#This Row],[IMPORTE NETO]]*0.21</f>
        <v>0</v>
      </c>
      <c r="J2042" s="140"/>
      <c r="K2042" s="140"/>
      <c r="L2042" s="140"/>
      <c r="M2042" s="59"/>
    </row>
    <row r="2043" spans="2:13" x14ac:dyDescent="0.25">
      <c r="B2043" s="134"/>
      <c r="C2043" s="41"/>
      <c r="D2043" s="136"/>
      <c r="E2043" s="137"/>
      <c r="F2043" s="138"/>
      <c r="G2043" s="1" t="str">
        <f>IFERROR(IF(ventas_b_mes1255[[#This Row],[CUIT]]="","-",VLOOKUP(ventas_b_mes1255[[#This Row],[CUIT]],Lista_CUIT[#All],2,0)),"CUIT NO CARGADO")</f>
        <v>-</v>
      </c>
      <c r="H2043" s="99">
        <f>ventas_b_mes1255[[#This Row],[TOTAL]]/1.21</f>
        <v>0</v>
      </c>
      <c r="I2043" s="64">
        <f>ventas_b_mes1255[[#This Row],[IMPORTE NETO]]*0.21</f>
        <v>0</v>
      </c>
      <c r="J2043" s="140"/>
      <c r="K2043" s="140"/>
      <c r="L2043" s="140"/>
      <c r="M2043" s="59"/>
    </row>
    <row r="2044" spans="2:13" x14ac:dyDescent="0.25">
      <c r="B2044" s="134"/>
      <c r="C2044" s="41"/>
      <c r="D2044" s="136"/>
      <c r="E2044" s="137"/>
      <c r="F2044" s="138"/>
      <c r="G2044" s="1" t="str">
        <f>IFERROR(IF(ventas_b_mes1255[[#This Row],[CUIT]]="","-",VLOOKUP(ventas_b_mes1255[[#This Row],[CUIT]],Lista_CUIT[#All],2,0)),"CUIT NO CARGADO")</f>
        <v>-</v>
      </c>
      <c r="H2044" s="99">
        <f>ventas_b_mes1255[[#This Row],[TOTAL]]/1.21</f>
        <v>0</v>
      </c>
      <c r="I2044" s="64">
        <f>ventas_b_mes1255[[#This Row],[IMPORTE NETO]]*0.21</f>
        <v>0</v>
      </c>
      <c r="J2044" s="140"/>
      <c r="K2044" s="140"/>
      <c r="L2044" s="140"/>
      <c r="M2044" s="59"/>
    </row>
    <row r="2045" spans="2:13" x14ac:dyDescent="0.25">
      <c r="B2045" s="134"/>
      <c r="C2045" s="41"/>
      <c r="D2045" s="136"/>
      <c r="E2045" s="137"/>
      <c r="F2045" s="138"/>
      <c r="G2045" s="1" t="str">
        <f>IFERROR(IF(ventas_b_mes1255[[#This Row],[CUIT]]="","-",VLOOKUP(ventas_b_mes1255[[#This Row],[CUIT]],Lista_CUIT[#All],2,0)),"CUIT NO CARGADO")</f>
        <v>-</v>
      </c>
      <c r="H2045" s="99">
        <f>ventas_b_mes1255[[#This Row],[TOTAL]]/1.21</f>
        <v>0</v>
      </c>
      <c r="I2045" s="64">
        <f>ventas_b_mes1255[[#This Row],[IMPORTE NETO]]*0.21</f>
        <v>0</v>
      </c>
      <c r="J2045" s="140"/>
      <c r="K2045" s="140"/>
      <c r="L2045" s="140"/>
      <c r="M2045" s="59"/>
    </row>
    <row r="2046" spans="2:13" x14ac:dyDescent="0.25">
      <c r="B2046" s="134"/>
      <c r="C2046" s="41"/>
      <c r="D2046" s="136"/>
      <c r="E2046" s="137"/>
      <c r="F2046" s="138"/>
      <c r="G2046" s="1" t="str">
        <f>IFERROR(IF(ventas_b_mes1255[[#This Row],[CUIT]]="","-",VLOOKUP(ventas_b_mes1255[[#This Row],[CUIT]],Lista_CUIT[#All],2,0)),"CUIT NO CARGADO")</f>
        <v>-</v>
      </c>
      <c r="H2046" s="99">
        <f>ventas_b_mes1255[[#This Row],[TOTAL]]/1.21</f>
        <v>0</v>
      </c>
      <c r="I2046" s="64">
        <f>ventas_b_mes1255[[#This Row],[IMPORTE NETO]]*0.21</f>
        <v>0</v>
      </c>
      <c r="J2046" s="140"/>
      <c r="K2046" s="140"/>
      <c r="L2046" s="140"/>
      <c r="M2046" s="59"/>
    </row>
    <row r="2047" spans="2:13" x14ac:dyDescent="0.25">
      <c r="B2047" s="134"/>
      <c r="C2047" s="41"/>
      <c r="D2047" s="136"/>
      <c r="E2047" s="137"/>
      <c r="F2047" s="138"/>
      <c r="G2047" s="1" t="str">
        <f>IFERROR(IF(ventas_b_mes1255[[#This Row],[CUIT]]="","-",VLOOKUP(ventas_b_mes1255[[#This Row],[CUIT]],Lista_CUIT[#All],2,0)),"CUIT NO CARGADO")</f>
        <v>-</v>
      </c>
      <c r="H2047" s="99">
        <f>ventas_b_mes1255[[#This Row],[TOTAL]]/1.21</f>
        <v>0</v>
      </c>
      <c r="I2047" s="64">
        <f>ventas_b_mes1255[[#This Row],[IMPORTE NETO]]*0.21</f>
        <v>0</v>
      </c>
      <c r="J2047" s="140"/>
      <c r="K2047" s="140"/>
      <c r="L2047" s="140"/>
      <c r="M2047" s="59"/>
    </row>
    <row r="2048" spans="2:13" x14ac:dyDescent="0.25">
      <c r="B2048" s="134"/>
      <c r="C2048" s="41"/>
      <c r="D2048" s="136"/>
      <c r="E2048" s="137"/>
      <c r="F2048" s="138"/>
      <c r="G2048" s="1" t="str">
        <f>IFERROR(IF(ventas_b_mes1255[[#This Row],[CUIT]]="","-",VLOOKUP(ventas_b_mes1255[[#This Row],[CUIT]],Lista_CUIT[#All],2,0)),"CUIT NO CARGADO")</f>
        <v>-</v>
      </c>
      <c r="H2048" s="99">
        <f>ventas_b_mes1255[[#This Row],[TOTAL]]/1.21</f>
        <v>0</v>
      </c>
      <c r="I2048" s="64">
        <f>ventas_b_mes1255[[#This Row],[IMPORTE NETO]]*0.21</f>
        <v>0</v>
      </c>
      <c r="J2048" s="140"/>
      <c r="K2048" s="140"/>
      <c r="L2048" s="140"/>
      <c r="M2048" s="59"/>
    </row>
    <row r="2049" spans="2:13" x14ac:dyDescent="0.25">
      <c r="B2049" s="134"/>
      <c r="C2049" s="41"/>
      <c r="D2049" s="136"/>
      <c r="E2049" s="137"/>
      <c r="F2049" s="138"/>
      <c r="G2049" s="1" t="str">
        <f>IFERROR(IF(ventas_b_mes1255[[#This Row],[CUIT]]="","-",VLOOKUP(ventas_b_mes1255[[#This Row],[CUIT]],Lista_CUIT[#All],2,0)),"CUIT NO CARGADO")</f>
        <v>-</v>
      </c>
      <c r="H2049" s="99">
        <f>ventas_b_mes1255[[#This Row],[TOTAL]]/1.21</f>
        <v>0</v>
      </c>
      <c r="I2049" s="64">
        <f>ventas_b_mes1255[[#This Row],[IMPORTE NETO]]*0.21</f>
        <v>0</v>
      </c>
      <c r="J2049" s="140"/>
      <c r="K2049" s="140"/>
      <c r="L2049" s="140"/>
      <c r="M2049" s="59"/>
    </row>
    <row r="2050" spans="2:13" x14ac:dyDescent="0.25">
      <c r="B2050" s="134"/>
      <c r="C2050" s="41"/>
      <c r="D2050" s="136"/>
      <c r="E2050" s="137"/>
      <c r="F2050" s="138"/>
      <c r="G2050" s="1" t="str">
        <f>IFERROR(IF(ventas_b_mes1255[[#This Row],[CUIT]]="","-",VLOOKUP(ventas_b_mes1255[[#This Row],[CUIT]],Lista_CUIT[#All],2,0)),"CUIT NO CARGADO")</f>
        <v>-</v>
      </c>
      <c r="H2050" s="99">
        <f>ventas_b_mes1255[[#This Row],[TOTAL]]/1.21</f>
        <v>0</v>
      </c>
      <c r="I2050" s="64">
        <f>ventas_b_mes1255[[#This Row],[IMPORTE NETO]]*0.21</f>
        <v>0</v>
      </c>
      <c r="J2050" s="140"/>
      <c r="K2050" s="140"/>
      <c r="L2050" s="140"/>
      <c r="M2050" s="59"/>
    </row>
    <row r="2051" spans="2:13" x14ac:dyDescent="0.25">
      <c r="B2051" s="134"/>
      <c r="C2051" s="41"/>
      <c r="D2051" s="136"/>
      <c r="E2051" s="137"/>
      <c r="F2051" s="138"/>
      <c r="G2051" s="1" t="str">
        <f>IFERROR(IF(ventas_b_mes1255[[#This Row],[CUIT]]="","-",VLOOKUP(ventas_b_mes1255[[#This Row],[CUIT]],Lista_CUIT[#All],2,0)),"CUIT NO CARGADO")</f>
        <v>-</v>
      </c>
      <c r="H2051" s="99">
        <f>ventas_b_mes1255[[#This Row],[TOTAL]]/1.21</f>
        <v>0</v>
      </c>
      <c r="I2051" s="64">
        <f>ventas_b_mes1255[[#This Row],[IMPORTE NETO]]*0.21</f>
        <v>0</v>
      </c>
      <c r="J2051" s="140"/>
      <c r="K2051" s="140"/>
      <c r="L2051" s="140"/>
      <c r="M2051" s="59"/>
    </row>
    <row r="2052" spans="2:13" x14ac:dyDescent="0.25">
      <c r="B2052" s="134"/>
      <c r="C2052" s="41"/>
      <c r="D2052" s="136"/>
      <c r="E2052" s="137"/>
      <c r="F2052" s="138"/>
      <c r="G2052" s="1" t="str">
        <f>IFERROR(IF(ventas_b_mes1255[[#This Row],[CUIT]]="","-",VLOOKUP(ventas_b_mes1255[[#This Row],[CUIT]],Lista_CUIT[#All],2,0)),"CUIT NO CARGADO")</f>
        <v>-</v>
      </c>
      <c r="H2052" s="99">
        <f>ventas_b_mes1255[[#This Row],[TOTAL]]/1.21</f>
        <v>0</v>
      </c>
      <c r="I2052" s="64">
        <f>ventas_b_mes1255[[#This Row],[IMPORTE NETO]]*0.21</f>
        <v>0</v>
      </c>
      <c r="J2052" s="140"/>
      <c r="K2052" s="140"/>
      <c r="L2052" s="140"/>
      <c r="M2052" s="59"/>
    </row>
    <row r="2053" spans="2:13" x14ac:dyDescent="0.25">
      <c r="B2053" s="134"/>
      <c r="C2053" s="41"/>
      <c r="D2053" s="136"/>
      <c r="E2053" s="137"/>
      <c r="F2053" s="138"/>
      <c r="G2053" s="1" t="str">
        <f>IFERROR(IF(ventas_b_mes1255[[#This Row],[CUIT]]="","-",VLOOKUP(ventas_b_mes1255[[#This Row],[CUIT]],Lista_CUIT[#All],2,0)),"CUIT NO CARGADO")</f>
        <v>-</v>
      </c>
      <c r="H2053" s="99">
        <f>ventas_b_mes1255[[#This Row],[TOTAL]]/1.21</f>
        <v>0</v>
      </c>
      <c r="I2053" s="64">
        <f>ventas_b_mes1255[[#This Row],[IMPORTE NETO]]*0.21</f>
        <v>0</v>
      </c>
      <c r="J2053" s="140"/>
      <c r="K2053" s="140"/>
      <c r="L2053" s="140"/>
      <c r="M2053" s="59"/>
    </row>
    <row r="2054" spans="2:13" x14ac:dyDescent="0.25">
      <c r="B2054" s="134"/>
      <c r="C2054" s="41"/>
      <c r="D2054" s="136"/>
      <c r="E2054" s="137"/>
      <c r="F2054" s="138"/>
      <c r="G2054" s="1" t="str">
        <f>IFERROR(IF(ventas_b_mes1255[[#This Row],[CUIT]]="","-",VLOOKUP(ventas_b_mes1255[[#This Row],[CUIT]],Lista_CUIT[#All],2,0)),"CUIT NO CARGADO")</f>
        <v>-</v>
      </c>
      <c r="H2054" s="99">
        <f>ventas_b_mes1255[[#This Row],[TOTAL]]/1.21</f>
        <v>0</v>
      </c>
      <c r="I2054" s="64">
        <f>ventas_b_mes1255[[#This Row],[IMPORTE NETO]]*0.21</f>
        <v>0</v>
      </c>
      <c r="J2054" s="140"/>
      <c r="K2054" s="140"/>
      <c r="L2054" s="140"/>
      <c r="M2054" s="59"/>
    </row>
    <row r="2055" spans="2:13" x14ac:dyDescent="0.25">
      <c r="B2055" s="134"/>
      <c r="C2055" s="41"/>
      <c r="D2055" s="136"/>
      <c r="E2055" s="137"/>
      <c r="F2055" s="138"/>
      <c r="G2055" s="1" t="str">
        <f>IFERROR(IF(ventas_b_mes1255[[#This Row],[CUIT]]="","-",VLOOKUP(ventas_b_mes1255[[#This Row],[CUIT]],Lista_CUIT[#All],2,0)),"CUIT NO CARGADO")</f>
        <v>-</v>
      </c>
      <c r="H2055" s="99">
        <f>ventas_b_mes1255[[#This Row],[TOTAL]]/1.21</f>
        <v>0</v>
      </c>
      <c r="I2055" s="64">
        <f>ventas_b_mes1255[[#This Row],[IMPORTE NETO]]*0.21</f>
        <v>0</v>
      </c>
      <c r="J2055" s="140"/>
      <c r="K2055" s="140"/>
      <c r="L2055" s="140"/>
      <c r="M2055" s="59"/>
    </row>
    <row r="2056" spans="2:13" x14ac:dyDescent="0.25">
      <c r="B2056" s="134"/>
      <c r="C2056" s="41"/>
      <c r="D2056" s="136"/>
      <c r="E2056" s="137"/>
      <c r="F2056" s="138"/>
      <c r="G2056" s="1" t="str">
        <f>IFERROR(IF(ventas_b_mes1255[[#This Row],[CUIT]]="","-",VLOOKUP(ventas_b_mes1255[[#This Row],[CUIT]],Lista_CUIT[#All],2,0)),"CUIT NO CARGADO")</f>
        <v>-</v>
      </c>
      <c r="H2056" s="99">
        <f>ventas_b_mes1255[[#This Row],[TOTAL]]/1.21</f>
        <v>0</v>
      </c>
      <c r="I2056" s="64">
        <f>ventas_b_mes1255[[#This Row],[IMPORTE NETO]]*0.21</f>
        <v>0</v>
      </c>
      <c r="J2056" s="140"/>
      <c r="K2056" s="140"/>
      <c r="L2056" s="140"/>
      <c r="M2056" s="59"/>
    </row>
    <row r="2057" spans="2:13" x14ac:dyDescent="0.25">
      <c r="B2057" s="134"/>
      <c r="C2057" s="41"/>
      <c r="D2057" s="136"/>
      <c r="E2057" s="137"/>
      <c r="F2057" s="138"/>
      <c r="G2057" s="1" t="str">
        <f>IFERROR(IF(ventas_b_mes1255[[#This Row],[CUIT]]="","-",VLOOKUP(ventas_b_mes1255[[#This Row],[CUIT]],Lista_CUIT[#All],2,0)),"CUIT NO CARGADO")</f>
        <v>-</v>
      </c>
      <c r="H2057" s="99">
        <f>ventas_b_mes1255[[#This Row],[TOTAL]]/1.21</f>
        <v>0</v>
      </c>
      <c r="I2057" s="64">
        <f>ventas_b_mes1255[[#This Row],[IMPORTE NETO]]*0.21</f>
        <v>0</v>
      </c>
      <c r="J2057" s="140"/>
      <c r="K2057" s="140"/>
      <c r="L2057" s="140"/>
      <c r="M2057" s="59"/>
    </row>
    <row r="2058" spans="2:13" x14ac:dyDescent="0.25">
      <c r="B2058" s="134"/>
      <c r="C2058" s="41"/>
      <c r="D2058" s="136"/>
      <c r="E2058" s="137"/>
      <c r="F2058" s="138"/>
      <c r="G2058" s="1" t="str">
        <f>IFERROR(IF(ventas_b_mes1255[[#This Row],[CUIT]]="","-",VLOOKUP(ventas_b_mes1255[[#This Row],[CUIT]],Lista_CUIT[#All],2,0)),"CUIT NO CARGADO")</f>
        <v>-</v>
      </c>
      <c r="H2058" s="99">
        <f>ventas_b_mes1255[[#This Row],[TOTAL]]/1.21</f>
        <v>0</v>
      </c>
      <c r="I2058" s="64">
        <f>ventas_b_mes1255[[#This Row],[IMPORTE NETO]]*0.21</f>
        <v>0</v>
      </c>
      <c r="J2058" s="140"/>
      <c r="K2058" s="140"/>
      <c r="L2058" s="140"/>
      <c r="M2058" s="59"/>
    </row>
    <row r="2059" spans="2:13" x14ac:dyDescent="0.25">
      <c r="B2059" s="134"/>
      <c r="C2059" s="41"/>
      <c r="D2059" s="136"/>
      <c r="E2059" s="137"/>
      <c r="F2059" s="138"/>
      <c r="G2059" s="1" t="str">
        <f>IFERROR(IF(ventas_b_mes1255[[#This Row],[CUIT]]="","-",VLOOKUP(ventas_b_mes1255[[#This Row],[CUIT]],Lista_CUIT[#All],2,0)),"CUIT NO CARGADO")</f>
        <v>-</v>
      </c>
      <c r="H2059" s="99">
        <f>ventas_b_mes1255[[#This Row],[TOTAL]]/1.21</f>
        <v>0</v>
      </c>
      <c r="I2059" s="64">
        <f>ventas_b_mes1255[[#This Row],[IMPORTE NETO]]*0.21</f>
        <v>0</v>
      </c>
      <c r="J2059" s="140"/>
      <c r="K2059" s="140"/>
      <c r="L2059" s="140"/>
      <c r="M2059" s="59"/>
    </row>
    <row r="2060" spans="2:13" x14ac:dyDescent="0.25">
      <c r="B2060" s="134"/>
      <c r="C2060" s="41"/>
      <c r="D2060" s="136"/>
      <c r="E2060" s="137"/>
      <c r="F2060" s="138"/>
      <c r="G2060" s="1" t="str">
        <f>IFERROR(IF(ventas_b_mes1255[[#This Row],[CUIT]]="","-",VLOOKUP(ventas_b_mes1255[[#This Row],[CUIT]],Lista_CUIT[#All],2,0)),"CUIT NO CARGADO")</f>
        <v>-</v>
      </c>
      <c r="H2060" s="99">
        <f>ventas_b_mes1255[[#This Row],[TOTAL]]/1.21</f>
        <v>0</v>
      </c>
      <c r="I2060" s="64">
        <f>ventas_b_mes1255[[#This Row],[IMPORTE NETO]]*0.21</f>
        <v>0</v>
      </c>
      <c r="J2060" s="140"/>
      <c r="K2060" s="140"/>
      <c r="L2060" s="140"/>
      <c r="M2060" s="59"/>
    </row>
    <row r="2061" spans="2:13" x14ac:dyDescent="0.25">
      <c r="B2061" s="134"/>
      <c r="C2061" s="41"/>
      <c r="D2061" s="136"/>
      <c r="E2061" s="137"/>
      <c r="F2061" s="138"/>
      <c r="G2061" s="1" t="str">
        <f>IFERROR(IF(ventas_b_mes1255[[#This Row],[CUIT]]="","-",VLOOKUP(ventas_b_mes1255[[#This Row],[CUIT]],Lista_CUIT[#All],2,0)),"CUIT NO CARGADO")</f>
        <v>-</v>
      </c>
      <c r="H2061" s="99">
        <f>ventas_b_mes1255[[#This Row],[TOTAL]]/1.21</f>
        <v>0</v>
      </c>
      <c r="I2061" s="64">
        <f>ventas_b_mes1255[[#This Row],[IMPORTE NETO]]*0.21</f>
        <v>0</v>
      </c>
      <c r="J2061" s="140"/>
      <c r="K2061" s="140"/>
      <c r="L2061" s="140"/>
      <c r="M2061" s="59"/>
    </row>
    <row r="2062" spans="2:13" x14ac:dyDescent="0.25">
      <c r="B2062" s="134"/>
      <c r="C2062" s="41"/>
      <c r="D2062" s="136"/>
      <c r="E2062" s="137"/>
      <c r="F2062" s="138"/>
      <c r="G2062" s="1" t="str">
        <f>IFERROR(IF(ventas_b_mes1255[[#This Row],[CUIT]]="","-",VLOOKUP(ventas_b_mes1255[[#This Row],[CUIT]],Lista_CUIT[#All],2,0)),"CUIT NO CARGADO")</f>
        <v>-</v>
      </c>
      <c r="H2062" s="99">
        <f>ventas_b_mes1255[[#This Row],[TOTAL]]/1.21</f>
        <v>0</v>
      </c>
      <c r="I2062" s="64">
        <f>ventas_b_mes1255[[#This Row],[IMPORTE NETO]]*0.21</f>
        <v>0</v>
      </c>
      <c r="J2062" s="140"/>
      <c r="K2062" s="140"/>
      <c r="L2062" s="140"/>
      <c r="M2062" s="59"/>
    </row>
    <row r="2063" spans="2:13" x14ac:dyDescent="0.25">
      <c r="B2063" s="134"/>
      <c r="C2063" s="41"/>
      <c r="D2063" s="136"/>
      <c r="E2063" s="137"/>
      <c r="F2063" s="138"/>
      <c r="G2063" s="1" t="str">
        <f>IFERROR(IF(ventas_b_mes1255[[#This Row],[CUIT]]="","-",VLOOKUP(ventas_b_mes1255[[#This Row],[CUIT]],Lista_CUIT[#All],2,0)),"CUIT NO CARGADO")</f>
        <v>-</v>
      </c>
      <c r="H2063" s="99">
        <f>ventas_b_mes1255[[#This Row],[TOTAL]]/1.21</f>
        <v>0</v>
      </c>
      <c r="I2063" s="64">
        <f>ventas_b_mes1255[[#This Row],[IMPORTE NETO]]*0.21</f>
        <v>0</v>
      </c>
      <c r="J2063" s="140"/>
      <c r="K2063" s="140"/>
      <c r="L2063" s="140"/>
      <c r="M2063" s="59"/>
    </row>
    <row r="2064" spans="2:13" x14ac:dyDescent="0.25">
      <c r="B2064" s="134"/>
      <c r="C2064" s="41"/>
      <c r="D2064" s="136"/>
      <c r="E2064" s="137"/>
      <c r="F2064" s="138"/>
      <c r="G2064" s="1" t="str">
        <f>IFERROR(IF(ventas_b_mes1255[[#This Row],[CUIT]]="","-",VLOOKUP(ventas_b_mes1255[[#This Row],[CUIT]],Lista_CUIT[#All],2,0)),"CUIT NO CARGADO")</f>
        <v>-</v>
      </c>
      <c r="H2064" s="99">
        <f>ventas_b_mes1255[[#This Row],[TOTAL]]/1.21</f>
        <v>0</v>
      </c>
      <c r="I2064" s="64">
        <f>ventas_b_mes1255[[#This Row],[IMPORTE NETO]]*0.21</f>
        <v>0</v>
      </c>
      <c r="J2064" s="140"/>
      <c r="K2064" s="140"/>
      <c r="L2064" s="140"/>
      <c r="M2064" s="59"/>
    </row>
    <row r="2065" spans="2:13" x14ac:dyDescent="0.25">
      <c r="B2065" s="134"/>
      <c r="C2065" s="41"/>
      <c r="D2065" s="136"/>
      <c r="E2065" s="137"/>
      <c r="F2065" s="138"/>
      <c r="G2065" s="1" t="str">
        <f>IFERROR(IF(ventas_b_mes1255[[#This Row],[CUIT]]="","-",VLOOKUP(ventas_b_mes1255[[#This Row],[CUIT]],Lista_CUIT[#All],2,0)),"CUIT NO CARGADO")</f>
        <v>-</v>
      </c>
      <c r="H2065" s="99">
        <f>ventas_b_mes1255[[#This Row],[TOTAL]]/1.21</f>
        <v>0</v>
      </c>
      <c r="I2065" s="64">
        <f>ventas_b_mes1255[[#This Row],[IMPORTE NETO]]*0.21</f>
        <v>0</v>
      </c>
      <c r="J2065" s="140"/>
      <c r="K2065" s="140"/>
      <c r="L2065" s="140"/>
      <c r="M2065" s="59"/>
    </row>
    <row r="2066" spans="2:13" x14ac:dyDescent="0.25">
      <c r="B2066" s="134"/>
      <c r="C2066" s="41"/>
      <c r="D2066" s="136"/>
      <c r="E2066" s="137"/>
      <c r="F2066" s="138"/>
      <c r="G2066" s="1" t="str">
        <f>IFERROR(IF(ventas_b_mes1255[[#This Row],[CUIT]]="","-",VLOOKUP(ventas_b_mes1255[[#This Row],[CUIT]],Lista_CUIT[#All],2,0)),"CUIT NO CARGADO")</f>
        <v>-</v>
      </c>
      <c r="H2066" s="99">
        <f>ventas_b_mes1255[[#This Row],[TOTAL]]/1.21</f>
        <v>0</v>
      </c>
      <c r="I2066" s="64">
        <f>ventas_b_mes1255[[#This Row],[IMPORTE NETO]]*0.21</f>
        <v>0</v>
      </c>
      <c r="J2066" s="140"/>
      <c r="K2066" s="140"/>
      <c r="L2066" s="140"/>
      <c r="M2066" s="59"/>
    </row>
    <row r="2067" spans="2:13" x14ac:dyDescent="0.25">
      <c r="B2067" s="134"/>
      <c r="C2067" s="41"/>
      <c r="D2067" s="136"/>
      <c r="E2067" s="137"/>
      <c r="F2067" s="138"/>
      <c r="G2067" s="1" t="str">
        <f>IFERROR(IF(ventas_b_mes1255[[#This Row],[CUIT]]="","-",VLOOKUP(ventas_b_mes1255[[#This Row],[CUIT]],Lista_CUIT[#All],2,0)),"CUIT NO CARGADO")</f>
        <v>-</v>
      </c>
      <c r="H2067" s="99">
        <f>ventas_b_mes1255[[#This Row],[TOTAL]]/1.21</f>
        <v>0</v>
      </c>
      <c r="I2067" s="64">
        <f>ventas_b_mes1255[[#This Row],[IMPORTE NETO]]*0.21</f>
        <v>0</v>
      </c>
      <c r="J2067" s="140"/>
      <c r="K2067" s="140"/>
      <c r="L2067" s="140"/>
      <c r="M2067" s="59"/>
    </row>
    <row r="2068" spans="2:13" x14ac:dyDescent="0.25">
      <c r="B2068" s="134"/>
      <c r="C2068" s="41"/>
      <c r="D2068" s="136"/>
      <c r="E2068" s="137"/>
      <c r="F2068" s="138"/>
      <c r="G2068" s="1" t="str">
        <f>IFERROR(IF(ventas_b_mes1255[[#This Row],[CUIT]]="","-",VLOOKUP(ventas_b_mes1255[[#This Row],[CUIT]],Lista_CUIT[#All],2,0)),"CUIT NO CARGADO")</f>
        <v>-</v>
      </c>
      <c r="H2068" s="99">
        <f>ventas_b_mes1255[[#This Row],[TOTAL]]/1.21</f>
        <v>0</v>
      </c>
      <c r="I2068" s="64">
        <f>ventas_b_mes1255[[#This Row],[IMPORTE NETO]]*0.21</f>
        <v>0</v>
      </c>
      <c r="J2068" s="140"/>
      <c r="K2068" s="140"/>
      <c r="L2068" s="140"/>
      <c r="M2068" s="59"/>
    </row>
    <row r="2069" spans="2:13" x14ac:dyDescent="0.25">
      <c r="B2069" s="134"/>
      <c r="C2069" s="41"/>
      <c r="D2069" s="136"/>
      <c r="E2069" s="137"/>
      <c r="F2069" s="138"/>
      <c r="G2069" s="1" t="str">
        <f>IFERROR(IF(ventas_b_mes1255[[#This Row],[CUIT]]="","-",VLOOKUP(ventas_b_mes1255[[#This Row],[CUIT]],Lista_CUIT[#All],2,0)),"CUIT NO CARGADO")</f>
        <v>-</v>
      </c>
      <c r="H2069" s="99">
        <f>ventas_b_mes1255[[#This Row],[TOTAL]]/1.21</f>
        <v>0</v>
      </c>
      <c r="I2069" s="64">
        <f>ventas_b_mes1255[[#This Row],[IMPORTE NETO]]*0.21</f>
        <v>0</v>
      </c>
      <c r="J2069" s="140"/>
      <c r="K2069" s="140"/>
      <c r="L2069" s="140"/>
      <c r="M2069" s="59"/>
    </row>
    <row r="2070" spans="2:13" x14ac:dyDescent="0.25">
      <c r="B2070" s="134"/>
      <c r="C2070" s="41"/>
      <c r="D2070" s="136"/>
      <c r="E2070" s="137"/>
      <c r="F2070" s="138"/>
      <c r="G2070" s="1" t="str">
        <f>IFERROR(IF(ventas_b_mes1255[[#This Row],[CUIT]]="","-",VLOOKUP(ventas_b_mes1255[[#This Row],[CUIT]],Lista_CUIT[#All],2,0)),"CUIT NO CARGADO")</f>
        <v>-</v>
      </c>
      <c r="H2070" s="99">
        <f>ventas_b_mes1255[[#This Row],[TOTAL]]/1.21</f>
        <v>0</v>
      </c>
      <c r="I2070" s="64">
        <f>ventas_b_mes1255[[#This Row],[IMPORTE NETO]]*0.21</f>
        <v>0</v>
      </c>
      <c r="J2070" s="140"/>
      <c r="K2070" s="140"/>
      <c r="L2070" s="140"/>
      <c r="M2070" s="59"/>
    </row>
    <row r="2071" spans="2:13" x14ac:dyDescent="0.25">
      <c r="B2071" s="134"/>
      <c r="C2071" s="41"/>
      <c r="D2071" s="136"/>
      <c r="E2071" s="137"/>
      <c r="F2071" s="138"/>
      <c r="G2071" s="1" t="str">
        <f>IFERROR(IF(ventas_b_mes1255[[#This Row],[CUIT]]="","-",VLOOKUP(ventas_b_mes1255[[#This Row],[CUIT]],Lista_CUIT[#All],2,0)),"CUIT NO CARGADO")</f>
        <v>-</v>
      </c>
      <c r="H2071" s="99">
        <f>ventas_b_mes1255[[#This Row],[TOTAL]]/1.21</f>
        <v>0</v>
      </c>
      <c r="I2071" s="64">
        <f>ventas_b_mes1255[[#This Row],[IMPORTE NETO]]*0.21</f>
        <v>0</v>
      </c>
      <c r="J2071" s="140"/>
      <c r="K2071" s="140"/>
      <c r="L2071" s="140"/>
      <c r="M2071" s="59"/>
    </row>
    <row r="2072" spans="2:13" x14ac:dyDescent="0.25">
      <c r="B2072" s="134"/>
      <c r="C2072" s="41"/>
      <c r="D2072" s="136"/>
      <c r="E2072" s="137"/>
      <c r="F2072" s="138"/>
      <c r="G2072" s="1" t="str">
        <f>IFERROR(IF(ventas_b_mes1255[[#This Row],[CUIT]]="","-",VLOOKUP(ventas_b_mes1255[[#This Row],[CUIT]],Lista_CUIT[#All],2,0)),"CUIT NO CARGADO")</f>
        <v>-</v>
      </c>
      <c r="H2072" s="99">
        <f>ventas_b_mes1255[[#This Row],[TOTAL]]/1.21</f>
        <v>0</v>
      </c>
      <c r="I2072" s="64">
        <f>ventas_b_mes1255[[#This Row],[IMPORTE NETO]]*0.21</f>
        <v>0</v>
      </c>
      <c r="J2072" s="140"/>
      <c r="K2072" s="140"/>
      <c r="L2072" s="140"/>
      <c r="M2072" s="59"/>
    </row>
    <row r="2073" spans="2:13" x14ac:dyDescent="0.25">
      <c r="B2073" s="134"/>
      <c r="C2073" s="41"/>
      <c r="D2073" s="136"/>
      <c r="E2073" s="137"/>
      <c r="F2073" s="138"/>
      <c r="G2073" s="1" t="str">
        <f>IFERROR(IF(ventas_b_mes1255[[#This Row],[CUIT]]="","-",VLOOKUP(ventas_b_mes1255[[#This Row],[CUIT]],Lista_CUIT[#All],2,0)),"CUIT NO CARGADO")</f>
        <v>-</v>
      </c>
      <c r="H2073" s="99">
        <f>ventas_b_mes1255[[#This Row],[TOTAL]]/1.21</f>
        <v>0</v>
      </c>
      <c r="I2073" s="64">
        <f>ventas_b_mes1255[[#This Row],[IMPORTE NETO]]*0.21</f>
        <v>0</v>
      </c>
      <c r="J2073" s="140"/>
      <c r="K2073" s="140"/>
      <c r="L2073" s="140"/>
      <c r="M2073" s="59"/>
    </row>
    <row r="2074" spans="2:13" x14ac:dyDescent="0.25">
      <c r="B2074" s="134"/>
      <c r="C2074" s="41"/>
      <c r="D2074" s="136"/>
      <c r="E2074" s="137"/>
      <c r="F2074" s="138"/>
      <c r="G2074" s="1" t="str">
        <f>IFERROR(IF(ventas_b_mes1255[[#This Row],[CUIT]]="","-",VLOOKUP(ventas_b_mes1255[[#This Row],[CUIT]],Lista_CUIT[#All],2,0)),"CUIT NO CARGADO")</f>
        <v>-</v>
      </c>
      <c r="H2074" s="99">
        <f>ventas_b_mes1255[[#This Row],[TOTAL]]/1.21</f>
        <v>0</v>
      </c>
      <c r="I2074" s="64">
        <f>ventas_b_mes1255[[#This Row],[IMPORTE NETO]]*0.21</f>
        <v>0</v>
      </c>
      <c r="J2074" s="140"/>
      <c r="K2074" s="140"/>
      <c r="L2074" s="140"/>
      <c r="M2074" s="59"/>
    </row>
    <row r="2075" spans="2:13" x14ac:dyDescent="0.25">
      <c r="B2075" s="134"/>
      <c r="C2075" s="41"/>
      <c r="D2075" s="136"/>
      <c r="E2075" s="137"/>
      <c r="F2075" s="138"/>
      <c r="G2075" s="1" t="str">
        <f>IFERROR(IF(ventas_b_mes1255[[#This Row],[CUIT]]="","-",VLOOKUP(ventas_b_mes1255[[#This Row],[CUIT]],Lista_CUIT[#All],2,0)),"CUIT NO CARGADO")</f>
        <v>-</v>
      </c>
      <c r="H2075" s="99">
        <f>ventas_b_mes1255[[#This Row],[TOTAL]]/1.21</f>
        <v>0</v>
      </c>
      <c r="I2075" s="64">
        <f>ventas_b_mes1255[[#This Row],[IMPORTE NETO]]*0.21</f>
        <v>0</v>
      </c>
      <c r="J2075" s="140"/>
      <c r="K2075" s="140"/>
      <c r="L2075" s="140"/>
      <c r="M2075" s="59"/>
    </row>
    <row r="2076" spans="2:13" x14ac:dyDescent="0.25">
      <c r="B2076" s="134"/>
      <c r="C2076" s="41"/>
      <c r="D2076" s="136"/>
      <c r="E2076" s="137"/>
      <c r="F2076" s="138"/>
      <c r="G2076" s="1" t="str">
        <f>IFERROR(IF(ventas_b_mes1255[[#This Row],[CUIT]]="","-",VLOOKUP(ventas_b_mes1255[[#This Row],[CUIT]],Lista_CUIT[#All],2,0)),"CUIT NO CARGADO")</f>
        <v>-</v>
      </c>
      <c r="H2076" s="99">
        <f>ventas_b_mes1255[[#This Row],[TOTAL]]/1.21</f>
        <v>0</v>
      </c>
      <c r="I2076" s="64">
        <f>ventas_b_mes1255[[#This Row],[IMPORTE NETO]]*0.21</f>
        <v>0</v>
      </c>
      <c r="J2076" s="140"/>
      <c r="K2076" s="140"/>
      <c r="L2076" s="140"/>
      <c r="M2076" s="59"/>
    </row>
    <row r="2077" spans="2:13" x14ac:dyDescent="0.25">
      <c r="B2077" s="134"/>
      <c r="C2077" s="41"/>
      <c r="D2077" s="136"/>
      <c r="E2077" s="137"/>
      <c r="F2077" s="138"/>
      <c r="G2077" s="1" t="str">
        <f>IFERROR(IF(ventas_b_mes1255[[#This Row],[CUIT]]="","-",VLOOKUP(ventas_b_mes1255[[#This Row],[CUIT]],Lista_CUIT[#All],2,0)),"CUIT NO CARGADO")</f>
        <v>-</v>
      </c>
      <c r="H2077" s="99">
        <f>ventas_b_mes1255[[#This Row],[TOTAL]]/1.21</f>
        <v>0</v>
      </c>
      <c r="I2077" s="64">
        <f>ventas_b_mes1255[[#This Row],[IMPORTE NETO]]*0.21</f>
        <v>0</v>
      </c>
      <c r="J2077" s="140"/>
      <c r="K2077" s="140"/>
      <c r="L2077" s="140"/>
      <c r="M2077" s="59"/>
    </row>
    <row r="2078" spans="2:13" x14ac:dyDescent="0.25">
      <c r="B2078" s="134"/>
      <c r="C2078" s="41"/>
      <c r="D2078" s="136"/>
      <c r="E2078" s="137"/>
      <c r="F2078" s="138"/>
      <c r="G2078" s="1" t="str">
        <f>IFERROR(IF(ventas_b_mes1255[[#This Row],[CUIT]]="","-",VLOOKUP(ventas_b_mes1255[[#This Row],[CUIT]],Lista_CUIT[#All],2,0)),"CUIT NO CARGADO")</f>
        <v>-</v>
      </c>
      <c r="H2078" s="99">
        <f>ventas_b_mes1255[[#This Row],[TOTAL]]/1.21</f>
        <v>0</v>
      </c>
      <c r="I2078" s="64">
        <f>ventas_b_mes1255[[#This Row],[IMPORTE NETO]]*0.21</f>
        <v>0</v>
      </c>
      <c r="J2078" s="140"/>
      <c r="K2078" s="140"/>
      <c r="L2078" s="140"/>
      <c r="M2078" s="59"/>
    </row>
    <row r="2079" spans="2:13" x14ac:dyDescent="0.25">
      <c r="B2079" s="134"/>
      <c r="C2079" s="41"/>
      <c r="D2079" s="136"/>
      <c r="E2079" s="137"/>
      <c r="F2079" s="138"/>
      <c r="G2079" s="1" t="str">
        <f>IFERROR(IF(ventas_b_mes1255[[#This Row],[CUIT]]="","-",VLOOKUP(ventas_b_mes1255[[#This Row],[CUIT]],Lista_CUIT[#All],2,0)),"CUIT NO CARGADO")</f>
        <v>-</v>
      </c>
      <c r="H2079" s="99">
        <f>ventas_b_mes1255[[#This Row],[TOTAL]]/1.21</f>
        <v>0</v>
      </c>
      <c r="I2079" s="64">
        <f>ventas_b_mes1255[[#This Row],[IMPORTE NETO]]*0.21</f>
        <v>0</v>
      </c>
      <c r="J2079" s="140"/>
      <c r="K2079" s="140"/>
      <c r="L2079" s="140"/>
      <c r="M2079" s="59"/>
    </row>
    <row r="2080" spans="2:13" x14ac:dyDescent="0.25">
      <c r="B2080" s="134"/>
      <c r="C2080" s="41"/>
      <c r="D2080" s="136"/>
      <c r="E2080" s="137"/>
      <c r="F2080" s="138"/>
      <c r="G2080" s="1" t="str">
        <f>IFERROR(IF(ventas_b_mes1255[[#This Row],[CUIT]]="","-",VLOOKUP(ventas_b_mes1255[[#This Row],[CUIT]],Lista_CUIT[#All],2,0)),"CUIT NO CARGADO")</f>
        <v>-</v>
      </c>
      <c r="H2080" s="99">
        <f>ventas_b_mes1255[[#This Row],[TOTAL]]/1.21</f>
        <v>0</v>
      </c>
      <c r="I2080" s="64">
        <f>ventas_b_mes1255[[#This Row],[IMPORTE NETO]]*0.21</f>
        <v>0</v>
      </c>
      <c r="J2080" s="140"/>
      <c r="K2080" s="140"/>
      <c r="L2080" s="140"/>
      <c r="M2080" s="59"/>
    </row>
    <row r="2081" spans="2:13" x14ac:dyDescent="0.25">
      <c r="B2081" s="134"/>
      <c r="C2081" s="41"/>
      <c r="D2081" s="136"/>
      <c r="E2081" s="137"/>
      <c r="F2081" s="138"/>
      <c r="G2081" s="1" t="str">
        <f>IFERROR(IF(ventas_b_mes1255[[#This Row],[CUIT]]="","-",VLOOKUP(ventas_b_mes1255[[#This Row],[CUIT]],Lista_CUIT[#All],2,0)),"CUIT NO CARGADO")</f>
        <v>-</v>
      </c>
      <c r="H2081" s="99">
        <f>ventas_b_mes1255[[#This Row],[TOTAL]]/1.21</f>
        <v>0</v>
      </c>
      <c r="I2081" s="64">
        <f>ventas_b_mes1255[[#This Row],[IMPORTE NETO]]*0.21</f>
        <v>0</v>
      </c>
      <c r="J2081" s="140"/>
      <c r="K2081" s="140"/>
      <c r="L2081" s="140"/>
      <c r="M2081" s="59"/>
    </row>
    <row r="2082" spans="2:13" x14ac:dyDescent="0.25">
      <c r="B2082" s="134"/>
      <c r="C2082" s="41"/>
      <c r="D2082" s="136"/>
      <c r="E2082" s="137"/>
      <c r="F2082" s="138"/>
      <c r="G2082" s="1" t="str">
        <f>IFERROR(IF(ventas_b_mes1255[[#This Row],[CUIT]]="","-",VLOOKUP(ventas_b_mes1255[[#This Row],[CUIT]],Lista_CUIT[#All],2,0)),"CUIT NO CARGADO")</f>
        <v>-</v>
      </c>
      <c r="H2082" s="99">
        <f>ventas_b_mes1255[[#This Row],[TOTAL]]/1.21</f>
        <v>0</v>
      </c>
      <c r="I2082" s="64">
        <f>ventas_b_mes1255[[#This Row],[IMPORTE NETO]]*0.21</f>
        <v>0</v>
      </c>
      <c r="J2082" s="140"/>
      <c r="K2082" s="140"/>
      <c r="L2082" s="140"/>
      <c r="M2082" s="59"/>
    </row>
    <row r="2083" spans="2:13" x14ac:dyDescent="0.25">
      <c r="B2083" s="134"/>
      <c r="C2083" s="41"/>
      <c r="D2083" s="136"/>
      <c r="E2083" s="137"/>
      <c r="F2083" s="138"/>
      <c r="G2083" s="1" t="str">
        <f>IFERROR(IF(ventas_b_mes1255[[#This Row],[CUIT]]="","-",VLOOKUP(ventas_b_mes1255[[#This Row],[CUIT]],Lista_CUIT[#All],2,0)),"CUIT NO CARGADO")</f>
        <v>-</v>
      </c>
      <c r="H2083" s="99">
        <f>ventas_b_mes1255[[#This Row],[TOTAL]]/1.21</f>
        <v>0</v>
      </c>
      <c r="I2083" s="64">
        <f>ventas_b_mes1255[[#This Row],[IMPORTE NETO]]*0.21</f>
        <v>0</v>
      </c>
      <c r="J2083" s="140"/>
      <c r="K2083" s="140"/>
      <c r="L2083" s="140"/>
      <c r="M2083" s="59"/>
    </row>
    <row r="2084" spans="2:13" x14ac:dyDescent="0.25">
      <c r="B2084" s="134"/>
      <c r="C2084" s="41"/>
      <c r="D2084" s="136"/>
      <c r="E2084" s="137"/>
      <c r="F2084" s="138"/>
      <c r="G2084" s="1" t="str">
        <f>IFERROR(IF(ventas_b_mes1255[[#This Row],[CUIT]]="","-",VLOOKUP(ventas_b_mes1255[[#This Row],[CUIT]],Lista_CUIT[#All],2,0)),"CUIT NO CARGADO")</f>
        <v>-</v>
      </c>
      <c r="H2084" s="99">
        <f>ventas_b_mes1255[[#This Row],[TOTAL]]/1.21</f>
        <v>0</v>
      </c>
      <c r="I2084" s="64">
        <f>ventas_b_mes1255[[#This Row],[IMPORTE NETO]]*0.21</f>
        <v>0</v>
      </c>
      <c r="J2084" s="140"/>
      <c r="K2084" s="140"/>
      <c r="L2084" s="140"/>
      <c r="M2084" s="59"/>
    </row>
    <row r="2085" spans="2:13" x14ac:dyDescent="0.25">
      <c r="B2085" s="134"/>
      <c r="C2085" s="41"/>
      <c r="D2085" s="136"/>
      <c r="E2085" s="137"/>
      <c r="F2085" s="138"/>
      <c r="G2085" s="1" t="str">
        <f>IFERROR(IF(ventas_b_mes1255[[#This Row],[CUIT]]="","-",VLOOKUP(ventas_b_mes1255[[#This Row],[CUIT]],Lista_CUIT[#All],2,0)),"CUIT NO CARGADO")</f>
        <v>-</v>
      </c>
      <c r="H2085" s="99">
        <f>ventas_b_mes1255[[#This Row],[TOTAL]]/1.21</f>
        <v>0</v>
      </c>
      <c r="I2085" s="64">
        <f>ventas_b_mes1255[[#This Row],[IMPORTE NETO]]*0.21</f>
        <v>0</v>
      </c>
      <c r="J2085" s="140"/>
      <c r="K2085" s="140"/>
      <c r="L2085" s="140"/>
      <c r="M2085" s="59"/>
    </row>
    <row r="2086" spans="2:13" x14ac:dyDescent="0.25">
      <c r="B2086" s="134"/>
      <c r="C2086" s="41"/>
      <c r="D2086" s="136"/>
      <c r="E2086" s="137"/>
      <c r="F2086" s="138"/>
      <c r="G2086" s="1" t="str">
        <f>IFERROR(IF(ventas_b_mes1255[[#This Row],[CUIT]]="","-",VLOOKUP(ventas_b_mes1255[[#This Row],[CUIT]],Lista_CUIT[#All],2,0)),"CUIT NO CARGADO")</f>
        <v>-</v>
      </c>
      <c r="H2086" s="99">
        <f>ventas_b_mes1255[[#This Row],[TOTAL]]/1.21</f>
        <v>0</v>
      </c>
      <c r="I2086" s="64">
        <f>ventas_b_mes1255[[#This Row],[IMPORTE NETO]]*0.21</f>
        <v>0</v>
      </c>
      <c r="J2086" s="140"/>
      <c r="K2086" s="140"/>
      <c r="L2086" s="140"/>
      <c r="M2086" s="59"/>
    </row>
    <row r="2087" spans="2:13" x14ac:dyDescent="0.25">
      <c r="B2087" s="134"/>
      <c r="C2087" s="41"/>
      <c r="D2087" s="136"/>
      <c r="E2087" s="137"/>
      <c r="F2087" s="138"/>
      <c r="G2087" s="1" t="str">
        <f>IFERROR(IF(ventas_b_mes1255[[#This Row],[CUIT]]="","-",VLOOKUP(ventas_b_mes1255[[#This Row],[CUIT]],Lista_CUIT[#All],2,0)),"CUIT NO CARGADO")</f>
        <v>-</v>
      </c>
      <c r="H2087" s="99">
        <f>ventas_b_mes1255[[#This Row],[TOTAL]]/1.21</f>
        <v>0</v>
      </c>
      <c r="I2087" s="64">
        <f>ventas_b_mes1255[[#This Row],[IMPORTE NETO]]*0.21</f>
        <v>0</v>
      </c>
      <c r="J2087" s="140"/>
      <c r="K2087" s="140"/>
      <c r="L2087" s="140"/>
      <c r="M2087" s="59"/>
    </row>
    <row r="2088" spans="2:13" x14ac:dyDescent="0.25">
      <c r="B2088" s="134"/>
      <c r="C2088" s="41"/>
      <c r="D2088" s="136"/>
      <c r="E2088" s="137"/>
      <c r="F2088" s="138"/>
      <c r="G2088" s="1" t="str">
        <f>IFERROR(IF(ventas_b_mes1255[[#This Row],[CUIT]]="","-",VLOOKUP(ventas_b_mes1255[[#This Row],[CUIT]],Lista_CUIT[#All],2,0)),"CUIT NO CARGADO")</f>
        <v>-</v>
      </c>
      <c r="H2088" s="99">
        <f>ventas_b_mes1255[[#This Row],[TOTAL]]/1.21</f>
        <v>0</v>
      </c>
      <c r="I2088" s="64">
        <f>ventas_b_mes1255[[#This Row],[IMPORTE NETO]]*0.21</f>
        <v>0</v>
      </c>
      <c r="J2088" s="140"/>
      <c r="K2088" s="140"/>
      <c r="L2088" s="140"/>
      <c r="M2088" s="59"/>
    </row>
    <row r="2089" spans="2:13" x14ac:dyDescent="0.25">
      <c r="B2089" s="134"/>
      <c r="C2089" s="41"/>
      <c r="D2089" s="136"/>
      <c r="E2089" s="137"/>
      <c r="F2089" s="138"/>
      <c r="G2089" s="1" t="str">
        <f>IFERROR(IF(ventas_b_mes1255[[#This Row],[CUIT]]="","-",VLOOKUP(ventas_b_mes1255[[#This Row],[CUIT]],Lista_CUIT[#All],2,0)),"CUIT NO CARGADO")</f>
        <v>-</v>
      </c>
      <c r="H2089" s="99">
        <f>ventas_b_mes1255[[#This Row],[TOTAL]]/1.21</f>
        <v>0</v>
      </c>
      <c r="I2089" s="64">
        <f>ventas_b_mes1255[[#This Row],[IMPORTE NETO]]*0.21</f>
        <v>0</v>
      </c>
      <c r="J2089" s="140"/>
      <c r="K2089" s="140"/>
      <c r="L2089" s="140"/>
      <c r="M2089" s="59"/>
    </row>
    <row r="2090" spans="2:13" x14ac:dyDescent="0.25">
      <c r="B2090" s="134"/>
      <c r="C2090" s="41"/>
      <c r="D2090" s="136"/>
      <c r="E2090" s="137"/>
      <c r="F2090" s="138"/>
      <c r="G2090" s="1" t="str">
        <f>IFERROR(IF(ventas_b_mes1255[[#This Row],[CUIT]]="","-",VLOOKUP(ventas_b_mes1255[[#This Row],[CUIT]],Lista_CUIT[#All],2,0)),"CUIT NO CARGADO")</f>
        <v>-</v>
      </c>
      <c r="H2090" s="99">
        <f>ventas_b_mes1255[[#This Row],[TOTAL]]/1.21</f>
        <v>0</v>
      </c>
      <c r="I2090" s="64">
        <f>ventas_b_mes1255[[#This Row],[IMPORTE NETO]]*0.21</f>
        <v>0</v>
      </c>
      <c r="J2090" s="140"/>
      <c r="K2090" s="140"/>
      <c r="L2090" s="140"/>
      <c r="M2090" s="59"/>
    </row>
    <row r="2091" spans="2:13" x14ac:dyDescent="0.25">
      <c r="B2091" s="134"/>
      <c r="C2091" s="41"/>
      <c r="D2091" s="136"/>
      <c r="E2091" s="137"/>
      <c r="F2091" s="138"/>
      <c r="G2091" s="1" t="str">
        <f>IFERROR(IF(ventas_b_mes1255[[#This Row],[CUIT]]="","-",VLOOKUP(ventas_b_mes1255[[#This Row],[CUIT]],Lista_CUIT[#All],2,0)),"CUIT NO CARGADO")</f>
        <v>-</v>
      </c>
      <c r="H2091" s="99">
        <f>ventas_b_mes1255[[#This Row],[TOTAL]]/1.21</f>
        <v>0</v>
      </c>
      <c r="I2091" s="64">
        <f>ventas_b_mes1255[[#This Row],[IMPORTE NETO]]*0.21</f>
        <v>0</v>
      </c>
      <c r="J2091" s="140"/>
      <c r="K2091" s="140"/>
      <c r="L2091" s="140"/>
      <c r="M2091" s="59"/>
    </row>
    <row r="2092" spans="2:13" x14ac:dyDescent="0.25">
      <c r="B2092" s="134"/>
      <c r="C2092" s="41"/>
      <c r="D2092" s="136"/>
      <c r="E2092" s="137"/>
      <c r="F2092" s="138"/>
      <c r="G2092" s="1" t="str">
        <f>IFERROR(IF(ventas_b_mes1255[[#This Row],[CUIT]]="","-",VLOOKUP(ventas_b_mes1255[[#This Row],[CUIT]],Lista_CUIT[#All],2,0)),"CUIT NO CARGADO")</f>
        <v>-</v>
      </c>
      <c r="H2092" s="99">
        <f>ventas_b_mes1255[[#This Row],[TOTAL]]/1.21</f>
        <v>0</v>
      </c>
      <c r="I2092" s="64">
        <f>ventas_b_mes1255[[#This Row],[IMPORTE NETO]]*0.21</f>
        <v>0</v>
      </c>
      <c r="J2092" s="140"/>
      <c r="K2092" s="140"/>
      <c r="L2092" s="140"/>
      <c r="M2092" s="59"/>
    </row>
    <row r="2093" spans="2:13" x14ac:dyDescent="0.25">
      <c r="B2093" s="134"/>
      <c r="C2093" s="41"/>
      <c r="D2093" s="136"/>
      <c r="E2093" s="137"/>
      <c r="F2093" s="138"/>
      <c r="G2093" s="1" t="str">
        <f>IFERROR(IF(ventas_b_mes1255[[#This Row],[CUIT]]="","-",VLOOKUP(ventas_b_mes1255[[#This Row],[CUIT]],Lista_CUIT[#All],2,0)),"CUIT NO CARGADO")</f>
        <v>-</v>
      </c>
      <c r="H2093" s="99">
        <f>ventas_b_mes1255[[#This Row],[TOTAL]]/1.21</f>
        <v>0</v>
      </c>
      <c r="I2093" s="64">
        <f>ventas_b_mes1255[[#This Row],[IMPORTE NETO]]*0.21</f>
        <v>0</v>
      </c>
      <c r="J2093" s="140"/>
      <c r="K2093" s="140"/>
      <c r="L2093" s="140"/>
      <c r="M2093" s="59"/>
    </row>
    <row r="2094" spans="2:13" x14ac:dyDescent="0.25">
      <c r="B2094" s="134"/>
      <c r="C2094" s="41"/>
      <c r="D2094" s="136"/>
      <c r="E2094" s="137"/>
      <c r="F2094" s="138"/>
      <c r="G2094" s="1" t="str">
        <f>IFERROR(IF(ventas_b_mes1255[[#This Row],[CUIT]]="","-",VLOOKUP(ventas_b_mes1255[[#This Row],[CUIT]],Lista_CUIT[#All],2,0)),"CUIT NO CARGADO")</f>
        <v>-</v>
      </c>
      <c r="H2094" s="99">
        <f>ventas_b_mes1255[[#This Row],[TOTAL]]/1.21</f>
        <v>0</v>
      </c>
      <c r="I2094" s="64">
        <f>ventas_b_mes1255[[#This Row],[IMPORTE NETO]]*0.21</f>
        <v>0</v>
      </c>
      <c r="J2094" s="140"/>
      <c r="K2094" s="140"/>
      <c r="L2094" s="140"/>
      <c r="M2094" s="59"/>
    </row>
    <row r="2095" spans="2:13" x14ac:dyDescent="0.25">
      <c r="B2095" s="134"/>
      <c r="C2095" s="41"/>
      <c r="D2095" s="136"/>
      <c r="E2095" s="137"/>
      <c r="F2095" s="138"/>
      <c r="G2095" s="1" t="str">
        <f>IFERROR(IF(ventas_b_mes1255[[#This Row],[CUIT]]="","-",VLOOKUP(ventas_b_mes1255[[#This Row],[CUIT]],Lista_CUIT[#All],2,0)),"CUIT NO CARGADO")</f>
        <v>-</v>
      </c>
      <c r="H2095" s="99">
        <f>ventas_b_mes1255[[#This Row],[TOTAL]]/1.21</f>
        <v>0</v>
      </c>
      <c r="I2095" s="64">
        <f>ventas_b_mes1255[[#This Row],[IMPORTE NETO]]*0.21</f>
        <v>0</v>
      </c>
      <c r="J2095" s="140"/>
      <c r="K2095" s="140"/>
      <c r="L2095" s="140"/>
      <c r="M2095" s="59"/>
    </row>
    <row r="2096" spans="2:13" x14ac:dyDescent="0.25">
      <c r="B2096" s="134"/>
      <c r="C2096" s="41"/>
      <c r="D2096" s="136"/>
      <c r="E2096" s="137"/>
      <c r="F2096" s="138"/>
      <c r="G2096" s="1" t="str">
        <f>IFERROR(IF(ventas_b_mes1255[[#This Row],[CUIT]]="","-",VLOOKUP(ventas_b_mes1255[[#This Row],[CUIT]],Lista_CUIT[#All],2,0)),"CUIT NO CARGADO")</f>
        <v>-</v>
      </c>
      <c r="H2096" s="99">
        <f>ventas_b_mes1255[[#This Row],[TOTAL]]/1.21</f>
        <v>0</v>
      </c>
      <c r="I2096" s="64">
        <f>ventas_b_mes1255[[#This Row],[IMPORTE NETO]]*0.21</f>
        <v>0</v>
      </c>
      <c r="J2096" s="140"/>
      <c r="K2096" s="140"/>
      <c r="L2096" s="140"/>
      <c r="M2096" s="59"/>
    </row>
    <row r="2097" spans="2:13" x14ac:dyDescent="0.25">
      <c r="B2097" s="134"/>
      <c r="C2097" s="41"/>
      <c r="D2097" s="136"/>
      <c r="E2097" s="137"/>
      <c r="F2097" s="138"/>
      <c r="G2097" s="1" t="str">
        <f>IFERROR(IF(ventas_b_mes1255[[#This Row],[CUIT]]="","-",VLOOKUP(ventas_b_mes1255[[#This Row],[CUIT]],Lista_CUIT[#All],2,0)),"CUIT NO CARGADO")</f>
        <v>-</v>
      </c>
      <c r="H2097" s="99">
        <f>ventas_b_mes1255[[#This Row],[TOTAL]]/1.21</f>
        <v>0</v>
      </c>
      <c r="I2097" s="64">
        <f>ventas_b_mes1255[[#This Row],[IMPORTE NETO]]*0.21</f>
        <v>0</v>
      </c>
      <c r="J2097" s="140"/>
      <c r="K2097" s="140"/>
      <c r="L2097" s="140"/>
      <c r="M2097" s="59"/>
    </row>
    <row r="2098" spans="2:13" x14ac:dyDescent="0.25">
      <c r="B2098" s="134"/>
      <c r="C2098" s="41"/>
      <c r="D2098" s="136"/>
      <c r="E2098" s="137"/>
      <c r="F2098" s="138"/>
      <c r="G2098" s="1" t="str">
        <f>IFERROR(IF(ventas_b_mes1255[[#This Row],[CUIT]]="","-",VLOOKUP(ventas_b_mes1255[[#This Row],[CUIT]],Lista_CUIT[#All],2,0)),"CUIT NO CARGADO")</f>
        <v>-</v>
      </c>
      <c r="H2098" s="99">
        <f>ventas_b_mes1255[[#This Row],[TOTAL]]/1.21</f>
        <v>0</v>
      </c>
      <c r="I2098" s="64">
        <f>ventas_b_mes1255[[#This Row],[IMPORTE NETO]]*0.21</f>
        <v>0</v>
      </c>
      <c r="J2098" s="140"/>
      <c r="K2098" s="140"/>
      <c r="L2098" s="140"/>
      <c r="M2098" s="59"/>
    </row>
    <row r="2099" spans="2:13" x14ac:dyDescent="0.25">
      <c r="B2099" s="134"/>
      <c r="C2099" s="41"/>
      <c r="D2099" s="136"/>
      <c r="E2099" s="137"/>
      <c r="F2099" s="138"/>
      <c r="G2099" s="1" t="str">
        <f>IFERROR(IF(ventas_b_mes1255[[#This Row],[CUIT]]="","-",VLOOKUP(ventas_b_mes1255[[#This Row],[CUIT]],Lista_CUIT[#All],2,0)),"CUIT NO CARGADO")</f>
        <v>-</v>
      </c>
      <c r="H2099" s="99">
        <f>ventas_b_mes1255[[#This Row],[TOTAL]]/1.21</f>
        <v>0</v>
      </c>
      <c r="I2099" s="64">
        <f>ventas_b_mes1255[[#This Row],[IMPORTE NETO]]*0.21</f>
        <v>0</v>
      </c>
      <c r="J2099" s="140"/>
      <c r="K2099" s="140"/>
      <c r="L2099" s="140"/>
      <c r="M2099" s="59"/>
    </row>
    <row r="2100" spans="2:13" x14ac:dyDescent="0.25">
      <c r="B2100" s="134"/>
      <c r="C2100" s="41"/>
      <c r="D2100" s="136"/>
      <c r="E2100" s="137"/>
      <c r="F2100" s="138"/>
      <c r="G2100" s="1" t="str">
        <f>IFERROR(IF(ventas_b_mes1255[[#This Row],[CUIT]]="","-",VLOOKUP(ventas_b_mes1255[[#This Row],[CUIT]],Lista_CUIT[#All],2,0)),"CUIT NO CARGADO")</f>
        <v>-</v>
      </c>
      <c r="H2100" s="99">
        <f>ventas_b_mes1255[[#This Row],[TOTAL]]/1.21</f>
        <v>0</v>
      </c>
      <c r="I2100" s="64">
        <f>ventas_b_mes1255[[#This Row],[IMPORTE NETO]]*0.21</f>
        <v>0</v>
      </c>
      <c r="J2100" s="140"/>
      <c r="K2100" s="140"/>
      <c r="L2100" s="140"/>
      <c r="M2100" s="59"/>
    </row>
    <row r="2101" spans="2:13" x14ac:dyDescent="0.25">
      <c r="B2101" s="134"/>
      <c r="C2101" s="41"/>
      <c r="D2101" s="136"/>
      <c r="E2101" s="137"/>
      <c r="F2101" s="138"/>
      <c r="G2101" s="1" t="str">
        <f>IFERROR(IF(ventas_b_mes1255[[#This Row],[CUIT]]="","-",VLOOKUP(ventas_b_mes1255[[#This Row],[CUIT]],Lista_CUIT[#All],2,0)),"CUIT NO CARGADO")</f>
        <v>-</v>
      </c>
      <c r="H2101" s="99">
        <f>ventas_b_mes1255[[#This Row],[TOTAL]]/1.21</f>
        <v>0</v>
      </c>
      <c r="I2101" s="64">
        <f>ventas_b_mes1255[[#This Row],[IMPORTE NETO]]*0.21</f>
        <v>0</v>
      </c>
      <c r="J2101" s="140"/>
      <c r="K2101" s="140"/>
      <c r="L2101" s="140"/>
      <c r="M2101" s="59"/>
    </row>
    <row r="2102" spans="2:13" x14ac:dyDescent="0.25">
      <c r="B2102" s="134"/>
      <c r="C2102" s="41"/>
      <c r="D2102" s="136"/>
      <c r="E2102" s="137"/>
      <c r="F2102" s="138"/>
      <c r="G2102" s="1" t="str">
        <f>IFERROR(IF(ventas_b_mes1255[[#This Row],[CUIT]]="","-",VLOOKUP(ventas_b_mes1255[[#This Row],[CUIT]],Lista_CUIT[#All],2,0)),"CUIT NO CARGADO")</f>
        <v>-</v>
      </c>
      <c r="H2102" s="99">
        <f>ventas_b_mes1255[[#This Row],[TOTAL]]/1.21</f>
        <v>0</v>
      </c>
      <c r="I2102" s="64">
        <f>ventas_b_mes1255[[#This Row],[IMPORTE NETO]]*0.21</f>
        <v>0</v>
      </c>
      <c r="J2102" s="140"/>
      <c r="K2102" s="140"/>
      <c r="L2102" s="140"/>
      <c r="M2102" s="59"/>
    </row>
    <row r="2103" spans="2:13" x14ac:dyDescent="0.25">
      <c r="B2103" s="134"/>
      <c r="C2103" s="41"/>
      <c r="D2103" s="136"/>
      <c r="E2103" s="137"/>
      <c r="F2103" s="138"/>
      <c r="G2103" s="1" t="str">
        <f>IFERROR(IF(ventas_b_mes1255[[#This Row],[CUIT]]="","-",VLOOKUP(ventas_b_mes1255[[#This Row],[CUIT]],Lista_CUIT[#All],2,0)),"CUIT NO CARGADO")</f>
        <v>-</v>
      </c>
      <c r="H2103" s="99">
        <f>ventas_b_mes1255[[#This Row],[TOTAL]]/1.21</f>
        <v>0</v>
      </c>
      <c r="I2103" s="64">
        <f>ventas_b_mes1255[[#This Row],[IMPORTE NETO]]*0.21</f>
        <v>0</v>
      </c>
      <c r="J2103" s="140"/>
      <c r="K2103" s="140"/>
      <c r="L2103" s="140"/>
      <c r="M2103" s="59"/>
    </row>
    <row r="2104" spans="2:13" x14ac:dyDescent="0.25">
      <c r="B2104" s="134"/>
      <c r="C2104" s="41"/>
      <c r="D2104" s="136"/>
      <c r="E2104" s="137"/>
      <c r="F2104" s="138"/>
      <c r="G2104" s="1" t="str">
        <f>IFERROR(IF(ventas_b_mes1255[[#This Row],[CUIT]]="","-",VLOOKUP(ventas_b_mes1255[[#This Row],[CUIT]],Lista_CUIT[#All],2,0)),"CUIT NO CARGADO")</f>
        <v>-</v>
      </c>
      <c r="H2104" s="99">
        <f>ventas_b_mes1255[[#This Row],[TOTAL]]/1.21</f>
        <v>0</v>
      </c>
      <c r="I2104" s="64">
        <f>ventas_b_mes1255[[#This Row],[IMPORTE NETO]]*0.21</f>
        <v>0</v>
      </c>
      <c r="J2104" s="140"/>
      <c r="K2104" s="140"/>
      <c r="L2104" s="140"/>
      <c r="M2104" s="59"/>
    </row>
    <row r="2105" spans="2:13" x14ac:dyDescent="0.25">
      <c r="B2105" s="134"/>
      <c r="C2105" s="41"/>
      <c r="D2105" s="136"/>
      <c r="E2105" s="137"/>
      <c r="F2105" s="138"/>
      <c r="G2105" s="1" t="str">
        <f>IFERROR(IF(ventas_b_mes1255[[#This Row],[CUIT]]="","-",VLOOKUP(ventas_b_mes1255[[#This Row],[CUIT]],Lista_CUIT[#All],2,0)),"CUIT NO CARGADO")</f>
        <v>-</v>
      </c>
      <c r="H2105" s="99">
        <f>ventas_b_mes1255[[#This Row],[TOTAL]]/1.21</f>
        <v>0</v>
      </c>
      <c r="I2105" s="64">
        <f>ventas_b_mes1255[[#This Row],[IMPORTE NETO]]*0.21</f>
        <v>0</v>
      </c>
      <c r="J2105" s="140"/>
      <c r="K2105" s="140"/>
      <c r="L2105" s="140"/>
      <c r="M2105" s="59"/>
    </row>
    <row r="2106" spans="2:13" x14ac:dyDescent="0.25">
      <c r="B2106" s="134"/>
      <c r="C2106" s="41"/>
      <c r="D2106" s="136"/>
      <c r="E2106" s="137"/>
      <c r="F2106" s="138"/>
      <c r="G2106" s="1" t="str">
        <f>IFERROR(IF(ventas_b_mes1255[[#This Row],[CUIT]]="","-",VLOOKUP(ventas_b_mes1255[[#This Row],[CUIT]],Lista_CUIT[#All],2,0)),"CUIT NO CARGADO")</f>
        <v>-</v>
      </c>
      <c r="H2106" s="99">
        <f>ventas_b_mes1255[[#This Row],[TOTAL]]/1.21</f>
        <v>0</v>
      </c>
      <c r="I2106" s="64">
        <f>ventas_b_mes1255[[#This Row],[IMPORTE NETO]]*0.21</f>
        <v>0</v>
      </c>
      <c r="J2106" s="140"/>
      <c r="K2106" s="140"/>
      <c r="L2106" s="140"/>
      <c r="M2106" s="59"/>
    </row>
    <row r="2107" spans="2:13" x14ac:dyDescent="0.25">
      <c r="B2107" s="134"/>
      <c r="C2107" s="41"/>
      <c r="D2107" s="136"/>
      <c r="E2107" s="137"/>
      <c r="F2107" s="138"/>
      <c r="G2107" s="1" t="str">
        <f>IFERROR(IF(ventas_b_mes1255[[#This Row],[CUIT]]="","-",VLOOKUP(ventas_b_mes1255[[#This Row],[CUIT]],Lista_CUIT[#All],2,0)),"CUIT NO CARGADO")</f>
        <v>-</v>
      </c>
      <c r="H2107" s="99">
        <f>ventas_b_mes1255[[#This Row],[TOTAL]]/1.21</f>
        <v>0</v>
      </c>
      <c r="I2107" s="64">
        <f>ventas_b_mes1255[[#This Row],[IMPORTE NETO]]*0.21</f>
        <v>0</v>
      </c>
      <c r="J2107" s="140"/>
      <c r="K2107" s="140"/>
      <c r="L2107" s="140"/>
      <c r="M2107" s="59"/>
    </row>
    <row r="2108" spans="2:13" x14ac:dyDescent="0.25">
      <c r="B2108" s="134"/>
      <c r="C2108" s="41"/>
      <c r="D2108" s="136"/>
      <c r="E2108" s="137"/>
      <c r="F2108" s="138"/>
      <c r="G2108" s="1" t="str">
        <f>IFERROR(IF(ventas_b_mes1255[[#This Row],[CUIT]]="","-",VLOOKUP(ventas_b_mes1255[[#This Row],[CUIT]],Lista_CUIT[#All],2,0)),"CUIT NO CARGADO")</f>
        <v>-</v>
      </c>
      <c r="H2108" s="99">
        <f>ventas_b_mes1255[[#This Row],[TOTAL]]/1.21</f>
        <v>0</v>
      </c>
      <c r="I2108" s="64">
        <f>ventas_b_mes1255[[#This Row],[IMPORTE NETO]]*0.21</f>
        <v>0</v>
      </c>
      <c r="J2108" s="140"/>
      <c r="K2108" s="140"/>
      <c r="L2108" s="140"/>
      <c r="M2108" s="59"/>
    </row>
    <row r="2109" spans="2:13" x14ac:dyDescent="0.25">
      <c r="B2109" s="134"/>
      <c r="C2109" s="41"/>
      <c r="D2109" s="136"/>
      <c r="E2109" s="137"/>
      <c r="F2109" s="138"/>
      <c r="G2109" s="1" t="str">
        <f>IFERROR(IF(ventas_b_mes1255[[#This Row],[CUIT]]="","-",VLOOKUP(ventas_b_mes1255[[#This Row],[CUIT]],Lista_CUIT[#All],2,0)),"CUIT NO CARGADO")</f>
        <v>-</v>
      </c>
      <c r="H2109" s="99">
        <f>ventas_b_mes1255[[#This Row],[TOTAL]]/1.21</f>
        <v>0</v>
      </c>
      <c r="I2109" s="64">
        <f>ventas_b_mes1255[[#This Row],[IMPORTE NETO]]*0.21</f>
        <v>0</v>
      </c>
      <c r="J2109" s="140"/>
      <c r="K2109" s="140"/>
      <c r="L2109" s="140"/>
      <c r="M2109" s="59"/>
    </row>
    <row r="2110" spans="2:13" x14ac:dyDescent="0.25">
      <c r="B2110" s="134"/>
      <c r="C2110" s="41"/>
      <c r="D2110" s="136"/>
      <c r="E2110" s="137"/>
      <c r="F2110" s="138"/>
      <c r="G2110" s="1" t="str">
        <f>IFERROR(IF(ventas_b_mes1255[[#This Row],[CUIT]]="","-",VLOOKUP(ventas_b_mes1255[[#This Row],[CUIT]],Lista_CUIT[#All],2,0)),"CUIT NO CARGADO")</f>
        <v>-</v>
      </c>
      <c r="H2110" s="99">
        <f>ventas_b_mes1255[[#This Row],[TOTAL]]/1.21</f>
        <v>0</v>
      </c>
      <c r="I2110" s="64">
        <f>ventas_b_mes1255[[#This Row],[IMPORTE NETO]]*0.21</f>
        <v>0</v>
      </c>
      <c r="J2110" s="140"/>
      <c r="K2110" s="140"/>
      <c r="L2110" s="140"/>
      <c r="M2110" s="59"/>
    </row>
    <row r="2111" spans="2:13" x14ac:dyDescent="0.25">
      <c r="B2111" s="134"/>
      <c r="C2111" s="41"/>
      <c r="D2111" s="136"/>
      <c r="E2111" s="137"/>
      <c r="F2111" s="138"/>
      <c r="G2111" s="1" t="str">
        <f>IFERROR(IF(ventas_b_mes1255[[#This Row],[CUIT]]="","-",VLOOKUP(ventas_b_mes1255[[#This Row],[CUIT]],Lista_CUIT[#All],2,0)),"CUIT NO CARGADO")</f>
        <v>-</v>
      </c>
      <c r="H2111" s="99">
        <f>ventas_b_mes1255[[#This Row],[TOTAL]]/1.21</f>
        <v>0</v>
      </c>
      <c r="I2111" s="64">
        <f>ventas_b_mes1255[[#This Row],[IMPORTE NETO]]*0.21</f>
        <v>0</v>
      </c>
      <c r="J2111" s="140"/>
      <c r="K2111" s="140"/>
      <c r="L2111" s="140"/>
      <c r="M2111" s="59"/>
    </row>
    <row r="2112" spans="2:13" x14ac:dyDescent="0.25">
      <c r="B2112" s="134"/>
      <c r="C2112" s="41"/>
      <c r="D2112" s="136"/>
      <c r="E2112" s="137"/>
      <c r="F2112" s="138"/>
      <c r="G2112" s="1" t="str">
        <f>IFERROR(IF(ventas_b_mes1255[[#This Row],[CUIT]]="","-",VLOOKUP(ventas_b_mes1255[[#This Row],[CUIT]],Lista_CUIT[#All],2,0)),"CUIT NO CARGADO")</f>
        <v>-</v>
      </c>
      <c r="H2112" s="99">
        <f>ventas_b_mes1255[[#This Row],[TOTAL]]/1.21</f>
        <v>0</v>
      </c>
      <c r="I2112" s="64">
        <f>ventas_b_mes1255[[#This Row],[IMPORTE NETO]]*0.21</f>
        <v>0</v>
      </c>
      <c r="J2112" s="140"/>
      <c r="K2112" s="140"/>
      <c r="L2112" s="140"/>
      <c r="M2112" s="59"/>
    </row>
    <row r="2113" spans="2:13" x14ac:dyDescent="0.25">
      <c r="B2113" s="134"/>
      <c r="C2113" s="41"/>
      <c r="D2113" s="136"/>
      <c r="E2113" s="137"/>
      <c r="F2113" s="138"/>
      <c r="G2113" s="1" t="str">
        <f>IFERROR(IF(ventas_b_mes1255[[#This Row],[CUIT]]="","-",VLOOKUP(ventas_b_mes1255[[#This Row],[CUIT]],Lista_CUIT[#All],2,0)),"CUIT NO CARGADO")</f>
        <v>-</v>
      </c>
      <c r="H2113" s="99">
        <f>ventas_b_mes1255[[#This Row],[TOTAL]]/1.21</f>
        <v>0</v>
      </c>
      <c r="I2113" s="64">
        <f>ventas_b_mes1255[[#This Row],[IMPORTE NETO]]*0.21</f>
        <v>0</v>
      </c>
      <c r="J2113" s="140"/>
      <c r="K2113" s="140"/>
      <c r="L2113" s="140"/>
      <c r="M2113" s="59"/>
    </row>
    <row r="2114" spans="2:13" x14ac:dyDescent="0.25">
      <c r="B2114" s="134"/>
      <c r="C2114" s="41"/>
      <c r="D2114" s="136"/>
      <c r="E2114" s="137"/>
      <c r="F2114" s="138"/>
      <c r="G2114" s="1" t="str">
        <f>IFERROR(IF(ventas_b_mes1255[[#This Row],[CUIT]]="","-",VLOOKUP(ventas_b_mes1255[[#This Row],[CUIT]],Lista_CUIT[#All],2,0)),"CUIT NO CARGADO")</f>
        <v>-</v>
      </c>
      <c r="H2114" s="99">
        <f>ventas_b_mes1255[[#This Row],[TOTAL]]/1.21</f>
        <v>0</v>
      </c>
      <c r="I2114" s="64">
        <f>ventas_b_mes1255[[#This Row],[IMPORTE NETO]]*0.21</f>
        <v>0</v>
      </c>
      <c r="J2114" s="140"/>
      <c r="K2114" s="140"/>
      <c r="L2114" s="140"/>
      <c r="M2114" s="59"/>
    </row>
    <row r="2115" spans="2:13" x14ac:dyDescent="0.25">
      <c r="B2115" s="134"/>
      <c r="C2115" s="41"/>
      <c r="D2115" s="136"/>
      <c r="E2115" s="137"/>
      <c r="F2115" s="138"/>
      <c r="G2115" s="1" t="str">
        <f>IFERROR(IF(ventas_b_mes1255[[#This Row],[CUIT]]="","-",VLOOKUP(ventas_b_mes1255[[#This Row],[CUIT]],Lista_CUIT[#All],2,0)),"CUIT NO CARGADO")</f>
        <v>-</v>
      </c>
      <c r="H2115" s="99">
        <f>ventas_b_mes1255[[#This Row],[TOTAL]]/1.21</f>
        <v>0</v>
      </c>
      <c r="I2115" s="64">
        <f>ventas_b_mes1255[[#This Row],[IMPORTE NETO]]*0.21</f>
        <v>0</v>
      </c>
      <c r="J2115" s="140"/>
      <c r="K2115" s="140"/>
      <c r="L2115" s="140"/>
      <c r="M2115" s="59"/>
    </row>
    <row r="2116" spans="2:13" x14ac:dyDescent="0.25">
      <c r="B2116" s="134"/>
      <c r="C2116" s="41"/>
      <c r="D2116" s="136"/>
      <c r="E2116" s="137"/>
      <c r="F2116" s="138"/>
      <c r="G2116" s="1" t="str">
        <f>IFERROR(IF(ventas_b_mes1255[[#This Row],[CUIT]]="","-",VLOOKUP(ventas_b_mes1255[[#This Row],[CUIT]],Lista_CUIT[#All],2,0)),"CUIT NO CARGADO")</f>
        <v>-</v>
      </c>
      <c r="H2116" s="99">
        <f>ventas_b_mes1255[[#This Row],[TOTAL]]/1.21</f>
        <v>0</v>
      </c>
      <c r="I2116" s="64">
        <f>ventas_b_mes1255[[#This Row],[IMPORTE NETO]]*0.21</f>
        <v>0</v>
      </c>
      <c r="J2116" s="140"/>
      <c r="K2116" s="140"/>
      <c r="L2116" s="140"/>
      <c r="M2116" s="59"/>
    </row>
    <row r="2117" spans="2:13" x14ac:dyDescent="0.25">
      <c r="B2117" s="134"/>
      <c r="C2117" s="41"/>
      <c r="D2117" s="136"/>
      <c r="E2117" s="137"/>
      <c r="F2117" s="138"/>
      <c r="G2117" s="1" t="str">
        <f>IFERROR(IF(ventas_b_mes1255[[#This Row],[CUIT]]="","-",VLOOKUP(ventas_b_mes1255[[#This Row],[CUIT]],Lista_CUIT[#All],2,0)),"CUIT NO CARGADO")</f>
        <v>-</v>
      </c>
      <c r="H2117" s="99">
        <f>ventas_b_mes1255[[#This Row],[TOTAL]]/1.21</f>
        <v>0</v>
      </c>
      <c r="I2117" s="64">
        <f>ventas_b_mes1255[[#This Row],[IMPORTE NETO]]*0.21</f>
        <v>0</v>
      </c>
      <c r="J2117" s="140"/>
      <c r="K2117" s="140"/>
      <c r="L2117" s="140"/>
      <c r="M2117" s="59"/>
    </row>
    <row r="2118" spans="2:13" x14ac:dyDescent="0.25">
      <c r="B2118" s="134"/>
      <c r="C2118" s="41"/>
      <c r="D2118" s="136"/>
      <c r="E2118" s="137"/>
      <c r="F2118" s="138"/>
      <c r="G2118" s="1" t="str">
        <f>IFERROR(IF(ventas_b_mes1255[[#This Row],[CUIT]]="","-",VLOOKUP(ventas_b_mes1255[[#This Row],[CUIT]],Lista_CUIT[#All],2,0)),"CUIT NO CARGADO")</f>
        <v>-</v>
      </c>
      <c r="H2118" s="99">
        <f>ventas_b_mes1255[[#This Row],[TOTAL]]/1.21</f>
        <v>0</v>
      </c>
      <c r="I2118" s="64">
        <f>ventas_b_mes1255[[#This Row],[IMPORTE NETO]]*0.21</f>
        <v>0</v>
      </c>
      <c r="J2118" s="140"/>
      <c r="K2118" s="140"/>
      <c r="L2118" s="140"/>
      <c r="M2118" s="59"/>
    </row>
    <row r="2119" spans="2:13" x14ac:dyDescent="0.25">
      <c r="B2119" s="134"/>
      <c r="C2119" s="41"/>
      <c r="D2119" s="136"/>
      <c r="E2119" s="137"/>
      <c r="F2119" s="138"/>
      <c r="G2119" s="1" t="str">
        <f>IFERROR(IF(ventas_b_mes1255[[#This Row],[CUIT]]="","-",VLOOKUP(ventas_b_mes1255[[#This Row],[CUIT]],Lista_CUIT[#All],2,0)),"CUIT NO CARGADO")</f>
        <v>-</v>
      </c>
      <c r="H2119" s="99">
        <f>ventas_b_mes1255[[#This Row],[TOTAL]]/1.21</f>
        <v>0</v>
      </c>
      <c r="I2119" s="64">
        <f>ventas_b_mes1255[[#This Row],[IMPORTE NETO]]*0.21</f>
        <v>0</v>
      </c>
      <c r="J2119" s="140"/>
      <c r="K2119" s="140"/>
      <c r="L2119" s="140"/>
      <c r="M2119" s="59"/>
    </row>
    <row r="2120" spans="2:13" x14ac:dyDescent="0.25">
      <c r="B2120" s="134"/>
      <c r="C2120" s="41"/>
      <c r="D2120" s="136"/>
      <c r="E2120" s="137"/>
      <c r="F2120" s="138"/>
      <c r="G2120" s="1" t="str">
        <f>IFERROR(IF(ventas_b_mes1255[[#This Row],[CUIT]]="","-",VLOOKUP(ventas_b_mes1255[[#This Row],[CUIT]],Lista_CUIT[#All],2,0)),"CUIT NO CARGADO")</f>
        <v>-</v>
      </c>
      <c r="H2120" s="99">
        <f>ventas_b_mes1255[[#This Row],[TOTAL]]/1.21</f>
        <v>0</v>
      </c>
      <c r="I2120" s="64">
        <f>ventas_b_mes1255[[#This Row],[IMPORTE NETO]]*0.21</f>
        <v>0</v>
      </c>
      <c r="J2120" s="140"/>
      <c r="K2120" s="140"/>
      <c r="L2120" s="140"/>
      <c r="M2120" s="59"/>
    </row>
    <row r="2121" spans="2:13" x14ac:dyDescent="0.25">
      <c r="B2121" s="134"/>
      <c r="C2121" s="41"/>
      <c r="D2121" s="136"/>
      <c r="E2121" s="137"/>
      <c r="F2121" s="138"/>
      <c r="G2121" s="1" t="str">
        <f>IFERROR(IF(ventas_b_mes1255[[#This Row],[CUIT]]="","-",VLOOKUP(ventas_b_mes1255[[#This Row],[CUIT]],Lista_CUIT[#All],2,0)),"CUIT NO CARGADO")</f>
        <v>-</v>
      </c>
      <c r="H2121" s="99">
        <f>ventas_b_mes1255[[#This Row],[TOTAL]]/1.21</f>
        <v>0</v>
      </c>
      <c r="I2121" s="64">
        <f>ventas_b_mes1255[[#This Row],[IMPORTE NETO]]*0.21</f>
        <v>0</v>
      </c>
      <c r="J2121" s="140"/>
      <c r="K2121" s="140"/>
      <c r="L2121" s="140"/>
      <c r="M2121" s="59"/>
    </row>
    <row r="2122" spans="2:13" x14ac:dyDescent="0.25">
      <c r="B2122" s="134"/>
      <c r="C2122" s="41"/>
      <c r="D2122" s="136"/>
      <c r="E2122" s="137"/>
      <c r="F2122" s="138"/>
      <c r="G2122" s="1" t="str">
        <f>IFERROR(IF(ventas_b_mes1255[[#This Row],[CUIT]]="","-",VLOOKUP(ventas_b_mes1255[[#This Row],[CUIT]],Lista_CUIT[#All],2,0)),"CUIT NO CARGADO")</f>
        <v>-</v>
      </c>
      <c r="H2122" s="99">
        <f>ventas_b_mes1255[[#This Row],[TOTAL]]/1.21</f>
        <v>0</v>
      </c>
      <c r="I2122" s="64">
        <f>ventas_b_mes1255[[#This Row],[IMPORTE NETO]]*0.21</f>
        <v>0</v>
      </c>
      <c r="J2122" s="140"/>
      <c r="K2122" s="140"/>
      <c r="L2122" s="140"/>
      <c r="M2122" s="59"/>
    </row>
    <row r="2123" spans="2:13" x14ac:dyDescent="0.25">
      <c r="B2123" s="134"/>
      <c r="C2123" s="41"/>
      <c r="D2123" s="136"/>
      <c r="E2123" s="137"/>
      <c r="F2123" s="138"/>
      <c r="G2123" s="1" t="str">
        <f>IFERROR(IF(ventas_b_mes1255[[#This Row],[CUIT]]="","-",VLOOKUP(ventas_b_mes1255[[#This Row],[CUIT]],Lista_CUIT[#All],2,0)),"CUIT NO CARGADO")</f>
        <v>-</v>
      </c>
      <c r="H2123" s="99">
        <f>ventas_b_mes1255[[#This Row],[TOTAL]]/1.21</f>
        <v>0</v>
      </c>
      <c r="I2123" s="64">
        <f>ventas_b_mes1255[[#This Row],[IMPORTE NETO]]*0.21</f>
        <v>0</v>
      </c>
      <c r="J2123" s="140"/>
      <c r="K2123" s="140"/>
      <c r="L2123" s="140"/>
      <c r="M2123" s="59"/>
    </row>
    <row r="2124" spans="2:13" x14ac:dyDescent="0.25">
      <c r="B2124" s="134"/>
      <c r="C2124" s="41"/>
      <c r="D2124" s="136"/>
      <c r="E2124" s="137"/>
      <c r="F2124" s="138"/>
      <c r="G2124" s="1" t="str">
        <f>IFERROR(IF(ventas_b_mes1255[[#This Row],[CUIT]]="","-",VLOOKUP(ventas_b_mes1255[[#This Row],[CUIT]],Lista_CUIT[#All],2,0)),"CUIT NO CARGADO")</f>
        <v>-</v>
      </c>
      <c r="H2124" s="99">
        <f>ventas_b_mes1255[[#This Row],[TOTAL]]/1.21</f>
        <v>0</v>
      </c>
      <c r="I2124" s="64">
        <f>ventas_b_mes1255[[#This Row],[IMPORTE NETO]]*0.21</f>
        <v>0</v>
      </c>
      <c r="J2124" s="140"/>
      <c r="K2124" s="140"/>
      <c r="L2124" s="140"/>
      <c r="M2124" s="59"/>
    </row>
    <row r="2125" spans="2:13" x14ac:dyDescent="0.25">
      <c r="B2125" s="134"/>
      <c r="C2125" s="41"/>
      <c r="D2125" s="136"/>
      <c r="E2125" s="137"/>
      <c r="F2125" s="138"/>
      <c r="G2125" s="1" t="str">
        <f>IFERROR(IF(ventas_b_mes1255[[#This Row],[CUIT]]="","-",VLOOKUP(ventas_b_mes1255[[#This Row],[CUIT]],Lista_CUIT[#All],2,0)),"CUIT NO CARGADO")</f>
        <v>-</v>
      </c>
      <c r="H2125" s="99">
        <f>ventas_b_mes1255[[#This Row],[TOTAL]]/1.21</f>
        <v>0</v>
      </c>
      <c r="I2125" s="64">
        <f>ventas_b_mes1255[[#This Row],[IMPORTE NETO]]*0.21</f>
        <v>0</v>
      </c>
      <c r="J2125" s="140"/>
      <c r="K2125" s="140"/>
      <c r="L2125" s="140"/>
      <c r="M2125" s="59"/>
    </row>
    <row r="2126" spans="2:13" x14ac:dyDescent="0.25">
      <c r="B2126" s="134"/>
      <c r="C2126" s="41"/>
      <c r="D2126" s="136"/>
      <c r="E2126" s="137"/>
      <c r="F2126" s="138"/>
      <c r="G2126" s="1" t="str">
        <f>IFERROR(IF(ventas_b_mes1255[[#This Row],[CUIT]]="","-",VLOOKUP(ventas_b_mes1255[[#This Row],[CUIT]],Lista_CUIT[#All],2,0)),"CUIT NO CARGADO")</f>
        <v>-</v>
      </c>
      <c r="H2126" s="99">
        <f>ventas_b_mes1255[[#This Row],[TOTAL]]/1.21</f>
        <v>0</v>
      </c>
      <c r="I2126" s="64">
        <f>ventas_b_mes1255[[#This Row],[IMPORTE NETO]]*0.21</f>
        <v>0</v>
      </c>
      <c r="J2126" s="140"/>
      <c r="K2126" s="140"/>
      <c r="L2126" s="140"/>
      <c r="M2126" s="59"/>
    </row>
    <row r="2127" spans="2:13" x14ac:dyDescent="0.25">
      <c r="B2127" s="134"/>
      <c r="C2127" s="41"/>
      <c r="D2127" s="136"/>
      <c r="E2127" s="137"/>
      <c r="F2127" s="138"/>
      <c r="G2127" s="1" t="str">
        <f>IFERROR(IF(ventas_b_mes1255[[#This Row],[CUIT]]="","-",VLOOKUP(ventas_b_mes1255[[#This Row],[CUIT]],Lista_CUIT[#All],2,0)),"CUIT NO CARGADO")</f>
        <v>-</v>
      </c>
      <c r="H2127" s="99">
        <f>ventas_b_mes1255[[#This Row],[TOTAL]]/1.21</f>
        <v>0</v>
      </c>
      <c r="I2127" s="64">
        <f>ventas_b_mes1255[[#This Row],[IMPORTE NETO]]*0.21</f>
        <v>0</v>
      </c>
      <c r="J2127" s="140"/>
      <c r="K2127" s="140"/>
      <c r="L2127" s="140"/>
      <c r="M2127" s="59"/>
    </row>
    <row r="2128" spans="2:13" x14ac:dyDescent="0.25">
      <c r="B2128" s="134"/>
      <c r="C2128" s="41"/>
      <c r="D2128" s="136"/>
      <c r="E2128" s="137"/>
      <c r="F2128" s="138"/>
      <c r="G2128" s="1" t="str">
        <f>IFERROR(IF(ventas_b_mes1255[[#This Row],[CUIT]]="","-",VLOOKUP(ventas_b_mes1255[[#This Row],[CUIT]],Lista_CUIT[#All],2,0)),"CUIT NO CARGADO")</f>
        <v>-</v>
      </c>
      <c r="H2128" s="99">
        <f>ventas_b_mes1255[[#This Row],[TOTAL]]/1.21</f>
        <v>0</v>
      </c>
      <c r="I2128" s="64">
        <f>ventas_b_mes1255[[#This Row],[IMPORTE NETO]]*0.21</f>
        <v>0</v>
      </c>
      <c r="J2128" s="140"/>
      <c r="K2128" s="140"/>
      <c r="L2128" s="140"/>
      <c r="M2128" s="59"/>
    </row>
    <row r="2129" spans="2:13" x14ac:dyDescent="0.25">
      <c r="B2129" s="134"/>
      <c r="C2129" s="41"/>
      <c r="D2129" s="136"/>
      <c r="E2129" s="137"/>
      <c r="F2129" s="138"/>
      <c r="G2129" s="1" t="str">
        <f>IFERROR(IF(ventas_b_mes1255[[#This Row],[CUIT]]="","-",VLOOKUP(ventas_b_mes1255[[#This Row],[CUIT]],Lista_CUIT[#All],2,0)),"CUIT NO CARGADO")</f>
        <v>-</v>
      </c>
      <c r="H2129" s="99">
        <f>ventas_b_mes1255[[#This Row],[TOTAL]]/1.21</f>
        <v>0</v>
      </c>
      <c r="I2129" s="64">
        <f>ventas_b_mes1255[[#This Row],[IMPORTE NETO]]*0.21</f>
        <v>0</v>
      </c>
      <c r="J2129" s="140"/>
      <c r="K2129" s="140"/>
      <c r="L2129" s="140"/>
      <c r="M2129" s="59"/>
    </row>
    <row r="2130" spans="2:13" x14ac:dyDescent="0.25">
      <c r="B2130" s="134"/>
      <c r="C2130" s="41"/>
      <c r="D2130" s="136"/>
      <c r="E2130" s="137"/>
      <c r="F2130" s="138"/>
      <c r="G2130" s="1" t="str">
        <f>IFERROR(IF(ventas_b_mes1255[[#This Row],[CUIT]]="","-",VLOOKUP(ventas_b_mes1255[[#This Row],[CUIT]],Lista_CUIT[#All],2,0)),"CUIT NO CARGADO")</f>
        <v>-</v>
      </c>
      <c r="H2130" s="99">
        <f>ventas_b_mes1255[[#This Row],[TOTAL]]/1.21</f>
        <v>0</v>
      </c>
      <c r="I2130" s="64">
        <f>ventas_b_mes1255[[#This Row],[IMPORTE NETO]]*0.21</f>
        <v>0</v>
      </c>
      <c r="J2130" s="140"/>
      <c r="K2130" s="140"/>
      <c r="L2130" s="140"/>
      <c r="M2130" s="59"/>
    </row>
    <row r="2131" spans="2:13" x14ac:dyDescent="0.25">
      <c r="B2131" s="134"/>
      <c r="C2131" s="41"/>
      <c r="D2131" s="136"/>
      <c r="E2131" s="137"/>
      <c r="F2131" s="138"/>
      <c r="G2131" s="1" t="str">
        <f>IFERROR(IF(ventas_b_mes1255[[#This Row],[CUIT]]="","-",VLOOKUP(ventas_b_mes1255[[#This Row],[CUIT]],Lista_CUIT[#All],2,0)),"CUIT NO CARGADO")</f>
        <v>-</v>
      </c>
      <c r="H2131" s="99">
        <f>ventas_b_mes1255[[#This Row],[TOTAL]]/1.21</f>
        <v>0</v>
      </c>
      <c r="I2131" s="64">
        <f>ventas_b_mes1255[[#This Row],[IMPORTE NETO]]*0.21</f>
        <v>0</v>
      </c>
      <c r="J2131" s="140"/>
      <c r="K2131" s="140"/>
      <c r="L2131" s="140"/>
      <c r="M2131" s="59"/>
    </row>
    <row r="2132" spans="2:13" x14ac:dyDescent="0.25">
      <c r="B2132" s="134"/>
      <c r="C2132" s="41"/>
      <c r="D2132" s="136"/>
      <c r="E2132" s="137"/>
      <c r="F2132" s="138"/>
      <c r="G2132" s="1" t="str">
        <f>IFERROR(IF(ventas_b_mes1255[[#This Row],[CUIT]]="","-",VLOOKUP(ventas_b_mes1255[[#This Row],[CUIT]],Lista_CUIT[#All],2,0)),"CUIT NO CARGADO")</f>
        <v>-</v>
      </c>
      <c r="H2132" s="99">
        <f>ventas_b_mes1255[[#This Row],[TOTAL]]/1.21</f>
        <v>0</v>
      </c>
      <c r="I2132" s="64">
        <f>ventas_b_mes1255[[#This Row],[IMPORTE NETO]]*0.21</f>
        <v>0</v>
      </c>
      <c r="J2132" s="140"/>
      <c r="K2132" s="140"/>
      <c r="L2132" s="140"/>
      <c r="M2132" s="59"/>
    </row>
    <row r="2133" spans="2:13" x14ac:dyDescent="0.25">
      <c r="B2133" s="134"/>
      <c r="C2133" s="41"/>
      <c r="D2133" s="136"/>
      <c r="E2133" s="137"/>
      <c r="F2133" s="138"/>
      <c r="G2133" s="1" t="str">
        <f>IFERROR(IF(ventas_b_mes1255[[#This Row],[CUIT]]="","-",VLOOKUP(ventas_b_mes1255[[#This Row],[CUIT]],Lista_CUIT[#All],2,0)),"CUIT NO CARGADO")</f>
        <v>-</v>
      </c>
      <c r="H2133" s="99">
        <f>ventas_b_mes1255[[#This Row],[TOTAL]]/1.21</f>
        <v>0</v>
      </c>
      <c r="I2133" s="64">
        <f>ventas_b_mes1255[[#This Row],[IMPORTE NETO]]*0.21</f>
        <v>0</v>
      </c>
      <c r="J2133" s="140"/>
      <c r="K2133" s="140"/>
      <c r="L2133" s="140"/>
      <c r="M2133" s="59"/>
    </row>
    <row r="2134" spans="2:13" x14ac:dyDescent="0.25">
      <c r="B2134" s="134"/>
      <c r="C2134" s="41"/>
      <c r="D2134" s="136"/>
      <c r="E2134" s="137"/>
      <c r="F2134" s="138"/>
      <c r="G2134" s="1" t="str">
        <f>IFERROR(IF(ventas_b_mes1255[[#This Row],[CUIT]]="","-",VLOOKUP(ventas_b_mes1255[[#This Row],[CUIT]],Lista_CUIT[#All],2,0)),"CUIT NO CARGADO")</f>
        <v>-</v>
      </c>
      <c r="H2134" s="99">
        <f>ventas_b_mes1255[[#This Row],[TOTAL]]/1.21</f>
        <v>0</v>
      </c>
      <c r="I2134" s="64">
        <f>ventas_b_mes1255[[#This Row],[IMPORTE NETO]]*0.21</f>
        <v>0</v>
      </c>
      <c r="J2134" s="140"/>
      <c r="K2134" s="140"/>
      <c r="L2134" s="140"/>
      <c r="M2134" s="59"/>
    </row>
    <row r="2135" spans="2:13" x14ac:dyDescent="0.25">
      <c r="B2135" s="134"/>
      <c r="C2135" s="41"/>
      <c r="D2135" s="136"/>
      <c r="E2135" s="137"/>
      <c r="F2135" s="138"/>
      <c r="G2135" s="1" t="str">
        <f>IFERROR(IF(ventas_b_mes1255[[#This Row],[CUIT]]="","-",VLOOKUP(ventas_b_mes1255[[#This Row],[CUIT]],Lista_CUIT[#All],2,0)),"CUIT NO CARGADO")</f>
        <v>-</v>
      </c>
      <c r="H2135" s="99">
        <f>ventas_b_mes1255[[#This Row],[TOTAL]]/1.21</f>
        <v>0</v>
      </c>
      <c r="I2135" s="64">
        <f>ventas_b_mes1255[[#This Row],[IMPORTE NETO]]*0.21</f>
        <v>0</v>
      </c>
      <c r="J2135" s="140"/>
      <c r="K2135" s="140"/>
      <c r="L2135" s="140"/>
      <c r="M2135" s="59"/>
    </row>
    <row r="2136" spans="2:13" x14ac:dyDescent="0.25">
      <c r="B2136" s="134"/>
      <c r="C2136" s="41"/>
      <c r="D2136" s="136"/>
      <c r="E2136" s="137"/>
      <c r="F2136" s="138"/>
      <c r="G2136" s="1" t="str">
        <f>IFERROR(IF(ventas_b_mes1255[[#This Row],[CUIT]]="","-",VLOOKUP(ventas_b_mes1255[[#This Row],[CUIT]],Lista_CUIT[#All],2,0)),"CUIT NO CARGADO")</f>
        <v>-</v>
      </c>
      <c r="H2136" s="99">
        <f>ventas_b_mes1255[[#This Row],[TOTAL]]/1.21</f>
        <v>0</v>
      </c>
      <c r="I2136" s="64">
        <f>ventas_b_mes1255[[#This Row],[IMPORTE NETO]]*0.21</f>
        <v>0</v>
      </c>
      <c r="J2136" s="140"/>
      <c r="K2136" s="140"/>
      <c r="L2136" s="140"/>
      <c r="M2136" s="59"/>
    </row>
    <row r="2137" spans="2:13" x14ac:dyDescent="0.25">
      <c r="B2137" s="134"/>
      <c r="C2137" s="41"/>
      <c r="D2137" s="136"/>
      <c r="E2137" s="137"/>
      <c r="F2137" s="138"/>
      <c r="G2137" s="1" t="str">
        <f>IFERROR(IF(ventas_b_mes1255[[#This Row],[CUIT]]="","-",VLOOKUP(ventas_b_mes1255[[#This Row],[CUIT]],Lista_CUIT[#All],2,0)),"CUIT NO CARGADO")</f>
        <v>-</v>
      </c>
      <c r="H2137" s="99">
        <f>ventas_b_mes1255[[#This Row],[TOTAL]]/1.21</f>
        <v>0</v>
      </c>
      <c r="I2137" s="64">
        <f>ventas_b_mes1255[[#This Row],[IMPORTE NETO]]*0.21</f>
        <v>0</v>
      </c>
      <c r="J2137" s="140"/>
      <c r="K2137" s="140"/>
      <c r="L2137" s="140"/>
      <c r="M2137" s="59"/>
    </row>
    <row r="2138" spans="2:13" x14ac:dyDescent="0.25">
      <c r="B2138" s="134"/>
      <c r="C2138" s="41"/>
      <c r="D2138" s="136"/>
      <c r="E2138" s="137"/>
      <c r="F2138" s="138"/>
      <c r="G2138" s="1" t="str">
        <f>IFERROR(IF(ventas_b_mes1255[[#This Row],[CUIT]]="","-",VLOOKUP(ventas_b_mes1255[[#This Row],[CUIT]],Lista_CUIT[#All],2,0)),"CUIT NO CARGADO")</f>
        <v>-</v>
      </c>
      <c r="H2138" s="99">
        <f>ventas_b_mes1255[[#This Row],[TOTAL]]/1.21</f>
        <v>0</v>
      </c>
      <c r="I2138" s="64">
        <f>ventas_b_mes1255[[#This Row],[IMPORTE NETO]]*0.21</f>
        <v>0</v>
      </c>
      <c r="J2138" s="140"/>
      <c r="K2138" s="140"/>
      <c r="L2138" s="140"/>
      <c r="M2138" s="59"/>
    </row>
    <row r="2139" spans="2:13" x14ac:dyDescent="0.25">
      <c r="B2139" s="134"/>
      <c r="C2139" s="41"/>
      <c r="D2139" s="136"/>
      <c r="E2139" s="137"/>
      <c r="F2139" s="138"/>
      <c r="G2139" s="1" t="str">
        <f>IFERROR(IF(ventas_b_mes1255[[#This Row],[CUIT]]="","-",VLOOKUP(ventas_b_mes1255[[#This Row],[CUIT]],Lista_CUIT[#All],2,0)),"CUIT NO CARGADO")</f>
        <v>-</v>
      </c>
      <c r="H2139" s="99">
        <f>ventas_b_mes1255[[#This Row],[TOTAL]]/1.21</f>
        <v>0</v>
      </c>
      <c r="I2139" s="64">
        <f>ventas_b_mes1255[[#This Row],[IMPORTE NETO]]*0.21</f>
        <v>0</v>
      </c>
      <c r="J2139" s="140"/>
      <c r="K2139" s="140"/>
      <c r="L2139" s="140"/>
      <c r="M2139" s="59"/>
    </row>
    <row r="2140" spans="2:13" x14ac:dyDescent="0.25">
      <c r="B2140" s="134"/>
      <c r="C2140" s="41"/>
      <c r="D2140" s="136"/>
      <c r="E2140" s="137"/>
      <c r="F2140" s="138"/>
      <c r="G2140" s="1" t="str">
        <f>IFERROR(IF(ventas_b_mes1255[[#This Row],[CUIT]]="","-",VLOOKUP(ventas_b_mes1255[[#This Row],[CUIT]],Lista_CUIT[#All],2,0)),"CUIT NO CARGADO")</f>
        <v>-</v>
      </c>
      <c r="H2140" s="99">
        <f>ventas_b_mes1255[[#This Row],[TOTAL]]/1.21</f>
        <v>0</v>
      </c>
      <c r="I2140" s="64">
        <f>ventas_b_mes1255[[#This Row],[IMPORTE NETO]]*0.21</f>
        <v>0</v>
      </c>
      <c r="J2140" s="140"/>
      <c r="K2140" s="140"/>
      <c r="L2140" s="140"/>
      <c r="M2140" s="59"/>
    </row>
    <row r="2141" spans="2:13" x14ac:dyDescent="0.25">
      <c r="B2141" s="134"/>
      <c r="C2141" s="41"/>
      <c r="D2141" s="136"/>
      <c r="E2141" s="137"/>
      <c r="F2141" s="138"/>
      <c r="G2141" s="1" t="str">
        <f>IFERROR(IF(ventas_b_mes1255[[#This Row],[CUIT]]="","-",VLOOKUP(ventas_b_mes1255[[#This Row],[CUIT]],Lista_CUIT[#All],2,0)),"CUIT NO CARGADO")</f>
        <v>-</v>
      </c>
      <c r="H2141" s="99">
        <f>ventas_b_mes1255[[#This Row],[TOTAL]]/1.21</f>
        <v>0</v>
      </c>
      <c r="I2141" s="64">
        <f>ventas_b_mes1255[[#This Row],[IMPORTE NETO]]*0.21</f>
        <v>0</v>
      </c>
      <c r="J2141" s="140"/>
      <c r="K2141" s="140"/>
      <c r="L2141" s="140"/>
      <c r="M2141" s="59"/>
    </row>
    <row r="2142" spans="2:13" x14ac:dyDescent="0.25">
      <c r="B2142" s="134"/>
      <c r="C2142" s="41"/>
      <c r="D2142" s="136"/>
      <c r="E2142" s="137"/>
      <c r="F2142" s="138"/>
      <c r="G2142" s="1" t="str">
        <f>IFERROR(IF(ventas_b_mes1255[[#This Row],[CUIT]]="","-",VLOOKUP(ventas_b_mes1255[[#This Row],[CUIT]],Lista_CUIT[#All],2,0)),"CUIT NO CARGADO")</f>
        <v>-</v>
      </c>
      <c r="H2142" s="99">
        <f>ventas_b_mes1255[[#This Row],[TOTAL]]/1.21</f>
        <v>0</v>
      </c>
      <c r="I2142" s="64">
        <f>ventas_b_mes1255[[#This Row],[IMPORTE NETO]]*0.21</f>
        <v>0</v>
      </c>
      <c r="J2142" s="140"/>
      <c r="K2142" s="140"/>
      <c r="L2142" s="140"/>
      <c r="M2142" s="59"/>
    </row>
    <row r="2143" spans="2:13" x14ac:dyDescent="0.25">
      <c r="B2143" s="134"/>
      <c r="C2143" s="41"/>
      <c r="D2143" s="136"/>
      <c r="E2143" s="137"/>
      <c r="F2143" s="138"/>
      <c r="G2143" s="1" t="str">
        <f>IFERROR(IF(ventas_b_mes1255[[#This Row],[CUIT]]="","-",VLOOKUP(ventas_b_mes1255[[#This Row],[CUIT]],Lista_CUIT[#All],2,0)),"CUIT NO CARGADO")</f>
        <v>-</v>
      </c>
      <c r="H2143" s="99">
        <f>ventas_b_mes1255[[#This Row],[TOTAL]]/1.21</f>
        <v>0</v>
      </c>
      <c r="I2143" s="64">
        <f>ventas_b_mes1255[[#This Row],[IMPORTE NETO]]*0.21</f>
        <v>0</v>
      </c>
      <c r="J2143" s="140"/>
      <c r="K2143" s="140"/>
      <c r="L2143" s="140"/>
      <c r="M2143" s="59"/>
    </row>
    <row r="2144" spans="2:13" x14ac:dyDescent="0.25">
      <c r="B2144" s="134"/>
      <c r="C2144" s="41"/>
      <c r="D2144" s="136"/>
      <c r="E2144" s="137"/>
      <c r="F2144" s="138"/>
      <c r="G2144" s="1" t="str">
        <f>IFERROR(IF(ventas_b_mes1255[[#This Row],[CUIT]]="","-",VLOOKUP(ventas_b_mes1255[[#This Row],[CUIT]],Lista_CUIT[#All],2,0)),"CUIT NO CARGADO")</f>
        <v>-</v>
      </c>
      <c r="H2144" s="99">
        <f>ventas_b_mes1255[[#This Row],[TOTAL]]/1.21</f>
        <v>0</v>
      </c>
      <c r="I2144" s="64">
        <f>ventas_b_mes1255[[#This Row],[IMPORTE NETO]]*0.21</f>
        <v>0</v>
      </c>
      <c r="J2144" s="140"/>
      <c r="K2144" s="140"/>
      <c r="L2144" s="140"/>
      <c r="M2144" s="59"/>
    </row>
    <row r="2145" spans="2:13" x14ac:dyDescent="0.25">
      <c r="B2145" s="134"/>
      <c r="C2145" s="41"/>
      <c r="D2145" s="136"/>
      <c r="E2145" s="137"/>
      <c r="F2145" s="138"/>
      <c r="G2145" s="1" t="str">
        <f>IFERROR(IF(ventas_b_mes1255[[#This Row],[CUIT]]="","-",VLOOKUP(ventas_b_mes1255[[#This Row],[CUIT]],Lista_CUIT[#All],2,0)),"CUIT NO CARGADO")</f>
        <v>-</v>
      </c>
      <c r="H2145" s="99">
        <f>ventas_b_mes1255[[#This Row],[TOTAL]]/1.21</f>
        <v>0</v>
      </c>
      <c r="I2145" s="64">
        <f>ventas_b_mes1255[[#This Row],[IMPORTE NETO]]*0.21</f>
        <v>0</v>
      </c>
      <c r="J2145" s="140"/>
      <c r="K2145" s="140"/>
      <c r="L2145" s="140"/>
      <c r="M2145" s="59"/>
    </row>
    <row r="2146" spans="2:13" x14ac:dyDescent="0.25">
      <c r="B2146" s="134"/>
      <c r="C2146" s="41"/>
      <c r="D2146" s="136"/>
      <c r="E2146" s="137"/>
      <c r="F2146" s="138"/>
      <c r="G2146" s="1" t="str">
        <f>IFERROR(IF(ventas_b_mes1255[[#This Row],[CUIT]]="","-",VLOOKUP(ventas_b_mes1255[[#This Row],[CUIT]],Lista_CUIT[#All],2,0)),"CUIT NO CARGADO")</f>
        <v>-</v>
      </c>
      <c r="H2146" s="99">
        <f>ventas_b_mes1255[[#This Row],[TOTAL]]/1.21</f>
        <v>0</v>
      </c>
      <c r="I2146" s="64">
        <f>ventas_b_mes1255[[#This Row],[IMPORTE NETO]]*0.21</f>
        <v>0</v>
      </c>
      <c r="J2146" s="140"/>
      <c r="K2146" s="140"/>
      <c r="L2146" s="140"/>
      <c r="M2146" s="59"/>
    </row>
    <row r="2147" spans="2:13" x14ac:dyDescent="0.25">
      <c r="B2147" s="134"/>
      <c r="C2147" s="41"/>
      <c r="D2147" s="136"/>
      <c r="E2147" s="137"/>
      <c r="F2147" s="138"/>
      <c r="G2147" s="1" t="str">
        <f>IFERROR(IF(ventas_b_mes1255[[#This Row],[CUIT]]="","-",VLOOKUP(ventas_b_mes1255[[#This Row],[CUIT]],Lista_CUIT[#All],2,0)),"CUIT NO CARGADO")</f>
        <v>-</v>
      </c>
      <c r="H2147" s="99">
        <f>ventas_b_mes1255[[#This Row],[TOTAL]]/1.21</f>
        <v>0</v>
      </c>
      <c r="I2147" s="64">
        <f>ventas_b_mes1255[[#This Row],[IMPORTE NETO]]*0.21</f>
        <v>0</v>
      </c>
      <c r="J2147" s="140"/>
      <c r="K2147" s="140"/>
      <c r="L2147" s="140"/>
      <c r="M2147" s="59"/>
    </row>
    <row r="2148" spans="2:13" x14ac:dyDescent="0.25">
      <c r="B2148" s="134"/>
      <c r="C2148" s="41"/>
      <c r="D2148" s="136"/>
      <c r="E2148" s="137"/>
      <c r="F2148" s="138"/>
      <c r="G2148" s="1" t="str">
        <f>IFERROR(IF(ventas_b_mes1255[[#This Row],[CUIT]]="","-",VLOOKUP(ventas_b_mes1255[[#This Row],[CUIT]],Lista_CUIT[#All],2,0)),"CUIT NO CARGADO")</f>
        <v>-</v>
      </c>
      <c r="H2148" s="99">
        <f>ventas_b_mes1255[[#This Row],[TOTAL]]/1.21</f>
        <v>0</v>
      </c>
      <c r="I2148" s="64">
        <f>ventas_b_mes1255[[#This Row],[IMPORTE NETO]]*0.21</f>
        <v>0</v>
      </c>
      <c r="J2148" s="140"/>
      <c r="K2148" s="140"/>
      <c r="L2148" s="140"/>
      <c r="M2148" s="59"/>
    </row>
    <row r="2149" spans="2:13" x14ac:dyDescent="0.25">
      <c r="B2149" s="134"/>
      <c r="C2149" s="41"/>
      <c r="D2149" s="136"/>
      <c r="E2149" s="137"/>
      <c r="F2149" s="138"/>
      <c r="G2149" s="1" t="str">
        <f>IFERROR(IF(ventas_b_mes1255[[#This Row],[CUIT]]="","-",VLOOKUP(ventas_b_mes1255[[#This Row],[CUIT]],Lista_CUIT[#All],2,0)),"CUIT NO CARGADO")</f>
        <v>-</v>
      </c>
      <c r="H2149" s="99">
        <f>ventas_b_mes1255[[#This Row],[TOTAL]]/1.21</f>
        <v>0</v>
      </c>
      <c r="I2149" s="64">
        <f>ventas_b_mes1255[[#This Row],[IMPORTE NETO]]*0.21</f>
        <v>0</v>
      </c>
      <c r="J2149" s="140"/>
      <c r="K2149" s="140"/>
      <c r="L2149" s="140"/>
      <c r="M2149" s="59"/>
    </row>
    <row r="2150" spans="2:13" x14ac:dyDescent="0.25">
      <c r="B2150" s="134"/>
      <c r="C2150" s="41"/>
      <c r="D2150" s="136"/>
      <c r="E2150" s="137"/>
      <c r="F2150" s="138"/>
      <c r="G2150" s="1" t="str">
        <f>IFERROR(IF(ventas_b_mes1255[[#This Row],[CUIT]]="","-",VLOOKUP(ventas_b_mes1255[[#This Row],[CUIT]],Lista_CUIT[#All],2,0)),"CUIT NO CARGADO")</f>
        <v>-</v>
      </c>
      <c r="H2150" s="99">
        <f>ventas_b_mes1255[[#This Row],[TOTAL]]/1.21</f>
        <v>0</v>
      </c>
      <c r="I2150" s="64">
        <f>ventas_b_mes1255[[#This Row],[IMPORTE NETO]]*0.21</f>
        <v>0</v>
      </c>
      <c r="J2150" s="140"/>
      <c r="K2150" s="140"/>
      <c r="L2150" s="140"/>
      <c r="M2150" s="59"/>
    </row>
    <row r="2151" spans="2:13" x14ac:dyDescent="0.25">
      <c r="B2151" s="134"/>
      <c r="C2151" s="41"/>
      <c r="D2151" s="136"/>
      <c r="E2151" s="137"/>
      <c r="F2151" s="138"/>
      <c r="G2151" s="1" t="str">
        <f>IFERROR(IF(ventas_b_mes1255[[#This Row],[CUIT]]="","-",VLOOKUP(ventas_b_mes1255[[#This Row],[CUIT]],Lista_CUIT[#All],2,0)),"CUIT NO CARGADO")</f>
        <v>-</v>
      </c>
      <c r="H2151" s="99">
        <f>ventas_b_mes1255[[#This Row],[TOTAL]]/1.21</f>
        <v>0</v>
      </c>
      <c r="I2151" s="64">
        <f>ventas_b_mes1255[[#This Row],[IMPORTE NETO]]*0.21</f>
        <v>0</v>
      </c>
      <c r="J2151" s="140"/>
      <c r="K2151" s="140"/>
      <c r="L2151" s="140"/>
      <c r="M2151" s="59"/>
    </row>
    <row r="2152" spans="2:13" x14ac:dyDescent="0.25">
      <c r="B2152" s="134"/>
      <c r="C2152" s="41"/>
      <c r="D2152" s="136"/>
      <c r="E2152" s="137"/>
      <c r="F2152" s="138"/>
      <c r="G2152" s="1" t="str">
        <f>IFERROR(IF(ventas_b_mes1255[[#This Row],[CUIT]]="","-",VLOOKUP(ventas_b_mes1255[[#This Row],[CUIT]],Lista_CUIT[#All],2,0)),"CUIT NO CARGADO")</f>
        <v>-</v>
      </c>
      <c r="H2152" s="99">
        <f>ventas_b_mes1255[[#This Row],[TOTAL]]/1.21</f>
        <v>0</v>
      </c>
      <c r="I2152" s="64">
        <f>ventas_b_mes1255[[#This Row],[IMPORTE NETO]]*0.21</f>
        <v>0</v>
      </c>
      <c r="J2152" s="140"/>
      <c r="K2152" s="140"/>
      <c r="L2152" s="140"/>
      <c r="M2152" s="59"/>
    </row>
    <row r="2153" spans="2:13" x14ac:dyDescent="0.25">
      <c r="B2153" s="134"/>
      <c r="C2153" s="41"/>
      <c r="D2153" s="136"/>
      <c r="E2153" s="137"/>
      <c r="F2153" s="138"/>
      <c r="G2153" s="1" t="str">
        <f>IFERROR(IF(ventas_b_mes1255[[#This Row],[CUIT]]="","-",VLOOKUP(ventas_b_mes1255[[#This Row],[CUIT]],Lista_CUIT[#All],2,0)),"CUIT NO CARGADO")</f>
        <v>-</v>
      </c>
      <c r="H2153" s="99">
        <f>ventas_b_mes1255[[#This Row],[TOTAL]]/1.21</f>
        <v>0</v>
      </c>
      <c r="I2153" s="64">
        <f>ventas_b_mes1255[[#This Row],[IMPORTE NETO]]*0.21</f>
        <v>0</v>
      </c>
      <c r="J2153" s="140"/>
      <c r="K2153" s="140"/>
      <c r="L2153" s="140"/>
      <c r="M2153" s="59"/>
    </row>
    <row r="2154" spans="2:13" x14ac:dyDescent="0.25">
      <c r="B2154" s="134"/>
      <c r="C2154" s="41"/>
      <c r="D2154" s="136"/>
      <c r="E2154" s="137"/>
      <c r="F2154" s="138"/>
      <c r="G2154" s="1" t="str">
        <f>IFERROR(IF(ventas_b_mes1255[[#This Row],[CUIT]]="","-",VLOOKUP(ventas_b_mes1255[[#This Row],[CUIT]],Lista_CUIT[#All],2,0)),"CUIT NO CARGADO")</f>
        <v>-</v>
      </c>
      <c r="H2154" s="99">
        <f>ventas_b_mes1255[[#This Row],[TOTAL]]/1.21</f>
        <v>0</v>
      </c>
      <c r="I2154" s="64">
        <f>ventas_b_mes1255[[#This Row],[IMPORTE NETO]]*0.21</f>
        <v>0</v>
      </c>
      <c r="J2154" s="140"/>
      <c r="K2154" s="140"/>
      <c r="L2154" s="140"/>
      <c r="M2154" s="59"/>
    </row>
    <row r="2155" spans="2:13" x14ac:dyDescent="0.25">
      <c r="B2155" s="134"/>
      <c r="C2155" s="41"/>
      <c r="D2155" s="136"/>
      <c r="E2155" s="137"/>
      <c r="F2155" s="138"/>
      <c r="G2155" s="1" t="str">
        <f>IFERROR(IF(ventas_b_mes1255[[#This Row],[CUIT]]="","-",VLOOKUP(ventas_b_mes1255[[#This Row],[CUIT]],Lista_CUIT[#All],2,0)),"CUIT NO CARGADO")</f>
        <v>-</v>
      </c>
      <c r="H2155" s="99">
        <f>ventas_b_mes1255[[#This Row],[TOTAL]]/1.21</f>
        <v>0</v>
      </c>
      <c r="I2155" s="64">
        <f>ventas_b_mes1255[[#This Row],[IMPORTE NETO]]*0.21</f>
        <v>0</v>
      </c>
      <c r="J2155" s="140"/>
      <c r="K2155" s="140"/>
      <c r="L2155" s="140"/>
      <c r="M2155" s="59"/>
    </row>
    <row r="2156" spans="2:13" x14ac:dyDescent="0.25">
      <c r="B2156" s="134"/>
      <c r="C2156" s="41"/>
      <c r="D2156" s="136"/>
      <c r="E2156" s="137"/>
      <c r="F2156" s="138"/>
      <c r="G2156" s="1" t="str">
        <f>IFERROR(IF(ventas_b_mes1255[[#This Row],[CUIT]]="","-",VLOOKUP(ventas_b_mes1255[[#This Row],[CUIT]],Lista_CUIT[#All],2,0)),"CUIT NO CARGADO")</f>
        <v>-</v>
      </c>
      <c r="H2156" s="99">
        <f>ventas_b_mes1255[[#This Row],[TOTAL]]/1.21</f>
        <v>0</v>
      </c>
      <c r="I2156" s="64">
        <f>ventas_b_mes1255[[#This Row],[IMPORTE NETO]]*0.21</f>
        <v>0</v>
      </c>
      <c r="J2156" s="140"/>
      <c r="K2156" s="140"/>
      <c r="L2156" s="140"/>
      <c r="M2156" s="59"/>
    </row>
    <row r="2157" spans="2:13" x14ac:dyDescent="0.25">
      <c r="B2157" s="134"/>
      <c r="C2157" s="41"/>
      <c r="D2157" s="136"/>
      <c r="E2157" s="137"/>
      <c r="F2157" s="138"/>
      <c r="G2157" s="1" t="str">
        <f>IFERROR(IF(ventas_b_mes1255[[#This Row],[CUIT]]="","-",VLOOKUP(ventas_b_mes1255[[#This Row],[CUIT]],Lista_CUIT[#All],2,0)),"CUIT NO CARGADO")</f>
        <v>-</v>
      </c>
      <c r="H2157" s="99">
        <f>ventas_b_mes1255[[#This Row],[TOTAL]]/1.21</f>
        <v>0</v>
      </c>
      <c r="I2157" s="64">
        <f>ventas_b_mes1255[[#This Row],[IMPORTE NETO]]*0.21</f>
        <v>0</v>
      </c>
      <c r="J2157" s="140"/>
      <c r="K2157" s="140"/>
      <c r="L2157" s="140"/>
      <c r="M2157" s="59"/>
    </row>
    <row r="2158" spans="2:13" x14ac:dyDescent="0.25">
      <c r="B2158" s="134"/>
      <c r="C2158" s="41"/>
      <c r="D2158" s="136"/>
      <c r="E2158" s="137"/>
      <c r="F2158" s="138"/>
      <c r="G2158" s="1" t="str">
        <f>IFERROR(IF(ventas_b_mes1255[[#This Row],[CUIT]]="","-",VLOOKUP(ventas_b_mes1255[[#This Row],[CUIT]],Lista_CUIT[#All],2,0)),"CUIT NO CARGADO")</f>
        <v>-</v>
      </c>
      <c r="H2158" s="99">
        <f>ventas_b_mes1255[[#This Row],[TOTAL]]/1.21</f>
        <v>0</v>
      </c>
      <c r="I2158" s="64">
        <f>ventas_b_mes1255[[#This Row],[IMPORTE NETO]]*0.21</f>
        <v>0</v>
      </c>
      <c r="J2158" s="140"/>
      <c r="K2158" s="140"/>
      <c r="L2158" s="140"/>
      <c r="M2158" s="59"/>
    </row>
    <row r="2159" spans="2:13" x14ac:dyDescent="0.25">
      <c r="B2159" s="134"/>
      <c r="C2159" s="41"/>
      <c r="D2159" s="136"/>
      <c r="E2159" s="137"/>
      <c r="F2159" s="138"/>
      <c r="G2159" s="1" t="str">
        <f>IFERROR(IF(ventas_b_mes1255[[#This Row],[CUIT]]="","-",VLOOKUP(ventas_b_mes1255[[#This Row],[CUIT]],Lista_CUIT[#All],2,0)),"CUIT NO CARGADO")</f>
        <v>-</v>
      </c>
      <c r="H2159" s="99">
        <f>ventas_b_mes1255[[#This Row],[TOTAL]]/1.21</f>
        <v>0</v>
      </c>
      <c r="I2159" s="64">
        <f>ventas_b_mes1255[[#This Row],[IMPORTE NETO]]*0.21</f>
        <v>0</v>
      </c>
      <c r="J2159" s="140"/>
      <c r="K2159" s="140"/>
      <c r="L2159" s="140"/>
      <c r="M2159" s="59"/>
    </row>
    <row r="2160" spans="2:13" x14ac:dyDescent="0.25">
      <c r="B2160" s="134"/>
      <c r="C2160" s="41"/>
      <c r="D2160" s="136"/>
      <c r="E2160" s="137"/>
      <c r="F2160" s="138"/>
      <c r="G2160" s="1" t="str">
        <f>IFERROR(IF(ventas_b_mes1255[[#This Row],[CUIT]]="","-",VLOOKUP(ventas_b_mes1255[[#This Row],[CUIT]],Lista_CUIT[#All],2,0)),"CUIT NO CARGADO")</f>
        <v>-</v>
      </c>
      <c r="H2160" s="99">
        <f>ventas_b_mes1255[[#This Row],[TOTAL]]/1.21</f>
        <v>0</v>
      </c>
      <c r="I2160" s="64">
        <f>ventas_b_mes1255[[#This Row],[IMPORTE NETO]]*0.21</f>
        <v>0</v>
      </c>
      <c r="J2160" s="140"/>
      <c r="K2160" s="140"/>
      <c r="L2160" s="140"/>
      <c r="M2160" s="59"/>
    </row>
    <row r="2161" spans="2:13" x14ac:dyDescent="0.25">
      <c r="B2161" s="134"/>
      <c r="C2161" s="41"/>
      <c r="D2161" s="136"/>
      <c r="E2161" s="137"/>
      <c r="F2161" s="138"/>
      <c r="G2161" s="1" t="str">
        <f>IFERROR(IF(ventas_b_mes1255[[#This Row],[CUIT]]="","-",VLOOKUP(ventas_b_mes1255[[#This Row],[CUIT]],Lista_CUIT[#All],2,0)),"CUIT NO CARGADO")</f>
        <v>-</v>
      </c>
      <c r="H2161" s="99">
        <f>ventas_b_mes1255[[#This Row],[TOTAL]]/1.21</f>
        <v>0</v>
      </c>
      <c r="I2161" s="64">
        <f>ventas_b_mes1255[[#This Row],[IMPORTE NETO]]*0.21</f>
        <v>0</v>
      </c>
      <c r="J2161" s="140"/>
      <c r="K2161" s="140"/>
      <c r="L2161" s="140"/>
      <c r="M2161" s="59"/>
    </row>
    <row r="2162" spans="2:13" x14ac:dyDescent="0.25">
      <c r="B2162" s="134"/>
      <c r="C2162" s="41"/>
      <c r="D2162" s="136"/>
      <c r="E2162" s="137"/>
      <c r="F2162" s="138"/>
      <c r="G2162" s="1" t="str">
        <f>IFERROR(IF(ventas_b_mes1255[[#This Row],[CUIT]]="","-",VLOOKUP(ventas_b_mes1255[[#This Row],[CUIT]],Lista_CUIT[#All],2,0)),"CUIT NO CARGADO")</f>
        <v>-</v>
      </c>
      <c r="H2162" s="99">
        <f>ventas_b_mes1255[[#This Row],[TOTAL]]/1.21</f>
        <v>0</v>
      </c>
      <c r="I2162" s="64">
        <f>ventas_b_mes1255[[#This Row],[IMPORTE NETO]]*0.21</f>
        <v>0</v>
      </c>
      <c r="J2162" s="140"/>
      <c r="K2162" s="140"/>
      <c r="L2162" s="140"/>
      <c r="M2162" s="59"/>
    </row>
    <row r="2163" spans="2:13" x14ac:dyDescent="0.25">
      <c r="B2163" s="134"/>
      <c r="C2163" s="41"/>
      <c r="D2163" s="136"/>
      <c r="E2163" s="137"/>
      <c r="F2163" s="138"/>
      <c r="G2163" s="1" t="str">
        <f>IFERROR(IF(ventas_b_mes1255[[#This Row],[CUIT]]="","-",VLOOKUP(ventas_b_mes1255[[#This Row],[CUIT]],Lista_CUIT[#All],2,0)),"CUIT NO CARGADO")</f>
        <v>-</v>
      </c>
      <c r="H2163" s="99">
        <f>ventas_b_mes1255[[#This Row],[TOTAL]]/1.21</f>
        <v>0</v>
      </c>
      <c r="I2163" s="64">
        <f>ventas_b_mes1255[[#This Row],[IMPORTE NETO]]*0.21</f>
        <v>0</v>
      </c>
      <c r="J2163" s="140"/>
      <c r="K2163" s="140"/>
      <c r="L2163" s="140"/>
      <c r="M2163" s="59"/>
    </row>
    <row r="2164" spans="2:13" x14ac:dyDescent="0.25">
      <c r="B2164" s="134"/>
      <c r="C2164" s="41"/>
      <c r="D2164" s="136"/>
      <c r="E2164" s="137"/>
      <c r="F2164" s="138"/>
      <c r="G2164" s="1" t="str">
        <f>IFERROR(IF(ventas_b_mes1255[[#This Row],[CUIT]]="","-",VLOOKUP(ventas_b_mes1255[[#This Row],[CUIT]],Lista_CUIT[#All],2,0)),"CUIT NO CARGADO")</f>
        <v>-</v>
      </c>
      <c r="H2164" s="99">
        <f>ventas_b_mes1255[[#This Row],[TOTAL]]/1.21</f>
        <v>0</v>
      </c>
      <c r="I2164" s="64">
        <f>ventas_b_mes1255[[#This Row],[IMPORTE NETO]]*0.21</f>
        <v>0</v>
      </c>
      <c r="J2164" s="140"/>
      <c r="K2164" s="140"/>
      <c r="L2164" s="140"/>
      <c r="M2164" s="59"/>
    </row>
    <row r="2165" spans="2:13" x14ac:dyDescent="0.25">
      <c r="B2165" s="134"/>
      <c r="C2165" s="41"/>
      <c r="D2165" s="136"/>
      <c r="E2165" s="137"/>
      <c r="F2165" s="138"/>
      <c r="G2165" s="1" t="str">
        <f>IFERROR(IF(ventas_b_mes1255[[#This Row],[CUIT]]="","-",VLOOKUP(ventas_b_mes1255[[#This Row],[CUIT]],Lista_CUIT[#All],2,0)),"CUIT NO CARGADO")</f>
        <v>-</v>
      </c>
      <c r="H2165" s="99">
        <f>ventas_b_mes1255[[#This Row],[TOTAL]]/1.21</f>
        <v>0</v>
      </c>
      <c r="I2165" s="64">
        <f>ventas_b_mes1255[[#This Row],[IMPORTE NETO]]*0.21</f>
        <v>0</v>
      </c>
      <c r="J2165" s="140"/>
      <c r="K2165" s="140"/>
      <c r="L2165" s="140"/>
      <c r="M2165" s="59"/>
    </row>
    <row r="2166" spans="2:13" x14ac:dyDescent="0.25">
      <c r="B2166" s="134"/>
      <c r="C2166" s="41"/>
      <c r="D2166" s="136"/>
      <c r="E2166" s="137"/>
      <c r="F2166" s="138"/>
      <c r="G2166" s="1" t="str">
        <f>IFERROR(IF(ventas_b_mes1255[[#This Row],[CUIT]]="","-",VLOOKUP(ventas_b_mes1255[[#This Row],[CUIT]],Lista_CUIT[#All],2,0)),"CUIT NO CARGADO")</f>
        <v>-</v>
      </c>
      <c r="H2166" s="99">
        <f>ventas_b_mes1255[[#This Row],[TOTAL]]/1.21</f>
        <v>0</v>
      </c>
      <c r="I2166" s="64">
        <f>ventas_b_mes1255[[#This Row],[IMPORTE NETO]]*0.21</f>
        <v>0</v>
      </c>
      <c r="J2166" s="140"/>
      <c r="K2166" s="140"/>
      <c r="L2166" s="140"/>
      <c r="M2166" s="59"/>
    </row>
    <row r="2167" spans="2:13" x14ac:dyDescent="0.25">
      <c r="B2167" s="134"/>
      <c r="C2167" s="41"/>
      <c r="D2167" s="136"/>
      <c r="E2167" s="137"/>
      <c r="F2167" s="138"/>
      <c r="G2167" s="1" t="str">
        <f>IFERROR(IF(ventas_b_mes1255[[#This Row],[CUIT]]="","-",VLOOKUP(ventas_b_mes1255[[#This Row],[CUIT]],Lista_CUIT[#All],2,0)),"CUIT NO CARGADO")</f>
        <v>-</v>
      </c>
      <c r="H2167" s="99">
        <f>ventas_b_mes1255[[#This Row],[TOTAL]]/1.21</f>
        <v>0</v>
      </c>
      <c r="I2167" s="64">
        <f>ventas_b_mes1255[[#This Row],[IMPORTE NETO]]*0.21</f>
        <v>0</v>
      </c>
      <c r="J2167" s="140"/>
      <c r="K2167" s="140"/>
      <c r="L2167" s="140"/>
      <c r="M2167" s="59"/>
    </row>
    <row r="2168" spans="2:13" x14ac:dyDescent="0.25">
      <c r="B2168" s="134"/>
      <c r="C2168" s="41"/>
      <c r="D2168" s="136"/>
      <c r="E2168" s="137"/>
      <c r="F2168" s="138"/>
      <c r="G2168" s="1" t="str">
        <f>IFERROR(IF(ventas_b_mes1255[[#This Row],[CUIT]]="","-",VLOOKUP(ventas_b_mes1255[[#This Row],[CUIT]],Lista_CUIT[#All],2,0)),"CUIT NO CARGADO")</f>
        <v>-</v>
      </c>
      <c r="H2168" s="99">
        <f>ventas_b_mes1255[[#This Row],[TOTAL]]/1.21</f>
        <v>0</v>
      </c>
      <c r="I2168" s="64">
        <f>ventas_b_mes1255[[#This Row],[IMPORTE NETO]]*0.21</f>
        <v>0</v>
      </c>
      <c r="J2168" s="140"/>
      <c r="K2168" s="140"/>
      <c r="L2168" s="140"/>
      <c r="M2168" s="59"/>
    </row>
    <row r="2169" spans="2:13" x14ac:dyDescent="0.25">
      <c r="B2169" s="134"/>
      <c r="C2169" s="41"/>
      <c r="D2169" s="136"/>
      <c r="E2169" s="137"/>
      <c r="F2169" s="138"/>
      <c r="G2169" s="1" t="str">
        <f>IFERROR(IF(ventas_b_mes1255[[#This Row],[CUIT]]="","-",VLOOKUP(ventas_b_mes1255[[#This Row],[CUIT]],Lista_CUIT[#All],2,0)),"CUIT NO CARGADO")</f>
        <v>-</v>
      </c>
      <c r="H2169" s="99">
        <f>ventas_b_mes1255[[#This Row],[TOTAL]]/1.21</f>
        <v>0</v>
      </c>
      <c r="I2169" s="64">
        <f>ventas_b_mes1255[[#This Row],[IMPORTE NETO]]*0.21</f>
        <v>0</v>
      </c>
      <c r="J2169" s="140"/>
      <c r="K2169" s="140"/>
      <c r="L2169" s="140"/>
      <c r="M2169" s="59"/>
    </row>
    <row r="2170" spans="2:13" x14ac:dyDescent="0.25">
      <c r="B2170" s="134"/>
      <c r="C2170" s="41"/>
      <c r="D2170" s="136"/>
      <c r="E2170" s="137"/>
      <c r="F2170" s="138"/>
      <c r="G2170" s="1" t="str">
        <f>IFERROR(IF(ventas_b_mes1255[[#This Row],[CUIT]]="","-",VLOOKUP(ventas_b_mes1255[[#This Row],[CUIT]],Lista_CUIT[#All],2,0)),"CUIT NO CARGADO")</f>
        <v>-</v>
      </c>
      <c r="H2170" s="99">
        <f>ventas_b_mes1255[[#This Row],[TOTAL]]/1.21</f>
        <v>0</v>
      </c>
      <c r="I2170" s="64">
        <f>ventas_b_mes1255[[#This Row],[IMPORTE NETO]]*0.21</f>
        <v>0</v>
      </c>
      <c r="J2170" s="140"/>
      <c r="K2170" s="140"/>
      <c r="L2170" s="140"/>
      <c r="M2170" s="59"/>
    </row>
    <row r="2171" spans="2:13" x14ac:dyDescent="0.25">
      <c r="B2171" s="134"/>
      <c r="C2171" s="41"/>
      <c r="D2171" s="136"/>
      <c r="E2171" s="137"/>
      <c r="F2171" s="138"/>
      <c r="G2171" s="1" t="str">
        <f>IFERROR(IF(ventas_b_mes1255[[#This Row],[CUIT]]="","-",VLOOKUP(ventas_b_mes1255[[#This Row],[CUIT]],Lista_CUIT[#All],2,0)),"CUIT NO CARGADO")</f>
        <v>-</v>
      </c>
      <c r="H2171" s="99">
        <f>ventas_b_mes1255[[#This Row],[TOTAL]]/1.21</f>
        <v>0</v>
      </c>
      <c r="I2171" s="64">
        <f>ventas_b_mes1255[[#This Row],[IMPORTE NETO]]*0.21</f>
        <v>0</v>
      </c>
      <c r="J2171" s="140"/>
      <c r="K2171" s="140"/>
      <c r="L2171" s="140"/>
      <c r="M2171" s="59"/>
    </row>
    <row r="2172" spans="2:13" x14ac:dyDescent="0.25">
      <c r="B2172" s="134"/>
      <c r="C2172" s="41"/>
      <c r="D2172" s="136"/>
      <c r="E2172" s="137"/>
      <c r="F2172" s="138"/>
      <c r="G2172" s="1" t="str">
        <f>IFERROR(IF(ventas_b_mes1255[[#This Row],[CUIT]]="","-",VLOOKUP(ventas_b_mes1255[[#This Row],[CUIT]],Lista_CUIT[#All],2,0)),"CUIT NO CARGADO")</f>
        <v>-</v>
      </c>
      <c r="H2172" s="99">
        <f>ventas_b_mes1255[[#This Row],[TOTAL]]/1.21</f>
        <v>0</v>
      </c>
      <c r="I2172" s="64">
        <f>ventas_b_mes1255[[#This Row],[IMPORTE NETO]]*0.21</f>
        <v>0</v>
      </c>
      <c r="J2172" s="140"/>
      <c r="K2172" s="140"/>
      <c r="L2172" s="140"/>
      <c r="M2172" s="59"/>
    </row>
    <row r="2173" spans="2:13" x14ac:dyDescent="0.25">
      <c r="B2173" s="134"/>
      <c r="C2173" s="41"/>
      <c r="D2173" s="136"/>
      <c r="E2173" s="137"/>
      <c r="F2173" s="138"/>
      <c r="G2173" s="1" t="str">
        <f>IFERROR(IF(ventas_b_mes1255[[#This Row],[CUIT]]="","-",VLOOKUP(ventas_b_mes1255[[#This Row],[CUIT]],Lista_CUIT[#All],2,0)),"CUIT NO CARGADO")</f>
        <v>-</v>
      </c>
      <c r="H2173" s="99">
        <f>ventas_b_mes1255[[#This Row],[TOTAL]]/1.21</f>
        <v>0</v>
      </c>
      <c r="I2173" s="64">
        <f>ventas_b_mes1255[[#This Row],[IMPORTE NETO]]*0.21</f>
        <v>0</v>
      </c>
      <c r="J2173" s="140"/>
      <c r="K2173" s="140"/>
      <c r="L2173" s="140"/>
      <c r="M2173" s="59"/>
    </row>
    <row r="2174" spans="2:13" x14ac:dyDescent="0.25">
      <c r="B2174" s="134"/>
      <c r="C2174" s="41"/>
      <c r="D2174" s="136"/>
      <c r="E2174" s="137"/>
      <c r="F2174" s="138"/>
      <c r="G2174" s="1" t="str">
        <f>IFERROR(IF(ventas_b_mes1255[[#This Row],[CUIT]]="","-",VLOOKUP(ventas_b_mes1255[[#This Row],[CUIT]],Lista_CUIT[#All],2,0)),"CUIT NO CARGADO")</f>
        <v>-</v>
      </c>
      <c r="H2174" s="99">
        <f>ventas_b_mes1255[[#This Row],[TOTAL]]/1.21</f>
        <v>0</v>
      </c>
      <c r="I2174" s="64">
        <f>ventas_b_mes1255[[#This Row],[IMPORTE NETO]]*0.21</f>
        <v>0</v>
      </c>
      <c r="J2174" s="140"/>
      <c r="K2174" s="140"/>
      <c r="L2174" s="140"/>
      <c r="M2174" s="59"/>
    </row>
    <row r="2175" spans="2:13" x14ac:dyDescent="0.25">
      <c r="B2175" s="134"/>
      <c r="C2175" s="41"/>
      <c r="D2175" s="136"/>
      <c r="E2175" s="137"/>
      <c r="F2175" s="138"/>
      <c r="G2175" s="1" t="str">
        <f>IFERROR(IF(ventas_b_mes1255[[#This Row],[CUIT]]="","-",VLOOKUP(ventas_b_mes1255[[#This Row],[CUIT]],Lista_CUIT[#All],2,0)),"CUIT NO CARGADO")</f>
        <v>-</v>
      </c>
      <c r="H2175" s="99">
        <f>ventas_b_mes1255[[#This Row],[TOTAL]]/1.21</f>
        <v>0</v>
      </c>
      <c r="I2175" s="64">
        <f>ventas_b_mes1255[[#This Row],[IMPORTE NETO]]*0.21</f>
        <v>0</v>
      </c>
      <c r="J2175" s="140"/>
      <c r="K2175" s="140"/>
      <c r="L2175" s="140"/>
      <c r="M2175" s="59"/>
    </row>
    <row r="2176" spans="2:13" x14ac:dyDescent="0.25">
      <c r="B2176" s="134"/>
      <c r="C2176" s="41"/>
      <c r="D2176" s="136"/>
      <c r="E2176" s="137"/>
      <c r="F2176" s="138"/>
      <c r="G2176" s="1" t="str">
        <f>IFERROR(IF(ventas_b_mes1255[[#This Row],[CUIT]]="","-",VLOOKUP(ventas_b_mes1255[[#This Row],[CUIT]],Lista_CUIT[#All],2,0)),"CUIT NO CARGADO")</f>
        <v>-</v>
      </c>
      <c r="H2176" s="99">
        <f>ventas_b_mes1255[[#This Row],[TOTAL]]/1.21</f>
        <v>0</v>
      </c>
      <c r="I2176" s="64">
        <f>ventas_b_mes1255[[#This Row],[IMPORTE NETO]]*0.21</f>
        <v>0</v>
      </c>
      <c r="J2176" s="140"/>
      <c r="K2176" s="140"/>
      <c r="L2176" s="140"/>
      <c r="M2176" s="59"/>
    </row>
    <row r="2177" spans="2:13" x14ac:dyDescent="0.25">
      <c r="B2177" s="134"/>
      <c r="C2177" s="41"/>
      <c r="D2177" s="136"/>
      <c r="E2177" s="137"/>
      <c r="F2177" s="138"/>
      <c r="G2177" s="1" t="str">
        <f>IFERROR(IF(ventas_b_mes1255[[#This Row],[CUIT]]="","-",VLOOKUP(ventas_b_mes1255[[#This Row],[CUIT]],Lista_CUIT[#All],2,0)),"CUIT NO CARGADO")</f>
        <v>-</v>
      </c>
      <c r="H2177" s="99">
        <f>ventas_b_mes1255[[#This Row],[TOTAL]]/1.21</f>
        <v>0</v>
      </c>
      <c r="I2177" s="64">
        <f>ventas_b_mes1255[[#This Row],[IMPORTE NETO]]*0.21</f>
        <v>0</v>
      </c>
      <c r="J2177" s="140"/>
      <c r="K2177" s="140"/>
      <c r="L2177" s="140"/>
      <c r="M2177" s="59"/>
    </row>
    <row r="2178" spans="2:13" x14ac:dyDescent="0.25">
      <c r="B2178" s="134"/>
      <c r="C2178" s="41"/>
      <c r="D2178" s="136"/>
      <c r="E2178" s="137"/>
      <c r="F2178" s="138"/>
      <c r="G2178" s="1" t="str">
        <f>IFERROR(IF(ventas_b_mes1255[[#This Row],[CUIT]]="","-",VLOOKUP(ventas_b_mes1255[[#This Row],[CUIT]],Lista_CUIT[#All],2,0)),"CUIT NO CARGADO")</f>
        <v>-</v>
      </c>
      <c r="H2178" s="99">
        <f>ventas_b_mes1255[[#This Row],[TOTAL]]/1.21</f>
        <v>0</v>
      </c>
      <c r="I2178" s="64">
        <f>ventas_b_mes1255[[#This Row],[IMPORTE NETO]]*0.21</f>
        <v>0</v>
      </c>
      <c r="J2178" s="140"/>
      <c r="K2178" s="140"/>
      <c r="L2178" s="140"/>
      <c r="M2178" s="59"/>
    </row>
    <row r="2179" spans="2:13" x14ac:dyDescent="0.25">
      <c r="B2179" s="134"/>
      <c r="C2179" s="41"/>
      <c r="D2179" s="136"/>
      <c r="E2179" s="137"/>
      <c r="F2179" s="138"/>
      <c r="G2179" s="1" t="str">
        <f>IFERROR(IF(ventas_b_mes1255[[#This Row],[CUIT]]="","-",VLOOKUP(ventas_b_mes1255[[#This Row],[CUIT]],Lista_CUIT[#All],2,0)),"CUIT NO CARGADO")</f>
        <v>-</v>
      </c>
      <c r="H2179" s="99">
        <f>ventas_b_mes1255[[#This Row],[TOTAL]]/1.21</f>
        <v>0</v>
      </c>
      <c r="I2179" s="64">
        <f>ventas_b_mes1255[[#This Row],[IMPORTE NETO]]*0.21</f>
        <v>0</v>
      </c>
      <c r="J2179" s="140"/>
      <c r="K2179" s="140"/>
      <c r="L2179" s="140"/>
      <c r="M2179" s="59"/>
    </row>
    <row r="2180" spans="2:13" x14ac:dyDescent="0.25">
      <c r="B2180" s="134"/>
      <c r="C2180" s="41"/>
      <c r="D2180" s="136"/>
      <c r="E2180" s="137"/>
      <c r="F2180" s="138"/>
      <c r="G2180" s="1" t="str">
        <f>IFERROR(IF(ventas_b_mes1255[[#This Row],[CUIT]]="","-",VLOOKUP(ventas_b_mes1255[[#This Row],[CUIT]],Lista_CUIT[#All],2,0)),"CUIT NO CARGADO")</f>
        <v>-</v>
      </c>
      <c r="H2180" s="99">
        <f>ventas_b_mes1255[[#This Row],[TOTAL]]/1.21</f>
        <v>0</v>
      </c>
      <c r="I2180" s="64">
        <f>ventas_b_mes1255[[#This Row],[IMPORTE NETO]]*0.21</f>
        <v>0</v>
      </c>
      <c r="J2180" s="140"/>
      <c r="K2180" s="140"/>
      <c r="L2180" s="140"/>
      <c r="M2180" s="59"/>
    </row>
    <row r="2181" spans="2:13" x14ac:dyDescent="0.25">
      <c r="B2181" s="134"/>
      <c r="C2181" s="41"/>
      <c r="D2181" s="136"/>
      <c r="E2181" s="137"/>
      <c r="F2181" s="138"/>
      <c r="G2181" s="1" t="str">
        <f>IFERROR(IF(ventas_b_mes1255[[#This Row],[CUIT]]="","-",VLOOKUP(ventas_b_mes1255[[#This Row],[CUIT]],Lista_CUIT[#All],2,0)),"CUIT NO CARGADO")</f>
        <v>-</v>
      </c>
      <c r="H2181" s="99">
        <f>ventas_b_mes1255[[#This Row],[TOTAL]]/1.21</f>
        <v>0</v>
      </c>
      <c r="I2181" s="64">
        <f>ventas_b_mes1255[[#This Row],[IMPORTE NETO]]*0.21</f>
        <v>0</v>
      </c>
      <c r="J2181" s="140"/>
      <c r="K2181" s="140"/>
      <c r="L2181" s="140"/>
      <c r="M2181" s="59"/>
    </row>
    <row r="2182" spans="2:13" x14ac:dyDescent="0.25">
      <c r="B2182" s="134"/>
      <c r="C2182" s="41"/>
      <c r="D2182" s="136"/>
      <c r="E2182" s="137"/>
      <c r="F2182" s="138"/>
      <c r="G2182" s="1" t="str">
        <f>IFERROR(IF(ventas_b_mes1255[[#This Row],[CUIT]]="","-",VLOOKUP(ventas_b_mes1255[[#This Row],[CUIT]],Lista_CUIT[#All],2,0)),"CUIT NO CARGADO")</f>
        <v>-</v>
      </c>
      <c r="H2182" s="99">
        <f>ventas_b_mes1255[[#This Row],[TOTAL]]/1.21</f>
        <v>0</v>
      </c>
      <c r="I2182" s="64">
        <f>ventas_b_mes1255[[#This Row],[IMPORTE NETO]]*0.21</f>
        <v>0</v>
      </c>
      <c r="J2182" s="140"/>
      <c r="K2182" s="140"/>
      <c r="L2182" s="140"/>
      <c r="M2182" s="59"/>
    </row>
    <row r="2183" spans="2:13" x14ac:dyDescent="0.25">
      <c r="B2183" s="134"/>
      <c r="C2183" s="41"/>
      <c r="D2183" s="136"/>
      <c r="E2183" s="137"/>
      <c r="F2183" s="138"/>
      <c r="G2183" s="1" t="str">
        <f>IFERROR(IF(ventas_b_mes1255[[#This Row],[CUIT]]="","-",VLOOKUP(ventas_b_mes1255[[#This Row],[CUIT]],Lista_CUIT[#All],2,0)),"CUIT NO CARGADO")</f>
        <v>-</v>
      </c>
      <c r="H2183" s="99">
        <f>ventas_b_mes1255[[#This Row],[TOTAL]]/1.21</f>
        <v>0</v>
      </c>
      <c r="I2183" s="64">
        <f>ventas_b_mes1255[[#This Row],[IMPORTE NETO]]*0.21</f>
        <v>0</v>
      </c>
      <c r="J2183" s="140"/>
      <c r="K2183" s="140"/>
      <c r="L2183" s="140"/>
      <c r="M2183" s="59"/>
    </row>
    <row r="2184" spans="2:13" x14ac:dyDescent="0.25">
      <c r="B2184" s="134"/>
      <c r="C2184" s="41"/>
      <c r="D2184" s="136"/>
      <c r="E2184" s="137"/>
      <c r="F2184" s="138"/>
      <c r="G2184" s="1" t="str">
        <f>IFERROR(IF(ventas_b_mes1255[[#This Row],[CUIT]]="","-",VLOOKUP(ventas_b_mes1255[[#This Row],[CUIT]],Lista_CUIT[#All],2,0)),"CUIT NO CARGADO")</f>
        <v>-</v>
      </c>
      <c r="H2184" s="99">
        <f>ventas_b_mes1255[[#This Row],[TOTAL]]/1.21</f>
        <v>0</v>
      </c>
      <c r="I2184" s="64">
        <f>ventas_b_mes1255[[#This Row],[IMPORTE NETO]]*0.21</f>
        <v>0</v>
      </c>
      <c r="J2184" s="140"/>
      <c r="K2184" s="140"/>
      <c r="L2184" s="140"/>
      <c r="M2184" s="59"/>
    </row>
    <row r="2185" spans="2:13" x14ac:dyDescent="0.25">
      <c r="B2185" s="134"/>
      <c r="C2185" s="41"/>
      <c r="D2185" s="136"/>
      <c r="E2185" s="137"/>
      <c r="F2185" s="138"/>
      <c r="G2185" s="1" t="str">
        <f>IFERROR(IF(ventas_b_mes1255[[#This Row],[CUIT]]="","-",VLOOKUP(ventas_b_mes1255[[#This Row],[CUIT]],Lista_CUIT[#All],2,0)),"CUIT NO CARGADO")</f>
        <v>-</v>
      </c>
      <c r="H2185" s="99">
        <f>ventas_b_mes1255[[#This Row],[TOTAL]]/1.21</f>
        <v>0</v>
      </c>
      <c r="I2185" s="64">
        <f>ventas_b_mes1255[[#This Row],[IMPORTE NETO]]*0.21</f>
        <v>0</v>
      </c>
      <c r="J2185" s="140"/>
      <c r="K2185" s="140"/>
      <c r="L2185" s="140"/>
      <c r="M2185" s="59"/>
    </row>
    <row r="2186" spans="2:13" x14ac:dyDescent="0.25">
      <c r="B2186" s="134"/>
      <c r="C2186" s="41"/>
      <c r="D2186" s="136"/>
      <c r="E2186" s="137"/>
      <c r="F2186" s="138"/>
      <c r="G2186" s="1" t="str">
        <f>IFERROR(IF(ventas_b_mes1255[[#This Row],[CUIT]]="","-",VLOOKUP(ventas_b_mes1255[[#This Row],[CUIT]],Lista_CUIT[#All],2,0)),"CUIT NO CARGADO")</f>
        <v>-</v>
      </c>
      <c r="H2186" s="99">
        <f>ventas_b_mes1255[[#This Row],[TOTAL]]/1.21</f>
        <v>0</v>
      </c>
      <c r="I2186" s="64">
        <f>ventas_b_mes1255[[#This Row],[IMPORTE NETO]]*0.21</f>
        <v>0</v>
      </c>
      <c r="J2186" s="140"/>
      <c r="K2186" s="140"/>
      <c r="L2186" s="140"/>
      <c r="M2186" s="59"/>
    </row>
    <row r="2187" spans="2:13" x14ac:dyDescent="0.25">
      <c r="B2187" s="134"/>
      <c r="C2187" s="41"/>
      <c r="D2187" s="136"/>
      <c r="E2187" s="137"/>
      <c r="F2187" s="138"/>
      <c r="G2187" s="1" t="str">
        <f>IFERROR(IF(ventas_b_mes1255[[#This Row],[CUIT]]="","-",VLOOKUP(ventas_b_mes1255[[#This Row],[CUIT]],Lista_CUIT[#All],2,0)),"CUIT NO CARGADO")</f>
        <v>-</v>
      </c>
      <c r="H2187" s="99">
        <f>ventas_b_mes1255[[#This Row],[TOTAL]]/1.21</f>
        <v>0</v>
      </c>
      <c r="I2187" s="64">
        <f>ventas_b_mes1255[[#This Row],[IMPORTE NETO]]*0.21</f>
        <v>0</v>
      </c>
      <c r="J2187" s="140"/>
      <c r="K2187" s="140"/>
      <c r="L2187" s="140"/>
      <c r="M2187" s="59"/>
    </row>
    <row r="2188" spans="2:13" x14ac:dyDescent="0.25">
      <c r="B2188" s="134"/>
      <c r="C2188" s="41"/>
      <c r="D2188" s="136"/>
      <c r="E2188" s="137"/>
      <c r="F2188" s="138"/>
      <c r="G2188" s="1" t="str">
        <f>IFERROR(IF(ventas_b_mes1255[[#This Row],[CUIT]]="","-",VLOOKUP(ventas_b_mes1255[[#This Row],[CUIT]],Lista_CUIT[#All],2,0)),"CUIT NO CARGADO")</f>
        <v>-</v>
      </c>
      <c r="H2188" s="99">
        <f>ventas_b_mes1255[[#This Row],[TOTAL]]/1.21</f>
        <v>0</v>
      </c>
      <c r="I2188" s="64">
        <f>ventas_b_mes1255[[#This Row],[IMPORTE NETO]]*0.21</f>
        <v>0</v>
      </c>
      <c r="J2188" s="140"/>
      <c r="K2188" s="140"/>
      <c r="L2188" s="140"/>
      <c r="M2188" s="59"/>
    </row>
    <row r="2189" spans="2:13" x14ac:dyDescent="0.25">
      <c r="B2189" s="134"/>
      <c r="C2189" s="41"/>
      <c r="D2189" s="136"/>
      <c r="E2189" s="137"/>
      <c r="F2189" s="138"/>
      <c r="G2189" s="1" t="str">
        <f>IFERROR(IF(ventas_b_mes1255[[#This Row],[CUIT]]="","-",VLOOKUP(ventas_b_mes1255[[#This Row],[CUIT]],Lista_CUIT[#All],2,0)),"CUIT NO CARGADO")</f>
        <v>-</v>
      </c>
      <c r="H2189" s="99">
        <f>ventas_b_mes1255[[#This Row],[TOTAL]]/1.21</f>
        <v>0</v>
      </c>
      <c r="I2189" s="64">
        <f>ventas_b_mes1255[[#This Row],[IMPORTE NETO]]*0.21</f>
        <v>0</v>
      </c>
      <c r="J2189" s="140"/>
      <c r="K2189" s="140"/>
      <c r="L2189" s="140"/>
      <c r="M2189" s="59"/>
    </row>
    <row r="2190" spans="2:13" x14ac:dyDescent="0.25">
      <c r="B2190" s="134"/>
      <c r="C2190" s="41"/>
      <c r="D2190" s="136"/>
      <c r="E2190" s="137"/>
      <c r="F2190" s="138"/>
      <c r="G2190" s="1" t="str">
        <f>IFERROR(IF(ventas_b_mes1255[[#This Row],[CUIT]]="","-",VLOOKUP(ventas_b_mes1255[[#This Row],[CUIT]],Lista_CUIT[#All],2,0)),"CUIT NO CARGADO")</f>
        <v>-</v>
      </c>
      <c r="H2190" s="99">
        <f>ventas_b_mes1255[[#This Row],[TOTAL]]/1.21</f>
        <v>0</v>
      </c>
      <c r="I2190" s="64">
        <f>ventas_b_mes1255[[#This Row],[IMPORTE NETO]]*0.21</f>
        <v>0</v>
      </c>
      <c r="J2190" s="140"/>
      <c r="K2190" s="140"/>
      <c r="L2190" s="140"/>
      <c r="M2190" s="59"/>
    </row>
    <row r="2191" spans="2:13" x14ac:dyDescent="0.25">
      <c r="B2191" s="134"/>
      <c r="C2191" s="41"/>
      <c r="D2191" s="136"/>
      <c r="E2191" s="137"/>
      <c r="F2191" s="138"/>
      <c r="G2191" s="1" t="str">
        <f>IFERROR(IF(ventas_b_mes1255[[#This Row],[CUIT]]="","-",VLOOKUP(ventas_b_mes1255[[#This Row],[CUIT]],Lista_CUIT[#All],2,0)),"CUIT NO CARGADO")</f>
        <v>-</v>
      </c>
      <c r="H2191" s="99">
        <f>ventas_b_mes1255[[#This Row],[TOTAL]]/1.21</f>
        <v>0</v>
      </c>
      <c r="I2191" s="64">
        <f>ventas_b_mes1255[[#This Row],[IMPORTE NETO]]*0.21</f>
        <v>0</v>
      </c>
      <c r="J2191" s="140"/>
      <c r="K2191" s="140"/>
      <c r="L2191" s="140"/>
      <c r="M2191" s="59"/>
    </row>
    <row r="2192" spans="2:13" x14ac:dyDescent="0.25">
      <c r="B2192" s="134"/>
      <c r="C2192" s="41"/>
      <c r="D2192" s="136"/>
      <c r="E2192" s="137"/>
      <c r="F2192" s="138"/>
      <c r="G2192" s="1" t="str">
        <f>IFERROR(IF(ventas_b_mes1255[[#This Row],[CUIT]]="","-",VLOOKUP(ventas_b_mes1255[[#This Row],[CUIT]],Lista_CUIT[#All],2,0)),"CUIT NO CARGADO")</f>
        <v>-</v>
      </c>
      <c r="H2192" s="99">
        <f>ventas_b_mes1255[[#This Row],[TOTAL]]/1.21</f>
        <v>0</v>
      </c>
      <c r="I2192" s="64">
        <f>ventas_b_mes1255[[#This Row],[IMPORTE NETO]]*0.21</f>
        <v>0</v>
      </c>
      <c r="J2192" s="140"/>
      <c r="K2192" s="140"/>
      <c r="L2192" s="140"/>
      <c r="M2192" s="59"/>
    </row>
    <row r="2193" spans="2:13" x14ac:dyDescent="0.25">
      <c r="B2193" s="134"/>
      <c r="C2193" s="41"/>
      <c r="D2193" s="136"/>
      <c r="E2193" s="137"/>
      <c r="F2193" s="138"/>
      <c r="G2193" s="1" t="str">
        <f>IFERROR(IF(ventas_b_mes1255[[#This Row],[CUIT]]="","-",VLOOKUP(ventas_b_mes1255[[#This Row],[CUIT]],Lista_CUIT[#All],2,0)),"CUIT NO CARGADO")</f>
        <v>-</v>
      </c>
      <c r="H2193" s="99">
        <f>ventas_b_mes1255[[#This Row],[TOTAL]]/1.21</f>
        <v>0</v>
      </c>
      <c r="I2193" s="64">
        <f>ventas_b_mes1255[[#This Row],[IMPORTE NETO]]*0.21</f>
        <v>0</v>
      </c>
      <c r="J2193" s="140"/>
      <c r="K2193" s="140"/>
      <c r="L2193" s="140"/>
      <c r="M2193" s="59"/>
    </row>
    <row r="2194" spans="2:13" x14ac:dyDescent="0.25">
      <c r="B2194" s="134"/>
      <c r="C2194" s="41"/>
      <c r="D2194" s="136"/>
      <c r="E2194" s="137"/>
      <c r="F2194" s="138"/>
      <c r="G2194" s="1" t="str">
        <f>IFERROR(IF(ventas_b_mes1255[[#This Row],[CUIT]]="","-",VLOOKUP(ventas_b_mes1255[[#This Row],[CUIT]],Lista_CUIT[#All],2,0)),"CUIT NO CARGADO")</f>
        <v>-</v>
      </c>
      <c r="H2194" s="99">
        <f>ventas_b_mes1255[[#This Row],[TOTAL]]/1.21</f>
        <v>0</v>
      </c>
      <c r="I2194" s="64">
        <f>ventas_b_mes1255[[#This Row],[IMPORTE NETO]]*0.21</f>
        <v>0</v>
      </c>
      <c r="J2194" s="140"/>
      <c r="K2194" s="140"/>
      <c r="L2194" s="140"/>
      <c r="M2194" s="59"/>
    </row>
    <row r="2195" spans="2:13" x14ac:dyDescent="0.25">
      <c r="B2195" s="134"/>
      <c r="C2195" s="41"/>
      <c r="D2195" s="136"/>
      <c r="E2195" s="137"/>
      <c r="F2195" s="138"/>
      <c r="G2195" s="1" t="str">
        <f>IFERROR(IF(ventas_b_mes1255[[#This Row],[CUIT]]="","-",VLOOKUP(ventas_b_mes1255[[#This Row],[CUIT]],Lista_CUIT[#All],2,0)),"CUIT NO CARGADO")</f>
        <v>-</v>
      </c>
      <c r="H2195" s="99">
        <f>ventas_b_mes1255[[#This Row],[TOTAL]]/1.21</f>
        <v>0</v>
      </c>
      <c r="I2195" s="64">
        <f>ventas_b_mes1255[[#This Row],[IMPORTE NETO]]*0.21</f>
        <v>0</v>
      </c>
      <c r="J2195" s="140"/>
      <c r="K2195" s="140"/>
      <c r="L2195" s="140"/>
      <c r="M2195" s="59"/>
    </row>
    <row r="2196" spans="2:13" x14ac:dyDescent="0.25">
      <c r="B2196" s="134"/>
      <c r="C2196" s="41"/>
      <c r="D2196" s="136"/>
      <c r="E2196" s="137"/>
      <c r="F2196" s="138"/>
      <c r="G2196" s="1" t="str">
        <f>IFERROR(IF(ventas_b_mes1255[[#This Row],[CUIT]]="","-",VLOOKUP(ventas_b_mes1255[[#This Row],[CUIT]],Lista_CUIT[#All],2,0)),"CUIT NO CARGADO")</f>
        <v>-</v>
      </c>
      <c r="H2196" s="99">
        <f>ventas_b_mes1255[[#This Row],[TOTAL]]/1.21</f>
        <v>0</v>
      </c>
      <c r="I2196" s="64">
        <f>ventas_b_mes1255[[#This Row],[IMPORTE NETO]]*0.21</f>
        <v>0</v>
      </c>
      <c r="J2196" s="140"/>
      <c r="K2196" s="140"/>
      <c r="L2196" s="140"/>
      <c r="M2196" s="59"/>
    </row>
    <row r="2197" spans="2:13" x14ac:dyDescent="0.25">
      <c r="B2197" s="134"/>
      <c r="C2197" s="41"/>
      <c r="D2197" s="136"/>
      <c r="E2197" s="137"/>
      <c r="F2197" s="138"/>
      <c r="G2197" s="1" t="str">
        <f>IFERROR(IF(ventas_b_mes1255[[#This Row],[CUIT]]="","-",VLOOKUP(ventas_b_mes1255[[#This Row],[CUIT]],Lista_CUIT[#All],2,0)),"CUIT NO CARGADO")</f>
        <v>-</v>
      </c>
      <c r="H2197" s="99">
        <f>ventas_b_mes1255[[#This Row],[TOTAL]]/1.21</f>
        <v>0</v>
      </c>
      <c r="I2197" s="64">
        <f>ventas_b_mes1255[[#This Row],[IMPORTE NETO]]*0.21</f>
        <v>0</v>
      </c>
      <c r="J2197" s="140"/>
      <c r="K2197" s="140"/>
      <c r="L2197" s="140"/>
      <c r="M2197" s="59"/>
    </row>
    <row r="2198" spans="2:13" x14ac:dyDescent="0.25">
      <c r="B2198" s="134"/>
      <c r="C2198" s="41"/>
      <c r="D2198" s="136"/>
      <c r="E2198" s="137"/>
      <c r="F2198" s="138"/>
      <c r="G2198" s="1" t="str">
        <f>IFERROR(IF(ventas_b_mes1255[[#This Row],[CUIT]]="","-",VLOOKUP(ventas_b_mes1255[[#This Row],[CUIT]],Lista_CUIT[#All],2,0)),"CUIT NO CARGADO")</f>
        <v>-</v>
      </c>
      <c r="H2198" s="99">
        <f>ventas_b_mes1255[[#This Row],[TOTAL]]/1.21</f>
        <v>0</v>
      </c>
      <c r="I2198" s="64">
        <f>ventas_b_mes1255[[#This Row],[IMPORTE NETO]]*0.21</f>
        <v>0</v>
      </c>
      <c r="J2198" s="140"/>
      <c r="K2198" s="140"/>
      <c r="L2198" s="140"/>
      <c r="M2198" s="59"/>
    </row>
    <row r="2199" spans="2:13" x14ac:dyDescent="0.25">
      <c r="B2199" s="134"/>
      <c r="C2199" s="41"/>
      <c r="D2199" s="136"/>
      <c r="E2199" s="137"/>
      <c r="F2199" s="138"/>
      <c r="G2199" s="1" t="str">
        <f>IFERROR(IF(ventas_b_mes1255[[#This Row],[CUIT]]="","-",VLOOKUP(ventas_b_mes1255[[#This Row],[CUIT]],Lista_CUIT[#All],2,0)),"CUIT NO CARGADO")</f>
        <v>-</v>
      </c>
      <c r="H2199" s="99">
        <f>ventas_b_mes1255[[#This Row],[TOTAL]]/1.21</f>
        <v>0</v>
      </c>
      <c r="I2199" s="64">
        <f>ventas_b_mes1255[[#This Row],[IMPORTE NETO]]*0.21</f>
        <v>0</v>
      </c>
      <c r="J2199" s="140"/>
      <c r="K2199" s="140"/>
      <c r="L2199" s="140"/>
      <c r="M2199" s="59"/>
    </row>
    <row r="2200" spans="2:13" x14ac:dyDescent="0.25">
      <c r="B2200" s="134"/>
      <c r="C2200" s="41"/>
      <c r="D2200" s="136"/>
      <c r="E2200" s="137"/>
      <c r="F2200" s="138"/>
      <c r="G2200" s="1" t="str">
        <f>IFERROR(IF(ventas_b_mes1255[[#This Row],[CUIT]]="","-",VLOOKUP(ventas_b_mes1255[[#This Row],[CUIT]],Lista_CUIT[#All],2,0)),"CUIT NO CARGADO")</f>
        <v>-</v>
      </c>
      <c r="H2200" s="99">
        <f>ventas_b_mes1255[[#This Row],[TOTAL]]/1.21</f>
        <v>0</v>
      </c>
      <c r="I2200" s="64">
        <f>ventas_b_mes1255[[#This Row],[IMPORTE NETO]]*0.21</f>
        <v>0</v>
      </c>
      <c r="J2200" s="140"/>
      <c r="K2200" s="140"/>
      <c r="L2200" s="140"/>
      <c r="M2200" s="59"/>
    </row>
    <row r="2201" spans="2:13" x14ac:dyDescent="0.25">
      <c r="B2201" s="134"/>
      <c r="C2201" s="41"/>
      <c r="D2201" s="136"/>
      <c r="E2201" s="137"/>
      <c r="F2201" s="138"/>
      <c r="G2201" s="1" t="str">
        <f>IFERROR(IF(ventas_b_mes1255[[#This Row],[CUIT]]="","-",VLOOKUP(ventas_b_mes1255[[#This Row],[CUIT]],Lista_CUIT[#All],2,0)),"CUIT NO CARGADO")</f>
        <v>-</v>
      </c>
      <c r="H2201" s="99">
        <f>ventas_b_mes1255[[#This Row],[TOTAL]]/1.21</f>
        <v>0</v>
      </c>
      <c r="I2201" s="64">
        <f>ventas_b_mes1255[[#This Row],[IMPORTE NETO]]*0.21</f>
        <v>0</v>
      </c>
      <c r="J2201" s="140"/>
      <c r="K2201" s="140"/>
      <c r="L2201" s="140"/>
      <c r="M2201" s="59"/>
    </row>
    <row r="2202" spans="2:13" x14ac:dyDescent="0.25">
      <c r="B2202" s="134"/>
      <c r="C2202" s="41"/>
      <c r="D2202" s="136"/>
      <c r="E2202" s="137"/>
      <c r="F2202" s="138"/>
      <c r="G2202" s="1" t="str">
        <f>IFERROR(IF(ventas_b_mes1255[[#This Row],[CUIT]]="","-",VLOOKUP(ventas_b_mes1255[[#This Row],[CUIT]],Lista_CUIT[#All],2,0)),"CUIT NO CARGADO")</f>
        <v>-</v>
      </c>
      <c r="H2202" s="99">
        <f>ventas_b_mes1255[[#This Row],[TOTAL]]/1.21</f>
        <v>0</v>
      </c>
      <c r="I2202" s="64">
        <f>ventas_b_mes1255[[#This Row],[IMPORTE NETO]]*0.21</f>
        <v>0</v>
      </c>
      <c r="J2202" s="140"/>
      <c r="K2202" s="140"/>
      <c r="L2202" s="140"/>
      <c r="M2202" s="59"/>
    </row>
    <row r="2203" spans="2:13" x14ac:dyDescent="0.25">
      <c r="B2203" s="134"/>
      <c r="C2203" s="41"/>
      <c r="D2203" s="136"/>
      <c r="E2203" s="137"/>
      <c r="F2203" s="138"/>
      <c r="G2203" s="1" t="str">
        <f>IFERROR(IF(ventas_b_mes1255[[#This Row],[CUIT]]="","-",VLOOKUP(ventas_b_mes1255[[#This Row],[CUIT]],Lista_CUIT[#All],2,0)),"CUIT NO CARGADO")</f>
        <v>-</v>
      </c>
      <c r="H2203" s="99">
        <f>ventas_b_mes1255[[#This Row],[TOTAL]]/1.21</f>
        <v>0</v>
      </c>
      <c r="I2203" s="64">
        <f>ventas_b_mes1255[[#This Row],[IMPORTE NETO]]*0.21</f>
        <v>0</v>
      </c>
      <c r="J2203" s="140"/>
      <c r="K2203" s="140"/>
      <c r="L2203" s="140"/>
      <c r="M2203" s="59"/>
    </row>
    <row r="2204" spans="2:13" x14ac:dyDescent="0.25">
      <c r="B2204" s="134"/>
      <c r="C2204" s="41"/>
      <c r="D2204" s="136"/>
      <c r="E2204" s="137"/>
      <c r="F2204" s="138"/>
      <c r="G2204" s="1" t="str">
        <f>IFERROR(IF(ventas_b_mes1255[[#This Row],[CUIT]]="","-",VLOOKUP(ventas_b_mes1255[[#This Row],[CUIT]],Lista_CUIT[#All],2,0)),"CUIT NO CARGADO")</f>
        <v>-</v>
      </c>
      <c r="H2204" s="99">
        <f>ventas_b_mes1255[[#This Row],[TOTAL]]/1.21</f>
        <v>0</v>
      </c>
      <c r="I2204" s="64">
        <f>ventas_b_mes1255[[#This Row],[IMPORTE NETO]]*0.21</f>
        <v>0</v>
      </c>
      <c r="J2204" s="140"/>
      <c r="K2204" s="140"/>
      <c r="L2204" s="140"/>
      <c r="M2204" s="59"/>
    </row>
    <row r="2205" spans="2:13" x14ac:dyDescent="0.25">
      <c r="B2205" s="134"/>
      <c r="C2205" s="41"/>
      <c r="D2205" s="136"/>
      <c r="E2205" s="137"/>
      <c r="F2205" s="138"/>
      <c r="G2205" s="1" t="str">
        <f>IFERROR(IF(ventas_b_mes1255[[#This Row],[CUIT]]="","-",VLOOKUP(ventas_b_mes1255[[#This Row],[CUIT]],Lista_CUIT[#All],2,0)),"CUIT NO CARGADO")</f>
        <v>-</v>
      </c>
      <c r="H2205" s="99">
        <f>ventas_b_mes1255[[#This Row],[TOTAL]]/1.21</f>
        <v>0</v>
      </c>
      <c r="I2205" s="64">
        <f>ventas_b_mes1255[[#This Row],[IMPORTE NETO]]*0.21</f>
        <v>0</v>
      </c>
      <c r="J2205" s="140"/>
      <c r="K2205" s="140"/>
      <c r="L2205" s="140"/>
      <c r="M2205" s="59"/>
    </row>
    <row r="2206" spans="2:13" x14ac:dyDescent="0.25">
      <c r="B2206" s="134"/>
      <c r="C2206" s="41"/>
      <c r="D2206" s="136"/>
      <c r="E2206" s="137"/>
      <c r="F2206" s="138"/>
      <c r="G2206" s="1" t="str">
        <f>IFERROR(IF(ventas_b_mes1255[[#This Row],[CUIT]]="","-",VLOOKUP(ventas_b_mes1255[[#This Row],[CUIT]],Lista_CUIT[#All],2,0)),"CUIT NO CARGADO")</f>
        <v>-</v>
      </c>
      <c r="H2206" s="99">
        <f>ventas_b_mes1255[[#This Row],[TOTAL]]/1.21</f>
        <v>0</v>
      </c>
      <c r="I2206" s="64">
        <f>ventas_b_mes1255[[#This Row],[IMPORTE NETO]]*0.21</f>
        <v>0</v>
      </c>
      <c r="J2206" s="140"/>
      <c r="K2206" s="140"/>
      <c r="L2206" s="140"/>
      <c r="M2206" s="59"/>
    </row>
    <row r="2207" spans="2:13" x14ac:dyDescent="0.25">
      <c r="B2207" s="134"/>
      <c r="C2207" s="41"/>
      <c r="D2207" s="136"/>
      <c r="E2207" s="137"/>
      <c r="F2207" s="138"/>
      <c r="G2207" s="1" t="str">
        <f>IFERROR(IF(ventas_b_mes1255[[#This Row],[CUIT]]="","-",VLOOKUP(ventas_b_mes1255[[#This Row],[CUIT]],Lista_CUIT[#All],2,0)),"CUIT NO CARGADO")</f>
        <v>-</v>
      </c>
      <c r="H2207" s="99">
        <f>ventas_b_mes1255[[#This Row],[TOTAL]]/1.21</f>
        <v>0</v>
      </c>
      <c r="I2207" s="64">
        <f>ventas_b_mes1255[[#This Row],[IMPORTE NETO]]*0.21</f>
        <v>0</v>
      </c>
      <c r="J2207" s="140"/>
      <c r="K2207" s="140"/>
      <c r="L2207" s="140"/>
      <c r="M2207" s="59"/>
    </row>
    <row r="2208" spans="2:13" x14ac:dyDescent="0.25">
      <c r="B2208" s="134"/>
      <c r="C2208" s="41"/>
      <c r="D2208" s="136"/>
      <c r="E2208" s="137"/>
      <c r="F2208" s="138"/>
      <c r="G2208" s="1" t="str">
        <f>IFERROR(IF(ventas_b_mes1255[[#This Row],[CUIT]]="","-",VLOOKUP(ventas_b_mes1255[[#This Row],[CUIT]],Lista_CUIT[#All],2,0)),"CUIT NO CARGADO")</f>
        <v>-</v>
      </c>
      <c r="H2208" s="99">
        <f>ventas_b_mes1255[[#This Row],[TOTAL]]/1.21</f>
        <v>0</v>
      </c>
      <c r="I2208" s="64">
        <f>ventas_b_mes1255[[#This Row],[IMPORTE NETO]]*0.21</f>
        <v>0</v>
      </c>
      <c r="J2208" s="140"/>
      <c r="K2208" s="140"/>
      <c r="L2208" s="140"/>
      <c r="M2208" s="59"/>
    </row>
    <row r="2209" spans="2:13" x14ac:dyDescent="0.25">
      <c r="B2209" s="134"/>
      <c r="C2209" s="41"/>
      <c r="D2209" s="136"/>
      <c r="E2209" s="137"/>
      <c r="F2209" s="138"/>
      <c r="G2209" s="1" t="str">
        <f>IFERROR(IF(ventas_b_mes1255[[#This Row],[CUIT]]="","-",VLOOKUP(ventas_b_mes1255[[#This Row],[CUIT]],Lista_CUIT[#All],2,0)),"CUIT NO CARGADO")</f>
        <v>-</v>
      </c>
      <c r="H2209" s="99">
        <f>ventas_b_mes1255[[#This Row],[TOTAL]]/1.21</f>
        <v>0</v>
      </c>
      <c r="I2209" s="64">
        <f>ventas_b_mes1255[[#This Row],[IMPORTE NETO]]*0.21</f>
        <v>0</v>
      </c>
      <c r="J2209" s="140"/>
      <c r="K2209" s="140"/>
      <c r="L2209" s="140"/>
      <c r="M2209" s="59"/>
    </row>
    <row r="2210" spans="2:13" x14ac:dyDescent="0.25">
      <c r="B2210" s="134"/>
      <c r="C2210" s="41"/>
      <c r="D2210" s="136"/>
      <c r="E2210" s="137"/>
      <c r="F2210" s="138"/>
      <c r="G2210" s="1" t="str">
        <f>IFERROR(IF(ventas_b_mes1255[[#This Row],[CUIT]]="","-",VLOOKUP(ventas_b_mes1255[[#This Row],[CUIT]],Lista_CUIT[#All],2,0)),"CUIT NO CARGADO")</f>
        <v>-</v>
      </c>
      <c r="H2210" s="99">
        <f>ventas_b_mes1255[[#This Row],[TOTAL]]/1.21</f>
        <v>0</v>
      </c>
      <c r="I2210" s="64">
        <f>ventas_b_mes1255[[#This Row],[IMPORTE NETO]]*0.21</f>
        <v>0</v>
      </c>
      <c r="J2210" s="140"/>
      <c r="K2210" s="140"/>
      <c r="L2210" s="140"/>
      <c r="M2210" s="59"/>
    </row>
    <row r="2211" spans="2:13" x14ac:dyDescent="0.25">
      <c r="B2211" s="134"/>
      <c r="C2211" s="41"/>
      <c r="D2211" s="136"/>
      <c r="E2211" s="137"/>
      <c r="F2211" s="138"/>
      <c r="G2211" s="1" t="str">
        <f>IFERROR(IF(ventas_b_mes1255[[#This Row],[CUIT]]="","-",VLOOKUP(ventas_b_mes1255[[#This Row],[CUIT]],Lista_CUIT[#All],2,0)),"CUIT NO CARGADO")</f>
        <v>-</v>
      </c>
      <c r="H2211" s="99">
        <f>ventas_b_mes1255[[#This Row],[TOTAL]]/1.21</f>
        <v>0</v>
      </c>
      <c r="I2211" s="64">
        <f>ventas_b_mes1255[[#This Row],[IMPORTE NETO]]*0.21</f>
        <v>0</v>
      </c>
      <c r="J2211" s="140"/>
      <c r="K2211" s="140"/>
      <c r="L2211" s="140"/>
      <c r="M2211" s="59"/>
    </row>
    <row r="2212" spans="2:13" x14ac:dyDescent="0.25">
      <c r="B2212" s="134"/>
      <c r="C2212" s="41"/>
      <c r="D2212" s="136"/>
      <c r="E2212" s="137"/>
      <c r="F2212" s="138"/>
      <c r="G2212" s="1" t="str">
        <f>IFERROR(IF(ventas_b_mes1255[[#This Row],[CUIT]]="","-",VLOOKUP(ventas_b_mes1255[[#This Row],[CUIT]],Lista_CUIT[#All],2,0)),"CUIT NO CARGADO")</f>
        <v>-</v>
      </c>
      <c r="H2212" s="99">
        <f>ventas_b_mes1255[[#This Row],[TOTAL]]/1.21</f>
        <v>0</v>
      </c>
      <c r="I2212" s="64">
        <f>ventas_b_mes1255[[#This Row],[IMPORTE NETO]]*0.21</f>
        <v>0</v>
      </c>
      <c r="J2212" s="140"/>
      <c r="K2212" s="140"/>
      <c r="L2212" s="140"/>
      <c r="M2212" s="59"/>
    </row>
    <row r="2213" spans="2:13" x14ac:dyDescent="0.25">
      <c r="B2213" s="134"/>
      <c r="C2213" s="41"/>
      <c r="D2213" s="136"/>
      <c r="E2213" s="137"/>
      <c r="F2213" s="138"/>
      <c r="G2213" s="1" t="str">
        <f>IFERROR(IF(ventas_b_mes1255[[#This Row],[CUIT]]="","-",VLOOKUP(ventas_b_mes1255[[#This Row],[CUIT]],Lista_CUIT[#All],2,0)),"CUIT NO CARGADO")</f>
        <v>-</v>
      </c>
      <c r="H2213" s="99">
        <f>ventas_b_mes1255[[#This Row],[TOTAL]]/1.21</f>
        <v>0</v>
      </c>
      <c r="I2213" s="64">
        <f>ventas_b_mes1255[[#This Row],[IMPORTE NETO]]*0.21</f>
        <v>0</v>
      </c>
      <c r="J2213" s="140"/>
      <c r="K2213" s="140"/>
      <c r="L2213" s="140"/>
      <c r="M2213" s="59"/>
    </row>
    <row r="2214" spans="2:13" x14ac:dyDescent="0.25">
      <c r="B2214" s="134"/>
      <c r="C2214" s="41"/>
      <c r="D2214" s="136"/>
      <c r="E2214" s="137"/>
      <c r="F2214" s="138"/>
      <c r="G2214" s="1" t="str">
        <f>IFERROR(IF(ventas_b_mes1255[[#This Row],[CUIT]]="","-",VLOOKUP(ventas_b_mes1255[[#This Row],[CUIT]],Lista_CUIT[#All],2,0)),"CUIT NO CARGADO")</f>
        <v>-</v>
      </c>
      <c r="H2214" s="99">
        <f>ventas_b_mes1255[[#This Row],[TOTAL]]/1.21</f>
        <v>0</v>
      </c>
      <c r="I2214" s="64">
        <f>ventas_b_mes1255[[#This Row],[IMPORTE NETO]]*0.21</f>
        <v>0</v>
      </c>
      <c r="J2214" s="140"/>
      <c r="K2214" s="140"/>
      <c r="L2214" s="140"/>
      <c r="M2214" s="59"/>
    </row>
    <row r="2215" spans="2:13" x14ac:dyDescent="0.25">
      <c r="B2215" s="134"/>
      <c r="C2215" s="41"/>
      <c r="D2215" s="136"/>
      <c r="E2215" s="137"/>
      <c r="F2215" s="138"/>
      <c r="G2215" s="1" t="str">
        <f>IFERROR(IF(ventas_b_mes1255[[#This Row],[CUIT]]="","-",VLOOKUP(ventas_b_mes1255[[#This Row],[CUIT]],Lista_CUIT[#All],2,0)),"CUIT NO CARGADO")</f>
        <v>-</v>
      </c>
      <c r="H2215" s="99">
        <f>ventas_b_mes1255[[#This Row],[TOTAL]]/1.21</f>
        <v>0</v>
      </c>
      <c r="I2215" s="64">
        <f>ventas_b_mes1255[[#This Row],[IMPORTE NETO]]*0.21</f>
        <v>0</v>
      </c>
      <c r="J2215" s="140"/>
      <c r="K2215" s="140"/>
      <c r="L2215" s="140"/>
      <c r="M2215" s="59"/>
    </row>
    <row r="2216" spans="2:13" x14ac:dyDescent="0.25">
      <c r="B2216" s="134"/>
      <c r="C2216" s="41"/>
      <c r="D2216" s="136"/>
      <c r="E2216" s="137"/>
      <c r="F2216" s="138"/>
      <c r="G2216" s="1" t="str">
        <f>IFERROR(IF(ventas_b_mes1255[[#This Row],[CUIT]]="","-",VLOOKUP(ventas_b_mes1255[[#This Row],[CUIT]],Lista_CUIT[#All],2,0)),"CUIT NO CARGADO")</f>
        <v>-</v>
      </c>
      <c r="H2216" s="99">
        <f>ventas_b_mes1255[[#This Row],[TOTAL]]/1.21</f>
        <v>0</v>
      </c>
      <c r="I2216" s="64">
        <f>ventas_b_mes1255[[#This Row],[IMPORTE NETO]]*0.21</f>
        <v>0</v>
      </c>
      <c r="J2216" s="140"/>
      <c r="K2216" s="140"/>
      <c r="L2216" s="140"/>
      <c r="M2216" s="59"/>
    </row>
    <row r="2217" spans="2:13" x14ac:dyDescent="0.25">
      <c r="B2217" s="134"/>
      <c r="C2217" s="41"/>
      <c r="D2217" s="136"/>
      <c r="E2217" s="137"/>
      <c r="F2217" s="138"/>
      <c r="G2217" s="1" t="str">
        <f>IFERROR(IF(ventas_b_mes1255[[#This Row],[CUIT]]="","-",VLOOKUP(ventas_b_mes1255[[#This Row],[CUIT]],Lista_CUIT[#All],2,0)),"CUIT NO CARGADO")</f>
        <v>-</v>
      </c>
      <c r="H2217" s="99">
        <f>ventas_b_mes1255[[#This Row],[TOTAL]]/1.21</f>
        <v>0</v>
      </c>
      <c r="I2217" s="64">
        <f>ventas_b_mes1255[[#This Row],[IMPORTE NETO]]*0.21</f>
        <v>0</v>
      </c>
      <c r="J2217" s="140"/>
      <c r="K2217" s="140"/>
      <c r="L2217" s="140"/>
      <c r="M2217" s="59"/>
    </row>
    <row r="2218" spans="2:13" x14ac:dyDescent="0.25">
      <c r="B2218" s="134"/>
      <c r="C2218" s="41"/>
      <c r="D2218" s="136"/>
      <c r="E2218" s="137"/>
      <c r="F2218" s="138"/>
      <c r="G2218" s="1" t="str">
        <f>IFERROR(IF(ventas_b_mes1255[[#This Row],[CUIT]]="","-",VLOOKUP(ventas_b_mes1255[[#This Row],[CUIT]],Lista_CUIT[#All],2,0)),"CUIT NO CARGADO")</f>
        <v>-</v>
      </c>
      <c r="H2218" s="99">
        <f>ventas_b_mes1255[[#This Row],[TOTAL]]/1.21</f>
        <v>0</v>
      </c>
      <c r="I2218" s="64">
        <f>ventas_b_mes1255[[#This Row],[IMPORTE NETO]]*0.21</f>
        <v>0</v>
      </c>
      <c r="J2218" s="140"/>
      <c r="K2218" s="140"/>
      <c r="L2218" s="140"/>
      <c r="M2218" s="59"/>
    </row>
    <row r="2219" spans="2:13" x14ac:dyDescent="0.25">
      <c r="B2219" s="134"/>
      <c r="C2219" s="41"/>
      <c r="D2219" s="136"/>
      <c r="E2219" s="137"/>
      <c r="F2219" s="138"/>
      <c r="G2219" s="1" t="str">
        <f>IFERROR(IF(ventas_b_mes1255[[#This Row],[CUIT]]="","-",VLOOKUP(ventas_b_mes1255[[#This Row],[CUIT]],Lista_CUIT[#All],2,0)),"CUIT NO CARGADO")</f>
        <v>-</v>
      </c>
      <c r="H2219" s="99">
        <f>ventas_b_mes1255[[#This Row],[TOTAL]]/1.21</f>
        <v>0</v>
      </c>
      <c r="I2219" s="64">
        <f>ventas_b_mes1255[[#This Row],[IMPORTE NETO]]*0.21</f>
        <v>0</v>
      </c>
      <c r="J2219" s="140"/>
      <c r="K2219" s="140"/>
      <c r="L2219" s="140"/>
      <c r="M2219" s="59"/>
    </row>
    <row r="2220" spans="2:13" x14ac:dyDescent="0.25">
      <c r="B2220" s="134"/>
      <c r="C2220" s="41"/>
      <c r="D2220" s="136"/>
      <c r="E2220" s="137"/>
      <c r="F2220" s="138"/>
      <c r="G2220" s="1" t="str">
        <f>IFERROR(IF(ventas_b_mes1255[[#This Row],[CUIT]]="","-",VLOOKUP(ventas_b_mes1255[[#This Row],[CUIT]],Lista_CUIT[#All],2,0)),"CUIT NO CARGADO")</f>
        <v>-</v>
      </c>
      <c r="H2220" s="99">
        <f>ventas_b_mes1255[[#This Row],[TOTAL]]/1.21</f>
        <v>0</v>
      </c>
      <c r="I2220" s="64">
        <f>ventas_b_mes1255[[#This Row],[IMPORTE NETO]]*0.21</f>
        <v>0</v>
      </c>
      <c r="J2220" s="140"/>
      <c r="K2220" s="140"/>
      <c r="L2220" s="140"/>
      <c r="M2220" s="59"/>
    </row>
    <row r="2221" spans="2:13" x14ac:dyDescent="0.25">
      <c r="B2221" s="134"/>
      <c r="C2221" s="41"/>
      <c r="D2221" s="136"/>
      <c r="E2221" s="137"/>
      <c r="F2221" s="138"/>
      <c r="G2221" s="1" t="str">
        <f>IFERROR(IF(ventas_b_mes1255[[#This Row],[CUIT]]="","-",VLOOKUP(ventas_b_mes1255[[#This Row],[CUIT]],Lista_CUIT[#All],2,0)),"CUIT NO CARGADO")</f>
        <v>-</v>
      </c>
      <c r="H2221" s="99">
        <f>ventas_b_mes1255[[#This Row],[TOTAL]]/1.21</f>
        <v>0</v>
      </c>
      <c r="I2221" s="64">
        <f>ventas_b_mes1255[[#This Row],[IMPORTE NETO]]*0.21</f>
        <v>0</v>
      </c>
      <c r="J2221" s="140"/>
      <c r="K2221" s="140"/>
      <c r="L2221" s="140"/>
      <c r="M2221" s="59"/>
    </row>
    <row r="2222" spans="2:13" x14ac:dyDescent="0.25">
      <c r="B2222" s="134"/>
      <c r="C2222" s="41"/>
      <c r="D2222" s="136"/>
      <c r="E2222" s="137"/>
      <c r="F2222" s="138"/>
      <c r="G2222" s="1" t="str">
        <f>IFERROR(IF(ventas_b_mes1255[[#This Row],[CUIT]]="","-",VLOOKUP(ventas_b_mes1255[[#This Row],[CUIT]],Lista_CUIT[#All],2,0)),"CUIT NO CARGADO")</f>
        <v>-</v>
      </c>
      <c r="H2222" s="99">
        <f>ventas_b_mes1255[[#This Row],[TOTAL]]/1.21</f>
        <v>0</v>
      </c>
      <c r="I2222" s="64">
        <f>ventas_b_mes1255[[#This Row],[IMPORTE NETO]]*0.21</f>
        <v>0</v>
      </c>
      <c r="J2222" s="140"/>
      <c r="K2222" s="140"/>
      <c r="L2222" s="140"/>
      <c r="M2222" s="59"/>
    </row>
    <row r="2223" spans="2:13" x14ac:dyDescent="0.25">
      <c r="B2223" s="134"/>
      <c r="C2223" s="41"/>
      <c r="D2223" s="136"/>
      <c r="E2223" s="137"/>
      <c r="F2223" s="138"/>
      <c r="G2223" s="1" t="str">
        <f>IFERROR(IF(ventas_b_mes1255[[#This Row],[CUIT]]="","-",VLOOKUP(ventas_b_mes1255[[#This Row],[CUIT]],Lista_CUIT[#All],2,0)),"CUIT NO CARGADO")</f>
        <v>-</v>
      </c>
      <c r="H2223" s="99">
        <f>ventas_b_mes1255[[#This Row],[TOTAL]]/1.21</f>
        <v>0</v>
      </c>
      <c r="I2223" s="64">
        <f>ventas_b_mes1255[[#This Row],[IMPORTE NETO]]*0.21</f>
        <v>0</v>
      </c>
      <c r="J2223" s="140"/>
      <c r="K2223" s="140"/>
      <c r="L2223" s="140"/>
      <c r="M2223" s="59"/>
    </row>
    <row r="2224" spans="2:13" x14ac:dyDescent="0.25">
      <c r="B2224" s="134"/>
      <c r="C2224" s="41"/>
      <c r="D2224" s="136"/>
      <c r="E2224" s="137"/>
      <c r="F2224" s="138"/>
      <c r="G2224" s="1" t="str">
        <f>IFERROR(IF(ventas_b_mes1255[[#This Row],[CUIT]]="","-",VLOOKUP(ventas_b_mes1255[[#This Row],[CUIT]],Lista_CUIT[#All],2,0)),"CUIT NO CARGADO")</f>
        <v>-</v>
      </c>
      <c r="H2224" s="99">
        <f>ventas_b_mes1255[[#This Row],[TOTAL]]/1.21</f>
        <v>0</v>
      </c>
      <c r="I2224" s="64">
        <f>ventas_b_mes1255[[#This Row],[IMPORTE NETO]]*0.21</f>
        <v>0</v>
      </c>
      <c r="J2224" s="140"/>
      <c r="K2224" s="140"/>
      <c r="L2224" s="140"/>
      <c r="M2224" s="59"/>
    </row>
    <row r="2225" spans="2:13" x14ac:dyDescent="0.25">
      <c r="B2225" s="134"/>
      <c r="C2225" s="41"/>
      <c r="D2225" s="136"/>
      <c r="E2225" s="137"/>
      <c r="F2225" s="138"/>
      <c r="G2225" s="1" t="str">
        <f>IFERROR(IF(ventas_b_mes1255[[#This Row],[CUIT]]="","-",VLOOKUP(ventas_b_mes1255[[#This Row],[CUIT]],Lista_CUIT[#All],2,0)),"CUIT NO CARGADO")</f>
        <v>-</v>
      </c>
      <c r="H2225" s="99">
        <f>ventas_b_mes1255[[#This Row],[TOTAL]]/1.21</f>
        <v>0</v>
      </c>
      <c r="I2225" s="64">
        <f>ventas_b_mes1255[[#This Row],[IMPORTE NETO]]*0.21</f>
        <v>0</v>
      </c>
      <c r="J2225" s="140"/>
      <c r="K2225" s="140"/>
      <c r="L2225" s="140"/>
      <c r="M2225" s="59"/>
    </row>
    <row r="2226" spans="2:13" x14ac:dyDescent="0.25">
      <c r="B2226" s="134"/>
      <c r="C2226" s="41"/>
      <c r="D2226" s="136"/>
      <c r="E2226" s="137"/>
      <c r="F2226" s="138"/>
      <c r="G2226" s="1" t="str">
        <f>IFERROR(IF(ventas_b_mes1255[[#This Row],[CUIT]]="","-",VLOOKUP(ventas_b_mes1255[[#This Row],[CUIT]],Lista_CUIT[#All],2,0)),"CUIT NO CARGADO")</f>
        <v>-</v>
      </c>
      <c r="H2226" s="99">
        <f>ventas_b_mes1255[[#This Row],[TOTAL]]/1.21</f>
        <v>0</v>
      </c>
      <c r="I2226" s="64">
        <f>ventas_b_mes1255[[#This Row],[IMPORTE NETO]]*0.21</f>
        <v>0</v>
      </c>
      <c r="J2226" s="140"/>
      <c r="K2226" s="140"/>
      <c r="L2226" s="140"/>
      <c r="M2226" s="59"/>
    </row>
    <row r="2227" spans="2:13" x14ac:dyDescent="0.25">
      <c r="B2227" s="134"/>
      <c r="C2227" s="41"/>
      <c r="D2227" s="136"/>
      <c r="E2227" s="137"/>
      <c r="F2227" s="138"/>
      <c r="G2227" s="1" t="str">
        <f>IFERROR(IF(ventas_b_mes1255[[#This Row],[CUIT]]="","-",VLOOKUP(ventas_b_mes1255[[#This Row],[CUIT]],Lista_CUIT[#All],2,0)),"CUIT NO CARGADO")</f>
        <v>-</v>
      </c>
      <c r="H2227" s="99">
        <f>ventas_b_mes1255[[#This Row],[TOTAL]]/1.21</f>
        <v>0</v>
      </c>
      <c r="I2227" s="64">
        <f>ventas_b_mes1255[[#This Row],[IMPORTE NETO]]*0.21</f>
        <v>0</v>
      </c>
      <c r="J2227" s="140"/>
      <c r="K2227" s="140"/>
      <c r="L2227" s="140"/>
      <c r="M2227" s="59"/>
    </row>
    <row r="2228" spans="2:13" x14ac:dyDescent="0.25">
      <c r="B2228" s="134"/>
      <c r="C2228" s="41"/>
      <c r="D2228" s="136"/>
      <c r="E2228" s="137"/>
      <c r="F2228" s="138"/>
      <c r="G2228" s="1" t="str">
        <f>IFERROR(IF(ventas_b_mes1255[[#This Row],[CUIT]]="","-",VLOOKUP(ventas_b_mes1255[[#This Row],[CUIT]],Lista_CUIT[#All],2,0)),"CUIT NO CARGADO")</f>
        <v>-</v>
      </c>
      <c r="H2228" s="99">
        <f>ventas_b_mes1255[[#This Row],[TOTAL]]/1.21</f>
        <v>0</v>
      </c>
      <c r="I2228" s="64">
        <f>ventas_b_mes1255[[#This Row],[IMPORTE NETO]]*0.21</f>
        <v>0</v>
      </c>
      <c r="J2228" s="140"/>
      <c r="K2228" s="140"/>
      <c r="L2228" s="140"/>
      <c r="M2228" s="59"/>
    </row>
    <row r="2229" spans="2:13" x14ac:dyDescent="0.25">
      <c r="B2229" s="134"/>
      <c r="C2229" s="41"/>
      <c r="D2229" s="136"/>
      <c r="E2229" s="137"/>
      <c r="F2229" s="138"/>
      <c r="G2229" s="1" t="str">
        <f>IFERROR(IF(ventas_b_mes1255[[#This Row],[CUIT]]="","-",VLOOKUP(ventas_b_mes1255[[#This Row],[CUIT]],Lista_CUIT[#All],2,0)),"CUIT NO CARGADO")</f>
        <v>-</v>
      </c>
      <c r="H2229" s="99">
        <f>ventas_b_mes1255[[#This Row],[TOTAL]]/1.21</f>
        <v>0</v>
      </c>
      <c r="I2229" s="64">
        <f>ventas_b_mes1255[[#This Row],[IMPORTE NETO]]*0.21</f>
        <v>0</v>
      </c>
      <c r="J2229" s="140"/>
      <c r="K2229" s="140"/>
      <c r="L2229" s="140"/>
      <c r="M2229" s="59"/>
    </row>
    <row r="2230" spans="2:13" x14ac:dyDescent="0.25">
      <c r="B2230" s="134"/>
      <c r="C2230" s="41"/>
      <c r="D2230" s="136"/>
      <c r="E2230" s="137"/>
      <c r="F2230" s="138"/>
      <c r="G2230" s="1" t="str">
        <f>IFERROR(IF(ventas_b_mes1255[[#This Row],[CUIT]]="","-",VLOOKUP(ventas_b_mes1255[[#This Row],[CUIT]],Lista_CUIT[#All],2,0)),"CUIT NO CARGADO")</f>
        <v>-</v>
      </c>
      <c r="H2230" s="99">
        <f>ventas_b_mes1255[[#This Row],[TOTAL]]/1.21</f>
        <v>0</v>
      </c>
      <c r="I2230" s="64">
        <f>ventas_b_mes1255[[#This Row],[IMPORTE NETO]]*0.21</f>
        <v>0</v>
      </c>
      <c r="J2230" s="140"/>
      <c r="K2230" s="140"/>
      <c r="L2230" s="140"/>
      <c r="M2230" s="59"/>
    </row>
    <row r="2231" spans="2:13" x14ac:dyDescent="0.25">
      <c r="B2231" s="134"/>
      <c r="C2231" s="41"/>
      <c r="D2231" s="136"/>
      <c r="E2231" s="137"/>
      <c r="F2231" s="138"/>
      <c r="G2231" s="1" t="str">
        <f>IFERROR(IF(ventas_b_mes1255[[#This Row],[CUIT]]="","-",VLOOKUP(ventas_b_mes1255[[#This Row],[CUIT]],Lista_CUIT[#All],2,0)),"CUIT NO CARGADO")</f>
        <v>-</v>
      </c>
      <c r="H2231" s="99">
        <f>ventas_b_mes1255[[#This Row],[TOTAL]]/1.21</f>
        <v>0</v>
      </c>
      <c r="I2231" s="64">
        <f>ventas_b_mes1255[[#This Row],[IMPORTE NETO]]*0.21</f>
        <v>0</v>
      </c>
      <c r="J2231" s="140"/>
      <c r="K2231" s="140"/>
      <c r="L2231" s="140"/>
      <c r="M2231" s="59"/>
    </row>
    <row r="2232" spans="2:13" x14ac:dyDescent="0.25">
      <c r="B2232" s="134"/>
      <c r="C2232" s="41"/>
      <c r="D2232" s="136"/>
      <c r="E2232" s="137"/>
      <c r="F2232" s="138"/>
      <c r="G2232" s="1" t="str">
        <f>IFERROR(IF(ventas_b_mes1255[[#This Row],[CUIT]]="","-",VLOOKUP(ventas_b_mes1255[[#This Row],[CUIT]],Lista_CUIT[#All],2,0)),"CUIT NO CARGADO")</f>
        <v>-</v>
      </c>
      <c r="H2232" s="99">
        <f>ventas_b_mes1255[[#This Row],[TOTAL]]/1.21</f>
        <v>0</v>
      </c>
      <c r="I2232" s="64">
        <f>ventas_b_mes1255[[#This Row],[IMPORTE NETO]]*0.21</f>
        <v>0</v>
      </c>
      <c r="J2232" s="140"/>
      <c r="K2232" s="140"/>
      <c r="L2232" s="140"/>
      <c r="M2232" s="59"/>
    </row>
    <row r="2233" spans="2:13" x14ac:dyDescent="0.25">
      <c r="B2233" s="134"/>
      <c r="C2233" s="41"/>
      <c r="D2233" s="136"/>
      <c r="E2233" s="137"/>
      <c r="F2233" s="138"/>
      <c r="G2233" s="1" t="str">
        <f>IFERROR(IF(ventas_b_mes1255[[#This Row],[CUIT]]="","-",VLOOKUP(ventas_b_mes1255[[#This Row],[CUIT]],Lista_CUIT[#All],2,0)),"CUIT NO CARGADO")</f>
        <v>-</v>
      </c>
      <c r="H2233" s="99">
        <f>ventas_b_mes1255[[#This Row],[TOTAL]]/1.21</f>
        <v>0</v>
      </c>
      <c r="I2233" s="64">
        <f>ventas_b_mes1255[[#This Row],[IMPORTE NETO]]*0.21</f>
        <v>0</v>
      </c>
      <c r="J2233" s="140"/>
      <c r="K2233" s="140"/>
      <c r="L2233" s="140"/>
      <c r="M2233" s="59"/>
    </row>
    <row r="2234" spans="2:13" x14ac:dyDescent="0.25">
      <c r="B2234" s="134"/>
      <c r="C2234" s="41"/>
      <c r="D2234" s="136"/>
      <c r="E2234" s="137"/>
      <c r="F2234" s="138"/>
      <c r="G2234" s="1" t="str">
        <f>IFERROR(IF(ventas_b_mes1255[[#This Row],[CUIT]]="","-",VLOOKUP(ventas_b_mes1255[[#This Row],[CUIT]],Lista_CUIT[#All],2,0)),"CUIT NO CARGADO")</f>
        <v>-</v>
      </c>
      <c r="H2234" s="99">
        <f>ventas_b_mes1255[[#This Row],[TOTAL]]/1.21</f>
        <v>0</v>
      </c>
      <c r="I2234" s="64">
        <f>ventas_b_mes1255[[#This Row],[IMPORTE NETO]]*0.21</f>
        <v>0</v>
      </c>
      <c r="J2234" s="140"/>
      <c r="K2234" s="140"/>
      <c r="L2234" s="140"/>
      <c r="M2234" s="59"/>
    </row>
    <row r="2235" spans="2:13" x14ac:dyDescent="0.25">
      <c r="B2235" s="134"/>
      <c r="C2235" s="41"/>
      <c r="D2235" s="136"/>
      <c r="E2235" s="137"/>
      <c r="F2235" s="138"/>
      <c r="G2235" s="1" t="str">
        <f>IFERROR(IF(ventas_b_mes1255[[#This Row],[CUIT]]="","-",VLOOKUP(ventas_b_mes1255[[#This Row],[CUIT]],Lista_CUIT[#All],2,0)),"CUIT NO CARGADO")</f>
        <v>-</v>
      </c>
      <c r="H2235" s="99">
        <f>ventas_b_mes1255[[#This Row],[TOTAL]]/1.21</f>
        <v>0</v>
      </c>
      <c r="I2235" s="64">
        <f>ventas_b_mes1255[[#This Row],[IMPORTE NETO]]*0.21</f>
        <v>0</v>
      </c>
      <c r="J2235" s="140"/>
      <c r="K2235" s="140"/>
      <c r="L2235" s="140"/>
      <c r="M2235" s="59"/>
    </row>
    <row r="2236" spans="2:13" x14ac:dyDescent="0.25">
      <c r="B2236" s="134"/>
      <c r="C2236" s="41"/>
      <c r="D2236" s="136"/>
      <c r="E2236" s="137"/>
      <c r="F2236" s="138"/>
      <c r="G2236" s="1" t="str">
        <f>IFERROR(IF(ventas_b_mes1255[[#This Row],[CUIT]]="","-",VLOOKUP(ventas_b_mes1255[[#This Row],[CUIT]],Lista_CUIT[#All],2,0)),"CUIT NO CARGADO")</f>
        <v>-</v>
      </c>
      <c r="H2236" s="99">
        <f>ventas_b_mes1255[[#This Row],[TOTAL]]/1.21</f>
        <v>0</v>
      </c>
      <c r="I2236" s="64">
        <f>ventas_b_mes1255[[#This Row],[IMPORTE NETO]]*0.21</f>
        <v>0</v>
      </c>
      <c r="J2236" s="140"/>
      <c r="K2236" s="140"/>
      <c r="L2236" s="140"/>
      <c r="M2236" s="59"/>
    </row>
    <row r="2237" spans="2:13" x14ac:dyDescent="0.25">
      <c r="B2237" s="134"/>
      <c r="C2237" s="41"/>
      <c r="D2237" s="136"/>
      <c r="E2237" s="137"/>
      <c r="F2237" s="138"/>
      <c r="G2237" s="1" t="str">
        <f>IFERROR(IF(ventas_b_mes1255[[#This Row],[CUIT]]="","-",VLOOKUP(ventas_b_mes1255[[#This Row],[CUIT]],Lista_CUIT[#All],2,0)),"CUIT NO CARGADO")</f>
        <v>-</v>
      </c>
      <c r="H2237" s="99">
        <f>ventas_b_mes1255[[#This Row],[TOTAL]]/1.21</f>
        <v>0</v>
      </c>
      <c r="I2237" s="64">
        <f>ventas_b_mes1255[[#This Row],[IMPORTE NETO]]*0.21</f>
        <v>0</v>
      </c>
      <c r="J2237" s="140"/>
      <c r="K2237" s="140"/>
      <c r="L2237" s="140"/>
      <c r="M2237" s="59"/>
    </row>
    <row r="2238" spans="2:13" x14ac:dyDescent="0.25">
      <c r="B2238" s="134"/>
      <c r="C2238" s="41"/>
      <c r="D2238" s="136"/>
      <c r="E2238" s="137"/>
      <c r="F2238" s="138"/>
      <c r="G2238" s="1" t="str">
        <f>IFERROR(IF(ventas_b_mes1255[[#This Row],[CUIT]]="","-",VLOOKUP(ventas_b_mes1255[[#This Row],[CUIT]],Lista_CUIT[#All],2,0)),"CUIT NO CARGADO")</f>
        <v>-</v>
      </c>
      <c r="H2238" s="99">
        <f>ventas_b_mes1255[[#This Row],[TOTAL]]/1.21</f>
        <v>0</v>
      </c>
      <c r="I2238" s="64">
        <f>ventas_b_mes1255[[#This Row],[IMPORTE NETO]]*0.21</f>
        <v>0</v>
      </c>
      <c r="J2238" s="140"/>
      <c r="K2238" s="140"/>
      <c r="L2238" s="140"/>
      <c r="M2238" s="59"/>
    </row>
    <row r="2239" spans="2:13" x14ac:dyDescent="0.25">
      <c r="B2239" s="134"/>
      <c r="C2239" s="41"/>
      <c r="D2239" s="136"/>
      <c r="E2239" s="137"/>
      <c r="F2239" s="138"/>
      <c r="G2239" s="1" t="str">
        <f>IFERROR(IF(ventas_b_mes1255[[#This Row],[CUIT]]="","-",VLOOKUP(ventas_b_mes1255[[#This Row],[CUIT]],Lista_CUIT[#All],2,0)),"CUIT NO CARGADO")</f>
        <v>-</v>
      </c>
      <c r="H2239" s="99">
        <f>ventas_b_mes1255[[#This Row],[TOTAL]]/1.21</f>
        <v>0</v>
      </c>
      <c r="I2239" s="64">
        <f>ventas_b_mes1255[[#This Row],[IMPORTE NETO]]*0.21</f>
        <v>0</v>
      </c>
      <c r="J2239" s="140"/>
      <c r="K2239" s="140"/>
      <c r="L2239" s="140"/>
      <c r="M2239" s="59"/>
    </row>
    <row r="2240" spans="2:13" x14ac:dyDescent="0.25">
      <c r="B2240" s="134"/>
      <c r="C2240" s="41"/>
      <c r="D2240" s="136"/>
      <c r="E2240" s="137"/>
      <c r="F2240" s="138"/>
      <c r="G2240" s="1" t="str">
        <f>IFERROR(IF(ventas_b_mes1255[[#This Row],[CUIT]]="","-",VLOOKUP(ventas_b_mes1255[[#This Row],[CUIT]],Lista_CUIT[#All],2,0)),"CUIT NO CARGADO")</f>
        <v>-</v>
      </c>
      <c r="H2240" s="99">
        <f>ventas_b_mes1255[[#This Row],[TOTAL]]/1.21</f>
        <v>0</v>
      </c>
      <c r="I2240" s="64">
        <f>ventas_b_mes1255[[#This Row],[IMPORTE NETO]]*0.21</f>
        <v>0</v>
      </c>
      <c r="J2240" s="140"/>
      <c r="K2240" s="140"/>
      <c r="L2240" s="140"/>
      <c r="M2240" s="59"/>
    </row>
    <row r="2241" spans="2:13" x14ac:dyDescent="0.25">
      <c r="B2241" s="134"/>
      <c r="C2241" s="41"/>
      <c r="D2241" s="136"/>
      <c r="E2241" s="137"/>
      <c r="F2241" s="138"/>
      <c r="G2241" s="1" t="str">
        <f>IFERROR(IF(ventas_b_mes1255[[#This Row],[CUIT]]="","-",VLOOKUP(ventas_b_mes1255[[#This Row],[CUIT]],Lista_CUIT[#All],2,0)),"CUIT NO CARGADO")</f>
        <v>-</v>
      </c>
      <c r="H2241" s="99">
        <f>ventas_b_mes1255[[#This Row],[TOTAL]]/1.21</f>
        <v>0</v>
      </c>
      <c r="I2241" s="64">
        <f>ventas_b_mes1255[[#This Row],[IMPORTE NETO]]*0.21</f>
        <v>0</v>
      </c>
      <c r="J2241" s="140"/>
      <c r="K2241" s="140"/>
      <c r="L2241" s="140"/>
      <c r="M2241" s="59"/>
    </row>
    <row r="2242" spans="2:13" x14ac:dyDescent="0.25">
      <c r="B2242" s="134"/>
      <c r="C2242" s="41"/>
      <c r="D2242" s="136"/>
      <c r="E2242" s="137"/>
      <c r="F2242" s="138"/>
      <c r="G2242" s="1" t="str">
        <f>IFERROR(IF(ventas_b_mes1255[[#This Row],[CUIT]]="","-",VLOOKUP(ventas_b_mes1255[[#This Row],[CUIT]],Lista_CUIT[#All],2,0)),"CUIT NO CARGADO")</f>
        <v>-</v>
      </c>
      <c r="H2242" s="99">
        <f>ventas_b_mes1255[[#This Row],[TOTAL]]/1.21</f>
        <v>0</v>
      </c>
      <c r="I2242" s="64">
        <f>ventas_b_mes1255[[#This Row],[IMPORTE NETO]]*0.21</f>
        <v>0</v>
      </c>
      <c r="J2242" s="140"/>
      <c r="K2242" s="140"/>
      <c r="L2242" s="140"/>
      <c r="M2242" s="59"/>
    </row>
    <row r="2243" spans="2:13" x14ac:dyDescent="0.25">
      <c r="B2243" s="134"/>
      <c r="C2243" s="41"/>
      <c r="D2243" s="136"/>
      <c r="E2243" s="137"/>
      <c r="F2243" s="138"/>
      <c r="G2243" s="1" t="str">
        <f>IFERROR(IF(ventas_b_mes1255[[#This Row],[CUIT]]="","-",VLOOKUP(ventas_b_mes1255[[#This Row],[CUIT]],Lista_CUIT[#All],2,0)),"CUIT NO CARGADO")</f>
        <v>-</v>
      </c>
      <c r="H2243" s="99">
        <f>ventas_b_mes1255[[#This Row],[TOTAL]]/1.21</f>
        <v>0</v>
      </c>
      <c r="I2243" s="64">
        <f>ventas_b_mes1255[[#This Row],[IMPORTE NETO]]*0.21</f>
        <v>0</v>
      </c>
      <c r="J2243" s="140"/>
      <c r="K2243" s="140"/>
      <c r="L2243" s="140"/>
      <c r="M2243" s="59"/>
    </row>
    <row r="2244" spans="2:13" x14ac:dyDescent="0.25">
      <c r="B2244" s="134"/>
      <c r="C2244" s="41"/>
      <c r="D2244" s="136"/>
      <c r="E2244" s="137"/>
      <c r="F2244" s="138"/>
      <c r="G2244" s="1" t="str">
        <f>IFERROR(IF(ventas_b_mes1255[[#This Row],[CUIT]]="","-",VLOOKUP(ventas_b_mes1255[[#This Row],[CUIT]],Lista_CUIT[#All],2,0)),"CUIT NO CARGADO")</f>
        <v>-</v>
      </c>
      <c r="H2244" s="99">
        <f>ventas_b_mes1255[[#This Row],[TOTAL]]/1.21</f>
        <v>0</v>
      </c>
      <c r="I2244" s="64">
        <f>ventas_b_mes1255[[#This Row],[IMPORTE NETO]]*0.21</f>
        <v>0</v>
      </c>
      <c r="J2244" s="140"/>
      <c r="K2244" s="140"/>
      <c r="L2244" s="140"/>
      <c r="M2244" s="59"/>
    </row>
    <row r="2245" spans="2:13" x14ac:dyDescent="0.25">
      <c r="B2245" s="134"/>
      <c r="C2245" s="41"/>
      <c r="D2245" s="136"/>
      <c r="E2245" s="137"/>
      <c r="F2245" s="138"/>
      <c r="G2245" s="1" t="str">
        <f>IFERROR(IF(ventas_b_mes1255[[#This Row],[CUIT]]="","-",VLOOKUP(ventas_b_mes1255[[#This Row],[CUIT]],Lista_CUIT[#All],2,0)),"CUIT NO CARGADO")</f>
        <v>-</v>
      </c>
      <c r="H2245" s="99">
        <f>ventas_b_mes1255[[#This Row],[TOTAL]]/1.21</f>
        <v>0</v>
      </c>
      <c r="I2245" s="64">
        <f>ventas_b_mes1255[[#This Row],[IMPORTE NETO]]*0.21</f>
        <v>0</v>
      </c>
      <c r="J2245" s="140"/>
      <c r="K2245" s="140"/>
      <c r="L2245" s="140"/>
      <c r="M2245" s="59"/>
    </row>
    <row r="2246" spans="2:13" x14ac:dyDescent="0.25">
      <c r="B2246" s="134"/>
      <c r="C2246" s="41"/>
      <c r="D2246" s="136"/>
      <c r="E2246" s="137"/>
      <c r="F2246" s="138"/>
      <c r="G2246" s="1" t="str">
        <f>IFERROR(IF(ventas_b_mes1255[[#This Row],[CUIT]]="","-",VLOOKUP(ventas_b_mes1255[[#This Row],[CUIT]],Lista_CUIT[#All],2,0)),"CUIT NO CARGADO")</f>
        <v>-</v>
      </c>
      <c r="H2246" s="99">
        <f>ventas_b_mes1255[[#This Row],[TOTAL]]/1.21</f>
        <v>0</v>
      </c>
      <c r="I2246" s="64">
        <f>ventas_b_mes1255[[#This Row],[IMPORTE NETO]]*0.21</f>
        <v>0</v>
      </c>
      <c r="J2246" s="140"/>
      <c r="K2246" s="140"/>
      <c r="L2246" s="140"/>
      <c r="M2246" s="59"/>
    </row>
    <row r="2247" spans="2:13" x14ac:dyDescent="0.25">
      <c r="B2247" s="134"/>
      <c r="C2247" s="41"/>
      <c r="D2247" s="136"/>
      <c r="E2247" s="137"/>
      <c r="F2247" s="138"/>
      <c r="G2247" s="1" t="str">
        <f>IFERROR(IF(ventas_b_mes1255[[#This Row],[CUIT]]="","-",VLOOKUP(ventas_b_mes1255[[#This Row],[CUIT]],Lista_CUIT[#All],2,0)),"CUIT NO CARGADO")</f>
        <v>-</v>
      </c>
      <c r="H2247" s="99">
        <f>ventas_b_mes1255[[#This Row],[TOTAL]]/1.21</f>
        <v>0</v>
      </c>
      <c r="I2247" s="64">
        <f>ventas_b_mes1255[[#This Row],[IMPORTE NETO]]*0.21</f>
        <v>0</v>
      </c>
      <c r="J2247" s="140"/>
      <c r="K2247" s="140"/>
      <c r="L2247" s="140"/>
      <c r="M2247" s="59"/>
    </row>
    <row r="2248" spans="2:13" x14ac:dyDescent="0.25">
      <c r="B2248" s="134"/>
      <c r="C2248" s="41"/>
      <c r="D2248" s="136"/>
      <c r="E2248" s="137"/>
      <c r="F2248" s="138"/>
      <c r="G2248" s="1" t="str">
        <f>IFERROR(IF(ventas_b_mes1255[[#This Row],[CUIT]]="","-",VLOOKUP(ventas_b_mes1255[[#This Row],[CUIT]],Lista_CUIT[#All],2,0)),"CUIT NO CARGADO")</f>
        <v>-</v>
      </c>
      <c r="H2248" s="99">
        <f>ventas_b_mes1255[[#This Row],[TOTAL]]/1.21</f>
        <v>0</v>
      </c>
      <c r="I2248" s="64">
        <f>ventas_b_mes1255[[#This Row],[IMPORTE NETO]]*0.21</f>
        <v>0</v>
      </c>
      <c r="J2248" s="140"/>
      <c r="K2248" s="140"/>
      <c r="L2248" s="140"/>
      <c r="M2248" s="59"/>
    </row>
    <row r="2249" spans="2:13" x14ac:dyDescent="0.25">
      <c r="B2249" s="134"/>
      <c r="C2249" s="41"/>
      <c r="D2249" s="136"/>
      <c r="E2249" s="137"/>
      <c r="F2249" s="138"/>
      <c r="G2249" s="1" t="str">
        <f>IFERROR(IF(ventas_b_mes1255[[#This Row],[CUIT]]="","-",VLOOKUP(ventas_b_mes1255[[#This Row],[CUIT]],Lista_CUIT[#All],2,0)),"CUIT NO CARGADO")</f>
        <v>-</v>
      </c>
      <c r="H2249" s="99">
        <f>ventas_b_mes1255[[#This Row],[TOTAL]]/1.21</f>
        <v>0</v>
      </c>
      <c r="I2249" s="64">
        <f>ventas_b_mes1255[[#This Row],[IMPORTE NETO]]*0.21</f>
        <v>0</v>
      </c>
      <c r="J2249" s="140"/>
      <c r="K2249" s="140"/>
      <c r="L2249" s="140"/>
      <c r="M2249" s="59"/>
    </row>
    <row r="2250" spans="2:13" x14ac:dyDescent="0.25">
      <c r="B2250" s="134"/>
      <c r="C2250" s="41"/>
      <c r="D2250" s="136"/>
      <c r="E2250" s="137"/>
      <c r="F2250" s="138"/>
      <c r="G2250" s="1" t="str">
        <f>IFERROR(IF(ventas_b_mes1255[[#This Row],[CUIT]]="","-",VLOOKUP(ventas_b_mes1255[[#This Row],[CUIT]],Lista_CUIT[#All],2,0)),"CUIT NO CARGADO")</f>
        <v>-</v>
      </c>
      <c r="H2250" s="99">
        <f>ventas_b_mes1255[[#This Row],[TOTAL]]/1.21</f>
        <v>0</v>
      </c>
      <c r="I2250" s="64">
        <f>ventas_b_mes1255[[#This Row],[IMPORTE NETO]]*0.21</f>
        <v>0</v>
      </c>
      <c r="J2250" s="140"/>
      <c r="K2250" s="140"/>
      <c r="L2250" s="140"/>
      <c r="M2250" s="59"/>
    </row>
    <row r="2251" spans="2:13" x14ac:dyDescent="0.25">
      <c r="B2251" s="134"/>
      <c r="C2251" s="41"/>
      <c r="D2251" s="136"/>
      <c r="E2251" s="137"/>
      <c r="F2251" s="138"/>
      <c r="G2251" s="1" t="str">
        <f>IFERROR(IF(ventas_b_mes1255[[#This Row],[CUIT]]="","-",VLOOKUP(ventas_b_mes1255[[#This Row],[CUIT]],Lista_CUIT[#All],2,0)),"CUIT NO CARGADO")</f>
        <v>-</v>
      </c>
      <c r="H2251" s="99">
        <f>ventas_b_mes1255[[#This Row],[TOTAL]]/1.21</f>
        <v>0</v>
      </c>
      <c r="I2251" s="64">
        <f>ventas_b_mes1255[[#This Row],[IMPORTE NETO]]*0.21</f>
        <v>0</v>
      </c>
      <c r="J2251" s="140"/>
      <c r="K2251" s="140"/>
      <c r="L2251" s="140"/>
      <c r="M2251" s="59"/>
    </row>
    <row r="2252" spans="2:13" x14ac:dyDescent="0.25">
      <c r="B2252" s="134"/>
      <c r="C2252" s="41"/>
      <c r="D2252" s="136"/>
      <c r="E2252" s="137"/>
      <c r="F2252" s="138"/>
      <c r="G2252" s="1" t="str">
        <f>IFERROR(IF(ventas_b_mes1255[[#This Row],[CUIT]]="","-",VLOOKUP(ventas_b_mes1255[[#This Row],[CUIT]],Lista_CUIT[#All],2,0)),"CUIT NO CARGADO")</f>
        <v>-</v>
      </c>
      <c r="H2252" s="99">
        <f>ventas_b_mes1255[[#This Row],[TOTAL]]/1.21</f>
        <v>0</v>
      </c>
      <c r="I2252" s="64">
        <f>ventas_b_mes1255[[#This Row],[IMPORTE NETO]]*0.21</f>
        <v>0</v>
      </c>
      <c r="J2252" s="140"/>
      <c r="K2252" s="140"/>
      <c r="L2252" s="140"/>
      <c r="M2252" s="59"/>
    </row>
    <row r="2253" spans="2:13" x14ac:dyDescent="0.25">
      <c r="B2253" s="134"/>
      <c r="C2253" s="41"/>
      <c r="D2253" s="136"/>
      <c r="E2253" s="137"/>
      <c r="F2253" s="138"/>
      <c r="G2253" s="1" t="str">
        <f>IFERROR(IF(ventas_b_mes1255[[#This Row],[CUIT]]="","-",VLOOKUP(ventas_b_mes1255[[#This Row],[CUIT]],Lista_CUIT[#All],2,0)),"CUIT NO CARGADO")</f>
        <v>-</v>
      </c>
      <c r="H2253" s="99">
        <f>ventas_b_mes1255[[#This Row],[TOTAL]]/1.21</f>
        <v>0</v>
      </c>
      <c r="I2253" s="64">
        <f>ventas_b_mes1255[[#This Row],[IMPORTE NETO]]*0.21</f>
        <v>0</v>
      </c>
      <c r="J2253" s="140"/>
      <c r="K2253" s="140"/>
      <c r="L2253" s="140"/>
      <c r="M2253" s="59"/>
    </row>
    <row r="2254" spans="2:13" x14ac:dyDescent="0.25">
      <c r="B2254" s="134"/>
      <c r="C2254" s="41"/>
      <c r="D2254" s="136"/>
      <c r="E2254" s="137"/>
      <c r="F2254" s="138"/>
      <c r="G2254" s="1" t="str">
        <f>IFERROR(IF(ventas_b_mes1255[[#This Row],[CUIT]]="","-",VLOOKUP(ventas_b_mes1255[[#This Row],[CUIT]],Lista_CUIT[#All],2,0)),"CUIT NO CARGADO")</f>
        <v>-</v>
      </c>
      <c r="H2254" s="99">
        <f>ventas_b_mes1255[[#This Row],[TOTAL]]/1.21</f>
        <v>0</v>
      </c>
      <c r="I2254" s="64">
        <f>ventas_b_mes1255[[#This Row],[IMPORTE NETO]]*0.21</f>
        <v>0</v>
      </c>
      <c r="J2254" s="140"/>
      <c r="K2254" s="140"/>
      <c r="L2254" s="140"/>
      <c r="M2254" s="59"/>
    </row>
    <row r="2255" spans="2:13" x14ac:dyDescent="0.25">
      <c r="B2255" s="134"/>
      <c r="C2255" s="41"/>
      <c r="D2255" s="136"/>
      <c r="E2255" s="137"/>
      <c r="F2255" s="138"/>
      <c r="G2255" s="1" t="str">
        <f>IFERROR(IF(ventas_b_mes1255[[#This Row],[CUIT]]="","-",VLOOKUP(ventas_b_mes1255[[#This Row],[CUIT]],Lista_CUIT[#All],2,0)),"CUIT NO CARGADO")</f>
        <v>-</v>
      </c>
      <c r="H2255" s="99">
        <f>ventas_b_mes1255[[#This Row],[TOTAL]]/1.21</f>
        <v>0</v>
      </c>
      <c r="I2255" s="64">
        <f>ventas_b_mes1255[[#This Row],[IMPORTE NETO]]*0.21</f>
        <v>0</v>
      </c>
      <c r="J2255" s="140"/>
      <c r="K2255" s="140"/>
      <c r="L2255" s="140"/>
      <c r="M2255" s="59"/>
    </row>
    <row r="2256" spans="2:13" x14ac:dyDescent="0.25">
      <c r="B2256" s="134"/>
      <c r="C2256" s="41"/>
      <c r="D2256" s="136"/>
      <c r="E2256" s="137"/>
      <c r="F2256" s="138"/>
      <c r="G2256" s="1" t="str">
        <f>IFERROR(IF(ventas_b_mes1255[[#This Row],[CUIT]]="","-",VLOOKUP(ventas_b_mes1255[[#This Row],[CUIT]],Lista_CUIT[#All],2,0)),"CUIT NO CARGADO")</f>
        <v>-</v>
      </c>
      <c r="H2256" s="99">
        <f>ventas_b_mes1255[[#This Row],[TOTAL]]/1.21</f>
        <v>0</v>
      </c>
      <c r="I2256" s="64">
        <f>ventas_b_mes1255[[#This Row],[IMPORTE NETO]]*0.21</f>
        <v>0</v>
      </c>
      <c r="J2256" s="140"/>
      <c r="K2256" s="140"/>
      <c r="L2256" s="140"/>
      <c r="M2256" s="59"/>
    </row>
    <row r="2257" spans="2:13" x14ac:dyDescent="0.25">
      <c r="B2257" s="134"/>
      <c r="C2257" s="41"/>
      <c r="D2257" s="136"/>
      <c r="E2257" s="137"/>
      <c r="F2257" s="138"/>
      <c r="G2257" s="1" t="str">
        <f>IFERROR(IF(ventas_b_mes1255[[#This Row],[CUIT]]="","-",VLOOKUP(ventas_b_mes1255[[#This Row],[CUIT]],Lista_CUIT[#All],2,0)),"CUIT NO CARGADO")</f>
        <v>-</v>
      </c>
      <c r="H2257" s="99">
        <f>ventas_b_mes1255[[#This Row],[TOTAL]]/1.21</f>
        <v>0</v>
      </c>
      <c r="I2257" s="64">
        <f>ventas_b_mes1255[[#This Row],[IMPORTE NETO]]*0.21</f>
        <v>0</v>
      </c>
      <c r="J2257" s="140"/>
      <c r="K2257" s="140"/>
      <c r="L2257" s="140"/>
      <c r="M2257" s="59"/>
    </row>
    <row r="2258" spans="2:13" x14ac:dyDescent="0.25">
      <c r="B2258" s="134"/>
      <c r="C2258" s="41"/>
      <c r="D2258" s="136"/>
      <c r="E2258" s="137"/>
      <c r="F2258" s="138"/>
      <c r="G2258" s="1" t="str">
        <f>IFERROR(IF(ventas_b_mes1255[[#This Row],[CUIT]]="","-",VLOOKUP(ventas_b_mes1255[[#This Row],[CUIT]],Lista_CUIT[#All],2,0)),"CUIT NO CARGADO")</f>
        <v>-</v>
      </c>
      <c r="H2258" s="99">
        <f>ventas_b_mes1255[[#This Row],[TOTAL]]/1.21</f>
        <v>0</v>
      </c>
      <c r="I2258" s="64">
        <f>ventas_b_mes1255[[#This Row],[IMPORTE NETO]]*0.21</f>
        <v>0</v>
      </c>
      <c r="J2258" s="140"/>
      <c r="K2258" s="140"/>
      <c r="L2258" s="140"/>
      <c r="M2258" s="59"/>
    </row>
    <row r="2259" spans="2:13" x14ac:dyDescent="0.25">
      <c r="B2259" s="134"/>
      <c r="C2259" s="41"/>
      <c r="D2259" s="136"/>
      <c r="E2259" s="137"/>
      <c r="F2259" s="138"/>
      <c r="G2259" s="1" t="str">
        <f>IFERROR(IF(ventas_b_mes1255[[#This Row],[CUIT]]="","-",VLOOKUP(ventas_b_mes1255[[#This Row],[CUIT]],Lista_CUIT[#All],2,0)),"CUIT NO CARGADO")</f>
        <v>-</v>
      </c>
      <c r="H2259" s="99">
        <f>ventas_b_mes1255[[#This Row],[TOTAL]]/1.21</f>
        <v>0</v>
      </c>
      <c r="I2259" s="64">
        <f>ventas_b_mes1255[[#This Row],[IMPORTE NETO]]*0.21</f>
        <v>0</v>
      </c>
      <c r="J2259" s="140"/>
      <c r="K2259" s="140"/>
      <c r="L2259" s="140"/>
      <c r="M2259" s="59"/>
    </row>
    <row r="2260" spans="2:13" x14ac:dyDescent="0.25">
      <c r="B2260" s="134"/>
      <c r="C2260" s="41"/>
      <c r="D2260" s="136"/>
      <c r="E2260" s="137"/>
      <c r="F2260" s="138"/>
      <c r="G2260" s="1" t="str">
        <f>IFERROR(IF(ventas_b_mes1255[[#This Row],[CUIT]]="","-",VLOOKUP(ventas_b_mes1255[[#This Row],[CUIT]],Lista_CUIT[#All],2,0)),"CUIT NO CARGADO")</f>
        <v>-</v>
      </c>
      <c r="H2260" s="99">
        <f>ventas_b_mes1255[[#This Row],[TOTAL]]/1.21</f>
        <v>0</v>
      </c>
      <c r="I2260" s="64">
        <f>ventas_b_mes1255[[#This Row],[IMPORTE NETO]]*0.21</f>
        <v>0</v>
      </c>
      <c r="J2260" s="140"/>
      <c r="K2260" s="140"/>
      <c r="L2260" s="140"/>
      <c r="M2260" s="59"/>
    </row>
    <row r="2261" spans="2:13" x14ac:dyDescent="0.25">
      <c r="B2261" s="134"/>
      <c r="C2261" s="41"/>
      <c r="D2261" s="136"/>
      <c r="E2261" s="137"/>
      <c r="F2261" s="138"/>
      <c r="G2261" s="1" t="str">
        <f>IFERROR(IF(ventas_b_mes1255[[#This Row],[CUIT]]="","-",VLOOKUP(ventas_b_mes1255[[#This Row],[CUIT]],Lista_CUIT[#All],2,0)),"CUIT NO CARGADO")</f>
        <v>-</v>
      </c>
      <c r="H2261" s="99">
        <f>ventas_b_mes1255[[#This Row],[TOTAL]]/1.21</f>
        <v>0</v>
      </c>
      <c r="I2261" s="64">
        <f>ventas_b_mes1255[[#This Row],[IMPORTE NETO]]*0.21</f>
        <v>0</v>
      </c>
      <c r="J2261" s="140"/>
      <c r="K2261" s="140"/>
      <c r="L2261" s="140"/>
      <c r="M2261" s="59"/>
    </row>
    <row r="2262" spans="2:13" x14ac:dyDescent="0.25">
      <c r="B2262" s="134"/>
      <c r="C2262" s="41"/>
      <c r="D2262" s="136"/>
      <c r="E2262" s="137"/>
      <c r="F2262" s="138"/>
      <c r="G2262" s="1" t="str">
        <f>IFERROR(IF(ventas_b_mes1255[[#This Row],[CUIT]]="","-",VLOOKUP(ventas_b_mes1255[[#This Row],[CUIT]],Lista_CUIT[#All],2,0)),"CUIT NO CARGADO")</f>
        <v>-</v>
      </c>
      <c r="H2262" s="99">
        <f>ventas_b_mes1255[[#This Row],[TOTAL]]/1.21</f>
        <v>0</v>
      </c>
      <c r="I2262" s="64">
        <f>ventas_b_mes1255[[#This Row],[IMPORTE NETO]]*0.21</f>
        <v>0</v>
      </c>
      <c r="J2262" s="140"/>
      <c r="K2262" s="140"/>
      <c r="L2262" s="140"/>
      <c r="M2262" s="59"/>
    </row>
    <row r="2263" spans="2:13" x14ac:dyDescent="0.25">
      <c r="B2263" s="134"/>
      <c r="C2263" s="41"/>
      <c r="D2263" s="136"/>
      <c r="E2263" s="137"/>
      <c r="F2263" s="138"/>
      <c r="G2263" s="1" t="str">
        <f>IFERROR(IF(ventas_b_mes1255[[#This Row],[CUIT]]="","-",VLOOKUP(ventas_b_mes1255[[#This Row],[CUIT]],Lista_CUIT[#All],2,0)),"CUIT NO CARGADO")</f>
        <v>-</v>
      </c>
      <c r="H2263" s="99">
        <f>ventas_b_mes1255[[#This Row],[TOTAL]]/1.21</f>
        <v>0</v>
      </c>
      <c r="I2263" s="64">
        <f>ventas_b_mes1255[[#This Row],[IMPORTE NETO]]*0.21</f>
        <v>0</v>
      </c>
      <c r="J2263" s="140"/>
      <c r="K2263" s="140"/>
      <c r="L2263" s="140"/>
      <c r="M2263" s="59"/>
    </row>
    <row r="2264" spans="2:13" x14ac:dyDescent="0.25">
      <c r="B2264" s="134"/>
      <c r="C2264" s="41"/>
      <c r="D2264" s="136"/>
      <c r="E2264" s="137"/>
      <c r="F2264" s="138"/>
      <c r="G2264" s="1" t="str">
        <f>IFERROR(IF(ventas_b_mes1255[[#This Row],[CUIT]]="","-",VLOOKUP(ventas_b_mes1255[[#This Row],[CUIT]],Lista_CUIT[#All],2,0)),"CUIT NO CARGADO")</f>
        <v>-</v>
      </c>
      <c r="H2264" s="99">
        <f>ventas_b_mes1255[[#This Row],[TOTAL]]/1.21</f>
        <v>0</v>
      </c>
      <c r="I2264" s="64">
        <f>ventas_b_mes1255[[#This Row],[IMPORTE NETO]]*0.21</f>
        <v>0</v>
      </c>
      <c r="J2264" s="140"/>
      <c r="K2264" s="140"/>
      <c r="L2264" s="140"/>
      <c r="M2264" s="59"/>
    </row>
    <row r="2265" spans="2:13" x14ac:dyDescent="0.25">
      <c r="B2265" s="134"/>
      <c r="C2265" s="41"/>
      <c r="D2265" s="136"/>
      <c r="E2265" s="137"/>
      <c r="F2265" s="138"/>
      <c r="G2265" s="1" t="str">
        <f>IFERROR(IF(ventas_b_mes1255[[#This Row],[CUIT]]="","-",VLOOKUP(ventas_b_mes1255[[#This Row],[CUIT]],Lista_CUIT[#All],2,0)),"CUIT NO CARGADO")</f>
        <v>-</v>
      </c>
      <c r="H2265" s="99">
        <f>ventas_b_mes1255[[#This Row],[TOTAL]]/1.21</f>
        <v>0</v>
      </c>
      <c r="I2265" s="64">
        <f>ventas_b_mes1255[[#This Row],[IMPORTE NETO]]*0.21</f>
        <v>0</v>
      </c>
      <c r="J2265" s="140"/>
      <c r="K2265" s="140"/>
      <c r="L2265" s="140"/>
      <c r="M2265" s="59"/>
    </row>
    <row r="2266" spans="2:13" x14ac:dyDescent="0.25">
      <c r="B2266" s="134"/>
      <c r="C2266" s="41"/>
      <c r="D2266" s="136"/>
      <c r="E2266" s="137"/>
      <c r="F2266" s="138"/>
      <c r="G2266" s="1" t="str">
        <f>IFERROR(IF(ventas_b_mes1255[[#This Row],[CUIT]]="","-",VLOOKUP(ventas_b_mes1255[[#This Row],[CUIT]],Lista_CUIT[#All],2,0)),"CUIT NO CARGADO")</f>
        <v>-</v>
      </c>
      <c r="H2266" s="99">
        <f>ventas_b_mes1255[[#This Row],[TOTAL]]/1.21</f>
        <v>0</v>
      </c>
      <c r="I2266" s="64">
        <f>ventas_b_mes1255[[#This Row],[IMPORTE NETO]]*0.21</f>
        <v>0</v>
      </c>
      <c r="J2266" s="140"/>
      <c r="K2266" s="140"/>
      <c r="L2266" s="140"/>
      <c r="M2266" s="59"/>
    </row>
    <row r="2267" spans="2:13" x14ac:dyDescent="0.25">
      <c r="B2267" s="134"/>
      <c r="C2267" s="41"/>
      <c r="D2267" s="136"/>
      <c r="E2267" s="137"/>
      <c r="F2267" s="138"/>
      <c r="G2267" s="1" t="str">
        <f>IFERROR(IF(ventas_b_mes1255[[#This Row],[CUIT]]="","-",VLOOKUP(ventas_b_mes1255[[#This Row],[CUIT]],Lista_CUIT[#All],2,0)),"CUIT NO CARGADO")</f>
        <v>-</v>
      </c>
      <c r="H2267" s="99">
        <f>ventas_b_mes1255[[#This Row],[TOTAL]]/1.21</f>
        <v>0</v>
      </c>
      <c r="I2267" s="64">
        <f>ventas_b_mes1255[[#This Row],[IMPORTE NETO]]*0.21</f>
        <v>0</v>
      </c>
      <c r="J2267" s="140"/>
      <c r="K2267" s="140"/>
      <c r="L2267" s="140"/>
      <c r="M2267" s="59"/>
    </row>
    <row r="2268" spans="2:13" x14ac:dyDescent="0.25">
      <c r="B2268" s="134"/>
      <c r="C2268" s="41"/>
      <c r="D2268" s="136"/>
      <c r="E2268" s="137"/>
      <c r="F2268" s="138"/>
      <c r="G2268" s="1" t="str">
        <f>IFERROR(IF(ventas_b_mes1255[[#This Row],[CUIT]]="","-",VLOOKUP(ventas_b_mes1255[[#This Row],[CUIT]],Lista_CUIT[#All],2,0)),"CUIT NO CARGADO")</f>
        <v>-</v>
      </c>
      <c r="H2268" s="99">
        <f>ventas_b_mes1255[[#This Row],[TOTAL]]/1.21</f>
        <v>0</v>
      </c>
      <c r="I2268" s="64">
        <f>ventas_b_mes1255[[#This Row],[IMPORTE NETO]]*0.21</f>
        <v>0</v>
      </c>
      <c r="J2268" s="140"/>
      <c r="K2268" s="140"/>
      <c r="L2268" s="140"/>
      <c r="M2268" s="59"/>
    </row>
    <row r="2269" spans="2:13" x14ac:dyDescent="0.25">
      <c r="B2269" s="134"/>
      <c r="C2269" s="41"/>
      <c r="D2269" s="136"/>
      <c r="E2269" s="137"/>
      <c r="F2269" s="138"/>
      <c r="G2269" s="1" t="str">
        <f>IFERROR(IF(ventas_b_mes1255[[#This Row],[CUIT]]="","-",VLOOKUP(ventas_b_mes1255[[#This Row],[CUIT]],Lista_CUIT[#All],2,0)),"CUIT NO CARGADO")</f>
        <v>-</v>
      </c>
      <c r="H2269" s="99">
        <f>ventas_b_mes1255[[#This Row],[TOTAL]]/1.21</f>
        <v>0</v>
      </c>
      <c r="I2269" s="64">
        <f>ventas_b_mes1255[[#This Row],[IMPORTE NETO]]*0.21</f>
        <v>0</v>
      </c>
      <c r="J2269" s="140"/>
      <c r="K2269" s="140"/>
      <c r="L2269" s="140"/>
      <c r="M2269" s="59"/>
    </row>
    <row r="2270" spans="2:13" x14ac:dyDescent="0.25">
      <c r="B2270" s="134"/>
      <c r="C2270" s="41"/>
      <c r="D2270" s="136"/>
      <c r="E2270" s="137"/>
      <c r="F2270" s="138"/>
      <c r="G2270" s="1" t="str">
        <f>IFERROR(IF(ventas_b_mes1255[[#This Row],[CUIT]]="","-",VLOOKUP(ventas_b_mes1255[[#This Row],[CUIT]],Lista_CUIT[#All],2,0)),"CUIT NO CARGADO")</f>
        <v>-</v>
      </c>
      <c r="H2270" s="99">
        <f>ventas_b_mes1255[[#This Row],[TOTAL]]/1.21</f>
        <v>0</v>
      </c>
      <c r="I2270" s="64">
        <f>ventas_b_mes1255[[#This Row],[IMPORTE NETO]]*0.21</f>
        <v>0</v>
      </c>
      <c r="J2270" s="140"/>
      <c r="K2270" s="140"/>
      <c r="L2270" s="140"/>
      <c r="M2270" s="59"/>
    </row>
    <row r="2271" spans="2:13" x14ac:dyDescent="0.25">
      <c r="B2271" s="134"/>
      <c r="C2271" s="41"/>
      <c r="D2271" s="136"/>
      <c r="E2271" s="137"/>
      <c r="F2271" s="138"/>
      <c r="G2271" s="1" t="str">
        <f>IFERROR(IF(ventas_b_mes1255[[#This Row],[CUIT]]="","-",VLOOKUP(ventas_b_mes1255[[#This Row],[CUIT]],Lista_CUIT[#All],2,0)),"CUIT NO CARGADO")</f>
        <v>-</v>
      </c>
      <c r="H2271" s="99">
        <f>ventas_b_mes1255[[#This Row],[TOTAL]]/1.21</f>
        <v>0</v>
      </c>
      <c r="I2271" s="64">
        <f>ventas_b_mes1255[[#This Row],[IMPORTE NETO]]*0.21</f>
        <v>0</v>
      </c>
      <c r="J2271" s="140"/>
      <c r="K2271" s="140"/>
      <c r="L2271" s="140"/>
      <c r="M2271" s="59"/>
    </row>
    <row r="2272" spans="2:13" x14ac:dyDescent="0.25">
      <c r="B2272" s="134"/>
      <c r="C2272" s="41"/>
      <c r="D2272" s="136"/>
      <c r="E2272" s="137"/>
      <c r="F2272" s="138"/>
      <c r="G2272" s="1" t="str">
        <f>IFERROR(IF(ventas_b_mes1255[[#This Row],[CUIT]]="","-",VLOOKUP(ventas_b_mes1255[[#This Row],[CUIT]],Lista_CUIT[#All],2,0)),"CUIT NO CARGADO")</f>
        <v>-</v>
      </c>
      <c r="H2272" s="99">
        <f>ventas_b_mes1255[[#This Row],[TOTAL]]/1.21</f>
        <v>0</v>
      </c>
      <c r="I2272" s="64">
        <f>ventas_b_mes1255[[#This Row],[IMPORTE NETO]]*0.21</f>
        <v>0</v>
      </c>
      <c r="J2272" s="140"/>
      <c r="K2272" s="140"/>
      <c r="L2272" s="140"/>
      <c r="M2272" s="59"/>
    </row>
    <row r="2273" spans="2:13" x14ac:dyDescent="0.25">
      <c r="B2273" s="134"/>
      <c r="C2273" s="41"/>
      <c r="D2273" s="136"/>
      <c r="E2273" s="137"/>
      <c r="F2273" s="138"/>
      <c r="G2273" s="1" t="str">
        <f>IFERROR(IF(ventas_b_mes1255[[#This Row],[CUIT]]="","-",VLOOKUP(ventas_b_mes1255[[#This Row],[CUIT]],Lista_CUIT[#All],2,0)),"CUIT NO CARGADO")</f>
        <v>-</v>
      </c>
      <c r="H2273" s="99">
        <f>ventas_b_mes1255[[#This Row],[TOTAL]]/1.21</f>
        <v>0</v>
      </c>
      <c r="I2273" s="64">
        <f>ventas_b_mes1255[[#This Row],[IMPORTE NETO]]*0.21</f>
        <v>0</v>
      </c>
      <c r="J2273" s="140"/>
      <c r="K2273" s="140"/>
      <c r="L2273" s="140"/>
      <c r="M2273" s="59"/>
    </row>
    <row r="2274" spans="2:13" x14ac:dyDescent="0.25">
      <c r="B2274" s="134"/>
      <c r="C2274" s="41"/>
      <c r="D2274" s="136"/>
      <c r="E2274" s="137"/>
      <c r="F2274" s="138"/>
      <c r="G2274" s="1" t="str">
        <f>IFERROR(IF(ventas_b_mes1255[[#This Row],[CUIT]]="","-",VLOOKUP(ventas_b_mes1255[[#This Row],[CUIT]],Lista_CUIT[#All],2,0)),"CUIT NO CARGADO")</f>
        <v>-</v>
      </c>
      <c r="H2274" s="99">
        <f>ventas_b_mes1255[[#This Row],[TOTAL]]/1.21</f>
        <v>0</v>
      </c>
      <c r="I2274" s="64">
        <f>ventas_b_mes1255[[#This Row],[IMPORTE NETO]]*0.21</f>
        <v>0</v>
      </c>
      <c r="J2274" s="140"/>
      <c r="K2274" s="140"/>
      <c r="L2274" s="140"/>
      <c r="M2274" s="59"/>
    </row>
    <row r="2275" spans="2:13" x14ac:dyDescent="0.25">
      <c r="B2275" s="134"/>
      <c r="C2275" s="41"/>
      <c r="D2275" s="136"/>
      <c r="E2275" s="137"/>
      <c r="F2275" s="138"/>
      <c r="G2275" s="1" t="str">
        <f>IFERROR(IF(ventas_b_mes1255[[#This Row],[CUIT]]="","-",VLOOKUP(ventas_b_mes1255[[#This Row],[CUIT]],Lista_CUIT[#All],2,0)),"CUIT NO CARGADO")</f>
        <v>-</v>
      </c>
      <c r="H2275" s="99">
        <f>ventas_b_mes1255[[#This Row],[TOTAL]]/1.21</f>
        <v>0</v>
      </c>
      <c r="I2275" s="64">
        <f>ventas_b_mes1255[[#This Row],[IMPORTE NETO]]*0.21</f>
        <v>0</v>
      </c>
      <c r="J2275" s="140"/>
      <c r="K2275" s="140"/>
      <c r="L2275" s="140"/>
      <c r="M2275" s="59"/>
    </row>
    <row r="2276" spans="2:13" x14ac:dyDescent="0.25">
      <c r="B2276" s="134"/>
      <c r="C2276" s="41"/>
      <c r="D2276" s="136"/>
      <c r="E2276" s="137"/>
      <c r="F2276" s="138"/>
      <c r="G2276" s="1" t="str">
        <f>IFERROR(IF(ventas_b_mes1255[[#This Row],[CUIT]]="","-",VLOOKUP(ventas_b_mes1255[[#This Row],[CUIT]],Lista_CUIT[#All],2,0)),"CUIT NO CARGADO")</f>
        <v>-</v>
      </c>
      <c r="H2276" s="99">
        <f>ventas_b_mes1255[[#This Row],[TOTAL]]/1.21</f>
        <v>0</v>
      </c>
      <c r="I2276" s="64">
        <f>ventas_b_mes1255[[#This Row],[IMPORTE NETO]]*0.21</f>
        <v>0</v>
      </c>
      <c r="J2276" s="140"/>
      <c r="K2276" s="140"/>
      <c r="L2276" s="140"/>
      <c r="M2276" s="59"/>
    </row>
    <row r="2277" spans="2:13" x14ac:dyDescent="0.25">
      <c r="B2277" s="134"/>
      <c r="C2277" s="41"/>
      <c r="D2277" s="136"/>
      <c r="E2277" s="137"/>
      <c r="F2277" s="138"/>
      <c r="G2277" s="1" t="str">
        <f>IFERROR(IF(ventas_b_mes1255[[#This Row],[CUIT]]="","-",VLOOKUP(ventas_b_mes1255[[#This Row],[CUIT]],Lista_CUIT[#All],2,0)),"CUIT NO CARGADO")</f>
        <v>-</v>
      </c>
      <c r="H2277" s="99">
        <f>ventas_b_mes1255[[#This Row],[TOTAL]]/1.21</f>
        <v>0</v>
      </c>
      <c r="I2277" s="64">
        <f>ventas_b_mes1255[[#This Row],[IMPORTE NETO]]*0.21</f>
        <v>0</v>
      </c>
      <c r="J2277" s="140"/>
      <c r="K2277" s="140"/>
      <c r="L2277" s="140"/>
      <c r="M2277" s="59"/>
    </row>
    <row r="2278" spans="2:13" x14ac:dyDescent="0.25">
      <c r="B2278" s="134"/>
      <c r="C2278" s="41"/>
      <c r="D2278" s="136"/>
      <c r="E2278" s="137"/>
      <c r="F2278" s="138"/>
      <c r="G2278" s="1" t="str">
        <f>IFERROR(IF(ventas_b_mes1255[[#This Row],[CUIT]]="","-",VLOOKUP(ventas_b_mes1255[[#This Row],[CUIT]],Lista_CUIT[#All],2,0)),"CUIT NO CARGADO")</f>
        <v>-</v>
      </c>
      <c r="H2278" s="99">
        <f>ventas_b_mes1255[[#This Row],[TOTAL]]/1.21</f>
        <v>0</v>
      </c>
      <c r="I2278" s="64">
        <f>ventas_b_mes1255[[#This Row],[IMPORTE NETO]]*0.21</f>
        <v>0</v>
      </c>
      <c r="J2278" s="140"/>
      <c r="K2278" s="140"/>
      <c r="L2278" s="140"/>
      <c r="M2278" s="59"/>
    </row>
    <row r="2279" spans="2:13" x14ac:dyDescent="0.25">
      <c r="B2279" s="134"/>
      <c r="C2279" s="41"/>
      <c r="D2279" s="136"/>
      <c r="E2279" s="137"/>
      <c r="F2279" s="138"/>
      <c r="G2279" s="1" t="str">
        <f>IFERROR(IF(ventas_b_mes1255[[#This Row],[CUIT]]="","-",VLOOKUP(ventas_b_mes1255[[#This Row],[CUIT]],Lista_CUIT[#All],2,0)),"CUIT NO CARGADO")</f>
        <v>-</v>
      </c>
      <c r="H2279" s="99">
        <f>ventas_b_mes1255[[#This Row],[TOTAL]]/1.21</f>
        <v>0</v>
      </c>
      <c r="I2279" s="64">
        <f>ventas_b_mes1255[[#This Row],[IMPORTE NETO]]*0.21</f>
        <v>0</v>
      </c>
      <c r="J2279" s="140"/>
      <c r="K2279" s="140"/>
      <c r="L2279" s="140"/>
      <c r="M2279" s="59"/>
    </row>
    <row r="2280" spans="2:13" x14ac:dyDescent="0.25">
      <c r="B2280" s="134"/>
      <c r="C2280" s="41"/>
      <c r="D2280" s="136"/>
      <c r="E2280" s="137"/>
      <c r="F2280" s="138"/>
      <c r="G2280" s="1" t="str">
        <f>IFERROR(IF(ventas_b_mes1255[[#This Row],[CUIT]]="","-",VLOOKUP(ventas_b_mes1255[[#This Row],[CUIT]],Lista_CUIT[#All],2,0)),"CUIT NO CARGADO")</f>
        <v>-</v>
      </c>
      <c r="H2280" s="99">
        <f>ventas_b_mes1255[[#This Row],[TOTAL]]/1.21</f>
        <v>0</v>
      </c>
      <c r="I2280" s="64">
        <f>ventas_b_mes1255[[#This Row],[IMPORTE NETO]]*0.21</f>
        <v>0</v>
      </c>
      <c r="J2280" s="140"/>
      <c r="K2280" s="140"/>
      <c r="L2280" s="140"/>
      <c r="M2280" s="59"/>
    </row>
    <row r="2281" spans="2:13" x14ac:dyDescent="0.25">
      <c r="B2281" s="134"/>
      <c r="C2281" s="41"/>
      <c r="D2281" s="136"/>
      <c r="E2281" s="137"/>
      <c r="F2281" s="138"/>
      <c r="G2281" s="1" t="str">
        <f>IFERROR(IF(ventas_b_mes1255[[#This Row],[CUIT]]="","-",VLOOKUP(ventas_b_mes1255[[#This Row],[CUIT]],Lista_CUIT[#All],2,0)),"CUIT NO CARGADO")</f>
        <v>-</v>
      </c>
      <c r="H2281" s="99">
        <f>ventas_b_mes1255[[#This Row],[TOTAL]]/1.21</f>
        <v>0</v>
      </c>
      <c r="I2281" s="64">
        <f>ventas_b_mes1255[[#This Row],[IMPORTE NETO]]*0.21</f>
        <v>0</v>
      </c>
      <c r="J2281" s="140"/>
      <c r="K2281" s="140"/>
      <c r="L2281" s="140"/>
      <c r="M2281" s="59"/>
    </row>
    <row r="2282" spans="2:13" x14ac:dyDescent="0.25">
      <c r="B2282" s="134"/>
      <c r="C2282" s="41"/>
      <c r="D2282" s="136"/>
      <c r="E2282" s="137"/>
      <c r="F2282" s="138"/>
      <c r="G2282" s="1" t="str">
        <f>IFERROR(IF(ventas_b_mes1255[[#This Row],[CUIT]]="","-",VLOOKUP(ventas_b_mes1255[[#This Row],[CUIT]],Lista_CUIT[#All],2,0)),"CUIT NO CARGADO")</f>
        <v>-</v>
      </c>
      <c r="H2282" s="99">
        <f>ventas_b_mes1255[[#This Row],[TOTAL]]/1.21</f>
        <v>0</v>
      </c>
      <c r="I2282" s="64">
        <f>ventas_b_mes1255[[#This Row],[IMPORTE NETO]]*0.21</f>
        <v>0</v>
      </c>
      <c r="J2282" s="140"/>
      <c r="K2282" s="140"/>
      <c r="L2282" s="140"/>
      <c r="M2282" s="59"/>
    </row>
    <row r="2283" spans="2:13" x14ac:dyDescent="0.25">
      <c r="B2283" s="134"/>
      <c r="C2283" s="41"/>
      <c r="D2283" s="136"/>
      <c r="E2283" s="137"/>
      <c r="F2283" s="138"/>
      <c r="G2283" s="1" t="str">
        <f>IFERROR(IF(ventas_b_mes1255[[#This Row],[CUIT]]="","-",VLOOKUP(ventas_b_mes1255[[#This Row],[CUIT]],Lista_CUIT[#All],2,0)),"CUIT NO CARGADO")</f>
        <v>-</v>
      </c>
      <c r="H2283" s="99">
        <f>ventas_b_mes1255[[#This Row],[TOTAL]]/1.21</f>
        <v>0</v>
      </c>
      <c r="I2283" s="64">
        <f>ventas_b_mes1255[[#This Row],[IMPORTE NETO]]*0.21</f>
        <v>0</v>
      </c>
      <c r="J2283" s="140"/>
      <c r="K2283" s="140"/>
      <c r="L2283" s="140"/>
      <c r="M2283" s="59"/>
    </row>
    <row r="2284" spans="2:13" x14ac:dyDescent="0.25">
      <c r="B2284" s="134"/>
      <c r="C2284" s="41"/>
      <c r="D2284" s="136"/>
      <c r="E2284" s="137"/>
      <c r="F2284" s="138"/>
      <c r="G2284" s="1" t="str">
        <f>IFERROR(IF(ventas_b_mes1255[[#This Row],[CUIT]]="","-",VLOOKUP(ventas_b_mes1255[[#This Row],[CUIT]],Lista_CUIT[#All],2,0)),"CUIT NO CARGADO")</f>
        <v>-</v>
      </c>
      <c r="H2284" s="99">
        <f>ventas_b_mes1255[[#This Row],[TOTAL]]/1.21</f>
        <v>0</v>
      </c>
      <c r="I2284" s="64">
        <f>ventas_b_mes1255[[#This Row],[IMPORTE NETO]]*0.21</f>
        <v>0</v>
      </c>
      <c r="J2284" s="140"/>
      <c r="K2284" s="140"/>
      <c r="L2284" s="140"/>
      <c r="M2284" s="59"/>
    </row>
    <row r="2285" spans="2:13" x14ac:dyDescent="0.25">
      <c r="B2285" s="134"/>
      <c r="C2285" s="41"/>
      <c r="D2285" s="136"/>
      <c r="E2285" s="137"/>
      <c r="F2285" s="138"/>
      <c r="G2285" s="1" t="str">
        <f>IFERROR(IF(ventas_b_mes1255[[#This Row],[CUIT]]="","-",VLOOKUP(ventas_b_mes1255[[#This Row],[CUIT]],Lista_CUIT[#All],2,0)),"CUIT NO CARGADO")</f>
        <v>-</v>
      </c>
      <c r="H2285" s="99">
        <f>ventas_b_mes1255[[#This Row],[TOTAL]]/1.21</f>
        <v>0</v>
      </c>
      <c r="I2285" s="64">
        <f>ventas_b_mes1255[[#This Row],[IMPORTE NETO]]*0.21</f>
        <v>0</v>
      </c>
      <c r="J2285" s="140"/>
      <c r="K2285" s="140"/>
      <c r="L2285" s="140"/>
      <c r="M2285" s="59"/>
    </row>
    <row r="2286" spans="2:13" x14ac:dyDescent="0.25">
      <c r="B2286" s="134"/>
      <c r="C2286" s="41"/>
      <c r="D2286" s="136"/>
      <c r="E2286" s="137"/>
      <c r="F2286" s="138"/>
      <c r="G2286" s="1" t="str">
        <f>IFERROR(IF(ventas_b_mes1255[[#This Row],[CUIT]]="","-",VLOOKUP(ventas_b_mes1255[[#This Row],[CUIT]],Lista_CUIT[#All],2,0)),"CUIT NO CARGADO")</f>
        <v>-</v>
      </c>
      <c r="H2286" s="99">
        <f>ventas_b_mes1255[[#This Row],[TOTAL]]/1.21</f>
        <v>0</v>
      </c>
      <c r="I2286" s="64">
        <f>ventas_b_mes1255[[#This Row],[IMPORTE NETO]]*0.21</f>
        <v>0</v>
      </c>
      <c r="J2286" s="140"/>
      <c r="K2286" s="140"/>
      <c r="L2286" s="140"/>
      <c r="M2286" s="59"/>
    </row>
    <row r="2287" spans="2:13" x14ac:dyDescent="0.25">
      <c r="B2287" s="134"/>
      <c r="C2287" s="41"/>
      <c r="D2287" s="136"/>
      <c r="E2287" s="137"/>
      <c r="F2287" s="138"/>
      <c r="G2287" s="1" t="str">
        <f>IFERROR(IF(ventas_b_mes1255[[#This Row],[CUIT]]="","-",VLOOKUP(ventas_b_mes1255[[#This Row],[CUIT]],Lista_CUIT[#All],2,0)),"CUIT NO CARGADO")</f>
        <v>-</v>
      </c>
      <c r="H2287" s="99">
        <f>ventas_b_mes1255[[#This Row],[TOTAL]]/1.21</f>
        <v>0</v>
      </c>
      <c r="I2287" s="64">
        <f>ventas_b_mes1255[[#This Row],[IMPORTE NETO]]*0.21</f>
        <v>0</v>
      </c>
      <c r="J2287" s="140"/>
      <c r="K2287" s="140"/>
      <c r="L2287" s="140"/>
      <c r="M2287" s="59"/>
    </row>
    <row r="2288" spans="2:13" x14ac:dyDescent="0.25">
      <c r="B2288" s="134"/>
      <c r="C2288" s="41"/>
      <c r="D2288" s="136"/>
      <c r="E2288" s="137"/>
      <c r="F2288" s="138"/>
      <c r="G2288" s="1" t="str">
        <f>IFERROR(IF(ventas_b_mes1255[[#This Row],[CUIT]]="","-",VLOOKUP(ventas_b_mes1255[[#This Row],[CUIT]],Lista_CUIT[#All],2,0)),"CUIT NO CARGADO")</f>
        <v>-</v>
      </c>
      <c r="H2288" s="99">
        <f>ventas_b_mes1255[[#This Row],[TOTAL]]/1.21</f>
        <v>0</v>
      </c>
      <c r="I2288" s="64">
        <f>ventas_b_mes1255[[#This Row],[IMPORTE NETO]]*0.21</f>
        <v>0</v>
      </c>
      <c r="J2288" s="140"/>
      <c r="K2288" s="140"/>
      <c r="L2288" s="140"/>
      <c r="M2288" s="59"/>
    </row>
    <row r="2289" spans="2:13" x14ac:dyDescent="0.25">
      <c r="B2289" s="134"/>
      <c r="C2289" s="41"/>
      <c r="D2289" s="136"/>
      <c r="E2289" s="137"/>
      <c r="F2289" s="138"/>
      <c r="G2289" s="1" t="str">
        <f>IFERROR(IF(ventas_b_mes1255[[#This Row],[CUIT]]="","-",VLOOKUP(ventas_b_mes1255[[#This Row],[CUIT]],Lista_CUIT[#All],2,0)),"CUIT NO CARGADO")</f>
        <v>-</v>
      </c>
      <c r="H2289" s="99">
        <f>ventas_b_mes1255[[#This Row],[TOTAL]]/1.21</f>
        <v>0</v>
      </c>
      <c r="I2289" s="64">
        <f>ventas_b_mes1255[[#This Row],[IMPORTE NETO]]*0.21</f>
        <v>0</v>
      </c>
      <c r="J2289" s="140"/>
      <c r="K2289" s="140"/>
      <c r="L2289" s="140"/>
      <c r="M2289" s="59"/>
    </row>
    <row r="2290" spans="2:13" x14ac:dyDescent="0.25">
      <c r="B2290" s="134"/>
      <c r="C2290" s="41"/>
      <c r="D2290" s="136"/>
      <c r="E2290" s="137"/>
      <c r="F2290" s="138"/>
      <c r="G2290" s="1" t="str">
        <f>IFERROR(IF(ventas_b_mes1255[[#This Row],[CUIT]]="","-",VLOOKUP(ventas_b_mes1255[[#This Row],[CUIT]],Lista_CUIT[#All],2,0)),"CUIT NO CARGADO")</f>
        <v>-</v>
      </c>
      <c r="H2290" s="99">
        <f>ventas_b_mes1255[[#This Row],[TOTAL]]/1.21</f>
        <v>0</v>
      </c>
      <c r="I2290" s="64">
        <f>ventas_b_mes1255[[#This Row],[IMPORTE NETO]]*0.21</f>
        <v>0</v>
      </c>
      <c r="J2290" s="140"/>
      <c r="K2290" s="140"/>
      <c r="L2290" s="140"/>
      <c r="M2290" s="59"/>
    </row>
    <row r="2291" spans="2:13" x14ac:dyDescent="0.25">
      <c r="B2291" s="134"/>
      <c r="C2291" s="41"/>
      <c r="D2291" s="136"/>
      <c r="E2291" s="137"/>
      <c r="F2291" s="138"/>
      <c r="G2291" s="1" t="str">
        <f>IFERROR(IF(ventas_b_mes1255[[#This Row],[CUIT]]="","-",VLOOKUP(ventas_b_mes1255[[#This Row],[CUIT]],Lista_CUIT[#All],2,0)),"CUIT NO CARGADO")</f>
        <v>-</v>
      </c>
      <c r="H2291" s="99">
        <f>ventas_b_mes1255[[#This Row],[TOTAL]]/1.21</f>
        <v>0</v>
      </c>
      <c r="I2291" s="64">
        <f>ventas_b_mes1255[[#This Row],[IMPORTE NETO]]*0.21</f>
        <v>0</v>
      </c>
      <c r="J2291" s="140"/>
      <c r="K2291" s="140"/>
      <c r="L2291" s="140"/>
      <c r="M2291" s="59"/>
    </row>
    <row r="2292" spans="2:13" x14ac:dyDescent="0.25">
      <c r="B2292" s="134"/>
      <c r="C2292" s="41"/>
      <c r="D2292" s="136"/>
      <c r="E2292" s="137"/>
      <c r="F2292" s="138"/>
      <c r="G2292" s="1" t="str">
        <f>IFERROR(IF(ventas_b_mes1255[[#This Row],[CUIT]]="","-",VLOOKUP(ventas_b_mes1255[[#This Row],[CUIT]],Lista_CUIT[#All],2,0)),"CUIT NO CARGADO")</f>
        <v>-</v>
      </c>
      <c r="H2292" s="99">
        <f>ventas_b_mes1255[[#This Row],[TOTAL]]/1.21</f>
        <v>0</v>
      </c>
      <c r="I2292" s="64">
        <f>ventas_b_mes1255[[#This Row],[IMPORTE NETO]]*0.21</f>
        <v>0</v>
      </c>
      <c r="J2292" s="140"/>
      <c r="K2292" s="140"/>
      <c r="L2292" s="140"/>
      <c r="M2292" s="59"/>
    </row>
    <row r="2293" spans="2:13" x14ac:dyDescent="0.25">
      <c r="B2293" s="134"/>
      <c r="C2293" s="41"/>
      <c r="D2293" s="136"/>
      <c r="E2293" s="137"/>
      <c r="F2293" s="138"/>
      <c r="G2293" s="1" t="str">
        <f>IFERROR(IF(ventas_b_mes1255[[#This Row],[CUIT]]="","-",VLOOKUP(ventas_b_mes1255[[#This Row],[CUIT]],Lista_CUIT[#All],2,0)),"CUIT NO CARGADO")</f>
        <v>-</v>
      </c>
      <c r="H2293" s="99">
        <f>ventas_b_mes1255[[#This Row],[TOTAL]]/1.21</f>
        <v>0</v>
      </c>
      <c r="I2293" s="64">
        <f>ventas_b_mes1255[[#This Row],[IMPORTE NETO]]*0.21</f>
        <v>0</v>
      </c>
      <c r="J2293" s="140"/>
      <c r="K2293" s="140"/>
      <c r="L2293" s="140"/>
      <c r="M2293" s="59"/>
    </row>
    <row r="2294" spans="2:13" x14ac:dyDescent="0.25">
      <c r="B2294" s="134"/>
      <c r="C2294" s="41"/>
      <c r="D2294" s="136"/>
      <c r="E2294" s="137"/>
      <c r="F2294" s="138"/>
      <c r="G2294" s="1" t="str">
        <f>IFERROR(IF(ventas_b_mes1255[[#This Row],[CUIT]]="","-",VLOOKUP(ventas_b_mes1255[[#This Row],[CUIT]],Lista_CUIT[#All],2,0)),"CUIT NO CARGADO")</f>
        <v>-</v>
      </c>
      <c r="H2294" s="99">
        <f>ventas_b_mes1255[[#This Row],[TOTAL]]/1.21</f>
        <v>0</v>
      </c>
      <c r="I2294" s="64">
        <f>ventas_b_mes1255[[#This Row],[IMPORTE NETO]]*0.21</f>
        <v>0</v>
      </c>
      <c r="J2294" s="140"/>
      <c r="K2294" s="140"/>
      <c r="L2294" s="140"/>
      <c r="M2294" s="59"/>
    </row>
    <row r="2295" spans="2:13" x14ac:dyDescent="0.25">
      <c r="B2295" s="134"/>
      <c r="C2295" s="41"/>
      <c r="D2295" s="136"/>
      <c r="E2295" s="137"/>
      <c r="F2295" s="138"/>
      <c r="G2295" s="1" t="str">
        <f>IFERROR(IF(ventas_b_mes1255[[#This Row],[CUIT]]="","-",VLOOKUP(ventas_b_mes1255[[#This Row],[CUIT]],Lista_CUIT[#All],2,0)),"CUIT NO CARGADO")</f>
        <v>-</v>
      </c>
      <c r="H2295" s="99">
        <f>ventas_b_mes1255[[#This Row],[TOTAL]]/1.21</f>
        <v>0</v>
      </c>
      <c r="I2295" s="64">
        <f>ventas_b_mes1255[[#This Row],[IMPORTE NETO]]*0.21</f>
        <v>0</v>
      </c>
      <c r="J2295" s="140"/>
      <c r="K2295" s="140"/>
      <c r="L2295" s="140"/>
      <c r="M2295" s="59"/>
    </row>
    <row r="2296" spans="2:13" x14ac:dyDescent="0.25">
      <c r="B2296" s="134"/>
      <c r="C2296" s="41"/>
      <c r="D2296" s="136"/>
      <c r="E2296" s="137"/>
      <c r="F2296" s="138"/>
      <c r="G2296" s="1" t="str">
        <f>IFERROR(IF(ventas_b_mes1255[[#This Row],[CUIT]]="","-",VLOOKUP(ventas_b_mes1255[[#This Row],[CUIT]],Lista_CUIT[#All],2,0)),"CUIT NO CARGADO")</f>
        <v>-</v>
      </c>
      <c r="H2296" s="99">
        <f>ventas_b_mes1255[[#This Row],[TOTAL]]/1.21</f>
        <v>0</v>
      </c>
      <c r="I2296" s="64">
        <f>ventas_b_mes1255[[#This Row],[IMPORTE NETO]]*0.21</f>
        <v>0</v>
      </c>
      <c r="J2296" s="140"/>
      <c r="K2296" s="140"/>
      <c r="L2296" s="140"/>
      <c r="M2296" s="59"/>
    </row>
    <row r="2297" spans="2:13" x14ac:dyDescent="0.25">
      <c r="B2297" s="134"/>
      <c r="C2297" s="41"/>
      <c r="D2297" s="136"/>
      <c r="E2297" s="137"/>
      <c r="F2297" s="138"/>
      <c r="G2297" s="1" t="str">
        <f>IFERROR(IF(ventas_b_mes1255[[#This Row],[CUIT]]="","-",VLOOKUP(ventas_b_mes1255[[#This Row],[CUIT]],Lista_CUIT[#All],2,0)),"CUIT NO CARGADO")</f>
        <v>-</v>
      </c>
      <c r="H2297" s="99">
        <f>ventas_b_mes1255[[#This Row],[TOTAL]]/1.21</f>
        <v>0</v>
      </c>
      <c r="I2297" s="64">
        <f>ventas_b_mes1255[[#This Row],[IMPORTE NETO]]*0.21</f>
        <v>0</v>
      </c>
      <c r="J2297" s="140"/>
      <c r="K2297" s="140"/>
      <c r="L2297" s="140"/>
      <c r="M2297" s="59"/>
    </row>
    <row r="2298" spans="2:13" x14ac:dyDescent="0.25">
      <c r="B2298" s="134"/>
      <c r="C2298" s="41"/>
      <c r="D2298" s="136"/>
      <c r="E2298" s="137"/>
      <c r="F2298" s="138"/>
      <c r="G2298" s="1" t="str">
        <f>IFERROR(IF(ventas_b_mes1255[[#This Row],[CUIT]]="","-",VLOOKUP(ventas_b_mes1255[[#This Row],[CUIT]],Lista_CUIT[#All],2,0)),"CUIT NO CARGADO")</f>
        <v>-</v>
      </c>
      <c r="H2298" s="99">
        <f>ventas_b_mes1255[[#This Row],[TOTAL]]/1.21</f>
        <v>0</v>
      </c>
      <c r="I2298" s="64">
        <f>ventas_b_mes1255[[#This Row],[IMPORTE NETO]]*0.21</f>
        <v>0</v>
      </c>
      <c r="J2298" s="140"/>
      <c r="K2298" s="140"/>
      <c r="L2298" s="140"/>
      <c r="M2298" s="59"/>
    </row>
    <row r="2299" spans="2:13" x14ac:dyDescent="0.25">
      <c r="B2299" s="134"/>
      <c r="C2299" s="41"/>
      <c r="D2299" s="136"/>
      <c r="E2299" s="137"/>
      <c r="F2299" s="138"/>
      <c r="G2299" s="1" t="str">
        <f>IFERROR(IF(ventas_b_mes1255[[#This Row],[CUIT]]="","-",VLOOKUP(ventas_b_mes1255[[#This Row],[CUIT]],Lista_CUIT[#All],2,0)),"CUIT NO CARGADO")</f>
        <v>-</v>
      </c>
      <c r="H2299" s="99">
        <f>ventas_b_mes1255[[#This Row],[TOTAL]]/1.21</f>
        <v>0</v>
      </c>
      <c r="I2299" s="64">
        <f>ventas_b_mes1255[[#This Row],[IMPORTE NETO]]*0.21</f>
        <v>0</v>
      </c>
      <c r="J2299" s="140"/>
      <c r="K2299" s="140"/>
      <c r="L2299" s="140"/>
      <c r="M2299" s="59"/>
    </row>
    <row r="2300" spans="2:13" x14ac:dyDescent="0.25">
      <c r="B2300" s="134"/>
      <c r="C2300" s="41"/>
      <c r="D2300" s="136"/>
      <c r="E2300" s="137"/>
      <c r="F2300" s="138"/>
      <c r="G2300" s="1" t="str">
        <f>IFERROR(IF(ventas_b_mes1255[[#This Row],[CUIT]]="","-",VLOOKUP(ventas_b_mes1255[[#This Row],[CUIT]],Lista_CUIT[#All],2,0)),"CUIT NO CARGADO")</f>
        <v>-</v>
      </c>
      <c r="H2300" s="99">
        <f>ventas_b_mes1255[[#This Row],[TOTAL]]/1.21</f>
        <v>0</v>
      </c>
      <c r="I2300" s="64">
        <f>ventas_b_mes1255[[#This Row],[IMPORTE NETO]]*0.21</f>
        <v>0</v>
      </c>
      <c r="J2300" s="140"/>
      <c r="K2300" s="140"/>
      <c r="L2300" s="140"/>
      <c r="M2300" s="59"/>
    </row>
    <row r="2301" spans="2:13" x14ac:dyDescent="0.25">
      <c r="B2301" s="134"/>
      <c r="C2301" s="41"/>
      <c r="D2301" s="136"/>
      <c r="E2301" s="137"/>
      <c r="F2301" s="138"/>
      <c r="G2301" s="1" t="str">
        <f>IFERROR(IF(ventas_b_mes1255[[#This Row],[CUIT]]="","-",VLOOKUP(ventas_b_mes1255[[#This Row],[CUIT]],Lista_CUIT[#All],2,0)),"CUIT NO CARGADO")</f>
        <v>-</v>
      </c>
      <c r="H2301" s="99">
        <f>ventas_b_mes1255[[#This Row],[TOTAL]]/1.21</f>
        <v>0</v>
      </c>
      <c r="I2301" s="64">
        <f>ventas_b_mes1255[[#This Row],[IMPORTE NETO]]*0.21</f>
        <v>0</v>
      </c>
      <c r="J2301" s="140"/>
      <c r="K2301" s="140"/>
      <c r="L2301" s="140"/>
      <c r="M2301" s="59"/>
    </row>
    <row r="2302" spans="2:13" x14ac:dyDescent="0.25">
      <c r="B2302" s="134"/>
      <c r="C2302" s="41"/>
      <c r="D2302" s="136"/>
      <c r="E2302" s="137"/>
      <c r="F2302" s="138"/>
      <c r="G2302" s="1" t="str">
        <f>IFERROR(IF(ventas_b_mes1255[[#This Row],[CUIT]]="","-",VLOOKUP(ventas_b_mes1255[[#This Row],[CUIT]],Lista_CUIT[#All],2,0)),"CUIT NO CARGADO")</f>
        <v>-</v>
      </c>
      <c r="H2302" s="99">
        <f>ventas_b_mes1255[[#This Row],[TOTAL]]/1.21</f>
        <v>0</v>
      </c>
      <c r="I2302" s="64">
        <f>ventas_b_mes1255[[#This Row],[IMPORTE NETO]]*0.21</f>
        <v>0</v>
      </c>
      <c r="J2302" s="140"/>
      <c r="K2302" s="140"/>
      <c r="L2302" s="140"/>
      <c r="M2302" s="59"/>
    </row>
    <row r="2303" spans="2:13" x14ac:dyDescent="0.25">
      <c r="B2303" s="134"/>
      <c r="C2303" s="41"/>
      <c r="D2303" s="136"/>
      <c r="E2303" s="137"/>
      <c r="F2303" s="138"/>
      <c r="G2303" s="1" t="str">
        <f>IFERROR(IF(ventas_b_mes1255[[#This Row],[CUIT]]="","-",VLOOKUP(ventas_b_mes1255[[#This Row],[CUIT]],Lista_CUIT[#All],2,0)),"CUIT NO CARGADO")</f>
        <v>-</v>
      </c>
      <c r="H2303" s="99">
        <f>ventas_b_mes1255[[#This Row],[TOTAL]]/1.21</f>
        <v>0</v>
      </c>
      <c r="I2303" s="64">
        <f>ventas_b_mes1255[[#This Row],[IMPORTE NETO]]*0.21</f>
        <v>0</v>
      </c>
      <c r="J2303" s="140"/>
      <c r="K2303" s="140"/>
      <c r="L2303" s="140"/>
      <c r="M2303" s="59"/>
    </row>
    <row r="2304" spans="2:13" x14ac:dyDescent="0.25">
      <c r="B2304" s="134"/>
      <c r="C2304" s="41"/>
      <c r="D2304" s="136"/>
      <c r="E2304" s="137"/>
      <c r="F2304" s="138"/>
      <c r="G2304" s="1" t="str">
        <f>IFERROR(IF(ventas_b_mes1255[[#This Row],[CUIT]]="","-",VLOOKUP(ventas_b_mes1255[[#This Row],[CUIT]],Lista_CUIT[#All],2,0)),"CUIT NO CARGADO")</f>
        <v>-</v>
      </c>
      <c r="H2304" s="99">
        <f>ventas_b_mes1255[[#This Row],[TOTAL]]/1.21</f>
        <v>0</v>
      </c>
      <c r="I2304" s="64">
        <f>ventas_b_mes1255[[#This Row],[IMPORTE NETO]]*0.21</f>
        <v>0</v>
      </c>
      <c r="J2304" s="140"/>
      <c r="K2304" s="140"/>
      <c r="L2304" s="140"/>
      <c r="M2304" s="59"/>
    </row>
    <row r="2305" spans="2:13" x14ac:dyDescent="0.25">
      <c r="B2305" s="134"/>
      <c r="C2305" s="41"/>
      <c r="D2305" s="136"/>
      <c r="E2305" s="137"/>
      <c r="F2305" s="138"/>
      <c r="G2305" s="1" t="str">
        <f>IFERROR(IF(ventas_b_mes1255[[#This Row],[CUIT]]="","-",VLOOKUP(ventas_b_mes1255[[#This Row],[CUIT]],Lista_CUIT[#All],2,0)),"CUIT NO CARGADO")</f>
        <v>-</v>
      </c>
      <c r="H2305" s="99">
        <f>ventas_b_mes1255[[#This Row],[TOTAL]]/1.21</f>
        <v>0</v>
      </c>
      <c r="I2305" s="64">
        <f>ventas_b_mes1255[[#This Row],[IMPORTE NETO]]*0.21</f>
        <v>0</v>
      </c>
      <c r="J2305" s="140"/>
      <c r="K2305" s="140"/>
      <c r="L2305" s="140"/>
      <c r="M2305" s="59"/>
    </row>
    <row r="2306" spans="2:13" x14ac:dyDescent="0.25">
      <c r="B2306" s="134"/>
      <c r="C2306" s="41"/>
      <c r="D2306" s="136"/>
      <c r="E2306" s="137"/>
      <c r="F2306" s="138"/>
      <c r="G2306" s="1" t="str">
        <f>IFERROR(IF(ventas_b_mes1255[[#This Row],[CUIT]]="","-",VLOOKUP(ventas_b_mes1255[[#This Row],[CUIT]],Lista_CUIT[#All],2,0)),"CUIT NO CARGADO")</f>
        <v>-</v>
      </c>
      <c r="H2306" s="99">
        <f>ventas_b_mes1255[[#This Row],[TOTAL]]/1.21</f>
        <v>0</v>
      </c>
      <c r="I2306" s="64">
        <f>ventas_b_mes1255[[#This Row],[IMPORTE NETO]]*0.21</f>
        <v>0</v>
      </c>
      <c r="J2306" s="140"/>
      <c r="K2306" s="140"/>
      <c r="L2306" s="140"/>
      <c r="M2306" s="59"/>
    </row>
    <row r="2307" spans="2:13" x14ac:dyDescent="0.25">
      <c r="B2307" s="134"/>
      <c r="C2307" s="41"/>
      <c r="D2307" s="136"/>
      <c r="E2307" s="137"/>
      <c r="F2307" s="138"/>
      <c r="G2307" s="1" t="str">
        <f>IFERROR(IF(ventas_b_mes1255[[#This Row],[CUIT]]="","-",VLOOKUP(ventas_b_mes1255[[#This Row],[CUIT]],Lista_CUIT[#All],2,0)),"CUIT NO CARGADO")</f>
        <v>-</v>
      </c>
      <c r="H2307" s="99">
        <f>ventas_b_mes1255[[#This Row],[TOTAL]]/1.21</f>
        <v>0</v>
      </c>
      <c r="I2307" s="64">
        <f>ventas_b_mes1255[[#This Row],[IMPORTE NETO]]*0.21</f>
        <v>0</v>
      </c>
      <c r="J2307" s="140"/>
      <c r="K2307" s="140"/>
      <c r="L2307" s="140"/>
      <c r="M2307" s="59"/>
    </row>
    <row r="2308" spans="2:13" x14ac:dyDescent="0.25">
      <c r="B2308" s="134"/>
      <c r="C2308" s="41"/>
      <c r="D2308" s="136"/>
      <c r="E2308" s="137"/>
      <c r="F2308" s="138"/>
      <c r="G2308" s="1" t="str">
        <f>IFERROR(IF(ventas_b_mes1255[[#This Row],[CUIT]]="","-",VLOOKUP(ventas_b_mes1255[[#This Row],[CUIT]],Lista_CUIT[#All],2,0)),"CUIT NO CARGADO")</f>
        <v>-</v>
      </c>
      <c r="H2308" s="99">
        <f>ventas_b_mes1255[[#This Row],[TOTAL]]/1.21</f>
        <v>0</v>
      </c>
      <c r="I2308" s="64">
        <f>ventas_b_mes1255[[#This Row],[IMPORTE NETO]]*0.21</f>
        <v>0</v>
      </c>
      <c r="J2308" s="140"/>
      <c r="K2308" s="140"/>
      <c r="L2308" s="140"/>
      <c r="M2308" s="59"/>
    </row>
    <row r="2309" spans="2:13" x14ac:dyDescent="0.25">
      <c r="B2309" s="134"/>
      <c r="C2309" s="41"/>
      <c r="D2309" s="136"/>
      <c r="E2309" s="137"/>
      <c r="F2309" s="138"/>
      <c r="G2309" s="1" t="str">
        <f>IFERROR(IF(ventas_b_mes1255[[#This Row],[CUIT]]="","-",VLOOKUP(ventas_b_mes1255[[#This Row],[CUIT]],Lista_CUIT[#All],2,0)),"CUIT NO CARGADO")</f>
        <v>-</v>
      </c>
      <c r="H2309" s="99">
        <f>ventas_b_mes1255[[#This Row],[TOTAL]]/1.21</f>
        <v>0</v>
      </c>
      <c r="I2309" s="64">
        <f>ventas_b_mes1255[[#This Row],[IMPORTE NETO]]*0.21</f>
        <v>0</v>
      </c>
      <c r="J2309" s="140"/>
      <c r="K2309" s="140"/>
      <c r="L2309" s="140"/>
      <c r="M2309" s="59"/>
    </row>
    <row r="2310" spans="2:13" x14ac:dyDescent="0.25">
      <c r="B2310" s="134"/>
      <c r="C2310" s="41"/>
      <c r="D2310" s="136"/>
      <c r="E2310" s="137"/>
      <c r="F2310" s="138"/>
      <c r="G2310" s="1" t="str">
        <f>IFERROR(IF(ventas_b_mes1255[[#This Row],[CUIT]]="","-",VLOOKUP(ventas_b_mes1255[[#This Row],[CUIT]],Lista_CUIT[#All],2,0)),"CUIT NO CARGADO")</f>
        <v>-</v>
      </c>
      <c r="H2310" s="99">
        <f>ventas_b_mes1255[[#This Row],[TOTAL]]/1.21</f>
        <v>0</v>
      </c>
      <c r="I2310" s="64">
        <f>ventas_b_mes1255[[#This Row],[IMPORTE NETO]]*0.21</f>
        <v>0</v>
      </c>
      <c r="J2310" s="140"/>
      <c r="K2310" s="140"/>
      <c r="L2310" s="140"/>
      <c r="M2310" s="59"/>
    </row>
    <row r="2311" spans="2:13" x14ac:dyDescent="0.25">
      <c r="B2311" s="134"/>
      <c r="C2311" s="41"/>
      <c r="D2311" s="136"/>
      <c r="E2311" s="137"/>
      <c r="F2311" s="138"/>
      <c r="G2311" s="1" t="str">
        <f>IFERROR(IF(ventas_b_mes1255[[#This Row],[CUIT]]="","-",VLOOKUP(ventas_b_mes1255[[#This Row],[CUIT]],Lista_CUIT[#All],2,0)),"CUIT NO CARGADO")</f>
        <v>-</v>
      </c>
      <c r="H2311" s="99">
        <f>ventas_b_mes1255[[#This Row],[TOTAL]]/1.21</f>
        <v>0</v>
      </c>
      <c r="I2311" s="64">
        <f>ventas_b_mes1255[[#This Row],[IMPORTE NETO]]*0.21</f>
        <v>0</v>
      </c>
      <c r="J2311" s="140"/>
      <c r="K2311" s="140"/>
      <c r="L2311" s="140"/>
      <c r="M2311" s="59"/>
    </row>
    <row r="2312" spans="2:13" x14ac:dyDescent="0.25">
      <c r="B2312" s="134"/>
      <c r="C2312" s="41"/>
      <c r="D2312" s="136"/>
      <c r="E2312" s="137"/>
      <c r="F2312" s="138"/>
      <c r="G2312" s="1" t="str">
        <f>IFERROR(IF(ventas_b_mes1255[[#This Row],[CUIT]]="","-",VLOOKUP(ventas_b_mes1255[[#This Row],[CUIT]],Lista_CUIT[#All],2,0)),"CUIT NO CARGADO")</f>
        <v>-</v>
      </c>
      <c r="H2312" s="99">
        <f>ventas_b_mes1255[[#This Row],[TOTAL]]/1.21</f>
        <v>0</v>
      </c>
      <c r="I2312" s="64">
        <f>ventas_b_mes1255[[#This Row],[IMPORTE NETO]]*0.21</f>
        <v>0</v>
      </c>
      <c r="J2312" s="140"/>
      <c r="K2312" s="140"/>
      <c r="L2312" s="140"/>
      <c r="M2312" s="59"/>
    </row>
    <row r="2313" spans="2:13" x14ac:dyDescent="0.25">
      <c r="B2313" s="134"/>
      <c r="C2313" s="41"/>
      <c r="D2313" s="136"/>
      <c r="E2313" s="137"/>
      <c r="F2313" s="138"/>
      <c r="G2313" s="1" t="str">
        <f>IFERROR(IF(ventas_b_mes1255[[#This Row],[CUIT]]="","-",VLOOKUP(ventas_b_mes1255[[#This Row],[CUIT]],Lista_CUIT[#All],2,0)),"CUIT NO CARGADO")</f>
        <v>-</v>
      </c>
      <c r="H2313" s="99">
        <f>ventas_b_mes1255[[#This Row],[TOTAL]]/1.21</f>
        <v>0</v>
      </c>
      <c r="I2313" s="64">
        <f>ventas_b_mes1255[[#This Row],[IMPORTE NETO]]*0.21</f>
        <v>0</v>
      </c>
      <c r="J2313" s="140"/>
      <c r="K2313" s="140"/>
      <c r="L2313" s="140"/>
      <c r="M2313" s="59"/>
    </row>
    <row r="2314" spans="2:13" x14ac:dyDescent="0.25">
      <c r="B2314" s="134"/>
      <c r="C2314" s="41"/>
      <c r="D2314" s="136"/>
      <c r="E2314" s="137"/>
      <c r="F2314" s="138"/>
      <c r="G2314" s="1" t="str">
        <f>IFERROR(IF(ventas_b_mes1255[[#This Row],[CUIT]]="","-",VLOOKUP(ventas_b_mes1255[[#This Row],[CUIT]],Lista_CUIT[#All],2,0)),"CUIT NO CARGADO")</f>
        <v>-</v>
      </c>
      <c r="H2314" s="99">
        <f>ventas_b_mes1255[[#This Row],[TOTAL]]/1.21</f>
        <v>0</v>
      </c>
      <c r="I2314" s="64">
        <f>ventas_b_mes1255[[#This Row],[IMPORTE NETO]]*0.21</f>
        <v>0</v>
      </c>
      <c r="J2314" s="140"/>
      <c r="K2314" s="140"/>
      <c r="L2314" s="140"/>
      <c r="M2314" s="59"/>
    </row>
    <row r="2315" spans="2:13" x14ac:dyDescent="0.25">
      <c r="B2315" s="134"/>
      <c r="C2315" s="41"/>
      <c r="D2315" s="136"/>
      <c r="E2315" s="137"/>
      <c r="F2315" s="138"/>
      <c r="G2315" s="1" t="str">
        <f>IFERROR(IF(ventas_b_mes1255[[#This Row],[CUIT]]="","-",VLOOKUP(ventas_b_mes1255[[#This Row],[CUIT]],Lista_CUIT[#All],2,0)),"CUIT NO CARGADO")</f>
        <v>-</v>
      </c>
      <c r="H2315" s="99">
        <f>ventas_b_mes1255[[#This Row],[TOTAL]]/1.21</f>
        <v>0</v>
      </c>
      <c r="I2315" s="64">
        <f>ventas_b_mes1255[[#This Row],[IMPORTE NETO]]*0.21</f>
        <v>0</v>
      </c>
      <c r="J2315" s="140"/>
      <c r="K2315" s="140"/>
      <c r="L2315" s="140"/>
      <c r="M2315" s="59"/>
    </row>
    <row r="2316" spans="2:13" x14ac:dyDescent="0.25">
      <c r="B2316" s="134"/>
      <c r="C2316" s="41"/>
      <c r="D2316" s="136"/>
      <c r="E2316" s="137"/>
      <c r="F2316" s="138"/>
      <c r="G2316" s="1" t="str">
        <f>IFERROR(IF(ventas_b_mes1255[[#This Row],[CUIT]]="","-",VLOOKUP(ventas_b_mes1255[[#This Row],[CUIT]],Lista_CUIT[#All],2,0)),"CUIT NO CARGADO")</f>
        <v>-</v>
      </c>
      <c r="H2316" s="99">
        <f>ventas_b_mes1255[[#This Row],[TOTAL]]/1.21</f>
        <v>0</v>
      </c>
      <c r="I2316" s="64">
        <f>ventas_b_mes1255[[#This Row],[IMPORTE NETO]]*0.21</f>
        <v>0</v>
      </c>
      <c r="J2316" s="140"/>
      <c r="K2316" s="140"/>
      <c r="L2316" s="140"/>
      <c r="M2316" s="59"/>
    </row>
    <row r="2317" spans="2:13" x14ac:dyDescent="0.25">
      <c r="B2317" s="134"/>
      <c r="C2317" s="41"/>
      <c r="D2317" s="136"/>
      <c r="E2317" s="137"/>
      <c r="F2317" s="138"/>
      <c r="G2317" s="1" t="str">
        <f>IFERROR(IF(ventas_b_mes1255[[#This Row],[CUIT]]="","-",VLOOKUP(ventas_b_mes1255[[#This Row],[CUIT]],Lista_CUIT[#All],2,0)),"CUIT NO CARGADO")</f>
        <v>-</v>
      </c>
      <c r="H2317" s="99">
        <f>ventas_b_mes1255[[#This Row],[TOTAL]]/1.21</f>
        <v>0</v>
      </c>
      <c r="I2317" s="64">
        <f>ventas_b_mes1255[[#This Row],[IMPORTE NETO]]*0.21</f>
        <v>0</v>
      </c>
      <c r="J2317" s="140"/>
      <c r="K2317" s="140"/>
      <c r="L2317" s="140"/>
      <c r="M2317" s="59"/>
    </row>
    <row r="2318" spans="2:13" x14ac:dyDescent="0.25">
      <c r="B2318" s="134"/>
      <c r="C2318" s="41"/>
      <c r="D2318" s="136"/>
      <c r="E2318" s="137"/>
      <c r="F2318" s="138"/>
      <c r="G2318" s="1" t="str">
        <f>IFERROR(IF(ventas_b_mes1255[[#This Row],[CUIT]]="","-",VLOOKUP(ventas_b_mes1255[[#This Row],[CUIT]],Lista_CUIT[#All],2,0)),"CUIT NO CARGADO")</f>
        <v>-</v>
      </c>
      <c r="H2318" s="99">
        <f>ventas_b_mes1255[[#This Row],[TOTAL]]/1.21</f>
        <v>0</v>
      </c>
      <c r="I2318" s="64">
        <f>ventas_b_mes1255[[#This Row],[IMPORTE NETO]]*0.21</f>
        <v>0</v>
      </c>
      <c r="J2318" s="140"/>
      <c r="K2318" s="140"/>
      <c r="L2318" s="140"/>
      <c r="M2318" s="59"/>
    </row>
    <row r="2319" spans="2:13" x14ac:dyDescent="0.25">
      <c r="B2319" s="134"/>
      <c r="C2319" s="41"/>
      <c r="D2319" s="136"/>
      <c r="E2319" s="137"/>
      <c r="F2319" s="138"/>
      <c r="G2319" s="1" t="str">
        <f>IFERROR(IF(ventas_b_mes1255[[#This Row],[CUIT]]="","-",VLOOKUP(ventas_b_mes1255[[#This Row],[CUIT]],Lista_CUIT[#All],2,0)),"CUIT NO CARGADO")</f>
        <v>-</v>
      </c>
      <c r="H2319" s="99">
        <f>ventas_b_mes1255[[#This Row],[TOTAL]]/1.21</f>
        <v>0</v>
      </c>
      <c r="I2319" s="64">
        <f>ventas_b_mes1255[[#This Row],[IMPORTE NETO]]*0.21</f>
        <v>0</v>
      </c>
      <c r="J2319" s="140"/>
      <c r="K2319" s="140"/>
      <c r="L2319" s="140"/>
      <c r="M2319" s="59"/>
    </row>
    <row r="2320" spans="2:13" x14ac:dyDescent="0.25">
      <c r="B2320" s="134"/>
      <c r="C2320" s="41"/>
      <c r="D2320" s="136"/>
      <c r="E2320" s="137"/>
      <c r="F2320" s="138"/>
      <c r="G2320" s="1" t="str">
        <f>IFERROR(IF(ventas_b_mes1255[[#This Row],[CUIT]]="","-",VLOOKUP(ventas_b_mes1255[[#This Row],[CUIT]],Lista_CUIT[#All],2,0)),"CUIT NO CARGADO")</f>
        <v>-</v>
      </c>
      <c r="H2320" s="99">
        <f>ventas_b_mes1255[[#This Row],[TOTAL]]/1.21</f>
        <v>0</v>
      </c>
      <c r="I2320" s="64">
        <f>ventas_b_mes1255[[#This Row],[IMPORTE NETO]]*0.21</f>
        <v>0</v>
      </c>
      <c r="J2320" s="140"/>
      <c r="K2320" s="140"/>
      <c r="L2320" s="140"/>
      <c r="M2320" s="59"/>
    </row>
    <row r="2321" spans="2:13" x14ac:dyDescent="0.25">
      <c r="B2321" s="134"/>
      <c r="C2321" s="41"/>
      <c r="D2321" s="136"/>
      <c r="E2321" s="137"/>
      <c r="F2321" s="138"/>
      <c r="G2321" s="1" t="str">
        <f>IFERROR(IF(ventas_b_mes1255[[#This Row],[CUIT]]="","-",VLOOKUP(ventas_b_mes1255[[#This Row],[CUIT]],Lista_CUIT[#All],2,0)),"CUIT NO CARGADO")</f>
        <v>-</v>
      </c>
      <c r="H2321" s="99">
        <f>ventas_b_mes1255[[#This Row],[TOTAL]]/1.21</f>
        <v>0</v>
      </c>
      <c r="I2321" s="64">
        <f>ventas_b_mes1255[[#This Row],[IMPORTE NETO]]*0.21</f>
        <v>0</v>
      </c>
      <c r="J2321" s="140"/>
      <c r="K2321" s="140"/>
      <c r="L2321" s="140"/>
      <c r="M2321" s="59"/>
    </row>
    <row r="2322" spans="2:13" x14ac:dyDescent="0.25">
      <c r="B2322" s="134"/>
      <c r="C2322" s="41"/>
      <c r="D2322" s="136"/>
      <c r="E2322" s="137"/>
      <c r="F2322" s="138"/>
      <c r="G2322" s="1" t="str">
        <f>IFERROR(IF(ventas_b_mes1255[[#This Row],[CUIT]]="","-",VLOOKUP(ventas_b_mes1255[[#This Row],[CUIT]],Lista_CUIT[#All],2,0)),"CUIT NO CARGADO")</f>
        <v>-</v>
      </c>
      <c r="H2322" s="99">
        <f>ventas_b_mes1255[[#This Row],[TOTAL]]/1.21</f>
        <v>0</v>
      </c>
      <c r="I2322" s="64">
        <f>ventas_b_mes1255[[#This Row],[IMPORTE NETO]]*0.21</f>
        <v>0</v>
      </c>
      <c r="J2322" s="140"/>
      <c r="K2322" s="140"/>
      <c r="L2322" s="140"/>
      <c r="M2322" s="59"/>
    </row>
    <row r="2323" spans="2:13" x14ac:dyDescent="0.25">
      <c r="B2323" s="134"/>
      <c r="C2323" s="41"/>
      <c r="D2323" s="136"/>
      <c r="E2323" s="137"/>
      <c r="F2323" s="138"/>
      <c r="G2323" s="1" t="str">
        <f>IFERROR(IF(ventas_b_mes1255[[#This Row],[CUIT]]="","-",VLOOKUP(ventas_b_mes1255[[#This Row],[CUIT]],Lista_CUIT[#All],2,0)),"CUIT NO CARGADO")</f>
        <v>-</v>
      </c>
      <c r="H2323" s="99">
        <f>ventas_b_mes1255[[#This Row],[TOTAL]]/1.21</f>
        <v>0</v>
      </c>
      <c r="I2323" s="64">
        <f>ventas_b_mes1255[[#This Row],[IMPORTE NETO]]*0.21</f>
        <v>0</v>
      </c>
      <c r="J2323" s="140"/>
      <c r="K2323" s="140"/>
      <c r="L2323" s="140"/>
      <c r="M2323" s="59"/>
    </row>
    <row r="2324" spans="2:13" x14ac:dyDescent="0.25">
      <c r="B2324" s="134"/>
      <c r="C2324" s="41"/>
      <c r="D2324" s="136"/>
      <c r="E2324" s="137"/>
      <c r="F2324" s="138"/>
      <c r="G2324" s="1" t="str">
        <f>IFERROR(IF(ventas_b_mes1255[[#This Row],[CUIT]]="","-",VLOOKUP(ventas_b_mes1255[[#This Row],[CUIT]],Lista_CUIT[#All],2,0)),"CUIT NO CARGADO")</f>
        <v>-</v>
      </c>
      <c r="H2324" s="99">
        <f>ventas_b_mes1255[[#This Row],[TOTAL]]/1.21</f>
        <v>0</v>
      </c>
      <c r="I2324" s="64">
        <f>ventas_b_mes1255[[#This Row],[IMPORTE NETO]]*0.21</f>
        <v>0</v>
      </c>
      <c r="J2324" s="140"/>
      <c r="K2324" s="140"/>
      <c r="L2324" s="140"/>
      <c r="M2324" s="59"/>
    </row>
    <row r="2325" spans="2:13" x14ac:dyDescent="0.25">
      <c r="B2325" s="134"/>
      <c r="C2325" s="41"/>
      <c r="D2325" s="136"/>
      <c r="E2325" s="137"/>
      <c r="F2325" s="138"/>
      <c r="G2325" s="1" t="str">
        <f>IFERROR(IF(ventas_b_mes1255[[#This Row],[CUIT]]="","-",VLOOKUP(ventas_b_mes1255[[#This Row],[CUIT]],Lista_CUIT[#All],2,0)),"CUIT NO CARGADO")</f>
        <v>-</v>
      </c>
      <c r="H2325" s="99">
        <f>ventas_b_mes1255[[#This Row],[TOTAL]]/1.21</f>
        <v>0</v>
      </c>
      <c r="I2325" s="64">
        <f>ventas_b_mes1255[[#This Row],[IMPORTE NETO]]*0.21</f>
        <v>0</v>
      </c>
      <c r="J2325" s="140"/>
      <c r="K2325" s="140"/>
      <c r="L2325" s="140"/>
      <c r="M2325" s="59"/>
    </row>
    <row r="2326" spans="2:13" x14ac:dyDescent="0.25">
      <c r="B2326" s="134"/>
      <c r="C2326" s="41"/>
      <c r="D2326" s="136"/>
      <c r="E2326" s="137"/>
      <c r="F2326" s="138"/>
      <c r="G2326" s="1" t="str">
        <f>IFERROR(IF(ventas_b_mes1255[[#This Row],[CUIT]]="","-",VLOOKUP(ventas_b_mes1255[[#This Row],[CUIT]],Lista_CUIT[#All],2,0)),"CUIT NO CARGADO")</f>
        <v>-</v>
      </c>
      <c r="H2326" s="99">
        <f>ventas_b_mes1255[[#This Row],[TOTAL]]/1.21</f>
        <v>0</v>
      </c>
      <c r="I2326" s="64">
        <f>ventas_b_mes1255[[#This Row],[IMPORTE NETO]]*0.21</f>
        <v>0</v>
      </c>
      <c r="J2326" s="140"/>
      <c r="K2326" s="140"/>
      <c r="L2326" s="140"/>
      <c r="M2326" s="59"/>
    </row>
    <row r="2327" spans="2:13" x14ac:dyDescent="0.25">
      <c r="B2327" s="134"/>
      <c r="C2327" s="41"/>
      <c r="D2327" s="136"/>
      <c r="E2327" s="137"/>
      <c r="F2327" s="138"/>
      <c r="G2327" s="1" t="str">
        <f>IFERROR(IF(ventas_b_mes1255[[#This Row],[CUIT]]="","-",VLOOKUP(ventas_b_mes1255[[#This Row],[CUIT]],Lista_CUIT[#All],2,0)),"CUIT NO CARGADO")</f>
        <v>-</v>
      </c>
      <c r="H2327" s="99">
        <f>ventas_b_mes1255[[#This Row],[TOTAL]]/1.21</f>
        <v>0</v>
      </c>
      <c r="I2327" s="64">
        <f>ventas_b_mes1255[[#This Row],[IMPORTE NETO]]*0.21</f>
        <v>0</v>
      </c>
      <c r="J2327" s="140"/>
      <c r="K2327" s="140"/>
      <c r="L2327" s="140"/>
      <c r="M2327" s="59"/>
    </row>
    <row r="2328" spans="2:13" x14ac:dyDescent="0.25">
      <c r="B2328" s="134"/>
      <c r="C2328" s="41"/>
      <c r="D2328" s="136"/>
      <c r="E2328" s="137"/>
      <c r="F2328" s="138"/>
      <c r="G2328" s="1" t="str">
        <f>IFERROR(IF(ventas_b_mes1255[[#This Row],[CUIT]]="","-",VLOOKUP(ventas_b_mes1255[[#This Row],[CUIT]],Lista_CUIT[#All],2,0)),"CUIT NO CARGADO")</f>
        <v>-</v>
      </c>
      <c r="H2328" s="99">
        <f>ventas_b_mes1255[[#This Row],[TOTAL]]/1.21</f>
        <v>0</v>
      </c>
      <c r="I2328" s="64">
        <f>ventas_b_mes1255[[#This Row],[IMPORTE NETO]]*0.21</f>
        <v>0</v>
      </c>
      <c r="J2328" s="140"/>
      <c r="K2328" s="140"/>
      <c r="L2328" s="140"/>
      <c r="M2328" s="59"/>
    </row>
    <row r="2329" spans="2:13" x14ac:dyDescent="0.25">
      <c r="B2329" s="134"/>
      <c r="C2329" s="41"/>
      <c r="D2329" s="136"/>
      <c r="E2329" s="137"/>
      <c r="F2329" s="138"/>
      <c r="G2329" s="1" t="str">
        <f>IFERROR(IF(ventas_b_mes1255[[#This Row],[CUIT]]="","-",VLOOKUP(ventas_b_mes1255[[#This Row],[CUIT]],Lista_CUIT[#All],2,0)),"CUIT NO CARGADO")</f>
        <v>-</v>
      </c>
      <c r="H2329" s="99">
        <f>ventas_b_mes1255[[#This Row],[TOTAL]]/1.21</f>
        <v>0</v>
      </c>
      <c r="I2329" s="64">
        <f>ventas_b_mes1255[[#This Row],[IMPORTE NETO]]*0.21</f>
        <v>0</v>
      </c>
      <c r="J2329" s="140"/>
      <c r="K2329" s="140"/>
      <c r="L2329" s="140"/>
      <c r="M2329" s="59"/>
    </row>
    <row r="2330" spans="2:13" x14ac:dyDescent="0.25">
      <c r="B2330" s="134"/>
      <c r="C2330" s="41"/>
      <c r="D2330" s="136"/>
      <c r="E2330" s="137"/>
      <c r="F2330" s="138"/>
      <c r="G2330" s="1" t="str">
        <f>IFERROR(IF(ventas_b_mes1255[[#This Row],[CUIT]]="","-",VLOOKUP(ventas_b_mes1255[[#This Row],[CUIT]],Lista_CUIT[#All],2,0)),"CUIT NO CARGADO")</f>
        <v>-</v>
      </c>
      <c r="H2330" s="99">
        <f>ventas_b_mes1255[[#This Row],[TOTAL]]/1.21</f>
        <v>0</v>
      </c>
      <c r="I2330" s="64">
        <f>ventas_b_mes1255[[#This Row],[IMPORTE NETO]]*0.21</f>
        <v>0</v>
      </c>
      <c r="J2330" s="140"/>
      <c r="K2330" s="140"/>
      <c r="L2330" s="140"/>
      <c r="M2330" s="59"/>
    </row>
    <row r="2331" spans="2:13" x14ac:dyDescent="0.25">
      <c r="B2331" s="134"/>
      <c r="C2331" s="41"/>
      <c r="D2331" s="136"/>
      <c r="E2331" s="137"/>
      <c r="F2331" s="138"/>
      <c r="G2331" s="1" t="str">
        <f>IFERROR(IF(ventas_b_mes1255[[#This Row],[CUIT]]="","-",VLOOKUP(ventas_b_mes1255[[#This Row],[CUIT]],Lista_CUIT[#All],2,0)),"CUIT NO CARGADO")</f>
        <v>-</v>
      </c>
      <c r="H2331" s="99">
        <f>ventas_b_mes1255[[#This Row],[TOTAL]]/1.21</f>
        <v>0</v>
      </c>
      <c r="I2331" s="64">
        <f>ventas_b_mes1255[[#This Row],[IMPORTE NETO]]*0.21</f>
        <v>0</v>
      </c>
      <c r="J2331" s="140"/>
      <c r="K2331" s="140"/>
      <c r="L2331" s="140"/>
      <c r="M2331" s="59"/>
    </row>
    <row r="2332" spans="2:13" x14ac:dyDescent="0.25">
      <c r="B2332" s="134"/>
      <c r="C2332" s="41"/>
      <c r="D2332" s="136"/>
      <c r="E2332" s="137"/>
      <c r="F2332" s="138"/>
      <c r="G2332" s="1" t="str">
        <f>IFERROR(IF(ventas_b_mes1255[[#This Row],[CUIT]]="","-",VLOOKUP(ventas_b_mes1255[[#This Row],[CUIT]],Lista_CUIT[#All],2,0)),"CUIT NO CARGADO")</f>
        <v>-</v>
      </c>
      <c r="H2332" s="99">
        <f>ventas_b_mes1255[[#This Row],[TOTAL]]/1.21</f>
        <v>0</v>
      </c>
      <c r="I2332" s="64">
        <f>ventas_b_mes1255[[#This Row],[IMPORTE NETO]]*0.21</f>
        <v>0</v>
      </c>
      <c r="J2332" s="140"/>
      <c r="K2332" s="140"/>
      <c r="L2332" s="140"/>
      <c r="M2332" s="59"/>
    </row>
    <row r="2333" spans="2:13" x14ac:dyDescent="0.25">
      <c r="B2333" s="134"/>
      <c r="C2333" s="41"/>
      <c r="D2333" s="136"/>
      <c r="E2333" s="137"/>
      <c r="F2333" s="138"/>
      <c r="G2333" s="1" t="str">
        <f>IFERROR(IF(ventas_b_mes1255[[#This Row],[CUIT]]="","-",VLOOKUP(ventas_b_mes1255[[#This Row],[CUIT]],Lista_CUIT[#All],2,0)),"CUIT NO CARGADO")</f>
        <v>-</v>
      </c>
      <c r="H2333" s="99">
        <f>ventas_b_mes1255[[#This Row],[TOTAL]]/1.21</f>
        <v>0</v>
      </c>
      <c r="I2333" s="64">
        <f>ventas_b_mes1255[[#This Row],[IMPORTE NETO]]*0.21</f>
        <v>0</v>
      </c>
      <c r="J2333" s="140"/>
      <c r="K2333" s="140"/>
      <c r="L2333" s="140"/>
      <c r="M2333" s="59"/>
    </row>
    <row r="2334" spans="2:13" x14ac:dyDescent="0.25">
      <c r="B2334" s="134"/>
      <c r="C2334" s="41"/>
      <c r="D2334" s="136"/>
      <c r="E2334" s="137"/>
      <c r="F2334" s="138"/>
      <c r="G2334" s="1" t="str">
        <f>IFERROR(IF(ventas_b_mes1255[[#This Row],[CUIT]]="","-",VLOOKUP(ventas_b_mes1255[[#This Row],[CUIT]],Lista_CUIT[#All],2,0)),"CUIT NO CARGADO")</f>
        <v>-</v>
      </c>
      <c r="H2334" s="99">
        <f>ventas_b_mes1255[[#This Row],[TOTAL]]/1.21</f>
        <v>0</v>
      </c>
      <c r="I2334" s="64">
        <f>ventas_b_mes1255[[#This Row],[IMPORTE NETO]]*0.21</f>
        <v>0</v>
      </c>
      <c r="J2334" s="140"/>
      <c r="K2334" s="140"/>
      <c r="L2334" s="140"/>
      <c r="M2334" s="59"/>
    </row>
    <row r="2335" spans="2:13" x14ac:dyDescent="0.25">
      <c r="B2335" s="134"/>
      <c r="C2335" s="41"/>
      <c r="D2335" s="136"/>
      <c r="E2335" s="137"/>
      <c r="F2335" s="138"/>
      <c r="G2335" s="1" t="str">
        <f>IFERROR(IF(ventas_b_mes1255[[#This Row],[CUIT]]="","-",VLOOKUP(ventas_b_mes1255[[#This Row],[CUIT]],Lista_CUIT[#All],2,0)),"CUIT NO CARGADO")</f>
        <v>-</v>
      </c>
      <c r="H2335" s="99">
        <f>ventas_b_mes1255[[#This Row],[TOTAL]]/1.21</f>
        <v>0</v>
      </c>
      <c r="I2335" s="64">
        <f>ventas_b_mes1255[[#This Row],[IMPORTE NETO]]*0.21</f>
        <v>0</v>
      </c>
      <c r="J2335" s="140"/>
      <c r="K2335" s="140"/>
      <c r="L2335" s="140"/>
      <c r="M2335" s="59"/>
    </row>
    <row r="2336" spans="2:13" x14ac:dyDescent="0.25">
      <c r="B2336" s="134"/>
      <c r="C2336" s="41"/>
      <c r="D2336" s="136"/>
      <c r="E2336" s="137"/>
      <c r="F2336" s="138"/>
      <c r="G2336" s="1" t="str">
        <f>IFERROR(IF(ventas_b_mes1255[[#This Row],[CUIT]]="","-",VLOOKUP(ventas_b_mes1255[[#This Row],[CUIT]],Lista_CUIT[#All],2,0)),"CUIT NO CARGADO")</f>
        <v>-</v>
      </c>
      <c r="H2336" s="99">
        <f>ventas_b_mes1255[[#This Row],[TOTAL]]/1.21</f>
        <v>0</v>
      </c>
      <c r="I2336" s="64">
        <f>ventas_b_mes1255[[#This Row],[IMPORTE NETO]]*0.21</f>
        <v>0</v>
      </c>
      <c r="J2336" s="140"/>
      <c r="K2336" s="140"/>
      <c r="L2336" s="140"/>
      <c r="M2336" s="59"/>
    </row>
    <row r="2337" spans="2:13" x14ac:dyDescent="0.25">
      <c r="B2337" s="134"/>
      <c r="C2337" s="41"/>
      <c r="D2337" s="136"/>
      <c r="E2337" s="137"/>
      <c r="F2337" s="138"/>
      <c r="G2337" s="1" t="str">
        <f>IFERROR(IF(ventas_b_mes1255[[#This Row],[CUIT]]="","-",VLOOKUP(ventas_b_mes1255[[#This Row],[CUIT]],Lista_CUIT[#All],2,0)),"CUIT NO CARGADO")</f>
        <v>-</v>
      </c>
      <c r="H2337" s="99">
        <f>ventas_b_mes1255[[#This Row],[TOTAL]]/1.21</f>
        <v>0</v>
      </c>
      <c r="I2337" s="64">
        <f>ventas_b_mes1255[[#This Row],[IMPORTE NETO]]*0.21</f>
        <v>0</v>
      </c>
      <c r="J2337" s="140"/>
      <c r="K2337" s="140"/>
      <c r="L2337" s="140"/>
      <c r="M2337" s="59"/>
    </row>
    <row r="2338" spans="2:13" x14ac:dyDescent="0.25">
      <c r="B2338" s="134"/>
      <c r="C2338" s="41"/>
      <c r="D2338" s="136"/>
      <c r="E2338" s="137"/>
      <c r="F2338" s="138"/>
      <c r="G2338" s="1" t="str">
        <f>IFERROR(IF(ventas_b_mes1255[[#This Row],[CUIT]]="","-",VLOOKUP(ventas_b_mes1255[[#This Row],[CUIT]],Lista_CUIT[#All],2,0)),"CUIT NO CARGADO")</f>
        <v>-</v>
      </c>
      <c r="H2338" s="99">
        <f>ventas_b_mes1255[[#This Row],[TOTAL]]/1.21</f>
        <v>0</v>
      </c>
      <c r="I2338" s="64">
        <f>ventas_b_mes1255[[#This Row],[IMPORTE NETO]]*0.21</f>
        <v>0</v>
      </c>
      <c r="J2338" s="140"/>
      <c r="K2338" s="140"/>
      <c r="L2338" s="140"/>
      <c r="M2338" s="59"/>
    </row>
    <row r="2339" spans="2:13" x14ac:dyDescent="0.25">
      <c r="B2339" s="134"/>
      <c r="C2339" s="41"/>
      <c r="D2339" s="136"/>
      <c r="E2339" s="137"/>
      <c r="F2339" s="138"/>
      <c r="G2339" s="1" t="str">
        <f>IFERROR(IF(ventas_b_mes1255[[#This Row],[CUIT]]="","-",VLOOKUP(ventas_b_mes1255[[#This Row],[CUIT]],Lista_CUIT[#All],2,0)),"CUIT NO CARGADO")</f>
        <v>-</v>
      </c>
      <c r="H2339" s="99">
        <f>ventas_b_mes1255[[#This Row],[TOTAL]]/1.21</f>
        <v>0</v>
      </c>
      <c r="I2339" s="64">
        <f>ventas_b_mes1255[[#This Row],[IMPORTE NETO]]*0.21</f>
        <v>0</v>
      </c>
      <c r="J2339" s="140"/>
      <c r="K2339" s="140"/>
      <c r="L2339" s="140"/>
      <c r="M2339" s="59"/>
    </row>
    <row r="2340" spans="2:13" x14ac:dyDescent="0.25">
      <c r="B2340" s="134"/>
      <c r="C2340" s="41"/>
      <c r="D2340" s="136"/>
      <c r="E2340" s="137"/>
      <c r="F2340" s="138"/>
      <c r="G2340" s="1" t="str">
        <f>IFERROR(IF(ventas_b_mes1255[[#This Row],[CUIT]]="","-",VLOOKUP(ventas_b_mes1255[[#This Row],[CUIT]],Lista_CUIT[#All],2,0)),"CUIT NO CARGADO")</f>
        <v>-</v>
      </c>
      <c r="H2340" s="99">
        <f>ventas_b_mes1255[[#This Row],[TOTAL]]/1.21</f>
        <v>0</v>
      </c>
      <c r="I2340" s="64">
        <f>ventas_b_mes1255[[#This Row],[IMPORTE NETO]]*0.21</f>
        <v>0</v>
      </c>
      <c r="J2340" s="140"/>
      <c r="K2340" s="140"/>
      <c r="L2340" s="140"/>
      <c r="M2340" s="59"/>
    </row>
    <row r="2341" spans="2:13" x14ac:dyDescent="0.25">
      <c r="B2341" s="134"/>
      <c r="C2341" s="41"/>
      <c r="D2341" s="136"/>
      <c r="E2341" s="137"/>
      <c r="F2341" s="138"/>
      <c r="G2341" s="1" t="str">
        <f>IFERROR(IF(ventas_b_mes1255[[#This Row],[CUIT]]="","-",VLOOKUP(ventas_b_mes1255[[#This Row],[CUIT]],Lista_CUIT[#All],2,0)),"CUIT NO CARGADO")</f>
        <v>-</v>
      </c>
      <c r="H2341" s="99">
        <f>ventas_b_mes1255[[#This Row],[TOTAL]]/1.21</f>
        <v>0</v>
      </c>
      <c r="I2341" s="64">
        <f>ventas_b_mes1255[[#This Row],[IMPORTE NETO]]*0.21</f>
        <v>0</v>
      </c>
      <c r="J2341" s="140"/>
      <c r="K2341" s="140"/>
      <c r="L2341" s="140"/>
      <c r="M2341" s="59"/>
    </row>
    <row r="2342" spans="2:13" x14ac:dyDescent="0.25">
      <c r="B2342" s="134"/>
      <c r="C2342" s="41"/>
      <c r="D2342" s="136"/>
      <c r="E2342" s="137"/>
      <c r="F2342" s="138"/>
      <c r="G2342" s="1" t="str">
        <f>IFERROR(IF(ventas_b_mes1255[[#This Row],[CUIT]]="","-",VLOOKUP(ventas_b_mes1255[[#This Row],[CUIT]],Lista_CUIT[#All],2,0)),"CUIT NO CARGADO")</f>
        <v>-</v>
      </c>
      <c r="H2342" s="99">
        <f>ventas_b_mes1255[[#This Row],[TOTAL]]/1.21</f>
        <v>0</v>
      </c>
      <c r="I2342" s="64">
        <f>ventas_b_mes1255[[#This Row],[IMPORTE NETO]]*0.21</f>
        <v>0</v>
      </c>
      <c r="J2342" s="140"/>
      <c r="K2342" s="140"/>
      <c r="L2342" s="140"/>
      <c r="M2342" s="59"/>
    </row>
    <row r="2343" spans="2:13" x14ac:dyDescent="0.25">
      <c r="B2343" s="134"/>
      <c r="C2343" s="41"/>
      <c r="D2343" s="136"/>
      <c r="E2343" s="137"/>
      <c r="F2343" s="138"/>
      <c r="G2343" s="1" t="str">
        <f>IFERROR(IF(ventas_b_mes1255[[#This Row],[CUIT]]="","-",VLOOKUP(ventas_b_mes1255[[#This Row],[CUIT]],Lista_CUIT[#All],2,0)),"CUIT NO CARGADO")</f>
        <v>-</v>
      </c>
      <c r="H2343" s="99">
        <f>ventas_b_mes1255[[#This Row],[TOTAL]]/1.21</f>
        <v>0</v>
      </c>
      <c r="I2343" s="64">
        <f>ventas_b_mes1255[[#This Row],[IMPORTE NETO]]*0.21</f>
        <v>0</v>
      </c>
      <c r="J2343" s="140"/>
      <c r="K2343" s="140"/>
      <c r="L2343" s="140"/>
      <c r="M2343" s="59"/>
    </row>
    <row r="2344" spans="2:13" x14ac:dyDescent="0.25">
      <c r="B2344" s="134"/>
      <c r="C2344" s="41"/>
      <c r="D2344" s="136"/>
      <c r="E2344" s="137"/>
      <c r="F2344" s="138"/>
      <c r="G2344" s="1" t="str">
        <f>IFERROR(IF(ventas_b_mes1255[[#This Row],[CUIT]]="","-",VLOOKUP(ventas_b_mes1255[[#This Row],[CUIT]],Lista_CUIT[#All],2,0)),"CUIT NO CARGADO")</f>
        <v>-</v>
      </c>
      <c r="H2344" s="99">
        <f>ventas_b_mes1255[[#This Row],[TOTAL]]/1.21</f>
        <v>0</v>
      </c>
      <c r="I2344" s="64">
        <f>ventas_b_mes1255[[#This Row],[IMPORTE NETO]]*0.21</f>
        <v>0</v>
      </c>
      <c r="J2344" s="140"/>
      <c r="K2344" s="140"/>
      <c r="L2344" s="140"/>
      <c r="M2344" s="59"/>
    </row>
    <row r="2345" spans="2:13" x14ac:dyDescent="0.25">
      <c r="B2345" s="134"/>
      <c r="C2345" s="41"/>
      <c r="D2345" s="136"/>
      <c r="E2345" s="137"/>
      <c r="F2345" s="138"/>
      <c r="G2345" s="1" t="str">
        <f>IFERROR(IF(ventas_b_mes1255[[#This Row],[CUIT]]="","-",VLOOKUP(ventas_b_mes1255[[#This Row],[CUIT]],Lista_CUIT[#All],2,0)),"CUIT NO CARGADO")</f>
        <v>-</v>
      </c>
      <c r="H2345" s="99">
        <f>ventas_b_mes1255[[#This Row],[TOTAL]]/1.21</f>
        <v>0</v>
      </c>
      <c r="I2345" s="64">
        <f>ventas_b_mes1255[[#This Row],[IMPORTE NETO]]*0.21</f>
        <v>0</v>
      </c>
      <c r="J2345" s="140"/>
      <c r="K2345" s="140"/>
      <c r="L2345" s="140"/>
      <c r="M2345" s="59"/>
    </row>
    <row r="2346" spans="2:13" x14ac:dyDescent="0.25">
      <c r="B2346" s="134"/>
      <c r="C2346" s="41"/>
      <c r="D2346" s="136"/>
      <c r="E2346" s="137"/>
      <c r="F2346" s="138"/>
      <c r="G2346" s="1" t="str">
        <f>IFERROR(IF(ventas_b_mes1255[[#This Row],[CUIT]]="","-",VLOOKUP(ventas_b_mes1255[[#This Row],[CUIT]],Lista_CUIT[#All],2,0)),"CUIT NO CARGADO")</f>
        <v>-</v>
      </c>
      <c r="H2346" s="99">
        <f>ventas_b_mes1255[[#This Row],[TOTAL]]/1.21</f>
        <v>0</v>
      </c>
      <c r="I2346" s="64">
        <f>ventas_b_mes1255[[#This Row],[IMPORTE NETO]]*0.21</f>
        <v>0</v>
      </c>
      <c r="J2346" s="140"/>
      <c r="K2346" s="140"/>
      <c r="L2346" s="140"/>
      <c r="M2346" s="59"/>
    </row>
    <row r="2347" spans="2:13" x14ac:dyDescent="0.25">
      <c r="B2347" s="134"/>
      <c r="C2347" s="41"/>
      <c r="D2347" s="136"/>
      <c r="E2347" s="137"/>
      <c r="F2347" s="138"/>
      <c r="G2347" s="1" t="str">
        <f>IFERROR(IF(ventas_b_mes1255[[#This Row],[CUIT]]="","-",VLOOKUP(ventas_b_mes1255[[#This Row],[CUIT]],Lista_CUIT[#All],2,0)),"CUIT NO CARGADO")</f>
        <v>-</v>
      </c>
      <c r="H2347" s="99">
        <f>ventas_b_mes1255[[#This Row],[TOTAL]]/1.21</f>
        <v>0</v>
      </c>
      <c r="I2347" s="64">
        <f>ventas_b_mes1255[[#This Row],[IMPORTE NETO]]*0.21</f>
        <v>0</v>
      </c>
      <c r="J2347" s="140"/>
      <c r="K2347" s="140"/>
      <c r="L2347" s="140"/>
      <c r="M2347" s="59"/>
    </row>
    <row r="2348" spans="2:13" x14ac:dyDescent="0.25">
      <c r="B2348" s="134"/>
      <c r="C2348" s="41"/>
      <c r="D2348" s="136"/>
      <c r="E2348" s="137"/>
      <c r="F2348" s="138"/>
      <c r="G2348" s="1" t="str">
        <f>IFERROR(IF(ventas_b_mes1255[[#This Row],[CUIT]]="","-",VLOOKUP(ventas_b_mes1255[[#This Row],[CUIT]],Lista_CUIT[#All],2,0)),"CUIT NO CARGADO")</f>
        <v>-</v>
      </c>
      <c r="H2348" s="99">
        <f>ventas_b_mes1255[[#This Row],[TOTAL]]/1.21</f>
        <v>0</v>
      </c>
      <c r="I2348" s="64">
        <f>ventas_b_mes1255[[#This Row],[IMPORTE NETO]]*0.21</f>
        <v>0</v>
      </c>
      <c r="J2348" s="140"/>
      <c r="K2348" s="140"/>
      <c r="L2348" s="140"/>
      <c r="M2348" s="59"/>
    </row>
    <row r="2349" spans="2:13" x14ac:dyDescent="0.25">
      <c r="B2349" s="134"/>
      <c r="C2349" s="41"/>
      <c r="D2349" s="136"/>
      <c r="E2349" s="137"/>
      <c r="F2349" s="138"/>
      <c r="G2349" s="1" t="str">
        <f>IFERROR(IF(ventas_b_mes1255[[#This Row],[CUIT]]="","-",VLOOKUP(ventas_b_mes1255[[#This Row],[CUIT]],Lista_CUIT[#All],2,0)),"CUIT NO CARGADO")</f>
        <v>-</v>
      </c>
      <c r="H2349" s="99">
        <f>ventas_b_mes1255[[#This Row],[TOTAL]]/1.21</f>
        <v>0</v>
      </c>
      <c r="I2349" s="64">
        <f>ventas_b_mes1255[[#This Row],[IMPORTE NETO]]*0.21</f>
        <v>0</v>
      </c>
      <c r="J2349" s="140"/>
      <c r="K2349" s="140"/>
      <c r="L2349" s="140"/>
      <c r="M2349" s="59"/>
    </row>
    <row r="2350" spans="2:13" x14ac:dyDescent="0.25">
      <c r="B2350" s="134"/>
      <c r="C2350" s="41"/>
      <c r="D2350" s="136"/>
      <c r="E2350" s="137"/>
      <c r="F2350" s="138"/>
      <c r="G2350" s="1" t="str">
        <f>IFERROR(IF(ventas_b_mes1255[[#This Row],[CUIT]]="","-",VLOOKUP(ventas_b_mes1255[[#This Row],[CUIT]],Lista_CUIT[#All],2,0)),"CUIT NO CARGADO")</f>
        <v>-</v>
      </c>
      <c r="H2350" s="99">
        <f>ventas_b_mes1255[[#This Row],[TOTAL]]/1.21</f>
        <v>0</v>
      </c>
      <c r="I2350" s="64">
        <f>ventas_b_mes1255[[#This Row],[IMPORTE NETO]]*0.21</f>
        <v>0</v>
      </c>
      <c r="J2350" s="140"/>
      <c r="K2350" s="140"/>
      <c r="L2350" s="140"/>
      <c r="M2350" s="59"/>
    </row>
    <row r="2351" spans="2:13" x14ac:dyDescent="0.25">
      <c r="B2351" s="134"/>
      <c r="C2351" s="41"/>
      <c r="D2351" s="136"/>
      <c r="E2351" s="137"/>
      <c r="F2351" s="138"/>
      <c r="G2351" s="1" t="str">
        <f>IFERROR(IF(ventas_b_mes1255[[#This Row],[CUIT]]="","-",VLOOKUP(ventas_b_mes1255[[#This Row],[CUIT]],Lista_CUIT[#All],2,0)),"CUIT NO CARGADO")</f>
        <v>-</v>
      </c>
      <c r="H2351" s="99">
        <f>ventas_b_mes1255[[#This Row],[TOTAL]]/1.21</f>
        <v>0</v>
      </c>
      <c r="I2351" s="64">
        <f>ventas_b_mes1255[[#This Row],[IMPORTE NETO]]*0.21</f>
        <v>0</v>
      </c>
      <c r="J2351" s="140"/>
      <c r="K2351" s="140"/>
      <c r="L2351" s="140"/>
      <c r="M2351" s="59"/>
    </row>
    <row r="2352" spans="2:13" x14ac:dyDescent="0.25">
      <c r="B2352" s="134"/>
      <c r="C2352" s="41"/>
      <c r="D2352" s="136"/>
      <c r="E2352" s="137"/>
      <c r="F2352" s="138"/>
      <c r="G2352" s="1" t="str">
        <f>IFERROR(IF(ventas_b_mes1255[[#This Row],[CUIT]]="","-",VLOOKUP(ventas_b_mes1255[[#This Row],[CUIT]],Lista_CUIT[#All],2,0)),"CUIT NO CARGADO")</f>
        <v>-</v>
      </c>
      <c r="H2352" s="99">
        <f>ventas_b_mes1255[[#This Row],[TOTAL]]/1.21</f>
        <v>0</v>
      </c>
      <c r="I2352" s="64">
        <f>ventas_b_mes1255[[#This Row],[IMPORTE NETO]]*0.21</f>
        <v>0</v>
      </c>
      <c r="J2352" s="140"/>
      <c r="K2352" s="140"/>
      <c r="L2352" s="140"/>
      <c r="M2352" s="59"/>
    </row>
    <row r="2353" spans="2:13" x14ac:dyDescent="0.25">
      <c r="B2353" s="134"/>
      <c r="C2353" s="41"/>
      <c r="D2353" s="136"/>
      <c r="E2353" s="137"/>
      <c r="F2353" s="138"/>
      <c r="G2353" s="1" t="str">
        <f>IFERROR(IF(ventas_b_mes1255[[#This Row],[CUIT]]="","-",VLOOKUP(ventas_b_mes1255[[#This Row],[CUIT]],Lista_CUIT[#All],2,0)),"CUIT NO CARGADO")</f>
        <v>-</v>
      </c>
      <c r="H2353" s="99">
        <f>ventas_b_mes1255[[#This Row],[TOTAL]]/1.21</f>
        <v>0</v>
      </c>
      <c r="I2353" s="64">
        <f>ventas_b_mes1255[[#This Row],[IMPORTE NETO]]*0.21</f>
        <v>0</v>
      </c>
      <c r="J2353" s="140"/>
      <c r="K2353" s="140"/>
      <c r="L2353" s="140"/>
      <c r="M2353" s="59"/>
    </row>
    <row r="2354" spans="2:13" x14ac:dyDescent="0.25">
      <c r="B2354" s="134"/>
      <c r="C2354" s="41"/>
      <c r="D2354" s="136"/>
      <c r="E2354" s="137"/>
      <c r="F2354" s="138"/>
      <c r="G2354" s="1" t="str">
        <f>IFERROR(IF(ventas_b_mes1255[[#This Row],[CUIT]]="","-",VLOOKUP(ventas_b_mes1255[[#This Row],[CUIT]],Lista_CUIT[#All],2,0)),"CUIT NO CARGADO")</f>
        <v>-</v>
      </c>
      <c r="H2354" s="99">
        <f>ventas_b_mes1255[[#This Row],[TOTAL]]/1.21</f>
        <v>0</v>
      </c>
      <c r="I2354" s="64">
        <f>ventas_b_mes1255[[#This Row],[IMPORTE NETO]]*0.21</f>
        <v>0</v>
      </c>
      <c r="J2354" s="140"/>
      <c r="K2354" s="140"/>
      <c r="L2354" s="140"/>
      <c r="M2354" s="59"/>
    </row>
    <row r="2355" spans="2:13" x14ac:dyDescent="0.25">
      <c r="B2355" s="134"/>
      <c r="C2355" s="41"/>
      <c r="D2355" s="136"/>
      <c r="E2355" s="137"/>
      <c r="F2355" s="138"/>
      <c r="G2355" s="1" t="str">
        <f>IFERROR(IF(ventas_b_mes1255[[#This Row],[CUIT]]="","-",VLOOKUP(ventas_b_mes1255[[#This Row],[CUIT]],Lista_CUIT[#All],2,0)),"CUIT NO CARGADO")</f>
        <v>-</v>
      </c>
      <c r="H2355" s="99">
        <f>ventas_b_mes1255[[#This Row],[TOTAL]]/1.21</f>
        <v>0</v>
      </c>
      <c r="I2355" s="64">
        <f>ventas_b_mes1255[[#This Row],[IMPORTE NETO]]*0.21</f>
        <v>0</v>
      </c>
      <c r="J2355" s="140"/>
      <c r="K2355" s="140"/>
      <c r="L2355" s="140"/>
      <c r="M2355" s="59"/>
    </row>
    <row r="2356" spans="2:13" x14ac:dyDescent="0.25">
      <c r="B2356" s="134"/>
      <c r="C2356" s="41"/>
      <c r="D2356" s="136"/>
      <c r="E2356" s="137"/>
      <c r="F2356" s="138"/>
      <c r="G2356" s="1" t="str">
        <f>IFERROR(IF(ventas_b_mes1255[[#This Row],[CUIT]]="","-",VLOOKUP(ventas_b_mes1255[[#This Row],[CUIT]],Lista_CUIT[#All],2,0)),"CUIT NO CARGADO")</f>
        <v>-</v>
      </c>
      <c r="H2356" s="99">
        <f>ventas_b_mes1255[[#This Row],[TOTAL]]/1.21</f>
        <v>0</v>
      </c>
      <c r="I2356" s="64">
        <f>ventas_b_mes1255[[#This Row],[IMPORTE NETO]]*0.21</f>
        <v>0</v>
      </c>
      <c r="J2356" s="140"/>
      <c r="K2356" s="140"/>
      <c r="L2356" s="140"/>
      <c r="M2356" s="59"/>
    </row>
    <row r="2357" spans="2:13" x14ac:dyDescent="0.25">
      <c r="B2357" s="134"/>
      <c r="C2357" s="41"/>
      <c r="D2357" s="136"/>
      <c r="E2357" s="137"/>
      <c r="F2357" s="138"/>
      <c r="G2357" s="1" t="str">
        <f>IFERROR(IF(ventas_b_mes1255[[#This Row],[CUIT]]="","-",VLOOKUP(ventas_b_mes1255[[#This Row],[CUIT]],Lista_CUIT[#All],2,0)),"CUIT NO CARGADO")</f>
        <v>-</v>
      </c>
      <c r="H2357" s="99">
        <f>ventas_b_mes1255[[#This Row],[TOTAL]]/1.21</f>
        <v>0</v>
      </c>
      <c r="I2357" s="64">
        <f>ventas_b_mes1255[[#This Row],[IMPORTE NETO]]*0.21</f>
        <v>0</v>
      </c>
      <c r="J2357" s="140"/>
      <c r="K2357" s="140"/>
      <c r="L2357" s="140"/>
      <c r="M2357" s="59"/>
    </row>
    <row r="2358" spans="2:13" x14ac:dyDescent="0.25">
      <c r="B2358" s="134"/>
      <c r="C2358" s="41"/>
      <c r="D2358" s="136"/>
      <c r="E2358" s="137"/>
      <c r="F2358" s="138"/>
      <c r="G2358" s="1" t="str">
        <f>IFERROR(IF(ventas_b_mes1255[[#This Row],[CUIT]]="","-",VLOOKUP(ventas_b_mes1255[[#This Row],[CUIT]],Lista_CUIT[#All],2,0)),"CUIT NO CARGADO")</f>
        <v>-</v>
      </c>
      <c r="H2358" s="99">
        <f>ventas_b_mes1255[[#This Row],[TOTAL]]/1.21</f>
        <v>0</v>
      </c>
      <c r="I2358" s="64">
        <f>ventas_b_mes1255[[#This Row],[IMPORTE NETO]]*0.21</f>
        <v>0</v>
      </c>
      <c r="J2358" s="140"/>
      <c r="K2358" s="140"/>
      <c r="L2358" s="140"/>
      <c r="M2358" s="59"/>
    </row>
    <row r="2359" spans="2:13" x14ac:dyDescent="0.25">
      <c r="B2359" s="134"/>
      <c r="C2359" s="41"/>
      <c r="D2359" s="136"/>
      <c r="E2359" s="137"/>
      <c r="F2359" s="138"/>
      <c r="G2359" s="1" t="str">
        <f>IFERROR(IF(ventas_b_mes1255[[#This Row],[CUIT]]="","-",VLOOKUP(ventas_b_mes1255[[#This Row],[CUIT]],Lista_CUIT[#All],2,0)),"CUIT NO CARGADO")</f>
        <v>-</v>
      </c>
      <c r="H2359" s="99">
        <f>ventas_b_mes1255[[#This Row],[TOTAL]]/1.21</f>
        <v>0</v>
      </c>
      <c r="I2359" s="64">
        <f>ventas_b_mes1255[[#This Row],[IMPORTE NETO]]*0.21</f>
        <v>0</v>
      </c>
      <c r="J2359" s="140"/>
      <c r="K2359" s="140"/>
      <c r="L2359" s="140"/>
      <c r="M2359" s="59"/>
    </row>
    <row r="2360" spans="2:13" x14ac:dyDescent="0.25">
      <c r="B2360" s="134"/>
      <c r="C2360" s="41"/>
      <c r="D2360" s="136"/>
      <c r="E2360" s="137"/>
      <c r="F2360" s="138"/>
      <c r="G2360" s="1" t="str">
        <f>IFERROR(IF(ventas_b_mes1255[[#This Row],[CUIT]]="","-",VLOOKUP(ventas_b_mes1255[[#This Row],[CUIT]],Lista_CUIT[#All],2,0)),"CUIT NO CARGADO")</f>
        <v>-</v>
      </c>
      <c r="H2360" s="99">
        <f>ventas_b_mes1255[[#This Row],[TOTAL]]/1.21</f>
        <v>0</v>
      </c>
      <c r="I2360" s="64">
        <f>ventas_b_mes1255[[#This Row],[IMPORTE NETO]]*0.21</f>
        <v>0</v>
      </c>
      <c r="J2360" s="140"/>
      <c r="K2360" s="140"/>
      <c r="L2360" s="140"/>
      <c r="M2360" s="59"/>
    </row>
    <row r="2361" spans="2:13" x14ac:dyDescent="0.25">
      <c r="B2361" s="134"/>
      <c r="C2361" s="41"/>
      <c r="D2361" s="136"/>
      <c r="E2361" s="137"/>
      <c r="F2361" s="138"/>
      <c r="G2361" s="1" t="str">
        <f>IFERROR(IF(ventas_b_mes1255[[#This Row],[CUIT]]="","-",VLOOKUP(ventas_b_mes1255[[#This Row],[CUIT]],Lista_CUIT[#All],2,0)),"CUIT NO CARGADO")</f>
        <v>-</v>
      </c>
      <c r="H2361" s="99">
        <f>ventas_b_mes1255[[#This Row],[TOTAL]]/1.21</f>
        <v>0</v>
      </c>
      <c r="I2361" s="64">
        <f>ventas_b_mes1255[[#This Row],[IMPORTE NETO]]*0.21</f>
        <v>0</v>
      </c>
      <c r="J2361" s="140"/>
      <c r="K2361" s="140"/>
      <c r="L2361" s="140"/>
      <c r="M2361" s="59"/>
    </row>
    <row r="2362" spans="2:13" x14ac:dyDescent="0.25">
      <c r="B2362" s="134"/>
      <c r="C2362" s="41"/>
      <c r="D2362" s="136"/>
      <c r="E2362" s="137"/>
      <c r="F2362" s="138"/>
      <c r="G2362" s="1" t="str">
        <f>IFERROR(IF(ventas_b_mes1255[[#This Row],[CUIT]]="","-",VLOOKUP(ventas_b_mes1255[[#This Row],[CUIT]],Lista_CUIT[#All],2,0)),"CUIT NO CARGADO")</f>
        <v>-</v>
      </c>
      <c r="H2362" s="99">
        <f>ventas_b_mes1255[[#This Row],[TOTAL]]/1.21</f>
        <v>0</v>
      </c>
      <c r="I2362" s="64">
        <f>ventas_b_mes1255[[#This Row],[IMPORTE NETO]]*0.21</f>
        <v>0</v>
      </c>
      <c r="J2362" s="140"/>
      <c r="K2362" s="140"/>
      <c r="L2362" s="140"/>
      <c r="M2362" s="59"/>
    </row>
    <row r="2363" spans="2:13" x14ac:dyDescent="0.25">
      <c r="B2363" s="134"/>
      <c r="C2363" s="41"/>
      <c r="D2363" s="136"/>
      <c r="E2363" s="137"/>
      <c r="F2363" s="138"/>
      <c r="G2363" s="1" t="str">
        <f>IFERROR(IF(ventas_b_mes1255[[#This Row],[CUIT]]="","-",VLOOKUP(ventas_b_mes1255[[#This Row],[CUIT]],Lista_CUIT[#All],2,0)),"CUIT NO CARGADO")</f>
        <v>-</v>
      </c>
      <c r="H2363" s="99">
        <f>ventas_b_mes1255[[#This Row],[TOTAL]]/1.21</f>
        <v>0</v>
      </c>
      <c r="I2363" s="64">
        <f>ventas_b_mes1255[[#This Row],[IMPORTE NETO]]*0.21</f>
        <v>0</v>
      </c>
      <c r="J2363" s="140"/>
      <c r="K2363" s="140"/>
      <c r="L2363" s="140"/>
      <c r="M2363" s="59"/>
    </row>
    <row r="2364" spans="2:13" x14ac:dyDescent="0.25">
      <c r="B2364" s="134"/>
      <c r="C2364" s="41"/>
      <c r="D2364" s="136"/>
      <c r="E2364" s="137"/>
      <c r="F2364" s="138"/>
      <c r="G2364" s="1" t="str">
        <f>IFERROR(IF(ventas_b_mes1255[[#This Row],[CUIT]]="","-",VLOOKUP(ventas_b_mes1255[[#This Row],[CUIT]],Lista_CUIT[#All],2,0)),"CUIT NO CARGADO")</f>
        <v>-</v>
      </c>
      <c r="H2364" s="99">
        <f>ventas_b_mes1255[[#This Row],[TOTAL]]/1.21</f>
        <v>0</v>
      </c>
      <c r="I2364" s="64">
        <f>ventas_b_mes1255[[#This Row],[IMPORTE NETO]]*0.21</f>
        <v>0</v>
      </c>
      <c r="J2364" s="140"/>
      <c r="K2364" s="140"/>
      <c r="L2364" s="140"/>
      <c r="M2364" s="59"/>
    </row>
    <row r="2365" spans="2:13" x14ac:dyDescent="0.25">
      <c r="B2365" s="134"/>
      <c r="C2365" s="41"/>
      <c r="D2365" s="136"/>
      <c r="E2365" s="137"/>
      <c r="F2365" s="138"/>
      <c r="G2365" s="1" t="str">
        <f>IFERROR(IF(ventas_b_mes1255[[#This Row],[CUIT]]="","-",VLOOKUP(ventas_b_mes1255[[#This Row],[CUIT]],Lista_CUIT[#All],2,0)),"CUIT NO CARGADO")</f>
        <v>-</v>
      </c>
      <c r="H2365" s="99">
        <f>ventas_b_mes1255[[#This Row],[TOTAL]]/1.21</f>
        <v>0</v>
      </c>
      <c r="I2365" s="64">
        <f>ventas_b_mes1255[[#This Row],[IMPORTE NETO]]*0.21</f>
        <v>0</v>
      </c>
      <c r="J2365" s="140"/>
      <c r="K2365" s="140"/>
      <c r="L2365" s="140"/>
      <c r="M2365" s="59"/>
    </row>
    <row r="2366" spans="2:13" x14ac:dyDescent="0.25">
      <c r="B2366" s="134"/>
      <c r="C2366" s="41"/>
      <c r="D2366" s="136"/>
      <c r="E2366" s="137"/>
      <c r="F2366" s="138"/>
      <c r="G2366" s="1" t="str">
        <f>IFERROR(IF(ventas_b_mes1255[[#This Row],[CUIT]]="","-",VLOOKUP(ventas_b_mes1255[[#This Row],[CUIT]],Lista_CUIT[#All],2,0)),"CUIT NO CARGADO")</f>
        <v>-</v>
      </c>
      <c r="H2366" s="99">
        <f>ventas_b_mes1255[[#This Row],[TOTAL]]/1.21</f>
        <v>0</v>
      </c>
      <c r="I2366" s="64">
        <f>ventas_b_mes1255[[#This Row],[IMPORTE NETO]]*0.21</f>
        <v>0</v>
      </c>
      <c r="J2366" s="140"/>
      <c r="K2366" s="140"/>
      <c r="L2366" s="140"/>
      <c r="M2366" s="59"/>
    </row>
    <row r="2367" spans="2:13" x14ac:dyDescent="0.25">
      <c r="B2367" s="134"/>
      <c r="C2367" s="41"/>
      <c r="D2367" s="136"/>
      <c r="E2367" s="137"/>
      <c r="F2367" s="138"/>
      <c r="G2367" s="1" t="str">
        <f>IFERROR(IF(ventas_b_mes1255[[#This Row],[CUIT]]="","-",VLOOKUP(ventas_b_mes1255[[#This Row],[CUIT]],Lista_CUIT[#All],2,0)),"CUIT NO CARGADO")</f>
        <v>-</v>
      </c>
      <c r="H2367" s="99">
        <f>ventas_b_mes1255[[#This Row],[TOTAL]]/1.21</f>
        <v>0</v>
      </c>
      <c r="I2367" s="64">
        <f>ventas_b_mes1255[[#This Row],[IMPORTE NETO]]*0.21</f>
        <v>0</v>
      </c>
      <c r="J2367" s="140"/>
      <c r="K2367" s="140"/>
      <c r="L2367" s="140"/>
      <c r="M2367" s="59"/>
    </row>
    <row r="2368" spans="2:13" x14ac:dyDescent="0.25">
      <c r="B2368" s="134"/>
      <c r="C2368" s="41"/>
      <c r="D2368" s="136"/>
      <c r="E2368" s="137"/>
      <c r="F2368" s="138"/>
      <c r="G2368" s="1" t="str">
        <f>IFERROR(IF(ventas_b_mes1255[[#This Row],[CUIT]]="","-",VLOOKUP(ventas_b_mes1255[[#This Row],[CUIT]],Lista_CUIT[#All],2,0)),"CUIT NO CARGADO")</f>
        <v>-</v>
      </c>
      <c r="H2368" s="99">
        <f>ventas_b_mes1255[[#This Row],[TOTAL]]/1.21</f>
        <v>0</v>
      </c>
      <c r="I2368" s="64">
        <f>ventas_b_mes1255[[#This Row],[IMPORTE NETO]]*0.21</f>
        <v>0</v>
      </c>
      <c r="J2368" s="140"/>
      <c r="K2368" s="140"/>
      <c r="L2368" s="140"/>
      <c r="M2368" s="59"/>
    </row>
    <row r="2369" spans="2:13" x14ac:dyDescent="0.25">
      <c r="B2369" s="134"/>
      <c r="C2369" s="41"/>
      <c r="D2369" s="136"/>
      <c r="E2369" s="137"/>
      <c r="F2369" s="138"/>
      <c r="G2369" s="1" t="str">
        <f>IFERROR(IF(ventas_b_mes1255[[#This Row],[CUIT]]="","-",VLOOKUP(ventas_b_mes1255[[#This Row],[CUIT]],Lista_CUIT[#All],2,0)),"CUIT NO CARGADO")</f>
        <v>-</v>
      </c>
      <c r="H2369" s="99">
        <f>ventas_b_mes1255[[#This Row],[TOTAL]]/1.21</f>
        <v>0</v>
      </c>
      <c r="I2369" s="64">
        <f>ventas_b_mes1255[[#This Row],[IMPORTE NETO]]*0.21</f>
        <v>0</v>
      </c>
      <c r="J2369" s="140"/>
      <c r="K2369" s="140"/>
      <c r="L2369" s="140"/>
      <c r="M2369" s="59"/>
    </row>
    <row r="2370" spans="2:13" x14ac:dyDescent="0.25">
      <c r="B2370" s="134"/>
      <c r="C2370" s="41"/>
      <c r="D2370" s="136"/>
      <c r="E2370" s="137"/>
      <c r="F2370" s="138"/>
      <c r="G2370" s="1" t="str">
        <f>IFERROR(IF(ventas_b_mes1255[[#This Row],[CUIT]]="","-",VLOOKUP(ventas_b_mes1255[[#This Row],[CUIT]],Lista_CUIT[#All],2,0)),"CUIT NO CARGADO")</f>
        <v>-</v>
      </c>
      <c r="H2370" s="99">
        <f>ventas_b_mes1255[[#This Row],[TOTAL]]/1.21</f>
        <v>0</v>
      </c>
      <c r="I2370" s="64">
        <f>ventas_b_mes1255[[#This Row],[IMPORTE NETO]]*0.21</f>
        <v>0</v>
      </c>
      <c r="J2370" s="140"/>
      <c r="K2370" s="140"/>
      <c r="L2370" s="140"/>
      <c r="M2370" s="59"/>
    </row>
    <row r="2371" spans="2:13" x14ac:dyDescent="0.25">
      <c r="B2371" s="134"/>
      <c r="C2371" s="41"/>
      <c r="D2371" s="136"/>
      <c r="E2371" s="137"/>
      <c r="F2371" s="138"/>
      <c r="G2371" s="1" t="str">
        <f>IFERROR(IF(ventas_b_mes1255[[#This Row],[CUIT]]="","-",VLOOKUP(ventas_b_mes1255[[#This Row],[CUIT]],Lista_CUIT[#All],2,0)),"CUIT NO CARGADO")</f>
        <v>-</v>
      </c>
      <c r="H2371" s="99">
        <f>ventas_b_mes1255[[#This Row],[TOTAL]]/1.21</f>
        <v>0</v>
      </c>
      <c r="I2371" s="64">
        <f>ventas_b_mes1255[[#This Row],[IMPORTE NETO]]*0.21</f>
        <v>0</v>
      </c>
      <c r="J2371" s="140"/>
      <c r="K2371" s="140"/>
      <c r="L2371" s="140"/>
      <c r="M2371" s="59"/>
    </row>
    <row r="2372" spans="2:13" x14ac:dyDescent="0.25">
      <c r="B2372" s="134"/>
      <c r="C2372" s="41"/>
      <c r="D2372" s="136"/>
      <c r="E2372" s="137"/>
      <c r="F2372" s="138"/>
      <c r="G2372" s="1" t="str">
        <f>IFERROR(IF(ventas_b_mes1255[[#This Row],[CUIT]]="","-",VLOOKUP(ventas_b_mes1255[[#This Row],[CUIT]],Lista_CUIT[#All],2,0)),"CUIT NO CARGADO")</f>
        <v>-</v>
      </c>
      <c r="H2372" s="99">
        <f>ventas_b_mes1255[[#This Row],[TOTAL]]/1.21</f>
        <v>0</v>
      </c>
      <c r="I2372" s="64">
        <f>ventas_b_mes1255[[#This Row],[IMPORTE NETO]]*0.21</f>
        <v>0</v>
      </c>
      <c r="J2372" s="140"/>
      <c r="K2372" s="140"/>
      <c r="L2372" s="140"/>
      <c r="M2372" s="59"/>
    </row>
    <row r="2373" spans="2:13" x14ac:dyDescent="0.25">
      <c r="B2373" s="134"/>
      <c r="C2373" s="41"/>
      <c r="D2373" s="136"/>
      <c r="E2373" s="137"/>
      <c r="F2373" s="138"/>
      <c r="G2373" s="1" t="str">
        <f>IFERROR(IF(ventas_b_mes1255[[#This Row],[CUIT]]="","-",VLOOKUP(ventas_b_mes1255[[#This Row],[CUIT]],Lista_CUIT[#All],2,0)),"CUIT NO CARGADO")</f>
        <v>-</v>
      </c>
      <c r="H2373" s="99">
        <f>ventas_b_mes1255[[#This Row],[TOTAL]]/1.21</f>
        <v>0</v>
      </c>
      <c r="I2373" s="64">
        <f>ventas_b_mes1255[[#This Row],[IMPORTE NETO]]*0.21</f>
        <v>0</v>
      </c>
      <c r="J2373" s="140"/>
      <c r="K2373" s="140"/>
      <c r="L2373" s="140"/>
      <c r="M2373" s="59"/>
    </row>
    <row r="2374" spans="2:13" x14ac:dyDescent="0.25">
      <c r="B2374" s="134"/>
      <c r="C2374" s="41"/>
      <c r="D2374" s="136"/>
      <c r="E2374" s="137"/>
      <c r="F2374" s="138"/>
      <c r="G2374" s="1" t="str">
        <f>IFERROR(IF(ventas_b_mes1255[[#This Row],[CUIT]]="","-",VLOOKUP(ventas_b_mes1255[[#This Row],[CUIT]],Lista_CUIT[#All],2,0)),"CUIT NO CARGADO")</f>
        <v>-</v>
      </c>
      <c r="H2374" s="99">
        <f>ventas_b_mes1255[[#This Row],[TOTAL]]/1.21</f>
        <v>0</v>
      </c>
      <c r="I2374" s="64">
        <f>ventas_b_mes1255[[#This Row],[IMPORTE NETO]]*0.21</f>
        <v>0</v>
      </c>
      <c r="J2374" s="140"/>
      <c r="K2374" s="140"/>
      <c r="L2374" s="140"/>
      <c r="M2374" s="59"/>
    </row>
    <row r="2375" spans="2:13" x14ac:dyDescent="0.25">
      <c r="B2375" s="134"/>
      <c r="C2375" s="41"/>
      <c r="D2375" s="136"/>
      <c r="E2375" s="137"/>
      <c r="F2375" s="138"/>
      <c r="G2375" s="1" t="str">
        <f>IFERROR(IF(ventas_b_mes1255[[#This Row],[CUIT]]="","-",VLOOKUP(ventas_b_mes1255[[#This Row],[CUIT]],Lista_CUIT[#All],2,0)),"CUIT NO CARGADO")</f>
        <v>-</v>
      </c>
      <c r="H2375" s="99">
        <f>ventas_b_mes1255[[#This Row],[TOTAL]]/1.21</f>
        <v>0</v>
      </c>
      <c r="I2375" s="64">
        <f>ventas_b_mes1255[[#This Row],[IMPORTE NETO]]*0.21</f>
        <v>0</v>
      </c>
      <c r="J2375" s="140"/>
      <c r="K2375" s="140"/>
      <c r="L2375" s="140"/>
      <c r="M2375" s="59"/>
    </row>
    <row r="2376" spans="2:13" x14ac:dyDescent="0.25">
      <c r="B2376" s="134"/>
      <c r="C2376" s="41"/>
      <c r="D2376" s="136"/>
      <c r="E2376" s="137"/>
      <c r="F2376" s="138"/>
      <c r="G2376" s="1" t="str">
        <f>IFERROR(IF(ventas_b_mes1255[[#This Row],[CUIT]]="","-",VLOOKUP(ventas_b_mes1255[[#This Row],[CUIT]],Lista_CUIT[#All],2,0)),"CUIT NO CARGADO")</f>
        <v>-</v>
      </c>
      <c r="H2376" s="99">
        <f>ventas_b_mes1255[[#This Row],[TOTAL]]/1.21</f>
        <v>0</v>
      </c>
      <c r="I2376" s="64">
        <f>ventas_b_mes1255[[#This Row],[IMPORTE NETO]]*0.21</f>
        <v>0</v>
      </c>
      <c r="J2376" s="140"/>
      <c r="K2376" s="140"/>
      <c r="L2376" s="140"/>
      <c r="M2376" s="59"/>
    </row>
    <row r="2377" spans="2:13" x14ac:dyDescent="0.25">
      <c r="B2377" s="134"/>
      <c r="C2377" s="41"/>
      <c r="D2377" s="136"/>
      <c r="E2377" s="137"/>
      <c r="F2377" s="138"/>
      <c r="G2377" s="1" t="str">
        <f>IFERROR(IF(ventas_b_mes1255[[#This Row],[CUIT]]="","-",VLOOKUP(ventas_b_mes1255[[#This Row],[CUIT]],Lista_CUIT[#All],2,0)),"CUIT NO CARGADO")</f>
        <v>-</v>
      </c>
      <c r="H2377" s="99">
        <f>ventas_b_mes1255[[#This Row],[TOTAL]]/1.21</f>
        <v>0</v>
      </c>
      <c r="I2377" s="64">
        <f>ventas_b_mes1255[[#This Row],[IMPORTE NETO]]*0.21</f>
        <v>0</v>
      </c>
      <c r="J2377" s="140"/>
      <c r="K2377" s="140"/>
      <c r="L2377" s="140"/>
      <c r="M2377" s="59"/>
    </row>
    <row r="2378" spans="2:13" x14ac:dyDescent="0.25">
      <c r="B2378" s="134"/>
      <c r="C2378" s="41"/>
      <c r="D2378" s="136"/>
      <c r="E2378" s="137"/>
      <c r="F2378" s="138"/>
      <c r="G2378" s="1" t="str">
        <f>IFERROR(IF(ventas_b_mes1255[[#This Row],[CUIT]]="","-",VLOOKUP(ventas_b_mes1255[[#This Row],[CUIT]],Lista_CUIT[#All],2,0)),"CUIT NO CARGADO")</f>
        <v>-</v>
      </c>
      <c r="H2378" s="99">
        <f>ventas_b_mes1255[[#This Row],[TOTAL]]/1.21</f>
        <v>0</v>
      </c>
      <c r="I2378" s="64">
        <f>ventas_b_mes1255[[#This Row],[IMPORTE NETO]]*0.21</f>
        <v>0</v>
      </c>
      <c r="J2378" s="140"/>
      <c r="K2378" s="140"/>
      <c r="L2378" s="140"/>
      <c r="M2378" s="59"/>
    </row>
    <row r="2379" spans="2:13" x14ac:dyDescent="0.25">
      <c r="B2379" s="134"/>
      <c r="C2379" s="41"/>
      <c r="D2379" s="136"/>
      <c r="E2379" s="137"/>
      <c r="F2379" s="138"/>
      <c r="G2379" s="1" t="str">
        <f>IFERROR(IF(ventas_b_mes1255[[#This Row],[CUIT]]="","-",VLOOKUP(ventas_b_mes1255[[#This Row],[CUIT]],Lista_CUIT[#All],2,0)),"CUIT NO CARGADO")</f>
        <v>-</v>
      </c>
      <c r="H2379" s="99">
        <f>ventas_b_mes1255[[#This Row],[TOTAL]]/1.21</f>
        <v>0</v>
      </c>
      <c r="I2379" s="64">
        <f>ventas_b_mes1255[[#This Row],[IMPORTE NETO]]*0.21</f>
        <v>0</v>
      </c>
      <c r="J2379" s="140"/>
      <c r="K2379" s="140"/>
      <c r="L2379" s="140"/>
      <c r="M2379" s="59"/>
    </row>
    <row r="2380" spans="2:13" x14ac:dyDescent="0.25">
      <c r="B2380" s="134"/>
      <c r="C2380" s="41"/>
      <c r="D2380" s="136"/>
      <c r="E2380" s="137"/>
      <c r="F2380" s="138"/>
      <c r="G2380" s="1" t="str">
        <f>IFERROR(IF(ventas_b_mes1255[[#This Row],[CUIT]]="","-",VLOOKUP(ventas_b_mes1255[[#This Row],[CUIT]],Lista_CUIT[#All],2,0)),"CUIT NO CARGADO")</f>
        <v>-</v>
      </c>
      <c r="H2380" s="99">
        <f>ventas_b_mes1255[[#This Row],[TOTAL]]/1.21</f>
        <v>0</v>
      </c>
      <c r="I2380" s="64">
        <f>ventas_b_mes1255[[#This Row],[IMPORTE NETO]]*0.21</f>
        <v>0</v>
      </c>
      <c r="J2380" s="140"/>
      <c r="K2380" s="140"/>
      <c r="L2380" s="140"/>
      <c r="M2380" s="59"/>
    </row>
    <row r="2381" spans="2:13" x14ac:dyDescent="0.25">
      <c r="B2381" s="134"/>
      <c r="C2381" s="41"/>
      <c r="D2381" s="136"/>
      <c r="E2381" s="137"/>
      <c r="F2381" s="138"/>
      <c r="G2381" s="1" t="str">
        <f>IFERROR(IF(ventas_b_mes1255[[#This Row],[CUIT]]="","-",VLOOKUP(ventas_b_mes1255[[#This Row],[CUIT]],Lista_CUIT[#All],2,0)),"CUIT NO CARGADO")</f>
        <v>-</v>
      </c>
      <c r="H2381" s="99">
        <f>ventas_b_mes1255[[#This Row],[TOTAL]]/1.21</f>
        <v>0</v>
      </c>
      <c r="I2381" s="64">
        <f>ventas_b_mes1255[[#This Row],[IMPORTE NETO]]*0.21</f>
        <v>0</v>
      </c>
      <c r="J2381" s="140"/>
      <c r="K2381" s="140"/>
      <c r="L2381" s="140"/>
      <c r="M2381" s="59"/>
    </row>
    <row r="2382" spans="2:13" x14ac:dyDescent="0.25">
      <c r="B2382" s="134"/>
      <c r="C2382" s="41"/>
      <c r="D2382" s="136"/>
      <c r="E2382" s="137"/>
      <c r="F2382" s="138"/>
      <c r="G2382" s="1" t="str">
        <f>IFERROR(IF(ventas_b_mes1255[[#This Row],[CUIT]]="","-",VLOOKUP(ventas_b_mes1255[[#This Row],[CUIT]],Lista_CUIT[#All],2,0)),"CUIT NO CARGADO")</f>
        <v>-</v>
      </c>
      <c r="H2382" s="99">
        <f>ventas_b_mes1255[[#This Row],[TOTAL]]/1.21</f>
        <v>0</v>
      </c>
      <c r="I2382" s="64">
        <f>ventas_b_mes1255[[#This Row],[IMPORTE NETO]]*0.21</f>
        <v>0</v>
      </c>
      <c r="J2382" s="140"/>
      <c r="K2382" s="140"/>
      <c r="L2382" s="140"/>
      <c r="M2382" s="59"/>
    </row>
    <row r="2383" spans="2:13" x14ac:dyDescent="0.25">
      <c r="B2383" s="134"/>
      <c r="C2383" s="41"/>
      <c r="D2383" s="136"/>
      <c r="E2383" s="137"/>
      <c r="F2383" s="138"/>
      <c r="G2383" s="1" t="str">
        <f>IFERROR(IF(ventas_b_mes1255[[#This Row],[CUIT]]="","-",VLOOKUP(ventas_b_mes1255[[#This Row],[CUIT]],Lista_CUIT[#All],2,0)),"CUIT NO CARGADO")</f>
        <v>-</v>
      </c>
      <c r="H2383" s="99">
        <f>ventas_b_mes1255[[#This Row],[TOTAL]]/1.21</f>
        <v>0</v>
      </c>
      <c r="I2383" s="64">
        <f>ventas_b_mes1255[[#This Row],[IMPORTE NETO]]*0.21</f>
        <v>0</v>
      </c>
      <c r="J2383" s="140"/>
      <c r="K2383" s="140"/>
      <c r="L2383" s="140"/>
      <c r="M2383" s="59"/>
    </row>
    <row r="2384" spans="2:13" x14ac:dyDescent="0.25">
      <c r="B2384" s="134"/>
      <c r="C2384" s="41"/>
      <c r="D2384" s="136"/>
      <c r="E2384" s="137"/>
      <c r="F2384" s="138"/>
      <c r="G2384" s="1" t="str">
        <f>IFERROR(IF(ventas_b_mes1255[[#This Row],[CUIT]]="","-",VLOOKUP(ventas_b_mes1255[[#This Row],[CUIT]],Lista_CUIT[#All],2,0)),"CUIT NO CARGADO")</f>
        <v>-</v>
      </c>
      <c r="H2384" s="99">
        <f>ventas_b_mes1255[[#This Row],[TOTAL]]/1.21</f>
        <v>0</v>
      </c>
      <c r="I2384" s="64">
        <f>ventas_b_mes1255[[#This Row],[IMPORTE NETO]]*0.21</f>
        <v>0</v>
      </c>
      <c r="J2384" s="140"/>
      <c r="K2384" s="140"/>
      <c r="L2384" s="140"/>
      <c r="M2384" s="59"/>
    </row>
    <row r="2385" spans="2:13" x14ac:dyDescent="0.25">
      <c r="B2385" s="134"/>
      <c r="C2385" s="41"/>
      <c r="D2385" s="136"/>
      <c r="E2385" s="137"/>
      <c r="F2385" s="138"/>
      <c r="G2385" s="1" t="str">
        <f>IFERROR(IF(ventas_b_mes1255[[#This Row],[CUIT]]="","-",VLOOKUP(ventas_b_mes1255[[#This Row],[CUIT]],Lista_CUIT[#All],2,0)),"CUIT NO CARGADO")</f>
        <v>-</v>
      </c>
      <c r="H2385" s="99">
        <f>ventas_b_mes1255[[#This Row],[TOTAL]]/1.21</f>
        <v>0</v>
      </c>
      <c r="I2385" s="64">
        <f>ventas_b_mes1255[[#This Row],[IMPORTE NETO]]*0.21</f>
        <v>0</v>
      </c>
      <c r="J2385" s="140"/>
      <c r="K2385" s="140"/>
      <c r="L2385" s="140"/>
      <c r="M2385" s="59"/>
    </row>
    <row r="2386" spans="2:13" x14ac:dyDescent="0.25">
      <c r="B2386" s="134"/>
      <c r="C2386" s="41"/>
      <c r="D2386" s="136"/>
      <c r="E2386" s="137"/>
      <c r="F2386" s="138"/>
      <c r="G2386" s="1" t="str">
        <f>IFERROR(IF(ventas_b_mes1255[[#This Row],[CUIT]]="","-",VLOOKUP(ventas_b_mes1255[[#This Row],[CUIT]],Lista_CUIT[#All],2,0)),"CUIT NO CARGADO")</f>
        <v>-</v>
      </c>
      <c r="H2386" s="99">
        <f>ventas_b_mes1255[[#This Row],[TOTAL]]/1.21</f>
        <v>0</v>
      </c>
      <c r="I2386" s="64">
        <f>ventas_b_mes1255[[#This Row],[IMPORTE NETO]]*0.21</f>
        <v>0</v>
      </c>
      <c r="J2386" s="140"/>
      <c r="K2386" s="140"/>
      <c r="L2386" s="140"/>
      <c r="M2386" s="59"/>
    </row>
    <row r="2387" spans="2:13" x14ac:dyDescent="0.25">
      <c r="B2387" s="134"/>
      <c r="C2387" s="41"/>
      <c r="D2387" s="136"/>
      <c r="E2387" s="137"/>
      <c r="F2387" s="138"/>
      <c r="G2387" s="1" t="str">
        <f>IFERROR(IF(ventas_b_mes1255[[#This Row],[CUIT]]="","-",VLOOKUP(ventas_b_mes1255[[#This Row],[CUIT]],Lista_CUIT[#All],2,0)),"CUIT NO CARGADO")</f>
        <v>-</v>
      </c>
      <c r="H2387" s="99">
        <f>ventas_b_mes1255[[#This Row],[TOTAL]]/1.21</f>
        <v>0</v>
      </c>
      <c r="I2387" s="64">
        <f>ventas_b_mes1255[[#This Row],[IMPORTE NETO]]*0.21</f>
        <v>0</v>
      </c>
      <c r="J2387" s="140"/>
      <c r="K2387" s="140"/>
      <c r="L2387" s="140"/>
      <c r="M2387" s="59"/>
    </row>
    <row r="2388" spans="2:13" x14ac:dyDescent="0.25">
      <c r="B2388" s="134"/>
      <c r="C2388" s="41"/>
      <c r="D2388" s="136"/>
      <c r="E2388" s="137"/>
      <c r="F2388" s="138"/>
      <c r="G2388" s="1" t="str">
        <f>IFERROR(IF(ventas_b_mes1255[[#This Row],[CUIT]]="","-",VLOOKUP(ventas_b_mes1255[[#This Row],[CUIT]],Lista_CUIT[#All],2,0)),"CUIT NO CARGADO")</f>
        <v>-</v>
      </c>
      <c r="H2388" s="99">
        <f>ventas_b_mes1255[[#This Row],[TOTAL]]/1.21</f>
        <v>0</v>
      </c>
      <c r="I2388" s="64">
        <f>ventas_b_mes1255[[#This Row],[IMPORTE NETO]]*0.21</f>
        <v>0</v>
      </c>
      <c r="J2388" s="140"/>
      <c r="K2388" s="140"/>
      <c r="L2388" s="140"/>
      <c r="M2388" s="59"/>
    </row>
    <row r="2389" spans="2:13" x14ac:dyDescent="0.25">
      <c r="B2389" s="134"/>
      <c r="C2389" s="41"/>
      <c r="D2389" s="136"/>
      <c r="E2389" s="137"/>
      <c r="F2389" s="138"/>
      <c r="G2389" s="1" t="str">
        <f>IFERROR(IF(ventas_b_mes1255[[#This Row],[CUIT]]="","-",VLOOKUP(ventas_b_mes1255[[#This Row],[CUIT]],Lista_CUIT[#All],2,0)),"CUIT NO CARGADO")</f>
        <v>-</v>
      </c>
      <c r="H2389" s="99">
        <f>ventas_b_mes1255[[#This Row],[TOTAL]]/1.21</f>
        <v>0</v>
      </c>
      <c r="I2389" s="64">
        <f>ventas_b_mes1255[[#This Row],[IMPORTE NETO]]*0.21</f>
        <v>0</v>
      </c>
      <c r="J2389" s="140"/>
      <c r="K2389" s="140"/>
      <c r="L2389" s="140"/>
      <c r="M2389" s="59"/>
    </row>
    <row r="2390" spans="2:13" x14ac:dyDescent="0.25">
      <c r="B2390" s="134"/>
      <c r="C2390" s="41"/>
      <c r="D2390" s="136"/>
      <c r="E2390" s="137"/>
      <c r="F2390" s="138"/>
      <c r="G2390" s="1" t="str">
        <f>IFERROR(IF(ventas_b_mes1255[[#This Row],[CUIT]]="","-",VLOOKUP(ventas_b_mes1255[[#This Row],[CUIT]],Lista_CUIT[#All],2,0)),"CUIT NO CARGADO")</f>
        <v>-</v>
      </c>
      <c r="H2390" s="99">
        <f>ventas_b_mes1255[[#This Row],[TOTAL]]/1.21</f>
        <v>0</v>
      </c>
      <c r="I2390" s="64">
        <f>ventas_b_mes1255[[#This Row],[IMPORTE NETO]]*0.21</f>
        <v>0</v>
      </c>
      <c r="J2390" s="140"/>
      <c r="K2390" s="140"/>
      <c r="L2390" s="140"/>
      <c r="M2390" s="59"/>
    </row>
    <row r="2391" spans="2:13" x14ac:dyDescent="0.25">
      <c r="B2391" s="134"/>
      <c r="C2391" s="41"/>
      <c r="D2391" s="136"/>
      <c r="E2391" s="137"/>
      <c r="F2391" s="138"/>
      <c r="G2391" s="1" t="str">
        <f>IFERROR(IF(ventas_b_mes1255[[#This Row],[CUIT]]="","-",VLOOKUP(ventas_b_mes1255[[#This Row],[CUIT]],Lista_CUIT[#All],2,0)),"CUIT NO CARGADO")</f>
        <v>-</v>
      </c>
      <c r="H2391" s="99">
        <f>ventas_b_mes1255[[#This Row],[TOTAL]]/1.21</f>
        <v>0</v>
      </c>
      <c r="I2391" s="64">
        <f>ventas_b_mes1255[[#This Row],[IMPORTE NETO]]*0.21</f>
        <v>0</v>
      </c>
      <c r="J2391" s="140"/>
      <c r="K2391" s="140"/>
      <c r="L2391" s="140"/>
      <c r="M2391" s="59"/>
    </row>
    <row r="2392" spans="2:13" x14ac:dyDescent="0.25">
      <c r="B2392" s="134"/>
      <c r="C2392" s="41"/>
      <c r="D2392" s="136"/>
      <c r="E2392" s="137"/>
      <c r="F2392" s="138"/>
      <c r="G2392" s="1" t="str">
        <f>IFERROR(IF(ventas_b_mes1255[[#This Row],[CUIT]]="","-",VLOOKUP(ventas_b_mes1255[[#This Row],[CUIT]],Lista_CUIT[#All],2,0)),"CUIT NO CARGADO")</f>
        <v>-</v>
      </c>
      <c r="H2392" s="99">
        <f>ventas_b_mes1255[[#This Row],[TOTAL]]/1.21</f>
        <v>0</v>
      </c>
      <c r="I2392" s="64">
        <f>ventas_b_mes1255[[#This Row],[IMPORTE NETO]]*0.21</f>
        <v>0</v>
      </c>
      <c r="J2392" s="140"/>
      <c r="K2392" s="140"/>
      <c r="L2392" s="140"/>
      <c r="M2392" s="59"/>
    </row>
    <row r="2393" spans="2:13" x14ac:dyDescent="0.25">
      <c r="B2393" s="134"/>
      <c r="C2393" s="41"/>
      <c r="D2393" s="136"/>
      <c r="E2393" s="137"/>
      <c r="F2393" s="138"/>
      <c r="G2393" s="1" t="str">
        <f>IFERROR(IF(ventas_b_mes1255[[#This Row],[CUIT]]="","-",VLOOKUP(ventas_b_mes1255[[#This Row],[CUIT]],Lista_CUIT[#All],2,0)),"CUIT NO CARGADO")</f>
        <v>-</v>
      </c>
      <c r="H2393" s="99">
        <f>ventas_b_mes1255[[#This Row],[TOTAL]]/1.21</f>
        <v>0</v>
      </c>
      <c r="I2393" s="64">
        <f>ventas_b_mes1255[[#This Row],[IMPORTE NETO]]*0.21</f>
        <v>0</v>
      </c>
      <c r="J2393" s="140"/>
      <c r="K2393" s="140"/>
      <c r="L2393" s="140"/>
      <c r="M2393" s="59"/>
    </row>
    <row r="2394" spans="2:13" x14ac:dyDescent="0.25">
      <c r="B2394" s="134"/>
      <c r="C2394" s="41"/>
      <c r="D2394" s="136"/>
      <c r="E2394" s="137"/>
      <c r="F2394" s="138"/>
      <c r="G2394" s="1" t="str">
        <f>IFERROR(IF(ventas_b_mes1255[[#This Row],[CUIT]]="","-",VLOOKUP(ventas_b_mes1255[[#This Row],[CUIT]],Lista_CUIT[#All],2,0)),"CUIT NO CARGADO")</f>
        <v>-</v>
      </c>
      <c r="H2394" s="99">
        <f>ventas_b_mes1255[[#This Row],[TOTAL]]/1.21</f>
        <v>0</v>
      </c>
      <c r="I2394" s="64">
        <f>ventas_b_mes1255[[#This Row],[IMPORTE NETO]]*0.21</f>
        <v>0</v>
      </c>
      <c r="J2394" s="140"/>
      <c r="K2394" s="140"/>
      <c r="L2394" s="140"/>
      <c r="M2394" s="59"/>
    </row>
    <row r="2395" spans="2:13" x14ac:dyDescent="0.25">
      <c r="B2395" s="134"/>
      <c r="C2395" s="41"/>
      <c r="D2395" s="136"/>
      <c r="E2395" s="137"/>
      <c r="F2395" s="138"/>
      <c r="G2395" s="1" t="str">
        <f>IFERROR(IF(ventas_b_mes1255[[#This Row],[CUIT]]="","-",VLOOKUP(ventas_b_mes1255[[#This Row],[CUIT]],Lista_CUIT[#All],2,0)),"CUIT NO CARGADO")</f>
        <v>-</v>
      </c>
      <c r="H2395" s="99">
        <f>ventas_b_mes1255[[#This Row],[TOTAL]]/1.21</f>
        <v>0</v>
      </c>
      <c r="I2395" s="64">
        <f>ventas_b_mes1255[[#This Row],[IMPORTE NETO]]*0.21</f>
        <v>0</v>
      </c>
      <c r="J2395" s="140"/>
      <c r="K2395" s="140"/>
      <c r="L2395" s="140"/>
      <c r="M2395" s="59"/>
    </row>
    <row r="2396" spans="2:13" x14ac:dyDescent="0.25">
      <c r="B2396" s="134"/>
      <c r="C2396" s="41"/>
      <c r="D2396" s="136"/>
      <c r="E2396" s="137"/>
      <c r="F2396" s="138"/>
      <c r="G2396" s="1" t="str">
        <f>IFERROR(IF(ventas_b_mes1255[[#This Row],[CUIT]]="","-",VLOOKUP(ventas_b_mes1255[[#This Row],[CUIT]],Lista_CUIT[#All],2,0)),"CUIT NO CARGADO")</f>
        <v>-</v>
      </c>
      <c r="H2396" s="99">
        <f>ventas_b_mes1255[[#This Row],[TOTAL]]/1.21</f>
        <v>0</v>
      </c>
      <c r="I2396" s="64">
        <f>ventas_b_mes1255[[#This Row],[IMPORTE NETO]]*0.21</f>
        <v>0</v>
      </c>
      <c r="J2396" s="140"/>
      <c r="K2396" s="140"/>
      <c r="L2396" s="140"/>
      <c r="M2396" s="59"/>
    </row>
    <row r="2397" spans="2:13" x14ac:dyDescent="0.25">
      <c r="B2397" s="134"/>
      <c r="C2397" s="41"/>
      <c r="D2397" s="136"/>
      <c r="E2397" s="137"/>
      <c r="F2397" s="138"/>
      <c r="G2397" s="1" t="str">
        <f>IFERROR(IF(ventas_b_mes1255[[#This Row],[CUIT]]="","-",VLOOKUP(ventas_b_mes1255[[#This Row],[CUIT]],Lista_CUIT[#All],2,0)),"CUIT NO CARGADO")</f>
        <v>-</v>
      </c>
      <c r="H2397" s="99">
        <f>ventas_b_mes1255[[#This Row],[TOTAL]]/1.21</f>
        <v>0</v>
      </c>
      <c r="I2397" s="64">
        <f>ventas_b_mes1255[[#This Row],[IMPORTE NETO]]*0.21</f>
        <v>0</v>
      </c>
      <c r="J2397" s="140"/>
      <c r="K2397" s="140"/>
      <c r="L2397" s="140"/>
      <c r="M2397" s="59"/>
    </row>
    <row r="2398" spans="2:13" x14ac:dyDescent="0.25">
      <c r="B2398" s="134"/>
      <c r="C2398" s="41"/>
      <c r="D2398" s="136"/>
      <c r="E2398" s="137"/>
      <c r="F2398" s="138"/>
      <c r="G2398" s="1" t="str">
        <f>IFERROR(IF(ventas_b_mes1255[[#This Row],[CUIT]]="","-",VLOOKUP(ventas_b_mes1255[[#This Row],[CUIT]],Lista_CUIT[#All],2,0)),"CUIT NO CARGADO")</f>
        <v>-</v>
      </c>
      <c r="H2398" s="99">
        <f>ventas_b_mes1255[[#This Row],[TOTAL]]/1.21</f>
        <v>0</v>
      </c>
      <c r="I2398" s="64">
        <f>ventas_b_mes1255[[#This Row],[IMPORTE NETO]]*0.21</f>
        <v>0</v>
      </c>
      <c r="J2398" s="140"/>
      <c r="K2398" s="140"/>
      <c r="L2398" s="140"/>
      <c r="M2398" s="59"/>
    </row>
    <row r="2399" spans="2:13" x14ac:dyDescent="0.25">
      <c r="B2399" s="134"/>
      <c r="C2399" s="41"/>
      <c r="D2399" s="136"/>
      <c r="E2399" s="137"/>
      <c r="F2399" s="138"/>
      <c r="G2399" s="1" t="str">
        <f>IFERROR(IF(ventas_b_mes1255[[#This Row],[CUIT]]="","-",VLOOKUP(ventas_b_mes1255[[#This Row],[CUIT]],Lista_CUIT[#All],2,0)),"CUIT NO CARGADO")</f>
        <v>-</v>
      </c>
      <c r="H2399" s="99">
        <f>ventas_b_mes1255[[#This Row],[TOTAL]]/1.21</f>
        <v>0</v>
      </c>
      <c r="I2399" s="64">
        <f>ventas_b_mes1255[[#This Row],[IMPORTE NETO]]*0.21</f>
        <v>0</v>
      </c>
      <c r="J2399" s="140"/>
      <c r="K2399" s="140"/>
      <c r="L2399" s="140"/>
      <c r="M2399" s="59"/>
    </row>
    <row r="2400" spans="2:13" x14ac:dyDescent="0.25">
      <c r="B2400" s="134"/>
      <c r="C2400" s="41"/>
      <c r="D2400" s="136"/>
      <c r="E2400" s="137"/>
      <c r="F2400" s="138"/>
      <c r="G2400" s="1" t="str">
        <f>IFERROR(IF(ventas_b_mes1255[[#This Row],[CUIT]]="","-",VLOOKUP(ventas_b_mes1255[[#This Row],[CUIT]],Lista_CUIT[#All],2,0)),"CUIT NO CARGADO")</f>
        <v>-</v>
      </c>
      <c r="H2400" s="99">
        <f>ventas_b_mes1255[[#This Row],[TOTAL]]/1.21</f>
        <v>0</v>
      </c>
      <c r="I2400" s="64">
        <f>ventas_b_mes1255[[#This Row],[IMPORTE NETO]]*0.21</f>
        <v>0</v>
      </c>
      <c r="J2400" s="140"/>
      <c r="K2400" s="140"/>
      <c r="L2400" s="140"/>
      <c r="M2400" s="59"/>
    </row>
    <row r="2401" spans="2:13" x14ac:dyDescent="0.25">
      <c r="B2401" s="134"/>
      <c r="C2401" s="41"/>
      <c r="D2401" s="136"/>
      <c r="E2401" s="137"/>
      <c r="F2401" s="138"/>
      <c r="G2401" s="1" t="str">
        <f>IFERROR(IF(ventas_b_mes1255[[#This Row],[CUIT]]="","-",VLOOKUP(ventas_b_mes1255[[#This Row],[CUIT]],Lista_CUIT[#All],2,0)),"CUIT NO CARGADO")</f>
        <v>-</v>
      </c>
      <c r="H2401" s="99">
        <f>ventas_b_mes1255[[#This Row],[TOTAL]]/1.21</f>
        <v>0</v>
      </c>
      <c r="I2401" s="64">
        <f>ventas_b_mes1255[[#This Row],[IMPORTE NETO]]*0.21</f>
        <v>0</v>
      </c>
      <c r="J2401" s="140"/>
      <c r="K2401" s="140"/>
      <c r="L2401" s="140"/>
      <c r="M2401" s="59"/>
    </row>
    <row r="2402" spans="2:13" x14ac:dyDescent="0.25">
      <c r="B2402" s="134"/>
      <c r="C2402" s="41"/>
      <c r="D2402" s="136"/>
      <c r="E2402" s="137"/>
      <c r="F2402" s="138"/>
      <c r="G2402" s="1" t="str">
        <f>IFERROR(IF(ventas_b_mes1255[[#This Row],[CUIT]]="","-",VLOOKUP(ventas_b_mes1255[[#This Row],[CUIT]],Lista_CUIT[#All],2,0)),"CUIT NO CARGADO")</f>
        <v>-</v>
      </c>
      <c r="H2402" s="99">
        <f>ventas_b_mes1255[[#This Row],[TOTAL]]/1.21</f>
        <v>0</v>
      </c>
      <c r="I2402" s="64">
        <f>ventas_b_mes1255[[#This Row],[IMPORTE NETO]]*0.21</f>
        <v>0</v>
      </c>
      <c r="J2402" s="140"/>
      <c r="K2402" s="140"/>
      <c r="L2402" s="140"/>
      <c r="M2402" s="59"/>
    </row>
    <row r="2403" spans="2:13" x14ac:dyDescent="0.25">
      <c r="B2403" s="134"/>
      <c r="C2403" s="41"/>
      <c r="D2403" s="136"/>
      <c r="E2403" s="137"/>
      <c r="F2403" s="138"/>
      <c r="G2403" s="1" t="str">
        <f>IFERROR(IF(ventas_b_mes1255[[#This Row],[CUIT]]="","-",VLOOKUP(ventas_b_mes1255[[#This Row],[CUIT]],Lista_CUIT[#All],2,0)),"CUIT NO CARGADO")</f>
        <v>-</v>
      </c>
      <c r="H2403" s="99">
        <f>ventas_b_mes1255[[#This Row],[TOTAL]]/1.21</f>
        <v>0</v>
      </c>
      <c r="I2403" s="64">
        <f>ventas_b_mes1255[[#This Row],[IMPORTE NETO]]*0.21</f>
        <v>0</v>
      </c>
      <c r="J2403" s="140"/>
      <c r="K2403" s="140"/>
      <c r="L2403" s="140"/>
      <c r="M2403" s="59"/>
    </row>
    <row r="2404" spans="2:13" x14ac:dyDescent="0.25">
      <c r="B2404" s="134"/>
      <c r="C2404" s="41"/>
      <c r="D2404" s="136"/>
      <c r="E2404" s="137"/>
      <c r="F2404" s="138"/>
      <c r="G2404" s="1" t="str">
        <f>IFERROR(IF(ventas_b_mes1255[[#This Row],[CUIT]]="","-",VLOOKUP(ventas_b_mes1255[[#This Row],[CUIT]],Lista_CUIT[#All],2,0)),"CUIT NO CARGADO")</f>
        <v>-</v>
      </c>
      <c r="H2404" s="99">
        <f>ventas_b_mes1255[[#This Row],[TOTAL]]/1.21</f>
        <v>0</v>
      </c>
      <c r="I2404" s="64">
        <f>ventas_b_mes1255[[#This Row],[IMPORTE NETO]]*0.21</f>
        <v>0</v>
      </c>
      <c r="J2404" s="140"/>
      <c r="K2404" s="140"/>
      <c r="L2404" s="140"/>
      <c r="M2404" s="59"/>
    </row>
    <row r="2405" spans="2:13" x14ac:dyDescent="0.25">
      <c r="B2405" s="134"/>
      <c r="C2405" s="41"/>
      <c r="D2405" s="136"/>
      <c r="E2405" s="137"/>
      <c r="F2405" s="138"/>
      <c r="G2405" s="1" t="str">
        <f>IFERROR(IF(ventas_b_mes1255[[#This Row],[CUIT]]="","-",VLOOKUP(ventas_b_mes1255[[#This Row],[CUIT]],Lista_CUIT[#All],2,0)),"CUIT NO CARGADO")</f>
        <v>-</v>
      </c>
      <c r="H2405" s="99">
        <f>ventas_b_mes1255[[#This Row],[TOTAL]]/1.21</f>
        <v>0</v>
      </c>
      <c r="I2405" s="64">
        <f>ventas_b_mes1255[[#This Row],[IMPORTE NETO]]*0.21</f>
        <v>0</v>
      </c>
      <c r="J2405" s="140"/>
      <c r="K2405" s="140"/>
      <c r="L2405" s="140"/>
      <c r="M2405" s="59"/>
    </row>
    <row r="2406" spans="2:13" x14ac:dyDescent="0.25">
      <c r="B2406" s="134"/>
      <c r="C2406" s="41"/>
      <c r="D2406" s="136"/>
      <c r="E2406" s="137"/>
      <c r="F2406" s="138"/>
      <c r="G2406" s="1" t="str">
        <f>IFERROR(IF(ventas_b_mes1255[[#This Row],[CUIT]]="","-",VLOOKUP(ventas_b_mes1255[[#This Row],[CUIT]],Lista_CUIT[#All],2,0)),"CUIT NO CARGADO")</f>
        <v>-</v>
      </c>
      <c r="H2406" s="99">
        <f>ventas_b_mes1255[[#This Row],[TOTAL]]/1.21</f>
        <v>0</v>
      </c>
      <c r="I2406" s="64">
        <f>ventas_b_mes1255[[#This Row],[IMPORTE NETO]]*0.21</f>
        <v>0</v>
      </c>
      <c r="J2406" s="140"/>
      <c r="K2406" s="140"/>
      <c r="L2406" s="140"/>
      <c r="M2406" s="59"/>
    </row>
    <row r="2407" spans="2:13" x14ac:dyDescent="0.25">
      <c r="B2407" s="134"/>
      <c r="C2407" s="41"/>
      <c r="D2407" s="136"/>
      <c r="E2407" s="137"/>
      <c r="F2407" s="138"/>
      <c r="G2407" s="1" t="str">
        <f>IFERROR(IF(ventas_b_mes1255[[#This Row],[CUIT]]="","-",VLOOKUP(ventas_b_mes1255[[#This Row],[CUIT]],Lista_CUIT[#All],2,0)),"CUIT NO CARGADO")</f>
        <v>-</v>
      </c>
      <c r="H2407" s="99">
        <f>ventas_b_mes1255[[#This Row],[TOTAL]]/1.21</f>
        <v>0</v>
      </c>
      <c r="I2407" s="64">
        <f>ventas_b_mes1255[[#This Row],[IMPORTE NETO]]*0.21</f>
        <v>0</v>
      </c>
      <c r="J2407" s="140"/>
      <c r="K2407" s="140"/>
      <c r="L2407" s="140"/>
      <c r="M2407" s="59"/>
    </row>
    <row r="2408" spans="2:13" x14ac:dyDescent="0.25">
      <c r="B2408" s="134"/>
      <c r="C2408" s="41"/>
      <c r="D2408" s="136"/>
      <c r="E2408" s="137"/>
      <c r="F2408" s="138"/>
      <c r="G2408" s="1" t="str">
        <f>IFERROR(IF(ventas_b_mes1255[[#This Row],[CUIT]]="","-",VLOOKUP(ventas_b_mes1255[[#This Row],[CUIT]],Lista_CUIT[#All],2,0)),"CUIT NO CARGADO")</f>
        <v>-</v>
      </c>
      <c r="H2408" s="99">
        <f>ventas_b_mes1255[[#This Row],[TOTAL]]/1.21</f>
        <v>0</v>
      </c>
      <c r="I2408" s="64">
        <f>ventas_b_mes1255[[#This Row],[IMPORTE NETO]]*0.21</f>
        <v>0</v>
      </c>
      <c r="J2408" s="140"/>
      <c r="K2408" s="140"/>
      <c r="L2408" s="140"/>
      <c r="M2408" s="59"/>
    </row>
    <row r="2409" spans="2:13" x14ac:dyDescent="0.25">
      <c r="B2409" s="134"/>
      <c r="C2409" s="41"/>
      <c r="D2409" s="136"/>
      <c r="E2409" s="137"/>
      <c r="F2409" s="138"/>
      <c r="G2409" s="1" t="str">
        <f>IFERROR(IF(ventas_b_mes1255[[#This Row],[CUIT]]="","-",VLOOKUP(ventas_b_mes1255[[#This Row],[CUIT]],Lista_CUIT[#All],2,0)),"CUIT NO CARGADO")</f>
        <v>-</v>
      </c>
      <c r="H2409" s="99">
        <f>ventas_b_mes1255[[#This Row],[TOTAL]]/1.21</f>
        <v>0</v>
      </c>
      <c r="I2409" s="64">
        <f>ventas_b_mes1255[[#This Row],[IMPORTE NETO]]*0.21</f>
        <v>0</v>
      </c>
      <c r="J2409" s="140"/>
      <c r="K2409" s="140"/>
      <c r="L2409" s="140"/>
      <c r="M2409" s="59"/>
    </row>
    <row r="2410" spans="2:13" x14ac:dyDescent="0.25">
      <c r="B2410" s="134"/>
      <c r="C2410" s="41"/>
      <c r="D2410" s="136"/>
      <c r="E2410" s="137"/>
      <c r="F2410" s="138"/>
      <c r="G2410" s="1" t="str">
        <f>IFERROR(IF(ventas_b_mes1255[[#This Row],[CUIT]]="","-",VLOOKUP(ventas_b_mes1255[[#This Row],[CUIT]],Lista_CUIT[#All],2,0)),"CUIT NO CARGADO")</f>
        <v>-</v>
      </c>
      <c r="H2410" s="99">
        <f>ventas_b_mes1255[[#This Row],[TOTAL]]/1.21</f>
        <v>0</v>
      </c>
      <c r="I2410" s="64">
        <f>ventas_b_mes1255[[#This Row],[IMPORTE NETO]]*0.21</f>
        <v>0</v>
      </c>
      <c r="J2410" s="140"/>
      <c r="K2410" s="140"/>
      <c r="L2410" s="140"/>
      <c r="M2410" s="59"/>
    </row>
    <row r="2411" spans="2:13" x14ac:dyDescent="0.25">
      <c r="B2411" s="134"/>
      <c r="C2411" s="41"/>
      <c r="D2411" s="136"/>
      <c r="E2411" s="137"/>
      <c r="F2411" s="138"/>
      <c r="G2411" s="1" t="str">
        <f>IFERROR(IF(ventas_b_mes1255[[#This Row],[CUIT]]="","-",VLOOKUP(ventas_b_mes1255[[#This Row],[CUIT]],Lista_CUIT[#All],2,0)),"CUIT NO CARGADO")</f>
        <v>-</v>
      </c>
      <c r="H2411" s="99">
        <f>ventas_b_mes1255[[#This Row],[TOTAL]]/1.21</f>
        <v>0</v>
      </c>
      <c r="I2411" s="64">
        <f>ventas_b_mes1255[[#This Row],[IMPORTE NETO]]*0.21</f>
        <v>0</v>
      </c>
      <c r="J2411" s="140"/>
      <c r="K2411" s="140"/>
      <c r="L2411" s="140"/>
      <c r="M2411" s="59"/>
    </row>
    <row r="2412" spans="2:13" x14ac:dyDescent="0.25">
      <c r="B2412" s="134"/>
      <c r="C2412" s="41"/>
      <c r="D2412" s="136"/>
      <c r="E2412" s="137"/>
      <c r="F2412" s="138"/>
      <c r="G2412" s="1" t="str">
        <f>IFERROR(IF(ventas_b_mes1255[[#This Row],[CUIT]]="","-",VLOOKUP(ventas_b_mes1255[[#This Row],[CUIT]],Lista_CUIT[#All],2,0)),"CUIT NO CARGADO")</f>
        <v>-</v>
      </c>
      <c r="H2412" s="99">
        <f>ventas_b_mes1255[[#This Row],[TOTAL]]/1.21</f>
        <v>0</v>
      </c>
      <c r="I2412" s="64">
        <f>ventas_b_mes1255[[#This Row],[IMPORTE NETO]]*0.21</f>
        <v>0</v>
      </c>
      <c r="J2412" s="140"/>
      <c r="K2412" s="140"/>
      <c r="L2412" s="140"/>
      <c r="M2412" s="59"/>
    </row>
    <row r="2413" spans="2:13" x14ac:dyDescent="0.25">
      <c r="B2413" s="134"/>
      <c r="C2413" s="41"/>
      <c r="D2413" s="136"/>
      <c r="E2413" s="137"/>
      <c r="F2413" s="138"/>
      <c r="G2413" s="1" t="str">
        <f>IFERROR(IF(ventas_b_mes1255[[#This Row],[CUIT]]="","-",VLOOKUP(ventas_b_mes1255[[#This Row],[CUIT]],Lista_CUIT[#All],2,0)),"CUIT NO CARGADO")</f>
        <v>-</v>
      </c>
      <c r="H2413" s="99">
        <f>ventas_b_mes1255[[#This Row],[TOTAL]]/1.21</f>
        <v>0</v>
      </c>
      <c r="I2413" s="64">
        <f>ventas_b_mes1255[[#This Row],[IMPORTE NETO]]*0.21</f>
        <v>0</v>
      </c>
      <c r="J2413" s="140"/>
      <c r="K2413" s="140"/>
      <c r="L2413" s="140"/>
      <c r="M2413" s="59"/>
    </row>
    <row r="2414" spans="2:13" x14ac:dyDescent="0.25">
      <c r="B2414" s="134"/>
      <c r="C2414" s="41"/>
      <c r="D2414" s="136"/>
      <c r="E2414" s="137"/>
      <c r="F2414" s="138"/>
      <c r="G2414" s="1" t="str">
        <f>IFERROR(IF(ventas_b_mes1255[[#This Row],[CUIT]]="","-",VLOOKUP(ventas_b_mes1255[[#This Row],[CUIT]],Lista_CUIT[#All],2,0)),"CUIT NO CARGADO")</f>
        <v>-</v>
      </c>
      <c r="H2414" s="99">
        <f>ventas_b_mes1255[[#This Row],[TOTAL]]/1.21</f>
        <v>0</v>
      </c>
      <c r="I2414" s="64">
        <f>ventas_b_mes1255[[#This Row],[IMPORTE NETO]]*0.21</f>
        <v>0</v>
      </c>
      <c r="J2414" s="140"/>
      <c r="K2414" s="140"/>
      <c r="L2414" s="140"/>
      <c r="M2414" s="59"/>
    </row>
    <row r="2415" spans="2:13" x14ac:dyDescent="0.25">
      <c r="B2415" s="134"/>
      <c r="C2415" s="41"/>
      <c r="D2415" s="136"/>
      <c r="E2415" s="137"/>
      <c r="F2415" s="138"/>
      <c r="G2415" s="1" t="str">
        <f>IFERROR(IF(ventas_b_mes1255[[#This Row],[CUIT]]="","-",VLOOKUP(ventas_b_mes1255[[#This Row],[CUIT]],Lista_CUIT[#All],2,0)),"CUIT NO CARGADO")</f>
        <v>-</v>
      </c>
      <c r="H2415" s="99">
        <f>ventas_b_mes1255[[#This Row],[TOTAL]]/1.21</f>
        <v>0</v>
      </c>
      <c r="I2415" s="64">
        <f>ventas_b_mes1255[[#This Row],[IMPORTE NETO]]*0.21</f>
        <v>0</v>
      </c>
      <c r="J2415" s="140"/>
      <c r="K2415" s="140"/>
      <c r="L2415" s="140"/>
      <c r="M2415" s="59"/>
    </row>
    <row r="2416" spans="2:13" x14ac:dyDescent="0.25">
      <c r="B2416" s="134"/>
      <c r="C2416" s="41"/>
      <c r="D2416" s="136"/>
      <c r="E2416" s="137"/>
      <c r="F2416" s="138"/>
      <c r="G2416" s="1" t="str">
        <f>IFERROR(IF(ventas_b_mes1255[[#This Row],[CUIT]]="","-",VLOOKUP(ventas_b_mes1255[[#This Row],[CUIT]],Lista_CUIT[#All],2,0)),"CUIT NO CARGADO")</f>
        <v>-</v>
      </c>
      <c r="H2416" s="99">
        <f>ventas_b_mes1255[[#This Row],[TOTAL]]/1.21</f>
        <v>0</v>
      </c>
      <c r="I2416" s="64">
        <f>ventas_b_mes1255[[#This Row],[IMPORTE NETO]]*0.21</f>
        <v>0</v>
      </c>
      <c r="J2416" s="140"/>
      <c r="K2416" s="140"/>
      <c r="L2416" s="140"/>
      <c r="M2416" s="59"/>
    </row>
    <row r="2417" spans="2:13" x14ac:dyDescent="0.25">
      <c r="B2417" s="134"/>
      <c r="C2417" s="41"/>
      <c r="D2417" s="136"/>
      <c r="E2417" s="137"/>
      <c r="F2417" s="138"/>
      <c r="G2417" s="1" t="str">
        <f>IFERROR(IF(ventas_b_mes1255[[#This Row],[CUIT]]="","-",VLOOKUP(ventas_b_mes1255[[#This Row],[CUIT]],Lista_CUIT[#All],2,0)),"CUIT NO CARGADO")</f>
        <v>-</v>
      </c>
      <c r="H2417" s="99">
        <f>ventas_b_mes1255[[#This Row],[TOTAL]]/1.21</f>
        <v>0</v>
      </c>
      <c r="I2417" s="64">
        <f>ventas_b_mes1255[[#This Row],[IMPORTE NETO]]*0.21</f>
        <v>0</v>
      </c>
      <c r="J2417" s="140"/>
      <c r="K2417" s="140"/>
      <c r="L2417" s="140"/>
      <c r="M2417" s="59"/>
    </row>
    <row r="2418" spans="2:13" x14ac:dyDescent="0.25">
      <c r="B2418" s="134"/>
      <c r="C2418" s="41"/>
      <c r="D2418" s="136"/>
      <c r="E2418" s="137"/>
      <c r="F2418" s="138"/>
      <c r="G2418" s="1" t="str">
        <f>IFERROR(IF(ventas_b_mes1255[[#This Row],[CUIT]]="","-",VLOOKUP(ventas_b_mes1255[[#This Row],[CUIT]],Lista_CUIT[#All],2,0)),"CUIT NO CARGADO")</f>
        <v>-</v>
      </c>
      <c r="H2418" s="99">
        <f>ventas_b_mes1255[[#This Row],[TOTAL]]/1.21</f>
        <v>0</v>
      </c>
      <c r="I2418" s="64">
        <f>ventas_b_mes1255[[#This Row],[IMPORTE NETO]]*0.21</f>
        <v>0</v>
      </c>
      <c r="J2418" s="140"/>
      <c r="K2418" s="140"/>
      <c r="L2418" s="140"/>
      <c r="M2418" s="59"/>
    </row>
    <row r="2419" spans="2:13" x14ac:dyDescent="0.25">
      <c r="B2419" s="134"/>
      <c r="C2419" s="41"/>
      <c r="D2419" s="136"/>
      <c r="E2419" s="137"/>
      <c r="F2419" s="138"/>
      <c r="G2419" s="1" t="str">
        <f>IFERROR(IF(ventas_b_mes1255[[#This Row],[CUIT]]="","-",VLOOKUP(ventas_b_mes1255[[#This Row],[CUIT]],Lista_CUIT[#All],2,0)),"CUIT NO CARGADO")</f>
        <v>-</v>
      </c>
      <c r="H2419" s="99">
        <f>ventas_b_mes1255[[#This Row],[TOTAL]]/1.21</f>
        <v>0</v>
      </c>
      <c r="I2419" s="64">
        <f>ventas_b_mes1255[[#This Row],[IMPORTE NETO]]*0.21</f>
        <v>0</v>
      </c>
      <c r="J2419" s="140"/>
      <c r="K2419" s="140"/>
      <c r="L2419" s="140"/>
      <c r="M2419" s="59"/>
    </row>
    <row r="2420" spans="2:13" x14ac:dyDescent="0.25">
      <c r="B2420" s="134"/>
      <c r="C2420" s="41"/>
      <c r="D2420" s="136"/>
      <c r="E2420" s="137"/>
      <c r="F2420" s="138"/>
      <c r="G2420" s="1" t="str">
        <f>IFERROR(IF(ventas_b_mes1255[[#This Row],[CUIT]]="","-",VLOOKUP(ventas_b_mes1255[[#This Row],[CUIT]],Lista_CUIT[#All],2,0)),"CUIT NO CARGADO")</f>
        <v>-</v>
      </c>
      <c r="H2420" s="99">
        <f>ventas_b_mes1255[[#This Row],[TOTAL]]/1.21</f>
        <v>0</v>
      </c>
      <c r="I2420" s="64">
        <f>ventas_b_mes1255[[#This Row],[IMPORTE NETO]]*0.21</f>
        <v>0</v>
      </c>
      <c r="J2420" s="140"/>
      <c r="K2420" s="140"/>
      <c r="L2420" s="140"/>
      <c r="M2420" s="59"/>
    </row>
    <row r="2421" spans="2:13" x14ac:dyDescent="0.25">
      <c r="B2421" s="134"/>
      <c r="C2421" s="41"/>
      <c r="D2421" s="136"/>
      <c r="E2421" s="137"/>
      <c r="F2421" s="138"/>
      <c r="G2421" s="1" t="str">
        <f>IFERROR(IF(ventas_b_mes1255[[#This Row],[CUIT]]="","-",VLOOKUP(ventas_b_mes1255[[#This Row],[CUIT]],Lista_CUIT[#All],2,0)),"CUIT NO CARGADO")</f>
        <v>-</v>
      </c>
      <c r="H2421" s="99">
        <f>ventas_b_mes1255[[#This Row],[TOTAL]]/1.21</f>
        <v>0</v>
      </c>
      <c r="I2421" s="64">
        <f>ventas_b_mes1255[[#This Row],[IMPORTE NETO]]*0.21</f>
        <v>0</v>
      </c>
      <c r="J2421" s="140"/>
      <c r="K2421" s="140"/>
      <c r="L2421" s="140"/>
      <c r="M2421" s="59"/>
    </row>
    <row r="2422" spans="2:13" x14ac:dyDescent="0.25">
      <c r="B2422" s="134"/>
      <c r="C2422" s="41"/>
      <c r="D2422" s="136"/>
      <c r="E2422" s="137"/>
      <c r="F2422" s="138"/>
      <c r="G2422" s="1" t="str">
        <f>IFERROR(IF(ventas_b_mes1255[[#This Row],[CUIT]]="","-",VLOOKUP(ventas_b_mes1255[[#This Row],[CUIT]],Lista_CUIT[#All],2,0)),"CUIT NO CARGADO")</f>
        <v>-</v>
      </c>
      <c r="H2422" s="99">
        <f>ventas_b_mes1255[[#This Row],[TOTAL]]/1.21</f>
        <v>0</v>
      </c>
      <c r="I2422" s="64">
        <f>ventas_b_mes1255[[#This Row],[IMPORTE NETO]]*0.21</f>
        <v>0</v>
      </c>
      <c r="J2422" s="140"/>
      <c r="K2422" s="140"/>
      <c r="L2422" s="140"/>
      <c r="M2422" s="59"/>
    </row>
    <row r="2423" spans="2:13" x14ac:dyDescent="0.25">
      <c r="B2423" s="134"/>
      <c r="C2423" s="41"/>
      <c r="D2423" s="136"/>
      <c r="E2423" s="137"/>
      <c r="F2423" s="138"/>
      <c r="G2423" s="1" t="str">
        <f>IFERROR(IF(ventas_b_mes1255[[#This Row],[CUIT]]="","-",VLOOKUP(ventas_b_mes1255[[#This Row],[CUIT]],Lista_CUIT[#All],2,0)),"CUIT NO CARGADO")</f>
        <v>-</v>
      </c>
      <c r="H2423" s="99">
        <f>ventas_b_mes1255[[#This Row],[TOTAL]]/1.21</f>
        <v>0</v>
      </c>
      <c r="I2423" s="64">
        <f>ventas_b_mes1255[[#This Row],[IMPORTE NETO]]*0.21</f>
        <v>0</v>
      </c>
      <c r="J2423" s="140"/>
      <c r="K2423" s="140"/>
      <c r="L2423" s="140"/>
      <c r="M2423" s="59"/>
    </row>
    <row r="2424" spans="2:13" x14ac:dyDescent="0.25">
      <c r="B2424" s="134"/>
      <c r="C2424" s="41"/>
      <c r="D2424" s="136"/>
      <c r="E2424" s="137"/>
      <c r="F2424" s="138"/>
      <c r="G2424" s="1" t="str">
        <f>IFERROR(IF(ventas_b_mes1255[[#This Row],[CUIT]]="","-",VLOOKUP(ventas_b_mes1255[[#This Row],[CUIT]],Lista_CUIT[#All],2,0)),"CUIT NO CARGADO")</f>
        <v>-</v>
      </c>
      <c r="H2424" s="99">
        <f>ventas_b_mes1255[[#This Row],[TOTAL]]/1.21</f>
        <v>0</v>
      </c>
      <c r="I2424" s="64">
        <f>ventas_b_mes1255[[#This Row],[IMPORTE NETO]]*0.21</f>
        <v>0</v>
      </c>
      <c r="J2424" s="140"/>
      <c r="K2424" s="140"/>
      <c r="L2424" s="140"/>
      <c r="M2424" s="59"/>
    </row>
    <row r="2425" spans="2:13" x14ac:dyDescent="0.25">
      <c r="B2425" s="134"/>
      <c r="C2425" s="41"/>
      <c r="D2425" s="136"/>
      <c r="E2425" s="137"/>
      <c r="F2425" s="138"/>
      <c r="G2425" s="1" t="str">
        <f>IFERROR(IF(ventas_b_mes1255[[#This Row],[CUIT]]="","-",VLOOKUP(ventas_b_mes1255[[#This Row],[CUIT]],Lista_CUIT[#All],2,0)),"CUIT NO CARGADO")</f>
        <v>-</v>
      </c>
      <c r="H2425" s="99">
        <f>ventas_b_mes1255[[#This Row],[TOTAL]]/1.21</f>
        <v>0</v>
      </c>
      <c r="I2425" s="64">
        <f>ventas_b_mes1255[[#This Row],[IMPORTE NETO]]*0.21</f>
        <v>0</v>
      </c>
      <c r="J2425" s="140"/>
      <c r="K2425" s="140"/>
      <c r="L2425" s="140"/>
      <c r="M2425" s="59"/>
    </row>
    <row r="2426" spans="2:13" x14ac:dyDescent="0.25">
      <c r="B2426" s="134"/>
      <c r="C2426" s="41"/>
      <c r="D2426" s="136"/>
      <c r="E2426" s="137"/>
      <c r="F2426" s="138"/>
      <c r="G2426" s="1" t="str">
        <f>IFERROR(IF(ventas_b_mes1255[[#This Row],[CUIT]]="","-",VLOOKUP(ventas_b_mes1255[[#This Row],[CUIT]],Lista_CUIT[#All],2,0)),"CUIT NO CARGADO")</f>
        <v>-</v>
      </c>
      <c r="H2426" s="99">
        <f>ventas_b_mes1255[[#This Row],[TOTAL]]/1.21</f>
        <v>0</v>
      </c>
      <c r="I2426" s="64">
        <f>ventas_b_mes1255[[#This Row],[IMPORTE NETO]]*0.21</f>
        <v>0</v>
      </c>
      <c r="J2426" s="140"/>
      <c r="K2426" s="140"/>
      <c r="L2426" s="140"/>
      <c r="M2426" s="59"/>
    </row>
    <row r="2427" spans="2:13" x14ac:dyDescent="0.25">
      <c r="B2427" s="134"/>
      <c r="C2427" s="41"/>
      <c r="D2427" s="136"/>
      <c r="E2427" s="137"/>
      <c r="F2427" s="138"/>
      <c r="G2427" s="1" t="str">
        <f>IFERROR(IF(ventas_b_mes1255[[#This Row],[CUIT]]="","-",VLOOKUP(ventas_b_mes1255[[#This Row],[CUIT]],Lista_CUIT[#All],2,0)),"CUIT NO CARGADO")</f>
        <v>-</v>
      </c>
      <c r="H2427" s="99">
        <f>ventas_b_mes1255[[#This Row],[TOTAL]]/1.21</f>
        <v>0</v>
      </c>
      <c r="I2427" s="64">
        <f>ventas_b_mes1255[[#This Row],[IMPORTE NETO]]*0.21</f>
        <v>0</v>
      </c>
      <c r="J2427" s="140"/>
      <c r="K2427" s="140"/>
      <c r="L2427" s="140"/>
      <c r="M2427" s="59"/>
    </row>
    <row r="2428" spans="2:13" x14ac:dyDescent="0.25">
      <c r="B2428" s="134"/>
      <c r="C2428" s="41"/>
      <c r="D2428" s="136"/>
      <c r="E2428" s="137"/>
      <c r="F2428" s="138"/>
      <c r="G2428" s="1" t="str">
        <f>IFERROR(IF(ventas_b_mes1255[[#This Row],[CUIT]]="","-",VLOOKUP(ventas_b_mes1255[[#This Row],[CUIT]],Lista_CUIT[#All],2,0)),"CUIT NO CARGADO")</f>
        <v>-</v>
      </c>
      <c r="H2428" s="99">
        <f>ventas_b_mes1255[[#This Row],[TOTAL]]/1.21</f>
        <v>0</v>
      </c>
      <c r="I2428" s="64">
        <f>ventas_b_mes1255[[#This Row],[IMPORTE NETO]]*0.21</f>
        <v>0</v>
      </c>
      <c r="J2428" s="140"/>
      <c r="K2428" s="140"/>
      <c r="L2428" s="140"/>
      <c r="M2428" s="59"/>
    </row>
    <row r="2429" spans="2:13" x14ac:dyDescent="0.25">
      <c r="B2429" s="134"/>
      <c r="C2429" s="41"/>
      <c r="D2429" s="136"/>
      <c r="E2429" s="137"/>
      <c r="F2429" s="138"/>
      <c r="G2429" s="1" t="str">
        <f>IFERROR(IF(ventas_b_mes1255[[#This Row],[CUIT]]="","-",VLOOKUP(ventas_b_mes1255[[#This Row],[CUIT]],Lista_CUIT[#All],2,0)),"CUIT NO CARGADO")</f>
        <v>-</v>
      </c>
      <c r="H2429" s="99">
        <f>ventas_b_mes1255[[#This Row],[TOTAL]]/1.21</f>
        <v>0</v>
      </c>
      <c r="I2429" s="64">
        <f>ventas_b_mes1255[[#This Row],[IMPORTE NETO]]*0.21</f>
        <v>0</v>
      </c>
      <c r="J2429" s="140"/>
      <c r="K2429" s="140"/>
      <c r="L2429" s="140"/>
      <c r="M2429" s="59"/>
    </row>
    <row r="2430" spans="2:13" x14ac:dyDescent="0.25">
      <c r="B2430" s="134"/>
      <c r="C2430" s="41"/>
      <c r="D2430" s="136"/>
      <c r="E2430" s="137"/>
      <c r="F2430" s="138"/>
      <c r="G2430" s="1" t="str">
        <f>IFERROR(IF(ventas_b_mes1255[[#This Row],[CUIT]]="","-",VLOOKUP(ventas_b_mes1255[[#This Row],[CUIT]],Lista_CUIT[#All],2,0)),"CUIT NO CARGADO")</f>
        <v>-</v>
      </c>
      <c r="H2430" s="99">
        <f>ventas_b_mes1255[[#This Row],[TOTAL]]/1.21</f>
        <v>0</v>
      </c>
      <c r="I2430" s="64">
        <f>ventas_b_mes1255[[#This Row],[IMPORTE NETO]]*0.21</f>
        <v>0</v>
      </c>
      <c r="J2430" s="140"/>
      <c r="K2430" s="140"/>
      <c r="L2430" s="140"/>
      <c r="M2430" s="59"/>
    </row>
    <row r="2431" spans="2:13" x14ac:dyDescent="0.25">
      <c r="B2431" s="134"/>
      <c r="C2431" s="41"/>
      <c r="D2431" s="136"/>
      <c r="E2431" s="137"/>
      <c r="F2431" s="138"/>
      <c r="G2431" s="1" t="str">
        <f>IFERROR(IF(ventas_b_mes1255[[#This Row],[CUIT]]="","-",VLOOKUP(ventas_b_mes1255[[#This Row],[CUIT]],Lista_CUIT[#All],2,0)),"CUIT NO CARGADO")</f>
        <v>-</v>
      </c>
      <c r="H2431" s="99">
        <f>ventas_b_mes1255[[#This Row],[TOTAL]]/1.21</f>
        <v>0</v>
      </c>
      <c r="I2431" s="64">
        <f>ventas_b_mes1255[[#This Row],[IMPORTE NETO]]*0.21</f>
        <v>0</v>
      </c>
      <c r="J2431" s="140"/>
      <c r="K2431" s="140"/>
      <c r="L2431" s="140"/>
      <c r="M2431" s="59"/>
    </row>
    <row r="2432" spans="2:13" x14ac:dyDescent="0.25">
      <c r="B2432" s="134"/>
      <c r="C2432" s="41"/>
      <c r="D2432" s="136"/>
      <c r="E2432" s="137"/>
      <c r="F2432" s="138"/>
      <c r="G2432" s="1" t="str">
        <f>IFERROR(IF(ventas_b_mes1255[[#This Row],[CUIT]]="","-",VLOOKUP(ventas_b_mes1255[[#This Row],[CUIT]],Lista_CUIT[#All],2,0)),"CUIT NO CARGADO")</f>
        <v>-</v>
      </c>
      <c r="H2432" s="99">
        <f>ventas_b_mes1255[[#This Row],[TOTAL]]/1.21</f>
        <v>0</v>
      </c>
      <c r="I2432" s="64">
        <f>ventas_b_mes1255[[#This Row],[IMPORTE NETO]]*0.21</f>
        <v>0</v>
      </c>
      <c r="J2432" s="140"/>
      <c r="K2432" s="140"/>
      <c r="L2432" s="140"/>
      <c r="M2432" s="59"/>
    </row>
    <row r="2433" spans="2:13" x14ac:dyDescent="0.25">
      <c r="B2433" s="134"/>
      <c r="C2433" s="41"/>
      <c r="D2433" s="136"/>
      <c r="E2433" s="137"/>
      <c r="F2433" s="138"/>
      <c r="G2433" s="1" t="str">
        <f>IFERROR(IF(ventas_b_mes1255[[#This Row],[CUIT]]="","-",VLOOKUP(ventas_b_mes1255[[#This Row],[CUIT]],Lista_CUIT[#All],2,0)),"CUIT NO CARGADO")</f>
        <v>-</v>
      </c>
      <c r="H2433" s="99">
        <f>ventas_b_mes1255[[#This Row],[TOTAL]]/1.21</f>
        <v>0</v>
      </c>
      <c r="I2433" s="64">
        <f>ventas_b_mes1255[[#This Row],[IMPORTE NETO]]*0.21</f>
        <v>0</v>
      </c>
      <c r="J2433" s="140"/>
      <c r="K2433" s="140"/>
      <c r="L2433" s="140"/>
      <c r="M2433" s="59"/>
    </row>
    <row r="2434" spans="2:13" x14ac:dyDescent="0.25">
      <c r="B2434" s="134"/>
      <c r="C2434" s="41"/>
      <c r="D2434" s="136"/>
      <c r="E2434" s="137"/>
      <c r="F2434" s="138"/>
      <c r="G2434" s="1" t="str">
        <f>IFERROR(IF(ventas_b_mes1255[[#This Row],[CUIT]]="","-",VLOOKUP(ventas_b_mes1255[[#This Row],[CUIT]],Lista_CUIT[#All],2,0)),"CUIT NO CARGADO")</f>
        <v>-</v>
      </c>
      <c r="H2434" s="99">
        <f>ventas_b_mes1255[[#This Row],[TOTAL]]/1.21</f>
        <v>0</v>
      </c>
      <c r="I2434" s="64">
        <f>ventas_b_mes1255[[#This Row],[IMPORTE NETO]]*0.21</f>
        <v>0</v>
      </c>
      <c r="J2434" s="140"/>
      <c r="K2434" s="140"/>
      <c r="L2434" s="140"/>
      <c r="M2434" s="59"/>
    </row>
    <row r="2435" spans="2:13" x14ac:dyDescent="0.25">
      <c r="B2435" s="134"/>
      <c r="C2435" s="41"/>
      <c r="D2435" s="136"/>
      <c r="E2435" s="137"/>
      <c r="F2435" s="138"/>
      <c r="G2435" s="1" t="str">
        <f>IFERROR(IF(ventas_b_mes1255[[#This Row],[CUIT]]="","-",VLOOKUP(ventas_b_mes1255[[#This Row],[CUIT]],Lista_CUIT[#All],2,0)),"CUIT NO CARGADO")</f>
        <v>-</v>
      </c>
      <c r="H2435" s="99">
        <f>ventas_b_mes1255[[#This Row],[TOTAL]]/1.21</f>
        <v>0</v>
      </c>
      <c r="I2435" s="64">
        <f>ventas_b_mes1255[[#This Row],[IMPORTE NETO]]*0.21</f>
        <v>0</v>
      </c>
      <c r="J2435" s="140"/>
      <c r="K2435" s="140"/>
      <c r="L2435" s="140"/>
      <c r="M2435" s="59"/>
    </row>
    <row r="2436" spans="2:13" x14ac:dyDescent="0.25">
      <c r="B2436" s="134"/>
      <c r="C2436" s="41"/>
      <c r="D2436" s="136"/>
      <c r="E2436" s="137"/>
      <c r="F2436" s="138"/>
      <c r="G2436" s="1" t="str">
        <f>IFERROR(IF(ventas_b_mes1255[[#This Row],[CUIT]]="","-",VLOOKUP(ventas_b_mes1255[[#This Row],[CUIT]],Lista_CUIT[#All],2,0)),"CUIT NO CARGADO")</f>
        <v>-</v>
      </c>
      <c r="H2436" s="99">
        <f>ventas_b_mes1255[[#This Row],[TOTAL]]/1.21</f>
        <v>0</v>
      </c>
      <c r="I2436" s="64">
        <f>ventas_b_mes1255[[#This Row],[IMPORTE NETO]]*0.21</f>
        <v>0</v>
      </c>
      <c r="J2436" s="140"/>
      <c r="K2436" s="140"/>
      <c r="L2436" s="140"/>
      <c r="M2436" s="59"/>
    </row>
    <row r="2437" spans="2:13" x14ac:dyDescent="0.25">
      <c r="B2437" s="134"/>
      <c r="C2437" s="41"/>
      <c r="D2437" s="136"/>
      <c r="E2437" s="137"/>
      <c r="F2437" s="138"/>
      <c r="G2437" s="1" t="str">
        <f>IFERROR(IF(ventas_b_mes1255[[#This Row],[CUIT]]="","-",VLOOKUP(ventas_b_mes1255[[#This Row],[CUIT]],Lista_CUIT[#All],2,0)),"CUIT NO CARGADO")</f>
        <v>-</v>
      </c>
      <c r="H2437" s="99">
        <f>ventas_b_mes1255[[#This Row],[TOTAL]]/1.21</f>
        <v>0</v>
      </c>
      <c r="I2437" s="64">
        <f>ventas_b_mes1255[[#This Row],[IMPORTE NETO]]*0.21</f>
        <v>0</v>
      </c>
      <c r="J2437" s="140"/>
      <c r="K2437" s="140"/>
      <c r="L2437" s="140"/>
      <c r="M2437" s="59"/>
    </row>
    <row r="2438" spans="2:13" x14ac:dyDescent="0.25">
      <c r="B2438" s="134"/>
      <c r="C2438" s="41"/>
      <c r="D2438" s="136"/>
      <c r="E2438" s="137"/>
      <c r="F2438" s="138"/>
      <c r="G2438" s="1" t="str">
        <f>IFERROR(IF(ventas_b_mes1255[[#This Row],[CUIT]]="","-",VLOOKUP(ventas_b_mes1255[[#This Row],[CUIT]],Lista_CUIT[#All],2,0)),"CUIT NO CARGADO")</f>
        <v>-</v>
      </c>
      <c r="H2438" s="99">
        <f>ventas_b_mes1255[[#This Row],[TOTAL]]/1.21</f>
        <v>0</v>
      </c>
      <c r="I2438" s="64">
        <f>ventas_b_mes1255[[#This Row],[IMPORTE NETO]]*0.21</f>
        <v>0</v>
      </c>
      <c r="J2438" s="140"/>
      <c r="K2438" s="140"/>
      <c r="L2438" s="140"/>
      <c r="M2438" s="59"/>
    </row>
    <row r="2439" spans="2:13" x14ac:dyDescent="0.25">
      <c r="B2439" s="134"/>
      <c r="C2439" s="41"/>
      <c r="D2439" s="136"/>
      <c r="E2439" s="137"/>
      <c r="F2439" s="138"/>
      <c r="G2439" s="1" t="str">
        <f>IFERROR(IF(ventas_b_mes1255[[#This Row],[CUIT]]="","-",VLOOKUP(ventas_b_mes1255[[#This Row],[CUIT]],Lista_CUIT[#All],2,0)),"CUIT NO CARGADO")</f>
        <v>-</v>
      </c>
      <c r="H2439" s="99">
        <f>ventas_b_mes1255[[#This Row],[TOTAL]]/1.21</f>
        <v>0</v>
      </c>
      <c r="I2439" s="64">
        <f>ventas_b_mes1255[[#This Row],[IMPORTE NETO]]*0.21</f>
        <v>0</v>
      </c>
      <c r="J2439" s="140"/>
      <c r="K2439" s="140"/>
      <c r="L2439" s="140"/>
      <c r="M2439" s="59"/>
    </row>
    <row r="2440" spans="2:13" x14ac:dyDescent="0.25">
      <c r="B2440" s="134"/>
      <c r="C2440" s="41"/>
      <c r="D2440" s="136"/>
      <c r="E2440" s="137"/>
      <c r="F2440" s="138"/>
      <c r="G2440" s="1" t="str">
        <f>IFERROR(IF(ventas_b_mes1255[[#This Row],[CUIT]]="","-",VLOOKUP(ventas_b_mes1255[[#This Row],[CUIT]],Lista_CUIT[#All],2,0)),"CUIT NO CARGADO")</f>
        <v>-</v>
      </c>
      <c r="H2440" s="99">
        <f>ventas_b_mes1255[[#This Row],[TOTAL]]/1.21</f>
        <v>0</v>
      </c>
      <c r="I2440" s="64">
        <f>ventas_b_mes1255[[#This Row],[IMPORTE NETO]]*0.21</f>
        <v>0</v>
      </c>
      <c r="J2440" s="140"/>
      <c r="K2440" s="140"/>
      <c r="L2440" s="140"/>
      <c r="M2440" s="59"/>
    </row>
    <row r="2441" spans="2:13" x14ac:dyDescent="0.25">
      <c r="B2441" s="134"/>
      <c r="C2441" s="41"/>
      <c r="D2441" s="136"/>
      <c r="E2441" s="137"/>
      <c r="F2441" s="138"/>
      <c r="G2441" s="1" t="str">
        <f>IFERROR(IF(ventas_b_mes1255[[#This Row],[CUIT]]="","-",VLOOKUP(ventas_b_mes1255[[#This Row],[CUIT]],Lista_CUIT[#All],2,0)),"CUIT NO CARGADO")</f>
        <v>-</v>
      </c>
      <c r="H2441" s="99">
        <f>ventas_b_mes1255[[#This Row],[TOTAL]]/1.21</f>
        <v>0</v>
      </c>
      <c r="I2441" s="64">
        <f>ventas_b_mes1255[[#This Row],[IMPORTE NETO]]*0.21</f>
        <v>0</v>
      </c>
      <c r="J2441" s="140"/>
      <c r="K2441" s="140"/>
      <c r="L2441" s="140"/>
      <c r="M2441" s="59"/>
    </row>
    <row r="2442" spans="2:13" x14ac:dyDescent="0.25">
      <c r="B2442" s="134"/>
      <c r="C2442" s="41"/>
      <c r="D2442" s="136"/>
      <c r="E2442" s="137"/>
      <c r="F2442" s="138"/>
      <c r="G2442" s="1" t="str">
        <f>IFERROR(IF(ventas_b_mes1255[[#This Row],[CUIT]]="","-",VLOOKUP(ventas_b_mes1255[[#This Row],[CUIT]],Lista_CUIT[#All],2,0)),"CUIT NO CARGADO")</f>
        <v>-</v>
      </c>
      <c r="H2442" s="99">
        <f>ventas_b_mes1255[[#This Row],[TOTAL]]/1.21</f>
        <v>0</v>
      </c>
      <c r="I2442" s="64">
        <f>ventas_b_mes1255[[#This Row],[IMPORTE NETO]]*0.21</f>
        <v>0</v>
      </c>
      <c r="J2442" s="140"/>
      <c r="K2442" s="140"/>
      <c r="L2442" s="140"/>
      <c r="M2442" s="59"/>
    </row>
    <row r="2443" spans="2:13" x14ac:dyDescent="0.25">
      <c r="B2443" s="134"/>
      <c r="C2443" s="41"/>
      <c r="D2443" s="136"/>
      <c r="E2443" s="137"/>
      <c r="F2443" s="138"/>
      <c r="G2443" s="1" t="str">
        <f>IFERROR(IF(ventas_b_mes1255[[#This Row],[CUIT]]="","-",VLOOKUP(ventas_b_mes1255[[#This Row],[CUIT]],Lista_CUIT[#All],2,0)),"CUIT NO CARGADO")</f>
        <v>-</v>
      </c>
      <c r="H2443" s="99">
        <f>ventas_b_mes1255[[#This Row],[TOTAL]]/1.21</f>
        <v>0</v>
      </c>
      <c r="I2443" s="64">
        <f>ventas_b_mes1255[[#This Row],[IMPORTE NETO]]*0.21</f>
        <v>0</v>
      </c>
      <c r="J2443" s="140"/>
      <c r="K2443" s="140"/>
      <c r="L2443" s="140"/>
      <c r="M2443" s="59"/>
    </row>
    <row r="2444" spans="2:13" x14ac:dyDescent="0.25">
      <c r="B2444" s="134"/>
      <c r="C2444" s="41"/>
      <c r="D2444" s="136"/>
      <c r="E2444" s="137"/>
      <c r="F2444" s="138"/>
      <c r="G2444" s="1" t="str">
        <f>IFERROR(IF(ventas_b_mes1255[[#This Row],[CUIT]]="","-",VLOOKUP(ventas_b_mes1255[[#This Row],[CUIT]],Lista_CUIT[#All],2,0)),"CUIT NO CARGADO")</f>
        <v>-</v>
      </c>
      <c r="H2444" s="99">
        <f>ventas_b_mes1255[[#This Row],[TOTAL]]/1.21</f>
        <v>0</v>
      </c>
      <c r="I2444" s="64">
        <f>ventas_b_mes1255[[#This Row],[IMPORTE NETO]]*0.21</f>
        <v>0</v>
      </c>
      <c r="J2444" s="140"/>
      <c r="K2444" s="140"/>
      <c r="L2444" s="140"/>
      <c r="M2444" s="59"/>
    </row>
    <row r="2445" spans="2:13" x14ac:dyDescent="0.25">
      <c r="B2445" s="134"/>
      <c r="C2445" s="41"/>
      <c r="D2445" s="136"/>
      <c r="E2445" s="137"/>
      <c r="F2445" s="138"/>
      <c r="G2445" s="1" t="str">
        <f>IFERROR(IF(ventas_b_mes1255[[#This Row],[CUIT]]="","-",VLOOKUP(ventas_b_mes1255[[#This Row],[CUIT]],Lista_CUIT[#All],2,0)),"CUIT NO CARGADO")</f>
        <v>-</v>
      </c>
      <c r="H2445" s="99">
        <f>ventas_b_mes1255[[#This Row],[TOTAL]]/1.21</f>
        <v>0</v>
      </c>
      <c r="I2445" s="64">
        <f>ventas_b_mes1255[[#This Row],[IMPORTE NETO]]*0.21</f>
        <v>0</v>
      </c>
      <c r="J2445" s="140"/>
      <c r="K2445" s="140"/>
      <c r="L2445" s="140"/>
      <c r="M2445" s="59"/>
    </row>
    <row r="2446" spans="2:13" x14ac:dyDescent="0.25">
      <c r="B2446" s="134"/>
      <c r="C2446" s="41"/>
      <c r="D2446" s="136"/>
      <c r="E2446" s="137"/>
      <c r="F2446" s="138"/>
      <c r="G2446" s="1" t="str">
        <f>IFERROR(IF(ventas_b_mes1255[[#This Row],[CUIT]]="","-",VLOOKUP(ventas_b_mes1255[[#This Row],[CUIT]],Lista_CUIT[#All],2,0)),"CUIT NO CARGADO")</f>
        <v>-</v>
      </c>
      <c r="H2446" s="99">
        <f>ventas_b_mes1255[[#This Row],[TOTAL]]/1.21</f>
        <v>0</v>
      </c>
      <c r="I2446" s="64">
        <f>ventas_b_mes1255[[#This Row],[IMPORTE NETO]]*0.21</f>
        <v>0</v>
      </c>
      <c r="J2446" s="140"/>
      <c r="K2446" s="140"/>
      <c r="L2446" s="140"/>
      <c r="M2446" s="59"/>
    </row>
    <row r="2447" spans="2:13" x14ac:dyDescent="0.25">
      <c r="B2447" s="134"/>
      <c r="C2447" s="41"/>
      <c r="D2447" s="136"/>
      <c r="E2447" s="137"/>
      <c r="F2447" s="138"/>
      <c r="G2447" s="1" t="str">
        <f>IFERROR(IF(ventas_b_mes1255[[#This Row],[CUIT]]="","-",VLOOKUP(ventas_b_mes1255[[#This Row],[CUIT]],Lista_CUIT[#All],2,0)),"CUIT NO CARGADO")</f>
        <v>-</v>
      </c>
      <c r="H2447" s="99">
        <f>ventas_b_mes1255[[#This Row],[TOTAL]]/1.21</f>
        <v>0</v>
      </c>
      <c r="I2447" s="64">
        <f>ventas_b_mes1255[[#This Row],[IMPORTE NETO]]*0.21</f>
        <v>0</v>
      </c>
      <c r="J2447" s="140"/>
      <c r="K2447" s="140"/>
      <c r="L2447" s="140"/>
      <c r="M2447" s="59"/>
    </row>
    <row r="2448" spans="2:13" x14ac:dyDescent="0.25">
      <c r="B2448" s="134"/>
      <c r="C2448" s="41"/>
      <c r="D2448" s="136"/>
      <c r="E2448" s="137"/>
      <c r="F2448" s="138"/>
      <c r="G2448" s="1" t="str">
        <f>IFERROR(IF(ventas_b_mes1255[[#This Row],[CUIT]]="","-",VLOOKUP(ventas_b_mes1255[[#This Row],[CUIT]],Lista_CUIT[#All],2,0)),"CUIT NO CARGADO")</f>
        <v>-</v>
      </c>
      <c r="H2448" s="99">
        <f>ventas_b_mes1255[[#This Row],[TOTAL]]/1.21</f>
        <v>0</v>
      </c>
      <c r="I2448" s="64">
        <f>ventas_b_mes1255[[#This Row],[IMPORTE NETO]]*0.21</f>
        <v>0</v>
      </c>
      <c r="J2448" s="140"/>
      <c r="K2448" s="140"/>
      <c r="L2448" s="140"/>
      <c r="M2448" s="59"/>
    </row>
    <row r="2449" spans="2:13" x14ac:dyDescent="0.25">
      <c r="B2449" s="134"/>
      <c r="C2449" s="41"/>
      <c r="D2449" s="136"/>
      <c r="E2449" s="137"/>
      <c r="F2449" s="138"/>
      <c r="G2449" s="1" t="str">
        <f>IFERROR(IF(ventas_b_mes1255[[#This Row],[CUIT]]="","-",VLOOKUP(ventas_b_mes1255[[#This Row],[CUIT]],Lista_CUIT[#All],2,0)),"CUIT NO CARGADO")</f>
        <v>-</v>
      </c>
      <c r="H2449" s="99">
        <f>ventas_b_mes1255[[#This Row],[TOTAL]]/1.21</f>
        <v>0</v>
      </c>
      <c r="I2449" s="64">
        <f>ventas_b_mes1255[[#This Row],[IMPORTE NETO]]*0.21</f>
        <v>0</v>
      </c>
      <c r="J2449" s="140"/>
      <c r="K2449" s="140"/>
      <c r="L2449" s="140"/>
      <c r="M2449" s="59"/>
    </row>
    <row r="2450" spans="2:13" x14ac:dyDescent="0.25">
      <c r="B2450" s="134"/>
      <c r="C2450" s="41"/>
      <c r="D2450" s="136"/>
      <c r="E2450" s="137"/>
      <c r="F2450" s="138"/>
      <c r="G2450" s="1" t="str">
        <f>IFERROR(IF(ventas_b_mes1255[[#This Row],[CUIT]]="","-",VLOOKUP(ventas_b_mes1255[[#This Row],[CUIT]],Lista_CUIT[#All],2,0)),"CUIT NO CARGADO")</f>
        <v>-</v>
      </c>
      <c r="H2450" s="99">
        <f>ventas_b_mes1255[[#This Row],[TOTAL]]/1.21</f>
        <v>0</v>
      </c>
      <c r="I2450" s="64">
        <f>ventas_b_mes1255[[#This Row],[IMPORTE NETO]]*0.21</f>
        <v>0</v>
      </c>
      <c r="J2450" s="140"/>
      <c r="K2450" s="140"/>
      <c r="L2450" s="140"/>
      <c r="M2450" s="59"/>
    </row>
    <row r="2451" spans="2:13" x14ac:dyDescent="0.25">
      <c r="B2451" s="134"/>
      <c r="C2451" s="41"/>
      <c r="D2451" s="136"/>
      <c r="E2451" s="137"/>
      <c r="F2451" s="138"/>
      <c r="G2451" s="1" t="str">
        <f>IFERROR(IF(ventas_b_mes1255[[#This Row],[CUIT]]="","-",VLOOKUP(ventas_b_mes1255[[#This Row],[CUIT]],Lista_CUIT[#All],2,0)),"CUIT NO CARGADO")</f>
        <v>-</v>
      </c>
      <c r="H2451" s="99">
        <f>ventas_b_mes1255[[#This Row],[TOTAL]]/1.21</f>
        <v>0</v>
      </c>
      <c r="I2451" s="64">
        <f>ventas_b_mes1255[[#This Row],[IMPORTE NETO]]*0.21</f>
        <v>0</v>
      </c>
      <c r="J2451" s="140"/>
      <c r="K2451" s="140"/>
      <c r="L2451" s="140"/>
      <c r="M2451" s="59"/>
    </row>
    <row r="2452" spans="2:13" x14ac:dyDescent="0.25">
      <c r="B2452" s="134"/>
      <c r="C2452" s="41"/>
      <c r="D2452" s="136"/>
      <c r="E2452" s="137"/>
      <c r="F2452" s="138"/>
      <c r="G2452" s="1" t="str">
        <f>IFERROR(IF(ventas_b_mes1255[[#This Row],[CUIT]]="","-",VLOOKUP(ventas_b_mes1255[[#This Row],[CUIT]],Lista_CUIT[#All],2,0)),"CUIT NO CARGADO")</f>
        <v>-</v>
      </c>
      <c r="H2452" s="99">
        <f>ventas_b_mes1255[[#This Row],[TOTAL]]/1.21</f>
        <v>0</v>
      </c>
      <c r="I2452" s="64">
        <f>ventas_b_mes1255[[#This Row],[IMPORTE NETO]]*0.21</f>
        <v>0</v>
      </c>
      <c r="J2452" s="140"/>
      <c r="K2452" s="140"/>
      <c r="L2452" s="140"/>
      <c r="M2452" s="59"/>
    </row>
    <row r="2453" spans="2:13" x14ac:dyDescent="0.25">
      <c r="B2453" s="134"/>
      <c r="C2453" s="41"/>
      <c r="D2453" s="136"/>
      <c r="E2453" s="137"/>
      <c r="F2453" s="138"/>
      <c r="G2453" s="1" t="str">
        <f>IFERROR(IF(ventas_b_mes1255[[#This Row],[CUIT]]="","-",VLOOKUP(ventas_b_mes1255[[#This Row],[CUIT]],Lista_CUIT[#All],2,0)),"CUIT NO CARGADO")</f>
        <v>-</v>
      </c>
      <c r="H2453" s="99">
        <f>ventas_b_mes1255[[#This Row],[TOTAL]]/1.21</f>
        <v>0</v>
      </c>
      <c r="I2453" s="64">
        <f>ventas_b_mes1255[[#This Row],[IMPORTE NETO]]*0.21</f>
        <v>0</v>
      </c>
      <c r="J2453" s="140"/>
      <c r="K2453" s="140"/>
      <c r="L2453" s="140"/>
      <c r="M2453" s="59"/>
    </row>
    <row r="2454" spans="2:13" x14ac:dyDescent="0.25">
      <c r="B2454" s="134"/>
      <c r="C2454" s="41"/>
      <c r="D2454" s="136"/>
      <c r="E2454" s="137"/>
      <c r="F2454" s="138"/>
      <c r="G2454" s="1" t="str">
        <f>IFERROR(IF(ventas_b_mes1255[[#This Row],[CUIT]]="","-",VLOOKUP(ventas_b_mes1255[[#This Row],[CUIT]],Lista_CUIT[#All],2,0)),"CUIT NO CARGADO")</f>
        <v>-</v>
      </c>
      <c r="H2454" s="99">
        <f>ventas_b_mes1255[[#This Row],[TOTAL]]/1.21</f>
        <v>0</v>
      </c>
      <c r="I2454" s="64">
        <f>ventas_b_mes1255[[#This Row],[IMPORTE NETO]]*0.21</f>
        <v>0</v>
      </c>
      <c r="J2454" s="140"/>
      <c r="K2454" s="140"/>
      <c r="L2454" s="140"/>
      <c r="M2454" s="59"/>
    </row>
    <row r="2455" spans="2:13" x14ac:dyDescent="0.25">
      <c r="B2455" s="134"/>
      <c r="C2455" s="41"/>
      <c r="D2455" s="136"/>
      <c r="E2455" s="137"/>
      <c r="F2455" s="138"/>
      <c r="G2455" s="1" t="str">
        <f>IFERROR(IF(ventas_b_mes1255[[#This Row],[CUIT]]="","-",VLOOKUP(ventas_b_mes1255[[#This Row],[CUIT]],Lista_CUIT[#All],2,0)),"CUIT NO CARGADO")</f>
        <v>-</v>
      </c>
      <c r="H2455" s="99">
        <f>ventas_b_mes1255[[#This Row],[TOTAL]]/1.21</f>
        <v>0</v>
      </c>
      <c r="I2455" s="64">
        <f>ventas_b_mes1255[[#This Row],[IMPORTE NETO]]*0.21</f>
        <v>0</v>
      </c>
      <c r="J2455" s="140"/>
      <c r="K2455" s="140"/>
      <c r="L2455" s="140"/>
      <c r="M2455" s="59"/>
    </row>
    <row r="2456" spans="2:13" x14ac:dyDescent="0.25">
      <c r="B2456" s="134"/>
      <c r="C2456" s="41"/>
      <c r="D2456" s="136"/>
      <c r="E2456" s="137"/>
      <c r="F2456" s="138"/>
      <c r="G2456" s="1" t="str">
        <f>IFERROR(IF(ventas_b_mes1255[[#This Row],[CUIT]]="","-",VLOOKUP(ventas_b_mes1255[[#This Row],[CUIT]],Lista_CUIT[#All],2,0)),"CUIT NO CARGADO")</f>
        <v>-</v>
      </c>
      <c r="H2456" s="99">
        <f>ventas_b_mes1255[[#This Row],[TOTAL]]/1.21</f>
        <v>0</v>
      </c>
      <c r="I2456" s="64">
        <f>ventas_b_mes1255[[#This Row],[IMPORTE NETO]]*0.21</f>
        <v>0</v>
      </c>
      <c r="J2456" s="140"/>
      <c r="K2456" s="140"/>
      <c r="L2456" s="140"/>
      <c r="M2456" s="59"/>
    </row>
    <row r="2457" spans="2:13" x14ac:dyDescent="0.25">
      <c r="B2457" s="134"/>
      <c r="C2457" s="41"/>
      <c r="D2457" s="136"/>
      <c r="E2457" s="137"/>
      <c r="F2457" s="138"/>
      <c r="G2457" s="1" t="str">
        <f>IFERROR(IF(ventas_b_mes1255[[#This Row],[CUIT]]="","-",VLOOKUP(ventas_b_mes1255[[#This Row],[CUIT]],Lista_CUIT[#All],2,0)),"CUIT NO CARGADO")</f>
        <v>-</v>
      </c>
      <c r="H2457" s="99">
        <f>ventas_b_mes1255[[#This Row],[TOTAL]]/1.21</f>
        <v>0</v>
      </c>
      <c r="I2457" s="64">
        <f>ventas_b_mes1255[[#This Row],[IMPORTE NETO]]*0.21</f>
        <v>0</v>
      </c>
      <c r="J2457" s="140"/>
      <c r="K2457" s="140"/>
      <c r="L2457" s="140"/>
      <c r="M2457" s="59"/>
    </row>
    <row r="2458" spans="2:13" x14ac:dyDescent="0.25">
      <c r="B2458" s="134"/>
      <c r="C2458" s="41"/>
      <c r="D2458" s="136"/>
      <c r="E2458" s="137"/>
      <c r="F2458" s="138"/>
      <c r="G2458" s="1" t="str">
        <f>IFERROR(IF(ventas_b_mes1255[[#This Row],[CUIT]]="","-",VLOOKUP(ventas_b_mes1255[[#This Row],[CUIT]],Lista_CUIT[#All],2,0)),"CUIT NO CARGADO")</f>
        <v>-</v>
      </c>
      <c r="H2458" s="99">
        <f>ventas_b_mes1255[[#This Row],[TOTAL]]/1.21</f>
        <v>0</v>
      </c>
      <c r="I2458" s="64">
        <f>ventas_b_mes1255[[#This Row],[IMPORTE NETO]]*0.21</f>
        <v>0</v>
      </c>
      <c r="J2458" s="140"/>
      <c r="K2458" s="140"/>
      <c r="L2458" s="140"/>
      <c r="M2458" s="59"/>
    </row>
    <row r="2459" spans="2:13" x14ac:dyDescent="0.25">
      <c r="B2459" s="134"/>
      <c r="C2459" s="41"/>
      <c r="D2459" s="136"/>
      <c r="E2459" s="137"/>
      <c r="F2459" s="138"/>
      <c r="G2459" s="1" t="str">
        <f>IFERROR(IF(ventas_b_mes1255[[#This Row],[CUIT]]="","-",VLOOKUP(ventas_b_mes1255[[#This Row],[CUIT]],Lista_CUIT[#All],2,0)),"CUIT NO CARGADO")</f>
        <v>-</v>
      </c>
      <c r="H2459" s="99">
        <f>ventas_b_mes1255[[#This Row],[TOTAL]]/1.21</f>
        <v>0</v>
      </c>
      <c r="I2459" s="64">
        <f>ventas_b_mes1255[[#This Row],[IMPORTE NETO]]*0.21</f>
        <v>0</v>
      </c>
      <c r="J2459" s="140"/>
      <c r="K2459" s="140"/>
      <c r="L2459" s="140"/>
      <c r="M2459" s="59"/>
    </row>
    <row r="2460" spans="2:13" x14ac:dyDescent="0.25">
      <c r="B2460" s="134"/>
      <c r="C2460" s="41"/>
      <c r="D2460" s="136"/>
      <c r="E2460" s="137"/>
      <c r="F2460" s="138"/>
      <c r="G2460" s="1" t="str">
        <f>IFERROR(IF(ventas_b_mes1255[[#This Row],[CUIT]]="","-",VLOOKUP(ventas_b_mes1255[[#This Row],[CUIT]],Lista_CUIT[#All],2,0)),"CUIT NO CARGADO")</f>
        <v>-</v>
      </c>
      <c r="H2460" s="99">
        <f>ventas_b_mes1255[[#This Row],[TOTAL]]/1.21</f>
        <v>0</v>
      </c>
      <c r="I2460" s="64">
        <f>ventas_b_mes1255[[#This Row],[IMPORTE NETO]]*0.21</f>
        <v>0</v>
      </c>
      <c r="J2460" s="140"/>
      <c r="K2460" s="140"/>
      <c r="L2460" s="140"/>
      <c r="M2460" s="59"/>
    </row>
    <row r="2461" spans="2:13" x14ac:dyDescent="0.25">
      <c r="B2461" s="134"/>
      <c r="C2461" s="41"/>
      <c r="D2461" s="136"/>
      <c r="E2461" s="137"/>
      <c r="F2461" s="138"/>
      <c r="G2461" s="1" t="str">
        <f>IFERROR(IF(ventas_b_mes1255[[#This Row],[CUIT]]="","-",VLOOKUP(ventas_b_mes1255[[#This Row],[CUIT]],Lista_CUIT[#All],2,0)),"CUIT NO CARGADO")</f>
        <v>-</v>
      </c>
      <c r="H2461" s="99">
        <f>ventas_b_mes1255[[#This Row],[TOTAL]]/1.21</f>
        <v>0</v>
      </c>
      <c r="I2461" s="64">
        <f>ventas_b_mes1255[[#This Row],[IMPORTE NETO]]*0.21</f>
        <v>0</v>
      </c>
      <c r="J2461" s="140"/>
      <c r="K2461" s="140"/>
      <c r="L2461" s="140"/>
      <c r="M2461" s="59"/>
    </row>
    <row r="2462" spans="2:13" x14ac:dyDescent="0.25">
      <c r="B2462" s="134"/>
      <c r="C2462" s="41"/>
      <c r="D2462" s="136"/>
      <c r="E2462" s="137"/>
      <c r="F2462" s="138"/>
      <c r="G2462" s="1" t="str">
        <f>IFERROR(IF(ventas_b_mes1255[[#This Row],[CUIT]]="","-",VLOOKUP(ventas_b_mes1255[[#This Row],[CUIT]],Lista_CUIT[#All],2,0)),"CUIT NO CARGADO")</f>
        <v>-</v>
      </c>
      <c r="H2462" s="99">
        <f>ventas_b_mes1255[[#This Row],[TOTAL]]/1.21</f>
        <v>0</v>
      </c>
      <c r="I2462" s="64">
        <f>ventas_b_mes1255[[#This Row],[IMPORTE NETO]]*0.21</f>
        <v>0</v>
      </c>
      <c r="J2462" s="140"/>
      <c r="K2462" s="140"/>
      <c r="L2462" s="140"/>
      <c r="M2462" s="59"/>
    </row>
    <row r="2463" spans="2:13" x14ac:dyDescent="0.25">
      <c r="B2463" s="134"/>
      <c r="C2463" s="41"/>
      <c r="D2463" s="136"/>
      <c r="E2463" s="137"/>
      <c r="F2463" s="138"/>
      <c r="G2463" s="1" t="str">
        <f>IFERROR(IF(ventas_b_mes1255[[#This Row],[CUIT]]="","-",VLOOKUP(ventas_b_mes1255[[#This Row],[CUIT]],Lista_CUIT[#All],2,0)),"CUIT NO CARGADO")</f>
        <v>-</v>
      </c>
      <c r="H2463" s="99">
        <f>ventas_b_mes1255[[#This Row],[TOTAL]]/1.21</f>
        <v>0</v>
      </c>
      <c r="I2463" s="64">
        <f>ventas_b_mes1255[[#This Row],[IMPORTE NETO]]*0.21</f>
        <v>0</v>
      </c>
      <c r="J2463" s="140"/>
      <c r="K2463" s="140"/>
      <c r="L2463" s="140"/>
      <c r="M2463" s="59"/>
    </row>
    <row r="2464" spans="2:13" x14ac:dyDescent="0.25">
      <c r="B2464" s="134"/>
      <c r="C2464" s="41"/>
      <c r="D2464" s="136"/>
      <c r="E2464" s="137"/>
      <c r="F2464" s="138"/>
      <c r="G2464" s="1" t="str">
        <f>IFERROR(IF(ventas_b_mes1255[[#This Row],[CUIT]]="","-",VLOOKUP(ventas_b_mes1255[[#This Row],[CUIT]],Lista_CUIT[#All],2,0)),"CUIT NO CARGADO")</f>
        <v>-</v>
      </c>
      <c r="H2464" s="99">
        <f>ventas_b_mes1255[[#This Row],[TOTAL]]/1.21</f>
        <v>0</v>
      </c>
      <c r="I2464" s="64">
        <f>ventas_b_mes1255[[#This Row],[IMPORTE NETO]]*0.21</f>
        <v>0</v>
      </c>
      <c r="J2464" s="140"/>
      <c r="K2464" s="140"/>
      <c r="L2464" s="140"/>
      <c r="M2464" s="59"/>
    </row>
    <row r="2465" spans="2:13" x14ac:dyDescent="0.25">
      <c r="B2465" s="134"/>
      <c r="C2465" s="41"/>
      <c r="D2465" s="136"/>
      <c r="E2465" s="137"/>
      <c r="F2465" s="138"/>
      <c r="G2465" s="1" t="str">
        <f>IFERROR(IF(ventas_b_mes1255[[#This Row],[CUIT]]="","-",VLOOKUP(ventas_b_mes1255[[#This Row],[CUIT]],Lista_CUIT[#All],2,0)),"CUIT NO CARGADO")</f>
        <v>-</v>
      </c>
      <c r="H2465" s="99">
        <f>ventas_b_mes1255[[#This Row],[TOTAL]]/1.21</f>
        <v>0</v>
      </c>
      <c r="I2465" s="64">
        <f>ventas_b_mes1255[[#This Row],[IMPORTE NETO]]*0.21</f>
        <v>0</v>
      </c>
      <c r="J2465" s="140"/>
      <c r="K2465" s="140"/>
      <c r="L2465" s="140"/>
      <c r="M2465" s="59"/>
    </row>
    <row r="2466" spans="2:13" x14ac:dyDescent="0.25">
      <c r="B2466" s="134"/>
      <c r="C2466" s="41"/>
      <c r="D2466" s="136"/>
      <c r="E2466" s="137"/>
      <c r="F2466" s="138"/>
      <c r="G2466" s="1" t="str">
        <f>IFERROR(IF(ventas_b_mes1255[[#This Row],[CUIT]]="","-",VLOOKUP(ventas_b_mes1255[[#This Row],[CUIT]],Lista_CUIT[#All],2,0)),"CUIT NO CARGADO")</f>
        <v>-</v>
      </c>
      <c r="H2466" s="99">
        <f>ventas_b_mes1255[[#This Row],[TOTAL]]/1.21</f>
        <v>0</v>
      </c>
      <c r="I2466" s="64">
        <f>ventas_b_mes1255[[#This Row],[IMPORTE NETO]]*0.21</f>
        <v>0</v>
      </c>
      <c r="J2466" s="140"/>
      <c r="K2466" s="140"/>
      <c r="L2466" s="140"/>
      <c r="M2466" s="59"/>
    </row>
    <row r="2467" spans="2:13" x14ac:dyDescent="0.25">
      <c r="B2467" s="134"/>
      <c r="C2467" s="41"/>
      <c r="D2467" s="136"/>
      <c r="E2467" s="137"/>
      <c r="F2467" s="138"/>
      <c r="G2467" s="1" t="str">
        <f>IFERROR(IF(ventas_b_mes1255[[#This Row],[CUIT]]="","-",VLOOKUP(ventas_b_mes1255[[#This Row],[CUIT]],Lista_CUIT[#All],2,0)),"CUIT NO CARGADO")</f>
        <v>-</v>
      </c>
      <c r="H2467" s="99">
        <f>ventas_b_mes1255[[#This Row],[TOTAL]]/1.21</f>
        <v>0</v>
      </c>
      <c r="I2467" s="64">
        <f>ventas_b_mes1255[[#This Row],[IMPORTE NETO]]*0.21</f>
        <v>0</v>
      </c>
      <c r="J2467" s="140"/>
      <c r="K2467" s="140"/>
      <c r="L2467" s="140"/>
      <c r="M2467" s="59"/>
    </row>
    <row r="2468" spans="2:13" x14ac:dyDescent="0.25">
      <c r="B2468" s="134"/>
      <c r="C2468" s="41"/>
      <c r="D2468" s="136"/>
      <c r="E2468" s="137"/>
      <c r="F2468" s="138"/>
      <c r="G2468" s="1" t="str">
        <f>IFERROR(IF(ventas_b_mes1255[[#This Row],[CUIT]]="","-",VLOOKUP(ventas_b_mes1255[[#This Row],[CUIT]],Lista_CUIT[#All],2,0)),"CUIT NO CARGADO")</f>
        <v>-</v>
      </c>
      <c r="H2468" s="99">
        <f>ventas_b_mes1255[[#This Row],[TOTAL]]/1.21</f>
        <v>0</v>
      </c>
      <c r="I2468" s="64">
        <f>ventas_b_mes1255[[#This Row],[IMPORTE NETO]]*0.21</f>
        <v>0</v>
      </c>
      <c r="J2468" s="140"/>
      <c r="K2468" s="140"/>
      <c r="L2468" s="140"/>
      <c r="M2468" s="59"/>
    </row>
    <row r="2469" spans="2:13" x14ac:dyDescent="0.25">
      <c r="B2469" s="134"/>
      <c r="C2469" s="41"/>
      <c r="D2469" s="136"/>
      <c r="E2469" s="137"/>
      <c r="F2469" s="138"/>
      <c r="G2469" s="1" t="str">
        <f>IFERROR(IF(ventas_b_mes1255[[#This Row],[CUIT]]="","-",VLOOKUP(ventas_b_mes1255[[#This Row],[CUIT]],Lista_CUIT[#All],2,0)),"CUIT NO CARGADO")</f>
        <v>-</v>
      </c>
      <c r="H2469" s="99">
        <f>ventas_b_mes1255[[#This Row],[TOTAL]]/1.21</f>
        <v>0</v>
      </c>
      <c r="I2469" s="64">
        <f>ventas_b_mes1255[[#This Row],[IMPORTE NETO]]*0.21</f>
        <v>0</v>
      </c>
      <c r="J2469" s="140"/>
      <c r="K2469" s="140"/>
      <c r="L2469" s="140"/>
      <c r="M2469" s="59"/>
    </row>
    <row r="2470" spans="2:13" x14ac:dyDescent="0.25">
      <c r="B2470" s="134"/>
      <c r="C2470" s="41"/>
      <c r="D2470" s="136"/>
      <c r="E2470" s="137"/>
      <c r="F2470" s="138"/>
      <c r="G2470" s="1" t="str">
        <f>IFERROR(IF(ventas_b_mes1255[[#This Row],[CUIT]]="","-",VLOOKUP(ventas_b_mes1255[[#This Row],[CUIT]],Lista_CUIT[#All],2,0)),"CUIT NO CARGADO")</f>
        <v>-</v>
      </c>
      <c r="H2470" s="99">
        <f>ventas_b_mes1255[[#This Row],[TOTAL]]/1.21</f>
        <v>0</v>
      </c>
      <c r="I2470" s="64">
        <f>ventas_b_mes1255[[#This Row],[IMPORTE NETO]]*0.21</f>
        <v>0</v>
      </c>
      <c r="J2470" s="140"/>
      <c r="K2470" s="140"/>
      <c r="L2470" s="140"/>
      <c r="M2470" s="59"/>
    </row>
    <row r="2471" spans="2:13" x14ac:dyDescent="0.25">
      <c r="B2471" s="134"/>
      <c r="C2471" s="41"/>
      <c r="D2471" s="136"/>
      <c r="E2471" s="137"/>
      <c r="F2471" s="138"/>
      <c r="G2471" s="1" t="str">
        <f>IFERROR(IF(ventas_b_mes1255[[#This Row],[CUIT]]="","-",VLOOKUP(ventas_b_mes1255[[#This Row],[CUIT]],Lista_CUIT[#All],2,0)),"CUIT NO CARGADO")</f>
        <v>-</v>
      </c>
      <c r="H2471" s="99">
        <f>ventas_b_mes1255[[#This Row],[TOTAL]]/1.21</f>
        <v>0</v>
      </c>
      <c r="I2471" s="64">
        <f>ventas_b_mes1255[[#This Row],[IMPORTE NETO]]*0.21</f>
        <v>0</v>
      </c>
      <c r="J2471" s="140"/>
      <c r="K2471" s="140"/>
      <c r="L2471" s="140"/>
      <c r="M2471" s="59"/>
    </row>
    <row r="2472" spans="2:13" x14ac:dyDescent="0.25">
      <c r="B2472" s="134"/>
      <c r="C2472" s="41"/>
      <c r="D2472" s="136"/>
      <c r="E2472" s="137"/>
      <c r="F2472" s="138"/>
      <c r="G2472" s="1" t="str">
        <f>IFERROR(IF(ventas_b_mes1255[[#This Row],[CUIT]]="","-",VLOOKUP(ventas_b_mes1255[[#This Row],[CUIT]],Lista_CUIT[#All],2,0)),"CUIT NO CARGADO")</f>
        <v>-</v>
      </c>
      <c r="H2472" s="99">
        <f>ventas_b_mes1255[[#This Row],[TOTAL]]/1.21</f>
        <v>0</v>
      </c>
      <c r="I2472" s="64">
        <f>ventas_b_mes1255[[#This Row],[IMPORTE NETO]]*0.21</f>
        <v>0</v>
      </c>
      <c r="J2472" s="140"/>
      <c r="K2472" s="140"/>
      <c r="L2472" s="140"/>
      <c r="M2472" s="59"/>
    </row>
    <row r="2473" spans="2:13" x14ac:dyDescent="0.25">
      <c r="B2473" s="134"/>
      <c r="C2473" s="41"/>
      <c r="D2473" s="136"/>
      <c r="E2473" s="137"/>
      <c r="F2473" s="138"/>
      <c r="G2473" s="1" t="str">
        <f>IFERROR(IF(ventas_b_mes1255[[#This Row],[CUIT]]="","-",VLOOKUP(ventas_b_mes1255[[#This Row],[CUIT]],Lista_CUIT[#All],2,0)),"CUIT NO CARGADO")</f>
        <v>-</v>
      </c>
      <c r="H2473" s="99">
        <f>ventas_b_mes1255[[#This Row],[TOTAL]]/1.21</f>
        <v>0</v>
      </c>
      <c r="I2473" s="64">
        <f>ventas_b_mes1255[[#This Row],[IMPORTE NETO]]*0.21</f>
        <v>0</v>
      </c>
      <c r="J2473" s="140"/>
      <c r="K2473" s="140"/>
      <c r="L2473" s="140"/>
      <c r="M2473" s="59"/>
    </row>
    <row r="2474" spans="2:13" x14ac:dyDescent="0.25">
      <c r="B2474" s="134"/>
      <c r="C2474" s="41"/>
      <c r="D2474" s="136"/>
      <c r="E2474" s="137"/>
      <c r="F2474" s="138"/>
      <c r="G2474" s="1" t="str">
        <f>IFERROR(IF(ventas_b_mes1255[[#This Row],[CUIT]]="","-",VLOOKUP(ventas_b_mes1255[[#This Row],[CUIT]],Lista_CUIT[#All],2,0)),"CUIT NO CARGADO")</f>
        <v>-</v>
      </c>
      <c r="H2474" s="99">
        <f>ventas_b_mes1255[[#This Row],[TOTAL]]/1.21</f>
        <v>0</v>
      </c>
      <c r="I2474" s="64">
        <f>ventas_b_mes1255[[#This Row],[IMPORTE NETO]]*0.21</f>
        <v>0</v>
      </c>
      <c r="J2474" s="140"/>
      <c r="K2474" s="140"/>
      <c r="L2474" s="140"/>
      <c r="M2474" s="59"/>
    </row>
    <row r="2475" spans="2:13" x14ac:dyDescent="0.25">
      <c r="B2475" s="134"/>
      <c r="C2475" s="41"/>
      <c r="D2475" s="136"/>
      <c r="E2475" s="137"/>
      <c r="F2475" s="138"/>
      <c r="G2475" s="1" t="str">
        <f>IFERROR(IF(ventas_b_mes1255[[#This Row],[CUIT]]="","-",VLOOKUP(ventas_b_mes1255[[#This Row],[CUIT]],Lista_CUIT[#All],2,0)),"CUIT NO CARGADO")</f>
        <v>-</v>
      </c>
      <c r="H2475" s="99">
        <f>ventas_b_mes1255[[#This Row],[TOTAL]]/1.21</f>
        <v>0</v>
      </c>
      <c r="I2475" s="64">
        <f>ventas_b_mes1255[[#This Row],[IMPORTE NETO]]*0.21</f>
        <v>0</v>
      </c>
      <c r="J2475" s="140"/>
      <c r="K2475" s="140"/>
      <c r="L2475" s="140"/>
      <c r="M2475" s="59"/>
    </row>
    <row r="2476" spans="2:13" x14ac:dyDescent="0.25">
      <c r="B2476" s="134"/>
      <c r="C2476" s="41"/>
      <c r="D2476" s="136"/>
      <c r="E2476" s="137"/>
      <c r="F2476" s="138"/>
      <c r="G2476" s="1" t="str">
        <f>IFERROR(IF(ventas_b_mes1255[[#This Row],[CUIT]]="","-",VLOOKUP(ventas_b_mes1255[[#This Row],[CUIT]],Lista_CUIT[#All],2,0)),"CUIT NO CARGADO")</f>
        <v>-</v>
      </c>
      <c r="H2476" s="99">
        <f>ventas_b_mes1255[[#This Row],[TOTAL]]/1.21</f>
        <v>0</v>
      </c>
      <c r="I2476" s="64">
        <f>ventas_b_mes1255[[#This Row],[IMPORTE NETO]]*0.21</f>
        <v>0</v>
      </c>
      <c r="J2476" s="140"/>
      <c r="K2476" s="140"/>
      <c r="L2476" s="140"/>
      <c r="M2476" s="59"/>
    </row>
    <row r="2477" spans="2:13" x14ac:dyDescent="0.25">
      <c r="B2477" s="134"/>
      <c r="C2477" s="41"/>
      <c r="D2477" s="136"/>
      <c r="E2477" s="137"/>
      <c r="F2477" s="138"/>
      <c r="G2477" s="1" t="str">
        <f>IFERROR(IF(ventas_b_mes1255[[#This Row],[CUIT]]="","-",VLOOKUP(ventas_b_mes1255[[#This Row],[CUIT]],Lista_CUIT[#All],2,0)),"CUIT NO CARGADO")</f>
        <v>-</v>
      </c>
      <c r="H2477" s="99">
        <f>ventas_b_mes1255[[#This Row],[TOTAL]]/1.21</f>
        <v>0</v>
      </c>
      <c r="I2477" s="64">
        <f>ventas_b_mes1255[[#This Row],[IMPORTE NETO]]*0.21</f>
        <v>0</v>
      </c>
      <c r="J2477" s="140"/>
      <c r="K2477" s="140"/>
      <c r="L2477" s="140"/>
      <c r="M2477" s="59"/>
    </row>
    <row r="2478" spans="2:13" x14ac:dyDescent="0.25">
      <c r="B2478" s="134"/>
      <c r="C2478" s="41"/>
      <c r="D2478" s="136"/>
      <c r="E2478" s="137"/>
      <c r="F2478" s="138"/>
      <c r="G2478" s="1" t="str">
        <f>IFERROR(IF(ventas_b_mes1255[[#This Row],[CUIT]]="","-",VLOOKUP(ventas_b_mes1255[[#This Row],[CUIT]],Lista_CUIT[#All],2,0)),"CUIT NO CARGADO")</f>
        <v>-</v>
      </c>
      <c r="H2478" s="99">
        <f>ventas_b_mes1255[[#This Row],[TOTAL]]/1.21</f>
        <v>0</v>
      </c>
      <c r="I2478" s="64">
        <f>ventas_b_mes1255[[#This Row],[IMPORTE NETO]]*0.21</f>
        <v>0</v>
      </c>
      <c r="J2478" s="140"/>
      <c r="K2478" s="140"/>
      <c r="L2478" s="140"/>
      <c r="M2478" s="59"/>
    </row>
    <row r="2479" spans="2:13" x14ac:dyDescent="0.25">
      <c r="B2479" s="134"/>
      <c r="C2479" s="41"/>
      <c r="D2479" s="136"/>
      <c r="E2479" s="137"/>
      <c r="F2479" s="138"/>
      <c r="G2479" s="1" t="str">
        <f>IFERROR(IF(ventas_b_mes1255[[#This Row],[CUIT]]="","-",VLOOKUP(ventas_b_mes1255[[#This Row],[CUIT]],Lista_CUIT[#All],2,0)),"CUIT NO CARGADO")</f>
        <v>-</v>
      </c>
      <c r="H2479" s="99">
        <f>ventas_b_mes1255[[#This Row],[TOTAL]]/1.21</f>
        <v>0</v>
      </c>
      <c r="I2479" s="64">
        <f>ventas_b_mes1255[[#This Row],[IMPORTE NETO]]*0.21</f>
        <v>0</v>
      </c>
      <c r="J2479" s="140"/>
      <c r="K2479" s="140"/>
      <c r="L2479" s="140"/>
      <c r="M2479" s="59"/>
    </row>
    <row r="2480" spans="2:13" x14ac:dyDescent="0.25">
      <c r="B2480" s="134"/>
      <c r="C2480" s="41"/>
      <c r="D2480" s="136"/>
      <c r="E2480" s="137"/>
      <c r="F2480" s="138"/>
      <c r="G2480" s="1" t="str">
        <f>IFERROR(IF(ventas_b_mes1255[[#This Row],[CUIT]]="","-",VLOOKUP(ventas_b_mes1255[[#This Row],[CUIT]],Lista_CUIT[#All],2,0)),"CUIT NO CARGADO")</f>
        <v>-</v>
      </c>
      <c r="H2480" s="99">
        <f>ventas_b_mes1255[[#This Row],[TOTAL]]/1.21</f>
        <v>0</v>
      </c>
      <c r="I2480" s="64">
        <f>ventas_b_mes1255[[#This Row],[IMPORTE NETO]]*0.21</f>
        <v>0</v>
      </c>
      <c r="J2480" s="140"/>
      <c r="K2480" s="140"/>
      <c r="L2480" s="140"/>
      <c r="M2480" s="59"/>
    </row>
    <row r="2481" spans="2:13" x14ac:dyDescent="0.25">
      <c r="B2481" s="134"/>
      <c r="C2481" s="41"/>
      <c r="D2481" s="136"/>
      <c r="E2481" s="137"/>
      <c r="F2481" s="138"/>
      <c r="G2481" s="1" t="str">
        <f>IFERROR(IF(ventas_b_mes1255[[#This Row],[CUIT]]="","-",VLOOKUP(ventas_b_mes1255[[#This Row],[CUIT]],Lista_CUIT[#All],2,0)),"CUIT NO CARGADO")</f>
        <v>-</v>
      </c>
      <c r="H2481" s="99">
        <f>ventas_b_mes1255[[#This Row],[TOTAL]]/1.21</f>
        <v>0</v>
      </c>
      <c r="I2481" s="64">
        <f>ventas_b_mes1255[[#This Row],[IMPORTE NETO]]*0.21</f>
        <v>0</v>
      </c>
      <c r="J2481" s="140"/>
      <c r="K2481" s="140"/>
      <c r="L2481" s="140"/>
      <c r="M2481" s="59"/>
    </row>
    <row r="2482" spans="2:13" x14ac:dyDescent="0.25">
      <c r="B2482" s="134"/>
      <c r="C2482" s="41"/>
      <c r="D2482" s="136"/>
      <c r="E2482" s="137"/>
      <c r="F2482" s="138"/>
      <c r="G2482" s="1" t="str">
        <f>IFERROR(IF(ventas_b_mes1255[[#This Row],[CUIT]]="","-",VLOOKUP(ventas_b_mes1255[[#This Row],[CUIT]],Lista_CUIT[#All],2,0)),"CUIT NO CARGADO")</f>
        <v>-</v>
      </c>
      <c r="H2482" s="99">
        <f>ventas_b_mes1255[[#This Row],[TOTAL]]/1.21</f>
        <v>0</v>
      </c>
      <c r="I2482" s="64">
        <f>ventas_b_mes1255[[#This Row],[IMPORTE NETO]]*0.21</f>
        <v>0</v>
      </c>
      <c r="J2482" s="140"/>
      <c r="K2482" s="140"/>
      <c r="L2482" s="140"/>
      <c r="M2482" s="59"/>
    </row>
    <row r="2483" spans="2:13" x14ac:dyDescent="0.25">
      <c r="B2483" s="134"/>
      <c r="C2483" s="41"/>
      <c r="D2483" s="136"/>
      <c r="E2483" s="137"/>
      <c r="F2483" s="138"/>
      <c r="G2483" s="1" t="str">
        <f>IFERROR(IF(ventas_b_mes1255[[#This Row],[CUIT]]="","-",VLOOKUP(ventas_b_mes1255[[#This Row],[CUIT]],Lista_CUIT[#All],2,0)),"CUIT NO CARGADO")</f>
        <v>-</v>
      </c>
      <c r="H2483" s="99">
        <f>ventas_b_mes1255[[#This Row],[TOTAL]]/1.21</f>
        <v>0</v>
      </c>
      <c r="I2483" s="64">
        <f>ventas_b_mes1255[[#This Row],[IMPORTE NETO]]*0.21</f>
        <v>0</v>
      </c>
      <c r="J2483" s="140"/>
      <c r="K2483" s="140"/>
      <c r="L2483" s="140"/>
      <c r="M2483" s="59"/>
    </row>
    <row r="2484" spans="2:13" x14ac:dyDescent="0.25">
      <c r="B2484" s="134"/>
      <c r="C2484" s="41"/>
      <c r="D2484" s="136"/>
      <c r="E2484" s="137"/>
      <c r="F2484" s="138"/>
      <c r="G2484" s="1" t="str">
        <f>IFERROR(IF(ventas_b_mes1255[[#This Row],[CUIT]]="","-",VLOOKUP(ventas_b_mes1255[[#This Row],[CUIT]],Lista_CUIT[#All],2,0)),"CUIT NO CARGADO")</f>
        <v>-</v>
      </c>
      <c r="H2484" s="99">
        <f>ventas_b_mes1255[[#This Row],[TOTAL]]/1.21</f>
        <v>0</v>
      </c>
      <c r="I2484" s="64">
        <f>ventas_b_mes1255[[#This Row],[IMPORTE NETO]]*0.21</f>
        <v>0</v>
      </c>
      <c r="J2484" s="140"/>
      <c r="K2484" s="140"/>
      <c r="L2484" s="140"/>
      <c r="M2484" s="59"/>
    </row>
    <row r="2485" spans="2:13" x14ac:dyDescent="0.25">
      <c r="B2485" s="134"/>
      <c r="C2485" s="41"/>
      <c r="D2485" s="136"/>
      <c r="E2485" s="137"/>
      <c r="F2485" s="138"/>
      <c r="G2485" s="1" t="str">
        <f>IFERROR(IF(ventas_b_mes1255[[#This Row],[CUIT]]="","-",VLOOKUP(ventas_b_mes1255[[#This Row],[CUIT]],Lista_CUIT[#All],2,0)),"CUIT NO CARGADO")</f>
        <v>-</v>
      </c>
      <c r="H2485" s="99">
        <f>ventas_b_mes1255[[#This Row],[TOTAL]]/1.21</f>
        <v>0</v>
      </c>
      <c r="I2485" s="64">
        <f>ventas_b_mes1255[[#This Row],[IMPORTE NETO]]*0.21</f>
        <v>0</v>
      </c>
      <c r="J2485" s="140"/>
      <c r="K2485" s="140"/>
      <c r="L2485" s="140"/>
      <c r="M2485" s="59"/>
    </row>
    <row r="2486" spans="2:13" x14ac:dyDescent="0.25">
      <c r="B2486" s="134"/>
      <c r="C2486" s="41"/>
      <c r="D2486" s="136"/>
      <c r="E2486" s="137"/>
      <c r="F2486" s="138"/>
      <c r="G2486" s="1" t="str">
        <f>IFERROR(IF(ventas_b_mes1255[[#This Row],[CUIT]]="","-",VLOOKUP(ventas_b_mes1255[[#This Row],[CUIT]],Lista_CUIT[#All],2,0)),"CUIT NO CARGADO")</f>
        <v>-</v>
      </c>
      <c r="H2486" s="99">
        <f>ventas_b_mes1255[[#This Row],[TOTAL]]/1.21</f>
        <v>0</v>
      </c>
      <c r="I2486" s="64">
        <f>ventas_b_mes1255[[#This Row],[IMPORTE NETO]]*0.21</f>
        <v>0</v>
      </c>
      <c r="J2486" s="140"/>
      <c r="K2486" s="140"/>
      <c r="L2486" s="140"/>
      <c r="M2486" s="59"/>
    </row>
    <row r="2487" spans="2:13" x14ac:dyDescent="0.25">
      <c r="B2487" s="134"/>
      <c r="C2487" s="41"/>
      <c r="D2487" s="136"/>
      <c r="E2487" s="137"/>
      <c r="F2487" s="138"/>
      <c r="G2487" s="1" t="str">
        <f>IFERROR(IF(ventas_b_mes1255[[#This Row],[CUIT]]="","-",VLOOKUP(ventas_b_mes1255[[#This Row],[CUIT]],Lista_CUIT[#All],2,0)),"CUIT NO CARGADO")</f>
        <v>-</v>
      </c>
      <c r="H2487" s="99">
        <f>ventas_b_mes1255[[#This Row],[TOTAL]]/1.21</f>
        <v>0</v>
      </c>
      <c r="I2487" s="64">
        <f>ventas_b_mes1255[[#This Row],[IMPORTE NETO]]*0.21</f>
        <v>0</v>
      </c>
      <c r="J2487" s="140"/>
      <c r="K2487" s="140"/>
      <c r="L2487" s="140"/>
      <c r="M2487" s="59"/>
    </row>
    <row r="2488" spans="2:13" x14ac:dyDescent="0.25">
      <c r="B2488" s="134"/>
      <c r="C2488" s="41"/>
      <c r="D2488" s="136"/>
      <c r="E2488" s="137"/>
      <c r="F2488" s="138"/>
      <c r="G2488" s="1" t="str">
        <f>IFERROR(IF(ventas_b_mes1255[[#This Row],[CUIT]]="","-",VLOOKUP(ventas_b_mes1255[[#This Row],[CUIT]],Lista_CUIT[#All],2,0)),"CUIT NO CARGADO")</f>
        <v>-</v>
      </c>
      <c r="H2488" s="99">
        <f>ventas_b_mes1255[[#This Row],[TOTAL]]/1.21</f>
        <v>0</v>
      </c>
      <c r="I2488" s="64">
        <f>ventas_b_mes1255[[#This Row],[IMPORTE NETO]]*0.21</f>
        <v>0</v>
      </c>
      <c r="J2488" s="140"/>
      <c r="K2488" s="140"/>
      <c r="L2488" s="140"/>
      <c r="M2488" s="59"/>
    </row>
    <row r="2489" spans="2:13" x14ac:dyDescent="0.25">
      <c r="B2489" s="134"/>
      <c r="C2489" s="41"/>
      <c r="D2489" s="136"/>
      <c r="E2489" s="137"/>
      <c r="F2489" s="138"/>
      <c r="G2489" s="1" t="str">
        <f>IFERROR(IF(ventas_b_mes1255[[#This Row],[CUIT]]="","-",VLOOKUP(ventas_b_mes1255[[#This Row],[CUIT]],Lista_CUIT[#All],2,0)),"CUIT NO CARGADO")</f>
        <v>-</v>
      </c>
      <c r="H2489" s="99">
        <f>ventas_b_mes1255[[#This Row],[TOTAL]]/1.21</f>
        <v>0</v>
      </c>
      <c r="I2489" s="64">
        <f>ventas_b_mes1255[[#This Row],[IMPORTE NETO]]*0.21</f>
        <v>0</v>
      </c>
      <c r="J2489" s="140"/>
      <c r="K2489" s="140"/>
      <c r="L2489" s="140"/>
      <c r="M2489" s="59"/>
    </row>
    <row r="2490" spans="2:13" x14ac:dyDescent="0.25">
      <c r="B2490" s="134"/>
      <c r="C2490" s="41"/>
      <c r="D2490" s="136"/>
      <c r="E2490" s="137"/>
      <c r="F2490" s="138"/>
      <c r="G2490" s="1" t="str">
        <f>IFERROR(IF(ventas_b_mes1255[[#This Row],[CUIT]]="","-",VLOOKUP(ventas_b_mes1255[[#This Row],[CUIT]],Lista_CUIT[#All],2,0)),"CUIT NO CARGADO")</f>
        <v>-</v>
      </c>
      <c r="H2490" s="99">
        <f>ventas_b_mes1255[[#This Row],[TOTAL]]/1.21</f>
        <v>0</v>
      </c>
      <c r="I2490" s="64">
        <f>ventas_b_mes1255[[#This Row],[IMPORTE NETO]]*0.21</f>
        <v>0</v>
      </c>
      <c r="J2490" s="140"/>
      <c r="K2490" s="140"/>
      <c r="L2490" s="140"/>
      <c r="M2490" s="59"/>
    </row>
    <row r="2491" spans="2:13" x14ac:dyDescent="0.25">
      <c r="B2491" s="134"/>
      <c r="C2491" s="41"/>
      <c r="D2491" s="136"/>
      <c r="E2491" s="137"/>
      <c r="F2491" s="138"/>
      <c r="G2491" s="1" t="str">
        <f>IFERROR(IF(ventas_b_mes1255[[#This Row],[CUIT]]="","-",VLOOKUP(ventas_b_mes1255[[#This Row],[CUIT]],Lista_CUIT[#All],2,0)),"CUIT NO CARGADO")</f>
        <v>-</v>
      </c>
      <c r="H2491" s="99">
        <f>ventas_b_mes1255[[#This Row],[TOTAL]]/1.21</f>
        <v>0</v>
      </c>
      <c r="I2491" s="64">
        <f>ventas_b_mes1255[[#This Row],[IMPORTE NETO]]*0.21</f>
        <v>0</v>
      </c>
      <c r="J2491" s="140"/>
      <c r="K2491" s="140"/>
      <c r="L2491" s="140"/>
      <c r="M2491" s="59"/>
    </row>
    <row r="2492" spans="2:13" x14ac:dyDescent="0.25">
      <c r="B2492" s="134"/>
      <c r="C2492" s="41"/>
      <c r="D2492" s="136"/>
      <c r="E2492" s="137"/>
      <c r="F2492" s="138"/>
      <c r="G2492" s="1" t="str">
        <f>IFERROR(IF(ventas_b_mes1255[[#This Row],[CUIT]]="","-",VLOOKUP(ventas_b_mes1255[[#This Row],[CUIT]],Lista_CUIT[#All],2,0)),"CUIT NO CARGADO")</f>
        <v>-</v>
      </c>
      <c r="H2492" s="99">
        <f>ventas_b_mes1255[[#This Row],[TOTAL]]/1.21</f>
        <v>0</v>
      </c>
      <c r="I2492" s="64">
        <f>ventas_b_mes1255[[#This Row],[IMPORTE NETO]]*0.21</f>
        <v>0</v>
      </c>
      <c r="J2492" s="140"/>
      <c r="K2492" s="140"/>
      <c r="L2492" s="140"/>
      <c r="M2492" s="59"/>
    </row>
    <row r="2493" spans="2:13" x14ac:dyDescent="0.25">
      <c r="B2493" s="134"/>
      <c r="C2493" s="41"/>
      <c r="D2493" s="136"/>
      <c r="E2493" s="137"/>
      <c r="F2493" s="138"/>
      <c r="G2493" s="1" t="str">
        <f>IFERROR(IF(ventas_b_mes1255[[#This Row],[CUIT]]="","-",VLOOKUP(ventas_b_mes1255[[#This Row],[CUIT]],Lista_CUIT[#All],2,0)),"CUIT NO CARGADO")</f>
        <v>-</v>
      </c>
      <c r="H2493" s="99">
        <f>ventas_b_mes1255[[#This Row],[TOTAL]]/1.21</f>
        <v>0</v>
      </c>
      <c r="I2493" s="64">
        <f>ventas_b_mes1255[[#This Row],[IMPORTE NETO]]*0.21</f>
        <v>0</v>
      </c>
      <c r="J2493" s="140"/>
      <c r="K2493" s="140"/>
      <c r="L2493" s="140"/>
      <c r="M2493" s="59"/>
    </row>
    <row r="2494" spans="2:13" x14ac:dyDescent="0.25">
      <c r="B2494" s="134"/>
      <c r="C2494" s="41"/>
      <c r="D2494" s="136"/>
      <c r="E2494" s="137"/>
      <c r="F2494" s="138"/>
      <c r="G2494" s="1" t="str">
        <f>IFERROR(IF(ventas_b_mes1255[[#This Row],[CUIT]]="","-",VLOOKUP(ventas_b_mes1255[[#This Row],[CUIT]],Lista_CUIT[#All],2,0)),"CUIT NO CARGADO")</f>
        <v>-</v>
      </c>
      <c r="H2494" s="99">
        <f>ventas_b_mes1255[[#This Row],[TOTAL]]/1.21</f>
        <v>0</v>
      </c>
      <c r="I2494" s="64">
        <f>ventas_b_mes1255[[#This Row],[IMPORTE NETO]]*0.21</f>
        <v>0</v>
      </c>
      <c r="J2494" s="140"/>
      <c r="K2494" s="140"/>
      <c r="L2494" s="140"/>
      <c r="M2494" s="59"/>
    </row>
    <row r="2495" spans="2:13" x14ac:dyDescent="0.25">
      <c r="B2495" s="134"/>
      <c r="C2495" s="41"/>
      <c r="D2495" s="136"/>
      <c r="E2495" s="137"/>
      <c r="F2495" s="138"/>
      <c r="G2495" s="1" t="str">
        <f>IFERROR(IF(ventas_b_mes1255[[#This Row],[CUIT]]="","-",VLOOKUP(ventas_b_mes1255[[#This Row],[CUIT]],Lista_CUIT[#All],2,0)),"CUIT NO CARGADO")</f>
        <v>-</v>
      </c>
      <c r="H2495" s="99">
        <f>ventas_b_mes1255[[#This Row],[TOTAL]]/1.21</f>
        <v>0</v>
      </c>
      <c r="I2495" s="64">
        <f>ventas_b_mes1255[[#This Row],[IMPORTE NETO]]*0.21</f>
        <v>0</v>
      </c>
      <c r="J2495" s="140"/>
      <c r="K2495" s="140"/>
      <c r="L2495" s="140"/>
      <c r="M2495" s="59"/>
    </row>
    <row r="2496" spans="2:13" x14ac:dyDescent="0.25">
      <c r="B2496" s="134"/>
      <c r="C2496" s="41"/>
      <c r="D2496" s="136"/>
      <c r="E2496" s="137"/>
      <c r="F2496" s="138"/>
      <c r="G2496" s="1" t="str">
        <f>IFERROR(IF(ventas_b_mes1255[[#This Row],[CUIT]]="","-",VLOOKUP(ventas_b_mes1255[[#This Row],[CUIT]],Lista_CUIT[#All],2,0)),"CUIT NO CARGADO")</f>
        <v>-</v>
      </c>
      <c r="H2496" s="99">
        <f>ventas_b_mes1255[[#This Row],[TOTAL]]/1.21</f>
        <v>0</v>
      </c>
      <c r="I2496" s="64">
        <f>ventas_b_mes1255[[#This Row],[IMPORTE NETO]]*0.21</f>
        <v>0</v>
      </c>
      <c r="J2496" s="140"/>
      <c r="K2496" s="140"/>
      <c r="L2496" s="140"/>
      <c r="M2496" s="59"/>
    </row>
    <row r="2497" spans="2:13" x14ac:dyDescent="0.25">
      <c r="B2497" s="134"/>
      <c r="C2497" s="41"/>
      <c r="D2497" s="136"/>
      <c r="E2497" s="137"/>
      <c r="F2497" s="138"/>
      <c r="G2497" s="1" t="str">
        <f>IFERROR(IF(ventas_b_mes1255[[#This Row],[CUIT]]="","-",VLOOKUP(ventas_b_mes1255[[#This Row],[CUIT]],Lista_CUIT[#All],2,0)),"CUIT NO CARGADO")</f>
        <v>-</v>
      </c>
      <c r="H2497" s="99">
        <f>ventas_b_mes1255[[#This Row],[TOTAL]]/1.21</f>
        <v>0</v>
      </c>
      <c r="I2497" s="64">
        <f>ventas_b_mes1255[[#This Row],[IMPORTE NETO]]*0.21</f>
        <v>0</v>
      </c>
      <c r="J2497" s="140"/>
      <c r="K2497" s="140"/>
      <c r="L2497" s="140"/>
      <c r="M2497" s="59"/>
    </row>
    <row r="2498" spans="2:13" x14ac:dyDescent="0.25">
      <c r="B2498" s="134"/>
      <c r="C2498" s="41"/>
      <c r="D2498" s="136"/>
      <c r="E2498" s="137"/>
      <c r="F2498" s="138"/>
      <c r="G2498" s="1" t="str">
        <f>IFERROR(IF(ventas_b_mes1255[[#This Row],[CUIT]]="","-",VLOOKUP(ventas_b_mes1255[[#This Row],[CUIT]],Lista_CUIT[#All],2,0)),"CUIT NO CARGADO")</f>
        <v>-</v>
      </c>
      <c r="H2498" s="99">
        <f>ventas_b_mes1255[[#This Row],[TOTAL]]/1.21</f>
        <v>0</v>
      </c>
      <c r="I2498" s="64">
        <f>ventas_b_mes1255[[#This Row],[IMPORTE NETO]]*0.21</f>
        <v>0</v>
      </c>
      <c r="J2498" s="140"/>
      <c r="K2498" s="140"/>
      <c r="L2498" s="140"/>
      <c r="M2498" s="59"/>
    </row>
    <row r="2499" spans="2:13" x14ac:dyDescent="0.25">
      <c r="B2499" s="134"/>
      <c r="C2499" s="41"/>
      <c r="D2499" s="136"/>
      <c r="E2499" s="137"/>
      <c r="F2499" s="138"/>
      <c r="G2499" s="1" t="str">
        <f>IFERROR(IF(ventas_b_mes1255[[#This Row],[CUIT]]="","-",VLOOKUP(ventas_b_mes1255[[#This Row],[CUIT]],Lista_CUIT[#All],2,0)),"CUIT NO CARGADO")</f>
        <v>-</v>
      </c>
      <c r="H2499" s="99">
        <f>ventas_b_mes1255[[#This Row],[TOTAL]]/1.21</f>
        <v>0</v>
      </c>
      <c r="I2499" s="64">
        <f>ventas_b_mes1255[[#This Row],[IMPORTE NETO]]*0.21</f>
        <v>0</v>
      </c>
      <c r="J2499" s="140"/>
      <c r="K2499" s="140"/>
      <c r="L2499" s="140"/>
      <c r="M2499" s="59"/>
    </row>
    <row r="2500" spans="2:13" x14ac:dyDescent="0.25">
      <c r="B2500" s="134"/>
      <c r="C2500" s="41"/>
      <c r="D2500" s="136"/>
      <c r="E2500" s="137"/>
      <c r="F2500" s="138"/>
      <c r="G2500" s="1" t="str">
        <f>IFERROR(IF(ventas_b_mes1255[[#This Row],[CUIT]]="","-",VLOOKUP(ventas_b_mes1255[[#This Row],[CUIT]],Lista_CUIT[#All],2,0)),"CUIT NO CARGADO")</f>
        <v>-</v>
      </c>
      <c r="H2500" s="99">
        <f>ventas_b_mes1255[[#This Row],[TOTAL]]/1.21</f>
        <v>0</v>
      </c>
      <c r="I2500" s="64">
        <f>ventas_b_mes1255[[#This Row],[IMPORTE NETO]]*0.21</f>
        <v>0</v>
      </c>
      <c r="J2500" s="140"/>
      <c r="K2500" s="140"/>
      <c r="L2500" s="140"/>
      <c r="M2500" s="59"/>
    </row>
    <row r="2501" spans="2:13" x14ac:dyDescent="0.25">
      <c r="B2501" s="134"/>
      <c r="C2501" s="41"/>
      <c r="D2501" s="136"/>
      <c r="E2501" s="137"/>
      <c r="F2501" s="138"/>
      <c r="G2501" s="1" t="str">
        <f>IFERROR(IF(ventas_b_mes1255[[#This Row],[CUIT]]="","-",VLOOKUP(ventas_b_mes1255[[#This Row],[CUIT]],Lista_CUIT[#All],2,0)),"CUIT NO CARGADO")</f>
        <v>-</v>
      </c>
      <c r="H2501" s="99">
        <f>ventas_b_mes1255[[#This Row],[TOTAL]]/1.21</f>
        <v>0</v>
      </c>
      <c r="I2501" s="64">
        <f>ventas_b_mes1255[[#This Row],[IMPORTE NETO]]*0.21</f>
        <v>0</v>
      </c>
      <c r="J2501" s="140"/>
      <c r="K2501" s="140"/>
      <c r="L2501" s="140"/>
      <c r="M2501" s="59"/>
    </row>
    <row r="2502" spans="2:13" x14ac:dyDescent="0.25">
      <c r="B2502" s="134"/>
      <c r="C2502" s="41"/>
      <c r="D2502" s="136"/>
      <c r="E2502" s="137"/>
      <c r="F2502" s="138"/>
      <c r="G2502" s="1" t="str">
        <f>IFERROR(IF(ventas_b_mes1255[[#This Row],[CUIT]]="","-",VLOOKUP(ventas_b_mes1255[[#This Row],[CUIT]],Lista_CUIT[#All],2,0)),"CUIT NO CARGADO")</f>
        <v>-</v>
      </c>
      <c r="H2502" s="99">
        <f>ventas_b_mes1255[[#This Row],[TOTAL]]/1.21</f>
        <v>0</v>
      </c>
      <c r="I2502" s="64">
        <f>ventas_b_mes1255[[#This Row],[IMPORTE NETO]]*0.21</f>
        <v>0</v>
      </c>
      <c r="J2502" s="140"/>
      <c r="K2502" s="140"/>
      <c r="L2502" s="140"/>
      <c r="M2502" s="59"/>
    </row>
    <row r="2503" spans="2:13" x14ac:dyDescent="0.25">
      <c r="B2503" s="134"/>
      <c r="C2503" s="41"/>
      <c r="D2503" s="136"/>
      <c r="E2503" s="137"/>
      <c r="F2503" s="138"/>
      <c r="G2503" s="1" t="str">
        <f>IFERROR(IF(ventas_b_mes1255[[#This Row],[CUIT]]="","-",VLOOKUP(ventas_b_mes1255[[#This Row],[CUIT]],Lista_CUIT[#All],2,0)),"CUIT NO CARGADO")</f>
        <v>-</v>
      </c>
      <c r="H2503" s="99">
        <f>ventas_b_mes1255[[#This Row],[TOTAL]]/1.21</f>
        <v>0</v>
      </c>
      <c r="I2503" s="64">
        <f>ventas_b_mes1255[[#This Row],[IMPORTE NETO]]*0.21</f>
        <v>0</v>
      </c>
      <c r="J2503" s="140"/>
      <c r="K2503" s="140"/>
      <c r="L2503" s="140"/>
      <c r="M2503" s="59"/>
    </row>
    <row r="2504" spans="2:13" x14ac:dyDescent="0.25">
      <c r="B2504" s="134"/>
      <c r="C2504" s="41"/>
      <c r="D2504" s="136"/>
      <c r="E2504" s="137"/>
      <c r="F2504" s="138"/>
      <c r="G2504" s="1" t="str">
        <f>IFERROR(IF(ventas_b_mes1255[[#This Row],[CUIT]]="","-",VLOOKUP(ventas_b_mes1255[[#This Row],[CUIT]],Lista_CUIT[#All],2,0)),"CUIT NO CARGADO")</f>
        <v>-</v>
      </c>
      <c r="H2504" s="99">
        <f>ventas_b_mes1255[[#This Row],[TOTAL]]/1.21</f>
        <v>0</v>
      </c>
      <c r="I2504" s="64">
        <f>ventas_b_mes1255[[#This Row],[IMPORTE NETO]]*0.21</f>
        <v>0</v>
      </c>
      <c r="J2504" s="140"/>
      <c r="K2504" s="140"/>
      <c r="L2504" s="140"/>
      <c r="M2504" s="59"/>
    </row>
    <row r="2505" spans="2:13" x14ac:dyDescent="0.25">
      <c r="B2505" s="134"/>
      <c r="C2505" s="41"/>
      <c r="D2505" s="136"/>
      <c r="E2505" s="137"/>
      <c r="F2505" s="138"/>
      <c r="G2505" s="1" t="str">
        <f>IFERROR(IF(ventas_b_mes1255[[#This Row],[CUIT]]="","-",VLOOKUP(ventas_b_mes1255[[#This Row],[CUIT]],Lista_CUIT[#All],2,0)),"CUIT NO CARGADO")</f>
        <v>-</v>
      </c>
      <c r="H2505" s="99">
        <f>ventas_b_mes1255[[#This Row],[TOTAL]]/1.21</f>
        <v>0</v>
      </c>
      <c r="I2505" s="64">
        <f>ventas_b_mes1255[[#This Row],[IMPORTE NETO]]*0.21</f>
        <v>0</v>
      </c>
      <c r="J2505" s="140"/>
      <c r="K2505" s="140"/>
      <c r="L2505" s="140"/>
      <c r="M2505" s="59"/>
    </row>
    <row r="2506" spans="2:13" x14ac:dyDescent="0.25">
      <c r="B2506" s="134"/>
      <c r="C2506" s="41"/>
      <c r="D2506" s="136"/>
      <c r="E2506" s="137"/>
      <c r="F2506" s="138"/>
      <c r="G2506" s="1" t="str">
        <f>IFERROR(IF(ventas_b_mes1255[[#This Row],[CUIT]]="","-",VLOOKUP(ventas_b_mes1255[[#This Row],[CUIT]],Lista_CUIT[#All],2,0)),"CUIT NO CARGADO")</f>
        <v>-</v>
      </c>
      <c r="H2506" s="99">
        <f>ventas_b_mes1255[[#This Row],[TOTAL]]/1.21</f>
        <v>0</v>
      </c>
      <c r="I2506" s="64">
        <f>ventas_b_mes1255[[#This Row],[IMPORTE NETO]]*0.21</f>
        <v>0</v>
      </c>
      <c r="J2506" s="140"/>
      <c r="K2506" s="140"/>
      <c r="L2506" s="140"/>
      <c r="M2506" s="59"/>
    </row>
    <row r="2507" spans="2:13" x14ac:dyDescent="0.25">
      <c r="B2507" s="134"/>
      <c r="C2507" s="41"/>
      <c r="D2507" s="136"/>
      <c r="E2507" s="137"/>
      <c r="F2507" s="138"/>
      <c r="G2507" s="1" t="str">
        <f>IFERROR(IF(ventas_b_mes1255[[#This Row],[CUIT]]="","-",VLOOKUP(ventas_b_mes1255[[#This Row],[CUIT]],Lista_CUIT[#All],2,0)),"CUIT NO CARGADO")</f>
        <v>-</v>
      </c>
      <c r="H2507" s="99">
        <f>ventas_b_mes1255[[#This Row],[TOTAL]]/1.21</f>
        <v>0</v>
      </c>
      <c r="I2507" s="64">
        <f>ventas_b_mes1255[[#This Row],[IMPORTE NETO]]*0.21</f>
        <v>0</v>
      </c>
      <c r="J2507" s="140"/>
      <c r="K2507" s="140"/>
      <c r="L2507" s="140"/>
      <c r="M2507" s="59"/>
    </row>
    <row r="2508" spans="2:13" x14ac:dyDescent="0.25">
      <c r="B2508" s="134"/>
      <c r="C2508" s="41"/>
      <c r="D2508" s="136"/>
      <c r="E2508" s="137"/>
      <c r="F2508" s="138"/>
      <c r="G2508" s="1" t="str">
        <f>IFERROR(IF(ventas_b_mes1255[[#This Row],[CUIT]]="","-",VLOOKUP(ventas_b_mes1255[[#This Row],[CUIT]],Lista_CUIT[#All],2,0)),"CUIT NO CARGADO")</f>
        <v>-</v>
      </c>
      <c r="H2508" s="99">
        <f>ventas_b_mes1255[[#This Row],[TOTAL]]/1.21</f>
        <v>0</v>
      </c>
      <c r="I2508" s="64">
        <f>ventas_b_mes1255[[#This Row],[IMPORTE NETO]]*0.21</f>
        <v>0</v>
      </c>
      <c r="J2508" s="140"/>
      <c r="K2508" s="140"/>
      <c r="L2508" s="140"/>
      <c r="M2508" s="59"/>
    </row>
    <row r="2509" spans="2:13" x14ac:dyDescent="0.25">
      <c r="B2509" s="134"/>
      <c r="C2509" s="41"/>
      <c r="D2509" s="136"/>
      <c r="E2509" s="137"/>
      <c r="F2509" s="138"/>
      <c r="G2509" s="1" t="str">
        <f>IFERROR(IF(ventas_b_mes1255[[#This Row],[CUIT]]="","-",VLOOKUP(ventas_b_mes1255[[#This Row],[CUIT]],Lista_CUIT[#All],2,0)),"CUIT NO CARGADO")</f>
        <v>-</v>
      </c>
      <c r="H2509" s="99">
        <f>ventas_b_mes1255[[#This Row],[TOTAL]]/1.21</f>
        <v>0</v>
      </c>
      <c r="I2509" s="64">
        <f>ventas_b_mes1255[[#This Row],[IMPORTE NETO]]*0.21</f>
        <v>0</v>
      </c>
      <c r="J2509" s="140"/>
      <c r="K2509" s="140"/>
      <c r="L2509" s="140"/>
      <c r="M2509" s="59"/>
    </row>
    <row r="2510" spans="2:13" x14ac:dyDescent="0.25">
      <c r="B2510" s="134"/>
      <c r="C2510" s="41"/>
      <c r="D2510" s="136"/>
      <c r="E2510" s="137"/>
      <c r="F2510" s="138"/>
      <c r="G2510" s="1" t="str">
        <f>IFERROR(IF(ventas_b_mes1255[[#This Row],[CUIT]]="","-",VLOOKUP(ventas_b_mes1255[[#This Row],[CUIT]],Lista_CUIT[#All],2,0)),"CUIT NO CARGADO")</f>
        <v>-</v>
      </c>
      <c r="H2510" s="99">
        <f>ventas_b_mes1255[[#This Row],[TOTAL]]/1.21</f>
        <v>0</v>
      </c>
      <c r="I2510" s="64">
        <f>ventas_b_mes1255[[#This Row],[IMPORTE NETO]]*0.21</f>
        <v>0</v>
      </c>
      <c r="J2510" s="140"/>
      <c r="K2510" s="140"/>
      <c r="L2510" s="140"/>
      <c r="M2510" s="59"/>
    </row>
    <row r="2511" spans="2:13" x14ac:dyDescent="0.25">
      <c r="B2511" s="134"/>
      <c r="C2511" s="41"/>
      <c r="D2511" s="136"/>
      <c r="E2511" s="137"/>
      <c r="F2511" s="138"/>
      <c r="G2511" s="1" t="str">
        <f>IFERROR(IF(ventas_b_mes1255[[#This Row],[CUIT]]="","-",VLOOKUP(ventas_b_mes1255[[#This Row],[CUIT]],Lista_CUIT[#All],2,0)),"CUIT NO CARGADO")</f>
        <v>-</v>
      </c>
      <c r="H2511" s="99">
        <f>ventas_b_mes1255[[#This Row],[TOTAL]]/1.21</f>
        <v>0</v>
      </c>
      <c r="I2511" s="64">
        <f>ventas_b_mes1255[[#This Row],[IMPORTE NETO]]*0.21</f>
        <v>0</v>
      </c>
      <c r="J2511" s="140"/>
      <c r="K2511" s="140"/>
      <c r="L2511" s="140"/>
      <c r="M2511" s="59"/>
    </row>
    <row r="2512" spans="2:13" x14ac:dyDescent="0.25">
      <c r="B2512" s="134"/>
      <c r="C2512" s="41"/>
      <c r="D2512" s="136"/>
      <c r="E2512" s="137"/>
      <c r="F2512" s="138"/>
      <c r="G2512" s="1" t="str">
        <f>IFERROR(IF(ventas_b_mes1255[[#This Row],[CUIT]]="","-",VLOOKUP(ventas_b_mes1255[[#This Row],[CUIT]],Lista_CUIT[#All],2,0)),"CUIT NO CARGADO")</f>
        <v>-</v>
      </c>
      <c r="H2512" s="99">
        <f>ventas_b_mes1255[[#This Row],[TOTAL]]/1.21</f>
        <v>0</v>
      </c>
      <c r="I2512" s="64">
        <f>ventas_b_mes1255[[#This Row],[IMPORTE NETO]]*0.21</f>
        <v>0</v>
      </c>
      <c r="J2512" s="140"/>
      <c r="K2512" s="140"/>
      <c r="L2512" s="140"/>
      <c r="M2512" s="59"/>
    </row>
    <row r="2513" spans="2:13" x14ac:dyDescent="0.25">
      <c r="B2513" s="134"/>
      <c r="C2513" s="41"/>
      <c r="D2513" s="136"/>
      <c r="E2513" s="137"/>
      <c r="F2513" s="138"/>
      <c r="G2513" s="1" t="str">
        <f>IFERROR(IF(ventas_b_mes1255[[#This Row],[CUIT]]="","-",VLOOKUP(ventas_b_mes1255[[#This Row],[CUIT]],Lista_CUIT[#All],2,0)),"CUIT NO CARGADO")</f>
        <v>-</v>
      </c>
      <c r="H2513" s="99">
        <f>ventas_b_mes1255[[#This Row],[TOTAL]]/1.21</f>
        <v>0</v>
      </c>
      <c r="I2513" s="64">
        <f>ventas_b_mes1255[[#This Row],[IMPORTE NETO]]*0.21</f>
        <v>0</v>
      </c>
      <c r="J2513" s="140"/>
      <c r="K2513" s="140"/>
      <c r="L2513" s="140"/>
      <c r="M2513" s="59"/>
    </row>
    <row r="2514" spans="2:13" x14ac:dyDescent="0.25">
      <c r="B2514" s="134"/>
      <c r="C2514" s="41"/>
      <c r="D2514" s="136"/>
      <c r="E2514" s="137"/>
      <c r="F2514" s="138"/>
      <c r="G2514" s="1" t="str">
        <f>IFERROR(IF(ventas_b_mes1255[[#This Row],[CUIT]]="","-",VLOOKUP(ventas_b_mes1255[[#This Row],[CUIT]],Lista_CUIT[#All],2,0)),"CUIT NO CARGADO")</f>
        <v>-</v>
      </c>
      <c r="H2514" s="99">
        <f>ventas_b_mes1255[[#This Row],[TOTAL]]/1.21</f>
        <v>0</v>
      </c>
      <c r="I2514" s="64">
        <f>ventas_b_mes1255[[#This Row],[IMPORTE NETO]]*0.21</f>
        <v>0</v>
      </c>
      <c r="J2514" s="140"/>
      <c r="K2514" s="140"/>
      <c r="L2514" s="140"/>
      <c r="M2514" s="59"/>
    </row>
    <row r="2515" spans="2:13" x14ac:dyDescent="0.25">
      <c r="B2515" s="134"/>
      <c r="C2515" s="41"/>
      <c r="D2515" s="136"/>
      <c r="E2515" s="137"/>
      <c r="F2515" s="138"/>
      <c r="G2515" s="1" t="str">
        <f>IFERROR(IF(ventas_b_mes1255[[#This Row],[CUIT]]="","-",VLOOKUP(ventas_b_mes1255[[#This Row],[CUIT]],Lista_CUIT[#All],2,0)),"CUIT NO CARGADO")</f>
        <v>-</v>
      </c>
      <c r="H2515" s="99">
        <f>ventas_b_mes1255[[#This Row],[TOTAL]]/1.21</f>
        <v>0</v>
      </c>
      <c r="I2515" s="64">
        <f>ventas_b_mes1255[[#This Row],[IMPORTE NETO]]*0.21</f>
        <v>0</v>
      </c>
      <c r="J2515" s="140"/>
      <c r="K2515" s="140"/>
      <c r="L2515" s="140"/>
      <c r="M2515" s="59"/>
    </row>
    <row r="2516" spans="2:13" x14ac:dyDescent="0.25">
      <c r="B2516" s="134"/>
      <c r="C2516" s="41"/>
      <c r="D2516" s="136"/>
      <c r="E2516" s="137"/>
      <c r="F2516" s="138"/>
      <c r="G2516" s="1" t="str">
        <f>IFERROR(IF(ventas_b_mes1255[[#This Row],[CUIT]]="","-",VLOOKUP(ventas_b_mes1255[[#This Row],[CUIT]],Lista_CUIT[#All],2,0)),"CUIT NO CARGADO")</f>
        <v>-</v>
      </c>
      <c r="H2516" s="99">
        <f>ventas_b_mes1255[[#This Row],[TOTAL]]/1.21</f>
        <v>0</v>
      </c>
      <c r="I2516" s="64">
        <f>ventas_b_mes1255[[#This Row],[IMPORTE NETO]]*0.21</f>
        <v>0</v>
      </c>
      <c r="J2516" s="140"/>
      <c r="K2516" s="140"/>
      <c r="L2516" s="140"/>
      <c r="M2516" s="59"/>
    </row>
    <row r="2517" spans="2:13" x14ac:dyDescent="0.25">
      <c r="B2517" s="134"/>
      <c r="C2517" s="41"/>
      <c r="D2517" s="136"/>
      <c r="E2517" s="137"/>
      <c r="F2517" s="138"/>
      <c r="G2517" s="1" t="str">
        <f>IFERROR(IF(ventas_b_mes1255[[#This Row],[CUIT]]="","-",VLOOKUP(ventas_b_mes1255[[#This Row],[CUIT]],Lista_CUIT[#All],2,0)),"CUIT NO CARGADO")</f>
        <v>-</v>
      </c>
      <c r="H2517" s="99">
        <f>ventas_b_mes1255[[#This Row],[TOTAL]]/1.21</f>
        <v>0</v>
      </c>
      <c r="I2517" s="64">
        <f>ventas_b_mes1255[[#This Row],[IMPORTE NETO]]*0.21</f>
        <v>0</v>
      </c>
      <c r="J2517" s="140"/>
      <c r="K2517" s="140"/>
      <c r="L2517" s="140"/>
      <c r="M2517" s="59"/>
    </row>
    <row r="2518" spans="2:13" x14ac:dyDescent="0.25">
      <c r="B2518" s="134"/>
      <c r="C2518" s="41"/>
      <c r="D2518" s="136"/>
      <c r="E2518" s="137"/>
      <c r="F2518" s="138"/>
      <c r="G2518" s="1" t="str">
        <f>IFERROR(IF(ventas_b_mes1255[[#This Row],[CUIT]]="","-",VLOOKUP(ventas_b_mes1255[[#This Row],[CUIT]],Lista_CUIT[#All],2,0)),"CUIT NO CARGADO")</f>
        <v>-</v>
      </c>
      <c r="H2518" s="99">
        <f>ventas_b_mes1255[[#This Row],[TOTAL]]/1.21</f>
        <v>0</v>
      </c>
      <c r="I2518" s="64">
        <f>ventas_b_mes1255[[#This Row],[IMPORTE NETO]]*0.21</f>
        <v>0</v>
      </c>
      <c r="J2518" s="140"/>
      <c r="K2518" s="140"/>
      <c r="L2518" s="140"/>
      <c r="M2518" s="59"/>
    </row>
    <row r="2519" spans="2:13" x14ac:dyDescent="0.25">
      <c r="B2519" s="134"/>
      <c r="C2519" s="41"/>
      <c r="D2519" s="136"/>
      <c r="E2519" s="137"/>
      <c r="F2519" s="138"/>
      <c r="G2519" s="1" t="str">
        <f>IFERROR(IF(ventas_b_mes1255[[#This Row],[CUIT]]="","-",VLOOKUP(ventas_b_mes1255[[#This Row],[CUIT]],Lista_CUIT[#All],2,0)),"CUIT NO CARGADO")</f>
        <v>-</v>
      </c>
      <c r="H2519" s="99">
        <f>ventas_b_mes1255[[#This Row],[TOTAL]]/1.21</f>
        <v>0</v>
      </c>
      <c r="I2519" s="64">
        <f>ventas_b_mes1255[[#This Row],[IMPORTE NETO]]*0.21</f>
        <v>0</v>
      </c>
      <c r="J2519" s="140"/>
      <c r="K2519" s="140"/>
      <c r="L2519" s="140"/>
      <c r="M2519" s="59"/>
    </row>
    <row r="2520" spans="2:13" x14ac:dyDescent="0.25">
      <c r="B2520" s="134"/>
      <c r="C2520" s="41"/>
      <c r="D2520" s="136"/>
      <c r="E2520" s="137"/>
      <c r="F2520" s="138"/>
      <c r="G2520" s="1" t="str">
        <f>IFERROR(IF(ventas_b_mes1255[[#This Row],[CUIT]]="","-",VLOOKUP(ventas_b_mes1255[[#This Row],[CUIT]],Lista_CUIT[#All],2,0)),"CUIT NO CARGADO")</f>
        <v>-</v>
      </c>
      <c r="H2520" s="99">
        <f>ventas_b_mes1255[[#This Row],[TOTAL]]/1.21</f>
        <v>0</v>
      </c>
      <c r="I2520" s="64">
        <f>ventas_b_mes1255[[#This Row],[IMPORTE NETO]]*0.21</f>
        <v>0</v>
      </c>
      <c r="J2520" s="140"/>
      <c r="K2520" s="140"/>
      <c r="L2520" s="140"/>
      <c r="M2520" s="59"/>
    </row>
    <row r="2521" spans="2:13" x14ac:dyDescent="0.25">
      <c r="B2521" s="134"/>
      <c r="C2521" s="41"/>
      <c r="D2521" s="136"/>
      <c r="E2521" s="137"/>
      <c r="F2521" s="138"/>
      <c r="G2521" s="1" t="str">
        <f>IFERROR(IF(ventas_b_mes1255[[#This Row],[CUIT]]="","-",VLOOKUP(ventas_b_mes1255[[#This Row],[CUIT]],Lista_CUIT[#All],2,0)),"CUIT NO CARGADO")</f>
        <v>-</v>
      </c>
      <c r="H2521" s="99">
        <f>ventas_b_mes1255[[#This Row],[TOTAL]]/1.21</f>
        <v>0</v>
      </c>
      <c r="I2521" s="64">
        <f>ventas_b_mes1255[[#This Row],[IMPORTE NETO]]*0.21</f>
        <v>0</v>
      </c>
      <c r="J2521" s="140"/>
      <c r="K2521" s="140"/>
      <c r="L2521" s="140"/>
      <c r="M2521" s="59"/>
    </row>
    <row r="2522" spans="2:13" x14ac:dyDescent="0.25">
      <c r="B2522" s="134"/>
      <c r="C2522" s="41"/>
      <c r="D2522" s="136"/>
      <c r="E2522" s="137"/>
      <c r="F2522" s="138"/>
      <c r="G2522" s="1" t="str">
        <f>IFERROR(IF(ventas_b_mes1255[[#This Row],[CUIT]]="","-",VLOOKUP(ventas_b_mes1255[[#This Row],[CUIT]],Lista_CUIT[#All],2,0)),"CUIT NO CARGADO")</f>
        <v>-</v>
      </c>
      <c r="H2522" s="99">
        <f>ventas_b_mes1255[[#This Row],[TOTAL]]/1.21</f>
        <v>0</v>
      </c>
      <c r="I2522" s="64">
        <f>ventas_b_mes1255[[#This Row],[IMPORTE NETO]]*0.21</f>
        <v>0</v>
      </c>
      <c r="J2522" s="140"/>
      <c r="K2522" s="140"/>
      <c r="L2522" s="140"/>
      <c r="M2522" s="59"/>
    </row>
    <row r="2523" spans="2:13" x14ac:dyDescent="0.25">
      <c r="B2523" s="134"/>
      <c r="C2523" s="41"/>
      <c r="D2523" s="136"/>
      <c r="E2523" s="137"/>
      <c r="F2523" s="138"/>
      <c r="G2523" s="1" t="str">
        <f>IFERROR(IF(ventas_b_mes1255[[#This Row],[CUIT]]="","-",VLOOKUP(ventas_b_mes1255[[#This Row],[CUIT]],Lista_CUIT[#All],2,0)),"CUIT NO CARGADO")</f>
        <v>-</v>
      </c>
      <c r="H2523" s="99">
        <f>ventas_b_mes1255[[#This Row],[TOTAL]]/1.21</f>
        <v>0</v>
      </c>
      <c r="I2523" s="64">
        <f>ventas_b_mes1255[[#This Row],[IMPORTE NETO]]*0.21</f>
        <v>0</v>
      </c>
      <c r="J2523" s="140"/>
      <c r="K2523" s="140"/>
      <c r="L2523" s="140"/>
      <c r="M2523" s="59"/>
    </row>
    <row r="2524" spans="2:13" x14ac:dyDescent="0.25">
      <c r="B2524" s="134"/>
      <c r="C2524" s="41"/>
      <c r="D2524" s="136"/>
      <c r="E2524" s="137"/>
      <c r="F2524" s="138"/>
      <c r="G2524" s="1" t="str">
        <f>IFERROR(IF(ventas_b_mes1255[[#This Row],[CUIT]]="","-",VLOOKUP(ventas_b_mes1255[[#This Row],[CUIT]],Lista_CUIT[#All],2,0)),"CUIT NO CARGADO")</f>
        <v>-</v>
      </c>
      <c r="H2524" s="99">
        <f>ventas_b_mes1255[[#This Row],[TOTAL]]/1.21</f>
        <v>0</v>
      </c>
      <c r="I2524" s="64">
        <f>ventas_b_mes1255[[#This Row],[IMPORTE NETO]]*0.21</f>
        <v>0</v>
      </c>
      <c r="J2524" s="140"/>
      <c r="K2524" s="140"/>
      <c r="L2524" s="140"/>
      <c r="M2524" s="59"/>
    </row>
    <row r="2525" spans="2:13" x14ac:dyDescent="0.25">
      <c r="B2525" s="134"/>
      <c r="C2525" s="41"/>
      <c r="D2525" s="136"/>
      <c r="E2525" s="137"/>
      <c r="F2525" s="138"/>
      <c r="G2525" s="1" t="str">
        <f>IFERROR(IF(ventas_b_mes1255[[#This Row],[CUIT]]="","-",VLOOKUP(ventas_b_mes1255[[#This Row],[CUIT]],Lista_CUIT[#All],2,0)),"CUIT NO CARGADO")</f>
        <v>-</v>
      </c>
      <c r="H2525" s="99">
        <f>ventas_b_mes1255[[#This Row],[TOTAL]]/1.21</f>
        <v>0</v>
      </c>
      <c r="I2525" s="64">
        <f>ventas_b_mes1255[[#This Row],[IMPORTE NETO]]*0.21</f>
        <v>0</v>
      </c>
      <c r="J2525" s="140"/>
      <c r="K2525" s="140"/>
      <c r="L2525" s="140"/>
      <c r="M2525" s="59"/>
    </row>
    <row r="2526" spans="2:13" x14ac:dyDescent="0.25">
      <c r="B2526" s="134"/>
      <c r="C2526" s="41"/>
      <c r="D2526" s="136"/>
      <c r="E2526" s="137"/>
      <c r="F2526" s="138"/>
      <c r="G2526" s="1" t="str">
        <f>IFERROR(IF(ventas_b_mes1255[[#This Row],[CUIT]]="","-",VLOOKUP(ventas_b_mes1255[[#This Row],[CUIT]],Lista_CUIT[#All],2,0)),"CUIT NO CARGADO")</f>
        <v>-</v>
      </c>
      <c r="H2526" s="99">
        <f>ventas_b_mes1255[[#This Row],[TOTAL]]/1.21</f>
        <v>0</v>
      </c>
      <c r="I2526" s="64">
        <f>ventas_b_mes1255[[#This Row],[IMPORTE NETO]]*0.21</f>
        <v>0</v>
      </c>
      <c r="J2526" s="140"/>
      <c r="K2526" s="140"/>
      <c r="L2526" s="140"/>
      <c r="M2526" s="59"/>
    </row>
    <row r="2527" spans="2:13" x14ac:dyDescent="0.25">
      <c r="B2527" s="134"/>
      <c r="C2527" s="41"/>
      <c r="D2527" s="136"/>
      <c r="E2527" s="137"/>
      <c r="F2527" s="138"/>
      <c r="G2527" s="1" t="str">
        <f>IFERROR(IF(ventas_b_mes1255[[#This Row],[CUIT]]="","-",VLOOKUP(ventas_b_mes1255[[#This Row],[CUIT]],Lista_CUIT[#All],2,0)),"CUIT NO CARGADO")</f>
        <v>-</v>
      </c>
      <c r="H2527" s="99">
        <f>ventas_b_mes1255[[#This Row],[TOTAL]]/1.21</f>
        <v>0</v>
      </c>
      <c r="I2527" s="64">
        <f>ventas_b_mes1255[[#This Row],[IMPORTE NETO]]*0.21</f>
        <v>0</v>
      </c>
      <c r="J2527" s="140"/>
      <c r="K2527" s="140"/>
      <c r="L2527" s="140"/>
      <c r="M2527" s="59"/>
    </row>
    <row r="2528" spans="2:13" x14ac:dyDescent="0.25">
      <c r="B2528" s="134"/>
      <c r="C2528" s="41"/>
      <c r="D2528" s="136"/>
      <c r="E2528" s="137"/>
      <c r="F2528" s="138"/>
      <c r="G2528" s="1" t="str">
        <f>IFERROR(IF(ventas_b_mes1255[[#This Row],[CUIT]]="","-",VLOOKUP(ventas_b_mes1255[[#This Row],[CUIT]],Lista_CUIT[#All],2,0)),"CUIT NO CARGADO")</f>
        <v>-</v>
      </c>
      <c r="H2528" s="99">
        <f>ventas_b_mes1255[[#This Row],[TOTAL]]/1.21</f>
        <v>0</v>
      </c>
      <c r="I2528" s="64">
        <f>ventas_b_mes1255[[#This Row],[IMPORTE NETO]]*0.21</f>
        <v>0</v>
      </c>
      <c r="J2528" s="140"/>
      <c r="K2528" s="140"/>
      <c r="L2528" s="140"/>
      <c r="M2528" s="59"/>
    </row>
    <row r="2529" spans="2:13" x14ac:dyDescent="0.25">
      <c r="B2529" s="134"/>
      <c r="C2529" s="41"/>
      <c r="D2529" s="136"/>
      <c r="E2529" s="137"/>
      <c r="F2529" s="138"/>
      <c r="G2529" s="1" t="str">
        <f>IFERROR(IF(ventas_b_mes1255[[#This Row],[CUIT]]="","-",VLOOKUP(ventas_b_mes1255[[#This Row],[CUIT]],Lista_CUIT[#All],2,0)),"CUIT NO CARGADO")</f>
        <v>-</v>
      </c>
      <c r="H2529" s="99">
        <f>ventas_b_mes1255[[#This Row],[TOTAL]]/1.21</f>
        <v>0</v>
      </c>
      <c r="I2529" s="64">
        <f>ventas_b_mes1255[[#This Row],[IMPORTE NETO]]*0.21</f>
        <v>0</v>
      </c>
      <c r="J2529" s="140"/>
      <c r="K2529" s="140"/>
      <c r="L2529" s="140"/>
      <c r="M2529" s="59"/>
    </row>
    <row r="2530" spans="2:13" x14ac:dyDescent="0.25">
      <c r="B2530" s="134"/>
      <c r="C2530" s="41"/>
      <c r="D2530" s="136"/>
      <c r="E2530" s="137"/>
      <c r="F2530" s="138"/>
      <c r="G2530" s="1" t="str">
        <f>IFERROR(IF(ventas_b_mes1255[[#This Row],[CUIT]]="","-",VLOOKUP(ventas_b_mes1255[[#This Row],[CUIT]],Lista_CUIT[#All],2,0)),"CUIT NO CARGADO")</f>
        <v>-</v>
      </c>
      <c r="H2530" s="99">
        <f>ventas_b_mes1255[[#This Row],[TOTAL]]/1.21</f>
        <v>0</v>
      </c>
      <c r="I2530" s="64">
        <f>ventas_b_mes1255[[#This Row],[IMPORTE NETO]]*0.21</f>
        <v>0</v>
      </c>
      <c r="J2530" s="140"/>
      <c r="K2530" s="140"/>
      <c r="L2530" s="140"/>
      <c r="M2530" s="59"/>
    </row>
    <row r="2531" spans="2:13" x14ac:dyDescent="0.25">
      <c r="B2531" s="134"/>
      <c r="C2531" s="41"/>
      <c r="D2531" s="136"/>
      <c r="E2531" s="137"/>
      <c r="F2531" s="138"/>
      <c r="G2531" s="1" t="str">
        <f>IFERROR(IF(ventas_b_mes1255[[#This Row],[CUIT]]="","-",VLOOKUP(ventas_b_mes1255[[#This Row],[CUIT]],Lista_CUIT[#All],2,0)),"CUIT NO CARGADO")</f>
        <v>-</v>
      </c>
      <c r="H2531" s="99">
        <f>ventas_b_mes1255[[#This Row],[TOTAL]]/1.21</f>
        <v>0</v>
      </c>
      <c r="I2531" s="64">
        <f>ventas_b_mes1255[[#This Row],[IMPORTE NETO]]*0.21</f>
        <v>0</v>
      </c>
      <c r="J2531" s="140"/>
      <c r="K2531" s="140"/>
      <c r="L2531" s="140"/>
      <c r="M2531" s="59"/>
    </row>
    <row r="2532" spans="2:13" x14ac:dyDescent="0.25">
      <c r="B2532" s="134"/>
      <c r="C2532" s="41"/>
      <c r="D2532" s="136"/>
      <c r="E2532" s="137"/>
      <c r="F2532" s="138"/>
      <c r="G2532" s="1" t="str">
        <f>IFERROR(IF(ventas_b_mes1255[[#This Row],[CUIT]]="","-",VLOOKUP(ventas_b_mes1255[[#This Row],[CUIT]],Lista_CUIT[#All],2,0)),"CUIT NO CARGADO")</f>
        <v>-</v>
      </c>
      <c r="H2532" s="99">
        <f>ventas_b_mes1255[[#This Row],[TOTAL]]/1.21</f>
        <v>0</v>
      </c>
      <c r="I2532" s="64">
        <f>ventas_b_mes1255[[#This Row],[IMPORTE NETO]]*0.21</f>
        <v>0</v>
      </c>
      <c r="J2532" s="140"/>
      <c r="K2532" s="140"/>
      <c r="L2532" s="140"/>
      <c r="M2532" s="59"/>
    </row>
    <row r="2533" spans="2:13" x14ac:dyDescent="0.25">
      <c r="B2533" s="134"/>
      <c r="C2533" s="41"/>
      <c r="D2533" s="136"/>
      <c r="E2533" s="137"/>
      <c r="F2533" s="138"/>
      <c r="G2533" s="1" t="str">
        <f>IFERROR(IF(ventas_b_mes1255[[#This Row],[CUIT]]="","-",VLOOKUP(ventas_b_mes1255[[#This Row],[CUIT]],Lista_CUIT[#All],2,0)),"CUIT NO CARGADO")</f>
        <v>-</v>
      </c>
      <c r="H2533" s="99">
        <f>ventas_b_mes1255[[#This Row],[TOTAL]]/1.21</f>
        <v>0</v>
      </c>
      <c r="I2533" s="64">
        <f>ventas_b_mes1255[[#This Row],[IMPORTE NETO]]*0.21</f>
        <v>0</v>
      </c>
      <c r="J2533" s="140"/>
      <c r="K2533" s="140"/>
      <c r="L2533" s="140"/>
      <c r="M2533" s="59"/>
    </row>
    <row r="2534" spans="2:13" x14ac:dyDescent="0.25">
      <c r="B2534" s="134"/>
      <c r="C2534" s="41"/>
      <c r="D2534" s="136"/>
      <c r="E2534" s="137"/>
      <c r="F2534" s="138"/>
      <c r="G2534" s="1" t="str">
        <f>IFERROR(IF(ventas_b_mes1255[[#This Row],[CUIT]]="","-",VLOOKUP(ventas_b_mes1255[[#This Row],[CUIT]],Lista_CUIT[#All],2,0)),"CUIT NO CARGADO")</f>
        <v>-</v>
      </c>
      <c r="H2534" s="99">
        <f>ventas_b_mes1255[[#This Row],[TOTAL]]/1.21</f>
        <v>0</v>
      </c>
      <c r="I2534" s="64">
        <f>ventas_b_mes1255[[#This Row],[IMPORTE NETO]]*0.21</f>
        <v>0</v>
      </c>
      <c r="J2534" s="140"/>
      <c r="K2534" s="140"/>
      <c r="L2534" s="140"/>
      <c r="M2534" s="59"/>
    </row>
    <row r="2535" spans="2:13" x14ac:dyDescent="0.25">
      <c r="B2535" s="134"/>
      <c r="C2535" s="41"/>
      <c r="D2535" s="136"/>
      <c r="E2535" s="137"/>
      <c r="F2535" s="138"/>
      <c r="G2535" s="1" t="str">
        <f>IFERROR(IF(ventas_b_mes1255[[#This Row],[CUIT]]="","-",VLOOKUP(ventas_b_mes1255[[#This Row],[CUIT]],Lista_CUIT[#All],2,0)),"CUIT NO CARGADO")</f>
        <v>-</v>
      </c>
      <c r="H2535" s="99">
        <f>ventas_b_mes1255[[#This Row],[TOTAL]]/1.21</f>
        <v>0</v>
      </c>
      <c r="I2535" s="64">
        <f>ventas_b_mes1255[[#This Row],[IMPORTE NETO]]*0.21</f>
        <v>0</v>
      </c>
      <c r="J2535" s="140"/>
      <c r="K2535" s="140"/>
      <c r="L2535" s="140"/>
      <c r="M2535" s="59"/>
    </row>
    <row r="2536" spans="2:13" x14ac:dyDescent="0.25">
      <c r="B2536" s="134"/>
      <c r="C2536" s="41"/>
      <c r="D2536" s="136"/>
      <c r="E2536" s="137"/>
      <c r="F2536" s="138"/>
      <c r="G2536" s="1" t="str">
        <f>IFERROR(IF(ventas_b_mes1255[[#This Row],[CUIT]]="","-",VLOOKUP(ventas_b_mes1255[[#This Row],[CUIT]],Lista_CUIT[#All],2,0)),"CUIT NO CARGADO")</f>
        <v>-</v>
      </c>
      <c r="H2536" s="99">
        <f>ventas_b_mes1255[[#This Row],[TOTAL]]/1.21</f>
        <v>0</v>
      </c>
      <c r="I2536" s="64">
        <f>ventas_b_mes1255[[#This Row],[IMPORTE NETO]]*0.21</f>
        <v>0</v>
      </c>
      <c r="J2536" s="140"/>
      <c r="K2536" s="140"/>
      <c r="L2536" s="140"/>
      <c r="M2536" s="59"/>
    </row>
    <row r="2537" spans="2:13" x14ac:dyDescent="0.25">
      <c r="B2537" s="134"/>
      <c r="C2537" s="41"/>
      <c r="D2537" s="136"/>
      <c r="E2537" s="137"/>
      <c r="F2537" s="138"/>
      <c r="G2537" s="1" t="str">
        <f>IFERROR(IF(ventas_b_mes1255[[#This Row],[CUIT]]="","-",VLOOKUP(ventas_b_mes1255[[#This Row],[CUIT]],Lista_CUIT[#All],2,0)),"CUIT NO CARGADO")</f>
        <v>-</v>
      </c>
      <c r="H2537" s="99">
        <f>ventas_b_mes1255[[#This Row],[TOTAL]]/1.21</f>
        <v>0</v>
      </c>
      <c r="I2537" s="64">
        <f>ventas_b_mes1255[[#This Row],[IMPORTE NETO]]*0.21</f>
        <v>0</v>
      </c>
      <c r="J2537" s="140"/>
      <c r="K2537" s="140"/>
      <c r="L2537" s="140"/>
      <c r="M2537" s="59"/>
    </row>
    <row r="2538" spans="2:13" x14ac:dyDescent="0.25">
      <c r="B2538" s="134"/>
      <c r="C2538" s="41"/>
      <c r="D2538" s="136"/>
      <c r="E2538" s="137"/>
      <c r="F2538" s="138"/>
      <c r="G2538" s="1" t="str">
        <f>IFERROR(IF(ventas_b_mes1255[[#This Row],[CUIT]]="","-",VLOOKUP(ventas_b_mes1255[[#This Row],[CUIT]],Lista_CUIT[#All],2,0)),"CUIT NO CARGADO")</f>
        <v>-</v>
      </c>
      <c r="H2538" s="99">
        <f>ventas_b_mes1255[[#This Row],[TOTAL]]/1.21</f>
        <v>0</v>
      </c>
      <c r="I2538" s="64">
        <f>ventas_b_mes1255[[#This Row],[IMPORTE NETO]]*0.21</f>
        <v>0</v>
      </c>
      <c r="J2538" s="140"/>
      <c r="K2538" s="140"/>
      <c r="L2538" s="140"/>
      <c r="M2538" s="59"/>
    </row>
    <row r="2539" spans="2:13" x14ac:dyDescent="0.25">
      <c r="B2539" s="134"/>
      <c r="C2539" s="41"/>
      <c r="D2539" s="136"/>
      <c r="E2539" s="137"/>
      <c r="F2539" s="138"/>
      <c r="G2539" s="1" t="str">
        <f>IFERROR(IF(ventas_b_mes1255[[#This Row],[CUIT]]="","-",VLOOKUP(ventas_b_mes1255[[#This Row],[CUIT]],Lista_CUIT[#All],2,0)),"CUIT NO CARGADO")</f>
        <v>-</v>
      </c>
      <c r="H2539" s="99">
        <f>ventas_b_mes1255[[#This Row],[TOTAL]]/1.21</f>
        <v>0</v>
      </c>
      <c r="I2539" s="64">
        <f>ventas_b_mes1255[[#This Row],[IMPORTE NETO]]*0.21</f>
        <v>0</v>
      </c>
      <c r="J2539" s="140"/>
      <c r="K2539" s="140"/>
      <c r="L2539" s="140"/>
      <c r="M2539" s="59"/>
    </row>
    <row r="2540" spans="2:13" x14ac:dyDescent="0.25">
      <c r="B2540" s="134"/>
      <c r="C2540" s="41"/>
      <c r="D2540" s="136"/>
      <c r="E2540" s="137"/>
      <c r="F2540" s="138"/>
      <c r="G2540" s="1" t="str">
        <f>IFERROR(IF(ventas_b_mes1255[[#This Row],[CUIT]]="","-",VLOOKUP(ventas_b_mes1255[[#This Row],[CUIT]],Lista_CUIT[#All],2,0)),"CUIT NO CARGADO")</f>
        <v>-</v>
      </c>
      <c r="H2540" s="99">
        <f>ventas_b_mes1255[[#This Row],[TOTAL]]/1.21</f>
        <v>0</v>
      </c>
      <c r="I2540" s="64">
        <f>ventas_b_mes1255[[#This Row],[IMPORTE NETO]]*0.21</f>
        <v>0</v>
      </c>
      <c r="J2540" s="140"/>
      <c r="K2540" s="140"/>
      <c r="L2540" s="140"/>
      <c r="M2540" s="59"/>
    </row>
    <row r="2541" spans="2:13" x14ac:dyDescent="0.25">
      <c r="B2541" s="134"/>
      <c r="C2541" s="41"/>
      <c r="D2541" s="136"/>
      <c r="E2541" s="137"/>
      <c r="F2541" s="138"/>
      <c r="G2541" s="1" t="str">
        <f>IFERROR(IF(ventas_b_mes1255[[#This Row],[CUIT]]="","-",VLOOKUP(ventas_b_mes1255[[#This Row],[CUIT]],Lista_CUIT[#All],2,0)),"CUIT NO CARGADO")</f>
        <v>-</v>
      </c>
      <c r="H2541" s="99">
        <f>ventas_b_mes1255[[#This Row],[TOTAL]]/1.21</f>
        <v>0</v>
      </c>
      <c r="I2541" s="64">
        <f>ventas_b_mes1255[[#This Row],[IMPORTE NETO]]*0.21</f>
        <v>0</v>
      </c>
      <c r="J2541" s="140"/>
      <c r="K2541" s="140"/>
      <c r="L2541" s="140"/>
      <c r="M2541" s="59"/>
    </row>
    <row r="2542" spans="2:13" x14ac:dyDescent="0.25">
      <c r="B2542" s="134"/>
      <c r="C2542" s="41"/>
      <c r="D2542" s="136"/>
      <c r="E2542" s="137"/>
      <c r="F2542" s="138"/>
      <c r="G2542" s="1" t="str">
        <f>IFERROR(IF(ventas_b_mes1255[[#This Row],[CUIT]]="","-",VLOOKUP(ventas_b_mes1255[[#This Row],[CUIT]],Lista_CUIT[#All],2,0)),"CUIT NO CARGADO")</f>
        <v>-</v>
      </c>
      <c r="H2542" s="99">
        <f>ventas_b_mes1255[[#This Row],[TOTAL]]/1.21</f>
        <v>0</v>
      </c>
      <c r="I2542" s="64">
        <f>ventas_b_mes1255[[#This Row],[IMPORTE NETO]]*0.21</f>
        <v>0</v>
      </c>
      <c r="J2542" s="140"/>
      <c r="K2542" s="140"/>
      <c r="L2542" s="140"/>
      <c r="M2542" s="59"/>
    </row>
    <row r="2543" spans="2:13" x14ac:dyDescent="0.25">
      <c r="B2543" s="134"/>
      <c r="C2543" s="41"/>
      <c r="D2543" s="136"/>
      <c r="E2543" s="137"/>
      <c r="F2543" s="138"/>
      <c r="G2543" s="1" t="str">
        <f>IFERROR(IF(ventas_b_mes1255[[#This Row],[CUIT]]="","-",VLOOKUP(ventas_b_mes1255[[#This Row],[CUIT]],Lista_CUIT[#All],2,0)),"CUIT NO CARGADO")</f>
        <v>-</v>
      </c>
      <c r="H2543" s="99">
        <f>ventas_b_mes1255[[#This Row],[TOTAL]]/1.21</f>
        <v>0</v>
      </c>
      <c r="I2543" s="64">
        <f>ventas_b_mes1255[[#This Row],[IMPORTE NETO]]*0.21</f>
        <v>0</v>
      </c>
      <c r="J2543" s="140"/>
      <c r="K2543" s="140"/>
      <c r="L2543" s="140"/>
      <c r="M2543" s="59"/>
    </row>
    <row r="2544" spans="2:13" x14ac:dyDescent="0.25">
      <c r="B2544" s="134"/>
      <c r="C2544" s="41"/>
      <c r="D2544" s="136"/>
      <c r="E2544" s="137"/>
      <c r="F2544" s="138"/>
      <c r="G2544" s="1" t="str">
        <f>IFERROR(IF(ventas_b_mes1255[[#This Row],[CUIT]]="","-",VLOOKUP(ventas_b_mes1255[[#This Row],[CUIT]],Lista_CUIT[#All],2,0)),"CUIT NO CARGADO")</f>
        <v>-</v>
      </c>
      <c r="H2544" s="99">
        <f>ventas_b_mes1255[[#This Row],[TOTAL]]/1.21</f>
        <v>0</v>
      </c>
      <c r="I2544" s="64">
        <f>ventas_b_mes1255[[#This Row],[IMPORTE NETO]]*0.21</f>
        <v>0</v>
      </c>
      <c r="J2544" s="140"/>
      <c r="K2544" s="140"/>
      <c r="L2544" s="140"/>
      <c r="M2544" s="59"/>
    </row>
    <row r="2545" spans="2:13" x14ac:dyDescent="0.25">
      <c r="B2545" s="134"/>
      <c r="C2545" s="41"/>
      <c r="D2545" s="136"/>
      <c r="E2545" s="137"/>
      <c r="F2545" s="138"/>
      <c r="G2545" s="1" t="str">
        <f>IFERROR(IF(ventas_b_mes1255[[#This Row],[CUIT]]="","-",VLOOKUP(ventas_b_mes1255[[#This Row],[CUIT]],Lista_CUIT[#All],2,0)),"CUIT NO CARGADO")</f>
        <v>-</v>
      </c>
      <c r="H2545" s="99">
        <f>ventas_b_mes1255[[#This Row],[TOTAL]]/1.21</f>
        <v>0</v>
      </c>
      <c r="I2545" s="64">
        <f>ventas_b_mes1255[[#This Row],[IMPORTE NETO]]*0.21</f>
        <v>0</v>
      </c>
      <c r="J2545" s="140"/>
      <c r="K2545" s="140"/>
      <c r="L2545" s="140"/>
      <c r="M2545" s="59"/>
    </row>
    <row r="2546" spans="2:13" x14ac:dyDescent="0.25">
      <c r="B2546" s="134"/>
      <c r="C2546" s="41"/>
      <c r="D2546" s="136"/>
      <c r="E2546" s="137"/>
      <c r="F2546" s="138"/>
      <c r="G2546" s="1" t="str">
        <f>IFERROR(IF(ventas_b_mes1255[[#This Row],[CUIT]]="","-",VLOOKUP(ventas_b_mes1255[[#This Row],[CUIT]],Lista_CUIT[#All],2,0)),"CUIT NO CARGADO")</f>
        <v>-</v>
      </c>
      <c r="H2546" s="99">
        <f>ventas_b_mes1255[[#This Row],[TOTAL]]/1.21</f>
        <v>0</v>
      </c>
      <c r="I2546" s="64">
        <f>ventas_b_mes1255[[#This Row],[IMPORTE NETO]]*0.21</f>
        <v>0</v>
      </c>
      <c r="J2546" s="140"/>
      <c r="K2546" s="140"/>
      <c r="L2546" s="140"/>
      <c r="M2546" s="59"/>
    </row>
    <row r="2547" spans="2:13" x14ac:dyDescent="0.25">
      <c r="B2547" s="134"/>
      <c r="C2547" s="41"/>
      <c r="D2547" s="136"/>
      <c r="E2547" s="137"/>
      <c r="F2547" s="138"/>
      <c r="G2547" s="1" t="str">
        <f>IFERROR(IF(ventas_b_mes1255[[#This Row],[CUIT]]="","-",VLOOKUP(ventas_b_mes1255[[#This Row],[CUIT]],Lista_CUIT[#All],2,0)),"CUIT NO CARGADO")</f>
        <v>-</v>
      </c>
      <c r="H2547" s="99">
        <f>ventas_b_mes1255[[#This Row],[TOTAL]]/1.21</f>
        <v>0</v>
      </c>
      <c r="I2547" s="64">
        <f>ventas_b_mes1255[[#This Row],[IMPORTE NETO]]*0.21</f>
        <v>0</v>
      </c>
      <c r="J2547" s="140"/>
      <c r="K2547" s="140"/>
      <c r="L2547" s="140"/>
      <c r="M2547" s="59"/>
    </row>
    <row r="2548" spans="2:13" x14ac:dyDescent="0.25">
      <c r="B2548" s="134"/>
      <c r="C2548" s="41"/>
      <c r="D2548" s="136"/>
      <c r="E2548" s="137"/>
      <c r="F2548" s="138"/>
      <c r="G2548" s="1" t="str">
        <f>IFERROR(IF(ventas_b_mes1255[[#This Row],[CUIT]]="","-",VLOOKUP(ventas_b_mes1255[[#This Row],[CUIT]],Lista_CUIT[#All],2,0)),"CUIT NO CARGADO")</f>
        <v>-</v>
      </c>
      <c r="H2548" s="99">
        <f>ventas_b_mes1255[[#This Row],[TOTAL]]/1.21</f>
        <v>0</v>
      </c>
      <c r="I2548" s="64">
        <f>ventas_b_mes1255[[#This Row],[IMPORTE NETO]]*0.21</f>
        <v>0</v>
      </c>
      <c r="J2548" s="140"/>
      <c r="K2548" s="140"/>
      <c r="L2548" s="140"/>
      <c r="M2548" s="59"/>
    </row>
    <row r="2549" spans="2:13" x14ac:dyDescent="0.25">
      <c r="B2549" s="134"/>
      <c r="C2549" s="41"/>
      <c r="D2549" s="136"/>
      <c r="E2549" s="137"/>
      <c r="F2549" s="138"/>
      <c r="G2549" s="1" t="str">
        <f>IFERROR(IF(ventas_b_mes1255[[#This Row],[CUIT]]="","-",VLOOKUP(ventas_b_mes1255[[#This Row],[CUIT]],Lista_CUIT[#All],2,0)),"CUIT NO CARGADO")</f>
        <v>-</v>
      </c>
      <c r="H2549" s="99">
        <f>ventas_b_mes1255[[#This Row],[TOTAL]]/1.21</f>
        <v>0</v>
      </c>
      <c r="I2549" s="64">
        <f>ventas_b_mes1255[[#This Row],[IMPORTE NETO]]*0.21</f>
        <v>0</v>
      </c>
      <c r="J2549" s="140"/>
      <c r="K2549" s="140"/>
      <c r="L2549" s="140"/>
      <c r="M2549" s="59"/>
    </row>
    <row r="2550" spans="2:13" x14ac:dyDescent="0.25">
      <c r="B2550" s="134"/>
      <c r="C2550" s="41"/>
      <c r="D2550" s="136"/>
      <c r="E2550" s="137"/>
      <c r="F2550" s="138"/>
      <c r="G2550" s="1" t="str">
        <f>IFERROR(IF(ventas_b_mes1255[[#This Row],[CUIT]]="","-",VLOOKUP(ventas_b_mes1255[[#This Row],[CUIT]],Lista_CUIT[#All],2,0)),"CUIT NO CARGADO")</f>
        <v>-</v>
      </c>
      <c r="H2550" s="99">
        <f>ventas_b_mes1255[[#This Row],[TOTAL]]/1.21</f>
        <v>0</v>
      </c>
      <c r="I2550" s="64">
        <f>ventas_b_mes1255[[#This Row],[IMPORTE NETO]]*0.21</f>
        <v>0</v>
      </c>
      <c r="J2550" s="140"/>
      <c r="K2550" s="140"/>
      <c r="L2550" s="140"/>
      <c r="M2550" s="59"/>
    </row>
    <row r="2551" spans="2:13" x14ac:dyDescent="0.25">
      <c r="B2551" s="134"/>
      <c r="C2551" s="41"/>
      <c r="D2551" s="136"/>
      <c r="E2551" s="137"/>
      <c r="F2551" s="138"/>
      <c r="G2551" s="1" t="str">
        <f>IFERROR(IF(ventas_b_mes1255[[#This Row],[CUIT]]="","-",VLOOKUP(ventas_b_mes1255[[#This Row],[CUIT]],Lista_CUIT[#All],2,0)),"CUIT NO CARGADO")</f>
        <v>-</v>
      </c>
      <c r="H2551" s="99">
        <f>ventas_b_mes1255[[#This Row],[TOTAL]]/1.21</f>
        <v>0</v>
      </c>
      <c r="I2551" s="64">
        <f>ventas_b_mes1255[[#This Row],[IMPORTE NETO]]*0.21</f>
        <v>0</v>
      </c>
      <c r="J2551" s="140"/>
      <c r="K2551" s="140"/>
      <c r="L2551" s="140"/>
      <c r="M2551" s="59"/>
    </row>
    <row r="2552" spans="2:13" x14ac:dyDescent="0.25">
      <c r="B2552" s="134"/>
      <c r="C2552" s="41"/>
      <c r="D2552" s="136"/>
      <c r="E2552" s="137"/>
      <c r="F2552" s="138"/>
      <c r="G2552" s="1" t="str">
        <f>IFERROR(IF(ventas_b_mes1255[[#This Row],[CUIT]]="","-",VLOOKUP(ventas_b_mes1255[[#This Row],[CUIT]],Lista_CUIT[#All],2,0)),"CUIT NO CARGADO")</f>
        <v>-</v>
      </c>
      <c r="H2552" s="99">
        <f>ventas_b_mes1255[[#This Row],[TOTAL]]/1.21</f>
        <v>0</v>
      </c>
      <c r="I2552" s="64">
        <f>ventas_b_mes1255[[#This Row],[IMPORTE NETO]]*0.21</f>
        <v>0</v>
      </c>
      <c r="J2552" s="140"/>
      <c r="K2552" s="140"/>
      <c r="L2552" s="140"/>
      <c r="M2552" s="59"/>
    </row>
    <row r="2553" spans="2:13" x14ac:dyDescent="0.25">
      <c r="B2553" s="134"/>
      <c r="C2553" s="41"/>
      <c r="D2553" s="136"/>
      <c r="E2553" s="137"/>
      <c r="F2553" s="138"/>
      <c r="G2553" s="1" t="str">
        <f>IFERROR(IF(ventas_b_mes1255[[#This Row],[CUIT]]="","-",VLOOKUP(ventas_b_mes1255[[#This Row],[CUIT]],Lista_CUIT[#All],2,0)),"CUIT NO CARGADO")</f>
        <v>-</v>
      </c>
      <c r="H2553" s="99">
        <f>ventas_b_mes1255[[#This Row],[TOTAL]]/1.21</f>
        <v>0</v>
      </c>
      <c r="I2553" s="64">
        <f>ventas_b_mes1255[[#This Row],[IMPORTE NETO]]*0.21</f>
        <v>0</v>
      </c>
      <c r="J2553" s="140"/>
      <c r="K2553" s="140"/>
      <c r="L2553" s="140"/>
      <c r="M2553" s="59"/>
    </row>
    <row r="2554" spans="2:13" x14ac:dyDescent="0.25">
      <c r="B2554" s="134"/>
      <c r="C2554" s="41"/>
      <c r="D2554" s="136"/>
      <c r="E2554" s="137"/>
      <c r="F2554" s="138"/>
      <c r="G2554" s="1" t="str">
        <f>IFERROR(IF(ventas_b_mes1255[[#This Row],[CUIT]]="","-",VLOOKUP(ventas_b_mes1255[[#This Row],[CUIT]],Lista_CUIT[#All],2,0)),"CUIT NO CARGADO")</f>
        <v>-</v>
      </c>
      <c r="H2554" s="99">
        <f>ventas_b_mes1255[[#This Row],[TOTAL]]/1.21</f>
        <v>0</v>
      </c>
      <c r="I2554" s="64">
        <f>ventas_b_mes1255[[#This Row],[IMPORTE NETO]]*0.21</f>
        <v>0</v>
      </c>
      <c r="J2554" s="140"/>
      <c r="K2554" s="140"/>
      <c r="L2554" s="140"/>
      <c r="M2554" s="59"/>
    </row>
    <row r="2555" spans="2:13" x14ac:dyDescent="0.25">
      <c r="B2555" s="134"/>
      <c r="C2555" s="41"/>
      <c r="D2555" s="136"/>
      <c r="E2555" s="137"/>
      <c r="F2555" s="138"/>
      <c r="G2555" s="1" t="str">
        <f>IFERROR(IF(ventas_b_mes1255[[#This Row],[CUIT]]="","-",VLOOKUP(ventas_b_mes1255[[#This Row],[CUIT]],Lista_CUIT[#All],2,0)),"CUIT NO CARGADO")</f>
        <v>-</v>
      </c>
      <c r="H2555" s="99">
        <f>ventas_b_mes1255[[#This Row],[TOTAL]]/1.21</f>
        <v>0</v>
      </c>
      <c r="I2555" s="64">
        <f>ventas_b_mes1255[[#This Row],[IMPORTE NETO]]*0.21</f>
        <v>0</v>
      </c>
      <c r="J2555" s="140"/>
      <c r="K2555" s="140"/>
      <c r="L2555" s="140"/>
      <c r="M2555" s="59"/>
    </row>
    <row r="2556" spans="2:13" x14ac:dyDescent="0.25">
      <c r="B2556" s="134"/>
      <c r="C2556" s="41"/>
      <c r="D2556" s="136"/>
      <c r="E2556" s="137"/>
      <c r="F2556" s="138"/>
      <c r="G2556" s="1" t="str">
        <f>IFERROR(IF(ventas_b_mes1255[[#This Row],[CUIT]]="","-",VLOOKUP(ventas_b_mes1255[[#This Row],[CUIT]],Lista_CUIT[#All],2,0)),"CUIT NO CARGADO")</f>
        <v>-</v>
      </c>
      <c r="H2556" s="99">
        <f>ventas_b_mes1255[[#This Row],[TOTAL]]/1.21</f>
        <v>0</v>
      </c>
      <c r="I2556" s="64">
        <f>ventas_b_mes1255[[#This Row],[IMPORTE NETO]]*0.21</f>
        <v>0</v>
      </c>
      <c r="J2556" s="140"/>
      <c r="K2556" s="140"/>
      <c r="L2556" s="140"/>
      <c r="M2556" s="59"/>
    </row>
    <row r="2557" spans="2:13" x14ac:dyDescent="0.25">
      <c r="B2557" s="134"/>
      <c r="C2557" s="41"/>
      <c r="D2557" s="136"/>
      <c r="E2557" s="137"/>
      <c r="F2557" s="138"/>
      <c r="G2557" s="1" t="str">
        <f>IFERROR(IF(ventas_b_mes1255[[#This Row],[CUIT]]="","-",VLOOKUP(ventas_b_mes1255[[#This Row],[CUIT]],Lista_CUIT[#All],2,0)),"CUIT NO CARGADO")</f>
        <v>-</v>
      </c>
      <c r="H2557" s="99">
        <f>ventas_b_mes1255[[#This Row],[TOTAL]]/1.21</f>
        <v>0</v>
      </c>
      <c r="I2557" s="64">
        <f>ventas_b_mes1255[[#This Row],[IMPORTE NETO]]*0.21</f>
        <v>0</v>
      </c>
      <c r="J2557" s="140"/>
      <c r="K2557" s="140"/>
      <c r="L2557" s="140"/>
      <c r="M2557" s="59"/>
    </row>
    <row r="2558" spans="2:13" x14ac:dyDescent="0.25">
      <c r="B2558" s="134"/>
      <c r="C2558" s="41"/>
      <c r="D2558" s="136"/>
      <c r="E2558" s="137"/>
      <c r="F2558" s="138"/>
      <c r="G2558" s="1" t="str">
        <f>IFERROR(IF(ventas_b_mes1255[[#This Row],[CUIT]]="","-",VLOOKUP(ventas_b_mes1255[[#This Row],[CUIT]],Lista_CUIT[#All],2,0)),"CUIT NO CARGADO")</f>
        <v>-</v>
      </c>
      <c r="H2558" s="99">
        <f>ventas_b_mes1255[[#This Row],[TOTAL]]/1.21</f>
        <v>0</v>
      </c>
      <c r="I2558" s="64">
        <f>ventas_b_mes1255[[#This Row],[IMPORTE NETO]]*0.21</f>
        <v>0</v>
      </c>
      <c r="J2558" s="140"/>
      <c r="K2558" s="140"/>
      <c r="L2558" s="140"/>
      <c r="M2558" s="59"/>
    </row>
    <row r="2559" spans="2:13" x14ac:dyDescent="0.25">
      <c r="B2559" s="134"/>
      <c r="C2559" s="41"/>
      <c r="D2559" s="136"/>
      <c r="E2559" s="137"/>
      <c r="F2559" s="138"/>
      <c r="G2559" s="1" t="str">
        <f>IFERROR(IF(ventas_b_mes1255[[#This Row],[CUIT]]="","-",VLOOKUP(ventas_b_mes1255[[#This Row],[CUIT]],Lista_CUIT[#All],2,0)),"CUIT NO CARGADO")</f>
        <v>-</v>
      </c>
      <c r="H2559" s="99">
        <f>ventas_b_mes1255[[#This Row],[TOTAL]]/1.21</f>
        <v>0</v>
      </c>
      <c r="I2559" s="64">
        <f>ventas_b_mes1255[[#This Row],[IMPORTE NETO]]*0.21</f>
        <v>0</v>
      </c>
      <c r="J2559" s="140"/>
      <c r="K2559" s="140"/>
      <c r="L2559" s="140"/>
      <c r="M2559" s="59"/>
    </row>
    <row r="2560" spans="2:13" x14ac:dyDescent="0.25">
      <c r="B2560" s="134"/>
      <c r="C2560" s="41"/>
      <c r="D2560" s="136"/>
      <c r="E2560" s="137"/>
      <c r="F2560" s="138"/>
      <c r="G2560" s="1" t="str">
        <f>IFERROR(IF(ventas_b_mes1255[[#This Row],[CUIT]]="","-",VLOOKUP(ventas_b_mes1255[[#This Row],[CUIT]],Lista_CUIT[#All],2,0)),"CUIT NO CARGADO")</f>
        <v>-</v>
      </c>
      <c r="H2560" s="99">
        <f>ventas_b_mes1255[[#This Row],[TOTAL]]/1.21</f>
        <v>0</v>
      </c>
      <c r="I2560" s="64">
        <f>ventas_b_mes1255[[#This Row],[IMPORTE NETO]]*0.21</f>
        <v>0</v>
      </c>
      <c r="J2560" s="140"/>
      <c r="K2560" s="140"/>
      <c r="L2560" s="140"/>
      <c r="M2560" s="59"/>
    </row>
    <row r="2561" spans="2:13" x14ac:dyDescent="0.25">
      <c r="B2561" s="134"/>
      <c r="C2561" s="41"/>
      <c r="D2561" s="136"/>
      <c r="E2561" s="137"/>
      <c r="F2561" s="138"/>
      <c r="G2561" s="1" t="str">
        <f>IFERROR(IF(ventas_b_mes1255[[#This Row],[CUIT]]="","-",VLOOKUP(ventas_b_mes1255[[#This Row],[CUIT]],Lista_CUIT[#All],2,0)),"CUIT NO CARGADO")</f>
        <v>-</v>
      </c>
      <c r="H2561" s="99">
        <f>ventas_b_mes1255[[#This Row],[TOTAL]]/1.21</f>
        <v>0</v>
      </c>
      <c r="I2561" s="64">
        <f>ventas_b_mes1255[[#This Row],[IMPORTE NETO]]*0.21</f>
        <v>0</v>
      </c>
      <c r="J2561" s="140"/>
      <c r="K2561" s="140"/>
      <c r="L2561" s="140"/>
      <c r="M2561" s="59"/>
    </row>
    <row r="2562" spans="2:13" x14ac:dyDescent="0.25">
      <c r="B2562" s="134"/>
      <c r="C2562" s="41"/>
      <c r="D2562" s="136"/>
      <c r="E2562" s="137"/>
      <c r="F2562" s="138"/>
      <c r="G2562" s="1" t="str">
        <f>IFERROR(IF(ventas_b_mes1255[[#This Row],[CUIT]]="","-",VLOOKUP(ventas_b_mes1255[[#This Row],[CUIT]],Lista_CUIT[#All],2,0)),"CUIT NO CARGADO")</f>
        <v>-</v>
      </c>
      <c r="H2562" s="99">
        <f>ventas_b_mes1255[[#This Row],[TOTAL]]/1.21</f>
        <v>0</v>
      </c>
      <c r="I2562" s="64">
        <f>ventas_b_mes1255[[#This Row],[IMPORTE NETO]]*0.21</f>
        <v>0</v>
      </c>
      <c r="J2562" s="140"/>
      <c r="K2562" s="140"/>
      <c r="L2562" s="140"/>
      <c r="M2562" s="59"/>
    </row>
    <row r="2563" spans="2:13" x14ac:dyDescent="0.25">
      <c r="B2563" s="134"/>
      <c r="C2563" s="41"/>
      <c r="D2563" s="136"/>
      <c r="E2563" s="137"/>
      <c r="F2563" s="138"/>
      <c r="G2563" s="1" t="str">
        <f>IFERROR(IF(ventas_b_mes1255[[#This Row],[CUIT]]="","-",VLOOKUP(ventas_b_mes1255[[#This Row],[CUIT]],Lista_CUIT[#All],2,0)),"CUIT NO CARGADO")</f>
        <v>-</v>
      </c>
      <c r="H2563" s="99">
        <f>ventas_b_mes1255[[#This Row],[TOTAL]]/1.21</f>
        <v>0</v>
      </c>
      <c r="I2563" s="64">
        <f>ventas_b_mes1255[[#This Row],[IMPORTE NETO]]*0.21</f>
        <v>0</v>
      </c>
      <c r="J2563" s="140"/>
      <c r="K2563" s="140"/>
      <c r="L2563" s="140"/>
      <c r="M2563" s="59"/>
    </row>
    <row r="2564" spans="2:13" x14ac:dyDescent="0.25">
      <c r="B2564" s="134"/>
      <c r="C2564" s="41"/>
      <c r="D2564" s="136"/>
      <c r="E2564" s="137"/>
      <c r="F2564" s="138"/>
      <c r="G2564" s="1" t="str">
        <f>IFERROR(IF(ventas_b_mes1255[[#This Row],[CUIT]]="","-",VLOOKUP(ventas_b_mes1255[[#This Row],[CUIT]],Lista_CUIT[#All],2,0)),"CUIT NO CARGADO")</f>
        <v>-</v>
      </c>
      <c r="H2564" s="99">
        <f>ventas_b_mes1255[[#This Row],[TOTAL]]/1.21</f>
        <v>0</v>
      </c>
      <c r="I2564" s="64">
        <f>ventas_b_mes1255[[#This Row],[IMPORTE NETO]]*0.21</f>
        <v>0</v>
      </c>
      <c r="J2564" s="140"/>
      <c r="K2564" s="140"/>
      <c r="L2564" s="140"/>
      <c r="M2564" s="59"/>
    </row>
    <row r="2565" spans="2:13" x14ac:dyDescent="0.25">
      <c r="B2565" s="134"/>
      <c r="C2565" s="41"/>
      <c r="D2565" s="136"/>
      <c r="E2565" s="137"/>
      <c r="F2565" s="138"/>
      <c r="G2565" s="1" t="str">
        <f>IFERROR(IF(ventas_b_mes1255[[#This Row],[CUIT]]="","-",VLOOKUP(ventas_b_mes1255[[#This Row],[CUIT]],Lista_CUIT[#All],2,0)),"CUIT NO CARGADO")</f>
        <v>-</v>
      </c>
      <c r="H2565" s="99">
        <f>ventas_b_mes1255[[#This Row],[TOTAL]]/1.21</f>
        <v>0</v>
      </c>
      <c r="I2565" s="64">
        <f>ventas_b_mes1255[[#This Row],[IMPORTE NETO]]*0.21</f>
        <v>0</v>
      </c>
      <c r="J2565" s="140"/>
      <c r="K2565" s="140"/>
      <c r="L2565" s="140"/>
      <c r="M2565" s="59"/>
    </row>
    <row r="2566" spans="2:13" x14ac:dyDescent="0.25">
      <c r="B2566" s="134"/>
      <c r="C2566" s="41"/>
      <c r="D2566" s="136"/>
      <c r="E2566" s="137"/>
      <c r="F2566" s="138"/>
      <c r="G2566" s="1" t="str">
        <f>IFERROR(IF(ventas_b_mes1255[[#This Row],[CUIT]]="","-",VLOOKUP(ventas_b_mes1255[[#This Row],[CUIT]],Lista_CUIT[#All],2,0)),"CUIT NO CARGADO")</f>
        <v>-</v>
      </c>
      <c r="H2566" s="99">
        <f>ventas_b_mes1255[[#This Row],[TOTAL]]/1.21</f>
        <v>0</v>
      </c>
      <c r="I2566" s="64">
        <f>ventas_b_mes1255[[#This Row],[IMPORTE NETO]]*0.21</f>
        <v>0</v>
      </c>
      <c r="J2566" s="140"/>
      <c r="K2566" s="140"/>
      <c r="L2566" s="140"/>
      <c r="M2566" s="59"/>
    </row>
    <row r="2567" spans="2:13" x14ac:dyDescent="0.25">
      <c r="B2567" s="134"/>
      <c r="C2567" s="41"/>
      <c r="D2567" s="136"/>
      <c r="E2567" s="137"/>
      <c r="F2567" s="138"/>
      <c r="G2567" s="1" t="str">
        <f>IFERROR(IF(ventas_b_mes1255[[#This Row],[CUIT]]="","-",VLOOKUP(ventas_b_mes1255[[#This Row],[CUIT]],Lista_CUIT[#All],2,0)),"CUIT NO CARGADO")</f>
        <v>-</v>
      </c>
      <c r="H2567" s="99">
        <f>ventas_b_mes1255[[#This Row],[TOTAL]]/1.21</f>
        <v>0</v>
      </c>
      <c r="I2567" s="64">
        <f>ventas_b_mes1255[[#This Row],[IMPORTE NETO]]*0.21</f>
        <v>0</v>
      </c>
      <c r="J2567" s="140"/>
      <c r="K2567" s="140"/>
      <c r="L2567" s="140"/>
      <c r="M2567" s="59"/>
    </row>
    <row r="2568" spans="2:13" x14ac:dyDescent="0.25">
      <c r="B2568" s="134"/>
      <c r="C2568" s="41"/>
      <c r="D2568" s="136"/>
      <c r="E2568" s="137"/>
      <c r="F2568" s="138"/>
      <c r="G2568" s="1" t="str">
        <f>IFERROR(IF(ventas_b_mes1255[[#This Row],[CUIT]]="","-",VLOOKUP(ventas_b_mes1255[[#This Row],[CUIT]],Lista_CUIT[#All],2,0)),"CUIT NO CARGADO")</f>
        <v>-</v>
      </c>
      <c r="H2568" s="99">
        <f>ventas_b_mes1255[[#This Row],[TOTAL]]/1.21</f>
        <v>0</v>
      </c>
      <c r="I2568" s="64">
        <f>ventas_b_mes1255[[#This Row],[IMPORTE NETO]]*0.21</f>
        <v>0</v>
      </c>
      <c r="J2568" s="140"/>
      <c r="K2568" s="140"/>
      <c r="L2568" s="140"/>
      <c r="M2568" s="59"/>
    </row>
    <row r="2569" spans="2:13" x14ac:dyDescent="0.25">
      <c r="B2569" s="134"/>
      <c r="C2569" s="41"/>
      <c r="D2569" s="136"/>
      <c r="E2569" s="137"/>
      <c r="F2569" s="138"/>
      <c r="G2569" s="1" t="str">
        <f>IFERROR(IF(ventas_b_mes1255[[#This Row],[CUIT]]="","-",VLOOKUP(ventas_b_mes1255[[#This Row],[CUIT]],Lista_CUIT[#All],2,0)),"CUIT NO CARGADO")</f>
        <v>-</v>
      </c>
      <c r="H2569" s="99">
        <f>ventas_b_mes1255[[#This Row],[TOTAL]]/1.21</f>
        <v>0</v>
      </c>
      <c r="I2569" s="64">
        <f>ventas_b_mes1255[[#This Row],[IMPORTE NETO]]*0.21</f>
        <v>0</v>
      </c>
      <c r="J2569" s="140"/>
      <c r="K2569" s="140"/>
      <c r="L2569" s="140"/>
      <c r="M2569" s="59"/>
    </row>
    <row r="2570" spans="2:13" x14ac:dyDescent="0.25">
      <c r="B2570" s="134"/>
      <c r="C2570" s="41"/>
      <c r="D2570" s="136"/>
      <c r="E2570" s="137"/>
      <c r="F2570" s="138"/>
      <c r="G2570" s="1" t="str">
        <f>IFERROR(IF(ventas_b_mes1255[[#This Row],[CUIT]]="","-",VLOOKUP(ventas_b_mes1255[[#This Row],[CUIT]],Lista_CUIT[#All],2,0)),"CUIT NO CARGADO")</f>
        <v>-</v>
      </c>
      <c r="H2570" s="99">
        <f>ventas_b_mes1255[[#This Row],[TOTAL]]/1.21</f>
        <v>0</v>
      </c>
      <c r="I2570" s="64">
        <f>ventas_b_mes1255[[#This Row],[IMPORTE NETO]]*0.21</f>
        <v>0</v>
      </c>
      <c r="J2570" s="140"/>
      <c r="K2570" s="140"/>
      <c r="L2570" s="140"/>
      <c r="M2570" s="59"/>
    </row>
    <row r="2571" spans="2:13" x14ac:dyDescent="0.25">
      <c r="B2571" s="134"/>
      <c r="C2571" s="41"/>
      <c r="D2571" s="136"/>
      <c r="E2571" s="137"/>
      <c r="F2571" s="138"/>
      <c r="G2571" s="1" t="str">
        <f>IFERROR(IF(ventas_b_mes1255[[#This Row],[CUIT]]="","-",VLOOKUP(ventas_b_mes1255[[#This Row],[CUIT]],Lista_CUIT[#All],2,0)),"CUIT NO CARGADO")</f>
        <v>-</v>
      </c>
      <c r="H2571" s="99">
        <f>ventas_b_mes1255[[#This Row],[TOTAL]]/1.21</f>
        <v>0</v>
      </c>
      <c r="I2571" s="64">
        <f>ventas_b_mes1255[[#This Row],[IMPORTE NETO]]*0.21</f>
        <v>0</v>
      </c>
      <c r="J2571" s="140"/>
      <c r="K2571" s="140"/>
      <c r="L2571" s="140"/>
      <c r="M2571" s="59"/>
    </row>
    <row r="2572" spans="2:13" x14ac:dyDescent="0.25">
      <c r="B2572" s="134"/>
      <c r="C2572" s="41"/>
      <c r="D2572" s="136"/>
      <c r="E2572" s="137"/>
      <c r="F2572" s="138"/>
      <c r="G2572" s="1" t="str">
        <f>IFERROR(IF(ventas_b_mes1255[[#This Row],[CUIT]]="","-",VLOOKUP(ventas_b_mes1255[[#This Row],[CUIT]],Lista_CUIT[#All],2,0)),"CUIT NO CARGADO")</f>
        <v>-</v>
      </c>
      <c r="H2572" s="99">
        <f>ventas_b_mes1255[[#This Row],[TOTAL]]/1.21</f>
        <v>0</v>
      </c>
      <c r="I2572" s="64">
        <f>ventas_b_mes1255[[#This Row],[IMPORTE NETO]]*0.21</f>
        <v>0</v>
      </c>
      <c r="J2572" s="140"/>
      <c r="K2572" s="140"/>
      <c r="L2572" s="140"/>
      <c r="M2572" s="59"/>
    </row>
    <row r="2573" spans="2:13" x14ac:dyDescent="0.25">
      <c r="B2573" s="134"/>
      <c r="C2573" s="41"/>
      <c r="D2573" s="136"/>
      <c r="E2573" s="137"/>
      <c r="F2573" s="138"/>
      <c r="G2573" s="1" t="str">
        <f>IFERROR(IF(ventas_b_mes1255[[#This Row],[CUIT]]="","-",VLOOKUP(ventas_b_mes1255[[#This Row],[CUIT]],Lista_CUIT[#All],2,0)),"CUIT NO CARGADO")</f>
        <v>-</v>
      </c>
      <c r="H2573" s="99">
        <f>ventas_b_mes1255[[#This Row],[TOTAL]]/1.21</f>
        <v>0</v>
      </c>
      <c r="I2573" s="64">
        <f>ventas_b_mes1255[[#This Row],[IMPORTE NETO]]*0.21</f>
        <v>0</v>
      </c>
      <c r="J2573" s="140"/>
      <c r="K2573" s="140"/>
      <c r="L2573" s="140"/>
      <c r="M2573" s="59"/>
    </row>
    <row r="2574" spans="2:13" x14ac:dyDescent="0.25">
      <c r="B2574" s="134"/>
      <c r="C2574" s="41"/>
      <c r="D2574" s="136"/>
      <c r="E2574" s="137"/>
      <c r="F2574" s="138"/>
      <c r="G2574" s="1" t="str">
        <f>IFERROR(IF(ventas_b_mes1255[[#This Row],[CUIT]]="","-",VLOOKUP(ventas_b_mes1255[[#This Row],[CUIT]],Lista_CUIT[#All],2,0)),"CUIT NO CARGADO")</f>
        <v>-</v>
      </c>
      <c r="H2574" s="99">
        <f>ventas_b_mes1255[[#This Row],[TOTAL]]/1.21</f>
        <v>0</v>
      </c>
      <c r="I2574" s="64">
        <f>ventas_b_mes1255[[#This Row],[IMPORTE NETO]]*0.21</f>
        <v>0</v>
      </c>
      <c r="J2574" s="140"/>
      <c r="K2574" s="140"/>
      <c r="L2574" s="140"/>
      <c r="M2574" s="59"/>
    </row>
    <row r="2575" spans="2:13" x14ac:dyDescent="0.25">
      <c r="B2575" s="134"/>
      <c r="C2575" s="41"/>
      <c r="D2575" s="136"/>
      <c r="E2575" s="137"/>
      <c r="F2575" s="138"/>
      <c r="G2575" s="1" t="str">
        <f>IFERROR(IF(ventas_b_mes1255[[#This Row],[CUIT]]="","-",VLOOKUP(ventas_b_mes1255[[#This Row],[CUIT]],Lista_CUIT[#All],2,0)),"CUIT NO CARGADO")</f>
        <v>-</v>
      </c>
      <c r="H2575" s="99">
        <f>ventas_b_mes1255[[#This Row],[TOTAL]]/1.21</f>
        <v>0</v>
      </c>
      <c r="I2575" s="64">
        <f>ventas_b_mes1255[[#This Row],[IMPORTE NETO]]*0.21</f>
        <v>0</v>
      </c>
      <c r="J2575" s="140"/>
      <c r="K2575" s="140"/>
      <c r="L2575" s="140"/>
      <c r="M2575" s="59"/>
    </row>
    <row r="2576" spans="2:13" x14ac:dyDescent="0.25">
      <c r="B2576" s="134"/>
      <c r="C2576" s="41"/>
      <c r="D2576" s="136"/>
      <c r="E2576" s="137"/>
      <c r="F2576" s="138"/>
      <c r="G2576" s="1" t="str">
        <f>IFERROR(IF(ventas_b_mes1255[[#This Row],[CUIT]]="","-",VLOOKUP(ventas_b_mes1255[[#This Row],[CUIT]],Lista_CUIT[#All],2,0)),"CUIT NO CARGADO")</f>
        <v>-</v>
      </c>
      <c r="H2576" s="99">
        <f>ventas_b_mes1255[[#This Row],[TOTAL]]/1.21</f>
        <v>0</v>
      </c>
      <c r="I2576" s="64">
        <f>ventas_b_mes1255[[#This Row],[IMPORTE NETO]]*0.21</f>
        <v>0</v>
      </c>
      <c r="J2576" s="140"/>
      <c r="K2576" s="140"/>
      <c r="L2576" s="140"/>
      <c r="M2576" s="59"/>
    </row>
    <row r="2577" spans="2:13" x14ac:dyDescent="0.25">
      <c r="B2577" s="134"/>
      <c r="C2577" s="41"/>
      <c r="D2577" s="136"/>
      <c r="E2577" s="137"/>
      <c r="F2577" s="138"/>
      <c r="G2577" s="1" t="str">
        <f>IFERROR(IF(ventas_b_mes1255[[#This Row],[CUIT]]="","-",VLOOKUP(ventas_b_mes1255[[#This Row],[CUIT]],Lista_CUIT[#All],2,0)),"CUIT NO CARGADO")</f>
        <v>-</v>
      </c>
      <c r="H2577" s="99">
        <f>ventas_b_mes1255[[#This Row],[TOTAL]]/1.21</f>
        <v>0</v>
      </c>
      <c r="I2577" s="64">
        <f>ventas_b_mes1255[[#This Row],[IMPORTE NETO]]*0.21</f>
        <v>0</v>
      </c>
      <c r="J2577" s="140"/>
      <c r="K2577" s="140"/>
      <c r="L2577" s="140"/>
      <c r="M2577" s="59"/>
    </row>
    <row r="2578" spans="2:13" x14ac:dyDescent="0.25">
      <c r="B2578" s="134"/>
      <c r="C2578" s="41"/>
      <c r="D2578" s="136"/>
      <c r="E2578" s="137"/>
      <c r="F2578" s="138"/>
      <c r="G2578" s="1" t="str">
        <f>IFERROR(IF(ventas_b_mes1255[[#This Row],[CUIT]]="","-",VLOOKUP(ventas_b_mes1255[[#This Row],[CUIT]],Lista_CUIT[#All],2,0)),"CUIT NO CARGADO")</f>
        <v>-</v>
      </c>
      <c r="H2578" s="99">
        <f>ventas_b_mes1255[[#This Row],[TOTAL]]/1.21</f>
        <v>0</v>
      </c>
      <c r="I2578" s="64">
        <f>ventas_b_mes1255[[#This Row],[IMPORTE NETO]]*0.21</f>
        <v>0</v>
      </c>
      <c r="J2578" s="140"/>
      <c r="K2578" s="140"/>
      <c r="L2578" s="140"/>
      <c r="M2578" s="59"/>
    </row>
    <row r="2579" spans="2:13" x14ac:dyDescent="0.25">
      <c r="B2579" s="134"/>
      <c r="C2579" s="41"/>
      <c r="D2579" s="136"/>
      <c r="E2579" s="137"/>
      <c r="F2579" s="138"/>
      <c r="G2579" s="1" t="str">
        <f>IFERROR(IF(ventas_b_mes1255[[#This Row],[CUIT]]="","-",VLOOKUP(ventas_b_mes1255[[#This Row],[CUIT]],Lista_CUIT[#All],2,0)),"CUIT NO CARGADO")</f>
        <v>-</v>
      </c>
      <c r="H2579" s="99">
        <f>ventas_b_mes1255[[#This Row],[TOTAL]]/1.21</f>
        <v>0</v>
      </c>
      <c r="I2579" s="64">
        <f>ventas_b_mes1255[[#This Row],[IMPORTE NETO]]*0.21</f>
        <v>0</v>
      </c>
      <c r="J2579" s="140"/>
      <c r="K2579" s="140"/>
      <c r="L2579" s="140"/>
      <c r="M2579" s="59"/>
    </row>
    <row r="2580" spans="2:13" x14ac:dyDescent="0.25">
      <c r="B2580" s="134"/>
      <c r="C2580" s="41"/>
      <c r="D2580" s="136"/>
      <c r="E2580" s="137"/>
      <c r="F2580" s="138"/>
      <c r="G2580" s="1" t="str">
        <f>IFERROR(IF(ventas_b_mes1255[[#This Row],[CUIT]]="","-",VLOOKUP(ventas_b_mes1255[[#This Row],[CUIT]],Lista_CUIT[#All],2,0)),"CUIT NO CARGADO")</f>
        <v>-</v>
      </c>
      <c r="H2580" s="99">
        <f>ventas_b_mes1255[[#This Row],[TOTAL]]/1.21</f>
        <v>0</v>
      </c>
      <c r="I2580" s="64">
        <f>ventas_b_mes1255[[#This Row],[IMPORTE NETO]]*0.21</f>
        <v>0</v>
      </c>
      <c r="J2580" s="140"/>
      <c r="K2580" s="140"/>
      <c r="L2580" s="140"/>
      <c r="M2580" s="59"/>
    </row>
    <row r="2581" spans="2:13" x14ac:dyDescent="0.25">
      <c r="B2581" s="134"/>
      <c r="C2581" s="41"/>
      <c r="D2581" s="136"/>
      <c r="E2581" s="137"/>
      <c r="F2581" s="138"/>
      <c r="G2581" s="1" t="str">
        <f>IFERROR(IF(ventas_b_mes1255[[#This Row],[CUIT]]="","-",VLOOKUP(ventas_b_mes1255[[#This Row],[CUIT]],Lista_CUIT[#All],2,0)),"CUIT NO CARGADO")</f>
        <v>-</v>
      </c>
      <c r="H2581" s="99">
        <f>ventas_b_mes1255[[#This Row],[TOTAL]]/1.21</f>
        <v>0</v>
      </c>
      <c r="I2581" s="64">
        <f>ventas_b_mes1255[[#This Row],[IMPORTE NETO]]*0.21</f>
        <v>0</v>
      </c>
      <c r="J2581" s="140"/>
      <c r="K2581" s="140"/>
      <c r="L2581" s="140"/>
      <c r="M2581" s="59"/>
    </row>
    <row r="2582" spans="2:13" x14ac:dyDescent="0.25">
      <c r="B2582" s="134"/>
      <c r="C2582" s="41"/>
      <c r="D2582" s="136"/>
      <c r="E2582" s="137"/>
      <c r="F2582" s="138"/>
      <c r="G2582" s="1" t="str">
        <f>IFERROR(IF(ventas_b_mes1255[[#This Row],[CUIT]]="","-",VLOOKUP(ventas_b_mes1255[[#This Row],[CUIT]],Lista_CUIT[#All],2,0)),"CUIT NO CARGADO")</f>
        <v>-</v>
      </c>
      <c r="H2582" s="99">
        <f>ventas_b_mes1255[[#This Row],[TOTAL]]/1.21</f>
        <v>0</v>
      </c>
      <c r="I2582" s="64">
        <f>ventas_b_mes1255[[#This Row],[IMPORTE NETO]]*0.21</f>
        <v>0</v>
      </c>
      <c r="J2582" s="140"/>
      <c r="K2582" s="140"/>
      <c r="L2582" s="140"/>
      <c r="M2582" s="59"/>
    </row>
    <row r="2583" spans="2:13" x14ac:dyDescent="0.25">
      <c r="B2583" s="134"/>
      <c r="C2583" s="41"/>
      <c r="D2583" s="136"/>
      <c r="E2583" s="137"/>
      <c r="F2583" s="138"/>
      <c r="G2583" s="1" t="str">
        <f>IFERROR(IF(ventas_b_mes1255[[#This Row],[CUIT]]="","-",VLOOKUP(ventas_b_mes1255[[#This Row],[CUIT]],Lista_CUIT[#All],2,0)),"CUIT NO CARGADO")</f>
        <v>-</v>
      </c>
      <c r="H2583" s="99">
        <f>ventas_b_mes1255[[#This Row],[TOTAL]]/1.21</f>
        <v>0</v>
      </c>
      <c r="I2583" s="64">
        <f>ventas_b_mes1255[[#This Row],[IMPORTE NETO]]*0.21</f>
        <v>0</v>
      </c>
      <c r="J2583" s="140"/>
      <c r="K2583" s="140"/>
      <c r="L2583" s="140"/>
      <c r="M2583" s="59"/>
    </row>
    <row r="2584" spans="2:13" x14ac:dyDescent="0.25">
      <c r="B2584" s="134"/>
      <c r="C2584" s="41"/>
      <c r="D2584" s="136"/>
      <c r="E2584" s="137"/>
      <c r="F2584" s="138"/>
      <c r="G2584" s="1" t="str">
        <f>IFERROR(IF(ventas_b_mes1255[[#This Row],[CUIT]]="","-",VLOOKUP(ventas_b_mes1255[[#This Row],[CUIT]],Lista_CUIT[#All],2,0)),"CUIT NO CARGADO")</f>
        <v>-</v>
      </c>
      <c r="H2584" s="99">
        <f>ventas_b_mes1255[[#This Row],[TOTAL]]/1.21</f>
        <v>0</v>
      </c>
      <c r="I2584" s="64">
        <f>ventas_b_mes1255[[#This Row],[IMPORTE NETO]]*0.21</f>
        <v>0</v>
      </c>
      <c r="J2584" s="140"/>
      <c r="K2584" s="140"/>
      <c r="L2584" s="140"/>
      <c r="M2584" s="59"/>
    </row>
    <row r="2585" spans="2:13" x14ac:dyDescent="0.25">
      <c r="B2585" s="134"/>
      <c r="C2585" s="41"/>
      <c r="D2585" s="136"/>
      <c r="E2585" s="137"/>
      <c r="F2585" s="138"/>
      <c r="G2585" s="1" t="str">
        <f>IFERROR(IF(ventas_b_mes1255[[#This Row],[CUIT]]="","-",VLOOKUP(ventas_b_mes1255[[#This Row],[CUIT]],Lista_CUIT[#All],2,0)),"CUIT NO CARGADO")</f>
        <v>-</v>
      </c>
      <c r="H2585" s="99">
        <f>ventas_b_mes1255[[#This Row],[TOTAL]]/1.21</f>
        <v>0</v>
      </c>
      <c r="I2585" s="64">
        <f>ventas_b_mes1255[[#This Row],[IMPORTE NETO]]*0.21</f>
        <v>0</v>
      </c>
      <c r="J2585" s="140"/>
      <c r="K2585" s="140"/>
      <c r="L2585" s="140"/>
      <c r="M2585" s="59"/>
    </row>
    <row r="2586" spans="2:13" x14ac:dyDescent="0.25">
      <c r="B2586" s="134"/>
      <c r="C2586" s="41"/>
      <c r="D2586" s="136"/>
      <c r="E2586" s="137"/>
      <c r="F2586" s="138"/>
      <c r="G2586" s="1" t="str">
        <f>IFERROR(IF(ventas_b_mes1255[[#This Row],[CUIT]]="","-",VLOOKUP(ventas_b_mes1255[[#This Row],[CUIT]],Lista_CUIT[#All],2,0)),"CUIT NO CARGADO")</f>
        <v>-</v>
      </c>
      <c r="H2586" s="99">
        <f>ventas_b_mes1255[[#This Row],[TOTAL]]/1.21</f>
        <v>0</v>
      </c>
      <c r="I2586" s="64">
        <f>ventas_b_mes1255[[#This Row],[IMPORTE NETO]]*0.21</f>
        <v>0</v>
      </c>
      <c r="J2586" s="140"/>
      <c r="K2586" s="140"/>
      <c r="L2586" s="140"/>
      <c r="M2586" s="59"/>
    </row>
    <row r="2587" spans="2:13" x14ac:dyDescent="0.25">
      <c r="B2587" s="134"/>
      <c r="C2587" s="41"/>
      <c r="D2587" s="136"/>
      <c r="E2587" s="137"/>
      <c r="F2587" s="138"/>
      <c r="G2587" s="1" t="str">
        <f>IFERROR(IF(ventas_b_mes1255[[#This Row],[CUIT]]="","-",VLOOKUP(ventas_b_mes1255[[#This Row],[CUIT]],Lista_CUIT[#All],2,0)),"CUIT NO CARGADO")</f>
        <v>-</v>
      </c>
      <c r="H2587" s="99">
        <f>ventas_b_mes1255[[#This Row],[TOTAL]]/1.21</f>
        <v>0</v>
      </c>
      <c r="I2587" s="64">
        <f>ventas_b_mes1255[[#This Row],[IMPORTE NETO]]*0.21</f>
        <v>0</v>
      </c>
      <c r="J2587" s="140"/>
      <c r="K2587" s="140"/>
      <c r="L2587" s="140"/>
      <c r="M2587" s="59"/>
    </row>
    <row r="2588" spans="2:13" x14ac:dyDescent="0.25">
      <c r="B2588" s="134"/>
      <c r="C2588" s="41"/>
      <c r="D2588" s="136"/>
      <c r="E2588" s="137"/>
      <c r="F2588" s="138"/>
      <c r="G2588" s="1" t="str">
        <f>IFERROR(IF(ventas_b_mes1255[[#This Row],[CUIT]]="","-",VLOOKUP(ventas_b_mes1255[[#This Row],[CUIT]],Lista_CUIT[#All],2,0)),"CUIT NO CARGADO")</f>
        <v>-</v>
      </c>
      <c r="H2588" s="99">
        <f>ventas_b_mes1255[[#This Row],[TOTAL]]/1.21</f>
        <v>0</v>
      </c>
      <c r="I2588" s="64">
        <f>ventas_b_mes1255[[#This Row],[IMPORTE NETO]]*0.21</f>
        <v>0</v>
      </c>
      <c r="J2588" s="140"/>
      <c r="K2588" s="140"/>
      <c r="L2588" s="140"/>
      <c r="M2588" s="59"/>
    </row>
    <row r="2589" spans="2:13" x14ac:dyDescent="0.25">
      <c r="B2589" s="134"/>
      <c r="C2589" s="41"/>
      <c r="D2589" s="136"/>
      <c r="E2589" s="137"/>
      <c r="F2589" s="112"/>
      <c r="G2589" s="1" t="str">
        <f>IFERROR(IF(ventas_b_mes1255[[#This Row],[CUIT]]="","-",VLOOKUP(ventas_b_mes1255[[#This Row],[CUIT]],Lista_CUIT[#All],2,0)),"CUIT NO CARGADO")</f>
        <v>-</v>
      </c>
      <c r="H2589" s="99">
        <f>ventas_b_mes1255[[#This Row],[TOTAL]]/1.21</f>
        <v>0</v>
      </c>
      <c r="I2589" s="64">
        <f>ventas_b_mes1255[[#This Row],[IMPORTE NETO]]*0.21</f>
        <v>0</v>
      </c>
      <c r="J2589" s="140"/>
      <c r="K2589" s="140"/>
      <c r="L2589" s="140"/>
      <c r="M2589" s="59"/>
    </row>
    <row r="2590" spans="2:13" x14ac:dyDescent="0.25">
      <c r="B2590" s="134"/>
      <c r="C2590" s="41"/>
      <c r="D2590" s="136"/>
      <c r="E2590" s="137"/>
      <c r="F2590" s="112"/>
      <c r="G2590" s="1" t="str">
        <f>IFERROR(IF(ventas_b_mes1255[[#This Row],[CUIT]]="","-",VLOOKUP(ventas_b_mes1255[[#This Row],[CUIT]],Lista_CUIT[#All],2,0)),"CUIT NO CARGADO")</f>
        <v>-</v>
      </c>
      <c r="H2590" s="99">
        <f>ventas_b_mes1255[[#This Row],[TOTAL]]/1.21</f>
        <v>0</v>
      </c>
      <c r="I2590" s="64">
        <f>ventas_b_mes1255[[#This Row],[IMPORTE NETO]]*0.21</f>
        <v>0</v>
      </c>
      <c r="J2590" s="140"/>
      <c r="K2590" s="140"/>
      <c r="L2590" s="140"/>
      <c r="M2590" s="59"/>
    </row>
    <row r="2591" spans="2:13" x14ac:dyDescent="0.25">
      <c r="B2591" s="134"/>
      <c r="C2591" s="41"/>
      <c r="D2591" s="136"/>
      <c r="E2591" s="137"/>
      <c r="F2591" s="112"/>
      <c r="G2591" s="1" t="str">
        <f>IFERROR(IF(ventas_b_mes1255[[#This Row],[CUIT]]="","-",VLOOKUP(ventas_b_mes1255[[#This Row],[CUIT]],Lista_CUIT[#All],2,0)),"CUIT NO CARGADO")</f>
        <v>-</v>
      </c>
      <c r="H2591" s="99">
        <f>ventas_b_mes1255[[#This Row],[TOTAL]]/1.21</f>
        <v>0</v>
      </c>
      <c r="I2591" s="64">
        <f>ventas_b_mes1255[[#This Row],[IMPORTE NETO]]*0.21</f>
        <v>0</v>
      </c>
      <c r="J2591" s="140"/>
      <c r="K2591" s="140"/>
      <c r="L2591" s="140"/>
      <c r="M2591" s="59"/>
    </row>
    <row r="2592" spans="2:13" x14ac:dyDescent="0.25">
      <c r="B2592" s="134"/>
      <c r="C2592" s="41"/>
      <c r="D2592" s="136"/>
      <c r="E2592" s="137"/>
      <c r="F2592" s="112"/>
      <c r="G2592" s="1" t="str">
        <f>IFERROR(IF(ventas_b_mes1255[[#This Row],[CUIT]]="","-",VLOOKUP(ventas_b_mes1255[[#This Row],[CUIT]],Lista_CUIT[#All],2,0)),"CUIT NO CARGADO")</f>
        <v>-</v>
      </c>
      <c r="H2592" s="99">
        <f>ventas_b_mes1255[[#This Row],[TOTAL]]/1.21</f>
        <v>0</v>
      </c>
      <c r="I2592" s="64">
        <f>ventas_b_mes1255[[#This Row],[IMPORTE NETO]]*0.21</f>
        <v>0</v>
      </c>
      <c r="J2592" s="140"/>
      <c r="K2592" s="140"/>
      <c r="L2592" s="140"/>
      <c r="M2592" s="59"/>
    </row>
    <row r="2593" spans="2:13" x14ac:dyDescent="0.25">
      <c r="B2593" s="134"/>
      <c r="C2593" s="41"/>
      <c r="D2593" s="136"/>
      <c r="E2593" s="137"/>
      <c r="F2593" s="112"/>
      <c r="G2593" s="1" t="str">
        <f>IFERROR(IF(ventas_b_mes1255[[#This Row],[CUIT]]="","-",VLOOKUP(ventas_b_mes1255[[#This Row],[CUIT]],Lista_CUIT[#All],2,0)),"CUIT NO CARGADO")</f>
        <v>-</v>
      </c>
      <c r="H2593" s="99">
        <f>ventas_b_mes1255[[#This Row],[TOTAL]]/1.21</f>
        <v>0</v>
      </c>
      <c r="I2593" s="64">
        <f>ventas_b_mes1255[[#This Row],[IMPORTE NETO]]*0.21</f>
        <v>0</v>
      </c>
      <c r="J2593" s="140"/>
      <c r="K2593" s="140"/>
      <c r="L2593" s="140"/>
      <c r="M2593" s="59"/>
    </row>
    <row r="2594" spans="2:13" x14ac:dyDescent="0.25">
      <c r="B2594" s="134"/>
      <c r="C2594" s="41"/>
      <c r="D2594" s="136"/>
      <c r="E2594" s="137"/>
      <c r="F2594" s="112"/>
      <c r="G2594" s="1" t="str">
        <f>IFERROR(IF(ventas_b_mes1255[[#This Row],[CUIT]]="","-",VLOOKUP(ventas_b_mes1255[[#This Row],[CUIT]],Lista_CUIT[#All],2,0)),"CUIT NO CARGADO")</f>
        <v>-</v>
      </c>
      <c r="H2594" s="99">
        <f>ventas_b_mes1255[[#This Row],[TOTAL]]/1.21</f>
        <v>0</v>
      </c>
      <c r="I2594" s="64">
        <f>ventas_b_mes1255[[#This Row],[IMPORTE NETO]]*0.21</f>
        <v>0</v>
      </c>
      <c r="J2594" s="140"/>
      <c r="K2594" s="140"/>
      <c r="L2594" s="140"/>
      <c r="M2594" s="59"/>
    </row>
    <row r="2595" spans="2:13" x14ac:dyDescent="0.25">
      <c r="B2595" s="134"/>
      <c r="C2595" s="41"/>
      <c r="D2595" s="136"/>
      <c r="E2595" s="137"/>
      <c r="F2595" s="112"/>
      <c r="G2595" s="1" t="str">
        <f>IFERROR(IF(ventas_b_mes1255[[#This Row],[CUIT]]="","-",VLOOKUP(ventas_b_mes1255[[#This Row],[CUIT]],Lista_CUIT[#All],2,0)),"CUIT NO CARGADO")</f>
        <v>-</v>
      </c>
      <c r="H2595" s="99">
        <f>ventas_b_mes1255[[#This Row],[TOTAL]]/1.21</f>
        <v>0</v>
      </c>
      <c r="I2595" s="64">
        <f>ventas_b_mes1255[[#This Row],[IMPORTE NETO]]*0.21</f>
        <v>0</v>
      </c>
      <c r="J2595" s="140"/>
      <c r="K2595" s="140"/>
      <c r="L2595" s="140"/>
      <c r="M2595" s="59"/>
    </row>
    <row r="2596" spans="2:13" x14ac:dyDescent="0.25">
      <c r="B2596" s="134"/>
      <c r="C2596" s="41"/>
      <c r="D2596" s="136"/>
      <c r="E2596" s="137"/>
      <c r="F2596" s="112"/>
      <c r="G2596" s="1" t="str">
        <f>IFERROR(IF(ventas_b_mes1255[[#This Row],[CUIT]]="","-",VLOOKUP(ventas_b_mes1255[[#This Row],[CUIT]],Lista_CUIT[#All],2,0)),"CUIT NO CARGADO")</f>
        <v>-</v>
      </c>
      <c r="H2596" s="99">
        <f>ventas_b_mes1255[[#This Row],[TOTAL]]/1.21</f>
        <v>0</v>
      </c>
      <c r="I2596" s="64">
        <f>ventas_b_mes1255[[#This Row],[IMPORTE NETO]]*0.21</f>
        <v>0</v>
      </c>
      <c r="J2596" s="140"/>
      <c r="K2596" s="140"/>
      <c r="L2596" s="140"/>
      <c r="M2596" s="59"/>
    </row>
    <row r="2597" spans="2:13" x14ac:dyDescent="0.25">
      <c r="B2597" s="134"/>
      <c r="C2597" s="41"/>
      <c r="D2597" s="136"/>
      <c r="E2597" s="137"/>
      <c r="F2597" s="112"/>
      <c r="G2597" s="1" t="str">
        <f>IFERROR(IF(ventas_b_mes1255[[#This Row],[CUIT]]="","-",VLOOKUP(ventas_b_mes1255[[#This Row],[CUIT]],Lista_CUIT[#All],2,0)),"CUIT NO CARGADO")</f>
        <v>-</v>
      </c>
      <c r="H2597" s="99">
        <f>ventas_b_mes1255[[#This Row],[TOTAL]]/1.21</f>
        <v>0</v>
      </c>
      <c r="I2597" s="64">
        <f>ventas_b_mes1255[[#This Row],[IMPORTE NETO]]*0.21</f>
        <v>0</v>
      </c>
      <c r="J2597" s="140"/>
      <c r="K2597" s="140"/>
      <c r="L2597" s="140"/>
      <c r="M2597" s="59"/>
    </row>
    <row r="2598" spans="2:13" x14ac:dyDescent="0.25">
      <c r="B2598" s="134"/>
      <c r="C2598" s="41"/>
      <c r="D2598" s="136"/>
      <c r="E2598" s="137"/>
      <c r="F2598" s="112"/>
      <c r="G2598" s="1" t="str">
        <f>IFERROR(IF(ventas_b_mes1255[[#This Row],[CUIT]]="","-",VLOOKUP(ventas_b_mes1255[[#This Row],[CUIT]],Lista_CUIT[#All],2,0)),"CUIT NO CARGADO")</f>
        <v>-</v>
      </c>
      <c r="H2598" s="99">
        <f>ventas_b_mes1255[[#This Row],[TOTAL]]/1.21</f>
        <v>0</v>
      </c>
      <c r="I2598" s="64">
        <f>ventas_b_mes1255[[#This Row],[IMPORTE NETO]]*0.21</f>
        <v>0</v>
      </c>
      <c r="J2598" s="140"/>
      <c r="K2598" s="140"/>
      <c r="L2598" s="140"/>
      <c r="M2598" s="59"/>
    </row>
    <row r="2599" spans="2:13" x14ac:dyDescent="0.25">
      <c r="B2599" s="134"/>
      <c r="C2599" s="41"/>
      <c r="D2599" s="136"/>
      <c r="E2599" s="137"/>
      <c r="F2599" s="112"/>
      <c r="G2599" s="1" t="str">
        <f>IFERROR(IF(ventas_b_mes1255[[#This Row],[CUIT]]="","-",VLOOKUP(ventas_b_mes1255[[#This Row],[CUIT]],Lista_CUIT[#All],2,0)),"CUIT NO CARGADO")</f>
        <v>-</v>
      </c>
      <c r="H2599" s="99">
        <f>ventas_b_mes1255[[#This Row],[TOTAL]]/1.21</f>
        <v>0</v>
      </c>
      <c r="I2599" s="64">
        <f>ventas_b_mes1255[[#This Row],[IMPORTE NETO]]*0.21</f>
        <v>0</v>
      </c>
      <c r="J2599" s="140"/>
      <c r="K2599" s="140"/>
      <c r="L2599" s="140"/>
      <c r="M2599" s="59"/>
    </row>
    <row r="2600" spans="2:13" x14ac:dyDescent="0.25">
      <c r="B2600" s="134"/>
      <c r="C2600" s="41"/>
      <c r="D2600" s="136"/>
      <c r="E2600" s="137"/>
      <c r="F2600" s="112"/>
      <c r="G2600" s="1" t="str">
        <f>IFERROR(IF(ventas_b_mes1255[[#This Row],[CUIT]]="","-",VLOOKUP(ventas_b_mes1255[[#This Row],[CUIT]],Lista_CUIT[#All],2,0)),"CUIT NO CARGADO")</f>
        <v>-</v>
      </c>
      <c r="H2600" s="99">
        <f>ventas_b_mes1255[[#This Row],[TOTAL]]/1.21</f>
        <v>0</v>
      </c>
      <c r="I2600" s="64">
        <f>ventas_b_mes1255[[#This Row],[IMPORTE NETO]]*0.21</f>
        <v>0</v>
      </c>
      <c r="J2600" s="140"/>
      <c r="K2600" s="140"/>
      <c r="L2600" s="140"/>
      <c r="M2600" s="59"/>
    </row>
    <row r="2601" spans="2:13" x14ac:dyDescent="0.25">
      <c r="B2601" s="134"/>
      <c r="C2601" s="41"/>
      <c r="D2601" s="136"/>
      <c r="E2601" s="137"/>
      <c r="F2601" s="112"/>
      <c r="G2601" s="1" t="str">
        <f>IFERROR(IF(ventas_b_mes1255[[#This Row],[CUIT]]="","-",VLOOKUP(ventas_b_mes1255[[#This Row],[CUIT]],Lista_CUIT[#All],2,0)),"CUIT NO CARGADO")</f>
        <v>-</v>
      </c>
      <c r="H2601" s="99">
        <f>ventas_b_mes1255[[#This Row],[TOTAL]]/1.21</f>
        <v>0</v>
      </c>
      <c r="I2601" s="64">
        <f>ventas_b_mes1255[[#This Row],[IMPORTE NETO]]*0.21</f>
        <v>0</v>
      </c>
      <c r="J2601" s="140"/>
      <c r="K2601" s="140"/>
      <c r="L2601" s="140"/>
      <c r="M2601" s="59"/>
    </row>
    <row r="2602" spans="2:13" x14ac:dyDescent="0.25">
      <c r="B2602" s="134"/>
      <c r="C2602" s="41"/>
      <c r="D2602" s="136"/>
      <c r="E2602" s="137"/>
      <c r="F2602" s="138"/>
      <c r="G2602" s="1" t="str">
        <f>IFERROR(IF(ventas_b_mes1255[[#This Row],[CUIT]]="","-",VLOOKUP(ventas_b_mes1255[[#This Row],[CUIT]],Lista_CUIT[#All],2,0)),"CUIT NO CARGADO")</f>
        <v>-</v>
      </c>
      <c r="H2602" s="99">
        <f>ventas_b_mes1255[[#This Row],[TOTAL]]/1.21</f>
        <v>0</v>
      </c>
      <c r="I2602" s="64">
        <f>ventas_b_mes1255[[#This Row],[IMPORTE NETO]]*0.21</f>
        <v>0</v>
      </c>
      <c r="J2602" s="140"/>
      <c r="K2602" s="140"/>
      <c r="L2602" s="140"/>
      <c r="M2602" s="59"/>
    </row>
    <row r="2603" spans="2:13" x14ac:dyDescent="0.25">
      <c r="B2603" s="66" t="s">
        <v>103</v>
      </c>
      <c r="C2603" s="67"/>
      <c r="D2603" s="67"/>
      <c r="E2603" s="67"/>
      <c r="F2603" s="67"/>
      <c r="G2603" s="67"/>
      <c r="H2603" s="77">
        <f>SUBTOTAL(109,ventas_b_mes1255[IMPORTE NETO])</f>
        <v>0</v>
      </c>
      <c r="I2603" s="77">
        <f>SUBTOTAL(109,ventas_b_mes1255[IVA 21%])</f>
        <v>0</v>
      </c>
      <c r="J2603" s="78">
        <f>SUBTOTAL(109,ventas_b_mes1255[IVA 10,5%])</f>
        <v>0</v>
      </c>
      <c r="K2603" s="78">
        <f>SUBTOTAL(109,ventas_b_mes1255[EXENTO])</f>
        <v>0</v>
      </c>
      <c r="L2603" s="78">
        <f>SUBTOTAL(109,ventas_b_mes1255[TOTAL])</f>
        <v>0</v>
      </c>
      <c r="M2603" s="68">
        <f>SUBTOTAL(103,ventas_b_mes1255[Provincia])</f>
        <v>0</v>
      </c>
    </row>
    <row r="2604" spans="2:13" ht="15.75" thickBot="1" x14ac:dyDescent="0.3">
      <c r="B2604" s="146"/>
      <c r="C2604" s="146"/>
      <c r="D2604" s="146"/>
      <c r="E2604" s="146"/>
      <c r="F2604" s="146"/>
      <c r="G2604" s="146"/>
      <c r="H2604" s="152"/>
      <c r="I2604" s="152"/>
      <c r="J2604" s="153"/>
      <c r="K2604" s="153"/>
      <c r="L2604" s="153"/>
      <c r="M2604" s="147"/>
    </row>
    <row r="2605" spans="2:13" ht="15.75" thickTop="1" x14ac:dyDescent="0.25">
      <c r="C2605" s="588" t="s">
        <v>66</v>
      </c>
      <c r="D2605" s="588"/>
      <c r="E2605" s="588"/>
      <c r="F2605" s="588"/>
      <c r="G2605" s="588"/>
      <c r="H2605" s="32"/>
      <c r="I2605" s="32"/>
      <c r="J2605" s="32"/>
    </row>
    <row r="2606" spans="2:13" ht="15.75" x14ac:dyDescent="0.25">
      <c r="C2606" s="113" t="s">
        <v>67</v>
      </c>
      <c r="D2606" s="114" t="s">
        <v>68</v>
      </c>
      <c r="E2606" s="114" t="s">
        <v>105</v>
      </c>
      <c r="F2606" s="114" t="s">
        <v>3</v>
      </c>
      <c r="G2606" s="114" t="s">
        <v>4</v>
      </c>
      <c r="H2606" s="115" t="s">
        <v>69</v>
      </c>
      <c r="I2606" s="115" t="s">
        <v>70</v>
      </c>
      <c r="J2606" s="115" t="s">
        <v>71</v>
      </c>
      <c r="K2606" s="115" t="s">
        <v>72</v>
      </c>
      <c r="L2606" s="115" t="s">
        <v>73</v>
      </c>
    </row>
    <row r="2607" spans="2:13" x14ac:dyDescent="0.25">
      <c r="C2607" s="116"/>
      <c r="D2607" s="117"/>
      <c r="E2607" s="117"/>
      <c r="F2607" s="118"/>
      <c r="G2607" s="53" t="str">
        <f>IFERROR(IF(Retenciones_mes1257[[#This Row],[CUIT]]="","-",VLOOKUP(Retenciones_mes1257[[#This Row],[CUIT]],Lista_CUIT[#All],2,0)),"CUIT NO CARGADO")</f>
        <v>-</v>
      </c>
      <c r="H2607" s="119"/>
      <c r="I2607" s="119"/>
      <c r="J2607" s="119"/>
      <c r="K2607" s="119"/>
      <c r="L2607" s="119"/>
    </row>
    <row r="2608" spans="2:13" x14ac:dyDescent="0.25">
      <c r="C2608" s="116"/>
      <c r="D2608" s="117"/>
      <c r="E2608" s="117"/>
      <c r="F2608" s="118"/>
      <c r="G2608" s="53" t="str">
        <f>IFERROR(IF(Retenciones_mes1257[[#This Row],[CUIT]]="","-",VLOOKUP(Retenciones_mes1257[[#This Row],[CUIT]],Lista_CUIT[#All],2,0)),"CUIT NO CARGADO")</f>
        <v>-</v>
      </c>
      <c r="H2608" s="119"/>
      <c r="I2608" s="119"/>
      <c r="J2608" s="119"/>
      <c r="K2608" s="119"/>
      <c r="L2608" s="119"/>
    </row>
    <row r="2609" spans="3:12" x14ac:dyDescent="0.25">
      <c r="C2609" s="116"/>
      <c r="D2609" s="117"/>
      <c r="E2609" s="117"/>
      <c r="F2609" s="118"/>
      <c r="G2609" s="53" t="str">
        <f>IFERROR(IF(Retenciones_mes1257[[#This Row],[CUIT]]="","-",VLOOKUP(Retenciones_mes1257[[#This Row],[CUIT]],Lista_CUIT[#All],2,0)),"CUIT NO CARGADO")</f>
        <v>-</v>
      </c>
      <c r="H2609" s="119"/>
      <c r="I2609" s="119"/>
      <c r="J2609" s="119"/>
      <c r="K2609" s="119"/>
      <c r="L2609" s="119"/>
    </row>
    <row r="2610" spans="3:12" x14ac:dyDescent="0.25">
      <c r="C2610" s="116"/>
      <c r="D2610" s="117"/>
      <c r="E2610" s="117"/>
      <c r="F2610" s="118"/>
      <c r="G2610" s="53" t="str">
        <f>IFERROR(IF(Retenciones_mes1257[[#This Row],[CUIT]]="","-",VLOOKUP(Retenciones_mes1257[[#This Row],[CUIT]],Lista_CUIT[#All],2,0)),"CUIT NO CARGADO")</f>
        <v>-</v>
      </c>
      <c r="H2610" s="119"/>
      <c r="I2610" s="119"/>
      <c r="J2610" s="119"/>
      <c r="K2610" s="119"/>
      <c r="L2610" s="119"/>
    </row>
    <row r="2611" spans="3:12" x14ac:dyDescent="0.25">
      <c r="D2611" s="117"/>
      <c r="E2611" s="117"/>
      <c r="G2611" s="53" t="str">
        <f>IFERROR(IF(Retenciones_mes1257[[#This Row],[CUIT]]="","-",VLOOKUP(Retenciones_mes1257[[#This Row],[CUIT]],Lista_CUIT[#All],2,0)),"CUIT NO CARGADO")</f>
        <v>-</v>
      </c>
    </row>
    <row r="2612" spans="3:12" x14ac:dyDescent="0.25">
      <c r="C2612" s="33"/>
    </row>
  </sheetData>
  <mergeCells count="20">
    <mergeCell ref="P4:R4"/>
    <mergeCell ref="D226:L226"/>
    <mergeCell ref="B1:F1"/>
    <mergeCell ref="G1:M1"/>
    <mergeCell ref="N1:R1"/>
    <mergeCell ref="B3:E3"/>
    <mergeCell ref="G3:H3"/>
    <mergeCell ref="J3:K3"/>
    <mergeCell ref="M3:N3"/>
    <mergeCell ref="P3:R3"/>
    <mergeCell ref="C2605:G2605"/>
    <mergeCell ref="B4:E4"/>
    <mergeCell ref="G4:H4"/>
    <mergeCell ref="J4:K4"/>
    <mergeCell ref="M4:N4"/>
    <mergeCell ref="D242:K242"/>
    <mergeCell ref="B287:J287"/>
    <mergeCell ref="K287:M287"/>
    <mergeCell ref="B289:C289"/>
    <mergeCell ref="B480:C480"/>
  </mergeCells>
  <conditionalFormatting sqref="I244:I281">
    <cfRule type="cellIs" dxfId="85" priority="1" operator="lessThan">
      <formula>0</formula>
    </cfRule>
  </conditionalFormatting>
  <dataValidations count="12">
    <dataValidation type="whole" allowBlank="1" showInputMessage="1" showErrorMessage="1" sqref="C482:C2602" xr:uid="{00000000-0002-0000-0B00-000000000000}">
      <formula1>6</formula1>
      <formula2>8</formula2>
    </dataValidation>
    <dataValidation type="custom" allowBlank="1" showInputMessage="1" showErrorMessage="1" sqref="H482:L2602" xr:uid="{00000000-0002-0000-0B00-000001000000}">
      <formula1>IF($C482=8,H482&lt;0,H482&gt;=0)</formula1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I15:I220 H14:I14 I9:I13 J9:O133" xr:uid="{00000000-0002-0000-0B00-000002000000}">
      <formula1>IF($C9=3,H9&lt;0,H9&gt;=0)</formula1>
    </dataValidation>
    <dataValidation type="custom" allowBlank="1" showInputMessage="1" showErrorMessage="1" sqref="L296:L297" xr:uid="{00000000-0002-0000-0B00-000003000000}">
      <formula1>IF($C221=3,L221&lt;0,L221&gt;=0)</formula1>
    </dataValidation>
    <dataValidation type="whole" allowBlank="1" showInputMessage="1" showErrorMessage="1" sqref="D291:D477 D482:D2602 E244:E281 D9:D133" xr:uid="{00000000-0002-0000-0B00-000004000000}">
      <formula1>1</formula1>
      <formula2>9999</formula2>
    </dataValidation>
    <dataValidation type="whole" allowBlank="1" showInputMessage="1" showErrorMessage="1" sqref="E291:E477 E482:E2602 F244:F281 E9:E133" xr:uid="{00000000-0002-0000-0B00-000005000000}">
      <formula1>1</formula1>
      <formula2>99999999</formula2>
    </dataValidation>
    <dataValidation type="whole" allowBlank="1" showInputMessage="1" showErrorMessage="1" sqref="F291:F477 F14 F482:F2602 G244:G281" xr:uid="{00000000-0002-0000-0B00-000006000000}">
      <formula1>20000000000</formula1>
      <formula2>33999999999</formula2>
    </dataValidation>
    <dataValidation type="date" allowBlank="1" showInputMessage="1" showErrorMessage="1" sqref="B14 B482:B2602 B291:B477 D244:D281 B222:B225 D228:D237" xr:uid="{00000000-0002-0000-0B00-000007000000}">
      <formula1>40179</formula1>
      <formula2>TODAY()</formula2>
    </dataValidation>
    <dataValidation type="whole" allowBlank="1" showInputMessage="1" showErrorMessage="1" sqref="C222:C225 C291:C477 C9:C219" xr:uid="{00000000-0002-0000-0B00-000008000000}">
      <formula1>1</formula1>
      <formula2>3</formula2>
    </dataValidation>
    <dataValidation type="custom" allowBlank="1" showInputMessage="1" showErrorMessage="1" sqref="H291:K291 H293:K293 H295:K295 H297:K297" xr:uid="{00000000-0002-0000-0B00-000009000000}">
      <formula1>IF($C291=3,H291&lt;0,H291&gt;=0)</formula1>
    </dataValidation>
    <dataValidation type="custom" allowBlank="1" showInputMessage="1" showErrorMessage="1" sqref="L291:L292" xr:uid="{00000000-0002-0000-0B00-00000A000000}">
      <formula1>IF($C9=3,L9&lt;0,L9&gt;=0)</formula1>
    </dataValidation>
    <dataValidation type="custom" allowBlank="1" showInputMessage="1" showErrorMessage="1" sqref="L293:L295" xr:uid="{00000000-0002-0000-0B00-00000B000000}">
      <formula1>IF($C12=3,L12&lt;0,L12&gt;=0)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3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6">
    <tabColor theme="9" tint="0.79998168889431442"/>
    <pageSetUpPr fitToPage="1"/>
  </sheetPr>
  <dimension ref="A1:Z284"/>
  <sheetViews>
    <sheetView showGridLines="0" tabSelected="1" topLeftCell="E8" zoomScale="70" zoomScaleNormal="70" workbookViewId="0">
      <selection activeCell="N26" sqref="N26"/>
    </sheetView>
  </sheetViews>
  <sheetFormatPr baseColWidth="10" defaultColWidth="0" defaultRowHeight="15" x14ac:dyDescent="0.25"/>
  <cols>
    <col min="1" max="1" width="2.28515625" bestFit="1" customWidth="1"/>
    <col min="2" max="2" width="13.7109375" bestFit="1" customWidth="1"/>
    <col min="3" max="3" width="7.5703125" customWidth="1"/>
    <col min="4" max="4" width="9.85546875" customWidth="1"/>
    <col min="5" max="5" width="19.28515625" customWidth="1"/>
    <col min="6" max="6" width="22" customWidth="1"/>
    <col min="7" max="7" width="27.42578125" customWidth="1"/>
    <col min="8" max="8" width="22.5703125" customWidth="1"/>
    <col min="9" max="9" width="18.28515625" customWidth="1"/>
    <col min="10" max="10" width="17.7109375" customWidth="1"/>
    <col min="11" max="11" width="18.42578125" customWidth="1"/>
    <col min="12" max="12" width="18.28515625" bestFit="1" customWidth="1"/>
    <col min="13" max="13" width="15.140625" customWidth="1"/>
    <col min="14" max="14" width="18.85546875" bestFit="1" customWidth="1"/>
    <col min="15" max="15" width="18.5703125" customWidth="1"/>
    <col min="16" max="16" width="17" customWidth="1"/>
    <col min="17" max="17" width="20.140625" customWidth="1"/>
    <col min="18" max="18" width="14.28515625" customWidth="1"/>
    <col min="19" max="19" width="7.7109375" customWidth="1"/>
    <col min="20" max="20" width="8.85546875" customWidth="1"/>
    <col min="21" max="22" width="8.85546875" hidden="1" customWidth="1"/>
    <col min="23" max="23" width="12.28515625" hidden="1" customWidth="1"/>
    <col min="24" max="24" width="14.42578125" hidden="1" customWidth="1"/>
    <col min="25" max="26" width="0" hidden="1" customWidth="1"/>
    <col min="27" max="16384" width="11.5703125" hidden="1"/>
  </cols>
  <sheetData>
    <row r="1" spans="1:26" ht="34.9" customHeight="1" x14ac:dyDescent="0.25">
      <c r="A1" s="37"/>
      <c r="B1" s="582" t="s">
        <v>28</v>
      </c>
      <c r="C1" s="582"/>
      <c r="D1" s="582"/>
      <c r="E1" s="582"/>
      <c r="F1" s="582"/>
      <c r="G1" s="595" t="e">
        <v>#REF!</v>
      </c>
      <c r="H1" s="595"/>
      <c r="I1" s="595"/>
      <c r="J1" s="595"/>
      <c r="K1" s="595"/>
      <c r="L1" s="595"/>
      <c r="M1" s="595"/>
      <c r="N1" s="584">
        <f>EDATE('Ene-25'!N1,11)</f>
        <v>45992</v>
      </c>
      <c r="O1" s="584"/>
      <c r="P1" s="584"/>
      <c r="Q1" s="584"/>
      <c r="R1" s="584"/>
    </row>
    <row r="2" spans="1:26" ht="15" customHeight="1" x14ac:dyDescent="0.25"/>
    <row r="3" spans="1:26" ht="26.45" customHeight="1" x14ac:dyDescent="0.25">
      <c r="B3" s="585" t="s">
        <v>65</v>
      </c>
      <c r="C3" s="585"/>
      <c r="D3" s="585"/>
      <c r="E3" s="585"/>
      <c r="F3" s="38"/>
      <c r="G3" s="585" t="s">
        <v>37</v>
      </c>
      <c r="H3" s="585"/>
      <c r="I3" s="38"/>
      <c r="J3" s="586" t="s">
        <v>14</v>
      </c>
      <c r="K3" s="586"/>
      <c r="L3" s="38"/>
      <c r="M3" s="586" t="s">
        <v>12</v>
      </c>
      <c r="N3" s="586"/>
      <c r="O3" s="38"/>
      <c r="P3" s="587" t="s">
        <v>102</v>
      </c>
      <c r="Q3" s="587"/>
      <c r="R3" s="587"/>
    </row>
    <row r="4" spans="1:26" ht="25.15" customHeight="1" x14ac:dyDescent="0.35">
      <c r="B4" s="589">
        <f>SUM(compras_mes12[[#Totals],[NETO GRAVADO]])+extracto_banco_mes12[[#Totals],[NETO]]</f>
        <v>128679870.44</v>
      </c>
      <c r="C4" s="589"/>
      <c r="D4" s="589"/>
      <c r="E4" s="589"/>
      <c r="F4" s="39"/>
      <c r="G4" s="590">
        <f>compras_mes12[[#Totals],[IVA 21 %]]+compras_mes12[[#Totals],[IVA 27%]]+compras_mes12[[#Totals],[IVA 10,5%]]+extracto_banco_mes12[[#Totals],[IVA 21%]]+extracto_banco_mes12[[#Totals],[IVA 10,5%]]</f>
        <v>26382540.241100006</v>
      </c>
      <c r="H4" s="590"/>
      <c r="I4" s="39"/>
      <c r="J4" s="591">
        <f>venta_a_mes12[[#Totals],[IMPORTE NETO]]+ventas_b_mes12[[#Totals],[IMPORTE NETO]]</f>
        <v>0</v>
      </c>
      <c r="K4" s="591"/>
      <c r="L4" s="39"/>
      <c r="M4" s="591">
        <f>venta_a_mes12[[#Totals],[IVA 21%]]+venta_a_mes12[[#Totals],[IVA 10,5%]]+ventas_b_mes12[[#Totals],[IVA 21%]]+ventas_b_mes12[[#Totals],[IVA 10,5%]]</f>
        <v>0</v>
      </c>
      <c r="N4" s="591"/>
      <c r="O4" s="39"/>
      <c r="P4" s="579">
        <f>G4-M4</f>
        <v>26382540.241100006</v>
      </c>
      <c r="Q4" s="580"/>
      <c r="R4" s="580"/>
    </row>
    <row r="5" spans="1:26" ht="13.15" customHeight="1" x14ac:dyDescent="0.25"/>
    <row r="7" spans="1:26" s="2" customFormat="1" ht="10.9" customHeight="1" x14ac:dyDescent="0.25">
      <c r="B7" s="40"/>
      <c r="C7" s="41"/>
      <c r="D7" s="42"/>
      <c r="E7" s="43"/>
      <c r="F7" s="44"/>
      <c r="G7" s="45"/>
      <c r="H7" s="46"/>
      <c r="I7" s="47"/>
      <c r="J7" s="47"/>
      <c r="K7" s="47"/>
      <c r="L7" s="47"/>
      <c r="M7" s="47"/>
      <c r="N7" s="47"/>
      <c r="O7" s="47"/>
      <c r="P7" s="48"/>
      <c r="Q7" s="49"/>
      <c r="R7" s="49"/>
      <c r="T7"/>
      <c r="U7"/>
      <c r="V7"/>
      <c r="W7"/>
      <c r="X7"/>
      <c r="Y7"/>
      <c r="Z7"/>
    </row>
    <row r="8" spans="1:26" ht="38.450000000000003" customHeight="1" x14ac:dyDescent="0.25">
      <c r="B8" s="84" t="s">
        <v>0</v>
      </c>
      <c r="C8" s="84" t="s">
        <v>1</v>
      </c>
      <c r="D8" s="84" t="s">
        <v>2</v>
      </c>
      <c r="E8" s="84" t="s">
        <v>27</v>
      </c>
      <c r="F8" s="84" t="s">
        <v>3</v>
      </c>
      <c r="G8" s="84" t="s">
        <v>4</v>
      </c>
      <c r="H8" s="84" t="s">
        <v>34</v>
      </c>
      <c r="I8" s="84" t="s">
        <v>35</v>
      </c>
      <c r="J8" s="84" t="s">
        <v>6</v>
      </c>
      <c r="K8" s="84" t="s">
        <v>7</v>
      </c>
      <c r="L8" s="84" t="s">
        <v>8</v>
      </c>
      <c r="M8" s="84" t="s">
        <v>33</v>
      </c>
      <c r="N8" s="84" t="s">
        <v>9</v>
      </c>
      <c r="O8" s="84" t="s">
        <v>36</v>
      </c>
      <c r="P8" s="84" t="s">
        <v>10</v>
      </c>
      <c r="Q8" s="84" t="s">
        <v>11</v>
      </c>
      <c r="R8" s="84" t="s">
        <v>38</v>
      </c>
    </row>
    <row r="9" spans="1:26" x14ac:dyDescent="0.25">
      <c r="B9" s="40" t="s">
        <v>2993</v>
      </c>
      <c r="C9" s="41">
        <v>1</v>
      </c>
      <c r="D9" s="42">
        <v>1</v>
      </c>
      <c r="E9" s="43">
        <v>668</v>
      </c>
      <c r="F9" s="44">
        <v>20131206144</v>
      </c>
      <c r="G9" s="45" t="str">
        <f>IFERROR(IF(compras_mes12[[#This Row],[CUIT]]="","-",VLOOKUP(compras_mes12[[#This Row],[CUIT]],Lista_CUIT[#All],2,0)),"CUIT NO CARGADO")</f>
        <v>CHAMORRO MANUEL</v>
      </c>
      <c r="H9" s="46">
        <v>1348074</v>
      </c>
      <c r="I9" s="85">
        <f>IF(compras_mes12[[#This Row],[NETO GRAVADO]]="","",compras_mes12[[#This Row],[NETO GRAVADO]]*0.21)</f>
        <v>283095.53999999998</v>
      </c>
      <c r="J9" s="85"/>
      <c r="K9" s="85"/>
      <c r="L9" s="85"/>
      <c r="M9" s="85"/>
      <c r="N9" s="85"/>
      <c r="O9" s="85"/>
      <c r="P9" s="48">
        <f>SUM(compras_mes12[[#This Row],[NETO GRAVADO]:[Otros / No Grav.]])</f>
        <v>1631169.54</v>
      </c>
      <c r="Q9" s="49" t="str">
        <f>IFERROR(IF(compras_mes12[[#This Row],[CUIT]]="","-",VLOOKUP(compras_mes12[[#This Row],[CUIT]],Lista_CUIT[#All],3,0)),"CUIT NO CARGADO")</f>
        <v>Alquiler</v>
      </c>
      <c r="R9" s="49">
        <f>IFERROR(IF(compras_mes12[[#This Row],[CUIT]]="","-",VLOOKUP(compras_mes12[[#This Row],[CUIT]],Lista_CUIT[#All],4,0)),"CUIT NO CARGADO")</f>
        <v>0</v>
      </c>
    </row>
    <row r="10" spans="1:26" x14ac:dyDescent="0.25">
      <c r="B10" s="40" t="s">
        <v>2993</v>
      </c>
      <c r="C10" s="41">
        <v>1</v>
      </c>
      <c r="D10" s="42">
        <v>803</v>
      </c>
      <c r="E10" s="43">
        <v>759</v>
      </c>
      <c r="F10" s="44">
        <v>30529403522</v>
      </c>
      <c r="G10" s="45" t="str">
        <f>IFERROR(IF(compras_mes12[[#This Row],[CUIT]]="","-",VLOOKUP(compras_mes12[[#This Row],[CUIT]],Lista_CUIT[#All],2,0)),"CUIT NO CARGADO")</f>
        <v>CASTILLO S A C I F I A</v>
      </c>
      <c r="H10" s="46">
        <v>189255.37</v>
      </c>
      <c r="I10" s="85">
        <f>IF(compras_mes12[[#This Row],[NETO GRAVADO]]="","",compras_mes12[[#This Row],[NETO GRAVADO]]*0.21)</f>
        <v>39743.627699999997</v>
      </c>
      <c r="J10" s="85"/>
      <c r="K10" s="85"/>
      <c r="L10" s="85">
        <v>5677.66</v>
      </c>
      <c r="M10" s="85"/>
      <c r="N10" s="85"/>
      <c r="O10" s="552"/>
      <c r="P10" s="48">
        <f>SUM(compras_mes12[[#This Row],[NETO GRAVADO]:[Otros / No Grav.]])</f>
        <v>234676.65770000001</v>
      </c>
      <c r="Q10" s="49" t="str">
        <f>IFERROR(IF(compras_mes12[[#This Row],[CUIT]]="","-",VLOOKUP(compras_mes12[[#This Row],[CUIT]],Lista_CUIT[#All],3,0)),"CUIT NO CARGADO")</f>
        <v>Gastos Varios</v>
      </c>
      <c r="R10" s="49">
        <f>IFERROR(IF(compras_mes12[[#This Row],[CUIT]]="","-",VLOOKUP(compras_mes12[[#This Row],[CUIT]],Lista_CUIT[#All],4,0)),"CUIT NO CARGADO")</f>
        <v>0</v>
      </c>
    </row>
    <row r="11" spans="1:26" x14ac:dyDescent="0.25">
      <c r="B11" s="40" t="s">
        <v>2993</v>
      </c>
      <c r="C11" s="41">
        <v>1</v>
      </c>
      <c r="D11" s="42">
        <v>803</v>
      </c>
      <c r="E11" s="43">
        <v>760</v>
      </c>
      <c r="F11" s="44">
        <v>30529403522</v>
      </c>
      <c r="G11" s="45" t="str">
        <f>IFERROR(IF(compras_mes12[[#This Row],[CUIT]]="","-",VLOOKUP(compras_mes12[[#This Row],[CUIT]],Lista_CUIT[#All],2,0)),"CUIT NO CARGADO")</f>
        <v>CASTILLO S A C I F I A</v>
      </c>
      <c r="H11" s="46">
        <v>189255.37</v>
      </c>
      <c r="I11" s="85">
        <f>IF(compras_mes12[[#This Row],[NETO GRAVADO]]="","",compras_mes12[[#This Row],[NETO GRAVADO]]*0.21)</f>
        <v>39743.627699999997</v>
      </c>
      <c r="J11" s="85"/>
      <c r="K11" s="85"/>
      <c r="L11" s="85">
        <v>5677.66</v>
      </c>
      <c r="M11" s="85"/>
      <c r="N11" s="85"/>
      <c r="O11" s="552"/>
      <c r="P11" s="48">
        <f>SUM(compras_mes12[[#This Row],[NETO GRAVADO]:[Otros / No Grav.]])</f>
        <v>234676.65770000001</v>
      </c>
      <c r="Q11" s="49" t="str">
        <f>IFERROR(IF(compras_mes12[[#This Row],[CUIT]]="","-",VLOOKUP(compras_mes12[[#This Row],[CUIT]],Lista_CUIT[#All],3,0)),"CUIT NO CARGADO")</f>
        <v>Gastos Varios</v>
      </c>
      <c r="R11" s="49">
        <f>IFERROR(IF(compras_mes12[[#This Row],[CUIT]]="","-",VLOOKUP(compras_mes12[[#This Row],[CUIT]],Lista_CUIT[#All],4,0)),"CUIT NO CARGADO")</f>
        <v>0</v>
      </c>
    </row>
    <row r="12" spans="1:26" x14ac:dyDescent="0.25">
      <c r="B12" s="40" t="s">
        <v>2993</v>
      </c>
      <c r="C12" s="41">
        <v>1</v>
      </c>
      <c r="D12" s="42">
        <v>1</v>
      </c>
      <c r="E12" s="43">
        <v>1077</v>
      </c>
      <c r="F12" s="44">
        <v>30715889486</v>
      </c>
      <c r="G12" s="45" t="str">
        <f>IFERROR(IF(compras_mes12[[#This Row],[CUIT]]="","-",VLOOKUP(compras_mes12[[#This Row],[CUIT]],Lista_CUIT[#All],2,0)),"CUIT NO CARGADO")</f>
        <v>EXPOESTETICA</v>
      </c>
      <c r="H12" s="46">
        <v>720000</v>
      </c>
      <c r="I12" s="85">
        <f>IF(compras_mes12[[#This Row],[NETO GRAVADO]]="","",compras_mes12[[#This Row],[NETO GRAVADO]]*0.21)</f>
        <v>151200</v>
      </c>
      <c r="J12" s="85"/>
      <c r="K12" s="85"/>
      <c r="L12" s="85"/>
      <c r="M12" s="85"/>
      <c r="N12" s="85"/>
      <c r="O12" s="85"/>
      <c r="P12" s="48">
        <f>SUM(compras_mes12[[#This Row],[NETO GRAVADO]:[Otros / No Grav.]])</f>
        <v>871200</v>
      </c>
      <c r="Q12" s="49" t="str">
        <f>IFERROR(IF(compras_mes12[[#This Row],[CUIT]]="","-",VLOOKUP(compras_mes12[[#This Row],[CUIT]],Lista_CUIT[#All],3,0)),"CUIT NO CARGADO")</f>
        <v>Gastos Comercializacion - Feria</v>
      </c>
      <c r="R12" s="49" t="str">
        <f>IFERROR(IF(compras_mes12[[#This Row],[CUIT]]="","-",VLOOKUP(compras_mes12[[#This Row],[CUIT]],Lista_CUIT[#All],4,0)),"CUIT NO CARGADO")</f>
        <v>BUENOS AIRES</v>
      </c>
    </row>
    <row r="13" spans="1:26" x14ac:dyDescent="0.25">
      <c r="B13" s="40" t="s">
        <v>2993</v>
      </c>
      <c r="C13" s="41">
        <v>1</v>
      </c>
      <c r="D13" s="42">
        <v>2</v>
      </c>
      <c r="E13" s="43">
        <v>4207</v>
      </c>
      <c r="F13" s="44">
        <v>30629863571</v>
      </c>
      <c r="G13" s="45" t="str">
        <f>IFERROR(IF(compras_mes12[[#This Row],[CUIT]]="","-",VLOOKUP(compras_mes12[[#This Row],[CUIT]],Lista_CUIT[#All],2,0)),"CUIT NO CARGADO")</f>
        <v>TECNIMAR S R L</v>
      </c>
      <c r="H13" s="46">
        <v>5724384</v>
      </c>
      <c r="I13" s="85">
        <f>IF(compras_mes12[[#This Row],[NETO GRAVADO]]="","",compras_mes12[[#This Row],[NETO GRAVADO]]*0.21)</f>
        <v>1202120.6399999999</v>
      </c>
      <c r="J13" s="85"/>
      <c r="K13" s="85"/>
      <c r="L13" s="85"/>
      <c r="M13" s="85"/>
      <c r="N13" s="85"/>
      <c r="O13" s="85"/>
      <c r="P13" s="48">
        <f>SUM(compras_mes12[[#This Row],[NETO GRAVADO]:[Otros / No Grav.]])</f>
        <v>6926504.6399999997</v>
      </c>
      <c r="Q13" s="49" t="str">
        <f>IFERROR(IF(compras_mes12[[#This Row],[CUIT]]="","-",VLOOKUP(compras_mes12[[#This Row],[CUIT]],Lista_CUIT[#All],3,0)),"CUIT NO CARGADO")</f>
        <v>Productos Venta</v>
      </c>
      <c r="R13" s="49">
        <f>IFERROR(IF(compras_mes12[[#This Row],[CUIT]]="","-",VLOOKUP(compras_mes12[[#This Row],[CUIT]],Lista_CUIT[#All],4,0)),"CUIT NO CARGADO")</f>
        <v>0</v>
      </c>
    </row>
    <row r="14" spans="1:26" s="56" customFormat="1" ht="18.600000000000001" customHeight="1" x14ac:dyDescent="0.25">
      <c r="B14" s="40" t="s">
        <v>2993</v>
      </c>
      <c r="C14" s="41">
        <v>1</v>
      </c>
      <c r="D14" s="42">
        <v>342</v>
      </c>
      <c r="E14" s="43">
        <v>7658</v>
      </c>
      <c r="F14" s="44">
        <v>30697465983</v>
      </c>
      <c r="G14" s="45" t="str">
        <f>IFERROR(IF(compras_mes12[[#This Row],[CUIT]]="","-",VLOOKUP(compras_mes12[[#This Row],[CUIT]],Lista_CUIT[#All],2,0)),"CUIT NO CARGADO")</f>
        <v>NALDO LOMBARDI S A</v>
      </c>
      <c r="H14" s="46">
        <v>1181569.55</v>
      </c>
      <c r="I14" s="85">
        <f>IF(compras_mes12[[#This Row],[NETO GRAVADO]]="","",compras_mes12[[#This Row],[NETO GRAVADO]]*0.21)</f>
        <v>248129.60550000001</v>
      </c>
      <c r="J14" s="85"/>
      <c r="K14" s="85"/>
      <c r="L14" s="85"/>
      <c r="M14" s="85"/>
      <c r="N14" s="85"/>
      <c r="O14" s="85"/>
      <c r="P14" s="48">
        <f>SUM(compras_mes12[[#This Row],[NETO GRAVADO]:[Otros / No Grav.]])</f>
        <v>1429699.1555000001</v>
      </c>
      <c r="Q14" s="49" t="str">
        <f>IFERROR(IF(compras_mes12[[#This Row],[CUIT]]="","-",VLOOKUP(compras_mes12[[#This Row],[CUIT]],Lista_CUIT[#All],3,0)),"CUIT NO CARGADO")</f>
        <v>Gastos Varios</v>
      </c>
      <c r="R14" s="49">
        <f>IFERROR(IF(compras_mes12[[#This Row],[CUIT]]="","-",VLOOKUP(compras_mes12[[#This Row],[CUIT]],Lista_CUIT[#All],4,0)),"CUIT NO CARGADO")</f>
        <v>0</v>
      </c>
    </row>
    <row r="15" spans="1:26" x14ac:dyDescent="0.25">
      <c r="B15" s="40" t="s">
        <v>2993</v>
      </c>
      <c r="C15" s="41">
        <v>1</v>
      </c>
      <c r="D15" s="42">
        <v>11</v>
      </c>
      <c r="E15" s="43">
        <v>19221</v>
      </c>
      <c r="F15" s="44">
        <v>30712548319</v>
      </c>
      <c r="G15" s="45" t="str">
        <f>IFERROR(IF(compras_mes12[[#This Row],[CUIT]]="","-",VLOOKUP(compras_mes12[[#This Row],[CUIT]],Lista_CUIT[#All],2,0)),"CUIT NO CARGADO")</f>
        <v>BIG DIPPER S.R.L.</v>
      </c>
      <c r="H15" s="46">
        <v>82004.13</v>
      </c>
      <c r="I15" s="85">
        <f>IF(compras_mes12[[#This Row],[NETO GRAVADO]]="","",compras_mes12[[#This Row],[NETO GRAVADO]]*0.21)</f>
        <v>17220.867300000002</v>
      </c>
      <c r="J15" s="85"/>
      <c r="K15" s="85"/>
      <c r="L15" s="85"/>
      <c r="M15" s="85"/>
      <c r="N15" s="85"/>
      <c r="O15" s="85"/>
      <c r="P15" s="48">
        <f>SUM(compras_mes12[[#This Row],[NETO GRAVADO]:[Otros / No Grav.]])</f>
        <v>99224.997300000003</v>
      </c>
      <c r="Q15" s="49" t="str">
        <f>IFERROR(IF(compras_mes12[[#This Row],[CUIT]]="","-",VLOOKUP(compras_mes12[[#This Row],[CUIT]],Lista_CUIT[#All],3,0)),"CUIT NO CARGADO")</f>
        <v>Representacion</v>
      </c>
      <c r="R15" s="49">
        <f>IFERROR(IF(compras_mes12[[#This Row],[CUIT]]="","-",VLOOKUP(compras_mes12[[#This Row],[CUIT]],Lista_CUIT[#All],4,0)),"CUIT NO CARGADO")</f>
        <v>0</v>
      </c>
    </row>
    <row r="16" spans="1:26" x14ac:dyDescent="0.25">
      <c r="B16" s="40" t="s">
        <v>2993</v>
      </c>
      <c r="C16" s="41">
        <v>1</v>
      </c>
      <c r="D16" s="42">
        <v>3</v>
      </c>
      <c r="E16" s="43">
        <v>162815</v>
      </c>
      <c r="F16" s="44">
        <v>30708708697</v>
      </c>
      <c r="G16" s="45" t="str">
        <f>IFERROR(IF(compras_mes12[[#This Row],[CUIT]]="","-",VLOOKUP(compras_mes12[[#This Row],[CUIT]],Lista_CUIT[#All],2,0)),"CUIT NO CARGADO")</f>
        <v>FERCOL LUBRICANTES S.R.L.</v>
      </c>
      <c r="H16" s="46">
        <v>3164700</v>
      </c>
      <c r="I16" s="85">
        <f>IF(compras_mes12[[#This Row],[NETO GRAVADO]]="","",compras_mes12[[#This Row],[NETO GRAVADO]]*0.21)</f>
        <v>664587</v>
      </c>
      <c r="J16" s="85"/>
      <c r="K16" s="85"/>
      <c r="L16" s="85"/>
      <c r="M16" s="85"/>
      <c r="N16" s="85"/>
      <c r="O16" s="85"/>
      <c r="P16" s="48">
        <f>SUM(compras_mes12[[#This Row],[NETO GRAVADO]:[Otros / No Grav.]])</f>
        <v>3829287</v>
      </c>
      <c r="Q16" s="49" t="str">
        <f>IFERROR(IF(compras_mes12[[#This Row],[CUIT]]="","-",VLOOKUP(compras_mes12[[#This Row],[CUIT]],Lista_CUIT[#All],3,0)),"CUIT NO CARGADO")</f>
        <v>Alquiler</v>
      </c>
      <c r="R16" s="49">
        <f>IFERROR(IF(compras_mes12[[#This Row],[CUIT]]="","-",VLOOKUP(compras_mes12[[#This Row],[CUIT]],Lista_CUIT[#All],4,0)),"CUIT NO CARGADO")</f>
        <v>0</v>
      </c>
    </row>
    <row r="17" spans="2:18" ht="14.45" customHeight="1" x14ac:dyDescent="0.25">
      <c r="B17" s="40" t="s">
        <v>2993</v>
      </c>
      <c r="C17" s="41">
        <v>1</v>
      </c>
      <c r="D17" s="42">
        <v>629</v>
      </c>
      <c r="E17" s="43">
        <v>6673549</v>
      </c>
      <c r="F17" s="44">
        <v>30663498513</v>
      </c>
      <c r="G17" s="45" t="str">
        <f>IFERROR(IF(compras_mes12[[#This Row],[CUIT]]="","-",VLOOKUP(compras_mes12[[#This Row],[CUIT]],Lista_CUIT[#All],2,0)),"CUIT NO CARGADO")</f>
        <v>GRUPO CONCES. DEL OESTE SA</v>
      </c>
      <c r="H17" s="46">
        <v>36052.620000000003</v>
      </c>
      <c r="I17" s="85">
        <f>IF(compras_mes12[[#This Row],[NETO GRAVADO]]="","",compras_mes12[[#This Row],[NETO GRAVADO]]*0.21)</f>
        <v>7571.0502000000006</v>
      </c>
      <c r="J17" s="85"/>
      <c r="K17" s="85"/>
      <c r="L17" s="85"/>
      <c r="M17" s="85"/>
      <c r="N17" s="85"/>
      <c r="O17" s="85"/>
      <c r="P17" s="48">
        <f>SUM(compras_mes12[[#This Row],[NETO GRAVADO]:[Otros / No Grav.]])</f>
        <v>43623.6702</v>
      </c>
      <c r="Q17" s="49" t="str">
        <f>IFERROR(IF(compras_mes12[[#This Row],[CUIT]]="","-",VLOOKUP(compras_mes12[[#This Row],[CUIT]],Lista_CUIT[#All],3,0)),"CUIT NO CARGADO")</f>
        <v>Peajes</v>
      </c>
      <c r="R17" s="49">
        <f>IFERROR(IF(compras_mes12[[#This Row],[CUIT]]="","-",VLOOKUP(compras_mes12[[#This Row],[CUIT]],Lista_CUIT[#All],4,0)),"CUIT NO CARGADO")</f>
        <v>0</v>
      </c>
    </row>
    <row r="18" spans="2:18" x14ac:dyDescent="0.25">
      <c r="B18" s="40" t="s">
        <v>2993</v>
      </c>
      <c r="C18" s="41">
        <v>1</v>
      </c>
      <c r="D18" s="42">
        <v>711</v>
      </c>
      <c r="E18" s="43">
        <v>7927375</v>
      </c>
      <c r="F18" s="44">
        <v>30677237119</v>
      </c>
      <c r="G18" s="45" t="str">
        <f>IFERROR(IF(compras_mes12[[#This Row],[CUIT]]="","-",VLOOKUP(compras_mes12[[#This Row],[CUIT]],Lista_CUIT[#All],2,0)),"CUIT NO CARGADO")</f>
        <v>AUTOPISTAS DEL SOL S A</v>
      </c>
      <c r="H18" s="46">
        <v>21146.25</v>
      </c>
      <c r="I18" s="85">
        <f>IF(compras_mes12[[#This Row],[NETO GRAVADO]]="","",compras_mes12[[#This Row],[NETO GRAVADO]]*0.21)</f>
        <v>4440.7124999999996</v>
      </c>
      <c r="J18" s="85"/>
      <c r="K18" s="85"/>
      <c r="L18" s="85"/>
      <c r="M18" s="85"/>
      <c r="N18" s="85"/>
      <c r="O18" s="85">
        <v>634.39</v>
      </c>
      <c r="P18" s="48">
        <f>SUM(compras_mes12[[#This Row],[NETO GRAVADO]:[Otros / No Grav.]])</f>
        <v>26221.352500000001</v>
      </c>
      <c r="Q18" s="49" t="str">
        <f>IFERROR(IF(compras_mes12[[#This Row],[CUIT]]="","-",VLOOKUP(compras_mes12[[#This Row],[CUIT]],Lista_CUIT[#All],3,0)),"CUIT NO CARGADO")</f>
        <v>Peajes</v>
      </c>
      <c r="R18" s="49">
        <f>IFERROR(IF(compras_mes12[[#This Row],[CUIT]]="","-",VLOOKUP(compras_mes12[[#This Row],[CUIT]],Lista_CUIT[#All],4,0)),"CUIT NO CARGADO")</f>
        <v>0</v>
      </c>
    </row>
    <row r="19" spans="2:18" x14ac:dyDescent="0.25">
      <c r="B19" s="40" t="s">
        <v>2994</v>
      </c>
      <c r="C19" s="41">
        <v>1</v>
      </c>
      <c r="D19" s="42">
        <v>1</v>
      </c>
      <c r="E19" s="43">
        <v>364</v>
      </c>
      <c r="F19" s="44">
        <v>20077604627</v>
      </c>
      <c r="G19" s="45" t="str">
        <f>IFERROR(IF(compras_mes12[[#This Row],[CUIT]]="","-",VLOOKUP(compras_mes12[[#This Row],[CUIT]],Lista_CUIT[#All],2,0)),"CUIT NO CARGADO")</f>
        <v>OCAÑO ENRIQUE</v>
      </c>
      <c r="H19" s="46">
        <v>565880</v>
      </c>
      <c r="I19" s="85">
        <f>IF(compras_mes12[[#This Row],[NETO GRAVADO]]="","",compras_mes12[[#This Row],[NETO GRAVADO]]*0.21)</f>
        <v>118834.79999999999</v>
      </c>
      <c r="J19" s="85"/>
      <c r="K19" s="85"/>
      <c r="L19" s="85"/>
      <c r="M19" s="85"/>
      <c r="N19" s="85"/>
      <c r="O19" s="85"/>
      <c r="P19" s="48">
        <f>SUM(compras_mes12[[#This Row],[NETO GRAVADO]:[Otros / No Grav.]])</f>
        <v>684714.8</v>
      </c>
      <c r="Q19" s="49" t="str">
        <f>IFERROR(IF(compras_mes12[[#This Row],[CUIT]]="","-",VLOOKUP(compras_mes12[[#This Row],[CUIT]],Lista_CUIT[#All],3,0)),"CUIT NO CARGADO")</f>
        <v>Material de Empaque</v>
      </c>
      <c r="R19" s="49">
        <f>IFERROR(IF(compras_mes12[[#This Row],[CUIT]]="","-",VLOOKUP(compras_mes12[[#This Row],[CUIT]],Lista_CUIT[#All],4,0)),"CUIT NO CARGADO")</f>
        <v>0</v>
      </c>
    </row>
    <row r="20" spans="2:18" ht="14.45" customHeight="1" x14ac:dyDescent="0.25">
      <c r="B20" s="40" t="s">
        <v>2994</v>
      </c>
      <c r="C20" s="41">
        <v>1</v>
      </c>
      <c r="D20" s="42">
        <v>3</v>
      </c>
      <c r="E20" s="43">
        <v>1953</v>
      </c>
      <c r="F20" s="44">
        <v>30710284152</v>
      </c>
      <c r="G20" s="45" t="str">
        <f>IFERROR(IF(compras_mes12[[#This Row],[CUIT]]="","-",VLOOKUP(compras_mes12[[#This Row],[CUIT]],Lista_CUIT[#All],2,0)),"CUIT NO CARGADO")</f>
        <v>VITABGLASS S.R.L.</v>
      </c>
      <c r="H20" s="46">
        <v>1285500</v>
      </c>
      <c r="I20" s="85">
        <f>IF(compras_mes12[[#This Row],[NETO GRAVADO]]="","",compras_mes12[[#This Row],[NETO GRAVADO]]*0.21)</f>
        <v>269955</v>
      </c>
      <c r="J20" s="85"/>
      <c r="K20" s="85"/>
      <c r="L20" s="85"/>
      <c r="M20" s="85"/>
      <c r="N20" s="85"/>
      <c r="O20" s="85"/>
      <c r="P20" s="48">
        <f>SUM(compras_mes12[[#This Row],[NETO GRAVADO]:[Otros / No Grav.]])</f>
        <v>1555455</v>
      </c>
      <c r="Q20" s="49" t="str">
        <f>IFERROR(IF(compras_mes12[[#This Row],[CUIT]]="","-",VLOOKUP(compras_mes12[[#This Row],[CUIT]],Lista_CUIT[#All],3,0)),"CUIT NO CARGADO")</f>
        <v>Envases</v>
      </c>
      <c r="R20" s="49">
        <f>IFERROR(IF(compras_mes12[[#This Row],[CUIT]]="","-",VLOOKUP(compras_mes12[[#This Row],[CUIT]],Lista_CUIT[#All],4,0)),"CUIT NO CARGADO")</f>
        <v>0</v>
      </c>
    </row>
    <row r="21" spans="2:18" ht="14.45" customHeight="1" x14ac:dyDescent="0.25">
      <c r="B21" s="40" t="s">
        <v>2994</v>
      </c>
      <c r="C21" s="41">
        <v>1</v>
      </c>
      <c r="D21" s="42">
        <v>2</v>
      </c>
      <c r="E21" s="43">
        <v>4209</v>
      </c>
      <c r="F21" s="44">
        <v>30629863571</v>
      </c>
      <c r="G21" s="45" t="str">
        <f>IFERROR(IF(compras_mes12[[#This Row],[CUIT]]="","-",VLOOKUP(compras_mes12[[#This Row],[CUIT]],Lista_CUIT[#All],2,0)),"CUIT NO CARGADO")</f>
        <v>TECNIMAR S R L</v>
      </c>
      <c r="H21" s="46">
        <v>2989430</v>
      </c>
      <c r="I21" s="85">
        <f>IF(compras_mes12[[#This Row],[NETO GRAVADO]]="","",compras_mes12[[#This Row],[NETO GRAVADO]]*0.21)</f>
        <v>627780.29999999993</v>
      </c>
      <c r="J21" s="85"/>
      <c r="K21" s="85"/>
      <c r="L21" s="85"/>
      <c r="M21" s="85"/>
      <c r="N21" s="85"/>
      <c r="O21" s="85"/>
      <c r="P21" s="48">
        <f>SUM(compras_mes12[[#This Row],[NETO GRAVADO]:[Otros / No Grav.]])</f>
        <v>3617210.3</v>
      </c>
      <c r="Q21" s="49" t="str">
        <f>IFERROR(IF(compras_mes12[[#This Row],[CUIT]]="","-",VLOOKUP(compras_mes12[[#This Row],[CUIT]],Lista_CUIT[#All],3,0)),"CUIT NO CARGADO")</f>
        <v>Productos Venta</v>
      </c>
      <c r="R21" s="49">
        <f>IFERROR(IF(compras_mes12[[#This Row],[CUIT]]="","-",VLOOKUP(compras_mes12[[#This Row],[CUIT]],Lista_CUIT[#All],4,0)),"CUIT NO CARGADO")</f>
        <v>0</v>
      </c>
    </row>
    <row r="22" spans="2:18" ht="15" customHeight="1" x14ac:dyDescent="0.25">
      <c r="B22" s="40" t="s">
        <v>2994</v>
      </c>
      <c r="C22" s="41">
        <v>1</v>
      </c>
      <c r="D22" s="42">
        <v>6</v>
      </c>
      <c r="E22" s="43">
        <v>38492</v>
      </c>
      <c r="F22" s="44">
        <v>30709457523</v>
      </c>
      <c r="G22" s="45" t="str">
        <f>IFERROR(IF(compras_mes12[[#This Row],[CUIT]]="","-",VLOOKUP(compras_mes12[[#This Row],[CUIT]],Lista_CUIT[#All],2,0)),"CUIT NO CARGADO")</f>
        <v>TENDEX SA</v>
      </c>
      <c r="H22" s="46">
        <v>180542.99</v>
      </c>
      <c r="I22" s="85" t="s">
        <v>2411</v>
      </c>
      <c r="J22" s="85"/>
      <c r="K22" s="85">
        <f>compras_mes12[[#This Row],[NETO GRAVADO]]*0.105</f>
        <v>18957.013949999997</v>
      </c>
      <c r="L22" s="85"/>
      <c r="M22" s="85"/>
      <c r="N22" s="85"/>
      <c r="O22" s="85"/>
      <c r="P22" s="48">
        <f>SUM(compras_mes12[[#This Row],[NETO GRAVADO]:[Otros / No Grav.]])</f>
        <v>199500.00394999998</v>
      </c>
      <c r="Q22" s="49" t="str">
        <f>IFERROR(IF(compras_mes12[[#This Row],[CUIT]]="","-",VLOOKUP(compras_mes12[[#This Row],[CUIT]],Lista_CUIT[#All],3,0)),"CUIT NO CARGADO")</f>
        <v>Servicios Informatica</v>
      </c>
      <c r="R22" s="49">
        <f>IFERROR(IF(compras_mes12[[#This Row],[CUIT]]="","-",VLOOKUP(compras_mes12[[#This Row],[CUIT]],Lista_CUIT[#All],4,0)),"CUIT NO CARGADO")</f>
        <v>0</v>
      </c>
    </row>
    <row r="23" spans="2:18" ht="15" customHeight="1" x14ac:dyDescent="0.25">
      <c r="B23" s="40" t="s">
        <v>2994</v>
      </c>
      <c r="C23" s="41">
        <v>1</v>
      </c>
      <c r="D23" s="42">
        <v>1678</v>
      </c>
      <c r="E23" s="43">
        <v>64913</v>
      </c>
      <c r="F23" s="44">
        <v>30589621499</v>
      </c>
      <c r="G23" s="45" t="str">
        <f>IFERROR(IF(compras_mes12[[#This Row],[CUIT]]="","-",VLOOKUP(compras_mes12[[#This Row],[CUIT]],Lista_CUIT[#All],2,0)),"CUIT NO CARGADO")</f>
        <v>MAKRO SA</v>
      </c>
      <c r="H23" s="46">
        <v>88619.63</v>
      </c>
      <c r="I23" s="85">
        <f>IF(compras_mes12[[#This Row],[NETO GRAVADO]]="","",compras_mes12[[#This Row],[NETO GRAVADO]]*0.21)</f>
        <v>18610.122299999999</v>
      </c>
      <c r="J23" s="85"/>
      <c r="K23" s="85"/>
      <c r="L23" s="85">
        <v>2658.59</v>
      </c>
      <c r="M23" s="85"/>
      <c r="N23" s="85">
        <v>2658.59</v>
      </c>
      <c r="O23" s="552"/>
      <c r="P23" s="48">
        <f>SUM(compras_mes12[[#This Row],[NETO GRAVADO]:[Otros / No Grav.]])</f>
        <v>112546.9323</v>
      </c>
      <c r="Q23" s="49" t="str">
        <f>IFERROR(IF(compras_mes12[[#This Row],[CUIT]]="","-",VLOOKUP(compras_mes12[[#This Row],[CUIT]],Lista_CUIT[#All],3,0)),"CUIT NO CARGADO")</f>
        <v>Gastos Varios</v>
      </c>
      <c r="R23" s="49">
        <f>IFERROR(IF(compras_mes12[[#This Row],[CUIT]]="","-",VLOOKUP(compras_mes12[[#This Row],[CUIT]],Lista_CUIT[#All],4,0)),"CUIT NO CARGADO")</f>
        <v>0</v>
      </c>
    </row>
    <row r="24" spans="2:18" ht="15" customHeight="1" x14ac:dyDescent="0.25">
      <c r="B24" s="40" t="s">
        <v>3014</v>
      </c>
      <c r="C24" s="41">
        <v>1</v>
      </c>
      <c r="D24" s="42">
        <v>6</v>
      </c>
      <c r="E24" s="43">
        <v>3</v>
      </c>
      <c r="F24" s="44">
        <v>33717243019</v>
      </c>
      <c r="G24" s="45" t="str">
        <f>IFERROR(IF(compras_mes12[[#This Row],[CUIT]]="","-",VLOOKUP(compras_mes12[[#This Row],[CUIT]],Lista_CUIT[#All],2,0)),"CUIT NO CARGADO")</f>
        <v>ERISEA S.A.</v>
      </c>
      <c r="H24" s="46">
        <v>146521.49</v>
      </c>
      <c r="I24" s="85">
        <f>IF(compras_mes12[[#This Row],[NETO GRAVADO]]="","",compras_mes12[[#This Row],[NETO GRAVADO]]*0.21)</f>
        <v>30769.512899999998</v>
      </c>
      <c r="J24" s="85"/>
      <c r="K24" s="85"/>
      <c r="L24" s="85"/>
      <c r="M24" s="85"/>
      <c r="N24" s="85"/>
      <c r="O24" s="85"/>
      <c r="P24" s="48">
        <f>SUM(compras_mes12[[#This Row],[NETO GRAVADO]:[Otros / No Grav.]])</f>
        <v>177291.00289999999</v>
      </c>
      <c r="Q24" s="49" t="str">
        <f>IFERROR(IF(compras_mes12[[#This Row],[CUIT]]="","-",VLOOKUP(compras_mes12[[#This Row],[CUIT]],Lista_CUIT[#All],3,0)),"CUIT NO CARGADO")</f>
        <v>Catering</v>
      </c>
      <c r="R24" s="49">
        <f>IFERROR(IF(compras_mes12[[#This Row],[CUIT]]="","-",VLOOKUP(compras_mes12[[#This Row],[CUIT]],Lista_CUIT[#All],4,0)),"CUIT NO CARGADO")</f>
        <v>0</v>
      </c>
    </row>
    <row r="25" spans="2:18" ht="15" customHeight="1" x14ac:dyDescent="0.25">
      <c r="B25" s="40" t="s">
        <v>3014</v>
      </c>
      <c r="C25" s="41">
        <v>1</v>
      </c>
      <c r="D25" s="42">
        <v>6</v>
      </c>
      <c r="E25" s="43">
        <v>117</v>
      </c>
      <c r="F25" s="44">
        <v>27100794247</v>
      </c>
      <c r="G25" s="45" t="str">
        <f>IFERROR(IF(compras_mes12[[#This Row],[CUIT]]="","-",VLOOKUP(compras_mes12[[#This Row],[CUIT]],Lista_CUIT[#All],2,0)),"CUIT NO CARGADO")</f>
        <v>BIOCCA MARIA CRISTINA</v>
      </c>
      <c r="H25" s="46">
        <v>115702</v>
      </c>
      <c r="I25" s="85">
        <f>IF(compras_mes12[[#This Row],[NETO GRAVADO]]="","",compras_mes12[[#This Row],[NETO GRAVADO]]*0.21)</f>
        <v>24297.42</v>
      </c>
      <c r="J25" s="85"/>
      <c r="K25" s="85"/>
      <c r="L25" s="85"/>
      <c r="M25" s="85"/>
      <c r="N25" s="85"/>
      <c r="O25" s="85"/>
      <c r="P25" s="48">
        <f>SUM(compras_mes12[[#This Row],[NETO GRAVADO]:[Otros / No Grav.]])</f>
        <v>139999.41999999998</v>
      </c>
      <c r="Q25" s="49" t="str">
        <f>IFERROR(IF(compras_mes12[[#This Row],[CUIT]]="","-",VLOOKUP(compras_mes12[[#This Row],[CUIT]],Lista_CUIT[#All],3,0)),"CUIT NO CARGADO")</f>
        <v>Gtos. Administrativos</v>
      </c>
      <c r="R25" s="49">
        <f>IFERROR(IF(compras_mes12[[#This Row],[CUIT]]="","-",VLOOKUP(compras_mes12[[#This Row],[CUIT]],Lista_CUIT[#All],4,0)),"CUIT NO CARGADO")</f>
        <v>0</v>
      </c>
    </row>
    <row r="26" spans="2:18" ht="15" customHeight="1" x14ac:dyDescent="0.25">
      <c r="B26" s="40" t="s">
        <v>3014</v>
      </c>
      <c r="C26" s="41">
        <v>1</v>
      </c>
      <c r="D26" s="42">
        <v>4</v>
      </c>
      <c r="E26" s="43">
        <v>161</v>
      </c>
      <c r="F26" s="44">
        <v>20373500241</v>
      </c>
      <c r="G26" s="45" t="str">
        <f>IFERROR(IF(compras_mes12[[#This Row],[CUIT]]="","-",VLOOKUP(compras_mes12[[#This Row],[CUIT]],Lista_CUIT[#All],2,0)),"CUIT NO CARGADO")</f>
        <v>MAÑA LEONARDO ISAAC</v>
      </c>
      <c r="H26" s="46">
        <v>26636.36</v>
      </c>
      <c r="I26" s="85">
        <f>IF(compras_mes12[[#This Row],[NETO GRAVADO]]="","",compras_mes12[[#This Row],[NETO GRAVADO]]*0.21)</f>
        <v>5593.6355999999996</v>
      </c>
      <c r="J26" s="85"/>
      <c r="K26" s="85"/>
      <c r="L26" s="85"/>
      <c r="M26" s="85"/>
      <c r="N26" s="85"/>
      <c r="O26" s="85"/>
      <c r="P26" s="48">
        <f>SUM(compras_mes12[[#This Row],[NETO GRAVADO]:[Otros / No Grav.]])</f>
        <v>32229.995600000002</v>
      </c>
      <c r="Q26" s="49" t="str">
        <f>IFERROR(IF(compras_mes12[[#This Row],[CUIT]]="","-",VLOOKUP(compras_mes12[[#This Row],[CUIT]],Lista_CUIT[#All],3,0)),"CUIT NO CARGADO")</f>
        <v>Gastos Varios</v>
      </c>
      <c r="R26" s="49">
        <f>IFERROR(IF(compras_mes12[[#This Row],[CUIT]]="","-",VLOOKUP(compras_mes12[[#This Row],[CUIT]],Lista_CUIT[#All],4,0)),"CUIT NO CARGADO")</f>
        <v>0</v>
      </c>
    </row>
    <row r="27" spans="2:18" x14ac:dyDescent="0.25">
      <c r="B27" s="40" t="s">
        <v>3014</v>
      </c>
      <c r="C27" s="41">
        <v>1</v>
      </c>
      <c r="D27" s="42">
        <v>2</v>
      </c>
      <c r="E27" s="43">
        <v>336</v>
      </c>
      <c r="F27" s="44">
        <v>27309896063</v>
      </c>
      <c r="G27" s="45" t="str">
        <f>IFERROR(IF(compras_mes12[[#This Row],[CUIT]]="","-",VLOOKUP(compras_mes12[[#This Row],[CUIT]],Lista_CUIT[#All],2,0)),"CUIT NO CARGADO")</f>
        <v>BATTELLINI MARIA SOLEDAD</v>
      </c>
      <c r="H27" s="46">
        <v>720000</v>
      </c>
      <c r="I27" s="85">
        <f>IF(compras_mes12[[#This Row],[NETO GRAVADO]]="","",compras_mes12[[#This Row],[NETO GRAVADO]]*0.21)</f>
        <v>151200</v>
      </c>
      <c r="J27" s="85"/>
      <c r="K27" s="85"/>
      <c r="L27" s="85"/>
      <c r="M27" s="85"/>
      <c r="N27" s="85"/>
      <c r="O27" s="85"/>
      <c r="P27" s="48">
        <f>SUM(compras_mes12[[#This Row],[NETO GRAVADO]:[Otros / No Grav.]])</f>
        <v>871200</v>
      </c>
      <c r="Q27" s="49" t="str">
        <f>IFERROR(IF(compras_mes12[[#This Row],[CUIT]]="","-",VLOOKUP(compras_mes12[[#This Row],[CUIT]],Lista_CUIT[#All],3,0)),"CUIT NO CARGADO")</f>
        <v>Alquiler</v>
      </c>
      <c r="R27" s="49">
        <f>IFERROR(IF(compras_mes12[[#This Row],[CUIT]]="","-",VLOOKUP(compras_mes12[[#This Row],[CUIT]],Lista_CUIT[#All],4,0)),"CUIT NO CARGADO")</f>
        <v>0</v>
      </c>
    </row>
    <row r="28" spans="2:18" x14ac:dyDescent="0.25">
      <c r="B28" s="40" t="s">
        <v>3014</v>
      </c>
      <c r="C28" s="41">
        <v>1</v>
      </c>
      <c r="D28" s="42">
        <v>1</v>
      </c>
      <c r="E28" s="43">
        <v>366</v>
      </c>
      <c r="F28" s="44">
        <v>20077604627</v>
      </c>
      <c r="G28" s="45" t="str">
        <f>IFERROR(IF(compras_mes12[[#This Row],[CUIT]]="","-",VLOOKUP(compras_mes12[[#This Row],[CUIT]],Lista_CUIT[#All],2,0)),"CUIT NO CARGADO")</f>
        <v>OCAÑO ENRIQUE</v>
      </c>
      <c r="H28" s="46">
        <v>453040</v>
      </c>
      <c r="I28" s="85">
        <f>IF(compras_mes12[[#This Row],[NETO GRAVADO]]="","",compras_mes12[[#This Row],[NETO GRAVADO]]*0.21)</f>
        <v>95138.4</v>
      </c>
      <c r="J28" s="85"/>
      <c r="K28" s="85"/>
      <c r="L28" s="85"/>
      <c r="M28" s="85"/>
      <c r="N28" s="85"/>
      <c r="O28" s="85"/>
      <c r="P28" s="48">
        <f>SUM(compras_mes12[[#This Row],[NETO GRAVADO]:[Otros / No Grav.]])</f>
        <v>548178.4</v>
      </c>
      <c r="Q28" s="49" t="str">
        <f>IFERROR(IF(compras_mes12[[#This Row],[CUIT]]="","-",VLOOKUP(compras_mes12[[#This Row],[CUIT]],Lista_CUIT[#All],3,0)),"CUIT NO CARGADO")</f>
        <v>Material de Empaque</v>
      </c>
      <c r="R28" s="49">
        <f>IFERROR(IF(compras_mes12[[#This Row],[CUIT]]="","-",VLOOKUP(compras_mes12[[#This Row],[CUIT]],Lista_CUIT[#All],4,0)),"CUIT NO CARGADO")</f>
        <v>0</v>
      </c>
    </row>
    <row r="29" spans="2:18" x14ac:dyDescent="0.25">
      <c r="B29" s="40" t="s">
        <v>3014</v>
      </c>
      <c r="C29" s="41">
        <v>1</v>
      </c>
      <c r="D29" s="42">
        <v>3</v>
      </c>
      <c r="E29" s="43">
        <v>2788</v>
      </c>
      <c r="F29" s="44">
        <v>20371707442</v>
      </c>
      <c r="G29" s="45" t="str">
        <f>IFERROR(IF(compras_mes12[[#This Row],[CUIT]]="","-",VLOOKUP(compras_mes12[[#This Row],[CUIT]],Lista_CUIT[#All],2,0)),"CUIT NO CARGADO")</f>
        <v>PRALONG RUIZ NICOLAS</v>
      </c>
      <c r="H29" s="46">
        <v>11459.5</v>
      </c>
      <c r="I29" s="85">
        <f>IF(compras_mes12[[#This Row],[NETO GRAVADO]]="","",compras_mes12[[#This Row],[NETO GRAVADO]]*0.21)</f>
        <v>2406.4949999999999</v>
      </c>
      <c r="J29" s="85"/>
      <c r="K29" s="85"/>
      <c r="L29" s="85"/>
      <c r="M29" s="85"/>
      <c r="N29" s="85"/>
      <c r="O29" s="85"/>
      <c r="P29" s="48">
        <f>SUM(compras_mes12[[#This Row],[NETO GRAVADO]:[Otros / No Grav.]])</f>
        <v>13865.994999999999</v>
      </c>
      <c r="Q29" s="49" t="str">
        <f>IFERROR(IF(compras_mes12[[#This Row],[CUIT]]="","-",VLOOKUP(compras_mes12[[#This Row],[CUIT]],Lista_CUIT[#All],3,0)),"CUIT NO CARGADO")</f>
        <v>Software Mantenimiento</v>
      </c>
      <c r="R29" s="49">
        <f>IFERROR(IF(compras_mes12[[#This Row],[CUIT]]="","-",VLOOKUP(compras_mes12[[#This Row],[CUIT]],Lista_CUIT[#All],4,0)),"CUIT NO CARGADO")</f>
        <v>0</v>
      </c>
    </row>
    <row r="30" spans="2:18" x14ac:dyDescent="0.25">
      <c r="B30" s="40" t="s">
        <v>3014</v>
      </c>
      <c r="C30" s="41">
        <v>1</v>
      </c>
      <c r="D30" s="42">
        <v>3</v>
      </c>
      <c r="E30" s="43">
        <v>2792</v>
      </c>
      <c r="F30" s="44">
        <v>20371707442</v>
      </c>
      <c r="G30" s="45" t="str">
        <f>IFERROR(IF(compras_mes12[[#This Row],[CUIT]]="","-",VLOOKUP(compras_mes12[[#This Row],[CUIT]],Lista_CUIT[#All],2,0)),"CUIT NO CARGADO")</f>
        <v>PRALONG RUIZ NICOLAS</v>
      </c>
      <c r="H30" s="46">
        <v>20714.05</v>
      </c>
      <c r="I30" s="85">
        <f>IF(compras_mes12[[#This Row],[NETO GRAVADO]]="","",compras_mes12[[#This Row],[NETO GRAVADO]]*0.21)</f>
        <v>4349.9504999999999</v>
      </c>
      <c r="J30" s="85"/>
      <c r="K30" s="85"/>
      <c r="L30" s="85"/>
      <c r="M30" s="85"/>
      <c r="N30" s="85"/>
      <c r="O30" s="85"/>
      <c r="P30" s="48">
        <f>SUM(compras_mes12[[#This Row],[NETO GRAVADO]:[Otros / No Grav.]])</f>
        <v>25064.000499999998</v>
      </c>
      <c r="Q30" s="49" t="str">
        <f>IFERROR(IF(compras_mes12[[#This Row],[CUIT]]="","-",VLOOKUP(compras_mes12[[#This Row],[CUIT]],Lista_CUIT[#All],3,0)),"CUIT NO CARGADO")</f>
        <v>Software Mantenimiento</v>
      </c>
      <c r="R30" s="49">
        <f>IFERROR(IF(compras_mes12[[#This Row],[CUIT]]="","-",VLOOKUP(compras_mes12[[#This Row],[CUIT]],Lista_CUIT[#All],4,0)),"CUIT NO CARGADO")</f>
        <v>0</v>
      </c>
    </row>
    <row r="31" spans="2:18" x14ac:dyDescent="0.25">
      <c r="B31" s="40" t="s">
        <v>3014</v>
      </c>
      <c r="C31" s="41">
        <v>1</v>
      </c>
      <c r="D31" s="42">
        <v>3</v>
      </c>
      <c r="E31" s="43">
        <v>2793</v>
      </c>
      <c r="F31" s="44">
        <v>20371707442</v>
      </c>
      <c r="G31" s="45" t="str">
        <f>IFERROR(IF(compras_mes12[[#This Row],[CUIT]]="","-",VLOOKUP(compras_mes12[[#This Row],[CUIT]],Lista_CUIT[#All],2,0)),"CUIT NO CARGADO")</f>
        <v>PRALONG RUIZ NICOLAS</v>
      </c>
      <c r="H31" s="46">
        <v>3133.06</v>
      </c>
      <c r="I31" s="85">
        <f>IF(compras_mes12[[#This Row],[NETO GRAVADO]]="","",compras_mes12[[#This Row],[NETO GRAVADO]]*0.21)</f>
        <v>657.94259999999997</v>
      </c>
      <c r="J31" s="85"/>
      <c r="K31" s="85"/>
      <c r="L31" s="85"/>
      <c r="M31" s="85"/>
      <c r="N31" s="85"/>
      <c r="O31" s="85"/>
      <c r="P31" s="48">
        <f>SUM(compras_mes12[[#This Row],[NETO GRAVADO]:[Otros / No Grav.]])</f>
        <v>3791.0025999999998</v>
      </c>
      <c r="Q31" s="49" t="str">
        <f>IFERROR(IF(compras_mes12[[#This Row],[CUIT]]="","-",VLOOKUP(compras_mes12[[#This Row],[CUIT]],Lista_CUIT[#All],3,0)),"CUIT NO CARGADO")</f>
        <v>Software Mantenimiento</v>
      </c>
      <c r="R31" s="49">
        <f>IFERROR(IF(compras_mes12[[#This Row],[CUIT]]="","-",VLOOKUP(compras_mes12[[#This Row],[CUIT]],Lista_CUIT[#All],4,0)),"CUIT NO CARGADO")</f>
        <v>0</v>
      </c>
    </row>
    <row r="32" spans="2:18" x14ac:dyDescent="0.25">
      <c r="B32" s="40" t="s">
        <v>3014</v>
      </c>
      <c r="C32" s="41">
        <v>1</v>
      </c>
      <c r="D32" s="42">
        <v>3</v>
      </c>
      <c r="E32" s="43">
        <v>2795</v>
      </c>
      <c r="F32" s="44">
        <v>20371707442</v>
      </c>
      <c r="G32" s="45" t="str">
        <f>IFERROR(IF(compras_mes12[[#This Row],[CUIT]]="","-",VLOOKUP(compras_mes12[[#This Row],[CUIT]],Lista_CUIT[#All],2,0)),"CUIT NO CARGADO")</f>
        <v>PRALONG RUIZ NICOLAS</v>
      </c>
      <c r="H32" s="46">
        <v>17841.45</v>
      </c>
      <c r="I32" s="85">
        <f>IF(compras_mes12[[#This Row],[NETO GRAVADO]]="","",compras_mes12[[#This Row],[NETO GRAVADO]]*0.21)</f>
        <v>3746.7044999999998</v>
      </c>
      <c r="J32" s="85"/>
      <c r="K32" s="85"/>
      <c r="L32" s="85"/>
      <c r="M32" s="85"/>
      <c r="N32" s="85"/>
      <c r="O32" s="85"/>
      <c r="P32" s="48">
        <f>SUM(compras_mes12[[#This Row],[NETO GRAVADO]:[Otros / No Grav.]])</f>
        <v>21588.154500000001</v>
      </c>
      <c r="Q32" s="49" t="str">
        <f>IFERROR(IF(compras_mes12[[#This Row],[CUIT]]="","-",VLOOKUP(compras_mes12[[#This Row],[CUIT]],Lista_CUIT[#All],3,0)),"CUIT NO CARGADO")</f>
        <v>Software Mantenimiento</v>
      </c>
      <c r="R32" s="49">
        <f>IFERROR(IF(compras_mes12[[#This Row],[CUIT]]="","-",VLOOKUP(compras_mes12[[#This Row],[CUIT]],Lista_CUIT[#All],4,0)),"CUIT NO CARGADO")</f>
        <v>0</v>
      </c>
    </row>
    <row r="33" spans="2:18" ht="16.899999999999999" customHeight="1" x14ac:dyDescent="0.25">
      <c r="B33" s="40" t="s">
        <v>3014</v>
      </c>
      <c r="C33" s="41">
        <v>1</v>
      </c>
      <c r="D33" s="42">
        <v>300</v>
      </c>
      <c r="E33" s="43">
        <v>3049</v>
      </c>
      <c r="F33" s="44">
        <v>27106496787</v>
      </c>
      <c r="G33" s="45" t="str">
        <f>IFERROR(IF(compras_mes12[[#This Row],[CUIT]]="","-",VLOOKUP(compras_mes12[[#This Row],[CUIT]],Lista_CUIT[#All],2,0)),"CUIT NO CARGADO")</f>
        <v>PASCAL MIRTA GRACIELA</v>
      </c>
      <c r="H33" s="46">
        <v>10991.72</v>
      </c>
      <c r="I33" s="85">
        <f>IF(compras_mes12[[#This Row],[NETO GRAVADO]]="","",compras_mes12[[#This Row],[NETO GRAVADO]]*0.21)</f>
        <v>2308.2611999999999</v>
      </c>
      <c r="J33" s="85"/>
      <c r="K33" s="85"/>
      <c r="L33" s="85"/>
      <c r="M33" s="85"/>
      <c r="N33" s="85"/>
      <c r="O33" s="85"/>
      <c r="P33" s="48">
        <f>SUM(compras_mes12[[#This Row],[NETO GRAVADO]:[Otros / No Grav.]])</f>
        <v>13299.981199999998</v>
      </c>
      <c r="Q33" s="49" t="str">
        <f>IFERROR(IF(compras_mes12[[#This Row],[CUIT]]="","-",VLOOKUP(compras_mes12[[#This Row],[CUIT]],Lista_CUIT[#All],3,0)),"CUIT NO CARGADO")</f>
        <v>Ferreteria</v>
      </c>
      <c r="R33" s="49">
        <f>IFERROR(IF(compras_mes12[[#This Row],[CUIT]]="","-",VLOOKUP(compras_mes12[[#This Row],[CUIT]],Lista_CUIT[#All],4,0)),"CUIT NO CARGADO")</f>
        <v>0</v>
      </c>
    </row>
    <row r="34" spans="2:18" x14ac:dyDescent="0.25">
      <c r="B34" s="40" t="s">
        <v>3014</v>
      </c>
      <c r="C34" s="41">
        <v>1</v>
      </c>
      <c r="D34" s="42">
        <v>9</v>
      </c>
      <c r="E34" s="43">
        <v>3108</v>
      </c>
      <c r="F34" s="44">
        <v>30717495175</v>
      </c>
      <c r="G34" s="45" t="str">
        <f>IFERROR(IF(compras_mes12[[#This Row],[CUIT]]="","-",VLOOKUP(compras_mes12[[#This Row],[CUIT]],Lista_CUIT[#All],2,0)),"CUIT NO CARGADO")</f>
        <v>BYLAPPIEL LABORATORIOS S.A.S.</v>
      </c>
      <c r="H34" s="46">
        <v>10065.65</v>
      </c>
      <c r="I34" s="85">
        <f>IF(compras_mes12[[#This Row],[NETO GRAVADO]]="","",compras_mes12[[#This Row],[NETO GRAVADO]]*0.21)</f>
        <v>2113.7864999999997</v>
      </c>
      <c r="J34" s="85"/>
      <c r="K34" s="85"/>
      <c r="L34" s="85"/>
      <c r="M34" s="85"/>
      <c r="N34" s="85"/>
      <c r="O34" s="85"/>
      <c r="P34" s="48">
        <f>SUM(compras_mes12[[#This Row],[NETO GRAVADO]:[Otros / No Grav.]])</f>
        <v>12179.4365</v>
      </c>
      <c r="Q34" s="49" t="str">
        <f>IFERROR(IF(compras_mes12[[#This Row],[CUIT]]="","-",VLOOKUP(compras_mes12[[#This Row],[CUIT]],Lista_CUIT[#All],3,0)),"CUIT NO CARGADO")</f>
        <v>Gastos Varios</v>
      </c>
      <c r="R34" s="49">
        <f>IFERROR(IF(compras_mes12[[#This Row],[CUIT]]="","-",VLOOKUP(compras_mes12[[#This Row],[CUIT]],Lista_CUIT[#All],4,0)),"CUIT NO CARGADO")</f>
        <v>0</v>
      </c>
    </row>
    <row r="35" spans="2:18" x14ac:dyDescent="0.25">
      <c r="B35" s="40" t="s">
        <v>3014</v>
      </c>
      <c r="C35" s="41">
        <v>1</v>
      </c>
      <c r="D35" s="42">
        <v>3</v>
      </c>
      <c r="E35" s="43">
        <v>3456</v>
      </c>
      <c r="F35" s="44">
        <v>30682116028</v>
      </c>
      <c r="G35" s="45" t="str">
        <f>IFERROR(IF(compras_mes12[[#This Row],[CUIT]]="","-",VLOOKUP(compras_mes12[[#This Row],[CUIT]],Lista_CUIT[#All],2,0)),"CUIT NO CARGADO")</f>
        <v>BLUE STAR CARGO SRL</v>
      </c>
      <c r="H35" s="46">
        <v>1526998.81</v>
      </c>
      <c r="I35" s="85">
        <f>IF(compras_mes12[[#This Row],[NETO GRAVADO]]="","",compras_mes12[[#This Row],[NETO GRAVADO]]*0.21)</f>
        <v>320669.7501</v>
      </c>
      <c r="J35" s="85"/>
      <c r="K35" s="85"/>
      <c r="L35" s="85"/>
      <c r="M35" s="85"/>
      <c r="N35" s="85"/>
      <c r="O35" s="85">
        <v>1663068</v>
      </c>
      <c r="P35" s="48">
        <f>SUM(compras_mes12[[#This Row],[NETO GRAVADO]:[Otros / No Grav.]])</f>
        <v>3510736.5601000004</v>
      </c>
      <c r="Q35" s="49" t="str">
        <f>IFERROR(IF(compras_mes12[[#This Row],[CUIT]]="","-",VLOOKUP(compras_mes12[[#This Row],[CUIT]],Lista_CUIT[#All],3,0)),"CUIT NO CARGADO")</f>
        <v>Flete</v>
      </c>
      <c r="R35" s="49">
        <f>IFERROR(IF(compras_mes12[[#This Row],[CUIT]]="","-",VLOOKUP(compras_mes12[[#This Row],[CUIT]],Lista_CUIT[#All],4,0)),"CUIT NO CARGADO")</f>
        <v>0</v>
      </c>
    </row>
    <row r="36" spans="2:18" x14ac:dyDescent="0.25">
      <c r="B36" s="40" t="s">
        <v>3014</v>
      </c>
      <c r="C36" s="41">
        <v>1</v>
      </c>
      <c r="D36" s="42">
        <v>3</v>
      </c>
      <c r="E36" s="43">
        <v>3458</v>
      </c>
      <c r="F36" s="44">
        <v>30682116028</v>
      </c>
      <c r="G36" s="45" t="str">
        <f>IFERROR(IF(compras_mes12[[#This Row],[CUIT]]="","-",VLOOKUP(compras_mes12[[#This Row],[CUIT]],Lista_CUIT[#All],2,0)),"CUIT NO CARGADO")</f>
        <v>BLUE STAR CARGO SRL</v>
      </c>
      <c r="H36" s="46">
        <v>1070411.05</v>
      </c>
      <c r="I36" s="85">
        <f>IF(compras_mes12[[#This Row],[NETO GRAVADO]]="","",compras_mes12[[#This Row],[NETO GRAVADO]]*0.21)</f>
        <v>224786.3205</v>
      </c>
      <c r="J36" s="85"/>
      <c r="K36" s="85"/>
      <c r="L36" s="85"/>
      <c r="M36" s="85"/>
      <c r="N36" s="85"/>
      <c r="O36" s="85">
        <v>272138.40000000002</v>
      </c>
      <c r="P36" s="48">
        <f>SUM(compras_mes12[[#This Row],[NETO GRAVADO]:[Otros / No Grav.]])</f>
        <v>1567335.7705000001</v>
      </c>
      <c r="Q36" s="49" t="str">
        <f>IFERROR(IF(compras_mes12[[#This Row],[CUIT]]="","-",VLOOKUP(compras_mes12[[#This Row],[CUIT]],Lista_CUIT[#All],3,0)),"CUIT NO CARGADO")</f>
        <v>Flete</v>
      </c>
      <c r="R36" s="49">
        <f>IFERROR(IF(compras_mes12[[#This Row],[CUIT]]="","-",VLOOKUP(compras_mes12[[#This Row],[CUIT]],Lista_CUIT[#All],4,0)),"CUIT NO CARGADO")</f>
        <v>0</v>
      </c>
    </row>
    <row r="37" spans="2:18" x14ac:dyDescent="0.25">
      <c r="B37" s="40" t="s">
        <v>3014</v>
      </c>
      <c r="C37" s="41">
        <v>1</v>
      </c>
      <c r="D37" s="42">
        <v>6</v>
      </c>
      <c r="E37" s="43">
        <v>3715</v>
      </c>
      <c r="F37" s="44">
        <v>30574603788</v>
      </c>
      <c r="G37" s="45" t="str">
        <f>IFERROR(IF(compras_mes12[[#This Row],[CUIT]]="","-",VLOOKUP(compras_mes12[[#This Row],[CUIT]],Lista_CUIT[#All],2,0)),"CUIT NO CARGADO")</f>
        <v>CODAC SRL</v>
      </c>
      <c r="H37" s="46">
        <v>2029382</v>
      </c>
      <c r="I37" s="85">
        <f>IF(compras_mes12[[#This Row],[NETO GRAVADO]]="","",compras_mes12[[#This Row],[NETO GRAVADO]]*0.21)</f>
        <v>426170.22</v>
      </c>
      <c r="J37" s="85"/>
      <c r="K37" s="85"/>
      <c r="L37" s="85"/>
      <c r="M37" s="85"/>
      <c r="N37" s="85"/>
      <c r="O37" s="85"/>
      <c r="P37" s="48">
        <f>SUM(compras_mes12[[#This Row],[NETO GRAVADO]:[Otros / No Grav.]])</f>
        <v>2455552.2199999997</v>
      </c>
      <c r="Q37" s="49" t="str">
        <f>IFERROR(IF(compras_mes12[[#This Row],[CUIT]]="","-",VLOOKUP(compras_mes12[[#This Row],[CUIT]],Lista_CUIT[#All],3,0)),"CUIT NO CARGADO")</f>
        <v>Productos Venta</v>
      </c>
      <c r="R37" s="49" t="str">
        <f>IFERROR(IF(compras_mes12[[#This Row],[CUIT]]="","-",VLOOKUP(compras_mes12[[#This Row],[CUIT]],Lista_CUIT[#All],4,0)),"CUIT NO CARGADO")</f>
        <v>BUENOS AIRES</v>
      </c>
    </row>
    <row r="38" spans="2:18" x14ac:dyDescent="0.25">
      <c r="B38" s="40" t="s">
        <v>3014</v>
      </c>
      <c r="C38" s="41">
        <v>1</v>
      </c>
      <c r="D38" s="42">
        <v>7</v>
      </c>
      <c r="E38" s="43">
        <v>9102</v>
      </c>
      <c r="F38" s="44">
        <v>30708311703</v>
      </c>
      <c r="G38" s="45" t="str">
        <f>IFERROR(IF(compras_mes12[[#This Row],[CUIT]]="","-",VLOOKUP(compras_mes12[[#This Row],[CUIT]],Lista_CUIT[#All],2,0)),"CUIT NO CARGADO")</f>
        <v>NEWSALE SRL</v>
      </c>
      <c r="H38" s="46">
        <v>163636.35999999999</v>
      </c>
      <c r="I38" s="85">
        <f>IF(compras_mes12[[#This Row],[NETO GRAVADO]]="","",compras_mes12[[#This Row],[NETO GRAVADO]]*0.21)</f>
        <v>34363.635599999994</v>
      </c>
      <c r="J38" s="85"/>
      <c r="K38" s="85"/>
      <c r="L38" s="85"/>
      <c r="M38" s="85"/>
      <c r="N38" s="85"/>
      <c r="O38" s="85"/>
      <c r="P38" s="48">
        <f>SUM(compras_mes12[[#This Row],[NETO GRAVADO]:[Otros / No Grav.]])</f>
        <v>197999.99559999997</v>
      </c>
      <c r="Q38" s="49" t="str">
        <f>IFERROR(IF(compras_mes12[[#This Row],[CUIT]]="","-",VLOOKUP(compras_mes12[[#This Row],[CUIT]],Lista_CUIT[#All],3,0)),"CUIT NO CARGADO")</f>
        <v>Insumos</v>
      </c>
      <c r="R38" s="49">
        <f>IFERROR(IF(compras_mes12[[#This Row],[CUIT]]="","-",VLOOKUP(compras_mes12[[#This Row],[CUIT]],Lista_CUIT[#All],4,0)),"CUIT NO CARGADO")</f>
        <v>0</v>
      </c>
    </row>
    <row r="39" spans="2:18" x14ac:dyDescent="0.25">
      <c r="B39" s="40" t="s">
        <v>3014</v>
      </c>
      <c r="C39" s="41">
        <v>1</v>
      </c>
      <c r="D39" s="42">
        <v>15</v>
      </c>
      <c r="E39" s="43">
        <v>14551</v>
      </c>
      <c r="F39" s="44">
        <v>30715827707</v>
      </c>
      <c r="G39" s="45" t="str">
        <f>IFERROR(IF(compras_mes12[[#This Row],[CUIT]]="","-",VLOOKUP(compras_mes12[[#This Row],[CUIT]],Lista_CUIT[#All],2,0)),"CUIT NO CARGADO")</f>
        <v>TRUE STRENGTH SOCIEDAD POR ACCIONES SIMPLIFICADA S. A. S.</v>
      </c>
      <c r="H39" s="46">
        <v>27272.73</v>
      </c>
      <c r="I39" s="85">
        <f>IF(compras_mes12[[#This Row],[NETO GRAVADO]]="","",compras_mes12[[#This Row],[NETO GRAVADO]]*0.21)</f>
        <v>5727.2732999999998</v>
      </c>
      <c r="J39" s="85"/>
      <c r="K39" s="85"/>
      <c r="L39" s="85"/>
      <c r="M39" s="85"/>
      <c r="N39" s="85"/>
      <c r="O39" s="85"/>
      <c r="P39" s="48">
        <f>SUM(compras_mes12[[#This Row],[NETO GRAVADO]:[Otros / No Grav.]])</f>
        <v>33000.003299999997</v>
      </c>
      <c r="Q39" s="49" t="str">
        <f>IFERROR(IF(compras_mes12[[#This Row],[CUIT]]="","-",VLOOKUP(compras_mes12[[#This Row],[CUIT]],Lista_CUIT[#All],3,0)),"CUIT NO CARGADO")</f>
        <v>Gastos Varios</v>
      </c>
      <c r="R39" s="49">
        <f>IFERROR(IF(compras_mes12[[#This Row],[CUIT]]="","-",VLOOKUP(compras_mes12[[#This Row],[CUIT]],Lista_CUIT[#All],4,0)),"CUIT NO CARGADO")</f>
        <v>0</v>
      </c>
    </row>
    <row r="40" spans="2:18" x14ac:dyDescent="0.25">
      <c r="B40" s="40" t="s">
        <v>3014</v>
      </c>
      <c r="C40" s="41">
        <v>1</v>
      </c>
      <c r="D40" s="42">
        <v>3</v>
      </c>
      <c r="E40" s="43">
        <v>39408</v>
      </c>
      <c r="F40" s="44">
        <v>33707953549</v>
      </c>
      <c r="G40" s="45" t="str">
        <f>IFERROR(IF(compras_mes12[[#This Row],[CUIT]]="","-",VLOOKUP(compras_mes12[[#This Row],[CUIT]],Lista_CUIT[#All],2,0)),"CUIT NO CARGADO")</f>
        <v>TELESMART</v>
      </c>
      <c r="H40" s="46">
        <v>33300</v>
      </c>
      <c r="I40" s="85">
        <f>IF(compras_mes12[[#This Row],[NETO GRAVADO]]="","",compras_mes12[[#This Row],[NETO GRAVADO]]*0.21)</f>
        <v>6993</v>
      </c>
      <c r="J40" s="85"/>
      <c r="K40" s="85"/>
      <c r="L40" s="85"/>
      <c r="M40" s="85"/>
      <c r="N40" s="85"/>
      <c r="O40" s="85"/>
      <c r="P40" s="48">
        <f>SUM(compras_mes12[[#This Row],[NETO GRAVADO]:[Otros / No Grav.]])</f>
        <v>40293</v>
      </c>
      <c r="Q40" s="49" t="str">
        <f>IFERROR(IF(compras_mes12[[#This Row],[CUIT]]="","-",VLOOKUP(compras_mes12[[#This Row],[CUIT]],Lista_CUIT[#All],3,0)),"CUIT NO CARGADO")</f>
        <v>Servicios Gas, Luz, etc.</v>
      </c>
      <c r="R40" s="49">
        <f>IFERROR(IF(compras_mes12[[#This Row],[CUIT]]="","-",VLOOKUP(compras_mes12[[#This Row],[CUIT]],Lista_CUIT[#All],4,0)),"CUIT NO CARGADO")</f>
        <v>0</v>
      </c>
    </row>
    <row r="41" spans="2:18" x14ac:dyDescent="0.25">
      <c r="B41" s="40" t="s">
        <v>3014</v>
      </c>
      <c r="C41" s="41">
        <v>1</v>
      </c>
      <c r="D41" s="42">
        <v>2215</v>
      </c>
      <c r="E41" s="43">
        <v>60167</v>
      </c>
      <c r="F41" s="44">
        <v>30548083156</v>
      </c>
      <c r="G41" s="45" t="str">
        <f>IFERROR(IF(compras_mes12[[#This Row],[CUIT]]="","-",VLOOKUP(compras_mes12[[#This Row],[CUIT]],Lista_CUIT[#All],2,0)),"CUIT NO CARGADO")</f>
        <v>COTO CENTRO INTEGRAL DE COMERCIALIZACION SOCIEDAD ANONIMA</v>
      </c>
      <c r="H41" s="46">
        <v>92782.5</v>
      </c>
      <c r="I41" s="85">
        <v>17745.71</v>
      </c>
      <c r="J41" s="85"/>
      <c r="K41" s="85">
        <v>869.31</v>
      </c>
      <c r="L41" s="85"/>
      <c r="M41" s="85"/>
      <c r="N41" s="85"/>
      <c r="O41" s="85">
        <v>4832.5</v>
      </c>
      <c r="P41" s="48">
        <f>SUM(compras_mes12[[#This Row],[NETO GRAVADO]:[Otros / No Grav.]])</f>
        <v>116230.01999999999</v>
      </c>
      <c r="Q41" s="49" t="str">
        <f>IFERROR(IF(compras_mes12[[#This Row],[CUIT]]="","-",VLOOKUP(compras_mes12[[#This Row],[CUIT]],Lista_CUIT[#All],3,0)),"CUIT NO CARGADO")</f>
        <v>Gastos Varios</v>
      </c>
      <c r="R41" s="49">
        <f>IFERROR(IF(compras_mes12[[#This Row],[CUIT]]="","-",VLOOKUP(compras_mes12[[#This Row],[CUIT]],Lista_CUIT[#All],4,0)),"CUIT NO CARGADO")</f>
        <v>0</v>
      </c>
    </row>
    <row r="42" spans="2:18" x14ac:dyDescent="0.25">
      <c r="B42" s="40" t="s">
        <v>3014</v>
      </c>
      <c r="C42" s="41">
        <v>1</v>
      </c>
      <c r="D42" s="42">
        <v>3099</v>
      </c>
      <c r="E42" s="43">
        <v>628748</v>
      </c>
      <c r="F42" s="44">
        <v>30678814357</v>
      </c>
      <c r="G42" s="45" t="str">
        <f>IFERROR(IF(compras_mes12[[#This Row],[CUIT]]="","-",VLOOKUP(compras_mes12[[#This Row],[CUIT]],Lista_CUIT[#All],2,0)),"CUIT NO CARGADO")</f>
        <v>TELEFONICA MOVILES ARG</v>
      </c>
      <c r="H42" s="46">
        <v>91088</v>
      </c>
      <c r="I42" s="85" t="s">
        <v>2411</v>
      </c>
      <c r="J42" s="85">
        <f>compras_mes12[[#This Row],[NETO GRAVADO]]*0.27</f>
        <v>24593.760000000002</v>
      </c>
      <c r="K42" s="85"/>
      <c r="L42" s="85">
        <v>2732.64</v>
      </c>
      <c r="M42" s="85"/>
      <c r="N42" s="85">
        <v>2732.64</v>
      </c>
      <c r="O42" s="85" t="s">
        <v>2411</v>
      </c>
      <c r="P42" s="48">
        <f>SUM(compras_mes12[[#This Row],[NETO GRAVADO]:[Otros / No Grav.]])</f>
        <v>121147.04000000001</v>
      </c>
      <c r="Q42" s="49" t="str">
        <f>IFERROR(IF(compras_mes12[[#This Row],[CUIT]]="","-",VLOOKUP(compras_mes12[[#This Row],[CUIT]],Lista_CUIT[#All],3,0)),"CUIT NO CARGADO")</f>
        <v>Servicios Gas, Luz, etc.</v>
      </c>
      <c r="R42" s="49">
        <f>IFERROR(IF(compras_mes12[[#This Row],[CUIT]]="","-",VLOOKUP(compras_mes12[[#This Row],[CUIT]],Lista_CUIT[#All],4,0)),"CUIT NO CARGADO")</f>
        <v>0</v>
      </c>
    </row>
    <row r="43" spans="2:18" x14ac:dyDescent="0.25">
      <c r="B43" s="40" t="s">
        <v>2995</v>
      </c>
      <c r="C43" s="41">
        <v>3</v>
      </c>
      <c r="D43" s="42">
        <v>4</v>
      </c>
      <c r="E43" s="43">
        <v>230</v>
      </c>
      <c r="F43" s="44">
        <v>30617209094</v>
      </c>
      <c r="G43" s="45" t="str">
        <f>IFERROR(IF(compras_mes12[[#This Row],[CUIT]]="","-",VLOOKUP(compras_mes12[[#This Row],[CUIT]],Lista_CUIT[#All],2,0)),"CUIT NO CARGADO")</f>
        <v>COSMETICA FACECOLOR SA</v>
      </c>
      <c r="H43" s="46">
        <v>-1749795</v>
      </c>
      <c r="I43" s="85">
        <f>IF(compras_mes12[[#This Row],[NETO GRAVADO]]="","",compras_mes12[[#This Row],[NETO GRAVADO]]*0.21)</f>
        <v>-367456.95</v>
      </c>
      <c r="J43" s="85"/>
      <c r="K43" s="85"/>
      <c r="L43" s="85"/>
      <c r="M43" s="85"/>
      <c r="N43" s="85"/>
      <c r="O43" s="85"/>
      <c r="P43" s="48">
        <f>SUM(compras_mes12[[#This Row],[NETO GRAVADO]:[Otros / No Grav.]])</f>
        <v>-2117251.9500000002</v>
      </c>
      <c r="Q43" s="49" t="str">
        <f>IFERROR(IF(compras_mes12[[#This Row],[CUIT]]="","-",VLOOKUP(compras_mes12[[#This Row],[CUIT]],Lista_CUIT[#All],3,0)),"CUIT NO CARGADO")</f>
        <v>Mercaderia</v>
      </c>
      <c r="R43" s="49">
        <f>IFERROR(IF(compras_mes12[[#This Row],[CUIT]]="","-",VLOOKUP(compras_mes12[[#This Row],[CUIT]],Lista_CUIT[#All],4,0)),"CUIT NO CARGADO")</f>
        <v>0</v>
      </c>
    </row>
    <row r="44" spans="2:18" x14ac:dyDescent="0.25">
      <c r="B44" s="40" t="s">
        <v>2995</v>
      </c>
      <c r="C44" s="41">
        <v>1</v>
      </c>
      <c r="D44" s="42">
        <v>4</v>
      </c>
      <c r="E44" s="43">
        <v>3443</v>
      </c>
      <c r="F44" s="44">
        <v>30617209094</v>
      </c>
      <c r="G44" s="45" t="str">
        <f>IFERROR(IF(compras_mes12[[#This Row],[CUIT]]="","-",VLOOKUP(compras_mes12[[#This Row],[CUIT]],Lista_CUIT[#All],2,0)),"CUIT NO CARGADO")</f>
        <v>COSMETICA FACECOLOR SA</v>
      </c>
      <c r="H44" s="46">
        <v>1749795</v>
      </c>
      <c r="I44" s="85">
        <f>IF(compras_mes12[[#This Row],[NETO GRAVADO]]="","",compras_mes12[[#This Row],[NETO GRAVADO]]*0.21)</f>
        <v>367456.95</v>
      </c>
      <c r="J44" s="85"/>
      <c r="K44" s="85"/>
      <c r="L44" s="85"/>
      <c r="M44" s="85"/>
      <c r="N44" s="85"/>
      <c r="O44" s="85"/>
      <c r="P44" s="48">
        <f>SUM(compras_mes12[[#This Row],[NETO GRAVADO]:[Otros / No Grav.]])</f>
        <v>2117251.9500000002</v>
      </c>
      <c r="Q44" s="49" t="str">
        <f>IFERROR(IF(compras_mes12[[#This Row],[CUIT]]="","-",VLOOKUP(compras_mes12[[#This Row],[CUIT]],Lista_CUIT[#All],3,0)),"CUIT NO CARGADO")</f>
        <v>Mercaderia</v>
      </c>
      <c r="R44" s="49">
        <f>IFERROR(IF(compras_mes12[[#This Row],[CUIT]]="","-",VLOOKUP(compras_mes12[[#This Row],[CUIT]],Lista_CUIT[#All],4,0)),"CUIT NO CARGADO")</f>
        <v>0</v>
      </c>
    </row>
    <row r="45" spans="2:18" x14ac:dyDescent="0.25">
      <c r="B45" s="40" t="s">
        <v>2995</v>
      </c>
      <c r="C45" s="41">
        <v>1</v>
      </c>
      <c r="D45" s="42">
        <v>4</v>
      </c>
      <c r="E45" s="43">
        <v>3444</v>
      </c>
      <c r="F45" s="44">
        <v>30617209094</v>
      </c>
      <c r="G45" s="45" t="str">
        <f>IFERROR(IF(compras_mes12[[#This Row],[CUIT]]="","-",VLOOKUP(compras_mes12[[#This Row],[CUIT]],Lista_CUIT[#All],2,0)),"CUIT NO CARGADO")</f>
        <v>COSMETICA FACECOLOR SA</v>
      </c>
      <c r="H45" s="46">
        <v>1749795</v>
      </c>
      <c r="I45" s="85">
        <f>IF(compras_mes12[[#This Row],[NETO GRAVADO]]="","",compras_mes12[[#This Row],[NETO GRAVADO]]*0.21)</f>
        <v>367456.95</v>
      </c>
      <c r="J45" s="85"/>
      <c r="K45" s="85"/>
      <c r="L45" s="85"/>
      <c r="M45" s="85"/>
      <c r="N45" s="85"/>
      <c r="O45" s="85"/>
      <c r="P45" s="48">
        <f>SUM(compras_mes12[[#This Row],[NETO GRAVADO]:[Otros / No Grav.]])</f>
        <v>2117251.9500000002</v>
      </c>
      <c r="Q45" s="49" t="str">
        <f>IFERROR(IF(compras_mes12[[#This Row],[CUIT]]="","-",VLOOKUP(compras_mes12[[#This Row],[CUIT]],Lista_CUIT[#All],3,0)),"CUIT NO CARGADO")</f>
        <v>Mercaderia</v>
      </c>
      <c r="R45" s="49">
        <f>IFERROR(IF(compras_mes12[[#This Row],[CUIT]]="","-",VLOOKUP(compras_mes12[[#This Row],[CUIT]],Lista_CUIT[#All],4,0)),"CUIT NO CARGADO")</f>
        <v>0</v>
      </c>
    </row>
    <row r="46" spans="2:18" x14ac:dyDescent="0.25">
      <c r="B46" s="40" t="s">
        <v>2995</v>
      </c>
      <c r="C46" s="41">
        <v>1</v>
      </c>
      <c r="D46" s="42">
        <v>5</v>
      </c>
      <c r="E46" s="43">
        <v>8778</v>
      </c>
      <c r="F46" s="44">
        <v>30696604580</v>
      </c>
      <c r="G46" s="45" t="str">
        <f>IFERROR(IF(compras_mes12[[#This Row],[CUIT]]="","-",VLOOKUP(compras_mes12[[#This Row],[CUIT]],Lista_CUIT[#All],2,0)),"CUIT NO CARGADO")</f>
        <v>LIBRERIA HELIOS S R L</v>
      </c>
      <c r="H46" s="46">
        <v>280433.86</v>
      </c>
      <c r="I46" s="85">
        <f>IF(compras_mes12[[#This Row],[NETO GRAVADO]]="","",compras_mes12[[#This Row],[NETO GRAVADO]]*0.21)</f>
        <v>58891.110599999993</v>
      </c>
      <c r="J46" s="85"/>
      <c r="K46" s="85"/>
      <c r="L46" s="85"/>
      <c r="M46" s="85"/>
      <c r="N46" s="85"/>
      <c r="O46" s="85"/>
      <c r="P46" s="48">
        <f>SUM(compras_mes12[[#This Row],[NETO GRAVADO]:[Otros / No Grav.]])</f>
        <v>339324.9706</v>
      </c>
      <c r="Q46" s="49" t="str">
        <f>IFERROR(IF(compras_mes12[[#This Row],[CUIT]]="","-",VLOOKUP(compras_mes12[[#This Row],[CUIT]],Lista_CUIT[#All],3,0)),"CUIT NO CARGADO")</f>
        <v>Papeleria</v>
      </c>
      <c r="R46" s="49">
        <f>IFERROR(IF(compras_mes12[[#This Row],[CUIT]]="","-",VLOOKUP(compras_mes12[[#This Row],[CUIT]],Lista_CUIT[#All],4,0)),"CUIT NO CARGADO")</f>
        <v>0</v>
      </c>
    </row>
    <row r="47" spans="2:18" x14ac:dyDescent="0.25">
      <c r="B47" s="40" t="s">
        <v>2995</v>
      </c>
      <c r="C47" s="41">
        <v>1</v>
      </c>
      <c r="D47" s="42">
        <v>3</v>
      </c>
      <c r="E47" s="43">
        <v>22659</v>
      </c>
      <c r="F47" s="44">
        <v>20422269550</v>
      </c>
      <c r="G47" s="45" t="str">
        <f>IFERROR(IF(compras_mes12[[#This Row],[CUIT]]="","-",VLOOKUP(compras_mes12[[#This Row],[CUIT]],Lista_CUIT[#All],2,0)),"CUIT NO CARGADO")</f>
        <v>FEITO TOMAS AGUSTIN</v>
      </c>
      <c r="H47" s="46">
        <v>99731.77</v>
      </c>
      <c r="I47" s="85">
        <f>IF(compras_mes12[[#This Row],[NETO GRAVADO]]="","",compras_mes12[[#This Row],[NETO GRAVADO]]*0.21)</f>
        <v>20943.671699999999</v>
      </c>
      <c r="J47" s="85"/>
      <c r="K47" s="85"/>
      <c r="L47" s="85"/>
      <c r="M47" s="85"/>
      <c r="N47" s="85"/>
      <c r="O47" s="85"/>
      <c r="P47" s="48">
        <f>SUM(compras_mes12[[#This Row],[NETO GRAVADO]:[Otros / No Grav.]])</f>
        <v>120675.4417</v>
      </c>
      <c r="Q47" s="49" t="str">
        <f>IFERROR(IF(compras_mes12[[#This Row],[CUIT]]="","-",VLOOKUP(compras_mes12[[#This Row],[CUIT]],Lista_CUIT[#All],3,0)),"CUIT NO CARGADO")</f>
        <v>Gastos Varios</v>
      </c>
      <c r="R47" s="49">
        <f>IFERROR(IF(compras_mes12[[#This Row],[CUIT]]="","-",VLOOKUP(compras_mes12[[#This Row],[CUIT]],Lista_CUIT[#All],4,0)),"CUIT NO CARGADO")</f>
        <v>0</v>
      </c>
    </row>
    <row r="48" spans="2:18" x14ac:dyDescent="0.25">
      <c r="B48" s="40" t="s">
        <v>2995</v>
      </c>
      <c r="C48" s="41">
        <v>1</v>
      </c>
      <c r="D48" s="42">
        <v>7</v>
      </c>
      <c r="E48" s="43">
        <v>34961</v>
      </c>
      <c r="F48" s="44">
        <v>30710819552</v>
      </c>
      <c r="G48" s="45" t="str">
        <f>IFERROR(IF(compras_mes12[[#This Row],[CUIT]]="","-",VLOOKUP(compras_mes12[[#This Row],[CUIT]],Lista_CUIT[#All],2,0)),"CUIT NO CARGADO")</f>
        <v>EL CACIQUE Gastos Limpieza SRL</v>
      </c>
      <c r="H48" s="46">
        <v>125977.02</v>
      </c>
      <c r="I48" s="85">
        <f>IF(compras_mes12[[#This Row],[NETO GRAVADO]]="","",compras_mes12[[#This Row],[NETO GRAVADO]]*0.21)</f>
        <v>26455.174200000001</v>
      </c>
      <c r="J48" s="85"/>
      <c r="K48" s="85"/>
      <c r="L48" s="85"/>
      <c r="M48" s="85"/>
      <c r="N48" s="85"/>
      <c r="O48" s="85"/>
      <c r="P48" s="48">
        <f>SUM(compras_mes12[[#This Row],[NETO GRAVADO]:[Otros / No Grav.]])</f>
        <v>152432.1942</v>
      </c>
      <c r="Q48" s="49" t="str">
        <f>IFERROR(IF(compras_mes12[[#This Row],[CUIT]]="","-",VLOOKUP(compras_mes12[[#This Row],[CUIT]],Lista_CUIT[#All],3,0)),"CUIT NO CARGADO")</f>
        <v>Gastos Limpieza</v>
      </c>
      <c r="R48" s="49">
        <f>IFERROR(IF(compras_mes12[[#This Row],[CUIT]]="","-",VLOOKUP(compras_mes12[[#This Row],[CUIT]],Lista_CUIT[#All],4,0)),"CUIT NO CARGADO")</f>
        <v>0</v>
      </c>
    </row>
    <row r="49" spans="2:18" x14ac:dyDescent="0.25">
      <c r="B49" s="40" t="s">
        <v>2996</v>
      </c>
      <c r="C49" s="41">
        <v>1</v>
      </c>
      <c r="D49" s="42">
        <v>1</v>
      </c>
      <c r="E49" s="43">
        <v>75</v>
      </c>
      <c r="F49" s="44">
        <v>30717504824</v>
      </c>
      <c r="G49" s="45" t="str">
        <f>IFERROR(IF(compras_mes12[[#This Row],[CUIT]]="","-",VLOOKUP(compras_mes12[[#This Row],[CUIT]],Lista_CUIT[#All],2,0)),"CUIT NO CARGADO")</f>
        <v>FIDEICOMISO MAMBA</v>
      </c>
      <c r="H49" s="46">
        <v>3699547.52</v>
      </c>
      <c r="I49" s="85" t="s">
        <v>2411</v>
      </c>
      <c r="J49" s="85"/>
      <c r="K49" s="85">
        <f>compras_mes12[[#This Row],[NETO GRAVADO]]*0.105</f>
        <v>388452.48959999997</v>
      </c>
      <c r="L49" s="85"/>
      <c r="M49" s="85"/>
      <c r="N49" s="85"/>
      <c r="O49" s="85"/>
      <c r="P49" s="48">
        <f>SUM(compras_mes12[[#This Row],[NETO GRAVADO]:[Otros / No Grav.]])</f>
        <v>4088000.0096</v>
      </c>
      <c r="Q49" s="49" t="str">
        <f>IFERROR(IF(compras_mes12[[#This Row],[CUIT]]="","-",VLOOKUP(compras_mes12[[#This Row],[CUIT]],Lista_CUIT[#All],3,0)),"CUIT NO CARGADO")</f>
        <v>MANTENIMIENTO</v>
      </c>
      <c r="R49" s="49">
        <f>IFERROR(IF(compras_mes12[[#This Row],[CUIT]]="","-",VLOOKUP(compras_mes12[[#This Row],[CUIT]],Lista_CUIT[#All],4,0)),"CUIT NO CARGADO")</f>
        <v>0</v>
      </c>
    </row>
    <row r="50" spans="2:18" x14ac:dyDescent="0.25">
      <c r="B50" s="40" t="s">
        <v>2996</v>
      </c>
      <c r="C50" s="41">
        <v>1</v>
      </c>
      <c r="D50" s="42">
        <v>1</v>
      </c>
      <c r="E50" s="43">
        <v>367</v>
      </c>
      <c r="F50" s="44">
        <v>20077604627</v>
      </c>
      <c r="G50" s="45" t="str">
        <f>IFERROR(IF(compras_mes12[[#This Row],[CUIT]]="","-",VLOOKUP(compras_mes12[[#This Row],[CUIT]],Lista_CUIT[#All],2,0)),"CUIT NO CARGADO")</f>
        <v>OCAÑO ENRIQUE</v>
      </c>
      <c r="H50" s="46">
        <v>4292860</v>
      </c>
      <c r="I50" s="85">
        <f>IF(compras_mes12[[#This Row],[NETO GRAVADO]]="","",compras_mes12[[#This Row],[NETO GRAVADO]]*0.21)</f>
        <v>901500.6</v>
      </c>
      <c r="J50" s="85"/>
      <c r="K50" s="85"/>
      <c r="L50" s="85"/>
      <c r="M50" s="85"/>
      <c r="N50" s="85"/>
      <c r="O50" s="85"/>
      <c r="P50" s="48">
        <f>SUM(compras_mes12[[#This Row],[NETO GRAVADO]:[Otros / No Grav.]])</f>
        <v>5194360.5999999996</v>
      </c>
      <c r="Q50" s="49" t="str">
        <f>IFERROR(IF(compras_mes12[[#This Row],[CUIT]]="","-",VLOOKUP(compras_mes12[[#This Row],[CUIT]],Lista_CUIT[#All],3,0)),"CUIT NO CARGADO")</f>
        <v>Material de Empaque</v>
      </c>
      <c r="R50" s="49">
        <f>IFERROR(IF(compras_mes12[[#This Row],[CUIT]]="","-",VLOOKUP(compras_mes12[[#This Row],[CUIT]],Lista_CUIT[#All],4,0)),"CUIT NO CARGADO")</f>
        <v>0</v>
      </c>
    </row>
    <row r="51" spans="2:18" x14ac:dyDescent="0.25">
      <c r="B51" s="40" t="s">
        <v>2996</v>
      </c>
      <c r="C51" s="41">
        <v>1</v>
      </c>
      <c r="D51" s="42">
        <v>1</v>
      </c>
      <c r="E51" s="43">
        <v>368</v>
      </c>
      <c r="F51" s="44">
        <v>20077604627</v>
      </c>
      <c r="G51" s="45" t="str">
        <f>IFERROR(IF(compras_mes12[[#This Row],[CUIT]]="","-",VLOOKUP(compras_mes12[[#This Row],[CUIT]],Lista_CUIT[#All],2,0)),"CUIT NO CARGADO")</f>
        <v>OCAÑO ENRIQUE</v>
      </c>
      <c r="H51" s="46">
        <v>256760</v>
      </c>
      <c r="I51" s="85">
        <f>IF(compras_mes12[[#This Row],[NETO GRAVADO]]="","",compras_mes12[[#This Row],[NETO GRAVADO]]*0.21)</f>
        <v>53919.6</v>
      </c>
      <c r="J51" s="85"/>
      <c r="K51" s="85"/>
      <c r="L51" s="85"/>
      <c r="M51" s="85"/>
      <c r="N51" s="85"/>
      <c r="O51" s="85"/>
      <c r="P51" s="48">
        <f>SUM(compras_mes12[[#This Row],[NETO GRAVADO]:[Otros / No Grav.]])</f>
        <v>310679.59999999998</v>
      </c>
      <c r="Q51" s="49" t="str">
        <f>IFERROR(IF(compras_mes12[[#This Row],[CUIT]]="","-",VLOOKUP(compras_mes12[[#This Row],[CUIT]],Lista_CUIT[#All],3,0)),"CUIT NO CARGADO")</f>
        <v>Material de Empaque</v>
      </c>
      <c r="R51" s="49">
        <f>IFERROR(IF(compras_mes12[[#This Row],[CUIT]]="","-",VLOOKUP(compras_mes12[[#This Row],[CUIT]],Lista_CUIT[#All],4,0)),"CUIT NO CARGADO")</f>
        <v>0</v>
      </c>
    </row>
    <row r="52" spans="2:18" x14ac:dyDescent="0.25">
      <c r="B52" s="40" t="s">
        <v>2996</v>
      </c>
      <c r="C52" s="41">
        <v>1</v>
      </c>
      <c r="D52" s="42">
        <v>11283</v>
      </c>
      <c r="E52" s="43">
        <v>2046</v>
      </c>
      <c r="F52" s="44">
        <v>30687310434</v>
      </c>
      <c r="G52" s="45" t="str">
        <f>IFERROR(IF(compras_mes12[[#This Row],[CUIT]]="","-",VLOOKUP(compras_mes12[[#This Row],[CUIT]],Lista_CUIT[#All],2,0)),"CUIT NO CARGADO")</f>
        <v>INC  SOCIEDAD ANONIMA</v>
      </c>
      <c r="H52" s="46">
        <v>38447.32</v>
      </c>
      <c r="I52" s="85">
        <v>2025.02</v>
      </c>
      <c r="J52" s="85"/>
      <c r="K52" s="85">
        <v>3024.46</v>
      </c>
      <c r="L52" s="85">
        <v>721.36</v>
      </c>
      <c r="M52" s="85"/>
      <c r="N52" s="85">
        <v>1153.42</v>
      </c>
      <c r="O52" s="85" t="s">
        <v>2411</v>
      </c>
      <c r="P52" s="48">
        <f>SUM(compras_mes12[[#This Row],[NETO GRAVADO]:[Otros / No Grav.]])</f>
        <v>45371.579999999994</v>
      </c>
      <c r="Q52" s="49" t="str">
        <f>IFERROR(IF(compras_mes12[[#This Row],[CUIT]]="","-",VLOOKUP(compras_mes12[[#This Row],[CUIT]],Lista_CUIT[#All],3,0)),"CUIT NO CARGADO")</f>
        <v>Combustible</v>
      </c>
      <c r="R52" s="49">
        <f>IFERROR(IF(compras_mes12[[#This Row],[CUIT]]="","-",VLOOKUP(compras_mes12[[#This Row],[CUIT]],Lista_CUIT[#All],4,0)),"CUIT NO CARGADO")</f>
        <v>0</v>
      </c>
    </row>
    <row r="53" spans="2:18" x14ac:dyDescent="0.25">
      <c r="B53" s="546" t="s">
        <v>2996</v>
      </c>
      <c r="C53" s="547">
        <v>1</v>
      </c>
      <c r="D53" s="487">
        <v>32</v>
      </c>
      <c r="E53" s="548">
        <v>3628</v>
      </c>
      <c r="F53" s="549">
        <v>30696106068</v>
      </c>
      <c r="G53" s="550" t="str">
        <f>IFERROR(IF(compras_mes12[[#This Row],[CUIT]]="","-",VLOOKUP(compras_mes12[[#This Row],[CUIT]],Lista_CUIT[#All],2,0)),"CUIT NO CARGADO")</f>
        <v>PINTURERIAS LIBERATO SRL</v>
      </c>
      <c r="H53" s="551">
        <v>36280.81</v>
      </c>
      <c r="I53" s="552">
        <f>IF(compras_mes12[[#This Row],[NETO GRAVADO]]="","",compras_mes12[[#This Row],[NETO GRAVADO]]*0.21)</f>
        <v>7618.9700999999995</v>
      </c>
      <c r="J53" s="552"/>
      <c r="K53" s="552"/>
      <c r="L53" s="552"/>
      <c r="M53" s="552"/>
      <c r="N53" s="552"/>
      <c r="O53" s="552"/>
      <c r="P53" s="553">
        <f>SUM(compras_mes12[[#This Row],[NETO GRAVADO]:[Otros / No Grav.]])</f>
        <v>43899.780099999996</v>
      </c>
      <c r="Q53" s="554" t="str">
        <f>IFERROR(IF(compras_mes12[[#This Row],[CUIT]]="","-",VLOOKUP(compras_mes12[[#This Row],[CUIT]],Lista_CUIT[#All],3,0)),"CUIT NO CARGADO")</f>
        <v>Mantenimiento Locales</v>
      </c>
      <c r="R53" s="554">
        <f>IFERROR(IF(compras_mes12[[#This Row],[CUIT]]="","-",VLOOKUP(compras_mes12[[#This Row],[CUIT]],Lista_CUIT[#All],4,0)),"CUIT NO CARGADO")</f>
        <v>0</v>
      </c>
    </row>
    <row r="54" spans="2:18" x14ac:dyDescent="0.25">
      <c r="B54" s="40" t="s">
        <v>2996</v>
      </c>
      <c r="C54" s="41">
        <v>1</v>
      </c>
      <c r="D54" s="42">
        <v>2</v>
      </c>
      <c r="E54" s="43">
        <v>4212</v>
      </c>
      <c r="F54" s="44">
        <v>30629863571</v>
      </c>
      <c r="G54" s="45" t="str">
        <f>IFERROR(IF(compras_mes12[[#This Row],[CUIT]]="","-",VLOOKUP(compras_mes12[[#This Row],[CUIT]],Lista_CUIT[#All],2,0)),"CUIT NO CARGADO")</f>
        <v>TECNIMAR S R L</v>
      </c>
      <c r="H54" s="46">
        <v>844064</v>
      </c>
      <c r="I54" s="85">
        <f>IF(compras_mes12[[#This Row],[NETO GRAVADO]]="","",compras_mes12[[#This Row],[NETO GRAVADO]]*0.21)</f>
        <v>177253.44</v>
      </c>
      <c r="J54" s="85"/>
      <c r="K54" s="85"/>
      <c r="L54" s="85"/>
      <c r="M54" s="85"/>
      <c r="N54" s="85"/>
      <c r="O54" s="85"/>
      <c r="P54" s="48">
        <f>SUM(compras_mes12[[#This Row],[NETO GRAVADO]:[Otros / No Grav.]])</f>
        <v>1021317.44</v>
      </c>
      <c r="Q54" s="49" t="str">
        <f>IFERROR(IF(compras_mes12[[#This Row],[CUIT]]="","-",VLOOKUP(compras_mes12[[#This Row],[CUIT]],Lista_CUIT[#All],3,0)),"CUIT NO CARGADO")</f>
        <v>Productos Venta</v>
      </c>
      <c r="R54" s="49">
        <f>IFERROR(IF(compras_mes12[[#This Row],[CUIT]]="","-",VLOOKUP(compras_mes12[[#This Row],[CUIT]],Lista_CUIT[#All],4,0)),"CUIT NO CARGADO")</f>
        <v>0</v>
      </c>
    </row>
    <row r="55" spans="2:18" x14ac:dyDescent="0.25">
      <c r="B55" s="40" t="s">
        <v>2996</v>
      </c>
      <c r="C55" s="41">
        <v>1</v>
      </c>
      <c r="D55" s="42">
        <v>2</v>
      </c>
      <c r="E55" s="43">
        <v>16542</v>
      </c>
      <c r="F55" s="44">
        <v>30716833530</v>
      </c>
      <c r="G55" s="45" t="str">
        <f>IFERROR(IF(compras_mes12[[#This Row],[CUIT]]="","-",VLOOKUP(compras_mes12[[#This Row],[CUIT]],Lista_CUIT[#All],2,0)),"CUIT NO CARGADO")</f>
        <v>WATOTO S.A.</v>
      </c>
      <c r="H55" s="46">
        <v>38628.1</v>
      </c>
      <c r="I55" s="85">
        <f>IF(compras_mes12[[#This Row],[NETO GRAVADO]]="","",compras_mes12[[#This Row],[NETO GRAVADO]]*0.21)</f>
        <v>8111.9009999999998</v>
      </c>
      <c r="J55" s="85"/>
      <c r="K55" s="85"/>
      <c r="L55" s="85"/>
      <c r="M55" s="85"/>
      <c r="N55" s="85"/>
      <c r="O55" s="85"/>
      <c r="P55" s="48">
        <f>SUM(compras_mes12[[#This Row],[NETO GRAVADO]:[Otros / No Grav.]])</f>
        <v>46740.000999999997</v>
      </c>
      <c r="Q55" s="49" t="str">
        <f>IFERROR(IF(compras_mes12[[#This Row],[CUIT]]="","-",VLOOKUP(compras_mes12[[#This Row],[CUIT]],Lista_CUIT[#All],3,0)),"CUIT NO CARGADO")</f>
        <v>Insumos</v>
      </c>
      <c r="R55" s="49">
        <f>IFERROR(IF(compras_mes12[[#This Row],[CUIT]]="","-",VLOOKUP(compras_mes12[[#This Row],[CUIT]],Lista_CUIT[#All],4,0)),"CUIT NO CARGADO")</f>
        <v>0</v>
      </c>
    </row>
    <row r="56" spans="2:18" x14ac:dyDescent="0.25">
      <c r="B56" s="40" t="s">
        <v>2996</v>
      </c>
      <c r="C56" s="41">
        <v>1</v>
      </c>
      <c r="D56" s="42">
        <v>10</v>
      </c>
      <c r="E56" s="43">
        <v>20344</v>
      </c>
      <c r="F56" s="44">
        <v>30710796838</v>
      </c>
      <c r="G56" s="45" t="str">
        <f>IFERROR(IF(compras_mes12[[#This Row],[CUIT]]="","-",VLOOKUP(compras_mes12[[#This Row],[CUIT]],Lista_CUIT[#All],2,0)),"CUIT NO CARGADO")</f>
        <v>NO BAJAR LOS BRAZOS S.R.L.</v>
      </c>
      <c r="H56" s="46">
        <v>154132.23000000001</v>
      </c>
      <c r="I56" s="85">
        <f>IF(compras_mes12[[#This Row],[NETO GRAVADO]]="","",compras_mes12[[#This Row],[NETO GRAVADO]]*0.21)</f>
        <v>32367.7683</v>
      </c>
      <c r="J56" s="85"/>
      <c r="K56" s="85"/>
      <c r="L56" s="85"/>
      <c r="M56" s="85"/>
      <c r="N56" s="85"/>
      <c r="O56" s="85"/>
      <c r="P56" s="48">
        <f>SUM(compras_mes12[[#This Row],[NETO GRAVADO]:[Otros / No Grav.]])</f>
        <v>186499.99830000001</v>
      </c>
      <c r="Q56" s="49" t="str">
        <f>IFERROR(IF(compras_mes12[[#This Row],[CUIT]]="","-",VLOOKUP(compras_mes12[[#This Row],[CUIT]],Lista_CUIT[#All],3,0)),"CUIT NO CARGADO")</f>
        <v>Gastos Limpieza</v>
      </c>
      <c r="R56" s="49">
        <f>IFERROR(IF(compras_mes12[[#This Row],[CUIT]]="","-",VLOOKUP(compras_mes12[[#This Row],[CUIT]],Lista_CUIT[#All],4,0)),"CUIT NO CARGADO")</f>
        <v>0</v>
      </c>
    </row>
    <row r="57" spans="2:18" x14ac:dyDescent="0.25">
      <c r="B57" s="40" t="s">
        <v>2996</v>
      </c>
      <c r="C57" s="41">
        <v>1</v>
      </c>
      <c r="D57" s="42">
        <v>2188</v>
      </c>
      <c r="E57" s="43">
        <v>163989</v>
      </c>
      <c r="F57" s="44">
        <v>30548083156</v>
      </c>
      <c r="G57" s="45" t="str">
        <f>IFERROR(IF(compras_mes12[[#This Row],[CUIT]]="","-",VLOOKUP(compras_mes12[[#This Row],[CUIT]],Lista_CUIT[#All],2,0)),"CUIT NO CARGADO")</f>
        <v>COTO CENTRO INTEGRAL DE COMERCIALIZACION SOCIEDAD ANONIMA</v>
      </c>
      <c r="H57" s="46">
        <v>54042.84</v>
      </c>
      <c r="I57" s="85">
        <v>7969.31</v>
      </c>
      <c r="J57" s="85"/>
      <c r="K57" s="85">
        <v>1689.84</v>
      </c>
      <c r="L57" s="85"/>
      <c r="M57" s="85"/>
      <c r="N57" s="85"/>
      <c r="O57" s="85">
        <v>2745.98</v>
      </c>
      <c r="P57" s="48">
        <f>SUM(compras_mes12[[#This Row],[NETO GRAVADO]:[Otros / No Grav.]])</f>
        <v>66447.969999999987</v>
      </c>
      <c r="Q57" s="49" t="str">
        <f>IFERROR(IF(compras_mes12[[#This Row],[CUIT]]="","-",VLOOKUP(compras_mes12[[#This Row],[CUIT]],Lista_CUIT[#All],3,0)),"CUIT NO CARGADO")</f>
        <v>Gastos Varios</v>
      </c>
      <c r="R57" s="49">
        <f>IFERROR(IF(compras_mes12[[#This Row],[CUIT]]="","-",VLOOKUP(compras_mes12[[#This Row],[CUIT]],Lista_CUIT[#All],4,0)),"CUIT NO CARGADO")</f>
        <v>0</v>
      </c>
    </row>
    <row r="58" spans="2:18" x14ac:dyDescent="0.25">
      <c r="B58" s="40" t="s">
        <v>3015</v>
      </c>
      <c r="C58" s="41">
        <v>1</v>
      </c>
      <c r="D58" s="42">
        <v>2</v>
      </c>
      <c r="E58" s="43">
        <v>272</v>
      </c>
      <c r="F58" s="44">
        <v>20274099012</v>
      </c>
      <c r="G58" s="45" t="str">
        <f>IFERROR(IF(compras_mes12[[#This Row],[CUIT]]="","-",VLOOKUP(compras_mes12[[#This Row],[CUIT]],Lista_CUIT[#All],2,0)),"CUIT NO CARGADO")</f>
        <v>RICCA FERNANDO DAMIAN</v>
      </c>
      <c r="H58" s="46">
        <v>115289.24</v>
      </c>
      <c r="I58" s="85">
        <f>IF(compras_mes12[[#This Row],[NETO GRAVADO]]="","",compras_mes12[[#This Row],[NETO GRAVADO]]*0.21)</f>
        <v>24210.740399999999</v>
      </c>
      <c r="J58" s="85"/>
      <c r="K58" s="85"/>
      <c r="L58" s="85"/>
      <c r="M58" s="85"/>
      <c r="N58" s="85"/>
      <c r="O58" s="85"/>
      <c r="P58" s="48">
        <f>SUM(compras_mes12[[#This Row],[NETO GRAVADO]:[Otros / No Grav.]])</f>
        <v>139499.9804</v>
      </c>
      <c r="Q58" s="49" t="str">
        <f>IFERROR(IF(compras_mes12[[#This Row],[CUIT]]="","-",VLOOKUP(compras_mes12[[#This Row],[CUIT]],Lista_CUIT[#All],3,0)),"CUIT NO CARGADO")</f>
        <v>Insumos</v>
      </c>
      <c r="R58" s="49">
        <f>IFERROR(IF(compras_mes12[[#This Row],[CUIT]]="","-",VLOOKUP(compras_mes12[[#This Row],[CUIT]],Lista_CUIT[#All],4,0)),"CUIT NO CARGADO")</f>
        <v>0</v>
      </c>
    </row>
    <row r="59" spans="2:18" x14ac:dyDescent="0.25">
      <c r="B59" s="40" t="s">
        <v>3015</v>
      </c>
      <c r="C59" s="41">
        <v>1</v>
      </c>
      <c r="D59" s="42">
        <v>5</v>
      </c>
      <c r="E59" s="43">
        <v>1044</v>
      </c>
      <c r="F59" s="44">
        <v>24109521716</v>
      </c>
      <c r="G59" s="45" t="str">
        <f>IFERROR(IF(compras_mes12[[#This Row],[CUIT]]="","-",VLOOKUP(compras_mes12[[#This Row],[CUIT]],Lista_CUIT[#All],2,0)),"CUIT NO CARGADO")</f>
        <v>BERON RICARDO HECTOR</v>
      </c>
      <c r="H59" s="46">
        <v>16322.31</v>
      </c>
      <c r="I59" s="85">
        <f>IF(compras_mes12[[#This Row],[NETO GRAVADO]]="","",compras_mes12[[#This Row],[NETO GRAVADO]]*0.21)</f>
        <v>3427.6850999999997</v>
      </c>
      <c r="J59" s="85"/>
      <c r="K59" s="85"/>
      <c r="L59" s="85"/>
      <c r="M59" s="85"/>
      <c r="N59" s="85"/>
      <c r="O59" s="85"/>
      <c r="P59" s="48">
        <f>SUM(compras_mes12[[#This Row],[NETO GRAVADO]:[Otros / No Grav.]])</f>
        <v>19749.9951</v>
      </c>
      <c r="Q59" s="49" t="str">
        <f>IFERROR(IF(compras_mes12[[#This Row],[CUIT]]="","-",VLOOKUP(compras_mes12[[#This Row],[CUIT]],Lista_CUIT[#All],3,0)),"CUIT NO CARGADO")</f>
        <v>Gastos Varios</v>
      </c>
      <c r="R59" s="49">
        <f>IFERROR(IF(compras_mes12[[#This Row],[CUIT]]="","-",VLOOKUP(compras_mes12[[#This Row],[CUIT]],Lista_CUIT[#All],4,0)),"CUIT NO CARGADO")</f>
        <v>0</v>
      </c>
    </row>
    <row r="60" spans="2:18" x14ac:dyDescent="0.25">
      <c r="B60" s="40" t="s">
        <v>3015</v>
      </c>
      <c r="C60" s="41">
        <v>1</v>
      </c>
      <c r="D60" s="42">
        <v>4</v>
      </c>
      <c r="E60" s="43">
        <v>1215</v>
      </c>
      <c r="F60" s="44">
        <v>27317740196</v>
      </c>
      <c r="G60" s="45" t="str">
        <f>IFERROR(IF(compras_mes12[[#This Row],[CUIT]]="","-",VLOOKUP(compras_mes12[[#This Row],[CUIT]],Lista_CUIT[#All],2,0)),"CUIT NO CARGADO")</f>
        <v>HOKAMA ROMINA PAOLA</v>
      </c>
      <c r="H60" s="46">
        <v>27416.52</v>
      </c>
      <c r="I60" s="85">
        <f>IF(compras_mes12[[#This Row],[NETO GRAVADO]]="","",compras_mes12[[#This Row],[NETO GRAVADO]]*0.21)</f>
        <v>5757.4691999999995</v>
      </c>
      <c r="J60" s="85"/>
      <c r="K60" s="85"/>
      <c r="L60" s="85"/>
      <c r="M60" s="85"/>
      <c r="N60" s="85"/>
      <c r="O60" s="85"/>
      <c r="P60" s="48">
        <f>SUM(compras_mes12[[#This Row],[NETO GRAVADO]:[Otros / No Grav.]])</f>
        <v>33173.989199999996</v>
      </c>
      <c r="Q60" s="49" t="str">
        <f>IFERROR(IF(compras_mes12[[#This Row],[CUIT]]="","-",VLOOKUP(compras_mes12[[#This Row],[CUIT]],Lista_CUIT[#All],3,0)),"CUIT NO CARGADO")</f>
        <v>Gastos Varios</v>
      </c>
      <c r="R60" s="49">
        <f>IFERROR(IF(compras_mes12[[#This Row],[CUIT]]="","-",VLOOKUP(compras_mes12[[#This Row],[CUIT]],Lista_CUIT[#All],4,0)),"CUIT NO CARGADO")</f>
        <v>0</v>
      </c>
    </row>
    <row r="61" spans="2:18" x14ac:dyDescent="0.25">
      <c r="B61" s="40" t="s">
        <v>3015</v>
      </c>
      <c r="C61" s="41">
        <v>1</v>
      </c>
      <c r="D61" s="42">
        <v>2199</v>
      </c>
      <c r="E61" s="43">
        <v>40551</v>
      </c>
      <c r="F61" s="44">
        <v>30548083156</v>
      </c>
      <c r="G61" s="45" t="str">
        <f>IFERROR(IF(compras_mes12[[#This Row],[CUIT]]="","-",VLOOKUP(compras_mes12[[#This Row],[CUIT]],Lista_CUIT[#All],2,0)),"CUIT NO CARGADO")</f>
        <v>COTO CENTRO INTEGRAL DE COMERCIALIZACION SOCIEDAD ANONIMA</v>
      </c>
      <c r="H61" s="46">
        <v>42686.15</v>
      </c>
      <c r="I61" s="85">
        <v>4512.3900000000003</v>
      </c>
      <c r="J61" s="85"/>
      <c r="K61" s="85">
        <v>2225.85</v>
      </c>
      <c r="L61" s="85"/>
      <c r="M61" s="85"/>
      <c r="N61" s="85"/>
      <c r="O61" s="85">
        <v>2084.91</v>
      </c>
      <c r="P61" s="48">
        <f>SUM(compras_mes12[[#This Row],[NETO GRAVADO]:[Otros / No Grav.]])</f>
        <v>51509.3</v>
      </c>
      <c r="Q61" s="49" t="str">
        <f>IFERROR(IF(compras_mes12[[#This Row],[CUIT]]="","-",VLOOKUP(compras_mes12[[#This Row],[CUIT]],Lista_CUIT[#All],3,0)),"CUIT NO CARGADO")</f>
        <v>Gastos Varios</v>
      </c>
      <c r="R61" s="49">
        <f>IFERROR(IF(compras_mes12[[#This Row],[CUIT]]="","-",VLOOKUP(compras_mes12[[#This Row],[CUIT]],Lista_CUIT[#All],4,0)),"CUIT NO CARGADO")</f>
        <v>0</v>
      </c>
    </row>
    <row r="62" spans="2:18" x14ac:dyDescent="0.25">
      <c r="B62" s="546" t="s">
        <v>3015</v>
      </c>
      <c r="C62" s="547">
        <v>1</v>
      </c>
      <c r="D62" s="487">
        <v>12</v>
      </c>
      <c r="E62" s="548">
        <v>78678</v>
      </c>
      <c r="F62" s="549">
        <v>30696131003</v>
      </c>
      <c r="G62" s="550" t="str">
        <f>IFERROR(IF(compras_mes12[[#This Row],[CUIT]]="","-",VLOOKUP(compras_mes12[[#This Row],[CUIT]],Lista_CUIT[#All],2,0)),"CUIT NO CARGADO")</f>
        <v>Petrolfe S.A.</v>
      </c>
      <c r="H62" s="551">
        <v>261263.1</v>
      </c>
      <c r="I62" s="552">
        <f>IF(compras_mes12[[#This Row],[NETO GRAVADO]]="","",compras_mes12[[#This Row],[NETO GRAVADO]]*0.21)</f>
        <v>54865.250999999997</v>
      </c>
      <c r="J62" s="552"/>
      <c r="K62" s="552"/>
      <c r="L62" s="552"/>
      <c r="M62" s="552"/>
      <c r="N62" s="552"/>
      <c r="O62" s="552">
        <v>25606.51</v>
      </c>
      <c r="P62" s="553">
        <f>SUM(compras_mes12[[#This Row],[NETO GRAVADO]:[Otros / No Grav.]])</f>
        <v>341734.86100000003</v>
      </c>
      <c r="Q62" s="554" t="str">
        <f>IFERROR(IF(compras_mes12[[#This Row],[CUIT]]="","-",VLOOKUP(compras_mes12[[#This Row],[CUIT]],Lista_CUIT[#All],3,0)),"CUIT NO CARGADO")</f>
        <v>Combustible</v>
      </c>
      <c r="R62" s="554">
        <f>IFERROR(IF(compras_mes12[[#This Row],[CUIT]]="","-",VLOOKUP(compras_mes12[[#This Row],[CUIT]],Lista_CUIT[#All],4,0)),"CUIT NO CARGADO")</f>
        <v>0</v>
      </c>
    </row>
    <row r="63" spans="2:18" x14ac:dyDescent="0.25">
      <c r="B63" s="40" t="s">
        <v>3015</v>
      </c>
      <c r="C63" s="41">
        <v>1</v>
      </c>
      <c r="D63" s="42">
        <v>700</v>
      </c>
      <c r="E63" s="43">
        <v>2895879</v>
      </c>
      <c r="F63" s="44">
        <v>30715804812</v>
      </c>
      <c r="G63" s="45" t="str">
        <f>IFERROR(IF(compras_mes12[[#This Row],[CUIT]]="","-",VLOOKUP(compras_mes12[[#This Row],[CUIT]],Lista_CUIT[#All],2,0)),"CUIT NO CARGADO")</f>
        <v>CORREDORES VIALES SOCIEDAD ANONIMA</v>
      </c>
      <c r="H63" s="46">
        <v>6031.89</v>
      </c>
      <c r="I63" s="85">
        <f>IF(compras_mes12[[#This Row],[NETO GRAVADO]]="","",compras_mes12[[#This Row],[NETO GRAVADO]]*0.21)</f>
        <v>1266.6968999999999</v>
      </c>
      <c r="J63" s="85"/>
      <c r="K63" s="85"/>
      <c r="L63" s="85"/>
      <c r="M63" s="85"/>
      <c r="N63" s="85"/>
      <c r="O63" s="85"/>
      <c r="P63" s="48">
        <f>SUM(compras_mes12[[#This Row],[NETO GRAVADO]:[Otros / No Grav.]])</f>
        <v>7298.5869000000002</v>
      </c>
      <c r="Q63" s="49" t="str">
        <f>IFERROR(IF(compras_mes12[[#This Row],[CUIT]]="","-",VLOOKUP(compras_mes12[[#This Row],[CUIT]],Lista_CUIT[#All],3,0)),"CUIT NO CARGADO")</f>
        <v>Peajes</v>
      </c>
      <c r="R63" s="49">
        <f>IFERROR(IF(compras_mes12[[#This Row],[CUIT]]="","-",VLOOKUP(compras_mes12[[#This Row],[CUIT]],Lista_CUIT[#All],4,0)),"CUIT NO CARGADO")</f>
        <v>0</v>
      </c>
    </row>
    <row r="64" spans="2:18" x14ac:dyDescent="0.25">
      <c r="B64" s="40" t="s">
        <v>3015</v>
      </c>
      <c r="C64" s="41">
        <v>1</v>
      </c>
      <c r="D64" s="42">
        <v>63</v>
      </c>
      <c r="E64" s="43">
        <v>3584575</v>
      </c>
      <c r="F64" s="44">
        <v>30640897267</v>
      </c>
      <c r="G64" s="45" t="str">
        <f>IFERROR(IF(compras_mes12[[#This Row],[CUIT]]="","-",VLOOKUP(compras_mes12[[#This Row],[CUIT]],Lista_CUIT[#All],2,0)),"CUIT NO CARGADO")</f>
        <v>TELECENTRO S.A.</v>
      </c>
      <c r="H64" s="46">
        <v>45412.93</v>
      </c>
      <c r="I64" s="85">
        <f>IF(compras_mes12[[#This Row],[NETO GRAVADO]]="","",compras_mes12[[#This Row],[NETO GRAVADO]]*0.21)</f>
        <v>9536.7152999999998</v>
      </c>
      <c r="J64" s="85"/>
      <c r="K64" s="85"/>
      <c r="L64" s="85">
        <v>1362.39</v>
      </c>
      <c r="M64" s="85"/>
      <c r="N64" s="85">
        <v>1362.39</v>
      </c>
      <c r="O64" s="85" t="s">
        <v>2411</v>
      </c>
      <c r="P64" s="48">
        <f>SUM(compras_mes12[[#This Row],[NETO GRAVADO]:[Otros / No Grav.]])</f>
        <v>57674.425300000003</v>
      </c>
      <c r="Q64" s="49" t="str">
        <f>IFERROR(IF(compras_mes12[[#This Row],[CUIT]]="","-",VLOOKUP(compras_mes12[[#This Row],[CUIT]],Lista_CUIT[#All],3,0)),"CUIT NO CARGADO")</f>
        <v>Servicios Gas, Luz, etc.</v>
      </c>
      <c r="R64" s="49">
        <f>IFERROR(IF(compras_mes12[[#This Row],[CUIT]]="","-",VLOOKUP(compras_mes12[[#This Row],[CUIT]],Lista_CUIT[#All],4,0)),"CUIT NO CARGADO")</f>
        <v>0</v>
      </c>
    </row>
    <row r="65" spans="2:18" x14ac:dyDescent="0.25">
      <c r="B65" s="40" t="s">
        <v>3015</v>
      </c>
      <c r="C65" s="41">
        <v>1</v>
      </c>
      <c r="D65" s="42">
        <v>63</v>
      </c>
      <c r="E65" s="43">
        <v>3585813</v>
      </c>
      <c r="F65" s="44">
        <v>30640897267</v>
      </c>
      <c r="G65" s="45" t="str">
        <f>IFERROR(IF(compras_mes12[[#This Row],[CUIT]]="","-",VLOOKUP(compras_mes12[[#This Row],[CUIT]],Lista_CUIT[#All],2,0)),"CUIT NO CARGADO")</f>
        <v>TELECENTRO S.A.</v>
      </c>
      <c r="H65" s="46">
        <v>45412.93</v>
      </c>
      <c r="I65" s="85">
        <f>IF(compras_mes12[[#This Row],[NETO GRAVADO]]="","",compras_mes12[[#This Row],[NETO GRAVADO]]*0.21)</f>
        <v>9536.7152999999998</v>
      </c>
      <c r="J65" s="85"/>
      <c r="K65" s="85"/>
      <c r="L65" s="85">
        <v>1362.39</v>
      </c>
      <c r="M65" s="85"/>
      <c r="N65" s="85">
        <v>1362.39</v>
      </c>
      <c r="O65" s="85" t="s">
        <v>2411</v>
      </c>
      <c r="P65" s="48">
        <f>SUM(compras_mes12[[#This Row],[NETO GRAVADO]:[Otros / No Grav.]])</f>
        <v>57674.425300000003</v>
      </c>
      <c r="Q65" s="49" t="str">
        <f>IFERROR(IF(compras_mes12[[#This Row],[CUIT]]="","-",VLOOKUP(compras_mes12[[#This Row],[CUIT]],Lista_CUIT[#All],3,0)),"CUIT NO CARGADO")</f>
        <v>Servicios Gas, Luz, etc.</v>
      </c>
      <c r="R65" s="49">
        <f>IFERROR(IF(compras_mes12[[#This Row],[CUIT]]="","-",VLOOKUP(compras_mes12[[#This Row],[CUIT]],Lista_CUIT[#All],4,0)),"CUIT NO CARGADO")</f>
        <v>0</v>
      </c>
    </row>
    <row r="66" spans="2:18" x14ac:dyDescent="0.25">
      <c r="B66" s="40" t="s">
        <v>3015</v>
      </c>
      <c r="C66" s="41">
        <v>1</v>
      </c>
      <c r="D66" s="42">
        <v>63</v>
      </c>
      <c r="E66" s="43">
        <v>3594316</v>
      </c>
      <c r="F66" s="44">
        <v>30640897267</v>
      </c>
      <c r="G66" s="45" t="str">
        <f>IFERROR(IF(compras_mes12[[#This Row],[CUIT]]="","-",VLOOKUP(compras_mes12[[#This Row],[CUIT]],Lista_CUIT[#All],2,0)),"CUIT NO CARGADO")</f>
        <v>TELECENTRO S.A.</v>
      </c>
      <c r="H66" s="46">
        <v>19281.099999999999</v>
      </c>
      <c r="I66" s="85">
        <f>IF(compras_mes12[[#This Row],[NETO GRAVADO]]="","",compras_mes12[[#This Row],[NETO GRAVADO]]*0.21)</f>
        <v>4049.0309999999995</v>
      </c>
      <c r="J66" s="85"/>
      <c r="K66" s="85"/>
      <c r="L66" s="85">
        <v>578.42999999999995</v>
      </c>
      <c r="M66" s="85"/>
      <c r="N66" s="85">
        <v>578.42999999999995</v>
      </c>
      <c r="O66" s="85" t="s">
        <v>2411</v>
      </c>
      <c r="P66" s="48">
        <f>SUM(compras_mes12[[#This Row],[NETO GRAVADO]:[Otros / No Grav.]])</f>
        <v>24486.990999999998</v>
      </c>
      <c r="Q66" s="49" t="str">
        <f>IFERROR(IF(compras_mes12[[#This Row],[CUIT]]="","-",VLOOKUP(compras_mes12[[#This Row],[CUIT]],Lista_CUIT[#All],3,0)),"CUIT NO CARGADO")</f>
        <v>Servicios Gas, Luz, etc.</v>
      </c>
      <c r="R66" s="49">
        <f>IFERROR(IF(compras_mes12[[#This Row],[CUIT]]="","-",VLOOKUP(compras_mes12[[#This Row],[CUIT]],Lista_CUIT[#All],4,0)),"CUIT NO CARGADO")</f>
        <v>0</v>
      </c>
    </row>
    <row r="67" spans="2:18" x14ac:dyDescent="0.25">
      <c r="B67" s="40" t="s">
        <v>3015</v>
      </c>
      <c r="C67" s="41">
        <v>1</v>
      </c>
      <c r="D67" s="42">
        <v>63</v>
      </c>
      <c r="E67" s="43">
        <v>3603381</v>
      </c>
      <c r="F67" s="44">
        <v>30640897267</v>
      </c>
      <c r="G67" s="45" t="str">
        <f>IFERROR(IF(compras_mes12[[#This Row],[CUIT]]="","-",VLOOKUP(compras_mes12[[#This Row],[CUIT]],Lista_CUIT[#All],2,0)),"CUIT NO CARGADO")</f>
        <v>TELECENTRO S.A.</v>
      </c>
      <c r="H67" s="46">
        <v>19281.099999999999</v>
      </c>
      <c r="I67" s="85">
        <f>IF(compras_mes12[[#This Row],[NETO GRAVADO]]="","",compras_mes12[[#This Row],[NETO GRAVADO]]*0.21)</f>
        <v>4049.0309999999995</v>
      </c>
      <c r="J67" s="85"/>
      <c r="K67" s="85"/>
      <c r="L67" s="85">
        <v>578.42999999999995</v>
      </c>
      <c r="M67" s="85"/>
      <c r="N67" s="85">
        <v>578.42999999999995</v>
      </c>
      <c r="O67" s="85" t="s">
        <v>2411</v>
      </c>
      <c r="P67" s="48">
        <f>SUM(compras_mes12[[#This Row],[NETO GRAVADO]:[Otros / No Grav.]])</f>
        <v>24486.990999999998</v>
      </c>
      <c r="Q67" s="49" t="str">
        <f>IFERROR(IF(compras_mes12[[#This Row],[CUIT]]="","-",VLOOKUP(compras_mes12[[#This Row],[CUIT]],Lista_CUIT[#All],3,0)),"CUIT NO CARGADO")</f>
        <v>Servicios Gas, Luz, etc.</v>
      </c>
      <c r="R67" s="49">
        <f>IFERROR(IF(compras_mes12[[#This Row],[CUIT]]="","-",VLOOKUP(compras_mes12[[#This Row],[CUIT]],Lista_CUIT[#All],4,0)),"CUIT NO CARGADO")</f>
        <v>0</v>
      </c>
    </row>
    <row r="68" spans="2:18" x14ac:dyDescent="0.25">
      <c r="B68" s="40" t="s">
        <v>3016</v>
      </c>
      <c r="C68" s="41">
        <v>1</v>
      </c>
      <c r="D68" s="42">
        <v>9</v>
      </c>
      <c r="E68" s="43">
        <v>86</v>
      </c>
      <c r="F68" s="44">
        <v>30717906833</v>
      </c>
      <c r="G68" s="45" t="str">
        <f>IFERROR(IF(compras_mes12[[#This Row],[CUIT]]="","-",VLOOKUP(compras_mes12[[#This Row],[CUIT]],Lista_CUIT[#All],2,0)),"CUIT NO CARGADO")</f>
        <v>WALJUL</v>
      </c>
      <c r="H68" s="46">
        <v>65537.19</v>
      </c>
      <c r="I68" s="85">
        <f>IF(compras_mes12[[#This Row],[NETO GRAVADO]]="","",compras_mes12[[#This Row],[NETO GRAVADO]]*0.21)</f>
        <v>13762.8099</v>
      </c>
      <c r="J68" s="85"/>
      <c r="K68" s="85"/>
      <c r="L68" s="85"/>
      <c r="M68" s="85"/>
      <c r="N68" s="85"/>
      <c r="O68" s="85"/>
      <c r="P68" s="48">
        <f>SUM(compras_mes12[[#This Row],[NETO GRAVADO]:[Otros / No Grav.]])</f>
        <v>79299.999899999995</v>
      </c>
      <c r="Q68" s="49" t="str">
        <f>IFERROR(IF(compras_mes12[[#This Row],[CUIT]]="","-",VLOOKUP(compras_mes12[[#This Row],[CUIT]],Lista_CUIT[#All],3,0)),"CUIT NO CARGADO")</f>
        <v>Gastos Varios</v>
      </c>
      <c r="R68" s="49">
        <f>IFERROR(IF(compras_mes12[[#This Row],[CUIT]]="","-",VLOOKUP(compras_mes12[[#This Row],[CUIT]],Lista_CUIT[#All],4,0)),"CUIT NO CARGADO")</f>
        <v>0</v>
      </c>
    </row>
    <row r="69" spans="2:18" x14ac:dyDescent="0.25">
      <c r="B69" s="40" t="s">
        <v>3016</v>
      </c>
      <c r="C69" s="41">
        <v>1</v>
      </c>
      <c r="D69" s="42">
        <v>3950</v>
      </c>
      <c r="E69" s="43">
        <v>5679258</v>
      </c>
      <c r="F69" s="44">
        <v>30639453738</v>
      </c>
      <c r="G69" s="45" t="str">
        <f>IFERROR(IF(compras_mes12[[#This Row],[CUIT]]="","-",VLOOKUP(compras_mes12[[#This Row],[CUIT]],Lista_CUIT[#All],2,0)),"CUIT NO CARGADO")</f>
        <v>TELECOM ARG SA</v>
      </c>
      <c r="H69" s="46">
        <v>344334.63</v>
      </c>
      <c r="I69" s="85">
        <v>71879.89</v>
      </c>
      <c r="J69" s="85">
        <v>553.34</v>
      </c>
      <c r="K69" s="85"/>
      <c r="L69" s="85"/>
      <c r="M69" s="85"/>
      <c r="N69" s="85">
        <v>18898.05</v>
      </c>
      <c r="O69" s="85">
        <v>10437.91</v>
      </c>
      <c r="P69" s="48">
        <f>SUM(compras_mes12[[#This Row],[NETO GRAVADO]:[Otros / No Grav.]])</f>
        <v>446103.82</v>
      </c>
      <c r="Q69" s="49" t="str">
        <f>IFERROR(IF(compras_mes12[[#This Row],[CUIT]]="","-",VLOOKUP(compras_mes12[[#This Row],[CUIT]],Lista_CUIT[#All],3,0)),"CUIT NO CARGADO")</f>
        <v>Servicios Gas, Luz, etc.</v>
      </c>
      <c r="R69" s="49">
        <f>IFERROR(IF(compras_mes12[[#This Row],[CUIT]]="","-",VLOOKUP(compras_mes12[[#This Row],[CUIT]],Lista_CUIT[#All],4,0)),"CUIT NO CARGADO")</f>
        <v>0</v>
      </c>
    </row>
    <row r="70" spans="2:18" x14ac:dyDescent="0.25">
      <c r="B70" s="40" t="s">
        <v>2997</v>
      </c>
      <c r="C70" s="41">
        <v>1</v>
      </c>
      <c r="D70" s="42">
        <v>8</v>
      </c>
      <c r="E70" s="43">
        <v>177</v>
      </c>
      <c r="F70" s="44">
        <v>23329455319</v>
      </c>
      <c r="G70" s="45" t="str">
        <f>IFERROR(IF(compras_mes12[[#This Row],[CUIT]]="","-",VLOOKUP(compras_mes12[[#This Row],[CUIT]],Lista_CUIT[#All],2,0)),"CUIT NO CARGADO")</f>
        <v>REPETTO RAMIRO ANDRES</v>
      </c>
      <c r="H70" s="46">
        <v>80495.87</v>
      </c>
      <c r="I70" s="85">
        <f>IF(compras_mes12[[#This Row],[NETO GRAVADO]]="","",compras_mes12[[#This Row],[NETO GRAVADO]]*0.21)</f>
        <v>16904.132699999998</v>
      </c>
      <c r="J70" s="85"/>
      <c r="K70" s="85"/>
      <c r="L70" s="85"/>
      <c r="M70" s="85"/>
      <c r="N70" s="85"/>
      <c r="O70" s="85"/>
      <c r="P70" s="48">
        <f>SUM(compras_mes12[[#This Row],[NETO GRAVADO]:[Otros / No Grav.]])</f>
        <v>97400.002699999997</v>
      </c>
      <c r="Q70" s="49" t="str">
        <f>IFERROR(IF(compras_mes12[[#This Row],[CUIT]]="","-",VLOOKUP(compras_mes12[[#This Row],[CUIT]],Lista_CUIT[#All],3,0)),"CUIT NO CARGADO")</f>
        <v>Gastos Varios</v>
      </c>
      <c r="R70" s="49">
        <f>IFERROR(IF(compras_mes12[[#This Row],[CUIT]]="","-",VLOOKUP(compras_mes12[[#This Row],[CUIT]],Lista_CUIT[#All],4,0)),"CUIT NO CARGADO")</f>
        <v>0</v>
      </c>
    </row>
    <row r="71" spans="2:18" x14ac:dyDescent="0.25">
      <c r="B71" s="40" t="s">
        <v>2997</v>
      </c>
      <c r="C71" s="41">
        <v>1</v>
      </c>
      <c r="D71" s="42">
        <v>19</v>
      </c>
      <c r="E71" s="43">
        <v>742</v>
      </c>
      <c r="F71" s="44">
        <v>30707437851</v>
      </c>
      <c r="G71" s="45" t="str">
        <f>IFERROR(IF(compras_mes12[[#This Row],[CUIT]]="","-",VLOOKUP(compras_mes12[[#This Row],[CUIT]],Lista_CUIT[#All],2,0)),"CUIT NO CARGADO")</f>
        <v>MEDRI S.A.</v>
      </c>
      <c r="H71" s="46">
        <v>128925.62</v>
      </c>
      <c r="I71" s="85">
        <f>IF(compras_mes12[[#This Row],[NETO GRAVADO]]="","",compras_mes12[[#This Row],[NETO GRAVADO]]*0.21)</f>
        <v>27074.3802</v>
      </c>
      <c r="J71" s="85"/>
      <c r="K71" s="85"/>
      <c r="L71" s="85"/>
      <c r="M71" s="85"/>
      <c r="N71" s="85"/>
      <c r="O71" s="85"/>
      <c r="P71" s="48">
        <f>SUM(compras_mes12[[#This Row],[NETO GRAVADO]:[Otros / No Grav.]])</f>
        <v>156000.00020000001</v>
      </c>
      <c r="Q71" s="49" t="str">
        <f>IFERROR(IF(compras_mes12[[#This Row],[CUIT]]="","-",VLOOKUP(compras_mes12[[#This Row],[CUIT]],Lista_CUIT[#All],3,0)),"CUIT NO CARGADO")</f>
        <v>Catering</v>
      </c>
      <c r="R71" s="49">
        <f>IFERROR(IF(compras_mes12[[#This Row],[CUIT]]="","-",VLOOKUP(compras_mes12[[#This Row],[CUIT]],Lista_CUIT[#All],4,0)),"CUIT NO CARGADO")</f>
        <v>0</v>
      </c>
    </row>
    <row r="72" spans="2:18" x14ac:dyDescent="0.25">
      <c r="B72" s="40" t="s">
        <v>2997</v>
      </c>
      <c r="C72" s="41">
        <v>1</v>
      </c>
      <c r="D72" s="42">
        <v>11</v>
      </c>
      <c r="E72" s="43">
        <v>2541</v>
      </c>
      <c r="F72" s="44">
        <v>30715471562</v>
      </c>
      <c r="G72" s="45" t="str">
        <f>IFERROR(IF(compras_mes12[[#This Row],[CUIT]]="","-",VLOOKUP(compras_mes12[[#This Row],[CUIT]],Lista_CUIT[#All],2,0)),"CUIT NO CARGADO")</f>
        <v>INCAS DEL SUR S.A.</v>
      </c>
      <c r="H72" s="46">
        <v>98732.52</v>
      </c>
      <c r="I72" s="85">
        <f>IF(compras_mes12[[#This Row],[NETO GRAVADO]]="","",compras_mes12[[#This Row],[NETO GRAVADO]]*0.21)</f>
        <v>20733.8292</v>
      </c>
      <c r="J72" s="85"/>
      <c r="K72" s="85"/>
      <c r="L72" s="85"/>
      <c r="M72" s="85"/>
      <c r="N72" s="85"/>
      <c r="O72" s="85"/>
      <c r="P72" s="48">
        <f>SUM(compras_mes12[[#This Row],[NETO GRAVADO]:[Otros / No Grav.]])</f>
        <v>119466.3492</v>
      </c>
      <c r="Q72" s="49" t="str">
        <f>IFERROR(IF(compras_mes12[[#This Row],[CUIT]]="","-",VLOOKUP(compras_mes12[[#This Row],[CUIT]],Lista_CUIT[#All],3,0)),"CUIT NO CARGADO")</f>
        <v>Ferreteria</v>
      </c>
      <c r="R72" s="49">
        <f>IFERROR(IF(compras_mes12[[#This Row],[CUIT]]="","-",VLOOKUP(compras_mes12[[#This Row],[CUIT]],Lista_CUIT[#All],4,0)),"CUIT NO CARGADO")</f>
        <v>0</v>
      </c>
    </row>
    <row r="73" spans="2:18" x14ac:dyDescent="0.25">
      <c r="B73" s="40" t="s">
        <v>2997</v>
      </c>
      <c r="C73" s="41">
        <v>1</v>
      </c>
      <c r="D73" s="42">
        <v>5015</v>
      </c>
      <c r="E73" s="43">
        <v>1087248</v>
      </c>
      <c r="F73" s="44">
        <v>30574876474</v>
      </c>
      <c r="G73" s="45" t="str">
        <f>IFERROR(IF(compras_mes12[[#This Row],[CUIT]]="","-",VLOOKUP(compras_mes12[[#This Row],[CUIT]],Lista_CUIT[#All],2,0)),"CUIT NO CARGADO")</f>
        <v>AUTOPISTAS URBANAS S A</v>
      </c>
      <c r="H73" s="46">
        <v>158726.49</v>
      </c>
      <c r="I73" s="85">
        <f>IF(compras_mes12[[#This Row],[NETO GRAVADO]]="","",compras_mes12[[#This Row],[NETO GRAVADO]]*0.21)</f>
        <v>33332.562899999997</v>
      </c>
      <c r="J73" s="85"/>
      <c r="K73" s="85"/>
      <c r="L73" s="85"/>
      <c r="M73" s="85"/>
      <c r="N73" s="85"/>
      <c r="O73" s="85">
        <v>20634.400000000001</v>
      </c>
      <c r="P73" s="48">
        <f>SUM(compras_mes12[[#This Row],[NETO GRAVADO]:[Otros / No Grav.]])</f>
        <v>212693.45289999997</v>
      </c>
      <c r="Q73" s="49" t="str">
        <f>IFERROR(IF(compras_mes12[[#This Row],[CUIT]]="","-",VLOOKUP(compras_mes12[[#This Row],[CUIT]],Lista_CUIT[#All],3,0)),"CUIT NO CARGADO")</f>
        <v>Peajes</v>
      </c>
      <c r="R73" s="49">
        <f>IFERROR(IF(compras_mes12[[#This Row],[CUIT]]="","-",VLOOKUP(compras_mes12[[#This Row],[CUIT]],Lista_CUIT[#All],4,0)),"CUIT NO CARGADO")</f>
        <v>0</v>
      </c>
    </row>
    <row r="74" spans="2:18" x14ac:dyDescent="0.25">
      <c r="B74" s="40" t="s">
        <v>2998</v>
      </c>
      <c r="C74" s="41">
        <v>1</v>
      </c>
      <c r="D74" s="42">
        <v>3</v>
      </c>
      <c r="E74" s="43">
        <v>100</v>
      </c>
      <c r="F74" s="44">
        <v>27317740196</v>
      </c>
      <c r="G74" s="45" t="str">
        <f>IFERROR(IF(compras_mes12[[#This Row],[CUIT]]="","-",VLOOKUP(compras_mes12[[#This Row],[CUIT]],Lista_CUIT[#All],2,0)),"CUIT NO CARGADO")</f>
        <v>HOKAMA ROMINA PAOLA</v>
      </c>
      <c r="H74" s="46">
        <v>8958.69</v>
      </c>
      <c r="I74" s="85">
        <f>IF(compras_mes12[[#This Row],[NETO GRAVADO]]="","",compras_mes12[[#This Row],[NETO GRAVADO]]*0.21)</f>
        <v>1881.3249000000001</v>
      </c>
      <c r="J74" s="85"/>
      <c r="K74" s="85"/>
      <c r="L74" s="85"/>
      <c r="M74" s="85"/>
      <c r="N74" s="85"/>
      <c r="O74" s="85"/>
      <c r="P74" s="48">
        <f>SUM(compras_mes12[[#This Row],[NETO GRAVADO]:[Otros / No Grav.]])</f>
        <v>10840.0149</v>
      </c>
      <c r="Q74" s="49" t="str">
        <f>IFERROR(IF(compras_mes12[[#This Row],[CUIT]]="","-",VLOOKUP(compras_mes12[[#This Row],[CUIT]],Lista_CUIT[#All],3,0)),"CUIT NO CARGADO")</f>
        <v>Gastos Varios</v>
      </c>
      <c r="R74" s="49">
        <f>IFERROR(IF(compras_mes12[[#This Row],[CUIT]]="","-",VLOOKUP(compras_mes12[[#This Row],[CUIT]],Lista_CUIT[#All],4,0)),"CUIT NO CARGADO")</f>
        <v>0</v>
      </c>
    </row>
    <row r="75" spans="2:18" x14ac:dyDescent="0.25">
      <c r="B75" s="40" t="s">
        <v>2998</v>
      </c>
      <c r="C75" s="41">
        <v>1</v>
      </c>
      <c r="D75" s="42">
        <v>1</v>
      </c>
      <c r="E75" s="43">
        <v>369</v>
      </c>
      <c r="F75" s="44">
        <v>20077604627</v>
      </c>
      <c r="G75" s="45" t="str">
        <f>IFERROR(IF(compras_mes12[[#This Row],[CUIT]]="","-",VLOOKUP(compras_mes12[[#This Row],[CUIT]],Lista_CUIT[#All],2,0)),"CUIT NO CARGADO")</f>
        <v>OCAÑO ENRIQUE</v>
      </c>
      <c r="H75" s="46">
        <v>378360</v>
      </c>
      <c r="I75" s="85">
        <f>IF(compras_mes12[[#This Row],[NETO GRAVADO]]="","",compras_mes12[[#This Row],[NETO GRAVADO]]*0.21)</f>
        <v>79455.599999999991</v>
      </c>
      <c r="J75" s="85"/>
      <c r="K75" s="85"/>
      <c r="L75" s="85"/>
      <c r="M75" s="85"/>
      <c r="N75" s="85"/>
      <c r="O75" s="85"/>
      <c r="P75" s="48">
        <f>SUM(compras_mes12[[#This Row],[NETO GRAVADO]:[Otros / No Grav.]])</f>
        <v>457815.6</v>
      </c>
      <c r="Q75" s="49" t="str">
        <f>IFERROR(IF(compras_mes12[[#This Row],[CUIT]]="","-",VLOOKUP(compras_mes12[[#This Row],[CUIT]],Lista_CUIT[#All],3,0)),"CUIT NO CARGADO")</f>
        <v>Material de Empaque</v>
      </c>
      <c r="R75" s="49">
        <f>IFERROR(IF(compras_mes12[[#This Row],[CUIT]]="","-",VLOOKUP(compras_mes12[[#This Row],[CUIT]],Lista_CUIT[#All],4,0)),"CUIT NO CARGADO")</f>
        <v>0</v>
      </c>
    </row>
    <row r="76" spans="2:18" x14ac:dyDescent="0.25">
      <c r="B76" s="40" t="s">
        <v>2998</v>
      </c>
      <c r="C76" s="41">
        <v>1</v>
      </c>
      <c r="D76" s="42">
        <v>4</v>
      </c>
      <c r="E76" s="43">
        <v>507</v>
      </c>
      <c r="F76" s="44">
        <v>30716070790</v>
      </c>
      <c r="G76" s="45" t="str">
        <f>IFERROR(IF(compras_mes12[[#This Row],[CUIT]]="","-",VLOOKUP(compras_mes12[[#This Row],[CUIT]],Lista_CUIT[#All],2,0)),"CUIT NO CARGADO")</f>
        <v>R&amp;F EXTINCION S. A.</v>
      </c>
      <c r="H76" s="46">
        <v>174000</v>
      </c>
      <c r="I76" s="85">
        <f>IF(compras_mes12[[#This Row],[NETO GRAVADO]]="","",compras_mes12[[#This Row],[NETO GRAVADO]]*0.21)</f>
        <v>36540</v>
      </c>
      <c r="J76" s="85"/>
      <c r="K76" s="85"/>
      <c r="L76" s="85"/>
      <c r="M76" s="85"/>
      <c r="N76" s="85"/>
      <c r="O76" s="85"/>
      <c r="P76" s="48">
        <f>SUM(compras_mes12[[#This Row],[NETO GRAVADO]:[Otros / No Grav.]])</f>
        <v>210540</v>
      </c>
      <c r="Q76" s="49" t="str">
        <f>IFERROR(IF(compras_mes12[[#This Row],[CUIT]]="","-",VLOOKUP(compras_mes12[[#This Row],[CUIT]],Lista_CUIT[#All],3,0)),"CUIT NO CARGADO")</f>
        <v>MANTENIMIENTO</v>
      </c>
      <c r="R76" s="49">
        <f>IFERROR(IF(compras_mes12[[#This Row],[CUIT]]="","-",VLOOKUP(compras_mes12[[#This Row],[CUIT]],Lista_CUIT[#All],4,0)),"CUIT NO CARGADO")</f>
        <v>0</v>
      </c>
    </row>
    <row r="77" spans="2:18" x14ac:dyDescent="0.25">
      <c r="B77" s="40" t="s">
        <v>2998</v>
      </c>
      <c r="C77" s="41">
        <v>1</v>
      </c>
      <c r="D77" s="42">
        <v>2</v>
      </c>
      <c r="E77" s="43">
        <v>4213</v>
      </c>
      <c r="F77" s="44">
        <v>30629863571</v>
      </c>
      <c r="G77" s="45" t="str">
        <f>IFERROR(IF(compras_mes12[[#This Row],[CUIT]]="","-",VLOOKUP(compras_mes12[[#This Row],[CUIT]],Lista_CUIT[#All],2,0)),"CUIT NO CARGADO")</f>
        <v>TECNIMAR S R L</v>
      </c>
      <c r="H77" s="46">
        <v>2425540</v>
      </c>
      <c r="I77" s="85">
        <f>IF(compras_mes12[[#This Row],[NETO GRAVADO]]="","",compras_mes12[[#This Row],[NETO GRAVADO]]*0.21)</f>
        <v>509363.39999999997</v>
      </c>
      <c r="J77" s="85"/>
      <c r="K77" s="85"/>
      <c r="L77" s="85"/>
      <c r="M77" s="85"/>
      <c r="N77" s="85"/>
      <c r="O77" s="85"/>
      <c r="P77" s="48">
        <f>SUM(compras_mes12[[#This Row],[NETO GRAVADO]:[Otros / No Grav.]])</f>
        <v>2934903.4</v>
      </c>
      <c r="Q77" s="49" t="str">
        <f>IFERROR(IF(compras_mes12[[#This Row],[CUIT]]="","-",VLOOKUP(compras_mes12[[#This Row],[CUIT]],Lista_CUIT[#All],3,0)),"CUIT NO CARGADO")</f>
        <v>Productos Venta</v>
      </c>
      <c r="R77" s="49">
        <f>IFERROR(IF(compras_mes12[[#This Row],[CUIT]]="","-",VLOOKUP(compras_mes12[[#This Row],[CUIT]],Lista_CUIT[#All],4,0)),"CUIT NO CARGADO")</f>
        <v>0</v>
      </c>
    </row>
    <row r="78" spans="2:18" x14ac:dyDescent="0.25">
      <c r="B78" s="40" t="s">
        <v>2998</v>
      </c>
      <c r="C78" s="41">
        <v>1</v>
      </c>
      <c r="D78" s="42">
        <v>1</v>
      </c>
      <c r="E78" s="43">
        <v>7765</v>
      </c>
      <c r="F78" s="44">
        <v>30718354419</v>
      </c>
      <c r="G78" s="45" t="str">
        <f>IFERROR(IF(compras_mes12[[#This Row],[CUIT]]="","-",VLOOKUP(compras_mes12[[#This Row],[CUIT]],Lista_CUIT[#All],2,0)),"CUIT NO CARGADO")</f>
        <v>AINHOME ARG</v>
      </c>
      <c r="H78" s="46">
        <v>43272.72</v>
      </c>
      <c r="I78" s="85">
        <f>IF(compras_mes12[[#This Row],[NETO GRAVADO]]="","",compras_mes12[[#This Row],[NETO GRAVADO]]*0.21)</f>
        <v>9087.2711999999992</v>
      </c>
      <c r="J78" s="85"/>
      <c r="K78" s="85"/>
      <c r="L78" s="85"/>
      <c r="M78" s="85"/>
      <c r="N78" s="85"/>
      <c r="O78" s="85"/>
      <c r="P78" s="48">
        <f>SUM(compras_mes12[[#This Row],[NETO GRAVADO]:[Otros / No Grav.]])</f>
        <v>52359.991200000004</v>
      </c>
      <c r="Q78" s="49" t="str">
        <f>IFERROR(IF(compras_mes12[[#This Row],[CUIT]]="","-",VLOOKUP(compras_mes12[[#This Row],[CUIT]],Lista_CUIT[#All],3,0)),"CUIT NO CARGADO")</f>
        <v>Muebles y Utiles</v>
      </c>
      <c r="R78" s="49">
        <f>IFERROR(IF(compras_mes12[[#This Row],[CUIT]]="","-",VLOOKUP(compras_mes12[[#This Row],[CUIT]],Lista_CUIT[#All],4,0)),"CUIT NO CARGADO")</f>
        <v>0</v>
      </c>
    </row>
    <row r="79" spans="2:18" x14ac:dyDescent="0.25">
      <c r="B79" s="40" t="s">
        <v>2998</v>
      </c>
      <c r="C79" s="41">
        <v>1</v>
      </c>
      <c r="D79" s="42">
        <v>6</v>
      </c>
      <c r="E79" s="43">
        <v>8407</v>
      </c>
      <c r="F79" s="44">
        <v>20295230186</v>
      </c>
      <c r="G79" s="45" t="str">
        <f>IFERROR(IF(compras_mes12[[#This Row],[CUIT]]="","-",VLOOKUP(compras_mes12[[#This Row],[CUIT]],Lista_CUIT[#All],2,0)),"CUIT NO CARGADO")</f>
        <v>DE LOS SANTOS ANIBAL JULIAN</v>
      </c>
      <c r="H79" s="46">
        <v>98878.68</v>
      </c>
      <c r="I79" s="85">
        <f>IF(compras_mes12[[#This Row],[NETO GRAVADO]]="","",compras_mes12[[#This Row],[NETO GRAVADO]]*0.21)</f>
        <v>20764.522799999999</v>
      </c>
      <c r="J79" s="85"/>
      <c r="K79" s="85"/>
      <c r="L79" s="85"/>
      <c r="M79" s="85"/>
      <c r="N79" s="85"/>
      <c r="O79" s="85"/>
      <c r="P79" s="48">
        <f>SUM(compras_mes12[[#This Row],[NETO GRAVADO]:[Otros / No Grav.]])</f>
        <v>119643.2028</v>
      </c>
      <c r="Q79" s="49" t="str">
        <f>IFERROR(IF(compras_mes12[[#This Row],[CUIT]]="","-",VLOOKUP(compras_mes12[[#This Row],[CUIT]],Lista_CUIT[#All],3,0)),"CUIT NO CARGADO")</f>
        <v>Gastos Varios</v>
      </c>
      <c r="R79" s="49">
        <f>IFERROR(IF(compras_mes12[[#This Row],[CUIT]]="","-",VLOOKUP(compras_mes12[[#This Row],[CUIT]],Lista_CUIT[#All],4,0)),"CUIT NO CARGADO")</f>
        <v>0</v>
      </c>
    </row>
    <row r="80" spans="2:18" x14ac:dyDescent="0.25">
      <c r="B80" s="40" t="s">
        <v>2998</v>
      </c>
      <c r="C80" s="41">
        <v>1</v>
      </c>
      <c r="D80" s="42">
        <v>4</v>
      </c>
      <c r="E80" s="43">
        <v>13329</v>
      </c>
      <c r="F80" s="44">
        <v>30716006391</v>
      </c>
      <c r="G80" s="45" t="str">
        <f>IFERROR(IF(compras_mes12[[#This Row],[CUIT]]="","-",VLOOKUP(compras_mes12[[#This Row],[CUIT]],Lista_CUIT[#All],2,0)),"CUIT NO CARGADO")</f>
        <v>ALISSING</v>
      </c>
      <c r="H80" s="46">
        <v>8497.19</v>
      </c>
      <c r="I80" s="85">
        <f>IF(compras_mes12[[#This Row],[NETO GRAVADO]]="","",compras_mes12[[#This Row],[NETO GRAVADO]]*0.21)</f>
        <v>1784.4099000000001</v>
      </c>
      <c r="J80" s="85"/>
      <c r="K80" s="85"/>
      <c r="L80" s="85"/>
      <c r="M80" s="85"/>
      <c r="N80" s="85"/>
      <c r="O80" s="85"/>
      <c r="P80" s="48">
        <f>SUM(compras_mes12[[#This Row],[NETO GRAVADO]:[Otros / No Grav.]])</f>
        <v>10281.599900000001</v>
      </c>
      <c r="Q80" s="49" t="str">
        <f>IFERROR(IF(compras_mes12[[#This Row],[CUIT]]="","-",VLOOKUP(compras_mes12[[#This Row],[CUIT]],Lista_CUIT[#All],3,0)),"CUIT NO CARGADO")</f>
        <v>Gastos Varios</v>
      </c>
      <c r="R80" s="49">
        <f>IFERROR(IF(compras_mes12[[#This Row],[CUIT]]="","-",VLOOKUP(compras_mes12[[#This Row],[CUIT]],Lista_CUIT[#All],4,0)),"CUIT NO CARGADO")</f>
        <v>0</v>
      </c>
    </row>
    <row r="81" spans="2:18" x14ac:dyDescent="0.25">
      <c r="B81" s="40" t="s">
        <v>2998</v>
      </c>
      <c r="C81" s="41">
        <v>1</v>
      </c>
      <c r="D81" s="42">
        <v>4</v>
      </c>
      <c r="E81" s="43">
        <v>13330</v>
      </c>
      <c r="F81" s="44">
        <v>30716006391</v>
      </c>
      <c r="G81" s="45" t="str">
        <f>IFERROR(IF(compras_mes12[[#This Row],[CUIT]]="","-",VLOOKUP(compras_mes12[[#This Row],[CUIT]],Lista_CUIT[#All],2,0)),"CUIT NO CARGADO")</f>
        <v>ALISSING</v>
      </c>
      <c r="H81" s="46">
        <v>8497.19</v>
      </c>
      <c r="I81" s="85">
        <f>IF(compras_mes12[[#This Row],[NETO GRAVADO]]="","",compras_mes12[[#This Row],[NETO GRAVADO]]*0.21)</f>
        <v>1784.4099000000001</v>
      </c>
      <c r="J81" s="85"/>
      <c r="K81" s="85"/>
      <c r="L81" s="85"/>
      <c r="M81" s="85"/>
      <c r="N81" s="85"/>
      <c r="O81" s="85"/>
      <c r="P81" s="48">
        <f>SUM(compras_mes12[[#This Row],[NETO GRAVADO]:[Otros / No Grav.]])</f>
        <v>10281.599900000001</v>
      </c>
      <c r="Q81" s="49" t="str">
        <f>IFERROR(IF(compras_mes12[[#This Row],[CUIT]]="","-",VLOOKUP(compras_mes12[[#This Row],[CUIT]],Lista_CUIT[#All],3,0)),"CUIT NO CARGADO")</f>
        <v>Gastos Varios</v>
      </c>
      <c r="R81" s="49">
        <f>IFERROR(IF(compras_mes12[[#This Row],[CUIT]]="","-",VLOOKUP(compras_mes12[[#This Row],[CUIT]],Lista_CUIT[#All],4,0)),"CUIT NO CARGADO")</f>
        <v>0</v>
      </c>
    </row>
    <row r="82" spans="2:18" x14ac:dyDescent="0.25">
      <c r="B82" s="40" t="s">
        <v>2998</v>
      </c>
      <c r="C82" s="41">
        <v>1</v>
      </c>
      <c r="D82" s="42">
        <v>4</v>
      </c>
      <c r="E82" s="43">
        <v>13331</v>
      </c>
      <c r="F82" s="44">
        <v>30716006391</v>
      </c>
      <c r="G82" s="45" t="str">
        <f>IFERROR(IF(compras_mes12[[#This Row],[CUIT]]="","-",VLOOKUP(compras_mes12[[#This Row],[CUIT]],Lista_CUIT[#All],2,0)),"CUIT NO CARGADO")</f>
        <v>ALISSING</v>
      </c>
      <c r="H82" s="46">
        <v>8497.19</v>
      </c>
      <c r="I82" s="85">
        <f>IF(compras_mes12[[#This Row],[NETO GRAVADO]]="","",compras_mes12[[#This Row],[NETO GRAVADO]]*0.21)</f>
        <v>1784.4099000000001</v>
      </c>
      <c r="J82" s="85"/>
      <c r="K82" s="85"/>
      <c r="L82" s="85"/>
      <c r="M82" s="85"/>
      <c r="N82" s="85"/>
      <c r="O82" s="85"/>
      <c r="P82" s="48">
        <f>SUM(compras_mes12[[#This Row],[NETO GRAVADO]:[Otros / No Grav.]])</f>
        <v>10281.599900000001</v>
      </c>
      <c r="Q82" s="49" t="str">
        <f>IFERROR(IF(compras_mes12[[#This Row],[CUIT]]="","-",VLOOKUP(compras_mes12[[#This Row],[CUIT]],Lista_CUIT[#All],3,0)),"CUIT NO CARGADO")</f>
        <v>Gastos Varios</v>
      </c>
      <c r="R82" s="49">
        <f>IFERROR(IF(compras_mes12[[#This Row],[CUIT]]="","-",VLOOKUP(compras_mes12[[#This Row],[CUIT]],Lista_CUIT[#All],4,0)),"CUIT NO CARGADO")</f>
        <v>0</v>
      </c>
    </row>
    <row r="83" spans="2:18" x14ac:dyDescent="0.25">
      <c r="B83" s="40" t="s">
        <v>2998</v>
      </c>
      <c r="C83" s="41">
        <v>1</v>
      </c>
      <c r="D83" s="42">
        <v>4</v>
      </c>
      <c r="E83" s="43">
        <v>13355</v>
      </c>
      <c r="F83" s="44">
        <v>30716006391</v>
      </c>
      <c r="G83" s="45" t="str">
        <f>IFERROR(IF(compras_mes12[[#This Row],[CUIT]]="","-",VLOOKUP(compras_mes12[[#This Row],[CUIT]],Lista_CUIT[#All],2,0)),"CUIT NO CARGADO")</f>
        <v>ALISSING</v>
      </c>
      <c r="H83" s="46">
        <v>8497.19</v>
      </c>
      <c r="I83" s="85">
        <f>IF(compras_mes12[[#This Row],[NETO GRAVADO]]="","",compras_mes12[[#This Row],[NETO GRAVADO]]*0.21)</f>
        <v>1784.4099000000001</v>
      </c>
      <c r="J83" s="85"/>
      <c r="K83" s="85"/>
      <c r="L83" s="85"/>
      <c r="M83" s="85"/>
      <c r="N83" s="85"/>
      <c r="O83" s="85"/>
      <c r="P83" s="48">
        <f>SUM(compras_mes12[[#This Row],[NETO GRAVADO]:[Otros / No Grav.]])</f>
        <v>10281.599900000001</v>
      </c>
      <c r="Q83" s="49" t="str">
        <f>IFERROR(IF(compras_mes12[[#This Row],[CUIT]]="","-",VLOOKUP(compras_mes12[[#This Row],[CUIT]],Lista_CUIT[#All],3,0)),"CUIT NO CARGADO")</f>
        <v>Gastos Varios</v>
      </c>
      <c r="R83" s="49">
        <f>IFERROR(IF(compras_mes12[[#This Row],[CUIT]]="","-",VLOOKUP(compras_mes12[[#This Row],[CUIT]],Lista_CUIT[#All],4,0)),"CUIT NO CARGADO")</f>
        <v>0</v>
      </c>
    </row>
    <row r="84" spans="2:18" x14ac:dyDescent="0.25">
      <c r="B84" s="40" t="s">
        <v>2998</v>
      </c>
      <c r="C84" s="41">
        <v>1</v>
      </c>
      <c r="D84" s="42">
        <v>3101</v>
      </c>
      <c r="E84" s="43">
        <v>415443</v>
      </c>
      <c r="F84" s="44">
        <v>30678814357</v>
      </c>
      <c r="G84" s="45" t="str">
        <f>IFERROR(IF(compras_mes12[[#This Row],[CUIT]]="","-",VLOOKUP(compras_mes12[[#This Row],[CUIT]],Lista_CUIT[#All],2,0)),"CUIT NO CARGADO")</f>
        <v>TELEFONICA MOVILES ARG</v>
      </c>
      <c r="H84" s="46">
        <v>32354</v>
      </c>
      <c r="I84" s="85"/>
      <c r="J84" s="85">
        <v>8735.58</v>
      </c>
      <c r="K84" s="85"/>
      <c r="L84" s="85">
        <v>970.62</v>
      </c>
      <c r="M84" s="85"/>
      <c r="N84" s="85">
        <v>970.62</v>
      </c>
      <c r="O84" s="85" t="s">
        <v>2411</v>
      </c>
      <c r="P84" s="48">
        <f>SUM(compras_mes12[[#This Row],[NETO GRAVADO]:[Otros / No Grav.]])</f>
        <v>43030.820000000007</v>
      </c>
      <c r="Q84" s="49" t="str">
        <f>IFERROR(IF(compras_mes12[[#This Row],[CUIT]]="","-",VLOOKUP(compras_mes12[[#This Row],[CUIT]],Lista_CUIT[#All],3,0)),"CUIT NO CARGADO")</f>
        <v>Servicios Gas, Luz, etc.</v>
      </c>
      <c r="R84" s="49">
        <f>IFERROR(IF(compras_mes12[[#This Row],[CUIT]]="","-",VLOOKUP(compras_mes12[[#This Row],[CUIT]],Lista_CUIT[#All],4,0)),"CUIT NO CARGADO")</f>
        <v>0</v>
      </c>
    </row>
    <row r="85" spans="2:18" x14ac:dyDescent="0.25">
      <c r="B85" s="40" t="s">
        <v>2998</v>
      </c>
      <c r="C85" s="41">
        <v>1</v>
      </c>
      <c r="D85" s="42">
        <v>3</v>
      </c>
      <c r="E85" s="43">
        <v>419721</v>
      </c>
      <c r="F85" s="44">
        <v>33643358749</v>
      </c>
      <c r="G85" s="45" t="str">
        <f>IFERROR(IF(compras_mes12[[#This Row],[CUIT]]="","-",VLOOKUP(compras_mes12[[#This Row],[CUIT]],Lista_CUIT[#All],2,0)),"CUIT NO CARGADO")</f>
        <v>POLYTECH S A</v>
      </c>
      <c r="H85" s="46">
        <v>549961.09</v>
      </c>
      <c r="I85" s="85"/>
      <c r="J85" s="85"/>
      <c r="K85" s="85">
        <f>compras_mes12[[#This Row],[NETO GRAVADO]]*0.105</f>
        <v>57745.914449999997</v>
      </c>
      <c r="L85" s="85"/>
      <c r="M85" s="85"/>
      <c r="N85" s="85"/>
      <c r="O85" s="85"/>
      <c r="P85" s="48">
        <f>SUM(compras_mes12[[#This Row],[NETO GRAVADO]:[Otros / No Grav.]])</f>
        <v>607707.00445000001</v>
      </c>
      <c r="Q85" s="49" t="str">
        <f>IFERROR(IF(compras_mes12[[#This Row],[CUIT]]="","-",VLOOKUP(compras_mes12[[#This Row],[CUIT]],Lista_CUIT[#All],3,0)),"CUIT NO CARGADO")</f>
        <v>Gastos administrativos</v>
      </c>
      <c r="R85" s="49">
        <f>IFERROR(IF(compras_mes12[[#This Row],[CUIT]]="","-",VLOOKUP(compras_mes12[[#This Row],[CUIT]],Lista_CUIT[#All],4,0)),"CUIT NO CARGADO")</f>
        <v>0</v>
      </c>
    </row>
    <row r="86" spans="2:18" x14ac:dyDescent="0.25">
      <c r="B86" s="40" t="s">
        <v>2998</v>
      </c>
      <c r="C86" s="41">
        <v>1</v>
      </c>
      <c r="D86" s="42">
        <v>1</v>
      </c>
      <c r="E86" s="43">
        <v>1092850</v>
      </c>
      <c r="F86" s="44">
        <v>33716307749</v>
      </c>
      <c r="G86" s="45" t="str">
        <f>IFERROR(IF(compras_mes12[[#This Row],[CUIT]]="","-",VLOOKUP(compras_mes12[[#This Row],[CUIT]],Lista_CUIT[#All],2,0)),"CUIT NO CARGADO")</f>
        <v>VERISURE ARGENTINA MONITOREO DE ALARMAS SA</v>
      </c>
      <c r="H86" s="46">
        <v>68038.92</v>
      </c>
      <c r="I86" s="85">
        <f>IF(compras_mes12[[#This Row],[NETO GRAVADO]]="","",compras_mes12[[#This Row],[NETO GRAVADO]]*0.21)</f>
        <v>14288.173199999999</v>
      </c>
      <c r="J86" s="85"/>
      <c r="K86" s="85"/>
      <c r="L86" s="85"/>
      <c r="M86" s="85"/>
      <c r="N86" s="85"/>
      <c r="O86" s="85"/>
      <c r="P86" s="48">
        <f>SUM(compras_mes12[[#This Row],[NETO GRAVADO]:[Otros / No Grav.]])</f>
        <v>82327.093200000003</v>
      </c>
      <c r="Q86" s="49" t="str">
        <f>IFERROR(IF(compras_mes12[[#This Row],[CUIT]]="","-",VLOOKUP(compras_mes12[[#This Row],[CUIT]],Lista_CUIT[#All],3,0)),"CUIT NO CARGADO")</f>
        <v>Serv. Seguridad</v>
      </c>
      <c r="R86" s="49">
        <f>IFERROR(IF(compras_mes12[[#This Row],[CUIT]]="","-",VLOOKUP(compras_mes12[[#This Row],[CUIT]],Lista_CUIT[#All],4,0)),"CUIT NO CARGADO")</f>
        <v>0</v>
      </c>
    </row>
    <row r="87" spans="2:18" x14ac:dyDescent="0.25">
      <c r="B87" s="40" t="s">
        <v>2999</v>
      </c>
      <c r="C87" s="41">
        <v>1</v>
      </c>
      <c r="D87" s="42">
        <v>6</v>
      </c>
      <c r="E87" s="43">
        <v>294</v>
      </c>
      <c r="F87" s="44">
        <v>27259141635</v>
      </c>
      <c r="G87" s="45" t="str">
        <f>IFERROR(IF(compras_mes12[[#This Row],[CUIT]]="","-",VLOOKUP(compras_mes12[[#This Row],[CUIT]],Lista_CUIT[#All],2,0)),"CUIT NO CARGADO")</f>
        <v>GOMEZ LORENA NATALIA</v>
      </c>
      <c r="H87" s="46">
        <v>159371.16</v>
      </c>
      <c r="I87" s="85">
        <f>IF(compras_mes12[[#This Row],[NETO GRAVADO]]="","",compras_mes12[[#This Row],[NETO GRAVADO]]*0.21)</f>
        <v>33467.943599999999</v>
      </c>
      <c r="J87" s="85"/>
      <c r="K87" s="85"/>
      <c r="L87" s="85"/>
      <c r="M87" s="85"/>
      <c r="N87" s="85"/>
      <c r="O87" s="85"/>
      <c r="P87" s="48">
        <f>SUM(compras_mes12[[#This Row],[NETO GRAVADO]:[Otros / No Grav.]])</f>
        <v>192839.1036</v>
      </c>
      <c r="Q87" s="49" t="str">
        <f>IFERROR(IF(compras_mes12[[#This Row],[CUIT]]="","-",VLOOKUP(compras_mes12[[#This Row],[CUIT]],Lista_CUIT[#All],3,0)),"CUIT NO CARGADO")</f>
        <v>Insumos</v>
      </c>
      <c r="R87" s="49">
        <f>IFERROR(IF(compras_mes12[[#This Row],[CUIT]]="","-",VLOOKUP(compras_mes12[[#This Row],[CUIT]],Lista_CUIT[#All],4,0)),"CUIT NO CARGADO")</f>
        <v>0</v>
      </c>
    </row>
    <row r="88" spans="2:18" x14ac:dyDescent="0.25">
      <c r="B88" s="40" t="s">
        <v>2999</v>
      </c>
      <c r="C88" s="41">
        <v>1</v>
      </c>
      <c r="D88" s="42">
        <v>6</v>
      </c>
      <c r="E88" s="43">
        <v>524</v>
      </c>
      <c r="F88" s="44">
        <v>30716154102</v>
      </c>
      <c r="G88" s="45" t="str">
        <f>IFERROR(IF(compras_mes12[[#This Row],[CUIT]]="","-",VLOOKUP(compras_mes12[[#This Row],[CUIT]],Lista_CUIT[#All],2,0)),"CUIT NO CARGADO")</f>
        <v>IDZONE SRL</v>
      </c>
      <c r="H88" s="46">
        <v>410200</v>
      </c>
      <c r="I88" s="85">
        <f>IF(compras_mes12[[#This Row],[NETO GRAVADO]]="","",compras_mes12[[#This Row],[NETO GRAVADO]]*0.21)</f>
        <v>86142</v>
      </c>
      <c r="J88" s="85"/>
      <c r="K88" s="85"/>
      <c r="L88" s="85"/>
      <c r="M88" s="85"/>
      <c r="N88" s="85"/>
      <c r="O88" s="85"/>
      <c r="P88" s="48">
        <f>SUM(compras_mes12[[#This Row],[NETO GRAVADO]:[Otros / No Grav.]])</f>
        <v>496342</v>
      </c>
      <c r="Q88" s="49" t="str">
        <f>IFERROR(IF(compras_mes12[[#This Row],[CUIT]]="","-",VLOOKUP(compras_mes12[[#This Row],[CUIT]],Lista_CUIT[#All],3,0)),"CUIT NO CARGADO")</f>
        <v>Mantenimiento</v>
      </c>
      <c r="R88" s="49">
        <f>IFERROR(IF(compras_mes12[[#This Row],[CUIT]]="","-",VLOOKUP(compras_mes12[[#This Row],[CUIT]],Lista_CUIT[#All],4,0)),"CUIT NO CARGADO")</f>
        <v>0</v>
      </c>
    </row>
    <row r="89" spans="2:18" x14ac:dyDescent="0.25">
      <c r="B89" s="40" t="s">
        <v>2999</v>
      </c>
      <c r="C89" s="41">
        <v>1</v>
      </c>
      <c r="D89" s="42">
        <v>3604</v>
      </c>
      <c r="E89" s="43">
        <v>786</v>
      </c>
      <c r="F89" s="44">
        <v>30639453738</v>
      </c>
      <c r="G89" s="45" t="str">
        <f>IFERROR(IF(compras_mes12[[#This Row],[CUIT]]="","-",VLOOKUP(compras_mes12[[#This Row],[CUIT]],Lista_CUIT[#All],2,0)),"CUIT NO CARGADO")</f>
        <v>TELECOM ARG SA</v>
      </c>
      <c r="H89" s="46">
        <v>0</v>
      </c>
      <c r="I89" s="85">
        <f>IF(compras_mes12[[#This Row],[NETO GRAVADO]]="","",compras_mes12[[#This Row],[NETO GRAVADO]]*0.21)</f>
        <v>0</v>
      </c>
      <c r="J89" s="85"/>
      <c r="K89" s="85"/>
      <c r="L89" s="85"/>
      <c r="M89" s="85"/>
      <c r="N89" s="85"/>
      <c r="O89" s="85"/>
      <c r="P89" s="48">
        <f>SUM(compras_mes12[[#This Row],[NETO GRAVADO]:[Otros / No Grav.]])</f>
        <v>0</v>
      </c>
      <c r="Q89" s="49" t="str">
        <f>IFERROR(IF(compras_mes12[[#This Row],[CUIT]]="","-",VLOOKUP(compras_mes12[[#This Row],[CUIT]],Lista_CUIT[#All],3,0)),"CUIT NO CARGADO")</f>
        <v>Servicios Gas, Luz, etc.</v>
      </c>
      <c r="R89" s="49">
        <f>IFERROR(IF(compras_mes12[[#This Row],[CUIT]]="","-",VLOOKUP(compras_mes12[[#This Row],[CUIT]],Lista_CUIT[#All],4,0)),"CUIT NO CARGADO")</f>
        <v>0</v>
      </c>
    </row>
    <row r="90" spans="2:18" x14ac:dyDescent="0.25">
      <c r="B90" s="40" t="s">
        <v>2999</v>
      </c>
      <c r="C90" s="41">
        <v>3</v>
      </c>
      <c r="D90" s="42">
        <v>4</v>
      </c>
      <c r="E90" s="43">
        <v>2246</v>
      </c>
      <c r="F90" s="44">
        <v>30716006391</v>
      </c>
      <c r="G90" s="45" t="str">
        <f>IFERROR(IF(compras_mes12[[#This Row],[CUIT]]="","-",VLOOKUP(compras_mes12[[#This Row],[CUIT]],Lista_CUIT[#All],2,0)),"CUIT NO CARGADO")</f>
        <v>ALISSING</v>
      </c>
      <c r="H90" s="46">
        <v>-8497.19</v>
      </c>
      <c r="I90" s="85">
        <f>IF(compras_mes12[[#This Row],[NETO GRAVADO]]="","",compras_mes12[[#This Row],[NETO GRAVADO]]*0.21)</f>
        <v>-1784.4099000000001</v>
      </c>
      <c r="J90" s="85"/>
      <c r="K90" s="85"/>
      <c r="L90" s="85"/>
      <c r="M90" s="85"/>
      <c r="N90" s="85"/>
      <c r="O90" s="85"/>
      <c r="P90" s="48">
        <f>SUM(compras_mes12[[#This Row],[NETO GRAVADO]:[Otros / No Grav.]])</f>
        <v>-10281.599900000001</v>
      </c>
      <c r="Q90" s="49" t="str">
        <f>IFERROR(IF(compras_mes12[[#This Row],[CUIT]]="","-",VLOOKUP(compras_mes12[[#This Row],[CUIT]],Lista_CUIT[#All],3,0)),"CUIT NO CARGADO")</f>
        <v>Gastos Varios</v>
      </c>
      <c r="R90" s="49">
        <f>IFERROR(IF(compras_mes12[[#This Row],[CUIT]]="","-",VLOOKUP(compras_mes12[[#This Row],[CUIT]],Lista_CUIT[#All],4,0)),"CUIT NO CARGADO")</f>
        <v>0</v>
      </c>
    </row>
    <row r="91" spans="2:18" x14ac:dyDescent="0.25">
      <c r="B91" s="40" t="s">
        <v>2999</v>
      </c>
      <c r="C91" s="41">
        <v>1</v>
      </c>
      <c r="D91" s="42">
        <v>4</v>
      </c>
      <c r="E91" s="43">
        <v>6692</v>
      </c>
      <c r="F91" s="44">
        <v>30712449361</v>
      </c>
      <c r="G91" s="45" t="str">
        <f>IFERROR(IF(compras_mes12[[#This Row],[CUIT]]="","-",VLOOKUP(compras_mes12[[#This Row],[CUIT]],Lista_CUIT[#All],2,0)),"CUIT NO CARGADO")</f>
        <v>CASTELLUCCI PABLO G., CASTELLUCCI CHRISTIAN M. Y CASTELLUCCI DIEGO S. S.H.</v>
      </c>
      <c r="H91" s="46">
        <v>5460</v>
      </c>
      <c r="I91" s="85">
        <f>IF(compras_mes12[[#This Row],[NETO GRAVADO]]="","",compras_mes12[[#This Row],[NETO GRAVADO]]*0.21)</f>
        <v>1146.5999999999999</v>
      </c>
      <c r="J91" s="85"/>
      <c r="K91" s="85"/>
      <c r="L91" s="85"/>
      <c r="M91" s="85"/>
      <c r="N91" s="85"/>
      <c r="O91" s="85"/>
      <c r="P91" s="48">
        <f>SUM(compras_mes12[[#This Row],[NETO GRAVADO]:[Otros / No Grav.]])</f>
        <v>6606.6</v>
      </c>
      <c r="Q91" s="49" t="str">
        <f>IFERROR(IF(compras_mes12[[#This Row],[CUIT]]="","-",VLOOKUP(compras_mes12[[#This Row],[CUIT]],Lista_CUIT[#All],3,0)),"CUIT NO CARGADO")</f>
        <v>Ferreteria</v>
      </c>
      <c r="R91" s="49">
        <f>IFERROR(IF(compras_mes12[[#This Row],[CUIT]]="","-",VLOOKUP(compras_mes12[[#This Row],[CUIT]],Lista_CUIT[#All],4,0)),"CUIT NO CARGADO")</f>
        <v>0</v>
      </c>
    </row>
    <row r="92" spans="2:18" x14ac:dyDescent="0.25">
      <c r="B92" s="40" t="s">
        <v>2999</v>
      </c>
      <c r="C92" s="41">
        <v>1</v>
      </c>
      <c r="D92" s="42">
        <v>1907</v>
      </c>
      <c r="E92" s="43">
        <v>12377</v>
      </c>
      <c r="F92" s="44">
        <v>30589621499</v>
      </c>
      <c r="G92" s="45" t="str">
        <f>IFERROR(IF(compras_mes12[[#This Row],[CUIT]]="","-",VLOOKUP(compras_mes12[[#This Row],[CUIT]],Lista_CUIT[#All],2,0)),"CUIT NO CARGADO")</f>
        <v>MAKRO SA</v>
      </c>
      <c r="H92" s="46">
        <v>44998.23</v>
      </c>
      <c r="I92" s="85">
        <f>IF(compras_mes12[[#This Row],[NETO GRAVADO]]="","",compras_mes12[[#This Row],[NETO GRAVADO]]*0.21)</f>
        <v>9449.6283000000003</v>
      </c>
      <c r="J92" s="85"/>
      <c r="K92" s="85"/>
      <c r="L92" s="85">
        <v>1349.95</v>
      </c>
      <c r="M92" s="85"/>
      <c r="N92" s="85">
        <v>1349.95</v>
      </c>
      <c r="O92" s="85" t="s">
        <v>2411</v>
      </c>
      <c r="P92" s="48">
        <f>SUM(compras_mes12[[#This Row],[NETO GRAVADO]:[Otros / No Grav.]])</f>
        <v>57147.758300000001</v>
      </c>
      <c r="Q92" s="49" t="str">
        <f>IFERROR(IF(compras_mes12[[#This Row],[CUIT]]="","-",VLOOKUP(compras_mes12[[#This Row],[CUIT]],Lista_CUIT[#All],3,0)),"CUIT NO CARGADO")</f>
        <v>Gastos Varios</v>
      </c>
      <c r="R92" s="49">
        <f>IFERROR(IF(compras_mes12[[#This Row],[CUIT]]="","-",VLOOKUP(compras_mes12[[#This Row],[CUIT]],Lista_CUIT[#All],4,0)),"CUIT NO CARGADO")</f>
        <v>0</v>
      </c>
    </row>
    <row r="93" spans="2:18" x14ac:dyDescent="0.25">
      <c r="B93" s="40" t="s">
        <v>2999</v>
      </c>
      <c r="C93" s="41">
        <v>1</v>
      </c>
      <c r="D93" s="42">
        <v>10</v>
      </c>
      <c r="E93" s="43">
        <v>20395</v>
      </c>
      <c r="F93" s="44">
        <v>30710796838</v>
      </c>
      <c r="G93" s="45" t="str">
        <f>IFERROR(IF(compras_mes12[[#This Row],[CUIT]]="","-",VLOOKUP(compras_mes12[[#This Row],[CUIT]],Lista_CUIT[#All],2,0)),"CUIT NO CARGADO")</f>
        <v>NO BAJAR LOS BRAZOS S.R.L.</v>
      </c>
      <c r="H93" s="46">
        <v>22727.27</v>
      </c>
      <c r="I93" s="85">
        <f>IF(compras_mes12[[#This Row],[NETO GRAVADO]]="","",compras_mes12[[#This Row],[NETO GRAVADO]]*0.21)</f>
        <v>4772.7267000000002</v>
      </c>
      <c r="J93" s="85"/>
      <c r="K93" s="85"/>
      <c r="L93" s="85"/>
      <c r="M93" s="85"/>
      <c r="N93" s="85"/>
      <c r="O93" s="85"/>
      <c r="P93" s="48">
        <f>SUM(compras_mes12[[#This Row],[NETO GRAVADO]:[Otros / No Grav.]])</f>
        <v>27499.9967</v>
      </c>
      <c r="Q93" s="49" t="str">
        <f>IFERROR(IF(compras_mes12[[#This Row],[CUIT]]="","-",VLOOKUP(compras_mes12[[#This Row],[CUIT]],Lista_CUIT[#All],3,0)),"CUIT NO CARGADO")</f>
        <v>Gastos Limpieza</v>
      </c>
      <c r="R93" s="49">
        <f>IFERROR(IF(compras_mes12[[#This Row],[CUIT]]="","-",VLOOKUP(compras_mes12[[#This Row],[CUIT]],Lista_CUIT[#All],4,0)),"CUIT NO CARGADO")</f>
        <v>0</v>
      </c>
    </row>
    <row r="94" spans="2:18" x14ac:dyDescent="0.25">
      <c r="B94" s="40" t="s">
        <v>2999</v>
      </c>
      <c r="C94" s="41">
        <v>1</v>
      </c>
      <c r="D94" s="42">
        <v>1908</v>
      </c>
      <c r="E94" s="43">
        <v>21240</v>
      </c>
      <c r="F94" s="44">
        <v>30589621499</v>
      </c>
      <c r="G94" s="45" t="str">
        <f>IFERROR(IF(compras_mes12[[#This Row],[CUIT]]="","-",VLOOKUP(compras_mes12[[#This Row],[CUIT]],Lista_CUIT[#All],2,0)),"CUIT NO CARGADO")</f>
        <v>MAKRO SA</v>
      </c>
      <c r="H94" s="46">
        <v>331818.17</v>
      </c>
      <c r="I94" s="85">
        <f>IF(compras_mes12[[#This Row],[NETO GRAVADO]]="","",compras_mes12[[#This Row],[NETO GRAVADO]]*0.21)</f>
        <v>69681.815699999992</v>
      </c>
      <c r="J94" s="85"/>
      <c r="K94" s="85"/>
      <c r="L94" s="85">
        <v>9954.5499999999993</v>
      </c>
      <c r="M94" s="85"/>
      <c r="N94" s="85">
        <v>9954.5499999999993</v>
      </c>
      <c r="O94" s="85" t="s">
        <v>2411</v>
      </c>
      <c r="P94" s="48">
        <f>SUM(compras_mes12[[#This Row],[NETO GRAVADO]:[Otros / No Grav.]])</f>
        <v>421409.08569999994</v>
      </c>
      <c r="Q94" s="49" t="str">
        <f>IFERROR(IF(compras_mes12[[#This Row],[CUIT]]="","-",VLOOKUP(compras_mes12[[#This Row],[CUIT]],Lista_CUIT[#All],3,0)),"CUIT NO CARGADO")</f>
        <v>Gastos Varios</v>
      </c>
      <c r="R94" s="49">
        <f>IFERROR(IF(compras_mes12[[#This Row],[CUIT]]="","-",VLOOKUP(compras_mes12[[#This Row],[CUIT]],Lista_CUIT[#All],4,0)),"CUIT NO CARGADO")</f>
        <v>0</v>
      </c>
    </row>
    <row r="95" spans="2:18" x14ac:dyDescent="0.25">
      <c r="B95" s="40" t="s">
        <v>2999</v>
      </c>
      <c r="C95" s="41">
        <v>1</v>
      </c>
      <c r="D95" s="42">
        <v>5</v>
      </c>
      <c r="E95" s="43">
        <v>24027</v>
      </c>
      <c r="F95" s="44">
        <v>30717970787</v>
      </c>
      <c r="G95" s="45" t="str">
        <f>IFERROR(IF(compras_mes12[[#This Row],[CUIT]]="","-",VLOOKUP(compras_mes12[[#This Row],[CUIT]],Lista_CUIT[#All],2,0)),"CUIT NO CARGADO")</f>
        <v>CIUDAD DE JUEGOS S. R. L.</v>
      </c>
      <c r="H95" s="46">
        <v>604523.98</v>
      </c>
      <c r="I95" s="85" t="s">
        <v>2411</v>
      </c>
      <c r="J95" s="85"/>
      <c r="K95" s="85">
        <f>compras_mes12[[#This Row],[NETO GRAVADO]]*0.105</f>
        <v>63475.017899999999</v>
      </c>
      <c r="L95" s="85"/>
      <c r="M95" s="85"/>
      <c r="N95" s="85"/>
      <c r="O95" s="85"/>
      <c r="P95" s="48">
        <f>SUM(compras_mes12[[#This Row],[NETO GRAVADO]:[Otros / No Grav.]])</f>
        <v>667998.99789999996</v>
      </c>
      <c r="Q95" s="49" t="str">
        <f>IFERROR(IF(compras_mes12[[#This Row],[CUIT]]="","-",VLOOKUP(compras_mes12[[#This Row],[CUIT]],Lista_CUIT[#All],3,0)),"CUIT NO CARGADO")</f>
        <v>Gastos Oficina</v>
      </c>
      <c r="R95" s="49">
        <f>IFERROR(IF(compras_mes12[[#This Row],[CUIT]]="","-",VLOOKUP(compras_mes12[[#This Row],[CUIT]],Lista_CUIT[#All],4,0)),"CUIT NO CARGADO")</f>
        <v>0</v>
      </c>
    </row>
    <row r="96" spans="2:18" x14ac:dyDescent="0.25">
      <c r="B96" s="40" t="s">
        <v>2999</v>
      </c>
      <c r="C96" s="41">
        <v>1</v>
      </c>
      <c r="D96" s="42">
        <v>5</v>
      </c>
      <c r="E96" s="43">
        <v>24193</v>
      </c>
      <c r="F96" s="44">
        <v>30532905555</v>
      </c>
      <c r="G96" s="45" t="str">
        <f>IFERROR(IF(compras_mes12[[#This Row],[CUIT]]="","-",VLOOKUP(compras_mes12[[#This Row],[CUIT]],Lista_CUIT[#All],2,0)),"CUIT NO CARGADO")</f>
        <v>UNTECO S.A.I.C. E I.</v>
      </c>
      <c r="H96" s="46">
        <v>852081.68</v>
      </c>
      <c r="I96" s="85">
        <f>IF(compras_mes12[[#This Row],[NETO GRAVADO]]="","",compras_mes12[[#This Row],[NETO GRAVADO]]*0.21)</f>
        <v>178937.15280000001</v>
      </c>
      <c r="J96" s="85"/>
      <c r="K96" s="85"/>
      <c r="L96" s="85"/>
      <c r="M96" s="85"/>
      <c r="N96" s="85">
        <v>25562.45</v>
      </c>
      <c r="O96" s="552"/>
      <c r="P96" s="48">
        <f>SUM(compras_mes12[[#This Row],[NETO GRAVADO]:[Otros / No Grav.]])</f>
        <v>1056581.2828000002</v>
      </c>
      <c r="Q96" s="49" t="str">
        <f>IFERROR(IF(compras_mes12[[#This Row],[CUIT]]="","-",VLOOKUP(compras_mes12[[#This Row],[CUIT]],Lista_CUIT[#All],3,0)),"CUIT NO CARGADO")</f>
        <v>Productos Terminados</v>
      </c>
      <c r="R96" s="49">
        <f>IFERROR(IF(compras_mes12[[#This Row],[CUIT]]="","-",VLOOKUP(compras_mes12[[#This Row],[CUIT]],Lista_CUIT[#All],4,0)),"CUIT NO CARGADO")</f>
        <v>0</v>
      </c>
    </row>
    <row r="97" spans="2:18" x14ac:dyDescent="0.25">
      <c r="B97" s="40" t="s">
        <v>2999</v>
      </c>
      <c r="C97" s="41">
        <v>1</v>
      </c>
      <c r="D97" s="42">
        <v>6852</v>
      </c>
      <c r="E97" s="43">
        <v>34413</v>
      </c>
      <c r="F97" s="44">
        <v>30678774495</v>
      </c>
      <c r="G97" s="45" t="str">
        <f>IFERROR(IF(compras_mes12[[#This Row],[CUIT]]="","-",VLOOKUP(compras_mes12[[#This Row],[CUIT]],Lista_CUIT[#All],2,0)),"CUIT NO CARGADO")</f>
        <v>OPER. DE EST. DE SERV. SA</v>
      </c>
      <c r="H97" s="46">
        <v>14087.02</v>
      </c>
      <c r="I97" s="85">
        <f>IF(compras_mes12[[#This Row],[NETO GRAVADO]]="","",compras_mes12[[#This Row],[NETO GRAVADO]]*0.21)</f>
        <v>2958.2741999999998</v>
      </c>
      <c r="J97" s="85"/>
      <c r="K97" s="85"/>
      <c r="L97" s="85"/>
      <c r="M97" s="85"/>
      <c r="N97" s="85"/>
      <c r="O97" s="85">
        <v>2973.65</v>
      </c>
      <c r="P97" s="48">
        <f>SUM(compras_mes12[[#This Row],[NETO GRAVADO]:[Otros / No Grav.]])</f>
        <v>20018.944200000002</v>
      </c>
      <c r="Q97" s="49" t="str">
        <f>IFERROR(IF(compras_mes12[[#This Row],[CUIT]]="","-",VLOOKUP(compras_mes12[[#This Row],[CUIT]],Lista_CUIT[#All],3,0)),"CUIT NO CARGADO")</f>
        <v>Combustible</v>
      </c>
      <c r="R97" s="49">
        <f>IFERROR(IF(compras_mes12[[#This Row],[CUIT]]="","-",VLOOKUP(compras_mes12[[#This Row],[CUIT]],Lista_CUIT[#All],4,0)),"CUIT NO CARGADO")</f>
        <v>0</v>
      </c>
    </row>
    <row r="98" spans="2:18" x14ac:dyDescent="0.25">
      <c r="B98" s="40" t="s">
        <v>2999</v>
      </c>
      <c r="C98" s="41">
        <v>3</v>
      </c>
      <c r="D98" s="42">
        <v>3</v>
      </c>
      <c r="E98" s="43">
        <v>77731</v>
      </c>
      <c r="F98" s="44">
        <v>33643358749</v>
      </c>
      <c r="G98" s="45" t="str">
        <f>IFERROR(IF(compras_mes12[[#This Row],[CUIT]]="","-",VLOOKUP(compras_mes12[[#This Row],[CUIT]],Lista_CUIT[#All],2,0)),"CUIT NO CARGADO")</f>
        <v>POLYTECH S A</v>
      </c>
      <c r="H98" s="46">
        <v>-20089.259999999998</v>
      </c>
      <c r="I98" s="85">
        <f>IF(compras_mes12[[#This Row],[NETO GRAVADO]]="","",compras_mes12[[#This Row],[NETO GRAVADO]]*0.21)</f>
        <v>-4218.7445999999991</v>
      </c>
      <c r="J98" s="85"/>
      <c r="K98" s="85"/>
      <c r="L98" s="85"/>
      <c r="M98" s="85"/>
      <c r="N98" s="85"/>
      <c r="O98" s="85"/>
      <c r="P98" s="48">
        <f>SUM(compras_mes12[[#This Row],[NETO GRAVADO]:[Otros / No Grav.]])</f>
        <v>-24308.004599999997</v>
      </c>
      <c r="Q98" s="49" t="str">
        <f>IFERROR(IF(compras_mes12[[#This Row],[CUIT]]="","-",VLOOKUP(compras_mes12[[#This Row],[CUIT]],Lista_CUIT[#All],3,0)),"CUIT NO CARGADO")</f>
        <v>Gastos administrativos</v>
      </c>
      <c r="R98" s="49">
        <f>IFERROR(IF(compras_mes12[[#This Row],[CUIT]]="","-",VLOOKUP(compras_mes12[[#This Row],[CUIT]],Lista_CUIT[#All],4,0)),"CUIT NO CARGADO")</f>
        <v>0</v>
      </c>
    </row>
    <row r="99" spans="2:18" x14ac:dyDescent="0.25">
      <c r="B99" s="40" t="s">
        <v>3017</v>
      </c>
      <c r="C99" s="41">
        <v>1</v>
      </c>
      <c r="D99" s="42">
        <v>339</v>
      </c>
      <c r="E99" s="43">
        <v>1833</v>
      </c>
      <c r="F99" s="44">
        <v>30685849751</v>
      </c>
      <c r="G99" s="45" t="str">
        <f>IFERROR(IF(compras_mes12[[#This Row],[CUIT]]="","-",VLOOKUP(compras_mes12[[#This Row],[CUIT]],Lista_CUIT[#All],2,0)),"CUIT NO CARGADO")</f>
        <v>DIA ARGENTINA S A</v>
      </c>
      <c r="H99" s="46">
        <v>19312.38</v>
      </c>
      <c r="I99" s="85">
        <f>IF(compras_mes12[[#This Row],[NETO GRAVADO]]="","",compras_mes12[[#This Row],[NETO GRAVADO]]*0.21)</f>
        <v>4055.5998</v>
      </c>
      <c r="J99" s="85"/>
      <c r="K99" s="85"/>
      <c r="L99" s="85"/>
      <c r="M99" s="85"/>
      <c r="N99" s="85">
        <v>579.37</v>
      </c>
      <c r="O99" s="552"/>
      <c r="P99" s="48">
        <f>SUM(compras_mes12[[#This Row],[NETO GRAVADO]:[Otros / No Grav.]])</f>
        <v>23947.3498</v>
      </c>
      <c r="Q99" s="49" t="str">
        <f>IFERROR(IF(compras_mes12[[#This Row],[CUIT]]="","-",VLOOKUP(compras_mes12[[#This Row],[CUIT]],Lista_CUIT[#All],3,0)),"CUIT NO CARGADO")</f>
        <v>Gastos Varios</v>
      </c>
      <c r="R99" s="49">
        <f>IFERROR(IF(compras_mes12[[#This Row],[CUIT]]="","-",VLOOKUP(compras_mes12[[#This Row],[CUIT]],Lista_CUIT[#All],4,0)),"CUIT NO CARGADO")</f>
        <v>0</v>
      </c>
    </row>
    <row r="100" spans="2:18" x14ac:dyDescent="0.25">
      <c r="B100" s="40" t="s">
        <v>3000</v>
      </c>
      <c r="C100" s="41">
        <v>1</v>
      </c>
      <c r="D100" s="42">
        <v>4</v>
      </c>
      <c r="E100" s="43">
        <v>72</v>
      </c>
      <c r="F100" s="44">
        <v>20262815367</v>
      </c>
      <c r="G100" s="45" t="str">
        <f>IFERROR(IF(compras_mes12[[#This Row],[CUIT]]="","-",VLOOKUP(compras_mes12[[#This Row],[CUIT]],Lista_CUIT[#All],2,0)),"CUIT NO CARGADO")</f>
        <v>CARDARELLO BASAVILBASO FEDERICO JORGE</v>
      </c>
      <c r="H100" s="46">
        <v>67107.44</v>
      </c>
      <c r="I100" s="85">
        <f>IF(compras_mes12[[#This Row],[NETO GRAVADO]]="","",compras_mes12[[#This Row],[NETO GRAVADO]]*0.21)</f>
        <v>14092.562400000001</v>
      </c>
      <c r="J100" s="85"/>
      <c r="K100" s="85"/>
      <c r="L100" s="85"/>
      <c r="M100" s="85"/>
      <c r="N100" s="85"/>
      <c r="O100" s="85"/>
      <c r="P100" s="48">
        <f>SUM(compras_mes12[[#This Row],[NETO GRAVADO]:[Otros / No Grav.]])</f>
        <v>81200.002399999998</v>
      </c>
      <c r="Q100" s="49" t="str">
        <f>IFERROR(IF(compras_mes12[[#This Row],[CUIT]]="","-",VLOOKUP(compras_mes12[[#This Row],[CUIT]],Lista_CUIT[#All],3,0)),"CUIT NO CARGADO")</f>
        <v>Gastos Varios</v>
      </c>
      <c r="R100" s="49">
        <f>IFERROR(IF(compras_mes12[[#This Row],[CUIT]]="","-",VLOOKUP(compras_mes12[[#This Row],[CUIT]],Lista_CUIT[#All],4,0)),"CUIT NO CARGADO")</f>
        <v>0</v>
      </c>
    </row>
    <row r="101" spans="2:18" x14ac:dyDescent="0.25">
      <c r="B101" s="40" t="s">
        <v>3000</v>
      </c>
      <c r="C101" s="41">
        <v>1</v>
      </c>
      <c r="D101" s="42">
        <v>1</v>
      </c>
      <c r="E101" s="43">
        <v>371</v>
      </c>
      <c r="F101" s="44">
        <v>20077604627</v>
      </c>
      <c r="G101" s="45" t="str">
        <f>IFERROR(IF(compras_mes12[[#This Row],[CUIT]]="","-",VLOOKUP(compras_mes12[[#This Row],[CUIT]],Lista_CUIT[#All],2,0)),"CUIT NO CARGADO")</f>
        <v>OCAÑO ENRIQUE</v>
      </c>
      <c r="H101" s="46">
        <v>1408280</v>
      </c>
      <c r="I101" s="85">
        <f>IF(compras_mes12[[#This Row],[NETO GRAVADO]]="","",compras_mes12[[#This Row],[NETO GRAVADO]]*0.21)</f>
        <v>295738.8</v>
      </c>
      <c r="J101" s="85"/>
      <c r="K101" s="85"/>
      <c r="L101" s="85"/>
      <c r="M101" s="85"/>
      <c r="N101" s="85"/>
      <c r="O101" s="85"/>
      <c r="P101" s="48">
        <f>SUM(compras_mes12[[#This Row],[NETO GRAVADO]:[Otros / No Grav.]])</f>
        <v>1704018.8</v>
      </c>
      <c r="Q101" s="49" t="str">
        <f>IFERROR(IF(compras_mes12[[#This Row],[CUIT]]="","-",VLOOKUP(compras_mes12[[#This Row],[CUIT]],Lista_CUIT[#All],3,0)),"CUIT NO CARGADO")</f>
        <v>Material de Empaque</v>
      </c>
      <c r="R101" s="49">
        <f>IFERROR(IF(compras_mes12[[#This Row],[CUIT]]="","-",VLOOKUP(compras_mes12[[#This Row],[CUIT]],Lista_CUIT[#All],4,0)),"CUIT NO CARGADO")</f>
        <v>0</v>
      </c>
    </row>
    <row r="102" spans="2:18" x14ac:dyDescent="0.25">
      <c r="B102" s="40" t="s">
        <v>3000</v>
      </c>
      <c r="C102" s="41">
        <v>1</v>
      </c>
      <c r="D102" s="42">
        <v>1</v>
      </c>
      <c r="E102" s="43">
        <v>373</v>
      </c>
      <c r="F102" s="44">
        <v>20077604627</v>
      </c>
      <c r="G102" s="45" t="str">
        <f>IFERROR(IF(compras_mes12[[#This Row],[CUIT]]="","-",VLOOKUP(compras_mes12[[#This Row],[CUIT]],Lista_CUIT[#All],2,0)),"CUIT NO CARGADO")</f>
        <v>OCAÑO ENRIQUE</v>
      </c>
      <c r="H102" s="46">
        <v>4421630</v>
      </c>
      <c r="I102" s="85">
        <f>IF(compras_mes12[[#This Row],[NETO GRAVADO]]="","",compras_mes12[[#This Row],[NETO GRAVADO]]*0.21)</f>
        <v>928542.29999999993</v>
      </c>
      <c r="J102" s="85"/>
      <c r="K102" s="85"/>
      <c r="L102" s="85"/>
      <c r="M102" s="85"/>
      <c r="N102" s="85"/>
      <c r="O102" s="85"/>
      <c r="P102" s="48">
        <f>SUM(compras_mes12[[#This Row],[NETO GRAVADO]:[Otros / No Grav.]])</f>
        <v>5350172.3</v>
      </c>
      <c r="Q102" s="49" t="str">
        <f>IFERROR(IF(compras_mes12[[#This Row],[CUIT]]="","-",VLOOKUP(compras_mes12[[#This Row],[CUIT]],Lista_CUIT[#All],3,0)),"CUIT NO CARGADO")</f>
        <v>Material de Empaque</v>
      </c>
      <c r="R102" s="49">
        <f>IFERROR(IF(compras_mes12[[#This Row],[CUIT]]="","-",VLOOKUP(compras_mes12[[#This Row],[CUIT]],Lista_CUIT[#All],4,0)),"CUIT NO CARGADO")</f>
        <v>0</v>
      </c>
    </row>
    <row r="103" spans="2:18" x14ac:dyDescent="0.25">
      <c r="B103" s="40" t="s">
        <v>3000</v>
      </c>
      <c r="C103" s="41">
        <v>1</v>
      </c>
      <c r="D103" s="42">
        <v>2</v>
      </c>
      <c r="E103" s="43">
        <v>4217</v>
      </c>
      <c r="F103" s="44">
        <v>30629863571</v>
      </c>
      <c r="G103" s="45" t="str">
        <f>IFERROR(IF(compras_mes12[[#This Row],[CUIT]]="","-",VLOOKUP(compras_mes12[[#This Row],[CUIT]],Lista_CUIT[#All],2,0)),"CUIT NO CARGADO")</f>
        <v>TECNIMAR S R L</v>
      </c>
      <c r="H103" s="46">
        <v>2797626</v>
      </c>
      <c r="I103" s="85">
        <f>IF(compras_mes12[[#This Row],[NETO GRAVADO]]="","",compras_mes12[[#This Row],[NETO GRAVADO]]*0.21)</f>
        <v>587501.46</v>
      </c>
      <c r="J103" s="85"/>
      <c r="K103" s="85"/>
      <c r="L103" s="85"/>
      <c r="M103" s="85"/>
      <c r="N103" s="85"/>
      <c r="O103" s="85"/>
      <c r="P103" s="48">
        <f>SUM(compras_mes12[[#This Row],[NETO GRAVADO]:[Otros / No Grav.]])</f>
        <v>3385127.46</v>
      </c>
      <c r="Q103" s="49" t="str">
        <f>IFERROR(IF(compras_mes12[[#This Row],[CUIT]]="","-",VLOOKUP(compras_mes12[[#This Row],[CUIT]],Lista_CUIT[#All],3,0)),"CUIT NO CARGADO")</f>
        <v>Productos Venta</v>
      </c>
      <c r="R103" s="49">
        <f>IFERROR(IF(compras_mes12[[#This Row],[CUIT]]="","-",VLOOKUP(compras_mes12[[#This Row],[CUIT]],Lista_CUIT[#All],4,0)),"CUIT NO CARGADO")</f>
        <v>0</v>
      </c>
    </row>
    <row r="104" spans="2:18" x14ac:dyDescent="0.25">
      <c r="B104" s="40" t="s">
        <v>3000</v>
      </c>
      <c r="C104" s="41">
        <v>1</v>
      </c>
      <c r="D104" s="42">
        <v>4</v>
      </c>
      <c r="E104" s="43">
        <v>51877</v>
      </c>
      <c r="F104" s="44">
        <v>30709863076</v>
      </c>
      <c r="G104" s="45" t="str">
        <f>IFERROR(IF(compras_mes12[[#This Row],[CUIT]]="","-",VLOOKUP(compras_mes12[[#This Row],[CUIT]],Lista_CUIT[#All],2,0)),"CUIT NO CARGADO")</f>
        <v>INDUSTRIAS PLASTICOS SALTA S.R.L.</v>
      </c>
      <c r="H104" s="46">
        <v>66611.58</v>
      </c>
      <c r="I104" s="85">
        <v>13988.43</v>
      </c>
      <c r="J104" s="85"/>
      <c r="K104" s="85"/>
      <c r="L104" s="85"/>
      <c r="M104" s="85"/>
      <c r="N104" s="85"/>
      <c r="O104" s="85"/>
      <c r="P104" s="48">
        <f>SUM(compras_mes12[[#This Row],[NETO GRAVADO]:[Otros / No Grav.]])</f>
        <v>80600.010000000009</v>
      </c>
      <c r="Q104" s="49" t="str">
        <f>IFERROR(IF(compras_mes12[[#This Row],[CUIT]]="","-",VLOOKUP(compras_mes12[[#This Row],[CUIT]],Lista_CUIT[#All],3,0)),"CUIT NO CARGADO")</f>
        <v>Materia Prima</v>
      </c>
      <c r="R104" s="49">
        <f>IFERROR(IF(compras_mes12[[#This Row],[CUIT]]="","-",VLOOKUP(compras_mes12[[#This Row],[CUIT]],Lista_CUIT[#All],4,0)),"CUIT NO CARGADO")</f>
        <v>0</v>
      </c>
    </row>
    <row r="105" spans="2:18" x14ac:dyDescent="0.25">
      <c r="B105" s="40" t="s">
        <v>3000</v>
      </c>
      <c r="C105" s="41">
        <v>1</v>
      </c>
      <c r="D105" s="42">
        <v>2188</v>
      </c>
      <c r="E105" s="43">
        <v>164607</v>
      </c>
      <c r="F105" s="44">
        <v>30548083156</v>
      </c>
      <c r="G105" s="45" t="str">
        <f>IFERROR(IF(compras_mes12[[#This Row],[CUIT]]="","-",VLOOKUP(compras_mes12[[#This Row],[CUIT]],Lista_CUIT[#All],2,0)),"CUIT NO CARGADO")</f>
        <v>COTO CENTRO INTEGRAL DE COMERCIALIZACION SOCIEDAD ANONIMA</v>
      </c>
      <c r="H105" s="46">
        <v>71278.539999999994</v>
      </c>
      <c r="I105" s="85">
        <v>12529.66</v>
      </c>
      <c r="J105" s="85"/>
      <c r="K105" s="85">
        <v>1219.42</v>
      </c>
      <c r="L105" s="85"/>
      <c r="M105" s="85"/>
      <c r="N105" s="85"/>
      <c r="O105" s="85">
        <v>3966.84</v>
      </c>
      <c r="P105" s="48">
        <f>SUM(compras_mes12[[#This Row],[NETO GRAVADO]:[Otros / No Grav.]])</f>
        <v>88994.459999999992</v>
      </c>
      <c r="Q105" s="49" t="str">
        <f>IFERROR(IF(compras_mes12[[#This Row],[CUIT]]="","-",VLOOKUP(compras_mes12[[#This Row],[CUIT]],Lista_CUIT[#All],3,0)),"CUIT NO CARGADO")</f>
        <v>Gastos Varios</v>
      </c>
      <c r="R105" s="49">
        <f>IFERROR(IF(compras_mes12[[#This Row],[CUIT]]="","-",VLOOKUP(compras_mes12[[#This Row],[CUIT]],Lista_CUIT[#All],4,0)),"CUIT NO CARGADO")</f>
        <v>0</v>
      </c>
    </row>
    <row r="106" spans="2:18" x14ac:dyDescent="0.25">
      <c r="B106" s="40" t="s">
        <v>3018</v>
      </c>
      <c r="C106" s="41">
        <v>1</v>
      </c>
      <c r="D106" s="42">
        <v>3</v>
      </c>
      <c r="E106" s="43">
        <v>117</v>
      </c>
      <c r="F106" s="44">
        <v>27317740196</v>
      </c>
      <c r="G106" s="45" t="str">
        <f>IFERROR(IF(compras_mes12[[#This Row],[CUIT]]="","-",VLOOKUP(compras_mes12[[#This Row],[CUIT]],Lista_CUIT[#All],2,0)),"CUIT NO CARGADO")</f>
        <v>HOKAMA ROMINA PAOLA</v>
      </c>
      <c r="H106" s="46">
        <v>31795.89</v>
      </c>
      <c r="I106" s="85">
        <f>IF(compras_mes12[[#This Row],[NETO GRAVADO]]="","",compras_mes12[[#This Row],[NETO GRAVADO]]*0.21)</f>
        <v>6677.1368999999995</v>
      </c>
      <c r="J106" s="85"/>
      <c r="K106" s="85"/>
      <c r="L106" s="85"/>
      <c r="M106" s="85"/>
      <c r="N106" s="85"/>
      <c r="O106" s="85"/>
      <c r="P106" s="48">
        <f>SUM(compras_mes12[[#This Row],[NETO GRAVADO]:[Otros / No Grav.]])</f>
        <v>38473.026899999997</v>
      </c>
      <c r="Q106" s="49" t="str">
        <f>IFERROR(IF(compras_mes12[[#This Row],[CUIT]]="","-",VLOOKUP(compras_mes12[[#This Row],[CUIT]],Lista_CUIT[#All],3,0)),"CUIT NO CARGADO")</f>
        <v>Gastos Varios</v>
      </c>
      <c r="R106" s="49">
        <f>IFERROR(IF(compras_mes12[[#This Row],[CUIT]]="","-",VLOOKUP(compras_mes12[[#This Row],[CUIT]],Lista_CUIT[#All],4,0)),"CUIT NO CARGADO")</f>
        <v>0</v>
      </c>
    </row>
    <row r="107" spans="2:18" x14ac:dyDescent="0.25">
      <c r="B107" s="546" t="s">
        <v>3018</v>
      </c>
      <c r="C107" s="547">
        <v>1</v>
      </c>
      <c r="D107" s="487">
        <v>12</v>
      </c>
      <c r="E107" s="548">
        <v>78969</v>
      </c>
      <c r="F107" s="549">
        <v>30696131003</v>
      </c>
      <c r="G107" s="550" t="str">
        <f>IFERROR(IF(compras_mes12[[#This Row],[CUIT]]="","-",VLOOKUP(compras_mes12[[#This Row],[CUIT]],Lista_CUIT[#All],2,0)),"CUIT NO CARGADO")</f>
        <v>Petrolfe S.A.</v>
      </c>
      <c r="H107" s="551">
        <v>190684.33</v>
      </c>
      <c r="I107" s="552">
        <f>IF(compras_mes12[[#This Row],[NETO GRAVADO]]="","",compras_mes12[[#This Row],[NETO GRAVADO]]*0.21)</f>
        <v>40043.709299999995</v>
      </c>
      <c r="J107" s="552"/>
      <c r="K107" s="552"/>
      <c r="L107" s="552"/>
      <c r="M107" s="552"/>
      <c r="N107" s="552"/>
      <c r="O107" s="552">
        <v>23084.44</v>
      </c>
      <c r="P107" s="553">
        <f>SUM(compras_mes12[[#This Row],[NETO GRAVADO]:[Otros / No Grav.]])</f>
        <v>253812.47929999998</v>
      </c>
      <c r="Q107" s="554" t="str">
        <f>IFERROR(IF(compras_mes12[[#This Row],[CUIT]]="","-",VLOOKUP(compras_mes12[[#This Row],[CUIT]],Lista_CUIT[#All],3,0)),"CUIT NO CARGADO")</f>
        <v>Combustible</v>
      </c>
      <c r="R107" s="554">
        <f>IFERROR(IF(compras_mes12[[#This Row],[CUIT]]="","-",VLOOKUP(compras_mes12[[#This Row],[CUIT]],Lista_CUIT[#All],4,0)),"CUIT NO CARGADO")</f>
        <v>0</v>
      </c>
    </row>
    <row r="108" spans="2:18" x14ac:dyDescent="0.25">
      <c r="B108" s="40" t="s">
        <v>3019</v>
      </c>
      <c r="C108" s="41">
        <v>1</v>
      </c>
      <c r="D108" s="42">
        <v>2084</v>
      </c>
      <c r="E108" s="43">
        <v>33383</v>
      </c>
      <c r="F108" s="44">
        <v>30548083156</v>
      </c>
      <c r="G108" s="45" t="str">
        <f>IFERROR(IF(compras_mes12[[#This Row],[CUIT]]="","-",VLOOKUP(compras_mes12[[#This Row],[CUIT]],Lista_CUIT[#All],2,0)),"CUIT NO CARGADO")</f>
        <v>COTO CENTRO INTEGRAL DE COMERCIALIZACION SOCIEDAD ANONIMA</v>
      </c>
      <c r="H108" s="46">
        <v>77250.22</v>
      </c>
      <c r="I108" s="85">
        <v>10986.69</v>
      </c>
      <c r="J108" s="85"/>
      <c r="K108" s="85">
        <v>2617.9299999999998</v>
      </c>
      <c r="L108" s="85"/>
      <c r="M108" s="85"/>
      <c r="N108" s="85"/>
      <c r="O108" s="85">
        <v>3486.53</v>
      </c>
      <c r="P108" s="48">
        <f>SUM(compras_mes12[[#This Row],[NETO GRAVADO]:[Otros / No Grav.]])</f>
        <v>94341.37</v>
      </c>
      <c r="Q108" s="49" t="str">
        <f>IFERROR(IF(compras_mes12[[#This Row],[CUIT]]="","-",VLOOKUP(compras_mes12[[#This Row],[CUIT]],Lista_CUIT[#All],3,0)),"CUIT NO CARGADO")</f>
        <v>Gastos Varios</v>
      </c>
      <c r="R108" s="49">
        <f>IFERROR(IF(compras_mes12[[#This Row],[CUIT]]="","-",VLOOKUP(compras_mes12[[#This Row],[CUIT]],Lista_CUIT[#All],4,0)),"CUIT NO CARGADO")</f>
        <v>0</v>
      </c>
    </row>
    <row r="109" spans="2:18" x14ac:dyDescent="0.25">
      <c r="B109" s="40" t="s">
        <v>3001</v>
      </c>
      <c r="C109" s="41">
        <v>1</v>
      </c>
      <c r="D109" s="42">
        <v>7</v>
      </c>
      <c r="E109" s="43">
        <v>48</v>
      </c>
      <c r="F109" s="44">
        <v>30712132511</v>
      </c>
      <c r="G109" s="45" t="str">
        <f>IFERROR(IF(compras_mes12[[#This Row],[CUIT]]="","-",VLOOKUP(compras_mes12[[#This Row],[CUIT]],Lista_CUIT[#All],2,0)),"CUIT NO CARGADO")</f>
        <v>NEW COT ARGENTINA S.A</v>
      </c>
      <c r="H109" s="46">
        <v>10082.64</v>
      </c>
      <c r="I109" s="85">
        <f>IF(compras_mes12[[#This Row],[NETO GRAVADO]]="","",compras_mes12[[#This Row],[NETO GRAVADO]]*0.21)</f>
        <v>2117.3543999999997</v>
      </c>
      <c r="J109" s="85"/>
      <c r="K109" s="85"/>
      <c r="L109" s="85"/>
      <c r="M109" s="85"/>
      <c r="N109" s="85"/>
      <c r="O109" s="85"/>
      <c r="P109" s="48">
        <f>SUM(compras_mes12[[#This Row],[NETO GRAVADO]:[Otros / No Grav.]])</f>
        <v>12199.9944</v>
      </c>
      <c r="Q109" s="49" t="str">
        <f>IFERROR(IF(compras_mes12[[#This Row],[CUIT]]="","-",VLOOKUP(compras_mes12[[#This Row],[CUIT]],Lista_CUIT[#All],3,0)),"CUIT NO CARGADO")</f>
        <v>Gastos Varios</v>
      </c>
      <c r="R109" s="49">
        <f>IFERROR(IF(compras_mes12[[#This Row],[CUIT]]="","-",VLOOKUP(compras_mes12[[#This Row],[CUIT]],Lista_CUIT[#All],4,0)),"CUIT NO CARGADO")</f>
        <v>0</v>
      </c>
    </row>
    <row r="110" spans="2:18" x14ac:dyDescent="0.25">
      <c r="B110" s="40" t="s">
        <v>3001</v>
      </c>
      <c r="C110" s="41">
        <v>1</v>
      </c>
      <c r="D110" s="42">
        <v>1</v>
      </c>
      <c r="E110" s="43">
        <v>374</v>
      </c>
      <c r="F110" s="44">
        <v>20077604627</v>
      </c>
      <c r="G110" s="45" t="str">
        <f>IFERROR(IF(compras_mes12[[#This Row],[CUIT]]="","-",VLOOKUP(compras_mes12[[#This Row],[CUIT]],Lista_CUIT[#All],2,0)),"CUIT NO CARGADO")</f>
        <v>OCAÑO ENRIQUE</v>
      </c>
      <c r="H110" s="46">
        <v>917080</v>
      </c>
      <c r="I110" s="85">
        <f>IF(compras_mes12[[#This Row],[NETO GRAVADO]]="","",compras_mes12[[#This Row],[NETO GRAVADO]]*0.21)</f>
        <v>192586.8</v>
      </c>
      <c r="J110" s="85"/>
      <c r="K110" s="85"/>
      <c r="L110" s="85"/>
      <c r="M110" s="85"/>
      <c r="N110" s="85"/>
      <c r="O110" s="85"/>
      <c r="P110" s="48">
        <f>SUM(compras_mes12[[#This Row],[NETO GRAVADO]:[Otros / No Grav.]])</f>
        <v>1109666.8</v>
      </c>
      <c r="Q110" s="49" t="str">
        <f>IFERROR(IF(compras_mes12[[#This Row],[CUIT]]="","-",VLOOKUP(compras_mes12[[#This Row],[CUIT]],Lista_CUIT[#All],3,0)),"CUIT NO CARGADO")</f>
        <v>Material de Empaque</v>
      </c>
      <c r="R110" s="49">
        <f>IFERROR(IF(compras_mes12[[#This Row],[CUIT]]="","-",VLOOKUP(compras_mes12[[#This Row],[CUIT]],Lista_CUIT[#All],4,0)),"CUIT NO CARGADO")</f>
        <v>0</v>
      </c>
    </row>
    <row r="111" spans="2:18" x14ac:dyDescent="0.25">
      <c r="B111" s="40" t="s">
        <v>3001</v>
      </c>
      <c r="C111" s="41">
        <v>1</v>
      </c>
      <c r="D111" s="42">
        <v>2</v>
      </c>
      <c r="E111" s="43">
        <v>603</v>
      </c>
      <c r="F111" s="44">
        <v>30718407857</v>
      </c>
      <c r="G111" s="45" t="str">
        <f>IFERROR(IF(compras_mes12[[#This Row],[CUIT]]="","-",VLOOKUP(compras_mes12[[#This Row],[CUIT]],Lista_CUIT[#All],2,0)),"CUIT NO CARGADO")</f>
        <v>OSSEN BA S.R.L.</v>
      </c>
      <c r="H111" s="46">
        <v>38818.19</v>
      </c>
      <c r="I111" s="85">
        <f>IF(compras_mes12[[#This Row],[NETO GRAVADO]]="","",compras_mes12[[#This Row],[NETO GRAVADO]]*0.21)</f>
        <v>8151.8199000000004</v>
      </c>
      <c r="J111" s="85"/>
      <c r="K111" s="85"/>
      <c r="L111" s="85"/>
      <c r="M111" s="85"/>
      <c r="N111" s="85"/>
      <c r="O111" s="85"/>
      <c r="P111" s="48">
        <f>SUM(compras_mes12[[#This Row],[NETO GRAVADO]:[Otros / No Grav.]])</f>
        <v>46970.009900000005</v>
      </c>
      <c r="Q111" s="49" t="str">
        <f>IFERROR(IF(compras_mes12[[#This Row],[CUIT]]="","-",VLOOKUP(compras_mes12[[#This Row],[CUIT]],Lista_CUIT[#All],3,0)),"CUIT NO CARGADO")</f>
        <v>Papeleria</v>
      </c>
      <c r="R111" s="49">
        <f>IFERROR(IF(compras_mes12[[#This Row],[CUIT]]="","-",VLOOKUP(compras_mes12[[#This Row],[CUIT]],Lista_CUIT[#All],4,0)),"CUIT NO CARGADO")</f>
        <v>0</v>
      </c>
    </row>
    <row r="112" spans="2:18" x14ac:dyDescent="0.25">
      <c r="B112" s="40" t="s">
        <v>3001</v>
      </c>
      <c r="C112" s="41">
        <v>1</v>
      </c>
      <c r="D112" s="42">
        <v>3</v>
      </c>
      <c r="E112" s="43">
        <v>1569</v>
      </c>
      <c r="F112" s="44">
        <v>20170158955</v>
      </c>
      <c r="G112" s="45" t="str">
        <f>IFERROR(IF(compras_mes12[[#This Row],[CUIT]]="","-",VLOOKUP(compras_mes12[[#This Row],[CUIT]],Lista_CUIT[#All],2,0)),"CUIT NO CARGADO")</f>
        <v>REGUEIRA ALEJANDRO JORGE</v>
      </c>
      <c r="H112" s="46">
        <v>6776.86</v>
      </c>
      <c r="I112" s="85">
        <f>IF(compras_mes12[[#This Row],[NETO GRAVADO]]="","",compras_mes12[[#This Row],[NETO GRAVADO]]*0.21)</f>
        <v>1423.1405999999999</v>
      </c>
      <c r="J112" s="85"/>
      <c r="K112" s="85"/>
      <c r="L112" s="85"/>
      <c r="M112" s="85"/>
      <c r="N112" s="85"/>
      <c r="O112" s="85"/>
      <c r="P112" s="48">
        <f>SUM(compras_mes12[[#This Row],[NETO GRAVADO]:[Otros / No Grav.]])</f>
        <v>8200.0005999999994</v>
      </c>
      <c r="Q112" s="49" t="str">
        <f>IFERROR(IF(compras_mes12[[#This Row],[CUIT]]="","-",VLOOKUP(compras_mes12[[#This Row],[CUIT]],Lista_CUIT[#All],3,0)),"CUIT NO CARGADO")</f>
        <v>Gastos Varios</v>
      </c>
      <c r="R112" s="49">
        <f>IFERROR(IF(compras_mes12[[#This Row],[CUIT]]="","-",VLOOKUP(compras_mes12[[#This Row],[CUIT]],Lista_CUIT[#All],4,0)),"CUIT NO CARGADO")</f>
        <v>0</v>
      </c>
    </row>
    <row r="113" spans="2:18" x14ac:dyDescent="0.25">
      <c r="B113" s="40" t="s">
        <v>3001</v>
      </c>
      <c r="C113" s="41">
        <v>1</v>
      </c>
      <c r="D113" s="42">
        <v>3</v>
      </c>
      <c r="E113" s="43">
        <v>1612</v>
      </c>
      <c r="F113" s="44">
        <v>20308960782</v>
      </c>
      <c r="G113" s="45" t="str">
        <f>IFERROR(IF(compras_mes12[[#This Row],[CUIT]]="","-",VLOOKUP(compras_mes12[[#This Row],[CUIT]],Lista_CUIT[#All],2,0)),"CUIT NO CARGADO")</f>
        <v>OSSANDON ROBERTO SAUL</v>
      </c>
      <c r="H113" s="46">
        <v>37603.31</v>
      </c>
      <c r="I113" s="85">
        <f>IF(compras_mes12[[#This Row],[NETO GRAVADO]]="","",compras_mes12[[#This Row],[NETO GRAVADO]]*0.21)</f>
        <v>7896.695099999999</v>
      </c>
      <c r="J113" s="85"/>
      <c r="K113" s="85"/>
      <c r="L113" s="85"/>
      <c r="M113" s="85"/>
      <c r="N113" s="85"/>
      <c r="O113" s="85"/>
      <c r="P113" s="48">
        <f>SUM(compras_mes12[[#This Row],[NETO GRAVADO]:[Otros / No Grav.]])</f>
        <v>45500.005099999995</v>
      </c>
      <c r="Q113" s="49" t="str">
        <f>IFERROR(IF(compras_mes12[[#This Row],[CUIT]]="","-",VLOOKUP(compras_mes12[[#This Row],[CUIT]],Lista_CUIT[#All],3,0)),"CUIT NO CARGADO")</f>
        <v>Gastos Limpieza</v>
      </c>
      <c r="R113" s="49">
        <f>IFERROR(IF(compras_mes12[[#This Row],[CUIT]]="","-",VLOOKUP(compras_mes12[[#This Row],[CUIT]],Lista_CUIT[#All],4,0)),"CUIT NO CARGADO")</f>
        <v>0</v>
      </c>
    </row>
    <row r="114" spans="2:18" x14ac:dyDescent="0.25">
      <c r="B114" s="40" t="s">
        <v>3001</v>
      </c>
      <c r="C114" s="41">
        <v>1</v>
      </c>
      <c r="D114" s="42">
        <v>2</v>
      </c>
      <c r="E114" s="43">
        <v>4218</v>
      </c>
      <c r="F114" s="44">
        <v>30629863571</v>
      </c>
      <c r="G114" s="45" t="str">
        <f>IFERROR(IF(compras_mes12[[#This Row],[CUIT]]="","-",VLOOKUP(compras_mes12[[#This Row],[CUIT]],Lista_CUIT[#All],2,0)),"CUIT NO CARGADO")</f>
        <v>TECNIMAR S R L</v>
      </c>
      <c r="H114" s="46">
        <v>2949883</v>
      </c>
      <c r="I114" s="85">
        <f>IF(compras_mes12[[#This Row],[NETO GRAVADO]]="","",compras_mes12[[#This Row],[NETO GRAVADO]]*0.21)</f>
        <v>619475.42999999993</v>
      </c>
      <c r="J114" s="85"/>
      <c r="K114" s="85"/>
      <c r="L114" s="85"/>
      <c r="M114" s="85"/>
      <c r="N114" s="85"/>
      <c r="O114" s="85"/>
      <c r="P114" s="48">
        <f>SUM(compras_mes12[[#This Row],[NETO GRAVADO]:[Otros / No Grav.]])</f>
        <v>3569358.4299999997</v>
      </c>
      <c r="Q114" s="49" t="str">
        <f>IFERROR(IF(compras_mes12[[#This Row],[CUIT]]="","-",VLOOKUP(compras_mes12[[#This Row],[CUIT]],Lista_CUIT[#All],3,0)),"CUIT NO CARGADO")</f>
        <v>Productos Venta</v>
      </c>
      <c r="R114" s="49">
        <f>IFERROR(IF(compras_mes12[[#This Row],[CUIT]]="","-",VLOOKUP(compras_mes12[[#This Row],[CUIT]],Lista_CUIT[#All],4,0)),"CUIT NO CARGADO")</f>
        <v>0</v>
      </c>
    </row>
    <row r="115" spans="2:18" x14ac:dyDescent="0.25">
      <c r="B115" s="40" t="s">
        <v>3001</v>
      </c>
      <c r="C115" s="41">
        <v>1</v>
      </c>
      <c r="D115" s="42">
        <v>16</v>
      </c>
      <c r="E115" s="43">
        <v>14540</v>
      </c>
      <c r="F115" s="44">
        <v>30715164376</v>
      </c>
      <c r="G115" s="45" t="str">
        <f>IFERROR(IF(compras_mes12[[#This Row],[CUIT]]="","-",VLOOKUP(compras_mes12[[#This Row],[CUIT]],Lista_CUIT[#All],2,0)),"CUIT NO CARGADO")</f>
        <v>CELULARES &amp; ETCETERA S.R.L.</v>
      </c>
      <c r="H115" s="46">
        <v>190660.33</v>
      </c>
      <c r="I115" s="85">
        <f>IF(compras_mes12[[#This Row],[NETO GRAVADO]]="","",compras_mes12[[#This Row],[NETO GRAVADO]]*0.21)</f>
        <v>40038.669299999994</v>
      </c>
      <c r="J115" s="85"/>
      <c r="K115" s="85"/>
      <c r="L115" s="85"/>
      <c r="M115" s="85"/>
      <c r="N115" s="85">
        <v>5719.81</v>
      </c>
      <c r="O115" s="552"/>
      <c r="P115" s="48">
        <f>SUM(compras_mes12[[#This Row],[NETO GRAVADO]:[Otros / No Grav.]])</f>
        <v>236418.80929999996</v>
      </c>
      <c r="Q115" s="49" t="str">
        <f>IFERROR(IF(compras_mes12[[#This Row],[CUIT]]="","-",VLOOKUP(compras_mes12[[#This Row],[CUIT]],Lista_CUIT[#All],3,0)),"CUIT NO CARGADO")</f>
        <v>Representacion</v>
      </c>
      <c r="R115" s="49">
        <f>IFERROR(IF(compras_mes12[[#This Row],[CUIT]]="","-",VLOOKUP(compras_mes12[[#This Row],[CUIT]],Lista_CUIT[#All],4,0)),"CUIT NO CARGADO")</f>
        <v>0</v>
      </c>
    </row>
    <row r="116" spans="2:18" x14ac:dyDescent="0.25">
      <c r="B116" s="40" t="s">
        <v>3001</v>
      </c>
      <c r="C116" s="41">
        <v>1</v>
      </c>
      <c r="D116" s="42">
        <v>14</v>
      </c>
      <c r="E116" s="43">
        <v>20190</v>
      </c>
      <c r="F116" s="44">
        <v>30715186256</v>
      </c>
      <c r="G116" s="45" t="str">
        <f>IFERROR(IF(compras_mes12[[#This Row],[CUIT]]="","-",VLOOKUP(compras_mes12[[#This Row],[CUIT]],Lista_CUIT[#All],2,0)),"CUIT NO CARGADO")</f>
        <v>FRIGORIFICO ALIMENTIC</v>
      </c>
      <c r="H116" s="46">
        <v>85015.47</v>
      </c>
      <c r="I116" s="85">
        <v>5414.88</v>
      </c>
      <c r="J116" s="85"/>
      <c r="K116" s="85">
        <v>6219.18</v>
      </c>
      <c r="L116" s="85"/>
      <c r="M116" s="85"/>
      <c r="N116" s="85"/>
      <c r="O116" s="85"/>
      <c r="P116" s="48">
        <f>SUM(compras_mes12[[#This Row],[NETO GRAVADO]:[Otros / No Grav.]])</f>
        <v>96649.53</v>
      </c>
      <c r="Q116" s="49" t="str">
        <f>IFERROR(IF(compras_mes12[[#This Row],[CUIT]]="","-",VLOOKUP(compras_mes12[[#This Row],[CUIT]],Lista_CUIT[#All],3,0)),"CUIT NO CARGADO")</f>
        <v>Gastos Comercializacion - Feria</v>
      </c>
      <c r="R116" s="49">
        <f>IFERROR(IF(compras_mes12[[#This Row],[CUIT]]="","-",VLOOKUP(compras_mes12[[#This Row],[CUIT]],Lista_CUIT[#All],4,0)),"CUIT NO CARGADO")</f>
        <v>0</v>
      </c>
    </row>
    <row r="117" spans="2:18" x14ac:dyDescent="0.25">
      <c r="B117" s="40" t="s">
        <v>3001</v>
      </c>
      <c r="C117" s="41">
        <v>1</v>
      </c>
      <c r="D117" s="42">
        <v>301</v>
      </c>
      <c r="E117" s="43">
        <v>131670</v>
      </c>
      <c r="F117" s="44">
        <v>30686978350</v>
      </c>
      <c r="G117" s="45" t="str">
        <f>IFERROR(IF(compras_mes12[[#This Row],[CUIT]]="","-",VLOOKUP(compras_mes12[[#This Row],[CUIT]],Lista_CUIT[#All],2,0)),"CUIT NO CARGADO")</f>
        <v>SPEED BUSINESS S. A.</v>
      </c>
      <c r="H117" s="46">
        <v>20942.150000000001</v>
      </c>
      <c r="I117" s="85">
        <f>IF(compras_mes12[[#This Row],[NETO GRAVADO]]="","",compras_mes12[[#This Row],[NETO GRAVADO]]*0.21)</f>
        <v>4397.8514999999998</v>
      </c>
      <c r="J117" s="85"/>
      <c r="K117" s="85"/>
      <c r="L117" s="85"/>
      <c r="M117" s="85"/>
      <c r="N117" s="85"/>
      <c r="O117" s="85"/>
      <c r="P117" s="48">
        <f>SUM(compras_mes12[[#This Row],[NETO GRAVADO]:[Otros / No Grav.]])</f>
        <v>25340.001500000002</v>
      </c>
      <c r="Q117" s="49" t="str">
        <f>IFERROR(IF(compras_mes12[[#This Row],[CUIT]]="","-",VLOOKUP(compras_mes12[[#This Row],[CUIT]],Lista_CUIT[#All],3,0)),"CUIT NO CARGADO")</f>
        <v>Gastos Comercializacion</v>
      </c>
      <c r="R117" s="49">
        <f>IFERROR(IF(compras_mes12[[#This Row],[CUIT]]="","-",VLOOKUP(compras_mes12[[#This Row],[CUIT]],Lista_CUIT[#All],4,0)),"CUIT NO CARGADO")</f>
        <v>0</v>
      </c>
    </row>
    <row r="118" spans="2:18" x14ac:dyDescent="0.25">
      <c r="B118" s="40" t="s">
        <v>3001</v>
      </c>
      <c r="C118" s="41">
        <v>1</v>
      </c>
      <c r="D118" s="42">
        <v>126</v>
      </c>
      <c r="E118" s="43">
        <v>312982</v>
      </c>
      <c r="F118" s="44">
        <v>30577207190</v>
      </c>
      <c r="G118" s="45" t="str">
        <f>IFERROR(IF(compras_mes12[[#This Row],[CUIT]]="","-",VLOOKUP(compras_mes12[[#This Row],[CUIT]],Lista_CUIT[#All],2,0)),"CUIT NO CARGADO")</f>
        <v>COORDINACION ECOLOGICA AREA METROPOLITANA SOCIEDAD DEL ESTADO</v>
      </c>
      <c r="H118" s="46">
        <v>3305.78</v>
      </c>
      <c r="I118" s="85">
        <f>IF(compras_mes12[[#This Row],[NETO GRAVADO]]="","",compras_mes12[[#This Row],[NETO GRAVADO]]*0.21)</f>
        <v>694.21379999999999</v>
      </c>
      <c r="J118" s="85"/>
      <c r="K118" s="85"/>
      <c r="L118" s="85">
        <v>99.17</v>
      </c>
      <c r="M118" s="85"/>
      <c r="N118" s="85"/>
      <c r="O118" s="552"/>
      <c r="P118" s="48">
        <f>SUM(compras_mes12[[#This Row],[NETO GRAVADO]:[Otros / No Grav.]])</f>
        <v>4099.1638000000003</v>
      </c>
      <c r="Q118" s="49" t="str">
        <f>IFERROR(IF(compras_mes12[[#This Row],[CUIT]]="","-",VLOOKUP(compras_mes12[[#This Row],[CUIT]],Lista_CUIT[#All],3,0)),"CUIT NO CARGADO")</f>
        <v>Gastos Limpieza</v>
      </c>
      <c r="R118" s="49">
        <f>IFERROR(IF(compras_mes12[[#This Row],[CUIT]]="","-",VLOOKUP(compras_mes12[[#This Row],[CUIT]],Lista_CUIT[#All],4,0)),"CUIT NO CARGADO")</f>
        <v>0</v>
      </c>
    </row>
    <row r="119" spans="2:18" x14ac:dyDescent="0.25">
      <c r="B119" s="40" t="s">
        <v>3001</v>
      </c>
      <c r="C119" s="41">
        <v>1</v>
      </c>
      <c r="D119" s="42">
        <v>7</v>
      </c>
      <c r="E119" s="43">
        <v>407427</v>
      </c>
      <c r="F119" s="44">
        <v>30716821516</v>
      </c>
      <c r="G119" s="45" t="str">
        <f>IFERROR(IF(compras_mes12[[#This Row],[CUIT]]="","-",VLOOKUP(compras_mes12[[#This Row],[CUIT]],Lista_CUIT[#All],2,0)),"CUIT NO CARGADO")</f>
        <v>GETNET ARGENTINA S. A. U.</v>
      </c>
      <c r="H119" s="46">
        <v>0</v>
      </c>
      <c r="I119" s="85">
        <f>IF(compras_mes12[[#This Row],[NETO GRAVADO]]="","",compras_mes12[[#This Row],[NETO GRAVADO]]*0.21)</f>
        <v>0</v>
      </c>
      <c r="J119" s="85"/>
      <c r="K119" s="85"/>
      <c r="L119" s="85"/>
      <c r="M119" s="85"/>
      <c r="N119" s="85"/>
      <c r="O119" s="85"/>
      <c r="P119" s="48">
        <f>SUM(compras_mes12[[#This Row],[NETO GRAVADO]:[Otros / No Grav.]])</f>
        <v>0</v>
      </c>
      <c r="Q119" s="49" t="str">
        <f>IFERROR(IF(compras_mes12[[#This Row],[CUIT]]="","-",VLOOKUP(compras_mes12[[#This Row],[CUIT]],Lista_CUIT[#All],3,0)),"CUIT NO CARGADO")</f>
        <v>Gastos administrativos</v>
      </c>
      <c r="R119" s="49">
        <f>IFERROR(IF(compras_mes12[[#This Row],[CUIT]]="","-",VLOOKUP(compras_mes12[[#This Row],[CUIT]],Lista_CUIT[#All],4,0)),"CUIT NO CARGADO")</f>
        <v>0</v>
      </c>
    </row>
    <row r="120" spans="2:18" x14ac:dyDescent="0.25">
      <c r="B120" s="40" t="s">
        <v>3001</v>
      </c>
      <c r="C120" s="41">
        <v>1</v>
      </c>
      <c r="D120" s="42">
        <v>50</v>
      </c>
      <c r="E120" s="43">
        <v>4816229</v>
      </c>
      <c r="F120" s="44">
        <v>30714112836</v>
      </c>
      <c r="G120" s="45" t="str">
        <f>IFERROR(IF(compras_mes12[[#This Row],[CUIT]]="","-",VLOOKUP(compras_mes12[[#This Row],[CUIT]],Lista_CUIT[#All],2,0)),"CUIT NO CARGADO")</f>
        <v>AUTOPISTAS DE BS AS</v>
      </c>
      <c r="H120" s="46">
        <v>69424.42</v>
      </c>
      <c r="I120" s="85">
        <f>IF(compras_mes12[[#This Row],[NETO GRAVADO]]="","",compras_mes12[[#This Row],[NETO GRAVADO]]*0.21)</f>
        <v>14579.128199999999</v>
      </c>
      <c r="J120" s="85"/>
      <c r="K120" s="85"/>
      <c r="L120" s="85">
        <v>2082.73</v>
      </c>
      <c r="M120" s="85"/>
      <c r="N120" s="85"/>
      <c r="O120" s="552"/>
      <c r="P120" s="48">
        <f>SUM(compras_mes12[[#This Row],[NETO GRAVADO]:[Otros / No Grav.]])</f>
        <v>86086.278199999986</v>
      </c>
      <c r="Q120" s="49" t="str">
        <f>IFERROR(IF(compras_mes12[[#This Row],[CUIT]]="","-",VLOOKUP(compras_mes12[[#This Row],[CUIT]],Lista_CUIT[#All],3,0)),"CUIT NO CARGADO")</f>
        <v>Peajes</v>
      </c>
      <c r="R120" s="49">
        <f>IFERROR(IF(compras_mes12[[#This Row],[CUIT]]="","-",VLOOKUP(compras_mes12[[#This Row],[CUIT]],Lista_CUIT[#All],4,0)),"CUIT NO CARGADO")</f>
        <v>0</v>
      </c>
    </row>
    <row r="121" spans="2:18" x14ac:dyDescent="0.25">
      <c r="B121" s="40" t="s">
        <v>3002</v>
      </c>
      <c r="C121" s="41">
        <v>1</v>
      </c>
      <c r="D121" s="42">
        <v>83</v>
      </c>
      <c r="E121" s="43">
        <v>2</v>
      </c>
      <c r="F121" s="44">
        <v>30638687115</v>
      </c>
      <c r="G121" s="45" t="str">
        <f>IFERROR(IF(compras_mes12[[#This Row],[CUIT]]="","-",VLOOKUP(compras_mes12[[#This Row],[CUIT]],Lista_CUIT[#All],2,0)),"CUIT NO CARGADO")</f>
        <v>T R O P E A SOCIEDAD ANONIMA</v>
      </c>
      <c r="H121" s="46">
        <v>5371.9</v>
      </c>
      <c r="I121" s="85">
        <f>IF(compras_mes12[[#This Row],[NETO GRAVADO]]="","",compras_mes12[[#This Row],[NETO GRAVADO]]*0.21)</f>
        <v>1128.0989999999999</v>
      </c>
      <c r="J121" s="85"/>
      <c r="K121" s="85"/>
      <c r="L121" s="85"/>
      <c r="M121" s="85"/>
      <c r="N121" s="85"/>
      <c r="O121" s="85"/>
      <c r="P121" s="48">
        <f>SUM(compras_mes12[[#This Row],[NETO GRAVADO]:[Otros / No Grav.]])</f>
        <v>6499.9989999999998</v>
      </c>
      <c r="Q121" s="49" t="str">
        <f>IFERROR(IF(compras_mes12[[#This Row],[CUIT]]="","-",VLOOKUP(compras_mes12[[#This Row],[CUIT]],Lista_CUIT[#All],3,0)),"CUIT NO CARGADO")</f>
        <v>Gastos Varios</v>
      </c>
      <c r="R121" s="49">
        <f>IFERROR(IF(compras_mes12[[#This Row],[CUIT]]="","-",VLOOKUP(compras_mes12[[#This Row],[CUIT]],Lista_CUIT[#All],4,0)),"CUIT NO CARGADO")</f>
        <v>0</v>
      </c>
    </row>
    <row r="122" spans="2:18" x14ac:dyDescent="0.25">
      <c r="B122" s="40" t="s">
        <v>3002</v>
      </c>
      <c r="C122" s="41">
        <v>1</v>
      </c>
      <c r="D122" s="42">
        <v>83</v>
      </c>
      <c r="E122" s="43">
        <v>3</v>
      </c>
      <c r="F122" s="44">
        <v>30638687115</v>
      </c>
      <c r="G122" s="45" t="str">
        <f>IFERROR(IF(compras_mes12[[#This Row],[CUIT]]="","-",VLOOKUP(compras_mes12[[#This Row],[CUIT]],Lista_CUIT[#All],2,0)),"CUIT NO CARGADO")</f>
        <v>T R O P E A SOCIEDAD ANONIMA</v>
      </c>
      <c r="H122" s="46">
        <v>33057.85</v>
      </c>
      <c r="I122" s="85">
        <f>IF(compras_mes12[[#This Row],[NETO GRAVADO]]="","",compras_mes12[[#This Row],[NETO GRAVADO]]*0.21)</f>
        <v>6942.1484999999993</v>
      </c>
      <c r="J122" s="85"/>
      <c r="K122" s="85"/>
      <c r="L122" s="85"/>
      <c r="M122" s="85"/>
      <c r="N122" s="85"/>
      <c r="O122" s="85"/>
      <c r="P122" s="48">
        <f>SUM(compras_mes12[[#This Row],[NETO GRAVADO]:[Otros / No Grav.]])</f>
        <v>39999.998500000002</v>
      </c>
      <c r="Q122" s="49" t="str">
        <f>IFERROR(IF(compras_mes12[[#This Row],[CUIT]]="","-",VLOOKUP(compras_mes12[[#This Row],[CUIT]],Lista_CUIT[#All],3,0)),"CUIT NO CARGADO")</f>
        <v>Gastos Varios</v>
      </c>
      <c r="R122" s="49">
        <f>IFERROR(IF(compras_mes12[[#This Row],[CUIT]]="","-",VLOOKUP(compras_mes12[[#This Row],[CUIT]],Lista_CUIT[#All],4,0)),"CUIT NO CARGADO")</f>
        <v>0</v>
      </c>
    </row>
    <row r="123" spans="2:18" x14ac:dyDescent="0.25">
      <c r="B123" s="40" t="s">
        <v>3002</v>
      </c>
      <c r="C123" s="41">
        <v>1</v>
      </c>
      <c r="D123" s="42">
        <v>1</v>
      </c>
      <c r="E123" s="43">
        <v>375</v>
      </c>
      <c r="F123" s="44">
        <v>20077604627</v>
      </c>
      <c r="G123" s="45" t="str">
        <f>IFERROR(IF(compras_mes12[[#This Row],[CUIT]]="","-",VLOOKUP(compras_mes12[[#This Row],[CUIT]],Lista_CUIT[#All],2,0)),"CUIT NO CARGADO")</f>
        <v>OCAÑO ENRIQUE</v>
      </c>
      <c r="H123" s="46">
        <v>692320</v>
      </c>
      <c r="I123" s="85">
        <f>IF(compras_mes12[[#This Row],[NETO GRAVADO]]="","",compras_mes12[[#This Row],[NETO GRAVADO]]*0.21)</f>
        <v>145387.19999999998</v>
      </c>
      <c r="J123" s="85"/>
      <c r="K123" s="85"/>
      <c r="L123" s="85"/>
      <c r="M123" s="85"/>
      <c r="N123" s="85"/>
      <c r="O123" s="85"/>
      <c r="P123" s="48">
        <f>SUM(compras_mes12[[#This Row],[NETO GRAVADO]:[Otros / No Grav.]])</f>
        <v>837707.2</v>
      </c>
      <c r="Q123" s="49" t="str">
        <f>IFERROR(IF(compras_mes12[[#This Row],[CUIT]]="","-",VLOOKUP(compras_mes12[[#This Row],[CUIT]],Lista_CUIT[#All],3,0)),"CUIT NO CARGADO")</f>
        <v>Material de Empaque</v>
      </c>
      <c r="R123" s="49">
        <f>IFERROR(IF(compras_mes12[[#This Row],[CUIT]]="","-",VLOOKUP(compras_mes12[[#This Row],[CUIT]],Lista_CUIT[#All],4,0)),"CUIT NO CARGADO")</f>
        <v>0</v>
      </c>
    </row>
    <row r="124" spans="2:18" x14ac:dyDescent="0.25">
      <c r="B124" s="40" t="s">
        <v>3002</v>
      </c>
      <c r="C124" s="41">
        <v>3</v>
      </c>
      <c r="D124" s="42">
        <v>12</v>
      </c>
      <c r="E124" s="43">
        <v>3400</v>
      </c>
      <c r="F124" s="44">
        <v>30532905555</v>
      </c>
      <c r="G124" s="45" t="str">
        <f>IFERROR(IF(compras_mes12[[#This Row],[CUIT]]="","-",VLOOKUP(compras_mes12[[#This Row],[CUIT]],Lista_CUIT[#All],2,0)),"CUIT NO CARGADO")</f>
        <v>UNTECO S.A.I.C. E I.</v>
      </c>
      <c r="H124" s="46">
        <v>-42604.08</v>
      </c>
      <c r="I124" s="85">
        <f>IF(compras_mes12[[#This Row],[NETO GRAVADO]]="","",compras_mes12[[#This Row],[NETO GRAVADO]]*0.21)</f>
        <v>-8946.8567999999996</v>
      </c>
      <c r="J124" s="85"/>
      <c r="K124" s="85"/>
      <c r="L124" s="85"/>
      <c r="M124" s="85"/>
      <c r="N124" s="85"/>
      <c r="O124" s="85"/>
      <c r="P124" s="48">
        <f>SUM(compras_mes12[[#This Row],[NETO GRAVADO]:[Otros / No Grav.]])</f>
        <v>-51550.936800000003</v>
      </c>
      <c r="Q124" s="49" t="str">
        <f>IFERROR(IF(compras_mes12[[#This Row],[CUIT]]="","-",VLOOKUP(compras_mes12[[#This Row],[CUIT]],Lista_CUIT[#All],3,0)),"CUIT NO CARGADO")</f>
        <v>Productos Terminados</v>
      </c>
      <c r="R124" s="49">
        <f>IFERROR(IF(compras_mes12[[#This Row],[CUIT]]="","-",VLOOKUP(compras_mes12[[#This Row],[CUIT]],Lista_CUIT[#All],4,0)),"CUIT NO CARGADO")</f>
        <v>0</v>
      </c>
    </row>
    <row r="125" spans="2:18" x14ac:dyDescent="0.25">
      <c r="B125" s="40" t="s">
        <v>3002</v>
      </c>
      <c r="C125" s="41">
        <v>1</v>
      </c>
      <c r="D125" s="42">
        <v>2</v>
      </c>
      <c r="E125" s="43">
        <v>4219</v>
      </c>
      <c r="F125" s="44">
        <v>30629863571</v>
      </c>
      <c r="G125" s="45" t="str">
        <f>IFERROR(IF(compras_mes12[[#This Row],[CUIT]]="","-",VLOOKUP(compras_mes12[[#This Row],[CUIT]],Lista_CUIT[#All],2,0)),"CUIT NO CARGADO")</f>
        <v>TECNIMAR S R L</v>
      </c>
      <c r="H125" s="46">
        <v>4277369</v>
      </c>
      <c r="I125" s="85">
        <f>IF(compras_mes12[[#This Row],[NETO GRAVADO]]="","",compras_mes12[[#This Row],[NETO GRAVADO]]*0.21)</f>
        <v>898247.49</v>
      </c>
      <c r="J125" s="85"/>
      <c r="K125" s="85"/>
      <c r="L125" s="85"/>
      <c r="M125" s="85"/>
      <c r="N125" s="85"/>
      <c r="O125" s="85"/>
      <c r="P125" s="48">
        <f>SUM(compras_mes12[[#This Row],[NETO GRAVADO]:[Otros / No Grav.]])</f>
        <v>5175616.49</v>
      </c>
      <c r="Q125" s="49" t="str">
        <f>IFERROR(IF(compras_mes12[[#This Row],[CUIT]]="","-",VLOOKUP(compras_mes12[[#This Row],[CUIT]],Lista_CUIT[#All],3,0)),"CUIT NO CARGADO")</f>
        <v>Productos Venta</v>
      </c>
      <c r="R125" s="49">
        <f>IFERROR(IF(compras_mes12[[#This Row],[CUIT]]="","-",VLOOKUP(compras_mes12[[#This Row],[CUIT]],Lista_CUIT[#All],4,0)),"CUIT NO CARGADO")</f>
        <v>0</v>
      </c>
    </row>
    <row r="126" spans="2:18" x14ac:dyDescent="0.25">
      <c r="B126" s="40" t="s">
        <v>3002</v>
      </c>
      <c r="C126" s="41">
        <v>1</v>
      </c>
      <c r="D126" s="42">
        <v>7</v>
      </c>
      <c r="E126" s="43">
        <v>16785</v>
      </c>
      <c r="F126" s="44">
        <v>30708017759</v>
      </c>
      <c r="G126" s="45" t="str">
        <f>IFERROR(IF(compras_mes12[[#This Row],[CUIT]]="","-",VLOOKUP(compras_mes12[[#This Row],[CUIT]],Lista_CUIT[#All],2,0)),"CUIT NO CARGADO")</f>
        <v>NEW  HIGH PACK  SA</v>
      </c>
      <c r="H126" s="46">
        <v>2853240</v>
      </c>
      <c r="I126" s="85">
        <f>IF(compras_mes12[[#This Row],[NETO GRAVADO]]="","",compras_mes12[[#This Row],[NETO GRAVADO]]*0.21)</f>
        <v>599180.4</v>
      </c>
      <c r="J126" s="85"/>
      <c r="K126" s="85"/>
      <c r="L126" s="85"/>
      <c r="M126" s="85">
        <v>85597.2</v>
      </c>
      <c r="N126" s="85"/>
      <c r="O126" s="552"/>
      <c r="P126" s="48">
        <f>SUM(compras_mes12[[#This Row],[NETO GRAVADO]:[Otros / No Grav.]])</f>
        <v>3538017.6</v>
      </c>
      <c r="Q126" s="49" t="str">
        <f>IFERROR(IF(compras_mes12[[#This Row],[CUIT]]="","-",VLOOKUP(compras_mes12[[#This Row],[CUIT]],Lista_CUIT[#All],3,0)),"CUIT NO CARGADO")</f>
        <v>Material de Empaque</v>
      </c>
      <c r="R126" s="49">
        <f>IFERROR(IF(compras_mes12[[#This Row],[CUIT]]="","-",VLOOKUP(compras_mes12[[#This Row],[CUIT]],Lista_CUIT[#All],4,0)),"CUIT NO CARGADO")</f>
        <v>0</v>
      </c>
    </row>
    <row r="127" spans="2:18" x14ac:dyDescent="0.25">
      <c r="B127" s="40" t="s">
        <v>3002</v>
      </c>
      <c r="C127" s="41">
        <v>1</v>
      </c>
      <c r="D127" s="42">
        <v>5015</v>
      </c>
      <c r="E127" s="43">
        <v>1089659</v>
      </c>
      <c r="F127" s="44">
        <v>30574876474</v>
      </c>
      <c r="G127" s="45" t="str">
        <f>IFERROR(IF(compras_mes12[[#This Row],[CUIT]]="","-",VLOOKUP(compras_mes12[[#This Row],[CUIT]],Lista_CUIT[#All],2,0)),"CUIT NO CARGADO")</f>
        <v>AUTOPISTAS URBANAS S A</v>
      </c>
      <c r="H127" s="46">
        <v>163306.1</v>
      </c>
      <c r="I127" s="85">
        <f>IF(compras_mes12[[#This Row],[NETO GRAVADO]]="","",compras_mes12[[#This Row],[NETO GRAVADO]]*0.21)</f>
        <v>34294.281000000003</v>
      </c>
      <c r="J127" s="85"/>
      <c r="K127" s="85"/>
      <c r="L127" s="85"/>
      <c r="M127" s="85"/>
      <c r="N127" s="85"/>
      <c r="O127" s="85">
        <v>21229.77</v>
      </c>
      <c r="P127" s="48">
        <f>SUM(compras_mes12[[#This Row],[NETO GRAVADO]:[Otros / No Grav.]])</f>
        <v>218830.15099999998</v>
      </c>
      <c r="Q127" s="49" t="str">
        <f>IFERROR(IF(compras_mes12[[#This Row],[CUIT]]="","-",VLOOKUP(compras_mes12[[#This Row],[CUIT]],Lista_CUIT[#All],3,0)),"CUIT NO CARGADO")</f>
        <v>Peajes</v>
      </c>
      <c r="R127" s="49">
        <f>IFERROR(IF(compras_mes12[[#This Row],[CUIT]]="","-",VLOOKUP(compras_mes12[[#This Row],[CUIT]],Lista_CUIT[#All],4,0)),"CUIT NO CARGADO")</f>
        <v>0</v>
      </c>
    </row>
    <row r="128" spans="2:18" x14ac:dyDescent="0.25">
      <c r="B128" s="40" t="s">
        <v>3002</v>
      </c>
      <c r="C128" s="41">
        <v>1</v>
      </c>
      <c r="D128" s="42">
        <v>629</v>
      </c>
      <c r="E128" s="43">
        <v>6716363</v>
      </c>
      <c r="F128" s="44">
        <v>30663498513</v>
      </c>
      <c r="G128" s="45" t="str">
        <f>IFERROR(IF(compras_mes12[[#This Row],[CUIT]]="","-",VLOOKUP(compras_mes12[[#This Row],[CUIT]],Lista_CUIT[#All],2,0)),"CUIT NO CARGADO")</f>
        <v>GRUPO CONCES. DEL OESTE SA</v>
      </c>
      <c r="H128" s="46">
        <v>30968.35</v>
      </c>
      <c r="I128" s="85">
        <f>IF(compras_mes12[[#This Row],[NETO GRAVADO]]="","",compras_mes12[[#This Row],[NETO GRAVADO]]*0.21)</f>
        <v>6503.3534999999993</v>
      </c>
      <c r="J128" s="85"/>
      <c r="K128" s="85"/>
      <c r="L128" s="85"/>
      <c r="M128" s="85"/>
      <c r="N128" s="85"/>
      <c r="O128" s="85"/>
      <c r="P128" s="48">
        <f>SUM(compras_mes12[[#This Row],[NETO GRAVADO]:[Otros / No Grav.]])</f>
        <v>37471.703499999996</v>
      </c>
      <c r="Q128" s="49" t="str">
        <f>IFERROR(IF(compras_mes12[[#This Row],[CUIT]]="","-",VLOOKUP(compras_mes12[[#This Row],[CUIT]],Lista_CUIT[#All],3,0)),"CUIT NO CARGADO")</f>
        <v>Peajes</v>
      </c>
      <c r="R128" s="49">
        <f>IFERROR(IF(compras_mes12[[#This Row],[CUIT]]="","-",VLOOKUP(compras_mes12[[#This Row],[CUIT]],Lista_CUIT[#All],4,0)),"CUIT NO CARGADO")</f>
        <v>0</v>
      </c>
    </row>
    <row r="129" spans="2:18" x14ac:dyDescent="0.25">
      <c r="B129" s="40" t="s">
        <v>3002</v>
      </c>
      <c r="C129" s="41">
        <v>1</v>
      </c>
      <c r="D129" s="42">
        <v>711</v>
      </c>
      <c r="E129" s="43">
        <v>7990599</v>
      </c>
      <c r="F129" s="44">
        <v>30677237119</v>
      </c>
      <c r="G129" s="45" t="str">
        <f>IFERROR(IF(compras_mes12[[#This Row],[CUIT]]="","-",VLOOKUP(compras_mes12[[#This Row],[CUIT]],Lista_CUIT[#All],2,0)),"CUIT NO CARGADO")</f>
        <v>AUTOPISTAS DEL SOL S A</v>
      </c>
      <c r="H129" s="46">
        <v>15657.35</v>
      </c>
      <c r="I129" s="85">
        <f>IF(compras_mes12[[#This Row],[NETO GRAVADO]]="","",compras_mes12[[#This Row],[NETO GRAVADO]]*0.21)</f>
        <v>3288.0434999999998</v>
      </c>
      <c r="J129" s="85"/>
      <c r="K129" s="85"/>
      <c r="L129" s="85"/>
      <c r="M129" s="85"/>
      <c r="N129" s="85"/>
      <c r="O129" s="85">
        <v>469.72</v>
      </c>
      <c r="P129" s="48">
        <f>SUM(compras_mes12[[#This Row],[NETO GRAVADO]:[Otros / No Grav.]])</f>
        <v>19415.113499999999</v>
      </c>
      <c r="Q129" s="49" t="str">
        <f>IFERROR(IF(compras_mes12[[#This Row],[CUIT]]="","-",VLOOKUP(compras_mes12[[#This Row],[CUIT]],Lista_CUIT[#All],3,0)),"CUIT NO CARGADO")</f>
        <v>Peajes</v>
      </c>
      <c r="R129" s="49">
        <f>IFERROR(IF(compras_mes12[[#This Row],[CUIT]]="","-",VLOOKUP(compras_mes12[[#This Row],[CUIT]],Lista_CUIT[#All],4,0)),"CUIT NO CARGADO")</f>
        <v>0</v>
      </c>
    </row>
    <row r="130" spans="2:18" x14ac:dyDescent="0.25">
      <c r="B130" s="40" t="s">
        <v>3003</v>
      </c>
      <c r="C130" s="41">
        <v>1</v>
      </c>
      <c r="D130" s="42">
        <v>3</v>
      </c>
      <c r="E130" s="43">
        <v>131</v>
      </c>
      <c r="F130" s="44">
        <v>27317740196</v>
      </c>
      <c r="G130" s="45" t="str">
        <f>IFERROR(IF(compras_mes12[[#This Row],[CUIT]]="","-",VLOOKUP(compras_mes12[[#This Row],[CUIT]],Lista_CUIT[#All],2,0)),"CUIT NO CARGADO")</f>
        <v>HOKAMA ROMINA PAOLA</v>
      </c>
      <c r="H130" s="46">
        <v>46885.13</v>
      </c>
      <c r="I130" s="85">
        <f>IF(compras_mes12[[#This Row],[NETO GRAVADO]]="","",compras_mes12[[#This Row],[NETO GRAVADO]]*0.21)</f>
        <v>9845.8772999999983</v>
      </c>
      <c r="J130" s="85"/>
      <c r="K130" s="85"/>
      <c r="L130" s="85"/>
      <c r="M130" s="85"/>
      <c r="N130" s="85"/>
      <c r="O130" s="85"/>
      <c r="P130" s="48">
        <f>SUM(compras_mes12[[#This Row],[NETO GRAVADO]:[Otros / No Grav.]])</f>
        <v>56731.007299999997</v>
      </c>
      <c r="Q130" s="49" t="str">
        <f>IFERROR(IF(compras_mes12[[#This Row],[CUIT]]="","-",VLOOKUP(compras_mes12[[#This Row],[CUIT]],Lista_CUIT[#All],3,0)),"CUIT NO CARGADO")</f>
        <v>Gastos Varios</v>
      </c>
      <c r="R130" s="49">
        <f>IFERROR(IF(compras_mes12[[#This Row],[CUIT]]="","-",VLOOKUP(compras_mes12[[#This Row],[CUIT]],Lista_CUIT[#All],4,0)),"CUIT NO CARGADO")</f>
        <v>0</v>
      </c>
    </row>
    <row r="131" spans="2:18" x14ac:dyDescent="0.25">
      <c r="B131" s="40" t="s">
        <v>3003</v>
      </c>
      <c r="C131" s="41">
        <v>1</v>
      </c>
      <c r="D131" s="42">
        <v>18</v>
      </c>
      <c r="E131" s="43">
        <v>3445</v>
      </c>
      <c r="F131" s="44">
        <v>30709424420</v>
      </c>
      <c r="G131" s="45" t="str">
        <f>IFERROR(IF(compras_mes12[[#This Row],[CUIT]]="","-",VLOOKUP(compras_mes12[[#This Row],[CUIT]],Lista_CUIT[#All],2,0)),"CUIT NO CARGADO")</f>
        <v>DISTRIBUIDORA DE BEBIDAS SRL</v>
      </c>
      <c r="H131" s="46">
        <v>28522.45</v>
      </c>
      <c r="I131" s="85">
        <f>IF(compras_mes12[[#This Row],[NETO GRAVADO]]="","",compras_mes12[[#This Row],[NETO GRAVADO]]*0.21)</f>
        <v>5989.7145</v>
      </c>
      <c r="J131" s="85"/>
      <c r="K131" s="85"/>
      <c r="L131" s="85"/>
      <c r="M131" s="85"/>
      <c r="N131" s="85">
        <v>855.67</v>
      </c>
      <c r="O131" s="85">
        <v>1451.84</v>
      </c>
      <c r="P131" s="48">
        <f>SUM(compras_mes12[[#This Row],[NETO GRAVADO]:[Otros / No Grav.]])</f>
        <v>36819.674499999994</v>
      </c>
      <c r="Q131" s="49" t="str">
        <f>IFERROR(IF(compras_mes12[[#This Row],[CUIT]]="","-",VLOOKUP(compras_mes12[[#This Row],[CUIT]],Lista_CUIT[#All],3,0)),"CUIT NO CARGADO")</f>
        <v>Feria</v>
      </c>
      <c r="R131" s="49">
        <f>IFERROR(IF(compras_mes12[[#This Row],[CUIT]]="","-",VLOOKUP(compras_mes12[[#This Row],[CUIT]],Lista_CUIT[#All],4,0)),"CUIT NO CARGADO")</f>
        <v>0</v>
      </c>
    </row>
    <row r="132" spans="2:18" x14ac:dyDescent="0.25">
      <c r="B132" s="40" t="s">
        <v>3003</v>
      </c>
      <c r="C132" s="41">
        <v>1</v>
      </c>
      <c r="D132" s="42">
        <v>18</v>
      </c>
      <c r="E132" s="43">
        <v>3447</v>
      </c>
      <c r="F132" s="44">
        <v>30709424420</v>
      </c>
      <c r="G132" s="45" t="str">
        <f>IFERROR(IF(compras_mes12[[#This Row],[CUIT]]="","-",VLOOKUP(compras_mes12[[#This Row],[CUIT]],Lista_CUIT[#All],2,0)),"CUIT NO CARGADO")</f>
        <v>DISTRIBUIDORA DE BEBIDAS SRL</v>
      </c>
      <c r="H132" s="46">
        <v>72205.100000000006</v>
      </c>
      <c r="I132" s="85">
        <f>IF(compras_mes12[[#This Row],[NETO GRAVADO]]="","",compras_mes12[[#This Row],[NETO GRAVADO]]*0.21)</f>
        <v>15163.071</v>
      </c>
      <c r="J132" s="85"/>
      <c r="K132" s="85"/>
      <c r="L132" s="85"/>
      <c r="M132" s="85">
        <v>2166.15</v>
      </c>
      <c r="N132" s="85"/>
      <c r="O132" s="85">
        <v>6984</v>
      </c>
      <c r="P132" s="48">
        <f>SUM(compras_mes12[[#This Row],[NETO GRAVADO]:[Otros / No Grav.]])</f>
        <v>96518.320999999996</v>
      </c>
      <c r="Q132" s="49" t="str">
        <f>IFERROR(IF(compras_mes12[[#This Row],[CUIT]]="","-",VLOOKUP(compras_mes12[[#This Row],[CUIT]],Lista_CUIT[#All],3,0)),"CUIT NO CARGADO")</f>
        <v>Feria</v>
      </c>
      <c r="R132" s="49">
        <f>IFERROR(IF(compras_mes12[[#This Row],[CUIT]]="","-",VLOOKUP(compras_mes12[[#This Row],[CUIT]],Lista_CUIT[#All],4,0)),"CUIT NO CARGADO")</f>
        <v>0</v>
      </c>
    </row>
    <row r="133" spans="2:18" x14ac:dyDescent="0.25">
      <c r="B133" s="40" t="s">
        <v>3003</v>
      </c>
      <c r="C133" s="41">
        <v>1</v>
      </c>
      <c r="D133" s="42">
        <v>2</v>
      </c>
      <c r="E133" s="43">
        <v>4220</v>
      </c>
      <c r="F133" s="44">
        <v>30629863571</v>
      </c>
      <c r="G133" s="45" t="str">
        <f>IFERROR(IF(compras_mes12[[#This Row],[CUIT]]="","-",VLOOKUP(compras_mes12[[#This Row],[CUIT]],Lista_CUIT[#All],2,0)),"CUIT NO CARGADO")</f>
        <v>TECNIMAR S R L</v>
      </c>
      <c r="H133" s="46">
        <v>1169584</v>
      </c>
      <c r="I133" s="85">
        <f>IF(compras_mes12[[#This Row],[NETO GRAVADO]]="","",compras_mes12[[#This Row],[NETO GRAVADO]]*0.21)</f>
        <v>245612.63999999998</v>
      </c>
      <c r="J133" s="85"/>
      <c r="K133" s="85"/>
      <c r="L133" s="85"/>
      <c r="M133" s="85"/>
      <c r="N133" s="85"/>
      <c r="O133" s="85"/>
      <c r="P133" s="48">
        <f>SUM(compras_mes12[[#This Row],[NETO GRAVADO]:[Otros / No Grav.]])</f>
        <v>1415196.64</v>
      </c>
      <c r="Q133" s="49" t="str">
        <f>IFERROR(IF(compras_mes12[[#This Row],[CUIT]]="","-",VLOOKUP(compras_mes12[[#This Row],[CUIT]],Lista_CUIT[#All],3,0)),"CUIT NO CARGADO")</f>
        <v>Productos Venta</v>
      </c>
      <c r="R133" s="49">
        <f>IFERROR(IF(compras_mes12[[#This Row],[CUIT]]="","-",VLOOKUP(compras_mes12[[#This Row],[CUIT]],Lista_CUIT[#All],4,0)),"CUIT NO CARGADO")</f>
        <v>0</v>
      </c>
    </row>
    <row r="134" spans="2:18" x14ac:dyDescent="0.25">
      <c r="B134" s="40" t="s">
        <v>3003</v>
      </c>
      <c r="C134" s="41">
        <v>1</v>
      </c>
      <c r="D134" s="42">
        <v>3</v>
      </c>
      <c r="E134" s="43">
        <v>23271</v>
      </c>
      <c r="F134" s="44">
        <v>30707463143</v>
      </c>
      <c r="G134" s="45" t="str">
        <f>IFERROR(IF(compras_mes12[[#This Row],[CUIT]]="","-",VLOOKUP(compras_mes12[[#This Row],[CUIT]],Lista_CUIT[#All],2,0)),"CUIT NO CARGADO")</f>
        <v>AROMATICA S.A.</v>
      </c>
      <c r="H134" s="46">
        <v>1432640</v>
      </c>
      <c r="I134" s="85">
        <f>IF(compras_mes12[[#This Row],[NETO GRAVADO]]="","",compras_mes12[[#This Row],[NETO GRAVADO]]*0.21)</f>
        <v>300854.39999999997</v>
      </c>
      <c r="J134" s="85"/>
      <c r="K134" s="85"/>
      <c r="L134" s="85"/>
      <c r="M134" s="85"/>
      <c r="N134" s="85"/>
      <c r="O134" s="85"/>
      <c r="P134" s="48">
        <f>SUM(compras_mes12[[#This Row],[NETO GRAVADO]:[Otros / No Grav.]])</f>
        <v>1733494.4</v>
      </c>
      <c r="Q134" s="49" t="str">
        <f>IFERROR(IF(compras_mes12[[#This Row],[CUIT]]="","-",VLOOKUP(compras_mes12[[#This Row],[CUIT]],Lista_CUIT[#All],3,0)),"CUIT NO CARGADO")</f>
        <v>Materia Prima</v>
      </c>
      <c r="R134" s="49">
        <f>IFERROR(IF(compras_mes12[[#This Row],[CUIT]]="","-",VLOOKUP(compras_mes12[[#This Row],[CUIT]],Lista_CUIT[#All],4,0)),"CUIT NO CARGADO")</f>
        <v>0</v>
      </c>
    </row>
    <row r="135" spans="2:18" x14ac:dyDescent="0.25">
      <c r="B135" s="40" t="s">
        <v>3003</v>
      </c>
      <c r="C135" s="41">
        <v>1</v>
      </c>
      <c r="D135" s="42">
        <v>4</v>
      </c>
      <c r="E135" s="43">
        <v>51924</v>
      </c>
      <c r="F135" s="44">
        <v>30709863076</v>
      </c>
      <c r="G135" s="45" t="str">
        <f>IFERROR(IF(compras_mes12[[#This Row],[CUIT]]="","-",VLOOKUP(compras_mes12[[#This Row],[CUIT]],Lista_CUIT[#All],2,0)),"CUIT NO CARGADO")</f>
        <v>INDUSTRIAS PLASTICOS SALTA S.R.L.</v>
      </c>
      <c r="H135" s="46">
        <v>79834.710000000006</v>
      </c>
      <c r="I135" s="85">
        <f>IF(compras_mes12[[#This Row],[NETO GRAVADO]]="","",compras_mes12[[#This Row],[NETO GRAVADO]]*0.21)</f>
        <v>16765.289100000002</v>
      </c>
      <c r="J135" s="85"/>
      <c r="K135" s="85"/>
      <c r="L135" s="85"/>
      <c r="M135" s="85"/>
      <c r="N135" s="85"/>
      <c r="O135" s="85"/>
      <c r="P135" s="48">
        <f>SUM(compras_mes12[[#This Row],[NETO GRAVADO]:[Otros / No Grav.]])</f>
        <v>96599.999100000015</v>
      </c>
      <c r="Q135" s="49" t="str">
        <f>IFERROR(IF(compras_mes12[[#This Row],[CUIT]]="","-",VLOOKUP(compras_mes12[[#This Row],[CUIT]],Lista_CUIT[#All],3,0)),"CUIT NO CARGADO")</f>
        <v>Materia Prima</v>
      </c>
      <c r="R135" s="49">
        <f>IFERROR(IF(compras_mes12[[#This Row],[CUIT]]="","-",VLOOKUP(compras_mes12[[#This Row],[CUIT]],Lista_CUIT[#All],4,0)),"CUIT NO CARGADO")</f>
        <v>0</v>
      </c>
    </row>
    <row r="136" spans="2:18" x14ac:dyDescent="0.25">
      <c r="B136" s="546" t="s">
        <v>3003</v>
      </c>
      <c r="C136" s="547">
        <v>1</v>
      </c>
      <c r="D136" s="487">
        <v>9</v>
      </c>
      <c r="E136" s="548">
        <v>84147</v>
      </c>
      <c r="F136" s="549">
        <v>30696131003</v>
      </c>
      <c r="G136" s="550" t="str">
        <f>IFERROR(IF(compras_mes12[[#This Row],[CUIT]]="","-",VLOOKUP(compras_mes12[[#This Row],[CUIT]],Lista_CUIT[#All],2,0)),"CUIT NO CARGADO")</f>
        <v>Petrolfe S.A.</v>
      </c>
      <c r="H136" s="551">
        <v>15197.29</v>
      </c>
      <c r="I136" s="552">
        <f>IF(compras_mes12[[#This Row],[NETO GRAVADO]]="","",compras_mes12[[#This Row],[NETO GRAVADO]]*0.21)</f>
        <v>3191.4309000000003</v>
      </c>
      <c r="J136" s="552"/>
      <c r="K136" s="552"/>
      <c r="L136" s="552"/>
      <c r="M136" s="552"/>
      <c r="N136" s="552"/>
      <c r="O136" s="552">
        <v>1629.21</v>
      </c>
      <c r="P136" s="553">
        <f>SUM(compras_mes12[[#This Row],[NETO GRAVADO]:[Otros / No Grav.]])</f>
        <v>20017.930899999999</v>
      </c>
      <c r="Q136" s="554" t="str">
        <f>IFERROR(IF(compras_mes12[[#This Row],[CUIT]]="","-",VLOOKUP(compras_mes12[[#This Row],[CUIT]],Lista_CUIT[#All],3,0)),"CUIT NO CARGADO")</f>
        <v>Combustible</v>
      </c>
      <c r="R136" s="554">
        <f>IFERROR(IF(compras_mes12[[#This Row],[CUIT]]="","-",VLOOKUP(compras_mes12[[#This Row],[CUIT]],Lista_CUIT[#All],4,0)),"CUIT NO CARGADO")</f>
        <v>0</v>
      </c>
    </row>
    <row r="137" spans="2:18" x14ac:dyDescent="0.25">
      <c r="B137" s="40" t="s">
        <v>3003</v>
      </c>
      <c r="C137" s="41">
        <v>1</v>
      </c>
      <c r="D137" s="42">
        <v>3</v>
      </c>
      <c r="E137" s="43">
        <v>140383</v>
      </c>
      <c r="F137" s="44">
        <v>23173634749</v>
      </c>
      <c r="G137" s="45" t="str">
        <f>IFERROR(IF(compras_mes12[[#This Row],[CUIT]]="","-",VLOOKUP(compras_mes12[[#This Row],[CUIT]],Lista_CUIT[#All],2,0)),"CUIT NO CARGADO")</f>
        <v>MATURANO MARCELO RAUL</v>
      </c>
      <c r="H137" s="46">
        <v>1144000</v>
      </c>
      <c r="I137" s="85">
        <f>IF(compras_mes12[[#This Row],[NETO GRAVADO]]="","",compras_mes12[[#This Row],[NETO GRAVADO]]*0.21)</f>
        <v>240240</v>
      </c>
      <c r="J137" s="85"/>
      <c r="K137" s="85"/>
      <c r="L137" s="85"/>
      <c r="M137" s="85"/>
      <c r="N137" s="85">
        <v>34320</v>
      </c>
      <c r="O137" s="85">
        <v>34320</v>
      </c>
      <c r="P137" s="48">
        <f>SUM(compras_mes12[[#This Row],[NETO GRAVADO]:[Otros / No Grav.]])</f>
        <v>1452880</v>
      </c>
      <c r="Q137" s="49" t="str">
        <f>IFERROR(IF(compras_mes12[[#This Row],[CUIT]]="","-",VLOOKUP(compras_mes12[[#This Row],[CUIT]],Lista_CUIT[#All],3,0)),"CUIT NO CARGADO")</f>
        <v>Gastos Varios</v>
      </c>
      <c r="R137" s="49">
        <f>IFERROR(IF(compras_mes12[[#This Row],[CUIT]]="","-",VLOOKUP(compras_mes12[[#This Row],[CUIT]],Lista_CUIT[#All],4,0)),"CUIT NO CARGADO")</f>
        <v>0</v>
      </c>
    </row>
    <row r="138" spans="2:18" x14ac:dyDescent="0.25">
      <c r="B138" s="40" t="s">
        <v>3003</v>
      </c>
      <c r="C138" s="41">
        <v>1</v>
      </c>
      <c r="D138" s="42">
        <v>8</v>
      </c>
      <c r="E138" s="43">
        <v>244844</v>
      </c>
      <c r="F138" s="44">
        <v>30714295957</v>
      </c>
      <c r="G138" s="45" t="str">
        <f>IFERROR(IF(compras_mes12[[#This Row],[CUIT]]="","-",VLOOKUP(compras_mes12[[#This Row],[CUIT]],Lista_CUIT[#All],2,0)),"CUIT NO CARGADO")</f>
        <v>IT BROKERS SA</v>
      </c>
      <c r="H138" s="46">
        <v>39826.449999999997</v>
      </c>
      <c r="I138" s="85">
        <f>IF(compras_mes12[[#This Row],[NETO GRAVADO]]="","",compras_mes12[[#This Row],[NETO GRAVADO]]*0.21)</f>
        <v>8363.5544999999984</v>
      </c>
      <c r="J138" s="85"/>
      <c r="K138" s="85"/>
      <c r="L138" s="85"/>
      <c r="M138" s="85"/>
      <c r="N138" s="85">
        <v>1194.79</v>
      </c>
      <c r="O138" s="552"/>
      <c r="P138" s="48">
        <f>SUM(compras_mes12[[#This Row],[NETO GRAVADO]:[Otros / No Grav.]])</f>
        <v>49384.794499999996</v>
      </c>
      <c r="Q138" s="49" t="str">
        <f>IFERROR(IF(compras_mes12[[#This Row],[CUIT]]="","-",VLOOKUP(compras_mes12[[#This Row],[CUIT]],Lista_CUIT[#All],3,0)),"CUIT NO CARGADO")</f>
        <v>Muebles y Utiles</v>
      </c>
      <c r="R138" s="49">
        <f>IFERROR(IF(compras_mes12[[#This Row],[CUIT]]="","-",VLOOKUP(compras_mes12[[#This Row],[CUIT]],Lista_CUIT[#All],4,0)),"CUIT NO CARGADO")</f>
        <v>0</v>
      </c>
    </row>
    <row r="139" spans="2:18" x14ac:dyDescent="0.25">
      <c r="B139" s="40" t="s">
        <v>3003</v>
      </c>
      <c r="C139" s="41">
        <v>2</v>
      </c>
      <c r="D139" s="42">
        <v>71</v>
      </c>
      <c r="E139" s="43">
        <v>346962</v>
      </c>
      <c r="F139" s="44">
        <v>30546741253</v>
      </c>
      <c r="G139" s="45" t="str">
        <f>IFERROR(IF(compras_mes12[[#This Row],[CUIT]]="","-",VLOOKUP(compras_mes12[[#This Row],[CUIT]],Lista_CUIT[#All],2,0)),"CUIT NO CARGADO")</f>
        <v>OSDE </v>
      </c>
      <c r="H139" s="46">
        <v>20884.96</v>
      </c>
      <c r="I139" s="85" t="s">
        <v>2411</v>
      </c>
      <c r="J139" s="85"/>
      <c r="K139" s="85">
        <f>compras_mes12[[#This Row],[NETO GRAVADO]]*0.105</f>
        <v>2192.9207999999999</v>
      </c>
      <c r="L139" s="85"/>
      <c r="M139" s="85"/>
      <c r="N139" s="85">
        <v>626.54999999999995</v>
      </c>
      <c r="O139" s="552"/>
      <c r="P139" s="48">
        <f>SUM(compras_mes12[[#This Row],[NETO GRAVADO]:[Otros / No Grav.]])</f>
        <v>23704.430799999998</v>
      </c>
      <c r="Q139" s="49" t="str">
        <f>IFERROR(IF(compras_mes12[[#This Row],[CUIT]]="","-",VLOOKUP(compras_mes12[[#This Row],[CUIT]],Lista_CUIT[#All],3,0)),"CUIT NO CARGADO")</f>
        <v>Prepaga corporativa</v>
      </c>
      <c r="R139" s="49">
        <f>IFERROR(IF(compras_mes12[[#This Row],[CUIT]]="","-",VLOOKUP(compras_mes12[[#This Row],[CUIT]],Lista_CUIT[#All],4,0)),"CUIT NO CARGADO")</f>
        <v>0</v>
      </c>
    </row>
    <row r="140" spans="2:18" x14ac:dyDescent="0.25">
      <c r="B140" s="40" t="s">
        <v>3004</v>
      </c>
      <c r="C140" s="41">
        <v>3</v>
      </c>
      <c r="D140" s="42">
        <v>3</v>
      </c>
      <c r="E140" s="43">
        <v>169</v>
      </c>
      <c r="F140" s="44">
        <v>30682116028</v>
      </c>
      <c r="G140" s="45" t="str">
        <f>IFERROR(IF(compras_mes12[[#This Row],[CUIT]]="","-",VLOOKUP(compras_mes12[[#This Row],[CUIT]],Lista_CUIT[#All],2,0)),"CUIT NO CARGADO")</f>
        <v>BLUE STAR CARGO SRL</v>
      </c>
      <c r="H140" s="46">
        <v>-151188</v>
      </c>
      <c r="I140" s="85">
        <f>IF(compras_mes12[[#This Row],[NETO GRAVADO]]="","",compras_mes12[[#This Row],[NETO GRAVADO]]*0.21)</f>
        <v>-31749.48</v>
      </c>
      <c r="J140" s="85"/>
      <c r="K140" s="85"/>
      <c r="L140" s="85"/>
      <c r="M140" s="85"/>
      <c r="N140" s="85"/>
      <c r="O140" s="85"/>
      <c r="P140" s="48">
        <f>SUM(compras_mes12[[#This Row],[NETO GRAVADO]:[Otros / No Grav.]])</f>
        <v>-182937.48</v>
      </c>
      <c r="Q140" s="49" t="str">
        <f>IFERROR(IF(compras_mes12[[#This Row],[CUIT]]="","-",VLOOKUP(compras_mes12[[#This Row],[CUIT]],Lista_CUIT[#All],3,0)),"CUIT NO CARGADO")</f>
        <v>Flete</v>
      </c>
      <c r="R140" s="49">
        <f>IFERROR(IF(compras_mes12[[#This Row],[CUIT]]="","-",VLOOKUP(compras_mes12[[#This Row],[CUIT]],Lista_CUIT[#All],4,0)),"CUIT NO CARGADO")</f>
        <v>0</v>
      </c>
    </row>
    <row r="141" spans="2:18" x14ac:dyDescent="0.25">
      <c r="B141" s="40" t="s">
        <v>3004</v>
      </c>
      <c r="C141" s="41">
        <v>1</v>
      </c>
      <c r="D141" s="42">
        <v>2</v>
      </c>
      <c r="E141" s="43">
        <v>961</v>
      </c>
      <c r="F141" s="44">
        <v>20103069832</v>
      </c>
      <c r="G141" s="45" t="str">
        <f>IFERROR(IF(compras_mes12[[#This Row],[CUIT]]="","-",VLOOKUP(compras_mes12[[#This Row],[CUIT]],Lista_CUIT[#All],2,0)),"CUIT NO CARGADO")</f>
        <v>DE LUCA HECTOR RAFAEL FRANCI</v>
      </c>
      <c r="H141" s="46">
        <v>3250180</v>
      </c>
      <c r="I141" s="85">
        <f>IF(compras_mes12[[#This Row],[NETO GRAVADO]]="","",compras_mes12[[#This Row],[NETO GRAVADO]]*0.21)</f>
        <v>682537.79999999993</v>
      </c>
      <c r="J141" s="85"/>
      <c r="K141" s="85"/>
      <c r="L141" s="85"/>
      <c r="M141" s="85"/>
      <c r="N141" s="85"/>
      <c r="O141" s="85"/>
      <c r="P141" s="48">
        <f>SUM(compras_mes12[[#This Row],[NETO GRAVADO]:[Otros / No Grav.]])</f>
        <v>3932717.8</v>
      </c>
      <c r="Q141" s="49" t="str">
        <f>IFERROR(IF(compras_mes12[[#This Row],[CUIT]]="","-",VLOOKUP(compras_mes12[[#This Row],[CUIT]],Lista_CUIT[#All],3,0)),"CUIT NO CARGADO")</f>
        <v>Material de Empaque</v>
      </c>
      <c r="R141" s="49">
        <f>IFERROR(IF(compras_mes12[[#This Row],[CUIT]]="","-",VLOOKUP(compras_mes12[[#This Row],[CUIT]],Lista_CUIT[#All],4,0)),"CUIT NO CARGADO")</f>
        <v>0</v>
      </c>
    </row>
    <row r="142" spans="2:18" x14ac:dyDescent="0.25">
      <c r="B142" s="40" t="s">
        <v>3004</v>
      </c>
      <c r="C142" s="41">
        <v>1</v>
      </c>
      <c r="D142" s="42">
        <v>11281</v>
      </c>
      <c r="E142" s="43">
        <v>1815</v>
      </c>
      <c r="F142" s="44">
        <v>30687310434</v>
      </c>
      <c r="G142" s="45" t="str">
        <f>IFERROR(IF(compras_mes12[[#This Row],[CUIT]]="","-",VLOOKUP(compras_mes12[[#This Row],[CUIT]],Lista_CUIT[#All],2,0)),"CUIT NO CARGADO")</f>
        <v>INC  SOCIEDAD ANONIMA</v>
      </c>
      <c r="H142" s="46">
        <v>46514.17</v>
      </c>
      <c r="I142" s="85">
        <v>3632.67</v>
      </c>
      <c r="J142" s="85"/>
      <c r="K142" s="85">
        <v>3067.66</v>
      </c>
      <c r="L142" s="85">
        <v>957.19</v>
      </c>
      <c r="M142" s="85"/>
      <c r="N142" s="85">
        <v>1407.21</v>
      </c>
      <c r="O142" s="85">
        <v>392.87</v>
      </c>
      <c r="P142" s="48">
        <f>SUM(compras_mes12[[#This Row],[NETO GRAVADO]:[Otros / No Grav.]])</f>
        <v>55971.770000000004</v>
      </c>
      <c r="Q142" s="49" t="str">
        <f>IFERROR(IF(compras_mes12[[#This Row],[CUIT]]="","-",VLOOKUP(compras_mes12[[#This Row],[CUIT]],Lista_CUIT[#All],3,0)),"CUIT NO CARGADO")</f>
        <v>Combustible</v>
      </c>
      <c r="R142" s="49">
        <f>IFERROR(IF(compras_mes12[[#This Row],[CUIT]]="","-",VLOOKUP(compras_mes12[[#This Row],[CUIT]],Lista_CUIT[#All],4,0)),"CUIT NO CARGADO")</f>
        <v>0</v>
      </c>
    </row>
    <row r="143" spans="2:18" x14ac:dyDescent="0.25">
      <c r="B143" s="40" t="s">
        <v>3004</v>
      </c>
      <c r="C143" s="41">
        <v>1</v>
      </c>
      <c r="D143" s="42">
        <v>2</v>
      </c>
      <c r="E143" s="43">
        <v>4221</v>
      </c>
      <c r="F143" s="44">
        <v>30629863571</v>
      </c>
      <c r="G143" s="45" t="str">
        <f>IFERROR(IF(compras_mes12[[#This Row],[CUIT]]="","-",VLOOKUP(compras_mes12[[#This Row],[CUIT]],Lista_CUIT[#All],2,0)),"CUIT NO CARGADO")</f>
        <v>TECNIMAR S R L</v>
      </c>
      <c r="H143" s="46">
        <v>4046735</v>
      </c>
      <c r="I143" s="85">
        <f>IF(compras_mes12[[#This Row],[NETO GRAVADO]]="","",compras_mes12[[#This Row],[NETO GRAVADO]]*0.21)</f>
        <v>849814.35</v>
      </c>
      <c r="J143" s="85"/>
      <c r="K143" s="85"/>
      <c r="L143" s="85"/>
      <c r="M143" s="85"/>
      <c r="N143" s="85"/>
      <c r="O143" s="85"/>
      <c r="P143" s="48">
        <f>SUM(compras_mes12[[#This Row],[NETO GRAVADO]:[Otros / No Grav.]])</f>
        <v>4896549.3499999996</v>
      </c>
      <c r="Q143" s="49" t="str">
        <f>IFERROR(IF(compras_mes12[[#This Row],[CUIT]]="","-",VLOOKUP(compras_mes12[[#This Row],[CUIT]],Lista_CUIT[#All],3,0)),"CUIT NO CARGADO")</f>
        <v>Productos Venta</v>
      </c>
      <c r="R143" s="49">
        <f>IFERROR(IF(compras_mes12[[#This Row],[CUIT]]="","-",VLOOKUP(compras_mes12[[#This Row],[CUIT]],Lista_CUIT[#All],4,0)),"CUIT NO CARGADO")</f>
        <v>0</v>
      </c>
    </row>
    <row r="144" spans="2:18" x14ac:dyDescent="0.25">
      <c r="B144" s="40" t="s">
        <v>3004</v>
      </c>
      <c r="C144" s="41">
        <v>1</v>
      </c>
      <c r="D144" s="42">
        <v>2</v>
      </c>
      <c r="E144" s="43">
        <v>11025</v>
      </c>
      <c r="F144" s="44">
        <v>23180288899</v>
      </c>
      <c r="G144" s="45" t="str">
        <f>IFERROR(IF(compras_mes12[[#This Row],[CUIT]]="","-",VLOOKUP(compras_mes12[[#This Row],[CUIT]],Lista_CUIT[#All],2,0)),"CUIT NO CARGADO")</f>
        <v>ROMERO EMILIO</v>
      </c>
      <c r="H144" s="46">
        <v>1090000</v>
      </c>
      <c r="I144" s="85">
        <f>IF(compras_mes12[[#This Row],[NETO GRAVADO]]="","",compras_mes12[[#This Row],[NETO GRAVADO]]*0.21)</f>
        <v>228900</v>
      </c>
      <c r="J144" s="85"/>
      <c r="K144" s="85"/>
      <c r="L144" s="85"/>
      <c r="M144" s="85"/>
      <c r="N144" s="85"/>
      <c r="O144" s="85"/>
      <c r="P144" s="48">
        <f>SUM(compras_mes12[[#This Row],[NETO GRAVADO]:[Otros / No Grav.]])</f>
        <v>1318900</v>
      </c>
      <c r="Q144" s="49" t="str">
        <f>IFERROR(IF(compras_mes12[[#This Row],[CUIT]]="","-",VLOOKUP(compras_mes12[[#This Row],[CUIT]],Lista_CUIT[#All],3,0)),"CUIT NO CARGADO")</f>
        <v>Gastos Varios</v>
      </c>
      <c r="R144" s="49">
        <f>IFERROR(IF(compras_mes12[[#This Row],[CUIT]]="","-",VLOOKUP(compras_mes12[[#This Row],[CUIT]],Lista_CUIT[#All],4,0)),"CUIT NO CARGADO")</f>
        <v>0</v>
      </c>
    </row>
    <row r="145" spans="2:18" x14ac:dyDescent="0.25">
      <c r="B145" s="40" t="s">
        <v>3004</v>
      </c>
      <c r="C145" s="41">
        <v>1</v>
      </c>
      <c r="D145" s="42">
        <v>4264</v>
      </c>
      <c r="E145" s="43">
        <v>6191628</v>
      </c>
      <c r="F145" s="44">
        <v>30639453738</v>
      </c>
      <c r="G145" s="45" t="str">
        <f>IFERROR(IF(compras_mes12[[#This Row],[CUIT]]="","-",VLOOKUP(compras_mes12[[#This Row],[CUIT]],Lista_CUIT[#All],2,0)),"CUIT NO CARGADO")</f>
        <v>TELECOM ARG SA</v>
      </c>
      <c r="H145" s="46">
        <v>23910</v>
      </c>
      <c r="I145" s="85">
        <f>IF(compras_mes12[[#This Row],[NETO GRAVADO]]="","",compras_mes12[[#This Row],[NETO GRAVADO]]*0.21)</f>
        <v>5021.0999999999995</v>
      </c>
      <c r="J145" s="85"/>
      <c r="K145" s="85"/>
      <c r="L145" s="85"/>
      <c r="M145" s="85"/>
      <c r="N145" s="85"/>
      <c r="O145" s="85">
        <v>717.3</v>
      </c>
      <c r="P145" s="48">
        <f>SUM(compras_mes12[[#This Row],[NETO GRAVADO]:[Otros / No Grav.]])</f>
        <v>29648.399999999998</v>
      </c>
      <c r="Q145" s="49" t="str">
        <f>IFERROR(IF(compras_mes12[[#This Row],[CUIT]]="","-",VLOOKUP(compras_mes12[[#This Row],[CUIT]],Lista_CUIT[#All],3,0)),"CUIT NO CARGADO")</f>
        <v>Servicios Gas, Luz, etc.</v>
      </c>
      <c r="R145" s="49">
        <f>IFERROR(IF(compras_mes12[[#This Row],[CUIT]]="","-",VLOOKUP(compras_mes12[[#This Row],[CUIT]],Lista_CUIT[#All],4,0)),"CUIT NO CARGADO")</f>
        <v>0</v>
      </c>
    </row>
    <row r="146" spans="2:18" x14ac:dyDescent="0.25">
      <c r="B146" s="40" t="s">
        <v>3004</v>
      </c>
      <c r="C146" s="41">
        <v>1</v>
      </c>
      <c r="D146" s="42">
        <v>4264</v>
      </c>
      <c r="E146" s="43">
        <v>6223643</v>
      </c>
      <c r="F146" s="44">
        <v>30639453738</v>
      </c>
      <c r="G146" s="45" t="str">
        <f>IFERROR(IF(compras_mes12[[#This Row],[CUIT]]="","-",VLOOKUP(compras_mes12[[#This Row],[CUIT]],Lista_CUIT[#All],2,0)),"CUIT NO CARGADO")</f>
        <v>TELECOM ARG SA</v>
      </c>
      <c r="H146" s="46">
        <v>74690</v>
      </c>
      <c r="I146" s="85">
        <f>IF(compras_mes12[[#This Row],[NETO GRAVADO]]="","",compras_mes12[[#This Row],[NETO GRAVADO]]*0.21)</f>
        <v>15684.9</v>
      </c>
      <c r="J146" s="85"/>
      <c r="K146" s="85"/>
      <c r="L146" s="85"/>
      <c r="M146" s="85"/>
      <c r="N146" s="85"/>
      <c r="O146" s="85">
        <v>4991.1000000000004</v>
      </c>
      <c r="P146" s="48">
        <f>SUM(compras_mes12[[#This Row],[NETO GRAVADO]:[Otros / No Grav.]])</f>
        <v>95366</v>
      </c>
      <c r="Q146" s="49" t="str">
        <f>IFERROR(IF(compras_mes12[[#This Row],[CUIT]]="","-",VLOOKUP(compras_mes12[[#This Row],[CUIT]],Lista_CUIT[#All],3,0)),"CUIT NO CARGADO")</f>
        <v>Servicios Gas, Luz, etc.</v>
      </c>
      <c r="R146" s="49">
        <f>IFERROR(IF(compras_mes12[[#This Row],[CUIT]]="","-",VLOOKUP(compras_mes12[[#This Row],[CUIT]],Lista_CUIT[#All],4,0)),"CUIT NO CARGADO")</f>
        <v>0</v>
      </c>
    </row>
    <row r="147" spans="2:18" x14ac:dyDescent="0.25">
      <c r="B147" s="40" t="s">
        <v>3005</v>
      </c>
      <c r="C147" s="41">
        <v>1</v>
      </c>
      <c r="D147" s="42">
        <v>18</v>
      </c>
      <c r="E147" s="43">
        <v>216</v>
      </c>
      <c r="F147" s="44">
        <v>20323260029</v>
      </c>
      <c r="G147" s="45" t="str">
        <f>IFERROR(IF(compras_mes12[[#This Row],[CUIT]]="","-",VLOOKUP(compras_mes12[[#This Row],[CUIT]],Lista_CUIT[#All],2,0)),"CUIT NO CARGADO")</f>
        <v>CARA JONATAN RUBEN</v>
      </c>
      <c r="H147" s="46">
        <v>73493.13</v>
      </c>
      <c r="I147" s="85">
        <v>1180.17</v>
      </c>
      <c r="J147" s="85"/>
      <c r="K147" s="85">
        <v>7126.7</v>
      </c>
      <c r="L147" s="85"/>
      <c r="M147" s="85"/>
      <c r="N147" s="85"/>
      <c r="O147" s="85"/>
      <c r="P147" s="48">
        <f>SUM(compras_mes12[[#This Row],[NETO GRAVADO]:[Otros / No Grav.]])</f>
        <v>81800</v>
      </c>
      <c r="Q147" s="49" t="str">
        <f>IFERROR(IF(compras_mes12[[#This Row],[CUIT]]="","-",VLOOKUP(compras_mes12[[#This Row],[CUIT]],Lista_CUIT[#All],3,0)),"CUIT NO CARGADO")</f>
        <v>Feria</v>
      </c>
      <c r="R147" s="49">
        <f>IFERROR(IF(compras_mes12[[#This Row],[CUIT]]="","-",VLOOKUP(compras_mes12[[#This Row],[CUIT]],Lista_CUIT[#All],4,0)),"CUIT NO CARGADO")</f>
        <v>0</v>
      </c>
    </row>
    <row r="148" spans="2:18" x14ac:dyDescent="0.25">
      <c r="B148" s="40" t="s">
        <v>3005</v>
      </c>
      <c r="C148" s="41">
        <v>1</v>
      </c>
      <c r="D148" s="42">
        <v>1</v>
      </c>
      <c r="E148" s="43">
        <v>376</v>
      </c>
      <c r="F148" s="44">
        <v>20077604627</v>
      </c>
      <c r="G148" s="45" t="str">
        <f>IFERROR(IF(compras_mes12[[#This Row],[CUIT]]="","-",VLOOKUP(compras_mes12[[#This Row],[CUIT]],Lista_CUIT[#All],2,0)),"CUIT NO CARGADO")</f>
        <v>OCAÑO ENRIQUE</v>
      </c>
      <c r="H148" s="46">
        <v>696920</v>
      </c>
      <c r="I148" s="85">
        <f>IF(compras_mes12[[#This Row],[NETO GRAVADO]]="","",compras_mes12[[#This Row],[NETO GRAVADO]]*0.21)</f>
        <v>146353.19999999998</v>
      </c>
      <c r="J148" s="85"/>
      <c r="K148" s="85"/>
      <c r="L148" s="85"/>
      <c r="M148" s="85"/>
      <c r="N148" s="85"/>
      <c r="O148" s="85"/>
      <c r="P148" s="48">
        <f>SUM(compras_mes12[[#This Row],[NETO GRAVADO]:[Otros / No Grav.]])</f>
        <v>843273.2</v>
      </c>
      <c r="Q148" s="49" t="str">
        <f>IFERROR(IF(compras_mes12[[#This Row],[CUIT]]="","-",VLOOKUP(compras_mes12[[#This Row],[CUIT]],Lista_CUIT[#All],3,0)),"CUIT NO CARGADO")</f>
        <v>Material de Empaque</v>
      </c>
      <c r="R148" s="49">
        <f>IFERROR(IF(compras_mes12[[#This Row],[CUIT]]="","-",VLOOKUP(compras_mes12[[#This Row],[CUIT]],Lista_CUIT[#All],4,0)),"CUIT NO CARGADO")</f>
        <v>0</v>
      </c>
    </row>
    <row r="149" spans="2:18" x14ac:dyDescent="0.25">
      <c r="B149" s="40" t="s">
        <v>3005</v>
      </c>
      <c r="C149" s="41">
        <v>1</v>
      </c>
      <c r="D149" s="42">
        <v>1</v>
      </c>
      <c r="E149" s="43">
        <v>377</v>
      </c>
      <c r="F149" s="44">
        <v>20077604627</v>
      </c>
      <c r="G149" s="45" t="str">
        <f>IFERROR(IF(compras_mes12[[#This Row],[CUIT]]="","-",VLOOKUP(compras_mes12[[#This Row],[CUIT]],Lista_CUIT[#All],2,0)),"CUIT NO CARGADO")</f>
        <v>OCAÑO ENRIQUE</v>
      </c>
      <c r="H149" s="46">
        <v>1478840</v>
      </c>
      <c r="I149" s="85">
        <f>IF(compras_mes12[[#This Row],[NETO GRAVADO]]="","",compras_mes12[[#This Row],[NETO GRAVADO]]*0.21)</f>
        <v>310556.39999999997</v>
      </c>
      <c r="J149" s="85"/>
      <c r="K149" s="85"/>
      <c r="L149" s="85"/>
      <c r="M149" s="85"/>
      <c r="N149" s="85"/>
      <c r="O149" s="85"/>
      <c r="P149" s="48">
        <f>SUM(compras_mes12[[#This Row],[NETO GRAVADO]:[Otros / No Grav.]])</f>
        <v>1789396.4</v>
      </c>
      <c r="Q149" s="49" t="str">
        <f>IFERROR(IF(compras_mes12[[#This Row],[CUIT]]="","-",VLOOKUP(compras_mes12[[#This Row],[CUIT]],Lista_CUIT[#All],3,0)),"CUIT NO CARGADO")</f>
        <v>Material de Empaque</v>
      </c>
      <c r="R149" s="49">
        <f>IFERROR(IF(compras_mes12[[#This Row],[CUIT]]="","-",VLOOKUP(compras_mes12[[#This Row],[CUIT]],Lista_CUIT[#All],4,0)),"CUIT NO CARGADO")</f>
        <v>0</v>
      </c>
    </row>
    <row r="150" spans="2:18" x14ac:dyDescent="0.25">
      <c r="B150" s="40" t="s">
        <v>3005</v>
      </c>
      <c r="C150" s="41">
        <v>1</v>
      </c>
      <c r="D150" s="42">
        <v>4</v>
      </c>
      <c r="E150" s="43">
        <v>1257</v>
      </c>
      <c r="F150" s="44">
        <v>27317740196</v>
      </c>
      <c r="G150" s="45" t="str">
        <f>IFERROR(IF(compras_mes12[[#This Row],[CUIT]]="","-",VLOOKUP(compras_mes12[[#This Row],[CUIT]],Lista_CUIT[#All],2,0)),"CUIT NO CARGADO")</f>
        <v>HOKAMA ROMINA PAOLA</v>
      </c>
      <c r="H150" s="46">
        <v>33000</v>
      </c>
      <c r="I150" s="85">
        <f>IF(compras_mes12[[#This Row],[NETO GRAVADO]]="","",compras_mes12[[#This Row],[NETO GRAVADO]]*0.21)</f>
        <v>6930</v>
      </c>
      <c r="J150" s="85"/>
      <c r="K150" s="85"/>
      <c r="L150" s="85"/>
      <c r="M150" s="85"/>
      <c r="N150" s="85"/>
      <c r="O150" s="85"/>
      <c r="P150" s="48">
        <f>SUM(compras_mes12[[#This Row],[NETO GRAVADO]:[Otros / No Grav.]])</f>
        <v>39930</v>
      </c>
      <c r="Q150" s="49" t="str">
        <f>IFERROR(IF(compras_mes12[[#This Row],[CUIT]]="","-",VLOOKUP(compras_mes12[[#This Row],[CUIT]],Lista_CUIT[#All],3,0)),"CUIT NO CARGADO")</f>
        <v>Gastos Varios</v>
      </c>
      <c r="R150" s="49">
        <f>IFERROR(IF(compras_mes12[[#This Row],[CUIT]]="","-",VLOOKUP(compras_mes12[[#This Row],[CUIT]],Lista_CUIT[#All],4,0)),"CUIT NO CARGADO")</f>
        <v>0</v>
      </c>
    </row>
    <row r="151" spans="2:18" x14ac:dyDescent="0.25">
      <c r="B151" s="40" t="s">
        <v>3005</v>
      </c>
      <c r="C151" s="41">
        <v>1</v>
      </c>
      <c r="D151" s="42">
        <v>2</v>
      </c>
      <c r="E151" s="43">
        <v>4222</v>
      </c>
      <c r="F151" s="44">
        <v>30629863571</v>
      </c>
      <c r="G151" s="45" t="str">
        <f>IFERROR(IF(compras_mes12[[#This Row],[CUIT]]="","-",VLOOKUP(compras_mes12[[#This Row],[CUIT]],Lista_CUIT[#All],2,0)),"CUIT NO CARGADO")</f>
        <v>TECNIMAR S R L</v>
      </c>
      <c r="H151" s="46">
        <v>1980215</v>
      </c>
      <c r="I151" s="85">
        <f>IF(compras_mes12[[#This Row],[NETO GRAVADO]]="","",compras_mes12[[#This Row],[NETO GRAVADO]]*0.21)</f>
        <v>415845.14999999997</v>
      </c>
      <c r="J151" s="85"/>
      <c r="K151" s="85"/>
      <c r="L151" s="85"/>
      <c r="M151" s="85"/>
      <c r="N151" s="85"/>
      <c r="O151" s="85"/>
      <c r="P151" s="48">
        <f>SUM(compras_mes12[[#This Row],[NETO GRAVADO]:[Otros / No Grav.]])</f>
        <v>2396060.15</v>
      </c>
      <c r="Q151" s="49" t="str">
        <f>IFERROR(IF(compras_mes12[[#This Row],[CUIT]]="","-",VLOOKUP(compras_mes12[[#This Row],[CUIT]],Lista_CUIT[#All],3,0)),"CUIT NO CARGADO")</f>
        <v>Productos Venta</v>
      </c>
      <c r="R151" s="49">
        <f>IFERROR(IF(compras_mes12[[#This Row],[CUIT]]="","-",VLOOKUP(compras_mes12[[#This Row],[CUIT]],Lista_CUIT[#All],4,0)),"CUIT NO CARGADO")</f>
        <v>0</v>
      </c>
    </row>
    <row r="152" spans="2:18" x14ac:dyDescent="0.25">
      <c r="B152" s="40" t="s">
        <v>3005</v>
      </c>
      <c r="C152" s="41">
        <v>1</v>
      </c>
      <c r="D152" s="42">
        <v>11</v>
      </c>
      <c r="E152" s="43">
        <v>5334</v>
      </c>
      <c r="F152" s="44">
        <v>30697790574</v>
      </c>
      <c r="G152" s="45" t="str">
        <f>IFERROR(IF(compras_mes12[[#This Row],[CUIT]]="","-",VLOOKUP(compras_mes12[[#This Row],[CUIT]],Lista_CUIT[#All],2,0)),"CUIT NO CARGADO")</f>
        <v>PINTURERIAS SANCHO PANZA S A</v>
      </c>
      <c r="H152" s="46">
        <v>14462.81</v>
      </c>
      <c r="I152" s="85">
        <f>IF(compras_mes12[[#This Row],[NETO GRAVADO]]="","",compras_mes12[[#This Row],[NETO GRAVADO]]*0.21)</f>
        <v>3037.1900999999998</v>
      </c>
      <c r="J152" s="85"/>
      <c r="K152" s="85"/>
      <c r="L152" s="85"/>
      <c r="M152" s="85"/>
      <c r="N152" s="85"/>
      <c r="O152" s="85"/>
      <c r="P152" s="48">
        <f>SUM(compras_mes12[[#This Row],[NETO GRAVADO]:[Otros / No Grav.]])</f>
        <v>17500.000099999997</v>
      </c>
      <c r="Q152" s="49" t="str">
        <f>IFERROR(IF(compras_mes12[[#This Row],[CUIT]]="","-",VLOOKUP(compras_mes12[[#This Row],[CUIT]],Lista_CUIT[#All],3,0)),"CUIT NO CARGADO")</f>
        <v>MANTENIMIENTO</v>
      </c>
      <c r="R152" s="49">
        <f>IFERROR(IF(compras_mes12[[#This Row],[CUIT]]="","-",VLOOKUP(compras_mes12[[#This Row],[CUIT]],Lista_CUIT[#All],4,0)),"CUIT NO CARGADO")</f>
        <v>0</v>
      </c>
    </row>
    <row r="153" spans="2:18" x14ac:dyDescent="0.25">
      <c r="B153" s="40" t="s">
        <v>3005</v>
      </c>
      <c r="C153" s="41">
        <v>1</v>
      </c>
      <c r="D153" s="42">
        <v>2199</v>
      </c>
      <c r="E153" s="43">
        <v>40829</v>
      </c>
      <c r="F153" s="44">
        <v>30548083156</v>
      </c>
      <c r="G153" s="45" t="str">
        <f>IFERROR(IF(compras_mes12[[#This Row],[CUIT]]="","-",VLOOKUP(compras_mes12[[#This Row],[CUIT]],Lista_CUIT[#All],2,0)),"CUIT NO CARGADO")</f>
        <v>COTO CENTRO INTEGRAL DE COMERCIALIZACION SOCIEDAD ANONIMA</v>
      </c>
      <c r="H153" s="46">
        <v>81063.47</v>
      </c>
      <c r="I153" s="85">
        <v>11829.7</v>
      </c>
      <c r="J153" s="85"/>
      <c r="K153" s="85">
        <v>2596.81</v>
      </c>
      <c r="L153" s="85"/>
      <c r="M153" s="85"/>
      <c r="N153" s="85"/>
      <c r="O153" s="85">
        <v>3563.58</v>
      </c>
      <c r="P153" s="48">
        <f>SUM(compras_mes12[[#This Row],[NETO GRAVADO]:[Otros / No Grav.]])</f>
        <v>99053.56</v>
      </c>
      <c r="Q153" s="49" t="str">
        <f>IFERROR(IF(compras_mes12[[#This Row],[CUIT]]="","-",VLOOKUP(compras_mes12[[#This Row],[CUIT]],Lista_CUIT[#All],3,0)),"CUIT NO CARGADO")</f>
        <v>Gastos Varios</v>
      </c>
      <c r="R153" s="49">
        <f>IFERROR(IF(compras_mes12[[#This Row],[CUIT]]="","-",VLOOKUP(compras_mes12[[#This Row],[CUIT]],Lista_CUIT[#All],4,0)),"CUIT NO CARGADO")</f>
        <v>0</v>
      </c>
    </row>
    <row r="154" spans="2:18" x14ac:dyDescent="0.25">
      <c r="B154" s="40" t="s">
        <v>3005</v>
      </c>
      <c r="C154" s="41">
        <v>1</v>
      </c>
      <c r="D154" s="42">
        <v>11</v>
      </c>
      <c r="E154" s="43">
        <v>82332</v>
      </c>
      <c r="F154" s="44">
        <v>30711526419</v>
      </c>
      <c r="G154" s="45" t="str">
        <f>IFERROR(IF(compras_mes12[[#This Row],[CUIT]]="","-",VLOOKUP(compras_mes12[[#This Row],[CUIT]],Lista_CUIT[#All],2,0)),"CUIT NO CARGADO")</f>
        <v>ZETABURGOS SRL</v>
      </c>
      <c r="H154" s="46">
        <v>41188.339999999997</v>
      </c>
      <c r="I154" s="85" t="s">
        <v>2411</v>
      </c>
      <c r="J154" s="85"/>
      <c r="K154" s="85">
        <f>compras_mes12[[#This Row],[NETO GRAVADO]]*0.105</f>
        <v>4324.7756999999992</v>
      </c>
      <c r="L154" s="85"/>
      <c r="M154" s="85"/>
      <c r="N154" s="85"/>
      <c r="O154" s="85"/>
      <c r="P154" s="48">
        <f>SUM(compras_mes12[[#This Row],[NETO GRAVADO]:[Otros / No Grav.]])</f>
        <v>45513.115699999995</v>
      </c>
      <c r="Q154" s="49" t="str">
        <f>IFERROR(IF(compras_mes12[[#This Row],[CUIT]]="","-",VLOOKUP(compras_mes12[[#This Row],[CUIT]],Lista_CUIT[#All],3,0)),"CUIT NO CARGADO")</f>
        <v>Insumos</v>
      </c>
      <c r="R154" s="49">
        <f>IFERROR(IF(compras_mes12[[#This Row],[CUIT]]="","-",VLOOKUP(compras_mes12[[#This Row],[CUIT]],Lista_CUIT[#All],4,0)),"CUIT NO CARGADO")</f>
        <v>0</v>
      </c>
    </row>
    <row r="155" spans="2:18" x14ac:dyDescent="0.25">
      <c r="B155" s="40" t="s">
        <v>3005</v>
      </c>
      <c r="C155" s="41">
        <v>1</v>
      </c>
      <c r="D155" s="42">
        <v>14</v>
      </c>
      <c r="E155" s="43">
        <v>205884</v>
      </c>
      <c r="F155" s="44">
        <v>30644997258</v>
      </c>
      <c r="G155" s="45" t="str">
        <f>IFERROR(IF(compras_mes12[[#This Row],[CUIT]]="","-",VLOOKUP(compras_mes12[[#This Row],[CUIT]],Lista_CUIT[#All],2,0)),"CUIT NO CARGADO")</f>
        <v>GEMEZ SA</v>
      </c>
      <c r="H155" s="46">
        <v>1522200</v>
      </c>
      <c r="I155" s="85">
        <f>IF(compras_mes12[[#This Row],[NETO GRAVADO]]="","",compras_mes12[[#This Row],[NETO GRAVADO]]*0.21)</f>
        <v>319662</v>
      </c>
      <c r="J155" s="85"/>
      <c r="K155" s="85"/>
      <c r="L155" s="85"/>
      <c r="M155" s="85">
        <v>45666</v>
      </c>
      <c r="N155" s="85"/>
      <c r="O155" s="552"/>
      <c r="P155" s="48">
        <f>SUM(compras_mes12[[#This Row],[NETO GRAVADO]:[Otros / No Grav.]])</f>
        <v>1887528</v>
      </c>
      <c r="Q155" s="49" t="str">
        <f>IFERROR(IF(compras_mes12[[#This Row],[CUIT]]="","-",VLOOKUP(compras_mes12[[#This Row],[CUIT]],Lista_CUIT[#All],3,0)),"CUIT NO CARGADO")</f>
        <v>Material de Empaque</v>
      </c>
      <c r="R155" s="49">
        <f>IFERROR(IF(compras_mes12[[#This Row],[CUIT]]="","-",VLOOKUP(compras_mes12[[#This Row],[CUIT]],Lista_CUIT[#All],4,0)),"CUIT NO CARGADO")</f>
        <v>0</v>
      </c>
    </row>
    <row r="156" spans="2:18" x14ac:dyDescent="0.25">
      <c r="B156" s="40" t="s">
        <v>3005</v>
      </c>
      <c r="C156" s="41">
        <v>1</v>
      </c>
      <c r="D156" s="42">
        <v>14</v>
      </c>
      <c r="E156" s="43">
        <v>205887</v>
      </c>
      <c r="F156" s="44">
        <v>30644997258</v>
      </c>
      <c r="G156" s="45" t="str">
        <f>IFERROR(IF(compras_mes12[[#This Row],[CUIT]]="","-",VLOOKUP(compras_mes12[[#This Row],[CUIT]],Lista_CUIT[#All],2,0)),"CUIT NO CARGADO")</f>
        <v>GEMEZ SA</v>
      </c>
      <c r="H156" s="46">
        <v>1180000</v>
      </c>
      <c r="I156" s="85">
        <f>IF(compras_mes12[[#This Row],[NETO GRAVADO]]="","",compras_mes12[[#This Row],[NETO GRAVADO]]*0.21)</f>
        <v>247800</v>
      </c>
      <c r="J156" s="85"/>
      <c r="K156" s="85"/>
      <c r="L156" s="85"/>
      <c r="M156" s="85"/>
      <c r="N156" s="85">
        <v>35400</v>
      </c>
      <c r="O156" s="552"/>
      <c r="P156" s="48">
        <f>SUM(compras_mes12[[#This Row],[NETO GRAVADO]:[Otros / No Grav.]])</f>
        <v>1463200</v>
      </c>
      <c r="Q156" s="49" t="str">
        <f>IFERROR(IF(compras_mes12[[#This Row],[CUIT]]="","-",VLOOKUP(compras_mes12[[#This Row],[CUIT]],Lista_CUIT[#All],3,0)),"CUIT NO CARGADO")</f>
        <v>Material de Empaque</v>
      </c>
      <c r="R156" s="49">
        <f>IFERROR(IF(compras_mes12[[#This Row],[CUIT]]="","-",VLOOKUP(compras_mes12[[#This Row],[CUIT]],Lista_CUIT[#All],4,0)),"CUIT NO CARGADO")</f>
        <v>0</v>
      </c>
    </row>
    <row r="157" spans="2:18" x14ac:dyDescent="0.25">
      <c r="B157" s="40" t="s">
        <v>3053</v>
      </c>
      <c r="C157" s="41">
        <v>1</v>
      </c>
      <c r="D157" s="42">
        <v>12</v>
      </c>
      <c r="E157" s="43">
        <v>79423</v>
      </c>
      <c r="F157" s="44">
        <v>30696131003</v>
      </c>
      <c r="G157" s="45" t="str">
        <f>IFERROR(IF(compras_mes12[[#This Row],[CUIT]]="","-",VLOOKUP(compras_mes12[[#This Row],[CUIT]],Lista_CUIT[#All],2,0)),"CUIT NO CARGADO")</f>
        <v>Petrolfe S.A.</v>
      </c>
      <c r="H157" s="46">
        <v>288309.57</v>
      </c>
      <c r="I157" s="85">
        <f>IF(compras_mes12[[#This Row],[NETO GRAVADO]]="","",compras_mes12[[#This Row],[NETO GRAVADO]]*0.21)</f>
        <v>60545.009700000002</v>
      </c>
      <c r="J157" s="85"/>
      <c r="K157" s="85"/>
      <c r="L157" s="85"/>
      <c r="M157" s="85"/>
      <c r="N157" s="85"/>
      <c r="O157" s="85">
        <v>33149.449999999997</v>
      </c>
      <c r="P157" s="48">
        <f>SUM(compras_mes12[[#This Row],[NETO GRAVADO]:[Otros / No Grav.]])</f>
        <v>382004.02970000001</v>
      </c>
      <c r="Q157" s="49" t="str">
        <f>IFERROR(IF(compras_mes12[[#This Row],[CUIT]]="","-",VLOOKUP(compras_mes12[[#This Row],[CUIT]],Lista_CUIT[#All],3,0)),"CUIT NO CARGADO")</f>
        <v>Combustible</v>
      </c>
      <c r="R157" s="49">
        <f>IFERROR(IF(compras_mes12[[#This Row],[CUIT]]="","-",VLOOKUP(compras_mes12[[#This Row],[CUIT]],Lista_CUIT[#All],4,0)),"CUIT NO CARGADO")</f>
        <v>0</v>
      </c>
    </row>
    <row r="158" spans="2:18" x14ac:dyDescent="0.25">
      <c r="B158" s="40" t="s">
        <v>3020</v>
      </c>
      <c r="C158" s="41">
        <v>1</v>
      </c>
      <c r="D158" s="42">
        <v>2084</v>
      </c>
      <c r="E158" s="43">
        <v>33556</v>
      </c>
      <c r="F158" s="44">
        <v>30548083156</v>
      </c>
      <c r="G158" s="45" t="str">
        <f>IFERROR(IF(compras_mes12[[#This Row],[CUIT]]="","-",VLOOKUP(compras_mes12[[#This Row],[CUIT]],Lista_CUIT[#All],2,0)),"CUIT NO CARGADO")</f>
        <v>COTO CENTRO INTEGRAL DE COMERCIALIZACION SOCIEDAD ANONIMA</v>
      </c>
      <c r="H158" s="46">
        <v>74289.52</v>
      </c>
      <c r="I158" s="85">
        <v>15002.23</v>
      </c>
      <c r="J158" s="85"/>
      <c r="K158" s="85">
        <v>299.27999999999997</v>
      </c>
      <c r="L158" s="85"/>
      <c r="M158" s="85"/>
      <c r="N158" s="85"/>
      <c r="O158" s="85">
        <v>4371.87</v>
      </c>
      <c r="P158" s="48">
        <f>SUM(compras_mes12[[#This Row],[NETO GRAVADO]:[Otros / No Grav.]])</f>
        <v>93962.9</v>
      </c>
      <c r="Q158" s="49" t="str">
        <f>IFERROR(IF(compras_mes12[[#This Row],[CUIT]]="","-",VLOOKUP(compras_mes12[[#This Row],[CUIT]],Lista_CUIT[#All],3,0)),"CUIT NO CARGADO")</f>
        <v>Gastos Varios</v>
      </c>
      <c r="R158" s="49">
        <f>IFERROR(IF(compras_mes12[[#This Row],[CUIT]]="","-",VLOOKUP(compras_mes12[[#This Row],[CUIT]],Lista_CUIT[#All],4,0)),"CUIT NO CARGADO")</f>
        <v>0</v>
      </c>
    </row>
    <row r="159" spans="2:18" x14ac:dyDescent="0.25">
      <c r="B159" s="40" t="s">
        <v>3020</v>
      </c>
      <c r="C159" s="41">
        <v>1</v>
      </c>
      <c r="D159" s="42">
        <v>3950</v>
      </c>
      <c r="E159" s="43">
        <v>5752669</v>
      </c>
      <c r="F159" s="44">
        <v>30639453738</v>
      </c>
      <c r="G159" s="45" t="str">
        <f>IFERROR(IF(compras_mes12[[#This Row],[CUIT]]="","-",VLOOKUP(compras_mes12[[#This Row],[CUIT]],Lista_CUIT[#All],2,0)),"CUIT NO CARGADO")</f>
        <v>TELECOM ARG SA</v>
      </c>
      <c r="H159" s="46">
        <v>21219.18</v>
      </c>
      <c r="I159" s="85">
        <f>IF(compras_mes12[[#This Row],[NETO GRAVADO]]="","",compras_mes12[[#This Row],[NETO GRAVADO]]*0.21)</f>
        <v>4456.0277999999998</v>
      </c>
      <c r="J159" s="85"/>
      <c r="K159" s="85"/>
      <c r="L159" s="85"/>
      <c r="M159" s="85"/>
      <c r="N159" s="85">
        <v>1273.1500000000001</v>
      </c>
      <c r="O159" s="85">
        <v>636.58000000000004</v>
      </c>
      <c r="P159" s="48">
        <f>SUM(compras_mes12[[#This Row],[NETO GRAVADO]:[Otros / No Grav.]])</f>
        <v>27584.937800000003</v>
      </c>
      <c r="Q159" s="49" t="str">
        <f>IFERROR(IF(compras_mes12[[#This Row],[CUIT]]="","-",VLOOKUP(compras_mes12[[#This Row],[CUIT]],Lista_CUIT[#All],3,0)),"CUIT NO CARGADO")</f>
        <v>Servicios Gas, Luz, etc.</v>
      </c>
      <c r="R159" s="49">
        <f>IFERROR(IF(compras_mes12[[#This Row],[CUIT]]="","-",VLOOKUP(compras_mes12[[#This Row],[CUIT]],Lista_CUIT[#All],4,0)),"CUIT NO CARGADO")</f>
        <v>0</v>
      </c>
    </row>
    <row r="160" spans="2:18" x14ac:dyDescent="0.25">
      <c r="B160" s="40" t="s">
        <v>3021</v>
      </c>
      <c r="C160" s="41">
        <v>1</v>
      </c>
      <c r="D160" s="42">
        <v>18</v>
      </c>
      <c r="E160" s="43">
        <v>3464</v>
      </c>
      <c r="F160" s="44">
        <v>30709424420</v>
      </c>
      <c r="G160" s="45" t="str">
        <f>IFERROR(IF(compras_mes12[[#This Row],[CUIT]]="","-",VLOOKUP(compras_mes12[[#This Row],[CUIT]],Lista_CUIT[#All],2,0)),"CUIT NO CARGADO")</f>
        <v>DISTRIBUIDORA DE BEBIDAS SRL</v>
      </c>
      <c r="H160" s="46">
        <v>28522.45</v>
      </c>
      <c r="I160" s="85">
        <f>IF(compras_mes12[[#This Row],[NETO GRAVADO]]="","",compras_mes12[[#This Row],[NETO GRAVADO]]*0.21)</f>
        <v>5989.7145</v>
      </c>
      <c r="J160" s="85"/>
      <c r="K160" s="85"/>
      <c r="L160" s="85"/>
      <c r="M160" s="85">
        <v>855.67</v>
      </c>
      <c r="N160" s="85"/>
      <c r="O160" s="85">
        <v>1451.84</v>
      </c>
      <c r="P160" s="48">
        <f>SUM(compras_mes12[[#This Row],[NETO GRAVADO]:[Otros / No Grav.]])</f>
        <v>36819.674499999994</v>
      </c>
      <c r="Q160" s="49" t="str">
        <f>IFERROR(IF(compras_mes12[[#This Row],[CUIT]]="","-",VLOOKUP(compras_mes12[[#This Row],[CUIT]],Lista_CUIT[#All],3,0)),"CUIT NO CARGADO")</f>
        <v>Feria</v>
      </c>
      <c r="R160" s="49">
        <f>IFERROR(IF(compras_mes12[[#This Row],[CUIT]]="","-",VLOOKUP(compras_mes12[[#This Row],[CUIT]],Lista_CUIT[#All],4,0)),"CUIT NO CARGADO")</f>
        <v>0</v>
      </c>
    </row>
    <row r="161" spans="1:18" x14ac:dyDescent="0.25">
      <c r="B161" s="40" t="s">
        <v>3021</v>
      </c>
      <c r="C161" s="41">
        <v>1</v>
      </c>
      <c r="D161" s="42">
        <v>18</v>
      </c>
      <c r="E161" s="43">
        <v>3465</v>
      </c>
      <c r="F161" s="44">
        <v>30709424420</v>
      </c>
      <c r="G161" s="45" t="str">
        <f>IFERROR(IF(compras_mes12[[#This Row],[CUIT]]="","-",VLOOKUP(compras_mes12[[#This Row],[CUIT]],Lista_CUIT[#All],2,0)),"CUIT NO CARGADO")</f>
        <v>DISTRIBUIDORA DE BEBIDAS SRL</v>
      </c>
      <c r="H161" s="46">
        <v>28543.86</v>
      </c>
      <c r="I161" s="85">
        <f>IF(compras_mes12[[#This Row],[NETO GRAVADO]]="","",compras_mes12[[#This Row],[NETO GRAVADO]]*0.21)</f>
        <v>5994.2106000000003</v>
      </c>
      <c r="J161" s="85"/>
      <c r="K161" s="85"/>
      <c r="L161" s="85"/>
      <c r="M161" s="85"/>
      <c r="N161" s="85"/>
      <c r="O161" s="85">
        <v>2282.2399999999998</v>
      </c>
      <c r="P161" s="48">
        <f>SUM(compras_mes12[[#This Row],[NETO GRAVADO]:[Otros / No Grav.]])</f>
        <v>36820.310599999997</v>
      </c>
      <c r="Q161" s="49" t="str">
        <f>IFERROR(IF(compras_mes12[[#This Row],[CUIT]]="","-",VLOOKUP(compras_mes12[[#This Row],[CUIT]],Lista_CUIT[#All],3,0)),"CUIT NO CARGADO")</f>
        <v>Feria</v>
      </c>
      <c r="R161" s="49">
        <f>IFERROR(IF(compras_mes12[[#This Row],[CUIT]]="","-",VLOOKUP(compras_mes12[[#This Row],[CUIT]],Lista_CUIT[#All],4,0)),"CUIT NO CARGADO")</f>
        <v>0</v>
      </c>
    </row>
    <row r="162" spans="1:18" x14ac:dyDescent="0.25">
      <c r="A162">
        <v>3</v>
      </c>
      <c r="B162" s="40" t="s">
        <v>3021</v>
      </c>
      <c r="C162" s="41">
        <v>1</v>
      </c>
      <c r="D162" s="42">
        <v>2</v>
      </c>
      <c r="E162" s="43">
        <v>4225</v>
      </c>
      <c r="F162" s="44">
        <v>30629863571</v>
      </c>
      <c r="G162" s="45" t="str">
        <f>IFERROR(IF(compras_mes12[[#This Row],[CUIT]]="","-",VLOOKUP(compras_mes12[[#This Row],[CUIT]],Lista_CUIT[#All],2,0)),"CUIT NO CARGADO")</f>
        <v>TECNIMAR S R L</v>
      </c>
      <c r="H162" s="46">
        <v>3346171</v>
      </c>
      <c r="I162" s="85">
        <f>IF(compras_mes12[[#This Row],[NETO GRAVADO]]="","",compras_mes12[[#This Row],[NETO GRAVADO]]*0.21)</f>
        <v>702695.90999999992</v>
      </c>
      <c r="J162" s="85"/>
      <c r="K162" s="85"/>
      <c r="L162" s="85"/>
      <c r="M162" s="85"/>
      <c r="N162" s="85"/>
      <c r="O162" s="85"/>
      <c r="P162" s="48">
        <f>SUM(compras_mes12[[#This Row],[NETO GRAVADO]:[Otros / No Grav.]])</f>
        <v>4048866.91</v>
      </c>
      <c r="Q162" s="49" t="str">
        <f>IFERROR(IF(compras_mes12[[#This Row],[CUIT]]="","-",VLOOKUP(compras_mes12[[#This Row],[CUIT]],Lista_CUIT[#All],3,0)),"CUIT NO CARGADO")</f>
        <v>Productos Venta</v>
      </c>
      <c r="R162" s="49">
        <f>IFERROR(IF(compras_mes12[[#This Row],[CUIT]]="","-",VLOOKUP(compras_mes12[[#This Row],[CUIT]],Lista_CUIT[#All],4,0)),"CUIT NO CARGADO")</f>
        <v>0</v>
      </c>
    </row>
    <row r="163" spans="1:18" x14ac:dyDescent="0.25">
      <c r="B163" s="40" t="s">
        <v>3021</v>
      </c>
      <c r="C163" s="41">
        <v>1</v>
      </c>
      <c r="D163" s="42">
        <v>5</v>
      </c>
      <c r="E163" s="43">
        <v>24429</v>
      </c>
      <c r="F163" s="44">
        <v>30532905555</v>
      </c>
      <c r="G163" s="45" t="str">
        <f>IFERROR(IF(compras_mes12[[#This Row],[CUIT]]="","-",VLOOKUP(compras_mes12[[#This Row],[CUIT]],Lista_CUIT[#All],2,0)),"CUIT NO CARGADO")</f>
        <v>UNTECO S.A.I.C. E I.</v>
      </c>
      <c r="H163" s="46">
        <v>376792.06</v>
      </c>
      <c r="I163" s="85">
        <f>IF(compras_mes12[[#This Row],[NETO GRAVADO]]="","",compras_mes12[[#This Row],[NETO GRAVADO]]*0.21)</f>
        <v>79126.332599999994</v>
      </c>
      <c r="J163" s="85"/>
      <c r="K163" s="85"/>
      <c r="L163" s="85"/>
      <c r="M163" s="85"/>
      <c r="N163" s="85"/>
      <c r="O163" s="85">
        <v>11303.76</v>
      </c>
      <c r="P163" s="48">
        <f>SUM(compras_mes12[[#This Row],[NETO GRAVADO]:[Otros / No Grav.]])</f>
        <v>467222.15260000003</v>
      </c>
      <c r="Q163" s="49" t="str">
        <f>IFERROR(IF(compras_mes12[[#This Row],[CUIT]]="","-",VLOOKUP(compras_mes12[[#This Row],[CUIT]],Lista_CUIT[#All],3,0)),"CUIT NO CARGADO")</f>
        <v>Productos Terminados</v>
      </c>
      <c r="R163" s="49">
        <f>IFERROR(IF(compras_mes12[[#This Row],[CUIT]]="","-",VLOOKUP(compras_mes12[[#This Row],[CUIT]],Lista_CUIT[#All],4,0)),"CUIT NO CARGADO")</f>
        <v>0</v>
      </c>
    </row>
    <row r="164" spans="1:18" x14ac:dyDescent="0.25">
      <c r="B164" s="40" t="s">
        <v>3021</v>
      </c>
      <c r="C164" s="41">
        <v>1</v>
      </c>
      <c r="D164" s="42">
        <v>20</v>
      </c>
      <c r="E164" s="43">
        <v>48807</v>
      </c>
      <c r="F164" s="44">
        <v>30717210847</v>
      </c>
      <c r="G164" s="45" t="str">
        <f>IFERROR(IF(compras_mes12[[#This Row],[CUIT]]="","-",VLOOKUP(compras_mes12[[#This Row],[CUIT]],Lista_CUIT[#All],2,0)),"CUIT NO CARGADO")</f>
        <v>STENDY</v>
      </c>
      <c r="H164" s="46">
        <v>76181.820000000007</v>
      </c>
      <c r="I164" s="85">
        <f>IF(compras_mes12[[#This Row],[NETO GRAVADO]]="","",compras_mes12[[#This Row],[NETO GRAVADO]]*0.21)</f>
        <v>15998.182200000001</v>
      </c>
      <c r="J164" s="85"/>
      <c r="K164" s="85"/>
      <c r="L164" s="85"/>
      <c r="M164" s="85"/>
      <c r="N164" s="85"/>
      <c r="O164" s="85"/>
      <c r="P164" s="48">
        <f>SUM(compras_mes12[[#This Row],[NETO GRAVADO]:[Otros / No Grav.]])</f>
        <v>92180.002200000003</v>
      </c>
      <c r="Q164" s="49" t="str">
        <f>IFERROR(IF(compras_mes12[[#This Row],[CUIT]]="","-",VLOOKUP(compras_mes12[[#This Row],[CUIT]],Lista_CUIT[#All],3,0)),"CUIT NO CARGADO")</f>
        <v>LIBRERÍA</v>
      </c>
      <c r="R164" s="49">
        <f>IFERROR(IF(compras_mes12[[#This Row],[CUIT]]="","-",VLOOKUP(compras_mes12[[#This Row],[CUIT]],Lista_CUIT[#All],4,0)),"CUIT NO CARGADO")</f>
        <v>0</v>
      </c>
    </row>
    <row r="165" spans="1:18" x14ac:dyDescent="0.25">
      <c r="B165" s="40" t="s">
        <v>3021</v>
      </c>
      <c r="C165" s="41">
        <v>1</v>
      </c>
      <c r="D165" s="42">
        <v>5015</v>
      </c>
      <c r="E165" s="43">
        <v>1104694</v>
      </c>
      <c r="F165" s="44">
        <v>30574876474</v>
      </c>
      <c r="G165" s="45" t="str">
        <f>IFERROR(IF(compras_mes12[[#This Row],[CUIT]]="","-",VLOOKUP(compras_mes12[[#This Row],[CUIT]],Lista_CUIT[#All],2,0)),"CUIT NO CARGADO")</f>
        <v>AUTOPISTAS URBANAS S A</v>
      </c>
      <c r="H165" s="46">
        <v>110553.65</v>
      </c>
      <c r="I165" s="85">
        <f>IF(compras_mes12[[#This Row],[NETO GRAVADO]]="","",compras_mes12[[#This Row],[NETO GRAVADO]]*0.21)</f>
        <v>23216.266499999998</v>
      </c>
      <c r="J165" s="85"/>
      <c r="K165" s="85"/>
      <c r="L165" s="85"/>
      <c r="M165" s="85"/>
      <c r="N165" s="85"/>
      <c r="O165" s="85">
        <v>14371.93</v>
      </c>
      <c r="P165" s="48">
        <f>SUM(compras_mes12[[#This Row],[NETO GRAVADO]:[Otros / No Grav.]])</f>
        <v>148141.84649999999</v>
      </c>
      <c r="Q165" s="49" t="str">
        <f>IFERROR(IF(compras_mes12[[#This Row],[CUIT]]="","-",VLOOKUP(compras_mes12[[#This Row],[CUIT]],Lista_CUIT[#All],3,0)),"CUIT NO CARGADO")</f>
        <v>Peajes</v>
      </c>
      <c r="R165" s="49">
        <f>IFERROR(IF(compras_mes12[[#This Row],[CUIT]]="","-",VLOOKUP(compras_mes12[[#This Row],[CUIT]],Lista_CUIT[#All],4,0)),"CUIT NO CARGADO")</f>
        <v>0</v>
      </c>
    </row>
    <row r="166" spans="1:18" x14ac:dyDescent="0.25">
      <c r="B166" s="40" t="s">
        <v>3021</v>
      </c>
      <c r="C166" s="41">
        <v>1</v>
      </c>
      <c r="D166" s="42">
        <v>5</v>
      </c>
      <c r="E166" s="43">
        <v>3454472</v>
      </c>
      <c r="F166" s="44">
        <v>30702652975</v>
      </c>
      <c r="G166" s="45" t="str">
        <f>IFERROR(IF(compras_mes12[[#This Row],[CUIT]]="","-",VLOOKUP(compras_mes12[[#This Row],[CUIT]],Lista_CUIT[#All],2,0)),"CUIT NO CARGADO")</f>
        <v>NSS SA</v>
      </c>
      <c r="H166" s="46">
        <v>39776.410000000003</v>
      </c>
      <c r="I166" s="85">
        <f>IF(compras_mes12[[#This Row],[NETO GRAVADO]]="","",compras_mes12[[#This Row],[NETO GRAVADO]]*0.21)</f>
        <v>8353.0460999999996</v>
      </c>
      <c r="J166" s="85"/>
      <c r="K166" s="85"/>
      <c r="L166" s="85"/>
      <c r="M166" s="85"/>
      <c r="N166" s="85">
        <v>1193.29</v>
      </c>
      <c r="O166" s="552"/>
      <c r="P166" s="48">
        <f>SUM(compras_mes12[[#This Row],[NETO GRAVADO]:[Otros / No Grav.]])</f>
        <v>49322.746100000004</v>
      </c>
      <c r="Q166" s="49" t="str">
        <f>IFERROR(IF(compras_mes12[[#This Row],[CUIT]]="","-",VLOOKUP(compras_mes12[[#This Row],[CUIT]],Lista_CUIT[#All],3,0)),"CUIT NO CARGADO")</f>
        <v>Servicios Gas, Luz, etc.</v>
      </c>
      <c r="R166" s="49">
        <f>IFERROR(IF(compras_mes12[[#This Row],[CUIT]]="","-",VLOOKUP(compras_mes12[[#This Row],[CUIT]],Lista_CUIT[#All],4,0)),"CUIT NO CARGADO")</f>
        <v>0</v>
      </c>
    </row>
    <row r="167" spans="1:18" x14ac:dyDescent="0.25">
      <c r="B167" s="40" t="s">
        <v>3006</v>
      </c>
      <c r="C167" s="41">
        <v>1</v>
      </c>
      <c r="D167" s="42">
        <v>4</v>
      </c>
      <c r="E167" s="43">
        <v>4018</v>
      </c>
      <c r="F167" s="44">
        <v>20132380741</v>
      </c>
      <c r="G167" s="45" t="str">
        <f>IFERROR(IF(compras_mes12[[#This Row],[CUIT]]="","-",VLOOKUP(compras_mes12[[#This Row],[CUIT]],Lista_CUIT[#All],2,0)),"CUIT NO CARGADO")</f>
        <v>GERARDO A.S. LARA</v>
      </c>
      <c r="H167" s="46">
        <v>765000</v>
      </c>
      <c r="I167" s="85">
        <f>IF(compras_mes12[[#This Row],[NETO GRAVADO]]="","",compras_mes12[[#This Row],[NETO GRAVADO]]*0.21)</f>
        <v>160650</v>
      </c>
      <c r="J167" s="85"/>
      <c r="K167" s="85"/>
      <c r="L167" s="85"/>
      <c r="M167" s="85"/>
      <c r="N167" s="85"/>
      <c r="O167" s="85">
        <v>17965.09</v>
      </c>
      <c r="P167" s="48">
        <f>SUM(compras_mes12[[#This Row],[NETO GRAVADO]:[Otros / No Grav.]])</f>
        <v>943615.09</v>
      </c>
      <c r="Q167" s="49" t="str">
        <f>IFERROR(IF(compras_mes12[[#This Row],[CUIT]]="","-",VLOOKUP(compras_mes12[[#This Row],[CUIT]],Lista_CUIT[#All],3,0)),"CUIT NO CARGADO")</f>
        <v>Flete</v>
      </c>
      <c r="R167" s="49">
        <f>IFERROR(IF(compras_mes12[[#This Row],[CUIT]]="","-",VLOOKUP(compras_mes12[[#This Row],[CUIT]],Lista_CUIT[#All],4,0)),"CUIT NO CARGADO")</f>
        <v>0</v>
      </c>
    </row>
    <row r="168" spans="1:18" x14ac:dyDescent="0.25">
      <c r="B168" s="40" t="s">
        <v>3006</v>
      </c>
      <c r="C168" s="41">
        <v>1</v>
      </c>
      <c r="D168" s="42">
        <v>4</v>
      </c>
      <c r="E168" s="43">
        <v>4019</v>
      </c>
      <c r="F168" s="44">
        <v>20132380741</v>
      </c>
      <c r="G168" s="45" t="str">
        <f>IFERROR(IF(compras_mes12[[#This Row],[CUIT]]="","-",VLOOKUP(compras_mes12[[#This Row],[CUIT]],Lista_CUIT[#All],2,0)),"CUIT NO CARGADO")</f>
        <v>GERARDO A.S. LARA</v>
      </c>
      <c r="H168" s="46">
        <v>1223950</v>
      </c>
      <c r="I168" s="85">
        <f>IF(compras_mes12[[#This Row],[NETO GRAVADO]]="","",compras_mes12[[#This Row],[NETO GRAVADO]]*0.21)</f>
        <v>257029.5</v>
      </c>
      <c r="J168" s="85"/>
      <c r="K168" s="85"/>
      <c r="L168" s="85"/>
      <c r="M168" s="85"/>
      <c r="N168" s="85"/>
      <c r="O168" s="85">
        <v>149627.94</v>
      </c>
      <c r="P168" s="48">
        <f>SUM(compras_mes12[[#This Row],[NETO GRAVADO]:[Otros / No Grav.]])</f>
        <v>1630607.44</v>
      </c>
      <c r="Q168" s="49" t="str">
        <f>IFERROR(IF(compras_mes12[[#This Row],[CUIT]]="","-",VLOOKUP(compras_mes12[[#This Row],[CUIT]],Lista_CUIT[#All],3,0)),"CUIT NO CARGADO")</f>
        <v>Flete</v>
      </c>
      <c r="R168" s="49">
        <f>IFERROR(IF(compras_mes12[[#This Row],[CUIT]]="","-",VLOOKUP(compras_mes12[[#This Row],[CUIT]],Lista_CUIT[#All],4,0)),"CUIT NO CARGADO")</f>
        <v>0</v>
      </c>
    </row>
    <row r="169" spans="1:18" x14ac:dyDescent="0.25">
      <c r="B169" s="40" t="s">
        <v>3006</v>
      </c>
      <c r="C169" s="41">
        <v>1</v>
      </c>
      <c r="D169" s="42">
        <v>2</v>
      </c>
      <c r="E169" s="43">
        <v>4226</v>
      </c>
      <c r="F169" s="44">
        <v>30629863571</v>
      </c>
      <c r="G169" s="45" t="str">
        <f>IFERROR(IF(compras_mes12[[#This Row],[CUIT]]="","-",VLOOKUP(compras_mes12[[#This Row],[CUIT]],Lista_CUIT[#All],2,0)),"CUIT NO CARGADO")</f>
        <v>TECNIMAR S R L</v>
      </c>
      <c r="H169" s="46">
        <v>7134444</v>
      </c>
      <c r="I169" s="85">
        <f>IF(compras_mes12[[#This Row],[NETO GRAVADO]]="","",compras_mes12[[#This Row],[NETO GRAVADO]]*0.21)</f>
        <v>1498233.24</v>
      </c>
      <c r="J169" s="85"/>
      <c r="K169" s="85"/>
      <c r="L169" s="85"/>
      <c r="M169" s="85"/>
      <c r="N169" s="85"/>
      <c r="O169" s="85"/>
      <c r="P169" s="48">
        <f>SUM(compras_mes12[[#This Row],[NETO GRAVADO]:[Otros / No Grav.]])</f>
        <v>8632677.2400000002</v>
      </c>
      <c r="Q169" s="49" t="str">
        <f>IFERROR(IF(compras_mes12[[#This Row],[CUIT]]="","-",VLOOKUP(compras_mes12[[#This Row],[CUIT]],Lista_CUIT[#All],3,0)),"CUIT NO CARGADO")</f>
        <v>Productos Venta</v>
      </c>
      <c r="R169" s="49">
        <f>IFERROR(IF(compras_mes12[[#This Row],[CUIT]]="","-",VLOOKUP(compras_mes12[[#This Row],[CUIT]],Lista_CUIT[#All],4,0)),"CUIT NO CARGADO")</f>
        <v>0</v>
      </c>
    </row>
    <row r="170" spans="1:18" x14ac:dyDescent="0.25">
      <c r="B170" s="40" t="s">
        <v>3006</v>
      </c>
      <c r="C170" s="41">
        <v>1</v>
      </c>
      <c r="D170" s="42">
        <v>1904</v>
      </c>
      <c r="E170" s="43">
        <v>17301</v>
      </c>
      <c r="F170" s="44">
        <v>30589621499</v>
      </c>
      <c r="G170" s="45" t="str">
        <f>IFERROR(IF(compras_mes12[[#This Row],[CUIT]]="","-",VLOOKUP(compras_mes12[[#This Row],[CUIT]],Lista_CUIT[#All],2,0)),"CUIT NO CARGADO")</f>
        <v>MAKRO SA</v>
      </c>
      <c r="H170" s="46">
        <v>199484.74</v>
      </c>
      <c r="I170" s="85">
        <v>40975.269999999997</v>
      </c>
      <c r="J170" s="85"/>
      <c r="K170" s="85">
        <v>458.26</v>
      </c>
      <c r="L170" s="85">
        <v>5919.08</v>
      </c>
      <c r="M170" s="552"/>
      <c r="N170" s="552">
        <v>5984.54</v>
      </c>
      <c r="O170" s="85">
        <v>3376.81</v>
      </c>
      <c r="P170" s="48">
        <f>SUM(compras_mes12[[#This Row],[NETO GRAVADO]:[Otros / No Grav.]])</f>
        <v>256198.69999999998</v>
      </c>
      <c r="Q170" s="49" t="str">
        <f>IFERROR(IF(compras_mes12[[#This Row],[CUIT]]="","-",VLOOKUP(compras_mes12[[#This Row],[CUIT]],Lista_CUIT[#All],3,0)),"CUIT NO CARGADO")</f>
        <v>Gastos Varios</v>
      </c>
      <c r="R170" s="49">
        <f>IFERROR(IF(compras_mes12[[#This Row],[CUIT]]="","-",VLOOKUP(compras_mes12[[#This Row],[CUIT]],Lista_CUIT[#All],4,0)),"CUIT NO CARGADO")</f>
        <v>0</v>
      </c>
    </row>
    <row r="171" spans="1:18" x14ac:dyDescent="0.25">
      <c r="B171" s="40" t="s">
        <v>3006</v>
      </c>
      <c r="C171" s="41">
        <v>1</v>
      </c>
      <c r="D171" s="42">
        <v>2199</v>
      </c>
      <c r="E171" s="43">
        <v>40960</v>
      </c>
      <c r="F171" s="44">
        <v>30548083156</v>
      </c>
      <c r="G171" s="45" t="str">
        <f>IFERROR(IF(compras_mes12[[#This Row],[CUIT]]="","-",VLOOKUP(compras_mes12[[#This Row],[CUIT]],Lista_CUIT[#All],2,0)),"CUIT NO CARGADO")</f>
        <v>COTO CENTRO INTEGRAL DE COMERCIALIZACION SOCIEDAD ANONIMA</v>
      </c>
      <c r="H171" s="46">
        <v>67770.759999999995</v>
      </c>
      <c r="I171" s="85">
        <v>12517.07</v>
      </c>
      <c r="J171" s="85"/>
      <c r="K171" s="85">
        <v>857.4</v>
      </c>
      <c r="L171" s="85"/>
      <c r="M171" s="85"/>
      <c r="N171" s="85"/>
      <c r="O171" s="85">
        <v>3739.65</v>
      </c>
      <c r="P171" s="48">
        <f>SUM(compras_mes12[[#This Row],[NETO GRAVADO]:[Otros / No Grav.]])</f>
        <v>84884.879999999976</v>
      </c>
      <c r="Q171" s="49" t="str">
        <f>IFERROR(IF(compras_mes12[[#This Row],[CUIT]]="","-",VLOOKUP(compras_mes12[[#This Row],[CUIT]],Lista_CUIT[#All],3,0)),"CUIT NO CARGADO")</f>
        <v>Gastos Varios</v>
      </c>
      <c r="R171" s="49">
        <f>IFERROR(IF(compras_mes12[[#This Row],[CUIT]]="","-",VLOOKUP(compras_mes12[[#This Row],[CUIT]],Lista_CUIT[#All],4,0)),"CUIT NO CARGADO")</f>
        <v>0</v>
      </c>
    </row>
    <row r="172" spans="1:18" x14ac:dyDescent="0.25">
      <c r="B172" s="40" t="s">
        <v>3006</v>
      </c>
      <c r="C172" s="41">
        <v>1</v>
      </c>
      <c r="D172" s="42">
        <v>82</v>
      </c>
      <c r="E172" s="43">
        <v>339859</v>
      </c>
      <c r="F172" s="44">
        <v>30546741253</v>
      </c>
      <c r="G172" s="45" t="str">
        <f>IFERROR(IF(compras_mes12[[#This Row],[CUIT]]="","-",VLOOKUP(compras_mes12[[#This Row],[CUIT]],Lista_CUIT[#All],2,0)),"CUIT NO CARGADO")</f>
        <v>OSDE </v>
      </c>
      <c r="H172" s="46">
        <v>703677.83</v>
      </c>
      <c r="I172" s="85" t="s">
        <v>2411</v>
      </c>
      <c r="J172" s="85"/>
      <c r="K172" s="85">
        <f>compras_mes12[[#This Row],[NETO GRAVADO]]*0.105</f>
        <v>73886.172149999999</v>
      </c>
      <c r="L172" s="85"/>
      <c r="M172" s="85"/>
      <c r="N172" s="85">
        <v>21110.33</v>
      </c>
      <c r="O172" s="552"/>
      <c r="P172" s="48">
        <f>SUM(compras_mes12[[#This Row],[NETO GRAVADO]:[Otros / No Grav.]])</f>
        <v>798674.33214999991</v>
      </c>
      <c r="Q172" s="49" t="str">
        <f>IFERROR(IF(compras_mes12[[#This Row],[CUIT]]="","-",VLOOKUP(compras_mes12[[#This Row],[CUIT]],Lista_CUIT[#All],3,0)),"CUIT NO CARGADO")</f>
        <v>Prepaga corporativa</v>
      </c>
      <c r="R172" s="49">
        <f>IFERROR(IF(compras_mes12[[#This Row],[CUIT]]="","-",VLOOKUP(compras_mes12[[#This Row],[CUIT]],Lista_CUIT[#All],4,0)),"CUIT NO CARGADO")</f>
        <v>0</v>
      </c>
    </row>
    <row r="173" spans="1:18" x14ac:dyDescent="0.25">
      <c r="B173" s="40" t="s">
        <v>3022</v>
      </c>
      <c r="C173" s="41">
        <v>1</v>
      </c>
      <c r="D173" s="42">
        <v>2</v>
      </c>
      <c r="E173" s="43">
        <v>4227</v>
      </c>
      <c r="F173" s="44">
        <v>30629863571</v>
      </c>
      <c r="G173" s="45" t="str">
        <f>IFERROR(IF(compras_mes12[[#This Row],[CUIT]]="","-",VLOOKUP(compras_mes12[[#This Row],[CUIT]],Lista_CUIT[#All],2,0)),"CUIT NO CARGADO")</f>
        <v>TECNIMAR S R L</v>
      </c>
      <c r="H173" s="46">
        <v>3176637</v>
      </c>
      <c r="I173" s="85">
        <f>IF(compras_mes12[[#This Row],[NETO GRAVADO]]="","",compras_mes12[[#This Row],[NETO GRAVADO]]*0.21)</f>
        <v>667093.77</v>
      </c>
      <c r="J173" s="85"/>
      <c r="K173" s="85"/>
      <c r="L173" s="85"/>
      <c r="M173" s="85"/>
      <c r="N173" s="85"/>
      <c r="O173" s="85"/>
      <c r="P173" s="48">
        <f>SUM(compras_mes12[[#This Row],[NETO GRAVADO]:[Otros / No Grav.]])</f>
        <v>3843730.77</v>
      </c>
      <c r="Q173" s="49" t="str">
        <f>IFERROR(IF(compras_mes12[[#This Row],[CUIT]]="","-",VLOOKUP(compras_mes12[[#This Row],[CUIT]],Lista_CUIT[#All],3,0)),"CUIT NO CARGADO")</f>
        <v>Productos Venta</v>
      </c>
      <c r="R173" s="49">
        <f>IFERROR(IF(compras_mes12[[#This Row],[CUIT]]="","-",VLOOKUP(compras_mes12[[#This Row],[CUIT]],Lista_CUIT[#All],4,0)),"CUIT NO CARGADO")</f>
        <v>0</v>
      </c>
    </row>
    <row r="174" spans="1:18" x14ac:dyDescent="0.25">
      <c r="B174" s="40" t="s">
        <v>3022</v>
      </c>
      <c r="C174" s="41">
        <v>1</v>
      </c>
      <c r="D174" s="42">
        <v>6364</v>
      </c>
      <c r="E174" s="43">
        <v>9354595</v>
      </c>
      <c r="F174" s="44">
        <v>30639453738</v>
      </c>
      <c r="G174" s="45" t="str">
        <f>IFERROR(IF(compras_mes12[[#This Row],[CUIT]]="","-",VLOOKUP(compras_mes12[[#This Row],[CUIT]],Lista_CUIT[#All],2,0)),"CUIT NO CARGADO")</f>
        <v>TELECOM ARG SA</v>
      </c>
      <c r="H174" s="46">
        <v>22108.799999999999</v>
      </c>
      <c r="I174" s="85">
        <v>4624.82</v>
      </c>
      <c r="J174" s="85">
        <v>23.18</v>
      </c>
      <c r="K174" s="85"/>
      <c r="L174" s="85"/>
      <c r="M174" s="85"/>
      <c r="N174" s="85">
        <v>1366.6</v>
      </c>
      <c r="O174" s="85">
        <v>667.78</v>
      </c>
      <c r="P174" s="48">
        <f>SUM(compras_mes12[[#This Row],[NETO GRAVADO]:[Otros / No Grav.]])</f>
        <v>28791.179999999997</v>
      </c>
      <c r="Q174" s="49" t="str">
        <f>IFERROR(IF(compras_mes12[[#This Row],[CUIT]]="","-",VLOOKUP(compras_mes12[[#This Row],[CUIT]],Lista_CUIT[#All],3,0)),"CUIT NO CARGADO")</f>
        <v>Servicios Gas, Luz, etc.</v>
      </c>
      <c r="R174" s="49">
        <f>IFERROR(IF(compras_mes12[[#This Row],[CUIT]]="","-",VLOOKUP(compras_mes12[[#This Row],[CUIT]],Lista_CUIT[#All],4,0)),"CUIT NO CARGADO")</f>
        <v>0</v>
      </c>
    </row>
    <row r="175" spans="1:18" x14ac:dyDescent="0.25">
      <c r="B175" s="40" t="s">
        <v>3023</v>
      </c>
      <c r="C175" s="41">
        <v>1</v>
      </c>
      <c r="D175" s="42">
        <v>19</v>
      </c>
      <c r="E175" s="43">
        <v>550</v>
      </c>
      <c r="F175" s="44">
        <v>20183328094</v>
      </c>
      <c r="G175" s="45" t="str">
        <f>IFERROR(IF(compras_mes12[[#This Row],[CUIT]]="","-",VLOOKUP(compras_mes12[[#This Row],[CUIT]],Lista_CUIT[#All],2,0)),"CUIT NO CARGADO")</f>
        <v>VOSSLER ALEJANDRO GUSTAVO</v>
      </c>
      <c r="H175" s="46">
        <v>8429.75</v>
      </c>
      <c r="I175" s="85">
        <f>IF(compras_mes12[[#This Row],[NETO GRAVADO]]="","",compras_mes12[[#This Row],[NETO GRAVADO]]*0.21)</f>
        <v>1770.2474999999999</v>
      </c>
      <c r="J175" s="85"/>
      <c r="K175" s="85"/>
      <c r="L175" s="85"/>
      <c r="M175" s="85"/>
      <c r="N175" s="85"/>
      <c r="O175" s="85"/>
      <c r="P175" s="48">
        <f>SUM(compras_mes12[[#This Row],[NETO GRAVADO]:[Otros / No Grav.]])</f>
        <v>10199.997499999999</v>
      </c>
      <c r="Q175" s="49" t="str">
        <f>IFERROR(IF(compras_mes12[[#This Row],[CUIT]]="","-",VLOOKUP(compras_mes12[[#This Row],[CUIT]],Lista_CUIT[#All],3,0)),"CUIT NO CARGADO")</f>
        <v>Papeleria</v>
      </c>
      <c r="R175" s="49">
        <f>IFERROR(IF(compras_mes12[[#This Row],[CUIT]]="","-",VLOOKUP(compras_mes12[[#This Row],[CUIT]],Lista_CUIT[#All],4,0)),"CUIT NO CARGADO")</f>
        <v>0</v>
      </c>
    </row>
    <row r="176" spans="1:18" x14ac:dyDescent="0.25">
      <c r="B176" s="40" t="s">
        <v>3023</v>
      </c>
      <c r="C176" s="41">
        <v>1</v>
      </c>
      <c r="D176" s="42">
        <v>2084</v>
      </c>
      <c r="E176" s="43">
        <v>33661</v>
      </c>
      <c r="F176" s="44">
        <v>30548083156</v>
      </c>
      <c r="G176" s="45" t="str">
        <f>IFERROR(IF(compras_mes12[[#This Row],[CUIT]]="","-",VLOOKUP(compras_mes12[[#This Row],[CUIT]],Lista_CUIT[#All],2,0)),"CUIT NO CARGADO")</f>
        <v>COTO CENTRO INTEGRAL DE COMERCIALIZACION SOCIEDAD ANONIMA</v>
      </c>
      <c r="H176" s="46">
        <v>57215.28</v>
      </c>
      <c r="I176" s="85">
        <v>6651.82</v>
      </c>
      <c r="J176" s="85"/>
      <c r="K176" s="85">
        <v>2681.69</v>
      </c>
      <c r="L176" s="85"/>
      <c r="M176" s="85"/>
      <c r="N176" s="85"/>
      <c r="O176" s="85">
        <v>2221.7199999999998</v>
      </c>
      <c r="P176" s="48">
        <f>SUM(compras_mes12[[#This Row],[NETO GRAVADO]:[Otros / No Grav.]])</f>
        <v>68770.509999999995</v>
      </c>
      <c r="Q176" s="49" t="str">
        <f>IFERROR(IF(compras_mes12[[#This Row],[CUIT]]="","-",VLOOKUP(compras_mes12[[#This Row],[CUIT]],Lista_CUIT[#All],3,0)),"CUIT NO CARGADO")</f>
        <v>Gastos Varios</v>
      </c>
      <c r="R176" s="49">
        <f>IFERROR(IF(compras_mes12[[#This Row],[CUIT]]="","-",VLOOKUP(compras_mes12[[#This Row],[CUIT]],Lista_CUIT[#All],4,0)),"CUIT NO CARGADO")</f>
        <v>0</v>
      </c>
    </row>
    <row r="177" spans="2:18" x14ac:dyDescent="0.25">
      <c r="B177" s="40" t="s">
        <v>3007</v>
      </c>
      <c r="C177" s="41">
        <v>3</v>
      </c>
      <c r="D177" s="42">
        <v>308</v>
      </c>
      <c r="E177" s="43">
        <v>2335</v>
      </c>
      <c r="F177" s="44">
        <v>30581214053</v>
      </c>
      <c r="G177" s="45" t="str">
        <f>IFERROR(IF(compras_mes12[[#This Row],[CUIT]]="","-",VLOOKUP(compras_mes12[[#This Row],[CUIT]],Lista_CUIT[#All],2,0)),"CUIT NO CARGADO")</f>
        <v>BALUT HNOS SRL</v>
      </c>
      <c r="H177" s="46">
        <v>-37302.120000000003</v>
      </c>
      <c r="I177" s="85">
        <f>IF(compras_mes12[[#This Row],[NETO GRAVADO]]="","",compras_mes12[[#This Row],[NETO GRAVADO]]*0.21)</f>
        <v>-7833.4452000000001</v>
      </c>
      <c r="J177" s="85"/>
      <c r="K177" s="85"/>
      <c r="L177" s="85"/>
      <c r="M177" s="85"/>
      <c r="N177" s="85"/>
      <c r="O177" s="85"/>
      <c r="P177" s="48">
        <f>SUM(compras_mes12[[#This Row],[NETO GRAVADO]:[Otros / No Grav.]])</f>
        <v>-45135.565200000005</v>
      </c>
      <c r="Q177" s="49" t="str">
        <f>IFERROR(IF(compras_mes12[[#This Row],[CUIT]]="","-",VLOOKUP(compras_mes12[[#This Row],[CUIT]],Lista_CUIT[#All],3,0)),"CUIT NO CARGADO")</f>
        <v>Fletes</v>
      </c>
      <c r="R177" s="49">
        <f>IFERROR(IF(compras_mes12[[#This Row],[CUIT]]="","-",VLOOKUP(compras_mes12[[#This Row],[CUIT]],Lista_CUIT[#All],4,0)),"CUIT NO CARGADO")</f>
        <v>0</v>
      </c>
    </row>
    <row r="178" spans="2:18" x14ac:dyDescent="0.25">
      <c r="B178" s="40" t="s">
        <v>3007</v>
      </c>
      <c r="C178" s="41">
        <v>1</v>
      </c>
      <c r="D178" s="42">
        <v>308</v>
      </c>
      <c r="E178" s="43">
        <v>47019</v>
      </c>
      <c r="F178" s="44">
        <v>30581214053</v>
      </c>
      <c r="G178" s="45" t="str">
        <f>IFERROR(IF(compras_mes12[[#This Row],[CUIT]]="","-",VLOOKUP(compras_mes12[[#This Row],[CUIT]],Lista_CUIT[#All],2,0)),"CUIT NO CARGADO")</f>
        <v>BALUT HNOS SRL</v>
      </c>
      <c r="H178" s="46">
        <v>37302.120000000003</v>
      </c>
      <c r="I178" s="85">
        <f>IF(compras_mes12[[#This Row],[NETO GRAVADO]]="","",compras_mes12[[#This Row],[NETO GRAVADO]]*0.21)</f>
        <v>7833.4452000000001</v>
      </c>
      <c r="J178" s="85"/>
      <c r="K178" s="85"/>
      <c r="L178" s="85"/>
      <c r="M178" s="85"/>
      <c r="N178" s="85"/>
      <c r="O178" s="85"/>
      <c r="P178" s="48">
        <f>SUM(compras_mes12[[#This Row],[NETO GRAVADO]:[Otros / No Grav.]])</f>
        <v>45135.565200000005</v>
      </c>
      <c r="Q178" s="49" t="str">
        <f>IFERROR(IF(compras_mes12[[#This Row],[CUIT]]="","-",VLOOKUP(compras_mes12[[#This Row],[CUIT]],Lista_CUIT[#All],3,0)),"CUIT NO CARGADO")</f>
        <v>Fletes</v>
      </c>
      <c r="R178" s="49">
        <f>IFERROR(IF(compras_mes12[[#This Row],[CUIT]]="","-",VLOOKUP(compras_mes12[[#This Row],[CUIT]],Lista_CUIT[#All],4,0)),"CUIT NO CARGADO")</f>
        <v>0</v>
      </c>
    </row>
    <row r="179" spans="2:18" x14ac:dyDescent="0.25">
      <c r="B179" s="40" t="s">
        <v>3007</v>
      </c>
      <c r="C179" s="41">
        <v>1</v>
      </c>
      <c r="D179" s="42">
        <v>700</v>
      </c>
      <c r="E179" s="43">
        <v>2926813</v>
      </c>
      <c r="F179" s="44">
        <v>30715804812</v>
      </c>
      <c r="G179" s="45" t="str">
        <f>IFERROR(IF(compras_mes12[[#This Row],[CUIT]]="","-",VLOOKUP(compras_mes12[[#This Row],[CUIT]],Lista_CUIT[#All],2,0)),"CUIT NO CARGADO")</f>
        <v>CORREDORES VIALES SOCIEDAD ANONIMA</v>
      </c>
      <c r="H179" s="46">
        <v>15599.66</v>
      </c>
      <c r="I179" s="85">
        <f>IF(compras_mes12[[#This Row],[NETO GRAVADO]]="","",compras_mes12[[#This Row],[NETO GRAVADO]]*0.21)</f>
        <v>3275.9285999999997</v>
      </c>
      <c r="J179" s="85"/>
      <c r="K179" s="85"/>
      <c r="L179" s="85"/>
      <c r="M179" s="85"/>
      <c r="N179" s="85"/>
      <c r="O179" s="85"/>
      <c r="P179" s="48">
        <f>SUM(compras_mes12[[#This Row],[NETO GRAVADO]:[Otros / No Grav.]])</f>
        <v>18875.588599999999</v>
      </c>
      <c r="Q179" s="49" t="str">
        <f>IFERROR(IF(compras_mes12[[#This Row],[CUIT]]="","-",VLOOKUP(compras_mes12[[#This Row],[CUIT]],Lista_CUIT[#All],3,0)),"CUIT NO CARGADO")</f>
        <v>Peajes</v>
      </c>
      <c r="R179" s="49">
        <f>IFERROR(IF(compras_mes12[[#This Row],[CUIT]]="","-",VLOOKUP(compras_mes12[[#This Row],[CUIT]],Lista_CUIT[#All],4,0)),"CUIT NO CARGADO")</f>
        <v>0</v>
      </c>
    </row>
    <row r="180" spans="2:18" x14ac:dyDescent="0.25">
      <c r="B180" s="40" t="s">
        <v>3024</v>
      </c>
      <c r="C180" s="41">
        <v>1</v>
      </c>
      <c r="D180" s="42">
        <v>3</v>
      </c>
      <c r="E180" s="43">
        <v>174</v>
      </c>
      <c r="F180" s="44">
        <v>27317740196</v>
      </c>
      <c r="G180" s="45" t="str">
        <f>IFERROR(IF(compras_mes12[[#This Row],[CUIT]]="","-",VLOOKUP(compras_mes12[[#This Row],[CUIT]],Lista_CUIT[#All],2,0)),"CUIT NO CARGADO")</f>
        <v>HOKAMA ROMINA PAOLA</v>
      </c>
      <c r="H180" s="46">
        <v>14455.37</v>
      </c>
      <c r="I180" s="85">
        <f>IF(compras_mes12[[#This Row],[NETO GRAVADO]]="","",compras_mes12[[#This Row],[NETO GRAVADO]]*0.21)</f>
        <v>3035.6277</v>
      </c>
      <c r="J180" s="85"/>
      <c r="K180" s="85"/>
      <c r="L180" s="85"/>
      <c r="M180" s="85"/>
      <c r="N180" s="85"/>
      <c r="O180" s="85"/>
      <c r="P180" s="48">
        <f>SUM(compras_mes12[[#This Row],[NETO GRAVADO]:[Otros / No Grav.]])</f>
        <v>17490.9977</v>
      </c>
      <c r="Q180" s="49" t="str">
        <f>IFERROR(IF(compras_mes12[[#This Row],[CUIT]]="","-",VLOOKUP(compras_mes12[[#This Row],[CUIT]],Lista_CUIT[#All],3,0)),"CUIT NO CARGADO")</f>
        <v>Gastos Varios</v>
      </c>
      <c r="R180" s="49">
        <f>IFERROR(IF(compras_mes12[[#This Row],[CUIT]]="","-",VLOOKUP(compras_mes12[[#This Row],[CUIT]],Lista_CUIT[#All],4,0)),"CUIT NO CARGADO")</f>
        <v>0</v>
      </c>
    </row>
    <row r="181" spans="2:18" x14ac:dyDescent="0.25">
      <c r="B181" s="40" t="s">
        <v>3024</v>
      </c>
      <c r="C181" s="41">
        <v>1</v>
      </c>
      <c r="D181" s="42">
        <v>2199</v>
      </c>
      <c r="E181" s="43">
        <v>41049</v>
      </c>
      <c r="F181" s="44">
        <v>30548083156</v>
      </c>
      <c r="G181" s="45" t="str">
        <f>IFERROR(IF(compras_mes12[[#This Row],[CUIT]]="","-",VLOOKUP(compras_mes12[[#This Row],[CUIT]],Lista_CUIT[#All],2,0)),"CUIT NO CARGADO")</f>
        <v>COTO CENTRO INTEGRAL DE COMERCIALIZACION SOCIEDAD ANONIMA</v>
      </c>
      <c r="H181" s="46">
        <v>49332.24</v>
      </c>
      <c r="I181" s="85">
        <v>9208.1200000000008</v>
      </c>
      <c r="J181" s="85"/>
      <c r="K181" s="85">
        <v>575.82000000000005</v>
      </c>
      <c r="L181" s="85"/>
      <c r="M181" s="85"/>
      <c r="N181" s="85"/>
      <c r="O181" s="85">
        <v>2805.84</v>
      </c>
      <c r="P181" s="48">
        <f>SUM(compras_mes12[[#This Row],[NETO GRAVADO]:[Otros / No Grav.]])</f>
        <v>61922.020000000004</v>
      </c>
      <c r="Q181" s="49" t="str">
        <f>IFERROR(IF(compras_mes12[[#This Row],[CUIT]]="","-",VLOOKUP(compras_mes12[[#This Row],[CUIT]],Lista_CUIT[#All],3,0)),"CUIT NO CARGADO")</f>
        <v>Gastos Varios</v>
      </c>
      <c r="R181" s="49">
        <f>IFERROR(IF(compras_mes12[[#This Row],[CUIT]]="","-",VLOOKUP(compras_mes12[[#This Row],[CUIT]],Lista_CUIT[#All],4,0)),"CUIT NO CARGADO")</f>
        <v>0</v>
      </c>
    </row>
    <row r="182" spans="2:18" s="401" customFormat="1" x14ac:dyDescent="0.25">
      <c r="B182" s="40" t="s">
        <v>3025</v>
      </c>
      <c r="C182" s="41">
        <v>1</v>
      </c>
      <c r="D182" s="42">
        <v>2</v>
      </c>
      <c r="E182" s="43">
        <v>2561</v>
      </c>
      <c r="F182" s="44">
        <v>20184094526</v>
      </c>
      <c r="G182" s="45" t="str">
        <f>IFERROR(IF(compras_mes12[[#This Row],[CUIT]]="","-",VLOOKUP(compras_mes12[[#This Row],[CUIT]],Lista_CUIT[#All],2,0)),"CUIT NO CARGADO")</f>
        <v>Di Blasio Carlos</v>
      </c>
      <c r="H182" s="46">
        <v>525600</v>
      </c>
      <c r="I182" s="85">
        <f>IF(compras_mes12[[#This Row],[NETO GRAVADO]]="","",compras_mes12[[#This Row],[NETO GRAVADO]]*0.21)</f>
        <v>110376</v>
      </c>
      <c r="J182" s="85"/>
      <c r="K182" s="85"/>
      <c r="L182" s="85"/>
      <c r="M182" s="85"/>
      <c r="N182" s="85"/>
      <c r="O182" s="85"/>
      <c r="P182" s="48">
        <f>SUM(compras_mes12[[#This Row],[NETO GRAVADO]:[Otros / No Grav.]])</f>
        <v>635976</v>
      </c>
      <c r="Q182" s="49" t="str">
        <f>IFERROR(IF(compras_mes12[[#This Row],[CUIT]]="","-",VLOOKUP(compras_mes12[[#This Row],[CUIT]],Lista_CUIT[#All],3,0)),"CUIT NO CARGADO")</f>
        <v>Gastos Varios</v>
      </c>
      <c r="R182" s="49">
        <f>IFERROR(IF(compras_mes12[[#This Row],[CUIT]]="","-",VLOOKUP(compras_mes12[[#This Row],[CUIT]],Lista_CUIT[#All],4,0)),"CUIT NO CARGADO")</f>
        <v>0</v>
      </c>
    </row>
    <row r="183" spans="2:18" x14ac:dyDescent="0.25">
      <c r="B183" s="40" t="s">
        <v>3025</v>
      </c>
      <c r="C183" s="41">
        <v>1</v>
      </c>
      <c r="D183" s="42">
        <v>2084</v>
      </c>
      <c r="E183" s="43">
        <v>33721</v>
      </c>
      <c r="F183" s="44">
        <v>30548083156</v>
      </c>
      <c r="G183" s="45" t="str">
        <f>IFERROR(IF(compras_mes12[[#This Row],[CUIT]]="","-",VLOOKUP(compras_mes12[[#This Row],[CUIT]],Lista_CUIT[#All],2,0)),"CUIT NO CARGADO")</f>
        <v>COTO CENTRO INTEGRAL DE COMERCIALIZACION SOCIEDAD ANONIMA</v>
      </c>
      <c r="H183" s="46">
        <v>46429.48</v>
      </c>
      <c r="I183" s="85">
        <v>5705.36</v>
      </c>
      <c r="J183" s="85"/>
      <c r="K183" s="85">
        <v>2022.42</v>
      </c>
      <c r="L183" s="85"/>
      <c r="M183" s="85"/>
      <c r="N183" s="85"/>
      <c r="O183" s="85">
        <v>1919.02</v>
      </c>
      <c r="P183" s="48">
        <f>SUM(compras_mes12[[#This Row],[NETO GRAVADO]:[Otros / No Grav.]])</f>
        <v>56076.28</v>
      </c>
      <c r="Q183" s="49" t="str">
        <f>IFERROR(IF(compras_mes12[[#This Row],[CUIT]]="","-",VLOOKUP(compras_mes12[[#This Row],[CUIT]],Lista_CUIT[#All],3,0)),"CUIT NO CARGADO")</f>
        <v>Gastos Varios</v>
      </c>
      <c r="R183" s="49">
        <f>IFERROR(IF(compras_mes12[[#This Row],[CUIT]]="","-",VLOOKUP(compras_mes12[[#This Row],[CUIT]],Lista_CUIT[#All],4,0)),"CUIT NO CARGADO")</f>
        <v>0</v>
      </c>
    </row>
    <row r="184" spans="2:18" x14ac:dyDescent="0.25">
      <c r="B184" s="40" t="s">
        <v>3025</v>
      </c>
      <c r="C184" s="41">
        <v>1</v>
      </c>
      <c r="D184" s="42">
        <v>5001</v>
      </c>
      <c r="E184" s="43">
        <v>184207</v>
      </c>
      <c r="F184" s="44">
        <v>30696692951</v>
      </c>
      <c r="G184" s="45" t="str">
        <f>IFERROR(IF(compras_mes12[[#This Row],[CUIT]]="","-",VLOOKUP(compras_mes12[[#This Row],[CUIT]],Lista_CUIT[#All],2,0)),"CUIT NO CARGADO")</f>
        <v>CEVEN SA</v>
      </c>
      <c r="H184" s="46">
        <v>843490.91</v>
      </c>
      <c r="I184" s="85">
        <f>IF(compras_mes12[[#This Row],[NETO GRAVADO]]="","",compras_mes12[[#This Row],[NETO GRAVADO]]*0.21)</f>
        <v>177133.09109999999</v>
      </c>
      <c r="J184" s="85"/>
      <c r="K184" s="85"/>
      <c r="L184" s="85"/>
      <c r="M184" s="85"/>
      <c r="N184" s="85"/>
      <c r="O184" s="85"/>
      <c r="P184" s="48">
        <f>SUM(compras_mes12[[#This Row],[NETO GRAVADO]:[Otros / No Grav.]])</f>
        <v>1020624.0011</v>
      </c>
      <c r="Q184" s="49" t="str">
        <f>IFERROR(IF(compras_mes12[[#This Row],[CUIT]]="","-",VLOOKUP(compras_mes12[[#This Row],[CUIT]],Lista_CUIT[#All],3,0)),"CUIT NO CARGADO")</f>
        <v>Gastos Oficina</v>
      </c>
      <c r="R184" s="49">
        <f>IFERROR(IF(compras_mes12[[#This Row],[CUIT]]="","-",VLOOKUP(compras_mes12[[#This Row],[CUIT]],Lista_CUIT[#All],4,0)),"CUIT NO CARGADO")</f>
        <v>0</v>
      </c>
    </row>
    <row r="185" spans="2:18" x14ac:dyDescent="0.25">
      <c r="B185" s="40" t="s">
        <v>3025</v>
      </c>
      <c r="C185" s="41">
        <v>1</v>
      </c>
      <c r="D185" s="42">
        <v>75</v>
      </c>
      <c r="E185" s="43">
        <v>509689</v>
      </c>
      <c r="F185" s="44">
        <v>30703088534</v>
      </c>
      <c r="G185" s="45" t="str">
        <f>IFERROR(IF(compras_mes12[[#This Row],[CUIT]]="","-",VLOOKUP(compras_mes12[[#This Row],[CUIT]],Lista_CUIT[#All],2,0)),"CUIT NO CARGADO")</f>
        <v>MERCADO LIBRE SRL</v>
      </c>
      <c r="H185" s="46">
        <v>1521152.99</v>
      </c>
      <c r="I185" s="85">
        <f>IF(compras_mes12[[#This Row],[NETO GRAVADO]]="","",compras_mes12[[#This Row],[NETO GRAVADO]]*0.21)</f>
        <v>319442.12789999996</v>
      </c>
      <c r="J185" s="85"/>
      <c r="K185" s="85"/>
      <c r="L185" s="85"/>
      <c r="M185" s="85"/>
      <c r="N185" s="85"/>
      <c r="O185" s="85">
        <v>106480.71</v>
      </c>
      <c r="P185" s="48">
        <f>SUM(compras_mes12[[#This Row],[NETO GRAVADO]:[Otros / No Grav.]])</f>
        <v>1947075.8278999999</v>
      </c>
      <c r="Q185" s="49" t="str">
        <f>IFERROR(IF(compras_mes12[[#This Row],[CUIT]]="","-",VLOOKUP(compras_mes12[[#This Row],[CUIT]],Lista_CUIT[#All],3,0)),"CUIT NO CARGADO")</f>
        <v>Gastos Varios</v>
      </c>
      <c r="R185" s="49" t="str">
        <f>IFERROR(IF(compras_mes12[[#This Row],[CUIT]]="","-",VLOOKUP(compras_mes12[[#This Row],[CUIT]],Lista_CUIT[#All],4,0)),"CUIT NO CARGADO")</f>
        <v>CABA</v>
      </c>
    </row>
    <row r="186" spans="2:18" x14ac:dyDescent="0.25">
      <c r="B186" s="40" t="s">
        <v>3026</v>
      </c>
      <c r="C186" s="41">
        <v>1</v>
      </c>
      <c r="D186" s="42">
        <v>6</v>
      </c>
      <c r="E186" s="43">
        <v>558</v>
      </c>
      <c r="F186" s="44">
        <v>30716154102</v>
      </c>
      <c r="G186" s="45" t="str">
        <f>IFERROR(IF(compras_mes12[[#This Row],[CUIT]]="","-",VLOOKUP(compras_mes12[[#This Row],[CUIT]],Lista_CUIT[#All],2,0)),"CUIT NO CARGADO")</f>
        <v>IDZONE SRL</v>
      </c>
      <c r="H186" s="46">
        <v>132750</v>
      </c>
      <c r="I186" s="85">
        <f>IF(compras_mes12[[#This Row],[NETO GRAVADO]]="","",compras_mes12[[#This Row],[NETO GRAVADO]]*0.21)</f>
        <v>27877.5</v>
      </c>
      <c r="J186" s="85"/>
      <c r="K186" s="85"/>
      <c r="L186" s="85"/>
      <c r="M186" s="85"/>
      <c r="N186" s="85"/>
      <c r="O186" s="85"/>
      <c r="P186" s="48">
        <f>SUM(compras_mes12[[#This Row],[NETO GRAVADO]:[Otros / No Grav.]])</f>
        <v>160627.5</v>
      </c>
      <c r="Q186" s="49" t="str">
        <f>IFERROR(IF(compras_mes12[[#This Row],[CUIT]]="","-",VLOOKUP(compras_mes12[[#This Row],[CUIT]],Lista_CUIT[#All],3,0)),"CUIT NO CARGADO")</f>
        <v>Mantenimiento</v>
      </c>
      <c r="R186" s="49">
        <f>IFERROR(IF(compras_mes12[[#This Row],[CUIT]]="","-",VLOOKUP(compras_mes12[[#This Row],[CUIT]],Lista_CUIT[#All],4,0)),"CUIT NO CARGADO")</f>
        <v>0</v>
      </c>
    </row>
    <row r="187" spans="2:18" x14ac:dyDescent="0.25">
      <c r="B187" s="40" t="s">
        <v>3026</v>
      </c>
      <c r="C187" s="41">
        <v>1</v>
      </c>
      <c r="D187" s="42">
        <v>17</v>
      </c>
      <c r="E187" s="43">
        <v>924</v>
      </c>
      <c r="F187" s="44">
        <v>30707975020</v>
      </c>
      <c r="G187" s="45" t="str">
        <f>IFERROR(IF(compras_mes12[[#This Row],[CUIT]]="","-",VLOOKUP(compras_mes12[[#This Row],[CUIT]],Lista_CUIT[#All],2,0)),"CUIT NO CARGADO")</f>
        <v>SOLUTION BOX S.R.L.</v>
      </c>
      <c r="H187" s="46">
        <v>321878.51</v>
      </c>
      <c r="I187" s="85">
        <f>IF(compras_mes12[[#This Row],[NETO GRAVADO]]="","",compras_mes12[[#This Row],[NETO GRAVADO]]*0.21)</f>
        <v>67594.487099999998</v>
      </c>
      <c r="J187" s="85"/>
      <c r="K187" s="85"/>
      <c r="L187" s="85"/>
      <c r="M187" s="85">
        <v>9656.36</v>
      </c>
      <c r="N187" s="85"/>
      <c r="O187" s="552"/>
      <c r="P187" s="48">
        <f>SUM(compras_mes12[[#This Row],[NETO GRAVADO]:[Otros / No Grav.]])</f>
        <v>399129.35710000002</v>
      </c>
      <c r="Q187" s="49" t="str">
        <f>IFERROR(IF(compras_mes12[[#This Row],[CUIT]]="","-",VLOOKUP(compras_mes12[[#This Row],[CUIT]],Lista_CUIT[#All],3,0)),"CUIT NO CARGADO")</f>
        <v>Insumos</v>
      </c>
      <c r="R187" s="49">
        <f>IFERROR(IF(compras_mes12[[#This Row],[CUIT]]="","-",VLOOKUP(compras_mes12[[#This Row],[CUIT]],Lista_CUIT[#All],4,0)),"CUIT NO CARGADO")</f>
        <v>0</v>
      </c>
    </row>
    <row r="188" spans="2:18" x14ac:dyDescent="0.25">
      <c r="B188" s="40" t="s">
        <v>3026</v>
      </c>
      <c r="C188" s="41">
        <v>3</v>
      </c>
      <c r="D188" s="42">
        <v>12</v>
      </c>
      <c r="E188" s="43">
        <v>3624</v>
      </c>
      <c r="F188" s="44">
        <v>30532905555</v>
      </c>
      <c r="G188" s="45" t="str">
        <f>IFERROR(IF(compras_mes12[[#This Row],[CUIT]]="","-",VLOOKUP(compras_mes12[[#This Row],[CUIT]],Lista_CUIT[#All],2,0)),"CUIT NO CARGADO")</f>
        <v>UNTECO S.A.I.C. E I.</v>
      </c>
      <c r="H188" s="46">
        <v>-18839.599999999999</v>
      </c>
      <c r="I188" s="85">
        <f>IF(compras_mes12[[#This Row],[NETO GRAVADO]]="","",compras_mes12[[#This Row],[NETO GRAVADO]]*0.21)</f>
        <v>-3956.3159999999993</v>
      </c>
      <c r="J188" s="85"/>
      <c r="K188" s="85"/>
      <c r="L188" s="85"/>
      <c r="M188" s="85"/>
      <c r="N188" s="85"/>
      <c r="O188" s="85"/>
      <c r="P188" s="48">
        <f>SUM(compras_mes12[[#This Row],[NETO GRAVADO]:[Otros / No Grav.]])</f>
        <v>-22795.915999999997</v>
      </c>
      <c r="Q188" s="49" t="str">
        <f>IFERROR(IF(compras_mes12[[#This Row],[CUIT]]="","-",VLOOKUP(compras_mes12[[#This Row],[CUIT]],Lista_CUIT[#All],3,0)),"CUIT NO CARGADO")</f>
        <v>Productos Terminados</v>
      </c>
      <c r="R188" s="49">
        <f>IFERROR(IF(compras_mes12[[#This Row],[CUIT]]="","-",VLOOKUP(compras_mes12[[#This Row],[CUIT]],Lista_CUIT[#All],4,0)),"CUIT NO CARGADO")</f>
        <v>0</v>
      </c>
    </row>
    <row r="189" spans="2:18" x14ac:dyDescent="0.25">
      <c r="B189" s="40" t="s">
        <v>3026</v>
      </c>
      <c r="C189" s="41">
        <v>1</v>
      </c>
      <c r="D189" s="42">
        <v>2</v>
      </c>
      <c r="E189" s="43">
        <v>4228</v>
      </c>
      <c r="F189" s="44">
        <v>30629863571</v>
      </c>
      <c r="G189" s="45" t="str">
        <f>IFERROR(IF(compras_mes12[[#This Row],[CUIT]]="","-",VLOOKUP(compras_mes12[[#This Row],[CUIT]],Lista_CUIT[#All],2,0)),"CUIT NO CARGADO")</f>
        <v>TECNIMAR S R L</v>
      </c>
      <c r="H189" s="46">
        <v>1826616</v>
      </c>
      <c r="I189" s="85">
        <f>IF(compras_mes12[[#This Row],[NETO GRAVADO]]="","",compras_mes12[[#This Row],[NETO GRAVADO]]*0.21)</f>
        <v>383589.36</v>
      </c>
      <c r="J189" s="85"/>
      <c r="K189" s="85"/>
      <c r="L189" s="85"/>
      <c r="M189" s="85"/>
      <c r="N189" s="85"/>
      <c r="O189" s="85"/>
      <c r="P189" s="48">
        <f>SUM(compras_mes12[[#This Row],[NETO GRAVADO]:[Otros / No Grav.]])</f>
        <v>2210205.36</v>
      </c>
      <c r="Q189" s="49" t="str">
        <f>IFERROR(IF(compras_mes12[[#This Row],[CUIT]]="","-",VLOOKUP(compras_mes12[[#This Row],[CUIT]],Lista_CUIT[#All],3,0)),"CUIT NO CARGADO")</f>
        <v>Productos Venta</v>
      </c>
      <c r="R189" s="49">
        <f>IFERROR(IF(compras_mes12[[#This Row],[CUIT]]="","-",VLOOKUP(compras_mes12[[#This Row],[CUIT]],Lista_CUIT[#All],4,0)),"CUIT NO CARGADO")</f>
        <v>0</v>
      </c>
    </row>
    <row r="190" spans="2:18" x14ac:dyDescent="0.25">
      <c r="B190" s="40" t="s">
        <v>3026</v>
      </c>
      <c r="C190" s="41">
        <v>1</v>
      </c>
      <c r="D190" s="42">
        <v>10</v>
      </c>
      <c r="E190" s="43">
        <v>20766</v>
      </c>
      <c r="F190" s="44">
        <v>30710796838</v>
      </c>
      <c r="G190" s="45" t="str">
        <f>IFERROR(IF(compras_mes12[[#This Row],[CUIT]]="","-",VLOOKUP(compras_mes12[[#This Row],[CUIT]],Lista_CUIT[#All],2,0)),"CUIT NO CARGADO")</f>
        <v>NO BAJAR LOS BRAZOS S.R.L.</v>
      </c>
      <c r="H190" s="46">
        <v>97520.66</v>
      </c>
      <c r="I190" s="85">
        <f>IF(compras_mes12[[#This Row],[NETO GRAVADO]]="","",compras_mes12[[#This Row],[NETO GRAVADO]]*0.21)</f>
        <v>20479.338599999999</v>
      </c>
      <c r="J190" s="85"/>
      <c r="K190" s="85"/>
      <c r="L190" s="85"/>
      <c r="M190" s="85"/>
      <c r="N190" s="85"/>
      <c r="O190" s="85"/>
      <c r="P190" s="48">
        <f>SUM(compras_mes12[[#This Row],[NETO GRAVADO]:[Otros / No Grav.]])</f>
        <v>117999.99860000001</v>
      </c>
      <c r="Q190" s="49" t="str">
        <f>IFERROR(IF(compras_mes12[[#This Row],[CUIT]]="","-",VLOOKUP(compras_mes12[[#This Row],[CUIT]],Lista_CUIT[#All],3,0)),"CUIT NO CARGADO")</f>
        <v>Gastos Limpieza</v>
      </c>
      <c r="R190" s="49">
        <f>IFERROR(IF(compras_mes12[[#This Row],[CUIT]]="","-",VLOOKUP(compras_mes12[[#This Row],[CUIT]],Lista_CUIT[#All],4,0)),"CUIT NO CARGADO")</f>
        <v>0</v>
      </c>
    </row>
    <row r="191" spans="2:18" x14ac:dyDescent="0.25">
      <c r="B191" s="40" t="s">
        <v>3026</v>
      </c>
      <c r="C191" s="41">
        <v>1</v>
      </c>
      <c r="D191" s="42">
        <v>1</v>
      </c>
      <c r="E191" s="43">
        <v>48799</v>
      </c>
      <c r="F191" s="44">
        <v>30718208692</v>
      </c>
      <c r="G191" s="45" t="str">
        <f>IFERROR(IF(compras_mes12[[#This Row],[CUIT]]="","-",VLOOKUP(compras_mes12[[#This Row],[CUIT]],Lista_CUIT[#All],2,0)),"CUIT NO CARGADO")</f>
        <v>UMP SOLUTIONS &amp; SUPPLIES SRL</v>
      </c>
      <c r="H191" s="46">
        <v>245052.6</v>
      </c>
      <c r="I191" s="85">
        <f>IF(compras_mes12[[#This Row],[NETO GRAVADO]]="","",compras_mes12[[#This Row],[NETO GRAVADO]]*0.21)</f>
        <v>51461.046000000002</v>
      </c>
      <c r="J191" s="85"/>
      <c r="K191" s="85"/>
      <c r="L191" s="85"/>
      <c r="M191" s="85"/>
      <c r="N191" s="85"/>
      <c r="O191" s="85"/>
      <c r="P191" s="48">
        <f>SUM(compras_mes12[[#This Row],[NETO GRAVADO]:[Otros / No Grav.]])</f>
        <v>296513.64600000001</v>
      </c>
      <c r="Q191" s="49" t="str">
        <f>IFERROR(IF(compras_mes12[[#This Row],[CUIT]]="","-",VLOOKUP(compras_mes12[[#This Row],[CUIT]],Lista_CUIT[#All],3,0)),"CUIT NO CARGADO")</f>
        <v>LIBRERÍA</v>
      </c>
      <c r="R191" s="49">
        <f>IFERROR(IF(compras_mes12[[#This Row],[CUIT]]="","-",VLOOKUP(compras_mes12[[#This Row],[CUIT]],Lista_CUIT[#All],4,0)),"CUIT NO CARGADO")</f>
        <v>0</v>
      </c>
    </row>
    <row r="192" spans="2:18" x14ac:dyDescent="0.25">
      <c r="B192" s="40" t="s">
        <v>3027</v>
      </c>
      <c r="C192" s="41">
        <v>1</v>
      </c>
      <c r="D192" s="42">
        <v>3</v>
      </c>
      <c r="E192" s="43">
        <v>186</v>
      </c>
      <c r="F192" s="44">
        <v>27317740196</v>
      </c>
      <c r="G192" s="45" t="str">
        <f>IFERROR(IF(compras_mes12[[#This Row],[CUIT]]="","-",VLOOKUP(compras_mes12[[#This Row],[CUIT]],Lista_CUIT[#All],2,0)),"CUIT NO CARGADO")</f>
        <v>HOKAMA ROMINA PAOLA</v>
      </c>
      <c r="H192" s="46">
        <v>23209.93</v>
      </c>
      <c r="I192" s="85">
        <f>IF(compras_mes12[[#This Row],[NETO GRAVADO]]="","",compras_mes12[[#This Row],[NETO GRAVADO]]*0.21)</f>
        <v>4874.0852999999997</v>
      </c>
      <c r="J192" s="85"/>
      <c r="K192" s="85"/>
      <c r="L192" s="85"/>
      <c r="M192" s="85"/>
      <c r="N192" s="85"/>
      <c r="O192" s="85"/>
      <c r="P192" s="48">
        <f>SUM(compras_mes12[[#This Row],[NETO GRAVADO]:[Otros / No Grav.]])</f>
        <v>28084.015299999999</v>
      </c>
      <c r="Q192" s="49" t="str">
        <f>IFERROR(IF(compras_mes12[[#This Row],[CUIT]]="","-",VLOOKUP(compras_mes12[[#This Row],[CUIT]],Lista_CUIT[#All],3,0)),"CUIT NO CARGADO")</f>
        <v>Gastos Varios</v>
      </c>
      <c r="R192" s="49">
        <f>IFERROR(IF(compras_mes12[[#This Row],[CUIT]]="","-",VLOOKUP(compras_mes12[[#This Row],[CUIT]],Lista_CUIT[#All],4,0)),"CUIT NO CARGADO")</f>
        <v>0</v>
      </c>
    </row>
    <row r="193" spans="2:18" x14ac:dyDescent="0.25">
      <c r="B193" s="40" t="s">
        <v>3027</v>
      </c>
      <c r="C193" s="41">
        <v>1</v>
      </c>
      <c r="D193" s="42">
        <v>2079</v>
      </c>
      <c r="E193" s="43">
        <v>12747</v>
      </c>
      <c r="F193" s="44">
        <v>30707639896</v>
      </c>
      <c r="G193" s="45" t="str">
        <f>IFERROR(IF(compras_mes12[[#This Row],[CUIT]]="","-",VLOOKUP(compras_mes12[[#This Row],[CUIT]],Lista_CUIT[#All],2,0)),"CUIT NO CARGADO")</f>
        <v>PETENATTI HNOS SA</v>
      </c>
      <c r="H193" s="46">
        <v>77685.119999999995</v>
      </c>
      <c r="I193" s="85">
        <f>IF(compras_mes12[[#This Row],[NETO GRAVADO]]="","",compras_mes12[[#This Row],[NETO GRAVADO]]*0.21)</f>
        <v>16313.875199999999</v>
      </c>
      <c r="J193" s="85"/>
      <c r="K193" s="85"/>
      <c r="L193" s="85"/>
      <c r="M193" s="85"/>
      <c r="N193" s="85"/>
      <c r="O193" s="85"/>
      <c r="P193" s="48">
        <f>SUM(compras_mes12[[#This Row],[NETO GRAVADO]:[Otros / No Grav.]])</f>
        <v>93998.99519999999</v>
      </c>
      <c r="Q193" s="49" t="str">
        <f>IFERROR(IF(compras_mes12[[#This Row],[CUIT]]="","-",VLOOKUP(compras_mes12[[#This Row],[CUIT]],Lista_CUIT[#All],3,0)),"CUIT NO CARGADO")</f>
        <v>Insumos</v>
      </c>
      <c r="R193" s="49">
        <f>IFERROR(IF(compras_mes12[[#This Row],[CUIT]]="","-",VLOOKUP(compras_mes12[[#This Row],[CUIT]],Lista_CUIT[#All],4,0)),"CUIT NO CARGADO")</f>
        <v>0</v>
      </c>
    </row>
    <row r="194" spans="2:18" x14ac:dyDescent="0.25">
      <c r="B194" s="40" t="s">
        <v>3027</v>
      </c>
      <c r="C194" s="41">
        <v>1</v>
      </c>
      <c r="D194" s="42">
        <v>2079</v>
      </c>
      <c r="E194" s="43">
        <v>12748</v>
      </c>
      <c r="F194" s="44">
        <v>30707639896</v>
      </c>
      <c r="G194" s="45" t="str">
        <f>IFERROR(IF(compras_mes12[[#This Row],[CUIT]]="","-",VLOOKUP(compras_mes12[[#This Row],[CUIT]],Lista_CUIT[#All],2,0)),"CUIT NO CARGADO")</f>
        <v>PETENATTI HNOS SA</v>
      </c>
      <c r="H194" s="46">
        <v>77685.119999999995</v>
      </c>
      <c r="I194" s="85">
        <f>IF(compras_mes12[[#This Row],[NETO GRAVADO]]="","",compras_mes12[[#This Row],[NETO GRAVADO]]*0.21)</f>
        <v>16313.875199999999</v>
      </c>
      <c r="J194" s="85"/>
      <c r="K194" s="85"/>
      <c r="L194" s="85"/>
      <c r="M194" s="85"/>
      <c r="N194" s="85"/>
      <c r="O194" s="85"/>
      <c r="P194" s="48">
        <f>SUM(compras_mes12[[#This Row],[NETO GRAVADO]:[Otros / No Grav.]])</f>
        <v>93998.99519999999</v>
      </c>
      <c r="Q194" s="49" t="str">
        <f>IFERROR(IF(compras_mes12[[#This Row],[CUIT]]="","-",VLOOKUP(compras_mes12[[#This Row],[CUIT]],Lista_CUIT[#All],3,0)),"CUIT NO CARGADO")</f>
        <v>Insumos</v>
      </c>
      <c r="R194" s="49">
        <f>IFERROR(IF(compras_mes12[[#This Row],[CUIT]]="","-",VLOOKUP(compras_mes12[[#This Row],[CUIT]],Lista_CUIT[#All],4,0)),"CUIT NO CARGADO")</f>
        <v>0</v>
      </c>
    </row>
    <row r="195" spans="2:18" x14ac:dyDescent="0.25">
      <c r="B195" s="40" t="s">
        <v>3027</v>
      </c>
      <c r="C195" s="41">
        <v>1</v>
      </c>
      <c r="D195" s="42">
        <v>126</v>
      </c>
      <c r="E195" s="43">
        <v>342573</v>
      </c>
      <c r="F195" s="44">
        <v>30577207190</v>
      </c>
      <c r="G195" s="45" t="str">
        <f>IFERROR(IF(compras_mes12[[#This Row],[CUIT]]="","-",VLOOKUP(compras_mes12[[#This Row],[CUIT]],Lista_CUIT[#All],2,0)),"CUIT NO CARGADO")</f>
        <v>COORDINACION ECOLOGICA AREA METROPOLITANA SOCIEDAD DEL ESTADO</v>
      </c>
      <c r="H195" s="46">
        <v>6611.57</v>
      </c>
      <c r="I195" s="85">
        <f>IF(compras_mes12[[#This Row],[NETO GRAVADO]]="","",compras_mes12[[#This Row],[NETO GRAVADO]]*0.21)</f>
        <v>1388.4296999999999</v>
      </c>
      <c r="J195" s="85"/>
      <c r="K195" s="85"/>
      <c r="L195" s="85">
        <v>198.35</v>
      </c>
      <c r="M195" s="85"/>
      <c r="N195" s="85"/>
      <c r="O195" s="552"/>
      <c r="P195" s="48">
        <f>SUM(compras_mes12[[#This Row],[NETO GRAVADO]:[Otros / No Grav.]])</f>
        <v>8198.3496999999988</v>
      </c>
      <c r="Q195" s="49" t="str">
        <f>IFERROR(IF(compras_mes12[[#This Row],[CUIT]]="","-",VLOOKUP(compras_mes12[[#This Row],[CUIT]],Lista_CUIT[#All],3,0)),"CUIT NO CARGADO")</f>
        <v>Gastos Limpieza</v>
      </c>
      <c r="R195" s="49">
        <f>IFERROR(IF(compras_mes12[[#This Row],[CUIT]]="","-",VLOOKUP(compras_mes12[[#This Row],[CUIT]],Lista_CUIT[#All],4,0)),"CUIT NO CARGADO")</f>
        <v>0</v>
      </c>
    </row>
    <row r="196" spans="2:18" x14ac:dyDescent="0.25">
      <c r="B196" s="40" t="s">
        <v>3027</v>
      </c>
      <c r="C196" s="41">
        <v>1</v>
      </c>
      <c r="D196" s="42">
        <v>5015</v>
      </c>
      <c r="E196" s="43">
        <v>1106991</v>
      </c>
      <c r="F196" s="44">
        <v>30574876474</v>
      </c>
      <c r="G196" s="45" t="str">
        <f>IFERROR(IF(compras_mes12[[#This Row],[CUIT]]="","-",VLOOKUP(compras_mes12[[#This Row],[CUIT]],Lista_CUIT[#All],2,0)),"CUIT NO CARGADO")</f>
        <v>AUTOPISTAS URBANAS S A</v>
      </c>
      <c r="H196" s="46">
        <v>204766.45</v>
      </c>
      <c r="I196" s="85">
        <f>IF(compras_mes12[[#This Row],[NETO GRAVADO]]="","",compras_mes12[[#This Row],[NETO GRAVADO]]*0.21)</f>
        <v>43000.9545</v>
      </c>
      <c r="J196" s="85"/>
      <c r="K196" s="85"/>
      <c r="L196" s="85"/>
      <c r="M196" s="85"/>
      <c r="N196" s="85"/>
      <c r="O196" s="85">
        <v>26619.61</v>
      </c>
      <c r="P196" s="48">
        <f>SUM(compras_mes12[[#This Row],[NETO GRAVADO]:[Otros / No Grav.]])</f>
        <v>274387.01449999999</v>
      </c>
      <c r="Q196" s="49" t="str">
        <f>IFERROR(IF(compras_mes12[[#This Row],[CUIT]]="","-",VLOOKUP(compras_mes12[[#This Row],[CUIT]],Lista_CUIT[#All],3,0)),"CUIT NO CARGADO")</f>
        <v>Peajes</v>
      </c>
      <c r="R196" s="49">
        <f>IFERROR(IF(compras_mes12[[#This Row],[CUIT]]="","-",VLOOKUP(compras_mes12[[#This Row],[CUIT]],Lista_CUIT[#All],4,0)),"CUIT NO CARGADO")</f>
        <v>0</v>
      </c>
    </row>
    <row r="197" spans="2:18" x14ac:dyDescent="0.25">
      <c r="B197" s="40" t="s">
        <v>3027</v>
      </c>
      <c r="C197" s="41">
        <v>1</v>
      </c>
      <c r="D197" s="42">
        <v>11</v>
      </c>
      <c r="E197" s="43">
        <v>1266717</v>
      </c>
      <c r="F197" s="44">
        <v>33709585229</v>
      </c>
      <c r="G197" s="45" t="str">
        <f>IFERROR(IF(compras_mes12[[#This Row],[CUIT]]="","-",VLOOKUP(compras_mes12[[#This Row],[CUIT]],Lista_CUIT[#All],2,0)),"CUIT NO CARGADO")</f>
        <v>GOOGLE ARGENTINA S.R.L.</v>
      </c>
      <c r="H197" s="46">
        <v>217563.39</v>
      </c>
      <c r="I197" s="85">
        <f>IF(compras_mes12[[#This Row],[NETO GRAVADO]]="","",compras_mes12[[#This Row],[NETO GRAVADO]]*0.21)</f>
        <v>45688.311900000001</v>
      </c>
      <c r="J197" s="85"/>
      <c r="K197" s="85"/>
      <c r="L197" s="85"/>
      <c r="M197" s="85"/>
      <c r="N197" s="85">
        <v>53721.84</v>
      </c>
      <c r="O197" s="85">
        <v>6526.9</v>
      </c>
      <c r="P197" s="48">
        <f>SUM(compras_mes12[[#This Row],[NETO GRAVADO]:[Otros / No Grav.]])</f>
        <v>323500.44189999998</v>
      </c>
      <c r="Q197" s="49" t="str">
        <f>IFERROR(IF(compras_mes12[[#This Row],[CUIT]]="","-",VLOOKUP(compras_mes12[[#This Row],[CUIT]],Lista_CUIT[#All],3,0)),"CUIT NO CARGADO")</f>
        <v>Gastos Comercializacion</v>
      </c>
      <c r="R197" s="49">
        <f>IFERROR(IF(compras_mes12[[#This Row],[CUIT]]="","-",VLOOKUP(compras_mes12[[#This Row],[CUIT]],Lista_CUIT[#All],4,0)),"CUIT NO CARGADO")</f>
        <v>0</v>
      </c>
    </row>
    <row r="198" spans="2:18" x14ac:dyDescent="0.25">
      <c r="B198" s="40" t="s">
        <v>3027</v>
      </c>
      <c r="C198" s="41">
        <v>1</v>
      </c>
      <c r="D198" s="42">
        <v>50</v>
      </c>
      <c r="E198" s="43">
        <v>4855878</v>
      </c>
      <c r="F198" s="44">
        <v>30714112836</v>
      </c>
      <c r="G198" s="45" t="str">
        <f>IFERROR(IF(compras_mes12[[#This Row],[CUIT]]="","-",VLOOKUP(compras_mes12[[#This Row],[CUIT]],Lista_CUIT[#All],2,0)),"CUIT NO CARGADO")</f>
        <v>AUTOPISTAS DE BS AS</v>
      </c>
      <c r="H198" s="46">
        <v>48224.27</v>
      </c>
      <c r="I198" s="85">
        <f>IF(compras_mes12[[#This Row],[NETO GRAVADO]]="","",compras_mes12[[#This Row],[NETO GRAVADO]]*0.21)</f>
        <v>10127.096699999998</v>
      </c>
      <c r="J198" s="85"/>
      <c r="K198" s="85"/>
      <c r="L198" s="85">
        <v>1446.73</v>
      </c>
      <c r="M198" s="85"/>
      <c r="N198" s="85"/>
      <c r="O198" s="552"/>
      <c r="P198" s="48">
        <f>SUM(compras_mes12[[#This Row],[NETO GRAVADO]:[Otros / No Grav.]])</f>
        <v>59798.096700000002</v>
      </c>
      <c r="Q198" s="49" t="str">
        <f>IFERROR(IF(compras_mes12[[#This Row],[CUIT]]="","-",VLOOKUP(compras_mes12[[#This Row],[CUIT]],Lista_CUIT[#All],3,0)),"CUIT NO CARGADO")</f>
        <v>Peajes</v>
      </c>
      <c r="R198" s="49">
        <f>IFERROR(IF(compras_mes12[[#This Row],[CUIT]]="","-",VLOOKUP(compras_mes12[[#This Row],[CUIT]],Lista_CUIT[#All],4,0)),"CUIT NO CARGADO")</f>
        <v>0</v>
      </c>
    </row>
    <row r="199" spans="2:18" x14ac:dyDescent="0.25">
      <c r="B199" s="95" t="s">
        <v>103</v>
      </c>
      <c r="C199" s="95"/>
      <c r="D199" s="95"/>
      <c r="E199" s="95"/>
      <c r="F199" s="95"/>
      <c r="G199" s="96"/>
      <c r="H199" s="97">
        <f>SUBTOTAL(109,compras_mes12[NETO GRAVADO])</f>
        <v>108780795.98</v>
      </c>
      <c r="I199" s="97">
        <f>SUBTOTAL(109,compras_mes12[IVA 21 %])</f>
        <v>21524423.260300003</v>
      </c>
      <c r="J199" s="97">
        <f>SUBTOTAL(109,compras_mes12[IVA 27%])</f>
        <v>33905.86</v>
      </c>
      <c r="K199" s="97">
        <f>SUBTOTAL(109,compras_mes12[IVA 10,5%])</f>
        <v>646586.33455000015</v>
      </c>
      <c r="L199" s="97">
        <f>SUBTOTAL(109,compras_mes12[PERC. IVA])</f>
        <v>44327.920000000006</v>
      </c>
      <c r="M199" s="97">
        <f>SUBTOTAL(109,compras_mes12[PERC IIBB 
BS AS])</f>
        <v>143941.38</v>
      </c>
      <c r="N199" s="97">
        <f>SUBTOTAL(109,compras_mes12[PERC. IIBB CABA])</f>
        <v>231915.06</v>
      </c>
      <c r="O199" s="97">
        <f>SUBTOTAL(109,compras_mes12[Otros / No Grav.])</f>
        <v>2500962.59</v>
      </c>
      <c r="P199" s="97">
        <f>SUBTOTAL(109,compras_mes12[TOTAL])</f>
        <v>133906858.38485003</v>
      </c>
      <c r="Q199" s="95"/>
      <c r="R199" s="95"/>
    </row>
    <row r="200" spans="2:18" x14ac:dyDescent="0.25">
      <c r="B200" s="40"/>
      <c r="C200" s="41"/>
      <c r="D200" s="42"/>
      <c r="E200" s="43"/>
      <c r="F200" s="44"/>
      <c r="G200" s="45"/>
      <c r="H200" s="46"/>
      <c r="I200" s="47"/>
      <c r="J200" s="47"/>
      <c r="K200" s="47"/>
      <c r="L200" s="47"/>
      <c r="M200" s="47"/>
      <c r="N200" s="47"/>
      <c r="O200" s="47"/>
      <c r="P200" s="48"/>
      <c r="Q200" s="49"/>
      <c r="R200" s="49"/>
    </row>
    <row r="201" spans="2:18" x14ac:dyDescent="0.25">
      <c r="B201" s="40"/>
      <c r="C201" s="41"/>
      <c r="D201" s="42"/>
      <c r="E201" s="43"/>
      <c r="F201" s="44"/>
      <c r="G201" s="45"/>
      <c r="H201" s="46"/>
      <c r="I201" s="47"/>
      <c r="J201" s="47"/>
      <c r="K201" s="47"/>
      <c r="L201" s="47"/>
      <c r="M201" s="47"/>
      <c r="N201" s="47"/>
      <c r="O201" s="47"/>
      <c r="P201" s="48"/>
      <c r="Q201" s="49"/>
      <c r="R201" s="49"/>
    </row>
    <row r="202" spans="2:18" x14ac:dyDescent="0.25">
      <c r="B202" s="40"/>
      <c r="C202" s="41"/>
      <c r="D202" s="42"/>
      <c r="E202" s="43"/>
      <c r="F202" s="44"/>
      <c r="H202" s="45"/>
      <c r="I202" s="45"/>
      <c r="J202" s="47"/>
      <c r="K202" s="47"/>
      <c r="L202" s="47"/>
      <c r="M202" s="47"/>
      <c r="N202" s="47"/>
      <c r="O202" s="47"/>
      <c r="P202" s="48"/>
      <c r="Q202" s="49"/>
      <c r="R202" s="49"/>
    </row>
    <row r="203" spans="2:18" x14ac:dyDescent="0.25">
      <c r="B203" s="40"/>
      <c r="C203" s="41"/>
      <c r="D203" s="42"/>
      <c r="E203" s="43"/>
      <c r="F203" s="44"/>
      <c r="G203" s="45"/>
      <c r="H203" s="46"/>
      <c r="I203" s="47"/>
      <c r="J203" s="47"/>
      <c r="K203" s="47"/>
      <c r="L203" s="47"/>
    </row>
    <row r="204" spans="2:18" ht="21" x14ac:dyDescent="0.25">
      <c r="D204" s="581" t="s">
        <v>15</v>
      </c>
      <c r="E204" s="581"/>
      <c r="F204" s="581"/>
      <c r="G204" s="581"/>
      <c r="H204" s="581"/>
      <c r="I204" s="581"/>
      <c r="J204" s="581"/>
      <c r="K204" s="581"/>
      <c r="L204" s="581"/>
    </row>
    <row r="205" spans="2:18" ht="15.75" x14ac:dyDescent="0.25">
      <c r="D205" s="73" t="s">
        <v>0</v>
      </c>
      <c r="E205" s="74" t="s">
        <v>26</v>
      </c>
      <c r="F205" s="74" t="s">
        <v>16</v>
      </c>
      <c r="G205" s="74" t="s">
        <v>5</v>
      </c>
      <c r="H205" s="74" t="s">
        <v>17</v>
      </c>
      <c r="I205" s="74" t="s">
        <v>7</v>
      </c>
      <c r="J205" s="75" t="s">
        <v>18</v>
      </c>
      <c r="K205" s="75" t="s">
        <v>19</v>
      </c>
      <c r="L205" s="76" t="s">
        <v>20</v>
      </c>
      <c r="M205" s="576" t="s">
        <v>3056</v>
      </c>
    </row>
    <row r="206" spans="2:18" ht="14.25" customHeight="1" x14ac:dyDescent="0.25">
      <c r="D206" s="50"/>
      <c r="E206" s="155"/>
      <c r="F206" s="154" t="s">
        <v>2310</v>
      </c>
      <c r="G206" s="81">
        <v>86625.69</v>
      </c>
      <c r="H206" s="81">
        <v>18129.09</v>
      </c>
      <c r="I206" s="81">
        <v>31.152449999999998</v>
      </c>
      <c r="J206" s="81">
        <v>2584.0499999999997</v>
      </c>
      <c r="K206" s="81">
        <v>2584.0499999999997</v>
      </c>
      <c r="L206" s="81"/>
      <c r="M206" s="575"/>
    </row>
    <row r="207" spans="2:18" x14ac:dyDescent="0.25">
      <c r="D207" s="50"/>
      <c r="E207" s="155"/>
      <c r="F207" s="154" t="s">
        <v>2312</v>
      </c>
      <c r="G207" s="81">
        <v>55726.07</v>
      </c>
      <c r="H207" s="81">
        <v>11550</v>
      </c>
      <c r="I207" s="81">
        <v>76.237350000000006</v>
      </c>
      <c r="J207" s="81">
        <v>1650</v>
      </c>
      <c r="K207" s="81">
        <v>1650</v>
      </c>
      <c r="L207" s="81"/>
      <c r="M207" s="575"/>
    </row>
    <row r="208" spans="2:18" x14ac:dyDescent="0.25">
      <c r="D208" s="50"/>
      <c r="E208" s="155"/>
      <c r="F208" s="154" t="s">
        <v>3054</v>
      </c>
      <c r="G208" s="81"/>
      <c r="H208" s="81"/>
      <c r="I208" s="81"/>
      <c r="J208" s="81"/>
      <c r="K208" s="81"/>
      <c r="L208" s="81"/>
      <c r="M208" s="575"/>
    </row>
    <row r="209" spans="4:13" x14ac:dyDescent="0.25">
      <c r="D209" s="50"/>
      <c r="E209" s="155"/>
      <c r="F209" s="154" t="s">
        <v>2314</v>
      </c>
      <c r="G209" s="81">
        <v>157195.29</v>
      </c>
      <c r="H209" s="81">
        <v>30865.8</v>
      </c>
      <c r="I209" s="81">
        <v>1072.60545</v>
      </c>
      <c r="J209" s="81">
        <v>3700.95</v>
      </c>
      <c r="K209" s="81">
        <v>4418.3200000000006</v>
      </c>
      <c r="L209" s="81"/>
      <c r="M209" s="575"/>
    </row>
    <row r="210" spans="4:13" x14ac:dyDescent="0.25">
      <c r="D210" s="50"/>
      <c r="E210" s="155"/>
      <c r="F210" s="154" t="s">
        <v>2184</v>
      </c>
      <c r="G210" s="81">
        <v>5289</v>
      </c>
      <c r="H210" s="81">
        <v>1110.69</v>
      </c>
      <c r="I210" s="81"/>
      <c r="J210" s="81">
        <v>714.68</v>
      </c>
      <c r="K210" s="81">
        <v>158.66999999999999</v>
      </c>
      <c r="L210" s="81"/>
      <c r="M210" s="575"/>
    </row>
    <row r="211" spans="4:13" x14ac:dyDescent="0.25">
      <c r="D211" s="50"/>
      <c r="E211" s="155"/>
      <c r="F211" s="154" t="s">
        <v>2809</v>
      </c>
      <c r="G211" s="81">
        <v>7128.1</v>
      </c>
      <c r="H211" s="81">
        <v>1496.9010000000001</v>
      </c>
      <c r="I211" s="81"/>
      <c r="J211" s="81">
        <v>1263.2199999999998</v>
      </c>
      <c r="K211" s="81">
        <v>213.84</v>
      </c>
      <c r="L211" s="81"/>
      <c r="M211" s="575"/>
    </row>
    <row r="212" spans="4:13" x14ac:dyDescent="0.25">
      <c r="D212" s="50">
        <v>46007</v>
      </c>
      <c r="E212" s="155" t="s">
        <v>3057</v>
      </c>
      <c r="F212" s="80" t="s">
        <v>3055</v>
      </c>
      <c r="G212" s="81">
        <v>15808913.609999999</v>
      </c>
      <c r="H212" s="81">
        <v>3319871</v>
      </c>
      <c r="I212" s="81"/>
      <c r="J212" s="81"/>
      <c r="K212" s="81">
        <v>3161794.23</v>
      </c>
      <c r="L212" s="81">
        <v>570480.32999999996</v>
      </c>
      <c r="M212" s="575">
        <v>3900722.91</v>
      </c>
    </row>
    <row r="213" spans="4:13" x14ac:dyDescent="0.25">
      <c r="D213" s="50">
        <v>46008</v>
      </c>
      <c r="E213" s="155" t="s">
        <v>3058</v>
      </c>
      <c r="F213" s="80" t="s">
        <v>3055</v>
      </c>
      <c r="G213" s="81">
        <v>3778196.7</v>
      </c>
      <c r="H213" s="81">
        <v>793421.31</v>
      </c>
      <c r="I213" s="81"/>
      <c r="J213" s="81"/>
      <c r="K213" s="81">
        <v>755651.78</v>
      </c>
      <c r="L213" s="81">
        <v>205229.44</v>
      </c>
      <c r="M213" s="575">
        <f>453379.46+860080.25</f>
        <v>1313459.71</v>
      </c>
    </row>
    <row r="214" spans="4:13" x14ac:dyDescent="0.25">
      <c r="D214" s="50"/>
      <c r="E214" s="79"/>
      <c r="F214" s="80"/>
      <c r="G214" s="81"/>
      <c r="H214" s="81"/>
      <c r="I214" s="81"/>
      <c r="J214" s="81"/>
      <c r="K214" s="81"/>
      <c r="L214" s="81"/>
      <c r="M214" s="575"/>
    </row>
    <row r="215" spans="4:13" x14ac:dyDescent="0.25">
      <c r="D215" s="82" t="s">
        <v>103</v>
      </c>
      <c r="E215" s="80"/>
      <c r="F215" s="80"/>
      <c r="G215" s="83">
        <f>SUBTOTAL(109,extracto_banco_mes12[NETO])</f>
        <v>19899074.460000001</v>
      </c>
      <c r="H215" s="83">
        <f>SUBTOTAL(109,extracto_banco_mes12[IVA 21%])</f>
        <v>4176444.7910000002</v>
      </c>
      <c r="I215" s="83">
        <f>SUBTOTAL(109,extracto_banco_mes12[IVA 10,5%])</f>
        <v>1179.9952499999999</v>
      </c>
      <c r="J215" s="83">
        <f>SUBTOTAL(109,extracto_banco_mes12[RET IIBB CABA])</f>
        <v>9912.8999999999978</v>
      </c>
      <c r="K215" s="83">
        <f>SUBTOTAL(109,extracto_banco_mes12[PERC IVA])</f>
        <v>3926470.8899999997</v>
      </c>
      <c r="L215" s="83">
        <f>SUBTOTAL(109,extracto_banco_mes12[PERC IIBB])</f>
        <v>775709.77</v>
      </c>
      <c r="M215" s="228"/>
    </row>
    <row r="219" spans="4:13" ht="21" x14ac:dyDescent="0.25">
      <c r="D219" s="581" t="s">
        <v>1133</v>
      </c>
      <c r="E219" s="581"/>
      <c r="F219" s="581"/>
      <c r="G219" s="581"/>
      <c r="H219" s="581"/>
      <c r="I219" s="581"/>
      <c r="J219" s="581"/>
      <c r="K219" s="581"/>
    </row>
    <row r="220" spans="4:13" x14ac:dyDescent="0.25">
      <c r="D220" s="51" t="s">
        <v>0</v>
      </c>
      <c r="E220" s="51" t="s">
        <v>2</v>
      </c>
      <c r="F220" s="51" t="s">
        <v>74</v>
      </c>
      <c r="G220" s="51" t="s">
        <v>3</v>
      </c>
      <c r="H220" s="51" t="s">
        <v>4</v>
      </c>
      <c r="I220" s="52" t="s">
        <v>10</v>
      </c>
      <c r="J220" s="51" t="s">
        <v>13</v>
      </c>
      <c r="K220" s="51" t="s">
        <v>38</v>
      </c>
    </row>
    <row r="221" spans="4:13" x14ac:dyDescent="0.25">
      <c r="D221" s="271" t="s">
        <v>2997</v>
      </c>
      <c r="E221" s="267">
        <v>4</v>
      </c>
      <c r="F221" s="268">
        <v>5708</v>
      </c>
      <c r="G221" s="269">
        <v>23221086309</v>
      </c>
      <c r="H221" s="271" t="str">
        <f>IFERROR(IF(factura_c_mes12[[#This Row],[CUIT]]="","-",VLOOKUP(factura_c_mes12[[#This Row],[CUIT]],Lista_CUIT[#All],2,0)),"CUIT NO CARGADO")</f>
        <v>TREBAIOCHI CLAUDIO FABIAN</v>
      </c>
      <c r="I221" s="273">
        <v>33600</v>
      </c>
      <c r="J221" s="270" t="str">
        <f>IFERROR(IF(factura_c_mes12[[#This Row],[CUIT]]="","-",VLOOKUP(factura_c_mes12[[#This Row],[CUIT]],Lista_CUIT[#All],3,0)),"CUIT NO CARGADO")</f>
        <v>Ferreteria</v>
      </c>
      <c r="K221" s="270">
        <f>IFERROR(IF(factura_c_mes12[[#This Row],[CUIT]]="","-",VLOOKUP(factura_c_mes12[[#This Row],[CUIT]],Lista_CUIT[#All],4,0)),"CUIT NO CARGADO")</f>
        <v>0</v>
      </c>
    </row>
    <row r="222" spans="4:13" x14ac:dyDescent="0.25">
      <c r="D222" s="271" t="s">
        <v>2994</v>
      </c>
      <c r="E222" s="267">
        <v>2</v>
      </c>
      <c r="F222" s="268">
        <v>6119</v>
      </c>
      <c r="G222" s="269">
        <v>20136536320</v>
      </c>
      <c r="H222" s="271" t="str">
        <f>IFERROR(IF(factura_c_mes12[[#This Row],[CUIT]]="","-",VLOOKUP(factura_c_mes12[[#This Row],[CUIT]],Lista_CUIT[#All],2,0)),"CUIT NO CARGADO")</f>
        <v>FONTENLA ERNESTO MARIO</v>
      </c>
      <c r="I222" s="273">
        <v>10500</v>
      </c>
      <c r="J222" s="270" t="str">
        <f>IFERROR(IF(factura_c_mes12[[#This Row],[CUIT]]="","-",VLOOKUP(factura_c_mes12[[#This Row],[CUIT]],Lista_CUIT[#All],3,0)),"CUIT NO CARGADO")</f>
        <v>Gastos Varios</v>
      </c>
      <c r="K222" s="270" t="str">
        <f>IFERROR(IF(factura_c_mes12[[#This Row],[CUIT]]="","-",VLOOKUP(factura_c_mes12[[#This Row],[CUIT]],Lista_CUIT[#All],4,0)),"CUIT NO CARGADO")</f>
        <v>CABA</v>
      </c>
    </row>
    <row r="223" spans="4:13" x14ac:dyDescent="0.25">
      <c r="D223" s="271" t="s">
        <v>2994</v>
      </c>
      <c r="E223" s="267">
        <v>2</v>
      </c>
      <c r="F223" s="268">
        <v>6117</v>
      </c>
      <c r="G223" s="269">
        <v>20136536320</v>
      </c>
      <c r="H223" s="271" t="str">
        <f>IFERROR(IF(factura_c_mes12[[#This Row],[CUIT]]="","-",VLOOKUP(factura_c_mes12[[#This Row],[CUIT]],Lista_CUIT[#All],2,0)),"CUIT NO CARGADO")</f>
        <v>FONTENLA ERNESTO MARIO</v>
      </c>
      <c r="I223" s="273">
        <v>5000</v>
      </c>
      <c r="J223" s="270" t="str">
        <f>IFERROR(IF(factura_c_mes12[[#This Row],[CUIT]]="","-",VLOOKUP(factura_c_mes12[[#This Row],[CUIT]],Lista_CUIT[#All],3,0)),"CUIT NO CARGADO")</f>
        <v>Gastos Varios</v>
      </c>
      <c r="K223" s="270" t="str">
        <f>IFERROR(IF(factura_c_mes12[[#This Row],[CUIT]]="","-",VLOOKUP(factura_c_mes12[[#This Row],[CUIT]],Lista_CUIT[#All],4,0)),"CUIT NO CARGADO")</f>
        <v>CABA</v>
      </c>
    </row>
    <row r="224" spans="4:13" x14ac:dyDescent="0.25">
      <c r="D224" s="271" t="s">
        <v>2998</v>
      </c>
      <c r="E224" s="267">
        <v>2</v>
      </c>
      <c r="F224" s="268">
        <v>299</v>
      </c>
      <c r="G224" s="269">
        <v>20424968154</v>
      </c>
      <c r="H224" s="271" t="str">
        <f>IFERROR(IF(factura_c_mes12[[#This Row],[CUIT]]="","-",VLOOKUP(factura_c_mes12[[#This Row],[CUIT]],Lista_CUIT[#All],2,0)),"CUIT NO CARGADO")</f>
        <v>BELVEDERE MATIAS ARIEL</v>
      </c>
      <c r="I224" s="273">
        <v>39600</v>
      </c>
      <c r="J224" s="270" t="str">
        <f>IFERROR(IF(factura_c_mes12[[#This Row],[CUIT]]="","-",VLOOKUP(factura_c_mes12[[#This Row],[CUIT]],Lista_CUIT[#All],3,0)),"CUIT NO CARGADO")</f>
        <v>Gastos Varios</v>
      </c>
      <c r="K224" s="270">
        <f>IFERROR(IF(factura_c_mes12[[#This Row],[CUIT]]="","-",VLOOKUP(factura_c_mes12[[#This Row],[CUIT]],Lista_CUIT[#All],4,0)),"CUIT NO CARGADO")</f>
        <v>0</v>
      </c>
    </row>
    <row r="225" spans="4:11" x14ac:dyDescent="0.25">
      <c r="D225" s="271" t="s">
        <v>2998</v>
      </c>
      <c r="E225" s="267">
        <v>2</v>
      </c>
      <c r="F225" s="268">
        <v>300</v>
      </c>
      <c r="G225" s="269">
        <v>20424968154</v>
      </c>
      <c r="H225" s="271" t="str">
        <f>IFERROR(IF(factura_c_mes12[[#This Row],[CUIT]]="","-",VLOOKUP(factura_c_mes12[[#This Row],[CUIT]],Lista_CUIT[#All],2,0)),"CUIT NO CARGADO")</f>
        <v>BELVEDERE MATIAS ARIEL</v>
      </c>
      <c r="I225" s="273">
        <v>7920</v>
      </c>
      <c r="J225" s="270" t="str">
        <f>IFERROR(IF(factura_c_mes12[[#This Row],[CUIT]]="","-",VLOOKUP(factura_c_mes12[[#This Row],[CUIT]],Lista_CUIT[#All],3,0)),"CUIT NO CARGADO")</f>
        <v>Gastos Varios</v>
      </c>
      <c r="K225" s="270">
        <f>IFERROR(IF(factura_c_mes12[[#This Row],[CUIT]]="","-",VLOOKUP(factura_c_mes12[[#This Row],[CUIT]],Lista_CUIT[#All],4,0)),"CUIT NO CARGADO")</f>
        <v>0</v>
      </c>
    </row>
    <row r="226" spans="4:11" x14ac:dyDescent="0.25">
      <c r="D226" s="271" t="s">
        <v>2998</v>
      </c>
      <c r="E226" s="267">
        <v>2</v>
      </c>
      <c r="F226" s="268">
        <v>312</v>
      </c>
      <c r="G226" s="269">
        <v>20424968154</v>
      </c>
      <c r="H226" s="271" t="str">
        <f>IFERROR(IF(factura_c_mes12[[#This Row],[CUIT]]="","-",VLOOKUP(factura_c_mes12[[#This Row],[CUIT]],Lista_CUIT[#All],2,0)),"CUIT NO CARGADO")</f>
        <v>BELVEDERE MATIAS ARIEL</v>
      </c>
      <c r="I226" s="273">
        <v>39600</v>
      </c>
      <c r="J226" s="270" t="str">
        <f>IFERROR(IF(factura_c_mes12[[#This Row],[CUIT]]="","-",VLOOKUP(factura_c_mes12[[#This Row],[CUIT]],Lista_CUIT[#All],3,0)),"CUIT NO CARGADO")</f>
        <v>Gastos Varios</v>
      </c>
      <c r="K226" s="270">
        <f>IFERROR(IF(factura_c_mes12[[#This Row],[CUIT]]="","-",VLOOKUP(factura_c_mes12[[#This Row],[CUIT]],Lista_CUIT[#All],4,0)),"CUIT NO CARGADO")</f>
        <v>0</v>
      </c>
    </row>
    <row r="227" spans="4:11" x14ac:dyDescent="0.25">
      <c r="D227" s="271" t="s">
        <v>3000</v>
      </c>
      <c r="E227" s="267">
        <v>2</v>
      </c>
      <c r="F227" s="268">
        <v>6202</v>
      </c>
      <c r="G227" s="269">
        <v>20136536320</v>
      </c>
      <c r="H227" s="271" t="str">
        <f>IFERROR(IF(factura_c_mes12[[#This Row],[CUIT]]="","-",VLOOKUP(factura_c_mes12[[#This Row],[CUIT]],Lista_CUIT[#All],2,0)),"CUIT NO CARGADO")</f>
        <v>FONTENLA ERNESTO MARIO</v>
      </c>
      <c r="I227" s="273">
        <v>23900</v>
      </c>
      <c r="J227" s="270" t="str">
        <f>IFERROR(IF(factura_c_mes12[[#This Row],[CUIT]]="","-",VLOOKUP(factura_c_mes12[[#This Row],[CUIT]],Lista_CUIT[#All],3,0)),"CUIT NO CARGADO")</f>
        <v>Gastos Varios</v>
      </c>
      <c r="K227" s="270" t="str">
        <f>IFERROR(IF(factura_c_mes12[[#This Row],[CUIT]]="","-",VLOOKUP(factura_c_mes12[[#This Row],[CUIT]],Lista_CUIT[#All],4,0)),"CUIT NO CARGADO")</f>
        <v>CABA</v>
      </c>
    </row>
    <row r="228" spans="4:11" x14ac:dyDescent="0.25">
      <c r="D228" s="271" t="s">
        <v>3001</v>
      </c>
      <c r="E228" s="267">
        <v>3</v>
      </c>
      <c r="F228" s="268">
        <v>2181</v>
      </c>
      <c r="G228" s="269">
        <v>20173025557</v>
      </c>
      <c r="H228" s="271" t="str">
        <f>IFERROR(IF(factura_c_mes12[[#This Row],[CUIT]]="","-",VLOOKUP(factura_c_mes12[[#This Row],[CUIT]],Lista_CUIT[#All],2,0)),"CUIT NO CARGADO")</f>
        <v>MARAUDA HECTOR</v>
      </c>
      <c r="I228" s="273">
        <v>10000</v>
      </c>
      <c r="J228" s="270" t="str">
        <f>IFERROR(IF(factura_c_mes12[[#This Row],[CUIT]]="","-",VLOOKUP(factura_c_mes12[[#This Row],[CUIT]],Lista_CUIT[#All],3,0)),"CUIT NO CARGADO")</f>
        <v>Gastos Varios</v>
      </c>
      <c r="K228" s="270">
        <f>IFERROR(IF(factura_c_mes12[[#This Row],[CUIT]]="","-",VLOOKUP(factura_c_mes12[[#This Row],[CUIT]],Lista_CUIT[#All],4,0)),"CUIT NO CARGADO")</f>
        <v>0</v>
      </c>
    </row>
    <row r="229" spans="4:11" x14ac:dyDescent="0.25">
      <c r="D229" s="271" t="s">
        <v>3001</v>
      </c>
      <c r="E229" s="267">
        <v>2</v>
      </c>
      <c r="F229" s="268">
        <v>6214</v>
      </c>
      <c r="G229" s="269">
        <v>20136536320</v>
      </c>
      <c r="H229" s="271" t="str">
        <f>IFERROR(IF(factura_c_mes12[[#This Row],[CUIT]]="","-",VLOOKUP(factura_c_mes12[[#This Row],[CUIT]],Lista_CUIT[#All],2,0)),"CUIT NO CARGADO")</f>
        <v>FONTENLA ERNESTO MARIO</v>
      </c>
      <c r="I229" s="273">
        <v>24500</v>
      </c>
      <c r="J229" s="270" t="str">
        <f>IFERROR(IF(factura_c_mes12[[#This Row],[CUIT]]="","-",VLOOKUP(factura_c_mes12[[#This Row],[CUIT]],Lista_CUIT[#All],3,0)),"CUIT NO CARGADO")</f>
        <v>Gastos Varios</v>
      </c>
      <c r="K229" s="270" t="str">
        <f>IFERROR(IF(factura_c_mes12[[#This Row],[CUIT]]="","-",VLOOKUP(factura_c_mes12[[#This Row],[CUIT]],Lista_CUIT[#All],4,0)),"CUIT NO CARGADO")</f>
        <v>CABA</v>
      </c>
    </row>
    <row r="230" spans="4:11" x14ac:dyDescent="0.25">
      <c r="D230" s="271" t="s">
        <v>3003</v>
      </c>
      <c r="E230" s="267">
        <v>10</v>
      </c>
      <c r="F230" s="268">
        <v>327</v>
      </c>
      <c r="G230" s="269">
        <v>20302234389</v>
      </c>
      <c r="H230" s="271" t="str">
        <f>IFERROR(IF(factura_c_mes12[[#This Row],[CUIT]]="","-",VLOOKUP(factura_c_mes12[[#This Row],[CUIT]],Lista_CUIT[#All],2,0)),"CUIT NO CARGADO")</f>
        <v>VIGORELLI GUILLERMO DANIEL</v>
      </c>
      <c r="I230" s="273">
        <v>400125</v>
      </c>
      <c r="J230" s="270" t="str">
        <f>IFERROR(IF(factura_c_mes12[[#This Row],[CUIT]]="","-",VLOOKUP(factura_c_mes12[[#This Row],[CUIT]],Lista_CUIT[#All],3,0)),"CUIT NO CARGADO")</f>
        <v>Gastos Varios</v>
      </c>
      <c r="K230" s="270">
        <f>IFERROR(IF(factura_c_mes12[[#This Row],[CUIT]]="","-",VLOOKUP(factura_c_mes12[[#This Row],[CUIT]],Lista_CUIT[#All],4,0)),"CUIT NO CARGADO")</f>
        <v>0</v>
      </c>
    </row>
    <row r="231" spans="4:11" x14ac:dyDescent="0.25">
      <c r="D231" s="271" t="s">
        <v>3003</v>
      </c>
      <c r="E231" s="267">
        <v>2</v>
      </c>
      <c r="F231" s="268">
        <v>6225</v>
      </c>
      <c r="G231" s="269">
        <v>20136536320</v>
      </c>
      <c r="H231" s="271" t="str">
        <f>IFERROR(IF(factura_c_mes12[[#This Row],[CUIT]]="","-",VLOOKUP(factura_c_mes12[[#This Row],[CUIT]],Lista_CUIT[#All],2,0)),"CUIT NO CARGADO")</f>
        <v>FONTENLA ERNESTO MARIO</v>
      </c>
      <c r="I231" s="273">
        <v>23500</v>
      </c>
      <c r="J231" s="270" t="str">
        <f>IFERROR(IF(factura_c_mes12[[#This Row],[CUIT]]="","-",VLOOKUP(factura_c_mes12[[#This Row],[CUIT]],Lista_CUIT[#All],3,0)),"CUIT NO CARGADO")</f>
        <v>Gastos Varios</v>
      </c>
      <c r="K231" s="270" t="str">
        <f>IFERROR(IF(factura_c_mes12[[#This Row],[CUIT]]="","-",VLOOKUP(factura_c_mes12[[#This Row],[CUIT]],Lista_CUIT[#All],4,0)),"CUIT NO CARGADO")</f>
        <v>CABA</v>
      </c>
    </row>
    <row r="232" spans="4:11" x14ac:dyDescent="0.25">
      <c r="D232" s="271" t="s">
        <v>3006</v>
      </c>
      <c r="E232" s="267">
        <v>2</v>
      </c>
      <c r="F232" s="268">
        <v>730</v>
      </c>
      <c r="G232" s="269">
        <v>20388318024</v>
      </c>
      <c r="H232" s="271" t="str">
        <f>IFERROR(IF(factura_c_mes12[[#This Row],[CUIT]]="","-",VLOOKUP(factura_c_mes12[[#This Row],[CUIT]],Lista_CUIT[#All],2,0)),"CUIT NO CARGADO")</f>
        <v>MORASCHIA MAURICIO AGUSTIN</v>
      </c>
      <c r="I232" s="273">
        <v>45000</v>
      </c>
      <c r="J232" s="270" t="str">
        <f>IFERROR(IF(factura_c_mes12[[#This Row],[CUIT]]="","-",VLOOKUP(factura_c_mes12[[#This Row],[CUIT]],Lista_CUIT[#All],3,0)),"CUIT NO CARGADO")</f>
        <v>Gastos Varios</v>
      </c>
      <c r="K232" s="270">
        <f>IFERROR(IF(factura_c_mes12[[#This Row],[CUIT]]="","-",VLOOKUP(factura_c_mes12[[#This Row],[CUIT]],Lista_CUIT[#All],4,0)),"CUIT NO CARGADO")</f>
        <v>0</v>
      </c>
    </row>
    <row r="233" spans="4:11" x14ac:dyDescent="0.25">
      <c r="D233" s="271" t="s">
        <v>2998</v>
      </c>
      <c r="E233" s="267">
        <v>2</v>
      </c>
      <c r="F233" s="268">
        <v>120</v>
      </c>
      <c r="G233" s="269">
        <v>20424968154</v>
      </c>
      <c r="H233" s="271" t="str">
        <f>IFERROR(IF(factura_c_mes12[[#This Row],[CUIT]]="","-",VLOOKUP(factura_c_mes12[[#This Row],[CUIT]],Lista_CUIT[#All],2,0)),"CUIT NO CARGADO")</f>
        <v>BELVEDERE MATIAS ARIEL</v>
      </c>
      <c r="I233" s="273">
        <v>-39600</v>
      </c>
      <c r="J233" s="270" t="str">
        <f>IFERROR(IF(factura_c_mes12[[#This Row],[CUIT]]="","-",VLOOKUP(factura_c_mes12[[#This Row],[CUIT]],Lista_CUIT[#All],3,0)),"CUIT NO CARGADO")</f>
        <v>Gastos Varios</v>
      </c>
      <c r="K233" s="270">
        <f>IFERROR(IF(factura_c_mes12[[#This Row],[CUIT]]="","-",VLOOKUP(factura_c_mes12[[#This Row],[CUIT]],Lista_CUIT[#All],4,0)),"CUIT NO CARGADO")</f>
        <v>0</v>
      </c>
    </row>
    <row r="234" spans="4:11" x14ac:dyDescent="0.25">
      <c r="D234" s="271" t="s">
        <v>2996</v>
      </c>
      <c r="E234" s="267">
        <v>1</v>
      </c>
      <c r="F234" s="268">
        <v>20</v>
      </c>
      <c r="G234" s="269">
        <v>27203738418</v>
      </c>
      <c r="H234" s="271" t="str">
        <f>IFERROR(IF(factura_c_mes12[[#This Row],[CUIT]]="","-",VLOOKUP(factura_c_mes12[[#This Row],[CUIT]],Lista_CUIT[#All],2,0)),"CUIT NO CARGADO")</f>
        <v>CASTILLO DELIA CRISTINA</v>
      </c>
      <c r="I234" s="273">
        <v>1000000</v>
      </c>
      <c r="J234" s="270" t="str">
        <f>IFERROR(IF(factura_c_mes12[[#This Row],[CUIT]]="","-",VLOOKUP(factura_c_mes12[[#This Row],[CUIT]],Lista_CUIT[#All],3,0)),"CUIT NO CARGADO")</f>
        <v>Gtos. Administrativos</v>
      </c>
      <c r="K234" s="270">
        <f>IFERROR(IF(factura_c_mes12[[#This Row],[CUIT]]="","-",VLOOKUP(factura_c_mes12[[#This Row],[CUIT]],Lista_CUIT[#All],4,0)),"CUIT NO CARGADO")</f>
        <v>0</v>
      </c>
    </row>
    <row r="235" spans="4:11" x14ac:dyDescent="0.25">
      <c r="D235" s="271" t="s">
        <v>2999</v>
      </c>
      <c r="E235" s="267">
        <v>1</v>
      </c>
      <c r="F235" s="268">
        <v>14</v>
      </c>
      <c r="G235" s="269">
        <v>20472017056</v>
      </c>
      <c r="H235" s="271" t="str">
        <f>IFERROR(IF(factura_c_mes12[[#This Row],[CUIT]]="","-",VLOOKUP(factura_c_mes12[[#This Row],[CUIT]],Lista_CUIT[#All],2,0)),"CUIT NO CARGADO")</f>
        <v>BARUCCO BAUTISTA</v>
      </c>
      <c r="I235" s="273">
        <v>516000</v>
      </c>
      <c r="J235" s="270" t="str">
        <f>IFERROR(IF(factura_c_mes12[[#This Row],[CUIT]]="","-",VLOOKUP(factura_c_mes12[[#This Row],[CUIT]],Lista_CUIT[#All],3,0)),"CUIT NO CARGADO")</f>
        <v>Gtos. Administrativos</v>
      </c>
      <c r="K235" s="270">
        <f>IFERROR(IF(factura_c_mes12[[#This Row],[CUIT]]="","-",VLOOKUP(factura_c_mes12[[#This Row],[CUIT]],Lista_CUIT[#All],4,0)),"CUIT NO CARGADO")</f>
        <v>0</v>
      </c>
    </row>
    <row r="236" spans="4:11" x14ac:dyDescent="0.25">
      <c r="D236" s="271" t="s">
        <v>2999</v>
      </c>
      <c r="E236" s="267">
        <v>1</v>
      </c>
      <c r="F236" s="268">
        <v>122</v>
      </c>
      <c r="G236" s="269">
        <v>27182116373</v>
      </c>
      <c r="H236" s="271" t="str">
        <f>IFERROR(IF(factura_c_mes12[[#This Row],[CUIT]]="","-",VLOOKUP(factura_c_mes12[[#This Row],[CUIT]],Lista_CUIT[#All],2,0)),"CUIT NO CARGADO")</f>
        <v>DOMINGUEZ SILVINA INES</v>
      </c>
      <c r="I236" s="273">
        <v>150000</v>
      </c>
      <c r="J236" s="270" t="str">
        <f>IFERROR(IF(factura_c_mes12[[#This Row],[CUIT]]="","-",VLOOKUP(factura_c_mes12[[#This Row],[CUIT]],Lista_CUIT[#All],3,0)),"CUIT NO CARGADO")</f>
        <v>Gtos. Administrativos</v>
      </c>
      <c r="K236" s="270">
        <f>IFERROR(IF(factura_c_mes12[[#This Row],[CUIT]]="","-",VLOOKUP(factura_c_mes12[[#This Row],[CUIT]],Lista_CUIT[#All],4,0)),"CUIT NO CARGADO")</f>
        <v>0</v>
      </c>
    </row>
    <row r="237" spans="4:11" x14ac:dyDescent="0.25">
      <c r="D237" s="271" t="s">
        <v>3002</v>
      </c>
      <c r="E237" s="267">
        <v>1</v>
      </c>
      <c r="F237" s="268">
        <v>500</v>
      </c>
      <c r="G237" s="269">
        <v>27054269973</v>
      </c>
      <c r="H237" s="271" t="str">
        <f>IFERROR(IF(factura_c_mes12[[#This Row],[CUIT]]="","-",VLOOKUP(factura_c_mes12[[#This Row],[CUIT]],Lista_CUIT[#All],2,0)),"CUIT NO CARGADO")</f>
        <v>MEI EVELINA SUSANA</v>
      </c>
      <c r="I237" s="273">
        <v>102396</v>
      </c>
      <c r="J237" s="270" t="str">
        <f>IFERROR(IF(factura_c_mes12[[#This Row],[CUIT]]="","-",VLOOKUP(factura_c_mes12[[#This Row],[CUIT]],Lista_CUIT[#All],3,0)),"CUIT NO CARGADO")</f>
        <v>Gtos. Administrativos</v>
      </c>
      <c r="K237" s="270">
        <f>IFERROR(IF(factura_c_mes12[[#This Row],[CUIT]]="","-",VLOOKUP(factura_c_mes12[[#This Row],[CUIT]],Lista_CUIT[#All],4,0)),"CUIT NO CARGADO")</f>
        <v>0</v>
      </c>
    </row>
    <row r="238" spans="4:11" x14ac:dyDescent="0.25">
      <c r="D238" s="271" t="s">
        <v>3004</v>
      </c>
      <c r="E238" s="267">
        <v>1</v>
      </c>
      <c r="F238" s="268">
        <v>14</v>
      </c>
      <c r="G238" s="269">
        <v>20465838060</v>
      </c>
      <c r="H238" s="271" t="str">
        <f>IFERROR(IF(factura_c_mes12[[#This Row],[CUIT]]="","-",VLOOKUP(factura_c_mes12[[#This Row],[CUIT]],Lista_CUIT[#All],2,0)),"CUIT NO CARGADO")</f>
        <v>BARUCCO FABRICIO</v>
      </c>
      <c r="I238" s="273">
        <v>275000</v>
      </c>
      <c r="J238" s="270" t="str">
        <f>IFERROR(IF(factura_c_mes12[[#This Row],[CUIT]]="","-",VLOOKUP(factura_c_mes12[[#This Row],[CUIT]],Lista_CUIT[#All],3,0)),"CUIT NO CARGADO")</f>
        <v>Gtos. Administrativos</v>
      </c>
      <c r="K238" s="270">
        <f>IFERROR(IF(factura_c_mes12[[#This Row],[CUIT]]="","-",VLOOKUP(factura_c_mes12[[#This Row],[CUIT]],Lista_CUIT[#All],4,0)),"CUIT NO CARGADO")</f>
        <v>0</v>
      </c>
    </row>
    <row r="239" spans="4:11" x14ac:dyDescent="0.25">
      <c r="D239" s="271" t="s">
        <v>3004</v>
      </c>
      <c r="E239" s="267">
        <v>1</v>
      </c>
      <c r="F239" s="268">
        <v>15</v>
      </c>
      <c r="G239" s="269">
        <v>20472017056</v>
      </c>
      <c r="H239" s="271" t="str">
        <f>IFERROR(IF(factura_c_mes12[[#This Row],[CUIT]]="","-",VLOOKUP(factura_c_mes12[[#This Row],[CUIT]],Lista_CUIT[#All],2,0)),"CUIT NO CARGADO")</f>
        <v>BARUCCO BAUTISTA</v>
      </c>
      <c r="I239" s="273">
        <v>400000</v>
      </c>
      <c r="J239" s="270" t="str">
        <f>IFERROR(IF(factura_c_mes12[[#This Row],[CUIT]]="","-",VLOOKUP(factura_c_mes12[[#This Row],[CUIT]],Lista_CUIT[#All],3,0)),"CUIT NO CARGADO")</f>
        <v>Gtos. Administrativos</v>
      </c>
      <c r="K239" s="270">
        <f>IFERROR(IF(factura_c_mes12[[#This Row],[CUIT]]="","-",VLOOKUP(factura_c_mes12[[#This Row],[CUIT]],Lista_CUIT[#All],4,0)),"CUIT NO CARGADO")</f>
        <v>0</v>
      </c>
    </row>
    <row r="240" spans="4:11" x14ac:dyDescent="0.25">
      <c r="D240" s="271" t="s">
        <v>3005</v>
      </c>
      <c r="E240" s="267">
        <v>4</v>
      </c>
      <c r="F240" s="268">
        <v>5011</v>
      </c>
      <c r="G240" s="269">
        <v>27360751436</v>
      </c>
      <c r="H240" s="271" t="str">
        <f>IFERROR(IF(factura_c_mes12[[#This Row],[CUIT]]="","-",VLOOKUP(factura_c_mes12[[#This Row],[CUIT]],Lista_CUIT[#All],2,0)),"CUIT NO CARGADO")</f>
        <v>IBAÑEZ ROCIO MONSERRAT</v>
      </c>
      <c r="I240" s="273">
        <v>89994</v>
      </c>
      <c r="J240" s="270" t="str">
        <f>IFERROR(IF(factura_c_mes12[[#This Row],[CUIT]]="","-",VLOOKUP(factura_c_mes12[[#This Row],[CUIT]],Lista_CUIT[#All],3,0)),"CUIT NO CARGADO")</f>
        <v>Gtos. Cosmeticos</v>
      </c>
      <c r="K240" s="270">
        <f>IFERROR(IF(factura_c_mes12[[#This Row],[CUIT]]="","-",VLOOKUP(factura_c_mes12[[#This Row],[CUIT]],Lista_CUIT[#All],4,0)),"CUIT NO CARGADO")</f>
        <v>0</v>
      </c>
    </row>
    <row r="241" spans="4:11" x14ac:dyDescent="0.25">
      <c r="D241" s="271" t="s">
        <v>2996</v>
      </c>
      <c r="E241" s="267">
        <v>2</v>
      </c>
      <c r="F241" s="268">
        <v>28</v>
      </c>
      <c r="G241" s="269">
        <v>24180692653</v>
      </c>
      <c r="H241" s="271" t="str">
        <f>IFERROR(IF(factura_c_mes12[[#This Row],[CUIT]]="","-",VLOOKUP(factura_c_mes12[[#This Row],[CUIT]],Lista_CUIT[#All],2,0)),"CUIT NO CARGADO")</f>
        <v>CASTILLO JOSE MANUEL</v>
      </c>
      <c r="I241" s="273">
        <v>1400000</v>
      </c>
      <c r="J241" s="270" t="str">
        <f>IFERROR(IF(factura_c_mes12[[#This Row],[CUIT]]="","-",VLOOKUP(factura_c_mes12[[#This Row],[CUIT]],Lista_CUIT[#All],3,0)),"CUIT NO CARGADO")</f>
        <v>Honorarios Administrativos</v>
      </c>
      <c r="K241" s="270">
        <f>IFERROR(IF(factura_c_mes12[[#This Row],[CUIT]]="","-",VLOOKUP(factura_c_mes12[[#This Row],[CUIT]],Lista_CUIT[#All],4,0)),"CUIT NO CARGADO")</f>
        <v>0</v>
      </c>
    </row>
    <row r="242" spans="4:11" x14ac:dyDescent="0.25">
      <c r="D242" s="271" t="s">
        <v>2996</v>
      </c>
      <c r="E242" s="267">
        <v>2</v>
      </c>
      <c r="F242" s="268">
        <v>38</v>
      </c>
      <c r="G242" s="269">
        <v>27226409799</v>
      </c>
      <c r="H242" s="271" t="str">
        <f>IFERROR(IF(factura_c_mes12[[#This Row],[CUIT]]="","-",VLOOKUP(factura_c_mes12[[#This Row],[CUIT]],Lista_CUIT[#All],2,0)),"CUIT NO CARGADO")</f>
        <v>CASTILLO BERTA YOLANDA</v>
      </c>
      <c r="I242" s="273">
        <v>1400000</v>
      </c>
      <c r="J242" s="270" t="str">
        <f>IFERROR(IF(factura_c_mes12[[#This Row],[CUIT]]="","-",VLOOKUP(factura_c_mes12[[#This Row],[CUIT]],Lista_CUIT[#All],3,0)),"CUIT NO CARGADO")</f>
        <v>Honorarios Administrativos</v>
      </c>
      <c r="K242" s="270">
        <f>IFERROR(IF(factura_c_mes12[[#This Row],[CUIT]]="","-",VLOOKUP(factura_c_mes12[[#This Row],[CUIT]],Lista_CUIT[#All],4,0)),"CUIT NO CARGADO")</f>
        <v>0</v>
      </c>
    </row>
    <row r="243" spans="4:11" x14ac:dyDescent="0.25">
      <c r="D243" s="271" t="s">
        <v>2999</v>
      </c>
      <c r="E243" s="267">
        <v>1</v>
      </c>
      <c r="F243" s="268">
        <v>37</v>
      </c>
      <c r="G243" s="269">
        <v>20420115882</v>
      </c>
      <c r="H243" s="271" t="str">
        <f>IFERROR(IF(factura_c_mes12[[#This Row],[CUIT]]="","-",VLOOKUP(factura_c_mes12[[#This Row],[CUIT]],Lista_CUIT[#All],2,0)),"CUIT NO CARGADO")</f>
        <v>CASTILLO MARIANO JAVIER</v>
      </c>
      <c r="I243" s="273">
        <v>144000</v>
      </c>
      <c r="J243" s="270" t="str">
        <f>IFERROR(IF(factura_c_mes12[[#This Row],[CUIT]]="","-",VLOOKUP(factura_c_mes12[[#This Row],[CUIT]],Lista_CUIT[#All],3,0)),"CUIT NO CARGADO")</f>
        <v>Honorarios Administrativos</v>
      </c>
      <c r="K243" s="270">
        <f>IFERROR(IF(factura_c_mes12[[#This Row],[CUIT]]="","-",VLOOKUP(factura_c_mes12[[#This Row],[CUIT]],Lista_CUIT[#All],4,0)),"CUIT NO CARGADO")</f>
        <v>0</v>
      </c>
    </row>
    <row r="244" spans="4:11" x14ac:dyDescent="0.25">
      <c r="D244" s="271" t="s">
        <v>3003</v>
      </c>
      <c r="E244" s="267">
        <v>1</v>
      </c>
      <c r="F244" s="268">
        <v>29</v>
      </c>
      <c r="G244" s="269">
        <v>27309116343</v>
      </c>
      <c r="H244" s="271" t="str">
        <f>IFERROR(IF(factura_c_mes12[[#This Row],[CUIT]]="","-",VLOOKUP(factura_c_mes12[[#This Row],[CUIT]],Lista_CUIT[#All],2,0)),"CUIT NO CARGADO")</f>
        <v>FERNANDEZ DANIELA NATALIA</v>
      </c>
      <c r="I244" s="273">
        <v>187500</v>
      </c>
      <c r="J244" s="270" t="str">
        <f>IFERROR(IF(factura_c_mes12[[#This Row],[CUIT]]="","-",VLOOKUP(factura_c_mes12[[#This Row],[CUIT]],Lista_CUIT[#All],3,0)),"CUIT NO CARGADO")</f>
        <v>Honorarios Administrativos</v>
      </c>
      <c r="K244" s="270">
        <f>IFERROR(IF(factura_c_mes12[[#This Row],[CUIT]]="","-",VLOOKUP(factura_c_mes12[[#This Row],[CUIT]],Lista_CUIT[#All],4,0)),"CUIT NO CARGADO")</f>
        <v>0</v>
      </c>
    </row>
    <row r="245" spans="4:11" x14ac:dyDescent="0.25">
      <c r="D245" s="271" t="s">
        <v>3004</v>
      </c>
      <c r="E245" s="267">
        <v>1</v>
      </c>
      <c r="F245" s="268">
        <v>38</v>
      </c>
      <c r="G245" s="269">
        <v>20420115882</v>
      </c>
      <c r="H245" s="271" t="str">
        <f>IFERROR(IF(factura_c_mes12[[#This Row],[CUIT]]="","-",VLOOKUP(factura_c_mes12[[#This Row],[CUIT]],Lista_CUIT[#All],2,0)),"CUIT NO CARGADO")</f>
        <v>CASTILLO MARIANO JAVIER</v>
      </c>
      <c r="I245" s="273">
        <v>661000</v>
      </c>
      <c r="J245" s="270" t="str">
        <f>IFERROR(IF(factura_c_mes12[[#This Row],[CUIT]]="","-",VLOOKUP(factura_c_mes12[[#This Row],[CUIT]],Lista_CUIT[#All],3,0)),"CUIT NO CARGADO")</f>
        <v>Honorarios Administrativos</v>
      </c>
      <c r="K245" s="270">
        <f>IFERROR(IF(factura_c_mes12[[#This Row],[CUIT]]="","-",VLOOKUP(factura_c_mes12[[#This Row],[CUIT]],Lista_CUIT[#All],4,0)),"CUIT NO CARGADO")</f>
        <v>0</v>
      </c>
    </row>
    <row r="246" spans="4:11" x14ac:dyDescent="0.25">
      <c r="D246" s="271" t="s">
        <v>2994</v>
      </c>
      <c r="E246" s="267">
        <v>4</v>
      </c>
      <c r="F246" s="268">
        <v>94</v>
      </c>
      <c r="G246" s="269">
        <v>20086277523</v>
      </c>
      <c r="H246" s="271" t="str">
        <f>IFERROR(IF(factura_c_mes12[[#This Row],[CUIT]]="","-",VLOOKUP(factura_c_mes12[[#This Row],[CUIT]],Lista_CUIT[#All],2,0)),"CUIT NO CARGADO")</f>
        <v>BOTINDARI JUAN CARLOS</v>
      </c>
      <c r="I246" s="273">
        <v>335000</v>
      </c>
      <c r="J246" s="270" t="str">
        <f>IFERROR(IF(factura_c_mes12[[#This Row],[CUIT]]="","-",VLOOKUP(factura_c_mes12[[#This Row],[CUIT]],Lista_CUIT[#All],3,0)),"CUIT NO CARGADO")</f>
        <v>Honorarios Contables</v>
      </c>
      <c r="K246" s="270">
        <f>IFERROR(IF(factura_c_mes12[[#This Row],[CUIT]]="","-",VLOOKUP(factura_c_mes12[[#This Row],[CUIT]],Lista_CUIT[#All],4,0)),"CUIT NO CARGADO")</f>
        <v>0</v>
      </c>
    </row>
    <row r="247" spans="4:11" x14ac:dyDescent="0.25">
      <c r="D247" s="271" t="s">
        <v>2995</v>
      </c>
      <c r="E247" s="267">
        <v>2</v>
      </c>
      <c r="F247" s="268">
        <v>362</v>
      </c>
      <c r="G247" s="269">
        <v>23319210954</v>
      </c>
      <c r="H247" s="271" t="str">
        <f>IFERROR(IF(factura_c_mes12[[#This Row],[CUIT]]="","-",VLOOKUP(factura_c_mes12[[#This Row],[CUIT]],Lista_CUIT[#All],2,0)),"CUIT NO CARGADO")</f>
        <v>CAFFARATTI ROMINA PAOLA</v>
      </c>
      <c r="I247" s="273">
        <v>375500</v>
      </c>
      <c r="J247" s="270" t="str">
        <f>IFERROR(IF(factura_c_mes12[[#This Row],[CUIT]]="","-",VLOOKUP(factura_c_mes12[[#This Row],[CUIT]],Lista_CUIT[#All],3,0)),"CUIT NO CARGADO")</f>
        <v>Honorarios Contables</v>
      </c>
      <c r="K247" s="270">
        <f>IFERROR(IF(factura_c_mes12[[#This Row],[CUIT]]="","-",VLOOKUP(factura_c_mes12[[#This Row],[CUIT]],Lista_CUIT[#All],4,0)),"CUIT NO CARGADO")</f>
        <v>0</v>
      </c>
    </row>
    <row r="248" spans="4:11" x14ac:dyDescent="0.25">
      <c r="D248" s="271" t="s">
        <v>3001</v>
      </c>
      <c r="E248" s="267">
        <v>2</v>
      </c>
      <c r="F248" s="268">
        <v>1096</v>
      </c>
      <c r="G248" s="269">
        <v>20400104094</v>
      </c>
      <c r="H248" s="271" t="str">
        <f>IFERROR(IF(factura_c_mes12[[#This Row],[CUIT]]="","-",VLOOKUP(factura_c_mes12[[#This Row],[CUIT]],Lista_CUIT[#All],2,0)),"CUIT NO CARGADO")</f>
        <v>BOTINDARI FEDERICO DANIEL</v>
      </c>
      <c r="I248" s="273">
        <v>95000</v>
      </c>
      <c r="J248" s="270" t="str">
        <f>IFERROR(IF(factura_c_mes12[[#This Row],[CUIT]]="","-",VLOOKUP(factura_c_mes12[[#This Row],[CUIT]],Lista_CUIT[#All],3,0)),"CUIT NO CARGADO")</f>
        <v>Honorarios Contables</v>
      </c>
      <c r="K248" s="270">
        <f>IFERROR(IF(factura_c_mes12[[#This Row],[CUIT]]="","-",VLOOKUP(factura_c_mes12[[#This Row],[CUIT]],Lista_CUIT[#All],4,0)),"CUIT NO CARGADO")</f>
        <v>0</v>
      </c>
    </row>
    <row r="249" spans="4:11" x14ac:dyDescent="0.25">
      <c r="D249" s="271" t="s">
        <v>2993</v>
      </c>
      <c r="E249" s="267">
        <v>3</v>
      </c>
      <c r="F249" s="268">
        <v>602</v>
      </c>
      <c r="G249" s="269">
        <v>20210551574</v>
      </c>
      <c r="H249" s="271" t="str">
        <f>IFERROR(IF(factura_c_mes12[[#This Row],[CUIT]]="","-",VLOOKUP(factura_c_mes12[[#This Row],[CUIT]],Lista_CUIT[#All],2,0)),"CUIT NO CARGADO")</f>
        <v>REUS JORGE DIEGO</v>
      </c>
      <c r="I249" s="273">
        <v>364000</v>
      </c>
      <c r="J249" s="270" t="str">
        <f>IFERROR(IF(factura_c_mes12[[#This Row],[CUIT]]="","-",VLOOKUP(factura_c_mes12[[#This Row],[CUIT]],Lista_CUIT[#All],3,0)),"CUIT NO CARGADO")</f>
        <v>Honorarios Legales</v>
      </c>
      <c r="K249" s="270">
        <f>IFERROR(IF(factura_c_mes12[[#This Row],[CUIT]]="","-",VLOOKUP(factura_c_mes12[[#This Row],[CUIT]],Lista_CUIT[#All],4,0)),"CUIT NO CARGADO")</f>
        <v>0</v>
      </c>
    </row>
    <row r="250" spans="4:11" x14ac:dyDescent="0.25">
      <c r="D250" s="271" t="s">
        <v>2995</v>
      </c>
      <c r="E250" s="267">
        <v>1</v>
      </c>
      <c r="F250" s="268">
        <v>3</v>
      </c>
      <c r="G250" s="269">
        <v>27280216572</v>
      </c>
      <c r="H250" s="271" t="str">
        <f>IFERROR(IF(factura_c_mes12[[#This Row],[CUIT]]="","-",VLOOKUP(factura_c_mes12[[#This Row],[CUIT]],Lista_CUIT[#All],2,0)),"CUIT NO CARGADO")</f>
        <v>SANCHEZ ANALIA VERINICA</v>
      </c>
      <c r="I250" s="273">
        <v>1300000</v>
      </c>
      <c r="J250" s="270" t="str">
        <f>IFERROR(IF(factura_c_mes12[[#This Row],[CUIT]]="","-",VLOOKUP(factura_c_mes12[[#This Row],[CUIT]],Lista_CUIT[#All],3,0)),"CUIT NO CARGADO")</f>
        <v>Honorarios Legales</v>
      </c>
      <c r="K250" s="270">
        <f>IFERROR(IF(factura_c_mes12[[#This Row],[CUIT]]="","-",VLOOKUP(factura_c_mes12[[#This Row],[CUIT]],Lista_CUIT[#All],4,0)),"CUIT NO CARGADO")</f>
        <v>0</v>
      </c>
    </row>
    <row r="251" spans="4:11" x14ac:dyDescent="0.25">
      <c r="D251" s="271" t="s">
        <v>3001</v>
      </c>
      <c r="E251" s="267">
        <v>1</v>
      </c>
      <c r="F251" s="268">
        <v>129</v>
      </c>
      <c r="G251" s="269">
        <v>20176922363</v>
      </c>
      <c r="H251" s="271" t="str">
        <f>IFERROR(IF(factura_c_mes12[[#This Row],[CUIT]]="","-",VLOOKUP(factura_c_mes12[[#This Row],[CUIT]],Lista_CUIT[#All],2,0)),"CUIT NO CARGADO")</f>
        <v>CASTILLO JUAN RAMON</v>
      </c>
      <c r="I251" s="273">
        <v>800000</v>
      </c>
      <c r="J251" s="270" t="str">
        <f>IFERROR(IF(factura_c_mes12[[#This Row],[CUIT]]="","-",VLOOKUP(factura_c_mes12[[#This Row],[CUIT]],Lista_CUIT[#All],3,0)),"CUIT NO CARGADO")</f>
        <v>Honorarios Profesionales</v>
      </c>
      <c r="K251" s="270">
        <f>IFERROR(IF(factura_c_mes12[[#This Row],[CUIT]]="","-",VLOOKUP(factura_c_mes12[[#This Row],[CUIT]],Lista_CUIT[#All],4,0)),"CUIT NO CARGADO")</f>
        <v>0</v>
      </c>
    </row>
    <row r="252" spans="4:11" x14ac:dyDescent="0.25">
      <c r="D252" s="271" t="s">
        <v>3001</v>
      </c>
      <c r="E252" s="267">
        <v>1</v>
      </c>
      <c r="F252" s="268">
        <v>130</v>
      </c>
      <c r="G252" s="269">
        <v>20176922363</v>
      </c>
      <c r="H252" s="271" t="str">
        <f>IFERROR(IF(factura_c_mes12[[#This Row],[CUIT]]="","-",VLOOKUP(factura_c_mes12[[#This Row],[CUIT]],Lista_CUIT[#All],2,0)),"CUIT NO CARGADO")</f>
        <v>CASTILLO JUAN RAMON</v>
      </c>
      <c r="I252" s="273">
        <v>900000</v>
      </c>
      <c r="J252" s="270" t="str">
        <f>IFERROR(IF(factura_c_mes12[[#This Row],[CUIT]]="","-",VLOOKUP(factura_c_mes12[[#This Row],[CUIT]],Lista_CUIT[#All],3,0)),"CUIT NO CARGADO")</f>
        <v>Honorarios Profesionales</v>
      </c>
      <c r="K252" s="270">
        <f>IFERROR(IF(factura_c_mes12[[#This Row],[CUIT]]="","-",VLOOKUP(factura_c_mes12[[#This Row],[CUIT]],Lista_CUIT[#All],4,0)),"CUIT NO CARGADO")</f>
        <v>0</v>
      </c>
    </row>
    <row r="253" spans="4:11" x14ac:dyDescent="0.25">
      <c r="D253" s="271" t="s">
        <v>3001</v>
      </c>
      <c r="E253" s="267">
        <v>1</v>
      </c>
      <c r="F253" s="268">
        <v>131</v>
      </c>
      <c r="G253" s="269">
        <v>20176922363</v>
      </c>
      <c r="H253" s="271" t="str">
        <f>IFERROR(IF(factura_c_mes12[[#This Row],[CUIT]]="","-",VLOOKUP(factura_c_mes12[[#This Row],[CUIT]],Lista_CUIT[#All],2,0)),"CUIT NO CARGADO")</f>
        <v>CASTILLO JUAN RAMON</v>
      </c>
      <c r="I253" s="273">
        <v>1900000</v>
      </c>
      <c r="J253" s="270" t="str">
        <f>IFERROR(IF(factura_c_mes12[[#This Row],[CUIT]]="","-",VLOOKUP(factura_c_mes12[[#This Row],[CUIT]],Lista_CUIT[#All],3,0)),"CUIT NO CARGADO")</f>
        <v>Honorarios Profesionales</v>
      </c>
      <c r="K253" s="270">
        <f>IFERROR(IF(factura_c_mes12[[#This Row],[CUIT]]="","-",VLOOKUP(factura_c_mes12[[#This Row],[CUIT]],Lista_CUIT[#All],4,0)),"CUIT NO CARGADO")</f>
        <v>0</v>
      </c>
    </row>
    <row r="254" spans="4:11" x14ac:dyDescent="0.25">
      <c r="D254" s="271" t="s">
        <v>3005</v>
      </c>
      <c r="E254" s="267">
        <v>2</v>
      </c>
      <c r="F254" s="268">
        <v>837</v>
      </c>
      <c r="G254" s="269">
        <v>27218690160</v>
      </c>
      <c r="H254" s="271" t="str">
        <f>IFERROR(IF(factura_c_mes12[[#This Row],[CUIT]]="","-",VLOOKUP(factura_c_mes12[[#This Row],[CUIT]],Lista_CUIT[#All],2,0)),"CUIT NO CARGADO")</f>
        <v>RAMIREZ LAURA VERONICA</v>
      </c>
      <c r="I254" s="273">
        <v>37500</v>
      </c>
      <c r="J254" s="270" t="str">
        <f>IFERROR(IF(factura_c_mes12[[#This Row],[CUIT]]="","-",VLOOKUP(factura_c_mes12[[#This Row],[CUIT]],Lista_CUIT[#All],3,0)),"CUIT NO CARGADO")</f>
        <v>Honorarios Profesionales</v>
      </c>
      <c r="K254" s="270">
        <f>IFERROR(IF(factura_c_mes12[[#This Row],[CUIT]]="","-",VLOOKUP(factura_c_mes12[[#This Row],[CUIT]],Lista_CUIT[#All],4,0)),"CUIT NO CARGADO")</f>
        <v>0</v>
      </c>
    </row>
    <row r="255" spans="4:11" x14ac:dyDescent="0.25">
      <c r="D255" s="271" t="s">
        <v>2993</v>
      </c>
      <c r="E255" s="267">
        <v>1</v>
      </c>
      <c r="F255" s="268">
        <v>149</v>
      </c>
      <c r="G255" s="269">
        <v>20299505430</v>
      </c>
      <c r="H255" s="271" t="str">
        <f>IFERROR(IF(factura_c_mes12[[#This Row],[CUIT]]="","-",VLOOKUP(factura_c_mes12[[#This Row],[CUIT]],Lista_CUIT[#All],2,0)),"CUIT NO CARGADO")</f>
        <v>PRADO EMILIANO HERNAN</v>
      </c>
      <c r="I255" s="273">
        <v>173768</v>
      </c>
      <c r="J255" s="270" t="str">
        <f>IFERROR(IF(factura_c_mes12[[#This Row],[CUIT]]="","-",VLOOKUP(factura_c_mes12[[#This Row],[CUIT]],Lista_CUIT[#All],3,0)),"CUIT NO CARGADO")</f>
        <v>Material de Empaque</v>
      </c>
      <c r="K255" s="270">
        <f>IFERROR(IF(factura_c_mes12[[#This Row],[CUIT]]="","-",VLOOKUP(factura_c_mes12[[#This Row],[CUIT]],Lista_CUIT[#All],4,0)),"CUIT NO CARGADO")</f>
        <v>0</v>
      </c>
    </row>
    <row r="256" spans="4:11" x14ac:dyDescent="0.25">
      <c r="D256" s="271" t="s">
        <v>2995</v>
      </c>
      <c r="E256" s="267">
        <v>1</v>
      </c>
      <c r="F256" s="268">
        <v>150</v>
      </c>
      <c r="G256" s="269">
        <v>20299505430</v>
      </c>
      <c r="H256" s="271" t="str">
        <f>IFERROR(IF(factura_c_mes12[[#This Row],[CUIT]]="","-",VLOOKUP(factura_c_mes12[[#This Row],[CUIT]],Lista_CUIT[#All],2,0)),"CUIT NO CARGADO")</f>
        <v>PRADO EMILIANO HERNAN</v>
      </c>
      <c r="I256" s="273">
        <v>611172</v>
      </c>
      <c r="J256" s="270" t="str">
        <f>IFERROR(IF(factura_c_mes12[[#This Row],[CUIT]]="","-",VLOOKUP(factura_c_mes12[[#This Row],[CUIT]],Lista_CUIT[#All],3,0)),"CUIT NO CARGADO")</f>
        <v>Material de Empaque</v>
      </c>
      <c r="K256" s="270">
        <f>IFERROR(IF(factura_c_mes12[[#This Row],[CUIT]]="","-",VLOOKUP(factura_c_mes12[[#This Row],[CUIT]],Lista_CUIT[#All],4,0)),"CUIT NO CARGADO")</f>
        <v>0</v>
      </c>
    </row>
    <row r="257" spans="2:18" x14ac:dyDescent="0.25">
      <c r="D257" s="271" t="s">
        <v>3007</v>
      </c>
      <c r="E257" s="267">
        <v>1</v>
      </c>
      <c r="F257" s="268">
        <v>157</v>
      </c>
      <c r="G257" s="269">
        <v>20299505430</v>
      </c>
      <c r="H257" s="271" t="str">
        <f>IFERROR(IF(factura_c_mes12[[#This Row],[CUIT]]="","-",VLOOKUP(factura_c_mes12[[#This Row],[CUIT]],Lista_CUIT[#All],2,0)),"CUIT NO CARGADO")</f>
        <v>PRADO EMILIANO HERNAN</v>
      </c>
      <c r="I257" s="273">
        <v>951485</v>
      </c>
      <c r="J257" s="270" t="str">
        <f>IFERROR(IF(factura_c_mes12[[#This Row],[CUIT]]="","-",VLOOKUP(factura_c_mes12[[#This Row],[CUIT]],Lista_CUIT[#All],3,0)),"CUIT NO CARGADO")</f>
        <v>Material de Empaque</v>
      </c>
      <c r="K257" s="270">
        <f>IFERROR(IF(factura_c_mes12[[#This Row],[CUIT]]="","-",VLOOKUP(factura_c_mes12[[#This Row],[CUIT]],Lista_CUIT[#All],4,0)),"CUIT NO CARGADO")</f>
        <v>0</v>
      </c>
    </row>
    <row r="258" spans="2:18" x14ac:dyDescent="0.25">
      <c r="D258" s="271" t="s">
        <v>3002</v>
      </c>
      <c r="E258" s="267">
        <v>3</v>
      </c>
      <c r="F258" s="268">
        <v>3323</v>
      </c>
      <c r="G258" s="269">
        <v>20134116251</v>
      </c>
      <c r="H258" s="271" t="str">
        <f>IFERROR(IF(factura_c_mes12[[#This Row],[CUIT]]="","-",VLOOKUP(factura_c_mes12[[#This Row],[CUIT]],Lista_CUIT[#All],2,0)),"CUIT NO CARGADO")</f>
        <v>GUMA DANIEL</v>
      </c>
      <c r="I258" s="273">
        <v>4000</v>
      </c>
      <c r="J258" s="270" t="str">
        <f>IFERROR(IF(factura_c_mes12[[#This Row],[CUIT]]="","-",VLOOKUP(factura_c_mes12[[#This Row],[CUIT]],Lista_CUIT[#All],3,0)),"CUIT NO CARGADO")</f>
        <v>Seg e Higiene</v>
      </c>
      <c r="K258" s="270">
        <f>IFERROR(IF(factura_c_mes12[[#This Row],[CUIT]]="","-",VLOOKUP(factura_c_mes12[[#This Row],[CUIT]],Lista_CUIT[#All],4,0)),"CUIT NO CARGADO")</f>
        <v>0</v>
      </c>
    </row>
    <row r="259" spans="2:18" x14ac:dyDescent="0.25">
      <c r="B259" s="56"/>
      <c r="C259" s="56"/>
      <c r="D259" s="55" t="s">
        <v>103</v>
      </c>
      <c r="E259" s="55"/>
      <c r="F259" s="55"/>
      <c r="G259" s="55"/>
      <c r="H259" s="57"/>
      <c r="I259" s="58">
        <f>SUBTOTAL(109,factura_c_mes12[TOTAL])</f>
        <v>14796960</v>
      </c>
      <c r="J259" s="55"/>
      <c r="K259" s="55"/>
      <c r="L259" s="56"/>
      <c r="M259" s="56"/>
      <c r="N259" s="56"/>
      <c r="O259" s="56"/>
      <c r="P259" s="56"/>
      <c r="Q259" s="56"/>
      <c r="R259" s="56"/>
    </row>
    <row r="264" spans="2:18" ht="26.25" x14ac:dyDescent="0.25">
      <c r="B264" s="592" t="s">
        <v>29</v>
      </c>
      <c r="C264" s="592"/>
      <c r="D264" s="592"/>
      <c r="E264" s="592"/>
      <c r="F264" s="592"/>
      <c r="G264" s="592"/>
      <c r="H264" s="592"/>
      <c r="I264" s="592"/>
      <c r="J264" s="592"/>
      <c r="K264" s="593">
        <f>N1</f>
        <v>45992</v>
      </c>
      <c r="L264" s="593"/>
      <c r="M264" s="593"/>
    </row>
    <row r="266" spans="2:18" ht="21" x14ac:dyDescent="0.25">
      <c r="B266" s="594" t="s">
        <v>30</v>
      </c>
      <c r="C266" s="594"/>
    </row>
    <row r="267" spans="2:18" ht="31.5" x14ac:dyDescent="0.25">
      <c r="B267" s="60" t="s">
        <v>0</v>
      </c>
      <c r="C267" s="61" t="s">
        <v>1</v>
      </c>
      <c r="D267" s="61" t="s">
        <v>21</v>
      </c>
      <c r="E267" s="61" t="s">
        <v>22</v>
      </c>
      <c r="F267" s="61" t="s">
        <v>3</v>
      </c>
      <c r="G267" s="61" t="s">
        <v>4</v>
      </c>
      <c r="H267" s="61" t="s">
        <v>23</v>
      </c>
      <c r="I267" s="61" t="s">
        <v>17</v>
      </c>
      <c r="J267" s="61" t="s">
        <v>7</v>
      </c>
      <c r="K267" s="61" t="s">
        <v>24</v>
      </c>
      <c r="L267" s="61" t="s">
        <v>10</v>
      </c>
      <c r="M267" s="62" t="s">
        <v>38</v>
      </c>
    </row>
    <row r="268" spans="2:18" x14ac:dyDescent="0.25">
      <c r="B268" s="40"/>
      <c r="C268" s="41"/>
      <c r="D268" s="42"/>
      <c r="E268" s="43"/>
      <c r="F268" s="44"/>
      <c r="G268" s="98" t="str">
        <f>IFERROR(IF(venta_a_mes12[[#This Row],[CUIT]]="","-",VLOOKUP(venta_a_mes12[[#This Row],[CUIT]],Lista_CUIT[#All],2,0)),"CUIT NO CARGADO")</f>
        <v>-</v>
      </c>
      <c r="H268" s="99"/>
      <c r="I268" s="100">
        <f>venta_a_mes12[[#This Row],[IMPORTE NETO]]*0.21</f>
        <v>0</v>
      </c>
      <c r="J268" s="65"/>
      <c r="K268" s="65"/>
      <c r="L268" s="65">
        <f>SUM(venta_a_mes12[[#This Row],[IMPORTE NETO]:[EXENTO]])</f>
        <v>0</v>
      </c>
      <c r="M268" s="59"/>
    </row>
    <row r="269" spans="2:18" x14ac:dyDescent="0.25">
      <c r="B269" s="66" t="s">
        <v>103</v>
      </c>
      <c r="C269" s="67"/>
      <c r="D269" s="67"/>
      <c r="E269" s="67"/>
      <c r="F269" s="67"/>
      <c r="G269" s="67"/>
      <c r="H269" s="69">
        <f>SUBTOTAL(109,venta_a_mes12[IMPORTE NETO])</f>
        <v>0</v>
      </c>
      <c r="I269" s="70">
        <f>SUBTOTAL(109,venta_a_mes12[IVA 21%])</f>
        <v>0</v>
      </c>
      <c r="J269" s="71">
        <f>SUBTOTAL(109,venta_a_mes12[IVA 10,5%])</f>
        <v>0</v>
      </c>
      <c r="K269" s="71">
        <f>SUBTOTAL(109,venta_a_mes12[EXENTO])</f>
        <v>0</v>
      </c>
      <c r="L269" s="71">
        <f>SUBTOTAL(109,venta_a_mes12[TOTAL])</f>
        <v>0</v>
      </c>
      <c r="M269" s="68">
        <f>SUBTOTAL(103,venta_a_mes12[Provincia])</f>
        <v>0</v>
      </c>
    </row>
    <row r="270" spans="2:18" x14ac:dyDescent="0.25">
      <c r="B270" s="146"/>
      <c r="C270" s="146"/>
      <c r="D270" s="146"/>
      <c r="E270" s="146"/>
      <c r="F270" s="146"/>
      <c r="G270" s="146"/>
      <c r="H270" s="148"/>
      <c r="I270" s="149"/>
      <c r="J270" s="150"/>
      <c r="K270" s="150"/>
      <c r="L270" s="150"/>
      <c r="M270" s="147"/>
    </row>
    <row r="271" spans="2:18" ht="21" x14ac:dyDescent="0.25">
      <c r="B271" s="594" t="s">
        <v>31</v>
      </c>
      <c r="C271" s="594"/>
    </row>
    <row r="272" spans="2:18" ht="31.5" x14ac:dyDescent="0.25">
      <c r="B272" s="60" t="s">
        <v>0</v>
      </c>
      <c r="C272" s="61" t="s">
        <v>1</v>
      </c>
      <c r="D272" s="61" t="s">
        <v>21</v>
      </c>
      <c r="E272" s="61" t="s">
        <v>22</v>
      </c>
      <c r="F272" s="61" t="s">
        <v>3</v>
      </c>
      <c r="G272" s="61" t="s">
        <v>4</v>
      </c>
      <c r="H272" s="61" t="s">
        <v>23</v>
      </c>
      <c r="I272" s="61" t="s">
        <v>17</v>
      </c>
      <c r="J272" s="61" t="s">
        <v>7</v>
      </c>
      <c r="K272" s="61" t="s">
        <v>24</v>
      </c>
      <c r="L272" s="61" t="s">
        <v>10</v>
      </c>
      <c r="M272" s="62" t="s">
        <v>38</v>
      </c>
    </row>
    <row r="273" spans="2:13" x14ac:dyDescent="0.25">
      <c r="B273" s="134"/>
      <c r="C273" s="135"/>
      <c r="D273" s="136"/>
      <c r="E273" s="137"/>
      <c r="F273" s="138"/>
      <c r="G273" s="1" t="str">
        <f>IFERROR(IF(ventas_b_mes12[[#This Row],[CUIT]]="","-",VLOOKUP(ventas_b_mes12[[#This Row],[CUIT]],Lista_CUIT[#All],2,0)),"CUIT NO CARGADO")</f>
        <v>-</v>
      </c>
      <c r="H273" s="99">
        <f>ventas_b_mes12[[#This Row],[TOTAL]]/1.21</f>
        <v>0</v>
      </c>
      <c r="I273" s="64">
        <f>ventas_b_mes12[[#This Row],[IMPORTE NETO]]*0.21</f>
        <v>0</v>
      </c>
      <c r="J273" s="140"/>
      <c r="K273" s="140"/>
      <c r="L273" s="140"/>
      <c r="M273" s="59"/>
    </row>
    <row r="274" spans="2:13" x14ac:dyDescent="0.25">
      <c r="B274" s="134"/>
      <c r="C274" s="135"/>
      <c r="D274" s="136"/>
      <c r="E274" s="137"/>
      <c r="F274" s="138"/>
      <c r="G274" s="1" t="str">
        <f>IFERROR(IF(ventas_b_mes12[[#This Row],[CUIT]]="","-",VLOOKUP(ventas_b_mes12[[#This Row],[CUIT]],Lista_CUIT[#All],2,0)),"CUIT NO CARGADO")</f>
        <v>-</v>
      </c>
      <c r="H274" s="99">
        <f>ventas_b_mes12[[#This Row],[TOTAL]]/1.21</f>
        <v>0</v>
      </c>
      <c r="I274" s="64">
        <f>ventas_b_mes12[[#This Row],[IMPORTE NETO]]*0.21</f>
        <v>0</v>
      </c>
      <c r="J274" s="140"/>
      <c r="K274" s="140"/>
      <c r="L274" s="140"/>
      <c r="M274" s="59"/>
    </row>
    <row r="275" spans="2:13" x14ac:dyDescent="0.25">
      <c r="B275" s="275" t="s">
        <v>103</v>
      </c>
      <c r="C275" s="276"/>
      <c r="D275" s="276"/>
      <c r="E275" s="276"/>
      <c r="F275" s="276"/>
      <c r="G275" s="276"/>
      <c r="H275" s="277">
        <f>SUBTOTAL(109,ventas_b_mes12[IMPORTE NETO])</f>
        <v>0</v>
      </c>
      <c r="I275" s="277">
        <f>SUBTOTAL(109,ventas_b_mes12[IVA 21%])</f>
        <v>0</v>
      </c>
      <c r="J275" s="278">
        <f>SUBTOTAL(109,ventas_b_mes12[IVA 10,5%])</f>
        <v>0</v>
      </c>
      <c r="K275" s="278">
        <f>SUBTOTAL(109,ventas_b_mes12[EXENTO])</f>
        <v>0</v>
      </c>
      <c r="L275" s="278">
        <f>SUBTOTAL(109,ventas_b_mes12[TOTAL])</f>
        <v>0</v>
      </c>
      <c r="M275" s="279">
        <f>SUBTOTAL(103,ventas_b_mes12[Provincia])</f>
        <v>0</v>
      </c>
    </row>
    <row r="276" spans="2:13" ht="15.75" thickBot="1" x14ac:dyDescent="0.3">
      <c r="B276" s="146"/>
      <c r="C276" s="146"/>
      <c r="D276" s="146"/>
      <c r="E276" s="146"/>
      <c r="F276" s="146"/>
      <c r="G276" s="146"/>
      <c r="H276" s="152"/>
      <c r="I276" s="152"/>
      <c r="J276" s="153"/>
      <c r="K276" s="153"/>
      <c r="L276" s="153"/>
      <c r="M276" s="147"/>
    </row>
    <row r="277" spans="2:13" ht="15.75" thickTop="1" x14ac:dyDescent="0.25">
      <c r="C277" s="588" t="s">
        <v>66</v>
      </c>
      <c r="D277" s="588"/>
      <c r="E277" s="588"/>
      <c r="F277" s="588"/>
      <c r="G277" s="588"/>
      <c r="H277" s="32"/>
      <c r="I277" s="32"/>
      <c r="J277" s="32"/>
    </row>
    <row r="278" spans="2:13" ht="15.75" x14ac:dyDescent="0.25">
      <c r="C278" s="113" t="s">
        <v>67</v>
      </c>
      <c r="D278" s="114" t="s">
        <v>68</v>
      </c>
      <c r="E278" s="114" t="s">
        <v>105</v>
      </c>
      <c r="F278" s="114" t="s">
        <v>3</v>
      </c>
      <c r="G278" s="114" t="s">
        <v>4</v>
      </c>
      <c r="H278" s="115" t="s">
        <v>69</v>
      </c>
      <c r="I278" s="115" t="s">
        <v>70</v>
      </c>
      <c r="J278" s="115" t="s">
        <v>71</v>
      </c>
      <c r="K278" s="115" t="s">
        <v>72</v>
      </c>
      <c r="L278" s="115" t="s">
        <v>73</v>
      </c>
    </row>
    <row r="279" spans="2:13" x14ac:dyDescent="0.25">
      <c r="C279" s="116"/>
      <c r="D279" s="117"/>
      <c r="E279" s="117"/>
      <c r="F279" s="118"/>
      <c r="G279" s="53" t="str">
        <f>IFERROR(IF(Retenciones_mes12[[#This Row],[CUIT]]="","-",VLOOKUP(Retenciones_mes12[[#This Row],[CUIT]],Lista_CUIT[#All],2,0)),"CUIT NO CARGADO")</f>
        <v>-</v>
      </c>
      <c r="H279" s="119"/>
      <c r="I279" s="119"/>
      <c r="J279" s="119"/>
      <c r="K279" s="119"/>
      <c r="L279" s="119"/>
    </row>
    <row r="280" spans="2:13" x14ac:dyDescent="0.25">
      <c r="C280" s="116"/>
      <c r="D280" s="117"/>
      <c r="E280" s="117"/>
      <c r="F280" s="118"/>
      <c r="G280" s="53" t="str">
        <f>IFERROR(IF(Retenciones_mes12[[#This Row],[CUIT]]="","-",VLOOKUP(Retenciones_mes12[[#This Row],[CUIT]],Lista_CUIT[#All],2,0)),"CUIT NO CARGADO")</f>
        <v>-</v>
      </c>
      <c r="H280" s="119"/>
      <c r="I280" s="119"/>
      <c r="J280" s="119"/>
      <c r="K280" s="119"/>
      <c r="L280" s="119"/>
    </row>
    <row r="281" spans="2:13" x14ac:dyDescent="0.25">
      <c r="C281" s="116"/>
      <c r="D281" s="117"/>
      <c r="E281" s="117"/>
      <c r="F281" s="118"/>
      <c r="G281" s="53" t="str">
        <f>IFERROR(IF(Retenciones_mes12[[#This Row],[CUIT]]="","-",VLOOKUP(Retenciones_mes12[[#This Row],[CUIT]],Lista_CUIT[#All],2,0)),"CUIT NO CARGADO")</f>
        <v>-</v>
      </c>
      <c r="H281" s="119"/>
      <c r="I281" s="119"/>
      <c r="J281" s="119"/>
      <c r="K281" s="119"/>
      <c r="L281" s="119"/>
    </row>
    <row r="282" spans="2:13" x14ac:dyDescent="0.25">
      <c r="C282" s="116"/>
      <c r="D282" s="117"/>
      <c r="E282" s="117"/>
      <c r="F282" s="118"/>
      <c r="G282" s="53" t="str">
        <f>IFERROR(IF(Retenciones_mes12[[#This Row],[CUIT]]="","-",VLOOKUP(Retenciones_mes12[[#This Row],[CUIT]],Lista_CUIT[#All],2,0)),"CUIT NO CARGADO")</f>
        <v>-</v>
      </c>
      <c r="H282" s="119"/>
      <c r="I282" s="119"/>
      <c r="J282" s="119"/>
      <c r="K282" s="119"/>
      <c r="L282" s="119"/>
    </row>
    <row r="283" spans="2:13" x14ac:dyDescent="0.25">
      <c r="D283" s="117"/>
      <c r="E283" s="117"/>
      <c r="G283" s="53" t="str">
        <f>IFERROR(IF(Retenciones_mes12[[#This Row],[CUIT]]="","-",VLOOKUP(Retenciones_mes12[[#This Row],[CUIT]],Lista_CUIT[#All],2,0)),"CUIT NO CARGADO")</f>
        <v>-</v>
      </c>
    </row>
    <row r="284" spans="2:13" x14ac:dyDescent="0.25">
      <c r="C284" s="33"/>
    </row>
  </sheetData>
  <mergeCells count="20">
    <mergeCell ref="C277:G277"/>
    <mergeCell ref="B4:E4"/>
    <mergeCell ref="G4:H4"/>
    <mergeCell ref="J4:K4"/>
    <mergeCell ref="M4:N4"/>
    <mergeCell ref="D219:K219"/>
    <mergeCell ref="B264:J264"/>
    <mergeCell ref="K264:M264"/>
    <mergeCell ref="B266:C266"/>
    <mergeCell ref="B271:C271"/>
    <mergeCell ref="P4:R4"/>
    <mergeCell ref="D204:L204"/>
    <mergeCell ref="B1:F1"/>
    <mergeCell ref="G1:M1"/>
    <mergeCell ref="N1:R1"/>
    <mergeCell ref="B3:E3"/>
    <mergeCell ref="G3:H3"/>
    <mergeCell ref="J3:K3"/>
    <mergeCell ref="M3:N3"/>
    <mergeCell ref="P3:R3"/>
  </mergeCells>
  <conditionalFormatting sqref="I221:I258">
    <cfRule type="cellIs" dxfId="84" priority="1" operator="lessThan">
      <formula>0</formula>
    </cfRule>
  </conditionalFormatting>
  <dataValidations count="10">
    <dataValidation type="custom" allowBlank="1" showInputMessage="1" showErrorMessage="1" sqref="L268" xr:uid="{B967470E-7F60-4C71-ACBC-83E8178DE001}">
      <formula1>IF($C9=3,L9&lt;0,L9&gt;=0)</formula1>
    </dataValidation>
    <dataValidation type="custom" allowBlank="1" showInputMessage="1" showErrorMessage="1" sqref="H268:K268" xr:uid="{9EAA6904-3937-4610-B190-501AEC5EECB0}">
      <formula1>IF($C268=3,H268&lt;0,H268&gt;=0)</formula1>
    </dataValidation>
    <dataValidation type="whole" allowBlank="1" showInputMessage="1" showErrorMessage="1" sqref="C200:C203 C268 C9:C198" xr:uid="{06623EF9-3526-45F5-80B7-26BA61211AA5}">
      <formula1>1</formula1>
      <formula2>3</formula2>
    </dataValidation>
    <dataValidation type="date" allowBlank="1" showInputMessage="1" showErrorMessage="1" sqref="B14 B273:B274 B268 B200:B203 D221:D258 D206:D214" xr:uid="{E64EAA65-DA81-4AF6-A99B-758602B4433C}">
      <formula1>40179</formula1>
      <formula2>TODAY()</formula2>
    </dataValidation>
    <dataValidation type="whole" allowBlank="1" showInputMessage="1" showErrorMessage="1" sqref="F268 F14 G221:G258 F273:F274" xr:uid="{73A0DCE0-1474-4F26-974B-8AC653AD1073}">
      <formula1>20000000000</formula1>
      <formula2>33999999999</formula2>
    </dataValidation>
    <dataValidation type="whole" allowBlank="1" showInputMessage="1" showErrorMessage="1" sqref="E268 F221:F258 E273:E274 E9:E174" xr:uid="{DAB21B9F-AE2C-429D-846A-B7BCEA28E07D}">
      <formula1>1</formula1>
      <formula2>99999999</formula2>
    </dataValidation>
    <dataValidation type="whole" allowBlank="1" showInputMessage="1" showErrorMessage="1" sqref="D268 E221:E258 D273:D274 D9:D174" xr:uid="{49D71A8A-B3F7-4F09-958D-8EF9543D1FBD}">
      <formula1>1</formula1>
      <formula2>9999</formula2>
    </dataValidation>
    <dataValidation type="custom" allowBlank="1" showInputMessage="1" showErrorMessage="1" errorTitle="Error de Ingreso" error="Ingreso condicionado al tipo de compra:_x000a_- Tipo 001: solo positivo_x000a_- Tipo 002: solo positivo_x000a_- Tipo 003: solo negativo" sqref="H14 I9:I198 J9:O11 J12:N13 J14:O18 J19:N19 J20:O90 J91:N91 J92:O93 J94:N94 J95:O104 J105:N105 J106:O109 J110:N111 J112:O115 J116:N116 J117:O124 J125:N125 J126:O141 J142:N143 J144:O150 J151:N151 J152:O157 J160:O174 O159 J158:N158 J159:L159" xr:uid="{12274E93-1611-4FB4-BFF5-44CD037C32CA}">
      <formula1>IF($C9=3,H9&lt;0,H9&gt;=0)</formula1>
    </dataValidation>
    <dataValidation type="whole" allowBlank="1" showInputMessage="1" showErrorMessage="1" sqref="C273:C274" xr:uid="{B32A62F8-FC71-4F52-B5EC-153E28AE2316}">
      <formula1>6</formula1>
      <formula2>8</formula2>
    </dataValidation>
    <dataValidation type="custom" allowBlank="1" showInputMessage="1" showErrorMessage="1" sqref="H273:L274" xr:uid="{03A29528-642C-41AE-9830-834BB8771B9C}">
      <formula1>IF($C273=8,H273&lt;0,H273&gt;=0)</formula1>
    </dataValidation>
  </dataValidations>
  <printOptions horizontalCentered="1"/>
  <pageMargins left="0.11811023622047245" right="0.11811023622047245" top="0.15748031496062992" bottom="0.15748031496062992" header="0.31496062992125984" footer="0.31496062992125984"/>
  <pageSetup paperSize="9" scale="50" fitToHeight="4" orientation="landscape" r:id="rId1"/>
  <tableParts count="6">
    <tablePart r:id="rId2"/>
    <tablePart r:id="rId3"/>
    <tablePart r:id="rId4"/>
    <tablePart r:id="rId5"/>
    <tablePart r:id="rId6"/>
    <tablePart r:id="rId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9">
    <tabColor theme="8" tint="0.39997558519241921"/>
  </sheetPr>
  <dimension ref="B2:Q108"/>
  <sheetViews>
    <sheetView showGridLines="0" topLeftCell="A23" zoomScaleNormal="100" workbookViewId="0">
      <selection activeCell="D5" sqref="D5"/>
    </sheetView>
  </sheetViews>
  <sheetFormatPr baseColWidth="10" defaultRowHeight="15" x14ac:dyDescent="0.25"/>
  <cols>
    <col min="1" max="1" width="3.42578125" customWidth="1"/>
    <col min="3" max="3" width="20.28515625" bestFit="1" customWidth="1"/>
    <col min="4" max="4" width="12.7109375" bestFit="1" customWidth="1"/>
    <col min="5" max="5" width="14.140625" customWidth="1"/>
    <col min="6" max="6" width="3.42578125" customWidth="1"/>
    <col min="8" max="8" width="20.28515625" bestFit="1" customWidth="1"/>
    <col min="9" max="9" width="12.7109375" bestFit="1" customWidth="1"/>
    <col min="10" max="10" width="13.7109375" customWidth="1"/>
    <col min="11" max="11" width="2.140625" customWidth="1"/>
    <col min="13" max="13" width="17.28515625" customWidth="1"/>
    <col min="14" max="14" width="12.7109375" bestFit="1" customWidth="1"/>
    <col min="15" max="15" width="13.85546875" customWidth="1"/>
    <col min="16" max="16" width="6.7109375" customWidth="1"/>
  </cols>
  <sheetData>
    <row r="2" spans="2:17" ht="31.5" x14ac:dyDescent="0.25">
      <c r="B2" s="605" t="s">
        <v>59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</row>
    <row r="3" spans="2:17" ht="10.9" customHeight="1" thickBot="1" x14ac:dyDescent="0.45">
      <c r="B3" s="12"/>
      <c r="C3" s="12"/>
      <c r="D3" s="12"/>
      <c r="E3" s="12"/>
      <c r="F3" s="12"/>
      <c r="G3" s="9"/>
      <c r="H3" s="9"/>
      <c r="I3" s="9"/>
      <c r="J3" s="9"/>
      <c r="K3" s="9"/>
      <c r="L3" s="3"/>
      <c r="M3" s="3"/>
      <c r="N3" s="3"/>
      <c r="O3" s="3"/>
    </row>
    <row r="4" spans="2:17" ht="19.5" thickBot="1" x14ac:dyDescent="0.3">
      <c r="B4" s="601">
        <f>'Ene-25'!N1</f>
        <v>45658</v>
      </c>
      <c r="C4" s="602"/>
      <c r="D4" s="602"/>
      <c r="E4" s="603"/>
      <c r="F4" s="3"/>
      <c r="G4" s="601">
        <f>EDATE($B$4,1)</f>
        <v>45689</v>
      </c>
      <c r="H4" s="602"/>
      <c r="I4" s="602"/>
      <c r="J4" s="603"/>
      <c r="K4" s="3"/>
      <c r="L4" s="601">
        <f>EDATE($G$4,1)</f>
        <v>45717</v>
      </c>
      <c r="M4" s="602"/>
      <c r="N4" s="602"/>
      <c r="O4" s="603"/>
    </row>
    <row r="5" spans="2:17" x14ac:dyDescent="0.25">
      <c r="B5" s="5">
        <v>121.1</v>
      </c>
      <c r="C5" s="13" t="s">
        <v>39</v>
      </c>
      <c r="D5" s="19"/>
      <c r="E5" s="16"/>
      <c r="F5" s="3"/>
      <c r="G5" s="11">
        <f>IF($B$5="","",$B$5)</f>
        <v>121.1</v>
      </c>
      <c r="H5" s="14" t="str">
        <f>IF($C$5="","",$C$5)</f>
        <v>MERCADERIA</v>
      </c>
      <c r="I5" s="19"/>
      <c r="J5" s="16"/>
      <c r="K5" s="3"/>
      <c r="L5" s="11">
        <f>IF($B$5="","",$B$5)</f>
        <v>121.1</v>
      </c>
      <c r="M5" s="14" t="str">
        <f>IF($C$5="","",$C$5)</f>
        <v>MERCADERIA</v>
      </c>
      <c r="N5" s="19"/>
      <c r="O5" s="16"/>
    </row>
    <row r="6" spans="2:17" x14ac:dyDescent="0.25">
      <c r="B6" s="11">
        <v>500.5</v>
      </c>
      <c r="C6" s="14" t="s">
        <v>41</v>
      </c>
      <c r="D6" s="20"/>
      <c r="E6" s="17"/>
      <c r="F6" s="3"/>
      <c r="G6" s="11">
        <f>IF($B$6="","",$B$6)</f>
        <v>500.5</v>
      </c>
      <c r="H6" s="14" t="str">
        <f>IF($C$6="","",$C$6)</f>
        <v xml:space="preserve">GTOS COMERCIALIZACION </v>
      </c>
      <c r="I6" s="20"/>
      <c r="J6" s="17"/>
      <c r="K6" s="3"/>
      <c r="L6" s="11">
        <f>IF($B$6="","",$B$6)</f>
        <v>500.5</v>
      </c>
      <c r="M6" s="14" t="str">
        <f>IF($C$6="","",$C$6)</f>
        <v xml:space="preserve">GTOS COMERCIALIZACION </v>
      </c>
      <c r="N6" s="20"/>
      <c r="O6" s="17"/>
    </row>
    <row r="7" spans="2:17" x14ac:dyDescent="0.25">
      <c r="B7" s="11"/>
      <c r="C7" s="14" t="s">
        <v>40</v>
      </c>
      <c r="D7" s="20"/>
      <c r="E7" s="17"/>
      <c r="F7" s="3"/>
      <c r="G7" s="11" t="str">
        <f>IF($B$7="","",$B$7)</f>
        <v/>
      </c>
      <c r="H7" s="14" t="str">
        <f>IF($C$7="","",$C$7)</f>
        <v>GTOS ADMINISTRATIVOS</v>
      </c>
      <c r="I7" s="20"/>
      <c r="J7" s="17"/>
      <c r="K7" s="3"/>
      <c r="L7" s="11" t="str">
        <f>IF($B$7="","",$B$7)</f>
        <v/>
      </c>
      <c r="M7" s="14" t="str">
        <f>IF($C$7="","",$C$7)</f>
        <v>GTOS ADMINISTRATIVOS</v>
      </c>
      <c r="N7" s="20"/>
      <c r="O7" s="17"/>
    </row>
    <row r="8" spans="2:17" x14ac:dyDescent="0.25">
      <c r="B8" s="11">
        <v>500.15</v>
      </c>
      <c r="C8" s="14" t="s">
        <v>42</v>
      </c>
      <c r="D8" s="20"/>
      <c r="E8" s="17"/>
      <c r="F8" s="3"/>
      <c r="G8" s="11">
        <f>IF($B$8="","",$B$8)</f>
        <v>500.15</v>
      </c>
      <c r="H8" s="14" t="str">
        <f>IF($C$8="","",$C$8)</f>
        <v>SERVICIOS GAS, LUZ, ETC</v>
      </c>
      <c r="I8" s="20"/>
      <c r="J8" s="17"/>
      <c r="K8" s="3"/>
      <c r="L8" s="11">
        <f>IF($B$8="","",$B$8)</f>
        <v>500.15</v>
      </c>
      <c r="M8" s="14" t="str">
        <f>IF($C$8="","",$C$8)</f>
        <v>SERVICIOS GAS, LUZ, ETC</v>
      </c>
      <c r="N8" s="20"/>
      <c r="O8" s="17"/>
    </row>
    <row r="9" spans="2:17" x14ac:dyDescent="0.25">
      <c r="B9" s="11">
        <v>500.3</v>
      </c>
      <c r="C9" s="14" t="s">
        <v>43</v>
      </c>
      <c r="D9" s="20"/>
      <c r="E9" s="17"/>
      <c r="F9" s="3"/>
      <c r="G9" s="11">
        <f>IF($B$9="","",$B$9)</f>
        <v>500.3</v>
      </c>
      <c r="H9" s="14" t="str">
        <f>IF($C$9="","",$C$9)</f>
        <v>GASTOS VARIOS</v>
      </c>
      <c r="I9" s="20"/>
      <c r="J9" s="17"/>
      <c r="K9" s="3"/>
      <c r="L9" s="11">
        <f>IF($B$9="","",$B$9)</f>
        <v>500.3</v>
      </c>
      <c r="M9" s="14" t="str">
        <f>IF($C$9="","",$C$9)</f>
        <v>GASTOS VARIOS</v>
      </c>
      <c r="N9" s="20"/>
      <c r="O9" s="17"/>
    </row>
    <row r="10" spans="2:17" x14ac:dyDescent="0.25">
      <c r="B10" s="11">
        <v>500.23</v>
      </c>
      <c r="C10" s="14" t="s">
        <v>44</v>
      </c>
      <c r="D10" s="20"/>
      <c r="E10" s="17"/>
      <c r="F10" s="3"/>
      <c r="G10" s="11">
        <f>IF($B$10="","",$B$10)</f>
        <v>500.23</v>
      </c>
      <c r="H10" s="14" t="str">
        <f>IF($C$10="","",$C$10)</f>
        <v>COMBUSTIBLE</v>
      </c>
      <c r="I10" s="20"/>
      <c r="J10" s="17"/>
      <c r="K10" s="3"/>
      <c r="L10" s="11">
        <f>IF($B$10="","",$B$10)</f>
        <v>500.23</v>
      </c>
      <c r="M10" s="14" t="str">
        <f>IF($C$10="","",$C$10)</f>
        <v>COMBUSTIBLE</v>
      </c>
      <c r="N10" s="20"/>
      <c r="O10" s="17"/>
    </row>
    <row r="11" spans="2:17" x14ac:dyDescent="0.25">
      <c r="B11" s="11">
        <v>500.45</v>
      </c>
      <c r="C11" s="14" t="s">
        <v>45</v>
      </c>
      <c r="D11" s="20"/>
      <c r="E11" s="17"/>
      <c r="F11" s="3"/>
      <c r="G11" s="11">
        <f>IF($B$11="","",$B$11)</f>
        <v>500.45</v>
      </c>
      <c r="H11" s="14" t="str">
        <f>IF($C$11="","",$C$11)</f>
        <v xml:space="preserve">GTOS MANTENIMIENTO </v>
      </c>
      <c r="I11" s="20"/>
      <c r="J11" s="17"/>
      <c r="K11" s="3"/>
      <c r="L11" s="11">
        <f>IF($B$11="","",$B$11)</f>
        <v>500.45</v>
      </c>
      <c r="M11" s="14" t="str">
        <f>IF($C$11="","",$C$11)</f>
        <v xml:space="preserve">GTOS MANTENIMIENTO </v>
      </c>
      <c r="N11" s="20"/>
      <c r="O11" s="17"/>
    </row>
    <row r="12" spans="2:17" x14ac:dyDescent="0.25">
      <c r="B12" s="11">
        <v>500.31</v>
      </c>
      <c r="C12" s="14" t="s">
        <v>46</v>
      </c>
      <c r="D12" s="20"/>
      <c r="E12" s="17"/>
      <c r="F12" s="3"/>
      <c r="G12" s="11">
        <f>IF($B$12="","",$B$12)</f>
        <v>500.31</v>
      </c>
      <c r="H12" s="14" t="str">
        <f>IF($C$12="","",$C$12)</f>
        <v>LIBRERÍA</v>
      </c>
      <c r="I12" s="20"/>
      <c r="J12" s="17"/>
      <c r="K12" s="3"/>
      <c r="L12" s="11">
        <f>IF($B$12="","",$B$12)</f>
        <v>500.31</v>
      </c>
      <c r="M12" s="14" t="str">
        <f>IF($C$12="","",$C$12)</f>
        <v>LIBRERÍA</v>
      </c>
      <c r="N12" s="20"/>
      <c r="O12" s="17"/>
    </row>
    <row r="13" spans="2:17" x14ac:dyDescent="0.25">
      <c r="B13" s="11">
        <v>500.21</v>
      </c>
      <c r="C13" s="14" t="s">
        <v>47</v>
      </c>
      <c r="D13" s="20"/>
      <c r="E13" s="17"/>
      <c r="F13" s="3"/>
      <c r="G13" s="11">
        <f>IF($B$13="","",$B$13)</f>
        <v>500.21</v>
      </c>
      <c r="H13" s="14" t="str">
        <f>IF($C$13="","",$C$13)</f>
        <v>GTOS CATERING</v>
      </c>
      <c r="I13" s="20"/>
      <c r="J13" s="17"/>
      <c r="K13" s="3"/>
      <c r="L13" s="11">
        <f>IF($B$13="","",$B$13)</f>
        <v>500.21</v>
      </c>
      <c r="M13" s="14" t="str">
        <f>IF($C$13="","",$C$13)</f>
        <v>GTOS CATERING</v>
      </c>
      <c r="N13" s="20"/>
      <c r="O13" s="17"/>
    </row>
    <row r="14" spans="2:17" x14ac:dyDescent="0.25">
      <c r="B14" s="11">
        <v>540.1</v>
      </c>
      <c r="C14" s="14" t="s">
        <v>48</v>
      </c>
      <c r="D14" s="20"/>
      <c r="E14" s="17"/>
      <c r="F14" s="3"/>
      <c r="G14" s="11">
        <f>IF($B$14="","",$B$14)</f>
        <v>540.1</v>
      </c>
      <c r="H14" s="14" t="str">
        <f>IF($C$14="","",$C$14)</f>
        <v>HONORARIOS CONTABLES</v>
      </c>
      <c r="I14" s="20"/>
      <c r="J14" s="17"/>
      <c r="K14" s="3"/>
      <c r="L14" s="11">
        <f>IF($B$14="","",$B$14)</f>
        <v>540.1</v>
      </c>
      <c r="M14" s="14" t="str">
        <f>IF($C$14="","",$C$14)</f>
        <v>HONORARIOS CONTABLES</v>
      </c>
      <c r="N14" s="20"/>
      <c r="O14" s="17"/>
    </row>
    <row r="15" spans="2:17" x14ac:dyDescent="0.25">
      <c r="B15" s="11">
        <v>540.11</v>
      </c>
      <c r="C15" s="14" t="s">
        <v>57</v>
      </c>
      <c r="D15" s="20"/>
      <c r="E15" s="17"/>
      <c r="F15" s="3"/>
      <c r="G15" s="11">
        <f>IF($B$15="","",$B$15)</f>
        <v>540.11</v>
      </c>
      <c r="H15" s="14" t="str">
        <f>IF($C$15="","",$C$15)</f>
        <v>HONORARIOS JURIDICOS</v>
      </c>
      <c r="I15" s="20"/>
      <c r="J15" s="17"/>
      <c r="K15" s="3"/>
      <c r="L15" s="11">
        <f>IF($B$15="","",$B$15)</f>
        <v>540.11</v>
      </c>
      <c r="M15" s="14" t="str">
        <f>IF($C$15="","",$C$15)</f>
        <v>HONORARIOS JURIDICOS</v>
      </c>
      <c r="N15" s="20"/>
      <c r="O15" s="17"/>
    </row>
    <row r="16" spans="2:17" x14ac:dyDescent="0.25">
      <c r="B16" s="11">
        <v>500.30500000000001</v>
      </c>
      <c r="C16" s="14" t="s">
        <v>50</v>
      </c>
      <c r="D16" s="20"/>
      <c r="E16" s="17"/>
      <c r="F16" s="3"/>
      <c r="G16" s="11">
        <f>IF($B$16="","",$B$16)</f>
        <v>500.30500000000001</v>
      </c>
      <c r="H16" s="14" t="str">
        <f>IF($C$16="","",$C$16)</f>
        <v>GTOS SEGURIDAD</v>
      </c>
      <c r="I16" s="20"/>
      <c r="J16" s="17"/>
      <c r="K16" s="3"/>
      <c r="L16" s="11">
        <f>IF($B$16="","",$B$16)</f>
        <v>500.30500000000001</v>
      </c>
      <c r="M16" s="14" t="str">
        <f>IF($C$16="","",$C$16)</f>
        <v>GTOS SEGURIDAD</v>
      </c>
      <c r="N16" s="20"/>
      <c r="O16" s="17"/>
      <c r="Q16" t="s">
        <v>75</v>
      </c>
    </row>
    <row r="17" spans="2:17" x14ac:dyDescent="0.25">
      <c r="B17" s="11"/>
      <c r="C17" s="14" t="s">
        <v>58</v>
      </c>
      <c r="D17" s="20"/>
      <c r="E17" s="17"/>
      <c r="F17" s="3"/>
      <c r="G17" s="11" t="str">
        <f>IF($B$17="","",$B$17)</f>
        <v/>
      </c>
      <c r="H17" s="14" t="str">
        <f>IF($C$17="","",$C$17)</f>
        <v>EQ DE COMPUTACION</v>
      </c>
      <c r="I17" s="20"/>
      <c r="J17" s="17"/>
      <c r="K17" s="3"/>
      <c r="L17" s="11" t="str">
        <f>IF($B$17="","",$B$17)</f>
        <v/>
      </c>
      <c r="M17" s="14" t="str">
        <f>IF($C$17="","",$C$17)</f>
        <v>EQ DE COMPUTACION</v>
      </c>
      <c r="N17" s="20"/>
      <c r="O17" s="17"/>
      <c r="P17" s="34"/>
    </row>
    <row r="18" spans="2:17" x14ac:dyDescent="0.25">
      <c r="B18" s="11"/>
      <c r="C18" s="14" t="s">
        <v>49</v>
      </c>
      <c r="D18" s="20"/>
      <c r="E18" s="17"/>
      <c r="F18" s="3"/>
      <c r="G18" s="11" t="str">
        <f>IF($B$18="","",$B$18)</f>
        <v/>
      </c>
      <c r="H18" s="14" t="str">
        <f>IF($C$18="","",$C$18)</f>
        <v>ALQUILER</v>
      </c>
      <c r="I18" s="20"/>
      <c r="J18" s="17"/>
      <c r="K18" s="3"/>
      <c r="L18" s="11" t="str">
        <f>IF($B$18="","",$B$18)</f>
        <v/>
      </c>
      <c r="M18" s="14" t="str">
        <f>IF($C$18="","",$C$18)</f>
        <v>ALQUILER</v>
      </c>
      <c r="N18" s="20"/>
      <c r="O18" s="17"/>
      <c r="P18" s="34" t="s">
        <v>77</v>
      </c>
      <c r="Q18" t="s">
        <v>76</v>
      </c>
    </row>
    <row r="19" spans="2:17" x14ac:dyDescent="0.25">
      <c r="B19" s="11">
        <v>107.1</v>
      </c>
      <c r="C19" s="14" t="s">
        <v>17</v>
      </c>
      <c r="D19" s="20"/>
      <c r="E19" s="17"/>
      <c r="F19" s="3"/>
      <c r="G19" s="11">
        <f>IF($B$19="","",$B$19)</f>
        <v>107.1</v>
      </c>
      <c r="H19" s="14" t="str">
        <f>IF($C$19="","",$C$19)</f>
        <v>IVA 21%</v>
      </c>
      <c r="I19" s="20"/>
      <c r="J19" s="17"/>
      <c r="K19" s="3"/>
      <c r="L19" s="11">
        <f>IF($B$19="","",$B$19)</f>
        <v>107.1</v>
      </c>
      <c r="M19" s="14" t="str">
        <f>IF($C$19="","",$C$19)</f>
        <v>IVA 21%</v>
      </c>
      <c r="N19" s="20"/>
      <c r="O19" s="17"/>
    </row>
    <row r="20" spans="2:17" x14ac:dyDescent="0.25">
      <c r="B20" s="11">
        <v>107.101</v>
      </c>
      <c r="C20" s="14" t="s">
        <v>6</v>
      </c>
      <c r="D20" s="20"/>
      <c r="E20" s="17"/>
      <c r="F20" s="3"/>
      <c r="G20" s="11">
        <f>IF($B$20="","",$B$20)</f>
        <v>107.101</v>
      </c>
      <c r="H20" s="14" t="str">
        <f>IF($C$20="","",$C$20)</f>
        <v>IVA 27%</v>
      </c>
      <c r="I20" s="20"/>
      <c r="J20" s="17"/>
      <c r="K20" s="3"/>
      <c r="L20" s="11">
        <f>IF($B$20="","",$B$20)</f>
        <v>107.101</v>
      </c>
      <c r="M20" s="14" t="str">
        <f>IF($C$20="","",$C$20)</f>
        <v>IVA 27%</v>
      </c>
      <c r="N20" s="20"/>
      <c r="O20" s="17"/>
    </row>
    <row r="21" spans="2:17" x14ac:dyDescent="0.25">
      <c r="B21" s="11">
        <v>107.102</v>
      </c>
      <c r="C21" s="14" t="s">
        <v>7</v>
      </c>
      <c r="D21" s="20"/>
      <c r="E21" s="17"/>
      <c r="F21" s="3"/>
      <c r="G21" s="11">
        <f>IF($B$21="","",$B$21)</f>
        <v>107.102</v>
      </c>
      <c r="H21" s="14" t="str">
        <f>IF($C$21="","",$C$21)</f>
        <v>IVA 10,5%</v>
      </c>
      <c r="I21" s="20"/>
      <c r="J21" s="17"/>
      <c r="K21" s="3"/>
      <c r="L21" s="11">
        <f>IF($B$21="","",$B$21)</f>
        <v>107.102</v>
      </c>
      <c r="M21" s="14" t="str">
        <f>IF($C$21="","",$C$21)</f>
        <v>IVA 10,5%</v>
      </c>
      <c r="N21" s="20"/>
      <c r="O21" s="17"/>
    </row>
    <row r="22" spans="2:17" x14ac:dyDescent="0.25">
      <c r="B22" s="11">
        <v>106.521</v>
      </c>
      <c r="C22" s="14" t="s">
        <v>51</v>
      </c>
      <c r="D22" s="20"/>
      <c r="E22" s="17"/>
      <c r="F22" s="3"/>
      <c r="G22" s="11">
        <f>IF($B$22="","",$B$22)</f>
        <v>106.521</v>
      </c>
      <c r="H22" s="14" t="str">
        <f>IF($C$22="","",$C$22)</f>
        <v>PERC IIBB BS AS</v>
      </c>
      <c r="I22" s="20"/>
      <c r="J22" s="17"/>
      <c r="K22" s="3"/>
      <c r="L22" s="11">
        <f>IF($B$22="","",$B$22)</f>
        <v>106.521</v>
      </c>
      <c r="M22" s="14" t="str">
        <f>IF($C$22="","",$C$22)</f>
        <v>PERC IIBB BS AS</v>
      </c>
      <c r="N22" s="20"/>
      <c r="O22" s="17"/>
    </row>
    <row r="23" spans="2:17" x14ac:dyDescent="0.25">
      <c r="B23" s="11">
        <v>106.515</v>
      </c>
      <c r="C23" s="14" t="s">
        <v>52</v>
      </c>
      <c r="D23" s="20"/>
      <c r="E23" s="17"/>
      <c r="F23" s="3"/>
      <c r="G23" s="11">
        <f>IF($B$23="","",$B$23)</f>
        <v>106.515</v>
      </c>
      <c r="H23" s="14" t="str">
        <f>IF($C$23="","",$C$23)</f>
        <v>PERC IIBB CABA</v>
      </c>
      <c r="I23" s="20"/>
      <c r="J23" s="17"/>
      <c r="K23" s="3"/>
      <c r="L23" s="11">
        <f>IF($B$23="","",$B$23)</f>
        <v>106.515</v>
      </c>
      <c r="M23" s="14" t="str">
        <f>IF($C$23="","",$C$23)</f>
        <v>PERC IIBB CABA</v>
      </c>
      <c r="N23" s="20"/>
      <c r="O23" s="17"/>
    </row>
    <row r="24" spans="2:17" x14ac:dyDescent="0.25">
      <c r="B24" s="11">
        <v>106.535</v>
      </c>
      <c r="C24" s="14" t="s">
        <v>8</v>
      </c>
      <c r="D24" s="21"/>
      <c r="E24" s="18"/>
      <c r="F24" s="3"/>
      <c r="G24" s="11">
        <f>IF($B$24="","",$B$24)</f>
        <v>106.535</v>
      </c>
      <c r="H24" s="14" t="str">
        <f>IF($C$24="","",$C$24)</f>
        <v>PERC. IVA</v>
      </c>
      <c r="I24" s="21"/>
      <c r="J24" s="18"/>
      <c r="K24" s="3"/>
      <c r="L24" s="11">
        <f>IF($B$24="","",$B$24)</f>
        <v>106.535</v>
      </c>
      <c r="M24" s="14" t="str">
        <f>IF($C$24="","",$C$24)</f>
        <v>PERC. IVA</v>
      </c>
      <c r="N24" s="21"/>
      <c r="O24" s="18"/>
    </row>
    <row r="25" spans="2:17" x14ac:dyDescent="0.25">
      <c r="B25" s="11"/>
      <c r="C25" s="14"/>
      <c r="D25" s="120"/>
      <c r="E25" s="18"/>
      <c r="F25" s="3"/>
      <c r="G25" s="11" t="str">
        <f>IF($B$25="","",$B$25)</f>
        <v/>
      </c>
      <c r="H25" s="14" t="str">
        <f>IF($C$25="","",$C$25)</f>
        <v/>
      </c>
      <c r="I25" s="120"/>
      <c r="J25" s="18"/>
      <c r="K25" s="3"/>
      <c r="L25" s="11" t="str">
        <f>IF($B$25="","",$B$25)</f>
        <v/>
      </c>
      <c r="M25" s="14" t="str">
        <f>IF($C$25="","",$C$25)</f>
        <v/>
      </c>
      <c r="N25" s="120"/>
      <c r="O25" s="18"/>
    </row>
    <row r="26" spans="2:17" x14ac:dyDescent="0.25">
      <c r="B26" s="11"/>
      <c r="C26" s="14"/>
      <c r="D26" s="120"/>
      <c r="E26" s="18"/>
      <c r="F26" s="3"/>
      <c r="G26" s="11" t="str">
        <f>IF($B$26="","",$B$26)</f>
        <v/>
      </c>
      <c r="H26" s="14" t="str">
        <f>IF($C$26="","",$C$26)</f>
        <v/>
      </c>
      <c r="I26" s="120"/>
      <c r="J26" s="18"/>
      <c r="K26" s="3"/>
      <c r="L26" s="11" t="str">
        <f>IF($B$26="","",$B$26)</f>
        <v/>
      </c>
      <c r="M26" s="14" t="str">
        <f>IF($C$26="","",$C$26)</f>
        <v/>
      </c>
      <c r="N26" s="120"/>
      <c r="O26" s="18"/>
    </row>
    <row r="27" spans="2:17" x14ac:dyDescent="0.25">
      <c r="B27" s="6">
        <v>200.9</v>
      </c>
      <c r="C27" s="15" t="s">
        <v>53</v>
      </c>
      <c r="D27" s="18"/>
      <c r="E27" s="4"/>
      <c r="F27" s="3"/>
      <c r="G27" s="11">
        <f>IF($B$27="","",$B$27)</f>
        <v>200.9</v>
      </c>
      <c r="H27" s="14" t="str">
        <f>IF($C$27="","",$C$27)</f>
        <v>PROVEEDORES</v>
      </c>
      <c r="I27" s="18"/>
      <c r="J27" s="4"/>
      <c r="K27" s="3"/>
      <c r="L27" s="11">
        <f>IF($B$27="","",$B$27)</f>
        <v>200.9</v>
      </c>
      <c r="M27" s="14" t="str">
        <f>IF($C$27="","",$C$27)</f>
        <v>PROVEEDORES</v>
      </c>
      <c r="N27" s="18"/>
      <c r="O27" s="4"/>
    </row>
    <row r="28" spans="2:17" x14ac:dyDescent="0.25">
      <c r="B28" s="604" t="s">
        <v>54</v>
      </c>
      <c r="C28" s="604"/>
      <c r="D28" s="604"/>
      <c r="E28" s="8">
        <v>0</v>
      </c>
      <c r="F28" s="3"/>
      <c r="G28" s="604" t="s">
        <v>55</v>
      </c>
      <c r="H28" s="604"/>
      <c r="I28" s="604"/>
      <c r="J28" s="8">
        <v>0</v>
      </c>
      <c r="K28" s="3"/>
      <c r="L28" s="604" t="s">
        <v>56</v>
      </c>
      <c r="M28" s="604"/>
      <c r="N28" s="604"/>
      <c r="O28" s="8">
        <v>0</v>
      </c>
    </row>
    <row r="29" spans="2:17" ht="15.75" thickBot="1" x14ac:dyDescent="0.3">
      <c r="B29" s="7"/>
      <c r="C29" s="7"/>
      <c r="D29" s="7"/>
      <c r="E29" s="10"/>
      <c r="F29" s="3"/>
      <c r="G29" s="7"/>
      <c r="H29" s="7"/>
      <c r="I29" s="7"/>
      <c r="J29" s="10"/>
      <c r="K29" s="3"/>
      <c r="L29" s="7"/>
      <c r="M29" s="7"/>
      <c r="N29" s="7"/>
      <c r="O29" s="10"/>
    </row>
    <row r="30" spans="2:17" ht="19.5" thickBot="1" x14ac:dyDescent="0.3">
      <c r="B30" s="601">
        <f>EDATE($L$4,1)</f>
        <v>45748</v>
      </c>
      <c r="C30" s="602"/>
      <c r="D30" s="602"/>
      <c r="E30" s="603"/>
      <c r="F30" s="3"/>
      <c r="G30" s="601">
        <f>EDATE($B$30,1)</f>
        <v>45778</v>
      </c>
      <c r="H30" s="602"/>
      <c r="I30" s="602"/>
      <c r="J30" s="603"/>
      <c r="K30" s="3"/>
      <c r="L30" s="601">
        <f>EDATE($G$30,1)</f>
        <v>45809</v>
      </c>
      <c r="M30" s="602"/>
      <c r="N30" s="602"/>
      <c r="O30" s="603"/>
    </row>
    <row r="31" spans="2:17" x14ac:dyDescent="0.25">
      <c r="B31" s="11">
        <f>IF($B$5="","",$B$5)</f>
        <v>121.1</v>
      </c>
      <c r="C31" s="14" t="str">
        <f>IF($C$5="","",$C$5)</f>
        <v>MERCADERIA</v>
      </c>
      <c r="D31" s="19"/>
      <c r="E31" s="16"/>
      <c r="F31" s="3"/>
      <c r="G31" s="11">
        <f>IF($B$5="","",$B$5)</f>
        <v>121.1</v>
      </c>
      <c r="H31" s="14" t="str">
        <f>IF($C$5="","",$C$5)</f>
        <v>MERCADERIA</v>
      </c>
      <c r="I31" s="19"/>
      <c r="J31" s="16"/>
      <c r="K31" s="3"/>
      <c r="L31" s="11">
        <f>IF($B$5="","",$B$5)</f>
        <v>121.1</v>
      </c>
      <c r="M31" s="14" t="str">
        <f>IF($C$5="","",$C$5)</f>
        <v>MERCADERIA</v>
      </c>
      <c r="N31" s="19"/>
      <c r="O31" s="16"/>
    </row>
    <row r="32" spans="2:17" x14ac:dyDescent="0.25">
      <c r="B32" s="11">
        <f>IF($B$6="","",$B$6)</f>
        <v>500.5</v>
      </c>
      <c r="C32" s="14" t="str">
        <f>IF($C$6="","",$C$6)</f>
        <v xml:space="preserve">GTOS COMERCIALIZACION </v>
      </c>
      <c r="D32" s="20"/>
      <c r="E32" s="17"/>
      <c r="F32" s="3"/>
      <c r="G32" s="11">
        <f>IF($B$6="","",$B$6)</f>
        <v>500.5</v>
      </c>
      <c r="H32" s="14" t="str">
        <f>IF($C$6="","",$C$6)</f>
        <v xml:space="preserve">GTOS COMERCIALIZACION </v>
      </c>
      <c r="I32" s="20"/>
      <c r="J32" s="17"/>
      <c r="K32" s="3"/>
      <c r="L32" s="11">
        <f>IF($B$6="","",$B$6)</f>
        <v>500.5</v>
      </c>
      <c r="M32" s="14" t="str">
        <f>IF($C$6="","",$C$6)</f>
        <v xml:space="preserve">GTOS COMERCIALIZACION </v>
      </c>
      <c r="N32" s="20"/>
      <c r="O32" s="17"/>
    </row>
    <row r="33" spans="2:15" x14ac:dyDescent="0.25">
      <c r="B33" s="11" t="str">
        <f>IF($B$7="","",$B$7)</f>
        <v/>
      </c>
      <c r="C33" s="14" t="str">
        <f>IF($C$7="","",$C$7)</f>
        <v>GTOS ADMINISTRATIVOS</v>
      </c>
      <c r="D33" s="20"/>
      <c r="E33" s="17"/>
      <c r="F33" s="3"/>
      <c r="G33" s="11" t="str">
        <f>IF($B$7="","",$B$7)</f>
        <v/>
      </c>
      <c r="H33" s="14" t="str">
        <f>IF($C$7="","",$C$7)</f>
        <v>GTOS ADMINISTRATIVOS</v>
      </c>
      <c r="I33" s="20"/>
      <c r="J33" s="17"/>
      <c r="K33" s="3"/>
      <c r="L33" s="11" t="str">
        <f>IF($B$7="","",$B$7)</f>
        <v/>
      </c>
      <c r="M33" s="14" t="str">
        <f>IF($C$7="","",$C$7)</f>
        <v>GTOS ADMINISTRATIVOS</v>
      </c>
      <c r="N33" s="20"/>
      <c r="O33" s="17"/>
    </row>
    <row r="34" spans="2:15" x14ac:dyDescent="0.25">
      <c r="B34" s="11">
        <f>IF($B$8="","",$B$8)</f>
        <v>500.15</v>
      </c>
      <c r="C34" s="14" t="str">
        <f>IF($C$8="","",$C$8)</f>
        <v>SERVICIOS GAS, LUZ, ETC</v>
      </c>
      <c r="D34" s="20"/>
      <c r="E34" s="17"/>
      <c r="F34" s="3"/>
      <c r="G34" s="11">
        <f>IF($B$8="","",$B$8)</f>
        <v>500.15</v>
      </c>
      <c r="H34" s="14" t="str">
        <f>IF($C$8="","",$C$8)</f>
        <v>SERVICIOS GAS, LUZ, ETC</v>
      </c>
      <c r="I34" s="20"/>
      <c r="J34" s="17"/>
      <c r="K34" s="3"/>
      <c r="L34" s="11">
        <f>IF($B$8="","",$B$8)</f>
        <v>500.15</v>
      </c>
      <c r="M34" s="14" t="str">
        <f>IF($C$8="","",$C$8)</f>
        <v>SERVICIOS GAS, LUZ, ETC</v>
      </c>
      <c r="N34" s="20"/>
      <c r="O34" s="17"/>
    </row>
    <row r="35" spans="2:15" x14ac:dyDescent="0.25">
      <c r="B35" s="11">
        <f>IF($B$9="","",$B$9)</f>
        <v>500.3</v>
      </c>
      <c r="C35" s="14" t="str">
        <f>IF($C$9="","",$C$9)</f>
        <v>GASTOS VARIOS</v>
      </c>
      <c r="D35" s="20"/>
      <c r="E35" s="17"/>
      <c r="F35" s="3"/>
      <c r="G35" s="11">
        <f>IF($B$9="","",$B$9)</f>
        <v>500.3</v>
      </c>
      <c r="H35" s="14" t="str">
        <f>IF($C$9="","",$C$9)</f>
        <v>GASTOS VARIOS</v>
      </c>
      <c r="I35" s="20"/>
      <c r="J35" s="17"/>
      <c r="K35" s="3"/>
      <c r="L35" s="11">
        <f>IF($B$9="","",$B$9)</f>
        <v>500.3</v>
      </c>
      <c r="M35" s="14" t="str">
        <f>IF($C$9="","",$C$9)</f>
        <v>GASTOS VARIOS</v>
      </c>
      <c r="N35" s="20"/>
      <c r="O35" s="17"/>
    </row>
    <row r="36" spans="2:15" x14ac:dyDescent="0.25">
      <c r="B36" s="11">
        <f>IF($B$10="","",$B$10)</f>
        <v>500.23</v>
      </c>
      <c r="C36" s="14" t="str">
        <f>IF($C$10="","",$C$10)</f>
        <v>COMBUSTIBLE</v>
      </c>
      <c r="D36" s="20"/>
      <c r="E36" s="17"/>
      <c r="F36" s="3"/>
      <c r="G36" s="11">
        <f>IF($B$10="","",$B$10)</f>
        <v>500.23</v>
      </c>
      <c r="H36" s="14" t="str">
        <f>IF($C$10="","",$C$10)</f>
        <v>COMBUSTIBLE</v>
      </c>
      <c r="I36" s="20"/>
      <c r="J36" s="17"/>
      <c r="K36" s="3"/>
      <c r="L36" s="11">
        <f>IF($B$10="","",$B$10)</f>
        <v>500.23</v>
      </c>
      <c r="M36" s="14" t="str">
        <f>IF($C$10="","",$C$10)</f>
        <v>COMBUSTIBLE</v>
      </c>
      <c r="N36" s="20"/>
      <c r="O36" s="17"/>
    </row>
    <row r="37" spans="2:15" x14ac:dyDescent="0.25">
      <c r="B37" s="11">
        <f>IF($B$11="","",$B$11)</f>
        <v>500.45</v>
      </c>
      <c r="C37" s="14" t="str">
        <f>IF($C$11="","",$C$11)</f>
        <v xml:space="preserve">GTOS MANTENIMIENTO </v>
      </c>
      <c r="D37" s="20"/>
      <c r="E37" s="17"/>
      <c r="F37" s="3"/>
      <c r="G37" s="11">
        <f>IF($B$11="","",$B$11)</f>
        <v>500.45</v>
      </c>
      <c r="H37" s="14" t="str">
        <f>IF($C$11="","",$C$11)</f>
        <v xml:space="preserve">GTOS MANTENIMIENTO </v>
      </c>
      <c r="I37" s="20"/>
      <c r="J37" s="17"/>
      <c r="K37" s="3"/>
      <c r="L37" s="11">
        <f>IF($B$11="","",$B$11)</f>
        <v>500.45</v>
      </c>
      <c r="M37" s="14" t="str">
        <f>IF($C$11="","",$C$11)</f>
        <v xml:space="preserve">GTOS MANTENIMIENTO </v>
      </c>
      <c r="N37" s="20"/>
      <c r="O37" s="17"/>
    </row>
    <row r="38" spans="2:15" x14ac:dyDescent="0.25">
      <c r="B38" s="11">
        <f>IF($B$12="","",$B$12)</f>
        <v>500.31</v>
      </c>
      <c r="C38" s="14" t="str">
        <f>IF($C$12="","",$C$12)</f>
        <v>LIBRERÍA</v>
      </c>
      <c r="D38" s="20"/>
      <c r="E38" s="17"/>
      <c r="F38" s="3"/>
      <c r="G38" s="11">
        <f>IF($B$12="","",$B$12)</f>
        <v>500.31</v>
      </c>
      <c r="H38" s="14" t="str">
        <f>IF($C$12="","",$C$12)</f>
        <v>LIBRERÍA</v>
      </c>
      <c r="I38" s="20"/>
      <c r="J38" s="17"/>
      <c r="K38" s="3"/>
      <c r="L38" s="11">
        <f>IF($B$12="","",$B$12)</f>
        <v>500.31</v>
      </c>
      <c r="M38" s="14" t="str">
        <f>IF($C$12="","",$C$12)</f>
        <v>LIBRERÍA</v>
      </c>
      <c r="N38" s="20"/>
      <c r="O38" s="17"/>
    </row>
    <row r="39" spans="2:15" x14ac:dyDescent="0.25">
      <c r="B39" s="11">
        <f>IF($B$13="","",$B$13)</f>
        <v>500.21</v>
      </c>
      <c r="C39" s="14" t="str">
        <f>IF($C$13="","",$C$13)</f>
        <v>GTOS CATERING</v>
      </c>
      <c r="D39" s="20"/>
      <c r="E39" s="17"/>
      <c r="F39" s="3"/>
      <c r="G39" s="11">
        <f>IF($B$13="","",$B$13)</f>
        <v>500.21</v>
      </c>
      <c r="H39" s="14" t="str">
        <f>IF($C$13="","",$C$13)</f>
        <v>GTOS CATERING</v>
      </c>
      <c r="I39" s="20"/>
      <c r="J39" s="17"/>
      <c r="K39" s="3"/>
      <c r="L39" s="11">
        <f>IF($B$13="","",$B$13)</f>
        <v>500.21</v>
      </c>
      <c r="M39" s="14" t="str">
        <f>IF($C$13="","",$C$13)</f>
        <v>GTOS CATERING</v>
      </c>
      <c r="N39" s="20"/>
      <c r="O39" s="17"/>
    </row>
    <row r="40" spans="2:15" x14ac:dyDescent="0.25">
      <c r="B40" s="11">
        <f>IF($B$14="","",$B$14)</f>
        <v>540.1</v>
      </c>
      <c r="C40" s="14" t="str">
        <f>IF($C$14="","",$C$14)</f>
        <v>HONORARIOS CONTABLES</v>
      </c>
      <c r="D40" s="20"/>
      <c r="E40" s="17"/>
      <c r="F40" s="3"/>
      <c r="G40" s="11">
        <f>IF($B$14="","",$B$14)</f>
        <v>540.1</v>
      </c>
      <c r="H40" s="14" t="str">
        <f>IF($C$14="","",$C$14)</f>
        <v>HONORARIOS CONTABLES</v>
      </c>
      <c r="I40" s="20"/>
      <c r="J40" s="17"/>
      <c r="K40" s="3"/>
      <c r="L40" s="11">
        <f>IF($B$14="","",$B$14)</f>
        <v>540.1</v>
      </c>
      <c r="M40" s="14" t="str">
        <f>IF($C$14="","",$C$14)</f>
        <v>HONORARIOS CONTABLES</v>
      </c>
      <c r="N40" s="20"/>
      <c r="O40" s="17"/>
    </row>
    <row r="41" spans="2:15" x14ac:dyDescent="0.25">
      <c r="B41" s="11">
        <f>IF($B$15="","",$B$15)</f>
        <v>540.11</v>
      </c>
      <c r="C41" s="14" t="str">
        <f>IF($C$15="","",$C$15)</f>
        <v>HONORARIOS JURIDICOS</v>
      </c>
      <c r="D41" s="20"/>
      <c r="E41" s="17"/>
      <c r="F41" s="3"/>
      <c r="G41" s="11">
        <f>IF($B$15="","",$B$15)</f>
        <v>540.11</v>
      </c>
      <c r="H41" s="14" t="str">
        <f>IF($C$15="","",$C$15)</f>
        <v>HONORARIOS JURIDICOS</v>
      </c>
      <c r="I41" s="20"/>
      <c r="J41" s="17"/>
      <c r="K41" s="3"/>
      <c r="L41" s="11">
        <f>IF($B$15="","",$B$15)</f>
        <v>540.11</v>
      </c>
      <c r="M41" s="14" t="str">
        <f>IF($C$15="","",$C$15)</f>
        <v>HONORARIOS JURIDICOS</v>
      </c>
      <c r="N41" s="20"/>
      <c r="O41" s="17"/>
    </row>
    <row r="42" spans="2:15" x14ac:dyDescent="0.25">
      <c r="B42" s="11">
        <f>IF($B$16="","",$B$16)</f>
        <v>500.30500000000001</v>
      </c>
      <c r="C42" s="14" t="str">
        <f>IF($C$16="","",$C$16)</f>
        <v>GTOS SEGURIDAD</v>
      </c>
      <c r="D42" s="20"/>
      <c r="E42" s="17"/>
      <c r="F42" s="3"/>
      <c r="G42" s="11">
        <f>IF($B$16="","",$B$16)</f>
        <v>500.30500000000001</v>
      </c>
      <c r="H42" s="14" t="str">
        <f>IF($C$16="","",$C$16)</f>
        <v>GTOS SEGURIDAD</v>
      </c>
      <c r="I42" s="20"/>
      <c r="J42" s="17"/>
      <c r="K42" s="3"/>
      <c r="L42" s="11">
        <f>IF($B$16="","",$B$16)</f>
        <v>500.30500000000001</v>
      </c>
      <c r="M42" s="14" t="str">
        <f>IF($C$16="","",$C$16)</f>
        <v>GTOS SEGURIDAD</v>
      </c>
      <c r="N42" s="20"/>
      <c r="O42" s="17"/>
    </row>
    <row r="43" spans="2:15" x14ac:dyDescent="0.25">
      <c r="B43" s="11" t="str">
        <f>IF($B$17="","",$B$17)</f>
        <v/>
      </c>
      <c r="C43" s="14" t="str">
        <f>IF($C$17="","",$C$17)</f>
        <v>EQ DE COMPUTACION</v>
      </c>
      <c r="D43" s="20"/>
      <c r="E43" s="17"/>
      <c r="F43" s="3"/>
      <c r="G43" s="11" t="str">
        <f>IF($B$17="","",$B$17)</f>
        <v/>
      </c>
      <c r="H43" s="14" t="str">
        <f>IF($C$17="","",$C$17)</f>
        <v>EQ DE COMPUTACION</v>
      </c>
      <c r="I43" s="20"/>
      <c r="J43" s="17"/>
      <c r="K43" s="3"/>
      <c r="L43" s="11" t="str">
        <f>IF($B$17="","",$B$17)</f>
        <v/>
      </c>
      <c r="M43" s="14" t="str">
        <f>IF($C$17="","",$C$17)</f>
        <v>EQ DE COMPUTACION</v>
      </c>
      <c r="N43" s="20"/>
      <c r="O43" s="17"/>
    </row>
    <row r="44" spans="2:15" x14ac:dyDescent="0.25">
      <c r="B44" s="11" t="str">
        <f>IF($B$18="","",$B$18)</f>
        <v/>
      </c>
      <c r="C44" s="14" t="str">
        <f>IF($C$18="","",$C$18)</f>
        <v>ALQUILER</v>
      </c>
      <c r="D44" s="20"/>
      <c r="E44" s="17"/>
      <c r="F44" s="3"/>
      <c r="G44" s="11" t="str">
        <f>IF($B$18="","",$B$18)</f>
        <v/>
      </c>
      <c r="H44" s="14" t="str">
        <f>IF($C$18="","",$C$18)</f>
        <v>ALQUILER</v>
      </c>
      <c r="I44" s="20"/>
      <c r="J44" s="17"/>
      <c r="K44" s="3"/>
      <c r="L44" s="11" t="str">
        <f>IF($B$18="","",$B$18)</f>
        <v/>
      </c>
      <c r="M44" s="14" t="str">
        <f>IF($C$18="","",$C$18)</f>
        <v>ALQUILER</v>
      </c>
      <c r="N44" s="20"/>
      <c r="O44" s="17"/>
    </row>
    <row r="45" spans="2:15" x14ac:dyDescent="0.25">
      <c r="B45" s="11">
        <f>IF($B$19="","",$B$19)</f>
        <v>107.1</v>
      </c>
      <c r="C45" s="14" t="str">
        <f>IF($C$19="","",$C$19)</f>
        <v>IVA 21%</v>
      </c>
      <c r="D45" s="20"/>
      <c r="E45" s="17"/>
      <c r="F45" s="3"/>
      <c r="G45" s="11">
        <f>IF($B$19="","",$B$19)</f>
        <v>107.1</v>
      </c>
      <c r="H45" s="14" t="str">
        <f>IF($C$19="","",$C$19)</f>
        <v>IVA 21%</v>
      </c>
      <c r="I45" s="20"/>
      <c r="J45" s="17"/>
      <c r="K45" s="3"/>
      <c r="L45" s="11">
        <f>IF($B$19="","",$B$19)</f>
        <v>107.1</v>
      </c>
      <c r="M45" s="14" t="str">
        <f>IF($C$19="","",$C$19)</f>
        <v>IVA 21%</v>
      </c>
      <c r="N45" s="20"/>
      <c r="O45" s="17"/>
    </row>
    <row r="46" spans="2:15" x14ac:dyDescent="0.25">
      <c r="B46" s="11">
        <f>IF($B$20="","",$B$20)</f>
        <v>107.101</v>
      </c>
      <c r="C46" s="14" t="str">
        <f>IF($C$20="","",$C$20)</f>
        <v>IVA 27%</v>
      </c>
      <c r="D46" s="20"/>
      <c r="E46" s="17"/>
      <c r="F46" s="3"/>
      <c r="G46" s="11">
        <f>IF($B$20="","",$B$20)</f>
        <v>107.101</v>
      </c>
      <c r="H46" s="14" t="str">
        <f>IF($C$20="","",$C$20)</f>
        <v>IVA 27%</v>
      </c>
      <c r="I46" s="20"/>
      <c r="J46" s="17"/>
      <c r="K46" s="3"/>
      <c r="L46" s="11">
        <f>IF($B$20="","",$B$20)</f>
        <v>107.101</v>
      </c>
      <c r="M46" s="14" t="str">
        <f>IF($C$20="","",$C$20)</f>
        <v>IVA 27%</v>
      </c>
      <c r="N46" s="20"/>
      <c r="O46" s="17"/>
    </row>
    <row r="47" spans="2:15" x14ac:dyDescent="0.25">
      <c r="B47" s="11">
        <f>IF($B$21="","",$B$21)</f>
        <v>107.102</v>
      </c>
      <c r="C47" s="14" t="str">
        <f>IF($C$21="","",$C$21)</f>
        <v>IVA 10,5%</v>
      </c>
      <c r="D47" s="20"/>
      <c r="E47" s="17"/>
      <c r="F47" s="3"/>
      <c r="G47" s="11">
        <f>IF($B$21="","",$B$21)</f>
        <v>107.102</v>
      </c>
      <c r="H47" s="14" t="str">
        <f>IF($C$21="","",$C$21)</f>
        <v>IVA 10,5%</v>
      </c>
      <c r="I47" s="20"/>
      <c r="J47" s="17"/>
      <c r="K47" s="3"/>
      <c r="L47" s="11">
        <f>IF($B$21="","",$B$21)</f>
        <v>107.102</v>
      </c>
      <c r="M47" s="14" t="str">
        <f>IF($C$21="","",$C$21)</f>
        <v>IVA 10,5%</v>
      </c>
      <c r="N47" s="20"/>
      <c r="O47" s="17"/>
    </row>
    <row r="48" spans="2:15" x14ac:dyDescent="0.25">
      <c r="B48" s="11">
        <f>IF($B$22="","",$B$22)</f>
        <v>106.521</v>
      </c>
      <c r="C48" s="14" t="str">
        <f>IF($C$22="","",$C$22)</f>
        <v>PERC IIBB BS AS</v>
      </c>
      <c r="D48" s="20"/>
      <c r="E48" s="17"/>
      <c r="F48" s="3"/>
      <c r="G48" s="11">
        <f>IF($B$22="","",$B$22)</f>
        <v>106.521</v>
      </c>
      <c r="H48" s="14" t="str">
        <f>IF($C$22="","",$C$22)</f>
        <v>PERC IIBB BS AS</v>
      </c>
      <c r="I48" s="20"/>
      <c r="J48" s="17"/>
      <c r="K48" s="3"/>
      <c r="L48" s="11">
        <f>IF($B$22="","",$B$22)</f>
        <v>106.521</v>
      </c>
      <c r="M48" s="14" t="str">
        <f>IF($C$22="","",$C$22)</f>
        <v>PERC IIBB BS AS</v>
      </c>
      <c r="N48" s="20"/>
      <c r="O48" s="17"/>
    </row>
    <row r="49" spans="2:15" x14ac:dyDescent="0.25">
      <c r="B49" s="11">
        <f>IF($B$23="","",$B$23)</f>
        <v>106.515</v>
      </c>
      <c r="C49" s="14" t="str">
        <f>IF($C$23="","",$C$23)</f>
        <v>PERC IIBB CABA</v>
      </c>
      <c r="D49" s="20"/>
      <c r="E49" s="17"/>
      <c r="F49" s="3"/>
      <c r="G49" s="11">
        <f>IF($B$23="","",$B$23)</f>
        <v>106.515</v>
      </c>
      <c r="H49" s="14" t="str">
        <f>IF($C$23="","",$C$23)</f>
        <v>PERC IIBB CABA</v>
      </c>
      <c r="I49" s="20"/>
      <c r="J49" s="17"/>
      <c r="K49" s="3"/>
      <c r="L49" s="11">
        <f>IF($B$23="","",$B$23)</f>
        <v>106.515</v>
      </c>
      <c r="M49" s="14" t="str">
        <f>IF($C$23="","",$C$23)</f>
        <v>PERC IIBB CABA</v>
      </c>
      <c r="N49" s="20"/>
      <c r="O49" s="17"/>
    </row>
    <row r="50" spans="2:15" x14ac:dyDescent="0.25">
      <c r="B50" s="11">
        <f>IF($B$24="","",$B$24)</f>
        <v>106.535</v>
      </c>
      <c r="C50" s="14" t="str">
        <f>IF($C$24="","",$C$24)</f>
        <v>PERC. IVA</v>
      </c>
      <c r="D50" s="21"/>
      <c r="E50" s="18"/>
      <c r="F50" s="3"/>
      <c r="G50" s="11">
        <f>IF($B$24="","",$B$24)</f>
        <v>106.535</v>
      </c>
      <c r="H50" s="14" t="str">
        <f>IF($C$24="","",$C$24)</f>
        <v>PERC. IVA</v>
      </c>
      <c r="I50" s="21"/>
      <c r="J50" s="18"/>
      <c r="K50" s="3"/>
      <c r="L50" s="11">
        <f>IF($B$24="","",$B$24)</f>
        <v>106.535</v>
      </c>
      <c r="M50" s="14" t="str">
        <f>IF($C$24="","",$C$24)</f>
        <v>PERC. IVA</v>
      </c>
      <c r="N50" s="21"/>
      <c r="O50" s="18"/>
    </row>
    <row r="51" spans="2:15" x14ac:dyDescent="0.25">
      <c r="B51" s="11" t="str">
        <f>IF($B$25="","",$B$25)</f>
        <v/>
      </c>
      <c r="C51" s="14" t="str">
        <f>IF($C$25="","",$C$25)</f>
        <v/>
      </c>
      <c r="D51" s="120"/>
      <c r="E51" s="18"/>
      <c r="F51" s="3"/>
      <c r="G51" s="11" t="str">
        <f>IF($B$25="","",$B$25)</f>
        <v/>
      </c>
      <c r="H51" s="14" t="str">
        <f>IF($C$25="","",$C$25)</f>
        <v/>
      </c>
      <c r="I51" s="120"/>
      <c r="J51" s="18"/>
      <c r="K51" s="3"/>
      <c r="L51" s="11" t="str">
        <f>IF($B$25="","",$B$25)</f>
        <v/>
      </c>
      <c r="M51" s="14" t="str">
        <f>IF($C$25="","",$C$25)</f>
        <v/>
      </c>
      <c r="N51" s="120"/>
      <c r="O51" s="18"/>
    </row>
    <row r="52" spans="2:15" x14ac:dyDescent="0.25">
      <c r="B52" s="11" t="str">
        <f>IF($B$26="","",$B$26)</f>
        <v/>
      </c>
      <c r="C52" s="14" t="str">
        <f>IF($C$26="","",$C$26)</f>
        <v/>
      </c>
      <c r="D52" s="120"/>
      <c r="E52" s="18"/>
      <c r="F52" s="3"/>
      <c r="G52" s="11" t="str">
        <f>IF($B$26="","",$B$26)</f>
        <v/>
      </c>
      <c r="H52" s="14" t="str">
        <f>IF($C$26="","",$C$26)</f>
        <v/>
      </c>
      <c r="I52" s="120"/>
      <c r="J52" s="18"/>
      <c r="K52" s="3"/>
      <c r="L52" s="11" t="str">
        <f>IF($B$26="","",$B$26)</f>
        <v/>
      </c>
      <c r="M52" s="14" t="str">
        <f>IF($C$26="","",$C$26)</f>
        <v/>
      </c>
      <c r="N52" s="120"/>
      <c r="O52" s="18"/>
    </row>
    <row r="53" spans="2:15" x14ac:dyDescent="0.25">
      <c r="B53" s="11">
        <f>IF($B$27="","",$B$27)</f>
        <v>200.9</v>
      </c>
      <c r="C53" s="14" t="str">
        <f>IF($C$27="","",$C$27)</f>
        <v>PROVEEDORES</v>
      </c>
      <c r="D53" s="18"/>
      <c r="E53" s="4"/>
      <c r="F53" s="3"/>
      <c r="G53" s="11">
        <f>IF($B$27="","",$B$27)</f>
        <v>200.9</v>
      </c>
      <c r="H53" s="14" t="str">
        <f>IF($C$27="","",$C$27)</f>
        <v>PROVEEDORES</v>
      </c>
      <c r="I53" s="18"/>
      <c r="J53" s="4"/>
      <c r="K53" s="3"/>
      <c r="L53" s="11">
        <f>IF($B$27="","",$B$27)</f>
        <v>200.9</v>
      </c>
      <c r="M53" s="14" t="str">
        <f>IF($C$27="","",$C$27)</f>
        <v>PROVEEDORES</v>
      </c>
      <c r="N53" s="18"/>
      <c r="O53" s="4"/>
    </row>
    <row r="54" spans="2:15" x14ac:dyDescent="0.25">
      <c r="B54" s="604"/>
      <c r="C54" s="604"/>
      <c r="D54" s="604"/>
      <c r="E54" s="8">
        <v>0</v>
      </c>
      <c r="F54" s="3"/>
      <c r="G54" s="604"/>
      <c r="H54" s="604"/>
      <c r="I54" s="604"/>
      <c r="J54" s="8">
        <v>0</v>
      </c>
      <c r="K54" s="3"/>
      <c r="L54" s="604"/>
      <c r="M54" s="604"/>
      <c r="N54" s="604"/>
      <c r="O54" s="8">
        <v>0</v>
      </c>
    </row>
    <row r="55" spans="2:15" ht="15.75" thickBot="1" x14ac:dyDescent="0.3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2:15" ht="19.5" thickBot="1" x14ac:dyDescent="0.3">
      <c r="B56" s="601">
        <f>EDATE($L$30,1)</f>
        <v>45839</v>
      </c>
      <c r="C56" s="602"/>
      <c r="D56" s="602"/>
      <c r="E56" s="603"/>
      <c r="F56" s="3"/>
      <c r="G56" s="601">
        <f>EDATE($B$56,1)</f>
        <v>45870</v>
      </c>
      <c r="H56" s="602"/>
      <c r="I56" s="602"/>
      <c r="J56" s="603"/>
      <c r="K56" s="3"/>
      <c r="L56" s="601">
        <f>EDATE($G$56,1)</f>
        <v>45901</v>
      </c>
      <c r="M56" s="602"/>
      <c r="N56" s="602"/>
      <c r="O56" s="603"/>
    </row>
    <row r="57" spans="2:15" x14ac:dyDescent="0.25">
      <c r="B57" s="11">
        <f>IF($B$5="","",$B$5)</f>
        <v>121.1</v>
      </c>
      <c r="C57" s="14" t="str">
        <f>IF($C$5="","",$C$5)</f>
        <v>MERCADERIA</v>
      </c>
      <c r="D57" s="19"/>
      <c r="E57" s="16"/>
      <c r="F57" s="3"/>
      <c r="G57" s="11">
        <f>IF($B$5="","",$B$5)</f>
        <v>121.1</v>
      </c>
      <c r="H57" s="14" t="str">
        <f>IF($C$5="","",$C$5)</f>
        <v>MERCADERIA</v>
      </c>
      <c r="I57" s="19"/>
      <c r="J57" s="16"/>
      <c r="K57" s="3"/>
      <c r="L57" s="11">
        <f>IF($B$5="","",$B$5)</f>
        <v>121.1</v>
      </c>
      <c r="M57" s="14" t="str">
        <f>IF($C$5="","",$C$5)</f>
        <v>MERCADERIA</v>
      </c>
      <c r="N57" s="19"/>
      <c r="O57" s="16"/>
    </row>
    <row r="58" spans="2:15" x14ac:dyDescent="0.25">
      <c r="B58" s="11">
        <f>IF($B$6="","",$B$6)</f>
        <v>500.5</v>
      </c>
      <c r="C58" s="14" t="str">
        <f>IF($C$6="","",$C$6)</f>
        <v xml:space="preserve">GTOS COMERCIALIZACION </v>
      </c>
      <c r="D58" s="20"/>
      <c r="E58" s="17"/>
      <c r="F58" s="3"/>
      <c r="G58" s="11">
        <f>IF($B$6="","",$B$6)</f>
        <v>500.5</v>
      </c>
      <c r="H58" s="14" t="str">
        <f>IF($C$6="","",$C$6)</f>
        <v xml:space="preserve">GTOS COMERCIALIZACION </v>
      </c>
      <c r="I58" s="20"/>
      <c r="J58" s="17"/>
      <c r="K58" s="3"/>
      <c r="L58" s="11">
        <f>IF($B$6="","",$B$6)</f>
        <v>500.5</v>
      </c>
      <c r="M58" s="14" t="str">
        <f>IF($C$6="","",$C$6)</f>
        <v xml:space="preserve">GTOS COMERCIALIZACION </v>
      </c>
      <c r="N58" s="20"/>
      <c r="O58" s="17"/>
    </row>
    <row r="59" spans="2:15" x14ac:dyDescent="0.25">
      <c r="B59" s="11" t="str">
        <f>IF($B$7="","",$B$7)</f>
        <v/>
      </c>
      <c r="C59" s="14" t="str">
        <f>IF($C$7="","",$C$7)</f>
        <v>GTOS ADMINISTRATIVOS</v>
      </c>
      <c r="D59" s="20"/>
      <c r="E59" s="17"/>
      <c r="F59" s="3"/>
      <c r="G59" s="11" t="str">
        <f>IF($B$7="","",$B$7)</f>
        <v/>
      </c>
      <c r="H59" s="14" t="str">
        <f>IF($C$7="","",$C$7)</f>
        <v>GTOS ADMINISTRATIVOS</v>
      </c>
      <c r="I59" s="20"/>
      <c r="J59" s="17"/>
      <c r="K59" s="3"/>
      <c r="L59" s="11" t="str">
        <f>IF($B$7="","",$B$7)</f>
        <v/>
      </c>
      <c r="M59" s="14" t="str">
        <f>IF($C$7="","",$C$7)</f>
        <v>GTOS ADMINISTRATIVOS</v>
      </c>
      <c r="N59" s="20"/>
      <c r="O59" s="17"/>
    </row>
    <row r="60" spans="2:15" x14ac:dyDescent="0.25">
      <c r="B60" s="11">
        <f>IF($B$8="","",$B$8)</f>
        <v>500.15</v>
      </c>
      <c r="C60" s="14" t="str">
        <f>IF($C$8="","",$C$8)</f>
        <v>SERVICIOS GAS, LUZ, ETC</v>
      </c>
      <c r="D60" s="20"/>
      <c r="E60" s="17"/>
      <c r="F60" s="3"/>
      <c r="G60" s="11">
        <f>IF($B$8="","",$B$8)</f>
        <v>500.15</v>
      </c>
      <c r="H60" s="14" t="str">
        <f>IF($C$8="","",$C$8)</f>
        <v>SERVICIOS GAS, LUZ, ETC</v>
      </c>
      <c r="I60" s="20"/>
      <c r="J60" s="17"/>
      <c r="K60" s="3"/>
      <c r="L60" s="11">
        <f>IF($B$8="","",$B$8)</f>
        <v>500.15</v>
      </c>
      <c r="M60" s="14" t="str">
        <f>IF($C$8="","",$C$8)</f>
        <v>SERVICIOS GAS, LUZ, ETC</v>
      </c>
      <c r="N60" s="20"/>
      <c r="O60" s="17"/>
    </row>
    <row r="61" spans="2:15" x14ac:dyDescent="0.25">
      <c r="B61" s="11">
        <f>IF($B$9="","",$B$9)</f>
        <v>500.3</v>
      </c>
      <c r="C61" s="14" t="str">
        <f>IF($C$9="","",$C$9)</f>
        <v>GASTOS VARIOS</v>
      </c>
      <c r="D61" s="20"/>
      <c r="E61" s="17"/>
      <c r="F61" s="3"/>
      <c r="G61" s="11">
        <f>IF($B$9="","",$B$9)</f>
        <v>500.3</v>
      </c>
      <c r="H61" s="14" t="str">
        <f>IF($C$9="","",$C$9)</f>
        <v>GASTOS VARIOS</v>
      </c>
      <c r="I61" s="20"/>
      <c r="J61" s="17"/>
      <c r="K61" s="3"/>
      <c r="L61" s="11">
        <f>IF($B$9="","",$B$9)</f>
        <v>500.3</v>
      </c>
      <c r="M61" s="14" t="str">
        <f>IF($C$9="","",$C$9)</f>
        <v>GASTOS VARIOS</v>
      </c>
      <c r="N61" s="20"/>
      <c r="O61" s="17"/>
    </row>
    <row r="62" spans="2:15" x14ac:dyDescent="0.25">
      <c r="B62" s="11">
        <f>IF($B$10="","",$B$10)</f>
        <v>500.23</v>
      </c>
      <c r="C62" s="14" t="str">
        <f>IF($C$10="","",$C$10)</f>
        <v>COMBUSTIBLE</v>
      </c>
      <c r="D62" s="20"/>
      <c r="E62" s="17"/>
      <c r="F62" s="3"/>
      <c r="G62" s="11">
        <f>IF($B$10="","",$B$10)</f>
        <v>500.23</v>
      </c>
      <c r="H62" s="14" t="str">
        <f>IF($C$10="","",$C$10)</f>
        <v>COMBUSTIBLE</v>
      </c>
      <c r="I62" s="20"/>
      <c r="J62" s="17"/>
      <c r="K62" s="3"/>
      <c r="L62" s="11">
        <f>IF($B$10="","",$B$10)</f>
        <v>500.23</v>
      </c>
      <c r="M62" s="14" t="str">
        <f>IF($C$10="","",$C$10)</f>
        <v>COMBUSTIBLE</v>
      </c>
      <c r="N62" s="20"/>
      <c r="O62" s="17"/>
    </row>
    <row r="63" spans="2:15" x14ac:dyDescent="0.25">
      <c r="B63" s="11">
        <f>IF($B$11="","",$B$11)</f>
        <v>500.45</v>
      </c>
      <c r="C63" s="14" t="str">
        <f>IF($C$11="","",$C$11)</f>
        <v xml:space="preserve">GTOS MANTENIMIENTO </v>
      </c>
      <c r="D63" s="20"/>
      <c r="E63" s="17"/>
      <c r="F63" s="3"/>
      <c r="G63" s="11">
        <f>IF($B$11="","",$B$11)</f>
        <v>500.45</v>
      </c>
      <c r="H63" s="14" t="str">
        <f>IF($C$11="","",$C$11)</f>
        <v xml:space="preserve">GTOS MANTENIMIENTO </v>
      </c>
      <c r="I63" s="20"/>
      <c r="J63" s="17"/>
      <c r="K63" s="3"/>
      <c r="L63" s="11">
        <f>IF($B$11="","",$B$11)</f>
        <v>500.45</v>
      </c>
      <c r="M63" s="14" t="str">
        <f>IF($C$11="","",$C$11)</f>
        <v xml:space="preserve">GTOS MANTENIMIENTO </v>
      </c>
      <c r="N63" s="20"/>
      <c r="O63" s="17"/>
    </row>
    <row r="64" spans="2:15" x14ac:dyDescent="0.25">
      <c r="B64" s="11">
        <f>IF($B$12="","",$B$12)</f>
        <v>500.31</v>
      </c>
      <c r="C64" s="14" t="str">
        <f>IF($C$12="","",$C$12)</f>
        <v>LIBRERÍA</v>
      </c>
      <c r="D64" s="20"/>
      <c r="E64" s="17"/>
      <c r="F64" s="3"/>
      <c r="G64" s="11">
        <f>IF($B$12="","",$B$12)</f>
        <v>500.31</v>
      </c>
      <c r="H64" s="14" t="str">
        <f>IF($C$12="","",$C$12)</f>
        <v>LIBRERÍA</v>
      </c>
      <c r="I64" s="20"/>
      <c r="J64" s="17"/>
      <c r="K64" s="3"/>
      <c r="L64" s="11">
        <f>IF($B$12="","",$B$12)</f>
        <v>500.31</v>
      </c>
      <c r="M64" s="14" t="str">
        <f>IF($C$12="","",$C$12)</f>
        <v>LIBRERÍA</v>
      </c>
      <c r="N64" s="20"/>
      <c r="O64" s="17"/>
    </row>
    <row r="65" spans="2:15" x14ac:dyDescent="0.25">
      <c r="B65" s="11">
        <f>IF($B$13="","",$B$13)</f>
        <v>500.21</v>
      </c>
      <c r="C65" s="14" t="str">
        <f>IF($C$13="","",$C$13)</f>
        <v>GTOS CATERING</v>
      </c>
      <c r="D65" s="20"/>
      <c r="E65" s="17"/>
      <c r="F65" s="3"/>
      <c r="G65" s="11">
        <f>IF($B$13="","",$B$13)</f>
        <v>500.21</v>
      </c>
      <c r="H65" s="14" t="str">
        <f>IF($C$13="","",$C$13)</f>
        <v>GTOS CATERING</v>
      </c>
      <c r="I65" s="20"/>
      <c r="J65" s="17"/>
      <c r="K65" s="3"/>
      <c r="L65" s="11">
        <f>IF($B$13="","",$B$13)</f>
        <v>500.21</v>
      </c>
      <c r="M65" s="14" t="str">
        <f>IF($C$13="","",$C$13)</f>
        <v>GTOS CATERING</v>
      </c>
      <c r="N65" s="20"/>
      <c r="O65" s="17"/>
    </row>
    <row r="66" spans="2:15" x14ac:dyDescent="0.25">
      <c r="B66" s="11">
        <f>IF($B$14="","",$B$14)</f>
        <v>540.1</v>
      </c>
      <c r="C66" s="14" t="str">
        <f>IF($C$14="","",$C$14)</f>
        <v>HONORARIOS CONTABLES</v>
      </c>
      <c r="D66" s="20"/>
      <c r="E66" s="17"/>
      <c r="F66" s="3"/>
      <c r="G66" s="11">
        <f>IF($B$14="","",$B$14)</f>
        <v>540.1</v>
      </c>
      <c r="H66" s="14" t="str">
        <f>IF($C$14="","",$C$14)</f>
        <v>HONORARIOS CONTABLES</v>
      </c>
      <c r="I66" s="20"/>
      <c r="J66" s="17"/>
      <c r="K66" s="3"/>
      <c r="L66" s="11">
        <f>IF($B$14="","",$B$14)</f>
        <v>540.1</v>
      </c>
      <c r="M66" s="14" t="str">
        <f>IF($C$14="","",$C$14)</f>
        <v>HONORARIOS CONTABLES</v>
      </c>
      <c r="N66" s="20"/>
      <c r="O66" s="17"/>
    </row>
    <row r="67" spans="2:15" x14ac:dyDescent="0.25">
      <c r="B67" s="11">
        <f>IF($B$15="","",$B$15)</f>
        <v>540.11</v>
      </c>
      <c r="C67" s="14" t="str">
        <f>IF($C$15="","",$C$15)</f>
        <v>HONORARIOS JURIDICOS</v>
      </c>
      <c r="D67" s="20"/>
      <c r="E67" s="17"/>
      <c r="F67" s="3"/>
      <c r="G67" s="11">
        <f>IF($B$15="","",$B$15)</f>
        <v>540.11</v>
      </c>
      <c r="H67" s="14" t="str">
        <f>IF($C$15="","",$C$15)</f>
        <v>HONORARIOS JURIDICOS</v>
      </c>
      <c r="I67" s="20"/>
      <c r="J67" s="17"/>
      <c r="K67" s="3"/>
      <c r="L67" s="11">
        <f>IF($B$15="","",$B$15)</f>
        <v>540.11</v>
      </c>
      <c r="M67" s="14" t="str">
        <f>IF($C$15="","",$C$15)</f>
        <v>HONORARIOS JURIDICOS</v>
      </c>
      <c r="N67" s="20"/>
      <c r="O67" s="17"/>
    </row>
    <row r="68" spans="2:15" x14ac:dyDescent="0.25">
      <c r="B68" s="11">
        <f>IF($B$16="","",$B$16)</f>
        <v>500.30500000000001</v>
      </c>
      <c r="C68" s="14" t="str">
        <f>IF($C$16="","",$C$16)</f>
        <v>GTOS SEGURIDAD</v>
      </c>
      <c r="D68" s="20"/>
      <c r="E68" s="17"/>
      <c r="F68" s="3"/>
      <c r="G68" s="11">
        <f>IF($B$16="","",$B$16)</f>
        <v>500.30500000000001</v>
      </c>
      <c r="H68" s="14" t="str">
        <f>IF($C$16="","",$C$16)</f>
        <v>GTOS SEGURIDAD</v>
      </c>
      <c r="I68" s="20"/>
      <c r="J68" s="17"/>
      <c r="K68" s="3"/>
      <c r="L68" s="11">
        <f>IF($B$16="","",$B$16)</f>
        <v>500.30500000000001</v>
      </c>
      <c r="M68" s="14" t="str">
        <f>IF($C$16="","",$C$16)</f>
        <v>GTOS SEGURIDAD</v>
      </c>
      <c r="N68" s="20"/>
      <c r="O68" s="17"/>
    </row>
    <row r="69" spans="2:15" x14ac:dyDescent="0.25">
      <c r="B69" s="11" t="str">
        <f>IF($B$17="","",$B$17)</f>
        <v/>
      </c>
      <c r="C69" s="14" t="str">
        <f>IF($C$17="","",$C$17)</f>
        <v>EQ DE COMPUTACION</v>
      </c>
      <c r="D69" s="20"/>
      <c r="E69" s="17"/>
      <c r="F69" s="3"/>
      <c r="G69" s="11" t="str">
        <f>IF($B$17="","",$B$17)</f>
        <v/>
      </c>
      <c r="H69" s="14" t="str">
        <f>IF($C$17="","",$C$17)</f>
        <v>EQ DE COMPUTACION</v>
      </c>
      <c r="I69" s="20"/>
      <c r="J69" s="17"/>
      <c r="K69" s="3"/>
      <c r="L69" s="11" t="str">
        <f>IF($B$17="","",$B$17)</f>
        <v/>
      </c>
      <c r="M69" s="14" t="str">
        <f>IF($C$17="","",$C$17)</f>
        <v>EQ DE COMPUTACION</v>
      </c>
      <c r="N69" s="20"/>
      <c r="O69" s="17"/>
    </row>
    <row r="70" spans="2:15" x14ac:dyDescent="0.25">
      <c r="B70" s="11" t="str">
        <f>IF($B$18="","",$B$18)</f>
        <v/>
      </c>
      <c r="C70" s="14" t="str">
        <f>IF($C$18="","",$C$18)</f>
        <v>ALQUILER</v>
      </c>
      <c r="D70" s="20"/>
      <c r="E70" s="17"/>
      <c r="F70" s="3"/>
      <c r="G70" s="11" t="str">
        <f>IF($B$18="","",$B$18)</f>
        <v/>
      </c>
      <c r="H70" s="14" t="str">
        <f>IF($C$18="","",$C$18)</f>
        <v>ALQUILER</v>
      </c>
      <c r="I70" s="20"/>
      <c r="J70" s="17"/>
      <c r="K70" s="3"/>
      <c r="L70" s="11" t="str">
        <f>IF($B$18="","",$B$18)</f>
        <v/>
      </c>
      <c r="M70" s="14" t="str">
        <f>IF($C$18="","",$C$18)</f>
        <v>ALQUILER</v>
      </c>
      <c r="N70" s="20"/>
      <c r="O70" s="17"/>
    </row>
    <row r="71" spans="2:15" x14ac:dyDescent="0.25">
      <c r="B71" s="11">
        <f>IF($B$19="","",$B$19)</f>
        <v>107.1</v>
      </c>
      <c r="C71" s="14" t="str">
        <f>IF($C$19="","",$C$19)</f>
        <v>IVA 21%</v>
      </c>
      <c r="D71" s="20"/>
      <c r="E71" s="17"/>
      <c r="F71" s="3"/>
      <c r="G71" s="11">
        <f>IF($B$19="","",$B$19)</f>
        <v>107.1</v>
      </c>
      <c r="H71" s="14" t="str">
        <f>IF($C$19="","",$C$19)</f>
        <v>IVA 21%</v>
      </c>
      <c r="I71" s="20"/>
      <c r="J71" s="17"/>
      <c r="K71" s="3"/>
      <c r="L71" s="11">
        <f>IF($B$19="","",$B$19)</f>
        <v>107.1</v>
      </c>
      <c r="M71" s="14" t="str">
        <f>IF($C$19="","",$C$19)</f>
        <v>IVA 21%</v>
      </c>
      <c r="N71" s="20"/>
      <c r="O71" s="17"/>
    </row>
    <row r="72" spans="2:15" x14ac:dyDescent="0.25">
      <c r="B72" s="11">
        <f>IF($B$20="","",$B$20)</f>
        <v>107.101</v>
      </c>
      <c r="C72" s="14" t="str">
        <f>IF($C$20="","",$C$20)</f>
        <v>IVA 27%</v>
      </c>
      <c r="D72" s="20"/>
      <c r="E72" s="17"/>
      <c r="F72" s="3"/>
      <c r="G72" s="11">
        <f>IF($B$20="","",$B$20)</f>
        <v>107.101</v>
      </c>
      <c r="H72" s="14" t="str">
        <f>IF($C$20="","",$C$20)</f>
        <v>IVA 27%</v>
      </c>
      <c r="I72" s="20"/>
      <c r="J72" s="17"/>
      <c r="K72" s="3"/>
      <c r="L72" s="11">
        <f>IF($B$20="","",$B$20)</f>
        <v>107.101</v>
      </c>
      <c r="M72" s="14" t="str">
        <f>IF($C$20="","",$C$20)</f>
        <v>IVA 27%</v>
      </c>
      <c r="N72" s="20"/>
      <c r="O72" s="17"/>
    </row>
    <row r="73" spans="2:15" x14ac:dyDescent="0.25">
      <c r="B73" s="11">
        <f>IF($B$21="","",$B$21)</f>
        <v>107.102</v>
      </c>
      <c r="C73" s="14" t="str">
        <f>IF($C$21="","",$C$21)</f>
        <v>IVA 10,5%</v>
      </c>
      <c r="D73" s="20"/>
      <c r="E73" s="17"/>
      <c r="F73" s="3"/>
      <c r="G73" s="11">
        <f>IF($B$21="","",$B$21)</f>
        <v>107.102</v>
      </c>
      <c r="H73" s="14" t="str">
        <f>IF($C$21="","",$C$21)</f>
        <v>IVA 10,5%</v>
      </c>
      <c r="I73" s="20"/>
      <c r="J73" s="17"/>
      <c r="K73" s="3"/>
      <c r="L73" s="11">
        <f>IF($B$21="","",$B$21)</f>
        <v>107.102</v>
      </c>
      <c r="M73" s="14" t="str">
        <f>IF($C$21="","",$C$21)</f>
        <v>IVA 10,5%</v>
      </c>
      <c r="N73" s="20"/>
      <c r="O73" s="17"/>
    </row>
    <row r="74" spans="2:15" x14ac:dyDescent="0.25">
      <c r="B74" s="11">
        <f>IF($B$22="","",$B$22)</f>
        <v>106.521</v>
      </c>
      <c r="C74" s="14" t="str">
        <f>IF($C$22="","",$C$22)</f>
        <v>PERC IIBB BS AS</v>
      </c>
      <c r="D74" s="20"/>
      <c r="E74" s="17"/>
      <c r="F74" s="3"/>
      <c r="G74" s="11">
        <f>IF($B$22="","",$B$22)</f>
        <v>106.521</v>
      </c>
      <c r="H74" s="14" t="str">
        <f>IF($C$22="","",$C$22)</f>
        <v>PERC IIBB BS AS</v>
      </c>
      <c r="I74" s="20"/>
      <c r="J74" s="17"/>
      <c r="K74" s="3"/>
      <c r="L74" s="11">
        <f>IF($B$22="","",$B$22)</f>
        <v>106.521</v>
      </c>
      <c r="M74" s="14" t="str">
        <f>IF($C$22="","",$C$22)</f>
        <v>PERC IIBB BS AS</v>
      </c>
      <c r="N74" s="20"/>
      <c r="O74" s="17"/>
    </row>
    <row r="75" spans="2:15" x14ac:dyDescent="0.25">
      <c r="B75" s="11">
        <f>IF($B$23="","",$B$23)</f>
        <v>106.515</v>
      </c>
      <c r="C75" s="14" t="str">
        <f>IF($C$23="","",$C$23)</f>
        <v>PERC IIBB CABA</v>
      </c>
      <c r="D75" s="20"/>
      <c r="E75" s="17"/>
      <c r="F75" s="3"/>
      <c r="G75" s="11">
        <f>IF($B$23="","",$B$23)</f>
        <v>106.515</v>
      </c>
      <c r="H75" s="14" t="str">
        <f>IF($C$23="","",$C$23)</f>
        <v>PERC IIBB CABA</v>
      </c>
      <c r="I75" s="20"/>
      <c r="J75" s="17"/>
      <c r="K75" s="3"/>
      <c r="L75" s="11">
        <f>IF($B$23="","",$B$23)</f>
        <v>106.515</v>
      </c>
      <c r="M75" s="14" t="str">
        <f>IF($C$23="","",$C$23)</f>
        <v>PERC IIBB CABA</v>
      </c>
      <c r="N75" s="20"/>
      <c r="O75" s="17"/>
    </row>
    <row r="76" spans="2:15" x14ac:dyDescent="0.25">
      <c r="B76" s="11">
        <f>IF($B$24="","",$B$24)</f>
        <v>106.535</v>
      </c>
      <c r="C76" s="14" t="str">
        <f>IF($C$24="","",$C$24)</f>
        <v>PERC. IVA</v>
      </c>
      <c r="D76" s="21"/>
      <c r="E76" s="18"/>
      <c r="F76" s="3"/>
      <c r="G76" s="11">
        <f>IF($B$24="","",$B$24)</f>
        <v>106.535</v>
      </c>
      <c r="H76" s="14" t="str">
        <f>IF($C$24="","",$C$24)</f>
        <v>PERC. IVA</v>
      </c>
      <c r="I76" s="21"/>
      <c r="J76" s="18"/>
      <c r="K76" s="3"/>
      <c r="L76" s="11">
        <f>IF($B$24="","",$B$24)</f>
        <v>106.535</v>
      </c>
      <c r="M76" s="14" t="str">
        <f>IF($C$24="","",$C$24)</f>
        <v>PERC. IVA</v>
      </c>
      <c r="N76" s="21"/>
      <c r="O76" s="18"/>
    </row>
    <row r="77" spans="2:15" x14ac:dyDescent="0.25">
      <c r="B77" s="11" t="str">
        <f>IF($B$25="","",$B$25)</f>
        <v/>
      </c>
      <c r="C77" s="14" t="str">
        <f>IF($C$25="","",$C$25)</f>
        <v/>
      </c>
      <c r="D77" s="120"/>
      <c r="E77" s="18"/>
      <c r="F77" s="3"/>
      <c r="G77" s="11" t="str">
        <f>IF($B$25="","",$B$25)</f>
        <v/>
      </c>
      <c r="H77" s="14" t="str">
        <f>IF($C$25="","",$C$25)</f>
        <v/>
      </c>
      <c r="I77" s="120"/>
      <c r="J77" s="18"/>
      <c r="K77" s="3"/>
      <c r="L77" s="11" t="str">
        <f>IF($B$25="","",$B$25)</f>
        <v/>
      </c>
      <c r="M77" s="14" t="str">
        <f>IF($C$25="","",$C$25)</f>
        <v/>
      </c>
      <c r="N77" s="120"/>
      <c r="O77" s="18"/>
    </row>
    <row r="78" spans="2:15" x14ac:dyDescent="0.25">
      <c r="B78" s="11" t="str">
        <f>IF($B$26="","",$B$26)</f>
        <v/>
      </c>
      <c r="C78" s="14" t="str">
        <f>IF($C$26="","",$C$26)</f>
        <v/>
      </c>
      <c r="D78" s="120"/>
      <c r="E78" s="18"/>
      <c r="F78" s="3"/>
      <c r="G78" s="11" t="str">
        <f>IF($B$26="","",$B$26)</f>
        <v/>
      </c>
      <c r="H78" s="14" t="str">
        <f>IF($C$26="","",$C$26)</f>
        <v/>
      </c>
      <c r="I78" s="120"/>
      <c r="J78" s="18"/>
      <c r="K78" s="3"/>
      <c r="L78" s="11" t="str">
        <f>IF($B$26="","",$B$26)</f>
        <v/>
      </c>
      <c r="M78" s="14" t="str">
        <f>IF($C$26="","",$C$26)</f>
        <v/>
      </c>
      <c r="N78" s="120"/>
      <c r="O78" s="18"/>
    </row>
    <row r="79" spans="2:15" x14ac:dyDescent="0.25">
      <c r="B79" s="11">
        <f>IF($B$27="","",$B$27)</f>
        <v>200.9</v>
      </c>
      <c r="C79" s="14" t="str">
        <f>IF($C$27="","",$C$27)</f>
        <v>PROVEEDORES</v>
      </c>
      <c r="D79" s="18"/>
      <c r="E79" s="4"/>
      <c r="F79" s="3"/>
      <c r="G79" s="11">
        <f>IF($B$27="","",$B$27)</f>
        <v>200.9</v>
      </c>
      <c r="H79" s="14" t="str">
        <f>IF($C$27="","",$C$27)</f>
        <v>PROVEEDORES</v>
      </c>
      <c r="I79" s="18"/>
      <c r="J79" s="4"/>
      <c r="K79" s="3"/>
      <c r="L79" s="11">
        <f>IF($B$27="","",$B$27)</f>
        <v>200.9</v>
      </c>
      <c r="M79" s="14" t="str">
        <f>IF($C$27="","",$C$27)</f>
        <v>PROVEEDORES</v>
      </c>
      <c r="N79" s="18"/>
      <c r="O79" s="4"/>
    </row>
    <row r="80" spans="2:15" x14ac:dyDescent="0.25">
      <c r="B80" s="604"/>
      <c r="C80" s="604"/>
      <c r="D80" s="604"/>
      <c r="E80" s="8">
        <v>0</v>
      </c>
      <c r="F80" s="3"/>
      <c r="G80" s="604"/>
      <c r="H80" s="604"/>
      <c r="I80" s="604"/>
      <c r="J80" s="8">
        <v>0</v>
      </c>
      <c r="K80" s="3"/>
      <c r="L80" s="604"/>
      <c r="M80" s="604"/>
      <c r="N80" s="604"/>
      <c r="O80" s="8">
        <v>0</v>
      </c>
    </row>
    <row r="81" spans="2:15" ht="15.75" thickBot="1" x14ac:dyDescent="0.3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2:15" ht="19.5" thickBot="1" x14ac:dyDescent="0.3">
      <c r="B82" s="601">
        <f>EDATE($L$56,1)</f>
        <v>45931</v>
      </c>
      <c r="C82" s="602"/>
      <c r="D82" s="602"/>
      <c r="E82" s="603"/>
      <c r="F82" s="3"/>
      <c r="G82" s="601">
        <f>EDATE($B$82,1)</f>
        <v>45962</v>
      </c>
      <c r="H82" s="602"/>
      <c r="I82" s="602"/>
      <c r="J82" s="603"/>
      <c r="K82" s="3"/>
      <c r="L82" s="601">
        <f>EDATE($G$82,1)</f>
        <v>45992</v>
      </c>
      <c r="M82" s="602"/>
      <c r="N82" s="602"/>
      <c r="O82" s="603"/>
    </row>
    <row r="83" spans="2:15" x14ac:dyDescent="0.25">
      <c r="B83" s="11">
        <f>IF($B$5="","",$B$5)</f>
        <v>121.1</v>
      </c>
      <c r="C83" s="14" t="str">
        <f>IF($C$5="","",$C$5)</f>
        <v>MERCADERIA</v>
      </c>
      <c r="D83" s="19"/>
      <c r="E83" s="16"/>
      <c r="F83" s="3"/>
      <c r="G83" s="11">
        <f>IF($B$5="","",$B$5)</f>
        <v>121.1</v>
      </c>
      <c r="H83" s="14" t="str">
        <f>IF($C$5="","",$C$5)</f>
        <v>MERCADERIA</v>
      </c>
      <c r="I83" s="19"/>
      <c r="J83" s="16"/>
      <c r="K83" s="3"/>
      <c r="L83" s="11">
        <f>IF($B$5="","",$B$5)</f>
        <v>121.1</v>
      </c>
      <c r="M83" s="14" t="str">
        <f>IF($C$5="","",$C$5)</f>
        <v>MERCADERIA</v>
      </c>
      <c r="N83" s="19"/>
      <c r="O83" s="16"/>
    </row>
    <row r="84" spans="2:15" x14ac:dyDescent="0.25">
      <c r="B84" s="11">
        <f>IF($B$6="","",$B$6)</f>
        <v>500.5</v>
      </c>
      <c r="C84" s="14" t="str">
        <f>IF($C$6="","",$C$6)</f>
        <v xml:space="preserve">GTOS COMERCIALIZACION </v>
      </c>
      <c r="D84" s="20"/>
      <c r="E84" s="17"/>
      <c r="F84" s="3"/>
      <c r="G84" s="11">
        <f>IF($B$6="","",$B$6)</f>
        <v>500.5</v>
      </c>
      <c r="H84" s="14" t="str">
        <f>IF($C$6="","",$C$6)</f>
        <v xml:space="preserve">GTOS COMERCIALIZACION </v>
      </c>
      <c r="I84" s="20"/>
      <c r="J84" s="17"/>
      <c r="K84" s="3"/>
      <c r="L84" s="11">
        <f>IF($B$6="","",$B$6)</f>
        <v>500.5</v>
      </c>
      <c r="M84" s="14" t="str">
        <f>IF($C$6="","",$C$6)</f>
        <v xml:space="preserve">GTOS COMERCIALIZACION </v>
      </c>
      <c r="N84" s="20"/>
      <c r="O84" s="17"/>
    </row>
    <row r="85" spans="2:15" x14ac:dyDescent="0.25">
      <c r="B85" s="11" t="str">
        <f>IF($B$7="","",$B$7)</f>
        <v/>
      </c>
      <c r="C85" s="14" t="str">
        <f>IF($C$7="","",$C$7)</f>
        <v>GTOS ADMINISTRATIVOS</v>
      </c>
      <c r="D85" s="20"/>
      <c r="E85" s="17"/>
      <c r="F85" s="3"/>
      <c r="G85" s="11" t="str">
        <f>IF($B$7="","",$B$7)</f>
        <v/>
      </c>
      <c r="H85" s="14" t="str">
        <f>IF($C$7="","",$C$7)</f>
        <v>GTOS ADMINISTRATIVOS</v>
      </c>
      <c r="I85" s="20"/>
      <c r="J85" s="17"/>
      <c r="K85" s="3"/>
      <c r="L85" s="11" t="str">
        <f>IF($B$7="","",$B$7)</f>
        <v/>
      </c>
      <c r="M85" s="14" t="str">
        <f>IF($C$7="","",$C$7)</f>
        <v>GTOS ADMINISTRATIVOS</v>
      </c>
      <c r="N85" s="20"/>
      <c r="O85" s="17"/>
    </row>
    <row r="86" spans="2:15" x14ac:dyDescent="0.25">
      <c r="B86" s="11">
        <f>IF($B$8="","",$B$8)</f>
        <v>500.15</v>
      </c>
      <c r="C86" s="14" t="str">
        <f>IF($C$8="","",$C$8)</f>
        <v>SERVICIOS GAS, LUZ, ETC</v>
      </c>
      <c r="D86" s="20"/>
      <c r="E86" s="17"/>
      <c r="F86" s="3"/>
      <c r="G86" s="11">
        <f>IF($B$8="","",$B$8)</f>
        <v>500.15</v>
      </c>
      <c r="H86" s="14" t="str">
        <f>IF($C$8="","",$C$8)</f>
        <v>SERVICIOS GAS, LUZ, ETC</v>
      </c>
      <c r="I86" s="20"/>
      <c r="J86" s="17"/>
      <c r="K86" s="3"/>
      <c r="L86" s="11">
        <f>IF($B$8="","",$B$8)</f>
        <v>500.15</v>
      </c>
      <c r="M86" s="14" t="str">
        <f>IF($C$8="","",$C$8)</f>
        <v>SERVICIOS GAS, LUZ, ETC</v>
      </c>
      <c r="N86" s="20"/>
      <c r="O86" s="17"/>
    </row>
    <row r="87" spans="2:15" x14ac:dyDescent="0.25">
      <c r="B87" s="11">
        <f>IF($B$9="","",$B$9)</f>
        <v>500.3</v>
      </c>
      <c r="C87" s="14" t="str">
        <f>IF($C$9="","",$C$9)</f>
        <v>GASTOS VARIOS</v>
      </c>
      <c r="D87" s="20"/>
      <c r="E87" s="17"/>
      <c r="F87" s="3"/>
      <c r="G87" s="11">
        <f>IF($B$9="","",$B$9)</f>
        <v>500.3</v>
      </c>
      <c r="H87" s="14" t="str">
        <f>IF($C$9="","",$C$9)</f>
        <v>GASTOS VARIOS</v>
      </c>
      <c r="I87" s="20"/>
      <c r="J87" s="17"/>
      <c r="K87" s="3"/>
      <c r="L87" s="11">
        <f>IF($B$9="","",$B$9)</f>
        <v>500.3</v>
      </c>
      <c r="M87" s="14" t="str">
        <f>IF($C$9="","",$C$9)</f>
        <v>GASTOS VARIOS</v>
      </c>
      <c r="N87" s="20"/>
      <c r="O87" s="17"/>
    </row>
    <row r="88" spans="2:15" x14ac:dyDescent="0.25">
      <c r="B88" s="11">
        <f>IF($B$10="","",$B$10)</f>
        <v>500.23</v>
      </c>
      <c r="C88" s="14" t="str">
        <f>IF($C$10="","",$C$10)</f>
        <v>COMBUSTIBLE</v>
      </c>
      <c r="D88" s="20"/>
      <c r="E88" s="17"/>
      <c r="F88" s="3"/>
      <c r="G88" s="11">
        <f>IF($B$10="","",$B$10)</f>
        <v>500.23</v>
      </c>
      <c r="H88" s="14" t="str">
        <f>IF($C$10="","",$C$10)</f>
        <v>COMBUSTIBLE</v>
      </c>
      <c r="I88" s="20"/>
      <c r="J88" s="17"/>
      <c r="K88" s="3"/>
      <c r="L88" s="11">
        <f>IF($B$10="","",$B$10)</f>
        <v>500.23</v>
      </c>
      <c r="M88" s="14" t="str">
        <f>IF($C$10="","",$C$10)</f>
        <v>COMBUSTIBLE</v>
      </c>
      <c r="N88" s="20"/>
      <c r="O88" s="17"/>
    </row>
    <row r="89" spans="2:15" x14ac:dyDescent="0.25">
      <c r="B89" s="11">
        <f>IF($B$11="","",$B$11)</f>
        <v>500.45</v>
      </c>
      <c r="C89" s="14" t="str">
        <f>IF($C$11="","",$C$11)</f>
        <v xml:space="preserve">GTOS MANTENIMIENTO </v>
      </c>
      <c r="D89" s="20"/>
      <c r="E89" s="17"/>
      <c r="F89" s="3"/>
      <c r="G89" s="11">
        <f>IF($B$11="","",$B$11)</f>
        <v>500.45</v>
      </c>
      <c r="H89" s="14" t="str">
        <f>IF($C$11="","",$C$11)</f>
        <v xml:space="preserve">GTOS MANTENIMIENTO </v>
      </c>
      <c r="I89" s="20"/>
      <c r="J89" s="17"/>
      <c r="K89" s="3"/>
      <c r="L89" s="11">
        <f>IF($B$11="","",$B$11)</f>
        <v>500.45</v>
      </c>
      <c r="M89" s="14" t="str">
        <f>IF($C$11="","",$C$11)</f>
        <v xml:space="preserve">GTOS MANTENIMIENTO </v>
      </c>
      <c r="N89" s="20"/>
      <c r="O89" s="17"/>
    </row>
    <row r="90" spans="2:15" x14ac:dyDescent="0.25">
      <c r="B90" s="11">
        <f>IF($B$12="","",$B$12)</f>
        <v>500.31</v>
      </c>
      <c r="C90" s="14" t="str">
        <f>IF($C$12="","",$C$12)</f>
        <v>LIBRERÍA</v>
      </c>
      <c r="D90" s="20"/>
      <c r="E90" s="17"/>
      <c r="F90" s="3"/>
      <c r="G90" s="11">
        <f>IF($B$12="","",$B$12)</f>
        <v>500.31</v>
      </c>
      <c r="H90" s="14" t="str">
        <f>IF($C$12="","",$C$12)</f>
        <v>LIBRERÍA</v>
      </c>
      <c r="I90" s="20"/>
      <c r="J90" s="17"/>
      <c r="K90" s="3"/>
      <c r="L90" s="11">
        <f>IF($B$12="","",$B$12)</f>
        <v>500.31</v>
      </c>
      <c r="M90" s="14" t="str">
        <f>IF($C$12="","",$C$12)</f>
        <v>LIBRERÍA</v>
      </c>
      <c r="N90" s="20"/>
      <c r="O90" s="17"/>
    </row>
    <row r="91" spans="2:15" x14ac:dyDescent="0.25">
      <c r="B91" s="11">
        <f>IF($B$13="","",$B$13)</f>
        <v>500.21</v>
      </c>
      <c r="C91" s="14" t="str">
        <f>IF($C$13="","",$C$13)</f>
        <v>GTOS CATERING</v>
      </c>
      <c r="D91" s="20"/>
      <c r="E91" s="17"/>
      <c r="F91" s="3"/>
      <c r="G91" s="11">
        <f>IF($B$13="","",$B$13)</f>
        <v>500.21</v>
      </c>
      <c r="H91" s="14" t="str">
        <f>IF($C$13="","",$C$13)</f>
        <v>GTOS CATERING</v>
      </c>
      <c r="I91" s="20"/>
      <c r="J91" s="17"/>
      <c r="K91" s="3"/>
      <c r="L91" s="11">
        <f>IF($B$13="","",$B$13)</f>
        <v>500.21</v>
      </c>
      <c r="M91" s="14" t="str">
        <f>IF($C$13="","",$C$13)</f>
        <v>GTOS CATERING</v>
      </c>
      <c r="N91" s="20"/>
      <c r="O91" s="17"/>
    </row>
    <row r="92" spans="2:15" x14ac:dyDescent="0.25">
      <c r="B92" s="11">
        <f>IF($B$14="","",$B$14)</f>
        <v>540.1</v>
      </c>
      <c r="C92" s="14" t="str">
        <f>IF($C$14="","",$C$14)</f>
        <v>HONORARIOS CONTABLES</v>
      </c>
      <c r="D92" s="20"/>
      <c r="E92" s="17"/>
      <c r="F92" s="3"/>
      <c r="G92" s="11">
        <f>IF($B$14="","",$B$14)</f>
        <v>540.1</v>
      </c>
      <c r="H92" s="14" t="str">
        <f>IF($C$14="","",$C$14)</f>
        <v>HONORARIOS CONTABLES</v>
      </c>
      <c r="I92" s="20"/>
      <c r="J92" s="17"/>
      <c r="K92" s="3"/>
      <c r="L92" s="11">
        <f>IF($B$14="","",$B$14)</f>
        <v>540.1</v>
      </c>
      <c r="M92" s="14" t="str">
        <f>IF($C$14="","",$C$14)</f>
        <v>HONORARIOS CONTABLES</v>
      </c>
      <c r="N92" s="20"/>
      <c r="O92" s="17"/>
    </row>
    <row r="93" spans="2:15" x14ac:dyDescent="0.25">
      <c r="B93" s="11">
        <f>IF($B$15="","",$B$15)</f>
        <v>540.11</v>
      </c>
      <c r="C93" s="14" t="str">
        <f>IF($C$15="","",$C$15)</f>
        <v>HONORARIOS JURIDICOS</v>
      </c>
      <c r="D93" s="20"/>
      <c r="E93" s="17"/>
      <c r="F93" s="3"/>
      <c r="G93" s="11">
        <f>IF($B$15="","",$B$15)</f>
        <v>540.11</v>
      </c>
      <c r="H93" s="14" t="str">
        <f>IF($C$15="","",$C$15)</f>
        <v>HONORARIOS JURIDICOS</v>
      </c>
      <c r="I93" s="20"/>
      <c r="J93" s="17"/>
      <c r="K93" s="3"/>
      <c r="L93" s="11">
        <f>IF($B$15="","",$B$15)</f>
        <v>540.11</v>
      </c>
      <c r="M93" s="14" t="str">
        <f>IF($C$15="","",$C$15)</f>
        <v>HONORARIOS JURIDICOS</v>
      </c>
      <c r="N93" s="20"/>
      <c r="O93" s="17"/>
    </row>
    <row r="94" spans="2:15" x14ac:dyDescent="0.25">
      <c r="B94" s="11">
        <f>IF($B$16="","",$B$16)</f>
        <v>500.30500000000001</v>
      </c>
      <c r="C94" s="14" t="str">
        <f>IF($C$16="","",$C$16)</f>
        <v>GTOS SEGURIDAD</v>
      </c>
      <c r="D94" s="20"/>
      <c r="E94" s="17"/>
      <c r="F94" s="3"/>
      <c r="G94" s="11">
        <f>IF($B$16="","",$B$16)</f>
        <v>500.30500000000001</v>
      </c>
      <c r="H94" s="14" t="str">
        <f>IF($C$16="","",$C$16)</f>
        <v>GTOS SEGURIDAD</v>
      </c>
      <c r="I94" s="20"/>
      <c r="J94" s="17"/>
      <c r="K94" s="3"/>
      <c r="L94" s="11">
        <f>IF($B$16="","",$B$16)</f>
        <v>500.30500000000001</v>
      </c>
      <c r="M94" s="14" t="str">
        <f>IF($C$16="","",$C$16)</f>
        <v>GTOS SEGURIDAD</v>
      </c>
      <c r="N94" s="20"/>
      <c r="O94" s="17"/>
    </row>
    <row r="95" spans="2:15" x14ac:dyDescent="0.25">
      <c r="B95" s="11" t="str">
        <f>IF($B$17="","",$B$17)</f>
        <v/>
      </c>
      <c r="C95" s="14" t="str">
        <f>IF($C$17="","",$C$17)</f>
        <v>EQ DE COMPUTACION</v>
      </c>
      <c r="D95" s="20"/>
      <c r="E95" s="17"/>
      <c r="F95" s="3"/>
      <c r="G95" s="11" t="str">
        <f>IF($B$17="","",$B$17)</f>
        <v/>
      </c>
      <c r="H95" s="14" t="str">
        <f>IF($C$17="","",$C$17)</f>
        <v>EQ DE COMPUTACION</v>
      </c>
      <c r="I95" s="20"/>
      <c r="J95" s="17"/>
      <c r="K95" s="3"/>
      <c r="L95" s="11" t="str">
        <f>IF($B$17="","",$B$17)</f>
        <v/>
      </c>
      <c r="M95" s="14" t="str">
        <f>IF($C$17="","",$C$17)</f>
        <v>EQ DE COMPUTACION</v>
      </c>
      <c r="N95" s="20"/>
      <c r="O95" s="17"/>
    </row>
    <row r="96" spans="2:15" x14ac:dyDescent="0.25">
      <c r="B96" s="11" t="str">
        <f>IF($B$18="","",$B$18)</f>
        <v/>
      </c>
      <c r="C96" s="14" t="str">
        <f>IF($C$18="","",$C$18)</f>
        <v>ALQUILER</v>
      </c>
      <c r="D96" s="20"/>
      <c r="E96" s="17"/>
      <c r="F96" s="3"/>
      <c r="G96" s="11" t="str">
        <f>IF($B$18="","",$B$18)</f>
        <v/>
      </c>
      <c r="H96" s="14" t="str">
        <f>IF($C$18="","",$C$18)</f>
        <v>ALQUILER</v>
      </c>
      <c r="I96" s="20"/>
      <c r="J96" s="17"/>
      <c r="K96" s="3"/>
      <c r="L96" s="11" t="str">
        <f>IF($B$18="","",$B$18)</f>
        <v/>
      </c>
      <c r="M96" s="14" t="str">
        <f>IF($C$18="","",$C$18)</f>
        <v>ALQUILER</v>
      </c>
      <c r="N96" s="20"/>
      <c r="O96" s="17"/>
    </row>
    <row r="97" spans="2:15" x14ac:dyDescent="0.25">
      <c r="B97" s="11">
        <f>IF($B$19="","",$B$19)</f>
        <v>107.1</v>
      </c>
      <c r="C97" s="14" t="str">
        <f>IF($C$19="","",$C$19)</f>
        <v>IVA 21%</v>
      </c>
      <c r="D97" s="20"/>
      <c r="E97" s="17"/>
      <c r="F97" s="3"/>
      <c r="G97" s="11">
        <f>IF($B$19="","",$B$19)</f>
        <v>107.1</v>
      </c>
      <c r="H97" s="14" t="str">
        <f>IF($C$19="","",$C$19)</f>
        <v>IVA 21%</v>
      </c>
      <c r="I97" s="20"/>
      <c r="J97" s="17"/>
      <c r="K97" s="3"/>
      <c r="L97" s="11">
        <f>IF($B$19="","",$B$19)</f>
        <v>107.1</v>
      </c>
      <c r="M97" s="14" t="str">
        <f>IF($C$19="","",$C$19)</f>
        <v>IVA 21%</v>
      </c>
      <c r="N97" s="20"/>
      <c r="O97" s="17"/>
    </row>
    <row r="98" spans="2:15" x14ac:dyDescent="0.25">
      <c r="B98" s="11">
        <f>IF($B$20="","",$B$20)</f>
        <v>107.101</v>
      </c>
      <c r="C98" s="14" t="str">
        <f>IF($C$20="","",$C$20)</f>
        <v>IVA 27%</v>
      </c>
      <c r="D98" s="20"/>
      <c r="E98" s="17"/>
      <c r="F98" s="3"/>
      <c r="G98" s="11">
        <f>IF($B$20="","",$B$20)</f>
        <v>107.101</v>
      </c>
      <c r="H98" s="14" t="str">
        <f>IF($C$20="","",$C$20)</f>
        <v>IVA 27%</v>
      </c>
      <c r="I98" s="20"/>
      <c r="J98" s="17"/>
      <c r="K98" s="3"/>
      <c r="L98" s="11">
        <f>IF($B$20="","",$B$20)</f>
        <v>107.101</v>
      </c>
      <c r="M98" s="14" t="str">
        <f>IF($C$20="","",$C$20)</f>
        <v>IVA 27%</v>
      </c>
      <c r="N98" s="20"/>
      <c r="O98" s="17"/>
    </row>
    <row r="99" spans="2:15" x14ac:dyDescent="0.25">
      <c r="B99" s="11">
        <f>IF($B$21="","",$B$21)</f>
        <v>107.102</v>
      </c>
      <c r="C99" s="14" t="str">
        <f>IF($C$21="","",$C$21)</f>
        <v>IVA 10,5%</v>
      </c>
      <c r="D99" s="20"/>
      <c r="E99" s="17"/>
      <c r="F99" s="3"/>
      <c r="G99" s="11">
        <f>IF($B$21="","",$B$21)</f>
        <v>107.102</v>
      </c>
      <c r="H99" s="14" t="str">
        <f>IF($C$21="","",$C$21)</f>
        <v>IVA 10,5%</v>
      </c>
      <c r="I99" s="20"/>
      <c r="J99" s="17"/>
      <c r="K99" s="3"/>
      <c r="L99" s="11">
        <f>IF($B$21="","",$B$21)</f>
        <v>107.102</v>
      </c>
      <c r="M99" s="14" t="str">
        <f>IF($C$21="","",$C$21)</f>
        <v>IVA 10,5%</v>
      </c>
      <c r="N99" s="20"/>
      <c r="O99" s="17"/>
    </row>
    <row r="100" spans="2:15" x14ac:dyDescent="0.25">
      <c r="B100" s="11">
        <f>IF($B$22="","",$B$22)</f>
        <v>106.521</v>
      </c>
      <c r="C100" s="14" t="str">
        <f>IF($C$22="","",$C$22)</f>
        <v>PERC IIBB BS AS</v>
      </c>
      <c r="D100" s="20"/>
      <c r="E100" s="17"/>
      <c r="F100" s="3"/>
      <c r="G100" s="11">
        <f>IF($B$22="","",$B$22)</f>
        <v>106.521</v>
      </c>
      <c r="H100" s="14" t="str">
        <f>IF($C$22="","",$C$22)</f>
        <v>PERC IIBB BS AS</v>
      </c>
      <c r="I100" s="20"/>
      <c r="J100" s="17"/>
      <c r="K100" s="3"/>
      <c r="L100" s="11">
        <f>IF($B$22="","",$B$22)</f>
        <v>106.521</v>
      </c>
      <c r="M100" s="14" t="str">
        <f>IF($C$22="","",$C$22)</f>
        <v>PERC IIBB BS AS</v>
      </c>
      <c r="N100" s="20"/>
      <c r="O100" s="17"/>
    </row>
    <row r="101" spans="2:15" x14ac:dyDescent="0.25">
      <c r="B101" s="11">
        <f>IF($B$23="","",$B$23)</f>
        <v>106.515</v>
      </c>
      <c r="C101" s="14" t="str">
        <f>IF($C$23="","",$C$23)</f>
        <v>PERC IIBB CABA</v>
      </c>
      <c r="D101" s="20"/>
      <c r="E101" s="17"/>
      <c r="F101" s="3"/>
      <c r="G101" s="11">
        <f>IF($B$23="","",$B$23)</f>
        <v>106.515</v>
      </c>
      <c r="H101" s="14" t="str">
        <f>IF($C$23="","",$C$23)</f>
        <v>PERC IIBB CABA</v>
      </c>
      <c r="I101" s="20"/>
      <c r="J101" s="17"/>
      <c r="K101" s="3"/>
      <c r="L101" s="11">
        <f>IF($B$23="","",$B$23)</f>
        <v>106.515</v>
      </c>
      <c r="M101" s="14" t="str">
        <f>IF($C$23="","",$C$23)</f>
        <v>PERC IIBB CABA</v>
      </c>
      <c r="N101" s="20"/>
      <c r="O101" s="17"/>
    </row>
    <row r="102" spans="2:15" x14ac:dyDescent="0.25">
      <c r="B102" s="11">
        <f>IF($B$24="","",$B$24)</f>
        <v>106.535</v>
      </c>
      <c r="C102" s="14" t="str">
        <f>IF($C$24="","",$C$24)</f>
        <v>PERC. IVA</v>
      </c>
      <c r="D102" s="21"/>
      <c r="E102" s="18"/>
      <c r="F102" s="3"/>
      <c r="G102" s="11">
        <f>IF($B$24="","",$B$24)</f>
        <v>106.535</v>
      </c>
      <c r="H102" s="14" t="str">
        <f>IF($C$24="","",$C$24)</f>
        <v>PERC. IVA</v>
      </c>
      <c r="I102" s="21"/>
      <c r="J102" s="18"/>
      <c r="K102" s="3"/>
      <c r="L102" s="11">
        <f>IF($B$24="","",$B$24)</f>
        <v>106.535</v>
      </c>
      <c r="M102" s="14" t="str">
        <f>IF($C$24="","",$C$24)</f>
        <v>PERC. IVA</v>
      </c>
      <c r="N102" s="21"/>
      <c r="O102" s="18"/>
    </row>
    <row r="103" spans="2:15" x14ac:dyDescent="0.25">
      <c r="B103" s="11" t="str">
        <f>IF($B$25="","",$B$25)</f>
        <v/>
      </c>
      <c r="C103" s="14" t="str">
        <f>IF($C$25="","",$C$25)</f>
        <v/>
      </c>
      <c r="D103" s="120"/>
      <c r="E103" s="18"/>
      <c r="F103" s="3"/>
      <c r="G103" s="11" t="str">
        <f>IF($B$25="","",$B$25)</f>
        <v/>
      </c>
      <c r="H103" s="14" t="str">
        <f>IF($C$25="","",$C$25)</f>
        <v/>
      </c>
      <c r="I103" s="120"/>
      <c r="J103" s="18"/>
      <c r="K103" s="3"/>
      <c r="L103" s="11" t="str">
        <f>IF($B$25="","",$B$25)</f>
        <v/>
      </c>
      <c r="M103" s="14" t="str">
        <f>IF($C$25="","",$C$25)</f>
        <v/>
      </c>
      <c r="N103" s="120"/>
      <c r="O103" s="18"/>
    </row>
    <row r="104" spans="2:15" x14ac:dyDescent="0.25">
      <c r="B104" s="11" t="str">
        <f>IF($B$26="","",$B$26)</f>
        <v/>
      </c>
      <c r="C104" s="14" t="str">
        <f>IF($C$26="","",$C$26)</f>
        <v/>
      </c>
      <c r="D104" s="120"/>
      <c r="E104" s="18"/>
      <c r="F104" s="3"/>
      <c r="G104" s="11" t="str">
        <f>IF($B$26="","",$B$26)</f>
        <v/>
      </c>
      <c r="H104" s="14" t="str">
        <f>IF($C$26="","",$C$26)</f>
        <v/>
      </c>
      <c r="I104" s="120"/>
      <c r="J104" s="18"/>
      <c r="K104" s="3"/>
      <c r="L104" s="11" t="str">
        <f>IF($B$26="","",$B$26)</f>
        <v/>
      </c>
      <c r="M104" s="14" t="str">
        <f>IF($C$26="","",$C$26)</f>
        <v/>
      </c>
      <c r="N104" s="120"/>
      <c r="O104" s="18"/>
    </row>
    <row r="105" spans="2:15" x14ac:dyDescent="0.25">
      <c r="B105" s="11">
        <f>IF($B$27="","",$B$27)</f>
        <v>200.9</v>
      </c>
      <c r="C105" s="14" t="str">
        <f>IF($C$27="","",$C$27)</f>
        <v>PROVEEDORES</v>
      </c>
      <c r="D105" s="18"/>
      <c r="E105" s="4"/>
      <c r="F105" s="3"/>
      <c r="G105" s="11">
        <f>IF($B$27="","",$B$27)</f>
        <v>200.9</v>
      </c>
      <c r="H105" s="14" t="str">
        <f>IF($C$27="","",$C$27)</f>
        <v>PROVEEDORES</v>
      </c>
      <c r="I105" s="18"/>
      <c r="J105" s="4"/>
      <c r="K105" s="3"/>
      <c r="L105" s="11">
        <f>IF($B$27="","",$B$27)</f>
        <v>200.9</v>
      </c>
      <c r="M105" s="14" t="str">
        <f>IF($C$27="","",$C$27)</f>
        <v>PROVEEDORES</v>
      </c>
      <c r="N105" s="18"/>
      <c r="O105" s="4"/>
    </row>
    <row r="106" spans="2:15" x14ac:dyDescent="0.25">
      <c r="B106" s="604"/>
      <c r="C106" s="604"/>
      <c r="D106" s="604"/>
      <c r="E106" s="8">
        <v>0</v>
      </c>
      <c r="F106" s="3"/>
      <c r="G106" s="604"/>
      <c r="H106" s="604"/>
      <c r="I106" s="604"/>
      <c r="J106" s="8">
        <v>0</v>
      </c>
      <c r="K106" s="3"/>
      <c r="L106" s="604"/>
      <c r="M106" s="604"/>
      <c r="N106" s="604"/>
      <c r="O106" s="8">
        <v>0</v>
      </c>
    </row>
    <row r="107" spans="2:15" x14ac:dyDescent="0.25">
      <c r="B107" s="3"/>
      <c r="C107" s="3"/>
      <c r="D107" s="3"/>
      <c r="E107" s="3"/>
      <c r="L107" s="600"/>
      <c r="M107" s="600"/>
      <c r="N107" s="600"/>
      <c r="O107" s="3"/>
    </row>
    <row r="108" spans="2:15" x14ac:dyDescent="0.25">
      <c r="B108" s="3"/>
      <c r="C108" s="3"/>
      <c r="D108" s="3"/>
      <c r="E108" s="3"/>
      <c r="L108" s="3"/>
      <c r="M108" s="3"/>
      <c r="N108" s="3"/>
      <c r="O108" s="3"/>
    </row>
  </sheetData>
  <mergeCells count="26">
    <mergeCell ref="B2:O2"/>
    <mergeCell ref="B80:D80"/>
    <mergeCell ref="G80:I80"/>
    <mergeCell ref="L80:N80"/>
    <mergeCell ref="B28:D28"/>
    <mergeCell ref="B30:E30"/>
    <mergeCell ref="G30:J30"/>
    <mergeCell ref="L30:O30"/>
    <mergeCell ref="B54:D54"/>
    <mergeCell ref="G54:I54"/>
    <mergeCell ref="G28:I28"/>
    <mergeCell ref="B4:E4"/>
    <mergeCell ref="G4:J4"/>
    <mergeCell ref="L4:O4"/>
    <mergeCell ref="B56:E56"/>
    <mergeCell ref="G56:J56"/>
    <mergeCell ref="L107:N107"/>
    <mergeCell ref="L56:O56"/>
    <mergeCell ref="L28:N28"/>
    <mergeCell ref="L54:N54"/>
    <mergeCell ref="B106:D106"/>
    <mergeCell ref="G106:I106"/>
    <mergeCell ref="L106:N106"/>
    <mergeCell ref="B82:E82"/>
    <mergeCell ref="G82:J82"/>
    <mergeCell ref="L82:O8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tabColor theme="8" tint="0.39997558519241921"/>
  </sheetPr>
  <dimension ref="A2:R30"/>
  <sheetViews>
    <sheetView showGridLines="0" workbookViewId="0">
      <selection activeCell="A6" sqref="A6"/>
    </sheetView>
  </sheetViews>
  <sheetFormatPr baseColWidth="10" defaultColWidth="0" defaultRowHeight="15" x14ac:dyDescent="0.25"/>
  <cols>
    <col min="1" max="1" width="3.28515625" customWidth="1"/>
    <col min="2" max="5" width="11.5703125" customWidth="1"/>
    <col min="6" max="6" width="3.5703125" customWidth="1"/>
    <col min="7" max="10" width="11.5703125" customWidth="1"/>
    <col min="11" max="11" width="3" customWidth="1"/>
    <col min="12" max="18" width="11.5703125" customWidth="1"/>
    <col min="19" max="16384" width="11.5703125" hidden="1"/>
  </cols>
  <sheetData>
    <row r="2" spans="2:15" ht="31.5" x14ac:dyDescent="0.25">
      <c r="B2" s="605" t="s">
        <v>60</v>
      </c>
      <c r="C2" s="605"/>
      <c r="D2" s="605"/>
      <c r="E2" s="605"/>
      <c r="F2" s="605"/>
      <c r="G2" s="605"/>
      <c r="H2" s="605"/>
      <c r="I2" s="605"/>
      <c r="J2" s="605"/>
      <c r="K2" s="605"/>
      <c r="L2" s="605"/>
      <c r="M2" s="605"/>
      <c r="N2" s="605"/>
      <c r="O2" s="605"/>
    </row>
    <row r="3" spans="2:15" ht="15.75" thickBot="1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2:15" ht="19.5" thickBot="1" x14ac:dyDescent="0.3">
      <c r="B4" s="601">
        <f>'Ene-25'!N1</f>
        <v>45658</v>
      </c>
      <c r="C4" s="602"/>
      <c r="D4" s="602"/>
      <c r="E4" s="603"/>
      <c r="F4" s="3"/>
      <c r="G4" s="601">
        <f>EDATE($B$4,1)</f>
        <v>45689</v>
      </c>
      <c r="H4" s="602"/>
      <c r="I4" s="602"/>
      <c r="J4" s="603"/>
      <c r="K4" s="3"/>
      <c r="L4" s="601">
        <f>EDATE($B$4,2)</f>
        <v>45717</v>
      </c>
      <c r="M4" s="602"/>
      <c r="N4" s="602"/>
      <c r="O4" s="603"/>
    </row>
    <row r="5" spans="2:15" x14ac:dyDescent="0.25">
      <c r="B5" s="26">
        <v>100.1</v>
      </c>
      <c r="C5" s="24" t="s">
        <v>61</v>
      </c>
      <c r="D5" s="27">
        <v>0</v>
      </c>
      <c r="E5" s="17"/>
      <c r="F5" s="3"/>
      <c r="G5" s="26">
        <v>100.1</v>
      </c>
      <c r="H5" s="24" t="s">
        <v>61</v>
      </c>
      <c r="I5" s="27">
        <v>0</v>
      </c>
      <c r="J5" s="17"/>
      <c r="K5" s="3"/>
      <c r="L5" s="26">
        <v>100.1</v>
      </c>
      <c r="M5" s="24" t="s">
        <v>61</v>
      </c>
      <c r="N5" s="27">
        <v>0</v>
      </c>
      <c r="O5" s="17"/>
    </row>
    <row r="6" spans="2:15" x14ac:dyDescent="0.25">
      <c r="B6" s="26">
        <v>210.1</v>
      </c>
      <c r="C6" s="24" t="s">
        <v>62</v>
      </c>
      <c r="D6" s="17"/>
      <c r="E6" s="28"/>
      <c r="F6" s="3"/>
      <c r="G6" s="26">
        <v>210.1</v>
      </c>
      <c r="H6" s="24" t="s">
        <v>62</v>
      </c>
      <c r="I6" s="17"/>
      <c r="J6" s="28"/>
      <c r="K6" s="3"/>
      <c r="L6" s="26">
        <v>210.1</v>
      </c>
      <c r="M6" s="24" t="s">
        <v>62</v>
      </c>
      <c r="N6" s="17"/>
      <c r="O6" s="28"/>
    </row>
    <row r="7" spans="2:15" x14ac:dyDescent="0.25">
      <c r="B7" s="26">
        <v>400.2</v>
      </c>
      <c r="C7" s="24" t="s">
        <v>63</v>
      </c>
      <c r="D7" s="17"/>
      <c r="E7" s="28"/>
      <c r="F7" s="3"/>
      <c r="G7" s="26">
        <v>400.2</v>
      </c>
      <c r="H7" s="24" t="s">
        <v>63</v>
      </c>
      <c r="I7" s="17"/>
      <c r="J7" s="28"/>
      <c r="K7" s="3"/>
      <c r="L7" s="26">
        <v>400.2</v>
      </c>
      <c r="M7" s="24" t="s">
        <v>63</v>
      </c>
      <c r="N7" s="17"/>
      <c r="O7" s="28"/>
    </row>
    <row r="8" spans="2:15" ht="15.75" thickBot="1" x14ac:dyDescent="0.3">
      <c r="B8" s="29">
        <v>400.1</v>
      </c>
      <c r="C8" s="25" t="s">
        <v>64</v>
      </c>
      <c r="D8" s="17"/>
      <c r="E8" s="30"/>
      <c r="F8" s="3"/>
      <c r="G8" s="29">
        <v>400.1</v>
      </c>
      <c r="H8" s="25" t="s">
        <v>64</v>
      </c>
      <c r="I8" s="17"/>
      <c r="J8" s="30"/>
      <c r="K8" s="3"/>
      <c r="L8" s="29">
        <v>400.1</v>
      </c>
      <c r="M8" s="25" t="s">
        <v>64</v>
      </c>
      <c r="N8" s="17"/>
      <c r="O8" s="30"/>
    </row>
    <row r="9" spans="2:15" x14ac:dyDescent="0.25">
      <c r="B9" s="22"/>
      <c r="C9" s="22"/>
      <c r="D9" s="22"/>
      <c r="E9" s="23">
        <v>0</v>
      </c>
      <c r="F9" s="3"/>
      <c r="G9" s="22"/>
      <c r="H9" s="22"/>
      <c r="I9" s="22"/>
      <c r="J9" s="23">
        <v>0</v>
      </c>
      <c r="K9" s="3"/>
      <c r="L9" s="22"/>
      <c r="M9" s="22"/>
      <c r="N9" s="22"/>
      <c r="O9" s="23">
        <v>0</v>
      </c>
    </row>
    <row r="10" spans="2:15" ht="15.75" thickBo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2:15" ht="19.5" thickBot="1" x14ac:dyDescent="0.3">
      <c r="B11" s="601">
        <f>EDATE($B$4,3)</f>
        <v>45748</v>
      </c>
      <c r="C11" s="602"/>
      <c r="D11" s="602"/>
      <c r="E11" s="603"/>
      <c r="F11" s="3"/>
      <c r="G11" s="601">
        <f>EDATE($B$4,4)</f>
        <v>45778</v>
      </c>
      <c r="H11" s="602"/>
      <c r="I11" s="602"/>
      <c r="J11" s="603"/>
      <c r="K11" s="3"/>
      <c r="L11" s="601">
        <f>EDATE($B$4,5)</f>
        <v>45809</v>
      </c>
      <c r="M11" s="602"/>
      <c r="N11" s="602"/>
      <c r="O11" s="603"/>
    </row>
    <row r="12" spans="2:15" x14ac:dyDescent="0.25">
      <c r="B12" s="26">
        <v>100.1</v>
      </c>
      <c r="C12" s="24" t="s">
        <v>61</v>
      </c>
      <c r="D12" s="27">
        <v>0</v>
      </c>
      <c r="E12" s="17"/>
      <c r="F12" s="3"/>
      <c r="G12" s="26">
        <v>100.1</v>
      </c>
      <c r="H12" s="24" t="s">
        <v>61</v>
      </c>
      <c r="I12" s="27">
        <v>0</v>
      </c>
      <c r="J12" s="17"/>
      <c r="K12" s="3"/>
      <c r="L12" s="26">
        <v>100.1</v>
      </c>
      <c r="M12" s="24" t="s">
        <v>61</v>
      </c>
      <c r="N12" s="27">
        <v>0</v>
      </c>
      <c r="O12" s="17"/>
    </row>
    <row r="13" spans="2:15" x14ac:dyDescent="0.25">
      <c r="B13" s="26">
        <v>210.1</v>
      </c>
      <c r="C13" s="24" t="s">
        <v>62</v>
      </c>
      <c r="D13" s="17"/>
      <c r="E13" s="28"/>
      <c r="F13" s="3"/>
      <c r="G13" s="26">
        <v>210.1</v>
      </c>
      <c r="H13" s="24" t="s">
        <v>62</v>
      </c>
      <c r="I13" s="17"/>
      <c r="J13" s="28"/>
      <c r="K13" s="3"/>
      <c r="L13" s="26">
        <v>210.1</v>
      </c>
      <c r="M13" s="24" t="s">
        <v>62</v>
      </c>
      <c r="N13" s="17"/>
      <c r="O13" s="28"/>
    </row>
    <row r="14" spans="2:15" x14ac:dyDescent="0.25">
      <c r="B14" s="26">
        <v>400.2</v>
      </c>
      <c r="C14" s="24" t="s">
        <v>63</v>
      </c>
      <c r="D14" s="17"/>
      <c r="E14" s="28"/>
      <c r="F14" s="3"/>
      <c r="G14" s="26">
        <v>400.2</v>
      </c>
      <c r="H14" s="24" t="s">
        <v>63</v>
      </c>
      <c r="I14" s="17"/>
      <c r="J14" s="28"/>
      <c r="K14" s="3"/>
      <c r="L14" s="26">
        <v>400.2</v>
      </c>
      <c r="M14" s="24" t="s">
        <v>63</v>
      </c>
      <c r="N14" s="17"/>
      <c r="O14" s="28"/>
    </row>
    <row r="15" spans="2:15" ht="15.75" thickBot="1" x14ac:dyDescent="0.3">
      <c r="B15" s="29">
        <v>400.1</v>
      </c>
      <c r="C15" s="25" t="s">
        <v>64</v>
      </c>
      <c r="D15" s="17"/>
      <c r="E15" s="30"/>
      <c r="F15" s="3"/>
      <c r="G15" s="29">
        <v>400.1</v>
      </c>
      <c r="H15" s="25" t="s">
        <v>64</v>
      </c>
      <c r="I15" s="17"/>
      <c r="J15" s="30"/>
      <c r="K15" s="3"/>
      <c r="L15" s="29">
        <v>400.1</v>
      </c>
      <c r="M15" s="25" t="s">
        <v>64</v>
      </c>
      <c r="N15" s="17"/>
      <c r="O15" s="30"/>
    </row>
    <row r="16" spans="2:15" x14ac:dyDescent="0.25">
      <c r="B16" s="22"/>
      <c r="C16" s="22"/>
      <c r="D16" s="22"/>
      <c r="E16" s="23">
        <v>0</v>
      </c>
      <c r="F16" s="3"/>
      <c r="G16" s="22"/>
      <c r="H16" s="22"/>
      <c r="I16" s="22"/>
      <c r="J16" s="23">
        <v>0</v>
      </c>
      <c r="K16" s="3"/>
      <c r="L16" s="22"/>
      <c r="M16" s="22"/>
      <c r="N16" s="22"/>
      <c r="O16" s="23">
        <v>0</v>
      </c>
    </row>
    <row r="17" spans="2:15" ht="15.75" thickBo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ht="19.5" thickBot="1" x14ac:dyDescent="0.3">
      <c r="B18" s="601">
        <f>EDATE($B$4,6)</f>
        <v>45839</v>
      </c>
      <c r="C18" s="602"/>
      <c r="D18" s="602"/>
      <c r="E18" s="603"/>
      <c r="F18" s="3"/>
      <c r="G18" s="601">
        <f>EDATE($B$4,7)</f>
        <v>45870</v>
      </c>
      <c r="H18" s="602"/>
      <c r="I18" s="602"/>
      <c r="J18" s="603"/>
      <c r="K18" s="3"/>
      <c r="L18" s="601">
        <f>EDATE($B$4,8)</f>
        <v>45901</v>
      </c>
      <c r="M18" s="602"/>
      <c r="N18" s="602"/>
      <c r="O18" s="603"/>
    </row>
    <row r="19" spans="2:15" x14ac:dyDescent="0.25">
      <c r="B19" s="26">
        <v>100.1</v>
      </c>
      <c r="C19" s="24" t="s">
        <v>61</v>
      </c>
      <c r="D19" s="27">
        <v>0</v>
      </c>
      <c r="E19" s="17"/>
      <c r="F19" s="3"/>
      <c r="G19" s="26">
        <v>100.1</v>
      </c>
      <c r="H19" s="24" t="s">
        <v>61</v>
      </c>
      <c r="I19" s="27">
        <v>0</v>
      </c>
      <c r="J19" s="17"/>
      <c r="K19" s="3"/>
      <c r="L19" s="26">
        <v>100.1</v>
      </c>
      <c r="M19" s="24" t="s">
        <v>61</v>
      </c>
      <c r="N19" s="27">
        <v>0</v>
      </c>
      <c r="O19" s="17"/>
    </row>
    <row r="20" spans="2:15" x14ac:dyDescent="0.25">
      <c r="B20" s="26">
        <v>210.1</v>
      </c>
      <c r="C20" s="24" t="s">
        <v>62</v>
      </c>
      <c r="D20" s="17"/>
      <c r="E20" s="28"/>
      <c r="F20" s="3"/>
      <c r="G20" s="26">
        <v>210.1</v>
      </c>
      <c r="H20" s="24" t="s">
        <v>62</v>
      </c>
      <c r="I20" s="17"/>
      <c r="J20" s="28"/>
      <c r="K20" s="3"/>
      <c r="L20" s="26">
        <v>210.1</v>
      </c>
      <c r="M20" s="24" t="s">
        <v>62</v>
      </c>
      <c r="N20" s="17"/>
      <c r="O20" s="28"/>
    </row>
    <row r="21" spans="2:15" x14ac:dyDescent="0.25">
      <c r="B21" s="26">
        <v>400.2</v>
      </c>
      <c r="C21" s="24" t="s">
        <v>63</v>
      </c>
      <c r="D21" s="17"/>
      <c r="E21" s="28"/>
      <c r="F21" s="3"/>
      <c r="G21" s="26">
        <v>400.2</v>
      </c>
      <c r="H21" s="24" t="s">
        <v>63</v>
      </c>
      <c r="I21" s="17"/>
      <c r="J21" s="28"/>
      <c r="K21" s="3"/>
      <c r="L21" s="26">
        <v>400.2</v>
      </c>
      <c r="M21" s="24" t="s">
        <v>63</v>
      </c>
      <c r="N21" s="17"/>
      <c r="O21" s="28"/>
    </row>
    <row r="22" spans="2:15" ht="15.75" thickBot="1" x14ac:dyDescent="0.3">
      <c r="B22" s="29">
        <v>400.1</v>
      </c>
      <c r="C22" s="25" t="s">
        <v>64</v>
      </c>
      <c r="D22" s="17"/>
      <c r="E22" s="30"/>
      <c r="F22" s="3"/>
      <c r="G22" s="29">
        <v>400.1</v>
      </c>
      <c r="H22" s="25" t="s">
        <v>64</v>
      </c>
      <c r="I22" s="17"/>
      <c r="J22" s="30"/>
      <c r="K22" s="3"/>
      <c r="L22" s="29">
        <v>400.1</v>
      </c>
      <c r="M22" s="25" t="s">
        <v>64</v>
      </c>
      <c r="N22" s="17"/>
      <c r="O22" s="30"/>
    </row>
    <row r="23" spans="2:15" x14ac:dyDescent="0.25">
      <c r="B23" s="22"/>
      <c r="C23" s="22"/>
      <c r="D23" s="22"/>
      <c r="E23" s="23">
        <v>0</v>
      </c>
      <c r="F23" s="3"/>
      <c r="G23" s="22"/>
      <c r="H23" s="22"/>
      <c r="I23" s="22"/>
      <c r="J23" s="23">
        <v>0</v>
      </c>
      <c r="K23" s="3"/>
      <c r="L23" s="22"/>
      <c r="M23" s="22"/>
      <c r="N23" s="22"/>
      <c r="O23" s="23">
        <v>0</v>
      </c>
    </row>
    <row r="24" spans="2:15" ht="15.75" thickBot="1" x14ac:dyDescent="0.3">
      <c r="B24" s="22"/>
      <c r="C24" s="22"/>
      <c r="D24" s="22"/>
      <c r="E24" s="31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2:15" ht="19.5" thickBot="1" x14ac:dyDescent="0.3">
      <c r="B25" s="601">
        <f>EDATE($B$4,9)</f>
        <v>45931</v>
      </c>
      <c r="C25" s="602"/>
      <c r="D25" s="602"/>
      <c r="E25" s="603"/>
      <c r="F25" s="3"/>
      <c r="G25" s="601">
        <f>EDATE($B$4,10)</f>
        <v>45962</v>
      </c>
      <c r="H25" s="602"/>
      <c r="I25" s="602"/>
      <c r="J25" s="603"/>
      <c r="K25" s="3"/>
      <c r="L25" s="601">
        <f>EDATE($B$4,11)</f>
        <v>45992</v>
      </c>
      <c r="M25" s="602"/>
      <c r="N25" s="602"/>
      <c r="O25" s="603"/>
    </row>
    <row r="26" spans="2:15" x14ac:dyDescent="0.25">
      <c r="B26" s="26">
        <v>100.1</v>
      </c>
      <c r="C26" s="24" t="s">
        <v>61</v>
      </c>
      <c r="D26" s="27">
        <v>0</v>
      </c>
      <c r="E26" s="17"/>
      <c r="F26" s="3"/>
      <c r="G26" s="26">
        <v>100.1</v>
      </c>
      <c r="H26" s="24" t="s">
        <v>61</v>
      </c>
      <c r="I26" s="27">
        <v>0</v>
      </c>
      <c r="J26" s="17"/>
      <c r="K26" s="3"/>
      <c r="L26" s="26">
        <v>100.1</v>
      </c>
      <c r="M26" s="24" t="s">
        <v>61</v>
      </c>
      <c r="N26" s="27">
        <v>0</v>
      </c>
      <c r="O26" s="17"/>
    </row>
    <row r="27" spans="2:15" x14ac:dyDescent="0.25">
      <c r="B27" s="26">
        <v>210.1</v>
      </c>
      <c r="C27" s="24" t="s">
        <v>62</v>
      </c>
      <c r="D27" s="17"/>
      <c r="E27" s="28"/>
      <c r="F27" s="3"/>
      <c r="G27" s="26">
        <v>210.1</v>
      </c>
      <c r="H27" s="24" t="s">
        <v>62</v>
      </c>
      <c r="I27" s="17"/>
      <c r="J27" s="28"/>
      <c r="K27" s="3"/>
      <c r="L27" s="26">
        <v>210.1</v>
      </c>
      <c r="M27" s="24" t="s">
        <v>62</v>
      </c>
      <c r="N27" s="17"/>
      <c r="O27" s="28"/>
    </row>
    <row r="28" spans="2:15" x14ac:dyDescent="0.25">
      <c r="B28" s="26">
        <v>400.2</v>
      </c>
      <c r="C28" s="24" t="s">
        <v>63</v>
      </c>
      <c r="D28" s="17"/>
      <c r="E28" s="28"/>
      <c r="F28" s="3"/>
      <c r="G28" s="26">
        <v>400.2</v>
      </c>
      <c r="H28" s="24" t="s">
        <v>63</v>
      </c>
      <c r="I28" s="17"/>
      <c r="J28" s="28"/>
      <c r="K28" s="3"/>
      <c r="L28" s="26">
        <v>400.2</v>
      </c>
      <c r="M28" s="24" t="s">
        <v>63</v>
      </c>
      <c r="N28" s="17"/>
      <c r="O28" s="28"/>
    </row>
    <row r="29" spans="2:15" ht="15.75" thickBot="1" x14ac:dyDescent="0.3">
      <c r="B29" s="29">
        <v>400.1</v>
      </c>
      <c r="C29" s="25" t="s">
        <v>64</v>
      </c>
      <c r="D29" s="17"/>
      <c r="E29" s="30"/>
      <c r="F29" s="3"/>
      <c r="G29" s="29">
        <v>400.1</v>
      </c>
      <c r="H29" s="25" t="s">
        <v>64</v>
      </c>
      <c r="I29" s="17"/>
      <c r="J29" s="30"/>
      <c r="K29" s="3"/>
      <c r="L29" s="29">
        <v>400.1</v>
      </c>
      <c r="M29" s="25" t="s">
        <v>64</v>
      </c>
      <c r="N29" s="17"/>
      <c r="O29" s="30"/>
    </row>
    <row r="30" spans="2:15" x14ac:dyDescent="0.25">
      <c r="B30" s="22"/>
      <c r="C30" s="22"/>
      <c r="D30" s="22"/>
      <c r="E30" s="23">
        <v>0</v>
      </c>
      <c r="F30" s="3"/>
      <c r="G30" s="22"/>
      <c r="H30" s="22"/>
      <c r="I30" s="22"/>
      <c r="J30" s="23">
        <v>0</v>
      </c>
      <c r="K30" s="3"/>
      <c r="L30" s="22"/>
      <c r="M30" s="22"/>
      <c r="N30" s="22"/>
      <c r="O30" s="23">
        <v>0</v>
      </c>
    </row>
  </sheetData>
  <mergeCells count="13">
    <mergeCell ref="G18:J18"/>
    <mergeCell ref="L18:O18"/>
    <mergeCell ref="B25:E25"/>
    <mergeCell ref="G25:J25"/>
    <mergeCell ref="L25:O25"/>
    <mergeCell ref="B18:E18"/>
    <mergeCell ref="B2:O2"/>
    <mergeCell ref="B4:E4"/>
    <mergeCell ref="G4:J4"/>
    <mergeCell ref="L4:O4"/>
    <mergeCell ref="B11:E11"/>
    <mergeCell ref="G11:J11"/>
    <mergeCell ref="L11:O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F2BB8-2D86-47BF-8525-9E7A91228B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Lista_CUIT</vt:lpstr>
      <vt:lpstr>Ene-25</vt:lpstr>
      <vt:lpstr>Feb-25</vt:lpstr>
      <vt:lpstr>Mar-25</vt:lpstr>
      <vt:lpstr>Abr-25</vt:lpstr>
      <vt:lpstr>May-25</vt:lpstr>
      <vt:lpstr>Jun-25</vt:lpstr>
      <vt:lpstr>Jul-25</vt:lpstr>
      <vt:lpstr>Agost-25</vt:lpstr>
      <vt:lpstr>Sept-25</vt:lpstr>
      <vt:lpstr>Oct-25</vt:lpstr>
      <vt:lpstr>Nov-25 </vt:lpstr>
      <vt:lpstr>Dic-25</vt:lpstr>
      <vt:lpstr>Asto-Cpras</vt:lpstr>
      <vt:lpstr>Asto-Vtas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FEDE-PC</dc:creator>
  <cp:lastModifiedBy>Gaspar Gullo</cp:lastModifiedBy>
  <cp:lastPrinted>2023-07-21T17:02:54Z</cp:lastPrinted>
  <dcterms:created xsi:type="dcterms:W3CDTF">2006-09-16T00:00:00Z</dcterms:created>
  <dcterms:modified xsi:type="dcterms:W3CDTF">2026-05-22T15:27:10Z</dcterms:modified>
</cp:coreProperties>
</file>